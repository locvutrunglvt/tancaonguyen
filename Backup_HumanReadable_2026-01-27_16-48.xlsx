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af7d7ed9f4d1aee5/Webapp/Tancaonguyen/"/>
    </mc:Choice>
  </mc:AlternateContent>
  <xr:revisionPtr revIDLastSave="6" documentId="11_30DD3F4A8EF85FD806371E545806AE4C7D880095" xr6:coauthVersionLast="47" xr6:coauthVersionMax="47" xr10:uidLastSave="{DBF66C7A-4C45-4534-9D67-0BB625248806}"/>
  <bookViews>
    <workbookView xWindow="-108" yWindow="-108" windowWidth="23256" windowHeight="13896" tabRatio="759" xr2:uid="{00000000-000D-0000-FFFF-FFFF00000000}"/>
  </bookViews>
  <sheets>
    <sheet name="READABLE_SURVEY_MAIN" sheetId="1" r:id="rId1"/>
    <sheet name="READABLE_HH_members" sheetId="2" r:id="rId2"/>
    <sheet name="READABLE_Images" sheetId="3" r:id="rId3"/>
    <sheet name="READABLE_LAND_PLOTS" sheetId="4" r:id="rId4"/>
    <sheet name="READABLE_SUBTAINABLE_AGRI" sheetId="5" r:id="rId5"/>
    <sheet name="RAW_SURVEY_MAIN" sheetId="6" r:id="rId6"/>
    <sheet name="RAW_HH_members" sheetId="7" r:id="rId7"/>
    <sheet name="RAW_Images" sheetId="8" r:id="rId8"/>
    <sheet name="RAW_LAND_PLOTS" sheetId="9" r:id="rId9"/>
    <sheet name="RAW_SUBTAINABLE_AGRI" sheetId="10" r:id="rId10"/>
  </sheets>
  <definedNames>
    <definedName name="_xlnm._FilterDatabase" localSheetId="0" hidden="1">READABLE_SURVEY_MAIN!$A$1:$FZ$399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8" i="3" l="1"/>
  <c r="G417" i="3"/>
  <c r="G416" i="3"/>
  <c r="G415" i="3"/>
  <c r="G414" i="3"/>
  <c r="G413" i="3"/>
  <c r="G412" i="3"/>
  <c r="G411" i="3"/>
  <c r="G410" i="3"/>
  <c r="G409" i="3"/>
  <c r="G408" i="3"/>
  <c r="G407" i="3"/>
  <c r="G406" i="3"/>
  <c r="G405" i="3"/>
  <c r="G404" i="3"/>
  <c r="G403" i="3"/>
  <c r="G402" i="3"/>
  <c r="G401" i="3"/>
  <c r="G400" i="3"/>
  <c r="G399" i="3"/>
  <c r="G398" i="3"/>
  <c r="G397" i="3"/>
  <c r="G396" i="3"/>
  <c r="G395" i="3"/>
  <c r="G394" i="3"/>
  <c r="G393" i="3"/>
  <c r="G392" i="3"/>
  <c r="G391" i="3"/>
  <c r="G390" i="3"/>
  <c r="G389" i="3"/>
  <c r="G388" i="3"/>
  <c r="G387" i="3"/>
  <c r="G386" i="3"/>
  <c r="G385" i="3"/>
  <c r="G384" i="3"/>
  <c r="G383" i="3"/>
  <c r="G382" i="3"/>
  <c r="G381" i="3"/>
  <c r="G380" i="3"/>
  <c r="G379" i="3"/>
  <c r="G378" i="3"/>
  <c r="G377" i="3"/>
  <c r="G376" i="3"/>
  <c r="G375" i="3"/>
  <c r="G374" i="3"/>
  <c r="G373" i="3"/>
  <c r="G372" i="3"/>
  <c r="G371" i="3"/>
  <c r="G370" i="3"/>
  <c r="G369" i="3"/>
  <c r="G368" i="3"/>
  <c r="G367" i="3"/>
  <c r="G366" i="3"/>
  <c r="G365" i="3"/>
  <c r="G364" i="3"/>
  <c r="G363" i="3"/>
  <c r="G362" i="3"/>
  <c r="G361" i="3"/>
  <c r="G360" i="3"/>
  <c r="G359" i="3"/>
  <c r="G358" i="3"/>
  <c r="G357" i="3"/>
  <c r="G356" i="3"/>
  <c r="G355" i="3"/>
  <c r="G354" i="3"/>
  <c r="G353" i="3"/>
  <c r="G352" i="3"/>
  <c r="G351" i="3"/>
  <c r="G350" i="3"/>
  <c r="G349" i="3"/>
  <c r="G348" i="3"/>
  <c r="G347" i="3"/>
  <c r="G346" i="3"/>
  <c r="G345" i="3"/>
  <c r="G344" i="3"/>
  <c r="G343" i="3"/>
  <c r="G342" i="3"/>
  <c r="G341" i="3"/>
  <c r="G340" i="3"/>
  <c r="G339" i="3"/>
  <c r="G338" i="3"/>
  <c r="G337" i="3"/>
  <c r="G336" i="3"/>
  <c r="G335" i="3"/>
  <c r="G334" i="3"/>
  <c r="G333" i="3"/>
  <c r="G332" i="3"/>
  <c r="G331" i="3"/>
  <c r="G330" i="3"/>
  <c r="G329" i="3"/>
  <c r="G328" i="3"/>
  <c r="G327" i="3"/>
  <c r="G326" i="3"/>
  <c r="G325" i="3"/>
  <c r="G324" i="3"/>
  <c r="G323" i="3"/>
  <c r="G322" i="3"/>
  <c r="G321" i="3"/>
  <c r="G320" i="3"/>
  <c r="G319" i="3"/>
  <c r="G318" i="3"/>
  <c r="G317" i="3"/>
  <c r="G316" i="3"/>
  <c r="G315" i="3"/>
  <c r="G314" i="3"/>
  <c r="G313" i="3"/>
  <c r="G312" i="3"/>
  <c r="G311" i="3"/>
  <c r="G310" i="3"/>
  <c r="G309" i="3"/>
  <c r="G308" i="3"/>
  <c r="G307" i="3"/>
  <c r="G306" i="3"/>
  <c r="G305" i="3"/>
  <c r="G304" i="3"/>
  <c r="G303" i="3"/>
  <c r="G302" i="3"/>
  <c r="G301" i="3"/>
  <c r="G300" i="3"/>
  <c r="G299" i="3"/>
  <c r="G298" i="3"/>
  <c r="G297" i="3"/>
  <c r="G296" i="3"/>
  <c r="G295" i="3"/>
  <c r="G294" i="3"/>
  <c r="G293" i="3"/>
  <c r="G292" i="3"/>
  <c r="G291" i="3"/>
  <c r="G290" i="3"/>
  <c r="G289" i="3"/>
  <c r="G288" i="3"/>
  <c r="G287" i="3"/>
  <c r="G286" i="3"/>
  <c r="G285" i="3"/>
  <c r="G284" i="3"/>
  <c r="G283" i="3"/>
  <c r="G282" i="3"/>
  <c r="G281" i="3"/>
  <c r="G280" i="3"/>
  <c r="G279" i="3"/>
  <c r="G278" i="3"/>
  <c r="G277" i="3"/>
  <c r="G276" i="3"/>
  <c r="G275" i="3"/>
  <c r="G274" i="3"/>
  <c r="G273" i="3"/>
  <c r="G272" i="3"/>
  <c r="G271" i="3"/>
  <c r="G270" i="3"/>
  <c r="G269" i="3"/>
  <c r="G268" i="3"/>
  <c r="G267" i="3"/>
  <c r="G266" i="3"/>
  <c r="G265" i="3"/>
  <c r="G264" i="3"/>
  <c r="G263" i="3"/>
  <c r="G262" i="3"/>
  <c r="G261" i="3"/>
  <c r="G260" i="3"/>
  <c r="G259" i="3"/>
  <c r="G258" i="3"/>
  <c r="G257" i="3"/>
  <c r="G256" i="3"/>
  <c r="G255" i="3"/>
  <c r="G254" i="3"/>
  <c r="G253" i="3"/>
  <c r="G252" i="3"/>
  <c r="G251" i="3"/>
  <c r="G250" i="3"/>
  <c r="G249" i="3"/>
  <c r="G248" i="3"/>
  <c r="G247" i="3"/>
  <c r="G246" i="3"/>
  <c r="G245" i="3"/>
  <c r="G244" i="3"/>
  <c r="G243" i="3"/>
  <c r="G242" i="3"/>
  <c r="G241" i="3"/>
  <c r="G240" i="3"/>
  <c r="G239" i="3"/>
  <c r="G238" i="3"/>
  <c r="G237" i="3"/>
  <c r="G236" i="3"/>
  <c r="G235" i="3"/>
  <c r="G234" i="3"/>
  <c r="G233" i="3"/>
  <c r="G231" i="3"/>
  <c r="G230" i="3"/>
  <c r="G229" i="3"/>
  <c r="G228" i="3"/>
  <c r="G227" i="3"/>
  <c r="G226" i="3"/>
  <c r="G225" i="3"/>
  <c r="G224" i="3"/>
  <c r="G223" i="3"/>
  <c r="G222" i="3"/>
  <c r="G221" i="3"/>
  <c r="G220" i="3"/>
  <c r="G219" i="3"/>
  <c r="G218" i="3"/>
  <c r="G217" i="3"/>
  <c r="G216" i="3"/>
  <c r="G215" i="3"/>
  <c r="G214" i="3"/>
  <c r="G213" i="3"/>
  <c r="G212" i="3"/>
  <c r="G211" i="3"/>
  <c r="G210" i="3"/>
  <c r="G209" i="3"/>
  <c r="G208" i="3"/>
  <c r="G207" i="3"/>
  <c r="G206" i="3"/>
  <c r="G205" i="3"/>
  <c r="G204" i="3"/>
  <c r="G203" i="3"/>
  <c r="G202" i="3"/>
  <c r="G201" i="3"/>
  <c r="G200" i="3"/>
  <c r="G199" i="3"/>
  <c r="G198" i="3"/>
  <c r="G197" i="3"/>
  <c r="G196" i="3"/>
  <c r="G195" i="3"/>
  <c r="G194" i="3"/>
  <c r="G193" i="3"/>
  <c r="G192" i="3"/>
  <c r="G191" i="3"/>
  <c r="G190" i="3"/>
  <c r="G189" i="3"/>
  <c r="G188" i="3"/>
  <c r="G187" i="3"/>
  <c r="G186" i="3"/>
  <c r="G185" i="3"/>
  <c r="G184" i="3"/>
  <c r="G183" i="3"/>
  <c r="G182" i="3"/>
  <c r="G181" i="3"/>
  <c r="G180" i="3"/>
  <c r="G179" i="3"/>
  <c r="G178" i="3"/>
  <c r="G177" i="3"/>
  <c r="G176" i="3"/>
  <c r="G175" i="3"/>
  <c r="G174" i="3"/>
  <c r="G173" i="3"/>
  <c r="G172" i="3"/>
  <c r="G171" i="3"/>
  <c r="G170" i="3"/>
  <c r="G169" i="3"/>
  <c r="G168" i="3"/>
  <c r="G167" i="3"/>
  <c r="G166" i="3"/>
  <c r="G165" i="3"/>
  <c r="G164" i="3"/>
  <c r="G163" i="3"/>
  <c r="G162" i="3"/>
  <c r="G161" i="3"/>
  <c r="G160" i="3"/>
  <c r="G159" i="3"/>
  <c r="G158" i="3"/>
  <c r="G157" i="3"/>
  <c r="G156" i="3"/>
  <c r="G155" i="3"/>
  <c r="G154" i="3"/>
  <c r="G153" i="3"/>
  <c r="G152" i="3"/>
  <c r="G151" i="3"/>
  <c r="G150" i="3"/>
  <c r="G149" i="3"/>
  <c r="G148" i="3"/>
  <c r="G147" i="3"/>
  <c r="G146" i="3"/>
  <c r="G145" i="3"/>
  <c r="G144" i="3"/>
  <c r="G143" i="3"/>
  <c r="G142" i="3"/>
  <c r="G141" i="3"/>
  <c r="G140" i="3"/>
  <c r="G139" i="3"/>
  <c r="G138" i="3"/>
  <c r="G137" i="3"/>
  <c r="G136" i="3"/>
  <c r="G135" i="3"/>
  <c r="G134" i="3"/>
  <c r="G133" i="3"/>
  <c r="G132" i="3"/>
  <c r="G131" i="3"/>
  <c r="G130" i="3"/>
  <c r="G129" i="3"/>
  <c r="G128" i="3"/>
  <c r="G127" i="3"/>
  <c r="G126" i="3"/>
  <c r="G125" i="3"/>
  <c r="G124" i="3"/>
  <c r="G123" i="3"/>
  <c r="G122" i="3"/>
  <c r="G121" i="3"/>
  <c r="G120" i="3"/>
  <c r="G119" i="3"/>
  <c r="G118" i="3"/>
  <c r="G117" i="3"/>
  <c r="G116" i="3"/>
  <c r="G115" i="3"/>
  <c r="G114" i="3"/>
  <c r="G113" i="3"/>
  <c r="G112" i="3"/>
  <c r="G111" i="3"/>
  <c r="G110" i="3"/>
  <c r="G109" i="3"/>
  <c r="G108" i="3"/>
  <c r="G107" i="3"/>
  <c r="G106" i="3"/>
  <c r="G105" i="3"/>
  <c r="G104" i="3"/>
  <c r="G103" i="3"/>
  <c r="G102" i="3"/>
  <c r="G101" i="3"/>
  <c r="G100" i="3"/>
  <c r="G99" i="3"/>
  <c r="G98" i="3"/>
  <c r="G97" i="3"/>
  <c r="G96" i="3"/>
  <c r="G95" i="3"/>
  <c r="G94" i="3"/>
  <c r="G93" i="3"/>
  <c r="G92" i="3"/>
  <c r="G91" i="3"/>
  <c r="G90" i="3"/>
  <c r="G89" i="3"/>
  <c r="G88" i="3"/>
  <c r="G87" i="3"/>
  <c r="G86" i="3"/>
  <c r="G85" i="3"/>
  <c r="G84" i="3"/>
  <c r="G83" i="3"/>
  <c r="G82" i="3"/>
  <c r="G81" i="3"/>
  <c r="G80" i="3"/>
  <c r="G79" i="3"/>
  <c r="G78" i="3"/>
  <c r="G77" i="3"/>
  <c r="G76" i="3"/>
  <c r="G75" i="3"/>
  <c r="G74" i="3"/>
  <c r="G73" i="3"/>
  <c r="G72" i="3"/>
  <c r="G71" i="3"/>
  <c r="G70" i="3"/>
  <c r="G69" i="3"/>
  <c r="G68" i="3"/>
  <c r="G67" i="3"/>
  <c r="G66" i="3"/>
  <c r="G65" i="3"/>
  <c r="G64" i="3"/>
  <c r="G63" i="3"/>
  <c r="G62" i="3"/>
  <c r="G61" i="3"/>
  <c r="G60" i="3"/>
  <c r="G59" i="3"/>
  <c r="G58" i="3"/>
  <c r="G57" i="3"/>
  <c r="G56" i="3"/>
  <c r="G55" i="3"/>
  <c r="G54" i="3"/>
  <c r="G53" i="3"/>
  <c r="G52" i="3"/>
  <c r="G51" i="3"/>
  <c r="G50" i="3"/>
  <c r="G49" i="3"/>
  <c r="G48" i="3"/>
  <c r="G47" i="3"/>
  <c r="G46"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G7" i="3"/>
  <c r="G6" i="3"/>
  <c r="G5" i="3"/>
  <c r="G4" i="3"/>
  <c r="G3" i="3"/>
  <c r="G2" i="3"/>
</calcChain>
</file>

<file path=xl/sharedStrings.xml><?xml version="1.0" encoding="utf-8"?>
<sst xmlns="http://schemas.openxmlformats.org/spreadsheetml/2006/main" count="123256" uniqueCount="8748">
  <si>
    <t>Mã nông hộ</t>
  </si>
  <si>
    <t>Farmer Info</t>
  </si>
  <si>
    <t>A. HOUSEHOLD’S GENERAL DATA</t>
  </si>
  <si>
    <t>Ngày giờ phỏng vấn</t>
  </si>
  <si>
    <t>Tọa độ phỏng vấn</t>
  </si>
  <si>
    <t>Mã nhân viên phỏng vấn</t>
  </si>
  <si>
    <t>Tên xã</t>
  </si>
  <si>
    <t>Tên làng</t>
  </si>
  <si>
    <t>Người trả lời phỏng vấn</t>
  </si>
  <si>
    <t>Số điện thoại</t>
  </si>
  <si>
    <t>Tên chủ hộ</t>
  </si>
  <si>
    <t>Loại hình kinh tế của hộ</t>
  </si>
  <si>
    <t>Giới tính</t>
  </si>
  <si>
    <t>Năm sinh</t>
  </si>
  <si>
    <t>Dân tộc</t>
  </si>
  <si>
    <t>Quan hệ với chủ hộ</t>
  </si>
  <si>
    <t>Học vấn cao nhất</t>
  </si>
  <si>
    <t>Hộ có tham gia vào hợp tác xã không?</t>
  </si>
  <si>
    <t>Số năm trồng cà phê của hộ</t>
  </si>
  <si>
    <t xml:space="preserve">Trong 5 năm qua, hộ có chuyển đổi cây trồng canh tác từ cà phê sang cây khác không? </t>
  </si>
  <si>
    <t xml:space="preserve">Trong 5 năm qua, hộ có chuyển đổi cây trồng canh tác từ cây khác sang  cà phê không? </t>
  </si>
  <si>
    <t>Family Income</t>
  </si>
  <si>
    <t>B. FAMILY INCOMES</t>
  </si>
  <si>
    <t>Hộ tham gia vào những hoạt động sản xuất, kinh doanh tạo thu nhập nào</t>
  </si>
  <si>
    <t>Tổng thu nhập của hộ (thu nhập ròng)</t>
  </si>
  <si>
    <t>Tỷ trọng thu nhập từ nông nghiệp</t>
  </si>
  <si>
    <t>Thu nhập từ nông nghiệp (thu nhập ròng)</t>
  </si>
  <si>
    <t>Thu từ trồng trọt</t>
  </si>
  <si>
    <t>Thu nhập ròng từ Cà phê</t>
  </si>
  <si>
    <t>Thu nhập từ Cà phê</t>
  </si>
  <si>
    <t>Chi phí đầu tư cho Cà phê</t>
  </si>
  <si>
    <t>Thu nhập từ Trồng lúa</t>
  </si>
  <si>
    <t>Thu nhập từ Cây ăn trái</t>
  </si>
  <si>
    <t>Thu nhập từ Cây trồng khác</t>
  </si>
  <si>
    <t xml:space="preserve">Thu nhập từ </t>
  </si>
  <si>
    <t>Thu nhập từ  thủy sản</t>
  </si>
  <si>
    <t>Thu nhập từ chăn nuôi khác</t>
  </si>
  <si>
    <t>Thu nhập từ Lao động thường xuyên (được trả lương cố định hàng tháng)</t>
  </si>
  <si>
    <t>Thu nhập từ Lao động thời vụ (trả tiền công theo theo giờ/ngày/tuần)</t>
  </si>
  <si>
    <t>Thu nhập từ Tự kinh doanh</t>
  </si>
  <si>
    <t>Thu nhập từ Khác</t>
  </si>
  <si>
    <t>Land owner</t>
  </si>
  <si>
    <t>C. LAND TENURE &amp; FARMING SYSTEM</t>
  </si>
  <si>
    <t>Tổng diện tích sản xuất cà phê của hộ (Diện tích đất có trồng cà phê, bao gồm cả xen canh) (ha)</t>
  </si>
  <si>
    <t>Số mảnh trồng cà phê</t>
  </si>
  <si>
    <t>Thông tin chi tiết về đất đai sản xuất cà phê</t>
  </si>
  <si>
    <t>Trên thang điểm từ 1 đến 5, ông/bà đánh giá kiến thức của mình về chính sách sở hữu đất đai như thế nào?</t>
  </si>
  <si>
    <t>Trên thang điểm từ 1 đến 5, ông/bà đánh giá mức độ hiểu biết của mình về luật pháp của quốc gia liên quan đến việc phá rừng như thế nào?</t>
  </si>
  <si>
    <t>Có xung đột nào liên quan đến quyền sử dụng đất trên diện tích của ông/bà hoặc các trang trại lân cận không?</t>
  </si>
  <si>
    <t>Financing</t>
  </si>
  <si>
    <t>D. AGRICULTURAL FINANCING</t>
  </si>
  <si>
    <t>Khi cần vay vốn phục vụ sản xuất nông nghiệp, ông/bà thường tìm đến nguồn nào?</t>
  </si>
  <si>
    <t>Tên các nguồn tài chính khác</t>
  </si>
  <si>
    <t>Đánh giá của ông/bà về hình thức và điều kiện của khoản vay (lãi suất, thời hạn, thủ tục…) đối với hoạt động sản xuất của gia đình như thế nào?</t>
  </si>
  <si>
    <t>Ông/bà đã từng nghe hoặc biết đến các chương trình tài chính hỗ trợ phát triển (như DeveloPPP, iDPP, Quỹ hội phụ nữ, hội nông dân, vay ưu đãi ngân hàng chính sách,…) chưa?</t>
  </si>
  <si>
    <t>Ông/bà đã từng được cung cấp hoặc tiếp cận tài liệu/hướng dẫn về vay vốn và tiếp cận tài chính cho sản xuất nông nghiệp chưa?</t>
  </si>
  <si>
    <t>Ông/bà đã từng tiếp cận vay vốn cho sản xuất nông nghiệp chưa?</t>
  </si>
  <si>
    <t>(Nếu có) Khoản tín dụng đó được sử dụng cho hoạt động sản xuất nào?</t>
  </si>
  <si>
    <t>Khoản tín dụng được đứng tên vay dưới tên của ai trong gia đình?</t>
  </si>
  <si>
    <t>Tình trạng hoàn trả khoản tín dụng hiện nay như thế nào?</t>
  </si>
  <si>
    <t>Trong quá trình hoàn trả khoản vay, ông/bà gặp những khó khăn nào?</t>
  </si>
  <si>
    <t>Worker</t>
  </si>
  <si>
    <t>E. WORK CONDITION</t>
  </si>
  <si>
    <t>Gia đình ông/bà chủ yếu sử dụng loại lao động nào trong sản xuất cà phê?</t>
  </si>
  <si>
    <t>Độ tuổi của lao động thuê ngoài làm việc cho hộ gia đình chủ yếu thuộc nhóm nào?</t>
  </si>
  <si>
    <t>Thông thường, mỗi ngày lao động thuê ngoài làm việc tại vườn của hộ gia đình trong khoảng thời gian bao lâu?</t>
  </si>
  <si>
    <t>Theo ý kiến của ông/bà, trẻ em có nên tham gia chăm sóc sản xuất cà phê không?</t>
  </si>
  <si>
    <t>(Nếu trả lời "có" hoặc “có thể”) Lý do là gì?</t>
  </si>
  <si>
    <t>(Nếu trả lời “không”) Lý do là gì?</t>
  </si>
  <si>
    <t>Lý do khác</t>
  </si>
  <si>
    <t>Ông/bà đã từng nghe đến khái niệm “lao động trẻ em” chưa?</t>
  </si>
  <si>
    <t>Theo ông/bà, những yếu tố nào khiến trẻ em tham gia lao động trong nông nghiệp</t>
  </si>
  <si>
    <t>Nhân tố khác</t>
  </si>
  <si>
    <t>Theo quan sát của ông/bà, việc trẻ em tham gia lao động có thể dẫn đến những tác động nào sau đây? (có thể chọn nhiều phương án)</t>
  </si>
  <si>
    <t>Ảnh hưởng khác</t>
  </si>
  <si>
    <t>Phụ nữ có bị giới hạn gì trong việc tham gia sản xuất cà phê không?</t>
  </si>
  <si>
    <t>Nêu cụ thể</t>
  </si>
  <si>
    <t>Phụ nữ, thanh niên và người bản địa có nhận được bất kỳ sự hỗ trợ cụ thể nào từ các nhà cung cấp dịch vụ nông nghiệp để tăng cường vai trò của họ trong chuỗi cung ứng cà phê hay không ?</t>
  </si>
  <si>
    <t>Nếu có, : Đó là những nhà cung cấp dịch vụ nào?</t>
  </si>
  <si>
    <t>Business</t>
  </si>
  <si>
    <t>F. BUSINESS PARTNERSHIPS</t>
  </si>
  <si>
    <t>Tổng sản lượng (2025)</t>
  </si>
  <si>
    <t>Đơn vị (Tấn)</t>
  </si>
  <si>
    <t>Giá trị (triệu đồng)</t>
  </si>
  <si>
    <t>Sử dụng cà phê vào  (sử dụng đơn vị phía trên) (%)</t>
  </si>
  <si>
    <t>Tự tiêu dùng</t>
  </si>
  <si>
    <t>Sử dụng làm giống</t>
  </si>
  <si>
    <t>Bán trực tiếp cho người dùng</t>
  </si>
  <si>
    <t>Bán cho thương lái/thu gom</t>
  </si>
  <si>
    <t>Bán cho Hợp tác xã</t>
  </si>
  <si>
    <t>Bán cho Doanh nghiệp</t>
  </si>
  <si>
    <t>Phương thức giao dịch (%)</t>
  </si>
  <si>
    <t>Không hợp đồng</t>
  </si>
  <si>
    <t>Hợp đồng miêng</t>
  </si>
  <si>
    <t>Hợp đồng văn bản</t>
  </si>
  <si>
    <t>Giá bán cà phê phụ thuộc vào yếu tố nào?</t>
  </si>
  <si>
    <t>Các yếu tố khác</t>
  </si>
  <si>
    <t>Ông/bà có bị ép giá khi bán cà phê không?</t>
  </si>
  <si>
    <t>Cách bán cà phê</t>
  </si>
  <si>
    <t>Cách bán khác</t>
  </si>
  <si>
    <t>Phương thưc thanh toán trong giao dịch bán cà phê?</t>
  </si>
  <si>
    <t>Quá trình hợp tác, ông/bà đã nhận được và mong muốn nhận được hỗ trợ, thỏa thuận nào sau đây</t>
  </si>
  <si>
    <t>Hỗ trợ, tập huấn kỹ thuật</t>
  </si>
  <si>
    <t>Các khóa học và chương trình đào tạo do công ty/người mua cung cấp.</t>
  </si>
  <si>
    <t>Giảm giá đối với nguyên vật tư được cung cấp thông qua công ty/người mua.</t>
  </si>
  <si>
    <t>Hỗ trợ pháp lý về đất đai và môi trường do công ty/người mua cung cấp.</t>
  </si>
  <si>
    <t>Hợp đồng cố định với công ty/người mua.</t>
  </si>
  <si>
    <t>Đề nghị tín dụng từ phía công ty/người mua</t>
  </si>
  <si>
    <t>Giá bán được công ty/người mua đảm bảo.</t>
  </si>
  <si>
    <t>Tiền thưởng do công ty/người mua trả cho chứng nhận (hữu cơ/thương mại công bằng)</t>
  </si>
  <si>
    <t>Cung cấp thông tin cho công ty/người mua về vị trí thửa đất nơi trồng trọt (như dữ liệu GPS/bản đồ).</t>
  </si>
  <si>
    <t>Cung cấp thông tin cho công ty/người mua về các phương pháp canh tác nông nghiệp (như canh tác hữu cơ/không phá rừng/thực hành nông nghiệp bền vững).</t>
  </si>
  <si>
    <t>Cung cấp thông tin cho công ty/người mua về các khía cạnh xã hội (như tiền lương công bằng/quyền lao động, v.v.)</t>
  </si>
  <si>
    <t>Traceability</t>
  </si>
  <si>
    <t>G. TRACEABILITY &amp; SUSTAINABILITY</t>
  </si>
  <si>
    <t>Ông/bà  đã bao giờ nghe nói đến khả năng truy xuất nguồn gốc trong quá trình sản xuất cà phê chưa?</t>
  </si>
  <si>
    <t>Bên mua cà phê có yêu cầu cung cấp:</t>
  </si>
  <si>
    <t>Vị trí đất/GPS (1=Có;0=Không)</t>
  </si>
  <si>
    <t>Thông tin canh tác (1=Có;0=Không)</t>
  </si>
  <si>
    <t>Sản phẩm cà phê của ông bà đã áp dụng hình thức truy xuất nguồn gốc nào chưa?</t>
  </si>
  <si>
    <t>Nếu có, hãy mô tả về hệ thống truy xuất của ông bà</t>
  </si>
  <si>
    <t>Việc triển khai nền tảng truy xuất nguồn gốc này mang lại lợi ích gì cho ông/bà?</t>
  </si>
  <si>
    <t>a. Nâng cao chất lượng và an toàn sản phẩm</t>
  </si>
  <si>
    <t>b. Cải thiện tính minh bạch trong chuỗi cung ứng</t>
  </si>
  <si>
    <t>c. Tuân thủ quy định</t>
  </si>
  <si>
    <t>d. Nâng cao lòng tin của người tiêu dùng</t>
  </si>
  <si>
    <t>e. Thị trường an toàn hơn</t>
  </si>
  <si>
    <t>f. Tránh gian lận</t>
  </si>
  <si>
    <t>g. Quản lý khủng hoảng</t>
  </si>
  <si>
    <t>h. Sự công nhận của nhà sản xuất</t>
  </si>
  <si>
    <t>i. Lợi ích của người tiêu dùng (an toàn và chất lượng)</t>
  </si>
  <si>
    <t>k. Không thấy bất kỳ lợi ích nào</t>
  </si>
  <si>
    <t>j. Khác</t>
  </si>
  <si>
    <t>Chi tiết khác</t>
  </si>
  <si>
    <t>Theo đánh giá của ông bà, hệ thống truy xuất nguồn gốc có dễ áp dụng không?</t>
  </si>
  <si>
    <t>Nêu các khó khăn trong việc áp dụng hệ thống truy xuất nguồn gốc của hộ</t>
  </si>
  <si>
    <t>Nông nghiệp bền vững</t>
  </si>
  <si>
    <t>H. SUSTAINABLE AGRICULTURE</t>
  </si>
  <si>
    <t>Ông/bà đánh giá kiến thức của mình về các thực hành nông nghiệp bền vững như thế nào?</t>
  </si>
  <si>
    <t>Trong năm qua, hộ ông bà đã được tham gia bao nhiêu lớp tập huấn về thực hành nông nghiệp bền vững?</t>
  </si>
  <si>
    <t>Ông/bà có nắm được thông tin về các quy định về EUDR không?</t>
  </si>
  <si>
    <t>Nếu có, thông tin có được qua đâu</t>
  </si>
  <si>
    <t>Theo ông bà, đâu là kênh thông tin tiếp cận hiệu quả nhất đến ông bà</t>
  </si>
  <si>
    <t>Kênh khác</t>
  </si>
  <si>
    <t xml:space="preserve">Hình thức phổ biến thông tin hiệu quả nhất </t>
  </si>
  <si>
    <t>Ông/bà đã từng tham gia đào tạo/tiếp cận liên quan đến thực hành/quản lý nông nghiệp chưa?</t>
  </si>
  <si>
    <t>Ông/bà đã tiếp cận được với tài liệu nào về sản xuất cà phê, tuân thủ quy định sản xuất, quản lý rủi ro chưa</t>
  </si>
  <si>
    <t>Bộ tài liệu hướng dẫn kỹ thuật về tuân thủ EUDR</t>
  </si>
  <si>
    <t>Đánh giá</t>
  </si>
  <si>
    <t>Bộ tài liệu hướng dẫn liên quan phục vụ truy xuất nguồn gốc trong sản xuất, chế biến và xuất khẩu cà phê</t>
  </si>
  <si>
    <t>Bộ tài liệu hướng dẫn chuyển đổi vùng trồng cà phê có rủi ro sang phát triển bền vững</t>
  </si>
  <si>
    <t>Bộ tài liệu hướng dẫn khác: (Ghi rõ)</t>
  </si>
  <si>
    <t>Chi tiết</t>
  </si>
  <si>
    <t>Hiện nay, ông/bà có nhu cầu vay vốn để đầu tư, cải thiện sản xuất nhằm đáp ứng các yêu cầu của EUDR hay không?</t>
  </si>
  <si>
    <t>Ông bà đã được tiếp cận tài liệu, tập huấn về tài chính để giúp chuyển đổi chuỗi cung ứng đáp  ứng  yêu  cầu  EUDR chưa?</t>
  </si>
  <si>
    <t>Nếu có hãy Đánh giá chất lượng tài liệu/khóa tập huấn</t>
  </si>
  <si>
    <t>Restoration</t>
  </si>
  <si>
    <t>I. FOREST RESTORATION &amp; AGROFOREST</t>
  </si>
  <si>
    <t>Trong 4 năm qua, ông bà có chặt phá/phá rừng để sử dụng làm đất nông nghiệp không?</t>
  </si>
  <si>
    <t>Nếu ông bà đã khai hoang, ông bà đã khai hoang được bao nhiêu đất trong bốn năm qua? (ha)</t>
  </si>
  <si>
    <t>Ông bà có quan tâm đến việc khôi phục chức năng của rừng thông qua hệ thống nông lâm kết hợp trên đất của mình không?</t>
  </si>
  <si>
    <t>Ông bà đã bao giờ nhận được đào tạo nâng cao năng lực về quản lý rừng/nông lâm kết hợp chưa?</t>
  </si>
  <si>
    <t>Ai là người đào tạo nâng cao năng lực cho ông/bà?</t>
  </si>
  <si>
    <t>Đào tạo khác</t>
  </si>
  <si>
    <t>Theo ông bà, những yếu tố chính nào gây ra nạn phá rừng/phá rừng ở khu vực?</t>
  </si>
  <si>
    <t>Nguyên nhân khác</t>
  </si>
  <si>
    <t>Assessment</t>
  </si>
  <si>
    <t>J. ASSESSMENT &amp; SUPPORT NEEDS</t>
  </si>
  <si>
    <t>Khó khăn lớn nhất của hộ để đáp ứng EUDR là gì?</t>
  </si>
  <si>
    <t>Ông/bà mong muốn dự án SAFE hỗ trợ nội dung nào?</t>
  </si>
  <si>
    <t>Pháp lý đất đai</t>
  </si>
  <si>
    <t>Truy xuất nguồn gốc</t>
  </si>
  <si>
    <t>Kỹ thuật canh tác</t>
  </si>
  <si>
    <t>Kết nối doanh nghiệp</t>
  </si>
  <si>
    <t>Khác (ghi rõ)</t>
  </si>
  <si>
    <t>Update</t>
  </si>
  <si>
    <t>GL04-XP_01-080120260917</t>
  </si>
  <si>
    <t>0.000000, 0.000000</t>
  </si>
  <si>
    <t>Hoàng Văn Minh</t>
  </si>
  <si>
    <t>Đăk Đoa</t>
  </si>
  <si>
    <t>Tuơh</t>
  </si>
  <si>
    <t>Si Win</t>
  </si>
  <si>
    <t>Bình thường</t>
  </si>
  <si>
    <t>Nam</t>
  </si>
  <si>
    <t>Ba Na</t>
  </si>
  <si>
    <t>Chủ hộ</t>
  </si>
  <si>
    <t>Hết cấp 2</t>
  </si>
  <si>
    <t>Có</t>
  </si>
  <si>
    <t>Không</t>
  </si>
  <si>
    <t>Trung bình</t>
  </si>
  <si>
    <t>Ngân hàng</t>
  </si>
  <si>
    <t>Rất hữu ích</t>
  </si>
  <si>
    <t>Đã nghe nhưng chưa tham gia</t>
  </si>
  <si>
    <t>Cà phê</t>
  </si>
  <si>
    <t>Chồng</t>
  </si>
  <si>
    <t>Đã trả một phần</t>
  </si>
  <si>
    <t>Không gặp khó khăn</t>
  </si>
  <si>
    <t>Kết hợp cả hai</t>
  </si>
  <si>
    <t>Trên 30 tuổi</t>
  </si>
  <si>
    <t>Từ 4 giờ đến 8 giờ/ngày</t>
  </si>
  <si>
    <t xml:space="preserve">Ảnh hưởng học tập, phát triển và vui chơi 
của trẻ
</t>
  </si>
  <si>
    <t>Tăng thu nhập gia đình, Giúp gia đình cải thiện kinh tế</t>
  </si>
  <si>
    <t>Giảm động lực học tập, Kết quả học tập kém/ngừng học</t>
  </si>
  <si>
    <t>Không biết</t>
  </si>
  <si>
    <t>Cung cầu thị trường</t>
  </si>
  <si>
    <t>Bán sau sấy</t>
  </si>
  <si>
    <t>Trả ngay</t>
  </si>
  <si>
    <t>Đã nhận được, Mong muốn hỗ trợ</t>
  </si>
  <si>
    <t>Mong muốn hỗ trợ</t>
  </si>
  <si>
    <t>Đồng ý</t>
  </si>
  <si>
    <t>Đơn vị cung cấp dịch vụ</t>
  </si>
  <si>
    <t>Dễ</t>
  </si>
  <si>
    <t>Thành thạo</t>
  </si>
  <si>
    <t>Doanh nghiệp, Chính quyền, Internet, Báo, đài, tivi</t>
  </si>
  <si>
    <t>Doanh nghiệp</t>
  </si>
  <si>
    <t>Tốt</t>
  </si>
  <si>
    <t>Có nhu cầu</t>
  </si>
  <si>
    <t>Chính quyền huyện/tỉnh, Hợp tác xã, Công ty tư nhân, Người mua hàng hóa, Các tổ chức phi chính phủ</t>
  </si>
  <si>
    <t>Mở rộng diện tích cà phê, Mở rộng diện tích chăn nuôi, Phát triển cơ sở hạ tầng</t>
  </si>
  <si>
    <t>Rất cần thiết</t>
  </si>
  <si>
    <t>GL04-XP_01-080120260935</t>
  </si>
  <si>
    <t>Võ Thị Hương</t>
  </si>
  <si>
    <t>Phạm Văn Hiếu</t>
  </si>
  <si>
    <t>Nữ</t>
  </si>
  <si>
    <t>Kinh</t>
  </si>
  <si>
    <t>Vợ/Chồng</t>
  </si>
  <si>
    <t>Hết cấp 3</t>
  </si>
  <si>
    <t>Ảnh hưởng học tập, phát triển và vui chơi 
của trẻ
, Gây nguy hiểm cho sức khỏe và an toàn của trẻ</t>
  </si>
  <si>
    <t>Giảm động lực học tập, Thiếu thời gian học tập, vui chơi, Kết quả học tập kém/ngừng học</t>
  </si>
  <si>
    <t>Cung cầu thị trường, Thời tiết</t>
  </si>
  <si>
    <t>Tập huấn</t>
  </si>
  <si>
    <t>Chính quyền huyện/tỉnh, Hợp tác xã, Công ty tư nhân, Các tổ chức phi chính phủ</t>
  </si>
  <si>
    <t>Mở rộng diện tích cà phê, Phát triển cơ sở hạ tầng, Tăng trưởng dân số, Khai thác gỗ trái phép</t>
  </si>
  <si>
    <t>Cần thiết</t>
  </si>
  <si>
    <t>GL04-XP_01-080120261412</t>
  </si>
  <si>
    <t>Bích</t>
  </si>
  <si>
    <t>By Ôn</t>
  </si>
  <si>
    <t>Con</t>
  </si>
  <si>
    <t>Biết sơ bộ</t>
  </si>
  <si>
    <t>Doanh nghiệp thu mua nông sản</t>
  </si>
  <si>
    <t>Lao động gia đình</t>
  </si>
  <si>
    <t>Tăng thu nhập gia đình</t>
  </si>
  <si>
    <t>Giảm động lực học tập, Thiếu thời gian học tập, vui chơi, Kết quả học tập kém/ngừng học, Ảnh hưởng sức khỏe (mệt mỏi, chóng mặt…)</t>
  </si>
  <si>
    <t>Chính quyền huyện/tỉnh, Công ty tư nhân, Người mua hàng hóa, Các tổ chức phi chính phủ</t>
  </si>
  <si>
    <t>GL04-XP_01-080120261435</t>
  </si>
  <si>
    <t>Khảo</t>
  </si>
  <si>
    <t>Byĩn</t>
  </si>
  <si>
    <t>Ngân hàng, Doanh nghiệp thu mua nông sản</t>
  </si>
  <si>
    <t>Thiếu thời gian học tập, vui chơi</t>
  </si>
  <si>
    <t>Bán sau sấy, Tích trữ khi được giá</t>
  </si>
  <si>
    <t>Mở rộng diện tích cà phê, Mở rộng diện tích chăn nuôi, Phát triển cơ sở hạ tầng, Tăng trưởng dân số, Khai thác gỗ trái phép</t>
  </si>
  <si>
    <t>GL04-XP_01-080120261501</t>
  </si>
  <si>
    <t>Guih</t>
  </si>
  <si>
    <t>Chưa từng nghe</t>
  </si>
  <si>
    <t>Kết quả học tập kém/ngừng học</t>
  </si>
  <si>
    <t>Chính quyền</t>
  </si>
  <si>
    <t>Chính quyền huyện/tỉnh, Hợp tác xã, Công ty tư nhân</t>
  </si>
  <si>
    <t>GL04-XP_01-080120261540</t>
  </si>
  <si>
    <t>Xưng</t>
  </si>
  <si>
    <t>Đưn</t>
  </si>
  <si>
    <t>Hữu ích</t>
  </si>
  <si>
    <t>Giúp gia đình cải thiện kinh tế</t>
  </si>
  <si>
    <t>Chất lượng cà phê, Cung cầu thị trường, Thời tiết</t>
  </si>
  <si>
    <t>Chưa xác định</t>
  </si>
  <si>
    <t>GL04-XP_01-080120261636</t>
  </si>
  <si>
    <t>Bĩn</t>
  </si>
  <si>
    <t>GL04-XP_01-080120261713</t>
  </si>
  <si>
    <t>Nglan</t>
  </si>
  <si>
    <t>Anêng</t>
  </si>
  <si>
    <t>Cận nghèo</t>
  </si>
  <si>
    <t>Hết cấp 1</t>
  </si>
  <si>
    <t>Nguồn khác (vui lòng ghi rõ)</t>
  </si>
  <si>
    <t>Chưa vay vốn bao giờ</t>
  </si>
  <si>
    <t>Đã nhận được</t>
  </si>
  <si>
    <t>Chính quyền huyện/tỉnh, Công ty tư nhân</t>
  </si>
  <si>
    <t>Mở rộng diện tích cà phê, Tăng trưởng dân số, Khai thác gỗ trái phép</t>
  </si>
  <si>
    <t>Kiến thức về EUDR</t>
  </si>
  <si>
    <t>GL04-XP_01-080120261743</t>
  </si>
  <si>
    <t>Hyach</t>
  </si>
  <si>
    <t>Vợ</t>
  </si>
  <si>
    <t>Chưa trả</t>
  </si>
  <si>
    <t>Bán tươi sau thu hoạch, Bán sau sấy</t>
  </si>
  <si>
    <t>Tăng trưởng dân số, Khai thác gỗ trái phép</t>
  </si>
  <si>
    <t>GL04-XP_01-080120261829</t>
  </si>
  <si>
    <t>Băk</t>
  </si>
  <si>
    <t>Gia đình chưa vay vốn phục vụ sản xuất nông nghiệp</t>
  </si>
  <si>
    <t>Ngày nghỉ học đi theo bố mẹ thu hái cà phê để học hỏi, vui chơi</t>
  </si>
  <si>
    <t>Không rõ/không biết</t>
  </si>
  <si>
    <t>Khác (Ghi rõ)</t>
  </si>
  <si>
    <t>Chưa tham gia tập huấn</t>
  </si>
  <si>
    <t>Chính quyền huyện/tỉnh</t>
  </si>
  <si>
    <t>Khác</t>
  </si>
  <si>
    <t>GL06-XP_01-080120260910</t>
  </si>
  <si>
    <t>Phan Doãn Vọng</t>
  </si>
  <si>
    <t>Groi Wết</t>
  </si>
  <si>
    <t>KLỗi</t>
  </si>
  <si>
    <t>Đã tham gia</t>
  </si>
  <si>
    <t>Đã trả hết</t>
  </si>
  <si>
    <t>TL3_1</t>
  </si>
  <si>
    <t>Chưa nhận được</t>
  </si>
  <si>
    <t>Chưa nhận được, Mong muốn hỗ trợ</t>
  </si>
  <si>
    <t>Không mong muốn hỗ trợ</t>
  </si>
  <si>
    <t>Khó</t>
  </si>
  <si>
    <t>Sợ không đến được mình.</t>
  </si>
  <si>
    <t>Tăng trưởng dân số</t>
  </si>
  <si>
    <t>GL06-XP_01-080120260925</t>
  </si>
  <si>
    <t>GRoi Wết</t>
  </si>
  <si>
    <t>A Lun</t>
  </si>
  <si>
    <t>Tiêu</t>
  </si>
  <si>
    <t>Gây nguy hiểm cho sức khỏe và an toàn của trẻ</t>
  </si>
  <si>
    <t>Sức khoẻ yếu</t>
  </si>
  <si>
    <t>Cung cấp dịch vụ thương mại nhanh chóng hơn</t>
  </si>
  <si>
    <t>Bán cây</t>
  </si>
  <si>
    <t>Phát triển cơ sở hạ tầng</t>
  </si>
  <si>
    <t>.</t>
  </si>
  <si>
    <t>GL06-XP_01-080120260927</t>
  </si>
  <si>
    <t>HNgễ</t>
  </si>
  <si>
    <t>H Ngễ</t>
  </si>
  <si>
    <t>Macca</t>
  </si>
  <si>
    <t>Công ty tư nhân</t>
  </si>
  <si>
    <t>GL06-XP_01-080120260937</t>
  </si>
  <si>
    <t>Groi Vết</t>
  </si>
  <si>
    <t>B Rưm</t>
  </si>
  <si>
    <t>Brưm</t>
  </si>
  <si>
    <t>Có thêm tiền tiêu vặt, Giúp gia đình cải thiện kinh tế</t>
  </si>
  <si>
    <t>Ảnh hưởng sức khỏe (mệt mỏi, chóng mặt…), Giảm khả năng tập trung/ghi nhớ</t>
  </si>
  <si>
    <t>Không phun thuốc</t>
  </si>
  <si>
    <t>Người mua hàng hóa</t>
  </si>
  <si>
    <t>GL06-XP_01-080120261008</t>
  </si>
  <si>
    <t>GRoi Vết</t>
  </si>
  <si>
    <t>Bonh</t>
  </si>
  <si>
    <t>HNhưng</t>
  </si>
  <si>
    <t>Gánh nặng</t>
  </si>
  <si>
    <t>Lãi suất cao</t>
  </si>
  <si>
    <t>Giúp đỡ cha mẹ, Giảm chi phí thuê lao động</t>
  </si>
  <si>
    <t>Làm được</t>
  </si>
  <si>
    <t>Không biết để thực hiện</t>
  </si>
  <si>
    <t>GL06-XP_01-080120261053</t>
  </si>
  <si>
    <t>Tônh</t>
  </si>
  <si>
    <t>Chương trình của Nhà nước, Nguồn khác (vui lòng ghi rõ)</t>
  </si>
  <si>
    <t>Bố mẹ</t>
  </si>
  <si>
    <t>Có thể</t>
  </si>
  <si>
    <t>Giúp đỡ cha mẹ</t>
  </si>
  <si>
    <t>Chất lượng cà phê, Cung cầu thị trường</t>
  </si>
  <si>
    <t>GL06-XP_01-080120261114</t>
  </si>
  <si>
    <t>Y Mill</t>
  </si>
  <si>
    <t>Tiêu, Sầu riêng</t>
  </si>
  <si>
    <t>Phụ nữ làm được tất cả các việc</t>
  </si>
  <si>
    <t>Chưa rõ lắm chỉ chú trọng về kỹ thuật chăm bón</t>
  </si>
  <si>
    <t>GL06-XP_01-080120261322</t>
  </si>
  <si>
    <t>HTheo</t>
  </si>
  <si>
    <t>GYêu</t>
  </si>
  <si>
    <t>Khá</t>
  </si>
  <si>
    <t>Trung gian / bên thứ ba</t>
  </si>
  <si>
    <t>Phát triển cơ sở hạ tầng, Tăng trưởng dân số</t>
  </si>
  <si>
    <t>GL06-XP_01-080120261349</t>
  </si>
  <si>
    <t>Pyưng</t>
  </si>
  <si>
    <t>Gia đình, người thân</t>
  </si>
  <si>
    <t>Ảnh hưởng sức khỏe (mệt mỏi, chóng mặt…), Không rõ/không biết</t>
  </si>
  <si>
    <t>GL06-XP_01-080120261413</t>
  </si>
  <si>
    <t>Pyoi</t>
  </si>
  <si>
    <t>Pyay</t>
  </si>
  <si>
    <t>Ảnh hưởng sức khỏe (mệt mỏi, chóng mặt…), Ít bạn bè</t>
  </si>
  <si>
    <t>O</t>
  </si>
  <si>
    <t>GL06-XP_01-080120261518</t>
  </si>
  <si>
    <t>MLô</t>
  </si>
  <si>
    <t>Việc nặng nhọc, phun thuốc</t>
  </si>
  <si>
    <t>Mở rộng diện tích cà phê, Tăng trưởng dân số</t>
  </si>
  <si>
    <t>GL06-XP_01-080120261551</t>
  </si>
  <si>
    <t>Groi W ết</t>
  </si>
  <si>
    <t>Đinh</t>
  </si>
  <si>
    <t>Đâu</t>
  </si>
  <si>
    <t>Tiêu, Mac ca, Sầu riêng</t>
  </si>
  <si>
    <t>Giảm động lực học tập, Ảnh hưởng sức khỏe (mệt mỏi, chóng mặt…), Không rõ/không biết</t>
  </si>
  <si>
    <t>Làm được hết tất cả các việc</t>
  </si>
  <si>
    <t>GL06-XP_01-080120261728</t>
  </si>
  <si>
    <t>Tuơh KLah</t>
  </si>
  <si>
    <t>UÊ</t>
  </si>
  <si>
    <t>Uê</t>
  </si>
  <si>
    <t>Tiêu, Sầu</t>
  </si>
  <si>
    <t>Hợp tác xã / Quỹ tín dụng</t>
  </si>
  <si>
    <t>Không làm việc năng, Phun tuốc</t>
  </si>
  <si>
    <t>Doanh nghiệp, Báo, đài, tivi</t>
  </si>
  <si>
    <t>Kỹ thuật ủ vỏ cà phê</t>
  </si>
  <si>
    <t>GL06-XP_01-080120261821</t>
  </si>
  <si>
    <t>Tuơh KTu</t>
  </si>
  <si>
    <t>Thuơn</t>
  </si>
  <si>
    <t>PLưnh</t>
  </si>
  <si>
    <t>Tiêu (1, 5 tấn)</t>
  </si>
  <si>
    <t>Kết quả học tập kém/ngừng học, Ảnh hưởng sức khỏe (mệt mỏi, chóng mặt…)</t>
  </si>
  <si>
    <t>Làm tất cả</t>
  </si>
  <si>
    <t>Cung cấp lao động, tài chính, ...</t>
  </si>
  <si>
    <t>Internet, Báo, đài, tivi</t>
  </si>
  <si>
    <t>Internet</t>
  </si>
  <si>
    <t>Mạng xã hội</t>
  </si>
  <si>
    <t>Không có nhu cầu</t>
  </si>
  <si>
    <t>GL01-XP_01-080120260923</t>
  </si>
  <si>
    <t>13.943113, 108.116497</t>
  </si>
  <si>
    <t>Võ Hoàng Nguyên</t>
  </si>
  <si>
    <t>Groi wet</t>
  </si>
  <si>
    <t>Hnhưng</t>
  </si>
  <si>
    <t>Ảnh hưởng sức khỏe (mệt mỏi, chóng mặt…)</t>
  </si>
  <si>
    <t>Không có hạn chế</t>
  </si>
  <si>
    <t>Người dân chưa được hướng dẫn, thiếu kiến thức</t>
  </si>
  <si>
    <t>Khó truy xuất nguồn gốc, không biết thực hiện vì trình độ hiểu biết còn hạn chế</t>
  </si>
  <si>
    <t>Hỗ trợ dân bán cà phê giá cao, phát triển kinh tế</t>
  </si>
  <si>
    <t>GL01-XP_01-080120260943</t>
  </si>
  <si>
    <t>Pyưnh</t>
  </si>
  <si>
    <t>Không có số điện thoại</t>
  </si>
  <si>
    <t>Hnhư</t>
  </si>
  <si>
    <t>Tăng thu nhập gia đình, Học hỏi kinh nghiệm/kỹ năng, Giúp gia đình cải thiện kinh tế</t>
  </si>
  <si>
    <t>Phụ nữ lao động bình thường không có hạn chế gì</t>
  </si>
  <si>
    <t>Người dân thiếu kiến thức, không biết làm việc liên quan đến giấy tờ</t>
  </si>
  <si>
    <t>Chưa được tiếp cận, chưa năm được các quy định về EUDR</t>
  </si>
  <si>
    <t>Hỗ trợ cây giống, phân bón cho người dân trồng cà phê</t>
  </si>
  <si>
    <t>GL01-XP_01-080120260958</t>
  </si>
  <si>
    <t>13.943149, 108.116024</t>
  </si>
  <si>
    <t>Hlok</t>
  </si>
  <si>
    <t>Thuốt</t>
  </si>
  <si>
    <t>Phụ nữ và đàn ông lao động bình thường giống nhau, không giới hạn gì</t>
  </si>
  <si>
    <t>Người dân không có kiến thức để thực hiện</t>
  </si>
  <si>
    <t>Chưa được tiếp cận</t>
  </si>
  <si>
    <t>Mòng muống dự án hỗ trợ người dân phát triển cà phê và bán giá trị cao hơn để cải thiện kinh tế</t>
  </si>
  <si>
    <t>GL02-XP_01-080120261608</t>
  </si>
  <si>
    <t>13.943420, 108.118956</t>
  </si>
  <si>
    <t>Lê Đình Duy</t>
  </si>
  <si>
    <t>Groi wêt</t>
  </si>
  <si>
    <t>Bơnh</t>
  </si>
  <si>
    <t>Yơnh</t>
  </si>
  <si>
    <t>Hỗ trợ bố mẹ</t>
  </si>
  <si>
    <t>Chưa nhận được, Không mong muốn hỗ trợ</t>
  </si>
  <si>
    <t>Chưa biết gì về truy xuất nguồn gốc</t>
  </si>
  <si>
    <t>Khai thác gỗ trái phép</t>
  </si>
  <si>
    <t>Chưa biết gì về EUDR</t>
  </si>
  <si>
    <t>GL01-XP_01-080120260828</t>
  </si>
  <si>
    <t>13.944732, 108.120076</t>
  </si>
  <si>
    <t>Tưng</t>
  </si>
  <si>
    <t>PRơn</t>
  </si>
  <si>
    <t>Phụ nữ và đàn ông đều lao động giống nhau, không có hạn chế gì</t>
  </si>
  <si>
    <t>Chưa được hướng dẫn thực hiện</t>
  </si>
  <si>
    <t>Người dân thiếu kiến thức và kỹ năng lập sổ sách theo giỏi</t>
  </si>
  <si>
    <t>Khó khăn vì chưa được hướng dẫn và tập huấn hỗ trợ</t>
  </si>
  <si>
    <t>Hướng dẫn người dân canh tác và bán sản phẩm giá cao</t>
  </si>
  <si>
    <t>GL01-XP_01-080120261057</t>
  </si>
  <si>
    <t>13.945008, 108.119324</t>
  </si>
  <si>
    <t>Groi viết</t>
  </si>
  <si>
    <t>ALũn</t>
  </si>
  <si>
    <t>ALũng</t>
  </si>
  <si>
    <t>Thời hạn/lịch trả nợ không phù hợp</t>
  </si>
  <si>
    <t>Giúp đỡ cha mẹ, Truyền thống gia đình, Giảm chi phí thuê lao động</t>
  </si>
  <si>
    <t>Không mang vác và vận chuyển được cà phê</t>
  </si>
  <si>
    <t>Người dân thiếu kiến thức, trình độ hạn chế, không biết lập sổ sách theo giỏi</t>
  </si>
  <si>
    <t>Chưa biết về EUDR</t>
  </si>
  <si>
    <t>Hỗ trợ cây giống và phân bón để phát triển cà phê; Hỗ trợ bán cà phê giá cao</t>
  </si>
  <si>
    <t>GL01-XP_01-080120261124</t>
  </si>
  <si>
    <t>13.945041, 108.119572</t>
  </si>
  <si>
    <t>Groi wiet</t>
  </si>
  <si>
    <t>Byeu</t>
  </si>
  <si>
    <t>Giảm động lực học tập</t>
  </si>
  <si>
    <t>Lao động bình thường, không hạn chế</t>
  </si>
  <si>
    <t>Người dân chưa được hướng dẫn thực hiện cụ thể, thiếu kiến thức nên khó thực hiện</t>
  </si>
  <si>
    <t>Chưa biết đến EUDR</t>
  </si>
  <si>
    <t>Hỗ trợ người dân bán cà phê giá cao</t>
  </si>
  <si>
    <t>GL02-XP_01-080120261531</t>
  </si>
  <si>
    <t>13.946085, 108.120052</t>
  </si>
  <si>
    <t>Khich</t>
  </si>
  <si>
    <t>Hỗ trợ bố mẹ các việc nhè nhàng những lúc rảnh rổi</t>
  </si>
  <si>
    <t>Khác (ghi rõ) Ghi sổ tay thủ công, dùng ứng dụng điện thoại (IoT), có thể biết chính xác cà phê từ cây nào, vườn nào hay chỉ biết từ hộ gia đình nào</t>
  </si>
  <si>
    <t>Ghi chép thủ công</t>
  </si>
  <si>
    <t>Khai thác gỗ trái phép, Khác</t>
  </si>
  <si>
    <t>Mỡ rộng diện tích rừng trồng, diện tích cao su</t>
  </si>
  <si>
    <t>Chưa biết thông tin gì về EUDR</t>
  </si>
  <si>
    <t>GL02-XP_01-080120261319</t>
  </si>
  <si>
    <t>13.946189, 108.121213</t>
  </si>
  <si>
    <t>Maksi</t>
  </si>
  <si>
    <t>Klêm</t>
  </si>
  <si>
    <t>Gia đình, người thân, Ngân hàng</t>
  </si>
  <si>
    <t>Giúp đỡ bố mẹ lúc rảnh rổi</t>
  </si>
  <si>
    <t>GL07-XP_01-080120261654</t>
  </si>
  <si>
    <t>13.946281, 108.127687</t>
  </si>
  <si>
    <t>Nguyễn Văn Minh</t>
  </si>
  <si>
    <t>Groi 1</t>
  </si>
  <si>
    <t>Thũ</t>
  </si>
  <si>
    <t>B Lẽm</t>
  </si>
  <si>
    <t>Học hỏi kinh nghiệm/kỹ năng</t>
  </si>
  <si>
    <t>Giảm động lực học tập, Kết quả học tập kém/ngừng học, Ảnh hưởng sức khỏe (mệt mỏi, chóng mặt…), Giảm khả năng tập trung/ghi nhớ</t>
  </si>
  <si>
    <t>sức khỏe yếu không tham gia các việc nặng và độc hại như phun thuốc, phát cỏ</t>
  </si>
  <si>
    <t>phải nhờ người ghi sổ nhật ký nông hộ, nên đôi khi không nhớ đã đầu tư gì, không ghi được đầy đủ</t>
  </si>
  <si>
    <t>Mở rộng diện tích cà phê</t>
  </si>
  <si>
    <t>Thiếu thông tin và tài liệu hướng dẫn, việc truy xuất nguôn gốc và theo dõi hồ sơ sản xuất, cung cấp hồ sơ mua bán phức tạp</t>
  </si>
  <si>
    <t>Không cần thiết</t>
  </si>
  <si>
    <t>GL02-XP_01-080120261409</t>
  </si>
  <si>
    <t>13.946325, 108.121781</t>
  </si>
  <si>
    <t>Hmưp</t>
  </si>
  <si>
    <t>Giúp đỡ gia đình vào những thời gian rảnh rổi, không học tập</t>
  </si>
  <si>
    <t>Thiếu thời gian học tập, vui chơi, Kết quả học tập kém/ngừng học, Ảnh hưởng sức khỏe (mệt mỏi, chóng mặt…)</t>
  </si>
  <si>
    <t>Rất khó</t>
  </si>
  <si>
    <t>Chưa biết thông tin gì về truy xuất nguồn gốc</t>
  </si>
  <si>
    <t>Chưa bao giờ nghe tới EUDR</t>
  </si>
  <si>
    <t>GL02-XP_01-080120261433</t>
  </si>
  <si>
    <t>13.946328, 108.121785</t>
  </si>
  <si>
    <t>Hiệp</t>
  </si>
  <si>
    <t>Giảm động lực học tập, Thiếu thời gian học tập, vui chơi</t>
  </si>
  <si>
    <t>GL07-XP_01-080120261637</t>
  </si>
  <si>
    <t>13.946393, 108.127710</t>
  </si>
  <si>
    <t>GRoi 1</t>
  </si>
  <si>
    <t>B Lũ</t>
  </si>
  <si>
    <t>Tưừ 15 - 30 tuổi</t>
  </si>
  <si>
    <t>Thiếu thời gian học tập, vui chơi, Kết quả học tập kém/ngừng học, Giảm khả năng tập trung/ghi nhớ, Giảm động lực học tập, Ảnh hưởng sức khỏe (mệt mỏi, chóng mặt…)</t>
  </si>
  <si>
    <t>không làm được những công việc nặng nhọc, như phát cỏ bằng máy, phun thuốc trừ sâu, bệnh, không khuân vác nặng dduwjowjc khi thu hái</t>
  </si>
  <si>
    <t>an toàn lao động, kỹ thuật sản xuất cà phê chứng nhận 4c</t>
  </si>
  <si>
    <t>Cung cầu thị trường, Chất lượng cà phê</t>
  </si>
  <si>
    <t>Mong muốn hỗ trợ, Đã nhận được</t>
  </si>
  <si>
    <t xml:space="preserve">sản xuất cà phê 4c theo công ty vĩnh hiệp, </t>
  </si>
  <si>
    <t>không thường xuyên ghi chép sổ nhật ký vì đi làm về mệt, không nhớ đầy đủ chi phí đầu tư</t>
  </si>
  <si>
    <t>Thiếu thông tin, kiến thức về các quy định của EUDR, mong được các ngành, công ty hỗ trợ</t>
  </si>
  <si>
    <t>kỹ thuật sản xuất cà phê đạt năng suất khi thời tiết khắc nghiêt ( trong mùa mưa thì mưa quá nhiều, trong mùa nắng thì khô hạn thiếu nước tưới</t>
  </si>
  <si>
    <t>GL02-XP_01-080120261446</t>
  </si>
  <si>
    <t>13.946810, 108.123759</t>
  </si>
  <si>
    <t>Pyên</t>
  </si>
  <si>
    <t>Hoàng văn Cao</t>
  </si>
  <si>
    <t>Học hỏi kinh nghiệm/kỹ năng, Giúp gia đình cải thiện kinh tế</t>
  </si>
  <si>
    <t>Giảm động lực học tập, Thiếu thời gian học tập, vui chơi, Ảnh hưởng sức khỏe (mệt mỏi, chóng mặt…)</t>
  </si>
  <si>
    <t>GL01-XP_01-080120261449</t>
  </si>
  <si>
    <t>13.948111, 108.126006</t>
  </si>
  <si>
    <t>Anưr</t>
  </si>
  <si>
    <t>Lao động bình thường không hạn chế</t>
  </si>
  <si>
    <t>Sổ tay thủ công, biết cà phê đến từng hộ dân</t>
  </si>
  <si>
    <t>Hộ dân không biết thông tin, không biết cách theo giỏi sổ sách giấy tờ</t>
  </si>
  <si>
    <t>Thiếu thông tin và quy định của pháp luật, khả năng có hạn</t>
  </si>
  <si>
    <t>Mong muốn dự án hỗ trợ nâng cao nhận thức cho người dân, phát triển mô hình cà phê giá trị cao</t>
  </si>
  <si>
    <t>GL02-XP_01-080120260857</t>
  </si>
  <si>
    <t>13.948229, 108.128283</t>
  </si>
  <si>
    <t>Groi1</t>
  </si>
  <si>
    <t>Uưng</t>
  </si>
  <si>
    <t>Cả 2 vợ chồng cùng làm như nhau</t>
  </si>
  <si>
    <t>Chưa hiểu gì về truy xuất nguồn gốc</t>
  </si>
  <si>
    <t>Tài liệu hướng dẫn kỹ thuật trồng, chăm sóc cây cà phê</t>
  </si>
  <si>
    <t>Mở rộng diện tích rừng trồng</t>
  </si>
  <si>
    <t>Chưa có thông tin và hiểu biết gì về EUDR</t>
  </si>
  <si>
    <t>Vị trí toạ độ thửa đất, bản đồ, tập huấn các quy định</t>
  </si>
  <si>
    <t>GL02-XP_01-080120261010</t>
  </si>
  <si>
    <t>13.948388, 108.128149</t>
  </si>
  <si>
    <t>Yưm</t>
  </si>
  <si>
    <t>Giúp đỡ bố mẹ</t>
  </si>
  <si>
    <t>Chưa từng nghe tới EUDR</t>
  </si>
  <si>
    <t>GL07-XP_01-080120260941</t>
  </si>
  <si>
    <t>13.948440, 108.128311</t>
  </si>
  <si>
    <t>Thưi</t>
  </si>
  <si>
    <t>Thơp</t>
  </si>
  <si>
    <t>Ảnh hưởng học tập, phát triển và vui chơi 
của trẻ
, Lý do khác</t>
  </si>
  <si>
    <t>muốn cho con dành sức khỏa và thời gian cho học tập</t>
  </si>
  <si>
    <t>do phải làm công việc nội trợ nên không thể tham gia những công việc năng nhọc trong sản xuất cà phê</t>
  </si>
  <si>
    <t>giới trong sản xuất cà phê bền vững thích ứng với biến đổi khí hâu, kỹ thuật sản xuất cà phê</t>
  </si>
  <si>
    <t>Năm bắt đầu áp dụng</t>
  </si>
  <si>
    <t>thay đổi tập quán canh tác trước đây ( phụ thuộc nhiều và sử dụng phân bón vô cơ nay thay thế dần bằng phân bón hữu cơ ) áp dụng phương pháp quản lý sâu bệnh hại tổng hợp, đặc biệt là thường xuyên ghi chép nhật ký nông hộ</t>
  </si>
  <si>
    <t>gia đình đông con đất đai ít, sản lượng cà phê của gia đình không đủ nuôi con, nhưng gia đình cố gắng nuôi con ăn học để không phụ thuộc vào nông nghiệp</t>
  </si>
  <si>
    <t>GL02-XP_01-080120260946</t>
  </si>
  <si>
    <t>13.948444, 108.128191</t>
  </si>
  <si>
    <t>Pem</t>
  </si>
  <si>
    <t>Mluh</t>
  </si>
  <si>
    <t>Chương trình của Nhà nước</t>
  </si>
  <si>
    <t>Chưa nghe nói tới EUDR</t>
  </si>
  <si>
    <t>GL07-XP_01-080120260850</t>
  </si>
  <si>
    <t>13.948451, 108.128264</t>
  </si>
  <si>
    <t>thôn GRoi 1</t>
  </si>
  <si>
    <t>Luũn</t>
  </si>
  <si>
    <t>Thiếu thời gian học tập, vui chơi, Kết quả học tập kém/ngừng học</t>
  </si>
  <si>
    <t>do sức khỏe yếu không thể làm được việc năng trong sản xuất cà phê</t>
  </si>
  <si>
    <t>được tham gia sản xuất cà phê theo tiêu chuẩn 4c, ghi chéo phật ký nông hộ, áp dung biện pháp phòng trừ sâu, bệnh hai tổng hợp, quản lý cỏ dại ( không phun thuốc trừ cỏ, không làm sạch cỏ, sử dụng phân hữu cơ, sổ tay ghi chép nmhaatj ký canh tác của gia đình</t>
  </si>
  <si>
    <t>được doanh nhiệp thu mua đảm bảo sẽ mua sản phẩm, được tập huấn kỹ thuật trồng cà phê hàng năm, năng suất năm sau nhiều hơn năm trước</t>
  </si>
  <si>
    <t xml:space="preserve">phải thường xuyên ghi chép sổ nhật ký nông hộ, đôi khi đi làm về mệt quên ghi và ngại ghi, </t>
  </si>
  <si>
    <t>không có khó khăn vì diện tích canh tác của gia đình không gần rừng</t>
  </si>
  <si>
    <t>GL07-XP_01-080120261021</t>
  </si>
  <si>
    <t>13.948469, 108.128305</t>
  </si>
  <si>
    <t>The</t>
  </si>
  <si>
    <t>A Nê</t>
  </si>
  <si>
    <t>do sức khỏe, do công việc nội trợ nên phụ nữ kg làm được việc nặng trên đồng ruộng như phát cỏ, bỏ phân, phun thuốc, khuân vác</t>
  </si>
  <si>
    <t>Tích trữ khi được giá</t>
  </si>
  <si>
    <t>4c</t>
  </si>
  <si>
    <t xml:space="preserve">phải ghi chép tất cả những khoản đã chi trong một năm cho việc trồng, chăm sóc cà phê, không được phun thuốc trừ cỏ, không được phun thuốc trừ sâu bị cấm, </t>
  </si>
  <si>
    <t>không có khó khăn vì đất của gia đình do bố mẹ cho lâu rồi</t>
  </si>
  <si>
    <t>Mong dự án hỗ trợ kỹ thuật trồng cà phê bền vững</t>
  </si>
  <si>
    <t>GL02-XP_01-080120261031</t>
  </si>
  <si>
    <t>13.948527, 108.128217</t>
  </si>
  <si>
    <t>Lưnh</t>
  </si>
  <si>
    <t>Hỗ trợ bố mẹ ở một số công việc khi rảnh rổi</t>
  </si>
  <si>
    <t>Thiếu thời gian học tập, vui chơi, Ảnh hưởng sức khỏe (mệt mỏi, chóng mặt…)</t>
  </si>
  <si>
    <t>GL05-XP_01-080120261106</t>
  </si>
  <si>
    <t>13.948790, 108.121417</t>
  </si>
  <si>
    <t>Lê Tiến Trung</t>
  </si>
  <si>
    <t>Thôn 2</t>
  </si>
  <si>
    <t>Gyơn</t>
  </si>
  <si>
    <t>Pêm</t>
  </si>
  <si>
    <t>Có thêm tiền tiêu vặt</t>
  </si>
  <si>
    <t>Sức khỏe yếu, việc nặng không làm được</t>
  </si>
  <si>
    <t>Thiếu kiến thức để tiếp cận</t>
  </si>
  <si>
    <t>Báo, đài, tivi</t>
  </si>
  <si>
    <t>Chưa nắm rõ thông tin, quy định</t>
  </si>
  <si>
    <t>GL07-XP_01-080120260913</t>
  </si>
  <si>
    <t>13.948870, 108.128336</t>
  </si>
  <si>
    <t>Yưih</t>
  </si>
  <si>
    <t>yưih</t>
  </si>
  <si>
    <t>Không biết chữ</t>
  </si>
  <si>
    <t>Giảm động lực học tập, Kết quả học tập kém/ngừng học, Giảm khả năng tập trung/ghi nhớ</t>
  </si>
  <si>
    <t>phụ nữ không làm được việc nặng</t>
  </si>
  <si>
    <t>phải làm theo kỹ thuật mới, không được phun thuốc trừ cỏ  chỉ phát cỏ đúng lúc tốn nhiều công, hái khi quả đã chín nhiều</t>
  </si>
  <si>
    <t>đất cà phê của gia đình đã có từ lâu nên không có khó khăn</t>
  </si>
  <si>
    <t>GL07-XP_01-080120261418</t>
  </si>
  <si>
    <t>13.949164, 108.126061</t>
  </si>
  <si>
    <t>Glõnh</t>
  </si>
  <si>
    <t>Học hỏi kinh nghiệm/kỹ năng, Tính tự lập/trách nhiệm</t>
  </si>
  <si>
    <t>do sức khỏe yếu không làm được việc nặng</t>
  </si>
  <si>
    <t xml:space="preserve">được học kỹ thuật trồng cà phê, được đi tham quan những vườn cà phê có năng suất cao, được giải thích tại sao phải giữ lại cỏ trong vườn cà phê, </t>
  </si>
  <si>
    <t>ghi chép đầy đủ những lần bỏ phân, làm cỏ, cắt cành, thu hoạch vào sổ tay</t>
  </si>
  <si>
    <t>phải thăm vườn thường xuyên, phải ghi chép đầy đủ, không phun thuốc trừ cỏ mà chỉ phát cỏ nên mất nhiều công</t>
  </si>
  <si>
    <t>Chính quyền huyện/tỉnh, Công ty tư nhân, Các tổ chức phi chính phủ</t>
  </si>
  <si>
    <t>hội nông dân, hội phụ nữ</t>
  </si>
  <si>
    <t>không có khó khăn vì gia đình đã có đất trước đây do bố mẹ cho</t>
  </si>
  <si>
    <t>Mong dự án hỗ trợ người dân trồng cà phê bền vững</t>
  </si>
  <si>
    <t>GL05-XP_01-080120261001</t>
  </si>
  <si>
    <t>13.949226, 108.121848</t>
  </si>
  <si>
    <t>Bữ</t>
  </si>
  <si>
    <t>Chưa có hiểu biết về việc này</t>
  </si>
  <si>
    <t>Không biết vì ở xa chổ có rừng</t>
  </si>
  <si>
    <t>Chưa được tiếp xúc tài liệu, tập huấn</t>
  </si>
  <si>
    <t>GL05-XP_01-080120260912</t>
  </si>
  <si>
    <t>13.949335, 108.121824</t>
  </si>
  <si>
    <t>Uam</t>
  </si>
  <si>
    <t>Lyưm</t>
  </si>
  <si>
    <t>Giảm động lực học tập, Kết quả học tập kém/ngừng học, Ảnh hưởng sức khỏe (mệt mỏi, chóng mặt…)</t>
  </si>
  <si>
    <t>Sức khỏe yếu</t>
  </si>
  <si>
    <t>Chưa biết gì</t>
  </si>
  <si>
    <t>Chưa biết gì nên không biết</t>
  </si>
  <si>
    <t>GL05-XP_01-080120261040</t>
  </si>
  <si>
    <t>13.949452, 108.121776</t>
  </si>
  <si>
    <t>HMom</t>
  </si>
  <si>
    <t>HRưi</t>
  </si>
  <si>
    <t>Chưa nắm được quy định của EUDR</t>
  </si>
  <si>
    <t>GL05-XP_01-080120261601</t>
  </si>
  <si>
    <t>13.949772, 108.128863</t>
  </si>
  <si>
    <t>Thôn Dor 1</t>
  </si>
  <si>
    <t>SEP</t>
  </si>
  <si>
    <t>Yơu</t>
  </si>
  <si>
    <t>Có thêm tiền tiêu vặt, Học hỏi kinh nghiệm/kỹ năng, Giúp gia đình cải thiện kinh tế</t>
  </si>
  <si>
    <t>chưa được tập huấn, xem tài liệu để thực hiện</t>
  </si>
  <si>
    <t>Mở rộng diện tích cà phê, Phát triển cơ sở hạ tầng, Tăng trưởng dân số</t>
  </si>
  <si>
    <t>Chưa được cách làm vì chưa có tiếp cận</t>
  </si>
  <si>
    <t>GL05-XP_01-080120261638</t>
  </si>
  <si>
    <t>13.950393, 108.131641</t>
  </si>
  <si>
    <t>Khyeng</t>
  </si>
  <si>
    <t>Có thêm tiền tiêu vặt, Học hỏi kinh nghiệm/kỹ năng</t>
  </si>
  <si>
    <t>Việc nặng nhọc không làm được</t>
  </si>
  <si>
    <t>Mở rộng diện tích cà phê, Khai thác gỗ trái phép</t>
  </si>
  <si>
    <t>Chưa có kiến thức để thực hiện</t>
  </si>
  <si>
    <t>GL05-XP_01-080120261521</t>
  </si>
  <si>
    <t>13.950573, 108.121553</t>
  </si>
  <si>
    <t>Khung</t>
  </si>
  <si>
    <t>Có thêm tiền tiêu vặt, Tính tự lập/trách nhiệm</t>
  </si>
  <si>
    <t>sức khỏe yếu, nhiều việc nặng không làm được</t>
  </si>
  <si>
    <t>Không biết làm</t>
  </si>
  <si>
    <t>Mở rộng diện tích cà phê, Phát triển cơ sở hạ tầng, Khai thác gỗ trái phép</t>
  </si>
  <si>
    <t>Chưa biết làm như nào</t>
  </si>
  <si>
    <t>GL01-XP_01-080120261724</t>
  </si>
  <si>
    <t>13.952628, 108.136077</t>
  </si>
  <si>
    <t>Tuơh ktu</t>
  </si>
  <si>
    <t>Nom</t>
  </si>
  <si>
    <t>Y Chôn</t>
  </si>
  <si>
    <t>Phụ nữ củng phải làm kiếm tiền nuôi gia đinh</t>
  </si>
  <si>
    <t>Cần có hướng dẫ cụ thể về các lợi ích để người dân tham gia</t>
  </si>
  <si>
    <t>Người dân không biết kiến thức</t>
  </si>
  <si>
    <t>Lấn chiếm đất để canh tác nông nghiệp</t>
  </si>
  <si>
    <t>Chưa được tiếp cận thông tin</t>
  </si>
  <si>
    <t>Mong muốn dự án hỗ trợ nâng cao năng lực cho người dân để sản xuất cà phê bền vững</t>
  </si>
  <si>
    <t>GL01-XP_01-080120261802</t>
  </si>
  <si>
    <t>13.952629, 108.136078</t>
  </si>
  <si>
    <t>Ken</t>
  </si>
  <si>
    <t>Byêi</t>
  </si>
  <si>
    <t>Lao động sản xuất bình thường</t>
  </si>
  <si>
    <t>Người dân chưa biết kiến thức</t>
  </si>
  <si>
    <t>Chưa được tiếp cận thông tin hướng dẫn</t>
  </si>
  <si>
    <t>Mong muốn hỗ trợ vốn và nâng cao năng lực cho người dân phát triển cà phê</t>
  </si>
  <si>
    <t>GL01-XP_01-080120261720</t>
  </si>
  <si>
    <t>13.952633, 108.136074</t>
  </si>
  <si>
    <t>Nguyễn Long Biên</t>
  </si>
  <si>
    <t>Đại học trở lên</t>
  </si>
  <si>
    <t>Giảm động lực học tập, Thiếu thời gian học tập, vui chơi, Kết quả học tập kém/ngừng học, Thiếu ngủ</t>
  </si>
  <si>
    <t>Phụ nữ không làm được việc nặng như mang vác vật nặng, phun thuốc</t>
  </si>
  <si>
    <t>4C, Sổ tay thủ công, truy xuất đến từng hộ dân, năm áp dụng 2021</t>
  </si>
  <si>
    <t>Người dân được hướng dẫn sẻ thực hiện được</t>
  </si>
  <si>
    <t>Doanh nghiệp, Internet, Báo, đài, tivi</t>
  </si>
  <si>
    <t>Chưa được tiếp cận tài liệu hướng dẫn cụ thể</t>
  </si>
  <si>
    <t>Hỗ trợ người dân sản xuất cà phê giá trị cao</t>
  </si>
  <si>
    <t>GL01-XP_01-080120261806</t>
  </si>
  <si>
    <t>13.952636, 108.136067</t>
  </si>
  <si>
    <t>Thuon</t>
  </si>
  <si>
    <t>Lao động bình thường</t>
  </si>
  <si>
    <t>Người dân không biết thực hiện, thiếu kiến thức</t>
  </si>
  <si>
    <t>Mong dự án hỗ trợ nâng cao năng lực cho người dân canh tác cà phê đáp ứng yêu cầu và quy định pháp luật để bán giá trị cao, bền vững</t>
  </si>
  <si>
    <t>GL07-XP_01-080120261827</t>
  </si>
  <si>
    <t>13.953696, 108.136069</t>
  </si>
  <si>
    <t>Tươh Ktu</t>
  </si>
  <si>
    <t>Vô</t>
  </si>
  <si>
    <t>Phăn</t>
  </si>
  <si>
    <t>Giảm động lực học tập, Thiếu thời gian học tập, vui chơi, Ảnh hưởng sức khỏe (mệt mỏi, chóng mặt…), Giảm khả năng tập trung/ghi nhớ</t>
  </si>
  <si>
    <t>không làm được việc nặng</t>
  </si>
  <si>
    <t>gia đình được công ty vĩnh hiệp taaph huấn kỹ thuật và tham gia cà phê chưng nhân 4c</t>
  </si>
  <si>
    <t>phải ghi sổ nhật ký canh tác, và tuân thủ các quy định do công ty vĩnh hiệp hướng dẫn</t>
  </si>
  <si>
    <t>không khó khăn</t>
  </si>
  <si>
    <t>Mong dự án hỗ trợ hướng dẫn người dân trồng cà phê đáp ứng nhu cầu xuất khẩu</t>
  </si>
  <si>
    <t>GL02-XP_01-080120261828</t>
  </si>
  <si>
    <t>13.953879, 108.135934</t>
  </si>
  <si>
    <t>Tuoh Ktu</t>
  </si>
  <si>
    <t>Hmôi</t>
  </si>
  <si>
    <t>Yvân</t>
  </si>
  <si>
    <t>GL05-XP_01-080120261848</t>
  </si>
  <si>
    <t>13.954367, 108.135468</t>
  </si>
  <si>
    <t>Tươh Kta</t>
  </si>
  <si>
    <t>Rănh</t>
  </si>
  <si>
    <t>Rơu</t>
  </si>
  <si>
    <t>Rất nặng nề</t>
  </si>
  <si>
    <t>Người khác</t>
  </si>
  <si>
    <t>Lao động thuê ngoài</t>
  </si>
  <si>
    <t>Có thêm tiền tiêu vặt, Học hỏi kinh nghiệm/kỹ năng, Tính tự lập/trách nhiệm</t>
  </si>
  <si>
    <t>Chỉ làm phụ những lúc rảnh nên không bị ảnh hưởng</t>
  </si>
  <si>
    <t>Trả chậm</t>
  </si>
  <si>
    <t>Chưa tiếp cận được tài liệu</t>
  </si>
  <si>
    <t>Chưa nắm rõ quy định</t>
  </si>
  <si>
    <t>GL02-XP_01-080120260812</t>
  </si>
  <si>
    <t>13.955149, 108.132530</t>
  </si>
  <si>
    <t>Tuoh kTu</t>
  </si>
  <si>
    <t>Nay Thuym</t>
  </si>
  <si>
    <t>Người dân chưa có thông tin gì về EUDR</t>
  </si>
  <si>
    <t>Giải thích các quy định của EUDR</t>
  </si>
  <si>
    <t>GL07-XP_01-080120261854</t>
  </si>
  <si>
    <t>13.956293, 108.133123</t>
  </si>
  <si>
    <t>thôn tươh Ktu</t>
  </si>
  <si>
    <t>Hner</t>
  </si>
  <si>
    <t>Bưi Yớt</t>
  </si>
  <si>
    <t>Cao đẳng</t>
  </si>
  <si>
    <t>phải thường xuyên làm việc trên đồng ruộng mặc dù sức khỏe không như nam giới</t>
  </si>
  <si>
    <t>công ty cà phê vĩnh hiệp ở gia lai về tập huấn kỹ thuật sản xuất cà phê bền vững theo tiêu chuẩn 4c</t>
  </si>
  <si>
    <t>khi tham gia sản xuất cà phê theo tiêu chuẩn 4c với công ty Vĩnh hiệp trước hết được tập huấn về cách trồng và chăm sóc cà phê, được hướng dẫn ghi chép sổ nhật ký nông hộ</t>
  </si>
  <si>
    <t>phải thực hiện các công việc bỏ phân, phun thuốc phòng trừ sâu bệnh, làm cỏ theo hướng dẫn của cán bộ kỹ thuật của công ty, và ghi chép đầy đủ lại những việc đó</t>
  </si>
  <si>
    <t>gia đình không lấn chiếm đất rừng nên không biết</t>
  </si>
  <si>
    <t>GL01-XP_01-080120261900</t>
  </si>
  <si>
    <t>13.956314, 108.133072</t>
  </si>
  <si>
    <t>Đẽu</t>
  </si>
  <si>
    <t>Đưng</t>
  </si>
  <si>
    <t>Không bị giới hạn gì cả</t>
  </si>
  <si>
    <t>Người dân không biết, chưa được tập huấn</t>
  </si>
  <si>
    <t>Chưa được hướng dẫn về kiến thức của EUDR</t>
  </si>
  <si>
    <t>Mong dự án hỗ trợ người dân sản xuất cà phê bền vững, bán giá trị cao</t>
  </si>
  <si>
    <t>GL07-XP_01-080120261752</t>
  </si>
  <si>
    <t>13.958494, 108.131256</t>
  </si>
  <si>
    <t>tươi Klah</t>
  </si>
  <si>
    <t>Hoàng Nhứt</t>
  </si>
  <si>
    <t>sức khỏe yếu</t>
  </si>
  <si>
    <t>Bán tươi sau thu hoạch</t>
  </si>
  <si>
    <t>không thực hiện được theo yêu cầu của công ty</t>
  </si>
  <si>
    <t>không có khó khăn vì đất của gia đình đã có từ lâu</t>
  </si>
  <si>
    <t>GL05-XP_01-080120261747</t>
  </si>
  <si>
    <t>13.958608, 108.131245</t>
  </si>
  <si>
    <t>Tươh Klah</t>
  </si>
  <si>
    <t>Lang</t>
  </si>
  <si>
    <t>Thuư</t>
  </si>
  <si>
    <t>sức khỏe không làm được việc nặng</t>
  </si>
  <si>
    <t>Rất dễ</t>
  </si>
  <si>
    <t>chưa hiểu biết về cách làm</t>
  </si>
  <si>
    <t>Mở rộng diện tích cà phê, Mở rộng diện tích chăn nuôi</t>
  </si>
  <si>
    <t>chưa được tiếp cận tài liệu và cách thức thực hiện</t>
  </si>
  <si>
    <t>GL02-XP_01-080120261726</t>
  </si>
  <si>
    <t>13.958699, 108.131272</t>
  </si>
  <si>
    <t>Tuơh klah</t>
  </si>
  <si>
    <t>Dop</t>
  </si>
  <si>
    <t>Chưa bao giờ nghe thấy EUDR</t>
  </si>
  <si>
    <t>GL05-XP_01-080120261346</t>
  </si>
  <si>
    <t>13.966375, 108.121589</t>
  </si>
  <si>
    <t>Thôn Bối</t>
  </si>
  <si>
    <t>BEL</t>
  </si>
  <si>
    <t>Kũng</t>
  </si>
  <si>
    <t>Không biết gì</t>
  </si>
  <si>
    <t>chưa có tài liệu, hướng dẫn thực hiện</t>
  </si>
  <si>
    <t>GL05-XP_01-080120261421</t>
  </si>
  <si>
    <t>13.966666, 108.124864</t>
  </si>
  <si>
    <t>Tuât</t>
  </si>
  <si>
    <t>Sức khỏe không đảm bảo để làm việc nặng nhọc</t>
  </si>
  <si>
    <t>Chưa có tài liệu hay tập huấn để biết cách thực hiện</t>
  </si>
  <si>
    <t>Chưa nắm được thông tin, quy định</t>
  </si>
  <si>
    <t>GL02-XP_07-090120260814</t>
  </si>
  <si>
    <t>13.979315, 108.233644</t>
  </si>
  <si>
    <t>Mang Yang</t>
  </si>
  <si>
    <t>Hrak</t>
  </si>
  <si>
    <t>KYem</t>
  </si>
  <si>
    <t>Ninh</t>
  </si>
  <si>
    <t>Phụ giúp công việc cho bố mẹ</t>
  </si>
  <si>
    <t>Ghi chép thủ công bằng sổ tay</t>
  </si>
  <si>
    <t>Chưa có thói quen ghi chép, cập nhật thông tin</t>
  </si>
  <si>
    <t>Chưa biết thông tin gì, chưa nghe nói đến EUDR</t>
  </si>
  <si>
    <t>GL01-XP_07-090120260817</t>
  </si>
  <si>
    <t>13.979174, 108.234361</t>
  </si>
  <si>
    <t>H rak</t>
  </si>
  <si>
    <t>Khim</t>
  </si>
  <si>
    <t>Nghèo</t>
  </si>
  <si>
    <t>Lao đông như một lao động chính trong nhà</t>
  </si>
  <si>
    <t>Người dân thiếu kiến thức, không biết ghi chép, theo giõi, xác định định vị ...</t>
  </si>
  <si>
    <t>Chưa có kiến thức hiểu biết về EUDR, chưa nghe tuyên truyền, tập huấn</t>
  </si>
  <si>
    <t>Hỗ trợ người dân phát triển kinh tế, bán sản phẩm cao tiền hơn</t>
  </si>
  <si>
    <t>GL06-XP_07-090120260815</t>
  </si>
  <si>
    <t>Hùng</t>
  </si>
  <si>
    <t>Hơng</t>
  </si>
  <si>
    <t>Gia đình, người thân, Trung gian / bên thứ ba</t>
  </si>
  <si>
    <t>Kết quả học tập kém/ngừng học, Không rõ/không biết</t>
  </si>
  <si>
    <t>GL06-XP_07-090120260835</t>
  </si>
  <si>
    <t>Đinh Văn Dĩ</t>
  </si>
  <si>
    <t>Đinh Văn Dĩ - Hơ Rê</t>
  </si>
  <si>
    <t>Dân tộc khác</t>
  </si>
  <si>
    <t>Còn nhỏ</t>
  </si>
  <si>
    <t>Vợ không phun thuốc khi cần thiết</t>
  </si>
  <si>
    <t>Phát triển cơ sở hạ tầng, Tăng trưởng dân số, Khai thác gỗ trái phép</t>
  </si>
  <si>
    <t>GL01-XP_07-090120260836</t>
  </si>
  <si>
    <t>13.979145, 108.234372</t>
  </si>
  <si>
    <t>Hrack</t>
  </si>
  <si>
    <t>B lấp</t>
  </si>
  <si>
    <t>Cùng lao động, vợ chồng lao động như nhau</t>
  </si>
  <si>
    <t>Chưa biết đến các quy định về truy xuất nguồn gốc</t>
  </si>
  <si>
    <t>Người dân chưa biết các làm</t>
  </si>
  <si>
    <t>Chưa biết, chưa đươc tập huấn và hướng dẫn</t>
  </si>
  <si>
    <t>Hỗ trợ cây giống và phân bón cho người dân đầu tư trồng cà phê</t>
  </si>
  <si>
    <t>GL07-XP_08-090120260852</t>
  </si>
  <si>
    <t>14.107113, 108.117800</t>
  </si>
  <si>
    <t>Kon Gang (gần rừng)</t>
  </si>
  <si>
    <t>thôn1</t>
  </si>
  <si>
    <t>Sơn</t>
  </si>
  <si>
    <t>Gia Rai</t>
  </si>
  <si>
    <t>hay bị mệt mỏi khi làm việc năng</t>
  </si>
  <si>
    <t xml:space="preserve">do phải làm thêm công việc cơ khí nên ít khi tham gia các lớp tập huấn kỹ thuật, việc theo dõi sổ tay nông hộ còn gặp nhiều khó khăn vì người dân thiếu kiên thức, </t>
  </si>
  <si>
    <t>chưa được tiếp cận các kiến thức và quy định của EUDR nên chưa biết để thực hiện</t>
  </si>
  <si>
    <t>Hỗ trợ kỹ thuật canh tác bền vững cho người dân</t>
  </si>
  <si>
    <t>GL05-XP_07-090120260905</t>
  </si>
  <si>
    <t>14.107103, 108.117935</t>
  </si>
  <si>
    <t>Thôn 1</t>
  </si>
  <si>
    <t>Nguyễn Thị Tân</t>
  </si>
  <si>
    <t>Lê Văn Hiệu</t>
  </si>
  <si>
    <t>Có thêm tiền tiêu vặt, Học hỏi kinh nghiệm/kỹ năng, Lý do khác</t>
  </si>
  <si>
    <t>Giúp đỡ gia đình</t>
  </si>
  <si>
    <t>Chưa được đào tạo, tập huấn để thực hiện</t>
  </si>
  <si>
    <t>Chưa nắm rõ quy định về thực hiện</t>
  </si>
  <si>
    <t>GL04-XP_08-090120260907</t>
  </si>
  <si>
    <t>Đê Hoach</t>
  </si>
  <si>
    <t>Nguyễn Thị Hưng</t>
  </si>
  <si>
    <t>Mở rộng diện tích cà phê, Phát triển cơ sở hạ tầng</t>
  </si>
  <si>
    <t>GL07-XP_08-090120260910</t>
  </si>
  <si>
    <t>14.107091, 108.117782</t>
  </si>
  <si>
    <t>thôn 1</t>
  </si>
  <si>
    <t>H Yanh</t>
  </si>
  <si>
    <t>Oai</t>
  </si>
  <si>
    <t>không có kỹ thuật cà phê cho năng suất thấp</t>
  </si>
  <si>
    <t>Sổ tay nông hộ thủ công, biết cà phê đến từng hộ, năm thực hiện 2022</t>
  </si>
  <si>
    <t>việc theo giõi sổ tay nông hộ và các thông tin liên quan đến sản xuất khó khăn và tốn nhiều thời gian do trình độ người dân còn hạn chế</t>
  </si>
  <si>
    <t>chưa biết rõ các quy định của EUDR nên người dân chưa biết để thực hiện</t>
  </si>
  <si>
    <t>GL06-XP_07-090120260906</t>
  </si>
  <si>
    <t>Hyônh</t>
  </si>
  <si>
    <t>Ngunh</t>
  </si>
  <si>
    <t>Ảnh hưởng sức khỏe (mệt mỏi, chóng mặt…), Khác</t>
  </si>
  <si>
    <t>Là lao động chính, chỉ không phun thuốc</t>
  </si>
  <si>
    <t>Đã nhận được, Không mong muốn hỗ trợ</t>
  </si>
  <si>
    <t>GL02-XP_07-090120260920</t>
  </si>
  <si>
    <t>13.979166, 108.234341</t>
  </si>
  <si>
    <t>HRak</t>
  </si>
  <si>
    <t>Giúp đỡ cha mẹ, Truyền thống gia đình</t>
  </si>
  <si>
    <t>Ghi chép thủ công, chỉ truy xuất được tới hộ gia đình</t>
  </si>
  <si>
    <t>Chưa từng nghe nói về EUDR, chưa biết yêu cầu là gì</t>
  </si>
  <si>
    <t>GL05-XP_07-090120260926</t>
  </si>
  <si>
    <t>14.107037, 108.117760</t>
  </si>
  <si>
    <t>Đê Hoch</t>
  </si>
  <si>
    <t>Nhữ Đình Kiên</t>
  </si>
  <si>
    <t>Sức khỏe kém</t>
  </si>
  <si>
    <t>Chưa được tiếp cận, và chưa được tập huấn hướng dẫn</t>
  </si>
  <si>
    <t>GL07-XP_08-090120260925</t>
  </si>
  <si>
    <t>14.107136, 108.117797</t>
  </si>
  <si>
    <t>Hồ Thị Nội</t>
  </si>
  <si>
    <t>Phạm Văn Dương</t>
  </si>
  <si>
    <t>chỉ tham gia lao động được những công việc nhẹ</t>
  </si>
  <si>
    <t>các tổ chức phi chính phủ, doanh nghiêp xuất khẩu cà phê cung cấp</t>
  </si>
  <si>
    <t>không có khó khăn gì</t>
  </si>
  <si>
    <t>GL04-XP_08-090120260923</t>
  </si>
  <si>
    <t>Phạm Thị Phương</t>
  </si>
  <si>
    <t>Hồ Văn Đông</t>
  </si>
  <si>
    <t>GL04-XP_08-090120260935</t>
  </si>
  <si>
    <t>Nguyễn Thị Ngự</t>
  </si>
  <si>
    <t>Nhữ Đình Vân</t>
  </si>
  <si>
    <t>GL05-XP_01-090120260937</t>
  </si>
  <si>
    <t>14.107142, 108.117915</t>
  </si>
  <si>
    <t>Nech</t>
  </si>
  <si>
    <t>Nach</t>
  </si>
  <si>
    <t>Từ 2 đến 4 giờ/ngày</t>
  </si>
  <si>
    <t>hạn chế về sức khỏe không làm được việc nặng nhọc</t>
  </si>
  <si>
    <t>Chưa nắm được thông tin về cách làm</t>
  </si>
  <si>
    <t>Chưa được tập huấn, hướng dẫn</t>
  </si>
  <si>
    <t>GL06-XP_07-090120260926</t>
  </si>
  <si>
    <t>Nĩm</t>
  </si>
  <si>
    <t>A Renh</t>
  </si>
  <si>
    <t>Nguy hiểm cho trẻ</t>
  </si>
  <si>
    <t>Kg làm việc nặng chỉ hái cà phê, làm cỏ, phơi</t>
  </si>
  <si>
    <t>GL07-XP_08-090120261007</t>
  </si>
  <si>
    <t>14.107142, 108.117731</t>
  </si>
  <si>
    <t>hồ văn Biển</t>
  </si>
  <si>
    <t>Hồ văn Biển</t>
  </si>
  <si>
    <t>Tính tự lập/trách nhiệm</t>
  </si>
  <si>
    <t>không thể làm được công việc nặng nhọc như đào hố, bón phân, tưới nước, khuân vác</t>
  </si>
  <si>
    <t>các tổ chức phi chính phủ, chính quyền địa phương, doanh nghiệp thu mua và xuất khẩu cà phê</t>
  </si>
  <si>
    <t>Không có khó khăn gì</t>
  </si>
  <si>
    <t>không có khó khăn gì vì đất của gia đình biết rõ nguồn gốc và không liên quan đến phá rường</t>
  </si>
  <si>
    <t>GL02-XP_07-090120261010</t>
  </si>
  <si>
    <t>13.977387, 108.233534</t>
  </si>
  <si>
    <t>KHiêt</t>
  </si>
  <si>
    <t>Tchêh</t>
  </si>
  <si>
    <t>Chưa biết thông tin gì về yêu cầu của EUDR</t>
  </si>
  <si>
    <t>GL01-XP_07-090120260956</t>
  </si>
  <si>
    <t>13.978353, 108.233998</t>
  </si>
  <si>
    <t>Tay</t>
  </si>
  <si>
    <t>Hinh</t>
  </si>
  <si>
    <t>Loa động cùng cả nhà, vợ chông giống nhau, đồng thuận</t>
  </si>
  <si>
    <t>Thiếu kiến thưc</t>
  </si>
  <si>
    <t>Chưa biết các kiến thưcf và quy định liên qua</t>
  </si>
  <si>
    <t>Hỗ trợ phát triển cà phê bền vững, ông định thị trường</t>
  </si>
  <si>
    <t>GL06-XP_07-090120260958</t>
  </si>
  <si>
    <t>Ting</t>
  </si>
  <si>
    <t>Gia đình, người thân, Ngân hàng, Doanh nghiệp thu mua nông sản</t>
  </si>
  <si>
    <t>Không bơm thuốc</t>
  </si>
  <si>
    <t>GL02-XP_07-090120261032</t>
  </si>
  <si>
    <t>13.977341, 108.233286</t>
  </si>
  <si>
    <t>ARonh</t>
  </si>
  <si>
    <t>Khơn</t>
  </si>
  <si>
    <t>Chứa được hướng dẫn, chưa có hiểu biết về truy xuất nguồn gốc là gì</t>
  </si>
  <si>
    <t>GL01-XP_07-090120261024</t>
  </si>
  <si>
    <t>13.978359, 108.234004</t>
  </si>
  <si>
    <t>Yuang</t>
  </si>
  <si>
    <t>A Lưng</t>
  </si>
  <si>
    <t>lao động bình thường</t>
  </si>
  <si>
    <t>Người dân không hiểu biết, thiếu kinh nghiệm</t>
  </si>
  <si>
    <t>Hỗ trợ người dân sản xất cà phê bền vững, bán giá cao</t>
  </si>
  <si>
    <t>GL04-XP_08-090120261045</t>
  </si>
  <si>
    <t>Liên</t>
  </si>
  <si>
    <t>GL05-XP_07-090120261050</t>
  </si>
  <si>
    <t>14.103013, 108.108081</t>
  </si>
  <si>
    <t>Prih</t>
  </si>
  <si>
    <t>Giúp đỡ cha mẹ, Chuẩn bị quản lý đất đai/sản xuất trong 
tương lai
, Giảm chi phí thuê lao động</t>
  </si>
  <si>
    <t>Chưa nắm rõ được cách thức làm</t>
  </si>
  <si>
    <t>Mở rộng diện tích cà phê, Mở rộng diện tích chăn nuôi, Tăng trưởng dân số</t>
  </si>
  <si>
    <t>Tài liệu chưa được tiếp cận đến các hộ dân</t>
  </si>
  <si>
    <t>GL04-XP_08-090120261048</t>
  </si>
  <si>
    <t>Ping</t>
  </si>
  <si>
    <t>GL07-XP_08-090120261051</t>
  </si>
  <si>
    <t>14.103037, 108.108081</t>
  </si>
  <si>
    <t>Thên</t>
  </si>
  <si>
    <t>Hợp tác xã / Quỹ tín dụng, Ngân hàng</t>
  </si>
  <si>
    <t>Thiên tai (hạn hán, dịch bệnh...)</t>
  </si>
  <si>
    <t>hay bị mệt khi làm việc nặng</t>
  </si>
  <si>
    <t>Thiếu kiến thức nên việc thực hiện khó khăn, tốn nhiều thời gian</t>
  </si>
  <si>
    <t>không biết EUDR là gì</t>
  </si>
  <si>
    <t>GL02-XP_07-090120261101</t>
  </si>
  <si>
    <t>13.976307, 108.233317</t>
  </si>
  <si>
    <t>Ten</t>
  </si>
  <si>
    <t>Bơn</t>
  </si>
  <si>
    <t>Chưa biết gì về truy xuất nguồn gốc. Một số hộ không biết chử, không biết ghi chép</t>
  </si>
  <si>
    <t>Chưa nghe tới EUDR bao giờ</t>
  </si>
  <si>
    <t>GL01-XP_07-090120261055</t>
  </si>
  <si>
    <t>13.976441, 108.233509</t>
  </si>
  <si>
    <t>H rack</t>
  </si>
  <si>
    <t>Sưi</t>
  </si>
  <si>
    <t>Hop</t>
  </si>
  <si>
    <t>Gia đình, người thân, Doanh nghiệp thu mua nông sản</t>
  </si>
  <si>
    <t>Người dân thiếu kiến thức, chưa nắm bắt được các quy đinh</t>
  </si>
  <si>
    <t>Người dân chưa hiểu rỏ các quy định, cần có hướng dẫn thì mới thực hiện đươc</t>
  </si>
  <si>
    <t>Thiếu kiến thức, chưa hiểu các quy định của EUDR</t>
  </si>
  <si>
    <t>Hỗ trợ người dân bán sản phẩm có giá trị cao hơn</t>
  </si>
  <si>
    <t>GL06-XP_07-090120261044</t>
  </si>
  <si>
    <t>Khanh</t>
  </si>
  <si>
    <t>Hít</t>
  </si>
  <si>
    <t>Bơn thuốc</t>
  </si>
  <si>
    <t>GL05-XP_07-090120261106</t>
  </si>
  <si>
    <t>14.103187, 108.108123</t>
  </si>
  <si>
    <t>Bach</t>
  </si>
  <si>
    <t>Không có</t>
  </si>
  <si>
    <t>Giúp gia đình cải thiện kinh tế, Học hỏi kinh nghiệm/kỹ năng</t>
  </si>
  <si>
    <t>Thiếu thời gian học tập, vui chơi, Kết quả học tập kém/ngừng học, Giảm động lực học tập</t>
  </si>
  <si>
    <t>Không mong muốn hỗ trợ, Chưa nhận được</t>
  </si>
  <si>
    <t>Chưa được tiếp cận tài liệu</t>
  </si>
  <si>
    <t>Mở rộng diện tích chăn nuôi</t>
  </si>
  <si>
    <t>Chưa nắm được rõ quy trình thực hiện</t>
  </si>
  <si>
    <t>GL02-XP_07-090120261110</t>
  </si>
  <si>
    <t>13.975675, 108.235041</t>
  </si>
  <si>
    <t>Chiu</t>
  </si>
  <si>
    <t>Chưa từng nghe tới EUDR nên chưa biết gì</t>
  </si>
  <si>
    <t>GL07-XP_08-090120261108</t>
  </si>
  <si>
    <t>14.103326, 108.108140</t>
  </si>
  <si>
    <t>Đề Hoch</t>
  </si>
  <si>
    <t>Tun</t>
  </si>
  <si>
    <t>do sức khỏe không làm được việc nặng</t>
  </si>
  <si>
    <t>chính quyền địa phương</t>
  </si>
  <si>
    <t>chưa quen ghi chép lại nững công việc đã làm, lâu ngày không nhớ ngày tháng nào làm gì</t>
  </si>
  <si>
    <t>Thiếu kiến thức, chưa hiểu biết về EUDR</t>
  </si>
  <si>
    <t>GL01-XP_07-090120261114</t>
  </si>
  <si>
    <t>13.975679, 108.235046</t>
  </si>
  <si>
    <t>Chrin</t>
  </si>
  <si>
    <t>Không nên làm các việc nặng như bốc vác cà phê và phun thuốc ảnh hưởng sức khỏe</t>
  </si>
  <si>
    <t>Người dân không năm được các quy định và hướng dẫn thực hiện</t>
  </si>
  <si>
    <t>Thiếu đất sản xuất</t>
  </si>
  <si>
    <t>Chưa biết đến các quy định và hướng dẫn thực hiện</t>
  </si>
  <si>
    <t>Hỗ trợ người dân bán cà phê giá cao hơn</t>
  </si>
  <si>
    <t>GL06-XP_07-090120261125</t>
  </si>
  <si>
    <t>Khun</t>
  </si>
  <si>
    <t>Ảnh hưởng sức khỏe (mệt mỏi, chóng mặt…), Giảm khả năng tập trung/ghi nhớ, Khác</t>
  </si>
  <si>
    <t>Là nguồn lao động chính</t>
  </si>
  <si>
    <t>GL01-XP_07-090120261136</t>
  </si>
  <si>
    <t>13.976237, 108.234375</t>
  </si>
  <si>
    <t>Đăn</t>
  </si>
  <si>
    <t>Hế</t>
  </si>
  <si>
    <t>Người dân chưa biết các quy đinh</t>
  </si>
  <si>
    <t>Chưa biết đen EUDR</t>
  </si>
  <si>
    <t>Hỗ trợ người dân phát triển kinh tế, tiêu thu sản phẩm cà phê</t>
  </si>
  <si>
    <t>GL04-XP_08-090120261146</t>
  </si>
  <si>
    <t>H'Khim</t>
  </si>
  <si>
    <t>MânR</t>
  </si>
  <si>
    <t>GL07-XP_08-090120261200</t>
  </si>
  <si>
    <t>14.102435, 108.110185</t>
  </si>
  <si>
    <t>Đe Hoch</t>
  </si>
  <si>
    <t>Vũ Quang Nam</t>
  </si>
  <si>
    <t>Vũ quang Nam</t>
  </si>
  <si>
    <t>do cơ thể phụ nữ kg đáp ứng được một số công việc nặng nhọc trong sản xuất cà phê như tưới nước, bỏ phân, phun thuốc, khuân vác</t>
  </si>
  <si>
    <t>các tổ chức phi chính phủ, chính quyền đia phương, công ty thu mua cà phê xuất khẩu</t>
  </si>
  <si>
    <t>Việc theo dõi sổ tay và cập nhật tốn thời gian</t>
  </si>
  <si>
    <t>chưa có biết nhiều thông tin về EUDR</t>
  </si>
  <si>
    <t>GL02-XP_07-090120261202</t>
  </si>
  <si>
    <t>13.978308, 108.235197</t>
  </si>
  <si>
    <t>KHon</t>
  </si>
  <si>
    <t>Hiu</t>
  </si>
  <si>
    <t>Trừ nợ ứng trước</t>
  </si>
  <si>
    <t>Không biết gì về truy xuất nguồn gốc</t>
  </si>
  <si>
    <t>Chưa nghe tới EUDR</t>
  </si>
  <si>
    <t>GL04-XP_08-090120261204</t>
  </si>
  <si>
    <t>Tam</t>
  </si>
  <si>
    <t>GL01-XP_07-090120261208</t>
  </si>
  <si>
    <t>13.976138, 108.236298</t>
  </si>
  <si>
    <t>Nui</t>
  </si>
  <si>
    <t>chưa được hướng dẫn cac quy định</t>
  </si>
  <si>
    <t>Người dân thiếu kiến thức</t>
  </si>
  <si>
    <t>Chưa được tiếp cân quy đinh</t>
  </si>
  <si>
    <t>Dự án hỗ trợ người dân nâng cao kiến thức, trồng cà phê bền vững phát triển kinh tế</t>
  </si>
  <si>
    <t>GL06-XP_07-090120261158</t>
  </si>
  <si>
    <t>Uy</t>
  </si>
  <si>
    <t>Công ty tư nhân, Người mua hàng hóa</t>
  </si>
  <si>
    <t>GL05-XP_07-090120261212</t>
  </si>
  <si>
    <t>14.121391, 108.125783</t>
  </si>
  <si>
    <t>Vũ Quang Trường</t>
  </si>
  <si>
    <t>Thiếu thời gian học tập, vui chơi, Kết quả học tập kém/ngừng học, Giảm động lực học tập, Ảnh hưởng sức khỏe (mệt mỏi, chóng mặt…)</t>
  </si>
  <si>
    <t>Sức khỏe yếu không làm được việc nặng nhọc</t>
  </si>
  <si>
    <t>Thời tiết</t>
  </si>
  <si>
    <t>Chưa được hướng dẫn</t>
  </si>
  <si>
    <t>Chưa được tiếp cận tài liệu để biết cách thực hiện</t>
  </si>
  <si>
    <t>GL01-XP_07-090120261220</t>
  </si>
  <si>
    <t>Cốp Đoa</t>
  </si>
  <si>
    <t>Ui</t>
  </si>
  <si>
    <t>chưa được tiếp cận thông tin</t>
  </si>
  <si>
    <t>người dân chư hiểu biết</t>
  </si>
  <si>
    <t>chưa biết đến EUDR</t>
  </si>
  <si>
    <t>Hỗ trợ người dân địa phương phát triển kinh tế</t>
  </si>
  <si>
    <t>GL06-XP_07-090120261220</t>
  </si>
  <si>
    <t>Đinh Văn Viên</t>
  </si>
  <si>
    <t>Sức khoẻ yếu, không phun thuốc</t>
  </si>
  <si>
    <t>GL01-XP_07-090120261230</t>
  </si>
  <si>
    <t>Nguyễn Tân Thành</t>
  </si>
  <si>
    <t>Chưa biết cách làm</t>
  </si>
  <si>
    <t>Chưa biết rõ các quy định của EUDR, chỉ được nghe thông qua báo đài, tivi nên hiểu biết còn hạn chế</t>
  </si>
  <si>
    <t>Hỗ trợ người dân nắm bắt thị trường để phát triển cà phê</t>
  </si>
  <si>
    <t>GL02-XP_07-090120261242</t>
  </si>
  <si>
    <t>13.980812, 108.233167</t>
  </si>
  <si>
    <t>Leng</t>
  </si>
  <si>
    <t>Chưa nhận được, Đã nhận được, Không mong muốn hỗ trợ</t>
  </si>
  <si>
    <t>Một số người dân không biết chử, không biết tiếng Phổ thông nên khó tiếp cận với thông tin. Giá đình chúng tôi chưa biết gì về truy xuất nguồn gốc</t>
  </si>
  <si>
    <t>GL01-XP_07-090120261244</t>
  </si>
  <si>
    <t>13.980901, 108.233073</t>
  </si>
  <si>
    <t>Chưng</t>
  </si>
  <si>
    <t>không làm được việc nặng như vận chuyển cà phê và phun thuốc</t>
  </si>
  <si>
    <t>Người dân không biết làm và theo giõi, chỉ biết sản xuất thu hoạc và bán theo thị trường thế thôi, không biêt làm hồ sơ</t>
  </si>
  <si>
    <t>Chưa biết đến</t>
  </si>
  <si>
    <t>Tập huấn, hướng dẫn người dân nắm bắt về kiến thức EUDR, để người dân sản xuất cà phê bán giá trị cao</t>
  </si>
  <si>
    <t>GL06-XP_07-090120261244</t>
  </si>
  <si>
    <t>Sinh</t>
  </si>
  <si>
    <t>Tăng trưởng dân số, Khác</t>
  </si>
  <si>
    <t>Tăng diện tích đất sản xuất khác như nương rẫy, cây ăn quả khác</t>
  </si>
  <si>
    <t>GL05-XP_07-090120261259</t>
  </si>
  <si>
    <t>14.121422, 108.126043</t>
  </si>
  <si>
    <t>Thôn 5</t>
  </si>
  <si>
    <t>Nguyễn Văn Phúc</t>
  </si>
  <si>
    <t>Dạy nghề ngắn hạn</t>
  </si>
  <si>
    <t>Sức khỏe</t>
  </si>
  <si>
    <t>Chất lượng cà phê</t>
  </si>
  <si>
    <t>chưa hiểu rõ cách thức làm</t>
  </si>
  <si>
    <t>Chưa hiểu rõ quy định, cần được tập huấn hướng dẫn</t>
  </si>
  <si>
    <t>Các tổ chức phi chính phủ</t>
  </si>
  <si>
    <t>Thiếu kinh nghiệm, không có kiến thức thực hiện</t>
  </si>
  <si>
    <t>GL02-XP_07-090120261304</t>
  </si>
  <si>
    <t>13.980849, 108.233142</t>
  </si>
  <si>
    <t>Xom</t>
  </si>
  <si>
    <t>KHôi</t>
  </si>
  <si>
    <t>Phụ giúp cha mẹ</t>
  </si>
  <si>
    <t>Chưa biết gì về hệ thống truy xuất nguồn gốc</t>
  </si>
  <si>
    <t>Sự hiểu biết của người dân về EUDR chưa có. Xác định vị trí toạ độ thửa đất, bản đồ</t>
  </si>
  <si>
    <t>GL05-XP_07-090120261309</t>
  </si>
  <si>
    <t>14.121418, 108.126165</t>
  </si>
  <si>
    <t>Thôn 4</t>
  </si>
  <si>
    <t>Trần Văn Thạch</t>
  </si>
  <si>
    <t>Thiếu kiến thức và kinh nghiệm</t>
  </si>
  <si>
    <t>Chưa được nghe, biết đến</t>
  </si>
  <si>
    <t>GL05-XP_07-090120261317</t>
  </si>
  <si>
    <t>14.121522, 108.126052</t>
  </si>
  <si>
    <t>Nguyễn Văn Tuấn</t>
  </si>
  <si>
    <t>Cần được hướng dẫn cách làm</t>
  </si>
  <si>
    <t>Chưa biết gì để thực hiện</t>
  </si>
  <si>
    <t>GL05-XP_07-090120261329</t>
  </si>
  <si>
    <t>14.121486, 108.126095</t>
  </si>
  <si>
    <t>Khên</t>
  </si>
  <si>
    <t>Brưng</t>
  </si>
  <si>
    <t>Giúp gia đình cải thiện kinh tế, Học hỏi kinh nghiệm/kỹ năng, Tăng thu nhập gia đình</t>
  </si>
  <si>
    <t>Chưa nắm rõ quy định, cách thức áp dụng</t>
  </si>
  <si>
    <t>GL04-XP_08-090120261333</t>
  </si>
  <si>
    <t>Nguyễn Văn Thắng</t>
  </si>
  <si>
    <t>Vay vốn từ Hội Cựu Chiến Binh</t>
  </si>
  <si>
    <t>GL05-XP_07-090120261402</t>
  </si>
  <si>
    <t>14.122816, 108.126596</t>
  </si>
  <si>
    <t>Huỳnh Thị Cẩm Ly</t>
  </si>
  <si>
    <t>Lương Đình Nam</t>
  </si>
  <si>
    <t>Sức khỏe không làm được việc nặng nhọc</t>
  </si>
  <si>
    <t>Chưa được tập huấn, chưa có hiểu biết về cách làm</t>
  </si>
  <si>
    <t>GL04-XP_08-090120261423</t>
  </si>
  <si>
    <t>Phạm Nguyễn Độ</t>
  </si>
  <si>
    <t>GL05-XP_07-090120261424</t>
  </si>
  <si>
    <t>14.122510, 108.126363</t>
  </si>
  <si>
    <t>Thôn 3</t>
  </si>
  <si>
    <t>Nguyễn Thành Nhắc</t>
  </si>
  <si>
    <t>Nguyễn Thằng Nhắc</t>
  </si>
  <si>
    <t>Không vay</t>
  </si>
  <si>
    <t>Sức khỏe, việc nặng nhọc độc hại không tham gia làm được</t>
  </si>
  <si>
    <t>Nếu được tập huấn, hướng dẫn thì sẽ làm được</t>
  </si>
  <si>
    <t>Chưa được tiếp cận tài liệu, tập huấn cách thức làm</t>
  </si>
  <si>
    <t>GL05-XP_07-090120261436</t>
  </si>
  <si>
    <t>14.122902, 108.126525</t>
  </si>
  <si>
    <t>Vũ Thị Oanh</t>
  </si>
  <si>
    <t>Sức khỏe, việc nặng nhọc không tham gia được</t>
  </si>
  <si>
    <t>Không biết gì để làm theo đúng quy định</t>
  </si>
  <si>
    <t>Tăng trưởng dân số, Mở rộng diện tích chăn nuôi</t>
  </si>
  <si>
    <t>GL04-XP_08-090120261437</t>
  </si>
  <si>
    <t>Nguyễn Xuân Ngát</t>
  </si>
  <si>
    <t>GL04-XP_08-090120261452</t>
  </si>
  <si>
    <t>Lương Đình Phiên</t>
  </si>
  <si>
    <t>GL02-XP_01-090120261611</t>
  </si>
  <si>
    <t>13.967238, 108.124886</t>
  </si>
  <si>
    <t>Bối</t>
  </si>
  <si>
    <t>NHoan</t>
  </si>
  <si>
    <t>BLưng</t>
  </si>
  <si>
    <t>Giúp đỡ bố mẹ những lúc không học tập</t>
  </si>
  <si>
    <t>Ghi chép thủ công bằng sổ tay. Và chỉ truy xuất được tới hộ</t>
  </si>
  <si>
    <t>Không có thói quen ghi chép, nên đôi khi quên mất các thông tin. Có thẩm gia 4c nhưng chưa thực sự hiểu các yêu cầu</t>
  </si>
  <si>
    <t>Mở rộng diện tích cao su</t>
  </si>
  <si>
    <t>Chưa từng nghe tới EUDR là gì</t>
  </si>
  <si>
    <t>GL06-XP_01-090120261605</t>
  </si>
  <si>
    <t>Yuưk</t>
  </si>
  <si>
    <t>Blô</t>
  </si>
  <si>
    <t>Tính tự lập/trách nhiệm, Giúp gia đình cải thiện kinh tế</t>
  </si>
  <si>
    <t>Lao động chính</t>
  </si>
  <si>
    <t>GL02-XP_01-090120261621</t>
  </si>
  <si>
    <t>13.967594, 108.125239</t>
  </si>
  <si>
    <t>Sôt</t>
  </si>
  <si>
    <t>NHêm</t>
  </si>
  <si>
    <t>Ghi chép sổ tay thủ công theo mẫu công tỷ cũng cấp</t>
  </si>
  <si>
    <t>GL02-XP_01-090120261636</t>
  </si>
  <si>
    <t>13.965562, 108.122290</t>
  </si>
  <si>
    <t>HNeo</t>
  </si>
  <si>
    <t>NHôn</t>
  </si>
  <si>
    <t>Công ty Vĩnh Hiệp hỗ trợ; bắt đầu tham gia từ 2024; ghi chép thủ công bằng sổ tay. Chỉ có thể truy xuất tới hộ, không thể truy xuất tới từng vườn hay từng cây</t>
  </si>
  <si>
    <t>Rất tốt</t>
  </si>
  <si>
    <t>Chưa nghe về EUDR bao giờ, nên không biết họ yêu cầu gì</t>
  </si>
  <si>
    <t>GL06-XP_01-090120261700</t>
  </si>
  <si>
    <t>Anging</t>
  </si>
  <si>
    <t>Sầu riêng, Tiêu</t>
  </si>
  <si>
    <t>Trên 8 giờ/ngày</t>
  </si>
  <si>
    <t>Hai vợ chồng già phải làm</t>
  </si>
  <si>
    <t>GL02-XP_01-090120261708</t>
  </si>
  <si>
    <t>13.967500, 108.123738</t>
  </si>
  <si>
    <t>THưi</t>
  </si>
  <si>
    <t>GL06-XP_01-090120261731</t>
  </si>
  <si>
    <t>Kiệt</t>
  </si>
  <si>
    <t>Kiet</t>
  </si>
  <si>
    <t>Làm việc khác</t>
  </si>
  <si>
    <t>GL06-XP_01-090120261735</t>
  </si>
  <si>
    <t>Kiều</t>
  </si>
  <si>
    <t>Khưm</t>
  </si>
  <si>
    <t>Sàu riêng, Tiêu</t>
  </si>
  <si>
    <t>GL02-XP_01-090120261745</t>
  </si>
  <si>
    <t>13.967496, 108.123733</t>
  </si>
  <si>
    <t>Myêm</t>
  </si>
  <si>
    <t>Chưa nghe tới EUDR bao giờ, chưa biết gì</t>
  </si>
  <si>
    <t>GL04-XP_02-100120260901</t>
  </si>
  <si>
    <t>Đăk Sơmei</t>
  </si>
  <si>
    <t>Bok rei</t>
  </si>
  <si>
    <t>Vách</t>
  </si>
  <si>
    <t>Nhưu</t>
  </si>
  <si>
    <t>GL05-XP_02-100120260921</t>
  </si>
  <si>
    <t>14.175288, 108.186919</t>
  </si>
  <si>
    <t>Bok Rei</t>
  </si>
  <si>
    <t>Soek</t>
  </si>
  <si>
    <t>Việc nặng nhọc, độc hại không thể làm được</t>
  </si>
  <si>
    <t>Chưa hiểu được cách thức làm</t>
  </si>
  <si>
    <t>Chưa được tiếp cận và chưa được tập huấn</t>
  </si>
  <si>
    <t>GL05-XP_02-100120260947</t>
  </si>
  <si>
    <t>14.175927, 108.189743</t>
  </si>
  <si>
    <t>Bok Sei</t>
  </si>
  <si>
    <t>Vanh</t>
  </si>
  <si>
    <t>Thiếu thời gian học tập, vui chơi, Giảm động lực học tập</t>
  </si>
  <si>
    <t>Việc nặng nhọc, độc hại không làm được</t>
  </si>
  <si>
    <t>Chưa hiểu rõ các quy định, cần được tập huấn hướng dẫn</t>
  </si>
  <si>
    <t>GL07-XP_02-100120261001</t>
  </si>
  <si>
    <t>thôn Bok Rei</t>
  </si>
  <si>
    <t>H Mơi</t>
  </si>
  <si>
    <t>Thiu</t>
  </si>
  <si>
    <t>đi làm về thường hay bị mệt khi làm việc nặng</t>
  </si>
  <si>
    <t xml:space="preserve">chính quyền địa phương, </t>
  </si>
  <si>
    <t>không thường xuyên ghi chép những gì đã làm trên vườn cà phê, không làm theo kỹ thuật trồng cà phê mới được</t>
  </si>
  <si>
    <t xml:space="preserve">chưa được nghe nói về EUDR, </t>
  </si>
  <si>
    <t>Hỗ trợ kỹ thuật canh tác và truy xuất nguồng gốc cho người dân</t>
  </si>
  <si>
    <t>GL07-XP_02-100120261005</t>
  </si>
  <si>
    <t>14.176254, 108.190381</t>
  </si>
  <si>
    <t>thôn Bok Rie</t>
  </si>
  <si>
    <t>Vái</t>
  </si>
  <si>
    <t>Đinh Tiến</t>
  </si>
  <si>
    <t>đôi khi quên ghi một số công việc đã làm trên vườn cà phê, để lâu không nhớ lại được hết</t>
  </si>
  <si>
    <t>chưa ai hướng dẫn về các bước thực hiện EUDR</t>
  </si>
  <si>
    <t>GL05-XP_02-100120261008</t>
  </si>
  <si>
    <t>14.176242, 108.190308</t>
  </si>
  <si>
    <t>Tâm (2)</t>
  </si>
  <si>
    <t>Chưa được tiếp cận và hướng dẫn cách làm</t>
  </si>
  <si>
    <t>Chưa nắm được cách thực hiện</t>
  </si>
  <si>
    <t>GL06-XP_02-100120261000</t>
  </si>
  <si>
    <t>Thoin 18</t>
  </si>
  <si>
    <t>Nhữ Thị Lam</t>
  </si>
  <si>
    <t>Bùi Ngọc Sa</t>
  </si>
  <si>
    <t>Sầu riêng (100 gốc), Tiêu (300 gốc)</t>
  </si>
  <si>
    <t>GL04-XP_02-100120261011</t>
  </si>
  <si>
    <t>Hmũk</t>
  </si>
  <si>
    <t>GL07-XP_02-100120261014</t>
  </si>
  <si>
    <t>14.176236, 108.190409</t>
  </si>
  <si>
    <t>Bok Rie</t>
  </si>
  <si>
    <t>Lan</t>
  </si>
  <si>
    <t>Sun</t>
  </si>
  <si>
    <t>sức khỏe yếu không làm được việc nặng</t>
  </si>
  <si>
    <t>chính quyền địa phương, doanh nghiệp xuất khẩu, tổ chức phi chính phủ</t>
  </si>
  <si>
    <t xml:space="preserve">đôi khi quên ghi không nhớ rõ các khoản tiền đã đầu tư trên vườn cà phê, </t>
  </si>
  <si>
    <t>đấtr canh tác của gia đình chỉ cách rừng 2km, nhưng chưa được hướng dẫn về EUDR</t>
  </si>
  <si>
    <t>GL02-XP_02-100120261000</t>
  </si>
  <si>
    <t>14.158869, 108.149023</t>
  </si>
  <si>
    <t>Thôn 18</t>
  </si>
  <si>
    <t>Nguyễn Văn Trung</t>
  </si>
  <si>
    <t>Giúp đỡ bố mẹ những lúc có thời gian hoặc nghỉ hè</t>
  </si>
  <si>
    <t>Không. 2 vợ chồng thường cùng làm như nhau, tùy nhiên thường sẻ ưu tiên việc nhẹ hơn cho phụ nữ</t>
  </si>
  <si>
    <t>Công ty Vĩnh Hiệp hỗ trợ, tham gia từ năm 2024. Ghi chép sổ tay thủ công</t>
  </si>
  <si>
    <t>Không khó</t>
  </si>
  <si>
    <t>Mới nghe qua thông tin về EUDR trên báo đài, tùy nhiên chưa nhiểu nó như thế nào</t>
  </si>
  <si>
    <t>GL06-XP_02-100120261015</t>
  </si>
  <si>
    <t>Ngô Thị Duyên</t>
  </si>
  <si>
    <t>Đinh Xuân Nong</t>
  </si>
  <si>
    <t>Tiêu, Sầu, Chanh</t>
  </si>
  <si>
    <t>Súc khoẻ yếu</t>
  </si>
  <si>
    <t>Làm rẫy mới</t>
  </si>
  <si>
    <t>GL01-XP_02-100120261023</t>
  </si>
  <si>
    <t>14.158866, 108.149020</t>
  </si>
  <si>
    <t>Tun Đoa</t>
  </si>
  <si>
    <t>Vũ Hữu Chắn</t>
  </si>
  <si>
    <t>Cùng lao động bình thường không giới hạn gì</t>
  </si>
  <si>
    <t>Canh tác bền vững 4C, sổ tay thủ công, chỉ biết từng hộ gia đình</t>
  </si>
  <si>
    <t>Người dân có thể nắm bắt và thực hiện được</t>
  </si>
  <si>
    <t>Chưa được tiếp cận, hướng dẫn kỹ thuật để người dân thực hiện</t>
  </si>
  <si>
    <t>Hướng dẫn để người dân có thể tham gia sản xuất và bán sản phẩm giá trị cao hơn</t>
  </si>
  <si>
    <t>GL07-XP_02-100120261026</t>
  </si>
  <si>
    <t>14.176232, 108.190398</t>
  </si>
  <si>
    <t>Oan</t>
  </si>
  <si>
    <t>P Rưn</t>
  </si>
  <si>
    <t>Thiếu thời gian học tập, vui chơi, Kết quả học tập kém/ngừng học, Giảm khả năng tập trung/ghi nhớ, Ảnh hưởng sức khỏe (mệt mỏi, chóng mặt…)</t>
  </si>
  <si>
    <t>tham gia sản xuất cà phê chứng nhân 4c</t>
  </si>
  <si>
    <t>được hướng dẫn người dân có thể thực hiện được, không có khó khăn gì</t>
  </si>
  <si>
    <t>đất canh tác của gia đình gần rừng nhưng chưa biết về EUDR</t>
  </si>
  <si>
    <t>GL05-XP_02-100120261029</t>
  </si>
  <si>
    <t>14.176236, 108.190184</t>
  </si>
  <si>
    <t>GRen</t>
  </si>
  <si>
    <t>Tâm (1)</t>
  </si>
  <si>
    <t>GL04-XP_02-100120261034</t>
  </si>
  <si>
    <t>Pưi</t>
  </si>
  <si>
    <t>GL02-XP_02-100120261035</t>
  </si>
  <si>
    <t>Vũ Hữu Chính</t>
  </si>
  <si>
    <t>Tăng thu nhập gia đình, Học hỏi kinh nghiệm/kỹ năng</t>
  </si>
  <si>
    <t>Không bị giới hạn</t>
  </si>
  <si>
    <t>Công ty Vĩnh Hiệp hỗ trợ. Chỉ ghi chép thủ công bằng sổ tay mà công ty cũng cấp mẫu</t>
  </si>
  <si>
    <t>Không có nội đúng khác</t>
  </si>
  <si>
    <t>Không khó khăn</t>
  </si>
  <si>
    <t>GL06-XP_02-100120261027</t>
  </si>
  <si>
    <t>Nhữ Thị Nguyện</t>
  </si>
  <si>
    <t>Kết quả học tập kém/ngừng học, Ảnh hưởng sức khỏe (mệt mỏi, chóng mặt…), Giảm khả năng tập trung/ghi nhớ</t>
  </si>
  <si>
    <t>Là lao động chính</t>
  </si>
  <si>
    <t>GL07-XP_02-100120261046</t>
  </si>
  <si>
    <t>14.176221, 108.190386</t>
  </si>
  <si>
    <t>H Mương</t>
  </si>
  <si>
    <t>ghi sổ tay thủ công chỉ biết cà phê từ hộ gia đình</t>
  </si>
  <si>
    <t>đo nhiều mảnh vườn nê khó ghi sổ tay chi tiết, đầy đủ</t>
  </si>
  <si>
    <t>Tờ rơi, áp phích</t>
  </si>
  <si>
    <t>diện tích của gia đình nhiều lớn và nhiều mảnh và chưa được hướng dẫn về điều này</t>
  </si>
  <si>
    <t>GL05-XP_02-100120261047</t>
  </si>
  <si>
    <t>14.176011, 108.190151</t>
  </si>
  <si>
    <t>Goan</t>
  </si>
  <si>
    <t>Guyn</t>
  </si>
  <si>
    <t>Chưa được tiếp cận, tập huấn để nắm</t>
  </si>
  <si>
    <t>GL01-XP_02-100120261048</t>
  </si>
  <si>
    <t>14.158876, 108.149028</t>
  </si>
  <si>
    <t>Nguyễn Như Hùng</t>
  </si>
  <si>
    <t>Tăng thu nhập gia đình, Có thêm tiền tiêu vặt, Giúp gia đình cải thiện kinh tế</t>
  </si>
  <si>
    <t>Lao động bình thường trong gia đình</t>
  </si>
  <si>
    <t>Sổ tay thủ công, hệ thống cà phê 4c</t>
  </si>
  <si>
    <t>Người dân được tập huấn và có thể thực hiện được</t>
  </si>
  <si>
    <t>Chưa được tiếp cận, chưa tập huấn và hướng dẫn người dân thực hiện</t>
  </si>
  <si>
    <t>Nâng cao giá trị cà phê</t>
  </si>
  <si>
    <t>GL06-XP_02-100120261048</t>
  </si>
  <si>
    <t>Đỗ Thị Bông</t>
  </si>
  <si>
    <t>Vũ Văn Vững</t>
  </si>
  <si>
    <t>Sầu, Tiêu</t>
  </si>
  <si>
    <t>Chính quyền huyện/tỉnh, Người mua hàng hóa</t>
  </si>
  <si>
    <t>GL07-XP_02-100120261055</t>
  </si>
  <si>
    <t>14.176186, 108.190334</t>
  </si>
  <si>
    <t>K lữ</t>
  </si>
  <si>
    <t>K Lữ</t>
  </si>
  <si>
    <t>Thiếu thời gian học tập, vui chơi, Giảm khả năng tập trung/ghi nhớ, Ảnh hưởng sức khỏe (mệt mỏi, chóng mặt…)</t>
  </si>
  <si>
    <t>sức khỏe yếu không làm đực việc nặng</t>
  </si>
  <si>
    <t>đôi khi làm về mệt quên ghi</t>
  </si>
  <si>
    <t>diện tích của gia đình gồm nhiều mảnh không biết có vi phạm EUDR không, chưa được hướng dẫn cụ thể</t>
  </si>
  <si>
    <t>GL02-XP_02-100120261056</t>
  </si>
  <si>
    <t>14.158904, 108.149046</t>
  </si>
  <si>
    <t>Nhữ Thị Tuyết</t>
  </si>
  <si>
    <t>Vũ Đình Chi</t>
  </si>
  <si>
    <t>Do công ty Vĩnh hiệp hỗ trợ. Ghi chép thủ công. Và chỉ truy xuất tới hộ</t>
  </si>
  <si>
    <t>Chưa có thói quen ghi chép và cũng cấp số liệu</t>
  </si>
  <si>
    <t>Phát triển cao su</t>
  </si>
  <si>
    <t>GL04-XP_02-100120261059</t>
  </si>
  <si>
    <t>Hyin</t>
  </si>
  <si>
    <t>Hyot</t>
  </si>
  <si>
    <t>GL01-XP_02-100120261101</t>
  </si>
  <si>
    <t>Vũ Thị Ươm</t>
  </si>
  <si>
    <t>Vũ Hữu Hân</t>
  </si>
  <si>
    <t>Không có giới hạn gì</t>
  </si>
  <si>
    <t>Sổ tay thủ công, Cà phê 4c, biết đến từng hộ, năm áp dụng 2020</t>
  </si>
  <si>
    <t>Người dân được hướng dẫn có thể thực hiện được</t>
  </si>
  <si>
    <t>Hướng dẫn người dân sản xuất cà phê theo quy định của EUDR</t>
  </si>
  <si>
    <t>GL05-XP_02-100120261104</t>
  </si>
  <si>
    <t>14.176403, 108.189637</t>
  </si>
  <si>
    <t>Bok Sêi</t>
  </si>
  <si>
    <t>Khuyên</t>
  </si>
  <si>
    <t>ALin</t>
  </si>
  <si>
    <t>Chưa được tiếp cận tài liệu để làm</t>
  </si>
  <si>
    <t>GL06-XP_02-100120261102</t>
  </si>
  <si>
    <t>Nhữ Thị Biển</t>
  </si>
  <si>
    <t>Nguyễn Duy Thu</t>
  </si>
  <si>
    <t>Sầu Riêng, Tiêu, Bơ</t>
  </si>
  <si>
    <t>GL02-XP_02-100120261108</t>
  </si>
  <si>
    <t>Hoàng Thế Sử</t>
  </si>
  <si>
    <t>Có nghe tới EUDR qua tivi, nhưng chưa hiểu gì. Không biết yêu cầu thế nào</t>
  </si>
  <si>
    <t>GL07-XP_02-100120261110</t>
  </si>
  <si>
    <t>14.180168, 108.193658</t>
  </si>
  <si>
    <t>Hứt</t>
  </si>
  <si>
    <t>Kết quả học tập kém/ngừng học, Giảm khả năng tập trung/ghi nhớ, Ảnh hưởng sức khỏe (mệt mỏi, chóng mặt…)</t>
  </si>
  <si>
    <t>phải làm nhiều việc nhà, chăm sóc con nên kg có nhiều thời gian tham gia sản xuất cà phê</t>
  </si>
  <si>
    <t>thực hiện sản xuất cà phê theo tiêu chuẩn 4c, công ty vĩnh hiệp gia lai</t>
  </si>
  <si>
    <t>đọc và viết chữ không thành thao nên khó áp dụng được</t>
  </si>
  <si>
    <t>Lấn chiếm đất đai</t>
  </si>
  <si>
    <t>chưa được hướng dân cụ thể, đọc và viết chữ không thành thao</t>
  </si>
  <si>
    <t>GL05-XP_02-100120261120</t>
  </si>
  <si>
    <t>14.176354, 108.190176</t>
  </si>
  <si>
    <t>Bok Rêi</t>
  </si>
  <si>
    <t>Năk</t>
  </si>
  <si>
    <t>Nhi</t>
  </si>
  <si>
    <t>Chưa được tiếp cận, chưa biết gì</t>
  </si>
  <si>
    <t>GL04-XP_02-100120261122</t>
  </si>
  <si>
    <t>Ginh</t>
  </si>
  <si>
    <t>Không còn phá rừng những năm gần đây</t>
  </si>
  <si>
    <t>GL06-XP_02-100120261114</t>
  </si>
  <si>
    <t>Nhữ Văn Hềnh</t>
  </si>
  <si>
    <t>Sầu riêng, Tiêu, bơ</t>
  </si>
  <si>
    <t>Tiêu chuẩn 4 C</t>
  </si>
  <si>
    <t>GL01-XP_02-100120261124</t>
  </si>
  <si>
    <t>14.158874, 108.149030</t>
  </si>
  <si>
    <t>Vũ Hữu Tám</t>
  </si>
  <si>
    <t>Gia đình lao động bình thường</t>
  </si>
  <si>
    <t>Sổ tay thu công, Cà phê 4c, năm áp dụng 2021</t>
  </si>
  <si>
    <t>Người dân có thể thực hiện được</t>
  </si>
  <si>
    <t>Chưa được tiếp cận các tài liệu hướng dẫn của EUDR</t>
  </si>
  <si>
    <t>Hướng dẫn người dân sản xuất cà phê tuân thủ EUDR</t>
  </si>
  <si>
    <t>GL02-XP_02-100120261125</t>
  </si>
  <si>
    <t>14.158904, 108.149045</t>
  </si>
  <si>
    <t>Nhữ Văn Đôi</t>
  </si>
  <si>
    <t>Chưa được hướng dẫn, tập huấn. Cũng chưa có ai yêu cầu</t>
  </si>
  <si>
    <t>Đã nghe về EUDR qua báo đài. Tuy nhiên để tự thực hiện thì khó: xác định, toạ độ, khoanh vẻ lô cà phê càn phải có chuyên môn kỹ thuật</t>
  </si>
  <si>
    <t>GL01-XP_02-100120261126</t>
  </si>
  <si>
    <t>14.158876, 108.149027</t>
  </si>
  <si>
    <t>Đặng Thị Loan</t>
  </si>
  <si>
    <t>Phạm Văn Đang</t>
  </si>
  <si>
    <t>Lao đông sản xuất bình thường không có khó khăn gì</t>
  </si>
  <si>
    <t>Thiếu thông tin</t>
  </si>
  <si>
    <t>Người dân chưa biết các áp dụng, cần được hướng dẫn, tập huấn</t>
  </si>
  <si>
    <t>Chưa được tiếp cận tài liệu và kiến thức liên quan đến EUDR</t>
  </si>
  <si>
    <t>Mong dự án hỗ trợ người dân sản xuất cà phê bền vững bán giá cao</t>
  </si>
  <si>
    <t>GL07-XP_02-100120261127</t>
  </si>
  <si>
    <t>14.180536, 108.193633</t>
  </si>
  <si>
    <t>P Lữ</t>
  </si>
  <si>
    <t>hay mệt, không làm được việc nặng</t>
  </si>
  <si>
    <t>đọc và viết khó khăn nên kg làm theo được</t>
  </si>
  <si>
    <t>mới nghe lần đầu nên không hiểu, thiếu kiến thức</t>
  </si>
  <si>
    <t>GL05-XP_02-100120261138</t>
  </si>
  <si>
    <t>14.175836, 108.189963</t>
  </si>
  <si>
    <t>Nhất</t>
  </si>
  <si>
    <t>Phyưm</t>
  </si>
  <si>
    <t>Chưa được tiếp cận đến việc này</t>
  </si>
  <si>
    <t>Chưa nắm rõ quy định và cách làm</t>
  </si>
  <si>
    <t>GL02-XP_02-100120261137</t>
  </si>
  <si>
    <t>Đồng Thị Cử</t>
  </si>
  <si>
    <t>Công ty Vĩnh Hiệp hỗ trợ. Chỉ có thể truy xuất tới hộ gia đình, không truy xuất được tới vườn hay gốc. Ghi chép thủ công</t>
  </si>
  <si>
    <t>GL04-XP_02-100120261142</t>
  </si>
  <si>
    <t>Phạm Văn Hải</t>
  </si>
  <si>
    <t>GL07-XP_02-100120261150</t>
  </si>
  <si>
    <t>14.180496, 108.193651</t>
  </si>
  <si>
    <t>Bok Tei</t>
  </si>
  <si>
    <t>Luưm</t>
  </si>
  <si>
    <t>sức khỏe yếu, không thể làm việc nặng</t>
  </si>
  <si>
    <t>thực hiện theo tiêu chuaartn 4c công ty vĩnh hiệp gia lai</t>
  </si>
  <si>
    <t>đất của gia đình nhiều mảnh nên khó ghi hết được thông tin đã đầu tư trên vườn những gì, chỉ ghi những công việc chính như bón phân, tưới nước</t>
  </si>
  <si>
    <t>cần có người hướng dẫn và làm dùm chứ gia đình không biết</t>
  </si>
  <si>
    <t>GL02-XP_02-100120261154</t>
  </si>
  <si>
    <t>14.158865, 108.149021</t>
  </si>
  <si>
    <t>Đào Thị Thạo</t>
  </si>
  <si>
    <t>Nhữ Văn Thanh</t>
  </si>
  <si>
    <t>Ghi chép thủ công bằng sổ tay. Công ty Vĩnh Hiệp hỗ trợ, chỉ truy xuất được tới vườn</t>
  </si>
  <si>
    <t>Khoanh vẽ sơ đồ thửa đất.</t>
  </si>
  <si>
    <t>GL05-XP_02-100120261155</t>
  </si>
  <si>
    <t>14.176974, 108.191296</t>
  </si>
  <si>
    <t>Đinh Phương Thuỳ</t>
  </si>
  <si>
    <t>Mã A Buk</t>
  </si>
  <si>
    <t>Chưa được tham khảo tài liệu, tập huấn</t>
  </si>
  <si>
    <t>Chưa được phổ biến rộng rãi các tài liệu đến người dân</t>
  </si>
  <si>
    <t>GL04-XP_02-100120261156</t>
  </si>
  <si>
    <t>Ayat</t>
  </si>
  <si>
    <t>GL06-XP_02-100120261150</t>
  </si>
  <si>
    <t>Thôn Bok rei</t>
  </si>
  <si>
    <t>Vũ Văn Duyên</t>
  </si>
  <si>
    <t>Sầu riêng, bơ, Tiêu</t>
  </si>
  <si>
    <t>GL07-XP_02-100120261207</t>
  </si>
  <si>
    <t>14.178410, 108.191668</t>
  </si>
  <si>
    <t>A Lay</t>
  </si>
  <si>
    <t>Boyt</t>
  </si>
  <si>
    <t>do phải chăm sóc con cái và làm việc nhà nên it khi đi làm trên vườn cà phê</t>
  </si>
  <si>
    <t>theo cà phê 4c, không phun thuốc trừ cỏ, không dùng thuốc cấm khi phun thuốc sâu, thuốc bệnh, trồng cây che bóng</t>
  </si>
  <si>
    <t>do thay đổi cách làm của gia đình so với trước đây</t>
  </si>
  <si>
    <t>chưa được ai hướng dẫn hay tập huấn gì cả nên không biết</t>
  </si>
  <si>
    <t>GL05-XP_02-100120261218</t>
  </si>
  <si>
    <t>14.176908, 108.191423</t>
  </si>
  <si>
    <t>Bơ</t>
  </si>
  <si>
    <t>Pưn</t>
  </si>
  <si>
    <t>Chưa nắm được việc thực hiện</t>
  </si>
  <si>
    <t>Mở rộng diện tích cà phê, Mở rộng diện tích chăn nuôi, Khai thác gỗ trái phép</t>
  </si>
  <si>
    <t>Chưa biết cách thực hiện</t>
  </si>
  <si>
    <t>GL04-XP_02-100120261226</t>
  </si>
  <si>
    <t>Lê Văn Đông</t>
  </si>
  <si>
    <t>Chưa có kiến thức về EUDR</t>
  </si>
  <si>
    <t>GL05-XP_02-100120261252</t>
  </si>
  <si>
    <t>14.187480, 108.195464</t>
  </si>
  <si>
    <t>Nguyệt</t>
  </si>
  <si>
    <t>HMinh</t>
  </si>
  <si>
    <t>Chưa được tập huấn, nắm bắt tài liệu</t>
  </si>
  <si>
    <t>Chưa được đào tạo, tập huấn</t>
  </si>
  <si>
    <t>GL04-XP_02-100120261253</t>
  </si>
  <si>
    <t>HMyĩh</t>
  </si>
  <si>
    <t>Bâm</t>
  </si>
  <si>
    <t>GL05-XP_02-100120261308</t>
  </si>
  <si>
    <t>14.187374, 108.195143</t>
  </si>
  <si>
    <t>Phó</t>
  </si>
  <si>
    <t>Chưa có tài liệu hay tập huấn để học hỏi</t>
  </si>
  <si>
    <t>Mở rộng diện tích chăn nuôi, Khai thác gỗ trái phép</t>
  </si>
  <si>
    <t>GL05-XP_02-100120261322</t>
  </si>
  <si>
    <t>14.187422, 108.195575</t>
  </si>
  <si>
    <t>Chôk</t>
  </si>
  <si>
    <t>Giảm động lực học tập, Thiếu thời gian học tập, vui chơi, Kết quả học tập kém/ngừng học, Ảnh hưởng sức khỏe (mệt mỏi, chóng mặt…), Ít bạn bè</t>
  </si>
  <si>
    <t>Thiếu kiến thức để làm</t>
  </si>
  <si>
    <t>Chưa nắm bắt được quy định của EUDR</t>
  </si>
  <si>
    <t>GL05-XP_02-100120261334</t>
  </si>
  <si>
    <t>14.186798, 108.193112</t>
  </si>
  <si>
    <t>Doanh</t>
  </si>
  <si>
    <t>Nhên</t>
  </si>
  <si>
    <t>Không làm được việc độc hại và nặng nhọc</t>
  </si>
  <si>
    <t>Chưa được đào tạo, tập huấn về chính sách của EUDR</t>
  </si>
  <si>
    <t>GL02-XP_02-100120261340</t>
  </si>
  <si>
    <t>14.164513, 108.141464</t>
  </si>
  <si>
    <t>Trần Thanh Thế</t>
  </si>
  <si>
    <t>Đã tham gia 4c đó Vĩnh Hiệp hỗ trợ. Năm 2024. Ghi chép thủ công vào sổ tay do công ty cung cấp mẫu</t>
  </si>
  <si>
    <t>Đã từng nghe tới EUDR nhưng chư hiểu về yêu cầu cụ thể như thế nào</t>
  </si>
  <si>
    <t>GL06-XP_02-100120261336</t>
  </si>
  <si>
    <t>Đặng Thế Đông</t>
  </si>
  <si>
    <t>Sầu riêng, Bơ, Tiêu</t>
  </si>
  <si>
    <t>Kém</t>
  </si>
  <si>
    <t>GL01-XP_02-100120261352</t>
  </si>
  <si>
    <t>14.164385, 108.141476</t>
  </si>
  <si>
    <t>Lê Thị Mỹ</t>
  </si>
  <si>
    <t>Trần Minh Phú</t>
  </si>
  <si>
    <t>Người dân chưa biết thực hiện, cần được hướng dẫn</t>
  </si>
  <si>
    <t>Mong dự án hỗ trợ người dân phát triển cà phê bền vững bán giá cao</t>
  </si>
  <si>
    <t>GL02-XP_02-100120261357</t>
  </si>
  <si>
    <t>14.164387, 108.141388</t>
  </si>
  <si>
    <t>Bùi Văn Tuấn</t>
  </si>
  <si>
    <t>Cây ăn quả</t>
  </si>
  <si>
    <t>Ghi chép thủ công. Công ty Vĩnh Hiệp hỗ trợ</t>
  </si>
  <si>
    <t>Khoanh vẽ bản đồ thửa đất</t>
  </si>
  <si>
    <t>GL04-XP_02-100120261341</t>
  </si>
  <si>
    <t>Giảm động lực học tập, Thiếu thời gian học tập, vui chơi, Kết quả học tập kém/ngừng học, Ảnh hưởng sức khỏe (mệt mỏi, chóng mặt…), Giảm khả năng tập trung/ghi nhớ</t>
  </si>
  <si>
    <t>Chính quyền huyện/tỉnh, Chính quyền trung ương, Hợp tác xã, Công ty tư nhân, Các tổ chức phi chính phủ</t>
  </si>
  <si>
    <t>Tập huấn để người dân hiểu rõ về các quy định theo EUDR</t>
  </si>
  <si>
    <t>GL06-XP_02-100120261356</t>
  </si>
  <si>
    <t>Bùi Thị Mỹ</t>
  </si>
  <si>
    <t>Phạm Công Trung</t>
  </si>
  <si>
    <t>Sầu riêng, Tiên, Bơ</t>
  </si>
  <si>
    <t>Có tập huấn, hỗ trợ sẽ làm được</t>
  </si>
  <si>
    <t>GL02-XP_02-100120261410</t>
  </si>
  <si>
    <t>14.164392, 108.141410</t>
  </si>
  <si>
    <t>Nguyễn Ngọc Điệp</t>
  </si>
  <si>
    <t>Giúp đỡ bố mẹ những việc nhẹ</t>
  </si>
  <si>
    <t>GL04-XP_02-100120261416</t>
  </si>
  <si>
    <t>ALanh</t>
  </si>
  <si>
    <t>Chưa tham gia</t>
  </si>
  <si>
    <t>GL06-XP_02-100120261412</t>
  </si>
  <si>
    <t>Thôn18</t>
  </si>
  <si>
    <t>Nguyễn Thị Miến</t>
  </si>
  <si>
    <t>Sầu riêng, tiêu</t>
  </si>
  <si>
    <t>Công việc nặng không làm nỗi</t>
  </si>
  <si>
    <t>GL05-XP_02-100120261424</t>
  </si>
  <si>
    <t>14.185413, 108.194680</t>
  </si>
  <si>
    <t>Pyưm</t>
  </si>
  <si>
    <t>Người dân chưa nắm rõ cách thức thực hiện</t>
  </si>
  <si>
    <t>Chưa được tập huấn, chưa có tài liệu</t>
  </si>
  <si>
    <t>GL02-XP_02-100120261423</t>
  </si>
  <si>
    <t>Đặng Ngọc Xanh</t>
  </si>
  <si>
    <t>GL01-XP_02-100120261426</t>
  </si>
  <si>
    <t>14.164385, 108.141385</t>
  </si>
  <si>
    <t>Phạm Văn Phú</t>
  </si>
  <si>
    <t>Vợ chồng cùng nhau làm và phát triển kinh tế</t>
  </si>
  <si>
    <t>Sổ tay thủ công, Cà Phê 4c, năm 2020</t>
  </si>
  <si>
    <t>Người dân được hướng dẫn là thực hiện được</t>
  </si>
  <si>
    <t>Chưa được hướng dẫn về EUDR</t>
  </si>
  <si>
    <t>Hỗ trợ người dân nâng cao giá trị cà phê</t>
  </si>
  <si>
    <t>GL04-XP_02-100120261431</t>
  </si>
  <si>
    <t>Gyỡ</t>
  </si>
  <si>
    <t>Mở rộng diện tích cà phê, Mở rộng diện tích chăn nuôi, Phát triển cơ sở hạ tầng, Tăng trưởng dân số</t>
  </si>
  <si>
    <t>GL06-XP_02-100120261425</t>
  </si>
  <si>
    <t>Thôn Tul Đoa</t>
  </si>
  <si>
    <t>Nguyễn Thị Kim Giao</t>
  </si>
  <si>
    <t>Trần Văn Tấn</t>
  </si>
  <si>
    <t>Tiêu, sầu riêng</t>
  </si>
  <si>
    <t>GL05-XP_02-100120261438</t>
  </si>
  <si>
    <t>14.185418, 108.194686</t>
  </si>
  <si>
    <t>Luel</t>
  </si>
  <si>
    <t>Thăm</t>
  </si>
  <si>
    <t>Học hỏi kinh nghiệm/kỹ năng, Tính tự lập/trách nhiệm, Giúp gia đình cải thiện kinh tế</t>
  </si>
  <si>
    <t>Chưa được tiếp cận tài liệu và chưa được tập huấn</t>
  </si>
  <si>
    <t>Chưa nắm được thông tin</t>
  </si>
  <si>
    <t>GL01-XP_02-100120261453</t>
  </si>
  <si>
    <t>14.164382, 108.141462</t>
  </si>
  <si>
    <t>Lê Huy Hùng</t>
  </si>
  <si>
    <t>Lao động bình thường không bị giới hạn</t>
  </si>
  <si>
    <t>Sổ tay thủ công, có thể biết cà phê đến từng hộ, Cà Phê 4c, áp dụng năm 2020</t>
  </si>
  <si>
    <t>Doanh nghiệp, Chính quyền, Báo, đài, tivi</t>
  </si>
  <si>
    <t>Chưa được tiếp cận về tài liệu của EUDR</t>
  </si>
  <si>
    <t>Hỗ trợ người dân sản xuất cà phê đúng tiêu chuẩn bán giá trị cao</t>
  </si>
  <si>
    <t>GL04-XP_02-100120261503</t>
  </si>
  <si>
    <t>Thuang</t>
  </si>
  <si>
    <t>GL06-XP_02-100120261503</t>
  </si>
  <si>
    <t>Đoàn Quang Hùng</t>
  </si>
  <si>
    <t>GL05-XP_02-100120261519</t>
  </si>
  <si>
    <t>14.183493, 108.194256</t>
  </si>
  <si>
    <t>Hyỡn</t>
  </si>
  <si>
    <t>Việc độc hại, nặng không tham gia được</t>
  </si>
  <si>
    <t>Chưa nắm rõ quy định, cần tập huấn hướng dẫn để học tập</t>
  </si>
  <si>
    <t>GL07-XP_02-100120261607</t>
  </si>
  <si>
    <t>14.180667, 108.193510</t>
  </si>
  <si>
    <t>làm chậm, không làm được việc nặng</t>
  </si>
  <si>
    <t>viết và đọc chữ khó, nên không hiểu truy xuất nguồn gốc là gì</t>
  </si>
  <si>
    <t>chưa được ai hướng dẫn, chưa biêt EUDR là gì</t>
  </si>
  <si>
    <t>GL07-XP_02-100120261615</t>
  </si>
  <si>
    <t>14.180684, 108.193526</t>
  </si>
  <si>
    <t>Quý</t>
  </si>
  <si>
    <t>không làm được việc nặng nhọc</t>
  </si>
  <si>
    <t>không quen ghi chép lại việc mình đã làm</t>
  </si>
  <si>
    <t>chưa được hướng dẫn</t>
  </si>
  <si>
    <t>GL07-XP_02-100120261623</t>
  </si>
  <si>
    <t>14.180699, 108.193518</t>
  </si>
  <si>
    <t>chrong</t>
  </si>
  <si>
    <t>paih</t>
  </si>
  <si>
    <t>có, không làm đc một số việc nặng vì sức khỏe yếu</t>
  </si>
  <si>
    <t>làm theo tiêu chuẩn cà phê 4c, ghi chép công việc đã làm vào sổ tay</t>
  </si>
  <si>
    <t xml:space="preserve">phòng trừ sâu bệnh hai tổng hợp, không phun thuốc cỏ, </t>
  </si>
  <si>
    <t>không khó vì số diện tích của gia đình xa rừng</t>
  </si>
  <si>
    <t>GL01-XP_02-100120261620</t>
  </si>
  <si>
    <t>14.178619, 108.192176</t>
  </si>
  <si>
    <t>Bokrei</t>
  </si>
  <si>
    <t>Hnonh</t>
  </si>
  <si>
    <t>Tuynh</t>
  </si>
  <si>
    <t>Người dân chưa được tiếp cận, chưa biết làm</t>
  </si>
  <si>
    <t>Cần doanh nghiệp hỗ trợ người dân sản xuất cà phê bán giá cà phê cao</t>
  </si>
  <si>
    <t>GL02-XP_02-100120261625</t>
  </si>
  <si>
    <t>14.180485, 108.193728</t>
  </si>
  <si>
    <t>RHip</t>
  </si>
  <si>
    <t>Hyiun</t>
  </si>
  <si>
    <t>Chưa biết gì về truy xuất nguồn gốc. Chủ hộ không biết chử</t>
  </si>
  <si>
    <t>GL07-XP_02-100120261630</t>
  </si>
  <si>
    <t>14.180687, 108.193515</t>
  </si>
  <si>
    <t>Rak</t>
  </si>
  <si>
    <t>Giảm động lực học tập, Ảnh hưởng sức khỏe (mệt mỏi, chóng mặt…)</t>
  </si>
  <si>
    <t>công việc nhà làm họ mệt nên ít tham gia làm việc trên vườn</t>
  </si>
  <si>
    <t>do không được đi học nhiều, đọc và viết rất kém nên khó có thể tham gia</t>
  </si>
  <si>
    <t>biết ít chữ, chưa được nghe ai hướng dẫn giải thích</t>
  </si>
  <si>
    <t>GL06-XP_02-100120261627</t>
  </si>
  <si>
    <t>Phạm Đức Tính</t>
  </si>
  <si>
    <t>GL01-XP_02-100120261639</t>
  </si>
  <si>
    <t>14.179763, 108.192793</t>
  </si>
  <si>
    <t>Kă</t>
  </si>
  <si>
    <t>Người dân tiếu kiến thức nên không biết làm</t>
  </si>
  <si>
    <t>chưa biết về EUDR</t>
  </si>
  <si>
    <t>Giúp đỡ dân phát triển kinh tế</t>
  </si>
  <si>
    <t>GL06-XP_02-100120261639</t>
  </si>
  <si>
    <t>Nguyễn Phương Nga</t>
  </si>
  <si>
    <t>Nhữ Văn Đoàn</t>
  </si>
  <si>
    <t>GL06-XP_02-100120261650</t>
  </si>
  <si>
    <t>Vũ Thị Hồi</t>
  </si>
  <si>
    <t>Nguyễn Duy Trượt</t>
  </si>
  <si>
    <t>Sức khoẻ có hạn</t>
  </si>
  <si>
    <t>GL07-XP_06-110120260901</t>
  </si>
  <si>
    <t>14.016523, 107.941812</t>
  </si>
  <si>
    <t>Ia Hrung</t>
  </si>
  <si>
    <t>Breng Ba</t>
  </si>
  <si>
    <t>Trần Thị hoài Thành</t>
  </si>
  <si>
    <t>Trần Thị Hoài Thành</t>
  </si>
  <si>
    <t>không thể làm được công việc nặng, phải thuê</t>
  </si>
  <si>
    <t>chính quyền đoàn thể, doanh nghiệp thu mua</t>
  </si>
  <si>
    <t>tham gia cà phê chứng nhận 4c, sản xuất cà phê bền vững</t>
  </si>
  <si>
    <t>khó tính được thành tiền công lao động của gia đình tự làm, phải thường xuyên ghi chép sổ nhật lý nông hộ</t>
  </si>
  <si>
    <t>không có khó khăn vì diện tích canh tác của gia đình canh tác từ năm 1997, không vi phạm EUDR</t>
  </si>
  <si>
    <t>GL06-XP_06-110120260901</t>
  </si>
  <si>
    <t>Breng 3</t>
  </si>
  <si>
    <t>Trần Hữu Hùng</t>
  </si>
  <si>
    <t>GL06-XP_06-110120260905</t>
  </si>
  <si>
    <t>Lê Thị Vinh</t>
  </si>
  <si>
    <t>GL04-XP_06-110120260909</t>
  </si>
  <si>
    <t>Nguyễn Thị Thủy</t>
  </si>
  <si>
    <t>Chính quyền huyện/tỉnh, Hợp tác xã, Công ty tư nhân, Người mua hàng hóa</t>
  </si>
  <si>
    <t>GL02-XP_06-110120260911</t>
  </si>
  <si>
    <t>14.016607, 107.941850</t>
  </si>
  <si>
    <t>BReng 3</t>
  </si>
  <si>
    <t>Lê Đình Quyết</t>
  </si>
  <si>
    <t>Bán tươi sau thu hoạch, Bán sau sấy, Tích trữ khi được giá</t>
  </si>
  <si>
    <t>Người dân chưa nắm được thông tin gì về EUDR</t>
  </si>
  <si>
    <t>GL05-XP_06-110120260914</t>
  </si>
  <si>
    <t>14.016590, 107.941828</t>
  </si>
  <si>
    <t>Đội 10 Thôn Breng 3</t>
  </si>
  <si>
    <t>Lê Công Thành</t>
  </si>
  <si>
    <t>Được phát tài liệu, tham gia tập huấn</t>
  </si>
  <si>
    <t>Cà phê 4c (Ancom). Sổ tay thủ công</t>
  </si>
  <si>
    <t>không có</t>
  </si>
  <si>
    <t>GL06-XP_06-110120260911</t>
  </si>
  <si>
    <t>Võ Thị Hồng</t>
  </si>
  <si>
    <t>Lê Hữu Hồng</t>
  </si>
  <si>
    <t>GL07-XP_06-110120260925</t>
  </si>
  <si>
    <t>14.016499, 107.941882</t>
  </si>
  <si>
    <t>Đặng Thị Hồng</t>
  </si>
  <si>
    <t>Phậm Ngọc Duẩn</t>
  </si>
  <si>
    <t>chỉ làm công việc nhẹ, không làm được tất cả các công việc nên phải thuê công lao động</t>
  </si>
  <si>
    <t>chính quyền, doanh nhiệp thu mua cà phê, tổ chức phi chính phủ</t>
  </si>
  <si>
    <t xml:space="preserve">sản xuất cà phê theo hướng thực hành nông nghiệp tốt, tham gia chứng nhận 4c, </t>
  </si>
  <si>
    <t>phải thường xuyên ghi chép nhật ký nông hộ, đôi khi bị quên, sản xuát phảihực hiện theo yêu cầu của chứng nhân cà phê 4c</t>
  </si>
  <si>
    <t>do diện tích của gia đình là đất thuê hoạc nhận khoán từ nhà nước nên không có GCNQSĐ, cần phải có người hiểu về EUDR hướng dẫn cách làm cho gia đình</t>
  </si>
  <si>
    <t>GL04-XP_06-110120260927</t>
  </si>
  <si>
    <t>Phạm Văn Cầu</t>
  </si>
  <si>
    <t>Phạm Thị Hoa</t>
  </si>
  <si>
    <t>GL02-XP_06-110120260929</t>
  </si>
  <si>
    <t>Nguyễn Thị Toàn</t>
  </si>
  <si>
    <t>Bùi Đình Thưởng</t>
  </si>
  <si>
    <t>GL06-XP_06-110120260931</t>
  </si>
  <si>
    <t>Nguyễn Thị Huê</t>
  </si>
  <si>
    <t>Sức khoẻ yế</t>
  </si>
  <si>
    <t>GL05-XP_06-110120260937</t>
  </si>
  <si>
    <t>14.016619, 107.941906</t>
  </si>
  <si>
    <t>Ngô Thị Nhung</t>
  </si>
  <si>
    <t>Tăng thu nhập gia đình, Có thêm tiền tiêu vặt</t>
  </si>
  <si>
    <t>Hỗ trợ tập huấn và giá cả</t>
  </si>
  <si>
    <t>Cà phê 4c (Ancom)</t>
  </si>
  <si>
    <t>Cần được tập huấn để biết thực hiện</t>
  </si>
  <si>
    <t>GL06-XP_06-110120260937</t>
  </si>
  <si>
    <t>Bạch Thị Hiền</t>
  </si>
  <si>
    <t>Nguyễn Văn Nam</t>
  </si>
  <si>
    <t>Tiên</t>
  </si>
  <si>
    <t>GL07-XP_06-110120260942</t>
  </si>
  <si>
    <t>14.016598, 107.941857</t>
  </si>
  <si>
    <t>Cấn thị Lợi</t>
  </si>
  <si>
    <t>Thái Hữu Thiên</t>
  </si>
  <si>
    <t>Ngân hàng, Chương trình của Nhà nước</t>
  </si>
  <si>
    <t>Không hạn chế gì</t>
  </si>
  <si>
    <t>thực hiện canh tác cà phê theo tiêu chuẩn 4c</t>
  </si>
  <si>
    <t>phải ghi nhật ký nông hộ thủ công trong khi dienj tích đất của gia định nhiều và nhiều mảnh nên đôi khi không chính xác</t>
  </si>
  <si>
    <t>không có khó khăn vì gia đình làm cà phê từ lâu</t>
  </si>
  <si>
    <t>GL02-XP_06-110120260943</t>
  </si>
  <si>
    <t>14.016610, 107.941851</t>
  </si>
  <si>
    <t>Nguyễn Thị Bé</t>
  </si>
  <si>
    <t>Hỗ trợ bố mẹ và học hỏi thêm kinh nghiệm</t>
  </si>
  <si>
    <t>Chưa áp dụng và chưa được hướng dẫn nên không biết</t>
  </si>
  <si>
    <t>GL06-XP_06-110120260943</t>
  </si>
  <si>
    <t>Nguyễn Thị Tý</t>
  </si>
  <si>
    <t>GL04-XP_06-110120260946</t>
  </si>
  <si>
    <t>Lê Thị Thanh Tuyết</t>
  </si>
  <si>
    <t>GL01-XP_06-110120260946</t>
  </si>
  <si>
    <t>14.016608, 107.941947</t>
  </si>
  <si>
    <t>Thôn 10 Breng 3</t>
  </si>
  <si>
    <t>Nguyễn Việt Hà</t>
  </si>
  <si>
    <t>Phụ nữ củng phải làm việc để phát triển kinh tế gia đinh</t>
  </si>
  <si>
    <t>Người dân chưa được tập huấn và hướng dẫn thực hiện để áp dụng</t>
  </si>
  <si>
    <t>Chưa được hướng dẫn nên không nắm rõ</t>
  </si>
  <si>
    <t>Cần hướng dẫn người dân biết để thực hiện</t>
  </si>
  <si>
    <t>GL01-XP_06-110120260951</t>
  </si>
  <si>
    <t>14.016606, 107.941942</t>
  </si>
  <si>
    <t>Trần Thị Thanh</t>
  </si>
  <si>
    <t>Phụ nữ củng được lao động để phát triển kinh tế gia đình và nuôi con</t>
  </si>
  <si>
    <t>chưa được tiếp cận thông tin quy định nên không biết</t>
  </si>
  <si>
    <t>chưa được hướng dẫn thực hiện cụ thể, và cần có kinh phí để thực hiện</t>
  </si>
  <si>
    <t>Chưa được tiếp cận thông tin. nên chưa hiểu về EUDR</t>
  </si>
  <si>
    <t>cần có hướng dẫn thực hiện để người dân nắm bắt và thực hiện</t>
  </si>
  <si>
    <t>GL05-XP_06-110120260954</t>
  </si>
  <si>
    <t>14.016596, 107.941909</t>
  </si>
  <si>
    <t>Trương Thị Khuyên</t>
  </si>
  <si>
    <t>Phan Văn Mạnh</t>
  </si>
  <si>
    <t>Giúp đỡ cha mẹ, Không gặp khó khăn</t>
  </si>
  <si>
    <t>Không có kiến thức</t>
  </si>
  <si>
    <t>Phát triển cơ sở hạ tầng, Khai thác gỗ trái phép</t>
  </si>
  <si>
    <t>Chưa nắm bắt được các quy định về EUDR</t>
  </si>
  <si>
    <t>GL07-XP_06-110120260956</t>
  </si>
  <si>
    <t>14.016606, 107.941853</t>
  </si>
  <si>
    <t>Bùi Thị Hồng Thắm</t>
  </si>
  <si>
    <t>Bùi thị Hồng Thắm</t>
  </si>
  <si>
    <t>không làm được  việc nặng phải thuê mướn công lao động đặc biệt là công hái</t>
  </si>
  <si>
    <t>tổ chức phi chính phủ, chính quyền, công ty thu mua cà phê</t>
  </si>
  <si>
    <t>tham gia sản xuất cà phê có chứng nhận 4c, sản xuát theo hướng thực hành nông nghiệp tốt</t>
  </si>
  <si>
    <t>khó nhất là ghi chép sổ tay nông hộ</t>
  </si>
  <si>
    <t>chưa hiểu EUDR là gì nhưng cũng đã đưa người của công ty thu mua đi định vị GPS</t>
  </si>
  <si>
    <t>GL02-XP_06-110120260959</t>
  </si>
  <si>
    <t>14.016605, 107.941850</t>
  </si>
  <si>
    <t>Nguyễn Thế Oanh</t>
  </si>
  <si>
    <t>Ghi chép sổ tay thủ công. Chỉ truy xuất được tới hộ</t>
  </si>
  <si>
    <t>Chưa nghe đến EUDR bao giờ</t>
  </si>
  <si>
    <t>GL06-XP_06-110120260955</t>
  </si>
  <si>
    <t>Nguyễn Thị Gái</t>
  </si>
  <si>
    <t>GL04-XP_06-110120261002</t>
  </si>
  <si>
    <t>Nguyễn Thị Kiên</t>
  </si>
  <si>
    <t>Nguyễn Xuân Vinh</t>
  </si>
  <si>
    <t>Chính quyền huyện/tỉnh, Công ty tư nhân, Người mua hàng hóa</t>
  </si>
  <si>
    <t>GL06-XP_06-110120261006</t>
  </si>
  <si>
    <t>Nguyễn Văn Đạt</t>
  </si>
  <si>
    <t>GL01-XP_06-110120261010</t>
  </si>
  <si>
    <t>14.016597, 107.941868</t>
  </si>
  <si>
    <t>Hà Thị Tâm</t>
  </si>
  <si>
    <t>Nguyễn Văn Thanh</t>
  </si>
  <si>
    <t>Không bị hạn chế gì</t>
  </si>
  <si>
    <t>Sổ tay thủ công, Cà phê 4c, có thể biết đến từng hộ gia đìnhn, năm áp dụng 2019</t>
  </si>
  <si>
    <t>Chưa được tiếp cận các thông tin hướng dẫn và các quy định của EUDR</t>
  </si>
  <si>
    <t>Tập huấn, hỗ trợ người dân canh tác cà phê bền vững, bán giá cao</t>
  </si>
  <si>
    <t>GL07-XP_06-110120261011</t>
  </si>
  <si>
    <t>14.016569, 107.941880</t>
  </si>
  <si>
    <t>Nguyễn Thị Loan</t>
  </si>
  <si>
    <t>chỉ làm việc nhẹ, việc năng phải nhờ chồng hoặc thuê</t>
  </si>
  <si>
    <t>chính quyền, công ty thu mua sản phẩm, tổ chức phi chính phủ</t>
  </si>
  <si>
    <t>tham gia 4c, Acom</t>
  </si>
  <si>
    <t xml:space="preserve">phải canh tác theo yêu cầu của cà phê 4c, ghi chép nhật ký thường xuyên, </t>
  </si>
  <si>
    <t>Lấn chiếm đất</t>
  </si>
  <si>
    <t>mới được biết thông tin này, nhưng gia đình đã sản xuất từ lâu</t>
  </si>
  <si>
    <t>GL04-XP_06-110120261015</t>
  </si>
  <si>
    <t>Lê Văn Thông</t>
  </si>
  <si>
    <t>Lê Văn Trọng</t>
  </si>
  <si>
    <t>GL02-XP_06-110120261015</t>
  </si>
  <si>
    <t>14.016607, 107.941851</t>
  </si>
  <si>
    <t>Ghi sổ tay thủ công</t>
  </si>
  <si>
    <t>Chưa bao giờ nghe về EUDR</t>
  </si>
  <si>
    <t>GL05-XP_06-110120261023</t>
  </si>
  <si>
    <t>14.016577, 107.941877</t>
  </si>
  <si>
    <t>Lê Thị Hương</t>
  </si>
  <si>
    <t>Được hỗ trợ về giá</t>
  </si>
  <si>
    <t>GL07-XP_06-110120261028</t>
  </si>
  <si>
    <t>14.016632, 107.941834</t>
  </si>
  <si>
    <t>Nguyễn thị Hoà</t>
  </si>
  <si>
    <t>Nguyễn Đình Mạnh</t>
  </si>
  <si>
    <t>kh làm đựơc một số việc nặng</t>
  </si>
  <si>
    <t>dự án ACOM, tổ chức phi chính phủ, công ty thu mua, chính quyền</t>
  </si>
  <si>
    <t>sản xuất theo 4c</t>
  </si>
  <si>
    <t>không khó</t>
  </si>
  <si>
    <t>mới nghe nên không biết khó như thế nào, nhưng đất gia đình canh tác đã hơn 10 nĂM RỒI</t>
  </si>
  <si>
    <t>Hỗ trợ hướng dẫn kỹ thuật</t>
  </si>
  <si>
    <t>GL06-XP_06-110120261026</t>
  </si>
  <si>
    <t>Trần Văn Hưng</t>
  </si>
  <si>
    <t>Bùi Thị Thắm</t>
  </si>
  <si>
    <t>Phun thuốc</t>
  </si>
  <si>
    <t>GL07-XP_06-110120261046</t>
  </si>
  <si>
    <t>14.016642, 107.941861</t>
  </si>
  <si>
    <t>Lương thế Ngọc</t>
  </si>
  <si>
    <t>lương thế Ngọc</t>
  </si>
  <si>
    <t>chỉ làm việc nhẹ phù hợp</t>
  </si>
  <si>
    <t>tổ chức phi chính phủ, doanh nghiệp thu mua, chính quyền</t>
  </si>
  <si>
    <t>thưc hiện theo sản xuất cà phê 4c do công ty thu mua tổ chức</t>
  </si>
  <si>
    <t>nhiều mảnh nên phải ghi nhiều và thường xuyên, đoi khi bị sót thông tin</t>
  </si>
  <si>
    <t>gia đình đã canh tác từ lâu, không có nhu cầu mở rộng diện tích nên không có khó khăn gì</t>
  </si>
  <si>
    <t>GL01-XP_06-110120261054</t>
  </si>
  <si>
    <t>14.016600, 107.941880</t>
  </si>
  <si>
    <t>Lê Văn Dũng</t>
  </si>
  <si>
    <t>Lao động giống nhau</t>
  </si>
  <si>
    <t>Cà phê 4c (Ancom). Sổ tay thủ công, biết đến từng hộ gia đình</t>
  </si>
  <si>
    <t>Được hướng dẫn người dân có thể thực hiện được</t>
  </si>
  <si>
    <t>Hướng dẫn người dân canh tác bán sản phẩm giá trị cao hơn</t>
  </si>
  <si>
    <t>GL05-XP_06-110120261114</t>
  </si>
  <si>
    <t>14.016545, 107.941906</t>
  </si>
  <si>
    <t>Võ Thị Trâm</t>
  </si>
  <si>
    <t>Tập huấn, hỗ trợ giá</t>
  </si>
  <si>
    <t>Chưa có kiến thức</t>
  </si>
  <si>
    <t>GL04-XP_06-110120261346</t>
  </si>
  <si>
    <t>Nguyễn Thị Liệu</t>
  </si>
  <si>
    <t>Lê Xuân Mười</t>
  </si>
  <si>
    <t>GL06-XP_06-110120261339</t>
  </si>
  <si>
    <t>Nguyễn Thị Nguyệt</t>
  </si>
  <si>
    <t>Nguyễn Bá Toàn</t>
  </si>
  <si>
    <t>GL02-XP_06-110120261350</t>
  </si>
  <si>
    <t>14.012332, 107.957645</t>
  </si>
  <si>
    <t>Đặng Văn Nhân</t>
  </si>
  <si>
    <t>Ghi chép sổ tay. Khó truy xuất được tới hộ. Vì sau khi thu hái đó không có sân phơi nên bán tươi cho thương lái, hoạch doanh nghiệp họ tự phơi, sấy và chế biến</t>
  </si>
  <si>
    <t>GL05-XP_06-110120261354</t>
  </si>
  <si>
    <t>14.012396, 107.957621</t>
  </si>
  <si>
    <t>Nguyễn Thị Vinh</t>
  </si>
  <si>
    <t>Nguyễn Hoàng Đồng</t>
  </si>
  <si>
    <t>GL01-XP_06-110120261353</t>
  </si>
  <si>
    <t>14.014224, 107.963369</t>
  </si>
  <si>
    <t>Thôn 4 Breng 3</t>
  </si>
  <si>
    <t>Ngụy Thị Toàn</t>
  </si>
  <si>
    <t>Nguyễn Văn Hồng</t>
  </si>
  <si>
    <t>Việc nặng nhọc, như bốc vác, phun thuốc phụ nữ không làm</t>
  </si>
  <si>
    <t>Cà phê 4c, Sổ tay thủ công, biết đến từng hộ gia đình</t>
  </si>
  <si>
    <t>Người dân được tập huấn, hướng dẫn sẻ làm được</t>
  </si>
  <si>
    <t>Chưa được tiếp cận các thông tin và quy định liên quan EUDR</t>
  </si>
  <si>
    <t>Mong muỗn hỗ trợ tập huấn hướng dẫn người dân canh tác cà phê bền vững và bán giá cao</t>
  </si>
  <si>
    <t>GL07-XP_06-110120261353</t>
  </si>
  <si>
    <t>14.012281, 107.957440</t>
  </si>
  <si>
    <t>Nguyễn thị Hiền</t>
  </si>
  <si>
    <t>NNguyễn hữu tuấn</t>
  </si>
  <si>
    <t>sức khỏe yếu không làm việc nặng</t>
  </si>
  <si>
    <t>ACOM, công ty thu mua cà phê</t>
  </si>
  <si>
    <t>tham gia 4c, do công ty tổ chức</t>
  </si>
  <si>
    <t>khó nhất là ghi chéo nhật ký nông hộ</t>
  </si>
  <si>
    <t>mới nghe chưa hình dung được khó khăn như nào</t>
  </si>
  <si>
    <t>GL04-XP_06-110120261359</t>
  </si>
  <si>
    <t>Nguyễn Thị Oanh</t>
  </si>
  <si>
    <t>Nguyễn Tấn Hợp</t>
  </si>
  <si>
    <t>GL06-XP_06-110120261356</t>
  </si>
  <si>
    <t>Nguyễn Thị Soa</t>
  </si>
  <si>
    <t>Nguyễn Tất Hoàn</t>
  </si>
  <si>
    <t>GL02-XP_06-110120261405</t>
  </si>
  <si>
    <t>14.012320, 107.957673</t>
  </si>
  <si>
    <t>Nguyễn Thị Yến</t>
  </si>
  <si>
    <t>Nguyễn Hữu Thành</t>
  </si>
  <si>
    <t>GL07-XP_06-110120261409</t>
  </si>
  <si>
    <t>14.012336, 107.957864</t>
  </si>
  <si>
    <t>Nguyền Thị Hoà</t>
  </si>
  <si>
    <t>Trần văn thành</t>
  </si>
  <si>
    <t>chỉ làm việc nhẹ</t>
  </si>
  <si>
    <t>tổ chức phi chính phủ, chính quyền</t>
  </si>
  <si>
    <t>thực hành nông nghiêp tốt 4c dô công ty thu mua tổ chức</t>
  </si>
  <si>
    <t>diện tích nhiều và chia nhiều mảnh ghi chep thường xuyên có đôi khi thiếu sót</t>
  </si>
  <si>
    <t>mới nghe nên chưa thực hiện nên chưa thấy những khó khăn</t>
  </si>
  <si>
    <t>GL01-XP_06-110120261410</t>
  </si>
  <si>
    <t>14.012325, 107.957644</t>
  </si>
  <si>
    <t>Lê Thị Sâm</t>
  </si>
  <si>
    <t>Nguyễn Văn Thạch</t>
  </si>
  <si>
    <t>Cả hai vợ 2 vợ chồng cùng làm, không có khó khăn, giới hạn gì</t>
  </si>
  <si>
    <t>Sổ tay thủ công, cà phê tiêu chuẩn 4c, biết đến từng hộ gia đình, năm bắt đầu áp dụng 2020</t>
  </si>
  <si>
    <t>Người dân được tập huấn, hướng dẫn sẻ thực hiện được</t>
  </si>
  <si>
    <t>Chưa biết các quy định của UEDR</t>
  </si>
  <si>
    <t>Mong muốn dự án tập huấn hướng dẫn người dân sản xuất cà phê bền vững</t>
  </si>
  <si>
    <t>GL04-XP_06-110120261412</t>
  </si>
  <si>
    <t>Võ Thị Thơ</t>
  </si>
  <si>
    <t>Nguyễn Hữu Ngũ</t>
  </si>
  <si>
    <t>GL06-XP_06-110120261406</t>
  </si>
  <si>
    <t>Nguyễn Thị Phương</t>
  </si>
  <si>
    <t>Nguyễn Thế Quế</t>
  </si>
  <si>
    <t>Sứ khoẻ yếu</t>
  </si>
  <si>
    <t>GL02-XP_06-110120261418</t>
  </si>
  <si>
    <t>14.012329, 107.957635</t>
  </si>
  <si>
    <t>Lưu Thị Hiền</t>
  </si>
  <si>
    <t>Nguyễn Thế Kỳ</t>
  </si>
  <si>
    <t>Ghi chép bằng sổ tay thủ công. Chỉ truy xuất được tới hộ gia đình</t>
  </si>
  <si>
    <t>Chưa nắm được các yêu cầu của EUDR đối với cà phê. Mới chỉ nghe thông tin chung chung trên tivi</t>
  </si>
  <si>
    <t>GL05-XP_06-110120261419</t>
  </si>
  <si>
    <t>14.012399, 107.957655</t>
  </si>
  <si>
    <t>Cao Thị Hương</t>
  </si>
  <si>
    <t>Nguyễn Văn Hoà</t>
  </si>
  <si>
    <t>Hỗ trợ về giá</t>
  </si>
  <si>
    <t>GL07-XP_06-110120261420</t>
  </si>
  <si>
    <t>breng Ba</t>
  </si>
  <si>
    <t>Lê Thu Phương</t>
  </si>
  <si>
    <t>phạm xuân quý</t>
  </si>
  <si>
    <t>Giảm động lực học tập, Ảnh hưởng sức khỏe (mệt mỏi, chóng mặt…), Giảm khả năng tập trung/ghi nhớ</t>
  </si>
  <si>
    <t>chỉ làm được việc nhẹ</t>
  </si>
  <si>
    <t>chính quyền, tổ chức phi chính phủ, công ty thu mua cà phê</t>
  </si>
  <si>
    <t>mới nghe nói chưa biết làm như thế nào</t>
  </si>
  <si>
    <t>GL04-XP_06-110120261424</t>
  </si>
  <si>
    <t>Phan Như Hường</t>
  </si>
  <si>
    <t>GL02-XP_06-110120261428</t>
  </si>
  <si>
    <t>Hồ Thị Hoa</t>
  </si>
  <si>
    <t>Nguyễn Hữu Khoa</t>
  </si>
  <si>
    <t>Ghi chép thủ công vào sổ tay do đơn vị thu mua cung cấp</t>
  </si>
  <si>
    <t>Chưa nghe thông tin gì về EUDR</t>
  </si>
  <si>
    <t>GL06-XP_06-110120261421</t>
  </si>
  <si>
    <t>Nguyễn Thị Bảy</t>
  </si>
  <si>
    <t>Nguyễn Hữu Lương</t>
  </si>
  <si>
    <t>GL07-XP_06-110120261430</t>
  </si>
  <si>
    <t>14.012397, 107.957619</t>
  </si>
  <si>
    <t>Nguyễn Thị Hà</t>
  </si>
  <si>
    <t>hồ sỹ thịnh</t>
  </si>
  <si>
    <t>còn bận việc nuôi con và nội trợ</t>
  </si>
  <si>
    <t>tổ chức phi chính phủ, đoàn thể chính quyền, công ty thu mua cà phê</t>
  </si>
  <si>
    <t>tham gia sản xuất cà phê theo tiêu chuẩn 4c, ghi chép nhật ký nông hộ đều đặn, trham gia các lớp tập huấn kỹ thuật do công ty thu mua tổ chức</t>
  </si>
  <si>
    <t>cần phải nghiêm túc và trung thực ghi chép những nội dung trong sổ nhật ký nông hộ</t>
  </si>
  <si>
    <t>mới nghe phổ biến nhưng do đất của gia đình đã có từ lâu nên không gặp khó khăn</t>
  </si>
  <si>
    <t>GL01-XP_06-110120261430</t>
  </si>
  <si>
    <t>Đinh Thị Trinh</t>
  </si>
  <si>
    <t>Phụ nữ không đủ sức khỏe để làm việc nặng nhọc</t>
  </si>
  <si>
    <t>Sổ tay thủ công, có thể biến đến từng hộ, cà phê 4c, năm áp dụng 2019</t>
  </si>
  <si>
    <t>Cần hỗ trợ giá và thưởng cho nông dân làm tốt</t>
  </si>
  <si>
    <t>Chưa nắm đủ thông tin</t>
  </si>
  <si>
    <t>Cần hướng dẫn và tập huấn cụ thể cho người dân thực hiện</t>
  </si>
  <si>
    <t>GL05-XP_06-110120261435</t>
  </si>
  <si>
    <t>14.012392, 107.957613</t>
  </si>
  <si>
    <t>Đinh Thị Lý</t>
  </si>
  <si>
    <t>Nguyễn Thăng Long</t>
  </si>
  <si>
    <t>Tập huấn, hỗ trợ về giá</t>
  </si>
  <si>
    <t>GL04-XP_06-110120261439</t>
  </si>
  <si>
    <t>Nguyễn Hữu Từ</t>
  </si>
  <si>
    <t>Chính quyền huyện/tỉnh, Chính quyền trung ương, Hợp tác xã, Công ty tư nhân, Người mua hàng hóa, Các tổ chức phi chính phủ</t>
  </si>
  <si>
    <t>GL02-XP_06-110120261440</t>
  </si>
  <si>
    <t>14.012331, 107.957644</t>
  </si>
  <si>
    <t>KSor Along</t>
  </si>
  <si>
    <t>Ghi sổ tay thủ công và chỉ biết đến hộ gia đình</t>
  </si>
  <si>
    <t>GL02-XP_05-120120260848</t>
  </si>
  <si>
    <t>14.044288, 107.857091</t>
  </si>
  <si>
    <t>Ia Grai</t>
  </si>
  <si>
    <t>Chư Hậu 6</t>
  </si>
  <si>
    <t>Nguyễn Văn Phong</t>
  </si>
  <si>
    <t>Hỗ trợ giá đình</t>
  </si>
  <si>
    <t>Ghi chép thủ công bằng sổ tay do công ty thu mua cung cấp mẫu</t>
  </si>
  <si>
    <t>Cần được tập huấn hướng dẫn rõ về các yêu cầu của EUDR. Mới chỉ nghe sơ qua trên tivi, điện thoại. Và tôi nghỉ khó khăn ở việc xác định toạ độ và khoanh vẻ bản đồ vườn cà phê. Cái này người dân ko tự làm được</t>
  </si>
  <si>
    <t>GL01-XP_05-120120260850</t>
  </si>
  <si>
    <t>14.044520, 107.858811</t>
  </si>
  <si>
    <t>Vũ Thị Vân</t>
  </si>
  <si>
    <t>Vũ Thế Dương</t>
  </si>
  <si>
    <t>Loa động bình hường không có hạn chế</t>
  </si>
  <si>
    <t>Ghi sổ tay thủ công, biết cà phê đến từng hộ, Cà phê 4c, năm áp dụng 2023</t>
  </si>
  <si>
    <t>Mức trợ giá còn thấp, nâng giá hỗ trợ lên để người dân tham gia</t>
  </si>
  <si>
    <t>Người dân được tập huấn hỗ trợ sẻ làm được</t>
  </si>
  <si>
    <t>Chưa được tập huấn, hướng dẫn, còn thiếu thông tin, trình độ người dân còn thấp chưa biết làm theo</t>
  </si>
  <si>
    <t>Hỗ trợ người dân sản xuất cà phê bán giá trị cao</t>
  </si>
  <si>
    <t>GL07-XP_05-120120260851</t>
  </si>
  <si>
    <t>14.037273, 107.875741</t>
  </si>
  <si>
    <t>làng Ngai yố</t>
  </si>
  <si>
    <t>Trần Thị Mỹ Diễm</t>
  </si>
  <si>
    <t>Trần Quốc Cường</t>
  </si>
  <si>
    <t>do sức khỏe yếu nên chỉ làm việc nhẹ</t>
  </si>
  <si>
    <t>tham gia cà phê 4c của công ty vinh hiệp</t>
  </si>
  <si>
    <t>gia đình không có nhu cầu mở rộng diện tích nên không có khó khăn gì</t>
  </si>
  <si>
    <t>GL06-XP_05-120120260839</t>
  </si>
  <si>
    <t>Thoin Út 2</t>
  </si>
  <si>
    <t>Nguyễn Thị Lâm</t>
  </si>
  <si>
    <t>Nguyễn Xuân Tín</t>
  </si>
  <si>
    <t>Chanh dây, Tiêu, Sầu riêng</t>
  </si>
  <si>
    <t>GL05-XP_05-120120260856</t>
  </si>
  <si>
    <t>14.029550, 107.850205</t>
  </si>
  <si>
    <t>Út 2</t>
  </si>
  <si>
    <t>Nguyễn Văn Long</t>
  </si>
  <si>
    <t>4C</t>
  </si>
  <si>
    <t>Chưa được tiếp cận cách làm</t>
  </si>
  <si>
    <t>GL04-XP_05-120120260900</t>
  </si>
  <si>
    <t>Ngai Yố</t>
  </si>
  <si>
    <t>Lê Thị Tâm</t>
  </si>
  <si>
    <t>Lê Vĩnh Thuận</t>
  </si>
  <si>
    <t>GL07-XP_05-120120260907</t>
  </si>
  <si>
    <t>14.037311, 107.875747</t>
  </si>
  <si>
    <t>Lê Thị Hạnh</t>
  </si>
  <si>
    <t>Vương Đình BÌNH</t>
  </si>
  <si>
    <t>hay bị tai nạn lao động khi mệt</t>
  </si>
  <si>
    <t>đã đăng ký tham gia sản xuất cà phê theo tiêu chuẩn 4c, với công ty thu mua</t>
  </si>
  <si>
    <t>không khó khăn vì gia đình đã sản xuất cà phê lâu năm</t>
  </si>
  <si>
    <t>GL04-XP_05-120120260910</t>
  </si>
  <si>
    <t>Ngai YỐ</t>
  </si>
  <si>
    <t>Nguyễn Hoa</t>
  </si>
  <si>
    <t>GL02-XP_05-120120260913</t>
  </si>
  <si>
    <t>14.044442, 107.858742</t>
  </si>
  <si>
    <t>Tạ Thị Tuyến</t>
  </si>
  <si>
    <t>Vũ Đức Mười</t>
  </si>
  <si>
    <t>Gia đình, người thân, Ngân hàng, Chương trình của Nhà nước</t>
  </si>
  <si>
    <t>Ghi chép thủ công vào sổ tay, và chỉ truy xuất được tới hộ. Không thể truy xuất tới từng vườn hay từng cây</t>
  </si>
  <si>
    <t>Cà phê của tất cả các vườn đều thu hái cùng một thời điểm mang về phơi chung trên một sân nên không thể truy xuất được từng vườn</t>
  </si>
  <si>
    <t>GL07-XP_05-120120260918</t>
  </si>
  <si>
    <t>14.037325, 107.875767</t>
  </si>
  <si>
    <t>Lê Thị Mong</t>
  </si>
  <si>
    <t>Trần Khắc Hà</t>
  </si>
  <si>
    <t>hay bị tai nạn lao độnh những khi mệt</t>
  </si>
  <si>
    <t>sản xuaasrt theo tiêu chuẩn 4c, ghi chép  nhật ký nông hộ</t>
  </si>
  <si>
    <t>phải thường xuyên cập nhật thông tin canh tác vào sổ</t>
  </si>
  <si>
    <t>lo ngại những hộ sau này khi muôn mỏ rộng diên tích sẽ gần rùng hơn, anh hưởng cả công động</t>
  </si>
  <si>
    <t>Mong dự án hỗ trợ kỹ thuật</t>
  </si>
  <si>
    <t>GL06-XP_05-120120260909</t>
  </si>
  <si>
    <t>Vũ Thị Dung</t>
  </si>
  <si>
    <t>Trần Văn Liêm</t>
  </si>
  <si>
    <t>GL04-XP_05-120120260924</t>
  </si>
  <si>
    <t>Lê Thị Hồng Mận</t>
  </si>
  <si>
    <t>Nguyễn Ngọc Toàn</t>
  </si>
  <si>
    <t>GL05-XP_05-120120260926</t>
  </si>
  <si>
    <t>14.028797, 107.851205</t>
  </si>
  <si>
    <t>Trần Thị Duyền</t>
  </si>
  <si>
    <t xml:space="preserve">Giúp đỡ cha mẹ, Chuẩn bị quản lý đất đai/sản xuất trong 
tương lai
</t>
  </si>
  <si>
    <t>Mở rộng diện tích chăn nuôi, Tăng trưởng dân số</t>
  </si>
  <si>
    <t>Chưa được tập huấn, hướng dẫn cách thức triển khai</t>
  </si>
  <si>
    <t>GL01-XP_05-120120260930</t>
  </si>
  <si>
    <t>14.044478, 107.858782</t>
  </si>
  <si>
    <t>Không mang vác nặng, không thực hiện phun thuốc hay hoạt động sản xuất độc hại</t>
  </si>
  <si>
    <t>Chưa được tập huấn, hỗ trợ nên không biết</t>
  </si>
  <si>
    <t>Nếu được tập huấn, hỗ trợ sẻ thực hiện được</t>
  </si>
  <si>
    <t>Chưa được tập huấn, hỗ trợ nên chưa nắm được cách thức thực hiện</t>
  </si>
  <si>
    <t>Hướng dẫn người dân canh tác cà phê bán giá trị cao để nâng cao đời sống</t>
  </si>
  <si>
    <t>GL07-XP_05-120120260930</t>
  </si>
  <si>
    <t>14.037326, 107.875772</t>
  </si>
  <si>
    <t>Ngai Yo</t>
  </si>
  <si>
    <t>Trần Xuân Thành</t>
  </si>
  <si>
    <t>thường hay bị tai nạn lao động khi làm việc nặng trong lúc mêt</t>
  </si>
  <si>
    <t>chính quyền địa phương, tổ chức phi chính phủ, khi tham gia sản xuất cà phê theo tiêu chuẩn 4c</t>
  </si>
  <si>
    <t>tham gia cà phê 4c</t>
  </si>
  <si>
    <t>GL02-XP_05-120120260932</t>
  </si>
  <si>
    <t>14.045034, 107.859188</t>
  </si>
  <si>
    <t>Dun De</t>
  </si>
  <si>
    <t>Siu Thuận</t>
  </si>
  <si>
    <t>Hai vợ chồng cùng làm như nhau</t>
  </si>
  <si>
    <t>Không bierts</t>
  </si>
  <si>
    <t>Chưa được hướng dẫn, chưa biết gì về yêu cầu của truy xuất nguồn gốc</t>
  </si>
  <si>
    <t>GL06-XP_05-120120260939</t>
  </si>
  <si>
    <t>Trương Thị Hải</t>
  </si>
  <si>
    <t>Nguyễn Thanh Tâm</t>
  </si>
  <si>
    <t>Tiêu (600 gốc), Sầu riêng</t>
  </si>
  <si>
    <t>Sức khoẻ có giới hạn</t>
  </si>
  <si>
    <t>GL02-XP_05-120120260949</t>
  </si>
  <si>
    <t>14.045414, 107.859338</t>
  </si>
  <si>
    <t>Ngài Yố</t>
  </si>
  <si>
    <t>Rơ Châm ÔCH</t>
  </si>
  <si>
    <t>Chưa được nghe gì về EUDR</t>
  </si>
  <si>
    <t>GL04-XP_05-120120260952</t>
  </si>
  <si>
    <t>Đỗ Văn Đào</t>
  </si>
  <si>
    <t>GL05-XP_05-120120260951</t>
  </si>
  <si>
    <t>14.026784, 107.850227</t>
  </si>
  <si>
    <t>Bùi Thị Minh</t>
  </si>
  <si>
    <t>Chưa có kiến thức và hiểu biết để thực hiện</t>
  </si>
  <si>
    <t>GL06-XP_05-120120261006</t>
  </si>
  <si>
    <t>Đỗ Đình Minh</t>
  </si>
  <si>
    <t>Đõ Đình Minh</t>
  </si>
  <si>
    <t>Chanh dây, Sầu riêng, Tiêu</t>
  </si>
  <si>
    <t>GL04-XP_05-120120261012</t>
  </si>
  <si>
    <t>Nguyễn Thị Vân</t>
  </si>
  <si>
    <t>Bời Lời</t>
  </si>
  <si>
    <t>GL02-XP_05-120120261011</t>
  </si>
  <si>
    <t>14.045355, 107.859300</t>
  </si>
  <si>
    <t>Nguyễn Thị Lan</t>
  </si>
  <si>
    <t>Chưa được nghe về EUDR</t>
  </si>
  <si>
    <t>GL06-XP_05-120120261014</t>
  </si>
  <si>
    <t>Văn Thị Loan</t>
  </si>
  <si>
    <t>Đỗ Hồng Ngọc</t>
  </si>
  <si>
    <t>Chanh dây, Sầu riêng</t>
  </si>
  <si>
    <t>GL01-XP_05-120120261019</t>
  </si>
  <si>
    <t>14.045228, 107.859068</t>
  </si>
  <si>
    <t>Vũ Đình Dưỡng</t>
  </si>
  <si>
    <t>Lao động bình thường không có hạn chế</t>
  </si>
  <si>
    <t>Sổ tay thủ công, biết đến cà phê từng hộ, Cà phê 4C, năm áp dụng 2017</t>
  </si>
  <si>
    <t>Chưa được hướng dẫn thực hiện, nhận thức người dân còn thấp, khó đáp ứng yêu cầu</t>
  </si>
  <si>
    <t>Hỗ trợ người dân canh tác bền vững và bán cà phê với giá cao</t>
  </si>
  <si>
    <t>GL05-XP_05-120120261023</t>
  </si>
  <si>
    <t>14.026737, 107.850431</t>
  </si>
  <si>
    <t>Phạm Thị Lan</t>
  </si>
  <si>
    <t>Trần Văn Hân</t>
  </si>
  <si>
    <t>Chưa được hướng dẫn để nắm bắt thông tin</t>
  </si>
  <si>
    <t>GL07-XP_05-120120261023</t>
  </si>
  <si>
    <t>14.038382, 107.878318</t>
  </si>
  <si>
    <t>Làng Ngai Yo</t>
  </si>
  <si>
    <t>Bùi đức tỉnh</t>
  </si>
  <si>
    <t>công ty thu mua cà phê, chính quyền, tổ chức phi chính phủ</t>
  </si>
  <si>
    <t>tham gia sản xuẩ cÀ PHÊ CÓ CỨNG NHẬN 4C</t>
  </si>
  <si>
    <t>phải làm theo cán bộ đã tập huấn tương đối khó</t>
  </si>
  <si>
    <t>lo ngại các hộ dân khác mở rộng diện tích và sản phẩm bán chung với mifnh</t>
  </si>
  <si>
    <t>GL04-XP_05-120120261029</t>
  </si>
  <si>
    <t>Mai Đức Chiến</t>
  </si>
  <si>
    <t>GL05-XP_05-120120261048</t>
  </si>
  <si>
    <t>14.028776, 107.851904</t>
  </si>
  <si>
    <t>Phan Văn Mão</t>
  </si>
  <si>
    <t>Chưa có hiểu biết về EUDR</t>
  </si>
  <si>
    <t>GL06-XP_05-120120261039</t>
  </si>
  <si>
    <t>Trần Thị Huế</t>
  </si>
  <si>
    <t>Trần Mạnh Đạt</t>
  </si>
  <si>
    <t>Bơ, Mít thái, Mac ca, Sầu riêng, Tiêu</t>
  </si>
  <si>
    <t>GL04-XP_05-120120261106</t>
  </si>
  <si>
    <t>Nguyễn Văn Diễn</t>
  </si>
  <si>
    <t>GL07-XP_05-120120261123</t>
  </si>
  <si>
    <t>14.044083, 107.881154</t>
  </si>
  <si>
    <t>phạm thị hà</t>
  </si>
  <si>
    <t>phạm văn của</t>
  </si>
  <si>
    <t>không làm việc nặng</t>
  </si>
  <si>
    <t>công ty thu mua cà phê, tap huấn về giới và an toàn lao động trong sản xuất cà phê</t>
  </si>
  <si>
    <t>tham gia sản xuất cà phê bền vững 4c, có ghi chép nhật ký nông hộ</t>
  </si>
  <si>
    <t>hay quên ghi do làm mệt</t>
  </si>
  <si>
    <t>mới nghe chưa hiểu rõ lắm</t>
  </si>
  <si>
    <t>GL04-XP_05-120120261131</t>
  </si>
  <si>
    <t>Nguyễn Văn Luân</t>
  </si>
  <si>
    <t>GL04-XP_05-120120261147</t>
  </si>
  <si>
    <t>Nguyễn Văn Ngọc</t>
  </si>
  <si>
    <t>Chính quyền huyện/tỉnh, Chính quyền trung ương, Công ty tư nhân, Người mua hàng hóa</t>
  </si>
  <si>
    <t>Mở rộng diện tích cà phê, Mở rộng diện tích chăn nuôi, Phát triển cơ sở hạ tầng, Khác</t>
  </si>
  <si>
    <t>GL07-XP_05-120120261149</t>
  </si>
  <si>
    <t>14.038073, 107.871281</t>
  </si>
  <si>
    <t>Lương thị Mai</t>
  </si>
  <si>
    <t>Lê văn dũng</t>
  </si>
  <si>
    <t>tập huấn về an toàn lao động, bình đẳng giới trong sản xuất cà phê</t>
  </si>
  <si>
    <t>sản xuất theo tiêu chuẩn 4c</t>
  </si>
  <si>
    <t>phải trung thực khi ghi chép nhật ký nông hộ</t>
  </si>
  <si>
    <t>GL04-XP_05-120120261447</t>
  </si>
  <si>
    <t>Hùng Thị Banh</t>
  </si>
  <si>
    <t>Hoàng Văn Pháng</t>
  </si>
  <si>
    <t>Nùng</t>
  </si>
  <si>
    <t>GL05-XP_05-120120261448</t>
  </si>
  <si>
    <t>14.045783, 107.855688</t>
  </si>
  <si>
    <t>Nguyễn Văn Phú</t>
  </si>
  <si>
    <t>Chưa hiểu rõ được quy định, cách thức thực hiện</t>
  </si>
  <si>
    <t>Chưa biết đến, không có kiến thức</t>
  </si>
  <si>
    <t>GL07-XP_05-120120261454</t>
  </si>
  <si>
    <t>14.048642, 107.854213</t>
  </si>
  <si>
    <t>thôn Cư Hậu 6</t>
  </si>
  <si>
    <t>nguyễn quang thiện</t>
  </si>
  <si>
    <t>Nguyễn quang thiện</t>
  </si>
  <si>
    <t>netsley việt nam, tập huấn an toàn lao động và bifh đẳng giớ trong sản xuát cà phê bền vững</t>
  </si>
  <si>
    <t>mới nghe nói chưa hình dung đc mức độ khó khăn</t>
  </si>
  <si>
    <t>GL04-XP_05-120120261515</t>
  </si>
  <si>
    <t>Hoàng Thị Sồi</t>
  </si>
  <si>
    <t>GL05-XP_05-120120261523</t>
  </si>
  <si>
    <t>14.049107, 107.859423</t>
  </si>
  <si>
    <t>Trần Thị Thanh Thắm</t>
  </si>
  <si>
    <t>Hỗ trợ về giá và tập huấn</t>
  </si>
  <si>
    <t>Chưa có kinh nghiệm, kiến thức về EUDR</t>
  </si>
  <si>
    <t>GL01-XP_05-120120261529</t>
  </si>
  <si>
    <t>14.014901, 107.834756</t>
  </si>
  <si>
    <t>Thành Binh</t>
  </si>
  <si>
    <t>Nguyễn Sỹ Hồng</t>
  </si>
  <si>
    <t>Sổ tay thủ công, Cà phê 4c, biết đến từng hộ, áp dụng năm 2022</t>
  </si>
  <si>
    <t>Người dân được hướng dẫ có thể thực hiện được</t>
  </si>
  <si>
    <t>Chưa được tiếp cận, tập huấn và hướng dẫn thực hiện, người dân thiếu kỹ năng và kiến thức</t>
  </si>
  <si>
    <t>Hỗ trợ người dân canh tác bền vững và bán cà phê giá trị cao</t>
  </si>
  <si>
    <t>GL07-XP_05-120120261543</t>
  </si>
  <si>
    <t>14.049389, 107.852072</t>
  </si>
  <si>
    <t>thôn Chư Hậu 6</t>
  </si>
  <si>
    <t>nguyễn văn thành</t>
  </si>
  <si>
    <t>hồ tiêu</t>
  </si>
  <si>
    <t>Giảm khả năng tập trung/ghi nhớ, Giảm động lực học tập</t>
  </si>
  <si>
    <t>giới trong SX cà phê bền vững, ATLĐ</t>
  </si>
  <si>
    <t>tham gia sản xuất cà phê 4c</t>
  </si>
  <si>
    <t>không quen ghi sổ nhật ký nông hộ vì làm về mệt</t>
  </si>
  <si>
    <t>không khó khăn vì diện tích của gia đình sản xuất đẫ lâu</t>
  </si>
  <si>
    <t>GL04-XP_05-120120261610</t>
  </si>
  <si>
    <t>Lê Văn Khanh</t>
  </si>
  <si>
    <t>GL05-XP_05-120120261610</t>
  </si>
  <si>
    <t>14.046227, 107.863211</t>
  </si>
  <si>
    <t>Trần Văn Chương</t>
  </si>
  <si>
    <t>Chưa được tiếp cận, chưa tập huấn</t>
  </si>
  <si>
    <t>GL01-XP_05-120120261611</t>
  </si>
  <si>
    <t>14.015865, 107.835988</t>
  </si>
  <si>
    <t>Thành Bình</t>
  </si>
  <si>
    <t>Lê Văn Khoa</t>
  </si>
  <si>
    <t>Ảnh hưởng sức khỏe khi tiếp xúc với thuốc bảo vệ thực vật, lao động nặng nhọc ảnh hưởng sức khỏe sau này</t>
  </si>
  <si>
    <t>Sổ tay thủ công, cà phê 4c, có thể truy xuất đến hộ, áp dụng năm 2009</t>
  </si>
  <si>
    <t>Chưa được hướng dẫn thực hiện, kiến thức người dân hạn chế, khó thực hiện</t>
  </si>
  <si>
    <t>Hỗ trợ người dân canh tác bền vững, bán cà phê giá cao</t>
  </si>
  <si>
    <t>GL02-XP_05-120120261614</t>
  </si>
  <si>
    <t>14.021506, 107.835248</t>
  </si>
  <si>
    <t>Thanh Bình</t>
  </si>
  <si>
    <t>Nguyễn Thái Học</t>
  </si>
  <si>
    <t>Trung cấp</t>
  </si>
  <si>
    <t>Ghi sổ tay thủ công và chỉ truy xuất được đến hộ</t>
  </si>
  <si>
    <t>GL06-XP_05-120120261617</t>
  </si>
  <si>
    <t>Trịnh Văn Yết</t>
  </si>
  <si>
    <t>Bơ, Sầu riêng, Tiêu</t>
  </si>
  <si>
    <t>GL07-XP_05-120120261645</t>
  </si>
  <si>
    <t>14.051428, 107.871168</t>
  </si>
  <si>
    <t>Ngai yo</t>
  </si>
  <si>
    <t>Puih Guêh</t>
  </si>
  <si>
    <t>Puih Guê</t>
  </si>
  <si>
    <t>không làm đực những việc nặng nhọc</t>
  </si>
  <si>
    <t>Nestley VN, tổ chức phi chính phủ, chính quyền</t>
  </si>
  <si>
    <t>tham gia chương trình sản xuất cà phê bền vững của Nestley</t>
  </si>
  <si>
    <t>Chính quyền trung ương, Các tổ chức phi chính phủ, Công ty tư nhân</t>
  </si>
  <si>
    <t>không biết ranh giới giữ đất rùng và đất nông nghiệp</t>
  </si>
  <si>
    <t>GL05-XP_05-120120261646</t>
  </si>
  <si>
    <t>14.046942, 107.867078</t>
  </si>
  <si>
    <t>Hoàng Thị Hợi</t>
  </si>
  <si>
    <t>Nguyễn Tất Long</t>
  </si>
  <si>
    <t>GL04-XP_05-120120261646</t>
  </si>
  <si>
    <t>Ksor Uk</t>
  </si>
  <si>
    <t>GL06-XP_05-120120261646</t>
  </si>
  <si>
    <t>Lê Thanh Hà</t>
  </si>
  <si>
    <t>Lê Văn Hà</t>
  </si>
  <si>
    <t>Sầu riêng (800), Tiêu (4000), Bơ, Mít</t>
  </si>
  <si>
    <t>GL04-XP_05-120120261702</t>
  </si>
  <si>
    <t>Rơ Mah Hêm</t>
  </si>
  <si>
    <t>GL01-XP_05-120120261704</t>
  </si>
  <si>
    <t>14.020091, 107.836829</t>
  </si>
  <si>
    <t>Hoàng Văn Anh</t>
  </si>
  <si>
    <t>Không làm được việc nặng, không tiếp xúc với thuốc bảo vệ thực vật tránh ảnh hưởng đến sức khỏe</t>
  </si>
  <si>
    <t>Sổ tay thủ công, Cà Phê 4c, đến từng hộ, năm bắt đầu 2010</t>
  </si>
  <si>
    <t>Chưa được tiếp cận, người dân thiếu kiến thức, thực hiện khó khăn</t>
  </si>
  <si>
    <t>Hỗ trợ nông dân bán sản phẩm giá cao</t>
  </si>
  <si>
    <t>GL02-XP_05-120120261655</t>
  </si>
  <si>
    <t>14.021157, 107.835248</t>
  </si>
  <si>
    <t>Nguyễn Công Đoan</t>
  </si>
  <si>
    <t>Giúp đỡ, hỗ trợ bố mẹ</t>
  </si>
  <si>
    <t>Ghi sổ tay, và chỉ biết là cà phê từ hộ nào</t>
  </si>
  <si>
    <t>Tài liệu hướng dẫn sử dụng phân bón và an toàn lao động</t>
  </si>
  <si>
    <t>GL07-XP_05-120120261707</t>
  </si>
  <si>
    <t>14.050945, 107.871156</t>
  </si>
  <si>
    <t>Siu Dôn</t>
  </si>
  <si>
    <t>chương trình sản xuất cà phê bền vững 4c của Nestle, ACOM, các tổ chức phi chính phủ</t>
  </si>
  <si>
    <t>cà phê 4 c, của Nestley</t>
  </si>
  <si>
    <t>người đồng bào khó ghi lại được cụ thể chi tiết công việc đã làm vào sổ</t>
  </si>
  <si>
    <t>mới nghe chưa hiểu rõ</t>
  </si>
  <si>
    <t>GL05-XP_05-120120261712</t>
  </si>
  <si>
    <t>14.049693, 107.871663</t>
  </si>
  <si>
    <t>AYUL</t>
  </si>
  <si>
    <t>Bùi Hiệp</t>
  </si>
  <si>
    <t>Chưa hiểu rõ được cách làm, cần được hướng dẫn</t>
  </si>
  <si>
    <t>Không có hiểu biết về EUDR</t>
  </si>
  <si>
    <t>GL04-XP_05-120120261717</t>
  </si>
  <si>
    <t>Puih Blik</t>
  </si>
  <si>
    <t>CHưa tham gia tập huấn lần nào</t>
  </si>
  <si>
    <t>GL01-XP_05-120120261731</t>
  </si>
  <si>
    <t>14.017619, 107.839407</t>
  </si>
  <si>
    <t>Phạn Văn Chung</t>
  </si>
  <si>
    <t>Phạm Văn Chung</t>
  </si>
  <si>
    <t>Lao động bình thường cùng gia đình không bị giới hạn</t>
  </si>
  <si>
    <t>Cà phê 4C, sổ tay thủ công, theo dõi đến hộ, Bắt đầu áp dụng 2009</t>
  </si>
  <si>
    <t>Người dân được hướng dẫn và thực hiện được</t>
  </si>
  <si>
    <t>Chưa được tiếp cận kiến thức và chưa được tập huấn, nhận thức người dân hạn chế nên khó thực hiện</t>
  </si>
  <si>
    <t>GL02-XP_03-130120260915</t>
  </si>
  <si>
    <t>13.736066, 107.968924</t>
  </si>
  <si>
    <t>Ia Tôôr</t>
  </si>
  <si>
    <t>Lang Net</t>
  </si>
  <si>
    <t>Siu út</t>
  </si>
  <si>
    <t>Doanh nghiệp thu mua nông sản, Trung gian / bên thứ ba</t>
  </si>
  <si>
    <t>GL07-XP_03-130120260919</t>
  </si>
  <si>
    <t>13.735609, 107.976952</t>
  </si>
  <si>
    <t>làmg Nét</t>
  </si>
  <si>
    <t>K Puo Thă</t>
  </si>
  <si>
    <t>kPui Thă</t>
  </si>
  <si>
    <t>Giảm khả năng tập trung/ghi nhớ, Ảnh hưởng sức khỏe (mệt mỏi, chóng mặt…)</t>
  </si>
  <si>
    <t>ngại viết lại việc làm vào sổ</t>
  </si>
  <si>
    <t>không khó khăn vì đất gia đình xa rừng</t>
  </si>
  <si>
    <t>GL01-XP_03-130120260918</t>
  </si>
  <si>
    <t>13.699574, 107.973804</t>
  </si>
  <si>
    <t>Làng mutthong</t>
  </si>
  <si>
    <t>Siu hlong</t>
  </si>
  <si>
    <t>Rơmah Nhoang</t>
  </si>
  <si>
    <t>Không bị giới hạn gì</t>
  </si>
  <si>
    <t>Người dân thiếu kiến thức nên khó thực hiện</t>
  </si>
  <si>
    <t>Giúp người dân bán cà phê giá trị cao</t>
  </si>
  <si>
    <t>GL04-XP_03-130120260922</t>
  </si>
  <si>
    <t>Làng Nét</t>
  </si>
  <si>
    <t>Rơ Châm Nhất</t>
  </si>
  <si>
    <t>GL05-XP_03-130120260931</t>
  </si>
  <si>
    <t>13.735712, 107.976885</t>
  </si>
  <si>
    <t>Nét</t>
  </si>
  <si>
    <t>Rơ Châm Búch</t>
  </si>
  <si>
    <t>GL07-XP_03-130120260934</t>
  </si>
  <si>
    <t>13.735883, 107.976848</t>
  </si>
  <si>
    <t>làmg nét</t>
  </si>
  <si>
    <t>Rơ chăn Bơl</t>
  </si>
  <si>
    <t>Rơ Châm Bơl</t>
  </si>
  <si>
    <t>đi làm nặng về sẽ bị đau</t>
  </si>
  <si>
    <t>GL01-XP_03-130120260935</t>
  </si>
  <si>
    <t>13.699560, 107.973783</t>
  </si>
  <si>
    <t>Làng mut thong</t>
  </si>
  <si>
    <t>Kpuih Yấp</t>
  </si>
  <si>
    <t>Người dân thiếu kiến thức khó thực hiện</t>
  </si>
  <si>
    <t>Chưa có thông tin, trình độ người dân thấp nên không biết đến Quy đinh của EUDR</t>
  </si>
  <si>
    <t>Hỗ trợ cây giống, vật tư cho người dân sản xuất cà phê bán giá cao</t>
  </si>
  <si>
    <t>GL06-XP_03-130120260923</t>
  </si>
  <si>
    <t>Mút Thong</t>
  </si>
  <si>
    <t>Rơ Mah Choang</t>
  </si>
  <si>
    <t>KPuih Đên</t>
  </si>
  <si>
    <t>Làm được hết</t>
  </si>
  <si>
    <t>Người dân không biết</t>
  </si>
  <si>
    <t>GL04-XP_03-130120260936</t>
  </si>
  <si>
    <t>Rơ Châm Hé</t>
  </si>
  <si>
    <t>Rơ Lang Grẳ</t>
  </si>
  <si>
    <t>GL04-XP_03-130120260953</t>
  </si>
  <si>
    <t>Rơ Lan Vi</t>
  </si>
  <si>
    <t>Kpui Pơc</t>
  </si>
  <si>
    <t>GL06-XP_03-130120260954</t>
  </si>
  <si>
    <t>Kpuih H Nhơn</t>
  </si>
  <si>
    <t>Hbun</t>
  </si>
  <si>
    <t>Không rõ để làm</t>
  </si>
  <si>
    <t>GL05-XP_03-130120260958</t>
  </si>
  <si>
    <t>13.735675, 107.976873</t>
  </si>
  <si>
    <t>Rơ Lan Yêu</t>
  </si>
  <si>
    <t>Chưa hiểu rõ được quy định, cần hướng dẫn tập huấn để biết cách làm</t>
  </si>
  <si>
    <t>Chưa biết gì để làm</t>
  </si>
  <si>
    <t>GL01-XP_03-130120260959</t>
  </si>
  <si>
    <t>13.700418, 107.972693</t>
  </si>
  <si>
    <t>Mut thong</t>
  </si>
  <si>
    <t>Kpuih Pin</t>
  </si>
  <si>
    <t>không có giới hạn</t>
  </si>
  <si>
    <t>Người dân thiếu kiến thức, khó ghi chép</t>
  </si>
  <si>
    <t>Hỗ trợ người dân bán giá cao hơn</t>
  </si>
  <si>
    <t>GL07-XP_03-130120261005</t>
  </si>
  <si>
    <t>13.736037, 107.976805</t>
  </si>
  <si>
    <t>làng nét</t>
  </si>
  <si>
    <t>Rơ chăm Thuân</t>
  </si>
  <si>
    <t>sản xuất cà phê theo tiêu chuẩn 4C</t>
  </si>
  <si>
    <t>chưa hiểu rõ về EUDR</t>
  </si>
  <si>
    <t>GL02-XP_03-130120260959</t>
  </si>
  <si>
    <t>13.700589, 107.972629</t>
  </si>
  <si>
    <t>Siu KLanh</t>
  </si>
  <si>
    <t>Cây trồng/vật nuôi khác</t>
  </si>
  <si>
    <t>GL06-XP_03-130120261006</t>
  </si>
  <si>
    <t>Bút Thong</t>
  </si>
  <si>
    <t>Sui Ngoan</t>
  </si>
  <si>
    <t>GL04-XP_03-130120261012</t>
  </si>
  <si>
    <t>Rơ Châm Klép</t>
  </si>
  <si>
    <t>Không có điện thoại</t>
  </si>
  <si>
    <t>Mở rộng diện tích chăn nuôi, Phát triển cơ sở hạ tầng</t>
  </si>
  <si>
    <t>GL02-XP_03-130120261009</t>
  </si>
  <si>
    <t>13.700293, 107.972609</t>
  </si>
  <si>
    <t>Kpuh Hly</t>
  </si>
  <si>
    <t>Siu Hbut</t>
  </si>
  <si>
    <t>Chưa có thông tin, kiến thức về truy xuất nguồn gốc</t>
  </si>
  <si>
    <t>Chưa có thông tin gì về EUDR</t>
  </si>
  <si>
    <t>GL01-XP_03-130120261014</t>
  </si>
  <si>
    <t>13.700258, 107.972762</t>
  </si>
  <si>
    <t>Siu Djac</t>
  </si>
  <si>
    <t>Loa động sản xuất bình thường</t>
  </si>
  <si>
    <t>Hỗ trợ người dân sản xuất bền vững và bán cầ phê giá trị cao</t>
  </si>
  <si>
    <t>GL02-XP_03-130120261023</t>
  </si>
  <si>
    <t>13.700441, 107.972615</t>
  </si>
  <si>
    <t>Mut Thong</t>
  </si>
  <si>
    <t>Kpuih Thuc</t>
  </si>
  <si>
    <t>Siu Proh</t>
  </si>
  <si>
    <t>Không bị giới hạn. 2 vợ chồng cùng làm</t>
  </si>
  <si>
    <t>Chưa có hiểu biết gì về truy xuất nguồn gốc</t>
  </si>
  <si>
    <t>Tập huấn sử dụng phân bón</t>
  </si>
  <si>
    <t>Chưa có thông tin, hiểu biết gì về EUDR</t>
  </si>
  <si>
    <t>GL05-XP_03-130120261026</t>
  </si>
  <si>
    <t>13.734329, 107.976355</t>
  </si>
  <si>
    <t>Net</t>
  </si>
  <si>
    <t>Siu Nhinh</t>
  </si>
  <si>
    <t>PDeng</t>
  </si>
  <si>
    <t>Việc nặng nhọc không thể làm được</t>
  </si>
  <si>
    <t>Thiếu kiến thức và cần được tập huấn đào tạo</t>
  </si>
  <si>
    <t>GL04-XP_03-130120261026</t>
  </si>
  <si>
    <t>Rơ Châm On</t>
  </si>
  <si>
    <t>Rơ Châm Ớ</t>
  </si>
  <si>
    <t>GL06-XP_03-130120261025</t>
  </si>
  <si>
    <t>Siu Vô</t>
  </si>
  <si>
    <t>Không biết để làm</t>
  </si>
  <si>
    <t>GL04-XP_03-130120261028</t>
  </si>
  <si>
    <t>Rơ Châm Tuệ</t>
  </si>
  <si>
    <t>Rơ Lan Cher</t>
  </si>
  <si>
    <t>GL07-XP_03-130120261031</t>
  </si>
  <si>
    <t>13.736065, 107.976811</t>
  </si>
  <si>
    <t>Kpuih Kan</t>
  </si>
  <si>
    <t>chỉ lao động nhẹ</t>
  </si>
  <si>
    <t>mới nghe lần đầu không hiểu</t>
  </si>
  <si>
    <t>GL01-XP_03-130120261041</t>
  </si>
  <si>
    <t>13.701092, 107.970674</t>
  </si>
  <si>
    <t>Rơ lan Blơnh</t>
  </si>
  <si>
    <t>Lao động bình thường không giới hạn</t>
  </si>
  <si>
    <t>Người dân không có kiến thức và kinh nghiệm thực hiện</t>
  </si>
  <si>
    <t>Chưa biết, thiếu thông tin về EUDR</t>
  </si>
  <si>
    <t>hỗ trợ người dân sản xuất cà phê bán giá cao</t>
  </si>
  <si>
    <t>GL07-XP_03-130120261050</t>
  </si>
  <si>
    <t>13.730029, 107.973721</t>
  </si>
  <si>
    <t>làng né</t>
  </si>
  <si>
    <t>Rơ chăm xép</t>
  </si>
  <si>
    <t>kpuih Găm</t>
  </si>
  <si>
    <t>không làm việc nặng được</t>
  </si>
  <si>
    <t>không biêt EUDR</t>
  </si>
  <si>
    <t>GL05-XP_03-130120261052</t>
  </si>
  <si>
    <t>13.730864, 107.974206</t>
  </si>
  <si>
    <t>Rơ Lan Phai</t>
  </si>
  <si>
    <t>Cần được tập huấn để nâng cao hiểu biết và người dân sẽ làm theo</t>
  </si>
  <si>
    <t>GL07-XP_03-130120261059</t>
  </si>
  <si>
    <t>13.730188, 107.973454</t>
  </si>
  <si>
    <t>làng Nét</t>
  </si>
  <si>
    <t>rơ chăm Bir</t>
  </si>
  <si>
    <t>không làm việc năng được</t>
  </si>
  <si>
    <t>sản xuất cà phê có chứng nhận 4c, có ghi chép nhật ký nông hộ</t>
  </si>
  <si>
    <t>hay quên ghi, để lâu không nhớ được</t>
  </si>
  <si>
    <t>chưa biết gì về EUDR</t>
  </si>
  <si>
    <t>GL04-XP_03-130120261102</t>
  </si>
  <si>
    <t>Rơ Lan Bih</t>
  </si>
  <si>
    <t>Không dùng điện thoại</t>
  </si>
  <si>
    <t>Rơ Châm Alyh</t>
  </si>
  <si>
    <t>GL05-XP_03-130120261106</t>
  </si>
  <si>
    <t>13.731065, 107.974446</t>
  </si>
  <si>
    <t>Rơ Lan Pdon</t>
  </si>
  <si>
    <t>Chưa biết cách thức làm</t>
  </si>
  <si>
    <t>Chưa có tài liệu, hướng dẫn tập huấn về thực hiện</t>
  </si>
  <si>
    <t>GL07-XP_03-130120261113</t>
  </si>
  <si>
    <t>13.730153, 107.973589</t>
  </si>
  <si>
    <t>Rơ Chăn Khân</t>
  </si>
  <si>
    <t>Rơ chăm Khân</t>
  </si>
  <si>
    <t>do sức khỏe không đảm bảo</t>
  </si>
  <si>
    <t>phải thường xuyên ghi chép sổ nhật ký, phải tuân thủ quá trình chăm sóc cà phê theo 4c</t>
  </si>
  <si>
    <t>chưa biết đến bao giờ</t>
  </si>
  <si>
    <t>GL06-XP_03-130120261107</t>
  </si>
  <si>
    <t>Nguyễn Thị Lương</t>
  </si>
  <si>
    <t>Không phun thuốc, phải thuê</t>
  </si>
  <si>
    <t>GL01-XP_03-130120261106</t>
  </si>
  <si>
    <t>13.699075, 107.965586</t>
  </si>
  <si>
    <t>Làng Mut Thong</t>
  </si>
  <si>
    <t>Trần Thị kim Hoa</t>
  </si>
  <si>
    <t>Trương Hoài Phong</t>
  </si>
  <si>
    <t>Chưa được hướng dẫn, thiếu kiến thức, chưa được tiếp cận các quy định thực hiện</t>
  </si>
  <si>
    <t>Hỗ trợ sản xuất cà phê bán giá cao</t>
  </si>
  <si>
    <t>GL05-XP_03-130120261121</t>
  </si>
  <si>
    <t>13.734624, 107.975403</t>
  </si>
  <si>
    <t>Kpa Tháo</t>
  </si>
  <si>
    <t>Chưa có tài liệu để học hỏi</t>
  </si>
  <si>
    <t>GL04-XP_03-130120261125</t>
  </si>
  <si>
    <t>Phạm Văn Thành</t>
  </si>
  <si>
    <t>Bố/mẹ</t>
  </si>
  <si>
    <t>GL06-XP_03-130120261122</t>
  </si>
  <si>
    <t>Lê Văn Thuấn</t>
  </si>
  <si>
    <t>Bơ, Sầu riêng, Tiêu (600 gốc)</t>
  </si>
  <si>
    <t>GL05-XP_03-130120261222</t>
  </si>
  <si>
    <t>13.734641, 107.975562</t>
  </si>
  <si>
    <t>ANH</t>
  </si>
  <si>
    <t>Lê Thành Đạt</t>
  </si>
  <si>
    <t>Sức khỏe yếu, việc nặng nhọc không làm được</t>
  </si>
  <si>
    <t>GL06-XP_03-130120261345</t>
  </si>
  <si>
    <t>Hồ Hải Quốc</t>
  </si>
  <si>
    <t>Chủ Hộ</t>
  </si>
  <si>
    <t>Chanh dây</t>
  </si>
  <si>
    <t>GL02-XP_03-130120261401</t>
  </si>
  <si>
    <t>13.696195, 107.953297</t>
  </si>
  <si>
    <t>Nguyễn Thế Hùng</t>
  </si>
  <si>
    <t>Nguyễn thế Hùng</t>
  </si>
  <si>
    <t>Hỗ trợ bố mẹ lúc rảnh rổi</t>
  </si>
  <si>
    <t>GL06-XP_03-130120261405</t>
  </si>
  <si>
    <t>Nguyễn Thanh Tùng</t>
  </si>
  <si>
    <t>Tiêu, Bơ, Sầu riêng</t>
  </si>
  <si>
    <t>Việc nặng, phun thuốc</t>
  </si>
  <si>
    <t>GL01-XP_03-130120261420</t>
  </si>
  <si>
    <t>13.696210, 107.953301</t>
  </si>
  <si>
    <t>Nguyễn Thế Thịnh</t>
  </si>
  <si>
    <t>Không có giới hạn gì, còng lao động sản xuất phát triển kinh tế</t>
  </si>
  <si>
    <t>Thiếu kiến thức và kinh nghiệm thực hiện, chưa nắm bắt được các quy đinh</t>
  </si>
  <si>
    <t>chưa biết về các quy định của EUDR</t>
  </si>
  <si>
    <t>Hỗ trợ cây giống và phân bón cho người dân sản xuất cà phê, hướng dẫn trồng cà phê bền vững để bán giá trị cao</t>
  </si>
  <si>
    <t>GL02-XP_03-130120261419</t>
  </si>
  <si>
    <t>13.696213, 107.953308</t>
  </si>
  <si>
    <t>Lê Ngọc Đăng</t>
  </si>
  <si>
    <t>Chưa được hướng dấn, cung cấp thông tin. Nên chưa biết yêu cầu của truy xuất nguồn gốc gồm những gì</t>
  </si>
  <si>
    <t>GL01-XP_03-130120261443</t>
  </si>
  <si>
    <t>13.691201, 107.951478</t>
  </si>
  <si>
    <t>Nguyễn Thị Phượng</t>
  </si>
  <si>
    <t>Lê Duy Bốn</t>
  </si>
  <si>
    <t>Chưa biết quy định và hướng dẫn thực hiện</t>
  </si>
  <si>
    <t>Chưa được tiếp cận các quy định của EUDR</t>
  </si>
  <si>
    <t>Hỗ trợ bán cà phê giá cao</t>
  </si>
  <si>
    <t>GL02-XP_03-130120261445</t>
  </si>
  <si>
    <t>13.690241, 107.952106</t>
  </si>
  <si>
    <t>Hoàng Duy Lễ</t>
  </si>
  <si>
    <t>Chưa có hiể biết, thông tin gì về truy xuất nguồn gốc</t>
  </si>
  <si>
    <t>GL06-XP_03-130120261453</t>
  </si>
  <si>
    <t>Vũ Văn Nghĩa</t>
  </si>
  <si>
    <t>Cau. Tiêu, Nhãn, Sầu riêng, Bơ</t>
  </si>
  <si>
    <t>GL06-XP_03-130120261502</t>
  </si>
  <si>
    <t>Mút</t>
  </si>
  <si>
    <t>Lê Văn Canh</t>
  </si>
  <si>
    <t>Mác ca, Nhãn, Tiêu, Sầu riêng, Cau</t>
  </si>
  <si>
    <t>Thiếu thời gian học tập, vui chơi, Ảnh hưởng sức khỏe (mệt mỏi, chóng mặt…), Thiếu ngủ</t>
  </si>
  <si>
    <t>GL06-XP_03-130120261508</t>
  </si>
  <si>
    <t>Nguyễn Văn Quang</t>
  </si>
  <si>
    <t>Chanh (800), Mac ca (300), cAU (500), TIÊU (650), Sầu riêng (300)</t>
  </si>
  <si>
    <t>GL01-XP_03-130120261511</t>
  </si>
  <si>
    <t>13.668762, 107.933370</t>
  </si>
  <si>
    <t>Trương Thị Bòng</t>
  </si>
  <si>
    <t>Chưa có hướng dẫn nên không biết thực hiện</t>
  </si>
  <si>
    <t>Chưa biết các quy định của EUDR</t>
  </si>
  <si>
    <t>hỗ trợ người dân canh tác bền vững và bán cà phê giá trị cao hơn</t>
  </si>
  <si>
    <t>GL05-XP_03-130120261518</t>
  </si>
  <si>
    <t>13.738879, 107.979900</t>
  </si>
  <si>
    <t>Rơ Chăm Tăp</t>
  </si>
  <si>
    <t>Thiếu tài liệu, chưa được tập huấn hướng dẫn</t>
  </si>
  <si>
    <t>Thiếu kiến thức, chưa hiểu các quy định</t>
  </si>
  <si>
    <t>GL02-XP_03-130120261510</t>
  </si>
  <si>
    <t>13.691182, 107.951454</t>
  </si>
  <si>
    <t>Nguyễn Văn Tuế</t>
  </si>
  <si>
    <t>Trong khu vực không có diện tích đất rừng</t>
  </si>
  <si>
    <t>Định vị vị trí thửa đất; các thông tin và hiểu biết về EUDR</t>
  </si>
  <si>
    <t>GL04-XP_03-130120261530</t>
  </si>
  <si>
    <t>Rơ Lan Prih</t>
  </si>
  <si>
    <t>GL01-XP_03-130120261531</t>
  </si>
  <si>
    <t>13.692306, 107.949938</t>
  </si>
  <si>
    <t>Võ Đình Toản</t>
  </si>
  <si>
    <t>Không giới hạn gì</t>
  </si>
  <si>
    <t>Chưa được hướng dẫn, người dân thiếu kiến thức, khó áp dụng</t>
  </si>
  <si>
    <t>Hỗ trợ người dân canh tác bền vững</t>
  </si>
  <si>
    <t>GL05-XP_03-130120261533</t>
  </si>
  <si>
    <t>13.738488, 107.978304</t>
  </si>
  <si>
    <t>Rơ Lan ih</t>
  </si>
  <si>
    <t>Chưa nắm được các quy định, có tập huấn sẽ tham gia và làm theo</t>
  </si>
  <si>
    <t>GL05-XP_03-130120261541</t>
  </si>
  <si>
    <t>13.737898, 107.979016</t>
  </si>
  <si>
    <t>Rơ Chăm Viên</t>
  </si>
  <si>
    <t>Tăng thu nhập gia đình, Có thêm tiền tiêu vặt, Học hỏi kinh nghiệm/kỹ năng</t>
  </si>
  <si>
    <t>GL05-XP_03-130120261543</t>
  </si>
  <si>
    <t>13.738142, 107.979067</t>
  </si>
  <si>
    <t>Rơ Chăm Mân</t>
  </si>
  <si>
    <t>GL02-XP_03-130120261550</t>
  </si>
  <si>
    <t>13.696468, 107.955002</t>
  </si>
  <si>
    <t>Kpuih Sin</t>
  </si>
  <si>
    <t>Trong gia đình hai vợ chồng cùng làm như nhau</t>
  </si>
  <si>
    <t>Chưa được hướng dẫn, chưa biết về các yêu cầu</t>
  </si>
  <si>
    <t>Hướng dẫn sử dụng phân bón do công ty/đơn vị cũng cấp phân bón hỗ trợ</t>
  </si>
  <si>
    <t>Chưa được cũng cấp thông tin gì về EUDR, chưa từng nghe thấy</t>
  </si>
  <si>
    <t>GL04-XP_03-130120261553</t>
  </si>
  <si>
    <t>Phạm Hùng</t>
  </si>
  <si>
    <t>Lê Thị Liệu</t>
  </si>
  <si>
    <t>GL01-XP_03-130120261558</t>
  </si>
  <si>
    <t>13.697157, 107.956680</t>
  </si>
  <si>
    <t>Làng Mut thong</t>
  </si>
  <si>
    <t>Lô Văn Thể</t>
  </si>
  <si>
    <t>Thái</t>
  </si>
  <si>
    <t>Người dân nếu được hướng dẫn sẻ thực hiện được</t>
  </si>
  <si>
    <t>Chưa được biết đến các quy định của EUDR, chính quyền, doanh nghiệp chưa hướng dẫn</t>
  </si>
  <si>
    <t>Hỗ trợ phát triển cà phê bán giá trị cao hơn, canh tác bền vững</t>
  </si>
  <si>
    <t>GL04-XP_03-140120261118</t>
  </si>
  <si>
    <t>Người trả lời</t>
  </si>
  <si>
    <t>ID</t>
  </si>
  <si>
    <t>Tên thành viên</t>
  </si>
  <si>
    <t>Thành viên gia đình có tham gia các công đoạn sản xuất cà phê không?</t>
  </si>
  <si>
    <t>Tham gia ở các công đoạn nào ?</t>
  </si>
  <si>
    <t>GL01-XP_01-080120260923-01</t>
  </si>
  <si>
    <t>Trồng, Làm đất, làm cỏ, Bón phân, Phun thuốc, Tưới nước, Thu hoạch, Sơ chế, Sấy, Tỉa cành, Thăm vườn, Bán sản phẩm, Quản lý tài chỉnh</t>
  </si>
  <si>
    <t>GL01-XP_01-080120260943-01</t>
  </si>
  <si>
    <t>Trồng, Làm đất, làm cỏ, Bón phân, Phun thuốc, Tưới nước, Thu hoạch, Sơ chế, Sấy, Tỉa cành, Thăm vườn</t>
  </si>
  <si>
    <t>GL01-XP_01-080120261057-01</t>
  </si>
  <si>
    <t>Trồng, Làm đất, làm cỏ, Bón phân, Phun thuốc, Tưới nước, Thu hoạch, Sơ chế, Sấy, Tỉa cành, Thăm vườn, Bán sản phẩm</t>
  </si>
  <si>
    <t>GL01-XP_01-080120261124-01</t>
  </si>
  <si>
    <t>GL01-XP_01-080120261449-01</t>
  </si>
  <si>
    <t>Trồng, Làm đất, làm cỏ, Bón phân, Phun thuốc, Tưới nước, Thu hoạch, Sơ chế, Sấy, Tập huấn kỹ thuật, Tỉa cành, Thăm vườn, Bán sản phẩm</t>
  </si>
  <si>
    <t>GL01-XP_01-080120261724-01</t>
  </si>
  <si>
    <t>GL01-XP_01-080120261806-01</t>
  </si>
  <si>
    <t>GL01-XP_01-080120261900-01</t>
  </si>
  <si>
    <t>GL01-XP_07-090120260817-01</t>
  </si>
  <si>
    <t>GL01-XP_07-090120260836-01</t>
  </si>
  <si>
    <t>B Lấp</t>
  </si>
  <si>
    <t>GL01-XP_07-090120260956-01</t>
  </si>
  <si>
    <t>GL01-XP_07-090120261024-01</t>
  </si>
  <si>
    <t>GL01-XP_07-090120261055-01</t>
  </si>
  <si>
    <t>Hap</t>
  </si>
  <si>
    <t>GL01-XP_07-090120261114-01</t>
  </si>
  <si>
    <t>GL01-XP_07-090120261136-01</t>
  </si>
  <si>
    <t>GL01-XP_07-090120261208-01</t>
  </si>
  <si>
    <t>GL01-XP_07-090120261220-01</t>
  </si>
  <si>
    <t>GL01-XP_07-090120261230-01</t>
  </si>
  <si>
    <t>GL01-XP_07-090120261244-01</t>
  </si>
  <si>
    <t>GL02-XP_01-080120260812-01</t>
  </si>
  <si>
    <t>Này Thuym</t>
  </si>
  <si>
    <t>Trồng, Làm đất, làm cỏ, Bón phân, Phun thuốc, Tưới nước, Thu hoạch, Sơ chế, Sấy, Tập huấn kỹ thuật, Tỉa cành, Thăm vườn, Bán sản phẩm, Quản lý tài chỉnh</t>
  </si>
  <si>
    <t>GL02-XP_01-080120260857-01</t>
  </si>
  <si>
    <t>Thơr</t>
  </si>
  <si>
    <t>Trồng, Làm đất, làm cỏ, Bón phân, Phun thuốc, Tưới nước, Thu hoạch, Sơ chế, Sấy, Tỉa cành, Bán sản phẩm, Quản lý tài chỉnh</t>
  </si>
  <si>
    <t>GL02-XP_01-080120260857-03</t>
  </si>
  <si>
    <t>Trồng, Làm đất, làm cỏ, Bón phân, Tưới nước, Thu hoạch, Sơ chế</t>
  </si>
  <si>
    <t>GL02-XP_01-080120260857-04</t>
  </si>
  <si>
    <t>Trồng, Làm đất, làm cỏ, Bón phân, Phun thuốc, Tưới nước, Thu hoạch, Sơ chế</t>
  </si>
  <si>
    <t>GL02-XP_01-080120260946-01</t>
  </si>
  <si>
    <t>MLuh</t>
  </si>
  <si>
    <t>GL02-XP_01-080120261010-01</t>
  </si>
  <si>
    <t>GL02-XP_01-080120261031-01</t>
  </si>
  <si>
    <t>GL02-XP_01-080120261319-01</t>
  </si>
  <si>
    <t>KLêm</t>
  </si>
  <si>
    <t>Trồng, Thu hoạch, Sơ chế, Sấy, Thăm vườn</t>
  </si>
  <si>
    <t>GL02-XP_01-080120261433-01</t>
  </si>
  <si>
    <t>GL02-XP_01-080120261608-01</t>
  </si>
  <si>
    <t>GL02-XP_01-080120261726-01</t>
  </si>
  <si>
    <t>GL02-XP_01-080120261828-01</t>
  </si>
  <si>
    <t>GL02-XP_01-090120261611-01</t>
  </si>
  <si>
    <t>GL02-XP_01-090120261611-02</t>
  </si>
  <si>
    <t>Tuna</t>
  </si>
  <si>
    <t>GL02-XP_01-090120261636-01</t>
  </si>
  <si>
    <t>Trồng, Làm đất, làm cỏ, Bón phân, Tưới nước, Thu hoạch, Sơ chế, Sấy, Tập huấn kỹ thuật, Tỉa cành, Thăm vườn, Bán sản phẩm, Quản lý tài chỉnh</t>
  </si>
  <si>
    <t>GL02-XP_01-090120261708-01</t>
  </si>
  <si>
    <t>GL02-XP_01-090120261745-01</t>
  </si>
  <si>
    <t>GL02-XP_07-090120260814-01</t>
  </si>
  <si>
    <t>GL02-XP_07-090120260920-01</t>
  </si>
  <si>
    <t>GL02-XP_07-090120261304-01</t>
  </si>
  <si>
    <t>GL02-XP_07-090120261304-02</t>
  </si>
  <si>
    <t>GL06-XP_01-080120260910-01</t>
  </si>
  <si>
    <t>Trồng, Phun thuốc, Sơ chế, Làm đất, làm cỏ, Tưới nước, Sấy, Bón phân, Thu hoạch</t>
  </si>
  <si>
    <t>GL06-XP_01-080120260937-01</t>
  </si>
  <si>
    <t>Nhul</t>
  </si>
  <si>
    <t>Trồng, Làm đất, làm cỏ, Bón phân, Tưới nước, Thu hoạch, Sơ chế, Sấy, Tỉa cành, Thăm vườn, Bán sản phẩm, Quản lý tài chỉnh</t>
  </si>
  <si>
    <t>GL06-XP_01-080120261053-01</t>
  </si>
  <si>
    <t>Hmyh</t>
  </si>
  <si>
    <t>Trồng, Làm đất, làm cỏ, Bón phân, Tưới nước, Thu hoạch, Sơ chế, Sấy</t>
  </si>
  <si>
    <t>GL06-XP_01-080120261322-01</t>
  </si>
  <si>
    <t>GL06-XP_01-080120261349-01</t>
  </si>
  <si>
    <t>HNuyh</t>
  </si>
  <si>
    <t>GL06-XP_01-080120261413-01</t>
  </si>
  <si>
    <t>GL06-XP_01-080120261551-01</t>
  </si>
  <si>
    <t>GL06-XP_01-080120261728-01</t>
  </si>
  <si>
    <t>GL06-XP_01-080120261821-01</t>
  </si>
  <si>
    <t>Trồng, Sơ chế, Làm đất, làm cỏ, Tưới nước, Sấy, Bón phân, Thu hoạch</t>
  </si>
  <si>
    <t>GL06-XP_01-090120261605-01</t>
  </si>
  <si>
    <t>GL06-XP_01-090120261731-01</t>
  </si>
  <si>
    <t>GL06-XP_07-090120260906-01</t>
  </si>
  <si>
    <t>Trồng, Làm đất, làm cỏ, Bón phân, Phun thuốc, Tưới nước, Thu hoạch, Sơ chế, Sấy</t>
  </si>
  <si>
    <t>GL06-XP_07-090120260926-01</t>
  </si>
  <si>
    <t>GL06-XP_07-090120261044-01</t>
  </si>
  <si>
    <t>Tưới nước, Thu hoạch, Sơ chế</t>
  </si>
  <si>
    <t>GL06-XP_07-090120261125-01</t>
  </si>
  <si>
    <t>GL06-XP_07-090120261158-01</t>
  </si>
  <si>
    <t>GL06-XP_07-090120261220-01</t>
  </si>
  <si>
    <t>Sen</t>
  </si>
  <si>
    <t>GL06-XP_07-090120261244-01</t>
  </si>
  <si>
    <t>H Ne</t>
  </si>
  <si>
    <t>GL07-XP_01-080120260850-01</t>
  </si>
  <si>
    <t>Trồng, Làm đất, làm cỏ, Bón phân, Phun thuốc, Tưới nước, Thu hoạch, Sơ chế, Tỉa cành, Thăm vườn, Bán sản phẩm</t>
  </si>
  <si>
    <t>GL02-XP_05-120120261011-01</t>
  </si>
  <si>
    <t>Trồng, Làm đất, làm cỏ, Bón phân, Thu hoạch, Tập huấn kỹ thuật, Tỉa cành, Thăm vườn, Bán sản phẩm, Quản lý tài chỉnh</t>
  </si>
  <si>
    <t>GL02-XP_05-120120261011-02</t>
  </si>
  <si>
    <t>Bùi Văn Hiếu</t>
  </si>
  <si>
    <t>GL02-XP_05-120120261655-01</t>
  </si>
  <si>
    <t>GL02-XP_05-120120261655-02</t>
  </si>
  <si>
    <t>Nguyễn Thị Kim</t>
  </si>
  <si>
    <t>Trồng, Làm đất, làm cỏ, Bón phân, Thu hoạch, Sơ chế, Sấy, Tỉa cành, Thăm vườn, Bán sản phẩm, Quản lý tài chỉnh</t>
  </si>
  <si>
    <t>GL02-XP_03-130120260915-02</t>
  </si>
  <si>
    <t>Rơ Lan Pdơot</t>
  </si>
  <si>
    <t>GL02-XP_03-130120260915-01</t>
  </si>
  <si>
    <t>Siu Út</t>
  </si>
  <si>
    <t>GL02-XP_03-130120261009-01</t>
  </si>
  <si>
    <t>GL02-XP_03-130120261023-01</t>
  </si>
  <si>
    <t>GL02-XP_03-130120261023-03</t>
  </si>
  <si>
    <t>Siu Phong</t>
  </si>
  <si>
    <t>GL02-XP_03-130120261023-02</t>
  </si>
  <si>
    <t>Siu Thich</t>
  </si>
  <si>
    <t>GL06-XP_03-130120261345-01</t>
  </si>
  <si>
    <t>Nguyễn Thị Khuyên</t>
  </si>
  <si>
    <t>GL02-XP_03-130120261401-01</t>
  </si>
  <si>
    <t>Nguyễn Thị Thanh Xuân</t>
  </si>
  <si>
    <t>Trồng, Làm đất, làm cỏ, Bón phân, Tưới nước, Thu hoạch, Sơ chế, Sấy, Bán sản phẩm, Quản lý tài chỉnh</t>
  </si>
  <si>
    <t>GL02-XP_03-130120261510-02</t>
  </si>
  <si>
    <t>Nguyễn Tuấn Đạt</t>
  </si>
  <si>
    <t>Tưới nước, Thu hoạch, Sơ chế, Sấy</t>
  </si>
  <si>
    <t>GL02-XP_03-130120261510-01</t>
  </si>
  <si>
    <t>Nguyễn Thị Mẫn</t>
  </si>
  <si>
    <t>GL02-XP_03-130120261550-01</t>
  </si>
  <si>
    <t>Kpa Mo</t>
  </si>
  <si>
    <t>Trồng, Làm đất, làm cỏ, Bón phân, Thu hoạch, Sơ chế, Sấy</t>
  </si>
  <si>
    <t>GL02-XP_03-130120261550-02</t>
  </si>
  <si>
    <t>Kpa Chu</t>
  </si>
  <si>
    <t>GL02-XP_03-130120261550-03</t>
  </si>
  <si>
    <t>Siu Mah</t>
  </si>
  <si>
    <t>GL04-XP_03-140120261118-01</t>
  </si>
  <si>
    <t>KBui BYên</t>
  </si>
  <si>
    <t>GL04-XP_03-140120261118-03</t>
  </si>
  <si>
    <t>KBui Nhiên</t>
  </si>
  <si>
    <t>GL04-XP_03-140120261118-02</t>
  </si>
  <si>
    <t>KBui Nhuận</t>
  </si>
  <si>
    <t>GL06-XP_01-080120260910-02</t>
  </si>
  <si>
    <t>H Nung</t>
  </si>
  <si>
    <t>GL06-XP_01-080120260925-01</t>
  </si>
  <si>
    <t>HNeh</t>
  </si>
  <si>
    <t>GL01-XP_07-090120260817-02</t>
  </si>
  <si>
    <t>Alenh</t>
  </si>
  <si>
    <t>GL06-XP_01-080120261322ece49886</t>
  </si>
  <si>
    <t>GL01-XP_07-0901202608366d2d0569</t>
  </si>
  <si>
    <t>A Lanh</t>
  </si>
  <si>
    <t>GL01-XP_07-0901202608361281f4e8</t>
  </si>
  <si>
    <t>Za Hân</t>
  </si>
  <si>
    <t>GL01-XP_07-090120260956b439bc8e</t>
  </si>
  <si>
    <t>Tuen</t>
  </si>
  <si>
    <t>GL01-XP_07-09012026095605d1d283</t>
  </si>
  <si>
    <t>GL01-XP_07-090120260956b136e055</t>
  </si>
  <si>
    <t>Hêk</t>
  </si>
  <si>
    <t>Trồng, Làm đất, làm cỏ, Bón phân, Tưới nước, Thu hoạch, Sơ chế, Sấy, Tỉa cành, Thăm vườn</t>
  </si>
  <si>
    <t>GL01-XP_07-09012026102404d0eec5</t>
  </si>
  <si>
    <t>GL01-XP_07-0901202610248e84ec78</t>
  </si>
  <si>
    <t>Yuim</t>
  </si>
  <si>
    <t>GL01-XP_07-090120261024ef39c767</t>
  </si>
  <si>
    <t>A Lơnh</t>
  </si>
  <si>
    <t>GL02-XP_03-13012026155085986518</t>
  </si>
  <si>
    <t>GL02-XP_03-13012026151018b7b147</t>
  </si>
  <si>
    <t>GL06-XP_01-08012026151852ac371a</t>
  </si>
  <si>
    <t>Mchul</t>
  </si>
  <si>
    <t>GL02-XP_03-13012026144504b21743</t>
  </si>
  <si>
    <t>GL02-XP_03-130120261445bccc4764</t>
  </si>
  <si>
    <t>Hoàng Duy Nguyên</t>
  </si>
  <si>
    <t>GL02-XP_03-1301202614450734045c</t>
  </si>
  <si>
    <t>GL02-XP_03-130120261419aa5a8d04</t>
  </si>
  <si>
    <t>Phạm Thị Mười</t>
  </si>
  <si>
    <t>GL02-XP_03-130120261419a3724e3f</t>
  </si>
  <si>
    <t>Lê Thị Thanh An</t>
  </si>
  <si>
    <t>GL02-XP_03-13012026141977a780b9</t>
  </si>
  <si>
    <t>GL02-XP_03-130120261401905dd57b</t>
  </si>
  <si>
    <t>Trồng, Bón phân, Tưới nước, Sơ chế, Sấy, Tập huấn kỹ thuật, Tỉa cành, Thăm vườn, Bán sản phẩm</t>
  </si>
  <si>
    <t>GL06-XP_01-08012026155153ed5abe</t>
  </si>
  <si>
    <t>GL04-XP_01-0801202618291a2285eb</t>
  </si>
  <si>
    <t>Châm</t>
  </si>
  <si>
    <t>GL05-XP_01-080120261106de34a57e</t>
  </si>
  <si>
    <t>Năch</t>
  </si>
  <si>
    <t>Trồng, Làm đất, làm cỏ, Bón phân, Tưới nước, Thu hoạch, Sơ chế, Sấy, Thăm vườn</t>
  </si>
  <si>
    <t>GL05-XP_01-08012026110693fc68c7</t>
  </si>
  <si>
    <t>GL02-XP_03-1301202614012279394c</t>
  </si>
  <si>
    <t>Nguyễn Thế Sơn</t>
  </si>
  <si>
    <t>GL01-XP_07-090120261055c9af135b</t>
  </si>
  <si>
    <t>Yauanh</t>
  </si>
  <si>
    <t>GL01-XP_07-090120261055aa830b42</t>
  </si>
  <si>
    <t>Trồng, Làm đất, làm cỏ, Tưới nước, Thu hoạch, Sơ chế, Sấy, Tỉa cành, Thăm vườn</t>
  </si>
  <si>
    <t>GL01-XP_07-090120261114c959673d</t>
  </si>
  <si>
    <t>GL01-XP_07-090120261114266e3f20</t>
  </si>
  <si>
    <t>Boat</t>
  </si>
  <si>
    <t>GL01-XP_07-090120261114bfe35b16</t>
  </si>
  <si>
    <t>Si Khoa</t>
  </si>
  <si>
    <t>GL05-XP_01-080120261001be57245b</t>
  </si>
  <si>
    <t>Sa Muên</t>
  </si>
  <si>
    <t>GL05-XP_01-0801202611066f86670e</t>
  </si>
  <si>
    <t>Trồng, Làm đất, làm cỏ, Bón phân, Tưới nước, Thu hoạch, Sơ chế, Sấy, Tỉa cành, Thăm vườn, Bán sản phẩm</t>
  </si>
  <si>
    <t>GL05-XP_01-0801202610015bc64b68</t>
  </si>
  <si>
    <t>GL01-XP_07-0901202611360022277a</t>
  </si>
  <si>
    <t>Noi</t>
  </si>
  <si>
    <t>GL01-XP_07-090120261136b71e683c</t>
  </si>
  <si>
    <t>GL05-XP_01-080120260912c62d8a55</t>
  </si>
  <si>
    <t>Thiều</t>
  </si>
  <si>
    <t>GL05-XP_01-080120260912d7644b2b</t>
  </si>
  <si>
    <t>Trồng, Làm đất, làm cỏ, Bón phân, Tưới nước, Thu hoạch, Sơ chế, Sấy, Tỉa cành, Thăm vườn, Quản lý tài chỉnh</t>
  </si>
  <si>
    <t>GL05-XP_01-080120260912d3cbb70a</t>
  </si>
  <si>
    <t>Lyưn</t>
  </si>
  <si>
    <t>GL05-XP_01-0801202609123e608ec0</t>
  </si>
  <si>
    <t>Thiên</t>
  </si>
  <si>
    <t>GL05-XP_01-080120260912f71d6097</t>
  </si>
  <si>
    <t>Thiệp</t>
  </si>
  <si>
    <t>GL05-XP_01-0801202610408e4c9f8d</t>
  </si>
  <si>
    <t>GL05-XP_01-08012026104006add872</t>
  </si>
  <si>
    <t>Hrưi</t>
  </si>
  <si>
    <t>GL05-XP_01-080120261040c9ab5f7f</t>
  </si>
  <si>
    <t>HMot</t>
  </si>
  <si>
    <t>Làm đất, làm cỏ, Bón phân, Tưới nước, Thu hoạch, Sơ chế, Sấy, Tỉa cành, Thăm vườn</t>
  </si>
  <si>
    <t>GL06-XP_07-09012026104433ba5077</t>
  </si>
  <si>
    <t>Hit</t>
  </si>
  <si>
    <t>GL05-XP_01-08012026104016fd84dd</t>
  </si>
  <si>
    <t>HRing</t>
  </si>
  <si>
    <t>Làm đất, làm cỏ, Bón phân, Phun thuốc, Tưới nước, Thu hoạch, Sơ chế, Sấy, Tỉa cành, Thăm vườn</t>
  </si>
  <si>
    <t>GL01-XP_07-090120261220b8a5a5b7</t>
  </si>
  <si>
    <t>Sơ Rơn</t>
  </si>
  <si>
    <t>GL01-XP_07-090120261220453e24c9</t>
  </si>
  <si>
    <t>Sơ Ri</t>
  </si>
  <si>
    <t>Trồng, Làm đất, làm cỏ, Bón phân, Thu hoạch, Thăm vườn</t>
  </si>
  <si>
    <t>GL01-XP_07-090120261220193efde3</t>
  </si>
  <si>
    <t>Loai</t>
  </si>
  <si>
    <t>GL05-XP_01-080120261601dbac86af</t>
  </si>
  <si>
    <t>GL05-XP_01-0801202616010b66c256</t>
  </si>
  <si>
    <t>Gyinh</t>
  </si>
  <si>
    <t>GL05-XP_01-080120261601bf9ca898</t>
  </si>
  <si>
    <t>Sep</t>
  </si>
  <si>
    <t>GL01-XP_07-0901202612308e69ef3f</t>
  </si>
  <si>
    <t>Nguyễn Trúc Linh</t>
  </si>
  <si>
    <t>GL05-XP_01-0801202616386f8f9ecc</t>
  </si>
  <si>
    <t>Thor</t>
  </si>
  <si>
    <t>GL05-XP_01-0801202616381e2f85bb</t>
  </si>
  <si>
    <t>GL05-XP_01-080120261638dd6f4c6b</t>
  </si>
  <si>
    <t>GL01-XP_07-090120261244b9c8f212</t>
  </si>
  <si>
    <t>Kan</t>
  </si>
  <si>
    <t>GL01-XP_07-0901202612445da30825</t>
  </si>
  <si>
    <t>Ang Lơy</t>
  </si>
  <si>
    <t>GL01-XP_07-0901202612448e6c860e</t>
  </si>
  <si>
    <t>Khươi</t>
  </si>
  <si>
    <t>Làm đất, làm cỏ, Thu hoạch, Sơ chế, Sấy, Thăm vườn</t>
  </si>
  <si>
    <t>GL01-XP_07-090120261244a0d7d2f9</t>
  </si>
  <si>
    <t>Khát</t>
  </si>
  <si>
    <t>GL01-XP_02-10012026102304d910d5</t>
  </si>
  <si>
    <t>Vũ Hữu Quang Vinh</t>
  </si>
  <si>
    <t>Tưới nước, Thu hoạch, Thăm vườn</t>
  </si>
  <si>
    <t>GL01-XP_02-100120261023514aeafe</t>
  </si>
  <si>
    <t>GL01-XP_02-1001202610234f15da81</t>
  </si>
  <si>
    <t>Vũ Hữu Hải Đăng</t>
  </si>
  <si>
    <t>GL01-XP_02-1001202610234d26cc16</t>
  </si>
  <si>
    <t>Vũ Hữu Chăn</t>
  </si>
  <si>
    <t>GL01-XP_02-100120261023fbcd4e61</t>
  </si>
  <si>
    <t>Nguyễn Thị Tươi</t>
  </si>
  <si>
    <t>Trồng, Làm đất, làm cỏ, Bón phân, Tưới nước, Thu hoạch, Sơ chế, Sấy, Tập huấn kỹ thuật, Tỉa cành, Thăm vườn</t>
  </si>
  <si>
    <t>GL01-XP_02-1001202610480e3b3b17</t>
  </si>
  <si>
    <t>Nguyễn Như Hiếu</t>
  </si>
  <si>
    <t>GL01-XP_02-100120261048642ba13e</t>
  </si>
  <si>
    <t>Khúc Thị Hạnh</t>
  </si>
  <si>
    <t>GL01-XP_02-1001202610487c89223c</t>
  </si>
  <si>
    <t>Nguyễn Thị Thỏa</t>
  </si>
  <si>
    <t>GL01-XP_02-10012026104810b0192c</t>
  </si>
  <si>
    <t>Nguyễn Như Bảo Lâm</t>
  </si>
  <si>
    <t>GL01-XP_02-1001202610485111d33b</t>
  </si>
  <si>
    <t>GL01-XP_02-1001202611012a6dc0a5</t>
  </si>
  <si>
    <t>Vũ thị Thanh Trúc</t>
  </si>
  <si>
    <t>Tưới nước, Thu hoạch, Sơ chế, Tỉa cành, Thăm vườn</t>
  </si>
  <si>
    <t>GL01-XP_02-1001202611011e2b4e37</t>
  </si>
  <si>
    <t>GL01-XP_02-100120261101a09bc357</t>
  </si>
  <si>
    <t>Vũ Thị Bích Am</t>
  </si>
  <si>
    <t>GL01-XP_02-100120261101b0202181</t>
  </si>
  <si>
    <t>GL01-XP_02-100120261124b0569167</t>
  </si>
  <si>
    <t>Vũ Hữu Dũng</t>
  </si>
  <si>
    <t>GL01-XP_02-100120261124eb7f12e5</t>
  </si>
  <si>
    <t>Vũ Hữu Nam</t>
  </si>
  <si>
    <t>GL01-XP_02-100120261124b093b04f</t>
  </si>
  <si>
    <t>Vũ Hữu Trung</t>
  </si>
  <si>
    <t>GL01-XP_02-1001202611243b0362e4</t>
  </si>
  <si>
    <t>GL01-XP_02-10012026112481007cbd</t>
  </si>
  <si>
    <t>Nguyễn Thị Doan</t>
  </si>
  <si>
    <t>GL01-XP_02-10012026112626f36dbb</t>
  </si>
  <si>
    <t>Phạm Thị Minh Tuệ</t>
  </si>
  <si>
    <t>GL01-XP_02-1001202611264d9b121a</t>
  </si>
  <si>
    <t>Trồng, Làm đất, làm cỏ, Bón phân, Phun thuốc, Tưới nước</t>
  </si>
  <si>
    <t>GL01-XP_02-100120261126b8946e82</t>
  </si>
  <si>
    <t>Phạm Minh Khang</t>
  </si>
  <si>
    <t>GL01-XP_02-1001202611265bdbe3ae</t>
  </si>
  <si>
    <t>GL01-XP_02-100120261352c601a10a</t>
  </si>
  <si>
    <t>GL01-XP_02-100120261352d9b5cd7c</t>
  </si>
  <si>
    <t>GL01-XP_02-100120261352607e3fb0</t>
  </si>
  <si>
    <t>Trần Quang Khải</t>
  </si>
  <si>
    <t>GL02-XP_03-13012026102386881294</t>
  </si>
  <si>
    <t>Siu Thuc</t>
  </si>
  <si>
    <t>GL01-XP_02-100120261426544c46b9</t>
  </si>
  <si>
    <t>Phạm Nguyễn Ngọc Hân</t>
  </si>
  <si>
    <t>GL01-XP_02-10012026142673c93df5</t>
  </si>
  <si>
    <t>GL01-XP_02-100120261426e1dcbb46</t>
  </si>
  <si>
    <t>Phạm Anh Quốc</t>
  </si>
  <si>
    <t>GL01-XP_02-100120261426ceaef08b</t>
  </si>
  <si>
    <t>Phạm Anh Vũ</t>
  </si>
  <si>
    <t>GL01-XP_02-100120261426cb90413e</t>
  </si>
  <si>
    <t>Nguyễn Thị Thúy</t>
  </si>
  <si>
    <t>GL02-XP_03-130120261009fd8fc997</t>
  </si>
  <si>
    <t>Kpuih Hly</t>
  </si>
  <si>
    <t>Trồng, Thu hoạch, Sơ chế, Sấy, Tỉa cành, Bán sản phẩm, Quản lý tài chỉnh</t>
  </si>
  <si>
    <t>GL01-XP_02-1001202614538533ee6c</t>
  </si>
  <si>
    <t>Vũ Thị Tám</t>
  </si>
  <si>
    <t>GL01-XP_02-100120261453fa8e71b7</t>
  </si>
  <si>
    <t>GL01-XP_02-10012026145372cce10e</t>
  </si>
  <si>
    <t>Lê Huy Khải</t>
  </si>
  <si>
    <t>GL02-XP_03-130120260959d017d834</t>
  </si>
  <si>
    <t>Gpui Hal</t>
  </si>
  <si>
    <t>Trồng, Làm đất, làm cỏ, Bón phân, Thu hoạch, Sơ chế, Sấy, Bán sản phẩm, Quản lý tài chỉnh</t>
  </si>
  <si>
    <t>GL02-XP_03-1301202609593310ffe9</t>
  </si>
  <si>
    <t>GL02-XP_03-13012026095902e20cac</t>
  </si>
  <si>
    <t>Gpui Ha</t>
  </si>
  <si>
    <t>Trồng, Làm đất, làm cỏ, Bón phân, Tưới nước, Thu hoạch, Sơ chế, Sấy, Tỉa cành</t>
  </si>
  <si>
    <t>GL01-XP_02-1001202616205498b011</t>
  </si>
  <si>
    <t>GL01-XP_02-100120261620b64a5e20</t>
  </si>
  <si>
    <t>Tuym</t>
  </si>
  <si>
    <t>GL01-XP_02-100120261620a009ef7c</t>
  </si>
  <si>
    <t>GL06-XP_07-090120261158369f9d1b</t>
  </si>
  <si>
    <t>Sam</t>
  </si>
  <si>
    <t>GL02-XP_03-13012026091581fcac6f</t>
  </si>
  <si>
    <t>Hơ lan Thư</t>
  </si>
  <si>
    <t>Thu hoạch, Sơ chế, Sấy, Tỉa cành</t>
  </si>
  <si>
    <t>GL01-XP_02-100120261639dd3d95eb</t>
  </si>
  <si>
    <t>GL01-XP_02-100120261639fc4f3b56</t>
  </si>
  <si>
    <t>Hơ Zin</t>
  </si>
  <si>
    <t>GL01-XP_02-10012026163914bbfecd</t>
  </si>
  <si>
    <t>GL01-XP_02-10012026163985869ec8</t>
  </si>
  <si>
    <t>Hơyng</t>
  </si>
  <si>
    <t>GL01-XP_06-110120260946fad1a950</t>
  </si>
  <si>
    <t>Nguyễn Viết Hà</t>
  </si>
  <si>
    <t>GL01-XP_06-110120260946af738cfb</t>
  </si>
  <si>
    <t>Lương Thành Đạt</t>
  </si>
  <si>
    <t>GL01-XP_06-110120260946bea4c3b7</t>
  </si>
  <si>
    <t>Lương Thị Vân Anh</t>
  </si>
  <si>
    <t>GL01-XP_06-110120260946b7d92dc8</t>
  </si>
  <si>
    <t>Lương Xuân Hùng</t>
  </si>
  <si>
    <t>GL02-XP_05-120120261614c1bc1bbe</t>
  </si>
  <si>
    <t>GL02-XP_05-120120261614681ecdbb</t>
  </si>
  <si>
    <t>Nguyễn Thái Trung</t>
  </si>
  <si>
    <t>GL02-XP_05-1201202616142aac84c2</t>
  </si>
  <si>
    <t>Phạm Thị Liên</t>
  </si>
  <si>
    <t>Trồng, Bón phân, Thu hoạch, Sơ chế, Sấy, Tập huấn kỹ thuật, Tỉa cành, Thăm vườn, Bán sản phẩm, Quản lý tài chỉnh</t>
  </si>
  <si>
    <t>GL01-XP_06-1101202609515ee0f024</t>
  </si>
  <si>
    <t>GL01-XP_06-110120260951fea325f2</t>
  </si>
  <si>
    <t>Phan Trần Đình Quyết</t>
  </si>
  <si>
    <t>Thăm vườn</t>
  </si>
  <si>
    <t>GL06-XP_01-090120261735b65335a4</t>
  </si>
  <si>
    <t>GL01-XP_06-11012026101071d75d2e</t>
  </si>
  <si>
    <t>GL01-XP_06-110120261010d4d7bda6</t>
  </si>
  <si>
    <t>Nguyễn Văn Cảnh</t>
  </si>
  <si>
    <t>GL01-XP_06-1101202610106f4d7ebb</t>
  </si>
  <si>
    <t>GL01-XP_06-1101202610107780dddd</t>
  </si>
  <si>
    <t>Lê Thị Huyền Trang</t>
  </si>
  <si>
    <t>GL01-XP_06-110120261054dd3f784c</t>
  </si>
  <si>
    <t>GL01-XP_06-110120261054028724bf</t>
  </si>
  <si>
    <t>Lê Văn Sang</t>
  </si>
  <si>
    <t>Thu hoạch, Sơ chế, Tỉa cành, Thăm vườn</t>
  </si>
  <si>
    <t>GL01-XP_06-110120261054ad28232f</t>
  </si>
  <si>
    <t>Trần Thị Gái</t>
  </si>
  <si>
    <t>GL01-XP_06-110120261054a4630363</t>
  </si>
  <si>
    <t>Lê Văn Sỹ</t>
  </si>
  <si>
    <t>GL01-XP_06-110120261353ecf0f621</t>
  </si>
  <si>
    <t>Nguyễn Thị Thanh Sang</t>
  </si>
  <si>
    <t>GL01-XP_06-110120261353243e11ac</t>
  </si>
  <si>
    <t>Nguyễn Văn Quyền</t>
  </si>
  <si>
    <t>GL01-XP_06-1101202613539f51c135</t>
  </si>
  <si>
    <t>Nguyễn Văn Gia Hiếu</t>
  </si>
  <si>
    <t>GL01-XP_06-1101202613539367d795</t>
  </si>
  <si>
    <t>GL01-XP_06-1101202613538feb146c</t>
  </si>
  <si>
    <t>GL01-XP_06-11012026141050b7d2f8</t>
  </si>
  <si>
    <t>GL01-XP_06-110120261410cb56ce15</t>
  </si>
  <si>
    <t>GL01-XP_06-110120261410916af9f9</t>
  </si>
  <si>
    <t>Nguyễn Thị Hương</t>
  </si>
  <si>
    <t>GL01-XP_06-110120261410259a2c92</t>
  </si>
  <si>
    <t>Nguyễn Thị Mỹ</t>
  </si>
  <si>
    <t>GL01-XP_06-1101202614106d357f22</t>
  </si>
  <si>
    <t>Nguyễn Thị Hương Giang</t>
  </si>
  <si>
    <t>Thu hoạch, Sơ chế, Thăm vườn</t>
  </si>
  <si>
    <t>GL01-XP_06-1101202614304a3a7657</t>
  </si>
  <si>
    <t>Nguyễn Văn Huy</t>
  </si>
  <si>
    <t>GL01-XP_06-1101202614309ca762e5</t>
  </si>
  <si>
    <t>GL01-XP_01-080120260923b0c348f8</t>
  </si>
  <si>
    <t>Bưi</t>
  </si>
  <si>
    <t>GL01-XP_01-0801202609235b71bd83</t>
  </si>
  <si>
    <t>Hnhỏ</t>
  </si>
  <si>
    <t>GL01-XP_01-0801202609239c097d1b</t>
  </si>
  <si>
    <t>Bhonh</t>
  </si>
  <si>
    <t>GL01-XP_01-0801202609437b37f9a6</t>
  </si>
  <si>
    <t>Lương</t>
  </si>
  <si>
    <t>GL01-XP_01-080120260943c590b14e</t>
  </si>
  <si>
    <t>HNhi</t>
  </si>
  <si>
    <t>GL01-XP_01-08012026094397dc50bc</t>
  </si>
  <si>
    <t>Hnhêm</t>
  </si>
  <si>
    <t>Làm đất, làm cỏ, Bón phân, Thu hoạch, Sơ chế, Sấy, Tỉa cành, Thăm vườn</t>
  </si>
  <si>
    <t>GL01-XP_01-08012026094389fdbd1a</t>
  </si>
  <si>
    <t>GL01-XP_01-080120260943435afed8</t>
  </si>
  <si>
    <t>HNhưm</t>
  </si>
  <si>
    <t>GL01-XP_01-080120260943888676fc</t>
  </si>
  <si>
    <t>HNhum</t>
  </si>
  <si>
    <t>GL01-XP_01-0801202609580ea927e1</t>
  </si>
  <si>
    <t>Thuận</t>
  </si>
  <si>
    <t>GL01-XP_01-080120260958862ce0c9</t>
  </si>
  <si>
    <t>GL01-XP_01-08012026095852882b93</t>
  </si>
  <si>
    <t>Sher</t>
  </si>
  <si>
    <t>GL01-XP_01-08012026095886a08b1f</t>
  </si>
  <si>
    <t>GL01-XP_01-0801202608282521136d</t>
  </si>
  <si>
    <t>Prơn</t>
  </si>
  <si>
    <t>GL01-XP_01-080120260828077181f7</t>
  </si>
  <si>
    <t>HLơnh</t>
  </si>
  <si>
    <t>GL01-XP_01-08012026082843921d3e</t>
  </si>
  <si>
    <t>Hlay</t>
  </si>
  <si>
    <t>Làm đất, làm cỏ, Thu hoạch, Sơ chế, Tỉa cành, Thăm vườn</t>
  </si>
  <si>
    <t>GL01-XP_01-0801202608281b0348f5</t>
  </si>
  <si>
    <t>GL01-XP_01-080120260828fb8893de</t>
  </si>
  <si>
    <t>HLanh</t>
  </si>
  <si>
    <t>GL01-XP_01-0801202610570770ddb7</t>
  </si>
  <si>
    <t>Giũ</t>
  </si>
  <si>
    <t>GL01-XP_01-08012026105775236510</t>
  </si>
  <si>
    <t>Nhoch</t>
  </si>
  <si>
    <t>GL01-XP_01-080120261124a1739a5b</t>
  </si>
  <si>
    <t>HNgao</t>
  </si>
  <si>
    <t>GL01-XP_01-080120261449e4f20544</t>
  </si>
  <si>
    <t>RaBen</t>
  </si>
  <si>
    <t>GL01-XP_01-0801202614492372c99f</t>
  </si>
  <si>
    <t>AMlem</t>
  </si>
  <si>
    <t>GL01-XP_01-080120261724578e55fe</t>
  </si>
  <si>
    <t>Y Chi</t>
  </si>
  <si>
    <t>Làm đất, làm cỏ, Tưới nước, Thu hoạch, Sơ chế, Sấy, Tỉa cành, Thăm vườn</t>
  </si>
  <si>
    <t>GL01-XP_01-080120261724db43c60b</t>
  </si>
  <si>
    <t>Mời</t>
  </si>
  <si>
    <t>GL01-XP_01-080120261724d691b884</t>
  </si>
  <si>
    <t>GL01-XP_01-080120261724a30e649c</t>
  </si>
  <si>
    <t>Y Châu</t>
  </si>
  <si>
    <t>Tưới nước, Thu hoạch, Sơ chế, Sấy, Thăm vườn</t>
  </si>
  <si>
    <t>GL01-XP_01-080120261724b37ea78d</t>
  </si>
  <si>
    <t>Y Mỹ Chen</t>
  </si>
  <si>
    <t>Thu hoạch, Sơ chế, Sấy, Tỉa cành, Thăm vườn</t>
  </si>
  <si>
    <t>GL01-XP_01-0801202618023a43cc34</t>
  </si>
  <si>
    <t>Rơ Châm Hjuliam</t>
  </si>
  <si>
    <t>GL01-XP_01-08012026180270ad52f2</t>
  </si>
  <si>
    <t>Rơ Châm Sok</t>
  </si>
  <si>
    <t>GL01-XP_01-080120261802ef085f63</t>
  </si>
  <si>
    <t>GL01-XP_01-0801202617202db6c717</t>
  </si>
  <si>
    <t>Nguyễn Thị Thanh Ngân</t>
  </si>
  <si>
    <t>GL01-XP_01-080120261720b3648b7f</t>
  </si>
  <si>
    <t>Nguyễn Minh Quân</t>
  </si>
  <si>
    <t>GL01-XP_01-080120261720a6c0ac03</t>
  </si>
  <si>
    <t>Phạm Tuyết Phương</t>
  </si>
  <si>
    <t>GL01-XP_01-08012026172002248aae</t>
  </si>
  <si>
    <t>Trồng, Làm đất, làm cỏ, Thu hoạch, Sơ chế, Sấy, Thăm vườn, Bán sản phẩm, Quản lý tài chỉnh</t>
  </si>
  <si>
    <t>GL05-XP_01-080120261521d9522422</t>
  </si>
  <si>
    <t>Ani</t>
  </si>
  <si>
    <t>GL05-XP_01-080120261521fce43b06</t>
  </si>
  <si>
    <t>Khing</t>
  </si>
  <si>
    <t>GL05-XP_01-08012026152103d2141d</t>
  </si>
  <si>
    <t>GL05-XP_01-08012026184854ae1e9c</t>
  </si>
  <si>
    <t>NgLam</t>
  </si>
  <si>
    <t>GL05-XP_01-0801202618486f8a8718</t>
  </si>
  <si>
    <t>Dương</t>
  </si>
  <si>
    <t>GL05-XP_01-0801202618487b946632</t>
  </si>
  <si>
    <t>GL05-XP_01-0801202618482a9f09bb</t>
  </si>
  <si>
    <t>GL05-XP_01-0801202617478b9f2cf2</t>
  </si>
  <si>
    <t>GL05-XP_01-080120261747a4d44ec0</t>
  </si>
  <si>
    <t>GL05-XP_01-0801202613468d04a0fb</t>
  </si>
  <si>
    <t>GL05-XP_01-0801202613462a89482f</t>
  </si>
  <si>
    <t>Bel</t>
  </si>
  <si>
    <t>GL01-XP_01-0801202618060414f1c4</t>
  </si>
  <si>
    <t>GL01-XP_01-080120261806b1012f00</t>
  </si>
  <si>
    <t>YKôs</t>
  </si>
  <si>
    <t>GL04-XP_01-0801202617138978ae28</t>
  </si>
  <si>
    <t>GL05-XP_01-0801202614217debf2d1</t>
  </si>
  <si>
    <t>GL05-XP_01-080120261421b58ef8b1</t>
  </si>
  <si>
    <t>Hnơr</t>
  </si>
  <si>
    <t>GL01-XP_01-080120261900ffe8f974</t>
  </si>
  <si>
    <t>Y Đô</t>
  </si>
  <si>
    <t>GL01-XP_01-080120261900f43516c9</t>
  </si>
  <si>
    <t>GL01-XP_01-0801202619005002b782</t>
  </si>
  <si>
    <t>Khianh</t>
  </si>
  <si>
    <t>GL01-XP_01-08012026190042095f31</t>
  </si>
  <si>
    <t>Khưp</t>
  </si>
  <si>
    <t>GL01-XP_01-0801202619004d6e33d0</t>
  </si>
  <si>
    <t>Y Đui</t>
  </si>
  <si>
    <t>GL06-XP_02-1001202610001637e80f</t>
  </si>
  <si>
    <t>GL05-XP_07-0901202609054edc2475</t>
  </si>
  <si>
    <t>GL05-XP_07-090120260905fbf1f3fa</t>
  </si>
  <si>
    <t>GL04-XP_01-080120261540773cd70c</t>
  </si>
  <si>
    <t>GL05-XP_07-090120260926be60ab6d</t>
  </si>
  <si>
    <t>Trần Thị Hương</t>
  </si>
  <si>
    <t>GL05-XP_07-0901202609266776f56f</t>
  </si>
  <si>
    <t>GL04-XP_01-0801202609359ba0772a</t>
  </si>
  <si>
    <t>GL05-XP_07-090120261050c6f56d5e</t>
  </si>
  <si>
    <t>GL05-XP_07-090120261050e6398af9</t>
  </si>
  <si>
    <t>Y Phiên</t>
  </si>
  <si>
    <t>GL05-XP_07-09012026105009918c99</t>
  </si>
  <si>
    <t>HNgin</t>
  </si>
  <si>
    <t>GL06-XP_02-100120261048ff416659</t>
  </si>
  <si>
    <t>GL05-XP_01-0901202609374d5aad93</t>
  </si>
  <si>
    <t>GL05-XP_01-09012026093757534b7a</t>
  </si>
  <si>
    <t>Trồng, Làm đất, làm cỏ, Bón phân, Tưới nước, Thu hoạch, Sơ chế, Sấy, Tập huấn kỹ thuật, Tỉa cành, Thăm vườn, Bán sản phẩm</t>
  </si>
  <si>
    <t>GL04-XP_01-080120261435e54c43b6</t>
  </si>
  <si>
    <t>Byiu</t>
  </si>
  <si>
    <t>GL01-XP_05-12012026085063c9b021</t>
  </si>
  <si>
    <t>Vũ thế Dương</t>
  </si>
  <si>
    <t>Trồng, Làm đất, làm cỏ, Bón phân, Phun thuốc, Tưới nước, Thu hoạch, Sơ chế, Sấy, Tập huấn kỹ thuật, Tỉa cành, Thăm vườn</t>
  </si>
  <si>
    <t>GL01-XP_05-120120260850e8ecaafa</t>
  </si>
  <si>
    <t>GL01-XP_05-120120260930c51c9671</t>
  </si>
  <si>
    <t>Trịnh Thị Tư</t>
  </si>
  <si>
    <t>GL01-XP_05-120120260930828901f4</t>
  </si>
  <si>
    <t>GL01-XP_05-1201202609302e917ba5</t>
  </si>
  <si>
    <t>Nguyễn Thiện Tâm</t>
  </si>
  <si>
    <t>GL01-XP_05-120120260930485d9808</t>
  </si>
  <si>
    <t>GL04-XP_01-0801202614124af7ceee</t>
  </si>
  <si>
    <t>GL04-XP_01-0801202614121eec73b5</t>
  </si>
  <si>
    <t>GL04-XP_01-0801202609172c864f26</t>
  </si>
  <si>
    <t>GL01-XP_05-120120261019ce608319</t>
  </si>
  <si>
    <t>Vũ Đình Thuận</t>
  </si>
  <si>
    <t>GL01-XP_05-1201202610192b9b42a3</t>
  </si>
  <si>
    <t>GL01-XP_05-120120261019fa2336a7</t>
  </si>
  <si>
    <t>Vũ Đình Dương</t>
  </si>
  <si>
    <t>GL01-XP_05-120120261019a19215e3</t>
  </si>
  <si>
    <t>Vũ Đình Thái</t>
  </si>
  <si>
    <t>GL01-XP_05-1201202615297374cac4</t>
  </si>
  <si>
    <t>Nguyễn Sỹ Hào</t>
  </si>
  <si>
    <t>Bón phân, Tưới nước, Thu hoạch, Sơ chế, Sấy, Tỉa cành, Thăm vườn</t>
  </si>
  <si>
    <t>GL01-XP_05-1201202615292bad03fb</t>
  </si>
  <si>
    <t>Nguyễn Thị Ngọc Mai</t>
  </si>
  <si>
    <t>GL01-XP_05-120120261529d0801dac</t>
  </si>
  <si>
    <t>GL01-XP_05-12012026152957e63e3d</t>
  </si>
  <si>
    <t>GL01-XP_05-120120261611b0e6e51a</t>
  </si>
  <si>
    <t>Lê Văn Hiếu</t>
  </si>
  <si>
    <t>GL01-XP_05-120120261611fa195bd1</t>
  </si>
  <si>
    <t>Lê Văn Hoàn</t>
  </si>
  <si>
    <t>GL01-XP_05-120120261611bcbd09ca</t>
  </si>
  <si>
    <t>Tăng Thị Lượn</t>
  </si>
  <si>
    <t>GL01-XP_05-12012026161165d7578b</t>
  </si>
  <si>
    <t>GL01-XP_05-1201202617043ae0c88f</t>
  </si>
  <si>
    <t>Hoàng Thị Quyên</t>
  </si>
  <si>
    <t>GL01-XP_05-1201202617044a810082</t>
  </si>
  <si>
    <t>Hoàng Chí Đức</t>
  </si>
  <si>
    <t>GL01-XP_05-12012026170421ce9daa</t>
  </si>
  <si>
    <t>Hoàng Khánh Huyền</t>
  </si>
  <si>
    <t>GL01-XP_05-120120261704cb297c55</t>
  </si>
  <si>
    <t>Hoàng Chí Việt</t>
  </si>
  <si>
    <t>GL01-XP_05-120120261704e92ed46d</t>
  </si>
  <si>
    <t>GL06-XP_05-120120261617e9706c53</t>
  </si>
  <si>
    <t>Nguyễn Thị Hiền</t>
  </si>
  <si>
    <t>GL06-XP_03-1301202609238a22931c</t>
  </si>
  <si>
    <t>LPuil Đên</t>
  </si>
  <si>
    <t>GL01-XP_05-12012026173154920fd1</t>
  </si>
  <si>
    <t>GL01-XP_05-1201202617317e599fdd</t>
  </si>
  <si>
    <t>GL01-XP_05-120120261731c27765bc</t>
  </si>
  <si>
    <t>Ngô Thị Nụ</t>
  </si>
  <si>
    <t>GL06-XP_03-130120260954bf9e40cc</t>
  </si>
  <si>
    <t>GL01-XP_03-130120260918931b7bd5</t>
  </si>
  <si>
    <t>GL01-XP_03-1301202609181ba039be</t>
  </si>
  <si>
    <t>Siu Hlong</t>
  </si>
  <si>
    <t>GL01-XP_03-1301202609182ccb752a</t>
  </si>
  <si>
    <t>Rơmah Bưng</t>
  </si>
  <si>
    <t>GL01-XP_03-13012026093568f99f2e</t>
  </si>
  <si>
    <t>Kpuih Hương</t>
  </si>
  <si>
    <t>Tưới nước, Thu hoạch, Sơ chế, Sấy, Tỉa cành, Thăm vườn</t>
  </si>
  <si>
    <t>GL01-XP_03-130120260935560eeed2</t>
  </si>
  <si>
    <t>GL01-XP_03-13012026093548a4fa3e</t>
  </si>
  <si>
    <t>Kpuih Nhân</t>
  </si>
  <si>
    <t>GL01-XP_03-1301202609354b4dea1e</t>
  </si>
  <si>
    <t>Rơmah Já</t>
  </si>
  <si>
    <t>GL06-XP_03-130120261107b6373c0f</t>
  </si>
  <si>
    <t>Huỳnh Thị Phương</t>
  </si>
  <si>
    <t>Làm đất, làm cỏ, Bón phân, Thu hoạch, Sơ chế, Thăm vườn</t>
  </si>
  <si>
    <t>GL06-XP_03-1301202611227af2999d</t>
  </si>
  <si>
    <t>Nguyễn Thị Thắm</t>
  </si>
  <si>
    <t>GL01-XP_03-13012026095920392ef1</t>
  </si>
  <si>
    <t>Kpuih Vương</t>
  </si>
  <si>
    <t>GL01-XP_03-1301202609595887bf8a</t>
  </si>
  <si>
    <t>GL01-XP_03-130120260959ec301555</t>
  </si>
  <si>
    <t>Len R</t>
  </si>
  <si>
    <t>GL01-XP_03-13012026095986cdeb0e</t>
  </si>
  <si>
    <t>Kpuih Yến</t>
  </si>
  <si>
    <t>GL01-XP_03-13012026095966dcf108</t>
  </si>
  <si>
    <t>Kpuih Như</t>
  </si>
  <si>
    <t>GL06-XP_03-130120261405966c497c</t>
  </si>
  <si>
    <t>GL06-XP_03-1301202614535c26d4d5</t>
  </si>
  <si>
    <t>Lê Thị Quý</t>
  </si>
  <si>
    <t>GL06-XP_03-130120261453cd529854</t>
  </si>
  <si>
    <t>Vũ Văn Phương</t>
  </si>
  <si>
    <t>GL06-XP_03-1301202615028dec53e5</t>
  </si>
  <si>
    <t>Trần Kim Hậu</t>
  </si>
  <si>
    <t>GL06-XP_03-130120261508084d4148</t>
  </si>
  <si>
    <t>Lê Thị Ny</t>
  </si>
  <si>
    <t>GL01-XP_03-130120261014a3e31254</t>
  </si>
  <si>
    <t>Kpuih Djú</t>
  </si>
  <si>
    <t>GL01-XP_03-130120261014510ccf8d</t>
  </si>
  <si>
    <t>Kpuih Hiệp</t>
  </si>
  <si>
    <t>GL01-XP_03-13012026101469b89327</t>
  </si>
  <si>
    <t>Kpuih Na</t>
  </si>
  <si>
    <t>GL01-XP_03-130120261014925f5d09</t>
  </si>
  <si>
    <t>Kpuih Breh</t>
  </si>
  <si>
    <t>GL01-XP_03-130120261014e915e1da</t>
  </si>
  <si>
    <t>Siu Djắc</t>
  </si>
  <si>
    <t>GL01-XP_03-1301202610416dafa010</t>
  </si>
  <si>
    <t>Rơma Xuân</t>
  </si>
  <si>
    <t>GL01-XP_03-130120261041c3a57773</t>
  </si>
  <si>
    <t>Rơma Quân</t>
  </si>
  <si>
    <t>GL01-XP_03-130120261041da86826d</t>
  </si>
  <si>
    <t>Rơlan Blơnh</t>
  </si>
  <si>
    <t>GL01-XP_03-130120261041ae327d29</t>
  </si>
  <si>
    <t>Rơma Quê</t>
  </si>
  <si>
    <t>GL01-XP_03-130120261041b518f702</t>
  </si>
  <si>
    <t>Rơma Huel</t>
  </si>
  <si>
    <t>GL01-XP_03-1301202611060dd78fb3</t>
  </si>
  <si>
    <t>Trần thị Kim Hoa</t>
  </si>
  <si>
    <t>GL01-XP_03-13012026110695c831c8</t>
  </si>
  <si>
    <t>Trương Minh Vũ</t>
  </si>
  <si>
    <t>GL01-XP_03-13012026110681ad2955</t>
  </si>
  <si>
    <t>Trương Hoài phong</t>
  </si>
  <si>
    <t>GL01-XP_03-130120261106e4937664</t>
  </si>
  <si>
    <t>Trương Thị Thu Hương</t>
  </si>
  <si>
    <t>GL01-XP_03-130120261106c5c1f74e</t>
  </si>
  <si>
    <t>Trương Văn Thành</t>
  </si>
  <si>
    <t>GL01-XP_03-1301202614207bd38b22</t>
  </si>
  <si>
    <t>Nguyễn Thế Dũng</t>
  </si>
  <si>
    <t>GL01-XP_03-1301202614204650faa8</t>
  </si>
  <si>
    <t>Nguyễn Thị Thu Phương</t>
  </si>
  <si>
    <t>GL01-XP_03-13012026142059eaeee5</t>
  </si>
  <si>
    <t>Nguyễn Mạnh Tân</t>
  </si>
  <si>
    <t>GL01-XP_03-1301202614209e597fef</t>
  </si>
  <si>
    <t>Nguyễn Thị Hải Yến</t>
  </si>
  <si>
    <t>GL01-XP_03-130120261420505ded83</t>
  </si>
  <si>
    <t>GL01-XP_03-130120261443ca5427ac</t>
  </si>
  <si>
    <t>Lê Thị Ngọc Châu</t>
  </si>
  <si>
    <t>Sơ chế, Tỉa cành, Thăm vườn</t>
  </si>
  <si>
    <t>GL01-XP_03-130120261443d4b3ab03</t>
  </si>
  <si>
    <t>Lê Thị Ngọc Anh</t>
  </si>
  <si>
    <t>GL01-XP_03-1301202614430738fe7b</t>
  </si>
  <si>
    <t>GL01-XP_03-130120261443e72266f3</t>
  </si>
  <si>
    <t>GL01-XP_03-130120261443501b671c</t>
  </si>
  <si>
    <t>Lê Thị Mỹ Phương</t>
  </si>
  <si>
    <t>GL01-XP_03-130120261443e9e66a07</t>
  </si>
  <si>
    <t>Lê Thị Mỹ Duyên</t>
  </si>
  <si>
    <t>GL01-XP_03-130120261511bec9d1b9</t>
  </si>
  <si>
    <t>GL01-XP_03-130120261511d38c3494</t>
  </si>
  <si>
    <t>Võ Chí Thông</t>
  </si>
  <si>
    <t>GL01-XP_03-130120261511f2532d2c</t>
  </si>
  <si>
    <t>Võ Hùng</t>
  </si>
  <si>
    <t>GL01-XP_03-130120261531296200c7</t>
  </si>
  <si>
    <t>GL01-XP_03-1301202615313fa78d90</t>
  </si>
  <si>
    <t>Nguyễn Thị Hồng Lan</t>
  </si>
  <si>
    <t>GL01-XP_03-1301202615581489a4a2</t>
  </si>
  <si>
    <t>Lê Quang Huy</t>
  </si>
  <si>
    <t>GL01-XP_03-1301202615582c758227</t>
  </si>
  <si>
    <t>Lê Thị Khánh Huyền</t>
  </si>
  <si>
    <t>GL01-XP_03-1301202615589d6e0640</t>
  </si>
  <si>
    <t>Hà Thị Bảy</t>
  </si>
  <si>
    <t>GL01-XP_03-130120261558fdd7f46e</t>
  </si>
  <si>
    <t>Lê Văn Thể</t>
  </si>
  <si>
    <t>GL06-XP_01-0801202609276278b097</t>
  </si>
  <si>
    <t>Ngưnh</t>
  </si>
  <si>
    <t>GL06-XP_01-08012026100870d016d0</t>
  </si>
  <si>
    <t>Hunl</t>
  </si>
  <si>
    <t>GL05-XP_07-090120261106e549c1a1</t>
  </si>
  <si>
    <t>Trồng, Phun thuốc, Sơ chế, Tỉa cành, Quản lý tài chỉnh, Làm đất, làm cỏ, Tưới nước, Sấy, Thăm vườn, Bón phân, Thu hoạch, Tập huấn kỹ thuật, Bán sản phẩm</t>
  </si>
  <si>
    <t>GL05-XP_07-090120261106d0e90658</t>
  </si>
  <si>
    <t>Po</t>
  </si>
  <si>
    <t>Trồng, Sơ chế, Tỉa cành, Làm đất, làm cỏ, Tưới nước, Sấy, Thăm vườn, Bón phân, Thu hoạch, Bán sản phẩm</t>
  </si>
  <si>
    <t>GL02-XP_05-120120260949e76caca0</t>
  </si>
  <si>
    <t>Pơ Châm Ôch</t>
  </si>
  <si>
    <t>GL02-XP_05-120120260949a39a0a7a</t>
  </si>
  <si>
    <t>Puih Quan</t>
  </si>
  <si>
    <t>GL02-XP_05-1201202609490522276d</t>
  </si>
  <si>
    <t>Puih Hơng</t>
  </si>
  <si>
    <t>GL05-XP_07-090120261212ee2c8c15</t>
  </si>
  <si>
    <t>Vũ Ngọc Tố Uyên</t>
  </si>
  <si>
    <t>GL05-XP_07-090120261212f432267c</t>
  </si>
  <si>
    <t>Trồng, Phun thuốc, Sơ chế, Tỉa cành, Làm đất, làm cỏ, Tưới nước, Sấy, Thăm vườn, Bón phân, Thu hoạch, Tập huấn kỹ thuật, Bán sản phẩm</t>
  </si>
  <si>
    <t>GL05-XP_07-090120261212afbec3eb</t>
  </si>
  <si>
    <t>Đỗ Thị Thùy Trang</t>
  </si>
  <si>
    <t>Trồng, Sơ chế, Tỉa cành, Quản lý tài chỉnh, Làm đất, làm cỏ, Tưới nước, Sấy, Thăm vườn, Bón phân, Thu hoạch, Bán sản phẩm</t>
  </si>
  <si>
    <t>GL02-XP_05-120120260932b382c020</t>
  </si>
  <si>
    <t>GL02-XP_05-120120260932c7139469</t>
  </si>
  <si>
    <t>Rơ Châm Thau</t>
  </si>
  <si>
    <t>Trồng, Làm đất, làm cỏ, Bón phân, Tưới nước, Thu hoạch, Sơ chế, Sấy, Tỉa cành, Bán sản phẩm, Quản lý tài chỉnh</t>
  </si>
  <si>
    <t>GL02-XP_05-120120260913784ac449</t>
  </si>
  <si>
    <t>GL02-XP_05-120120260913e0949b51</t>
  </si>
  <si>
    <t>GL04-XP_08-090120260907d018a21a</t>
  </si>
  <si>
    <t>GL02-XP_05-1201202608485b8f6541</t>
  </si>
  <si>
    <t>GL02-XP_05-1201202608484ea01b5f</t>
  </si>
  <si>
    <t>Đặng Thị Bích</t>
  </si>
  <si>
    <t>Trồng, Làm đất, làm cỏ, Bón phân, Thu hoạch, Sơ chế, Sấy, Tỉa cành, Bán sản phẩm, Quản lý tài chỉnh</t>
  </si>
  <si>
    <t>GL04-XP_08-0901202609239185be45</t>
  </si>
  <si>
    <t>GL04-XP_08-0901202609234c214713</t>
  </si>
  <si>
    <t>GL04-XP_08-090120260935ed725369</t>
  </si>
  <si>
    <t>GL04-XP_08-090120260935618a215f</t>
  </si>
  <si>
    <t>GL02-XP_06-1101202614402c79e04b</t>
  </si>
  <si>
    <t>GL02-XP_06-110120261440c455bcf3</t>
  </si>
  <si>
    <t>KSor HDyếu</t>
  </si>
  <si>
    <t>GL05-XP_07-090120261259c28710c7</t>
  </si>
  <si>
    <t>GL05-XP_07-090120261259231c058c</t>
  </si>
  <si>
    <t>Phạm Thị Dịu</t>
  </si>
  <si>
    <t>GL05-XP_07-090120261259ef555109</t>
  </si>
  <si>
    <t>Nguyễn Phạm Văn Khôi</t>
  </si>
  <si>
    <t>GL05-XP_07-09012026125928217080</t>
  </si>
  <si>
    <t>Nguyễn Phạm Khả Hân</t>
  </si>
  <si>
    <t>GL04-XP_08-090120261045e8e03f16</t>
  </si>
  <si>
    <t>GL02-XP_06-11012026091168d25514</t>
  </si>
  <si>
    <t>Lê Hồ Trọng Khánh</t>
  </si>
  <si>
    <t>GL02-XP_06-110120260911428c1af9</t>
  </si>
  <si>
    <t>Hồ Thị Thu Thanh</t>
  </si>
  <si>
    <t>GL02-XP_06-110120260911d38b7486</t>
  </si>
  <si>
    <t>GL05-XP_07-09012026130957a4cd63</t>
  </si>
  <si>
    <t>Trần Chí Thành</t>
  </si>
  <si>
    <t>GL05-XP_07-090120261309efc5da50</t>
  </si>
  <si>
    <t>Chu Thị Bài</t>
  </si>
  <si>
    <t>GL05-XP_07-0901202613091bce64ad</t>
  </si>
  <si>
    <t>Trồng, Phun thuốc, Sơ chế, Tỉa cành, Quản lý tài chỉnh, Làm đất, làm cỏ, Tưới nước, Sấy, Thăm vườn, Bón phân, Thu hoạch, Bán sản phẩm</t>
  </si>
  <si>
    <t>GL04-XP_08-090120261423764b0434</t>
  </si>
  <si>
    <t>GL05-XP_07-090120261317a446c4a0</t>
  </si>
  <si>
    <t>GL05-XP_07-090120261317f4668f8f</t>
  </si>
  <si>
    <t>Đào Phương</t>
  </si>
  <si>
    <t>GL04-XP_08-090120261452f5b25ab4</t>
  </si>
  <si>
    <t>GL02-XP_06-110120260929718bd8f4</t>
  </si>
  <si>
    <t>GL02-XP_06-1101202609291f618de5</t>
  </si>
  <si>
    <t>Bùi Thị Kiều Trinh</t>
  </si>
  <si>
    <t>GL02-XP_06-110120260929d8aacf10</t>
  </si>
  <si>
    <t>GL02-XP_06-110120260929ea603e93</t>
  </si>
  <si>
    <t>Bùi Thị Thảo Vân</t>
  </si>
  <si>
    <t>GL04-XP_08-090120261437460a85f2</t>
  </si>
  <si>
    <t>GL05-XP_07-090120261329ea1d69d5</t>
  </si>
  <si>
    <t>Hưn</t>
  </si>
  <si>
    <t>GL05-XP_07-090120261329131d095b</t>
  </si>
  <si>
    <t>Trồng, Phun thuốc, Sơ chế, Tỉa cành, Làm đất, làm cỏ, Tưới nước, Sấy, Thăm vườn, Bón phân, Thu hoạch, Bán sản phẩm</t>
  </si>
  <si>
    <t>GL05-XP_07-090120261329e8ff049e</t>
  </si>
  <si>
    <t>GL04-XP_08-090120261333fb03bd30</t>
  </si>
  <si>
    <t>GL02-XP_06-11012026094390c6289f</t>
  </si>
  <si>
    <t>Bùi Nguyễn Mỹ Phương</t>
  </si>
  <si>
    <t>GL02-XP_06-110120260943ece1c7a0</t>
  </si>
  <si>
    <t>Làm đất, làm cỏ, Bón phân, Phun thuốc, Tưới nước, Thu hoạch, Sơ chế, Sấy, Tập huấn kỹ thuật, Tỉa cành, Thăm vườn, Bán sản phẩm, Quản lý tài chỉnh</t>
  </si>
  <si>
    <t>GL02-XP_06-1101202609436921fee0</t>
  </si>
  <si>
    <t>Bùi Nguyễn Mỹ Hảo</t>
  </si>
  <si>
    <t>GL05-XP_07-0901202614028c69415c</t>
  </si>
  <si>
    <t>Lương Đình Tuấn Kiệt</t>
  </si>
  <si>
    <t>GL05-XP_07-09012026140296b99944</t>
  </si>
  <si>
    <t>GL05-XP_07-090120261402d8ca271b</t>
  </si>
  <si>
    <t>Trồng, Sơ chế, Tỉa cành, Quản lý tài chỉnh, Làm đất, làm cỏ, Tưới nước, Sấy, Thăm vườn, Bón phân, Thu hoạch, Tập huấn kỹ thuật, Bán sản phẩm</t>
  </si>
  <si>
    <t>GL05-XP_07-09012026140299bab014</t>
  </si>
  <si>
    <t>Lương Đình Tấn Khang</t>
  </si>
  <si>
    <t>GL04-XP_08-0901202611468d9ad2b0</t>
  </si>
  <si>
    <t>GL04-XP_08-09012026114659dd2715</t>
  </si>
  <si>
    <t>GL05-XP_07-090120261424e2047d46</t>
  </si>
  <si>
    <t>GL05-XP_07-090120261424f6b9f716</t>
  </si>
  <si>
    <t>Nguyễn Thị Lý</t>
  </si>
  <si>
    <t>GL02-XP_06-11012026095965082c61</t>
  </si>
  <si>
    <t>Nguyễn Thế Lam</t>
  </si>
  <si>
    <t>GL02-XP_06-110120260959cb9ded6a</t>
  </si>
  <si>
    <t>GL04-XP_08-090120261048dabe03e8</t>
  </si>
  <si>
    <t>Trồng, Làm đất, làm cỏ, Bón phân, Phun thuốc, Tưới nước, Thu hoạch, Sơ chế, Sấy, Tập huấn kỹ thuật, Tỉa cành, Thăm vườn, Quản lý tài chỉnh</t>
  </si>
  <si>
    <t>GL05-XP_07-0901202614364ca5f84c</t>
  </si>
  <si>
    <t>GL04-XP_08-09012026120444510cf8</t>
  </si>
  <si>
    <t>GL05-XP_02-1001202609214d8cf453</t>
  </si>
  <si>
    <t>Khưn</t>
  </si>
  <si>
    <t>GL05-XP_02-100120260921382d8c5b</t>
  </si>
  <si>
    <t>GL05-XP_02-100120260921288689a8</t>
  </si>
  <si>
    <t>Khon</t>
  </si>
  <si>
    <t>GL05-XP_02-100120260921b7827388</t>
  </si>
  <si>
    <t>Kham</t>
  </si>
  <si>
    <t>GL02-XP_06-110120261015c0b4cd22</t>
  </si>
  <si>
    <t>Cẩm Thị Lợi</t>
  </si>
  <si>
    <t>GL02-XP_06-1101202610154f178fc9</t>
  </si>
  <si>
    <t>Thái Bảo Anh</t>
  </si>
  <si>
    <t>GL02-XP_06-110120261015d479a462</t>
  </si>
  <si>
    <t>GL02-XP_06-11012026101540367bb0</t>
  </si>
  <si>
    <t>Thái Bảo Quốc</t>
  </si>
  <si>
    <t>GL04-XP_02-1001202615031795c8a2</t>
  </si>
  <si>
    <t>Thoả</t>
  </si>
  <si>
    <t>GL04-XP_02-1001202615038e3f77e8</t>
  </si>
  <si>
    <t>Nheng</t>
  </si>
  <si>
    <t>GL04-XP_02-1001202615031669d423</t>
  </si>
  <si>
    <t>Nhí</t>
  </si>
  <si>
    <t>GL04-XP_02-100120261503ac30b9c3</t>
  </si>
  <si>
    <t>GL05-XP_02-10012026094745173d25</t>
  </si>
  <si>
    <t>Pát</t>
  </si>
  <si>
    <t>GL05-XP_02-100120260947b7710323</t>
  </si>
  <si>
    <t>Bó</t>
  </si>
  <si>
    <t>GL05-XP_02-1001202609477e45df05</t>
  </si>
  <si>
    <t>Văn</t>
  </si>
  <si>
    <t>GL05-XP_02-100120260947145cda79</t>
  </si>
  <si>
    <t>GL02-XP_06-110120261350c0c6cc01</t>
  </si>
  <si>
    <t>Trồng, Làm đất, làm cỏ, Bón phân, Phun thuốc, Tưới nước, Thu hoạch, Tập huấn kỹ thuật, Tỉa cành, Thăm vườn, Bán sản phẩm, Quản lý tài chỉnh</t>
  </si>
  <si>
    <t>GL02-XP_06-110120261350bd4516c0</t>
  </si>
  <si>
    <t>Hà Thị Nga</t>
  </si>
  <si>
    <t>Trồng, Làm đất, làm cỏ, Bón phân, Tưới nước, Thu hoạch, Tỉa cành, Thăm vườn, Bán sản phẩm, Quản lý tài chỉnh</t>
  </si>
  <si>
    <t>GL02-XP_06-110120261350ffd5911c</t>
  </si>
  <si>
    <t>Đặng Hoàng Long</t>
  </si>
  <si>
    <t>GL04-XP_02-1001202614317d9d728d</t>
  </si>
  <si>
    <t>Trồng, Làm đất, làm cỏ, Bón phân, Phun thuốc, Tưới nước, Thu hoạch, Sơ chế, Sấy, Tập huấn kỹ thuật, Tỉa cành, Bán sản phẩm, Quản lý tài chỉnh</t>
  </si>
  <si>
    <t>GL04-XP_02-1001202614312aca944f</t>
  </si>
  <si>
    <t>Kyáih</t>
  </si>
  <si>
    <t>GL05-XP_02-10012026100836a01e7e</t>
  </si>
  <si>
    <t>Tan</t>
  </si>
  <si>
    <t>GL05-XP_02-10012026100868971b25</t>
  </si>
  <si>
    <t>Tân</t>
  </si>
  <si>
    <t>GL05-XP_02-100120261008cc0d9909</t>
  </si>
  <si>
    <t>Tâm</t>
  </si>
  <si>
    <t>GL05-XP_02-100120261008cae61bbf</t>
  </si>
  <si>
    <t>Brănh</t>
  </si>
  <si>
    <t>GL05-XP_02-10012026100860ac6760</t>
  </si>
  <si>
    <t>Tom</t>
  </si>
  <si>
    <t>GL05-XP_02-10012026102996a994e4</t>
  </si>
  <si>
    <t>Gren</t>
  </si>
  <si>
    <t>GL05-XP_02-1001202610296e73fcbc</t>
  </si>
  <si>
    <t>Đô</t>
  </si>
  <si>
    <t>GL05-XP_02-1001202610291d1ef9d1</t>
  </si>
  <si>
    <t>GL05-XP_02-100120261029595b9bb7</t>
  </si>
  <si>
    <t>Đêm</t>
  </si>
  <si>
    <t>GL02-XP_06-1101202614052c9813eb</t>
  </si>
  <si>
    <t>Nguyễn Hữu Thiên</t>
  </si>
  <si>
    <t>GL02-XP_06-110120261405e2e68dd3</t>
  </si>
  <si>
    <t>GL02-XP_06-1101202614056b1e00e8</t>
  </si>
  <si>
    <t>Nguyễn Thị Anh Thư</t>
  </si>
  <si>
    <t>GL02-XP_06-1101202614052b55b2cb</t>
  </si>
  <si>
    <t>GL02-XP_06-110120261418535a0cc5</t>
  </si>
  <si>
    <t>GL02-XP_06-110120261418a54a49e3</t>
  </si>
  <si>
    <t>Trồng, Làm đất, làm cỏ, Bón phân, Tưới nước, Sơ chế, Sấy, Tỉa cành, Bán sản phẩm, Quản lý tài chỉnh</t>
  </si>
  <si>
    <t>GL02-XP_06-11012026141828ead591</t>
  </si>
  <si>
    <t>Nguyễn Thế Trung</t>
  </si>
  <si>
    <t>GL02-XP_06-1101202614189f04fb1a</t>
  </si>
  <si>
    <t>Nguyễn Thị Hà Ly</t>
  </si>
  <si>
    <t>GL02-XP_06-110120261428eaa3e809</t>
  </si>
  <si>
    <t>GL02-XP_06-11012026142853367d42</t>
  </si>
  <si>
    <t>GL04-XP_02-100120261416fd225a1a</t>
  </si>
  <si>
    <t>Sem</t>
  </si>
  <si>
    <t>GL04-XP_02-100120261416f93c2611</t>
  </si>
  <si>
    <t>GL04-XP_02-100120261341bbf89772</t>
  </si>
  <si>
    <t>GL04-XP_02-1001202612531f287a5d</t>
  </si>
  <si>
    <t>GL04-XP_02-100120261253d2add3ef</t>
  </si>
  <si>
    <t>GL05-XP_02-100120261047189bca22</t>
  </si>
  <si>
    <t>GL05-XP_02-100120261047edf16d42</t>
  </si>
  <si>
    <t>GL05-XP_02-100120261047d124733e</t>
  </si>
  <si>
    <t>Han</t>
  </si>
  <si>
    <t>GL04-XP_02-100120261226a2918437</t>
  </si>
  <si>
    <t>Trần Thị Hiến</t>
  </si>
  <si>
    <t>GL04-XP_02-100120261226ea1f2547</t>
  </si>
  <si>
    <t>Lê Tấn Lập</t>
  </si>
  <si>
    <t>GL04-XP_02-100120261226d8a5369c</t>
  </si>
  <si>
    <t>GL04-XP_02-1001202611561e95ed5c</t>
  </si>
  <si>
    <t>GL04-XP_02-100120261142d8ec84a6</t>
  </si>
  <si>
    <t>Phạm Đỗ Y Phục</t>
  </si>
  <si>
    <t>GL04-XP_02-10012026114258504cee</t>
  </si>
  <si>
    <t>GL04-XP_02-100120261142b365c9c4</t>
  </si>
  <si>
    <t>Phạm Đỗ Y Thảo</t>
  </si>
  <si>
    <t>GL04-XP_02-100120261142038d9001</t>
  </si>
  <si>
    <t>Den</t>
  </si>
  <si>
    <t>GL04-XP_02-100120261142498b7fa2</t>
  </si>
  <si>
    <t>Phạm Đỗ Y Phúc</t>
  </si>
  <si>
    <t>GL04-XP_02-1001202611422d0506a9</t>
  </si>
  <si>
    <t>Phạm Đỗ Y Phượng</t>
  </si>
  <si>
    <t>GL05-XP_02-1001202611045e5e0e55</t>
  </si>
  <si>
    <t>Khuây</t>
  </si>
  <si>
    <t>GL05-XP_02-1001202611042bc20e5f</t>
  </si>
  <si>
    <t>GL05-XP_02-100120261104c8b633df</t>
  </si>
  <si>
    <t>Nghĩa</t>
  </si>
  <si>
    <t>GL05-XP_02-10012026110427bebed6</t>
  </si>
  <si>
    <t>GL05-XP_02-100120261104dfa922af</t>
  </si>
  <si>
    <t>Thoai</t>
  </si>
  <si>
    <t>GL04-XP_02-100120261122e6e9586b</t>
  </si>
  <si>
    <t>GL04-XP_02-100120261122935d30b7</t>
  </si>
  <si>
    <t>GL05-XP_02-1001202611205b7d27ed</t>
  </si>
  <si>
    <t>GL05-XP_02-1001202611208a73f1fa</t>
  </si>
  <si>
    <t>Nhuyết</t>
  </si>
  <si>
    <t>GL05-XP_02-100120261120a6e1f594</t>
  </si>
  <si>
    <t>Nhuyên</t>
  </si>
  <si>
    <t>GL05-XP_02-10012026112057359f08</t>
  </si>
  <si>
    <t>GL05-XP_02-100120261138893832c6</t>
  </si>
  <si>
    <t>GL05-XP_02-100120261138718f4ad5</t>
  </si>
  <si>
    <t>Kear</t>
  </si>
  <si>
    <t>GL05-XP_02-100120261138240b85a6</t>
  </si>
  <si>
    <t>GL04-XP_02-100120261059faa8073f</t>
  </si>
  <si>
    <t>Ká</t>
  </si>
  <si>
    <t>GL04-XP_02-10012026105938a358ea</t>
  </si>
  <si>
    <t>HyOt</t>
  </si>
  <si>
    <t>GL04-XP_02-1001202610593d5a0140</t>
  </si>
  <si>
    <t>GL05-XP_02-1001202611552dc0cc87</t>
  </si>
  <si>
    <t>Đinh Phương Thùy</t>
  </si>
  <si>
    <t>GL05-XP_02-1001202611555015daf4</t>
  </si>
  <si>
    <t>Y-Tuyn</t>
  </si>
  <si>
    <t>GL05-XP_02-1001202611559ef10b93</t>
  </si>
  <si>
    <t>GL04-XP_02-100120261034cfa29d62</t>
  </si>
  <si>
    <t>Thọ</t>
  </si>
  <si>
    <t>GL04-XP_02-1001202610345c9485b4</t>
  </si>
  <si>
    <t>Thúc</t>
  </si>
  <si>
    <t>GL04-XP_02-1001202610346e5d7f4d</t>
  </si>
  <si>
    <t>GL04-XP_02-10012026103466bab505</t>
  </si>
  <si>
    <t>Oanh</t>
  </si>
  <si>
    <t>GL04-XP_02-100120261034a58875bb</t>
  </si>
  <si>
    <t>GL02-XP_01-080120260812ab83960a</t>
  </si>
  <si>
    <t>Kei</t>
  </si>
  <si>
    <t>GL05-XP_02-1001202612187e3b6c95</t>
  </si>
  <si>
    <t>GL05-XP_02-1001202612182cb0901b</t>
  </si>
  <si>
    <t>GL05-XP_02-1001202612180e8bf6b3</t>
  </si>
  <si>
    <t>Bên</t>
  </si>
  <si>
    <t>GL05-XP_02-1001202612188e292b2a</t>
  </si>
  <si>
    <t>GL05-XP_02-100120261218da16fec2</t>
  </si>
  <si>
    <t>Khôi</t>
  </si>
  <si>
    <t>GL05-XP_02-1001202612180e1982ec</t>
  </si>
  <si>
    <t>GL04-XP_02-1001202610116086ce19</t>
  </si>
  <si>
    <t>Yhmai</t>
  </si>
  <si>
    <t>GL04-XP_02-100120261011b1a5b67e</t>
  </si>
  <si>
    <t>GL04-XP_02-100120261011f18c6fcf</t>
  </si>
  <si>
    <t>Bon</t>
  </si>
  <si>
    <t>GL04-XP_02-1001202610113e4529f1</t>
  </si>
  <si>
    <t>Yhmi</t>
  </si>
  <si>
    <t>GL05-XP_02-100120261252816cf44d</t>
  </si>
  <si>
    <t>HMên</t>
  </si>
  <si>
    <t>GL05-XP_02-1001202612521875d1c4</t>
  </si>
  <si>
    <t>GL05-XP_02-10012026125292899f57</t>
  </si>
  <si>
    <t>GL04-XP_02-10012026090119f72576</t>
  </si>
  <si>
    <t>Làm đất, làm cỏ, Phun thuốc, Tưới nước, Thu hoạch, Sơ chế, Sấy, Tỉa cành, Thăm vườn, Bán sản phẩm, Quản lý tài chỉnh</t>
  </si>
  <si>
    <t>GL04-XP_02-100120260901b7f7665f</t>
  </si>
  <si>
    <t>GL02-XP_01-080120260946f5fdd737</t>
  </si>
  <si>
    <t>GL04-XP_06-110120261439b5ac9478</t>
  </si>
  <si>
    <t>Nguyễn Thị Huyền Trang</t>
  </si>
  <si>
    <t>GL04-XP_06-110120261439006461c8</t>
  </si>
  <si>
    <t>Lê Thị Mạo</t>
  </si>
  <si>
    <t>GL04-XP_06-110120261439870e5df6</t>
  </si>
  <si>
    <t>GL04-XP_06-1101202614395a80c021</t>
  </si>
  <si>
    <t>Nguyễn Hữu Hùng</t>
  </si>
  <si>
    <t>GL04-XP_06-11012026143902730a07</t>
  </si>
  <si>
    <t>Nguyễn Hữu Tuấn</t>
  </si>
  <si>
    <t>GL02-XP_01-080120261010ed055645</t>
  </si>
  <si>
    <t>Ktum</t>
  </si>
  <si>
    <t>GL05-XP_02-10012026130885a6ed81</t>
  </si>
  <si>
    <t>Phong</t>
  </si>
  <si>
    <t>GL05-XP_02-100120261308b9491419</t>
  </si>
  <si>
    <t>GL05-XP_02-100120261308125b8b1b</t>
  </si>
  <si>
    <t>HNhop</t>
  </si>
  <si>
    <t>GL05-XP_02-100120261308805f1e63</t>
  </si>
  <si>
    <t>GL05-XP_02-100120261308946ffb2e</t>
  </si>
  <si>
    <t>Phi-A</t>
  </si>
  <si>
    <t>GL05-XP_02-10012026130882d6433f</t>
  </si>
  <si>
    <t>Phi-An</t>
  </si>
  <si>
    <t>GL04-XP_06-110120261424dcde6cf3</t>
  </si>
  <si>
    <t>Trần Quang Minh</t>
  </si>
  <si>
    <t>GL04-XP_06-110120261424c2996947</t>
  </si>
  <si>
    <t>Trần Thị Hải An</t>
  </si>
  <si>
    <t>GL04-XP_06-1101202614246bf07543</t>
  </si>
  <si>
    <t>Trần Anh Thuấn</t>
  </si>
  <si>
    <t>GL04-XP_06-110120261424254726c2</t>
  </si>
  <si>
    <t>Trần Thị Thanh Thuý</t>
  </si>
  <si>
    <t>GL04-XP_06-11012026142490d8bdce</t>
  </si>
  <si>
    <t>GL05-XP_02-1001202613225bc6b2a1</t>
  </si>
  <si>
    <t>Băy</t>
  </si>
  <si>
    <t>GL05-XP_02-1001202613223c48f49f</t>
  </si>
  <si>
    <t>Kim Chi</t>
  </si>
  <si>
    <t>GL05-XP_02-100120261322f887016d</t>
  </si>
  <si>
    <t>GL05-XP_02-10012026132208e4d6d5</t>
  </si>
  <si>
    <t>ANgen</t>
  </si>
  <si>
    <t>GL05-XP_02-100120261322e41220e5</t>
  </si>
  <si>
    <t>Chan</t>
  </si>
  <si>
    <t>GL05-XP_02-1001202613224b059a22</t>
  </si>
  <si>
    <t>Ly Băng</t>
  </si>
  <si>
    <t>GL04-XP_06-110120261412b1ee2603</t>
  </si>
  <si>
    <t>GL04-XP_06-1101202614122cf97988</t>
  </si>
  <si>
    <t>Nguyễn Hữu Sang</t>
  </si>
  <si>
    <t>GL04-XP_06-110120261412af5c77b4</t>
  </si>
  <si>
    <t>GL04-XP_06-110120261412fc4ee156</t>
  </si>
  <si>
    <t>GL02-XP_01-0801202610312c4c9358</t>
  </si>
  <si>
    <t>Mkhinh</t>
  </si>
  <si>
    <t>Trồng, Làm đất, làm cỏ, Bón phân, Phun thuốc, Tưới nước, Thu hoạch, Sơ chế, Sấy, Bán sản phẩm, Quản lý tài chỉnh</t>
  </si>
  <si>
    <t>GL05-XP_02-10012026133415742030</t>
  </si>
  <si>
    <t>GL05-XP_02-100120261334460b5316</t>
  </si>
  <si>
    <t>GL05-XP_02-100120261334137e9f0c</t>
  </si>
  <si>
    <t>Lệ</t>
  </si>
  <si>
    <t>GL04-XP_06-11012026135963648651</t>
  </si>
  <si>
    <t>Nguyễn Thị Như Nguyệt</t>
  </si>
  <si>
    <t>GL04-XP_06-1101202613597127f8fb</t>
  </si>
  <si>
    <t>GL04-XP_06-11012026135920dd9152</t>
  </si>
  <si>
    <t>Nguyễn Tất Phát</t>
  </si>
  <si>
    <t>GL04-XP_06-110120261359f415d76d</t>
  </si>
  <si>
    <t>Nguyễn Minh Ánh</t>
  </si>
  <si>
    <t>GL04-XP_06-1101202613591409ffef</t>
  </si>
  <si>
    <t>Nguyễn Tất Hợp</t>
  </si>
  <si>
    <t>GL05-XP_02-1001202614245417ba78</t>
  </si>
  <si>
    <t>Dien</t>
  </si>
  <si>
    <t>GL05-XP_02-1001202614241cc91cd4</t>
  </si>
  <si>
    <t>GL05-XP_02-10012026142499031896</t>
  </si>
  <si>
    <t>Huệ</t>
  </si>
  <si>
    <t>GL05-XP_02-1001202614242bea2582</t>
  </si>
  <si>
    <t>Biu</t>
  </si>
  <si>
    <t>GL05-XP_02-1001202614243cdcd34f</t>
  </si>
  <si>
    <t>Nhin</t>
  </si>
  <si>
    <t>GL05-XP_02-10012026142423032fb5</t>
  </si>
  <si>
    <t>GL04-XP_06-110120261346acb6814d</t>
  </si>
  <si>
    <t>Lê Xuân Sơn</t>
  </si>
  <si>
    <t>GL04-XP_06-110120261346e1da3316</t>
  </si>
  <si>
    <t>Lê Xuân Sang</t>
  </si>
  <si>
    <t>GL04-XP_06-1101202613468ccd3fe5</t>
  </si>
  <si>
    <t>GL04-XP_06-110120261346f2ef2dc4</t>
  </si>
  <si>
    <t>GL05-XP_02-1001202614381b1690fa</t>
  </si>
  <si>
    <t>GL05-XP_02-1001202614380eb9ff6c</t>
  </si>
  <si>
    <t>GL05-XP_02-10012026143816029a79</t>
  </si>
  <si>
    <t>Thuer</t>
  </si>
  <si>
    <t>GL05-XP_02-100120261438ef955f9e</t>
  </si>
  <si>
    <t>Thou</t>
  </si>
  <si>
    <t>GL02-XP_01-0801202613196d41f255</t>
  </si>
  <si>
    <t>GL04-XP_06-11012026101507c06414</t>
  </si>
  <si>
    <t>Trồng, Làm đất, làm cỏ, Bón phân, Phun thuốc, Tưới nước, Thu hoạch, Sơ chế, Sấy, Tập huấn kỹ thuật, Thăm vườn</t>
  </si>
  <si>
    <t>GL04-XP_06-1101202610157a787730</t>
  </si>
  <si>
    <t>Lê Văn Lượng</t>
  </si>
  <si>
    <t>GL04-XP_06-110120261015dac317b2</t>
  </si>
  <si>
    <t>GL02-XP_01-080120261319ce5d98f8</t>
  </si>
  <si>
    <t>KLêu</t>
  </si>
  <si>
    <t>GL04-XP_06-110120261015eb2d66e8</t>
  </si>
  <si>
    <t>GL05-XP_02-1001202615190a0993c0</t>
  </si>
  <si>
    <t>GL05-XP_02-10012026151991e2125f</t>
  </si>
  <si>
    <t>Gan</t>
  </si>
  <si>
    <t>GL05-XP_02-100120261519d56e39af</t>
  </si>
  <si>
    <t>Vệ</t>
  </si>
  <si>
    <t>GL05-XP_02-10012026151913667716</t>
  </si>
  <si>
    <t>Vân</t>
  </si>
  <si>
    <t>GL04-XP_06-110120260946087288ab</t>
  </si>
  <si>
    <t>GL04-XP_06-110120260946d638d348</t>
  </si>
  <si>
    <t>Nguyễn Phạm Xuân Khôi</t>
  </si>
  <si>
    <t>GL04-XP_06-1101202609464cf0b3b1</t>
  </si>
  <si>
    <t>Nguyễn Thị Nga</t>
  </si>
  <si>
    <t>GL02-XP_01-08012026140988d46340</t>
  </si>
  <si>
    <t>GL02-XP_01-080120261409ae7a9e20</t>
  </si>
  <si>
    <t>Hrok</t>
  </si>
  <si>
    <t>GL04-XP_06-11012026100275ae34e1</t>
  </si>
  <si>
    <t>GL04-XP_06-1101202610021f5eec15</t>
  </si>
  <si>
    <t>GL04-XP_06-11012026100252c2eb59</t>
  </si>
  <si>
    <t>GL04-XP_06-1101202610022133491d</t>
  </si>
  <si>
    <t>Nguyễn Xuân Hoàng</t>
  </si>
  <si>
    <t>GL05-XP_06-110120260914e9ddbc58</t>
  </si>
  <si>
    <t>GL05-XP_06-110120260914af2417d7</t>
  </si>
  <si>
    <t>Lê Xuân Hùng</t>
  </si>
  <si>
    <t>GL05-XP_06-110120260914bb640d06</t>
  </si>
  <si>
    <t>GL05-XP_06-11012026091480bc34b4</t>
  </si>
  <si>
    <t>Lê Thị Lan Nhi</t>
  </si>
  <si>
    <t>GL05-XP_06-110120260914103f4856</t>
  </si>
  <si>
    <t>GL04-XP_06-11012026092751d14a5f</t>
  </si>
  <si>
    <t>GL04-XP_06-1101202609270d82fd2a</t>
  </si>
  <si>
    <t>phạm Văn Cầu</t>
  </si>
  <si>
    <t>GL04-XP_06-11012026092725ee77ee</t>
  </si>
  <si>
    <t>Phạm Hồng Thịnh</t>
  </si>
  <si>
    <t>GL04-XP_06-110120260927d786ad62</t>
  </si>
  <si>
    <t>Phạm Quang Cường</t>
  </si>
  <si>
    <t>GL05-XP_06-110120260937ce1d921b</t>
  </si>
  <si>
    <t>Nguyễn Văn Toàn</t>
  </si>
  <si>
    <t>GL05-XP_06-1101202609379777eebc</t>
  </si>
  <si>
    <t>GL05-XP_06-110120260937fbea28f2</t>
  </si>
  <si>
    <t>GL05-XP_06-1101202609378fe8f238</t>
  </si>
  <si>
    <t>Nguyễn Thị Lan Anh</t>
  </si>
  <si>
    <t>GL04-XP_06-1101202609099c258f11</t>
  </si>
  <si>
    <t>Nguyễn Thị Thuỷ</t>
  </si>
  <si>
    <t>GL04-XP_06-110120260909a994bda9</t>
  </si>
  <si>
    <t>Ngô Hoàng Anh</t>
  </si>
  <si>
    <t>GL04-XP_06-11012026090919f3f5de</t>
  </si>
  <si>
    <t>Ngô Phương Uyên</t>
  </si>
  <si>
    <t>GL05-XP_06-1101202609542eb69eb5</t>
  </si>
  <si>
    <t>Phan Văn Khải</t>
  </si>
  <si>
    <t>GL05-XP_06-1101202609549a6ba26f</t>
  </si>
  <si>
    <t>Phan Mạnh Tuấn</t>
  </si>
  <si>
    <t>GL05-XP_06-11012026095446aee4ee</t>
  </si>
  <si>
    <t>GL05-XP_06-1101202609548025a8b6</t>
  </si>
  <si>
    <t>GL05-XP_06-11012026102365e318cb</t>
  </si>
  <si>
    <t>GL05-XP_06-110120261023ef3187e3</t>
  </si>
  <si>
    <t>GL05-XP_06-110120261023b01fbec2</t>
  </si>
  <si>
    <t>Lê Văn Phong</t>
  </si>
  <si>
    <t>GL05-XP_06-11012026102307a61f58</t>
  </si>
  <si>
    <t>GL04-XP_03-1401202611187753aa61</t>
  </si>
  <si>
    <t>GL05-XP_06-110120261114fbe9db41</t>
  </si>
  <si>
    <t>GL05-XP_06-11012026111408227e2b</t>
  </si>
  <si>
    <t>Lê Võ Thành</t>
  </si>
  <si>
    <t>GL05-XP_06-11012026111473b39eb6</t>
  </si>
  <si>
    <t>Lê Văn Bình</t>
  </si>
  <si>
    <t>GL04-XP_05-120120261717f5c47411</t>
  </si>
  <si>
    <t>GL05-XP_06-110120261354f8f1eecb</t>
  </si>
  <si>
    <t>Nguyễn Hoàng Triệu</t>
  </si>
  <si>
    <t>GL05-XP_06-110120261354638358c4</t>
  </si>
  <si>
    <t>GL05-XP_06-1101202613548c65abfd</t>
  </si>
  <si>
    <t>Nguyễn Thị Yến Nhi</t>
  </si>
  <si>
    <t>GL05-XP_06-11012026135449ade11b</t>
  </si>
  <si>
    <t>GL05-XP_06-1101202613542e872aa8</t>
  </si>
  <si>
    <t>Nguyễn Thị Uyên Thư</t>
  </si>
  <si>
    <t>GL04-XP_05-12012026170287a81b7d</t>
  </si>
  <si>
    <t>Rơ Ma Hinh</t>
  </si>
  <si>
    <t>GL04-XP_05-1201202617024dff5bae</t>
  </si>
  <si>
    <t>Rơ ma Hêm</t>
  </si>
  <si>
    <t>Làm đất, làm cỏ, Bón phân, Phun thuốc, Tưới nước, Thu hoạch, Sơ chế, Sấy, Tỉa cành, Thăm vườn, Bán sản phẩm, Quản lý tài chỉnh</t>
  </si>
  <si>
    <t>GL04-XP_05-12012026170249ade1a5</t>
  </si>
  <si>
    <t>Rơ Ma Hiền</t>
  </si>
  <si>
    <t>GL04-XP_05-1201202617023c292c9d</t>
  </si>
  <si>
    <t>Bui Dế</t>
  </si>
  <si>
    <t>GL04-XP_05-120120261702757b4c00</t>
  </si>
  <si>
    <t>Rơ Ma Hưng</t>
  </si>
  <si>
    <t>GL05-XP_06-110120261419812d15f1</t>
  </si>
  <si>
    <t>GL05-XP_06-11012026141922b1d51d</t>
  </si>
  <si>
    <t>Nguyễn Văn Khánh</t>
  </si>
  <si>
    <t>GL05-XP_06-11012026141933166701</t>
  </si>
  <si>
    <t>Nguyễn Văn Hòa</t>
  </si>
  <si>
    <t>GL05-XP_06-110120261419170f12d0</t>
  </si>
  <si>
    <t>GL05-XP_06-11012026143567a5575b</t>
  </si>
  <si>
    <t>Nguyễn Thành Long</t>
  </si>
  <si>
    <t>GL05-XP_06-11012026143530b06498</t>
  </si>
  <si>
    <t>GL02-XP_01-0801202614461a9e4aa6</t>
  </si>
  <si>
    <t>Hoàng Văn Cao</t>
  </si>
  <si>
    <t>GL02-XP_01-08012026144682c55203</t>
  </si>
  <si>
    <t>GL02-XP_01-080120261531e65069a3</t>
  </si>
  <si>
    <t>Trơ</t>
  </si>
  <si>
    <t>GL02-XP_01-080120261531b52ab434</t>
  </si>
  <si>
    <t>KHich</t>
  </si>
  <si>
    <t>GL02-XP_01-0801202616083ec0cf6d</t>
  </si>
  <si>
    <t>GL02-XP_01-08012026182803fe9a48</t>
  </si>
  <si>
    <t>Hmat</t>
  </si>
  <si>
    <t>GL02-XP_01-0801202618286a45c740</t>
  </si>
  <si>
    <t>GL05-XP_05-120120260856fa4796e6</t>
  </si>
  <si>
    <t>GL05-XP_05-120120260856f127070c</t>
  </si>
  <si>
    <t>Nguyễn Hữu Huy Hoàng</t>
  </si>
  <si>
    <t>GL05-XP_05-12012026085619b1c3b6</t>
  </si>
  <si>
    <t>Nguyễn Hữu Tùng Lâm</t>
  </si>
  <si>
    <t>GL05-XP_05-12012026085683aeadba</t>
  </si>
  <si>
    <t>Đỗ Thị Hồng</t>
  </si>
  <si>
    <t>GL05-XP_05-120120260856979bc96f</t>
  </si>
  <si>
    <t>Nguyễn Hữu Đức Tài</t>
  </si>
  <si>
    <t>GL02-XP_07-090120260814634d53b0</t>
  </si>
  <si>
    <t>GL05-XP_05-120120260926834380f5</t>
  </si>
  <si>
    <t>Phan Tấn Vũ</t>
  </si>
  <si>
    <t>GL05-XP_05-120120260926addd57f5</t>
  </si>
  <si>
    <t>Phan Ngọc Bích</t>
  </si>
  <si>
    <t>GL05-XP_05-1201202609268fecdf25</t>
  </si>
  <si>
    <t>Phan Văn Tráng</t>
  </si>
  <si>
    <t>GL05-XP_05-1201202609268d1aaf4e</t>
  </si>
  <si>
    <t>GL05-XP_05-1201202609512f214210</t>
  </si>
  <si>
    <t>Đỗ Thị Hằng</t>
  </si>
  <si>
    <t>GL05-XP_05-120120260951fc0a6471</t>
  </si>
  <si>
    <t>GL05-XP_05-12012026095127f74592</t>
  </si>
  <si>
    <t>Đỗ Đình Trường</t>
  </si>
  <si>
    <t>GL05-XP_05-120120261023202b9b4c</t>
  </si>
  <si>
    <t>GL05-XP_05-120120261023ab500b46</t>
  </si>
  <si>
    <t>Trần Văn Hòa</t>
  </si>
  <si>
    <t>GL05-XP_05-120120261023a4667be2</t>
  </si>
  <si>
    <t>GL02-XP_07-090120260920c72659a9</t>
  </si>
  <si>
    <t>Khơi</t>
  </si>
  <si>
    <t>GL02-XP_07-090120260920a19eaf30</t>
  </si>
  <si>
    <t>Khônh</t>
  </si>
  <si>
    <t>GL02-XP_07-0901202609203bf1b48b</t>
  </si>
  <si>
    <t>Anh</t>
  </si>
  <si>
    <t>GL02-XP_07-0901202609202137a586</t>
  </si>
  <si>
    <t>Khenh</t>
  </si>
  <si>
    <t>GL05-XP_05-12012026104848790477</t>
  </si>
  <si>
    <t>GL05-XP_05-1201202610489c263fab</t>
  </si>
  <si>
    <t>Trần Thị Miên</t>
  </si>
  <si>
    <t>Thu hoạch, Sấy, Tỉa cành, Thăm vườn</t>
  </si>
  <si>
    <t>GL05-XP_05-120120261448e3a43bc1</t>
  </si>
  <si>
    <t>GL05-XP_05-120120261448966cae10</t>
  </si>
  <si>
    <t>Đậu Thị Đào</t>
  </si>
  <si>
    <t>GL02-XP_07-0901202610108fb6fcf7</t>
  </si>
  <si>
    <t>Têch</t>
  </si>
  <si>
    <t>GL02-XP_07-0901202610101ab6e5c2</t>
  </si>
  <si>
    <t>Xoan</t>
  </si>
  <si>
    <t>Trồng, Làm đất, làm cỏ, Bón phân, Thu hoạch, Sơ chế, Sấy, Tỉa cành</t>
  </si>
  <si>
    <t>GL02-XP_07-090120261010de6deb03</t>
  </si>
  <si>
    <t>Tuoi</t>
  </si>
  <si>
    <t>GL02-XP_07-09012026101015cf93fb</t>
  </si>
  <si>
    <t>Khiêt</t>
  </si>
  <si>
    <t>GL02-XP_07-090120261010e384b520</t>
  </si>
  <si>
    <t>Hem</t>
  </si>
  <si>
    <t>GL05-XP_05-120120261523e0645e4d</t>
  </si>
  <si>
    <t>Đoàn Đức Trường</t>
  </si>
  <si>
    <t>GL05-XP_05-12012026152396199137</t>
  </si>
  <si>
    <t>GL05-XP_05-120120261610d1e96ae4</t>
  </si>
  <si>
    <t>Trần Bình Tuệ</t>
  </si>
  <si>
    <t>GL05-XP_05-120120261610fa49f878</t>
  </si>
  <si>
    <t>Trần Thị Nương</t>
  </si>
  <si>
    <t>GL05-XP_05-120120261610083fd2d7</t>
  </si>
  <si>
    <t>GL05-XP_05-120120261610708f6443</t>
  </si>
  <si>
    <t>Trần Minh Khôi</t>
  </si>
  <si>
    <t>GL05-XP_05-12012026164617202fb8</t>
  </si>
  <si>
    <t>GL05-XP_05-120120261646bece34e9</t>
  </si>
  <si>
    <t>GL05-XP_05-1201202617124d13dea5</t>
  </si>
  <si>
    <t>Ayul</t>
  </si>
  <si>
    <t>GL05-XP_05-12012026171246fbc67d</t>
  </si>
  <si>
    <t>GL02-XP_07-0901202610325942ec33</t>
  </si>
  <si>
    <t>GL02-XP_07-09012026103212378a76</t>
  </si>
  <si>
    <t>Yoan</t>
  </si>
  <si>
    <t>GL02-XP_07-09012026103282f85f6f</t>
  </si>
  <si>
    <t>Aronh</t>
  </si>
  <si>
    <t>GL02-XP_07-0901202610321bef8069</t>
  </si>
  <si>
    <t>Sưu</t>
  </si>
  <si>
    <t>GL02-XP_07-0901202610325865bef0</t>
  </si>
  <si>
    <t>Sươnh</t>
  </si>
  <si>
    <t>GL02-XP_07-090120261032e6ad3350</t>
  </si>
  <si>
    <t>Hin</t>
  </si>
  <si>
    <t>GL02-XP_07-0901202611010f933428</t>
  </si>
  <si>
    <t>Nuen</t>
  </si>
  <si>
    <t>GL02-XP_07-090120261101be8a92b1</t>
  </si>
  <si>
    <t>Binh</t>
  </si>
  <si>
    <t>GL02-XP_07-090120261101049d620c</t>
  </si>
  <si>
    <t>GL02-XP_07-0901202611015f79deda</t>
  </si>
  <si>
    <t>Trồng, Làm đất, làm cỏ, Bón phân, Thu hoạch, Sơ chế, Sấy, Tập huấn kỹ thuật, Tỉa cành, Bán sản phẩm, Quản lý tài chỉnh</t>
  </si>
  <si>
    <t>GL02-XP_07-090120261110b51cca02</t>
  </si>
  <si>
    <t>Nenh</t>
  </si>
  <si>
    <t>GL02-XP_07-090120261110bbbf3517</t>
  </si>
  <si>
    <t>Nơnh</t>
  </si>
  <si>
    <t>GL02-XP_07-090120261110c4c15b83</t>
  </si>
  <si>
    <t>GL02-XP_07-090120261110d6b12504</t>
  </si>
  <si>
    <t>Nơyh</t>
  </si>
  <si>
    <t>GL02-XP_07-0901202611101267c68e</t>
  </si>
  <si>
    <t>GL02-XP_07-090120261202cede21fe</t>
  </si>
  <si>
    <t>GL02-XP_07-09012026120262cdadae</t>
  </si>
  <si>
    <t>GL02-XP_07-0901202612023abb2fba</t>
  </si>
  <si>
    <t>Hyun</t>
  </si>
  <si>
    <t>GL02-XP_07-0901202612424a118812</t>
  </si>
  <si>
    <t>GL02-XP_07-090120261242839c1415</t>
  </si>
  <si>
    <t>ALap</t>
  </si>
  <si>
    <t>GL02-XP_07-090120261242e2ccfec0</t>
  </si>
  <si>
    <t>Khuy</t>
  </si>
  <si>
    <t>GL05-XP_03-13012026093112bfb735</t>
  </si>
  <si>
    <t>Rơ Lan Dêp</t>
  </si>
  <si>
    <t>GL05-XP_03-130120260931f1b20103</t>
  </si>
  <si>
    <t>KPuih Chiến</t>
  </si>
  <si>
    <t>GL05-XP_03-1301202609311f756077</t>
  </si>
  <si>
    <t>Rơ Lan Hồng</t>
  </si>
  <si>
    <t>GL05-XP_03-1301202609310846d8ae</t>
  </si>
  <si>
    <t>Rơchâm Búch</t>
  </si>
  <si>
    <t>GL02-XP_07-09012026130450215d36</t>
  </si>
  <si>
    <t>GL05-XP_03-13012026095800d4125b</t>
  </si>
  <si>
    <t>Rơ Lan Nghiệp</t>
  </si>
  <si>
    <t>GL05-XP_03-13012026095861d7f75f</t>
  </si>
  <si>
    <t>GL05-XP_03-1301202609583ff637ae</t>
  </si>
  <si>
    <t>Rơ Lan Nga</t>
  </si>
  <si>
    <t>GL05-XP_03-1301202609585d7f3c2e</t>
  </si>
  <si>
    <t>Rơ Lan HDai</t>
  </si>
  <si>
    <t>GL05-XP_03-130120261026eccf4f16</t>
  </si>
  <si>
    <t>GL05-XP_03-130120261026f8fbc091</t>
  </si>
  <si>
    <t>GL02-XP_01-090120261611b416e741</t>
  </si>
  <si>
    <t>GL05-XP_03-1301202610525d4df6f3</t>
  </si>
  <si>
    <t>GL05-XP_03-130120261052a877df2d</t>
  </si>
  <si>
    <t>Rơ Lan Miên</t>
  </si>
  <si>
    <t>GL05-XP_03-130120261052e2ad8a6d</t>
  </si>
  <si>
    <t>Rơ Lan Phi</t>
  </si>
  <si>
    <t>Làm đất, làm cỏ, Thu hoạch</t>
  </si>
  <si>
    <t>GL05-XP_03-1301202611060be4be6f</t>
  </si>
  <si>
    <t>Rơ Lan PDon</t>
  </si>
  <si>
    <t>GL05-XP_03-130120261106ab858074</t>
  </si>
  <si>
    <t>Rơ Lan PDơ</t>
  </si>
  <si>
    <t>GL05-XP_03-13012026112134390a9d</t>
  </si>
  <si>
    <t>Kpă Tháo</t>
  </si>
  <si>
    <t>GL05-XP_03-13012026112157522006</t>
  </si>
  <si>
    <t>KPuih</t>
  </si>
  <si>
    <t>GL05-XP_03-1301202611211fad24a8</t>
  </si>
  <si>
    <t>KPuih PhDin</t>
  </si>
  <si>
    <t>GL05-XP_03-130120261121f91f5512</t>
  </si>
  <si>
    <t>KPuih Thơm</t>
  </si>
  <si>
    <t>GL05-XP_03-1301202612220189c269</t>
  </si>
  <si>
    <t>Phan Thị Cẩm Hà</t>
  </si>
  <si>
    <t>Quản lý tài chỉnh</t>
  </si>
  <si>
    <t>GL05-XP_03-1301202612222a6b9be0</t>
  </si>
  <si>
    <t>GL02-XP_01-0901202616213b196a39</t>
  </si>
  <si>
    <t>GL02-XP_01-090120261621e44b1f80</t>
  </si>
  <si>
    <t>Hyan</t>
  </si>
  <si>
    <t>GL02-XP_01-090120261621d4208b69</t>
  </si>
  <si>
    <t>Trồng, Làm đất, làm cỏ, Bón phân, Phun thuốc, Tưới nước, Thu hoạch, Sơ chế, Sấy, Tỉa cành</t>
  </si>
  <si>
    <t>GL05-XP_03-130120261518cbaa40ab</t>
  </si>
  <si>
    <t>GL05-XP_03-1301202615181d24356a</t>
  </si>
  <si>
    <t>Rơ Chăm Plưt</t>
  </si>
  <si>
    <t>GL02-XP_01-090120261636d790cb3e</t>
  </si>
  <si>
    <t>HNhôn</t>
  </si>
  <si>
    <t>GL02-XP_01-09012026174530855d82</t>
  </si>
  <si>
    <t>Lơr</t>
  </si>
  <si>
    <t>Trồng, Làm đất, làm cỏ, Bón phân, Tưới nước, Thu hoạch, Sơ chế, Sấy, Tập huấn kỹ thuật, Bán sản phẩm, Quản lý tài chỉnh</t>
  </si>
  <si>
    <t>GL02-XP_01-090120261745508a61c9</t>
  </si>
  <si>
    <t>Lòi</t>
  </si>
  <si>
    <t>GL05-XP_03-130120261533d3337b67</t>
  </si>
  <si>
    <t>GL05-XP_03-1301202615337008791a</t>
  </si>
  <si>
    <t>Rơ Chăm Ben</t>
  </si>
  <si>
    <t>Trồng, Làm đất, làm cỏ, Phun thuốc, Tưới nước, Thu hoạch, Sơ chế, Sấy, Tỉa cành, Thăm vườn, Bán sản phẩm, Quản lý tài chỉnh</t>
  </si>
  <si>
    <t>GL05-XP_03-1301202615416efbfc6f</t>
  </si>
  <si>
    <t>Rơ Chăm Mich</t>
  </si>
  <si>
    <t>GL05-XP_03-1301202615417cb59279</t>
  </si>
  <si>
    <t>GL05-XP_03-1301202615430d2fb1b7</t>
  </si>
  <si>
    <t>Rơ Lan PDen</t>
  </si>
  <si>
    <t>GL05-XP_03-130120261543583414d4</t>
  </si>
  <si>
    <t>GL02-XP_02-100120261000cdc6afec</t>
  </si>
  <si>
    <t>GL02-XP_02-100120261000b3bdebfe</t>
  </si>
  <si>
    <t>Vũ Thị Thịnh</t>
  </si>
  <si>
    <t>Trồng, Thu hoạch, Sơ chế, Sấy, Bán sản phẩm, Quản lý tài chỉnh</t>
  </si>
  <si>
    <t>GL02-XP_02-1001202610007e9f2b9c</t>
  </si>
  <si>
    <t>Nguyễn Vũ Bích Ngọc</t>
  </si>
  <si>
    <t>GL07-XP_01-080120261654ce82b06f</t>
  </si>
  <si>
    <t>H Minh</t>
  </si>
  <si>
    <t>Trồng, Làm đất, làm cỏ, Bón phân, Tưới nước, Thu hoạch, Sấy, Tỉa cành, Thăm vườn, Bán sản phẩm, Quản lý tài chỉnh</t>
  </si>
  <si>
    <t>GL07-XP_01-0801202616544a1f7d94</t>
  </si>
  <si>
    <t>Thuk</t>
  </si>
  <si>
    <t>GL07-XP_01-080120261654ca2001c5</t>
  </si>
  <si>
    <t>Thung</t>
  </si>
  <si>
    <t>GL07-XP_01-080120261654fd277330</t>
  </si>
  <si>
    <t>Thui</t>
  </si>
  <si>
    <t>GL07-XP_01-0801202616549e7a0d83</t>
  </si>
  <si>
    <t>GL04-XP_05-1201202616466c6ba47b</t>
  </si>
  <si>
    <t>GL04-XP_05-120120261646a3eef09d</t>
  </si>
  <si>
    <t>Bui Den</t>
  </si>
  <si>
    <t>GL04-XP_05-120120261610ae2c6c56</t>
  </si>
  <si>
    <t>GL04-XP_05-1201202616103354d0c8</t>
  </si>
  <si>
    <t>Lê Văn Đắc</t>
  </si>
  <si>
    <t>GL04-XP_05-12012026161090015ea1</t>
  </si>
  <si>
    <t>Trần Thị Huê</t>
  </si>
  <si>
    <t>GL02-XP_02-100120261035972fe02f</t>
  </si>
  <si>
    <t>Nguyễn Thị Tĩnh</t>
  </si>
  <si>
    <t>GL02-XP_02-100120261035a3de6a6e</t>
  </si>
  <si>
    <t>GL04-XP_05-120120261515181ae524</t>
  </si>
  <si>
    <t>Nguyễn Quốc Anh</t>
  </si>
  <si>
    <t>GL04-XP_05-1201202615159677013a</t>
  </si>
  <si>
    <t>GL04-XP_05-12012026151598a1f2cd</t>
  </si>
  <si>
    <t>Nguyễn Viết Dũng</t>
  </si>
  <si>
    <t>GL04-XP_05-120120261515dff0327f</t>
  </si>
  <si>
    <t>Nguyễn Quốc Phương</t>
  </si>
  <si>
    <t>GL04-XP_05-120120261515d97eeb3a</t>
  </si>
  <si>
    <t>Nguyễn Bảo Yến</t>
  </si>
  <si>
    <t>GL02-XP_02-100120261056b74810f9</t>
  </si>
  <si>
    <t>Vũ Thị Thúy</t>
  </si>
  <si>
    <t>Trồng, Bón phân, Thu hoạch, Sơ chế, Sấy, Tỉa cành</t>
  </si>
  <si>
    <t>GL02-XP_02-1001202610561c640f0d</t>
  </si>
  <si>
    <t>GL02-XP_02-100120261056b57fff34</t>
  </si>
  <si>
    <t>Nhữ Thị Thuyết</t>
  </si>
  <si>
    <t>GL02-XP_02-10012026105646e80e01</t>
  </si>
  <si>
    <t>Vũ Tiến Công</t>
  </si>
  <si>
    <t>GL04-XP_05-120120261447299fe85d</t>
  </si>
  <si>
    <t>Hoàng Văn Ô</t>
  </si>
  <si>
    <t>GL04-XP_05-120120261447ba3a649b</t>
  </si>
  <si>
    <t>GL04-XP_05-120120261447aafbf640</t>
  </si>
  <si>
    <t>GL04-XP_05-120120261447f15c9d06</t>
  </si>
  <si>
    <t>Hoàng Văn Di</t>
  </si>
  <si>
    <t>GL02-XP_02-1001202611087ec501cf</t>
  </si>
  <si>
    <t>GL02-XP_02-100120261108063452c7</t>
  </si>
  <si>
    <t>Hoàng Thị Làn</t>
  </si>
  <si>
    <t>GL04-XP_05-12012026114750706bae</t>
  </si>
  <si>
    <t>Nguyễn Cao Kỳ Duyên</t>
  </si>
  <si>
    <t>GL04-XP_05-1201202611470ddf7e24</t>
  </si>
  <si>
    <t>Nguyễn Ngọc Tường Vy</t>
  </si>
  <si>
    <t>GL04-XP_05-1201202611473102be17</t>
  </si>
  <si>
    <t>Cao Thị Dịu</t>
  </si>
  <si>
    <t>GL04-XP_05-120120261147a5cfc956</t>
  </si>
  <si>
    <t>GL04-XP_05-120120261131fbb5f0eb</t>
  </si>
  <si>
    <t>Trần Thị Bình</t>
  </si>
  <si>
    <t>GL04-XP_05-1201202611310962cbc9</t>
  </si>
  <si>
    <t>GL04-XP_05-120120261131158a3f13</t>
  </si>
  <si>
    <t>Nguyễn Văn Tâm</t>
  </si>
  <si>
    <t>GL02-XP_02-100120261125fffa682c</t>
  </si>
  <si>
    <t>Nguyễn Thị Trang</t>
  </si>
  <si>
    <t>GL02-XP_02-10012026112597f61c43</t>
  </si>
  <si>
    <t>GL04-XP_05-120120261131e3b77cd1</t>
  </si>
  <si>
    <t>Nguyễn Văn Công</t>
  </si>
  <si>
    <t>GL04-XP_05-120120261106ded2c0b0</t>
  </si>
  <si>
    <t>GL04-XP_05-120120261106d605b146</t>
  </si>
  <si>
    <t>Nguyễn Tất Dũng</t>
  </si>
  <si>
    <t>GL04-XP_05-120120261106d2eb271f</t>
  </si>
  <si>
    <t>Hồ Thị Huế</t>
  </si>
  <si>
    <t>GL04-XP_05-12012026110606c463fa</t>
  </si>
  <si>
    <t>Nguyễn Thị Hằng</t>
  </si>
  <si>
    <t>GL04-XP_05-120120261106a81a8ff6</t>
  </si>
  <si>
    <t>Nguyễn Thị Hồng</t>
  </si>
  <si>
    <t>GL02-XP_02-100120261137f5796290</t>
  </si>
  <si>
    <t>Trồng, Thu hoạch, Sơ chế, Sấy, Tập huấn kỹ thuật, Thăm vườn, Bán sản phẩm, Quản lý tài chỉnh</t>
  </si>
  <si>
    <t>GL02-XP_02-1001202611373f93666a</t>
  </si>
  <si>
    <t>Nguyễn Thị Hoàng Linh</t>
  </si>
  <si>
    <t>GL04-XP_05-1201202610291ffbec92</t>
  </si>
  <si>
    <t>Làm đất, làm cỏ, Bón phân, Phun thuốc, Tưới nước, Thu hoạch, Sơ chế, Sấy, Tỉa cành, Thăm vườn, Bán sản phẩm</t>
  </si>
  <si>
    <t>GL04-XP_05-1201202610293b42d12c</t>
  </si>
  <si>
    <t>Dương Thị Hiếu</t>
  </si>
  <si>
    <t>GL04-XP_05-120120261012aad47df0</t>
  </si>
  <si>
    <t>Đinh Văn Thương</t>
  </si>
  <si>
    <t>GL04-XP_05-1201202610128db1f6c1</t>
  </si>
  <si>
    <t>Đinh Hoàng Anh Tuấn</t>
  </si>
  <si>
    <t>GL04-XP_05-12012026101218264522</t>
  </si>
  <si>
    <t>Đinh Đại Quang</t>
  </si>
  <si>
    <t>GL04-XP_05-12012026101278b6580f</t>
  </si>
  <si>
    <t>GL04-XP_05-120120261012ec0c4253</t>
  </si>
  <si>
    <t>Đinh Tuấn Tú</t>
  </si>
  <si>
    <t>GL04-XP_05-120120261012c9064e3a</t>
  </si>
  <si>
    <t>Đinh Việt Hoàng</t>
  </si>
  <si>
    <t>GL02-XP_02-10012026115437085c3f</t>
  </si>
  <si>
    <t>Thu hoạch, Sơ chế, Sấy, Tập huấn kỹ thuật, Bán sản phẩm, Quản lý tài chỉnh</t>
  </si>
  <si>
    <t>GL02-XP_02-1001202611544ff9be46</t>
  </si>
  <si>
    <t>Trồng, Tưới nước, Thu hoạch, Sơ chế, Sấy, Tập huấn kỹ thuật, Tỉa cành, Thăm vườn, Bán sản phẩm</t>
  </si>
  <si>
    <t>GL04-XP_05-1201202609521b5e006e</t>
  </si>
  <si>
    <t>Đỗ Văn Quân</t>
  </si>
  <si>
    <t>GL04-XP_05-1201202609523edcd7b5</t>
  </si>
  <si>
    <t>GL04-XP_05-120120260952aada6492</t>
  </si>
  <si>
    <t>Đỗ Thị Thuý</t>
  </si>
  <si>
    <t>GL04-XP_05-120120260910dbe6277c</t>
  </si>
  <si>
    <t>GL04-XP_05-120120260910c2e8bd75</t>
  </si>
  <si>
    <t>GL02-XP_02-100120261340315abae5</t>
  </si>
  <si>
    <t>GL02-XP_02-100120261340a0c74778</t>
  </si>
  <si>
    <t>Huỳnh Thị Bích Hạnh</t>
  </si>
  <si>
    <t>GL07-XP_01-08012026163770d5d6e1</t>
  </si>
  <si>
    <t>Hen</t>
  </si>
  <si>
    <t>GL04-XP_05-120120260900cf1d5612</t>
  </si>
  <si>
    <t>Lê Thị Kim DUng</t>
  </si>
  <si>
    <t>GL07-XP_01-080120261637d6652532</t>
  </si>
  <si>
    <t>GL07-XP_01-0801202616376b64a75d</t>
  </si>
  <si>
    <t>Thơ</t>
  </si>
  <si>
    <t>GL07-XP_01-080120261637a8424fce</t>
  </si>
  <si>
    <t>Tha Ny</t>
  </si>
  <si>
    <t>GL04-XP_05-12012026090037b2753c</t>
  </si>
  <si>
    <t>Lê Thị Hoà</t>
  </si>
  <si>
    <t>GL04-XP_05-1201202609009050edb8</t>
  </si>
  <si>
    <t>Lê Thị Hồng Nhung</t>
  </si>
  <si>
    <t>GL04-XP_05-1201202609003aaab88f</t>
  </si>
  <si>
    <t>GL04-XP_05-120120260900135660fc</t>
  </si>
  <si>
    <t>GL04-XP_05-12012026090033a6f86d</t>
  </si>
  <si>
    <t>Lê Vĩnh Trung Quân</t>
  </si>
  <si>
    <t>GL04-XP_05-120120260924519c06ca</t>
  </si>
  <si>
    <t>Nguyễn Ngọc Thiên</t>
  </si>
  <si>
    <t>GL04-XP_05-120120260924ae2a8618</t>
  </si>
  <si>
    <t>GL04-XP_05-120120260924e5a14391</t>
  </si>
  <si>
    <t>GL04-XP_05-1201202609244c825cae</t>
  </si>
  <si>
    <t>Nguyễn Ngọc Diệp</t>
  </si>
  <si>
    <t>GL04-XP_05-1201202609248f942a02</t>
  </si>
  <si>
    <t>Nguyễn Ngọc Bảo</t>
  </si>
  <si>
    <t>GL04-XP_03-13012026155304e74ca2</t>
  </si>
  <si>
    <t>GL04-XP_03-130120261553fbe77154</t>
  </si>
  <si>
    <t>GL04-XP_03-1301202615530959af87</t>
  </si>
  <si>
    <t>Rơ Châm Phen</t>
  </si>
  <si>
    <t>GL04-XP_03-13012026153002f6c85c</t>
  </si>
  <si>
    <t>Rơ Lan Hiếp</t>
  </si>
  <si>
    <t>GL04-XP_03-1301202615307235ba5d</t>
  </si>
  <si>
    <t>GL02-XP_02-1001202613576ec8cb8d</t>
  </si>
  <si>
    <t>Lê Thị Tuyết An</t>
  </si>
  <si>
    <t>Trồng, Làm đất, làm cỏ, Bón phân, Thu hoạch, Sơ chế, Sấy, Tập huấn kỹ thuật, Tỉa cành, Thăm vườn, Bán sản phẩm, Quản lý tài chỉnh</t>
  </si>
  <si>
    <t>GL02-XP_02-10012026135710113a64</t>
  </si>
  <si>
    <t>Bùi Lê Anh Thư</t>
  </si>
  <si>
    <t>GL02-XP_02-100120261357f810b247</t>
  </si>
  <si>
    <t>GL04-XP_03-1301202611259e6da9f9</t>
  </si>
  <si>
    <t>GL04-XP_03-130120261125d3379a22</t>
  </si>
  <si>
    <t>GL04-XP_03-1301202611256d63c40e</t>
  </si>
  <si>
    <t>Nguyễn Thị Soát</t>
  </si>
  <si>
    <t>GL07-XP_01-080120260941b61084d2</t>
  </si>
  <si>
    <t>Thớp</t>
  </si>
  <si>
    <t>GL07-XP_01-080120260941160f876b</t>
  </si>
  <si>
    <t>Khye</t>
  </si>
  <si>
    <t>GL07-XP_01-0801202609418fc73cba</t>
  </si>
  <si>
    <t>GL07-XP_01-0801202609414d8a750c</t>
  </si>
  <si>
    <t>Bé</t>
  </si>
  <si>
    <t>GL07-XP_01-08012026094165637393</t>
  </si>
  <si>
    <t>Bin</t>
  </si>
  <si>
    <t>Tỉa cành, Làm đất, làm cỏ, Tưới nước, Sấy, Thăm vườn, Thu hoạch</t>
  </si>
  <si>
    <t>GL07-XP_01-080120260941a394822d</t>
  </si>
  <si>
    <t>Luao</t>
  </si>
  <si>
    <t>GL04-XP_03-130120261102343b5fea</t>
  </si>
  <si>
    <t>Rơ Lan Thang</t>
  </si>
  <si>
    <t>GL04-XP_03-130120261102ffaeac2f</t>
  </si>
  <si>
    <t>Rơ Lan Ngọc</t>
  </si>
  <si>
    <t>GL04-XP_03-1301202611025859c10a</t>
  </si>
  <si>
    <t>GL04-XP_03-1301202611021982f85d</t>
  </si>
  <si>
    <t>GL02-XP_02-100120261410dd754ee7</t>
  </si>
  <si>
    <t>GL02-XP_02-100120261410758813da</t>
  </si>
  <si>
    <t>Trần Thị Nga</t>
  </si>
  <si>
    <t>GL04-XP_03-13012026102807d11262</t>
  </si>
  <si>
    <t>GL04-XP_03-1301202610287f447ce2</t>
  </si>
  <si>
    <t>GL04-XP_03-130120261028fbd7d0e7</t>
  </si>
  <si>
    <t>Siu Plui</t>
  </si>
  <si>
    <t>GL04-XP_03-130120261028d95604c4</t>
  </si>
  <si>
    <t>Rơ Châm Tiết</t>
  </si>
  <si>
    <t>GL02-XP_02-1001202614232f53e3e6</t>
  </si>
  <si>
    <t>Trồng, Bón phân, Thu hoạch, Sơ chế, Sấy, Bán sản phẩm, Quản lý tài chỉnh</t>
  </si>
  <si>
    <t>GL02-XP_02-1001202614231180c928</t>
  </si>
  <si>
    <t>GL04-XP_03-130120261026a58c09b6</t>
  </si>
  <si>
    <t>GL04-XP_03-13012026102606b6e913</t>
  </si>
  <si>
    <t>GL04-XP_03-1301202610260a1f9247</t>
  </si>
  <si>
    <t>Rơ Châm Cương</t>
  </si>
  <si>
    <t>GL02-XP_02-1001202616253f9e6011</t>
  </si>
  <si>
    <t>GL02-XP_02-10012026162582fd5479</t>
  </si>
  <si>
    <t>Rkip</t>
  </si>
  <si>
    <t>GL04-XP_03-1301202610124ee06096</t>
  </si>
  <si>
    <t>Rơ Châm Hinh</t>
  </si>
  <si>
    <t>GL04-XP_03-130120261012184756fe</t>
  </si>
  <si>
    <t>Rơ Châm Phanh</t>
  </si>
  <si>
    <t>GL04-XP_03-130120261012a9e78906</t>
  </si>
  <si>
    <t>GL04-XP_03-13012026101256033cea</t>
  </si>
  <si>
    <t>Rơ Châm Tinh</t>
  </si>
  <si>
    <t>GL04-XP_03-130120261012400dc4f7</t>
  </si>
  <si>
    <t>Rơ Lan Phing</t>
  </si>
  <si>
    <t>GL04-XP_03-13012026095395fa003c</t>
  </si>
  <si>
    <t>GL04-XP_03-130120260953402c500d</t>
  </si>
  <si>
    <t>Rơ Châm Hảo</t>
  </si>
  <si>
    <t>GL04-XP_03-130120260953d52967bf</t>
  </si>
  <si>
    <t>GL04-XP_03-1301202609534c734840</t>
  </si>
  <si>
    <t>Rơ Châm Trường</t>
  </si>
  <si>
    <t>GL04-XP_03-130120260936a80a957f</t>
  </si>
  <si>
    <t>Rơ Lan Grẳ</t>
  </si>
  <si>
    <t>GL04-XP_03-1301202609362c2d5707</t>
  </si>
  <si>
    <t>Rơ Châm Hằng</t>
  </si>
  <si>
    <t>GL04-XP_03-130120260936ea934f65</t>
  </si>
  <si>
    <t>Rơ Châm hé</t>
  </si>
  <si>
    <t>GL04-XP_03-13012026093682846c40</t>
  </si>
  <si>
    <t>Rơ Châm Hạnh</t>
  </si>
  <si>
    <t>GL04-XP_03-13012026093636979c2e</t>
  </si>
  <si>
    <t>Rơ Châm Lan Hằn</t>
  </si>
  <si>
    <t>GL04-XP_03-1301202609226ce438f0</t>
  </si>
  <si>
    <t>GL04-XP_03-130120260922f6876e25</t>
  </si>
  <si>
    <t>Rơ Lan Dum</t>
  </si>
  <si>
    <t>GL07-XP_01-080120260850f8fff946</t>
  </si>
  <si>
    <t>Yut</t>
  </si>
  <si>
    <t>GL07-XP_01-0801202608506e2d43c6</t>
  </si>
  <si>
    <t>Yim</t>
  </si>
  <si>
    <t>GL07-XP_01-0801202610215e9812f8</t>
  </si>
  <si>
    <t>Lý</t>
  </si>
  <si>
    <t>GL07-XP_01-080120261021fe0daa6d</t>
  </si>
  <si>
    <t>A nê</t>
  </si>
  <si>
    <t>GL07-XP_01-080120260913edbf871d</t>
  </si>
  <si>
    <t>Thê</t>
  </si>
  <si>
    <t>GL07-XP_01-080120260913d0a4186a</t>
  </si>
  <si>
    <t>Uăt</t>
  </si>
  <si>
    <t>Trồng, Làm đất, làm cỏ, Tưới nước, Thu hoạch, Sơ chế, Sấy, Tập huấn kỹ thuật, Thăm vườn, Bán sản phẩm, Quản lý tài chỉnh</t>
  </si>
  <si>
    <t>GL07-XP_01-0801202614187824e96e</t>
  </si>
  <si>
    <t>Glõng</t>
  </si>
  <si>
    <t>GL07-XP_01-080120261418499710b6</t>
  </si>
  <si>
    <t>Hung</t>
  </si>
  <si>
    <t>GL07-XP_01-0801202618278eac9779</t>
  </si>
  <si>
    <t>Khây</t>
  </si>
  <si>
    <t>GL07-XP_01-08012026182798078f91</t>
  </si>
  <si>
    <t>Khem</t>
  </si>
  <si>
    <t>GL07-XP_01-08012026182796392398</t>
  </si>
  <si>
    <t>Thu hoạch, Sơ chế, Thăm vườn, Bán sản phẩm, Quản lý tài chỉnh</t>
  </si>
  <si>
    <t>GL07-XP_01-080120261827e903cbf8</t>
  </si>
  <si>
    <t>Khus</t>
  </si>
  <si>
    <t>GL07-XP_01-0801202617522629b954</t>
  </si>
  <si>
    <t>Hơ Mlớt</t>
  </si>
  <si>
    <t>Trồng, Bón phân, Tưới nước, Thu hoạch, Sơ chế, Sấy, Tỉa cành, Bán sản phẩm, Quản lý tài chỉnh</t>
  </si>
  <si>
    <t>GL07-XP_01-08012026185452861ebc</t>
  </si>
  <si>
    <t>H Ngân</t>
  </si>
  <si>
    <t>GL07-XP_01-080120261854f2221709</t>
  </si>
  <si>
    <t>Thinh</t>
  </si>
  <si>
    <t>GL07-XP_01-0801202618549cdb191c</t>
  </si>
  <si>
    <t>GL07-XP_08-09012026085236ce6c34</t>
  </si>
  <si>
    <t>Sanh</t>
  </si>
  <si>
    <t>GL07-XP_08-090120260852cdd4789c</t>
  </si>
  <si>
    <t>Trồng, Làm đất, làm cỏ, Tưới nước, Thu hoạch, Sơ chế, Sấy, Tập huấn kỹ thuật, Tỉa cành, Thăm vườn, Bán sản phẩm, Quản lý tài chỉnh</t>
  </si>
  <si>
    <t>GL07-XP_08-09012026091035231446</t>
  </si>
  <si>
    <t>Banh</t>
  </si>
  <si>
    <t>GL07-XP_08-0901202609107ec551f1</t>
  </si>
  <si>
    <t>Tữu</t>
  </si>
  <si>
    <t>GL07-XP_08-0901202609104cca17ce</t>
  </si>
  <si>
    <t>GL07-XP_08-090120260910fb00a6f9</t>
  </si>
  <si>
    <t>H Lứp</t>
  </si>
  <si>
    <t>Thu hoạch, Sơ chế, Sấy, Quản lý tài chỉnh</t>
  </si>
  <si>
    <t>GL07-XP_08-09012026092534d3c8fb</t>
  </si>
  <si>
    <t>GL07-XP_08-090120260925461004ef</t>
  </si>
  <si>
    <t>Phạm Văn Giang</t>
  </si>
  <si>
    <t>GL07-XP_08-09012026092551389500</t>
  </si>
  <si>
    <t>Phạm Văn Sơn</t>
  </si>
  <si>
    <t>GL07-XP_08-0901202610073edf61f4</t>
  </si>
  <si>
    <t>Hồ Trọng Phú</t>
  </si>
  <si>
    <t>GL07-XP_08-090120261007d3e318e3</t>
  </si>
  <si>
    <t>Nhữ Thị Lan</t>
  </si>
  <si>
    <t>GL07-XP_08-090120261007eb630361</t>
  </si>
  <si>
    <t>Hồ Thị Kim Ngân</t>
  </si>
  <si>
    <t>GL07-XP_08-0901202610075ef332e6</t>
  </si>
  <si>
    <t>Hồ trọng Đạt</t>
  </si>
  <si>
    <t>GL07-XP_08-090120261051cb72e0c7</t>
  </si>
  <si>
    <t>Thị</t>
  </si>
  <si>
    <t>GL07-XP_08-0901202610513bb560e6</t>
  </si>
  <si>
    <t>Min</t>
  </si>
  <si>
    <t>GL07-XP_08-090120261051f05c7822</t>
  </si>
  <si>
    <t>Mai</t>
  </si>
  <si>
    <t>Làm đất, làm cỏ, Bón phân, Thu hoạch, Sơ chế, Sấy, Tỉa cành, Thăm vườn, Bán sản phẩm, Quản lý tài chỉnh</t>
  </si>
  <si>
    <t>GL07-XP_08-090120261108d91d0d81</t>
  </si>
  <si>
    <t>Phon</t>
  </si>
  <si>
    <t>GL07-XP_08-0901202611087eb0d4f0</t>
  </si>
  <si>
    <t>Bu</t>
  </si>
  <si>
    <t>GL07-XP_08-090120261108f4c8e363</t>
  </si>
  <si>
    <t>Nhai</t>
  </si>
  <si>
    <t>GL07-XP_08-090120261108a3923037</t>
  </si>
  <si>
    <t>Nhiêt</t>
  </si>
  <si>
    <t>GL07-XP_08-0901202612001b370ee5</t>
  </si>
  <si>
    <t>Đào Thị Huề</t>
  </si>
  <si>
    <t>Làm đất, làm cỏ, Thu hoạch, Sơ chế, Sấy, Tập huấn kỹ thuật, Tỉa cành, Thăm vườn, Bán sản phẩm, Quản lý tài chỉnh</t>
  </si>
  <si>
    <t>GL07-XP_02-100120261001a6eacc63</t>
  </si>
  <si>
    <t>GL07-XP_02-1001202610017be8d1a0</t>
  </si>
  <si>
    <t>Thiết</t>
  </si>
  <si>
    <t>GL07-XP_02-1001202610015d3b16c7</t>
  </si>
  <si>
    <t>GL07-XP_02-100120261001b9834d64</t>
  </si>
  <si>
    <t>Amus</t>
  </si>
  <si>
    <t>GL07-XP_02-100120261005075490db</t>
  </si>
  <si>
    <t>Đinh Thị Kiều Thanh</t>
  </si>
  <si>
    <t>GL07-XP_02-100120261005092ab18e</t>
  </si>
  <si>
    <t>Đinh Thị Kiều Trinh</t>
  </si>
  <si>
    <t>GL07-XP_02-1001202610054bbed31d</t>
  </si>
  <si>
    <t>GL07-XP_02-1001202610149213923d</t>
  </si>
  <si>
    <t>GL07-XP_02-10012026101487450475</t>
  </si>
  <si>
    <t>Sin</t>
  </si>
  <si>
    <t>GL07-XP_02-1001202610267b05217c</t>
  </si>
  <si>
    <t>Hom</t>
  </si>
  <si>
    <t>GL07-XP_02-100120261026b88eefb8</t>
  </si>
  <si>
    <t>Thêm</t>
  </si>
  <si>
    <t>GL07-XP_02-100120261026bda76ecc</t>
  </si>
  <si>
    <t>Prưn</t>
  </si>
  <si>
    <t>GL07-XP_02-1001202610463729fbec</t>
  </si>
  <si>
    <t>H Míu</t>
  </si>
  <si>
    <t>GL07-XP_02-10012026104623334e8c</t>
  </si>
  <si>
    <t>H May</t>
  </si>
  <si>
    <t>GL07-XP_02-100120261046efa6b442</t>
  </si>
  <si>
    <t>Roanh</t>
  </si>
  <si>
    <t>GL07-XP_02-10012026104605d5db20</t>
  </si>
  <si>
    <t>Roan</t>
  </si>
  <si>
    <t>GL07-XP_02-1001202610550a1c2aaa</t>
  </si>
  <si>
    <t>Y Nes</t>
  </si>
  <si>
    <t>GL07-XP_02-100120261055ad7b79f6</t>
  </si>
  <si>
    <t>Y Thues</t>
  </si>
  <si>
    <t>Sơ chế, Tỉa cành, Quản lý tài chỉnh, Làm đất, làm cỏ, Tưới nước, Sấy, Thăm vườn, Bón phân, Thu hoạch, Tập huấn kỹ thuật, Bán sản phẩm</t>
  </si>
  <si>
    <t>GL07-XP_02-100120261055aefa151e</t>
  </si>
  <si>
    <t>Y SiNa</t>
  </si>
  <si>
    <t>GL07-XP_02-1001202610558edc20c3</t>
  </si>
  <si>
    <t>A Trí</t>
  </si>
  <si>
    <t>GL07-XP_02-1001202611102fef5f05</t>
  </si>
  <si>
    <t>Vat</t>
  </si>
  <si>
    <t>Trồng, Sơ chế, Tỉa cành, Quản lý tài chỉnh, Tưới nước, Sấy, Thăm vườn, Bón phân, Thu hoạch, Bán sản phẩm</t>
  </si>
  <si>
    <t>GL07-XP_02-100120261110decce5c1</t>
  </si>
  <si>
    <t>H Hiên</t>
  </si>
  <si>
    <t>Trồng, Phun thuốc, Sơ chế, Tỉa cành, Quản lý tài chỉnh, Làm đất, làm cỏ, Tưới nước, Sấy, Thăm vườn, Bón phân, Bán sản phẩm</t>
  </si>
  <si>
    <t>GL07-XP_02-100120261110eba7fb25</t>
  </si>
  <si>
    <t>GL07-XP_02-1001202611109fef0a00</t>
  </si>
  <si>
    <t>Gun</t>
  </si>
  <si>
    <t>Trồng, Sơ chế, Tỉa cành, Làm đất, làm cỏ, Tưới nước, Sấy, Thăm vườn, Bón phân, Thu hoạch</t>
  </si>
  <si>
    <t>GL07-XP_02-1001202611104508490e</t>
  </si>
  <si>
    <t>H Hân</t>
  </si>
  <si>
    <t>GL07-XP_02-10012026162353ae8e6a</t>
  </si>
  <si>
    <t>Pach</t>
  </si>
  <si>
    <t>GL07-XP_02-1001202616231eed293b</t>
  </si>
  <si>
    <t>Rơch</t>
  </si>
  <si>
    <t>Làm đất, làm cỏ, Bón phân, Tưới nước, Thu hoạch, Sơ chế, Sấy, Tỉa cành, Bán sản phẩm, Quản lý tài chỉnh</t>
  </si>
  <si>
    <t>GL07-XP_02-1001202616076b9a0b48</t>
  </si>
  <si>
    <t>Chất</t>
  </si>
  <si>
    <t>Bón phân, Tưới nước, Thu hoạch, Sơ chế, Sấy, Tập huấn kỹ thuật, Tỉa cành, Thăm vườn, Bán sản phẩm, Quản lý tài chỉnh</t>
  </si>
  <si>
    <t>GL07-XP_02-100120261607ad35d115</t>
  </si>
  <si>
    <t>Chợ</t>
  </si>
  <si>
    <t>GL07-XP_02-100120261607f09f5406</t>
  </si>
  <si>
    <t>Hu</t>
  </si>
  <si>
    <t>GL07-XP_02-100120261615083d2ed3</t>
  </si>
  <si>
    <t>Hoi</t>
  </si>
  <si>
    <t>Làm đất, làm cỏ, Bón phân, Tưới nước, Thu hoạch, Sơ chế, Sấy, Tỉa cành, Thăm vườn, Bán sản phẩm, Quản lý tài chỉnh</t>
  </si>
  <si>
    <t>GL07-XP_02-10012026161508605f85</t>
  </si>
  <si>
    <t>Henh</t>
  </si>
  <si>
    <t>GL07-XP_02-100120261615a790ea28</t>
  </si>
  <si>
    <t>Qưun</t>
  </si>
  <si>
    <t>Bón phân, Tưới nước, Thu hoạch, Sấy, Tỉa cành, Thăm vườn</t>
  </si>
  <si>
    <t>GL07-XP_02-10012026120738603b9d</t>
  </si>
  <si>
    <t>Thay</t>
  </si>
  <si>
    <t>Bón phân, Tưới nước, Thu hoạch, Sấy, Tỉa cành, Thăm vườn, Bán sản phẩm, Quản lý tài chỉnh</t>
  </si>
  <si>
    <t>GL07-XP_02-100120261207200fece6</t>
  </si>
  <si>
    <t>Bôyt</t>
  </si>
  <si>
    <t>GL07-XP_02-1001202612070ff2b43f</t>
  </si>
  <si>
    <t>Bup</t>
  </si>
  <si>
    <t>Bón phân, Tưới nước, Thu hoạch, Sơ chế, Sấy, Tỉa cành, Thăm vườn, Bán sản phẩm</t>
  </si>
  <si>
    <t>GL07-XP_02-10012026120780597002</t>
  </si>
  <si>
    <t>Ngư</t>
  </si>
  <si>
    <t>GL07-XP_02-1001202611505aa396d3</t>
  </si>
  <si>
    <t>Thu hoạch, Sơ chế, Sấy, Bán sản phẩm, Quản lý tài chỉnh</t>
  </si>
  <si>
    <t>GL07-XP_02-100120261150bfcc0e85</t>
  </si>
  <si>
    <t>GL07-XP_02-1001202611501ccd8518</t>
  </si>
  <si>
    <t>Lonh</t>
  </si>
  <si>
    <t>GL07-XP_02-10012026115046ace4fb</t>
  </si>
  <si>
    <t>Pri</t>
  </si>
  <si>
    <t>GL07-XP_02-10012026115069a9b89e</t>
  </si>
  <si>
    <t>Y Lương</t>
  </si>
  <si>
    <t>GL07-XP_02-10012026115079f18a4f</t>
  </si>
  <si>
    <t>Y Boim</t>
  </si>
  <si>
    <t>GL07-XP_02-1001202611503f8a98b3</t>
  </si>
  <si>
    <t>Ên</t>
  </si>
  <si>
    <t>GL07-XP_02-10012026163088b99444</t>
  </si>
  <si>
    <t>Gưt</t>
  </si>
  <si>
    <t>GL07-XP_02-100120261630e42603af</t>
  </si>
  <si>
    <t>Xêna</t>
  </si>
  <si>
    <t>GL07-XP_06-110120260901abff643e</t>
  </si>
  <si>
    <t>Nguyễn Chiến Thắng</t>
  </si>
  <si>
    <t>GL07-XP_06-110120260901ee7c5fdd</t>
  </si>
  <si>
    <t>Nguyễn Thị Thu Thảo</t>
  </si>
  <si>
    <t>GL07-XP_06-110120260925070af24b</t>
  </si>
  <si>
    <t>Phạm Ngọc Duẩn</t>
  </si>
  <si>
    <t>GL07-XP_06-11012026092561d96760</t>
  </si>
  <si>
    <t>Phạm Ngọc Mạnh</t>
  </si>
  <si>
    <t>GL07-XP_06-110120260925fd0f5cc7</t>
  </si>
  <si>
    <t>Phạm Ngọc Dũng</t>
  </si>
  <si>
    <t>GL07-XP_06-11012026094227d8d01f</t>
  </si>
  <si>
    <t>GL07-XP_06-110120260942847bf849</t>
  </si>
  <si>
    <t>Thái hữu Bảo Anh</t>
  </si>
  <si>
    <t>GL07-XP_06-1101202609428f9664a9</t>
  </si>
  <si>
    <t>Thái Hữu Bảo Quốc</t>
  </si>
  <si>
    <t>GL07-XP_06-1101202609560face035</t>
  </si>
  <si>
    <t>Trần Hoàng Khánh Nam</t>
  </si>
  <si>
    <t>GL07-XP_06-1101202609564631d73e</t>
  </si>
  <si>
    <t>Trần Hoàn Long</t>
  </si>
  <si>
    <t>GL07-XP_06-110120261011c1f41856</t>
  </si>
  <si>
    <t>Lê Thi Cảnh Huyền</t>
  </si>
  <si>
    <t>GL07-XP_06-110120261011c3815f36</t>
  </si>
  <si>
    <t>GL07-XP_06-1101202610110e9c4dbd</t>
  </si>
  <si>
    <t>Lê Thị Nhi</t>
  </si>
  <si>
    <t>GL07-XP_06-110120261028e8d15feb</t>
  </si>
  <si>
    <t>Nguyễn Thi Yến Nhi</t>
  </si>
  <si>
    <t>GL07-XP_06-110120261028ed90ae98</t>
  </si>
  <si>
    <t>Làm đất, làm cỏ, Bón phân, Phun thuốc, Tưới nước, Thu hoạch, Sơ chế, Sấy, Tập huấn kỹ thuật, Bán sản phẩm, Quản lý tài chỉnh</t>
  </si>
  <si>
    <t>GL07-XP_06-110120261028bf7b030e</t>
  </si>
  <si>
    <t>Nguyễn Đình Nguyên Phú</t>
  </si>
  <si>
    <t>GL07-XP_06-1101202610284bb38db6</t>
  </si>
  <si>
    <t>Nguyễn Đình Sang</t>
  </si>
  <si>
    <t>GL07-XP_06-110120261046d73b4f12</t>
  </si>
  <si>
    <t>GL07-XP_06-110120261046ce16edb4</t>
  </si>
  <si>
    <t>GL07-XP_06-110120261046ed5b8d86</t>
  </si>
  <si>
    <t>Lương thành Đạt</t>
  </si>
  <si>
    <t>GL07-XP_06-110120261420df11118d</t>
  </si>
  <si>
    <t>Pham Quốc Việt</t>
  </si>
  <si>
    <t>GL07-XP_06-110120261420dbaa4de8</t>
  </si>
  <si>
    <t>Phạm Huy Anh</t>
  </si>
  <si>
    <t>GL07-XP_06-110120261420a46eda67</t>
  </si>
  <si>
    <t>Phạm thị thúy Hằng</t>
  </si>
  <si>
    <t>GL07-XP_06-1101202614208d654923</t>
  </si>
  <si>
    <t>Phạm Xuân quý</t>
  </si>
  <si>
    <t>GL07-XP_06-110120261353e1c4ee75</t>
  </si>
  <si>
    <t>Nguyễn Hữu Gia Khánh</t>
  </si>
  <si>
    <t>GL07-XP_06-110120261353f14e6791</t>
  </si>
  <si>
    <t>GL07-XP_06-110120261353a649c666</t>
  </si>
  <si>
    <t>Nguyễn Thị Gia Hân</t>
  </si>
  <si>
    <t>GL07-XP_06-110120261409960c65e1</t>
  </si>
  <si>
    <t>Trần Văn Thành</t>
  </si>
  <si>
    <t>GL07-XP_06-110120261409ee7f2f41</t>
  </si>
  <si>
    <t>Trần Nguyễn Huy Đại</t>
  </si>
  <si>
    <t>GL07-XP_06-11012026140973955d9a</t>
  </si>
  <si>
    <t>Trần Nguyễn Việt Anh</t>
  </si>
  <si>
    <t>GL07-XP_06-110120261409ec63b08b</t>
  </si>
  <si>
    <t>Trần Nguyễn Mạnh Quân</t>
  </si>
  <si>
    <t>GL07-XP_06-11012026143016c8e731</t>
  </si>
  <si>
    <t>Hồ Sỹ Quang</t>
  </si>
  <si>
    <t>GL07-XP_06-110120261430cc75948d</t>
  </si>
  <si>
    <t>Hồ Thị Tuyết Mai</t>
  </si>
  <si>
    <t>GL07-XP_06-110120261430f6269444</t>
  </si>
  <si>
    <t>Hồ Sỹ Thịnh</t>
  </si>
  <si>
    <t>GL07-XP_06-1101202614307dacfcbc</t>
  </si>
  <si>
    <t>Hồ Thị Thanh Xuân</t>
  </si>
  <si>
    <t>GL07-XP_05-1201202608511cf1e70c</t>
  </si>
  <si>
    <t>Trần Đức Trung</t>
  </si>
  <si>
    <t>GL07-XP_05-1201202608519a7c1fce</t>
  </si>
  <si>
    <t>GL07-XP_05-12012026090780fb0e40</t>
  </si>
  <si>
    <t>Vương Đình Bình</t>
  </si>
  <si>
    <t>GL07-XP_05-12012026090715d48209</t>
  </si>
  <si>
    <t>Vương Đình Mạnh</t>
  </si>
  <si>
    <t>GL07-XP_05-1201202609072efc8cf5</t>
  </si>
  <si>
    <t>Vương Thị Oanh</t>
  </si>
  <si>
    <t>GL07-XP_05-1201202609180b8a8839</t>
  </si>
  <si>
    <t>Trần Thị Hằng</t>
  </si>
  <si>
    <t>GL07-XP_05-1201202609189cd74ace</t>
  </si>
  <si>
    <t>Trần Khắc Đạt</t>
  </si>
  <si>
    <t>GL07-XP_05-120120260918a80a6762</t>
  </si>
  <si>
    <t>GL07-XP_05-120120260918e5d630eb</t>
  </si>
  <si>
    <t>Trần Khắc An</t>
  </si>
  <si>
    <t>GL07-XP_05-1201202609307034927c</t>
  </si>
  <si>
    <t>Trần Thị Uyên Nhi</t>
  </si>
  <si>
    <t>GL07-XP_05-120120260930472eb71e</t>
  </si>
  <si>
    <t>Phạm Thị Huệ</t>
  </si>
  <si>
    <t>GL07-XP_05-120120260930552a05eb</t>
  </si>
  <si>
    <t>Trần Ngọc Bảo Nhi</t>
  </si>
  <si>
    <t>GL07-XP_05-120120261023d9ec0434</t>
  </si>
  <si>
    <t>BBuif Đức Thuận</t>
  </si>
  <si>
    <t>GL07-XP_05-12012026102369760300</t>
  </si>
  <si>
    <t>Bùi Thị Ngọc Bình</t>
  </si>
  <si>
    <t>GL07-XP_05-120120261023013a3a52</t>
  </si>
  <si>
    <t>Bùi thị Ngọc Hằng</t>
  </si>
  <si>
    <t>GL07-XP_05-12012026102301766be1</t>
  </si>
  <si>
    <t>Đỗ Thị Thúy</t>
  </si>
  <si>
    <t>GL07-XP_05-120120261123a9e3b3e2</t>
  </si>
  <si>
    <t>Phạm Thị Hoài Thương</t>
  </si>
  <si>
    <t>GL07-XP_05-12012026112373e177e8</t>
  </si>
  <si>
    <t>Phạm Van Của</t>
  </si>
  <si>
    <t>GL07-XP_05-12012026112389172cae</t>
  </si>
  <si>
    <t>Phạm Văn Vũ</t>
  </si>
  <si>
    <t>GL07-XP_05-1201202611495f5f5e22</t>
  </si>
  <si>
    <t>Lê Hải Yến</t>
  </si>
  <si>
    <t>GL07-XP_05-120120261149b797a293</t>
  </si>
  <si>
    <t>Lê Vân Nhi</t>
  </si>
  <si>
    <t>GL07-XP_05-12012026114955ab84bb</t>
  </si>
  <si>
    <t>GL07-XP_05-12012026145441cd5cd2</t>
  </si>
  <si>
    <t>Nguyễn Hồ Bình Minh</t>
  </si>
  <si>
    <t>GL07-XP_05-1201202614543c0b7338</t>
  </si>
  <si>
    <t>Nguyễn Hồ Ngọc Như</t>
  </si>
  <si>
    <t>GL07-XP_05-120120261454d6bf72d5</t>
  </si>
  <si>
    <t>HỒ tHỊ tHUYẾT</t>
  </si>
  <si>
    <t>GL07-XP_05-120120261543a8f25a81</t>
  </si>
  <si>
    <t>GL07-XP_05-120120261543b7b48518</t>
  </si>
  <si>
    <t>Nguyễn Thị Hải</t>
  </si>
  <si>
    <t>Tỉa cành, Quản lý tài chỉnh, Làm đất, làm cỏ, Sấy, Thăm vườn, Bón phân, Thu hoạch, Tập huấn kỹ thuật, Bán sản phẩm</t>
  </si>
  <si>
    <t>GL07-XP_05-120120261543d901ba8f</t>
  </si>
  <si>
    <t>Nguyễn Quốc Tuấn</t>
  </si>
  <si>
    <t>Trồng, Phun thuốc, Sơ chế, Tỉa cành, Làm đất, làm cỏ, Tưới nước, Sấy, Thăm vườn, Bón phân, Thu hoạch, Tập huấn kỹ thuật</t>
  </si>
  <si>
    <t>GL07-XP_05-120120261543ac167a21</t>
  </si>
  <si>
    <t>Nguyễn Trọng Hiếu</t>
  </si>
  <si>
    <t>GL07-XP_05-12012026164505619df8</t>
  </si>
  <si>
    <t>Rơ Cơm Hlưk</t>
  </si>
  <si>
    <t>GL07-XP_05-12012026164520547fe2</t>
  </si>
  <si>
    <t>Rơ CơmGuin</t>
  </si>
  <si>
    <t>GL07-XP_05-120120261645f3f11579</t>
  </si>
  <si>
    <t>Rơ CơmHhlien</t>
  </si>
  <si>
    <t>Sơ chế, Tỉa cành, Quản lý tài chỉnh, Sấy, Thăm vườn, Thu hoạch, Bán sản phẩm</t>
  </si>
  <si>
    <t>GL07-XP_05-120120261707e4e98bd2</t>
  </si>
  <si>
    <t>Pui Yứt</t>
  </si>
  <si>
    <t>Sơ chế, Tỉa cành, Quản lý tài chỉnh, Sấy, Thăm vườn, Bón phân, Thu hoạch, Bán sản phẩm</t>
  </si>
  <si>
    <t>GL07-XP_05-12012026170774082a68</t>
  </si>
  <si>
    <t>Siu Huyenh</t>
  </si>
  <si>
    <t>GL07-XP_03-1301202609196db3dfa6</t>
  </si>
  <si>
    <t>RơLan Tên</t>
  </si>
  <si>
    <t>GL07-XP_03-130120260919fc4a3966</t>
  </si>
  <si>
    <t>Rơ lan Blep</t>
  </si>
  <si>
    <t>Quản lý tài chỉnh, Sấy, Thu hoạch, Bán sản phẩm</t>
  </si>
  <si>
    <t>GL07-XP_03-13012026093402a472ec</t>
  </si>
  <si>
    <t>Rơ Lan Ală</t>
  </si>
  <si>
    <t>Sơ chế, Tỉa cành, Quản lý tài chỉnh, Tưới nước, Sấy, Thăm vườn, Thu hoạch, Bán sản phẩm</t>
  </si>
  <si>
    <t>GL07-XP_03-130120260934e5370aef</t>
  </si>
  <si>
    <t>Rơ Lan Linh</t>
  </si>
  <si>
    <t>GL07-XP_03-130120260934b772a2c9</t>
  </si>
  <si>
    <t>Rơ Lan San</t>
  </si>
  <si>
    <t>GL07-XP_03-130120261005b420fc35</t>
  </si>
  <si>
    <t>Rpui Phoũ</t>
  </si>
  <si>
    <t>GL07-XP_03-130120261005ad4eb4cf</t>
  </si>
  <si>
    <t>Kpuih Thắm</t>
  </si>
  <si>
    <t>GL07-XP_03-1301202610055ef4ceb2</t>
  </si>
  <si>
    <t>K Puih Thế</t>
  </si>
  <si>
    <t>GL07-XP_03-130120261059d8c9d598</t>
  </si>
  <si>
    <t>Rơ Chăm Duyên</t>
  </si>
  <si>
    <t>GL07-XP_03-130120261059013fd5c6</t>
  </si>
  <si>
    <t>Rơ Chăm Huệ</t>
  </si>
  <si>
    <t>GL07-XP_03-130120261059c3dcde7a</t>
  </si>
  <si>
    <t>Rơ ChămBdal</t>
  </si>
  <si>
    <t>Trồng, Sơ chế, Quản lý tài chỉnh, Tưới nước, Sấy, Thăm vườn, Thu hoạch, Bán sản phẩm</t>
  </si>
  <si>
    <t>GL07-XP_03-130120261113a720637c</t>
  </si>
  <si>
    <t>Rơ Lan Hạ</t>
  </si>
  <si>
    <t>GL07-XP_03-130120261113ed155078</t>
  </si>
  <si>
    <t>Rơ Lan Taih</t>
  </si>
  <si>
    <t>Sơ chế, Tỉa cành, Quản lý tài chỉnh, Làm đất, làm cỏ, Tưới nước, Sấy, Thăm vườn, Bón phân, Thu hoạch, Bán sản phẩm</t>
  </si>
  <si>
    <t>GL07-XP_03-13012026103156ddf21c</t>
  </si>
  <si>
    <t>Rơ Châm Oh</t>
  </si>
  <si>
    <t>GL07-XP_03-13012026103164e5531d</t>
  </si>
  <si>
    <t>Rơ Châm Lan</t>
  </si>
  <si>
    <t>GL07-XP_03-1301202610504077ff5f</t>
  </si>
  <si>
    <t>Kpuih Găn</t>
  </si>
  <si>
    <t>GL07-XP_03-1301202610504122916d</t>
  </si>
  <si>
    <t>Rơ Chăm Chung</t>
  </si>
  <si>
    <t>GL07-XP_03-130120261050c619306a</t>
  </si>
  <si>
    <t>Rơ chăm Mạnh</t>
  </si>
  <si>
    <t>GL06-XP_05-120120261014e2f3a494</t>
  </si>
  <si>
    <t>GL06-XP_05-120120260939c38a519a</t>
  </si>
  <si>
    <t>GL07-XP_02-100120261127c47fc5e7</t>
  </si>
  <si>
    <t>GL07-XP_01-08012026163729d2d5b0</t>
  </si>
  <si>
    <t>GL07-XP_06-110120261028b4402732</t>
  </si>
  <si>
    <t>Nguyễn Thị Hòa</t>
  </si>
  <si>
    <t>GL07-XP_02-100120261127d98aa2a6</t>
  </si>
  <si>
    <t>Vang</t>
  </si>
  <si>
    <t>Sơ chế, Tỉa cành, Sấy, Thăm vườn, Thu hoạch, Bán sản phẩm</t>
  </si>
  <si>
    <t>GL07-XP_02-1001202611279500b9e0</t>
  </si>
  <si>
    <t>Suen</t>
  </si>
  <si>
    <t>GL07-XP_02-100120261127b268594e</t>
  </si>
  <si>
    <t>Suon</t>
  </si>
  <si>
    <t>GL07-XP_02-1001202611274f6c1587</t>
  </si>
  <si>
    <t>Soan</t>
  </si>
  <si>
    <t>GL07-XP_08-090120260852ba692f49</t>
  </si>
  <si>
    <t>GL07-XP_08-090120260910b8a50d7d</t>
  </si>
  <si>
    <t>GL07-XP_08-09012026092563686fc2</t>
  </si>
  <si>
    <t>Trồng, Làm đất, làm cỏ, Bón phân, Thu hoạch, Sơ chế, Sấy, Thăm vườn, Bán sản phẩm, Quản lý tài chỉnh</t>
  </si>
  <si>
    <t>GL07-XP_08-0901202610078c356328</t>
  </si>
  <si>
    <t>Hồ Văn Biển</t>
  </si>
  <si>
    <t>GL07-XP_08-090120261051aacc7d9d</t>
  </si>
  <si>
    <t>GL07-XP_08-0901202611087394cdf8</t>
  </si>
  <si>
    <t>GL07-XP_08-090120261200d770422c</t>
  </si>
  <si>
    <t>GL07-XP_02-1001202610019b980e71</t>
  </si>
  <si>
    <t>GL07-XP_02-1001202610053972dc7f</t>
  </si>
  <si>
    <t>GL07-XP_02-100120261014c59e8cc6</t>
  </si>
  <si>
    <t>Trồng, Làm đất, làm cỏ, Tưới nước, Thu hoạch, Sơ chế, Sấy, Tỉa cành, Thăm vườn, Bán sản phẩm, Quản lý tài chỉnh</t>
  </si>
  <si>
    <t>GL07-XP_02-100120261026c27d2a76</t>
  </si>
  <si>
    <t>GL07-XP_02-100120261046f4bcf782</t>
  </si>
  <si>
    <t>GL07-XP_02-100120261055e24bc796</t>
  </si>
  <si>
    <t>GL07-XP_02-10012026111035e6afcf</t>
  </si>
  <si>
    <t>GL07-XP_02-10012026115041e7eccc</t>
  </si>
  <si>
    <t>GL07-XP_02-100120261207acea604e</t>
  </si>
  <si>
    <t>Tưới nước, Thu hoạch, Sơ chế, Tỉa cành, Thăm vườn, Bán sản phẩm</t>
  </si>
  <si>
    <t>GL07-XP_02-1001202616077c7bbebd</t>
  </si>
  <si>
    <t>Trồng, Làm đất, làm cỏ, Bón phân, Phun thuốc, Tưới nước, Thu hoạch, Sơ chế, Tỉa cành, Thăm vườn, Bán sản phẩm, Quản lý tài chỉnh</t>
  </si>
  <si>
    <t>GL07-XP_02-100120261615f1d16c65</t>
  </si>
  <si>
    <t>Trồng, Làm đất, làm cỏ, Bón phân, Phun thuốc, Tưới nước, Thu hoạch, Sơ chế, Sấy, Thăm vườn, Bán sản phẩm</t>
  </si>
  <si>
    <t>GL07-XP_02-100120261623c51786a8</t>
  </si>
  <si>
    <t>GL07-XP_02-10012026163070846ee0</t>
  </si>
  <si>
    <t>Trồng, Làm đất, làm cỏ, Bón phân, Tưới nước, Thu hoạch, Sơ chế, Tỉa cành, Thăm vườn, Bán sản phẩm, Quản lý tài chỉnh</t>
  </si>
  <si>
    <t>GL07-XP_06-1101202609019aa78a78</t>
  </si>
  <si>
    <t>Trồng, Làm đất, làm cỏ, Bón phân, Tưới nước, Thu hoạch, Sơ chế, Sấy, Thăm vườn, Bán sản phẩm, Quản lý tài chỉnh</t>
  </si>
  <si>
    <t>GL07-XP_06-110120260925767413a9</t>
  </si>
  <si>
    <t>Trồng, Làm đất, làm cỏ, Thu hoạch, Sơ chế, Sấy, Tỉa cành, Thăm vườn, Bán sản phẩm, Quản lý tài chỉnh</t>
  </si>
  <si>
    <t>GL07-XP_06-110120260956146b1465</t>
  </si>
  <si>
    <t>GL07-XP_06-110120261011cb146970</t>
  </si>
  <si>
    <t>GL07-XP_06-110120261046c5f2d7a1</t>
  </si>
  <si>
    <t>GL07-XP_06-1101202613532c58e054</t>
  </si>
  <si>
    <t>GL07-XP_06-1101202614097f23e52b</t>
  </si>
  <si>
    <t>GL07-XP_06-110120261420fdddbae5</t>
  </si>
  <si>
    <t>GL07-XP_06-1101202614303437c565</t>
  </si>
  <si>
    <t>GL07-XP_01-080120261654372186a6</t>
  </si>
  <si>
    <t>GL07-XP_01-080120260941ce9c313b</t>
  </si>
  <si>
    <t>GL07-XP_01-080120261021007945c1</t>
  </si>
  <si>
    <t>GL07-XP_01-080120260913d34c029c</t>
  </si>
  <si>
    <t>GL07-XP_01-080120261418805ae7cf</t>
  </si>
  <si>
    <t>GL07-XP_01-080120261827122c0f92</t>
  </si>
  <si>
    <t>GL07-XP_01-080120261854b9d44086</t>
  </si>
  <si>
    <t>GL07-XP_01-080120261752ad32c70f</t>
  </si>
  <si>
    <t>GL07-XP_05-12012026085119021fe8</t>
  </si>
  <si>
    <t>Trồng, Làm đất, làm cỏ, Tưới nước, Thu hoạch, Sơ chế, Tỉa cành, Thăm vườn, Bán sản phẩm, Quản lý tài chỉnh</t>
  </si>
  <si>
    <t>GL07-XP_05-12012026090707b7b22f</t>
  </si>
  <si>
    <t>Làm đất, làm cỏ, Tưới nước, Thu hoạch, Sơ chế, Sấy, Tỉa cành, Thăm vườn, Bán sản phẩm, Quản lý tài chỉnh</t>
  </si>
  <si>
    <t>GL07-XP_05-120120260918d003e483</t>
  </si>
  <si>
    <t>GL07-XP_05-1201202609301b43d5b2</t>
  </si>
  <si>
    <t>Images_ID</t>
  </si>
  <si>
    <t>Images</t>
  </si>
  <si>
    <t>Ảnh</t>
  </si>
  <si>
    <t>Notes</t>
  </si>
  <si>
    <t>Images_Images/XP_01-080120260812-01.Images.054755.jpg</t>
  </si>
  <si>
    <t>1q5jv7gRaDHFXQbk2y1raC5aJkFoPKty-</t>
  </si>
  <si>
    <t>GL01-XP_01-080120260828-01</t>
  </si>
  <si>
    <t>Images_Images/XP_01-080120260828-01.Images.014620.jpg</t>
  </si>
  <si>
    <t>1R3B4cjJmRynxUWQIvhx9t8q6OkECwVz3</t>
  </si>
  <si>
    <t>Anh1</t>
  </si>
  <si>
    <t>Images_Images/XP_01-080120260850-01.Images.015306.jpg</t>
  </si>
  <si>
    <t>1W1f6L_HkADrZnCe16LDdhHkvv499SJb3</t>
  </si>
  <si>
    <t>GL07-XP_01-080120260913-01</t>
  </si>
  <si>
    <t>Images_Images/XP_01-080120260913-01.Images.021614.jpg</t>
  </si>
  <si>
    <t>1Dw2I-z_ogPZwofIGV4l1i3Jb5BTKvbrs</t>
  </si>
  <si>
    <t>GL04-XP_01-080120260917-01</t>
  </si>
  <si>
    <t>Images_Images/XP_01-080120260917-01.Images.021949.jpg</t>
  </si>
  <si>
    <t>1sQoniO2njiGdyJDegK_jxedIz54pckEc</t>
  </si>
  <si>
    <t>Images_Images/XP_01-080120260857-01.Images.022015.jpg</t>
  </si>
  <si>
    <t>1ucVgl0ZuAhrTcQim-1SxVw58N3f2-sW1</t>
  </si>
  <si>
    <t>GL05-XP_01-080120260912-01</t>
  </si>
  <si>
    <t>Images_Images/XP_01-080120260912-02.Images.022129.jpg</t>
  </si>
  <si>
    <t>1JcUrj5EfakVNMwGS9A259TZCuMY3MHX1</t>
  </si>
  <si>
    <t>Images_Images/XP_01-080120260910-01.Images.022534.jpg</t>
  </si>
  <si>
    <t>1JzCB4xTEJHrTs-lG2PBtaFOkuBf8P3lz</t>
  </si>
  <si>
    <t>K Lỗi</t>
  </si>
  <si>
    <t>Images_Images/XP_01-080120260923-01.Images.022632.jpg</t>
  </si>
  <si>
    <t>1DlxdqrizNIb8kUHVIjldfXWlAlkXaVrQ</t>
  </si>
  <si>
    <t>Images_Images/XP_01-080120260925-01.Images.022740.jpg</t>
  </si>
  <si>
    <t>1uIK5lI_VJvH60pymMKq_FWw-KuyT2Y3F</t>
  </si>
  <si>
    <t>GL06-XP_01-080120260927-01</t>
  </si>
  <si>
    <t>Images_Images/XP_01-080120260927-01.Images.022939.jpg</t>
  </si>
  <si>
    <t>1Ee6KtFiJ9VA6IkZMkUwTnNrpQzvVRo2f</t>
  </si>
  <si>
    <t>GL07-XP_01-080120260941-01</t>
  </si>
  <si>
    <t>Images_Images/XP_01-080120260941-01.Images.024413.jpg</t>
  </si>
  <si>
    <t>1fGFphh88e0UEz9oH4s4Wd6b1qog7KCUl</t>
  </si>
  <si>
    <t>Thưi người được phỏng vấn</t>
  </si>
  <si>
    <t>Images_Images/XP_01-080120260943-01.Images.024629.jpg</t>
  </si>
  <si>
    <t>1RZR8cZ0BMTxlc-yrHaOLvX7xj-uR28I3</t>
  </si>
  <si>
    <t>Images_Images/XP_01-080120260946-01.Images.024823.jpg</t>
  </si>
  <si>
    <t>1P-6u63ivdzogxL9ixR6PEq2BLo2SXo7s</t>
  </si>
  <si>
    <t>Images_Images/XP_01-080120260937-01.Images.025347.jpg</t>
  </si>
  <si>
    <t>1ovmNRgyY_bSobER_ax6QkeFXPfGW2Baw</t>
  </si>
  <si>
    <t>BRưm</t>
  </si>
  <si>
    <t>GL01-XP_01-080120260958-01</t>
  </si>
  <si>
    <t>Images_Images/XP_01-080120260958-01.Images.030039.jpg</t>
  </si>
  <si>
    <t>1cTgi4Wi1JYtU8HTNfQHrQumgZz5CsVVo</t>
  </si>
  <si>
    <t>GL05-XP_01-080120261001-01</t>
  </si>
  <si>
    <t>Images_Images/XP_01-080120261001-01.Images.030252.jpg</t>
  </si>
  <si>
    <t>17xzEHB9WC-a_Fs-3lD9qkcNKbVrhO7lV</t>
  </si>
  <si>
    <t>GL06-XP_01-080120261008-01</t>
  </si>
  <si>
    <t>Images_Images/XP_01-080120261008-01.Images.030956.jpg</t>
  </si>
  <si>
    <t>13_fbCXACkBMuhM4DkV-SzlqpXq3rRGiQ</t>
  </si>
  <si>
    <t>GL04-XP_01-080120260935-01</t>
  </si>
  <si>
    <t>Images_Images/XP_01-080120260935-01.Images.031048.jpg</t>
  </si>
  <si>
    <t>1ogN_2OCprdGMMT5dazd6NeoJNhLYlthK</t>
  </si>
  <si>
    <t>Images_Images/XP_01-080120261010-01.Images.031521.jpg</t>
  </si>
  <si>
    <t>15zyxi_CBWChj0ctFmD9WxFbNoau0-HrI</t>
  </si>
  <si>
    <t>GL07-XP_01-080120261021-01</t>
  </si>
  <si>
    <t>Images_Images/XP_01-080120261021-01.Images.032336.jpg</t>
  </si>
  <si>
    <t>1xc1p1edEAdLjhu22e7CEyooNtffglf1z</t>
  </si>
  <si>
    <t>Images_Images/XP_01-080120261031-01.Images.033457.jpg</t>
  </si>
  <si>
    <t>1owTSswyIpR4B3kuHD5MOUw5Y8ZybnG6n</t>
  </si>
  <si>
    <t>GL05-XP_01-080120261040-01</t>
  </si>
  <si>
    <t>Images_Images/XP_01-080120261040-01.Images.034233.jpg</t>
  </si>
  <si>
    <t>1p0PoA6m_KPZdW6fhniWEe4cVczDmkXCD</t>
  </si>
  <si>
    <t>Vợ chủ hộ</t>
  </si>
  <si>
    <t>Images_Images/XP_01-080120261057-01.Images.040640.jpg</t>
  </si>
  <si>
    <t>1bdg5t4d3gBZ8YRgyqKbt8N5K5MzrPESr</t>
  </si>
  <si>
    <t>Images_Images/XP_01-080120261053-01.Images.041135.jpg</t>
  </si>
  <si>
    <t>1wf87tawXu4gE3hl5YrEb0M6MzNSq_0yb</t>
  </si>
  <si>
    <t>GL06-XP_01-080120261114-01</t>
  </si>
  <si>
    <t>Images_Images/XP_01-080120261114-01.Images.043056.jpg</t>
  </si>
  <si>
    <t>1YSyi_L6H4yVU6CNhGldFaPh--MVoxr4M</t>
  </si>
  <si>
    <t>Images_Images/XP_01-080120261124-01.Images.043439.jpg</t>
  </si>
  <si>
    <t>1NUt5Jj4JiZvqRpQRAq4VaFDuvbiNUSai</t>
  </si>
  <si>
    <t>GL05-XP_01-080120261106-01</t>
  </si>
  <si>
    <t>Images_Images/XP_01-080120261106-01.Images.043754.jpg</t>
  </si>
  <si>
    <t>1txKvjpBmL50B7NZ8BjcMOxxnvmJpmql8</t>
  </si>
  <si>
    <t>Vợ chồng</t>
  </si>
  <si>
    <t>Images_Images/XP_01-080120261322-01.Images.063803.jpg</t>
  </si>
  <si>
    <t>1E3hOTebnxSSd9hqBCDMGNf1pC_PzJ-re</t>
  </si>
  <si>
    <t>H Theo</t>
  </si>
  <si>
    <t>Images_Images/-080120260903-01.Images.021506.jpg</t>
  </si>
  <si>
    <t>Không tìm thấy file</t>
  </si>
  <si>
    <t>Images_Images/XP_01-080120261319-01.Images.064755.jpg</t>
  </si>
  <si>
    <t>1GO7mcD0GmigNUMY5ql1IYw4jepMeQ9-Z</t>
  </si>
  <si>
    <t>GL05-XP_01-080120261346-01</t>
  </si>
  <si>
    <t>Images_Images/XP_01-080120261346-01.Images.064851.jpg</t>
  </si>
  <si>
    <t>1K82mVXdV1DuY1UmpwfauxlS0WR49wgAi</t>
  </si>
  <si>
    <t>Images_Images/XP_01-080120261349-01.Images.070043.jpg</t>
  </si>
  <si>
    <t>19fgdCRAQbNgW3rWHpk9pBoUOW3-Fd89f</t>
  </si>
  <si>
    <t>GL04-XP_01-080120261412-01</t>
  </si>
  <si>
    <t>Images_Images/XP_01-080120261412-01.Images.071346.jpg</t>
  </si>
  <si>
    <t>1mB8nK7LiMqHviLc-S8p5INdnSYyccIHO</t>
  </si>
  <si>
    <t>GL02-XP_01-080120261409-01</t>
  </si>
  <si>
    <t>Images_Images/XP_01-080120261409-01.Images.071629.jpg</t>
  </si>
  <si>
    <t>1LKH9cvAW5EY8otipdAQnj4_27x-A292y</t>
  </si>
  <si>
    <t>GL07-XP_01-080120261418-01</t>
  </si>
  <si>
    <t>Images_Images/XP_01-080120261418-01.Images.072023.jpg</t>
  </si>
  <si>
    <t>1XuTw2_lRUyeb7VGTm9gxIfVd8FAaTk4C</t>
  </si>
  <si>
    <t>GL05-XP_01-080120261421-01</t>
  </si>
  <si>
    <t>Images_Images/XP_01-080120261421-01.Images.072349.jpg</t>
  </si>
  <si>
    <t>1e3IIgIKIXifYq3V5WW-4Ibb4qS_ElN8K</t>
  </si>
  <si>
    <t>Images_Images/XP_01-080120261413-01.Images.073037.jpg</t>
  </si>
  <si>
    <t>10TVOhz9Iaw9pZ_3axiNAEL2Mmhj1bxyV</t>
  </si>
  <si>
    <t>Images_Images/XP_01-080120261433-01.Images.073615.jpg</t>
  </si>
  <si>
    <t>1dvfBkCeKmt-_HMI8zIu898jH1RNqtQ3g</t>
  </si>
  <si>
    <t>GL04-XP_01-080120261435-01</t>
  </si>
  <si>
    <t>Images_Images/XP_01-080120261435-01.Images.073705.jpg</t>
  </si>
  <si>
    <t>1KGoVj2r5BqVu0SWDZ9ywzr5M2f7p5yM1</t>
  </si>
  <si>
    <t>GL02-XP_01-080120261433-02</t>
  </si>
  <si>
    <t>Images_Images/XP_01-080120261433-02.Images.074104.jpg</t>
  </si>
  <si>
    <t>1KDldV2jSbcDwOxundqUtpGaAnNAMaFw5</t>
  </si>
  <si>
    <t>GL02-XP_01-080120261446-01</t>
  </si>
  <si>
    <t>Images_Images/XP_01-080120261446-01.Images.080024.jpg</t>
  </si>
  <si>
    <t>1bkGRJAXEl9I28d5Hj_VG9qquFn_ufhlP</t>
  </si>
  <si>
    <t>GL04-XP_01-080120261501-01</t>
  </si>
  <si>
    <t>Images_Images/XP_01-080120261501-01.Images.080237.jpg</t>
  </si>
  <si>
    <t>1axLSJqzKHqrKw9sIVBLLFMBPim_0HtOl</t>
  </si>
  <si>
    <t>GL05-XP_01-080120261521-01</t>
  </si>
  <si>
    <t>Images_Images/XP_01-080120261521-01.Images.082252.jpg</t>
  </si>
  <si>
    <t>1QUL0B8DafYFC1XGeM8vkKvI4Bc5r79OZ</t>
  </si>
  <si>
    <t>GL02-XP_01-080120261531-01</t>
  </si>
  <si>
    <t>Images_Images/XP_01-080120261531-01.Images.083423.jpg</t>
  </si>
  <si>
    <t>1N8gL6hXg4PvGK7-3XODgaMF2NLFdTMB9</t>
  </si>
  <si>
    <t>GL06-XP_01-080120261518-01</t>
  </si>
  <si>
    <t>Images_Images/XP_01-080120261518-01.Images.083505.jpg</t>
  </si>
  <si>
    <t>1WXs71MGEqnAxrVHKLxqu2pl26YhHFjKm</t>
  </si>
  <si>
    <t>GL04-XP_01-080120261540-01</t>
  </si>
  <si>
    <t>Images_Images/XP_01-080120261540-01.Images.084133.jpg</t>
  </si>
  <si>
    <t>1JiFeHxs_mlvWGbZ2LTnV5Q6gRDiJEtEG</t>
  </si>
  <si>
    <t>Images_Images/XP_01-080120261449-01.Images.084407.jpg</t>
  </si>
  <si>
    <t>1KuCsps7njnJILgHx0B1CqSjJ9eIUN_7v</t>
  </si>
  <si>
    <t>Anh đep</t>
  </si>
  <si>
    <t>Images_Images/XP_01-080120261551-01.Images.090219.jpg</t>
  </si>
  <si>
    <t>11xFSUQmMQnqlXNQ163JMmhsERd7QlFhH</t>
  </si>
  <si>
    <t>GL05-XP_01-080120261601-01</t>
  </si>
  <si>
    <t>Images_Images/XP_01-080120261601-01.Images.090413.jpg</t>
  </si>
  <si>
    <t>1GrvCzZlZ3Dgx96_CRrthpicVr52kKhXs</t>
  </si>
  <si>
    <t>Images_Images/XP_01-080120261608-01.Images.091331.jpg</t>
  </si>
  <si>
    <t>1QqHujUKR6JQwadj6_KRIRXQ5O_IT6sNu</t>
  </si>
  <si>
    <t>GL04-XP_01-080120261636-01</t>
  </si>
  <si>
    <t>Images_Images/XP_01-080120261636-01.Images.093751.jpg</t>
  </si>
  <si>
    <t>1uRc3jroOK327hLIgNlxKqaIoZBEbrsRU</t>
  </si>
  <si>
    <t>GL07-XP_01-080120261637-01</t>
  </si>
  <si>
    <t>Images_Images/XP_01-080120261637-01.Images.093916.jpg</t>
  </si>
  <si>
    <t>1sJ_l94_Ng4B0uDGfTsmv2NwTF2A10UzE</t>
  </si>
  <si>
    <t>B lũ</t>
  </si>
  <si>
    <t>GL07-XP_01-080120261654-01</t>
  </si>
  <si>
    <t>Images_Images/XP_01-080120261654-01.Images.095713.jpg</t>
  </si>
  <si>
    <t>1F94gekTeoUs4jUtVaeekOnc6Wa0LXmov</t>
  </si>
  <si>
    <t>GL05-XP_01-080120261638-01</t>
  </si>
  <si>
    <t>Images_Images/XP_01-080120261638-01.Images.095931.jpg</t>
  </si>
  <si>
    <t>1WOqOjAph0CbeOuXCsMytDH2R2hCgCFj7</t>
  </si>
  <si>
    <t>GL04-XP_01-080120261713-01</t>
  </si>
  <si>
    <t>Images_Images/XP_01-080120261713-01.Images.101543.jpg</t>
  </si>
  <si>
    <t>1UWkzEbrSors9R0n4CWpC9GWtE4s0mIX8</t>
  </si>
  <si>
    <t>GL01-XP_01-080120261720-01</t>
  </si>
  <si>
    <t>Images_Images/XP_01-080120261720-01.Images.102204.jpg</t>
  </si>
  <si>
    <t>1rP01WwWTPwbAkQeZj1kWDWT6YL4sstTZ</t>
  </si>
  <si>
    <t>Images_Images/XP_01-080120261726-01.Images.102944.jpg</t>
  </si>
  <si>
    <t>1f_L2eWV7eiGVEEHIm3rsSZ8qVVTDt5uU</t>
  </si>
  <si>
    <t>Images_Images/XP_01-080120261728-01.Images.103757.jpg</t>
  </si>
  <si>
    <t>1LJJgpy_2wrg9hGNqsEuYBIsGv_mhxKRb</t>
  </si>
  <si>
    <t>GL04-XP_01-080120261743-01</t>
  </si>
  <si>
    <t>Images_Images/XP_01-080120261743-01.Images.104523.jpg</t>
  </si>
  <si>
    <t>1eVKzpyJEyl5yFYEcSaTm15YZvlQmR7Lj</t>
  </si>
  <si>
    <t>GL05-XP_01-080120261747-01</t>
  </si>
  <si>
    <t>Images_Images/XP_01-080120261747-01.Images.104839.jpg</t>
  </si>
  <si>
    <t>11FGFsQSACPKCD8o4Z5OI9p3u8uKnXdLg</t>
  </si>
  <si>
    <t>GL07-XP_01-080120261752-01</t>
  </si>
  <si>
    <t>Images_Images/XP_01-080120261752-01.Images.105419.jpg</t>
  </si>
  <si>
    <t>19BpOcjRoIz_K-26vEd27fMFa4DYevQll</t>
  </si>
  <si>
    <t>Images_Images/XP_01-080120261724-01.Images.105432.jpg</t>
  </si>
  <si>
    <t>1Q6vTscAmXhjXzD_jqIR2P6BtJ-_RQWoD</t>
  </si>
  <si>
    <t>GL01-XP_01-080120261802-01</t>
  </si>
  <si>
    <t>Images_Images/XP_01-080120261802-01.Images.110610.jpg</t>
  </si>
  <si>
    <t>1bp1P9XVh3QR0KSMLnGeRYgJ7bBCbGDow</t>
  </si>
  <si>
    <t>Images_Images/XP_01-080120261806-01.Images.112435.jpg</t>
  </si>
  <si>
    <t>1WpQsYfWZrJwgubhZA-yv8VbsOJf3w9hN</t>
  </si>
  <si>
    <t>GL07-XP_01-080120261827-01</t>
  </si>
  <si>
    <t>Images_Images/XP_01-080120261827-01.Images.112833.jpg</t>
  </si>
  <si>
    <t>1GOJ2C6d-NGT17KkcJ9fVdS4zXgcfpSE9</t>
  </si>
  <si>
    <t>GL04-XP_01-080120261829-01</t>
  </si>
  <si>
    <t>Images_Images/XP_01-080120261829-01.Images.113055.jpg</t>
  </si>
  <si>
    <t>1urRXDqGSTTxRpAF3qKbeYUd5IVS8zyzd</t>
  </si>
  <si>
    <t>Images_Images/XP_01-080120261828-01.Images.113212.jpg</t>
  </si>
  <si>
    <t>1i0djEnlTivjJTesUNWDHjo7nukx3Oscg</t>
  </si>
  <si>
    <t>Images_Images/XP_01-080120261821-01.Images.113521.jpg</t>
  </si>
  <si>
    <t>1cfpycltpZgj-x8EOSMEMi-U-d2yvnvzn</t>
  </si>
  <si>
    <t>GL05-XP_01-080120261848-01</t>
  </si>
  <si>
    <t>Images_Images/XP_01-080120261848-01.Images.114949.jpg</t>
  </si>
  <si>
    <t>1IfSfbQVZ6GENMrVOiuL8QFl_e3MR8Dsr</t>
  </si>
  <si>
    <t>GL07-XP_01-080120261854-01</t>
  </si>
  <si>
    <t>Images_Images/XP_01-080120261854-01.Images.115638.jpg</t>
  </si>
  <si>
    <t>1_pqGvA5HQANydHw2xxqIDn86ci7ojp_i</t>
  </si>
  <si>
    <t>Images_Images/XP_01-080120261900-01.Images.121557.jpg</t>
  </si>
  <si>
    <t>1HbhWrN1x2IcwsOwdONJWfE1XR0drPFbs</t>
  </si>
  <si>
    <t>GL02-XP_01-080120260946-02</t>
  </si>
  <si>
    <t>Images_Images/XP_01-080120260946-02.Images.204317.png</t>
  </si>
  <si>
    <t>Images_Images/GL02-XP_07-090120260814-01.Images.011733.jpg</t>
  </si>
  <si>
    <t>1-TcAQ0sQXU3edJroVQFdUt1srZXZCNKE</t>
  </si>
  <si>
    <t>GL02-XP_07-090120260812</t>
  </si>
  <si>
    <t>GL02-XP_07-090120260812-01</t>
  </si>
  <si>
    <t>Images_Images/GL02-XP_07-090120260812-01.Images.011741.jpg</t>
  </si>
  <si>
    <t>17pkVsM62bKtkWDh5XXiIYIzSVRGwt3Xl</t>
  </si>
  <si>
    <t>Images_Images/GL01-XP_07-090120260817-01.Images.012848.jpg</t>
  </si>
  <si>
    <t>1h-C0XGnIdSV_hJIOloTiZqF60qlv_2UG</t>
  </si>
  <si>
    <t>GL06-XP_07-090120260815-01</t>
  </si>
  <si>
    <t>Images_Images/GL06-XP_07-090120260815-01.Images.013539.jpg</t>
  </si>
  <si>
    <t>1xg3PTLqDPBL4vhVoA9oXfUCURFFld0te</t>
  </si>
  <si>
    <t>GL06-XP_07-090120260835-01</t>
  </si>
  <si>
    <t>Images_Images/GL06-XP_07-090120260835-01.Images.014952.jpg</t>
  </si>
  <si>
    <t>1eOykfIzuw6hIRZ774O90snpc3C7AGKlU</t>
  </si>
  <si>
    <t>Images_Images/GL01-XP_07-090120260836-01.Images.015342.jpg</t>
  </si>
  <si>
    <t>1b9Kl0wpXPdqO5VSZrs6JR6ZnuX6cWPZB</t>
  </si>
  <si>
    <t>GL07-XP_08-090120260852-01</t>
  </si>
  <si>
    <t>Images_Images/GL07-XP_08-090120260852-01.Images.015408.jpg</t>
  </si>
  <si>
    <t>1awCNnid105xVpXEGGb4CUkaV1Hp402Cf</t>
  </si>
  <si>
    <t>GL05-XP_07-090120260905-01</t>
  </si>
  <si>
    <t>Images_Images/GL05-XP_07-090120260905-01.Images.020753.jpg</t>
  </si>
  <si>
    <t>1ZX241tU0QhW5gtybvfDbPdsJzbrjFFMz</t>
  </si>
  <si>
    <t>GL04-XP_08-090120260907-01</t>
  </si>
  <si>
    <t>Images_Images/GL04-XP_08-090120260907-01.Images.020858.jpg</t>
  </si>
  <si>
    <t>1ffuLkDI3KoBKc54oxHQGPLZSVO4kcZD7</t>
  </si>
  <si>
    <t>GL07-XP_08-090120260910-01</t>
  </si>
  <si>
    <t>Images_Images/GL07-XP_08-090120260910-01.Images.021242.jpg</t>
  </si>
  <si>
    <t>1sr4BZyJq6jU38-qLS1AnYaXShtf0nujX</t>
  </si>
  <si>
    <t>Images_Images/GL06-XP_07-090120260906-01.Images.022254.jpg</t>
  </si>
  <si>
    <t>1Py4M6zx2uuOVBLlcqb49l5cY0CzjzIVK</t>
  </si>
  <si>
    <t>Huônh</t>
  </si>
  <si>
    <t>Images_Images/GL02-XP_07-090120260920-01.Images.022515.jpg</t>
  </si>
  <si>
    <t>1SExPWL8ateIrTdxljbwjIEH4NujmdJMo</t>
  </si>
  <si>
    <t>GL05-XP_07-090120260926-01</t>
  </si>
  <si>
    <t>Images_Images/GL05-XP_07-090120260926-01.Images.022754.jpg</t>
  </si>
  <si>
    <t>15rLXnIolkYL9pDPTHS7DZb0aZ-HwfwgL</t>
  </si>
  <si>
    <t>GL07-XP_08-090120260925-01</t>
  </si>
  <si>
    <t>Images_Images/GL07-XP_08-090120260925-01.Images.022942.jpg</t>
  </si>
  <si>
    <t>1WM7icwpWAjflKXb3QSiBB8mTCC6Jgukt</t>
  </si>
  <si>
    <t>Hồ thị Nội</t>
  </si>
  <si>
    <t>GL04-XP_08-090120260923-01</t>
  </si>
  <si>
    <t>Images_Images/GL04-XP_08-090120260923-01.Images.023546.jpg</t>
  </si>
  <si>
    <t>1zup9Qo-4YyIDNUUDdAC2YKUkC_rAGPLR</t>
  </si>
  <si>
    <t>GL04-XP_08-090120260935-01</t>
  </si>
  <si>
    <t>Images_Images/GL04-XP_08-090120260935-01.Images.023716.jpg</t>
  </si>
  <si>
    <t>11K2bNdAZ-_cnU8XJaVXTzIMK5dqWh0MU</t>
  </si>
  <si>
    <t>GL05-XP_01-090120260937-01</t>
  </si>
  <si>
    <t>Images_Images/GL05-XP_01-090120260937-01.Images.023835.jpg</t>
  </si>
  <si>
    <t>1yUgK6d96GMCwPAP08GhR2D32Za7xrp4k</t>
  </si>
  <si>
    <t>Em gái</t>
  </si>
  <si>
    <t>Images_Images/GL06-XP_07-090120260926-01.Images.024415.jpg</t>
  </si>
  <si>
    <t>1pmXj0csL97GlrDZErSvmvW3bIsXe-JSw</t>
  </si>
  <si>
    <t>GL07-XP_08-090120261007-01</t>
  </si>
  <si>
    <t>Images_Images/GL07-XP_08-090120261007-01.Images.030934.jpg</t>
  </si>
  <si>
    <t>1FtRIzGxiDek9DK-T5dMa64eUDi0g88K2</t>
  </si>
  <si>
    <t>GL02-XP_07-090120261010-01</t>
  </si>
  <si>
    <t>Images_Images/GL02-XP_07-090120261010-01.Images.031453.jpg</t>
  </si>
  <si>
    <t>1ZD8xk0as3Z_N_ObFuvNrYnASyGbSbX_G</t>
  </si>
  <si>
    <t>Images_Images/GL01-XP_07-090120260956-01.Images.032045.jpg</t>
  </si>
  <si>
    <t>1ifoALxvc8cjtVAuBeOAFtmcN09bQIvbX</t>
  </si>
  <si>
    <t>GL06-XP_07-090120260958-01</t>
  </si>
  <si>
    <t>Images_Images/GL06-XP_07-090120260958-01.Images.032414.jpg</t>
  </si>
  <si>
    <t>1xF4ucZH4H1sU7EO98E6kgoh-RWji8BJO</t>
  </si>
  <si>
    <t>GL02-XP_07-090120261032-01</t>
  </si>
  <si>
    <t>Images_Images/GL02-XP_07-090120261032-01.Images.033604.jpg</t>
  </si>
  <si>
    <t>1SE5jlbzhMgmXb7yOnQBxblWKYA83NuFb</t>
  </si>
  <si>
    <t>Images_Images/GL01-XP_07-090120261024-01.Images.034349.jpg</t>
  </si>
  <si>
    <t>1_N9-WKlaUsi7GfinLnEDdQule3uFfeFH</t>
  </si>
  <si>
    <t>GL04-XP_08-090120261045-01</t>
  </si>
  <si>
    <t>Images_Images/GL04-XP_08-090120261045-01.Images.034730.jpg</t>
  </si>
  <si>
    <t>1SqUa0X_2FRRSRmu4jgZOslETOMndYwuC</t>
  </si>
  <si>
    <t>GL05-XP_07-090120261050-01</t>
  </si>
  <si>
    <t>Images_Images/GL05-XP_07-090120261050-01.Images.035115.jpg</t>
  </si>
  <si>
    <t>1bMF2VOfLBvx6BmjTQ6HiZnjVnVXtrOAZ</t>
  </si>
  <si>
    <t>GL04-XP_08-090120261048-01</t>
  </si>
  <si>
    <t>Images_Images/GL04-XP_08-090120261048-01.Images.035220.jpg</t>
  </si>
  <si>
    <t>1Yg9dOAKgoosorhiwUe5hoHdLA2BPZ1yH</t>
  </si>
  <si>
    <t>GL07-XP_08-090120261051-01</t>
  </si>
  <si>
    <t>Images_Images/GL07-XP_08-090120261051-01.Images.035259.jpg</t>
  </si>
  <si>
    <t>1wLci1d1oBcX4x79DoqeQzyd2__Q5Anhq</t>
  </si>
  <si>
    <t>thên</t>
  </si>
  <si>
    <t>GL02-XP_07-090120261101-01</t>
  </si>
  <si>
    <t>Images_Images/GL02-XP_07-090120261101-01.Images.040350.jpg</t>
  </si>
  <si>
    <t>1tPAxDEbyeYAf4i88ZgTgKNESDeBTqwSX</t>
  </si>
  <si>
    <t>Images_Images/GL01-XP_07-090120261055-01.Images.040443.jpg</t>
  </si>
  <si>
    <t>17xeofEHzfskoKIToZYeZ6N3OauqYr90Q</t>
  </si>
  <si>
    <t>Images_Images/GL06-XP_07-090120261044-01.Images.040617.jpg</t>
  </si>
  <si>
    <t>1uA7mQ-39YH9YcYCYaB3Zr_Wtqqni0HaQ</t>
  </si>
  <si>
    <t>GL05-XP_07-090120261106-01</t>
  </si>
  <si>
    <t>Images_Images/GL05-XP_07-090120261106-01.Images.040707.jpg</t>
  </si>
  <si>
    <t>1krbCDyo67mmAGmaOqhSZHGt1Lz_nIeMe</t>
  </si>
  <si>
    <t>GL02-XP_07-090120261107</t>
  </si>
  <si>
    <t>GL02-XP_07-090120261107-01</t>
  </si>
  <si>
    <t>Images_Images/GL02-XP_07-090120261107-01.Images.041215.jpg</t>
  </si>
  <si>
    <t>1gIFh3ByFbCzh2VWE0JYeAPr3KNo2DhQ4</t>
  </si>
  <si>
    <t>GL02-XP_07-090120261110-01</t>
  </si>
  <si>
    <t>Images_Images/GL02-XP_07-090120261110-01.Images.041229.jpg</t>
  </si>
  <si>
    <t>10yeUkoE2vKlte-VXHh0fH9pYgMbpUDRV</t>
  </si>
  <si>
    <t>GL07-XP_08-090120261108-01</t>
  </si>
  <si>
    <t>Images_Images/GL07-XP_08-090120261108-01.Images.041302.jpg</t>
  </si>
  <si>
    <t>1AlAFGCnP078EqYaPwvs6kCX-rwGZsfWV</t>
  </si>
  <si>
    <t>Images_Images/GL01-XP_07-090120261114-01.Images.042816.jpg</t>
  </si>
  <si>
    <t>1ZP9OaesCP7LMWhQiU8oFBe7sgvYihQj0</t>
  </si>
  <si>
    <t>Images_Images/GL06-XP_07-090120261125-01.Images.043459.jpg</t>
  </si>
  <si>
    <t>1ajb8QYkn0M9kNO_2BDOH2kh9kkVu0j7G</t>
  </si>
  <si>
    <t>Images_Images/GL01-XP_07-090120261136-01.Images.044422.jpg</t>
  </si>
  <si>
    <t>1o954Gop0bJGW5VmV95YjhZJqQCbTZNoO</t>
  </si>
  <si>
    <t>GL04-XP_08-090120261146-01</t>
  </si>
  <si>
    <t>Images_Images/GL04-XP_08-090120261146-01.Images.044808.jpg</t>
  </si>
  <si>
    <t>1A_ZTS7Kheei-XPfbASjEeZWNYrhNE8oh</t>
  </si>
  <si>
    <t>GL07-XP_08-090120261200-01</t>
  </si>
  <si>
    <t>Images_Images/GL07-XP_08-090120261200-01.Images.050337.jpg</t>
  </si>
  <si>
    <t>1iDcZsgy-tQAtwVinBZFvz3UhWDX3v_cN</t>
  </si>
  <si>
    <t>GL02-XP_07-090120261202-01</t>
  </si>
  <si>
    <t>Images_Images/GL02-XP_07-090120261202-01.Images.050345.jpg</t>
  </si>
  <si>
    <t>1THTl0dILDGVPiXKMjjPD2X9qg5wdYK-c</t>
  </si>
  <si>
    <t>GL04-XP_08-090120261204-01</t>
  </si>
  <si>
    <t>Images_Images/GL04-XP_08-090120261204-01.Images.050608.jpg</t>
  </si>
  <si>
    <t>1ECIt8JQIRtrUxE4lCOa5oiAyMVcEYsm6</t>
  </si>
  <si>
    <t>Images_Images/GL01-XP_07-090120261208-01.Images.051030.jpg</t>
  </si>
  <si>
    <t>1h-sUgVLjX3IKidw6DMt9E00JURaKqwaY</t>
  </si>
  <si>
    <t>GL05-XP_07-090120261212-01</t>
  </si>
  <si>
    <t>Images_Images/GL05-XP_07-090120261212-01.Images.051306.jpg</t>
  </si>
  <si>
    <t>1O-Bagcuj0WQXZw-VzUcIMqx8tSF6bRJO</t>
  </si>
  <si>
    <t>Images_Images/GL06-XP_07-090120261158-01.Images.051738.jpg</t>
  </si>
  <si>
    <t>1YB28GWhIX2U7uN8B5vTUY-3QnVGL4ENe</t>
  </si>
  <si>
    <t>Images_Images/GL01-XP_07-090120261220-01.Images.052538.jpg</t>
  </si>
  <si>
    <t>1vehPZXOj988M9mMTRisXx4LRgATcsCJY</t>
  </si>
  <si>
    <t>Images_Images/GL06-XP_07-090120261220-01.Images.053334.jpg</t>
  </si>
  <si>
    <t>1IP0wXkr5tKS72HdDTOhIZ_h5yZskeUcb</t>
  </si>
  <si>
    <t>Images_Images/GL01-XP_07-090120261230-01.Images.053606.jpg</t>
  </si>
  <si>
    <t>1YBJA0TtANYB2VBQxcQq-qZ1dL9DBNSE5</t>
  </si>
  <si>
    <t>GL02-XP_07-090120261242-01</t>
  </si>
  <si>
    <t>Images_Images/GL02-XP_07-090120261242-01.Images.054450.jpg</t>
  </si>
  <si>
    <t>1Hzlre66mk_Kv9d6aMIDUSy2yfpDHzJTN</t>
  </si>
  <si>
    <t>Images_Images/GL01-XP_07-090120261244-01.Images.054859.jpg</t>
  </si>
  <si>
    <t>1NykkEl10oq-r-6rZZDqqTP5T_ZKW8gpc</t>
  </si>
  <si>
    <t>Images_Images/GL06-XP_07-090120261244-01.Images.055552.jpg</t>
  </si>
  <si>
    <t>1OoKgCEj79RSooc93Syzh7eNtpnB7sc6b</t>
  </si>
  <si>
    <t>GL05-XP_07-090120261259-01</t>
  </si>
  <si>
    <t>Images_Images/GL05-XP_07-090120261259-01.Images.060043.jpg</t>
  </si>
  <si>
    <t>1cZPJXF8hiEEVEJg7chtgeZotiXQ7f9jA</t>
  </si>
  <si>
    <t>Images_Images/GL05-XP_07-090120261259-01.Images.060050.jpg</t>
  </si>
  <si>
    <t>15DCA5u_cB5Cma1cUC8Ll_Zpy-ADq3G0F</t>
  </si>
  <si>
    <t>Images_Images/GL02-XP_07-090120261304-01.Images.060553.jpg</t>
  </si>
  <si>
    <t>1D7hNMZV8eJFsPDw6ObeFZdJUKE_34AY7</t>
  </si>
  <si>
    <t>GL05-XP_07-090120261309-01</t>
  </si>
  <si>
    <t>Images_Images/GL05-XP_07-090120261309-01.Images.061114.jpg</t>
  </si>
  <si>
    <t>1OeHNMWKKWpFwR4sfj2hGfVzVOFcau_Ib</t>
  </si>
  <si>
    <t>GL05-XP_07-090120261317-01</t>
  </si>
  <si>
    <t>Images_Images/GL05-XP_07-090120261317-01.Images.061908.jpg</t>
  </si>
  <si>
    <t>1ZnEQV8zdSZZRfjKtnZDT12jaB8YSjse1</t>
  </si>
  <si>
    <t>GL05-XP_07-090120261329-01</t>
  </si>
  <si>
    <t>Images_Images/GL05-XP_07-090120261329-01.Images.062934.jpg</t>
  </si>
  <si>
    <t>16bFHzOyj4VMVJRO1Yqh3R2ncE0LVM3UL</t>
  </si>
  <si>
    <t>Con trai</t>
  </si>
  <si>
    <t>GL05-XP_07-090120261327</t>
  </si>
  <si>
    <t>GL05-XP_07-090120261327-01</t>
  </si>
  <si>
    <t>Images_Images/GL05-XP_07-090120261327-01.Images.062944.jpg</t>
  </si>
  <si>
    <t>1TxZMTMEBcmMLze9Te8uIdST31Lc8zl6L</t>
  </si>
  <si>
    <t>GL04-XP_08-090120261333-01</t>
  </si>
  <si>
    <t>Images_Images/GL04-XP_08-090120261333-01.Images.063456.jpg</t>
  </si>
  <si>
    <t>1pu0yK7qqXuqMgnmoHSVwWDliliWCWFL-</t>
  </si>
  <si>
    <t>GL05-XP_07-090120261402-01</t>
  </si>
  <si>
    <t>Images_Images/GL05-XP_07-090120261402-01.Images.070343.jpg</t>
  </si>
  <si>
    <t>1NON2KMyZg6oI605ftk_1m-7p9WtA0VAx</t>
  </si>
  <si>
    <t>GL04-XP_08-090120261423-01</t>
  </si>
  <si>
    <t>Images_Images/GL04-XP_08-090120261423-01.Images.072459.jpg</t>
  </si>
  <si>
    <t>1wEQw4qFZDiCr_8-xyQwoOvyHPqIhv6sC</t>
  </si>
  <si>
    <t>GL05-XP_07-090120261424-01</t>
  </si>
  <si>
    <t>Images_Images/GL05-XP_07-090120261424-01.Images.072510.jpg</t>
  </si>
  <si>
    <t>12M9SW3Mbe4g59EhyEW3gvGW51oGOokYk</t>
  </si>
  <si>
    <t>GL05-XP_07-090120261436-01</t>
  </si>
  <si>
    <t>Images_Images/GL05-XP_07-090120261436-01.Images.073757.jpg</t>
  </si>
  <si>
    <t>1B5K7NKE614hoE95gj6g4LbZ56Mgv9ZMi</t>
  </si>
  <si>
    <t>GL04-XP_08-090120261437-01</t>
  </si>
  <si>
    <t>Images_Images/GL04-XP_08-090120261437-01.Images.073833.jpg</t>
  </si>
  <si>
    <t>16GOR_p9-jKAddh_7TWwDP6i-i_T2f9N8</t>
  </si>
  <si>
    <t>GL04-XP_08-090120261452-01</t>
  </si>
  <si>
    <t>Images_Images/GL04-XP_08-090120261452-01.Images.075410.jpg</t>
  </si>
  <si>
    <t>1RczIZ1oG6-1USynmbY42cgxm-iQ0JN1F</t>
  </si>
  <si>
    <t>Images_Images/GL02-XP_01-090120261611-01.Images.091405.jpg</t>
  </si>
  <si>
    <t>1iXggcIoXfg2N-q5R4l15NGaqPlARlXI_</t>
  </si>
  <si>
    <t>Images_Images/GL06-XP_01-090120261605-01.Images.091927.jpg</t>
  </si>
  <si>
    <t>1sUNB_qdZpbIF3A78cpmrzGi4G5qUl84x</t>
  </si>
  <si>
    <t>GL02-XP_01-090120261621-01</t>
  </si>
  <si>
    <t>Images_Images/GL02-XP_01-090120261621-01.Images.092230.jpg</t>
  </si>
  <si>
    <t>1YwUR8PydeGCUXWYgPD5-R8vZMZDwvbuu</t>
  </si>
  <si>
    <t>GL02-XP_01-090120261620</t>
  </si>
  <si>
    <t>GL02-XP_01-090120261620-01</t>
  </si>
  <si>
    <t>Images_Images/GL02-XP_01-090120261620-01.Images.092240.jpg</t>
  </si>
  <si>
    <t>16fbg2P6ykWHxH8iQbtRY51wxRdWT3Uql</t>
  </si>
  <si>
    <t>GL02-XP_01-090120261634</t>
  </si>
  <si>
    <t>GL02-XP_01-090120261634-01</t>
  </si>
  <si>
    <t>Images_Images/GL02-XP_01-090120261634-01.Images.093721.jpg</t>
  </si>
  <si>
    <t>1DWy_Qg_ry-vsmLmRRjqyK6mJhCmImnDC</t>
  </si>
  <si>
    <t>Images_Images/GL02-XP_01-090120261636-01.Images.093731.jpg</t>
  </si>
  <si>
    <t>1j8HvCbtVcr-QnUmyu73JzcCFhI_Xy63z</t>
  </si>
  <si>
    <t>GL06-XP_01-090120261700-01</t>
  </si>
  <si>
    <t>Images_Images/GL06-XP_01-090120261700-01.Images.100904.jpg</t>
  </si>
  <si>
    <t>1PU-X_E9SkYu4xW7UmTlonCAdfQj-XV7j</t>
  </si>
  <si>
    <t>Images_Images/GL02-XP_01-090120261708-01.Images.101115.jpg</t>
  </si>
  <si>
    <t>1znqiq7H-arHz838tPhagLJ9Qmf2nBWuz</t>
  </si>
  <si>
    <t>Images_Images/GL06-XP_01-090120261731-01.Images.103544.jpg</t>
  </si>
  <si>
    <t>19ATeAL82zWL5M88splff0V2XtZnq_7a1</t>
  </si>
  <si>
    <t>GL06-XP_01-090120261731-02</t>
  </si>
  <si>
    <t>Images_Images/GL06-XP_01-090120261731-02.Images.103552.jpg</t>
  </si>
  <si>
    <t>1D8W1094mvD7OPeKRWf6S-66K9DeEYgnI</t>
  </si>
  <si>
    <t>GL06-XP_01-090120261735-01</t>
  </si>
  <si>
    <t>Images_Images/GL06-XP_01-090120261735-01.Images.104605.jpg</t>
  </si>
  <si>
    <t>1N5QasLM5mtV8RSNQ_4u1ycKwTbIsZYAK</t>
  </si>
  <si>
    <t>Images_Images/GL02-XP_01-090120261745-01.Images.104619.jpg</t>
  </si>
  <si>
    <t>1SBrsvNFVL-AQVXbr86Qe2we37ZPvc6oS</t>
  </si>
  <si>
    <t>GL02-XP_01-090120261744</t>
  </si>
  <si>
    <t>GL02-XP_01-090120261744-01</t>
  </si>
  <si>
    <t>Images_Images/GL02-XP_01-090120261744-01.Images.104626.jpg</t>
  </si>
  <si>
    <t>1wRk6pJje9xZPCT0roSU9GeUJh0_QNVbR</t>
  </si>
  <si>
    <t>GL04-XP_02-100120260901-01</t>
  </si>
  <si>
    <t>Images_Images/GL04-XP_02-100120260901-01.Images.020341.jpg</t>
  </si>
  <si>
    <t>1n_y8LRSD5eqgp4L-gryy6_HwL1PpXg4n</t>
  </si>
  <si>
    <t>GL05-XP_02-100120260921-01</t>
  </si>
  <si>
    <t>Images_Images/GL05-XP_02-100120260921-01.Images.022309.jpg</t>
  </si>
  <si>
    <t>1g6LN5qZ7Nz2W76my1oVex71zrZReXxMs</t>
  </si>
  <si>
    <t>GL05-XP_02-100120260947-01</t>
  </si>
  <si>
    <t>Images_Images/GL05-XP_02-100120260947-01.Images.024908.jpg</t>
  </si>
  <si>
    <t>1GUIJOrsceLroIU6PqcE11Y54toC77vBq</t>
  </si>
  <si>
    <t>GL07-XP_02-100120261001-01</t>
  </si>
  <si>
    <t>Images_Images/GL07-XP_02-100120261001-01.Images.030501.jpg</t>
  </si>
  <si>
    <t>1JVaYJL0JZeMNW_guJiVak-uoj2scvgSW</t>
  </si>
  <si>
    <t>GL07-XP_02-100120261005-01</t>
  </si>
  <si>
    <t>Images_Images/GL07-XP_02-100120261005-01.Images.030735.jpg</t>
  </si>
  <si>
    <t>1qgR4wWj7aSKHDAkFJ5CmvbQsW0AZH1Ll</t>
  </si>
  <si>
    <t>GL05-XP_02-100120261008-01</t>
  </si>
  <si>
    <t>Images_Images/GL05-XP_02-100120261008-01.Images.030950.jpg</t>
  </si>
  <si>
    <t>1Ku0vRgFeRrYKS9lB7FGN7WmEqG_sj5J0</t>
  </si>
  <si>
    <t>GL06-XP_02-100120261000-01</t>
  </si>
  <si>
    <t>Images_Images/GL06-XP_02-100120261000-01.Images.031150.jpg</t>
  </si>
  <si>
    <t>1_mJGl6hpxIVp6O7Cg4NxU3oWdQaDFRo9</t>
  </si>
  <si>
    <t>GL04-XP_02-100120261011-01</t>
  </si>
  <si>
    <t>Images_Images/GL04-XP_02-100120261011-01.Images.031246.jpg</t>
  </si>
  <si>
    <t>1-Ov_ADaRwl5MwBE1l5L99lR5xqkfUnjr</t>
  </si>
  <si>
    <t>GL07-XP_02-100120261014-01</t>
  </si>
  <si>
    <t>Images_Images/GL07-XP_02-100120261014-01.Images.031749.jpg</t>
  </si>
  <si>
    <t>106kDBWrKRZnHV7LHjlqnWrcR4X-j5771</t>
  </si>
  <si>
    <t>GL02-XP_02-100120261000-01</t>
  </si>
  <si>
    <t>Images_Images/GL02-XP_02-100120261000-01.Images.032247.jpg</t>
  </si>
  <si>
    <t>16q3vx-O7ymM9C6ap_XxIojZUtwhqSfB0</t>
  </si>
  <si>
    <t>GL06-XP_02-100120261015-01</t>
  </si>
  <si>
    <t>Images_Images/GL06-XP_02-100120261015-01.Images.032525.jpg</t>
  </si>
  <si>
    <t>1N3d8JO2Rt7FZH08pVIn9cRrFr2BU6J_F</t>
  </si>
  <si>
    <t>GL01-XP_02-100120261023-01</t>
  </si>
  <si>
    <t>Images_Images/GL01-XP_02-100120261023-01.Images.032703.jpg</t>
  </si>
  <si>
    <t>18HeELiYuKEYp4XVFX3Q0dUckEJjpiZgA</t>
  </si>
  <si>
    <t>GL07-XP_02-100120261026-01</t>
  </si>
  <si>
    <t>Images_Images/GL07-XP_02-100120261026-01.Images.033014.jpg</t>
  </si>
  <si>
    <t>1k7C4pOxDMJmViohTQodHByRC5mvwzKR2</t>
  </si>
  <si>
    <t>GL05-XP_02-100120261029-01</t>
  </si>
  <si>
    <t>Images_Images/GL05-XP_02-100120261029-01.Images.033035.jpg</t>
  </si>
  <si>
    <t>159wXgWiOLG84JR0U4DkTfd022puHtOdm</t>
  </si>
  <si>
    <t>GL04-XP_02-100120261034-01</t>
  </si>
  <si>
    <t>Images_Images/GL04-XP_02-100120261034-01.Images.033614.jpg</t>
  </si>
  <si>
    <t>1AHs_L3zGqkN3gDMYtjTwVMxq9h7N35gi</t>
  </si>
  <si>
    <t>GL02-XP_02-100120261035-01</t>
  </si>
  <si>
    <t>Images_Images/GL02-XP_02-100120261035-01.Images.033920.jpg</t>
  </si>
  <si>
    <t>1ElvsHellRheetWWGsaOzqqmIj1HM7v-g</t>
  </si>
  <si>
    <t>GL06-XP_02-100120261027-01</t>
  </si>
  <si>
    <t>Images_Images/GL06-XP_02-100120261027-01.Images.034315.jpg</t>
  </si>
  <si>
    <t>1iSMg2M5yC0WND_rT2ADtkKVzfzwBIGaJ</t>
  </si>
  <si>
    <t>GL07-XP_02-100120261046-01</t>
  </si>
  <si>
    <t>Images_Images/GL07-XP_02-100120261046-01.Images.034836.jpg</t>
  </si>
  <si>
    <t>1cySMU9w5SBGsyT4ev_raJe9iJXHtqE5X</t>
  </si>
  <si>
    <t>GL05-XP_02-100120261047-01</t>
  </si>
  <si>
    <t>Images_Images/GL05-XP_02-100120261047-01.Images.034930.jpg</t>
  </si>
  <si>
    <t>1oJvoDeWk-th5Pm3bCMPwzDY8_ZNo7tPG</t>
  </si>
  <si>
    <t>GL01-XP_02-100120261048-01</t>
  </si>
  <si>
    <t>Images_Images/GL01-XP_02-100120261048-01.Images.034943.jpg</t>
  </si>
  <si>
    <t>1YUdJWwx9nJQOw6sB85fsUal1_2CWw_0I</t>
  </si>
  <si>
    <t>GL07-XP_02-100120261055-01</t>
  </si>
  <si>
    <t>Images_Images/GL07-XP_02-100120261055-01.Images.035704.jpg</t>
  </si>
  <si>
    <t>13jcKn7M9rK83rzYRZ5VJLnIys8QgLI_4</t>
  </si>
  <si>
    <t>GL02-XP_02-100120261056-01</t>
  </si>
  <si>
    <t>Images_Images/GL02-XP_02-100120261056-01.Images.035806.jpg</t>
  </si>
  <si>
    <t>1tp-eB3YAVPNczsrtNyu29OvZcV9NPKuL</t>
  </si>
  <si>
    <t>GL06-XP_02-100120261048-01</t>
  </si>
  <si>
    <t>Images_Images/GL06-XP_02-100120261048-01.Images.035813.jpg</t>
  </si>
  <si>
    <t>1befU5JVClbdjvzmfUH9BmDo9yxq1cSjp</t>
  </si>
  <si>
    <t>Đỗ Thị Boing</t>
  </si>
  <si>
    <t>GL04-XP_02-100120261059-01</t>
  </si>
  <si>
    <t>Images_Images/GL04-XP_02-100120261059-01.Images.040108.jpg</t>
  </si>
  <si>
    <t>1J_fl_A7N0-FPIRVRMewgx3Y0_onCZyJd</t>
  </si>
  <si>
    <t>GL01-XP_02-100120261101-01</t>
  </si>
  <si>
    <t>Images_Images/GL01-XP_02-100120261101-01.Images.040344.jpg</t>
  </si>
  <si>
    <t>11FDzskdbUjlZQhP573zaWJFcOADKlC2B</t>
  </si>
  <si>
    <t>GL05-XP_02-100120261104-01</t>
  </si>
  <si>
    <t>Images_Images/GL05-XP_02-100120261104-01.Images.040511.jpg</t>
  </si>
  <si>
    <t>1lAItC_C3P_4rw6tw6fsjMRO7Xj1uziLi</t>
  </si>
  <si>
    <t>GL06-XP_02-100120261102-01</t>
  </si>
  <si>
    <t>Images_Images/GL06-XP_02-100120261102-01.Images.040941.jpg</t>
  </si>
  <si>
    <t>1eF_uzkLMl7-I-O8zzTKheoQsLUizLrIh</t>
  </si>
  <si>
    <t>GL02-XP_02-100120261108-01</t>
  </si>
  <si>
    <t>Images_Images/GL02-XP_02-100120261108-01.Images.041041.jpg</t>
  </si>
  <si>
    <t>1G4johvotXeVMEb2VLZdSr1bkLzqJJuwi</t>
  </si>
  <si>
    <t>GL07-XP_02-100120261110-01</t>
  </si>
  <si>
    <t>Images_Images/GL07-XP_02-100120261110-01.Images.041808.jpg</t>
  </si>
  <si>
    <t>1_L7RDAAu_wcn8fkcyN7WRHNSiXhv1RHp</t>
  </si>
  <si>
    <t>GL05-XP_02-100120261120-01</t>
  </si>
  <si>
    <t>Images_Images/GL05-XP_02-100120261120-01.Images.042158.jpg</t>
  </si>
  <si>
    <t>1fd_EDwuz37JjUbQrgsTxTxDxUsKeW0f1</t>
  </si>
  <si>
    <t>GL04-XP_02-100120261122-01</t>
  </si>
  <si>
    <t>Images_Images/GL04-XP_02-100120261122-01.Images.042449.jpg</t>
  </si>
  <si>
    <t>1Tr2cHNThYKpv_TZBdiCw48qhWhVR2veN</t>
  </si>
  <si>
    <t>GL06-XP_02-100120261114-01</t>
  </si>
  <si>
    <t>Images_Images/GL06-XP_02-100120261114-01.Images.042555.jpg</t>
  </si>
  <si>
    <t>1r02Spxzdn8sALzpoYYfnGbQgBTz7ino2</t>
  </si>
  <si>
    <t>GL01-XP_02-100120261124-01</t>
  </si>
  <si>
    <t>Images_Images/GL01-XP_02-100120261124-01.Images.042607.jpg</t>
  </si>
  <si>
    <t>1pDWuvrOKGZpuuoY6Xh7Ho-VsGa7wxgZb</t>
  </si>
  <si>
    <t>GL02-XP_02-100120261125-01</t>
  </si>
  <si>
    <t>Images_Images/GL02-XP_02-100120261125-01.Images.042814.jpg</t>
  </si>
  <si>
    <t>1y4DSYRfKL9C2ds_VIYfvJ1IU9pizWfsY</t>
  </si>
  <si>
    <t>GL01-XP_02-100120261126-01</t>
  </si>
  <si>
    <t>Images_Images/GL01-XP_02-100120261126-01.Images.042921.jpg</t>
  </si>
  <si>
    <t>1lwYuGiGaombjBgDwPJwZkBaKOKKR3mFw</t>
  </si>
  <si>
    <t>GL07-XP_02-100120261127-01</t>
  </si>
  <si>
    <t>Images_Images/GL07-XP_02-100120261127-01.Images.043002.jpg</t>
  </si>
  <si>
    <t>1Tjs-7R1Wh5zmMLp2J3gOGp47MUF-_OYx</t>
  </si>
  <si>
    <t>GL05-XP_02-100120261138-01</t>
  </si>
  <si>
    <t>Images_Images/GL05-XP_02-100120261138-01.Images.043947.jpg</t>
  </si>
  <si>
    <t>1AHJlO0BiYR3_0C1V8-TWVmx3_wfv_Pkp</t>
  </si>
  <si>
    <t>GL02-XP_02-100120261137-01</t>
  </si>
  <si>
    <t>Images_Images/GL02-XP_02-100120261137-01.Images.044035.jpg</t>
  </si>
  <si>
    <t>1le-1SbnyIFYZ8_8WkzAfSI5uIgNWyehN</t>
  </si>
  <si>
    <t>GL04-XP_02-100120261142-01</t>
  </si>
  <si>
    <t>Images_Images/GL04-XP_02-100120261142-01.Images.044409.jpg</t>
  </si>
  <si>
    <t>11Hb9urXcYK5SPO24B3N1nUTymG0gitY3</t>
  </si>
  <si>
    <t>GL07-XP_02-100120261150-01</t>
  </si>
  <si>
    <t>Images_Images/GL07-XP_02-100120261150-01.Images.045251.jpg</t>
  </si>
  <si>
    <t>1xGzpDDeLVUixD6w6YSPqm8sXvaz_kot5</t>
  </si>
  <si>
    <t>GL02-XP_02-100120261154-01</t>
  </si>
  <si>
    <t>Images_Images/GL02-XP_02-100120261154-01.Images.045602.jpg</t>
  </si>
  <si>
    <t>15B4hcZ_efny-Gc_y8uKRH-3ijMASCAQk</t>
  </si>
  <si>
    <t>GL04-XP_02-100120261156-01</t>
  </si>
  <si>
    <t>Images_Images/GL04-XP_02-100120261156-01.Images.045736.jpg</t>
  </si>
  <si>
    <t>1m5NhKBP24FRcg1pahPJkbx-rj3mB52Pb</t>
  </si>
  <si>
    <t>GL05-XP_02-100120261155-01</t>
  </si>
  <si>
    <t>Images_Images/GL05-XP_02-100120261155-01.Images.045735.jpg</t>
  </si>
  <si>
    <t>1DQLfB9vBnzAdTQjJxo4Yr9ZTblsxBtQs</t>
  </si>
  <si>
    <t>GL06-XP_02-100120261150-01</t>
  </si>
  <si>
    <t>Images_Images/GL06-XP_02-100120261150-01.Images.045751.jpg</t>
  </si>
  <si>
    <t>1ztuMwQ4dmDeA3-7BZxItfJ7lM0G6x1zC</t>
  </si>
  <si>
    <t>GL02-XP_02-100120261154-02</t>
  </si>
  <si>
    <t>Images_Images/GL02-XP_02-100120261154-02.Images.051149.jpg</t>
  </si>
  <si>
    <t>1yQrgipwXoaTzl22YlwXa77sok8K3AMHM</t>
  </si>
  <si>
    <t>GL07-XP_02-100120261207-01</t>
  </si>
  <si>
    <t>Images_Images/GL07-XP_02-100120261207-01.Images.051159.jpg</t>
  </si>
  <si>
    <t>1h_mXbLliMQ8EQopITMfwsNeulTLLkNPo</t>
  </si>
  <si>
    <t>GL05-XP_02-100120261218-01</t>
  </si>
  <si>
    <t>Images_Images/GL05-XP_02-100120261218-01.Images.052005.jpg</t>
  </si>
  <si>
    <t>1_1xxT43XCSsZIFeUXbNU9sAw7BDTaEZy</t>
  </si>
  <si>
    <t>GL04-XP_02-100120261226-01</t>
  </si>
  <si>
    <t>Images_Images/GL04-XP_02-100120261226-01.Images.053309.jpg</t>
  </si>
  <si>
    <t>1gI6mZb3oA8lwj0_Rk8vPv8xrmZqSblyo</t>
  </si>
  <si>
    <t>GL05-XP_02-100120261252-01</t>
  </si>
  <si>
    <t>Images_Images/GL05-XP_02-100120261252-01.Images.055329.jpg</t>
  </si>
  <si>
    <t>1GjqwfCBOHRaSch2i1ZJcvSfQDgWu_tVj</t>
  </si>
  <si>
    <t>GL04-XP_02-100120261253-01</t>
  </si>
  <si>
    <t>Images_Images/GL04-XP_02-100120261253-01.Images.055504.jpg</t>
  </si>
  <si>
    <t>1B1NCPrcJ26nzdLuZhh98wi4BQizBDFda</t>
  </si>
  <si>
    <t>GL05-XP_02-100120261308-01</t>
  </si>
  <si>
    <t>Images_Images/GL05-XP_02-100120261308-01.Images.060914.jpg</t>
  </si>
  <si>
    <t>1rQ7YUpWPJ0QPsCZRnYPm876WspFo2zOn</t>
  </si>
  <si>
    <t>GL05-XP_02-100120261322-01</t>
  </si>
  <si>
    <t>Images_Images/GL05-XP_02-100120261322-01.Images.062329.jpg</t>
  </si>
  <si>
    <t>1rt8s9uE73QWC-3wewtrHTDP9_-y9Utfc</t>
  </si>
  <si>
    <t>GL05-XP_02-100120261334-01</t>
  </si>
  <si>
    <t>Images_Images/GL05-XP_02-100120261334-01.Images.063527.jpg</t>
  </si>
  <si>
    <t>1EppO8oB4aU74igviug1rgeMAJDwqF-3_</t>
  </si>
  <si>
    <t>GL02-XP_02-100120261340-01</t>
  </si>
  <si>
    <t>Images_Images/GL02-XP_02-100120261340-01.Images.064241.jpg</t>
  </si>
  <si>
    <t>1PUlEmBK6hVWEkOpvIzdyVJbAtdrgdLtn</t>
  </si>
  <si>
    <t>GL06-XP_02-100120261336-01</t>
  </si>
  <si>
    <t>Images_Images/GL06-XP_02-100120261336-01.Images.064745.jpg</t>
  </si>
  <si>
    <t>14jSKxc-60YdNC7K8VMTCehraMKraaF5r</t>
  </si>
  <si>
    <t>GL01-XP_02-100120261352-01</t>
  </si>
  <si>
    <t>Images_Images/GL01-XP_02-100120261352-01.Images.065441.jpg</t>
  </si>
  <si>
    <t>1J-yLzPT-E41ogJfs8oiqH1mK1HMoqgr4</t>
  </si>
  <si>
    <t>GL02-XP_02-100120261357-01</t>
  </si>
  <si>
    <t>Images_Images/GL02-XP_02-100120261357-01.Images.065924.jpg</t>
  </si>
  <si>
    <t>1e1RIwAZUvfjh5PmiSI-8jpFagraL6UV_</t>
  </si>
  <si>
    <t>Images_Images/GL02-XP_02-100120261357-01.Images.065931.jpg</t>
  </si>
  <si>
    <t>1iwvMA2k7N7jOZGUADThqxrvh1Bos2adi</t>
  </si>
  <si>
    <t>GL04-XP_02-100120261341-01</t>
  </si>
  <si>
    <t>Images_Images/GL04-XP_02-100120261341-01.Images.065950.jpg</t>
  </si>
  <si>
    <t>1yN3yh5UIb9GEZse67k7V_IGMzTIDVrnS</t>
  </si>
  <si>
    <t>GL06-XP_02-100120261356-01</t>
  </si>
  <si>
    <t>Images_Images/GL06-XP_02-100120261356-01.Images.070544.jpg</t>
  </si>
  <si>
    <t>1qtxc0qfCjBHQjFzS5SbxxxbrHvWnEEZZ</t>
  </si>
  <si>
    <t>GL02-XP_02-100120261410-01</t>
  </si>
  <si>
    <t>Images_Images/GL02-XP_02-100120261410-01.Images.071648.jpg</t>
  </si>
  <si>
    <t>1vjoAXWhuZkJgn-JStghM-8x_3WHFiU3N</t>
  </si>
  <si>
    <t>GL04-XP_02-100120261416-01</t>
  </si>
  <si>
    <t>Images_Images/GL04-XP_02-100120261416-01.Images.071716.jpg</t>
  </si>
  <si>
    <t>1QJJXEnMCbcUPg3Ls4Cs7fMIrSvtkhAcI</t>
  </si>
  <si>
    <t>GL06-XP_02-100120261412-01</t>
  </si>
  <si>
    <t>Images_Images/GL06-XP_02-100120261412-01.Images.071945.jpg</t>
  </si>
  <si>
    <t>1Qca95DyYkknCOMcrbGEUHXAET38e5eCn</t>
  </si>
  <si>
    <t>GL05-XP_02-100120261424-01</t>
  </si>
  <si>
    <t>Images_Images/GL05-XP_02-100120261424-01.Images.072534.jpg</t>
  </si>
  <si>
    <t>1dpGwAQxqNYIS3YfrSYDiSc6NCI29IJPq</t>
  </si>
  <si>
    <t>GL02-XP_02-100120261423-01</t>
  </si>
  <si>
    <t>Images_Images/GL02-XP_02-100120261423-01.Images.072619.jpg</t>
  </si>
  <si>
    <t>1BBztkE9945WnxaPtlrDwOQALckwy_p-l</t>
  </si>
  <si>
    <t>GL01-XP_02-100120261426-01</t>
  </si>
  <si>
    <t>Images_Images/GL01-XP_02-100120261426-01.Images.072756.jpg</t>
  </si>
  <si>
    <t>1aO_3i-HF2juMziEPv7nPOwrdpCsEOICE</t>
  </si>
  <si>
    <t>GL04-XP_02-100120261431-01</t>
  </si>
  <si>
    <t>Images_Images/GL04-XP_02-100120261431-01.Images.073256.jpg</t>
  </si>
  <si>
    <t>1WGu0OoaQH9v3dXzNhkGEPzW-OZJ_MvvZ</t>
  </si>
  <si>
    <t>GL06-XP_02-100120261425-01</t>
  </si>
  <si>
    <t>Images_Images/GL06-XP_02-100120261425-01.Images.073645.jpg</t>
  </si>
  <si>
    <t>15RiMb4IiTGYa4kn_CyLcRPKZOykzAoTV</t>
  </si>
  <si>
    <t>GL05-XP_02-100120261438-01</t>
  </si>
  <si>
    <t>Images_Images/GL05-XP_02-100120261438-01.Images.073953.jpg</t>
  </si>
  <si>
    <t>1FUxqemUgapABPihoUPF1jVBpRwlvkYPS</t>
  </si>
  <si>
    <t>GL01-XP_02-100120261453-01</t>
  </si>
  <si>
    <t>Images_Images/GL01-XP_02-100120261453-01.Images.075522.jpg</t>
  </si>
  <si>
    <t>1pIhdbqgHyDaQCPByp5TWXPKT_FuEX6wc</t>
  </si>
  <si>
    <t>GL04-XP_02-100120261503-01</t>
  </si>
  <si>
    <t>Images_Images/GL04-XP_02-100120261503-01.Images.080508.jpg</t>
  </si>
  <si>
    <t>1aJolFo_b-j-X9ZM3dd-pEK1SB_M6lsrL</t>
  </si>
  <si>
    <t>GL06-XP_02-100120261503-01</t>
  </si>
  <si>
    <t>Images_Images/GL06-XP_02-100120261503-01.Images.081301.jpg</t>
  </si>
  <si>
    <t>1wR2cCDCH2fQzXLwaLMP5qKNATx9TxvoD</t>
  </si>
  <si>
    <t>GL05-XP_02-100120261519-01</t>
  </si>
  <si>
    <t>Images_Images/GL05-XP_02-100120261519-01.Images.082008.jpg</t>
  </si>
  <si>
    <t>1T6nH_rLCsnfAygeE21qZdu-0_moZArLz</t>
  </si>
  <si>
    <t>GL07-XP_02-100120261607-01</t>
  </si>
  <si>
    <t>Images_Images/GL07-XP_02-100120261607-01.Images.090938.jpg</t>
  </si>
  <si>
    <t>1D7HVXhZhcNvVKMJfDi4HWYlQ_MZXjWvE</t>
  </si>
  <si>
    <t>GL07-XP_02-100120261615-01</t>
  </si>
  <si>
    <t>Images_Images/GL07-XP_02-100120261615-01.Images.091651.jpg</t>
  </si>
  <si>
    <t>14E2ySObkpfeOpsAIiJRnZNxlkkIHboyh</t>
  </si>
  <si>
    <t>GL07-XP_02-100120261623-01</t>
  </si>
  <si>
    <t>Images_Images/GL07-XP_02-100120261623-01.Images.092432.jpg</t>
  </si>
  <si>
    <t>13esTlnN-13Tv9_v_TcBQnszMSbkq_W6Y</t>
  </si>
  <si>
    <t>ch rong</t>
  </si>
  <si>
    <t>GL07-XP_02-100120261620</t>
  </si>
  <si>
    <t>GL07-XP_02-100120261620-01</t>
  </si>
  <si>
    <t>Images_Images/GL07-XP_02-100120261620-01.Images.092444.jpg</t>
  </si>
  <si>
    <t>1e-9-GyAxlxDHDGb60zemTtVIWAE_q5bH</t>
  </si>
  <si>
    <t>Ch rong</t>
  </si>
  <si>
    <t>GL01-XP_02-100120261620-01</t>
  </si>
  <si>
    <t>Images_Images/GL01-XP_02-100120261620-01.Images.092448.jpg</t>
  </si>
  <si>
    <t>1AyeMRlhOm8AC5TlR3c5-pjLxXNlFsvG2</t>
  </si>
  <si>
    <t>GL02-XP_02-100120261625-01</t>
  </si>
  <si>
    <t>Images_Images/GL02-XP_02-100120261625-01.Images.092917.jpg</t>
  </si>
  <si>
    <t>1OsSkN7aOwxJCV3gL308y6IbVOGhLZ9Gy</t>
  </si>
  <si>
    <t>GL07-XP_02-100120261630-01</t>
  </si>
  <si>
    <t>Images_Images/GL07-XP_02-100120261630-01.Images.093407.jpg</t>
  </si>
  <si>
    <t>1hgTEyvt7A_DjN8t0phMlR6PCX3Mjpdfk</t>
  </si>
  <si>
    <t>GL06-XP_02-100120261627-01</t>
  </si>
  <si>
    <t>Images_Images/GL06-XP_02-100120261627-01.Images.093513.jpg</t>
  </si>
  <si>
    <t>1LL_Jb02RpZfTPVuENTq3gYAefuTTDI8W</t>
  </si>
  <si>
    <t>GL01-XP_02-100120261639-01</t>
  </si>
  <si>
    <t>Images_Images/GL01-XP_02-100120261639-01.Images.094310.jpg</t>
  </si>
  <si>
    <t>1LUgY7VziywFqIwT_QtyVrhJxOHrtvPYT</t>
  </si>
  <si>
    <t>GL06-XP_02-100120261639-01</t>
  </si>
  <si>
    <t>Images_Images/GL06-XP_02-100120261639-01.Images.094950.jpg</t>
  </si>
  <si>
    <t>1XEryuadI6_WYGEPHdxG8Y8M0hVt43bUq</t>
  </si>
  <si>
    <t>GL06-XP_02-100120261650-01</t>
  </si>
  <si>
    <t>Images_Images/GL06-XP_02-100120261650-01.Images.095532.jpg</t>
  </si>
  <si>
    <t>1mqKFQHkrxBa0znBw_kQVLG_D9q3pvw1P</t>
  </si>
  <si>
    <t>GL07-XP_06-110120260901-01</t>
  </si>
  <si>
    <t>Images_Images/GL07-XP_06-110120260901-01.Images.020351.jpg</t>
  </si>
  <si>
    <t>1NuRqWN5ayYcYmk8FmCOEGnlB-qKE2_Pp</t>
  </si>
  <si>
    <t>GL06-XP_06-110120260901-01</t>
  </si>
  <si>
    <t>Images_Images/GL06-XP_06-110120260901-01.Images.020456.jpg</t>
  </si>
  <si>
    <t>1m474HSp0Kgyw2rRCxfEo6myM00jfI4NJ</t>
  </si>
  <si>
    <t>GL06-XP_06-110120260905-01</t>
  </si>
  <si>
    <t>Images_Images/GL06-XP_06-110120260905-01.Images.020959.jpg</t>
  </si>
  <si>
    <t>1bWbzbucCk2lVjUCX84BtNzAUYWfZTqZx</t>
  </si>
  <si>
    <t>GL04-XP_06-110120260909-01</t>
  </si>
  <si>
    <t>Images_Images/GL04-XP_06-110120260909-01.Images.021027.jpg</t>
  </si>
  <si>
    <t>1IWujTccs91geuTixAloTc73EPnVrgXl1</t>
  </si>
  <si>
    <t>GL02-XP_06-110120260911-01</t>
  </si>
  <si>
    <t>Images_Images/GL02-XP_06-110120260911-01.Images.021444.jpg</t>
  </si>
  <si>
    <t>1eumGtzBllpXrSaA6R9qjLmyivpsOT18t</t>
  </si>
  <si>
    <t>GL05-XP_06-110120260914-01</t>
  </si>
  <si>
    <t>Images_Images/GL05-XP_06-110120260914-01.Images.021610.jpg</t>
  </si>
  <si>
    <t>1Xhc83flK3HRgz4wzDKZxkfGH-m27B43M</t>
  </si>
  <si>
    <t>GL06-XP_06-110120260911-01</t>
  </si>
  <si>
    <t>Images_Images/GL06-XP_06-110120260911-01.Images.021945.jpg</t>
  </si>
  <si>
    <t>1dpms4hXLCslfAdOqPYqrWgMtyfwlbaDk</t>
  </si>
  <si>
    <t>GL07-XP_06-110120260925-01</t>
  </si>
  <si>
    <t>Images_Images/GL07-XP_06-110120260925-01.Images.022720.jpg</t>
  </si>
  <si>
    <t>14BfD0M21gBmO5rjpfl64vN1XMlOxJu5C</t>
  </si>
  <si>
    <t>Đặng Thi Hồng</t>
  </si>
  <si>
    <t>GL04-XP_06-110120260927-01</t>
  </si>
  <si>
    <t>Images_Images/GL04-XP_06-110120260927-01.Images.022817.jpg</t>
  </si>
  <si>
    <t>1xbdYyP4tds45MtF70nLsVi_9alXHWjh0</t>
  </si>
  <si>
    <t>GL02-XP_06-110120260929-01</t>
  </si>
  <si>
    <t>Images_Images/GL02-XP_06-110120260929-01.Images.023116.jpg</t>
  </si>
  <si>
    <t>17FzXTQUlpQnKh00tMYMJ7wNsOBaygSCP</t>
  </si>
  <si>
    <t>GL06-XP_06-110120260931-01</t>
  </si>
  <si>
    <t>Images_Images/GL06-XP_06-110120260931-01.Images.023749.jpg</t>
  </si>
  <si>
    <t>1yQeC5n4Xc-TjaLa7a2omFJxkv-RElfjO</t>
  </si>
  <si>
    <t>GL05-XP_06-110120260937-01</t>
  </si>
  <si>
    <t>Images_Images/GL05-XP_06-110120260937-01.Images.023827.jpg</t>
  </si>
  <si>
    <t>1Hh9lvwybBaadMBvBhP1CHonmAlEMuwH_</t>
  </si>
  <si>
    <t>GL06-XP_06-110120260937-01</t>
  </si>
  <si>
    <t>Images_Images/GL06-XP_06-110120260937-01.Images.024124.jpg</t>
  </si>
  <si>
    <t>1sAPDVQahja_sDrXjfKDEwGq-VTdXJEXK</t>
  </si>
  <si>
    <t>GL07-XP_06-110120260942-01</t>
  </si>
  <si>
    <t>Images_Images/GL07-XP_06-110120260942-01.Images.024352.jpg</t>
  </si>
  <si>
    <t>1VQBWVnPIo9lJ7kszorMji9AIevkvY7Oh</t>
  </si>
  <si>
    <t>Cấn Thị Lợi</t>
  </si>
  <si>
    <t>GL02-XP_06-110120260943-01</t>
  </si>
  <si>
    <t>Images_Images/GL02-XP_06-110120260943-01.Images.024534.jpg</t>
  </si>
  <si>
    <t>1nfJfzssu46kPDSBVl7V5XflYLxYPVr7n</t>
  </si>
  <si>
    <t>GL06-XP_06-110120260943-01</t>
  </si>
  <si>
    <t>Images_Images/GL06-XP_06-110120260943-01.Images.024724.jpg</t>
  </si>
  <si>
    <t>1W4U7p5ym9VGaRUAZ9sMGV1-81YQHthCw</t>
  </si>
  <si>
    <t>GL04-XP_06-110120260946-01</t>
  </si>
  <si>
    <t>Images_Images/GL04-XP_06-110120260946-01.Images.024818.jpg</t>
  </si>
  <si>
    <t>19-idp5wMSh3iVnC3AbfjEI65jq4HLLGW</t>
  </si>
  <si>
    <t>GL01-XP_06-110120260946-01</t>
  </si>
  <si>
    <t>Images_Images/GL01-XP_06-110120260946-01.Images.024823.jpg</t>
  </si>
  <si>
    <t>113zGEeF3KXwDKkT_qi49j131wGzKcQTx</t>
  </si>
  <si>
    <t>GL01-XP_06-110120260951-01</t>
  </si>
  <si>
    <t>Images_Images/GL01-XP_06-110120260951-01.Images.025303.jpg</t>
  </si>
  <si>
    <t>1vWnRHFElhWLpTy8pcb4Oq6C6YmDRTQ46</t>
  </si>
  <si>
    <t>GL05-XP_06-110120260954-01</t>
  </si>
  <si>
    <t>Images_Images/GL05-XP_06-110120260954-01.Images.025608.jpg</t>
  </si>
  <si>
    <t>1j3ycvkw45SVdJJlYOUQkJAgAQoQP368N</t>
  </si>
  <si>
    <t>GL07-XP_06-110120260956-01</t>
  </si>
  <si>
    <t>Images_Images/GL07-XP_06-110120260956-01.Images.025732.jpg</t>
  </si>
  <si>
    <t>13_IQYfSea7lFlBsfMQzq2dvt_e6rQ-nj</t>
  </si>
  <si>
    <t>GL02-XP_06-110120260959-01</t>
  </si>
  <si>
    <t>Images_Images/GL02-XP_06-110120260959-01.Images.030047.jpg</t>
  </si>
  <si>
    <t>1eU-4wp-zXYLpIzzhDS94FKJw4R51qEK8</t>
  </si>
  <si>
    <t>GL06-XP_06-110120260955-01</t>
  </si>
  <si>
    <t>Images_Images/GL06-XP_06-110120260955-01.Images.030115.jpg</t>
  </si>
  <si>
    <t>1teE335529JNAfNljWfMZ10u3qkd4mdHa</t>
  </si>
  <si>
    <t>GL04-XP_06-110120261002-01</t>
  </si>
  <si>
    <t>Images_Images/GL04-XP_06-110120261002-01.Images.030409.jpg</t>
  </si>
  <si>
    <t>1yVAITBYFHy_SzqGmjGUCHvHYKIi0YNOF</t>
  </si>
  <si>
    <t>GL06-XP_06-110120261006-01</t>
  </si>
  <si>
    <t>Images_Images/GL06-XP_06-110120261006-01.Images.031141.jpg</t>
  </si>
  <si>
    <t>11wpdCnTbT0dX_dD4oASLRe6MDFBwa_hb</t>
  </si>
  <si>
    <t>GL01-XP_06-110120261010-01</t>
  </si>
  <si>
    <t>Images_Images/GL01-XP_06-110120261010-01.Images.031200.jpg</t>
  </si>
  <si>
    <t>1sUB6vZ6f69tVcRyfDDHEym0ya5gEtEoE</t>
  </si>
  <si>
    <t>GL07-XP_06-110120261011-01</t>
  </si>
  <si>
    <t>Images_Images/GL07-XP_06-110120261011-01.Images.031305.jpg</t>
  </si>
  <si>
    <t>1asBwDQELntCFqjWmW9VyTLphjux2iV84</t>
  </si>
  <si>
    <t>Nguyễn thị Loan</t>
  </si>
  <si>
    <t>GL04-XP_06-110120261015-01</t>
  </si>
  <si>
    <t>Images_Images/GL04-XP_06-110120261015-01.Images.031652.jpg</t>
  </si>
  <si>
    <t>1FfmFKCAB8bMV5Azm9NzdGJ_drS5o7mhr</t>
  </si>
  <si>
    <t>GL02-XP_06-110120261015-01</t>
  </si>
  <si>
    <t>Images_Images/GL02-XP_06-110120261015-01.Images.031737.jpg</t>
  </si>
  <si>
    <t>1DYY7Sq3dj0FuO7EKUuEgrah34IFY6Chs</t>
  </si>
  <si>
    <t>GL05-XP_06-110120261023-01</t>
  </si>
  <si>
    <t>Images_Images/GL05-XP_06-110120261023-01.Images.032441.jpg</t>
  </si>
  <si>
    <t>1sNJkY-7FgQc3AdiJ0dn1lUd68FLnJSqc</t>
  </si>
  <si>
    <t>GL07-XP_06-110120261028-01</t>
  </si>
  <si>
    <t>Images_Images/GL07-XP_06-110120261028-01.Images.032956.jpg</t>
  </si>
  <si>
    <t>1XtKxvn7KKb9uk5mSOr0dsJw0yDJrek2C</t>
  </si>
  <si>
    <t>nguyễn thị hoà</t>
  </si>
  <si>
    <t>GL06-XP_06-110120261026-01</t>
  </si>
  <si>
    <t>Images_Images/GL06-XP_06-110120261026-01.Images.033441.jpg</t>
  </si>
  <si>
    <t>1Nlu-zJa4tGarlPNyKiJszE33uA_WazL8</t>
  </si>
  <si>
    <t>GL07-XP_06-110120261046-01</t>
  </si>
  <si>
    <t>Images_Images/GL07-XP_06-110120261046-01.Images.034725.jpg</t>
  </si>
  <si>
    <t>1yRi-XUf-9QCU1-B2nm4bWF4-6nssFdvz</t>
  </si>
  <si>
    <t>GL01-XP_06-110120261054-01</t>
  </si>
  <si>
    <t>Images_Images/GL01-XP_06-110120261054-01.Images.035608.jpg</t>
  </si>
  <si>
    <t>1BzxMVn_PObDaiPPwqpHhEg9BXMLBd4ET</t>
  </si>
  <si>
    <t>GL05-XP_06-110120261114-01</t>
  </si>
  <si>
    <t>Images_Images/GL05-XP_06-110120261114-01.Images.041505.jpg</t>
  </si>
  <si>
    <t>1CYiDNC6GDL6Csc4ygwjNTdd5dUzFp2GY</t>
  </si>
  <si>
    <t>Chỉ hộp</t>
  </si>
  <si>
    <t>GL04-XP_06-110120261346-01</t>
  </si>
  <si>
    <t>Images_Images/GL04-XP_06-110120261346-01.Images.064759.jpg</t>
  </si>
  <si>
    <t>1Rk6Zid9oDeO-r9ooZPwthgKetieiP-5m</t>
  </si>
  <si>
    <t>GL06-XP_06-110120261339-01</t>
  </si>
  <si>
    <t>Images_Images/GL06-XP_06-110120261339-01.Images.064955.jpg</t>
  </si>
  <si>
    <t>1cFHL2nW9vrOh2VOz36JfX-PT77lvu44z</t>
  </si>
  <si>
    <t>GL02-XP_06-110120261350-01</t>
  </si>
  <si>
    <t>Images_Images/GL02-XP_06-110120261350-01.Images.065323.jpg</t>
  </si>
  <si>
    <t>1SIgy47wO2UT_reIDjpGwZ3W02kJh8RHG</t>
  </si>
  <si>
    <t>GL05-XP_06-110120261354-01</t>
  </si>
  <si>
    <t>Images_Images/GL05-XP_06-110120261354-01.Images.065521.jpg</t>
  </si>
  <si>
    <t>1QbSa8DekQzD7B4gUE2Z-tFPQfHPIvnVY</t>
  </si>
  <si>
    <t>GL01-XP_06-110120261353-01</t>
  </si>
  <si>
    <t>Images_Images/GL01-XP_06-110120261353-01.Images.065525.jpg</t>
  </si>
  <si>
    <t>1ipKO7RVO9uU9PRnD1Yu8XMTarHPPIsW3</t>
  </si>
  <si>
    <t>GL07-XP_06-110120261353-01</t>
  </si>
  <si>
    <t>Images_Images/GL07-XP_06-110120261353-01.Images.065525.jpg</t>
  </si>
  <si>
    <t>1ZVChQqECkazIYojYX9p26vQTm1nkPRgH</t>
  </si>
  <si>
    <t>nguyễn thị Hiền</t>
  </si>
  <si>
    <t>GL04-XP_06-110120261359-01</t>
  </si>
  <si>
    <t>Images_Images/GL04-XP_06-110120261359-01.Images.070144.jpg</t>
  </si>
  <si>
    <t>1W6YNwGAjmqt4HDvB_YzpF1sC9n5gWWL8</t>
  </si>
  <si>
    <t>GL06-XP_06-110120261356-01</t>
  </si>
  <si>
    <t>Images_Images/GL06-XP_06-110120261356-01.Images.070537.jpg</t>
  </si>
  <si>
    <t>1tTuanDJh6gq7mjiJBkLleZGS8v_UyK4y</t>
  </si>
  <si>
    <t>GL02-XP_06-110120261405-01</t>
  </si>
  <si>
    <t>Images_Images/GL02-XP_06-110120261405-01.Images.070705.jpg</t>
  </si>
  <si>
    <t>1ns-lOaRMSsFzt3UfW2Td3xcFEm8HXMQn</t>
  </si>
  <si>
    <t>GL07-XP_06-110120261409-01</t>
  </si>
  <si>
    <t>Images_Images/GL07-XP_06-110120261409-01.Images.071047.jpg</t>
  </si>
  <si>
    <t>18bimLSA2ibhq1E65XtU5oWp5ngcQGf0F</t>
  </si>
  <si>
    <t>GL01-XP_06-110120261410-01</t>
  </si>
  <si>
    <t>Images_Images/GL01-XP_06-110120261410-01.Images.071227.jpg</t>
  </si>
  <si>
    <t>1lBldrNIWYXnAXWNnKFlxJFWXhSFF16K6</t>
  </si>
  <si>
    <t>GL04-XP_06-110120261412-01</t>
  </si>
  <si>
    <t>Images_Images/GL04-XP_06-110120261412-01.Images.071326.jpg</t>
  </si>
  <si>
    <t>1sVHabOlVfmlpHzQGZKHIfmgDLHHf4TqA</t>
  </si>
  <si>
    <t>GL06-XP_06-110120261406-01</t>
  </si>
  <si>
    <t>Images_Images/GL06-XP_06-110120261406-01.Images.071626.jpg</t>
  </si>
  <si>
    <t>1uGZET019KFG2aHDhDsuCuVSPZiCAd3mg</t>
  </si>
  <si>
    <t>GL02-XP_06-110120261418-01</t>
  </si>
  <si>
    <t>Images_Images/GL02-XP_06-110120261418-01.Images.072116.jpg</t>
  </si>
  <si>
    <t>1TGDNQgva_5pqYukW28v065jDS8yq2q17</t>
  </si>
  <si>
    <t>GL05-XP_06-110120261419-01</t>
  </si>
  <si>
    <t>Images_Images/GL05-XP_06-110120261419-01.Images.072132.jpg</t>
  </si>
  <si>
    <t>1ZYXu1-EzlWD6QoQhoIWPyje5kc_eTh7b</t>
  </si>
  <si>
    <t>GL07-XP_06-110120261420-01</t>
  </si>
  <si>
    <t>Images_Images/GL07-XP_06-110120261420-01.Images.072158.jpg</t>
  </si>
  <si>
    <t>1DpLIkWDNVdywWfFzjnGldEk7VhxJn1V9</t>
  </si>
  <si>
    <t>lê thu phương</t>
  </si>
  <si>
    <t>GL04-XP_06-110120261424-01</t>
  </si>
  <si>
    <t>Images_Images/GL04-XP_06-110120261424-01.Images.072523.jpg</t>
  </si>
  <si>
    <t>1xo1e2WHIGZRSSmrEnMSXjaFzHcWkkvkG</t>
  </si>
  <si>
    <t>GL02-XP_06-110120261428-01</t>
  </si>
  <si>
    <t>Images_Images/GL02-XP_06-110120261428-01.Images.073054.jpg</t>
  </si>
  <si>
    <t>1RcHo9cdPfJlFx9r052GuyvnqzjRHVaAO</t>
  </si>
  <si>
    <t>GL06-XP_06-110120261421-01</t>
  </si>
  <si>
    <t>Images_Images/GL06-XP_06-110120261421-01.Images.073058.jpg</t>
  </si>
  <si>
    <t>1HD2E4o5IBXA2997FeoHX5jG-emSCbUcq</t>
  </si>
  <si>
    <t>GL07-XP_06-110120261430-01</t>
  </si>
  <si>
    <t>Images_Images/GL07-XP_06-110120261430-01.Images.073139.jpg</t>
  </si>
  <si>
    <t>1RaXWnb_NX3nMGMH-_-1wt2D6MvTUF_GH</t>
  </si>
  <si>
    <t>nguyễn thị hà</t>
  </si>
  <si>
    <t>GL01-XP_06-110120261430-01</t>
  </si>
  <si>
    <t>Images_Images/GL01-XP_06-110120261430-01.Images.073148.jpg</t>
  </si>
  <si>
    <t>1cKcWYA6Ha3iIwSIA0kjewG5ctFUnFhiS</t>
  </si>
  <si>
    <t>GL05-XP_06-110120261435-01</t>
  </si>
  <si>
    <t>Images_Images/GL05-XP_06-110120261435-01.Images.073716.jpg</t>
  </si>
  <si>
    <t>1eBXQkzN8cM_aEyeqGO9ZJiEtedGz4yO5</t>
  </si>
  <si>
    <t>GL04-XP_06-110120261439-01</t>
  </si>
  <si>
    <t>Images_Images/GL04-XP_06-110120261439-01.Images.074038.jpg</t>
  </si>
  <si>
    <t>16CAAe5NIO56x8EYfoyHrHj0F7oJPoAvb</t>
  </si>
  <si>
    <t>GL02-XP_06-110120261440-01</t>
  </si>
  <si>
    <t>Images_Images/GL02-XP_06-110120261440-01.Images.074202.jpg</t>
  </si>
  <si>
    <t>1ciLIkRPzaEhaJ-TLACzkS79UVJwqpBCx</t>
  </si>
  <si>
    <t>GL02-XP_05-120120260848-01</t>
  </si>
  <si>
    <t>Images_Images/GL02-XP_05-120120260848-01.Images.015126.jpg</t>
  </si>
  <si>
    <t>115iJjLaezIZ07DH0JfSYwVjLDTcdj-A0</t>
  </si>
  <si>
    <t>GL01-XP_05-120120260850-01</t>
  </si>
  <si>
    <t>Images_Images/GL01-XP_05-120120260850-01.Images.015243.jpg</t>
  </si>
  <si>
    <t>1GG6Q5IIVfk2MFNEoU7Jcs7PiF_2TyKlk</t>
  </si>
  <si>
    <t>GL07-XP_05-120120260851-01</t>
  </si>
  <si>
    <t>Images_Images/GL07-XP_05-120120260851-01.Images.015325.jpg</t>
  </si>
  <si>
    <t>1z6YOmb1-z7eoftV6NG5ACZ9wNMwm3bWk</t>
  </si>
  <si>
    <t>Diễm</t>
  </si>
  <si>
    <t>GL06-XP_05-120120260839-01</t>
  </si>
  <si>
    <t>Images_Images/GL06-XP_05-120120260839-01.Images.015526.jpg</t>
  </si>
  <si>
    <t>1jDt4QzJjOqDS4AhxThNDIi_acw7usVSa</t>
  </si>
  <si>
    <t>GL05-XP_05-120120260856-01</t>
  </si>
  <si>
    <t>Images_Images/GL05-XP_05-120120260856-01.Images.015802.jpg</t>
  </si>
  <si>
    <t>1cTpkm33aa6QkNC8_m0AwJ1wbiNBGlAVE</t>
  </si>
  <si>
    <t>GL04-XP_05-120120260900-01</t>
  </si>
  <si>
    <t>Images_Images/GL04-XP_05-120120260900-01.Images.020152.jpg</t>
  </si>
  <si>
    <t>1xC3PYGnuWGQvKOLNt9bsrT9047UIH1i9</t>
  </si>
  <si>
    <t>GL07-XP_05-120120260907-01</t>
  </si>
  <si>
    <t>Images_Images/GL07-XP_05-120120260907-01.Images.020903.jpg</t>
  </si>
  <si>
    <t>1M9crd55z_noguIutJdEyZobIEnloLRtx</t>
  </si>
  <si>
    <t>Hạnh</t>
  </si>
  <si>
    <t>GL04-XP_05-120120260910-01</t>
  </si>
  <si>
    <t>Images_Images/GL04-XP_05-120120260910-01.Images.021324.jpg</t>
  </si>
  <si>
    <t>1s-V6iKudezRGvjXC6l1Z9IQYNB23XnG1</t>
  </si>
  <si>
    <t>GL02-XP_05-120120260913-01</t>
  </si>
  <si>
    <t>Images_Images/GL02-XP_05-120120260913-01.Images.021602.jpg</t>
  </si>
  <si>
    <t>1nqWHMLTjrbqIFlABgHGZE_PkZNeh-hPO</t>
  </si>
  <si>
    <t>GL07-XP_05-120120260918-01</t>
  </si>
  <si>
    <t>Images_Images/GL07-XP_05-120120260918-01.Images.022041.jpg</t>
  </si>
  <si>
    <t>1t6SZiHum_JZAxzhUXzigbekriuQHhw9z</t>
  </si>
  <si>
    <t>GL06-XP_05-120120260909-01</t>
  </si>
  <si>
    <t>Images_Images/GL06-XP_05-120120260909-01.Images.022143.jpg</t>
  </si>
  <si>
    <t>1KxwBBD7JQsxBQ7wqyHEpIcPXTnzf5kU-</t>
  </si>
  <si>
    <t>GL04-XP_05-120120260924-01</t>
  </si>
  <si>
    <t>Images_Images/GL04-XP_05-120120260924-01.Images.022643.jpg</t>
  </si>
  <si>
    <t>1NgpodUvA6ajXOWEHVOJ3qyaWbxTQHnXY</t>
  </si>
  <si>
    <t>GL05-XP_05-120120260926-01</t>
  </si>
  <si>
    <t>Images_Images/GL05-XP_05-120120260926-01.Images.022808.jpg</t>
  </si>
  <si>
    <t>1FCzsBiB-ZWhqfoEMNIwBBUSYQPEuXLmQ</t>
  </si>
  <si>
    <t>GL01-XP_05-120120260930-01</t>
  </si>
  <si>
    <t>Images_Images/GL01-XP_05-120120260930-01.Images.023200.jpg</t>
  </si>
  <si>
    <t>1vOluIXjE5NRarNF_hEn2X5CwkSbwGCox</t>
  </si>
  <si>
    <t>GL07-XP_05-120120260930-01</t>
  </si>
  <si>
    <t>Images_Images/GL07-XP_05-120120260930-01.Images.023250.jpg</t>
  </si>
  <si>
    <t>1uKuaUnkT11jgC49v4uzIMvwdrbMgKkXl</t>
  </si>
  <si>
    <t>GL02-XP_05-120120260932-01</t>
  </si>
  <si>
    <t>Images_Images/GL02-XP_05-120120260932-01.Images.023520.jpg</t>
  </si>
  <si>
    <t>1BgAdzePN691VfqR9bWUskVfdLgIN2e02</t>
  </si>
  <si>
    <t>GL06-XP_05-120120260939-01</t>
  </si>
  <si>
    <t>Images_Images/GL06-XP_05-120120260939-01.Images.024817.jpg</t>
  </si>
  <si>
    <t>1EwXtl0JyWDJTgANNurhTTBSRU64YsD9j</t>
  </si>
  <si>
    <t>GL02-XP_05-120120260949-01</t>
  </si>
  <si>
    <t>Images_Images/GL02-XP_05-120120260949-01.Images.025152.jpg</t>
  </si>
  <si>
    <t>1RSujvN2nviM9BlVczG5LM2wyFPl4sjoz</t>
  </si>
  <si>
    <t>GL04-XP_05-120120260952-01</t>
  </si>
  <si>
    <t>Images_Images/GL04-XP_05-120120260952-01.Images.025405.jpg</t>
  </si>
  <si>
    <t>1L6BfnIGccqiF-jnYg1WXVmwhRi2XhV-Z</t>
  </si>
  <si>
    <t>GL05-XP_05-120120260951-01</t>
  </si>
  <si>
    <t>Images_Images/GL05-XP_05-120120260951-01.Images.025627.jpg</t>
  </si>
  <si>
    <t>1oUfibuF2wZiR7IxmDZcaOQSbJQ_cNy4v</t>
  </si>
  <si>
    <t>GL06-XP_05-120120261006-01</t>
  </si>
  <si>
    <t>Images_Images/GL06-XP_05-120120261006-01.Images.031144.jpg</t>
  </si>
  <si>
    <t>1DZYaPjbFy6EJG8WtrBVmjy1nJqHQG1Qw</t>
  </si>
  <si>
    <t>GL04-XP_05-120120261012-01</t>
  </si>
  <si>
    <t>Images_Images/GL04-XP_05-120120261012-01.Images.031434.jpg</t>
  </si>
  <si>
    <t>1CcJIB_Y8bFkqCPLBnEzvtVRvJp_JIULZ</t>
  </si>
  <si>
    <t>Images_Images/GL02-XP_05-120120261011-01.Images.031631.jpg</t>
  </si>
  <si>
    <t>1w3ulEMBxq3Ijt_XI2Q4tw3XJHbPOSioB</t>
  </si>
  <si>
    <t>GL06-XP_05-120120261014-01</t>
  </si>
  <si>
    <t>Images_Images/GL06-XP_05-120120261014-01.Images.032311.jpg</t>
  </si>
  <si>
    <t>1_vWUxygox7XJ3ogvVSM8nklVMnho8ahi</t>
  </si>
  <si>
    <t>GL01-XP_05-120120261019-01</t>
  </si>
  <si>
    <t>Images_Images/GL01-XP_05-120120261019-01.Images.032504.jpg</t>
  </si>
  <si>
    <t>1_-30DMuNQKtOGbavFxcB39Wya6c80nTc</t>
  </si>
  <si>
    <t>GL05-XP_05-120120261023-01</t>
  </si>
  <si>
    <t>Images_Images/GL05-XP_05-120120261023-01.Images.032534.jpg</t>
  </si>
  <si>
    <t>1zIoJrnFIPX6kZhGgVomelezXWbybbinO</t>
  </si>
  <si>
    <t>GL07-XP_05-120120261023-01</t>
  </si>
  <si>
    <t>Images_Images/GL07-XP_05-120120261023-01.Images.032539.jpg</t>
  </si>
  <si>
    <t>1vZIYbE2Kq48XLfnp95BDo2BMt4GbEbUP</t>
  </si>
  <si>
    <t>bùi đức tỉnh</t>
  </si>
  <si>
    <t>GL04-XP_05-120120261029-01</t>
  </si>
  <si>
    <t>Images_Images/GL04-XP_05-120120261029-01.Images.033112.jpg</t>
  </si>
  <si>
    <t>1cj1NloIYGD-Qn2wTPoPrOYTHpBiEoCQz</t>
  </si>
  <si>
    <t>GL05-XP_05-120120261048-01</t>
  </si>
  <si>
    <t>Images_Images/GL05-XP_05-120120261048-01.Images.035026.jpg</t>
  </si>
  <si>
    <t>1HFr1RhWVgLtHvsv2Gt2AxEqogqJ7BgEv</t>
  </si>
  <si>
    <t>GL06-XP_05-120120261039-01</t>
  </si>
  <si>
    <t>Images_Images/GL06-XP_05-120120261039-01.Images.035037.jpg</t>
  </si>
  <si>
    <t>1z3aH5T2u6ff-OKX0EyRh9vx3xNxV5yFP</t>
  </si>
  <si>
    <t>GL04-XP_05-120120261106-01</t>
  </si>
  <si>
    <t>Images_Images/GL04-XP_05-120120261106-01.Images.040739.jpg</t>
  </si>
  <si>
    <t>1Ir0EN4z25Ci-PfQAdjJpO6xVgF0eCSgQ</t>
  </si>
  <si>
    <t>GL07-XP_05-120120261123-01</t>
  </si>
  <si>
    <t>Images_Images/GL07-XP_05-120120261123-01.Images.042521.jpg</t>
  </si>
  <si>
    <t>1ilLlZdLM-uxH0vSUEayooOoars1NvjUu</t>
  </si>
  <si>
    <t>GL04-XP_05-120120261131-01</t>
  </si>
  <si>
    <t>Images_Images/GL04-XP_05-120120261131-01.Images.043242.jpg</t>
  </si>
  <si>
    <t>1fbrhquuyFp8heACszIBHTgVODtIAlB71</t>
  </si>
  <si>
    <t>GL04-XP_05-120120261147-01</t>
  </si>
  <si>
    <t>Images_Images/GL04-XP_05-120120261147-01.Images.044918.jpg</t>
  </si>
  <si>
    <t>13B32yspj_cKkpfbuxi7sjq6kPaxoBe1u</t>
  </si>
  <si>
    <t>GL07-XP_05-120120261149-01</t>
  </si>
  <si>
    <t>Images_Images/GL07-XP_05-120120261149-01.Images.045046.jpg</t>
  </si>
  <si>
    <t>1BNEc5B7vW98x0KnvXL7AEUmaP9hydpH3</t>
  </si>
  <si>
    <t>lương thị mai</t>
  </si>
  <si>
    <t>GL04-XP_05-120120261447-01</t>
  </si>
  <si>
    <t>Images_Images/GL04-XP_05-120120261447-01.Images.074923.jpg</t>
  </si>
  <si>
    <t>17R-SNAhcvUB23ciKe6Rvi3nrzw5B_Pos</t>
  </si>
  <si>
    <t>GL05-XP_05-120120261448-01</t>
  </si>
  <si>
    <t>Images_Images/GL05-XP_05-120120261448-01.Images.074949.jpg</t>
  </si>
  <si>
    <t>1gdR2qNR5MbA7qcvGQkBTtfN9BVi8I-vF</t>
  </si>
  <si>
    <t>GL07-XP_05-120120261454-01</t>
  </si>
  <si>
    <t>Images_Images/GL07-XP_05-120120261454-01.Images.075627.jpg</t>
  </si>
  <si>
    <t>1nEJbLYv1B7kM6TA9h4zuv2LA29j1aWbc</t>
  </si>
  <si>
    <t>Thiện</t>
  </si>
  <si>
    <t>GL04-XP_05-120120261515-01</t>
  </si>
  <si>
    <t>Images_Images/GL04-XP_05-120120261515-01.Images.081713.jpg</t>
  </si>
  <si>
    <t>1wxKhOsDPSdSP3DQDhGheroURUEYjxC7H</t>
  </si>
  <si>
    <t>GL05-XP_05-120120261523-01</t>
  </si>
  <si>
    <t>Images_Images/GL05-XP_05-120120261523-01.Images.082456.jpg</t>
  </si>
  <si>
    <t>14wy8SXT0p5MQTqGw6NuSZxqR-hZadjwD</t>
  </si>
  <si>
    <t>GL01-XP_05-120120261529-01</t>
  </si>
  <si>
    <t>Images_Images/GL01-XP_05-120120261529-01.Images.083138.jpg</t>
  </si>
  <si>
    <t>16JXVYe_QWzM_MT_KSCTVFrHgCJxumWn8</t>
  </si>
  <si>
    <t>GL07-XP_05-120120261543-01</t>
  </si>
  <si>
    <t>Images_Images/GL07-XP_05-120120261543-01.Images.084546.jpg</t>
  </si>
  <si>
    <t>1PzeFtRhzQSIv0Bw0JGK-ftUJo_iiLaQ0</t>
  </si>
  <si>
    <t>GL04-XP_05-120120261610-01</t>
  </si>
  <si>
    <t>Images_Images/GL04-XP_05-120120261610-01.Images.091158.jpg</t>
  </si>
  <si>
    <t>1OajbdoWJa-gzRwkDnLMnw6Mi366N-hyI</t>
  </si>
  <si>
    <t>GL05-XP_05-120120261610-01</t>
  </si>
  <si>
    <t>Images_Images/GL05-XP_05-120120261610-01.Images.091209.jpg</t>
  </si>
  <si>
    <t>1MQA81PlWczzBUMf1bkW-f0oyDlj7tAXV</t>
  </si>
  <si>
    <t>GL01-XP_05-120120261611-01</t>
  </si>
  <si>
    <t>Images_Images/GL01-XP_05-120120261611-01.Images.091400.jpg</t>
  </si>
  <si>
    <t>1SOjxoiR2xPcjfELioATG7Lgqgt-LNzvm</t>
  </si>
  <si>
    <t>GL02-XP_05-120120261614-01</t>
  </si>
  <si>
    <t>Images_Images/GL02-XP_05-120120261614-01.Images.092014.jpg</t>
  </si>
  <si>
    <t>1IfbKaKzgAlwust278AC9ChZ1Qcn__Q5O</t>
  </si>
  <si>
    <t>GL02-XP_05-120120261614-02</t>
  </si>
  <si>
    <t>Images_Images/GL02-XP_05-120120261614-02.Images.092207.jpg</t>
  </si>
  <si>
    <t>1HNDSvRpTT9fHyP-YN0sS6dpBbjxxvy88</t>
  </si>
  <si>
    <t>GL06-XP_05-120120261617-01</t>
  </si>
  <si>
    <t>Images_Images/GL06-XP_05-120120261617-01.Images.092748.jpg</t>
  </si>
  <si>
    <t>1uk9nTIgjGbTP0tJL5G6DmNG7ta9q_GnX</t>
  </si>
  <si>
    <t>GL07-XP_05-120120261645-01</t>
  </si>
  <si>
    <t>Images_Images/GL07-XP_05-120120261645-01.Images.094714.jpg</t>
  </si>
  <si>
    <t>1RExUY0qqm_IYXVg8cGWP4UUytysxV_wG</t>
  </si>
  <si>
    <t>puih Guê</t>
  </si>
  <si>
    <t>GL05-XP_05-120120261646-01</t>
  </si>
  <si>
    <t>Images_Images/GL05-XP_05-120120261646-01.Images.094805.jpg</t>
  </si>
  <si>
    <t>1o1ZLM0tVQdCi9xCiamMz9if-PKPpV1_L</t>
  </si>
  <si>
    <t>GL04-XP_05-120120261646-01</t>
  </si>
  <si>
    <t>Images_Images/GL04-XP_05-120120261646-01.Images.094830.jpg</t>
  </si>
  <si>
    <t>1uvzq9gJo7kgQG0_e9kd3vwX7c6xSkA6B</t>
  </si>
  <si>
    <t>GL06-XP_05-120120261646-01</t>
  </si>
  <si>
    <t>Images_Images/GL06-XP_05-120120261646-01.Images.095649.jpg</t>
  </si>
  <si>
    <t>1-VTk0KRhP8eMQeIQH0-86yI8Vc2M_G5q</t>
  </si>
  <si>
    <t>GL04-XP_05-120120261702-01</t>
  </si>
  <si>
    <t>Images_Images/GL04-XP_05-120120261702-01.Images.100407.jpg</t>
  </si>
  <si>
    <t>1oHGGOdNOCNVLpG64qk7mya5y3tEan1yc</t>
  </si>
  <si>
    <t>GL01-XP_05-120120261704-01</t>
  </si>
  <si>
    <t>Images_Images/GL01-XP_05-120120261704-01.Images.100538.jpg</t>
  </si>
  <si>
    <t>1xYRN_VzE1ge-zfSy-FDSQEQilx0voFdn</t>
  </si>
  <si>
    <t>Images_Images/GL02-XP_05-120120261655-01.Images.100650.jpg</t>
  </si>
  <si>
    <t>1aGloT2p9W3KYt2ZFRd4PtARolz6mMIk0</t>
  </si>
  <si>
    <t>Images_Images/GL02-XP_05-120120261655-02.Images.100701.jpg</t>
  </si>
  <si>
    <t>1ulaHgYwZOJE8BVGYuUukhYe3ZWxpraqv</t>
  </si>
  <si>
    <t>GL07-XP_05-120120261707-01</t>
  </si>
  <si>
    <t>Images_Images/GL07-XP_05-120120261707-01.Images.101055.jpg</t>
  </si>
  <si>
    <t>1k2V_zfDpiwrc1IRiO9n0yvLOV-n7ry9y</t>
  </si>
  <si>
    <t>Siu Pôn</t>
  </si>
  <si>
    <t>GL05-XP_05-120120261712-01</t>
  </si>
  <si>
    <t>Images_Images/GL05-XP_05-120120261712-01.Images.101408.jpg</t>
  </si>
  <si>
    <t>1NSpXZ_OJ6YkP4aE7U8jgqG1u6RmM-hHr</t>
  </si>
  <si>
    <t>GL04-XP_05-120120261717-01</t>
  </si>
  <si>
    <t>Images_Images/GL04-XP_05-120120261717-01.Images.101928.jpg</t>
  </si>
  <si>
    <t>1dv9zpnOl7Gor3C9wmlsIy4mF912Ce-S_</t>
  </si>
  <si>
    <t>GL01-XP_05-120120261731-01</t>
  </si>
  <si>
    <t>Images_Images/GL01-XP_05-120120261731-01.Images.103322.jpg</t>
  </si>
  <si>
    <t>1PbJHuP_e_07FI2niah8kKE6ft6dzUgHt</t>
  </si>
  <si>
    <t>Images_Images/GL02-XP_03-130120260915-01.Images.021754.jpg</t>
  </si>
  <si>
    <t>1cknQzkNg5n_qaqQ1zm364gyTKwhjld_G</t>
  </si>
  <si>
    <t>GL07-XP_03-130120260919-01</t>
  </si>
  <si>
    <t>Images_Images/GL07-XP_03-130120260919-01.Images.022151.jpg</t>
  </si>
  <si>
    <t>1Kwg9QS1tmqy7auj7SuUzvcBsvYZdRbWi</t>
  </si>
  <si>
    <t>K pui Thă</t>
  </si>
  <si>
    <t>GL01-XP_03-130120260918-01</t>
  </si>
  <si>
    <t>Images_Images/GL01-XP_03-130120260918-01.Images.022342.jpg</t>
  </si>
  <si>
    <t>1DUb2GWUPlr-y91pabpoIJpDc5Bu_B4qy</t>
  </si>
  <si>
    <t>GL04-XP_03-130120260922-01</t>
  </si>
  <si>
    <t>Images_Images/GL04-XP_03-130120260922-01.Images.022348.jpg</t>
  </si>
  <si>
    <t>1TVeD1ldGYQx6kUtTqMCbeeXcsoq5fcO2</t>
  </si>
  <si>
    <t>GL05-XP_03-130120260931-01</t>
  </si>
  <si>
    <t>Images_Images/GL05-XP_03-130120260931-01.Images.023300.jpg</t>
  </si>
  <si>
    <t>1n49-dmVNHyXkSaFUUFyWorVu-2iDZxtZ</t>
  </si>
  <si>
    <t>GL01-XP_03-130120260935-01</t>
  </si>
  <si>
    <t>Images_Images/GL01-XP_03-130120260935-01.Images.023708.jpg</t>
  </si>
  <si>
    <t>13beTb4c0YyORG7ndm_IWVIvNRv0oatBT</t>
  </si>
  <si>
    <t>GL07-XP_03-130120260934-01</t>
  </si>
  <si>
    <t>Images_Images/GL07-XP_03-130120260934-01.Images.023710.jpg</t>
  </si>
  <si>
    <t>1eQizO-tlSaPNfNQRwAvmxp75y0nPfDj6</t>
  </si>
  <si>
    <t>Bơl</t>
  </si>
  <si>
    <t>GL06-XP_03-130120260923-01</t>
  </si>
  <si>
    <t>Images_Images/GL06-XP_03-130120260923-01.Images.023812.jpg</t>
  </si>
  <si>
    <t>1QpSbxmG3gajhyVicy-9hyooWM8Cn4L7W</t>
  </si>
  <si>
    <t>GL04-XP_03-130120260936-01</t>
  </si>
  <si>
    <t>Images_Images/GL04-XP_03-130120260936-01.Images.023841.jpg</t>
  </si>
  <si>
    <t>1bfcVsJ5i1PyriPiNhczNa0dDSg1Z44A9</t>
  </si>
  <si>
    <t>GL04-XP_03-130120260953-01</t>
  </si>
  <si>
    <t>Images_Images/GL04-XP_03-130120260953-01.Images.025518.jpg</t>
  </si>
  <si>
    <t>1jfwhpFdxicqH4wRuHZ7zzKLbNx7fvj5W</t>
  </si>
  <si>
    <t>GL06-XP_03-130120260954-01</t>
  </si>
  <si>
    <t>Images_Images/GL06-XP_03-130120260954-01.Images.025904.jpg</t>
  </si>
  <si>
    <t>1aWxpE5mUrBpAx0z85PAuQtp7QWHFj1a2</t>
  </si>
  <si>
    <t>GL06-XP_03-130120260954-02</t>
  </si>
  <si>
    <t>Images_Images/GL06-XP_03-130120260954-02.Images.025911.jpg</t>
  </si>
  <si>
    <t>1U4gn0tmeCHGskIfqukqjPVRwuvhRl8bP</t>
  </si>
  <si>
    <t>GL05-XP_03-130120260958-01</t>
  </si>
  <si>
    <t>Images_Images/GL05-XP_03-130120260958-01.Images.030000.jpg</t>
  </si>
  <si>
    <t>1SCz0dOxzYBTjFwCVI153tEkpMONU1C8Q</t>
  </si>
  <si>
    <t>GL01-XP_03-130120260959-01</t>
  </si>
  <si>
    <t>Images_Images/GL01-XP_03-130120260959-01.Images.030201.jpg</t>
  </si>
  <si>
    <t>1wWmoEG01QF37rUmYn5BvN2QzLvkMwQ98</t>
  </si>
  <si>
    <t>GL07-XP_03-130120261005-01</t>
  </si>
  <si>
    <t>Images_Images/GL07-XP_03-130120261005-01.Images.030721.jpg</t>
  </si>
  <si>
    <t>1aP9NCFpvMTSLcRLYAAgCygR0MgtcUjIf</t>
  </si>
  <si>
    <t>Thuân</t>
  </si>
  <si>
    <t>GL02-XP_03-130120260959-01</t>
  </si>
  <si>
    <t>Images_Images/GL02-XP_03-130120260959-01.Images.030745.jpg</t>
  </si>
  <si>
    <t>1K3175fnrbsaSWBTKmAoViSnbYkV2Xq63</t>
  </si>
  <si>
    <t>GL06-XP_03-130120261006-01</t>
  </si>
  <si>
    <t>Images_Images/GL06-XP_03-130120261006-01.Images.031042.jpg</t>
  </si>
  <si>
    <t>1l6Pd4Ftl8owP36uQmPF3Zpa1g9c_-9RD</t>
  </si>
  <si>
    <t>GL04-XP_03-130120261012-01</t>
  </si>
  <si>
    <t>Images_Images/GL04-XP_03-130120261012-01.Images.031335.jpg</t>
  </si>
  <si>
    <t>13KRWzZDpCUDFEBr05dXvJz8L5Sp_7m3T</t>
  </si>
  <si>
    <t>Images_Images/GL02-XP_03-130120261009-01.Images.031501.jpg</t>
  </si>
  <si>
    <t>1ujQ-jWCclgsiwPLtnGhtTZrZyJ9-Gq7c</t>
  </si>
  <si>
    <t>GL01-XP_03-130120261014-01</t>
  </si>
  <si>
    <t>Images_Images/GL01-XP_03-130120261014-01.Images.031613.jpg</t>
  </si>
  <si>
    <t>14X8QFojRhE7lTBO8u3WnISqGo45NZNzM</t>
  </si>
  <si>
    <t>Images_Images/GL02-XP_03-130120261023-01.Images.032608.jpg</t>
  </si>
  <si>
    <t>1fLYADzihIaIr3YpdMO6CnPc5IjmmyI_b</t>
  </si>
  <si>
    <t>GL05-XP_03-130120261026-01</t>
  </si>
  <si>
    <t>Images_Images/GL05-XP_03-130120261026-01.Images.032800.jpg</t>
  </si>
  <si>
    <t>1nCNYNXAUYmEvwz_2Hj4Cjb3I6obYOy56</t>
  </si>
  <si>
    <t>GL04-XP_03-130120261026-01</t>
  </si>
  <si>
    <t>Images_Images/GL04-XP_03-130120261026-01.Images.032819.jpg</t>
  </si>
  <si>
    <t>1I8vA8F-fRt2vz73LjnFCwH-ShTES9QnF</t>
  </si>
  <si>
    <t>GL06-XP_03-130120261025-01</t>
  </si>
  <si>
    <t>Images_Images/GL06-XP_03-130120261025-01.Images.032921.jpg</t>
  </si>
  <si>
    <t>1tNhViTPxmwe6N3682IjWcocGgEiNcd4Y</t>
  </si>
  <si>
    <t>GL04-XP_03-130120261028-01</t>
  </si>
  <si>
    <t>Images_Images/GL04-XP_03-130120261028-01.Images.033020.jpg</t>
  </si>
  <si>
    <t>1w87xnJ-qxu-4OHraRKjfdtnA8vK9PGzV</t>
  </si>
  <si>
    <t>GL07-XP_03-130120261031-01</t>
  </si>
  <si>
    <t>Images_Images/GL07-XP_03-130120261031-01.Images.033625.jpg</t>
  </si>
  <si>
    <t>1fiP4H9Ij_Z4jwx5o1-qwAMRjNQKcpE_N</t>
  </si>
  <si>
    <t>GL01-XP_03-130120261041-01</t>
  </si>
  <si>
    <t>Images_Images/GL01-XP_03-130120261041-01.Images.034347.jpg</t>
  </si>
  <si>
    <t>1ZXVv_oTgJREoz-uFaiVFWXfEXPIJ5tPc</t>
  </si>
  <si>
    <t>GL07-XP_03-130120261050-01</t>
  </si>
  <si>
    <t>Images_Images/GL07-XP_03-130120261050-01.Images.035303.jpg</t>
  </si>
  <si>
    <t>1mGXXCBKnpWkww_EEyNGg3ge-HdAOrUXr</t>
  </si>
  <si>
    <t>xép</t>
  </si>
  <si>
    <t>GL05-XP_03-130120261052-01</t>
  </si>
  <si>
    <t>Images_Images/GL05-XP_03-130120261052-01.Images.035332.jpg</t>
  </si>
  <si>
    <t>1S3oMj_JOx9dMO1A1gJINjh2HP2AHUvSV</t>
  </si>
  <si>
    <t>GL07-XP_03-130120261059-01</t>
  </si>
  <si>
    <t>Images_Images/GL07-XP_03-130120261059-01.Images.040216.jpg</t>
  </si>
  <si>
    <t>1MdEFOkf13F87i6jqiuC1lLOqHDRI753r</t>
  </si>
  <si>
    <t>BiR</t>
  </si>
  <si>
    <t>GL04-XP_03-130120261102-01</t>
  </si>
  <si>
    <t>Images_Images/GL04-XP_03-130120261102-01.Images.040401.jpg</t>
  </si>
  <si>
    <t>11OyJFPhCHRQOXKcZvI77mDNW06qxNkv4</t>
  </si>
  <si>
    <t>GL05-XP_03-130120261106-01</t>
  </si>
  <si>
    <t>Images_Images/GL05-XP_03-130120261106-01.Images.040724.jpg</t>
  </si>
  <si>
    <t>1gfB6GCYVIzd8_kRig9ThZTbjqsl8lg3S</t>
  </si>
  <si>
    <t>GL07-XP_03-130120261113-01</t>
  </si>
  <si>
    <t>Images_Images/GL07-XP_03-130120261113-01.Images.041529.jpg</t>
  </si>
  <si>
    <t>15oVNuL04CoEtzehOq5SEbM_Qtcr6xhc7</t>
  </si>
  <si>
    <t>Khân</t>
  </si>
  <si>
    <t>GL06-XP_03-130120261107-01</t>
  </si>
  <si>
    <t>Images_Images/GL06-XP_03-130120261107-01.Images.041556.jpg</t>
  </si>
  <si>
    <t>1rsj16JItKXo2uR6hPq8ADDNJ1atZmL9w</t>
  </si>
  <si>
    <t>GL01-XP_03-130120261106-01</t>
  </si>
  <si>
    <t>Images_Images/GL01-XP_03-130120261106-01.Images.041642.jpg</t>
  </si>
  <si>
    <t>1VmS2Gl4MceA75EQiDHaBW2xRNhmgqyLh</t>
  </si>
  <si>
    <t>Trần Thị Kim Hoa</t>
  </si>
  <si>
    <t>GL05-XP_03-130120261121-01</t>
  </si>
  <si>
    <t>Images_Images/GL05-XP_03-130120261121-01.Images.042231.jpg</t>
  </si>
  <si>
    <t>1vPS5ZRgRk2bW4N48H04R_A8K5vzb9r_I</t>
  </si>
  <si>
    <t>GL04-XP_03-130120261125-01</t>
  </si>
  <si>
    <t>Images_Images/GL04-XP_03-130120261125-01.Images.042700.jpg</t>
  </si>
  <si>
    <t>1lxPjM_NwZUJUDU7XSuWSYIILtWRzJg7b</t>
  </si>
  <si>
    <t>GL06-XP_03-130120261122-01</t>
  </si>
  <si>
    <t>Images_Images/GL06-XP_03-130120261122-01.Images.042843.jpg</t>
  </si>
  <si>
    <t>1w-QBljbtEDbDKD68xxp_voB9QFkjyUeA</t>
  </si>
  <si>
    <t>GL05-XP_03-130120261222-01</t>
  </si>
  <si>
    <t>Images_Images/GL05-XP_03-130120261222-01.Images.052354.jpg</t>
  </si>
  <si>
    <t>1m_sUsVEoctz_ab5Tpznz9VTC0ODRB7XR</t>
  </si>
  <si>
    <t>Images_Images/GL06-XP_03-130120261345-01.Images.065740.jpg</t>
  </si>
  <si>
    <t>1nC_gK-FDz8xUsmIk2tcIlYs8MwDdztip</t>
  </si>
  <si>
    <t>Images_Images/GL02-XP_03-130120261401-01.Images.070904.jpg</t>
  </si>
  <si>
    <t>1N1triV70foRCNJ2CDI9rJMSZaKdfMF6h</t>
  </si>
  <si>
    <t>GL06-XP_03-130120261405-01</t>
  </si>
  <si>
    <t>Images_Images/GL06-XP_03-130120261405-01.Images.071537.jpg</t>
  </si>
  <si>
    <t>1fX4h9FiBgLZrO2IptXlFUQxFxxcp_Ca8</t>
  </si>
  <si>
    <t>GL01-XP_03-130120261420-01</t>
  </si>
  <si>
    <t>Images_Images/GL01-XP_03-130120261420-01.Images.072154.jpg</t>
  </si>
  <si>
    <t>1-cMptKjtxfcWlTjKhue2oNkg_EJ8imVV</t>
  </si>
  <si>
    <t>GL02-XP_03-130120261419-01</t>
  </si>
  <si>
    <t>Images_Images/GL02-XP_03-130120261419-01.Images.072207.jpg</t>
  </si>
  <si>
    <t>1hyBxNY7pqWI9e9QoL_TAJdK8tOA1UJyy</t>
  </si>
  <si>
    <t>GL01-XP_03-130120261443-01</t>
  </si>
  <si>
    <t>Images_Images/GL01-XP_03-130120261443-01.Images.074518.jpg</t>
  </si>
  <si>
    <t>1iCftrkR2JV7B_FLpF6nAeSE_toyga-PV</t>
  </si>
  <si>
    <t>GL02-XP_03-130120261445-01</t>
  </si>
  <si>
    <t>Images_Images/GL02-XP_03-130120261445-01.Images.074938.jpg</t>
  </si>
  <si>
    <t>1BEkKbBRQ_4gbGy_trJ6NvgTID9rUGvAE</t>
  </si>
  <si>
    <t>GL06-XP_03-130120261453-01</t>
  </si>
  <si>
    <t>Images_Images/GL06-XP_03-130120261453-01.Images.080058.jpg</t>
  </si>
  <si>
    <t>1LZK_eY9Pz7KB1vnqUtCkBrvvUah8clJH</t>
  </si>
  <si>
    <t>GL06-XP_03-130120261502-01</t>
  </si>
  <si>
    <t>Images_Images/GL06-XP_03-130120261502-01.Images.080806.jpg</t>
  </si>
  <si>
    <t>1vByjYk3tQtjgC0y37gJD5ZyaVyEbg5Rs</t>
  </si>
  <si>
    <t>GL06-XP_03-130120261508-01</t>
  </si>
  <si>
    <t>Images_Images/GL06-XP_03-130120261508-01.Images.081050.jpg</t>
  </si>
  <si>
    <t>1esiM85_-75T873jMb87UeIRsh0zTCCiw</t>
  </si>
  <si>
    <t>GL01-XP_03-130120261511-01</t>
  </si>
  <si>
    <t>Images_Images/GL01-XP_03-130120261511-01.Images.081414.jpg</t>
  </si>
  <si>
    <t>1mp0x0ZATISPXfT3QjJXFnre7khy2zpnk</t>
  </si>
  <si>
    <t>GL05-XP_03-130120261518-01</t>
  </si>
  <si>
    <t>Images_Images/GL05-XP_03-130120261518-01.Images.081910.jpg</t>
  </si>
  <si>
    <t>1TMOsDS6RK_BRA-jlv77jCBwqrgkAHWcj</t>
  </si>
  <si>
    <t>Images_Images/GL02-XP_03-130120261510-01.Images.082536.jpg</t>
  </si>
  <si>
    <t>19cplanqIuRHAxm3qKQjSXhDKFmAt0xt7</t>
  </si>
  <si>
    <t>Images_Images/GL02-XP_03-130120261510-02.Images.082544.jpg</t>
  </si>
  <si>
    <t>1qi6O5XgV1pAJNli9uYQIVjqKNRHJNr32</t>
  </si>
  <si>
    <t>GL04-XP_03-130120261530-01</t>
  </si>
  <si>
    <t>Images_Images/GL04-XP_03-130120261530-01.Images.083240.jpg</t>
  </si>
  <si>
    <t>11LHe_sF7mOFNUPJtCYJyeEQGG8ya2c9Y</t>
  </si>
  <si>
    <t>GL01-XP_03-130120261531-01</t>
  </si>
  <si>
    <t>Images_Images/GL01-XP_03-130120261531-01.Images.083305.jpg</t>
  </si>
  <si>
    <t>1AM6ZMA-5HFeTDHHRALniVDHCQsFaGB37</t>
  </si>
  <si>
    <t>GL05-XP_03-130120261533-01</t>
  </si>
  <si>
    <t>Images_Images/GL05-XP_03-130120261533-01.Images.083415.jpg</t>
  </si>
  <si>
    <t>1hIzN9VFkC4GjxZaJp0w2XTPjUJYA_hHc</t>
  </si>
  <si>
    <t>GL05-XP_03-130120261541-01</t>
  </si>
  <si>
    <t>Images_Images/GL05-XP_03-130120261541-01.Images.084241.jpg</t>
  </si>
  <si>
    <t>1eUzmALbYNHcnaowwlaf2__wUD1IhwY3D</t>
  </si>
  <si>
    <t>GL05-XP_03-130120261543-01</t>
  </si>
  <si>
    <t>Images_Images/GL05-XP_03-130120261543-01.Images.085004.jpg</t>
  </si>
  <si>
    <t>181_IesjHh8KEgIU66jlAbafsF1nAES9H</t>
  </si>
  <si>
    <t>Images_Images/GL02-XP_03-130120261550-01.Images.085402.jpg</t>
  </si>
  <si>
    <t>1hXYVRKKqETnB1i-zT76IAq9B182AuhXq</t>
  </si>
  <si>
    <t>GL04-XP_03-130120261553-01</t>
  </si>
  <si>
    <t>Images_Images/GL04-XP_03-130120261553-01.Images.085455.jpg</t>
  </si>
  <si>
    <t>14ECj9lVFacoQxh-_Zinv6FytdS0EuSJ1</t>
  </si>
  <si>
    <t>GL01-XP_03-130120261558-01</t>
  </si>
  <si>
    <t>Images_Images/GL01-XP_03-130120261558-01.Images.090025.jpg</t>
  </si>
  <si>
    <t>11yEB-fECUSx3njfK5CtkEpOdHrS4dKNq</t>
  </si>
  <si>
    <t>Images_Images/GL04-XP_03-140120261118-01.Images.043306.jpg</t>
  </si>
  <si>
    <t>1ZcnkBgN4uVjOoZa0CzAtC7uw17XZ631F</t>
  </si>
  <si>
    <t>GL07-XP_01-080120260913-02</t>
  </si>
  <si>
    <t>GL07-XP_01-080120261418-02</t>
  </si>
  <si>
    <t>thuơn</t>
  </si>
  <si>
    <t>Plot_ID</t>
  </si>
  <si>
    <t>Tên mảnh vườn cà phê</t>
  </si>
  <si>
    <t>Diện tích (ha)</t>
  </si>
  <si>
    <t>Diện tích đất rừng trên mảnh (ha)</t>
  </si>
  <si>
    <t>Số lượng gốc cà phê</t>
  </si>
  <si>
    <t>Có trồng xen cây khác</t>
  </si>
  <si>
    <t>Cây trồng xen</t>
  </si>
  <si>
    <t>Cây trồng xen khác</t>
  </si>
  <si>
    <t>Diện tích cho thu hoạch</t>
  </si>
  <si>
    <t>Sản lượng năm 2025</t>
  </si>
  <si>
    <t xml:space="preserve">Hình thức sở hữu </t>
  </si>
  <si>
    <t>Năm bắt đầu trồng</t>
  </si>
  <si>
    <t>Năm trồng cà phê gần nhất</t>
  </si>
  <si>
    <t>Cây trồng trước khi trồng</t>
  </si>
  <si>
    <t>Cây trồng trước khi trồng khác</t>
  </si>
  <si>
    <t>Khoảng cách tới rừng gần nhất? (km)</t>
  </si>
  <si>
    <t>Đất của bạn đã được lập bản đồ địa lý chưa?</t>
  </si>
  <si>
    <t>GL01-XP_01-080120261449-02</t>
  </si>
  <si>
    <t>Vườn 1</t>
  </si>
  <si>
    <t>Mắc ca, Cây khác (Ghi rõ)</t>
  </si>
  <si>
    <t>Sầu riêng</t>
  </si>
  <si>
    <t>Đất chủ sở hữu không có sổ đỏ</t>
  </si>
  <si>
    <t>Cà phê - Tái canh</t>
  </si>
  <si>
    <t>Vườn 2</t>
  </si>
  <si>
    <t>Đất chủ sở hữu có sổ đỏ</t>
  </si>
  <si>
    <t>Cây hằng năm</t>
  </si>
  <si>
    <t>Đất trống</t>
  </si>
  <si>
    <t>GL02-XP_01-080120260857-02</t>
  </si>
  <si>
    <t>vườn 1</t>
  </si>
  <si>
    <t>Cây lâu năm khác</t>
  </si>
  <si>
    <t>Vườn 3</t>
  </si>
  <si>
    <t>GL06-XP_01-080120260910-03</t>
  </si>
  <si>
    <t>Đất cà phê</t>
  </si>
  <si>
    <t>GL06-XP_01-080120260925-02</t>
  </si>
  <si>
    <t>Đất vườn</t>
  </si>
  <si>
    <t>GL06-XP_01-080120260927-03</t>
  </si>
  <si>
    <t>Đất vườn nhà</t>
  </si>
  <si>
    <t>Cà phê - Tái canh, Đất trống</t>
  </si>
  <si>
    <t>Đât cà phê</t>
  </si>
  <si>
    <t>GL06-XP_01-080120260927-02</t>
  </si>
  <si>
    <t>Dất cà phê</t>
  </si>
  <si>
    <t>GL06-XP_01-080120260927_094911</t>
  </si>
  <si>
    <t>GL01-XP_07-090120260817_105653</t>
  </si>
  <si>
    <t>GL01-XP_07-090120260817_104452</t>
  </si>
  <si>
    <t>GL01-XP_07-090120260817_105907</t>
  </si>
  <si>
    <t>Vườn 4</t>
  </si>
  <si>
    <t>GL01-XP_07-090120260817_105806</t>
  </si>
  <si>
    <t>GL06-XP_01-080120261053_112428</t>
  </si>
  <si>
    <t>GL06-XP_01-080120261053_112323</t>
  </si>
  <si>
    <t>GL06-XP_01-080120261114_120754</t>
  </si>
  <si>
    <t>GL06-XP_01-080120261114_120541</t>
  </si>
  <si>
    <t>GL06-XP_01-080120261322_680cf03f</t>
  </si>
  <si>
    <t>GL06-XP_01-080120261322_41c8a449</t>
  </si>
  <si>
    <t>Cây khác (Ghi rõ)</t>
  </si>
  <si>
    <t>GL06-XP_01-080120261322_2092f7dd</t>
  </si>
  <si>
    <t>GL06-XP_01-080120261322_91dd11cc</t>
  </si>
  <si>
    <t>GL01-XP_07-090120260836_27410952</t>
  </si>
  <si>
    <t>GL01-XP_07-090120260836_f1eb318e</t>
  </si>
  <si>
    <t>Cà phê - Tái canh, Cây hằng năm</t>
  </si>
  <si>
    <t>GL01-XP_07-090120260956_c9303ee0</t>
  </si>
  <si>
    <t>Cây lâm nghiệp</t>
  </si>
  <si>
    <t>GL01-XP_07-090120260956_3c62f32d</t>
  </si>
  <si>
    <t>GL01-XP_07-090120260956_edd4518b</t>
  </si>
  <si>
    <t>GL01-XP_07-090120260956_9248199a</t>
  </si>
  <si>
    <t>GL01-XP_07-090120261024_aac8534c</t>
  </si>
  <si>
    <t>GL01-XP_07-090120261024_d3fb2c6c</t>
  </si>
  <si>
    <t>GL06-XP_01-080120261349_c29a158f</t>
  </si>
  <si>
    <t>GL06-XP_01-080120261349_38973b17</t>
  </si>
  <si>
    <t>GL06-XP_01-080120261349_3c332308</t>
  </si>
  <si>
    <t>GL06-XP_01-080120261349_4642731a</t>
  </si>
  <si>
    <t>GL02-XP_03-130120261550_dcdd0c16</t>
  </si>
  <si>
    <t>GL06-XP_01-080120261413_c2b3721b</t>
  </si>
  <si>
    <t>GL06-XP_01-080120261413_325987bf</t>
  </si>
  <si>
    <t>GL06-XP_01-080120261518_e785278b</t>
  </si>
  <si>
    <t>GL06-XP_01-080120261518_abdd907e</t>
  </si>
  <si>
    <t>GL02-XP_03-130120261445_b90082ce</t>
  </si>
  <si>
    <t>GL02-XP_03-130120261419_943cda7b</t>
  </si>
  <si>
    <t>GL06-XP_01-080120261551_65745bb3</t>
  </si>
  <si>
    <t>Mắc ca, Tiêu</t>
  </si>
  <si>
    <t>GL06-XP_01-080120261551_7befa639</t>
  </si>
  <si>
    <t>GL06-XP_01-080120261551_2dcdfbd3</t>
  </si>
  <si>
    <t>Cây ăn quả, Mắc ca, Tiêu</t>
  </si>
  <si>
    <t>GL06-XP_01-080120261728_815d69da</t>
  </si>
  <si>
    <t>GL06-XP_01-080120261728_21eb5e64</t>
  </si>
  <si>
    <t>Cây ăn quả, Tiêu</t>
  </si>
  <si>
    <t>GL06-XP_01-080120261728_c1daa0d0</t>
  </si>
  <si>
    <t>GL06-XP_01-080120261821_85213b9b</t>
  </si>
  <si>
    <t>Cây ăn quả, Tiêu, Cây khác (Ghi rõ)</t>
  </si>
  <si>
    <t>GL06-XP_07-090120260815_7ede1306</t>
  </si>
  <si>
    <t>GL06-XP_07-090120260815_2f71b1eb</t>
  </si>
  <si>
    <t>GL06-XP_07-090120260815_3453a86d</t>
  </si>
  <si>
    <t>GL06-XP_07-090120260835_1500a02d</t>
  </si>
  <si>
    <t>GL06-XP_07-090120260835_88d3727d</t>
  </si>
  <si>
    <t>GL06-XP_07-090120260835_8b1d8c11</t>
  </si>
  <si>
    <t>GL04-XP_01-080120261829_0eadb8c6</t>
  </si>
  <si>
    <t>GL04-XP_01-080120261829_54b0c65e</t>
  </si>
  <si>
    <t>GL05-XP_01-080120261106_d5b7721d</t>
  </si>
  <si>
    <t>Mỳ</t>
  </si>
  <si>
    <t>GL05-XP_01-080120261106_96547db2</t>
  </si>
  <si>
    <t>GL01-XP_07-090120261055_64f5e661</t>
  </si>
  <si>
    <t>GL01-XP_07-090120261055_c8ef4605</t>
  </si>
  <si>
    <t>GL01-XP_07-090120261055_eb69f4d5</t>
  </si>
  <si>
    <t>GL01-XP_07-090120261055_e983c059</t>
  </si>
  <si>
    <t>Vườn 5</t>
  </si>
  <si>
    <t>GL01-XP_07-090120261055_54287d07</t>
  </si>
  <si>
    <t>GL01-XP_07-090120261114_6cac3749</t>
  </si>
  <si>
    <t>GL06-XP_07-090120260906_c5a25ca8</t>
  </si>
  <si>
    <t>GL06-XP_07-090120260906_072b48b6</t>
  </si>
  <si>
    <t>GL01-XP_07-090120261114_6f4c7c02</t>
  </si>
  <si>
    <t>GL06-XP_07-090120260906_945ce7c8</t>
  </si>
  <si>
    <t>GL05-XP_01-080120261001_10e2f9a4</t>
  </si>
  <si>
    <t>GL05-XP_01-080120261001_5d32c415</t>
  </si>
  <si>
    <t>Lúa</t>
  </si>
  <si>
    <t>GL05-XP_01-080120261001_79f6c2ab</t>
  </si>
  <si>
    <t>Lúa, Mỳ</t>
  </si>
  <si>
    <t>GL06-XP_07-090120260926_4ef0d16d</t>
  </si>
  <si>
    <t>GL06-XP_07-090120260926_89f8f2e4</t>
  </si>
  <si>
    <t>GL06-XP_07-090120260926_8ec4131f</t>
  </si>
  <si>
    <t>GL01-XP_07-090120261136_372d1ef8</t>
  </si>
  <si>
    <t>GL01-XP_07-090120261136_92bf7c86</t>
  </si>
  <si>
    <t>GL01-XP_07-090120261136_e2dd52ab</t>
  </si>
  <si>
    <t>GL01-XP_07-090120261136_a03bf73b</t>
  </si>
  <si>
    <t>GL06-XP_07-090120260958_873db2d3</t>
  </si>
  <si>
    <t>GL06-XP_07-090120260958_4e55cf85</t>
  </si>
  <si>
    <t>GL05-XP_01-080120260912_133ca514</t>
  </si>
  <si>
    <t>GL05-XP_01-080120260912_18ac46fe</t>
  </si>
  <si>
    <t>Mỳ, lúa</t>
  </si>
  <si>
    <t>GL06-XP_07-090120261044_50c149ea</t>
  </si>
  <si>
    <t>GL06-XP_07-090120261044_59489731</t>
  </si>
  <si>
    <t>GL06-XP_07-090120261044_9363ba85</t>
  </si>
  <si>
    <t>Tiêu, Cây khác (Ghi rõ)</t>
  </si>
  <si>
    <t>GL06-XP_07-090120261044_e15ebad7</t>
  </si>
  <si>
    <t>GL05-XP_01-080120261040_4977db96</t>
  </si>
  <si>
    <t>GL01-XP_07-090120261208_fd2774dd</t>
  </si>
  <si>
    <t>GL01-XP_07-090120261208_3ecf782b</t>
  </si>
  <si>
    <t>GL01-XP_07-090120261208_d71701e0</t>
  </si>
  <si>
    <t>GL05-XP_01-080120261601_487c3a6d</t>
  </si>
  <si>
    <t>GL05-XP_01-080120261601_d25a9de0</t>
  </si>
  <si>
    <t>GL05-XP_01-080120261601_9820ddd0</t>
  </si>
  <si>
    <t>GL05-XP_01-080120261601_a589779d</t>
  </si>
  <si>
    <t>GL05-XP_01-080120261638_66a25f01</t>
  </si>
  <si>
    <t>GL05-XP_01-080120261638_d5bb4729</t>
  </si>
  <si>
    <t>GL01-XP_07-090120261244_71e32def</t>
  </si>
  <si>
    <t>GL01-XP_02-100120261023_419f924f</t>
  </si>
  <si>
    <t>GL01-XP_02-100120261023_a210dfbb</t>
  </si>
  <si>
    <t>GL01-XP_02-100120261023_691c99bd</t>
  </si>
  <si>
    <t>GL01-XP_02-100120261023_083c9c55</t>
  </si>
  <si>
    <t>GL01-XP_02-100120261048_c7872add</t>
  </si>
  <si>
    <t>GL01-XP_02-100120261048_3370f978</t>
  </si>
  <si>
    <t>GL01-XP_02-100120261048_58df6290</t>
  </si>
  <si>
    <t>GL01-XP_02-100120261048_c444bbe9</t>
  </si>
  <si>
    <t>GL01-XP_02-100120261048_b47339ab</t>
  </si>
  <si>
    <t>GL01-XP_02-100120261101_738de7c2</t>
  </si>
  <si>
    <t>GL01-XP_02-100120261101_17bf0b84</t>
  </si>
  <si>
    <t>Sầu Riêng</t>
  </si>
  <si>
    <t>GL01-XP_02-100120261101_e8fd8b18</t>
  </si>
  <si>
    <t>GL01-XP_02-100120261101_b50c713c</t>
  </si>
  <si>
    <t>GL01-XP_02-100120261124_83bd2650</t>
  </si>
  <si>
    <t>GL01-XP_02-100120261126_80e2d5d6</t>
  </si>
  <si>
    <t>GL02-XP_03-130120261401_79f6082f</t>
  </si>
  <si>
    <t>GL02-XP_03-130120261401_c543d509</t>
  </si>
  <si>
    <t>GL02-XP_03-130120261401_ee846321</t>
  </si>
  <si>
    <t>GL01-XP_02-100120261352_fa8273dc</t>
  </si>
  <si>
    <t>GL01-XP_02-100120261426_747d8997</t>
  </si>
  <si>
    <t>GL01-XP_02-100120261426_8330c0a2</t>
  </si>
  <si>
    <t>Cây Giỗi ăn hạt</t>
  </si>
  <si>
    <t>GL02-XP_03-130120261009_13cc14ee</t>
  </si>
  <si>
    <t>GL01-XP_02-100120261453_c935f1c0</t>
  </si>
  <si>
    <t>vườn 3</t>
  </si>
  <si>
    <t>GL01-XP_02-100120261453_4ff61fad</t>
  </si>
  <si>
    <t>GL01-XP_02-100120261453_14606d54</t>
  </si>
  <si>
    <t>Vải, Nhãn</t>
  </si>
  <si>
    <t>GL06-XP_07-090120261125_fdc5891a</t>
  </si>
  <si>
    <t>Nhà</t>
  </si>
  <si>
    <t>GL02-XP_03-130120260959_93fe115b</t>
  </si>
  <si>
    <t>GL01-XP_02-100120261620_8b19bcd7</t>
  </si>
  <si>
    <t>GL01-XP_02-100120261620_b434e502</t>
  </si>
  <si>
    <t>GL06-XP_07-090120261158_74b01a4f</t>
  </si>
  <si>
    <t>GL06-XP_07-090120261158_54258a29</t>
  </si>
  <si>
    <t>GL06-XP_07-090120261158_a3b35467</t>
  </si>
  <si>
    <t>GL02-XP_03-130120260915_c9533754</t>
  </si>
  <si>
    <t>GL02-XP_03-130120260915_af126334</t>
  </si>
  <si>
    <t>GL01-XP_02-100120261639_fdc40f2e</t>
  </si>
  <si>
    <t>GL01-XP_02-100120261639_aa72b4a9</t>
  </si>
  <si>
    <t>GL01-XP_02-100120261639_dae5dda4</t>
  </si>
  <si>
    <t>GL01-XP_02-100120261639_a557a15e</t>
  </si>
  <si>
    <t>GL06-XP_07-090120261220_bbf59aa7</t>
  </si>
  <si>
    <t>GL06-XP_07-090120261244_e309c729</t>
  </si>
  <si>
    <t>GL02-XP_05-120120261655_47074617</t>
  </si>
  <si>
    <t>GL01-XP_06-110120260946_d7a2ccaf</t>
  </si>
  <si>
    <t>Đất thuê từ nhà nước</t>
  </si>
  <si>
    <t>GL01-XP_06-110120260946_4f194fc2</t>
  </si>
  <si>
    <t>GL01-XP_06-110120260946_05ac68f4</t>
  </si>
  <si>
    <t>GL06-XP_01-090120261605_3982aaaa</t>
  </si>
  <si>
    <t>GL06-XP_01-090120261605_17dac596</t>
  </si>
  <si>
    <t>GL06-XP_01-090120261605_841fb125</t>
  </si>
  <si>
    <t>GL06-XP_01-090120261605_b256251c</t>
  </si>
  <si>
    <t>GL06-XP_01-090120261605_ec24f038</t>
  </si>
  <si>
    <t>GL06-XP_01-090120261605_83bae9c8</t>
  </si>
  <si>
    <t>GL02-XP_05-120120261614_adce15ec</t>
  </si>
  <si>
    <t>GL02-XP_05-120120261614_dd1b2089</t>
  </si>
  <si>
    <t>GL06-XP_01-090120261700_d38d2ac1</t>
  </si>
  <si>
    <t>GL01-XP_06-110120260951_a835b1cf</t>
  </si>
  <si>
    <t>GL01-XP_06-110120260951_6f54e4fa</t>
  </si>
  <si>
    <t>GL02-XP_05-120120261011_951a2884</t>
  </si>
  <si>
    <t>Mắc ca, Cây lâm nghiệp, Cây khác (Ghi rõ)</t>
  </si>
  <si>
    <t>Mắc ca</t>
  </si>
  <si>
    <t>GL06-XP_01-090120261731_bf0443fc</t>
  </si>
  <si>
    <t>GL06-XP_01-090120261731_877951de</t>
  </si>
  <si>
    <t>GL06-XP_01-090120261735_69a83d9a</t>
  </si>
  <si>
    <t>GL06-XP_01-090120261735_e65c2714</t>
  </si>
  <si>
    <t>GL01-XP_06-110120261010_f3c751c7</t>
  </si>
  <si>
    <t>Tiêu và Sầu Riêng</t>
  </si>
  <si>
    <t>GL01-XP_06-110120261010_800d782a</t>
  </si>
  <si>
    <t>GL01-XP_06-110120261010_70eec40c</t>
  </si>
  <si>
    <t>GL01-XP_06-110120261054_a1798a68</t>
  </si>
  <si>
    <t>GL01-XP_06-110120261054_a6db70f3</t>
  </si>
  <si>
    <t>GL01-XP_06-110120261054_12e7985b</t>
  </si>
  <si>
    <t>GL01-XP_06-110120261054_db08469c</t>
  </si>
  <si>
    <t>GL01-XP_06-110120261054_01ec4a8f</t>
  </si>
  <si>
    <t>GL01-XP_06-110120261353_a8e39d18</t>
  </si>
  <si>
    <t>GL01-XP_06-110120261353_bd1e39ba</t>
  </si>
  <si>
    <t>Sầu riêng, tiêu, cau</t>
  </si>
  <si>
    <t>GL01-XP_06-110120261410_e053f278</t>
  </si>
  <si>
    <t>Bơ, Sầu riêng</t>
  </si>
  <si>
    <t>GL01-XP_06-110120261410_460e736a</t>
  </si>
  <si>
    <t>GL01-XP_06-110120261410_f289a617</t>
  </si>
  <si>
    <t>GL01-XP_06-110120261430_c9ef1f14</t>
  </si>
  <si>
    <t>GL01-XP_06-110120261430_86093684</t>
  </si>
  <si>
    <t>GL01-XP_06-110120261430_e59869de</t>
  </si>
  <si>
    <t>GL01-XP_01-080120260923_b631057b</t>
  </si>
  <si>
    <t>GL01-XP_01-080120260923_1233c585</t>
  </si>
  <si>
    <t>GL01-XP_01-080120260923_68e8ab7a</t>
  </si>
  <si>
    <t>GL01-XP_01-080120260923_f5aa599d</t>
  </si>
  <si>
    <t>GL01-XP_01-080120260943_10783fd6</t>
  </si>
  <si>
    <t>GL01-XP_01-080120260943_908a9b35</t>
  </si>
  <si>
    <t>GL01-XP_01-080120260943_958614bc</t>
  </si>
  <si>
    <t>GL01-XP_01-080120260958_48523487</t>
  </si>
  <si>
    <t>GL01-XP_01-080120260958_2d362554</t>
  </si>
  <si>
    <t>GL01-XP_01-080120260958_490fc60e</t>
  </si>
  <si>
    <t>GL01-XP_01-080120260958_8f363f53</t>
  </si>
  <si>
    <t>GL01-XP_01-080120260958_dc809311</t>
  </si>
  <si>
    <t>GL01-XP_01-080120260958_e3540468</t>
  </si>
  <si>
    <t>Vườn 6</t>
  </si>
  <si>
    <t>GL01-XP_01-080120260828_6095bb75</t>
  </si>
  <si>
    <t>GL01-XP_01-080120260828_e246e427</t>
  </si>
  <si>
    <t>GL01-XP_01-080120260828_3579aed5</t>
  </si>
  <si>
    <t>GL01-XP_01-080120260828_6a63ae69</t>
  </si>
  <si>
    <t>GL01-XP_01-080120260828_d4caa6e6</t>
  </si>
  <si>
    <t>GL01-XP_01-080120260828_19b5f498</t>
  </si>
  <si>
    <t>GL01-XP_01-080120261057_1c06e22a</t>
  </si>
  <si>
    <t>GL01-XP_01-080120261057_9d3bfd44</t>
  </si>
  <si>
    <t>GL01-XP_01-080120261057_56a6c7c3</t>
  </si>
  <si>
    <t>GL01-XP_01-080120261057_2db6f7ba</t>
  </si>
  <si>
    <t>GL01-XP_01-080120261124_8e88e628</t>
  </si>
  <si>
    <t>GL01-XP_01-080120261124_1731f8ee</t>
  </si>
  <si>
    <t>Cây hằng năm, Đất trống</t>
  </si>
  <si>
    <t>GL01-XP_01-080120261124_3f977624</t>
  </si>
  <si>
    <t>GL01-XP_01-080120261124_3c0bb73c</t>
  </si>
  <si>
    <t>GL01-XP_01-080120261124_9da37d5f</t>
  </si>
  <si>
    <t>GL01-XP_01-080120261449_fea14b91</t>
  </si>
  <si>
    <t>GL01-XP_01-080120261724_b4f75b73</t>
  </si>
  <si>
    <t>GL01-XP_01-080120261724_0f7420e3</t>
  </si>
  <si>
    <t>GL01-XP_01-080120261724_59ead52b</t>
  </si>
  <si>
    <t>GL01-XP_01-080120261802_8fefbec0</t>
  </si>
  <si>
    <t>GL01-XP_01-080120261802_c90bbe4a</t>
  </si>
  <si>
    <t>GL01-XP_01-080120261720_786a3d07</t>
  </si>
  <si>
    <t>GL01-XP_01-080120261720_1c51a580</t>
  </si>
  <si>
    <t>GL05-XP_01-080120261521_8a282b2b</t>
  </si>
  <si>
    <t>GL05-XP_01-080120261521_c7e750c0</t>
  </si>
  <si>
    <t>GL05-XP_01-080120261521_e90c1541</t>
  </si>
  <si>
    <t>GL05-XP_01-080120261521_d4b4d8c1</t>
  </si>
  <si>
    <t>Rừng</t>
  </si>
  <si>
    <t>GL05-XP_01-080120261848_837c539f</t>
  </si>
  <si>
    <t>GL05-XP_01-080120261747_707861d4</t>
  </si>
  <si>
    <t>GL05-XP_01-080120261346_49dd4311</t>
  </si>
  <si>
    <t>GL01-XP_01-080120261806_168ab70c</t>
  </si>
  <si>
    <t>GL01-XP_01-080120261806_b1de45bb</t>
  </si>
  <si>
    <t>GL04-XP_01-080120261743_7fef1506</t>
  </si>
  <si>
    <t>Mảnh 2</t>
  </si>
  <si>
    <t>GL04-XP_01-080120261743_f6838146</t>
  </si>
  <si>
    <t>Mảnh 1</t>
  </si>
  <si>
    <t>GL04-XP_01-080120261713_3499a392</t>
  </si>
  <si>
    <t>GL05-XP_01-080120261421_2fe8815a</t>
  </si>
  <si>
    <t>GL01-XP_01-080120261900_2d31f464</t>
  </si>
  <si>
    <t>GL01-XP_01-080120261900_0304a84e</t>
  </si>
  <si>
    <t>GL01-XP_01-080120261900_b5c85580</t>
  </si>
  <si>
    <t>GL04-XP_01-080120261636_8930ed49</t>
  </si>
  <si>
    <t>GL04-XP_01-080120261636_c8acf8c6</t>
  </si>
  <si>
    <t>GL04-XP_01-080120261636_6cd772d4</t>
  </si>
  <si>
    <t>GL04-XP_01-080120261636_49263af5</t>
  </si>
  <si>
    <t>GL06-XP_02-100120261000_9fa548c2</t>
  </si>
  <si>
    <t>GL05-XP_07-090120260905_063f6ffe</t>
  </si>
  <si>
    <t>GL04-XP_01-080120261540_1856190f</t>
  </si>
  <si>
    <t>GL06-XP_02-100120261015_186c263e</t>
  </si>
  <si>
    <t>Sầu Riêng, chanh</t>
  </si>
  <si>
    <t>GL04-XP_01-080120261501_6c0e0cae</t>
  </si>
  <si>
    <t>GL04-XP_01-080120261501_d90f4c8d</t>
  </si>
  <si>
    <t>GL06-XP_02-100120261027_c618ab00</t>
  </si>
  <si>
    <t>Mắc ca, Tiêu, Cây khác (Ghi rõ)</t>
  </si>
  <si>
    <t>GL05-XP_07-090120260926_23713ed5</t>
  </si>
  <si>
    <t>GL05-XP_07-090120260926_2337c1b3</t>
  </si>
  <si>
    <t>GL05-XP_07-090120260926_7f17e0f2</t>
  </si>
  <si>
    <t>GL04-XP_01-080120260935_bf2eb926</t>
  </si>
  <si>
    <t>GL04-XP_01-080120260935_8b7d01cb</t>
  </si>
  <si>
    <t>GL05-XP_01-090120260937_6e754a92</t>
  </si>
  <si>
    <t>GL05-XP_01-090120260937_d0860fbb</t>
  </si>
  <si>
    <t>GL06-XP_02-100120261048_930b280e</t>
  </si>
  <si>
    <t>Cây ăn quả, Mắc ca, Tiêu, Cây khác (Ghi rõ)</t>
  </si>
  <si>
    <t>Sàu riêng, Bơ</t>
  </si>
  <si>
    <t>GL04-XP_01-080120261435_62d21f93</t>
  </si>
  <si>
    <t>GL04-XP_01-080120261435_38bd8ba6</t>
  </si>
  <si>
    <t>GL04-XP_01-080120261435_d7280bcc</t>
  </si>
  <si>
    <t>GL04-XP_01-080120261435_da8ddef2</t>
  </si>
  <si>
    <t>GL05-XP_07-090120261050_f8969509</t>
  </si>
  <si>
    <t>Cà phê - Tái canh, Khác (Ghi rõ)</t>
  </si>
  <si>
    <t>Tái canh lại 1 phần</t>
  </si>
  <si>
    <t>GL01-XP_05-120120260850_56c7ed39</t>
  </si>
  <si>
    <t>Chanh Dây</t>
  </si>
  <si>
    <t>GL06-XP_02-100120261102_b093b312</t>
  </si>
  <si>
    <t>Sầu riêng, Bơ</t>
  </si>
  <si>
    <t>GL06-XP_02-100120261102_7af89fb5</t>
  </si>
  <si>
    <t>Tiêu, Bơ</t>
  </si>
  <si>
    <t>GL01-XP_05-120120260930_b4cb5977</t>
  </si>
  <si>
    <t>GL04-XP_01-080120261412_1f3682ed</t>
  </si>
  <si>
    <t>GL04-XP_01-080120261412_e622311e</t>
  </si>
  <si>
    <t>GL04-XP_01-080120261412_1fc81f9c</t>
  </si>
  <si>
    <t>Sầu Riêng, Măng Cụt</t>
  </si>
  <si>
    <t>GL04-XP_01-080120261412_02de5cd8</t>
  </si>
  <si>
    <t>GL04-XP_01-080120261412_53b9eb19</t>
  </si>
  <si>
    <t>GL06-XP_02-100120261114_0f513423</t>
  </si>
  <si>
    <t>GL06-XP_02-100120261114_16ed8e1a</t>
  </si>
  <si>
    <t>Sầu riêng, bơ</t>
  </si>
  <si>
    <t>GL06-XP_02-100120261114_d63370a3</t>
  </si>
  <si>
    <t>GL06-XP_02-100120261150_5adc3bb9</t>
  </si>
  <si>
    <t>Rẫy Cà phê</t>
  </si>
  <si>
    <t>GL06-XP_02-100120261150_f26eb384</t>
  </si>
  <si>
    <t>GL04-XP_01-080120260917_d7c84942</t>
  </si>
  <si>
    <t>GL04-XP_01-080120260917_88b59d25</t>
  </si>
  <si>
    <t>GL01-XP_05-120120261019_b1cb4813</t>
  </si>
  <si>
    <t>Sầu riêng, Giổi hạt</t>
  </si>
  <si>
    <t>GL01-XP_05-120120261019_a904e28b</t>
  </si>
  <si>
    <t>Sầu riêng, bời lời</t>
  </si>
  <si>
    <t>GL01-XP_05-120120261019_23440b0a</t>
  </si>
  <si>
    <t>Điều</t>
  </si>
  <si>
    <t>GL06-XP_02-100120261336_902cc732</t>
  </si>
  <si>
    <t>GL06-XP_02-100120261356_134e34ba</t>
  </si>
  <si>
    <t>GL06-XP_02-100120261356_a5af7cb7</t>
  </si>
  <si>
    <t>GL01-XP_05-120120261529_49af8e75</t>
  </si>
  <si>
    <t>GL01-XP_05-120120261529_bbf4c62b</t>
  </si>
  <si>
    <t>GL01-XP_05-120120261529_dc097da3</t>
  </si>
  <si>
    <t>GL06-XP_02-100120261412_cb231271</t>
  </si>
  <si>
    <t>GL06-XP_02-100120261425_d320e8be</t>
  </si>
  <si>
    <t>Sầu riêng, Bơ, Nhãn</t>
  </si>
  <si>
    <t>GL06-XP_02-100120261503_d116e4c5</t>
  </si>
  <si>
    <t>GL06-XP_02-100120261503_b4cd0a1f</t>
  </si>
  <si>
    <t>GL06-XP_02-100120261627_bdc0f72b</t>
  </si>
  <si>
    <t>GL06-XP_02-100120261639_8497c83d</t>
  </si>
  <si>
    <t>GL06-XP_02-100120261639_4e48efbd</t>
  </si>
  <si>
    <t>GL06-XP_02-100120261650_a92524ab</t>
  </si>
  <si>
    <t>GL06-XP_06-110120260901_ea5aa60c</t>
  </si>
  <si>
    <t>GL06-XP_06-110120260905_4d8f6eb5</t>
  </si>
  <si>
    <t>GL06-XP_06-110120260905_57835d41</t>
  </si>
  <si>
    <t>GL06-XP_06-110120260905_b113ac68</t>
  </si>
  <si>
    <t>GL06-XP_06-110120260911_0befb291</t>
  </si>
  <si>
    <t>Sàu riêng</t>
  </si>
  <si>
    <t>GL06-XP_06-110120260931_18256fa5</t>
  </si>
  <si>
    <t>GL06-XP_06-110120260937_9b5e15db</t>
  </si>
  <si>
    <t>GL06-XP_06-110120260937_45dd3d61</t>
  </si>
  <si>
    <t>GL06-XP_06-110120260937_b6720eb7</t>
  </si>
  <si>
    <t>Sảu riêng, bơ, ...</t>
  </si>
  <si>
    <t>GL06-XP_06-110120260943_0bd41a4f</t>
  </si>
  <si>
    <t>GL06-XP_06-110120260943_8ef4135e</t>
  </si>
  <si>
    <t>GL06-XP_06-110120260955_0ae11f90</t>
  </si>
  <si>
    <t>GL06-XP_06-110120260955_225e3c17</t>
  </si>
  <si>
    <t>GL06-XP_06-110120261006_73eff238</t>
  </si>
  <si>
    <t>GL06-XP_06-110120261026_68097872</t>
  </si>
  <si>
    <t>GL06-XP_06-110120261026_64725eb2</t>
  </si>
  <si>
    <t>GL06-XP_06-110120261339_910a26f1</t>
  </si>
  <si>
    <t>GL06-XP_06-110120261339_31ea0517</t>
  </si>
  <si>
    <t>GL06-XP_06-110120261339_b2349b00</t>
  </si>
  <si>
    <t>GL06-XP_06-110120261339_0832121b</t>
  </si>
  <si>
    <t>GL06-XP_06-110120261356_d6b8962c</t>
  </si>
  <si>
    <t>GL06-XP_06-110120261356_d44c676d</t>
  </si>
  <si>
    <t>GL06-XP_06-110120261406_df1bb608</t>
  </si>
  <si>
    <t>GL06-XP_06-110120261421_f608bca2</t>
  </si>
  <si>
    <t>GL06-XP_06-110120261421_d3e567b3</t>
  </si>
  <si>
    <t>GL06-XP_05-120120260839_d48952c3</t>
  </si>
  <si>
    <t>GL06-XP_05-120120260839_44a545c8</t>
  </si>
  <si>
    <t>Sầu riêng, Chanh dây</t>
  </si>
  <si>
    <t>GL06-XP_05-120120260909_cece645e</t>
  </si>
  <si>
    <t>GL01-XP_05-120120261611_ed48f3da</t>
  </si>
  <si>
    <t>GL01-XP_05-120120261611_3e46c697</t>
  </si>
  <si>
    <t>GL01-XP_05-120120261611_f8bbb046</t>
  </si>
  <si>
    <t>GL06-XP_05-120120260939_76ec58e1</t>
  </si>
  <si>
    <t>Mua mới</t>
  </si>
  <si>
    <t>GL06-XP_05-120120260939_032a0cbc</t>
  </si>
  <si>
    <t>GL06-XP_05-120120261006_bd637959</t>
  </si>
  <si>
    <t>GL06-XP_05-120120261006_dc905d77</t>
  </si>
  <si>
    <t>GL01-XP_05-120120261704_0d22f7d6</t>
  </si>
  <si>
    <t>Sầu riêng, Tiêu, Dưa lưới</t>
  </si>
  <si>
    <t>GL01-XP_05-120120261704_940eee61</t>
  </si>
  <si>
    <t>GL06-XP_05-120120261014_d5363c42</t>
  </si>
  <si>
    <t>Rẫy Cà</t>
  </si>
  <si>
    <t>GL06-XP_05-120120261014_6dbc9608</t>
  </si>
  <si>
    <t>Rẫy cà phê</t>
  </si>
  <si>
    <t>GL06-XP_05-120120261039_5afaa1c0</t>
  </si>
  <si>
    <t>Bơ, Mít thái, Sầu riêng</t>
  </si>
  <si>
    <t>GL06-XP_05-120120261039_78411bfa</t>
  </si>
  <si>
    <t>Bơ, Mít, Sầu riêng</t>
  </si>
  <si>
    <t>GL06-XP_05-120120261617_73a3337c</t>
  </si>
  <si>
    <t>GL06-XP_05-120120261646_00c50308</t>
  </si>
  <si>
    <t>GL06-XP_03-130120260923_7675b6e9</t>
  </si>
  <si>
    <t>GL01-XP_05-120120261731_14d0aa2b</t>
  </si>
  <si>
    <t>GL01-XP_05-120120261731_2257dc5e</t>
  </si>
  <si>
    <t>GL06-XP_03-130120260954_1b11d7d6</t>
  </si>
  <si>
    <t>GL06-XP_03-130120261006_5eae052d</t>
  </si>
  <si>
    <t>GL01-XP_03-130120260918_aac85d13</t>
  </si>
  <si>
    <t>GL01-XP_03-130120260918_bf8bcead</t>
  </si>
  <si>
    <t>GL01-XP_03-130120260918_c173cb92</t>
  </si>
  <si>
    <t>GL06-XP_03-130120261025_de9e35a0</t>
  </si>
  <si>
    <t>GL01-XP_03-130120260935_3c70644a</t>
  </si>
  <si>
    <t>GL01-XP_03-130120260935_cdc521e6</t>
  </si>
  <si>
    <t>GL06-XP_03-130120261107_6fed4148</t>
  </si>
  <si>
    <t>GL06-XP_03-130120261122_f71ed0dd</t>
  </si>
  <si>
    <t>GL01-XP_03-130120260959_efb576ee</t>
  </si>
  <si>
    <t>GL01-XP_03-130120260959_d2f7da1b</t>
  </si>
  <si>
    <t>GL01-XP_03-130120260959_51522f81</t>
  </si>
  <si>
    <t>GL01-XP_03-130120260959_ea098bb5</t>
  </si>
  <si>
    <t>GL06-XP_03-130120261345_68240c71</t>
  </si>
  <si>
    <t>GL06-XP_03-130120261345_d03bfa1b</t>
  </si>
  <si>
    <t>Chanh Dây, Sầu riêng</t>
  </si>
  <si>
    <t>GL06-XP_03-130120261405_a0e6c1bc</t>
  </si>
  <si>
    <t>GL06-XP_03-130120261453_1dcd34d6</t>
  </si>
  <si>
    <t>Cau, Nhãn, Sầu riêng</t>
  </si>
  <si>
    <t>GL06-XP_03-130120261453_6e7ff476</t>
  </si>
  <si>
    <t>Nhãn, Sầu riêng, Chanh dây</t>
  </si>
  <si>
    <t>GL06-XP_03-130120261502_23c2044b</t>
  </si>
  <si>
    <t>Cau, Tiêu, Sầu riêng, Nhãn</t>
  </si>
  <si>
    <t>GL06-XP_03-130120261502_518ae36b</t>
  </si>
  <si>
    <t>Chanh Dây, Nhãn, Cau</t>
  </si>
  <si>
    <t>GL06-XP_03-130120261508_78bde570</t>
  </si>
  <si>
    <t>Cau, Chanh, Sầu riêng</t>
  </si>
  <si>
    <t>GL06-XP_03-130120261508_4153b0f0</t>
  </si>
  <si>
    <t>Chanh, Nhãn, Sầu riêng, Cau</t>
  </si>
  <si>
    <t>GL01-XP_03-130120261014_43e08ba7</t>
  </si>
  <si>
    <t>GL01-XP_03-130120261041_10c3613b</t>
  </si>
  <si>
    <t>GL01-XP_03-130120261041_71040ac3</t>
  </si>
  <si>
    <t>GL01-XP_03-130120261106_65b1f8cc</t>
  </si>
  <si>
    <t>GL01-XP_03-130120261420_313bfe87</t>
  </si>
  <si>
    <t>GL01-XP_03-130120261420_c1bbdf22</t>
  </si>
  <si>
    <t>GL01-XP_03-130120261420_d76155be</t>
  </si>
  <si>
    <t>GL01-XP_03-130120261420_f429b627</t>
  </si>
  <si>
    <t>GL01-XP_03-130120261443_93e8d848</t>
  </si>
  <si>
    <t>GL01-XP_03-130120261511_49ed64e4</t>
  </si>
  <si>
    <t>Điều, Tiêu</t>
  </si>
  <si>
    <t>GL01-XP_03-130120261531_21879ab5</t>
  </si>
  <si>
    <t>GL01-XP_03-130120261558_299fb171</t>
  </si>
  <si>
    <t>GL06-XP_01-080120260937_28c327d0</t>
  </si>
  <si>
    <t>GL06-XP_01-080120261008_b874d11d</t>
  </si>
  <si>
    <t>GL05-XP_07-090120261106_555cef03</t>
  </si>
  <si>
    <t>GL02-XP_05-120120260949_74d0d7ec</t>
  </si>
  <si>
    <t>GL05-XP_07-090120261212_1d17a4b5</t>
  </si>
  <si>
    <t>GL05-XP_07-090120261212_c8060d65</t>
  </si>
  <si>
    <t>GL05-XP_07-090120261212_f2f1a4bc</t>
  </si>
  <si>
    <t>GL02-XP_05-120120260932_8d6a2163</t>
  </si>
  <si>
    <t>GL02-XP_05-120120260932_9292c225</t>
  </si>
  <si>
    <t>GL02-XP_05-120120260932_13e29deb</t>
  </si>
  <si>
    <t>GL02-XP_05-120120260913_c4c99a5f</t>
  </si>
  <si>
    <t>GL02-XP_05-120120260913_3a2e88d1</t>
  </si>
  <si>
    <t>GL04-XP_08-090120260907_0c7a1eb7</t>
  </si>
  <si>
    <t>GL04-XP_08-090120260907_90d351b5</t>
  </si>
  <si>
    <t>GL02-XP_05-120120260848_12422f38</t>
  </si>
  <si>
    <t>GL02-XP_05-120120260848_64c67e0d</t>
  </si>
  <si>
    <t>GL02-XP_05-120120260848_e6714238</t>
  </si>
  <si>
    <t>GL04-XP_08-090120260923_2ef6d5fd</t>
  </si>
  <si>
    <t>GL04-XP_08-090120260923_97d4a030</t>
  </si>
  <si>
    <t>GL04-XP_08-090120260935_e695df3c</t>
  </si>
  <si>
    <t>GL04-XP_08-090120260935_769d628f</t>
  </si>
  <si>
    <t>GL04-XP_08-090120260935_406c2a1c</t>
  </si>
  <si>
    <t>GL02-XP_06-110120261440_e87ed8c7</t>
  </si>
  <si>
    <t>GL02-XP_06-110120261440_9f44fb5b</t>
  </si>
  <si>
    <t>GL02-XP_06-110120261440_feed8726</t>
  </si>
  <si>
    <t>GL05-XP_07-090120261259_424ad1aa</t>
  </si>
  <si>
    <t>GL05-XP_07-090120261259_229154ec</t>
  </si>
  <si>
    <t>GL05-XP_07-090120261259_80788a19</t>
  </si>
  <si>
    <t>GL05-XP_07-090120261259_fb531a23</t>
  </si>
  <si>
    <t>GL04-XP_08-090120261045_e9039578</t>
  </si>
  <si>
    <t>GL02-XP_06-110120260911_26f51b86</t>
  </si>
  <si>
    <t>GL02-XP_06-110120260911_fd96aa80</t>
  </si>
  <si>
    <t>GL05-XP_07-090120261309_fb469327</t>
  </si>
  <si>
    <t>GL04-XP_08-090120261423_df77ebcb</t>
  </si>
  <si>
    <t>GL05-XP_07-090120261317_b597e303</t>
  </si>
  <si>
    <t>GL05-XP_07-090120261317_7295374b</t>
  </si>
  <si>
    <t>GL04-XP_08-090120261452_fde27ca0</t>
  </si>
  <si>
    <t>GL04-XP_08-090120261452_4d55255e</t>
  </si>
  <si>
    <t>Nhãn, Tiêu</t>
  </si>
  <si>
    <t>GL02-XP_06-110120260929_95774f54</t>
  </si>
  <si>
    <t>GL02-XP_06-110120260929_50d7b599</t>
  </si>
  <si>
    <t>GL04-XP_08-090120261437_9108c206</t>
  </si>
  <si>
    <t>GL05-XP_07-090120261329_e3323041</t>
  </si>
  <si>
    <t>GL04-XP_08-090120261333_5c74e9a0</t>
  </si>
  <si>
    <t>GL02-XP_06-110120260943_95de25b7</t>
  </si>
  <si>
    <t>GL02-XP_06-110120260943_00f8b459</t>
  </si>
  <si>
    <t>GL05-XP_07-090120261402_717b1773</t>
  </si>
  <si>
    <t>GL04-XP_08-090120261146_e9c50a67</t>
  </si>
  <si>
    <t>GL04-XP_08-090120261146_37cfdb41</t>
  </si>
  <si>
    <t>Cao Su</t>
  </si>
  <si>
    <t>GL04-XP_08-090120261146_60f2b873</t>
  </si>
  <si>
    <t>GL04-XP_08-090120261146_32e384b9</t>
  </si>
  <si>
    <t>GL05-XP_07-090120261424_71727756</t>
  </si>
  <si>
    <t>GL02-XP_06-110120260959_c3c4d842</t>
  </si>
  <si>
    <t>GL04-XP_08-090120261048_44f70f56</t>
  </si>
  <si>
    <t>GL04-XP_08-090120261048_b7808a33</t>
  </si>
  <si>
    <t>GL04-XP_08-090120261048_a747a905</t>
  </si>
  <si>
    <t>Cây lâu năm khác, Khác (Ghi rõ)</t>
  </si>
  <si>
    <t>GL04-XP_08-090120261048_8e9f9bde</t>
  </si>
  <si>
    <t>GL05-XP_07-090120261436_739534a4</t>
  </si>
  <si>
    <t>GL04-XP_08-090120261204_d53df5af</t>
  </si>
  <si>
    <t>GL04-XP_08-090120261204_f0b2e342</t>
  </si>
  <si>
    <t>GL04-XP_08-090120261204_8be8fa8d</t>
  </si>
  <si>
    <t>GL04-XP_08-090120261204_128c45f8</t>
  </si>
  <si>
    <t>GL04-XP_08-090120261204_866a2073</t>
  </si>
  <si>
    <t>GL05-XP_02-100120260921_01d5c61b</t>
  </si>
  <si>
    <t>GL02-XP_06-110120261015_b68309d8</t>
  </si>
  <si>
    <t>GL02-XP_06-110120261015_e5aad5f7</t>
  </si>
  <si>
    <t>GL02-XP_06-110120261015_b81083aa</t>
  </si>
  <si>
    <t>GL02-XP_06-110120261015_124767cf</t>
  </si>
  <si>
    <t>Cây ăn quả, Mắc ca</t>
  </si>
  <si>
    <t>GL02-XP_06-110120261015_853797dc</t>
  </si>
  <si>
    <t>GL04-XP_02-100120261503_d6f22b35</t>
  </si>
  <si>
    <t>GL04-XP_02-100120261503_dc97bf0e</t>
  </si>
  <si>
    <t>GL04-XP_02-100120261503_072ab2bd</t>
  </si>
  <si>
    <t>GL05-XP_02-100120260947_620b1df4</t>
  </si>
  <si>
    <t>GL05-XP_02-100120260947_4d68dc00</t>
  </si>
  <si>
    <t>Mỳ, Lúa</t>
  </si>
  <si>
    <t>GL05-XP_02-100120260947_cf105742</t>
  </si>
  <si>
    <t>GL02-XP_06-110120261350_f33d3445</t>
  </si>
  <si>
    <t>GL04-XP_02-100120261431_388aa385</t>
  </si>
  <si>
    <t>GL05-XP_02-100120261008_28a6b1a7</t>
  </si>
  <si>
    <t>GL05-XP_02-100120261008_c280b199</t>
  </si>
  <si>
    <t>GL05-XP_02-100120261029_e97cec2a</t>
  </si>
  <si>
    <t>GL05-XP_02-100120261029_67b4590b</t>
  </si>
  <si>
    <t>GL05-XP_02-100120261029_1180f09c</t>
  </si>
  <si>
    <t>GL02-XP_06-110120261405_0709ac99</t>
  </si>
  <si>
    <t>Đất thuê từ tư nhân</t>
  </si>
  <si>
    <t>GL02-XP_06-110120261405_6465a58d</t>
  </si>
  <si>
    <t>GL02-XP_06-110120261405_16c15192</t>
  </si>
  <si>
    <t>GL02-XP_06-110120261405_769fcc68</t>
  </si>
  <si>
    <t>GL02-XP_06-110120261418_739b80e2</t>
  </si>
  <si>
    <t>GL02-XP_06-110120261418_78817045</t>
  </si>
  <si>
    <t>GL02-XP_06-110120261418_361bb0ab</t>
  </si>
  <si>
    <t>GL02-XP_06-110120261428_3ddff1f4</t>
  </si>
  <si>
    <t>GL02-XP_06-110120261428_96991755</t>
  </si>
  <si>
    <t>GL04-XP_02-100120261416_89e7c8c7</t>
  </si>
  <si>
    <t>GL04-XP_02-100120261416_f69bc3f7</t>
  </si>
  <si>
    <t>GL04-XP_02-100120261341_12a72945</t>
  </si>
  <si>
    <t>GL04-XP_02-100120261341_017ba64d</t>
  </si>
  <si>
    <t>GL04-XP_02-100120261341_9273868a</t>
  </si>
  <si>
    <t>GL04-XP_02-100120261253_36af3a76</t>
  </si>
  <si>
    <t>GL04-XP_02-100120261253_12f70c82</t>
  </si>
  <si>
    <t>GL05-XP_02-100120261047_93c73c00</t>
  </si>
  <si>
    <t>GL05-XP_02-100120261047_c0372575</t>
  </si>
  <si>
    <t>GL05-XP_02-100120261047_2d4e4f85</t>
  </si>
  <si>
    <t>GL04-XP_02-100120261226_ee89452a</t>
  </si>
  <si>
    <t>GL04-XP_02-100120261226_43fd3ea6</t>
  </si>
  <si>
    <t>GL04-XP_02-100120261156_c8d62176</t>
  </si>
  <si>
    <t>GL04-XP_02-100120261156_09cb2a3a</t>
  </si>
  <si>
    <t>GL04-XP_02-100120261142_8a29e04f</t>
  </si>
  <si>
    <t>GL04-XP_02-100120261142_833ff18e</t>
  </si>
  <si>
    <t>GL04-XP_02-100120261142_e900810e</t>
  </si>
  <si>
    <t>GL04-XP_02-100120261142_78e47db4</t>
  </si>
  <si>
    <t>GL05-XP_02-100120261104_f9f1f9c6</t>
  </si>
  <si>
    <t>GL05-XP_02-100120261104_1f2faaa4</t>
  </si>
  <si>
    <t>GL04-XP_02-100120261122_8a9f0a5e</t>
  </si>
  <si>
    <t>GL04-XP_02-100120261122_da7a21b6</t>
  </si>
  <si>
    <t>GL04-XP_02-100120261122_d8d39781</t>
  </si>
  <si>
    <t>GL05-XP_02-100120261120_1bc1b39e</t>
  </si>
  <si>
    <t>GL05-XP_02-100120261120_6f5ff5c5</t>
  </si>
  <si>
    <t>GL05-XP_02-100120261138_83d7e402</t>
  </si>
  <si>
    <t>GL05-XP_02-100120261138_71ec59d6</t>
  </si>
  <si>
    <t>GL05-XP_02-100120261138_70adce0a</t>
  </si>
  <si>
    <t>GL04-XP_02-100120261059_2dfce8fe</t>
  </si>
  <si>
    <t>GL04-XP_02-100120261059_d4f48fe2</t>
  </si>
  <si>
    <t>GL04-XP_02-100120261059_f5873849</t>
  </si>
  <si>
    <t>GL04-XP_02-100120261059_6ce4ae2f</t>
  </si>
  <si>
    <t>GL05-XP_02-100120261155_39bcd382</t>
  </si>
  <si>
    <t>GL05-XP_02-100120261155_d06b3d7d</t>
  </si>
  <si>
    <t>GL04-XP_02-100120261034_3eeacf56</t>
  </si>
  <si>
    <t>GL04-XP_02-100120261034_05229ce3</t>
  </si>
  <si>
    <t>GL04-XP_02-100120261034_958228b1</t>
  </si>
  <si>
    <t>GL04-XP_02-100120261034_ab20d0f1</t>
  </si>
  <si>
    <t>GL02-XP_01-080120260812_9e70cb90</t>
  </si>
  <si>
    <t>GL02-XP_01-080120260812_953fd4a6</t>
  </si>
  <si>
    <t>GL02-XP_01-080120260812_4c3dfb50</t>
  </si>
  <si>
    <t>GL05-XP_02-100120261218_e5272403</t>
  </si>
  <si>
    <t>GL05-XP_02-100120261218_203cc0be</t>
  </si>
  <si>
    <t>GL04-XP_02-100120261011_4ab8cf4a</t>
  </si>
  <si>
    <t>Điều, Sầu Riêng</t>
  </si>
  <si>
    <t>GL04-XP_02-100120261011_be739fa0</t>
  </si>
  <si>
    <t>GL04-XP_02-100120261011_f6d8fc1e</t>
  </si>
  <si>
    <t>GL05-XP_02-100120261252_5bff031e</t>
  </si>
  <si>
    <t>GL05-XP_02-100120261252_c30aaea8</t>
  </si>
  <si>
    <t>GL04-XP_02-100120260901_e7052bb2</t>
  </si>
  <si>
    <t>GL04-XP_02-100120260901_3a51dc2e</t>
  </si>
  <si>
    <t>GL04-XP_02-100120260901_97c112d0</t>
  </si>
  <si>
    <t>GL02-XP_01-080120260946_47d78f04</t>
  </si>
  <si>
    <t>GL04-XP_06-110120261439_c07554e9</t>
  </si>
  <si>
    <t>GL04-XP_06-110120261439_880f32dc</t>
  </si>
  <si>
    <t>GL04-XP_06-110120261439_cc5caeae</t>
  </si>
  <si>
    <t>GL02-XP_01-080120261010_99a8abfc</t>
  </si>
  <si>
    <t>GL02-XP_01-080120261010_8cec7dec</t>
  </si>
  <si>
    <t>GL05-XP_02-100120261308_33108305</t>
  </si>
  <si>
    <t>GL04-XP_06-110120261424_3dcabfce</t>
  </si>
  <si>
    <t>GL04-XP_06-110120261424_f7398d7a</t>
  </si>
  <si>
    <t>GL05-XP_02-100120261322_6996175c</t>
  </si>
  <si>
    <t>GL05-XP_02-100120261322_53935403</t>
  </si>
  <si>
    <t>GL02-XP_01-080120261031_7059b0f0</t>
  </si>
  <si>
    <t>GL02-XP_01-080120261031_3e42b6af</t>
  </si>
  <si>
    <t>GL02-XP_01-080120261031_3674c64c</t>
  </si>
  <si>
    <t>GL04-XP_06-110120261412_484d4a2a</t>
  </si>
  <si>
    <t>GL02-XP_01-080120261031_65351175</t>
  </si>
  <si>
    <t>GL04-XP_06-110120261412_cceb2a97</t>
  </si>
  <si>
    <t>GL04-XP_06-110120261412_e5cec50d</t>
  </si>
  <si>
    <t>GL05-XP_02-100120261334_16f54eac</t>
  </si>
  <si>
    <t>GL05-XP_02-100120261334_c55e5613</t>
  </si>
  <si>
    <t>GL04-XP_06-110120261359_4d5b6ba9</t>
  </si>
  <si>
    <t>Sầu Riêng, Cau</t>
  </si>
  <si>
    <t>GL04-XP_06-110120261359_cdb7ed39</t>
  </si>
  <si>
    <t>Cau (100 gốc)</t>
  </si>
  <si>
    <t>GL04-XP_06-110120261359_506a44f7</t>
  </si>
  <si>
    <t>GL05-XP_02-100120261424_fe9b3630</t>
  </si>
  <si>
    <t>GL05-XP_02-100120261424_1e27d555</t>
  </si>
  <si>
    <t>GL04-XP_06-110120261346_38b8a7c9</t>
  </si>
  <si>
    <t>GL04-XP_06-110120261346_6762b56d</t>
  </si>
  <si>
    <t>GL05-XP_02-100120261438_14c6cc87</t>
  </si>
  <si>
    <t>GL05-XP_02-100120261438_ab28b160</t>
  </si>
  <si>
    <t>GL05-XP_02-100120261438_0c9c056c</t>
  </si>
  <si>
    <t>GL02-XP_01-080120261319_c63e0b21</t>
  </si>
  <si>
    <t>GL02-XP_01-080120261319_c4aef54a</t>
  </si>
  <si>
    <t>GL02-XP_01-080120261319_114f673c</t>
  </si>
  <si>
    <t>GL02-XP_01-080120261319_aef1b3da</t>
  </si>
  <si>
    <t>GL02-XP_01-080120261319_26547619</t>
  </si>
  <si>
    <t>GL02-XP_01-080120261319_8c7bacba</t>
  </si>
  <si>
    <t>GL02-XP_01-080120261319_fe4d39e9</t>
  </si>
  <si>
    <t>GL04-XP_06-110120261015_48746041</t>
  </si>
  <si>
    <t>GL02-XP_01-080120261319_f7250f3e</t>
  </si>
  <si>
    <t>GL05-XP_02-100120261519_3f533976</t>
  </si>
  <si>
    <t>GL05-XP_02-100120261519_57c35675</t>
  </si>
  <si>
    <t>GL05-XP_02-100120261519_718e929b</t>
  </si>
  <si>
    <t>GL05-XP_02-100120261519_ddb53012</t>
  </si>
  <si>
    <t>GL04-XP_06-110120260946_a2e9a67e</t>
  </si>
  <si>
    <t>GL02-XP_01-080120261409_245bd878</t>
  </si>
  <si>
    <t>GL04-XP_06-110120261002_1db68684</t>
  </si>
  <si>
    <t>GL05-XP_06-110120260914_d5723f17</t>
  </si>
  <si>
    <t>GL05-XP_06-110120260914_ea92a4aa</t>
  </si>
  <si>
    <t>GL05-XP_06-110120260914_381dd461</t>
  </si>
  <si>
    <t>GL02-XP_01-080120261433_47b7717a</t>
  </si>
  <si>
    <t>GL02-XP_01-080120261433_63cb3f75</t>
  </si>
  <si>
    <t>GL02-XP_01-080120261433_ff4c488c</t>
  </si>
  <si>
    <t>GL04-XP_06-110120260927_5fc4945c</t>
  </si>
  <si>
    <t>GL04-XP_06-110120260927_ab970e14</t>
  </si>
  <si>
    <t>GL04-XP_06-110120260927_744c718c</t>
  </si>
  <si>
    <t>GL05-XP_06-110120260937_4a6e0a62</t>
  </si>
  <si>
    <t>GL04-XP_06-110120260909_86d2dc97</t>
  </si>
  <si>
    <t>GL04-XP_06-110120260909_9d4a5af5</t>
  </si>
  <si>
    <t>GL05-XP_06-110120260954_4c9bfc9b</t>
  </si>
  <si>
    <t>GL05-XP_06-110120260954_7603fe36</t>
  </si>
  <si>
    <t>GL05-XP_06-110120261023_e7d7f80e</t>
  </si>
  <si>
    <t>GL04-XP_03-140120261118_32e89ae3</t>
  </si>
  <si>
    <t>GL05-XP_06-110120261114_d0d9bfc1</t>
  </si>
  <si>
    <t>GL05-XP_06-110120261114_2aae7f50</t>
  </si>
  <si>
    <t>GL04-XP_05-120120261717_12bdbf3f</t>
  </si>
  <si>
    <t>GL05-XP_06-110120261354_3963bab1</t>
  </si>
  <si>
    <t>GL05-XP_06-110120261354_4d09f224</t>
  </si>
  <si>
    <t>GL05-XP_06-110120261354_1d24f21b</t>
  </si>
  <si>
    <t>GL04-XP_05-120120261702_c4730e8a</t>
  </si>
  <si>
    <t>GL04-XP_05-120120261702_4e3ae737</t>
  </si>
  <si>
    <t>GL04-XP_05-120120261702_07d641a5</t>
  </si>
  <si>
    <t>GL05-XP_06-110120261419_903b2156</t>
  </si>
  <si>
    <t>GL05-XP_06-110120261419_01fe1596</t>
  </si>
  <si>
    <t>GL05-XP_06-110120261419_14bf9881</t>
  </si>
  <si>
    <t>GL05-XP_06-110120261419_7877fb30</t>
  </si>
  <si>
    <t>GL05-XP_06-110120261419_b97f5677</t>
  </si>
  <si>
    <t>GL05-XP_06-110120261419_21b021c1</t>
  </si>
  <si>
    <t>GL05-XP_06-110120261435_3b2c81fe</t>
  </si>
  <si>
    <t>GL05-XP_06-110120261435_750e7f98</t>
  </si>
  <si>
    <t>GL05-XP_06-110120261435_169298a0</t>
  </si>
  <si>
    <t>GL02-XP_01-080120261446_d2028fd4</t>
  </si>
  <si>
    <t>GL02-XP_01-080120261446_a97d7c12</t>
  </si>
  <si>
    <t>GL02-XP_01-080120261531_3ccab70d</t>
  </si>
  <si>
    <t>GL02-XP_01-080120261531_ae508b4c</t>
  </si>
  <si>
    <t>GL02-XP_01-080120261531_6805248a</t>
  </si>
  <si>
    <t>GL02-XP_01-080120261531_23c5cf14</t>
  </si>
  <si>
    <t>GL02-XP_01-080120261531_9fb89575</t>
  </si>
  <si>
    <t>GL02-XP_01-080120261531_8bbbe813</t>
  </si>
  <si>
    <t>GL02-XP_01-080120261726_de7af579</t>
  </si>
  <si>
    <t>GL02-XP_01-080120261726_1380a00f</t>
  </si>
  <si>
    <t>GL02-XP_01-080120261726_60ccf663</t>
  </si>
  <si>
    <t>GL02-XP_01-080120261828_c8fcf728</t>
  </si>
  <si>
    <t>GL05-XP_05-120120260856_a29ba952</t>
  </si>
  <si>
    <t>GL05-XP_05-120120260856_ebff871f</t>
  </si>
  <si>
    <t>GL02-XP_07-090120260814_87add695</t>
  </si>
  <si>
    <t>GL02-XP_07-090120260814_c8cb8112</t>
  </si>
  <si>
    <t>GL02-XP_07-090120260814_abc00a8d</t>
  </si>
  <si>
    <t>GL05-XP_05-120120260926_d1b8a431</t>
  </si>
  <si>
    <t>GL05-XP_05-120120260926_f2c9dbac</t>
  </si>
  <si>
    <t>GL05-XP_05-120120260951_3b58a218</t>
  </si>
  <si>
    <t>GL05-XP_05-120120261023_5a32eb16</t>
  </si>
  <si>
    <t>GL05-XP_05-120120261023_67d03460</t>
  </si>
  <si>
    <t>GL02-XP_07-090120260920_b31c59b5</t>
  </si>
  <si>
    <t>GL02-XP_07-090120260920_1afe1e43</t>
  </si>
  <si>
    <t>GL02-XP_07-090120260920_487c99b7</t>
  </si>
  <si>
    <t>GL02-XP_07-090120260920_67de9b4d</t>
  </si>
  <si>
    <t>GL05-XP_05-120120261048_144f60b3</t>
  </si>
  <si>
    <t>GL05-XP_05-120120261048_21098644</t>
  </si>
  <si>
    <t>Bơ, chuối</t>
  </si>
  <si>
    <t>GL05-XP_05-120120261448_6949c6aa</t>
  </si>
  <si>
    <t>Cà phê - Tái canh, Đất trống, Khác (Ghi rõ)</t>
  </si>
  <si>
    <t>1 nửa mua lại, 1 nửa khai hoang</t>
  </si>
  <si>
    <t>GL02-XP_07-090120261010_b6923319</t>
  </si>
  <si>
    <t>GL02-XP_07-090120261010_bd072077</t>
  </si>
  <si>
    <t>GL02-XP_07-090120261010_1c4f77c2</t>
  </si>
  <si>
    <t>GL05-XP_05-120120261523_5d4a7508</t>
  </si>
  <si>
    <t>GL05-XP_05-120120261523_5dac865e</t>
  </si>
  <si>
    <t>GL05-XP_05-120120261523_fdbcdbbb</t>
  </si>
  <si>
    <t>GL05-XP_05-120120261523_e0091023</t>
  </si>
  <si>
    <t>Nhận lại của Nông trường</t>
  </si>
  <si>
    <t>GL05-XP_05-120120261610_e7abe2c3</t>
  </si>
  <si>
    <t>GL05-XP_05-120120261610_1ae122ce</t>
  </si>
  <si>
    <t>GL05-XP_05-120120261610_84357552</t>
  </si>
  <si>
    <t>GL05-XP_05-120120261646_60850075</t>
  </si>
  <si>
    <t>GL05-XP_05-120120261646_486a39e0</t>
  </si>
  <si>
    <t>Mua lại</t>
  </si>
  <si>
    <t>GL05-XP_05-120120261712_53330404</t>
  </si>
  <si>
    <t>GL05-XP_05-120120261712_88862ce6</t>
  </si>
  <si>
    <t>GL05-XP_05-120120261712_3c584702</t>
  </si>
  <si>
    <t>GL02-XP_07-090120261032_1ecf471a</t>
  </si>
  <si>
    <t>GL02-XP_07-090120261032_7c65f22a</t>
  </si>
  <si>
    <t>GL02-XP_07-090120261032_c74a01a1</t>
  </si>
  <si>
    <t>GL02-XP_07-090120261032_e522da0d</t>
  </si>
  <si>
    <t>GL02-XP_07-090120261032_5d6e0a4b</t>
  </si>
  <si>
    <t>GL02-XP_07-090120261101_96fff295</t>
  </si>
  <si>
    <t>GL02-XP_07-090120261110_e6d26893</t>
  </si>
  <si>
    <t>GL02-XP_07-090120261110_8c1250ed</t>
  </si>
  <si>
    <t>GL02-XP_07-090120261202_a4be9828</t>
  </si>
  <si>
    <t>GL02-XP_07-090120261202_e0c0ae5d</t>
  </si>
  <si>
    <t>GL02-XP_07-090120261242_03c8f34b</t>
  </si>
  <si>
    <t>GL05-XP_03-130120260931_6bd74237</t>
  </si>
  <si>
    <t>GL05-XP_03-130120260931_eae361ad</t>
  </si>
  <si>
    <t>GL02-XP_07-090120261304_e12b3fc6</t>
  </si>
  <si>
    <t>GL02-XP_07-090120261304_42d1949f</t>
  </si>
  <si>
    <t>GL02-XP_07-090120261304_880d27c9</t>
  </si>
  <si>
    <t>GL02-XP_07-090120261304_383eba96</t>
  </si>
  <si>
    <t>GL05-XP_03-130120260958_84434a30</t>
  </si>
  <si>
    <t>GL02-XP_01-090120261611_9ce79889</t>
  </si>
  <si>
    <t>GL02-XP_01-090120261611_4f228aa4</t>
  </si>
  <si>
    <t>GL05-XP_03-130120261026_b0df4ccf</t>
  </si>
  <si>
    <t>Bố mẹ cho đất</t>
  </si>
  <si>
    <t>GL02-XP_01-090120261611_58e47a14</t>
  </si>
  <si>
    <t>GL02-XP_01-090120261611_ed6cc6af</t>
  </si>
  <si>
    <t>GL05-XP_03-130120261052_1def31e5</t>
  </si>
  <si>
    <t>GL05-XP_03-130120261106_b720d84a</t>
  </si>
  <si>
    <t>Anh ruột cho để làm</t>
  </si>
  <si>
    <t>GL05-XP_03-130120261121_61258099</t>
  </si>
  <si>
    <t>GL05-XP_03-130120261121_a411f5d9</t>
  </si>
  <si>
    <t>Bố mẹ cho</t>
  </si>
  <si>
    <t>GL05-XP_03-130120261222_511eb0cf</t>
  </si>
  <si>
    <t>CF Mua lại</t>
  </si>
  <si>
    <t>GL02-XP_01-090120261621_0d523bf6</t>
  </si>
  <si>
    <t>GL02-XP_01-090120261621_8dff2ff8</t>
  </si>
  <si>
    <t>GL02-XP_01-090120261621_313343cd</t>
  </si>
  <si>
    <t>GL02-XP_01-090120261621_9f8ce44f</t>
  </si>
  <si>
    <t>GL05-XP_03-130120261518_7cf75f83</t>
  </si>
  <si>
    <t>GL02-XP_01-090120261636_ae1fa4b5</t>
  </si>
  <si>
    <t>Cây ăn quả, Cây lâm nghiệp</t>
  </si>
  <si>
    <t>GL02-XP_01-090120261636_698fe08c</t>
  </si>
  <si>
    <t>GL02-XP_01-090120261636_5ec72266</t>
  </si>
  <si>
    <t>GL02-XP_01-090120261636_b2d80249</t>
  </si>
  <si>
    <t>GL02-XP_01-090120261708_d0ad6ac7</t>
  </si>
  <si>
    <t>GL02-XP_01-090120261745_19f4a70f</t>
  </si>
  <si>
    <t>GL02-XP_01-090120261745_26d1172f</t>
  </si>
  <si>
    <t>GL02-XP_01-090120261745_a9d4251c</t>
  </si>
  <si>
    <t>GL02-XP_01-090120261745_51a82acc</t>
  </si>
  <si>
    <t>GL02-XP_01-090120261745_0c51b5f0</t>
  </si>
  <si>
    <t>GL05-XP_03-130120261533_759a1b82</t>
  </si>
  <si>
    <t>GL05-XP_03-130120261541_b840ba78</t>
  </si>
  <si>
    <t>GL05-XP_03-130120261543_b9d9b8eb</t>
  </si>
  <si>
    <t>GL02-XP_02-100120261000_90ad6676</t>
  </si>
  <si>
    <t>GL02-XP_02-100120261000_ddce1cc2</t>
  </si>
  <si>
    <t>GL02-XP_02-100120261000_13ed393f</t>
  </si>
  <si>
    <t>GL07-XP_01-080120261654_46083555</t>
  </si>
  <si>
    <t>GL04-XP_05-120120261646_5ce40e05</t>
  </si>
  <si>
    <t>GL04-XP_05-120120261646_778062cf</t>
  </si>
  <si>
    <t>GL04-XP_05-120120261646_239b9328</t>
  </si>
  <si>
    <t>GL04-XP_05-120120261646_d3910e1c</t>
  </si>
  <si>
    <t>GL04-XP_05-120120261646_c2b344f5</t>
  </si>
  <si>
    <t>GL04-XP_05-120120261610_cfbebd3f</t>
  </si>
  <si>
    <t>GL02-XP_02-100120261035_c496fcb4</t>
  </si>
  <si>
    <t>GL04-XP_05-120120261515_7b43601f</t>
  </si>
  <si>
    <t>GL04-XP_05-120120261515_bd18cc7c</t>
  </si>
  <si>
    <t>GL04-XP_05-120120261515_5de0b2ca</t>
  </si>
  <si>
    <t>GL02-XP_02-100120261056_fe71e944</t>
  </si>
  <si>
    <t>GL02-XP_02-100120261056_2764f28e</t>
  </si>
  <si>
    <t>GL04-XP_05-120120261447_0b500047</t>
  </si>
  <si>
    <t>GL04-XP_05-120120261447_7eaeb729</t>
  </si>
  <si>
    <t>GL04-XP_05-120120261447_608ef0d2</t>
  </si>
  <si>
    <t>GL02-XP_02-100120261108_0e4e8c97</t>
  </si>
  <si>
    <t>GL02-XP_02-100120261108_88dcff5a</t>
  </si>
  <si>
    <t>GL02-XP_02-100120261108_0a31c0bd</t>
  </si>
  <si>
    <t>GL02-XP_02-100120261108_eb63a71b</t>
  </si>
  <si>
    <t>GL02-XP_02-100120261108_1d0146b8</t>
  </si>
  <si>
    <t>GL04-XP_05-120120261147_67eda6ec</t>
  </si>
  <si>
    <t>GL04-XP_05-120120261147_ec06df8a</t>
  </si>
  <si>
    <t>GL02-XP_02-100120261125_3a40e7b0</t>
  </si>
  <si>
    <t>GL04-XP_05-120120261131_6e6d62b6</t>
  </si>
  <si>
    <t>GL02-XP_02-100120261125_4fc4ebdf</t>
  </si>
  <si>
    <t>GL04-XP_05-120120261131_6c2c1982</t>
  </si>
  <si>
    <t>GL02-XP_02-100120261125_f3fa5b58</t>
  </si>
  <si>
    <t>GL04-XP_05-120120261131_7a5a3569</t>
  </si>
  <si>
    <t>GL04-XP_05-120120261131_7e21c335</t>
  </si>
  <si>
    <t>GL04-XP_05-120120261106_e5af6739</t>
  </si>
  <si>
    <t>GL04-XP_05-120120261106_c5909bfb</t>
  </si>
  <si>
    <t>GL04-XP_05-120120261106_a8c5b8b7</t>
  </si>
  <si>
    <t>GL02-XP_02-100120261137_500ea4ad</t>
  </si>
  <si>
    <t>GL04-XP_05-120120261029_4cd321cc</t>
  </si>
  <si>
    <t>GL04-XP_05-120120261012_ff52304c</t>
  </si>
  <si>
    <t>GL04-XP_05-120120261012_27fbbe11</t>
  </si>
  <si>
    <t>GL04-XP_05-120120261012_ea258a48</t>
  </si>
  <si>
    <t>GL04-XP_05-120120261012_73c28894</t>
  </si>
  <si>
    <t>GL04-XP_05-120120261012_b151b562</t>
  </si>
  <si>
    <t>GL02-XP_02-100120261154_4bac1d4c</t>
  </si>
  <si>
    <t>GL04-XP_05-120120260952_c9aa6d55</t>
  </si>
  <si>
    <t>GL04-XP_05-120120260910_cbbe181f</t>
  </si>
  <si>
    <t>GL04-XP_05-120120260910_4a377d53</t>
  </si>
  <si>
    <t>GL04-XP_05-120120260910_fcfcf859</t>
  </si>
  <si>
    <t>GL04-XP_05-120120260910_b6566eae</t>
  </si>
  <si>
    <t>GL02-XP_02-100120261340_bb834df0</t>
  </si>
  <si>
    <t>GL04-XP_05-120120260900_3e7aa008</t>
  </si>
  <si>
    <t>GL07-XP_01-080120261637_997fca9a</t>
  </si>
  <si>
    <t>cà phê mít</t>
  </si>
  <si>
    <t>GL07-XP_01-080120261637_14d902c5</t>
  </si>
  <si>
    <t>GL04-XP_05-120120260900_7b0a21a9</t>
  </si>
  <si>
    <t>GL04-XP_05-120120260900_e90c8e6c</t>
  </si>
  <si>
    <t>GL04-XP_05-120120260900_1441d2de</t>
  </si>
  <si>
    <t>GL04-XP_05-120120260900_c4e29397</t>
  </si>
  <si>
    <t>GL04-XP_05-120120260924_c68ad64c</t>
  </si>
  <si>
    <t>GL04-XP_05-120120260924_5f50f63e</t>
  </si>
  <si>
    <t>GL04-XP_03-130120261553_f79e6cbf</t>
  </si>
  <si>
    <t>GL04-XP_03-130120261530_980de238</t>
  </si>
  <si>
    <t>GL04-XP_03-130120261530_9358c609</t>
  </si>
  <si>
    <t>GL04-XP_03-130120261530_2ddf232f</t>
  </si>
  <si>
    <t>GL04-XP_03-130120261530_4ea44b7d</t>
  </si>
  <si>
    <t>GL02-XP_02-100120261357_23b7b2c6</t>
  </si>
  <si>
    <t>Cây lâu năm khác, Cây hằng năm</t>
  </si>
  <si>
    <t>GL04-XP_03-130120261125_020f26db</t>
  </si>
  <si>
    <t>GL07-XP_01-080120260941_5888cf77</t>
  </si>
  <si>
    <t>GL07-XP_01-080120260941_b2aea118</t>
  </si>
  <si>
    <t>GL07-XP_01-080120260941_6b339d3d</t>
  </si>
  <si>
    <t>GL07-XP_01-080120260941_29cc421b</t>
  </si>
  <si>
    <t>GL04-XP_03-130120261102_10d6acf3</t>
  </si>
  <si>
    <t>GL02-XP_02-100120261410_b6723505</t>
  </si>
  <si>
    <t>GL04-XP_03-130120261028_f1e67268</t>
  </si>
  <si>
    <t>GL04-XP_03-130120261028_4d888119</t>
  </si>
  <si>
    <t>GL02-XP_02-100120261423_ee34c196</t>
  </si>
  <si>
    <t>GL02-XP_02-100120261423_3990d880</t>
  </si>
  <si>
    <t>GL02-XP_02-100120261423_c9b0c7fc</t>
  </si>
  <si>
    <t>GL04-XP_03-130120261026_b43f25ca</t>
  </si>
  <si>
    <t>GL04-XP_03-130120261026_b9b934f8</t>
  </si>
  <si>
    <t>GL04-XP_03-130120261026_9b0d1e44</t>
  </si>
  <si>
    <t>GL04-XP_03-130120261026_f6913ae3</t>
  </si>
  <si>
    <t>GL02-XP_02-100120261625_a62d2f86</t>
  </si>
  <si>
    <t>GL04-XP_03-130120261012_c8de4df2</t>
  </si>
  <si>
    <t>GL04-XP_03-130120260953_4b3734ea</t>
  </si>
  <si>
    <t>GL04-XP_03-130120260953_8f509e40</t>
  </si>
  <si>
    <t>GL04-XP_03-130120260953_be3b517f</t>
  </si>
  <si>
    <t>GL04-XP_03-130120260936_61da1316</t>
  </si>
  <si>
    <t>GL04-XP_03-130120260936_9f97d4c4</t>
  </si>
  <si>
    <t>GL04-XP_03-130120260922_ff85d023</t>
  </si>
  <si>
    <t>GL04-XP_03-130120260922_f0afb518</t>
  </si>
  <si>
    <t>GL04-XP_03-130120260922_32399820</t>
  </si>
  <si>
    <t>GL04-XP_03-130120260922_14c23386</t>
  </si>
  <si>
    <t>GL07-XP_01-080120260850_89720f41</t>
  </si>
  <si>
    <t>đất trồng lúa cạn</t>
  </si>
  <si>
    <t>GL07-XP_01-080120260850_66bfa0f3</t>
  </si>
  <si>
    <t>GL07-XP_01-080120261021_85a520ef</t>
  </si>
  <si>
    <t>GL07-XP_01-080120261021_0e7cbf1d</t>
  </si>
  <si>
    <t>GL07-XP_01-080120261021_e917d951</t>
  </si>
  <si>
    <t>GL07-XP_01-080120260913_8e16d484</t>
  </si>
  <si>
    <t>GL07-XP_01-080120261418_7baf9312</t>
  </si>
  <si>
    <t>GL07-XP_01-080120261418_59c228bc</t>
  </si>
  <si>
    <t>GL07-XP_01-080120261418_e2b292cc</t>
  </si>
  <si>
    <t>GL07-XP_01-080120261827_b8bfcca3</t>
  </si>
  <si>
    <t>GL07-XP_01-080120261752_a1d67186</t>
  </si>
  <si>
    <t>GL07-XP_01-080120261752_c95928bb</t>
  </si>
  <si>
    <t>GL07-XP_01-080120261854_00d0a142</t>
  </si>
  <si>
    <t>GL07-XP_01-080120261854_64dc4508</t>
  </si>
  <si>
    <t>GL07-XP_08-090120260852_8f6ec468</t>
  </si>
  <si>
    <t>GL07-XP_08-090120260852_5498aa87</t>
  </si>
  <si>
    <t>GL07-XP_08-090120260910_f6b41d51</t>
  </si>
  <si>
    <t>GL07-XP_08-090120260925_3999c477</t>
  </si>
  <si>
    <t>GL07-XP_08-090120261007_6db3a4fd</t>
  </si>
  <si>
    <t>GL07-XP_08-090120261007_90021aa4</t>
  </si>
  <si>
    <t>GL07-XP_08-090120261007_6b6f0add</t>
  </si>
  <si>
    <t>GL07-XP_08-090120261007_8b77e53b</t>
  </si>
  <si>
    <t>GL07-XP_08-090120261051_20901dc4</t>
  </si>
  <si>
    <t>GL07-XP_08-090120261108_cf8ac265</t>
  </si>
  <si>
    <t>GL07-XP_08-090120261108_40cf1454</t>
  </si>
  <si>
    <t>GL07-XP_08-090120261200_3c0d5f25</t>
  </si>
  <si>
    <t>GL07-XP_02-100120261001_710f13b8</t>
  </si>
  <si>
    <t>GL07-XP_02-100120261001_543b99a6</t>
  </si>
  <si>
    <t>GL07-XP_02-100120261005_31aad70f</t>
  </si>
  <si>
    <t>GL07-XP_02-100120261005_a1679758</t>
  </si>
  <si>
    <t>Đất khai hoang, đất công</t>
  </si>
  <si>
    <t>GL07-XP_02-100120261005_fb869268</t>
  </si>
  <si>
    <t>GL07-XP_02-100120261014_e347af08</t>
  </si>
  <si>
    <t>GL07-XP_02-100120261014_a674b4af</t>
  </si>
  <si>
    <t>GL07-XP_02-100120261026_eea84c5c</t>
  </si>
  <si>
    <t>GL07-XP_02-100120261026_fdef03b2</t>
  </si>
  <si>
    <t>GL07-XP_02-100120261026_daf6715f</t>
  </si>
  <si>
    <t>GL07-XP_02-100120261046_f529b03e</t>
  </si>
  <si>
    <t>GL07-XP_02-100120261046_21840969</t>
  </si>
  <si>
    <t>GL07-XP_02-100120261046_cb1170b0</t>
  </si>
  <si>
    <t>GL07-XP_02-100120261055_3ecb8d67</t>
  </si>
  <si>
    <t>GL07-XP_02-100120261055_2cfbfc64</t>
  </si>
  <si>
    <t>GL07-XP_02-100120261055_6d09ecd6</t>
  </si>
  <si>
    <t>GL07-XP_02-100120261055_0894150e</t>
  </si>
  <si>
    <t>GL07-XP_02-100120261110_465975cc</t>
  </si>
  <si>
    <t>GL07-XP_02-100120261110_8f8266a5</t>
  </si>
  <si>
    <t>GL07-XP_02-100120261110_84eac62e</t>
  </si>
  <si>
    <t>GL07-XP_02-100120261623_f4e92137</t>
  </si>
  <si>
    <t>GL07-XP_02-100120261623_b7f9fed2</t>
  </si>
  <si>
    <t>GL07-XP_02-100120261607_34a7b6f0</t>
  </si>
  <si>
    <t>GL07-XP_02-100120261607_e90232c4</t>
  </si>
  <si>
    <t>GL07-XP_02-100120261615_e1851fca</t>
  </si>
  <si>
    <t>GL07-XP_02-100120261615_c0995e83</t>
  </si>
  <si>
    <t>GL07-XP_02-100120261207_be85be04</t>
  </si>
  <si>
    <t>GL07-XP_02-100120261207_3d97475e</t>
  </si>
  <si>
    <t>GL07-XP_02-100120261150_94316f34</t>
  </si>
  <si>
    <t>GL07-XP_02-100120261150_bd4b8d66</t>
  </si>
  <si>
    <t>GL07-XP_02-100120261150_a4e8f69e</t>
  </si>
  <si>
    <t>GL07-XP_02-100120261150_9c9ad71c</t>
  </si>
  <si>
    <t>GL07-XP_02-100120261630_4d93e66d</t>
  </si>
  <si>
    <t>GL07-XP_02-100120261630_32d41f81</t>
  </si>
  <si>
    <t>GL07-XP_02-100120261630_ce2e4ca7</t>
  </si>
  <si>
    <t>GL07-XP_06-110120260901_dbd2e28f</t>
  </si>
  <si>
    <t>GL07-XP_06-110120260925_dffdd624</t>
  </si>
  <si>
    <t>GL07-XP_06-110120260925_e04b48d9</t>
  </si>
  <si>
    <t>GL07-XP_06-110120260925_af419b1c</t>
  </si>
  <si>
    <t>GL07-XP_06-110120260925_361ee9f9</t>
  </si>
  <si>
    <t>GL07-XP_06-110120260942_fcdd40e8</t>
  </si>
  <si>
    <t>GL07-XP_06-110120260942_c96ef01f</t>
  </si>
  <si>
    <t>GL07-XP_06-110120260942_15a43fe5</t>
  </si>
  <si>
    <t>cây muồng đen trồng chắn gió xung quanh vườn</t>
  </si>
  <si>
    <t>GL07-XP_06-110120260942_7bf849fc</t>
  </si>
  <si>
    <t>GL07-XP_06-110120260956_590c9560</t>
  </si>
  <si>
    <t>GL07-XP_06-110120261011_fe48d1e7</t>
  </si>
  <si>
    <t>GL07-XP_06-110120261011_8f8ea694</t>
  </si>
  <si>
    <t>GL07-XP_06-110120261028_5005790b</t>
  </si>
  <si>
    <t>GL07-XP_06-110120261028_a745481a</t>
  </si>
  <si>
    <t>GL07-XP_06-110120261028_a9cbd960</t>
  </si>
  <si>
    <t>GL07-XP_06-110120261046_cf9454cc</t>
  </si>
  <si>
    <t>GL07-XP_06-110120261046_6824a03c</t>
  </si>
  <si>
    <t>GL07-XP_06-110120261046_ecb28b28</t>
  </si>
  <si>
    <t>GL07-XP_06-110120261046_479953c9</t>
  </si>
  <si>
    <t>GL07-XP_06-110120261420_5c78f65f</t>
  </si>
  <si>
    <t>GL07-XP_06-110120261420_0994adf4</t>
  </si>
  <si>
    <t>GL07-XP_06-110120261353_9cadeb86</t>
  </si>
  <si>
    <t>GL07-XP_06-110120261353_7db8c5d5</t>
  </si>
  <si>
    <t>GL07-XP_06-110120261353_243bf33e</t>
  </si>
  <si>
    <t>GL07-XP_06-110120261353_ca22ee7e</t>
  </si>
  <si>
    <t>GL07-XP_06-110120261409_125d0e0b</t>
  </si>
  <si>
    <t>GL07-XP_06-110120261409_5c86144e</t>
  </si>
  <si>
    <t>GL07-XP_06-110120261409_d72c526a</t>
  </si>
  <si>
    <t>GL07-XP_06-110120261409_7bb4c81a</t>
  </si>
  <si>
    <t>GL07-XP_06-110120261430_0556069a</t>
  </si>
  <si>
    <t>GL07-XP_06-110120261430_f880dffd</t>
  </si>
  <si>
    <t>GL07-XP_06-110120261430_67fbc2e4</t>
  </si>
  <si>
    <t>GL07-XP_05-120120260851_786e2b7f</t>
  </si>
  <si>
    <t>GL07-XP_05-120120260907_6b32bcf0</t>
  </si>
  <si>
    <t>GL07-XP_05-120120260907_691a8164</t>
  </si>
  <si>
    <t>GL07-XP_05-120120260907_c01f5c73</t>
  </si>
  <si>
    <t>GL07-XP_05-120120260918_d8074375</t>
  </si>
  <si>
    <t>GL07-XP_05-120120260918_b46ef31a</t>
  </si>
  <si>
    <t>GL07-XP_05-120120260918_9632f5f8</t>
  </si>
  <si>
    <t>GL07-XP_05-120120260930_66cca047</t>
  </si>
  <si>
    <t>GL07-XP_05-120120261023_8b5c43b5</t>
  </si>
  <si>
    <t>GL07-XP_05-120120261123_501cbc42</t>
  </si>
  <si>
    <t>GL07-XP_05-120120261123_0ad2822c</t>
  </si>
  <si>
    <t>GL07-XP_05-120120261149_4b4a5030</t>
  </si>
  <si>
    <t>GL07-XP_05-120120261454_0e6c5362</t>
  </si>
  <si>
    <t>GL07-XP_05-120120261454_fce66564</t>
  </si>
  <si>
    <t>GL07-XP_05-120120261543_71e2802e</t>
  </si>
  <si>
    <t>GL07-XP_05-120120261543_3bd804d2</t>
  </si>
  <si>
    <t>GL07-XP_05-120120261543_4047484b</t>
  </si>
  <si>
    <t>GL07-XP_05-120120261645_8359b0b8</t>
  </si>
  <si>
    <t>GL07-XP_05-120120261645_893c077d</t>
  </si>
  <si>
    <t>GL07-XP_05-120120261707_b33bf72f</t>
  </si>
  <si>
    <t>GL07-XP_05-120120261707_3d361847</t>
  </si>
  <si>
    <t>GL07-XP_03-130120260919_5e322d9d</t>
  </si>
  <si>
    <t>GL07-XP_03-130120260934_c388efd0</t>
  </si>
  <si>
    <t>GL07-XP_03-130120260934_dd166fc0</t>
  </si>
  <si>
    <t>GL07-XP_03-130120261005_5f3b42d7</t>
  </si>
  <si>
    <t>GL07-XP_03-130120261005_b523b924</t>
  </si>
  <si>
    <t>GL07-XP_03-130120261059_99fcc395</t>
  </si>
  <si>
    <t>GL07-XP_03-130120261059_ee461a3b</t>
  </si>
  <si>
    <t>GL07-XP_03-130120261113_75faf123</t>
  </si>
  <si>
    <t>GL07-XP_03-130120261113_ac19e9dc</t>
  </si>
  <si>
    <t>GL07-XP_03-130120261031_4ea49298</t>
  </si>
  <si>
    <t>GL07-XP_03-130120261050_4e324ab5</t>
  </si>
  <si>
    <t>GL07-XP_02-100120261127_db5d8efc</t>
  </si>
  <si>
    <t xml:space="preserve">Certificate </t>
  </si>
  <si>
    <t>Loại canh tác/chứng chỉ khác</t>
  </si>
  <si>
    <t>Có thành viên nào trong gia đình biết về phương thức canh tác này không?</t>
  </si>
  <si>
    <t xml:space="preserve">Thành viên nào trong gia đình biết nhiều nhất về phương thức canh tác này? </t>
  </si>
  <si>
    <t xml:space="preserve">Bạn có thấy phương thức canh tác này tốt và hữu ích không? </t>
  </si>
  <si>
    <t xml:space="preserve">Phương thức canh tác này có được thực hiện trên đất của bạn không? </t>
  </si>
  <si>
    <t xml:space="preserve">Có được chứng nhận không? </t>
  </si>
  <si>
    <t xml:space="preserve">Ai là người thực hành phương thức canh tác này? </t>
  </si>
  <si>
    <t>GL01-XP_01-080120261449_11111</t>
  </si>
  <si>
    <t>Thực hiện theo 4c</t>
  </si>
  <si>
    <t>Đàn ông</t>
  </si>
  <si>
    <t>Có lợi</t>
  </si>
  <si>
    <t>Thực hành bền vững khác (ghi rõ)</t>
  </si>
  <si>
    <t>GL02-XP_01-080120260857_111211</t>
  </si>
  <si>
    <t>Bón phân vi sinh cải tạo đất</t>
  </si>
  <si>
    <t>Trồng xen canh</t>
  </si>
  <si>
    <t>GL02-XP_03-130120261550_1132342</t>
  </si>
  <si>
    <t>Tất cả người lao động</t>
  </si>
  <si>
    <t>GL06-XP_03-130120261122_345454</t>
  </si>
  <si>
    <t>Đàn ông, Phụ nữ, Nam thanh niên, Nữ thanh niên</t>
  </si>
  <si>
    <t>Hữu cơ, Organic</t>
  </si>
  <si>
    <t>GL06-XP_01-080120261322_0339571a</t>
  </si>
  <si>
    <t>Rất có lợi</t>
  </si>
  <si>
    <t>GL06-XP_01-080120261349_a156cb73</t>
  </si>
  <si>
    <t>Đàn ông, Phụ nữ</t>
  </si>
  <si>
    <t>GL06-XP_01-080120261413_2d14e297</t>
  </si>
  <si>
    <t>GL02-XP_03-130120261510_f18e2543</t>
  </si>
  <si>
    <t>GL02-XP_03-130120261445_3618d754</t>
  </si>
  <si>
    <t>GL02-XP_03-130120261419_c7d96d98</t>
  </si>
  <si>
    <t>GL06-XP_01-080120261728_c6557017</t>
  </si>
  <si>
    <t>Đàn ông, Phụ nữ, Nam thanh niên</t>
  </si>
  <si>
    <t>GL06-XP_07-090120260958_edc244fd</t>
  </si>
  <si>
    <t>GL02-XP_03-130120261401_0de01b00</t>
  </si>
  <si>
    <t>GL06-XP_07-090120261158_71b2c600</t>
  </si>
  <si>
    <t>GL02-XP_03-130120260915_f02d2abe</t>
  </si>
  <si>
    <t>GL06-XP_07-090120261220_aabf5f1b</t>
  </si>
  <si>
    <t>GL06-XP_07-090120261244_3dfe2b2f</t>
  </si>
  <si>
    <t>GL02-XP_05-120120261655_d7329351</t>
  </si>
  <si>
    <t>GL02-XP_05-120120261655_763ab2a7</t>
  </si>
  <si>
    <t>GL06-XP_01-090120261605_c5aecef7</t>
  </si>
  <si>
    <t>GL02-XP_05-120120261614_d36ca984</t>
  </si>
  <si>
    <t>GL02-XP_05-120120261614_e45f44ab</t>
  </si>
  <si>
    <t>GL02-XP_05-120120261011_2316fabb</t>
  </si>
  <si>
    <t>Phụ nữ</t>
  </si>
  <si>
    <t>GL06-XP_01-090120261731_af91e1cc</t>
  </si>
  <si>
    <t>GL06-XP_01-090120261735_0897f19d</t>
  </si>
  <si>
    <t>GL01-XP_01-080120261720_bc6975ef</t>
  </si>
  <si>
    <t>Trồng cây che bóng</t>
  </si>
  <si>
    <t>GL01-XP_01-080120260958_67a768f6</t>
  </si>
  <si>
    <t>Đàn ông, Nam thanh niên</t>
  </si>
  <si>
    <t>GL01-XP_06-110120261010_23427774</t>
  </si>
  <si>
    <t>GL01-XP_06-110120261054_6efb6c65</t>
  </si>
  <si>
    <t>GL01-XP_06-110120261353_5f63caec</t>
  </si>
  <si>
    <t>Ít có lợi</t>
  </si>
  <si>
    <t>GL01-XP_06-110120261410_187de39e</t>
  </si>
  <si>
    <t>Đàn ông, Nam thanh niên, Nữ thanh niên</t>
  </si>
  <si>
    <t>GL04-XP_01-080120261636_046b6820</t>
  </si>
  <si>
    <t>GL01-XP_06-110120261430_c5aecd48</t>
  </si>
  <si>
    <t>GL01-XP_02-100120261023_d9721a64</t>
  </si>
  <si>
    <t>GL06-XP_02-100120261000_50b2bacb</t>
  </si>
  <si>
    <t>GL01-XP_02-100120261048_74d34ed9</t>
  </si>
  <si>
    <t>GL01-XP_02-100120261101_3ce08170</t>
  </si>
  <si>
    <t>GL01-XP_02-100120261124_cc6ba453</t>
  </si>
  <si>
    <t>GL01-XP_02-100120261426_a665a431</t>
  </si>
  <si>
    <t>GL01-XP_02-100120261453_89c40b59</t>
  </si>
  <si>
    <t>GL06-XP_02-100120261015_a410cbec</t>
  </si>
  <si>
    <t>GL04-XP_01-080120261501_c33a1d8b</t>
  </si>
  <si>
    <t>GL06-XP_02-100120261027_f5bcb67e</t>
  </si>
  <si>
    <t>GL04-XP_01-080120260935_fcacf7ee</t>
  </si>
  <si>
    <t>GL06-XP_02-100120261048_672bd586</t>
  </si>
  <si>
    <t>GL04-XP_01-080120261435_183a0dfa</t>
  </si>
  <si>
    <t>GL01-XP_05-120120260850_496b3ad1</t>
  </si>
  <si>
    <t>GL06-XP_02-100120261102_ed2c5f2f</t>
  </si>
  <si>
    <t>Đàn ông, Phụ nữ, Nữ thanh niên</t>
  </si>
  <si>
    <t>GL04-XP_01-080120261412_c25799e6</t>
  </si>
  <si>
    <t>GL06-XP_02-100120261114_a863e553</t>
  </si>
  <si>
    <t>GL06-XP_02-100120261150_531557c4</t>
  </si>
  <si>
    <t>GL04-XP_01-080120260917_b3bcd16f</t>
  </si>
  <si>
    <t>GL01-XP_05-120120261019_ab225887</t>
  </si>
  <si>
    <t>GL06-XP_02-100120261336_1be0de9f</t>
  </si>
  <si>
    <t>GL06-XP_02-100120261356_71051ff7</t>
  </si>
  <si>
    <t>GL01-XP_05-120120261529_25058133</t>
  </si>
  <si>
    <t>GL06-XP_02-100120261412_dd9e0cb3</t>
  </si>
  <si>
    <t>GL06-XP_02-100120261425_fe11575d</t>
  </si>
  <si>
    <t>GL06-XP_02-100120261503_52957616</t>
  </si>
  <si>
    <t>GL06-XP_02-100120261627_72d90551</t>
  </si>
  <si>
    <t>GL06-XP_02-100120261639_db3f358c</t>
  </si>
  <si>
    <t>GL06-XP_02-100120261650_64848d97</t>
  </si>
  <si>
    <t>GL06-XP_06-110120260901_742c6c3f</t>
  </si>
  <si>
    <t>GL06-XP_06-110120260905_faf23d7c</t>
  </si>
  <si>
    <t>GL06-XP_06-110120260911_869a25ea</t>
  </si>
  <si>
    <t>GL06-XP_06-110120260931_46612742</t>
  </si>
  <si>
    <t>GL06-XP_06-110120260937_dcf255ef</t>
  </si>
  <si>
    <t>GL06-XP_06-110120260943_64ecf8a1</t>
  </si>
  <si>
    <t>GL06-XP_06-110120260955_e3a4fb2d</t>
  </si>
  <si>
    <t>GL06-XP_06-110120261006_1c9097d0</t>
  </si>
  <si>
    <t>GL06-XP_06-110120261026_09b2f939</t>
  </si>
  <si>
    <t>GL06-XP_06-110120261339_9b100dfb</t>
  </si>
  <si>
    <t>GL06-XP_06-110120261356_b631b22d</t>
  </si>
  <si>
    <t>GL06-XP_06-110120261406_703d3d72</t>
  </si>
  <si>
    <t>GL06-XP_06-110120261421_de3a82a4</t>
  </si>
  <si>
    <t>GL06-XP_05-120120260839_74c981b0</t>
  </si>
  <si>
    <t>GL06-XP_05-120120260909_a0a7492b</t>
  </si>
  <si>
    <t>GL01-XP_05-120120261611_49cbedb5</t>
  </si>
  <si>
    <t>GL06-XP_05-120120260939_4ea65ac6</t>
  </si>
  <si>
    <t>GL06-XP_05-120120261006_7ca5a173</t>
  </si>
  <si>
    <t>GL01-XP_05-120120261704_f2567c09</t>
  </si>
  <si>
    <t>GL06-XP_05-120120261014_e0ed3a34</t>
  </si>
  <si>
    <t>GL06-XP_05-120120261039_7b07dff1</t>
  </si>
  <si>
    <t>GL06-XP_05-120120261617_5d891644</t>
  </si>
  <si>
    <t>GL06-XP_05-120120261646_74d8627a</t>
  </si>
  <si>
    <t>GL01-XP_05-120120261731_3e50bb8f</t>
  </si>
  <si>
    <t>GL06-XP_03-130120261345_5c3b7698</t>
  </si>
  <si>
    <t>GL02-XP_05-120120260913_fc9be276</t>
  </si>
  <si>
    <t>GL02-XP_05-120120260913_98b209d2</t>
  </si>
  <si>
    <t>GL04-XP_08-090120260907_ddbd20be</t>
  </si>
  <si>
    <t>GL02-XP_05-120120260848_96127b2f</t>
  </si>
  <si>
    <t>GL02-XP_06-110120261440_3398b7de</t>
  </si>
  <si>
    <t>GL04-XP_08-090120261045_97b3bf25</t>
  </si>
  <si>
    <t>Không phun thuốc diệt cỏ</t>
  </si>
  <si>
    <t>GL02-XP_06-110120260911_2ea5f063</t>
  </si>
  <si>
    <t>GL02-XP_06-110120260929_675fb53b</t>
  </si>
  <si>
    <t>GL02-XP_06-110120260959_e4b16f9c</t>
  </si>
  <si>
    <t>GL02-XP_06-110120261015_75785b57</t>
  </si>
  <si>
    <t>GL02-XP_06-110120261350_beffecbf</t>
  </si>
  <si>
    <t>GL04-XP_02-100120261431_0308eda6</t>
  </si>
  <si>
    <t>GL02-XP_06-110120261418_80fe4a60</t>
  </si>
  <si>
    <t>GL02-XP_06-110120261428_f4fed76a</t>
  </si>
  <si>
    <t>GL04-XP_02-100120261226_f4a00c7b</t>
  </si>
  <si>
    <t>GL04-XP_02-100120260901_bff7d921</t>
  </si>
  <si>
    <t>GL04-XP_06-110120261439_8bed2726</t>
  </si>
  <si>
    <t>GL04-XP_06-110120261424_82c82172</t>
  </si>
  <si>
    <t>GL04-XP_06-110120261412_0d923242</t>
  </si>
  <si>
    <t>GL02-XP_01-080120261031_76d4e7c7</t>
  </si>
  <si>
    <t>GL04-XP_06-110120261359_5918a2d0</t>
  </si>
  <si>
    <t>GL04-XP_06-110120261346_b8c3f3f0</t>
  </si>
  <si>
    <t>GL04-XP_06-110120260946_70a56ebe</t>
  </si>
  <si>
    <t>GL04-XP_06-110120261002_464ebe32</t>
  </si>
  <si>
    <t>GL04-XP_06-110120260927_3ccd50bc</t>
  </si>
  <si>
    <t>GL05-XP_06-110120260937_e498790d</t>
  </si>
  <si>
    <t>GL05-XP_06-110120260914_80da6218</t>
  </si>
  <si>
    <t>GL04-XP_06-110120260909_4f25b960</t>
  </si>
  <si>
    <t>GL05-XP_06-110120261023_a5c97b42</t>
  </si>
  <si>
    <t>GL04-XP_03-140120261118_1e9d8b1b</t>
  </si>
  <si>
    <t>GL05-XP_06-110120261114_8a48d170</t>
  </si>
  <si>
    <t>GL05-XP_06-110120261354_ed174281</t>
  </si>
  <si>
    <t>GL05-XP_06-110120261419_6d4268ec</t>
  </si>
  <si>
    <t>GL05-XP_06-110120261435_fa4bc561</t>
  </si>
  <si>
    <t>GL02-XP_01-080120261446_9a8e2bea</t>
  </si>
  <si>
    <t>GL02-XP_01-080120261531_cae6069c</t>
  </si>
  <si>
    <t>GL05-XP_05-120120260856_1bcb5f47</t>
  </si>
  <si>
    <t>GL02-XP_07-090120260814_95fd9a2b</t>
  </si>
  <si>
    <t>GL05-XP_05-120120260926_a195ec51</t>
  </si>
  <si>
    <t>GL05-XP_05-120120260951_1aab8094</t>
  </si>
  <si>
    <t>GL05-XP_05-120120261023_080348c0</t>
  </si>
  <si>
    <t>GL02-XP_07-090120260920_df86ac1e</t>
  </si>
  <si>
    <t>GL05-XP_05-120120261048_3dde6237</t>
  </si>
  <si>
    <t>GL05-XP_05-120120261523_1f66373c</t>
  </si>
  <si>
    <t>GL05-XP_05-120120261610_62684b59</t>
  </si>
  <si>
    <t>GL05-XP_05-120120261646_738b065c</t>
  </si>
  <si>
    <t>GAP</t>
  </si>
  <si>
    <t>GL05-XP_03-130120260931_07143d79</t>
  </si>
  <si>
    <t>GL02-XP_01-090120261611_fd20e169</t>
  </si>
  <si>
    <t>GL02-XP_01-090120261621_3aab39cb</t>
  </si>
  <si>
    <t>GL02-XP_01-090120261636_ad23e1ca</t>
  </si>
  <si>
    <t>GL02-XP_02-100120261000_6225a840</t>
  </si>
  <si>
    <t>GL02-XP_02-100120261035_abb3547d</t>
  </si>
  <si>
    <t>GL04-XP_05-120120261515_743aac67</t>
  </si>
  <si>
    <t>GL02-XP_02-100120261056_4d9e2e27</t>
  </si>
  <si>
    <t>GL04-XP_05-120120261147_5e7f24ca</t>
  </si>
  <si>
    <t>GL04-XP_05-120120261131_6fb4eec9</t>
  </si>
  <si>
    <t>GL04-XP_05-120120261106_a1b14b46</t>
  </si>
  <si>
    <t>GL02-XP_02-100120261137_04031ebe</t>
  </si>
  <si>
    <t>GL04-XP_05-120120261012_cf0a990b</t>
  </si>
  <si>
    <t>GL02-XP_02-100120261154_3a502895</t>
  </si>
  <si>
    <t>GL04-XP_05-120120260952_d4eae4c2</t>
  </si>
  <si>
    <t>GL04-XP_05-120120260910_161477a4</t>
  </si>
  <si>
    <t>GL02-XP_02-100120261340_b805259c</t>
  </si>
  <si>
    <t>GL04-XP_05-120120260900_239a9de3</t>
  </si>
  <si>
    <t>GL04-XP_05-120120260924_84be8216</t>
  </si>
  <si>
    <t>GL02-XP_02-100120261357_01b1c9ac</t>
  </si>
  <si>
    <t>GL07-XP_02-100120261046_ad30ba2a</t>
  </si>
  <si>
    <t>GL07-XP_02-100120261055_ef090e5b</t>
  </si>
  <si>
    <t>GL07-XP_02-100120261623_15fe9d71</t>
  </si>
  <si>
    <t>sản xuất theo tiêu chuẩn 4C, công ty Vĩnh Hiêp Gia lai</t>
  </si>
  <si>
    <t>GL07-XP_02-100120261607_dd75fbaf</t>
  </si>
  <si>
    <t>GL07-XP_06-110120260956_8dd67765</t>
  </si>
  <si>
    <t>sản xuất theo tieuu chuẩn 4c</t>
  </si>
  <si>
    <t>Nam thanh niên, Phụ nữ</t>
  </si>
  <si>
    <t>GL07-XP_05-120120261454_475642c1</t>
  </si>
  <si>
    <t>GL07-XP_03-130120260919_4216fb3f</t>
  </si>
  <si>
    <t>trồng cà phê đa thâm thả ngọn</t>
  </si>
  <si>
    <t>GL07-XP_03-130120260934_b8d70f24</t>
  </si>
  <si>
    <t>GL07-XP_03-130120261005_4caeb204</t>
  </si>
  <si>
    <t>GL07-XP_03-130120261059_4bd73d71</t>
  </si>
  <si>
    <t>GL07-XP_03-130120261113_b847bd1b</t>
  </si>
  <si>
    <t>GL07-XP_01-080120260850_02e38c21</t>
  </si>
  <si>
    <t>GL07-XP_01-080120261752_02fcb0a4</t>
  </si>
  <si>
    <t>GL07-XP_01-080120261654_2376a0c8</t>
  </si>
  <si>
    <t>GL06-XP_01-080120260927_66b2bdf2</t>
  </si>
  <si>
    <t>GL06-XP_01-080120261114_e4220545</t>
  </si>
  <si>
    <t>GL07-XP_01-080120261637_6cf87e85</t>
  </si>
  <si>
    <t>GL07-XP_08-090120260852_c4fdf490</t>
  </si>
  <si>
    <t>GL07-XP_08-090120260910_7b1df7a6</t>
  </si>
  <si>
    <t>GL07-XP_08-090120260925_bdce93bf</t>
  </si>
  <si>
    <t>GL07-XP_08-090120261007_a75371e8</t>
  </si>
  <si>
    <t>GL07-XP_08-090120261051_7bf1661f</t>
  </si>
  <si>
    <t>GL07-XP_08-090120261108_d1f2c661</t>
  </si>
  <si>
    <t>GL07-XP_08-090120261200_d953fe1e</t>
  </si>
  <si>
    <t>GL07-XP_06-110120261028_07f961df</t>
  </si>
  <si>
    <t>GL07-XP_03-130120261050_5d6802df</t>
  </si>
  <si>
    <t>GL07-XP_02-100120261001_20605ade</t>
  </si>
  <si>
    <t>GL07-XP_02-100120261005_b33759fa</t>
  </si>
  <si>
    <t>GL07-XP_02-100120261014_4d22693e</t>
  </si>
  <si>
    <t>GL07-XP_02-100120261026_513ee185</t>
  </si>
  <si>
    <t>GL07-XP_02-100120261110_fef28c48</t>
  </si>
  <si>
    <t>GL07-XP_02-100120261127_a48b16e7</t>
  </si>
  <si>
    <t>GL07-XP_02-100120261150_a37831e1</t>
  </si>
  <si>
    <t>GL07-XP_02-100120261207_16a15bdc</t>
  </si>
  <si>
    <t>Đàn ông, Nữ thanh niên</t>
  </si>
  <si>
    <t>GL07-XP_02-100120261615_96f1d0fe</t>
  </si>
  <si>
    <t>GL07-XP_02-100120261630_06bf5c14</t>
  </si>
  <si>
    <t>GL07-XP_06-110120260901_7d064738</t>
  </si>
  <si>
    <t>sản suất cà phê theo tiêu chuẩn 4c</t>
  </si>
  <si>
    <t>GL07-XP_06-110120260925_43375297</t>
  </si>
  <si>
    <t>GL07-XP_06-110120260942_1dd88ce3</t>
  </si>
  <si>
    <t>GL07-XP_06-110120261011_42f34bd6</t>
  </si>
  <si>
    <t>sản xuất cà phê theo tiêu chuẩn 4c</t>
  </si>
  <si>
    <t>GL07-XP_06-110120261046_68c6c016</t>
  </si>
  <si>
    <t>GL07-XP_06-110120261353_2de1ba37</t>
  </si>
  <si>
    <t>GL07-XP_06-110120261409_9f919e3d</t>
  </si>
  <si>
    <t>GL07-XP_06-110120261420_ede1943d</t>
  </si>
  <si>
    <t>GL07-XP_06-110120261430_f05162ff</t>
  </si>
  <si>
    <t>GL07-XP_05-120120260851_5cd9b6a9</t>
  </si>
  <si>
    <t>GL07-XP_05-120120260907_b92a0e3c</t>
  </si>
  <si>
    <t>GL07-XP_05-120120260918_e9af3e9b</t>
  </si>
  <si>
    <t>GL07-XP_05-120120260930_811551f6</t>
  </si>
  <si>
    <t>GL07-XP_05-120120261023_9c583e32</t>
  </si>
  <si>
    <t>GL07-XP_05-120120261123_826544d2</t>
  </si>
  <si>
    <t>GL07-XP_05-120120261149_191736bd</t>
  </si>
  <si>
    <t>GL07-XP_05-120120261543_9ff0f735</t>
  </si>
  <si>
    <t>GL07-XP_05-120120261645_d8f8baa0</t>
  </si>
  <si>
    <t>GL07-XP_05-120120261707_ad0d0dc3</t>
  </si>
  <si>
    <t>GL07-XP_03-130120261031_a08442f5</t>
  </si>
  <si>
    <t>GL07-XP_01-080120261854_cb169d1a</t>
  </si>
  <si>
    <t>GL07-XP_01-080120261827_22ec441c</t>
  </si>
  <si>
    <t>GL07-XP_01-080120261418_8f1e2719</t>
  </si>
  <si>
    <t>GL07-XP_01-080120260913_f4acfdaf</t>
  </si>
  <si>
    <t>GL07-XP_01-080120261021_e96e5f2d</t>
  </si>
  <si>
    <t>GL07-XP_01-080120260941_8d00d2b0</t>
  </si>
  <si>
    <t>Farmer_ID</t>
  </si>
  <si>
    <t>Interview_Date</t>
  </si>
  <si>
    <t>Location</t>
  </si>
  <si>
    <t>Staff_ID</t>
  </si>
  <si>
    <t>Commune</t>
  </si>
  <si>
    <t>Village</t>
  </si>
  <si>
    <t>Respondent_Name</t>
  </si>
  <si>
    <t>Phone_Number</t>
  </si>
  <si>
    <t>Owner_Name</t>
  </si>
  <si>
    <t>Economic_Class</t>
  </si>
  <si>
    <t>Gender</t>
  </si>
  <si>
    <t>Year of birth</t>
  </si>
  <si>
    <t>Ethlic</t>
  </si>
  <si>
    <t>Relatives</t>
  </si>
  <si>
    <t>Study level</t>
  </si>
  <si>
    <t>Coop_Member_YN</t>
  </si>
  <si>
    <t>Coffee_Years_Exp</t>
  </si>
  <si>
    <t>Switch_Out_Coffee</t>
  </si>
  <si>
    <t>Switch_In_Coffee</t>
  </si>
  <si>
    <t>Income_Activity</t>
  </si>
  <si>
    <t>Total_Net_Income</t>
  </si>
  <si>
    <t>Agri_Income_Pct</t>
  </si>
  <si>
    <t>Agri_Net_Income</t>
  </si>
  <si>
    <t>Crop_Income</t>
  </si>
  <si>
    <t>Income_from_coffee</t>
  </si>
  <si>
    <t>Invest_for_coffee</t>
  </si>
  <si>
    <t>Trồng lúa</t>
  </si>
  <si>
    <t>Cây ăn trái</t>
  </si>
  <si>
    <t>Income_other_tree</t>
  </si>
  <si>
    <t>Name_Income_other_tree</t>
  </si>
  <si>
    <t>Aqua_Income</t>
  </si>
  <si>
    <t>Livestock_Income</t>
  </si>
  <si>
    <t>Salaried_Income</t>
  </si>
  <si>
    <t>Seasonal_Income</t>
  </si>
  <si>
    <t>Business_Income</t>
  </si>
  <si>
    <t>Other_Income</t>
  </si>
  <si>
    <t>Total_Coffee_Area</t>
  </si>
  <si>
    <t>Plot_Quantity</t>
  </si>
  <si>
    <t>Total_Coffee_volume</t>
  </si>
  <si>
    <t>Know_police_land_use_right</t>
  </si>
  <si>
    <t>Law_destroy_forest</t>
  </si>
  <si>
    <t>Conflict_land_use_right</t>
  </si>
  <si>
    <t>Loan_Source</t>
  </si>
  <si>
    <t>Other_Source</t>
  </si>
  <si>
    <t>Loan_Rating</t>
  </si>
  <si>
    <t>Support_Prog_Aware</t>
  </si>
  <si>
    <t>Fin_Guide_YN</t>
  </si>
  <si>
    <t>Approach_Loan_Source_Agri</t>
  </si>
  <si>
    <t>Loan_Usage</t>
  </si>
  <si>
    <t>Loan_Owner_Role</t>
  </si>
  <si>
    <t>Repayment_Status</t>
  </si>
  <si>
    <t>Repayment_Diff</t>
  </si>
  <si>
    <t>Labor_Type</t>
  </si>
  <si>
    <t>Hired_Labor_Age</t>
  </si>
  <si>
    <t>Daily_Work_Hours</t>
  </si>
  <si>
    <t>Child_Participation</t>
  </si>
  <si>
    <t>Reason_Child_Yes</t>
  </si>
  <si>
    <t>Reason_Child_No</t>
  </si>
  <si>
    <t>Other_no_child_labour</t>
  </si>
  <si>
    <t>Child_Labor_Def_YN</t>
  </si>
  <si>
    <t>Child_Labor_Drivers</t>
  </si>
  <si>
    <t>Other_drivers</t>
  </si>
  <si>
    <t>Child_Labor_Impact</t>
  </si>
  <si>
    <t>Other_impacts</t>
  </si>
  <si>
    <t>Women_Limitations</t>
  </si>
  <si>
    <t>Limitations_Detail</t>
  </si>
  <si>
    <t>Get_support_supplier_agri</t>
  </si>
  <si>
    <t>Which_supplier_agri</t>
  </si>
  <si>
    <t>Total_Production_2025</t>
  </si>
  <si>
    <t>Weight (ton)</t>
  </si>
  <si>
    <t>Amount (VND)</t>
  </si>
  <si>
    <t>Coffee_Utilization_Pct</t>
  </si>
  <si>
    <t>Self-consumption</t>
  </si>
  <si>
    <t>Use as seeds/seeds</t>
  </si>
  <si>
    <t>Direct sale to end users</t>
  </si>
  <si>
    <t>Sale to traders/collectors</t>
  </si>
  <si>
    <t>Sale to cooperatives</t>
  </si>
  <si>
    <t>Sale to businesses</t>
  </si>
  <si>
    <t>Trade_Method_Pct</t>
  </si>
  <si>
    <t>No contract</t>
  </si>
  <si>
    <t>Oral contract</t>
  </si>
  <si>
    <t>Written contract</t>
  </si>
  <si>
    <t>Price_Drivers</t>
  </si>
  <si>
    <t>Other_Price_Drivers</t>
  </si>
  <si>
    <t>Price_Pressure_YN</t>
  </si>
  <si>
    <t>Selling_Way</t>
  </si>
  <si>
    <t>Other_Selling_Way</t>
  </si>
  <si>
    <t>Payment_Term</t>
  </si>
  <si>
    <t>Partner_Support</t>
  </si>
  <si>
    <t>Rec_Tech_Training</t>
  </si>
  <si>
    <t>Rec_Edu_Program</t>
  </si>
  <si>
    <t>Rec_Input_Discount</t>
  </si>
  <si>
    <t>Rec_Legal_Support</t>
  </si>
  <si>
    <t>Rec_Fixed_Contract</t>
  </si>
  <si>
    <t>Rec_Buyer_Credit</t>
  </si>
  <si>
    <t>Rec_Price_Guarantee</t>
  </si>
  <si>
    <t>Rec_Cert_Premium</t>
  </si>
  <si>
    <t>Rec_GPS_Data</t>
  </si>
  <si>
    <t>Rec_Sustainable_Agri</t>
  </si>
  <si>
    <t>Rec_Social_Aspect</t>
  </si>
  <si>
    <t>Trace_Aware_YN</t>
  </si>
  <si>
    <t>Buyer_Requirements</t>
  </si>
  <si>
    <t>Farm_location</t>
  </si>
  <si>
    <t>Farming information</t>
  </si>
  <si>
    <t>Trace_Applied_YN</t>
  </si>
  <si>
    <t>Trace_System_Desc</t>
  </si>
  <si>
    <t>Desc_Trace</t>
  </si>
  <si>
    <t>Trace_Benefits</t>
  </si>
  <si>
    <t>Benefit_Quality</t>
  </si>
  <si>
    <t>Benefit_Transp</t>
  </si>
  <si>
    <t>Benefit_Compl</t>
  </si>
  <si>
    <t>Benefit_Trust</t>
  </si>
  <si>
    <t>Benefit_Market</t>
  </si>
  <si>
    <t>Benefit_Fraud</t>
  </si>
  <si>
    <t>Benefit_Crisis</t>
  </si>
  <si>
    <t>Benefit_Recog</t>
  </si>
  <si>
    <t>Benefit_Consum</t>
  </si>
  <si>
    <t>Benefit_None</t>
  </si>
  <si>
    <t>Benefit_Other</t>
  </si>
  <si>
    <t>Benefit_Other_Note</t>
  </si>
  <si>
    <t>Trace_Ease_Score</t>
  </si>
  <si>
    <t>Trace_Barriers</t>
  </si>
  <si>
    <t>Level_practive_Agri</t>
  </si>
  <si>
    <t>Agri_Training_YN</t>
  </si>
  <si>
    <t>EUDR_Aware_YN</t>
  </si>
  <si>
    <t>EUDR_Source</t>
  </si>
  <si>
    <t>Best_Info_Channel</t>
  </si>
  <si>
    <t>Other_Channel</t>
  </si>
  <si>
    <t>Best_Info_Format</t>
  </si>
  <si>
    <t>Other_format</t>
  </si>
  <si>
    <t>Trained_aproarch_agri</t>
  </si>
  <si>
    <t>Risk_Doc_Access</t>
  </si>
  <si>
    <t>Doc_EUDR</t>
  </si>
  <si>
    <t>Doc_EUDR_Evaluation</t>
  </si>
  <si>
    <t>Doc_Traceability</t>
  </si>
  <si>
    <t>Doc_Traceability_Evaluation</t>
  </si>
  <si>
    <t>Doc_Sustainability</t>
  </si>
  <si>
    <t>Doc_Sustainability_Evaluation</t>
  </si>
  <si>
    <t>Doc_Other</t>
  </si>
  <si>
    <t>Doc_Other_Specify</t>
  </si>
  <si>
    <t>Doc_Other_Evaluation</t>
  </si>
  <si>
    <t>Loan_need_EUDR</t>
  </si>
  <si>
    <t>Approach_training_material_EUDR</t>
  </si>
  <si>
    <t>Evaluation_training_material_EUDR</t>
  </si>
  <si>
    <t>Deforestation_History</t>
  </si>
  <si>
    <t>Clearing_Area_Ha</t>
  </si>
  <si>
    <t>Agroforest_Interest</t>
  </si>
  <si>
    <t>Forest_Train_YN</t>
  </si>
  <si>
    <t>Who trained</t>
  </si>
  <si>
    <t>Other_Who trained</t>
  </si>
  <si>
    <t>Deforestation_Causes</t>
  </si>
  <si>
    <t>Other_Deforestation_Causes</t>
  </si>
  <si>
    <t>EUDR_Max_Difficulty</t>
  </si>
  <si>
    <t>SAFE_Support_Wish</t>
  </si>
  <si>
    <t>Land_Legal</t>
  </si>
  <si>
    <t>Traceability_need</t>
  </si>
  <si>
    <t>Farm_Tech</t>
  </si>
  <si>
    <t>Biz_Connect</t>
  </si>
  <si>
    <t>Other_SAFE_Support_Wish</t>
  </si>
  <si>
    <t>Other_SAFE_Support_Wish_notes</t>
  </si>
  <si>
    <t>GL04</t>
  </si>
  <si>
    <t>XP_01</t>
  </si>
  <si>
    <t>0342534458</t>
  </si>
  <si>
    <t>KT_03</t>
  </si>
  <si>
    <t>GT_01</t>
  </si>
  <si>
    <t>DA_02</t>
  </si>
  <si>
    <t>QH_01</t>
  </si>
  <si>
    <t>HV_03</t>
  </si>
  <si>
    <t>TL_01</t>
  </si>
  <si>
    <t>TL_02</t>
  </si>
  <si>
    <t>CAP_03</t>
  </si>
  <si>
    <t>NV_03</t>
  </si>
  <si>
    <t>DK_03</t>
  </si>
  <si>
    <t>NK_02</t>
  </si>
  <si>
    <t>MD_01</t>
  </si>
  <si>
    <t>DV_01</t>
  </si>
  <si>
    <t>RT_03</t>
  </si>
  <si>
    <t>KK_05</t>
  </si>
  <si>
    <t>LD_03</t>
  </si>
  <si>
    <t>TU_03</t>
  </si>
  <si>
    <t>TG_03</t>
  </si>
  <si>
    <t>TL3_2</t>
  </si>
  <si>
    <t>L0_01</t>
  </si>
  <si>
    <t>YT_01 , YT_05</t>
  </si>
  <si>
    <t>TD_01 , TD_03</t>
  </si>
  <si>
    <t>TL-03</t>
  </si>
  <si>
    <t>PT_02</t>
  </si>
  <si>
    <t>CB_03</t>
  </si>
  <si>
    <t>TT_01</t>
  </si>
  <si>
    <t>TL2-2 , TL2-4</t>
  </si>
  <si>
    <t>TL2-4</t>
  </si>
  <si>
    <t>TL-01</t>
  </si>
  <si>
    <t>TX_01</t>
  </si>
  <si>
    <t>CK_02</t>
  </si>
  <si>
    <t>CAP_04</t>
  </si>
  <si>
    <t>NT_01 , NT_02 , NT_03 , NT_04</t>
  </si>
  <si>
    <t>NT_01</t>
  </si>
  <si>
    <t>DG_04</t>
  </si>
  <si>
    <t>VA_02</t>
  </si>
  <si>
    <t>TL-02</t>
  </si>
  <si>
    <t>DT_01 , DT_03 , DT_04 , DT_05 , DT_06</t>
  </si>
  <si>
    <t>PR_01 , PR_02 , PR_03</t>
  </si>
  <si>
    <t>NE_03</t>
  </si>
  <si>
    <t>01/17/2026 16:52:25</t>
  </si>
  <si>
    <t>0398627939</t>
  </si>
  <si>
    <t>GT_02</t>
  </si>
  <si>
    <t>DA_03</t>
  </si>
  <si>
    <t>QH_02</t>
  </si>
  <si>
    <t>HV_04</t>
  </si>
  <si>
    <t>L0_01 , L0_02</t>
  </si>
  <si>
    <t>TD_01 , TD_02 , TD_03</t>
  </si>
  <si>
    <t>PT_02 , PT_03</t>
  </si>
  <si>
    <t>PB_01</t>
  </si>
  <si>
    <t>DT_01 , DT_03 , DT_04 , DT_06</t>
  </si>
  <si>
    <t>PR_01 , PR_03 , PR_04 , PR_05</t>
  </si>
  <si>
    <t>NE_02</t>
  </si>
  <si>
    <t>01/17/2026 15:54:29</t>
  </si>
  <si>
    <t>0359223045</t>
  </si>
  <si>
    <t>QH_03</t>
  </si>
  <si>
    <t>CAP_02</t>
  </si>
  <si>
    <t>NV_05</t>
  </si>
  <si>
    <t>LD_01</t>
  </si>
  <si>
    <t>YT_01</t>
  </si>
  <si>
    <t>TD_01 , TD_02 , TD_03 , TD_04</t>
  </si>
  <si>
    <t>DT_01 , DT_04 , DT_05 , DT_06</t>
  </si>
  <si>
    <t>01/17/2026 16:37:31</t>
  </si>
  <si>
    <t>0327797875</t>
  </si>
  <si>
    <t>NV_03 , NV_05</t>
  </si>
  <si>
    <t>TD_02</t>
  </si>
  <si>
    <t>CB_03 , CB_04</t>
  </si>
  <si>
    <t>DG_03</t>
  </si>
  <si>
    <t>PR_01 , PR_02 , PR_03 , PR_04 , PR_05</t>
  </si>
  <si>
    <t>01/17/2026 16:12:49</t>
  </si>
  <si>
    <t>0399556499</t>
  </si>
  <si>
    <t>NK_01</t>
  </si>
  <si>
    <t>TD_03</t>
  </si>
  <si>
    <t>NT_02</t>
  </si>
  <si>
    <t>DT_01 , DT_03 , DT_04</t>
  </si>
  <si>
    <t>01/17/2026 15:42:29</t>
  </si>
  <si>
    <t>0388644753</t>
  </si>
  <si>
    <t>DK_02</t>
  </si>
  <si>
    <t>YT_05</t>
  </si>
  <si>
    <t>PT_01 , PT_02 , PT_03</t>
  </si>
  <si>
    <t>CAP_01</t>
  </si>
  <si>
    <t>VA_03</t>
  </si>
  <si>
    <t>01/17/2026 15:30:17</t>
  </si>
  <si>
    <t>0703426294</t>
  </si>
  <si>
    <t>CK_03</t>
  </si>
  <si>
    <t>01/17/2026 15:16:56</t>
  </si>
  <si>
    <t>0782500712</t>
  </si>
  <si>
    <t>KT_02</t>
  </si>
  <si>
    <t>HV_02</t>
  </si>
  <si>
    <t>NV_07</t>
  </si>
  <si>
    <t>TL2-2</t>
  </si>
  <si>
    <t>DT_01 , DT_04</t>
  </si>
  <si>
    <t>PR_01 , PR_04 , PR_05</t>
  </si>
  <si>
    <t>01/17/2026 14:49:16</t>
  </si>
  <si>
    <t>0769458660</t>
  </si>
  <si>
    <t>DV_02</t>
  </si>
  <si>
    <t>RT_02</t>
  </si>
  <si>
    <t>CB_02 , CB_03</t>
  </si>
  <si>
    <t>PR_04 , PR_05</t>
  </si>
  <si>
    <t>01/17/2026 14:33:24</t>
  </si>
  <si>
    <t>0378964387</t>
  </si>
  <si>
    <t>YT_06</t>
  </si>
  <si>
    <t>TD_08</t>
  </si>
  <si>
    <t>NT_05</t>
  </si>
  <si>
    <t>PB_04</t>
  </si>
  <si>
    <t>DT_01</t>
  </si>
  <si>
    <t>PR_06</t>
  </si>
  <si>
    <t>01/16/2026 08:56:11</t>
  </si>
  <si>
    <t>GL06</t>
  </si>
  <si>
    <t>0327357165</t>
  </si>
  <si>
    <t>NK_03</t>
  </si>
  <si>
    <t>RT_01</t>
  </si>
  <si>
    <t>TL2-1</t>
  </si>
  <si>
    <t>TL2-1 , TL2-4</t>
  </si>
  <si>
    <t>TL2-3</t>
  </si>
  <si>
    <t>CK_04</t>
  </si>
  <si>
    <t>PR_04</t>
  </si>
  <si>
    <t>01/24/2026 11:00:24</t>
  </si>
  <si>
    <t>0388749339</t>
  </si>
  <si>
    <t>L0_02</t>
  </si>
  <si>
    <t>CB_01</t>
  </si>
  <si>
    <t>PR_03</t>
  </si>
  <si>
    <t>01/24/2026 11:03:10</t>
  </si>
  <si>
    <t>DT_04</t>
  </si>
  <si>
    <t>01/24/2026 11:07:55</t>
  </si>
  <si>
    <t>0967771625</t>
  </si>
  <si>
    <t>YT_02 , YT_05</t>
  </si>
  <si>
    <t>TD_04 , TD_06</t>
  </si>
  <si>
    <t>DT_05</t>
  </si>
  <si>
    <t>01/18/2026 07:13:54</t>
  </si>
  <si>
    <t>033333</t>
  </si>
  <si>
    <t>DK_01</t>
  </si>
  <si>
    <t>KK_01</t>
  </si>
  <si>
    <t>L1_01 , L1_04</t>
  </si>
  <si>
    <t>01/18/2026 07:22:52</t>
  </si>
  <si>
    <t>0394721776</t>
  </si>
  <si>
    <t>NV_04 , NV_07</t>
  </si>
  <si>
    <t>TL3_3</t>
  </si>
  <si>
    <t>L1_01</t>
  </si>
  <si>
    <t>PT_01 , PT_02</t>
  </si>
  <si>
    <t>01/15/2026 11:31:01</t>
  </si>
  <si>
    <t>0333549314</t>
  </si>
  <si>
    <t>01/15/2026 12:15:08</t>
  </si>
  <si>
    <t>0385909549</t>
  </si>
  <si>
    <t>KT_04</t>
  </si>
  <si>
    <t>NV_06</t>
  </si>
  <si>
    <t>PR_03 , PR_04</t>
  </si>
  <si>
    <t>01/15/2026 21:10:47</t>
  </si>
  <si>
    <t>03333</t>
  </si>
  <si>
    <t>NV_01</t>
  </si>
  <si>
    <t>TD_04 , TD_08</t>
  </si>
  <si>
    <t>01/16/2026 06:04:44</t>
  </si>
  <si>
    <t>0393836057</t>
  </si>
  <si>
    <t>TD_04 , TD_07</t>
  </si>
  <si>
    <t>01/16/2026 06:16:46</t>
  </si>
  <si>
    <t>0373527535</t>
  </si>
  <si>
    <t>PR_01 , PR_04</t>
  </si>
  <si>
    <t>01/16/2026 06:31:35</t>
  </si>
  <si>
    <t>0363321964</t>
  </si>
  <si>
    <t>TD_01 , TD_04 , TD_08</t>
  </si>
  <si>
    <t>01/16/2026 07:29:54</t>
  </si>
  <si>
    <t>0362975285</t>
  </si>
  <si>
    <t>NV_02</t>
  </si>
  <si>
    <t>NT_01 , NT_04</t>
  </si>
  <si>
    <t>01/16/2026 07:51:10</t>
  </si>
  <si>
    <t>0935927528</t>
  </si>
  <si>
    <t>Tiêu (1,5 tấn)</t>
  </si>
  <si>
    <t>TD_03 , TD_04</t>
  </si>
  <si>
    <t>Cung cấp lao động, tài chính,...</t>
  </si>
  <si>
    <t>NT_03 , NT_04</t>
  </si>
  <si>
    <t>NT_03</t>
  </si>
  <si>
    <t>PB_03</t>
  </si>
  <si>
    <t>VA_01</t>
  </si>
  <si>
    <t>01/16/2026 08:05:26</t>
  </si>
  <si>
    <t>GL01</t>
  </si>
  <si>
    <t>0383862996</t>
  </si>
  <si>
    <t>TD_04</t>
  </si>
  <si>
    <t>01/17/2026 02:16:12</t>
  </si>
  <si>
    <t>YT_01 , YT_03 , YT_05</t>
  </si>
  <si>
    <t>01/17/2026 02:35:52</t>
  </si>
  <si>
    <t>0358502625</t>
  </si>
  <si>
    <t>01/17/2026 03:03:37</t>
  </si>
  <si>
    <t>GL02</t>
  </si>
  <si>
    <t>0327479375</t>
  </si>
  <si>
    <t>TL2-1 , TL2-3</t>
  </si>
  <si>
    <t>PR_05</t>
  </si>
  <si>
    <t>0355407996</t>
  </si>
  <si>
    <t>01/17/2026 08:50:22</t>
  </si>
  <si>
    <t>0329111514</t>
  </si>
  <si>
    <t>KK_02</t>
  </si>
  <si>
    <t>L1_01 , L1_02 , L1_04</t>
  </si>
  <si>
    <t>01/17/2026 09:10:28</t>
  </si>
  <si>
    <t>0339512992</t>
  </si>
  <si>
    <t>TD_01</t>
  </si>
  <si>
    <t>01/17/2026 09:25:49</t>
  </si>
  <si>
    <t>0382913783</t>
  </si>
  <si>
    <t>TX_03</t>
  </si>
  <si>
    <t>PR_05 , PR_06</t>
  </si>
  <si>
    <t>01/18/2026 19:13:28</t>
  </si>
  <si>
    <t>0961112791</t>
  </si>
  <si>
    <t>NV_01 , NV_03</t>
  </si>
  <si>
    <t>01/18/2026 16:49:48</t>
  </si>
  <si>
    <t>GL07</t>
  </si>
  <si>
    <t>0385449684</t>
  </si>
  <si>
    <t>YT_03</t>
  </si>
  <si>
    <t>TD_01 , TD_03 , TD_04 , TD_06</t>
  </si>
  <si>
    <t>0</t>
  </si>
  <si>
    <t>PR_01</t>
  </si>
  <si>
    <t>NE_01</t>
  </si>
  <si>
    <t>01/25/2026 22:55:15</t>
  </si>
  <si>
    <t>0343421849</t>
  </si>
  <si>
    <t>TD_02 , TD_03 , TD_04</t>
  </si>
  <si>
    <t>CK_05</t>
  </si>
  <si>
    <t>01/18/2026 17:02:29</t>
  </si>
  <si>
    <t>0336274537</t>
  </si>
  <si>
    <t>TD_01 , TD_02</t>
  </si>
  <si>
    <t>01/18/2026 17:15:28</t>
  </si>
  <si>
    <t>0373528034</t>
  </si>
  <si>
    <t>TU_02</t>
  </si>
  <si>
    <t>TD_02 , TD_03 , TD_06 , TD_01 , TD_04</t>
  </si>
  <si>
    <t>PT_02 , PT_01</t>
  </si>
  <si>
    <t>TL2-4 , TL2-2</t>
  </si>
  <si>
    <t>sản xuất cà phê 4c theo công ty vĩnh hiệp,</t>
  </si>
  <si>
    <t>01/25/2026 23:40:51</t>
  </si>
  <si>
    <t>0868072067</t>
  </si>
  <si>
    <t>YT_03 , YT_05</t>
  </si>
  <si>
    <t>TD_01 , TD_02 , TD_04</t>
  </si>
  <si>
    <t>01/18/2026 18:26:34</t>
  </si>
  <si>
    <t>0984019353</t>
  </si>
  <si>
    <t>01/17/2026 09:47:08</t>
  </si>
  <si>
    <t>0355926941</t>
  </si>
  <si>
    <t>01/18/2026 15:31:11</t>
  </si>
  <si>
    <t>0372735008</t>
  </si>
  <si>
    <t>01/18/2026 16:04:31</t>
  </si>
  <si>
    <t>0972219625</t>
  </si>
  <si>
    <t>L0_01 , L0_03</t>
  </si>
  <si>
    <t>TX_02</t>
  </si>
  <si>
    <t>01/27/2026 15:46:09</t>
  </si>
  <si>
    <t>0369766394</t>
  </si>
  <si>
    <t>NV_04</t>
  </si>
  <si>
    <t>01/18/2026 15:46:17</t>
  </si>
  <si>
    <t>0986284665</t>
  </si>
  <si>
    <t>TD_02 , TD_03</t>
  </si>
  <si>
    <t>phải thường xuyên ghi chép sổ nhật ký nông hộ, đôi khi đi làm về mệt quên ghi và ngại ghi,</t>
  </si>
  <si>
    <t>01/27/2026 15:54:12</t>
  </si>
  <si>
    <t>0368534982</t>
  </si>
  <si>
    <t>CB_04</t>
  </si>
  <si>
    <t>phải ghi chép tất cả những khoản đã chi trong một năm cho việc trồng, chăm sóc cà phê, không được phun thuốc trừ cỏ, không được phun thuốc trừ sâu bị cấm,</t>
  </si>
  <si>
    <t>01/20/2026 19:39:21</t>
  </si>
  <si>
    <t>0365199645</t>
  </si>
  <si>
    <t>TD_02 , TD_04</t>
  </si>
  <si>
    <t>01/18/2026 16:21:00</t>
  </si>
  <si>
    <t>GL05</t>
  </si>
  <si>
    <t>0389466219</t>
  </si>
  <si>
    <t>YT_02</t>
  </si>
  <si>
    <t>NT_04</t>
  </si>
  <si>
    <t>01/25/2026 13:45:39</t>
  </si>
  <si>
    <t>0373188431</t>
  </si>
  <si>
    <t>HV_01</t>
  </si>
  <si>
    <t>KK_04</t>
  </si>
  <si>
    <t>TD_01 , TD_03 , TD_06</t>
  </si>
  <si>
    <t>01/27/2026 16:06:17</t>
  </si>
  <si>
    <t>0962398217</t>
  </si>
  <si>
    <t>YT_03 , YT_04</t>
  </si>
  <si>
    <t>được học kỹ thuật trồng cà phê, được đi tham quan những vườn cà phê có năng suất cao, được giải thích tại sao phải giữ lại cỏ trong vườn cà phê,</t>
  </si>
  <si>
    <t>DT_01 , DT_04 , DT_06</t>
  </si>
  <si>
    <t>01/20/2026 20:38:55</t>
  </si>
  <si>
    <t>0378354877</t>
  </si>
  <si>
    <t>01/25/2026 13:47:54</t>
  </si>
  <si>
    <t>0352254809</t>
  </si>
  <si>
    <t>TD_01 , TD_03 , TD_04</t>
  </si>
  <si>
    <t>01/25/2026 13:51:05</t>
  </si>
  <si>
    <t>0379656403</t>
  </si>
  <si>
    <t>01/25/2026 13:52:02</t>
  </si>
  <si>
    <t>0378961871</t>
  </si>
  <si>
    <t>YT_02 , YT_03 , YT_05</t>
  </si>
  <si>
    <t>PR_01 , PR_03 , PR_04</t>
  </si>
  <si>
    <t>01/25/2026 13:53:26</t>
  </si>
  <si>
    <t>0984293782</t>
  </si>
  <si>
    <t>YT_02 , YT_03</t>
  </si>
  <si>
    <t>PR_01 , PR_05</t>
  </si>
  <si>
    <t>01/25/2026 13:54:45</t>
  </si>
  <si>
    <t>0392075387</t>
  </si>
  <si>
    <t>YT_02 , YT_04</t>
  </si>
  <si>
    <t>PR_01 , PR_03 , PR_05</t>
  </si>
  <si>
    <t>01/25/2026 13:56:41</t>
  </si>
  <si>
    <t>0342700815</t>
  </si>
  <si>
    <t>01/17/2026 10:43:42</t>
  </si>
  <si>
    <t>0339783877</t>
  </si>
  <si>
    <t>01/17/2026 11:04:09</t>
  </si>
  <si>
    <t>0366097007</t>
  </si>
  <si>
    <t>HV_08</t>
  </si>
  <si>
    <t>TD_01 , TD_02 , TD_03 , TD_05</t>
  </si>
  <si>
    <t>NT_01 , NT_03 , NT_04</t>
  </si>
  <si>
    <t>01/17/2026 11:29:22</t>
  </si>
  <si>
    <t>0384672674</t>
  </si>
  <si>
    <t>01/17/2026 13:02:11</t>
  </si>
  <si>
    <t>0362476811</t>
  </si>
  <si>
    <t>TD_01 , TD_02 , TD_04 , TD_06</t>
  </si>
  <si>
    <t>01/20/2026 21:02:05</t>
  </si>
  <si>
    <t>0946059601</t>
  </si>
  <si>
    <t>01/18/2026 20:10:17</t>
  </si>
  <si>
    <t>0356618949</t>
  </si>
  <si>
    <t>DK_00</t>
  </si>
  <si>
    <t>DV_03</t>
  </si>
  <si>
    <t>LD_02</t>
  </si>
  <si>
    <t>YT_02 , YT_03 , YT_04</t>
  </si>
  <si>
    <t>TD_09</t>
  </si>
  <si>
    <t>TT_02</t>
  </si>
  <si>
    <t>01/25/2026 13:57:49</t>
  </si>
  <si>
    <t>0898182349</t>
  </si>
  <si>
    <t>01/18/2026 15:16:35</t>
  </si>
  <si>
    <t>0982007740</t>
  </si>
  <si>
    <t>HV_07</t>
  </si>
  <si>
    <t>01/20/2026 21:54:06</t>
  </si>
  <si>
    <t>0976738000</t>
  </si>
  <si>
    <t>01/17/2026 14:51:01</t>
  </si>
  <si>
    <t>CB_02</t>
  </si>
  <si>
    <t>01/20/2026 21:24:05</t>
  </si>
  <si>
    <t>0969058274</t>
  </si>
  <si>
    <t>CK_01</t>
  </si>
  <si>
    <t>PR_01 , PR_02</t>
  </si>
  <si>
    <t>01/25/2026 13:58:43</t>
  </si>
  <si>
    <t>01/18/2026 19:35:10</t>
  </si>
  <si>
    <t>0869615249</t>
  </si>
  <si>
    <t>01/25/2026 13:59:52</t>
  </si>
  <si>
    <t>0383089106</t>
  </si>
  <si>
    <t>01/25/2026 14:00:45</t>
  </si>
  <si>
    <t>09/01/2026 08:12:23</t>
  </si>
  <si>
    <t>XP_07</t>
  </si>
  <si>
    <t>0968659525</t>
  </si>
  <si>
    <t>01/18/2026 20:34:36</t>
  </si>
  <si>
    <t>09/01/2026 08:17:02</t>
  </si>
  <si>
    <t>0372078875</t>
  </si>
  <si>
    <t>KT_01</t>
  </si>
  <si>
    <t>01/25/2026 15:55:07</t>
  </si>
  <si>
    <t>09/01/2026 08:15:13</t>
  </si>
  <si>
    <t>0362798131</t>
  </si>
  <si>
    <t>NV_01 , NV_06</t>
  </si>
  <si>
    <t>TD_03 , TD_08</t>
  </si>
  <si>
    <t>01/16/2026 08:20:04</t>
  </si>
  <si>
    <t>09/01/2026 08:35:34</t>
  </si>
  <si>
    <t>0327917807</t>
  </si>
  <si>
    <t>DA_10</t>
  </si>
  <si>
    <t>PR_03 , PR_04 , PR_05</t>
  </si>
  <si>
    <t>01/16/2026 08:35:38</t>
  </si>
  <si>
    <t>09/01/2026 08:36:23</t>
  </si>
  <si>
    <t>0394625558</t>
  </si>
  <si>
    <t>0.00%</t>
  </si>
  <si>
    <t>01/26/2026 13:37:01</t>
  </si>
  <si>
    <t>09/01/2026 08:52:16</t>
  </si>
  <si>
    <t>XP_08</t>
  </si>
  <si>
    <t>0365374571</t>
  </si>
  <si>
    <t>DA_01</t>
  </si>
  <si>
    <t>do phải làm thêm công việc cơ khí nên ít khi tham gia các lớp tập huấn kỹ thuật, việc theo dõi sổ tay nông hộ còn gặp nhiều khó khăn vì người dân thiếu kiên thức,</t>
  </si>
  <si>
    <t>01/20/2026 22:21:45</t>
  </si>
  <si>
    <t>09/01/2026 09:05:33</t>
  </si>
  <si>
    <t>0349390668</t>
  </si>
  <si>
    <t>YT_02 , YT_03 , YT_06</t>
  </si>
  <si>
    <t>01/17/2026 15:25:40</t>
  </si>
  <si>
    <t>09/01/2026 09:07:29</t>
  </si>
  <si>
    <t>0772554685</t>
  </si>
  <si>
    <t>PR_01 , PR_03</t>
  </si>
  <si>
    <t>01/18/2026 08:53:00</t>
  </si>
  <si>
    <t>09/01/2026 09:10:55</t>
  </si>
  <si>
    <t>0799849005</t>
  </si>
  <si>
    <t>QH_05</t>
  </si>
  <si>
    <t>01/20/2026 22:58:06</t>
  </si>
  <si>
    <t>09/01/2026 09:05:55</t>
  </si>
  <si>
    <t>TD_04 , TD_09</t>
  </si>
  <si>
    <t>TL2-2 , TL2-3</t>
  </si>
  <si>
    <t>01/16/2026 10:16:35</t>
  </si>
  <si>
    <t>09/01/2026 09:20:42</t>
  </si>
  <si>
    <t>0336988402</t>
  </si>
  <si>
    <t>L1_01 , L1_02</t>
  </si>
  <si>
    <t>01/18/2026 20:54:11</t>
  </si>
  <si>
    <t>09/01/2026 09:26:24</t>
  </si>
  <si>
    <t>0979930519</t>
  </si>
  <si>
    <t>01/17/2026 15:52:30</t>
  </si>
  <si>
    <t>09/01/2026 09:25:44</t>
  </si>
  <si>
    <t>0327627895</t>
  </si>
  <si>
    <t>01/27/2026 09:01:25</t>
  </si>
  <si>
    <t>09/01/2026 09:23:50</t>
  </si>
  <si>
    <t>0935018516</t>
  </si>
  <si>
    <t>01/18/2026 09:03:54</t>
  </si>
  <si>
    <t>09/01/2026 09:35:42</t>
  </si>
  <si>
    <t>0392539678</t>
  </si>
  <si>
    <t>01/18/2026 09:17:02</t>
  </si>
  <si>
    <t>09/01/2026 09:37:34</t>
  </si>
  <si>
    <t>0395722054</t>
  </si>
  <si>
    <t>TG_02</t>
  </si>
  <si>
    <t>01/25/2026 14:06:44</t>
  </si>
  <si>
    <t>09/01/2026 09:22:50</t>
  </si>
  <si>
    <t>0396679425</t>
  </si>
  <si>
    <t>Kg làm việc nặng chỉ hái cà phê, làm cỏ , phơi</t>
  </si>
  <si>
    <t>01/16/2026 10:24:48</t>
  </si>
  <si>
    <t>09/01/2026 10:07:48</t>
  </si>
  <si>
    <t>0973919127</t>
  </si>
  <si>
    <t>YT_04</t>
  </si>
  <si>
    <t>01/27/2026 09:11:28</t>
  </si>
  <si>
    <t>09/01/2026 10:10:38</t>
  </si>
  <si>
    <t>0862149706</t>
  </si>
  <si>
    <t>01/18/2026 21:10:10</t>
  </si>
  <si>
    <t>09/01/2026 09:56:01</t>
  </si>
  <si>
    <t>0326142798</t>
  </si>
  <si>
    <t>01/15/2026 23:43:53</t>
  </si>
  <si>
    <t>09/01/2026 09:57:56</t>
  </si>
  <si>
    <t>0368558910</t>
  </si>
  <si>
    <t>NV_01 , NV_03 , NV_05</t>
  </si>
  <si>
    <t>01/16/2026 10:35:20</t>
  </si>
  <si>
    <t>09/01/2026 10:32:16</t>
  </si>
  <si>
    <t>0354919978</t>
  </si>
  <si>
    <t>01/18/2026 21:49:42</t>
  </si>
  <si>
    <t>09/01/2026 10:20:37</t>
  </si>
  <si>
    <t>0334295837</t>
  </si>
  <si>
    <t>01/16/2026 00:34:29</t>
  </si>
  <si>
    <t>09/01/2026 10:45:55</t>
  </si>
  <si>
    <t>0353008751</t>
  </si>
  <si>
    <t>01/18/2026 09:32:54</t>
  </si>
  <si>
    <t>09/01/2026 10:50:19</t>
  </si>
  <si>
    <t>0388044583</t>
  </si>
  <si>
    <t>L1_01 , L1_03 , L1_04</t>
  </si>
  <si>
    <t>PR_01 , PR_02 , PR_04</t>
  </si>
  <si>
    <t>01/17/2026 16:18:51</t>
  </si>
  <si>
    <t>09/01/2026 10:47:27</t>
  </si>
  <si>
    <t>0345030233</t>
  </si>
  <si>
    <t>01/18/2026 10:32:29</t>
  </si>
  <si>
    <t>09/01/2026 10:51:08</t>
  </si>
  <si>
    <t>0346947215</t>
  </si>
  <si>
    <t>NV_02 , NV_03</t>
  </si>
  <si>
    <t>KK_03</t>
  </si>
  <si>
    <t>01/27/2026 09:17:43</t>
  </si>
  <si>
    <t>09/01/2026 11:01:53</t>
  </si>
  <si>
    <t>01/18/2026 22:01:20</t>
  </si>
  <si>
    <t>09/01/2026 10:55:43</t>
  </si>
  <si>
    <t>0375155459</t>
  </si>
  <si>
    <t>NV_01 , NV_05</t>
  </si>
  <si>
    <t>01/16/2026 09:31:12</t>
  </si>
  <si>
    <t>09/01/2026 10:44:50</t>
  </si>
  <si>
    <t>0347028032</t>
  </si>
  <si>
    <t>01/16/2026 10:52:36</t>
  </si>
  <si>
    <t>09/01/2026 11:05:40</t>
  </si>
  <si>
    <t>HV_09</t>
  </si>
  <si>
    <t>YT_05 , YT_03</t>
  </si>
  <si>
    <t>TD_02 , TD_03 , TD_01</t>
  </si>
  <si>
    <t>TL2-3 , TL2-1</t>
  </si>
  <si>
    <t>PR_02</t>
  </si>
  <si>
    <t>01/18/2026 07:54:33</t>
  </si>
  <si>
    <t>09/01/2026 11:07:53</t>
  </si>
  <si>
    <t>0865183036</t>
  </si>
  <si>
    <t>01/18/2026 22:14:31</t>
  </si>
  <si>
    <t>09/01/2026 11:08:12</t>
  </si>
  <si>
    <t>0989792421</t>
  </si>
  <si>
    <t>01/27/2026 09:23:50</t>
  </si>
  <si>
    <t>09/01/2026 11:14:53</t>
  </si>
  <si>
    <t>0398645880</t>
  </si>
  <si>
    <t>01/16/2026 10:16:34</t>
  </si>
  <si>
    <t>09/01/2026 11:25:12</t>
  </si>
  <si>
    <t>0983681796</t>
  </si>
  <si>
    <t>TD_04 , TD_06 , TD_09</t>
  </si>
  <si>
    <t>01/16/2026 15:29:08</t>
  </si>
  <si>
    <t>09/01/2026 11:28:12</t>
  </si>
  <si>
    <t>0395581052</t>
  </si>
  <si>
    <t>01/16/2026 10:34:50</t>
  </si>
  <si>
    <t>09/01/2026 11:46:30</t>
  </si>
  <si>
    <t>0397593776</t>
  </si>
  <si>
    <t>01/18/2026 10:22:26</t>
  </si>
  <si>
    <t>09/01/2026 12:00:31</t>
  </si>
  <si>
    <t>0974145738</t>
  </si>
  <si>
    <t>do cơ thể phụ nữ kg đáp ứng được một số công việc nặng nhọc trong sản xuất cà phê như tưới nước, bỏ phân, phun thuốc , khuân vác</t>
  </si>
  <si>
    <t>01/27/2026 09:43:12</t>
  </si>
  <si>
    <t>09/01/2026 12:01:57</t>
  </si>
  <si>
    <t>0336910145</t>
  </si>
  <si>
    <t>TT_03</t>
  </si>
  <si>
    <t>01/19/2026 06:33:19</t>
  </si>
  <si>
    <t>09/01/2026 12:04:43</t>
  </si>
  <si>
    <t>0352196147</t>
  </si>
  <si>
    <t>01/18/2026 10:44:18</t>
  </si>
  <si>
    <t>09/01/2026 12:08:52</t>
  </si>
  <si>
    <t>0867542957</t>
  </si>
  <si>
    <t>01/25/2026 16:18:55</t>
  </si>
  <si>
    <t>09/01/2026 11:58:47</t>
  </si>
  <si>
    <t>03646462187</t>
  </si>
  <si>
    <t>DT_04 , DT_05</t>
  </si>
  <si>
    <t>01/16/2026 15:47:14</t>
  </si>
  <si>
    <t>09/01/2026 12:12:05</t>
  </si>
  <si>
    <t>0362994035</t>
  </si>
  <si>
    <t>TD_02 , TD_03 , TD_01 , TD_04</t>
  </si>
  <si>
    <t>PT_03</t>
  </si>
  <si>
    <t>01/25/2026 14:09:39</t>
  </si>
  <si>
    <t>09/01/2026 12:10:22</t>
  </si>
  <si>
    <t>0869455371</t>
  </si>
  <si>
    <t>76.92%</t>
  </si>
  <si>
    <t>01/16/2026 11:20:39</t>
  </si>
  <si>
    <t>09/01/2026 12:20:26</t>
  </si>
  <si>
    <t>0389865092</t>
  </si>
  <si>
    <t>01/16/2026 16:00:13</t>
  </si>
  <si>
    <t>09/01/2026 12:25:31</t>
  </si>
  <si>
    <t>0363457226</t>
  </si>
  <si>
    <t>75.76%</t>
  </si>
  <si>
    <t>01/16/2026 11:37:59</t>
  </si>
  <si>
    <t>09/01/2026 12:42:44</t>
  </si>
  <si>
    <t>TL2-1 , TL2-2 , TL2-3</t>
  </si>
  <si>
    <t>01/19/2026 07:06:31</t>
  </si>
  <si>
    <t>09/01/2026 12:44:36</t>
  </si>
  <si>
    <t>0359219271</t>
  </si>
  <si>
    <t>01/25/2026 16:33:28</t>
  </si>
  <si>
    <t>09/01/2026 12:44:56</t>
  </si>
  <si>
    <t>0383634892</t>
  </si>
  <si>
    <t>PR_04 , PR_06</t>
  </si>
  <si>
    <t>01/16/2026 16:16:35</t>
  </si>
  <si>
    <t>09/01/2026 12:59:10</t>
  </si>
  <si>
    <t>0794567333</t>
  </si>
  <si>
    <t>HV_05</t>
  </si>
  <si>
    <t>PT_01</t>
  </si>
  <si>
    <t>DT_06</t>
  </si>
  <si>
    <t>01/18/2026 09:27:48</t>
  </si>
  <si>
    <t>09/01/2026 13:04:05</t>
  </si>
  <si>
    <t>0981127793</t>
  </si>
  <si>
    <t>01/19/2026 07:19:14</t>
  </si>
  <si>
    <t>09/01/2026 13:09:38</t>
  </si>
  <si>
    <t>0374128570</t>
  </si>
  <si>
    <t>01/18/2026 09:40:08</t>
  </si>
  <si>
    <t>09/01/2026 13:17:50</t>
  </si>
  <si>
    <t>0399230291</t>
  </si>
  <si>
    <t>01/18/2026 09:53:19</t>
  </si>
  <si>
    <t>09/01/2026 13:27:44</t>
  </si>
  <si>
    <t>0362474309</t>
  </si>
  <si>
    <t>YT_05 , YT_03 , YT_01</t>
  </si>
  <si>
    <t>01/18/2026 10:06:03</t>
  </si>
  <si>
    <t>09/01/2026 13:33:03</t>
  </si>
  <si>
    <t>0349794436</t>
  </si>
  <si>
    <t>01/18/2026 10:08:47</t>
  </si>
  <si>
    <t>09/01/2026 14:02:23</t>
  </si>
  <si>
    <t>0968021032</t>
  </si>
  <si>
    <t>01/25/2026 14:14:40</t>
  </si>
  <si>
    <t>09/01/2026 14:23:30</t>
  </si>
  <si>
    <t>0978550163</t>
  </si>
  <si>
    <t>01/18/2026 09:44:17</t>
  </si>
  <si>
    <t>09/01/2026 14:24:08</t>
  </si>
  <si>
    <t>0986935627</t>
  </si>
  <si>
    <t>01/25/2026 14:15:43</t>
  </si>
  <si>
    <t>09/01/2026 14:36:45</t>
  </si>
  <si>
    <t>09823891</t>
  </si>
  <si>
    <t>PR_04 , PR_02</t>
  </si>
  <si>
    <t>01/18/2026 10:32:59</t>
  </si>
  <si>
    <t>09/01/2026 14:24:51</t>
  </si>
  <si>
    <t>0977850950</t>
  </si>
  <si>
    <t>01/18/2026 10:00:45</t>
  </si>
  <si>
    <t>09/01/2026 14:38:26</t>
  </si>
  <si>
    <t>0977283217</t>
  </si>
  <si>
    <t>01/18/2026 09:53:46</t>
  </si>
  <si>
    <t>09/01/2026 16:11:30</t>
  </si>
  <si>
    <t>0355954651</t>
  </si>
  <si>
    <t>01/19/2026 07:36:47</t>
  </si>
  <si>
    <t>09/01/2026 16:05:40</t>
  </si>
  <si>
    <t>0336317821</t>
  </si>
  <si>
    <t>YT_04 , YT_05</t>
  </si>
  <si>
    <t>01/16/2026 16:42:47</t>
  </si>
  <si>
    <t>09/01/2026 16:20:28</t>
  </si>
  <si>
    <t>01/19/2026 08:04:22</t>
  </si>
  <si>
    <t>09/01/2026 16:34:57</t>
  </si>
  <si>
    <t>0326083221</t>
  </si>
  <si>
    <t>DG_05</t>
  </si>
  <si>
    <t>01/19/2026 08:26:40</t>
  </si>
  <si>
    <t>09/01/2026 17:00:12</t>
  </si>
  <si>
    <t>TG_04</t>
  </si>
  <si>
    <t>01/16/2026 16:55:25</t>
  </si>
  <si>
    <t>09/01/2026 17:08:04</t>
  </si>
  <si>
    <t>01/19/2026 08:35:09</t>
  </si>
  <si>
    <t>09/01/2026 17:31:23</t>
  </si>
  <si>
    <t>0377147464</t>
  </si>
  <si>
    <t>01/16/2026 17:07:53</t>
  </si>
  <si>
    <t>09/01/2026 17:35:40</t>
  </si>
  <si>
    <t>0383109047</t>
  </si>
  <si>
    <t>01/16/2026 17:20:20</t>
  </si>
  <si>
    <t>09/01/2026 17:44:02</t>
  </si>
  <si>
    <t>0354105412</t>
  </si>
  <si>
    <t>01/19/2026 08:54:48</t>
  </si>
  <si>
    <t>10/01/2026 09:01:04</t>
  </si>
  <si>
    <t>XP_02</t>
  </si>
  <si>
    <t>0357370052</t>
  </si>
  <si>
    <t>01/18/2026 15:37:56</t>
  </si>
  <si>
    <t>10/01/2026 09:21:03</t>
  </si>
  <si>
    <t>0347718573</t>
  </si>
  <si>
    <t>01/18/2026 10:48:32</t>
  </si>
  <si>
    <t>10/01/2026 09:47:51</t>
  </si>
  <si>
    <t>TD_02 , TD_01</t>
  </si>
  <si>
    <t>01/18/2026 11:00:55</t>
  </si>
  <si>
    <t>10/01/2026 10:01:13</t>
  </si>
  <si>
    <t>0334231581</t>
  </si>
  <si>
    <t>chính quyền địa phương,</t>
  </si>
  <si>
    <t>chưa được nghe nói về EUDR,</t>
  </si>
  <si>
    <t>01/27/2026 09:52:36</t>
  </si>
  <si>
    <t>10/01/2026 10:05:46</t>
  </si>
  <si>
    <t>0989770056</t>
  </si>
  <si>
    <t>01/27/2026 10:00:04</t>
  </si>
  <si>
    <t>10/01/2026 10:08:19</t>
  </si>
  <si>
    <t>0926230417</t>
  </si>
  <si>
    <t>01/18/2026 11:10:01</t>
  </si>
  <si>
    <t>10/01/2026 10:00:34</t>
  </si>
  <si>
    <t>0369066208</t>
  </si>
  <si>
    <t>01/17/2026 15:21:18</t>
  </si>
  <si>
    <t>10/01/2026 10:10:56</t>
  </si>
  <si>
    <t>0357026154</t>
  </si>
  <si>
    <t>01/18/2026 15:26:14</t>
  </si>
  <si>
    <t>10/01/2026 10:14:06</t>
  </si>
  <si>
    <t>0362079617</t>
  </si>
  <si>
    <t>đôi khi quên ghi không nhớ rõ các khoản tiền đã đầu tư trên vườn cà phê,</t>
  </si>
  <si>
    <t>01/27/2026 10:05:19</t>
  </si>
  <si>
    <t>10/01/2026 09:59:15</t>
  </si>
  <si>
    <t>0359737370</t>
  </si>
  <si>
    <t>01/19/2026 11:33:30</t>
  </si>
  <si>
    <t>10/01/2026 10:15:48</t>
  </si>
  <si>
    <t>0362660116</t>
  </si>
  <si>
    <t>01/17/2026 15:37:46</t>
  </si>
  <si>
    <t>10/01/2026 10:23:45</t>
  </si>
  <si>
    <t>0356423495</t>
  </si>
  <si>
    <t>01/16/2026 12:14:46</t>
  </si>
  <si>
    <t>10/01/2026 10:26:44</t>
  </si>
  <si>
    <t>0336723317</t>
  </si>
  <si>
    <t>TD_02 , TD_03 , TD_06 , TD_04</t>
  </si>
  <si>
    <t>01/27/2026 10:11:14</t>
  </si>
  <si>
    <t>10/01/2026 10:29:01</t>
  </si>
  <si>
    <t>0357370887</t>
  </si>
  <si>
    <t>01/25/2026 14:20:18</t>
  </si>
  <si>
    <t>10/01/2026 10:34:34</t>
  </si>
  <si>
    <t>0868661760</t>
  </si>
  <si>
    <t>01/18/2026 15:16:03</t>
  </si>
  <si>
    <t>10/01/2026 10:35:43</t>
  </si>
  <si>
    <t>0326438595</t>
  </si>
  <si>
    <t>YT_01 , YT_03</t>
  </si>
  <si>
    <t>01/19/2026 14:36:49</t>
  </si>
  <si>
    <t>10/01/2026 10:25:20</t>
  </si>
  <si>
    <t>0356325782</t>
  </si>
  <si>
    <t>TD_03 , TD_04 , TD_06</t>
  </si>
  <si>
    <t>01/17/2026 15:49:13</t>
  </si>
  <si>
    <t>10/01/2026 10:46:46</t>
  </si>
  <si>
    <t>0344080816</t>
  </si>
  <si>
    <t>PB_02</t>
  </si>
  <si>
    <t>01/27/2026 10:21:57</t>
  </si>
  <si>
    <t>10/01/2026 10:47:17</t>
  </si>
  <si>
    <t>0363572418</t>
  </si>
  <si>
    <t>01/25/2026 14:21:22</t>
  </si>
  <si>
    <t>10/01/2026 10:27:01</t>
  </si>
  <si>
    <t>0976022599</t>
  </si>
  <si>
    <t>YT_01 , YT_02 , YT_05</t>
  </si>
  <si>
    <t>01/16/2026 12:34:20</t>
  </si>
  <si>
    <t>10/01/2026 10:43:10</t>
  </si>
  <si>
    <t>0379102360</t>
  </si>
  <si>
    <t>DT_01 , DT_05</t>
  </si>
  <si>
    <t>01/17/2026 16:09:43</t>
  </si>
  <si>
    <t>10/01/2026 10:48:34</t>
  </si>
  <si>
    <t>0379039861</t>
  </si>
  <si>
    <t>TD_02 , TD_06 , TD_04</t>
  </si>
  <si>
    <t>01/27/2026 10:26:51</t>
  </si>
  <si>
    <t>10/01/2026 10:56:07</t>
  </si>
  <si>
    <t>0368916480</t>
  </si>
  <si>
    <t>01/19/2026 14:59:01</t>
  </si>
  <si>
    <t>10/01/2026 10:59:24</t>
  </si>
  <si>
    <t>0364082712</t>
  </si>
  <si>
    <t>01/18/2026 14:57:42</t>
  </si>
  <si>
    <t>10/01/2026 10:49:42</t>
  </si>
  <si>
    <t>0334018779</t>
  </si>
  <si>
    <t>01/16/2026 14:16:44</t>
  </si>
  <si>
    <t>10/01/2026 11:03:57</t>
  </si>
  <si>
    <t>0931603196</t>
  </si>
  <si>
    <t>01/25/2026 14:22:22</t>
  </si>
  <si>
    <t>10/01/2026 10:55:51</t>
  </si>
  <si>
    <t>0985440907</t>
  </si>
  <si>
    <t>01/17/2026 16:22:29</t>
  </si>
  <si>
    <t>10/01/2026 11:08:50</t>
  </si>
  <si>
    <t>0338965860</t>
  </si>
  <si>
    <t>01/19/2026 15:14:24</t>
  </si>
  <si>
    <t>10/01/2026 11:10:36</t>
  </si>
  <si>
    <t>0393537640</t>
  </si>
  <si>
    <t>TD_03 , TD_06 , TD_04</t>
  </si>
  <si>
    <t>01/21/2026 05:07:25</t>
  </si>
  <si>
    <t>10/01/2026 11:20:27</t>
  </si>
  <si>
    <t>01/25/2026 14:23:20</t>
  </si>
  <si>
    <t>10/01/2026 11:05:53</t>
  </si>
  <si>
    <t>0374195103</t>
  </si>
  <si>
    <t>01/18/2026 14:42:12</t>
  </si>
  <si>
    <t>10/01/2026 11:09:35</t>
  </si>
  <si>
    <t>0393464675</t>
  </si>
  <si>
    <t>01/17/2026 16:39:01</t>
  </si>
  <si>
    <t>10/01/2026 11:24:02</t>
  </si>
  <si>
    <t>0367856651</t>
  </si>
  <si>
    <t>01/16/2026 14:29:53</t>
  </si>
  <si>
    <t>10/01/2026 11:25:36</t>
  </si>
  <si>
    <t>0703905899</t>
  </si>
  <si>
    <t>01/19/2026 15:31:03</t>
  </si>
  <si>
    <t>10/01/2026 11:26:06</t>
  </si>
  <si>
    <t>0962179330</t>
  </si>
  <si>
    <t>01/16/2026 14:41:37</t>
  </si>
  <si>
    <t>10/01/2026 11:13:02</t>
  </si>
  <si>
    <t>0974724508</t>
  </si>
  <si>
    <t>01/26/2026 19:48:02</t>
  </si>
  <si>
    <t>10/01/2026 11:38:18</t>
  </si>
  <si>
    <t>0368718354</t>
  </si>
  <si>
    <t>01/25/2026 14:24:33</t>
  </si>
  <si>
    <t>10/01/2026 11:37:41</t>
  </si>
  <si>
    <t>0385175723</t>
  </si>
  <si>
    <t>01/19/2026 15:44:49</t>
  </si>
  <si>
    <t>10/01/2026 11:42:52</t>
  </si>
  <si>
    <t>0334265988</t>
  </si>
  <si>
    <t>01/18/2026 14:31:11</t>
  </si>
  <si>
    <t>10/01/2026 11:30:49</t>
  </si>
  <si>
    <t>0362213503</t>
  </si>
  <si>
    <t>01/27/2026 10:51:23</t>
  </si>
  <si>
    <t>10/01/2026 11:54:08</t>
  </si>
  <si>
    <t>0978314271</t>
  </si>
  <si>
    <t>01/19/2026 16:04:58</t>
  </si>
  <si>
    <t>10/01/2026 11:55:53</t>
  </si>
  <si>
    <t>0394579153</t>
  </si>
  <si>
    <t>01/18/2026 15:07:00</t>
  </si>
  <si>
    <t>10/01/2026 11:44:07</t>
  </si>
  <si>
    <t>01/18/2026 14:17:12</t>
  </si>
  <si>
    <t>10/01/2026 11:50:39</t>
  </si>
  <si>
    <t>0985885851</t>
  </si>
  <si>
    <t>01/24/2026 11:30:12</t>
  </si>
  <si>
    <t>10/01/2026 12:07:41</t>
  </si>
  <si>
    <t>0339924651</t>
  </si>
  <si>
    <t>01/27/2026 10:56:03</t>
  </si>
  <si>
    <t>10/01/2026 12:18:48</t>
  </si>
  <si>
    <t>0867087372</t>
  </si>
  <si>
    <t>PR_01 , PR_02 , PR_05</t>
  </si>
  <si>
    <t>01/25/2026 14:27:16</t>
  </si>
  <si>
    <t>10/01/2026 12:26:09</t>
  </si>
  <si>
    <t>0358115567</t>
  </si>
  <si>
    <t>01/18/2026 14:10:07</t>
  </si>
  <si>
    <t>10/01/2026 12:52:33</t>
  </si>
  <si>
    <t>0364548196</t>
  </si>
  <si>
    <t>01/25/2026 14:28:21</t>
  </si>
  <si>
    <t>10/01/2026 12:53:28</t>
  </si>
  <si>
    <t>0348578001</t>
  </si>
  <si>
    <t>01/18/2026 13:55:57</t>
  </si>
  <si>
    <t>10/01/2026 13:08:13</t>
  </si>
  <si>
    <t>0928607212</t>
  </si>
  <si>
    <t>PR_02 , PR_05</t>
  </si>
  <si>
    <t>01/25/2026 14:29:05</t>
  </si>
  <si>
    <t>10/01/2026 13:22:12</t>
  </si>
  <si>
    <t>0372392870</t>
  </si>
  <si>
    <t>TD_01 , TD_02 , TD_03 , TD_04 , TD_07</t>
  </si>
  <si>
    <t>01/18/2026 16:20:38</t>
  </si>
  <si>
    <t>10/01/2026 13:34:29</t>
  </si>
  <si>
    <t>0368432247</t>
  </si>
  <si>
    <t>01/25/2026 14:30:49</t>
  </si>
  <si>
    <t>10/01/2026 13:39:59</t>
  </si>
  <si>
    <t>0905824566</t>
  </si>
  <si>
    <t>01/19/2026 16:18:27</t>
  </si>
  <si>
    <t>10/01/2026 13:36:07</t>
  </si>
  <si>
    <t>0935517564</t>
  </si>
  <si>
    <t>DG_02</t>
  </si>
  <si>
    <t>01/17/2026 16:57:52</t>
  </si>
  <si>
    <t>10/01/2026 13:52:43</t>
  </si>
  <si>
    <t>0338427282</t>
  </si>
  <si>
    <t>01/16/2026 14:54:00</t>
  </si>
  <si>
    <t>10/01/2026 13:57:10</t>
  </si>
  <si>
    <t>0988313669</t>
  </si>
  <si>
    <t>MD_03</t>
  </si>
  <si>
    <t>01/19/2026 17:01:16</t>
  </si>
  <si>
    <t>10/01/2026 13:41:10</t>
  </si>
  <si>
    <t>0373713853</t>
  </si>
  <si>
    <t>TD_01 , TD_02 , TD_03 , TD_04 , TD_06</t>
  </si>
  <si>
    <t>DT_01 , DT_02 , DT_03 , DT_04 , DT_06</t>
  </si>
  <si>
    <t>01/18/2026 13:46:14</t>
  </si>
  <si>
    <t>10/01/2026 13:47:41</t>
  </si>
  <si>
    <t>000</t>
  </si>
  <si>
    <t>01/17/2026 17:10:10</t>
  </si>
  <si>
    <t>10/01/2026 14:10:54</t>
  </si>
  <si>
    <t>0988548857</t>
  </si>
  <si>
    <t>01/19/2026 17:11:47</t>
  </si>
  <si>
    <t>10/01/2026 14:16:05</t>
  </si>
  <si>
    <t>01/18/2026 13:33:21</t>
  </si>
  <si>
    <t>10/01/2026 14:05:39</t>
  </si>
  <si>
    <t>0397997227</t>
  </si>
  <si>
    <t>01/17/2026 17:17:24</t>
  </si>
  <si>
    <t>10/01/2026 14:24:31</t>
  </si>
  <si>
    <t>03252478</t>
  </si>
  <si>
    <t>01/25/2026 14:31:55</t>
  </si>
  <si>
    <t>10/01/2026 14:23:50</t>
  </si>
  <si>
    <t>0984996040</t>
  </si>
  <si>
    <t>01/19/2026 17:24:09</t>
  </si>
  <si>
    <t>10/01/2026 14:26:02</t>
  </si>
  <si>
    <t>0395046794</t>
  </si>
  <si>
    <t>01/16/2026 15:10:34</t>
  </si>
  <si>
    <t>10/01/2026 14:17:14</t>
  </si>
  <si>
    <t>0978492128</t>
  </si>
  <si>
    <t>PR_01 , PR_02 , PR_03 , PR_04</t>
  </si>
  <si>
    <t>01/18/2026 11:09:39</t>
  </si>
  <si>
    <t>10/01/2026 14:19:41</t>
  </si>
  <si>
    <t>0976805719</t>
  </si>
  <si>
    <t>01/17/2026 17:26:22</t>
  </si>
  <si>
    <t>10/01/2026 14:38:43</t>
  </si>
  <si>
    <t>03441182</t>
  </si>
  <si>
    <t>YT_03 , YT_04 , YT_05</t>
  </si>
  <si>
    <t>01/25/2026 14:33:09</t>
  </si>
  <si>
    <t>10/01/2026 14:53:21</t>
  </si>
  <si>
    <t>0343110199</t>
  </si>
  <si>
    <t>NT_01 , NT_02 , NT_04</t>
  </si>
  <si>
    <t>01/16/2026 15:25:37</t>
  </si>
  <si>
    <t>10/01/2026 15:03:24</t>
  </si>
  <si>
    <t>0344744693</t>
  </si>
  <si>
    <t>01/18/2026 10:58:26</t>
  </si>
  <si>
    <t>10/01/2026 15:03:43</t>
  </si>
  <si>
    <t>0983729579</t>
  </si>
  <si>
    <t>01/17/2026 17:35:58</t>
  </si>
  <si>
    <t>10/01/2026 15:19:03</t>
  </si>
  <si>
    <t>0337975092</t>
  </si>
  <si>
    <t>01/25/2026 14:34:29</t>
  </si>
  <si>
    <t>10/01/2026 16:07:15</t>
  </si>
  <si>
    <t>0336643313</t>
  </si>
  <si>
    <t>01/21/2026 07:45:22</t>
  </si>
  <si>
    <t>10/01/2026 16:14:56</t>
  </si>
  <si>
    <t>0867269600</t>
  </si>
  <si>
    <t>01/27/2026 14:13:09</t>
  </si>
  <si>
    <t>10/01/2026 16:20:31</t>
  </si>
  <si>
    <t>0347320712</t>
  </si>
  <si>
    <t>phòng trừ sâu bệnh hai tổng hợp, không phun thuốc cỏ,</t>
  </si>
  <si>
    <t>01/27/2026 14:18:19</t>
  </si>
  <si>
    <t>10/01/2026 16:20:50</t>
  </si>
  <si>
    <t>0365522209</t>
  </si>
  <si>
    <t>01/16/2026 15:36:03</t>
  </si>
  <si>
    <t>10/01/2026 16:25:31</t>
  </si>
  <si>
    <t>0354205422</t>
  </si>
  <si>
    <t>01/19/2026 17:32:39</t>
  </si>
  <si>
    <t>10/01/2026 16:30:52</t>
  </si>
  <si>
    <t>0353516261</t>
  </si>
  <si>
    <t>TD_01 , TD_04</t>
  </si>
  <si>
    <t>01/21/2026 09:16:51</t>
  </si>
  <si>
    <t>10/01/2026 16:27:05</t>
  </si>
  <si>
    <t>0352873870</t>
  </si>
  <si>
    <t>01/17/2026 17:44:18</t>
  </si>
  <si>
    <t>10/01/2026 16:39:39</t>
  </si>
  <si>
    <t>0359409615</t>
  </si>
  <si>
    <t>01/16/2026 15:54:17</t>
  </si>
  <si>
    <t>10/01/2026 16:35:09</t>
  </si>
  <si>
    <t>0975708588</t>
  </si>
  <si>
    <t>01/17/2026 18:22:38</t>
  </si>
  <si>
    <t>10/01/2026 16:49:46</t>
  </si>
  <si>
    <t>0337337200</t>
  </si>
  <si>
    <t>01/17/2026 18:30:46</t>
  </si>
  <si>
    <t>11/01/2026 09:00:55</t>
  </si>
  <si>
    <t>XP_06</t>
  </si>
  <si>
    <t>0398980378</t>
  </si>
  <si>
    <t>01/21/2026 09:32:24</t>
  </si>
  <si>
    <t>11/01/2026 09:01:08</t>
  </si>
  <si>
    <t>0984169517</t>
  </si>
  <si>
    <t>01/17/2026 18:41:49</t>
  </si>
  <si>
    <t>11/01/2026 09:04:52</t>
  </si>
  <si>
    <t>0335694733</t>
  </si>
  <si>
    <t>01/17/2026 18:51:05</t>
  </si>
  <si>
    <t>11/01/2026 09:09:25</t>
  </si>
  <si>
    <t>0342888038</t>
  </si>
  <si>
    <t>DT_01 , DT_03 , DT_04 , DT_05</t>
  </si>
  <si>
    <t>01/18/2026 17:24:12</t>
  </si>
  <si>
    <t>11/01/2026 09:11:31</t>
  </si>
  <si>
    <t>0984782126</t>
  </si>
  <si>
    <t>CB_02 , CB_03 , CB_04</t>
  </si>
  <si>
    <t>01/18/2026 09:39:55</t>
  </si>
  <si>
    <t>11/01/2026 09:14:35</t>
  </si>
  <si>
    <t>0979594958</t>
  </si>
  <si>
    <t>01/25/2026 14:36:01</t>
  </si>
  <si>
    <t>11/01/2026 09:09:54</t>
  </si>
  <si>
    <t>0385508617</t>
  </si>
  <si>
    <t>01/17/2026 18:57:12</t>
  </si>
  <si>
    <t>11/01/2026 09:25:33</t>
  </si>
  <si>
    <t>0388095857</t>
  </si>
  <si>
    <t>sản xuất cà phê theo hướng thực hành nông nghiệp tốt, tham gia chứng nhận 4c,</t>
  </si>
  <si>
    <t>01/27/2026 14:40:21</t>
  </si>
  <si>
    <t>11/01/2026 09:10:25</t>
  </si>
  <si>
    <t>0988471714</t>
  </si>
  <si>
    <t>01/18/2026 17:15:55</t>
  </si>
  <si>
    <t>11/01/2026 09:14:41</t>
  </si>
  <si>
    <t>0349165477</t>
  </si>
  <si>
    <t>01/18/2026 09:56:11</t>
  </si>
  <si>
    <t>11/01/2026 09:19:40</t>
  </si>
  <si>
    <t>0329603763</t>
  </si>
  <si>
    <t>01/17/2026 19:04:30</t>
  </si>
  <si>
    <t>11/01/2026 09:16:09</t>
  </si>
  <si>
    <t>0395680767</t>
  </si>
  <si>
    <t>YT_01 , YT_02</t>
  </si>
  <si>
    <t>01/25/2026 14:38:05</t>
  </si>
  <si>
    <t>11/01/2026 09:37:43</t>
  </si>
  <si>
    <t>0357405937</t>
  </si>
  <si>
    <t>01/17/2026 19:15:27</t>
  </si>
  <si>
    <t>11/01/2026 09:42:29</t>
  </si>
  <si>
    <t>0975487102</t>
  </si>
  <si>
    <t>NV_03 , NV_04</t>
  </si>
  <si>
    <t>11/01/2026 09:31:12</t>
  </si>
  <si>
    <t>0366382809</t>
  </si>
  <si>
    <t>01/18/2026 10:12:20</t>
  </si>
  <si>
    <t>11/01/2026 09:41:20</t>
  </si>
  <si>
    <t>0395671170</t>
  </si>
  <si>
    <t>01/17/2026 19:24:13</t>
  </si>
  <si>
    <t>11/01/2026 09:28:15</t>
  </si>
  <si>
    <t>0394484919</t>
  </si>
  <si>
    <t>01/18/2026 16:58:01</t>
  </si>
  <si>
    <t>11/01/2026 09:46:34</t>
  </si>
  <si>
    <t>0989108392</t>
  </si>
  <si>
    <t>01/16/2026 16:40:36</t>
  </si>
  <si>
    <t>11/01/2026 09:48:21</t>
  </si>
  <si>
    <t>0395582608</t>
  </si>
  <si>
    <t>01/16/2026 16:57:07</t>
  </si>
  <si>
    <t>11/01/2026 09:38:26</t>
  </si>
  <si>
    <t>0961640078</t>
  </si>
  <si>
    <t>L1_01 , L1_05</t>
  </si>
  <si>
    <t>PR_03 , PR_05</t>
  </si>
  <si>
    <t>01/18/2026 17:29:37</t>
  </si>
  <si>
    <t>11/01/2026 09:43:51</t>
  </si>
  <si>
    <t>0975589331</t>
  </si>
  <si>
    <t>01/21/2026 10:31:16</t>
  </si>
  <si>
    <t>11/01/2026 09:45:31</t>
  </si>
  <si>
    <t>0971149582</t>
  </si>
  <si>
    <t>01/18/2026 10:26:03</t>
  </si>
  <si>
    <t>11/01/2026 09:55:29</t>
  </si>
  <si>
    <t>0397832118</t>
  </si>
  <si>
    <t>01/17/2026 19:35:16</t>
  </si>
  <si>
    <t>11/01/2026 09:48:16</t>
  </si>
  <si>
    <t>0384545642</t>
  </si>
  <si>
    <t>DT_01 , DT_04 , DT_05</t>
  </si>
  <si>
    <t>01/18/2026 17:06:06</t>
  </si>
  <si>
    <t>11/01/2026 10:01:11</t>
  </si>
  <si>
    <t>0387438723</t>
  </si>
  <si>
    <t>01/17/2026 19:47:17</t>
  </si>
  <si>
    <t>11/01/2026 10:10:10</t>
  </si>
  <si>
    <t>0977882731</t>
  </si>
  <si>
    <t>01/16/2026 17:32:48</t>
  </si>
  <si>
    <t>11/01/2026 10:11:31</t>
  </si>
  <si>
    <t>0375377073</t>
  </si>
  <si>
    <t>phải canh tác theo yêu cầu của cà phê 4c, ghi chép nhật ký thường xuyên,</t>
  </si>
  <si>
    <t>01/21/2026 10:48:23</t>
  </si>
  <si>
    <t>11/01/2026 10:04:07</t>
  </si>
  <si>
    <t>0392393981</t>
  </si>
  <si>
    <t>11/01/2026 10:00:44</t>
  </si>
  <si>
    <t>0975078598</t>
  </si>
  <si>
    <t>01/18/2026 10:49:02</t>
  </si>
  <si>
    <t>11/01/2026 10:23:19</t>
  </si>
  <si>
    <t>0399672760</t>
  </si>
  <si>
    <t>01/18/2026 17:37:02</t>
  </si>
  <si>
    <t>11/01/2026 10:28:32</t>
  </si>
  <si>
    <t>0377772486</t>
  </si>
  <si>
    <t>01/26/2026 17:22:34</t>
  </si>
  <si>
    <t>11/01/2026 10:25:57</t>
  </si>
  <si>
    <t>01/17/2026 20:05:42</t>
  </si>
  <si>
    <t>11/01/2026 10:45:59</t>
  </si>
  <si>
    <t>0564227227</t>
  </si>
  <si>
    <t>01/21/2026 11:30:51</t>
  </si>
  <si>
    <t>11/01/2026 10:54:03</t>
  </si>
  <si>
    <t>0988307245</t>
  </si>
  <si>
    <t>01/16/2026 17:53:26</t>
  </si>
  <si>
    <t>11/01/2026 11:14:14</t>
  </si>
  <si>
    <t>0344889552</t>
  </si>
  <si>
    <t>01/18/2026 17:44:24</t>
  </si>
  <si>
    <t>11/01/2026 13:46:36</t>
  </si>
  <si>
    <t>0352921303</t>
  </si>
  <si>
    <t>01/18/2026 16:42:04</t>
  </si>
  <si>
    <t>11/01/2026 13:39:52</t>
  </si>
  <si>
    <t>0348878494</t>
  </si>
  <si>
    <t>01/17/2026 20:15:15</t>
  </si>
  <si>
    <t>11/01/2026 13:50:19</t>
  </si>
  <si>
    <t>0973262339</t>
  </si>
  <si>
    <t>01/18/2026 11:02:51</t>
  </si>
  <si>
    <t>11/01/2026 13:54:13</t>
  </si>
  <si>
    <t>0373312860</t>
  </si>
  <si>
    <t>01/25/2026 14:45:59</t>
  </si>
  <si>
    <t>11/01/2026 13:53:50</t>
  </si>
  <si>
    <t>0867087216</t>
  </si>
  <si>
    <t>01/16/2026 19:04:53</t>
  </si>
  <si>
    <t>11/01/2026 13:53:42</t>
  </si>
  <si>
    <t>0356283516</t>
  </si>
  <si>
    <t>01/27/2026 15:09:49</t>
  </si>
  <si>
    <t>11/01/2026 13:47:57</t>
  </si>
  <si>
    <t>0353583750</t>
  </si>
  <si>
    <t>01/18/2026 16:31:26</t>
  </si>
  <si>
    <t>11/01/2026 13:49:51</t>
  </si>
  <si>
    <t>0333515586</t>
  </si>
  <si>
    <t>01/17/2026 20:23:54</t>
  </si>
  <si>
    <t>11/01/2026 13:53:20</t>
  </si>
  <si>
    <t>0974841726</t>
  </si>
  <si>
    <t>01/18/2026 11:21:16</t>
  </si>
  <si>
    <t>11/01/2026 14:09:16</t>
  </si>
  <si>
    <t>09777725030</t>
  </si>
  <si>
    <t>01/27/2026 15:15:26</t>
  </si>
  <si>
    <t>11/01/2026 13:55:23</t>
  </si>
  <si>
    <t>0344122598</t>
  </si>
  <si>
    <t>01/16/2026 19:18:31</t>
  </si>
  <si>
    <t>11/01/2026 14:01:42</t>
  </si>
  <si>
    <t>0393199791</t>
  </si>
  <si>
    <t>01/18/2026 16:21:09</t>
  </si>
  <si>
    <t>11/01/2026 14:05:33</t>
  </si>
  <si>
    <t>0379879619</t>
  </si>
  <si>
    <t>01/17/2026 20:44:51</t>
  </si>
  <si>
    <t>11/01/2026 14:07:01</t>
  </si>
  <si>
    <t>0976139049</t>
  </si>
  <si>
    <t>01/18/2026 11:53:26</t>
  </si>
  <si>
    <t>11/01/2026 13:55:19</t>
  </si>
  <si>
    <t>0328345834</t>
  </si>
  <si>
    <t>01/25/2026 14:47:45</t>
  </si>
  <si>
    <t>11/01/2026 14:19:58</t>
  </si>
  <si>
    <t>0375646554</t>
  </si>
  <si>
    <t>TD_01 , TD_04 , TD_06</t>
  </si>
  <si>
    <t>01/21/2026 12:34:02</t>
  </si>
  <si>
    <t>11/01/2026 14:13:24</t>
  </si>
  <si>
    <t>0355290877</t>
  </si>
  <si>
    <t>01/18/2026 16:07:41</t>
  </si>
  <si>
    <t>11/01/2026 14:21:13</t>
  </si>
  <si>
    <t>0969480315</t>
  </si>
  <si>
    <t>01/18/2026 12:05:29</t>
  </si>
  <si>
    <t>11/01/2026 14:21:41</t>
  </si>
  <si>
    <t>0383125380</t>
  </si>
  <si>
    <t>01/17/2026 20:52:11</t>
  </si>
  <si>
    <t>11/01/2026 14:30:22</t>
  </si>
  <si>
    <t>0357694180</t>
  </si>
  <si>
    <t>01/27/2026 15:25:52</t>
  </si>
  <si>
    <t>11/01/2026 14:29:55</t>
  </si>
  <si>
    <t>0385435340</t>
  </si>
  <si>
    <t>01/17/2026 01:51:07</t>
  </si>
  <si>
    <t>11/01/2026 14:21:31</t>
  </si>
  <si>
    <t>0985427186</t>
  </si>
  <si>
    <t>01/25/2026 14:48:58</t>
  </si>
  <si>
    <t>11/01/2026 14:39:26</t>
  </si>
  <si>
    <t>0364703628</t>
  </si>
  <si>
    <t>DT_01 , DT_02 , DT_03 , DT_04 , DT_05 , DT_06</t>
  </si>
  <si>
    <t>01/18/2026 15:53:54</t>
  </si>
  <si>
    <t>11/01/2026 14:30:51</t>
  </si>
  <si>
    <t>0344450325</t>
  </si>
  <si>
    <t>01/18/2026 09:21:08</t>
  </si>
  <si>
    <t>2026-01-12 08:48:09</t>
  </si>
  <si>
    <t>XP_05</t>
  </si>
  <si>
    <t>0368073771</t>
  </si>
  <si>
    <t>01/18/2026 08:59:40</t>
  </si>
  <si>
    <t>2026-01-12 08:50:04</t>
  </si>
  <si>
    <t>0397835568</t>
  </si>
  <si>
    <t>01/17/2026 16:22:14</t>
  </si>
  <si>
    <t>2026-01-12 08:51:29</t>
  </si>
  <si>
    <t>0568126322</t>
  </si>
  <si>
    <t>01/21/2026 13:38:26</t>
  </si>
  <si>
    <t>2026-01-12 08:39:05</t>
  </si>
  <si>
    <t>0868023855</t>
  </si>
  <si>
    <t>01/17/2026 21:03:41</t>
  </si>
  <si>
    <t>2026-01-12 08:56:54</t>
  </si>
  <si>
    <t>0329583198</t>
  </si>
  <si>
    <t>01/18/2026 20:28:39</t>
  </si>
  <si>
    <t>2026-01-12 09:00:34</t>
  </si>
  <si>
    <t>0382543677</t>
  </si>
  <si>
    <t>01/19/2026 16:28:22</t>
  </si>
  <si>
    <t>2026-01-12 09:07:26</t>
  </si>
  <si>
    <t>0965522054</t>
  </si>
  <si>
    <t>01/21/2026 13:56:15</t>
  </si>
  <si>
    <t>2026-01-12 09:01:44</t>
  </si>
  <si>
    <t>0393287580</t>
  </si>
  <si>
    <t>01/19/2026 16:17:32</t>
  </si>
  <si>
    <t>2026-01-12 08:51:12</t>
  </si>
  <si>
    <t>NV_01 , NV_03 , NV_04</t>
  </si>
  <si>
    <t>01/18/2026 08:39:28</t>
  </si>
  <si>
    <t>2026-01-12 09:18:40</t>
  </si>
  <si>
    <t>0396467289</t>
  </si>
  <si>
    <t>01/21/2026 14:15:43</t>
  </si>
  <si>
    <t>2026-01-12 08:55:14</t>
  </si>
  <si>
    <t>0965696558</t>
  </si>
  <si>
    <t>01/17/2026 21:11:50</t>
  </si>
  <si>
    <t>2026-01-12 09:24:34</t>
  </si>
  <si>
    <t>0366094321</t>
  </si>
  <si>
    <t>01/19/2026 16:37:34</t>
  </si>
  <si>
    <t>2026-01-12 09:26:31</t>
  </si>
  <si>
    <t>0967007174</t>
  </si>
  <si>
    <t>L1_01 , L1_03</t>
  </si>
  <si>
    <t>PR_02 , PR_04</t>
  </si>
  <si>
    <t>01/18/2026 20:36:52</t>
  </si>
  <si>
    <t>2026-01-12 08:52:33</t>
  </si>
  <si>
    <t>0934973306</t>
  </si>
  <si>
    <t>01/17/2026 16:34:59</t>
  </si>
  <si>
    <t>2026-01-12 09:30:55</t>
  </si>
  <si>
    <t>0987747671</t>
  </si>
  <si>
    <t>01/21/2026 14:27:44</t>
  </si>
  <si>
    <t>2026-01-12 09:15:49</t>
  </si>
  <si>
    <t>0353176070</t>
  </si>
  <si>
    <t>01/24/2026 10:18:10</t>
  </si>
  <si>
    <t>2026-01-12 09:39:14</t>
  </si>
  <si>
    <t>0979612055</t>
  </si>
  <si>
    <t>01/24/2026 10:52:34</t>
  </si>
  <si>
    <t>2026-01-12 09:35:11</t>
  </si>
  <si>
    <t>0975635079</t>
  </si>
  <si>
    <t>01/18/2026 08:02:57</t>
  </si>
  <si>
    <t>2026-01-12 09:50:52</t>
  </si>
  <si>
    <t>0397253972</t>
  </si>
  <si>
    <t>01/19/2026 16:08:50</t>
  </si>
  <si>
    <t>2026-01-12 09:51:40</t>
  </si>
  <si>
    <t>0862240807</t>
  </si>
  <si>
    <t>01/18/2026 20:45:55</t>
  </si>
  <si>
    <t>2026-01-12 10:06:05</t>
  </si>
  <si>
    <t>0976692734</t>
  </si>
  <si>
    <t>01/17/2026 21:35:43</t>
  </si>
  <si>
    <t>2026-01-12 10:12:14</t>
  </si>
  <si>
    <t>0399144385</t>
  </si>
  <si>
    <t>01/19/2026 16:00:48</t>
  </si>
  <si>
    <t>2026-01-12 09:51:41</t>
  </si>
  <si>
    <t>0988527808</t>
  </si>
  <si>
    <t>01/16/2026 16:59:34</t>
  </si>
  <si>
    <t>2026-01-12 10:11:28</t>
  </si>
  <si>
    <t>0333333</t>
  </si>
  <si>
    <t>01/24/2026 10:31:18</t>
  </si>
  <si>
    <t>2026-01-12 09:31:49</t>
  </si>
  <si>
    <t>0377881200</t>
  </si>
  <si>
    <t>01/17/2026 16:55:30</t>
  </si>
  <si>
    <t>2026-01-12 09:56:21</t>
  </si>
  <si>
    <t>0981760082</t>
  </si>
  <si>
    <t>01/18/2026 20:53:44</t>
  </si>
  <si>
    <t>2026-01-12 10:23:40</t>
  </si>
  <si>
    <t>0974081347</t>
  </si>
  <si>
    <t>01/21/2026 14:39:45</t>
  </si>
  <si>
    <t>2026-01-12 10:29:37</t>
  </si>
  <si>
    <t>0372515140</t>
  </si>
  <si>
    <t>01/19/2026 15:47:34</t>
  </si>
  <si>
    <t>2026-01-12 10:48:43</t>
  </si>
  <si>
    <t>0393446716</t>
  </si>
  <si>
    <t>01/18/2026 21:01:05</t>
  </si>
  <si>
    <t>2026-01-12 10:39:13</t>
  </si>
  <si>
    <t>0366096461</t>
  </si>
  <si>
    <t>01/17/2026 21:53:59</t>
  </si>
  <si>
    <t>2026-01-12 11:06:26</t>
  </si>
  <si>
    <t>0388904884</t>
  </si>
  <si>
    <t>01/19/2026 15:41:10</t>
  </si>
  <si>
    <t>2026-01-12 11:23:46</t>
  </si>
  <si>
    <t>0363077495</t>
  </si>
  <si>
    <t>01/21/2026 14:51:18</t>
  </si>
  <si>
    <t>2026-01-12 11:07:27</t>
  </si>
  <si>
    <t>0339662976</t>
  </si>
  <si>
    <t>01/19/2026 15:31:16</t>
  </si>
  <si>
    <t>2026-01-12 11:32:28</t>
  </si>
  <si>
    <t>0364243694</t>
  </si>
  <si>
    <t>DT_01 , DT_02 , DT_04 , DT_05</t>
  </si>
  <si>
    <t>PR_01 , PR_02 , PR_03 , PR_06</t>
  </si>
  <si>
    <t>01/19/2026 15:18:30</t>
  </si>
  <si>
    <t>2026-01-12 11:49:14</t>
  </si>
  <si>
    <t>0343739389</t>
  </si>
  <si>
    <t>01/21/2026 15:04:12</t>
  </si>
  <si>
    <t>2026-01-12 14:47:42</t>
  </si>
  <si>
    <t>0342920584</t>
  </si>
  <si>
    <t>DA_05</t>
  </si>
  <si>
    <t>01/19/2026 15:06:10</t>
  </si>
  <si>
    <t>2026-01-12 14:48:14</t>
  </si>
  <si>
    <t>0985957973</t>
  </si>
  <si>
    <t>01/18/2026 21:08:11</t>
  </si>
  <si>
    <t>2026-01-12 14:54:20</t>
  </si>
  <si>
    <t>0336220179</t>
  </si>
  <si>
    <t>01/21/2026 17:19:05</t>
  </si>
  <si>
    <t>2026-01-12 14:49:11</t>
  </si>
  <si>
    <t>0367534309</t>
  </si>
  <si>
    <t>01/19/2026 14:55:00</t>
  </si>
  <si>
    <t>2026-01-12 15:23:30</t>
  </si>
  <si>
    <t>0364483461</t>
  </si>
  <si>
    <t>01/18/2026 21:17:44</t>
  </si>
  <si>
    <t>2026-01-12 15:11:25</t>
  </si>
  <si>
    <t>0386787351</t>
  </si>
  <si>
    <t>01/17/2026 17:11:42</t>
  </si>
  <si>
    <t>2026-01-12 15:43:48</t>
  </si>
  <si>
    <t>0378163182</t>
  </si>
  <si>
    <t>TD_06 , TD_01</t>
  </si>
  <si>
    <t>2026-01-12 16:10:44</t>
  </si>
  <si>
    <t>0338382158</t>
  </si>
  <si>
    <t>01/19/2026 14:36:15</t>
  </si>
  <si>
    <t>2026-01-12 16:10:43</t>
  </si>
  <si>
    <t>0989646776</t>
  </si>
  <si>
    <t>01/18/2026 21:26:44</t>
  </si>
  <si>
    <t>2026-01-12 16:11:35</t>
  </si>
  <si>
    <t>0987484122</t>
  </si>
  <si>
    <t>01/17/2026 21:24:52</t>
  </si>
  <si>
    <t>2026-01-12 16:14:41</t>
  </si>
  <si>
    <t>HV_06</t>
  </si>
  <si>
    <t>01/16/2026 16:43:30</t>
  </si>
  <si>
    <t>2026-01-12 16:17:05</t>
  </si>
  <si>
    <t>0399840605</t>
  </si>
  <si>
    <t>01/17/2026 22:01:15</t>
  </si>
  <si>
    <t>2026-01-12 16:45:18</t>
  </si>
  <si>
    <t>0353147774</t>
  </si>
  <si>
    <t>DT_02 , DT_06 , DT_04</t>
  </si>
  <si>
    <t>01/21/2026 17:19:58</t>
  </si>
  <si>
    <t>2026-01-12 16:46:21</t>
  </si>
  <si>
    <t>0363649837</t>
  </si>
  <si>
    <t>01/18/2026 21:33:19</t>
  </si>
  <si>
    <t>2026-01-12 16:46:51</t>
  </si>
  <si>
    <t>0359732079</t>
  </si>
  <si>
    <t>01/19/2026 14:25:14</t>
  </si>
  <si>
    <t>2026-01-12 16:46:39</t>
  </si>
  <si>
    <t>0338852645</t>
  </si>
  <si>
    <t>01/17/2026 22:11:11</t>
  </si>
  <si>
    <t>2026-01-12 16:48:22</t>
  </si>
  <si>
    <t>0961167480</t>
  </si>
  <si>
    <t>01/18/2026 17:55:29</t>
  </si>
  <si>
    <t>2026-01-12 17:04:16</t>
  </si>
  <si>
    <t>0979326272</t>
  </si>
  <si>
    <t>01/17/2026 21:41:07</t>
  </si>
  <si>
    <t>2026-01-12 16:55:08</t>
  </si>
  <si>
    <t>0984170113</t>
  </si>
  <si>
    <t>01/16/2026 16:22:37</t>
  </si>
  <si>
    <t>2026-01-12 17:07:06</t>
  </si>
  <si>
    <t>0353052763</t>
  </si>
  <si>
    <t>01/21/2026 17:20:12</t>
  </si>
  <si>
    <t>2026-01-12 17:12:02</t>
  </si>
  <si>
    <t>0869588317</t>
  </si>
  <si>
    <t>01/18/2026 21:41:35</t>
  </si>
  <si>
    <t>2026-01-12 17:17:09</t>
  </si>
  <si>
    <t>0329559377</t>
  </si>
  <si>
    <t>01/18/2026 17:46:07</t>
  </si>
  <si>
    <t>2026-01-12 17:30:55</t>
  </si>
  <si>
    <t>0367862240</t>
  </si>
  <si>
    <t>01/17/2026 22:22:29</t>
  </si>
  <si>
    <t>2026-01-13 09:15:30</t>
  </si>
  <si>
    <t>XP_03</t>
  </si>
  <si>
    <t>0336627786</t>
  </si>
  <si>
    <t>NV_05 , NV_06</t>
  </si>
  <si>
    <t>01/24/2026 21:17:14</t>
  </si>
  <si>
    <t>2026-01-13 09:18:52</t>
  </si>
  <si>
    <t>0388501878</t>
  </si>
  <si>
    <t>TD_06 , TD_04</t>
  </si>
  <si>
    <t>01/21/2026 17:20:21</t>
  </si>
  <si>
    <t>2026-01-13 09:18:13</t>
  </si>
  <si>
    <t>0348838914</t>
  </si>
  <si>
    <t>01/17/2026 22:42:26</t>
  </si>
  <si>
    <t>2026-01-13 09:22:14</t>
  </si>
  <si>
    <t>0862219413</t>
  </si>
  <si>
    <t>01/19/2026 18:11:03</t>
  </si>
  <si>
    <t>2026-01-13 09:31:15</t>
  </si>
  <si>
    <t>0985071221</t>
  </si>
  <si>
    <t>01/25/2026 14:58:52</t>
  </si>
  <si>
    <t>2026-01-13 09:34:53</t>
  </si>
  <si>
    <t>0986090487</t>
  </si>
  <si>
    <t>2026-01-13 09:23:30</t>
  </si>
  <si>
    <t>0333450017</t>
  </si>
  <si>
    <t>01/17/2026 22:55:37</t>
  </si>
  <si>
    <t>2026-01-13 09:23:39</t>
  </si>
  <si>
    <t>0342987185</t>
  </si>
  <si>
    <t>01/17/2026 22:19:58</t>
  </si>
  <si>
    <t>2026-01-13 09:23:37</t>
  </si>
  <si>
    <t>0349531471</t>
  </si>
  <si>
    <t>01/19/2026 18:00:15</t>
  </si>
  <si>
    <t>2026-01-13 09:37:58</t>
  </si>
  <si>
    <t>0355215513</t>
  </si>
  <si>
    <t>01/19/2026 17:48:27</t>
  </si>
  <si>
    <t>2026-01-13 09:54:07</t>
  </si>
  <si>
    <t>0000</t>
  </si>
  <si>
    <t>TL3_01</t>
  </si>
  <si>
    <t>01/17/2026 22:30:51</t>
  </si>
  <si>
    <t>2026-01-13 09:32:46</t>
  </si>
  <si>
    <t>0362134634</t>
  </si>
  <si>
    <t>01/25/2026 14:59:40</t>
  </si>
  <si>
    <t>2026-01-13 09:59:38</t>
  </si>
  <si>
    <t>0326387312</t>
  </si>
  <si>
    <t>01/17/2026 23:15:57</t>
  </si>
  <si>
    <t>2026-01-13 10:05:27</t>
  </si>
  <si>
    <t>033384076</t>
  </si>
  <si>
    <t>01/21/2026 17:47:58</t>
  </si>
  <si>
    <t>2026-01-13 09:59:11</t>
  </si>
  <si>
    <t>MD_04</t>
  </si>
  <si>
    <t>01/16/2026 15:32:11</t>
  </si>
  <si>
    <t>2026-01-13 09:58:50</t>
  </si>
  <si>
    <t>0348602483</t>
  </si>
  <si>
    <t>01/17/2026 22:39:54</t>
  </si>
  <si>
    <t>2026-01-13 09:55:03</t>
  </si>
  <si>
    <t>PR_02 , PR_03</t>
  </si>
  <si>
    <t>01/19/2026 17:38:39</t>
  </si>
  <si>
    <t>2026-01-13 10:07:30</t>
  </si>
  <si>
    <t>01/16/2026 15:16:09</t>
  </si>
  <si>
    <t>2026-01-13 10:14:19</t>
  </si>
  <si>
    <t>01/18/2026 00:07:40</t>
  </si>
  <si>
    <t>2026-01-13 10:14:46</t>
  </si>
  <si>
    <t>0344836814</t>
  </si>
  <si>
    <t>2026-01-13 10:26:16</t>
  </si>
  <si>
    <t>0332646290</t>
  </si>
  <si>
    <t>01/25/2026 15:00:40</t>
  </si>
  <si>
    <t>2026-01-13 10:13:23</t>
  </si>
  <si>
    <t>0365054943</t>
  </si>
  <si>
    <t>01/19/2026 17:29:51</t>
  </si>
  <si>
    <t>2026-01-13 10:25:52</t>
  </si>
  <si>
    <t>000000</t>
  </si>
  <si>
    <t>01/17/2026 22:48:24</t>
  </si>
  <si>
    <t>2026-01-13 10:28:08</t>
  </si>
  <si>
    <t>0961493129</t>
  </si>
  <si>
    <t>01/19/2026 17:19:13</t>
  </si>
  <si>
    <t>2026-01-13 10:07:07</t>
  </si>
  <si>
    <t>0375076292</t>
  </si>
  <si>
    <t>01/21/2026 19:42:35</t>
  </si>
  <si>
    <t>2026-01-13 10:41:04</t>
  </si>
  <si>
    <t>01/18/2026 00:22:19</t>
  </si>
  <si>
    <t>2026-01-13 10:50:40</t>
  </si>
  <si>
    <t>01/21/2026 19:58:55</t>
  </si>
  <si>
    <t>2026-01-13 10:52:23</t>
  </si>
  <si>
    <t>0961288242</t>
  </si>
  <si>
    <t>01/25/2026 15:01:41</t>
  </si>
  <si>
    <t>2026-01-13 10:59:48</t>
  </si>
  <si>
    <t>0328785617</t>
  </si>
  <si>
    <t>01/21/2026 18:09:57</t>
  </si>
  <si>
    <t>2026-01-13 11:02:01</t>
  </si>
  <si>
    <t>01/19/2026 17:10:25</t>
  </si>
  <si>
    <t>2026-01-13 10:53:22</t>
  </si>
  <si>
    <t>0328448313</t>
  </si>
  <si>
    <t>01/25/2026 15:02:29</t>
  </si>
  <si>
    <t>2026-01-13 11:13:46</t>
  </si>
  <si>
    <t>0394806951</t>
  </si>
  <si>
    <t>01/21/2026 18:25:18</t>
  </si>
  <si>
    <t>2026-01-13 11:06:57</t>
  </si>
  <si>
    <t>0349066053</t>
  </si>
  <si>
    <t>01/17/2026 23:03:30</t>
  </si>
  <si>
    <t>2026-01-13 11:06:13</t>
  </si>
  <si>
    <t>0335676653</t>
  </si>
  <si>
    <t>01/18/2026 00:35:41</t>
  </si>
  <si>
    <t>2026-01-13 11:21:10</t>
  </si>
  <si>
    <t>0399457844</t>
  </si>
  <si>
    <t>01/25/2026 15:03:19</t>
  </si>
  <si>
    <t>2026-01-13 11:25:32</t>
  </si>
  <si>
    <t>0945455105</t>
  </si>
  <si>
    <t>QH_04</t>
  </si>
  <si>
    <t>01/19/2026 17:03:36</t>
  </si>
  <si>
    <t>2026-01-13 11:15:33</t>
  </si>
  <si>
    <t>0374840972</t>
  </si>
  <si>
    <t>01/17/2026 23:10:53</t>
  </si>
  <si>
    <t>2026-01-13 11:22:12</t>
  </si>
  <si>
    <t>0931623179</t>
  </si>
  <si>
    <t>01/25/2026 15:04:14</t>
  </si>
  <si>
    <t>2026-01-13 13:45:08</t>
  </si>
  <si>
    <t>0396816067</t>
  </si>
  <si>
    <t>01/17/2026 23:20:14</t>
  </si>
  <si>
    <t>2026-01-13 14:01:16</t>
  </si>
  <si>
    <t>0359446424</t>
  </si>
  <si>
    <t>01/16/2026 14:51:09</t>
  </si>
  <si>
    <t>2026-01-13 13:57:24</t>
  </si>
  <si>
    <t>0333335211</t>
  </si>
  <si>
    <t>01/17/2026 23:26:26</t>
  </si>
  <si>
    <t>2026-01-13 14:20:06</t>
  </si>
  <si>
    <t>0329558337</t>
  </si>
  <si>
    <t>01/18/2026 00:52:55</t>
  </si>
  <si>
    <t>2026-01-13 14:08:53</t>
  </si>
  <si>
    <t>0966641244</t>
  </si>
  <si>
    <t>01/16/2026 07:04:55</t>
  </si>
  <si>
    <t>2026-01-13 14:42:58</t>
  </si>
  <si>
    <t>0334566239</t>
  </si>
  <si>
    <t>01/18/2026 01:05:30</t>
  </si>
  <si>
    <t>2026-01-13 14:45:19</t>
  </si>
  <si>
    <t>0325963978</t>
  </si>
  <si>
    <t>01/16/2026 06:40:39</t>
  </si>
  <si>
    <t>2026-01-13 14:53:10</t>
  </si>
  <si>
    <t>0782521281</t>
  </si>
  <si>
    <t>01/17/2026 23:39:44</t>
  </si>
  <si>
    <t>2026-01-13 15:00:44</t>
  </si>
  <si>
    <t>0355449225</t>
  </si>
  <si>
    <t>TD_02 , TD_04 , TD_05</t>
  </si>
  <si>
    <t>01/17/2026 23:53:09</t>
  </si>
  <si>
    <t>2026-01-13 15:07:51</t>
  </si>
  <si>
    <t>0968782786</t>
  </si>
  <si>
    <t>01/18/2026 00:06:17</t>
  </si>
  <si>
    <t>2026-01-13 15:11:24</t>
  </si>
  <si>
    <t>0366475370</t>
  </si>
  <si>
    <t>01/18/2026 01:27:40</t>
  </si>
  <si>
    <t>2026-01-13 15:18:22</t>
  </si>
  <si>
    <t>01/19/2026 08:06:09</t>
  </si>
  <si>
    <t>2026-01-13 15:10:40</t>
  </si>
  <si>
    <t>0348556914</t>
  </si>
  <si>
    <t>2026-01-13 15:30:51</t>
  </si>
  <si>
    <t>0397078036</t>
  </si>
  <si>
    <t>01/19/2026 16:56:30</t>
  </si>
  <si>
    <t>2026-01-13 15:14:05</t>
  </si>
  <si>
    <t>0332972304</t>
  </si>
  <si>
    <t>01/18/2026 01:35:22</t>
  </si>
  <si>
    <t>2026-01-13 15:33:09</t>
  </si>
  <si>
    <t>0896160031</t>
  </si>
  <si>
    <t>01/19/2026 09:15:43</t>
  </si>
  <si>
    <t>2026-01-13 15:34:09</t>
  </si>
  <si>
    <t>0382837244</t>
  </si>
  <si>
    <t>YT_01 , YT_02 , YT_03</t>
  </si>
  <si>
    <t>01/25/2026 15:07:02</t>
  </si>
  <si>
    <t>2026-01-13 15:42:33</t>
  </si>
  <si>
    <t>0333813330</t>
  </si>
  <si>
    <t>01/25/2026 15:07:52</t>
  </si>
  <si>
    <t>2026-01-13 15:50:52</t>
  </si>
  <si>
    <t>0379127450</t>
  </si>
  <si>
    <t>01/16/2026 06:14:02</t>
  </si>
  <si>
    <t>2026-01-13 15:32:29</t>
  </si>
  <si>
    <t>0837345749</t>
  </si>
  <si>
    <t>01/19/2026 16:45:23</t>
  </si>
  <si>
    <t>2026-01-13 15:58:33</t>
  </si>
  <si>
    <t>0395331221</t>
  </si>
  <si>
    <t>DA_06</t>
  </si>
  <si>
    <t>01/18/2026 01:44:26</t>
  </si>
  <si>
    <t>2026-01-14 11:18:30</t>
  </si>
  <si>
    <t>0325600597</t>
  </si>
  <si>
    <t>01/18/2026 17:38:50</t>
  </si>
  <si>
    <t>Member_name</t>
  </si>
  <si>
    <t>Pember participate in coffee production</t>
  </si>
  <si>
    <t>Which stage of production</t>
  </si>
  <si>
    <t>CD_01 , CD_02 , CD_03 , CD_04 , CD_05 , CD_06 , CD_07 , CD_08 , CD_10 , CD_11 , CD_12 , CD_13</t>
  </si>
  <si>
    <t>CD_01 , CD_02 , CD_03 , CD_04 , CD_05 , CD_06 , CD_07 , CD_08 , CD_10 , CD_11</t>
  </si>
  <si>
    <t>CD_01 , CD_02 , CD_03 , CD_04 , CD_05 , CD_06 , CD_07 , CD_08 , CD_10 , CD_11 , CD_12</t>
  </si>
  <si>
    <t>CD_01 , CD_02 , CD_03 , CD_04 , CD_05 , CD_06 , CD_07 , CD_08 , CD_09 , CD_10 , CD_11 , CD_12</t>
  </si>
  <si>
    <t>CD_01 , CD_02 , CD_03 , CD_04 , CD_05 , CD_06 , CD_07 , CD_08 , CD_09 , CD_10 , CD_11 , CD_12 , CD_13</t>
  </si>
  <si>
    <t>CD_01 , CD_02 , CD_03 , CD_04 , CD_05 , CD_06 , CD_07 , CD_08 , CD_10 , CD_12 , CD_13</t>
  </si>
  <si>
    <t>CD_01 , CD_02 , CD_03 , CD_05 , CD_06 , CD_07</t>
  </si>
  <si>
    <t>CD_01 , CD_02 , CD_03 , CD_04 , CD_05 , CD_06 , CD_07</t>
  </si>
  <si>
    <t>CD_01 , CD_06 , CD_07 , CD_08 , CD_11</t>
  </si>
  <si>
    <t>CD_01 , CD_02 , CD_03 , CD_05 , CD_06 , CD_07 , CD_08 , CD_09 , CD_10 , CD_11 , CD_12 , CD_13</t>
  </si>
  <si>
    <t>CD_01 , CD_04 , CD_07 , CD_02 , CD_05 , CD_08 , CD_03 , CD_06</t>
  </si>
  <si>
    <t>CD_01 , CD_02 , CD_03 , CD_05 , CD_06 , CD_07 , CD_08 , CD_10 , CD_11 , CD_12 , CD_13</t>
  </si>
  <si>
    <t>CD_01 , CD_02 , CD_03 , CD_05 , CD_06 , CD_07 , CD_08</t>
  </si>
  <si>
    <t>CD_01 , CD_07 , CD_02 , CD_05 , CD_08 , CD_03 , CD_06</t>
  </si>
  <si>
    <t>CD_01 , CD_02 , CD_03 , CD_04 , CD_05 , CD_06 , CD_07 , CD_08</t>
  </si>
  <si>
    <t>CD_05 , CD_06 , CD_07</t>
  </si>
  <si>
    <t>CD_01 , CD_02 , CD_03 , CD_04 , CD_05 , CD_06 , CD_07 , CD_10 , CD_11 , CD_12</t>
  </si>
  <si>
    <t>CD_01 , CD_02 , CD_03 , CD_06 , CD_09 , CD_10 , CD_11 , CD_12 , CD_13</t>
  </si>
  <si>
    <t>CD_01 , CD_02 , CD_03 , CD_06 , CD_07 , CD_08 , CD_10 , CD_11 , CD_12 , CD_13</t>
  </si>
  <si>
    <t>CD_01 , CD_02 , CD_03 , CD_05 , CD_06 , CD_07 , CD_08 , CD_12 , CD_13</t>
  </si>
  <si>
    <t>CD_05 , CD_06 , CD_07 , CD_08</t>
  </si>
  <si>
    <t>CD_01 , CD_02 , CD_03 , CD_06 , CD_07 , CD_08</t>
  </si>
  <si>
    <t>CD_01 , CD_02 , CD_03 , CD_05 , CD_06 , CD_07 , CD_08 , CD_10 , CD_11</t>
  </si>
  <si>
    <t>CD_01 , CD_03 , CD_05 , CD_07 , CD_08 , CD_09 , CD_10 , CD_11 , CD_12</t>
  </si>
  <si>
    <t>CD_01 , CD_02 , CD_03 , CD_05 , CD_06 , CD_07 , CD_08 , CD_11</t>
  </si>
  <si>
    <t>CD_01 , CD_02 , CD_05 , CD_06 , CD_07 , CD_08 , CD_10 , CD_11</t>
  </si>
  <si>
    <t>CD_01 , CD_02 , CD_03 , CD_05 , CD_06 , CD_07 , CD_08 , CD_10 , CD_11 , CD_12</t>
  </si>
  <si>
    <t>CD_01 , CD_02 , CD_03 , CD_05 , CD_06 , CD_07 , CD_08 , CD_10 , CD_11 , CD_13</t>
  </si>
  <si>
    <t>CD_02 , CD_03 , CD_05 , CD_06 , CD_07 , CD_08 , CD_10 , CD_11</t>
  </si>
  <si>
    <t>CD_02 , CD_03 , CD_04 , CD_05 , CD_06 , CD_07 , CD_08 , CD_10 , CD_11</t>
  </si>
  <si>
    <t>CD_01 , CD_02 , CD_03 , CD_06 , CD_11</t>
  </si>
  <si>
    <t>CD_02 , CD_06 , CD_07 , CD_08 , CD_11</t>
  </si>
  <si>
    <t>CD_05 , CD_06 , CD_11</t>
  </si>
  <si>
    <t>CD_01 , CD_02 , CD_03 , CD_05 , CD_06 , CD_07 , CD_08 , CD_09 , CD_10 , CD_11</t>
  </si>
  <si>
    <t>CD_05 , CD_06 , CD_07 , CD_10 , CD_11</t>
  </si>
  <si>
    <t>CD_01 , CD_02 , CD_03 , CD_04 , CD_05</t>
  </si>
  <si>
    <t>CD_01 , CD_06 , CD_07 , CD_08 , CD_10 , CD_12 , CD_13</t>
  </si>
  <si>
    <t>CD_01 , CD_02 , CD_03 , CD_06 , CD_07 , CD_08 , CD_12 , CD_13</t>
  </si>
  <si>
    <t>CD_01 , CD_02 , CD_03 , CD_05 , CD_06 , CD_07 , CD_08 , CD_10</t>
  </si>
  <si>
    <t>CD_06 , CD_07 , CD_08 , CD_10</t>
  </si>
  <si>
    <t>CD_01 , CD_03 , CD_06 , CD_07 , CD_08 , CD_09 , CD_10 , CD_11 , CD_12 , CD_13</t>
  </si>
  <si>
    <t>CD_11</t>
  </si>
  <si>
    <t>CD_06 , CD_07 , CD_10 , CD_11</t>
  </si>
  <si>
    <t>CD_06 , CD_07 , CD_11</t>
  </si>
  <si>
    <t>CD_02 , CD_03 , CD_06 , CD_07 , CD_08 , CD_10 , CD_11</t>
  </si>
  <si>
    <t>CD_02 , CD_06 , CD_07 , CD_10 , CD_11</t>
  </si>
  <si>
    <t>CD_02 , CD_05 , CD_06 , CD_07 , CD_08 , CD_10 , CD_11</t>
  </si>
  <si>
    <t>CD_05 , CD_06 , CD_07 , CD_08 , CD_11</t>
  </si>
  <si>
    <t>CD_06 , CD_07 , CD_08 , CD_10 , CD_11</t>
  </si>
  <si>
    <t>CD_01 , CD_02 , CD_06 , CD_07 , CD_08 , CD_11 , CD_12 , CD_13</t>
  </si>
  <si>
    <t>CD_01 , CD_02 , CD_03 , CD_05 , CD_06 , CD_07 , CD_08 , CD_09 , CD_10 , CD_11 , CD_12</t>
  </si>
  <si>
    <t>CD_01 , CD_02 , CD_03 , CD_04 , CD_05 , CD_06 , CD_07 , CD_08 , CD_09 , CD_10 , CD_11</t>
  </si>
  <si>
    <t>CD_03 , CD_05 , CD_06 , CD_07 , CD_08 , CD_10 , CD_11</t>
  </si>
  <si>
    <t>CD_05 , CD_06 , CD_07 , CD_08 , CD_10 , CD_11</t>
  </si>
  <si>
    <t>CD_02 , CD_03 , CD_06 , CD_07 , CD_11</t>
  </si>
  <si>
    <t>CD_07 , CD_10 , CD_11</t>
  </si>
  <si>
    <t>CD_01 , CD_04 , CD_07 , CD_10 , CD_13 , CD_02 , CD_05 , CD_08 , CD_11 , CD_03 , CD_06 , CD_09 , CD_12</t>
  </si>
  <si>
    <t>CD_01 , CD_07 , CD_10 , CD_02 , CD_05 , CD_08 , CD_11 , CD_03 , CD_06 , CD_12</t>
  </si>
  <si>
    <t>CD_01 , CD_04 , CD_07 , CD_10 , CD_02 , CD_05 , CD_08 , CD_11 , CD_03 , CD_06 , CD_09 , CD_12</t>
  </si>
  <si>
    <t>CD_01 , CD_07 , CD_10 , CD_13 , CD_02 , CD_05 , CD_08 , CD_11 , CD_03 , CD_06 , CD_12</t>
  </si>
  <si>
    <t>CD_01 , CD_02 , CD_03 , CD_05 , CD_06 , CD_07 , CD_08 , CD_10 , CD_12 , CD_13</t>
  </si>
  <si>
    <t>CD_01 , CD_02 , CD_03 , CD_06 , CD_07 , CD_08 , CD_10 , CD_12 , CD_13</t>
  </si>
  <si>
    <t>CD_01 , CD_04 , CD_07 , CD_10 , CD_13 , CD_02 , CD_05 , CD_08 , CD_11 , CD_03 , CD_06 , CD_12</t>
  </si>
  <si>
    <t>CD_01 , CD_04 , CD_07 , CD_10 , CD_02 , CD_05 , CD_08 , CD_11 , CD_03 , CD_06 , CD_12</t>
  </si>
  <si>
    <t>CD_02 , CD_03 , CD_04 , CD_05 , CD_06 , CD_07 , CD_08 , CD_09 , CD_10 , CD_11 , CD_12 , CD_13</t>
  </si>
  <si>
    <t>CD_01 , CD_07 , CD_10 , CD_13 , CD_02 , CD_05 , CD_08 , CD_11 , CD_03 , CD_06 , CD_09 , CD_12</t>
  </si>
  <si>
    <t>CD_01 , CD_02 , CD_03 , CD_04 , CD_05 , CD_06 , CD_07 , CD_08 , CD_09 , CD_10 , CD_11 , CD_13</t>
  </si>
  <si>
    <t>CD_01 , CD_02 , CD_03 , CD_04 , CD_05 , CD_06 , CD_09 , CD_10 , CD_11 , CD_12 , CD_13</t>
  </si>
  <si>
    <t>CD_01 , CD_02 , CD_03 , CD_05 , CD_06 , CD_10 , CD_11 , CD_12 , CD_13</t>
  </si>
  <si>
    <t>CD_01 , CD_02 , CD_03 , CD_04 , CD_05 , CD_06 , CD_07 , CD_08 , CD_09 , CD_10 , CD_12 , CD_13</t>
  </si>
  <si>
    <t>CD_01 , CD_02 , CD_03 , CD_05 , CD_07 , CD_08 , CD_10 , CD_12 , CD_13</t>
  </si>
  <si>
    <t>CD_02 , CD_04 , CD_05 , CD_06 , CD_07 , CD_08 , CD_10 , CD_11 , CD_12 , CD_13</t>
  </si>
  <si>
    <t>CD_01 , CD_02 , CD_03 , CD_04 , CD_05 , CD_06 , CD_07 , CD_08 , CD_12 , CD_13</t>
  </si>
  <si>
    <t>CD_01 , CD_02 , CD_03 , CD_04 , CD_05 , CD_06 , CD_07 , CD_08 , CD_09 , CD_11</t>
  </si>
  <si>
    <t>CD_02 , CD_03 , CD_04 , CD_05 , CD_06 , CD_07 , CD_08 , CD_10 , CD_11 , CD_12 , CD_13</t>
  </si>
  <si>
    <t>CD_06 , CD_08 , CD_10 , CD_11</t>
  </si>
  <si>
    <t>CD_01 , CD_02 , CD_03 , CD_06 , CD_07 , CD_08 , CD_10</t>
  </si>
  <si>
    <t>CD_01 , CD_02 , CD_03 , CD_06 , CD_07 , CD_08 , CD_09 , CD_10 , CD_12 , CD_13</t>
  </si>
  <si>
    <t>CD_02 , CD_06</t>
  </si>
  <si>
    <t>CD_13</t>
  </si>
  <si>
    <t>CD_01 , CD_02 , CD_03 , CD_04 , CD_05 , CD_06 , CD_07 , CD_08 , CD_10</t>
  </si>
  <si>
    <t>CD_01 , CD_02 , CD_03 , CD_05 , CD_06 , CD_07 , CD_08 , CD_09 , CD_12 , CD_13</t>
  </si>
  <si>
    <t>CD_01 , CD_02 , CD_04 , CD_05 , CD_06 , CD_07 , CD_08 , CD_10 , CD_11 , CD_12 , CD_13</t>
  </si>
  <si>
    <t>CD_01 , CD_06 , CD_07 , CD_08 , CD_12 , CD_13</t>
  </si>
  <si>
    <t>CD_01 , CD_02 , CD_03 , CD_05 , CD_06 , CD_08 , CD_10 , CD_11 , CD_12 , CD_13</t>
  </si>
  <si>
    <t>CD_01 , CD_03 , CD_06 , CD_07 , CD_08 , CD_10</t>
  </si>
  <si>
    <t>CD_01 , CD_06 , CD_07 , CD_08 , CD_09 , CD_11 , CD_12 , CD_13</t>
  </si>
  <si>
    <t>CD_02 , CD_03 , CD_04 , CD_05 , CD_06 , CD_07 , CD_08 , CD_10 , CD_11 , CD_12</t>
  </si>
  <si>
    <t>CD_06 , CD_07 , CD_08 , CD_09 , CD_12 , CD_13</t>
  </si>
  <si>
    <t>CD_01 , CD_05 , CD_06 , CD_07 , CD_08 , CD_09 , CD_10 , CD_11 , CD_12</t>
  </si>
  <si>
    <t>CD_01 , CD_02 , CD_03 , CD_06 , CD_07 , CD_08 , CD_09 , CD_10 , CD_11 , CD_12 , CD_13</t>
  </si>
  <si>
    <t>CD_10 , CD_02 , CD_05 , CD_08 , CD_11 , CD_06</t>
  </si>
  <si>
    <t>CD_01 , CD_03 , CD_06 , CD_07 , CD_08 , CD_12 , CD_13</t>
  </si>
  <si>
    <t>CD_01 , CD_02 , CD_05 , CD_06 , CD_07 , CD_08 , CD_09 , CD_11 , CD_12 , CD_13</t>
  </si>
  <si>
    <t>CD_06 , CD_07 , CD_11 , CD_12 , CD_13</t>
  </si>
  <si>
    <t>CD_01 , CD_03 , CD_05 , CD_06 , CD_07 , CD_08 , CD_10 , CD_12 , CD_13</t>
  </si>
  <si>
    <t>CD_01 , CD_02 , CD_05 , CD_06 , CD_07 , CD_08 , CD_09 , CD_10 , CD_11 , CD_12 , CD_13</t>
  </si>
  <si>
    <t>CD_06 , CD_07 , CD_08 , CD_13</t>
  </si>
  <si>
    <t>CD_02 , CD_03 , CD_06 , CD_07 , CD_08 , CD_10 , CD_11 , CD_12 , CD_13</t>
  </si>
  <si>
    <t>CD_02 , CD_06 , CD_07 , CD_08 , CD_09 , CD_10 , CD_11 , CD_12 , CD_13</t>
  </si>
  <si>
    <t>CD_07 , CD_10 , CD_13 , CD_02 , CD_05 , CD_08 , CD_11 , CD_03 , CD_06 , CD_09 , CD_12</t>
  </si>
  <si>
    <t>CD_01 , CD_07 , CD_10 , CD_13 , CD_05 , CD_08 , CD_11 , CD_03 , CD_06 , CD_12</t>
  </si>
  <si>
    <t>CD_01 , CD_04 , CD_07 , CD_10 , CD_13 , CD_02 , CD_05 , CD_08 , CD_11 , CD_03 , CD_12</t>
  </si>
  <si>
    <t>CD_01 , CD_07 , CD_10 , CD_02 , CD_05 , CD_08 , CD_11 , CD_03 , CD_06</t>
  </si>
  <si>
    <t>CD_02 , CD_03 , CD_05 , CD_06 , CD_07 , CD_08 , CD_10 , CD_12 , CD_13</t>
  </si>
  <si>
    <t>CD_03 , CD_05 , CD_06 , CD_07 , CD_08 , CD_09 , CD_10 , CD_11 , CD_12 , CD_13</t>
  </si>
  <si>
    <t>CD_02 , CD_03 , CD_05 , CD_06 , CD_07 , CD_08 , CD_10 , CD_11 , CD_12 , CD_13</t>
  </si>
  <si>
    <t>CD_03 , CD_05 , CD_06 , CD_08 , CD_10 , CD_11</t>
  </si>
  <si>
    <t>CD_03 , CD_05 , CD_06 , CD_08 , CD_10 , CD_11 , CD_12 , CD_13</t>
  </si>
  <si>
    <t>CD_03 , CD_05 , CD_06 , CD_07 , CD_08 , CD_10 , CD_11 , CD_12</t>
  </si>
  <si>
    <t>CD_06 , CD_07 , CD_08 , CD_12 , CD_13</t>
  </si>
  <si>
    <t>CD_02 , CD_03 , CD_04 , CD_05 , CD_06 , CD_07 , CD_08 , CD_09 , CD_12 , CD_13</t>
  </si>
  <si>
    <t>CD_10 , CD_13 , CD_02 , CD_08 , CD_11 , CD_03 , CD_06 , CD_09 , CD_12</t>
  </si>
  <si>
    <t>CD_01 , CD_04 , CD_07 , CD_10 , CD_02 , CD_05 , CD_08 , CD_11 , CD_03 , CD_06 , CD_09</t>
  </si>
  <si>
    <t>CD_07 , CD_10 , CD_13 , CD_08 , CD_11 , CD_06 , CD_12</t>
  </si>
  <si>
    <t>CD_07 , CD_10 , CD_13 , CD_08 , CD_11 , CD_03 , CD_06 , CD_12</t>
  </si>
  <si>
    <t>CD_13 , CD_08 , CD_06 , CD_12</t>
  </si>
  <si>
    <t>CD_07 , CD_10 , CD_13 , CD_05 , CD_08 , CD_11 , CD_06 , CD_12</t>
  </si>
  <si>
    <t>CD_01 , CD_07 , CD_13 , CD_05 , CD_08 , CD_11 , CD_06 , CD_12</t>
  </si>
  <si>
    <t>CD_07 , CD_10 , CD_13 , CD_02 , CD_05 , CD_08 , CD_11 , CD_03 , CD_06 , CD_12</t>
  </si>
  <si>
    <t>CD_07 , CD_10 , CD_08 , CD_11 , CD_06 , CD_12</t>
  </si>
  <si>
    <t>CD_01 , CD_02 , CD_03 , CD_06 , CD_07 , CD_08 , CD_11 , CD_12 , CD_13</t>
  </si>
  <si>
    <t>CD_01 , CD_02 , CD_05 , CD_06 , CD_07 , CD_08 , CD_10 , CD_11 , CD_12 , CD_13</t>
  </si>
  <si>
    <t>CD_05 , CD_06 , CD_07 , CD_10 , CD_11 , CD_12</t>
  </si>
  <si>
    <t>CD_01 , CD_02 , CD_03 , CD_04 , CD_05 , CD_06 , CD_07 , CD_10 , CD_11 , CD_12 , CD_13</t>
  </si>
  <si>
    <t>CD_01 , CD_02 , CD_03 , CD_04 , CD_05 , CD_06 , CD_07 , CD_08 , CD_11 , CD_12</t>
  </si>
  <si>
    <t>CD_01 , CD_02 , CD_03 , CD_05 , CD_06 , CD_07 , CD_10 , CD_11 , CD_12 , CD_13</t>
  </si>
  <si>
    <t>CD_01 , CD_02 , CD_03 , CD_05 , CD_06 , CD_07 , CD_08 , CD_11 , CD_12 , CD_13</t>
  </si>
  <si>
    <t>CD_01 , CD_02 , CD_06 , CD_07 , CD_08 , CD_10 , CD_11 , CD_12 , CD_13</t>
  </si>
  <si>
    <t>CD_01 , CD_02 , CD_05 , CD_06 , CD_07 , CD_10 , CD_11 , CD_12 , CD_13</t>
  </si>
  <si>
    <t>CD_02 , CD_05 , CD_06 , CD_07 , CD_08 , CD_10 , CD_11 , CD_12 , CD_13</t>
  </si>
  <si>
    <t>Plot_Name</t>
  </si>
  <si>
    <t>Area_Ha</t>
  </si>
  <si>
    <t>Forest area per plot</t>
  </si>
  <si>
    <t>Tree_Count</t>
  </si>
  <si>
    <t>Intercropping_YN</t>
  </si>
  <si>
    <t>Tree_Intercropping</t>
  </si>
  <si>
    <t>Other_Tree_Intercropping</t>
  </si>
  <si>
    <t>Harvest_Area</t>
  </si>
  <si>
    <t>Yield_2025</t>
  </si>
  <si>
    <t>Ownership_Type</t>
  </si>
  <si>
    <t>Other_Ownership_Type</t>
  </si>
  <si>
    <t>Start_Year</t>
  </si>
  <si>
    <t>Recent_Year</t>
  </si>
  <si>
    <t>Previous_Crop</t>
  </si>
  <si>
    <t>Other_Previous_Crop</t>
  </si>
  <si>
    <t>Forest_Distance</t>
  </si>
  <si>
    <t>GPS_Mapped_YN</t>
  </si>
  <si>
    <t>CX_02 , CX_06</t>
  </si>
  <si>
    <t>SH_02</t>
  </si>
  <si>
    <t>CT_01</t>
  </si>
  <si>
    <t>SH_01</t>
  </si>
  <si>
    <t>CT_04</t>
  </si>
  <si>
    <t>1</t>
  </si>
  <si>
    <t>CT_05</t>
  </si>
  <si>
    <t>2</t>
  </si>
  <si>
    <t>3</t>
  </si>
  <si>
    <t>CX_01</t>
  </si>
  <si>
    <t>CX_04</t>
  </si>
  <si>
    <t>CT_03</t>
  </si>
  <si>
    <t>CT_01 , CT_05</t>
  </si>
  <si>
    <t>CX_06</t>
  </si>
  <si>
    <t>CT_01 , CT_04</t>
  </si>
  <si>
    <t>CX_05</t>
  </si>
  <si>
    <t>CX_02 , CX_04</t>
  </si>
  <si>
    <t>CX_01 , CX_02 , CX_04</t>
  </si>
  <si>
    <t>CX_01 , CX_04</t>
  </si>
  <si>
    <t>CX_01 , CX_04 , CX_06</t>
  </si>
  <si>
    <t>CT_06</t>
  </si>
  <si>
    <t>CX_04 , CX_06</t>
  </si>
  <si>
    <t>4</t>
  </si>
  <si>
    <t>SH_04</t>
  </si>
  <si>
    <t>CX_02 , CX_05 , CX_06</t>
  </si>
  <si>
    <t>CX_02</t>
  </si>
  <si>
    <t>CT_04 , CT_05</t>
  </si>
  <si>
    <t>CT_02</t>
  </si>
  <si>
    <t>CX_02 , CX_04 , CX_06</t>
  </si>
  <si>
    <t>CX_01 , CX_02 , CX_04 , CX_06</t>
  </si>
  <si>
    <t>CT_01 , CT_06</t>
  </si>
  <si>
    <t>5</t>
  </si>
  <si>
    <t>Sảu riêng, bơ,...</t>
  </si>
  <si>
    <t>CT_03 , CT_06</t>
  </si>
  <si>
    <t>CX_01 , CX_02</t>
  </si>
  <si>
    <t>SH_03</t>
  </si>
  <si>
    <t>7</t>
  </si>
  <si>
    <t>8</t>
  </si>
  <si>
    <t>6</t>
  </si>
  <si>
    <t>CT_01 , CT_05 , CT_06</t>
  </si>
  <si>
    <t>CX_01 , CX_05</t>
  </si>
  <si>
    <t>CT_03 , CT_04</t>
  </si>
  <si>
    <t>SH_05</t>
  </si>
  <si>
    <t>ID_Real</t>
  </si>
  <si>
    <t>Other_Subtainable</t>
  </si>
  <si>
    <t>Is_Known</t>
  </si>
  <si>
    <t>Who_Knows_Most</t>
  </si>
  <si>
    <t>Is_Beneficial</t>
  </si>
  <si>
    <t>Is_Practiced</t>
  </si>
  <si>
    <t>Is_Certified</t>
  </si>
  <si>
    <t>Who_Practices</t>
  </si>
  <si>
    <t>TC_02</t>
  </si>
  <si>
    <t>MEM_01</t>
  </si>
  <si>
    <t>BEN_02</t>
  </si>
  <si>
    <t>TC_08</t>
  </si>
  <si>
    <t>TC_06</t>
  </si>
  <si>
    <t>MEM_06</t>
  </si>
  <si>
    <t>MEM_01 , MEM_02 , MEM_03 , MEM_04</t>
  </si>
  <si>
    <t>TC_05</t>
  </si>
  <si>
    <t>BEN_03</t>
  </si>
  <si>
    <t>MEM_01 , MEM_02</t>
  </si>
  <si>
    <t>MEM_01 , MEM_02 , MEM_03</t>
  </si>
  <si>
    <t>MEM_02</t>
  </si>
  <si>
    <t>TC_07</t>
  </si>
  <si>
    <t>MEM_01 , MEM_03</t>
  </si>
  <si>
    <t>BEN_01</t>
  </si>
  <si>
    <t>MEM_01 , MEM_03 , MEM_04</t>
  </si>
  <si>
    <t>MEM_01 , MEM_02 , MEM_04</t>
  </si>
  <si>
    <t>TC_01</t>
  </si>
  <si>
    <t>MEM_03 , MEM_02</t>
  </si>
  <si>
    <t>MEM_01 , MEM_04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</si>
</sst>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dd/yyyy\ h:mm:ss"/>
    <numFmt numFmtId="165" formatCode="yyyy\-mm\-dd\ h:mm:ss"/>
    <numFmt numFmtId="166" formatCode="dd/mm/yyyy\ hh:mm:ss"/>
    <numFmt numFmtId="167" formatCode="hh\.mm"/>
  </numFmts>
  <fonts count="12">
    <font>
      <sz val="10"/>
      <color rgb="FF000000"/>
      <name val="Arial"/>
      <scheme val="minor"/>
    </font>
    <font>
      <b/>
      <sz val="10"/>
      <color theme="1"/>
      <name val="Arial"/>
      <scheme val="minor"/>
    </font>
    <font>
      <sz val="10"/>
      <color theme="1"/>
      <name val="Arial"/>
      <scheme val="minor"/>
    </font>
    <font>
      <sz val="10"/>
      <color theme="1"/>
      <name val="Arial"/>
    </font>
    <font>
      <b/>
      <sz val="10"/>
      <color rgb="FFFF0000"/>
      <name val="Arial"/>
    </font>
    <font>
      <sz val="10"/>
      <color rgb="FFFF0000"/>
      <name val="Arial"/>
    </font>
    <font>
      <b/>
      <sz val="10"/>
      <color rgb="FF1F1F1F"/>
      <name val="Arial"/>
    </font>
    <font>
      <sz val="10"/>
      <color rgb="FF444746"/>
      <name val="Arial"/>
    </font>
    <font>
      <sz val="10"/>
      <color rgb="FF4A86E8"/>
      <name val="Arial"/>
    </font>
    <font>
      <sz val="10"/>
      <color rgb="FF0000FF"/>
      <name val="Arial"/>
    </font>
    <font>
      <sz val="10"/>
      <color rgb="FF1F1F1F"/>
      <name val="Arial"/>
    </font>
    <font>
      <b/>
      <sz val="11"/>
      <color rgb="FF222222"/>
      <name val="&quot;Google Sans&quot;"/>
    </font>
  </fonts>
  <fills count="6">
    <fill>
      <patternFill patternType="none"/>
    </fill>
    <fill>
      <patternFill patternType="gray125"/>
    </fill>
    <fill>
      <patternFill patternType="solid">
        <fgColor rgb="FFFFFF00"/>
        <bgColor rgb="FFFFFF00"/>
      </patternFill>
    </fill>
    <fill>
      <patternFill patternType="solid">
        <fgColor rgb="FFD8E5F8"/>
        <bgColor rgb="FFD8E5F8"/>
      </patternFill>
    </fill>
    <fill>
      <patternFill patternType="solid">
        <fgColor rgb="FFE1E9F7"/>
        <bgColor rgb="FFE1E9F7"/>
      </patternFill>
    </fill>
    <fill>
      <patternFill patternType="solid">
        <fgColor rgb="FFFFFF00"/>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14" fontId="2" fillId="0" borderId="0" xfId="0" applyNumberFormat="1" applyFont="1"/>
    <xf numFmtId="164" fontId="2" fillId="0" borderId="0" xfId="0" applyNumberFormat="1" applyFont="1"/>
    <xf numFmtId="10" fontId="2" fillId="0" borderId="0" xfId="0" applyNumberFormat="1" applyFont="1"/>
    <xf numFmtId="165" fontId="2" fillId="0" borderId="0" xfId="0" applyNumberFormat="1" applyFont="1"/>
    <xf numFmtId="0" fontId="3" fillId="0" borderId="0" xfId="0" applyFont="1"/>
    <xf numFmtId="0" fontId="4" fillId="2" borderId="0" xfId="0" applyFont="1" applyFill="1"/>
    <xf numFmtId="0" fontId="5" fillId="2" borderId="0" xfId="0" applyFont="1" applyFill="1"/>
    <xf numFmtId="0" fontId="6" fillId="0" borderId="0" xfId="0" applyFont="1"/>
    <xf numFmtId="0" fontId="7" fillId="0" borderId="0" xfId="0" applyFont="1"/>
    <xf numFmtId="0" fontId="8" fillId="0" borderId="0" xfId="0" applyFont="1"/>
    <xf numFmtId="0" fontId="9" fillId="0" borderId="0" xfId="0" applyFont="1"/>
    <xf numFmtId="0" fontId="3" fillId="2" borderId="0" xfId="0" applyFont="1" applyFill="1"/>
    <xf numFmtId="166" fontId="3" fillId="0" borderId="0" xfId="0" applyNumberFormat="1" applyFont="1"/>
    <xf numFmtId="0" fontId="3" fillId="0" borderId="0" xfId="0" quotePrefix="1" applyFont="1"/>
    <xf numFmtId="10" fontId="3" fillId="0" borderId="0" xfId="0" applyNumberFormat="1" applyFont="1"/>
    <xf numFmtId="0" fontId="10" fillId="0" borderId="0" xfId="0" applyFont="1"/>
    <xf numFmtId="0" fontId="2" fillId="0" borderId="0" xfId="0" quotePrefix="1" applyFont="1"/>
    <xf numFmtId="0" fontId="6" fillId="0" borderId="0" xfId="0" quotePrefix="1" applyFont="1"/>
    <xf numFmtId="167" fontId="3" fillId="0" borderId="0" xfId="0" applyNumberFormat="1" applyFont="1"/>
    <xf numFmtId="0" fontId="11" fillId="3" borderId="0" xfId="0" applyFont="1" applyFill="1"/>
    <xf numFmtId="0" fontId="11" fillId="4" borderId="0" xfId="0" applyFont="1" applyFill="1"/>
    <xf numFmtId="0" fontId="2" fillId="5" borderId="0" xfId="0" applyFont="1" applyFill="1"/>
    <xf numFmtId="0" fontId="0" fillId="5" borderId="0" xfId="0" applyFill="1"/>
    <xf numFmtId="14" fontId="2" fillId="5" borderId="0" xfId="0" applyNumberFormat="1" applyFont="1" applyFill="1"/>
    <xf numFmtId="164" fontId="2" fillId="5" borderId="0" xfId="0" applyNumberFormat="1" applyFont="1" applyFill="1"/>
  </cellXfs>
  <cellStyles count="1">
    <cellStyle name="Normal" xfId="0" builtinId="0"/>
  </cellStyles>
  <dxfs count="4">
    <dxf>
      <fill>
        <patternFill patternType="solid">
          <fgColor rgb="FFFFFF00"/>
          <bgColor rgb="FF000000"/>
        </patternFill>
      </fill>
    </dxf>
    <dxf>
      <fill>
        <patternFill patternType="solid">
          <fgColor rgb="FFFFFF00"/>
          <bgColor rgb="FF000000"/>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Z399"/>
  <sheetViews>
    <sheetView tabSelected="1" workbookViewId="0">
      <selection activeCell="C16" sqref="C16"/>
    </sheetView>
  </sheetViews>
  <sheetFormatPr defaultColWidth="12.6640625" defaultRowHeight="15.75" customHeight="1"/>
  <cols>
    <col min="1" max="1" width="24.44140625" bestFit="1" customWidth="1"/>
    <col min="2" max="2" width="11" bestFit="1" customWidth="1"/>
    <col min="3" max="3" width="32.33203125" bestFit="1" customWidth="1"/>
    <col min="4" max="4" width="18.88671875" bestFit="1" customWidth="1"/>
    <col min="5" max="5" width="20.44140625" bestFit="1" customWidth="1"/>
    <col min="6" max="6" width="22.5546875" bestFit="1" customWidth="1"/>
    <col min="7" max="7" width="18.6640625" bestFit="1" customWidth="1"/>
    <col min="8" max="8" width="18.109375" bestFit="1" customWidth="1"/>
    <col min="9" max="9" width="22.44140625" bestFit="1" customWidth="1"/>
    <col min="10" max="10" width="20" bestFit="1" customWidth="1"/>
    <col min="11" max="11" width="18.44140625" bestFit="1" customWidth="1"/>
    <col min="12" max="12" width="22.21875" bestFit="1" customWidth="1"/>
    <col min="13" max="13" width="8.5546875" bestFit="1" customWidth="1"/>
    <col min="14" max="14" width="9.109375" bestFit="1" customWidth="1"/>
    <col min="15" max="15" width="11.77734375" bestFit="1" customWidth="1"/>
    <col min="16" max="16" width="18.44140625" bestFit="1" customWidth="1"/>
    <col min="17" max="17" width="17.21875" bestFit="1" customWidth="1"/>
    <col min="18" max="18" width="35.44140625" bestFit="1" customWidth="1"/>
    <col min="19" max="19" width="26.109375" bestFit="1" customWidth="1"/>
    <col min="20" max="20" width="80.21875" bestFit="1" customWidth="1"/>
    <col min="21" max="21" width="80.77734375" bestFit="1" customWidth="1"/>
    <col min="22" max="22" width="13.44140625" bestFit="1" customWidth="1"/>
    <col min="23" max="23" width="19.109375" bestFit="1" customWidth="1"/>
    <col min="24" max="24" width="66.6640625" bestFit="1" customWidth="1"/>
    <col min="25" max="25" width="35.21875" bestFit="1" customWidth="1"/>
    <col min="26" max="26" width="31.33203125" bestFit="1" customWidth="1"/>
    <col min="27" max="27" width="38.33203125" bestFit="1" customWidth="1"/>
    <col min="28" max="28" width="16.109375" bestFit="1" customWidth="1"/>
    <col min="29" max="29" width="23.44140625" bestFit="1" customWidth="1"/>
    <col min="30" max="30" width="18.6640625" bestFit="1" customWidth="1"/>
    <col min="31" max="31" width="24.21875" bestFit="1" customWidth="1"/>
    <col min="32" max="32" width="20.88671875" bestFit="1" customWidth="1"/>
    <col min="33" max="33" width="22.109375" bestFit="1" customWidth="1"/>
    <col min="34" max="34" width="26.109375" bestFit="1" customWidth="1"/>
    <col min="35" max="35" width="57.77734375" bestFit="1" customWidth="1"/>
    <col min="36" max="36" width="20.6640625" bestFit="1" customWidth="1"/>
    <col min="37" max="37" width="26" bestFit="1" customWidth="1"/>
    <col min="38" max="38" width="68.109375" bestFit="1" customWidth="1"/>
    <col min="39" max="39" width="63.33203125" bestFit="1" customWidth="1"/>
    <col min="40" max="40" width="25.44140625" bestFit="1" customWidth="1"/>
    <col min="41" max="41" width="16.88671875" bestFit="1" customWidth="1"/>
    <col min="42" max="42" width="11.33203125" bestFit="1" customWidth="1"/>
    <col min="43" max="43" width="35.88671875" bestFit="1" customWidth="1"/>
    <col min="44" max="44" width="87.21875" bestFit="1" customWidth="1"/>
    <col min="45" max="45" width="20.5546875" bestFit="1" customWidth="1"/>
    <col min="46" max="46" width="39.88671875" bestFit="1" customWidth="1"/>
    <col min="47" max="47" width="97.6640625" bestFit="1" customWidth="1"/>
    <col min="48" max="48" width="126.6640625" bestFit="1" customWidth="1"/>
    <col min="49" max="49" width="100.5546875" bestFit="1" customWidth="1"/>
    <col min="50" max="50" width="9.44140625" bestFit="1" customWidth="1"/>
    <col min="51" max="51" width="28.77734375" bestFit="1" customWidth="1"/>
    <col min="52" max="52" width="76" bestFit="1" customWidth="1"/>
    <col min="53" max="53" width="45" bestFit="1" customWidth="1"/>
    <col min="54" max="54" width="130.88671875" bestFit="1" customWidth="1"/>
    <col min="55" max="55" width="161.77734375" bestFit="1" customWidth="1"/>
    <col min="56" max="56" width="117.5546875" bestFit="1" customWidth="1"/>
    <col min="57" max="57" width="60.21875" bestFit="1" customWidth="1"/>
    <col min="58" max="58" width="66" bestFit="1" customWidth="1"/>
    <col min="59" max="59" width="60.88671875" bestFit="1" customWidth="1"/>
    <col min="60" max="60" width="52.88671875" bestFit="1" customWidth="1"/>
    <col min="61" max="61" width="64.109375" bestFit="1" customWidth="1"/>
    <col min="62" max="62" width="7.5546875" bestFit="1" customWidth="1"/>
    <col min="63" max="63" width="20.33203125" bestFit="1" customWidth="1"/>
    <col min="64" max="64" width="67.88671875" bestFit="1" customWidth="1"/>
    <col min="65" max="65" width="75.5546875" bestFit="1" customWidth="1"/>
    <col min="66" max="66" width="101.21875" bestFit="1" customWidth="1"/>
    <col min="67" max="67" width="74.33203125" bestFit="1" customWidth="1"/>
    <col min="68" max="68" width="79.88671875" bestFit="1" customWidth="1"/>
    <col min="69" max="69" width="83.21875" bestFit="1" customWidth="1"/>
    <col min="70" max="70" width="46.33203125" bestFit="1" customWidth="1"/>
    <col min="71" max="71" width="55.77734375" bestFit="1" customWidth="1"/>
    <col min="72" max="72" width="74.44140625" bestFit="1" customWidth="1"/>
    <col min="73" max="73" width="54.5546875" bestFit="1" customWidth="1"/>
    <col min="74" max="74" width="143.44140625" bestFit="1" customWidth="1"/>
    <col min="75" max="75" width="45" bestFit="1" customWidth="1"/>
    <col min="76" max="76" width="62.109375" bestFit="1" customWidth="1"/>
    <col min="77" max="77" width="118.33203125" bestFit="1" customWidth="1"/>
    <col min="78" max="78" width="175.33203125" bestFit="1" customWidth="1"/>
    <col min="79" max="79" width="126.21875" bestFit="1" customWidth="1"/>
    <col min="80" max="80" width="9" bestFit="1" customWidth="1"/>
    <col min="81" max="81" width="27.77734375" bestFit="1" customWidth="1"/>
    <col min="82" max="82" width="21.109375" bestFit="1" customWidth="1"/>
    <col min="83" max="83" width="11.88671875" bestFit="1" customWidth="1"/>
    <col min="84" max="84" width="17.44140625" bestFit="1" customWidth="1"/>
    <col min="85" max="85" width="47.44140625" bestFit="1" customWidth="1"/>
    <col min="86" max="86" width="12.21875" bestFit="1" customWidth="1"/>
    <col min="87" max="87" width="17.77734375" bestFit="1" customWidth="1"/>
    <col min="88" max="88" width="27.6640625" bestFit="1" customWidth="1"/>
    <col min="89" max="89" width="26.109375" bestFit="1" customWidth="1"/>
    <col min="90" max="90" width="18.5546875" bestFit="1" customWidth="1"/>
    <col min="91" max="91" width="21.109375" bestFit="1" customWidth="1"/>
    <col min="92" max="92" width="25.44140625" bestFit="1" customWidth="1"/>
    <col min="93" max="93" width="16" bestFit="1" customWidth="1"/>
    <col min="94" max="94" width="15.6640625" bestFit="1" customWidth="1"/>
    <col min="95" max="95" width="17.44140625" bestFit="1" customWidth="1"/>
    <col min="96" max="96" width="42.33203125" bestFit="1" customWidth="1"/>
    <col min="97" max="97" width="15.109375" bestFit="1" customWidth="1"/>
    <col min="98" max="98" width="39" bestFit="1" customWidth="1"/>
    <col min="99" max="99" width="51" bestFit="1" customWidth="1"/>
    <col min="100" max="100" width="14" bestFit="1" customWidth="1"/>
    <col min="101" max="101" width="48.88671875" bestFit="1" customWidth="1"/>
    <col min="102" max="102" width="90.109375" bestFit="1" customWidth="1"/>
    <col min="103" max="103" width="37.77734375" bestFit="1" customWidth="1"/>
    <col min="104" max="104" width="65.33203125" bestFit="1" customWidth="1"/>
    <col min="105" max="105" width="70.6640625" bestFit="1" customWidth="1"/>
    <col min="106" max="106" width="66.33203125" bestFit="1" customWidth="1"/>
    <col min="107" max="107" width="38.6640625" bestFit="1" customWidth="1"/>
    <col min="108" max="108" width="40.21875" bestFit="1" customWidth="1"/>
    <col min="109" max="109" width="39.5546875" bestFit="1" customWidth="1"/>
    <col min="110" max="110" width="80.5546875" bestFit="1" customWidth="1"/>
    <col min="111" max="111" width="92.109375" bestFit="1" customWidth="1"/>
    <col min="112" max="112" width="146.109375" bestFit="1" customWidth="1"/>
    <col min="113" max="113" width="105.21875" bestFit="1" customWidth="1"/>
    <col min="114" max="114" width="11" bestFit="1" customWidth="1"/>
    <col min="115" max="115" width="34.33203125" bestFit="1" customWidth="1"/>
    <col min="116" max="116" width="93" bestFit="1" customWidth="1"/>
    <col min="117" max="117" width="34.88671875" bestFit="1" customWidth="1"/>
    <col min="118" max="118" width="28.33203125" bestFit="1" customWidth="1"/>
    <col min="119" max="119" width="32.88671875" bestFit="1" customWidth="1"/>
    <col min="120" max="120" width="75.5546875" bestFit="1" customWidth="1"/>
    <col min="121" max="121" width="125.5546875" bestFit="1" customWidth="1"/>
    <col min="122" max="122" width="223.88671875" bestFit="1" customWidth="1"/>
    <col min="123" max="123" width="72.44140625" bestFit="1" customWidth="1"/>
    <col min="124" max="124" width="41" bestFit="1" customWidth="1"/>
    <col min="125" max="125" width="44.88671875" bestFit="1" customWidth="1"/>
    <col min="126" max="126" width="19.21875" bestFit="1" customWidth="1"/>
    <col min="127" max="127" width="37.5546875" bestFit="1" customWidth="1"/>
    <col min="128" max="128" width="24.21875" bestFit="1" customWidth="1"/>
    <col min="129" max="129" width="15.21875" bestFit="1" customWidth="1"/>
    <col min="130" max="130" width="22.21875" bestFit="1" customWidth="1"/>
    <col min="131" max="131" width="31.5546875" bestFit="1" customWidth="1"/>
    <col min="132" max="132" width="49.109375" bestFit="1" customWidth="1"/>
    <col min="133" max="133" width="29.21875" bestFit="1" customWidth="1"/>
    <col min="134" max="134" width="9.6640625" bestFit="1" customWidth="1"/>
    <col min="135" max="135" width="122.44140625" bestFit="1" customWidth="1"/>
    <col min="136" max="136" width="72.5546875" bestFit="1" customWidth="1"/>
    <col min="137" max="137" width="194.88671875" bestFit="1" customWidth="1"/>
    <col min="138" max="138" width="21.33203125" bestFit="1" customWidth="1"/>
    <col min="139" max="139" width="30.5546875" bestFit="1" customWidth="1"/>
    <col min="140" max="140" width="82.77734375" bestFit="1" customWidth="1"/>
    <col min="141" max="141" width="96.77734375" bestFit="1" customWidth="1"/>
    <col min="142" max="142" width="59" bestFit="1" customWidth="1"/>
    <col min="143" max="143" width="43.21875" bestFit="1" customWidth="1"/>
    <col min="144" max="144" width="63.109375" bestFit="1" customWidth="1"/>
    <col min="145" max="145" width="10.21875" bestFit="1" customWidth="1"/>
    <col min="146" max="146" width="40" bestFit="1" customWidth="1"/>
    <col min="147" max="147" width="85.5546875" bestFit="1" customWidth="1"/>
    <col min="148" max="148" width="97.6640625" bestFit="1" customWidth="1"/>
    <col min="150" max="150" width="44.77734375" bestFit="1" customWidth="1"/>
    <col min="151" max="151" width="9.77734375" bestFit="1" customWidth="1"/>
    <col min="152" max="152" width="96.44140625" bestFit="1" customWidth="1"/>
    <col min="153" max="153" width="9.77734375" bestFit="1" customWidth="1"/>
    <col min="154" max="154" width="79.21875" bestFit="1" customWidth="1"/>
    <col min="155" max="155" width="9.77734375" bestFit="1" customWidth="1"/>
    <col min="156" max="156" width="33.21875" bestFit="1" customWidth="1"/>
    <col min="157" max="157" width="63.44140625" bestFit="1" customWidth="1"/>
    <col min="158" max="158" width="9.77734375" bestFit="1" customWidth="1"/>
    <col min="159" max="159" width="105.5546875" bestFit="1" customWidth="1"/>
    <col min="160" max="160" width="111.88671875" bestFit="1" customWidth="1"/>
    <col min="161" max="161" width="49.44140625" bestFit="1" customWidth="1"/>
    <col min="162" max="162" width="11.21875" bestFit="1" customWidth="1"/>
    <col min="163" max="163" width="39.88671875" bestFit="1" customWidth="1"/>
    <col min="164" max="164" width="80.21875" bestFit="1" customWidth="1"/>
    <col min="165" max="165" width="85.77734375" bestFit="1" customWidth="1"/>
    <col min="166" max="166" width="113.44140625" bestFit="1" customWidth="1"/>
    <col min="167" max="167" width="89.77734375" bestFit="1" customWidth="1"/>
    <col min="168" max="168" width="109.6640625" bestFit="1" customWidth="1"/>
    <col min="169" max="169" width="21.77734375" bestFit="1" customWidth="1"/>
    <col min="170" max="170" width="105.33203125" bestFit="1" customWidth="1"/>
    <col min="171" max="171" width="56.21875" bestFit="1" customWidth="1"/>
    <col min="172" max="172" width="11.5546875" bestFit="1" customWidth="1"/>
    <col min="173" max="173" width="34.44140625" bestFit="1" customWidth="1"/>
    <col min="174" max="174" width="183.109375" bestFit="1" customWidth="1"/>
    <col min="175" max="175" width="49.44140625" bestFit="1" customWidth="1"/>
    <col min="176" max="176" width="14" bestFit="1" customWidth="1"/>
    <col min="177" max="177" width="19.44140625" bestFit="1" customWidth="1"/>
    <col min="178" max="178" width="16.5546875" bestFit="1" customWidth="1"/>
    <col min="179" max="179" width="19.88671875" bestFit="1" customWidth="1"/>
    <col min="180" max="180" width="13.77734375" bestFit="1" customWidth="1"/>
    <col min="181" max="181" width="120.6640625" bestFit="1" customWidth="1"/>
    <col min="182" max="182" width="18" bestFit="1" customWidth="1"/>
  </cols>
  <sheetData>
    <row r="1" spans="1:18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c r="DS1" s="1" t="s">
        <v>121</v>
      </c>
      <c r="DT1" s="1" t="s">
        <v>122</v>
      </c>
      <c r="DU1" s="1" t="s">
        <v>123</v>
      </c>
      <c r="DV1" s="1" t="s">
        <v>124</v>
      </c>
      <c r="DW1" s="1" t="s">
        <v>125</v>
      </c>
      <c r="DX1" s="1" t="s">
        <v>126</v>
      </c>
      <c r="DY1" s="1" t="s">
        <v>127</v>
      </c>
      <c r="DZ1" s="1" t="s">
        <v>128</v>
      </c>
      <c r="EA1" s="1" t="s">
        <v>129</v>
      </c>
      <c r="EB1" s="1" t="s">
        <v>130</v>
      </c>
      <c r="EC1" s="1" t="s">
        <v>131</v>
      </c>
      <c r="ED1" s="1" t="s">
        <v>132</v>
      </c>
      <c r="EE1" s="1" t="s">
        <v>133</v>
      </c>
      <c r="EF1" s="1" t="s">
        <v>134</v>
      </c>
      <c r="EG1" s="1" t="s">
        <v>135</v>
      </c>
      <c r="EH1" s="1" t="s">
        <v>136</v>
      </c>
      <c r="EI1" s="1" t="s">
        <v>137</v>
      </c>
      <c r="EJ1" s="1" t="s">
        <v>138</v>
      </c>
      <c r="EK1" s="1" t="s">
        <v>139</v>
      </c>
      <c r="EL1" s="1" t="s">
        <v>140</v>
      </c>
      <c r="EM1" s="1" t="s">
        <v>141</v>
      </c>
      <c r="EN1" s="1" t="s">
        <v>142</v>
      </c>
      <c r="EO1" s="1" t="s">
        <v>143</v>
      </c>
      <c r="EP1" s="1" t="s">
        <v>144</v>
      </c>
      <c r="EQ1" s="1" t="s">
        <v>145</v>
      </c>
      <c r="ER1" s="1" t="s">
        <v>146</v>
      </c>
      <c r="ES1" s="1"/>
      <c r="ET1" s="1" t="s">
        <v>147</v>
      </c>
      <c r="EU1" s="1" t="s">
        <v>148</v>
      </c>
      <c r="EV1" s="1" t="s">
        <v>149</v>
      </c>
      <c r="EW1" s="1" t="s">
        <v>148</v>
      </c>
      <c r="EX1" s="1" t="s">
        <v>150</v>
      </c>
      <c r="EY1" s="1" t="s">
        <v>148</v>
      </c>
      <c r="EZ1" s="1" t="s">
        <v>151</v>
      </c>
      <c r="FA1" s="1" t="s">
        <v>152</v>
      </c>
      <c r="FB1" s="1" t="s">
        <v>148</v>
      </c>
      <c r="FC1" s="1" t="s">
        <v>153</v>
      </c>
      <c r="FD1" s="1" t="s">
        <v>154</v>
      </c>
      <c r="FE1" s="1" t="s">
        <v>155</v>
      </c>
      <c r="FF1" s="1" t="s">
        <v>156</v>
      </c>
      <c r="FG1" s="1" t="s">
        <v>157</v>
      </c>
      <c r="FH1" s="1" t="s">
        <v>158</v>
      </c>
      <c r="FI1" s="1" t="s">
        <v>159</v>
      </c>
      <c r="FJ1" s="1" t="s">
        <v>160</v>
      </c>
      <c r="FK1" s="1" t="s">
        <v>161</v>
      </c>
      <c r="FL1" s="1" t="s">
        <v>162</v>
      </c>
      <c r="FM1" s="1" t="s">
        <v>163</v>
      </c>
      <c r="FN1" s="1" t="s">
        <v>164</v>
      </c>
      <c r="FO1" s="1" t="s">
        <v>165</v>
      </c>
      <c r="FP1" s="1" t="s">
        <v>166</v>
      </c>
      <c r="FQ1" s="1" t="s">
        <v>167</v>
      </c>
      <c r="FR1" s="1" t="s">
        <v>168</v>
      </c>
      <c r="FS1" s="1" t="s">
        <v>169</v>
      </c>
      <c r="FT1" s="1" t="s">
        <v>170</v>
      </c>
      <c r="FU1" s="1" t="s">
        <v>171</v>
      </c>
      <c r="FV1" s="1" t="s">
        <v>172</v>
      </c>
      <c r="FW1" s="1" t="s">
        <v>173</v>
      </c>
      <c r="FX1" s="1" t="s">
        <v>174</v>
      </c>
      <c r="FY1" s="1" t="s">
        <v>133</v>
      </c>
      <c r="FZ1" s="1" t="s">
        <v>175</v>
      </c>
    </row>
    <row r="2" spans="1:182">
      <c r="A2" s="24" t="s">
        <v>523</v>
      </c>
      <c r="B2" s="25"/>
      <c r="C2" s="25"/>
      <c r="D2" s="26">
        <v>46031.242939814816</v>
      </c>
      <c r="E2" s="24" t="s">
        <v>524</v>
      </c>
      <c r="F2" s="24" t="s">
        <v>398</v>
      </c>
      <c r="G2" s="24" t="s">
        <v>179</v>
      </c>
      <c r="H2" s="24" t="s">
        <v>399</v>
      </c>
      <c r="I2" s="24" t="s">
        <v>525</v>
      </c>
      <c r="J2" s="24">
        <v>984019353</v>
      </c>
      <c r="K2" s="24" t="s">
        <v>525</v>
      </c>
      <c r="L2" s="24" t="s">
        <v>352</v>
      </c>
      <c r="M2" s="24" t="s">
        <v>183</v>
      </c>
      <c r="N2" s="24">
        <v>1973</v>
      </c>
      <c r="O2" s="24" t="s">
        <v>184</v>
      </c>
      <c r="P2" s="24" t="s">
        <v>185</v>
      </c>
      <c r="Q2" s="24" t="s">
        <v>186</v>
      </c>
      <c r="R2" s="24" t="s">
        <v>188</v>
      </c>
      <c r="S2" s="24">
        <v>15</v>
      </c>
      <c r="T2" s="24" t="s">
        <v>188</v>
      </c>
      <c r="U2" s="24" t="s">
        <v>188</v>
      </c>
      <c r="V2" s="25"/>
      <c r="W2" s="25"/>
      <c r="X2" s="25"/>
      <c r="Y2" s="24">
        <v>1000</v>
      </c>
      <c r="Z2" s="24">
        <v>1</v>
      </c>
      <c r="AA2" s="24">
        <v>1000</v>
      </c>
      <c r="AB2" s="24">
        <v>1000</v>
      </c>
      <c r="AC2" s="24">
        <v>1000</v>
      </c>
      <c r="AD2" s="24">
        <v>1200</v>
      </c>
      <c r="AE2" s="24">
        <v>200</v>
      </c>
      <c r="AF2" s="24" t="s">
        <v>188</v>
      </c>
      <c r="AG2" s="24" t="s">
        <v>188</v>
      </c>
      <c r="AH2" s="24" t="s">
        <v>188</v>
      </c>
      <c r="AI2" s="25"/>
      <c r="AJ2" s="24" t="s">
        <v>188</v>
      </c>
      <c r="AK2" s="24" t="s">
        <v>188</v>
      </c>
      <c r="AL2" s="24" t="s">
        <v>188</v>
      </c>
      <c r="AM2" s="24" t="s">
        <v>188</v>
      </c>
      <c r="AN2" s="24" t="s">
        <v>188</v>
      </c>
      <c r="AO2" s="24" t="s">
        <v>188</v>
      </c>
      <c r="AP2" s="25"/>
      <c r="AQ2" s="25"/>
      <c r="AR2" s="24">
        <v>2.27</v>
      </c>
      <c r="AS2" s="24">
        <v>3</v>
      </c>
      <c r="AT2" s="24">
        <v>12</v>
      </c>
      <c r="AU2" s="24" t="s">
        <v>238</v>
      </c>
      <c r="AV2" s="24" t="s">
        <v>238</v>
      </c>
      <c r="AW2" s="24" t="s">
        <v>188</v>
      </c>
      <c r="AX2" s="25"/>
      <c r="AY2" s="25"/>
      <c r="AZ2" s="25"/>
      <c r="BA2" s="25"/>
      <c r="BB2" s="25"/>
      <c r="BC2" s="24" t="s">
        <v>192</v>
      </c>
      <c r="BD2" s="24" t="s">
        <v>188</v>
      </c>
      <c r="BE2" s="24" t="s">
        <v>188</v>
      </c>
      <c r="BF2" s="25"/>
      <c r="BG2" s="25"/>
      <c r="BH2" s="25"/>
      <c r="BI2" s="25"/>
      <c r="BJ2" s="25"/>
      <c r="BK2" s="25"/>
      <c r="BL2" s="24" t="s">
        <v>197</v>
      </c>
      <c r="BM2" s="24" t="s">
        <v>198</v>
      </c>
      <c r="BN2" s="24" t="s">
        <v>199</v>
      </c>
      <c r="BO2" s="24" t="s">
        <v>188</v>
      </c>
      <c r="BP2" s="25"/>
      <c r="BQ2" s="24" t="s">
        <v>200</v>
      </c>
      <c r="BR2" s="25"/>
      <c r="BS2" s="24" t="s">
        <v>187</v>
      </c>
      <c r="BT2" s="24" t="s">
        <v>261</v>
      </c>
      <c r="BU2" s="25"/>
      <c r="BV2" s="24" t="s">
        <v>502</v>
      </c>
      <c r="BW2" s="25"/>
      <c r="BX2" s="24" t="s">
        <v>188</v>
      </c>
      <c r="BY2" s="24" t="s">
        <v>526</v>
      </c>
      <c r="BZ2" s="24" t="s">
        <v>203</v>
      </c>
      <c r="CA2" s="25"/>
      <c r="CB2" s="25"/>
      <c r="CC2" s="25"/>
      <c r="CD2" s="25"/>
      <c r="CE2" s="24">
        <v>12</v>
      </c>
      <c r="CF2" s="24">
        <v>1200</v>
      </c>
      <c r="CG2" s="25"/>
      <c r="CH2" s="25"/>
      <c r="CI2" s="25"/>
      <c r="CJ2" s="25"/>
      <c r="CK2" s="24">
        <v>100</v>
      </c>
      <c r="CL2" s="25"/>
      <c r="CM2" s="25"/>
      <c r="CN2" s="25"/>
      <c r="CO2" s="25"/>
      <c r="CP2" s="24">
        <v>100</v>
      </c>
      <c r="CQ2" s="25"/>
      <c r="CR2" s="24" t="s">
        <v>343</v>
      </c>
      <c r="CS2" s="25"/>
      <c r="CT2" s="24" t="s">
        <v>188</v>
      </c>
      <c r="CU2" s="24" t="s">
        <v>205</v>
      </c>
      <c r="CV2" s="25"/>
      <c r="CW2" s="24" t="s">
        <v>206</v>
      </c>
      <c r="CX2" s="25"/>
      <c r="CY2" s="24" t="s">
        <v>207</v>
      </c>
      <c r="CZ2" s="24" t="s">
        <v>207</v>
      </c>
      <c r="DA2" s="24" t="s">
        <v>208</v>
      </c>
      <c r="DB2" s="24" t="s">
        <v>208</v>
      </c>
      <c r="DC2" s="24" t="s">
        <v>300</v>
      </c>
      <c r="DD2" s="24" t="s">
        <v>299</v>
      </c>
      <c r="DE2" s="24" t="s">
        <v>300</v>
      </c>
      <c r="DF2" s="24" t="s">
        <v>300</v>
      </c>
      <c r="DG2" s="24" t="s">
        <v>300</v>
      </c>
      <c r="DH2" s="24" t="s">
        <v>300</v>
      </c>
      <c r="DI2" s="24" t="s">
        <v>300</v>
      </c>
      <c r="DJ2" s="25"/>
      <c r="DK2" s="25"/>
      <c r="DL2" s="24" t="s">
        <v>187</v>
      </c>
      <c r="DM2" s="24" t="s">
        <v>187</v>
      </c>
      <c r="DN2" s="24" t="s">
        <v>187</v>
      </c>
      <c r="DO2" s="24" t="s">
        <v>187</v>
      </c>
      <c r="DP2" s="24" t="s">
        <v>209</v>
      </c>
      <c r="DQ2" s="24" t="s">
        <v>467</v>
      </c>
      <c r="DR2" s="24" t="s">
        <v>527</v>
      </c>
      <c r="DS2" s="24" t="s">
        <v>203</v>
      </c>
      <c r="DT2" s="24" t="s">
        <v>209</v>
      </c>
      <c r="DU2" s="24" t="s">
        <v>209</v>
      </c>
      <c r="DV2" s="24" t="s">
        <v>209</v>
      </c>
      <c r="DW2" s="24" t="s">
        <v>209</v>
      </c>
      <c r="DX2" s="24" t="s">
        <v>209</v>
      </c>
      <c r="DY2" s="24" t="s">
        <v>209</v>
      </c>
      <c r="DZ2" s="24" t="s">
        <v>209</v>
      </c>
      <c r="EA2" s="24" t="s">
        <v>209</v>
      </c>
      <c r="EB2" s="24" t="s">
        <v>209</v>
      </c>
      <c r="EC2" s="25"/>
      <c r="ED2" s="25"/>
      <c r="EE2" s="25"/>
      <c r="EF2" s="24" t="s">
        <v>302</v>
      </c>
      <c r="EG2" s="24" t="s">
        <v>528</v>
      </c>
      <c r="EH2" s="25"/>
      <c r="EI2" s="25"/>
      <c r="EJ2" s="24" t="s">
        <v>238</v>
      </c>
      <c r="EK2" s="24" t="s">
        <v>187</v>
      </c>
      <c r="EL2" s="24" t="s">
        <v>188</v>
      </c>
      <c r="EM2" s="25"/>
      <c r="EN2" s="24" t="s">
        <v>214</v>
      </c>
      <c r="EO2" s="25"/>
      <c r="EP2" s="24" t="s">
        <v>230</v>
      </c>
      <c r="EQ2" s="25"/>
      <c r="ER2" s="24" t="s">
        <v>188</v>
      </c>
      <c r="ES2" s="25"/>
      <c r="ET2" s="24" t="s">
        <v>188</v>
      </c>
      <c r="EU2" s="25"/>
      <c r="EV2" s="24" t="s">
        <v>187</v>
      </c>
      <c r="EW2" s="24" t="s">
        <v>189</v>
      </c>
      <c r="EX2" s="24" t="s">
        <v>188</v>
      </c>
      <c r="EY2" s="25"/>
      <c r="EZ2" s="24" t="s">
        <v>188</v>
      </c>
      <c r="FA2" s="25"/>
      <c r="FB2" s="25"/>
      <c r="FC2" s="24" t="s">
        <v>216</v>
      </c>
      <c r="FD2" s="24" t="s">
        <v>188</v>
      </c>
      <c r="FE2" s="25"/>
      <c r="FF2" s="25"/>
      <c r="FG2" s="25"/>
      <c r="FH2" s="24" t="s">
        <v>188</v>
      </c>
      <c r="FI2" s="25"/>
      <c r="FJ2" s="24" t="s">
        <v>187</v>
      </c>
      <c r="FK2" s="24" t="s">
        <v>209</v>
      </c>
      <c r="FL2" s="24" t="s">
        <v>319</v>
      </c>
      <c r="FM2" s="25"/>
      <c r="FN2" s="24" t="s">
        <v>432</v>
      </c>
      <c r="FO2" s="25"/>
      <c r="FP2" s="25"/>
      <c r="FQ2" s="25"/>
      <c r="FR2" s="24" t="s">
        <v>529</v>
      </c>
      <c r="FS2" s="25"/>
      <c r="FT2" s="24" t="s">
        <v>219</v>
      </c>
      <c r="FU2" s="24" t="s">
        <v>219</v>
      </c>
      <c r="FV2" s="24" t="s">
        <v>233</v>
      </c>
      <c r="FW2" s="24" t="s">
        <v>219</v>
      </c>
      <c r="FX2" s="24" t="s">
        <v>233</v>
      </c>
      <c r="FY2" s="24" t="s">
        <v>530</v>
      </c>
      <c r="FZ2" s="27">
        <v>46039.407731481479</v>
      </c>
    </row>
    <row r="3" spans="1:182">
      <c r="A3" s="24" t="s">
        <v>905</v>
      </c>
      <c r="B3" s="25"/>
      <c r="C3" s="25"/>
      <c r="D3" s="27">
        <v>46266.422083333331</v>
      </c>
      <c r="E3" s="24" t="s">
        <v>906</v>
      </c>
      <c r="F3" s="24" t="s">
        <v>480</v>
      </c>
      <c r="G3" s="24" t="s">
        <v>831</v>
      </c>
      <c r="H3" s="24" t="s">
        <v>841</v>
      </c>
      <c r="I3" s="24" t="s">
        <v>907</v>
      </c>
      <c r="J3" s="24">
        <v>973919127</v>
      </c>
      <c r="K3" s="24" t="s">
        <v>908</v>
      </c>
      <c r="L3" s="24" t="s">
        <v>182</v>
      </c>
      <c r="M3" s="24" t="s">
        <v>183</v>
      </c>
      <c r="N3" s="24">
        <v>1985</v>
      </c>
      <c r="O3" s="24" t="s">
        <v>224</v>
      </c>
      <c r="P3" s="24" t="s">
        <v>185</v>
      </c>
      <c r="Q3" s="24" t="s">
        <v>186</v>
      </c>
      <c r="R3" s="24" t="s">
        <v>188</v>
      </c>
      <c r="S3" s="24">
        <v>14</v>
      </c>
      <c r="T3" s="24" t="s">
        <v>188</v>
      </c>
      <c r="U3" s="24" t="s">
        <v>188</v>
      </c>
      <c r="V3" s="25"/>
      <c r="W3" s="25"/>
      <c r="X3" s="25"/>
      <c r="Y3" s="24">
        <v>1090</v>
      </c>
      <c r="Z3" s="24">
        <v>1</v>
      </c>
      <c r="AA3" s="24">
        <v>1090</v>
      </c>
      <c r="AB3" s="24">
        <v>1090</v>
      </c>
      <c r="AC3" s="24">
        <v>1090</v>
      </c>
      <c r="AD3" s="24">
        <v>1300</v>
      </c>
      <c r="AE3" s="24">
        <v>210</v>
      </c>
      <c r="AF3" s="24" t="s">
        <v>188</v>
      </c>
      <c r="AG3" s="24" t="s">
        <v>188</v>
      </c>
      <c r="AH3" s="24" t="s">
        <v>188</v>
      </c>
      <c r="AI3" s="25"/>
      <c r="AJ3" s="24" t="s">
        <v>188</v>
      </c>
      <c r="AK3" s="24" t="s">
        <v>188</v>
      </c>
      <c r="AL3" s="24" t="s">
        <v>188</v>
      </c>
      <c r="AM3" s="24" t="s">
        <v>188</v>
      </c>
      <c r="AN3" s="24" t="s">
        <v>188</v>
      </c>
      <c r="AO3" s="24" t="s">
        <v>188</v>
      </c>
      <c r="AP3" s="25"/>
      <c r="AQ3" s="25"/>
      <c r="AR3" s="24">
        <v>3</v>
      </c>
      <c r="AS3" s="24">
        <v>4</v>
      </c>
      <c r="AT3" s="24">
        <v>13</v>
      </c>
      <c r="AU3" s="24" t="s">
        <v>238</v>
      </c>
      <c r="AV3" s="24" t="s">
        <v>238</v>
      </c>
      <c r="AW3" s="24" t="s">
        <v>188</v>
      </c>
      <c r="AX3" s="25"/>
      <c r="AY3" s="25"/>
      <c r="AZ3" s="24" t="s">
        <v>190</v>
      </c>
      <c r="BA3" s="25"/>
      <c r="BB3" s="24" t="s">
        <v>260</v>
      </c>
      <c r="BC3" s="24" t="s">
        <v>296</v>
      </c>
      <c r="BD3" s="24" t="s">
        <v>187</v>
      </c>
      <c r="BE3" s="24" t="s">
        <v>187</v>
      </c>
      <c r="BF3" s="24" t="s">
        <v>193</v>
      </c>
      <c r="BG3" s="24" t="s">
        <v>194</v>
      </c>
      <c r="BH3" s="24" t="s">
        <v>297</v>
      </c>
      <c r="BI3" s="24" t="s">
        <v>196</v>
      </c>
      <c r="BJ3" s="25"/>
      <c r="BK3" s="25"/>
      <c r="BL3" s="24" t="s">
        <v>197</v>
      </c>
      <c r="BM3" s="24" t="s">
        <v>507</v>
      </c>
      <c r="BN3" s="24" t="s">
        <v>199</v>
      </c>
      <c r="BO3" s="24" t="s">
        <v>188</v>
      </c>
      <c r="BP3" s="25"/>
      <c r="BQ3" s="24" t="s">
        <v>227</v>
      </c>
      <c r="BR3" s="25"/>
      <c r="BS3" s="24" t="s">
        <v>187</v>
      </c>
      <c r="BT3" s="24" t="s">
        <v>909</v>
      </c>
      <c r="BU3" s="25"/>
      <c r="BV3" s="24" t="s">
        <v>630</v>
      </c>
      <c r="BW3" s="25"/>
      <c r="BX3" s="24" t="s">
        <v>187</v>
      </c>
      <c r="BY3" s="24" t="s">
        <v>910</v>
      </c>
      <c r="BZ3" s="24" t="s">
        <v>209</v>
      </c>
      <c r="CA3" s="24" t="s">
        <v>911</v>
      </c>
      <c r="CB3" s="25"/>
      <c r="CC3" s="25"/>
      <c r="CD3" s="25"/>
      <c r="CE3" s="24">
        <v>13</v>
      </c>
      <c r="CF3" s="24">
        <v>1300</v>
      </c>
      <c r="CG3" s="25"/>
      <c r="CH3" s="25"/>
      <c r="CI3" s="25"/>
      <c r="CJ3" s="25"/>
      <c r="CK3" s="25"/>
      <c r="CL3" s="25"/>
      <c r="CM3" s="24">
        <v>100</v>
      </c>
      <c r="CN3" s="25"/>
      <c r="CO3" s="24">
        <v>100</v>
      </c>
      <c r="CP3" s="25"/>
      <c r="CQ3" s="25"/>
      <c r="CR3" s="24" t="s">
        <v>343</v>
      </c>
      <c r="CS3" s="25"/>
      <c r="CT3" s="24" t="s">
        <v>188</v>
      </c>
      <c r="CU3" s="24" t="s">
        <v>249</v>
      </c>
      <c r="CV3" s="25"/>
      <c r="CW3" s="24" t="s">
        <v>206</v>
      </c>
      <c r="CX3" s="25"/>
      <c r="CY3" s="24" t="s">
        <v>207</v>
      </c>
      <c r="CZ3" s="24" t="s">
        <v>207</v>
      </c>
      <c r="DA3" s="24" t="s">
        <v>300</v>
      </c>
      <c r="DB3" s="24" t="s">
        <v>207</v>
      </c>
      <c r="DC3" s="24" t="s">
        <v>300</v>
      </c>
      <c r="DD3" s="24" t="s">
        <v>300</v>
      </c>
      <c r="DE3" s="24" t="s">
        <v>300</v>
      </c>
      <c r="DF3" s="24" t="s">
        <v>207</v>
      </c>
      <c r="DG3" s="24" t="s">
        <v>207</v>
      </c>
      <c r="DH3" s="24" t="s">
        <v>207</v>
      </c>
      <c r="DI3" s="24" t="s">
        <v>300</v>
      </c>
      <c r="DJ3" s="25"/>
      <c r="DK3" s="25"/>
      <c r="DL3" s="24" t="s">
        <v>187</v>
      </c>
      <c r="DM3" s="24" t="s">
        <v>187</v>
      </c>
      <c r="DN3" s="24" t="s">
        <v>187</v>
      </c>
      <c r="DO3" s="24" t="s">
        <v>187</v>
      </c>
      <c r="DP3" s="24" t="s">
        <v>209</v>
      </c>
      <c r="DQ3" s="24" t="s">
        <v>210</v>
      </c>
      <c r="DR3" s="25"/>
      <c r="DS3" s="25"/>
      <c r="DT3" s="24" t="s">
        <v>209</v>
      </c>
      <c r="DU3" s="24" t="s">
        <v>209</v>
      </c>
      <c r="DV3" s="24" t="s">
        <v>209</v>
      </c>
      <c r="DW3" s="24" t="s">
        <v>209</v>
      </c>
      <c r="DX3" s="24" t="s">
        <v>209</v>
      </c>
      <c r="DY3" s="24" t="s">
        <v>209</v>
      </c>
      <c r="DZ3" s="24" t="s">
        <v>203</v>
      </c>
      <c r="EA3" s="24" t="s">
        <v>209</v>
      </c>
      <c r="EB3" s="24" t="s">
        <v>209</v>
      </c>
      <c r="EC3" s="24" t="s">
        <v>188</v>
      </c>
      <c r="ED3" s="25"/>
      <c r="EE3" s="25"/>
      <c r="EF3" s="24" t="s">
        <v>189</v>
      </c>
      <c r="EG3" s="24" t="s">
        <v>912</v>
      </c>
      <c r="EH3" s="25"/>
      <c r="EI3" s="25"/>
      <c r="EJ3" s="24" t="s">
        <v>203</v>
      </c>
      <c r="EK3" s="24" t="s">
        <v>187</v>
      </c>
      <c r="EL3" s="24" t="s">
        <v>188</v>
      </c>
      <c r="EM3" s="25"/>
      <c r="EN3" s="24" t="s">
        <v>214</v>
      </c>
      <c r="EO3" s="25"/>
      <c r="EP3" s="24" t="s">
        <v>230</v>
      </c>
      <c r="EQ3" s="25"/>
      <c r="ER3" s="24" t="s">
        <v>187</v>
      </c>
      <c r="ES3" s="25"/>
      <c r="ET3" s="24" t="s">
        <v>188</v>
      </c>
      <c r="EU3" s="25"/>
      <c r="EV3" s="24" t="s">
        <v>187</v>
      </c>
      <c r="EW3" s="24" t="s">
        <v>215</v>
      </c>
      <c r="EX3" s="24" t="s">
        <v>188</v>
      </c>
      <c r="EY3" s="25"/>
      <c r="EZ3" s="24" t="s">
        <v>188</v>
      </c>
      <c r="FA3" s="25"/>
      <c r="FB3" s="25"/>
      <c r="FC3" s="24" t="s">
        <v>263</v>
      </c>
      <c r="FD3" s="24" t="s">
        <v>188</v>
      </c>
      <c r="FE3" s="25"/>
      <c r="FF3" s="25"/>
      <c r="FG3" s="25"/>
      <c r="FH3" s="24" t="s">
        <v>188</v>
      </c>
      <c r="FI3" s="25"/>
      <c r="FJ3" s="24" t="s">
        <v>188</v>
      </c>
      <c r="FK3" s="24" t="s">
        <v>209</v>
      </c>
      <c r="FL3" s="24" t="s">
        <v>616</v>
      </c>
      <c r="FM3" s="25"/>
      <c r="FN3" s="24" t="s">
        <v>488</v>
      </c>
      <c r="FO3" s="25"/>
      <c r="FP3" s="25"/>
      <c r="FQ3" s="25"/>
      <c r="FR3" s="24" t="s">
        <v>913</v>
      </c>
      <c r="FS3" s="25"/>
      <c r="FT3" s="24" t="s">
        <v>233</v>
      </c>
      <c r="FU3" s="24" t="s">
        <v>233</v>
      </c>
      <c r="FV3" s="24" t="s">
        <v>233</v>
      </c>
      <c r="FW3" s="24" t="s">
        <v>233</v>
      </c>
      <c r="FX3" s="25"/>
      <c r="FY3" s="25"/>
      <c r="FZ3" s="27">
        <v>46049.382962962962</v>
      </c>
    </row>
    <row r="4" spans="1:182">
      <c r="A4" s="24" t="s">
        <v>1054</v>
      </c>
      <c r="B4" s="25"/>
      <c r="C4" s="25"/>
      <c r="D4" s="27">
        <v>46266.508391203701</v>
      </c>
      <c r="E4" s="24" t="s">
        <v>1055</v>
      </c>
      <c r="F4" s="24" t="s">
        <v>590</v>
      </c>
      <c r="G4" s="24" t="s">
        <v>831</v>
      </c>
      <c r="H4" s="24" t="s">
        <v>875</v>
      </c>
      <c r="I4" s="24" t="s">
        <v>1056</v>
      </c>
      <c r="J4" s="24">
        <v>362994035</v>
      </c>
      <c r="K4" s="24" t="s">
        <v>1056</v>
      </c>
      <c r="L4" s="24" t="s">
        <v>182</v>
      </c>
      <c r="M4" s="24" t="s">
        <v>183</v>
      </c>
      <c r="N4" s="24">
        <v>1994</v>
      </c>
      <c r="O4" s="24" t="s">
        <v>224</v>
      </c>
      <c r="P4" s="24" t="s">
        <v>185</v>
      </c>
      <c r="Q4" s="24" t="s">
        <v>226</v>
      </c>
      <c r="R4" s="24" t="s">
        <v>188</v>
      </c>
      <c r="S4" s="24">
        <v>8</v>
      </c>
      <c r="T4" s="24" t="s">
        <v>188</v>
      </c>
      <c r="U4" s="24" t="s">
        <v>187</v>
      </c>
      <c r="V4" s="25"/>
      <c r="W4" s="25"/>
      <c r="X4" s="25"/>
      <c r="Y4" s="24">
        <v>630</v>
      </c>
      <c r="Z4" s="24">
        <v>0.95240000000000002</v>
      </c>
      <c r="AA4" s="24">
        <v>600</v>
      </c>
      <c r="AB4" s="24">
        <v>600</v>
      </c>
      <c r="AC4" s="24">
        <v>600</v>
      </c>
      <c r="AD4" s="24">
        <v>700</v>
      </c>
      <c r="AE4" s="24">
        <v>100</v>
      </c>
      <c r="AF4" s="24" t="s">
        <v>188</v>
      </c>
      <c r="AG4" s="24" t="s">
        <v>187</v>
      </c>
      <c r="AH4" s="24" t="s">
        <v>188</v>
      </c>
      <c r="AI4" s="25"/>
      <c r="AJ4" s="24" t="s">
        <v>188</v>
      </c>
      <c r="AK4" s="24" t="s">
        <v>188</v>
      </c>
      <c r="AL4" s="24" t="s">
        <v>188</v>
      </c>
      <c r="AM4" s="24" t="s">
        <v>188</v>
      </c>
      <c r="AN4" s="24" t="s">
        <v>188</v>
      </c>
      <c r="AO4" s="24" t="s">
        <v>188</v>
      </c>
      <c r="AP4" s="25"/>
      <c r="AQ4" s="25"/>
      <c r="AR4" s="24">
        <v>1.5</v>
      </c>
      <c r="AS4" s="24">
        <v>3</v>
      </c>
      <c r="AT4" s="24">
        <v>6</v>
      </c>
      <c r="AU4" s="24" t="s">
        <v>189</v>
      </c>
      <c r="AV4" s="24" t="s">
        <v>189</v>
      </c>
      <c r="AW4" s="24" t="s">
        <v>188</v>
      </c>
      <c r="AX4" s="25"/>
      <c r="AY4" s="25"/>
      <c r="AZ4" s="24" t="s">
        <v>357</v>
      </c>
      <c r="BA4" s="25"/>
      <c r="BB4" s="24" t="s">
        <v>191</v>
      </c>
      <c r="BC4" s="24" t="s">
        <v>192</v>
      </c>
      <c r="BD4" s="24" t="s">
        <v>188</v>
      </c>
      <c r="BE4" s="24" t="s">
        <v>188</v>
      </c>
      <c r="BF4" s="25"/>
      <c r="BG4" s="25"/>
      <c r="BH4" s="25"/>
      <c r="BI4" s="25"/>
      <c r="BJ4" s="25"/>
      <c r="BK4" s="25"/>
      <c r="BL4" s="24" t="s">
        <v>197</v>
      </c>
      <c r="BM4" s="24" t="s">
        <v>507</v>
      </c>
      <c r="BN4" s="24" t="s">
        <v>199</v>
      </c>
      <c r="BO4" s="24" t="s">
        <v>188</v>
      </c>
      <c r="BP4" s="25"/>
      <c r="BQ4" s="24" t="s">
        <v>227</v>
      </c>
      <c r="BR4" s="25"/>
      <c r="BS4" s="24" t="s">
        <v>187</v>
      </c>
      <c r="BT4" s="24" t="s">
        <v>324</v>
      </c>
      <c r="BU4" s="25"/>
      <c r="BV4" s="24" t="s">
        <v>1057</v>
      </c>
      <c r="BW4" s="25"/>
      <c r="BX4" s="24" t="s">
        <v>187</v>
      </c>
      <c r="BY4" s="24" t="s">
        <v>1058</v>
      </c>
      <c r="BZ4" s="24" t="s">
        <v>188</v>
      </c>
      <c r="CA4" s="25"/>
      <c r="CB4" s="25"/>
      <c r="CC4" s="25"/>
      <c r="CD4" s="25"/>
      <c r="CE4" s="24">
        <v>6</v>
      </c>
      <c r="CF4" s="24">
        <v>700</v>
      </c>
      <c r="CG4" s="25"/>
      <c r="CH4" s="25"/>
      <c r="CI4" s="25"/>
      <c r="CJ4" s="25"/>
      <c r="CK4" s="25"/>
      <c r="CL4" s="25"/>
      <c r="CM4" s="24">
        <v>100</v>
      </c>
      <c r="CN4" s="25"/>
      <c r="CO4" s="24">
        <v>100</v>
      </c>
      <c r="CP4" s="25"/>
      <c r="CQ4" s="25"/>
      <c r="CR4" s="24" t="s">
        <v>1059</v>
      </c>
      <c r="CS4" s="25"/>
      <c r="CT4" s="24" t="s">
        <v>188</v>
      </c>
      <c r="CU4" s="24" t="s">
        <v>578</v>
      </c>
      <c r="CV4" s="25"/>
      <c r="CW4" s="24" t="s">
        <v>206</v>
      </c>
      <c r="CX4" s="25"/>
      <c r="CY4" s="24" t="s">
        <v>512</v>
      </c>
      <c r="CZ4" s="24" t="s">
        <v>300</v>
      </c>
      <c r="DA4" s="24" t="s">
        <v>300</v>
      </c>
      <c r="DB4" s="24" t="s">
        <v>300</v>
      </c>
      <c r="DC4" s="24" t="s">
        <v>300</v>
      </c>
      <c r="DD4" s="24" t="s">
        <v>300</v>
      </c>
      <c r="DE4" s="24" t="s">
        <v>300</v>
      </c>
      <c r="DF4" s="24" t="s">
        <v>300</v>
      </c>
      <c r="DG4" s="24" t="s">
        <v>300</v>
      </c>
      <c r="DH4" s="24" t="s">
        <v>300</v>
      </c>
      <c r="DI4" s="24" t="s">
        <v>300</v>
      </c>
      <c r="DJ4" s="25"/>
      <c r="DK4" s="25"/>
      <c r="DL4" s="24" t="s">
        <v>188</v>
      </c>
      <c r="DM4" s="24" t="s">
        <v>188</v>
      </c>
      <c r="DN4" s="25"/>
      <c r="DO4" s="25"/>
      <c r="DP4" s="24" t="s">
        <v>188</v>
      </c>
      <c r="DQ4" s="25"/>
      <c r="DR4" s="25"/>
      <c r="DS4" s="25"/>
      <c r="DT4" s="24" t="s">
        <v>203</v>
      </c>
      <c r="DU4" s="24" t="s">
        <v>203</v>
      </c>
      <c r="DV4" s="24" t="s">
        <v>203</v>
      </c>
      <c r="DW4" s="24" t="s">
        <v>203</v>
      </c>
      <c r="DX4" s="24" t="s">
        <v>203</v>
      </c>
      <c r="DY4" s="24" t="s">
        <v>203</v>
      </c>
      <c r="DZ4" s="24" t="s">
        <v>203</v>
      </c>
      <c r="EA4" s="24" t="s">
        <v>203</v>
      </c>
      <c r="EB4" s="24" t="s">
        <v>203</v>
      </c>
      <c r="EC4" s="24" t="s">
        <v>203</v>
      </c>
      <c r="ED4" s="25"/>
      <c r="EE4" s="25"/>
      <c r="EF4" s="24" t="s">
        <v>189</v>
      </c>
      <c r="EG4" s="24" t="s">
        <v>1060</v>
      </c>
      <c r="EH4" s="25"/>
      <c r="EI4" s="25"/>
      <c r="EJ4" s="24" t="s">
        <v>238</v>
      </c>
      <c r="EK4" s="24" t="s">
        <v>188</v>
      </c>
      <c r="EL4" s="24" t="s">
        <v>188</v>
      </c>
      <c r="EM4" s="25"/>
      <c r="EN4" s="24" t="s">
        <v>255</v>
      </c>
      <c r="EO4" s="25"/>
      <c r="EP4" s="24" t="s">
        <v>230</v>
      </c>
      <c r="EQ4" s="25"/>
      <c r="ER4" s="24" t="s">
        <v>188</v>
      </c>
      <c r="ES4" s="25"/>
      <c r="ET4" s="24" t="s">
        <v>188</v>
      </c>
      <c r="EU4" s="25"/>
      <c r="EV4" s="24" t="s">
        <v>188</v>
      </c>
      <c r="EW4" s="25"/>
      <c r="EX4" s="24" t="s">
        <v>188</v>
      </c>
      <c r="EY4" s="25"/>
      <c r="EZ4" s="24" t="s">
        <v>188</v>
      </c>
      <c r="FA4" s="25"/>
      <c r="FB4" s="25"/>
      <c r="FC4" s="24" t="s">
        <v>216</v>
      </c>
      <c r="FD4" s="24" t="s">
        <v>188</v>
      </c>
      <c r="FE4" s="25"/>
      <c r="FF4" s="25"/>
      <c r="FG4" s="25"/>
      <c r="FH4" s="24" t="s">
        <v>188</v>
      </c>
      <c r="FI4" s="25"/>
      <c r="FJ4" s="24" t="s">
        <v>188</v>
      </c>
      <c r="FK4" s="24" t="s">
        <v>188</v>
      </c>
      <c r="FL4" s="25"/>
      <c r="FM4" s="25"/>
      <c r="FN4" s="24" t="s">
        <v>653</v>
      </c>
      <c r="FO4" s="25"/>
      <c r="FP4" s="25"/>
      <c r="FQ4" s="25"/>
      <c r="FR4" s="24" t="s">
        <v>1061</v>
      </c>
      <c r="FS4" s="25"/>
      <c r="FT4" s="24" t="s">
        <v>233</v>
      </c>
      <c r="FU4" s="24" t="s">
        <v>219</v>
      </c>
      <c r="FV4" s="24" t="s">
        <v>219</v>
      </c>
      <c r="FW4" s="24" t="s">
        <v>233</v>
      </c>
      <c r="FX4" s="25"/>
      <c r="FY4" s="25"/>
      <c r="FZ4" s="27">
        <v>46047.59003472222</v>
      </c>
    </row>
    <row r="5" spans="1:182">
      <c r="A5" s="2" t="s">
        <v>176</v>
      </c>
      <c r="D5" s="3">
        <v>46031.012430555551</v>
      </c>
      <c r="E5" s="2" t="s">
        <v>177</v>
      </c>
      <c r="F5" s="2" t="s">
        <v>178</v>
      </c>
      <c r="G5" s="2" t="s">
        <v>179</v>
      </c>
      <c r="H5" s="2" t="s">
        <v>180</v>
      </c>
      <c r="I5" s="2" t="s">
        <v>181</v>
      </c>
      <c r="J5" s="2">
        <v>342534458</v>
      </c>
      <c r="K5" s="2" t="s">
        <v>181</v>
      </c>
      <c r="L5" s="2" t="s">
        <v>182</v>
      </c>
      <c r="M5" s="2" t="s">
        <v>183</v>
      </c>
      <c r="N5" s="2">
        <v>1997</v>
      </c>
      <c r="O5" s="2" t="s">
        <v>184</v>
      </c>
      <c r="P5" s="2" t="s">
        <v>185</v>
      </c>
      <c r="Q5" s="2" t="s">
        <v>186</v>
      </c>
      <c r="R5" s="2" t="s">
        <v>187</v>
      </c>
      <c r="S5" s="2">
        <v>12</v>
      </c>
      <c r="T5" s="2" t="s">
        <v>188</v>
      </c>
      <c r="U5" s="2" t="s">
        <v>188</v>
      </c>
      <c r="Y5" s="2">
        <v>65</v>
      </c>
      <c r="Z5" s="2">
        <v>0.92310000000000003</v>
      </c>
      <c r="AA5" s="2">
        <v>60</v>
      </c>
      <c r="AB5" s="2">
        <v>60</v>
      </c>
      <c r="AC5" s="2">
        <v>60</v>
      </c>
      <c r="AD5" s="2">
        <v>100</v>
      </c>
      <c r="AE5" s="2">
        <v>40</v>
      </c>
      <c r="AF5" s="2" t="s">
        <v>187</v>
      </c>
      <c r="AG5" s="2" t="s">
        <v>188</v>
      </c>
      <c r="AH5" s="2" t="s">
        <v>188</v>
      </c>
      <c r="AJ5" s="2" t="s">
        <v>188</v>
      </c>
      <c r="AK5" s="2" t="s">
        <v>188</v>
      </c>
      <c r="AL5" s="2" t="s">
        <v>188</v>
      </c>
      <c r="AM5" s="2" t="s">
        <v>187</v>
      </c>
      <c r="AN5" s="2" t="s">
        <v>188</v>
      </c>
      <c r="AO5" s="2" t="s">
        <v>188</v>
      </c>
      <c r="AR5" s="2">
        <v>0.6</v>
      </c>
      <c r="AS5" s="2">
        <v>2</v>
      </c>
      <c r="AT5" s="2">
        <v>1</v>
      </c>
      <c r="AU5" s="2" t="s">
        <v>189</v>
      </c>
      <c r="AV5" s="2" t="s">
        <v>189</v>
      </c>
      <c r="AW5" s="2" t="s">
        <v>188</v>
      </c>
      <c r="AZ5" s="2" t="s">
        <v>190</v>
      </c>
      <c r="BB5" s="2" t="s">
        <v>191</v>
      </c>
      <c r="BC5" s="2" t="s">
        <v>192</v>
      </c>
      <c r="BD5" s="2" t="s">
        <v>187</v>
      </c>
      <c r="BE5" s="2" t="s">
        <v>187</v>
      </c>
      <c r="BF5" s="2" t="s">
        <v>193</v>
      </c>
      <c r="BG5" s="2" t="s">
        <v>194</v>
      </c>
      <c r="BH5" s="2" t="s">
        <v>195</v>
      </c>
      <c r="BI5" s="2" t="s">
        <v>196</v>
      </c>
      <c r="BL5" s="2" t="s">
        <v>197</v>
      </c>
      <c r="BM5" s="2" t="s">
        <v>198</v>
      </c>
      <c r="BN5" s="2" t="s">
        <v>199</v>
      </c>
      <c r="BO5" s="2" t="s">
        <v>188</v>
      </c>
      <c r="BQ5" s="2" t="s">
        <v>200</v>
      </c>
      <c r="BT5" s="2" t="s">
        <v>201</v>
      </c>
      <c r="BV5" s="2" t="s">
        <v>202</v>
      </c>
      <c r="BX5" s="2" t="s">
        <v>188</v>
      </c>
      <c r="BZ5" s="2" t="s">
        <v>203</v>
      </c>
      <c r="CE5" s="2">
        <v>1</v>
      </c>
      <c r="CF5" s="2">
        <v>100</v>
      </c>
      <c r="CM5" s="2">
        <v>100</v>
      </c>
      <c r="CO5" s="2">
        <v>100</v>
      </c>
      <c r="CR5" s="2" t="s">
        <v>204</v>
      </c>
      <c r="CT5" s="2" t="s">
        <v>188</v>
      </c>
      <c r="CU5" s="2" t="s">
        <v>205</v>
      </c>
      <c r="CW5" s="2" t="s">
        <v>206</v>
      </c>
      <c r="CY5" s="2" t="s">
        <v>207</v>
      </c>
      <c r="CZ5" s="2" t="s">
        <v>207</v>
      </c>
      <c r="DA5" s="2" t="s">
        <v>208</v>
      </c>
      <c r="DB5" s="2" t="s">
        <v>208</v>
      </c>
      <c r="DC5" s="2" t="s">
        <v>208</v>
      </c>
      <c r="DD5" s="2" t="s">
        <v>208</v>
      </c>
      <c r="DE5" s="2" t="s">
        <v>208</v>
      </c>
      <c r="DF5" s="2" t="s">
        <v>208</v>
      </c>
      <c r="DG5" s="2" t="s">
        <v>208</v>
      </c>
      <c r="DH5" s="2" t="s">
        <v>208</v>
      </c>
      <c r="DI5" s="2" t="s">
        <v>208</v>
      </c>
      <c r="DL5" s="2" t="s">
        <v>187</v>
      </c>
      <c r="DM5" s="2" t="s">
        <v>187</v>
      </c>
      <c r="DN5" s="2" t="s">
        <v>187</v>
      </c>
      <c r="DO5" s="2" t="s">
        <v>187</v>
      </c>
      <c r="DP5" s="2" t="s">
        <v>209</v>
      </c>
      <c r="DQ5" s="2" t="s">
        <v>210</v>
      </c>
      <c r="DT5" s="2" t="s">
        <v>209</v>
      </c>
      <c r="DU5" s="2" t="s">
        <v>209</v>
      </c>
      <c r="DV5" s="2" t="s">
        <v>209</v>
      </c>
      <c r="DW5" s="2" t="s">
        <v>209</v>
      </c>
      <c r="DX5" s="2" t="s">
        <v>209</v>
      </c>
      <c r="DY5" s="2" t="s">
        <v>209</v>
      </c>
      <c r="DZ5" s="2" t="s">
        <v>209</v>
      </c>
      <c r="EA5" s="2" t="s">
        <v>209</v>
      </c>
      <c r="EB5" s="2" t="s">
        <v>209</v>
      </c>
      <c r="EF5" s="2" t="s">
        <v>211</v>
      </c>
      <c r="EJ5" s="2" t="s">
        <v>212</v>
      </c>
      <c r="EK5" s="2" t="s">
        <v>187</v>
      </c>
      <c r="EL5" s="2" t="s">
        <v>187</v>
      </c>
      <c r="EM5" s="2" t="s">
        <v>213</v>
      </c>
      <c r="EN5" s="2" t="s">
        <v>214</v>
      </c>
      <c r="ER5" s="2" t="s">
        <v>187</v>
      </c>
      <c r="ET5" s="2" t="s">
        <v>188</v>
      </c>
      <c r="EV5" s="2" t="s">
        <v>187</v>
      </c>
      <c r="EW5" s="2" t="s">
        <v>215</v>
      </c>
      <c r="EX5" s="2" t="s">
        <v>188</v>
      </c>
      <c r="FC5" s="2" t="s">
        <v>216</v>
      </c>
      <c r="FD5" s="2" t="s">
        <v>188</v>
      </c>
      <c r="FH5" s="2" t="s">
        <v>188</v>
      </c>
      <c r="FJ5" s="2" t="s">
        <v>187</v>
      </c>
      <c r="FK5" s="2" t="s">
        <v>209</v>
      </c>
      <c r="FL5" s="2" t="s">
        <v>217</v>
      </c>
      <c r="FN5" s="2" t="s">
        <v>218</v>
      </c>
      <c r="FT5" s="2" t="s">
        <v>219</v>
      </c>
      <c r="FU5" s="2" t="s">
        <v>219</v>
      </c>
      <c r="FV5" s="2" t="s">
        <v>219</v>
      </c>
      <c r="FW5" s="2" t="s">
        <v>219</v>
      </c>
      <c r="FZ5" s="4">
        <v>46039.703067129631</v>
      </c>
    </row>
    <row r="6" spans="1:182">
      <c r="A6" s="2" t="s">
        <v>220</v>
      </c>
      <c r="D6" s="3">
        <v>46031.024756944447</v>
      </c>
      <c r="E6" s="2" t="s">
        <v>177</v>
      </c>
      <c r="F6" s="2" t="s">
        <v>178</v>
      </c>
      <c r="G6" s="2" t="s">
        <v>179</v>
      </c>
      <c r="H6" s="2" t="s">
        <v>180</v>
      </c>
      <c r="I6" s="2" t="s">
        <v>221</v>
      </c>
      <c r="J6" s="2">
        <v>398627939</v>
      </c>
      <c r="K6" s="2" t="s">
        <v>222</v>
      </c>
      <c r="L6" s="2" t="s">
        <v>182</v>
      </c>
      <c r="M6" s="2" t="s">
        <v>223</v>
      </c>
      <c r="N6" s="2">
        <v>1962</v>
      </c>
      <c r="O6" s="2" t="s">
        <v>224</v>
      </c>
      <c r="P6" s="2" t="s">
        <v>225</v>
      </c>
      <c r="Q6" s="2" t="s">
        <v>226</v>
      </c>
      <c r="R6" s="2" t="s">
        <v>188</v>
      </c>
      <c r="S6" s="2">
        <v>17</v>
      </c>
      <c r="T6" s="2" t="s">
        <v>188</v>
      </c>
      <c r="U6" s="2" t="s">
        <v>188</v>
      </c>
      <c r="Y6" s="2">
        <v>285</v>
      </c>
      <c r="Z6" s="2">
        <v>0.87719999999999998</v>
      </c>
      <c r="AA6" s="2">
        <v>250</v>
      </c>
      <c r="AB6" s="2">
        <v>250</v>
      </c>
      <c r="AC6" s="2">
        <v>250</v>
      </c>
      <c r="AD6" s="2">
        <v>350</v>
      </c>
      <c r="AE6" s="2">
        <v>100</v>
      </c>
      <c r="AF6" s="2" t="s">
        <v>188</v>
      </c>
      <c r="AG6" s="2" t="s">
        <v>188</v>
      </c>
      <c r="AH6" s="2" t="s">
        <v>188</v>
      </c>
      <c r="AJ6" s="2" t="s">
        <v>188</v>
      </c>
      <c r="AK6" s="2" t="s">
        <v>188</v>
      </c>
      <c r="AL6" s="2" t="s">
        <v>188</v>
      </c>
      <c r="AM6" s="2" t="s">
        <v>187</v>
      </c>
      <c r="AN6" s="2" t="s">
        <v>187</v>
      </c>
      <c r="AO6" s="2" t="s">
        <v>188</v>
      </c>
      <c r="AR6" s="2">
        <v>1</v>
      </c>
      <c r="AS6" s="2">
        <v>2</v>
      </c>
      <c r="AT6" s="2">
        <v>4</v>
      </c>
      <c r="AU6" s="2" t="s">
        <v>212</v>
      </c>
      <c r="AV6" s="2" t="s">
        <v>212</v>
      </c>
      <c r="AW6" s="2" t="s">
        <v>188</v>
      </c>
      <c r="AZ6" s="2" t="s">
        <v>190</v>
      </c>
      <c r="BB6" s="2" t="s">
        <v>191</v>
      </c>
      <c r="BC6" s="2" t="s">
        <v>192</v>
      </c>
      <c r="BD6" s="2" t="s">
        <v>187</v>
      </c>
      <c r="BE6" s="2" t="s">
        <v>187</v>
      </c>
      <c r="BF6" s="2" t="s">
        <v>193</v>
      </c>
      <c r="BG6" s="2" t="s">
        <v>194</v>
      </c>
      <c r="BH6" s="2" t="s">
        <v>195</v>
      </c>
      <c r="BI6" s="2" t="s">
        <v>196</v>
      </c>
      <c r="BL6" s="2" t="s">
        <v>197</v>
      </c>
      <c r="BM6" s="2" t="s">
        <v>198</v>
      </c>
      <c r="BN6" s="2" t="s">
        <v>199</v>
      </c>
      <c r="BO6" s="2" t="s">
        <v>188</v>
      </c>
      <c r="BQ6" s="2" t="s">
        <v>227</v>
      </c>
      <c r="BS6" s="2" t="s">
        <v>187</v>
      </c>
      <c r="BT6" s="2" t="s">
        <v>201</v>
      </c>
      <c r="BV6" s="2" t="s">
        <v>228</v>
      </c>
      <c r="BX6" s="2" t="s">
        <v>188</v>
      </c>
      <c r="BZ6" s="2" t="s">
        <v>203</v>
      </c>
      <c r="CE6" s="2">
        <v>4</v>
      </c>
      <c r="CF6" s="2">
        <v>350</v>
      </c>
      <c r="CK6" s="2">
        <v>100</v>
      </c>
      <c r="CO6" s="2">
        <v>100</v>
      </c>
      <c r="CR6" s="2" t="s">
        <v>229</v>
      </c>
      <c r="CT6" s="2" t="s">
        <v>188</v>
      </c>
      <c r="CU6" s="2" t="s">
        <v>205</v>
      </c>
      <c r="CW6" s="2" t="s">
        <v>206</v>
      </c>
      <c r="CY6" s="2" t="s">
        <v>207</v>
      </c>
      <c r="CZ6" s="2" t="s">
        <v>207</v>
      </c>
      <c r="DA6" s="2" t="s">
        <v>208</v>
      </c>
      <c r="DB6" s="2" t="s">
        <v>208</v>
      </c>
      <c r="DC6" s="2" t="s">
        <v>208</v>
      </c>
      <c r="DD6" s="2" t="s">
        <v>208</v>
      </c>
      <c r="DE6" s="2" t="s">
        <v>208</v>
      </c>
      <c r="DF6" s="2" t="s">
        <v>207</v>
      </c>
      <c r="DG6" s="2" t="s">
        <v>208</v>
      </c>
      <c r="DH6" s="2" t="s">
        <v>208</v>
      </c>
      <c r="DI6" s="2" t="s">
        <v>208</v>
      </c>
      <c r="DL6" s="2" t="s">
        <v>187</v>
      </c>
      <c r="DM6" s="2" t="s">
        <v>187</v>
      </c>
      <c r="DN6" s="2" t="s">
        <v>187</v>
      </c>
      <c r="DO6" s="2" t="s">
        <v>187</v>
      </c>
      <c r="DP6" s="2" t="s">
        <v>209</v>
      </c>
      <c r="DQ6" s="2" t="s">
        <v>210</v>
      </c>
      <c r="DT6" s="2" t="s">
        <v>209</v>
      </c>
      <c r="DU6" s="2" t="s">
        <v>209</v>
      </c>
      <c r="DV6" s="2" t="s">
        <v>209</v>
      </c>
      <c r="DW6" s="2" t="s">
        <v>209</v>
      </c>
      <c r="DX6" s="2" t="s">
        <v>209</v>
      </c>
      <c r="DY6" s="2" t="s">
        <v>209</v>
      </c>
      <c r="DZ6" s="2" t="s">
        <v>209</v>
      </c>
      <c r="EA6" s="2" t="s">
        <v>209</v>
      </c>
      <c r="EB6" s="2" t="s">
        <v>209</v>
      </c>
      <c r="EF6" s="2" t="s">
        <v>211</v>
      </c>
      <c r="EJ6" s="2" t="s">
        <v>212</v>
      </c>
      <c r="EK6" s="2" t="s">
        <v>187</v>
      </c>
      <c r="EL6" s="2" t="s">
        <v>188</v>
      </c>
      <c r="EN6" s="2" t="s">
        <v>214</v>
      </c>
      <c r="EP6" s="2" t="s">
        <v>230</v>
      </c>
      <c r="ER6" s="2" t="s">
        <v>187</v>
      </c>
      <c r="ET6" s="2" t="s">
        <v>188</v>
      </c>
      <c r="EV6" s="2" t="s">
        <v>187</v>
      </c>
      <c r="EW6" s="2" t="s">
        <v>215</v>
      </c>
      <c r="EX6" s="2" t="s">
        <v>187</v>
      </c>
      <c r="EY6" s="2" t="s">
        <v>215</v>
      </c>
      <c r="FC6" s="2" t="s">
        <v>216</v>
      </c>
      <c r="FD6" s="2" t="s">
        <v>188</v>
      </c>
      <c r="FH6" s="2" t="s">
        <v>188</v>
      </c>
      <c r="FJ6" s="2" t="s">
        <v>187</v>
      </c>
      <c r="FK6" s="2" t="s">
        <v>209</v>
      </c>
      <c r="FL6" s="2" t="s">
        <v>231</v>
      </c>
      <c r="FN6" s="2" t="s">
        <v>232</v>
      </c>
      <c r="FT6" s="2" t="s">
        <v>233</v>
      </c>
      <c r="FU6" s="2" t="s">
        <v>233</v>
      </c>
      <c r="FV6" s="2" t="s">
        <v>233</v>
      </c>
      <c r="FW6" s="2" t="s">
        <v>233</v>
      </c>
      <c r="FZ6" s="4">
        <v>46039.662835648145</v>
      </c>
    </row>
    <row r="7" spans="1:182">
      <c r="A7" s="2" t="s">
        <v>234</v>
      </c>
      <c r="D7" s="3">
        <v>46031.216840277775</v>
      </c>
      <c r="E7" s="2" t="s">
        <v>177</v>
      </c>
      <c r="F7" s="2" t="s">
        <v>178</v>
      </c>
      <c r="G7" s="2" t="s">
        <v>179</v>
      </c>
      <c r="H7" s="2" t="s">
        <v>180</v>
      </c>
      <c r="I7" s="2" t="s">
        <v>235</v>
      </c>
      <c r="J7" s="2">
        <v>359223045</v>
      </c>
      <c r="K7" s="2" t="s">
        <v>236</v>
      </c>
      <c r="L7" s="2" t="s">
        <v>182</v>
      </c>
      <c r="M7" s="2" t="s">
        <v>223</v>
      </c>
      <c r="N7" s="2">
        <v>2001</v>
      </c>
      <c r="O7" s="2" t="s">
        <v>184</v>
      </c>
      <c r="P7" s="2" t="s">
        <v>237</v>
      </c>
      <c r="Q7" s="2" t="s">
        <v>226</v>
      </c>
      <c r="R7" s="2" t="s">
        <v>188</v>
      </c>
      <c r="S7" s="2">
        <v>20</v>
      </c>
      <c r="T7" s="2" t="s">
        <v>188</v>
      </c>
      <c r="U7" s="2" t="s">
        <v>188</v>
      </c>
      <c r="Y7" s="2">
        <v>140</v>
      </c>
      <c r="Z7" s="2">
        <v>1</v>
      </c>
      <c r="AA7" s="2">
        <v>140</v>
      </c>
      <c r="AB7" s="2">
        <v>140</v>
      </c>
      <c r="AC7" s="2">
        <v>140</v>
      </c>
      <c r="AD7" s="2">
        <v>190</v>
      </c>
      <c r="AE7" s="2">
        <v>50</v>
      </c>
      <c r="AF7" s="2" t="s">
        <v>187</v>
      </c>
      <c r="AG7" s="2" t="s">
        <v>188</v>
      </c>
      <c r="AH7" s="2" t="s">
        <v>188</v>
      </c>
      <c r="AJ7" s="2" t="s">
        <v>188</v>
      </c>
      <c r="AK7" s="2" t="s">
        <v>187</v>
      </c>
      <c r="AL7" s="2" t="s">
        <v>188</v>
      </c>
      <c r="AM7" s="2" t="s">
        <v>188</v>
      </c>
      <c r="AN7" s="2" t="s">
        <v>188</v>
      </c>
      <c r="AO7" s="2" t="s">
        <v>188</v>
      </c>
      <c r="AR7" s="2">
        <v>2.4</v>
      </c>
      <c r="AS7" s="2">
        <v>5</v>
      </c>
      <c r="AT7" s="2">
        <v>2</v>
      </c>
      <c r="AU7" s="2" t="s">
        <v>238</v>
      </c>
      <c r="AV7" s="2" t="s">
        <v>238</v>
      </c>
      <c r="AW7" s="2" t="s">
        <v>188</v>
      </c>
      <c r="AZ7" s="2" t="s">
        <v>239</v>
      </c>
      <c r="BB7" s="2" t="s">
        <v>191</v>
      </c>
      <c r="BC7" s="2" t="s">
        <v>192</v>
      </c>
      <c r="BD7" s="2" t="s">
        <v>188</v>
      </c>
      <c r="BE7" s="2" t="s">
        <v>187</v>
      </c>
      <c r="BF7" s="2" t="s">
        <v>193</v>
      </c>
      <c r="BG7" s="2" t="s">
        <v>194</v>
      </c>
      <c r="BH7" s="2" t="s">
        <v>195</v>
      </c>
      <c r="BI7" s="2" t="s">
        <v>196</v>
      </c>
      <c r="BL7" s="2" t="s">
        <v>240</v>
      </c>
      <c r="BO7" s="2" t="s">
        <v>188</v>
      </c>
      <c r="BQ7" s="2" t="s">
        <v>200</v>
      </c>
      <c r="BS7" s="2" t="s">
        <v>187</v>
      </c>
      <c r="BT7" s="2" t="s">
        <v>241</v>
      </c>
      <c r="BV7" s="2" t="s">
        <v>242</v>
      </c>
      <c r="BX7" s="2" t="s">
        <v>188</v>
      </c>
      <c r="BZ7" s="2" t="s">
        <v>203</v>
      </c>
      <c r="CE7" s="2">
        <v>2</v>
      </c>
      <c r="CF7" s="2">
        <v>190</v>
      </c>
      <c r="CM7" s="2">
        <v>100</v>
      </c>
      <c r="CO7" s="2">
        <v>100</v>
      </c>
      <c r="CR7" s="2" t="s">
        <v>204</v>
      </c>
      <c r="CT7" s="2" t="s">
        <v>188</v>
      </c>
      <c r="CU7" s="2" t="s">
        <v>205</v>
      </c>
      <c r="CW7" s="2" t="s">
        <v>206</v>
      </c>
      <c r="CY7" s="2" t="s">
        <v>207</v>
      </c>
      <c r="CZ7" s="2" t="s">
        <v>207</v>
      </c>
      <c r="DA7" s="2" t="s">
        <v>208</v>
      </c>
      <c r="DB7" s="2" t="s">
        <v>208</v>
      </c>
      <c r="DC7" s="2" t="s">
        <v>208</v>
      </c>
      <c r="DD7" s="2" t="s">
        <v>208</v>
      </c>
      <c r="DE7" s="2" t="s">
        <v>208</v>
      </c>
      <c r="DF7" s="2" t="s">
        <v>208</v>
      </c>
      <c r="DG7" s="2" t="s">
        <v>208</v>
      </c>
      <c r="DH7" s="2" t="s">
        <v>208</v>
      </c>
      <c r="DI7" s="2" t="s">
        <v>208</v>
      </c>
      <c r="DL7" s="2" t="s">
        <v>187</v>
      </c>
      <c r="DM7" s="2" t="s">
        <v>187</v>
      </c>
      <c r="DN7" s="2" t="s">
        <v>187</v>
      </c>
      <c r="DO7" s="2" t="s">
        <v>187</v>
      </c>
      <c r="DP7" s="2" t="s">
        <v>209</v>
      </c>
      <c r="DQ7" s="2" t="s">
        <v>210</v>
      </c>
      <c r="DT7" s="2" t="s">
        <v>209</v>
      </c>
      <c r="DU7" s="2" t="s">
        <v>209</v>
      </c>
      <c r="DV7" s="2" t="s">
        <v>209</v>
      </c>
      <c r="DW7" s="2" t="s">
        <v>209</v>
      </c>
      <c r="DX7" s="2" t="s">
        <v>209</v>
      </c>
      <c r="DY7" s="2" t="s">
        <v>209</v>
      </c>
      <c r="DZ7" s="2" t="s">
        <v>209</v>
      </c>
      <c r="EA7" s="2" t="s">
        <v>209</v>
      </c>
      <c r="EB7" s="2" t="s">
        <v>209</v>
      </c>
      <c r="EF7" s="2" t="s">
        <v>211</v>
      </c>
      <c r="EJ7" s="2" t="s">
        <v>189</v>
      </c>
      <c r="EK7" s="2" t="s">
        <v>187</v>
      </c>
      <c r="EL7" s="2" t="s">
        <v>188</v>
      </c>
      <c r="EP7" s="2" t="s">
        <v>230</v>
      </c>
      <c r="ER7" s="2" t="s">
        <v>187</v>
      </c>
      <c r="ET7" s="2" t="s">
        <v>188</v>
      </c>
      <c r="EV7" s="2" t="s">
        <v>187</v>
      </c>
      <c r="EW7" s="2" t="s">
        <v>215</v>
      </c>
      <c r="EX7" s="2" t="s">
        <v>187</v>
      </c>
      <c r="EY7" s="2" t="s">
        <v>215</v>
      </c>
      <c r="FC7" s="2" t="s">
        <v>216</v>
      </c>
      <c r="FD7" s="2" t="s">
        <v>188</v>
      </c>
      <c r="FH7" s="2" t="s">
        <v>188</v>
      </c>
      <c r="FJ7" s="2" t="s">
        <v>187</v>
      </c>
      <c r="FK7" s="2" t="s">
        <v>209</v>
      </c>
      <c r="FL7" s="2" t="s">
        <v>243</v>
      </c>
      <c r="FN7" s="2" t="s">
        <v>218</v>
      </c>
      <c r="FT7" s="2" t="s">
        <v>233</v>
      </c>
      <c r="FU7" s="2" t="s">
        <v>233</v>
      </c>
      <c r="FV7" s="2" t="s">
        <v>233</v>
      </c>
      <c r="FW7" s="2" t="s">
        <v>233</v>
      </c>
      <c r="FZ7" s="4">
        <v>46039.692719907405</v>
      </c>
    </row>
    <row r="8" spans="1:182">
      <c r="A8" s="2" t="s">
        <v>244</v>
      </c>
      <c r="D8" s="3">
        <v>46031.232962962968</v>
      </c>
      <c r="E8" s="2" t="s">
        <v>177</v>
      </c>
      <c r="F8" s="2" t="s">
        <v>178</v>
      </c>
      <c r="G8" s="2" t="s">
        <v>179</v>
      </c>
      <c r="H8" s="2" t="s">
        <v>180</v>
      </c>
      <c r="I8" s="2" t="s">
        <v>245</v>
      </c>
      <c r="J8" s="2">
        <v>327797875</v>
      </c>
      <c r="K8" s="2" t="s">
        <v>246</v>
      </c>
      <c r="L8" s="2" t="s">
        <v>182</v>
      </c>
      <c r="M8" s="2" t="s">
        <v>223</v>
      </c>
      <c r="N8" s="2">
        <v>1995</v>
      </c>
      <c r="O8" s="2" t="s">
        <v>184</v>
      </c>
      <c r="P8" s="2" t="s">
        <v>225</v>
      </c>
      <c r="Q8" s="2" t="s">
        <v>226</v>
      </c>
      <c r="R8" s="2" t="s">
        <v>188</v>
      </c>
      <c r="S8" s="2">
        <v>5</v>
      </c>
      <c r="T8" s="2" t="s">
        <v>188</v>
      </c>
      <c r="U8" s="2" t="s">
        <v>188</v>
      </c>
      <c r="Y8" s="2">
        <v>600</v>
      </c>
      <c r="Z8" s="2">
        <v>1</v>
      </c>
      <c r="AA8" s="2">
        <v>600</v>
      </c>
      <c r="AB8" s="2">
        <v>600</v>
      </c>
      <c r="AC8" s="2">
        <v>600</v>
      </c>
      <c r="AD8" s="2">
        <v>900</v>
      </c>
      <c r="AE8" s="2">
        <v>300</v>
      </c>
      <c r="AF8" s="2" t="s">
        <v>188</v>
      </c>
      <c r="AG8" s="2" t="s">
        <v>188</v>
      </c>
      <c r="AH8" s="2" t="s">
        <v>188</v>
      </c>
      <c r="AJ8" s="2" t="s">
        <v>188</v>
      </c>
      <c r="AK8" s="2" t="s">
        <v>188</v>
      </c>
      <c r="AL8" s="2" t="s">
        <v>188</v>
      </c>
      <c r="AM8" s="2" t="s">
        <v>188</v>
      </c>
      <c r="AN8" s="2" t="s">
        <v>188</v>
      </c>
      <c r="AO8" s="2" t="s">
        <v>188</v>
      </c>
      <c r="AR8" s="2">
        <v>3.95</v>
      </c>
      <c r="AS8" s="2">
        <v>4</v>
      </c>
      <c r="AT8" s="2">
        <v>9.1</v>
      </c>
      <c r="AU8" s="2" t="s">
        <v>189</v>
      </c>
      <c r="AV8" s="2" t="s">
        <v>189</v>
      </c>
      <c r="AW8" s="2" t="s">
        <v>188</v>
      </c>
      <c r="AZ8" s="2" t="s">
        <v>247</v>
      </c>
      <c r="BB8" s="2" t="s">
        <v>191</v>
      </c>
      <c r="BC8" s="2" t="s">
        <v>192</v>
      </c>
      <c r="BD8" s="2" t="s">
        <v>187</v>
      </c>
      <c r="BE8" s="2" t="s">
        <v>187</v>
      </c>
      <c r="BF8" s="2" t="s">
        <v>193</v>
      </c>
      <c r="BG8" s="2" t="s">
        <v>194</v>
      </c>
      <c r="BH8" s="2" t="s">
        <v>195</v>
      </c>
      <c r="BI8" s="2" t="s">
        <v>196</v>
      </c>
      <c r="BL8" s="2" t="s">
        <v>197</v>
      </c>
      <c r="BM8" s="2" t="s">
        <v>198</v>
      </c>
      <c r="BN8" s="2" t="s">
        <v>199</v>
      </c>
      <c r="BO8" s="2" t="s">
        <v>188</v>
      </c>
      <c r="BQ8" s="2" t="s">
        <v>200</v>
      </c>
      <c r="BT8" s="2" t="s">
        <v>241</v>
      </c>
      <c r="BV8" s="2" t="s">
        <v>248</v>
      </c>
      <c r="BX8" s="2" t="s">
        <v>188</v>
      </c>
      <c r="BZ8" s="2" t="s">
        <v>188</v>
      </c>
      <c r="CE8" s="2">
        <v>9.1</v>
      </c>
      <c r="CF8" s="2">
        <v>900</v>
      </c>
      <c r="CM8" s="2">
        <v>100</v>
      </c>
      <c r="CP8" s="2">
        <v>100</v>
      </c>
      <c r="CR8" s="2" t="s">
        <v>204</v>
      </c>
      <c r="CT8" s="2" t="s">
        <v>188</v>
      </c>
      <c r="CU8" s="2" t="s">
        <v>249</v>
      </c>
      <c r="CW8" s="2" t="s">
        <v>206</v>
      </c>
      <c r="CY8" s="2" t="s">
        <v>207</v>
      </c>
      <c r="CZ8" s="2" t="s">
        <v>207</v>
      </c>
      <c r="DA8" s="2" t="s">
        <v>208</v>
      </c>
      <c r="DB8" s="2" t="s">
        <v>208</v>
      </c>
      <c r="DC8" s="2" t="s">
        <v>208</v>
      </c>
      <c r="DD8" s="2" t="s">
        <v>208</v>
      </c>
      <c r="DE8" s="2" t="s">
        <v>208</v>
      </c>
      <c r="DF8" s="2" t="s">
        <v>207</v>
      </c>
      <c r="DG8" s="2" t="s">
        <v>207</v>
      </c>
      <c r="DH8" s="2" t="s">
        <v>207</v>
      </c>
      <c r="DI8" s="2" t="s">
        <v>208</v>
      </c>
      <c r="DL8" s="2" t="s">
        <v>187</v>
      </c>
      <c r="DM8" s="2" t="s">
        <v>187</v>
      </c>
      <c r="DN8" s="2" t="s">
        <v>187</v>
      </c>
      <c r="DO8" s="2" t="s">
        <v>187</v>
      </c>
      <c r="DP8" s="2" t="s">
        <v>209</v>
      </c>
      <c r="DQ8" s="2" t="s">
        <v>210</v>
      </c>
      <c r="DT8" s="2" t="s">
        <v>209</v>
      </c>
      <c r="DU8" s="2" t="s">
        <v>209</v>
      </c>
      <c r="DV8" s="2" t="s">
        <v>209</v>
      </c>
      <c r="DW8" s="2" t="s">
        <v>209</v>
      </c>
      <c r="DX8" s="2" t="s">
        <v>209</v>
      </c>
      <c r="DY8" s="2" t="s">
        <v>209</v>
      </c>
      <c r="DZ8" s="2" t="s">
        <v>209</v>
      </c>
      <c r="EA8" s="2" t="s">
        <v>209</v>
      </c>
      <c r="EB8" s="2" t="s">
        <v>209</v>
      </c>
      <c r="EF8" s="2" t="s">
        <v>211</v>
      </c>
      <c r="EJ8" s="2" t="s">
        <v>189</v>
      </c>
      <c r="EK8" s="2" t="s">
        <v>187</v>
      </c>
      <c r="EL8" s="2" t="s">
        <v>188</v>
      </c>
      <c r="EN8" s="2" t="s">
        <v>214</v>
      </c>
      <c r="EP8" s="2" t="s">
        <v>230</v>
      </c>
      <c r="ER8" s="2" t="s">
        <v>187</v>
      </c>
      <c r="ET8" s="2" t="s">
        <v>188</v>
      </c>
      <c r="EV8" s="2" t="s">
        <v>187</v>
      </c>
      <c r="EW8" s="2" t="s">
        <v>215</v>
      </c>
      <c r="EX8" s="2" t="s">
        <v>187</v>
      </c>
      <c r="EY8" s="2" t="s">
        <v>189</v>
      </c>
      <c r="FC8" s="2" t="s">
        <v>216</v>
      </c>
      <c r="FD8" s="2" t="s">
        <v>188</v>
      </c>
      <c r="FH8" s="2" t="s">
        <v>188</v>
      </c>
      <c r="FJ8" s="2" t="s">
        <v>187</v>
      </c>
      <c r="FK8" s="2" t="s">
        <v>209</v>
      </c>
      <c r="FL8" s="2" t="s">
        <v>243</v>
      </c>
      <c r="FN8" s="2" t="s">
        <v>250</v>
      </c>
      <c r="FT8" s="2" t="s">
        <v>219</v>
      </c>
      <c r="FU8" s="2" t="s">
        <v>219</v>
      </c>
      <c r="FV8" s="2" t="s">
        <v>219</v>
      </c>
      <c r="FW8" s="2" t="s">
        <v>219</v>
      </c>
      <c r="FZ8" s="4">
        <v>46039.675567129627</v>
      </c>
    </row>
    <row r="9" spans="1:182">
      <c r="A9" s="2" t="s">
        <v>251</v>
      </c>
      <c r="D9" s="3">
        <v>46031.250706018516</v>
      </c>
      <c r="E9" s="2" t="s">
        <v>177</v>
      </c>
      <c r="F9" s="2" t="s">
        <v>178</v>
      </c>
      <c r="G9" s="2" t="s">
        <v>179</v>
      </c>
      <c r="H9" s="2" t="s">
        <v>180</v>
      </c>
      <c r="I9" s="2" t="s">
        <v>252</v>
      </c>
      <c r="J9" s="2">
        <v>399556499</v>
      </c>
      <c r="K9" s="2" t="s">
        <v>252</v>
      </c>
      <c r="L9" s="2" t="s">
        <v>182</v>
      </c>
      <c r="M9" s="2" t="s">
        <v>183</v>
      </c>
      <c r="N9" s="2">
        <v>1989</v>
      </c>
      <c r="O9" s="2" t="s">
        <v>184</v>
      </c>
      <c r="P9" s="2" t="s">
        <v>185</v>
      </c>
      <c r="Q9" s="2" t="s">
        <v>226</v>
      </c>
      <c r="R9" s="2" t="s">
        <v>188</v>
      </c>
      <c r="S9" s="2">
        <v>17</v>
      </c>
      <c r="T9" s="2" t="s">
        <v>188</v>
      </c>
      <c r="U9" s="2" t="s">
        <v>188</v>
      </c>
      <c r="Y9" s="2">
        <v>200</v>
      </c>
      <c r="Z9" s="2">
        <v>0.85</v>
      </c>
      <c r="AA9" s="2">
        <v>170</v>
      </c>
      <c r="AB9" s="2">
        <v>170</v>
      </c>
      <c r="AC9" s="2">
        <v>170</v>
      </c>
      <c r="AD9" s="2">
        <v>270</v>
      </c>
      <c r="AE9" s="2">
        <v>100</v>
      </c>
      <c r="AF9" s="2" t="s">
        <v>188</v>
      </c>
      <c r="AG9" s="2" t="s">
        <v>188</v>
      </c>
      <c r="AH9" s="2" t="s">
        <v>188</v>
      </c>
      <c r="AJ9" s="2" t="s">
        <v>188</v>
      </c>
      <c r="AK9" s="2" t="s">
        <v>188</v>
      </c>
      <c r="AL9" s="2" t="s">
        <v>188</v>
      </c>
      <c r="AM9" s="2" t="s">
        <v>187</v>
      </c>
      <c r="AO9" s="2" t="s">
        <v>188</v>
      </c>
      <c r="AR9" s="2">
        <v>0.8</v>
      </c>
      <c r="AS9" s="2">
        <v>2</v>
      </c>
      <c r="AT9" s="2">
        <v>3</v>
      </c>
      <c r="AU9" s="2" t="s">
        <v>189</v>
      </c>
      <c r="AV9" s="2" t="s">
        <v>189</v>
      </c>
      <c r="AW9" s="2" t="s">
        <v>188</v>
      </c>
      <c r="BC9" s="2" t="s">
        <v>253</v>
      </c>
      <c r="BD9" s="2" t="s">
        <v>188</v>
      </c>
      <c r="BE9" s="2" t="s">
        <v>188</v>
      </c>
      <c r="BL9" s="2" t="s">
        <v>197</v>
      </c>
      <c r="BM9" s="2" t="s">
        <v>198</v>
      </c>
      <c r="BN9" s="2" t="s">
        <v>199</v>
      </c>
      <c r="BO9" s="2" t="s">
        <v>188</v>
      </c>
      <c r="BQ9" s="2" t="s">
        <v>200</v>
      </c>
      <c r="BS9" s="2" t="s">
        <v>187</v>
      </c>
      <c r="BT9" s="2" t="s">
        <v>241</v>
      </c>
      <c r="BV9" s="2" t="s">
        <v>254</v>
      </c>
      <c r="BX9" s="2" t="s">
        <v>188</v>
      </c>
      <c r="BZ9" s="2" t="s">
        <v>203</v>
      </c>
      <c r="CE9" s="2">
        <v>3</v>
      </c>
      <c r="CF9" s="2">
        <v>270</v>
      </c>
      <c r="CK9" s="2">
        <v>100</v>
      </c>
      <c r="CO9" s="2">
        <v>100</v>
      </c>
      <c r="CR9" s="2" t="s">
        <v>229</v>
      </c>
      <c r="CT9" s="2" t="s">
        <v>188</v>
      </c>
      <c r="CU9" s="2" t="s">
        <v>205</v>
      </c>
      <c r="CW9" s="2" t="s">
        <v>206</v>
      </c>
      <c r="CY9" s="2" t="s">
        <v>208</v>
      </c>
      <c r="CZ9" s="2" t="s">
        <v>208</v>
      </c>
      <c r="DA9" s="2" t="s">
        <v>208</v>
      </c>
      <c r="DB9" s="2" t="s">
        <v>208</v>
      </c>
      <c r="DE9" s="2" t="s">
        <v>208</v>
      </c>
      <c r="DF9" s="2" t="s">
        <v>208</v>
      </c>
      <c r="DL9" s="2" t="s">
        <v>187</v>
      </c>
      <c r="DM9" s="2" t="s">
        <v>187</v>
      </c>
      <c r="DN9" s="2" t="s">
        <v>187</v>
      </c>
      <c r="DO9" s="2" t="s">
        <v>187</v>
      </c>
      <c r="DP9" s="2" t="s">
        <v>209</v>
      </c>
      <c r="DQ9" s="2" t="s">
        <v>210</v>
      </c>
      <c r="DT9" s="2" t="s">
        <v>209</v>
      </c>
      <c r="DU9" s="2" t="s">
        <v>209</v>
      </c>
      <c r="DV9" s="2" t="s">
        <v>209</v>
      </c>
      <c r="DX9" s="2" t="s">
        <v>203</v>
      </c>
      <c r="DY9" s="2" t="s">
        <v>203</v>
      </c>
      <c r="DZ9" s="2" t="s">
        <v>203</v>
      </c>
      <c r="EA9" s="2" t="s">
        <v>209</v>
      </c>
      <c r="EB9" s="2" t="s">
        <v>203</v>
      </c>
      <c r="EF9" s="2" t="s">
        <v>211</v>
      </c>
      <c r="EJ9" s="2" t="s">
        <v>189</v>
      </c>
      <c r="EK9" s="2" t="s">
        <v>187</v>
      </c>
      <c r="EL9" s="2" t="s">
        <v>188</v>
      </c>
      <c r="EN9" s="2" t="s">
        <v>255</v>
      </c>
      <c r="EP9" s="2" t="s">
        <v>230</v>
      </c>
      <c r="ER9" s="2" t="s">
        <v>187</v>
      </c>
      <c r="ET9" s="2" t="s">
        <v>188</v>
      </c>
      <c r="EV9" s="2" t="s">
        <v>188</v>
      </c>
      <c r="EX9" s="2" t="s">
        <v>188</v>
      </c>
      <c r="EZ9" s="2" t="s">
        <v>188</v>
      </c>
      <c r="FC9" s="2" t="s">
        <v>216</v>
      </c>
      <c r="FD9" s="2" t="s">
        <v>188</v>
      </c>
      <c r="FH9" s="2" t="s">
        <v>188</v>
      </c>
      <c r="FJ9" s="2" t="s">
        <v>187</v>
      </c>
      <c r="FK9" s="2" t="s">
        <v>209</v>
      </c>
      <c r="FL9" s="2" t="s">
        <v>256</v>
      </c>
      <c r="FT9" s="2" t="s">
        <v>233</v>
      </c>
      <c r="FU9" s="2" t="s">
        <v>233</v>
      </c>
      <c r="FV9" s="2" t="s">
        <v>233</v>
      </c>
      <c r="FW9" s="2" t="s">
        <v>233</v>
      </c>
      <c r="FZ9" s="4">
        <v>46039.654502314814</v>
      </c>
    </row>
    <row r="10" spans="1:182">
      <c r="A10" s="2" t="s">
        <v>257</v>
      </c>
      <c r="D10" s="3">
        <v>46031.277835648143</v>
      </c>
      <c r="E10" s="2" t="s">
        <v>177</v>
      </c>
      <c r="F10" s="2" t="s">
        <v>178</v>
      </c>
      <c r="G10" s="2" t="s">
        <v>179</v>
      </c>
      <c r="H10" s="2" t="s">
        <v>180</v>
      </c>
      <c r="I10" s="2" t="s">
        <v>258</v>
      </c>
      <c r="J10" s="2">
        <v>388644753</v>
      </c>
      <c r="K10" s="2" t="s">
        <v>259</v>
      </c>
      <c r="L10" s="2" t="s">
        <v>182</v>
      </c>
      <c r="M10" s="2" t="s">
        <v>223</v>
      </c>
      <c r="N10" s="2">
        <v>1994</v>
      </c>
      <c r="O10" s="2" t="s">
        <v>184</v>
      </c>
      <c r="P10" s="2" t="s">
        <v>237</v>
      </c>
      <c r="Q10" s="2" t="s">
        <v>186</v>
      </c>
      <c r="R10" s="2" t="s">
        <v>188</v>
      </c>
      <c r="S10" s="2">
        <v>8</v>
      </c>
      <c r="T10" s="2" t="s">
        <v>188</v>
      </c>
      <c r="U10" s="2" t="s">
        <v>188</v>
      </c>
      <c r="Y10" s="2">
        <v>140</v>
      </c>
      <c r="Z10" s="2">
        <v>0.85709999999999997</v>
      </c>
      <c r="AA10" s="2">
        <v>120</v>
      </c>
      <c r="AB10" s="2">
        <v>120</v>
      </c>
      <c r="AC10" s="2">
        <v>120</v>
      </c>
      <c r="AD10" s="2">
        <v>150</v>
      </c>
      <c r="AE10" s="2">
        <v>30</v>
      </c>
      <c r="AF10" s="2" t="s">
        <v>187</v>
      </c>
      <c r="AG10" s="2" t="s">
        <v>188</v>
      </c>
      <c r="AH10" s="2" t="s">
        <v>188</v>
      </c>
      <c r="AK10" s="2" t="s">
        <v>188</v>
      </c>
      <c r="AL10" s="2" t="s">
        <v>188</v>
      </c>
      <c r="AM10" s="2" t="s">
        <v>187</v>
      </c>
      <c r="AN10" s="2" t="s">
        <v>188</v>
      </c>
      <c r="AO10" s="2" t="s">
        <v>188</v>
      </c>
      <c r="AR10" s="2">
        <v>0.45</v>
      </c>
      <c r="AS10" s="2">
        <v>1</v>
      </c>
      <c r="AT10" s="2">
        <v>1.6</v>
      </c>
      <c r="AU10" s="2" t="s">
        <v>189</v>
      </c>
      <c r="AV10" s="2" t="s">
        <v>189</v>
      </c>
      <c r="AW10" s="2" t="s">
        <v>188</v>
      </c>
      <c r="AZ10" s="2" t="s">
        <v>190</v>
      </c>
      <c r="BB10" s="2" t="s">
        <v>260</v>
      </c>
      <c r="BC10" s="2" t="s">
        <v>253</v>
      </c>
      <c r="BD10" s="2" t="s">
        <v>188</v>
      </c>
      <c r="BE10" s="2" t="s">
        <v>187</v>
      </c>
      <c r="BF10" s="2" t="s">
        <v>193</v>
      </c>
      <c r="BG10" s="2" t="s">
        <v>194</v>
      </c>
      <c r="BH10" s="2" t="s">
        <v>195</v>
      </c>
      <c r="BI10" s="2" t="s">
        <v>196</v>
      </c>
      <c r="BL10" s="2" t="s">
        <v>240</v>
      </c>
      <c r="BO10" s="2" t="s">
        <v>188</v>
      </c>
      <c r="BQ10" s="2" t="s">
        <v>200</v>
      </c>
      <c r="BS10" s="2" t="s">
        <v>188</v>
      </c>
      <c r="BT10" s="2" t="s">
        <v>261</v>
      </c>
      <c r="BV10" s="2" t="s">
        <v>254</v>
      </c>
      <c r="BX10" s="2" t="s">
        <v>188</v>
      </c>
      <c r="BZ10" s="2" t="s">
        <v>203</v>
      </c>
      <c r="CE10" s="2">
        <v>1.6</v>
      </c>
      <c r="CF10" s="2">
        <v>150</v>
      </c>
      <c r="CK10" s="2">
        <v>100</v>
      </c>
      <c r="CO10" s="2">
        <v>100</v>
      </c>
      <c r="CR10" s="2" t="s">
        <v>262</v>
      </c>
      <c r="CT10" s="2" t="s">
        <v>188</v>
      </c>
      <c r="CU10" s="2" t="s">
        <v>205</v>
      </c>
      <c r="CW10" s="2" t="s">
        <v>206</v>
      </c>
      <c r="CY10" s="2" t="s">
        <v>208</v>
      </c>
      <c r="CZ10" s="2" t="s">
        <v>208</v>
      </c>
      <c r="DA10" s="2" t="s">
        <v>208</v>
      </c>
      <c r="DB10" s="2" t="s">
        <v>208</v>
      </c>
      <c r="DC10" s="2" t="s">
        <v>208</v>
      </c>
      <c r="DD10" s="2" t="s">
        <v>208</v>
      </c>
      <c r="DE10" s="2" t="s">
        <v>208</v>
      </c>
      <c r="DF10" s="2" t="s">
        <v>208</v>
      </c>
      <c r="DG10" s="2" t="s">
        <v>208</v>
      </c>
      <c r="DH10" s="2" t="s">
        <v>208</v>
      </c>
      <c r="DI10" s="2" t="s">
        <v>208</v>
      </c>
      <c r="DL10" s="2" t="s">
        <v>188</v>
      </c>
      <c r="DM10" s="2" t="s">
        <v>188</v>
      </c>
      <c r="DP10" s="2" t="s">
        <v>188</v>
      </c>
      <c r="DT10" s="2" t="s">
        <v>203</v>
      </c>
      <c r="DU10" s="2" t="s">
        <v>203</v>
      </c>
      <c r="DV10" s="2" t="s">
        <v>203</v>
      </c>
      <c r="DW10" s="2" t="s">
        <v>203</v>
      </c>
      <c r="DX10" s="2" t="s">
        <v>203</v>
      </c>
      <c r="DY10" s="2" t="s">
        <v>203</v>
      </c>
      <c r="DZ10" s="2" t="s">
        <v>203</v>
      </c>
      <c r="EA10" s="2" t="s">
        <v>203</v>
      </c>
      <c r="EB10" s="2" t="s">
        <v>203</v>
      </c>
      <c r="EJ10" s="2" t="s">
        <v>203</v>
      </c>
      <c r="EK10" s="2" t="s">
        <v>188</v>
      </c>
      <c r="EL10" s="2" t="s">
        <v>188</v>
      </c>
      <c r="ER10" s="2" t="s">
        <v>188</v>
      </c>
      <c r="ET10" s="2" t="s">
        <v>188</v>
      </c>
      <c r="EV10" s="2" t="s">
        <v>188</v>
      </c>
      <c r="EX10" s="2" t="s">
        <v>188</v>
      </c>
      <c r="FC10" s="2" t="s">
        <v>263</v>
      </c>
      <c r="FD10" s="2" t="s">
        <v>188</v>
      </c>
      <c r="FH10" s="2" t="s">
        <v>188</v>
      </c>
      <c r="FJ10" s="2" t="s">
        <v>187</v>
      </c>
      <c r="FK10" s="2" t="s">
        <v>188</v>
      </c>
      <c r="FV10" s="2" t="s">
        <v>233</v>
      </c>
      <c r="FW10" s="2" t="s">
        <v>233</v>
      </c>
      <c r="FZ10" s="4">
        <v>46039.64603009259</v>
      </c>
    </row>
    <row r="11" spans="1:182">
      <c r="A11" s="2" t="s">
        <v>264</v>
      </c>
      <c r="D11" s="3">
        <v>46031.317037037035</v>
      </c>
      <c r="E11" s="2" t="s">
        <v>177</v>
      </c>
      <c r="F11" s="2" t="s">
        <v>178</v>
      </c>
      <c r="G11" s="2" t="s">
        <v>179</v>
      </c>
      <c r="H11" s="2" t="s">
        <v>180</v>
      </c>
      <c r="I11" s="2" t="s">
        <v>265</v>
      </c>
      <c r="J11" s="2">
        <v>703426294</v>
      </c>
      <c r="K11" s="2" t="s">
        <v>265</v>
      </c>
      <c r="L11" s="2" t="s">
        <v>182</v>
      </c>
      <c r="M11" s="2" t="s">
        <v>183</v>
      </c>
      <c r="N11" s="2">
        <v>1987</v>
      </c>
      <c r="O11" s="2" t="s">
        <v>184</v>
      </c>
      <c r="P11" s="2" t="s">
        <v>185</v>
      </c>
      <c r="Q11" s="2" t="s">
        <v>186</v>
      </c>
      <c r="R11" s="2" t="s">
        <v>188</v>
      </c>
      <c r="S11" s="2">
        <v>20</v>
      </c>
      <c r="T11" s="2" t="s">
        <v>188</v>
      </c>
      <c r="U11" s="2" t="s">
        <v>188</v>
      </c>
      <c r="Y11" s="2">
        <v>350</v>
      </c>
      <c r="Z11" s="2">
        <v>1</v>
      </c>
      <c r="AA11" s="2">
        <v>350</v>
      </c>
      <c r="AB11" s="2">
        <v>350</v>
      </c>
      <c r="AC11" s="2">
        <v>350</v>
      </c>
      <c r="AD11" s="2">
        <v>450</v>
      </c>
      <c r="AE11" s="2">
        <v>100</v>
      </c>
      <c r="AF11" s="2" t="s">
        <v>187</v>
      </c>
      <c r="AG11" s="2" t="s">
        <v>188</v>
      </c>
      <c r="AH11" s="2" t="s">
        <v>188</v>
      </c>
      <c r="AJ11" s="2" t="s">
        <v>188</v>
      </c>
      <c r="AK11" s="2" t="s">
        <v>188</v>
      </c>
      <c r="AL11" s="2" t="s">
        <v>188</v>
      </c>
      <c r="AM11" s="2" t="s">
        <v>188</v>
      </c>
      <c r="AO11" s="2" t="s">
        <v>188</v>
      </c>
      <c r="AR11" s="2">
        <v>1.84</v>
      </c>
      <c r="AS11" s="2">
        <v>4</v>
      </c>
      <c r="AT11" s="2">
        <v>4.5</v>
      </c>
      <c r="AU11" s="2" t="s">
        <v>238</v>
      </c>
      <c r="AV11" s="2" t="s">
        <v>238</v>
      </c>
      <c r="AW11" s="2" t="s">
        <v>188</v>
      </c>
      <c r="AZ11" s="2" t="s">
        <v>190</v>
      </c>
      <c r="BB11" s="2" t="s">
        <v>260</v>
      </c>
      <c r="BC11" s="2" t="s">
        <v>192</v>
      </c>
      <c r="BD11" s="2" t="s">
        <v>187</v>
      </c>
      <c r="BE11" s="2" t="s">
        <v>187</v>
      </c>
      <c r="BF11" s="2" t="s">
        <v>193</v>
      </c>
      <c r="BG11" s="2" t="s">
        <v>194</v>
      </c>
      <c r="BH11" s="2" t="s">
        <v>195</v>
      </c>
      <c r="BI11" s="2" t="s">
        <v>196</v>
      </c>
      <c r="BL11" s="2" t="s">
        <v>197</v>
      </c>
      <c r="BM11" s="2" t="s">
        <v>198</v>
      </c>
      <c r="BN11" s="2" t="s">
        <v>199</v>
      </c>
      <c r="BO11" s="2" t="s">
        <v>188</v>
      </c>
      <c r="BQ11" s="2" t="s">
        <v>200</v>
      </c>
      <c r="BS11" s="2" t="s">
        <v>187</v>
      </c>
      <c r="BT11" s="2" t="s">
        <v>261</v>
      </c>
      <c r="BV11" s="2" t="s">
        <v>248</v>
      </c>
      <c r="BX11" s="2" t="s">
        <v>188</v>
      </c>
      <c r="BZ11" s="2" t="s">
        <v>188</v>
      </c>
      <c r="CE11" s="2">
        <v>4.5</v>
      </c>
      <c r="CF11" s="2">
        <v>450</v>
      </c>
      <c r="CK11" s="2">
        <v>100</v>
      </c>
      <c r="CP11" s="2">
        <v>100</v>
      </c>
      <c r="CR11" s="2" t="s">
        <v>204</v>
      </c>
      <c r="CT11" s="2" t="s">
        <v>188</v>
      </c>
      <c r="CU11" s="2" t="s">
        <v>205</v>
      </c>
      <c r="CW11" s="2" t="s">
        <v>206</v>
      </c>
      <c r="CY11" s="2" t="s">
        <v>207</v>
      </c>
      <c r="CZ11" s="2" t="s">
        <v>208</v>
      </c>
      <c r="DA11" s="2" t="s">
        <v>208</v>
      </c>
      <c r="DB11" s="2" t="s">
        <v>208</v>
      </c>
      <c r="DC11" s="2" t="s">
        <v>208</v>
      </c>
      <c r="DD11" s="2" t="s">
        <v>208</v>
      </c>
      <c r="DE11" s="2" t="s">
        <v>208</v>
      </c>
      <c r="DF11" s="2" t="s">
        <v>208</v>
      </c>
      <c r="DG11" s="2" t="s">
        <v>208</v>
      </c>
      <c r="DH11" s="2" t="s">
        <v>208</v>
      </c>
      <c r="DI11" s="2" t="s">
        <v>208</v>
      </c>
      <c r="DL11" s="2" t="s">
        <v>187</v>
      </c>
      <c r="DM11" s="2" t="s">
        <v>187</v>
      </c>
      <c r="DN11" s="2" t="s">
        <v>187</v>
      </c>
      <c r="DO11" s="2" t="s">
        <v>187</v>
      </c>
      <c r="DP11" s="2" t="s">
        <v>209</v>
      </c>
      <c r="DQ11" s="2" t="s">
        <v>210</v>
      </c>
      <c r="DT11" s="2" t="s">
        <v>209</v>
      </c>
      <c r="DU11" s="2" t="s">
        <v>209</v>
      </c>
      <c r="DV11" s="2" t="s">
        <v>209</v>
      </c>
      <c r="DW11" s="2" t="s">
        <v>209</v>
      </c>
      <c r="DX11" s="2" t="s">
        <v>209</v>
      </c>
      <c r="DY11" s="2" t="s">
        <v>209</v>
      </c>
      <c r="DZ11" s="2" t="s">
        <v>209</v>
      </c>
      <c r="EA11" s="2" t="s">
        <v>209</v>
      </c>
      <c r="EB11" s="2" t="s">
        <v>209</v>
      </c>
      <c r="EF11" s="2" t="s">
        <v>189</v>
      </c>
      <c r="EJ11" s="2" t="s">
        <v>189</v>
      </c>
      <c r="EK11" s="2" t="s">
        <v>187</v>
      </c>
      <c r="EL11" s="2" t="s">
        <v>188</v>
      </c>
      <c r="EN11" s="2" t="s">
        <v>214</v>
      </c>
      <c r="EP11" s="2" t="s">
        <v>230</v>
      </c>
      <c r="ER11" s="2" t="s">
        <v>187</v>
      </c>
      <c r="ET11" s="2" t="s">
        <v>188</v>
      </c>
      <c r="EV11" s="2" t="s">
        <v>188</v>
      </c>
      <c r="FC11" s="2" t="s">
        <v>216</v>
      </c>
      <c r="FD11" s="2" t="s">
        <v>188</v>
      </c>
      <c r="FH11" s="2" t="s">
        <v>188</v>
      </c>
      <c r="FJ11" s="2" t="s">
        <v>187</v>
      </c>
      <c r="FT11" s="2" t="s">
        <v>219</v>
      </c>
      <c r="FU11" s="2" t="s">
        <v>219</v>
      </c>
      <c r="FV11" s="2" t="s">
        <v>219</v>
      </c>
      <c r="FW11" s="2" t="s">
        <v>219</v>
      </c>
      <c r="FZ11" s="4">
        <v>46039.636759259258</v>
      </c>
    </row>
    <row r="12" spans="1:182">
      <c r="A12" s="2" t="s">
        <v>266</v>
      </c>
      <c r="D12" s="3">
        <v>46031.342916666668</v>
      </c>
      <c r="E12" s="2" t="s">
        <v>177</v>
      </c>
      <c r="F12" s="2" t="s">
        <v>178</v>
      </c>
      <c r="G12" s="2" t="s">
        <v>179</v>
      </c>
      <c r="H12" s="2" t="s">
        <v>180</v>
      </c>
      <c r="I12" s="2" t="s">
        <v>267</v>
      </c>
      <c r="J12" s="2">
        <v>782500712</v>
      </c>
      <c r="K12" s="2" t="s">
        <v>268</v>
      </c>
      <c r="L12" s="2" t="s">
        <v>269</v>
      </c>
      <c r="M12" s="2" t="s">
        <v>223</v>
      </c>
      <c r="N12" s="2">
        <v>1975</v>
      </c>
      <c r="O12" s="2" t="s">
        <v>184</v>
      </c>
      <c r="P12" s="2" t="s">
        <v>225</v>
      </c>
      <c r="Q12" s="2" t="s">
        <v>270</v>
      </c>
      <c r="R12" s="2" t="s">
        <v>188</v>
      </c>
      <c r="S12" s="2">
        <v>7</v>
      </c>
      <c r="T12" s="2" t="s">
        <v>188</v>
      </c>
      <c r="U12" s="2" t="s">
        <v>188</v>
      </c>
      <c r="Y12" s="2">
        <v>180</v>
      </c>
      <c r="Z12" s="2">
        <v>0.72219999999999995</v>
      </c>
      <c r="AA12" s="2">
        <v>130</v>
      </c>
      <c r="AB12" s="2">
        <v>130</v>
      </c>
      <c r="AC12" s="2">
        <v>130</v>
      </c>
      <c r="AD12" s="2">
        <v>180</v>
      </c>
      <c r="AE12" s="2">
        <v>50</v>
      </c>
      <c r="AF12" s="2" t="s">
        <v>187</v>
      </c>
      <c r="AG12" s="2" t="s">
        <v>188</v>
      </c>
      <c r="AH12" s="2" t="s">
        <v>188</v>
      </c>
      <c r="AJ12" s="2" t="s">
        <v>188</v>
      </c>
      <c r="AK12" s="2" t="s">
        <v>188</v>
      </c>
      <c r="AL12" s="2" t="s">
        <v>188</v>
      </c>
      <c r="AM12" s="2" t="s">
        <v>187</v>
      </c>
      <c r="AN12" s="2" t="s">
        <v>188</v>
      </c>
      <c r="AO12" s="2" t="s">
        <v>188</v>
      </c>
      <c r="AR12" s="2">
        <v>0.5</v>
      </c>
      <c r="AS12" s="2">
        <v>1</v>
      </c>
      <c r="AT12" s="2">
        <v>2</v>
      </c>
      <c r="AU12" s="2" t="s">
        <v>189</v>
      </c>
      <c r="AV12" s="2" t="s">
        <v>189</v>
      </c>
      <c r="AW12" s="2" t="s">
        <v>188</v>
      </c>
      <c r="AZ12" s="2" t="s">
        <v>271</v>
      </c>
      <c r="BA12" s="2" t="s">
        <v>272</v>
      </c>
      <c r="BC12" s="2" t="s">
        <v>192</v>
      </c>
      <c r="BD12" s="2" t="s">
        <v>188</v>
      </c>
      <c r="BE12" s="2" t="s">
        <v>188</v>
      </c>
      <c r="BL12" s="2" t="s">
        <v>240</v>
      </c>
      <c r="BO12" s="2" t="s">
        <v>188</v>
      </c>
      <c r="BQ12" s="2" t="s">
        <v>200</v>
      </c>
      <c r="BS12" s="2" t="s">
        <v>187</v>
      </c>
      <c r="BT12" s="2" t="s">
        <v>261</v>
      </c>
      <c r="BV12" s="2" t="s">
        <v>202</v>
      </c>
      <c r="BX12" s="2" t="s">
        <v>188</v>
      </c>
      <c r="BZ12" s="2" t="s">
        <v>188</v>
      </c>
      <c r="CE12" s="2">
        <v>2</v>
      </c>
      <c r="CF12" s="2">
        <v>180</v>
      </c>
      <c r="CK12" s="2">
        <v>100</v>
      </c>
      <c r="CR12" s="2" t="s">
        <v>204</v>
      </c>
      <c r="CT12" s="2" t="s">
        <v>188</v>
      </c>
      <c r="CU12" s="2" t="s">
        <v>205</v>
      </c>
      <c r="CW12" s="2" t="s">
        <v>206</v>
      </c>
      <c r="CY12" s="2" t="s">
        <v>273</v>
      </c>
      <c r="CZ12" s="2" t="s">
        <v>273</v>
      </c>
      <c r="DA12" s="2" t="s">
        <v>208</v>
      </c>
      <c r="DB12" s="2" t="s">
        <v>208</v>
      </c>
      <c r="DC12" s="2" t="s">
        <v>208</v>
      </c>
      <c r="DD12" s="2" t="s">
        <v>208</v>
      </c>
      <c r="DE12" s="2" t="s">
        <v>208</v>
      </c>
      <c r="DF12" s="2" t="s">
        <v>208</v>
      </c>
      <c r="DG12" s="2" t="s">
        <v>208</v>
      </c>
      <c r="DH12" s="2" t="s">
        <v>208</v>
      </c>
      <c r="DI12" s="2" t="s">
        <v>208</v>
      </c>
      <c r="DL12" s="2" t="s">
        <v>188</v>
      </c>
      <c r="DM12" s="2" t="s">
        <v>188</v>
      </c>
      <c r="DP12" s="2" t="s">
        <v>188</v>
      </c>
      <c r="DT12" s="2" t="s">
        <v>209</v>
      </c>
      <c r="DU12" s="2" t="s">
        <v>203</v>
      </c>
      <c r="DV12" s="2" t="s">
        <v>209</v>
      </c>
      <c r="DW12" s="2" t="s">
        <v>203</v>
      </c>
      <c r="DX12" s="2" t="s">
        <v>203</v>
      </c>
      <c r="DY12" s="2" t="s">
        <v>209</v>
      </c>
      <c r="DZ12" s="2" t="s">
        <v>203</v>
      </c>
      <c r="EA12" s="2" t="s">
        <v>203</v>
      </c>
      <c r="EB12" s="2" t="s">
        <v>209</v>
      </c>
      <c r="EF12" s="2" t="s">
        <v>189</v>
      </c>
      <c r="EJ12" s="2" t="s">
        <v>189</v>
      </c>
      <c r="EK12" s="2" t="s">
        <v>187</v>
      </c>
      <c r="EL12" s="2" t="s">
        <v>188</v>
      </c>
      <c r="EN12" s="2" t="s">
        <v>214</v>
      </c>
      <c r="EP12" s="2" t="s">
        <v>230</v>
      </c>
      <c r="ER12" s="2" t="s">
        <v>187</v>
      </c>
      <c r="ET12" s="2" t="s">
        <v>188</v>
      </c>
      <c r="EV12" s="2" t="s">
        <v>188</v>
      </c>
      <c r="EX12" s="2" t="s">
        <v>188</v>
      </c>
      <c r="EZ12" s="2" t="s">
        <v>188</v>
      </c>
      <c r="FC12" s="2" t="s">
        <v>216</v>
      </c>
      <c r="FD12" s="2" t="s">
        <v>188</v>
      </c>
      <c r="FH12" s="2" t="s">
        <v>188</v>
      </c>
      <c r="FJ12" s="2" t="s">
        <v>187</v>
      </c>
      <c r="FK12" s="2" t="s">
        <v>209</v>
      </c>
      <c r="FL12" s="2" t="s">
        <v>274</v>
      </c>
      <c r="FN12" s="2" t="s">
        <v>275</v>
      </c>
      <c r="FR12" s="2" t="s">
        <v>276</v>
      </c>
      <c r="FT12" s="2" t="s">
        <v>233</v>
      </c>
      <c r="FU12" s="2" t="s">
        <v>233</v>
      </c>
      <c r="FV12" s="2" t="s">
        <v>233</v>
      </c>
      <c r="FW12" s="2" t="s">
        <v>233</v>
      </c>
      <c r="FZ12" s="4">
        <v>46039.617546296293</v>
      </c>
    </row>
    <row r="13" spans="1:182">
      <c r="A13" s="2" t="s">
        <v>277</v>
      </c>
      <c r="D13" s="3">
        <v>46031.363587962958</v>
      </c>
      <c r="E13" s="2" t="s">
        <v>177</v>
      </c>
      <c r="F13" s="2" t="s">
        <v>178</v>
      </c>
      <c r="G13" s="2" t="s">
        <v>179</v>
      </c>
      <c r="H13" s="2" t="s">
        <v>180</v>
      </c>
      <c r="I13" s="2" t="s">
        <v>278</v>
      </c>
      <c r="J13" s="2">
        <v>769458660</v>
      </c>
      <c r="K13" s="2" t="s">
        <v>278</v>
      </c>
      <c r="L13" s="2" t="s">
        <v>182</v>
      </c>
      <c r="M13" s="2" t="s">
        <v>223</v>
      </c>
      <c r="N13" s="2">
        <v>1998</v>
      </c>
      <c r="O13" s="2" t="s">
        <v>184</v>
      </c>
      <c r="P13" s="2" t="s">
        <v>185</v>
      </c>
      <c r="Q13" s="2" t="s">
        <v>186</v>
      </c>
      <c r="R13" s="2" t="s">
        <v>188</v>
      </c>
      <c r="S13" s="2">
        <v>10</v>
      </c>
      <c r="T13" s="2" t="s">
        <v>188</v>
      </c>
      <c r="U13" s="2" t="s">
        <v>188</v>
      </c>
      <c r="Y13" s="2">
        <v>217</v>
      </c>
      <c r="Z13" s="2">
        <v>0.9677</v>
      </c>
      <c r="AA13" s="2">
        <v>210</v>
      </c>
      <c r="AB13" s="2">
        <v>210</v>
      </c>
      <c r="AC13" s="2">
        <v>210</v>
      </c>
      <c r="AD13" s="2">
        <v>250</v>
      </c>
      <c r="AE13" s="2">
        <v>40</v>
      </c>
      <c r="AF13" s="2" t="s">
        <v>187</v>
      </c>
      <c r="AG13" s="2" t="s">
        <v>187</v>
      </c>
      <c r="AH13" s="2" t="s">
        <v>188</v>
      </c>
      <c r="AJ13" s="2" t="s">
        <v>188</v>
      </c>
      <c r="AK13" s="2" t="s">
        <v>187</v>
      </c>
      <c r="AL13" s="2" t="s">
        <v>188</v>
      </c>
      <c r="AM13" s="2" t="s">
        <v>187</v>
      </c>
      <c r="AN13" s="2" t="s">
        <v>188</v>
      </c>
      <c r="AO13" s="2" t="s">
        <v>188</v>
      </c>
      <c r="AR13" s="2">
        <v>0.7</v>
      </c>
      <c r="AS13" s="2">
        <v>2</v>
      </c>
      <c r="AT13" s="2">
        <v>3</v>
      </c>
      <c r="AU13" s="2" t="s">
        <v>189</v>
      </c>
      <c r="AV13" s="2" t="s">
        <v>238</v>
      </c>
      <c r="AW13" s="2" t="s">
        <v>188</v>
      </c>
      <c r="AZ13" s="2" t="s">
        <v>190</v>
      </c>
      <c r="BB13" s="2" t="s">
        <v>260</v>
      </c>
      <c r="BC13" s="2" t="s">
        <v>253</v>
      </c>
      <c r="BD13" s="2" t="s">
        <v>188</v>
      </c>
      <c r="BE13" s="2" t="s">
        <v>187</v>
      </c>
      <c r="BF13" s="2" t="s">
        <v>193</v>
      </c>
      <c r="BG13" s="2" t="s">
        <v>279</v>
      </c>
      <c r="BH13" s="2" t="s">
        <v>280</v>
      </c>
      <c r="BI13" s="2" t="s">
        <v>196</v>
      </c>
      <c r="BL13" s="2" t="s">
        <v>197</v>
      </c>
      <c r="BM13" s="2" t="s">
        <v>198</v>
      </c>
      <c r="BN13" s="2" t="s">
        <v>199</v>
      </c>
      <c r="BO13" s="2" t="s">
        <v>188</v>
      </c>
      <c r="BQ13" s="2" t="s">
        <v>227</v>
      </c>
      <c r="BS13" s="2" t="s">
        <v>187</v>
      </c>
      <c r="BT13" s="2" t="s">
        <v>241</v>
      </c>
      <c r="BV13" s="2" t="s">
        <v>228</v>
      </c>
      <c r="BX13" s="2" t="s">
        <v>188</v>
      </c>
      <c r="BZ13" s="2" t="s">
        <v>203</v>
      </c>
      <c r="CE13" s="2">
        <v>3</v>
      </c>
      <c r="CF13" s="2">
        <v>250</v>
      </c>
      <c r="CK13" s="2">
        <v>100</v>
      </c>
      <c r="CO13" s="2">
        <v>100</v>
      </c>
      <c r="CR13" s="2" t="s">
        <v>229</v>
      </c>
      <c r="CT13" s="2" t="s">
        <v>188</v>
      </c>
      <c r="CU13" s="2" t="s">
        <v>281</v>
      </c>
      <c r="CW13" s="2" t="s">
        <v>206</v>
      </c>
      <c r="CY13" s="2" t="s">
        <v>208</v>
      </c>
      <c r="CZ13" s="2" t="s">
        <v>208</v>
      </c>
      <c r="DA13" s="2" t="s">
        <v>208</v>
      </c>
      <c r="DB13" s="2" t="s">
        <v>208</v>
      </c>
      <c r="DC13" s="2" t="s">
        <v>208</v>
      </c>
      <c r="DD13" s="2" t="s">
        <v>208</v>
      </c>
      <c r="DE13" s="2" t="s">
        <v>208</v>
      </c>
      <c r="DF13" s="2" t="s">
        <v>208</v>
      </c>
      <c r="DG13" s="2" t="s">
        <v>208</v>
      </c>
      <c r="DH13" s="2" t="s">
        <v>208</v>
      </c>
      <c r="DI13" s="2" t="s">
        <v>208</v>
      </c>
      <c r="DL13" s="2" t="s">
        <v>188</v>
      </c>
      <c r="DM13" s="2" t="s">
        <v>188</v>
      </c>
      <c r="DP13" s="2" t="s">
        <v>188</v>
      </c>
      <c r="DT13" s="2" t="s">
        <v>203</v>
      </c>
      <c r="DU13" s="2" t="s">
        <v>203</v>
      </c>
      <c r="DV13" s="2" t="s">
        <v>203</v>
      </c>
      <c r="DW13" s="2" t="s">
        <v>203</v>
      </c>
      <c r="DX13" s="2" t="s">
        <v>203</v>
      </c>
      <c r="DY13" s="2" t="s">
        <v>203</v>
      </c>
      <c r="DZ13" s="2" t="s">
        <v>203</v>
      </c>
      <c r="EA13" s="2" t="s">
        <v>203</v>
      </c>
      <c r="EB13" s="2" t="s">
        <v>203</v>
      </c>
      <c r="EJ13" s="2" t="s">
        <v>203</v>
      </c>
      <c r="EK13" s="2" t="s">
        <v>188</v>
      </c>
      <c r="EL13" s="2" t="s">
        <v>188</v>
      </c>
      <c r="EN13" s="2" t="s">
        <v>255</v>
      </c>
      <c r="EP13" s="2" t="s">
        <v>230</v>
      </c>
      <c r="ET13" s="2" t="s">
        <v>188</v>
      </c>
      <c r="EV13" s="2" t="s">
        <v>188</v>
      </c>
      <c r="EX13" s="2" t="s">
        <v>188</v>
      </c>
      <c r="EZ13" s="2" t="s">
        <v>188</v>
      </c>
      <c r="FC13" s="2" t="s">
        <v>263</v>
      </c>
      <c r="FD13" s="2" t="s">
        <v>188</v>
      </c>
      <c r="FH13" s="2" t="s">
        <v>188</v>
      </c>
      <c r="FJ13" s="2" t="s">
        <v>187</v>
      </c>
      <c r="FK13" s="2" t="s">
        <v>188</v>
      </c>
      <c r="FN13" s="2" t="s">
        <v>282</v>
      </c>
      <c r="FT13" s="2" t="s">
        <v>219</v>
      </c>
      <c r="FU13" s="2" t="s">
        <v>219</v>
      </c>
      <c r="FV13" s="2" t="s">
        <v>219</v>
      </c>
      <c r="FW13" s="2" t="s">
        <v>219</v>
      </c>
      <c r="FZ13" s="4">
        <v>46039.606527777774</v>
      </c>
    </row>
    <row r="14" spans="1:182">
      <c r="A14" s="2" t="s">
        <v>283</v>
      </c>
      <c r="D14" s="3">
        <v>46031.39534722222</v>
      </c>
      <c r="E14" s="2" t="s">
        <v>177</v>
      </c>
      <c r="F14" s="2" t="s">
        <v>178</v>
      </c>
      <c r="G14" s="2" t="s">
        <v>179</v>
      </c>
      <c r="H14" s="2" t="s">
        <v>180</v>
      </c>
      <c r="I14" s="2" t="s">
        <v>284</v>
      </c>
      <c r="J14" s="2">
        <v>378964387</v>
      </c>
      <c r="K14" s="2" t="s">
        <v>284</v>
      </c>
      <c r="L14" s="2" t="s">
        <v>182</v>
      </c>
      <c r="M14" s="2" t="s">
        <v>223</v>
      </c>
      <c r="N14" s="2">
        <v>1979</v>
      </c>
      <c r="O14" s="2" t="s">
        <v>184</v>
      </c>
      <c r="P14" s="2" t="s">
        <v>185</v>
      </c>
      <c r="Q14" s="2" t="s">
        <v>186</v>
      </c>
      <c r="R14" s="2" t="s">
        <v>188</v>
      </c>
      <c r="S14" s="2">
        <v>10</v>
      </c>
      <c r="T14" s="2" t="s">
        <v>188</v>
      </c>
      <c r="U14" s="2" t="s">
        <v>188</v>
      </c>
      <c r="Y14" s="2">
        <v>170</v>
      </c>
      <c r="Z14" s="2">
        <v>0.76470000000000005</v>
      </c>
      <c r="AA14" s="2">
        <v>130</v>
      </c>
      <c r="AB14" s="2">
        <v>130</v>
      </c>
      <c r="AC14" s="2">
        <v>130</v>
      </c>
      <c r="AD14" s="2">
        <v>150</v>
      </c>
      <c r="AE14" s="2">
        <v>20</v>
      </c>
      <c r="AF14" s="2" t="s">
        <v>188</v>
      </c>
      <c r="AG14" s="2" t="s">
        <v>188</v>
      </c>
      <c r="AH14" s="2" t="s">
        <v>188</v>
      </c>
      <c r="AJ14" s="2" t="s">
        <v>188</v>
      </c>
      <c r="AK14" s="2" t="s">
        <v>188</v>
      </c>
      <c r="AL14" s="2" t="s">
        <v>188</v>
      </c>
      <c r="AM14" s="2" t="s">
        <v>187</v>
      </c>
      <c r="AN14" s="2" t="s">
        <v>188</v>
      </c>
      <c r="AO14" s="2" t="s">
        <v>188</v>
      </c>
      <c r="AR14" s="2">
        <v>0.5</v>
      </c>
      <c r="AS14" s="2">
        <v>2</v>
      </c>
      <c r="AT14" s="2">
        <v>1.7</v>
      </c>
      <c r="AU14" s="2" t="s">
        <v>238</v>
      </c>
      <c r="AV14" s="2" t="s">
        <v>238</v>
      </c>
      <c r="AW14" s="2" t="s">
        <v>188</v>
      </c>
      <c r="AZ14" s="2" t="s">
        <v>271</v>
      </c>
      <c r="BA14" s="2" t="s">
        <v>285</v>
      </c>
      <c r="BC14" s="2" t="s">
        <v>192</v>
      </c>
      <c r="BD14" s="2" t="s">
        <v>188</v>
      </c>
      <c r="BE14" s="2" t="s">
        <v>188</v>
      </c>
      <c r="BL14" s="2" t="s">
        <v>240</v>
      </c>
      <c r="BO14" s="2" t="s">
        <v>188</v>
      </c>
      <c r="BQ14" s="2" t="s">
        <v>200</v>
      </c>
      <c r="BS14" s="2" t="s">
        <v>187</v>
      </c>
      <c r="BT14" s="2" t="s">
        <v>69</v>
      </c>
      <c r="BU14" s="2" t="s">
        <v>286</v>
      </c>
      <c r="BV14" s="2" t="s">
        <v>287</v>
      </c>
      <c r="BX14" s="2" t="s">
        <v>188</v>
      </c>
      <c r="BZ14" s="2" t="s">
        <v>203</v>
      </c>
      <c r="CE14" s="2">
        <v>1.7</v>
      </c>
      <c r="CF14" s="2">
        <v>150</v>
      </c>
      <c r="CK14" s="2">
        <v>100</v>
      </c>
      <c r="CO14" s="2">
        <v>100</v>
      </c>
      <c r="CR14" s="2" t="s">
        <v>204</v>
      </c>
      <c r="CT14" s="2" t="s">
        <v>188</v>
      </c>
      <c r="CU14" s="2" t="s">
        <v>281</v>
      </c>
      <c r="CW14" s="2" t="s">
        <v>206</v>
      </c>
      <c r="CY14" s="2" t="s">
        <v>208</v>
      </c>
      <c r="CZ14" s="2" t="s">
        <v>208</v>
      </c>
      <c r="DA14" s="2" t="s">
        <v>208</v>
      </c>
      <c r="DB14" s="2" t="s">
        <v>208</v>
      </c>
      <c r="DC14" s="2" t="s">
        <v>208</v>
      </c>
      <c r="DD14" s="2" t="s">
        <v>208</v>
      </c>
      <c r="DE14" s="2" t="s">
        <v>208</v>
      </c>
      <c r="DF14" s="2" t="s">
        <v>208</v>
      </c>
      <c r="DG14" s="2" t="s">
        <v>208</v>
      </c>
      <c r="DH14" s="2" t="s">
        <v>208</v>
      </c>
      <c r="DI14" s="2" t="s">
        <v>208</v>
      </c>
      <c r="DL14" s="2" t="s">
        <v>188</v>
      </c>
      <c r="DM14" s="2" t="s">
        <v>188</v>
      </c>
      <c r="DP14" s="2" t="s">
        <v>203</v>
      </c>
      <c r="DT14" s="2" t="s">
        <v>203</v>
      </c>
      <c r="DU14" s="2" t="s">
        <v>203</v>
      </c>
      <c r="DV14" s="2" t="s">
        <v>203</v>
      </c>
      <c r="DW14" s="2" t="s">
        <v>203</v>
      </c>
      <c r="DX14" s="2" t="s">
        <v>203</v>
      </c>
      <c r="DY14" s="2" t="s">
        <v>203</v>
      </c>
      <c r="DZ14" s="2" t="s">
        <v>203</v>
      </c>
      <c r="EA14" s="2" t="s">
        <v>203</v>
      </c>
      <c r="EB14" s="2" t="s">
        <v>203</v>
      </c>
      <c r="EC14" s="2" t="s">
        <v>203</v>
      </c>
      <c r="ED14" s="2" t="s">
        <v>203</v>
      </c>
      <c r="EJ14" s="2" t="s">
        <v>238</v>
      </c>
      <c r="EK14" s="2" t="s">
        <v>188</v>
      </c>
      <c r="EL14" s="2" t="s">
        <v>188</v>
      </c>
      <c r="EN14" s="2" t="s">
        <v>288</v>
      </c>
      <c r="EO14" s="2" t="s">
        <v>203</v>
      </c>
      <c r="EP14" s="2" t="s">
        <v>174</v>
      </c>
      <c r="EQ14" s="2" t="s">
        <v>289</v>
      </c>
      <c r="ER14" s="2" t="s">
        <v>188</v>
      </c>
      <c r="ET14" s="2" t="s">
        <v>188</v>
      </c>
      <c r="EV14" s="2" t="s">
        <v>188</v>
      </c>
      <c r="EX14" s="2" t="s">
        <v>188</v>
      </c>
      <c r="EZ14" s="2" t="s">
        <v>188</v>
      </c>
      <c r="FC14" s="2" t="s">
        <v>263</v>
      </c>
      <c r="FD14" s="2" t="s">
        <v>188</v>
      </c>
      <c r="FH14" s="2" t="s">
        <v>188</v>
      </c>
      <c r="FJ14" s="2" t="s">
        <v>188</v>
      </c>
      <c r="FK14" s="2" t="s">
        <v>209</v>
      </c>
      <c r="FL14" s="2" t="s">
        <v>290</v>
      </c>
      <c r="FN14" s="2" t="s">
        <v>291</v>
      </c>
      <c r="FO14" s="2" t="s">
        <v>203</v>
      </c>
      <c r="FT14" s="2" t="s">
        <v>233</v>
      </c>
      <c r="FV14" s="2" t="s">
        <v>233</v>
      </c>
      <c r="FW14" s="2" t="s">
        <v>233</v>
      </c>
      <c r="FX14" s="2" t="s">
        <v>233</v>
      </c>
      <c r="FZ14" s="4">
        <v>46038.372349537036</v>
      </c>
    </row>
    <row r="15" spans="1:182">
      <c r="A15" s="2" t="s">
        <v>292</v>
      </c>
      <c r="D15" s="3">
        <v>46031.00712962963</v>
      </c>
      <c r="E15" s="2" t="s">
        <v>177</v>
      </c>
      <c r="F15" s="2" t="s">
        <v>293</v>
      </c>
      <c r="G15" s="2" t="s">
        <v>179</v>
      </c>
      <c r="H15" s="2" t="s">
        <v>294</v>
      </c>
      <c r="I15" s="2" t="s">
        <v>295</v>
      </c>
      <c r="J15" s="2">
        <v>327357165</v>
      </c>
      <c r="K15" s="2" t="s">
        <v>185</v>
      </c>
      <c r="L15" s="2" t="s">
        <v>182</v>
      </c>
      <c r="M15" s="2" t="s">
        <v>183</v>
      </c>
      <c r="N15" s="2">
        <v>1970</v>
      </c>
      <c r="O15" s="2" t="s">
        <v>184</v>
      </c>
      <c r="P15" s="2" t="s">
        <v>185</v>
      </c>
      <c r="Q15" s="2" t="s">
        <v>270</v>
      </c>
      <c r="R15" s="2" t="s">
        <v>188</v>
      </c>
      <c r="S15" s="2">
        <v>1996</v>
      </c>
      <c r="T15" s="2" t="s">
        <v>188</v>
      </c>
      <c r="U15" s="2" t="s">
        <v>188</v>
      </c>
      <c r="Y15" s="2">
        <v>350</v>
      </c>
      <c r="Z15" s="2">
        <v>1</v>
      </c>
      <c r="AA15" s="2">
        <v>350</v>
      </c>
      <c r="AB15" s="2">
        <v>350</v>
      </c>
      <c r="AC15" s="2">
        <v>250</v>
      </c>
      <c r="AD15" s="2">
        <v>300</v>
      </c>
      <c r="AE15" s="2">
        <v>50</v>
      </c>
      <c r="AF15" s="2" t="s">
        <v>187</v>
      </c>
      <c r="AH15" s="2" t="s">
        <v>188</v>
      </c>
      <c r="AJ15" s="2" t="s">
        <v>188</v>
      </c>
      <c r="AK15" s="2" t="s">
        <v>188</v>
      </c>
      <c r="AL15" s="2" t="s">
        <v>188</v>
      </c>
      <c r="AM15" s="2" t="s">
        <v>188</v>
      </c>
      <c r="AN15" s="2" t="s">
        <v>188</v>
      </c>
      <c r="AO15" s="2" t="s">
        <v>188</v>
      </c>
      <c r="AR15" s="2">
        <v>0.9</v>
      </c>
      <c r="AS15" s="2">
        <v>3</v>
      </c>
      <c r="AT15" s="2">
        <v>3</v>
      </c>
      <c r="AU15" s="2" t="s">
        <v>238</v>
      </c>
      <c r="AV15" s="2" t="s">
        <v>238</v>
      </c>
      <c r="AW15" s="2" t="s">
        <v>188</v>
      </c>
      <c r="AZ15" s="2" t="s">
        <v>190</v>
      </c>
      <c r="BB15" s="2" t="s">
        <v>191</v>
      </c>
      <c r="BC15" s="2" t="s">
        <v>296</v>
      </c>
      <c r="BD15" s="2" t="s">
        <v>187</v>
      </c>
      <c r="BE15" s="2" t="s">
        <v>188</v>
      </c>
      <c r="BG15" s="2" t="s">
        <v>194</v>
      </c>
      <c r="BH15" s="2" t="s">
        <v>297</v>
      </c>
      <c r="BI15" s="2" t="s">
        <v>196</v>
      </c>
      <c r="BL15" s="2" t="s">
        <v>240</v>
      </c>
      <c r="BM15" s="2" t="s">
        <v>198</v>
      </c>
      <c r="BN15" s="2" t="s">
        <v>199</v>
      </c>
      <c r="BO15" s="2" t="s">
        <v>298</v>
      </c>
      <c r="BS15" s="2" t="s">
        <v>187</v>
      </c>
      <c r="BT15" s="2" t="s">
        <v>261</v>
      </c>
      <c r="BV15" s="2" t="s">
        <v>287</v>
      </c>
      <c r="BX15" s="2" t="s">
        <v>188</v>
      </c>
      <c r="BZ15" s="2" t="s">
        <v>188</v>
      </c>
      <c r="CE15" s="2">
        <v>3</v>
      </c>
      <c r="CF15" s="2">
        <v>300</v>
      </c>
      <c r="CK15" s="2">
        <v>3</v>
      </c>
      <c r="CO15" s="2">
        <v>100</v>
      </c>
      <c r="CR15" s="2" t="s">
        <v>204</v>
      </c>
      <c r="CT15" s="2" t="s">
        <v>188</v>
      </c>
      <c r="CU15" s="2" t="s">
        <v>205</v>
      </c>
      <c r="CW15" s="2" t="s">
        <v>206</v>
      </c>
      <c r="CY15" s="2" t="s">
        <v>299</v>
      </c>
      <c r="CZ15" s="2" t="s">
        <v>299</v>
      </c>
      <c r="DA15" s="2" t="s">
        <v>299</v>
      </c>
      <c r="DB15" s="2" t="s">
        <v>300</v>
      </c>
      <c r="DC15" s="2" t="s">
        <v>300</v>
      </c>
      <c r="DD15" s="2" t="s">
        <v>301</v>
      </c>
      <c r="DE15" s="2" t="s">
        <v>208</v>
      </c>
      <c r="DF15" s="2" t="s">
        <v>208</v>
      </c>
      <c r="DG15" s="2" t="s">
        <v>300</v>
      </c>
      <c r="DH15" s="2" t="s">
        <v>300</v>
      </c>
      <c r="DI15" s="2" t="s">
        <v>300</v>
      </c>
      <c r="DL15" s="2" t="s">
        <v>188</v>
      </c>
      <c r="DM15" s="2" t="s">
        <v>188</v>
      </c>
      <c r="DP15" s="2" t="s">
        <v>203</v>
      </c>
      <c r="DT15" s="2" t="s">
        <v>203</v>
      </c>
      <c r="DU15" s="2" t="s">
        <v>203</v>
      </c>
      <c r="DV15" s="2" t="s">
        <v>209</v>
      </c>
      <c r="DW15" s="2" t="s">
        <v>209</v>
      </c>
      <c r="DX15" s="2" t="s">
        <v>209</v>
      </c>
      <c r="DY15" s="2" t="s">
        <v>209</v>
      </c>
      <c r="DZ15" s="2" t="s">
        <v>203</v>
      </c>
      <c r="EA15" s="2" t="s">
        <v>209</v>
      </c>
      <c r="EB15" s="2" t="s">
        <v>203</v>
      </c>
      <c r="EC15" s="2" t="s">
        <v>203</v>
      </c>
      <c r="ED15" s="2" t="s">
        <v>203</v>
      </c>
      <c r="EF15" s="2" t="s">
        <v>302</v>
      </c>
      <c r="EG15" s="2" t="s">
        <v>303</v>
      </c>
      <c r="EJ15" s="2" t="s">
        <v>238</v>
      </c>
      <c r="EK15" s="2" t="s">
        <v>188</v>
      </c>
      <c r="EL15" s="2" t="s">
        <v>188</v>
      </c>
      <c r="EN15" s="2" t="s">
        <v>214</v>
      </c>
      <c r="EP15" s="2" t="s">
        <v>230</v>
      </c>
      <c r="ER15" s="2" t="s">
        <v>187</v>
      </c>
      <c r="ET15" s="2" t="s">
        <v>188</v>
      </c>
      <c r="EV15" s="2" t="s">
        <v>188</v>
      </c>
      <c r="EX15" s="2" t="s">
        <v>188</v>
      </c>
      <c r="FC15" s="2" t="s">
        <v>216</v>
      </c>
      <c r="FD15" s="2" t="s">
        <v>188</v>
      </c>
      <c r="FH15" s="2" t="s">
        <v>188</v>
      </c>
      <c r="FJ15" s="2" t="s">
        <v>187</v>
      </c>
      <c r="FK15" s="2" t="s">
        <v>203</v>
      </c>
      <c r="FN15" s="2" t="s">
        <v>304</v>
      </c>
      <c r="FT15" s="2" t="s">
        <v>219</v>
      </c>
      <c r="FU15" s="2" t="s">
        <v>233</v>
      </c>
      <c r="FV15" s="2" t="s">
        <v>233</v>
      </c>
      <c r="FW15" s="2" t="s">
        <v>233</v>
      </c>
      <c r="FZ15" s="4">
        <v>46046.458611111113</v>
      </c>
    </row>
    <row r="16" spans="1:182">
      <c r="A16" s="2" t="s">
        <v>305</v>
      </c>
      <c r="D16" s="3">
        <v>46031.01767361111</v>
      </c>
      <c r="E16" s="2" t="s">
        <v>177</v>
      </c>
      <c r="F16" s="2" t="s">
        <v>293</v>
      </c>
      <c r="G16" s="2" t="s">
        <v>179</v>
      </c>
      <c r="H16" s="2" t="s">
        <v>306</v>
      </c>
      <c r="I16" s="2" t="s">
        <v>307</v>
      </c>
      <c r="J16" s="2">
        <v>388749339</v>
      </c>
      <c r="K16" s="2" t="s">
        <v>185</v>
      </c>
      <c r="L16" s="2" t="s">
        <v>182</v>
      </c>
      <c r="M16" s="2" t="s">
        <v>183</v>
      </c>
      <c r="N16" s="2">
        <v>1956</v>
      </c>
      <c r="O16" s="2" t="s">
        <v>184</v>
      </c>
      <c r="P16" s="2" t="s">
        <v>185</v>
      </c>
      <c r="Q16" s="2" t="s">
        <v>186</v>
      </c>
      <c r="R16" s="2" t="s">
        <v>188</v>
      </c>
      <c r="S16" s="2">
        <v>1996</v>
      </c>
      <c r="T16" s="2" t="s">
        <v>188</v>
      </c>
      <c r="U16" s="2" t="s">
        <v>188</v>
      </c>
      <c r="Y16" s="2">
        <v>270</v>
      </c>
      <c r="Z16" s="2">
        <v>0.81479999999999997</v>
      </c>
      <c r="AA16" s="2">
        <v>220</v>
      </c>
      <c r="AB16" s="2">
        <v>200</v>
      </c>
      <c r="AC16" s="2">
        <v>80</v>
      </c>
      <c r="AD16" s="2">
        <v>100</v>
      </c>
      <c r="AE16" s="2">
        <v>20</v>
      </c>
      <c r="AF16" s="2" t="s">
        <v>187</v>
      </c>
      <c r="AG16" s="2" t="s">
        <v>187</v>
      </c>
      <c r="AH16" s="2" t="s">
        <v>187</v>
      </c>
      <c r="AI16" s="2" t="s">
        <v>308</v>
      </c>
      <c r="AJ16" s="2" t="s">
        <v>188</v>
      </c>
      <c r="AK16" s="2" t="s">
        <v>188</v>
      </c>
      <c r="AL16" s="2" t="s">
        <v>188</v>
      </c>
      <c r="AM16" s="2" t="s">
        <v>187</v>
      </c>
      <c r="AN16" s="2" t="s">
        <v>188</v>
      </c>
      <c r="AO16" s="2" t="s">
        <v>188</v>
      </c>
      <c r="AR16" s="2">
        <v>0.3</v>
      </c>
      <c r="AS16" s="2">
        <v>2</v>
      </c>
      <c r="AT16" s="2">
        <v>0.8</v>
      </c>
      <c r="AU16" s="2" t="s">
        <v>238</v>
      </c>
      <c r="AV16" s="2" t="s">
        <v>238</v>
      </c>
      <c r="AW16" s="2" t="s">
        <v>188</v>
      </c>
      <c r="AZ16" s="2" t="s">
        <v>190</v>
      </c>
      <c r="BB16" s="2" t="s">
        <v>260</v>
      </c>
      <c r="BC16" s="2" t="s">
        <v>253</v>
      </c>
      <c r="BD16" s="2" t="s">
        <v>188</v>
      </c>
      <c r="BE16" s="2" t="s">
        <v>187</v>
      </c>
      <c r="BF16" s="2" t="s">
        <v>193</v>
      </c>
      <c r="BG16" s="2" t="s">
        <v>194</v>
      </c>
      <c r="BH16" s="2" t="s">
        <v>297</v>
      </c>
      <c r="BI16" s="2" t="s">
        <v>196</v>
      </c>
      <c r="BL16" s="2" t="s">
        <v>240</v>
      </c>
      <c r="BM16" s="2" t="s">
        <v>198</v>
      </c>
      <c r="BN16" s="2" t="s">
        <v>199</v>
      </c>
      <c r="BO16" s="2" t="s">
        <v>188</v>
      </c>
      <c r="BQ16" s="2" t="s">
        <v>309</v>
      </c>
      <c r="BS16" s="2" t="s">
        <v>187</v>
      </c>
      <c r="BT16" s="2" t="s">
        <v>261</v>
      </c>
      <c r="BV16" s="2" t="s">
        <v>287</v>
      </c>
      <c r="BX16" s="2" t="s">
        <v>187</v>
      </c>
      <c r="BY16" s="2" t="s">
        <v>310</v>
      </c>
      <c r="BZ16" s="2" t="s">
        <v>209</v>
      </c>
      <c r="CA16" s="2" t="s">
        <v>311</v>
      </c>
      <c r="CE16" s="2">
        <v>0.8</v>
      </c>
      <c r="CK16" s="2">
        <v>100</v>
      </c>
      <c r="CO16" s="2">
        <v>100</v>
      </c>
      <c r="CR16" s="2" t="s">
        <v>204</v>
      </c>
      <c r="CT16" s="2" t="s">
        <v>188</v>
      </c>
      <c r="CU16" s="2" t="s">
        <v>312</v>
      </c>
      <c r="CW16" s="2" t="s">
        <v>206</v>
      </c>
      <c r="CY16" s="2" t="s">
        <v>207</v>
      </c>
      <c r="CZ16" s="2" t="s">
        <v>207</v>
      </c>
      <c r="DA16" s="2" t="s">
        <v>207</v>
      </c>
      <c r="DB16" s="2" t="s">
        <v>301</v>
      </c>
      <c r="DC16" s="2" t="s">
        <v>208</v>
      </c>
      <c r="DD16" s="2" t="s">
        <v>301</v>
      </c>
      <c r="DE16" s="2" t="s">
        <v>207</v>
      </c>
      <c r="DF16" s="2" t="s">
        <v>207</v>
      </c>
      <c r="DG16" s="2" t="s">
        <v>299</v>
      </c>
      <c r="DH16" s="2" t="s">
        <v>299</v>
      </c>
      <c r="DI16" s="2" t="s">
        <v>299</v>
      </c>
      <c r="DL16" s="2" t="s">
        <v>187</v>
      </c>
      <c r="DM16" s="2" t="s">
        <v>187</v>
      </c>
      <c r="DN16" s="2" t="s">
        <v>187</v>
      </c>
      <c r="DO16" s="2" t="s">
        <v>187</v>
      </c>
      <c r="DP16" s="2" t="s">
        <v>203</v>
      </c>
      <c r="DT16" s="2" t="s">
        <v>209</v>
      </c>
      <c r="DU16" s="2" t="s">
        <v>209</v>
      </c>
      <c r="DV16" s="2" t="s">
        <v>209</v>
      </c>
      <c r="DW16" s="2" t="s">
        <v>209</v>
      </c>
      <c r="DX16" s="2" t="s">
        <v>209</v>
      </c>
      <c r="DY16" s="2" t="s">
        <v>209</v>
      </c>
      <c r="DZ16" s="2" t="s">
        <v>209</v>
      </c>
      <c r="EA16" s="2" t="s">
        <v>209</v>
      </c>
      <c r="EB16" s="2" t="s">
        <v>203</v>
      </c>
      <c r="EC16" s="2" t="s">
        <v>203</v>
      </c>
      <c r="EF16" s="2" t="s">
        <v>211</v>
      </c>
      <c r="EJ16" s="2" t="s">
        <v>238</v>
      </c>
      <c r="EK16" s="2" t="s">
        <v>187</v>
      </c>
      <c r="EL16" s="2" t="s">
        <v>188</v>
      </c>
      <c r="EN16" s="2" t="s">
        <v>214</v>
      </c>
      <c r="EP16" s="2" t="s">
        <v>230</v>
      </c>
      <c r="ER16" s="2" t="s">
        <v>187</v>
      </c>
      <c r="ET16" s="2" t="s">
        <v>188</v>
      </c>
      <c r="EV16" s="2" t="s">
        <v>187</v>
      </c>
      <c r="EW16" s="2" t="s">
        <v>189</v>
      </c>
      <c r="EX16" s="2" t="s">
        <v>188</v>
      </c>
      <c r="FC16" s="2" t="s">
        <v>263</v>
      </c>
      <c r="FD16" s="2" t="s">
        <v>188</v>
      </c>
      <c r="FH16" s="2" t="s">
        <v>188</v>
      </c>
      <c r="FJ16" s="2" t="s">
        <v>187</v>
      </c>
      <c r="FK16" s="2" t="s">
        <v>203</v>
      </c>
      <c r="FN16" s="2" t="s">
        <v>313</v>
      </c>
      <c r="FR16" s="2" t="s">
        <v>314</v>
      </c>
      <c r="FT16" s="2" t="s">
        <v>219</v>
      </c>
      <c r="FU16" s="2" t="s">
        <v>233</v>
      </c>
      <c r="FV16" s="2" t="s">
        <v>233</v>
      </c>
      <c r="FW16" s="2" t="s">
        <v>233</v>
      </c>
      <c r="FZ16" s="4">
        <v>46046.460532407407</v>
      </c>
    </row>
    <row r="17" spans="1:182">
      <c r="A17" s="2" t="s">
        <v>315</v>
      </c>
      <c r="D17" s="3">
        <v>46031.019155092596</v>
      </c>
      <c r="E17" s="2" t="s">
        <v>177</v>
      </c>
      <c r="F17" s="2" t="s">
        <v>293</v>
      </c>
      <c r="G17" s="2" t="s">
        <v>179</v>
      </c>
      <c r="H17" s="2" t="s">
        <v>294</v>
      </c>
      <c r="I17" s="2" t="s">
        <v>316</v>
      </c>
      <c r="J17" s="2">
        <v>388749339</v>
      </c>
      <c r="K17" s="2" t="s">
        <v>317</v>
      </c>
      <c r="L17" s="2" t="s">
        <v>182</v>
      </c>
      <c r="M17" s="2" t="s">
        <v>183</v>
      </c>
      <c r="N17" s="2">
        <v>1966</v>
      </c>
      <c r="O17" s="2" t="s">
        <v>184</v>
      </c>
      <c r="P17" s="2" t="s">
        <v>185</v>
      </c>
      <c r="Q17" s="2" t="s">
        <v>270</v>
      </c>
      <c r="R17" s="2" t="s">
        <v>188</v>
      </c>
      <c r="S17" s="2">
        <v>1996</v>
      </c>
      <c r="T17" s="2" t="s">
        <v>188</v>
      </c>
      <c r="U17" s="2" t="s">
        <v>188</v>
      </c>
      <c r="Y17" s="2">
        <v>370</v>
      </c>
      <c r="Z17" s="2">
        <v>0.94589999999999996</v>
      </c>
      <c r="AA17" s="2">
        <v>350</v>
      </c>
      <c r="AC17" s="2">
        <v>340</v>
      </c>
      <c r="AD17" s="2">
        <v>400</v>
      </c>
      <c r="AE17" s="2">
        <v>60</v>
      </c>
      <c r="AF17" s="2" t="s">
        <v>187</v>
      </c>
      <c r="AG17" s="2" t="s">
        <v>187</v>
      </c>
      <c r="AH17" s="2" t="s">
        <v>187</v>
      </c>
      <c r="AI17" s="2" t="s">
        <v>318</v>
      </c>
      <c r="AJ17" s="2" t="s">
        <v>188</v>
      </c>
      <c r="AK17" s="2" t="s">
        <v>188</v>
      </c>
      <c r="AN17" s="2" t="s">
        <v>188</v>
      </c>
      <c r="AO17" s="2" t="s">
        <v>188</v>
      </c>
      <c r="AR17" s="2">
        <v>1.2</v>
      </c>
      <c r="AS17" s="2">
        <v>4</v>
      </c>
      <c r="AT17" s="2">
        <v>4.13</v>
      </c>
      <c r="AU17" s="2" t="s">
        <v>238</v>
      </c>
      <c r="AV17" s="2" t="s">
        <v>238</v>
      </c>
      <c r="AW17" s="2" t="s">
        <v>188</v>
      </c>
      <c r="AZ17" s="2" t="s">
        <v>190</v>
      </c>
      <c r="BB17" s="2" t="s">
        <v>260</v>
      </c>
      <c r="BC17" s="2" t="s">
        <v>192</v>
      </c>
      <c r="BD17" s="2" t="s">
        <v>187</v>
      </c>
      <c r="BE17" s="2" t="s">
        <v>187</v>
      </c>
      <c r="BF17" s="2" t="s">
        <v>193</v>
      </c>
      <c r="BG17" s="2" t="s">
        <v>194</v>
      </c>
      <c r="BH17" s="2" t="s">
        <v>297</v>
      </c>
      <c r="BI17" s="2" t="s">
        <v>196</v>
      </c>
      <c r="BL17" s="2" t="s">
        <v>240</v>
      </c>
      <c r="BM17" s="2" t="s">
        <v>198</v>
      </c>
      <c r="BN17" s="2" t="s">
        <v>199</v>
      </c>
      <c r="BO17" s="2" t="s">
        <v>188</v>
      </c>
      <c r="BS17" s="2" t="s">
        <v>187</v>
      </c>
      <c r="BT17" s="2" t="s">
        <v>261</v>
      </c>
      <c r="BV17" s="2" t="s">
        <v>287</v>
      </c>
      <c r="BX17" s="2" t="s">
        <v>188</v>
      </c>
      <c r="BZ17" s="2" t="s">
        <v>203</v>
      </c>
      <c r="CE17" s="2">
        <v>4.13</v>
      </c>
      <c r="CF17" s="2">
        <v>410</v>
      </c>
      <c r="CK17" s="2">
        <v>100</v>
      </c>
      <c r="CO17" s="2">
        <v>100</v>
      </c>
      <c r="CR17" s="2" t="s">
        <v>204</v>
      </c>
      <c r="CT17" s="2" t="s">
        <v>188</v>
      </c>
      <c r="CU17" s="2" t="s">
        <v>205</v>
      </c>
      <c r="CW17" s="2" t="s">
        <v>206</v>
      </c>
      <c r="CY17" s="2" t="s">
        <v>207</v>
      </c>
      <c r="CZ17" s="2" t="s">
        <v>207</v>
      </c>
      <c r="DB17" s="2" t="s">
        <v>207</v>
      </c>
      <c r="DC17" s="2" t="s">
        <v>207</v>
      </c>
      <c r="DD17" s="2" t="s">
        <v>299</v>
      </c>
      <c r="DE17" s="2" t="s">
        <v>273</v>
      </c>
      <c r="DF17" s="2" t="s">
        <v>273</v>
      </c>
      <c r="DG17" s="2" t="s">
        <v>208</v>
      </c>
      <c r="DH17" s="2" t="s">
        <v>208</v>
      </c>
      <c r="DI17" s="2" t="s">
        <v>208</v>
      </c>
      <c r="DL17" s="2" t="s">
        <v>187</v>
      </c>
      <c r="DM17" s="2" t="s">
        <v>187</v>
      </c>
      <c r="DN17" s="2" t="s">
        <v>187</v>
      </c>
      <c r="DO17" s="2" t="s">
        <v>187</v>
      </c>
      <c r="DP17" s="2" t="s">
        <v>209</v>
      </c>
      <c r="DQ17" s="2" t="s">
        <v>210</v>
      </c>
      <c r="DT17" s="2" t="s">
        <v>209</v>
      </c>
      <c r="DU17" s="2" t="s">
        <v>209</v>
      </c>
      <c r="DV17" s="2" t="s">
        <v>209</v>
      </c>
      <c r="DW17" s="2" t="s">
        <v>209</v>
      </c>
      <c r="DX17" s="2" t="s">
        <v>209</v>
      </c>
      <c r="DY17" s="2" t="s">
        <v>209</v>
      </c>
      <c r="DZ17" s="2" t="s">
        <v>209</v>
      </c>
      <c r="EA17" s="2" t="s">
        <v>209</v>
      </c>
      <c r="EB17" s="2" t="s">
        <v>209</v>
      </c>
      <c r="EC17" s="2" t="s">
        <v>203</v>
      </c>
      <c r="ED17" s="2" t="s">
        <v>203</v>
      </c>
      <c r="EF17" s="2" t="s">
        <v>211</v>
      </c>
      <c r="EJ17" s="2" t="s">
        <v>238</v>
      </c>
      <c r="EK17" s="2" t="s">
        <v>187</v>
      </c>
      <c r="EL17" s="2" t="s">
        <v>188</v>
      </c>
      <c r="EN17" s="2" t="s">
        <v>214</v>
      </c>
      <c r="EP17" s="2" t="s">
        <v>230</v>
      </c>
      <c r="ER17" s="2" t="s">
        <v>187</v>
      </c>
      <c r="ET17" s="2" t="s">
        <v>188</v>
      </c>
      <c r="EV17" s="2" t="s">
        <v>188</v>
      </c>
      <c r="EX17" s="2" t="s">
        <v>188</v>
      </c>
      <c r="EZ17" s="2" t="s">
        <v>188</v>
      </c>
      <c r="FC17" s="2" t="s">
        <v>216</v>
      </c>
      <c r="FD17" s="2" t="s">
        <v>188</v>
      </c>
      <c r="FH17" s="2" t="s">
        <v>188</v>
      </c>
      <c r="FJ17" s="2" t="s">
        <v>188</v>
      </c>
      <c r="FK17" s="2" t="s">
        <v>209</v>
      </c>
      <c r="FL17" s="2" t="s">
        <v>319</v>
      </c>
      <c r="FN17" s="2" t="s">
        <v>304</v>
      </c>
      <c r="FT17" s="2" t="s">
        <v>219</v>
      </c>
      <c r="FU17" s="2" t="s">
        <v>233</v>
      </c>
      <c r="FV17" s="2" t="s">
        <v>219</v>
      </c>
      <c r="FW17" s="2" t="s">
        <v>219</v>
      </c>
      <c r="FZ17" s="4">
        <v>46046.463831018518</v>
      </c>
    </row>
    <row r="18" spans="1:182">
      <c r="A18" s="2" t="s">
        <v>320</v>
      </c>
      <c r="D18" s="3">
        <v>46031.020532407405</v>
      </c>
      <c r="E18" s="2" t="s">
        <v>177</v>
      </c>
      <c r="F18" s="2" t="s">
        <v>293</v>
      </c>
      <c r="G18" s="2" t="s">
        <v>179</v>
      </c>
      <c r="H18" s="2" t="s">
        <v>321</v>
      </c>
      <c r="I18" s="2" t="s">
        <v>322</v>
      </c>
      <c r="J18" s="2">
        <v>967771625</v>
      </c>
      <c r="K18" s="2" t="s">
        <v>323</v>
      </c>
      <c r="L18" s="2" t="s">
        <v>269</v>
      </c>
      <c r="M18" s="2" t="s">
        <v>183</v>
      </c>
      <c r="N18" s="2">
        <v>1981</v>
      </c>
      <c r="O18" s="2" t="s">
        <v>184</v>
      </c>
      <c r="P18" s="2" t="s">
        <v>185</v>
      </c>
      <c r="Q18" s="2" t="s">
        <v>186</v>
      </c>
      <c r="R18" s="2" t="s">
        <v>188</v>
      </c>
      <c r="S18" s="2">
        <v>2010</v>
      </c>
      <c r="T18" s="2" t="s">
        <v>188</v>
      </c>
      <c r="U18" s="2" t="s">
        <v>188</v>
      </c>
      <c r="Y18" s="2">
        <v>350</v>
      </c>
      <c r="Z18" s="2">
        <v>1</v>
      </c>
      <c r="AA18" s="2">
        <v>350</v>
      </c>
      <c r="AB18" s="2">
        <v>320</v>
      </c>
      <c r="AC18" s="2">
        <v>260</v>
      </c>
      <c r="AD18" s="2">
        <v>300</v>
      </c>
      <c r="AE18" s="2">
        <v>40</v>
      </c>
      <c r="AF18" s="2" t="s">
        <v>187</v>
      </c>
      <c r="AG18" s="2" t="s">
        <v>187</v>
      </c>
      <c r="AH18" s="2" t="s">
        <v>187</v>
      </c>
      <c r="AI18" s="2" t="s">
        <v>308</v>
      </c>
      <c r="AJ18" s="2" t="s">
        <v>188</v>
      </c>
      <c r="AK18" s="2" t="s">
        <v>187</v>
      </c>
      <c r="AL18" s="2" t="s">
        <v>188</v>
      </c>
      <c r="AM18" s="2" t="s">
        <v>187</v>
      </c>
      <c r="AN18" s="2" t="s">
        <v>188</v>
      </c>
      <c r="AO18" s="2" t="s">
        <v>188</v>
      </c>
      <c r="AR18" s="2">
        <v>1</v>
      </c>
      <c r="AS18" s="2">
        <v>1</v>
      </c>
      <c r="AT18" s="2">
        <v>3</v>
      </c>
      <c r="AU18" s="2" t="s">
        <v>238</v>
      </c>
      <c r="AV18" s="2" t="s">
        <v>238</v>
      </c>
      <c r="AW18" s="2" t="s">
        <v>188</v>
      </c>
      <c r="AZ18" s="2" t="s">
        <v>190</v>
      </c>
      <c r="BB18" s="2" t="s">
        <v>260</v>
      </c>
      <c r="BC18" s="2" t="s">
        <v>253</v>
      </c>
      <c r="BD18" s="2" t="s">
        <v>188</v>
      </c>
      <c r="BE18" s="2" t="s">
        <v>187</v>
      </c>
      <c r="BF18" s="2" t="s">
        <v>193</v>
      </c>
      <c r="BG18" s="2" t="s">
        <v>194</v>
      </c>
      <c r="BH18" s="2" t="s">
        <v>297</v>
      </c>
      <c r="BI18" s="2" t="s">
        <v>196</v>
      </c>
      <c r="BL18" s="2" t="s">
        <v>197</v>
      </c>
      <c r="BM18" s="2" t="s">
        <v>198</v>
      </c>
      <c r="BN18" s="2" t="s">
        <v>199</v>
      </c>
      <c r="BO18" s="2" t="s">
        <v>188</v>
      </c>
      <c r="BQ18" s="2" t="s">
        <v>309</v>
      </c>
      <c r="BS18" s="2" t="s">
        <v>187</v>
      </c>
      <c r="BT18" s="2" t="s">
        <v>324</v>
      </c>
      <c r="BV18" s="2" t="s">
        <v>325</v>
      </c>
      <c r="BX18" s="2" t="s">
        <v>187</v>
      </c>
      <c r="BY18" s="2" t="s">
        <v>326</v>
      </c>
      <c r="BZ18" s="2" t="s">
        <v>203</v>
      </c>
      <c r="CE18" s="2">
        <v>3</v>
      </c>
      <c r="CF18" s="2">
        <v>300</v>
      </c>
      <c r="CK18" s="2">
        <v>100</v>
      </c>
      <c r="CO18" s="2">
        <v>100</v>
      </c>
      <c r="CR18" s="2" t="s">
        <v>204</v>
      </c>
      <c r="CT18" s="2" t="s">
        <v>188</v>
      </c>
      <c r="CU18" s="2" t="s">
        <v>205</v>
      </c>
      <c r="CW18" s="2" t="s">
        <v>206</v>
      </c>
      <c r="CY18" s="2" t="s">
        <v>273</v>
      </c>
      <c r="CZ18" s="2" t="s">
        <v>273</v>
      </c>
      <c r="DA18" s="2" t="s">
        <v>299</v>
      </c>
      <c r="DB18" s="2" t="s">
        <v>299</v>
      </c>
      <c r="DC18" s="2" t="s">
        <v>300</v>
      </c>
      <c r="DD18" s="2" t="s">
        <v>299</v>
      </c>
      <c r="DE18" s="2" t="s">
        <v>300</v>
      </c>
      <c r="DF18" s="2" t="s">
        <v>300</v>
      </c>
      <c r="DG18" s="2" t="s">
        <v>300</v>
      </c>
      <c r="DH18" s="2" t="s">
        <v>300</v>
      </c>
      <c r="DI18" s="2" t="s">
        <v>300</v>
      </c>
      <c r="DL18" s="2" t="s">
        <v>187</v>
      </c>
      <c r="DM18" s="2" t="s">
        <v>187</v>
      </c>
      <c r="DN18" s="2" t="s">
        <v>187</v>
      </c>
      <c r="DO18" s="2" t="s">
        <v>187</v>
      </c>
      <c r="DP18" s="2" t="s">
        <v>203</v>
      </c>
      <c r="DT18" s="2" t="s">
        <v>209</v>
      </c>
      <c r="DU18" s="2" t="s">
        <v>209</v>
      </c>
      <c r="DV18" s="2" t="s">
        <v>209</v>
      </c>
      <c r="DW18" s="2" t="s">
        <v>209</v>
      </c>
      <c r="DX18" s="2" t="s">
        <v>209</v>
      </c>
      <c r="DY18" s="2" t="s">
        <v>209</v>
      </c>
      <c r="DZ18" s="2" t="s">
        <v>203</v>
      </c>
      <c r="EA18" s="2" t="s">
        <v>209</v>
      </c>
      <c r="EB18" s="2" t="s">
        <v>209</v>
      </c>
      <c r="EC18" s="2" t="s">
        <v>203</v>
      </c>
      <c r="EF18" s="2" t="s">
        <v>211</v>
      </c>
      <c r="EJ18" s="2" t="s">
        <v>238</v>
      </c>
      <c r="EK18" s="2" t="s">
        <v>187</v>
      </c>
      <c r="EL18" s="2" t="s">
        <v>188</v>
      </c>
      <c r="EN18" s="2" t="s">
        <v>214</v>
      </c>
      <c r="EP18" s="2" t="s">
        <v>230</v>
      </c>
      <c r="ER18" s="2" t="s">
        <v>187</v>
      </c>
      <c r="ET18" s="2" t="s">
        <v>188</v>
      </c>
      <c r="EV18" s="2" t="s">
        <v>188</v>
      </c>
      <c r="EX18" s="2" t="s">
        <v>188</v>
      </c>
      <c r="FC18" s="2" t="s">
        <v>216</v>
      </c>
      <c r="FD18" s="2" t="s">
        <v>188</v>
      </c>
      <c r="FH18" s="2" t="s">
        <v>188</v>
      </c>
      <c r="FJ18" s="2" t="s">
        <v>188</v>
      </c>
      <c r="FK18" s="2" t="s">
        <v>209</v>
      </c>
      <c r="FL18" s="2" t="s">
        <v>327</v>
      </c>
      <c r="FN18" s="2" t="s">
        <v>304</v>
      </c>
      <c r="FT18" s="2" t="s">
        <v>219</v>
      </c>
      <c r="FU18" s="2" t="s">
        <v>233</v>
      </c>
      <c r="FV18" s="2" t="s">
        <v>219</v>
      </c>
      <c r="FW18" s="2" t="s">
        <v>233</v>
      </c>
      <c r="FZ18" s="4">
        <v>46040.301319444443</v>
      </c>
    </row>
    <row r="19" spans="1:182">
      <c r="A19" s="2" t="s">
        <v>328</v>
      </c>
      <c r="D19" s="3">
        <v>46031.047418981485</v>
      </c>
      <c r="E19" s="2" t="s">
        <v>177</v>
      </c>
      <c r="F19" s="2" t="s">
        <v>293</v>
      </c>
      <c r="G19" s="2" t="s">
        <v>179</v>
      </c>
      <c r="H19" s="2" t="s">
        <v>329</v>
      </c>
      <c r="I19" s="2" t="s">
        <v>330</v>
      </c>
      <c r="J19" s="2">
        <v>33333</v>
      </c>
      <c r="K19" s="2" t="s">
        <v>331</v>
      </c>
      <c r="L19" s="2" t="s">
        <v>269</v>
      </c>
      <c r="M19" s="2" t="s">
        <v>223</v>
      </c>
      <c r="N19" s="2">
        <v>1989</v>
      </c>
      <c r="O19" s="2" t="s">
        <v>184</v>
      </c>
      <c r="P19" s="2" t="s">
        <v>225</v>
      </c>
      <c r="Q19" s="2" t="s">
        <v>270</v>
      </c>
      <c r="R19" s="2" t="s">
        <v>188</v>
      </c>
      <c r="S19" s="2">
        <v>2016</v>
      </c>
      <c r="T19" s="2" t="s">
        <v>188</v>
      </c>
      <c r="U19" s="2" t="s">
        <v>188</v>
      </c>
      <c r="Y19" s="2">
        <v>310</v>
      </c>
      <c r="Z19" s="2">
        <v>0.80649999999999999</v>
      </c>
      <c r="AA19" s="2">
        <v>250</v>
      </c>
      <c r="AB19" s="2">
        <v>200</v>
      </c>
      <c r="AC19" s="2">
        <v>190</v>
      </c>
      <c r="AD19" s="2">
        <v>200</v>
      </c>
      <c r="AE19" s="2">
        <v>10</v>
      </c>
      <c r="AF19" s="2" t="s">
        <v>187</v>
      </c>
      <c r="AG19" s="2" t="s">
        <v>188</v>
      </c>
      <c r="AH19" s="2" t="s">
        <v>187</v>
      </c>
      <c r="AI19" s="2" t="s">
        <v>308</v>
      </c>
      <c r="AJ19" s="2" t="s">
        <v>188</v>
      </c>
      <c r="AK19" s="2" t="s">
        <v>188</v>
      </c>
      <c r="AL19" s="2" t="s">
        <v>188</v>
      </c>
      <c r="AM19" s="2" t="s">
        <v>187</v>
      </c>
      <c r="AN19" s="2" t="s">
        <v>188</v>
      </c>
      <c r="AO19" s="2" t="s">
        <v>188</v>
      </c>
      <c r="AR19" s="2">
        <v>0.4</v>
      </c>
      <c r="AS19" s="2">
        <v>1</v>
      </c>
      <c r="AT19" s="2">
        <v>0.2</v>
      </c>
      <c r="AU19" s="2" t="s">
        <v>203</v>
      </c>
      <c r="AV19" s="2" t="s">
        <v>203</v>
      </c>
      <c r="AW19" s="2" t="s">
        <v>188</v>
      </c>
      <c r="AZ19" s="2" t="s">
        <v>190</v>
      </c>
      <c r="BB19" s="2" t="s">
        <v>332</v>
      </c>
      <c r="BC19" s="2" t="s">
        <v>253</v>
      </c>
      <c r="BD19" s="2" t="s">
        <v>187</v>
      </c>
      <c r="BE19" s="2" t="s">
        <v>187</v>
      </c>
      <c r="BF19" s="2" t="s">
        <v>193</v>
      </c>
      <c r="BG19" s="2" t="s">
        <v>194</v>
      </c>
      <c r="BH19" s="2" t="s">
        <v>195</v>
      </c>
      <c r="BI19" s="2" t="s">
        <v>333</v>
      </c>
      <c r="BL19" s="2" t="s">
        <v>240</v>
      </c>
      <c r="BM19" s="2" t="s">
        <v>198</v>
      </c>
      <c r="BN19" s="2" t="s">
        <v>199</v>
      </c>
      <c r="BO19" s="2" t="s">
        <v>188</v>
      </c>
      <c r="BP19" s="2" t="s">
        <v>334</v>
      </c>
      <c r="BQ19" s="2" t="s">
        <v>227</v>
      </c>
      <c r="BS19" s="2" t="s">
        <v>188</v>
      </c>
      <c r="BT19" s="2" t="s">
        <v>261</v>
      </c>
      <c r="BV19" s="2" t="s">
        <v>287</v>
      </c>
      <c r="BX19" s="2" t="s">
        <v>188</v>
      </c>
      <c r="BY19" s="2" t="s">
        <v>335</v>
      </c>
      <c r="BZ19" s="2" t="s">
        <v>188</v>
      </c>
      <c r="CE19" s="2">
        <v>0.2</v>
      </c>
      <c r="CF19" s="2">
        <v>200</v>
      </c>
      <c r="CK19" s="2">
        <v>100</v>
      </c>
      <c r="CO19" s="2">
        <v>100</v>
      </c>
      <c r="CR19" s="2" t="s">
        <v>204</v>
      </c>
      <c r="CT19" s="2" t="s">
        <v>188</v>
      </c>
      <c r="CU19" s="2" t="s">
        <v>281</v>
      </c>
      <c r="CW19" s="2" t="s">
        <v>206</v>
      </c>
      <c r="CY19" s="2" t="s">
        <v>273</v>
      </c>
      <c r="CZ19" s="2" t="s">
        <v>299</v>
      </c>
      <c r="DA19" s="2" t="s">
        <v>299</v>
      </c>
      <c r="DB19" s="2" t="s">
        <v>299</v>
      </c>
      <c r="DC19" s="2" t="s">
        <v>299</v>
      </c>
      <c r="DD19" s="2" t="s">
        <v>299</v>
      </c>
      <c r="DE19" s="2" t="s">
        <v>299</v>
      </c>
      <c r="DF19" s="2" t="s">
        <v>300</v>
      </c>
      <c r="DG19" s="2" t="s">
        <v>299</v>
      </c>
      <c r="DH19" s="2" t="s">
        <v>299</v>
      </c>
      <c r="DI19" s="2" t="s">
        <v>299</v>
      </c>
      <c r="DL19" s="2" t="s">
        <v>188</v>
      </c>
      <c r="DM19" s="2" t="s">
        <v>188</v>
      </c>
      <c r="DP19" s="2" t="s">
        <v>203</v>
      </c>
      <c r="DT19" s="2" t="s">
        <v>209</v>
      </c>
      <c r="DU19" s="2" t="s">
        <v>209</v>
      </c>
      <c r="DV19" s="2" t="s">
        <v>209</v>
      </c>
      <c r="DW19" s="2" t="s">
        <v>209</v>
      </c>
      <c r="DX19" s="2" t="s">
        <v>209</v>
      </c>
      <c r="DY19" s="2" t="s">
        <v>203</v>
      </c>
      <c r="DZ19" s="2" t="s">
        <v>203</v>
      </c>
      <c r="EA19" s="2" t="s">
        <v>209</v>
      </c>
      <c r="EB19" s="2" t="s">
        <v>209</v>
      </c>
      <c r="EC19" s="2" t="s">
        <v>203</v>
      </c>
      <c r="EF19" s="2" t="s">
        <v>302</v>
      </c>
      <c r="EG19" s="2" t="s">
        <v>336</v>
      </c>
      <c r="EJ19" s="2" t="s">
        <v>203</v>
      </c>
      <c r="EK19" s="2" t="s">
        <v>188</v>
      </c>
      <c r="EL19" s="2" t="s">
        <v>188</v>
      </c>
      <c r="EN19" s="2" t="s">
        <v>214</v>
      </c>
      <c r="EP19" s="2" t="s">
        <v>230</v>
      </c>
      <c r="ER19" s="2" t="s">
        <v>188</v>
      </c>
      <c r="ET19" s="2" t="s">
        <v>188</v>
      </c>
      <c r="EV19" s="2" t="s">
        <v>188</v>
      </c>
      <c r="EX19" s="2" t="s">
        <v>188</v>
      </c>
      <c r="FC19" s="2" t="s">
        <v>216</v>
      </c>
      <c r="FD19" s="2" t="s">
        <v>188</v>
      </c>
      <c r="FH19" s="2" t="s">
        <v>188</v>
      </c>
      <c r="FJ19" s="2" t="s">
        <v>187</v>
      </c>
      <c r="FK19" s="2" t="s">
        <v>209</v>
      </c>
      <c r="FL19" s="2" t="s">
        <v>319</v>
      </c>
      <c r="FN19" s="2" t="s">
        <v>291</v>
      </c>
      <c r="FO19" s="2" t="s">
        <v>203</v>
      </c>
      <c r="FT19" s="2" t="s">
        <v>233</v>
      </c>
      <c r="FU19" s="2" t="s">
        <v>233</v>
      </c>
      <c r="FV19" s="2" t="s">
        <v>233</v>
      </c>
      <c r="FW19" s="2" t="s">
        <v>233</v>
      </c>
      <c r="FZ19" s="4">
        <v>46040.307546296295</v>
      </c>
    </row>
    <row r="20" spans="1:182">
      <c r="A20" s="2" t="s">
        <v>337</v>
      </c>
      <c r="D20" s="3">
        <v>46031.078576388885</v>
      </c>
      <c r="E20" s="2" t="s">
        <v>177</v>
      </c>
      <c r="F20" s="2" t="s">
        <v>293</v>
      </c>
      <c r="G20" s="2" t="s">
        <v>179</v>
      </c>
      <c r="H20" s="2" t="s">
        <v>294</v>
      </c>
      <c r="I20" s="2" t="s">
        <v>338</v>
      </c>
      <c r="J20" s="2">
        <v>394721776</v>
      </c>
      <c r="K20" s="2" t="s">
        <v>338</v>
      </c>
      <c r="L20" s="2" t="s">
        <v>182</v>
      </c>
      <c r="M20" s="2" t="s">
        <v>183</v>
      </c>
      <c r="N20" s="2">
        <v>1989</v>
      </c>
      <c r="O20" s="2" t="s">
        <v>184</v>
      </c>
      <c r="P20" s="2" t="s">
        <v>185</v>
      </c>
      <c r="Q20" s="2" t="s">
        <v>186</v>
      </c>
      <c r="R20" s="2" t="s">
        <v>187</v>
      </c>
      <c r="S20" s="2">
        <v>2016</v>
      </c>
      <c r="T20" s="2" t="s">
        <v>188</v>
      </c>
      <c r="U20" s="2" t="s">
        <v>188</v>
      </c>
      <c r="Y20" s="2">
        <v>400</v>
      </c>
      <c r="Z20" s="2">
        <v>0.875</v>
      </c>
      <c r="AA20" s="2">
        <v>350</v>
      </c>
      <c r="AB20" s="2">
        <v>350</v>
      </c>
      <c r="AC20" s="2">
        <v>280</v>
      </c>
      <c r="AD20" s="2">
        <v>310</v>
      </c>
      <c r="AE20" s="2">
        <v>30</v>
      </c>
      <c r="AF20" s="2" t="s">
        <v>187</v>
      </c>
      <c r="AG20" s="2" t="s">
        <v>188</v>
      </c>
      <c r="AH20" s="2" t="s">
        <v>187</v>
      </c>
      <c r="AI20" s="2" t="s">
        <v>308</v>
      </c>
      <c r="AJ20" s="2" t="s">
        <v>188</v>
      </c>
      <c r="AK20" s="2" t="s">
        <v>188</v>
      </c>
      <c r="AM20" s="2" t="s">
        <v>187</v>
      </c>
      <c r="AN20" s="2" t="s">
        <v>188</v>
      </c>
      <c r="AO20" s="2" t="s">
        <v>188</v>
      </c>
      <c r="AR20" s="2">
        <v>1.2</v>
      </c>
      <c r="AS20" s="2">
        <v>2</v>
      </c>
      <c r="AT20" s="2">
        <v>3</v>
      </c>
      <c r="AU20" s="2" t="s">
        <v>189</v>
      </c>
      <c r="AV20" s="2" t="s">
        <v>189</v>
      </c>
      <c r="AW20" s="2" t="s">
        <v>188</v>
      </c>
      <c r="AZ20" s="2" t="s">
        <v>339</v>
      </c>
      <c r="BA20" s="2" t="s">
        <v>340</v>
      </c>
      <c r="BB20" s="2" t="s">
        <v>260</v>
      </c>
      <c r="BC20" s="2" t="s">
        <v>296</v>
      </c>
      <c r="BD20" s="2" t="s">
        <v>188</v>
      </c>
      <c r="BE20" s="2" t="s">
        <v>188</v>
      </c>
      <c r="BL20" s="2" t="s">
        <v>197</v>
      </c>
      <c r="BM20" s="2" t="s">
        <v>198</v>
      </c>
      <c r="BN20" s="2" t="s">
        <v>199</v>
      </c>
      <c r="BO20" s="2" t="s">
        <v>341</v>
      </c>
      <c r="BP20" s="2" t="s">
        <v>342</v>
      </c>
      <c r="BS20" s="2" t="s">
        <v>187</v>
      </c>
      <c r="BT20" s="2" t="s">
        <v>261</v>
      </c>
      <c r="BV20" s="2" t="s">
        <v>254</v>
      </c>
      <c r="BX20" s="2" t="s">
        <v>188</v>
      </c>
      <c r="BY20" s="2" t="s">
        <v>188</v>
      </c>
      <c r="BZ20" s="2" t="s">
        <v>203</v>
      </c>
      <c r="CE20" s="2">
        <v>3</v>
      </c>
      <c r="CK20" s="2">
        <v>100</v>
      </c>
      <c r="CO20" s="2">
        <v>100</v>
      </c>
      <c r="CR20" s="2" t="s">
        <v>343</v>
      </c>
      <c r="CT20" s="2" t="s">
        <v>187</v>
      </c>
      <c r="CU20" s="2" t="s">
        <v>205</v>
      </c>
      <c r="CW20" s="2" t="s">
        <v>206</v>
      </c>
      <c r="CY20" s="2" t="s">
        <v>273</v>
      </c>
      <c r="CZ20" s="2" t="s">
        <v>273</v>
      </c>
      <c r="DA20" s="2" t="s">
        <v>207</v>
      </c>
      <c r="DB20" s="2" t="s">
        <v>207</v>
      </c>
      <c r="DC20" s="2" t="s">
        <v>208</v>
      </c>
      <c r="DD20" s="2" t="s">
        <v>207</v>
      </c>
      <c r="DE20" s="2" t="s">
        <v>208</v>
      </c>
      <c r="DG20" s="2" t="s">
        <v>208</v>
      </c>
      <c r="DH20" s="2" t="s">
        <v>208</v>
      </c>
      <c r="DI20" s="2" t="s">
        <v>208</v>
      </c>
      <c r="DL20" s="2" t="s">
        <v>187</v>
      </c>
      <c r="DM20" s="2" t="s">
        <v>187</v>
      </c>
      <c r="DN20" s="2" t="s">
        <v>187</v>
      </c>
      <c r="DO20" s="2" t="s">
        <v>187</v>
      </c>
      <c r="DP20" s="2" t="s">
        <v>209</v>
      </c>
      <c r="DQ20" s="2" t="s">
        <v>210</v>
      </c>
      <c r="DT20" s="2" t="s">
        <v>209</v>
      </c>
      <c r="DU20" s="2" t="s">
        <v>209</v>
      </c>
      <c r="DV20" s="2" t="s">
        <v>209</v>
      </c>
      <c r="DW20" s="2" t="s">
        <v>209</v>
      </c>
      <c r="DX20" s="2" t="s">
        <v>209</v>
      </c>
      <c r="DY20" s="2" t="s">
        <v>209</v>
      </c>
      <c r="DZ20" s="2" t="s">
        <v>209</v>
      </c>
      <c r="EA20" s="2" t="s">
        <v>209</v>
      </c>
      <c r="EB20" s="2" t="s">
        <v>203</v>
      </c>
      <c r="EC20" s="2" t="s">
        <v>203</v>
      </c>
      <c r="EF20" s="2" t="s">
        <v>211</v>
      </c>
      <c r="EJ20" s="2" t="s">
        <v>238</v>
      </c>
      <c r="EK20" s="2" t="s">
        <v>187</v>
      </c>
      <c r="EL20" s="2" t="s">
        <v>188</v>
      </c>
      <c r="EN20" s="2" t="s">
        <v>214</v>
      </c>
      <c r="EP20" s="2" t="s">
        <v>230</v>
      </c>
      <c r="ER20" s="2" t="s">
        <v>187</v>
      </c>
      <c r="ET20" s="2" t="s">
        <v>188</v>
      </c>
      <c r="EV20" s="2" t="s">
        <v>187</v>
      </c>
      <c r="EW20" s="2" t="s">
        <v>189</v>
      </c>
      <c r="EX20" s="2" t="s">
        <v>187</v>
      </c>
      <c r="EY20" s="2" t="s">
        <v>189</v>
      </c>
      <c r="EZ20" s="2" t="s">
        <v>188</v>
      </c>
      <c r="FC20" s="2" t="s">
        <v>216</v>
      </c>
      <c r="FD20" s="2" t="s">
        <v>188</v>
      </c>
      <c r="FH20" s="2" t="s">
        <v>188</v>
      </c>
      <c r="FJ20" s="2" t="s">
        <v>188</v>
      </c>
      <c r="FK20" s="2" t="s">
        <v>203</v>
      </c>
      <c r="FN20" s="2" t="s">
        <v>304</v>
      </c>
      <c r="FT20" s="2" t="s">
        <v>219</v>
      </c>
      <c r="FU20" s="2" t="s">
        <v>233</v>
      </c>
      <c r="FV20" s="2" t="s">
        <v>219</v>
      </c>
      <c r="FW20" s="2" t="s">
        <v>219</v>
      </c>
      <c r="FX20" s="2" t="s">
        <v>219</v>
      </c>
      <c r="FZ20" s="4">
        <v>46037.479872685188</v>
      </c>
    </row>
    <row r="21" spans="1:182">
      <c r="A21" s="2" t="s">
        <v>344</v>
      </c>
      <c r="D21" s="3">
        <v>46031.091284722221</v>
      </c>
      <c r="E21" s="2" t="s">
        <v>177</v>
      </c>
      <c r="F21" s="2" t="s">
        <v>293</v>
      </c>
      <c r="G21" s="2" t="s">
        <v>179</v>
      </c>
      <c r="H21" s="2" t="s">
        <v>306</v>
      </c>
      <c r="I21" s="2" t="s">
        <v>345</v>
      </c>
      <c r="J21" s="2">
        <v>333549314</v>
      </c>
      <c r="K21" s="2" t="s">
        <v>345</v>
      </c>
      <c r="L21" s="2" t="s">
        <v>182</v>
      </c>
      <c r="M21" s="2" t="s">
        <v>183</v>
      </c>
      <c r="N21" s="2">
        <v>1958</v>
      </c>
      <c r="O21" s="2" t="s">
        <v>184</v>
      </c>
      <c r="P21" s="2" t="s">
        <v>185</v>
      </c>
      <c r="Q21" s="2" t="s">
        <v>186</v>
      </c>
      <c r="R21" s="2" t="s">
        <v>188</v>
      </c>
      <c r="S21" s="2">
        <v>1998</v>
      </c>
      <c r="T21" s="2" t="s">
        <v>188</v>
      </c>
      <c r="U21" s="2" t="s">
        <v>188</v>
      </c>
      <c r="Y21" s="2">
        <v>1300</v>
      </c>
      <c r="Z21" s="2">
        <v>0.84619999999999995</v>
      </c>
      <c r="AA21" s="2">
        <v>1100</v>
      </c>
      <c r="AC21" s="2">
        <v>1000</v>
      </c>
      <c r="AD21" s="2">
        <v>1200</v>
      </c>
      <c r="AE21" s="2">
        <v>200</v>
      </c>
      <c r="AF21" s="2" t="s">
        <v>187</v>
      </c>
      <c r="AG21" s="2" t="s">
        <v>187</v>
      </c>
      <c r="AH21" s="2" t="s">
        <v>187</v>
      </c>
      <c r="AI21" s="2" t="s">
        <v>346</v>
      </c>
      <c r="AJ21" s="2" t="s">
        <v>188</v>
      </c>
      <c r="AK21" s="2" t="s">
        <v>188</v>
      </c>
      <c r="AL21" s="2" t="s">
        <v>187</v>
      </c>
      <c r="AN21" s="2" t="s">
        <v>188</v>
      </c>
      <c r="AO21" s="2" t="s">
        <v>187</v>
      </c>
      <c r="AR21" s="2">
        <v>5</v>
      </c>
      <c r="AS21" s="2">
        <v>2</v>
      </c>
      <c r="AT21" s="2">
        <v>12</v>
      </c>
      <c r="AU21" s="2" t="s">
        <v>212</v>
      </c>
      <c r="AV21" s="2" t="s">
        <v>212</v>
      </c>
      <c r="AW21" s="2" t="s">
        <v>188</v>
      </c>
      <c r="AZ21" s="2" t="s">
        <v>190</v>
      </c>
      <c r="BB21" s="2" t="s">
        <v>260</v>
      </c>
      <c r="BC21" s="2" t="s">
        <v>192</v>
      </c>
      <c r="BD21" s="2" t="s">
        <v>187</v>
      </c>
      <c r="BE21" s="2" t="s">
        <v>188</v>
      </c>
      <c r="BI21" s="2" t="s">
        <v>196</v>
      </c>
      <c r="BL21" s="2" t="s">
        <v>197</v>
      </c>
      <c r="BM21" s="2" t="s">
        <v>198</v>
      </c>
      <c r="BN21" s="2" t="s">
        <v>199</v>
      </c>
      <c r="BO21" s="2" t="s">
        <v>188</v>
      </c>
      <c r="BP21" s="2" t="s">
        <v>342</v>
      </c>
      <c r="BQ21" s="2" t="s">
        <v>309</v>
      </c>
      <c r="BS21" s="2" t="s">
        <v>187</v>
      </c>
      <c r="BT21" s="2" t="s">
        <v>201</v>
      </c>
      <c r="BV21" s="2" t="s">
        <v>287</v>
      </c>
      <c r="BX21" s="2" t="s">
        <v>188</v>
      </c>
      <c r="BY21" s="2" t="s">
        <v>347</v>
      </c>
      <c r="BZ21" s="2" t="s">
        <v>203</v>
      </c>
      <c r="CE21" s="2">
        <v>12</v>
      </c>
      <c r="CF21" s="2">
        <v>1200</v>
      </c>
      <c r="CK21" s="2">
        <v>100</v>
      </c>
      <c r="CO21" s="2">
        <v>100</v>
      </c>
      <c r="CR21" s="2" t="s">
        <v>343</v>
      </c>
      <c r="CT21" s="2" t="s">
        <v>188</v>
      </c>
      <c r="CU21" s="2" t="s">
        <v>205</v>
      </c>
      <c r="CW21" s="2" t="s">
        <v>206</v>
      </c>
      <c r="CY21" s="2" t="s">
        <v>207</v>
      </c>
      <c r="CZ21" s="2" t="s">
        <v>207</v>
      </c>
      <c r="DA21" s="2" t="s">
        <v>208</v>
      </c>
      <c r="DB21" s="2" t="s">
        <v>273</v>
      </c>
      <c r="DC21" s="2" t="s">
        <v>207</v>
      </c>
      <c r="DD21" s="2" t="s">
        <v>207</v>
      </c>
      <c r="DE21" s="2" t="s">
        <v>273</v>
      </c>
      <c r="DF21" s="2" t="s">
        <v>208</v>
      </c>
      <c r="DG21" s="2" t="s">
        <v>208</v>
      </c>
      <c r="DH21" s="2" t="s">
        <v>208</v>
      </c>
      <c r="DI21" s="2" t="s">
        <v>208</v>
      </c>
      <c r="DL21" s="2" t="s">
        <v>187</v>
      </c>
      <c r="DM21" s="2" t="s">
        <v>187</v>
      </c>
      <c r="DN21" s="2" t="s">
        <v>187</v>
      </c>
      <c r="DO21" s="2" t="s">
        <v>187</v>
      </c>
      <c r="DP21" s="2" t="s">
        <v>209</v>
      </c>
      <c r="DQ21" s="2" t="s">
        <v>210</v>
      </c>
      <c r="DS21" s="2" t="s">
        <v>203</v>
      </c>
      <c r="DT21" s="2" t="s">
        <v>209</v>
      </c>
      <c r="DU21" s="2" t="s">
        <v>209</v>
      </c>
      <c r="DV21" s="2" t="s">
        <v>209</v>
      </c>
      <c r="DW21" s="2" t="s">
        <v>209</v>
      </c>
      <c r="DX21" s="2" t="s">
        <v>209</v>
      </c>
      <c r="DY21" s="2" t="s">
        <v>209</v>
      </c>
      <c r="DZ21" s="2" t="s">
        <v>209</v>
      </c>
      <c r="EA21" s="2" t="s">
        <v>209</v>
      </c>
      <c r="EB21" s="2" t="s">
        <v>209</v>
      </c>
      <c r="EF21" s="2" t="s">
        <v>189</v>
      </c>
      <c r="EG21" s="2" t="s">
        <v>348</v>
      </c>
      <c r="EJ21" s="2" t="s">
        <v>238</v>
      </c>
      <c r="EK21" s="2" t="s">
        <v>187</v>
      </c>
      <c r="EL21" s="2" t="s">
        <v>187</v>
      </c>
      <c r="EM21" s="2" t="s">
        <v>214</v>
      </c>
      <c r="EN21" s="2" t="s">
        <v>214</v>
      </c>
      <c r="EP21" s="2" t="s">
        <v>230</v>
      </c>
      <c r="ER21" s="2" t="s">
        <v>187</v>
      </c>
      <c r="ET21" s="2" t="s">
        <v>188</v>
      </c>
      <c r="EV21" s="2" t="s">
        <v>187</v>
      </c>
      <c r="EW21" s="2" t="s">
        <v>215</v>
      </c>
      <c r="EX21" s="2" t="s">
        <v>187</v>
      </c>
      <c r="EY21" s="2" t="s">
        <v>215</v>
      </c>
      <c r="EZ21" s="2" t="s">
        <v>188</v>
      </c>
      <c r="FC21" s="2" t="s">
        <v>216</v>
      </c>
      <c r="FD21" s="2" t="s">
        <v>188</v>
      </c>
      <c r="FH21" s="2" t="s">
        <v>188</v>
      </c>
      <c r="FJ21" s="2" t="s">
        <v>188</v>
      </c>
      <c r="FK21" s="2" t="s">
        <v>209</v>
      </c>
      <c r="FL21" s="2" t="s">
        <v>319</v>
      </c>
      <c r="FN21" s="2" t="s">
        <v>304</v>
      </c>
      <c r="FT21" s="2" t="s">
        <v>219</v>
      </c>
      <c r="FU21" s="2" t="s">
        <v>233</v>
      </c>
      <c r="FV21" s="2" t="s">
        <v>219</v>
      </c>
      <c r="FW21" s="2" t="s">
        <v>219</v>
      </c>
      <c r="FX21" s="2" t="s">
        <v>219</v>
      </c>
      <c r="FZ21" s="4">
        <v>46037.510509259257</v>
      </c>
    </row>
    <row r="22" spans="1:182">
      <c r="A22" s="2" t="s">
        <v>349</v>
      </c>
      <c r="D22" s="3">
        <v>46031.182280092587</v>
      </c>
      <c r="E22" s="2" t="s">
        <v>177</v>
      </c>
      <c r="F22" s="2" t="s">
        <v>293</v>
      </c>
      <c r="G22" s="2" t="s">
        <v>179</v>
      </c>
      <c r="H22" s="2" t="s">
        <v>294</v>
      </c>
      <c r="I22" s="2" t="s">
        <v>350</v>
      </c>
      <c r="J22" s="2">
        <v>385909549</v>
      </c>
      <c r="K22" s="2" t="s">
        <v>351</v>
      </c>
      <c r="L22" s="2" t="s">
        <v>352</v>
      </c>
      <c r="M22" s="2" t="s">
        <v>223</v>
      </c>
      <c r="N22" s="2">
        <v>1991</v>
      </c>
      <c r="O22" s="2" t="s">
        <v>184</v>
      </c>
      <c r="P22" s="2" t="s">
        <v>225</v>
      </c>
      <c r="Q22" s="2" t="s">
        <v>226</v>
      </c>
      <c r="R22" s="2" t="s">
        <v>188</v>
      </c>
      <c r="S22" s="2">
        <v>2010</v>
      </c>
      <c r="T22" s="2" t="s">
        <v>188</v>
      </c>
      <c r="U22" s="2" t="s">
        <v>188</v>
      </c>
      <c r="Y22" s="2">
        <v>290</v>
      </c>
      <c r="Z22" s="2">
        <v>0.89659999999999995</v>
      </c>
      <c r="AA22" s="2">
        <v>260</v>
      </c>
      <c r="AB22" s="2">
        <v>260</v>
      </c>
      <c r="AC22" s="2">
        <v>240</v>
      </c>
      <c r="AD22" s="2">
        <v>280</v>
      </c>
      <c r="AE22" s="2">
        <v>40</v>
      </c>
      <c r="AF22" s="2" t="s">
        <v>187</v>
      </c>
      <c r="AG22" s="2" t="s">
        <v>187</v>
      </c>
      <c r="AH22" s="2" t="s">
        <v>188</v>
      </c>
      <c r="AJ22" s="2" t="s">
        <v>188</v>
      </c>
      <c r="AK22" s="2" t="s">
        <v>188</v>
      </c>
      <c r="AL22" s="2" t="s">
        <v>188</v>
      </c>
      <c r="AM22" s="2" t="s">
        <v>187</v>
      </c>
      <c r="AN22" s="2" t="s">
        <v>188</v>
      </c>
      <c r="AO22" s="2" t="s">
        <v>188</v>
      </c>
      <c r="AR22" s="2">
        <v>0.8</v>
      </c>
      <c r="AS22" s="2">
        <v>4</v>
      </c>
      <c r="AT22" s="2">
        <v>3.2</v>
      </c>
      <c r="AU22" s="2" t="s">
        <v>238</v>
      </c>
      <c r="AV22" s="2" t="s">
        <v>238</v>
      </c>
      <c r="AW22" s="2" t="s">
        <v>188</v>
      </c>
      <c r="AZ22" s="2" t="s">
        <v>353</v>
      </c>
      <c r="BB22" s="2" t="s">
        <v>260</v>
      </c>
      <c r="BC22" s="2" t="s">
        <v>253</v>
      </c>
      <c r="BD22" s="2" t="s">
        <v>188</v>
      </c>
      <c r="BE22" s="2" t="s">
        <v>187</v>
      </c>
      <c r="BF22" s="2" t="s">
        <v>193</v>
      </c>
      <c r="BG22" s="2" t="s">
        <v>194</v>
      </c>
      <c r="BH22" s="2" t="s">
        <v>195</v>
      </c>
      <c r="BI22" s="2" t="s">
        <v>196</v>
      </c>
      <c r="BL22" s="2" t="s">
        <v>240</v>
      </c>
      <c r="BM22" s="2" t="s">
        <v>198</v>
      </c>
      <c r="BN22" s="2" t="s">
        <v>199</v>
      </c>
      <c r="BO22" s="2" t="s">
        <v>298</v>
      </c>
      <c r="BP22" s="2" t="s">
        <v>342</v>
      </c>
      <c r="BS22" s="2" t="s">
        <v>187</v>
      </c>
      <c r="BT22" s="2" t="s">
        <v>241</v>
      </c>
      <c r="BV22" s="2" t="s">
        <v>287</v>
      </c>
      <c r="BX22" s="2" t="s">
        <v>188</v>
      </c>
      <c r="BZ22" s="2" t="s">
        <v>203</v>
      </c>
      <c r="CE22" s="2">
        <v>3.2</v>
      </c>
      <c r="CF22" s="2">
        <v>310</v>
      </c>
      <c r="CK22" s="2">
        <v>100</v>
      </c>
      <c r="CO22" s="2">
        <v>100</v>
      </c>
      <c r="CR22" s="2" t="s">
        <v>204</v>
      </c>
      <c r="CT22" s="2" t="s">
        <v>188</v>
      </c>
      <c r="CU22" s="2" t="s">
        <v>205</v>
      </c>
      <c r="CW22" s="2" t="s">
        <v>206</v>
      </c>
      <c r="CY22" s="2" t="s">
        <v>207</v>
      </c>
      <c r="CZ22" s="2" t="s">
        <v>300</v>
      </c>
      <c r="DA22" s="2" t="s">
        <v>300</v>
      </c>
      <c r="DB22" s="2" t="s">
        <v>299</v>
      </c>
      <c r="DC22" s="2" t="s">
        <v>300</v>
      </c>
      <c r="DD22" s="2" t="s">
        <v>299</v>
      </c>
      <c r="DE22" s="2" t="s">
        <v>299</v>
      </c>
      <c r="DF22" s="2" t="s">
        <v>299</v>
      </c>
      <c r="DG22" s="2" t="s">
        <v>299</v>
      </c>
      <c r="DH22" s="2" t="s">
        <v>299</v>
      </c>
      <c r="DI22" s="2" t="s">
        <v>299</v>
      </c>
      <c r="DL22" s="2" t="s">
        <v>187</v>
      </c>
      <c r="DM22" s="2" t="s">
        <v>188</v>
      </c>
      <c r="DP22" s="2" t="s">
        <v>203</v>
      </c>
      <c r="DT22" s="2" t="s">
        <v>209</v>
      </c>
      <c r="DU22" s="2" t="s">
        <v>209</v>
      </c>
      <c r="DV22" s="2" t="s">
        <v>209</v>
      </c>
      <c r="DW22" s="2" t="s">
        <v>209</v>
      </c>
      <c r="DX22" s="2" t="s">
        <v>203</v>
      </c>
      <c r="DY22" s="2" t="s">
        <v>203</v>
      </c>
      <c r="DZ22" s="2" t="s">
        <v>203</v>
      </c>
      <c r="EA22" s="2" t="s">
        <v>203</v>
      </c>
      <c r="EB22" s="2" t="s">
        <v>203</v>
      </c>
      <c r="EC22" s="2" t="s">
        <v>203</v>
      </c>
      <c r="ED22" s="2" t="s">
        <v>203</v>
      </c>
      <c r="EF22" s="2" t="s">
        <v>189</v>
      </c>
      <c r="EJ22" s="2" t="s">
        <v>238</v>
      </c>
      <c r="EK22" s="2" t="s">
        <v>188</v>
      </c>
      <c r="EL22" s="2" t="s">
        <v>188</v>
      </c>
      <c r="EN22" s="2" t="s">
        <v>214</v>
      </c>
      <c r="EP22" s="2" t="s">
        <v>230</v>
      </c>
      <c r="ER22" s="2" t="s">
        <v>188</v>
      </c>
      <c r="ET22" s="2" t="s">
        <v>188</v>
      </c>
      <c r="EV22" s="2" t="s">
        <v>188</v>
      </c>
      <c r="EX22" s="2" t="s">
        <v>188</v>
      </c>
      <c r="EZ22" s="2" t="s">
        <v>188</v>
      </c>
      <c r="FC22" s="2" t="s">
        <v>216</v>
      </c>
      <c r="FD22" s="2" t="s">
        <v>188</v>
      </c>
      <c r="FH22" s="2" t="s">
        <v>188</v>
      </c>
      <c r="FJ22" s="2" t="s">
        <v>188</v>
      </c>
      <c r="FK22" s="2" t="s">
        <v>209</v>
      </c>
      <c r="FL22" s="2" t="s">
        <v>319</v>
      </c>
      <c r="FN22" s="2" t="s">
        <v>354</v>
      </c>
      <c r="FT22" s="2" t="s">
        <v>233</v>
      </c>
      <c r="FU22" s="2" t="s">
        <v>233</v>
      </c>
      <c r="FV22" s="2" t="s">
        <v>233</v>
      </c>
      <c r="FW22" s="2" t="s">
        <v>233</v>
      </c>
      <c r="FZ22" s="4">
        <v>46037.882488425923</v>
      </c>
    </row>
    <row r="23" spans="1:182">
      <c r="A23" s="2" t="s">
        <v>355</v>
      </c>
      <c r="D23" s="3">
        <v>46031.193009259259</v>
      </c>
      <c r="E23" s="2" t="s">
        <v>177</v>
      </c>
      <c r="F23" s="2" t="s">
        <v>293</v>
      </c>
      <c r="G23" s="2" t="s">
        <v>179</v>
      </c>
      <c r="H23" s="2" t="s">
        <v>294</v>
      </c>
      <c r="I23" s="2" t="s">
        <v>356</v>
      </c>
      <c r="J23" s="2">
        <v>3333</v>
      </c>
      <c r="K23" s="2" t="s">
        <v>356</v>
      </c>
      <c r="L23" s="2" t="s">
        <v>352</v>
      </c>
      <c r="M23" s="2" t="s">
        <v>183</v>
      </c>
      <c r="N23" s="2">
        <v>1988</v>
      </c>
      <c r="O23" s="2" t="s">
        <v>184</v>
      </c>
      <c r="P23" s="2" t="s">
        <v>185</v>
      </c>
      <c r="Q23" s="2" t="s">
        <v>186</v>
      </c>
      <c r="R23" s="2" t="s">
        <v>188</v>
      </c>
      <c r="S23" s="2">
        <v>2019</v>
      </c>
      <c r="T23" s="2" t="s">
        <v>188</v>
      </c>
      <c r="U23" s="2" t="s">
        <v>188</v>
      </c>
      <c r="Y23" s="2">
        <v>200</v>
      </c>
      <c r="Z23" s="2">
        <v>1</v>
      </c>
      <c r="AA23" s="2">
        <v>200</v>
      </c>
      <c r="AB23" s="2">
        <v>180</v>
      </c>
      <c r="AC23" s="2">
        <v>80</v>
      </c>
      <c r="AD23" s="2">
        <v>120</v>
      </c>
      <c r="AE23" s="2">
        <v>40</v>
      </c>
      <c r="AF23" s="2" t="s">
        <v>187</v>
      </c>
      <c r="AG23" s="2" t="s">
        <v>188</v>
      </c>
      <c r="AH23" s="2" t="s">
        <v>188</v>
      </c>
      <c r="AJ23" s="2" t="s">
        <v>188</v>
      </c>
      <c r="AK23" s="2" t="s">
        <v>188</v>
      </c>
      <c r="AL23" s="2" t="s">
        <v>188</v>
      </c>
      <c r="AM23" s="2" t="s">
        <v>187</v>
      </c>
      <c r="AN23" s="2" t="s">
        <v>187</v>
      </c>
      <c r="AO23" s="2" t="s">
        <v>187</v>
      </c>
      <c r="AR23" s="2">
        <v>2.2000000000000002</v>
      </c>
      <c r="AS23" s="2">
        <v>4</v>
      </c>
      <c r="AT23" s="2">
        <v>1.2</v>
      </c>
      <c r="AU23" s="2" t="s">
        <v>238</v>
      </c>
      <c r="AV23" s="2" t="s">
        <v>238</v>
      </c>
      <c r="AW23" s="2" t="s">
        <v>188</v>
      </c>
      <c r="AZ23" s="2" t="s">
        <v>357</v>
      </c>
      <c r="BB23" s="2" t="s">
        <v>191</v>
      </c>
      <c r="BC23" s="2" t="s">
        <v>253</v>
      </c>
      <c r="BD23" s="2" t="s">
        <v>188</v>
      </c>
      <c r="BE23" s="2" t="s">
        <v>188</v>
      </c>
      <c r="BL23" s="2" t="s">
        <v>240</v>
      </c>
      <c r="BM23" s="2" t="s">
        <v>198</v>
      </c>
      <c r="BN23" s="2" t="s">
        <v>199</v>
      </c>
      <c r="BO23" s="2" t="s">
        <v>188</v>
      </c>
      <c r="BP23" s="2" t="s">
        <v>342</v>
      </c>
      <c r="BQ23" s="2" t="s">
        <v>309</v>
      </c>
      <c r="BS23" s="2" t="s">
        <v>187</v>
      </c>
      <c r="BT23" s="2" t="s">
        <v>261</v>
      </c>
      <c r="BV23" s="2" t="s">
        <v>358</v>
      </c>
      <c r="BX23" s="2" t="s">
        <v>188</v>
      </c>
      <c r="BZ23" s="2" t="s">
        <v>203</v>
      </c>
      <c r="CE23" s="2">
        <v>1.2</v>
      </c>
      <c r="CF23" s="2">
        <v>118</v>
      </c>
      <c r="CK23" s="2">
        <v>100</v>
      </c>
      <c r="CO23" s="2">
        <v>100</v>
      </c>
      <c r="CR23" s="2" t="s">
        <v>204</v>
      </c>
      <c r="CT23" s="2" t="s">
        <v>188</v>
      </c>
      <c r="CU23" s="2" t="s">
        <v>205</v>
      </c>
      <c r="CW23" s="2" t="s">
        <v>206</v>
      </c>
      <c r="CY23" s="2" t="s">
        <v>207</v>
      </c>
      <c r="CZ23" s="2" t="s">
        <v>207</v>
      </c>
      <c r="DA23" s="2" t="s">
        <v>207</v>
      </c>
      <c r="DB23" s="2" t="s">
        <v>207</v>
      </c>
      <c r="DC23" s="2" t="s">
        <v>207</v>
      </c>
      <c r="DD23" s="2" t="s">
        <v>207</v>
      </c>
      <c r="DE23" s="2" t="s">
        <v>208</v>
      </c>
      <c r="DF23" s="2" t="s">
        <v>207</v>
      </c>
      <c r="DG23" s="2" t="s">
        <v>207</v>
      </c>
      <c r="DH23" s="2" t="s">
        <v>273</v>
      </c>
      <c r="DI23" s="2" t="s">
        <v>300</v>
      </c>
      <c r="DL23" s="2" t="s">
        <v>187</v>
      </c>
      <c r="DM23" s="2" t="s">
        <v>187</v>
      </c>
      <c r="DN23" s="2" t="s">
        <v>187</v>
      </c>
      <c r="DO23" s="2" t="s">
        <v>187</v>
      </c>
      <c r="DP23" s="2" t="s">
        <v>209</v>
      </c>
      <c r="DQ23" s="2" t="s">
        <v>210</v>
      </c>
      <c r="DT23" s="2" t="s">
        <v>209</v>
      </c>
      <c r="DU23" s="2" t="s">
        <v>209</v>
      </c>
      <c r="DV23" s="2" t="s">
        <v>209</v>
      </c>
      <c r="DW23" s="2" t="s">
        <v>209</v>
      </c>
      <c r="DX23" s="2" t="s">
        <v>209</v>
      </c>
      <c r="DY23" s="2" t="s">
        <v>209</v>
      </c>
      <c r="DZ23" s="2" t="s">
        <v>203</v>
      </c>
      <c r="EA23" s="2" t="s">
        <v>203</v>
      </c>
      <c r="EB23" s="2" t="s">
        <v>209</v>
      </c>
      <c r="EC23" s="2" t="s">
        <v>203</v>
      </c>
      <c r="EF23" s="2" t="s">
        <v>189</v>
      </c>
      <c r="EJ23" s="2" t="s">
        <v>238</v>
      </c>
      <c r="EK23" s="2" t="s">
        <v>187</v>
      </c>
      <c r="EL23" s="2" t="s">
        <v>188</v>
      </c>
      <c r="EN23" s="2" t="s">
        <v>214</v>
      </c>
      <c r="EP23" s="2" t="s">
        <v>230</v>
      </c>
      <c r="ER23" s="2" t="s">
        <v>187</v>
      </c>
      <c r="ET23" s="2" t="s">
        <v>187</v>
      </c>
      <c r="EU23" s="2" t="s">
        <v>189</v>
      </c>
      <c r="EV23" s="2" t="s">
        <v>187</v>
      </c>
      <c r="EW23" s="2" t="s">
        <v>189</v>
      </c>
      <c r="EX23" s="2" t="s">
        <v>188</v>
      </c>
      <c r="EZ23" s="2" t="s">
        <v>188</v>
      </c>
      <c r="FC23" s="2" t="s">
        <v>263</v>
      </c>
      <c r="FD23" s="2" t="s">
        <v>188</v>
      </c>
      <c r="FH23" s="2" t="s">
        <v>188</v>
      </c>
      <c r="FJ23" s="2" t="s">
        <v>188</v>
      </c>
      <c r="FK23" s="2" t="s">
        <v>209</v>
      </c>
      <c r="FL23" s="2" t="s">
        <v>319</v>
      </c>
      <c r="FN23" s="2" t="s">
        <v>304</v>
      </c>
      <c r="FT23" s="2" t="s">
        <v>233</v>
      </c>
      <c r="FU23" s="2" t="s">
        <v>233</v>
      </c>
      <c r="FV23" s="2" t="s">
        <v>233</v>
      </c>
      <c r="FW23" s="2" t="s">
        <v>233</v>
      </c>
      <c r="FZ23" s="4">
        <v>46038.253287037034</v>
      </c>
    </row>
    <row r="24" spans="1:182">
      <c r="A24" s="2" t="s">
        <v>359</v>
      </c>
      <c r="D24" s="3">
        <v>46031.217812499999</v>
      </c>
      <c r="E24" s="2" t="s">
        <v>177</v>
      </c>
      <c r="F24" s="2" t="s">
        <v>293</v>
      </c>
      <c r="G24" s="2" t="s">
        <v>179</v>
      </c>
      <c r="H24" s="2" t="s">
        <v>294</v>
      </c>
      <c r="I24" s="2" t="s">
        <v>360</v>
      </c>
      <c r="J24" s="2">
        <v>393836057</v>
      </c>
      <c r="K24" s="2" t="s">
        <v>361</v>
      </c>
      <c r="L24" s="2" t="s">
        <v>182</v>
      </c>
      <c r="M24" s="2" t="s">
        <v>183</v>
      </c>
      <c r="N24" s="2">
        <v>1981</v>
      </c>
      <c r="O24" s="2" t="s">
        <v>184</v>
      </c>
      <c r="P24" s="2" t="s">
        <v>225</v>
      </c>
      <c r="Q24" s="2" t="s">
        <v>270</v>
      </c>
      <c r="R24" s="2" t="s">
        <v>188</v>
      </c>
      <c r="S24" s="2">
        <v>2007</v>
      </c>
      <c r="T24" s="2" t="s">
        <v>188</v>
      </c>
      <c r="U24" s="2" t="s">
        <v>188</v>
      </c>
      <c r="Y24" s="2">
        <v>400</v>
      </c>
      <c r="Z24" s="2">
        <v>0.82499999999999996</v>
      </c>
      <c r="AA24" s="2">
        <v>330</v>
      </c>
      <c r="AB24" s="2">
        <v>300</v>
      </c>
      <c r="AC24" s="2">
        <v>210</v>
      </c>
      <c r="AD24" s="2">
        <v>250</v>
      </c>
      <c r="AE24" s="2">
        <v>40</v>
      </c>
      <c r="AF24" s="2" t="s">
        <v>187</v>
      </c>
      <c r="AG24" s="2" t="s">
        <v>187</v>
      </c>
      <c r="AH24" s="2" t="s">
        <v>187</v>
      </c>
      <c r="AI24" s="2" t="s">
        <v>308</v>
      </c>
      <c r="AJ24" s="2" t="s">
        <v>188</v>
      </c>
      <c r="AK24" s="2" t="s">
        <v>188</v>
      </c>
      <c r="AL24" s="2" t="s">
        <v>188</v>
      </c>
      <c r="AM24" s="2" t="s">
        <v>187</v>
      </c>
      <c r="AN24" s="2" t="s">
        <v>188</v>
      </c>
      <c r="AO24" s="2" t="s">
        <v>188</v>
      </c>
      <c r="AR24" s="2">
        <v>0.7</v>
      </c>
      <c r="AS24" s="2">
        <v>2</v>
      </c>
      <c r="AT24" s="2">
        <v>2.5</v>
      </c>
      <c r="AU24" s="2" t="s">
        <v>238</v>
      </c>
      <c r="AV24" s="2" t="s">
        <v>238</v>
      </c>
      <c r="AW24" s="2" t="s">
        <v>188</v>
      </c>
      <c r="AZ24" s="2" t="s">
        <v>190</v>
      </c>
      <c r="BB24" s="2" t="s">
        <v>191</v>
      </c>
      <c r="BC24" s="2" t="s">
        <v>253</v>
      </c>
      <c r="BD24" s="2" t="s">
        <v>188</v>
      </c>
      <c r="BE24" s="2" t="s">
        <v>187</v>
      </c>
      <c r="BF24" s="2" t="s">
        <v>193</v>
      </c>
      <c r="BG24" s="2" t="s">
        <v>279</v>
      </c>
      <c r="BH24" s="2" t="s">
        <v>195</v>
      </c>
      <c r="BI24" s="2" t="s">
        <v>196</v>
      </c>
      <c r="BL24" s="2" t="s">
        <v>240</v>
      </c>
      <c r="BM24" s="2" t="s">
        <v>198</v>
      </c>
      <c r="BN24" s="2" t="s">
        <v>199</v>
      </c>
      <c r="BO24" s="2" t="s">
        <v>188</v>
      </c>
      <c r="BP24" s="2" t="s">
        <v>342</v>
      </c>
      <c r="BQ24" s="2" t="s">
        <v>309</v>
      </c>
      <c r="BS24" s="2" t="s">
        <v>188</v>
      </c>
      <c r="BT24" s="2" t="s">
        <v>261</v>
      </c>
      <c r="BV24" s="2" t="s">
        <v>362</v>
      </c>
      <c r="BX24" s="2" t="s">
        <v>188</v>
      </c>
      <c r="BY24" s="2" t="s">
        <v>363</v>
      </c>
      <c r="BZ24" s="2" t="s">
        <v>203</v>
      </c>
      <c r="CE24" s="2">
        <v>2.5</v>
      </c>
      <c r="CK24" s="2">
        <v>100</v>
      </c>
      <c r="CO24" s="2">
        <v>100</v>
      </c>
      <c r="CR24" s="2" t="s">
        <v>204</v>
      </c>
      <c r="CT24" s="2" t="s">
        <v>188</v>
      </c>
      <c r="CU24" s="2" t="s">
        <v>205</v>
      </c>
      <c r="CW24" s="2" t="s">
        <v>206</v>
      </c>
      <c r="CY24" s="2" t="s">
        <v>207</v>
      </c>
      <c r="CZ24" s="2" t="s">
        <v>208</v>
      </c>
      <c r="DA24" s="2" t="s">
        <v>208</v>
      </c>
      <c r="DB24" s="2" t="s">
        <v>208</v>
      </c>
      <c r="DC24" s="2" t="s">
        <v>300</v>
      </c>
      <c r="DD24" s="2" t="s">
        <v>301</v>
      </c>
      <c r="DE24" s="2" t="s">
        <v>300</v>
      </c>
      <c r="DF24" s="2" t="s">
        <v>300</v>
      </c>
      <c r="DG24" s="2" t="s">
        <v>299</v>
      </c>
      <c r="DH24" s="2" t="s">
        <v>208</v>
      </c>
      <c r="DI24" s="2" t="s">
        <v>208</v>
      </c>
      <c r="DL24" s="2" t="s">
        <v>188</v>
      </c>
      <c r="DM24" s="2" t="s">
        <v>188</v>
      </c>
      <c r="DP24" s="2" t="s">
        <v>203</v>
      </c>
      <c r="DS24" s="2" t="s">
        <v>203</v>
      </c>
      <c r="DT24" s="2" t="s">
        <v>209</v>
      </c>
      <c r="DU24" s="2" t="s">
        <v>209</v>
      </c>
      <c r="DV24" s="2" t="s">
        <v>209</v>
      </c>
      <c r="DW24" s="2" t="s">
        <v>209</v>
      </c>
      <c r="DX24" s="2" t="s">
        <v>209</v>
      </c>
      <c r="DY24" s="2" t="s">
        <v>209</v>
      </c>
      <c r="DZ24" s="2" t="s">
        <v>203</v>
      </c>
      <c r="EA24" s="2" t="s">
        <v>203</v>
      </c>
      <c r="EB24" s="2" t="s">
        <v>203</v>
      </c>
      <c r="EC24" s="2" t="s">
        <v>203</v>
      </c>
      <c r="EF24" s="2" t="s">
        <v>189</v>
      </c>
      <c r="EJ24" s="2" t="s">
        <v>238</v>
      </c>
      <c r="EK24" s="2" t="s">
        <v>187</v>
      </c>
      <c r="EL24" s="2" t="s">
        <v>188</v>
      </c>
      <c r="EN24" s="2" t="s">
        <v>214</v>
      </c>
      <c r="EP24" s="2" t="s">
        <v>230</v>
      </c>
      <c r="ER24" s="2" t="s">
        <v>187</v>
      </c>
      <c r="ET24" s="2" t="s">
        <v>188</v>
      </c>
      <c r="EV24" s="2" t="s">
        <v>188</v>
      </c>
      <c r="EX24" s="2" t="s">
        <v>188</v>
      </c>
      <c r="FC24" s="2" t="s">
        <v>216</v>
      </c>
      <c r="FD24" s="2" t="s">
        <v>188</v>
      </c>
      <c r="FH24" s="2" t="s">
        <v>188</v>
      </c>
      <c r="FJ24" s="2" t="s">
        <v>188</v>
      </c>
      <c r="FK24" s="2" t="s">
        <v>209</v>
      </c>
      <c r="FL24" s="2" t="s">
        <v>319</v>
      </c>
      <c r="FN24" s="2" t="s">
        <v>304</v>
      </c>
      <c r="FT24" s="2" t="s">
        <v>219</v>
      </c>
      <c r="FU24" s="2" t="s">
        <v>233</v>
      </c>
      <c r="FV24" s="2" t="s">
        <v>233</v>
      </c>
      <c r="FW24" s="2" t="s">
        <v>219</v>
      </c>
      <c r="FZ24" s="4">
        <v>46038.261643518519</v>
      </c>
    </row>
    <row r="25" spans="1:182">
      <c r="A25" s="2" t="s">
        <v>364</v>
      </c>
      <c r="D25" s="3">
        <v>46031.262662037036</v>
      </c>
      <c r="E25" s="2" t="s">
        <v>177</v>
      </c>
      <c r="F25" s="2" t="s">
        <v>293</v>
      </c>
      <c r="G25" s="2" t="s">
        <v>179</v>
      </c>
      <c r="H25" s="2" t="s">
        <v>294</v>
      </c>
      <c r="I25" s="2" t="s">
        <v>365</v>
      </c>
      <c r="J25" s="2">
        <v>373527535</v>
      </c>
      <c r="K25" s="2" t="s">
        <v>365</v>
      </c>
      <c r="L25" s="2" t="s">
        <v>352</v>
      </c>
      <c r="M25" s="2" t="s">
        <v>183</v>
      </c>
      <c r="N25" s="2">
        <v>1954</v>
      </c>
      <c r="O25" s="2" t="s">
        <v>184</v>
      </c>
      <c r="P25" s="2" t="s">
        <v>185</v>
      </c>
      <c r="Q25" s="2" t="s">
        <v>186</v>
      </c>
      <c r="R25" s="2" t="s">
        <v>188</v>
      </c>
      <c r="S25" s="2">
        <v>1997</v>
      </c>
      <c r="T25" s="2" t="s">
        <v>188</v>
      </c>
      <c r="U25" s="2" t="s">
        <v>188</v>
      </c>
      <c r="Y25" s="2">
        <v>800</v>
      </c>
      <c r="Z25" s="2">
        <v>0.875</v>
      </c>
      <c r="AA25" s="2">
        <v>700</v>
      </c>
      <c r="AC25" s="2">
        <v>630</v>
      </c>
      <c r="AD25" s="2">
        <v>700</v>
      </c>
      <c r="AE25" s="2">
        <v>70</v>
      </c>
      <c r="AF25" s="2" t="s">
        <v>187</v>
      </c>
      <c r="AG25" s="2" t="s">
        <v>188</v>
      </c>
      <c r="AH25" s="2" t="s">
        <v>187</v>
      </c>
      <c r="AI25" s="2" t="s">
        <v>308</v>
      </c>
      <c r="AJ25" s="2" t="s">
        <v>188</v>
      </c>
      <c r="AK25" s="2" t="s">
        <v>188</v>
      </c>
      <c r="AL25" s="2" t="s">
        <v>188</v>
      </c>
      <c r="AM25" s="2" t="s">
        <v>187</v>
      </c>
      <c r="AN25" s="2" t="s">
        <v>188</v>
      </c>
      <c r="AO25" s="2" t="s">
        <v>188</v>
      </c>
      <c r="AR25" s="2">
        <v>1.8</v>
      </c>
      <c r="AS25" s="2">
        <v>2</v>
      </c>
      <c r="AT25" s="2">
        <v>7</v>
      </c>
      <c r="AU25" s="2" t="s">
        <v>189</v>
      </c>
      <c r="AV25" s="2" t="s">
        <v>238</v>
      </c>
      <c r="AW25" s="2" t="s">
        <v>188</v>
      </c>
      <c r="AZ25" s="2" t="s">
        <v>190</v>
      </c>
      <c r="BB25" s="2" t="s">
        <v>260</v>
      </c>
      <c r="BC25" s="2" t="s">
        <v>192</v>
      </c>
      <c r="BD25" s="2" t="s">
        <v>188</v>
      </c>
      <c r="BE25" s="2" t="s">
        <v>187</v>
      </c>
      <c r="BF25" s="2" t="s">
        <v>193</v>
      </c>
      <c r="BG25" s="2" t="s">
        <v>194</v>
      </c>
      <c r="BH25" s="2" t="s">
        <v>297</v>
      </c>
      <c r="BI25" s="2" t="s">
        <v>196</v>
      </c>
      <c r="BL25" s="2" t="s">
        <v>197</v>
      </c>
      <c r="BM25" s="2" t="s">
        <v>198</v>
      </c>
      <c r="BN25" s="2" t="s">
        <v>199</v>
      </c>
      <c r="BO25" s="2" t="s">
        <v>188</v>
      </c>
      <c r="BP25" s="2" t="s">
        <v>342</v>
      </c>
      <c r="BQ25" s="2" t="s">
        <v>227</v>
      </c>
      <c r="BS25" s="2" t="s">
        <v>187</v>
      </c>
      <c r="BT25" s="2" t="s">
        <v>201</v>
      </c>
      <c r="BV25" s="2" t="s">
        <v>325</v>
      </c>
      <c r="BX25" s="2" t="s">
        <v>187</v>
      </c>
      <c r="BY25" s="2" t="s">
        <v>366</v>
      </c>
      <c r="BZ25" s="2" t="s">
        <v>203</v>
      </c>
      <c r="CE25" s="2">
        <v>7</v>
      </c>
      <c r="CK25" s="2">
        <v>100</v>
      </c>
      <c r="CO25" s="2">
        <v>100</v>
      </c>
      <c r="CR25" s="2" t="s">
        <v>204</v>
      </c>
      <c r="CT25" s="2" t="s">
        <v>188</v>
      </c>
      <c r="CU25" s="2" t="s">
        <v>205</v>
      </c>
      <c r="CW25" s="2" t="s">
        <v>206</v>
      </c>
      <c r="CY25" s="2" t="s">
        <v>207</v>
      </c>
      <c r="CZ25" s="2" t="s">
        <v>273</v>
      </c>
      <c r="DA25" s="2" t="s">
        <v>273</v>
      </c>
      <c r="DB25" s="2" t="s">
        <v>300</v>
      </c>
      <c r="DC25" s="2" t="s">
        <v>300</v>
      </c>
      <c r="DD25" s="2" t="s">
        <v>301</v>
      </c>
      <c r="DE25" s="2" t="s">
        <v>208</v>
      </c>
      <c r="DF25" s="2" t="s">
        <v>208</v>
      </c>
      <c r="DG25" s="2" t="s">
        <v>208</v>
      </c>
      <c r="DH25" s="2" t="s">
        <v>301</v>
      </c>
      <c r="DI25" s="2" t="s">
        <v>301</v>
      </c>
      <c r="DL25" s="2" t="s">
        <v>187</v>
      </c>
      <c r="DM25" s="2" t="s">
        <v>188</v>
      </c>
      <c r="DP25" s="2" t="s">
        <v>203</v>
      </c>
      <c r="DT25" s="2" t="s">
        <v>203</v>
      </c>
      <c r="DU25" s="2" t="s">
        <v>203</v>
      </c>
      <c r="DV25" s="2" t="s">
        <v>203</v>
      </c>
      <c r="DW25" s="2" t="s">
        <v>203</v>
      </c>
      <c r="DX25" s="2" t="s">
        <v>203</v>
      </c>
      <c r="DY25" s="2" t="s">
        <v>203</v>
      </c>
      <c r="DZ25" s="2" t="s">
        <v>203</v>
      </c>
      <c r="EA25" s="2" t="s">
        <v>203</v>
      </c>
      <c r="EB25" s="2" t="s">
        <v>203</v>
      </c>
      <c r="EC25" s="2" t="s">
        <v>203</v>
      </c>
      <c r="EF25" s="2" t="s">
        <v>211</v>
      </c>
      <c r="EJ25" s="2" t="s">
        <v>238</v>
      </c>
      <c r="EL25" s="2" t="s">
        <v>188</v>
      </c>
      <c r="EN25" s="2" t="s">
        <v>214</v>
      </c>
      <c r="EP25" s="2" t="s">
        <v>230</v>
      </c>
      <c r="ER25" s="2" t="s">
        <v>187</v>
      </c>
      <c r="ET25" s="2" t="s">
        <v>188</v>
      </c>
      <c r="EV25" s="2" t="s">
        <v>188</v>
      </c>
      <c r="EX25" s="2" t="s">
        <v>188</v>
      </c>
      <c r="EZ25" s="2" t="s">
        <v>188</v>
      </c>
      <c r="FC25" s="2" t="s">
        <v>216</v>
      </c>
      <c r="FD25" s="2" t="s">
        <v>188</v>
      </c>
      <c r="FH25" s="2" t="s">
        <v>188</v>
      </c>
      <c r="FJ25" s="2" t="s">
        <v>188</v>
      </c>
      <c r="FK25" s="2" t="s">
        <v>209</v>
      </c>
      <c r="FL25" s="2" t="s">
        <v>319</v>
      </c>
      <c r="FN25" s="2" t="s">
        <v>367</v>
      </c>
      <c r="FT25" s="2" t="s">
        <v>219</v>
      </c>
      <c r="FU25" s="2" t="s">
        <v>233</v>
      </c>
      <c r="FV25" s="2" t="s">
        <v>233</v>
      </c>
      <c r="FW25" s="2" t="s">
        <v>219</v>
      </c>
      <c r="FZ25" s="4">
        <v>46038.271932870368</v>
      </c>
    </row>
    <row r="26" spans="1:182">
      <c r="A26" s="2" t="s">
        <v>368</v>
      </c>
      <c r="D26" s="3">
        <v>46031.285486111112</v>
      </c>
      <c r="E26" s="2" t="s">
        <v>177</v>
      </c>
      <c r="F26" s="2" t="s">
        <v>293</v>
      </c>
      <c r="G26" s="2" t="s">
        <v>179</v>
      </c>
      <c r="H26" s="2" t="s">
        <v>369</v>
      </c>
      <c r="I26" s="2" t="s">
        <v>370</v>
      </c>
      <c r="J26" s="2">
        <v>363321964</v>
      </c>
      <c r="K26" s="2" t="s">
        <v>371</v>
      </c>
      <c r="L26" s="2" t="s">
        <v>352</v>
      </c>
      <c r="M26" s="2" t="s">
        <v>183</v>
      </c>
      <c r="N26" s="2">
        <v>1983</v>
      </c>
      <c r="O26" s="2" t="s">
        <v>184</v>
      </c>
      <c r="P26" s="2" t="s">
        <v>225</v>
      </c>
      <c r="Q26" s="2" t="s">
        <v>186</v>
      </c>
      <c r="R26" s="2" t="s">
        <v>188</v>
      </c>
      <c r="S26" s="2">
        <v>2003</v>
      </c>
      <c r="T26" s="2" t="s">
        <v>188</v>
      </c>
      <c r="U26" s="2" t="s">
        <v>188</v>
      </c>
      <c r="Y26" s="2">
        <v>1400</v>
      </c>
      <c r="Z26" s="2">
        <v>0.85709999999999997</v>
      </c>
      <c r="AA26" s="2">
        <v>1200</v>
      </c>
      <c r="AC26" s="2">
        <v>850</v>
      </c>
      <c r="AD26" s="2">
        <v>1000</v>
      </c>
      <c r="AE26" s="2">
        <v>150</v>
      </c>
      <c r="AF26" s="2" t="s">
        <v>187</v>
      </c>
      <c r="AG26" s="2" t="s">
        <v>187</v>
      </c>
      <c r="AH26" s="2" t="s">
        <v>187</v>
      </c>
      <c r="AI26" s="2" t="s">
        <v>372</v>
      </c>
      <c r="AJ26" s="2" t="s">
        <v>188</v>
      </c>
      <c r="AK26" s="2" t="s">
        <v>188</v>
      </c>
      <c r="AL26" s="2" t="s">
        <v>188</v>
      </c>
      <c r="AM26" s="2" t="s">
        <v>187</v>
      </c>
      <c r="AN26" s="2" t="s">
        <v>188</v>
      </c>
      <c r="AO26" s="2" t="s">
        <v>188</v>
      </c>
      <c r="AR26" s="2">
        <v>3</v>
      </c>
      <c r="AS26" s="2">
        <v>3</v>
      </c>
      <c r="AT26" s="2">
        <v>10.3</v>
      </c>
      <c r="AU26" s="2" t="s">
        <v>189</v>
      </c>
      <c r="AV26" s="2" t="s">
        <v>189</v>
      </c>
      <c r="AW26" s="2" t="s">
        <v>188</v>
      </c>
      <c r="AZ26" s="2" t="s">
        <v>190</v>
      </c>
      <c r="BB26" s="2" t="s">
        <v>260</v>
      </c>
      <c r="BC26" s="2" t="s">
        <v>192</v>
      </c>
      <c r="BD26" s="2" t="s">
        <v>188</v>
      </c>
      <c r="BE26" s="2" t="s">
        <v>187</v>
      </c>
      <c r="BF26" s="2" t="s">
        <v>193</v>
      </c>
      <c r="BG26" s="2" t="s">
        <v>194</v>
      </c>
      <c r="BH26" s="2" t="s">
        <v>195</v>
      </c>
      <c r="BI26" s="2" t="s">
        <v>196</v>
      </c>
      <c r="BL26" s="2" t="s">
        <v>197</v>
      </c>
      <c r="BM26" s="2" t="s">
        <v>198</v>
      </c>
      <c r="BN26" s="2" t="s">
        <v>199</v>
      </c>
      <c r="BO26" s="2" t="s">
        <v>188</v>
      </c>
      <c r="BP26" s="2" t="s">
        <v>342</v>
      </c>
      <c r="BS26" s="2" t="s">
        <v>187</v>
      </c>
      <c r="BT26" s="2" t="s">
        <v>241</v>
      </c>
      <c r="BV26" s="2" t="s">
        <v>373</v>
      </c>
      <c r="BX26" s="2" t="s">
        <v>188</v>
      </c>
      <c r="BY26" s="2" t="s">
        <v>374</v>
      </c>
      <c r="BZ26" s="2" t="s">
        <v>203</v>
      </c>
      <c r="CE26" s="2">
        <v>10.3</v>
      </c>
      <c r="CK26" s="2">
        <v>100</v>
      </c>
      <c r="CO26" s="2">
        <v>100</v>
      </c>
      <c r="CR26" s="2" t="s">
        <v>204</v>
      </c>
      <c r="CT26" s="2" t="s">
        <v>188</v>
      </c>
      <c r="CU26" s="2" t="s">
        <v>205</v>
      </c>
      <c r="CW26" s="2" t="s">
        <v>206</v>
      </c>
      <c r="CY26" s="2" t="s">
        <v>207</v>
      </c>
      <c r="CZ26" s="2" t="s">
        <v>207</v>
      </c>
      <c r="DA26" s="2" t="s">
        <v>208</v>
      </c>
      <c r="DB26" s="2" t="s">
        <v>208</v>
      </c>
      <c r="DC26" s="2" t="s">
        <v>208</v>
      </c>
      <c r="DD26" s="2" t="s">
        <v>208</v>
      </c>
      <c r="DE26" s="2" t="s">
        <v>300</v>
      </c>
      <c r="DF26" s="2" t="s">
        <v>300</v>
      </c>
      <c r="DG26" s="2" t="s">
        <v>300</v>
      </c>
      <c r="DH26" s="2" t="s">
        <v>300</v>
      </c>
      <c r="DI26" s="2" t="s">
        <v>300</v>
      </c>
      <c r="DL26" s="2" t="s">
        <v>187</v>
      </c>
      <c r="DM26" s="2" t="s">
        <v>188</v>
      </c>
      <c r="DP26" s="2" t="s">
        <v>203</v>
      </c>
      <c r="DT26" s="2" t="s">
        <v>209</v>
      </c>
      <c r="DU26" s="2" t="s">
        <v>209</v>
      </c>
      <c r="DV26" s="2" t="s">
        <v>209</v>
      </c>
      <c r="DW26" s="2" t="s">
        <v>209</v>
      </c>
      <c r="DX26" s="2" t="s">
        <v>209</v>
      </c>
      <c r="DY26" s="2" t="s">
        <v>209</v>
      </c>
      <c r="DZ26" s="2" t="s">
        <v>203</v>
      </c>
      <c r="EA26" s="2" t="s">
        <v>203</v>
      </c>
      <c r="EB26" s="2" t="s">
        <v>203</v>
      </c>
      <c r="EC26" s="2" t="s">
        <v>203</v>
      </c>
      <c r="EF26" s="2" t="s">
        <v>189</v>
      </c>
      <c r="EJ26" s="2" t="s">
        <v>238</v>
      </c>
      <c r="EK26" s="2" t="s">
        <v>187</v>
      </c>
      <c r="EL26" s="2" t="s">
        <v>188</v>
      </c>
      <c r="EN26" s="2" t="s">
        <v>214</v>
      </c>
      <c r="EP26" s="2" t="s">
        <v>230</v>
      </c>
      <c r="ER26" s="2" t="s">
        <v>187</v>
      </c>
      <c r="ET26" s="2" t="s">
        <v>188</v>
      </c>
      <c r="EV26" s="2" t="s">
        <v>188</v>
      </c>
      <c r="EX26" s="2" t="s">
        <v>188</v>
      </c>
      <c r="FC26" s="2" t="s">
        <v>216</v>
      </c>
      <c r="FD26" s="2" t="s">
        <v>188</v>
      </c>
      <c r="FH26" s="2" t="s">
        <v>188</v>
      </c>
      <c r="FJ26" s="2" t="s">
        <v>187</v>
      </c>
      <c r="FK26" s="2" t="s">
        <v>209</v>
      </c>
      <c r="FL26" s="2" t="s">
        <v>319</v>
      </c>
      <c r="FN26" s="2" t="s">
        <v>354</v>
      </c>
      <c r="FT26" s="2" t="s">
        <v>219</v>
      </c>
      <c r="FU26" s="2" t="s">
        <v>233</v>
      </c>
      <c r="FV26" s="2" t="s">
        <v>233</v>
      </c>
      <c r="FW26" s="2" t="s">
        <v>233</v>
      </c>
      <c r="FZ26" s="4">
        <v>46038.312430555554</v>
      </c>
    </row>
    <row r="27" spans="1:182">
      <c r="A27" s="2" t="s">
        <v>375</v>
      </c>
      <c r="D27" s="3">
        <v>46031.353067129632</v>
      </c>
      <c r="E27" s="2" t="s">
        <v>177</v>
      </c>
      <c r="F27" s="2" t="s">
        <v>293</v>
      </c>
      <c r="G27" s="2" t="s">
        <v>179</v>
      </c>
      <c r="H27" s="2" t="s">
        <v>376</v>
      </c>
      <c r="I27" s="2" t="s">
        <v>377</v>
      </c>
      <c r="J27" s="2">
        <v>362975285</v>
      </c>
      <c r="K27" s="2" t="s">
        <v>378</v>
      </c>
      <c r="L27" s="2" t="s">
        <v>182</v>
      </c>
      <c r="M27" s="2" t="s">
        <v>183</v>
      </c>
      <c r="N27" s="2">
        <v>1975</v>
      </c>
      <c r="O27" s="2" t="s">
        <v>184</v>
      </c>
      <c r="P27" s="2" t="s">
        <v>185</v>
      </c>
      <c r="Q27" s="2" t="s">
        <v>186</v>
      </c>
      <c r="R27" s="2" t="s">
        <v>188</v>
      </c>
      <c r="S27" s="2">
        <v>1996</v>
      </c>
      <c r="T27" s="2" t="s">
        <v>188</v>
      </c>
      <c r="U27" s="2" t="s">
        <v>188</v>
      </c>
      <c r="Y27" s="2">
        <v>1700</v>
      </c>
      <c r="Z27" s="2">
        <v>0.88239999999999996</v>
      </c>
      <c r="AA27" s="2">
        <v>1500</v>
      </c>
      <c r="AB27" s="2">
        <v>1700</v>
      </c>
      <c r="AC27" s="2">
        <v>1300</v>
      </c>
      <c r="AD27" s="2">
        <v>1500</v>
      </c>
      <c r="AE27" s="2">
        <v>200</v>
      </c>
      <c r="AF27" s="2" t="s">
        <v>188</v>
      </c>
      <c r="AG27" s="2" t="s">
        <v>187</v>
      </c>
      <c r="AH27" s="2" t="s">
        <v>187</v>
      </c>
      <c r="AI27" s="2" t="s">
        <v>379</v>
      </c>
      <c r="AJ27" s="2" t="s">
        <v>188</v>
      </c>
      <c r="AK27" s="2" t="s">
        <v>188</v>
      </c>
      <c r="AL27" s="2" t="s">
        <v>188</v>
      </c>
      <c r="AM27" s="2" t="s">
        <v>187</v>
      </c>
      <c r="AN27" s="2" t="s">
        <v>187</v>
      </c>
      <c r="AO27" s="2" t="s">
        <v>188</v>
      </c>
      <c r="AR27" s="2">
        <v>4</v>
      </c>
      <c r="AS27" s="2">
        <v>3</v>
      </c>
      <c r="AT27" s="2">
        <v>16</v>
      </c>
      <c r="AU27" s="2" t="s">
        <v>238</v>
      </c>
      <c r="AV27" s="2" t="s">
        <v>189</v>
      </c>
      <c r="AW27" s="2" t="s">
        <v>188</v>
      </c>
      <c r="AZ27" s="2" t="s">
        <v>380</v>
      </c>
      <c r="BB27" s="2" t="s">
        <v>260</v>
      </c>
      <c r="BC27" s="2" t="s">
        <v>296</v>
      </c>
      <c r="BD27" s="2" t="s">
        <v>187</v>
      </c>
      <c r="BE27" s="2" t="s">
        <v>187</v>
      </c>
      <c r="BF27" s="2" t="s">
        <v>193</v>
      </c>
      <c r="BG27" s="2" t="s">
        <v>279</v>
      </c>
      <c r="BH27" s="2" t="s">
        <v>195</v>
      </c>
      <c r="BI27" s="2" t="s">
        <v>196</v>
      </c>
      <c r="BL27" s="2" t="s">
        <v>197</v>
      </c>
      <c r="BM27" s="2" t="s">
        <v>198</v>
      </c>
      <c r="BN27" s="2" t="s">
        <v>199</v>
      </c>
      <c r="BO27" s="2" t="s">
        <v>188</v>
      </c>
      <c r="BP27" s="2" t="s">
        <v>342</v>
      </c>
      <c r="BQ27" s="2" t="s">
        <v>309</v>
      </c>
      <c r="BS27" s="2" t="s">
        <v>187</v>
      </c>
      <c r="BT27" s="2" t="s">
        <v>241</v>
      </c>
      <c r="BV27" s="2" t="s">
        <v>358</v>
      </c>
      <c r="BX27" s="2" t="s">
        <v>187</v>
      </c>
      <c r="BY27" s="2" t="s">
        <v>381</v>
      </c>
      <c r="BZ27" s="2" t="s">
        <v>203</v>
      </c>
      <c r="CE27" s="2">
        <v>16</v>
      </c>
      <c r="CK27" s="2">
        <v>100</v>
      </c>
      <c r="CO27" s="2">
        <v>100</v>
      </c>
      <c r="CR27" s="2" t="s">
        <v>204</v>
      </c>
      <c r="CT27" s="2" t="s">
        <v>188</v>
      </c>
      <c r="CU27" s="2" t="s">
        <v>205</v>
      </c>
      <c r="CW27" s="2" t="s">
        <v>206</v>
      </c>
      <c r="CY27" s="2" t="s">
        <v>207</v>
      </c>
      <c r="CZ27" s="2" t="s">
        <v>207</v>
      </c>
      <c r="DA27" s="2" t="s">
        <v>207</v>
      </c>
      <c r="DB27" s="2" t="s">
        <v>207</v>
      </c>
      <c r="DC27" s="2" t="s">
        <v>207</v>
      </c>
      <c r="DD27" s="2" t="s">
        <v>207</v>
      </c>
      <c r="DE27" s="2" t="s">
        <v>208</v>
      </c>
      <c r="DF27" s="2" t="s">
        <v>207</v>
      </c>
      <c r="DG27" s="2" t="s">
        <v>207</v>
      </c>
      <c r="DH27" s="2" t="s">
        <v>207</v>
      </c>
      <c r="DI27" s="2" t="s">
        <v>207</v>
      </c>
      <c r="DL27" s="2" t="s">
        <v>187</v>
      </c>
      <c r="DM27" s="2" t="s">
        <v>187</v>
      </c>
      <c r="DN27" s="2" t="s">
        <v>187</v>
      </c>
      <c r="DO27" s="2" t="s">
        <v>187</v>
      </c>
      <c r="DP27" s="2" t="s">
        <v>209</v>
      </c>
      <c r="DQ27" s="2" t="s">
        <v>210</v>
      </c>
      <c r="DT27" s="2" t="s">
        <v>209</v>
      </c>
      <c r="DU27" s="2" t="s">
        <v>209</v>
      </c>
      <c r="DV27" s="2" t="s">
        <v>209</v>
      </c>
      <c r="DW27" s="2" t="s">
        <v>209</v>
      </c>
      <c r="DX27" s="2" t="s">
        <v>209</v>
      </c>
      <c r="DY27" s="2" t="s">
        <v>209</v>
      </c>
      <c r="DZ27" s="2" t="s">
        <v>209</v>
      </c>
      <c r="EA27" s="2" t="s">
        <v>209</v>
      </c>
      <c r="EB27" s="2" t="s">
        <v>209</v>
      </c>
      <c r="EF27" s="2" t="s">
        <v>211</v>
      </c>
      <c r="EJ27" s="2" t="s">
        <v>189</v>
      </c>
      <c r="EK27" s="2" t="s">
        <v>187</v>
      </c>
      <c r="EL27" s="2" t="s">
        <v>187</v>
      </c>
      <c r="EM27" s="2" t="s">
        <v>382</v>
      </c>
      <c r="EN27" s="2" t="s">
        <v>214</v>
      </c>
      <c r="EP27" s="2" t="s">
        <v>230</v>
      </c>
      <c r="ER27" s="2" t="s">
        <v>187</v>
      </c>
      <c r="ET27" s="2" t="s">
        <v>188</v>
      </c>
      <c r="EV27" s="2" t="s">
        <v>187</v>
      </c>
      <c r="EW27" s="2" t="s">
        <v>189</v>
      </c>
      <c r="EX27" s="2" t="s">
        <v>188</v>
      </c>
      <c r="EZ27" s="2" t="s">
        <v>187</v>
      </c>
      <c r="FA27" s="2" t="s">
        <v>383</v>
      </c>
      <c r="FB27" s="2" t="s">
        <v>189</v>
      </c>
      <c r="FC27" s="2" t="s">
        <v>263</v>
      </c>
      <c r="FD27" s="2" t="s">
        <v>188</v>
      </c>
      <c r="FH27" s="2" t="s">
        <v>188</v>
      </c>
      <c r="FJ27" s="2" t="s">
        <v>187</v>
      </c>
      <c r="FK27" s="2" t="s">
        <v>209</v>
      </c>
      <c r="FL27" s="2" t="s">
        <v>319</v>
      </c>
      <c r="FN27" s="2" t="s">
        <v>304</v>
      </c>
      <c r="FT27" s="2" t="s">
        <v>219</v>
      </c>
      <c r="FU27" s="2" t="s">
        <v>233</v>
      </c>
      <c r="FV27" s="2" t="s">
        <v>233</v>
      </c>
      <c r="FW27" s="2" t="s">
        <v>233</v>
      </c>
      <c r="FZ27" s="4">
        <v>46038.327199074076</v>
      </c>
    </row>
    <row r="28" spans="1:182">
      <c r="A28" s="2" t="s">
        <v>384</v>
      </c>
      <c r="D28" s="3">
        <v>46031.390046296292</v>
      </c>
      <c r="E28" s="2" t="s">
        <v>177</v>
      </c>
      <c r="F28" s="2" t="s">
        <v>293</v>
      </c>
      <c r="G28" s="2" t="s">
        <v>179</v>
      </c>
      <c r="H28" s="2" t="s">
        <v>385</v>
      </c>
      <c r="I28" s="2" t="s">
        <v>386</v>
      </c>
      <c r="J28" s="2">
        <v>935927528</v>
      </c>
      <c r="K28" s="2" t="s">
        <v>387</v>
      </c>
      <c r="L28" s="2" t="s">
        <v>352</v>
      </c>
      <c r="M28" s="2" t="s">
        <v>223</v>
      </c>
      <c r="N28" s="2">
        <v>1995</v>
      </c>
      <c r="O28" s="2" t="s">
        <v>184</v>
      </c>
      <c r="P28" s="2" t="s">
        <v>237</v>
      </c>
      <c r="Q28" s="2" t="s">
        <v>226</v>
      </c>
      <c r="R28" s="2" t="s">
        <v>188</v>
      </c>
      <c r="S28" s="2">
        <v>2007</v>
      </c>
      <c r="T28" s="2" t="s">
        <v>188</v>
      </c>
      <c r="U28" s="2" t="s">
        <v>188</v>
      </c>
      <c r="Z28" s="2">
        <v>0</v>
      </c>
      <c r="AA28" s="2">
        <v>600</v>
      </c>
      <c r="AB28" s="2">
        <v>600</v>
      </c>
      <c r="AC28" s="2">
        <v>430</v>
      </c>
      <c r="AD28" s="2">
        <v>500</v>
      </c>
      <c r="AE28" s="2">
        <v>70</v>
      </c>
      <c r="AF28" s="2" t="s">
        <v>187</v>
      </c>
      <c r="AG28" s="2" t="s">
        <v>187</v>
      </c>
      <c r="AH28" s="2" t="s">
        <v>187</v>
      </c>
      <c r="AI28" s="2" t="s">
        <v>388</v>
      </c>
      <c r="AJ28" s="2" t="s">
        <v>188</v>
      </c>
      <c r="AK28" s="2" t="s">
        <v>188</v>
      </c>
      <c r="AL28" s="2" t="s">
        <v>188</v>
      </c>
      <c r="AM28" s="2" t="s">
        <v>188</v>
      </c>
      <c r="AN28" s="2" t="s">
        <v>188</v>
      </c>
      <c r="AO28" s="2" t="s">
        <v>188</v>
      </c>
      <c r="AR28" s="2">
        <v>1.3</v>
      </c>
      <c r="AS28" s="2">
        <v>1</v>
      </c>
      <c r="AT28" s="2">
        <v>5</v>
      </c>
      <c r="AU28" s="2" t="s">
        <v>189</v>
      </c>
      <c r="AV28" s="2" t="s">
        <v>189</v>
      </c>
      <c r="AW28" s="2" t="s">
        <v>188</v>
      </c>
      <c r="AZ28" s="2" t="s">
        <v>357</v>
      </c>
      <c r="BB28" s="2" t="s">
        <v>260</v>
      </c>
      <c r="BC28" s="2" t="s">
        <v>253</v>
      </c>
      <c r="BD28" s="2" t="s">
        <v>188</v>
      </c>
      <c r="BE28" s="2" t="s">
        <v>188</v>
      </c>
      <c r="BG28" s="2" t="s">
        <v>279</v>
      </c>
      <c r="BL28" s="2" t="s">
        <v>197</v>
      </c>
      <c r="BM28" s="2" t="s">
        <v>198</v>
      </c>
      <c r="BN28" s="2" t="s">
        <v>199</v>
      </c>
      <c r="BO28" s="2" t="s">
        <v>188</v>
      </c>
      <c r="BQ28" s="2" t="s">
        <v>309</v>
      </c>
      <c r="BS28" s="2" t="s">
        <v>188</v>
      </c>
      <c r="BT28" s="2" t="s">
        <v>261</v>
      </c>
      <c r="BV28" s="2" t="s">
        <v>389</v>
      </c>
      <c r="BX28" s="2" t="s">
        <v>188</v>
      </c>
      <c r="BY28" s="2" t="s">
        <v>390</v>
      </c>
      <c r="BZ28" s="2" t="s">
        <v>209</v>
      </c>
      <c r="CA28" s="2" t="s">
        <v>391</v>
      </c>
      <c r="CE28" s="2">
        <v>5</v>
      </c>
      <c r="CK28" s="2">
        <v>100</v>
      </c>
      <c r="CO28" s="2">
        <v>100</v>
      </c>
      <c r="CR28" s="2" t="s">
        <v>204</v>
      </c>
      <c r="CT28" s="2" t="s">
        <v>188</v>
      </c>
      <c r="CU28" s="2" t="s">
        <v>312</v>
      </c>
      <c r="CW28" s="2" t="s">
        <v>206</v>
      </c>
      <c r="CY28" s="2" t="s">
        <v>299</v>
      </c>
      <c r="CZ28" s="2" t="s">
        <v>299</v>
      </c>
      <c r="DA28" s="2" t="s">
        <v>300</v>
      </c>
      <c r="DB28" s="2" t="s">
        <v>301</v>
      </c>
      <c r="DC28" s="2" t="s">
        <v>208</v>
      </c>
      <c r="DD28" s="2" t="s">
        <v>301</v>
      </c>
      <c r="DE28" s="2" t="s">
        <v>300</v>
      </c>
      <c r="DF28" s="2" t="s">
        <v>300</v>
      </c>
      <c r="DG28" s="2" t="s">
        <v>300</v>
      </c>
      <c r="DH28" s="2" t="s">
        <v>300</v>
      </c>
      <c r="DI28" s="2" t="s">
        <v>300</v>
      </c>
      <c r="DL28" s="2" t="s">
        <v>188</v>
      </c>
      <c r="DM28" s="2" t="s">
        <v>188</v>
      </c>
      <c r="DP28" s="2" t="s">
        <v>203</v>
      </c>
      <c r="DT28" s="2" t="s">
        <v>209</v>
      </c>
      <c r="DU28" s="2" t="s">
        <v>209</v>
      </c>
      <c r="DV28" s="2" t="s">
        <v>209</v>
      </c>
      <c r="DW28" s="2" t="s">
        <v>209</v>
      </c>
      <c r="DX28" s="2" t="s">
        <v>209</v>
      </c>
      <c r="DY28" s="2" t="s">
        <v>203</v>
      </c>
      <c r="DZ28" s="2" t="s">
        <v>203</v>
      </c>
      <c r="EA28" s="2" t="s">
        <v>209</v>
      </c>
      <c r="EB28" s="2" t="s">
        <v>209</v>
      </c>
      <c r="EF28" s="2" t="s">
        <v>211</v>
      </c>
      <c r="EJ28" s="2" t="s">
        <v>212</v>
      </c>
      <c r="EK28" s="2" t="s">
        <v>187</v>
      </c>
      <c r="EL28" s="2" t="s">
        <v>187</v>
      </c>
      <c r="EM28" s="2" t="s">
        <v>392</v>
      </c>
      <c r="EN28" s="2" t="s">
        <v>393</v>
      </c>
      <c r="EP28" s="2" t="s">
        <v>394</v>
      </c>
      <c r="ET28" s="2" t="s">
        <v>188</v>
      </c>
      <c r="EV28" s="2" t="s">
        <v>187</v>
      </c>
      <c r="EW28" s="2" t="s">
        <v>215</v>
      </c>
      <c r="EX28" s="2" t="s">
        <v>187</v>
      </c>
      <c r="EY28" s="2" t="s">
        <v>215</v>
      </c>
      <c r="FC28" s="2" t="s">
        <v>395</v>
      </c>
      <c r="FD28" s="2" t="s">
        <v>187</v>
      </c>
      <c r="FE28" s="2" t="s">
        <v>215</v>
      </c>
      <c r="FH28" s="2" t="s">
        <v>188</v>
      </c>
      <c r="FJ28" s="2" t="s">
        <v>187</v>
      </c>
      <c r="FK28" s="2" t="s">
        <v>188</v>
      </c>
      <c r="FN28" s="2" t="s">
        <v>304</v>
      </c>
      <c r="FT28" s="2" t="s">
        <v>219</v>
      </c>
      <c r="FU28" s="2" t="s">
        <v>233</v>
      </c>
      <c r="FV28" s="2" t="s">
        <v>219</v>
      </c>
      <c r="FW28" s="2" t="s">
        <v>233</v>
      </c>
      <c r="FZ28" s="4">
        <v>46038.337106481478</v>
      </c>
    </row>
    <row r="29" spans="1:182">
      <c r="A29" s="2" t="s">
        <v>396</v>
      </c>
      <c r="D29" s="3">
        <v>46031.0159837963</v>
      </c>
      <c r="E29" s="2" t="s">
        <v>397</v>
      </c>
      <c r="F29" s="2" t="s">
        <v>398</v>
      </c>
      <c r="G29" s="2" t="s">
        <v>179</v>
      </c>
      <c r="H29" s="2" t="s">
        <v>399</v>
      </c>
      <c r="I29" s="2" t="s">
        <v>400</v>
      </c>
      <c r="J29" s="2">
        <v>383862996</v>
      </c>
      <c r="K29" s="2" t="s">
        <v>400</v>
      </c>
      <c r="L29" s="2" t="s">
        <v>269</v>
      </c>
      <c r="M29" s="2" t="s">
        <v>183</v>
      </c>
      <c r="N29" s="2">
        <v>1988</v>
      </c>
      <c r="O29" s="2" t="s">
        <v>184</v>
      </c>
      <c r="P29" s="2" t="s">
        <v>185</v>
      </c>
      <c r="Q29" s="2" t="s">
        <v>186</v>
      </c>
      <c r="R29" s="2" t="s">
        <v>188</v>
      </c>
      <c r="S29" s="2">
        <v>12</v>
      </c>
      <c r="T29" s="2" t="s">
        <v>188</v>
      </c>
      <c r="U29" s="2" t="s">
        <v>188</v>
      </c>
      <c r="Y29" s="2">
        <v>135</v>
      </c>
      <c r="Z29" s="2">
        <v>0.70369999999999999</v>
      </c>
      <c r="AA29" s="2">
        <v>95</v>
      </c>
      <c r="AB29" s="2">
        <v>95</v>
      </c>
      <c r="AC29" s="2">
        <v>95</v>
      </c>
      <c r="AD29" s="2">
        <v>120</v>
      </c>
      <c r="AE29" s="2">
        <v>25</v>
      </c>
      <c r="AF29" s="2" t="s">
        <v>188</v>
      </c>
      <c r="AG29" s="2" t="s">
        <v>188</v>
      </c>
      <c r="AH29" s="2" t="s">
        <v>188</v>
      </c>
      <c r="AJ29" s="2" t="s">
        <v>188</v>
      </c>
      <c r="AK29" s="2" t="s">
        <v>188</v>
      </c>
      <c r="AL29" s="2" t="s">
        <v>188</v>
      </c>
      <c r="AM29" s="2" t="s">
        <v>187</v>
      </c>
      <c r="AN29" s="2" t="s">
        <v>188</v>
      </c>
      <c r="AO29" s="2" t="s">
        <v>188</v>
      </c>
      <c r="AR29" s="2">
        <v>0.9</v>
      </c>
      <c r="AS29" s="2">
        <v>4</v>
      </c>
      <c r="AT29" s="2">
        <v>1.2</v>
      </c>
      <c r="AU29" s="2" t="s">
        <v>238</v>
      </c>
      <c r="AV29" s="2" t="s">
        <v>238</v>
      </c>
      <c r="AW29" s="2" t="s">
        <v>188</v>
      </c>
      <c r="BC29" s="2" t="s">
        <v>192</v>
      </c>
      <c r="BD29" s="2" t="s">
        <v>188</v>
      </c>
      <c r="BE29" s="2" t="s">
        <v>188</v>
      </c>
      <c r="BL29" s="2" t="s">
        <v>240</v>
      </c>
      <c r="BO29" s="2" t="s">
        <v>341</v>
      </c>
      <c r="BP29" s="2" t="s">
        <v>342</v>
      </c>
      <c r="BS29" s="2" t="s">
        <v>187</v>
      </c>
      <c r="BT29" s="2" t="s">
        <v>261</v>
      </c>
      <c r="BV29" s="2" t="s">
        <v>401</v>
      </c>
      <c r="BX29" s="2" t="s">
        <v>188</v>
      </c>
      <c r="BY29" s="2" t="s">
        <v>402</v>
      </c>
      <c r="BZ29" s="2" t="s">
        <v>203</v>
      </c>
      <c r="CE29" s="2">
        <v>1.2</v>
      </c>
      <c r="CF29" s="2">
        <v>120</v>
      </c>
      <c r="CK29" s="2">
        <v>100</v>
      </c>
      <c r="CP29" s="2">
        <v>100</v>
      </c>
      <c r="CR29" s="2" t="s">
        <v>204</v>
      </c>
      <c r="CT29" s="2" t="s">
        <v>188</v>
      </c>
      <c r="CU29" s="2" t="s">
        <v>205</v>
      </c>
      <c r="CW29" s="2" t="s">
        <v>206</v>
      </c>
      <c r="CY29" s="2" t="s">
        <v>300</v>
      </c>
      <c r="CZ29" s="2" t="s">
        <v>300</v>
      </c>
      <c r="DA29" s="2" t="s">
        <v>300</v>
      </c>
      <c r="DB29" s="2" t="s">
        <v>300</v>
      </c>
      <c r="DC29" s="2" t="s">
        <v>300</v>
      </c>
      <c r="DD29" s="2" t="s">
        <v>300</v>
      </c>
      <c r="DE29" s="2" t="s">
        <v>300</v>
      </c>
      <c r="DF29" s="2" t="s">
        <v>300</v>
      </c>
      <c r="DG29" s="2" t="s">
        <v>300</v>
      </c>
      <c r="DH29" s="2" t="s">
        <v>300</v>
      </c>
      <c r="DI29" s="2" t="s">
        <v>300</v>
      </c>
      <c r="DL29" s="2" t="s">
        <v>188</v>
      </c>
      <c r="DM29" s="2" t="s">
        <v>188</v>
      </c>
      <c r="DP29" s="2" t="s">
        <v>203</v>
      </c>
      <c r="DT29" s="2" t="s">
        <v>203</v>
      </c>
      <c r="DU29" s="2" t="s">
        <v>203</v>
      </c>
      <c r="DV29" s="2" t="s">
        <v>203</v>
      </c>
      <c r="DW29" s="2" t="s">
        <v>203</v>
      </c>
      <c r="DX29" s="2" t="s">
        <v>203</v>
      </c>
      <c r="DY29" s="2" t="s">
        <v>203</v>
      </c>
      <c r="DZ29" s="2" t="s">
        <v>203</v>
      </c>
      <c r="EA29" s="2" t="s">
        <v>203</v>
      </c>
      <c r="EB29" s="2" t="s">
        <v>203</v>
      </c>
      <c r="EC29" s="2" t="s">
        <v>203</v>
      </c>
      <c r="EF29" s="2" t="s">
        <v>302</v>
      </c>
      <c r="EG29" s="2" t="s">
        <v>403</v>
      </c>
      <c r="EJ29" s="2" t="s">
        <v>238</v>
      </c>
      <c r="EK29" s="2" t="s">
        <v>188</v>
      </c>
      <c r="EL29" s="2" t="s">
        <v>188</v>
      </c>
      <c r="EN29" s="2" t="s">
        <v>255</v>
      </c>
      <c r="EP29" s="2" t="s">
        <v>230</v>
      </c>
      <c r="ER29" s="2" t="s">
        <v>188</v>
      </c>
      <c r="ET29" s="2" t="s">
        <v>188</v>
      </c>
      <c r="EV29" s="2" t="s">
        <v>188</v>
      </c>
      <c r="EX29" s="2" t="s">
        <v>188</v>
      </c>
      <c r="EZ29" s="2" t="s">
        <v>188</v>
      </c>
      <c r="FC29" s="2" t="s">
        <v>216</v>
      </c>
      <c r="FD29" s="2" t="s">
        <v>188</v>
      </c>
      <c r="FH29" s="2" t="s">
        <v>188</v>
      </c>
      <c r="FJ29" s="2" t="s">
        <v>188</v>
      </c>
      <c r="FK29" s="2" t="s">
        <v>203</v>
      </c>
      <c r="FR29" s="2" t="s">
        <v>404</v>
      </c>
      <c r="FT29" s="2" t="s">
        <v>233</v>
      </c>
      <c r="FU29" s="2" t="s">
        <v>233</v>
      </c>
      <c r="FV29" s="2" t="s">
        <v>233</v>
      </c>
      <c r="FW29" s="2" t="s">
        <v>233</v>
      </c>
      <c r="FX29" s="2" t="s">
        <v>233</v>
      </c>
      <c r="FY29" s="2" t="s">
        <v>405</v>
      </c>
      <c r="FZ29" s="4">
        <v>46039.094583333332</v>
      </c>
    </row>
    <row r="30" spans="1:182">
      <c r="A30" s="2" t="s">
        <v>406</v>
      </c>
      <c r="D30" s="3">
        <v>46031.030428240745</v>
      </c>
      <c r="E30" s="2" t="s">
        <v>397</v>
      </c>
      <c r="F30" s="2" t="s">
        <v>398</v>
      </c>
      <c r="G30" s="2" t="s">
        <v>179</v>
      </c>
      <c r="H30" s="2" t="s">
        <v>399</v>
      </c>
      <c r="I30" s="2" t="s">
        <v>407</v>
      </c>
      <c r="J30" s="2" t="s">
        <v>408</v>
      </c>
      <c r="K30" s="2" t="s">
        <v>409</v>
      </c>
      <c r="L30" s="2" t="s">
        <v>182</v>
      </c>
      <c r="M30" s="2" t="s">
        <v>223</v>
      </c>
      <c r="N30" s="2">
        <v>1976</v>
      </c>
      <c r="O30" s="2" t="s">
        <v>184</v>
      </c>
      <c r="P30" s="2" t="s">
        <v>225</v>
      </c>
      <c r="Q30" s="2" t="s">
        <v>270</v>
      </c>
      <c r="R30" s="2" t="s">
        <v>188</v>
      </c>
      <c r="S30" s="2">
        <v>20</v>
      </c>
      <c r="T30" s="2" t="s">
        <v>188</v>
      </c>
      <c r="U30" s="2" t="s">
        <v>188</v>
      </c>
      <c r="Y30" s="2">
        <v>280</v>
      </c>
      <c r="Z30" s="2">
        <v>0.96430000000000005</v>
      </c>
      <c r="AA30" s="2">
        <v>270</v>
      </c>
      <c r="AB30" s="2">
        <v>270</v>
      </c>
      <c r="AC30" s="2">
        <v>270</v>
      </c>
      <c r="AD30" s="2">
        <v>300</v>
      </c>
      <c r="AE30" s="2">
        <v>30</v>
      </c>
      <c r="AF30" s="2" t="s">
        <v>188</v>
      </c>
      <c r="AG30" s="2" t="s">
        <v>188</v>
      </c>
      <c r="AH30" s="2" t="s">
        <v>188</v>
      </c>
      <c r="AJ30" s="2" t="s">
        <v>188</v>
      </c>
      <c r="AK30" s="2" t="s">
        <v>188</v>
      </c>
      <c r="AL30" s="2" t="s">
        <v>188</v>
      </c>
      <c r="AM30" s="2" t="s">
        <v>187</v>
      </c>
      <c r="AN30" s="2" t="s">
        <v>188</v>
      </c>
      <c r="AO30" s="2" t="s">
        <v>188</v>
      </c>
      <c r="AR30" s="2">
        <v>0.8</v>
      </c>
      <c r="AS30" s="2">
        <v>3</v>
      </c>
      <c r="AT30" s="2">
        <v>3</v>
      </c>
      <c r="AU30" s="2" t="s">
        <v>238</v>
      </c>
      <c r="AV30" s="2" t="s">
        <v>238</v>
      </c>
      <c r="AW30" s="2" t="s">
        <v>188</v>
      </c>
      <c r="BC30" s="2" t="s">
        <v>192</v>
      </c>
      <c r="BD30" s="2" t="s">
        <v>188</v>
      </c>
      <c r="BE30" s="2" t="s">
        <v>188</v>
      </c>
      <c r="BL30" s="2" t="s">
        <v>240</v>
      </c>
      <c r="BO30" s="2" t="s">
        <v>341</v>
      </c>
      <c r="BP30" s="2" t="s">
        <v>342</v>
      </c>
      <c r="BS30" s="2" t="s">
        <v>187</v>
      </c>
      <c r="BT30" s="2" t="s">
        <v>410</v>
      </c>
      <c r="BV30" s="2" t="s">
        <v>248</v>
      </c>
      <c r="BX30" s="2" t="s">
        <v>188</v>
      </c>
      <c r="BY30" s="2" t="s">
        <v>411</v>
      </c>
      <c r="BZ30" s="2" t="s">
        <v>203</v>
      </c>
      <c r="CE30" s="2">
        <v>3</v>
      </c>
      <c r="CF30" s="2">
        <v>300</v>
      </c>
      <c r="CK30" s="2">
        <v>20</v>
      </c>
      <c r="CM30" s="2">
        <v>80</v>
      </c>
      <c r="CP30" s="2">
        <v>100</v>
      </c>
      <c r="CR30" s="2" t="s">
        <v>204</v>
      </c>
      <c r="CT30" s="2" t="s">
        <v>188</v>
      </c>
      <c r="CU30" s="2" t="s">
        <v>205</v>
      </c>
      <c r="CW30" s="2" t="s">
        <v>206</v>
      </c>
      <c r="CY30" s="2" t="s">
        <v>207</v>
      </c>
      <c r="CZ30" s="2" t="s">
        <v>300</v>
      </c>
      <c r="DA30" s="2" t="s">
        <v>300</v>
      </c>
      <c r="DB30" s="2" t="s">
        <v>300</v>
      </c>
      <c r="DC30" s="2" t="s">
        <v>300</v>
      </c>
      <c r="DD30" s="2" t="s">
        <v>300</v>
      </c>
      <c r="DE30" s="2" t="s">
        <v>300</v>
      </c>
      <c r="DF30" s="2" t="s">
        <v>300</v>
      </c>
      <c r="DG30" s="2" t="s">
        <v>300</v>
      </c>
      <c r="DH30" s="2" t="s">
        <v>300</v>
      </c>
      <c r="DI30" s="2" t="s">
        <v>300</v>
      </c>
      <c r="DL30" s="2" t="s">
        <v>188</v>
      </c>
      <c r="DM30" s="2" t="s">
        <v>188</v>
      </c>
      <c r="DP30" s="2" t="s">
        <v>188</v>
      </c>
      <c r="DT30" s="2" t="s">
        <v>203</v>
      </c>
      <c r="DU30" s="2" t="s">
        <v>203</v>
      </c>
      <c r="DV30" s="2" t="s">
        <v>203</v>
      </c>
      <c r="DW30" s="2" t="s">
        <v>203</v>
      </c>
      <c r="DX30" s="2" t="s">
        <v>203</v>
      </c>
      <c r="DY30" s="2" t="s">
        <v>203</v>
      </c>
      <c r="DZ30" s="2" t="s">
        <v>203</v>
      </c>
      <c r="EA30" s="2" t="s">
        <v>203</v>
      </c>
      <c r="EB30" s="2" t="s">
        <v>203</v>
      </c>
      <c r="EC30" s="2" t="s">
        <v>203</v>
      </c>
      <c r="EF30" s="2" t="s">
        <v>302</v>
      </c>
      <c r="EG30" s="2" t="s">
        <v>412</v>
      </c>
      <c r="EJ30" s="2" t="s">
        <v>203</v>
      </c>
      <c r="EK30" s="2" t="s">
        <v>188</v>
      </c>
      <c r="EL30" s="2" t="s">
        <v>188</v>
      </c>
      <c r="EN30" s="2" t="s">
        <v>214</v>
      </c>
      <c r="EP30" s="2" t="s">
        <v>230</v>
      </c>
      <c r="ER30" s="2" t="s">
        <v>188</v>
      </c>
      <c r="ET30" s="2" t="s">
        <v>188</v>
      </c>
      <c r="EV30" s="2" t="s">
        <v>188</v>
      </c>
      <c r="EX30" s="2" t="s">
        <v>188</v>
      </c>
      <c r="EZ30" s="2" t="s">
        <v>188</v>
      </c>
      <c r="FC30" s="2" t="s">
        <v>216</v>
      </c>
      <c r="FD30" s="2" t="s">
        <v>188</v>
      </c>
      <c r="FH30" s="2" t="s">
        <v>188</v>
      </c>
      <c r="FJ30" s="2" t="s">
        <v>188</v>
      </c>
      <c r="FK30" s="2" t="s">
        <v>203</v>
      </c>
      <c r="FR30" s="2" t="s">
        <v>413</v>
      </c>
      <c r="FT30" s="2" t="s">
        <v>233</v>
      </c>
      <c r="FU30" s="2" t="s">
        <v>233</v>
      </c>
      <c r="FV30" s="2" t="s">
        <v>219</v>
      </c>
      <c r="FW30" s="2" t="s">
        <v>219</v>
      </c>
      <c r="FX30" s="2" t="s">
        <v>233</v>
      </c>
      <c r="FY30" s="2" t="s">
        <v>414</v>
      </c>
      <c r="FZ30" s="4">
        <v>46039.108240740738</v>
      </c>
    </row>
    <row r="31" spans="1:182">
      <c r="A31" s="2" t="s">
        <v>415</v>
      </c>
      <c r="D31" s="3">
        <v>46031.040844907402</v>
      </c>
      <c r="E31" s="2" t="s">
        <v>416</v>
      </c>
      <c r="F31" s="2" t="s">
        <v>398</v>
      </c>
      <c r="G31" s="2" t="s">
        <v>179</v>
      </c>
      <c r="H31" s="2" t="s">
        <v>399</v>
      </c>
      <c r="I31" s="2" t="s">
        <v>417</v>
      </c>
      <c r="J31" s="2">
        <v>358502625</v>
      </c>
      <c r="K31" s="2" t="s">
        <v>418</v>
      </c>
      <c r="L31" s="2" t="s">
        <v>182</v>
      </c>
      <c r="M31" s="2" t="s">
        <v>223</v>
      </c>
      <c r="N31" s="2">
        <v>1990</v>
      </c>
      <c r="O31" s="2" t="s">
        <v>184</v>
      </c>
      <c r="P31" s="2" t="s">
        <v>225</v>
      </c>
      <c r="Q31" s="2" t="s">
        <v>226</v>
      </c>
      <c r="R31" s="2" t="s">
        <v>188</v>
      </c>
      <c r="S31" s="2">
        <v>20</v>
      </c>
      <c r="T31" s="2" t="s">
        <v>188</v>
      </c>
      <c r="U31" s="2" t="s">
        <v>188</v>
      </c>
      <c r="Y31" s="2">
        <v>356</v>
      </c>
      <c r="Z31" s="2">
        <v>0.98309999999999997</v>
      </c>
      <c r="AA31" s="2">
        <v>350</v>
      </c>
      <c r="AB31" s="2">
        <v>350</v>
      </c>
      <c r="AC31" s="2">
        <v>350</v>
      </c>
      <c r="AD31" s="2">
        <v>410</v>
      </c>
      <c r="AE31" s="2">
        <v>60</v>
      </c>
      <c r="AF31" s="2" t="s">
        <v>188</v>
      </c>
      <c r="AG31" s="2" t="s">
        <v>188</v>
      </c>
      <c r="AH31" s="2" t="s">
        <v>188</v>
      </c>
      <c r="AJ31" s="2" t="s">
        <v>188</v>
      </c>
      <c r="AK31" s="2" t="s">
        <v>188</v>
      </c>
      <c r="AL31" s="2" t="s">
        <v>188</v>
      </c>
      <c r="AM31" s="2" t="s">
        <v>187</v>
      </c>
      <c r="AN31" s="2" t="s">
        <v>188</v>
      </c>
      <c r="AO31" s="2" t="s">
        <v>188</v>
      </c>
      <c r="AR31" s="2">
        <v>1.17</v>
      </c>
      <c r="AS31" s="2">
        <v>6</v>
      </c>
      <c r="AT31" s="2">
        <v>4</v>
      </c>
      <c r="AU31" s="2" t="s">
        <v>238</v>
      </c>
      <c r="AV31" s="2" t="s">
        <v>238</v>
      </c>
      <c r="AW31" s="2" t="s">
        <v>188</v>
      </c>
      <c r="AZ31" s="2" t="s">
        <v>239</v>
      </c>
      <c r="BB31" s="2" t="s">
        <v>260</v>
      </c>
      <c r="BC31" s="2" t="s">
        <v>192</v>
      </c>
      <c r="BD31" s="2" t="s">
        <v>188</v>
      </c>
      <c r="BE31" s="2" t="s">
        <v>187</v>
      </c>
      <c r="BF31" s="2" t="s">
        <v>193</v>
      </c>
      <c r="BG31" s="2" t="s">
        <v>194</v>
      </c>
      <c r="BH31" s="2" t="s">
        <v>195</v>
      </c>
      <c r="BI31" s="2" t="s">
        <v>196</v>
      </c>
      <c r="BL31" s="2" t="s">
        <v>197</v>
      </c>
      <c r="BM31" s="2" t="s">
        <v>198</v>
      </c>
      <c r="BN31" s="2" t="s">
        <v>199</v>
      </c>
      <c r="BO31" s="2" t="s">
        <v>341</v>
      </c>
      <c r="BP31" s="2" t="s">
        <v>342</v>
      </c>
      <c r="BS31" s="2" t="s">
        <v>187</v>
      </c>
      <c r="BT31" s="2" t="s">
        <v>410</v>
      </c>
      <c r="BV31" s="2" t="s">
        <v>248</v>
      </c>
      <c r="BX31" s="2" t="s">
        <v>188</v>
      </c>
      <c r="BY31" s="2" t="s">
        <v>419</v>
      </c>
      <c r="BZ31" s="2" t="s">
        <v>203</v>
      </c>
      <c r="CE31" s="2">
        <v>4</v>
      </c>
      <c r="CF31" s="2">
        <v>410</v>
      </c>
      <c r="CM31" s="2">
        <v>100</v>
      </c>
      <c r="CP31" s="2">
        <v>100</v>
      </c>
      <c r="CR31" s="2" t="s">
        <v>204</v>
      </c>
      <c r="CT31" s="2" t="s">
        <v>188</v>
      </c>
      <c r="CU31" s="2" t="s">
        <v>205</v>
      </c>
      <c r="CW31" s="2" t="s">
        <v>206</v>
      </c>
      <c r="CY31" s="2" t="s">
        <v>207</v>
      </c>
      <c r="CZ31" s="2" t="s">
        <v>207</v>
      </c>
      <c r="DA31" s="2" t="s">
        <v>300</v>
      </c>
      <c r="DB31" s="2" t="s">
        <v>300</v>
      </c>
      <c r="DC31" s="2" t="s">
        <v>300</v>
      </c>
      <c r="DD31" s="2" t="s">
        <v>300</v>
      </c>
      <c r="DE31" s="2" t="s">
        <v>300</v>
      </c>
      <c r="DF31" s="2" t="s">
        <v>300</v>
      </c>
      <c r="DG31" s="2" t="s">
        <v>300</v>
      </c>
      <c r="DH31" s="2" t="s">
        <v>300</v>
      </c>
      <c r="DI31" s="2" t="s">
        <v>300</v>
      </c>
      <c r="DL31" s="2" t="s">
        <v>188</v>
      </c>
      <c r="DM31" s="2" t="s">
        <v>188</v>
      </c>
      <c r="DP31" s="2" t="s">
        <v>188</v>
      </c>
      <c r="DT31" s="2" t="s">
        <v>203</v>
      </c>
      <c r="DU31" s="2" t="s">
        <v>203</v>
      </c>
      <c r="DV31" s="2" t="s">
        <v>203</v>
      </c>
      <c r="DW31" s="2" t="s">
        <v>203</v>
      </c>
      <c r="DX31" s="2" t="s">
        <v>203</v>
      </c>
      <c r="DY31" s="2" t="s">
        <v>203</v>
      </c>
      <c r="DZ31" s="2" t="s">
        <v>203</v>
      </c>
      <c r="EA31" s="2" t="s">
        <v>203</v>
      </c>
      <c r="EB31" s="2" t="s">
        <v>203</v>
      </c>
      <c r="EC31" s="2" t="s">
        <v>203</v>
      </c>
      <c r="EF31" s="2" t="s">
        <v>302</v>
      </c>
      <c r="EG31" s="2" t="s">
        <v>420</v>
      </c>
      <c r="EJ31" s="2" t="s">
        <v>238</v>
      </c>
      <c r="EK31" s="2" t="s">
        <v>187</v>
      </c>
      <c r="EL31" s="2" t="s">
        <v>188</v>
      </c>
      <c r="EN31" s="2" t="s">
        <v>214</v>
      </c>
      <c r="EP31" s="2" t="s">
        <v>230</v>
      </c>
      <c r="ER31" s="2" t="s">
        <v>187</v>
      </c>
      <c r="ET31" s="2" t="s">
        <v>188</v>
      </c>
      <c r="EV31" s="2" t="s">
        <v>188</v>
      </c>
      <c r="EX31" s="2" t="s">
        <v>187</v>
      </c>
      <c r="EY31" s="2" t="s">
        <v>189</v>
      </c>
      <c r="EZ31" s="2" t="s">
        <v>188</v>
      </c>
      <c r="FC31" s="2" t="s">
        <v>216</v>
      </c>
      <c r="FD31" s="2" t="s">
        <v>188</v>
      </c>
      <c r="FH31" s="2" t="s">
        <v>188</v>
      </c>
      <c r="FJ31" s="2" t="s">
        <v>188</v>
      </c>
      <c r="FK31" s="2" t="s">
        <v>203</v>
      </c>
      <c r="FR31" s="2" t="s">
        <v>421</v>
      </c>
      <c r="FT31" s="2" t="s">
        <v>233</v>
      </c>
      <c r="FU31" s="2" t="s">
        <v>233</v>
      </c>
      <c r="FV31" s="2" t="s">
        <v>219</v>
      </c>
      <c r="FW31" s="2" t="s">
        <v>219</v>
      </c>
      <c r="FX31" s="2" t="s">
        <v>233</v>
      </c>
      <c r="FY31" s="2" t="s">
        <v>422</v>
      </c>
      <c r="FZ31" s="4">
        <v>46039.127511574072</v>
      </c>
    </row>
    <row r="32" spans="1:182">
      <c r="A32" s="2" t="s">
        <v>423</v>
      </c>
      <c r="D32" s="3">
        <v>46031.297673611116</v>
      </c>
      <c r="E32" s="2" t="s">
        <v>424</v>
      </c>
      <c r="F32" s="2" t="s">
        <v>425</v>
      </c>
      <c r="G32" s="2" t="s">
        <v>179</v>
      </c>
      <c r="H32" s="2" t="s">
        <v>426</v>
      </c>
      <c r="I32" s="2" t="s">
        <v>427</v>
      </c>
      <c r="J32" s="2">
        <v>327479375</v>
      </c>
      <c r="K32" s="2" t="s">
        <v>428</v>
      </c>
      <c r="L32" s="2" t="s">
        <v>269</v>
      </c>
      <c r="M32" s="2" t="s">
        <v>223</v>
      </c>
      <c r="N32" s="2">
        <v>1990</v>
      </c>
      <c r="O32" s="2" t="s">
        <v>184</v>
      </c>
      <c r="P32" s="2" t="s">
        <v>225</v>
      </c>
      <c r="Q32" s="2" t="s">
        <v>270</v>
      </c>
      <c r="R32" s="2" t="s">
        <v>188</v>
      </c>
      <c r="S32" s="2">
        <v>11</v>
      </c>
      <c r="T32" s="2" t="s">
        <v>188</v>
      </c>
      <c r="U32" s="2" t="s">
        <v>188</v>
      </c>
      <c r="Y32" s="2">
        <v>165</v>
      </c>
      <c r="Z32" s="2">
        <v>1</v>
      </c>
      <c r="AA32" s="2">
        <v>165</v>
      </c>
      <c r="AB32" s="2">
        <v>165</v>
      </c>
      <c r="AC32" s="2">
        <v>160</v>
      </c>
      <c r="AD32" s="2">
        <v>200</v>
      </c>
      <c r="AE32" s="2">
        <v>40</v>
      </c>
      <c r="AF32" s="2" t="s">
        <v>187</v>
      </c>
      <c r="AG32" s="2" t="s">
        <v>188</v>
      </c>
      <c r="AH32" s="2" t="s">
        <v>188</v>
      </c>
      <c r="AJ32" s="2" t="s">
        <v>188</v>
      </c>
      <c r="AK32" s="2" t="s">
        <v>188</v>
      </c>
      <c r="AL32" s="2" t="s">
        <v>188</v>
      </c>
      <c r="AM32" s="2" t="s">
        <v>188</v>
      </c>
      <c r="AN32" s="2" t="s">
        <v>188</v>
      </c>
      <c r="AO32" s="2" t="s">
        <v>188</v>
      </c>
      <c r="AR32" s="2">
        <v>0.9</v>
      </c>
      <c r="AS32" s="2">
        <v>1</v>
      </c>
      <c r="AT32" s="2">
        <v>2</v>
      </c>
      <c r="AU32" s="2" t="s">
        <v>203</v>
      </c>
      <c r="AV32" s="2" t="s">
        <v>238</v>
      </c>
      <c r="AW32" s="2" t="s">
        <v>188</v>
      </c>
      <c r="AZ32" s="2" t="s">
        <v>190</v>
      </c>
      <c r="BB32" s="2" t="s">
        <v>332</v>
      </c>
      <c r="BC32" s="2" t="s">
        <v>296</v>
      </c>
      <c r="BD32" s="2" t="s">
        <v>187</v>
      </c>
      <c r="BE32" s="2" t="s">
        <v>187</v>
      </c>
      <c r="BF32" s="2" t="s">
        <v>193</v>
      </c>
      <c r="BG32" s="2" t="s">
        <v>194</v>
      </c>
      <c r="BH32" s="2" t="s">
        <v>280</v>
      </c>
      <c r="BI32" s="2" t="s">
        <v>333</v>
      </c>
      <c r="BL32" s="2" t="s">
        <v>240</v>
      </c>
      <c r="BO32" s="2" t="s">
        <v>341</v>
      </c>
      <c r="BP32" s="2" t="s">
        <v>342</v>
      </c>
      <c r="BS32" s="2" t="s">
        <v>188</v>
      </c>
      <c r="BT32" s="2" t="s">
        <v>69</v>
      </c>
      <c r="BU32" s="2" t="s">
        <v>429</v>
      </c>
      <c r="BV32" s="2" t="s">
        <v>242</v>
      </c>
      <c r="BX32" s="2" t="s">
        <v>188</v>
      </c>
      <c r="BZ32" s="2" t="s">
        <v>188</v>
      </c>
      <c r="CE32" s="2">
        <v>2</v>
      </c>
      <c r="CF32" s="2">
        <v>200</v>
      </c>
      <c r="CK32" s="2">
        <v>100</v>
      </c>
      <c r="CO32" s="2">
        <v>100</v>
      </c>
      <c r="CR32" s="2" t="s">
        <v>204</v>
      </c>
      <c r="CT32" s="2" t="s">
        <v>188</v>
      </c>
      <c r="CU32" s="2" t="s">
        <v>205</v>
      </c>
      <c r="CW32" s="2" t="s">
        <v>206</v>
      </c>
      <c r="CY32" s="2" t="s">
        <v>300</v>
      </c>
      <c r="CZ32" s="2" t="s">
        <v>300</v>
      </c>
      <c r="DA32" s="2" t="s">
        <v>300</v>
      </c>
      <c r="DB32" s="2" t="s">
        <v>300</v>
      </c>
      <c r="DC32" s="2" t="s">
        <v>300</v>
      </c>
      <c r="DD32" s="2" t="s">
        <v>430</v>
      </c>
      <c r="DE32" s="2" t="s">
        <v>300</v>
      </c>
      <c r="DF32" s="2" t="s">
        <v>300</v>
      </c>
      <c r="DG32" s="2" t="s">
        <v>300</v>
      </c>
      <c r="DH32" s="2" t="s">
        <v>300</v>
      </c>
      <c r="DI32" s="2" t="s">
        <v>300</v>
      </c>
      <c r="DL32" s="2" t="s">
        <v>188</v>
      </c>
      <c r="DM32" s="2" t="s">
        <v>188</v>
      </c>
      <c r="DP32" s="2" t="s">
        <v>188</v>
      </c>
      <c r="DT32" s="2" t="s">
        <v>203</v>
      </c>
      <c r="DU32" s="2" t="s">
        <v>203</v>
      </c>
      <c r="DV32" s="2" t="s">
        <v>203</v>
      </c>
      <c r="DW32" s="2" t="s">
        <v>203</v>
      </c>
      <c r="DX32" s="2" t="s">
        <v>203</v>
      </c>
      <c r="DY32" s="2" t="s">
        <v>203</v>
      </c>
      <c r="DZ32" s="2" t="s">
        <v>203</v>
      </c>
      <c r="EA32" s="2" t="s">
        <v>203</v>
      </c>
      <c r="EB32" s="2" t="s">
        <v>203</v>
      </c>
      <c r="EC32" s="2" t="s">
        <v>203</v>
      </c>
      <c r="EF32" s="2" t="s">
        <v>302</v>
      </c>
      <c r="EG32" s="2" t="s">
        <v>431</v>
      </c>
      <c r="EJ32" s="2" t="s">
        <v>203</v>
      </c>
      <c r="EK32" s="2" t="s">
        <v>188</v>
      </c>
      <c r="EL32" s="2" t="s">
        <v>188</v>
      </c>
      <c r="EN32" s="2" t="s">
        <v>255</v>
      </c>
      <c r="EP32" s="2" t="s">
        <v>230</v>
      </c>
      <c r="ER32" s="2" t="s">
        <v>188</v>
      </c>
      <c r="ET32" s="2" t="s">
        <v>188</v>
      </c>
      <c r="EV32" s="2" t="s">
        <v>188</v>
      </c>
      <c r="EX32" s="2" t="s">
        <v>188</v>
      </c>
      <c r="EZ32" s="2" t="s">
        <v>188</v>
      </c>
      <c r="FC32" s="2" t="s">
        <v>263</v>
      </c>
      <c r="FD32" s="2" t="s">
        <v>188</v>
      </c>
      <c r="FH32" s="2" t="s">
        <v>188</v>
      </c>
      <c r="FJ32" s="2" t="s">
        <v>188</v>
      </c>
      <c r="FK32" s="2" t="s">
        <v>188</v>
      </c>
      <c r="FN32" s="2" t="s">
        <v>432</v>
      </c>
      <c r="FR32" s="2" t="s">
        <v>433</v>
      </c>
      <c r="FT32" s="2" t="s">
        <v>219</v>
      </c>
      <c r="FU32" s="2" t="s">
        <v>219</v>
      </c>
      <c r="FV32" s="2" t="s">
        <v>219</v>
      </c>
      <c r="FW32" s="2" t="s">
        <v>233</v>
      </c>
    </row>
    <row r="33" spans="1:182">
      <c r="A33" s="2" t="s">
        <v>434</v>
      </c>
      <c r="D33" s="3">
        <v>46030.978206018517</v>
      </c>
      <c r="E33" s="2" t="s">
        <v>435</v>
      </c>
      <c r="F33" s="2" t="s">
        <v>398</v>
      </c>
      <c r="G33" s="2" t="s">
        <v>179</v>
      </c>
      <c r="H33" s="2" t="s">
        <v>399</v>
      </c>
      <c r="I33" s="2" t="s">
        <v>436</v>
      </c>
      <c r="J33" s="2">
        <v>355407996</v>
      </c>
      <c r="K33" s="2" t="s">
        <v>437</v>
      </c>
      <c r="L33" s="2" t="s">
        <v>182</v>
      </c>
      <c r="M33" s="2" t="s">
        <v>183</v>
      </c>
      <c r="N33" s="2">
        <v>1968</v>
      </c>
      <c r="O33" s="2" t="s">
        <v>184</v>
      </c>
      <c r="P33" s="2" t="s">
        <v>237</v>
      </c>
      <c r="Q33" s="2" t="s">
        <v>186</v>
      </c>
      <c r="R33" s="2" t="s">
        <v>188</v>
      </c>
      <c r="S33" s="2">
        <v>13</v>
      </c>
      <c r="T33" s="2" t="s">
        <v>188</v>
      </c>
      <c r="U33" s="2" t="s">
        <v>188</v>
      </c>
      <c r="Y33" s="2">
        <v>320</v>
      </c>
      <c r="Z33" s="2">
        <v>0.96879999999999999</v>
      </c>
      <c r="AA33" s="2">
        <v>310</v>
      </c>
      <c r="AB33" s="2">
        <v>310</v>
      </c>
      <c r="AC33" s="2">
        <v>310</v>
      </c>
      <c r="AD33" s="2">
        <v>350</v>
      </c>
      <c r="AE33" s="2">
        <v>40</v>
      </c>
      <c r="AF33" s="2" t="s">
        <v>188</v>
      </c>
      <c r="AG33" s="2" t="s">
        <v>188</v>
      </c>
      <c r="AH33" s="2" t="s">
        <v>188</v>
      </c>
      <c r="AJ33" s="2" t="s">
        <v>188</v>
      </c>
      <c r="AK33" s="2" t="s">
        <v>188</v>
      </c>
      <c r="AL33" s="2" t="s">
        <v>188</v>
      </c>
      <c r="AM33" s="2" t="s">
        <v>187</v>
      </c>
      <c r="AN33" s="2" t="s">
        <v>188</v>
      </c>
      <c r="AO33" s="2" t="s">
        <v>188</v>
      </c>
      <c r="AR33" s="2">
        <v>0.81</v>
      </c>
      <c r="AS33" s="2">
        <v>6</v>
      </c>
      <c r="AT33" s="2">
        <v>3</v>
      </c>
      <c r="AU33" s="2" t="s">
        <v>238</v>
      </c>
      <c r="AV33" s="2" t="s">
        <v>238</v>
      </c>
      <c r="AW33" s="2" t="s">
        <v>188</v>
      </c>
      <c r="AZ33" s="2" t="s">
        <v>247</v>
      </c>
      <c r="BB33" s="2" t="s">
        <v>260</v>
      </c>
      <c r="BC33" s="2" t="s">
        <v>296</v>
      </c>
      <c r="BD33" s="2" t="s">
        <v>187</v>
      </c>
      <c r="BE33" s="2" t="s">
        <v>187</v>
      </c>
      <c r="BF33" s="2" t="s">
        <v>193</v>
      </c>
      <c r="BG33" s="2" t="s">
        <v>194</v>
      </c>
      <c r="BH33" s="2" t="s">
        <v>280</v>
      </c>
      <c r="BI33" s="2" t="s">
        <v>196</v>
      </c>
      <c r="BL33" s="2" t="s">
        <v>240</v>
      </c>
      <c r="BO33" s="2" t="s">
        <v>188</v>
      </c>
      <c r="BQ33" s="2" t="s">
        <v>200</v>
      </c>
      <c r="BS33" s="2" t="s">
        <v>187</v>
      </c>
      <c r="BT33" s="2" t="s">
        <v>261</v>
      </c>
      <c r="BV33" s="2" t="s">
        <v>248</v>
      </c>
      <c r="BX33" s="2" t="s">
        <v>188</v>
      </c>
      <c r="BY33" s="2" t="s">
        <v>438</v>
      </c>
      <c r="BZ33" s="2" t="s">
        <v>203</v>
      </c>
      <c r="CE33" s="2">
        <v>3</v>
      </c>
      <c r="CF33" s="2">
        <v>340</v>
      </c>
      <c r="CK33" s="2">
        <v>100</v>
      </c>
      <c r="CP33" s="2">
        <v>100</v>
      </c>
      <c r="CR33" s="2" t="s">
        <v>204</v>
      </c>
      <c r="CT33" s="2" t="s">
        <v>188</v>
      </c>
      <c r="CU33" s="2" t="s">
        <v>205</v>
      </c>
      <c r="CW33" s="2" t="s">
        <v>206</v>
      </c>
      <c r="CY33" s="2" t="s">
        <v>300</v>
      </c>
      <c r="CZ33" s="2" t="s">
        <v>300</v>
      </c>
      <c r="DA33" s="2" t="s">
        <v>300</v>
      </c>
      <c r="DB33" s="2" t="s">
        <v>300</v>
      </c>
      <c r="DC33" s="2" t="s">
        <v>300</v>
      </c>
      <c r="DD33" s="2" t="s">
        <v>207</v>
      </c>
      <c r="DE33" s="2" t="s">
        <v>300</v>
      </c>
      <c r="DF33" s="2" t="s">
        <v>300</v>
      </c>
      <c r="DG33" s="2" t="s">
        <v>300</v>
      </c>
      <c r="DH33" s="2" t="s">
        <v>300</v>
      </c>
      <c r="DI33" s="2" t="s">
        <v>300</v>
      </c>
      <c r="DL33" s="2" t="s">
        <v>188</v>
      </c>
      <c r="DM33" s="2" t="s">
        <v>188</v>
      </c>
      <c r="DP33" s="2" t="s">
        <v>203</v>
      </c>
      <c r="DT33" s="2" t="s">
        <v>203</v>
      </c>
      <c r="DU33" s="2" t="s">
        <v>203</v>
      </c>
      <c r="DV33" s="2" t="s">
        <v>203</v>
      </c>
      <c r="DW33" s="2" t="s">
        <v>203</v>
      </c>
      <c r="DX33" s="2" t="s">
        <v>203</v>
      </c>
      <c r="DY33" s="2" t="s">
        <v>203</v>
      </c>
      <c r="DZ33" s="2" t="s">
        <v>203</v>
      </c>
      <c r="EA33" s="2" t="s">
        <v>203</v>
      </c>
      <c r="EB33" s="2" t="s">
        <v>203</v>
      </c>
      <c r="EC33" s="2" t="s">
        <v>203</v>
      </c>
      <c r="ED33" s="2" t="s">
        <v>203</v>
      </c>
      <c r="EE33" s="2" t="s">
        <v>439</v>
      </c>
      <c r="EF33" s="2" t="s">
        <v>302</v>
      </c>
      <c r="EG33" s="2" t="s">
        <v>440</v>
      </c>
      <c r="EJ33" s="2" t="s">
        <v>238</v>
      </c>
      <c r="EK33" s="2" t="s">
        <v>188</v>
      </c>
      <c r="EL33" s="2" t="s">
        <v>188</v>
      </c>
      <c r="EN33" s="2" t="s">
        <v>214</v>
      </c>
      <c r="EP33" s="2" t="s">
        <v>230</v>
      </c>
      <c r="ER33" s="2" t="s">
        <v>188</v>
      </c>
      <c r="ET33" s="2" t="s">
        <v>188</v>
      </c>
      <c r="EV33" s="2" t="s">
        <v>188</v>
      </c>
      <c r="EX33" s="2" t="s">
        <v>188</v>
      </c>
      <c r="EZ33" s="2" t="s">
        <v>188</v>
      </c>
      <c r="FC33" s="2" t="s">
        <v>216</v>
      </c>
      <c r="FD33" s="2" t="s">
        <v>188</v>
      </c>
      <c r="FH33" s="2" t="s">
        <v>188</v>
      </c>
      <c r="FJ33" s="2" t="s">
        <v>188</v>
      </c>
      <c r="FK33" s="2" t="s">
        <v>203</v>
      </c>
      <c r="FN33" s="2" t="s">
        <v>432</v>
      </c>
      <c r="FR33" s="2" t="s">
        <v>441</v>
      </c>
      <c r="FT33" s="2" t="s">
        <v>233</v>
      </c>
      <c r="FU33" s="2" t="s">
        <v>233</v>
      </c>
      <c r="FV33" s="2" t="s">
        <v>219</v>
      </c>
      <c r="FW33" s="2" t="s">
        <v>219</v>
      </c>
      <c r="FX33" s="2" t="s">
        <v>233</v>
      </c>
      <c r="FY33" s="2" t="s">
        <v>442</v>
      </c>
      <c r="FZ33" s="4">
        <v>46039.368310185186</v>
      </c>
    </row>
    <row r="34" spans="1:182">
      <c r="A34" s="2" t="s">
        <v>443</v>
      </c>
      <c r="D34" s="3">
        <v>46031.081875000003</v>
      </c>
      <c r="E34" s="2" t="s">
        <v>444</v>
      </c>
      <c r="F34" s="2" t="s">
        <v>398</v>
      </c>
      <c r="G34" s="2" t="s">
        <v>179</v>
      </c>
      <c r="H34" s="2" t="s">
        <v>445</v>
      </c>
      <c r="I34" s="2" t="s">
        <v>446</v>
      </c>
      <c r="J34" s="2">
        <v>329111514</v>
      </c>
      <c r="K34" s="2" t="s">
        <v>447</v>
      </c>
      <c r="L34" s="2" t="s">
        <v>182</v>
      </c>
      <c r="M34" s="2" t="s">
        <v>183</v>
      </c>
      <c r="N34" s="2">
        <v>1963</v>
      </c>
      <c r="O34" s="2" t="s">
        <v>184</v>
      </c>
      <c r="P34" s="2" t="s">
        <v>185</v>
      </c>
      <c r="Q34" s="2" t="s">
        <v>186</v>
      </c>
      <c r="R34" s="2" t="s">
        <v>188</v>
      </c>
      <c r="S34" s="2">
        <v>8</v>
      </c>
      <c r="T34" s="2" t="s">
        <v>188</v>
      </c>
      <c r="U34" s="2" t="s">
        <v>188</v>
      </c>
      <c r="Y34" s="2">
        <v>260</v>
      </c>
      <c r="Z34" s="2">
        <v>1</v>
      </c>
      <c r="AA34" s="2">
        <v>260</v>
      </c>
      <c r="AB34" s="2">
        <v>260</v>
      </c>
      <c r="AC34" s="2">
        <v>260</v>
      </c>
      <c r="AD34" s="2">
        <v>300</v>
      </c>
      <c r="AE34" s="2">
        <v>40</v>
      </c>
      <c r="AF34" s="2" t="s">
        <v>188</v>
      </c>
      <c r="AG34" s="2" t="s">
        <v>188</v>
      </c>
      <c r="AH34" s="2" t="s">
        <v>188</v>
      </c>
      <c r="AJ34" s="2" t="s">
        <v>188</v>
      </c>
      <c r="AK34" s="2" t="s">
        <v>188</v>
      </c>
      <c r="AL34" s="2" t="s">
        <v>188</v>
      </c>
      <c r="AM34" s="2" t="s">
        <v>188</v>
      </c>
      <c r="AN34" s="2" t="s">
        <v>188</v>
      </c>
      <c r="AO34" s="2" t="s">
        <v>188</v>
      </c>
      <c r="AR34" s="2">
        <v>1.9</v>
      </c>
      <c r="AS34" s="2">
        <v>4</v>
      </c>
      <c r="AT34" s="2">
        <v>3</v>
      </c>
      <c r="AU34" s="2" t="s">
        <v>238</v>
      </c>
      <c r="AV34" s="2" t="s">
        <v>238</v>
      </c>
      <c r="AW34" s="2" t="s">
        <v>188</v>
      </c>
      <c r="AZ34" s="2" t="s">
        <v>190</v>
      </c>
      <c r="BB34" s="2" t="s">
        <v>260</v>
      </c>
      <c r="BC34" s="2" t="s">
        <v>296</v>
      </c>
      <c r="BD34" s="2" t="s">
        <v>187</v>
      </c>
      <c r="BE34" s="2" t="s">
        <v>187</v>
      </c>
      <c r="BF34" s="2" t="s">
        <v>193</v>
      </c>
      <c r="BG34" s="2" t="s">
        <v>194</v>
      </c>
      <c r="BH34" s="2" t="s">
        <v>280</v>
      </c>
      <c r="BI34" s="2" t="s">
        <v>448</v>
      </c>
      <c r="BL34" s="2" t="s">
        <v>197</v>
      </c>
      <c r="BM34" s="2" t="s">
        <v>198</v>
      </c>
      <c r="BN34" s="2" t="s">
        <v>199</v>
      </c>
      <c r="BO34" s="2" t="s">
        <v>188</v>
      </c>
      <c r="BP34" s="2" t="s">
        <v>449</v>
      </c>
      <c r="BQ34" s="2" t="s">
        <v>200</v>
      </c>
      <c r="BS34" s="2" t="s">
        <v>187</v>
      </c>
      <c r="BT34" s="2" t="s">
        <v>201</v>
      </c>
      <c r="BV34" s="2" t="s">
        <v>248</v>
      </c>
      <c r="BX34" s="2" t="s">
        <v>187</v>
      </c>
      <c r="BY34" s="2" t="s">
        <v>450</v>
      </c>
      <c r="BZ34" s="2" t="s">
        <v>203</v>
      </c>
      <c r="CE34" s="2">
        <v>3</v>
      </c>
      <c r="CF34" s="2">
        <v>300</v>
      </c>
      <c r="CK34" s="2">
        <v>100</v>
      </c>
      <c r="CP34" s="2">
        <v>100</v>
      </c>
      <c r="CR34" s="2" t="s">
        <v>204</v>
      </c>
      <c r="CT34" s="2" t="s">
        <v>188</v>
      </c>
      <c r="CU34" s="2" t="s">
        <v>205</v>
      </c>
      <c r="CW34" s="2" t="s">
        <v>206</v>
      </c>
      <c r="CY34" s="2" t="s">
        <v>300</v>
      </c>
      <c r="CZ34" s="2" t="s">
        <v>300</v>
      </c>
      <c r="DA34" s="2" t="s">
        <v>300</v>
      </c>
      <c r="DB34" s="2" t="s">
        <v>300</v>
      </c>
      <c r="DC34" s="2" t="s">
        <v>300</v>
      </c>
      <c r="DD34" s="2" t="s">
        <v>300</v>
      </c>
      <c r="DE34" s="2" t="s">
        <v>300</v>
      </c>
      <c r="DF34" s="2" t="s">
        <v>300</v>
      </c>
      <c r="DG34" s="2" t="s">
        <v>300</v>
      </c>
      <c r="DH34" s="2" t="s">
        <v>300</v>
      </c>
      <c r="DI34" s="2" t="s">
        <v>300</v>
      </c>
      <c r="DL34" s="2" t="s">
        <v>188</v>
      </c>
      <c r="DM34" s="2" t="s">
        <v>188</v>
      </c>
      <c r="DP34" s="2" t="s">
        <v>203</v>
      </c>
      <c r="DT34" s="2" t="s">
        <v>203</v>
      </c>
      <c r="DU34" s="2" t="s">
        <v>203</v>
      </c>
      <c r="DV34" s="2" t="s">
        <v>203</v>
      </c>
      <c r="DW34" s="2" t="s">
        <v>203</v>
      </c>
      <c r="DX34" s="2" t="s">
        <v>203</v>
      </c>
      <c r="DY34" s="2" t="s">
        <v>203</v>
      </c>
      <c r="DZ34" s="2" t="s">
        <v>203</v>
      </c>
      <c r="EA34" s="2" t="s">
        <v>203</v>
      </c>
      <c r="EB34" s="2" t="s">
        <v>203</v>
      </c>
      <c r="EC34" s="2" t="s">
        <v>203</v>
      </c>
      <c r="ED34" s="2" t="s">
        <v>203</v>
      </c>
      <c r="EE34" s="2" t="s">
        <v>439</v>
      </c>
      <c r="EF34" s="2" t="s">
        <v>302</v>
      </c>
      <c r="EG34" s="2" t="s">
        <v>451</v>
      </c>
      <c r="EJ34" s="2" t="s">
        <v>238</v>
      </c>
      <c r="EK34" s="2" t="s">
        <v>188</v>
      </c>
      <c r="EL34" s="2" t="s">
        <v>188</v>
      </c>
      <c r="EN34" s="2" t="s">
        <v>255</v>
      </c>
      <c r="EP34" s="2" t="s">
        <v>230</v>
      </c>
      <c r="ER34" s="2" t="s">
        <v>188</v>
      </c>
      <c r="ET34" s="2" t="s">
        <v>188</v>
      </c>
      <c r="EV34" s="2" t="s">
        <v>188</v>
      </c>
      <c r="EX34" s="2" t="s">
        <v>188</v>
      </c>
      <c r="EZ34" s="2" t="s">
        <v>188</v>
      </c>
      <c r="FC34" s="2" t="s">
        <v>216</v>
      </c>
      <c r="FD34" s="2" t="s">
        <v>188</v>
      </c>
      <c r="FH34" s="2" t="s">
        <v>188</v>
      </c>
      <c r="FJ34" s="2" t="s">
        <v>188</v>
      </c>
      <c r="FK34" s="2" t="s">
        <v>203</v>
      </c>
      <c r="FR34" s="2" t="s">
        <v>452</v>
      </c>
      <c r="FT34" s="2" t="s">
        <v>233</v>
      </c>
      <c r="FU34" s="2" t="s">
        <v>233</v>
      </c>
      <c r="FV34" s="2" t="s">
        <v>219</v>
      </c>
      <c r="FW34" s="2" t="s">
        <v>219</v>
      </c>
      <c r="FX34" s="2" t="s">
        <v>219</v>
      </c>
      <c r="FY34" s="2" t="s">
        <v>453</v>
      </c>
      <c r="FZ34" s="4">
        <v>46039.382268518515</v>
      </c>
    </row>
    <row r="35" spans="1:182">
      <c r="A35" s="2" t="s">
        <v>454</v>
      </c>
      <c r="D35" s="3">
        <v>46031.087847222225</v>
      </c>
      <c r="E35" s="2" t="s">
        <v>455</v>
      </c>
      <c r="F35" s="2" t="s">
        <v>398</v>
      </c>
      <c r="G35" s="2" t="s">
        <v>179</v>
      </c>
      <c r="H35" s="2" t="s">
        <v>456</v>
      </c>
      <c r="I35" s="2" t="s">
        <v>457</v>
      </c>
      <c r="J35" s="2">
        <v>339512992</v>
      </c>
      <c r="K35" s="2" t="s">
        <v>457</v>
      </c>
      <c r="L35" s="2" t="s">
        <v>182</v>
      </c>
      <c r="M35" s="2" t="s">
        <v>183</v>
      </c>
      <c r="N35" s="2">
        <v>1967</v>
      </c>
      <c r="O35" s="2" t="s">
        <v>184</v>
      </c>
      <c r="P35" s="2" t="s">
        <v>185</v>
      </c>
      <c r="Q35" s="2" t="s">
        <v>270</v>
      </c>
      <c r="R35" s="2" t="s">
        <v>188</v>
      </c>
      <c r="S35" s="2">
        <v>10</v>
      </c>
      <c r="T35" s="2" t="s">
        <v>188</v>
      </c>
      <c r="U35" s="2" t="s">
        <v>188</v>
      </c>
      <c r="Y35" s="2">
        <v>220</v>
      </c>
      <c r="Z35" s="2">
        <v>1</v>
      </c>
      <c r="AA35" s="2">
        <v>220</v>
      </c>
      <c r="AB35" s="2">
        <v>220</v>
      </c>
      <c r="AC35" s="2">
        <v>220</v>
      </c>
      <c r="AD35" s="2">
        <v>250</v>
      </c>
      <c r="AE35" s="2">
        <v>30</v>
      </c>
      <c r="AF35" s="2" t="s">
        <v>188</v>
      </c>
      <c r="AG35" s="2" t="s">
        <v>188</v>
      </c>
      <c r="AH35" s="2" t="s">
        <v>188</v>
      </c>
      <c r="AJ35" s="2" t="s">
        <v>188</v>
      </c>
      <c r="AK35" s="2" t="s">
        <v>188</v>
      </c>
      <c r="AL35" s="2" t="s">
        <v>188</v>
      </c>
      <c r="AM35" s="2" t="s">
        <v>188</v>
      </c>
      <c r="AN35" s="2" t="s">
        <v>188</v>
      </c>
      <c r="AO35" s="2" t="s">
        <v>188</v>
      </c>
      <c r="AR35" s="2">
        <v>1.1499999999999999</v>
      </c>
      <c r="AS35" s="2">
        <v>5</v>
      </c>
      <c r="AT35" s="2">
        <v>2.5</v>
      </c>
      <c r="AU35" s="2" t="s">
        <v>238</v>
      </c>
      <c r="AV35" s="2" t="s">
        <v>238</v>
      </c>
      <c r="AW35" s="2" t="s">
        <v>188</v>
      </c>
      <c r="BC35" s="2" t="s">
        <v>192</v>
      </c>
      <c r="BD35" s="2" t="s">
        <v>188</v>
      </c>
      <c r="BE35" s="2" t="s">
        <v>188</v>
      </c>
      <c r="BL35" s="2" t="s">
        <v>240</v>
      </c>
      <c r="BO35" s="2" t="s">
        <v>188</v>
      </c>
      <c r="BQ35" s="2" t="s">
        <v>200</v>
      </c>
      <c r="BS35" s="2" t="s">
        <v>187</v>
      </c>
      <c r="BT35" s="2" t="s">
        <v>261</v>
      </c>
      <c r="BV35" s="2" t="s">
        <v>458</v>
      </c>
      <c r="BX35" s="2" t="s">
        <v>188</v>
      </c>
      <c r="BY35" s="2" t="s">
        <v>459</v>
      </c>
      <c r="BZ35" s="2" t="s">
        <v>203</v>
      </c>
      <c r="CE35" s="2">
        <v>2.5</v>
      </c>
      <c r="CF35" s="2">
        <v>250</v>
      </c>
      <c r="CK35" s="2">
        <v>100</v>
      </c>
      <c r="CP35" s="2">
        <v>100</v>
      </c>
      <c r="CR35" s="2" t="s">
        <v>204</v>
      </c>
      <c r="CT35" s="2" t="s">
        <v>188</v>
      </c>
      <c r="CU35" s="2" t="s">
        <v>205</v>
      </c>
      <c r="CW35" s="2" t="s">
        <v>206</v>
      </c>
      <c r="CY35" s="2" t="s">
        <v>300</v>
      </c>
      <c r="CZ35" s="2" t="s">
        <v>300</v>
      </c>
      <c r="DA35" s="2" t="s">
        <v>300</v>
      </c>
      <c r="DB35" s="2" t="s">
        <v>300</v>
      </c>
      <c r="DC35" s="2" t="s">
        <v>300</v>
      </c>
      <c r="DD35" s="2" t="s">
        <v>300</v>
      </c>
      <c r="DE35" s="2" t="s">
        <v>300</v>
      </c>
      <c r="DF35" s="2" t="s">
        <v>300</v>
      </c>
      <c r="DG35" s="2" t="s">
        <v>300</v>
      </c>
      <c r="DH35" s="2" t="s">
        <v>300</v>
      </c>
      <c r="DI35" s="2" t="s">
        <v>300</v>
      </c>
      <c r="DL35" s="2" t="s">
        <v>188</v>
      </c>
      <c r="DM35" s="2" t="s">
        <v>188</v>
      </c>
      <c r="DP35" s="2" t="s">
        <v>203</v>
      </c>
      <c r="DT35" s="2" t="s">
        <v>203</v>
      </c>
      <c r="DU35" s="2" t="s">
        <v>203</v>
      </c>
      <c r="DV35" s="2" t="s">
        <v>203</v>
      </c>
      <c r="DW35" s="2" t="s">
        <v>203</v>
      </c>
      <c r="DX35" s="2" t="s">
        <v>203</v>
      </c>
      <c r="DY35" s="2" t="s">
        <v>203</v>
      </c>
      <c r="DZ35" s="2" t="s">
        <v>203</v>
      </c>
      <c r="EA35" s="2" t="s">
        <v>203</v>
      </c>
      <c r="EB35" s="2" t="s">
        <v>203</v>
      </c>
      <c r="EC35" s="2" t="s">
        <v>203</v>
      </c>
      <c r="ED35" s="2" t="s">
        <v>203</v>
      </c>
      <c r="EE35" s="2" t="s">
        <v>439</v>
      </c>
      <c r="EF35" s="2" t="s">
        <v>302</v>
      </c>
      <c r="EG35" s="2" t="s">
        <v>460</v>
      </c>
      <c r="EJ35" s="2" t="s">
        <v>238</v>
      </c>
      <c r="EK35" s="2" t="s">
        <v>188</v>
      </c>
      <c r="EL35" s="2" t="s">
        <v>188</v>
      </c>
      <c r="EN35" s="2" t="s">
        <v>214</v>
      </c>
      <c r="EP35" s="2" t="s">
        <v>230</v>
      </c>
      <c r="ER35" s="2" t="s">
        <v>188</v>
      </c>
      <c r="ET35" s="2" t="s">
        <v>188</v>
      </c>
      <c r="EV35" s="2" t="s">
        <v>188</v>
      </c>
      <c r="EX35" s="2" t="s">
        <v>188</v>
      </c>
      <c r="EZ35" s="2" t="s">
        <v>188</v>
      </c>
      <c r="FC35" s="2" t="s">
        <v>216</v>
      </c>
      <c r="FD35" s="2" t="s">
        <v>188</v>
      </c>
      <c r="FH35" s="2" t="s">
        <v>188</v>
      </c>
      <c r="FJ35" s="2" t="s">
        <v>188</v>
      </c>
      <c r="FK35" s="2" t="s">
        <v>203</v>
      </c>
      <c r="FR35" s="2" t="s">
        <v>461</v>
      </c>
      <c r="FT35" s="2" t="s">
        <v>233</v>
      </c>
      <c r="FU35" s="2" t="s">
        <v>233</v>
      </c>
      <c r="FV35" s="2" t="s">
        <v>219</v>
      </c>
      <c r="FW35" s="2" t="s">
        <v>219</v>
      </c>
      <c r="FX35" s="2" t="s">
        <v>219</v>
      </c>
      <c r="FY35" s="2" t="s">
        <v>462</v>
      </c>
      <c r="FZ35" s="4">
        <v>46039.392928240741</v>
      </c>
    </row>
    <row r="36" spans="1:182">
      <c r="A36" s="2" t="s">
        <v>463</v>
      </c>
      <c r="D36" s="3">
        <v>46031.272141203706</v>
      </c>
      <c r="E36" s="2" t="s">
        <v>464</v>
      </c>
      <c r="F36" s="2" t="s">
        <v>425</v>
      </c>
      <c r="G36" s="2" t="s">
        <v>179</v>
      </c>
      <c r="H36" s="2" t="s">
        <v>426</v>
      </c>
      <c r="I36" s="2" t="s">
        <v>465</v>
      </c>
      <c r="J36" s="2">
        <v>382913783</v>
      </c>
      <c r="K36" s="2" t="s">
        <v>465</v>
      </c>
      <c r="L36" s="2" t="s">
        <v>182</v>
      </c>
      <c r="M36" s="2" t="s">
        <v>183</v>
      </c>
      <c r="N36" s="2">
        <v>1976</v>
      </c>
      <c r="O36" s="2" t="s">
        <v>184</v>
      </c>
      <c r="P36" s="2" t="s">
        <v>185</v>
      </c>
      <c r="Q36" s="2" t="s">
        <v>186</v>
      </c>
      <c r="R36" s="2" t="s">
        <v>188</v>
      </c>
      <c r="S36" s="2">
        <v>30</v>
      </c>
      <c r="T36" s="2" t="s">
        <v>188</v>
      </c>
      <c r="U36" s="2" t="s">
        <v>188</v>
      </c>
      <c r="Y36" s="2">
        <v>440</v>
      </c>
      <c r="Z36" s="2">
        <v>0.93179999999999996</v>
      </c>
      <c r="AA36" s="2">
        <v>410</v>
      </c>
      <c r="AB36" s="2">
        <v>390</v>
      </c>
      <c r="AC36" s="2">
        <v>300</v>
      </c>
      <c r="AD36" s="2">
        <v>380</v>
      </c>
      <c r="AE36" s="2">
        <v>80</v>
      </c>
      <c r="AF36" s="2" t="s">
        <v>187</v>
      </c>
      <c r="AG36" s="2" t="s">
        <v>188</v>
      </c>
      <c r="AH36" s="2" t="s">
        <v>187</v>
      </c>
      <c r="AI36" s="2" t="s">
        <v>308</v>
      </c>
      <c r="AJ36" s="2" t="s">
        <v>188</v>
      </c>
      <c r="AK36" s="2" t="s">
        <v>187</v>
      </c>
      <c r="AL36" s="2" t="s">
        <v>188</v>
      </c>
      <c r="AM36" s="2" t="s">
        <v>187</v>
      </c>
      <c r="AN36" s="2" t="s">
        <v>188</v>
      </c>
      <c r="AO36" s="2" t="s">
        <v>188</v>
      </c>
      <c r="AR36" s="2">
        <v>1.5</v>
      </c>
      <c r="AS36" s="2">
        <v>6</v>
      </c>
      <c r="AT36" s="2">
        <v>3.8</v>
      </c>
      <c r="AU36" s="2" t="s">
        <v>238</v>
      </c>
      <c r="AV36" s="2" t="s">
        <v>238</v>
      </c>
      <c r="AW36" s="2" t="s">
        <v>188</v>
      </c>
      <c r="AZ36" s="2" t="s">
        <v>357</v>
      </c>
      <c r="BB36" s="2" t="s">
        <v>260</v>
      </c>
      <c r="BC36" s="2" t="s">
        <v>192</v>
      </c>
      <c r="BD36" s="2" t="s">
        <v>188</v>
      </c>
      <c r="BE36" s="2" t="s">
        <v>188</v>
      </c>
      <c r="BL36" s="2" t="s">
        <v>240</v>
      </c>
      <c r="BO36" s="2" t="s">
        <v>341</v>
      </c>
      <c r="BP36" s="2" t="s">
        <v>342</v>
      </c>
      <c r="BS36" s="2" t="s">
        <v>187</v>
      </c>
      <c r="BT36" s="2" t="s">
        <v>69</v>
      </c>
      <c r="BU36" s="2" t="s">
        <v>466</v>
      </c>
      <c r="BV36" s="2" t="s">
        <v>248</v>
      </c>
      <c r="BX36" s="2" t="s">
        <v>188</v>
      </c>
      <c r="BZ36" s="2" t="s">
        <v>188</v>
      </c>
      <c r="CE36" s="2">
        <v>3.8</v>
      </c>
      <c r="CF36" s="2">
        <v>380</v>
      </c>
      <c r="CM36" s="2">
        <v>100</v>
      </c>
      <c r="CO36" s="2">
        <v>100</v>
      </c>
      <c r="CR36" s="2" t="s">
        <v>343</v>
      </c>
      <c r="CT36" s="2" t="s">
        <v>188</v>
      </c>
      <c r="CU36" s="2" t="s">
        <v>205</v>
      </c>
      <c r="CW36" s="2" t="s">
        <v>206</v>
      </c>
      <c r="CY36" s="2" t="s">
        <v>207</v>
      </c>
      <c r="CZ36" s="2" t="s">
        <v>207</v>
      </c>
      <c r="DA36" s="2" t="s">
        <v>300</v>
      </c>
      <c r="DB36" s="2" t="s">
        <v>300</v>
      </c>
      <c r="DC36" s="2" t="s">
        <v>300</v>
      </c>
      <c r="DD36" s="2" t="s">
        <v>300</v>
      </c>
      <c r="DE36" s="2" t="s">
        <v>300</v>
      </c>
      <c r="DF36" s="2" t="s">
        <v>300</v>
      </c>
      <c r="DG36" s="2" t="s">
        <v>300</v>
      </c>
      <c r="DH36" s="2" t="s">
        <v>300</v>
      </c>
      <c r="DI36" s="2" t="s">
        <v>300</v>
      </c>
      <c r="DL36" s="2" t="s">
        <v>187</v>
      </c>
      <c r="DM36" s="2" t="s">
        <v>187</v>
      </c>
      <c r="DN36" s="2" t="s">
        <v>187</v>
      </c>
      <c r="DO36" s="2" t="s">
        <v>187</v>
      </c>
      <c r="DP36" s="2" t="s">
        <v>209</v>
      </c>
      <c r="DQ36" s="2" t="s">
        <v>467</v>
      </c>
      <c r="DR36" s="2" t="s">
        <v>468</v>
      </c>
      <c r="DT36" s="2" t="s">
        <v>209</v>
      </c>
      <c r="DU36" s="2" t="s">
        <v>209</v>
      </c>
      <c r="DV36" s="2" t="s">
        <v>209</v>
      </c>
      <c r="DW36" s="2" t="s">
        <v>209</v>
      </c>
      <c r="DX36" s="2" t="s">
        <v>209</v>
      </c>
      <c r="DZ36" s="2" t="s">
        <v>203</v>
      </c>
      <c r="EA36" s="2" t="s">
        <v>209</v>
      </c>
      <c r="EB36" s="2" t="s">
        <v>209</v>
      </c>
      <c r="EC36" s="2" t="s">
        <v>188</v>
      </c>
      <c r="EF36" s="2" t="s">
        <v>211</v>
      </c>
      <c r="EJ36" s="2" t="s">
        <v>238</v>
      </c>
      <c r="EK36" s="2" t="s">
        <v>187</v>
      </c>
      <c r="EL36" s="2" t="s">
        <v>188</v>
      </c>
      <c r="EN36" s="2" t="s">
        <v>255</v>
      </c>
      <c r="EP36" s="2" t="s">
        <v>230</v>
      </c>
      <c r="ER36" s="2" t="s">
        <v>187</v>
      </c>
      <c r="ET36" s="2" t="s">
        <v>188</v>
      </c>
      <c r="EV36" s="2" t="s">
        <v>187</v>
      </c>
      <c r="EW36" s="2" t="s">
        <v>215</v>
      </c>
      <c r="EX36" s="2" t="s">
        <v>188</v>
      </c>
      <c r="EZ36" s="2" t="s">
        <v>188</v>
      </c>
      <c r="FC36" s="2" t="s">
        <v>263</v>
      </c>
      <c r="FD36" s="2" t="s">
        <v>188</v>
      </c>
      <c r="FH36" s="2" t="s">
        <v>188</v>
      </c>
      <c r="FJ36" s="2" t="s">
        <v>188</v>
      </c>
      <c r="FK36" s="2" t="s">
        <v>209</v>
      </c>
      <c r="FL36" s="2" t="s">
        <v>290</v>
      </c>
      <c r="FN36" s="2" t="s">
        <v>469</v>
      </c>
      <c r="FO36" s="2" t="s">
        <v>470</v>
      </c>
      <c r="FR36" s="2" t="s">
        <v>471</v>
      </c>
      <c r="FT36" s="2" t="s">
        <v>219</v>
      </c>
      <c r="FU36" s="2" t="s">
        <v>233</v>
      </c>
      <c r="FV36" s="2" t="s">
        <v>233</v>
      </c>
      <c r="FW36" s="2" t="s">
        <v>233</v>
      </c>
      <c r="FZ36" s="4">
        <v>46040.801018518519</v>
      </c>
    </row>
    <row r="37" spans="1:182">
      <c r="A37" s="2" t="s">
        <v>472</v>
      </c>
      <c r="D37" s="3">
        <v>46031.179571759261</v>
      </c>
      <c r="E37" s="2" t="s">
        <v>473</v>
      </c>
      <c r="F37" s="2" t="s">
        <v>425</v>
      </c>
      <c r="G37" s="2" t="s">
        <v>179</v>
      </c>
      <c r="H37" s="2" t="s">
        <v>426</v>
      </c>
      <c r="I37" s="2" t="s">
        <v>474</v>
      </c>
      <c r="J37" s="2">
        <v>961112791</v>
      </c>
      <c r="K37" s="2" t="s">
        <v>475</v>
      </c>
      <c r="L37" s="2" t="s">
        <v>352</v>
      </c>
      <c r="M37" s="2" t="s">
        <v>223</v>
      </c>
      <c r="N37" s="2">
        <v>1991</v>
      </c>
      <c r="O37" s="2" t="s">
        <v>184</v>
      </c>
      <c r="P37" s="2" t="s">
        <v>237</v>
      </c>
      <c r="Q37" s="2" t="s">
        <v>186</v>
      </c>
      <c r="R37" s="2" t="s">
        <v>188</v>
      </c>
      <c r="S37" s="2">
        <v>23</v>
      </c>
      <c r="T37" s="2" t="s">
        <v>188</v>
      </c>
      <c r="U37" s="2" t="s">
        <v>188</v>
      </c>
      <c r="Y37" s="2">
        <v>980</v>
      </c>
      <c r="Z37" s="2">
        <v>1</v>
      </c>
      <c r="AA37" s="2">
        <v>980</v>
      </c>
      <c r="AB37" s="2">
        <v>950</v>
      </c>
      <c r="AC37" s="2">
        <v>950</v>
      </c>
      <c r="AD37" s="2">
        <v>1300</v>
      </c>
      <c r="AE37" s="2">
        <v>350</v>
      </c>
      <c r="AF37" s="2" t="s">
        <v>188</v>
      </c>
      <c r="AG37" s="2" t="s">
        <v>188</v>
      </c>
      <c r="AH37" s="2" t="s">
        <v>188</v>
      </c>
      <c r="AJ37" s="2" t="s">
        <v>188</v>
      </c>
      <c r="AK37" s="2" t="s">
        <v>187</v>
      </c>
      <c r="AL37" s="2" t="s">
        <v>188</v>
      </c>
      <c r="AM37" s="2" t="s">
        <v>188</v>
      </c>
      <c r="AN37" s="2" t="s">
        <v>188</v>
      </c>
      <c r="AO37" s="2" t="s">
        <v>188</v>
      </c>
      <c r="AR37" s="2">
        <v>3.47</v>
      </c>
      <c r="AS37" s="2">
        <v>8</v>
      </c>
      <c r="AT37" s="2">
        <v>13</v>
      </c>
      <c r="AU37" s="2" t="s">
        <v>238</v>
      </c>
      <c r="AV37" s="2" t="s">
        <v>238</v>
      </c>
      <c r="AW37" s="2" t="s">
        <v>188</v>
      </c>
      <c r="AZ37" s="2" t="s">
        <v>476</v>
      </c>
      <c r="BB37" s="2" t="s">
        <v>260</v>
      </c>
      <c r="BC37" s="2" t="s">
        <v>296</v>
      </c>
      <c r="BD37" s="2" t="s">
        <v>187</v>
      </c>
      <c r="BE37" s="2" t="s">
        <v>187</v>
      </c>
      <c r="BF37" s="2" t="s">
        <v>193</v>
      </c>
      <c r="BG37" s="2" t="s">
        <v>194</v>
      </c>
      <c r="BH37" s="2" t="s">
        <v>297</v>
      </c>
      <c r="BI37" s="2" t="s">
        <v>333</v>
      </c>
      <c r="BL37" s="2" t="s">
        <v>197</v>
      </c>
      <c r="BM37" s="2" t="s">
        <v>198</v>
      </c>
      <c r="BN37" s="2" t="s">
        <v>199</v>
      </c>
      <c r="BO37" s="2" t="s">
        <v>188</v>
      </c>
      <c r="BQ37" s="2" t="s">
        <v>227</v>
      </c>
      <c r="BS37" s="2" t="s">
        <v>187</v>
      </c>
      <c r="BT37" s="2" t="s">
        <v>69</v>
      </c>
      <c r="BU37" s="2" t="s">
        <v>477</v>
      </c>
      <c r="BV37" s="2" t="s">
        <v>401</v>
      </c>
      <c r="BX37" s="2" t="s">
        <v>188</v>
      </c>
      <c r="BZ37" s="2" t="s">
        <v>188</v>
      </c>
      <c r="CE37" s="2">
        <v>13</v>
      </c>
      <c r="CF37" s="2">
        <v>1300</v>
      </c>
      <c r="CM37" s="2">
        <v>100</v>
      </c>
      <c r="CO37" s="2">
        <v>100</v>
      </c>
      <c r="CR37" s="2" t="s">
        <v>343</v>
      </c>
      <c r="CT37" s="2" t="s">
        <v>188</v>
      </c>
      <c r="CU37" s="2" t="s">
        <v>205</v>
      </c>
      <c r="CW37" s="2" t="s">
        <v>206</v>
      </c>
      <c r="CY37" s="2" t="s">
        <v>207</v>
      </c>
      <c r="CZ37" s="2" t="s">
        <v>207</v>
      </c>
      <c r="DA37" s="2" t="s">
        <v>300</v>
      </c>
      <c r="DB37" s="2" t="s">
        <v>300</v>
      </c>
      <c r="DC37" s="2" t="s">
        <v>430</v>
      </c>
      <c r="DD37" s="2" t="s">
        <v>430</v>
      </c>
      <c r="DE37" s="2" t="s">
        <v>300</v>
      </c>
      <c r="DF37" s="2" t="s">
        <v>300</v>
      </c>
      <c r="DG37" s="2" t="s">
        <v>430</v>
      </c>
      <c r="DH37" s="2" t="s">
        <v>430</v>
      </c>
      <c r="DI37" s="2" t="s">
        <v>430</v>
      </c>
      <c r="DL37" s="2" t="s">
        <v>188</v>
      </c>
      <c r="DM37" s="2" t="s">
        <v>188</v>
      </c>
      <c r="DP37" s="2" t="s">
        <v>203</v>
      </c>
      <c r="DT37" s="2" t="s">
        <v>203</v>
      </c>
      <c r="DU37" s="2" t="s">
        <v>203</v>
      </c>
      <c r="DV37" s="2" t="s">
        <v>203</v>
      </c>
      <c r="DW37" s="2" t="s">
        <v>203</v>
      </c>
      <c r="DX37" s="2" t="s">
        <v>203</v>
      </c>
      <c r="DY37" s="2" t="s">
        <v>203</v>
      </c>
      <c r="DZ37" s="2" t="s">
        <v>203</v>
      </c>
      <c r="EA37" s="2" t="s">
        <v>203</v>
      </c>
      <c r="EB37" s="2" t="s">
        <v>203</v>
      </c>
      <c r="EC37" s="2" t="s">
        <v>203</v>
      </c>
      <c r="EF37" s="2" t="s">
        <v>302</v>
      </c>
      <c r="EG37" s="2" t="s">
        <v>431</v>
      </c>
      <c r="EJ37" s="2" t="s">
        <v>203</v>
      </c>
      <c r="EK37" s="2" t="s">
        <v>188</v>
      </c>
      <c r="EL37" s="2" t="s">
        <v>188</v>
      </c>
      <c r="EN37" s="2" t="s">
        <v>214</v>
      </c>
      <c r="EP37" s="2" t="s">
        <v>230</v>
      </c>
      <c r="ER37" s="2" t="s">
        <v>188</v>
      </c>
      <c r="ET37" s="2" t="s">
        <v>188</v>
      </c>
      <c r="EV37" s="2" t="s">
        <v>188</v>
      </c>
      <c r="EX37" s="2" t="s">
        <v>188</v>
      </c>
      <c r="EZ37" s="2" t="s">
        <v>188</v>
      </c>
      <c r="FC37" s="2" t="s">
        <v>263</v>
      </c>
      <c r="FD37" s="2" t="s">
        <v>188</v>
      </c>
      <c r="FH37" s="2" t="s">
        <v>188</v>
      </c>
      <c r="FJ37" s="2" t="s">
        <v>188</v>
      </c>
      <c r="FK37" s="2" t="s">
        <v>188</v>
      </c>
      <c r="FR37" s="2" t="s">
        <v>433</v>
      </c>
      <c r="FT37" s="2" t="s">
        <v>219</v>
      </c>
      <c r="FU37" s="2" t="s">
        <v>219</v>
      </c>
      <c r="FV37" s="2" t="s">
        <v>219</v>
      </c>
      <c r="FW37" s="2" t="s">
        <v>219</v>
      </c>
      <c r="FZ37" s="4">
        <v>46040.701249999998</v>
      </c>
    </row>
    <row r="38" spans="1:182">
      <c r="A38" s="2" t="s">
        <v>478</v>
      </c>
      <c r="D38" s="3">
        <v>46031.329340277778</v>
      </c>
      <c r="E38" s="2" t="s">
        <v>479</v>
      </c>
      <c r="F38" s="2" t="s">
        <v>480</v>
      </c>
      <c r="G38" s="2" t="s">
        <v>179</v>
      </c>
      <c r="H38" s="2" t="s">
        <v>481</v>
      </c>
      <c r="I38" s="2" t="s">
        <v>482</v>
      </c>
      <c r="J38" s="2">
        <v>385449684</v>
      </c>
      <c r="K38" s="2" t="s">
        <v>483</v>
      </c>
      <c r="L38" s="2" t="s">
        <v>182</v>
      </c>
      <c r="M38" s="2" t="s">
        <v>183</v>
      </c>
      <c r="N38" s="2">
        <v>1995</v>
      </c>
      <c r="O38" s="2" t="s">
        <v>184</v>
      </c>
      <c r="P38" s="2" t="s">
        <v>237</v>
      </c>
      <c r="Q38" s="2" t="s">
        <v>270</v>
      </c>
      <c r="R38" s="2" t="s">
        <v>188</v>
      </c>
      <c r="S38" s="2">
        <v>11</v>
      </c>
      <c r="T38" s="2" t="s">
        <v>188</v>
      </c>
      <c r="U38" s="2" t="s">
        <v>188</v>
      </c>
      <c r="Y38" s="2">
        <v>290</v>
      </c>
      <c r="Z38" s="2">
        <v>0.83450000000000002</v>
      </c>
      <c r="AA38" s="2">
        <v>242</v>
      </c>
      <c r="AB38" s="2">
        <v>242</v>
      </c>
      <c r="AC38" s="2">
        <v>242</v>
      </c>
      <c r="AD38" s="2">
        <v>295</v>
      </c>
      <c r="AE38" s="2">
        <v>53</v>
      </c>
      <c r="AF38" s="2" t="s">
        <v>188</v>
      </c>
      <c r="AG38" s="2" t="s">
        <v>188</v>
      </c>
      <c r="AH38" s="2" t="s">
        <v>188</v>
      </c>
      <c r="AJ38" s="2" t="s">
        <v>188</v>
      </c>
      <c r="AK38" s="2" t="s">
        <v>188</v>
      </c>
      <c r="AL38" s="2" t="s">
        <v>188</v>
      </c>
      <c r="AM38" s="2" t="s">
        <v>187</v>
      </c>
      <c r="AN38" s="2" t="s">
        <v>188</v>
      </c>
      <c r="AO38" s="2" t="s">
        <v>188</v>
      </c>
      <c r="AR38" s="2">
        <v>1</v>
      </c>
      <c r="AS38" s="2">
        <v>1</v>
      </c>
      <c r="AT38" s="2">
        <v>3</v>
      </c>
      <c r="AU38" s="2" t="s">
        <v>238</v>
      </c>
      <c r="AV38" s="2" t="s">
        <v>238</v>
      </c>
      <c r="AW38" s="2" t="s">
        <v>188</v>
      </c>
      <c r="AZ38" s="2" t="s">
        <v>380</v>
      </c>
      <c r="BB38" s="2" t="s">
        <v>260</v>
      </c>
      <c r="BC38" s="2" t="s">
        <v>296</v>
      </c>
      <c r="BD38" s="2" t="s">
        <v>187</v>
      </c>
      <c r="BE38" s="2" t="s">
        <v>187</v>
      </c>
      <c r="BF38" s="2" t="s">
        <v>193</v>
      </c>
      <c r="BG38" s="2" t="s">
        <v>194</v>
      </c>
      <c r="BH38" s="2" t="s">
        <v>195</v>
      </c>
      <c r="BI38" s="2" t="s">
        <v>196</v>
      </c>
      <c r="BL38" s="2" t="s">
        <v>197</v>
      </c>
      <c r="BM38" s="2" t="s">
        <v>198</v>
      </c>
      <c r="BN38" s="2" t="s">
        <v>199</v>
      </c>
      <c r="BO38" s="2" t="s">
        <v>188</v>
      </c>
      <c r="BQ38" s="2" t="s">
        <v>227</v>
      </c>
      <c r="BS38" s="2" t="s">
        <v>188</v>
      </c>
      <c r="BT38" s="2" t="s">
        <v>484</v>
      </c>
      <c r="BV38" s="2" t="s">
        <v>485</v>
      </c>
      <c r="BX38" s="2" t="s">
        <v>187</v>
      </c>
      <c r="BY38" s="2" t="s">
        <v>486</v>
      </c>
      <c r="BZ38" s="2" t="s">
        <v>203</v>
      </c>
      <c r="CE38" s="2">
        <v>3</v>
      </c>
      <c r="CF38" s="2">
        <v>295</v>
      </c>
      <c r="CH38" s="2">
        <v>0</v>
      </c>
      <c r="CI38" s="2">
        <v>0</v>
      </c>
      <c r="CJ38" s="2">
        <v>0</v>
      </c>
      <c r="CK38" s="2">
        <v>100</v>
      </c>
      <c r="CL38" s="2">
        <v>0</v>
      </c>
      <c r="CM38" s="2">
        <v>0</v>
      </c>
      <c r="CO38" s="2">
        <v>100</v>
      </c>
      <c r="CP38" s="2">
        <v>0</v>
      </c>
      <c r="CQ38" s="2">
        <v>0</v>
      </c>
      <c r="CR38" s="2" t="s">
        <v>204</v>
      </c>
      <c r="CT38" s="2" t="s">
        <v>188</v>
      </c>
      <c r="CU38" s="2" t="s">
        <v>205</v>
      </c>
      <c r="CW38" s="2" t="s">
        <v>206</v>
      </c>
      <c r="CY38" s="2" t="s">
        <v>207</v>
      </c>
      <c r="CZ38" s="2" t="s">
        <v>207</v>
      </c>
      <c r="DA38" s="2" t="s">
        <v>300</v>
      </c>
      <c r="DB38" s="2" t="s">
        <v>300</v>
      </c>
      <c r="DC38" s="2" t="s">
        <v>299</v>
      </c>
      <c r="DD38" s="2" t="s">
        <v>299</v>
      </c>
      <c r="DE38" s="2" t="s">
        <v>300</v>
      </c>
      <c r="DF38" s="2" t="s">
        <v>300</v>
      </c>
      <c r="DG38" s="2" t="s">
        <v>273</v>
      </c>
      <c r="DH38" s="2" t="s">
        <v>207</v>
      </c>
      <c r="DI38" s="2" t="s">
        <v>207</v>
      </c>
      <c r="DL38" s="2" t="s">
        <v>187</v>
      </c>
      <c r="DM38" s="2" t="s">
        <v>187</v>
      </c>
      <c r="DN38" s="2" t="s">
        <v>187</v>
      </c>
      <c r="DO38" s="2" t="s">
        <v>188</v>
      </c>
      <c r="DP38" s="2" t="s">
        <v>209</v>
      </c>
      <c r="DQ38" s="2" t="s">
        <v>210</v>
      </c>
      <c r="DT38" s="2" t="s">
        <v>209</v>
      </c>
      <c r="DU38" s="2" t="s">
        <v>209</v>
      </c>
      <c r="DV38" s="2" t="s">
        <v>209</v>
      </c>
      <c r="DW38" s="2" t="s">
        <v>209</v>
      </c>
      <c r="DX38" s="2" t="s">
        <v>209</v>
      </c>
      <c r="DY38" s="2" t="s">
        <v>203</v>
      </c>
      <c r="DZ38" s="2" t="s">
        <v>203</v>
      </c>
      <c r="EA38" s="2" t="s">
        <v>203</v>
      </c>
      <c r="EB38" s="2" t="s">
        <v>203</v>
      </c>
      <c r="EC38" s="2" t="s">
        <v>203</v>
      </c>
      <c r="ED38" s="2" t="s">
        <v>203</v>
      </c>
      <c r="EE38" s="2">
        <v>0</v>
      </c>
      <c r="EF38" s="2" t="s">
        <v>302</v>
      </c>
      <c r="EG38" s="2" t="s">
        <v>487</v>
      </c>
      <c r="EJ38" s="2" t="s">
        <v>238</v>
      </c>
      <c r="EK38" s="2" t="s">
        <v>187</v>
      </c>
      <c r="EL38" s="2" t="s">
        <v>188</v>
      </c>
      <c r="EN38" s="2" t="s">
        <v>255</v>
      </c>
      <c r="EP38" s="2" t="s">
        <v>230</v>
      </c>
      <c r="ER38" s="2" t="s">
        <v>187</v>
      </c>
      <c r="ET38" s="2" t="s">
        <v>188</v>
      </c>
      <c r="EV38" s="2" t="s">
        <v>187</v>
      </c>
      <c r="EW38" s="2" t="s">
        <v>215</v>
      </c>
      <c r="EX38" s="2" t="s">
        <v>188</v>
      </c>
      <c r="EZ38" s="2" t="s">
        <v>188</v>
      </c>
      <c r="FC38" s="2" t="s">
        <v>216</v>
      </c>
      <c r="FD38" s="2" t="s">
        <v>188</v>
      </c>
      <c r="FH38" s="2" t="s">
        <v>188</v>
      </c>
      <c r="FJ38" s="2" t="s">
        <v>188</v>
      </c>
      <c r="FK38" s="2" t="s">
        <v>188</v>
      </c>
      <c r="FN38" s="2" t="s">
        <v>488</v>
      </c>
      <c r="FR38" s="2" t="s">
        <v>489</v>
      </c>
      <c r="FT38" s="2" t="s">
        <v>233</v>
      </c>
      <c r="FU38" s="2" t="s">
        <v>233</v>
      </c>
      <c r="FV38" s="2" t="s">
        <v>219</v>
      </c>
      <c r="FW38" s="2" t="s">
        <v>233</v>
      </c>
      <c r="FX38" s="2" t="s">
        <v>490</v>
      </c>
      <c r="FZ38" s="4">
        <v>46047.955034722225</v>
      </c>
    </row>
    <row r="39" spans="1:182">
      <c r="A39" s="2" t="s">
        <v>491</v>
      </c>
      <c r="D39" s="3">
        <v>46031.215150462958</v>
      </c>
      <c r="E39" s="2" t="s">
        <v>492</v>
      </c>
      <c r="F39" s="2" t="s">
        <v>425</v>
      </c>
      <c r="G39" s="2" t="s">
        <v>179</v>
      </c>
      <c r="H39" s="2" t="s">
        <v>426</v>
      </c>
      <c r="I39" s="2" t="s">
        <v>493</v>
      </c>
      <c r="J39" s="2">
        <v>343421849</v>
      </c>
      <c r="K39" s="2" t="s">
        <v>493</v>
      </c>
      <c r="L39" s="2" t="s">
        <v>182</v>
      </c>
      <c r="M39" s="2" t="s">
        <v>183</v>
      </c>
      <c r="N39" s="2">
        <v>1974</v>
      </c>
      <c r="O39" s="2" t="s">
        <v>184</v>
      </c>
      <c r="P39" s="2" t="s">
        <v>185</v>
      </c>
      <c r="Q39" s="2" t="s">
        <v>270</v>
      </c>
      <c r="R39" s="2" t="s">
        <v>188</v>
      </c>
      <c r="S39" s="2">
        <v>27</v>
      </c>
      <c r="T39" s="2" t="s">
        <v>188</v>
      </c>
      <c r="U39" s="2" t="s">
        <v>188</v>
      </c>
      <c r="Y39" s="2">
        <v>250</v>
      </c>
      <c r="Z39" s="2">
        <v>1</v>
      </c>
      <c r="AA39" s="2">
        <v>250</v>
      </c>
      <c r="AB39" s="2">
        <v>220</v>
      </c>
      <c r="AC39" s="2">
        <v>210</v>
      </c>
      <c r="AD39" s="2">
        <v>250</v>
      </c>
      <c r="AE39" s="2">
        <v>40</v>
      </c>
      <c r="AF39" s="2" t="s">
        <v>187</v>
      </c>
      <c r="AG39" s="2" t="s">
        <v>188</v>
      </c>
      <c r="AH39" s="2" t="s">
        <v>188</v>
      </c>
      <c r="AJ39" s="2" t="s">
        <v>188</v>
      </c>
      <c r="AK39" s="2" t="s">
        <v>187</v>
      </c>
      <c r="AL39" s="2" t="s">
        <v>188</v>
      </c>
      <c r="AM39" s="2" t="s">
        <v>188</v>
      </c>
      <c r="AN39" s="2" t="s">
        <v>188</v>
      </c>
      <c r="AO39" s="2" t="s">
        <v>188</v>
      </c>
      <c r="AR39" s="2">
        <v>0.9</v>
      </c>
      <c r="AS39" s="2">
        <v>1</v>
      </c>
      <c r="AT39" s="2">
        <v>2.5</v>
      </c>
      <c r="AU39" s="2" t="s">
        <v>203</v>
      </c>
      <c r="AV39" s="2" t="s">
        <v>203</v>
      </c>
      <c r="AW39" s="2" t="s">
        <v>188</v>
      </c>
      <c r="AZ39" s="2" t="s">
        <v>357</v>
      </c>
      <c r="BB39" s="2" t="s">
        <v>260</v>
      </c>
      <c r="BC39" s="2" t="s">
        <v>192</v>
      </c>
      <c r="BD39" s="2" t="s">
        <v>188</v>
      </c>
      <c r="BE39" s="2" t="s">
        <v>188</v>
      </c>
      <c r="BL39" s="2" t="s">
        <v>240</v>
      </c>
      <c r="BO39" s="2" t="s">
        <v>188</v>
      </c>
      <c r="BQ39" s="2" t="s">
        <v>200</v>
      </c>
      <c r="BS39" s="2" t="s">
        <v>187</v>
      </c>
      <c r="BT39" s="2" t="s">
        <v>69</v>
      </c>
      <c r="BU39" s="2" t="s">
        <v>494</v>
      </c>
      <c r="BV39" s="2" t="s">
        <v>495</v>
      </c>
      <c r="BX39" s="2" t="s">
        <v>188</v>
      </c>
      <c r="BZ39" s="2" t="s">
        <v>188</v>
      </c>
      <c r="CE39" s="2">
        <v>2.5</v>
      </c>
      <c r="CF39" s="2">
        <v>250</v>
      </c>
      <c r="CK39" s="2">
        <v>50</v>
      </c>
      <c r="CM39" s="2">
        <v>50</v>
      </c>
      <c r="CO39" s="2">
        <v>100</v>
      </c>
      <c r="CR39" s="2" t="s">
        <v>204</v>
      </c>
      <c r="CT39" s="2" t="s">
        <v>188</v>
      </c>
      <c r="CU39" s="2" t="s">
        <v>205</v>
      </c>
      <c r="CW39" s="2" t="s">
        <v>206</v>
      </c>
      <c r="CY39" s="2" t="s">
        <v>300</v>
      </c>
      <c r="CZ39" s="2" t="s">
        <v>300</v>
      </c>
      <c r="DA39" s="2" t="s">
        <v>300</v>
      </c>
      <c r="DB39" s="2" t="s">
        <v>300</v>
      </c>
      <c r="DC39" s="2" t="s">
        <v>430</v>
      </c>
      <c r="DD39" s="2" t="s">
        <v>430</v>
      </c>
      <c r="DE39" s="2" t="s">
        <v>300</v>
      </c>
      <c r="DF39" s="2" t="s">
        <v>430</v>
      </c>
      <c r="DG39" s="2" t="s">
        <v>300</v>
      </c>
      <c r="DH39" s="2" t="s">
        <v>430</v>
      </c>
      <c r="DI39" s="2" t="s">
        <v>430</v>
      </c>
      <c r="DL39" s="2" t="s">
        <v>188</v>
      </c>
      <c r="DM39" s="2" t="s">
        <v>188</v>
      </c>
      <c r="DP39" s="2" t="s">
        <v>188</v>
      </c>
      <c r="DT39" s="2" t="s">
        <v>203</v>
      </c>
      <c r="DU39" s="2" t="s">
        <v>203</v>
      </c>
      <c r="DV39" s="2" t="s">
        <v>203</v>
      </c>
      <c r="DW39" s="2" t="s">
        <v>203</v>
      </c>
      <c r="DX39" s="2" t="s">
        <v>203</v>
      </c>
      <c r="DY39" s="2" t="s">
        <v>203</v>
      </c>
      <c r="DZ39" s="2" t="s">
        <v>203</v>
      </c>
      <c r="EA39" s="2" t="s">
        <v>203</v>
      </c>
      <c r="EB39" s="2" t="s">
        <v>203</v>
      </c>
      <c r="EC39" s="2" t="s">
        <v>203</v>
      </c>
      <c r="EF39" s="2" t="s">
        <v>496</v>
      </c>
      <c r="EG39" s="2" t="s">
        <v>497</v>
      </c>
      <c r="EJ39" s="2" t="s">
        <v>203</v>
      </c>
      <c r="EK39" s="2" t="s">
        <v>188</v>
      </c>
      <c r="EL39" s="2" t="s">
        <v>188</v>
      </c>
      <c r="EN39" s="2" t="s">
        <v>255</v>
      </c>
      <c r="EP39" s="2" t="s">
        <v>230</v>
      </c>
      <c r="ER39" s="2" t="s">
        <v>188</v>
      </c>
      <c r="ET39" s="2" t="s">
        <v>188</v>
      </c>
      <c r="EV39" s="2" t="s">
        <v>188</v>
      </c>
      <c r="EX39" s="2" t="s">
        <v>188</v>
      </c>
      <c r="EZ39" s="2" t="s">
        <v>188</v>
      </c>
      <c r="FC39" s="2" t="s">
        <v>395</v>
      </c>
      <c r="FD39" s="2" t="s">
        <v>188</v>
      </c>
      <c r="FH39" s="2" t="s">
        <v>188</v>
      </c>
      <c r="FJ39" s="2" t="s">
        <v>188</v>
      </c>
      <c r="FK39" s="2" t="s">
        <v>203</v>
      </c>
      <c r="FR39" s="2" t="s">
        <v>498</v>
      </c>
      <c r="FT39" s="2" t="s">
        <v>219</v>
      </c>
      <c r="FU39" s="2" t="s">
        <v>233</v>
      </c>
      <c r="FV39" s="2" t="s">
        <v>219</v>
      </c>
      <c r="FW39" s="2" t="s">
        <v>233</v>
      </c>
      <c r="FZ39" s="4">
        <v>46040.710057870368</v>
      </c>
    </row>
    <row r="40" spans="1:182" s="25" customFormat="1">
      <c r="A40" s="2" t="s">
        <v>499</v>
      </c>
      <c r="B40"/>
      <c r="C40"/>
      <c r="D40" s="3">
        <v>46031.231527777782</v>
      </c>
      <c r="E40" s="2" t="s">
        <v>500</v>
      </c>
      <c r="F40" s="2" t="s">
        <v>425</v>
      </c>
      <c r="G40" s="2" t="s">
        <v>179</v>
      </c>
      <c r="H40" s="2" t="s">
        <v>426</v>
      </c>
      <c r="I40" s="2" t="s">
        <v>501</v>
      </c>
      <c r="J40" s="2">
        <v>336274537</v>
      </c>
      <c r="K40" s="2" t="s">
        <v>501</v>
      </c>
      <c r="L40" s="2" t="s">
        <v>182</v>
      </c>
      <c r="M40" s="2" t="s">
        <v>183</v>
      </c>
      <c r="N40" s="2">
        <v>1976</v>
      </c>
      <c r="O40" s="2" t="s">
        <v>184</v>
      </c>
      <c r="P40" s="2" t="s">
        <v>185</v>
      </c>
      <c r="Q40" s="2" t="s">
        <v>270</v>
      </c>
      <c r="R40" s="2" t="s">
        <v>188</v>
      </c>
      <c r="S40" s="2">
        <v>20</v>
      </c>
      <c r="T40" s="2" t="s">
        <v>188</v>
      </c>
      <c r="U40" s="2" t="s">
        <v>188</v>
      </c>
      <c r="V40"/>
      <c r="W40"/>
      <c r="X40"/>
      <c r="Y40" s="2">
        <v>270</v>
      </c>
      <c r="Z40" s="2">
        <v>1</v>
      </c>
      <c r="AA40" s="2">
        <v>270</v>
      </c>
      <c r="AB40" s="2">
        <v>270</v>
      </c>
      <c r="AC40" s="2">
        <v>260</v>
      </c>
      <c r="AD40" s="2">
        <v>300</v>
      </c>
      <c r="AE40" s="2">
        <v>40</v>
      </c>
      <c r="AF40" s="2" t="s">
        <v>187</v>
      </c>
      <c r="AG40" s="2" t="s">
        <v>188</v>
      </c>
      <c r="AH40" s="2" t="s">
        <v>188</v>
      </c>
      <c r="AI40"/>
      <c r="AJ40" s="2" t="s">
        <v>188</v>
      </c>
      <c r="AK40" s="2" t="s">
        <v>188</v>
      </c>
      <c r="AL40" s="2" t="s">
        <v>188</v>
      </c>
      <c r="AM40" s="2" t="s">
        <v>188</v>
      </c>
      <c r="AN40" s="2" t="s">
        <v>188</v>
      </c>
      <c r="AO40" s="2" t="s">
        <v>188</v>
      </c>
      <c r="AP40"/>
      <c r="AQ40"/>
      <c r="AR40" s="2">
        <v>0.89</v>
      </c>
      <c r="AS40" s="2">
        <v>3</v>
      </c>
      <c r="AT40" s="2">
        <v>3</v>
      </c>
      <c r="AU40" s="2" t="s">
        <v>238</v>
      </c>
      <c r="AV40" s="2" t="s">
        <v>238</v>
      </c>
      <c r="AW40" s="2" t="s">
        <v>188</v>
      </c>
      <c r="AX40"/>
      <c r="AY40"/>
      <c r="AZ40" s="2" t="s">
        <v>190</v>
      </c>
      <c r="BA40"/>
      <c r="BB40" s="2" t="s">
        <v>260</v>
      </c>
      <c r="BC40" s="2" t="s">
        <v>296</v>
      </c>
      <c r="BD40" s="2" t="s">
        <v>187</v>
      </c>
      <c r="BE40" s="2" t="s">
        <v>187</v>
      </c>
      <c r="BF40" s="2" t="s">
        <v>193</v>
      </c>
      <c r="BG40" s="2" t="s">
        <v>194</v>
      </c>
      <c r="BH40" s="2" t="s">
        <v>195</v>
      </c>
      <c r="BI40" s="2" t="s">
        <v>333</v>
      </c>
      <c r="BJ40"/>
      <c r="BK40"/>
      <c r="BL40" s="2" t="s">
        <v>240</v>
      </c>
      <c r="BM40"/>
      <c r="BN40"/>
      <c r="BO40" s="2" t="s">
        <v>341</v>
      </c>
      <c r="BP40" s="2" t="s">
        <v>342</v>
      </c>
      <c r="BQ40"/>
      <c r="BR40"/>
      <c r="BS40" s="2" t="s">
        <v>187</v>
      </c>
      <c r="BT40" s="2" t="s">
        <v>69</v>
      </c>
      <c r="BU40" s="2" t="s">
        <v>342</v>
      </c>
      <c r="BV40" s="2" t="s">
        <v>502</v>
      </c>
      <c r="BW40"/>
      <c r="BX40" s="2" t="s">
        <v>188</v>
      </c>
      <c r="BY40"/>
      <c r="BZ40" s="2" t="s">
        <v>188</v>
      </c>
      <c r="CA40"/>
      <c r="CB40"/>
      <c r="CC40"/>
      <c r="CD40"/>
      <c r="CE40" s="2">
        <v>3</v>
      </c>
      <c r="CF40" s="2">
        <v>300</v>
      </c>
      <c r="CG40"/>
      <c r="CH40"/>
      <c r="CI40"/>
      <c r="CJ40"/>
      <c r="CK40"/>
      <c r="CL40"/>
      <c r="CM40" s="2">
        <v>100</v>
      </c>
      <c r="CN40"/>
      <c r="CO40" s="2">
        <v>100</v>
      </c>
      <c r="CP40"/>
      <c r="CQ40"/>
      <c r="CR40" s="2" t="s">
        <v>204</v>
      </c>
      <c r="CS40"/>
      <c r="CT40" s="2" t="s">
        <v>188</v>
      </c>
      <c r="CU40" s="2" t="s">
        <v>205</v>
      </c>
      <c r="CV40"/>
      <c r="CW40" s="2" t="s">
        <v>206</v>
      </c>
      <c r="CX40"/>
      <c r="CY40" s="2" t="s">
        <v>207</v>
      </c>
      <c r="CZ40" s="2" t="s">
        <v>207</v>
      </c>
      <c r="DA40" s="2" t="s">
        <v>300</v>
      </c>
      <c r="DB40" s="2" t="s">
        <v>300</v>
      </c>
      <c r="DC40" s="2" t="s">
        <v>300</v>
      </c>
      <c r="DD40" s="2" t="s">
        <v>300</v>
      </c>
      <c r="DE40" s="2" t="s">
        <v>300</v>
      </c>
      <c r="DF40" s="2" t="s">
        <v>300</v>
      </c>
      <c r="DG40" s="2" t="s">
        <v>300</v>
      </c>
      <c r="DH40" s="2" t="s">
        <v>300</v>
      </c>
      <c r="DI40" s="2" t="s">
        <v>300</v>
      </c>
      <c r="DJ40"/>
      <c r="DK40"/>
      <c r="DL40" s="2" t="s">
        <v>188</v>
      </c>
      <c r="DM40" s="2" t="s">
        <v>188</v>
      </c>
      <c r="DN40"/>
      <c r="DO40"/>
      <c r="DP40" s="2" t="s">
        <v>203</v>
      </c>
      <c r="DQ40"/>
      <c r="DR40"/>
      <c r="DS40"/>
      <c r="DT40" s="2" t="s">
        <v>203</v>
      </c>
      <c r="DU40" s="2" t="s">
        <v>203</v>
      </c>
      <c r="DV40" s="2" t="s">
        <v>203</v>
      </c>
      <c r="DW40" s="2" t="s">
        <v>203</v>
      </c>
      <c r="DX40" s="2" t="s">
        <v>203</v>
      </c>
      <c r="DY40" s="2" t="s">
        <v>203</v>
      </c>
      <c r="DZ40" s="2" t="s">
        <v>203</v>
      </c>
      <c r="EA40" s="2" t="s">
        <v>203</v>
      </c>
      <c r="EB40" s="2" t="s">
        <v>203</v>
      </c>
      <c r="EC40" s="2" t="s">
        <v>203</v>
      </c>
      <c r="ED40"/>
      <c r="EE40"/>
      <c r="EF40" s="2" t="s">
        <v>496</v>
      </c>
      <c r="EG40" s="2" t="s">
        <v>431</v>
      </c>
      <c r="EH40"/>
      <c r="EI40"/>
      <c r="EJ40" s="2" t="s">
        <v>203</v>
      </c>
      <c r="EK40" s="2" t="s">
        <v>188</v>
      </c>
      <c r="EL40" s="2" t="s">
        <v>188</v>
      </c>
      <c r="EM40"/>
      <c r="EN40" s="2" t="s">
        <v>255</v>
      </c>
      <c r="EO40"/>
      <c r="EP40" s="2" t="s">
        <v>230</v>
      </c>
      <c r="EQ40"/>
      <c r="ER40" s="2" t="s">
        <v>188</v>
      </c>
      <c r="ES40"/>
      <c r="ET40" s="2" t="s">
        <v>188</v>
      </c>
      <c r="EU40"/>
      <c r="EV40" s="2" t="s">
        <v>188</v>
      </c>
      <c r="EW40"/>
      <c r="EX40" s="2" t="s">
        <v>188</v>
      </c>
      <c r="EY40"/>
      <c r="EZ40" s="2" t="s">
        <v>188</v>
      </c>
      <c r="FA40"/>
      <c r="FB40"/>
      <c r="FC40" s="2" t="s">
        <v>263</v>
      </c>
      <c r="FD40" s="2" t="s">
        <v>188</v>
      </c>
      <c r="FE40"/>
      <c r="FF40"/>
      <c r="FG40"/>
      <c r="FH40" s="2" t="s">
        <v>188</v>
      </c>
      <c r="FI40"/>
      <c r="FJ40" s="2" t="s">
        <v>188</v>
      </c>
      <c r="FK40" s="2" t="s">
        <v>188</v>
      </c>
      <c r="FL40"/>
      <c r="FM40"/>
      <c r="FN40"/>
      <c r="FO40"/>
      <c r="FP40"/>
      <c r="FQ40"/>
      <c r="FR40" s="2" t="s">
        <v>433</v>
      </c>
      <c r="FS40"/>
      <c r="FT40" s="2" t="s">
        <v>219</v>
      </c>
      <c r="FU40" s="2" t="s">
        <v>233</v>
      </c>
      <c r="FV40" s="2" t="s">
        <v>233</v>
      </c>
      <c r="FW40" s="2" t="s">
        <v>233</v>
      </c>
      <c r="FX40"/>
      <c r="FY40"/>
      <c r="FZ40" s="4">
        <v>46040.719074074077</v>
      </c>
    </row>
    <row r="41" spans="1:182">
      <c r="A41" s="2" t="s">
        <v>503</v>
      </c>
      <c r="D41" s="3">
        <v>46031.317719907413</v>
      </c>
      <c r="E41" s="2" t="s">
        <v>504</v>
      </c>
      <c r="F41" s="2" t="s">
        <v>480</v>
      </c>
      <c r="G41" s="2" t="s">
        <v>179</v>
      </c>
      <c r="H41" s="2" t="s">
        <v>505</v>
      </c>
      <c r="I41" s="2" t="s">
        <v>506</v>
      </c>
      <c r="J41" s="2">
        <v>373528034</v>
      </c>
      <c r="K41" s="2" t="s">
        <v>506</v>
      </c>
      <c r="L41" s="2" t="s">
        <v>182</v>
      </c>
      <c r="M41" s="2" t="s">
        <v>183</v>
      </c>
      <c r="N41" s="2">
        <v>1992</v>
      </c>
      <c r="O41" s="2" t="s">
        <v>184</v>
      </c>
      <c r="P41" s="2" t="s">
        <v>185</v>
      </c>
      <c r="Q41" s="2" t="s">
        <v>186</v>
      </c>
      <c r="R41" s="2" t="s">
        <v>188</v>
      </c>
      <c r="S41" s="2">
        <v>14</v>
      </c>
      <c r="T41" s="2" t="s">
        <v>188</v>
      </c>
      <c r="U41" s="2" t="s">
        <v>188</v>
      </c>
      <c r="Y41" s="2">
        <v>250</v>
      </c>
      <c r="Z41" s="2">
        <v>0.94</v>
      </c>
      <c r="AA41" s="2">
        <v>235</v>
      </c>
      <c r="AB41" s="2">
        <v>235</v>
      </c>
      <c r="AC41" s="2">
        <v>235</v>
      </c>
      <c r="AD41" s="2">
        <v>295</v>
      </c>
      <c r="AE41" s="2">
        <v>60</v>
      </c>
      <c r="AF41" s="2" t="s">
        <v>188</v>
      </c>
      <c r="AG41" s="2" t="s">
        <v>188</v>
      </c>
      <c r="AH41" s="2" t="s">
        <v>188</v>
      </c>
      <c r="AJ41" s="2" t="s">
        <v>188</v>
      </c>
      <c r="AK41" s="2" t="s">
        <v>188</v>
      </c>
      <c r="AL41" s="2" t="s">
        <v>188</v>
      </c>
      <c r="AM41" s="2" t="s">
        <v>187</v>
      </c>
      <c r="AN41" s="2" t="s">
        <v>188</v>
      </c>
      <c r="AO41" s="2" t="s">
        <v>188</v>
      </c>
      <c r="AR41" s="2">
        <v>1</v>
      </c>
      <c r="AS41" s="2">
        <v>2</v>
      </c>
      <c r="AT41" s="2">
        <v>3</v>
      </c>
      <c r="AU41" s="2" t="s">
        <v>238</v>
      </c>
      <c r="AV41" s="2" t="s">
        <v>238</v>
      </c>
      <c r="AW41" s="2" t="s">
        <v>188</v>
      </c>
      <c r="AZ41" s="2" t="s">
        <v>190</v>
      </c>
      <c r="BB41" s="2" t="s">
        <v>260</v>
      </c>
      <c r="BC41" s="2" t="s">
        <v>296</v>
      </c>
      <c r="BD41" s="2" t="s">
        <v>187</v>
      </c>
      <c r="BE41" s="2" t="s">
        <v>187</v>
      </c>
      <c r="BF41" s="2" t="s">
        <v>193</v>
      </c>
      <c r="BG41" s="2" t="s">
        <v>194</v>
      </c>
      <c r="BH41" s="2" t="s">
        <v>195</v>
      </c>
      <c r="BI41" s="2" t="s">
        <v>196</v>
      </c>
      <c r="BL41" s="2" t="s">
        <v>197</v>
      </c>
      <c r="BM41" s="2" t="s">
        <v>507</v>
      </c>
      <c r="BN41" s="2" t="s">
        <v>199</v>
      </c>
      <c r="BO41" s="2" t="s">
        <v>188</v>
      </c>
      <c r="BQ41" s="2" t="s">
        <v>309</v>
      </c>
      <c r="BS41" s="2" t="s">
        <v>188</v>
      </c>
      <c r="BT41" s="2" t="s">
        <v>484</v>
      </c>
      <c r="BV41" s="2" t="s">
        <v>508</v>
      </c>
      <c r="BX41" s="2" t="s">
        <v>187</v>
      </c>
      <c r="BY41" s="2" t="s">
        <v>509</v>
      </c>
      <c r="BZ41" s="2" t="s">
        <v>209</v>
      </c>
      <c r="CA41" s="2" t="s">
        <v>510</v>
      </c>
      <c r="CE41" s="2">
        <v>3</v>
      </c>
      <c r="CF41" s="2">
        <v>295</v>
      </c>
      <c r="CM41" s="2">
        <v>100</v>
      </c>
      <c r="CO41" s="2">
        <v>100</v>
      </c>
      <c r="CP41" s="2">
        <v>0</v>
      </c>
      <c r="CQ41" s="2">
        <v>0</v>
      </c>
      <c r="CR41" s="2" t="s">
        <v>511</v>
      </c>
      <c r="CT41" s="2" t="s">
        <v>188</v>
      </c>
      <c r="CU41" s="2" t="s">
        <v>205</v>
      </c>
      <c r="CW41" s="2" t="s">
        <v>206</v>
      </c>
      <c r="CY41" s="2" t="s">
        <v>512</v>
      </c>
      <c r="CZ41" s="2" t="s">
        <v>512</v>
      </c>
      <c r="DA41" s="2" t="s">
        <v>300</v>
      </c>
      <c r="DB41" s="2" t="s">
        <v>300</v>
      </c>
      <c r="DC41" s="2" t="s">
        <v>300</v>
      </c>
      <c r="DD41" s="2" t="s">
        <v>300</v>
      </c>
      <c r="DE41" s="2" t="s">
        <v>300</v>
      </c>
      <c r="DF41" s="2" t="s">
        <v>512</v>
      </c>
      <c r="DG41" s="2" t="s">
        <v>512</v>
      </c>
      <c r="DH41" s="2" t="s">
        <v>512</v>
      </c>
      <c r="DI41" s="2" t="s">
        <v>300</v>
      </c>
      <c r="DL41" s="2" t="s">
        <v>187</v>
      </c>
      <c r="DM41" s="2" t="s">
        <v>187</v>
      </c>
      <c r="DN41" s="2" t="s">
        <v>187</v>
      </c>
      <c r="DO41" s="2" t="s">
        <v>187</v>
      </c>
      <c r="DP41" s="2" t="s">
        <v>209</v>
      </c>
      <c r="DQ41" s="2" t="s">
        <v>467</v>
      </c>
      <c r="DR41" s="2" t="s">
        <v>513</v>
      </c>
      <c r="DT41" s="2" t="s">
        <v>209</v>
      </c>
      <c r="DU41" s="2" t="s">
        <v>209</v>
      </c>
      <c r="DV41" s="2" t="s">
        <v>203</v>
      </c>
      <c r="DW41" s="2" t="s">
        <v>203</v>
      </c>
      <c r="DX41" s="2" t="s">
        <v>209</v>
      </c>
      <c r="DY41" s="2" t="s">
        <v>203</v>
      </c>
      <c r="DZ41" s="2" t="s">
        <v>203</v>
      </c>
      <c r="EA41" s="2" t="s">
        <v>203</v>
      </c>
      <c r="EB41" s="2" t="s">
        <v>209</v>
      </c>
      <c r="EC41" s="2" t="s">
        <v>203</v>
      </c>
      <c r="ED41" s="2" t="s">
        <v>203</v>
      </c>
      <c r="EF41" s="2" t="s">
        <v>189</v>
      </c>
      <c r="EG41" s="2" t="s">
        <v>514</v>
      </c>
      <c r="EJ41" s="2" t="s">
        <v>238</v>
      </c>
      <c r="EK41" s="2" t="s">
        <v>187</v>
      </c>
      <c r="EL41" s="2" t="s">
        <v>188</v>
      </c>
      <c r="EN41" s="2" t="s">
        <v>255</v>
      </c>
      <c r="EP41" s="2" t="s">
        <v>230</v>
      </c>
      <c r="ER41" s="2" t="s">
        <v>187</v>
      </c>
      <c r="ET41" s="2" t="s">
        <v>188</v>
      </c>
      <c r="EV41" s="2" t="s">
        <v>187</v>
      </c>
      <c r="EW41" s="2" t="s">
        <v>215</v>
      </c>
      <c r="EX41" s="2" t="s">
        <v>188</v>
      </c>
      <c r="EZ41" s="2" t="s">
        <v>188</v>
      </c>
      <c r="FC41" s="2" t="s">
        <v>395</v>
      </c>
      <c r="FD41" s="2" t="s">
        <v>188</v>
      </c>
      <c r="FH41" s="2" t="s">
        <v>188</v>
      </c>
      <c r="FJ41" s="2" t="s">
        <v>188</v>
      </c>
      <c r="FK41" s="2" t="s">
        <v>188</v>
      </c>
      <c r="FN41" s="2" t="s">
        <v>488</v>
      </c>
      <c r="FR41" s="2" t="s">
        <v>515</v>
      </c>
      <c r="FT41" s="2" t="s">
        <v>219</v>
      </c>
      <c r="FU41" s="2" t="s">
        <v>233</v>
      </c>
      <c r="FV41" s="2" t="s">
        <v>233</v>
      </c>
      <c r="FW41" s="2" t="s">
        <v>233</v>
      </c>
      <c r="FX41" s="2" t="s">
        <v>233</v>
      </c>
      <c r="FY41" s="2" t="s">
        <v>516</v>
      </c>
      <c r="FZ41" s="4">
        <v>46047.986701388887</v>
      </c>
    </row>
    <row r="42" spans="1:182">
      <c r="A42" s="2" t="s">
        <v>517</v>
      </c>
      <c r="D42" s="3">
        <v>46031.240312499998</v>
      </c>
      <c r="E42" s="2" t="s">
        <v>518</v>
      </c>
      <c r="F42" s="2" t="s">
        <v>425</v>
      </c>
      <c r="G42" s="2" t="s">
        <v>179</v>
      </c>
      <c r="H42" s="2" t="s">
        <v>426</v>
      </c>
      <c r="I42" s="2" t="s">
        <v>519</v>
      </c>
      <c r="J42" s="2">
        <v>868072067</v>
      </c>
      <c r="K42" s="2" t="s">
        <v>520</v>
      </c>
      <c r="L42" s="2" t="s">
        <v>182</v>
      </c>
      <c r="M42" s="2" t="s">
        <v>223</v>
      </c>
      <c r="N42" s="2">
        <v>1978</v>
      </c>
      <c r="O42" s="2" t="s">
        <v>184</v>
      </c>
      <c r="P42" s="2" t="s">
        <v>225</v>
      </c>
      <c r="Q42" s="2" t="s">
        <v>186</v>
      </c>
      <c r="R42" s="2" t="s">
        <v>188</v>
      </c>
      <c r="S42" s="2">
        <v>8</v>
      </c>
      <c r="T42" s="2" t="s">
        <v>188</v>
      </c>
      <c r="U42" s="2" t="s">
        <v>188</v>
      </c>
      <c r="Y42" s="2">
        <v>290</v>
      </c>
      <c r="Z42" s="2">
        <v>1</v>
      </c>
      <c r="AA42" s="2">
        <v>290</v>
      </c>
      <c r="AB42" s="2">
        <v>260</v>
      </c>
      <c r="AC42" s="2">
        <v>230</v>
      </c>
      <c r="AD42" s="2">
        <v>300</v>
      </c>
      <c r="AE42" s="2">
        <v>70</v>
      </c>
      <c r="AF42" s="2" t="s">
        <v>187</v>
      </c>
      <c r="AG42" s="2" t="s">
        <v>188</v>
      </c>
      <c r="AH42" s="2" t="s">
        <v>187</v>
      </c>
      <c r="AI42" s="2" t="s">
        <v>308</v>
      </c>
      <c r="AJ42" s="2" t="s">
        <v>188</v>
      </c>
      <c r="AK42" s="2" t="s">
        <v>187</v>
      </c>
      <c r="AL42" s="2" t="s">
        <v>188</v>
      </c>
      <c r="AM42" s="2" t="s">
        <v>188</v>
      </c>
      <c r="AN42" s="2" t="s">
        <v>188</v>
      </c>
      <c r="AO42" s="2" t="s">
        <v>188</v>
      </c>
      <c r="AR42" s="2">
        <v>0.8</v>
      </c>
      <c r="AS42" s="2">
        <v>2</v>
      </c>
      <c r="AT42" s="2">
        <v>3</v>
      </c>
      <c r="AU42" s="2" t="s">
        <v>203</v>
      </c>
      <c r="AV42" s="2" t="s">
        <v>203</v>
      </c>
      <c r="AW42" s="2" t="s">
        <v>188</v>
      </c>
      <c r="AZ42" s="2" t="s">
        <v>190</v>
      </c>
      <c r="BB42" s="2" t="s">
        <v>260</v>
      </c>
      <c r="BC42" s="2" t="s">
        <v>296</v>
      </c>
      <c r="BD42" s="2" t="s">
        <v>187</v>
      </c>
      <c r="BE42" s="2" t="s">
        <v>187</v>
      </c>
      <c r="BF42" s="2" t="s">
        <v>193</v>
      </c>
      <c r="BG42" s="2" t="s">
        <v>194</v>
      </c>
      <c r="BH42" s="2" t="s">
        <v>195</v>
      </c>
      <c r="BI42" s="2" t="s">
        <v>333</v>
      </c>
      <c r="BL42" s="2" t="s">
        <v>240</v>
      </c>
      <c r="BO42" s="2" t="s">
        <v>341</v>
      </c>
      <c r="BP42" s="2" t="s">
        <v>342</v>
      </c>
      <c r="BS42" s="2" t="s">
        <v>188</v>
      </c>
      <c r="BT42" s="2" t="s">
        <v>521</v>
      </c>
      <c r="BV42" s="2" t="s">
        <v>522</v>
      </c>
      <c r="BX42" s="2" t="s">
        <v>188</v>
      </c>
      <c r="BZ42" s="2" t="s">
        <v>188</v>
      </c>
      <c r="CE42" s="2">
        <v>3</v>
      </c>
      <c r="CF42" s="2">
        <v>300</v>
      </c>
      <c r="CK42" s="2">
        <v>100</v>
      </c>
      <c r="CO42" s="2">
        <v>100</v>
      </c>
      <c r="CR42" s="2" t="s">
        <v>204</v>
      </c>
      <c r="CT42" s="2" t="s">
        <v>188</v>
      </c>
      <c r="CU42" s="2" t="s">
        <v>205</v>
      </c>
      <c r="CW42" s="2" t="s">
        <v>206</v>
      </c>
      <c r="CY42" s="2" t="s">
        <v>300</v>
      </c>
      <c r="CZ42" s="2" t="s">
        <v>300</v>
      </c>
      <c r="DA42" s="2" t="s">
        <v>300</v>
      </c>
      <c r="DB42" s="2" t="s">
        <v>300</v>
      </c>
      <c r="DC42" s="2" t="s">
        <v>430</v>
      </c>
      <c r="DD42" s="2" t="s">
        <v>430</v>
      </c>
      <c r="DE42" s="2" t="s">
        <v>300</v>
      </c>
      <c r="DF42" s="2" t="s">
        <v>430</v>
      </c>
      <c r="DG42" s="2" t="s">
        <v>430</v>
      </c>
      <c r="DH42" s="2" t="s">
        <v>430</v>
      </c>
      <c r="DI42" s="2" t="s">
        <v>430</v>
      </c>
      <c r="DL42" s="2" t="s">
        <v>188</v>
      </c>
      <c r="DM42" s="2" t="s">
        <v>188</v>
      </c>
      <c r="DP42" s="2" t="s">
        <v>203</v>
      </c>
      <c r="DT42" s="2" t="s">
        <v>203</v>
      </c>
      <c r="DU42" s="2" t="s">
        <v>203</v>
      </c>
      <c r="DV42" s="2" t="s">
        <v>203</v>
      </c>
      <c r="DW42" s="2" t="s">
        <v>203</v>
      </c>
      <c r="DX42" s="2" t="s">
        <v>203</v>
      </c>
      <c r="DY42" s="2" t="s">
        <v>203</v>
      </c>
      <c r="DZ42" s="2" t="s">
        <v>203</v>
      </c>
      <c r="EA42" s="2" t="s">
        <v>203</v>
      </c>
      <c r="EB42" s="2" t="s">
        <v>203</v>
      </c>
      <c r="EC42" s="2" t="s">
        <v>203</v>
      </c>
      <c r="EF42" s="2" t="s">
        <v>302</v>
      </c>
      <c r="EG42" s="2" t="s">
        <v>431</v>
      </c>
      <c r="EJ42" s="2" t="s">
        <v>203</v>
      </c>
      <c r="EK42" s="2" t="s">
        <v>188</v>
      </c>
      <c r="EL42" s="2" t="s">
        <v>188</v>
      </c>
      <c r="EN42" s="2" t="s">
        <v>255</v>
      </c>
      <c r="EP42" s="2" t="s">
        <v>230</v>
      </c>
      <c r="ER42" s="2" t="s">
        <v>188</v>
      </c>
      <c r="ET42" s="2" t="s">
        <v>188</v>
      </c>
      <c r="EV42" s="2" t="s">
        <v>188</v>
      </c>
      <c r="EX42" s="2" t="s">
        <v>188</v>
      </c>
      <c r="EZ42" s="2" t="s">
        <v>188</v>
      </c>
      <c r="FC42" s="2" t="s">
        <v>395</v>
      </c>
      <c r="FD42" s="2" t="s">
        <v>188</v>
      </c>
      <c r="FH42" s="2" t="s">
        <v>188</v>
      </c>
      <c r="FJ42" s="2" t="s">
        <v>188</v>
      </c>
      <c r="FK42" s="2" t="s">
        <v>188</v>
      </c>
      <c r="FR42" s="2" t="s">
        <v>433</v>
      </c>
      <c r="FT42" s="2" t="s">
        <v>233</v>
      </c>
      <c r="FU42" s="2" t="s">
        <v>219</v>
      </c>
      <c r="FV42" s="2" t="s">
        <v>219</v>
      </c>
      <c r="FW42" s="2" t="s">
        <v>219</v>
      </c>
      <c r="FZ42" s="4">
        <v>46040.768449074072</v>
      </c>
    </row>
    <row r="43" spans="1:182">
      <c r="A43" s="2" t="s">
        <v>531</v>
      </c>
      <c r="D43" s="3">
        <v>46030.997743055559</v>
      </c>
      <c r="E43" s="2" t="s">
        <v>532</v>
      </c>
      <c r="F43" s="2" t="s">
        <v>425</v>
      </c>
      <c r="G43" s="2" t="s">
        <v>179</v>
      </c>
      <c r="H43" s="2" t="s">
        <v>533</v>
      </c>
      <c r="I43" s="2" t="s">
        <v>534</v>
      </c>
      <c r="J43" s="2">
        <v>355926941</v>
      </c>
      <c r="K43" s="2" t="s">
        <v>534</v>
      </c>
      <c r="L43" s="2" t="s">
        <v>269</v>
      </c>
      <c r="M43" s="2" t="s">
        <v>183</v>
      </c>
      <c r="N43" s="2">
        <v>1974</v>
      </c>
      <c r="O43" s="2" t="s">
        <v>184</v>
      </c>
      <c r="P43" s="2" t="s">
        <v>185</v>
      </c>
      <c r="Q43" s="2" t="s">
        <v>186</v>
      </c>
      <c r="R43" s="2" t="s">
        <v>188</v>
      </c>
      <c r="S43" s="2">
        <v>15</v>
      </c>
      <c r="T43" s="2" t="s">
        <v>188</v>
      </c>
      <c r="U43" s="2" t="s">
        <v>188</v>
      </c>
      <c r="Y43" s="2">
        <v>325</v>
      </c>
      <c r="Z43" s="2">
        <v>0.92310000000000003</v>
      </c>
      <c r="AA43" s="2">
        <v>300</v>
      </c>
      <c r="AB43" s="2">
        <v>300</v>
      </c>
      <c r="AC43" s="2">
        <v>290</v>
      </c>
      <c r="AD43" s="2">
        <v>350</v>
      </c>
      <c r="AE43" s="2">
        <v>60</v>
      </c>
      <c r="AF43" s="2" t="s">
        <v>187</v>
      </c>
      <c r="AG43" s="2" t="s">
        <v>188</v>
      </c>
      <c r="AH43" s="2" t="s">
        <v>188</v>
      </c>
      <c r="AJ43" s="2" t="s">
        <v>188</v>
      </c>
      <c r="AK43" s="2" t="s">
        <v>188</v>
      </c>
      <c r="AL43" s="2" t="s">
        <v>188</v>
      </c>
      <c r="AM43" s="2" t="s">
        <v>187</v>
      </c>
      <c r="AN43" s="2" t="s">
        <v>188</v>
      </c>
      <c r="AO43" s="2" t="s">
        <v>188</v>
      </c>
      <c r="AR43" s="2">
        <v>1</v>
      </c>
      <c r="AS43" s="2">
        <v>3</v>
      </c>
      <c r="AT43" s="2">
        <v>3.5</v>
      </c>
      <c r="AU43" s="2" t="s">
        <v>238</v>
      </c>
      <c r="AV43" s="2" t="s">
        <v>238</v>
      </c>
      <c r="AW43" s="2" t="s">
        <v>188</v>
      </c>
      <c r="AZ43" s="2" t="s">
        <v>357</v>
      </c>
      <c r="BB43" s="2" t="s">
        <v>260</v>
      </c>
      <c r="BC43" s="2" t="s">
        <v>192</v>
      </c>
      <c r="BD43" s="2" t="s">
        <v>188</v>
      </c>
      <c r="BE43" s="2" t="s">
        <v>188</v>
      </c>
      <c r="BL43" s="2" t="s">
        <v>197</v>
      </c>
      <c r="BM43" s="2" t="s">
        <v>198</v>
      </c>
      <c r="BN43" s="2" t="s">
        <v>199</v>
      </c>
      <c r="BO43" s="2" t="s">
        <v>341</v>
      </c>
      <c r="BP43" s="2" t="s">
        <v>342</v>
      </c>
      <c r="BQ43" s="2" t="s">
        <v>227</v>
      </c>
      <c r="BS43" s="2" t="s">
        <v>188</v>
      </c>
      <c r="BT43" s="2" t="s">
        <v>261</v>
      </c>
      <c r="BV43" s="2" t="s">
        <v>522</v>
      </c>
      <c r="BX43" s="2" t="s">
        <v>188</v>
      </c>
      <c r="BY43" s="2" t="s">
        <v>535</v>
      </c>
      <c r="BZ43" s="2" t="s">
        <v>188</v>
      </c>
      <c r="CE43" s="2">
        <v>3.5</v>
      </c>
      <c r="CF43" s="2">
        <v>350</v>
      </c>
      <c r="CK43" s="2">
        <v>100</v>
      </c>
      <c r="CO43" s="2">
        <v>100</v>
      </c>
      <c r="CR43" s="2" t="s">
        <v>204</v>
      </c>
      <c r="CT43" s="2" t="s">
        <v>188</v>
      </c>
      <c r="CU43" s="2" t="s">
        <v>205</v>
      </c>
      <c r="CW43" s="2" t="s">
        <v>206</v>
      </c>
      <c r="CY43" s="2" t="s">
        <v>300</v>
      </c>
      <c r="CZ43" s="2" t="s">
        <v>300</v>
      </c>
      <c r="DA43" s="2" t="s">
        <v>300</v>
      </c>
      <c r="DB43" s="2" t="s">
        <v>300</v>
      </c>
      <c r="DC43" s="2" t="s">
        <v>430</v>
      </c>
      <c r="DD43" s="2" t="s">
        <v>430</v>
      </c>
      <c r="DE43" s="2" t="s">
        <v>300</v>
      </c>
      <c r="DF43" s="2" t="s">
        <v>300</v>
      </c>
      <c r="DG43" s="2" t="s">
        <v>300</v>
      </c>
      <c r="DH43" s="2" t="s">
        <v>300</v>
      </c>
      <c r="DI43" s="2" t="s">
        <v>430</v>
      </c>
      <c r="DL43" s="2" t="s">
        <v>188</v>
      </c>
      <c r="DM43" s="2" t="s">
        <v>188</v>
      </c>
      <c r="DP43" s="2" t="s">
        <v>203</v>
      </c>
      <c r="DS43" s="2" t="s">
        <v>203</v>
      </c>
      <c r="DT43" s="2" t="s">
        <v>203</v>
      </c>
      <c r="DU43" s="2" t="s">
        <v>203</v>
      </c>
      <c r="DV43" s="2" t="s">
        <v>203</v>
      </c>
      <c r="DW43" s="2" t="s">
        <v>203</v>
      </c>
      <c r="DX43" s="2" t="s">
        <v>203</v>
      </c>
      <c r="DY43" s="2" t="s">
        <v>203</v>
      </c>
      <c r="DZ43" s="2" t="s">
        <v>203</v>
      </c>
      <c r="EA43" s="2" t="s">
        <v>203</v>
      </c>
      <c r="EB43" s="2" t="s">
        <v>203</v>
      </c>
      <c r="EC43" s="2" t="s">
        <v>203</v>
      </c>
      <c r="EF43" s="2" t="s">
        <v>302</v>
      </c>
      <c r="EG43" s="2" t="s">
        <v>536</v>
      </c>
      <c r="EJ43" s="2" t="s">
        <v>203</v>
      </c>
      <c r="EK43" s="2" t="s">
        <v>188</v>
      </c>
      <c r="EL43" s="2" t="s">
        <v>188</v>
      </c>
      <c r="EN43" s="2" t="s">
        <v>214</v>
      </c>
      <c r="EP43" s="2" t="s">
        <v>230</v>
      </c>
      <c r="ER43" s="2" t="s">
        <v>187</v>
      </c>
      <c r="ET43" s="2" t="s">
        <v>188</v>
      </c>
      <c r="EV43" s="2" t="s">
        <v>188</v>
      </c>
      <c r="EX43" s="2" t="s">
        <v>188</v>
      </c>
      <c r="EZ43" s="2" t="s">
        <v>187</v>
      </c>
      <c r="FA43" s="2" t="s">
        <v>537</v>
      </c>
      <c r="FB43" s="2" t="s">
        <v>215</v>
      </c>
      <c r="FC43" s="2" t="s">
        <v>263</v>
      </c>
      <c r="FD43" s="2" t="s">
        <v>188</v>
      </c>
      <c r="FH43" s="2" t="s">
        <v>188</v>
      </c>
      <c r="FI43" s="3">
        <v>0.61393518518525525</v>
      </c>
      <c r="FJ43" s="2" t="s">
        <v>188</v>
      </c>
      <c r="FK43" s="2" t="s">
        <v>188</v>
      </c>
      <c r="FN43" s="2" t="s">
        <v>291</v>
      </c>
      <c r="FO43" s="2" t="s">
        <v>538</v>
      </c>
      <c r="FR43" s="2" t="s">
        <v>539</v>
      </c>
      <c r="FT43" s="2" t="s">
        <v>219</v>
      </c>
      <c r="FU43" s="2" t="s">
        <v>219</v>
      </c>
      <c r="FV43" s="2" t="s">
        <v>219</v>
      </c>
      <c r="FW43" s="2" t="s">
        <v>233</v>
      </c>
      <c r="FX43" s="2" t="s">
        <v>233</v>
      </c>
      <c r="FY43" s="2" t="s">
        <v>540</v>
      </c>
      <c r="FZ43" s="4">
        <v>46040.646655092591</v>
      </c>
    </row>
    <row r="44" spans="1:182">
      <c r="A44" s="2" t="s">
        <v>541</v>
      </c>
      <c r="D44" s="3">
        <v>46031.048831018517</v>
      </c>
      <c r="E44" s="2" t="s">
        <v>542</v>
      </c>
      <c r="F44" s="2" t="s">
        <v>425</v>
      </c>
      <c r="G44" s="2" t="s">
        <v>179</v>
      </c>
      <c r="H44" s="2" t="s">
        <v>481</v>
      </c>
      <c r="I44" s="2" t="s">
        <v>543</v>
      </c>
      <c r="J44" s="2">
        <v>372735008</v>
      </c>
      <c r="K44" s="2" t="s">
        <v>543</v>
      </c>
      <c r="L44" s="2" t="s">
        <v>182</v>
      </c>
      <c r="M44" s="2" t="s">
        <v>183</v>
      </c>
      <c r="N44" s="2">
        <v>1987</v>
      </c>
      <c r="O44" s="2" t="s">
        <v>184</v>
      </c>
      <c r="P44" s="2" t="s">
        <v>185</v>
      </c>
      <c r="Q44" s="2" t="s">
        <v>270</v>
      </c>
      <c r="R44" s="2" t="s">
        <v>188</v>
      </c>
      <c r="S44" s="2">
        <v>12</v>
      </c>
      <c r="T44" s="2" t="s">
        <v>188</v>
      </c>
      <c r="U44" s="2" t="s">
        <v>188</v>
      </c>
      <c r="Y44" s="2">
        <v>230</v>
      </c>
      <c r="Z44" s="2">
        <v>1</v>
      </c>
      <c r="AA44" s="2">
        <v>230</v>
      </c>
      <c r="AB44" s="2">
        <v>190</v>
      </c>
      <c r="AC44" s="2">
        <v>170</v>
      </c>
      <c r="AD44" s="2">
        <v>200</v>
      </c>
      <c r="AE44" s="2">
        <v>30</v>
      </c>
      <c r="AF44" s="2" t="s">
        <v>188</v>
      </c>
      <c r="AG44" s="2" t="s">
        <v>187</v>
      </c>
      <c r="AH44" s="2" t="s">
        <v>188</v>
      </c>
      <c r="AJ44" s="2" t="s">
        <v>188</v>
      </c>
      <c r="AK44" s="2" t="s">
        <v>187</v>
      </c>
      <c r="AL44" s="2" t="s">
        <v>188</v>
      </c>
      <c r="AM44" s="2" t="s">
        <v>188</v>
      </c>
      <c r="AN44" s="2" t="s">
        <v>188</v>
      </c>
      <c r="AO44" s="2" t="s">
        <v>188</v>
      </c>
      <c r="AR44" s="2">
        <v>0.53</v>
      </c>
      <c r="AS44" s="2">
        <v>2</v>
      </c>
      <c r="AT44" s="2">
        <v>2</v>
      </c>
      <c r="AU44" s="2" t="s">
        <v>238</v>
      </c>
      <c r="AV44" s="2" t="s">
        <v>203</v>
      </c>
      <c r="AW44" s="2" t="s">
        <v>188</v>
      </c>
      <c r="AZ44" s="2" t="s">
        <v>190</v>
      </c>
      <c r="BB44" s="2" t="s">
        <v>260</v>
      </c>
      <c r="BC44" s="2" t="s">
        <v>296</v>
      </c>
      <c r="BD44" s="2" t="s">
        <v>187</v>
      </c>
      <c r="BE44" s="2" t="s">
        <v>187</v>
      </c>
      <c r="BF44" s="2" t="s">
        <v>193</v>
      </c>
      <c r="BG44" s="2" t="s">
        <v>194</v>
      </c>
      <c r="BH44" s="2" t="s">
        <v>195</v>
      </c>
      <c r="BI44" s="2" t="s">
        <v>333</v>
      </c>
      <c r="BL44" s="2" t="s">
        <v>240</v>
      </c>
      <c r="BO44" s="2" t="s">
        <v>341</v>
      </c>
      <c r="BP44" s="2" t="s">
        <v>342</v>
      </c>
      <c r="BS44" s="2" t="s">
        <v>188</v>
      </c>
      <c r="BT44" s="2" t="s">
        <v>69</v>
      </c>
      <c r="BU44" s="2" t="s">
        <v>544</v>
      </c>
      <c r="BV44" s="2" t="s">
        <v>401</v>
      </c>
      <c r="BX44" s="2" t="s">
        <v>188</v>
      </c>
      <c r="BZ44" s="2" t="s">
        <v>188</v>
      </c>
      <c r="CE44" s="2">
        <v>2</v>
      </c>
      <c r="CF44" s="2">
        <v>200</v>
      </c>
      <c r="CK44" s="2">
        <v>100</v>
      </c>
      <c r="CO44" s="2">
        <v>100</v>
      </c>
      <c r="CR44" s="2" t="s">
        <v>343</v>
      </c>
      <c r="CT44" s="2" t="s">
        <v>188</v>
      </c>
      <c r="CU44" s="2" t="s">
        <v>205</v>
      </c>
      <c r="CW44" s="2" t="s">
        <v>206</v>
      </c>
      <c r="CY44" s="2" t="s">
        <v>207</v>
      </c>
      <c r="CZ44" s="2" t="s">
        <v>207</v>
      </c>
      <c r="DA44" s="2" t="s">
        <v>300</v>
      </c>
      <c r="DB44" s="2" t="s">
        <v>300</v>
      </c>
      <c r="DC44" s="2" t="s">
        <v>300</v>
      </c>
      <c r="DD44" s="2" t="s">
        <v>430</v>
      </c>
      <c r="DE44" s="2" t="s">
        <v>300</v>
      </c>
      <c r="DF44" s="2" t="s">
        <v>300</v>
      </c>
      <c r="DG44" s="2" t="s">
        <v>300</v>
      </c>
      <c r="DH44" s="2" t="s">
        <v>430</v>
      </c>
      <c r="DI44" s="2" t="s">
        <v>430</v>
      </c>
      <c r="DL44" s="2" t="s">
        <v>188</v>
      </c>
      <c r="DM44" s="2" t="s">
        <v>188</v>
      </c>
      <c r="DP44" s="2" t="s">
        <v>188</v>
      </c>
      <c r="DT44" s="2" t="s">
        <v>203</v>
      </c>
      <c r="DU44" s="2" t="s">
        <v>203</v>
      </c>
      <c r="DV44" s="2" t="s">
        <v>203</v>
      </c>
      <c r="DW44" s="2" t="s">
        <v>203</v>
      </c>
      <c r="DX44" s="2" t="s">
        <v>203</v>
      </c>
      <c r="DY44" s="2" t="s">
        <v>203</v>
      </c>
      <c r="DZ44" s="2" t="s">
        <v>203</v>
      </c>
      <c r="EA44" s="2" t="s">
        <v>203</v>
      </c>
      <c r="EB44" s="2" t="s">
        <v>203</v>
      </c>
      <c r="EC44" s="2" t="s">
        <v>203</v>
      </c>
      <c r="EF44" s="2" t="s">
        <v>302</v>
      </c>
      <c r="EG44" s="2" t="s">
        <v>431</v>
      </c>
      <c r="EJ44" s="2" t="s">
        <v>203</v>
      </c>
      <c r="EK44" s="2" t="s">
        <v>188</v>
      </c>
      <c r="EL44" s="2" t="s">
        <v>188</v>
      </c>
      <c r="EN44" s="2" t="s">
        <v>255</v>
      </c>
      <c r="EP44" s="2" t="s">
        <v>230</v>
      </c>
      <c r="ER44" s="2" t="s">
        <v>187</v>
      </c>
      <c r="ET44" s="2" t="s">
        <v>188</v>
      </c>
      <c r="EV44" s="2" t="s">
        <v>188</v>
      </c>
      <c r="EX44" s="2" t="s">
        <v>188</v>
      </c>
      <c r="EZ44" s="2" t="s">
        <v>188</v>
      </c>
      <c r="FC44" s="2" t="s">
        <v>263</v>
      </c>
      <c r="FD44" s="2" t="s">
        <v>188</v>
      </c>
      <c r="FH44" s="2" t="s">
        <v>188</v>
      </c>
      <c r="FJ44" s="2" t="s">
        <v>188</v>
      </c>
      <c r="FK44" s="2" t="s">
        <v>188</v>
      </c>
      <c r="FR44" s="2" t="s">
        <v>545</v>
      </c>
      <c r="FT44" s="2" t="s">
        <v>233</v>
      </c>
      <c r="FU44" s="2" t="s">
        <v>233</v>
      </c>
      <c r="FV44" s="2" t="s">
        <v>219</v>
      </c>
      <c r="FW44" s="2" t="s">
        <v>219</v>
      </c>
      <c r="FZ44" s="4">
        <v>46040.669803240744</v>
      </c>
    </row>
    <row r="45" spans="1:182">
      <c r="A45" s="2" t="s">
        <v>546</v>
      </c>
      <c r="D45" s="3">
        <v>46031.028599537036</v>
      </c>
      <c r="E45" s="2" t="s">
        <v>547</v>
      </c>
      <c r="F45" s="2" t="s">
        <v>480</v>
      </c>
      <c r="G45" s="2" t="s">
        <v>179</v>
      </c>
      <c r="H45" s="2" t="s">
        <v>505</v>
      </c>
      <c r="I45" s="2" t="s">
        <v>548</v>
      </c>
      <c r="J45" s="2">
        <v>972219625</v>
      </c>
      <c r="K45" s="2" t="s">
        <v>549</v>
      </c>
      <c r="L45" s="2" t="s">
        <v>182</v>
      </c>
      <c r="M45" s="2" t="s">
        <v>183</v>
      </c>
      <c r="N45" s="2">
        <v>1985</v>
      </c>
      <c r="O45" s="2" t="s">
        <v>184</v>
      </c>
      <c r="P45" s="2" t="s">
        <v>237</v>
      </c>
      <c r="Q45" s="2" t="s">
        <v>186</v>
      </c>
      <c r="R45" s="2" t="s">
        <v>188</v>
      </c>
      <c r="S45" s="2">
        <v>11</v>
      </c>
      <c r="T45" s="2" t="s">
        <v>188</v>
      </c>
      <c r="U45" s="2" t="s">
        <v>188</v>
      </c>
      <c r="Y45" s="2">
        <v>389</v>
      </c>
      <c r="Z45" s="2">
        <v>1</v>
      </c>
      <c r="AA45" s="2">
        <v>389</v>
      </c>
      <c r="AB45" s="2">
        <v>389</v>
      </c>
      <c r="AC45" s="2">
        <v>377</v>
      </c>
      <c r="AD45" s="2">
        <v>495</v>
      </c>
      <c r="AE45" s="2">
        <v>118</v>
      </c>
      <c r="AF45" s="2" t="s">
        <v>188</v>
      </c>
      <c r="AG45" s="2" t="s">
        <v>188</v>
      </c>
      <c r="AH45" s="2" t="s">
        <v>188</v>
      </c>
      <c r="AJ45" s="2" t="s">
        <v>188</v>
      </c>
      <c r="AK45" s="2" t="s">
        <v>188</v>
      </c>
      <c r="AL45" s="2" t="s">
        <v>188</v>
      </c>
      <c r="AM45" s="2" t="s">
        <v>188</v>
      </c>
      <c r="AN45" s="2" t="s">
        <v>188</v>
      </c>
      <c r="AO45" s="2" t="s">
        <v>188</v>
      </c>
      <c r="AR45" s="2">
        <v>1.7</v>
      </c>
      <c r="AS45" s="2">
        <v>4</v>
      </c>
      <c r="AT45" s="2">
        <v>5</v>
      </c>
      <c r="AU45" s="2" t="s">
        <v>238</v>
      </c>
      <c r="AV45" s="2" t="s">
        <v>238</v>
      </c>
      <c r="AW45" s="2" t="s">
        <v>188</v>
      </c>
      <c r="AZ45" s="2" t="s">
        <v>190</v>
      </c>
      <c r="BB45" s="2" t="s">
        <v>260</v>
      </c>
      <c r="BC45" s="2" t="s">
        <v>296</v>
      </c>
      <c r="BD45" s="2" t="s">
        <v>187</v>
      </c>
      <c r="BE45" s="2" t="s">
        <v>187</v>
      </c>
      <c r="BF45" s="2" t="s">
        <v>193</v>
      </c>
      <c r="BG45" s="2" t="s">
        <v>194</v>
      </c>
      <c r="BH45" s="2" t="s">
        <v>195</v>
      </c>
      <c r="BI45" s="2" t="s">
        <v>196</v>
      </c>
      <c r="BL45" s="2" t="s">
        <v>197</v>
      </c>
      <c r="BM45" s="2" t="s">
        <v>198</v>
      </c>
      <c r="BN45" s="2" t="s">
        <v>199</v>
      </c>
      <c r="BO45" s="2" t="s">
        <v>188</v>
      </c>
      <c r="BQ45" s="2" t="s">
        <v>550</v>
      </c>
      <c r="BR45" s="2" t="s">
        <v>551</v>
      </c>
      <c r="BS45" s="2" t="s">
        <v>187</v>
      </c>
      <c r="BT45" s="2" t="s">
        <v>484</v>
      </c>
      <c r="BV45" s="2" t="s">
        <v>242</v>
      </c>
      <c r="BX45" s="2" t="s">
        <v>187</v>
      </c>
      <c r="BY45" s="2" t="s">
        <v>552</v>
      </c>
      <c r="BZ45" s="2" t="s">
        <v>209</v>
      </c>
      <c r="CA45" s="2" t="s">
        <v>553</v>
      </c>
      <c r="CE45" s="2">
        <v>5</v>
      </c>
      <c r="CF45" s="2">
        <v>495</v>
      </c>
      <c r="CK45" s="2">
        <v>100</v>
      </c>
      <c r="CO45" s="2">
        <v>100</v>
      </c>
      <c r="CR45" s="2" t="s">
        <v>511</v>
      </c>
      <c r="CT45" s="2" t="s">
        <v>188</v>
      </c>
      <c r="CU45" s="2" t="s">
        <v>205</v>
      </c>
      <c r="CW45" s="2" t="s">
        <v>206</v>
      </c>
      <c r="CY45" s="2" t="s">
        <v>273</v>
      </c>
      <c r="CZ45" s="2" t="s">
        <v>273</v>
      </c>
      <c r="DA45" s="2" t="s">
        <v>299</v>
      </c>
      <c r="DB45" s="2" t="s">
        <v>299</v>
      </c>
      <c r="DC45" s="2" t="s">
        <v>299</v>
      </c>
      <c r="DD45" s="2" t="s">
        <v>299</v>
      </c>
      <c r="DE45" s="2" t="s">
        <v>299</v>
      </c>
      <c r="DF45" s="2" t="s">
        <v>273</v>
      </c>
      <c r="DG45" s="2" t="s">
        <v>273</v>
      </c>
      <c r="DH45" s="2" t="s">
        <v>273</v>
      </c>
      <c r="DI45" s="2" t="s">
        <v>273</v>
      </c>
      <c r="DL45" s="2" t="s">
        <v>187</v>
      </c>
      <c r="DM45" s="2" t="s">
        <v>187</v>
      </c>
      <c r="DN45" s="2" t="s">
        <v>187</v>
      </c>
      <c r="DO45" s="2" t="s">
        <v>187</v>
      </c>
      <c r="DP45" s="2" t="s">
        <v>209</v>
      </c>
      <c r="DQ45" s="2" t="s">
        <v>554</v>
      </c>
      <c r="DT45" s="2" t="s">
        <v>209</v>
      </c>
      <c r="DU45" s="2" t="s">
        <v>209</v>
      </c>
      <c r="DV45" s="2" t="s">
        <v>209</v>
      </c>
      <c r="DW45" s="2" t="s">
        <v>209</v>
      </c>
      <c r="DX45" s="2" t="s">
        <v>209</v>
      </c>
      <c r="DY45" s="2" t="s">
        <v>203</v>
      </c>
      <c r="DZ45" s="2" t="s">
        <v>203</v>
      </c>
      <c r="EA45" s="2" t="s">
        <v>209</v>
      </c>
      <c r="EB45" s="2" t="s">
        <v>209</v>
      </c>
      <c r="EC45" s="2" t="s">
        <v>188</v>
      </c>
      <c r="ED45" s="2" t="s">
        <v>203</v>
      </c>
      <c r="EF45" s="2" t="s">
        <v>189</v>
      </c>
      <c r="EG45" s="2" t="s">
        <v>555</v>
      </c>
      <c r="EJ45" s="2" t="s">
        <v>238</v>
      </c>
      <c r="EK45" s="2" t="s">
        <v>187</v>
      </c>
      <c r="EL45" s="2" t="s">
        <v>188</v>
      </c>
      <c r="EN45" s="2" t="s">
        <v>214</v>
      </c>
      <c r="EP45" s="2" t="s">
        <v>230</v>
      </c>
      <c r="ER45" s="2" t="s">
        <v>187</v>
      </c>
      <c r="ET45" s="2" t="s">
        <v>188</v>
      </c>
      <c r="EV45" s="2" t="s">
        <v>187</v>
      </c>
      <c r="EW45" s="2" t="s">
        <v>215</v>
      </c>
      <c r="EX45" s="2" t="s">
        <v>188</v>
      </c>
      <c r="EZ45" s="2" t="s">
        <v>188</v>
      </c>
      <c r="FC45" s="2" t="s">
        <v>263</v>
      </c>
      <c r="FD45" s="2" t="s">
        <v>188</v>
      </c>
      <c r="FH45" s="2" t="s">
        <v>188</v>
      </c>
      <c r="FJ45" s="2" t="s">
        <v>188</v>
      </c>
      <c r="FK45" s="2" t="s">
        <v>203</v>
      </c>
      <c r="FN45" s="2" t="s">
        <v>488</v>
      </c>
      <c r="FR45" s="2" t="s">
        <v>556</v>
      </c>
      <c r="FT45" s="2" t="s">
        <v>490</v>
      </c>
      <c r="FU45" s="2" t="s">
        <v>233</v>
      </c>
      <c r="FV45" s="2" t="s">
        <v>233</v>
      </c>
      <c r="FW45" s="2" t="s">
        <v>233</v>
      </c>
      <c r="FZ45" s="4">
        <v>46049.657048611109</v>
      </c>
    </row>
    <row r="46" spans="1:182">
      <c r="A46" s="2" t="s">
        <v>557</v>
      </c>
      <c r="D46" s="3">
        <v>46031.032025462962</v>
      </c>
      <c r="E46" s="2" t="s">
        <v>558</v>
      </c>
      <c r="F46" s="2" t="s">
        <v>425</v>
      </c>
      <c r="G46" s="2" t="s">
        <v>179</v>
      </c>
      <c r="H46" s="2" t="s">
        <v>481</v>
      </c>
      <c r="I46" s="2" t="s">
        <v>559</v>
      </c>
      <c r="J46" s="2">
        <v>369766394</v>
      </c>
      <c r="K46" s="2" t="s">
        <v>560</v>
      </c>
      <c r="L46" s="2" t="s">
        <v>182</v>
      </c>
      <c r="M46" s="2" t="s">
        <v>223</v>
      </c>
      <c r="N46" s="2">
        <v>1969</v>
      </c>
      <c r="O46" s="2" t="s">
        <v>184</v>
      </c>
      <c r="P46" s="2" t="s">
        <v>225</v>
      </c>
      <c r="Q46" s="2" t="s">
        <v>270</v>
      </c>
      <c r="R46" s="2" t="s">
        <v>188</v>
      </c>
      <c r="S46" s="2">
        <v>20</v>
      </c>
      <c r="T46" s="2" t="s">
        <v>188</v>
      </c>
      <c r="U46" s="2" t="s">
        <v>188</v>
      </c>
      <c r="Y46" s="2">
        <v>80</v>
      </c>
      <c r="Z46" s="2">
        <v>1</v>
      </c>
      <c r="AA46" s="2">
        <v>80</v>
      </c>
      <c r="AB46" s="2">
        <v>80</v>
      </c>
      <c r="AC46" s="2">
        <v>70</v>
      </c>
      <c r="AD46" s="2">
        <v>110</v>
      </c>
      <c r="AE46" s="2">
        <v>40</v>
      </c>
      <c r="AF46" s="2" t="s">
        <v>187</v>
      </c>
      <c r="AG46" s="2" t="s">
        <v>188</v>
      </c>
      <c r="AH46" s="2" t="s">
        <v>188</v>
      </c>
      <c r="AJ46" s="2" t="s">
        <v>188</v>
      </c>
      <c r="AK46" s="2" t="s">
        <v>188</v>
      </c>
      <c r="AL46" s="2" t="s">
        <v>188</v>
      </c>
      <c r="AM46" s="2" t="s">
        <v>188</v>
      </c>
      <c r="AN46" s="2" t="s">
        <v>188</v>
      </c>
      <c r="AO46" s="2" t="s">
        <v>188</v>
      </c>
      <c r="AR46" s="2">
        <v>0.5</v>
      </c>
      <c r="AS46" s="2">
        <v>1</v>
      </c>
      <c r="AT46" s="2">
        <v>1</v>
      </c>
      <c r="AU46" s="2" t="s">
        <v>203</v>
      </c>
      <c r="AV46" s="2" t="s">
        <v>203</v>
      </c>
      <c r="AW46" s="2" t="s">
        <v>188</v>
      </c>
      <c r="AZ46" s="2" t="s">
        <v>561</v>
      </c>
      <c r="BB46" s="2" t="s">
        <v>191</v>
      </c>
      <c r="BC46" s="2" t="s">
        <v>296</v>
      </c>
      <c r="BD46" s="2" t="s">
        <v>188</v>
      </c>
      <c r="BE46" s="2" t="s">
        <v>187</v>
      </c>
      <c r="BF46" s="2" t="s">
        <v>193</v>
      </c>
      <c r="BG46" s="2" t="s">
        <v>194</v>
      </c>
      <c r="BH46" s="2" t="s">
        <v>297</v>
      </c>
      <c r="BI46" s="2" t="s">
        <v>196</v>
      </c>
      <c r="BL46" s="2" t="s">
        <v>240</v>
      </c>
      <c r="BO46" s="2" t="s">
        <v>341</v>
      </c>
      <c r="BP46" s="2" t="s">
        <v>342</v>
      </c>
      <c r="BS46" s="2" t="s">
        <v>188</v>
      </c>
      <c r="BT46" s="2" t="s">
        <v>521</v>
      </c>
      <c r="BV46" s="2" t="s">
        <v>495</v>
      </c>
      <c r="BX46" s="2" t="s">
        <v>188</v>
      </c>
      <c r="BZ46" s="2" t="s">
        <v>188</v>
      </c>
      <c r="CE46" s="2">
        <v>1</v>
      </c>
      <c r="CF46" s="2">
        <v>110</v>
      </c>
      <c r="CK46" s="2">
        <v>100</v>
      </c>
      <c r="CO46" s="2">
        <v>100</v>
      </c>
      <c r="CR46" s="2" t="s">
        <v>343</v>
      </c>
      <c r="CT46" s="2" t="s">
        <v>188</v>
      </c>
      <c r="CU46" s="2" t="s">
        <v>205</v>
      </c>
      <c r="CW46" s="2" t="s">
        <v>206</v>
      </c>
      <c r="CY46" s="2" t="s">
        <v>300</v>
      </c>
      <c r="CZ46" s="2" t="s">
        <v>300</v>
      </c>
      <c r="DA46" s="2" t="s">
        <v>300</v>
      </c>
      <c r="DB46" s="2" t="s">
        <v>300</v>
      </c>
      <c r="DC46" s="2" t="s">
        <v>300</v>
      </c>
      <c r="DD46" s="2" t="s">
        <v>430</v>
      </c>
      <c r="DE46" s="2" t="s">
        <v>300</v>
      </c>
      <c r="DF46" s="2" t="s">
        <v>300</v>
      </c>
      <c r="DG46" s="2" t="s">
        <v>300</v>
      </c>
      <c r="DH46" s="2" t="s">
        <v>300</v>
      </c>
      <c r="DI46" s="2" t="s">
        <v>300</v>
      </c>
      <c r="DL46" s="2" t="s">
        <v>188</v>
      </c>
      <c r="DM46" s="2" t="s">
        <v>188</v>
      </c>
      <c r="DP46" s="2" t="s">
        <v>203</v>
      </c>
      <c r="DT46" s="2" t="s">
        <v>203</v>
      </c>
      <c r="DU46" s="2" t="s">
        <v>203</v>
      </c>
      <c r="DV46" s="2" t="s">
        <v>203</v>
      </c>
      <c r="DW46" s="2" t="s">
        <v>203</v>
      </c>
      <c r="DX46" s="2" t="s">
        <v>203</v>
      </c>
      <c r="DY46" s="2" t="s">
        <v>203</v>
      </c>
      <c r="DZ46" s="2" t="s">
        <v>203</v>
      </c>
      <c r="EA46" s="2" t="s">
        <v>203</v>
      </c>
      <c r="EB46" s="2" t="s">
        <v>203</v>
      </c>
      <c r="EC46" s="2" t="s">
        <v>203</v>
      </c>
      <c r="EF46" s="2" t="s">
        <v>302</v>
      </c>
      <c r="EG46" s="2" t="s">
        <v>431</v>
      </c>
      <c r="EJ46" s="2" t="s">
        <v>203</v>
      </c>
      <c r="EK46" s="2" t="s">
        <v>188</v>
      </c>
      <c r="EL46" s="2" t="s">
        <v>188</v>
      </c>
      <c r="EN46" s="2" t="s">
        <v>255</v>
      </c>
      <c r="EP46" s="2" t="s">
        <v>230</v>
      </c>
      <c r="ER46" s="2" t="s">
        <v>188</v>
      </c>
      <c r="ET46" s="2" t="s">
        <v>188</v>
      </c>
      <c r="EV46" s="2" t="s">
        <v>188</v>
      </c>
      <c r="EX46" s="2" t="s">
        <v>188</v>
      </c>
      <c r="EZ46" s="2" t="s">
        <v>188</v>
      </c>
      <c r="FC46" s="2" t="s">
        <v>395</v>
      </c>
      <c r="FD46" s="2" t="s">
        <v>188</v>
      </c>
      <c r="FH46" s="2" t="s">
        <v>188</v>
      </c>
      <c r="FJ46" s="2" t="s">
        <v>188</v>
      </c>
      <c r="FK46" s="2" t="s">
        <v>188</v>
      </c>
      <c r="FR46" s="2" t="s">
        <v>562</v>
      </c>
      <c r="FT46" s="2" t="s">
        <v>219</v>
      </c>
      <c r="FU46" s="2" t="s">
        <v>233</v>
      </c>
      <c r="FV46" s="2" t="s">
        <v>219</v>
      </c>
      <c r="FW46" s="2" t="s">
        <v>233</v>
      </c>
      <c r="FZ46" s="4">
        <v>46040.657141203701</v>
      </c>
    </row>
    <row r="47" spans="1:182">
      <c r="A47" s="2" t="s">
        <v>563</v>
      </c>
      <c r="D47" s="3">
        <v>46030.993576388893</v>
      </c>
      <c r="E47" s="2" t="s">
        <v>564</v>
      </c>
      <c r="F47" s="2" t="s">
        <v>480</v>
      </c>
      <c r="G47" s="2" t="s">
        <v>179</v>
      </c>
      <c r="H47" s="2" t="s">
        <v>565</v>
      </c>
      <c r="I47" s="2" t="s">
        <v>566</v>
      </c>
      <c r="J47" s="2">
        <v>986284665</v>
      </c>
      <c r="K47" s="2" t="s">
        <v>566</v>
      </c>
      <c r="L47" s="2" t="s">
        <v>182</v>
      </c>
      <c r="M47" s="2" t="s">
        <v>183</v>
      </c>
      <c r="N47" s="2">
        <v>1964</v>
      </c>
      <c r="O47" s="2" t="s">
        <v>184</v>
      </c>
      <c r="P47" s="2" t="s">
        <v>185</v>
      </c>
      <c r="Q47" s="2" t="s">
        <v>186</v>
      </c>
      <c r="R47" s="2" t="s">
        <v>188</v>
      </c>
      <c r="S47" s="2">
        <v>23</v>
      </c>
      <c r="T47" s="2" t="s">
        <v>188</v>
      </c>
      <c r="U47" s="2" t="s">
        <v>188</v>
      </c>
      <c r="Y47" s="2">
        <v>312</v>
      </c>
      <c r="Z47" s="2">
        <v>0.98080000000000001</v>
      </c>
      <c r="AA47" s="2">
        <v>306</v>
      </c>
      <c r="AB47" s="2">
        <v>353</v>
      </c>
      <c r="AC47" s="2">
        <v>276</v>
      </c>
      <c r="AD47" s="2">
        <v>347</v>
      </c>
      <c r="AE47" s="2">
        <v>71</v>
      </c>
      <c r="AF47" s="2" t="s">
        <v>188</v>
      </c>
      <c r="AG47" s="2" t="s">
        <v>188</v>
      </c>
      <c r="AH47" s="2" t="s">
        <v>188</v>
      </c>
      <c r="AJ47" s="2" t="s">
        <v>188</v>
      </c>
      <c r="AK47" s="2" t="s">
        <v>187</v>
      </c>
      <c r="AL47" s="2" t="s">
        <v>188</v>
      </c>
      <c r="AM47" s="2" t="s">
        <v>187</v>
      </c>
      <c r="AN47" s="2" t="s">
        <v>188</v>
      </c>
      <c r="AO47" s="2" t="s">
        <v>188</v>
      </c>
      <c r="AR47" s="2">
        <v>1</v>
      </c>
      <c r="AS47" s="2">
        <v>2</v>
      </c>
      <c r="AT47" s="2">
        <v>3.5</v>
      </c>
      <c r="AU47" s="2" t="s">
        <v>238</v>
      </c>
      <c r="AV47" s="2" t="s">
        <v>238</v>
      </c>
      <c r="AW47" s="2" t="s">
        <v>188</v>
      </c>
      <c r="AZ47" s="2" t="s">
        <v>190</v>
      </c>
      <c r="BB47" s="2" t="s">
        <v>260</v>
      </c>
      <c r="BC47" s="2" t="s">
        <v>192</v>
      </c>
      <c r="BD47" s="2" t="s">
        <v>188</v>
      </c>
      <c r="BE47" s="2" t="s">
        <v>187</v>
      </c>
      <c r="BF47" s="2" t="s">
        <v>193</v>
      </c>
      <c r="BG47" s="2" t="s">
        <v>194</v>
      </c>
      <c r="BH47" s="2" t="s">
        <v>280</v>
      </c>
      <c r="BI47" s="2" t="s">
        <v>196</v>
      </c>
      <c r="BL47" s="2" t="s">
        <v>197</v>
      </c>
      <c r="BM47" s="2" t="s">
        <v>198</v>
      </c>
      <c r="BN47" s="2" t="s">
        <v>199</v>
      </c>
      <c r="BO47" s="2" t="s">
        <v>188</v>
      </c>
      <c r="BQ47" s="2" t="s">
        <v>227</v>
      </c>
      <c r="BS47" s="2" t="s">
        <v>187</v>
      </c>
      <c r="BT47" s="2" t="s">
        <v>484</v>
      </c>
      <c r="BV47" s="2" t="s">
        <v>567</v>
      </c>
      <c r="BX47" s="2" t="s">
        <v>187</v>
      </c>
      <c r="BY47" s="2" t="s">
        <v>568</v>
      </c>
      <c r="BZ47" s="2" t="s">
        <v>188</v>
      </c>
      <c r="CE47" s="2">
        <v>3.5</v>
      </c>
      <c r="CF47" s="2">
        <v>347</v>
      </c>
      <c r="CM47" s="2">
        <v>100</v>
      </c>
      <c r="CO47" s="2">
        <v>100</v>
      </c>
      <c r="CP47" s="2">
        <v>0</v>
      </c>
      <c r="CQ47" s="2">
        <v>0</v>
      </c>
      <c r="CR47" s="2" t="s">
        <v>204</v>
      </c>
      <c r="CT47" s="2" t="s">
        <v>188</v>
      </c>
      <c r="CU47" s="2" t="s">
        <v>205</v>
      </c>
      <c r="CW47" s="2" t="s">
        <v>206</v>
      </c>
      <c r="CY47" s="2" t="s">
        <v>207</v>
      </c>
      <c r="CZ47" s="2" t="s">
        <v>207</v>
      </c>
      <c r="DA47" s="2" t="s">
        <v>207</v>
      </c>
      <c r="DB47" s="2" t="s">
        <v>430</v>
      </c>
      <c r="DC47" s="2" t="s">
        <v>430</v>
      </c>
      <c r="DD47" s="2" t="s">
        <v>300</v>
      </c>
      <c r="DE47" s="2" t="s">
        <v>300</v>
      </c>
      <c r="DF47" s="2" t="s">
        <v>300</v>
      </c>
      <c r="DG47" s="2" t="s">
        <v>273</v>
      </c>
      <c r="DH47" s="2" t="s">
        <v>207</v>
      </c>
      <c r="DI47" s="2" t="s">
        <v>207</v>
      </c>
      <c r="DL47" s="2" t="s">
        <v>187</v>
      </c>
      <c r="DM47" s="2" t="s">
        <v>187</v>
      </c>
      <c r="DN47" s="2" t="s">
        <v>187</v>
      </c>
      <c r="DO47" s="2" t="s">
        <v>187</v>
      </c>
      <c r="DP47" s="2" t="s">
        <v>209</v>
      </c>
      <c r="DQ47" s="2" t="s">
        <v>467</v>
      </c>
      <c r="DR47" s="2" t="s">
        <v>569</v>
      </c>
      <c r="DT47" s="2" t="s">
        <v>209</v>
      </c>
      <c r="DU47" s="2" t="s">
        <v>188</v>
      </c>
      <c r="DV47" s="2" t="s">
        <v>188</v>
      </c>
      <c r="DW47" s="2" t="s">
        <v>209</v>
      </c>
      <c r="DX47" s="2" t="s">
        <v>209</v>
      </c>
      <c r="DY47" s="2" t="s">
        <v>188</v>
      </c>
      <c r="DZ47" s="2" t="s">
        <v>188</v>
      </c>
      <c r="EA47" s="2" t="s">
        <v>188</v>
      </c>
      <c r="EB47" s="2" t="s">
        <v>209</v>
      </c>
      <c r="ED47" s="2" t="s">
        <v>209</v>
      </c>
      <c r="EE47" s="2" t="s">
        <v>570</v>
      </c>
      <c r="EF47" s="2" t="s">
        <v>189</v>
      </c>
      <c r="EG47" s="2" t="s">
        <v>571</v>
      </c>
      <c r="EJ47" s="2" t="s">
        <v>238</v>
      </c>
      <c r="EK47" s="2" t="s">
        <v>188</v>
      </c>
      <c r="EL47" s="2" t="s">
        <v>188</v>
      </c>
      <c r="EN47" s="2" t="s">
        <v>214</v>
      </c>
      <c r="EP47" s="2" t="s">
        <v>230</v>
      </c>
      <c r="ER47" s="2" t="s">
        <v>187</v>
      </c>
      <c r="ET47" s="2" t="s">
        <v>188</v>
      </c>
      <c r="EV47" s="2" t="s">
        <v>187</v>
      </c>
      <c r="EW47" s="2" t="s">
        <v>215</v>
      </c>
      <c r="EX47" s="2" t="s">
        <v>188</v>
      </c>
      <c r="EZ47" s="2" t="s">
        <v>188</v>
      </c>
      <c r="FC47" s="2" t="s">
        <v>263</v>
      </c>
      <c r="FD47" s="2" t="s">
        <v>188</v>
      </c>
      <c r="FH47" s="2" t="s">
        <v>188</v>
      </c>
      <c r="FJ47" s="2" t="s">
        <v>188</v>
      </c>
      <c r="FK47" s="2" t="s">
        <v>188</v>
      </c>
      <c r="FN47" s="2" t="s">
        <v>488</v>
      </c>
      <c r="FR47" s="2" t="s">
        <v>572</v>
      </c>
      <c r="FT47" s="2" t="s">
        <v>233</v>
      </c>
      <c r="FU47" s="2" t="s">
        <v>233</v>
      </c>
      <c r="FV47" s="2" t="s">
        <v>233</v>
      </c>
      <c r="FW47" s="2" t="s">
        <v>233</v>
      </c>
      <c r="FZ47" s="4">
        <v>46049.662638888891</v>
      </c>
    </row>
    <row r="48" spans="1:182">
      <c r="A48" s="2" t="s">
        <v>573</v>
      </c>
      <c r="D48" s="3">
        <v>46031.056539351848</v>
      </c>
      <c r="E48" s="2" t="s">
        <v>574</v>
      </c>
      <c r="F48" s="2" t="s">
        <v>480</v>
      </c>
      <c r="G48" s="2" t="s">
        <v>179</v>
      </c>
      <c r="H48" s="2" t="s">
        <v>565</v>
      </c>
      <c r="I48" s="2" t="s">
        <v>575</v>
      </c>
      <c r="J48" s="2">
        <v>368534982</v>
      </c>
      <c r="K48" s="2" t="s">
        <v>576</v>
      </c>
      <c r="L48" s="2" t="s">
        <v>182</v>
      </c>
      <c r="M48" s="2" t="s">
        <v>223</v>
      </c>
      <c r="N48" s="2">
        <v>1982</v>
      </c>
      <c r="O48" s="2" t="s">
        <v>184</v>
      </c>
      <c r="P48" s="2" t="s">
        <v>225</v>
      </c>
      <c r="Q48" s="2" t="s">
        <v>270</v>
      </c>
      <c r="R48" s="2" t="s">
        <v>188</v>
      </c>
      <c r="S48" s="2">
        <v>17</v>
      </c>
      <c r="T48" s="2" t="s">
        <v>188</v>
      </c>
      <c r="U48" s="2" t="s">
        <v>188</v>
      </c>
      <c r="Y48" s="2">
        <v>584</v>
      </c>
      <c r="Z48" s="2">
        <v>1</v>
      </c>
      <c r="AA48" s="2">
        <v>584</v>
      </c>
      <c r="AB48" s="2">
        <v>524</v>
      </c>
      <c r="AC48" s="2">
        <v>524</v>
      </c>
      <c r="AD48" s="2">
        <v>594</v>
      </c>
      <c r="AE48" s="2">
        <v>70</v>
      </c>
      <c r="AF48" s="2" t="s">
        <v>188</v>
      </c>
      <c r="AG48" s="2" t="s">
        <v>188</v>
      </c>
      <c r="AH48" s="2" t="s">
        <v>188</v>
      </c>
      <c r="AJ48" s="2" t="s">
        <v>188</v>
      </c>
      <c r="AK48" s="2" t="s">
        <v>187</v>
      </c>
      <c r="AL48" s="2" t="s">
        <v>188</v>
      </c>
      <c r="AM48" s="2" t="s">
        <v>188</v>
      </c>
      <c r="AN48" s="2" t="s">
        <v>188</v>
      </c>
      <c r="AO48" s="2" t="s">
        <v>188</v>
      </c>
      <c r="AR48" s="2">
        <v>1.5</v>
      </c>
      <c r="AS48" s="2">
        <v>3</v>
      </c>
      <c r="AT48" s="2">
        <v>6</v>
      </c>
      <c r="AV48" s="2" t="s">
        <v>238</v>
      </c>
      <c r="AW48" s="2" t="s">
        <v>188</v>
      </c>
      <c r="AZ48" s="2" t="s">
        <v>190</v>
      </c>
      <c r="BB48" s="2" t="s">
        <v>260</v>
      </c>
      <c r="BC48" s="2" t="s">
        <v>296</v>
      </c>
      <c r="BD48" s="2" t="s">
        <v>187</v>
      </c>
      <c r="BE48" s="2" t="s">
        <v>187</v>
      </c>
      <c r="BF48" s="2" t="s">
        <v>193</v>
      </c>
      <c r="BG48" s="2" t="s">
        <v>194</v>
      </c>
      <c r="BH48" s="2" t="s">
        <v>195</v>
      </c>
      <c r="BI48" s="2" t="s">
        <v>196</v>
      </c>
      <c r="BL48" s="2" t="s">
        <v>197</v>
      </c>
      <c r="BM48" s="2" t="s">
        <v>198</v>
      </c>
      <c r="BN48" s="2" t="s">
        <v>199</v>
      </c>
      <c r="BO48" s="2" t="s">
        <v>188</v>
      </c>
      <c r="BQ48" s="2" t="s">
        <v>227</v>
      </c>
      <c r="BS48" s="2" t="s">
        <v>187</v>
      </c>
      <c r="BT48" s="2" t="s">
        <v>484</v>
      </c>
      <c r="BV48" s="2" t="s">
        <v>495</v>
      </c>
      <c r="BX48" s="2" t="s">
        <v>187</v>
      </c>
      <c r="BY48" s="2" t="s">
        <v>577</v>
      </c>
      <c r="BZ48" s="2" t="s">
        <v>188</v>
      </c>
      <c r="CE48" s="2">
        <v>6</v>
      </c>
      <c r="CF48" s="2">
        <v>594</v>
      </c>
      <c r="CM48" s="2">
        <v>100</v>
      </c>
      <c r="CO48" s="2">
        <v>100</v>
      </c>
      <c r="CP48" s="2">
        <v>0</v>
      </c>
      <c r="CQ48" s="2">
        <v>0</v>
      </c>
      <c r="CR48" s="2" t="s">
        <v>343</v>
      </c>
      <c r="CT48" s="2" t="s">
        <v>188</v>
      </c>
      <c r="CU48" s="2" t="s">
        <v>578</v>
      </c>
      <c r="CW48" s="2" t="s">
        <v>206</v>
      </c>
      <c r="CY48" s="2" t="s">
        <v>207</v>
      </c>
      <c r="CZ48" s="2" t="s">
        <v>273</v>
      </c>
      <c r="DA48" s="2" t="s">
        <v>300</v>
      </c>
      <c r="DB48" s="2" t="s">
        <v>300</v>
      </c>
      <c r="DC48" s="2" t="s">
        <v>430</v>
      </c>
      <c r="DD48" s="2" t="s">
        <v>430</v>
      </c>
      <c r="DE48" s="2" t="s">
        <v>300</v>
      </c>
      <c r="DF48" s="2" t="s">
        <v>207</v>
      </c>
      <c r="DG48" s="2" t="s">
        <v>273</v>
      </c>
      <c r="DH48" s="2" t="s">
        <v>207</v>
      </c>
      <c r="DI48" s="2" t="s">
        <v>273</v>
      </c>
      <c r="DL48" s="2" t="s">
        <v>187</v>
      </c>
      <c r="DM48" s="2" t="s">
        <v>187</v>
      </c>
      <c r="DN48" s="2" t="s">
        <v>187</v>
      </c>
      <c r="DO48" s="2" t="s">
        <v>187</v>
      </c>
      <c r="DP48" s="2" t="s">
        <v>209</v>
      </c>
      <c r="DQ48" s="2" t="s">
        <v>467</v>
      </c>
      <c r="DR48" s="2" t="s">
        <v>579</v>
      </c>
      <c r="DT48" s="2" t="s">
        <v>209</v>
      </c>
      <c r="DU48" s="2" t="s">
        <v>209</v>
      </c>
      <c r="DV48" s="2" t="s">
        <v>188</v>
      </c>
      <c r="DW48" s="2" t="s">
        <v>209</v>
      </c>
      <c r="DX48" s="2" t="s">
        <v>209</v>
      </c>
      <c r="DY48" s="2" t="s">
        <v>203</v>
      </c>
      <c r="DZ48" s="2" t="s">
        <v>203</v>
      </c>
      <c r="EA48" s="2" t="s">
        <v>203</v>
      </c>
      <c r="EB48" s="2" t="s">
        <v>209</v>
      </c>
      <c r="EC48" s="2" t="s">
        <v>203</v>
      </c>
      <c r="ED48" s="2" t="s">
        <v>203</v>
      </c>
      <c r="EF48" s="2" t="s">
        <v>189</v>
      </c>
      <c r="EG48" s="2" t="s">
        <v>580</v>
      </c>
      <c r="EJ48" s="2" t="s">
        <v>238</v>
      </c>
      <c r="EK48" s="2" t="s">
        <v>187</v>
      </c>
      <c r="EL48" s="2" t="s">
        <v>188</v>
      </c>
      <c r="EN48" s="2" t="s">
        <v>214</v>
      </c>
      <c r="EP48" s="2" t="s">
        <v>230</v>
      </c>
      <c r="ER48" s="2" t="s">
        <v>187</v>
      </c>
      <c r="ET48" s="2" t="s">
        <v>188</v>
      </c>
      <c r="EV48" s="2" t="s">
        <v>188</v>
      </c>
      <c r="EX48" s="2" t="s">
        <v>187</v>
      </c>
      <c r="EY48" s="2" t="s">
        <v>215</v>
      </c>
      <c r="EZ48" s="2" t="s">
        <v>188</v>
      </c>
      <c r="FC48" s="2" t="s">
        <v>263</v>
      </c>
      <c r="FD48" s="2" t="s">
        <v>188</v>
      </c>
      <c r="FH48" s="2" t="s">
        <v>188</v>
      </c>
      <c r="FJ48" s="2" t="s">
        <v>188</v>
      </c>
      <c r="FK48" s="2" t="s">
        <v>188</v>
      </c>
      <c r="FN48" s="2" t="s">
        <v>488</v>
      </c>
      <c r="FR48" s="2" t="s">
        <v>581</v>
      </c>
      <c r="FT48" s="2" t="s">
        <v>233</v>
      </c>
      <c r="FU48" s="2" t="s">
        <v>233</v>
      </c>
      <c r="FV48" s="2" t="s">
        <v>233</v>
      </c>
      <c r="FW48" s="2" t="s">
        <v>233</v>
      </c>
      <c r="FY48" s="2" t="s">
        <v>582</v>
      </c>
      <c r="FZ48" s="4">
        <v>46042.818993055553</v>
      </c>
    </row>
    <row r="49" spans="1:182">
      <c r="A49" s="2" t="s">
        <v>583</v>
      </c>
      <c r="D49" s="3">
        <v>46031.063587962963</v>
      </c>
      <c r="E49" s="2" t="s">
        <v>584</v>
      </c>
      <c r="F49" s="2" t="s">
        <v>425</v>
      </c>
      <c r="G49" s="2" t="s">
        <v>179</v>
      </c>
      <c r="H49" s="2" t="s">
        <v>533</v>
      </c>
      <c r="I49" s="2" t="s">
        <v>585</v>
      </c>
      <c r="J49" s="2">
        <v>365199645</v>
      </c>
      <c r="K49" s="2" t="s">
        <v>585</v>
      </c>
      <c r="L49" s="2" t="s">
        <v>182</v>
      </c>
      <c r="M49" s="2" t="s">
        <v>183</v>
      </c>
      <c r="N49" s="2">
        <v>1973</v>
      </c>
      <c r="O49" s="2" t="s">
        <v>184</v>
      </c>
      <c r="P49" s="2" t="s">
        <v>185</v>
      </c>
      <c r="Q49" s="2" t="s">
        <v>270</v>
      </c>
      <c r="R49" s="2" t="s">
        <v>188</v>
      </c>
      <c r="S49" s="2">
        <v>15</v>
      </c>
      <c r="T49" s="2" t="s">
        <v>188</v>
      </c>
      <c r="U49" s="2" t="s">
        <v>188</v>
      </c>
      <c r="Z49" s="2">
        <v>0</v>
      </c>
      <c r="AC49" s="2">
        <v>0</v>
      </c>
      <c r="AR49" s="2">
        <v>2</v>
      </c>
      <c r="AS49" s="2">
        <v>4</v>
      </c>
      <c r="AT49" s="2">
        <v>5</v>
      </c>
      <c r="AU49" s="2" t="s">
        <v>238</v>
      </c>
      <c r="AV49" s="2" t="s">
        <v>238</v>
      </c>
      <c r="AW49" s="2" t="s">
        <v>188</v>
      </c>
      <c r="AZ49" s="2" t="s">
        <v>190</v>
      </c>
      <c r="BB49" s="2" t="s">
        <v>332</v>
      </c>
      <c r="BC49" s="2" t="s">
        <v>253</v>
      </c>
      <c r="BD49" s="2" t="s">
        <v>188</v>
      </c>
      <c r="BE49" s="2" t="s">
        <v>187</v>
      </c>
      <c r="BF49" s="2" t="s">
        <v>193</v>
      </c>
      <c r="BG49" s="2" t="s">
        <v>194</v>
      </c>
      <c r="BH49" s="2" t="s">
        <v>195</v>
      </c>
      <c r="BI49" s="2" t="s">
        <v>333</v>
      </c>
      <c r="BL49" s="2" t="s">
        <v>240</v>
      </c>
      <c r="BO49" s="2" t="s">
        <v>341</v>
      </c>
      <c r="BP49" s="2" t="s">
        <v>342</v>
      </c>
      <c r="BS49" s="2" t="s">
        <v>187</v>
      </c>
      <c r="BT49" s="2" t="s">
        <v>69</v>
      </c>
      <c r="BU49" s="2" t="s">
        <v>586</v>
      </c>
      <c r="BV49" s="2" t="s">
        <v>587</v>
      </c>
      <c r="BX49" s="2" t="s">
        <v>188</v>
      </c>
      <c r="BZ49" s="2" t="s">
        <v>188</v>
      </c>
      <c r="CE49" s="2">
        <v>5</v>
      </c>
      <c r="CF49" s="2">
        <v>500</v>
      </c>
      <c r="CK49" s="2">
        <v>100</v>
      </c>
      <c r="CO49" s="2">
        <v>100</v>
      </c>
      <c r="CR49" s="2" t="s">
        <v>204</v>
      </c>
      <c r="CT49" s="2" t="s">
        <v>188</v>
      </c>
      <c r="CU49" s="2" t="s">
        <v>205</v>
      </c>
      <c r="CW49" s="2" t="s">
        <v>206</v>
      </c>
      <c r="CY49" s="2" t="s">
        <v>300</v>
      </c>
      <c r="CZ49" s="2" t="s">
        <v>300</v>
      </c>
      <c r="DA49" s="2" t="s">
        <v>300</v>
      </c>
      <c r="DB49" s="2" t="s">
        <v>300</v>
      </c>
      <c r="DC49" s="2" t="s">
        <v>430</v>
      </c>
      <c r="DD49" s="2" t="s">
        <v>430</v>
      </c>
      <c r="DE49" s="2" t="s">
        <v>300</v>
      </c>
      <c r="DF49" s="2" t="s">
        <v>300</v>
      </c>
      <c r="DG49" s="2" t="s">
        <v>300</v>
      </c>
      <c r="DH49" s="2" t="s">
        <v>300</v>
      </c>
      <c r="DI49" s="2" t="s">
        <v>430</v>
      </c>
      <c r="DL49" s="2" t="s">
        <v>188</v>
      </c>
      <c r="DM49" s="2" t="s">
        <v>188</v>
      </c>
      <c r="DP49" s="2" t="s">
        <v>203</v>
      </c>
      <c r="DT49" s="2" t="s">
        <v>203</v>
      </c>
      <c r="DU49" s="2" t="s">
        <v>203</v>
      </c>
      <c r="DV49" s="2" t="s">
        <v>203</v>
      </c>
      <c r="DW49" s="2" t="s">
        <v>203</v>
      </c>
      <c r="DX49" s="2" t="s">
        <v>203</v>
      </c>
      <c r="DY49" s="2" t="s">
        <v>203</v>
      </c>
      <c r="DZ49" s="2" t="s">
        <v>203</v>
      </c>
      <c r="EA49" s="2" t="s">
        <v>203</v>
      </c>
      <c r="EB49" s="2" t="s">
        <v>203</v>
      </c>
      <c r="EC49" s="2" t="s">
        <v>203</v>
      </c>
      <c r="EF49" s="2" t="s">
        <v>496</v>
      </c>
      <c r="EG49" s="2" t="s">
        <v>431</v>
      </c>
      <c r="EJ49" s="2" t="s">
        <v>203</v>
      </c>
      <c r="EK49" s="2" t="s">
        <v>188</v>
      </c>
      <c r="EL49" s="2" t="s">
        <v>188</v>
      </c>
      <c r="EN49" s="2" t="s">
        <v>214</v>
      </c>
      <c r="EP49" s="2" t="s">
        <v>230</v>
      </c>
      <c r="ER49" s="2" t="s">
        <v>188</v>
      </c>
      <c r="ET49" s="2" t="s">
        <v>188</v>
      </c>
      <c r="EV49" s="2" t="s">
        <v>188</v>
      </c>
      <c r="EX49" s="2" t="s">
        <v>188</v>
      </c>
      <c r="EZ49" s="2" t="s">
        <v>188</v>
      </c>
      <c r="FC49" s="2" t="s">
        <v>395</v>
      </c>
      <c r="FD49" s="2" t="s">
        <v>188</v>
      </c>
      <c r="FH49" s="2" t="s">
        <v>188</v>
      </c>
      <c r="FJ49" s="2" t="s">
        <v>188</v>
      </c>
      <c r="FK49" s="2" t="s">
        <v>188</v>
      </c>
      <c r="FR49" s="2" t="s">
        <v>433</v>
      </c>
      <c r="FT49" s="2" t="s">
        <v>219</v>
      </c>
      <c r="FU49" s="2" t="s">
        <v>233</v>
      </c>
      <c r="FV49" s="2" t="s">
        <v>219</v>
      </c>
      <c r="FW49" s="2" t="s">
        <v>219</v>
      </c>
      <c r="FZ49" s="4">
        <v>46040.681250000001</v>
      </c>
    </row>
    <row r="50" spans="1:182">
      <c r="A50" s="2" t="s">
        <v>588</v>
      </c>
      <c r="D50" s="3">
        <v>46031.087430555555</v>
      </c>
      <c r="E50" s="2" t="s">
        <v>589</v>
      </c>
      <c r="F50" s="2" t="s">
        <v>590</v>
      </c>
      <c r="G50" s="2" t="s">
        <v>179</v>
      </c>
      <c r="H50" s="2" t="s">
        <v>591</v>
      </c>
      <c r="I50" s="2" t="s">
        <v>592</v>
      </c>
      <c r="J50" s="2">
        <v>389466219</v>
      </c>
      <c r="K50" s="2" t="s">
        <v>593</v>
      </c>
      <c r="L50" s="2" t="s">
        <v>182</v>
      </c>
      <c r="M50" s="2" t="s">
        <v>223</v>
      </c>
      <c r="N50" s="2">
        <v>1978</v>
      </c>
      <c r="O50" s="2" t="s">
        <v>184</v>
      </c>
      <c r="P50" s="2" t="s">
        <v>225</v>
      </c>
      <c r="Q50" s="2" t="s">
        <v>270</v>
      </c>
      <c r="R50" s="2" t="s">
        <v>188</v>
      </c>
      <c r="S50" s="2">
        <v>12</v>
      </c>
      <c r="T50" s="2" t="s">
        <v>188</v>
      </c>
      <c r="U50" s="2" t="s">
        <v>188</v>
      </c>
      <c r="Y50" s="2">
        <v>830</v>
      </c>
      <c r="Z50" s="2">
        <v>0.98799999999999999</v>
      </c>
      <c r="AA50" s="2">
        <v>820</v>
      </c>
      <c r="AB50" s="2">
        <v>820</v>
      </c>
      <c r="AC50" s="2">
        <v>820</v>
      </c>
      <c r="AD50" s="2">
        <v>950</v>
      </c>
      <c r="AE50" s="2">
        <v>130</v>
      </c>
      <c r="AF50" s="2" t="s">
        <v>187</v>
      </c>
      <c r="AG50" s="2" t="s">
        <v>187</v>
      </c>
      <c r="AH50" s="2" t="s">
        <v>188</v>
      </c>
      <c r="AJ50" s="2" t="s">
        <v>188</v>
      </c>
      <c r="AK50" s="2" t="s">
        <v>187</v>
      </c>
      <c r="AL50" s="2" t="s">
        <v>188</v>
      </c>
      <c r="AM50" s="2" t="s">
        <v>188</v>
      </c>
      <c r="AN50" s="2" t="s">
        <v>188</v>
      </c>
      <c r="AO50" s="2" t="s">
        <v>188</v>
      </c>
      <c r="AR50" s="2">
        <v>2.5</v>
      </c>
      <c r="AS50" s="2">
        <v>2</v>
      </c>
      <c r="AT50" s="2">
        <v>9.6</v>
      </c>
      <c r="AU50" s="2" t="s">
        <v>238</v>
      </c>
      <c r="AV50" s="2" t="s">
        <v>238</v>
      </c>
      <c r="AW50" s="2" t="s">
        <v>188</v>
      </c>
      <c r="AZ50" s="2" t="s">
        <v>190</v>
      </c>
      <c r="BB50" s="2" t="s">
        <v>260</v>
      </c>
      <c r="BC50" s="2" t="s">
        <v>192</v>
      </c>
      <c r="BD50" s="2" t="s">
        <v>187</v>
      </c>
      <c r="BE50" s="2" t="s">
        <v>187</v>
      </c>
      <c r="BF50" s="2" t="s">
        <v>193</v>
      </c>
      <c r="BG50" s="2" t="s">
        <v>194</v>
      </c>
      <c r="BH50" s="2" t="s">
        <v>297</v>
      </c>
      <c r="BI50" s="2" t="s">
        <v>196</v>
      </c>
      <c r="BL50" s="2" t="s">
        <v>197</v>
      </c>
      <c r="BM50" s="2" t="s">
        <v>507</v>
      </c>
      <c r="BN50" s="2" t="s">
        <v>199</v>
      </c>
      <c r="BO50" s="2" t="s">
        <v>188</v>
      </c>
      <c r="BQ50" s="2" t="s">
        <v>227</v>
      </c>
      <c r="BS50" s="2" t="s">
        <v>187</v>
      </c>
      <c r="BT50" s="2" t="s">
        <v>594</v>
      </c>
      <c r="BV50" s="2" t="s">
        <v>242</v>
      </c>
      <c r="BX50" s="2" t="s">
        <v>187</v>
      </c>
      <c r="BY50" s="2" t="s">
        <v>595</v>
      </c>
      <c r="BZ50" s="2" t="s">
        <v>203</v>
      </c>
      <c r="CE50" s="2">
        <v>9.6</v>
      </c>
      <c r="CF50" s="2">
        <v>950</v>
      </c>
      <c r="CM50" s="2">
        <v>100</v>
      </c>
      <c r="CO50" s="2">
        <v>100</v>
      </c>
      <c r="CR50" s="2" t="s">
        <v>204</v>
      </c>
      <c r="CT50" s="2" t="s">
        <v>188</v>
      </c>
      <c r="CU50" s="2" t="s">
        <v>205</v>
      </c>
      <c r="CW50" s="2" t="s">
        <v>206</v>
      </c>
      <c r="CY50" s="2" t="s">
        <v>207</v>
      </c>
      <c r="CZ50" s="2" t="s">
        <v>300</v>
      </c>
      <c r="DA50" s="2" t="s">
        <v>300</v>
      </c>
      <c r="DB50" s="2" t="s">
        <v>300</v>
      </c>
      <c r="DC50" s="2" t="s">
        <v>300</v>
      </c>
      <c r="DD50" s="2" t="s">
        <v>300</v>
      </c>
      <c r="DE50" s="2" t="s">
        <v>300</v>
      </c>
      <c r="DF50" s="2" t="s">
        <v>300</v>
      </c>
      <c r="DG50" s="2" t="s">
        <v>300</v>
      </c>
      <c r="DH50" s="2" t="s">
        <v>300</v>
      </c>
      <c r="DI50" s="2" t="s">
        <v>300</v>
      </c>
      <c r="DL50" s="2" t="s">
        <v>188</v>
      </c>
      <c r="DM50" s="2" t="s">
        <v>188</v>
      </c>
      <c r="DP50" s="2" t="s">
        <v>203</v>
      </c>
      <c r="DT50" s="2" t="s">
        <v>209</v>
      </c>
      <c r="DU50" s="2" t="s">
        <v>209</v>
      </c>
      <c r="DV50" s="2" t="s">
        <v>209</v>
      </c>
      <c r="DW50" s="2" t="s">
        <v>209</v>
      </c>
      <c r="DX50" s="2" t="s">
        <v>209</v>
      </c>
      <c r="DY50" s="2" t="s">
        <v>203</v>
      </c>
      <c r="DZ50" s="2" t="s">
        <v>203</v>
      </c>
      <c r="EA50" s="2" t="s">
        <v>203</v>
      </c>
      <c r="EB50" s="2" t="s">
        <v>209</v>
      </c>
      <c r="EC50" s="2" t="s">
        <v>188</v>
      </c>
      <c r="EF50" s="2" t="s">
        <v>302</v>
      </c>
      <c r="EG50" s="2" t="s">
        <v>596</v>
      </c>
      <c r="EJ50" s="2" t="s">
        <v>238</v>
      </c>
      <c r="EK50" s="2" t="s">
        <v>187</v>
      </c>
      <c r="EL50" s="2" t="s">
        <v>187</v>
      </c>
      <c r="EM50" s="2" t="s">
        <v>597</v>
      </c>
      <c r="EN50" s="2" t="s">
        <v>255</v>
      </c>
      <c r="EP50" s="2" t="s">
        <v>230</v>
      </c>
      <c r="ER50" s="2" t="s">
        <v>188</v>
      </c>
      <c r="ET50" s="2" t="s">
        <v>188</v>
      </c>
      <c r="EV50" s="2" t="s">
        <v>188</v>
      </c>
      <c r="EX50" s="2" t="s">
        <v>188</v>
      </c>
      <c r="EZ50" s="2" t="s">
        <v>188</v>
      </c>
      <c r="FC50" s="2" t="s">
        <v>263</v>
      </c>
      <c r="FD50" s="2" t="s">
        <v>188</v>
      </c>
      <c r="FH50" s="2" t="s">
        <v>188</v>
      </c>
      <c r="FJ50" s="2" t="s">
        <v>187</v>
      </c>
      <c r="FK50" s="2" t="s">
        <v>188</v>
      </c>
      <c r="FN50" s="2" t="s">
        <v>218</v>
      </c>
      <c r="FR50" s="2" t="s">
        <v>598</v>
      </c>
      <c r="FT50" s="2" t="s">
        <v>490</v>
      </c>
      <c r="FU50" s="2" t="s">
        <v>233</v>
      </c>
      <c r="FV50" s="2" t="s">
        <v>219</v>
      </c>
      <c r="FW50" s="2" t="s">
        <v>233</v>
      </c>
      <c r="FZ50" s="4">
        <v>46047.573368055557</v>
      </c>
    </row>
    <row r="51" spans="1:182">
      <c r="A51" s="2" t="s">
        <v>599</v>
      </c>
      <c r="D51" s="3">
        <v>46031.009340277778</v>
      </c>
      <c r="E51" s="2" t="s">
        <v>600</v>
      </c>
      <c r="F51" s="2" t="s">
        <v>480</v>
      </c>
      <c r="G51" s="2" t="s">
        <v>179</v>
      </c>
      <c r="H51" s="2" t="s">
        <v>505</v>
      </c>
      <c r="I51" s="2" t="s">
        <v>601</v>
      </c>
      <c r="J51" s="2">
        <v>373188431</v>
      </c>
      <c r="K51" s="2" t="s">
        <v>602</v>
      </c>
      <c r="L51" s="2" t="s">
        <v>182</v>
      </c>
      <c r="M51" s="2" t="s">
        <v>183</v>
      </c>
      <c r="N51" s="2">
        <v>1967</v>
      </c>
      <c r="O51" s="2" t="s">
        <v>184</v>
      </c>
      <c r="P51" s="2" t="s">
        <v>185</v>
      </c>
      <c r="Q51" s="2" t="s">
        <v>603</v>
      </c>
      <c r="R51" s="2" t="s">
        <v>188</v>
      </c>
      <c r="S51" s="2">
        <v>4</v>
      </c>
      <c r="T51" s="2" t="s">
        <v>188</v>
      </c>
      <c r="U51" s="2" t="s">
        <v>187</v>
      </c>
      <c r="Y51" s="2">
        <v>109</v>
      </c>
      <c r="Z51" s="2">
        <v>0.8165</v>
      </c>
      <c r="AA51" s="2">
        <v>89</v>
      </c>
      <c r="AB51" s="2">
        <v>49</v>
      </c>
      <c r="AC51" s="2">
        <v>49</v>
      </c>
      <c r="AD51" s="2">
        <v>99</v>
      </c>
      <c r="AE51" s="2">
        <v>50</v>
      </c>
      <c r="AF51" s="2" t="s">
        <v>188</v>
      </c>
      <c r="AG51" s="2" t="s">
        <v>188</v>
      </c>
      <c r="AH51" s="2" t="s">
        <v>188</v>
      </c>
      <c r="AJ51" s="2" t="s">
        <v>188</v>
      </c>
      <c r="AK51" s="2" t="s">
        <v>187</v>
      </c>
      <c r="AM51" s="2" t="s">
        <v>187</v>
      </c>
      <c r="AN51" s="2" t="s">
        <v>188</v>
      </c>
      <c r="AO51" s="2" t="s">
        <v>188</v>
      </c>
      <c r="AR51" s="2">
        <v>0.8</v>
      </c>
      <c r="AS51" s="2">
        <v>1</v>
      </c>
      <c r="AT51" s="2">
        <v>1</v>
      </c>
      <c r="AU51" s="2" t="s">
        <v>203</v>
      </c>
      <c r="AV51" s="2" t="s">
        <v>203</v>
      </c>
      <c r="AW51" s="2" t="s">
        <v>188</v>
      </c>
      <c r="AZ51" s="2" t="s">
        <v>190</v>
      </c>
      <c r="BB51" s="2" t="s">
        <v>260</v>
      </c>
      <c r="BC51" s="2" t="s">
        <v>296</v>
      </c>
      <c r="BD51" s="2" t="s">
        <v>187</v>
      </c>
      <c r="BE51" s="2" t="s">
        <v>187</v>
      </c>
      <c r="BF51" s="2" t="s">
        <v>193</v>
      </c>
      <c r="BG51" s="2" t="s">
        <v>194</v>
      </c>
      <c r="BH51" s="2" t="s">
        <v>280</v>
      </c>
      <c r="BI51" s="2" t="s">
        <v>165</v>
      </c>
      <c r="BL51" s="2" t="s">
        <v>240</v>
      </c>
      <c r="BO51" s="2" t="s">
        <v>188</v>
      </c>
      <c r="BQ51" s="2" t="s">
        <v>227</v>
      </c>
      <c r="BS51" s="2" t="s">
        <v>188</v>
      </c>
      <c r="BT51" s="2" t="s">
        <v>261</v>
      </c>
      <c r="BV51" s="2" t="s">
        <v>604</v>
      </c>
      <c r="BX51" s="2" t="s">
        <v>187</v>
      </c>
      <c r="BY51" s="2" t="s">
        <v>605</v>
      </c>
      <c r="BZ51" s="2" t="s">
        <v>188</v>
      </c>
      <c r="CE51" s="2">
        <v>1</v>
      </c>
      <c r="CH51" s="2">
        <v>0</v>
      </c>
      <c r="CI51" s="2">
        <v>0</v>
      </c>
      <c r="CJ51" s="2">
        <v>0</v>
      </c>
      <c r="CK51" s="2">
        <v>100</v>
      </c>
      <c r="CL51" s="2">
        <v>0</v>
      </c>
      <c r="CO51" s="2">
        <v>100</v>
      </c>
      <c r="CR51" s="2" t="s">
        <v>343</v>
      </c>
      <c r="CT51" s="2" t="s">
        <v>188</v>
      </c>
      <c r="CU51" s="2" t="s">
        <v>205</v>
      </c>
      <c r="CW51" s="2" t="s">
        <v>206</v>
      </c>
      <c r="CY51" s="2" t="s">
        <v>207</v>
      </c>
      <c r="CZ51" s="2" t="s">
        <v>207</v>
      </c>
      <c r="DA51" s="2" t="s">
        <v>300</v>
      </c>
      <c r="DB51" s="2" t="s">
        <v>430</v>
      </c>
      <c r="DC51" s="2" t="s">
        <v>430</v>
      </c>
      <c r="DD51" s="2" t="s">
        <v>430</v>
      </c>
      <c r="DE51" s="2" t="s">
        <v>300</v>
      </c>
      <c r="DF51" s="2" t="s">
        <v>300</v>
      </c>
      <c r="DG51" s="2" t="s">
        <v>430</v>
      </c>
      <c r="DH51" s="2" t="s">
        <v>207</v>
      </c>
      <c r="DI51" s="2" t="s">
        <v>207</v>
      </c>
      <c r="DL51" s="2" t="s">
        <v>187</v>
      </c>
      <c r="DM51" s="2" t="s">
        <v>187</v>
      </c>
      <c r="DN51" s="2" t="s">
        <v>187</v>
      </c>
      <c r="DO51" s="2" t="s">
        <v>187</v>
      </c>
      <c r="DP51" s="2" t="s">
        <v>209</v>
      </c>
      <c r="DQ51" s="2" t="s">
        <v>210</v>
      </c>
      <c r="DT51" s="2" t="s">
        <v>209</v>
      </c>
      <c r="DU51" s="2" t="s">
        <v>209</v>
      </c>
      <c r="DV51" s="2" t="s">
        <v>209</v>
      </c>
      <c r="DW51" s="2" t="s">
        <v>209</v>
      </c>
      <c r="DX51" s="2" t="s">
        <v>209</v>
      </c>
      <c r="DY51" s="2" t="s">
        <v>209</v>
      </c>
      <c r="DZ51" s="2" t="s">
        <v>203</v>
      </c>
      <c r="EA51" s="2" t="s">
        <v>203</v>
      </c>
      <c r="EB51" s="2" t="s">
        <v>209</v>
      </c>
      <c r="EF51" s="2" t="s">
        <v>302</v>
      </c>
      <c r="EG51" s="2" t="s">
        <v>606</v>
      </c>
      <c r="EJ51" s="2" t="s">
        <v>238</v>
      </c>
      <c r="EK51" s="2" t="s">
        <v>187</v>
      </c>
      <c r="EL51" s="2" t="s">
        <v>188</v>
      </c>
      <c r="EN51" s="2" t="s">
        <v>214</v>
      </c>
      <c r="EP51" s="2" t="s">
        <v>230</v>
      </c>
      <c r="ER51" s="2" t="s">
        <v>187</v>
      </c>
      <c r="ET51" s="2" t="s">
        <v>188</v>
      </c>
      <c r="EV51" s="2" t="s">
        <v>187</v>
      </c>
      <c r="EW51" s="2" t="s">
        <v>215</v>
      </c>
      <c r="EX51" s="2" t="s">
        <v>188</v>
      </c>
      <c r="EZ51" s="2" t="s">
        <v>188</v>
      </c>
      <c r="FC51" s="2" t="s">
        <v>263</v>
      </c>
      <c r="FD51" s="2" t="s">
        <v>188</v>
      </c>
      <c r="FH51" s="2" t="s">
        <v>188</v>
      </c>
      <c r="FJ51" s="2" t="s">
        <v>188</v>
      </c>
      <c r="FK51" s="2" t="s">
        <v>188</v>
      </c>
      <c r="FN51" s="2" t="s">
        <v>488</v>
      </c>
      <c r="FR51" s="2" t="s">
        <v>607</v>
      </c>
      <c r="FT51" s="2" t="s">
        <v>490</v>
      </c>
      <c r="FU51" s="2" t="s">
        <v>233</v>
      </c>
      <c r="FV51" s="2" t="s">
        <v>233</v>
      </c>
      <c r="FW51" s="2" t="s">
        <v>233</v>
      </c>
      <c r="FZ51" s="4">
        <v>46049.671030092592</v>
      </c>
    </row>
    <row r="52" spans="1:182">
      <c r="A52" s="2" t="s">
        <v>608</v>
      </c>
      <c r="D52" s="3">
        <v>46031.199201388888</v>
      </c>
      <c r="E52" s="2" t="s">
        <v>609</v>
      </c>
      <c r="F52" s="2" t="s">
        <v>480</v>
      </c>
      <c r="G52" s="2" t="s">
        <v>179</v>
      </c>
      <c r="H52" s="2" t="s">
        <v>481</v>
      </c>
      <c r="I52" s="2" t="s">
        <v>386</v>
      </c>
      <c r="J52" s="2">
        <v>962398217</v>
      </c>
      <c r="K52" s="2" t="s">
        <v>610</v>
      </c>
      <c r="L52" s="2" t="s">
        <v>182</v>
      </c>
      <c r="M52" s="2" t="s">
        <v>223</v>
      </c>
      <c r="N52" s="2">
        <v>1991</v>
      </c>
      <c r="O52" s="2" t="s">
        <v>184</v>
      </c>
      <c r="P52" s="2" t="s">
        <v>225</v>
      </c>
      <c r="Q52" s="2" t="s">
        <v>186</v>
      </c>
      <c r="R52" s="2" t="s">
        <v>188</v>
      </c>
      <c r="S52" s="2">
        <v>16</v>
      </c>
      <c r="T52" s="2" t="s">
        <v>188</v>
      </c>
      <c r="U52" s="2" t="s">
        <v>188</v>
      </c>
      <c r="Y52" s="2">
        <v>356</v>
      </c>
      <c r="Z52" s="2">
        <v>1</v>
      </c>
      <c r="AA52" s="2">
        <v>356</v>
      </c>
      <c r="AB52" s="2">
        <v>355</v>
      </c>
      <c r="AC52" s="2">
        <v>356</v>
      </c>
      <c r="AD52" s="2">
        <v>436</v>
      </c>
      <c r="AE52" s="2">
        <v>80</v>
      </c>
      <c r="AF52" s="2" t="s">
        <v>188</v>
      </c>
      <c r="AG52" s="2" t="s">
        <v>188</v>
      </c>
      <c r="AH52" s="2" t="s">
        <v>188</v>
      </c>
      <c r="AJ52" s="2" t="s">
        <v>188</v>
      </c>
      <c r="AK52" s="2" t="s">
        <v>188</v>
      </c>
      <c r="AL52" s="2" t="s">
        <v>188</v>
      </c>
      <c r="AM52" s="2" t="s">
        <v>188</v>
      </c>
      <c r="AN52" s="2" t="s">
        <v>188</v>
      </c>
      <c r="AO52" s="2" t="s">
        <v>188</v>
      </c>
      <c r="AR52" s="2">
        <v>1.2</v>
      </c>
      <c r="AS52" s="2">
        <v>3</v>
      </c>
      <c r="AT52" s="2">
        <v>5.4</v>
      </c>
      <c r="AU52" s="2" t="s">
        <v>238</v>
      </c>
      <c r="AV52" s="2" t="s">
        <v>238</v>
      </c>
      <c r="AW52" s="2" t="s">
        <v>188</v>
      </c>
      <c r="AZ52" s="2" t="s">
        <v>357</v>
      </c>
      <c r="BB52" s="2" t="s">
        <v>191</v>
      </c>
      <c r="BC52" s="2" t="s">
        <v>192</v>
      </c>
      <c r="BD52" s="2" t="s">
        <v>188</v>
      </c>
      <c r="BE52" s="2" t="s">
        <v>187</v>
      </c>
      <c r="BF52" s="2" t="s">
        <v>193</v>
      </c>
      <c r="BG52" s="2" t="s">
        <v>194</v>
      </c>
      <c r="BH52" s="2" t="s">
        <v>195</v>
      </c>
      <c r="BI52" s="2" t="s">
        <v>196</v>
      </c>
      <c r="BL52" s="2" t="s">
        <v>197</v>
      </c>
      <c r="BM52" s="2" t="s">
        <v>198</v>
      </c>
      <c r="BN52" s="2" t="s">
        <v>199</v>
      </c>
      <c r="BO52" s="2" t="s">
        <v>188</v>
      </c>
      <c r="BQ52" s="2" t="s">
        <v>227</v>
      </c>
      <c r="BS52" s="2" t="s">
        <v>187</v>
      </c>
      <c r="BT52" s="2" t="s">
        <v>611</v>
      </c>
      <c r="BV52" s="2" t="s">
        <v>495</v>
      </c>
      <c r="BX52" s="2" t="s">
        <v>187</v>
      </c>
      <c r="BY52" s="2" t="s">
        <v>612</v>
      </c>
      <c r="BZ52" s="2" t="s">
        <v>209</v>
      </c>
      <c r="CA52" s="2" t="s">
        <v>613</v>
      </c>
      <c r="CE52" s="2">
        <v>5.4</v>
      </c>
      <c r="CF52" s="2">
        <v>436</v>
      </c>
      <c r="CK52" s="2">
        <v>100</v>
      </c>
      <c r="CO52" s="2">
        <v>100</v>
      </c>
      <c r="CR52" s="2" t="s">
        <v>204</v>
      </c>
      <c r="CT52" s="2" t="s">
        <v>188</v>
      </c>
      <c r="CU52" s="2" t="s">
        <v>205</v>
      </c>
      <c r="CW52" s="2" t="s">
        <v>206</v>
      </c>
      <c r="CY52" s="2" t="s">
        <v>273</v>
      </c>
      <c r="CZ52" s="2" t="s">
        <v>273</v>
      </c>
      <c r="DA52" s="2" t="s">
        <v>299</v>
      </c>
      <c r="DB52" s="2" t="s">
        <v>300</v>
      </c>
      <c r="DC52" s="2" t="s">
        <v>299</v>
      </c>
      <c r="DD52" s="2" t="s">
        <v>300</v>
      </c>
      <c r="DE52" s="2" t="s">
        <v>300</v>
      </c>
      <c r="DF52" s="2" t="s">
        <v>299</v>
      </c>
      <c r="DG52" s="2" t="s">
        <v>273</v>
      </c>
      <c r="DH52" s="2" t="s">
        <v>273</v>
      </c>
      <c r="DI52" s="2" t="s">
        <v>273</v>
      </c>
      <c r="DL52" s="2" t="s">
        <v>187</v>
      </c>
      <c r="DM52" s="2" t="s">
        <v>187</v>
      </c>
      <c r="DN52" s="2" t="s">
        <v>187</v>
      </c>
      <c r="DO52" s="2" t="s">
        <v>187</v>
      </c>
      <c r="DP52" s="2" t="s">
        <v>209</v>
      </c>
      <c r="DQ52" s="2" t="s">
        <v>467</v>
      </c>
      <c r="DR52" s="2" t="s">
        <v>614</v>
      </c>
      <c r="DT52" s="2" t="s">
        <v>209</v>
      </c>
      <c r="DU52" s="2" t="s">
        <v>209</v>
      </c>
      <c r="DV52" s="2" t="s">
        <v>203</v>
      </c>
      <c r="DW52" s="2" t="s">
        <v>209</v>
      </c>
      <c r="DX52" s="2" t="s">
        <v>209</v>
      </c>
      <c r="DY52" s="2" t="s">
        <v>203</v>
      </c>
      <c r="DZ52" s="2" t="s">
        <v>203</v>
      </c>
      <c r="EA52" s="2" t="s">
        <v>209</v>
      </c>
      <c r="EB52" s="2" t="s">
        <v>209</v>
      </c>
      <c r="EC52" s="2" t="s">
        <v>203</v>
      </c>
      <c r="ED52" s="2" t="s">
        <v>203</v>
      </c>
      <c r="EF52" s="2" t="s">
        <v>189</v>
      </c>
      <c r="EG52" s="2" t="s">
        <v>615</v>
      </c>
      <c r="EJ52" s="2" t="s">
        <v>238</v>
      </c>
      <c r="EK52" s="2" t="s">
        <v>187</v>
      </c>
      <c r="EL52" s="2" t="s">
        <v>188</v>
      </c>
      <c r="EN52" s="2" t="s">
        <v>214</v>
      </c>
      <c r="EP52" s="2" t="s">
        <v>230</v>
      </c>
      <c r="ER52" s="2" t="s">
        <v>187</v>
      </c>
      <c r="ET52" s="2" t="s">
        <v>188</v>
      </c>
      <c r="EV52" s="2" t="s">
        <v>187</v>
      </c>
      <c r="EW52" s="2" t="s">
        <v>215</v>
      </c>
      <c r="EX52" s="2" t="s">
        <v>188</v>
      </c>
      <c r="EZ52" s="2" t="s">
        <v>188</v>
      </c>
      <c r="FC52" s="2" t="s">
        <v>263</v>
      </c>
      <c r="FD52" s="2" t="s">
        <v>188</v>
      </c>
      <c r="FH52" s="2" t="s">
        <v>188</v>
      </c>
      <c r="FJ52" s="2" t="s">
        <v>188</v>
      </c>
      <c r="FK52" s="2" t="s">
        <v>209</v>
      </c>
      <c r="FL52" s="2" t="s">
        <v>616</v>
      </c>
      <c r="FM52" s="2" t="s">
        <v>617</v>
      </c>
      <c r="FN52" s="2" t="s">
        <v>488</v>
      </c>
      <c r="FR52" s="2" t="s">
        <v>618</v>
      </c>
      <c r="FT52" s="2" t="s">
        <v>233</v>
      </c>
      <c r="FU52" s="2" t="s">
        <v>233</v>
      </c>
      <c r="FV52" s="2" t="s">
        <v>233</v>
      </c>
      <c r="FW52" s="2" t="s">
        <v>233</v>
      </c>
      <c r="FX52" s="2" t="s">
        <v>233</v>
      </c>
      <c r="FY52" s="2" t="s">
        <v>619</v>
      </c>
      <c r="FZ52" s="4">
        <v>46042.860358796293</v>
      </c>
    </row>
    <row r="53" spans="1:182">
      <c r="A53" s="2" t="s">
        <v>620</v>
      </c>
      <c r="D53" s="3">
        <v>46031.04288194445</v>
      </c>
      <c r="E53" s="2" t="s">
        <v>621</v>
      </c>
      <c r="F53" s="2" t="s">
        <v>590</v>
      </c>
      <c r="G53" s="2" t="s">
        <v>179</v>
      </c>
      <c r="H53" s="2" t="s">
        <v>591</v>
      </c>
      <c r="I53" s="2" t="s">
        <v>622</v>
      </c>
      <c r="J53" s="2">
        <v>378354877</v>
      </c>
      <c r="K53" s="2" t="s">
        <v>622</v>
      </c>
      <c r="L53" s="2" t="s">
        <v>182</v>
      </c>
      <c r="M53" s="2" t="s">
        <v>183</v>
      </c>
      <c r="N53" s="2">
        <v>1965</v>
      </c>
      <c r="O53" s="2" t="s">
        <v>184</v>
      </c>
      <c r="P53" s="2" t="s">
        <v>185</v>
      </c>
      <c r="Q53" s="2" t="s">
        <v>186</v>
      </c>
      <c r="R53" s="2" t="s">
        <v>188</v>
      </c>
      <c r="S53" s="2">
        <v>40</v>
      </c>
      <c r="T53" s="2" t="s">
        <v>188</v>
      </c>
      <c r="U53" s="2" t="s">
        <v>188</v>
      </c>
      <c r="Y53" s="2">
        <v>150</v>
      </c>
      <c r="Z53" s="2">
        <v>1</v>
      </c>
      <c r="AA53" s="2">
        <v>150</v>
      </c>
      <c r="AB53" s="2">
        <v>150</v>
      </c>
      <c r="AC53" s="2">
        <v>150</v>
      </c>
      <c r="AD53" s="2">
        <v>220</v>
      </c>
      <c r="AE53" s="2">
        <v>70</v>
      </c>
      <c r="AF53" s="2" t="s">
        <v>188</v>
      </c>
      <c r="AG53" s="2" t="s">
        <v>188</v>
      </c>
      <c r="AH53" s="2" t="s">
        <v>188</v>
      </c>
      <c r="AJ53" s="2" t="s">
        <v>188</v>
      </c>
      <c r="AK53" s="2" t="s">
        <v>188</v>
      </c>
      <c r="AL53" s="2" t="s">
        <v>188</v>
      </c>
      <c r="AM53" s="2" t="s">
        <v>188</v>
      </c>
      <c r="AN53" s="2" t="s">
        <v>188</v>
      </c>
      <c r="AO53" s="2" t="s">
        <v>188</v>
      </c>
      <c r="AR53" s="2">
        <v>2</v>
      </c>
      <c r="AS53" s="2">
        <v>3</v>
      </c>
      <c r="AT53" s="2">
        <v>2.2000000000000002</v>
      </c>
      <c r="AU53" s="2" t="s">
        <v>203</v>
      </c>
      <c r="AV53" s="2" t="s">
        <v>238</v>
      </c>
      <c r="AW53" s="2" t="s">
        <v>188</v>
      </c>
      <c r="AZ53" s="2" t="s">
        <v>190</v>
      </c>
      <c r="BB53" s="2" t="s">
        <v>260</v>
      </c>
      <c r="BC53" s="2" t="s">
        <v>253</v>
      </c>
      <c r="BD53" s="2" t="s">
        <v>188</v>
      </c>
      <c r="BE53" s="2" t="s">
        <v>187</v>
      </c>
      <c r="BF53" s="2" t="s">
        <v>193</v>
      </c>
      <c r="BG53" s="2" t="s">
        <v>194</v>
      </c>
      <c r="BH53" s="2" t="s">
        <v>280</v>
      </c>
      <c r="BI53" s="2" t="s">
        <v>196</v>
      </c>
      <c r="BL53" s="2" t="s">
        <v>240</v>
      </c>
      <c r="BO53" s="2" t="s">
        <v>188</v>
      </c>
      <c r="BQ53" s="2" t="s">
        <v>227</v>
      </c>
      <c r="BS53" s="2" t="s">
        <v>188</v>
      </c>
      <c r="BT53" s="2" t="s">
        <v>324</v>
      </c>
      <c r="BV53" s="2" t="s">
        <v>242</v>
      </c>
      <c r="BX53" s="2" t="s">
        <v>188</v>
      </c>
      <c r="BZ53" s="2" t="s">
        <v>188</v>
      </c>
      <c r="CE53" s="2">
        <v>2.2000000000000002</v>
      </c>
      <c r="CF53" s="2">
        <v>200</v>
      </c>
      <c r="CK53" s="2">
        <v>70</v>
      </c>
      <c r="CM53" s="2">
        <v>30</v>
      </c>
      <c r="CP53" s="2">
        <v>100</v>
      </c>
      <c r="CR53" s="2" t="s">
        <v>204</v>
      </c>
      <c r="CT53" s="2" t="s">
        <v>188</v>
      </c>
      <c r="CU53" s="2" t="s">
        <v>205</v>
      </c>
      <c r="CW53" s="2" t="s">
        <v>206</v>
      </c>
      <c r="CY53" s="2" t="s">
        <v>207</v>
      </c>
      <c r="CZ53" s="2" t="s">
        <v>300</v>
      </c>
      <c r="DA53" s="2" t="s">
        <v>300</v>
      </c>
      <c r="DB53" s="2" t="s">
        <v>300</v>
      </c>
      <c r="DC53" s="2" t="s">
        <v>300</v>
      </c>
      <c r="DD53" s="2" t="s">
        <v>300</v>
      </c>
      <c r="DE53" s="2" t="s">
        <v>300</v>
      </c>
      <c r="DF53" s="2" t="s">
        <v>300</v>
      </c>
      <c r="DG53" s="2" t="s">
        <v>300</v>
      </c>
      <c r="DH53" s="2" t="s">
        <v>300</v>
      </c>
      <c r="DI53" s="2" t="s">
        <v>300</v>
      </c>
      <c r="DL53" s="2" t="s">
        <v>188</v>
      </c>
      <c r="DM53" s="2" t="s">
        <v>188</v>
      </c>
      <c r="DP53" s="2" t="s">
        <v>203</v>
      </c>
      <c r="DT53" s="2" t="s">
        <v>209</v>
      </c>
      <c r="DU53" s="2" t="s">
        <v>209</v>
      </c>
      <c r="DV53" s="2" t="s">
        <v>209</v>
      </c>
      <c r="DW53" s="2" t="s">
        <v>203</v>
      </c>
      <c r="DX53" s="2" t="s">
        <v>209</v>
      </c>
      <c r="DY53" s="2" t="s">
        <v>209</v>
      </c>
      <c r="DZ53" s="2" t="s">
        <v>203</v>
      </c>
      <c r="EA53" s="2" t="s">
        <v>203</v>
      </c>
      <c r="EB53" s="2" t="s">
        <v>203</v>
      </c>
      <c r="EC53" s="2" t="s">
        <v>203</v>
      </c>
      <c r="EF53" s="2" t="s">
        <v>189</v>
      </c>
      <c r="EG53" s="2" t="s">
        <v>623</v>
      </c>
      <c r="EJ53" s="2" t="s">
        <v>203</v>
      </c>
      <c r="EK53" s="2" t="s">
        <v>188</v>
      </c>
      <c r="EL53" s="2" t="s">
        <v>188</v>
      </c>
      <c r="EN53" s="2" t="s">
        <v>255</v>
      </c>
      <c r="EP53" s="2" t="s">
        <v>230</v>
      </c>
      <c r="ER53" s="2" t="s">
        <v>188</v>
      </c>
      <c r="ET53" s="2" t="s">
        <v>188</v>
      </c>
      <c r="EV53" s="2" t="s">
        <v>188</v>
      </c>
      <c r="EX53" s="2" t="s">
        <v>188</v>
      </c>
      <c r="EZ53" s="2" t="s">
        <v>188</v>
      </c>
      <c r="FC53" s="2" t="s">
        <v>216</v>
      </c>
      <c r="FD53" s="2" t="s">
        <v>188</v>
      </c>
      <c r="FH53" s="2" t="s">
        <v>188</v>
      </c>
      <c r="FJ53" s="2" t="s">
        <v>187</v>
      </c>
      <c r="FK53" s="2" t="s">
        <v>188</v>
      </c>
      <c r="FN53" s="2" t="s">
        <v>291</v>
      </c>
      <c r="FO53" s="2" t="s">
        <v>624</v>
      </c>
      <c r="FR53" s="2" t="s">
        <v>625</v>
      </c>
      <c r="FT53" s="2" t="s">
        <v>233</v>
      </c>
      <c r="FU53" s="2" t="s">
        <v>233</v>
      </c>
      <c r="FV53" s="2" t="s">
        <v>233</v>
      </c>
      <c r="FW53" s="2" t="s">
        <v>233</v>
      </c>
      <c r="FZ53" s="4">
        <v>46047.574930555558</v>
      </c>
    </row>
    <row r="54" spans="1:182">
      <c r="A54" s="2" t="s">
        <v>626</v>
      </c>
      <c r="D54" s="3">
        <v>46031.002083333333</v>
      </c>
      <c r="E54" s="2" t="s">
        <v>627</v>
      </c>
      <c r="F54" s="2" t="s">
        <v>590</v>
      </c>
      <c r="G54" s="2" t="s">
        <v>179</v>
      </c>
      <c r="H54" s="2" t="s">
        <v>591</v>
      </c>
      <c r="I54" s="2" t="s">
        <v>628</v>
      </c>
      <c r="J54" s="2">
        <v>352254809</v>
      </c>
      <c r="K54" s="2" t="s">
        <v>629</v>
      </c>
      <c r="L54" s="2" t="s">
        <v>182</v>
      </c>
      <c r="M54" s="2" t="s">
        <v>223</v>
      </c>
      <c r="N54" s="2">
        <v>1969</v>
      </c>
      <c r="O54" s="2" t="s">
        <v>184</v>
      </c>
      <c r="P54" s="2" t="s">
        <v>225</v>
      </c>
      <c r="Q54" s="2" t="s">
        <v>270</v>
      </c>
      <c r="R54" s="2" t="s">
        <v>188</v>
      </c>
      <c r="S54" s="2">
        <v>20</v>
      </c>
      <c r="T54" s="2" t="s">
        <v>188</v>
      </c>
      <c r="U54" s="2" t="s">
        <v>188</v>
      </c>
      <c r="Y54" s="2">
        <v>230</v>
      </c>
      <c r="Z54" s="2">
        <v>1</v>
      </c>
      <c r="AA54" s="2">
        <v>230</v>
      </c>
      <c r="AB54" s="2">
        <v>230</v>
      </c>
      <c r="AC54" s="2">
        <v>230</v>
      </c>
      <c r="AD54" s="2">
        <v>300</v>
      </c>
      <c r="AE54" s="2">
        <v>70</v>
      </c>
      <c r="AF54" s="2" t="s">
        <v>188</v>
      </c>
      <c r="AG54" s="2" t="s">
        <v>188</v>
      </c>
      <c r="AH54" s="2" t="s">
        <v>188</v>
      </c>
      <c r="AJ54" s="2" t="s">
        <v>188</v>
      </c>
      <c r="AK54" s="2" t="s">
        <v>188</v>
      </c>
      <c r="AL54" s="2" t="s">
        <v>188</v>
      </c>
      <c r="AM54" s="2" t="s">
        <v>188</v>
      </c>
      <c r="AN54" s="2" t="s">
        <v>188</v>
      </c>
      <c r="AO54" s="2" t="s">
        <v>188</v>
      </c>
      <c r="AR54" s="2">
        <v>1.3</v>
      </c>
      <c r="AS54" s="2">
        <v>2</v>
      </c>
      <c r="AT54" s="2">
        <v>3</v>
      </c>
      <c r="AU54" s="2" t="s">
        <v>203</v>
      </c>
      <c r="AV54" s="2" t="s">
        <v>238</v>
      </c>
      <c r="AW54" s="2" t="s">
        <v>188</v>
      </c>
      <c r="AZ54" s="2" t="s">
        <v>476</v>
      </c>
      <c r="BB54" s="2" t="s">
        <v>260</v>
      </c>
      <c r="BC54" s="2" t="s">
        <v>296</v>
      </c>
      <c r="BD54" s="2" t="s">
        <v>188</v>
      </c>
      <c r="BE54" s="2" t="s">
        <v>187</v>
      </c>
      <c r="BF54" s="2" t="s">
        <v>193</v>
      </c>
      <c r="BG54" s="2" t="s">
        <v>279</v>
      </c>
      <c r="BH54" s="2" t="s">
        <v>280</v>
      </c>
      <c r="BI54" s="2" t="s">
        <v>196</v>
      </c>
      <c r="BL54" s="2" t="s">
        <v>240</v>
      </c>
      <c r="BO54" s="2" t="s">
        <v>188</v>
      </c>
      <c r="BQ54" s="2" t="s">
        <v>227</v>
      </c>
      <c r="BS54" s="2" t="s">
        <v>188</v>
      </c>
      <c r="BT54" s="2" t="s">
        <v>521</v>
      </c>
      <c r="BV54" s="2" t="s">
        <v>630</v>
      </c>
      <c r="BX54" s="2" t="s">
        <v>187</v>
      </c>
      <c r="BY54" s="2" t="s">
        <v>631</v>
      </c>
      <c r="BZ54" s="2" t="s">
        <v>203</v>
      </c>
      <c r="CE54" s="2">
        <v>3</v>
      </c>
      <c r="CF54" s="2">
        <v>300</v>
      </c>
      <c r="CK54" s="2">
        <v>100</v>
      </c>
      <c r="CO54" s="2">
        <v>100</v>
      </c>
      <c r="CR54" s="2" t="s">
        <v>204</v>
      </c>
      <c r="CT54" s="2" t="s">
        <v>188</v>
      </c>
      <c r="CU54" s="2" t="s">
        <v>205</v>
      </c>
      <c r="CW54" s="2" t="s">
        <v>206</v>
      </c>
      <c r="CY54" s="2" t="s">
        <v>207</v>
      </c>
      <c r="CZ54" s="2" t="s">
        <v>300</v>
      </c>
      <c r="DA54" s="2" t="s">
        <v>300</v>
      </c>
      <c r="DB54" s="2" t="s">
        <v>300</v>
      </c>
      <c r="DC54" s="2" t="s">
        <v>430</v>
      </c>
      <c r="DD54" s="2" t="s">
        <v>300</v>
      </c>
      <c r="DE54" s="2" t="s">
        <v>300</v>
      </c>
      <c r="DF54" s="2" t="s">
        <v>300</v>
      </c>
      <c r="DG54" s="2" t="s">
        <v>300</v>
      </c>
      <c r="DH54" s="2" t="s">
        <v>300</v>
      </c>
      <c r="DI54" s="2" t="s">
        <v>300</v>
      </c>
      <c r="DL54" s="2" t="s">
        <v>188</v>
      </c>
      <c r="DM54" s="2" t="s">
        <v>188</v>
      </c>
      <c r="DP54" s="2" t="s">
        <v>188</v>
      </c>
      <c r="DT54" s="2" t="s">
        <v>203</v>
      </c>
      <c r="DU54" s="2" t="s">
        <v>203</v>
      </c>
      <c r="DV54" s="2" t="s">
        <v>203</v>
      </c>
      <c r="DW54" s="2" t="s">
        <v>203</v>
      </c>
      <c r="DX54" s="2" t="s">
        <v>203</v>
      </c>
      <c r="DY54" s="2" t="s">
        <v>203</v>
      </c>
      <c r="DZ54" s="2" t="s">
        <v>203</v>
      </c>
      <c r="EA54" s="2" t="s">
        <v>203</v>
      </c>
      <c r="EB54" s="2" t="s">
        <v>203</v>
      </c>
      <c r="EC54" s="2" t="s">
        <v>203</v>
      </c>
      <c r="EF54" s="2" t="s">
        <v>496</v>
      </c>
      <c r="EG54" s="2" t="s">
        <v>632</v>
      </c>
      <c r="EJ54" s="2" t="s">
        <v>203</v>
      </c>
      <c r="EK54" s="2" t="s">
        <v>188</v>
      </c>
      <c r="EL54" s="2" t="s">
        <v>188</v>
      </c>
      <c r="EN54" s="2" t="s">
        <v>255</v>
      </c>
      <c r="EP54" s="2" t="s">
        <v>230</v>
      </c>
      <c r="ER54" s="2" t="s">
        <v>188</v>
      </c>
      <c r="ET54" s="2" t="s">
        <v>188</v>
      </c>
      <c r="EV54" s="2" t="s">
        <v>188</v>
      </c>
      <c r="EX54" s="2" t="s">
        <v>188</v>
      </c>
      <c r="EZ54" s="2" t="s">
        <v>188</v>
      </c>
      <c r="FC54" s="2" t="s">
        <v>216</v>
      </c>
      <c r="FD54" s="2" t="s">
        <v>188</v>
      </c>
      <c r="FH54" s="2" t="s">
        <v>188</v>
      </c>
      <c r="FJ54" s="2" t="s">
        <v>188</v>
      </c>
      <c r="FK54" s="2" t="s">
        <v>188</v>
      </c>
      <c r="FN54" s="2" t="s">
        <v>432</v>
      </c>
      <c r="FR54" s="2" t="s">
        <v>633</v>
      </c>
      <c r="FT54" s="2" t="s">
        <v>219</v>
      </c>
      <c r="FU54" s="2" t="s">
        <v>219</v>
      </c>
      <c r="FV54" s="2" t="s">
        <v>233</v>
      </c>
      <c r="FW54" s="2" t="s">
        <v>233</v>
      </c>
      <c r="FZ54" s="4">
        <v>46047.577141203707</v>
      </c>
    </row>
    <row r="55" spans="1:182">
      <c r="A55" s="2" t="s">
        <v>634</v>
      </c>
      <c r="D55" s="3">
        <v>46031.069513888884</v>
      </c>
      <c r="E55" s="2" t="s">
        <v>635</v>
      </c>
      <c r="F55" s="2" t="s">
        <v>590</v>
      </c>
      <c r="G55" s="2" t="s">
        <v>179</v>
      </c>
      <c r="H55" s="2" t="s">
        <v>591</v>
      </c>
      <c r="I55" s="2" t="s">
        <v>636</v>
      </c>
      <c r="J55" s="2">
        <v>379656403</v>
      </c>
      <c r="K55" s="2" t="s">
        <v>637</v>
      </c>
      <c r="L55" s="2" t="s">
        <v>182</v>
      </c>
      <c r="M55" s="2" t="s">
        <v>223</v>
      </c>
      <c r="N55" s="2">
        <v>1974</v>
      </c>
      <c r="O55" s="2" t="s">
        <v>184</v>
      </c>
      <c r="P55" s="2" t="s">
        <v>225</v>
      </c>
      <c r="Q55" s="2" t="s">
        <v>603</v>
      </c>
      <c r="R55" s="2" t="s">
        <v>188</v>
      </c>
      <c r="S55" s="2">
        <v>13</v>
      </c>
      <c r="T55" s="2" t="s">
        <v>188</v>
      </c>
      <c r="U55" s="2" t="s">
        <v>188</v>
      </c>
      <c r="Y55" s="2">
        <v>152</v>
      </c>
      <c r="Z55" s="2">
        <v>1</v>
      </c>
      <c r="AA55" s="2">
        <v>152</v>
      </c>
      <c r="AB55" s="2">
        <v>152</v>
      </c>
      <c r="AC55" s="2">
        <v>152</v>
      </c>
      <c r="AD55" s="2">
        <v>242</v>
      </c>
      <c r="AE55" s="2">
        <v>90</v>
      </c>
      <c r="AF55" s="2" t="s">
        <v>188</v>
      </c>
      <c r="AG55" s="2" t="s">
        <v>188</v>
      </c>
      <c r="AH55" s="2" t="s">
        <v>188</v>
      </c>
      <c r="AJ55" s="2" t="s">
        <v>188</v>
      </c>
      <c r="AK55" s="2" t="s">
        <v>188</v>
      </c>
      <c r="AL55" s="2" t="s">
        <v>188</v>
      </c>
      <c r="AM55" s="2" t="s">
        <v>188</v>
      </c>
      <c r="AN55" s="2" t="s">
        <v>188</v>
      </c>
      <c r="AO55" s="2" t="s">
        <v>188</v>
      </c>
      <c r="AR55" s="2">
        <v>0.7</v>
      </c>
      <c r="AS55" s="2">
        <v>1</v>
      </c>
      <c r="AT55" s="2">
        <v>2.2000000000000002</v>
      </c>
      <c r="AU55" s="2" t="s">
        <v>203</v>
      </c>
      <c r="AV55" s="2" t="s">
        <v>203</v>
      </c>
      <c r="AW55" s="2" t="s">
        <v>188</v>
      </c>
      <c r="AZ55" s="2" t="s">
        <v>190</v>
      </c>
      <c r="BB55" s="2" t="s">
        <v>260</v>
      </c>
      <c r="BC55" s="2" t="s">
        <v>253</v>
      </c>
      <c r="BD55" s="2" t="s">
        <v>188</v>
      </c>
      <c r="BE55" s="2" t="s">
        <v>187</v>
      </c>
      <c r="BF55" s="2" t="s">
        <v>193</v>
      </c>
      <c r="BG55" s="2" t="s">
        <v>194</v>
      </c>
      <c r="BH55" s="2" t="s">
        <v>195</v>
      </c>
      <c r="BI55" s="2" t="s">
        <v>448</v>
      </c>
      <c r="BL55" s="2" t="s">
        <v>240</v>
      </c>
      <c r="BO55" s="2" t="s">
        <v>341</v>
      </c>
      <c r="BP55" s="2" t="s">
        <v>334</v>
      </c>
      <c r="BS55" s="2" t="s">
        <v>188</v>
      </c>
      <c r="BT55" s="2" t="s">
        <v>201</v>
      </c>
      <c r="BV55" s="2" t="s">
        <v>228</v>
      </c>
      <c r="BX55" s="2" t="s">
        <v>188</v>
      </c>
      <c r="BZ55" s="2" t="s">
        <v>203</v>
      </c>
      <c r="CE55" s="2">
        <v>2.2000000000000002</v>
      </c>
      <c r="CF55" s="2">
        <v>242</v>
      </c>
      <c r="CK55" s="2">
        <v>100</v>
      </c>
      <c r="CO55" s="2">
        <v>100</v>
      </c>
      <c r="CR55" s="2" t="s">
        <v>204</v>
      </c>
      <c r="CT55" s="2" t="s">
        <v>188</v>
      </c>
      <c r="CU55" s="2" t="s">
        <v>205</v>
      </c>
      <c r="CW55" s="2" t="s">
        <v>206</v>
      </c>
      <c r="CY55" s="2" t="s">
        <v>207</v>
      </c>
      <c r="CZ55" s="2" t="s">
        <v>430</v>
      </c>
      <c r="DA55" s="2" t="s">
        <v>430</v>
      </c>
      <c r="DB55" s="2" t="s">
        <v>300</v>
      </c>
      <c r="DC55" s="2" t="s">
        <v>300</v>
      </c>
      <c r="DD55" s="2" t="s">
        <v>300</v>
      </c>
      <c r="DE55" s="2" t="s">
        <v>300</v>
      </c>
      <c r="DF55" s="2" t="s">
        <v>300</v>
      </c>
      <c r="DG55" s="2" t="s">
        <v>430</v>
      </c>
      <c r="DH55" s="2" t="s">
        <v>430</v>
      </c>
      <c r="DI55" s="2" t="s">
        <v>430</v>
      </c>
      <c r="DL55" s="2" t="s">
        <v>187</v>
      </c>
      <c r="DM55" s="2" t="s">
        <v>187</v>
      </c>
      <c r="DN55" s="2" t="s">
        <v>188</v>
      </c>
      <c r="DO55" s="2" t="s">
        <v>187</v>
      </c>
      <c r="DP55" s="2" t="s">
        <v>188</v>
      </c>
      <c r="DT55" s="2" t="s">
        <v>209</v>
      </c>
      <c r="DU55" s="2" t="s">
        <v>203</v>
      </c>
      <c r="DV55" s="2" t="s">
        <v>209</v>
      </c>
      <c r="DW55" s="2" t="s">
        <v>203</v>
      </c>
      <c r="DX55" s="2" t="s">
        <v>209</v>
      </c>
      <c r="DY55" s="2" t="s">
        <v>203</v>
      </c>
      <c r="DZ55" s="2" t="s">
        <v>203</v>
      </c>
      <c r="EA55" s="2" t="s">
        <v>203</v>
      </c>
      <c r="EB55" s="2" t="s">
        <v>209</v>
      </c>
      <c r="EC55" s="2" t="s">
        <v>188</v>
      </c>
      <c r="EF55" s="2" t="s">
        <v>189</v>
      </c>
      <c r="EG55" s="2" t="s">
        <v>421</v>
      </c>
      <c r="EJ55" s="2" t="s">
        <v>203</v>
      </c>
      <c r="EK55" s="2" t="s">
        <v>188</v>
      </c>
      <c r="EL55" s="2" t="s">
        <v>188</v>
      </c>
      <c r="EN55" s="2" t="s">
        <v>255</v>
      </c>
      <c r="EP55" s="2" t="s">
        <v>230</v>
      </c>
      <c r="ER55" s="2" t="s">
        <v>188</v>
      </c>
      <c r="ET55" s="2" t="s">
        <v>188</v>
      </c>
      <c r="EV55" s="2" t="s">
        <v>188</v>
      </c>
      <c r="EX55" s="2" t="s">
        <v>188</v>
      </c>
      <c r="EZ55" s="2" t="s">
        <v>188</v>
      </c>
      <c r="FC55" s="2" t="s">
        <v>216</v>
      </c>
      <c r="FD55" s="2" t="s">
        <v>188</v>
      </c>
      <c r="FH55" s="2" t="s">
        <v>188</v>
      </c>
      <c r="FJ55" s="2" t="s">
        <v>188</v>
      </c>
      <c r="FK55" s="2" t="s">
        <v>203</v>
      </c>
      <c r="FN55" s="2" t="s">
        <v>291</v>
      </c>
      <c r="FO55" s="2" t="s">
        <v>203</v>
      </c>
      <c r="FR55" s="2" t="s">
        <v>638</v>
      </c>
      <c r="FT55" s="2" t="s">
        <v>233</v>
      </c>
      <c r="FU55" s="2" t="s">
        <v>233</v>
      </c>
      <c r="FV55" s="2" t="s">
        <v>233</v>
      </c>
      <c r="FW55" s="2" t="s">
        <v>233</v>
      </c>
      <c r="FZ55" s="4">
        <v>46047.577800925923</v>
      </c>
    </row>
    <row r="56" spans="1:182">
      <c r="A56" s="2" t="s">
        <v>639</v>
      </c>
      <c r="D56" s="3">
        <v>46031.292581018519</v>
      </c>
      <c r="E56" s="2" t="s">
        <v>640</v>
      </c>
      <c r="F56" s="2" t="s">
        <v>590</v>
      </c>
      <c r="G56" s="2" t="s">
        <v>179</v>
      </c>
      <c r="H56" s="2" t="s">
        <v>641</v>
      </c>
      <c r="I56" s="2" t="s">
        <v>642</v>
      </c>
      <c r="J56" s="2">
        <v>378961871</v>
      </c>
      <c r="K56" s="2" t="s">
        <v>643</v>
      </c>
      <c r="L56" s="2" t="s">
        <v>182</v>
      </c>
      <c r="M56" s="2" t="s">
        <v>223</v>
      </c>
      <c r="N56" s="2">
        <v>1979</v>
      </c>
      <c r="O56" s="2" t="s">
        <v>184</v>
      </c>
      <c r="P56" s="2" t="s">
        <v>237</v>
      </c>
      <c r="Q56" s="2" t="s">
        <v>226</v>
      </c>
      <c r="R56" s="2" t="s">
        <v>188</v>
      </c>
      <c r="S56" s="2">
        <v>20</v>
      </c>
      <c r="T56" s="2" t="s">
        <v>188</v>
      </c>
      <c r="U56" s="2" t="s">
        <v>188</v>
      </c>
      <c r="Y56" s="2">
        <v>540</v>
      </c>
      <c r="Z56" s="2">
        <v>0.96299999999999997</v>
      </c>
      <c r="AA56" s="2">
        <v>520</v>
      </c>
      <c r="AB56" s="2">
        <v>520</v>
      </c>
      <c r="AC56" s="2">
        <v>520</v>
      </c>
      <c r="AD56" s="2">
        <v>720</v>
      </c>
      <c r="AE56" s="2">
        <v>200</v>
      </c>
      <c r="AF56" s="2" t="s">
        <v>188</v>
      </c>
      <c r="AG56" s="2" t="s">
        <v>187</v>
      </c>
      <c r="AH56" s="2" t="s">
        <v>188</v>
      </c>
      <c r="AJ56" s="2" t="s">
        <v>188</v>
      </c>
      <c r="AK56" s="2" t="s">
        <v>188</v>
      </c>
      <c r="AL56" s="2" t="s">
        <v>188</v>
      </c>
      <c r="AM56" s="2" t="s">
        <v>188</v>
      </c>
      <c r="AN56" s="2" t="s">
        <v>188</v>
      </c>
      <c r="AO56" s="2" t="s">
        <v>188</v>
      </c>
      <c r="AR56" s="2">
        <v>1.55</v>
      </c>
      <c r="AS56" s="2">
        <v>4</v>
      </c>
      <c r="AT56" s="2">
        <v>6</v>
      </c>
      <c r="AU56" s="2" t="s">
        <v>189</v>
      </c>
      <c r="AV56" s="2" t="s">
        <v>189</v>
      </c>
      <c r="AW56" s="2" t="s">
        <v>188</v>
      </c>
      <c r="AZ56" s="2" t="s">
        <v>190</v>
      </c>
      <c r="BB56" s="2" t="s">
        <v>260</v>
      </c>
      <c r="BC56" s="2" t="s">
        <v>296</v>
      </c>
      <c r="BD56" s="2" t="s">
        <v>187</v>
      </c>
      <c r="BE56" s="2" t="s">
        <v>187</v>
      </c>
      <c r="BF56" s="2" t="s">
        <v>193</v>
      </c>
      <c r="BG56" s="2" t="s">
        <v>194</v>
      </c>
      <c r="BH56" s="2" t="s">
        <v>195</v>
      </c>
      <c r="BI56" s="2" t="s">
        <v>333</v>
      </c>
      <c r="BL56" s="2" t="s">
        <v>197</v>
      </c>
      <c r="BM56" s="2" t="s">
        <v>507</v>
      </c>
      <c r="BN56" s="2" t="s">
        <v>199</v>
      </c>
      <c r="BO56" s="2" t="s">
        <v>341</v>
      </c>
      <c r="BP56" s="2" t="s">
        <v>334</v>
      </c>
      <c r="BS56" s="2" t="s">
        <v>188</v>
      </c>
      <c r="BT56" s="2" t="s">
        <v>644</v>
      </c>
      <c r="BV56" s="2" t="s">
        <v>242</v>
      </c>
      <c r="BX56" s="2" t="s">
        <v>188</v>
      </c>
      <c r="BZ56" s="2" t="s">
        <v>203</v>
      </c>
      <c r="CE56" s="2">
        <v>6</v>
      </c>
      <c r="CF56" s="2">
        <v>720</v>
      </c>
      <c r="CK56" s="2">
        <v>100</v>
      </c>
      <c r="CO56" s="2">
        <v>100</v>
      </c>
      <c r="CR56" s="2" t="s">
        <v>204</v>
      </c>
      <c r="CT56" s="2" t="s">
        <v>187</v>
      </c>
      <c r="CU56" s="2" t="s">
        <v>205</v>
      </c>
      <c r="CW56" s="2" t="s">
        <v>206</v>
      </c>
      <c r="CY56" s="2" t="s">
        <v>207</v>
      </c>
      <c r="CZ56" s="2" t="s">
        <v>300</v>
      </c>
      <c r="DA56" s="2" t="s">
        <v>300</v>
      </c>
      <c r="DB56" s="2" t="s">
        <v>300</v>
      </c>
      <c r="DC56" s="2" t="s">
        <v>430</v>
      </c>
      <c r="DD56" s="2" t="s">
        <v>430</v>
      </c>
      <c r="DE56" s="2" t="s">
        <v>300</v>
      </c>
      <c r="DF56" s="2" t="s">
        <v>300</v>
      </c>
      <c r="DG56" s="2" t="s">
        <v>300</v>
      </c>
      <c r="DH56" s="2" t="s">
        <v>300</v>
      </c>
      <c r="DI56" s="2" t="s">
        <v>430</v>
      </c>
      <c r="DL56" s="2" t="s">
        <v>188</v>
      </c>
      <c r="DM56" s="2" t="s">
        <v>188</v>
      </c>
      <c r="DP56" s="2" t="s">
        <v>203</v>
      </c>
      <c r="DT56" s="2" t="s">
        <v>209</v>
      </c>
      <c r="DU56" s="2" t="s">
        <v>203</v>
      </c>
      <c r="DV56" s="2" t="s">
        <v>209</v>
      </c>
      <c r="DW56" s="2" t="s">
        <v>209</v>
      </c>
      <c r="DX56" s="2" t="s">
        <v>209</v>
      </c>
      <c r="DY56" s="2" t="s">
        <v>203</v>
      </c>
      <c r="DZ56" s="2" t="s">
        <v>203</v>
      </c>
      <c r="EA56" s="2" t="s">
        <v>203</v>
      </c>
      <c r="EB56" s="2" t="s">
        <v>209</v>
      </c>
      <c r="EC56" s="2" t="s">
        <v>188</v>
      </c>
      <c r="EF56" s="2" t="s">
        <v>189</v>
      </c>
      <c r="EG56" s="2" t="s">
        <v>645</v>
      </c>
      <c r="EJ56" s="2" t="s">
        <v>203</v>
      </c>
      <c r="EK56" s="2" t="s">
        <v>188</v>
      </c>
      <c r="EL56" s="2" t="s">
        <v>188</v>
      </c>
      <c r="EN56" s="2" t="s">
        <v>255</v>
      </c>
      <c r="EP56" s="2" t="s">
        <v>230</v>
      </c>
      <c r="ER56" s="2" t="s">
        <v>188</v>
      </c>
      <c r="ET56" s="2" t="s">
        <v>188</v>
      </c>
      <c r="EV56" s="2" t="s">
        <v>188</v>
      </c>
      <c r="EX56" s="2" t="s">
        <v>188</v>
      </c>
      <c r="EZ56" s="2" t="s">
        <v>188</v>
      </c>
      <c r="FC56" s="2" t="s">
        <v>263</v>
      </c>
      <c r="FD56" s="2" t="s">
        <v>188</v>
      </c>
      <c r="FH56" s="2" t="s">
        <v>188</v>
      </c>
      <c r="FJ56" s="2" t="s">
        <v>187</v>
      </c>
      <c r="FK56" s="2" t="s">
        <v>203</v>
      </c>
      <c r="FN56" s="2" t="s">
        <v>646</v>
      </c>
      <c r="FR56" s="2" t="s">
        <v>647</v>
      </c>
      <c r="FT56" s="2" t="s">
        <v>219</v>
      </c>
      <c r="FU56" s="2" t="s">
        <v>219</v>
      </c>
      <c r="FV56" s="2" t="s">
        <v>219</v>
      </c>
      <c r="FW56" s="2" t="s">
        <v>233</v>
      </c>
      <c r="FZ56" s="4">
        <v>46047.578773148147</v>
      </c>
    </row>
    <row r="57" spans="1:182">
      <c r="A57" s="2" t="s">
        <v>648</v>
      </c>
      <c r="D57" s="3">
        <v>46031.318576388891</v>
      </c>
      <c r="E57" s="2" t="s">
        <v>649</v>
      </c>
      <c r="F57" s="2" t="s">
        <v>590</v>
      </c>
      <c r="G57" s="2" t="s">
        <v>179</v>
      </c>
      <c r="H57" s="2" t="s">
        <v>641</v>
      </c>
      <c r="I57" s="2" t="s">
        <v>650</v>
      </c>
      <c r="J57" s="2">
        <v>984293782</v>
      </c>
      <c r="K57" s="2" t="s">
        <v>643</v>
      </c>
      <c r="L57" s="2" t="s">
        <v>182</v>
      </c>
      <c r="M57" s="2" t="s">
        <v>223</v>
      </c>
      <c r="N57" s="2">
        <v>1968</v>
      </c>
      <c r="O57" s="2" t="s">
        <v>184</v>
      </c>
      <c r="P57" s="2" t="s">
        <v>225</v>
      </c>
      <c r="Q57" s="2" t="s">
        <v>270</v>
      </c>
      <c r="R57" s="2" t="s">
        <v>188</v>
      </c>
      <c r="S57" s="2">
        <v>30</v>
      </c>
      <c r="T57" s="2" t="s">
        <v>188</v>
      </c>
      <c r="U57" s="2" t="s">
        <v>187</v>
      </c>
      <c r="Y57" s="2">
        <v>405</v>
      </c>
      <c r="Z57" s="2">
        <v>0.96299999999999997</v>
      </c>
      <c r="AA57" s="2">
        <v>390</v>
      </c>
      <c r="AB57" s="2">
        <v>390</v>
      </c>
      <c r="AC57" s="2">
        <v>390</v>
      </c>
      <c r="AD57" s="2">
        <v>500</v>
      </c>
      <c r="AE57" s="2">
        <v>110</v>
      </c>
      <c r="AF57" s="2" t="s">
        <v>188</v>
      </c>
      <c r="AG57" s="2" t="s">
        <v>187</v>
      </c>
      <c r="AH57" s="2" t="s">
        <v>188</v>
      </c>
      <c r="AJ57" s="2" t="s">
        <v>188</v>
      </c>
      <c r="AK57" s="2" t="s">
        <v>188</v>
      </c>
      <c r="AL57" s="2" t="s">
        <v>188</v>
      </c>
      <c r="AM57" s="2" t="s">
        <v>188</v>
      </c>
      <c r="AN57" s="2" t="s">
        <v>188</v>
      </c>
      <c r="AO57" s="2" t="s">
        <v>188</v>
      </c>
      <c r="AR57" s="2">
        <v>1</v>
      </c>
      <c r="AS57" s="2">
        <v>2</v>
      </c>
      <c r="AT57" s="2">
        <v>3.6</v>
      </c>
      <c r="AU57" s="2" t="s">
        <v>189</v>
      </c>
      <c r="AV57" s="2" t="s">
        <v>189</v>
      </c>
      <c r="AW57" s="2" t="s">
        <v>188</v>
      </c>
      <c r="AZ57" s="2" t="s">
        <v>190</v>
      </c>
      <c r="BB57" s="2" t="s">
        <v>332</v>
      </c>
      <c r="BC57" s="2" t="s">
        <v>296</v>
      </c>
      <c r="BD57" s="2" t="s">
        <v>187</v>
      </c>
      <c r="BE57" s="2" t="s">
        <v>187</v>
      </c>
      <c r="BF57" s="2" t="s">
        <v>193</v>
      </c>
      <c r="BG57" s="2" t="s">
        <v>194</v>
      </c>
      <c r="BH57" s="2" t="s">
        <v>195</v>
      </c>
      <c r="BI57" s="2" t="s">
        <v>333</v>
      </c>
      <c r="BL57" s="2" t="s">
        <v>197</v>
      </c>
      <c r="BM57" s="2" t="s">
        <v>507</v>
      </c>
      <c r="BN57" s="2" t="s">
        <v>199</v>
      </c>
      <c r="BO57" s="2" t="s">
        <v>188</v>
      </c>
      <c r="BQ57" s="2" t="s">
        <v>227</v>
      </c>
      <c r="BS57" s="2" t="s">
        <v>187</v>
      </c>
      <c r="BT57" s="2" t="s">
        <v>651</v>
      </c>
      <c r="BV57" s="2" t="s">
        <v>242</v>
      </c>
      <c r="BX57" s="2" t="s">
        <v>187</v>
      </c>
      <c r="BY57" s="2" t="s">
        <v>652</v>
      </c>
      <c r="BZ57" s="2" t="s">
        <v>203</v>
      </c>
      <c r="CE57" s="2">
        <v>3.6</v>
      </c>
      <c r="CF57" s="2">
        <v>500</v>
      </c>
      <c r="CM57" s="2">
        <v>100</v>
      </c>
      <c r="CO57" s="2">
        <v>100</v>
      </c>
      <c r="CR57" s="2" t="s">
        <v>204</v>
      </c>
      <c r="CT57" s="2" t="s">
        <v>188</v>
      </c>
      <c r="CU57" s="2" t="s">
        <v>205</v>
      </c>
      <c r="CW57" s="2" t="s">
        <v>206</v>
      </c>
      <c r="CY57" s="2" t="s">
        <v>207</v>
      </c>
      <c r="CZ57" s="2" t="s">
        <v>300</v>
      </c>
      <c r="DA57" s="2" t="s">
        <v>300</v>
      </c>
      <c r="DB57" s="2" t="s">
        <v>300</v>
      </c>
      <c r="DC57" s="2" t="s">
        <v>430</v>
      </c>
      <c r="DD57" s="2" t="s">
        <v>207</v>
      </c>
      <c r="DE57" s="2" t="s">
        <v>300</v>
      </c>
      <c r="DF57" s="2" t="s">
        <v>300</v>
      </c>
      <c r="DG57" s="2" t="s">
        <v>300</v>
      </c>
      <c r="DH57" s="2" t="s">
        <v>300</v>
      </c>
      <c r="DI57" s="2" t="s">
        <v>300</v>
      </c>
      <c r="DL57" s="2" t="s">
        <v>188</v>
      </c>
      <c r="DM57" s="2" t="s">
        <v>188</v>
      </c>
      <c r="DP57" s="2" t="s">
        <v>203</v>
      </c>
      <c r="DT57" s="2" t="s">
        <v>209</v>
      </c>
      <c r="DU57" s="2" t="s">
        <v>203</v>
      </c>
      <c r="DV57" s="2" t="s">
        <v>209</v>
      </c>
      <c r="DW57" s="2" t="s">
        <v>209</v>
      </c>
      <c r="DX57" s="2" t="s">
        <v>209</v>
      </c>
      <c r="DY57" s="2" t="s">
        <v>203</v>
      </c>
      <c r="DZ57" s="2" t="s">
        <v>203</v>
      </c>
      <c r="EA57" s="2" t="s">
        <v>203</v>
      </c>
      <c r="EB57" s="2" t="s">
        <v>209</v>
      </c>
      <c r="EC57" s="2" t="s">
        <v>188</v>
      </c>
      <c r="EF57" s="2" t="s">
        <v>302</v>
      </c>
      <c r="EG57" s="2" t="s">
        <v>421</v>
      </c>
      <c r="EJ57" s="2" t="s">
        <v>189</v>
      </c>
      <c r="EK57" s="2" t="s">
        <v>187</v>
      </c>
      <c r="EL57" s="2" t="s">
        <v>188</v>
      </c>
      <c r="EN57" s="2" t="s">
        <v>255</v>
      </c>
      <c r="EP57" s="2" t="s">
        <v>230</v>
      </c>
      <c r="ER57" s="2" t="s">
        <v>188</v>
      </c>
      <c r="ET57" s="2" t="s">
        <v>188</v>
      </c>
      <c r="EV57" s="2" t="s">
        <v>188</v>
      </c>
      <c r="EX57" s="2" t="s">
        <v>188</v>
      </c>
      <c r="EZ57" s="2" t="s">
        <v>188</v>
      </c>
      <c r="FC57" s="2" t="s">
        <v>263</v>
      </c>
      <c r="FD57" s="2" t="s">
        <v>188</v>
      </c>
      <c r="FH57" s="2" t="s">
        <v>188</v>
      </c>
      <c r="FJ57" s="2" t="s">
        <v>187</v>
      </c>
      <c r="FK57" s="2" t="s">
        <v>188</v>
      </c>
      <c r="FN57" s="2" t="s">
        <v>653</v>
      </c>
      <c r="FR57" s="2" t="s">
        <v>654</v>
      </c>
      <c r="FT57" s="2" t="s">
        <v>233</v>
      </c>
      <c r="FU57" s="2" t="s">
        <v>219</v>
      </c>
      <c r="FV57" s="2" t="s">
        <v>219</v>
      </c>
      <c r="FW57" s="2" t="s">
        <v>233</v>
      </c>
      <c r="FZ57" s="4">
        <v>46047.579687500001</v>
      </c>
    </row>
    <row r="58" spans="1:182">
      <c r="A58" s="2" t="s">
        <v>655</v>
      </c>
      <c r="D58" s="3">
        <v>46031.264768518522</v>
      </c>
      <c r="E58" s="2" t="s">
        <v>656</v>
      </c>
      <c r="F58" s="2" t="s">
        <v>590</v>
      </c>
      <c r="G58" s="2" t="s">
        <v>179</v>
      </c>
      <c r="H58" s="2" t="s">
        <v>591</v>
      </c>
      <c r="I58" s="2" t="s">
        <v>657</v>
      </c>
      <c r="J58" s="2">
        <v>392075387</v>
      </c>
      <c r="K58" s="2" t="s">
        <v>657</v>
      </c>
      <c r="L58" s="2" t="s">
        <v>182</v>
      </c>
      <c r="M58" s="2" t="s">
        <v>183</v>
      </c>
      <c r="N58" s="2">
        <v>1981</v>
      </c>
      <c r="O58" s="2" t="s">
        <v>184</v>
      </c>
      <c r="P58" s="2" t="s">
        <v>185</v>
      </c>
      <c r="Q58" s="2" t="s">
        <v>186</v>
      </c>
      <c r="R58" s="2" t="s">
        <v>188</v>
      </c>
      <c r="S58" s="2">
        <v>30</v>
      </c>
      <c r="T58" s="2" t="s">
        <v>188</v>
      </c>
      <c r="U58" s="2" t="s">
        <v>188</v>
      </c>
      <c r="Y58" s="2">
        <v>840</v>
      </c>
      <c r="Z58" s="2">
        <v>0.96430000000000005</v>
      </c>
      <c r="AA58" s="2">
        <v>810</v>
      </c>
      <c r="AB58" s="2">
        <v>810</v>
      </c>
      <c r="AC58" s="2">
        <v>810</v>
      </c>
      <c r="AD58" s="2">
        <v>960</v>
      </c>
      <c r="AE58" s="2">
        <v>150</v>
      </c>
      <c r="AF58" s="2" t="s">
        <v>188</v>
      </c>
      <c r="AG58" s="2" t="s">
        <v>187</v>
      </c>
      <c r="AH58" s="2" t="s">
        <v>188</v>
      </c>
      <c r="AJ58" s="2" t="s">
        <v>188</v>
      </c>
      <c r="AK58" s="2" t="s">
        <v>188</v>
      </c>
      <c r="AL58" s="2" t="s">
        <v>188</v>
      </c>
      <c r="AM58" s="2" t="s">
        <v>188</v>
      </c>
      <c r="AN58" s="2" t="s">
        <v>188</v>
      </c>
      <c r="AO58" s="2" t="s">
        <v>188</v>
      </c>
      <c r="AR58" s="2">
        <v>3.3</v>
      </c>
      <c r="AS58" s="2">
        <v>4</v>
      </c>
      <c r="AT58" s="2">
        <v>8</v>
      </c>
      <c r="AU58" s="2" t="s">
        <v>238</v>
      </c>
      <c r="AV58" s="2" t="s">
        <v>189</v>
      </c>
      <c r="AW58" s="2" t="s">
        <v>188</v>
      </c>
      <c r="AZ58" s="2" t="s">
        <v>190</v>
      </c>
      <c r="BB58" s="2" t="s">
        <v>332</v>
      </c>
      <c r="BC58" s="2" t="s">
        <v>253</v>
      </c>
      <c r="BD58" s="2" t="s">
        <v>187</v>
      </c>
      <c r="BE58" s="2" t="s">
        <v>187</v>
      </c>
      <c r="BF58" s="2" t="s">
        <v>193</v>
      </c>
      <c r="BG58" s="2" t="s">
        <v>194</v>
      </c>
      <c r="BH58" s="2" t="s">
        <v>195</v>
      </c>
      <c r="BI58" s="2" t="s">
        <v>196</v>
      </c>
      <c r="BL58" s="2" t="s">
        <v>197</v>
      </c>
      <c r="BM58" s="2" t="s">
        <v>507</v>
      </c>
      <c r="BN58" s="2" t="s">
        <v>199</v>
      </c>
      <c r="BO58" s="2" t="s">
        <v>188</v>
      </c>
      <c r="BQ58" s="2" t="s">
        <v>227</v>
      </c>
      <c r="BS58" s="2" t="s">
        <v>187</v>
      </c>
      <c r="BT58" s="2" t="s">
        <v>658</v>
      </c>
      <c r="BV58" s="2" t="s">
        <v>242</v>
      </c>
      <c r="BX58" s="2" t="s">
        <v>187</v>
      </c>
      <c r="BY58" s="2" t="s">
        <v>659</v>
      </c>
      <c r="BZ58" s="2" t="s">
        <v>203</v>
      </c>
      <c r="CE58" s="2">
        <v>8</v>
      </c>
      <c r="CF58" s="2">
        <v>960</v>
      </c>
      <c r="CM58" s="2">
        <v>100</v>
      </c>
      <c r="CO58" s="2">
        <v>100</v>
      </c>
      <c r="CR58" s="2" t="s">
        <v>204</v>
      </c>
      <c r="CT58" s="2" t="s">
        <v>188</v>
      </c>
      <c r="CU58" s="2" t="s">
        <v>205</v>
      </c>
      <c r="CW58" s="2" t="s">
        <v>206</v>
      </c>
      <c r="CY58" s="2" t="s">
        <v>207</v>
      </c>
      <c r="CZ58" s="2" t="s">
        <v>300</v>
      </c>
      <c r="DA58" s="2" t="s">
        <v>300</v>
      </c>
      <c r="DB58" s="2" t="s">
        <v>300</v>
      </c>
      <c r="DC58" s="2" t="s">
        <v>430</v>
      </c>
      <c r="DD58" s="2" t="s">
        <v>300</v>
      </c>
      <c r="DE58" s="2" t="s">
        <v>300</v>
      </c>
      <c r="DF58" s="2" t="s">
        <v>300</v>
      </c>
      <c r="DG58" s="2" t="s">
        <v>300</v>
      </c>
      <c r="DH58" s="2" t="s">
        <v>300</v>
      </c>
      <c r="DI58" s="2" t="s">
        <v>300</v>
      </c>
      <c r="DL58" s="2" t="s">
        <v>188</v>
      </c>
      <c r="DM58" s="2" t="s">
        <v>187</v>
      </c>
      <c r="DN58" s="2" t="s">
        <v>188</v>
      </c>
      <c r="DO58" s="2" t="s">
        <v>187</v>
      </c>
      <c r="DP58" s="2" t="s">
        <v>203</v>
      </c>
      <c r="DT58" s="2" t="s">
        <v>203</v>
      </c>
      <c r="DU58" s="2" t="s">
        <v>203</v>
      </c>
      <c r="DV58" s="2" t="s">
        <v>203</v>
      </c>
      <c r="DW58" s="2" t="s">
        <v>203</v>
      </c>
      <c r="DX58" s="2" t="s">
        <v>203</v>
      </c>
      <c r="DY58" s="2" t="s">
        <v>203</v>
      </c>
      <c r="DZ58" s="2" t="s">
        <v>203</v>
      </c>
      <c r="EA58" s="2" t="s">
        <v>203</v>
      </c>
      <c r="EB58" s="2" t="s">
        <v>203</v>
      </c>
      <c r="EC58" s="2" t="s">
        <v>203</v>
      </c>
      <c r="EF58" s="2" t="s">
        <v>189</v>
      </c>
      <c r="EG58" s="2" t="s">
        <v>660</v>
      </c>
      <c r="EJ58" s="2" t="s">
        <v>203</v>
      </c>
      <c r="EK58" s="2" t="s">
        <v>188</v>
      </c>
      <c r="EL58" s="2" t="s">
        <v>188</v>
      </c>
      <c r="EN58" s="2" t="s">
        <v>255</v>
      </c>
      <c r="EP58" s="2" t="s">
        <v>230</v>
      </c>
      <c r="ER58" s="2" t="s">
        <v>188</v>
      </c>
      <c r="ET58" s="2" t="s">
        <v>188</v>
      </c>
      <c r="EV58" s="2" t="s">
        <v>188</v>
      </c>
      <c r="EX58" s="2" t="s">
        <v>188</v>
      </c>
      <c r="EZ58" s="2" t="s">
        <v>188</v>
      </c>
      <c r="FC58" s="2" t="s">
        <v>263</v>
      </c>
      <c r="FD58" s="2" t="s">
        <v>188</v>
      </c>
      <c r="FH58" s="2" t="s">
        <v>188</v>
      </c>
      <c r="FJ58" s="2" t="s">
        <v>187</v>
      </c>
      <c r="FK58" s="2" t="s">
        <v>188</v>
      </c>
      <c r="FN58" s="2" t="s">
        <v>661</v>
      </c>
      <c r="FR58" s="2" t="s">
        <v>662</v>
      </c>
      <c r="FT58" s="2" t="s">
        <v>219</v>
      </c>
      <c r="FU58" s="2" t="s">
        <v>233</v>
      </c>
      <c r="FV58" s="2" t="s">
        <v>233</v>
      </c>
      <c r="FW58" s="2" t="s">
        <v>233</v>
      </c>
      <c r="FZ58" s="4">
        <v>46047.581030092595</v>
      </c>
    </row>
    <row r="59" spans="1:182">
      <c r="A59" s="2" t="s">
        <v>663</v>
      </c>
      <c r="D59" s="3">
        <v>46031.348634259259</v>
      </c>
      <c r="E59" s="2" t="s">
        <v>664</v>
      </c>
      <c r="F59" s="2" t="s">
        <v>398</v>
      </c>
      <c r="G59" s="2" t="s">
        <v>179</v>
      </c>
      <c r="H59" s="2" t="s">
        <v>665</v>
      </c>
      <c r="I59" s="2" t="s">
        <v>666</v>
      </c>
      <c r="J59" s="2">
        <v>342700815</v>
      </c>
      <c r="K59" s="2" t="s">
        <v>667</v>
      </c>
      <c r="L59" s="2" t="s">
        <v>182</v>
      </c>
      <c r="M59" s="2" t="s">
        <v>223</v>
      </c>
      <c r="N59" s="2">
        <v>1980</v>
      </c>
      <c r="O59" s="2" t="s">
        <v>184</v>
      </c>
      <c r="P59" s="2" t="s">
        <v>225</v>
      </c>
      <c r="Q59" s="2" t="s">
        <v>186</v>
      </c>
      <c r="R59" s="2" t="s">
        <v>188</v>
      </c>
      <c r="S59" s="2">
        <v>25</v>
      </c>
      <c r="T59" s="2" t="s">
        <v>188</v>
      </c>
      <c r="U59" s="2" t="s">
        <v>188</v>
      </c>
      <c r="Y59" s="2">
        <v>630</v>
      </c>
      <c r="Z59" s="2">
        <v>0.84130000000000005</v>
      </c>
      <c r="AA59" s="2">
        <v>530</v>
      </c>
      <c r="AB59" s="2">
        <v>530</v>
      </c>
      <c r="AC59" s="2">
        <v>530</v>
      </c>
      <c r="AD59" s="2">
        <v>600</v>
      </c>
      <c r="AE59" s="2">
        <v>70</v>
      </c>
      <c r="AF59" s="2" t="s">
        <v>188</v>
      </c>
      <c r="AG59" s="2" t="s">
        <v>188</v>
      </c>
      <c r="AH59" s="2" t="s">
        <v>188</v>
      </c>
      <c r="AJ59" s="2" t="s">
        <v>188</v>
      </c>
      <c r="AK59" s="2" t="s">
        <v>187</v>
      </c>
      <c r="AL59" s="2" t="s">
        <v>187</v>
      </c>
      <c r="AM59" s="2" t="s">
        <v>188</v>
      </c>
      <c r="AN59" s="2" t="s">
        <v>188</v>
      </c>
      <c r="AO59" s="2" t="s">
        <v>188</v>
      </c>
      <c r="AR59" s="2">
        <v>3</v>
      </c>
      <c r="AS59" s="2">
        <v>3</v>
      </c>
      <c r="AT59" s="2">
        <v>6</v>
      </c>
      <c r="AU59" s="2" t="s">
        <v>238</v>
      </c>
      <c r="AV59" s="2" t="s">
        <v>238</v>
      </c>
      <c r="AW59" s="2" t="s">
        <v>188</v>
      </c>
      <c r="AZ59" s="2" t="s">
        <v>190</v>
      </c>
      <c r="BB59" s="2" t="s">
        <v>260</v>
      </c>
      <c r="BC59" s="2" t="s">
        <v>192</v>
      </c>
      <c r="BD59" s="2" t="s">
        <v>187</v>
      </c>
      <c r="BE59" s="2" t="s">
        <v>187</v>
      </c>
      <c r="BF59" s="2" t="s">
        <v>193</v>
      </c>
      <c r="BG59" s="2" t="s">
        <v>194</v>
      </c>
      <c r="BH59" s="2" t="s">
        <v>195</v>
      </c>
      <c r="BI59" s="2" t="s">
        <v>448</v>
      </c>
      <c r="BL59" s="2" t="s">
        <v>197</v>
      </c>
      <c r="BM59" s="2" t="s">
        <v>198</v>
      </c>
      <c r="BN59" s="2" t="s">
        <v>199</v>
      </c>
      <c r="BO59" s="2" t="s">
        <v>188</v>
      </c>
      <c r="BQ59" s="2" t="s">
        <v>200</v>
      </c>
      <c r="BS59" s="2" t="s">
        <v>187</v>
      </c>
      <c r="BT59" s="2" t="s">
        <v>241</v>
      </c>
      <c r="BV59" s="2" t="s">
        <v>502</v>
      </c>
      <c r="BX59" s="2" t="s">
        <v>188</v>
      </c>
      <c r="BY59" s="2" t="s">
        <v>668</v>
      </c>
      <c r="BZ59" s="2" t="s">
        <v>203</v>
      </c>
      <c r="CE59" s="2">
        <v>6</v>
      </c>
      <c r="CF59" s="2">
        <v>600</v>
      </c>
      <c r="CK59" s="2">
        <v>100</v>
      </c>
      <c r="CP59" s="2">
        <v>100</v>
      </c>
      <c r="CR59" s="2" t="s">
        <v>204</v>
      </c>
      <c r="CT59" s="2" t="s">
        <v>188</v>
      </c>
      <c r="CU59" s="2" t="s">
        <v>281</v>
      </c>
      <c r="CW59" s="2" t="s">
        <v>206</v>
      </c>
      <c r="CY59" s="2" t="s">
        <v>207</v>
      </c>
      <c r="CZ59" s="2" t="s">
        <v>300</v>
      </c>
      <c r="DA59" s="2" t="s">
        <v>300</v>
      </c>
      <c r="DB59" s="2" t="s">
        <v>300</v>
      </c>
      <c r="DC59" s="2" t="s">
        <v>300</v>
      </c>
      <c r="DD59" s="2" t="s">
        <v>300</v>
      </c>
      <c r="DE59" s="2" t="s">
        <v>300</v>
      </c>
      <c r="DF59" s="2" t="s">
        <v>300</v>
      </c>
      <c r="DG59" s="2" t="s">
        <v>300</v>
      </c>
      <c r="DH59" s="2" t="s">
        <v>300</v>
      </c>
      <c r="DI59" s="2" t="s">
        <v>300</v>
      </c>
      <c r="DL59" s="2" t="s">
        <v>188</v>
      </c>
      <c r="DM59" s="2" t="s">
        <v>188</v>
      </c>
      <c r="DP59" s="2" t="s">
        <v>203</v>
      </c>
      <c r="DS59" s="2" t="s">
        <v>203</v>
      </c>
      <c r="DT59" s="2" t="s">
        <v>203</v>
      </c>
      <c r="DU59" s="2" t="s">
        <v>203</v>
      </c>
      <c r="DV59" s="2" t="s">
        <v>203</v>
      </c>
      <c r="DW59" s="2" t="s">
        <v>203</v>
      </c>
      <c r="DX59" s="2" t="s">
        <v>203</v>
      </c>
      <c r="DY59" s="2" t="s">
        <v>203</v>
      </c>
      <c r="DZ59" s="2" t="s">
        <v>203</v>
      </c>
      <c r="EA59" s="2" t="s">
        <v>203</v>
      </c>
      <c r="EB59" s="2" t="s">
        <v>203</v>
      </c>
      <c r="EC59" s="2" t="s">
        <v>203</v>
      </c>
      <c r="ED59" s="2" t="s">
        <v>203</v>
      </c>
      <c r="EE59" s="2" t="s">
        <v>669</v>
      </c>
      <c r="EF59" s="2" t="s">
        <v>496</v>
      </c>
      <c r="EG59" s="2" t="s">
        <v>670</v>
      </c>
      <c r="EJ59" s="2" t="s">
        <v>203</v>
      </c>
      <c r="EK59" s="2" t="s">
        <v>188</v>
      </c>
      <c r="EL59" s="2" t="s">
        <v>187</v>
      </c>
      <c r="EM59" s="2" t="s">
        <v>597</v>
      </c>
      <c r="EN59" s="2" t="s">
        <v>214</v>
      </c>
      <c r="EP59" s="2" t="s">
        <v>230</v>
      </c>
      <c r="ER59" s="2" t="s">
        <v>188</v>
      </c>
      <c r="ET59" s="2" t="s">
        <v>188</v>
      </c>
      <c r="EV59" s="2" t="s">
        <v>188</v>
      </c>
      <c r="EX59" s="2" t="s">
        <v>188</v>
      </c>
      <c r="EZ59" s="2" t="s">
        <v>188</v>
      </c>
      <c r="FC59" s="2" t="s">
        <v>263</v>
      </c>
      <c r="FD59" s="2" t="s">
        <v>188</v>
      </c>
      <c r="FH59" s="2" t="s">
        <v>188</v>
      </c>
      <c r="FJ59" s="2" t="s">
        <v>188</v>
      </c>
      <c r="FK59" s="2" t="s">
        <v>203</v>
      </c>
      <c r="FN59" s="2" t="s">
        <v>291</v>
      </c>
      <c r="FO59" s="2" t="s">
        <v>671</v>
      </c>
      <c r="FR59" s="2" t="s">
        <v>672</v>
      </c>
      <c r="FT59" s="2" t="s">
        <v>233</v>
      </c>
      <c r="FU59" s="2" t="s">
        <v>233</v>
      </c>
      <c r="FV59" s="2" t="s">
        <v>219</v>
      </c>
      <c r="FW59" s="2" t="s">
        <v>219</v>
      </c>
      <c r="FX59" s="2" t="s">
        <v>219</v>
      </c>
      <c r="FY59" s="2" t="s">
        <v>673</v>
      </c>
      <c r="FZ59" s="4">
        <v>46039.447013888886</v>
      </c>
    </row>
    <row r="60" spans="1:182">
      <c r="A60" s="2" t="s">
        <v>674</v>
      </c>
      <c r="D60" s="3">
        <v>46031.371192129634</v>
      </c>
      <c r="E60" s="2" t="s">
        <v>675</v>
      </c>
      <c r="F60" s="2" t="s">
        <v>398</v>
      </c>
      <c r="G60" s="2" t="s">
        <v>179</v>
      </c>
      <c r="H60" s="2" t="s">
        <v>665</v>
      </c>
      <c r="I60" s="2" t="s">
        <v>676</v>
      </c>
      <c r="J60" s="2">
        <v>339783877</v>
      </c>
      <c r="K60" s="2" t="s">
        <v>677</v>
      </c>
      <c r="L60" s="2" t="s">
        <v>182</v>
      </c>
      <c r="M60" s="2" t="s">
        <v>223</v>
      </c>
      <c r="N60" s="2">
        <v>2001</v>
      </c>
      <c r="O60" s="2" t="s">
        <v>184</v>
      </c>
      <c r="P60" s="2" t="s">
        <v>225</v>
      </c>
      <c r="Q60" s="2" t="s">
        <v>226</v>
      </c>
      <c r="R60" s="2" t="s">
        <v>188</v>
      </c>
      <c r="S60" s="2">
        <v>9</v>
      </c>
      <c r="T60" s="2" t="s">
        <v>188</v>
      </c>
      <c r="U60" s="2" t="s">
        <v>188</v>
      </c>
      <c r="Y60" s="2">
        <v>100</v>
      </c>
      <c r="Z60" s="2">
        <v>1</v>
      </c>
      <c r="AA60" s="2">
        <v>100</v>
      </c>
      <c r="AB60" s="2">
        <v>100</v>
      </c>
      <c r="AC60" s="2">
        <v>100</v>
      </c>
      <c r="AD60" s="2">
        <v>120</v>
      </c>
      <c r="AE60" s="2">
        <v>20</v>
      </c>
      <c r="AF60" s="2" t="s">
        <v>188</v>
      </c>
      <c r="AG60" s="2" t="s">
        <v>188</v>
      </c>
      <c r="AH60" s="2" t="s">
        <v>188</v>
      </c>
      <c r="AJ60" s="2" t="s">
        <v>188</v>
      </c>
      <c r="AK60" s="2" t="s">
        <v>188</v>
      </c>
      <c r="AL60" s="2" t="s">
        <v>188</v>
      </c>
      <c r="AM60" s="2" t="s">
        <v>188</v>
      </c>
      <c r="AN60" s="2" t="s">
        <v>188</v>
      </c>
      <c r="AO60" s="2" t="s">
        <v>188</v>
      </c>
      <c r="AR60" s="2">
        <v>1.5</v>
      </c>
      <c r="AS60" s="2">
        <v>2</v>
      </c>
      <c r="AT60" s="2">
        <v>1.2</v>
      </c>
      <c r="AU60" s="2" t="s">
        <v>238</v>
      </c>
      <c r="AV60" s="2" t="s">
        <v>238</v>
      </c>
      <c r="AW60" s="2" t="s">
        <v>188</v>
      </c>
      <c r="BC60" s="2" t="s">
        <v>192</v>
      </c>
      <c r="BD60" s="2" t="s">
        <v>188</v>
      </c>
      <c r="BE60" s="2" t="s">
        <v>188</v>
      </c>
      <c r="BL60" s="2" t="s">
        <v>240</v>
      </c>
      <c r="BO60" s="2" t="s">
        <v>188</v>
      </c>
      <c r="BQ60" s="2" t="s">
        <v>200</v>
      </c>
      <c r="BS60" s="2" t="s">
        <v>187</v>
      </c>
      <c r="BT60" s="2" t="s">
        <v>261</v>
      </c>
      <c r="BV60" s="2" t="s">
        <v>502</v>
      </c>
      <c r="BX60" s="2" t="s">
        <v>188</v>
      </c>
      <c r="BY60" s="2" t="s">
        <v>678</v>
      </c>
      <c r="BZ60" s="2" t="s">
        <v>203</v>
      </c>
      <c r="CE60" s="2">
        <v>1.2</v>
      </c>
      <c r="CF60" s="2">
        <v>120</v>
      </c>
      <c r="CK60" s="2">
        <v>100</v>
      </c>
      <c r="CP60" s="2">
        <v>100</v>
      </c>
      <c r="CR60" s="2" t="s">
        <v>204</v>
      </c>
      <c r="CT60" s="2" t="s">
        <v>188</v>
      </c>
      <c r="CU60" s="2" t="s">
        <v>205</v>
      </c>
      <c r="CW60" s="2" t="s">
        <v>206</v>
      </c>
      <c r="CY60" s="2" t="s">
        <v>300</v>
      </c>
      <c r="CZ60" s="2" t="s">
        <v>300</v>
      </c>
      <c r="DA60" s="2" t="s">
        <v>300</v>
      </c>
      <c r="DB60" s="2" t="s">
        <v>300</v>
      </c>
      <c r="DC60" s="2" t="s">
        <v>300</v>
      </c>
      <c r="DD60" s="2" t="s">
        <v>300</v>
      </c>
      <c r="DE60" s="2" t="s">
        <v>300</v>
      </c>
      <c r="DF60" s="2" t="s">
        <v>300</v>
      </c>
      <c r="DG60" s="2" t="s">
        <v>300</v>
      </c>
      <c r="DH60" s="2" t="s">
        <v>300</v>
      </c>
      <c r="DI60" s="2" t="s">
        <v>300</v>
      </c>
      <c r="DL60" s="2" t="s">
        <v>188</v>
      </c>
      <c r="DM60" s="2" t="s">
        <v>188</v>
      </c>
      <c r="DP60" s="2" t="s">
        <v>203</v>
      </c>
      <c r="DT60" s="2" t="s">
        <v>203</v>
      </c>
      <c r="DU60" s="2" t="s">
        <v>203</v>
      </c>
      <c r="DV60" s="2" t="s">
        <v>203</v>
      </c>
      <c r="DW60" s="2" t="s">
        <v>203</v>
      </c>
      <c r="DX60" s="2" t="s">
        <v>203</v>
      </c>
      <c r="DY60" s="2" t="s">
        <v>203</v>
      </c>
      <c r="DZ60" s="2" t="s">
        <v>203</v>
      </c>
      <c r="EA60" s="2" t="s">
        <v>203</v>
      </c>
      <c r="EB60" s="2" t="s">
        <v>203</v>
      </c>
      <c r="EC60" s="2" t="s">
        <v>203</v>
      </c>
      <c r="EF60" s="2" t="s">
        <v>302</v>
      </c>
      <c r="EG60" s="2" t="s">
        <v>679</v>
      </c>
      <c r="EJ60" s="2" t="s">
        <v>203</v>
      </c>
      <c r="EK60" s="2" t="s">
        <v>188</v>
      </c>
      <c r="EL60" s="2" t="s">
        <v>188</v>
      </c>
      <c r="EN60" s="2" t="s">
        <v>214</v>
      </c>
      <c r="EP60" s="2" t="s">
        <v>230</v>
      </c>
      <c r="ER60" s="2" t="s">
        <v>188</v>
      </c>
      <c r="ET60" s="2" t="s">
        <v>188</v>
      </c>
      <c r="EV60" s="2" t="s">
        <v>188</v>
      </c>
      <c r="EX60" s="2" t="s">
        <v>188</v>
      </c>
      <c r="EZ60" s="2" t="s">
        <v>188</v>
      </c>
      <c r="FC60" s="2" t="s">
        <v>263</v>
      </c>
      <c r="FD60" s="2" t="s">
        <v>188</v>
      </c>
      <c r="FH60" s="2" t="s">
        <v>188</v>
      </c>
      <c r="FJ60" s="2" t="s">
        <v>188</v>
      </c>
      <c r="FK60" s="2" t="s">
        <v>203</v>
      </c>
      <c r="FN60" s="2" t="s">
        <v>432</v>
      </c>
      <c r="FR60" s="2" t="s">
        <v>680</v>
      </c>
      <c r="FT60" s="2" t="s">
        <v>233</v>
      </c>
      <c r="FU60" s="2" t="s">
        <v>233</v>
      </c>
      <c r="FV60" s="2" t="s">
        <v>219</v>
      </c>
      <c r="FW60" s="2" t="s">
        <v>219</v>
      </c>
      <c r="FX60" s="2" t="s">
        <v>219</v>
      </c>
      <c r="FY60" s="2" t="s">
        <v>681</v>
      </c>
      <c r="FZ60" s="4">
        <v>46039.461215277777</v>
      </c>
    </row>
    <row r="61" spans="1:182">
      <c r="A61" s="2" t="s">
        <v>682</v>
      </c>
      <c r="D61" s="3">
        <v>46031.347349537042</v>
      </c>
      <c r="E61" s="2" t="s">
        <v>683</v>
      </c>
      <c r="F61" s="2" t="s">
        <v>398</v>
      </c>
      <c r="G61" s="2" t="s">
        <v>179</v>
      </c>
      <c r="H61" s="2" t="s">
        <v>399</v>
      </c>
      <c r="I61" s="2" t="s">
        <v>684</v>
      </c>
      <c r="J61" s="2">
        <v>366097007</v>
      </c>
      <c r="K61" s="2" t="s">
        <v>684</v>
      </c>
      <c r="L61" s="2" t="s">
        <v>182</v>
      </c>
      <c r="M61" s="2" t="s">
        <v>183</v>
      </c>
      <c r="N61" s="2">
        <v>1975</v>
      </c>
      <c r="O61" s="2" t="s">
        <v>224</v>
      </c>
      <c r="P61" s="2" t="s">
        <v>185</v>
      </c>
      <c r="Q61" s="2" t="s">
        <v>685</v>
      </c>
      <c r="R61" s="2" t="s">
        <v>188</v>
      </c>
      <c r="S61" s="2">
        <v>19</v>
      </c>
      <c r="T61" s="2" t="s">
        <v>188</v>
      </c>
      <c r="U61" s="2" t="s">
        <v>188</v>
      </c>
      <c r="Y61" s="2">
        <v>772</v>
      </c>
      <c r="Z61" s="2">
        <v>0.5181</v>
      </c>
      <c r="AA61" s="2">
        <v>400</v>
      </c>
      <c r="AB61" s="2">
        <v>400</v>
      </c>
      <c r="AC61" s="2">
        <v>400</v>
      </c>
      <c r="AD61" s="2">
        <v>500</v>
      </c>
      <c r="AE61" s="2">
        <v>100</v>
      </c>
      <c r="AF61" s="2" t="s">
        <v>188</v>
      </c>
      <c r="AG61" s="2" t="s">
        <v>188</v>
      </c>
      <c r="AH61" s="2" t="s">
        <v>188</v>
      </c>
      <c r="AJ61" s="2" t="s">
        <v>188</v>
      </c>
      <c r="AK61" s="2" t="s">
        <v>188</v>
      </c>
      <c r="AL61" s="2" t="s">
        <v>187</v>
      </c>
      <c r="AM61" s="2" t="s">
        <v>188</v>
      </c>
      <c r="AN61" s="2" t="s">
        <v>188</v>
      </c>
      <c r="AO61" s="2" t="s">
        <v>188</v>
      </c>
      <c r="AR61" s="2">
        <v>1.1499999999999999</v>
      </c>
      <c r="AS61" s="2">
        <v>2</v>
      </c>
      <c r="AT61" s="2">
        <v>5</v>
      </c>
      <c r="AU61" s="2" t="s">
        <v>189</v>
      </c>
      <c r="AV61" s="2" t="s">
        <v>189</v>
      </c>
      <c r="AW61" s="2" t="s">
        <v>188</v>
      </c>
      <c r="BC61" s="2" t="s">
        <v>192</v>
      </c>
      <c r="BD61" s="2" t="s">
        <v>188</v>
      </c>
      <c r="BE61" s="2" t="s">
        <v>188</v>
      </c>
      <c r="BL61" s="2" t="s">
        <v>197</v>
      </c>
      <c r="BM61" s="2" t="s">
        <v>198</v>
      </c>
      <c r="BN61" s="2" t="s">
        <v>199</v>
      </c>
      <c r="BO61" s="2" t="s">
        <v>188</v>
      </c>
      <c r="BQ61" s="2" t="s">
        <v>227</v>
      </c>
      <c r="BS61" s="2" t="s">
        <v>187</v>
      </c>
      <c r="BT61" s="2" t="s">
        <v>521</v>
      </c>
      <c r="BV61" s="2" t="s">
        <v>686</v>
      </c>
      <c r="BX61" s="2" t="s">
        <v>187</v>
      </c>
      <c r="BY61" s="2" t="s">
        <v>687</v>
      </c>
      <c r="BZ61" s="2" t="s">
        <v>203</v>
      </c>
      <c r="CE61" s="2">
        <v>5</v>
      </c>
      <c r="CF61" s="2">
        <v>500</v>
      </c>
      <c r="CK61" s="2">
        <v>100</v>
      </c>
      <c r="CP61" s="2">
        <v>100</v>
      </c>
      <c r="CR61" s="2" t="s">
        <v>204</v>
      </c>
      <c r="CT61" s="2" t="s">
        <v>188</v>
      </c>
      <c r="CU61" s="2" t="s">
        <v>205</v>
      </c>
      <c r="CW61" s="2" t="s">
        <v>206</v>
      </c>
      <c r="CY61" s="2" t="s">
        <v>207</v>
      </c>
      <c r="CZ61" s="2" t="s">
        <v>300</v>
      </c>
      <c r="DA61" s="2" t="s">
        <v>207</v>
      </c>
      <c r="DB61" s="2" t="s">
        <v>207</v>
      </c>
      <c r="DC61" s="2" t="s">
        <v>300</v>
      </c>
      <c r="DD61" s="2" t="s">
        <v>300</v>
      </c>
      <c r="DE61" s="2" t="s">
        <v>300</v>
      </c>
      <c r="DF61" s="2" t="s">
        <v>207</v>
      </c>
      <c r="DG61" s="2" t="s">
        <v>207</v>
      </c>
      <c r="DH61" s="2" t="s">
        <v>207</v>
      </c>
      <c r="DI61" s="2" t="s">
        <v>207</v>
      </c>
      <c r="DL61" s="2" t="s">
        <v>187</v>
      </c>
      <c r="DM61" s="2" t="s">
        <v>187</v>
      </c>
      <c r="DN61" s="2" t="s">
        <v>187</v>
      </c>
      <c r="DO61" s="2" t="s">
        <v>187</v>
      </c>
      <c r="DP61" s="2" t="s">
        <v>209</v>
      </c>
      <c r="DQ61" s="2" t="s">
        <v>467</v>
      </c>
      <c r="DR61" s="2" t="s">
        <v>688</v>
      </c>
      <c r="DT61" s="2" t="s">
        <v>209</v>
      </c>
      <c r="DU61" s="2" t="s">
        <v>209</v>
      </c>
      <c r="DV61" s="2" t="s">
        <v>209</v>
      </c>
      <c r="DW61" s="2" t="s">
        <v>209</v>
      </c>
      <c r="DX61" s="2" t="s">
        <v>209</v>
      </c>
      <c r="DY61" s="2" t="s">
        <v>209</v>
      </c>
      <c r="DZ61" s="2" t="s">
        <v>209</v>
      </c>
      <c r="EA61" s="2" t="s">
        <v>209</v>
      </c>
      <c r="EB61" s="2" t="s">
        <v>209</v>
      </c>
      <c r="EC61" s="2" t="s">
        <v>188</v>
      </c>
      <c r="EF61" s="2" t="s">
        <v>189</v>
      </c>
      <c r="EG61" s="2" t="s">
        <v>689</v>
      </c>
      <c r="EJ61" s="2" t="s">
        <v>212</v>
      </c>
      <c r="EK61" s="2" t="s">
        <v>187</v>
      </c>
      <c r="EL61" s="2" t="s">
        <v>187</v>
      </c>
      <c r="EM61" s="2" t="s">
        <v>690</v>
      </c>
      <c r="EN61" s="2" t="s">
        <v>214</v>
      </c>
      <c r="EP61" s="2" t="s">
        <v>230</v>
      </c>
      <c r="ER61" s="2" t="s">
        <v>187</v>
      </c>
      <c r="ET61" s="2" t="s">
        <v>188</v>
      </c>
      <c r="EV61" s="2" t="s">
        <v>188</v>
      </c>
      <c r="EX61" s="2" t="s">
        <v>188</v>
      </c>
      <c r="EZ61" s="2" t="s">
        <v>188</v>
      </c>
      <c r="FC61" s="2" t="s">
        <v>216</v>
      </c>
      <c r="FD61" s="2" t="s">
        <v>188</v>
      </c>
      <c r="FH61" s="2" t="s">
        <v>188</v>
      </c>
      <c r="FJ61" s="2" t="s">
        <v>188</v>
      </c>
      <c r="FK61" s="2" t="s">
        <v>209</v>
      </c>
      <c r="FL61" s="2" t="s">
        <v>319</v>
      </c>
      <c r="FN61" s="2" t="s">
        <v>432</v>
      </c>
      <c r="FR61" s="2" t="s">
        <v>691</v>
      </c>
      <c r="FT61" s="2" t="s">
        <v>233</v>
      </c>
      <c r="FU61" s="2" t="s">
        <v>219</v>
      </c>
      <c r="FV61" s="2" t="s">
        <v>219</v>
      </c>
      <c r="FW61" s="2" t="s">
        <v>219</v>
      </c>
      <c r="FX61" s="2" t="s">
        <v>233</v>
      </c>
      <c r="FY61" s="2" t="s">
        <v>692</v>
      </c>
      <c r="FZ61" s="4">
        <v>46039.478726851848</v>
      </c>
    </row>
    <row r="62" spans="1:182">
      <c r="A62" s="2" t="s">
        <v>693</v>
      </c>
      <c r="D62" s="3">
        <v>46031.379664351851</v>
      </c>
      <c r="E62" s="2" t="s">
        <v>694</v>
      </c>
      <c r="F62" s="2" t="s">
        <v>398</v>
      </c>
      <c r="G62" s="2" t="s">
        <v>179</v>
      </c>
      <c r="H62" s="2" t="s">
        <v>665</v>
      </c>
      <c r="I62" s="2" t="s">
        <v>695</v>
      </c>
      <c r="J62" s="2">
        <v>384672674</v>
      </c>
      <c r="K62" s="2" t="s">
        <v>224</v>
      </c>
      <c r="L62" s="2" t="s">
        <v>182</v>
      </c>
      <c r="M62" s="2" t="s">
        <v>223</v>
      </c>
      <c r="N62" s="2">
        <v>1998</v>
      </c>
      <c r="O62" s="2" t="s">
        <v>184</v>
      </c>
      <c r="P62" s="2" t="s">
        <v>225</v>
      </c>
      <c r="Q62" s="2" t="s">
        <v>186</v>
      </c>
      <c r="R62" s="2" t="s">
        <v>188</v>
      </c>
      <c r="S62" s="2">
        <v>10</v>
      </c>
      <c r="T62" s="2" t="s">
        <v>188</v>
      </c>
      <c r="U62" s="2" t="s">
        <v>188</v>
      </c>
      <c r="Y62" s="2">
        <v>115</v>
      </c>
      <c r="Z62" s="2">
        <v>0.69569999999999999</v>
      </c>
      <c r="AA62" s="2">
        <v>80</v>
      </c>
      <c r="AB62" s="2">
        <v>80</v>
      </c>
      <c r="AC62" s="2">
        <v>80</v>
      </c>
      <c r="AD62" s="2">
        <v>100</v>
      </c>
      <c r="AE62" s="2">
        <v>20</v>
      </c>
      <c r="AF62" s="2" t="s">
        <v>188</v>
      </c>
      <c r="AG62" s="2" t="s">
        <v>188</v>
      </c>
      <c r="AH62" s="2" t="s">
        <v>188</v>
      </c>
      <c r="AJ62" s="2" t="s">
        <v>188</v>
      </c>
      <c r="AK62" s="2" t="s">
        <v>188</v>
      </c>
      <c r="AL62" s="2" t="s">
        <v>187</v>
      </c>
      <c r="AM62" s="2" t="s">
        <v>188</v>
      </c>
      <c r="AN62" s="2" t="s">
        <v>188</v>
      </c>
      <c r="AO62" s="2" t="s">
        <v>188</v>
      </c>
      <c r="AR62" s="2">
        <v>0.4</v>
      </c>
      <c r="AS62" s="2">
        <v>2</v>
      </c>
      <c r="AT62" s="2">
        <v>1</v>
      </c>
      <c r="AU62" s="2" t="s">
        <v>189</v>
      </c>
      <c r="AV62" s="2" t="s">
        <v>189</v>
      </c>
      <c r="AW62" s="2" t="s">
        <v>188</v>
      </c>
      <c r="AZ62" s="2" t="s">
        <v>190</v>
      </c>
      <c r="BB62" s="2" t="s">
        <v>260</v>
      </c>
      <c r="BC62" s="2" t="s">
        <v>192</v>
      </c>
      <c r="BD62" s="2" t="s">
        <v>187</v>
      </c>
      <c r="BE62" s="2" t="s">
        <v>187</v>
      </c>
      <c r="BF62" s="2" t="s">
        <v>193</v>
      </c>
      <c r="BG62" s="2" t="s">
        <v>194</v>
      </c>
      <c r="BH62" s="2" t="s">
        <v>195</v>
      </c>
      <c r="BI62" s="2" t="s">
        <v>448</v>
      </c>
      <c r="BL62" s="2" t="s">
        <v>240</v>
      </c>
      <c r="BO62" s="2" t="s">
        <v>188</v>
      </c>
      <c r="BQ62" s="2" t="s">
        <v>200</v>
      </c>
      <c r="BS62" s="2" t="s">
        <v>187</v>
      </c>
      <c r="BT62" s="2" t="s">
        <v>201</v>
      </c>
      <c r="BV62" s="2" t="s">
        <v>587</v>
      </c>
      <c r="BX62" s="2" t="s">
        <v>188</v>
      </c>
      <c r="BY62" s="2" t="s">
        <v>696</v>
      </c>
      <c r="BZ62" s="2" t="s">
        <v>203</v>
      </c>
      <c r="CE62" s="2">
        <v>1</v>
      </c>
      <c r="CF62" s="2">
        <v>100</v>
      </c>
      <c r="CK62" s="2">
        <v>100</v>
      </c>
      <c r="CP62" s="2">
        <v>100</v>
      </c>
      <c r="CR62" s="2" t="s">
        <v>204</v>
      </c>
      <c r="CT62" s="2" t="s">
        <v>188</v>
      </c>
      <c r="CU62" s="2" t="s">
        <v>205</v>
      </c>
      <c r="CW62" s="2" t="s">
        <v>206</v>
      </c>
      <c r="CY62" s="2" t="s">
        <v>300</v>
      </c>
      <c r="CZ62" s="2" t="s">
        <v>300</v>
      </c>
      <c r="DA62" s="2" t="s">
        <v>300</v>
      </c>
      <c r="DB62" s="2" t="s">
        <v>300</v>
      </c>
      <c r="DC62" s="2" t="s">
        <v>300</v>
      </c>
      <c r="DD62" s="2" t="s">
        <v>300</v>
      </c>
      <c r="DE62" s="2" t="s">
        <v>300</v>
      </c>
      <c r="DF62" s="2" t="s">
        <v>300</v>
      </c>
      <c r="DG62" s="2" t="s">
        <v>300</v>
      </c>
      <c r="DH62" s="2" t="s">
        <v>300</v>
      </c>
      <c r="DI62" s="2" t="s">
        <v>300</v>
      </c>
      <c r="DL62" s="2" t="s">
        <v>188</v>
      </c>
      <c r="DM62" s="2" t="s">
        <v>188</v>
      </c>
      <c r="DP62" s="2" t="s">
        <v>203</v>
      </c>
      <c r="DT62" s="2" t="s">
        <v>203</v>
      </c>
      <c r="DU62" s="2" t="s">
        <v>203</v>
      </c>
      <c r="DV62" s="2" t="s">
        <v>203</v>
      </c>
      <c r="DW62" s="2" t="s">
        <v>203</v>
      </c>
      <c r="DX62" s="2" t="s">
        <v>203</v>
      </c>
      <c r="DY62" s="2" t="s">
        <v>203</v>
      </c>
      <c r="DZ62" s="2" t="s">
        <v>203</v>
      </c>
      <c r="EA62" s="2" t="s">
        <v>203</v>
      </c>
      <c r="EB62" s="2" t="s">
        <v>203</v>
      </c>
      <c r="EC62" s="2" t="s">
        <v>203</v>
      </c>
      <c r="EF62" s="2" t="s">
        <v>302</v>
      </c>
      <c r="EG62" s="2" t="s">
        <v>697</v>
      </c>
      <c r="EJ62" s="2" t="s">
        <v>203</v>
      </c>
      <c r="EK62" s="2" t="s">
        <v>188</v>
      </c>
      <c r="EL62" s="2" t="s">
        <v>188</v>
      </c>
      <c r="EN62" s="2" t="s">
        <v>214</v>
      </c>
      <c r="EP62" s="2" t="s">
        <v>230</v>
      </c>
      <c r="ER62" s="2" t="s">
        <v>188</v>
      </c>
      <c r="ET62" s="2" t="s">
        <v>188</v>
      </c>
      <c r="EV62" s="2" t="s">
        <v>188</v>
      </c>
      <c r="EX62" s="2" t="s">
        <v>188</v>
      </c>
      <c r="EZ62" s="2" t="s">
        <v>188</v>
      </c>
      <c r="FC62" s="2" t="s">
        <v>216</v>
      </c>
      <c r="FD62" s="2" t="s">
        <v>188</v>
      </c>
      <c r="FH62" s="2" t="s">
        <v>188</v>
      </c>
      <c r="FJ62" s="2" t="s">
        <v>188</v>
      </c>
      <c r="FK62" s="2" t="s">
        <v>203</v>
      </c>
      <c r="FR62" s="2" t="s">
        <v>672</v>
      </c>
      <c r="FT62" s="2" t="s">
        <v>233</v>
      </c>
      <c r="FU62" s="2" t="s">
        <v>233</v>
      </c>
      <c r="FV62" s="2" t="s">
        <v>219</v>
      </c>
      <c r="FW62" s="2" t="s">
        <v>219</v>
      </c>
      <c r="FX62" s="2" t="s">
        <v>219</v>
      </c>
      <c r="FY62" s="2" t="s">
        <v>698</v>
      </c>
      <c r="FZ62" s="4">
        <v>46039.543182870373</v>
      </c>
    </row>
    <row r="63" spans="1:182">
      <c r="A63" s="2" t="s">
        <v>699</v>
      </c>
      <c r="D63" s="3">
        <v>46031.393807870365</v>
      </c>
      <c r="E63" s="2" t="s">
        <v>700</v>
      </c>
      <c r="F63" s="2" t="s">
        <v>480</v>
      </c>
      <c r="G63" s="2" t="s">
        <v>179</v>
      </c>
      <c r="H63" s="2" t="s">
        <v>701</v>
      </c>
      <c r="I63" s="2" t="s">
        <v>702</v>
      </c>
      <c r="J63" s="2">
        <v>362476811</v>
      </c>
      <c r="K63" s="2" t="s">
        <v>703</v>
      </c>
      <c r="L63" s="2" t="s">
        <v>182</v>
      </c>
      <c r="M63" s="2" t="s">
        <v>183</v>
      </c>
      <c r="N63" s="2">
        <v>1999</v>
      </c>
      <c r="O63" s="2" t="s">
        <v>184</v>
      </c>
      <c r="P63" s="2" t="s">
        <v>237</v>
      </c>
      <c r="Q63" s="2" t="s">
        <v>226</v>
      </c>
      <c r="R63" s="2" t="s">
        <v>188</v>
      </c>
      <c r="S63" s="2">
        <v>10</v>
      </c>
      <c r="T63" s="2" t="s">
        <v>188</v>
      </c>
      <c r="U63" s="2" t="s">
        <v>188</v>
      </c>
      <c r="Y63" s="2">
        <v>326</v>
      </c>
      <c r="Z63" s="2">
        <v>1</v>
      </c>
      <c r="AA63" s="2">
        <v>326</v>
      </c>
      <c r="AB63" s="2">
        <v>212</v>
      </c>
      <c r="AC63" s="2">
        <v>197</v>
      </c>
      <c r="AD63" s="2">
        <v>227</v>
      </c>
      <c r="AE63" s="2">
        <v>30</v>
      </c>
      <c r="AF63" s="2" t="s">
        <v>188</v>
      </c>
      <c r="AG63" s="2" t="s">
        <v>188</v>
      </c>
      <c r="AH63" s="2" t="s">
        <v>188</v>
      </c>
      <c r="AJ63" s="2" t="s">
        <v>188</v>
      </c>
      <c r="AK63" s="2" t="s">
        <v>188</v>
      </c>
      <c r="AL63" s="2" t="s">
        <v>188</v>
      </c>
      <c r="AM63" s="2" t="s">
        <v>187</v>
      </c>
      <c r="AN63" s="2" t="s">
        <v>188</v>
      </c>
      <c r="AO63" s="2" t="s">
        <v>188</v>
      </c>
      <c r="AR63" s="2">
        <v>0.5</v>
      </c>
      <c r="AS63" s="2">
        <v>1</v>
      </c>
      <c r="AT63" s="2">
        <v>2.2999999999999998</v>
      </c>
      <c r="AU63" s="2" t="s">
        <v>238</v>
      </c>
      <c r="AV63" s="2" t="s">
        <v>238</v>
      </c>
      <c r="AW63" s="2" t="s">
        <v>188</v>
      </c>
      <c r="BC63" s="2" t="s">
        <v>192</v>
      </c>
      <c r="BD63" s="2" t="s">
        <v>187</v>
      </c>
      <c r="BE63" s="2" t="s">
        <v>188</v>
      </c>
      <c r="BL63" s="2" t="s">
        <v>240</v>
      </c>
      <c r="BO63" s="2" t="s">
        <v>188</v>
      </c>
      <c r="BQ63" s="2" t="s">
        <v>227</v>
      </c>
      <c r="BS63" s="2" t="s">
        <v>187</v>
      </c>
      <c r="BT63" s="2" t="s">
        <v>484</v>
      </c>
      <c r="BV63" s="2" t="s">
        <v>704</v>
      </c>
      <c r="BX63" s="2" t="s">
        <v>187</v>
      </c>
      <c r="BY63" s="2" t="s">
        <v>705</v>
      </c>
      <c r="BZ63" s="2" t="s">
        <v>188</v>
      </c>
      <c r="CE63" s="2">
        <v>2.2999999999999998</v>
      </c>
      <c r="CF63" s="2">
        <v>227</v>
      </c>
      <c r="CM63" s="2">
        <v>100</v>
      </c>
      <c r="CO63" s="2">
        <v>100</v>
      </c>
      <c r="CP63" s="2">
        <v>0</v>
      </c>
      <c r="CR63" s="2" t="s">
        <v>343</v>
      </c>
      <c r="CT63" s="2" t="s">
        <v>188</v>
      </c>
      <c r="CU63" s="2" t="s">
        <v>205</v>
      </c>
      <c r="CW63" s="2" t="s">
        <v>206</v>
      </c>
      <c r="CY63" s="2" t="s">
        <v>207</v>
      </c>
      <c r="CZ63" s="2" t="s">
        <v>207</v>
      </c>
      <c r="DA63" s="2" t="s">
        <v>300</v>
      </c>
      <c r="DB63" s="2" t="s">
        <v>300</v>
      </c>
      <c r="DC63" s="2" t="s">
        <v>430</v>
      </c>
      <c r="DD63" s="2" t="s">
        <v>300</v>
      </c>
      <c r="DE63" s="2" t="s">
        <v>207</v>
      </c>
      <c r="DF63" s="2" t="s">
        <v>207</v>
      </c>
      <c r="DG63" s="2" t="s">
        <v>207</v>
      </c>
      <c r="DH63" s="2" t="s">
        <v>207</v>
      </c>
      <c r="DI63" s="2" t="s">
        <v>300</v>
      </c>
      <c r="DL63" s="2" t="s">
        <v>187</v>
      </c>
      <c r="DM63" s="2" t="s">
        <v>187</v>
      </c>
      <c r="DN63" s="2" t="s">
        <v>187</v>
      </c>
      <c r="DO63" s="2" t="s">
        <v>187</v>
      </c>
      <c r="DP63" s="2" t="s">
        <v>209</v>
      </c>
      <c r="DQ63" s="2" t="s">
        <v>467</v>
      </c>
      <c r="DR63" s="2" t="s">
        <v>706</v>
      </c>
      <c r="DT63" s="2" t="s">
        <v>209</v>
      </c>
      <c r="DU63" s="2" t="s">
        <v>209</v>
      </c>
      <c r="DV63" s="2" t="s">
        <v>209</v>
      </c>
      <c r="DW63" s="2" t="s">
        <v>209</v>
      </c>
      <c r="DX63" s="2" t="s">
        <v>209</v>
      </c>
      <c r="DY63" s="2" t="s">
        <v>209</v>
      </c>
      <c r="DZ63" s="2" t="s">
        <v>203</v>
      </c>
      <c r="EA63" s="2" t="s">
        <v>209</v>
      </c>
      <c r="EB63" s="2" t="s">
        <v>209</v>
      </c>
      <c r="EC63" s="2" t="s">
        <v>203</v>
      </c>
      <c r="ED63" s="2" t="s">
        <v>203</v>
      </c>
      <c r="EF63" s="2" t="s">
        <v>189</v>
      </c>
      <c r="EG63" s="2" t="s">
        <v>707</v>
      </c>
      <c r="EJ63" s="2" t="s">
        <v>238</v>
      </c>
      <c r="EK63" s="2" t="s">
        <v>187</v>
      </c>
      <c r="EL63" s="2" t="s">
        <v>188</v>
      </c>
      <c r="EN63" s="2" t="s">
        <v>214</v>
      </c>
      <c r="EP63" s="2" t="s">
        <v>230</v>
      </c>
      <c r="ER63" s="2" t="s">
        <v>187</v>
      </c>
      <c r="ET63" s="2" t="s">
        <v>188</v>
      </c>
      <c r="EV63" s="2" t="s">
        <v>187</v>
      </c>
      <c r="EW63" s="2" t="s">
        <v>215</v>
      </c>
      <c r="EX63" s="2" t="s">
        <v>188</v>
      </c>
      <c r="EZ63" s="2" t="s">
        <v>188</v>
      </c>
      <c r="FC63" s="2" t="s">
        <v>263</v>
      </c>
      <c r="FD63" s="2" t="s">
        <v>188</v>
      </c>
      <c r="FH63" s="2" t="s">
        <v>188</v>
      </c>
      <c r="FJ63" s="2" t="s">
        <v>188</v>
      </c>
      <c r="FK63" s="2" t="s">
        <v>188</v>
      </c>
      <c r="FN63" s="2" t="s">
        <v>488</v>
      </c>
      <c r="FR63" s="2" t="s">
        <v>708</v>
      </c>
      <c r="FT63" s="2" t="s">
        <v>233</v>
      </c>
      <c r="FU63" s="2" t="s">
        <v>233</v>
      </c>
      <c r="FV63" s="2" t="s">
        <v>233</v>
      </c>
      <c r="FW63" s="2" t="s">
        <v>233</v>
      </c>
      <c r="FX63" s="2" t="s">
        <v>233</v>
      </c>
      <c r="FY63" s="2" t="s">
        <v>709</v>
      </c>
      <c r="FZ63" s="4">
        <v>46042.876446759263</v>
      </c>
    </row>
    <row r="64" spans="1:182">
      <c r="A64" s="2" t="s">
        <v>710</v>
      </c>
      <c r="D64" s="3">
        <v>46031.394583333335</v>
      </c>
      <c r="E64" s="2" t="s">
        <v>711</v>
      </c>
      <c r="F64" s="2" t="s">
        <v>425</v>
      </c>
      <c r="G64" s="2" t="s">
        <v>179</v>
      </c>
      <c r="H64" s="2" t="s">
        <v>712</v>
      </c>
      <c r="I64" s="2" t="s">
        <v>713</v>
      </c>
      <c r="J64" s="2">
        <v>946059601</v>
      </c>
      <c r="K64" s="2" t="s">
        <v>714</v>
      </c>
      <c r="L64" s="2" t="s">
        <v>269</v>
      </c>
      <c r="M64" s="2" t="s">
        <v>183</v>
      </c>
      <c r="N64" s="2">
        <v>2007</v>
      </c>
      <c r="O64" s="2" t="s">
        <v>184</v>
      </c>
      <c r="P64" s="2" t="s">
        <v>237</v>
      </c>
      <c r="Q64" s="2" t="s">
        <v>186</v>
      </c>
      <c r="R64" s="2" t="s">
        <v>188</v>
      </c>
      <c r="S64" s="2">
        <v>25</v>
      </c>
      <c r="T64" s="2" t="s">
        <v>188</v>
      </c>
      <c r="U64" s="2" t="s">
        <v>188</v>
      </c>
      <c r="Y64" s="2">
        <v>150</v>
      </c>
      <c r="Z64" s="2">
        <v>0.86670000000000003</v>
      </c>
      <c r="AA64" s="2">
        <v>130</v>
      </c>
      <c r="AB64" s="2">
        <v>125</v>
      </c>
      <c r="AC64" s="2">
        <v>115</v>
      </c>
      <c r="AD64" s="2">
        <v>130</v>
      </c>
      <c r="AE64" s="2">
        <v>15</v>
      </c>
      <c r="AF64" s="2" t="s">
        <v>187</v>
      </c>
      <c r="AG64" s="2" t="s">
        <v>188</v>
      </c>
      <c r="AH64" s="2" t="s">
        <v>188</v>
      </c>
      <c r="AJ64" s="2" t="s">
        <v>188</v>
      </c>
      <c r="AK64" s="2" t="s">
        <v>187</v>
      </c>
      <c r="AL64" s="2" t="s">
        <v>188</v>
      </c>
      <c r="AM64" s="2" t="s">
        <v>187</v>
      </c>
      <c r="AN64" s="2" t="s">
        <v>188</v>
      </c>
      <c r="AO64" s="2" t="s">
        <v>188</v>
      </c>
      <c r="AR64" s="2">
        <v>0.3</v>
      </c>
      <c r="AS64" s="2">
        <v>1</v>
      </c>
      <c r="AT64" s="2">
        <v>1.3</v>
      </c>
      <c r="AU64" s="2" t="s">
        <v>203</v>
      </c>
      <c r="AV64" s="2" t="s">
        <v>203</v>
      </c>
      <c r="AW64" s="2" t="s">
        <v>188</v>
      </c>
      <c r="AZ64" s="2" t="s">
        <v>357</v>
      </c>
      <c r="BB64" s="2" t="s">
        <v>260</v>
      </c>
      <c r="BC64" s="2" t="s">
        <v>253</v>
      </c>
      <c r="BD64" s="2" t="s">
        <v>188</v>
      </c>
      <c r="BE64" s="2" t="s">
        <v>188</v>
      </c>
      <c r="BL64" s="2" t="s">
        <v>240</v>
      </c>
      <c r="BO64" s="2" t="s">
        <v>341</v>
      </c>
      <c r="BP64" s="2" t="s">
        <v>342</v>
      </c>
      <c r="BS64" s="2" t="s">
        <v>188</v>
      </c>
      <c r="BT64" s="2" t="s">
        <v>69</v>
      </c>
      <c r="BU64" s="2" t="s">
        <v>544</v>
      </c>
      <c r="BV64" s="2" t="s">
        <v>630</v>
      </c>
      <c r="BX64" s="2" t="s">
        <v>188</v>
      </c>
      <c r="BZ64" s="2" t="s">
        <v>188</v>
      </c>
      <c r="CE64" s="2">
        <v>1.3</v>
      </c>
      <c r="CF64" s="2">
        <v>130</v>
      </c>
      <c r="CK64" s="2">
        <v>100</v>
      </c>
      <c r="CO64" s="2">
        <v>100</v>
      </c>
      <c r="CR64" s="2" t="s">
        <v>343</v>
      </c>
      <c r="CT64" s="2" t="s">
        <v>188</v>
      </c>
      <c r="CU64" s="2" t="s">
        <v>205</v>
      </c>
      <c r="CW64" s="2" t="s">
        <v>206</v>
      </c>
      <c r="CY64" s="2" t="s">
        <v>300</v>
      </c>
      <c r="CZ64" s="2" t="s">
        <v>300</v>
      </c>
      <c r="DA64" s="2" t="s">
        <v>300</v>
      </c>
      <c r="DB64" s="2" t="s">
        <v>300</v>
      </c>
      <c r="DC64" s="2" t="s">
        <v>430</v>
      </c>
      <c r="DD64" s="2" t="s">
        <v>430</v>
      </c>
      <c r="DE64" s="2" t="s">
        <v>300</v>
      </c>
      <c r="DF64" s="2" t="s">
        <v>430</v>
      </c>
      <c r="DG64" s="2" t="s">
        <v>430</v>
      </c>
      <c r="DH64" s="2" t="s">
        <v>430</v>
      </c>
      <c r="DI64" s="2" t="s">
        <v>430</v>
      </c>
      <c r="DL64" s="2" t="s">
        <v>188</v>
      </c>
      <c r="DM64" s="2" t="s">
        <v>188</v>
      </c>
      <c r="DP64" s="2" t="s">
        <v>188</v>
      </c>
      <c r="DT64" s="2" t="s">
        <v>203</v>
      </c>
      <c r="DU64" s="2" t="s">
        <v>203</v>
      </c>
      <c r="DV64" s="2" t="s">
        <v>203</v>
      </c>
      <c r="DW64" s="2" t="s">
        <v>203</v>
      </c>
      <c r="DX64" s="2" t="s">
        <v>203</v>
      </c>
      <c r="DY64" s="2" t="s">
        <v>203</v>
      </c>
      <c r="DZ64" s="2" t="s">
        <v>203</v>
      </c>
      <c r="EA64" s="2" t="s">
        <v>203</v>
      </c>
      <c r="EB64" s="2" t="s">
        <v>203</v>
      </c>
      <c r="EC64" s="2" t="s">
        <v>203</v>
      </c>
      <c r="EF64" s="2" t="s">
        <v>302</v>
      </c>
      <c r="EG64" s="2" t="s">
        <v>431</v>
      </c>
      <c r="EJ64" s="2" t="s">
        <v>203</v>
      </c>
      <c r="EK64" s="2" t="s">
        <v>188</v>
      </c>
      <c r="EL64" s="2" t="s">
        <v>188</v>
      </c>
      <c r="EN64" s="2" t="s">
        <v>255</v>
      </c>
      <c r="EP64" s="2" t="s">
        <v>230</v>
      </c>
      <c r="ER64" s="2" t="s">
        <v>188</v>
      </c>
      <c r="ET64" s="2" t="s">
        <v>188</v>
      </c>
      <c r="EV64" s="2" t="s">
        <v>188</v>
      </c>
      <c r="EX64" s="2" t="s">
        <v>188</v>
      </c>
      <c r="EZ64" s="2" t="s">
        <v>188</v>
      </c>
      <c r="FC64" s="2" t="s">
        <v>263</v>
      </c>
      <c r="FD64" s="2" t="s">
        <v>188</v>
      </c>
      <c r="FH64" s="2" t="s">
        <v>188</v>
      </c>
      <c r="FJ64" s="2" t="s">
        <v>188</v>
      </c>
      <c r="FK64" s="2" t="s">
        <v>188</v>
      </c>
      <c r="FR64" s="2" t="s">
        <v>433</v>
      </c>
      <c r="FT64" s="2" t="s">
        <v>219</v>
      </c>
      <c r="FU64" s="2" t="s">
        <v>219</v>
      </c>
      <c r="FV64" s="2" t="s">
        <v>233</v>
      </c>
      <c r="FW64" s="2" t="s">
        <v>233</v>
      </c>
      <c r="FZ64" s="4">
        <v>46040.840474537035</v>
      </c>
    </row>
    <row r="65" spans="1:182">
      <c r="A65" s="2" t="s">
        <v>715</v>
      </c>
      <c r="D65" s="3">
        <v>46031.408715277779</v>
      </c>
      <c r="E65" s="2" t="s">
        <v>716</v>
      </c>
      <c r="F65" s="2" t="s">
        <v>590</v>
      </c>
      <c r="G65" s="2" t="s">
        <v>179</v>
      </c>
      <c r="H65" s="2" t="s">
        <v>717</v>
      </c>
      <c r="I65" s="2" t="s">
        <v>718</v>
      </c>
      <c r="J65" s="2">
        <v>356618949</v>
      </c>
      <c r="K65" s="2" t="s">
        <v>719</v>
      </c>
      <c r="L65" s="2" t="s">
        <v>182</v>
      </c>
      <c r="M65" s="2" t="s">
        <v>223</v>
      </c>
      <c r="N65" s="2">
        <v>1952</v>
      </c>
      <c r="O65" s="2" t="s">
        <v>184</v>
      </c>
      <c r="P65" s="2" t="s">
        <v>237</v>
      </c>
      <c r="Q65" s="2" t="s">
        <v>226</v>
      </c>
      <c r="R65" s="2" t="s">
        <v>188</v>
      </c>
      <c r="S65" s="2">
        <v>15</v>
      </c>
      <c r="T65" s="2" t="s">
        <v>188</v>
      </c>
      <c r="U65" s="2" t="s">
        <v>188</v>
      </c>
      <c r="Y65" s="2">
        <v>120</v>
      </c>
      <c r="Z65" s="2">
        <v>1</v>
      </c>
      <c r="AA65" s="2">
        <v>120</v>
      </c>
      <c r="AB65" s="2">
        <v>120</v>
      </c>
      <c r="AC65" s="2">
        <v>120</v>
      </c>
      <c r="AD65" s="2">
        <v>160</v>
      </c>
      <c r="AE65" s="2">
        <v>40</v>
      </c>
      <c r="AF65" s="2" t="s">
        <v>188</v>
      </c>
      <c r="AG65" s="2" t="s">
        <v>188</v>
      </c>
      <c r="AH65" s="2" t="s">
        <v>188</v>
      </c>
      <c r="AJ65" s="2" t="s">
        <v>188</v>
      </c>
      <c r="AK65" s="2" t="s">
        <v>188</v>
      </c>
      <c r="AL65" s="2" t="s">
        <v>188</v>
      </c>
      <c r="AM65" s="2" t="s">
        <v>188</v>
      </c>
      <c r="AN65" s="2" t="s">
        <v>188</v>
      </c>
      <c r="AO65" s="2" t="s">
        <v>188</v>
      </c>
      <c r="AR65" s="2">
        <v>0.4</v>
      </c>
      <c r="AS65" s="2">
        <v>1</v>
      </c>
      <c r="AT65" s="2">
        <v>1.3</v>
      </c>
      <c r="AU65" s="2" t="s">
        <v>238</v>
      </c>
      <c r="AV65" s="2" t="s">
        <v>189</v>
      </c>
      <c r="AW65" s="2" t="s">
        <v>188</v>
      </c>
      <c r="AZ65" s="2" t="s">
        <v>476</v>
      </c>
      <c r="BB65" s="2" t="s">
        <v>720</v>
      </c>
      <c r="BC65" s="2" t="s">
        <v>296</v>
      </c>
      <c r="BD65" s="2" t="s">
        <v>187</v>
      </c>
      <c r="BE65" s="2" t="s">
        <v>187</v>
      </c>
      <c r="BF65" s="2" t="s">
        <v>193</v>
      </c>
      <c r="BG65" s="2" t="s">
        <v>721</v>
      </c>
      <c r="BH65" s="2" t="s">
        <v>297</v>
      </c>
      <c r="BI65" s="2" t="s">
        <v>165</v>
      </c>
      <c r="BL65" s="2" t="s">
        <v>722</v>
      </c>
      <c r="BM65" s="2" t="s">
        <v>198</v>
      </c>
      <c r="BN65" s="2" t="s">
        <v>199</v>
      </c>
      <c r="BO65" s="2" t="s">
        <v>341</v>
      </c>
      <c r="BP65" s="2" t="s">
        <v>449</v>
      </c>
      <c r="BS65" s="2" t="s">
        <v>187</v>
      </c>
      <c r="BT65" s="2" t="s">
        <v>723</v>
      </c>
      <c r="BV65" s="2" t="s">
        <v>291</v>
      </c>
      <c r="BW65" s="2" t="s">
        <v>724</v>
      </c>
      <c r="BX65" s="2" t="s">
        <v>187</v>
      </c>
      <c r="BY65" s="2" t="s">
        <v>631</v>
      </c>
      <c r="BZ65" s="2" t="s">
        <v>203</v>
      </c>
      <c r="CE65" s="2">
        <v>1.3</v>
      </c>
      <c r="CF65" s="2">
        <v>160</v>
      </c>
      <c r="CK65" s="2">
        <v>100</v>
      </c>
      <c r="CO65" s="2">
        <v>100</v>
      </c>
      <c r="CR65" s="2" t="s">
        <v>204</v>
      </c>
      <c r="CT65" s="2" t="s">
        <v>187</v>
      </c>
      <c r="CU65" s="2" t="s">
        <v>205</v>
      </c>
      <c r="CW65" s="2" t="s">
        <v>725</v>
      </c>
      <c r="CY65" s="2" t="s">
        <v>300</v>
      </c>
      <c r="CZ65" s="2" t="s">
        <v>300</v>
      </c>
      <c r="DA65" s="2" t="s">
        <v>300</v>
      </c>
      <c r="DB65" s="2" t="s">
        <v>300</v>
      </c>
      <c r="DC65" s="2" t="s">
        <v>300</v>
      </c>
      <c r="DD65" s="2" t="s">
        <v>300</v>
      </c>
      <c r="DE65" s="2" t="s">
        <v>300</v>
      </c>
      <c r="DF65" s="2" t="s">
        <v>300</v>
      </c>
      <c r="DG65" s="2" t="s">
        <v>300</v>
      </c>
      <c r="DH65" s="2" t="s">
        <v>430</v>
      </c>
      <c r="DI65" s="2" t="s">
        <v>300</v>
      </c>
      <c r="DL65" s="2" t="s">
        <v>188</v>
      </c>
      <c r="DM65" s="2" t="s">
        <v>188</v>
      </c>
      <c r="DP65" s="2" t="s">
        <v>188</v>
      </c>
      <c r="DT65" s="2" t="s">
        <v>209</v>
      </c>
      <c r="DU65" s="2" t="s">
        <v>209</v>
      </c>
      <c r="DV65" s="2" t="s">
        <v>209</v>
      </c>
      <c r="DW65" s="2" t="s">
        <v>188</v>
      </c>
      <c r="DX65" s="2" t="s">
        <v>209</v>
      </c>
      <c r="DY65" s="2" t="s">
        <v>188</v>
      </c>
      <c r="DZ65" s="2" t="s">
        <v>188</v>
      </c>
      <c r="EA65" s="2" t="s">
        <v>188</v>
      </c>
      <c r="EB65" s="2" t="s">
        <v>188</v>
      </c>
      <c r="EC65" s="2" t="s">
        <v>188</v>
      </c>
      <c r="EF65" s="2" t="s">
        <v>189</v>
      </c>
      <c r="EG65" s="2" t="s">
        <v>726</v>
      </c>
      <c r="EJ65" s="2" t="s">
        <v>203</v>
      </c>
      <c r="EK65" s="2" t="s">
        <v>188</v>
      </c>
      <c r="EL65" s="2" t="s">
        <v>188</v>
      </c>
      <c r="EN65" s="2" t="s">
        <v>255</v>
      </c>
      <c r="EP65" s="2" t="s">
        <v>230</v>
      </c>
      <c r="ER65" s="2" t="s">
        <v>188</v>
      </c>
      <c r="ET65" s="2" t="s">
        <v>188</v>
      </c>
      <c r="EV65" s="2" t="s">
        <v>188</v>
      </c>
      <c r="EX65" s="2" t="s">
        <v>188</v>
      </c>
      <c r="EZ65" s="2" t="s">
        <v>188</v>
      </c>
      <c r="FC65" s="2" t="s">
        <v>263</v>
      </c>
      <c r="FD65" s="2" t="s">
        <v>188</v>
      </c>
      <c r="FH65" s="2" t="s">
        <v>188</v>
      </c>
      <c r="FJ65" s="2" t="s">
        <v>188</v>
      </c>
      <c r="FK65" s="2" t="s">
        <v>188</v>
      </c>
      <c r="FN65" s="2" t="s">
        <v>432</v>
      </c>
      <c r="FR65" s="2" t="s">
        <v>727</v>
      </c>
      <c r="FT65" s="2" t="s">
        <v>219</v>
      </c>
      <c r="FU65" s="2" t="s">
        <v>233</v>
      </c>
      <c r="FV65" s="2" t="s">
        <v>219</v>
      </c>
      <c r="FW65" s="2" t="s">
        <v>233</v>
      </c>
      <c r="FZ65" s="4">
        <v>46047.581817129627</v>
      </c>
    </row>
    <row r="66" spans="1:182">
      <c r="A66" s="2" t="s">
        <v>728</v>
      </c>
      <c r="D66" s="3">
        <v>46030.96711805556</v>
      </c>
      <c r="E66" s="2" t="s">
        <v>729</v>
      </c>
      <c r="F66" s="2" t="s">
        <v>425</v>
      </c>
      <c r="G66" s="2" t="s">
        <v>179</v>
      </c>
      <c r="H66" s="2" t="s">
        <v>730</v>
      </c>
      <c r="I66" s="2" t="s">
        <v>731</v>
      </c>
      <c r="J66" s="2">
        <v>898182349</v>
      </c>
      <c r="K66" s="2" t="s">
        <v>731</v>
      </c>
      <c r="L66" s="2" t="s">
        <v>182</v>
      </c>
      <c r="M66" s="2" t="s">
        <v>183</v>
      </c>
      <c r="N66" s="2">
        <v>1995</v>
      </c>
      <c r="O66" s="2" t="s">
        <v>184</v>
      </c>
      <c r="P66" s="2" t="s">
        <v>185</v>
      </c>
      <c r="Q66" s="2" t="s">
        <v>226</v>
      </c>
      <c r="R66" s="2" t="s">
        <v>188</v>
      </c>
      <c r="S66" s="2">
        <v>13</v>
      </c>
      <c r="T66" s="2" t="s">
        <v>188</v>
      </c>
      <c r="U66" s="2" t="s">
        <v>188</v>
      </c>
      <c r="Y66" s="2">
        <v>325</v>
      </c>
      <c r="Z66" s="2">
        <v>0.95379999999999998</v>
      </c>
      <c r="AA66" s="2">
        <v>310</v>
      </c>
      <c r="AB66" s="2">
        <v>310</v>
      </c>
      <c r="AC66" s="2">
        <v>310</v>
      </c>
      <c r="AD66" s="2">
        <v>350</v>
      </c>
      <c r="AE66" s="2">
        <v>40</v>
      </c>
      <c r="AF66" s="2" t="s">
        <v>188</v>
      </c>
      <c r="AG66" s="2" t="s">
        <v>188</v>
      </c>
      <c r="AH66" s="2" t="s">
        <v>188</v>
      </c>
      <c r="AJ66" s="2" t="s">
        <v>188</v>
      </c>
      <c r="AK66" s="2" t="s">
        <v>188</v>
      </c>
      <c r="AL66" s="2" t="s">
        <v>187</v>
      </c>
      <c r="AM66" s="2" t="s">
        <v>188</v>
      </c>
      <c r="AN66" s="2" t="s">
        <v>188</v>
      </c>
      <c r="AO66" s="2" t="s">
        <v>188</v>
      </c>
      <c r="AR66" s="2">
        <v>0.9</v>
      </c>
      <c r="AS66" s="2">
        <v>3</v>
      </c>
      <c r="AT66" s="2">
        <v>3.5</v>
      </c>
      <c r="AU66" s="2" t="s">
        <v>238</v>
      </c>
      <c r="AV66" s="2" t="s">
        <v>238</v>
      </c>
      <c r="AW66" s="2" t="s">
        <v>188</v>
      </c>
      <c r="AZ66" s="2" t="s">
        <v>353</v>
      </c>
      <c r="BB66" s="2" t="s">
        <v>332</v>
      </c>
      <c r="BC66" s="2" t="s">
        <v>192</v>
      </c>
      <c r="BD66" s="2" t="s">
        <v>188</v>
      </c>
      <c r="BE66" s="2" t="s">
        <v>188</v>
      </c>
      <c r="BL66" s="2" t="s">
        <v>197</v>
      </c>
      <c r="BM66" s="2" t="s">
        <v>198</v>
      </c>
      <c r="BN66" s="2" t="s">
        <v>199</v>
      </c>
      <c r="BO66" s="2" t="s">
        <v>188</v>
      </c>
      <c r="BQ66" s="2" t="s">
        <v>200</v>
      </c>
      <c r="BS66" s="2" t="s">
        <v>187</v>
      </c>
      <c r="BT66" s="2" t="s">
        <v>69</v>
      </c>
      <c r="BU66" s="2" t="s">
        <v>429</v>
      </c>
      <c r="BV66" s="2" t="s">
        <v>522</v>
      </c>
      <c r="BX66" s="2" t="s">
        <v>188</v>
      </c>
      <c r="BZ66" s="2" t="s">
        <v>203</v>
      </c>
      <c r="CE66" s="2">
        <v>3.5</v>
      </c>
      <c r="CF66" s="2">
        <v>350</v>
      </c>
      <c r="CK66" s="2">
        <v>100</v>
      </c>
      <c r="CO66" s="2">
        <v>100</v>
      </c>
      <c r="CR66" s="2" t="s">
        <v>343</v>
      </c>
      <c r="CT66" s="2" t="s">
        <v>188</v>
      </c>
      <c r="CU66" s="2" t="s">
        <v>205</v>
      </c>
      <c r="CW66" s="2" t="s">
        <v>206</v>
      </c>
      <c r="CY66" s="2" t="s">
        <v>300</v>
      </c>
      <c r="CZ66" s="2" t="s">
        <v>300</v>
      </c>
      <c r="DA66" s="2" t="s">
        <v>300</v>
      </c>
      <c r="DB66" s="2" t="s">
        <v>300</v>
      </c>
      <c r="DC66" s="2" t="s">
        <v>300</v>
      </c>
      <c r="DD66" s="2" t="s">
        <v>430</v>
      </c>
      <c r="DE66" s="2" t="s">
        <v>300</v>
      </c>
      <c r="DF66" s="2" t="s">
        <v>300</v>
      </c>
      <c r="DG66" s="2" t="s">
        <v>300</v>
      </c>
      <c r="DH66" s="2" t="s">
        <v>300</v>
      </c>
      <c r="DI66" s="2" t="s">
        <v>300</v>
      </c>
      <c r="DL66" s="2" t="s">
        <v>188</v>
      </c>
      <c r="DM66" s="2" t="s">
        <v>188</v>
      </c>
      <c r="DP66" s="2" t="s">
        <v>188</v>
      </c>
      <c r="DT66" s="2" t="s">
        <v>203</v>
      </c>
      <c r="DU66" s="2" t="s">
        <v>203</v>
      </c>
      <c r="DV66" s="2" t="s">
        <v>203</v>
      </c>
      <c r="DW66" s="2" t="s">
        <v>203</v>
      </c>
      <c r="DX66" s="2" t="s">
        <v>203</v>
      </c>
      <c r="DY66" s="2" t="s">
        <v>203</v>
      </c>
      <c r="DZ66" s="2" t="s">
        <v>203</v>
      </c>
      <c r="EA66" s="2" t="s">
        <v>203</v>
      </c>
      <c r="EB66" s="2" t="s">
        <v>203</v>
      </c>
      <c r="EC66" s="2" t="s">
        <v>203</v>
      </c>
      <c r="EF66" s="2" t="s">
        <v>302</v>
      </c>
      <c r="EG66" s="2" t="s">
        <v>431</v>
      </c>
      <c r="EJ66" s="2" t="s">
        <v>238</v>
      </c>
      <c r="EK66" s="2" t="s">
        <v>188</v>
      </c>
      <c r="EL66" s="2" t="s">
        <v>188</v>
      </c>
      <c r="EN66" s="2" t="s">
        <v>255</v>
      </c>
      <c r="EP66" s="2" t="s">
        <v>230</v>
      </c>
      <c r="ER66" s="2" t="s">
        <v>188</v>
      </c>
      <c r="ET66" s="2" t="s">
        <v>188</v>
      </c>
      <c r="EV66" s="2" t="s">
        <v>188</v>
      </c>
      <c r="EX66" s="2" t="s">
        <v>188</v>
      </c>
      <c r="EZ66" s="2" t="s">
        <v>188</v>
      </c>
      <c r="FC66" s="2" t="s">
        <v>263</v>
      </c>
      <c r="FD66" s="2" t="s">
        <v>188</v>
      </c>
      <c r="FH66" s="2" t="s">
        <v>188</v>
      </c>
      <c r="FJ66" s="2" t="s">
        <v>188</v>
      </c>
      <c r="FK66" s="2" t="s">
        <v>188</v>
      </c>
      <c r="FN66" s="2" t="s">
        <v>313</v>
      </c>
      <c r="FR66" s="2" t="s">
        <v>732</v>
      </c>
      <c r="FT66" s="2" t="s">
        <v>219</v>
      </c>
      <c r="FU66" s="2" t="s">
        <v>219</v>
      </c>
      <c r="FV66" s="2" t="s">
        <v>219</v>
      </c>
      <c r="FW66" s="2" t="s">
        <v>233</v>
      </c>
      <c r="FY66" s="2" t="s">
        <v>733</v>
      </c>
      <c r="FZ66" s="4">
        <v>46040.636516203704</v>
      </c>
    </row>
    <row r="67" spans="1:182">
      <c r="A67" s="2" t="s">
        <v>734</v>
      </c>
      <c r="D67" s="3">
        <v>46031.412905092591</v>
      </c>
      <c r="E67" s="2" t="s">
        <v>735</v>
      </c>
      <c r="F67" s="2" t="s">
        <v>480</v>
      </c>
      <c r="G67" s="2" t="s">
        <v>179</v>
      </c>
      <c r="H67" s="2" t="s">
        <v>736</v>
      </c>
      <c r="I67" s="2" t="s">
        <v>737</v>
      </c>
      <c r="J67" s="2">
        <v>982007740</v>
      </c>
      <c r="K67" s="2" t="s">
        <v>738</v>
      </c>
      <c r="L67" s="2" t="s">
        <v>182</v>
      </c>
      <c r="M67" s="2" t="s">
        <v>223</v>
      </c>
      <c r="N67" s="2">
        <v>1973</v>
      </c>
      <c r="O67" s="2" t="s">
        <v>184</v>
      </c>
      <c r="P67" s="2" t="s">
        <v>237</v>
      </c>
      <c r="Q67" s="2" t="s">
        <v>739</v>
      </c>
      <c r="R67" s="2" t="s">
        <v>188</v>
      </c>
      <c r="S67" s="2">
        <v>15</v>
      </c>
      <c r="T67" s="2" t="s">
        <v>188</v>
      </c>
      <c r="U67" s="2" t="s">
        <v>188</v>
      </c>
      <c r="Y67" s="2">
        <v>654</v>
      </c>
      <c r="Z67" s="2">
        <v>0.7248</v>
      </c>
      <c r="AA67" s="2">
        <v>474</v>
      </c>
      <c r="AB67" s="2">
        <v>474</v>
      </c>
      <c r="AC67" s="2">
        <v>474</v>
      </c>
      <c r="AD67" s="2">
        <v>594</v>
      </c>
      <c r="AE67" s="2">
        <v>120</v>
      </c>
      <c r="AF67" s="2" t="s">
        <v>188</v>
      </c>
      <c r="AG67" s="2" t="s">
        <v>188</v>
      </c>
      <c r="AH67" s="2" t="s">
        <v>188</v>
      </c>
      <c r="AJ67" s="2" t="s">
        <v>188</v>
      </c>
      <c r="AK67" s="2" t="s">
        <v>188</v>
      </c>
      <c r="AL67" s="2" t="s">
        <v>187</v>
      </c>
      <c r="AM67" s="2" t="s">
        <v>188</v>
      </c>
      <c r="AN67" s="2" t="s">
        <v>188</v>
      </c>
      <c r="AO67" s="2" t="s">
        <v>188</v>
      </c>
      <c r="AR67" s="2">
        <v>2.1</v>
      </c>
      <c r="AS67" s="2">
        <v>2</v>
      </c>
      <c r="AT67" s="2">
        <v>6</v>
      </c>
      <c r="AU67" s="2" t="s">
        <v>238</v>
      </c>
      <c r="AV67" s="2" t="s">
        <v>238</v>
      </c>
      <c r="AW67" s="2" t="s">
        <v>188</v>
      </c>
      <c r="BC67" s="2" t="s">
        <v>192</v>
      </c>
      <c r="BD67" s="2" t="s">
        <v>187</v>
      </c>
      <c r="BE67" s="2" t="s">
        <v>188</v>
      </c>
      <c r="BL67" s="2" t="s">
        <v>197</v>
      </c>
      <c r="BM67" s="2" t="s">
        <v>507</v>
      </c>
      <c r="BN67" s="2" t="s">
        <v>199</v>
      </c>
      <c r="BO67" s="2" t="s">
        <v>188</v>
      </c>
      <c r="BQ67" s="2" t="s">
        <v>227</v>
      </c>
      <c r="BS67" s="2" t="s">
        <v>187</v>
      </c>
      <c r="BT67" s="2" t="s">
        <v>651</v>
      </c>
      <c r="BV67" s="2" t="s">
        <v>242</v>
      </c>
      <c r="BX67" s="2" t="s">
        <v>187</v>
      </c>
      <c r="BY67" s="2" t="s">
        <v>740</v>
      </c>
      <c r="BZ67" s="2" t="s">
        <v>209</v>
      </c>
      <c r="CA67" s="2" t="s">
        <v>741</v>
      </c>
      <c r="CE67" s="2">
        <v>6</v>
      </c>
      <c r="CF67" s="2">
        <v>594</v>
      </c>
      <c r="CM67" s="2">
        <v>100</v>
      </c>
      <c r="CO67" s="2">
        <v>100</v>
      </c>
      <c r="CR67" s="2" t="s">
        <v>343</v>
      </c>
      <c r="CT67" s="2" t="s">
        <v>188</v>
      </c>
      <c r="CU67" s="2" t="s">
        <v>578</v>
      </c>
      <c r="CW67" s="2" t="s">
        <v>206</v>
      </c>
      <c r="CY67" s="2" t="s">
        <v>207</v>
      </c>
      <c r="CZ67" s="2" t="s">
        <v>207</v>
      </c>
      <c r="DA67" s="2" t="s">
        <v>207</v>
      </c>
      <c r="DB67" s="2" t="s">
        <v>207</v>
      </c>
      <c r="DC67" s="2" t="s">
        <v>430</v>
      </c>
      <c r="DD67" s="2" t="s">
        <v>430</v>
      </c>
      <c r="DE67" s="2" t="s">
        <v>300</v>
      </c>
      <c r="DF67" s="2" t="s">
        <v>207</v>
      </c>
      <c r="DG67" s="2" t="s">
        <v>273</v>
      </c>
      <c r="DH67" s="2" t="s">
        <v>207</v>
      </c>
      <c r="DI67" s="2" t="s">
        <v>207</v>
      </c>
      <c r="DL67" s="2" t="s">
        <v>187</v>
      </c>
      <c r="DM67" s="2" t="s">
        <v>187</v>
      </c>
      <c r="DN67" s="2" t="s">
        <v>187</v>
      </c>
      <c r="DO67" s="2" t="s">
        <v>187</v>
      </c>
      <c r="DP67" s="2" t="s">
        <v>209</v>
      </c>
      <c r="DQ67" s="2" t="s">
        <v>467</v>
      </c>
      <c r="DR67" s="2" t="s">
        <v>742</v>
      </c>
      <c r="DT67" s="2" t="s">
        <v>209</v>
      </c>
      <c r="DU67" s="2" t="s">
        <v>209</v>
      </c>
      <c r="DV67" s="2" t="s">
        <v>209</v>
      </c>
      <c r="DW67" s="2" t="s">
        <v>209</v>
      </c>
      <c r="DX67" s="2" t="s">
        <v>209</v>
      </c>
      <c r="DY67" s="2" t="s">
        <v>203</v>
      </c>
      <c r="DZ67" s="2" t="s">
        <v>203</v>
      </c>
      <c r="EA67" s="2" t="s">
        <v>209</v>
      </c>
      <c r="EB67" s="2" t="s">
        <v>209</v>
      </c>
      <c r="EC67" s="2" t="s">
        <v>203</v>
      </c>
      <c r="ED67" s="2" t="s">
        <v>203</v>
      </c>
      <c r="EF67" s="2" t="s">
        <v>189</v>
      </c>
      <c r="EG67" s="2" t="s">
        <v>743</v>
      </c>
      <c r="EJ67" s="2" t="s">
        <v>238</v>
      </c>
      <c r="EK67" s="2" t="s">
        <v>187</v>
      </c>
      <c r="EL67" s="2" t="s">
        <v>188</v>
      </c>
      <c r="EN67" s="2" t="s">
        <v>214</v>
      </c>
      <c r="EP67" s="2" t="s">
        <v>230</v>
      </c>
      <c r="ER67" s="2" t="s">
        <v>187</v>
      </c>
      <c r="ET67" s="2" t="s">
        <v>188</v>
      </c>
      <c r="EV67" s="2" t="s">
        <v>187</v>
      </c>
      <c r="EW67" s="2" t="s">
        <v>215</v>
      </c>
      <c r="EX67" s="2" t="s">
        <v>188</v>
      </c>
      <c r="EZ67" s="2" t="s">
        <v>188</v>
      </c>
      <c r="FC67" s="2" t="s">
        <v>263</v>
      </c>
      <c r="FD67" s="2" t="s">
        <v>188</v>
      </c>
      <c r="FH67" s="2" t="s">
        <v>188</v>
      </c>
      <c r="FJ67" s="2" t="s">
        <v>188</v>
      </c>
      <c r="FK67" s="2" t="s">
        <v>188</v>
      </c>
      <c r="FN67" s="2" t="s">
        <v>488</v>
      </c>
      <c r="FR67" s="2" t="s">
        <v>744</v>
      </c>
      <c r="FT67" s="2" t="s">
        <v>233</v>
      </c>
      <c r="FU67" s="2" t="s">
        <v>233</v>
      </c>
      <c r="FV67" s="2" t="s">
        <v>233</v>
      </c>
      <c r="FW67" s="2" t="s">
        <v>233</v>
      </c>
      <c r="FZ67" s="4">
        <v>46042.912569444445</v>
      </c>
    </row>
    <row r="68" spans="1:182">
      <c r="A68" s="2" t="s">
        <v>745</v>
      </c>
      <c r="D68" s="3">
        <v>46031.416655092587</v>
      </c>
      <c r="E68" s="2" t="s">
        <v>746</v>
      </c>
      <c r="F68" s="2" t="s">
        <v>398</v>
      </c>
      <c r="G68" s="2" t="s">
        <v>179</v>
      </c>
      <c r="H68" s="2" t="s">
        <v>665</v>
      </c>
      <c r="I68" s="2" t="s">
        <v>747</v>
      </c>
      <c r="J68" s="2">
        <v>976738000</v>
      </c>
      <c r="K68" s="2" t="s">
        <v>748</v>
      </c>
      <c r="L68" s="2" t="s">
        <v>182</v>
      </c>
      <c r="M68" s="2" t="s">
        <v>183</v>
      </c>
      <c r="N68" s="2">
        <v>1990</v>
      </c>
      <c r="O68" s="2" t="s">
        <v>184</v>
      </c>
      <c r="P68" s="2" t="s">
        <v>237</v>
      </c>
      <c r="Q68" s="2" t="s">
        <v>226</v>
      </c>
      <c r="R68" s="2" t="s">
        <v>188</v>
      </c>
      <c r="S68" s="2">
        <v>10</v>
      </c>
      <c r="T68" s="2" t="s">
        <v>188</v>
      </c>
      <c r="U68" s="2" t="s">
        <v>188</v>
      </c>
      <c r="Y68" s="2">
        <v>300</v>
      </c>
      <c r="Z68" s="2">
        <v>1</v>
      </c>
      <c r="AA68" s="2">
        <v>300</v>
      </c>
      <c r="AB68" s="2">
        <v>300</v>
      </c>
      <c r="AC68" s="2">
        <v>300</v>
      </c>
      <c r="AD68" s="2">
        <v>350</v>
      </c>
      <c r="AE68" s="2">
        <v>50</v>
      </c>
      <c r="AF68" s="2" t="s">
        <v>188</v>
      </c>
      <c r="AG68" s="2" t="s">
        <v>188</v>
      </c>
      <c r="AH68" s="2" t="s">
        <v>188</v>
      </c>
      <c r="AJ68" s="2" t="s">
        <v>188</v>
      </c>
      <c r="AK68" s="2" t="s">
        <v>188</v>
      </c>
      <c r="AL68" s="2" t="s">
        <v>188</v>
      </c>
      <c r="AM68" s="2" t="s">
        <v>188</v>
      </c>
      <c r="AN68" s="2" t="s">
        <v>188</v>
      </c>
      <c r="AO68" s="2" t="s">
        <v>188</v>
      </c>
      <c r="AR68" s="2">
        <v>0.72</v>
      </c>
      <c r="AS68" s="2">
        <v>3</v>
      </c>
      <c r="AT68" s="2">
        <v>3.5</v>
      </c>
      <c r="AU68" s="2" t="s">
        <v>238</v>
      </c>
      <c r="AV68" s="2" t="s">
        <v>238</v>
      </c>
      <c r="AW68" s="2" t="s">
        <v>188</v>
      </c>
      <c r="BC68" s="2" t="s">
        <v>192</v>
      </c>
      <c r="BD68" s="2" t="s">
        <v>188</v>
      </c>
      <c r="BE68" s="2" t="s">
        <v>188</v>
      </c>
      <c r="BL68" s="2" t="s">
        <v>240</v>
      </c>
      <c r="BO68" s="2" t="s">
        <v>188</v>
      </c>
      <c r="BQ68" s="2" t="s">
        <v>200</v>
      </c>
      <c r="BS68" s="2" t="s">
        <v>187</v>
      </c>
      <c r="BT68" s="2" t="s">
        <v>410</v>
      </c>
      <c r="BV68" s="2" t="s">
        <v>458</v>
      </c>
      <c r="BX68" s="2" t="s">
        <v>188</v>
      </c>
      <c r="BY68" s="2" t="s">
        <v>749</v>
      </c>
      <c r="BZ68" s="2" t="s">
        <v>203</v>
      </c>
      <c r="CE68" s="2">
        <v>3.5</v>
      </c>
      <c r="CF68" s="2">
        <v>350</v>
      </c>
      <c r="CK68" s="2">
        <v>100</v>
      </c>
      <c r="CP68" s="2">
        <v>100</v>
      </c>
      <c r="CR68" s="2" t="s">
        <v>204</v>
      </c>
      <c r="CT68" s="2" t="s">
        <v>188</v>
      </c>
      <c r="CU68" s="2" t="s">
        <v>205</v>
      </c>
      <c r="CW68" s="2" t="s">
        <v>206</v>
      </c>
      <c r="CY68" s="2" t="s">
        <v>300</v>
      </c>
      <c r="CZ68" s="2" t="s">
        <v>300</v>
      </c>
      <c r="DA68" s="2" t="s">
        <v>300</v>
      </c>
      <c r="DB68" s="2" t="s">
        <v>300</v>
      </c>
      <c r="DC68" s="2" t="s">
        <v>300</v>
      </c>
      <c r="DD68" s="2" t="s">
        <v>300</v>
      </c>
      <c r="DE68" s="2" t="s">
        <v>300</v>
      </c>
      <c r="DF68" s="2" t="s">
        <v>300</v>
      </c>
      <c r="DG68" s="2" t="s">
        <v>300</v>
      </c>
      <c r="DH68" s="2" t="s">
        <v>300</v>
      </c>
      <c r="DI68" s="2" t="s">
        <v>300</v>
      </c>
      <c r="DL68" s="2" t="s">
        <v>188</v>
      </c>
      <c r="DM68" s="2" t="s">
        <v>188</v>
      </c>
      <c r="DP68" s="2" t="s">
        <v>203</v>
      </c>
      <c r="DT68" s="2" t="s">
        <v>203</v>
      </c>
      <c r="DU68" s="2" t="s">
        <v>203</v>
      </c>
      <c r="DV68" s="2" t="s">
        <v>203</v>
      </c>
      <c r="DW68" s="2" t="s">
        <v>203</v>
      </c>
      <c r="DX68" s="2" t="s">
        <v>203</v>
      </c>
      <c r="DY68" s="2" t="s">
        <v>203</v>
      </c>
      <c r="DZ68" s="2" t="s">
        <v>203</v>
      </c>
      <c r="EA68" s="2" t="s">
        <v>203</v>
      </c>
      <c r="EB68" s="2" t="s">
        <v>203</v>
      </c>
      <c r="EC68" s="2" t="s">
        <v>203</v>
      </c>
      <c r="EF68" s="2" t="s">
        <v>302</v>
      </c>
      <c r="EG68" s="2" t="s">
        <v>750</v>
      </c>
      <c r="EJ68" s="2" t="s">
        <v>238</v>
      </c>
      <c r="EK68" s="2" t="s">
        <v>188</v>
      </c>
      <c r="EL68" s="2" t="s">
        <v>188</v>
      </c>
      <c r="EN68" s="2" t="s">
        <v>214</v>
      </c>
      <c r="EP68" s="2" t="s">
        <v>230</v>
      </c>
      <c r="ER68" s="2" t="s">
        <v>188</v>
      </c>
      <c r="ET68" s="2" t="s">
        <v>188</v>
      </c>
      <c r="EV68" s="2" t="s">
        <v>188</v>
      </c>
      <c r="EX68" s="2" t="s">
        <v>188</v>
      </c>
      <c r="EZ68" s="2" t="s">
        <v>188</v>
      </c>
      <c r="FC68" s="2" t="s">
        <v>216</v>
      </c>
      <c r="FD68" s="2" t="s">
        <v>188</v>
      </c>
      <c r="FH68" s="2" t="s">
        <v>188</v>
      </c>
      <c r="FJ68" s="2" t="s">
        <v>188</v>
      </c>
      <c r="FK68" s="2" t="s">
        <v>203</v>
      </c>
      <c r="FN68" s="2" t="s">
        <v>432</v>
      </c>
      <c r="FR68" s="2" t="s">
        <v>751</v>
      </c>
      <c r="FT68" s="2" t="s">
        <v>233</v>
      </c>
      <c r="FU68" s="2" t="s">
        <v>233</v>
      </c>
      <c r="FV68" s="2" t="s">
        <v>219</v>
      </c>
      <c r="FW68" s="2" t="s">
        <v>219</v>
      </c>
      <c r="FX68" s="2" t="s">
        <v>219</v>
      </c>
      <c r="FY68" s="2" t="s">
        <v>752</v>
      </c>
      <c r="FZ68" s="4">
        <v>46039.618761574071</v>
      </c>
    </row>
    <row r="69" spans="1:182">
      <c r="A69" s="2" t="s">
        <v>753</v>
      </c>
      <c r="D69" s="3">
        <v>46031.369803240741</v>
      </c>
      <c r="E69" s="2" t="s">
        <v>754</v>
      </c>
      <c r="F69" s="2" t="s">
        <v>480</v>
      </c>
      <c r="G69" s="2" t="s">
        <v>179</v>
      </c>
      <c r="H69" s="2" t="s">
        <v>755</v>
      </c>
      <c r="I69" s="2" t="s">
        <v>756</v>
      </c>
      <c r="J69" s="2">
        <v>0</v>
      </c>
      <c r="K69" s="2" t="s">
        <v>756</v>
      </c>
      <c r="L69" s="2" t="s">
        <v>182</v>
      </c>
      <c r="M69" s="2" t="s">
        <v>183</v>
      </c>
      <c r="N69" s="2">
        <v>1964</v>
      </c>
      <c r="O69" s="2" t="s">
        <v>184</v>
      </c>
      <c r="P69" s="2" t="s">
        <v>185</v>
      </c>
      <c r="Q69" s="2" t="s">
        <v>226</v>
      </c>
      <c r="R69" s="2" t="s">
        <v>188</v>
      </c>
      <c r="S69" s="2">
        <v>18</v>
      </c>
      <c r="T69" s="2" t="s">
        <v>188</v>
      </c>
      <c r="U69" s="2" t="s">
        <v>188</v>
      </c>
      <c r="Y69" s="2">
        <v>278</v>
      </c>
      <c r="Z69" s="2">
        <v>1</v>
      </c>
      <c r="AA69" s="2">
        <v>278</v>
      </c>
      <c r="AB69" s="2">
        <v>228</v>
      </c>
      <c r="AC69" s="2">
        <v>228</v>
      </c>
      <c r="AD69" s="2">
        <v>297</v>
      </c>
      <c r="AE69" s="2">
        <v>69</v>
      </c>
      <c r="AF69" s="2" t="s">
        <v>188</v>
      </c>
      <c r="AG69" s="2" t="s">
        <v>188</v>
      </c>
      <c r="AH69" s="2" t="s">
        <v>188</v>
      </c>
      <c r="AJ69" s="2" t="s">
        <v>188</v>
      </c>
      <c r="AK69" s="2" t="s">
        <v>187</v>
      </c>
      <c r="AL69" s="2" t="s">
        <v>188</v>
      </c>
      <c r="AM69" s="2" t="s">
        <v>188</v>
      </c>
      <c r="AN69" s="2" t="s">
        <v>188</v>
      </c>
      <c r="AO69" s="2" t="s">
        <v>188</v>
      </c>
      <c r="AR69" s="2">
        <v>1</v>
      </c>
      <c r="AS69" s="2">
        <v>2</v>
      </c>
      <c r="AT69" s="2">
        <v>3</v>
      </c>
      <c r="AU69" s="2" t="s">
        <v>238</v>
      </c>
      <c r="AV69" s="2" t="s">
        <v>203</v>
      </c>
      <c r="AW69" s="2" t="s">
        <v>188</v>
      </c>
      <c r="AZ69" s="2" t="s">
        <v>380</v>
      </c>
      <c r="BB69" s="2" t="s">
        <v>260</v>
      </c>
      <c r="BC69" s="2" t="s">
        <v>296</v>
      </c>
      <c r="BD69" s="2" t="s">
        <v>188</v>
      </c>
      <c r="BE69" s="2" t="s">
        <v>187</v>
      </c>
      <c r="BF69" s="2" t="s">
        <v>193</v>
      </c>
      <c r="BG69" s="2" t="s">
        <v>194</v>
      </c>
      <c r="BH69" s="2" t="s">
        <v>195</v>
      </c>
      <c r="BI69" s="2" t="s">
        <v>196</v>
      </c>
      <c r="BL69" s="2" t="s">
        <v>197</v>
      </c>
      <c r="BM69" s="2" t="s">
        <v>198</v>
      </c>
      <c r="BN69" s="2" t="s">
        <v>199</v>
      </c>
      <c r="BO69" s="2" t="s">
        <v>188</v>
      </c>
      <c r="BQ69" s="2" t="s">
        <v>227</v>
      </c>
      <c r="BS69" s="2" t="s">
        <v>187</v>
      </c>
      <c r="BT69" s="2" t="s">
        <v>484</v>
      </c>
      <c r="BV69" s="2" t="s">
        <v>630</v>
      </c>
      <c r="BX69" s="2" t="s">
        <v>187</v>
      </c>
      <c r="BY69" s="2" t="s">
        <v>757</v>
      </c>
      <c r="BZ69" s="2" t="s">
        <v>188</v>
      </c>
      <c r="CE69" s="2">
        <v>3</v>
      </c>
      <c r="CF69" s="2">
        <v>297</v>
      </c>
      <c r="CK69" s="2">
        <v>100</v>
      </c>
      <c r="CO69" s="2">
        <v>100</v>
      </c>
      <c r="CR69" s="2" t="s">
        <v>343</v>
      </c>
      <c r="CT69" s="2" t="s">
        <v>188</v>
      </c>
      <c r="CU69" s="2" t="s">
        <v>758</v>
      </c>
      <c r="CW69" s="2" t="s">
        <v>206</v>
      </c>
      <c r="CY69" s="2" t="s">
        <v>430</v>
      </c>
      <c r="CZ69" s="2" t="s">
        <v>430</v>
      </c>
      <c r="DA69" s="2" t="s">
        <v>430</v>
      </c>
      <c r="DB69" s="2" t="s">
        <v>430</v>
      </c>
      <c r="DC69" s="2" t="s">
        <v>430</v>
      </c>
      <c r="DD69" s="2" t="s">
        <v>430</v>
      </c>
      <c r="DE69" s="2" t="s">
        <v>430</v>
      </c>
      <c r="DF69" s="2" t="s">
        <v>430</v>
      </c>
      <c r="DG69" s="2" t="s">
        <v>430</v>
      </c>
      <c r="DH69" s="2" t="s">
        <v>430</v>
      </c>
      <c r="DI69" s="2" t="s">
        <v>430</v>
      </c>
      <c r="DL69" s="2" t="s">
        <v>187</v>
      </c>
      <c r="DM69" s="2" t="s">
        <v>187</v>
      </c>
      <c r="DN69" s="2" t="s">
        <v>187</v>
      </c>
      <c r="DO69" s="2" t="s">
        <v>187</v>
      </c>
      <c r="DP69" s="2" t="s">
        <v>209</v>
      </c>
      <c r="DT69" s="2" t="s">
        <v>203</v>
      </c>
      <c r="DU69" s="2" t="s">
        <v>203</v>
      </c>
      <c r="DV69" s="2" t="s">
        <v>203</v>
      </c>
      <c r="DW69" s="2" t="s">
        <v>203</v>
      </c>
      <c r="DX69" s="2" t="s">
        <v>203</v>
      </c>
      <c r="DY69" s="2" t="s">
        <v>203</v>
      </c>
      <c r="DZ69" s="2" t="s">
        <v>203</v>
      </c>
      <c r="EA69" s="2" t="s">
        <v>203</v>
      </c>
      <c r="EB69" s="2" t="s">
        <v>203</v>
      </c>
      <c r="EC69" s="2" t="s">
        <v>203</v>
      </c>
      <c r="ED69" s="2" t="s">
        <v>203</v>
      </c>
      <c r="EF69" s="2" t="s">
        <v>302</v>
      </c>
      <c r="EG69" s="2" t="s">
        <v>759</v>
      </c>
      <c r="EJ69" s="2" t="s">
        <v>238</v>
      </c>
      <c r="EK69" s="2" t="s">
        <v>188</v>
      </c>
      <c r="EL69" s="2" t="s">
        <v>188</v>
      </c>
      <c r="EN69" s="2" t="s">
        <v>597</v>
      </c>
      <c r="EP69" s="2" t="s">
        <v>230</v>
      </c>
      <c r="ER69" s="2" t="s">
        <v>188</v>
      </c>
      <c r="ET69" s="2" t="s">
        <v>188</v>
      </c>
      <c r="EV69" s="2" t="s">
        <v>188</v>
      </c>
      <c r="EX69" s="2" t="s">
        <v>188</v>
      </c>
      <c r="EZ69" s="2" t="s">
        <v>188</v>
      </c>
      <c r="FC69" s="2" t="s">
        <v>263</v>
      </c>
      <c r="FD69" s="2" t="s">
        <v>188</v>
      </c>
      <c r="FH69" s="2" t="s">
        <v>188</v>
      </c>
      <c r="FJ69" s="2" t="s">
        <v>188</v>
      </c>
      <c r="FK69" s="2" t="s">
        <v>188</v>
      </c>
      <c r="FN69" s="2" t="s">
        <v>488</v>
      </c>
      <c r="FR69" s="2" t="s">
        <v>760</v>
      </c>
      <c r="FT69" s="2" t="s">
        <v>233</v>
      </c>
      <c r="FU69" s="2" t="s">
        <v>233</v>
      </c>
      <c r="FV69" s="2" t="s">
        <v>233</v>
      </c>
      <c r="FX69" s="2" t="s">
        <v>490</v>
      </c>
      <c r="FZ69" s="4">
        <v>46042.891724537039</v>
      </c>
    </row>
    <row r="70" spans="1:182">
      <c r="A70" s="2" t="s">
        <v>761</v>
      </c>
      <c r="D70" s="3">
        <v>46031.365983796291</v>
      </c>
      <c r="E70" s="2" t="s">
        <v>762</v>
      </c>
      <c r="F70" s="2" t="s">
        <v>590</v>
      </c>
      <c r="G70" s="2" t="s">
        <v>179</v>
      </c>
      <c r="H70" s="2" t="s">
        <v>763</v>
      </c>
      <c r="I70" s="2" t="s">
        <v>764</v>
      </c>
      <c r="J70" s="2">
        <v>969058274</v>
      </c>
      <c r="K70" s="2" t="s">
        <v>765</v>
      </c>
      <c r="L70" s="2" t="s">
        <v>182</v>
      </c>
      <c r="M70" s="2" t="s">
        <v>223</v>
      </c>
      <c r="N70" s="2">
        <v>1996</v>
      </c>
      <c r="O70" s="2" t="s">
        <v>184</v>
      </c>
      <c r="P70" s="2" t="s">
        <v>225</v>
      </c>
      <c r="Q70" s="2" t="s">
        <v>270</v>
      </c>
      <c r="R70" s="2" t="s">
        <v>188</v>
      </c>
      <c r="S70" s="2">
        <v>17</v>
      </c>
      <c r="T70" s="2" t="s">
        <v>188</v>
      </c>
      <c r="U70" s="2" t="s">
        <v>188</v>
      </c>
      <c r="Y70" s="2">
        <v>160</v>
      </c>
      <c r="Z70" s="2">
        <v>1</v>
      </c>
      <c r="AA70" s="2">
        <v>160</v>
      </c>
      <c r="AB70" s="2">
        <v>160</v>
      </c>
      <c r="AC70" s="2">
        <v>160</v>
      </c>
      <c r="AD70" s="2">
        <v>200</v>
      </c>
      <c r="AE70" s="2">
        <v>40</v>
      </c>
      <c r="AF70" s="2" t="s">
        <v>188</v>
      </c>
      <c r="AG70" s="2" t="s">
        <v>188</v>
      </c>
      <c r="AH70" s="2" t="s">
        <v>188</v>
      </c>
      <c r="AJ70" s="2" t="s">
        <v>188</v>
      </c>
      <c r="AK70" s="2" t="s">
        <v>188</v>
      </c>
      <c r="AL70" s="2" t="s">
        <v>188</v>
      </c>
      <c r="AM70" s="2" t="s">
        <v>188</v>
      </c>
      <c r="AN70" s="2" t="s">
        <v>188</v>
      </c>
      <c r="AO70" s="2" t="s">
        <v>188</v>
      </c>
      <c r="AR70" s="2">
        <v>0.5</v>
      </c>
      <c r="AS70" s="2">
        <v>1</v>
      </c>
      <c r="AT70" s="2">
        <v>2</v>
      </c>
      <c r="AU70" s="2" t="s">
        <v>203</v>
      </c>
      <c r="AV70" s="2" t="s">
        <v>203</v>
      </c>
      <c r="AW70" s="2" t="s">
        <v>188</v>
      </c>
      <c r="AZ70" s="2" t="s">
        <v>476</v>
      </c>
      <c r="BB70" s="2" t="s">
        <v>260</v>
      </c>
      <c r="BC70" s="2" t="s">
        <v>296</v>
      </c>
      <c r="BD70" s="2" t="s">
        <v>187</v>
      </c>
      <c r="BE70" s="2" t="s">
        <v>187</v>
      </c>
      <c r="BF70" s="2" t="s">
        <v>193</v>
      </c>
      <c r="BG70" s="2" t="s">
        <v>194</v>
      </c>
      <c r="BH70" s="2" t="s">
        <v>195</v>
      </c>
      <c r="BI70" s="2" t="s">
        <v>196</v>
      </c>
      <c r="BL70" s="2" t="s">
        <v>197</v>
      </c>
      <c r="BM70" s="2" t="s">
        <v>507</v>
      </c>
      <c r="BN70" s="2" t="s">
        <v>199</v>
      </c>
      <c r="BO70" s="2" t="s">
        <v>188</v>
      </c>
      <c r="BQ70" s="2" t="s">
        <v>227</v>
      </c>
      <c r="BS70" s="2" t="s">
        <v>187</v>
      </c>
      <c r="BT70" s="2" t="s">
        <v>651</v>
      </c>
      <c r="BV70" s="2" t="s">
        <v>242</v>
      </c>
      <c r="BX70" s="2" t="s">
        <v>187</v>
      </c>
      <c r="BY70" s="2" t="s">
        <v>766</v>
      </c>
      <c r="BZ70" s="2" t="s">
        <v>203</v>
      </c>
      <c r="CE70" s="2">
        <v>2</v>
      </c>
      <c r="CF70" s="2">
        <v>200</v>
      </c>
      <c r="CM70" s="2">
        <v>100</v>
      </c>
      <c r="CO70" s="2">
        <v>100</v>
      </c>
      <c r="CR70" s="2" t="s">
        <v>343</v>
      </c>
      <c r="CT70" s="2" t="s">
        <v>188</v>
      </c>
      <c r="CU70" s="2" t="s">
        <v>205</v>
      </c>
      <c r="CW70" s="2" t="s">
        <v>206</v>
      </c>
      <c r="CY70" s="2" t="s">
        <v>207</v>
      </c>
      <c r="CZ70" s="2" t="s">
        <v>300</v>
      </c>
      <c r="DA70" s="2" t="s">
        <v>300</v>
      </c>
      <c r="DB70" s="2" t="s">
        <v>300</v>
      </c>
      <c r="DC70" s="2" t="s">
        <v>430</v>
      </c>
      <c r="DD70" s="2" t="s">
        <v>430</v>
      </c>
      <c r="DE70" s="2" t="s">
        <v>300</v>
      </c>
      <c r="DF70" s="2" t="s">
        <v>300</v>
      </c>
      <c r="DG70" s="2" t="s">
        <v>300</v>
      </c>
      <c r="DH70" s="2" t="s">
        <v>300</v>
      </c>
      <c r="DI70" s="2" t="s">
        <v>430</v>
      </c>
      <c r="DL70" s="2" t="s">
        <v>188</v>
      </c>
      <c r="DM70" s="2" t="s">
        <v>187</v>
      </c>
      <c r="DN70" s="2" t="s">
        <v>188</v>
      </c>
      <c r="DO70" s="2" t="s">
        <v>187</v>
      </c>
      <c r="DP70" s="2" t="s">
        <v>203</v>
      </c>
      <c r="DT70" s="2" t="s">
        <v>209</v>
      </c>
      <c r="DU70" s="2" t="s">
        <v>203</v>
      </c>
      <c r="DV70" s="2" t="s">
        <v>209</v>
      </c>
      <c r="DW70" s="2" t="s">
        <v>209</v>
      </c>
      <c r="DX70" s="2" t="s">
        <v>203</v>
      </c>
      <c r="DY70" s="2" t="s">
        <v>203</v>
      </c>
      <c r="DZ70" s="2" t="s">
        <v>203</v>
      </c>
      <c r="EA70" s="2" t="s">
        <v>203</v>
      </c>
      <c r="EB70" s="2" t="s">
        <v>209</v>
      </c>
      <c r="EC70" s="2" t="s">
        <v>188</v>
      </c>
      <c r="EF70" s="2" t="s">
        <v>767</v>
      </c>
      <c r="EG70" s="2" t="s">
        <v>768</v>
      </c>
      <c r="EJ70" s="2" t="s">
        <v>203</v>
      </c>
      <c r="EK70" s="2" t="s">
        <v>188</v>
      </c>
      <c r="EL70" s="2" t="s">
        <v>188</v>
      </c>
      <c r="EN70" s="2" t="s">
        <v>255</v>
      </c>
      <c r="EP70" s="2" t="s">
        <v>230</v>
      </c>
      <c r="ER70" s="2" t="s">
        <v>188</v>
      </c>
      <c r="ET70" s="2" t="s">
        <v>188</v>
      </c>
      <c r="EV70" s="2" t="s">
        <v>188</v>
      </c>
      <c r="EX70" s="2" t="s">
        <v>188</v>
      </c>
      <c r="EZ70" s="2" t="s">
        <v>188</v>
      </c>
      <c r="FC70" s="2" t="s">
        <v>263</v>
      </c>
      <c r="FD70" s="2" t="s">
        <v>188</v>
      </c>
      <c r="FH70" s="2" t="s">
        <v>188</v>
      </c>
      <c r="FJ70" s="2" t="s">
        <v>188</v>
      </c>
      <c r="FK70" s="2" t="s">
        <v>209</v>
      </c>
      <c r="FL70" s="2" t="s">
        <v>319</v>
      </c>
      <c r="FN70" s="2" t="s">
        <v>769</v>
      </c>
      <c r="FR70" s="2" t="s">
        <v>770</v>
      </c>
      <c r="FT70" s="2" t="s">
        <v>219</v>
      </c>
      <c r="FU70" s="2" t="s">
        <v>219</v>
      </c>
      <c r="FV70" s="2" t="s">
        <v>219</v>
      </c>
      <c r="FW70" s="2" t="s">
        <v>233</v>
      </c>
      <c r="FZ70" s="4">
        <v>46047.582442129627</v>
      </c>
    </row>
    <row r="71" spans="1:182">
      <c r="A71" s="2" t="s">
        <v>771</v>
      </c>
      <c r="D71" s="3">
        <v>46031.35155092593</v>
      </c>
      <c r="E71" s="2" t="s">
        <v>772</v>
      </c>
      <c r="F71" s="2" t="s">
        <v>425</v>
      </c>
      <c r="G71" s="2" t="s">
        <v>179</v>
      </c>
      <c r="H71" s="2" t="s">
        <v>773</v>
      </c>
      <c r="I71" s="2" t="s">
        <v>774</v>
      </c>
      <c r="K71" s="2" t="s">
        <v>774</v>
      </c>
      <c r="L71" s="2" t="s">
        <v>182</v>
      </c>
      <c r="M71" s="2" t="s">
        <v>223</v>
      </c>
      <c r="N71" s="2">
        <v>1964</v>
      </c>
      <c r="O71" s="2" t="s">
        <v>184</v>
      </c>
      <c r="P71" s="2" t="s">
        <v>185</v>
      </c>
      <c r="Q71" s="2" t="s">
        <v>270</v>
      </c>
      <c r="R71" s="2" t="s">
        <v>188</v>
      </c>
      <c r="S71" s="2">
        <v>30</v>
      </c>
      <c r="T71" s="2" t="s">
        <v>188</v>
      </c>
      <c r="U71" s="2" t="s">
        <v>188</v>
      </c>
      <c r="Y71" s="2">
        <v>90</v>
      </c>
      <c r="Z71" s="2">
        <v>1</v>
      </c>
      <c r="AA71" s="2">
        <v>90</v>
      </c>
      <c r="AB71" s="2">
        <v>80</v>
      </c>
      <c r="AC71" s="2">
        <v>75</v>
      </c>
      <c r="AD71" s="2">
        <v>100</v>
      </c>
      <c r="AE71" s="2">
        <v>25</v>
      </c>
      <c r="AF71" s="2" t="s">
        <v>187</v>
      </c>
      <c r="AG71" s="2" t="s">
        <v>188</v>
      </c>
      <c r="AH71" s="2" t="s">
        <v>188</v>
      </c>
      <c r="AJ71" s="2" t="s">
        <v>188</v>
      </c>
      <c r="AK71" s="2" t="s">
        <v>187</v>
      </c>
      <c r="AL71" s="2" t="s">
        <v>188</v>
      </c>
      <c r="AM71" s="2" t="s">
        <v>188</v>
      </c>
      <c r="AN71" s="2" t="s">
        <v>188</v>
      </c>
      <c r="AO71" s="2" t="s">
        <v>188</v>
      </c>
      <c r="AR71" s="2">
        <v>0.3</v>
      </c>
      <c r="AS71" s="2">
        <v>3</v>
      </c>
      <c r="AT71" s="2">
        <v>1</v>
      </c>
      <c r="AU71" s="2" t="s">
        <v>203</v>
      </c>
      <c r="AV71" s="2" t="s">
        <v>203</v>
      </c>
      <c r="AW71" s="2" t="s">
        <v>188</v>
      </c>
      <c r="AZ71" s="2" t="s">
        <v>357</v>
      </c>
      <c r="BB71" s="2" t="s">
        <v>260</v>
      </c>
      <c r="BC71" s="2" t="s">
        <v>253</v>
      </c>
      <c r="BD71" s="2" t="s">
        <v>188</v>
      </c>
      <c r="BE71" s="2" t="s">
        <v>188</v>
      </c>
      <c r="BL71" s="2" t="s">
        <v>240</v>
      </c>
      <c r="BO71" s="2" t="s">
        <v>341</v>
      </c>
      <c r="BP71" s="2" t="s">
        <v>342</v>
      </c>
      <c r="BS71" s="2" t="s">
        <v>188</v>
      </c>
      <c r="BT71" s="2" t="s">
        <v>521</v>
      </c>
      <c r="BV71" s="2" t="s">
        <v>228</v>
      </c>
      <c r="BX71" s="2" t="s">
        <v>188</v>
      </c>
      <c r="BZ71" s="2" t="s">
        <v>188</v>
      </c>
      <c r="CE71" s="2">
        <v>1</v>
      </c>
      <c r="CF71" s="2">
        <v>100</v>
      </c>
      <c r="CK71" s="2">
        <v>100</v>
      </c>
      <c r="CO71" s="2">
        <v>100</v>
      </c>
      <c r="CR71" s="2" t="s">
        <v>204</v>
      </c>
      <c r="CT71" s="2" t="s">
        <v>188</v>
      </c>
      <c r="CU71" s="2" t="s">
        <v>205</v>
      </c>
      <c r="CW71" s="2" t="s">
        <v>206</v>
      </c>
      <c r="CY71" s="2" t="s">
        <v>300</v>
      </c>
      <c r="CZ71" s="2" t="s">
        <v>300</v>
      </c>
      <c r="DA71" s="2" t="s">
        <v>300</v>
      </c>
      <c r="DB71" s="2" t="s">
        <v>300</v>
      </c>
      <c r="DC71" s="2" t="s">
        <v>430</v>
      </c>
      <c r="DD71" s="2" t="s">
        <v>430</v>
      </c>
      <c r="DE71" s="2" t="s">
        <v>300</v>
      </c>
      <c r="DF71" s="2" t="s">
        <v>430</v>
      </c>
      <c r="DG71" s="2" t="s">
        <v>430</v>
      </c>
      <c r="DH71" s="2" t="s">
        <v>430</v>
      </c>
      <c r="DI71" s="2" t="s">
        <v>430</v>
      </c>
      <c r="DL71" s="2" t="s">
        <v>188</v>
      </c>
      <c r="DM71" s="2" t="s">
        <v>188</v>
      </c>
      <c r="DP71" s="2" t="s">
        <v>188</v>
      </c>
      <c r="DT71" s="2" t="s">
        <v>203</v>
      </c>
      <c r="DU71" s="2" t="s">
        <v>203</v>
      </c>
      <c r="DV71" s="2" t="s">
        <v>203</v>
      </c>
      <c r="DW71" s="2" t="s">
        <v>203</v>
      </c>
      <c r="DX71" s="2" t="s">
        <v>203</v>
      </c>
      <c r="DY71" s="2" t="s">
        <v>203</v>
      </c>
      <c r="DZ71" s="2" t="s">
        <v>203</v>
      </c>
      <c r="EA71" s="2" t="s">
        <v>203</v>
      </c>
      <c r="EB71" s="2" t="s">
        <v>203</v>
      </c>
      <c r="EC71" s="2" t="s">
        <v>203</v>
      </c>
      <c r="EF71" s="2" t="s">
        <v>496</v>
      </c>
      <c r="EG71" s="2" t="s">
        <v>431</v>
      </c>
      <c r="EJ71" s="2" t="s">
        <v>203</v>
      </c>
      <c r="EK71" s="2" t="s">
        <v>188</v>
      </c>
      <c r="EL71" s="2" t="s">
        <v>188</v>
      </c>
      <c r="EN71" s="2" t="s">
        <v>255</v>
      </c>
      <c r="EP71" s="2" t="s">
        <v>230</v>
      </c>
      <c r="ER71" s="2" t="s">
        <v>188</v>
      </c>
      <c r="ET71" s="2" t="s">
        <v>188</v>
      </c>
      <c r="EV71" s="2" t="s">
        <v>188</v>
      </c>
      <c r="EX71" s="2" t="s">
        <v>188</v>
      </c>
      <c r="EZ71" s="2" t="s">
        <v>188</v>
      </c>
      <c r="FC71" s="2" t="s">
        <v>395</v>
      </c>
      <c r="FD71" s="2" t="s">
        <v>188</v>
      </c>
      <c r="FH71" s="2" t="s">
        <v>188</v>
      </c>
      <c r="FJ71" s="2" t="s">
        <v>188</v>
      </c>
      <c r="FK71" s="2" t="s">
        <v>188</v>
      </c>
      <c r="FR71" s="2" t="s">
        <v>775</v>
      </c>
      <c r="FT71" s="2" t="s">
        <v>219</v>
      </c>
      <c r="FU71" s="2" t="s">
        <v>233</v>
      </c>
      <c r="FV71" s="2" t="s">
        <v>233</v>
      </c>
      <c r="FW71" s="2" t="s">
        <v>233</v>
      </c>
      <c r="FZ71" s="4">
        <v>46040.816087962965</v>
      </c>
    </row>
    <row r="72" spans="1:182">
      <c r="A72" s="2" t="s">
        <v>776</v>
      </c>
      <c r="D72" s="3">
        <v>46031.198611111111</v>
      </c>
      <c r="E72" s="2" t="s">
        <v>777</v>
      </c>
      <c r="F72" s="2" t="s">
        <v>590</v>
      </c>
      <c r="G72" s="2" t="s">
        <v>179</v>
      </c>
      <c r="H72" s="2" t="s">
        <v>778</v>
      </c>
      <c r="I72" s="2" t="s">
        <v>779</v>
      </c>
      <c r="J72" s="2">
        <v>869615249</v>
      </c>
      <c r="K72" s="2" t="s">
        <v>780</v>
      </c>
      <c r="L72" s="2" t="s">
        <v>182</v>
      </c>
      <c r="M72" s="2" t="s">
        <v>223</v>
      </c>
      <c r="N72" s="2">
        <v>1984</v>
      </c>
      <c r="O72" s="2" t="s">
        <v>184</v>
      </c>
      <c r="P72" s="2" t="s">
        <v>225</v>
      </c>
      <c r="Q72" s="2" t="s">
        <v>603</v>
      </c>
      <c r="R72" s="2" t="s">
        <v>188</v>
      </c>
      <c r="S72" s="2">
        <v>23</v>
      </c>
      <c r="T72" s="2" t="s">
        <v>188</v>
      </c>
      <c r="U72" s="2" t="s">
        <v>188</v>
      </c>
      <c r="Y72" s="2">
        <v>70</v>
      </c>
      <c r="Z72" s="2">
        <v>1</v>
      </c>
      <c r="AA72" s="2">
        <v>70</v>
      </c>
      <c r="AB72" s="2">
        <v>70</v>
      </c>
      <c r="AC72" s="2">
        <v>70</v>
      </c>
      <c r="AD72" s="2">
        <v>110</v>
      </c>
      <c r="AE72" s="2">
        <v>40</v>
      </c>
      <c r="AF72" s="2" t="s">
        <v>188</v>
      </c>
      <c r="AG72" s="2" t="s">
        <v>188</v>
      </c>
      <c r="AH72" s="2" t="s">
        <v>188</v>
      </c>
      <c r="AJ72" s="2" t="s">
        <v>188</v>
      </c>
      <c r="AK72" s="2" t="s">
        <v>188</v>
      </c>
      <c r="AL72" s="2" t="s">
        <v>188</v>
      </c>
      <c r="AM72" s="2" t="s">
        <v>188</v>
      </c>
      <c r="AN72" s="2" t="s">
        <v>188</v>
      </c>
      <c r="AO72" s="2" t="s">
        <v>188</v>
      </c>
      <c r="AR72" s="2">
        <v>0.4</v>
      </c>
      <c r="AS72" s="2">
        <v>1</v>
      </c>
      <c r="AT72" s="2">
        <v>1</v>
      </c>
      <c r="AU72" s="2" t="s">
        <v>203</v>
      </c>
      <c r="AV72" s="2" t="s">
        <v>203</v>
      </c>
      <c r="AW72" s="2" t="s">
        <v>188</v>
      </c>
      <c r="AZ72" s="2" t="s">
        <v>190</v>
      </c>
      <c r="BB72" s="2" t="s">
        <v>260</v>
      </c>
      <c r="BC72" s="2" t="s">
        <v>253</v>
      </c>
      <c r="BD72" s="2" t="s">
        <v>188</v>
      </c>
      <c r="BE72" s="2" t="s">
        <v>187</v>
      </c>
      <c r="BF72" s="2" t="s">
        <v>193</v>
      </c>
      <c r="BG72" s="2" t="s">
        <v>194</v>
      </c>
      <c r="BH72" s="2" t="s">
        <v>297</v>
      </c>
      <c r="BI72" s="2" t="s">
        <v>196</v>
      </c>
      <c r="BL72" s="2" t="s">
        <v>240</v>
      </c>
      <c r="BO72" s="2" t="s">
        <v>341</v>
      </c>
      <c r="BP72" s="2" t="s">
        <v>342</v>
      </c>
      <c r="BS72" s="2" t="s">
        <v>188</v>
      </c>
      <c r="BT72" s="2" t="s">
        <v>723</v>
      </c>
      <c r="BV72" s="2" t="s">
        <v>389</v>
      </c>
      <c r="BX72" s="2" t="s">
        <v>188</v>
      </c>
      <c r="BZ72" s="2" t="s">
        <v>203</v>
      </c>
      <c r="CE72" s="2">
        <v>1</v>
      </c>
      <c r="CF72" s="2">
        <v>110</v>
      </c>
      <c r="CK72" s="2">
        <v>100</v>
      </c>
      <c r="CO72" s="2">
        <v>100</v>
      </c>
      <c r="CR72" s="2" t="s">
        <v>343</v>
      </c>
      <c r="CT72" s="2" t="s">
        <v>188</v>
      </c>
      <c r="CU72" s="2" t="s">
        <v>205</v>
      </c>
      <c r="CW72" s="2" t="s">
        <v>206</v>
      </c>
      <c r="CY72" s="2" t="s">
        <v>300</v>
      </c>
      <c r="CZ72" s="2" t="s">
        <v>300</v>
      </c>
      <c r="DA72" s="2" t="s">
        <v>300</v>
      </c>
      <c r="DB72" s="2" t="s">
        <v>300</v>
      </c>
      <c r="DC72" s="2" t="s">
        <v>430</v>
      </c>
      <c r="DD72" s="2" t="s">
        <v>300</v>
      </c>
      <c r="DE72" s="2" t="s">
        <v>300</v>
      </c>
      <c r="DF72" s="2" t="s">
        <v>300</v>
      </c>
      <c r="DG72" s="2" t="s">
        <v>300</v>
      </c>
      <c r="DH72" s="2" t="s">
        <v>430</v>
      </c>
      <c r="DI72" s="2" t="s">
        <v>430</v>
      </c>
      <c r="DL72" s="2" t="s">
        <v>188</v>
      </c>
      <c r="DM72" s="2" t="s">
        <v>188</v>
      </c>
      <c r="DP72" s="2" t="s">
        <v>188</v>
      </c>
      <c r="DT72" s="2" t="s">
        <v>203</v>
      </c>
      <c r="DU72" s="2" t="s">
        <v>203</v>
      </c>
      <c r="DV72" s="2" t="s">
        <v>203</v>
      </c>
      <c r="DW72" s="2" t="s">
        <v>203</v>
      </c>
      <c r="DX72" s="2" t="s">
        <v>203</v>
      </c>
      <c r="DY72" s="2" t="s">
        <v>203</v>
      </c>
      <c r="DZ72" s="2" t="s">
        <v>203</v>
      </c>
      <c r="EA72" s="2" t="s">
        <v>203</v>
      </c>
      <c r="EB72" s="2" t="s">
        <v>203</v>
      </c>
      <c r="EC72" s="2" t="s">
        <v>203</v>
      </c>
      <c r="EF72" s="2" t="s">
        <v>189</v>
      </c>
      <c r="EG72" s="2" t="s">
        <v>781</v>
      </c>
      <c r="EJ72" s="2" t="s">
        <v>203</v>
      </c>
      <c r="EK72" s="2" t="s">
        <v>188</v>
      </c>
      <c r="EL72" s="2" t="s">
        <v>188</v>
      </c>
      <c r="EN72" s="2" t="s">
        <v>214</v>
      </c>
      <c r="EP72" s="2" t="s">
        <v>230</v>
      </c>
      <c r="ER72" s="2" t="s">
        <v>188</v>
      </c>
      <c r="ET72" s="2" t="s">
        <v>188</v>
      </c>
      <c r="EV72" s="2" t="s">
        <v>188</v>
      </c>
      <c r="EX72" s="2" t="s">
        <v>188</v>
      </c>
      <c r="EZ72" s="2" t="s">
        <v>188</v>
      </c>
      <c r="FC72" s="2" t="s">
        <v>263</v>
      </c>
      <c r="FD72" s="2" t="s">
        <v>188</v>
      </c>
      <c r="FH72" s="2" t="s">
        <v>188</v>
      </c>
      <c r="FJ72" s="2" t="s">
        <v>188</v>
      </c>
      <c r="FK72" s="2" t="s">
        <v>188</v>
      </c>
      <c r="FN72" s="2" t="s">
        <v>432</v>
      </c>
      <c r="FR72" s="2" t="s">
        <v>782</v>
      </c>
      <c r="FT72" s="2" t="s">
        <v>233</v>
      </c>
      <c r="FU72" s="2" t="s">
        <v>233</v>
      </c>
      <c r="FV72" s="2" t="s">
        <v>219</v>
      </c>
      <c r="FW72" s="2" t="s">
        <v>233</v>
      </c>
      <c r="FZ72" s="4">
        <v>46047.583240740743</v>
      </c>
    </row>
    <row r="73" spans="1:182">
      <c r="A73" s="2" t="s">
        <v>783</v>
      </c>
      <c r="D73" s="3">
        <v>46031.22356481482</v>
      </c>
      <c r="E73" s="2" t="s">
        <v>784</v>
      </c>
      <c r="F73" s="2" t="s">
        <v>590</v>
      </c>
      <c r="G73" s="2" t="s">
        <v>179</v>
      </c>
      <c r="H73" s="2" t="s">
        <v>778</v>
      </c>
      <c r="I73" s="2" t="s">
        <v>785</v>
      </c>
      <c r="J73" s="2">
        <v>383089106</v>
      </c>
      <c r="K73" s="2" t="s">
        <v>785</v>
      </c>
      <c r="L73" s="2" t="s">
        <v>182</v>
      </c>
      <c r="M73" s="2" t="s">
        <v>183</v>
      </c>
      <c r="N73" s="2">
        <v>1995</v>
      </c>
      <c r="O73" s="2" t="s">
        <v>184</v>
      </c>
      <c r="P73" s="2" t="s">
        <v>185</v>
      </c>
      <c r="Q73" s="2" t="s">
        <v>186</v>
      </c>
      <c r="R73" s="2" t="s">
        <v>188</v>
      </c>
      <c r="S73" s="2">
        <v>13</v>
      </c>
      <c r="T73" s="2" t="s">
        <v>188</v>
      </c>
      <c r="U73" s="2" t="s">
        <v>188</v>
      </c>
      <c r="Y73" s="2">
        <v>105</v>
      </c>
      <c r="Z73" s="2">
        <v>1</v>
      </c>
      <c r="AA73" s="2">
        <v>105</v>
      </c>
      <c r="AB73" s="2">
        <v>105</v>
      </c>
      <c r="AC73" s="2">
        <v>105</v>
      </c>
      <c r="AD73" s="2">
        <v>120</v>
      </c>
      <c r="AE73" s="2">
        <v>15</v>
      </c>
      <c r="AF73" s="2" t="s">
        <v>188</v>
      </c>
      <c r="AG73" s="2" t="s">
        <v>188</v>
      </c>
      <c r="AH73" s="2" t="s">
        <v>188</v>
      </c>
      <c r="AJ73" s="2" t="s">
        <v>188</v>
      </c>
      <c r="AK73" s="2" t="s">
        <v>188</v>
      </c>
      <c r="AL73" s="2" t="s">
        <v>188</v>
      </c>
      <c r="AM73" s="2" t="s">
        <v>188</v>
      </c>
      <c r="AN73" s="2" t="s">
        <v>188</v>
      </c>
      <c r="AO73" s="2" t="s">
        <v>188</v>
      </c>
      <c r="AR73" s="2">
        <v>0.2</v>
      </c>
      <c r="AS73" s="2">
        <v>1</v>
      </c>
      <c r="AT73" s="2">
        <v>1.1000000000000001</v>
      </c>
      <c r="AU73" s="2" t="s">
        <v>203</v>
      </c>
      <c r="AV73" s="2" t="s">
        <v>203</v>
      </c>
      <c r="AW73" s="2" t="s">
        <v>188</v>
      </c>
      <c r="AZ73" s="2" t="s">
        <v>190</v>
      </c>
      <c r="BB73" s="2" t="s">
        <v>332</v>
      </c>
      <c r="BC73" s="2" t="s">
        <v>253</v>
      </c>
      <c r="BD73" s="2" t="s">
        <v>188</v>
      </c>
      <c r="BE73" s="2" t="s">
        <v>188</v>
      </c>
      <c r="BL73" s="2" t="s">
        <v>240</v>
      </c>
      <c r="BO73" s="2" t="s">
        <v>188</v>
      </c>
      <c r="BQ73" s="2" t="s">
        <v>227</v>
      </c>
      <c r="BS73" s="2" t="s">
        <v>187</v>
      </c>
      <c r="BT73" s="2" t="s">
        <v>651</v>
      </c>
      <c r="BV73" s="2" t="s">
        <v>495</v>
      </c>
      <c r="BX73" s="2" t="s">
        <v>187</v>
      </c>
      <c r="BY73" s="2" t="s">
        <v>786</v>
      </c>
      <c r="BZ73" s="2" t="s">
        <v>188</v>
      </c>
      <c r="CE73" s="2">
        <v>1.1000000000000001</v>
      </c>
      <c r="CF73" s="2">
        <v>120</v>
      </c>
      <c r="CK73" s="2">
        <v>100</v>
      </c>
      <c r="CO73" s="2">
        <v>100</v>
      </c>
      <c r="CR73" s="2" t="s">
        <v>204</v>
      </c>
      <c r="CT73" s="2" t="s">
        <v>188</v>
      </c>
      <c r="CU73" s="2" t="s">
        <v>205</v>
      </c>
      <c r="CW73" s="2" t="s">
        <v>206</v>
      </c>
      <c r="CY73" s="2" t="s">
        <v>300</v>
      </c>
      <c r="CZ73" s="2" t="s">
        <v>300</v>
      </c>
      <c r="DA73" s="2" t="s">
        <v>300</v>
      </c>
      <c r="DB73" s="2" t="s">
        <v>300</v>
      </c>
      <c r="DC73" s="2" t="s">
        <v>300</v>
      </c>
      <c r="DD73" s="2" t="s">
        <v>300</v>
      </c>
      <c r="DE73" s="2" t="s">
        <v>300</v>
      </c>
      <c r="DF73" s="2" t="s">
        <v>300</v>
      </c>
      <c r="DG73" s="2" t="s">
        <v>300</v>
      </c>
      <c r="DH73" s="2" t="s">
        <v>300</v>
      </c>
      <c r="DI73" s="2" t="s">
        <v>300</v>
      </c>
      <c r="DL73" s="2" t="s">
        <v>188</v>
      </c>
      <c r="DM73" s="2" t="s">
        <v>188</v>
      </c>
      <c r="DP73" s="2" t="s">
        <v>188</v>
      </c>
      <c r="DT73" s="2" t="s">
        <v>203</v>
      </c>
      <c r="DU73" s="2" t="s">
        <v>203</v>
      </c>
      <c r="DV73" s="2" t="s">
        <v>203</v>
      </c>
      <c r="DW73" s="2" t="s">
        <v>203</v>
      </c>
      <c r="DX73" s="2" t="s">
        <v>203</v>
      </c>
      <c r="DY73" s="2" t="s">
        <v>203</v>
      </c>
      <c r="DZ73" s="2" t="s">
        <v>203</v>
      </c>
      <c r="EA73" s="2" t="s">
        <v>203</v>
      </c>
      <c r="EB73" s="2" t="s">
        <v>203</v>
      </c>
      <c r="EC73" s="2" t="s">
        <v>203</v>
      </c>
      <c r="ED73" s="2" t="s">
        <v>203</v>
      </c>
      <c r="EF73" s="2" t="s">
        <v>189</v>
      </c>
      <c r="EG73" s="2" t="s">
        <v>787</v>
      </c>
      <c r="EJ73" s="2" t="s">
        <v>203</v>
      </c>
      <c r="EK73" s="2" t="s">
        <v>188</v>
      </c>
      <c r="EL73" s="2" t="s">
        <v>188</v>
      </c>
      <c r="EN73" s="2" t="s">
        <v>214</v>
      </c>
      <c r="EP73" s="2" t="s">
        <v>230</v>
      </c>
      <c r="ER73" s="2" t="s">
        <v>188</v>
      </c>
      <c r="ET73" s="2" t="s">
        <v>188</v>
      </c>
      <c r="EV73" s="2" t="s">
        <v>188</v>
      </c>
      <c r="EX73" s="2" t="s">
        <v>188</v>
      </c>
      <c r="EZ73" s="2" t="s">
        <v>188</v>
      </c>
      <c r="FC73" s="2" t="s">
        <v>263</v>
      </c>
      <c r="FD73" s="2" t="s">
        <v>188</v>
      </c>
      <c r="FH73" s="2" t="s">
        <v>188</v>
      </c>
      <c r="FJ73" s="2" t="s">
        <v>188</v>
      </c>
      <c r="FK73" s="2" t="s">
        <v>188</v>
      </c>
      <c r="FN73" s="2" t="s">
        <v>432</v>
      </c>
      <c r="FR73" s="2" t="s">
        <v>788</v>
      </c>
      <c r="FT73" s="2" t="s">
        <v>233</v>
      </c>
      <c r="FU73" s="2" t="s">
        <v>233</v>
      </c>
      <c r="FV73" s="2" t="s">
        <v>233</v>
      </c>
      <c r="FW73" s="2" t="s">
        <v>233</v>
      </c>
      <c r="FZ73" s="4">
        <v>46047.583854166667</v>
      </c>
    </row>
    <row r="74" spans="1:182">
      <c r="A74" s="2" t="s">
        <v>789</v>
      </c>
      <c r="D74" s="4">
        <v>46266.341932870368</v>
      </c>
      <c r="E74" s="2" t="s">
        <v>790</v>
      </c>
      <c r="F74" s="2" t="s">
        <v>425</v>
      </c>
      <c r="G74" s="2" t="s">
        <v>791</v>
      </c>
      <c r="H74" s="2" t="s">
        <v>792</v>
      </c>
      <c r="I74" s="2" t="s">
        <v>793</v>
      </c>
      <c r="J74" s="2">
        <v>968659525</v>
      </c>
      <c r="K74" s="2" t="s">
        <v>794</v>
      </c>
      <c r="L74" s="2" t="s">
        <v>182</v>
      </c>
      <c r="M74" s="2" t="s">
        <v>223</v>
      </c>
      <c r="N74" s="2">
        <v>1991</v>
      </c>
      <c r="O74" s="2" t="s">
        <v>184</v>
      </c>
      <c r="P74" s="2" t="s">
        <v>225</v>
      </c>
      <c r="Q74" s="2" t="s">
        <v>270</v>
      </c>
      <c r="R74" s="2" t="s">
        <v>188</v>
      </c>
      <c r="S74" s="2">
        <v>15</v>
      </c>
      <c r="T74" s="2" t="s">
        <v>188</v>
      </c>
      <c r="U74" s="2" t="s">
        <v>188</v>
      </c>
      <c r="Y74" s="2">
        <v>350</v>
      </c>
      <c r="Z74" s="2">
        <v>0.94289999999999996</v>
      </c>
      <c r="AA74" s="2">
        <v>330</v>
      </c>
      <c r="AB74" s="2">
        <v>320</v>
      </c>
      <c r="AC74" s="2">
        <v>310</v>
      </c>
      <c r="AD74" s="2">
        <v>400</v>
      </c>
      <c r="AE74" s="2">
        <v>90</v>
      </c>
      <c r="AF74" s="2" t="s">
        <v>187</v>
      </c>
      <c r="AG74" s="2" t="s">
        <v>188</v>
      </c>
      <c r="AH74" s="2" t="s">
        <v>188</v>
      </c>
      <c r="AJ74" s="2" t="s">
        <v>188</v>
      </c>
      <c r="AK74" s="2" t="s">
        <v>187</v>
      </c>
      <c r="AL74" s="2" t="s">
        <v>187</v>
      </c>
      <c r="AM74" s="2" t="s">
        <v>187</v>
      </c>
      <c r="AN74" s="2" t="s">
        <v>188</v>
      </c>
      <c r="AO74" s="2" t="s">
        <v>188</v>
      </c>
      <c r="AR74" s="2">
        <v>2</v>
      </c>
      <c r="AS74" s="2">
        <v>3</v>
      </c>
      <c r="AT74" s="2">
        <v>4</v>
      </c>
      <c r="AU74" s="2" t="s">
        <v>189</v>
      </c>
      <c r="AV74" s="2" t="s">
        <v>189</v>
      </c>
      <c r="AW74" s="2" t="s">
        <v>188</v>
      </c>
      <c r="AZ74" s="2" t="s">
        <v>357</v>
      </c>
      <c r="BC74" s="2" t="s">
        <v>253</v>
      </c>
      <c r="BD74" s="2" t="s">
        <v>188</v>
      </c>
      <c r="BE74" s="2" t="s">
        <v>188</v>
      </c>
      <c r="BL74" s="2" t="s">
        <v>240</v>
      </c>
      <c r="BO74" s="2" t="s">
        <v>188</v>
      </c>
      <c r="BQ74" s="2" t="s">
        <v>200</v>
      </c>
      <c r="BS74" s="2" t="s">
        <v>187</v>
      </c>
      <c r="BT74" s="2" t="s">
        <v>69</v>
      </c>
      <c r="BU74" s="2" t="s">
        <v>795</v>
      </c>
      <c r="BV74" s="2" t="s">
        <v>630</v>
      </c>
      <c r="BX74" s="2" t="s">
        <v>188</v>
      </c>
      <c r="BZ74" s="2" t="s">
        <v>203</v>
      </c>
      <c r="CE74" s="2">
        <v>4</v>
      </c>
      <c r="CF74" s="2">
        <v>400</v>
      </c>
      <c r="CM74" s="2">
        <v>100</v>
      </c>
      <c r="CO74" s="2">
        <v>100</v>
      </c>
      <c r="CR74" s="2" t="s">
        <v>204</v>
      </c>
      <c r="CT74" s="2" t="s">
        <v>188</v>
      </c>
      <c r="CU74" s="2" t="s">
        <v>205</v>
      </c>
      <c r="CW74" s="2" t="s">
        <v>206</v>
      </c>
      <c r="CY74" s="2" t="s">
        <v>207</v>
      </c>
      <c r="CZ74" s="2" t="s">
        <v>207</v>
      </c>
      <c r="DA74" s="2" t="s">
        <v>300</v>
      </c>
      <c r="DB74" s="2" t="s">
        <v>300</v>
      </c>
      <c r="DC74" s="2" t="s">
        <v>300</v>
      </c>
      <c r="DD74" s="2" t="s">
        <v>430</v>
      </c>
      <c r="DE74" s="2" t="s">
        <v>300</v>
      </c>
      <c r="DF74" s="2" t="s">
        <v>207</v>
      </c>
      <c r="DG74" s="2" t="s">
        <v>207</v>
      </c>
      <c r="DH74" s="2" t="s">
        <v>300</v>
      </c>
      <c r="DI74" s="2" t="s">
        <v>300</v>
      </c>
      <c r="DL74" s="2" t="s">
        <v>187</v>
      </c>
      <c r="DM74" s="2" t="s">
        <v>187</v>
      </c>
      <c r="DN74" s="2" t="s">
        <v>187</v>
      </c>
      <c r="DO74" s="2" t="s">
        <v>187</v>
      </c>
      <c r="DP74" s="2" t="s">
        <v>209</v>
      </c>
      <c r="DQ74" s="2" t="s">
        <v>467</v>
      </c>
      <c r="DR74" s="2" t="s">
        <v>796</v>
      </c>
      <c r="DT74" s="2" t="s">
        <v>209</v>
      </c>
      <c r="DU74" s="2" t="s">
        <v>209</v>
      </c>
      <c r="DV74" s="2" t="s">
        <v>209</v>
      </c>
      <c r="DW74" s="2" t="s">
        <v>209</v>
      </c>
      <c r="DX74" s="2" t="s">
        <v>209</v>
      </c>
      <c r="DY74" s="2" t="s">
        <v>209</v>
      </c>
      <c r="DZ74" s="2" t="s">
        <v>209</v>
      </c>
      <c r="EA74" s="2" t="s">
        <v>209</v>
      </c>
      <c r="EB74" s="2" t="s">
        <v>209</v>
      </c>
      <c r="EC74" s="2" t="s">
        <v>188</v>
      </c>
      <c r="EF74" s="2" t="s">
        <v>302</v>
      </c>
      <c r="EG74" s="2" t="s">
        <v>797</v>
      </c>
      <c r="EJ74" s="2" t="s">
        <v>203</v>
      </c>
      <c r="EK74" s="2" t="s">
        <v>188</v>
      </c>
      <c r="EL74" s="2" t="s">
        <v>188</v>
      </c>
      <c r="EN74" s="2" t="s">
        <v>214</v>
      </c>
      <c r="EP74" s="2" t="s">
        <v>230</v>
      </c>
      <c r="ER74" s="2" t="s">
        <v>188</v>
      </c>
      <c r="ET74" s="2" t="s">
        <v>188</v>
      </c>
      <c r="EV74" s="2" t="s">
        <v>187</v>
      </c>
      <c r="EW74" s="2" t="s">
        <v>189</v>
      </c>
      <c r="EX74" s="2" t="s">
        <v>188</v>
      </c>
      <c r="EZ74" s="2" t="s">
        <v>188</v>
      </c>
      <c r="FC74" s="2" t="s">
        <v>263</v>
      </c>
      <c r="FD74" s="2" t="s">
        <v>188</v>
      </c>
      <c r="FH74" s="2" t="s">
        <v>188</v>
      </c>
      <c r="FJ74" s="2" t="s">
        <v>188</v>
      </c>
      <c r="FK74" s="2" t="s">
        <v>188</v>
      </c>
      <c r="FR74" s="2" t="s">
        <v>798</v>
      </c>
      <c r="FT74" s="2" t="s">
        <v>219</v>
      </c>
      <c r="FU74" s="2" t="s">
        <v>233</v>
      </c>
      <c r="FV74" s="2" t="s">
        <v>219</v>
      </c>
      <c r="FW74" s="2" t="s">
        <v>219</v>
      </c>
      <c r="FZ74" s="4">
        <v>46040.857361111113</v>
      </c>
    </row>
    <row r="75" spans="1:182">
      <c r="A75" s="2" t="s">
        <v>799</v>
      </c>
      <c r="D75" s="4">
        <v>46266.34516203704</v>
      </c>
      <c r="E75" s="2" t="s">
        <v>800</v>
      </c>
      <c r="F75" s="2" t="s">
        <v>398</v>
      </c>
      <c r="G75" s="2" t="s">
        <v>791</v>
      </c>
      <c r="H75" s="2" t="s">
        <v>801</v>
      </c>
      <c r="I75" s="2" t="s">
        <v>802</v>
      </c>
      <c r="J75" s="2">
        <v>372078875</v>
      </c>
      <c r="K75" s="2" t="s">
        <v>802</v>
      </c>
      <c r="L75" s="2" t="s">
        <v>803</v>
      </c>
      <c r="M75" s="2" t="s">
        <v>183</v>
      </c>
      <c r="N75" s="2">
        <v>2001</v>
      </c>
      <c r="O75" s="2" t="s">
        <v>184</v>
      </c>
      <c r="P75" s="2" t="s">
        <v>185</v>
      </c>
      <c r="Q75" s="2" t="s">
        <v>186</v>
      </c>
      <c r="R75" s="2" t="s">
        <v>188</v>
      </c>
      <c r="S75" s="2">
        <v>8</v>
      </c>
      <c r="T75" s="2" t="s">
        <v>188</v>
      </c>
      <c r="U75" s="2" t="s">
        <v>188</v>
      </c>
      <c r="Y75" s="2">
        <v>182</v>
      </c>
      <c r="Z75" s="2">
        <v>1</v>
      </c>
      <c r="AA75" s="2">
        <v>182</v>
      </c>
      <c r="AB75" s="2">
        <v>182</v>
      </c>
      <c r="AC75" s="2">
        <v>182</v>
      </c>
      <c r="AD75" s="2">
        <v>200</v>
      </c>
      <c r="AE75" s="2">
        <v>18</v>
      </c>
      <c r="AF75" s="2" t="s">
        <v>188</v>
      </c>
      <c r="AG75" s="2" t="s">
        <v>188</v>
      </c>
      <c r="AH75" s="2" t="s">
        <v>188</v>
      </c>
      <c r="AJ75" s="2" t="s">
        <v>188</v>
      </c>
      <c r="AK75" s="2" t="s">
        <v>188</v>
      </c>
      <c r="AL75" s="2" t="s">
        <v>188</v>
      </c>
      <c r="AM75" s="2" t="s">
        <v>188</v>
      </c>
      <c r="AN75" s="2" t="s">
        <v>188</v>
      </c>
      <c r="AO75" s="2" t="s">
        <v>188</v>
      </c>
      <c r="AR75" s="2">
        <v>1.1000000000000001</v>
      </c>
      <c r="AS75" s="2">
        <v>4</v>
      </c>
      <c r="AT75" s="2">
        <v>2</v>
      </c>
      <c r="AU75" s="2" t="s">
        <v>238</v>
      </c>
      <c r="AV75" s="2" t="s">
        <v>238</v>
      </c>
      <c r="AW75" s="2" t="s">
        <v>188</v>
      </c>
      <c r="BC75" s="2" t="s">
        <v>192</v>
      </c>
      <c r="BD75" s="2" t="s">
        <v>188</v>
      </c>
      <c r="BE75" s="2" t="s">
        <v>188</v>
      </c>
      <c r="BL75" s="2" t="s">
        <v>240</v>
      </c>
      <c r="BO75" s="2" t="s">
        <v>341</v>
      </c>
      <c r="BP75" s="2" t="s">
        <v>342</v>
      </c>
      <c r="BS75" s="2" t="s">
        <v>187</v>
      </c>
      <c r="BT75" s="2" t="s">
        <v>521</v>
      </c>
      <c r="BV75" s="2" t="s">
        <v>248</v>
      </c>
      <c r="BX75" s="2" t="s">
        <v>188</v>
      </c>
      <c r="BY75" s="2" t="s">
        <v>804</v>
      </c>
      <c r="BZ75" s="2" t="s">
        <v>203</v>
      </c>
      <c r="CE75" s="2">
        <v>2</v>
      </c>
      <c r="CF75" s="2">
        <v>200</v>
      </c>
      <c r="CK75" s="2">
        <v>100</v>
      </c>
      <c r="CP75" s="2">
        <v>100</v>
      </c>
      <c r="CR75" s="2" t="s">
        <v>204</v>
      </c>
      <c r="CT75" s="2" t="s">
        <v>188</v>
      </c>
      <c r="CU75" s="2" t="s">
        <v>205</v>
      </c>
      <c r="CW75" s="2" t="s">
        <v>206</v>
      </c>
      <c r="CY75" s="2" t="s">
        <v>300</v>
      </c>
      <c r="CZ75" s="2" t="s">
        <v>300</v>
      </c>
      <c r="DA75" s="2" t="s">
        <v>300</v>
      </c>
      <c r="DB75" s="2" t="s">
        <v>300</v>
      </c>
      <c r="DC75" s="2" t="s">
        <v>300</v>
      </c>
      <c r="DD75" s="2" t="s">
        <v>300</v>
      </c>
      <c r="DE75" s="2" t="s">
        <v>300</v>
      </c>
      <c r="DF75" s="2" t="s">
        <v>300</v>
      </c>
      <c r="DG75" s="2" t="s">
        <v>300</v>
      </c>
      <c r="DH75" s="2" t="s">
        <v>300</v>
      </c>
      <c r="DI75" s="2" t="s">
        <v>300</v>
      </c>
      <c r="DL75" s="2" t="s">
        <v>188</v>
      </c>
      <c r="DM75" s="2" t="s">
        <v>188</v>
      </c>
      <c r="DP75" s="2" t="s">
        <v>203</v>
      </c>
      <c r="DT75" s="2" t="s">
        <v>203</v>
      </c>
      <c r="DU75" s="2" t="s">
        <v>203</v>
      </c>
      <c r="DV75" s="2" t="s">
        <v>203</v>
      </c>
      <c r="DW75" s="2" t="s">
        <v>203</v>
      </c>
      <c r="DX75" s="2" t="s">
        <v>203</v>
      </c>
      <c r="DY75" s="2" t="s">
        <v>203</v>
      </c>
      <c r="DZ75" s="2" t="s">
        <v>203</v>
      </c>
      <c r="EA75" s="2" t="s">
        <v>203</v>
      </c>
      <c r="EB75" s="2" t="s">
        <v>203</v>
      </c>
      <c r="EC75" s="2" t="s">
        <v>203</v>
      </c>
      <c r="ED75" s="2" t="s">
        <v>203</v>
      </c>
      <c r="EE75" s="2" t="s">
        <v>203</v>
      </c>
      <c r="EF75" s="2" t="s">
        <v>302</v>
      </c>
      <c r="EG75" s="2" t="s">
        <v>805</v>
      </c>
      <c r="EJ75" s="2" t="s">
        <v>238</v>
      </c>
      <c r="EK75" s="2" t="s">
        <v>188</v>
      </c>
      <c r="EL75" s="2" t="s">
        <v>188</v>
      </c>
      <c r="EN75" s="2" t="s">
        <v>214</v>
      </c>
      <c r="EP75" s="2" t="s">
        <v>230</v>
      </c>
      <c r="ER75" s="2" t="s">
        <v>188</v>
      </c>
      <c r="ET75" s="2" t="s">
        <v>188</v>
      </c>
      <c r="EV75" s="2" t="s">
        <v>188</v>
      </c>
      <c r="EX75" s="2" t="s">
        <v>188</v>
      </c>
      <c r="EZ75" s="2" t="s">
        <v>188</v>
      </c>
      <c r="FC75" s="2" t="s">
        <v>216</v>
      </c>
      <c r="FD75" s="2" t="s">
        <v>188</v>
      </c>
      <c r="FH75" s="2" t="s">
        <v>188</v>
      </c>
      <c r="FJ75" s="2" t="s">
        <v>188</v>
      </c>
      <c r="FK75" s="2" t="s">
        <v>203</v>
      </c>
      <c r="FR75" s="2" t="s">
        <v>806</v>
      </c>
      <c r="FT75" s="2" t="s">
        <v>233</v>
      </c>
      <c r="FU75" s="2" t="s">
        <v>233</v>
      </c>
      <c r="FV75" s="2" t="s">
        <v>233</v>
      </c>
      <c r="FW75" s="2" t="s">
        <v>233</v>
      </c>
      <c r="FX75" s="2" t="s">
        <v>233</v>
      </c>
      <c r="FY75" s="2" t="s">
        <v>807</v>
      </c>
      <c r="FZ75" s="4">
        <v>46047.663275462961</v>
      </c>
    </row>
    <row r="76" spans="1:182">
      <c r="A76" s="2" t="s">
        <v>808</v>
      </c>
      <c r="D76" s="4">
        <v>46266.343900462962</v>
      </c>
      <c r="E76" s="2" t="s">
        <v>177</v>
      </c>
      <c r="F76" s="2" t="s">
        <v>293</v>
      </c>
      <c r="G76" s="2" t="s">
        <v>791</v>
      </c>
      <c r="H76" s="2" t="s">
        <v>792</v>
      </c>
      <c r="I76" s="2" t="s">
        <v>809</v>
      </c>
      <c r="J76" s="2">
        <v>362798131</v>
      </c>
      <c r="K76" s="2" t="s">
        <v>810</v>
      </c>
      <c r="L76" s="2" t="s">
        <v>182</v>
      </c>
      <c r="M76" s="2" t="s">
        <v>183</v>
      </c>
      <c r="N76" s="2">
        <v>1998</v>
      </c>
      <c r="O76" s="2" t="s">
        <v>184</v>
      </c>
      <c r="P76" s="2" t="s">
        <v>237</v>
      </c>
      <c r="Q76" s="2" t="s">
        <v>186</v>
      </c>
      <c r="R76" s="2" t="s">
        <v>188</v>
      </c>
      <c r="S76" s="2">
        <v>2010</v>
      </c>
      <c r="T76" s="2" t="s">
        <v>188</v>
      </c>
      <c r="U76" s="2" t="s">
        <v>188</v>
      </c>
      <c r="Y76" s="2">
        <v>450</v>
      </c>
      <c r="Z76" s="2">
        <v>0.93330000000000002</v>
      </c>
      <c r="AA76" s="2">
        <v>420</v>
      </c>
      <c r="AB76" s="2">
        <v>420</v>
      </c>
      <c r="AC76" s="2">
        <v>310</v>
      </c>
      <c r="AD76" s="2">
        <v>350</v>
      </c>
      <c r="AE76" s="2">
        <v>40</v>
      </c>
      <c r="AF76" s="2" t="s">
        <v>187</v>
      </c>
      <c r="AG76" s="2" t="s">
        <v>187</v>
      </c>
      <c r="AH76" s="2" t="s">
        <v>187</v>
      </c>
      <c r="AI76" s="2" t="s">
        <v>308</v>
      </c>
      <c r="AJ76" s="2" t="s">
        <v>188</v>
      </c>
      <c r="AK76" s="2" t="s">
        <v>188</v>
      </c>
      <c r="AL76" s="2" t="s">
        <v>188</v>
      </c>
      <c r="AM76" s="2" t="s">
        <v>187</v>
      </c>
      <c r="AN76" s="2" t="s">
        <v>188</v>
      </c>
      <c r="AO76" s="2" t="s">
        <v>188</v>
      </c>
      <c r="AR76" s="2">
        <v>2</v>
      </c>
      <c r="AS76" s="2">
        <v>3</v>
      </c>
      <c r="AT76" s="2">
        <v>3.2</v>
      </c>
      <c r="AU76" s="2" t="s">
        <v>238</v>
      </c>
      <c r="AV76" s="2" t="s">
        <v>238</v>
      </c>
      <c r="AW76" s="2" t="s">
        <v>188</v>
      </c>
      <c r="AZ76" s="2" t="s">
        <v>811</v>
      </c>
      <c r="BB76" s="2" t="s">
        <v>260</v>
      </c>
      <c r="BC76" s="2" t="s">
        <v>253</v>
      </c>
      <c r="BD76" s="2" t="s">
        <v>188</v>
      </c>
      <c r="BE76" s="2" t="s">
        <v>187</v>
      </c>
      <c r="BF76" s="2" t="s">
        <v>193</v>
      </c>
      <c r="BG76" s="2" t="s">
        <v>279</v>
      </c>
      <c r="BH76" s="2" t="s">
        <v>195</v>
      </c>
      <c r="BI76" s="2" t="s">
        <v>196</v>
      </c>
      <c r="BL76" s="2" t="s">
        <v>240</v>
      </c>
      <c r="BM76" s="2" t="s">
        <v>198</v>
      </c>
      <c r="BN76" s="2" t="s">
        <v>199</v>
      </c>
      <c r="BO76" s="2" t="s">
        <v>188</v>
      </c>
      <c r="BQ76" s="2" t="s">
        <v>200</v>
      </c>
      <c r="BS76" s="2" t="s">
        <v>188</v>
      </c>
      <c r="BT76" s="2" t="s">
        <v>261</v>
      </c>
      <c r="BV76" s="2" t="s">
        <v>812</v>
      </c>
      <c r="BX76" s="2" t="s">
        <v>187</v>
      </c>
      <c r="BY76" s="2" t="s">
        <v>326</v>
      </c>
      <c r="BZ76" s="2" t="s">
        <v>203</v>
      </c>
      <c r="CE76" s="2">
        <v>3.2</v>
      </c>
      <c r="CK76" s="2">
        <v>100</v>
      </c>
      <c r="CO76" s="2">
        <v>100</v>
      </c>
      <c r="CR76" s="2" t="s">
        <v>204</v>
      </c>
      <c r="CT76" s="2" t="s">
        <v>188</v>
      </c>
      <c r="CU76" s="2" t="s">
        <v>205</v>
      </c>
      <c r="CW76" s="2" t="s">
        <v>206</v>
      </c>
      <c r="CY76" s="2" t="s">
        <v>207</v>
      </c>
      <c r="CZ76" s="2" t="s">
        <v>299</v>
      </c>
      <c r="DA76" s="2" t="s">
        <v>273</v>
      </c>
      <c r="DB76" s="2" t="s">
        <v>299</v>
      </c>
      <c r="DC76" s="2" t="s">
        <v>208</v>
      </c>
      <c r="DD76" s="2" t="s">
        <v>208</v>
      </c>
      <c r="DE76" s="2" t="s">
        <v>208</v>
      </c>
      <c r="DF76" s="2" t="s">
        <v>208</v>
      </c>
      <c r="DG76" s="2" t="s">
        <v>208</v>
      </c>
      <c r="DH76" s="2" t="s">
        <v>208</v>
      </c>
      <c r="DI76" s="2" t="s">
        <v>208</v>
      </c>
      <c r="DL76" s="2" t="s">
        <v>188</v>
      </c>
      <c r="DM76" s="2" t="s">
        <v>188</v>
      </c>
      <c r="DP76" s="2" t="s">
        <v>203</v>
      </c>
      <c r="DT76" s="2" t="s">
        <v>209</v>
      </c>
      <c r="DU76" s="2" t="s">
        <v>209</v>
      </c>
      <c r="DV76" s="2" t="s">
        <v>209</v>
      </c>
      <c r="DW76" s="2" t="s">
        <v>209</v>
      </c>
      <c r="DX76" s="2" t="s">
        <v>209</v>
      </c>
      <c r="DY76" s="2" t="s">
        <v>203</v>
      </c>
      <c r="DZ76" s="2" t="s">
        <v>203</v>
      </c>
      <c r="EA76" s="2" t="s">
        <v>203</v>
      </c>
      <c r="EB76" s="2" t="s">
        <v>203</v>
      </c>
      <c r="EC76" s="2" t="s">
        <v>203</v>
      </c>
      <c r="EF76" s="2" t="s">
        <v>211</v>
      </c>
      <c r="EJ76" s="2" t="s">
        <v>238</v>
      </c>
      <c r="EK76" s="2" t="s">
        <v>188</v>
      </c>
      <c r="EL76" s="2" t="s">
        <v>188</v>
      </c>
      <c r="EN76" s="2" t="s">
        <v>214</v>
      </c>
      <c r="EP76" s="2" t="s">
        <v>230</v>
      </c>
      <c r="ER76" s="2" t="s">
        <v>188</v>
      </c>
      <c r="ET76" s="2" t="s">
        <v>188</v>
      </c>
      <c r="EV76" s="2" t="s">
        <v>188</v>
      </c>
      <c r="EX76" s="2" t="s">
        <v>188</v>
      </c>
      <c r="EZ76" s="2" t="s">
        <v>188</v>
      </c>
      <c r="FC76" s="2" t="s">
        <v>216</v>
      </c>
      <c r="FD76" s="2" t="s">
        <v>188</v>
      </c>
      <c r="FH76" s="2" t="s">
        <v>188</v>
      </c>
      <c r="FJ76" s="2" t="s">
        <v>187</v>
      </c>
      <c r="FK76" s="2" t="s">
        <v>203</v>
      </c>
      <c r="FN76" s="2" t="s">
        <v>354</v>
      </c>
      <c r="FT76" s="2" t="s">
        <v>219</v>
      </c>
      <c r="FU76" s="2" t="s">
        <v>233</v>
      </c>
      <c r="FV76" s="2" t="s">
        <v>233</v>
      </c>
      <c r="FW76" s="2" t="s">
        <v>233</v>
      </c>
      <c r="FZ76" s="4">
        <v>46038.347268518519</v>
      </c>
    </row>
    <row r="77" spans="1:182">
      <c r="A77" s="2" t="s">
        <v>813</v>
      </c>
      <c r="D77" s="4">
        <v>46266.358032407406</v>
      </c>
      <c r="E77" s="2" t="s">
        <v>177</v>
      </c>
      <c r="F77" s="2" t="s">
        <v>293</v>
      </c>
      <c r="G77" s="2" t="s">
        <v>791</v>
      </c>
      <c r="H77" s="2" t="s">
        <v>792</v>
      </c>
      <c r="I77" s="2" t="s">
        <v>814</v>
      </c>
      <c r="J77" s="2">
        <v>327917807</v>
      </c>
      <c r="K77" s="2" t="s">
        <v>815</v>
      </c>
      <c r="L77" s="2" t="s">
        <v>269</v>
      </c>
      <c r="M77" s="2" t="s">
        <v>183</v>
      </c>
      <c r="N77" s="2">
        <v>2000</v>
      </c>
      <c r="O77" s="2" t="s">
        <v>816</v>
      </c>
      <c r="P77" s="2" t="s">
        <v>185</v>
      </c>
      <c r="Q77" s="2" t="s">
        <v>186</v>
      </c>
      <c r="R77" s="2" t="s">
        <v>188</v>
      </c>
      <c r="S77" s="2">
        <v>2010</v>
      </c>
      <c r="T77" s="2" t="s">
        <v>188</v>
      </c>
      <c r="U77" s="2" t="s">
        <v>188</v>
      </c>
      <c r="Y77" s="2">
        <v>400</v>
      </c>
      <c r="Z77" s="2">
        <v>0.875</v>
      </c>
      <c r="AA77" s="2">
        <v>350</v>
      </c>
      <c r="AB77" s="2">
        <v>350</v>
      </c>
      <c r="AC77" s="2">
        <v>260</v>
      </c>
      <c r="AD77" s="2">
        <v>300</v>
      </c>
      <c r="AE77" s="2">
        <v>40</v>
      </c>
      <c r="AF77" s="2" t="s">
        <v>187</v>
      </c>
      <c r="AG77" s="2" t="s">
        <v>187</v>
      </c>
      <c r="AH77" s="2" t="s">
        <v>187</v>
      </c>
      <c r="AI77" s="2" t="s">
        <v>308</v>
      </c>
      <c r="AJ77" s="2" t="s">
        <v>188</v>
      </c>
      <c r="AK77" s="2" t="s">
        <v>188</v>
      </c>
      <c r="AL77" s="2" t="s">
        <v>188</v>
      </c>
      <c r="AM77" s="2" t="s">
        <v>187</v>
      </c>
      <c r="AN77" s="2" t="s">
        <v>188</v>
      </c>
      <c r="AO77" s="2" t="s">
        <v>188</v>
      </c>
      <c r="AR77" s="2">
        <v>1</v>
      </c>
      <c r="AS77" s="2">
        <v>3</v>
      </c>
      <c r="AT77" s="2">
        <v>3</v>
      </c>
      <c r="AU77" s="2" t="s">
        <v>238</v>
      </c>
      <c r="AV77" s="2" t="s">
        <v>238</v>
      </c>
      <c r="AW77" s="2" t="s">
        <v>188</v>
      </c>
      <c r="AZ77" s="2" t="s">
        <v>190</v>
      </c>
      <c r="BB77" s="2" t="s">
        <v>260</v>
      </c>
      <c r="BC77" s="2" t="s">
        <v>253</v>
      </c>
      <c r="BD77" s="2" t="s">
        <v>188</v>
      </c>
      <c r="BE77" s="2" t="s">
        <v>187</v>
      </c>
      <c r="BF77" s="2" t="s">
        <v>193</v>
      </c>
      <c r="BG77" s="2" t="s">
        <v>194</v>
      </c>
      <c r="BH77" s="2" t="s">
        <v>195</v>
      </c>
      <c r="BI77" s="2" t="s">
        <v>196</v>
      </c>
      <c r="BL77" s="2" t="s">
        <v>240</v>
      </c>
      <c r="BM77" s="2" t="s">
        <v>507</v>
      </c>
      <c r="BN77" s="2" t="s">
        <v>199</v>
      </c>
      <c r="BO77" s="2" t="s">
        <v>188</v>
      </c>
      <c r="BQ77" s="2" t="s">
        <v>309</v>
      </c>
      <c r="BS77" s="2" t="s">
        <v>187</v>
      </c>
      <c r="BT77" s="2" t="s">
        <v>201</v>
      </c>
      <c r="BV77" s="2" t="s">
        <v>291</v>
      </c>
      <c r="BW77" s="2" t="s">
        <v>817</v>
      </c>
      <c r="BX77" s="2" t="s">
        <v>187</v>
      </c>
      <c r="BY77" s="2" t="s">
        <v>818</v>
      </c>
      <c r="BZ77" s="2" t="s">
        <v>188</v>
      </c>
      <c r="CE77" s="2">
        <v>3</v>
      </c>
      <c r="CK77" s="2">
        <v>100</v>
      </c>
      <c r="CO77" s="2">
        <v>100</v>
      </c>
      <c r="CR77" s="2" t="s">
        <v>204</v>
      </c>
      <c r="CT77" s="2" t="s">
        <v>188</v>
      </c>
      <c r="CU77" s="2" t="s">
        <v>205</v>
      </c>
      <c r="CW77" s="2" t="s">
        <v>206</v>
      </c>
      <c r="CY77" s="2" t="s">
        <v>300</v>
      </c>
      <c r="CZ77" s="2" t="s">
        <v>300</v>
      </c>
      <c r="DA77" s="2" t="s">
        <v>208</v>
      </c>
      <c r="DB77" s="2" t="s">
        <v>300</v>
      </c>
      <c r="DC77" s="2" t="s">
        <v>300</v>
      </c>
      <c r="DD77" s="2" t="s">
        <v>301</v>
      </c>
      <c r="DE77" s="2" t="s">
        <v>300</v>
      </c>
      <c r="DF77" s="2" t="s">
        <v>208</v>
      </c>
      <c r="DG77" s="2" t="s">
        <v>208</v>
      </c>
      <c r="DH77" s="2" t="s">
        <v>207</v>
      </c>
      <c r="DI77" s="2" t="s">
        <v>208</v>
      </c>
      <c r="DL77" s="2" t="s">
        <v>188</v>
      </c>
      <c r="DM77" s="2" t="s">
        <v>188</v>
      </c>
      <c r="DP77" s="2" t="s">
        <v>203</v>
      </c>
      <c r="DT77" s="2" t="s">
        <v>209</v>
      </c>
      <c r="DU77" s="2" t="s">
        <v>209</v>
      </c>
      <c r="DV77" s="2" t="s">
        <v>209</v>
      </c>
      <c r="DW77" s="2" t="s">
        <v>209</v>
      </c>
      <c r="DX77" s="2" t="s">
        <v>209</v>
      </c>
      <c r="DY77" s="2" t="s">
        <v>209</v>
      </c>
      <c r="DZ77" s="2" t="s">
        <v>203</v>
      </c>
      <c r="EA77" s="2" t="s">
        <v>203</v>
      </c>
      <c r="EB77" s="2" t="s">
        <v>203</v>
      </c>
      <c r="EF77" s="2" t="s">
        <v>189</v>
      </c>
      <c r="EJ77" s="2" t="s">
        <v>238</v>
      </c>
      <c r="EK77" s="2" t="s">
        <v>187</v>
      </c>
      <c r="EL77" s="2" t="s">
        <v>188</v>
      </c>
      <c r="EN77" s="2" t="s">
        <v>214</v>
      </c>
      <c r="EP77" s="2" t="s">
        <v>230</v>
      </c>
      <c r="ER77" s="2" t="s">
        <v>187</v>
      </c>
      <c r="ET77" s="2" t="s">
        <v>188</v>
      </c>
      <c r="EV77" s="2" t="s">
        <v>188</v>
      </c>
      <c r="EX77" s="2" t="s">
        <v>188</v>
      </c>
      <c r="EZ77" s="2" t="s">
        <v>188</v>
      </c>
      <c r="FC77" s="2" t="s">
        <v>216</v>
      </c>
      <c r="FD77" s="2" t="s">
        <v>188</v>
      </c>
      <c r="FH77" s="2" t="s">
        <v>188</v>
      </c>
      <c r="FJ77" s="2" t="s">
        <v>187</v>
      </c>
      <c r="FK77" s="2" t="s">
        <v>203</v>
      </c>
      <c r="FN77" s="2" t="s">
        <v>819</v>
      </c>
      <c r="FT77" s="2" t="s">
        <v>219</v>
      </c>
      <c r="FU77" s="2" t="s">
        <v>233</v>
      </c>
      <c r="FV77" s="2" t="s">
        <v>233</v>
      </c>
      <c r="FW77" s="2" t="s">
        <v>233</v>
      </c>
      <c r="FZ77" s="4">
        <v>46038.358078703706</v>
      </c>
    </row>
    <row r="78" spans="1:182">
      <c r="A78" s="2" t="s">
        <v>820</v>
      </c>
      <c r="D78" s="4">
        <v>46266.358599537038</v>
      </c>
      <c r="E78" s="2" t="s">
        <v>821</v>
      </c>
      <c r="F78" s="2" t="s">
        <v>398</v>
      </c>
      <c r="G78" s="2" t="s">
        <v>791</v>
      </c>
      <c r="H78" s="2" t="s">
        <v>822</v>
      </c>
      <c r="I78" s="2" t="s">
        <v>823</v>
      </c>
      <c r="J78" s="2">
        <v>394625558</v>
      </c>
      <c r="K78" s="2" t="s">
        <v>823</v>
      </c>
      <c r="L78" s="2" t="s">
        <v>803</v>
      </c>
      <c r="M78" s="2" t="s">
        <v>183</v>
      </c>
      <c r="N78" s="2">
        <v>2000</v>
      </c>
      <c r="O78" s="2" t="s">
        <v>184</v>
      </c>
      <c r="P78" s="2" t="s">
        <v>185</v>
      </c>
      <c r="Q78" s="2" t="s">
        <v>226</v>
      </c>
      <c r="R78" s="2" t="s">
        <v>188</v>
      </c>
      <c r="S78" s="2">
        <v>2</v>
      </c>
      <c r="T78" s="2" t="s">
        <v>188</v>
      </c>
      <c r="U78" s="2" t="s">
        <v>187</v>
      </c>
      <c r="Y78" s="2">
        <v>40</v>
      </c>
      <c r="Z78" s="5">
        <v>0</v>
      </c>
      <c r="AA78" s="2">
        <v>0</v>
      </c>
      <c r="AB78" s="2">
        <v>0</v>
      </c>
      <c r="AC78" s="2">
        <v>-30</v>
      </c>
      <c r="AD78" s="2">
        <v>0</v>
      </c>
      <c r="AE78" s="2">
        <v>30</v>
      </c>
      <c r="AF78" s="2" t="s">
        <v>188</v>
      </c>
      <c r="AG78" s="2" t="s">
        <v>188</v>
      </c>
      <c r="AH78" s="2" t="s">
        <v>188</v>
      </c>
      <c r="AJ78" s="2" t="s">
        <v>188</v>
      </c>
      <c r="AK78" s="2" t="s">
        <v>188</v>
      </c>
      <c r="AL78" s="2" t="s">
        <v>188</v>
      </c>
      <c r="AM78" s="2" t="s">
        <v>187</v>
      </c>
      <c r="AN78" s="2" t="s">
        <v>188</v>
      </c>
      <c r="AO78" s="2" t="s">
        <v>188</v>
      </c>
      <c r="AR78" s="2">
        <v>1.2</v>
      </c>
      <c r="AS78" s="2">
        <v>2</v>
      </c>
      <c r="AT78" s="3">
        <v>0.61254629629547708</v>
      </c>
      <c r="AU78" s="2" t="s">
        <v>238</v>
      </c>
      <c r="AV78" s="2" t="s">
        <v>238</v>
      </c>
      <c r="AW78" s="2" t="s">
        <v>188</v>
      </c>
      <c r="AZ78" s="2" t="s">
        <v>190</v>
      </c>
      <c r="BB78" s="2" t="s">
        <v>260</v>
      </c>
      <c r="BC78" s="2" t="s">
        <v>296</v>
      </c>
      <c r="BD78" s="2" t="s">
        <v>187</v>
      </c>
      <c r="BE78" s="2" t="s">
        <v>187</v>
      </c>
      <c r="BF78" s="2" t="s">
        <v>193</v>
      </c>
      <c r="BG78" s="2" t="s">
        <v>194</v>
      </c>
      <c r="BH78" s="2" t="s">
        <v>280</v>
      </c>
      <c r="BI78" s="2" t="s">
        <v>196</v>
      </c>
      <c r="BL78" s="2" t="s">
        <v>240</v>
      </c>
      <c r="BO78" s="2" t="s">
        <v>188</v>
      </c>
      <c r="BQ78" s="2" t="s">
        <v>200</v>
      </c>
      <c r="BS78" s="2" t="s">
        <v>187</v>
      </c>
      <c r="BT78" s="2" t="s">
        <v>201</v>
      </c>
      <c r="BV78" s="2" t="s">
        <v>248</v>
      </c>
      <c r="BX78" s="2" t="s">
        <v>188</v>
      </c>
      <c r="BY78" s="2" t="s">
        <v>824</v>
      </c>
      <c r="BZ78" s="2" t="s">
        <v>203</v>
      </c>
      <c r="CE78" s="3">
        <v>0.61254629629547708</v>
      </c>
      <c r="CF78" s="2">
        <v>0</v>
      </c>
      <c r="CY78" s="2" t="s">
        <v>300</v>
      </c>
      <c r="CZ78" s="2" t="s">
        <v>300</v>
      </c>
      <c r="DA78" s="2" t="s">
        <v>300</v>
      </c>
      <c r="DB78" s="2" t="s">
        <v>300</v>
      </c>
      <c r="DC78" s="2" t="s">
        <v>299</v>
      </c>
      <c r="DD78" s="2" t="s">
        <v>300</v>
      </c>
      <c r="DE78" s="2" t="s">
        <v>300</v>
      </c>
      <c r="DF78" s="2" t="s">
        <v>300</v>
      </c>
      <c r="DG78" s="2" t="s">
        <v>300</v>
      </c>
      <c r="DH78" s="2" t="s">
        <v>300</v>
      </c>
      <c r="DI78" s="2" t="s">
        <v>300</v>
      </c>
      <c r="DL78" s="2" t="s">
        <v>188</v>
      </c>
      <c r="DM78" s="2" t="s">
        <v>188</v>
      </c>
      <c r="DP78" s="2" t="s">
        <v>203</v>
      </c>
      <c r="DT78" s="2" t="s">
        <v>203</v>
      </c>
      <c r="DU78" s="2" t="s">
        <v>203</v>
      </c>
      <c r="DV78" s="2" t="s">
        <v>203</v>
      </c>
      <c r="DW78" s="2" t="s">
        <v>203</v>
      </c>
      <c r="DX78" s="2" t="s">
        <v>203</v>
      </c>
      <c r="DY78" s="2" t="s">
        <v>203</v>
      </c>
      <c r="DZ78" s="2" t="s">
        <v>203</v>
      </c>
      <c r="EA78" s="2" t="s">
        <v>203</v>
      </c>
      <c r="EB78" s="2" t="s">
        <v>203</v>
      </c>
      <c r="EC78" s="2" t="s">
        <v>203</v>
      </c>
      <c r="ED78" s="2" t="s">
        <v>203</v>
      </c>
      <c r="EE78" s="2" t="s">
        <v>825</v>
      </c>
      <c r="EF78" s="2" t="s">
        <v>302</v>
      </c>
      <c r="EG78" s="2" t="s">
        <v>826</v>
      </c>
      <c r="EJ78" s="2" t="s">
        <v>238</v>
      </c>
      <c r="EK78" s="2" t="s">
        <v>188</v>
      </c>
      <c r="EL78" s="2" t="s">
        <v>188</v>
      </c>
      <c r="EN78" s="2" t="s">
        <v>214</v>
      </c>
      <c r="EP78" s="2" t="s">
        <v>230</v>
      </c>
      <c r="ER78" s="2" t="s">
        <v>188</v>
      </c>
      <c r="ET78" s="2" t="s">
        <v>188</v>
      </c>
      <c r="EV78" s="2" t="s">
        <v>188</v>
      </c>
      <c r="EX78" s="2" t="s">
        <v>188</v>
      </c>
      <c r="EZ78" s="2" t="s">
        <v>188</v>
      </c>
      <c r="FC78" s="2" t="s">
        <v>216</v>
      </c>
      <c r="FD78" s="2" t="s">
        <v>188</v>
      </c>
      <c r="FH78" s="2" t="s">
        <v>188</v>
      </c>
      <c r="FJ78" s="2" t="s">
        <v>188</v>
      </c>
      <c r="FK78" s="2" t="s">
        <v>188</v>
      </c>
      <c r="FR78" s="2" t="s">
        <v>827</v>
      </c>
      <c r="FT78" s="2" t="s">
        <v>219</v>
      </c>
      <c r="FU78" s="2" t="s">
        <v>233</v>
      </c>
      <c r="FV78" s="2" t="s">
        <v>219</v>
      </c>
      <c r="FW78" s="2" t="s">
        <v>219</v>
      </c>
      <c r="FX78" s="2" t="s">
        <v>233</v>
      </c>
      <c r="FY78" s="2" t="s">
        <v>828</v>
      </c>
      <c r="FZ78" s="4">
        <v>46048.567372685182</v>
      </c>
    </row>
    <row r="79" spans="1:182">
      <c r="A79" s="2" t="s">
        <v>829</v>
      </c>
      <c r="D79" s="4">
        <v>46266.369629629633</v>
      </c>
      <c r="E79" s="2" t="s">
        <v>830</v>
      </c>
      <c r="F79" s="2" t="s">
        <v>480</v>
      </c>
      <c r="G79" s="2" t="s">
        <v>831</v>
      </c>
      <c r="H79" s="2" t="s">
        <v>832</v>
      </c>
      <c r="I79" s="2" t="s">
        <v>833</v>
      </c>
      <c r="J79" s="2">
        <v>365374571</v>
      </c>
      <c r="K79" s="2" t="s">
        <v>833</v>
      </c>
      <c r="L79" s="2" t="s">
        <v>182</v>
      </c>
      <c r="M79" s="2" t="s">
        <v>183</v>
      </c>
      <c r="N79" s="2">
        <v>1996</v>
      </c>
      <c r="O79" s="2" t="s">
        <v>834</v>
      </c>
      <c r="P79" s="2" t="s">
        <v>185</v>
      </c>
      <c r="Q79" s="2" t="s">
        <v>186</v>
      </c>
      <c r="R79" s="2" t="s">
        <v>188</v>
      </c>
      <c r="S79" s="2">
        <v>10</v>
      </c>
      <c r="T79" s="2" t="s">
        <v>188</v>
      </c>
      <c r="U79" s="2" t="s">
        <v>188</v>
      </c>
      <c r="Y79" s="2">
        <v>150</v>
      </c>
      <c r="Z79" s="2">
        <v>0.66669999999999996</v>
      </c>
      <c r="AA79" s="2">
        <v>100</v>
      </c>
      <c r="AB79" s="2">
        <v>100</v>
      </c>
      <c r="AC79" s="2">
        <v>100</v>
      </c>
      <c r="AD79" s="2">
        <v>147</v>
      </c>
      <c r="AE79" s="2">
        <v>47</v>
      </c>
      <c r="AF79" s="2" t="s">
        <v>188</v>
      </c>
      <c r="AG79" s="2" t="s">
        <v>188</v>
      </c>
      <c r="AH79" s="2" t="s">
        <v>188</v>
      </c>
      <c r="AJ79" s="2" t="s">
        <v>188</v>
      </c>
      <c r="AK79" s="2" t="s">
        <v>188</v>
      </c>
      <c r="AL79" s="2" t="s">
        <v>188</v>
      </c>
      <c r="AM79" s="2" t="s">
        <v>188</v>
      </c>
      <c r="AN79" s="2" t="s">
        <v>188</v>
      </c>
      <c r="AO79" s="2" t="s">
        <v>187</v>
      </c>
      <c r="AR79" s="2">
        <v>0.7</v>
      </c>
      <c r="AS79" s="2">
        <v>2</v>
      </c>
      <c r="AT79" s="2">
        <v>0.7</v>
      </c>
      <c r="AU79" s="2" t="s">
        <v>238</v>
      </c>
      <c r="AV79" s="2" t="s">
        <v>238</v>
      </c>
      <c r="AW79" s="2" t="s">
        <v>188</v>
      </c>
      <c r="AZ79" s="2" t="s">
        <v>380</v>
      </c>
      <c r="BB79" s="2" t="s">
        <v>260</v>
      </c>
      <c r="BC79" s="2" t="s">
        <v>296</v>
      </c>
      <c r="BD79" s="2" t="s">
        <v>188</v>
      </c>
      <c r="BE79" s="2" t="s">
        <v>187</v>
      </c>
      <c r="BF79" s="2" t="s">
        <v>193</v>
      </c>
      <c r="BG79" s="2" t="s">
        <v>194</v>
      </c>
      <c r="BH79" s="2" t="s">
        <v>195</v>
      </c>
      <c r="BI79" s="2" t="s">
        <v>196</v>
      </c>
      <c r="BL79" s="2" t="s">
        <v>240</v>
      </c>
      <c r="BO79" s="2" t="s">
        <v>188</v>
      </c>
      <c r="BQ79" s="2" t="s">
        <v>227</v>
      </c>
      <c r="BS79" s="2" t="s">
        <v>188</v>
      </c>
      <c r="BT79" s="2" t="s">
        <v>484</v>
      </c>
      <c r="BV79" s="2" t="s">
        <v>389</v>
      </c>
      <c r="BX79" s="2" t="s">
        <v>187</v>
      </c>
      <c r="BY79" s="2" t="s">
        <v>835</v>
      </c>
      <c r="BZ79" s="2" t="s">
        <v>188</v>
      </c>
      <c r="CE79" s="2">
        <v>0.7</v>
      </c>
      <c r="CF79" s="2">
        <v>147</v>
      </c>
      <c r="CK79" s="2">
        <v>100</v>
      </c>
      <c r="CO79" s="2">
        <v>100</v>
      </c>
      <c r="CR79" s="2" t="s">
        <v>204</v>
      </c>
      <c r="CT79" s="2" t="s">
        <v>188</v>
      </c>
      <c r="CU79" s="2" t="s">
        <v>758</v>
      </c>
      <c r="CW79" s="2" t="s">
        <v>206</v>
      </c>
      <c r="CY79" s="2" t="s">
        <v>300</v>
      </c>
      <c r="CZ79" s="2" t="s">
        <v>299</v>
      </c>
      <c r="DA79" s="2" t="s">
        <v>300</v>
      </c>
      <c r="DB79" s="2" t="s">
        <v>300</v>
      </c>
      <c r="DC79" s="2" t="s">
        <v>430</v>
      </c>
      <c r="DD79" s="2" t="s">
        <v>430</v>
      </c>
      <c r="DE79" s="2" t="s">
        <v>300</v>
      </c>
      <c r="DF79" s="2" t="s">
        <v>300</v>
      </c>
      <c r="DG79" s="2" t="s">
        <v>300</v>
      </c>
      <c r="DH79" s="2" t="s">
        <v>300</v>
      </c>
      <c r="DI79" s="2" t="s">
        <v>300</v>
      </c>
      <c r="DL79" s="2" t="s">
        <v>187</v>
      </c>
      <c r="DM79" s="2" t="s">
        <v>187</v>
      </c>
      <c r="DN79" s="2" t="s">
        <v>187</v>
      </c>
      <c r="DO79" s="2" t="s">
        <v>187</v>
      </c>
      <c r="DP79" s="2" t="s">
        <v>188</v>
      </c>
      <c r="DT79" s="2" t="s">
        <v>203</v>
      </c>
      <c r="DU79" s="2" t="s">
        <v>203</v>
      </c>
      <c r="DV79" s="2" t="s">
        <v>203</v>
      </c>
      <c r="DW79" s="2" t="s">
        <v>203</v>
      </c>
      <c r="DX79" s="2" t="s">
        <v>203</v>
      </c>
      <c r="DY79" s="2" t="s">
        <v>203</v>
      </c>
      <c r="DZ79" s="2" t="s">
        <v>203</v>
      </c>
      <c r="EA79" s="2" t="s">
        <v>203</v>
      </c>
      <c r="EB79" s="2" t="s">
        <v>203</v>
      </c>
      <c r="EC79" s="2" t="s">
        <v>203</v>
      </c>
      <c r="EF79" s="2" t="s">
        <v>302</v>
      </c>
      <c r="EG79" s="2" t="s">
        <v>836</v>
      </c>
      <c r="EJ79" s="2" t="s">
        <v>203</v>
      </c>
      <c r="EK79" s="2" t="s">
        <v>188</v>
      </c>
      <c r="EL79" s="2" t="s">
        <v>188</v>
      </c>
      <c r="EN79" s="2" t="s">
        <v>214</v>
      </c>
      <c r="EP79" s="2" t="s">
        <v>230</v>
      </c>
      <c r="ER79" s="2" t="s">
        <v>188</v>
      </c>
      <c r="ET79" s="2" t="s">
        <v>188</v>
      </c>
      <c r="EV79" s="2" t="s">
        <v>188</v>
      </c>
      <c r="EX79" s="2" t="s">
        <v>188</v>
      </c>
      <c r="EZ79" s="2" t="s">
        <v>188</v>
      </c>
      <c r="FC79" s="2" t="s">
        <v>216</v>
      </c>
      <c r="FD79" s="2" t="s">
        <v>188</v>
      </c>
      <c r="FH79" s="2" t="s">
        <v>188</v>
      </c>
      <c r="FJ79" s="2" t="s">
        <v>188</v>
      </c>
      <c r="FK79" s="2" t="s">
        <v>188</v>
      </c>
      <c r="FN79" s="2" t="s">
        <v>488</v>
      </c>
      <c r="FR79" s="2" t="s">
        <v>837</v>
      </c>
      <c r="FT79" s="2" t="s">
        <v>233</v>
      </c>
      <c r="FU79" s="2" t="s">
        <v>490</v>
      </c>
      <c r="FV79" s="2" t="s">
        <v>233</v>
      </c>
      <c r="FW79" s="2" t="s">
        <v>233</v>
      </c>
      <c r="FX79" s="2" t="s">
        <v>233</v>
      </c>
      <c r="FY79" s="2" t="s">
        <v>838</v>
      </c>
      <c r="FZ79" s="4">
        <v>46042.931770833333</v>
      </c>
    </row>
    <row r="80" spans="1:182">
      <c r="A80" s="2" t="s">
        <v>839</v>
      </c>
      <c r="D80" s="4">
        <v>46266.378854166665</v>
      </c>
      <c r="E80" s="2" t="s">
        <v>840</v>
      </c>
      <c r="F80" s="2" t="s">
        <v>590</v>
      </c>
      <c r="G80" s="2" t="s">
        <v>831</v>
      </c>
      <c r="H80" s="2" t="s">
        <v>841</v>
      </c>
      <c r="I80" s="2" t="s">
        <v>842</v>
      </c>
      <c r="J80" s="2">
        <v>349390668</v>
      </c>
      <c r="K80" s="2" t="s">
        <v>843</v>
      </c>
      <c r="L80" s="2" t="s">
        <v>182</v>
      </c>
      <c r="M80" s="2" t="s">
        <v>223</v>
      </c>
      <c r="N80" s="2">
        <v>1969</v>
      </c>
      <c r="O80" s="2" t="s">
        <v>224</v>
      </c>
      <c r="P80" s="2" t="s">
        <v>225</v>
      </c>
      <c r="Q80" s="2" t="s">
        <v>186</v>
      </c>
      <c r="R80" s="2" t="s">
        <v>188</v>
      </c>
      <c r="S80" s="2">
        <v>30</v>
      </c>
      <c r="T80" s="2" t="s">
        <v>188</v>
      </c>
      <c r="U80" s="2" t="s">
        <v>188</v>
      </c>
      <c r="Y80" s="2">
        <v>350</v>
      </c>
      <c r="Z80" s="2">
        <v>0.85709999999999997</v>
      </c>
      <c r="AA80" s="2">
        <v>300</v>
      </c>
      <c r="AB80" s="2">
        <v>300</v>
      </c>
      <c r="AC80" s="2">
        <v>300</v>
      </c>
      <c r="AD80" s="2">
        <v>350</v>
      </c>
      <c r="AE80" s="2">
        <v>50</v>
      </c>
      <c r="AF80" s="2" t="s">
        <v>188</v>
      </c>
      <c r="AG80" s="2" t="s">
        <v>188</v>
      </c>
      <c r="AH80" s="2" t="s">
        <v>187</v>
      </c>
      <c r="AI80" s="2" t="s">
        <v>308</v>
      </c>
      <c r="AJ80" s="2" t="s">
        <v>188</v>
      </c>
      <c r="AK80" s="2" t="s">
        <v>188</v>
      </c>
      <c r="AL80" s="2" t="s">
        <v>188</v>
      </c>
      <c r="AM80" s="2" t="s">
        <v>188</v>
      </c>
      <c r="AN80" s="2" t="s">
        <v>188</v>
      </c>
      <c r="AO80" s="2" t="s">
        <v>188</v>
      </c>
      <c r="AR80" s="2">
        <v>1</v>
      </c>
      <c r="AS80" s="2">
        <v>1</v>
      </c>
      <c r="AT80" s="2">
        <v>3.5</v>
      </c>
      <c r="AU80" s="2" t="s">
        <v>203</v>
      </c>
      <c r="AV80" s="2" t="s">
        <v>189</v>
      </c>
      <c r="AW80" s="2" t="s">
        <v>188</v>
      </c>
      <c r="AZ80" s="2" t="s">
        <v>357</v>
      </c>
      <c r="BB80" s="2" t="s">
        <v>260</v>
      </c>
      <c r="BC80" s="2" t="s">
        <v>192</v>
      </c>
      <c r="BD80" s="2" t="s">
        <v>188</v>
      </c>
      <c r="BE80" s="2" t="s">
        <v>187</v>
      </c>
      <c r="BF80" s="2" t="s">
        <v>193</v>
      </c>
      <c r="BG80" s="2" t="s">
        <v>194</v>
      </c>
      <c r="BH80" s="2" t="s">
        <v>297</v>
      </c>
      <c r="BI80" s="2" t="s">
        <v>196</v>
      </c>
      <c r="BL80" s="2" t="s">
        <v>240</v>
      </c>
      <c r="BO80" s="2" t="s">
        <v>188</v>
      </c>
      <c r="BQ80" s="2" t="s">
        <v>227</v>
      </c>
      <c r="BS80" s="2" t="s">
        <v>187</v>
      </c>
      <c r="BT80" s="2" t="s">
        <v>844</v>
      </c>
      <c r="BU80" s="2" t="s">
        <v>845</v>
      </c>
      <c r="BV80" s="2" t="s">
        <v>242</v>
      </c>
      <c r="BX80" s="2" t="s">
        <v>188</v>
      </c>
      <c r="BZ80" s="2" t="s">
        <v>188</v>
      </c>
      <c r="CE80" s="2">
        <v>3.5</v>
      </c>
      <c r="CF80" s="2">
        <v>350</v>
      </c>
      <c r="CK80" s="2">
        <v>100</v>
      </c>
      <c r="CO80" s="2">
        <v>100</v>
      </c>
      <c r="CR80" s="2" t="s">
        <v>343</v>
      </c>
      <c r="CT80" s="2" t="s">
        <v>188</v>
      </c>
      <c r="CU80" s="2" t="s">
        <v>578</v>
      </c>
      <c r="CW80" s="2" t="s">
        <v>206</v>
      </c>
      <c r="CY80" s="2" t="s">
        <v>300</v>
      </c>
      <c r="CZ80" s="2" t="s">
        <v>300</v>
      </c>
      <c r="DA80" s="2" t="s">
        <v>300</v>
      </c>
      <c r="DB80" s="2" t="s">
        <v>300</v>
      </c>
      <c r="DC80" s="2" t="s">
        <v>430</v>
      </c>
      <c r="DD80" s="2" t="s">
        <v>430</v>
      </c>
      <c r="DE80" s="2" t="s">
        <v>300</v>
      </c>
      <c r="DF80" s="2" t="s">
        <v>300</v>
      </c>
      <c r="DG80" s="2" t="s">
        <v>300</v>
      </c>
      <c r="DH80" s="2" t="s">
        <v>300</v>
      </c>
      <c r="DI80" s="2" t="s">
        <v>430</v>
      </c>
      <c r="DL80" s="2" t="s">
        <v>187</v>
      </c>
      <c r="DM80" s="2" t="s">
        <v>188</v>
      </c>
      <c r="DP80" s="2" t="s">
        <v>188</v>
      </c>
      <c r="DT80" s="2" t="s">
        <v>209</v>
      </c>
      <c r="DU80" s="2" t="s">
        <v>209</v>
      </c>
      <c r="DV80" s="2" t="s">
        <v>209</v>
      </c>
      <c r="DW80" s="2" t="s">
        <v>209</v>
      </c>
      <c r="DX80" s="2" t="s">
        <v>209</v>
      </c>
      <c r="DY80" s="2" t="s">
        <v>209</v>
      </c>
      <c r="DZ80" s="2" t="s">
        <v>203</v>
      </c>
      <c r="EA80" s="2" t="s">
        <v>203</v>
      </c>
      <c r="EB80" s="2" t="s">
        <v>203</v>
      </c>
      <c r="EC80" s="2" t="s">
        <v>188</v>
      </c>
      <c r="EF80" s="2" t="s">
        <v>189</v>
      </c>
      <c r="EG80" s="2" t="s">
        <v>846</v>
      </c>
      <c r="EJ80" s="2" t="s">
        <v>189</v>
      </c>
      <c r="EK80" s="2" t="s">
        <v>188</v>
      </c>
      <c r="EL80" s="2" t="s">
        <v>188</v>
      </c>
      <c r="EN80" s="2" t="s">
        <v>255</v>
      </c>
      <c r="EP80" s="2" t="s">
        <v>230</v>
      </c>
      <c r="ER80" s="2" t="s">
        <v>188</v>
      </c>
      <c r="ET80" s="2" t="s">
        <v>188</v>
      </c>
      <c r="EV80" s="2" t="s">
        <v>188</v>
      </c>
      <c r="EX80" s="2" t="s">
        <v>188</v>
      </c>
      <c r="EZ80" s="2" t="s">
        <v>188</v>
      </c>
      <c r="FC80" s="2" t="s">
        <v>263</v>
      </c>
      <c r="FD80" s="2" t="s">
        <v>188</v>
      </c>
      <c r="FH80" s="2" t="s">
        <v>188</v>
      </c>
      <c r="FJ80" s="2" t="s">
        <v>187</v>
      </c>
      <c r="FK80" s="2" t="s">
        <v>203</v>
      </c>
      <c r="FN80" s="2" t="s">
        <v>769</v>
      </c>
      <c r="FR80" s="2" t="s">
        <v>847</v>
      </c>
      <c r="FT80" s="2" t="s">
        <v>219</v>
      </c>
      <c r="FU80" s="2" t="s">
        <v>219</v>
      </c>
      <c r="FV80" s="2" t="s">
        <v>219</v>
      </c>
      <c r="FW80" s="2" t="s">
        <v>219</v>
      </c>
      <c r="FZ80" s="4">
        <v>46039.642824074072</v>
      </c>
    </row>
    <row r="81" spans="1:182">
      <c r="A81" s="2" t="s">
        <v>848</v>
      </c>
      <c r="D81" s="4">
        <v>46266.380196759259</v>
      </c>
      <c r="E81" s="2" t="s">
        <v>177</v>
      </c>
      <c r="F81" s="2" t="s">
        <v>178</v>
      </c>
      <c r="G81" s="2" t="s">
        <v>831</v>
      </c>
      <c r="H81" s="2" t="s">
        <v>849</v>
      </c>
      <c r="I81" s="2" t="s">
        <v>850</v>
      </c>
      <c r="J81" s="2">
        <v>772554685</v>
      </c>
      <c r="K81" s="2" t="s">
        <v>850</v>
      </c>
      <c r="L81" s="2" t="s">
        <v>182</v>
      </c>
      <c r="M81" s="2" t="s">
        <v>223</v>
      </c>
      <c r="N81" s="2">
        <v>1989</v>
      </c>
      <c r="O81" s="2" t="s">
        <v>224</v>
      </c>
      <c r="P81" s="2" t="s">
        <v>185</v>
      </c>
      <c r="Q81" s="2" t="s">
        <v>186</v>
      </c>
      <c r="R81" s="2" t="s">
        <v>188</v>
      </c>
      <c r="S81" s="2">
        <v>23</v>
      </c>
      <c r="T81" s="2" t="s">
        <v>188</v>
      </c>
      <c r="U81" s="2" t="s">
        <v>188</v>
      </c>
      <c r="Y81" s="2">
        <v>60</v>
      </c>
      <c r="Z81" s="2">
        <v>0.83330000000000004</v>
      </c>
      <c r="AA81" s="2">
        <v>50</v>
      </c>
      <c r="AB81" s="2">
        <v>50</v>
      </c>
      <c r="AC81" s="2">
        <v>50</v>
      </c>
      <c r="AD81" s="2">
        <v>100</v>
      </c>
      <c r="AE81" s="2">
        <v>50</v>
      </c>
      <c r="AF81" s="2" t="s">
        <v>188</v>
      </c>
      <c r="AG81" s="2" t="s">
        <v>188</v>
      </c>
      <c r="AH81" s="2" t="s">
        <v>188</v>
      </c>
      <c r="AJ81" s="2" t="s">
        <v>188</v>
      </c>
      <c r="AK81" s="2" t="s">
        <v>188</v>
      </c>
      <c r="AL81" s="2" t="s">
        <v>188</v>
      </c>
      <c r="AM81" s="2" t="s">
        <v>187</v>
      </c>
      <c r="AN81" s="2" t="s">
        <v>188</v>
      </c>
      <c r="AO81" s="2" t="s">
        <v>188</v>
      </c>
      <c r="AR81" s="2">
        <v>0.7</v>
      </c>
      <c r="AS81" s="2">
        <v>2</v>
      </c>
      <c r="AT81" s="2">
        <v>1</v>
      </c>
      <c r="AU81" s="2" t="s">
        <v>189</v>
      </c>
      <c r="AV81" s="2" t="s">
        <v>189</v>
      </c>
      <c r="AW81" s="2" t="s">
        <v>188</v>
      </c>
      <c r="AZ81" s="2" t="s">
        <v>380</v>
      </c>
      <c r="BB81" s="2" t="s">
        <v>260</v>
      </c>
      <c r="BC81" s="2" t="s">
        <v>296</v>
      </c>
      <c r="BD81" s="2" t="s">
        <v>187</v>
      </c>
      <c r="BE81" s="2" t="s">
        <v>187</v>
      </c>
      <c r="BF81" s="2" t="s">
        <v>193</v>
      </c>
      <c r="BG81" s="2" t="s">
        <v>279</v>
      </c>
      <c r="BH81" s="2" t="s">
        <v>195</v>
      </c>
      <c r="BI81" s="2" t="s">
        <v>196</v>
      </c>
      <c r="BL81" s="2" t="s">
        <v>240</v>
      </c>
      <c r="BO81" s="2" t="s">
        <v>188</v>
      </c>
      <c r="BQ81" s="2" t="s">
        <v>227</v>
      </c>
      <c r="BS81" s="2" t="s">
        <v>187</v>
      </c>
      <c r="BT81" s="2" t="s">
        <v>201</v>
      </c>
      <c r="BV81" s="2" t="s">
        <v>502</v>
      </c>
      <c r="BX81" s="2" t="s">
        <v>188</v>
      </c>
      <c r="BZ81" s="2" t="s">
        <v>203</v>
      </c>
      <c r="CE81" s="2">
        <v>1</v>
      </c>
      <c r="CF81" s="2">
        <v>100</v>
      </c>
      <c r="CK81" s="2">
        <v>100</v>
      </c>
      <c r="CO81" s="2">
        <v>100</v>
      </c>
      <c r="CR81" s="2" t="s">
        <v>204</v>
      </c>
      <c r="CT81" s="2" t="s">
        <v>188</v>
      </c>
      <c r="CU81" s="2" t="s">
        <v>205</v>
      </c>
      <c r="CW81" s="2" t="s">
        <v>206</v>
      </c>
      <c r="CY81" s="2" t="s">
        <v>207</v>
      </c>
      <c r="CZ81" s="2" t="s">
        <v>207</v>
      </c>
      <c r="DA81" s="2" t="s">
        <v>208</v>
      </c>
      <c r="DB81" s="2" t="s">
        <v>208</v>
      </c>
      <c r="DE81" s="2" t="s">
        <v>208</v>
      </c>
      <c r="DF81" s="2" t="s">
        <v>207</v>
      </c>
      <c r="DG81" s="2" t="s">
        <v>208</v>
      </c>
      <c r="DH81" s="2" t="s">
        <v>208</v>
      </c>
      <c r="DI81" s="2" t="s">
        <v>208</v>
      </c>
      <c r="DL81" s="2" t="s">
        <v>187</v>
      </c>
      <c r="DM81" s="2" t="s">
        <v>187</v>
      </c>
      <c r="DN81" s="2" t="s">
        <v>187</v>
      </c>
      <c r="DO81" s="2" t="s">
        <v>187</v>
      </c>
      <c r="DP81" s="2" t="s">
        <v>209</v>
      </c>
      <c r="DQ81" s="2" t="s">
        <v>210</v>
      </c>
      <c r="DT81" s="2" t="s">
        <v>209</v>
      </c>
      <c r="DU81" s="2" t="s">
        <v>209</v>
      </c>
      <c r="DV81" s="2" t="s">
        <v>209</v>
      </c>
      <c r="DW81" s="2" t="s">
        <v>209</v>
      </c>
      <c r="DX81" s="2" t="s">
        <v>209</v>
      </c>
      <c r="DY81" s="2" t="s">
        <v>209</v>
      </c>
      <c r="DZ81" s="2" t="s">
        <v>209</v>
      </c>
      <c r="EA81" s="2" t="s">
        <v>209</v>
      </c>
      <c r="EB81" s="2" t="s">
        <v>209</v>
      </c>
      <c r="EF81" s="2" t="s">
        <v>211</v>
      </c>
      <c r="EJ81" s="2" t="s">
        <v>189</v>
      </c>
      <c r="EK81" s="2" t="s">
        <v>187</v>
      </c>
      <c r="EL81" s="2" t="s">
        <v>188</v>
      </c>
      <c r="EN81" s="2" t="s">
        <v>214</v>
      </c>
      <c r="EP81" s="2" t="s">
        <v>230</v>
      </c>
      <c r="ER81" s="2" t="s">
        <v>187</v>
      </c>
      <c r="ET81" s="2" t="s">
        <v>188</v>
      </c>
      <c r="EV81" s="2" t="s">
        <v>187</v>
      </c>
      <c r="EW81" s="2" t="s">
        <v>215</v>
      </c>
      <c r="EX81" s="2" t="s">
        <v>188</v>
      </c>
      <c r="FD81" s="2" t="s">
        <v>188</v>
      </c>
      <c r="FH81" s="2" t="s">
        <v>188</v>
      </c>
      <c r="FJ81" s="2" t="s">
        <v>187</v>
      </c>
      <c r="FK81" s="2" t="s">
        <v>209</v>
      </c>
      <c r="FL81" s="2" t="s">
        <v>231</v>
      </c>
      <c r="FN81" s="2" t="s">
        <v>851</v>
      </c>
      <c r="FT81" s="2" t="s">
        <v>233</v>
      </c>
      <c r="FU81" s="2" t="s">
        <v>233</v>
      </c>
      <c r="FV81" s="2" t="s">
        <v>233</v>
      </c>
      <c r="FW81" s="2" t="s">
        <v>233</v>
      </c>
      <c r="FZ81" s="4">
        <v>46040.370138888888</v>
      </c>
    </row>
    <row r="82" spans="1:182">
      <c r="A82" s="2" t="s">
        <v>852</v>
      </c>
      <c r="D82" s="4">
        <v>46266.382581018515</v>
      </c>
      <c r="E82" s="2" t="s">
        <v>853</v>
      </c>
      <c r="F82" s="2" t="s">
        <v>480</v>
      </c>
      <c r="G82" s="2" t="s">
        <v>831</v>
      </c>
      <c r="H82" s="2" t="s">
        <v>854</v>
      </c>
      <c r="I82" s="2" t="s">
        <v>855</v>
      </c>
      <c r="J82" s="2">
        <v>799849005</v>
      </c>
      <c r="K82" s="2" t="s">
        <v>856</v>
      </c>
      <c r="L82" s="2" t="s">
        <v>182</v>
      </c>
      <c r="M82" s="2" t="s">
        <v>223</v>
      </c>
      <c r="N82" s="2">
        <v>2005</v>
      </c>
      <c r="O82" s="2" t="s">
        <v>834</v>
      </c>
      <c r="P82" s="2" t="s">
        <v>291</v>
      </c>
      <c r="Q82" s="2" t="s">
        <v>186</v>
      </c>
      <c r="R82" s="2" t="s">
        <v>188</v>
      </c>
      <c r="S82" s="2">
        <v>4</v>
      </c>
      <c r="T82" s="2" t="s">
        <v>188</v>
      </c>
      <c r="U82" s="2" t="s">
        <v>187</v>
      </c>
      <c r="Y82" s="2">
        <v>132</v>
      </c>
      <c r="Z82" s="2">
        <v>0.84850000000000003</v>
      </c>
      <c r="AA82" s="2">
        <v>112</v>
      </c>
      <c r="AB82" s="2">
        <v>84</v>
      </c>
      <c r="AC82" s="2">
        <v>72</v>
      </c>
      <c r="AD82" s="2">
        <v>87</v>
      </c>
      <c r="AE82" s="2">
        <v>15</v>
      </c>
      <c r="AF82" s="2" t="s">
        <v>187</v>
      </c>
      <c r="AG82" s="2" t="s">
        <v>188</v>
      </c>
      <c r="AH82" s="2" t="s">
        <v>188</v>
      </c>
      <c r="AJ82" s="2" t="s">
        <v>188</v>
      </c>
      <c r="AK82" s="2" t="s">
        <v>187</v>
      </c>
      <c r="AL82" s="2" t="s">
        <v>188</v>
      </c>
      <c r="AM82" s="2" t="s">
        <v>187</v>
      </c>
      <c r="AN82" s="2" t="s">
        <v>188</v>
      </c>
      <c r="AO82" s="2" t="s">
        <v>188</v>
      </c>
      <c r="AR82" s="2">
        <v>0.6</v>
      </c>
      <c r="AS82" s="2">
        <v>1</v>
      </c>
      <c r="AT82" s="2">
        <v>0.85</v>
      </c>
      <c r="AU82" s="2" t="s">
        <v>238</v>
      </c>
      <c r="AV82" s="2" t="s">
        <v>238</v>
      </c>
      <c r="AW82" s="2" t="s">
        <v>188</v>
      </c>
      <c r="AZ82" s="2" t="s">
        <v>190</v>
      </c>
      <c r="BB82" s="2" t="s">
        <v>332</v>
      </c>
      <c r="BC82" s="2" t="s">
        <v>296</v>
      </c>
      <c r="BD82" s="2" t="s">
        <v>188</v>
      </c>
      <c r="BE82" s="2" t="s">
        <v>187</v>
      </c>
      <c r="BF82" s="2" t="s">
        <v>193</v>
      </c>
      <c r="BG82" s="2" t="s">
        <v>721</v>
      </c>
      <c r="BH82" s="2" t="s">
        <v>280</v>
      </c>
      <c r="BI82" s="2" t="s">
        <v>165</v>
      </c>
      <c r="BL82" s="2" t="s">
        <v>240</v>
      </c>
      <c r="BO82" s="2" t="s">
        <v>188</v>
      </c>
      <c r="BQ82" s="2" t="s">
        <v>227</v>
      </c>
      <c r="BS82" s="2" t="s">
        <v>187</v>
      </c>
      <c r="BT82" s="2" t="s">
        <v>484</v>
      </c>
      <c r="BV82" s="2" t="s">
        <v>389</v>
      </c>
      <c r="BX82" s="2" t="s">
        <v>187</v>
      </c>
      <c r="BY82" s="2" t="s">
        <v>857</v>
      </c>
      <c r="BZ82" s="2" t="s">
        <v>188</v>
      </c>
      <c r="CE82" s="2">
        <v>0.85</v>
      </c>
      <c r="CF82" s="2">
        <v>84</v>
      </c>
      <c r="CK82" s="2">
        <v>100</v>
      </c>
      <c r="CO82" s="2">
        <v>100</v>
      </c>
      <c r="CR82" s="2" t="s">
        <v>343</v>
      </c>
      <c r="CT82" s="2" t="s">
        <v>188</v>
      </c>
      <c r="CU82" s="2" t="s">
        <v>758</v>
      </c>
      <c r="CW82" s="2" t="s">
        <v>206</v>
      </c>
      <c r="CY82" s="2" t="s">
        <v>300</v>
      </c>
      <c r="CZ82" s="2" t="s">
        <v>300</v>
      </c>
      <c r="DA82" s="2" t="s">
        <v>300</v>
      </c>
      <c r="DB82" s="2" t="s">
        <v>300</v>
      </c>
      <c r="DC82" s="2" t="s">
        <v>430</v>
      </c>
      <c r="DD82" s="2" t="s">
        <v>300</v>
      </c>
      <c r="DE82" s="2" t="s">
        <v>300</v>
      </c>
      <c r="DF82" s="2" t="s">
        <v>300</v>
      </c>
      <c r="DG82" s="2" t="s">
        <v>300</v>
      </c>
      <c r="DH82" s="2" t="s">
        <v>300</v>
      </c>
      <c r="DI82" s="2" t="s">
        <v>300</v>
      </c>
      <c r="DL82" s="2" t="s">
        <v>187</v>
      </c>
      <c r="DM82" s="2" t="s">
        <v>187</v>
      </c>
      <c r="DN82" s="2" t="s">
        <v>187</v>
      </c>
      <c r="DO82" s="2" t="s">
        <v>187</v>
      </c>
      <c r="DP82" s="2" t="s">
        <v>209</v>
      </c>
      <c r="DQ82" s="2" t="s">
        <v>467</v>
      </c>
      <c r="DR82" s="2" t="s">
        <v>858</v>
      </c>
      <c r="DT82" s="2" t="s">
        <v>209</v>
      </c>
      <c r="DU82" s="2" t="s">
        <v>209</v>
      </c>
      <c r="DV82" s="2" t="s">
        <v>209</v>
      </c>
      <c r="DW82" s="2" t="s">
        <v>209</v>
      </c>
      <c r="DX82" s="2" t="s">
        <v>209</v>
      </c>
      <c r="DY82" s="2" t="s">
        <v>203</v>
      </c>
      <c r="DZ82" s="2" t="s">
        <v>203</v>
      </c>
      <c r="EA82" s="2" t="s">
        <v>203</v>
      </c>
      <c r="EB82" s="2" t="s">
        <v>203</v>
      </c>
      <c r="EC82" s="2" t="s">
        <v>203</v>
      </c>
      <c r="ED82" s="2" t="s">
        <v>203</v>
      </c>
      <c r="EF82" s="2" t="s">
        <v>496</v>
      </c>
      <c r="EG82" s="2" t="s">
        <v>859</v>
      </c>
      <c r="EJ82" s="2" t="s">
        <v>203</v>
      </c>
      <c r="EK82" s="2" t="s">
        <v>188</v>
      </c>
      <c r="EL82" s="2" t="s">
        <v>188</v>
      </c>
      <c r="EN82" s="2" t="s">
        <v>214</v>
      </c>
      <c r="EP82" s="2" t="s">
        <v>230</v>
      </c>
      <c r="ER82" s="2" t="s">
        <v>188</v>
      </c>
      <c r="ET82" s="2" t="s">
        <v>188</v>
      </c>
      <c r="EV82" s="2" t="s">
        <v>187</v>
      </c>
      <c r="EW82" s="2" t="s">
        <v>189</v>
      </c>
      <c r="EX82" s="2" t="s">
        <v>188</v>
      </c>
      <c r="EZ82" s="2" t="s">
        <v>188</v>
      </c>
      <c r="FC82" s="2" t="s">
        <v>263</v>
      </c>
      <c r="FD82" s="2" t="s">
        <v>188</v>
      </c>
      <c r="FH82" s="2" t="s">
        <v>188</v>
      </c>
      <c r="FJ82" s="2" t="s">
        <v>188</v>
      </c>
      <c r="FK82" s="2" t="s">
        <v>188</v>
      </c>
      <c r="FN82" s="2" t="s">
        <v>488</v>
      </c>
      <c r="FR82" s="2" t="s">
        <v>860</v>
      </c>
      <c r="FT82" s="2" t="s">
        <v>233</v>
      </c>
      <c r="FU82" s="2" t="s">
        <v>233</v>
      </c>
      <c r="FV82" s="2" t="s">
        <v>233</v>
      </c>
      <c r="FW82" s="2" t="s">
        <v>233</v>
      </c>
      <c r="FZ82" s="4">
        <v>46042.957013888888</v>
      </c>
    </row>
    <row r="83" spans="1:182">
      <c r="A83" s="2" t="s">
        <v>861</v>
      </c>
      <c r="D83" s="4">
        <v>46266.379108796296</v>
      </c>
      <c r="E83" s="2" t="s">
        <v>177</v>
      </c>
      <c r="F83" s="2" t="s">
        <v>293</v>
      </c>
      <c r="G83" s="2" t="s">
        <v>791</v>
      </c>
      <c r="H83" s="2" t="s">
        <v>792</v>
      </c>
      <c r="I83" s="2" t="s">
        <v>862</v>
      </c>
      <c r="J83" s="2">
        <v>33333</v>
      </c>
      <c r="K83" s="2" t="s">
        <v>863</v>
      </c>
      <c r="L83" s="2" t="s">
        <v>182</v>
      </c>
      <c r="M83" s="2" t="s">
        <v>183</v>
      </c>
      <c r="N83" s="2">
        <v>1999</v>
      </c>
      <c r="O83" s="2" t="s">
        <v>184</v>
      </c>
      <c r="P83" s="2" t="s">
        <v>237</v>
      </c>
      <c r="Q83" s="2" t="s">
        <v>186</v>
      </c>
      <c r="R83" s="2" t="s">
        <v>188</v>
      </c>
      <c r="S83" s="2">
        <v>2022</v>
      </c>
      <c r="T83" s="2" t="s">
        <v>188</v>
      </c>
      <c r="U83" s="2" t="s">
        <v>188</v>
      </c>
      <c r="Y83" s="2">
        <v>300</v>
      </c>
      <c r="Z83" s="2">
        <v>0.76670000000000005</v>
      </c>
      <c r="AA83" s="2">
        <v>230</v>
      </c>
      <c r="AB83" s="2">
        <v>230</v>
      </c>
      <c r="AC83" s="2">
        <v>170</v>
      </c>
      <c r="AD83" s="2">
        <v>200</v>
      </c>
      <c r="AE83" s="2">
        <v>30</v>
      </c>
      <c r="AF83" s="2" t="s">
        <v>187</v>
      </c>
      <c r="AG83" s="2" t="s">
        <v>187</v>
      </c>
      <c r="AH83" s="2" t="s">
        <v>188</v>
      </c>
      <c r="AJ83" s="2" t="s">
        <v>188</v>
      </c>
      <c r="AK83" s="2" t="s">
        <v>187</v>
      </c>
      <c r="AL83" s="2" t="s">
        <v>188</v>
      </c>
      <c r="AM83" s="2" t="s">
        <v>187</v>
      </c>
      <c r="AN83" s="2" t="s">
        <v>188</v>
      </c>
      <c r="AO83" s="2" t="s">
        <v>188</v>
      </c>
      <c r="AR83" s="2">
        <v>1</v>
      </c>
      <c r="AS83" s="2">
        <v>3</v>
      </c>
      <c r="AT83" s="2">
        <v>1.4</v>
      </c>
      <c r="AU83" s="2" t="s">
        <v>238</v>
      </c>
      <c r="AV83" s="2" t="s">
        <v>238</v>
      </c>
      <c r="AW83" s="2" t="s">
        <v>188</v>
      </c>
      <c r="AZ83" s="2" t="s">
        <v>190</v>
      </c>
      <c r="BB83" s="2" t="s">
        <v>260</v>
      </c>
      <c r="BC83" s="2" t="s">
        <v>192</v>
      </c>
      <c r="BD83" s="2" t="s">
        <v>188</v>
      </c>
      <c r="BE83" s="2" t="s">
        <v>187</v>
      </c>
      <c r="BF83" s="2" t="s">
        <v>193</v>
      </c>
      <c r="BG83" s="2" t="s">
        <v>279</v>
      </c>
      <c r="BH83" s="2" t="s">
        <v>280</v>
      </c>
      <c r="BI83" s="2" t="s">
        <v>196</v>
      </c>
      <c r="BL83" s="2" t="s">
        <v>197</v>
      </c>
      <c r="BM83" s="2" t="s">
        <v>507</v>
      </c>
      <c r="BN83" s="2" t="s">
        <v>199</v>
      </c>
      <c r="BO83" s="2" t="s">
        <v>188</v>
      </c>
      <c r="BQ83" s="2" t="s">
        <v>309</v>
      </c>
      <c r="BS83" s="2" t="s">
        <v>187</v>
      </c>
      <c r="BT83" s="2" t="s">
        <v>261</v>
      </c>
      <c r="BV83" s="2" t="s">
        <v>864</v>
      </c>
      <c r="BW83" s="2" t="s">
        <v>817</v>
      </c>
      <c r="BX83" s="2" t="s">
        <v>188</v>
      </c>
      <c r="BY83" s="2" t="s">
        <v>865</v>
      </c>
      <c r="BZ83" s="2" t="s">
        <v>203</v>
      </c>
      <c r="CE83" s="2">
        <v>1.4</v>
      </c>
      <c r="CK83" s="2">
        <v>100</v>
      </c>
      <c r="CO83" s="2">
        <v>100</v>
      </c>
      <c r="CR83" s="2" t="s">
        <v>343</v>
      </c>
      <c r="CT83" s="2" t="s">
        <v>188</v>
      </c>
      <c r="CU83" s="2" t="s">
        <v>205</v>
      </c>
      <c r="CW83" s="2" t="s">
        <v>206</v>
      </c>
      <c r="CY83" s="2" t="s">
        <v>207</v>
      </c>
      <c r="CZ83" s="2" t="s">
        <v>207</v>
      </c>
      <c r="DA83" s="2" t="s">
        <v>207</v>
      </c>
      <c r="DB83" s="2" t="s">
        <v>273</v>
      </c>
      <c r="DC83" s="2" t="s">
        <v>866</v>
      </c>
      <c r="DD83" s="2" t="s">
        <v>301</v>
      </c>
      <c r="DE83" s="2" t="s">
        <v>300</v>
      </c>
      <c r="DF83" s="2" t="s">
        <v>300</v>
      </c>
      <c r="DG83" s="2" t="s">
        <v>208</v>
      </c>
      <c r="DH83" s="2" t="s">
        <v>300</v>
      </c>
      <c r="DI83" s="2" t="s">
        <v>300</v>
      </c>
      <c r="DL83" s="2" t="s">
        <v>188</v>
      </c>
      <c r="DM83" s="2" t="s">
        <v>188</v>
      </c>
      <c r="DP83" s="2" t="s">
        <v>188</v>
      </c>
      <c r="DT83" s="2" t="s">
        <v>209</v>
      </c>
      <c r="DU83" s="2" t="s">
        <v>209</v>
      </c>
      <c r="DV83" s="2" t="s">
        <v>209</v>
      </c>
      <c r="DW83" s="2" t="s">
        <v>209</v>
      </c>
      <c r="DX83" s="2" t="s">
        <v>203</v>
      </c>
      <c r="DY83" s="2" t="s">
        <v>203</v>
      </c>
      <c r="DZ83" s="2" t="s">
        <v>203</v>
      </c>
      <c r="EA83" s="2" t="s">
        <v>203</v>
      </c>
      <c r="EB83" s="2" t="s">
        <v>209</v>
      </c>
      <c r="EC83" s="2" t="s">
        <v>203</v>
      </c>
      <c r="ED83" s="2" t="s">
        <v>203</v>
      </c>
      <c r="EF83" s="2" t="s">
        <v>211</v>
      </c>
      <c r="EJ83" s="2" t="s">
        <v>238</v>
      </c>
      <c r="EK83" s="2" t="s">
        <v>187</v>
      </c>
      <c r="EL83" s="2" t="s">
        <v>188</v>
      </c>
      <c r="EN83" s="2" t="s">
        <v>214</v>
      </c>
      <c r="EP83" s="2" t="s">
        <v>230</v>
      </c>
      <c r="ER83" s="2" t="s">
        <v>188</v>
      </c>
      <c r="ET83" s="2" t="s">
        <v>188</v>
      </c>
      <c r="EV83" s="2" t="s">
        <v>188</v>
      </c>
      <c r="EX83" s="2" t="s">
        <v>188</v>
      </c>
      <c r="EZ83" s="2" t="s">
        <v>188</v>
      </c>
      <c r="FC83" s="2" t="s">
        <v>216</v>
      </c>
      <c r="FD83" s="2" t="s">
        <v>188</v>
      </c>
      <c r="FH83" s="2" t="s">
        <v>188</v>
      </c>
      <c r="FJ83" s="2" t="s">
        <v>187</v>
      </c>
      <c r="FK83" s="2" t="s">
        <v>203</v>
      </c>
      <c r="FN83" s="2" t="s">
        <v>354</v>
      </c>
      <c r="FT83" s="2" t="s">
        <v>219</v>
      </c>
      <c r="FU83" s="2" t="s">
        <v>219</v>
      </c>
      <c r="FV83" s="2" t="s">
        <v>219</v>
      </c>
      <c r="FW83" s="2" t="s">
        <v>233</v>
      </c>
      <c r="FZ83" s="4">
        <v>46038.428182870368</v>
      </c>
    </row>
    <row r="84" spans="1:182">
      <c r="A84" s="2" t="s">
        <v>867</v>
      </c>
      <c r="D84" s="4">
        <v>46266.389374999999</v>
      </c>
      <c r="E84" s="2" t="s">
        <v>868</v>
      </c>
      <c r="F84" s="2" t="s">
        <v>425</v>
      </c>
      <c r="G84" s="2" t="s">
        <v>791</v>
      </c>
      <c r="H84" s="2" t="s">
        <v>869</v>
      </c>
      <c r="I84" s="2" t="s">
        <v>657</v>
      </c>
      <c r="J84" s="2">
        <v>336988402</v>
      </c>
      <c r="K84" s="2" t="s">
        <v>657</v>
      </c>
      <c r="L84" s="2" t="s">
        <v>182</v>
      </c>
      <c r="M84" s="2" t="s">
        <v>183</v>
      </c>
      <c r="N84" s="2">
        <v>1979</v>
      </c>
      <c r="O84" s="2" t="s">
        <v>184</v>
      </c>
      <c r="P84" s="2" t="s">
        <v>185</v>
      </c>
      <c r="Q84" s="2" t="s">
        <v>186</v>
      </c>
      <c r="R84" s="2" t="s">
        <v>188</v>
      </c>
      <c r="S84" s="2">
        <v>20</v>
      </c>
      <c r="T84" s="2" t="s">
        <v>188</v>
      </c>
      <c r="U84" s="2" t="s">
        <v>188</v>
      </c>
      <c r="Y84" s="2">
        <v>290</v>
      </c>
      <c r="Z84" s="2">
        <v>1</v>
      </c>
      <c r="AA84" s="2">
        <v>290</v>
      </c>
      <c r="AB84" s="2">
        <v>265</v>
      </c>
      <c r="AC84" s="2">
        <v>255</v>
      </c>
      <c r="AD84" s="2">
        <v>300</v>
      </c>
      <c r="AE84" s="2">
        <v>45</v>
      </c>
      <c r="AF84" s="2" t="s">
        <v>187</v>
      </c>
      <c r="AG84" s="2" t="s">
        <v>188</v>
      </c>
      <c r="AH84" s="2" t="s">
        <v>188</v>
      </c>
      <c r="AJ84" s="2" t="s">
        <v>188</v>
      </c>
      <c r="AK84" s="2" t="s">
        <v>187</v>
      </c>
      <c r="AL84" s="2" t="s">
        <v>188</v>
      </c>
      <c r="AM84" s="2" t="s">
        <v>188</v>
      </c>
      <c r="AN84" s="2" t="s">
        <v>188</v>
      </c>
      <c r="AO84" s="2" t="s">
        <v>188</v>
      </c>
      <c r="AR84" s="2">
        <v>2</v>
      </c>
      <c r="AS84" s="2">
        <v>4</v>
      </c>
      <c r="AT84" s="2">
        <v>3</v>
      </c>
      <c r="AU84" s="2" t="s">
        <v>238</v>
      </c>
      <c r="AV84" s="2" t="s">
        <v>203</v>
      </c>
      <c r="AW84" s="2" t="s">
        <v>188</v>
      </c>
      <c r="AZ84" s="2" t="s">
        <v>476</v>
      </c>
      <c r="BB84" s="2" t="s">
        <v>332</v>
      </c>
      <c r="BC84" s="2" t="s">
        <v>296</v>
      </c>
      <c r="BD84" s="2" t="s">
        <v>187</v>
      </c>
      <c r="BE84" s="2" t="s">
        <v>187</v>
      </c>
      <c r="BF84" s="2" t="s">
        <v>193</v>
      </c>
      <c r="BG84" s="2" t="s">
        <v>194</v>
      </c>
      <c r="BH84" s="2" t="s">
        <v>280</v>
      </c>
      <c r="BI84" s="2" t="s">
        <v>333</v>
      </c>
      <c r="BL84" s="2" t="s">
        <v>197</v>
      </c>
      <c r="BM84" s="2" t="s">
        <v>198</v>
      </c>
      <c r="BN84" s="2" t="s">
        <v>199</v>
      </c>
      <c r="BO84" s="2" t="s">
        <v>341</v>
      </c>
      <c r="BP84" s="2" t="s">
        <v>870</v>
      </c>
      <c r="BS84" s="2" t="s">
        <v>187</v>
      </c>
      <c r="BT84" s="2" t="s">
        <v>521</v>
      </c>
      <c r="BV84" s="2" t="s">
        <v>630</v>
      </c>
      <c r="BX84" s="2" t="s">
        <v>188</v>
      </c>
      <c r="BZ84" s="2" t="s">
        <v>188</v>
      </c>
      <c r="CE84" s="2">
        <v>3</v>
      </c>
      <c r="CF84" s="2">
        <v>300</v>
      </c>
      <c r="CK84" s="2">
        <v>50</v>
      </c>
      <c r="CM84" s="2">
        <v>50</v>
      </c>
      <c r="CO84" s="2">
        <v>100</v>
      </c>
      <c r="CR84" s="2" t="s">
        <v>204</v>
      </c>
      <c r="CT84" s="2" t="s">
        <v>188</v>
      </c>
      <c r="CU84" s="2" t="s">
        <v>205</v>
      </c>
      <c r="CW84" s="2" t="s">
        <v>206</v>
      </c>
      <c r="CY84" s="2" t="s">
        <v>207</v>
      </c>
      <c r="CZ84" s="2" t="s">
        <v>207</v>
      </c>
      <c r="DA84" s="2" t="s">
        <v>430</v>
      </c>
      <c r="DB84" s="2" t="s">
        <v>300</v>
      </c>
      <c r="DC84" s="2" t="s">
        <v>300</v>
      </c>
      <c r="DD84" s="2" t="s">
        <v>430</v>
      </c>
      <c r="DE84" s="2" t="s">
        <v>300</v>
      </c>
      <c r="DF84" s="2" t="s">
        <v>207</v>
      </c>
      <c r="DG84" s="2" t="s">
        <v>207</v>
      </c>
      <c r="DH84" s="2" t="s">
        <v>300</v>
      </c>
      <c r="DI84" s="2" t="s">
        <v>300</v>
      </c>
      <c r="DL84" s="2" t="s">
        <v>187</v>
      </c>
      <c r="DM84" s="2" t="s">
        <v>188</v>
      </c>
      <c r="DO84" s="2" t="s">
        <v>188</v>
      </c>
      <c r="DP84" s="2" t="s">
        <v>209</v>
      </c>
      <c r="DQ84" s="2" t="s">
        <v>467</v>
      </c>
      <c r="DR84" s="2" t="s">
        <v>871</v>
      </c>
      <c r="DT84" s="2" t="s">
        <v>209</v>
      </c>
      <c r="DU84" s="2" t="s">
        <v>209</v>
      </c>
      <c r="DV84" s="2" t="s">
        <v>209</v>
      </c>
      <c r="DW84" s="2" t="s">
        <v>209</v>
      </c>
      <c r="DX84" s="2" t="s">
        <v>209</v>
      </c>
      <c r="DY84" s="2" t="s">
        <v>209</v>
      </c>
      <c r="DZ84" s="2" t="s">
        <v>209</v>
      </c>
      <c r="EA84" s="2" t="s">
        <v>209</v>
      </c>
      <c r="EB84" s="2" t="s">
        <v>209</v>
      </c>
      <c r="EC84" s="2" t="s">
        <v>188</v>
      </c>
      <c r="EF84" s="2" t="s">
        <v>189</v>
      </c>
      <c r="EJ84" s="2" t="s">
        <v>238</v>
      </c>
      <c r="EK84" s="2" t="s">
        <v>187</v>
      </c>
      <c r="EL84" s="2" t="s">
        <v>188</v>
      </c>
      <c r="EN84" s="2" t="s">
        <v>214</v>
      </c>
      <c r="EP84" s="2" t="s">
        <v>230</v>
      </c>
      <c r="ER84" s="2" t="s">
        <v>187</v>
      </c>
      <c r="ET84" s="2" t="s">
        <v>188</v>
      </c>
      <c r="EV84" s="2" t="s">
        <v>187</v>
      </c>
      <c r="EW84" s="2" t="s">
        <v>189</v>
      </c>
      <c r="EX84" s="2" t="s">
        <v>188</v>
      </c>
      <c r="EZ84" s="2" t="s">
        <v>188</v>
      </c>
      <c r="FC84" s="2" t="s">
        <v>395</v>
      </c>
      <c r="FD84" s="2" t="s">
        <v>188</v>
      </c>
      <c r="FH84" s="2" t="s">
        <v>188</v>
      </c>
      <c r="FJ84" s="2" t="s">
        <v>188</v>
      </c>
      <c r="FK84" s="2" t="s">
        <v>188</v>
      </c>
      <c r="FR84" s="2" t="s">
        <v>872</v>
      </c>
      <c r="FT84" s="2" t="s">
        <v>219</v>
      </c>
      <c r="FU84" s="2" t="s">
        <v>233</v>
      </c>
      <c r="FV84" s="2" t="s">
        <v>233</v>
      </c>
      <c r="FW84" s="2" t="s">
        <v>233</v>
      </c>
      <c r="FZ84" s="4">
        <v>46040.87096064815</v>
      </c>
    </row>
    <row r="85" spans="1:182">
      <c r="A85" s="2" t="s">
        <v>873</v>
      </c>
      <c r="D85" s="4">
        <v>46266.393333333333</v>
      </c>
      <c r="E85" s="2" t="s">
        <v>874</v>
      </c>
      <c r="F85" s="2" t="s">
        <v>590</v>
      </c>
      <c r="G85" s="2" t="s">
        <v>831</v>
      </c>
      <c r="H85" s="2" t="s">
        <v>875</v>
      </c>
      <c r="I85" s="2" t="s">
        <v>876</v>
      </c>
      <c r="J85" s="2">
        <v>979930519</v>
      </c>
      <c r="K85" s="2" t="s">
        <v>876</v>
      </c>
      <c r="L85" s="2" t="s">
        <v>182</v>
      </c>
      <c r="M85" s="2" t="s">
        <v>183</v>
      </c>
      <c r="N85" s="2">
        <v>1988</v>
      </c>
      <c r="O85" s="2" t="s">
        <v>224</v>
      </c>
      <c r="P85" s="2" t="s">
        <v>185</v>
      </c>
      <c r="Q85" s="2" t="s">
        <v>685</v>
      </c>
      <c r="R85" s="2" t="s">
        <v>188</v>
      </c>
      <c r="S85" s="2">
        <v>5</v>
      </c>
      <c r="T85" s="2" t="s">
        <v>188</v>
      </c>
      <c r="U85" s="2" t="s">
        <v>188</v>
      </c>
      <c r="Y85" s="2">
        <v>80</v>
      </c>
      <c r="Z85" s="2">
        <v>1</v>
      </c>
      <c r="AA85" s="2">
        <v>80</v>
      </c>
      <c r="AB85" s="2">
        <v>80</v>
      </c>
      <c r="AC85" s="2">
        <v>80</v>
      </c>
      <c r="AD85" s="2">
        <v>120</v>
      </c>
      <c r="AE85" s="2">
        <v>40</v>
      </c>
      <c r="AF85" s="2" t="s">
        <v>188</v>
      </c>
      <c r="AG85" s="2" t="s">
        <v>188</v>
      </c>
      <c r="AH85" s="2" t="s">
        <v>188</v>
      </c>
      <c r="AJ85" s="2" t="s">
        <v>188</v>
      </c>
      <c r="AK85" s="2" t="s">
        <v>188</v>
      </c>
      <c r="AL85" s="2" t="s">
        <v>188</v>
      </c>
      <c r="AM85" s="2" t="s">
        <v>188</v>
      </c>
      <c r="AN85" s="2" t="s">
        <v>188</v>
      </c>
      <c r="AO85" s="2" t="s">
        <v>188</v>
      </c>
      <c r="AR85" s="2">
        <v>1</v>
      </c>
      <c r="AS85" s="2">
        <v>3</v>
      </c>
      <c r="AT85" s="2">
        <v>1</v>
      </c>
      <c r="AU85" s="2" t="s">
        <v>189</v>
      </c>
      <c r="AV85" s="2" t="s">
        <v>189</v>
      </c>
      <c r="AW85" s="2" t="s">
        <v>188</v>
      </c>
      <c r="AZ85" s="2" t="s">
        <v>190</v>
      </c>
      <c r="BB85" s="2" t="s">
        <v>260</v>
      </c>
      <c r="BC85" s="2" t="s">
        <v>192</v>
      </c>
      <c r="BD85" s="2" t="s">
        <v>187</v>
      </c>
      <c r="BE85" s="2" t="s">
        <v>188</v>
      </c>
      <c r="BL85" s="2" t="s">
        <v>240</v>
      </c>
      <c r="BO85" s="2" t="s">
        <v>188</v>
      </c>
      <c r="BQ85" s="2" t="s">
        <v>227</v>
      </c>
      <c r="BS85" s="2" t="s">
        <v>187</v>
      </c>
      <c r="BT85" s="2" t="s">
        <v>261</v>
      </c>
      <c r="BV85" s="2" t="s">
        <v>630</v>
      </c>
      <c r="BX85" s="2" t="s">
        <v>187</v>
      </c>
      <c r="BY85" s="2" t="s">
        <v>877</v>
      </c>
      <c r="BZ85" s="2" t="s">
        <v>203</v>
      </c>
      <c r="CE85" s="2">
        <v>1</v>
      </c>
      <c r="CF85" s="2">
        <v>120</v>
      </c>
      <c r="CK85" s="2">
        <v>100</v>
      </c>
      <c r="CO85" s="2">
        <v>100</v>
      </c>
      <c r="CR85" s="2" t="s">
        <v>204</v>
      </c>
      <c r="CT85" s="2" t="s">
        <v>188</v>
      </c>
      <c r="CU85" s="2" t="s">
        <v>578</v>
      </c>
      <c r="CW85" s="2" t="s">
        <v>206</v>
      </c>
      <c r="CY85" s="2" t="s">
        <v>207</v>
      </c>
      <c r="CZ85" s="2" t="s">
        <v>300</v>
      </c>
      <c r="DA85" s="2" t="s">
        <v>300</v>
      </c>
      <c r="DB85" s="2" t="s">
        <v>430</v>
      </c>
      <c r="DC85" s="2" t="s">
        <v>300</v>
      </c>
      <c r="DD85" s="2" t="s">
        <v>300</v>
      </c>
      <c r="DE85" s="2" t="s">
        <v>300</v>
      </c>
      <c r="DF85" s="2" t="s">
        <v>300</v>
      </c>
      <c r="DG85" s="2" t="s">
        <v>300</v>
      </c>
      <c r="DH85" s="2" t="s">
        <v>300</v>
      </c>
      <c r="DI85" s="2" t="s">
        <v>300</v>
      </c>
      <c r="DL85" s="2" t="s">
        <v>187</v>
      </c>
      <c r="DM85" s="2" t="s">
        <v>188</v>
      </c>
      <c r="DP85" s="2" t="s">
        <v>188</v>
      </c>
      <c r="DT85" s="2" t="s">
        <v>209</v>
      </c>
      <c r="DU85" s="2" t="s">
        <v>209</v>
      </c>
      <c r="DV85" s="2" t="s">
        <v>209</v>
      </c>
      <c r="DW85" s="2" t="s">
        <v>209</v>
      </c>
      <c r="DX85" s="2" t="s">
        <v>209</v>
      </c>
      <c r="DY85" s="2" t="s">
        <v>209</v>
      </c>
      <c r="DZ85" s="2" t="s">
        <v>209</v>
      </c>
      <c r="EA85" s="2" t="s">
        <v>209</v>
      </c>
      <c r="EB85" s="2" t="s">
        <v>209</v>
      </c>
      <c r="EC85" s="2" t="s">
        <v>188</v>
      </c>
      <c r="EF85" s="2" t="s">
        <v>767</v>
      </c>
      <c r="EG85" s="2" t="s">
        <v>421</v>
      </c>
      <c r="EJ85" s="2" t="s">
        <v>189</v>
      </c>
      <c r="EK85" s="2" t="s">
        <v>188</v>
      </c>
      <c r="EL85" s="2" t="s">
        <v>188</v>
      </c>
      <c r="EN85" s="2" t="s">
        <v>255</v>
      </c>
      <c r="EP85" s="2" t="s">
        <v>230</v>
      </c>
      <c r="ER85" s="2" t="s">
        <v>188</v>
      </c>
      <c r="ET85" s="2" t="s">
        <v>188</v>
      </c>
      <c r="EV85" s="2" t="s">
        <v>188</v>
      </c>
      <c r="EX85" s="2" t="s">
        <v>188</v>
      </c>
      <c r="EZ85" s="2" t="s">
        <v>188</v>
      </c>
      <c r="FC85" s="2" t="s">
        <v>216</v>
      </c>
      <c r="FD85" s="2" t="s">
        <v>188</v>
      </c>
      <c r="FH85" s="2" t="s">
        <v>188</v>
      </c>
      <c r="FJ85" s="2" t="s">
        <v>187</v>
      </c>
      <c r="FK85" s="2" t="s">
        <v>188</v>
      </c>
      <c r="FN85" s="2" t="s">
        <v>432</v>
      </c>
      <c r="FR85" s="2" t="s">
        <v>878</v>
      </c>
      <c r="FT85" s="2" t="s">
        <v>490</v>
      </c>
      <c r="FU85" s="2" t="s">
        <v>219</v>
      </c>
      <c r="FV85" s="2" t="s">
        <v>219</v>
      </c>
      <c r="FW85" s="2" t="s">
        <v>219</v>
      </c>
      <c r="FZ85" s="4">
        <v>46039.661458333336</v>
      </c>
    </row>
    <row r="86" spans="1:182">
      <c r="A86" s="2" t="s">
        <v>879</v>
      </c>
      <c r="D86" s="4">
        <v>46266.392870370371</v>
      </c>
      <c r="E86" s="2" t="s">
        <v>880</v>
      </c>
      <c r="F86" s="2" t="s">
        <v>480</v>
      </c>
      <c r="G86" s="2" t="s">
        <v>831</v>
      </c>
      <c r="H86" s="2" t="s">
        <v>854</v>
      </c>
      <c r="I86" s="2" t="s">
        <v>881</v>
      </c>
      <c r="J86" s="2">
        <v>327627895</v>
      </c>
      <c r="K86" s="2" t="s">
        <v>882</v>
      </c>
      <c r="L86" s="2" t="s">
        <v>182</v>
      </c>
      <c r="M86" s="2" t="s">
        <v>223</v>
      </c>
      <c r="N86" s="2">
        <v>1981</v>
      </c>
      <c r="O86" s="2" t="s">
        <v>224</v>
      </c>
      <c r="P86" s="2" t="s">
        <v>225</v>
      </c>
      <c r="Q86" s="2" t="s">
        <v>186</v>
      </c>
      <c r="R86" s="2" t="s">
        <v>188</v>
      </c>
      <c r="S86" s="2">
        <v>17</v>
      </c>
      <c r="T86" s="2" t="s">
        <v>188</v>
      </c>
      <c r="U86" s="2" t="s">
        <v>188</v>
      </c>
      <c r="Y86" s="2">
        <v>507</v>
      </c>
      <c r="Z86" s="2">
        <v>1</v>
      </c>
      <c r="AA86" s="2">
        <v>507</v>
      </c>
      <c r="AB86" s="2">
        <v>257</v>
      </c>
      <c r="AC86" s="2">
        <v>257</v>
      </c>
      <c r="AD86" s="2">
        <v>297</v>
      </c>
      <c r="AE86" s="2">
        <v>40</v>
      </c>
      <c r="AF86" s="2" t="s">
        <v>188</v>
      </c>
      <c r="AG86" s="2" t="s">
        <v>188</v>
      </c>
      <c r="AH86" s="2" t="s">
        <v>188</v>
      </c>
      <c r="AJ86" s="2" t="s">
        <v>188</v>
      </c>
      <c r="AK86" s="2" t="s">
        <v>187</v>
      </c>
      <c r="AL86" s="2" t="s">
        <v>188</v>
      </c>
      <c r="AM86" s="2" t="s">
        <v>188</v>
      </c>
      <c r="AN86" s="2" t="s">
        <v>188</v>
      </c>
      <c r="AO86" s="2" t="s">
        <v>188</v>
      </c>
      <c r="AR86" s="2">
        <v>0.65</v>
      </c>
      <c r="AS86" s="2">
        <v>1</v>
      </c>
      <c r="AT86" s="2">
        <v>3</v>
      </c>
      <c r="AU86" s="2" t="s">
        <v>189</v>
      </c>
      <c r="AV86" s="2" t="s">
        <v>189</v>
      </c>
      <c r="AW86" s="2" t="s">
        <v>188</v>
      </c>
      <c r="AZ86" s="2" t="s">
        <v>190</v>
      </c>
      <c r="BB86" s="2" t="s">
        <v>260</v>
      </c>
      <c r="BC86" s="2" t="s">
        <v>296</v>
      </c>
      <c r="BD86" s="2" t="s">
        <v>187</v>
      </c>
      <c r="BE86" s="2" t="s">
        <v>187</v>
      </c>
      <c r="BF86" s="2" t="s">
        <v>193</v>
      </c>
      <c r="BG86" s="2" t="s">
        <v>194</v>
      </c>
      <c r="BH86" s="2" t="s">
        <v>297</v>
      </c>
      <c r="BI86" s="2" t="s">
        <v>196</v>
      </c>
      <c r="BL86" s="2" t="s">
        <v>240</v>
      </c>
      <c r="BO86" s="2" t="s">
        <v>188</v>
      </c>
      <c r="BQ86" s="2" t="s">
        <v>227</v>
      </c>
      <c r="BS86" s="2" t="s">
        <v>187</v>
      </c>
      <c r="BT86" s="2" t="s">
        <v>484</v>
      </c>
      <c r="BV86" s="2" t="s">
        <v>630</v>
      </c>
      <c r="BX86" s="2" t="s">
        <v>187</v>
      </c>
      <c r="BY86" s="2" t="s">
        <v>883</v>
      </c>
      <c r="BZ86" s="2" t="s">
        <v>209</v>
      </c>
      <c r="CA86" s="2" t="s">
        <v>884</v>
      </c>
      <c r="CE86" s="2">
        <v>3</v>
      </c>
      <c r="CF86" s="2">
        <v>297</v>
      </c>
      <c r="CM86" s="2">
        <v>100</v>
      </c>
      <c r="CO86" s="2">
        <v>100</v>
      </c>
      <c r="CR86" s="2" t="s">
        <v>204</v>
      </c>
      <c r="CT86" s="2" t="s">
        <v>188</v>
      </c>
      <c r="CU86" s="2" t="s">
        <v>205</v>
      </c>
      <c r="CW86" s="2" t="s">
        <v>206</v>
      </c>
      <c r="CY86" s="2" t="s">
        <v>207</v>
      </c>
      <c r="CZ86" s="2" t="s">
        <v>207</v>
      </c>
      <c r="DA86" s="2" t="s">
        <v>300</v>
      </c>
      <c r="DB86" s="2" t="s">
        <v>300</v>
      </c>
      <c r="DC86" s="2" t="s">
        <v>300</v>
      </c>
      <c r="DD86" s="2" t="s">
        <v>300</v>
      </c>
      <c r="DE86" s="2" t="s">
        <v>300</v>
      </c>
      <c r="DF86" s="2" t="s">
        <v>207</v>
      </c>
      <c r="DG86" s="2" t="s">
        <v>207</v>
      </c>
      <c r="DH86" s="2" t="s">
        <v>207</v>
      </c>
      <c r="DI86" s="2" t="s">
        <v>300</v>
      </c>
      <c r="DL86" s="2" t="s">
        <v>187</v>
      </c>
      <c r="DM86" s="2" t="s">
        <v>187</v>
      </c>
      <c r="DN86" s="2" t="s">
        <v>187</v>
      </c>
      <c r="DO86" s="2" t="s">
        <v>187</v>
      </c>
      <c r="DP86" s="2" t="s">
        <v>209</v>
      </c>
      <c r="DQ86" s="2" t="s">
        <v>210</v>
      </c>
      <c r="DT86" s="2" t="s">
        <v>209</v>
      </c>
      <c r="DU86" s="2" t="s">
        <v>209</v>
      </c>
      <c r="DV86" s="2" t="s">
        <v>209</v>
      </c>
      <c r="DW86" s="2" t="s">
        <v>209</v>
      </c>
      <c r="DX86" s="2" t="s">
        <v>209</v>
      </c>
      <c r="DY86" s="2" t="s">
        <v>209</v>
      </c>
      <c r="DZ86" s="2" t="s">
        <v>203</v>
      </c>
      <c r="EA86" s="2" t="s">
        <v>209</v>
      </c>
      <c r="EB86" s="2" t="s">
        <v>209</v>
      </c>
      <c r="EC86" s="2" t="s">
        <v>188</v>
      </c>
      <c r="EF86" s="2" t="s">
        <v>189</v>
      </c>
      <c r="EG86" s="2" t="s">
        <v>885</v>
      </c>
      <c r="EJ86" s="2" t="s">
        <v>189</v>
      </c>
      <c r="EK86" s="2" t="s">
        <v>187</v>
      </c>
      <c r="EL86" s="2" t="s">
        <v>188</v>
      </c>
      <c r="EN86" s="2" t="s">
        <v>214</v>
      </c>
      <c r="EP86" s="2" t="s">
        <v>230</v>
      </c>
      <c r="ER86" s="2" t="s">
        <v>187</v>
      </c>
      <c r="ET86" s="2" t="s">
        <v>188</v>
      </c>
      <c r="EV86" s="2" t="s">
        <v>187</v>
      </c>
      <c r="EW86" s="2" t="s">
        <v>215</v>
      </c>
      <c r="EX86" s="2" t="s">
        <v>188</v>
      </c>
      <c r="EZ86" s="2" t="s">
        <v>188</v>
      </c>
      <c r="FC86" s="2" t="s">
        <v>263</v>
      </c>
      <c r="FD86" s="2" t="s">
        <v>188</v>
      </c>
      <c r="FH86" s="2" t="s">
        <v>188</v>
      </c>
      <c r="FJ86" s="2" t="s">
        <v>188</v>
      </c>
      <c r="FK86" s="2" t="s">
        <v>188</v>
      </c>
      <c r="FN86" s="2" t="s">
        <v>488</v>
      </c>
      <c r="FR86" s="2" t="s">
        <v>885</v>
      </c>
      <c r="FT86" s="2" t="s">
        <v>233</v>
      </c>
      <c r="FU86" s="2" t="s">
        <v>233</v>
      </c>
      <c r="FV86" s="2" t="s">
        <v>233</v>
      </c>
      <c r="FW86" s="2" t="s">
        <v>233</v>
      </c>
      <c r="FZ86" s="4">
        <v>46049.375983796293</v>
      </c>
    </row>
    <row r="87" spans="1:182">
      <c r="A87" s="2" t="s">
        <v>886</v>
      </c>
      <c r="D87" s="4">
        <v>46266.391550925924</v>
      </c>
      <c r="E87" s="2" t="s">
        <v>177</v>
      </c>
      <c r="F87" s="2" t="s">
        <v>178</v>
      </c>
      <c r="G87" s="2" t="s">
        <v>831</v>
      </c>
      <c r="H87" s="2" t="s">
        <v>849</v>
      </c>
      <c r="I87" s="2" t="s">
        <v>887</v>
      </c>
      <c r="J87" s="2">
        <v>935018516</v>
      </c>
      <c r="K87" s="2" t="s">
        <v>888</v>
      </c>
      <c r="L87" s="2" t="s">
        <v>182</v>
      </c>
      <c r="M87" s="2" t="s">
        <v>223</v>
      </c>
      <c r="N87" s="2">
        <v>1983</v>
      </c>
      <c r="O87" s="2" t="s">
        <v>224</v>
      </c>
      <c r="P87" s="2" t="s">
        <v>225</v>
      </c>
      <c r="Q87" s="2" t="s">
        <v>186</v>
      </c>
      <c r="R87" s="2" t="s">
        <v>188</v>
      </c>
      <c r="S87" s="2">
        <v>26</v>
      </c>
      <c r="T87" s="2" t="s">
        <v>188</v>
      </c>
      <c r="U87" s="2" t="s">
        <v>188</v>
      </c>
      <c r="Y87" s="2">
        <v>600</v>
      </c>
      <c r="Z87" s="2">
        <v>0.91669999999999996</v>
      </c>
      <c r="AA87" s="2">
        <v>550</v>
      </c>
      <c r="AB87" s="2">
        <v>550</v>
      </c>
      <c r="AC87" s="2">
        <v>550</v>
      </c>
      <c r="AD87" s="2">
        <v>700</v>
      </c>
      <c r="AE87" s="2">
        <v>150</v>
      </c>
      <c r="AF87" s="2" t="s">
        <v>188</v>
      </c>
      <c r="AG87" s="2" t="s">
        <v>188</v>
      </c>
      <c r="AH87" s="2" t="s">
        <v>188</v>
      </c>
      <c r="AJ87" s="2" t="s">
        <v>188</v>
      </c>
      <c r="AK87" s="2" t="s">
        <v>188</v>
      </c>
      <c r="AL87" s="2" t="s">
        <v>188</v>
      </c>
      <c r="AM87" s="2" t="s">
        <v>188</v>
      </c>
      <c r="AN87" s="2" t="s">
        <v>187</v>
      </c>
      <c r="AO87" s="2" t="s">
        <v>188</v>
      </c>
      <c r="AR87" s="2">
        <v>3</v>
      </c>
      <c r="AS87" s="2">
        <v>2</v>
      </c>
      <c r="AT87" s="2">
        <v>8</v>
      </c>
      <c r="AU87" s="2" t="s">
        <v>189</v>
      </c>
      <c r="AV87" s="2" t="s">
        <v>189</v>
      </c>
      <c r="AW87" s="2" t="s">
        <v>188</v>
      </c>
      <c r="BC87" s="2" t="s">
        <v>192</v>
      </c>
      <c r="BD87" s="2" t="s">
        <v>188</v>
      </c>
      <c r="BE87" s="2" t="s">
        <v>188</v>
      </c>
      <c r="BL87" s="2" t="s">
        <v>197</v>
      </c>
      <c r="BM87" s="2" t="s">
        <v>198</v>
      </c>
      <c r="BN87" s="2" t="s">
        <v>199</v>
      </c>
      <c r="BO87" s="2" t="s">
        <v>188</v>
      </c>
      <c r="BQ87" s="2" t="s">
        <v>200</v>
      </c>
      <c r="BS87" s="2" t="s">
        <v>187</v>
      </c>
      <c r="BT87" s="2" t="s">
        <v>201</v>
      </c>
      <c r="BV87" s="2" t="s">
        <v>502</v>
      </c>
      <c r="BX87" s="2" t="s">
        <v>188</v>
      </c>
      <c r="BZ87" s="2" t="s">
        <v>188</v>
      </c>
      <c r="CE87" s="2">
        <v>8</v>
      </c>
      <c r="CF87" s="2">
        <v>700</v>
      </c>
      <c r="CK87" s="2">
        <v>100</v>
      </c>
      <c r="CO87" s="2">
        <v>100</v>
      </c>
      <c r="CR87" s="2" t="s">
        <v>204</v>
      </c>
      <c r="CT87" s="2" t="s">
        <v>188</v>
      </c>
      <c r="CU87" s="2" t="s">
        <v>205</v>
      </c>
      <c r="CW87" s="2" t="s">
        <v>206</v>
      </c>
      <c r="CY87" s="2" t="s">
        <v>207</v>
      </c>
      <c r="CZ87" s="2" t="s">
        <v>207</v>
      </c>
      <c r="DA87" s="2" t="s">
        <v>208</v>
      </c>
      <c r="DB87" s="2" t="s">
        <v>208</v>
      </c>
      <c r="DC87" s="2" t="s">
        <v>208</v>
      </c>
      <c r="DD87" s="2" t="s">
        <v>208</v>
      </c>
      <c r="DE87" s="2" t="s">
        <v>208</v>
      </c>
      <c r="DF87" s="2" t="s">
        <v>208</v>
      </c>
      <c r="DG87" s="2" t="s">
        <v>208</v>
      </c>
      <c r="DH87" s="2" t="s">
        <v>208</v>
      </c>
      <c r="DI87" s="2" t="s">
        <v>208</v>
      </c>
      <c r="DL87" s="2" t="s">
        <v>187</v>
      </c>
      <c r="DM87" s="2" t="s">
        <v>187</v>
      </c>
      <c r="DN87" s="2" t="s">
        <v>187</v>
      </c>
      <c r="DO87" s="2" t="s">
        <v>187</v>
      </c>
      <c r="DP87" s="2" t="s">
        <v>209</v>
      </c>
      <c r="DQ87" s="2" t="s">
        <v>210</v>
      </c>
      <c r="DT87" s="2" t="s">
        <v>209</v>
      </c>
      <c r="DU87" s="2" t="s">
        <v>209</v>
      </c>
      <c r="DV87" s="2" t="s">
        <v>209</v>
      </c>
      <c r="DW87" s="2" t="s">
        <v>209</v>
      </c>
      <c r="DX87" s="2" t="s">
        <v>209</v>
      </c>
      <c r="DY87" s="2" t="s">
        <v>209</v>
      </c>
      <c r="DZ87" s="2" t="s">
        <v>209</v>
      </c>
      <c r="EA87" s="2" t="s">
        <v>209</v>
      </c>
      <c r="EB87" s="2" t="s">
        <v>209</v>
      </c>
      <c r="EF87" s="2" t="s">
        <v>211</v>
      </c>
      <c r="FH87" s="2" t="s">
        <v>188</v>
      </c>
      <c r="FJ87" s="2" t="s">
        <v>187</v>
      </c>
      <c r="FK87" s="2" t="s">
        <v>209</v>
      </c>
      <c r="FL87" s="2" t="s">
        <v>616</v>
      </c>
      <c r="FN87" s="2" t="s">
        <v>488</v>
      </c>
      <c r="FT87" s="2" t="s">
        <v>219</v>
      </c>
      <c r="FU87" s="2" t="s">
        <v>219</v>
      </c>
      <c r="FV87" s="2" t="s">
        <v>219</v>
      </c>
      <c r="FW87" s="2" t="s">
        <v>219</v>
      </c>
      <c r="FZ87" s="4">
        <v>46040.377708333333</v>
      </c>
    </row>
    <row r="88" spans="1:182">
      <c r="A88" s="2" t="s">
        <v>889</v>
      </c>
      <c r="D88" s="4">
        <v>46266.399791666663</v>
      </c>
      <c r="E88" s="2" t="s">
        <v>177</v>
      </c>
      <c r="F88" s="2" t="s">
        <v>178</v>
      </c>
      <c r="G88" s="2" t="s">
        <v>831</v>
      </c>
      <c r="H88" s="2" t="s">
        <v>849</v>
      </c>
      <c r="I88" s="2" t="s">
        <v>890</v>
      </c>
      <c r="J88" s="2">
        <v>392539678</v>
      </c>
      <c r="K88" s="2" t="s">
        <v>891</v>
      </c>
      <c r="L88" s="2" t="s">
        <v>182</v>
      </c>
      <c r="M88" s="2" t="s">
        <v>223</v>
      </c>
      <c r="N88" s="2">
        <v>1965</v>
      </c>
      <c r="O88" s="2" t="s">
        <v>224</v>
      </c>
      <c r="P88" s="2" t="s">
        <v>225</v>
      </c>
      <c r="Q88" s="2" t="s">
        <v>186</v>
      </c>
      <c r="R88" s="2" t="s">
        <v>188</v>
      </c>
      <c r="S88" s="2">
        <v>15</v>
      </c>
      <c r="T88" s="2" t="s">
        <v>188</v>
      </c>
      <c r="U88" s="2" t="s">
        <v>188</v>
      </c>
      <c r="Y88" s="2">
        <v>350</v>
      </c>
      <c r="Z88" s="2">
        <v>1</v>
      </c>
      <c r="AA88" s="2">
        <v>350</v>
      </c>
      <c r="AB88" s="2">
        <v>230</v>
      </c>
      <c r="AC88" s="2">
        <v>230</v>
      </c>
      <c r="AD88" s="2">
        <v>350</v>
      </c>
      <c r="AE88" s="2">
        <v>120</v>
      </c>
      <c r="AF88" s="2" t="s">
        <v>188</v>
      </c>
      <c r="AG88" s="2" t="s">
        <v>188</v>
      </c>
      <c r="AH88" s="2" t="s">
        <v>188</v>
      </c>
      <c r="AJ88" s="2" t="s">
        <v>187</v>
      </c>
      <c r="AK88" s="2" t="s">
        <v>187</v>
      </c>
      <c r="AL88" s="2" t="s">
        <v>188</v>
      </c>
      <c r="AM88" s="2" t="s">
        <v>188</v>
      </c>
      <c r="AN88" s="2" t="s">
        <v>188</v>
      </c>
      <c r="AO88" s="2" t="s">
        <v>188</v>
      </c>
      <c r="AR88" s="2">
        <v>1.4</v>
      </c>
      <c r="AS88" s="2">
        <v>3</v>
      </c>
      <c r="AT88" s="2">
        <v>3.5</v>
      </c>
      <c r="AU88" s="2" t="s">
        <v>189</v>
      </c>
      <c r="AV88" s="2" t="s">
        <v>189</v>
      </c>
      <c r="AW88" s="2" t="s">
        <v>188</v>
      </c>
      <c r="BC88" s="2" t="s">
        <v>192</v>
      </c>
      <c r="BD88" s="2" t="s">
        <v>188</v>
      </c>
      <c r="BE88" s="2" t="s">
        <v>188</v>
      </c>
      <c r="BL88" s="2" t="s">
        <v>197</v>
      </c>
      <c r="BM88" s="2" t="s">
        <v>198</v>
      </c>
      <c r="BN88" s="2" t="s">
        <v>199</v>
      </c>
      <c r="BO88" s="2" t="s">
        <v>188</v>
      </c>
      <c r="BQ88" s="2" t="s">
        <v>200</v>
      </c>
      <c r="BS88" s="2" t="s">
        <v>187</v>
      </c>
      <c r="BT88" s="2" t="s">
        <v>261</v>
      </c>
      <c r="BV88" s="2" t="s">
        <v>502</v>
      </c>
      <c r="BX88" s="2" t="s">
        <v>188</v>
      </c>
      <c r="BZ88" s="2" t="s">
        <v>203</v>
      </c>
      <c r="CE88" s="2">
        <v>3.5</v>
      </c>
      <c r="CF88" s="2">
        <v>350</v>
      </c>
      <c r="CK88" s="2">
        <v>100</v>
      </c>
      <c r="CO88" s="2">
        <v>100</v>
      </c>
      <c r="CR88" s="2" t="s">
        <v>204</v>
      </c>
      <c r="CT88" s="2" t="s">
        <v>188</v>
      </c>
      <c r="CU88" s="2" t="s">
        <v>205</v>
      </c>
      <c r="CW88" s="2" t="s">
        <v>206</v>
      </c>
      <c r="CY88" s="2" t="s">
        <v>207</v>
      </c>
      <c r="CZ88" s="2" t="s">
        <v>208</v>
      </c>
      <c r="DA88" s="2" t="s">
        <v>208</v>
      </c>
      <c r="DE88" s="2" t="s">
        <v>208</v>
      </c>
      <c r="DF88" s="2" t="s">
        <v>207</v>
      </c>
      <c r="DG88" s="2" t="s">
        <v>208</v>
      </c>
      <c r="DI88" s="2" t="s">
        <v>208</v>
      </c>
      <c r="DL88" s="2" t="s">
        <v>187</v>
      </c>
      <c r="DM88" s="2" t="s">
        <v>187</v>
      </c>
      <c r="DN88" s="2" t="s">
        <v>187</v>
      </c>
      <c r="DO88" s="2" t="s">
        <v>187</v>
      </c>
      <c r="DP88" s="2" t="s">
        <v>209</v>
      </c>
      <c r="DQ88" s="2" t="s">
        <v>210</v>
      </c>
      <c r="DT88" s="2" t="s">
        <v>209</v>
      </c>
      <c r="DU88" s="2" t="s">
        <v>209</v>
      </c>
      <c r="DV88" s="2" t="s">
        <v>209</v>
      </c>
      <c r="DW88" s="2" t="s">
        <v>209</v>
      </c>
      <c r="DX88" s="2" t="s">
        <v>209</v>
      </c>
      <c r="DY88" s="2" t="s">
        <v>209</v>
      </c>
      <c r="DZ88" s="2" t="s">
        <v>209</v>
      </c>
      <c r="EA88" s="2" t="s">
        <v>209</v>
      </c>
      <c r="EB88" s="2" t="s">
        <v>209</v>
      </c>
      <c r="EF88" s="2" t="s">
        <v>211</v>
      </c>
      <c r="FH88" s="2" t="s">
        <v>188</v>
      </c>
      <c r="FJ88" s="2" t="s">
        <v>187</v>
      </c>
      <c r="FK88" s="2" t="s">
        <v>209</v>
      </c>
      <c r="FL88" s="2" t="s">
        <v>616</v>
      </c>
      <c r="FN88" s="2" t="s">
        <v>851</v>
      </c>
      <c r="FT88" s="2" t="s">
        <v>219</v>
      </c>
      <c r="FU88" s="2" t="s">
        <v>219</v>
      </c>
      <c r="FV88" s="2" t="s">
        <v>219</v>
      </c>
      <c r="FW88" s="2" t="s">
        <v>219</v>
      </c>
      <c r="FZ88" s="4">
        <v>46040.386828703704</v>
      </c>
    </row>
    <row r="89" spans="1:182" s="25" customFormat="1">
      <c r="A89" s="2" t="s">
        <v>892</v>
      </c>
      <c r="B89"/>
      <c r="C89"/>
      <c r="D89" s="4">
        <v>46266.401087962964</v>
      </c>
      <c r="E89" s="2" t="s">
        <v>893</v>
      </c>
      <c r="F89" s="2" t="s">
        <v>590</v>
      </c>
      <c r="G89" s="2" t="s">
        <v>179</v>
      </c>
      <c r="H89" s="2" t="s">
        <v>763</v>
      </c>
      <c r="I89" s="2" t="s">
        <v>894</v>
      </c>
      <c r="J89" s="2">
        <v>395722054</v>
      </c>
      <c r="K89" s="2" t="s">
        <v>895</v>
      </c>
      <c r="L89" s="2" t="s">
        <v>182</v>
      </c>
      <c r="M89" s="2" t="s">
        <v>223</v>
      </c>
      <c r="N89" s="2">
        <v>1975</v>
      </c>
      <c r="O89" s="2" t="s">
        <v>184</v>
      </c>
      <c r="P89" s="2" t="s">
        <v>291</v>
      </c>
      <c r="Q89" s="2" t="s">
        <v>270</v>
      </c>
      <c r="R89" s="2" t="s">
        <v>188</v>
      </c>
      <c r="S89" s="2">
        <v>25</v>
      </c>
      <c r="T89" s="2" t="s">
        <v>188</v>
      </c>
      <c r="U89" s="2" t="s">
        <v>188</v>
      </c>
      <c r="V89"/>
      <c r="W89"/>
      <c r="X89"/>
      <c r="Y89" s="2">
        <v>160</v>
      </c>
      <c r="Z89" s="2">
        <v>1</v>
      </c>
      <c r="AA89" s="2">
        <v>160</v>
      </c>
      <c r="AB89" s="2">
        <v>160</v>
      </c>
      <c r="AC89" s="2">
        <v>160</v>
      </c>
      <c r="AD89" s="2">
        <v>210</v>
      </c>
      <c r="AE89" s="2">
        <v>50</v>
      </c>
      <c r="AF89" s="2" t="s">
        <v>188</v>
      </c>
      <c r="AG89" s="2" t="s">
        <v>188</v>
      </c>
      <c r="AH89" s="2" t="s">
        <v>188</v>
      </c>
      <c r="AI89"/>
      <c r="AJ89" s="2" t="s">
        <v>188</v>
      </c>
      <c r="AK89" s="2" t="s">
        <v>188</v>
      </c>
      <c r="AL89" s="2" t="s">
        <v>188</v>
      </c>
      <c r="AM89" s="2" t="s">
        <v>188</v>
      </c>
      <c r="AN89" s="2" t="s">
        <v>188</v>
      </c>
      <c r="AO89" s="2" t="s">
        <v>188</v>
      </c>
      <c r="AP89"/>
      <c r="AQ89"/>
      <c r="AR89" s="2">
        <v>1</v>
      </c>
      <c r="AS89" s="2">
        <v>2</v>
      </c>
      <c r="AT89" s="2">
        <v>2</v>
      </c>
      <c r="AU89" s="2" t="s">
        <v>203</v>
      </c>
      <c r="AV89" s="2" t="s">
        <v>238</v>
      </c>
      <c r="AW89" s="2" t="s">
        <v>188</v>
      </c>
      <c r="AX89"/>
      <c r="AY89"/>
      <c r="AZ89" s="2" t="s">
        <v>190</v>
      </c>
      <c r="BA89"/>
      <c r="BB89" s="2" t="s">
        <v>260</v>
      </c>
      <c r="BC89" s="2" t="s">
        <v>192</v>
      </c>
      <c r="BD89" s="2" t="s">
        <v>188</v>
      </c>
      <c r="BE89" s="2" t="s">
        <v>188</v>
      </c>
      <c r="BF89" s="2" t="s">
        <v>193</v>
      </c>
      <c r="BG89"/>
      <c r="BH89"/>
      <c r="BI89"/>
      <c r="BJ89"/>
      <c r="BK89"/>
      <c r="BL89" s="2" t="s">
        <v>197</v>
      </c>
      <c r="BM89" s="2" t="s">
        <v>507</v>
      </c>
      <c r="BN89" s="2" t="s">
        <v>896</v>
      </c>
      <c r="BO89" s="2" t="s">
        <v>341</v>
      </c>
      <c r="BP89" s="2" t="s">
        <v>342</v>
      </c>
      <c r="BQ89"/>
      <c r="BR89"/>
      <c r="BS89" s="2" t="s">
        <v>188</v>
      </c>
      <c r="BT89" s="2" t="s">
        <v>241</v>
      </c>
      <c r="BU89"/>
      <c r="BV89" s="2" t="s">
        <v>228</v>
      </c>
      <c r="BW89"/>
      <c r="BX89" s="2" t="s">
        <v>187</v>
      </c>
      <c r="BY89" s="2" t="s">
        <v>897</v>
      </c>
      <c r="BZ89" s="2" t="s">
        <v>188</v>
      </c>
      <c r="CA89"/>
      <c r="CB89"/>
      <c r="CC89"/>
      <c r="CD89"/>
      <c r="CE89" s="2">
        <v>2</v>
      </c>
      <c r="CF89" s="2">
        <v>210</v>
      </c>
      <c r="CG89"/>
      <c r="CH89"/>
      <c r="CI89"/>
      <c r="CJ89"/>
      <c r="CK89"/>
      <c r="CL89"/>
      <c r="CM89" s="2">
        <v>100</v>
      </c>
      <c r="CN89"/>
      <c r="CO89" s="2">
        <v>100</v>
      </c>
      <c r="CP89"/>
      <c r="CQ89"/>
      <c r="CR89" s="2" t="s">
        <v>204</v>
      </c>
      <c r="CS89"/>
      <c r="CT89" s="2" t="s">
        <v>188</v>
      </c>
      <c r="CU89" s="2" t="s">
        <v>205</v>
      </c>
      <c r="CV89"/>
      <c r="CW89" s="2" t="s">
        <v>206</v>
      </c>
      <c r="CX89"/>
      <c r="CY89" s="2" t="s">
        <v>207</v>
      </c>
      <c r="CZ89" s="2" t="s">
        <v>300</v>
      </c>
      <c r="DA89" s="2" t="s">
        <v>300</v>
      </c>
      <c r="DB89" s="2" t="s">
        <v>300</v>
      </c>
      <c r="DC89" s="2" t="s">
        <v>300</v>
      </c>
      <c r="DD89" s="2" t="s">
        <v>300</v>
      </c>
      <c r="DE89" s="2" t="s">
        <v>300</v>
      </c>
      <c r="DF89" s="2" t="s">
        <v>300</v>
      </c>
      <c r="DG89" s="2" t="s">
        <v>300</v>
      </c>
      <c r="DH89" s="2" t="s">
        <v>300</v>
      </c>
      <c r="DI89" s="2" t="s">
        <v>300</v>
      </c>
      <c r="DJ89"/>
      <c r="DK89"/>
      <c r="DL89" s="2" t="s">
        <v>188</v>
      </c>
      <c r="DM89" s="2" t="s">
        <v>187</v>
      </c>
      <c r="DN89" s="2" t="s">
        <v>187</v>
      </c>
      <c r="DO89" s="2" t="s">
        <v>187</v>
      </c>
      <c r="DP89" s="2" t="s">
        <v>203</v>
      </c>
      <c r="DQ89"/>
      <c r="DR89"/>
      <c r="DS89"/>
      <c r="DT89" s="2" t="s">
        <v>203</v>
      </c>
      <c r="DU89" s="2" t="s">
        <v>203</v>
      </c>
      <c r="DV89" s="2" t="s">
        <v>203</v>
      </c>
      <c r="DW89" s="2" t="s">
        <v>203</v>
      </c>
      <c r="DX89" s="2" t="s">
        <v>203</v>
      </c>
      <c r="DY89" s="2" t="s">
        <v>203</v>
      </c>
      <c r="DZ89" s="2" t="s">
        <v>203</v>
      </c>
      <c r="EA89" s="2" t="s">
        <v>203</v>
      </c>
      <c r="EB89" s="2" t="s">
        <v>203</v>
      </c>
      <c r="EC89" s="2" t="s">
        <v>203</v>
      </c>
      <c r="ED89"/>
      <c r="EE89"/>
      <c r="EF89" s="2" t="s">
        <v>189</v>
      </c>
      <c r="EG89" s="2" t="s">
        <v>898</v>
      </c>
      <c r="EH89"/>
      <c r="EI89"/>
      <c r="EJ89" s="2" t="s">
        <v>189</v>
      </c>
      <c r="EK89" s="2" t="s">
        <v>187</v>
      </c>
      <c r="EL89" s="2" t="s">
        <v>188</v>
      </c>
      <c r="EM89"/>
      <c r="EN89" s="2" t="s">
        <v>214</v>
      </c>
      <c r="EO89"/>
      <c r="EP89" s="2" t="s">
        <v>230</v>
      </c>
      <c r="EQ89"/>
      <c r="ER89" s="2" t="s">
        <v>188</v>
      </c>
      <c r="ES89"/>
      <c r="ET89" s="2" t="s">
        <v>188</v>
      </c>
      <c r="EU89"/>
      <c r="EV89" s="2" t="s">
        <v>188</v>
      </c>
      <c r="EW89"/>
      <c r="EX89" s="2" t="s">
        <v>188</v>
      </c>
      <c r="EY89"/>
      <c r="EZ89" s="2" t="s">
        <v>188</v>
      </c>
      <c r="FA89"/>
      <c r="FB89"/>
      <c r="FC89" s="2" t="s">
        <v>263</v>
      </c>
      <c r="FD89" s="2" t="s">
        <v>188</v>
      </c>
      <c r="FE89"/>
      <c r="FF89"/>
      <c r="FG89"/>
      <c r="FH89" s="2" t="s">
        <v>188</v>
      </c>
      <c r="FI89"/>
      <c r="FJ89" s="2" t="s">
        <v>188</v>
      </c>
      <c r="FK89" s="2" t="s">
        <v>203</v>
      </c>
      <c r="FL89"/>
      <c r="FM89"/>
      <c r="FN89" s="2" t="s">
        <v>769</v>
      </c>
      <c r="FO89"/>
      <c r="FP89"/>
      <c r="FQ89"/>
      <c r="FR89" s="2" t="s">
        <v>899</v>
      </c>
      <c r="FS89"/>
      <c r="FT89" s="2" t="s">
        <v>233</v>
      </c>
      <c r="FU89" s="2" t="s">
        <v>219</v>
      </c>
      <c r="FV89" s="2" t="s">
        <v>233</v>
      </c>
      <c r="FW89" s="2" t="s">
        <v>233</v>
      </c>
      <c r="FX89"/>
      <c r="FY89"/>
      <c r="FZ89" s="4">
        <v>46047.588009259256</v>
      </c>
    </row>
    <row r="90" spans="1:182">
      <c r="A90" s="2" t="s">
        <v>900</v>
      </c>
      <c r="D90" s="4">
        <v>46266.390856481485</v>
      </c>
      <c r="E90" s="2" t="s">
        <v>177</v>
      </c>
      <c r="F90" s="2" t="s">
        <v>293</v>
      </c>
      <c r="G90" s="2" t="s">
        <v>791</v>
      </c>
      <c r="H90" s="2" t="s">
        <v>792</v>
      </c>
      <c r="I90" s="2" t="s">
        <v>901</v>
      </c>
      <c r="J90" s="2">
        <v>396679425</v>
      </c>
      <c r="K90" s="2" t="s">
        <v>902</v>
      </c>
      <c r="L90" s="2" t="s">
        <v>352</v>
      </c>
      <c r="M90" s="2" t="s">
        <v>183</v>
      </c>
      <c r="N90" s="2">
        <v>1998</v>
      </c>
      <c r="O90" s="2" t="s">
        <v>184</v>
      </c>
      <c r="P90" s="2" t="s">
        <v>237</v>
      </c>
      <c r="Q90" s="2" t="s">
        <v>186</v>
      </c>
      <c r="R90" s="2" t="s">
        <v>188</v>
      </c>
      <c r="S90" s="2">
        <v>2007</v>
      </c>
      <c r="T90" s="2" t="s">
        <v>187</v>
      </c>
      <c r="U90" s="2" t="s">
        <v>187</v>
      </c>
      <c r="Y90" s="2">
        <v>500</v>
      </c>
      <c r="Z90" s="2">
        <v>0.95</v>
      </c>
      <c r="AA90" s="2">
        <v>475</v>
      </c>
      <c r="AB90" s="2">
        <v>460</v>
      </c>
      <c r="AC90" s="2">
        <v>360</v>
      </c>
      <c r="AD90" s="2">
        <v>430</v>
      </c>
      <c r="AE90" s="2">
        <v>70</v>
      </c>
      <c r="AF90" s="2" t="s">
        <v>187</v>
      </c>
      <c r="AG90" s="2" t="s">
        <v>187</v>
      </c>
      <c r="AH90" s="2" t="s">
        <v>187</v>
      </c>
      <c r="AI90" s="2" t="s">
        <v>308</v>
      </c>
      <c r="AJ90" s="2" t="s">
        <v>188</v>
      </c>
      <c r="AK90" s="2" t="s">
        <v>188</v>
      </c>
      <c r="AL90" s="2" t="s">
        <v>188</v>
      </c>
      <c r="AM90" s="2" t="s">
        <v>187</v>
      </c>
      <c r="AN90" s="2" t="s">
        <v>188</v>
      </c>
      <c r="AO90" s="2" t="s">
        <v>188</v>
      </c>
      <c r="AR90" s="2">
        <v>1.8</v>
      </c>
      <c r="AS90" s="2">
        <v>3</v>
      </c>
      <c r="AT90" s="2">
        <v>3.5</v>
      </c>
      <c r="AU90" s="2" t="s">
        <v>238</v>
      </c>
      <c r="AV90" s="2" t="s">
        <v>238</v>
      </c>
      <c r="AW90" s="2" t="s">
        <v>188</v>
      </c>
      <c r="AZ90" s="2" t="s">
        <v>357</v>
      </c>
      <c r="BB90" s="2" t="s">
        <v>720</v>
      </c>
      <c r="BC90" s="2" t="s">
        <v>253</v>
      </c>
      <c r="BD90" s="2" t="s">
        <v>188</v>
      </c>
      <c r="BE90" s="2" t="s">
        <v>188</v>
      </c>
      <c r="BL90" s="2" t="s">
        <v>197</v>
      </c>
      <c r="BM90" s="2" t="s">
        <v>198</v>
      </c>
      <c r="BN90" s="2" t="s">
        <v>199</v>
      </c>
      <c r="BO90" s="2" t="s">
        <v>188</v>
      </c>
      <c r="BQ90" s="2" t="s">
        <v>309</v>
      </c>
      <c r="BS90" s="2" t="s">
        <v>188</v>
      </c>
      <c r="BT90" s="2" t="s">
        <v>201</v>
      </c>
      <c r="BV90" s="2" t="s">
        <v>864</v>
      </c>
      <c r="BW90" s="2" t="s">
        <v>903</v>
      </c>
      <c r="BX90" s="2" t="s">
        <v>187</v>
      </c>
      <c r="BY90" s="2" t="s">
        <v>904</v>
      </c>
      <c r="BZ90" s="2" t="s">
        <v>203</v>
      </c>
      <c r="CE90" s="2">
        <v>3.5</v>
      </c>
      <c r="CK90" s="2">
        <v>100</v>
      </c>
      <c r="CO90" s="2">
        <v>100</v>
      </c>
      <c r="CR90" s="2" t="s">
        <v>204</v>
      </c>
      <c r="CT90" s="2" t="s">
        <v>188</v>
      </c>
      <c r="CU90" s="2" t="s">
        <v>281</v>
      </c>
      <c r="CW90" s="2" t="s">
        <v>206</v>
      </c>
      <c r="CY90" s="2" t="s">
        <v>207</v>
      </c>
      <c r="CZ90" s="2" t="s">
        <v>207</v>
      </c>
      <c r="DA90" s="2" t="s">
        <v>300</v>
      </c>
      <c r="DB90" s="2" t="s">
        <v>273</v>
      </c>
      <c r="DC90" s="2" t="s">
        <v>300</v>
      </c>
      <c r="DD90" s="2" t="s">
        <v>430</v>
      </c>
      <c r="DE90" s="2" t="s">
        <v>300</v>
      </c>
      <c r="DF90" s="2" t="s">
        <v>300</v>
      </c>
      <c r="DG90" s="2" t="s">
        <v>208</v>
      </c>
      <c r="DH90" s="2" t="s">
        <v>208</v>
      </c>
      <c r="DI90" s="2" t="s">
        <v>208</v>
      </c>
      <c r="DL90" s="2" t="s">
        <v>188</v>
      </c>
      <c r="DM90" s="2" t="s">
        <v>188</v>
      </c>
      <c r="DP90" s="2" t="s">
        <v>188</v>
      </c>
      <c r="DS90" s="2" t="s">
        <v>209</v>
      </c>
      <c r="DT90" s="2" t="s">
        <v>209</v>
      </c>
      <c r="DU90" s="2" t="s">
        <v>209</v>
      </c>
      <c r="DV90" s="2" t="s">
        <v>209</v>
      </c>
      <c r="DW90" s="2" t="s">
        <v>209</v>
      </c>
      <c r="DX90" s="2" t="s">
        <v>203</v>
      </c>
      <c r="DY90" s="2" t="s">
        <v>203</v>
      </c>
      <c r="DZ90" s="2" t="s">
        <v>203</v>
      </c>
      <c r="EA90" s="2" t="s">
        <v>209</v>
      </c>
      <c r="EB90" s="2" t="s">
        <v>209</v>
      </c>
      <c r="EC90" s="2" t="s">
        <v>203</v>
      </c>
      <c r="ED90" s="2" t="s">
        <v>203</v>
      </c>
      <c r="EF90" s="2" t="s">
        <v>211</v>
      </c>
      <c r="EJ90" s="2" t="s">
        <v>238</v>
      </c>
      <c r="EK90" s="2" t="s">
        <v>187</v>
      </c>
      <c r="EL90" s="2" t="s">
        <v>188</v>
      </c>
      <c r="EN90" s="2" t="s">
        <v>214</v>
      </c>
      <c r="EP90" s="2" t="s">
        <v>230</v>
      </c>
      <c r="ER90" s="2" t="s">
        <v>187</v>
      </c>
      <c r="ET90" s="2" t="s">
        <v>188</v>
      </c>
      <c r="EV90" s="2" t="s">
        <v>188</v>
      </c>
      <c r="EX90" s="2" t="s">
        <v>188</v>
      </c>
      <c r="EZ90" s="2" t="s">
        <v>188</v>
      </c>
      <c r="FC90" s="2" t="s">
        <v>216</v>
      </c>
      <c r="FD90" s="2" t="s">
        <v>188</v>
      </c>
      <c r="FH90" s="2" t="s">
        <v>188</v>
      </c>
      <c r="FJ90" s="2" t="s">
        <v>188</v>
      </c>
      <c r="FK90" s="2" t="s">
        <v>203</v>
      </c>
      <c r="FN90" s="2" t="s">
        <v>819</v>
      </c>
      <c r="FT90" s="2" t="s">
        <v>219</v>
      </c>
      <c r="FU90" s="2" t="s">
        <v>233</v>
      </c>
      <c r="FV90" s="2" t="s">
        <v>219</v>
      </c>
      <c r="FW90" s="2" t="s">
        <v>233</v>
      </c>
      <c r="FZ90" s="4">
        <v>46038.433888888889</v>
      </c>
    </row>
    <row r="91" spans="1:182">
      <c r="A91" s="2" t="s">
        <v>914</v>
      </c>
      <c r="D91" s="4">
        <v>46266.424050925925</v>
      </c>
      <c r="E91" s="2" t="s">
        <v>915</v>
      </c>
      <c r="F91" s="2" t="s">
        <v>425</v>
      </c>
      <c r="G91" s="2" t="s">
        <v>791</v>
      </c>
      <c r="H91" s="2" t="s">
        <v>792</v>
      </c>
      <c r="I91" s="2" t="s">
        <v>916</v>
      </c>
      <c r="J91" s="2">
        <v>862149706</v>
      </c>
      <c r="K91" s="2" t="s">
        <v>917</v>
      </c>
      <c r="L91" s="2" t="s">
        <v>182</v>
      </c>
      <c r="M91" s="2" t="s">
        <v>183</v>
      </c>
      <c r="N91" s="2">
        <v>2000</v>
      </c>
      <c r="O91" s="2" t="s">
        <v>184</v>
      </c>
      <c r="P91" s="2" t="s">
        <v>237</v>
      </c>
      <c r="Q91" s="2" t="s">
        <v>186</v>
      </c>
      <c r="R91" s="2" t="s">
        <v>188</v>
      </c>
      <c r="S91" s="2">
        <v>15</v>
      </c>
      <c r="T91" s="2" t="s">
        <v>188</v>
      </c>
      <c r="U91" s="2" t="s">
        <v>188</v>
      </c>
      <c r="Y91" s="2">
        <v>200</v>
      </c>
      <c r="Z91" s="2">
        <v>0.875</v>
      </c>
      <c r="AA91" s="2">
        <v>175</v>
      </c>
      <c r="AB91" s="2">
        <v>160</v>
      </c>
      <c r="AC91" s="2">
        <v>150</v>
      </c>
      <c r="AD91" s="2">
        <v>180</v>
      </c>
      <c r="AE91" s="2">
        <v>30</v>
      </c>
      <c r="AF91" s="2" t="s">
        <v>187</v>
      </c>
      <c r="AG91" s="2" t="s">
        <v>188</v>
      </c>
      <c r="AH91" s="2" t="s">
        <v>188</v>
      </c>
      <c r="AJ91" s="2" t="s">
        <v>188</v>
      </c>
      <c r="AK91" s="2" t="s">
        <v>187</v>
      </c>
      <c r="AL91" s="2" t="s">
        <v>188</v>
      </c>
      <c r="AM91" s="2" t="s">
        <v>187</v>
      </c>
      <c r="AN91" s="2" t="s">
        <v>188</v>
      </c>
      <c r="AO91" s="2" t="s">
        <v>188</v>
      </c>
      <c r="AR91" s="2">
        <v>0.7</v>
      </c>
      <c r="AS91" s="2">
        <v>3</v>
      </c>
      <c r="AT91" s="2">
        <v>1.8</v>
      </c>
      <c r="AU91" s="2" t="s">
        <v>203</v>
      </c>
      <c r="AV91" s="2" t="s">
        <v>203</v>
      </c>
      <c r="AW91" s="2" t="s">
        <v>188</v>
      </c>
      <c r="AZ91" s="2" t="s">
        <v>357</v>
      </c>
      <c r="BC91" s="2" t="s">
        <v>192</v>
      </c>
      <c r="BD91" s="2" t="s">
        <v>188</v>
      </c>
      <c r="BE91" s="2" t="s">
        <v>188</v>
      </c>
      <c r="BL91" s="2" t="s">
        <v>240</v>
      </c>
      <c r="BO91" s="2" t="s">
        <v>188</v>
      </c>
      <c r="BQ91" s="2" t="s">
        <v>200</v>
      </c>
      <c r="BS91" s="2" t="s">
        <v>187</v>
      </c>
      <c r="BT91" s="2" t="s">
        <v>69</v>
      </c>
      <c r="BU91" s="2" t="s">
        <v>544</v>
      </c>
      <c r="BV91" s="2" t="s">
        <v>495</v>
      </c>
      <c r="BX91" s="2" t="s">
        <v>188</v>
      </c>
      <c r="BZ91" s="2" t="s">
        <v>188</v>
      </c>
      <c r="CE91" s="2">
        <v>1.8</v>
      </c>
      <c r="CF91" s="2">
        <v>180</v>
      </c>
      <c r="CK91" s="2">
        <v>100</v>
      </c>
      <c r="CO91" s="2">
        <v>100</v>
      </c>
      <c r="CR91" s="2" t="s">
        <v>204</v>
      </c>
      <c r="CT91" s="2" t="s">
        <v>188</v>
      </c>
      <c r="CU91" s="2" t="s">
        <v>205</v>
      </c>
      <c r="CW91" s="2" t="s">
        <v>206</v>
      </c>
      <c r="CY91" s="2" t="s">
        <v>300</v>
      </c>
      <c r="CZ91" s="2" t="s">
        <v>300</v>
      </c>
      <c r="DA91" s="2" t="s">
        <v>300</v>
      </c>
      <c r="DB91" s="2" t="s">
        <v>300</v>
      </c>
      <c r="DC91" s="2" t="s">
        <v>430</v>
      </c>
      <c r="DD91" s="2" t="s">
        <v>430</v>
      </c>
      <c r="DE91" s="2" t="s">
        <v>300</v>
      </c>
      <c r="DF91" s="2" t="s">
        <v>300</v>
      </c>
      <c r="DG91" s="2" t="s">
        <v>300</v>
      </c>
      <c r="DH91" s="2" t="s">
        <v>300</v>
      </c>
      <c r="DI91" s="2" t="s">
        <v>300</v>
      </c>
      <c r="DL91" s="2" t="s">
        <v>188</v>
      </c>
      <c r="DM91" s="2" t="s">
        <v>188</v>
      </c>
      <c r="DP91" s="2" t="s">
        <v>188</v>
      </c>
      <c r="DT91" s="2" t="s">
        <v>203</v>
      </c>
      <c r="DU91" s="2" t="s">
        <v>203</v>
      </c>
      <c r="DV91" s="2" t="s">
        <v>203</v>
      </c>
      <c r="DW91" s="2" t="s">
        <v>203</v>
      </c>
      <c r="DX91" s="2" t="s">
        <v>203</v>
      </c>
      <c r="DY91" s="2" t="s">
        <v>203</v>
      </c>
      <c r="DZ91" s="2" t="s">
        <v>203</v>
      </c>
      <c r="EA91" s="2" t="s">
        <v>203</v>
      </c>
      <c r="EB91" s="2" t="s">
        <v>203</v>
      </c>
      <c r="EC91" s="2" t="s">
        <v>203</v>
      </c>
      <c r="EF91" s="2" t="s">
        <v>302</v>
      </c>
      <c r="EG91" s="2" t="s">
        <v>431</v>
      </c>
      <c r="EJ91" s="2" t="s">
        <v>203</v>
      </c>
      <c r="EK91" s="2" t="s">
        <v>188</v>
      </c>
      <c r="EL91" s="2" t="s">
        <v>188</v>
      </c>
      <c r="EN91" s="2" t="s">
        <v>255</v>
      </c>
      <c r="EP91" s="2" t="s">
        <v>230</v>
      </c>
      <c r="ER91" s="2" t="s">
        <v>188</v>
      </c>
      <c r="ET91" s="2" t="s">
        <v>188</v>
      </c>
      <c r="EV91" s="2" t="s">
        <v>188</v>
      </c>
      <c r="EX91" s="2" t="s">
        <v>188</v>
      </c>
      <c r="EZ91" s="2" t="s">
        <v>188</v>
      </c>
      <c r="FC91" s="2" t="s">
        <v>263</v>
      </c>
      <c r="FD91" s="2" t="s">
        <v>188</v>
      </c>
      <c r="FH91" s="2" t="s">
        <v>188</v>
      </c>
      <c r="FJ91" s="2" t="s">
        <v>188</v>
      </c>
      <c r="FK91" s="2" t="s">
        <v>188</v>
      </c>
      <c r="FR91" s="2" t="s">
        <v>918</v>
      </c>
      <c r="FT91" s="2" t="s">
        <v>219</v>
      </c>
      <c r="FU91" s="2" t="s">
        <v>233</v>
      </c>
      <c r="FV91" s="2" t="s">
        <v>233</v>
      </c>
      <c r="FW91" s="2" t="s">
        <v>233</v>
      </c>
      <c r="FZ91" s="4">
        <v>46040.882060185184</v>
      </c>
    </row>
    <row r="92" spans="1:182">
      <c r="A92" s="2" t="s">
        <v>919</v>
      </c>
      <c r="D92" s="4">
        <v>46266.413900462961</v>
      </c>
      <c r="E92" s="2" t="s">
        <v>920</v>
      </c>
      <c r="F92" s="2" t="s">
        <v>398</v>
      </c>
      <c r="G92" s="2" t="s">
        <v>791</v>
      </c>
      <c r="H92" s="2" t="s">
        <v>822</v>
      </c>
      <c r="I92" s="2" t="s">
        <v>921</v>
      </c>
      <c r="J92" s="2">
        <v>326142798</v>
      </c>
      <c r="K92" s="2" t="s">
        <v>922</v>
      </c>
      <c r="L92" s="2" t="s">
        <v>269</v>
      </c>
      <c r="M92" s="2" t="s">
        <v>223</v>
      </c>
      <c r="N92" s="2">
        <v>1984</v>
      </c>
      <c r="O92" s="2" t="s">
        <v>184</v>
      </c>
      <c r="P92" s="2" t="s">
        <v>225</v>
      </c>
      <c r="Q92" s="2" t="s">
        <v>270</v>
      </c>
      <c r="R92" s="2" t="s">
        <v>188</v>
      </c>
      <c r="S92" s="2">
        <v>20</v>
      </c>
      <c r="T92" s="2" t="s">
        <v>188</v>
      </c>
      <c r="U92" s="2" t="s">
        <v>188</v>
      </c>
      <c r="Y92" s="2">
        <v>273</v>
      </c>
      <c r="Z92" s="2">
        <v>0.98899999999999999</v>
      </c>
      <c r="AA92" s="2">
        <v>270</v>
      </c>
      <c r="AB92" s="2">
        <v>270</v>
      </c>
      <c r="AC92" s="2">
        <v>270</v>
      </c>
      <c r="AD92" s="2">
        <v>300</v>
      </c>
      <c r="AE92" s="2">
        <v>30</v>
      </c>
      <c r="AF92" s="2" t="s">
        <v>187</v>
      </c>
      <c r="AG92" s="2" t="s">
        <v>187</v>
      </c>
      <c r="AH92" s="2" t="s">
        <v>188</v>
      </c>
      <c r="AJ92" s="2" t="s">
        <v>188</v>
      </c>
      <c r="AK92" s="2" t="s">
        <v>188</v>
      </c>
      <c r="AL92" s="2" t="s">
        <v>188</v>
      </c>
      <c r="AM92" s="2" t="s">
        <v>187</v>
      </c>
      <c r="AN92" s="2" t="s">
        <v>188</v>
      </c>
      <c r="AO92" s="2" t="s">
        <v>188</v>
      </c>
      <c r="AR92" s="2">
        <v>1</v>
      </c>
      <c r="AS92" s="2">
        <v>4</v>
      </c>
      <c r="AT92" s="2">
        <v>3</v>
      </c>
      <c r="AU92" s="2" t="s">
        <v>238</v>
      </c>
      <c r="AV92" s="2" t="s">
        <v>238</v>
      </c>
      <c r="AW92" s="2" t="s">
        <v>188</v>
      </c>
      <c r="AZ92" s="2" t="s">
        <v>190</v>
      </c>
      <c r="BB92" s="2" t="s">
        <v>260</v>
      </c>
      <c r="BC92" s="2" t="s">
        <v>296</v>
      </c>
      <c r="BD92" s="2" t="s">
        <v>187</v>
      </c>
      <c r="BE92" s="2" t="s">
        <v>187</v>
      </c>
      <c r="BF92" s="2" t="s">
        <v>193</v>
      </c>
      <c r="BG92" s="2" t="s">
        <v>194</v>
      </c>
      <c r="BH92" s="2" t="s">
        <v>280</v>
      </c>
      <c r="BI92" s="2" t="s">
        <v>196</v>
      </c>
      <c r="BL92" s="2" t="s">
        <v>240</v>
      </c>
      <c r="BO92" s="2" t="s">
        <v>341</v>
      </c>
      <c r="BP92" s="2" t="s">
        <v>342</v>
      </c>
      <c r="BS92" s="2" t="s">
        <v>187</v>
      </c>
      <c r="BT92" s="2" t="s">
        <v>410</v>
      </c>
      <c r="BV92" s="2" t="s">
        <v>502</v>
      </c>
      <c r="BX92" s="2" t="s">
        <v>188</v>
      </c>
      <c r="BY92" s="2" t="s">
        <v>923</v>
      </c>
      <c r="BZ92" s="2" t="s">
        <v>203</v>
      </c>
      <c r="CE92" s="2">
        <v>3</v>
      </c>
      <c r="CF92" s="2">
        <v>300</v>
      </c>
      <c r="CK92" s="2">
        <v>100</v>
      </c>
      <c r="CP92" s="2">
        <v>100</v>
      </c>
      <c r="CR92" s="2" t="s">
        <v>204</v>
      </c>
      <c r="CT92" s="2" t="s">
        <v>188</v>
      </c>
      <c r="CU92" s="2" t="s">
        <v>205</v>
      </c>
      <c r="CW92" s="2" t="s">
        <v>206</v>
      </c>
      <c r="CY92" s="2" t="s">
        <v>300</v>
      </c>
      <c r="CZ92" s="2" t="s">
        <v>300</v>
      </c>
      <c r="DA92" s="2" t="s">
        <v>300</v>
      </c>
      <c r="DB92" s="2" t="s">
        <v>300</v>
      </c>
      <c r="DC92" s="2" t="s">
        <v>300</v>
      </c>
      <c r="DD92" s="2" t="s">
        <v>300</v>
      </c>
      <c r="DE92" s="2" t="s">
        <v>300</v>
      </c>
      <c r="DF92" s="2" t="s">
        <v>300</v>
      </c>
      <c r="DG92" s="2" t="s">
        <v>300</v>
      </c>
      <c r="DH92" s="2" t="s">
        <v>300</v>
      </c>
      <c r="DI92" s="2" t="s">
        <v>300</v>
      </c>
      <c r="DL92" s="2" t="s">
        <v>188</v>
      </c>
      <c r="DM92" s="2" t="s">
        <v>188</v>
      </c>
      <c r="DP92" s="2" t="s">
        <v>203</v>
      </c>
      <c r="DT92" s="2" t="s">
        <v>203</v>
      </c>
      <c r="DU92" s="2" t="s">
        <v>203</v>
      </c>
      <c r="DV92" s="2" t="s">
        <v>209</v>
      </c>
      <c r="DW92" s="2" t="s">
        <v>209</v>
      </c>
      <c r="DX92" s="2" t="s">
        <v>209</v>
      </c>
      <c r="DY92" s="2" t="s">
        <v>188</v>
      </c>
      <c r="DZ92" s="2" t="s">
        <v>203</v>
      </c>
      <c r="EA92" s="2" t="s">
        <v>209</v>
      </c>
      <c r="EB92" s="2" t="s">
        <v>209</v>
      </c>
      <c r="EC92" s="2" t="s">
        <v>209</v>
      </c>
      <c r="ED92" s="2" t="s">
        <v>209</v>
      </c>
      <c r="EE92" s="2" t="s">
        <v>672</v>
      </c>
      <c r="EF92" s="2" t="s">
        <v>302</v>
      </c>
      <c r="EG92" s="2" t="s">
        <v>924</v>
      </c>
      <c r="EJ92" s="2" t="s">
        <v>203</v>
      </c>
      <c r="EK92" s="2" t="s">
        <v>188</v>
      </c>
      <c r="EL92" s="2" t="s">
        <v>188</v>
      </c>
      <c r="EN92" s="2" t="s">
        <v>214</v>
      </c>
      <c r="EP92" s="2" t="s">
        <v>230</v>
      </c>
      <c r="ER92" s="2" t="s">
        <v>188</v>
      </c>
      <c r="ET92" s="2" t="s">
        <v>188</v>
      </c>
      <c r="EV92" s="2" t="s">
        <v>188</v>
      </c>
      <c r="EX92" s="2" t="s">
        <v>188</v>
      </c>
      <c r="EZ92" s="2" t="s">
        <v>188</v>
      </c>
      <c r="FC92" s="2" t="s">
        <v>216</v>
      </c>
      <c r="FD92" s="2" t="s">
        <v>188</v>
      </c>
      <c r="FH92" s="2" t="s">
        <v>188</v>
      </c>
      <c r="FJ92" s="2" t="s">
        <v>188</v>
      </c>
      <c r="FK92" s="2" t="s">
        <v>203</v>
      </c>
      <c r="FR92" s="2" t="s">
        <v>925</v>
      </c>
      <c r="FT92" s="2" t="s">
        <v>490</v>
      </c>
      <c r="FU92" s="2" t="s">
        <v>233</v>
      </c>
      <c r="FV92" s="2" t="s">
        <v>233</v>
      </c>
      <c r="FW92" s="2" t="s">
        <v>219</v>
      </c>
      <c r="FX92" s="2" t="s">
        <v>219</v>
      </c>
      <c r="FY92" s="2" t="s">
        <v>926</v>
      </c>
      <c r="FZ92" s="4">
        <v>46037.988807870373</v>
      </c>
    </row>
    <row r="93" spans="1:182">
      <c r="A93" s="2" t="s">
        <v>927</v>
      </c>
      <c r="D93" s="4">
        <v>46266.415231481478</v>
      </c>
      <c r="E93" s="2" t="s">
        <v>177</v>
      </c>
      <c r="F93" s="2" t="s">
        <v>293</v>
      </c>
      <c r="G93" s="2" t="s">
        <v>791</v>
      </c>
      <c r="H93" s="2" t="s">
        <v>792</v>
      </c>
      <c r="I93" s="2" t="s">
        <v>928</v>
      </c>
      <c r="J93" s="2">
        <v>368558910</v>
      </c>
      <c r="K93" s="2" t="s">
        <v>928</v>
      </c>
      <c r="L93" s="2" t="s">
        <v>269</v>
      </c>
      <c r="M93" s="2" t="s">
        <v>183</v>
      </c>
      <c r="N93" s="2">
        <v>1988</v>
      </c>
      <c r="O93" s="2" t="s">
        <v>184</v>
      </c>
      <c r="P93" s="2" t="s">
        <v>185</v>
      </c>
      <c r="Q93" s="2" t="s">
        <v>186</v>
      </c>
      <c r="R93" s="2" t="s">
        <v>187</v>
      </c>
      <c r="S93" s="2">
        <v>2013</v>
      </c>
      <c r="T93" s="2" t="s">
        <v>188</v>
      </c>
      <c r="U93" s="2" t="s">
        <v>188</v>
      </c>
      <c r="Y93" s="2">
        <v>360</v>
      </c>
      <c r="Z93" s="2">
        <v>0.83330000000000004</v>
      </c>
      <c r="AA93" s="2">
        <v>300</v>
      </c>
      <c r="AC93" s="2">
        <v>170</v>
      </c>
      <c r="AD93" s="2">
        <v>200</v>
      </c>
      <c r="AE93" s="2">
        <v>30</v>
      </c>
      <c r="AF93" s="2" t="s">
        <v>187</v>
      </c>
      <c r="AG93" s="2" t="s">
        <v>187</v>
      </c>
      <c r="AH93" s="2" t="s">
        <v>187</v>
      </c>
      <c r="AI93" s="2" t="s">
        <v>308</v>
      </c>
      <c r="AJ93" s="2" t="s">
        <v>188</v>
      </c>
      <c r="AK93" s="2" t="s">
        <v>188</v>
      </c>
      <c r="AL93" s="2" t="s">
        <v>188</v>
      </c>
      <c r="AM93" s="2" t="s">
        <v>187</v>
      </c>
      <c r="AN93" s="2" t="s">
        <v>188</v>
      </c>
      <c r="AO93" s="2" t="s">
        <v>188</v>
      </c>
      <c r="AR93" s="2">
        <v>1</v>
      </c>
      <c r="AS93" s="2">
        <v>2</v>
      </c>
      <c r="AT93" s="2">
        <v>2.2000000000000002</v>
      </c>
      <c r="AU93" s="2" t="s">
        <v>238</v>
      </c>
      <c r="AV93" s="2" t="s">
        <v>238</v>
      </c>
      <c r="AW93" s="2" t="s">
        <v>188</v>
      </c>
      <c r="AZ93" s="2" t="s">
        <v>929</v>
      </c>
      <c r="BB93" s="2" t="s">
        <v>260</v>
      </c>
      <c r="BC93" s="2" t="s">
        <v>253</v>
      </c>
      <c r="BD93" s="2" t="s">
        <v>187</v>
      </c>
      <c r="BE93" s="2" t="s">
        <v>188</v>
      </c>
      <c r="BG93" s="2" t="s">
        <v>194</v>
      </c>
      <c r="BH93" s="2" t="s">
        <v>195</v>
      </c>
      <c r="BI93" s="2" t="s">
        <v>196</v>
      </c>
      <c r="BL93" s="2" t="s">
        <v>240</v>
      </c>
      <c r="BM93" s="2" t="s">
        <v>198</v>
      </c>
      <c r="BN93" s="2" t="s">
        <v>199</v>
      </c>
      <c r="BO93" s="2" t="s">
        <v>188</v>
      </c>
      <c r="BP93" s="2" t="s">
        <v>342</v>
      </c>
      <c r="BQ93" s="2" t="s">
        <v>309</v>
      </c>
      <c r="BS93" s="2" t="s">
        <v>187</v>
      </c>
      <c r="BT93" s="2" t="s">
        <v>201</v>
      </c>
      <c r="BV93" s="2" t="s">
        <v>358</v>
      </c>
      <c r="BX93" s="2" t="s">
        <v>187</v>
      </c>
      <c r="BY93" s="2" t="s">
        <v>930</v>
      </c>
      <c r="BZ93" s="2" t="s">
        <v>203</v>
      </c>
      <c r="CE93" s="2">
        <v>2.2000000000000002</v>
      </c>
      <c r="CK93" s="2">
        <v>100</v>
      </c>
      <c r="CO93" s="2">
        <v>100</v>
      </c>
      <c r="CR93" s="2" t="s">
        <v>204</v>
      </c>
      <c r="CT93" s="2" t="s">
        <v>188</v>
      </c>
      <c r="CU93" s="2" t="s">
        <v>281</v>
      </c>
      <c r="CW93" s="2" t="s">
        <v>206</v>
      </c>
      <c r="CY93" s="2" t="s">
        <v>207</v>
      </c>
      <c r="CZ93" s="2" t="s">
        <v>207</v>
      </c>
      <c r="DA93" s="2" t="s">
        <v>300</v>
      </c>
      <c r="DB93" s="2" t="s">
        <v>208</v>
      </c>
      <c r="DC93" s="2" t="s">
        <v>301</v>
      </c>
      <c r="DD93" s="2" t="s">
        <v>301</v>
      </c>
      <c r="DE93" s="2" t="s">
        <v>207</v>
      </c>
      <c r="DF93" s="2" t="s">
        <v>207</v>
      </c>
      <c r="DG93" s="2" t="s">
        <v>207</v>
      </c>
      <c r="DH93" s="2" t="s">
        <v>207</v>
      </c>
      <c r="DI93" s="2" t="s">
        <v>207</v>
      </c>
      <c r="DL93" s="2" t="s">
        <v>187</v>
      </c>
      <c r="DM93" s="2" t="s">
        <v>187</v>
      </c>
      <c r="DN93" s="2" t="s">
        <v>187</v>
      </c>
      <c r="DO93" s="2" t="s">
        <v>187</v>
      </c>
      <c r="DP93" s="2" t="s">
        <v>209</v>
      </c>
      <c r="DQ93" s="2" t="s">
        <v>210</v>
      </c>
      <c r="DS93" s="2" t="s">
        <v>203</v>
      </c>
      <c r="DT93" s="2" t="s">
        <v>209</v>
      </c>
      <c r="DU93" s="2" t="s">
        <v>209</v>
      </c>
      <c r="DV93" s="2" t="s">
        <v>209</v>
      </c>
      <c r="DW93" s="2" t="s">
        <v>209</v>
      </c>
      <c r="DX93" s="2" t="s">
        <v>203</v>
      </c>
      <c r="DY93" s="2" t="s">
        <v>203</v>
      </c>
      <c r="DZ93" s="2" t="s">
        <v>203</v>
      </c>
      <c r="EA93" s="2" t="s">
        <v>209</v>
      </c>
      <c r="EB93" s="2" t="s">
        <v>209</v>
      </c>
      <c r="EC93" s="2" t="s">
        <v>203</v>
      </c>
      <c r="EF93" s="2" t="s">
        <v>211</v>
      </c>
      <c r="EJ93" s="2" t="s">
        <v>238</v>
      </c>
      <c r="EK93" s="2" t="s">
        <v>187</v>
      </c>
      <c r="EL93" s="2" t="s">
        <v>188</v>
      </c>
      <c r="EN93" s="2" t="s">
        <v>214</v>
      </c>
      <c r="EP93" s="2" t="s">
        <v>230</v>
      </c>
      <c r="ER93" s="2" t="s">
        <v>188</v>
      </c>
      <c r="ET93" s="2" t="s">
        <v>188</v>
      </c>
      <c r="EV93" s="2" t="s">
        <v>187</v>
      </c>
      <c r="EW93" s="2" t="s">
        <v>189</v>
      </c>
      <c r="EX93" s="2" t="s">
        <v>187</v>
      </c>
      <c r="EY93" s="2" t="s">
        <v>189</v>
      </c>
      <c r="EZ93" s="2" t="s">
        <v>188</v>
      </c>
      <c r="FC93" s="2" t="s">
        <v>216</v>
      </c>
      <c r="FD93" s="2" t="s">
        <v>188</v>
      </c>
      <c r="FH93" s="2" t="s">
        <v>188</v>
      </c>
      <c r="FJ93" s="2" t="s">
        <v>187</v>
      </c>
      <c r="FK93" s="2" t="s">
        <v>203</v>
      </c>
      <c r="FN93" s="2" t="s">
        <v>354</v>
      </c>
      <c r="FT93" s="2" t="s">
        <v>219</v>
      </c>
      <c r="FU93" s="2" t="s">
        <v>233</v>
      </c>
      <c r="FV93" s="2" t="s">
        <v>233</v>
      </c>
      <c r="FW93" s="2" t="s">
        <v>233</v>
      </c>
      <c r="FZ93" s="4">
        <v>46038.441203703704</v>
      </c>
    </row>
    <row r="94" spans="1:182">
      <c r="A94" s="2" t="s">
        <v>931</v>
      </c>
      <c r="D94" s="4">
        <v>46266.439074074071</v>
      </c>
      <c r="E94" s="2" t="s">
        <v>932</v>
      </c>
      <c r="F94" s="2" t="s">
        <v>425</v>
      </c>
      <c r="G94" s="2" t="s">
        <v>791</v>
      </c>
      <c r="H94" s="2" t="s">
        <v>792</v>
      </c>
      <c r="I94" s="2" t="s">
        <v>933</v>
      </c>
      <c r="J94" s="2">
        <v>354919978</v>
      </c>
      <c r="K94" s="2" t="s">
        <v>934</v>
      </c>
      <c r="L94" s="2" t="s">
        <v>182</v>
      </c>
      <c r="M94" s="2" t="s">
        <v>223</v>
      </c>
      <c r="N94" s="2">
        <v>1978</v>
      </c>
      <c r="O94" s="2" t="s">
        <v>184</v>
      </c>
      <c r="P94" s="2" t="s">
        <v>225</v>
      </c>
      <c r="Q94" s="2" t="s">
        <v>270</v>
      </c>
      <c r="R94" s="2" t="s">
        <v>188</v>
      </c>
      <c r="S94" s="2">
        <v>28</v>
      </c>
      <c r="T94" s="2" t="s">
        <v>188</v>
      </c>
      <c r="U94" s="2" t="s">
        <v>188</v>
      </c>
      <c r="Y94" s="2">
        <v>490</v>
      </c>
      <c r="Z94" s="2">
        <v>0.93879999999999997</v>
      </c>
      <c r="AA94" s="2">
        <v>460</v>
      </c>
      <c r="AB94" s="2">
        <v>440</v>
      </c>
      <c r="AC94" s="2">
        <v>430</v>
      </c>
      <c r="AD94" s="2">
        <v>500</v>
      </c>
      <c r="AE94" s="2">
        <v>70</v>
      </c>
      <c r="AF94" s="2" t="s">
        <v>187</v>
      </c>
      <c r="AG94" s="2" t="s">
        <v>188</v>
      </c>
      <c r="AH94" s="2" t="s">
        <v>188</v>
      </c>
      <c r="AJ94" s="2" t="s">
        <v>188</v>
      </c>
      <c r="AK94" s="2" t="s">
        <v>187</v>
      </c>
      <c r="AL94" s="2" t="s">
        <v>188</v>
      </c>
      <c r="AM94" s="2" t="s">
        <v>187</v>
      </c>
      <c r="AN94" s="2" t="s">
        <v>188</v>
      </c>
      <c r="AO94" s="2" t="s">
        <v>188</v>
      </c>
      <c r="AR94" s="2">
        <v>1.2</v>
      </c>
      <c r="AS94" s="2">
        <v>5</v>
      </c>
      <c r="AT94" s="2">
        <v>5</v>
      </c>
      <c r="AU94" s="2" t="s">
        <v>238</v>
      </c>
      <c r="AV94" s="2" t="s">
        <v>238</v>
      </c>
      <c r="AW94" s="2" t="s">
        <v>188</v>
      </c>
      <c r="AZ94" s="2" t="s">
        <v>380</v>
      </c>
      <c r="BB94" s="2" t="s">
        <v>260</v>
      </c>
      <c r="BC94" s="2" t="s">
        <v>296</v>
      </c>
      <c r="BD94" s="2" t="s">
        <v>187</v>
      </c>
      <c r="BE94" s="2" t="s">
        <v>187</v>
      </c>
      <c r="BF94" s="2" t="s">
        <v>193</v>
      </c>
      <c r="BG94" s="2" t="s">
        <v>194</v>
      </c>
      <c r="BH94" s="2" t="s">
        <v>280</v>
      </c>
      <c r="BI94" s="2" t="s">
        <v>196</v>
      </c>
      <c r="BL94" s="2" t="s">
        <v>197</v>
      </c>
      <c r="BM94" s="2" t="s">
        <v>198</v>
      </c>
      <c r="BN94" s="2" t="s">
        <v>199</v>
      </c>
      <c r="BO94" s="2" t="s">
        <v>188</v>
      </c>
      <c r="BQ94" s="2" t="s">
        <v>200</v>
      </c>
      <c r="BS94" s="2" t="s">
        <v>187</v>
      </c>
      <c r="BT94" s="2" t="s">
        <v>69</v>
      </c>
      <c r="BU94" s="2" t="s">
        <v>544</v>
      </c>
      <c r="BV94" s="2" t="s">
        <v>242</v>
      </c>
      <c r="BX94" s="2" t="s">
        <v>188</v>
      </c>
      <c r="BZ94" s="2" t="s">
        <v>188</v>
      </c>
      <c r="CE94" s="2">
        <v>5</v>
      </c>
      <c r="CF94" s="2">
        <v>500</v>
      </c>
      <c r="CK94" s="2">
        <v>100</v>
      </c>
      <c r="CO94" s="2">
        <v>100</v>
      </c>
      <c r="CR94" s="2" t="s">
        <v>343</v>
      </c>
      <c r="CT94" s="2" t="s">
        <v>188</v>
      </c>
      <c r="CU94" s="2" t="s">
        <v>205</v>
      </c>
      <c r="CW94" s="2" t="s">
        <v>206</v>
      </c>
      <c r="CY94" s="2" t="s">
        <v>207</v>
      </c>
      <c r="CZ94" s="2" t="s">
        <v>207</v>
      </c>
      <c r="DA94" s="2" t="s">
        <v>300</v>
      </c>
      <c r="DB94" s="2" t="s">
        <v>300</v>
      </c>
      <c r="DC94" s="2" t="s">
        <v>300</v>
      </c>
      <c r="DD94" s="2" t="s">
        <v>430</v>
      </c>
      <c r="DE94" s="2" t="s">
        <v>300</v>
      </c>
      <c r="DF94" s="2" t="s">
        <v>300</v>
      </c>
      <c r="DG94" s="2" t="s">
        <v>300</v>
      </c>
      <c r="DH94" s="2" t="s">
        <v>300</v>
      </c>
      <c r="DI94" s="2" t="s">
        <v>300</v>
      </c>
      <c r="DL94" s="2" t="s">
        <v>188</v>
      </c>
      <c r="DM94" s="2" t="s">
        <v>188</v>
      </c>
      <c r="DP94" s="2" t="s">
        <v>188</v>
      </c>
      <c r="DT94" s="2" t="s">
        <v>203</v>
      </c>
      <c r="DU94" s="2" t="s">
        <v>203</v>
      </c>
      <c r="DV94" s="2" t="s">
        <v>203</v>
      </c>
      <c r="DW94" s="2" t="s">
        <v>203</v>
      </c>
      <c r="DX94" s="2" t="s">
        <v>203</v>
      </c>
      <c r="DY94" s="2" t="s">
        <v>203</v>
      </c>
      <c r="DZ94" s="2" t="s">
        <v>203</v>
      </c>
      <c r="EA94" s="2" t="s">
        <v>203</v>
      </c>
      <c r="EB94" s="2" t="s">
        <v>203</v>
      </c>
      <c r="EC94" s="2" t="s">
        <v>203</v>
      </c>
      <c r="EF94" s="2" t="s">
        <v>302</v>
      </c>
      <c r="EG94" s="2" t="s">
        <v>935</v>
      </c>
      <c r="EJ94" s="2" t="s">
        <v>203</v>
      </c>
      <c r="EK94" s="2" t="s">
        <v>188</v>
      </c>
      <c r="EL94" s="2" t="s">
        <v>188</v>
      </c>
      <c r="EN94" s="2" t="s">
        <v>255</v>
      </c>
      <c r="EP94" s="2" t="s">
        <v>230</v>
      </c>
      <c r="ER94" s="2" t="s">
        <v>188</v>
      </c>
      <c r="ET94" s="2" t="s">
        <v>188</v>
      </c>
      <c r="EV94" s="2" t="s">
        <v>188</v>
      </c>
      <c r="EX94" s="2" t="s">
        <v>188</v>
      </c>
      <c r="EZ94" s="2" t="s">
        <v>188</v>
      </c>
      <c r="FC94" s="2" t="s">
        <v>263</v>
      </c>
      <c r="FD94" s="2" t="s">
        <v>188</v>
      </c>
      <c r="FH94" s="2" t="s">
        <v>188</v>
      </c>
      <c r="FJ94" s="2" t="s">
        <v>188</v>
      </c>
      <c r="FK94" s="2" t="s">
        <v>188</v>
      </c>
      <c r="FR94" s="2" t="s">
        <v>545</v>
      </c>
      <c r="FT94" s="2" t="s">
        <v>219</v>
      </c>
      <c r="FU94" s="2" t="s">
        <v>219</v>
      </c>
      <c r="FV94" s="2" t="s">
        <v>219</v>
      </c>
      <c r="FW94" s="2" t="s">
        <v>219</v>
      </c>
      <c r="FZ94" s="4">
        <v>46040.909513888888</v>
      </c>
    </row>
    <row r="95" spans="1:182">
      <c r="A95" s="2" t="s">
        <v>936</v>
      </c>
      <c r="D95" s="4">
        <v>46266.430983796294</v>
      </c>
      <c r="E95" s="2" t="s">
        <v>937</v>
      </c>
      <c r="F95" s="2" t="s">
        <v>398</v>
      </c>
      <c r="G95" s="2" t="s">
        <v>791</v>
      </c>
      <c r="H95" s="2" t="s">
        <v>822</v>
      </c>
      <c r="I95" s="2" t="s">
        <v>938</v>
      </c>
      <c r="J95" s="2">
        <v>334295837</v>
      </c>
      <c r="K95" s="2" t="s">
        <v>939</v>
      </c>
      <c r="L95" s="2" t="s">
        <v>182</v>
      </c>
      <c r="M95" s="2" t="s">
        <v>223</v>
      </c>
      <c r="N95" s="2">
        <v>2000</v>
      </c>
      <c r="O95" s="2" t="s">
        <v>184</v>
      </c>
      <c r="P95" s="2" t="s">
        <v>225</v>
      </c>
      <c r="Q95" s="2" t="s">
        <v>226</v>
      </c>
      <c r="R95" s="2" t="s">
        <v>188</v>
      </c>
      <c r="S95" s="2">
        <v>18</v>
      </c>
      <c r="T95" s="2" t="s">
        <v>188</v>
      </c>
      <c r="U95" s="2" t="s">
        <v>188</v>
      </c>
      <c r="Y95" s="2">
        <v>345</v>
      </c>
      <c r="Z95" s="2">
        <v>0.98550000000000004</v>
      </c>
      <c r="AA95" s="2">
        <v>340</v>
      </c>
      <c r="AB95" s="2">
        <v>340</v>
      </c>
      <c r="AC95" s="2">
        <v>340</v>
      </c>
      <c r="AD95" s="2">
        <v>390</v>
      </c>
      <c r="AE95" s="2">
        <v>50</v>
      </c>
      <c r="AF95" s="2" t="s">
        <v>187</v>
      </c>
      <c r="AG95" s="2" t="s">
        <v>187</v>
      </c>
      <c r="AH95" s="2" t="s">
        <v>188</v>
      </c>
      <c r="AJ95" s="2" t="s">
        <v>188</v>
      </c>
      <c r="AK95" s="2" t="s">
        <v>188</v>
      </c>
      <c r="AL95" s="2" t="s">
        <v>188</v>
      </c>
      <c r="AM95" s="2" t="s">
        <v>187</v>
      </c>
      <c r="AN95" s="2" t="s">
        <v>188</v>
      </c>
      <c r="AO95" s="2" t="s">
        <v>188</v>
      </c>
      <c r="AR95" s="2">
        <v>0.9</v>
      </c>
      <c r="AS95" s="2">
        <v>2</v>
      </c>
      <c r="AT95" s="2">
        <v>4</v>
      </c>
      <c r="AU95" s="2" t="s">
        <v>238</v>
      </c>
      <c r="AV95" s="2" t="s">
        <v>238</v>
      </c>
      <c r="AW95" s="2" t="s">
        <v>188</v>
      </c>
      <c r="BC95" s="2" t="s">
        <v>192</v>
      </c>
      <c r="BD95" s="2" t="s">
        <v>188</v>
      </c>
      <c r="BE95" s="2" t="s">
        <v>188</v>
      </c>
      <c r="BL95" s="2" t="s">
        <v>240</v>
      </c>
      <c r="BO95" s="2" t="s">
        <v>188</v>
      </c>
      <c r="BQ95" s="2" t="s">
        <v>227</v>
      </c>
      <c r="BS95" s="2" t="s">
        <v>187</v>
      </c>
      <c r="BT95" s="2" t="s">
        <v>261</v>
      </c>
      <c r="BV95" s="2" t="s">
        <v>502</v>
      </c>
      <c r="BX95" s="2" t="s">
        <v>188</v>
      </c>
      <c r="BY95" s="2" t="s">
        <v>940</v>
      </c>
      <c r="BZ95" s="2" t="s">
        <v>203</v>
      </c>
      <c r="CE95" s="2">
        <v>4</v>
      </c>
      <c r="CF95" s="2">
        <v>390</v>
      </c>
      <c r="CK95" s="2">
        <v>100</v>
      </c>
      <c r="CR95" s="2" t="s">
        <v>204</v>
      </c>
      <c r="CT95" s="2" t="s">
        <v>188</v>
      </c>
      <c r="CU95" s="2" t="s">
        <v>205</v>
      </c>
      <c r="CW95" s="2" t="s">
        <v>206</v>
      </c>
      <c r="CY95" s="2" t="s">
        <v>300</v>
      </c>
      <c r="CZ95" s="2" t="s">
        <v>300</v>
      </c>
      <c r="DA95" s="2" t="s">
        <v>300</v>
      </c>
      <c r="DB95" s="2" t="s">
        <v>300</v>
      </c>
      <c r="DC95" s="2" t="s">
        <v>300</v>
      </c>
      <c r="DD95" s="2" t="s">
        <v>300</v>
      </c>
      <c r="DE95" s="2" t="s">
        <v>300</v>
      </c>
      <c r="DF95" s="2" t="s">
        <v>300</v>
      </c>
      <c r="DG95" s="2" t="s">
        <v>300</v>
      </c>
      <c r="DH95" s="2" t="s">
        <v>300</v>
      </c>
      <c r="DI95" s="2" t="s">
        <v>300</v>
      </c>
      <c r="DL95" s="2" t="s">
        <v>188</v>
      </c>
      <c r="DM95" s="2" t="s">
        <v>188</v>
      </c>
      <c r="DP95" s="2" t="s">
        <v>203</v>
      </c>
      <c r="DT95" s="2" t="s">
        <v>203</v>
      </c>
      <c r="DU95" s="2" t="s">
        <v>203</v>
      </c>
      <c r="DV95" s="2" t="s">
        <v>203</v>
      </c>
      <c r="DW95" s="2" t="s">
        <v>203</v>
      </c>
      <c r="DX95" s="2" t="s">
        <v>203</v>
      </c>
      <c r="DY95" s="2" t="s">
        <v>203</v>
      </c>
      <c r="DZ95" s="2" t="s">
        <v>203</v>
      </c>
      <c r="EA95" s="2" t="s">
        <v>203</v>
      </c>
      <c r="EB95" s="2" t="s">
        <v>203</v>
      </c>
      <c r="EC95" s="2" t="s">
        <v>203</v>
      </c>
      <c r="ED95" s="2" t="s">
        <v>203</v>
      </c>
      <c r="EF95" s="2" t="s">
        <v>302</v>
      </c>
      <c r="EG95" s="2" t="s">
        <v>941</v>
      </c>
      <c r="EJ95" s="2" t="s">
        <v>238</v>
      </c>
      <c r="EK95" s="2" t="s">
        <v>188</v>
      </c>
      <c r="EL95" s="2" t="s">
        <v>188</v>
      </c>
      <c r="EN95" s="2" t="s">
        <v>255</v>
      </c>
      <c r="EP95" s="2" t="s">
        <v>230</v>
      </c>
      <c r="ER95" s="2" t="s">
        <v>188</v>
      </c>
      <c r="ET95" s="2" t="s">
        <v>188</v>
      </c>
      <c r="EV95" s="2" t="s">
        <v>188</v>
      </c>
      <c r="EX95" s="2" t="s">
        <v>188</v>
      </c>
      <c r="EZ95" s="2" t="s">
        <v>188</v>
      </c>
      <c r="FC95" s="2" t="s">
        <v>216</v>
      </c>
      <c r="FD95" s="2" t="s">
        <v>188</v>
      </c>
      <c r="FH95" s="2" t="s">
        <v>188</v>
      </c>
      <c r="FJ95" s="2" t="s">
        <v>188</v>
      </c>
      <c r="FK95" s="2" t="s">
        <v>188</v>
      </c>
      <c r="FR95" s="2" t="s">
        <v>203</v>
      </c>
      <c r="FT95" s="2" t="s">
        <v>233</v>
      </c>
      <c r="FU95" s="2" t="s">
        <v>233</v>
      </c>
      <c r="FV95" s="2" t="s">
        <v>233</v>
      </c>
      <c r="FW95" s="2" t="s">
        <v>233</v>
      </c>
      <c r="FX95" s="2" t="s">
        <v>233</v>
      </c>
      <c r="FY95" s="2" t="s">
        <v>942</v>
      </c>
      <c r="FZ95" s="4">
        <v>46038.023946759262</v>
      </c>
    </row>
    <row r="96" spans="1:182">
      <c r="A96" s="2" t="s">
        <v>943</v>
      </c>
      <c r="D96" s="4">
        <v>46266.448553240742</v>
      </c>
      <c r="E96" s="2" t="s">
        <v>177</v>
      </c>
      <c r="F96" s="2" t="s">
        <v>178</v>
      </c>
      <c r="G96" s="2" t="s">
        <v>831</v>
      </c>
      <c r="H96" s="2" t="s">
        <v>849</v>
      </c>
      <c r="I96" s="2" t="s">
        <v>944</v>
      </c>
      <c r="J96" s="2">
        <v>353008751</v>
      </c>
      <c r="K96" s="2" t="s">
        <v>944</v>
      </c>
      <c r="L96" s="2" t="s">
        <v>269</v>
      </c>
      <c r="M96" s="2" t="s">
        <v>183</v>
      </c>
      <c r="N96" s="2">
        <v>1988</v>
      </c>
      <c r="O96" s="2" t="s">
        <v>184</v>
      </c>
      <c r="P96" s="2" t="s">
        <v>185</v>
      </c>
      <c r="Q96" s="2" t="s">
        <v>603</v>
      </c>
      <c r="R96" s="2" t="s">
        <v>188</v>
      </c>
      <c r="S96" s="2">
        <v>19</v>
      </c>
      <c r="T96" s="2" t="s">
        <v>188</v>
      </c>
      <c r="U96" s="2" t="s">
        <v>188</v>
      </c>
      <c r="Y96" s="2">
        <v>53</v>
      </c>
      <c r="Z96" s="2">
        <v>0.90569999999999995</v>
      </c>
      <c r="AA96" s="2">
        <v>48</v>
      </c>
      <c r="AB96" s="2">
        <v>48</v>
      </c>
      <c r="AC96" s="2">
        <v>48</v>
      </c>
      <c r="AD96" s="2">
        <v>50</v>
      </c>
      <c r="AE96" s="2">
        <v>2</v>
      </c>
      <c r="AF96" s="2" t="s">
        <v>187</v>
      </c>
      <c r="AG96" s="2" t="s">
        <v>188</v>
      </c>
      <c r="AH96" s="2" t="s">
        <v>188</v>
      </c>
      <c r="AJ96" s="2" t="s">
        <v>188</v>
      </c>
      <c r="AK96" s="2" t="s">
        <v>188</v>
      </c>
      <c r="AL96" s="2" t="s">
        <v>188</v>
      </c>
      <c r="AM96" s="2" t="s">
        <v>187</v>
      </c>
      <c r="AN96" s="2" t="s">
        <v>188</v>
      </c>
      <c r="AO96" s="2" t="s">
        <v>188</v>
      </c>
      <c r="AR96" s="2">
        <v>0.2</v>
      </c>
      <c r="AS96" s="2">
        <v>1</v>
      </c>
      <c r="AT96" s="2">
        <v>0.5</v>
      </c>
      <c r="AU96" s="2" t="s">
        <v>203</v>
      </c>
      <c r="AV96" s="2" t="s">
        <v>203</v>
      </c>
      <c r="AW96" s="2" t="s">
        <v>188</v>
      </c>
      <c r="BL96" s="2" t="s">
        <v>240</v>
      </c>
      <c r="BO96" s="2" t="s">
        <v>188</v>
      </c>
      <c r="BQ96" s="2" t="s">
        <v>200</v>
      </c>
      <c r="BS96" s="2" t="s">
        <v>188</v>
      </c>
      <c r="BT96" s="2" t="s">
        <v>261</v>
      </c>
      <c r="BV96" s="2" t="s">
        <v>458</v>
      </c>
      <c r="BX96" s="2" t="s">
        <v>188</v>
      </c>
      <c r="BZ96" s="2" t="s">
        <v>203</v>
      </c>
      <c r="CE96" s="2">
        <v>0.5</v>
      </c>
      <c r="CF96" s="2">
        <v>50</v>
      </c>
      <c r="CK96" s="2">
        <v>100</v>
      </c>
      <c r="CO96" s="2">
        <v>100</v>
      </c>
      <c r="CR96" s="2" t="s">
        <v>204</v>
      </c>
      <c r="CT96" s="2" t="s">
        <v>188</v>
      </c>
      <c r="CU96" s="2" t="s">
        <v>205</v>
      </c>
      <c r="CW96" s="2" t="s">
        <v>206</v>
      </c>
      <c r="CY96" s="2" t="s">
        <v>208</v>
      </c>
      <c r="CZ96" s="2" t="s">
        <v>208</v>
      </c>
      <c r="DL96" s="2" t="s">
        <v>188</v>
      </c>
      <c r="DM96" s="2" t="s">
        <v>188</v>
      </c>
      <c r="DP96" s="2" t="s">
        <v>203</v>
      </c>
      <c r="DT96" s="2" t="s">
        <v>203</v>
      </c>
      <c r="DU96" s="2" t="s">
        <v>203</v>
      </c>
      <c r="DV96" s="2" t="s">
        <v>203</v>
      </c>
      <c r="DW96" s="2" t="s">
        <v>203</v>
      </c>
      <c r="DX96" s="2" t="s">
        <v>203</v>
      </c>
      <c r="DY96" s="2" t="s">
        <v>203</v>
      </c>
      <c r="DZ96" s="2" t="s">
        <v>203</v>
      </c>
      <c r="EA96" s="2" t="s">
        <v>203</v>
      </c>
      <c r="EB96" s="2" t="s">
        <v>203</v>
      </c>
      <c r="EJ96" s="2" t="s">
        <v>203</v>
      </c>
      <c r="EK96" s="2" t="s">
        <v>188</v>
      </c>
      <c r="EL96" s="2" t="s">
        <v>188</v>
      </c>
      <c r="ER96" s="2" t="s">
        <v>188</v>
      </c>
      <c r="ET96" s="2" t="s">
        <v>188</v>
      </c>
      <c r="EV96" s="2" t="s">
        <v>188</v>
      </c>
      <c r="EX96" s="2" t="s">
        <v>188</v>
      </c>
      <c r="FC96" s="2" t="s">
        <v>263</v>
      </c>
      <c r="FD96" s="2" t="s">
        <v>188</v>
      </c>
      <c r="FH96" s="2" t="s">
        <v>188</v>
      </c>
      <c r="FJ96" s="2" t="s">
        <v>187</v>
      </c>
      <c r="FK96" s="2" t="s">
        <v>188</v>
      </c>
      <c r="FT96" s="2" t="s">
        <v>233</v>
      </c>
      <c r="FV96" s="2" t="s">
        <v>233</v>
      </c>
      <c r="FZ96" s="4">
        <v>46040.397847222222</v>
      </c>
    </row>
    <row r="97" spans="1:182">
      <c r="A97" s="2" t="s">
        <v>945</v>
      </c>
      <c r="D97" s="4">
        <v>46266.451608796298</v>
      </c>
      <c r="E97" s="2" t="s">
        <v>946</v>
      </c>
      <c r="F97" s="2" t="s">
        <v>590</v>
      </c>
      <c r="G97" s="2" t="s">
        <v>831</v>
      </c>
      <c r="H97" s="2" t="s">
        <v>875</v>
      </c>
      <c r="I97" s="2" t="s">
        <v>947</v>
      </c>
      <c r="J97" s="2">
        <v>388044583</v>
      </c>
      <c r="K97" s="2" t="s">
        <v>947</v>
      </c>
      <c r="L97" s="2" t="s">
        <v>182</v>
      </c>
      <c r="M97" s="2" t="s">
        <v>183</v>
      </c>
      <c r="N97" s="2">
        <v>1996</v>
      </c>
      <c r="O97" s="2" t="s">
        <v>184</v>
      </c>
      <c r="P97" s="2" t="s">
        <v>185</v>
      </c>
      <c r="Q97" s="2" t="s">
        <v>186</v>
      </c>
      <c r="R97" s="2" t="s">
        <v>188</v>
      </c>
      <c r="S97" s="2">
        <v>5</v>
      </c>
      <c r="T97" s="2" t="s">
        <v>188</v>
      </c>
      <c r="U97" s="2" t="s">
        <v>188</v>
      </c>
      <c r="Y97" s="2">
        <v>80</v>
      </c>
      <c r="Z97" s="2">
        <v>1</v>
      </c>
      <c r="AA97" s="2">
        <v>80</v>
      </c>
      <c r="AB97" s="2">
        <v>80</v>
      </c>
      <c r="AC97" s="2">
        <v>80</v>
      </c>
      <c r="AD97" s="2">
        <v>120</v>
      </c>
      <c r="AE97" s="2">
        <v>40</v>
      </c>
      <c r="AF97" s="2" t="s">
        <v>188</v>
      </c>
      <c r="AG97" s="2" t="s">
        <v>188</v>
      </c>
      <c r="AH97" s="2" t="s">
        <v>188</v>
      </c>
      <c r="AJ97" s="2" t="s">
        <v>188</v>
      </c>
      <c r="AK97" s="2" t="s">
        <v>188</v>
      </c>
      <c r="AL97" s="2" t="s">
        <v>188</v>
      </c>
      <c r="AM97" s="2" t="s">
        <v>188</v>
      </c>
      <c r="AN97" s="2" t="s">
        <v>188</v>
      </c>
      <c r="AO97" s="2" t="s">
        <v>188</v>
      </c>
      <c r="AR97" s="2">
        <v>1.1000000000000001</v>
      </c>
      <c r="AS97" s="2">
        <v>1</v>
      </c>
      <c r="AT97" s="2">
        <v>1.2</v>
      </c>
      <c r="AU97" s="2" t="s">
        <v>203</v>
      </c>
      <c r="AV97" s="2" t="s">
        <v>238</v>
      </c>
      <c r="AW97" s="2" t="s">
        <v>188</v>
      </c>
      <c r="AZ97" s="2" t="s">
        <v>476</v>
      </c>
      <c r="BB97" s="2" t="s">
        <v>260</v>
      </c>
      <c r="BC97" s="2" t="s">
        <v>253</v>
      </c>
      <c r="BD97" s="2" t="s">
        <v>188</v>
      </c>
      <c r="BE97" s="2" t="s">
        <v>187</v>
      </c>
      <c r="BF97" s="2" t="s">
        <v>193</v>
      </c>
      <c r="BG97" s="2" t="s">
        <v>279</v>
      </c>
      <c r="BH97" s="2" t="s">
        <v>195</v>
      </c>
      <c r="BI97" s="2" t="s">
        <v>196</v>
      </c>
      <c r="BL97" s="2" t="s">
        <v>197</v>
      </c>
      <c r="BM97" s="2" t="s">
        <v>507</v>
      </c>
      <c r="BN97" s="2" t="s">
        <v>199</v>
      </c>
      <c r="BO97" s="2" t="s">
        <v>341</v>
      </c>
      <c r="BP97" s="2" t="s">
        <v>948</v>
      </c>
      <c r="BS97" s="2" t="s">
        <v>187</v>
      </c>
      <c r="BT97" s="2" t="s">
        <v>521</v>
      </c>
      <c r="BV97" s="2" t="s">
        <v>228</v>
      </c>
      <c r="BX97" s="2" t="s">
        <v>188</v>
      </c>
      <c r="BZ97" s="2" t="s">
        <v>188</v>
      </c>
      <c r="CE97" s="2">
        <v>1.2</v>
      </c>
      <c r="CF97" s="2">
        <v>120</v>
      </c>
      <c r="CK97" s="2">
        <v>100</v>
      </c>
      <c r="CO97" s="2">
        <v>100</v>
      </c>
      <c r="CR97" s="2" t="s">
        <v>204</v>
      </c>
      <c r="CT97" s="2" t="s">
        <v>187</v>
      </c>
      <c r="CU97" s="2" t="s">
        <v>205</v>
      </c>
      <c r="CW97" s="2" t="s">
        <v>206</v>
      </c>
      <c r="CY97" s="2" t="s">
        <v>207</v>
      </c>
      <c r="CZ97" s="2" t="s">
        <v>430</v>
      </c>
      <c r="DA97" s="2" t="s">
        <v>300</v>
      </c>
      <c r="DB97" s="2" t="s">
        <v>430</v>
      </c>
      <c r="DC97" s="2" t="s">
        <v>430</v>
      </c>
      <c r="DD97" s="2" t="s">
        <v>430</v>
      </c>
      <c r="DE97" s="2" t="s">
        <v>300</v>
      </c>
      <c r="DF97" s="2" t="s">
        <v>430</v>
      </c>
      <c r="DG97" s="2" t="s">
        <v>430</v>
      </c>
      <c r="DH97" s="2" t="s">
        <v>430</v>
      </c>
      <c r="DI97" s="2" t="s">
        <v>430</v>
      </c>
      <c r="DL97" s="2" t="s">
        <v>188</v>
      </c>
      <c r="DM97" s="2" t="s">
        <v>188</v>
      </c>
      <c r="DP97" s="2" t="s">
        <v>188</v>
      </c>
      <c r="DT97" s="2" t="s">
        <v>209</v>
      </c>
      <c r="DU97" s="2" t="s">
        <v>209</v>
      </c>
      <c r="DV97" s="2" t="s">
        <v>209</v>
      </c>
      <c r="DW97" s="2" t="s">
        <v>203</v>
      </c>
      <c r="DX97" s="2" t="s">
        <v>209</v>
      </c>
      <c r="DY97" s="2" t="s">
        <v>203</v>
      </c>
      <c r="DZ97" s="2" t="s">
        <v>203</v>
      </c>
      <c r="EA97" s="2" t="s">
        <v>203</v>
      </c>
      <c r="EB97" s="2" t="s">
        <v>203</v>
      </c>
      <c r="EC97" s="2" t="s">
        <v>188</v>
      </c>
      <c r="EF97" s="2" t="s">
        <v>189</v>
      </c>
      <c r="EG97" s="2" t="s">
        <v>949</v>
      </c>
      <c r="EJ97" s="2" t="s">
        <v>189</v>
      </c>
      <c r="EK97" s="2" t="s">
        <v>188</v>
      </c>
      <c r="EL97" s="2" t="s">
        <v>188</v>
      </c>
      <c r="EN97" s="2" t="s">
        <v>255</v>
      </c>
      <c r="EP97" s="2" t="s">
        <v>230</v>
      </c>
      <c r="ER97" s="2" t="s">
        <v>188</v>
      </c>
      <c r="ET97" s="2" t="s">
        <v>188</v>
      </c>
      <c r="EV97" s="2" t="s">
        <v>188</v>
      </c>
      <c r="EX97" s="2" t="s">
        <v>188</v>
      </c>
      <c r="EZ97" s="2" t="s">
        <v>188</v>
      </c>
      <c r="FC97" s="2" t="s">
        <v>263</v>
      </c>
      <c r="FD97" s="2" t="s">
        <v>188</v>
      </c>
      <c r="FH97" s="2" t="s">
        <v>188</v>
      </c>
      <c r="FJ97" s="2" t="s">
        <v>188</v>
      </c>
      <c r="FK97" s="2" t="s">
        <v>203</v>
      </c>
      <c r="FN97" s="2" t="s">
        <v>950</v>
      </c>
      <c r="FR97" s="2" t="s">
        <v>951</v>
      </c>
      <c r="FT97" s="2" t="s">
        <v>219</v>
      </c>
      <c r="FU97" s="2" t="s">
        <v>233</v>
      </c>
      <c r="FV97" s="2" t="s">
        <v>219</v>
      </c>
      <c r="FW97" s="2" t="s">
        <v>233</v>
      </c>
      <c r="FZ97" s="4">
        <v>46039.679756944446</v>
      </c>
    </row>
    <row r="98" spans="1:182">
      <c r="A98" s="2" t="s">
        <v>952</v>
      </c>
      <c r="D98" s="4">
        <v>46266.449618055558</v>
      </c>
      <c r="E98" s="2" t="s">
        <v>177</v>
      </c>
      <c r="F98" s="2" t="s">
        <v>178</v>
      </c>
      <c r="G98" s="2" t="s">
        <v>831</v>
      </c>
      <c r="H98" s="2" t="s">
        <v>849</v>
      </c>
      <c r="I98" s="2" t="s">
        <v>953</v>
      </c>
      <c r="J98" s="2">
        <v>345030233</v>
      </c>
      <c r="K98" s="2" t="s">
        <v>953</v>
      </c>
      <c r="L98" s="2" t="s">
        <v>269</v>
      </c>
      <c r="M98" s="2" t="s">
        <v>183</v>
      </c>
      <c r="N98" s="2">
        <v>1972</v>
      </c>
      <c r="O98" s="2" t="s">
        <v>834</v>
      </c>
      <c r="P98" s="2" t="s">
        <v>185</v>
      </c>
      <c r="Q98" s="2" t="s">
        <v>270</v>
      </c>
      <c r="R98" s="2" t="s">
        <v>188</v>
      </c>
      <c r="S98" s="2">
        <v>20</v>
      </c>
      <c r="T98" s="2" t="s">
        <v>188</v>
      </c>
      <c r="U98" s="2" t="s">
        <v>187</v>
      </c>
      <c r="Y98" s="2">
        <v>45</v>
      </c>
      <c r="Z98" s="2">
        <v>1</v>
      </c>
      <c r="AA98" s="2">
        <v>45</v>
      </c>
      <c r="AB98" s="2">
        <v>45</v>
      </c>
      <c r="AC98" s="2">
        <v>45</v>
      </c>
      <c r="AD98" s="2">
        <v>70</v>
      </c>
      <c r="AE98" s="2">
        <v>25</v>
      </c>
      <c r="AF98" s="2" t="s">
        <v>187</v>
      </c>
      <c r="AG98" s="2" t="s">
        <v>188</v>
      </c>
      <c r="AH98" s="2" t="s">
        <v>188</v>
      </c>
      <c r="AJ98" s="2" t="s">
        <v>188</v>
      </c>
      <c r="AK98" s="2" t="s">
        <v>188</v>
      </c>
      <c r="AL98" s="2" t="s">
        <v>188</v>
      </c>
      <c r="AM98" s="2" t="s">
        <v>188</v>
      </c>
      <c r="AN98" s="2" t="s">
        <v>188</v>
      </c>
      <c r="AO98" s="2" t="s">
        <v>188</v>
      </c>
      <c r="AR98" s="2">
        <v>0.6</v>
      </c>
      <c r="AS98" s="2">
        <v>4</v>
      </c>
      <c r="AT98" s="2">
        <v>0.7</v>
      </c>
      <c r="AU98" s="2" t="s">
        <v>238</v>
      </c>
      <c r="AV98" s="2" t="s">
        <v>238</v>
      </c>
      <c r="AW98" s="2" t="s">
        <v>188</v>
      </c>
      <c r="AZ98" s="2" t="s">
        <v>190</v>
      </c>
      <c r="BB98" s="2" t="s">
        <v>260</v>
      </c>
      <c r="BC98" s="2" t="s">
        <v>192</v>
      </c>
      <c r="BD98" s="2" t="s">
        <v>187</v>
      </c>
      <c r="BE98" s="2" t="s">
        <v>187</v>
      </c>
      <c r="BF98" s="2" t="s">
        <v>193</v>
      </c>
      <c r="BG98" s="2" t="s">
        <v>194</v>
      </c>
      <c r="BH98" s="2" t="s">
        <v>195</v>
      </c>
      <c r="BI98" s="2" t="s">
        <v>196</v>
      </c>
      <c r="BL98" s="2" t="s">
        <v>240</v>
      </c>
      <c r="BO98" s="2" t="s">
        <v>188</v>
      </c>
      <c r="BQ98" s="2" t="s">
        <v>200</v>
      </c>
      <c r="BS98" s="2" t="s">
        <v>187</v>
      </c>
      <c r="BT98" s="2" t="s">
        <v>201</v>
      </c>
      <c r="BV98" s="2" t="s">
        <v>248</v>
      </c>
      <c r="BX98" s="2" t="s">
        <v>188</v>
      </c>
      <c r="BZ98" s="2" t="s">
        <v>203</v>
      </c>
      <c r="CE98" s="2">
        <v>0.7</v>
      </c>
      <c r="CF98" s="2">
        <v>70</v>
      </c>
      <c r="CK98" s="2">
        <v>100</v>
      </c>
      <c r="CO98" s="2">
        <v>100</v>
      </c>
      <c r="CR98" s="2" t="s">
        <v>229</v>
      </c>
      <c r="CT98" s="2" t="s">
        <v>188</v>
      </c>
      <c r="CU98" s="2" t="s">
        <v>281</v>
      </c>
      <c r="CY98" s="2" t="s">
        <v>208</v>
      </c>
      <c r="CZ98" s="2" t="s">
        <v>208</v>
      </c>
      <c r="DA98" s="2" t="s">
        <v>208</v>
      </c>
      <c r="DL98" s="2" t="s">
        <v>188</v>
      </c>
      <c r="DM98" s="2" t="s">
        <v>188</v>
      </c>
      <c r="DP98" s="2" t="s">
        <v>203</v>
      </c>
      <c r="DT98" s="2" t="s">
        <v>203</v>
      </c>
      <c r="DU98" s="2" t="s">
        <v>203</v>
      </c>
      <c r="DV98" s="2" t="s">
        <v>203</v>
      </c>
      <c r="DW98" s="2" t="s">
        <v>203</v>
      </c>
      <c r="DX98" s="2" t="s">
        <v>203</v>
      </c>
      <c r="DY98" s="2" t="s">
        <v>203</v>
      </c>
      <c r="DZ98" s="2" t="s">
        <v>203</v>
      </c>
      <c r="EA98" s="2" t="s">
        <v>203</v>
      </c>
      <c r="EB98" s="2" t="s">
        <v>203</v>
      </c>
      <c r="EJ98" s="2" t="s">
        <v>238</v>
      </c>
      <c r="EK98" s="2" t="s">
        <v>188</v>
      </c>
      <c r="EL98" s="2" t="s">
        <v>188</v>
      </c>
      <c r="EN98" s="2" t="s">
        <v>214</v>
      </c>
      <c r="EP98" s="2" t="s">
        <v>230</v>
      </c>
      <c r="ER98" s="2" t="s">
        <v>188</v>
      </c>
      <c r="ET98" s="2" t="s">
        <v>188</v>
      </c>
      <c r="EV98" s="2" t="s">
        <v>188</v>
      </c>
      <c r="EX98" s="2" t="s">
        <v>188</v>
      </c>
      <c r="FC98" s="2" t="s">
        <v>216</v>
      </c>
      <c r="FD98" s="2" t="s">
        <v>188</v>
      </c>
      <c r="FH98" s="2" t="s">
        <v>188</v>
      </c>
      <c r="FJ98" s="2" t="s">
        <v>188</v>
      </c>
      <c r="FK98" s="2" t="s">
        <v>188</v>
      </c>
      <c r="FT98" s="2" t="s">
        <v>219</v>
      </c>
      <c r="FU98" s="2" t="s">
        <v>233</v>
      </c>
      <c r="FV98" s="2" t="s">
        <v>219</v>
      </c>
      <c r="FW98" s="2" t="s">
        <v>233</v>
      </c>
      <c r="FZ98" s="4">
        <v>46040.43922453704</v>
      </c>
    </row>
    <row r="99" spans="1:182">
      <c r="A99" s="2" t="s">
        <v>954</v>
      </c>
      <c r="D99" s="4">
        <v>46266.452175925922</v>
      </c>
      <c r="E99" s="2" t="s">
        <v>955</v>
      </c>
      <c r="F99" s="2" t="s">
        <v>480</v>
      </c>
      <c r="G99" s="2" t="s">
        <v>831</v>
      </c>
      <c r="H99" s="2" t="s">
        <v>875</v>
      </c>
      <c r="I99" s="2" t="s">
        <v>956</v>
      </c>
      <c r="J99" s="2">
        <v>346947215</v>
      </c>
      <c r="K99" s="2" t="s">
        <v>956</v>
      </c>
      <c r="L99" s="2" t="s">
        <v>182</v>
      </c>
      <c r="M99" s="2" t="s">
        <v>183</v>
      </c>
      <c r="N99" s="2">
        <v>1990</v>
      </c>
      <c r="O99" s="2" t="s">
        <v>834</v>
      </c>
      <c r="P99" s="2" t="s">
        <v>185</v>
      </c>
      <c r="Q99" s="2" t="s">
        <v>270</v>
      </c>
      <c r="R99" s="2" t="s">
        <v>188</v>
      </c>
      <c r="S99" s="2">
        <v>8</v>
      </c>
      <c r="T99" s="2" t="s">
        <v>188</v>
      </c>
      <c r="U99" s="2" t="s">
        <v>188</v>
      </c>
      <c r="Y99" s="2">
        <v>127</v>
      </c>
      <c r="Z99" s="2">
        <v>0.56689999999999996</v>
      </c>
      <c r="AA99" s="2">
        <v>72</v>
      </c>
      <c r="AB99" s="2">
        <v>72</v>
      </c>
      <c r="AC99" s="2">
        <v>72</v>
      </c>
      <c r="AD99" s="2">
        <v>90</v>
      </c>
      <c r="AE99" s="2">
        <v>18</v>
      </c>
      <c r="AF99" s="2" t="s">
        <v>188</v>
      </c>
      <c r="AG99" s="2" t="s">
        <v>188</v>
      </c>
      <c r="AH99" s="2" t="s">
        <v>188</v>
      </c>
      <c r="AJ99" s="2" t="s">
        <v>188</v>
      </c>
      <c r="AK99" s="2" t="s">
        <v>188</v>
      </c>
      <c r="AL99" s="2" t="s">
        <v>188</v>
      </c>
      <c r="AM99" s="2" t="s">
        <v>187</v>
      </c>
      <c r="AN99" s="2" t="s">
        <v>188</v>
      </c>
      <c r="AO99" s="2" t="s">
        <v>187</v>
      </c>
      <c r="AR99" s="2">
        <v>0.3</v>
      </c>
      <c r="AS99" s="2">
        <v>1</v>
      </c>
      <c r="AT99" s="2">
        <v>1</v>
      </c>
      <c r="AU99" s="2" t="s">
        <v>203</v>
      </c>
      <c r="AV99" s="2" t="s">
        <v>203</v>
      </c>
      <c r="AW99" s="2" t="s">
        <v>188</v>
      </c>
      <c r="AZ99" s="2" t="s">
        <v>957</v>
      </c>
      <c r="BB99" s="2" t="s">
        <v>260</v>
      </c>
      <c r="BC99" s="2" t="s">
        <v>296</v>
      </c>
      <c r="BD99" s="2" t="s">
        <v>187</v>
      </c>
      <c r="BE99" s="2" t="s">
        <v>187</v>
      </c>
      <c r="BF99" s="2" t="s">
        <v>193</v>
      </c>
      <c r="BG99" s="2" t="s">
        <v>194</v>
      </c>
      <c r="BH99" s="2" t="s">
        <v>280</v>
      </c>
      <c r="BI99" s="2" t="s">
        <v>958</v>
      </c>
      <c r="BL99" s="2" t="s">
        <v>240</v>
      </c>
      <c r="BO99" s="2" t="s">
        <v>188</v>
      </c>
      <c r="BQ99" s="2" t="s">
        <v>309</v>
      </c>
      <c r="BS99" s="2" t="s">
        <v>187</v>
      </c>
      <c r="BT99" s="2" t="s">
        <v>484</v>
      </c>
      <c r="BV99" s="2" t="s">
        <v>630</v>
      </c>
      <c r="BX99" s="2" t="s">
        <v>187</v>
      </c>
      <c r="BY99" s="2" t="s">
        <v>959</v>
      </c>
      <c r="BZ99" s="2" t="s">
        <v>188</v>
      </c>
      <c r="CE99" s="2">
        <v>1</v>
      </c>
      <c r="CF99" s="2">
        <v>90</v>
      </c>
      <c r="CK99" s="2">
        <v>100</v>
      </c>
      <c r="CO99" s="2">
        <v>100</v>
      </c>
      <c r="CR99" s="2" t="s">
        <v>343</v>
      </c>
      <c r="CT99" s="2" t="s">
        <v>188</v>
      </c>
      <c r="CU99" s="2" t="s">
        <v>758</v>
      </c>
      <c r="CW99" s="2" t="s">
        <v>206</v>
      </c>
      <c r="CY99" s="2" t="s">
        <v>300</v>
      </c>
      <c r="CZ99" s="2" t="s">
        <v>300</v>
      </c>
      <c r="DA99" s="2" t="s">
        <v>300</v>
      </c>
      <c r="DB99" s="2" t="s">
        <v>300</v>
      </c>
      <c r="DC99" s="2" t="s">
        <v>430</v>
      </c>
      <c r="DD99" s="2" t="s">
        <v>300</v>
      </c>
      <c r="DE99" s="2" t="s">
        <v>300</v>
      </c>
      <c r="DF99" s="2" t="s">
        <v>207</v>
      </c>
      <c r="DG99" s="2" t="s">
        <v>430</v>
      </c>
      <c r="DH99" s="2" t="s">
        <v>430</v>
      </c>
      <c r="DI99" s="2" t="s">
        <v>430</v>
      </c>
      <c r="DL99" s="2" t="s">
        <v>187</v>
      </c>
      <c r="DM99" s="2" t="s">
        <v>187</v>
      </c>
      <c r="DN99" s="2" t="s">
        <v>187</v>
      </c>
      <c r="DO99" s="2" t="s">
        <v>187</v>
      </c>
      <c r="DP99" s="2" t="s">
        <v>209</v>
      </c>
      <c r="DQ99" s="2" t="s">
        <v>210</v>
      </c>
      <c r="DT99" s="2" t="s">
        <v>203</v>
      </c>
      <c r="DU99" s="2" t="s">
        <v>203</v>
      </c>
      <c r="DV99" s="2" t="s">
        <v>203</v>
      </c>
      <c r="DW99" s="2" t="s">
        <v>203</v>
      </c>
      <c r="DX99" s="2" t="s">
        <v>203</v>
      </c>
      <c r="DY99" s="2" t="s">
        <v>203</v>
      </c>
      <c r="DZ99" s="2" t="s">
        <v>203</v>
      </c>
      <c r="EA99" s="2" t="s">
        <v>203</v>
      </c>
      <c r="EB99" s="2" t="s">
        <v>203</v>
      </c>
      <c r="EC99" s="2" t="s">
        <v>203</v>
      </c>
      <c r="EF99" s="2" t="s">
        <v>496</v>
      </c>
      <c r="EG99" s="2" t="s">
        <v>960</v>
      </c>
      <c r="EJ99" s="2" t="s">
        <v>238</v>
      </c>
      <c r="EK99" s="2" t="s">
        <v>188</v>
      </c>
      <c r="EL99" s="2" t="s">
        <v>188</v>
      </c>
      <c r="EN99" s="2" t="s">
        <v>214</v>
      </c>
      <c r="EP99" s="2" t="s">
        <v>230</v>
      </c>
      <c r="ER99" s="2" t="s">
        <v>188</v>
      </c>
      <c r="ET99" s="2" t="s">
        <v>188</v>
      </c>
      <c r="EV99" s="2" t="s">
        <v>188</v>
      </c>
      <c r="EX99" s="2" t="s">
        <v>188</v>
      </c>
      <c r="EZ99" s="2" t="s">
        <v>188</v>
      </c>
      <c r="FC99" s="2" t="s">
        <v>263</v>
      </c>
      <c r="FD99" s="2" t="s">
        <v>188</v>
      </c>
      <c r="FH99" s="2" t="s">
        <v>188</v>
      </c>
      <c r="FJ99" s="2" t="s">
        <v>188</v>
      </c>
      <c r="FK99" s="2" t="s">
        <v>188</v>
      </c>
      <c r="FN99" s="2" t="s">
        <v>488</v>
      </c>
      <c r="FR99" s="2" t="s">
        <v>961</v>
      </c>
      <c r="FT99" s="2" t="s">
        <v>233</v>
      </c>
      <c r="FU99" s="2" t="s">
        <v>233</v>
      </c>
      <c r="FV99" s="2" t="s">
        <v>233</v>
      </c>
      <c r="FW99" s="2" t="s">
        <v>233</v>
      </c>
      <c r="FX99" s="2" t="s">
        <v>233</v>
      </c>
      <c r="FZ99" s="4">
        <v>46049.387303240743</v>
      </c>
    </row>
    <row r="100" spans="1:182">
      <c r="A100" s="2" t="s">
        <v>962</v>
      </c>
      <c r="D100" s="4">
        <v>46266.459641203706</v>
      </c>
      <c r="E100" s="2" t="s">
        <v>963</v>
      </c>
      <c r="F100" s="2" t="s">
        <v>425</v>
      </c>
      <c r="G100" s="2" t="s">
        <v>791</v>
      </c>
      <c r="H100" s="2" t="s">
        <v>869</v>
      </c>
      <c r="I100" s="2" t="s">
        <v>964</v>
      </c>
      <c r="K100" s="2" t="s">
        <v>965</v>
      </c>
      <c r="L100" s="2" t="s">
        <v>182</v>
      </c>
      <c r="M100" s="2" t="s">
        <v>223</v>
      </c>
      <c r="N100" s="2">
        <v>1998</v>
      </c>
      <c r="O100" s="2" t="s">
        <v>184</v>
      </c>
      <c r="P100" s="2" t="s">
        <v>225</v>
      </c>
      <c r="Q100" s="2" t="s">
        <v>270</v>
      </c>
      <c r="R100" s="2" t="s">
        <v>188</v>
      </c>
      <c r="S100" s="2">
        <v>10</v>
      </c>
      <c r="T100" s="2" t="s">
        <v>188</v>
      </c>
      <c r="U100" s="2" t="s">
        <v>188</v>
      </c>
      <c r="Y100" s="2">
        <v>100</v>
      </c>
      <c r="Z100" s="2">
        <v>0.85</v>
      </c>
      <c r="AA100" s="2">
        <v>85</v>
      </c>
      <c r="AB100" s="2">
        <v>85</v>
      </c>
      <c r="AC100" s="2">
        <v>75</v>
      </c>
      <c r="AD100" s="2">
        <v>110</v>
      </c>
      <c r="AE100" s="2">
        <v>35</v>
      </c>
      <c r="AF100" s="2" t="s">
        <v>187</v>
      </c>
      <c r="AG100" s="2" t="s">
        <v>188</v>
      </c>
      <c r="AH100" s="2" t="s">
        <v>188</v>
      </c>
      <c r="AJ100" s="2" t="s">
        <v>188</v>
      </c>
      <c r="AK100" s="2" t="s">
        <v>188</v>
      </c>
      <c r="AL100" s="2" t="s">
        <v>188</v>
      </c>
      <c r="AM100" s="2" t="s">
        <v>187</v>
      </c>
      <c r="AN100" s="2" t="s">
        <v>188</v>
      </c>
      <c r="AO100" s="2" t="s">
        <v>188</v>
      </c>
      <c r="AR100" s="2">
        <v>1</v>
      </c>
      <c r="AS100" s="2">
        <v>1</v>
      </c>
      <c r="AT100" s="2">
        <v>1.1000000000000001</v>
      </c>
      <c r="AU100" s="2" t="s">
        <v>203</v>
      </c>
      <c r="AV100" s="2" t="s">
        <v>203</v>
      </c>
      <c r="AW100" s="2" t="s">
        <v>188</v>
      </c>
      <c r="AZ100" s="2" t="s">
        <v>357</v>
      </c>
      <c r="BC100" s="2" t="s">
        <v>253</v>
      </c>
      <c r="BD100" s="2" t="s">
        <v>188</v>
      </c>
      <c r="BE100" s="2" t="s">
        <v>188</v>
      </c>
      <c r="BL100" s="2" t="s">
        <v>240</v>
      </c>
      <c r="BO100" s="2" t="s">
        <v>188</v>
      </c>
      <c r="BQ100" s="2" t="s">
        <v>227</v>
      </c>
      <c r="BS100" s="2" t="s">
        <v>188</v>
      </c>
      <c r="BX100" s="2" t="s">
        <v>188</v>
      </c>
      <c r="BZ100" s="2" t="s">
        <v>188</v>
      </c>
      <c r="CE100" s="2">
        <v>1.1000000000000001</v>
      </c>
      <c r="CF100" s="2">
        <v>110</v>
      </c>
      <c r="CK100" s="2">
        <v>100</v>
      </c>
      <c r="CO100" s="2">
        <v>100</v>
      </c>
      <c r="CR100" s="2" t="s">
        <v>204</v>
      </c>
      <c r="CT100" s="2" t="s">
        <v>188</v>
      </c>
      <c r="CU100" s="2" t="s">
        <v>205</v>
      </c>
      <c r="CW100" s="2" t="s">
        <v>206</v>
      </c>
      <c r="CY100" s="2" t="s">
        <v>207</v>
      </c>
      <c r="CZ100" s="2" t="s">
        <v>207</v>
      </c>
      <c r="DA100" s="2" t="s">
        <v>300</v>
      </c>
      <c r="DB100" s="2" t="s">
        <v>300</v>
      </c>
      <c r="DC100" s="2" t="s">
        <v>300</v>
      </c>
      <c r="DD100" s="2" t="s">
        <v>300</v>
      </c>
      <c r="DE100" s="2" t="s">
        <v>300</v>
      </c>
      <c r="DF100" s="2" t="s">
        <v>300</v>
      </c>
      <c r="DG100" s="2" t="s">
        <v>300</v>
      </c>
      <c r="DH100" s="2" t="s">
        <v>430</v>
      </c>
      <c r="DI100" s="2" t="s">
        <v>430</v>
      </c>
      <c r="DL100" s="2" t="s">
        <v>188</v>
      </c>
      <c r="DM100" s="2" t="s">
        <v>188</v>
      </c>
      <c r="DP100" s="2" t="s">
        <v>188</v>
      </c>
      <c r="DT100" s="2" t="s">
        <v>203</v>
      </c>
      <c r="DU100" s="2" t="s">
        <v>203</v>
      </c>
      <c r="DV100" s="2" t="s">
        <v>203</v>
      </c>
      <c r="DW100" s="2" t="s">
        <v>203</v>
      </c>
      <c r="DX100" s="2" t="s">
        <v>203</v>
      </c>
      <c r="DY100" s="2" t="s">
        <v>203</v>
      </c>
      <c r="DZ100" s="2" t="s">
        <v>203</v>
      </c>
      <c r="EA100" s="2" t="s">
        <v>203</v>
      </c>
      <c r="EB100" s="2" t="s">
        <v>203</v>
      </c>
      <c r="EC100" s="2" t="s">
        <v>203</v>
      </c>
      <c r="EF100" s="2" t="s">
        <v>496</v>
      </c>
      <c r="EG100" s="2" t="s">
        <v>966</v>
      </c>
      <c r="EJ100" s="2" t="s">
        <v>203</v>
      </c>
      <c r="EK100" s="2" t="s">
        <v>188</v>
      </c>
      <c r="EL100" s="2" t="s">
        <v>188</v>
      </c>
      <c r="EN100" s="2" t="s">
        <v>255</v>
      </c>
      <c r="EP100" s="2" t="s">
        <v>230</v>
      </c>
      <c r="ER100" s="2" t="s">
        <v>188</v>
      </c>
      <c r="ET100" s="2" t="s">
        <v>188</v>
      </c>
      <c r="EV100" s="2" t="s">
        <v>188</v>
      </c>
      <c r="EX100" s="2" t="s">
        <v>188</v>
      </c>
      <c r="EZ100" s="2" t="s">
        <v>188</v>
      </c>
      <c r="FC100" s="2" t="s">
        <v>263</v>
      </c>
      <c r="FD100" s="2" t="s">
        <v>188</v>
      </c>
      <c r="FH100" s="2" t="s">
        <v>188</v>
      </c>
      <c r="FJ100" s="2" t="s">
        <v>188</v>
      </c>
      <c r="FK100" s="2" t="s">
        <v>188</v>
      </c>
      <c r="FR100" s="2" t="s">
        <v>967</v>
      </c>
      <c r="FT100" s="2" t="s">
        <v>219</v>
      </c>
      <c r="FU100" s="2" t="s">
        <v>233</v>
      </c>
      <c r="FV100" s="2" t="s">
        <v>233</v>
      </c>
      <c r="FW100" s="2" t="s">
        <v>219</v>
      </c>
      <c r="FZ100" s="4">
        <v>46040.917592592596</v>
      </c>
    </row>
    <row r="101" spans="1:182">
      <c r="A101" s="2" t="s">
        <v>968</v>
      </c>
      <c r="D101" s="4">
        <v>46266.455358796295</v>
      </c>
      <c r="E101" s="2" t="s">
        <v>969</v>
      </c>
      <c r="F101" s="2" t="s">
        <v>398</v>
      </c>
      <c r="G101" s="2" t="s">
        <v>791</v>
      </c>
      <c r="H101" s="2" t="s">
        <v>970</v>
      </c>
      <c r="I101" s="2" t="s">
        <v>971</v>
      </c>
      <c r="J101" s="2">
        <v>375155459</v>
      </c>
      <c r="K101" s="2" t="s">
        <v>972</v>
      </c>
      <c r="L101" s="2" t="s">
        <v>182</v>
      </c>
      <c r="M101" s="2" t="s">
        <v>183</v>
      </c>
      <c r="N101" s="2">
        <v>2005</v>
      </c>
      <c r="O101" s="2" t="s">
        <v>184</v>
      </c>
      <c r="P101" s="2" t="s">
        <v>237</v>
      </c>
      <c r="Q101" s="2" t="s">
        <v>186</v>
      </c>
      <c r="R101" s="2" t="s">
        <v>188</v>
      </c>
      <c r="S101" s="2">
        <v>10</v>
      </c>
      <c r="T101" s="2" t="s">
        <v>188</v>
      </c>
      <c r="U101" s="2" t="s">
        <v>188</v>
      </c>
      <c r="Y101" s="2">
        <v>340</v>
      </c>
      <c r="Z101" s="2">
        <v>1</v>
      </c>
      <c r="AA101" s="2">
        <v>340</v>
      </c>
      <c r="AB101" s="2">
        <v>340</v>
      </c>
      <c r="AC101" s="2">
        <v>340</v>
      </c>
      <c r="AD101" s="2">
        <v>400</v>
      </c>
      <c r="AE101" s="2">
        <v>60</v>
      </c>
      <c r="AF101" s="2" t="s">
        <v>188</v>
      </c>
      <c r="AG101" s="2" t="s">
        <v>188</v>
      </c>
      <c r="AH101" s="2" t="s">
        <v>188</v>
      </c>
      <c r="AJ101" s="2" t="s">
        <v>188</v>
      </c>
      <c r="AK101" s="2" t="s">
        <v>187</v>
      </c>
      <c r="AL101" s="2" t="s">
        <v>188</v>
      </c>
      <c r="AM101" s="2" t="s">
        <v>188</v>
      </c>
      <c r="AN101" s="2" t="s">
        <v>188</v>
      </c>
      <c r="AO101" s="2" t="s">
        <v>188</v>
      </c>
      <c r="AR101" s="2">
        <v>1.9</v>
      </c>
      <c r="AS101" s="2">
        <v>5</v>
      </c>
      <c r="AT101" s="2">
        <v>4</v>
      </c>
      <c r="AU101" s="2" t="s">
        <v>238</v>
      </c>
      <c r="AV101" s="2" t="s">
        <v>238</v>
      </c>
      <c r="AW101" s="2" t="s">
        <v>188</v>
      </c>
      <c r="AZ101" s="2" t="s">
        <v>973</v>
      </c>
      <c r="BB101" s="2" t="s">
        <v>260</v>
      </c>
      <c r="BC101" s="2" t="s">
        <v>192</v>
      </c>
      <c r="BD101" s="2" t="s">
        <v>187</v>
      </c>
      <c r="BE101" s="2" t="s">
        <v>187</v>
      </c>
      <c r="BF101" s="2" t="s">
        <v>193</v>
      </c>
      <c r="BG101" s="2" t="s">
        <v>194</v>
      </c>
      <c r="BH101" s="2" t="s">
        <v>195</v>
      </c>
      <c r="BI101" s="2" t="s">
        <v>196</v>
      </c>
      <c r="BL101" s="2" t="s">
        <v>240</v>
      </c>
      <c r="BO101" s="2" t="s">
        <v>188</v>
      </c>
      <c r="BQ101" s="2" t="s">
        <v>200</v>
      </c>
      <c r="BS101" s="2" t="s">
        <v>187</v>
      </c>
      <c r="BT101" s="2" t="s">
        <v>644</v>
      </c>
      <c r="BV101" s="2" t="s">
        <v>502</v>
      </c>
      <c r="BX101" s="2" t="s">
        <v>188</v>
      </c>
      <c r="BY101" s="2" t="s">
        <v>696</v>
      </c>
      <c r="BZ101" s="2" t="s">
        <v>203</v>
      </c>
      <c r="CE101" s="2">
        <v>4</v>
      </c>
      <c r="CF101" s="2">
        <v>400</v>
      </c>
      <c r="CK101" s="2">
        <v>100</v>
      </c>
      <c r="CP101" s="2">
        <v>100</v>
      </c>
      <c r="CR101" s="2" t="s">
        <v>204</v>
      </c>
      <c r="CT101" s="2" t="s">
        <v>188</v>
      </c>
      <c r="CU101" s="2" t="s">
        <v>205</v>
      </c>
      <c r="CW101" s="2" t="s">
        <v>206</v>
      </c>
      <c r="CY101" s="2" t="s">
        <v>300</v>
      </c>
      <c r="CZ101" s="2" t="s">
        <v>300</v>
      </c>
      <c r="DA101" s="2" t="s">
        <v>300</v>
      </c>
      <c r="DB101" s="2" t="s">
        <v>300</v>
      </c>
      <c r="DC101" s="2" t="s">
        <v>300</v>
      </c>
      <c r="DD101" s="2" t="s">
        <v>207</v>
      </c>
      <c r="DE101" s="2" t="s">
        <v>300</v>
      </c>
      <c r="DF101" s="2" t="s">
        <v>300</v>
      </c>
      <c r="DG101" s="2" t="s">
        <v>300</v>
      </c>
      <c r="DH101" s="2" t="s">
        <v>300</v>
      </c>
      <c r="DI101" s="2" t="s">
        <v>300</v>
      </c>
      <c r="DL101" s="2" t="s">
        <v>188</v>
      </c>
      <c r="DM101" s="2" t="s">
        <v>188</v>
      </c>
      <c r="DP101" s="2" t="s">
        <v>203</v>
      </c>
      <c r="DT101" s="2" t="s">
        <v>203</v>
      </c>
      <c r="DU101" s="2" t="s">
        <v>203</v>
      </c>
      <c r="DV101" s="2" t="s">
        <v>203</v>
      </c>
      <c r="DW101" s="2" t="s">
        <v>203</v>
      </c>
      <c r="DX101" s="2" t="s">
        <v>203</v>
      </c>
      <c r="DY101" s="2" t="s">
        <v>203</v>
      </c>
      <c r="DZ101" s="2" t="s">
        <v>203</v>
      </c>
      <c r="EA101" s="2" t="s">
        <v>203</v>
      </c>
      <c r="EB101" s="2" t="s">
        <v>203</v>
      </c>
      <c r="EC101" s="2" t="s">
        <v>203</v>
      </c>
      <c r="ED101" s="2" t="s">
        <v>203</v>
      </c>
      <c r="EE101" s="2" t="s">
        <v>974</v>
      </c>
      <c r="EF101" s="2" t="s">
        <v>302</v>
      </c>
      <c r="EG101" s="2" t="s">
        <v>975</v>
      </c>
      <c r="EJ101" s="2" t="s">
        <v>238</v>
      </c>
      <c r="EK101" s="2" t="s">
        <v>188</v>
      </c>
      <c r="EL101" s="2" t="s">
        <v>188</v>
      </c>
      <c r="EN101" s="2" t="s">
        <v>255</v>
      </c>
      <c r="EP101" s="2" t="s">
        <v>230</v>
      </c>
      <c r="ER101" s="2" t="s">
        <v>188</v>
      </c>
      <c r="ET101" s="2" t="s">
        <v>188</v>
      </c>
      <c r="EV101" s="2" t="s">
        <v>188</v>
      </c>
      <c r="EX101" s="2" t="s">
        <v>188</v>
      </c>
      <c r="EZ101" s="2" t="s">
        <v>188</v>
      </c>
      <c r="FC101" s="2" t="s">
        <v>216</v>
      </c>
      <c r="FD101" s="2" t="s">
        <v>188</v>
      </c>
      <c r="FH101" s="2" t="s">
        <v>188</v>
      </c>
      <c r="FJ101" s="2" t="s">
        <v>188</v>
      </c>
      <c r="FK101" s="2" t="s">
        <v>203</v>
      </c>
      <c r="FR101" s="2" t="s">
        <v>976</v>
      </c>
      <c r="FT101" s="2" t="s">
        <v>219</v>
      </c>
      <c r="FU101" s="2" t="s">
        <v>233</v>
      </c>
      <c r="FV101" s="2" t="s">
        <v>219</v>
      </c>
      <c r="FW101" s="2" t="s">
        <v>219</v>
      </c>
      <c r="FX101" s="2" t="s">
        <v>233</v>
      </c>
      <c r="FY101" s="2" t="s">
        <v>977</v>
      </c>
      <c r="FZ101" s="4">
        <v>46038.396666666667</v>
      </c>
    </row>
    <row r="102" spans="1:182">
      <c r="A102" s="2" t="s">
        <v>978</v>
      </c>
      <c r="D102" s="4">
        <v>46266.447800925926</v>
      </c>
      <c r="E102" s="2" t="s">
        <v>177</v>
      </c>
      <c r="F102" s="2" t="s">
        <v>293</v>
      </c>
      <c r="G102" s="2" t="s">
        <v>791</v>
      </c>
      <c r="H102" s="2" t="s">
        <v>792</v>
      </c>
      <c r="I102" s="2" t="s">
        <v>979</v>
      </c>
      <c r="J102" s="2">
        <v>347028032</v>
      </c>
      <c r="K102" s="2" t="s">
        <v>980</v>
      </c>
      <c r="L102" s="2" t="s">
        <v>182</v>
      </c>
      <c r="M102" s="2" t="s">
        <v>223</v>
      </c>
      <c r="N102" s="2">
        <v>1994</v>
      </c>
      <c r="O102" s="2" t="s">
        <v>184</v>
      </c>
      <c r="P102" s="2" t="s">
        <v>225</v>
      </c>
      <c r="Q102" s="2" t="s">
        <v>186</v>
      </c>
      <c r="R102" s="2" t="s">
        <v>188</v>
      </c>
      <c r="S102" s="2">
        <v>2011</v>
      </c>
      <c r="T102" s="2" t="s">
        <v>188</v>
      </c>
      <c r="U102" s="2" t="s">
        <v>188</v>
      </c>
      <c r="Y102" s="2">
        <v>450</v>
      </c>
      <c r="Z102" s="2">
        <v>0.77780000000000005</v>
      </c>
      <c r="AA102" s="2">
        <v>350</v>
      </c>
      <c r="AB102" s="2">
        <v>200</v>
      </c>
      <c r="AC102" s="2">
        <v>90</v>
      </c>
      <c r="AD102" s="2">
        <v>120</v>
      </c>
      <c r="AE102" s="2">
        <v>30</v>
      </c>
      <c r="AF102" s="2" t="s">
        <v>187</v>
      </c>
      <c r="AG102" s="2" t="s">
        <v>187</v>
      </c>
      <c r="AH102" s="2" t="s">
        <v>187</v>
      </c>
      <c r="AI102" s="2" t="s">
        <v>308</v>
      </c>
      <c r="AJ102" s="2" t="s">
        <v>188</v>
      </c>
      <c r="AK102" s="2" t="s">
        <v>187</v>
      </c>
      <c r="AL102" s="2" t="s">
        <v>188</v>
      </c>
      <c r="AM102" s="2" t="s">
        <v>187</v>
      </c>
      <c r="AN102" s="2" t="s">
        <v>188</v>
      </c>
      <c r="AO102" s="2" t="s">
        <v>188</v>
      </c>
      <c r="AR102" s="2">
        <v>0.8</v>
      </c>
      <c r="AS102" s="2">
        <v>4</v>
      </c>
      <c r="AT102" s="2">
        <v>0.9</v>
      </c>
      <c r="AU102" s="2" t="s">
        <v>238</v>
      </c>
      <c r="AV102" s="2" t="s">
        <v>203</v>
      </c>
      <c r="AW102" s="2" t="s">
        <v>188</v>
      </c>
      <c r="AZ102" s="2" t="s">
        <v>476</v>
      </c>
      <c r="BB102" s="2" t="s">
        <v>260</v>
      </c>
      <c r="BC102" s="2" t="s">
        <v>253</v>
      </c>
      <c r="BD102" s="2" t="s">
        <v>188</v>
      </c>
      <c r="BE102" s="2" t="s">
        <v>187</v>
      </c>
      <c r="BF102" s="2" t="s">
        <v>193</v>
      </c>
      <c r="BG102" s="2" t="s">
        <v>194</v>
      </c>
      <c r="BH102" s="2" t="s">
        <v>195</v>
      </c>
      <c r="BI102" s="2" t="s">
        <v>196</v>
      </c>
      <c r="BL102" s="2" t="s">
        <v>240</v>
      </c>
      <c r="BM102" s="2" t="s">
        <v>198</v>
      </c>
      <c r="BN102" s="2" t="s">
        <v>199</v>
      </c>
      <c r="BO102" s="2" t="s">
        <v>188</v>
      </c>
      <c r="BP102" s="2" t="s">
        <v>342</v>
      </c>
      <c r="BQ102" s="2" t="s">
        <v>200</v>
      </c>
      <c r="BS102" s="2" t="s">
        <v>188</v>
      </c>
      <c r="BT102" s="2" t="s">
        <v>261</v>
      </c>
      <c r="BV102" s="2" t="s">
        <v>358</v>
      </c>
      <c r="BX102" s="2" t="s">
        <v>187</v>
      </c>
      <c r="BY102" s="2" t="s">
        <v>981</v>
      </c>
      <c r="BZ102" s="2" t="s">
        <v>188</v>
      </c>
      <c r="CE102" s="2">
        <v>0.9</v>
      </c>
      <c r="CK102" s="2">
        <v>100</v>
      </c>
      <c r="CO102" s="2">
        <v>100</v>
      </c>
      <c r="CR102" s="2" t="s">
        <v>204</v>
      </c>
      <c r="CT102" s="2" t="s">
        <v>188</v>
      </c>
      <c r="CU102" s="2" t="s">
        <v>205</v>
      </c>
      <c r="CW102" s="2" t="s">
        <v>206</v>
      </c>
      <c r="CY102" s="2" t="s">
        <v>207</v>
      </c>
      <c r="CZ102" s="2" t="s">
        <v>207</v>
      </c>
      <c r="DA102" s="2" t="s">
        <v>208</v>
      </c>
      <c r="DB102" s="2" t="s">
        <v>208</v>
      </c>
      <c r="DC102" s="2" t="s">
        <v>208</v>
      </c>
      <c r="DD102" s="2" t="s">
        <v>208</v>
      </c>
      <c r="DE102" s="2" t="s">
        <v>207</v>
      </c>
      <c r="DF102" s="2" t="s">
        <v>207</v>
      </c>
      <c r="DG102" s="2" t="s">
        <v>208</v>
      </c>
      <c r="DH102" s="2" t="s">
        <v>208</v>
      </c>
      <c r="DI102" s="2" t="s">
        <v>208</v>
      </c>
      <c r="DL102" s="2" t="s">
        <v>187</v>
      </c>
      <c r="DM102" s="2" t="s">
        <v>188</v>
      </c>
      <c r="DP102" s="2" t="s">
        <v>203</v>
      </c>
      <c r="DT102" s="2" t="s">
        <v>209</v>
      </c>
      <c r="DU102" s="2" t="s">
        <v>209</v>
      </c>
      <c r="DV102" s="2" t="s">
        <v>209</v>
      </c>
      <c r="DW102" s="2" t="s">
        <v>209</v>
      </c>
      <c r="DX102" s="2" t="s">
        <v>209</v>
      </c>
      <c r="DY102" s="2" t="s">
        <v>203</v>
      </c>
      <c r="DZ102" s="2" t="s">
        <v>203</v>
      </c>
      <c r="EA102" s="2" t="s">
        <v>203</v>
      </c>
      <c r="EB102" s="2" t="s">
        <v>203</v>
      </c>
      <c r="EF102" s="2" t="s">
        <v>211</v>
      </c>
      <c r="EJ102" s="2" t="s">
        <v>203</v>
      </c>
      <c r="EK102" s="2" t="s">
        <v>187</v>
      </c>
      <c r="EL102" s="2" t="s">
        <v>188</v>
      </c>
      <c r="EN102" s="2" t="s">
        <v>214</v>
      </c>
      <c r="EP102" s="2" t="s">
        <v>230</v>
      </c>
      <c r="ER102" s="2" t="s">
        <v>187</v>
      </c>
      <c r="ET102" s="2" t="s">
        <v>188</v>
      </c>
      <c r="EV102" s="2" t="s">
        <v>188</v>
      </c>
      <c r="EX102" s="2" t="s">
        <v>188</v>
      </c>
      <c r="FC102" s="2" t="s">
        <v>263</v>
      </c>
      <c r="FD102" s="2" t="s">
        <v>188</v>
      </c>
      <c r="FH102" s="2" t="s">
        <v>188</v>
      </c>
      <c r="FJ102" s="2" t="s">
        <v>187</v>
      </c>
      <c r="FK102" s="2" t="s">
        <v>203</v>
      </c>
      <c r="FN102" s="2" t="s">
        <v>304</v>
      </c>
      <c r="FT102" s="2" t="s">
        <v>219</v>
      </c>
      <c r="FU102" s="2" t="s">
        <v>233</v>
      </c>
      <c r="FV102" s="2" t="s">
        <v>219</v>
      </c>
      <c r="FW102" s="2" t="s">
        <v>233</v>
      </c>
      <c r="FZ102" s="4">
        <v>46038.453194444446</v>
      </c>
    </row>
    <row r="103" spans="1:182">
      <c r="A103" s="2" t="s">
        <v>982</v>
      </c>
      <c r="D103" s="4">
        <v>46266.462268518517</v>
      </c>
      <c r="E103" s="2" t="s">
        <v>983</v>
      </c>
      <c r="F103" s="2" t="s">
        <v>590</v>
      </c>
      <c r="G103" s="2" t="s">
        <v>831</v>
      </c>
      <c r="H103" s="2" t="s">
        <v>875</v>
      </c>
      <c r="I103" s="2" t="s">
        <v>984</v>
      </c>
      <c r="J103" s="2" t="s">
        <v>985</v>
      </c>
      <c r="K103" s="2" t="s">
        <v>984</v>
      </c>
      <c r="L103" s="2" t="s">
        <v>182</v>
      </c>
      <c r="M103" s="2" t="s">
        <v>183</v>
      </c>
      <c r="N103" s="2">
        <v>1969</v>
      </c>
      <c r="O103" s="2" t="s">
        <v>184</v>
      </c>
      <c r="P103" s="2" t="s">
        <v>185</v>
      </c>
      <c r="Q103" s="2" t="s">
        <v>291</v>
      </c>
      <c r="R103" s="2" t="s">
        <v>188</v>
      </c>
      <c r="S103" s="2">
        <v>29</v>
      </c>
      <c r="T103" s="2" t="s">
        <v>188</v>
      </c>
      <c r="U103" s="2" t="s">
        <v>188</v>
      </c>
      <c r="Y103" s="2">
        <v>37</v>
      </c>
      <c r="Z103" s="2">
        <v>1</v>
      </c>
      <c r="AA103" s="2">
        <v>37</v>
      </c>
      <c r="AB103" s="2">
        <v>37</v>
      </c>
      <c r="AC103" s="2">
        <v>37</v>
      </c>
      <c r="AD103" s="2">
        <v>45</v>
      </c>
      <c r="AE103" s="2">
        <v>8</v>
      </c>
      <c r="AF103" s="2" t="s">
        <v>188</v>
      </c>
      <c r="AG103" s="2" t="s">
        <v>188</v>
      </c>
      <c r="AH103" s="2" t="s">
        <v>188</v>
      </c>
      <c r="AJ103" s="2" t="s">
        <v>188</v>
      </c>
      <c r="AK103" s="2" t="s">
        <v>188</v>
      </c>
      <c r="AL103" s="2" t="s">
        <v>188</v>
      </c>
      <c r="AM103" s="2" t="s">
        <v>188</v>
      </c>
      <c r="AN103" s="2" t="s">
        <v>188</v>
      </c>
      <c r="AO103" s="2" t="s">
        <v>188</v>
      </c>
      <c r="AR103" s="2">
        <v>0.25</v>
      </c>
      <c r="AS103" s="2">
        <v>1</v>
      </c>
      <c r="AT103" s="2">
        <v>0.4</v>
      </c>
      <c r="AU103" s="2" t="s">
        <v>203</v>
      </c>
      <c r="AV103" s="2" t="s">
        <v>238</v>
      </c>
      <c r="AW103" s="2" t="s">
        <v>188</v>
      </c>
      <c r="AZ103" s="2" t="s">
        <v>357</v>
      </c>
      <c r="BB103" s="2" t="s">
        <v>332</v>
      </c>
      <c r="BC103" s="2" t="s">
        <v>192</v>
      </c>
      <c r="BD103" s="2" t="s">
        <v>188</v>
      </c>
      <c r="BE103" s="2" t="s">
        <v>188</v>
      </c>
      <c r="BL103" s="2" t="s">
        <v>240</v>
      </c>
      <c r="BO103" s="2" t="s">
        <v>341</v>
      </c>
      <c r="BP103" s="2" t="s">
        <v>342</v>
      </c>
      <c r="BS103" s="2" t="s">
        <v>188</v>
      </c>
      <c r="BT103" s="2" t="s">
        <v>986</v>
      </c>
      <c r="BV103" s="2" t="s">
        <v>987</v>
      </c>
      <c r="BX103" s="2" t="s">
        <v>188</v>
      </c>
      <c r="BZ103" s="2" t="s">
        <v>203</v>
      </c>
      <c r="CE103" s="2">
        <v>0.4</v>
      </c>
      <c r="CF103" s="2">
        <v>44</v>
      </c>
      <c r="CK103" s="2">
        <v>100</v>
      </c>
      <c r="CO103" s="2">
        <v>100</v>
      </c>
      <c r="CR103" s="2" t="s">
        <v>204</v>
      </c>
      <c r="CT103" s="2" t="s">
        <v>188</v>
      </c>
      <c r="CU103" s="2" t="s">
        <v>205</v>
      </c>
      <c r="CW103" s="2" t="s">
        <v>206</v>
      </c>
      <c r="CY103" s="2" t="s">
        <v>512</v>
      </c>
      <c r="CZ103" s="2" t="s">
        <v>988</v>
      </c>
      <c r="DA103" s="2" t="s">
        <v>300</v>
      </c>
      <c r="DB103" s="2" t="s">
        <v>300</v>
      </c>
      <c r="DC103" s="2" t="s">
        <v>988</v>
      </c>
      <c r="DD103" s="2" t="s">
        <v>988</v>
      </c>
      <c r="DE103" s="2" t="s">
        <v>300</v>
      </c>
      <c r="DF103" s="2" t="s">
        <v>300</v>
      </c>
      <c r="DG103" s="2" t="s">
        <v>988</v>
      </c>
      <c r="DH103" s="2" t="s">
        <v>988</v>
      </c>
      <c r="DI103" s="2" t="s">
        <v>988</v>
      </c>
      <c r="DL103" s="2" t="s">
        <v>188</v>
      </c>
      <c r="DM103" s="2" t="s">
        <v>188</v>
      </c>
      <c r="DP103" s="2" t="s">
        <v>203</v>
      </c>
      <c r="DT103" s="2" t="s">
        <v>203</v>
      </c>
      <c r="DU103" s="2" t="s">
        <v>203</v>
      </c>
      <c r="DV103" s="2" t="s">
        <v>203</v>
      </c>
      <c r="DW103" s="2" t="s">
        <v>203</v>
      </c>
      <c r="DX103" s="2" t="s">
        <v>203</v>
      </c>
      <c r="DY103" s="2" t="s">
        <v>203</v>
      </c>
      <c r="DZ103" s="2" t="s">
        <v>203</v>
      </c>
      <c r="EA103" s="2" t="s">
        <v>203</v>
      </c>
      <c r="EB103" s="2" t="s">
        <v>203</v>
      </c>
      <c r="EC103" s="2" t="s">
        <v>203</v>
      </c>
      <c r="EF103" s="2" t="s">
        <v>302</v>
      </c>
      <c r="EG103" s="2" t="s">
        <v>989</v>
      </c>
      <c r="EJ103" s="2" t="s">
        <v>203</v>
      </c>
      <c r="EK103" s="2" t="s">
        <v>188</v>
      </c>
      <c r="EL103" s="2" t="s">
        <v>188</v>
      </c>
      <c r="EN103" s="2" t="s">
        <v>255</v>
      </c>
      <c r="EP103" s="2" t="s">
        <v>230</v>
      </c>
      <c r="ER103" s="2" t="s">
        <v>188</v>
      </c>
      <c r="ET103" s="2" t="s">
        <v>188</v>
      </c>
      <c r="EV103" s="2" t="s">
        <v>188</v>
      </c>
      <c r="EX103" s="2" t="s">
        <v>188</v>
      </c>
      <c r="EZ103" s="2" t="s">
        <v>188</v>
      </c>
      <c r="FC103" s="2" t="s">
        <v>263</v>
      </c>
      <c r="FD103" s="2" t="s">
        <v>188</v>
      </c>
      <c r="FH103" s="2" t="s">
        <v>188</v>
      </c>
      <c r="FJ103" s="2" t="s">
        <v>188</v>
      </c>
      <c r="FK103" s="2" t="s">
        <v>203</v>
      </c>
      <c r="FN103" s="2" t="s">
        <v>990</v>
      </c>
      <c r="FR103" s="2" t="s">
        <v>991</v>
      </c>
      <c r="FT103" s="2" t="s">
        <v>233</v>
      </c>
      <c r="FU103" s="2" t="s">
        <v>233</v>
      </c>
      <c r="FV103" s="2" t="s">
        <v>219</v>
      </c>
      <c r="FW103" s="2" t="s">
        <v>233</v>
      </c>
      <c r="FZ103" s="4">
        <v>46040.329548611109</v>
      </c>
    </row>
    <row r="104" spans="1:182">
      <c r="A104" s="2" t="s">
        <v>992</v>
      </c>
      <c r="D104" s="4">
        <v>46266.463807870372</v>
      </c>
      <c r="E104" s="2" t="s">
        <v>993</v>
      </c>
      <c r="F104" s="2" t="s">
        <v>425</v>
      </c>
      <c r="G104" s="2" t="s">
        <v>791</v>
      </c>
      <c r="H104" s="2" t="s">
        <v>792</v>
      </c>
      <c r="I104" s="2" t="s">
        <v>994</v>
      </c>
      <c r="J104" s="2">
        <v>865183036</v>
      </c>
      <c r="K104" s="2" t="s">
        <v>994</v>
      </c>
      <c r="L104" s="2" t="s">
        <v>182</v>
      </c>
      <c r="M104" s="2" t="s">
        <v>183</v>
      </c>
      <c r="N104" s="2">
        <v>1989</v>
      </c>
      <c r="O104" s="2" t="s">
        <v>184</v>
      </c>
      <c r="P104" s="2" t="s">
        <v>185</v>
      </c>
      <c r="Q104" s="2" t="s">
        <v>270</v>
      </c>
      <c r="R104" s="2" t="s">
        <v>188</v>
      </c>
      <c r="S104" s="2">
        <v>12</v>
      </c>
      <c r="T104" s="2" t="s">
        <v>188</v>
      </c>
      <c r="U104" s="2" t="s">
        <v>188</v>
      </c>
      <c r="Y104" s="2">
        <v>140</v>
      </c>
      <c r="Z104" s="2">
        <v>0.78569999999999995</v>
      </c>
      <c r="AA104" s="2">
        <v>110</v>
      </c>
      <c r="AB104" s="2">
        <v>75</v>
      </c>
      <c r="AC104" s="2">
        <v>65</v>
      </c>
      <c r="AD104" s="2">
        <v>100</v>
      </c>
      <c r="AE104" s="2">
        <v>35</v>
      </c>
      <c r="AF104" s="2" t="s">
        <v>187</v>
      </c>
      <c r="AG104" s="2" t="s">
        <v>188</v>
      </c>
      <c r="AH104" s="2" t="s">
        <v>188</v>
      </c>
      <c r="AJ104" s="2" t="s">
        <v>188</v>
      </c>
      <c r="AK104" s="2" t="s">
        <v>187</v>
      </c>
      <c r="AL104" s="2" t="s">
        <v>188</v>
      </c>
      <c r="AM104" s="2" t="s">
        <v>187</v>
      </c>
      <c r="AN104" s="2" t="s">
        <v>188</v>
      </c>
      <c r="AO104" s="2" t="s">
        <v>188</v>
      </c>
      <c r="AR104" s="2">
        <v>0.7</v>
      </c>
      <c r="AS104" s="2">
        <v>2</v>
      </c>
      <c r="AT104" s="2">
        <v>1</v>
      </c>
      <c r="AU104" s="2" t="s">
        <v>238</v>
      </c>
      <c r="AV104" s="2" t="s">
        <v>203</v>
      </c>
      <c r="AW104" s="2" t="s">
        <v>188</v>
      </c>
      <c r="AZ104" s="2" t="s">
        <v>190</v>
      </c>
      <c r="BB104" s="2" t="s">
        <v>332</v>
      </c>
      <c r="BC104" s="2" t="s">
        <v>296</v>
      </c>
      <c r="BD104" s="2" t="s">
        <v>187</v>
      </c>
      <c r="BE104" s="2" t="s">
        <v>187</v>
      </c>
      <c r="BF104" s="2" t="s">
        <v>193</v>
      </c>
      <c r="BG104" s="2" t="s">
        <v>194</v>
      </c>
      <c r="BH104" s="2" t="s">
        <v>280</v>
      </c>
      <c r="BI104" s="2" t="s">
        <v>333</v>
      </c>
      <c r="BL104" s="2" t="s">
        <v>240</v>
      </c>
      <c r="BO104" s="2" t="s">
        <v>188</v>
      </c>
      <c r="BQ104" s="2" t="s">
        <v>200</v>
      </c>
      <c r="BS104" s="2" t="s">
        <v>187</v>
      </c>
      <c r="BT104" s="2" t="s">
        <v>69</v>
      </c>
      <c r="BU104" s="2" t="s">
        <v>544</v>
      </c>
      <c r="BV104" s="2" t="s">
        <v>248</v>
      </c>
      <c r="BX104" s="2" t="s">
        <v>188</v>
      </c>
      <c r="BZ104" s="2" t="s">
        <v>188</v>
      </c>
      <c r="CE104" s="2">
        <v>1</v>
      </c>
      <c r="CF104" s="2">
        <v>100</v>
      </c>
      <c r="CK104" s="2">
        <v>100</v>
      </c>
      <c r="CO104" s="2">
        <v>100</v>
      </c>
      <c r="CR104" s="2" t="s">
        <v>343</v>
      </c>
      <c r="CT104" s="2" t="s">
        <v>188</v>
      </c>
      <c r="CU104" s="2" t="s">
        <v>205</v>
      </c>
      <c r="CW104" s="2" t="s">
        <v>206</v>
      </c>
      <c r="CY104" s="2" t="s">
        <v>207</v>
      </c>
      <c r="CZ104" s="2" t="s">
        <v>207</v>
      </c>
      <c r="DA104" s="2" t="s">
        <v>300</v>
      </c>
      <c r="DB104" s="2" t="s">
        <v>300</v>
      </c>
      <c r="DC104" s="2" t="s">
        <v>300</v>
      </c>
      <c r="DD104" s="2" t="s">
        <v>300</v>
      </c>
      <c r="DE104" s="2" t="s">
        <v>300</v>
      </c>
      <c r="DF104" s="2" t="s">
        <v>300</v>
      </c>
      <c r="DG104" s="2" t="s">
        <v>300</v>
      </c>
      <c r="DH104" s="2" t="s">
        <v>300</v>
      </c>
      <c r="DI104" s="2" t="s">
        <v>300</v>
      </c>
      <c r="DL104" s="2" t="s">
        <v>188</v>
      </c>
      <c r="DM104" s="2" t="s">
        <v>188</v>
      </c>
      <c r="DP104" s="2" t="s">
        <v>188</v>
      </c>
      <c r="DT104" s="2" t="s">
        <v>203</v>
      </c>
      <c r="DU104" s="2" t="s">
        <v>203</v>
      </c>
      <c r="DV104" s="2" t="s">
        <v>203</v>
      </c>
      <c r="DW104" s="2" t="s">
        <v>203</v>
      </c>
      <c r="DX104" s="2" t="s">
        <v>203</v>
      </c>
      <c r="DY104" s="2" t="s">
        <v>203</v>
      </c>
      <c r="DZ104" s="2" t="s">
        <v>203</v>
      </c>
      <c r="EA104" s="2" t="s">
        <v>203</v>
      </c>
      <c r="EB104" s="2" t="s">
        <v>203</v>
      </c>
      <c r="EC104" s="2" t="s">
        <v>203</v>
      </c>
      <c r="EF104" s="2" t="s">
        <v>302</v>
      </c>
      <c r="EG104" s="2" t="s">
        <v>431</v>
      </c>
      <c r="EJ104" s="2" t="s">
        <v>203</v>
      </c>
      <c r="EK104" s="2" t="s">
        <v>188</v>
      </c>
      <c r="EL104" s="2" t="s">
        <v>188</v>
      </c>
      <c r="EN104" s="2" t="s">
        <v>255</v>
      </c>
      <c r="EP104" s="2" t="s">
        <v>230</v>
      </c>
      <c r="ER104" s="2" t="s">
        <v>188</v>
      </c>
      <c r="ET104" s="2" t="s">
        <v>188</v>
      </c>
      <c r="EV104" s="2" t="s">
        <v>188</v>
      </c>
      <c r="EX104" s="2" t="s">
        <v>188</v>
      </c>
      <c r="EZ104" s="2" t="s">
        <v>188</v>
      </c>
      <c r="FC104" s="2" t="s">
        <v>263</v>
      </c>
      <c r="FD104" s="2" t="s">
        <v>188</v>
      </c>
      <c r="FH104" s="2" t="s">
        <v>188</v>
      </c>
      <c r="FJ104" s="2" t="s">
        <v>188</v>
      </c>
      <c r="FK104" s="2" t="s">
        <v>203</v>
      </c>
      <c r="FR104" s="2" t="s">
        <v>995</v>
      </c>
      <c r="FT104" s="2" t="s">
        <v>219</v>
      </c>
      <c r="FU104" s="2" t="s">
        <v>233</v>
      </c>
      <c r="FV104" s="2" t="s">
        <v>233</v>
      </c>
      <c r="FW104" s="2" t="s">
        <v>233</v>
      </c>
      <c r="FZ104" s="4">
        <v>46040.926747685182</v>
      </c>
    </row>
    <row r="105" spans="1:182">
      <c r="A105" s="2" t="s">
        <v>996</v>
      </c>
      <c r="D105" s="4">
        <v>46266.46402777778</v>
      </c>
      <c r="E105" s="2" t="s">
        <v>997</v>
      </c>
      <c r="F105" s="2" t="s">
        <v>480</v>
      </c>
      <c r="G105" s="2" t="s">
        <v>831</v>
      </c>
      <c r="H105" s="2" t="s">
        <v>998</v>
      </c>
      <c r="I105" s="2" t="s">
        <v>999</v>
      </c>
      <c r="J105" s="2">
        <v>989792421</v>
      </c>
      <c r="K105" s="2" t="s">
        <v>999</v>
      </c>
      <c r="L105" s="2" t="s">
        <v>182</v>
      </c>
      <c r="M105" s="2" t="s">
        <v>183</v>
      </c>
      <c r="N105" s="2">
        <v>1993</v>
      </c>
      <c r="O105" s="2" t="s">
        <v>834</v>
      </c>
      <c r="P105" s="2" t="s">
        <v>185</v>
      </c>
      <c r="Q105" s="2" t="s">
        <v>186</v>
      </c>
      <c r="R105" s="2" t="s">
        <v>188</v>
      </c>
      <c r="S105" s="2">
        <v>9</v>
      </c>
      <c r="T105" s="2" t="s">
        <v>188</v>
      </c>
      <c r="U105" s="2" t="s">
        <v>188</v>
      </c>
      <c r="Y105" s="2">
        <v>257</v>
      </c>
      <c r="Z105" s="2">
        <v>0.88329999999999997</v>
      </c>
      <c r="AA105" s="2">
        <v>227</v>
      </c>
      <c r="AB105" s="2">
        <v>227</v>
      </c>
      <c r="AC105" s="2">
        <v>227</v>
      </c>
      <c r="AD105" s="2">
        <v>277</v>
      </c>
      <c r="AE105" s="2">
        <v>50</v>
      </c>
      <c r="AF105" s="2" t="s">
        <v>188</v>
      </c>
      <c r="AG105" s="2" t="s">
        <v>188</v>
      </c>
      <c r="AH105" s="2" t="s">
        <v>188</v>
      </c>
      <c r="AJ105" s="2" t="s">
        <v>188</v>
      </c>
      <c r="AK105" s="2" t="s">
        <v>187</v>
      </c>
      <c r="AL105" s="2" t="s">
        <v>188</v>
      </c>
      <c r="AM105" s="2" t="s">
        <v>187</v>
      </c>
      <c r="AN105" s="2" t="s">
        <v>188</v>
      </c>
      <c r="AO105" s="2" t="s">
        <v>188</v>
      </c>
      <c r="AR105" s="2">
        <v>0.75</v>
      </c>
      <c r="AS105" s="2">
        <v>2</v>
      </c>
      <c r="AT105" s="2">
        <v>2.8</v>
      </c>
      <c r="AU105" s="2" t="s">
        <v>238</v>
      </c>
      <c r="AV105" s="2" t="s">
        <v>238</v>
      </c>
      <c r="AW105" s="2" t="s">
        <v>188</v>
      </c>
      <c r="AZ105" s="2" t="s">
        <v>190</v>
      </c>
      <c r="BB105" s="2" t="s">
        <v>260</v>
      </c>
      <c r="BC105" s="2" t="s">
        <v>296</v>
      </c>
      <c r="BD105" s="2" t="s">
        <v>188</v>
      </c>
      <c r="BE105" s="2" t="s">
        <v>187</v>
      </c>
      <c r="BF105" s="2" t="s">
        <v>193</v>
      </c>
      <c r="BG105" s="2" t="s">
        <v>194</v>
      </c>
      <c r="BH105" s="2" t="s">
        <v>195</v>
      </c>
      <c r="BI105" s="2" t="s">
        <v>196</v>
      </c>
      <c r="BL105" s="2" t="s">
        <v>240</v>
      </c>
      <c r="BO105" s="2" t="s">
        <v>188</v>
      </c>
      <c r="BQ105" s="2" t="s">
        <v>227</v>
      </c>
      <c r="BS105" s="2" t="s">
        <v>187</v>
      </c>
      <c r="BT105" s="2" t="s">
        <v>484</v>
      </c>
      <c r="BV105" s="2" t="s">
        <v>485</v>
      </c>
      <c r="BX105" s="2" t="s">
        <v>187</v>
      </c>
      <c r="BY105" s="2" t="s">
        <v>1000</v>
      </c>
      <c r="BZ105" s="2" t="s">
        <v>209</v>
      </c>
      <c r="CA105" s="2" t="s">
        <v>1001</v>
      </c>
      <c r="CE105" s="2">
        <v>2.8</v>
      </c>
      <c r="CF105" s="2">
        <v>277</v>
      </c>
      <c r="CK105" s="2">
        <v>100</v>
      </c>
      <c r="CO105" s="2">
        <v>100</v>
      </c>
      <c r="CR105" s="2" t="s">
        <v>204</v>
      </c>
      <c r="CT105" s="2" t="s">
        <v>188</v>
      </c>
      <c r="CU105" s="2" t="s">
        <v>758</v>
      </c>
      <c r="CW105" s="2" t="s">
        <v>206</v>
      </c>
      <c r="CY105" s="2" t="s">
        <v>207</v>
      </c>
      <c r="CZ105" s="2" t="s">
        <v>207</v>
      </c>
      <c r="DA105" s="2" t="s">
        <v>300</v>
      </c>
      <c r="DB105" s="2" t="s">
        <v>300</v>
      </c>
      <c r="DC105" s="2" t="s">
        <v>300</v>
      </c>
      <c r="DD105" s="2" t="s">
        <v>300</v>
      </c>
      <c r="DE105" s="2" t="s">
        <v>300</v>
      </c>
      <c r="DF105" s="2" t="s">
        <v>300</v>
      </c>
      <c r="DG105" s="2" t="s">
        <v>273</v>
      </c>
      <c r="DH105" s="2" t="s">
        <v>273</v>
      </c>
      <c r="DI105" s="2" t="s">
        <v>300</v>
      </c>
      <c r="DL105" s="2" t="s">
        <v>187</v>
      </c>
      <c r="DM105" s="2" t="s">
        <v>187</v>
      </c>
      <c r="DN105" s="2" t="s">
        <v>187</v>
      </c>
      <c r="DO105" s="2" t="s">
        <v>187</v>
      </c>
      <c r="DP105" s="2" t="s">
        <v>209</v>
      </c>
      <c r="DQ105" s="2" t="s">
        <v>210</v>
      </c>
      <c r="DT105" s="2" t="s">
        <v>209</v>
      </c>
      <c r="DU105" s="2" t="s">
        <v>209</v>
      </c>
      <c r="DV105" s="2" t="s">
        <v>209</v>
      </c>
      <c r="DW105" s="2" t="s">
        <v>209</v>
      </c>
      <c r="DX105" s="2" t="s">
        <v>209</v>
      </c>
      <c r="DY105" s="2" t="s">
        <v>209</v>
      </c>
      <c r="DZ105" s="2" t="s">
        <v>203</v>
      </c>
      <c r="EA105" s="2" t="s">
        <v>209</v>
      </c>
      <c r="EB105" s="2" t="s">
        <v>209</v>
      </c>
      <c r="EC105" s="2" t="s">
        <v>203</v>
      </c>
      <c r="ED105" s="2" t="s">
        <v>203</v>
      </c>
      <c r="EF105" s="2" t="s">
        <v>302</v>
      </c>
      <c r="EG105" s="2" t="s">
        <v>1002</v>
      </c>
      <c r="EJ105" s="2" t="s">
        <v>203</v>
      </c>
      <c r="EK105" s="2" t="s">
        <v>188</v>
      </c>
      <c r="EL105" s="2" t="s">
        <v>188</v>
      </c>
      <c r="EN105" s="2" t="s">
        <v>214</v>
      </c>
      <c r="EP105" s="2" t="s">
        <v>230</v>
      </c>
      <c r="ER105" s="2" t="s">
        <v>188</v>
      </c>
      <c r="ET105" s="2" t="s">
        <v>188</v>
      </c>
      <c r="EV105" s="2" t="s">
        <v>188</v>
      </c>
      <c r="EX105" s="2" t="s">
        <v>188</v>
      </c>
      <c r="EZ105" s="2" t="s">
        <v>188</v>
      </c>
      <c r="FC105" s="2" t="s">
        <v>395</v>
      </c>
      <c r="FD105" s="2" t="s">
        <v>188</v>
      </c>
      <c r="FH105" s="2" t="s">
        <v>188</v>
      </c>
      <c r="FJ105" s="2" t="s">
        <v>188</v>
      </c>
      <c r="FK105" s="2" t="s">
        <v>188</v>
      </c>
      <c r="FN105" s="2" t="s">
        <v>488</v>
      </c>
      <c r="FR105" s="2" t="s">
        <v>1003</v>
      </c>
      <c r="FT105" s="2" t="s">
        <v>233</v>
      </c>
      <c r="FU105" s="2" t="s">
        <v>233</v>
      </c>
      <c r="FV105" s="2" t="s">
        <v>233</v>
      </c>
      <c r="FW105" s="2" t="s">
        <v>233</v>
      </c>
      <c r="FZ105" s="4">
        <v>46049.391550925924</v>
      </c>
    </row>
    <row r="106" spans="1:182">
      <c r="A106" s="2" t="s">
        <v>1004</v>
      </c>
      <c r="D106" s="4">
        <v>46266.468668981484</v>
      </c>
      <c r="E106" s="2" t="s">
        <v>1005</v>
      </c>
      <c r="F106" s="2" t="s">
        <v>398</v>
      </c>
      <c r="G106" s="2" t="s">
        <v>791</v>
      </c>
      <c r="H106" s="2" t="s">
        <v>970</v>
      </c>
      <c r="I106" s="2" t="s">
        <v>1006</v>
      </c>
      <c r="J106" s="2">
        <v>398645880</v>
      </c>
      <c r="K106" s="2" t="s">
        <v>1006</v>
      </c>
      <c r="L106" s="2" t="s">
        <v>269</v>
      </c>
      <c r="M106" s="2" t="s">
        <v>183</v>
      </c>
      <c r="N106" s="2">
        <v>1978</v>
      </c>
      <c r="O106" s="2" t="s">
        <v>184</v>
      </c>
      <c r="P106" s="2" t="s">
        <v>185</v>
      </c>
      <c r="Q106" s="2" t="s">
        <v>270</v>
      </c>
      <c r="R106" s="2" t="s">
        <v>188</v>
      </c>
      <c r="S106" s="2">
        <v>10</v>
      </c>
      <c r="T106" s="2" t="s">
        <v>188</v>
      </c>
      <c r="U106" s="2" t="s">
        <v>188</v>
      </c>
      <c r="Y106" s="2">
        <v>225</v>
      </c>
      <c r="Z106" s="2">
        <v>0.82220000000000004</v>
      </c>
      <c r="AA106" s="2">
        <v>185</v>
      </c>
      <c r="AB106" s="2">
        <v>185</v>
      </c>
      <c r="AC106" s="2">
        <v>185</v>
      </c>
      <c r="AD106" s="2">
        <v>205</v>
      </c>
      <c r="AE106" s="2">
        <v>20</v>
      </c>
      <c r="AF106" s="2" t="s">
        <v>188</v>
      </c>
      <c r="AG106" s="2" t="s">
        <v>188</v>
      </c>
      <c r="AH106" s="2" t="s">
        <v>188</v>
      </c>
      <c r="AJ106" s="2" t="s">
        <v>188</v>
      </c>
      <c r="AK106" s="2" t="s">
        <v>187</v>
      </c>
      <c r="AL106" s="2" t="s">
        <v>188</v>
      </c>
      <c r="AM106" s="2" t="s">
        <v>187</v>
      </c>
      <c r="AN106" s="2" t="s">
        <v>188</v>
      </c>
      <c r="AO106" s="2" t="s">
        <v>188</v>
      </c>
      <c r="AR106" s="2">
        <v>0.7</v>
      </c>
      <c r="AS106" s="2">
        <v>2</v>
      </c>
      <c r="AT106" s="2">
        <v>1</v>
      </c>
      <c r="AU106" s="2" t="s">
        <v>238</v>
      </c>
      <c r="AV106" s="2" t="s">
        <v>238</v>
      </c>
      <c r="AW106" s="2" t="s">
        <v>188</v>
      </c>
      <c r="AZ106" s="2" t="s">
        <v>190</v>
      </c>
      <c r="BB106" s="2" t="s">
        <v>260</v>
      </c>
      <c r="BC106" s="2" t="s">
        <v>296</v>
      </c>
      <c r="BD106" s="2" t="s">
        <v>187</v>
      </c>
      <c r="BE106" s="2" t="s">
        <v>187</v>
      </c>
      <c r="BF106" s="2" t="s">
        <v>193</v>
      </c>
      <c r="BG106" s="2" t="s">
        <v>194</v>
      </c>
      <c r="BH106" s="2" t="s">
        <v>280</v>
      </c>
      <c r="BI106" s="2" t="s">
        <v>196</v>
      </c>
      <c r="BL106" s="2" t="s">
        <v>240</v>
      </c>
      <c r="BO106" s="2" t="s">
        <v>341</v>
      </c>
      <c r="BP106" s="2" t="s">
        <v>342</v>
      </c>
      <c r="BS106" s="2" t="s">
        <v>187</v>
      </c>
      <c r="BT106" s="2" t="s">
        <v>201</v>
      </c>
      <c r="BV106" s="2" t="s">
        <v>248</v>
      </c>
      <c r="BX106" s="2" t="s">
        <v>187</v>
      </c>
      <c r="BY106" s="2" t="s">
        <v>1007</v>
      </c>
      <c r="BZ106" s="2" t="s">
        <v>188</v>
      </c>
      <c r="CE106" s="2">
        <v>1</v>
      </c>
      <c r="CF106" s="2">
        <v>205</v>
      </c>
      <c r="CK106" s="2">
        <v>100</v>
      </c>
      <c r="CP106" s="2">
        <v>100</v>
      </c>
      <c r="CR106" s="2" t="s">
        <v>204</v>
      </c>
      <c r="CT106" s="2" t="s">
        <v>188</v>
      </c>
      <c r="CU106" s="2" t="s">
        <v>205</v>
      </c>
      <c r="CW106" s="2" t="s">
        <v>206</v>
      </c>
      <c r="CY106" s="2" t="s">
        <v>300</v>
      </c>
      <c r="CZ106" s="2" t="s">
        <v>300</v>
      </c>
      <c r="DA106" s="2" t="s">
        <v>300</v>
      </c>
      <c r="DB106" s="2" t="s">
        <v>300</v>
      </c>
      <c r="DC106" s="2" t="s">
        <v>300</v>
      </c>
      <c r="DD106" s="2" t="s">
        <v>300</v>
      </c>
      <c r="DE106" s="2" t="s">
        <v>300</v>
      </c>
      <c r="DF106" s="2" t="s">
        <v>300</v>
      </c>
      <c r="DG106" s="2" t="s">
        <v>300</v>
      </c>
      <c r="DH106" s="2" t="s">
        <v>300</v>
      </c>
      <c r="DI106" s="2" t="s">
        <v>300</v>
      </c>
      <c r="DL106" s="2" t="s">
        <v>188</v>
      </c>
      <c r="DM106" s="2" t="s">
        <v>188</v>
      </c>
      <c r="DP106" s="2" t="s">
        <v>203</v>
      </c>
      <c r="DT106" s="2" t="s">
        <v>203</v>
      </c>
      <c r="DU106" s="2" t="s">
        <v>203</v>
      </c>
      <c r="DV106" s="2" t="s">
        <v>203</v>
      </c>
      <c r="DW106" s="2" t="s">
        <v>203</v>
      </c>
      <c r="DX106" s="2" t="s">
        <v>203</v>
      </c>
      <c r="DY106" s="2" t="s">
        <v>203</v>
      </c>
      <c r="DZ106" s="2" t="s">
        <v>203</v>
      </c>
      <c r="EA106" s="2" t="s">
        <v>203</v>
      </c>
      <c r="EB106" s="2" t="s">
        <v>203</v>
      </c>
      <c r="EC106" s="2" t="s">
        <v>203</v>
      </c>
      <c r="ED106" s="2" t="s">
        <v>203</v>
      </c>
      <c r="EF106" s="2" t="s">
        <v>302</v>
      </c>
      <c r="EG106" s="2" t="s">
        <v>1008</v>
      </c>
      <c r="EJ106" s="2" t="s">
        <v>238</v>
      </c>
      <c r="EK106" s="2" t="s">
        <v>188</v>
      </c>
      <c r="EL106" s="2" t="s">
        <v>188</v>
      </c>
      <c r="EN106" s="2" t="s">
        <v>214</v>
      </c>
      <c r="EP106" s="2" t="s">
        <v>230</v>
      </c>
      <c r="ER106" s="2" t="s">
        <v>188</v>
      </c>
      <c r="ET106" s="2" t="s">
        <v>188</v>
      </c>
      <c r="EV106" s="2" t="s">
        <v>188</v>
      </c>
      <c r="EX106" s="2" t="s">
        <v>188</v>
      </c>
      <c r="EZ106" s="2" t="s">
        <v>188</v>
      </c>
      <c r="FC106" s="2" t="s">
        <v>216</v>
      </c>
      <c r="FD106" s="2" t="s">
        <v>188</v>
      </c>
      <c r="FH106" s="2" t="s">
        <v>188</v>
      </c>
      <c r="FJ106" s="2" t="s">
        <v>188</v>
      </c>
      <c r="FK106" s="2" t="s">
        <v>188</v>
      </c>
      <c r="FN106" s="2" t="s">
        <v>291</v>
      </c>
      <c r="FO106" s="2" t="s">
        <v>1009</v>
      </c>
      <c r="FR106" s="2" t="s">
        <v>1010</v>
      </c>
      <c r="FT106" s="2" t="s">
        <v>219</v>
      </c>
      <c r="FU106" s="2" t="s">
        <v>233</v>
      </c>
      <c r="FV106" s="2" t="s">
        <v>219</v>
      </c>
      <c r="FW106" s="2" t="s">
        <v>219</v>
      </c>
      <c r="FX106" s="2" t="s">
        <v>219</v>
      </c>
      <c r="FY106" s="2" t="s">
        <v>1011</v>
      </c>
      <c r="FZ106" s="4">
        <v>46038.428171296298</v>
      </c>
    </row>
    <row r="107" spans="1:182">
      <c r="A107" s="2" t="s">
        <v>1012</v>
      </c>
      <c r="D107" s="4">
        <v>46266.47583333333</v>
      </c>
      <c r="E107" s="2" t="s">
        <v>177</v>
      </c>
      <c r="F107" s="2" t="s">
        <v>293</v>
      </c>
      <c r="G107" s="2" t="s">
        <v>791</v>
      </c>
      <c r="H107" s="2" t="s">
        <v>792</v>
      </c>
      <c r="I107" s="2" t="s">
        <v>1013</v>
      </c>
      <c r="J107" s="2">
        <v>983681796</v>
      </c>
      <c r="K107" s="2" t="s">
        <v>1013</v>
      </c>
      <c r="L107" s="2" t="s">
        <v>269</v>
      </c>
      <c r="M107" s="2" t="s">
        <v>183</v>
      </c>
      <c r="N107" s="2">
        <v>1999</v>
      </c>
      <c r="O107" s="2" t="s">
        <v>184</v>
      </c>
      <c r="P107" s="2" t="s">
        <v>185</v>
      </c>
      <c r="Q107" s="2" t="s">
        <v>270</v>
      </c>
      <c r="R107" s="2" t="s">
        <v>188</v>
      </c>
      <c r="S107" s="2">
        <v>2019</v>
      </c>
      <c r="T107" s="2" t="s">
        <v>188</v>
      </c>
      <c r="U107" s="2" t="s">
        <v>188</v>
      </c>
      <c r="Y107" s="2">
        <v>340</v>
      </c>
      <c r="Z107" s="2">
        <v>0.91180000000000005</v>
      </c>
      <c r="AA107" s="2">
        <v>310</v>
      </c>
      <c r="AB107" s="2">
        <v>300</v>
      </c>
      <c r="AC107" s="2">
        <v>225</v>
      </c>
      <c r="AD107" s="2">
        <v>250</v>
      </c>
      <c r="AE107" s="2">
        <v>25</v>
      </c>
      <c r="AF107" s="2" t="s">
        <v>187</v>
      </c>
      <c r="AG107" s="2" t="s">
        <v>187</v>
      </c>
      <c r="AH107" s="2" t="s">
        <v>187</v>
      </c>
      <c r="AI107" s="2" t="s">
        <v>346</v>
      </c>
      <c r="AJ107" s="2" t="s">
        <v>188</v>
      </c>
      <c r="AK107" s="2" t="s">
        <v>187</v>
      </c>
      <c r="AM107" s="2" t="s">
        <v>187</v>
      </c>
      <c r="AN107" s="2" t="s">
        <v>188</v>
      </c>
      <c r="AO107" s="2" t="s">
        <v>188</v>
      </c>
      <c r="AR107" s="2">
        <v>0.2</v>
      </c>
      <c r="AS107" s="2">
        <v>1</v>
      </c>
      <c r="AT107" s="2">
        <v>0.7</v>
      </c>
      <c r="AU107" s="2" t="s">
        <v>238</v>
      </c>
      <c r="AV107" s="2" t="s">
        <v>238</v>
      </c>
      <c r="AW107" s="2" t="s">
        <v>188</v>
      </c>
      <c r="AZ107" s="2" t="s">
        <v>190</v>
      </c>
      <c r="BB107" s="2" t="s">
        <v>260</v>
      </c>
      <c r="BC107" s="2" t="s">
        <v>253</v>
      </c>
      <c r="BD107" s="2" t="s">
        <v>188</v>
      </c>
      <c r="BE107" s="2" t="s">
        <v>187</v>
      </c>
      <c r="BF107" s="2" t="s">
        <v>193</v>
      </c>
      <c r="BG107" s="2" t="s">
        <v>194</v>
      </c>
      <c r="BH107" s="2" t="s">
        <v>195</v>
      </c>
      <c r="BI107" s="2" t="s">
        <v>196</v>
      </c>
      <c r="BL107" s="2" t="s">
        <v>240</v>
      </c>
      <c r="BM107" s="2" t="s">
        <v>507</v>
      </c>
      <c r="BN107" s="2" t="s">
        <v>199</v>
      </c>
      <c r="BO107" s="2" t="s">
        <v>188</v>
      </c>
      <c r="BQ107" s="2" t="s">
        <v>227</v>
      </c>
      <c r="BS107" s="2" t="s">
        <v>187</v>
      </c>
      <c r="BT107" s="2" t="s">
        <v>261</v>
      </c>
      <c r="BV107" s="2" t="s">
        <v>1014</v>
      </c>
      <c r="BX107" s="2" t="s">
        <v>187</v>
      </c>
      <c r="BY107" s="2" t="s">
        <v>326</v>
      </c>
      <c r="BZ107" s="2" t="s">
        <v>209</v>
      </c>
      <c r="CA107" s="2" t="s">
        <v>1015</v>
      </c>
      <c r="CE107" s="2">
        <v>0.7</v>
      </c>
      <c r="CF107" s="2">
        <v>68</v>
      </c>
      <c r="CK107" s="2">
        <v>100</v>
      </c>
      <c r="CO107" s="2">
        <v>100</v>
      </c>
      <c r="CR107" s="2" t="s">
        <v>204</v>
      </c>
      <c r="CT107" s="2" t="s">
        <v>188</v>
      </c>
      <c r="CU107" s="2" t="s">
        <v>205</v>
      </c>
      <c r="CW107" s="2" t="s">
        <v>206</v>
      </c>
      <c r="CY107" s="2" t="s">
        <v>300</v>
      </c>
      <c r="CZ107" s="2" t="s">
        <v>300</v>
      </c>
      <c r="DA107" s="2" t="s">
        <v>208</v>
      </c>
      <c r="DB107" s="2" t="s">
        <v>300</v>
      </c>
      <c r="DC107" s="2" t="s">
        <v>300</v>
      </c>
      <c r="DD107" s="2" t="s">
        <v>300</v>
      </c>
      <c r="DE107" s="2" t="s">
        <v>300</v>
      </c>
      <c r="DF107" s="2" t="s">
        <v>300</v>
      </c>
      <c r="DG107" s="2" t="s">
        <v>208</v>
      </c>
      <c r="DH107" s="2" t="s">
        <v>208</v>
      </c>
      <c r="DI107" s="2" t="s">
        <v>208</v>
      </c>
      <c r="DL107" s="2" t="s">
        <v>188</v>
      </c>
      <c r="DM107" s="2" t="s">
        <v>188</v>
      </c>
      <c r="DP107" s="2" t="s">
        <v>203</v>
      </c>
      <c r="DT107" s="2" t="s">
        <v>209</v>
      </c>
      <c r="DU107" s="2" t="s">
        <v>209</v>
      </c>
      <c r="DV107" s="2" t="s">
        <v>209</v>
      </c>
      <c r="DW107" s="2" t="s">
        <v>209</v>
      </c>
      <c r="DX107" s="2" t="s">
        <v>203</v>
      </c>
      <c r="DY107" s="2" t="s">
        <v>203</v>
      </c>
      <c r="DZ107" s="2" t="s">
        <v>203</v>
      </c>
      <c r="EA107" s="2" t="s">
        <v>209</v>
      </c>
      <c r="EB107" s="2" t="s">
        <v>203</v>
      </c>
      <c r="EC107" s="2" t="s">
        <v>203</v>
      </c>
      <c r="ED107" s="2" t="s">
        <v>203</v>
      </c>
      <c r="EJ107" s="2" t="s">
        <v>203</v>
      </c>
      <c r="EK107" s="2" t="s">
        <v>188</v>
      </c>
      <c r="EL107" s="2" t="s">
        <v>188</v>
      </c>
      <c r="EN107" s="2" t="s">
        <v>214</v>
      </c>
      <c r="EP107" s="2" t="s">
        <v>230</v>
      </c>
      <c r="ER107" s="2" t="s">
        <v>188</v>
      </c>
      <c r="ET107" s="2" t="s">
        <v>188</v>
      </c>
      <c r="EV107" s="2" t="s">
        <v>188</v>
      </c>
      <c r="EX107" s="2" t="s">
        <v>188</v>
      </c>
      <c r="EZ107" s="2" t="s">
        <v>188</v>
      </c>
      <c r="FC107" s="2" t="s">
        <v>216</v>
      </c>
      <c r="FD107" s="2" t="s">
        <v>188</v>
      </c>
      <c r="FH107" s="2" t="s">
        <v>188</v>
      </c>
      <c r="FJ107" s="2" t="s">
        <v>187</v>
      </c>
      <c r="FK107" s="2" t="s">
        <v>203</v>
      </c>
      <c r="FN107" s="2" t="s">
        <v>488</v>
      </c>
      <c r="FT107" s="2" t="s">
        <v>233</v>
      </c>
      <c r="FU107" s="2" t="s">
        <v>233</v>
      </c>
      <c r="FV107" s="2" t="s">
        <v>233</v>
      </c>
      <c r="FW107" s="2" t="s">
        <v>233</v>
      </c>
      <c r="FZ107" s="4">
        <v>46038.645231481481</v>
      </c>
    </row>
    <row r="108" spans="1:182">
      <c r="A108" s="2" t="s">
        <v>1016</v>
      </c>
      <c r="D108" s="4">
        <v>46266.477916666663</v>
      </c>
      <c r="E108" s="2" t="s">
        <v>1017</v>
      </c>
      <c r="F108" s="2" t="s">
        <v>398</v>
      </c>
      <c r="G108" s="2" t="s">
        <v>791</v>
      </c>
      <c r="H108" s="2" t="s">
        <v>822</v>
      </c>
      <c r="I108" s="2" t="s">
        <v>1018</v>
      </c>
      <c r="J108" s="2">
        <v>395581052</v>
      </c>
      <c r="K108" s="2" t="s">
        <v>1019</v>
      </c>
      <c r="L108" s="2" t="s">
        <v>182</v>
      </c>
      <c r="M108" s="2" t="s">
        <v>223</v>
      </c>
      <c r="N108" s="2">
        <v>1972</v>
      </c>
      <c r="O108" s="2" t="s">
        <v>184</v>
      </c>
      <c r="P108" s="2" t="s">
        <v>225</v>
      </c>
      <c r="Q108" s="2" t="s">
        <v>603</v>
      </c>
      <c r="R108" s="2" t="s">
        <v>188</v>
      </c>
      <c r="S108" s="2">
        <v>24</v>
      </c>
      <c r="T108" s="2" t="s">
        <v>188</v>
      </c>
      <c r="U108" s="2" t="s">
        <v>188</v>
      </c>
      <c r="Y108" s="2">
        <v>365</v>
      </c>
      <c r="Z108" s="2">
        <v>1</v>
      </c>
      <c r="AA108" s="2">
        <v>365</v>
      </c>
      <c r="AB108" s="2">
        <v>365</v>
      </c>
      <c r="AC108" s="2">
        <v>365</v>
      </c>
      <c r="AD108" s="2">
        <v>400</v>
      </c>
      <c r="AE108" s="2">
        <v>35</v>
      </c>
      <c r="AF108" s="2" t="s">
        <v>188</v>
      </c>
      <c r="AG108" s="2" t="s">
        <v>188</v>
      </c>
      <c r="AH108" s="2" t="s">
        <v>188</v>
      </c>
      <c r="AJ108" s="2" t="s">
        <v>188</v>
      </c>
      <c r="AK108" s="2" t="s">
        <v>188</v>
      </c>
      <c r="AL108" s="2" t="s">
        <v>188</v>
      </c>
      <c r="AM108" s="2" t="s">
        <v>188</v>
      </c>
      <c r="AN108" s="2" t="s">
        <v>188</v>
      </c>
      <c r="AO108" s="2" t="s">
        <v>188</v>
      </c>
      <c r="AR108" s="2">
        <v>1.2</v>
      </c>
      <c r="AS108" s="2">
        <v>4</v>
      </c>
      <c r="AT108" s="2">
        <v>4</v>
      </c>
      <c r="AU108" s="2" t="s">
        <v>238</v>
      </c>
      <c r="AV108" s="2" t="s">
        <v>238</v>
      </c>
      <c r="AW108" s="2" t="s">
        <v>188</v>
      </c>
      <c r="BC108" s="2" t="s">
        <v>192</v>
      </c>
      <c r="BD108" s="2" t="s">
        <v>187</v>
      </c>
      <c r="BE108" s="2" t="s">
        <v>188</v>
      </c>
      <c r="BL108" s="2" t="s">
        <v>240</v>
      </c>
      <c r="BO108" s="2" t="s">
        <v>341</v>
      </c>
      <c r="BP108" s="2" t="s">
        <v>342</v>
      </c>
      <c r="BS108" s="2" t="s">
        <v>187</v>
      </c>
      <c r="BT108" s="2" t="s">
        <v>261</v>
      </c>
      <c r="BV108" s="2" t="s">
        <v>248</v>
      </c>
      <c r="BX108" s="2" t="s">
        <v>188</v>
      </c>
      <c r="BY108" s="2" t="s">
        <v>696</v>
      </c>
      <c r="BZ108" s="2" t="s">
        <v>188</v>
      </c>
      <c r="CE108" s="2">
        <v>4</v>
      </c>
      <c r="CF108" s="2">
        <v>400</v>
      </c>
      <c r="CK108" s="2">
        <v>100</v>
      </c>
      <c r="CP108" s="2">
        <v>100</v>
      </c>
      <c r="CR108" s="2" t="s">
        <v>204</v>
      </c>
      <c r="CT108" s="2" t="s">
        <v>188</v>
      </c>
      <c r="CU108" s="2" t="s">
        <v>205</v>
      </c>
      <c r="CW108" s="2" t="s">
        <v>206</v>
      </c>
      <c r="CY108" s="2" t="s">
        <v>300</v>
      </c>
      <c r="CZ108" s="2" t="s">
        <v>300</v>
      </c>
      <c r="DA108" s="2" t="s">
        <v>300</v>
      </c>
      <c r="DB108" s="2" t="s">
        <v>300</v>
      </c>
      <c r="DC108" s="2" t="s">
        <v>300</v>
      </c>
      <c r="DD108" s="2" t="s">
        <v>300</v>
      </c>
      <c r="DE108" s="2" t="s">
        <v>300</v>
      </c>
      <c r="DF108" s="2" t="s">
        <v>300</v>
      </c>
      <c r="DG108" s="2" t="s">
        <v>300</v>
      </c>
      <c r="DH108" s="2" t="s">
        <v>300</v>
      </c>
      <c r="DI108" s="2" t="s">
        <v>300</v>
      </c>
      <c r="DL108" s="2" t="s">
        <v>188</v>
      </c>
      <c r="DM108" s="2" t="s">
        <v>188</v>
      </c>
      <c r="DP108" s="2" t="s">
        <v>203</v>
      </c>
      <c r="DT108" s="2" t="s">
        <v>203</v>
      </c>
      <c r="DU108" s="2" t="s">
        <v>203</v>
      </c>
      <c r="DV108" s="2" t="s">
        <v>203</v>
      </c>
      <c r="DW108" s="2" t="s">
        <v>203</v>
      </c>
      <c r="DX108" s="2" t="s">
        <v>203</v>
      </c>
      <c r="DY108" s="2" t="s">
        <v>203</v>
      </c>
      <c r="DZ108" s="2" t="s">
        <v>203</v>
      </c>
      <c r="EA108" s="2" t="s">
        <v>203</v>
      </c>
      <c r="EB108" s="2" t="s">
        <v>203</v>
      </c>
      <c r="EC108" s="2" t="s">
        <v>203</v>
      </c>
      <c r="ED108" s="2" t="s">
        <v>203</v>
      </c>
      <c r="EF108" s="2" t="s">
        <v>302</v>
      </c>
      <c r="EG108" s="2" t="s">
        <v>1020</v>
      </c>
      <c r="EJ108" s="2" t="s">
        <v>203</v>
      </c>
      <c r="EK108" s="2" t="s">
        <v>188</v>
      </c>
      <c r="EL108" s="2" t="s">
        <v>188</v>
      </c>
      <c r="EN108" s="2" t="s">
        <v>214</v>
      </c>
      <c r="EP108" s="2" t="s">
        <v>230</v>
      </c>
      <c r="ER108" s="2" t="s">
        <v>188</v>
      </c>
      <c r="ET108" s="2" t="s">
        <v>188</v>
      </c>
      <c r="EV108" s="2" t="s">
        <v>188</v>
      </c>
      <c r="EX108" s="2" t="s">
        <v>188</v>
      </c>
      <c r="EZ108" s="2" t="s">
        <v>188</v>
      </c>
      <c r="FC108" s="2" t="s">
        <v>216</v>
      </c>
      <c r="FD108" s="2" t="s">
        <v>188</v>
      </c>
      <c r="FH108" s="2" t="s">
        <v>188</v>
      </c>
      <c r="FJ108" s="2" t="s">
        <v>188</v>
      </c>
      <c r="FK108" s="2" t="s">
        <v>203</v>
      </c>
      <c r="FR108" s="2" t="s">
        <v>1021</v>
      </c>
      <c r="FT108" s="2" t="s">
        <v>233</v>
      </c>
      <c r="FU108" s="2" t="s">
        <v>233</v>
      </c>
      <c r="FV108" s="2" t="s">
        <v>233</v>
      </c>
      <c r="FW108" s="2" t="s">
        <v>233</v>
      </c>
      <c r="FX108" s="2" t="s">
        <v>233</v>
      </c>
      <c r="FY108" s="2" t="s">
        <v>1022</v>
      </c>
      <c r="FZ108" s="4">
        <v>46038.44085648148</v>
      </c>
    </row>
    <row r="109" spans="1:182">
      <c r="A109" s="2" t="s">
        <v>1023</v>
      </c>
      <c r="D109" s="4">
        <v>46266.490624999999</v>
      </c>
      <c r="E109" s="2" t="s">
        <v>177</v>
      </c>
      <c r="F109" s="2" t="s">
        <v>178</v>
      </c>
      <c r="G109" s="2" t="s">
        <v>831</v>
      </c>
      <c r="H109" s="2" t="s">
        <v>849</v>
      </c>
      <c r="I109" s="2" t="s">
        <v>1024</v>
      </c>
      <c r="J109" s="2">
        <v>397593776</v>
      </c>
      <c r="K109" s="2" t="s">
        <v>1025</v>
      </c>
      <c r="L109" s="2" t="s">
        <v>182</v>
      </c>
      <c r="M109" s="2" t="s">
        <v>223</v>
      </c>
      <c r="N109" s="2">
        <v>1999</v>
      </c>
      <c r="O109" s="2" t="s">
        <v>834</v>
      </c>
      <c r="P109" s="2" t="s">
        <v>225</v>
      </c>
      <c r="Q109" s="2" t="s">
        <v>186</v>
      </c>
      <c r="R109" s="2" t="s">
        <v>188</v>
      </c>
      <c r="S109" s="2">
        <v>9</v>
      </c>
      <c r="T109" s="2" t="s">
        <v>187</v>
      </c>
      <c r="U109" s="2" t="s">
        <v>188</v>
      </c>
      <c r="Y109" s="2">
        <v>154</v>
      </c>
      <c r="Z109" s="2">
        <v>1</v>
      </c>
      <c r="AA109" s="2">
        <v>154</v>
      </c>
      <c r="AB109" s="2">
        <v>154</v>
      </c>
      <c r="AC109" s="2">
        <v>154</v>
      </c>
      <c r="AD109" s="2">
        <v>180</v>
      </c>
      <c r="AE109" s="2">
        <v>26</v>
      </c>
      <c r="AF109" s="2" t="s">
        <v>187</v>
      </c>
      <c r="AG109" s="2" t="s">
        <v>188</v>
      </c>
      <c r="AH109" s="2" t="s">
        <v>188</v>
      </c>
      <c r="AJ109" s="2" t="s">
        <v>188</v>
      </c>
      <c r="AK109" s="2" t="s">
        <v>188</v>
      </c>
      <c r="AL109" s="2" t="s">
        <v>188</v>
      </c>
      <c r="AM109" s="2" t="s">
        <v>188</v>
      </c>
      <c r="AN109" s="2" t="s">
        <v>188</v>
      </c>
      <c r="AO109" s="2" t="s">
        <v>188</v>
      </c>
      <c r="AR109" s="2">
        <v>1.04</v>
      </c>
      <c r="AS109" s="2">
        <v>4</v>
      </c>
      <c r="AT109" s="2">
        <v>1.8</v>
      </c>
      <c r="AU109" s="2" t="s">
        <v>238</v>
      </c>
      <c r="AV109" s="2" t="s">
        <v>238</v>
      </c>
      <c r="AW109" s="2" t="s">
        <v>188</v>
      </c>
      <c r="BC109" s="2" t="s">
        <v>192</v>
      </c>
      <c r="BD109" s="2" t="s">
        <v>188</v>
      </c>
      <c r="BE109" s="2" t="s">
        <v>188</v>
      </c>
      <c r="BL109" s="2" t="s">
        <v>240</v>
      </c>
      <c r="BO109" s="2" t="s">
        <v>188</v>
      </c>
      <c r="BQ109" s="2" t="s">
        <v>200</v>
      </c>
      <c r="BS109" s="2" t="s">
        <v>187</v>
      </c>
      <c r="BT109" s="2" t="s">
        <v>201</v>
      </c>
      <c r="BV109" s="2" t="s">
        <v>248</v>
      </c>
      <c r="BX109" s="2" t="s">
        <v>188</v>
      </c>
      <c r="BZ109" s="2" t="s">
        <v>203</v>
      </c>
      <c r="CE109" s="2">
        <v>1.8</v>
      </c>
      <c r="CF109" s="2">
        <v>180</v>
      </c>
      <c r="CK109" s="2">
        <v>100</v>
      </c>
      <c r="CO109" s="2">
        <v>100</v>
      </c>
      <c r="CR109" s="2" t="s">
        <v>204</v>
      </c>
      <c r="CT109" s="2" t="s">
        <v>188</v>
      </c>
      <c r="CU109" s="2" t="s">
        <v>281</v>
      </c>
      <c r="CW109" s="2" t="s">
        <v>206</v>
      </c>
      <c r="CY109" s="2" t="s">
        <v>208</v>
      </c>
      <c r="CZ109" s="2" t="s">
        <v>208</v>
      </c>
      <c r="DB109" s="2" t="s">
        <v>208</v>
      </c>
      <c r="DL109" s="2" t="s">
        <v>188</v>
      </c>
      <c r="DM109" s="2" t="s">
        <v>188</v>
      </c>
      <c r="DP109" s="2" t="s">
        <v>188</v>
      </c>
      <c r="DT109" s="2" t="s">
        <v>209</v>
      </c>
      <c r="DU109" s="2" t="s">
        <v>203</v>
      </c>
      <c r="DV109" s="2" t="s">
        <v>209</v>
      </c>
      <c r="DW109" s="2" t="s">
        <v>209</v>
      </c>
      <c r="DX109" s="2" t="s">
        <v>203</v>
      </c>
      <c r="DY109" s="2" t="s">
        <v>203</v>
      </c>
      <c r="DZ109" s="2" t="s">
        <v>203</v>
      </c>
      <c r="EA109" s="2" t="s">
        <v>203</v>
      </c>
      <c r="EB109" s="2" t="s">
        <v>203</v>
      </c>
      <c r="EJ109" s="2" t="s">
        <v>238</v>
      </c>
      <c r="EK109" s="2" t="s">
        <v>188</v>
      </c>
      <c r="EL109" s="2" t="s">
        <v>188</v>
      </c>
      <c r="EN109" s="2" t="s">
        <v>255</v>
      </c>
      <c r="EP109" s="2" t="s">
        <v>230</v>
      </c>
      <c r="ER109" s="2" t="s">
        <v>188</v>
      </c>
      <c r="ET109" s="2" t="s">
        <v>188</v>
      </c>
      <c r="EV109" s="2" t="s">
        <v>188</v>
      </c>
      <c r="EX109" s="2" t="s">
        <v>188</v>
      </c>
      <c r="EZ109" s="2" t="s">
        <v>188</v>
      </c>
      <c r="FC109" s="2" t="s">
        <v>216</v>
      </c>
      <c r="FD109" s="2" t="s">
        <v>188</v>
      </c>
      <c r="FH109" s="2" t="s">
        <v>188</v>
      </c>
      <c r="FJ109" s="2" t="s">
        <v>187</v>
      </c>
      <c r="FK109" s="2" t="s">
        <v>188</v>
      </c>
      <c r="FT109" s="2" t="s">
        <v>233</v>
      </c>
      <c r="FU109" s="2" t="s">
        <v>233</v>
      </c>
      <c r="FV109" s="2" t="s">
        <v>233</v>
      </c>
      <c r="FW109" s="2" t="s">
        <v>233</v>
      </c>
      <c r="FZ109" s="4">
        <v>46040.432245370372</v>
      </c>
    </row>
    <row r="110" spans="1:182">
      <c r="A110" s="2" t="s">
        <v>1026</v>
      </c>
      <c r="D110" s="4">
        <v>46266.500358796293</v>
      </c>
      <c r="E110" s="2" t="s">
        <v>1027</v>
      </c>
      <c r="F110" s="2" t="s">
        <v>480</v>
      </c>
      <c r="G110" s="2" t="s">
        <v>831</v>
      </c>
      <c r="H110" s="2" t="s">
        <v>1028</v>
      </c>
      <c r="I110" s="2" t="s">
        <v>1029</v>
      </c>
      <c r="J110" s="2">
        <v>974145738</v>
      </c>
      <c r="K110" s="2" t="s">
        <v>1030</v>
      </c>
      <c r="L110" s="2" t="s">
        <v>182</v>
      </c>
      <c r="M110" s="2" t="s">
        <v>183</v>
      </c>
      <c r="N110" s="2">
        <v>1971</v>
      </c>
      <c r="O110" s="2" t="s">
        <v>224</v>
      </c>
      <c r="P110" s="2" t="s">
        <v>185</v>
      </c>
      <c r="Q110" s="2" t="s">
        <v>226</v>
      </c>
      <c r="R110" s="2" t="s">
        <v>188</v>
      </c>
      <c r="S110" s="2">
        <v>14</v>
      </c>
      <c r="T110" s="2" t="s">
        <v>188</v>
      </c>
      <c r="U110" s="2" t="s">
        <v>188</v>
      </c>
      <c r="Y110" s="2">
        <v>482</v>
      </c>
      <c r="Z110" s="2">
        <v>1</v>
      </c>
      <c r="AA110" s="2">
        <v>482</v>
      </c>
      <c r="AB110" s="2">
        <v>482</v>
      </c>
      <c r="AC110" s="2">
        <v>482</v>
      </c>
      <c r="AD110" s="2">
        <v>594</v>
      </c>
      <c r="AE110" s="2">
        <v>112</v>
      </c>
      <c r="AF110" s="2" t="s">
        <v>188</v>
      </c>
      <c r="AG110" s="2" t="s">
        <v>188</v>
      </c>
      <c r="AH110" s="2" t="s">
        <v>188</v>
      </c>
      <c r="AJ110" s="2" t="s">
        <v>188</v>
      </c>
      <c r="AK110" s="2" t="s">
        <v>188</v>
      </c>
      <c r="AL110" s="2" t="s">
        <v>188</v>
      </c>
      <c r="AM110" s="2" t="s">
        <v>188</v>
      </c>
      <c r="AN110" s="2" t="s">
        <v>188</v>
      </c>
      <c r="AO110" s="2" t="s">
        <v>188</v>
      </c>
      <c r="AR110" s="2">
        <v>1.6</v>
      </c>
      <c r="AS110" s="2">
        <v>1</v>
      </c>
      <c r="AT110" s="2">
        <v>6.5</v>
      </c>
      <c r="AU110" s="2" t="s">
        <v>189</v>
      </c>
      <c r="AV110" s="2" t="s">
        <v>189</v>
      </c>
      <c r="AW110" s="2" t="s">
        <v>188</v>
      </c>
      <c r="BC110" s="2" t="s">
        <v>192</v>
      </c>
      <c r="BD110" s="2" t="s">
        <v>187</v>
      </c>
      <c r="BE110" s="2" t="s">
        <v>188</v>
      </c>
      <c r="BL110" s="2" t="s">
        <v>240</v>
      </c>
      <c r="BO110" s="2" t="s">
        <v>188</v>
      </c>
      <c r="BQ110" s="2" t="s">
        <v>227</v>
      </c>
      <c r="BS110" s="2" t="s">
        <v>187</v>
      </c>
      <c r="BT110" s="2" t="s">
        <v>484</v>
      </c>
      <c r="BV110" s="2" t="s">
        <v>630</v>
      </c>
      <c r="BX110" s="2" t="s">
        <v>187</v>
      </c>
      <c r="BY110" s="2" t="s">
        <v>1031</v>
      </c>
      <c r="BZ110" s="2" t="s">
        <v>209</v>
      </c>
      <c r="CA110" s="2" t="s">
        <v>1032</v>
      </c>
      <c r="CE110" s="2">
        <v>6.5</v>
      </c>
      <c r="CF110" s="2">
        <v>594</v>
      </c>
      <c r="CM110" s="2">
        <v>100</v>
      </c>
      <c r="CO110" s="2">
        <v>100</v>
      </c>
      <c r="CR110" s="2" t="s">
        <v>343</v>
      </c>
      <c r="CT110" s="2" t="s">
        <v>188</v>
      </c>
      <c r="CU110" s="2" t="s">
        <v>205</v>
      </c>
      <c r="CW110" s="2" t="s">
        <v>206</v>
      </c>
      <c r="CY110" s="2" t="s">
        <v>207</v>
      </c>
      <c r="CZ110" s="2" t="s">
        <v>207</v>
      </c>
      <c r="DA110" s="2" t="s">
        <v>300</v>
      </c>
      <c r="DB110" s="2" t="s">
        <v>300</v>
      </c>
      <c r="DC110" s="2" t="s">
        <v>300</v>
      </c>
      <c r="DD110" s="2" t="s">
        <v>430</v>
      </c>
      <c r="DE110" s="2" t="s">
        <v>300</v>
      </c>
      <c r="DF110" s="2" t="s">
        <v>207</v>
      </c>
      <c r="DG110" s="2" t="s">
        <v>207</v>
      </c>
      <c r="DH110" s="2" t="s">
        <v>207</v>
      </c>
      <c r="DI110" s="2" t="s">
        <v>207</v>
      </c>
      <c r="DL110" s="2" t="s">
        <v>187</v>
      </c>
      <c r="DM110" s="2" t="s">
        <v>187</v>
      </c>
      <c r="DN110" s="2" t="s">
        <v>187</v>
      </c>
      <c r="DO110" s="2" t="s">
        <v>187</v>
      </c>
      <c r="DP110" s="2" t="s">
        <v>209</v>
      </c>
      <c r="DQ110" s="2" t="s">
        <v>210</v>
      </c>
      <c r="DT110" s="2" t="s">
        <v>209</v>
      </c>
      <c r="DU110" s="2" t="s">
        <v>209</v>
      </c>
      <c r="DV110" s="2" t="s">
        <v>209</v>
      </c>
      <c r="DW110" s="2" t="s">
        <v>209</v>
      </c>
      <c r="DX110" s="2" t="s">
        <v>209</v>
      </c>
      <c r="DY110" s="2" t="s">
        <v>203</v>
      </c>
      <c r="DZ110" s="2" t="s">
        <v>203</v>
      </c>
      <c r="EA110" s="2" t="s">
        <v>209</v>
      </c>
      <c r="EB110" s="2" t="s">
        <v>209</v>
      </c>
      <c r="EC110" s="2" t="s">
        <v>203</v>
      </c>
      <c r="ED110" s="2" t="s">
        <v>203</v>
      </c>
      <c r="EF110" s="2" t="s">
        <v>189</v>
      </c>
      <c r="EG110" s="2" t="s">
        <v>1033</v>
      </c>
      <c r="EJ110" s="2" t="s">
        <v>189</v>
      </c>
      <c r="EK110" s="2" t="s">
        <v>187</v>
      </c>
      <c r="EL110" s="2" t="s">
        <v>187</v>
      </c>
      <c r="EM110" s="2" t="s">
        <v>214</v>
      </c>
      <c r="EN110" s="2" t="s">
        <v>214</v>
      </c>
      <c r="EP110" s="2" t="s">
        <v>230</v>
      </c>
      <c r="ER110" s="2" t="s">
        <v>187</v>
      </c>
      <c r="ET110" s="2" t="s">
        <v>187</v>
      </c>
      <c r="EU110" s="2" t="s">
        <v>215</v>
      </c>
      <c r="EV110" s="2" t="s">
        <v>187</v>
      </c>
      <c r="EW110" s="2" t="s">
        <v>215</v>
      </c>
      <c r="EX110" s="2" t="s">
        <v>188</v>
      </c>
      <c r="EZ110" s="2" t="s">
        <v>188</v>
      </c>
      <c r="FC110" s="2" t="s">
        <v>263</v>
      </c>
      <c r="FD110" s="2" t="s">
        <v>188</v>
      </c>
      <c r="FH110" s="2" t="s">
        <v>188</v>
      </c>
      <c r="FJ110" s="2" t="s">
        <v>188</v>
      </c>
      <c r="FK110" s="2" t="s">
        <v>209</v>
      </c>
      <c r="FL110" s="2" t="s">
        <v>616</v>
      </c>
      <c r="FN110" s="2" t="s">
        <v>488</v>
      </c>
      <c r="FR110" s="2" t="s">
        <v>1034</v>
      </c>
      <c r="FT110" s="2" t="s">
        <v>233</v>
      </c>
      <c r="FU110" s="2" t="s">
        <v>233</v>
      </c>
      <c r="FV110" s="2" t="s">
        <v>233</v>
      </c>
      <c r="FW110" s="2" t="s">
        <v>233</v>
      </c>
      <c r="FZ110" s="4">
        <v>46049.404999999999</v>
      </c>
    </row>
    <row r="111" spans="1:182">
      <c r="A111" s="2" t="s">
        <v>1035</v>
      </c>
      <c r="D111" s="4">
        <v>46266.501354166663</v>
      </c>
      <c r="E111" s="2" t="s">
        <v>1036</v>
      </c>
      <c r="F111" s="2" t="s">
        <v>425</v>
      </c>
      <c r="G111" s="2" t="s">
        <v>791</v>
      </c>
      <c r="H111" s="2" t="s">
        <v>792</v>
      </c>
      <c r="I111" s="2" t="s">
        <v>1037</v>
      </c>
      <c r="J111" s="2">
        <v>336910145</v>
      </c>
      <c r="K111" s="2" t="s">
        <v>1038</v>
      </c>
      <c r="L111" s="2" t="s">
        <v>182</v>
      </c>
      <c r="M111" s="2" t="s">
        <v>223</v>
      </c>
      <c r="N111" s="2">
        <v>1998</v>
      </c>
      <c r="O111" s="2" t="s">
        <v>184</v>
      </c>
      <c r="P111" s="2" t="s">
        <v>225</v>
      </c>
      <c r="Q111" s="2" t="s">
        <v>186</v>
      </c>
      <c r="R111" s="2" t="s">
        <v>188</v>
      </c>
      <c r="S111" s="2">
        <v>12</v>
      </c>
      <c r="T111" s="2" t="s">
        <v>188</v>
      </c>
      <c r="U111" s="2" t="s">
        <v>188</v>
      </c>
      <c r="Y111" s="2">
        <v>200</v>
      </c>
      <c r="Z111" s="2">
        <v>0.9</v>
      </c>
      <c r="AA111" s="2">
        <v>180</v>
      </c>
      <c r="AB111" s="2">
        <v>163</v>
      </c>
      <c r="AC111" s="2">
        <v>153</v>
      </c>
      <c r="AD111" s="2">
        <v>200</v>
      </c>
      <c r="AE111" s="2">
        <v>47</v>
      </c>
      <c r="AF111" s="2" t="s">
        <v>187</v>
      </c>
      <c r="AG111" s="2" t="s">
        <v>188</v>
      </c>
      <c r="AH111" s="2" t="s">
        <v>188</v>
      </c>
      <c r="AJ111" s="2" t="s">
        <v>188</v>
      </c>
      <c r="AK111" s="2" t="s">
        <v>187</v>
      </c>
      <c r="AL111" s="2" t="s">
        <v>188</v>
      </c>
      <c r="AM111" s="2" t="s">
        <v>187</v>
      </c>
      <c r="AN111" s="2" t="s">
        <v>188</v>
      </c>
      <c r="AO111" s="2" t="s">
        <v>188</v>
      </c>
      <c r="AR111" s="2">
        <v>0.7</v>
      </c>
      <c r="AS111" s="2">
        <v>2</v>
      </c>
      <c r="AT111" s="2">
        <v>2</v>
      </c>
      <c r="AU111" s="2" t="s">
        <v>238</v>
      </c>
      <c r="AV111" s="2" t="s">
        <v>238</v>
      </c>
      <c r="AW111" s="2" t="s">
        <v>188</v>
      </c>
      <c r="AZ111" s="2" t="s">
        <v>973</v>
      </c>
      <c r="BB111" s="2" t="s">
        <v>260</v>
      </c>
      <c r="BC111" s="2" t="s">
        <v>192</v>
      </c>
      <c r="BD111" s="2" t="s">
        <v>188</v>
      </c>
      <c r="BE111" s="2" t="s">
        <v>188</v>
      </c>
      <c r="BL111" s="2" t="s">
        <v>240</v>
      </c>
      <c r="BO111" s="2" t="s">
        <v>188</v>
      </c>
      <c r="BQ111" s="2" t="s">
        <v>200</v>
      </c>
      <c r="BS111" s="2" t="s">
        <v>187</v>
      </c>
      <c r="BT111" s="2" t="s">
        <v>484</v>
      </c>
      <c r="BV111" s="2" t="s">
        <v>254</v>
      </c>
      <c r="BX111" s="2" t="s">
        <v>188</v>
      </c>
      <c r="BZ111" s="2" t="s">
        <v>188</v>
      </c>
      <c r="CE111" s="2">
        <v>2</v>
      </c>
      <c r="CF111" s="2">
        <v>200</v>
      </c>
      <c r="CK111" s="2">
        <v>100</v>
      </c>
      <c r="CO111" s="2">
        <v>100</v>
      </c>
      <c r="CR111" s="2" t="s">
        <v>343</v>
      </c>
      <c r="CT111" s="2" t="s">
        <v>188</v>
      </c>
      <c r="CU111" s="2" t="s">
        <v>205</v>
      </c>
      <c r="CW111" s="2" t="s">
        <v>1039</v>
      </c>
      <c r="CY111" s="2" t="s">
        <v>300</v>
      </c>
      <c r="CZ111" s="2" t="s">
        <v>300</v>
      </c>
      <c r="DA111" s="2" t="s">
        <v>300</v>
      </c>
      <c r="DB111" s="2" t="s">
        <v>300</v>
      </c>
      <c r="DC111" s="2" t="s">
        <v>300</v>
      </c>
      <c r="DD111" s="2" t="s">
        <v>430</v>
      </c>
      <c r="DE111" s="2" t="s">
        <v>300</v>
      </c>
      <c r="DF111" s="2" t="s">
        <v>300</v>
      </c>
      <c r="DG111" s="2" t="s">
        <v>300</v>
      </c>
      <c r="DH111" s="2" t="s">
        <v>300</v>
      </c>
      <c r="DI111" s="2" t="s">
        <v>300</v>
      </c>
      <c r="DL111" s="2" t="s">
        <v>188</v>
      </c>
      <c r="DM111" s="2" t="s">
        <v>188</v>
      </c>
      <c r="DP111" s="2" t="s">
        <v>203</v>
      </c>
      <c r="DT111" s="2" t="s">
        <v>203</v>
      </c>
      <c r="DU111" s="2" t="s">
        <v>203</v>
      </c>
      <c r="DV111" s="2" t="s">
        <v>203</v>
      </c>
      <c r="DW111" s="2" t="s">
        <v>203</v>
      </c>
      <c r="DX111" s="2" t="s">
        <v>203</v>
      </c>
      <c r="DY111" s="2" t="s">
        <v>203</v>
      </c>
      <c r="DZ111" s="2" t="s">
        <v>203</v>
      </c>
      <c r="EA111" s="2" t="s">
        <v>203</v>
      </c>
      <c r="EB111" s="2" t="s">
        <v>203</v>
      </c>
      <c r="EC111" s="2" t="s">
        <v>203</v>
      </c>
      <c r="EF111" s="2" t="s">
        <v>302</v>
      </c>
      <c r="EG111" s="2" t="s">
        <v>1040</v>
      </c>
      <c r="EJ111" s="2" t="s">
        <v>203</v>
      </c>
      <c r="EK111" s="2" t="s">
        <v>188</v>
      </c>
      <c r="EL111" s="2" t="s">
        <v>188</v>
      </c>
      <c r="EN111" s="2" t="s">
        <v>255</v>
      </c>
      <c r="EP111" s="2" t="s">
        <v>230</v>
      </c>
      <c r="ER111" s="2" t="s">
        <v>188</v>
      </c>
      <c r="ET111" s="2" t="s">
        <v>188</v>
      </c>
      <c r="EV111" s="2" t="s">
        <v>188</v>
      </c>
      <c r="EX111" s="2" t="s">
        <v>188</v>
      </c>
      <c r="EZ111" s="2" t="s">
        <v>188</v>
      </c>
      <c r="FC111" s="2" t="s">
        <v>263</v>
      </c>
      <c r="FD111" s="2" t="s">
        <v>188</v>
      </c>
      <c r="FH111" s="2" t="s">
        <v>188</v>
      </c>
      <c r="FJ111" s="2" t="s">
        <v>188</v>
      </c>
      <c r="FK111" s="2" t="s">
        <v>188</v>
      </c>
      <c r="FN111" s="2" t="s">
        <v>304</v>
      </c>
      <c r="FR111" s="2" t="s">
        <v>1041</v>
      </c>
      <c r="FT111" s="2" t="s">
        <v>219</v>
      </c>
      <c r="FU111" s="2" t="s">
        <v>233</v>
      </c>
      <c r="FV111" s="2" t="s">
        <v>233</v>
      </c>
      <c r="FW111" s="2" t="s">
        <v>233</v>
      </c>
      <c r="FZ111" s="4">
        <v>46041.273136574076</v>
      </c>
    </row>
    <row r="112" spans="1:182">
      <c r="A112" s="2" t="s">
        <v>1042</v>
      </c>
      <c r="D112" s="4">
        <v>46266.503275462965</v>
      </c>
      <c r="E112" s="2" t="s">
        <v>177</v>
      </c>
      <c r="F112" s="2" t="s">
        <v>178</v>
      </c>
      <c r="G112" s="2" t="s">
        <v>831</v>
      </c>
      <c r="H112" s="2" t="s">
        <v>849</v>
      </c>
      <c r="I112" s="2" t="s">
        <v>1043</v>
      </c>
      <c r="J112" s="2">
        <v>352196147</v>
      </c>
      <c r="K112" s="2" t="s">
        <v>1043</v>
      </c>
      <c r="L112" s="2" t="s">
        <v>182</v>
      </c>
      <c r="M112" s="2" t="s">
        <v>223</v>
      </c>
      <c r="N112" s="2">
        <v>1949</v>
      </c>
      <c r="O112" s="2" t="s">
        <v>834</v>
      </c>
      <c r="P112" s="2" t="s">
        <v>185</v>
      </c>
      <c r="Q112" s="2" t="s">
        <v>270</v>
      </c>
      <c r="R112" s="2" t="s">
        <v>188</v>
      </c>
      <c r="S112" s="2">
        <v>33</v>
      </c>
      <c r="T112" s="2" t="s">
        <v>188</v>
      </c>
      <c r="U112" s="2" t="s">
        <v>188</v>
      </c>
      <c r="Y112" s="2">
        <v>130</v>
      </c>
      <c r="Z112" s="2">
        <v>1</v>
      </c>
      <c r="AA112" s="2">
        <v>130</v>
      </c>
      <c r="AB112" s="2">
        <v>130</v>
      </c>
      <c r="AC112" s="2">
        <v>130</v>
      </c>
      <c r="AD112" s="2">
        <v>200</v>
      </c>
      <c r="AE112" s="2">
        <v>70</v>
      </c>
      <c r="AF112" s="2" t="s">
        <v>187</v>
      </c>
      <c r="AG112" s="2" t="s">
        <v>188</v>
      </c>
      <c r="AH112" s="2" t="s">
        <v>188</v>
      </c>
      <c r="AJ112" s="2" t="s">
        <v>188</v>
      </c>
      <c r="AK112" s="2" t="s">
        <v>188</v>
      </c>
      <c r="AL112" s="2" t="s">
        <v>188</v>
      </c>
      <c r="AM112" s="2" t="s">
        <v>188</v>
      </c>
      <c r="AN112" s="2" t="s">
        <v>188</v>
      </c>
      <c r="AO112" s="2" t="s">
        <v>188</v>
      </c>
      <c r="AR112" s="2">
        <v>2</v>
      </c>
      <c r="AS112" s="2">
        <v>5</v>
      </c>
      <c r="AT112" s="2">
        <v>2</v>
      </c>
      <c r="AU112" s="2" t="s">
        <v>238</v>
      </c>
      <c r="AV112" s="2" t="s">
        <v>238</v>
      </c>
      <c r="AW112" s="2" t="s">
        <v>188</v>
      </c>
      <c r="AZ112" s="2" t="s">
        <v>190</v>
      </c>
      <c r="BB112" s="2" t="s">
        <v>260</v>
      </c>
      <c r="BC112" s="2" t="s">
        <v>192</v>
      </c>
      <c r="BD112" s="2" t="s">
        <v>188</v>
      </c>
      <c r="BE112" s="2" t="s">
        <v>187</v>
      </c>
      <c r="BF112" s="2" t="s">
        <v>193</v>
      </c>
      <c r="BG112" s="2" t="s">
        <v>194</v>
      </c>
      <c r="BH112" s="2" t="s">
        <v>297</v>
      </c>
      <c r="BI112" s="2" t="s">
        <v>196</v>
      </c>
      <c r="BL112" s="2" t="s">
        <v>240</v>
      </c>
      <c r="BO112" s="2" t="s">
        <v>188</v>
      </c>
      <c r="BQ112" s="2" t="s">
        <v>200</v>
      </c>
      <c r="BS112" s="2" t="s">
        <v>187</v>
      </c>
      <c r="BT112" s="2" t="s">
        <v>201</v>
      </c>
      <c r="BV112" s="2" t="s">
        <v>248</v>
      </c>
      <c r="BX112" s="2" t="s">
        <v>188</v>
      </c>
      <c r="BZ112" s="2" t="s">
        <v>203</v>
      </c>
      <c r="CE112" s="2">
        <v>2</v>
      </c>
      <c r="CF112" s="2">
        <v>200</v>
      </c>
      <c r="CK112" s="2">
        <v>100</v>
      </c>
      <c r="CO112" s="2">
        <v>100</v>
      </c>
      <c r="CR112" s="2" t="s">
        <v>229</v>
      </c>
      <c r="CT112" s="2" t="s">
        <v>188</v>
      </c>
      <c r="CU112" s="2" t="s">
        <v>281</v>
      </c>
      <c r="CW112" s="2" t="s">
        <v>206</v>
      </c>
      <c r="CY112" s="2" t="s">
        <v>208</v>
      </c>
      <c r="CZ112" s="2" t="s">
        <v>208</v>
      </c>
      <c r="DA112" s="2" t="s">
        <v>208</v>
      </c>
      <c r="DB112" s="2" t="s">
        <v>208</v>
      </c>
      <c r="DC112" s="2" t="s">
        <v>208</v>
      </c>
      <c r="DD112" s="2" t="s">
        <v>208</v>
      </c>
      <c r="DE112" s="2" t="s">
        <v>208</v>
      </c>
      <c r="DF112" s="2" t="s">
        <v>208</v>
      </c>
      <c r="DG112" s="2" t="s">
        <v>208</v>
      </c>
      <c r="DH112" s="2" t="s">
        <v>208</v>
      </c>
      <c r="DI112" s="2" t="s">
        <v>208</v>
      </c>
      <c r="DL112" s="2" t="s">
        <v>188</v>
      </c>
      <c r="DM112" s="2" t="s">
        <v>188</v>
      </c>
      <c r="DP112" s="2" t="s">
        <v>203</v>
      </c>
      <c r="DT112" s="2" t="s">
        <v>203</v>
      </c>
      <c r="DU112" s="2" t="s">
        <v>203</v>
      </c>
      <c r="DV112" s="2" t="s">
        <v>203</v>
      </c>
      <c r="DW112" s="2" t="s">
        <v>203</v>
      </c>
      <c r="DX112" s="2" t="s">
        <v>203</v>
      </c>
      <c r="DY112" s="2" t="s">
        <v>203</v>
      </c>
      <c r="DZ112" s="2" t="s">
        <v>203</v>
      </c>
      <c r="EA112" s="2" t="s">
        <v>203</v>
      </c>
      <c r="EB112" s="2" t="s">
        <v>203</v>
      </c>
      <c r="EJ112" s="2" t="s">
        <v>238</v>
      </c>
      <c r="EK112" s="2" t="s">
        <v>188</v>
      </c>
      <c r="EL112" s="2" t="s">
        <v>188</v>
      </c>
      <c r="EN112" s="2" t="s">
        <v>255</v>
      </c>
      <c r="EP112" s="2" t="s">
        <v>230</v>
      </c>
      <c r="ER112" s="2" t="s">
        <v>188</v>
      </c>
      <c r="ET112" s="2" t="s">
        <v>188</v>
      </c>
      <c r="EV112" s="2" t="s">
        <v>188</v>
      </c>
      <c r="EX112" s="2" t="s">
        <v>188</v>
      </c>
      <c r="EZ112" s="2" t="s">
        <v>188</v>
      </c>
      <c r="FC112" s="2" t="s">
        <v>216</v>
      </c>
      <c r="FD112" s="2" t="s">
        <v>188</v>
      </c>
      <c r="FH112" s="2" t="s">
        <v>188</v>
      </c>
      <c r="FJ112" s="2" t="s">
        <v>187</v>
      </c>
      <c r="FK112" s="2" t="s">
        <v>188</v>
      </c>
      <c r="FT112" s="2" t="s">
        <v>219</v>
      </c>
      <c r="FU112" s="2" t="s">
        <v>219</v>
      </c>
      <c r="FV112" s="2" t="s">
        <v>219</v>
      </c>
      <c r="FW112" s="2" t="s">
        <v>219</v>
      </c>
      <c r="FZ112" s="4">
        <v>46040.447430555556</v>
      </c>
    </row>
    <row r="113" spans="1:182">
      <c r="A113" s="2" t="s">
        <v>1044</v>
      </c>
      <c r="D113" s="4">
        <v>46266.506157407406</v>
      </c>
      <c r="E113" s="2" t="s">
        <v>1045</v>
      </c>
      <c r="F113" s="2" t="s">
        <v>398</v>
      </c>
      <c r="G113" s="2" t="s">
        <v>791</v>
      </c>
      <c r="H113" s="2" t="s">
        <v>822</v>
      </c>
      <c r="I113" s="2" t="s">
        <v>1046</v>
      </c>
      <c r="J113" s="2">
        <v>867542957</v>
      </c>
      <c r="K113" s="2" t="s">
        <v>1046</v>
      </c>
      <c r="L113" s="2" t="s">
        <v>182</v>
      </c>
      <c r="M113" s="2" t="s">
        <v>183</v>
      </c>
      <c r="N113" s="2">
        <v>1994</v>
      </c>
      <c r="O113" s="2" t="s">
        <v>184</v>
      </c>
      <c r="P113" s="2" t="s">
        <v>185</v>
      </c>
      <c r="Q113" s="2" t="s">
        <v>270</v>
      </c>
      <c r="R113" s="2" t="s">
        <v>188</v>
      </c>
      <c r="S113" s="2">
        <v>10</v>
      </c>
      <c r="T113" s="2" t="s">
        <v>188</v>
      </c>
      <c r="U113" s="2" t="s">
        <v>188</v>
      </c>
      <c r="Y113" s="2">
        <v>170</v>
      </c>
      <c r="Z113" s="2">
        <v>0.94120000000000004</v>
      </c>
      <c r="AA113" s="2">
        <v>160</v>
      </c>
      <c r="AB113" s="2">
        <v>160</v>
      </c>
      <c r="AC113" s="2">
        <v>160</v>
      </c>
      <c r="AD113" s="2">
        <v>200</v>
      </c>
      <c r="AE113" s="2">
        <v>40</v>
      </c>
      <c r="AF113" s="2" t="s">
        <v>188</v>
      </c>
      <c r="AG113" s="2" t="s">
        <v>188</v>
      </c>
      <c r="AH113" s="2" t="s">
        <v>188</v>
      </c>
      <c r="AJ113" s="2" t="s">
        <v>188</v>
      </c>
      <c r="AK113" s="2" t="s">
        <v>188</v>
      </c>
      <c r="AL113" s="2" t="s">
        <v>188</v>
      </c>
      <c r="AM113" s="2" t="s">
        <v>187</v>
      </c>
      <c r="AN113" s="2" t="s">
        <v>188</v>
      </c>
      <c r="AO113" s="2" t="s">
        <v>188</v>
      </c>
      <c r="AR113" s="2">
        <v>0.6</v>
      </c>
      <c r="AS113" s="2">
        <v>3</v>
      </c>
      <c r="AT113" s="2">
        <v>2</v>
      </c>
      <c r="AU113" s="2" t="s">
        <v>238</v>
      </c>
      <c r="AV113" s="2" t="s">
        <v>238</v>
      </c>
      <c r="AW113" s="2" t="s">
        <v>188</v>
      </c>
      <c r="BC113" s="2" t="s">
        <v>192</v>
      </c>
      <c r="BD113" s="2" t="s">
        <v>188</v>
      </c>
      <c r="BE113" s="2" t="s">
        <v>188</v>
      </c>
      <c r="BL113" s="2" t="s">
        <v>240</v>
      </c>
      <c r="BO113" s="2" t="s">
        <v>188</v>
      </c>
      <c r="BQ113" s="2" t="s">
        <v>200</v>
      </c>
      <c r="BS113" s="2" t="s">
        <v>187</v>
      </c>
      <c r="BT113" s="2" t="s">
        <v>261</v>
      </c>
      <c r="BV113" s="2" t="s">
        <v>248</v>
      </c>
      <c r="BX113" s="2" t="s">
        <v>188</v>
      </c>
      <c r="BY113" s="2" t="s">
        <v>696</v>
      </c>
      <c r="BZ113" s="2" t="s">
        <v>188</v>
      </c>
      <c r="CE113" s="2">
        <v>2</v>
      </c>
      <c r="CF113" s="2">
        <v>200</v>
      </c>
      <c r="CK113" s="2">
        <v>100</v>
      </c>
      <c r="CP113" s="2">
        <v>100</v>
      </c>
      <c r="CR113" s="2" t="s">
        <v>204</v>
      </c>
      <c r="CT113" s="2" t="s">
        <v>188</v>
      </c>
      <c r="CU113" s="2" t="s">
        <v>205</v>
      </c>
      <c r="CW113" s="2" t="s">
        <v>206</v>
      </c>
      <c r="CY113" s="2" t="s">
        <v>300</v>
      </c>
      <c r="CZ113" s="2" t="s">
        <v>300</v>
      </c>
      <c r="DA113" s="2" t="s">
        <v>300</v>
      </c>
      <c r="DB113" s="2" t="s">
        <v>300</v>
      </c>
      <c r="DC113" s="2" t="s">
        <v>300</v>
      </c>
      <c r="DD113" s="2" t="s">
        <v>300</v>
      </c>
      <c r="DE113" s="2" t="s">
        <v>300</v>
      </c>
      <c r="DF113" s="2" t="s">
        <v>300</v>
      </c>
      <c r="DG113" s="2" t="s">
        <v>300</v>
      </c>
      <c r="DH113" s="2" t="s">
        <v>300</v>
      </c>
      <c r="DI113" s="2" t="s">
        <v>300</v>
      </c>
      <c r="DL113" s="2" t="s">
        <v>188</v>
      </c>
      <c r="DM113" s="2" t="s">
        <v>188</v>
      </c>
      <c r="DP113" s="2" t="s">
        <v>203</v>
      </c>
      <c r="DT113" s="2" t="s">
        <v>203</v>
      </c>
      <c r="DU113" s="2" t="s">
        <v>203</v>
      </c>
      <c r="DV113" s="2" t="s">
        <v>203</v>
      </c>
      <c r="DW113" s="2" t="s">
        <v>203</v>
      </c>
      <c r="DX113" s="2" t="s">
        <v>203</v>
      </c>
      <c r="DY113" s="2" t="s">
        <v>203</v>
      </c>
      <c r="DZ113" s="2" t="s">
        <v>203</v>
      </c>
      <c r="EA113" s="2" t="s">
        <v>203</v>
      </c>
      <c r="EB113" s="2" t="s">
        <v>203</v>
      </c>
      <c r="EC113" s="2" t="s">
        <v>203</v>
      </c>
      <c r="ED113" s="2" t="s">
        <v>203</v>
      </c>
      <c r="EE113" s="2" t="s">
        <v>1047</v>
      </c>
      <c r="EF113" s="2" t="s">
        <v>496</v>
      </c>
      <c r="EG113" s="2" t="s">
        <v>1048</v>
      </c>
      <c r="EJ113" s="2" t="s">
        <v>203</v>
      </c>
      <c r="EK113" s="2" t="s">
        <v>188</v>
      </c>
      <c r="EL113" s="2" t="s">
        <v>188</v>
      </c>
      <c r="EN113" s="2" t="s">
        <v>214</v>
      </c>
      <c r="EP113" s="2" t="s">
        <v>230</v>
      </c>
      <c r="ER113" s="2" t="s">
        <v>188</v>
      </c>
      <c r="ET113" s="2" t="s">
        <v>188</v>
      </c>
      <c r="EV113" s="2" t="s">
        <v>188</v>
      </c>
      <c r="EX113" s="2" t="s">
        <v>188</v>
      </c>
      <c r="EZ113" s="2" t="s">
        <v>188</v>
      </c>
      <c r="FC113" s="2" t="s">
        <v>216</v>
      </c>
      <c r="FD113" s="2" t="s">
        <v>188</v>
      </c>
      <c r="FH113" s="2" t="s">
        <v>188</v>
      </c>
      <c r="FJ113" s="2" t="s">
        <v>188</v>
      </c>
      <c r="FK113" s="2" t="s">
        <v>203</v>
      </c>
      <c r="FR113" s="2" t="s">
        <v>1049</v>
      </c>
      <c r="FT113" s="2" t="s">
        <v>233</v>
      </c>
      <c r="FU113" s="2" t="s">
        <v>233</v>
      </c>
      <c r="FV113" s="2" t="s">
        <v>233</v>
      </c>
      <c r="FW113" s="2" t="s">
        <v>233</v>
      </c>
      <c r="FX113" s="2" t="s">
        <v>233</v>
      </c>
      <c r="FY113" s="2" t="s">
        <v>1050</v>
      </c>
      <c r="FZ113" s="4">
        <v>46047.679803240739</v>
      </c>
    </row>
    <row r="114" spans="1:182" s="25" customFormat="1">
      <c r="A114" s="2" t="s">
        <v>1051</v>
      </c>
      <c r="B114"/>
      <c r="C114"/>
      <c r="D114" s="4">
        <v>46266.499155092592</v>
      </c>
      <c r="E114" s="2" t="s">
        <v>177</v>
      </c>
      <c r="F114" s="2" t="s">
        <v>293</v>
      </c>
      <c r="G114" s="2" t="s">
        <v>791</v>
      </c>
      <c r="H114" s="2" t="s">
        <v>792</v>
      </c>
      <c r="I114" s="2" t="s">
        <v>1052</v>
      </c>
      <c r="J114" s="2">
        <v>3646462187</v>
      </c>
      <c r="K114" s="2" t="s">
        <v>1052</v>
      </c>
      <c r="L114" s="2" t="s">
        <v>269</v>
      </c>
      <c r="M114" s="2" t="s">
        <v>183</v>
      </c>
      <c r="N114" s="2">
        <v>1987</v>
      </c>
      <c r="O114" s="2" t="s">
        <v>184</v>
      </c>
      <c r="P114" s="2" t="s">
        <v>185</v>
      </c>
      <c r="Q114" s="2" t="s">
        <v>186</v>
      </c>
      <c r="R114" s="2" t="s">
        <v>188</v>
      </c>
      <c r="S114" s="2">
        <v>2006</v>
      </c>
      <c r="T114" s="2" t="s">
        <v>188</v>
      </c>
      <c r="U114" s="2" t="s">
        <v>188</v>
      </c>
      <c r="V114"/>
      <c r="W114"/>
      <c r="X114"/>
      <c r="Y114" s="2">
        <v>350</v>
      </c>
      <c r="Z114" s="2">
        <v>0.85709999999999997</v>
      </c>
      <c r="AA114" s="2">
        <v>300</v>
      </c>
      <c r="AB114" s="2">
        <v>300</v>
      </c>
      <c r="AC114" s="2">
        <v>200</v>
      </c>
      <c r="AD114" s="2">
        <v>250</v>
      </c>
      <c r="AE114" s="2">
        <v>50</v>
      </c>
      <c r="AF114" s="2" t="s">
        <v>187</v>
      </c>
      <c r="AG114" s="2" t="s">
        <v>187</v>
      </c>
      <c r="AH114" s="2" t="s">
        <v>187</v>
      </c>
      <c r="AI114" s="2" t="s">
        <v>308</v>
      </c>
      <c r="AJ114" s="2" t="s">
        <v>188</v>
      </c>
      <c r="AK114" s="2" t="s">
        <v>188</v>
      </c>
      <c r="AL114" s="2" t="s">
        <v>188</v>
      </c>
      <c r="AM114" s="2" t="s">
        <v>187</v>
      </c>
      <c r="AN114" s="2" t="s">
        <v>188</v>
      </c>
      <c r="AO114" s="2" t="s">
        <v>188</v>
      </c>
      <c r="AP114"/>
      <c r="AQ114"/>
      <c r="AR114" s="2">
        <v>0.9</v>
      </c>
      <c r="AS114" s="2">
        <v>3</v>
      </c>
      <c r="AT114" s="2">
        <v>2.5499999999999998</v>
      </c>
      <c r="AU114" s="2" t="s">
        <v>189</v>
      </c>
      <c r="AV114" s="2" t="s">
        <v>189</v>
      </c>
      <c r="AW114" s="2" t="s">
        <v>188</v>
      </c>
      <c r="AX114"/>
      <c r="AY114"/>
      <c r="AZ114" s="2" t="s">
        <v>561</v>
      </c>
      <c r="BA114"/>
      <c r="BB114" s="2" t="s">
        <v>260</v>
      </c>
      <c r="BC114" s="2" t="s">
        <v>253</v>
      </c>
      <c r="BD114" s="2" t="s">
        <v>187</v>
      </c>
      <c r="BE114" s="2" t="s">
        <v>187</v>
      </c>
      <c r="BF114" s="2" t="s">
        <v>193</v>
      </c>
      <c r="BG114" s="2" t="s">
        <v>194</v>
      </c>
      <c r="BH114" s="2" t="s">
        <v>195</v>
      </c>
      <c r="BI114" s="2" t="s">
        <v>196</v>
      </c>
      <c r="BJ114"/>
      <c r="BK114"/>
      <c r="BL114" s="2" t="s">
        <v>197</v>
      </c>
      <c r="BM114" s="2" t="s">
        <v>198</v>
      </c>
      <c r="BN114" s="2" t="s">
        <v>199</v>
      </c>
      <c r="BO114" s="2" t="s">
        <v>188</v>
      </c>
      <c r="BP114"/>
      <c r="BQ114" s="2" t="s">
        <v>227</v>
      </c>
      <c r="BR114"/>
      <c r="BS114" s="2" t="s">
        <v>188</v>
      </c>
      <c r="BT114" s="2" t="s">
        <v>201</v>
      </c>
      <c r="BU114"/>
      <c r="BV114" s="2" t="s">
        <v>567</v>
      </c>
      <c r="BW114"/>
      <c r="BX114" s="2" t="s">
        <v>187</v>
      </c>
      <c r="BY114" s="2" t="s">
        <v>326</v>
      </c>
      <c r="BZ114" s="2" t="s">
        <v>203</v>
      </c>
      <c r="CA114"/>
      <c r="CB114"/>
      <c r="CC114"/>
      <c r="CD114"/>
      <c r="CE114" s="2">
        <v>2.5499999999999998</v>
      </c>
      <c r="CF114" s="2">
        <v>248</v>
      </c>
      <c r="CG114"/>
      <c r="CH114"/>
      <c r="CI114"/>
      <c r="CJ114"/>
      <c r="CK114" s="2">
        <v>100</v>
      </c>
      <c r="CL114"/>
      <c r="CM114"/>
      <c r="CN114"/>
      <c r="CO114" s="2">
        <v>100</v>
      </c>
      <c r="CP114"/>
      <c r="CQ114"/>
      <c r="CR114" s="2" t="s">
        <v>204</v>
      </c>
      <c r="CS114"/>
      <c r="CT114" s="2" t="s">
        <v>188</v>
      </c>
      <c r="CU114" s="2" t="s">
        <v>281</v>
      </c>
      <c r="CV114"/>
      <c r="CW114" s="2" t="s">
        <v>206</v>
      </c>
      <c r="CX114"/>
      <c r="CY114" s="2" t="s">
        <v>207</v>
      </c>
      <c r="CZ114" s="2" t="s">
        <v>273</v>
      </c>
      <c r="DA114" s="2" t="s">
        <v>300</v>
      </c>
      <c r="DB114" s="2" t="s">
        <v>208</v>
      </c>
      <c r="DC114" s="2" t="s">
        <v>300</v>
      </c>
      <c r="DD114" s="2" t="s">
        <v>301</v>
      </c>
      <c r="DE114" s="2" t="s">
        <v>207</v>
      </c>
      <c r="DF114" s="2" t="s">
        <v>207</v>
      </c>
      <c r="DG114" s="2" t="s">
        <v>300</v>
      </c>
      <c r="DH114" s="2" t="s">
        <v>300</v>
      </c>
      <c r="DI114" s="2" t="s">
        <v>301</v>
      </c>
      <c r="DJ114"/>
      <c r="DK114"/>
      <c r="DL114" s="2" t="s">
        <v>187</v>
      </c>
      <c r="DM114" s="2" t="s">
        <v>188</v>
      </c>
      <c r="DN114"/>
      <c r="DO114"/>
      <c r="DP114" s="2" t="s">
        <v>203</v>
      </c>
      <c r="DQ114"/>
      <c r="DR114"/>
      <c r="DS114" s="2" t="s">
        <v>203</v>
      </c>
      <c r="DT114" s="2" t="s">
        <v>209</v>
      </c>
      <c r="DU114" s="2" t="s">
        <v>209</v>
      </c>
      <c r="DV114" s="2" t="s">
        <v>209</v>
      </c>
      <c r="DW114" s="2" t="s">
        <v>209</v>
      </c>
      <c r="DX114" s="2" t="s">
        <v>203</v>
      </c>
      <c r="DY114" s="2" t="s">
        <v>203</v>
      </c>
      <c r="DZ114" s="2" t="s">
        <v>203</v>
      </c>
      <c r="EA114" s="2" t="s">
        <v>203</v>
      </c>
      <c r="EB114" s="2" t="s">
        <v>209</v>
      </c>
      <c r="EC114" s="2" t="s">
        <v>203</v>
      </c>
      <c r="ED114" s="2" t="s">
        <v>203</v>
      </c>
      <c r="EE114"/>
      <c r="EF114" s="2" t="s">
        <v>211</v>
      </c>
      <c r="EG114"/>
      <c r="EH114"/>
      <c r="EI114"/>
      <c r="EJ114" s="2" t="s">
        <v>238</v>
      </c>
      <c r="EK114" s="2" t="s">
        <v>187</v>
      </c>
      <c r="EL114" s="2" t="s">
        <v>188</v>
      </c>
      <c r="EM114"/>
      <c r="EN114" s="2" t="s">
        <v>214</v>
      </c>
      <c r="EO114"/>
      <c r="EP114" s="2" t="s">
        <v>230</v>
      </c>
      <c r="EQ114"/>
      <c r="ER114" s="2" t="s">
        <v>187</v>
      </c>
      <c r="ES114"/>
      <c r="ET114" s="2" t="s">
        <v>188</v>
      </c>
      <c r="EU114"/>
      <c r="EV114" s="2" t="s">
        <v>188</v>
      </c>
      <c r="EW114"/>
      <c r="EX114" s="2" t="s">
        <v>188</v>
      </c>
      <c r="EY114"/>
      <c r="EZ114" s="2" t="s">
        <v>188</v>
      </c>
      <c r="FA114"/>
      <c r="FB114"/>
      <c r="FC114" s="2" t="s">
        <v>216</v>
      </c>
      <c r="FD114" s="2" t="s">
        <v>188</v>
      </c>
      <c r="FE114"/>
      <c r="FF114"/>
      <c r="FG114"/>
      <c r="FH114" s="2" t="s">
        <v>188</v>
      </c>
      <c r="FI114"/>
      <c r="FJ114" s="2" t="s">
        <v>188</v>
      </c>
      <c r="FK114" s="2" t="s">
        <v>209</v>
      </c>
      <c r="FL114" s="2" t="s">
        <v>1053</v>
      </c>
      <c r="FM114"/>
      <c r="FN114" s="2" t="s">
        <v>282</v>
      </c>
      <c r="FO114"/>
      <c r="FP114"/>
      <c r="FQ114"/>
      <c r="FR114"/>
      <c r="FS114"/>
      <c r="FT114" s="2" t="s">
        <v>219</v>
      </c>
      <c r="FU114" s="2" t="s">
        <v>219</v>
      </c>
      <c r="FV114" s="2" t="s">
        <v>233</v>
      </c>
      <c r="FW114" s="2" t="s">
        <v>233</v>
      </c>
      <c r="FX114"/>
      <c r="FY114"/>
      <c r="FZ114" s="4">
        <v>46038.657800925925</v>
      </c>
    </row>
    <row r="115" spans="1:182">
      <c r="A115" s="2" t="s">
        <v>1062</v>
      </c>
      <c r="D115" s="4">
        <v>46266.507199074076</v>
      </c>
      <c r="E115" s="2" t="s">
        <v>1045</v>
      </c>
      <c r="F115" s="2" t="s">
        <v>398</v>
      </c>
      <c r="G115" s="2" t="s">
        <v>791</v>
      </c>
      <c r="H115" s="2" t="s">
        <v>1063</v>
      </c>
      <c r="I115" s="2" t="s">
        <v>1064</v>
      </c>
      <c r="J115" s="2">
        <v>869455371</v>
      </c>
      <c r="K115" s="2" t="s">
        <v>1064</v>
      </c>
      <c r="L115" s="2" t="s">
        <v>182</v>
      </c>
      <c r="M115" s="2" t="s">
        <v>183</v>
      </c>
      <c r="N115" s="2">
        <v>1987</v>
      </c>
      <c r="O115" s="2" t="s">
        <v>184</v>
      </c>
      <c r="P115" s="2" t="s">
        <v>185</v>
      </c>
      <c r="Q115" s="2" t="s">
        <v>270</v>
      </c>
      <c r="R115" s="2" t="s">
        <v>188</v>
      </c>
      <c r="S115" s="2">
        <v>10</v>
      </c>
      <c r="T115" s="2" t="s">
        <v>188</v>
      </c>
      <c r="U115" s="2" t="s">
        <v>188</v>
      </c>
      <c r="Y115" s="2">
        <v>65</v>
      </c>
      <c r="Z115" s="5">
        <v>0.76919999999999999</v>
      </c>
      <c r="AA115" s="2">
        <v>50</v>
      </c>
      <c r="AB115" s="2">
        <v>50</v>
      </c>
      <c r="AC115" s="2">
        <v>50</v>
      </c>
      <c r="AD115" s="2">
        <v>62</v>
      </c>
      <c r="AE115" s="2">
        <v>12</v>
      </c>
      <c r="AF115" s="2" t="s">
        <v>188</v>
      </c>
      <c r="AG115" s="2" t="s">
        <v>188</v>
      </c>
      <c r="AH115" s="2" t="s">
        <v>188</v>
      </c>
      <c r="AJ115" s="2" t="s">
        <v>188</v>
      </c>
      <c r="AK115" s="2" t="s">
        <v>188</v>
      </c>
      <c r="AL115" s="2" t="s">
        <v>188</v>
      </c>
      <c r="AM115" s="2" t="s">
        <v>187</v>
      </c>
      <c r="AN115" s="2" t="s">
        <v>188</v>
      </c>
      <c r="AO115" s="2" t="s">
        <v>188</v>
      </c>
      <c r="AR115" s="2">
        <v>0.18</v>
      </c>
      <c r="AS115" s="2">
        <v>1</v>
      </c>
      <c r="AT115" s="2">
        <v>0.5</v>
      </c>
      <c r="AU115" s="2" t="s">
        <v>238</v>
      </c>
      <c r="AV115" s="2" t="s">
        <v>238</v>
      </c>
      <c r="AW115" s="2" t="s">
        <v>188</v>
      </c>
      <c r="BC115" s="2" t="s">
        <v>192</v>
      </c>
      <c r="BD115" s="2" t="s">
        <v>188</v>
      </c>
      <c r="BE115" s="2" t="s">
        <v>188</v>
      </c>
      <c r="BL115" s="2" t="s">
        <v>240</v>
      </c>
      <c r="BO115" s="2" t="s">
        <v>188</v>
      </c>
      <c r="BQ115" s="2" t="s">
        <v>200</v>
      </c>
      <c r="BS115" s="2" t="s">
        <v>187</v>
      </c>
      <c r="BT115" s="2" t="s">
        <v>201</v>
      </c>
      <c r="BV115" s="2" t="s">
        <v>248</v>
      </c>
      <c r="BX115" s="2" t="s">
        <v>188</v>
      </c>
      <c r="BY115" s="2" t="s">
        <v>696</v>
      </c>
      <c r="BZ115" s="2" t="s">
        <v>188</v>
      </c>
      <c r="CE115" s="2">
        <v>0.5</v>
      </c>
      <c r="CF115" s="2">
        <v>62</v>
      </c>
      <c r="CK115" s="2">
        <v>100</v>
      </c>
      <c r="CP115" s="2">
        <v>100</v>
      </c>
      <c r="CR115" s="2" t="s">
        <v>343</v>
      </c>
      <c r="CT115" s="2" t="s">
        <v>188</v>
      </c>
      <c r="CU115" s="2" t="s">
        <v>205</v>
      </c>
      <c r="CW115" s="2" t="s">
        <v>206</v>
      </c>
      <c r="CY115" s="2" t="s">
        <v>300</v>
      </c>
      <c r="CZ115" s="2" t="s">
        <v>300</v>
      </c>
      <c r="DA115" s="2" t="s">
        <v>300</v>
      </c>
      <c r="DB115" s="2" t="s">
        <v>300</v>
      </c>
      <c r="DC115" s="2" t="s">
        <v>300</v>
      </c>
      <c r="DD115" s="2" t="s">
        <v>300</v>
      </c>
      <c r="DE115" s="2" t="s">
        <v>300</v>
      </c>
      <c r="DF115" s="2" t="s">
        <v>300</v>
      </c>
      <c r="DG115" s="2" t="s">
        <v>300</v>
      </c>
      <c r="DH115" s="2" t="s">
        <v>300</v>
      </c>
      <c r="DI115" s="2" t="s">
        <v>300</v>
      </c>
      <c r="DL115" s="2" t="s">
        <v>188</v>
      </c>
      <c r="DM115" s="2" t="s">
        <v>188</v>
      </c>
      <c r="DP115" s="2" t="s">
        <v>203</v>
      </c>
      <c r="DT115" s="2" t="s">
        <v>203</v>
      </c>
      <c r="DU115" s="2" t="s">
        <v>203</v>
      </c>
      <c r="DV115" s="2" t="s">
        <v>203</v>
      </c>
      <c r="DW115" s="2" t="s">
        <v>203</v>
      </c>
      <c r="DX115" s="2" t="s">
        <v>203</v>
      </c>
      <c r="DY115" s="2" t="s">
        <v>203</v>
      </c>
      <c r="DZ115" s="2" t="s">
        <v>203</v>
      </c>
      <c r="EA115" s="2" t="s">
        <v>203</v>
      </c>
      <c r="EB115" s="2" t="s">
        <v>203</v>
      </c>
      <c r="EC115" s="2" t="s">
        <v>203</v>
      </c>
      <c r="ED115" s="2" t="s">
        <v>203</v>
      </c>
      <c r="EE115" s="2" t="s">
        <v>1065</v>
      </c>
      <c r="EF115" s="2" t="s">
        <v>302</v>
      </c>
      <c r="EG115" s="2" t="s">
        <v>1066</v>
      </c>
      <c r="EJ115" s="2" t="s">
        <v>238</v>
      </c>
      <c r="EK115" s="2" t="s">
        <v>188</v>
      </c>
      <c r="EL115" s="2" t="s">
        <v>188</v>
      </c>
      <c r="EN115" s="2" t="s">
        <v>255</v>
      </c>
      <c r="EP115" s="2" t="s">
        <v>230</v>
      </c>
      <c r="ER115" s="2" t="s">
        <v>188</v>
      </c>
      <c r="ET115" s="2" t="s">
        <v>188</v>
      </c>
      <c r="EV115" s="2" t="s">
        <v>188</v>
      </c>
      <c r="EX115" s="2" t="s">
        <v>188</v>
      </c>
      <c r="EZ115" s="2" t="s">
        <v>188</v>
      </c>
      <c r="FC115" s="2" t="s">
        <v>216</v>
      </c>
      <c r="FD115" s="2" t="s">
        <v>188</v>
      </c>
      <c r="FH115" s="2" t="s">
        <v>188</v>
      </c>
      <c r="FJ115" s="2" t="s">
        <v>188</v>
      </c>
      <c r="FK115" s="2" t="s">
        <v>203</v>
      </c>
      <c r="FN115" s="2" t="s">
        <v>432</v>
      </c>
      <c r="FR115" s="2" t="s">
        <v>1067</v>
      </c>
      <c r="FT115" s="2" t="s">
        <v>233</v>
      </c>
      <c r="FU115" s="2" t="s">
        <v>233</v>
      </c>
      <c r="FV115" s="2" t="s">
        <v>233</v>
      </c>
      <c r="FW115" s="2" t="s">
        <v>233</v>
      </c>
      <c r="FX115" s="2" t="s">
        <v>233</v>
      </c>
      <c r="FY115" s="2" t="s">
        <v>1068</v>
      </c>
      <c r="FZ115" s="4">
        <v>46038.472673611112</v>
      </c>
    </row>
    <row r="116" spans="1:182">
      <c r="A116" s="2" t="s">
        <v>1069</v>
      </c>
      <c r="D116" s="4">
        <v>46266.514189814814</v>
      </c>
      <c r="E116" s="2" t="s">
        <v>177</v>
      </c>
      <c r="F116" s="2" t="s">
        <v>293</v>
      </c>
      <c r="G116" s="2" t="s">
        <v>791</v>
      </c>
      <c r="H116" s="2" t="s">
        <v>792</v>
      </c>
      <c r="I116" s="2" t="s">
        <v>1070</v>
      </c>
      <c r="J116" s="2">
        <v>389865092</v>
      </c>
      <c r="K116" s="2" t="s">
        <v>1070</v>
      </c>
      <c r="L116" s="2" t="s">
        <v>269</v>
      </c>
      <c r="M116" s="2" t="s">
        <v>183</v>
      </c>
      <c r="N116" s="2">
        <v>2000</v>
      </c>
      <c r="O116" s="2" t="s">
        <v>184</v>
      </c>
      <c r="P116" s="2" t="s">
        <v>185</v>
      </c>
      <c r="Q116" s="2" t="s">
        <v>186</v>
      </c>
      <c r="R116" s="2" t="s">
        <v>188</v>
      </c>
      <c r="S116" s="2">
        <v>2007</v>
      </c>
      <c r="T116" s="2" t="s">
        <v>188</v>
      </c>
      <c r="U116" s="2" t="s">
        <v>188</v>
      </c>
      <c r="Y116" s="2">
        <v>250</v>
      </c>
      <c r="Z116" s="2">
        <v>0.8</v>
      </c>
      <c r="AA116" s="2">
        <v>200</v>
      </c>
      <c r="AB116" s="2">
        <v>200</v>
      </c>
      <c r="AC116" s="2">
        <v>130</v>
      </c>
      <c r="AD116" s="2">
        <v>150</v>
      </c>
      <c r="AE116" s="2">
        <v>20</v>
      </c>
      <c r="AF116" s="2" t="s">
        <v>187</v>
      </c>
      <c r="AG116" s="2" t="s">
        <v>187</v>
      </c>
      <c r="AH116" s="2" t="s">
        <v>187</v>
      </c>
      <c r="AI116" s="2" t="s">
        <v>308</v>
      </c>
      <c r="AJ116" s="2" t="s">
        <v>188</v>
      </c>
      <c r="AK116" s="2" t="s">
        <v>187</v>
      </c>
      <c r="AL116" s="2" t="s">
        <v>188</v>
      </c>
      <c r="AM116" s="2" t="s">
        <v>187</v>
      </c>
      <c r="AN116" s="2" t="s">
        <v>188</v>
      </c>
      <c r="AO116" s="2" t="s">
        <v>188</v>
      </c>
      <c r="AR116" s="2">
        <v>0.5</v>
      </c>
      <c r="AS116" s="2">
        <v>1</v>
      </c>
      <c r="AT116" s="2">
        <v>1.5</v>
      </c>
      <c r="AU116" s="2" t="s">
        <v>238</v>
      </c>
      <c r="AV116" s="2" t="s">
        <v>238</v>
      </c>
      <c r="AW116" s="2" t="s">
        <v>188</v>
      </c>
      <c r="AZ116" s="2" t="s">
        <v>190</v>
      </c>
      <c r="BB116" s="2" t="s">
        <v>260</v>
      </c>
      <c r="BC116" s="2" t="s">
        <v>192</v>
      </c>
      <c r="BD116" s="2" t="s">
        <v>187</v>
      </c>
      <c r="BE116" s="2" t="s">
        <v>187</v>
      </c>
      <c r="BF116" s="2" t="s">
        <v>193</v>
      </c>
      <c r="BG116" s="2" t="s">
        <v>194</v>
      </c>
      <c r="BH116" s="2" t="s">
        <v>297</v>
      </c>
      <c r="BI116" s="2" t="s">
        <v>196</v>
      </c>
      <c r="BL116" s="2" t="s">
        <v>240</v>
      </c>
      <c r="BM116" s="2" t="s">
        <v>198</v>
      </c>
      <c r="BN116" s="2" t="s">
        <v>199</v>
      </c>
      <c r="BO116" s="2" t="s">
        <v>188</v>
      </c>
      <c r="BQ116" s="2" t="s">
        <v>227</v>
      </c>
      <c r="BS116" s="2" t="s">
        <v>187</v>
      </c>
      <c r="BT116" s="2" t="s">
        <v>201</v>
      </c>
      <c r="BV116" s="2" t="s">
        <v>495</v>
      </c>
      <c r="BX116" s="2" t="s">
        <v>187</v>
      </c>
      <c r="BY116" s="2" t="s">
        <v>1071</v>
      </c>
      <c r="BZ116" s="2" t="s">
        <v>203</v>
      </c>
      <c r="CE116" s="2">
        <v>1.5</v>
      </c>
      <c r="CF116" s="2">
        <v>147</v>
      </c>
      <c r="CK116" s="2">
        <v>100</v>
      </c>
      <c r="CO116" s="2">
        <v>100</v>
      </c>
      <c r="CR116" s="2" t="s">
        <v>204</v>
      </c>
      <c r="CT116" s="2" t="s">
        <v>188</v>
      </c>
      <c r="CU116" s="2" t="s">
        <v>205</v>
      </c>
      <c r="CW116" s="2" t="s">
        <v>206</v>
      </c>
      <c r="CY116" s="2" t="s">
        <v>207</v>
      </c>
      <c r="CZ116" s="2" t="s">
        <v>207</v>
      </c>
      <c r="DA116" s="2" t="s">
        <v>208</v>
      </c>
      <c r="DB116" s="2" t="s">
        <v>301</v>
      </c>
      <c r="DC116" s="2" t="s">
        <v>300</v>
      </c>
      <c r="DD116" s="2" t="s">
        <v>207</v>
      </c>
      <c r="DE116" s="2" t="s">
        <v>207</v>
      </c>
      <c r="DF116" s="2" t="s">
        <v>207</v>
      </c>
      <c r="DG116" s="2" t="s">
        <v>207</v>
      </c>
      <c r="DH116" s="2" t="s">
        <v>299</v>
      </c>
      <c r="DI116" s="2" t="s">
        <v>299</v>
      </c>
      <c r="DL116" s="2" t="s">
        <v>187</v>
      </c>
      <c r="DM116" s="2" t="s">
        <v>187</v>
      </c>
      <c r="DN116" s="2" t="s">
        <v>187</v>
      </c>
      <c r="DO116" s="2" t="s">
        <v>187</v>
      </c>
      <c r="DP116" s="2" t="s">
        <v>209</v>
      </c>
      <c r="DQ116" s="2" t="s">
        <v>210</v>
      </c>
      <c r="DS116" s="2" t="s">
        <v>209</v>
      </c>
      <c r="DT116" s="2" t="s">
        <v>209</v>
      </c>
      <c r="DU116" s="2" t="s">
        <v>209</v>
      </c>
      <c r="DV116" s="2" t="s">
        <v>209</v>
      </c>
      <c r="DW116" s="2" t="s">
        <v>209</v>
      </c>
      <c r="DX116" s="2" t="s">
        <v>209</v>
      </c>
      <c r="DY116" s="2" t="s">
        <v>209</v>
      </c>
      <c r="DZ116" s="2" t="s">
        <v>203</v>
      </c>
      <c r="EA116" s="2" t="s">
        <v>209</v>
      </c>
      <c r="EB116" s="2" t="s">
        <v>209</v>
      </c>
      <c r="EC116" s="2" t="s">
        <v>203</v>
      </c>
      <c r="EF116" s="2" t="s">
        <v>211</v>
      </c>
      <c r="EJ116" s="2" t="s">
        <v>238</v>
      </c>
      <c r="EK116" s="2" t="s">
        <v>188</v>
      </c>
      <c r="EL116" s="2" t="s">
        <v>188</v>
      </c>
      <c r="EN116" s="2" t="s">
        <v>214</v>
      </c>
      <c r="EP116" s="2" t="s">
        <v>230</v>
      </c>
      <c r="ER116" s="2" t="s">
        <v>187</v>
      </c>
      <c r="ET116" s="2" t="s">
        <v>188</v>
      </c>
      <c r="EV116" s="2" t="s">
        <v>187</v>
      </c>
      <c r="EW116" s="2" t="s">
        <v>189</v>
      </c>
      <c r="EX116" s="2" t="s">
        <v>188</v>
      </c>
      <c r="FC116" s="2" t="s">
        <v>216</v>
      </c>
      <c r="FD116" s="2" t="s">
        <v>188</v>
      </c>
      <c r="FH116" s="2" t="s">
        <v>188</v>
      </c>
      <c r="FJ116" s="2" t="s">
        <v>187</v>
      </c>
      <c r="FK116" s="2" t="s">
        <v>203</v>
      </c>
      <c r="FN116" s="2" t="s">
        <v>304</v>
      </c>
      <c r="FT116" s="2" t="s">
        <v>233</v>
      </c>
      <c r="FU116" s="2" t="s">
        <v>233</v>
      </c>
      <c r="FV116" s="2" t="s">
        <v>233</v>
      </c>
      <c r="FW116" s="2" t="s">
        <v>233</v>
      </c>
      <c r="FZ116" s="4">
        <v>46038.666817129626</v>
      </c>
    </row>
    <row r="117" spans="1:182">
      <c r="A117" s="2" t="s">
        <v>1072</v>
      </c>
      <c r="D117" s="4">
        <v>46266.51771990741</v>
      </c>
      <c r="E117" s="2" t="s">
        <v>1045</v>
      </c>
      <c r="F117" s="2" t="s">
        <v>398</v>
      </c>
      <c r="G117" s="2" t="s">
        <v>791</v>
      </c>
      <c r="H117" s="2" t="s">
        <v>822</v>
      </c>
      <c r="I117" s="2" t="s">
        <v>1073</v>
      </c>
      <c r="J117" s="2">
        <v>363457226</v>
      </c>
      <c r="K117" s="2" t="s">
        <v>1073</v>
      </c>
      <c r="L117" s="2" t="s">
        <v>182</v>
      </c>
      <c r="M117" s="2" t="s">
        <v>183</v>
      </c>
      <c r="N117" s="2">
        <v>1993</v>
      </c>
      <c r="O117" s="2" t="s">
        <v>224</v>
      </c>
      <c r="P117" s="2" t="s">
        <v>185</v>
      </c>
      <c r="Q117" s="2" t="s">
        <v>186</v>
      </c>
      <c r="R117" s="2" t="s">
        <v>188</v>
      </c>
      <c r="S117" s="2">
        <v>8</v>
      </c>
      <c r="T117" s="2" t="s">
        <v>188</v>
      </c>
      <c r="U117" s="2" t="s">
        <v>188</v>
      </c>
      <c r="Y117" s="2">
        <v>165</v>
      </c>
      <c r="Z117" s="5">
        <v>0.75760000000000005</v>
      </c>
      <c r="AA117" s="2">
        <v>125</v>
      </c>
      <c r="AB117" s="2">
        <v>125</v>
      </c>
      <c r="AC117" s="2">
        <v>125</v>
      </c>
      <c r="AD117" s="2">
        <v>150</v>
      </c>
      <c r="AE117" s="2">
        <v>25</v>
      </c>
      <c r="AF117" s="2" t="s">
        <v>188</v>
      </c>
      <c r="AG117" s="2" t="s">
        <v>188</v>
      </c>
      <c r="AH117" s="2" t="s">
        <v>188</v>
      </c>
      <c r="AJ117" s="2" t="s">
        <v>188</v>
      </c>
      <c r="AK117" s="2" t="s">
        <v>188</v>
      </c>
      <c r="AL117" s="2" t="s">
        <v>188</v>
      </c>
      <c r="AM117" s="2" t="s">
        <v>187</v>
      </c>
      <c r="AN117" s="2" t="s">
        <v>188</v>
      </c>
      <c r="AO117" s="2" t="s">
        <v>188</v>
      </c>
      <c r="AR117" s="2">
        <v>0.6</v>
      </c>
      <c r="AS117" s="2">
        <v>1</v>
      </c>
      <c r="AT117" s="2">
        <v>1.5</v>
      </c>
      <c r="AU117" s="2" t="s">
        <v>238</v>
      </c>
      <c r="AV117" s="2" t="s">
        <v>238</v>
      </c>
      <c r="AW117" s="2" t="s">
        <v>188</v>
      </c>
      <c r="BC117" s="2" t="s">
        <v>192</v>
      </c>
      <c r="BD117" s="2" t="s">
        <v>188</v>
      </c>
      <c r="BE117" s="2" t="s">
        <v>188</v>
      </c>
      <c r="BL117" s="2" t="s">
        <v>240</v>
      </c>
      <c r="BO117" s="2" t="s">
        <v>188</v>
      </c>
      <c r="BQ117" s="2" t="s">
        <v>200</v>
      </c>
      <c r="BS117" s="2" t="s">
        <v>187</v>
      </c>
      <c r="BT117" s="2" t="s">
        <v>261</v>
      </c>
      <c r="BV117" s="2" t="s">
        <v>587</v>
      </c>
      <c r="BX117" s="2" t="s">
        <v>188</v>
      </c>
      <c r="BY117" s="2" t="s">
        <v>940</v>
      </c>
      <c r="BZ117" s="2" t="s">
        <v>188</v>
      </c>
      <c r="CE117" s="2">
        <v>1.5</v>
      </c>
      <c r="CF117" s="2">
        <v>150</v>
      </c>
      <c r="CK117" s="2">
        <v>100</v>
      </c>
      <c r="CP117" s="2">
        <v>100</v>
      </c>
      <c r="CR117" s="2" t="s">
        <v>204</v>
      </c>
      <c r="CT117" s="2" t="s">
        <v>188</v>
      </c>
      <c r="CU117" s="2" t="s">
        <v>205</v>
      </c>
      <c r="CW117" s="2" t="s">
        <v>206</v>
      </c>
      <c r="CY117" s="2" t="s">
        <v>300</v>
      </c>
      <c r="CZ117" s="2" t="s">
        <v>208</v>
      </c>
      <c r="DA117" s="2" t="s">
        <v>300</v>
      </c>
      <c r="DB117" s="2" t="s">
        <v>208</v>
      </c>
      <c r="DC117" s="2" t="s">
        <v>208</v>
      </c>
      <c r="DD117" s="2" t="s">
        <v>208</v>
      </c>
      <c r="DE117" s="2" t="s">
        <v>208</v>
      </c>
      <c r="DF117" s="2" t="s">
        <v>208</v>
      </c>
      <c r="DG117" s="2" t="s">
        <v>300</v>
      </c>
      <c r="DH117" s="2" t="s">
        <v>208</v>
      </c>
      <c r="DI117" s="2" t="s">
        <v>208</v>
      </c>
      <c r="DL117" s="2" t="s">
        <v>188</v>
      </c>
      <c r="DM117" s="2" t="s">
        <v>188</v>
      </c>
      <c r="DP117" s="2" t="s">
        <v>203</v>
      </c>
      <c r="DT117" s="2" t="s">
        <v>209</v>
      </c>
      <c r="DU117" s="2" t="s">
        <v>209</v>
      </c>
      <c r="DV117" s="2" t="s">
        <v>209</v>
      </c>
      <c r="DW117" s="2" t="s">
        <v>209</v>
      </c>
      <c r="DX117" s="2" t="s">
        <v>209</v>
      </c>
      <c r="DY117" s="2" t="s">
        <v>209</v>
      </c>
      <c r="DZ117" s="2" t="s">
        <v>203</v>
      </c>
      <c r="EA117" s="2" t="s">
        <v>209</v>
      </c>
      <c r="EB117" s="2" t="s">
        <v>209</v>
      </c>
      <c r="EC117" s="2" t="s">
        <v>203</v>
      </c>
      <c r="ED117" s="2" t="s">
        <v>203</v>
      </c>
      <c r="EF117" s="2" t="s">
        <v>302</v>
      </c>
      <c r="EG117" s="2" t="s">
        <v>1074</v>
      </c>
      <c r="EJ117" s="2" t="s">
        <v>238</v>
      </c>
      <c r="EK117" s="2" t="s">
        <v>188</v>
      </c>
      <c r="EL117" s="2" t="s">
        <v>187</v>
      </c>
      <c r="EM117" s="2" t="s">
        <v>690</v>
      </c>
      <c r="EN117" s="2" t="s">
        <v>214</v>
      </c>
      <c r="EP117" s="2" t="s">
        <v>230</v>
      </c>
      <c r="ER117" s="2" t="s">
        <v>188</v>
      </c>
      <c r="ET117" s="2" t="s">
        <v>188</v>
      </c>
      <c r="EV117" s="2" t="s">
        <v>188</v>
      </c>
      <c r="EX117" s="2" t="s">
        <v>188</v>
      </c>
      <c r="EZ117" s="2" t="s">
        <v>188</v>
      </c>
      <c r="FC117" s="2" t="s">
        <v>216</v>
      </c>
      <c r="FD117" s="2" t="s">
        <v>188</v>
      </c>
      <c r="FH117" s="2" t="s">
        <v>188</v>
      </c>
      <c r="FJ117" s="2" t="s">
        <v>188</v>
      </c>
      <c r="FK117" s="2" t="s">
        <v>203</v>
      </c>
      <c r="FR117" s="2" t="s">
        <v>1075</v>
      </c>
      <c r="FT117" s="2" t="s">
        <v>233</v>
      </c>
      <c r="FU117" s="2" t="s">
        <v>233</v>
      </c>
      <c r="FV117" s="2" t="s">
        <v>233</v>
      </c>
      <c r="FW117" s="2" t="s">
        <v>219</v>
      </c>
      <c r="FX117" s="2" t="s">
        <v>233</v>
      </c>
      <c r="FY117" s="2" t="s">
        <v>1076</v>
      </c>
      <c r="FZ117" s="4">
        <v>46038.484710648147</v>
      </c>
    </row>
    <row r="118" spans="1:182">
      <c r="A118" s="2" t="s">
        <v>1077</v>
      </c>
      <c r="D118" s="4">
        <v>46266.529675925929</v>
      </c>
      <c r="E118" s="2" t="s">
        <v>1078</v>
      </c>
      <c r="F118" s="2" t="s">
        <v>425</v>
      </c>
      <c r="G118" s="2" t="s">
        <v>791</v>
      </c>
      <c r="H118" s="2" t="s">
        <v>792</v>
      </c>
      <c r="I118" s="2" t="s">
        <v>1079</v>
      </c>
      <c r="K118" s="2" t="s">
        <v>1079</v>
      </c>
      <c r="L118" s="2" t="s">
        <v>803</v>
      </c>
      <c r="M118" s="2" t="s">
        <v>183</v>
      </c>
      <c r="N118" s="2">
        <v>1955</v>
      </c>
      <c r="O118" s="2" t="s">
        <v>184</v>
      </c>
      <c r="P118" s="2" t="s">
        <v>185</v>
      </c>
      <c r="Q118" s="2" t="s">
        <v>270</v>
      </c>
      <c r="R118" s="2" t="s">
        <v>188</v>
      </c>
      <c r="S118" s="2">
        <v>31</v>
      </c>
      <c r="T118" s="2" t="s">
        <v>188</v>
      </c>
      <c r="U118" s="2" t="s">
        <v>188</v>
      </c>
      <c r="Y118" s="2">
        <v>50</v>
      </c>
      <c r="Z118" s="2">
        <v>1</v>
      </c>
      <c r="AA118" s="2">
        <v>50</v>
      </c>
      <c r="AB118" s="2">
        <v>50</v>
      </c>
      <c r="AC118" s="2">
        <v>40</v>
      </c>
      <c r="AD118" s="2">
        <v>50</v>
      </c>
      <c r="AE118" s="2">
        <v>10</v>
      </c>
      <c r="AF118" s="2" t="s">
        <v>187</v>
      </c>
      <c r="AG118" s="2" t="s">
        <v>188</v>
      </c>
      <c r="AH118" s="2" t="s">
        <v>188</v>
      </c>
      <c r="AJ118" s="2" t="s">
        <v>188</v>
      </c>
      <c r="AK118" s="2" t="s">
        <v>188</v>
      </c>
      <c r="AL118" s="2" t="s">
        <v>188</v>
      </c>
      <c r="AM118" s="2" t="s">
        <v>188</v>
      </c>
      <c r="AN118" s="2" t="s">
        <v>188</v>
      </c>
      <c r="AO118" s="2" t="s">
        <v>188</v>
      </c>
      <c r="AR118" s="2">
        <v>0.3</v>
      </c>
      <c r="AS118" s="2">
        <v>1</v>
      </c>
      <c r="AT118" s="2">
        <v>0.5</v>
      </c>
      <c r="AU118" s="2" t="s">
        <v>238</v>
      </c>
      <c r="AV118" s="2" t="s">
        <v>238</v>
      </c>
      <c r="AW118" s="2" t="s">
        <v>188</v>
      </c>
      <c r="AZ118" s="2" t="s">
        <v>561</v>
      </c>
      <c r="BB118" s="2" t="s">
        <v>191</v>
      </c>
      <c r="BC118" s="2" t="s">
        <v>253</v>
      </c>
      <c r="BD118" s="2" t="s">
        <v>188</v>
      </c>
      <c r="BE118" s="2" t="s">
        <v>188</v>
      </c>
      <c r="BL118" s="2" t="s">
        <v>240</v>
      </c>
      <c r="BO118" s="2" t="s">
        <v>341</v>
      </c>
      <c r="BP118" s="2" t="s">
        <v>342</v>
      </c>
      <c r="BS118" s="2" t="s">
        <v>188</v>
      </c>
      <c r="BT118" s="2" t="s">
        <v>261</v>
      </c>
      <c r="BV118" s="2" t="s">
        <v>458</v>
      </c>
      <c r="BX118" s="2" t="s">
        <v>188</v>
      </c>
      <c r="BZ118" s="2" t="s">
        <v>188</v>
      </c>
      <c r="CE118" s="2">
        <v>0.5</v>
      </c>
      <c r="CF118" s="2">
        <v>50</v>
      </c>
      <c r="CK118" s="2">
        <v>100</v>
      </c>
      <c r="CO118" s="2">
        <v>100</v>
      </c>
      <c r="CR118" s="2" t="s">
        <v>204</v>
      </c>
      <c r="CT118" s="2" t="s">
        <v>188</v>
      </c>
      <c r="CU118" s="2" t="s">
        <v>205</v>
      </c>
      <c r="CW118" s="2" t="s">
        <v>206</v>
      </c>
      <c r="CY118" s="2" t="s">
        <v>300</v>
      </c>
      <c r="CZ118" s="2" t="s">
        <v>300</v>
      </c>
      <c r="DA118" s="2" t="s">
        <v>300</v>
      </c>
      <c r="DB118" s="2" t="s">
        <v>300</v>
      </c>
      <c r="DC118" s="2" t="s">
        <v>430</v>
      </c>
      <c r="DD118" s="2" t="s">
        <v>430</v>
      </c>
      <c r="DE118" s="2" t="s">
        <v>300</v>
      </c>
      <c r="DF118" s="2" t="s">
        <v>300</v>
      </c>
      <c r="DG118" s="2" t="s">
        <v>300</v>
      </c>
      <c r="DH118" s="2" t="s">
        <v>430</v>
      </c>
      <c r="DI118" s="2" t="s">
        <v>1080</v>
      </c>
      <c r="DL118" s="2" t="s">
        <v>188</v>
      </c>
      <c r="DM118" s="2" t="s">
        <v>188</v>
      </c>
      <c r="DP118" s="2" t="s">
        <v>203</v>
      </c>
      <c r="DT118" s="2" t="s">
        <v>203</v>
      </c>
      <c r="DU118" s="2" t="s">
        <v>203</v>
      </c>
      <c r="DV118" s="2" t="s">
        <v>203</v>
      </c>
      <c r="DW118" s="2" t="s">
        <v>203</v>
      </c>
      <c r="DX118" s="2" t="s">
        <v>203</v>
      </c>
      <c r="DY118" s="2" t="s">
        <v>203</v>
      </c>
      <c r="DZ118" s="2" t="s">
        <v>203</v>
      </c>
      <c r="EA118" s="2" t="s">
        <v>203</v>
      </c>
      <c r="EB118" s="2" t="s">
        <v>203</v>
      </c>
      <c r="EC118" s="2" t="s">
        <v>203</v>
      </c>
      <c r="EF118" s="2" t="s">
        <v>496</v>
      </c>
      <c r="EG118" s="2" t="s">
        <v>1081</v>
      </c>
      <c r="EJ118" s="2" t="s">
        <v>203</v>
      </c>
      <c r="EK118" s="2" t="s">
        <v>188</v>
      </c>
      <c r="EL118" s="2" t="s">
        <v>188</v>
      </c>
      <c r="EN118" s="2" t="s">
        <v>255</v>
      </c>
      <c r="EP118" s="2" t="s">
        <v>230</v>
      </c>
      <c r="ER118" s="2" t="s">
        <v>188</v>
      </c>
      <c r="ET118" s="2" t="s">
        <v>188</v>
      </c>
      <c r="EV118" s="2" t="s">
        <v>188</v>
      </c>
      <c r="EX118" s="2" t="s">
        <v>188</v>
      </c>
      <c r="EZ118" s="2" t="s">
        <v>188</v>
      </c>
      <c r="FC118" s="2" t="s">
        <v>263</v>
      </c>
      <c r="FD118" s="2" t="s">
        <v>188</v>
      </c>
      <c r="FH118" s="2" t="s">
        <v>188</v>
      </c>
      <c r="FJ118" s="2" t="s">
        <v>188</v>
      </c>
      <c r="FK118" s="2" t="s">
        <v>188</v>
      </c>
      <c r="FR118" s="2" t="s">
        <v>545</v>
      </c>
      <c r="FT118" s="2" t="s">
        <v>233</v>
      </c>
      <c r="FU118" s="2" t="s">
        <v>233</v>
      </c>
      <c r="FV118" s="2" t="s">
        <v>219</v>
      </c>
      <c r="FW118" s="2" t="s">
        <v>219</v>
      </c>
      <c r="FZ118" s="4">
        <v>46041.29619212963</v>
      </c>
    </row>
    <row r="119" spans="1:182">
      <c r="A119" s="2" t="s">
        <v>1082</v>
      </c>
      <c r="D119" s="4">
        <v>46266.530972222223</v>
      </c>
      <c r="E119" s="2" t="s">
        <v>1083</v>
      </c>
      <c r="F119" s="2" t="s">
        <v>398</v>
      </c>
      <c r="G119" s="2" t="s">
        <v>791</v>
      </c>
      <c r="H119" s="2" t="s">
        <v>792</v>
      </c>
      <c r="I119" s="2" t="s">
        <v>1084</v>
      </c>
      <c r="J119" s="2">
        <v>359219271</v>
      </c>
      <c r="K119" s="2" t="s">
        <v>1084</v>
      </c>
      <c r="L119" s="2" t="s">
        <v>269</v>
      </c>
      <c r="M119" s="2" t="s">
        <v>183</v>
      </c>
      <c r="N119" s="2">
        <v>1985</v>
      </c>
      <c r="O119" s="2" t="s">
        <v>184</v>
      </c>
      <c r="P119" s="2" t="s">
        <v>185</v>
      </c>
      <c r="Q119" s="2" t="s">
        <v>270</v>
      </c>
      <c r="R119" s="2" t="s">
        <v>188</v>
      </c>
      <c r="S119" s="2">
        <v>10</v>
      </c>
      <c r="T119" s="2" t="s">
        <v>188</v>
      </c>
      <c r="U119" s="2" t="s">
        <v>188</v>
      </c>
      <c r="Y119" s="2">
        <v>147</v>
      </c>
      <c r="Z119" s="2">
        <v>0.95240000000000002</v>
      </c>
      <c r="AA119" s="2">
        <v>140</v>
      </c>
      <c r="AB119" s="2">
        <v>140</v>
      </c>
      <c r="AC119" s="2">
        <v>140</v>
      </c>
      <c r="AD119" s="2">
        <v>150</v>
      </c>
      <c r="AE119" s="2">
        <v>10</v>
      </c>
      <c r="AF119" s="2" t="s">
        <v>187</v>
      </c>
      <c r="AG119" s="2" t="s">
        <v>188</v>
      </c>
      <c r="AH119" s="2" t="s">
        <v>188</v>
      </c>
      <c r="AJ119" s="2" t="s">
        <v>188</v>
      </c>
      <c r="AK119" s="2" t="s">
        <v>188</v>
      </c>
      <c r="AL119" s="2" t="s">
        <v>188</v>
      </c>
      <c r="AM119" s="2" t="s">
        <v>187</v>
      </c>
      <c r="AN119" s="2" t="s">
        <v>188</v>
      </c>
      <c r="AO119" s="2" t="s">
        <v>188</v>
      </c>
      <c r="AR119" s="2">
        <v>0.4</v>
      </c>
      <c r="AS119" s="2">
        <v>1</v>
      </c>
      <c r="AT119" s="2">
        <v>1.5</v>
      </c>
      <c r="AU119" s="2" t="s">
        <v>238</v>
      </c>
      <c r="AV119" s="2" t="s">
        <v>238</v>
      </c>
      <c r="AW119" s="2" t="s">
        <v>188</v>
      </c>
      <c r="BC119" s="2" t="s">
        <v>192</v>
      </c>
      <c r="BD119" s="2" t="s">
        <v>188</v>
      </c>
      <c r="BE119" s="2" t="s">
        <v>188</v>
      </c>
      <c r="BL119" s="2" t="s">
        <v>240</v>
      </c>
      <c r="BO119" s="2" t="s">
        <v>341</v>
      </c>
      <c r="BP119" s="2" t="s">
        <v>342</v>
      </c>
      <c r="BS119" s="2" t="s">
        <v>187</v>
      </c>
      <c r="BT119" s="2" t="s">
        <v>261</v>
      </c>
      <c r="BV119" s="2" t="s">
        <v>248</v>
      </c>
      <c r="BX119" s="2" t="s">
        <v>187</v>
      </c>
      <c r="BY119" s="2" t="s">
        <v>1085</v>
      </c>
      <c r="BZ119" s="2" t="s">
        <v>188</v>
      </c>
      <c r="CE119" s="2">
        <v>1.5</v>
      </c>
      <c r="CF119" s="2">
        <v>150</v>
      </c>
      <c r="CK119" s="2">
        <v>100</v>
      </c>
      <c r="CP119" s="2">
        <v>100</v>
      </c>
      <c r="CR119" s="2" t="s">
        <v>204</v>
      </c>
      <c r="CT119" s="2" t="s">
        <v>188</v>
      </c>
      <c r="CU119" s="2" t="s">
        <v>205</v>
      </c>
      <c r="CW119" s="2" t="s">
        <v>206</v>
      </c>
      <c r="CY119" s="2" t="s">
        <v>300</v>
      </c>
      <c r="CZ119" s="2" t="s">
        <v>300</v>
      </c>
      <c r="DA119" s="2" t="s">
        <v>300</v>
      </c>
      <c r="DB119" s="2" t="s">
        <v>208</v>
      </c>
      <c r="DC119" s="2" t="s">
        <v>300</v>
      </c>
      <c r="DD119" s="2" t="s">
        <v>299</v>
      </c>
      <c r="DE119" s="2" t="s">
        <v>300</v>
      </c>
      <c r="DF119" s="2" t="s">
        <v>300</v>
      </c>
      <c r="DG119" s="2" t="s">
        <v>300</v>
      </c>
      <c r="DH119" s="2" t="s">
        <v>300</v>
      </c>
      <c r="DI119" s="2" t="s">
        <v>300</v>
      </c>
      <c r="DL119" s="2" t="s">
        <v>188</v>
      </c>
      <c r="DM119" s="2" t="s">
        <v>188</v>
      </c>
      <c r="DP119" s="2" t="s">
        <v>203</v>
      </c>
      <c r="DT119" s="2" t="s">
        <v>203</v>
      </c>
      <c r="DU119" s="2" t="s">
        <v>203</v>
      </c>
      <c r="DV119" s="2" t="s">
        <v>203</v>
      </c>
      <c r="DW119" s="2" t="s">
        <v>203</v>
      </c>
      <c r="DX119" s="2" t="s">
        <v>203</v>
      </c>
      <c r="DY119" s="2" t="s">
        <v>203</v>
      </c>
      <c r="DZ119" s="2" t="s">
        <v>203</v>
      </c>
      <c r="EA119" s="2" t="s">
        <v>203</v>
      </c>
      <c r="EB119" s="2" t="s">
        <v>203</v>
      </c>
      <c r="EC119" s="2" t="s">
        <v>203</v>
      </c>
      <c r="ED119" s="2" t="s">
        <v>203</v>
      </c>
      <c r="EF119" s="2" t="s">
        <v>302</v>
      </c>
      <c r="EG119" s="2" t="s">
        <v>1086</v>
      </c>
      <c r="EJ119" s="2" t="s">
        <v>238</v>
      </c>
      <c r="EK119" s="2" t="s">
        <v>188</v>
      </c>
      <c r="EL119" s="2" t="s">
        <v>187</v>
      </c>
      <c r="EM119" s="2" t="s">
        <v>382</v>
      </c>
      <c r="EN119" s="2" t="s">
        <v>214</v>
      </c>
      <c r="EP119" s="2" t="s">
        <v>230</v>
      </c>
      <c r="ER119" s="2" t="s">
        <v>188</v>
      </c>
      <c r="ET119" s="2" t="s">
        <v>188</v>
      </c>
      <c r="EV119" s="2" t="s">
        <v>188</v>
      </c>
      <c r="EX119" s="2" t="s">
        <v>188</v>
      </c>
      <c r="EZ119" s="2" t="s">
        <v>188</v>
      </c>
      <c r="FC119" s="2" t="s">
        <v>216</v>
      </c>
      <c r="FD119" s="2" t="s">
        <v>188</v>
      </c>
      <c r="FH119" s="2" t="s">
        <v>188</v>
      </c>
      <c r="FJ119" s="2" t="s">
        <v>188</v>
      </c>
      <c r="FK119" s="2" t="s">
        <v>203</v>
      </c>
      <c r="FR119" s="2" t="s">
        <v>1087</v>
      </c>
      <c r="FT119" s="2" t="s">
        <v>233</v>
      </c>
      <c r="FU119" s="2" t="s">
        <v>233</v>
      </c>
      <c r="FV119" s="2" t="s">
        <v>233</v>
      </c>
      <c r="FW119" s="2" t="s">
        <v>233</v>
      </c>
      <c r="FX119" s="2" t="s">
        <v>233</v>
      </c>
      <c r="FY119" s="2" t="s">
        <v>1088</v>
      </c>
      <c r="FZ119" s="4">
        <v>46047.68990740741</v>
      </c>
    </row>
    <row r="120" spans="1:182">
      <c r="A120" s="2" t="s">
        <v>1089</v>
      </c>
      <c r="D120" s="4">
        <v>46266.5312037037</v>
      </c>
      <c r="E120" s="2" t="s">
        <v>177</v>
      </c>
      <c r="F120" s="2" t="s">
        <v>293</v>
      </c>
      <c r="G120" s="2" t="s">
        <v>791</v>
      </c>
      <c r="H120" s="2" t="s">
        <v>792</v>
      </c>
      <c r="I120" s="2" t="s">
        <v>1090</v>
      </c>
      <c r="J120" s="2">
        <v>383634892</v>
      </c>
      <c r="K120" s="2" t="s">
        <v>1090</v>
      </c>
      <c r="L120" s="2" t="s">
        <v>182</v>
      </c>
      <c r="M120" s="2" t="s">
        <v>183</v>
      </c>
      <c r="N120" s="2">
        <v>1987</v>
      </c>
      <c r="O120" s="2" t="s">
        <v>184</v>
      </c>
      <c r="P120" s="2" t="s">
        <v>185</v>
      </c>
      <c r="Q120" s="2" t="s">
        <v>186</v>
      </c>
      <c r="R120" s="2" t="s">
        <v>188</v>
      </c>
      <c r="S120" s="2">
        <v>2012</v>
      </c>
      <c r="T120" s="2" t="s">
        <v>188</v>
      </c>
      <c r="U120" s="2" t="s">
        <v>188</v>
      </c>
      <c r="Y120" s="2">
        <v>350</v>
      </c>
      <c r="Z120" s="2">
        <v>0.85709999999999997</v>
      </c>
      <c r="AA120" s="2">
        <v>300</v>
      </c>
      <c r="AB120" s="2">
        <v>300</v>
      </c>
      <c r="AC120" s="2">
        <v>220</v>
      </c>
      <c r="AD120" s="2">
        <v>250</v>
      </c>
      <c r="AE120" s="2">
        <v>30</v>
      </c>
      <c r="AF120" s="2" t="s">
        <v>187</v>
      </c>
      <c r="AG120" s="2" t="s">
        <v>187</v>
      </c>
      <c r="AH120" s="2" t="s">
        <v>187</v>
      </c>
      <c r="AI120" s="2" t="s">
        <v>308</v>
      </c>
      <c r="AJ120" s="2" t="s">
        <v>188</v>
      </c>
      <c r="AK120" s="2" t="s">
        <v>187</v>
      </c>
      <c r="AL120" s="2" t="s">
        <v>188</v>
      </c>
      <c r="AM120" s="2" t="s">
        <v>187</v>
      </c>
      <c r="AN120" s="2" t="s">
        <v>188</v>
      </c>
      <c r="AO120" s="2" t="s">
        <v>188</v>
      </c>
      <c r="AR120" s="2">
        <v>1</v>
      </c>
      <c r="AS120" s="2">
        <v>1</v>
      </c>
      <c r="AT120" s="2">
        <v>2.5</v>
      </c>
      <c r="AU120" s="2" t="s">
        <v>238</v>
      </c>
      <c r="AV120" s="2" t="s">
        <v>238</v>
      </c>
      <c r="AW120" s="2" t="s">
        <v>188</v>
      </c>
      <c r="AZ120" s="2" t="s">
        <v>561</v>
      </c>
      <c r="BB120" s="2" t="s">
        <v>260</v>
      </c>
      <c r="BC120" s="2" t="s">
        <v>253</v>
      </c>
      <c r="BD120" s="2" t="s">
        <v>187</v>
      </c>
      <c r="BE120" s="2" t="s">
        <v>187</v>
      </c>
      <c r="BF120" s="2" t="s">
        <v>193</v>
      </c>
      <c r="BG120" s="2" t="s">
        <v>279</v>
      </c>
      <c r="BH120" s="2" t="s">
        <v>297</v>
      </c>
      <c r="BI120" s="2" t="s">
        <v>196</v>
      </c>
      <c r="BL120" s="2" t="s">
        <v>240</v>
      </c>
      <c r="BM120" s="2" t="s">
        <v>198</v>
      </c>
      <c r="BN120" s="2" t="s">
        <v>199</v>
      </c>
      <c r="BO120" s="2" t="s">
        <v>188</v>
      </c>
      <c r="BP120" s="2" t="s">
        <v>342</v>
      </c>
      <c r="BQ120" s="2" t="s">
        <v>227</v>
      </c>
      <c r="BS120" s="2" t="s">
        <v>187</v>
      </c>
      <c r="BT120" s="2" t="s">
        <v>324</v>
      </c>
      <c r="BV120" s="2" t="s">
        <v>587</v>
      </c>
      <c r="BX120" s="2" t="s">
        <v>187</v>
      </c>
      <c r="BY120" s="2" t="s">
        <v>310</v>
      </c>
      <c r="BZ120" s="2" t="s">
        <v>203</v>
      </c>
      <c r="CE120" s="2">
        <v>2.5</v>
      </c>
      <c r="CF120" s="2">
        <v>240</v>
      </c>
      <c r="CK120" s="2">
        <v>100</v>
      </c>
      <c r="CO120" s="2">
        <v>100</v>
      </c>
      <c r="CR120" s="2" t="s">
        <v>204</v>
      </c>
      <c r="CU120" s="2" t="s">
        <v>281</v>
      </c>
      <c r="CW120" s="2" t="s">
        <v>206</v>
      </c>
      <c r="CY120" s="2" t="s">
        <v>207</v>
      </c>
      <c r="CZ120" s="2" t="s">
        <v>207</v>
      </c>
      <c r="DA120" s="2" t="s">
        <v>300</v>
      </c>
      <c r="DB120" s="2" t="s">
        <v>300</v>
      </c>
      <c r="DC120" s="2" t="s">
        <v>300</v>
      </c>
      <c r="DD120" s="2" t="s">
        <v>301</v>
      </c>
      <c r="DE120" s="2" t="s">
        <v>300</v>
      </c>
      <c r="DF120" s="2" t="s">
        <v>207</v>
      </c>
      <c r="DG120" s="2" t="s">
        <v>207</v>
      </c>
      <c r="DH120" s="2" t="s">
        <v>273</v>
      </c>
      <c r="DI120" s="2" t="s">
        <v>208</v>
      </c>
      <c r="DL120" s="2" t="s">
        <v>188</v>
      </c>
      <c r="DM120" s="2" t="s">
        <v>187</v>
      </c>
      <c r="DN120" s="2" t="s">
        <v>187</v>
      </c>
      <c r="DO120" s="2" t="s">
        <v>187</v>
      </c>
      <c r="DP120" s="2" t="s">
        <v>209</v>
      </c>
      <c r="DQ120" s="2" t="s">
        <v>210</v>
      </c>
      <c r="DT120" s="2" t="s">
        <v>209</v>
      </c>
      <c r="DU120" s="2" t="s">
        <v>209</v>
      </c>
      <c r="DV120" s="2" t="s">
        <v>209</v>
      </c>
      <c r="DW120" s="2" t="s">
        <v>209</v>
      </c>
      <c r="DX120" s="2" t="s">
        <v>209</v>
      </c>
      <c r="DY120" s="2" t="s">
        <v>203</v>
      </c>
      <c r="DZ120" s="2" t="s">
        <v>203</v>
      </c>
      <c r="EA120" s="2" t="s">
        <v>209</v>
      </c>
      <c r="EB120" s="2" t="s">
        <v>203</v>
      </c>
      <c r="EC120" s="2" t="s">
        <v>203</v>
      </c>
      <c r="EF120" s="2" t="s">
        <v>211</v>
      </c>
      <c r="EJ120" s="2" t="s">
        <v>238</v>
      </c>
      <c r="EK120" s="2" t="s">
        <v>187</v>
      </c>
      <c r="EL120" s="2" t="s">
        <v>188</v>
      </c>
      <c r="EN120" s="2" t="s">
        <v>214</v>
      </c>
      <c r="EP120" s="2" t="s">
        <v>230</v>
      </c>
      <c r="ER120" s="2" t="s">
        <v>187</v>
      </c>
      <c r="ET120" s="2" t="s">
        <v>188</v>
      </c>
      <c r="EV120" s="2" t="s">
        <v>188</v>
      </c>
      <c r="EX120" s="2" t="s">
        <v>187</v>
      </c>
      <c r="EY120" s="2" t="s">
        <v>189</v>
      </c>
      <c r="EZ120" s="2" t="s">
        <v>188</v>
      </c>
      <c r="FC120" s="2" t="s">
        <v>216</v>
      </c>
      <c r="FD120" s="2" t="s">
        <v>188</v>
      </c>
      <c r="FH120" s="2" t="s">
        <v>188</v>
      </c>
      <c r="FJ120" s="2" t="s">
        <v>187</v>
      </c>
      <c r="FK120" s="2" t="s">
        <v>203</v>
      </c>
      <c r="FN120" s="2" t="s">
        <v>1091</v>
      </c>
      <c r="FO120" s="2" t="s">
        <v>1092</v>
      </c>
      <c r="FT120" s="2" t="s">
        <v>219</v>
      </c>
      <c r="FU120" s="2" t="s">
        <v>233</v>
      </c>
      <c r="FV120" s="2" t="s">
        <v>233</v>
      </c>
      <c r="FW120" s="2" t="s">
        <v>233</v>
      </c>
      <c r="FZ120" s="4">
        <v>46038.678182870368</v>
      </c>
    </row>
    <row r="121" spans="1:182">
      <c r="A121" s="2" t="s">
        <v>1093</v>
      </c>
      <c r="D121" s="4">
        <v>46266.541087962964</v>
      </c>
      <c r="E121" s="2" t="s">
        <v>1094</v>
      </c>
      <c r="F121" s="2" t="s">
        <v>590</v>
      </c>
      <c r="G121" s="2" t="s">
        <v>831</v>
      </c>
      <c r="H121" s="2" t="s">
        <v>1095</v>
      </c>
      <c r="I121" s="2" t="s">
        <v>1096</v>
      </c>
      <c r="J121" s="2">
        <v>794567333</v>
      </c>
      <c r="K121" s="2" t="s">
        <v>1096</v>
      </c>
      <c r="L121" s="2" t="s">
        <v>182</v>
      </c>
      <c r="M121" s="2" t="s">
        <v>183</v>
      </c>
      <c r="N121" s="2">
        <v>1991</v>
      </c>
      <c r="O121" s="2" t="s">
        <v>224</v>
      </c>
      <c r="P121" s="2" t="s">
        <v>185</v>
      </c>
      <c r="Q121" s="2" t="s">
        <v>1097</v>
      </c>
      <c r="R121" s="2" t="s">
        <v>188</v>
      </c>
      <c r="S121" s="2">
        <v>20</v>
      </c>
      <c r="T121" s="2" t="s">
        <v>188</v>
      </c>
      <c r="U121" s="2" t="s">
        <v>188</v>
      </c>
      <c r="Y121" s="2">
        <v>500</v>
      </c>
      <c r="Z121" s="2">
        <v>1</v>
      </c>
      <c r="AA121" s="2">
        <v>500</v>
      </c>
      <c r="AB121" s="2">
        <v>500</v>
      </c>
      <c r="AC121" s="2">
        <v>500</v>
      </c>
      <c r="AD121" s="2">
        <v>600</v>
      </c>
      <c r="AE121" s="2">
        <v>100</v>
      </c>
      <c r="AF121" s="2" t="s">
        <v>188</v>
      </c>
      <c r="AG121" s="2" t="s">
        <v>188</v>
      </c>
      <c r="AH121" s="2" t="s">
        <v>188</v>
      </c>
      <c r="AJ121" s="2" t="s">
        <v>188</v>
      </c>
      <c r="AK121" s="2" t="s">
        <v>188</v>
      </c>
      <c r="AL121" s="2" t="s">
        <v>188</v>
      </c>
      <c r="AM121" s="2" t="s">
        <v>188</v>
      </c>
      <c r="AN121" s="2" t="s">
        <v>188</v>
      </c>
      <c r="AO121" s="2" t="s">
        <v>188</v>
      </c>
      <c r="AR121" s="2">
        <v>2.7</v>
      </c>
      <c r="AS121" s="2">
        <v>4</v>
      </c>
      <c r="AT121" s="2">
        <v>4.5</v>
      </c>
      <c r="AU121" s="2" t="s">
        <v>203</v>
      </c>
      <c r="AV121" s="2" t="s">
        <v>238</v>
      </c>
      <c r="AW121" s="2" t="s">
        <v>188</v>
      </c>
      <c r="AZ121" s="2" t="s">
        <v>190</v>
      </c>
      <c r="BB121" s="2" t="s">
        <v>260</v>
      </c>
      <c r="BC121" s="2" t="s">
        <v>192</v>
      </c>
      <c r="BD121" s="2" t="s">
        <v>188</v>
      </c>
      <c r="BE121" s="2" t="s">
        <v>188</v>
      </c>
      <c r="BL121" s="2" t="s">
        <v>197</v>
      </c>
      <c r="BM121" s="2" t="s">
        <v>507</v>
      </c>
      <c r="BN121" s="2" t="s">
        <v>199</v>
      </c>
      <c r="BO121" s="2" t="s">
        <v>188</v>
      </c>
      <c r="BQ121" s="2" t="s">
        <v>227</v>
      </c>
      <c r="BS121" s="2" t="s">
        <v>187</v>
      </c>
      <c r="BT121" s="2" t="s">
        <v>651</v>
      </c>
      <c r="BV121" s="2" t="s">
        <v>1057</v>
      </c>
      <c r="BX121" s="2" t="s">
        <v>187</v>
      </c>
      <c r="BY121" s="2" t="s">
        <v>1098</v>
      </c>
      <c r="BZ121" s="2" t="s">
        <v>188</v>
      </c>
      <c r="CE121" s="2">
        <v>4.5</v>
      </c>
      <c r="CF121" s="2">
        <v>600</v>
      </c>
      <c r="CK121" s="2">
        <v>100</v>
      </c>
      <c r="CO121" s="2">
        <v>100</v>
      </c>
      <c r="CR121" s="2" t="s">
        <v>1099</v>
      </c>
      <c r="CT121" s="2" t="s">
        <v>188</v>
      </c>
      <c r="CU121" s="2" t="s">
        <v>205</v>
      </c>
      <c r="CW121" s="2" t="s">
        <v>206</v>
      </c>
      <c r="CY121" s="2" t="s">
        <v>512</v>
      </c>
      <c r="CZ121" s="2" t="s">
        <v>988</v>
      </c>
      <c r="DA121" s="2" t="s">
        <v>300</v>
      </c>
      <c r="DB121" s="2" t="s">
        <v>988</v>
      </c>
      <c r="DC121" s="2" t="s">
        <v>300</v>
      </c>
      <c r="DD121" s="2" t="s">
        <v>300</v>
      </c>
      <c r="DE121" s="2" t="s">
        <v>300</v>
      </c>
      <c r="DF121" s="2" t="s">
        <v>300</v>
      </c>
      <c r="DG121" s="2" t="s">
        <v>988</v>
      </c>
      <c r="DH121" s="2" t="s">
        <v>988</v>
      </c>
      <c r="DI121" s="2" t="s">
        <v>988</v>
      </c>
      <c r="DL121" s="2" t="s">
        <v>188</v>
      </c>
      <c r="DM121" s="2" t="s">
        <v>188</v>
      </c>
      <c r="DP121" s="2" t="s">
        <v>203</v>
      </c>
      <c r="DT121" s="2" t="s">
        <v>203</v>
      </c>
      <c r="DU121" s="2" t="s">
        <v>203</v>
      </c>
      <c r="DV121" s="2" t="s">
        <v>203</v>
      </c>
      <c r="DW121" s="2" t="s">
        <v>203</v>
      </c>
      <c r="DX121" s="2" t="s">
        <v>203</v>
      </c>
      <c r="DY121" s="2" t="s">
        <v>203</v>
      </c>
      <c r="DZ121" s="2" t="s">
        <v>203</v>
      </c>
      <c r="EA121" s="2" t="s">
        <v>203</v>
      </c>
      <c r="EB121" s="2" t="s">
        <v>203</v>
      </c>
      <c r="EC121" s="2" t="s">
        <v>203</v>
      </c>
      <c r="ED121" s="2" t="s">
        <v>203</v>
      </c>
      <c r="EE121" s="2" t="s">
        <v>1100</v>
      </c>
      <c r="EF121" s="2" t="s">
        <v>189</v>
      </c>
      <c r="EG121" s="2" t="s">
        <v>1101</v>
      </c>
      <c r="EJ121" s="2" t="s">
        <v>189</v>
      </c>
      <c r="EK121" s="2" t="s">
        <v>187</v>
      </c>
      <c r="EL121" s="2" t="s">
        <v>188</v>
      </c>
      <c r="EN121" s="2" t="s">
        <v>255</v>
      </c>
      <c r="EP121" s="2" t="s">
        <v>230</v>
      </c>
      <c r="ER121" s="2" t="s">
        <v>188</v>
      </c>
      <c r="ET121" s="2" t="s">
        <v>188</v>
      </c>
      <c r="EV121" s="2" t="s">
        <v>188</v>
      </c>
      <c r="EX121" s="2" t="s">
        <v>188</v>
      </c>
      <c r="EZ121" s="2" t="s">
        <v>188</v>
      </c>
      <c r="FC121" s="2" t="s">
        <v>216</v>
      </c>
      <c r="FD121" s="2" t="s">
        <v>188</v>
      </c>
      <c r="FH121" s="2" t="s">
        <v>188</v>
      </c>
      <c r="FJ121" s="2" t="s">
        <v>188</v>
      </c>
      <c r="FK121" s="2" t="s">
        <v>209</v>
      </c>
      <c r="FL121" s="2" t="s">
        <v>1102</v>
      </c>
      <c r="FN121" s="2" t="s">
        <v>432</v>
      </c>
      <c r="FR121" s="2" t="s">
        <v>1103</v>
      </c>
      <c r="FT121" s="2" t="s">
        <v>233</v>
      </c>
      <c r="FU121" s="2" t="s">
        <v>219</v>
      </c>
      <c r="FV121" s="2" t="s">
        <v>219</v>
      </c>
      <c r="FW121" s="2" t="s">
        <v>219</v>
      </c>
      <c r="FZ121" s="4">
        <v>46040.394305555557</v>
      </c>
    </row>
    <row r="122" spans="1:182">
      <c r="A122" s="2" t="s">
        <v>1104</v>
      </c>
      <c r="D122" s="4">
        <v>46266.544502314813</v>
      </c>
      <c r="E122" s="2" t="s">
        <v>1105</v>
      </c>
      <c r="F122" s="2" t="s">
        <v>425</v>
      </c>
      <c r="G122" s="2" t="s">
        <v>791</v>
      </c>
      <c r="H122" s="2" t="s">
        <v>792</v>
      </c>
      <c r="I122" s="2" t="s">
        <v>1106</v>
      </c>
      <c r="J122" s="2">
        <v>981127793</v>
      </c>
      <c r="K122" s="2" t="s">
        <v>1107</v>
      </c>
      <c r="L122" s="2" t="s">
        <v>182</v>
      </c>
      <c r="M122" s="2" t="s">
        <v>223</v>
      </c>
      <c r="N122" s="2">
        <v>1999</v>
      </c>
      <c r="O122" s="2" t="s">
        <v>184</v>
      </c>
      <c r="P122" s="2" t="s">
        <v>225</v>
      </c>
      <c r="Q122" s="2" t="s">
        <v>270</v>
      </c>
      <c r="R122" s="2" t="s">
        <v>188</v>
      </c>
      <c r="S122" s="2">
        <v>12</v>
      </c>
      <c r="T122" s="2" t="s">
        <v>188</v>
      </c>
      <c r="U122" s="2" t="s">
        <v>188</v>
      </c>
      <c r="Y122" s="2">
        <v>230</v>
      </c>
      <c r="Z122" s="2">
        <v>0.82609999999999995</v>
      </c>
      <c r="AA122" s="2">
        <v>190</v>
      </c>
      <c r="AB122" s="2">
        <v>175</v>
      </c>
      <c r="AC122" s="2">
        <v>155</v>
      </c>
      <c r="AD122" s="2">
        <v>180</v>
      </c>
      <c r="AE122" s="2">
        <v>25</v>
      </c>
      <c r="AF122" s="2" t="s">
        <v>187</v>
      </c>
      <c r="AG122" s="2" t="s">
        <v>188</v>
      </c>
      <c r="AH122" s="2" t="s">
        <v>188</v>
      </c>
      <c r="AJ122" s="2" t="s">
        <v>188</v>
      </c>
      <c r="AK122" s="2" t="s">
        <v>187</v>
      </c>
      <c r="AL122" s="2" t="s">
        <v>188</v>
      </c>
      <c r="AM122" s="2" t="s">
        <v>187</v>
      </c>
      <c r="AN122" s="2" t="s">
        <v>188</v>
      </c>
      <c r="AO122" s="2" t="s">
        <v>188</v>
      </c>
      <c r="AR122" s="2">
        <v>0.7</v>
      </c>
      <c r="AS122" s="2">
        <v>4</v>
      </c>
      <c r="AT122" s="2">
        <v>1.8</v>
      </c>
      <c r="AU122" s="2" t="s">
        <v>238</v>
      </c>
      <c r="AV122" s="2" t="s">
        <v>238</v>
      </c>
      <c r="AW122" s="2" t="s">
        <v>188</v>
      </c>
      <c r="AZ122" s="2" t="s">
        <v>357</v>
      </c>
      <c r="BB122" s="2" t="s">
        <v>260</v>
      </c>
      <c r="BC122" s="2" t="s">
        <v>192</v>
      </c>
      <c r="BD122" s="2" t="s">
        <v>188</v>
      </c>
      <c r="BE122" s="2" t="s">
        <v>188</v>
      </c>
      <c r="BL122" s="2" t="s">
        <v>240</v>
      </c>
      <c r="BO122" s="2" t="s">
        <v>341</v>
      </c>
      <c r="BP122" s="2" t="s">
        <v>342</v>
      </c>
      <c r="BQ122" s="2" t="s">
        <v>200</v>
      </c>
      <c r="BS122" s="2" t="s">
        <v>188</v>
      </c>
      <c r="BT122" s="2" t="s">
        <v>69</v>
      </c>
      <c r="BU122" s="2" t="s">
        <v>1108</v>
      </c>
      <c r="BV122" s="2" t="s">
        <v>502</v>
      </c>
      <c r="BX122" s="2" t="s">
        <v>188</v>
      </c>
      <c r="BZ122" s="2" t="s">
        <v>188</v>
      </c>
      <c r="CE122" s="2">
        <v>1.8</v>
      </c>
      <c r="CF122" s="2">
        <v>180</v>
      </c>
      <c r="CK122" s="2">
        <v>100</v>
      </c>
      <c r="CO122" s="2">
        <v>100</v>
      </c>
      <c r="CR122" s="2" t="s">
        <v>204</v>
      </c>
      <c r="CT122" s="2" t="s">
        <v>188</v>
      </c>
      <c r="CU122" s="2" t="s">
        <v>205</v>
      </c>
      <c r="CW122" s="2" t="s">
        <v>206</v>
      </c>
      <c r="CY122" s="2" t="s">
        <v>300</v>
      </c>
      <c r="CZ122" s="2" t="s">
        <v>300</v>
      </c>
      <c r="DA122" s="2" t="s">
        <v>299</v>
      </c>
      <c r="DB122" s="2" t="s">
        <v>300</v>
      </c>
      <c r="DC122" s="2" t="s">
        <v>430</v>
      </c>
      <c r="DD122" s="2" t="s">
        <v>300</v>
      </c>
      <c r="DE122" s="2" t="s">
        <v>300</v>
      </c>
      <c r="DF122" s="2" t="s">
        <v>300</v>
      </c>
      <c r="DG122" s="2" t="s">
        <v>300</v>
      </c>
      <c r="DH122" s="2" t="s">
        <v>300</v>
      </c>
      <c r="DI122" s="2" t="s">
        <v>300</v>
      </c>
      <c r="DL122" s="2" t="s">
        <v>188</v>
      </c>
      <c r="DM122" s="2" t="s">
        <v>188</v>
      </c>
      <c r="DP122" s="2" t="s">
        <v>203</v>
      </c>
      <c r="DS122" s="2" t="s">
        <v>203</v>
      </c>
      <c r="DT122" s="2" t="s">
        <v>203</v>
      </c>
      <c r="DU122" s="2" t="s">
        <v>203</v>
      </c>
      <c r="DV122" s="2" t="s">
        <v>203</v>
      </c>
      <c r="DW122" s="2" t="s">
        <v>203</v>
      </c>
      <c r="DX122" s="2" t="s">
        <v>203</v>
      </c>
      <c r="DY122" s="2" t="s">
        <v>203</v>
      </c>
      <c r="DZ122" s="2" t="s">
        <v>203</v>
      </c>
      <c r="EA122" s="2" t="s">
        <v>203</v>
      </c>
      <c r="EB122" s="2" t="s">
        <v>203</v>
      </c>
      <c r="EC122" s="2" t="s">
        <v>203</v>
      </c>
      <c r="EF122" s="2" t="s">
        <v>302</v>
      </c>
      <c r="EG122" s="2" t="s">
        <v>1109</v>
      </c>
      <c r="EJ122" s="2" t="s">
        <v>203</v>
      </c>
      <c r="EK122" s="2" t="s">
        <v>188</v>
      </c>
      <c r="EL122" s="2" t="s">
        <v>188</v>
      </c>
      <c r="EN122" s="2" t="s">
        <v>214</v>
      </c>
      <c r="EP122" s="2" t="s">
        <v>230</v>
      </c>
      <c r="ER122" s="2" t="s">
        <v>188</v>
      </c>
      <c r="ET122" s="2" t="s">
        <v>188</v>
      </c>
      <c r="EV122" s="2" t="s">
        <v>188</v>
      </c>
      <c r="EX122" s="2" t="s">
        <v>188</v>
      </c>
      <c r="EZ122" s="2" t="s">
        <v>188</v>
      </c>
      <c r="FC122" s="2" t="s">
        <v>263</v>
      </c>
      <c r="FD122" s="2" t="s">
        <v>188</v>
      </c>
      <c r="FH122" s="2" t="s">
        <v>188</v>
      </c>
      <c r="FJ122" s="2" t="s">
        <v>188</v>
      </c>
      <c r="FK122" s="2" t="s">
        <v>188</v>
      </c>
      <c r="FN122" s="2" t="s">
        <v>432</v>
      </c>
      <c r="FR122" s="2" t="s">
        <v>1110</v>
      </c>
      <c r="FT122" s="2" t="s">
        <v>219</v>
      </c>
      <c r="FU122" s="2" t="s">
        <v>233</v>
      </c>
      <c r="FV122" s="2" t="s">
        <v>233</v>
      </c>
      <c r="FW122" s="2" t="s">
        <v>219</v>
      </c>
      <c r="FZ122" s="4">
        <v>46041.305023148147</v>
      </c>
    </row>
    <row r="123" spans="1:182">
      <c r="A123" s="2" t="s">
        <v>1111</v>
      </c>
      <c r="D123" s="4">
        <v>46266.548356481479</v>
      </c>
      <c r="E123" s="2" t="s">
        <v>1112</v>
      </c>
      <c r="F123" s="2" t="s">
        <v>590</v>
      </c>
      <c r="G123" s="2" t="s">
        <v>831</v>
      </c>
      <c r="H123" s="2" t="s">
        <v>1113</v>
      </c>
      <c r="I123" s="2" t="s">
        <v>1114</v>
      </c>
      <c r="J123" s="2">
        <v>374128570</v>
      </c>
      <c r="K123" s="2" t="s">
        <v>1114</v>
      </c>
      <c r="L123" s="2" t="s">
        <v>182</v>
      </c>
      <c r="M123" s="2" t="s">
        <v>183</v>
      </c>
      <c r="N123" s="2">
        <v>1969</v>
      </c>
      <c r="O123" s="2" t="s">
        <v>224</v>
      </c>
      <c r="P123" s="2" t="s">
        <v>185</v>
      </c>
      <c r="Q123" s="2" t="s">
        <v>186</v>
      </c>
      <c r="R123" s="2" t="s">
        <v>188</v>
      </c>
      <c r="S123" s="2">
        <v>5</v>
      </c>
      <c r="T123" s="2" t="s">
        <v>188</v>
      </c>
      <c r="U123" s="2" t="s">
        <v>187</v>
      </c>
      <c r="Y123" s="2">
        <v>800</v>
      </c>
      <c r="Z123" s="2">
        <v>1</v>
      </c>
      <c r="AA123" s="2">
        <v>800</v>
      </c>
      <c r="AB123" s="2">
        <v>800</v>
      </c>
      <c r="AC123" s="2">
        <v>800</v>
      </c>
      <c r="AD123" s="2">
        <v>1200</v>
      </c>
      <c r="AE123" s="2">
        <v>400</v>
      </c>
      <c r="AF123" s="2" t="s">
        <v>188</v>
      </c>
      <c r="AG123" s="2" t="s">
        <v>188</v>
      </c>
      <c r="AH123" s="2" t="s">
        <v>188</v>
      </c>
      <c r="AJ123" s="2" t="s">
        <v>188</v>
      </c>
      <c r="AK123" s="2" t="s">
        <v>188</v>
      </c>
      <c r="AL123" s="2" t="s">
        <v>188</v>
      </c>
      <c r="AM123" s="2" t="s">
        <v>188</v>
      </c>
      <c r="AN123" s="2" t="s">
        <v>188</v>
      </c>
      <c r="AO123" s="2" t="s">
        <v>188</v>
      </c>
      <c r="AR123" s="2">
        <v>3</v>
      </c>
      <c r="AS123" s="2">
        <v>1</v>
      </c>
      <c r="AT123" s="2">
        <v>10</v>
      </c>
      <c r="AU123" s="2" t="s">
        <v>238</v>
      </c>
      <c r="AV123" s="2" t="s">
        <v>189</v>
      </c>
      <c r="AW123" s="2" t="s">
        <v>188</v>
      </c>
      <c r="AZ123" s="2" t="s">
        <v>190</v>
      </c>
      <c r="BB123" s="2" t="s">
        <v>260</v>
      </c>
      <c r="BC123" s="2" t="s">
        <v>296</v>
      </c>
      <c r="BD123" s="2" t="s">
        <v>188</v>
      </c>
      <c r="BE123" s="2" t="s">
        <v>187</v>
      </c>
      <c r="BF123" s="2" t="s">
        <v>193</v>
      </c>
      <c r="BG123" s="2" t="s">
        <v>279</v>
      </c>
      <c r="BH123" s="2" t="s">
        <v>297</v>
      </c>
      <c r="BI123" s="2" t="s">
        <v>196</v>
      </c>
      <c r="BL123" s="2" t="s">
        <v>197</v>
      </c>
      <c r="BM123" s="2" t="s">
        <v>507</v>
      </c>
      <c r="BN123" s="2" t="s">
        <v>199</v>
      </c>
      <c r="BO123" s="2" t="s">
        <v>188</v>
      </c>
      <c r="BQ123" s="2" t="s">
        <v>227</v>
      </c>
      <c r="BS123" s="2" t="s">
        <v>187</v>
      </c>
      <c r="BT123" s="2" t="s">
        <v>594</v>
      </c>
      <c r="BV123" s="2" t="s">
        <v>1057</v>
      </c>
      <c r="BX123" s="2" t="s">
        <v>188</v>
      </c>
      <c r="BZ123" s="2" t="s">
        <v>188</v>
      </c>
      <c r="CE123" s="2">
        <v>10</v>
      </c>
      <c r="CF123" s="2">
        <v>1200</v>
      </c>
      <c r="CK123" s="2">
        <v>100</v>
      </c>
      <c r="CO123" s="2">
        <v>100</v>
      </c>
      <c r="CR123" s="2" t="s">
        <v>204</v>
      </c>
      <c r="CT123" s="2" t="s">
        <v>188</v>
      </c>
      <c r="CU123" s="2" t="s">
        <v>205</v>
      </c>
      <c r="CW123" s="2" t="s">
        <v>206</v>
      </c>
      <c r="CY123" s="2" t="s">
        <v>512</v>
      </c>
      <c r="CZ123" s="2" t="s">
        <v>300</v>
      </c>
      <c r="DA123" s="2" t="s">
        <v>300</v>
      </c>
      <c r="DB123" s="2" t="s">
        <v>300</v>
      </c>
      <c r="DC123" s="2" t="s">
        <v>988</v>
      </c>
      <c r="DD123" s="2" t="s">
        <v>300</v>
      </c>
      <c r="DE123" s="2" t="s">
        <v>300</v>
      </c>
      <c r="DF123" s="2" t="s">
        <v>300</v>
      </c>
      <c r="DG123" s="2" t="s">
        <v>988</v>
      </c>
      <c r="DH123" s="2" t="s">
        <v>988</v>
      </c>
      <c r="DI123" s="2" t="s">
        <v>988</v>
      </c>
      <c r="DL123" s="2" t="s">
        <v>188</v>
      </c>
      <c r="DM123" s="2" t="s">
        <v>188</v>
      </c>
      <c r="DP123" s="2" t="s">
        <v>203</v>
      </c>
      <c r="DT123" s="2" t="s">
        <v>209</v>
      </c>
      <c r="DU123" s="2" t="s">
        <v>209</v>
      </c>
      <c r="DV123" s="2" t="s">
        <v>209</v>
      </c>
      <c r="DW123" s="2" t="s">
        <v>209</v>
      </c>
      <c r="DX123" s="2" t="s">
        <v>209</v>
      </c>
      <c r="DY123" s="2" t="s">
        <v>203</v>
      </c>
      <c r="DZ123" s="2" t="s">
        <v>203</v>
      </c>
      <c r="EA123" s="2" t="s">
        <v>203</v>
      </c>
      <c r="EB123" s="2" t="s">
        <v>209</v>
      </c>
      <c r="EC123" s="2" t="s">
        <v>188</v>
      </c>
      <c r="EF123" s="2" t="s">
        <v>189</v>
      </c>
      <c r="EG123" s="2" t="s">
        <v>1115</v>
      </c>
      <c r="EJ123" s="2" t="s">
        <v>203</v>
      </c>
      <c r="EK123" s="2" t="s">
        <v>188</v>
      </c>
      <c r="EL123" s="2" t="s">
        <v>188</v>
      </c>
      <c r="EN123" s="2" t="s">
        <v>255</v>
      </c>
      <c r="EP123" s="2" t="s">
        <v>230</v>
      </c>
      <c r="ER123" s="2" t="s">
        <v>188</v>
      </c>
      <c r="ET123" s="2" t="s">
        <v>188</v>
      </c>
      <c r="EV123" s="2" t="s">
        <v>188</v>
      </c>
      <c r="EX123" s="2" t="s">
        <v>188</v>
      </c>
      <c r="EZ123" s="2" t="s">
        <v>188</v>
      </c>
      <c r="FC123" s="2" t="s">
        <v>263</v>
      </c>
      <c r="FD123" s="2" t="s">
        <v>188</v>
      </c>
      <c r="FH123" s="2" t="s">
        <v>188</v>
      </c>
      <c r="FJ123" s="2" t="s">
        <v>188</v>
      </c>
      <c r="FK123" s="2" t="s">
        <v>203</v>
      </c>
      <c r="FN123" s="2" t="s">
        <v>990</v>
      </c>
      <c r="FR123" s="2" t="s">
        <v>1116</v>
      </c>
      <c r="FT123" s="2" t="s">
        <v>233</v>
      </c>
      <c r="FU123" s="2" t="s">
        <v>219</v>
      </c>
      <c r="FV123" s="2" t="s">
        <v>219</v>
      </c>
      <c r="FW123" s="2" t="s">
        <v>233</v>
      </c>
      <c r="FZ123" s="4">
        <v>46040.402870370373</v>
      </c>
    </row>
    <row r="124" spans="1:182">
      <c r="A124" s="2" t="s">
        <v>1117</v>
      </c>
      <c r="D124" s="4">
        <v>46266.554050925923</v>
      </c>
      <c r="E124" s="2" t="s">
        <v>1118</v>
      </c>
      <c r="F124" s="2" t="s">
        <v>590</v>
      </c>
      <c r="G124" s="2" t="s">
        <v>831</v>
      </c>
      <c r="H124" s="2" t="s">
        <v>1095</v>
      </c>
      <c r="I124" s="2" t="s">
        <v>1119</v>
      </c>
      <c r="J124" s="2">
        <v>399230291</v>
      </c>
      <c r="K124" s="2" t="s">
        <v>1119</v>
      </c>
      <c r="L124" s="2" t="s">
        <v>182</v>
      </c>
      <c r="M124" s="2" t="s">
        <v>183</v>
      </c>
      <c r="N124" s="2">
        <v>1989</v>
      </c>
      <c r="O124" s="2" t="s">
        <v>224</v>
      </c>
      <c r="P124" s="2" t="s">
        <v>185</v>
      </c>
      <c r="Q124" s="2" t="s">
        <v>226</v>
      </c>
      <c r="R124" s="2" t="s">
        <v>188</v>
      </c>
      <c r="S124" s="2">
        <v>25</v>
      </c>
      <c r="T124" s="2" t="s">
        <v>188</v>
      </c>
      <c r="U124" s="2" t="s">
        <v>188</v>
      </c>
      <c r="Y124" s="2">
        <v>750</v>
      </c>
      <c r="Z124" s="2">
        <v>1</v>
      </c>
      <c r="AA124" s="2">
        <v>750</v>
      </c>
      <c r="AB124" s="2">
        <v>750</v>
      </c>
      <c r="AC124" s="2">
        <v>750</v>
      </c>
      <c r="AD124" s="2">
        <v>900</v>
      </c>
      <c r="AE124" s="2">
        <v>150</v>
      </c>
      <c r="AF124" s="2" t="s">
        <v>188</v>
      </c>
      <c r="AG124" s="2" t="s">
        <v>188</v>
      </c>
      <c r="AH124" s="2" t="s">
        <v>188</v>
      </c>
      <c r="AJ124" s="2" t="s">
        <v>188</v>
      </c>
      <c r="AK124" s="2" t="s">
        <v>188</v>
      </c>
      <c r="AL124" s="2" t="s">
        <v>188</v>
      </c>
      <c r="AM124" s="2" t="s">
        <v>188</v>
      </c>
      <c r="AN124" s="2" t="s">
        <v>188</v>
      </c>
      <c r="AO124" s="2" t="s">
        <v>188</v>
      </c>
      <c r="AR124" s="2">
        <v>2</v>
      </c>
      <c r="AS124" s="2">
        <v>2</v>
      </c>
      <c r="AT124" s="2">
        <v>7.5</v>
      </c>
      <c r="AU124" s="2" t="s">
        <v>238</v>
      </c>
      <c r="AV124" s="2" t="s">
        <v>189</v>
      </c>
      <c r="AW124" s="2" t="s">
        <v>188</v>
      </c>
      <c r="AZ124" s="2" t="s">
        <v>190</v>
      </c>
      <c r="BB124" s="2" t="s">
        <v>191</v>
      </c>
      <c r="BC124" s="2" t="s">
        <v>296</v>
      </c>
      <c r="BD124" s="2" t="s">
        <v>188</v>
      </c>
      <c r="BE124" s="2" t="s">
        <v>187</v>
      </c>
      <c r="BF124" s="2" t="s">
        <v>193</v>
      </c>
      <c r="BG124" s="2" t="s">
        <v>194</v>
      </c>
      <c r="BH124" s="2" t="s">
        <v>297</v>
      </c>
      <c r="BI124" s="2" t="s">
        <v>958</v>
      </c>
      <c r="BL124" s="2" t="s">
        <v>197</v>
      </c>
      <c r="BM124" s="2" t="s">
        <v>507</v>
      </c>
      <c r="BN124" s="2" t="s">
        <v>199</v>
      </c>
      <c r="BO124" s="2" t="s">
        <v>188</v>
      </c>
      <c r="BQ124" s="2" t="s">
        <v>227</v>
      </c>
      <c r="BS124" s="2" t="s">
        <v>187</v>
      </c>
      <c r="BT124" s="2" t="s">
        <v>651</v>
      </c>
      <c r="BV124" s="2" t="s">
        <v>1057</v>
      </c>
      <c r="BX124" s="2" t="s">
        <v>188</v>
      </c>
      <c r="BZ124" s="2" t="s">
        <v>203</v>
      </c>
      <c r="CE124" s="2">
        <v>7.5</v>
      </c>
      <c r="CF124" s="2">
        <v>900</v>
      </c>
      <c r="CK124" s="2">
        <v>100</v>
      </c>
      <c r="CO124" s="2">
        <v>100</v>
      </c>
      <c r="CR124" s="2" t="s">
        <v>204</v>
      </c>
      <c r="CT124" s="2" t="s">
        <v>188</v>
      </c>
      <c r="CU124" s="2" t="s">
        <v>205</v>
      </c>
      <c r="CW124" s="2" t="s">
        <v>206</v>
      </c>
      <c r="CY124" s="2" t="s">
        <v>512</v>
      </c>
      <c r="CZ124" s="2" t="s">
        <v>988</v>
      </c>
      <c r="DA124" s="2" t="s">
        <v>300</v>
      </c>
      <c r="DB124" s="2" t="s">
        <v>300</v>
      </c>
      <c r="DC124" s="2" t="s">
        <v>988</v>
      </c>
      <c r="DD124" s="2" t="s">
        <v>300</v>
      </c>
      <c r="DE124" s="2" t="s">
        <v>300</v>
      </c>
      <c r="DF124" s="2" t="s">
        <v>300</v>
      </c>
      <c r="DG124" s="2" t="s">
        <v>988</v>
      </c>
      <c r="DH124" s="2" t="s">
        <v>988</v>
      </c>
      <c r="DI124" s="2" t="s">
        <v>988</v>
      </c>
      <c r="DL124" s="2" t="s">
        <v>187</v>
      </c>
      <c r="DM124" s="2" t="s">
        <v>188</v>
      </c>
      <c r="DP124" s="2" t="s">
        <v>203</v>
      </c>
      <c r="DT124" s="2" t="s">
        <v>209</v>
      </c>
      <c r="DU124" s="2" t="s">
        <v>209</v>
      </c>
      <c r="DV124" s="2" t="s">
        <v>209</v>
      </c>
      <c r="DW124" s="2" t="s">
        <v>209</v>
      </c>
      <c r="DX124" s="2" t="s">
        <v>209</v>
      </c>
      <c r="DY124" s="2" t="s">
        <v>203</v>
      </c>
      <c r="DZ124" s="2" t="s">
        <v>203</v>
      </c>
      <c r="EA124" s="2" t="s">
        <v>203</v>
      </c>
      <c r="EB124" s="2" t="s">
        <v>203</v>
      </c>
      <c r="EC124" s="2" t="s">
        <v>188</v>
      </c>
      <c r="EF124" s="2" t="s">
        <v>189</v>
      </c>
      <c r="EG124" s="2" t="s">
        <v>1120</v>
      </c>
      <c r="EJ124" s="2" t="s">
        <v>203</v>
      </c>
      <c r="EK124" s="2" t="s">
        <v>188</v>
      </c>
      <c r="EL124" s="2" t="s">
        <v>188</v>
      </c>
      <c r="EN124" s="2" t="s">
        <v>255</v>
      </c>
      <c r="EP124" s="2" t="s">
        <v>230</v>
      </c>
      <c r="ER124" s="2" t="s">
        <v>188</v>
      </c>
      <c r="ET124" s="2" t="s">
        <v>188</v>
      </c>
      <c r="EV124" s="2" t="s">
        <v>188</v>
      </c>
      <c r="EX124" s="2" t="s">
        <v>188</v>
      </c>
      <c r="EZ124" s="2" t="s">
        <v>188</v>
      </c>
      <c r="FC124" s="2" t="s">
        <v>263</v>
      </c>
      <c r="FD124" s="2" t="s">
        <v>188</v>
      </c>
      <c r="FH124" s="2" t="s">
        <v>188</v>
      </c>
      <c r="FJ124" s="2" t="s">
        <v>188</v>
      </c>
      <c r="FK124" s="2" t="s">
        <v>188</v>
      </c>
      <c r="FN124" s="2" t="s">
        <v>432</v>
      </c>
      <c r="FR124" s="2" t="s">
        <v>1121</v>
      </c>
      <c r="FT124" s="2" t="s">
        <v>233</v>
      </c>
      <c r="FU124" s="2" t="s">
        <v>219</v>
      </c>
      <c r="FV124" s="2" t="s">
        <v>219</v>
      </c>
      <c r="FW124" s="2" t="s">
        <v>219</v>
      </c>
      <c r="FZ124" s="4">
        <v>46040.41202546296</v>
      </c>
    </row>
    <row r="125" spans="1:182">
      <c r="A125" s="2" t="s">
        <v>1122</v>
      </c>
      <c r="D125" s="4">
        <v>46266.560925925929</v>
      </c>
      <c r="E125" s="2" t="s">
        <v>1123</v>
      </c>
      <c r="F125" s="2" t="s">
        <v>590</v>
      </c>
      <c r="G125" s="2" t="s">
        <v>831</v>
      </c>
      <c r="H125" s="2" t="s">
        <v>875</v>
      </c>
      <c r="I125" s="2" t="s">
        <v>1124</v>
      </c>
      <c r="J125" s="2">
        <v>362474309</v>
      </c>
      <c r="K125" s="2" t="s">
        <v>1125</v>
      </c>
      <c r="L125" s="2" t="s">
        <v>182</v>
      </c>
      <c r="M125" s="2" t="s">
        <v>183</v>
      </c>
      <c r="N125" s="2">
        <v>1977</v>
      </c>
      <c r="O125" s="2" t="s">
        <v>834</v>
      </c>
      <c r="P125" s="2" t="s">
        <v>237</v>
      </c>
      <c r="Q125" s="2" t="s">
        <v>603</v>
      </c>
      <c r="R125" s="2" t="s">
        <v>188</v>
      </c>
      <c r="S125" s="2">
        <v>26</v>
      </c>
      <c r="T125" s="2" t="s">
        <v>188</v>
      </c>
      <c r="U125" s="2" t="s">
        <v>188</v>
      </c>
      <c r="Y125" s="2">
        <v>210</v>
      </c>
      <c r="Z125" s="2">
        <v>1</v>
      </c>
      <c r="AA125" s="2">
        <v>210</v>
      </c>
      <c r="AB125" s="2">
        <v>210</v>
      </c>
      <c r="AC125" s="2">
        <v>210</v>
      </c>
      <c r="AD125" s="2">
        <v>280</v>
      </c>
      <c r="AE125" s="2">
        <v>70</v>
      </c>
      <c r="AF125" s="2" t="s">
        <v>188</v>
      </c>
      <c r="AG125" s="2" t="s">
        <v>188</v>
      </c>
      <c r="AH125" s="2" t="s">
        <v>188</v>
      </c>
      <c r="AJ125" s="2" t="s">
        <v>188</v>
      </c>
      <c r="AK125" s="2" t="s">
        <v>188</v>
      </c>
      <c r="AL125" s="2" t="s">
        <v>188</v>
      </c>
      <c r="AM125" s="2" t="s">
        <v>188</v>
      </c>
      <c r="AN125" s="2" t="s">
        <v>188</v>
      </c>
      <c r="AO125" s="2" t="s">
        <v>188</v>
      </c>
      <c r="AR125" s="2">
        <v>1</v>
      </c>
      <c r="AS125" s="2">
        <v>1</v>
      </c>
      <c r="AT125" s="2">
        <v>2.5</v>
      </c>
      <c r="AU125" s="2" t="s">
        <v>203</v>
      </c>
      <c r="AV125" s="2" t="s">
        <v>238</v>
      </c>
      <c r="AW125" s="2" t="s">
        <v>188</v>
      </c>
      <c r="AZ125" s="2" t="s">
        <v>190</v>
      </c>
      <c r="BB125" s="2" t="s">
        <v>260</v>
      </c>
      <c r="BC125" s="2" t="s">
        <v>296</v>
      </c>
      <c r="BD125" s="2" t="s">
        <v>188</v>
      </c>
      <c r="BE125" s="2" t="s">
        <v>187</v>
      </c>
      <c r="BF125" s="2" t="s">
        <v>193</v>
      </c>
      <c r="BG125" s="2" t="s">
        <v>194</v>
      </c>
      <c r="BH125" s="2" t="s">
        <v>195</v>
      </c>
      <c r="BI125" s="2" t="s">
        <v>196</v>
      </c>
      <c r="BL125" s="2" t="s">
        <v>240</v>
      </c>
      <c r="BO125" s="2" t="s">
        <v>341</v>
      </c>
      <c r="BP125" s="2" t="s">
        <v>342</v>
      </c>
      <c r="BS125" s="2" t="s">
        <v>188</v>
      </c>
      <c r="BT125" s="2" t="s">
        <v>1126</v>
      </c>
      <c r="BV125" s="2" t="s">
        <v>987</v>
      </c>
      <c r="BX125" s="2" t="s">
        <v>188</v>
      </c>
      <c r="BZ125" s="2" t="s">
        <v>188</v>
      </c>
      <c r="CE125" s="2">
        <v>2.5</v>
      </c>
      <c r="CF125" s="2">
        <v>280</v>
      </c>
      <c r="CK125" s="2">
        <v>100</v>
      </c>
      <c r="CO125" s="2">
        <v>100</v>
      </c>
      <c r="CR125" s="2" t="s">
        <v>511</v>
      </c>
      <c r="CT125" s="2" t="s">
        <v>188</v>
      </c>
      <c r="CU125" s="2" t="s">
        <v>205</v>
      </c>
      <c r="CW125" s="2" t="s">
        <v>206</v>
      </c>
      <c r="CY125" s="2" t="s">
        <v>512</v>
      </c>
      <c r="CZ125" s="2" t="s">
        <v>988</v>
      </c>
      <c r="DA125" s="2" t="s">
        <v>300</v>
      </c>
      <c r="DB125" s="2" t="s">
        <v>300</v>
      </c>
      <c r="DC125" s="2" t="s">
        <v>988</v>
      </c>
      <c r="DD125" s="2" t="s">
        <v>300</v>
      </c>
      <c r="DE125" s="2" t="s">
        <v>300</v>
      </c>
      <c r="DF125" s="2" t="s">
        <v>300</v>
      </c>
      <c r="DG125" s="2" t="s">
        <v>300</v>
      </c>
      <c r="DH125" s="2" t="s">
        <v>300</v>
      </c>
      <c r="DI125" s="2" t="s">
        <v>300</v>
      </c>
      <c r="DL125" s="2" t="s">
        <v>188</v>
      </c>
      <c r="DM125" s="2" t="s">
        <v>188</v>
      </c>
      <c r="DP125" s="2" t="s">
        <v>203</v>
      </c>
      <c r="DT125" s="2" t="s">
        <v>209</v>
      </c>
      <c r="DU125" s="2" t="s">
        <v>203</v>
      </c>
      <c r="DV125" s="2" t="s">
        <v>203</v>
      </c>
      <c r="DW125" s="2" t="s">
        <v>209</v>
      </c>
      <c r="DX125" s="2" t="s">
        <v>203</v>
      </c>
      <c r="DY125" s="2" t="s">
        <v>203</v>
      </c>
      <c r="DZ125" s="2" t="s">
        <v>203</v>
      </c>
      <c r="EA125" s="2" t="s">
        <v>203</v>
      </c>
      <c r="EB125" s="2" t="s">
        <v>203</v>
      </c>
      <c r="EC125" s="2" t="s">
        <v>188</v>
      </c>
      <c r="EF125" s="2" t="s">
        <v>302</v>
      </c>
      <c r="EG125" s="2" t="s">
        <v>1127</v>
      </c>
      <c r="EJ125" s="2" t="s">
        <v>203</v>
      </c>
      <c r="EK125" s="2" t="s">
        <v>188</v>
      </c>
      <c r="EL125" s="2" t="s">
        <v>188</v>
      </c>
      <c r="EN125" s="2" t="s">
        <v>255</v>
      </c>
      <c r="EP125" s="2" t="s">
        <v>230</v>
      </c>
      <c r="ER125" s="2" t="s">
        <v>188</v>
      </c>
      <c r="ET125" s="2" t="s">
        <v>188</v>
      </c>
      <c r="EV125" s="2" t="s">
        <v>188</v>
      </c>
      <c r="EX125" s="2" t="s">
        <v>188</v>
      </c>
      <c r="EZ125" s="2" t="s">
        <v>188</v>
      </c>
      <c r="FC125" s="2" t="s">
        <v>263</v>
      </c>
      <c r="FD125" s="2" t="s">
        <v>188</v>
      </c>
      <c r="FH125" s="2" t="s">
        <v>188</v>
      </c>
      <c r="FJ125" s="2" t="s">
        <v>188</v>
      </c>
      <c r="FK125" s="2" t="s">
        <v>203</v>
      </c>
      <c r="FN125" s="2" t="s">
        <v>432</v>
      </c>
      <c r="FR125" s="2" t="s">
        <v>433</v>
      </c>
      <c r="FT125" s="2" t="s">
        <v>219</v>
      </c>
      <c r="FU125" s="2" t="s">
        <v>219</v>
      </c>
      <c r="FV125" s="2" t="s">
        <v>219</v>
      </c>
      <c r="FW125" s="2" t="s">
        <v>219</v>
      </c>
      <c r="FZ125" s="4">
        <v>46040.420868055553</v>
      </c>
    </row>
    <row r="126" spans="1:182">
      <c r="A126" s="2" t="s">
        <v>1128</v>
      </c>
      <c r="D126" s="4">
        <v>46266.564618055556</v>
      </c>
      <c r="E126" s="2" t="s">
        <v>177</v>
      </c>
      <c r="F126" s="2" t="s">
        <v>178</v>
      </c>
      <c r="G126" s="2" t="s">
        <v>831</v>
      </c>
      <c r="H126" s="2" t="s">
        <v>1095</v>
      </c>
      <c r="I126" s="2" t="s">
        <v>1129</v>
      </c>
      <c r="J126" s="2">
        <v>349794436</v>
      </c>
      <c r="K126" s="2" t="s">
        <v>1129</v>
      </c>
      <c r="L126" s="2" t="s">
        <v>182</v>
      </c>
      <c r="M126" s="2" t="s">
        <v>183</v>
      </c>
      <c r="N126" s="2">
        <v>1988</v>
      </c>
      <c r="O126" s="2" t="s">
        <v>224</v>
      </c>
      <c r="P126" s="2" t="s">
        <v>185</v>
      </c>
      <c r="Q126" s="2" t="s">
        <v>226</v>
      </c>
      <c r="R126" s="2" t="s">
        <v>188</v>
      </c>
      <c r="S126" s="2">
        <v>10</v>
      </c>
      <c r="T126" s="2" t="s">
        <v>188</v>
      </c>
      <c r="U126" s="2" t="s">
        <v>188</v>
      </c>
      <c r="Y126" s="2">
        <v>320</v>
      </c>
      <c r="Z126" s="2">
        <v>0.90629999999999999</v>
      </c>
      <c r="AA126" s="2">
        <v>290</v>
      </c>
      <c r="AC126" s="2">
        <v>290</v>
      </c>
      <c r="AD126" s="2">
        <v>450</v>
      </c>
      <c r="AE126" s="2">
        <v>160</v>
      </c>
      <c r="AF126" s="2" t="s">
        <v>188</v>
      </c>
      <c r="AG126" s="2" t="s">
        <v>188</v>
      </c>
      <c r="AH126" s="2" t="s">
        <v>188</v>
      </c>
      <c r="AJ126" s="2" t="s">
        <v>188</v>
      </c>
      <c r="AK126" s="2" t="s">
        <v>188</v>
      </c>
      <c r="AL126" s="2" t="s">
        <v>188</v>
      </c>
      <c r="AM126" s="2" t="s">
        <v>187</v>
      </c>
      <c r="AN126" s="2" t="s">
        <v>188</v>
      </c>
      <c r="AO126" s="2" t="s">
        <v>188</v>
      </c>
      <c r="AR126" s="2">
        <v>2.2000000000000002</v>
      </c>
      <c r="AS126" s="2">
        <v>1</v>
      </c>
      <c r="AT126" s="2">
        <v>4.5999999999999996</v>
      </c>
      <c r="AU126" s="2" t="s">
        <v>189</v>
      </c>
      <c r="AV126" s="2" t="s">
        <v>189</v>
      </c>
      <c r="AW126" s="2" t="s">
        <v>188</v>
      </c>
      <c r="AZ126" s="2" t="s">
        <v>271</v>
      </c>
      <c r="BA126" s="2" t="s">
        <v>1130</v>
      </c>
      <c r="BB126" s="2" t="s">
        <v>260</v>
      </c>
      <c r="BC126" s="2" t="s">
        <v>192</v>
      </c>
      <c r="BD126" s="2" t="s">
        <v>187</v>
      </c>
      <c r="BE126" s="2" t="s">
        <v>187</v>
      </c>
      <c r="BF126" s="2" t="s">
        <v>193</v>
      </c>
      <c r="BG126" s="2" t="s">
        <v>194</v>
      </c>
      <c r="BH126" s="2" t="s">
        <v>297</v>
      </c>
      <c r="BI126" s="2" t="s">
        <v>196</v>
      </c>
      <c r="BL126" s="2" t="s">
        <v>197</v>
      </c>
      <c r="BM126" s="2" t="s">
        <v>198</v>
      </c>
      <c r="BN126" s="2" t="s">
        <v>199</v>
      </c>
      <c r="BO126" s="2" t="s">
        <v>188</v>
      </c>
      <c r="BQ126" s="2" t="s">
        <v>200</v>
      </c>
      <c r="BS126" s="2" t="s">
        <v>187</v>
      </c>
      <c r="BT126" s="2" t="s">
        <v>201</v>
      </c>
      <c r="BV126" s="2" t="s">
        <v>248</v>
      </c>
      <c r="BX126" s="2" t="s">
        <v>188</v>
      </c>
      <c r="BZ126" s="2" t="s">
        <v>203</v>
      </c>
      <c r="CE126" s="2">
        <v>4.5999999999999996</v>
      </c>
      <c r="CF126" s="2">
        <v>450</v>
      </c>
      <c r="CK126" s="2">
        <v>100</v>
      </c>
      <c r="CO126" s="2">
        <v>100</v>
      </c>
      <c r="CR126" s="2" t="s">
        <v>262</v>
      </c>
      <c r="CT126" s="2" t="s">
        <v>188</v>
      </c>
      <c r="CU126" s="2" t="s">
        <v>205</v>
      </c>
      <c r="CW126" s="2" t="s">
        <v>206</v>
      </c>
      <c r="CY126" s="2" t="s">
        <v>208</v>
      </c>
      <c r="CZ126" s="2" t="s">
        <v>208</v>
      </c>
      <c r="DA126" s="2" t="s">
        <v>208</v>
      </c>
      <c r="DB126" s="2" t="s">
        <v>208</v>
      </c>
      <c r="DC126" s="2" t="s">
        <v>208</v>
      </c>
      <c r="DD126" s="2" t="s">
        <v>208</v>
      </c>
      <c r="DE126" s="2" t="s">
        <v>208</v>
      </c>
      <c r="DF126" s="2" t="s">
        <v>208</v>
      </c>
      <c r="DG126" s="2" t="s">
        <v>208</v>
      </c>
      <c r="DH126" s="2" t="s">
        <v>208</v>
      </c>
      <c r="DI126" s="2" t="s">
        <v>208</v>
      </c>
      <c r="DL126" s="2" t="s">
        <v>187</v>
      </c>
      <c r="DM126" s="2" t="s">
        <v>188</v>
      </c>
      <c r="DN126" s="2" t="s">
        <v>187</v>
      </c>
      <c r="DO126" s="2" t="s">
        <v>187</v>
      </c>
      <c r="DP126" s="2" t="s">
        <v>188</v>
      </c>
      <c r="EJ126" s="2" t="s">
        <v>189</v>
      </c>
      <c r="EK126" s="2" t="s">
        <v>188</v>
      </c>
      <c r="EL126" s="2" t="s">
        <v>188</v>
      </c>
      <c r="EN126" s="2" t="s">
        <v>255</v>
      </c>
      <c r="EP126" s="2" t="s">
        <v>230</v>
      </c>
      <c r="ER126" s="2" t="s">
        <v>188</v>
      </c>
      <c r="ET126" s="2" t="s">
        <v>188</v>
      </c>
      <c r="EV126" s="2" t="s">
        <v>188</v>
      </c>
      <c r="EX126" s="2" t="s">
        <v>188</v>
      </c>
      <c r="FC126" s="2" t="s">
        <v>216</v>
      </c>
      <c r="FD126" s="2" t="s">
        <v>188</v>
      </c>
      <c r="FH126" s="2" t="s">
        <v>188</v>
      </c>
      <c r="FJ126" s="2" t="s">
        <v>187</v>
      </c>
      <c r="FK126" s="2" t="s">
        <v>188</v>
      </c>
      <c r="FN126" s="2" t="s">
        <v>313</v>
      </c>
      <c r="FT126" s="2" t="s">
        <v>219</v>
      </c>
      <c r="FU126" s="2" t="s">
        <v>219</v>
      </c>
      <c r="FV126" s="2" t="s">
        <v>219</v>
      </c>
      <c r="FW126" s="2" t="s">
        <v>219</v>
      </c>
      <c r="FZ126" s="4">
        <v>46040.422766203701</v>
      </c>
    </row>
    <row r="127" spans="1:182">
      <c r="A127" s="2" t="s">
        <v>1131</v>
      </c>
      <c r="D127" s="4">
        <v>46266.584988425922</v>
      </c>
      <c r="E127" s="2" t="s">
        <v>1132</v>
      </c>
      <c r="F127" s="2" t="s">
        <v>590</v>
      </c>
      <c r="G127" s="2" t="s">
        <v>831</v>
      </c>
      <c r="H127" s="2" t="s">
        <v>1113</v>
      </c>
      <c r="I127" s="2" t="s">
        <v>1133</v>
      </c>
      <c r="J127" s="2">
        <v>968021032</v>
      </c>
      <c r="K127" s="2" t="s">
        <v>1134</v>
      </c>
      <c r="L127" s="2" t="s">
        <v>182</v>
      </c>
      <c r="M127" s="2" t="s">
        <v>223</v>
      </c>
      <c r="N127" s="2">
        <v>1985</v>
      </c>
      <c r="O127" s="2" t="s">
        <v>224</v>
      </c>
      <c r="P127" s="2" t="s">
        <v>225</v>
      </c>
      <c r="Q127" s="2" t="s">
        <v>226</v>
      </c>
      <c r="R127" s="2" t="s">
        <v>188</v>
      </c>
      <c r="S127" s="2">
        <v>25</v>
      </c>
      <c r="T127" s="2" t="s">
        <v>188</v>
      </c>
      <c r="U127" s="2" t="s">
        <v>188</v>
      </c>
      <c r="Y127" s="2">
        <v>430</v>
      </c>
      <c r="Z127" s="2">
        <v>0.81399999999999995</v>
      </c>
      <c r="AA127" s="2">
        <v>350</v>
      </c>
      <c r="AB127" s="2">
        <v>350</v>
      </c>
      <c r="AC127" s="2">
        <v>310</v>
      </c>
      <c r="AD127" s="2">
        <v>350</v>
      </c>
      <c r="AE127" s="2">
        <v>40</v>
      </c>
      <c r="AF127" s="2" t="s">
        <v>188</v>
      </c>
      <c r="AG127" s="2" t="s">
        <v>188</v>
      </c>
      <c r="AH127" s="2" t="s">
        <v>188</v>
      </c>
      <c r="AJ127" s="2" t="s">
        <v>188</v>
      </c>
      <c r="AK127" s="2" t="s">
        <v>188</v>
      </c>
      <c r="AL127" s="2" t="s">
        <v>187</v>
      </c>
      <c r="AM127" s="2" t="s">
        <v>188</v>
      </c>
      <c r="AN127" s="2" t="s">
        <v>188</v>
      </c>
      <c r="AO127" s="2" t="s">
        <v>188</v>
      </c>
      <c r="AR127" s="2">
        <v>1</v>
      </c>
      <c r="AS127" s="2">
        <v>1</v>
      </c>
      <c r="AT127" s="2">
        <v>3</v>
      </c>
      <c r="AU127" s="2" t="s">
        <v>238</v>
      </c>
      <c r="AV127" s="2" t="s">
        <v>189</v>
      </c>
      <c r="AW127" s="2" t="s">
        <v>188</v>
      </c>
      <c r="AZ127" s="2" t="s">
        <v>190</v>
      </c>
      <c r="BB127" s="2" t="s">
        <v>260</v>
      </c>
      <c r="BC127" s="2" t="s">
        <v>192</v>
      </c>
      <c r="BD127" s="2" t="s">
        <v>188</v>
      </c>
      <c r="BE127" s="2" t="s">
        <v>187</v>
      </c>
      <c r="BF127" s="2" t="s">
        <v>193</v>
      </c>
      <c r="BG127" s="2" t="s">
        <v>194</v>
      </c>
      <c r="BH127" s="2" t="s">
        <v>297</v>
      </c>
      <c r="BI127" s="2" t="s">
        <v>196</v>
      </c>
      <c r="BL127" s="2" t="s">
        <v>197</v>
      </c>
      <c r="BM127" s="2" t="s">
        <v>507</v>
      </c>
      <c r="BN127" s="2" t="s">
        <v>199</v>
      </c>
      <c r="BO127" s="2" t="s">
        <v>188</v>
      </c>
      <c r="BQ127" s="2" t="s">
        <v>227</v>
      </c>
      <c r="BS127" s="2" t="s">
        <v>187</v>
      </c>
      <c r="BT127" s="2" t="s">
        <v>651</v>
      </c>
      <c r="BV127" s="2" t="s">
        <v>1057</v>
      </c>
      <c r="BX127" s="2" t="s">
        <v>187</v>
      </c>
      <c r="BY127" s="2" t="s">
        <v>1135</v>
      </c>
      <c r="BZ127" s="2" t="s">
        <v>188</v>
      </c>
      <c r="CE127" s="2">
        <v>3</v>
      </c>
      <c r="CF127" s="2">
        <v>350</v>
      </c>
      <c r="CK127" s="2">
        <v>100</v>
      </c>
      <c r="CO127" s="2">
        <v>100</v>
      </c>
      <c r="CR127" s="2" t="s">
        <v>204</v>
      </c>
      <c r="CT127" s="2" t="s">
        <v>188</v>
      </c>
      <c r="CU127" s="2" t="s">
        <v>205</v>
      </c>
      <c r="CW127" s="2" t="s">
        <v>206</v>
      </c>
      <c r="CY127" s="2" t="s">
        <v>512</v>
      </c>
      <c r="CZ127" s="2" t="s">
        <v>988</v>
      </c>
      <c r="DA127" s="2" t="s">
        <v>300</v>
      </c>
      <c r="DB127" s="2" t="s">
        <v>988</v>
      </c>
      <c r="DC127" s="2" t="s">
        <v>300</v>
      </c>
      <c r="DD127" s="2" t="s">
        <v>300</v>
      </c>
      <c r="DE127" s="2" t="s">
        <v>300</v>
      </c>
      <c r="DF127" s="2" t="s">
        <v>300</v>
      </c>
      <c r="DG127" s="2" t="s">
        <v>988</v>
      </c>
      <c r="DH127" s="2" t="s">
        <v>988</v>
      </c>
      <c r="DI127" s="2" t="s">
        <v>988</v>
      </c>
      <c r="DL127" s="2" t="s">
        <v>188</v>
      </c>
      <c r="DM127" s="2" t="s">
        <v>188</v>
      </c>
      <c r="DP127" s="2" t="s">
        <v>203</v>
      </c>
      <c r="DT127" s="2" t="s">
        <v>203</v>
      </c>
      <c r="DU127" s="2" t="s">
        <v>203</v>
      </c>
      <c r="DV127" s="2" t="s">
        <v>203</v>
      </c>
      <c r="DW127" s="2" t="s">
        <v>203</v>
      </c>
      <c r="DX127" s="2" t="s">
        <v>203</v>
      </c>
      <c r="DY127" s="2" t="s">
        <v>203</v>
      </c>
      <c r="DZ127" s="2" t="s">
        <v>203</v>
      </c>
      <c r="EA127" s="2" t="s">
        <v>203</v>
      </c>
      <c r="EB127" s="2" t="s">
        <v>203</v>
      </c>
      <c r="EC127" s="2" t="s">
        <v>203</v>
      </c>
      <c r="EF127" s="2" t="s">
        <v>189</v>
      </c>
      <c r="EG127" s="2" t="s">
        <v>1074</v>
      </c>
      <c r="EJ127" s="2" t="s">
        <v>203</v>
      </c>
      <c r="EK127" s="2" t="s">
        <v>188</v>
      </c>
      <c r="EL127" s="2" t="s">
        <v>188</v>
      </c>
      <c r="EN127" s="2" t="s">
        <v>255</v>
      </c>
      <c r="EP127" s="2" t="s">
        <v>230</v>
      </c>
      <c r="ER127" s="2" t="s">
        <v>188</v>
      </c>
      <c r="ET127" s="2" t="s">
        <v>188</v>
      </c>
      <c r="EV127" s="2" t="s">
        <v>188</v>
      </c>
      <c r="EX127" s="2" t="s">
        <v>188</v>
      </c>
      <c r="EZ127" s="2" t="s">
        <v>188</v>
      </c>
      <c r="FC127" s="2" t="s">
        <v>263</v>
      </c>
      <c r="FD127" s="2" t="s">
        <v>188</v>
      </c>
      <c r="FH127" s="2" t="s">
        <v>188</v>
      </c>
      <c r="FJ127" s="2" t="s">
        <v>188</v>
      </c>
      <c r="FK127" s="2" t="s">
        <v>203</v>
      </c>
      <c r="FN127" s="2" t="s">
        <v>432</v>
      </c>
      <c r="FR127" s="2" t="s">
        <v>1136</v>
      </c>
      <c r="FT127" s="2" t="s">
        <v>233</v>
      </c>
      <c r="FU127" s="2" t="s">
        <v>233</v>
      </c>
      <c r="FV127" s="2" t="s">
        <v>233</v>
      </c>
      <c r="FW127" s="2" t="s">
        <v>233</v>
      </c>
      <c r="FZ127" s="4">
        <v>46047.593518518515</v>
      </c>
    </row>
    <row r="128" spans="1:182">
      <c r="A128" s="2" t="s">
        <v>1137</v>
      </c>
      <c r="D128" s="4">
        <v>46266.599652777775</v>
      </c>
      <c r="E128" s="2" t="s">
        <v>177</v>
      </c>
      <c r="F128" s="2" t="s">
        <v>178</v>
      </c>
      <c r="G128" s="2" t="s">
        <v>831</v>
      </c>
      <c r="H128" s="2" t="s">
        <v>849</v>
      </c>
      <c r="I128" s="2" t="s">
        <v>1138</v>
      </c>
      <c r="J128" s="2">
        <v>978550163</v>
      </c>
      <c r="K128" s="2" t="s">
        <v>1138</v>
      </c>
      <c r="L128" s="2" t="s">
        <v>182</v>
      </c>
      <c r="M128" s="2" t="s">
        <v>183</v>
      </c>
      <c r="N128" s="2">
        <v>1952</v>
      </c>
      <c r="O128" s="2" t="s">
        <v>224</v>
      </c>
      <c r="P128" s="2" t="s">
        <v>185</v>
      </c>
      <c r="Q128" s="2" t="s">
        <v>186</v>
      </c>
      <c r="R128" s="2" t="s">
        <v>188</v>
      </c>
      <c r="S128" s="2">
        <v>16</v>
      </c>
      <c r="T128" s="2" t="s">
        <v>188</v>
      </c>
      <c r="U128" s="2" t="s">
        <v>188</v>
      </c>
      <c r="Y128" s="2">
        <v>370</v>
      </c>
      <c r="Z128" s="2">
        <v>0.45950000000000002</v>
      </c>
      <c r="AA128" s="2">
        <v>170</v>
      </c>
      <c r="AB128" s="2">
        <v>170</v>
      </c>
      <c r="AC128" s="2">
        <v>170</v>
      </c>
      <c r="AD128" s="2">
        <v>220</v>
      </c>
      <c r="AE128" s="2">
        <v>50</v>
      </c>
      <c r="AF128" s="2" t="s">
        <v>188</v>
      </c>
      <c r="AG128" s="2" t="s">
        <v>188</v>
      </c>
      <c r="AH128" s="2" t="s">
        <v>188</v>
      </c>
      <c r="AJ128" s="2" t="s">
        <v>188</v>
      </c>
      <c r="AK128" s="2" t="s">
        <v>188</v>
      </c>
      <c r="AL128" s="2" t="s">
        <v>187</v>
      </c>
      <c r="AM128" s="2" t="s">
        <v>188</v>
      </c>
      <c r="AN128" s="2" t="s">
        <v>188</v>
      </c>
      <c r="AO128" s="2" t="s">
        <v>188</v>
      </c>
      <c r="AR128" s="2">
        <v>0.7</v>
      </c>
      <c r="AS128" s="2">
        <v>1</v>
      </c>
      <c r="AT128" s="2">
        <v>2.2000000000000002</v>
      </c>
      <c r="AU128" s="2" t="s">
        <v>189</v>
      </c>
      <c r="AV128" s="2" t="s">
        <v>189</v>
      </c>
      <c r="AW128" s="2" t="s">
        <v>188</v>
      </c>
      <c r="BC128" s="2" t="s">
        <v>192</v>
      </c>
      <c r="BD128" s="2" t="s">
        <v>188</v>
      </c>
      <c r="BE128" s="2" t="s">
        <v>188</v>
      </c>
      <c r="BL128" s="2" t="s">
        <v>240</v>
      </c>
      <c r="BO128" s="2" t="s">
        <v>188</v>
      </c>
      <c r="BQ128" s="2" t="s">
        <v>200</v>
      </c>
      <c r="BS128" s="2" t="s">
        <v>187</v>
      </c>
      <c r="BT128" s="2" t="s">
        <v>261</v>
      </c>
      <c r="BV128" s="2" t="s">
        <v>228</v>
      </c>
      <c r="BX128" s="2" t="s">
        <v>188</v>
      </c>
      <c r="BZ128" s="2" t="s">
        <v>188</v>
      </c>
      <c r="CE128" s="2">
        <v>2.2000000000000002</v>
      </c>
      <c r="CF128" s="2">
        <v>220</v>
      </c>
      <c r="CK128" s="2">
        <v>100</v>
      </c>
      <c r="CO128" s="2">
        <v>100</v>
      </c>
      <c r="CR128" s="2" t="s">
        <v>204</v>
      </c>
      <c r="CT128" s="2" t="s">
        <v>188</v>
      </c>
      <c r="CU128" s="2" t="s">
        <v>205</v>
      </c>
      <c r="CY128" s="2" t="s">
        <v>208</v>
      </c>
      <c r="CZ128" s="2" t="s">
        <v>208</v>
      </c>
      <c r="DA128" s="2" t="s">
        <v>208</v>
      </c>
      <c r="DB128" s="2" t="s">
        <v>208</v>
      </c>
      <c r="DC128" s="2" t="s">
        <v>208</v>
      </c>
      <c r="DD128" s="2" t="s">
        <v>208</v>
      </c>
      <c r="DE128" s="2" t="s">
        <v>208</v>
      </c>
      <c r="DF128" s="2" t="s">
        <v>208</v>
      </c>
      <c r="DG128" s="2" t="s">
        <v>208</v>
      </c>
      <c r="DH128" s="2" t="s">
        <v>208</v>
      </c>
      <c r="DI128" s="2" t="s">
        <v>208</v>
      </c>
      <c r="DL128" s="2" t="s">
        <v>187</v>
      </c>
      <c r="DM128" s="2" t="s">
        <v>188</v>
      </c>
      <c r="DP128" s="2" t="s">
        <v>188</v>
      </c>
      <c r="DT128" s="2" t="s">
        <v>209</v>
      </c>
      <c r="DU128" s="2" t="s">
        <v>209</v>
      </c>
      <c r="DV128" s="2" t="s">
        <v>209</v>
      </c>
      <c r="DW128" s="2" t="s">
        <v>209</v>
      </c>
      <c r="DX128" s="2" t="s">
        <v>209</v>
      </c>
      <c r="DY128" s="2" t="s">
        <v>209</v>
      </c>
      <c r="DZ128" s="2" t="s">
        <v>209</v>
      </c>
      <c r="EA128" s="2" t="s">
        <v>209</v>
      </c>
      <c r="EB128" s="2" t="s">
        <v>209</v>
      </c>
      <c r="EF128" s="2" t="s">
        <v>189</v>
      </c>
      <c r="FH128" s="2" t="s">
        <v>188</v>
      </c>
      <c r="FJ128" s="2" t="s">
        <v>187</v>
      </c>
      <c r="FK128" s="2" t="s">
        <v>188</v>
      </c>
      <c r="FN128" s="2" t="s">
        <v>851</v>
      </c>
      <c r="FU128" s="2" t="s">
        <v>233</v>
      </c>
      <c r="FV128" s="2" t="s">
        <v>233</v>
      </c>
      <c r="FW128" s="2" t="s">
        <v>233</v>
      </c>
      <c r="FZ128" s="4">
        <v>46040.405752314815</v>
      </c>
    </row>
    <row r="129" spans="1:182">
      <c r="A129" s="2" t="s">
        <v>1139</v>
      </c>
      <c r="D129" s="4">
        <v>46266.600092592591</v>
      </c>
      <c r="E129" s="2" t="s">
        <v>1140</v>
      </c>
      <c r="F129" s="2" t="s">
        <v>590</v>
      </c>
      <c r="G129" s="2" t="s">
        <v>831</v>
      </c>
      <c r="H129" s="2" t="s">
        <v>1141</v>
      </c>
      <c r="I129" s="2" t="s">
        <v>1142</v>
      </c>
      <c r="J129" s="2">
        <v>986935627</v>
      </c>
      <c r="K129" s="2" t="s">
        <v>1143</v>
      </c>
      <c r="L129" s="2" t="s">
        <v>182</v>
      </c>
      <c r="M129" s="2" t="s">
        <v>183</v>
      </c>
      <c r="N129" s="2">
        <v>1961</v>
      </c>
      <c r="O129" s="2" t="s">
        <v>224</v>
      </c>
      <c r="P129" s="2" t="s">
        <v>185</v>
      </c>
      <c r="Q129" s="2" t="s">
        <v>186</v>
      </c>
      <c r="R129" s="2" t="s">
        <v>188</v>
      </c>
      <c r="S129" s="2">
        <v>20</v>
      </c>
      <c r="T129" s="2" t="s">
        <v>188</v>
      </c>
      <c r="U129" s="2" t="s">
        <v>188</v>
      </c>
      <c r="Y129" s="2">
        <v>130</v>
      </c>
      <c r="Z129" s="2">
        <v>1</v>
      </c>
      <c r="AA129" s="2">
        <v>130</v>
      </c>
      <c r="AB129" s="2">
        <v>130</v>
      </c>
      <c r="AC129" s="2">
        <v>130</v>
      </c>
      <c r="AD129" s="2">
        <v>200</v>
      </c>
      <c r="AE129" s="2">
        <v>70</v>
      </c>
      <c r="AF129" s="2" t="s">
        <v>188</v>
      </c>
      <c r="AG129" s="2" t="s">
        <v>188</v>
      </c>
      <c r="AH129" s="2" t="s">
        <v>188</v>
      </c>
      <c r="AJ129" s="2" t="s">
        <v>188</v>
      </c>
      <c r="AK129" s="2" t="s">
        <v>188</v>
      </c>
      <c r="AL129" s="2" t="s">
        <v>188</v>
      </c>
      <c r="AM129" s="2" t="s">
        <v>188</v>
      </c>
      <c r="AN129" s="2" t="s">
        <v>188</v>
      </c>
      <c r="AO129" s="2" t="s">
        <v>188</v>
      </c>
      <c r="AR129" s="2">
        <v>0.7</v>
      </c>
      <c r="AS129" s="2">
        <v>1</v>
      </c>
      <c r="AT129" s="2">
        <v>2</v>
      </c>
      <c r="AU129" s="2" t="s">
        <v>238</v>
      </c>
      <c r="AV129" s="2" t="s">
        <v>189</v>
      </c>
      <c r="AW129" s="2" t="s">
        <v>188</v>
      </c>
      <c r="AZ129" s="2" t="s">
        <v>271</v>
      </c>
      <c r="BA129" s="2" t="s">
        <v>1144</v>
      </c>
      <c r="BB129" s="2" t="s">
        <v>260</v>
      </c>
      <c r="BC129" s="2" t="s">
        <v>192</v>
      </c>
      <c r="BD129" s="2" t="s">
        <v>188</v>
      </c>
      <c r="BE129" s="2" t="s">
        <v>188</v>
      </c>
      <c r="BL129" s="2" t="s">
        <v>197</v>
      </c>
      <c r="BM129" s="2" t="s">
        <v>507</v>
      </c>
      <c r="BN129" s="2" t="s">
        <v>199</v>
      </c>
      <c r="BO129" s="2" t="s">
        <v>188</v>
      </c>
      <c r="BQ129" s="2" t="s">
        <v>227</v>
      </c>
      <c r="BS129" s="2" t="s">
        <v>187</v>
      </c>
      <c r="BT129" s="2" t="s">
        <v>594</v>
      </c>
      <c r="BV129" s="2" t="s">
        <v>1057</v>
      </c>
      <c r="BX129" s="2" t="s">
        <v>187</v>
      </c>
      <c r="BY129" s="2" t="s">
        <v>1145</v>
      </c>
      <c r="BZ129" s="2" t="s">
        <v>188</v>
      </c>
      <c r="CE129" s="2">
        <v>2</v>
      </c>
      <c r="CF129" s="2">
        <v>200</v>
      </c>
      <c r="CK129" s="2">
        <v>100</v>
      </c>
      <c r="CO129" s="2">
        <v>100</v>
      </c>
      <c r="CR129" s="2" t="s">
        <v>1099</v>
      </c>
      <c r="CT129" s="2" t="s">
        <v>188</v>
      </c>
      <c r="CU129" s="2" t="s">
        <v>205</v>
      </c>
      <c r="CW129" s="2" t="s">
        <v>206</v>
      </c>
      <c r="CY129" s="2" t="s">
        <v>512</v>
      </c>
      <c r="CZ129" s="2" t="s">
        <v>300</v>
      </c>
      <c r="DA129" s="2" t="s">
        <v>300</v>
      </c>
      <c r="DB129" s="2" t="s">
        <v>300</v>
      </c>
      <c r="DC129" s="2" t="s">
        <v>988</v>
      </c>
      <c r="DD129" s="2" t="s">
        <v>300</v>
      </c>
      <c r="DE129" s="2" t="s">
        <v>300</v>
      </c>
      <c r="DF129" s="2" t="s">
        <v>300</v>
      </c>
      <c r="DG129" s="2" t="s">
        <v>300</v>
      </c>
      <c r="DH129" s="2" t="s">
        <v>300</v>
      </c>
      <c r="DI129" s="2" t="s">
        <v>300</v>
      </c>
      <c r="DL129" s="2" t="s">
        <v>187</v>
      </c>
      <c r="DM129" s="2" t="s">
        <v>187</v>
      </c>
      <c r="DN129" s="2" t="s">
        <v>187</v>
      </c>
      <c r="DO129" s="2" t="s">
        <v>187</v>
      </c>
      <c r="DP129" s="2" t="s">
        <v>203</v>
      </c>
      <c r="DT129" s="2" t="s">
        <v>209</v>
      </c>
      <c r="DU129" s="2" t="s">
        <v>209</v>
      </c>
      <c r="DV129" s="2" t="s">
        <v>209</v>
      </c>
      <c r="DW129" s="2" t="s">
        <v>209</v>
      </c>
      <c r="DX129" s="2" t="s">
        <v>209</v>
      </c>
      <c r="DY129" s="2" t="s">
        <v>209</v>
      </c>
      <c r="DZ129" s="2" t="s">
        <v>203</v>
      </c>
      <c r="EA129" s="2" t="s">
        <v>203</v>
      </c>
      <c r="EB129" s="2" t="s">
        <v>209</v>
      </c>
      <c r="EC129" s="2" t="s">
        <v>188</v>
      </c>
      <c r="EF129" s="2" t="s">
        <v>189</v>
      </c>
      <c r="EG129" s="2" t="s">
        <v>1146</v>
      </c>
      <c r="EJ129" s="2" t="s">
        <v>189</v>
      </c>
      <c r="EK129" s="2" t="s">
        <v>187</v>
      </c>
      <c r="EL129" s="2" t="s">
        <v>188</v>
      </c>
      <c r="EN129" s="2" t="s">
        <v>255</v>
      </c>
      <c r="EP129" s="2" t="s">
        <v>230</v>
      </c>
      <c r="ER129" s="2" t="s">
        <v>188</v>
      </c>
      <c r="ET129" s="2" t="s">
        <v>188</v>
      </c>
      <c r="EV129" s="2" t="s">
        <v>188</v>
      </c>
      <c r="EX129" s="2" t="s">
        <v>188</v>
      </c>
      <c r="EZ129" s="2" t="s">
        <v>188</v>
      </c>
      <c r="FC129" s="2" t="s">
        <v>263</v>
      </c>
      <c r="FD129" s="2" t="s">
        <v>188</v>
      </c>
      <c r="FH129" s="2" t="s">
        <v>188</v>
      </c>
      <c r="FJ129" s="2" t="s">
        <v>188</v>
      </c>
      <c r="FK129" s="2" t="s">
        <v>188</v>
      </c>
      <c r="FN129" s="2" t="s">
        <v>990</v>
      </c>
      <c r="FR129" s="2" t="s">
        <v>1147</v>
      </c>
      <c r="FT129" s="2" t="s">
        <v>233</v>
      </c>
      <c r="FU129" s="2" t="s">
        <v>233</v>
      </c>
      <c r="FV129" s="2" t="s">
        <v>219</v>
      </c>
      <c r="FW129" s="2" t="s">
        <v>233</v>
      </c>
      <c r="FZ129" s="4">
        <v>46047.594247685185</v>
      </c>
    </row>
    <row r="130" spans="1:182">
      <c r="A130" s="2" t="s">
        <v>1148</v>
      </c>
      <c r="D130" s="4">
        <v>46266.608854166669</v>
      </c>
      <c r="E130" s="2" t="s">
        <v>1149</v>
      </c>
      <c r="F130" s="2" t="s">
        <v>590</v>
      </c>
      <c r="G130" s="2" t="s">
        <v>831</v>
      </c>
      <c r="H130" s="2" t="s">
        <v>1113</v>
      </c>
      <c r="I130" s="2" t="s">
        <v>1150</v>
      </c>
      <c r="J130" s="2">
        <v>9823891</v>
      </c>
      <c r="K130" s="2" t="s">
        <v>1150</v>
      </c>
      <c r="L130" s="2" t="s">
        <v>182</v>
      </c>
      <c r="M130" s="2" t="s">
        <v>223</v>
      </c>
      <c r="N130" s="2">
        <v>1962</v>
      </c>
      <c r="O130" s="2" t="s">
        <v>224</v>
      </c>
      <c r="P130" s="2" t="s">
        <v>185</v>
      </c>
      <c r="Q130" s="2" t="s">
        <v>186</v>
      </c>
      <c r="R130" s="2" t="s">
        <v>188</v>
      </c>
      <c r="S130" s="2">
        <v>25</v>
      </c>
      <c r="T130" s="2" t="s">
        <v>188</v>
      </c>
      <c r="U130" s="2" t="s">
        <v>188</v>
      </c>
      <c r="Y130" s="2">
        <v>60</v>
      </c>
      <c r="Z130" s="2">
        <v>1</v>
      </c>
      <c r="AA130" s="2">
        <v>60</v>
      </c>
      <c r="AB130" s="2">
        <v>60</v>
      </c>
      <c r="AC130" s="2">
        <v>60</v>
      </c>
      <c r="AD130" s="2">
        <v>100</v>
      </c>
      <c r="AE130" s="2">
        <v>40</v>
      </c>
      <c r="AF130" s="2" t="s">
        <v>188</v>
      </c>
      <c r="AG130" s="2" t="s">
        <v>188</v>
      </c>
      <c r="AH130" s="2" t="s">
        <v>188</v>
      </c>
      <c r="AJ130" s="2" t="s">
        <v>188</v>
      </c>
      <c r="AK130" s="2" t="s">
        <v>188</v>
      </c>
      <c r="AL130" s="2" t="s">
        <v>188</v>
      </c>
      <c r="AM130" s="2" t="s">
        <v>188</v>
      </c>
      <c r="AN130" s="2" t="s">
        <v>188</v>
      </c>
      <c r="AO130" s="2" t="s">
        <v>188</v>
      </c>
      <c r="AR130" s="2">
        <v>0.5</v>
      </c>
      <c r="AS130" s="2">
        <v>1</v>
      </c>
      <c r="AT130" s="2">
        <v>1.2</v>
      </c>
      <c r="AU130" s="2" t="s">
        <v>203</v>
      </c>
      <c r="AV130" s="2" t="s">
        <v>238</v>
      </c>
      <c r="AW130" s="2" t="s">
        <v>188</v>
      </c>
      <c r="AZ130" s="2" t="s">
        <v>190</v>
      </c>
      <c r="BB130" s="2" t="s">
        <v>260</v>
      </c>
      <c r="BC130" s="2" t="s">
        <v>296</v>
      </c>
      <c r="BD130" s="2" t="s">
        <v>188</v>
      </c>
      <c r="BE130" s="2" t="s">
        <v>187</v>
      </c>
      <c r="BF130" s="2" t="s">
        <v>193</v>
      </c>
      <c r="BG130" s="2" t="s">
        <v>279</v>
      </c>
      <c r="BH130" s="2" t="s">
        <v>297</v>
      </c>
      <c r="BI130" s="2" t="s">
        <v>958</v>
      </c>
      <c r="BL130" s="2" t="s">
        <v>240</v>
      </c>
      <c r="BO130" s="2" t="s">
        <v>188</v>
      </c>
      <c r="BQ130" s="2" t="s">
        <v>227</v>
      </c>
      <c r="BS130" s="2" t="s">
        <v>187</v>
      </c>
      <c r="BT130" s="2" t="s">
        <v>986</v>
      </c>
      <c r="BV130" s="2" t="s">
        <v>1057</v>
      </c>
      <c r="BX130" s="2" t="s">
        <v>187</v>
      </c>
      <c r="BY130" s="2" t="s">
        <v>1151</v>
      </c>
      <c r="BZ130" s="2" t="s">
        <v>188</v>
      </c>
      <c r="CE130" s="2">
        <v>1.2</v>
      </c>
      <c r="CF130" s="2">
        <v>100</v>
      </c>
      <c r="CK130" s="2">
        <v>100</v>
      </c>
      <c r="CO130" s="2">
        <v>100</v>
      </c>
      <c r="CR130" s="2" t="s">
        <v>204</v>
      </c>
      <c r="CT130" s="2" t="s">
        <v>187</v>
      </c>
      <c r="CU130" s="2" t="s">
        <v>205</v>
      </c>
      <c r="CW130" s="2" t="s">
        <v>206</v>
      </c>
      <c r="CY130" s="2" t="s">
        <v>300</v>
      </c>
      <c r="CZ130" s="2" t="s">
        <v>988</v>
      </c>
      <c r="DA130" s="2" t="s">
        <v>300</v>
      </c>
      <c r="DB130" s="2" t="s">
        <v>988</v>
      </c>
      <c r="DC130" s="2" t="s">
        <v>988</v>
      </c>
      <c r="DD130" s="2" t="s">
        <v>300</v>
      </c>
      <c r="DE130" s="2" t="s">
        <v>300</v>
      </c>
      <c r="DF130" s="2" t="s">
        <v>300</v>
      </c>
      <c r="DG130" s="2" t="s">
        <v>988</v>
      </c>
      <c r="DH130" s="2" t="s">
        <v>988</v>
      </c>
      <c r="DI130" s="2" t="s">
        <v>988</v>
      </c>
      <c r="DL130" s="2" t="s">
        <v>188</v>
      </c>
      <c r="DM130" s="2" t="s">
        <v>188</v>
      </c>
      <c r="DP130" s="2" t="s">
        <v>203</v>
      </c>
      <c r="DT130" s="2" t="s">
        <v>203</v>
      </c>
      <c r="DU130" s="2" t="s">
        <v>203</v>
      </c>
      <c r="DV130" s="2" t="s">
        <v>203</v>
      </c>
      <c r="DW130" s="2" t="s">
        <v>203</v>
      </c>
      <c r="DX130" s="2" t="s">
        <v>203</v>
      </c>
      <c r="DY130" s="2" t="s">
        <v>203</v>
      </c>
      <c r="DZ130" s="2" t="s">
        <v>203</v>
      </c>
      <c r="EA130" s="2" t="s">
        <v>203</v>
      </c>
      <c r="EB130" s="2" t="s">
        <v>203</v>
      </c>
      <c r="EC130" s="2" t="s">
        <v>203</v>
      </c>
      <c r="EF130" s="2" t="s">
        <v>302</v>
      </c>
      <c r="EG130" s="2" t="s">
        <v>1152</v>
      </c>
      <c r="EJ130" s="2" t="s">
        <v>203</v>
      </c>
      <c r="EK130" s="2" t="s">
        <v>188</v>
      </c>
      <c r="EL130" s="2" t="s">
        <v>188</v>
      </c>
      <c r="EN130" s="2" t="s">
        <v>255</v>
      </c>
      <c r="EP130" s="2" t="s">
        <v>230</v>
      </c>
      <c r="ER130" s="2" t="s">
        <v>188</v>
      </c>
      <c r="ET130" s="2" t="s">
        <v>188</v>
      </c>
      <c r="EV130" s="2" t="s">
        <v>188</v>
      </c>
      <c r="EX130" s="2" t="s">
        <v>188</v>
      </c>
      <c r="EZ130" s="2" t="s">
        <v>188</v>
      </c>
      <c r="FC130" s="2" t="s">
        <v>263</v>
      </c>
      <c r="FD130" s="2" t="s">
        <v>188</v>
      </c>
      <c r="FH130" s="2" t="s">
        <v>188</v>
      </c>
      <c r="FJ130" s="2" t="s">
        <v>188</v>
      </c>
      <c r="FK130" s="2" t="s">
        <v>188</v>
      </c>
      <c r="FN130" s="2" t="s">
        <v>1153</v>
      </c>
      <c r="FR130" s="2" t="s">
        <v>433</v>
      </c>
      <c r="FT130" s="2" t="s">
        <v>233</v>
      </c>
      <c r="FU130" s="2" t="s">
        <v>233</v>
      </c>
      <c r="FV130" s="2" t="s">
        <v>233</v>
      </c>
      <c r="FW130" s="2" t="s">
        <v>233</v>
      </c>
      <c r="FZ130" s="4">
        <v>46040.439571759256</v>
      </c>
    </row>
    <row r="131" spans="1:182">
      <c r="A131" s="2" t="s">
        <v>1154</v>
      </c>
      <c r="D131" s="4">
        <v>46266.600590277776</v>
      </c>
      <c r="E131" s="2" t="s">
        <v>177</v>
      </c>
      <c r="F131" s="2" t="s">
        <v>178</v>
      </c>
      <c r="G131" s="2" t="s">
        <v>831</v>
      </c>
      <c r="H131" s="2" t="s">
        <v>849</v>
      </c>
      <c r="I131" s="2" t="s">
        <v>1155</v>
      </c>
      <c r="J131" s="2">
        <v>977850950</v>
      </c>
      <c r="K131" s="2" t="s">
        <v>1155</v>
      </c>
      <c r="L131" s="2" t="s">
        <v>182</v>
      </c>
      <c r="M131" s="2" t="s">
        <v>183</v>
      </c>
      <c r="N131" s="2">
        <v>1957</v>
      </c>
      <c r="O131" s="2" t="s">
        <v>224</v>
      </c>
      <c r="P131" s="2" t="s">
        <v>185</v>
      </c>
      <c r="Q131" s="2" t="s">
        <v>226</v>
      </c>
      <c r="R131" s="2" t="s">
        <v>188</v>
      </c>
      <c r="S131" s="2">
        <v>32</v>
      </c>
      <c r="T131" s="2" t="s">
        <v>188</v>
      </c>
      <c r="U131" s="2" t="s">
        <v>188</v>
      </c>
      <c r="Y131" s="2">
        <v>94</v>
      </c>
      <c r="Z131" s="2">
        <v>0.74470000000000003</v>
      </c>
      <c r="AA131" s="2">
        <v>70</v>
      </c>
      <c r="AB131" s="2">
        <v>70</v>
      </c>
      <c r="AC131" s="2">
        <v>70</v>
      </c>
      <c r="AD131" s="2">
        <v>120</v>
      </c>
      <c r="AE131" s="2">
        <v>50</v>
      </c>
      <c r="AF131" s="2" t="s">
        <v>188</v>
      </c>
      <c r="AG131" s="2" t="s">
        <v>188</v>
      </c>
      <c r="AH131" s="2" t="s">
        <v>188</v>
      </c>
      <c r="AJ131" s="2" t="s">
        <v>188</v>
      </c>
      <c r="AK131" s="2" t="s">
        <v>188</v>
      </c>
      <c r="AL131" s="2" t="s">
        <v>187</v>
      </c>
      <c r="AM131" s="2" t="s">
        <v>188</v>
      </c>
      <c r="AN131" s="2" t="s">
        <v>188</v>
      </c>
      <c r="AO131" s="2" t="s">
        <v>188</v>
      </c>
      <c r="AR131" s="2">
        <v>0.4</v>
      </c>
      <c r="AS131" s="2">
        <v>1</v>
      </c>
      <c r="AT131" s="2">
        <v>1.3</v>
      </c>
      <c r="AU131" s="2" t="s">
        <v>189</v>
      </c>
      <c r="AV131" s="2" t="s">
        <v>189</v>
      </c>
      <c r="AW131" s="2" t="s">
        <v>188</v>
      </c>
      <c r="BC131" s="2" t="s">
        <v>192</v>
      </c>
      <c r="BD131" s="2" t="s">
        <v>188</v>
      </c>
      <c r="BE131" s="2" t="s">
        <v>188</v>
      </c>
      <c r="BL131" s="2" t="s">
        <v>197</v>
      </c>
      <c r="BM131" s="2" t="s">
        <v>198</v>
      </c>
      <c r="BN131" s="2" t="s">
        <v>199</v>
      </c>
      <c r="BO131" s="2" t="s">
        <v>188</v>
      </c>
      <c r="BQ131" s="2" t="s">
        <v>200</v>
      </c>
      <c r="BS131" s="2" t="s">
        <v>187</v>
      </c>
      <c r="BT131" s="2" t="s">
        <v>261</v>
      </c>
      <c r="BV131" s="2" t="s">
        <v>248</v>
      </c>
      <c r="BX131" s="2" t="s">
        <v>188</v>
      </c>
      <c r="BZ131" s="2" t="s">
        <v>188</v>
      </c>
      <c r="CE131" s="2">
        <v>1.3</v>
      </c>
      <c r="CF131" s="2">
        <v>120</v>
      </c>
      <c r="CK131" s="2">
        <v>100</v>
      </c>
      <c r="CO131" s="2">
        <v>100</v>
      </c>
      <c r="CR131" s="2" t="s">
        <v>204</v>
      </c>
      <c r="CT131" s="2" t="s">
        <v>188</v>
      </c>
      <c r="CU131" s="2" t="s">
        <v>205</v>
      </c>
      <c r="CW131" s="2" t="s">
        <v>206</v>
      </c>
      <c r="CY131" s="2" t="s">
        <v>208</v>
      </c>
      <c r="CZ131" s="2" t="s">
        <v>208</v>
      </c>
      <c r="DA131" s="2" t="s">
        <v>208</v>
      </c>
      <c r="DB131" s="2" t="s">
        <v>208</v>
      </c>
      <c r="DL131" s="2" t="s">
        <v>187</v>
      </c>
      <c r="DM131" s="2" t="s">
        <v>188</v>
      </c>
      <c r="DP131" s="2" t="s">
        <v>188</v>
      </c>
      <c r="DT131" s="2" t="s">
        <v>209</v>
      </c>
      <c r="DV131" s="2" t="s">
        <v>209</v>
      </c>
      <c r="DW131" s="2" t="s">
        <v>209</v>
      </c>
      <c r="EJ131" s="2" t="s">
        <v>189</v>
      </c>
      <c r="EK131" s="2" t="s">
        <v>188</v>
      </c>
      <c r="EL131" s="2" t="s">
        <v>188</v>
      </c>
      <c r="EN131" s="2" t="s">
        <v>597</v>
      </c>
      <c r="EP131" s="2" t="s">
        <v>230</v>
      </c>
      <c r="ER131" s="2" t="s">
        <v>188</v>
      </c>
      <c r="ET131" s="2" t="s">
        <v>188</v>
      </c>
      <c r="EV131" s="2" t="s">
        <v>188</v>
      </c>
      <c r="EX131" s="2" t="s">
        <v>188</v>
      </c>
      <c r="EZ131" s="2" t="s">
        <v>188</v>
      </c>
      <c r="FC131" s="2" t="s">
        <v>216</v>
      </c>
      <c r="FD131" s="2" t="s">
        <v>188</v>
      </c>
      <c r="FH131" s="2" t="s">
        <v>188</v>
      </c>
      <c r="FJ131" s="2" t="s">
        <v>187</v>
      </c>
      <c r="FK131" s="2" t="s">
        <v>188</v>
      </c>
      <c r="FT131" s="2" t="s">
        <v>233</v>
      </c>
      <c r="FU131" s="2" t="s">
        <v>233</v>
      </c>
      <c r="FV131" s="2" t="s">
        <v>233</v>
      </c>
      <c r="FW131" s="2" t="s">
        <v>233</v>
      </c>
      <c r="FZ131" s="4">
        <v>46040.417187500003</v>
      </c>
    </row>
    <row r="132" spans="1:182">
      <c r="A132" s="2" t="s">
        <v>1156</v>
      </c>
      <c r="D132" s="4">
        <v>46266.610023148147</v>
      </c>
      <c r="E132" s="2" t="s">
        <v>177</v>
      </c>
      <c r="F132" s="2" t="s">
        <v>178</v>
      </c>
      <c r="G132" s="2" t="s">
        <v>831</v>
      </c>
      <c r="H132" s="2" t="s">
        <v>849</v>
      </c>
      <c r="I132" s="2" t="s">
        <v>1157</v>
      </c>
      <c r="J132" s="2">
        <v>977283217</v>
      </c>
      <c r="K132" s="2" t="s">
        <v>1157</v>
      </c>
      <c r="L132" s="2" t="s">
        <v>182</v>
      </c>
      <c r="M132" s="2" t="s">
        <v>183</v>
      </c>
      <c r="N132" s="2">
        <v>1956</v>
      </c>
      <c r="O132" s="2" t="s">
        <v>224</v>
      </c>
      <c r="P132" s="2" t="s">
        <v>185</v>
      </c>
      <c r="Q132" s="2" t="s">
        <v>186</v>
      </c>
      <c r="R132" s="2" t="s">
        <v>188</v>
      </c>
      <c r="S132" s="2">
        <v>27</v>
      </c>
      <c r="T132" s="2" t="s">
        <v>188</v>
      </c>
      <c r="U132" s="2" t="s">
        <v>188</v>
      </c>
      <c r="Y132" s="2">
        <v>115</v>
      </c>
      <c r="Z132" s="2">
        <v>0.1739</v>
      </c>
      <c r="AA132" s="2">
        <v>20</v>
      </c>
      <c r="AB132" s="2">
        <v>20</v>
      </c>
      <c r="AC132" s="2">
        <v>20</v>
      </c>
      <c r="AD132" s="2">
        <v>35</v>
      </c>
      <c r="AE132" s="2">
        <v>15</v>
      </c>
      <c r="AF132" s="2" t="s">
        <v>188</v>
      </c>
      <c r="AG132" s="2" t="s">
        <v>188</v>
      </c>
      <c r="AH132" s="2" t="s">
        <v>188</v>
      </c>
      <c r="AJ132" s="2" t="s">
        <v>188</v>
      </c>
      <c r="AK132" s="2" t="s">
        <v>188</v>
      </c>
      <c r="AL132" s="2" t="s">
        <v>187</v>
      </c>
      <c r="AM132" s="2" t="s">
        <v>188</v>
      </c>
      <c r="AN132" s="2" t="s">
        <v>188</v>
      </c>
      <c r="AO132" s="2" t="s">
        <v>188</v>
      </c>
      <c r="AR132" s="2">
        <v>0.3</v>
      </c>
      <c r="AS132" s="2">
        <v>2</v>
      </c>
      <c r="AT132" s="2">
        <v>0.35</v>
      </c>
      <c r="AU132" s="2" t="s">
        <v>189</v>
      </c>
      <c r="AV132" s="2" t="s">
        <v>189</v>
      </c>
      <c r="AW132" s="2" t="s">
        <v>188</v>
      </c>
      <c r="BC132" s="2" t="s">
        <v>192</v>
      </c>
      <c r="BD132" s="2" t="s">
        <v>188</v>
      </c>
      <c r="BE132" s="2" t="s">
        <v>188</v>
      </c>
      <c r="BL132" s="2" t="s">
        <v>240</v>
      </c>
      <c r="BO132" s="2" t="s">
        <v>188</v>
      </c>
      <c r="BQ132" s="2" t="s">
        <v>200</v>
      </c>
      <c r="BS132" s="2" t="s">
        <v>187</v>
      </c>
      <c r="BT132" s="2" t="s">
        <v>261</v>
      </c>
      <c r="BV132" s="2" t="s">
        <v>248</v>
      </c>
      <c r="BX132" s="2" t="s">
        <v>188</v>
      </c>
      <c r="BZ132" s="2" t="s">
        <v>203</v>
      </c>
      <c r="CE132" s="2">
        <v>0.35</v>
      </c>
      <c r="CF132" s="2">
        <v>35</v>
      </c>
      <c r="CK132" s="2">
        <v>100</v>
      </c>
      <c r="CO132" s="2">
        <v>100</v>
      </c>
      <c r="CR132" s="2" t="s">
        <v>204</v>
      </c>
      <c r="CT132" s="2" t="s">
        <v>188</v>
      </c>
      <c r="CU132" s="2" t="s">
        <v>281</v>
      </c>
      <c r="CW132" s="2" t="s">
        <v>206</v>
      </c>
      <c r="CY132" s="2" t="s">
        <v>208</v>
      </c>
      <c r="CZ132" s="2" t="s">
        <v>208</v>
      </c>
      <c r="DA132" s="2" t="s">
        <v>208</v>
      </c>
      <c r="DB132" s="2" t="s">
        <v>208</v>
      </c>
      <c r="DC132" s="2" t="s">
        <v>208</v>
      </c>
      <c r="DD132" s="2" t="s">
        <v>208</v>
      </c>
      <c r="DE132" s="2" t="s">
        <v>208</v>
      </c>
      <c r="DF132" s="2" t="s">
        <v>208</v>
      </c>
      <c r="DG132" s="2" t="s">
        <v>208</v>
      </c>
      <c r="DH132" s="2" t="s">
        <v>208</v>
      </c>
      <c r="DI132" s="2" t="s">
        <v>208</v>
      </c>
      <c r="DL132" s="2" t="s">
        <v>187</v>
      </c>
      <c r="DM132" s="2" t="s">
        <v>188</v>
      </c>
      <c r="DP132" s="2" t="s">
        <v>188</v>
      </c>
      <c r="DT132" s="2" t="s">
        <v>209</v>
      </c>
      <c r="DU132" s="2" t="s">
        <v>209</v>
      </c>
      <c r="DV132" s="2" t="s">
        <v>209</v>
      </c>
      <c r="EB132" s="2" t="s">
        <v>209</v>
      </c>
      <c r="FH132" s="2" t="s">
        <v>188</v>
      </c>
      <c r="FJ132" s="2" t="s">
        <v>187</v>
      </c>
      <c r="FK132" s="2" t="s">
        <v>188</v>
      </c>
      <c r="FT132" s="2" t="s">
        <v>233</v>
      </c>
      <c r="FU132" s="2" t="s">
        <v>233</v>
      </c>
      <c r="FV132" s="2" t="s">
        <v>233</v>
      </c>
      <c r="FW132" s="2" t="s">
        <v>233</v>
      </c>
      <c r="FZ132" s="4">
        <v>46040.41233796296</v>
      </c>
    </row>
    <row r="133" spans="1:182">
      <c r="A133" s="2" t="s">
        <v>1158</v>
      </c>
      <c r="D133" s="4">
        <v>46266.67465277778</v>
      </c>
      <c r="E133" s="2" t="s">
        <v>1159</v>
      </c>
      <c r="F133" s="2" t="s">
        <v>425</v>
      </c>
      <c r="G133" s="2" t="s">
        <v>179</v>
      </c>
      <c r="H133" s="2" t="s">
        <v>1160</v>
      </c>
      <c r="I133" s="2" t="s">
        <v>1161</v>
      </c>
      <c r="J133" s="2">
        <v>355954651</v>
      </c>
      <c r="K133" s="2" t="s">
        <v>1162</v>
      </c>
      <c r="L133" s="2" t="s">
        <v>182</v>
      </c>
      <c r="M133" s="2" t="s">
        <v>223</v>
      </c>
      <c r="N133" s="2">
        <v>1986</v>
      </c>
      <c r="O133" s="2" t="s">
        <v>184</v>
      </c>
      <c r="P133" s="2" t="s">
        <v>225</v>
      </c>
      <c r="Q133" s="2" t="s">
        <v>186</v>
      </c>
      <c r="R133" s="2" t="s">
        <v>188</v>
      </c>
      <c r="S133" s="2">
        <v>22</v>
      </c>
      <c r="T133" s="2" t="s">
        <v>188</v>
      </c>
      <c r="U133" s="2" t="s">
        <v>188</v>
      </c>
      <c r="Y133" s="2">
        <v>220</v>
      </c>
      <c r="Z133" s="2">
        <v>1</v>
      </c>
      <c r="AA133" s="2">
        <v>220</v>
      </c>
      <c r="AB133" s="2">
        <v>170</v>
      </c>
      <c r="AC133" s="2">
        <v>170</v>
      </c>
      <c r="AD133" s="2">
        <v>200</v>
      </c>
      <c r="AE133" s="2">
        <v>30</v>
      </c>
      <c r="AF133" s="2" t="s">
        <v>188</v>
      </c>
      <c r="AG133" s="2" t="s">
        <v>188</v>
      </c>
      <c r="AH133" s="2" t="s">
        <v>188</v>
      </c>
      <c r="AJ133" s="2" t="s">
        <v>188</v>
      </c>
      <c r="AK133" s="2" t="s">
        <v>187</v>
      </c>
      <c r="AL133" s="2" t="s">
        <v>188</v>
      </c>
      <c r="AM133" s="2" t="s">
        <v>188</v>
      </c>
      <c r="AN133" s="2" t="s">
        <v>188</v>
      </c>
      <c r="AO133" s="2" t="s">
        <v>188</v>
      </c>
      <c r="AR133" s="2">
        <v>0.7</v>
      </c>
      <c r="AS133" s="2">
        <v>4</v>
      </c>
      <c r="AT133" s="2">
        <v>2</v>
      </c>
      <c r="AU133" s="2" t="s">
        <v>238</v>
      </c>
      <c r="AV133" s="2" t="s">
        <v>203</v>
      </c>
      <c r="AW133" s="2" t="s">
        <v>188</v>
      </c>
      <c r="AZ133" s="2" t="s">
        <v>476</v>
      </c>
      <c r="BB133" s="2" t="s">
        <v>332</v>
      </c>
      <c r="BC133" s="2" t="s">
        <v>296</v>
      </c>
      <c r="BD133" s="2" t="s">
        <v>187</v>
      </c>
      <c r="BE133" s="2" t="s">
        <v>187</v>
      </c>
      <c r="BF133" s="2" t="s">
        <v>193</v>
      </c>
      <c r="BG133" s="2" t="s">
        <v>194</v>
      </c>
      <c r="BH133" s="2" t="s">
        <v>297</v>
      </c>
      <c r="BI133" s="2" t="s">
        <v>333</v>
      </c>
      <c r="BL133" s="2" t="s">
        <v>240</v>
      </c>
      <c r="BO133" s="2" t="s">
        <v>188</v>
      </c>
      <c r="BQ133" s="2" t="s">
        <v>227</v>
      </c>
      <c r="BS133" s="2" t="s">
        <v>187</v>
      </c>
      <c r="BT133" s="2" t="s">
        <v>69</v>
      </c>
      <c r="BU133" s="2" t="s">
        <v>1163</v>
      </c>
      <c r="BV133" s="2" t="s">
        <v>458</v>
      </c>
      <c r="BX133" s="2" t="s">
        <v>188</v>
      </c>
      <c r="BZ133" s="2" t="s">
        <v>188</v>
      </c>
      <c r="CE133" s="2">
        <v>2</v>
      </c>
      <c r="CF133" s="2">
        <v>200</v>
      </c>
      <c r="CM133" s="2">
        <v>100</v>
      </c>
      <c r="CO133" s="2">
        <v>100</v>
      </c>
      <c r="CR133" s="2" t="s">
        <v>204</v>
      </c>
      <c r="CT133" s="2" t="s">
        <v>188</v>
      </c>
      <c r="CU133" s="2" t="s">
        <v>205</v>
      </c>
      <c r="CW133" s="2" t="s">
        <v>206</v>
      </c>
      <c r="CY133" s="2" t="s">
        <v>207</v>
      </c>
      <c r="CZ133" s="2" t="s">
        <v>207</v>
      </c>
      <c r="DA133" s="2" t="s">
        <v>300</v>
      </c>
      <c r="DB133" s="2" t="s">
        <v>300</v>
      </c>
      <c r="DC133" s="2" t="s">
        <v>300</v>
      </c>
      <c r="DD133" s="2" t="s">
        <v>430</v>
      </c>
      <c r="DE133" s="2" t="s">
        <v>300</v>
      </c>
      <c r="DF133" s="2" t="s">
        <v>207</v>
      </c>
      <c r="DG133" s="2" t="s">
        <v>207</v>
      </c>
      <c r="DH133" s="2" t="s">
        <v>300</v>
      </c>
      <c r="DI133" s="2" t="s">
        <v>300</v>
      </c>
      <c r="DL133" s="2" t="s">
        <v>187</v>
      </c>
      <c r="DM133" s="2" t="s">
        <v>187</v>
      </c>
      <c r="DN133" s="2" t="s">
        <v>187</v>
      </c>
      <c r="DO133" s="2" t="s">
        <v>188</v>
      </c>
      <c r="DP133" s="2" t="s">
        <v>209</v>
      </c>
      <c r="DQ133" s="2" t="s">
        <v>467</v>
      </c>
      <c r="DR133" s="2" t="s">
        <v>1164</v>
      </c>
      <c r="DT133" s="2" t="s">
        <v>209</v>
      </c>
      <c r="DU133" s="2" t="s">
        <v>209</v>
      </c>
      <c r="DV133" s="2" t="s">
        <v>209</v>
      </c>
      <c r="DW133" s="2" t="s">
        <v>209</v>
      </c>
      <c r="DX133" s="2" t="s">
        <v>209</v>
      </c>
      <c r="DY133" s="2" t="s">
        <v>209</v>
      </c>
      <c r="DZ133" s="2" t="s">
        <v>188</v>
      </c>
      <c r="EA133" s="2" t="s">
        <v>209</v>
      </c>
      <c r="EB133" s="2" t="s">
        <v>209</v>
      </c>
      <c r="EC133" s="2" t="s">
        <v>188</v>
      </c>
      <c r="EF133" s="2" t="s">
        <v>302</v>
      </c>
      <c r="EG133" s="2" t="s">
        <v>1165</v>
      </c>
      <c r="EJ133" s="2" t="s">
        <v>203</v>
      </c>
      <c r="EK133" s="2" t="s">
        <v>188</v>
      </c>
      <c r="EL133" s="2" t="s">
        <v>188</v>
      </c>
      <c r="EN133" s="2" t="s">
        <v>214</v>
      </c>
      <c r="EP133" s="2" t="s">
        <v>230</v>
      </c>
      <c r="ER133" s="2" t="s">
        <v>188</v>
      </c>
      <c r="ET133" s="2" t="s">
        <v>188</v>
      </c>
      <c r="EV133" s="2" t="s">
        <v>187</v>
      </c>
      <c r="EW133" s="2" t="s">
        <v>189</v>
      </c>
      <c r="EX133" s="2" t="s">
        <v>188</v>
      </c>
      <c r="EZ133" s="2" t="s">
        <v>188</v>
      </c>
      <c r="FC133" s="2" t="s">
        <v>263</v>
      </c>
      <c r="FD133" s="2" t="s">
        <v>188</v>
      </c>
      <c r="FH133" s="2" t="s">
        <v>188</v>
      </c>
      <c r="FJ133" s="2" t="s">
        <v>188</v>
      </c>
      <c r="FK133" s="2" t="s">
        <v>188</v>
      </c>
      <c r="FN133" s="2" t="s">
        <v>291</v>
      </c>
      <c r="FO133" s="2" t="s">
        <v>1166</v>
      </c>
      <c r="FR133" s="2" t="s">
        <v>1167</v>
      </c>
      <c r="FT133" s="2" t="s">
        <v>219</v>
      </c>
      <c r="FU133" s="2" t="s">
        <v>219</v>
      </c>
      <c r="FV133" s="2" t="s">
        <v>233</v>
      </c>
      <c r="FW133" s="2" t="s">
        <v>233</v>
      </c>
      <c r="FZ133" s="4">
        <v>46041.317210648151</v>
      </c>
    </row>
    <row r="134" spans="1:182">
      <c r="A134" s="2" t="s">
        <v>1168</v>
      </c>
      <c r="D134" s="4">
        <v>46266.670601851853</v>
      </c>
      <c r="E134" s="2" t="s">
        <v>177</v>
      </c>
      <c r="F134" s="2" t="s">
        <v>293</v>
      </c>
      <c r="G134" s="2" t="s">
        <v>179</v>
      </c>
      <c r="H134" s="2" t="s">
        <v>1160</v>
      </c>
      <c r="I134" s="2" t="s">
        <v>1169</v>
      </c>
      <c r="J134" s="2">
        <v>336317821</v>
      </c>
      <c r="K134" s="2" t="s">
        <v>1170</v>
      </c>
      <c r="L134" s="2" t="s">
        <v>182</v>
      </c>
      <c r="M134" s="2" t="s">
        <v>183</v>
      </c>
      <c r="N134" s="2">
        <v>1997</v>
      </c>
      <c r="O134" s="2" t="s">
        <v>184</v>
      </c>
      <c r="P134" s="2" t="s">
        <v>237</v>
      </c>
      <c r="Q134" s="2" t="s">
        <v>186</v>
      </c>
      <c r="R134" s="2" t="s">
        <v>188</v>
      </c>
      <c r="S134" s="2">
        <v>1997</v>
      </c>
      <c r="T134" s="2" t="s">
        <v>188</v>
      </c>
      <c r="U134" s="2" t="s">
        <v>188</v>
      </c>
      <c r="Y134" s="2">
        <v>480</v>
      </c>
      <c r="Z134" s="2">
        <v>0.9375</v>
      </c>
      <c r="AA134" s="2">
        <v>450</v>
      </c>
      <c r="AB134" s="2">
        <v>400</v>
      </c>
      <c r="AC134" s="2">
        <v>250</v>
      </c>
      <c r="AD134" s="2">
        <v>300</v>
      </c>
      <c r="AE134" s="2">
        <v>50</v>
      </c>
      <c r="AF134" s="2" t="s">
        <v>187</v>
      </c>
      <c r="AG134" s="2" t="s">
        <v>187</v>
      </c>
      <c r="AH134" s="2" t="s">
        <v>187</v>
      </c>
      <c r="AI134" s="2" t="s">
        <v>346</v>
      </c>
      <c r="AJ134" s="2" t="s">
        <v>188</v>
      </c>
      <c r="AK134" s="2" t="s">
        <v>187</v>
      </c>
      <c r="AL134" s="2" t="s">
        <v>188</v>
      </c>
      <c r="AM134" s="2" t="s">
        <v>187</v>
      </c>
      <c r="AN134" s="2" t="s">
        <v>188</v>
      </c>
      <c r="AO134" s="2" t="s">
        <v>188</v>
      </c>
      <c r="AR134" s="2">
        <v>1.5</v>
      </c>
      <c r="AS134" s="2">
        <v>6</v>
      </c>
      <c r="AT134" s="2">
        <v>2.8</v>
      </c>
      <c r="AU134" s="2" t="s">
        <v>238</v>
      </c>
      <c r="AV134" s="2" t="s">
        <v>238</v>
      </c>
      <c r="AW134" s="2" t="s">
        <v>188</v>
      </c>
      <c r="AZ134" s="2" t="s">
        <v>190</v>
      </c>
      <c r="BB134" s="2" t="s">
        <v>260</v>
      </c>
      <c r="BC134" s="2" t="s">
        <v>296</v>
      </c>
      <c r="BD134" s="2" t="s">
        <v>187</v>
      </c>
      <c r="BE134" s="2" t="s">
        <v>187</v>
      </c>
      <c r="BF134" s="2" t="s">
        <v>193</v>
      </c>
      <c r="BG134" s="2" t="s">
        <v>194</v>
      </c>
      <c r="BH134" s="2" t="s">
        <v>195</v>
      </c>
      <c r="BI134" s="2" t="s">
        <v>196</v>
      </c>
      <c r="BL134" s="2" t="s">
        <v>197</v>
      </c>
      <c r="BM134" s="2" t="s">
        <v>198</v>
      </c>
      <c r="BN134" s="2" t="s">
        <v>199</v>
      </c>
      <c r="BO134" s="2" t="s">
        <v>188</v>
      </c>
      <c r="BP134" s="2" t="s">
        <v>342</v>
      </c>
      <c r="BQ134" s="2" t="s">
        <v>227</v>
      </c>
      <c r="BS134" s="2" t="s">
        <v>188</v>
      </c>
      <c r="BT134" s="2" t="s">
        <v>1171</v>
      </c>
      <c r="BV134" s="2" t="s">
        <v>358</v>
      </c>
      <c r="BX134" s="2" t="s">
        <v>188</v>
      </c>
      <c r="BY134" s="2" t="s">
        <v>1172</v>
      </c>
      <c r="BZ134" s="2" t="s">
        <v>203</v>
      </c>
      <c r="CE134" s="2">
        <v>2.8</v>
      </c>
      <c r="CK134" s="2">
        <v>100</v>
      </c>
      <c r="CO134" s="2">
        <v>100</v>
      </c>
      <c r="CR134" s="2" t="s">
        <v>204</v>
      </c>
      <c r="CT134" s="2" t="s">
        <v>188</v>
      </c>
      <c r="CU134" s="2" t="s">
        <v>205</v>
      </c>
      <c r="CW134" s="2" t="s">
        <v>206</v>
      </c>
      <c r="CY134" s="2" t="s">
        <v>207</v>
      </c>
      <c r="CZ134" s="2" t="s">
        <v>512</v>
      </c>
      <c r="DA134" s="2" t="s">
        <v>208</v>
      </c>
      <c r="DB134" s="2" t="s">
        <v>300</v>
      </c>
      <c r="DC134" s="2" t="s">
        <v>299</v>
      </c>
      <c r="DD134" s="2" t="s">
        <v>301</v>
      </c>
      <c r="DE134" s="2" t="s">
        <v>300</v>
      </c>
      <c r="DF134" s="2" t="s">
        <v>207</v>
      </c>
      <c r="DG134" s="2" t="s">
        <v>208</v>
      </c>
      <c r="DH134" s="2" t="s">
        <v>208</v>
      </c>
      <c r="DI134" s="2" t="s">
        <v>301</v>
      </c>
      <c r="DL134" s="2" t="s">
        <v>187</v>
      </c>
      <c r="DM134" s="2" t="s">
        <v>187</v>
      </c>
      <c r="DN134" s="2" t="s">
        <v>187</v>
      </c>
      <c r="DO134" s="2" t="s">
        <v>187</v>
      </c>
      <c r="DP134" s="2" t="s">
        <v>203</v>
      </c>
      <c r="DS134" s="2" t="s">
        <v>209</v>
      </c>
      <c r="DT134" s="2" t="s">
        <v>209</v>
      </c>
      <c r="DU134" s="2" t="s">
        <v>209</v>
      </c>
      <c r="DV134" s="2" t="s">
        <v>209</v>
      </c>
      <c r="DW134" s="2" t="s">
        <v>209</v>
      </c>
      <c r="DX134" s="2" t="s">
        <v>209</v>
      </c>
      <c r="DY134" s="2" t="s">
        <v>203</v>
      </c>
      <c r="DZ134" s="2" t="s">
        <v>203</v>
      </c>
      <c r="EA134" s="2" t="s">
        <v>209</v>
      </c>
      <c r="EB134" s="2" t="s">
        <v>209</v>
      </c>
      <c r="EC134" s="2" t="s">
        <v>203</v>
      </c>
      <c r="EF134" s="2" t="s">
        <v>211</v>
      </c>
      <c r="EJ134" s="2" t="s">
        <v>238</v>
      </c>
      <c r="EK134" s="2" t="s">
        <v>187</v>
      </c>
      <c r="EL134" s="2" t="s">
        <v>188</v>
      </c>
      <c r="EN134" s="2" t="s">
        <v>214</v>
      </c>
      <c r="EP134" s="2" t="s">
        <v>230</v>
      </c>
      <c r="ER134" s="2" t="s">
        <v>187</v>
      </c>
      <c r="ET134" s="2" t="s">
        <v>188</v>
      </c>
      <c r="EV134" s="2" t="s">
        <v>187</v>
      </c>
      <c r="EW134" s="2" t="s">
        <v>189</v>
      </c>
      <c r="EX134" s="2" t="s">
        <v>188</v>
      </c>
      <c r="EZ134" s="2" t="s">
        <v>188</v>
      </c>
      <c r="FC134" s="2" t="s">
        <v>216</v>
      </c>
      <c r="FD134" s="2" t="s">
        <v>188</v>
      </c>
      <c r="FH134" s="2" t="s">
        <v>188</v>
      </c>
      <c r="FJ134" s="2" t="s">
        <v>188</v>
      </c>
      <c r="FK134" s="2" t="s">
        <v>203</v>
      </c>
      <c r="FN134" s="2" t="s">
        <v>304</v>
      </c>
      <c r="FT134" s="2" t="s">
        <v>219</v>
      </c>
      <c r="FU134" s="2" t="s">
        <v>233</v>
      </c>
      <c r="FV134" s="2" t="s">
        <v>233</v>
      </c>
      <c r="FW134" s="2" t="s">
        <v>233</v>
      </c>
      <c r="FZ134" s="4">
        <v>46038.696377314816</v>
      </c>
    </row>
    <row r="135" spans="1:182">
      <c r="A135" s="2" t="s">
        <v>1173</v>
      </c>
      <c r="D135" s="4">
        <v>46266.680879629632</v>
      </c>
      <c r="E135" s="2" t="s">
        <v>1174</v>
      </c>
      <c r="F135" s="2" t="s">
        <v>425</v>
      </c>
      <c r="G135" s="2" t="s">
        <v>179</v>
      </c>
      <c r="H135" s="2" t="s">
        <v>1160</v>
      </c>
      <c r="I135" s="2" t="s">
        <v>1175</v>
      </c>
      <c r="K135" s="2" t="s">
        <v>1176</v>
      </c>
      <c r="L135" s="2" t="s">
        <v>182</v>
      </c>
      <c r="M135" s="2" t="s">
        <v>183</v>
      </c>
      <c r="N135" s="2">
        <v>2000</v>
      </c>
      <c r="O135" s="2" t="s">
        <v>184</v>
      </c>
      <c r="P135" s="2" t="s">
        <v>237</v>
      </c>
      <c r="Q135" s="2" t="s">
        <v>186</v>
      </c>
      <c r="R135" s="2" t="s">
        <v>188</v>
      </c>
      <c r="S135" s="2">
        <v>32</v>
      </c>
      <c r="T135" s="2" t="s">
        <v>188</v>
      </c>
      <c r="U135" s="2" t="s">
        <v>188</v>
      </c>
      <c r="Y135" s="2">
        <v>180</v>
      </c>
      <c r="Z135" s="2">
        <v>0.83330000000000004</v>
      </c>
      <c r="AA135" s="2">
        <v>150</v>
      </c>
      <c r="AB135" s="2">
        <v>135</v>
      </c>
      <c r="AC135" s="2">
        <v>125</v>
      </c>
      <c r="AD135" s="2">
        <v>150</v>
      </c>
      <c r="AE135" s="2">
        <v>25</v>
      </c>
      <c r="AF135" s="2" t="s">
        <v>187</v>
      </c>
      <c r="AG135" s="2" t="s">
        <v>188</v>
      </c>
      <c r="AH135" s="2" t="s">
        <v>188</v>
      </c>
      <c r="AJ135" s="2" t="s">
        <v>188</v>
      </c>
      <c r="AK135" s="2" t="s">
        <v>187</v>
      </c>
      <c r="AL135" s="2" t="s">
        <v>188</v>
      </c>
      <c r="AM135" s="2" t="s">
        <v>187</v>
      </c>
      <c r="AN135" s="2" t="s">
        <v>188</v>
      </c>
      <c r="AO135" s="2" t="s">
        <v>188</v>
      </c>
      <c r="AR135" s="2">
        <v>0.4</v>
      </c>
      <c r="AS135" s="2">
        <v>4</v>
      </c>
      <c r="AT135" s="2">
        <v>1.5</v>
      </c>
      <c r="AU135" s="2" t="s">
        <v>238</v>
      </c>
      <c r="AV135" s="2" t="s">
        <v>238</v>
      </c>
      <c r="AW135" s="2" t="s">
        <v>188</v>
      </c>
      <c r="AZ135" s="2" t="s">
        <v>476</v>
      </c>
      <c r="BB135" s="2" t="s">
        <v>332</v>
      </c>
      <c r="BC135" s="2" t="s">
        <v>296</v>
      </c>
      <c r="BD135" s="2" t="s">
        <v>187</v>
      </c>
      <c r="BE135" s="2" t="s">
        <v>187</v>
      </c>
      <c r="BF135" s="2" t="s">
        <v>193</v>
      </c>
      <c r="BG135" s="2" t="s">
        <v>194</v>
      </c>
      <c r="BH135" s="2" t="s">
        <v>195</v>
      </c>
      <c r="BI135" s="2" t="s">
        <v>333</v>
      </c>
      <c r="BL135" s="2" t="s">
        <v>240</v>
      </c>
      <c r="BS135" s="2" t="s">
        <v>187</v>
      </c>
      <c r="BT135" s="2" t="s">
        <v>69</v>
      </c>
      <c r="BU135" s="2" t="s">
        <v>544</v>
      </c>
      <c r="BV135" s="2" t="s">
        <v>502</v>
      </c>
      <c r="BX135" s="2" t="s">
        <v>188</v>
      </c>
      <c r="BZ135" s="2" t="s">
        <v>188</v>
      </c>
      <c r="CE135" s="2">
        <v>1.5</v>
      </c>
      <c r="CF135" s="2">
        <v>150</v>
      </c>
      <c r="CM135" s="2">
        <v>100</v>
      </c>
      <c r="CO135" s="2">
        <v>100</v>
      </c>
      <c r="CR135" s="2" t="s">
        <v>343</v>
      </c>
      <c r="CT135" s="2" t="s">
        <v>188</v>
      </c>
      <c r="CU135" s="2" t="s">
        <v>205</v>
      </c>
      <c r="CW135" s="2" t="s">
        <v>206</v>
      </c>
      <c r="CY135" s="2" t="s">
        <v>207</v>
      </c>
      <c r="CZ135" s="2" t="s">
        <v>207</v>
      </c>
      <c r="DA135" s="2" t="s">
        <v>300</v>
      </c>
      <c r="DB135" s="2" t="s">
        <v>300</v>
      </c>
      <c r="DC135" s="2" t="s">
        <v>430</v>
      </c>
      <c r="DD135" s="2" t="s">
        <v>430</v>
      </c>
      <c r="DE135" s="2" t="s">
        <v>300</v>
      </c>
      <c r="DF135" s="2" t="s">
        <v>207</v>
      </c>
      <c r="DG135" s="2" t="s">
        <v>207</v>
      </c>
      <c r="DH135" s="2" t="s">
        <v>430</v>
      </c>
      <c r="DI135" s="2" t="s">
        <v>430</v>
      </c>
      <c r="DL135" s="2" t="s">
        <v>187</v>
      </c>
      <c r="DM135" s="2" t="s">
        <v>187</v>
      </c>
      <c r="DN135" s="2" t="s">
        <v>187</v>
      </c>
      <c r="DO135" s="2" t="s">
        <v>187</v>
      </c>
      <c r="DP135" s="2" t="s">
        <v>209</v>
      </c>
      <c r="DQ135" s="2" t="s">
        <v>467</v>
      </c>
      <c r="DR135" s="2" t="s">
        <v>1177</v>
      </c>
      <c r="DT135" s="2" t="s">
        <v>209</v>
      </c>
      <c r="DU135" s="2" t="s">
        <v>209</v>
      </c>
      <c r="DV135" s="2" t="s">
        <v>209</v>
      </c>
      <c r="DW135" s="2" t="s">
        <v>209</v>
      </c>
      <c r="DX135" s="2" t="s">
        <v>209</v>
      </c>
      <c r="DY135" s="2" t="s">
        <v>209</v>
      </c>
      <c r="DZ135" s="2" t="s">
        <v>203</v>
      </c>
      <c r="EA135" s="2" t="s">
        <v>209</v>
      </c>
      <c r="EB135" s="2" t="s">
        <v>209</v>
      </c>
      <c r="EC135" s="2" t="s">
        <v>188</v>
      </c>
      <c r="EF135" s="2" t="s">
        <v>189</v>
      </c>
      <c r="EJ135" s="2" t="s">
        <v>203</v>
      </c>
      <c r="EK135" s="2" t="s">
        <v>188</v>
      </c>
      <c r="EL135" s="2" t="s">
        <v>188</v>
      </c>
      <c r="EN135" s="2" t="s">
        <v>214</v>
      </c>
      <c r="EP135" s="2" t="s">
        <v>230</v>
      </c>
      <c r="ER135" s="2" t="s">
        <v>188</v>
      </c>
      <c r="ET135" s="2" t="s">
        <v>188</v>
      </c>
      <c r="EV135" s="2" t="s">
        <v>187</v>
      </c>
      <c r="EW135" s="2" t="s">
        <v>215</v>
      </c>
      <c r="EX135" s="2" t="s">
        <v>188</v>
      </c>
      <c r="EZ135" s="2" t="s">
        <v>188</v>
      </c>
      <c r="FC135" s="2" t="s">
        <v>263</v>
      </c>
      <c r="FD135" s="2" t="s">
        <v>188</v>
      </c>
      <c r="FH135" s="2" t="s">
        <v>188</v>
      </c>
      <c r="FJ135" s="2" t="s">
        <v>188</v>
      </c>
      <c r="FK135" s="2" t="s">
        <v>188</v>
      </c>
      <c r="FR135" s="2" t="s">
        <v>433</v>
      </c>
      <c r="FT135" s="2" t="s">
        <v>219</v>
      </c>
      <c r="FU135" s="2" t="s">
        <v>219</v>
      </c>
      <c r="FV135" s="2" t="s">
        <v>219</v>
      </c>
      <c r="FW135" s="2" t="s">
        <v>219</v>
      </c>
      <c r="FZ135" s="4">
        <v>46041.336365740739</v>
      </c>
    </row>
    <row r="136" spans="1:182">
      <c r="A136" s="2" t="s">
        <v>1178</v>
      </c>
      <c r="D136" s="4">
        <v>46266.690937500003</v>
      </c>
      <c r="E136" s="2" t="s">
        <v>1179</v>
      </c>
      <c r="F136" s="2" t="s">
        <v>425</v>
      </c>
      <c r="G136" s="2" t="s">
        <v>179</v>
      </c>
      <c r="H136" s="2" t="s">
        <v>1160</v>
      </c>
      <c r="I136" s="2" t="s">
        <v>1180</v>
      </c>
      <c r="J136" s="2">
        <v>326083221</v>
      </c>
      <c r="K136" s="2" t="s">
        <v>1181</v>
      </c>
      <c r="L136" s="2" t="s">
        <v>182</v>
      </c>
      <c r="M136" s="2" t="s">
        <v>223</v>
      </c>
      <c r="N136" s="2">
        <v>1991</v>
      </c>
      <c r="O136" s="2" t="s">
        <v>184</v>
      </c>
      <c r="P136" s="2" t="s">
        <v>225</v>
      </c>
      <c r="Q136" s="2" t="s">
        <v>186</v>
      </c>
      <c r="R136" s="2" t="s">
        <v>188</v>
      </c>
      <c r="S136" s="2">
        <v>14</v>
      </c>
      <c r="T136" s="2" t="s">
        <v>188</v>
      </c>
      <c r="U136" s="2" t="s">
        <v>188</v>
      </c>
      <c r="Y136" s="2">
        <v>490</v>
      </c>
      <c r="Z136" s="2">
        <v>0.93879999999999997</v>
      </c>
      <c r="AA136" s="2">
        <v>460</v>
      </c>
      <c r="AB136" s="2">
        <v>440</v>
      </c>
      <c r="AC136" s="2">
        <v>430</v>
      </c>
      <c r="AD136" s="2">
        <v>520</v>
      </c>
      <c r="AE136" s="2">
        <v>90</v>
      </c>
      <c r="AF136" s="2" t="s">
        <v>187</v>
      </c>
      <c r="AG136" s="2" t="s">
        <v>188</v>
      </c>
      <c r="AH136" s="2" t="s">
        <v>188</v>
      </c>
      <c r="AJ136" s="2" t="s">
        <v>188</v>
      </c>
      <c r="AK136" s="2" t="s">
        <v>187</v>
      </c>
      <c r="AL136" s="2" t="s">
        <v>188</v>
      </c>
      <c r="AM136" s="2" t="s">
        <v>187</v>
      </c>
      <c r="AN136" s="2" t="s">
        <v>188</v>
      </c>
      <c r="AO136" s="2" t="s">
        <v>188</v>
      </c>
      <c r="AR136" s="2">
        <v>1.4</v>
      </c>
      <c r="AS136" s="2">
        <v>4</v>
      </c>
      <c r="AT136" s="2">
        <v>5.2</v>
      </c>
      <c r="AU136" s="2" t="s">
        <v>238</v>
      </c>
      <c r="AV136" s="2" t="s">
        <v>203</v>
      </c>
      <c r="AW136" s="2" t="s">
        <v>188</v>
      </c>
      <c r="AZ136" s="2" t="s">
        <v>190</v>
      </c>
      <c r="BB136" s="2" t="s">
        <v>332</v>
      </c>
      <c r="BC136" s="2" t="s">
        <v>296</v>
      </c>
      <c r="BD136" s="2" t="s">
        <v>187</v>
      </c>
      <c r="BE136" s="2" t="s">
        <v>187</v>
      </c>
      <c r="BF136" s="2" t="s">
        <v>193</v>
      </c>
      <c r="BG136" s="2" t="s">
        <v>194</v>
      </c>
      <c r="BH136" s="2" t="s">
        <v>195</v>
      </c>
      <c r="BI136" s="2" t="s">
        <v>333</v>
      </c>
      <c r="BL136" s="2" t="s">
        <v>240</v>
      </c>
      <c r="BO136" s="2" t="s">
        <v>188</v>
      </c>
      <c r="BQ136" s="2" t="s">
        <v>200</v>
      </c>
      <c r="BS136" s="2" t="s">
        <v>187</v>
      </c>
      <c r="BT136" s="2" t="s">
        <v>69</v>
      </c>
      <c r="BU136" s="2" t="s">
        <v>845</v>
      </c>
      <c r="BV136" s="2" t="s">
        <v>228</v>
      </c>
      <c r="BX136" s="2" t="s">
        <v>188</v>
      </c>
      <c r="BZ136" s="2" t="s">
        <v>188</v>
      </c>
      <c r="CE136" s="2">
        <v>5.2</v>
      </c>
      <c r="CF136" s="2">
        <v>520</v>
      </c>
      <c r="CM136" s="2">
        <v>100</v>
      </c>
      <c r="CO136" s="2">
        <v>100</v>
      </c>
      <c r="CR136" s="2" t="s">
        <v>343</v>
      </c>
      <c r="CT136" s="2" t="s">
        <v>188</v>
      </c>
      <c r="CU136" s="2" t="s">
        <v>205</v>
      </c>
      <c r="CW136" s="2" t="s">
        <v>206</v>
      </c>
      <c r="CY136" s="2" t="s">
        <v>207</v>
      </c>
      <c r="CZ136" s="2" t="s">
        <v>207</v>
      </c>
      <c r="DA136" s="2" t="s">
        <v>300</v>
      </c>
      <c r="DB136" s="2" t="s">
        <v>300</v>
      </c>
      <c r="DC136" s="2" t="s">
        <v>430</v>
      </c>
      <c r="DD136" s="2" t="s">
        <v>430</v>
      </c>
      <c r="DE136" s="2" t="s">
        <v>300</v>
      </c>
      <c r="DF136" s="2" t="s">
        <v>207</v>
      </c>
      <c r="DG136" s="2" t="s">
        <v>207</v>
      </c>
      <c r="DH136" s="2" t="s">
        <v>300</v>
      </c>
      <c r="DI136" s="2" t="s">
        <v>300</v>
      </c>
      <c r="DL136" s="2" t="s">
        <v>187</v>
      </c>
      <c r="DM136" s="2" t="s">
        <v>187</v>
      </c>
      <c r="DN136" s="2" t="s">
        <v>187</v>
      </c>
      <c r="DO136" s="2" t="s">
        <v>187</v>
      </c>
      <c r="DP136" s="2" t="s">
        <v>209</v>
      </c>
      <c r="DQ136" s="2" t="s">
        <v>467</v>
      </c>
      <c r="DR136" s="2" t="s">
        <v>1182</v>
      </c>
      <c r="EJ136" s="2" t="s">
        <v>238</v>
      </c>
      <c r="EK136" s="2" t="s">
        <v>188</v>
      </c>
      <c r="EL136" s="2" t="s">
        <v>188</v>
      </c>
      <c r="EN136" s="2" t="s">
        <v>214</v>
      </c>
      <c r="EP136" s="2" t="s">
        <v>230</v>
      </c>
      <c r="ER136" s="2" t="s">
        <v>188</v>
      </c>
      <c r="ET136" s="2" t="s">
        <v>188</v>
      </c>
      <c r="EV136" s="2" t="s">
        <v>187</v>
      </c>
      <c r="EW136" s="2" t="s">
        <v>1183</v>
      </c>
      <c r="EX136" s="2" t="s">
        <v>188</v>
      </c>
      <c r="EZ136" s="2" t="s">
        <v>188</v>
      </c>
      <c r="FC136" s="2" t="s">
        <v>216</v>
      </c>
      <c r="FD136" s="2" t="s">
        <v>188</v>
      </c>
      <c r="FH136" s="2" t="s">
        <v>188</v>
      </c>
      <c r="FJ136" s="2" t="s">
        <v>188</v>
      </c>
      <c r="FK136" s="2" t="s">
        <v>203</v>
      </c>
      <c r="FR136" s="2" t="s">
        <v>1184</v>
      </c>
      <c r="FT136" s="2" t="s">
        <v>219</v>
      </c>
      <c r="FU136" s="2" t="s">
        <v>233</v>
      </c>
      <c r="FV136" s="2" t="s">
        <v>219</v>
      </c>
      <c r="FW136" s="2" t="s">
        <v>233</v>
      </c>
      <c r="FZ136" s="4">
        <v>46041.351851851854</v>
      </c>
    </row>
    <row r="137" spans="1:182">
      <c r="A137" s="2" t="s">
        <v>1185</v>
      </c>
      <c r="D137" s="4">
        <v>46266.708472222221</v>
      </c>
      <c r="E137" s="2" t="s">
        <v>177</v>
      </c>
      <c r="F137" s="2" t="s">
        <v>293</v>
      </c>
      <c r="G137" s="2" t="s">
        <v>179</v>
      </c>
      <c r="H137" s="2" t="s">
        <v>1160</v>
      </c>
      <c r="I137" s="2" t="s">
        <v>1186</v>
      </c>
      <c r="J137" s="2">
        <v>33333</v>
      </c>
      <c r="K137" s="2" t="s">
        <v>1186</v>
      </c>
      <c r="L137" s="2" t="s">
        <v>269</v>
      </c>
      <c r="M137" s="2" t="s">
        <v>183</v>
      </c>
      <c r="N137" s="2">
        <v>1960</v>
      </c>
      <c r="O137" s="2" t="s">
        <v>184</v>
      </c>
      <c r="P137" s="2" t="s">
        <v>185</v>
      </c>
      <c r="Q137" s="2" t="s">
        <v>270</v>
      </c>
      <c r="R137" s="2" t="s">
        <v>188</v>
      </c>
      <c r="S137" s="2">
        <v>2020</v>
      </c>
      <c r="T137" s="2" t="s">
        <v>188</v>
      </c>
      <c r="U137" s="2" t="s">
        <v>188</v>
      </c>
      <c r="Y137" s="2">
        <v>150</v>
      </c>
      <c r="Z137" s="2">
        <v>0.66669999999999996</v>
      </c>
      <c r="AA137" s="2">
        <v>100</v>
      </c>
      <c r="AB137" s="2">
        <v>100</v>
      </c>
      <c r="AC137" s="2">
        <v>50</v>
      </c>
      <c r="AD137" s="2">
        <v>60</v>
      </c>
      <c r="AE137" s="2">
        <v>10</v>
      </c>
      <c r="AF137" s="2" t="s">
        <v>187</v>
      </c>
      <c r="AG137" s="2" t="s">
        <v>187</v>
      </c>
      <c r="AH137" s="2" t="s">
        <v>187</v>
      </c>
      <c r="AI137" s="2" t="s">
        <v>1187</v>
      </c>
      <c r="AJ137" s="2" t="s">
        <v>188</v>
      </c>
      <c r="AK137" s="2" t="s">
        <v>187</v>
      </c>
      <c r="AL137" s="2" t="s">
        <v>188</v>
      </c>
      <c r="AM137" s="2" t="s">
        <v>187</v>
      </c>
      <c r="AN137" s="2" t="s">
        <v>188</v>
      </c>
      <c r="AO137" s="2" t="s">
        <v>188</v>
      </c>
      <c r="AR137" s="2">
        <v>25</v>
      </c>
      <c r="AS137" s="2">
        <v>1</v>
      </c>
      <c r="AT137" s="2">
        <v>0.6</v>
      </c>
      <c r="AU137" s="2" t="s">
        <v>238</v>
      </c>
      <c r="AV137" s="2" t="s">
        <v>238</v>
      </c>
      <c r="AW137" s="2" t="s">
        <v>188</v>
      </c>
      <c r="AZ137" s="2" t="s">
        <v>357</v>
      </c>
      <c r="BB137" s="2" t="s">
        <v>720</v>
      </c>
      <c r="BC137" s="2" t="s">
        <v>192</v>
      </c>
      <c r="BD137" s="2" t="s">
        <v>188</v>
      </c>
      <c r="BE137" s="2" t="s">
        <v>188</v>
      </c>
      <c r="BL137" s="2" t="s">
        <v>240</v>
      </c>
      <c r="BM137" s="2" t="s">
        <v>198</v>
      </c>
      <c r="BN137" s="2" t="s">
        <v>1188</v>
      </c>
      <c r="BO137" s="2" t="s">
        <v>188</v>
      </c>
      <c r="BP137" s="2" t="s">
        <v>342</v>
      </c>
      <c r="BQ137" s="2" t="s">
        <v>309</v>
      </c>
      <c r="BS137" s="2" t="s">
        <v>188</v>
      </c>
      <c r="BT137" s="2" t="s">
        <v>1171</v>
      </c>
      <c r="BV137" s="2" t="s">
        <v>358</v>
      </c>
      <c r="BX137" s="2" t="s">
        <v>188</v>
      </c>
      <c r="BY137" s="2" t="s">
        <v>1189</v>
      </c>
      <c r="BZ137" s="2" t="s">
        <v>203</v>
      </c>
      <c r="CE137" s="2">
        <v>0.6</v>
      </c>
      <c r="CF137" s="2">
        <v>57</v>
      </c>
      <c r="CK137" s="2">
        <v>100</v>
      </c>
      <c r="CO137" s="2">
        <v>100</v>
      </c>
      <c r="CR137" s="2" t="s">
        <v>204</v>
      </c>
      <c r="CT137" s="2" t="s">
        <v>188</v>
      </c>
      <c r="CU137" s="2" t="s">
        <v>205</v>
      </c>
      <c r="CW137" s="2" t="s">
        <v>206</v>
      </c>
      <c r="CY137" s="2" t="s">
        <v>301</v>
      </c>
      <c r="CZ137" s="2" t="s">
        <v>299</v>
      </c>
      <c r="DA137" s="2" t="s">
        <v>299</v>
      </c>
      <c r="DB137" s="2" t="s">
        <v>273</v>
      </c>
      <c r="DC137" s="2" t="s">
        <v>301</v>
      </c>
      <c r="DD137" s="2" t="s">
        <v>301</v>
      </c>
      <c r="DE137" s="2" t="s">
        <v>300</v>
      </c>
      <c r="DF137" s="2" t="s">
        <v>300</v>
      </c>
      <c r="DG137" s="2" t="s">
        <v>301</v>
      </c>
      <c r="DH137" s="2" t="s">
        <v>301</v>
      </c>
      <c r="DI137" s="2" t="s">
        <v>301</v>
      </c>
      <c r="DL137" s="2" t="s">
        <v>188</v>
      </c>
      <c r="DM137" s="2" t="s">
        <v>188</v>
      </c>
      <c r="DP137" s="2" t="s">
        <v>203</v>
      </c>
      <c r="DS137" s="2" t="s">
        <v>203</v>
      </c>
      <c r="DT137" s="2" t="s">
        <v>209</v>
      </c>
      <c r="DU137" s="2" t="s">
        <v>209</v>
      </c>
      <c r="DV137" s="2" t="s">
        <v>209</v>
      </c>
      <c r="DW137" s="2" t="s">
        <v>209</v>
      </c>
      <c r="DX137" s="2" t="s">
        <v>203</v>
      </c>
      <c r="DY137" s="2" t="s">
        <v>203</v>
      </c>
      <c r="DZ137" s="2" t="s">
        <v>203</v>
      </c>
      <c r="EA137" s="2" t="s">
        <v>209</v>
      </c>
      <c r="EB137" s="2" t="s">
        <v>209</v>
      </c>
      <c r="EC137" s="2" t="s">
        <v>203</v>
      </c>
      <c r="EF137" s="2" t="s">
        <v>211</v>
      </c>
      <c r="EJ137" s="2" t="s">
        <v>238</v>
      </c>
      <c r="EK137" s="2" t="s">
        <v>188</v>
      </c>
      <c r="EL137" s="2" t="s">
        <v>188</v>
      </c>
      <c r="EN137" s="2" t="s">
        <v>214</v>
      </c>
      <c r="EP137" s="2" t="s">
        <v>230</v>
      </c>
      <c r="ER137" s="2" t="s">
        <v>188</v>
      </c>
      <c r="ET137" s="2" t="s">
        <v>188</v>
      </c>
      <c r="EV137" s="2" t="s">
        <v>188</v>
      </c>
      <c r="EX137" s="2" t="s">
        <v>188</v>
      </c>
      <c r="FC137" s="2" t="s">
        <v>216</v>
      </c>
      <c r="FD137" s="2" t="s">
        <v>188</v>
      </c>
      <c r="FH137" s="2" t="s">
        <v>188</v>
      </c>
      <c r="FJ137" s="2" t="s">
        <v>188</v>
      </c>
      <c r="FK137" s="2" t="s">
        <v>203</v>
      </c>
      <c r="FN137" s="2" t="s">
        <v>354</v>
      </c>
      <c r="FT137" s="2" t="s">
        <v>233</v>
      </c>
      <c r="FU137" s="2" t="s">
        <v>233</v>
      </c>
      <c r="FV137" s="2" t="s">
        <v>233</v>
      </c>
      <c r="FW137" s="2" t="s">
        <v>233</v>
      </c>
      <c r="FZ137" s="4">
        <v>46038.705150462964</v>
      </c>
    </row>
    <row r="138" spans="1:182">
      <c r="A138" s="2" t="s">
        <v>1190</v>
      </c>
      <c r="D138" s="4">
        <v>46266.713935185187</v>
      </c>
      <c r="E138" s="2" t="s">
        <v>1191</v>
      </c>
      <c r="F138" s="2" t="s">
        <v>425</v>
      </c>
      <c r="G138" s="2" t="s">
        <v>179</v>
      </c>
      <c r="H138" s="2" t="s">
        <v>1160</v>
      </c>
      <c r="I138" s="2" t="s">
        <v>1192</v>
      </c>
      <c r="K138" s="2" t="s">
        <v>1192</v>
      </c>
      <c r="L138" s="2" t="s">
        <v>182</v>
      </c>
      <c r="M138" s="2" t="s">
        <v>183</v>
      </c>
      <c r="N138" s="2">
        <v>1980</v>
      </c>
      <c r="O138" s="2" t="s">
        <v>184</v>
      </c>
      <c r="P138" s="2" t="s">
        <v>185</v>
      </c>
      <c r="Q138" s="2" t="s">
        <v>270</v>
      </c>
      <c r="R138" s="2" t="s">
        <v>188</v>
      </c>
      <c r="S138" s="2">
        <v>17</v>
      </c>
      <c r="T138" s="2" t="s">
        <v>188</v>
      </c>
      <c r="U138" s="2" t="s">
        <v>188</v>
      </c>
      <c r="Y138" s="2">
        <v>200</v>
      </c>
      <c r="Z138" s="2">
        <v>0.7</v>
      </c>
      <c r="AA138" s="2">
        <v>140</v>
      </c>
      <c r="AB138" s="2">
        <v>90</v>
      </c>
      <c r="AC138" s="2">
        <v>65</v>
      </c>
      <c r="AD138" s="2">
        <v>80</v>
      </c>
      <c r="AE138" s="2">
        <v>15</v>
      </c>
      <c r="AF138" s="2" t="s">
        <v>187</v>
      </c>
      <c r="AG138" s="2" t="s">
        <v>188</v>
      </c>
      <c r="AH138" s="2" t="s">
        <v>188</v>
      </c>
      <c r="AJ138" s="2" t="s">
        <v>188</v>
      </c>
      <c r="AK138" s="2" t="s">
        <v>187</v>
      </c>
      <c r="AL138" s="2" t="s">
        <v>188</v>
      </c>
      <c r="AM138" s="2" t="s">
        <v>187</v>
      </c>
      <c r="AN138" s="2" t="s">
        <v>188</v>
      </c>
      <c r="AO138" s="2" t="s">
        <v>188</v>
      </c>
      <c r="AR138" s="2">
        <v>0.4</v>
      </c>
      <c r="AS138" s="2">
        <v>1</v>
      </c>
      <c r="AT138" s="2">
        <v>0.8</v>
      </c>
      <c r="AU138" s="2" t="s">
        <v>203</v>
      </c>
      <c r="AV138" s="2" t="s">
        <v>203</v>
      </c>
      <c r="AW138" s="2" t="s">
        <v>188</v>
      </c>
      <c r="AZ138" s="2" t="s">
        <v>357</v>
      </c>
      <c r="BB138" s="2" t="s">
        <v>260</v>
      </c>
      <c r="BC138" s="2" t="s">
        <v>192</v>
      </c>
      <c r="BD138" s="2" t="s">
        <v>188</v>
      </c>
      <c r="BE138" s="2" t="s">
        <v>188</v>
      </c>
      <c r="BL138" s="2" t="s">
        <v>240</v>
      </c>
      <c r="BO138" s="2" t="s">
        <v>341</v>
      </c>
      <c r="BP138" s="2" t="s">
        <v>342</v>
      </c>
      <c r="BS138" s="2" t="s">
        <v>188</v>
      </c>
      <c r="BT138" s="2" t="s">
        <v>241</v>
      </c>
      <c r="BV138" s="2" t="s">
        <v>202</v>
      </c>
      <c r="BX138" s="2" t="s">
        <v>188</v>
      </c>
      <c r="BZ138" s="2" t="s">
        <v>188</v>
      </c>
      <c r="CE138" s="2">
        <v>0.8</v>
      </c>
      <c r="CF138" s="2">
        <v>80</v>
      </c>
      <c r="CK138" s="2">
        <v>100</v>
      </c>
      <c r="CO138" s="2">
        <v>100</v>
      </c>
      <c r="CR138" s="2" t="s">
        <v>343</v>
      </c>
      <c r="CT138" s="2" t="s">
        <v>188</v>
      </c>
      <c r="CU138" s="2" t="s">
        <v>205</v>
      </c>
      <c r="CW138" s="2" t="s">
        <v>206</v>
      </c>
      <c r="CY138" s="2" t="s">
        <v>300</v>
      </c>
      <c r="CZ138" s="2" t="s">
        <v>300</v>
      </c>
      <c r="DA138" s="2" t="s">
        <v>300</v>
      </c>
      <c r="DB138" s="2" t="s">
        <v>300</v>
      </c>
      <c r="DC138" s="2" t="s">
        <v>430</v>
      </c>
      <c r="DD138" s="2" t="s">
        <v>430</v>
      </c>
      <c r="DE138" s="2" t="s">
        <v>300</v>
      </c>
      <c r="DF138" s="2" t="s">
        <v>430</v>
      </c>
      <c r="DG138" s="2" t="s">
        <v>430</v>
      </c>
      <c r="DH138" s="2" t="s">
        <v>430</v>
      </c>
      <c r="DI138" s="2" t="s">
        <v>430</v>
      </c>
      <c r="DL138" s="2" t="s">
        <v>188</v>
      </c>
      <c r="DM138" s="2" t="s">
        <v>188</v>
      </c>
      <c r="DP138" s="2" t="s">
        <v>203</v>
      </c>
      <c r="DT138" s="2" t="s">
        <v>203</v>
      </c>
      <c r="DU138" s="2" t="s">
        <v>203</v>
      </c>
      <c r="DV138" s="2" t="s">
        <v>203</v>
      </c>
      <c r="DW138" s="2" t="s">
        <v>203</v>
      </c>
      <c r="DX138" s="2" t="s">
        <v>203</v>
      </c>
      <c r="DY138" s="2" t="s">
        <v>203</v>
      </c>
      <c r="DZ138" s="2" t="s">
        <v>203</v>
      </c>
      <c r="EA138" s="2" t="s">
        <v>203</v>
      </c>
      <c r="EB138" s="2" t="s">
        <v>203</v>
      </c>
      <c r="EC138" s="2" t="s">
        <v>203</v>
      </c>
      <c r="EF138" s="2" t="s">
        <v>496</v>
      </c>
      <c r="EG138" s="2" t="s">
        <v>431</v>
      </c>
      <c r="EJ138" s="2" t="s">
        <v>203</v>
      </c>
      <c r="EK138" s="2" t="s">
        <v>188</v>
      </c>
      <c r="EL138" s="2" t="s">
        <v>188</v>
      </c>
      <c r="EN138" s="2" t="s">
        <v>255</v>
      </c>
      <c r="EP138" s="2" t="s">
        <v>230</v>
      </c>
      <c r="ER138" s="2" t="s">
        <v>188</v>
      </c>
      <c r="ET138" s="2" t="s">
        <v>188</v>
      </c>
      <c r="EV138" s="2" t="s">
        <v>188</v>
      </c>
      <c r="EX138" s="2" t="s">
        <v>188</v>
      </c>
      <c r="EZ138" s="2" t="s">
        <v>188</v>
      </c>
      <c r="FC138" s="2" t="s">
        <v>263</v>
      </c>
      <c r="FD138" s="2" t="s">
        <v>188</v>
      </c>
      <c r="FH138" s="2" t="s">
        <v>188</v>
      </c>
      <c r="FJ138" s="2" t="s">
        <v>188</v>
      </c>
      <c r="FK138" s="2" t="s">
        <v>188</v>
      </c>
      <c r="FR138" s="2" t="s">
        <v>433</v>
      </c>
      <c r="FT138" s="2" t="s">
        <v>233</v>
      </c>
      <c r="FU138" s="2" t="s">
        <v>233</v>
      </c>
      <c r="FV138" s="2" t="s">
        <v>233</v>
      </c>
      <c r="FW138" s="2" t="s">
        <v>233</v>
      </c>
      <c r="FZ138" s="4">
        <v>46041.357743055552</v>
      </c>
    </row>
    <row r="139" spans="1:182">
      <c r="A139" s="2" t="s">
        <v>1193</v>
      </c>
      <c r="D139" s="4">
        <v>46266.730127314811</v>
      </c>
      <c r="E139" s="2" t="s">
        <v>177</v>
      </c>
      <c r="F139" s="2" t="s">
        <v>293</v>
      </c>
      <c r="G139" s="2" t="s">
        <v>179</v>
      </c>
      <c r="H139" s="2" t="s">
        <v>1160</v>
      </c>
      <c r="I139" s="2" t="s">
        <v>1194</v>
      </c>
      <c r="J139" s="2">
        <v>377147464</v>
      </c>
      <c r="K139" s="2" t="s">
        <v>1195</v>
      </c>
      <c r="L139" s="2" t="s">
        <v>182</v>
      </c>
      <c r="M139" s="2" t="s">
        <v>183</v>
      </c>
      <c r="N139" s="2">
        <v>2000</v>
      </c>
      <c r="O139" s="2" t="s">
        <v>184</v>
      </c>
      <c r="P139" s="2" t="s">
        <v>185</v>
      </c>
      <c r="Q139" s="2" t="s">
        <v>186</v>
      </c>
      <c r="R139" s="2" t="s">
        <v>188</v>
      </c>
      <c r="S139" s="2">
        <v>2007</v>
      </c>
      <c r="T139" s="2" t="s">
        <v>188</v>
      </c>
      <c r="U139" s="2" t="s">
        <v>188</v>
      </c>
      <c r="Y139" s="2">
        <v>1020</v>
      </c>
      <c r="Z139" s="2">
        <v>1</v>
      </c>
      <c r="AA139" s="2">
        <v>1020</v>
      </c>
      <c r="AB139" s="2">
        <v>980</v>
      </c>
      <c r="AC139" s="2">
        <v>780</v>
      </c>
      <c r="AD139" s="2">
        <v>980</v>
      </c>
      <c r="AE139" s="2">
        <v>200</v>
      </c>
      <c r="AF139" s="2" t="s">
        <v>188</v>
      </c>
      <c r="AG139" s="2" t="s">
        <v>187</v>
      </c>
      <c r="AH139" s="2" t="s">
        <v>187</v>
      </c>
      <c r="AI139" s="2" t="s">
        <v>308</v>
      </c>
      <c r="AJ139" s="2" t="s">
        <v>188</v>
      </c>
      <c r="AK139" s="2" t="s">
        <v>188</v>
      </c>
      <c r="AL139" s="2" t="s">
        <v>188</v>
      </c>
      <c r="AM139" s="2" t="s">
        <v>187</v>
      </c>
      <c r="AN139" s="2" t="s">
        <v>188</v>
      </c>
      <c r="AO139" s="2" t="s">
        <v>188</v>
      </c>
      <c r="AR139" s="2">
        <v>2.5</v>
      </c>
      <c r="AS139" s="2">
        <v>2</v>
      </c>
      <c r="AT139" s="2">
        <v>10</v>
      </c>
      <c r="AU139" s="2" t="s">
        <v>189</v>
      </c>
      <c r="AV139" s="2" t="s">
        <v>189</v>
      </c>
      <c r="AW139" s="2" t="s">
        <v>188</v>
      </c>
      <c r="AZ139" s="2" t="s">
        <v>476</v>
      </c>
      <c r="BB139" s="2" t="s">
        <v>260</v>
      </c>
      <c r="BC139" s="2" t="s">
        <v>253</v>
      </c>
      <c r="BD139" s="2" t="s">
        <v>188</v>
      </c>
      <c r="BE139" s="2" t="s">
        <v>188</v>
      </c>
      <c r="BL139" s="2" t="s">
        <v>197</v>
      </c>
      <c r="BM139" s="2" t="s">
        <v>198</v>
      </c>
      <c r="BN139" s="2" t="s">
        <v>199</v>
      </c>
      <c r="BO139" s="2" t="s">
        <v>188</v>
      </c>
      <c r="BQ139" s="2" t="s">
        <v>227</v>
      </c>
      <c r="BS139" s="2" t="s">
        <v>187</v>
      </c>
      <c r="BT139" s="2" t="s">
        <v>261</v>
      </c>
      <c r="BV139" s="2" t="s">
        <v>587</v>
      </c>
      <c r="BX139" s="2" t="s">
        <v>187</v>
      </c>
      <c r="BY139" s="2" t="s">
        <v>1196</v>
      </c>
      <c r="BZ139" s="2" t="s">
        <v>203</v>
      </c>
      <c r="CE139" s="2">
        <v>10</v>
      </c>
      <c r="CK139" s="2">
        <v>100</v>
      </c>
      <c r="CO139" s="2">
        <v>100</v>
      </c>
      <c r="CR139" s="2" t="s">
        <v>204</v>
      </c>
      <c r="CT139" s="2" t="s">
        <v>188</v>
      </c>
      <c r="CU139" s="2" t="s">
        <v>205</v>
      </c>
      <c r="CW139" s="2" t="s">
        <v>206</v>
      </c>
      <c r="CY139" s="2" t="s">
        <v>207</v>
      </c>
      <c r="CZ139" s="2" t="s">
        <v>207</v>
      </c>
      <c r="DA139" s="2" t="s">
        <v>299</v>
      </c>
      <c r="DB139" s="2" t="s">
        <v>207</v>
      </c>
      <c r="DC139" s="2" t="s">
        <v>208</v>
      </c>
      <c r="DE139" s="2" t="s">
        <v>207</v>
      </c>
      <c r="DF139" s="2" t="s">
        <v>207</v>
      </c>
      <c r="DG139" s="2" t="s">
        <v>207</v>
      </c>
      <c r="DH139" s="2" t="s">
        <v>208</v>
      </c>
      <c r="DI139" s="2" t="s">
        <v>208</v>
      </c>
      <c r="DL139" s="2" t="s">
        <v>187</v>
      </c>
      <c r="DM139" s="2" t="s">
        <v>187</v>
      </c>
      <c r="DN139" s="2" t="s">
        <v>187</v>
      </c>
      <c r="DO139" s="2" t="s">
        <v>187</v>
      </c>
      <c r="DP139" s="2" t="s">
        <v>209</v>
      </c>
      <c r="DQ139" s="2" t="s">
        <v>210</v>
      </c>
      <c r="DT139" s="2" t="s">
        <v>209</v>
      </c>
      <c r="DU139" s="2" t="s">
        <v>209</v>
      </c>
      <c r="DV139" s="2" t="s">
        <v>209</v>
      </c>
      <c r="DW139" s="2" t="s">
        <v>209</v>
      </c>
      <c r="DX139" s="2" t="s">
        <v>209</v>
      </c>
      <c r="DY139" s="2" t="s">
        <v>203</v>
      </c>
      <c r="DZ139" s="2" t="s">
        <v>203</v>
      </c>
      <c r="EA139" s="2" t="s">
        <v>209</v>
      </c>
      <c r="EB139" s="2" t="s">
        <v>209</v>
      </c>
      <c r="EC139" s="2" t="s">
        <v>203</v>
      </c>
      <c r="EF139" s="2" t="s">
        <v>211</v>
      </c>
      <c r="EJ139" s="2" t="s">
        <v>189</v>
      </c>
      <c r="EK139" s="2" t="s">
        <v>187</v>
      </c>
      <c r="EL139" s="2" t="s">
        <v>188</v>
      </c>
      <c r="EN139" s="2" t="s">
        <v>214</v>
      </c>
      <c r="EP139" s="2" t="s">
        <v>230</v>
      </c>
      <c r="ER139" s="2" t="s">
        <v>188</v>
      </c>
      <c r="ET139" s="2" t="s">
        <v>188</v>
      </c>
      <c r="EV139" s="2" t="s">
        <v>187</v>
      </c>
      <c r="EW139" s="2" t="s">
        <v>189</v>
      </c>
      <c r="EX139" s="2" t="s">
        <v>187</v>
      </c>
      <c r="EY139" s="2" t="s">
        <v>189</v>
      </c>
      <c r="FC139" s="2" t="s">
        <v>216</v>
      </c>
      <c r="FD139" s="2" t="s">
        <v>188</v>
      </c>
      <c r="FH139" s="2" t="s">
        <v>188</v>
      </c>
      <c r="FJ139" s="2" t="s">
        <v>188</v>
      </c>
      <c r="FK139" s="2" t="s">
        <v>209</v>
      </c>
      <c r="FL139" s="2" t="s">
        <v>319</v>
      </c>
      <c r="FN139" s="2" t="s">
        <v>304</v>
      </c>
      <c r="FT139" s="2" t="s">
        <v>219</v>
      </c>
      <c r="FU139" s="2" t="s">
        <v>233</v>
      </c>
      <c r="FV139" s="2" t="s">
        <v>233</v>
      </c>
      <c r="FW139" s="2" t="s">
        <v>233</v>
      </c>
      <c r="FZ139" s="4">
        <v>46038.713807870372</v>
      </c>
    </row>
    <row r="140" spans="1:182">
      <c r="A140" s="2" t="s">
        <v>1197</v>
      </c>
      <c r="D140" s="4">
        <v>46266.733101851853</v>
      </c>
      <c r="E140" s="2" t="s">
        <v>177</v>
      </c>
      <c r="F140" s="2" t="s">
        <v>293</v>
      </c>
      <c r="G140" s="2" t="s">
        <v>179</v>
      </c>
      <c r="H140" s="2" t="s">
        <v>1160</v>
      </c>
      <c r="I140" s="2" t="s">
        <v>1198</v>
      </c>
      <c r="J140" s="2">
        <v>383109047</v>
      </c>
      <c r="K140" s="2" t="s">
        <v>1199</v>
      </c>
      <c r="L140" s="2" t="s">
        <v>182</v>
      </c>
      <c r="M140" s="2" t="s">
        <v>223</v>
      </c>
      <c r="N140" s="2">
        <v>1997</v>
      </c>
      <c r="O140" s="2" t="s">
        <v>184</v>
      </c>
      <c r="P140" s="2" t="s">
        <v>225</v>
      </c>
      <c r="Q140" s="2" t="s">
        <v>186</v>
      </c>
      <c r="R140" s="2" t="s">
        <v>188</v>
      </c>
      <c r="S140" s="2">
        <v>2019</v>
      </c>
      <c r="T140" s="2" t="s">
        <v>188</v>
      </c>
      <c r="U140" s="2" t="s">
        <v>188</v>
      </c>
      <c r="Y140" s="2">
        <v>530</v>
      </c>
      <c r="Z140" s="2">
        <v>0.94340000000000002</v>
      </c>
      <c r="AA140" s="2">
        <v>500</v>
      </c>
      <c r="AB140" s="2">
        <v>500</v>
      </c>
      <c r="AC140" s="2">
        <v>400</v>
      </c>
      <c r="AD140" s="2">
        <v>450</v>
      </c>
      <c r="AE140" s="2">
        <v>50</v>
      </c>
      <c r="AF140" s="2" t="s">
        <v>187</v>
      </c>
      <c r="AG140" s="2" t="s">
        <v>187</v>
      </c>
      <c r="AH140" s="2" t="s">
        <v>187</v>
      </c>
      <c r="AI140" s="2" t="s">
        <v>1200</v>
      </c>
      <c r="AJ140" s="2" t="s">
        <v>188</v>
      </c>
      <c r="AK140" s="2" t="s">
        <v>188</v>
      </c>
      <c r="AL140" s="2" t="s">
        <v>188</v>
      </c>
      <c r="AM140" s="2" t="s">
        <v>187</v>
      </c>
      <c r="AN140" s="2" t="s">
        <v>188</v>
      </c>
      <c r="AO140" s="2" t="s">
        <v>188</v>
      </c>
      <c r="AR140" s="2">
        <v>2</v>
      </c>
      <c r="AS140" s="2">
        <v>2</v>
      </c>
      <c r="AT140" s="2">
        <v>4.3</v>
      </c>
      <c r="AU140" s="2" t="s">
        <v>189</v>
      </c>
      <c r="AV140" s="2" t="s">
        <v>189</v>
      </c>
      <c r="AW140" s="2" t="s">
        <v>188</v>
      </c>
      <c r="AZ140" s="2" t="s">
        <v>357</v>
      </c>
      <c r="BB140" s="2" t="s">
        <v>260</v>
      </c>
      <c r="BC140" s="2" t="s">
        <v>253</v>
      </c>
      <c r="BD140" s="2" t="s">
        <v>187</v>
      </c>
      <c r="BE140" s="2" t="s">
        <v>187</v>
      </c>
      <c r="BF140" s="2" t="s">
        <v>193</v>
      </c>
      <c r="BG140" s="2" t="s">
        <v>194</v>
      </c>
      <c r="BH140" s="2" t="s">
        <v>195</v>
      </c>
      <c r="BI140" s="2" t="s">
        <v>196</v>
      </c>
      <c r="BL140" s="2" t="s">
        <v>197</v>
      </c>
      <c r="BM140" s="2" t="s">
        <v>198</v>
      </c>
      <c r="BN140" s="2" t="s">
        <v>199</v>
      </c>
      <c r="BO140" s="2" t="s">
        <v>188</v>
      </c>
      <c r="BQ140" s="2" t="s">
        <v>227</v>
      </c>
      <c r="BS140" s="2" t="s">
        <v>187</v>
      </c>
      <c r="BT140" s="2" t="s">
        <v>261</v>
      </c>
      <c r="BV140" s="2" t="s">
        <v>325</v>
      </c>
      <c r="BX140" s="2" t="s">
        <v>187</v>
      </c>
      <c r="BY140" s="2" t="s">
        <v>310</v>
      </c>
      <c r="BZ140" s="2" t="s">
        <v>203</v>
      </c>
      <c r="CE140" s="2">
        <v>4.3</v>
      </c>
      <c r="CF140" s="2">
        <v>425</v>
      </c>
      <c r="CK140" s="2">
        <v>100</v>
      </c>
      <c r="CO140" s="2">
        <v>100</v>
      </c>
      <c r="CR140" s="2" t="s">
        <v>204</v>
      </c>
      <c r="CT140" s="2" t="s">
        <v>188</v>
      </c>
      <c r="CU140" s="2" t="s">
        <v>205</v>
      </c>
      <c r="CW140" s="2" t="s">
        <v>206</v>
      </c>
      <c r="CY140" s="2" t="s">
        <v>273</v>
      </c>
      <c r="CZ140" s="2" t="s">
        <v>273</v>
      </c>
      <c r="DA140" s="2" t="s">
        <v>208</v>
      </c>
      <c r="DB140" s="2" t="s">
        <v>208</v>
      </c>
      <c r="DC140" s="2" t="s">
        <v>208</v>
      </c>
      <c r="DD140" s="2" t="s">
        <v>301</v>
      </c>
      <c r="DE140" s="2" t="s">
        <v>208</v>
      </c>
      <c r="DF140" s="2" t="s">
        <v>207</v>
      </c>
      <c r="DG140" s="2" t="s">
        <v>207</v>
      </c>
      <c r="DH140" s="2" t="s">
        <v>208</v>
      </c>
      <c r="DI140" s="2" t="s">
        <v>208</v>
      </c>
      <c r="DL140" s="2" t="s">
        <v>187</v>
      </c>
      <c r="DM140" s="2" t="s">
        <v>187</v>
      </c>
      <c r="DN140" s="2" t="s">
        <v>187</v>
      </c>
      <c r="DO140" s="2" t="s">
        <v>187</v>
      </c>
      <c r="DP140" s="2" t="s">
        <v>203</v>
      </c>
      <c r="DS140" s="2" t="s">
        <v>209</v>
      </c>
      <c r="DT140" s="2" t="s">
        <v>209</v>
      </c>
      <c r="DU140" s="2" t="s">
        <v>209</v>
      </c>
      <c r="DV140" s="2" t="s">
        <v>209</v>
      </c>
      <c r="DW140" s="2" t="s">
        <v>209</v>
      </c>
      <c r="DX140" s="2" t="s">
        <v>209</v>
      </c>
      <c r="DY140" s="2" t="s">
        <v>203</v>
      </c>
      <c r="DZ140" s="2" t="s">
        <v>203</v>
      </c>
      <c r="EA140" s="2" t="s">
        <v>209</v>
      </c>
      <c r="EB140" s="2" t="s">
        <v>203</v>
      </c>
      <c r="EC140" s="2" t="s">
        <v>203</v>
      </c>
      <c r="EF140" s="2" t="s">
        <v>211</v>
      </c>
      <c r="EJ140" s="2" t="s">
        <v>238</v>
      </c>
      <c r="EK140" s="2" t="s">
        <v>187</v>
      </c>
      <c r="EL140" s="2" t="s">
        <v>188</v>
      </c>
      <c r="EN140" s="2" t="s">
        <v>214</v>
      </c>
      <c r="EP140" s="2" t="s">
        <v>230</v>
      </c>
      <c r="ER140" s="2" t="s">
        <v>187</v>
      </c>
      <c r="ET140" s="2" t="s">
        <v>188</v>
      </c>
      <c r="EV140" s="2" t="s">
        <v>187</v>
      </c>
      <c r="EW140" s="2" t="s">
        <v>189</v>
      </c>
      <c r="EX140" s="2" t="s">
        <v>188</v>
      </c>
      <c r="FC140" s="2" t="s">
        <v>216</v>
      </c>
      <c r="FH140" s="2" t="s">
        <v>188</v>
      </c>
      <c r="FJ140" s="2" t="s">
        <v>187</v>
      </c>
      <c r="FK140" s="2" t="s">
        <v>203</v>
      </c>
      <c r="FN140" s="2" t="s">
        <v>488</v>
      </c>
      <c r="FT140" s="2" t="s">
        <v>219</v>
      </c>
      <c r="FU140" s="2" t="s">
        <v>233</v>
      </c>
      <c r="FV140" s="2" t="s">
        <v>233</v>
      </c>
      <c r="FW140" s="2" t="s">
        <v>233</v>
      </c>
      <c r="FZ140" s="4">
        <v>46038.722453703704</v>
      </c>
    </row>
    <row r="141" spans="1:182">
      <c r="A141" s="2" t="s">
        <v>1201</v>
      </c>
      <c r="D141" s="4">
        <v>46266.738912037035</v>
      </c>
      <c r="E141" s="2" t="s">
        <v>1202</v>
      </c>
      <c r="F141" s="2" t="s">
        <v>425</v>
      </c>
      <c r="G141" s="2" t="s">
        <v>179</v>
      </c>
      <c r="H141" s="2" t="s">
        <v>1160</v>
      </c>
      <c r="I141" s="2" t="s">
        <v>1203</v>
      </c>
      <c r="J141" s="2">
        <v>354105412</v>
      </c>
      <c r="K141" s="2" t="s">
        <v>1203</v>
      </c>
      <c r="L141" s="2" t="s">
        <v>182</v>
      </c>
      <c r="M141" s="2" t="s">
        <v>183</v>
      </c>
      <c r="N141" s="2">
        <v>1984</v>
      </c>
      <c r="O141" s="2" t="s">
        <v>184</v>
      </c>
      <c r="P141" s="2" t="s">
        <v>185</v>
      </c>
      <c r="Q141" s="2" t="s">
        <v>186</v>
      </c>
      <c r="R141" s="2" t="s">
        <v>188</v>
      </c>
      <c r="S141" s="2">
        <v>13</v>
      </c>
      <c r="T141" s="2" t="s">
        <v>188</v>
      </c>
      <c r="U141" s="2" t="s">
        <v>188</v>
      </c>
      <c r="Y141" s="2">
        <v>365</v>
      </c>
      <c r="Z141" s="2">
        <v>0.87670000000000003</v>
      </c>
      <c r="AA141" s="2">
        <v>320</v>
      </c>
      <c r="AB141" s="2">
        <v>300</v>
      </c>
      <c r="AC141" s="2">
        <v>290</v>
      </c>
      <c r="AD141" s="2">
        <v>380</v>
      </c>
      <c r="AE141" s="2">
        <v>90</v>
      </c>
      <c r="AF141" s="2" t="s">
        <v>187</v>
      </c>
      <c r="AG141" s="2" t="s">
        <v>188</v>
      </c>
      <c r="AH141" s="2" t="s">
        <v>188</v>
      </c>
      <c r="AJ141" s="2" t="s">
        <v>188</v>
      </c>
      <c r="AK141" s="2" t="s">
        <v>187</v>
      </c>
      <c r="AL141" s="2" t="s">
        <v>187</v>
      </c>
      <c r="AM141" s="2" t="s">
        <v>187</v>
      </c>
      <c r="AN141" s="2" t="s">
        <v>188</v>
      </c>
      <c r="AO141" s="2" t="s">
        <v>188</v>
      </c>
      <c r="AR141" s="2">
        <v>1.35</v>
      </c>
      <c r="AS141" s="2">
        <v>5</v>
      </c>
      <c r="AT141" s="2">
        <v>3.8</v>
      </c>
      <c r="AU141" s="2" t="s">
        <v>238</v>
      </c>
      <c r="AV141" s="2" t="s">
        <v>238</v>
      </c>
      <c r="AW141" s="2" t="s">
        <v>188</v>
      </c>
      <c r="AZ141" s="2" t="s">
        <v>476</v>
      </c>
      <c r="BB141" s="2" t="s">
        <v>332</v>
      </c>
      <c r="BC141" s="2" t="s">
        <v>296</v>
      </c>
      <c r="BD141" s="2" t="s">
        <v>187</v>
      </c>
      <c r="BE141" s="2" t="s">
        <v>187</v>
      </c>
      <c r="BF141" s="2" t="s">
        <v>193</v>
      </c>
      <c r="BG141" s="2" t="s">
        <v>194</v>
      </c>
      <c r="BH141" s="2" t="s">
        <v>297</v>
      </c>
      <c r="BI141" s="2" t="s">
        <v>333</v>
      </c>
      <c r="BL141" s="2" t="s">
        <v>240</v>
      </c>
      <c r="BO141" s="2" t="s">
        <v>188</v>
      </c>
      <c r="BQ141" s="2" t="s">
        <v>227</v>
      </c>
      <c r="BS141" s="2" t="s">
        <v>187</v>
      </c>
      <c r="BT141" s="2" t="s">
        <v>261</v>
      </c>
      <c r="BV141" s="2" t="s">
        <v>248</v>
      </c>
      <c r="BX141" s="2" t="s">
        <v>188</v>
      </c>
      <c r="BZ141" s="2" t="s">
        <v>188</v>
      </c>
      <c r="CE141" s="2">
        <v>3.8</v>
      </c>
      <c r="CF141" s="2">
        <v>380</v>
      </c>
      <c r="CK141" s="2">
        <v>100</v>
      </c>
      <c r="CO141" s="2">
        <v>100</v>
      </c>
      <c r="CR141" s="2" t="s">
        <v>204</v>
      </c>
      <c r="CT141" s="2" t="s">
        <v>188</v>
      </c>
      <c r="CU141" s="2" t="s">
        <v>205</v>
      </c>
      <c r="CW141" s="2" t="s">
        <v>206</v>
      </c>
      <c r="CY141" s="2" t="s">
        <v>300</v>
      </c>
      <c r="CZ141" s="2" t="s">
        <v>300</v>
      </c>
      <c r="DA141" s="2" t="s">
        <v>300</v>
      </c>
      <c r="DB141" s="2" t="s">
        <v>430</v>
      </c>
      <c r="DC141" s="2" t="s">
        <v>430</v>
      </c>
      <c r="DD141" s="2" t="s">
        <v>430</v>
      </c>
      <c r="DE141" s="2" t="s">
        <v>430</v>
      </c>
      <c r="DF141" s="2" t="s">
        <v>430</v>
      </c>
      <c r="DG141" s="2" t="s">
        <v>430</v>
      </c>
      <c r="DH141" s="2" t="s">
        <v>430</v>
      </c>
      <c r="DI141" s="2" t="s">
        <v>430</v>
      </c>
      <c r="DL141" s="2" t="s">
        <v>188</v>
      </c>
      <c r="DM141" s="2" t="s">
        <v>188</v>
      </c>
      <c r="DP141" s="2" t="s">
        <v>203</v>
      </c>
      <c r="DT141" s="2" t="s">
        <v>203</v>
      </c>
      <c r="DU141" s="2" t="s">
        <v>203</v>
      </c>
      <c r="DV141" s="2" t="s">
        <v>203</v>
      </c>
      <c r="DW141" s="2" t="s">
        <v>203</v>
      </c>
      <c r="DX141" s="2" t="s">
        <v>203</v>
      </c>
      <c r="DY141" s="2" t="s">
        <v>203</v>
      </c>
      <c r="DZ141" s="2" t="s">
        <v>203</v>
      </c>
      <c r="EA141" s="2" t="s">
        <v>203</v>
      </c>
      <c r="EB141" s="2" t="s">
        <v>203</v>
      </c>
      <c r="EC141" s="2" t="s">
        <v>203</v>
      </c>
      <c r="EF141" s="2" t="s">
        <v>302</v>
      </c>
      <c r="EG141" s="2" t="s">
        <v>1060</v>
      </c>
      <c r="EJ141" s="2" t="s">
        <v>203</v>
      </c>
      <c r="EK141" s="2" t="s">
        <v>188</v>
      </c>
      <c r="EL141" s="2" t="s">
        <v>188</v>
      </c>
      <c r="EN141" s="2" t="s">
        <v>255</v>
      </c>
      <c r="EP141" s="2" t="s">
        <v>230</v>
      </c>
      <c r="ER141" s="2" t="s">
        <v>188</v>
      </c>
      <c r="ET141" s="2" t="s">
        <v>188</v>
      </c>
      <c r="EV141" s="2" t="s">
        <v>188</v>
      </c>
      <c r="EX141" s="2" t="s">
        <v>188</v>
      </c>
      <c r="EZ141" s="2" t="s">
        <v>188</v>
      </c>
      <c r="FC141" s="2" t="s">
        <v>263</v>
      </c>
      <c r="FD141" s="2" t="s">
        <v>188</v>
      </c>
      <c r="FH141" s="2" t="s">
        <v>188</v>
      </c>
      <c r="FJ141" s="2" t="s">
        <v>188</v>
      </c>
      <c r="FK141" s="2" t="s">
        <v>188</v>
      </c>
      <c r="FR141" s="2" t="s">
        <v>1204</v>
      </c>
      <c r="FT141" s="2" t="s">
        <v>219</v>
      </c>
      <c r="FU141" s="2" t="s">
        <v>219</v>
      </c>
      <c r="FV141" s="2" t="s">
        <v>219</v>
      </c>
      <c r="FW141" s="2" t="s">
        <v>219</v>
      </c>
      <c r="FZ141" s="4">
        <v>46041.371388888889</v>
      </c>
    </row>
    <row r="142" spans="1:182">
      <c r="A142" s="2" t="s">
        <v>1205</v>
      </c>
      <c r="D142" s="4">
        <v>46296.375740740739</v>
      </c>
      <c r="E142" s="2" t="s">
        <v>177</v>
      </c>
      <c r="F142" s="2" t="s">
        <v>178</v>
      </c>
      <c r="G142" s="2" t="s">
        <v>1206</v>
      </c>
      <c r="H142" s="2" t="s">
        <v>1207</v>
      </c>
      <c r="I142" s="2" t="s">
        <v>1208</v>
      </c>
      <c r="J142" s="2">
        <v>357370052</v>
      </c>
      <c r="K142" s="2" t="s">
        <v>1209</v>
      </c>
      <c r="L142" s="2" t="s">
        <v>182</v>
      </c>
      <c r="M142" s="2" t="s">
        <v>223</v>
      </c>
      <c r="N142" s="2">
        <v>1986</v>
      </c>
      <c r="O142" s="2" t="s">
        <v>184</v>
      </c>
      <c r="P142" s="2" t="s">
        <v>225</v>
      </c>
      <c r="Q142" s="2" t="s">
        <v>186</v>
      </c>
      <c r="R142" s="2" t="s">
        <v>188</v>
      </c>
      <c r="S142" s="2">
        <v>17</v>
      </c>
      <c r="T142" s="2" t="s">
        <v>188</v>
      </c>
      <c r="U142" s="2" t="s">
        <v>188</v>
      </c>
      <c r="Y142" s="2">
        <v>200</v>
      </c>
      <c r="Z142" s="2">
        <v>1</v>
      </c>
      <c r="AA142" s="2">
        <v>200</v>
      </c>
      <c r="AB142" s="2">
        <v>200</v>
      </c>
      <c r="AC142" s="2">
        <v>200</v>
      </c>
      <c r="AD142" s="2">
        <v>270</v>
      </c>
      <c r="AE142" s="2">
        <v>70</v>
      </c>
      <c r="AF142" s="2" t="s">
        <v>187</v>
      </c>
      <c r="AG142" s="2" t="s">
        <v>188</v>
      </c>
      <c r="AH142" s="2" t="s">
        <v>188</v>
      </c>
      <c r="AJ142" s="2" t="s">
        <v>188</v>
      </c>
      <c r="AK142" s="2" t="s">
        <v>188</v>
      </c>
      <c r="AL142" s="2" t="s">
        <v>188</v>
      </c>
      <c r="AM142" s="2" t="s">
        <v>188</v>
      </c>
      <c r="AN142" s="2" t="s">
        <v>188</v>
      </c>
      <c r="AO142" s="2" t="s">
        <v>188</v>
      </c>
      <c r="AR142" s="2">
        <v>4.5999999999999996</v>
      </c>
      <c r="AS142" s="2">
        <v>3</v>
      </c>
      <c r="AT142" s="2">
        <v>2.7</v>
      </c>
      <c r="AU142" s="2" t="s">
        <v>238</v>
      </c>
      <c r="AV142" s="2" t="s">
        <v>238</v>
      </c>
      <c r="AW142" s="2" t="s">
        <v>188</v>
      </c>
      <c r="AZ142" s="2" t="s">
        <v>380</v>
      </c>
      <c r="BB142" s="2" t="s">
        <v>191</v>
      </c>
      <c r="BC142" s="2" t="s">
        <v>296</v>
      </c>
      <c r="BD142" s="2" t="s">
        <v>187</v>
      </c>
      <c r="BE142" s="2" t="s">
        <v>187</v>
      </c>
      <c r="BF142" s="2" t="s">
        <v>193</v>
      </c>
      <c r="BG142" s="2" t="s">
        <v>279</v>
      </c>
      <c r="BH142" s="2" t="s">
        <v>297</v>
      </c>
      <c r="BI142" s="2" t="s">
        <v>196</v>
      </c>
      <c r="BL142" s="2" t="s">
        <v>197</v>
      </c>
      <c r="BM142" s="2" t="s">
        <v>198</v>
      </c>
      <c r="BN142" s="2" t="s">
        <v>199</v>
      </c>
      <c r="BO142" s="2" t="s">
        <v>188</v>
      </c>
      <c r="BQ142" s="2" t="s">
        <v>227</v>
      </c>
      <c r="BS142" s="2" t="s">
        <v>187</v>
      </c>
      <c r="BT142" s="2" t="s">
        <v>201</v>
      </c>
      <c r="BV142" s="2" t="s">
        <v>228</v>
      </c>
      <c r="BX142" s="2" t="s">
        <v>188</v>
      </c>
      <c r="BZ142" s="2" t="s">
        <v>188</v>
      </c>
      <c r="CE142" s="2">
        <v>2.7</v>
      </c>
      <c r="CF142" s="2">
        <v>270</v>
      </c>
      <c r="CK142" s="2">
        <v>100</v>
      </c>
      <c r="CO142" s="2">
        <v>100</v>
      </c>
      <c r="CR142" s="2" t="s">
        <v>229</v>
      </c>
      <c r="CT142" s="2" t="s">
        <v>188</v>
      </c>
      <c r="CU142" s="2" t="s">
        <v>205</v>
      </c>
      <c r="CW142" s="2" t="s">
        <v>206</v>
      </c>
      <c r="CY142" s="2" t="s">
        <v>207</v>
      </c>
      <c r="CZ142" s="2" t="s">
        <v>207</v>
      </c>
      <c r="DA142" s="2" t="s">
        <v>208</v>
      </c>
      <c r="DB142" s="2" t="s">
        <v>208</v>
      </c>
      <c r="DC142" s="2" t="s">
        <v>208</v>
      </c>
      <c r="DD142" s="2" t="s">
        <v>208</v>
      </c>
      <c r="DE142" s="2" t="s">
        <v>208</v>
      </c>
      <c r="DF142" s="2" t="s">
        <v>208</v>
      </c>
      <c r="DG142" s="2" t="s">
        <v>208</v>
      </c>
      <c r="DH142" s="2" t="s">
        <v>208</v>
      </c>
      <c r="DI142" s="2" t="s">
        <v>208</v>
      </c>
      <c r="DL142" s="2" t="s">
        <v>187</v>
      </c>
      <c r="DM142" s="2" t="s">
        <v>187</v>
      </c>
      <c r="DN142" s="2" t="s">
        <v>187</v>
      </c>
      <c r="DO142" s="2" t="s">
        <v>187</v>
      </c>
      <c r="DP142" s="2" t="s">
        <v>209</v>
      </c>
      <c r="DQ142" s="2" t="s">
        <v>210</v>
      </c>
      <c r="DT142" s="2" t="s">
        <v>209</v>
      </c>
      <c r="DU142" s="2" t="s">
        <v>209</v>
      </c>
      <c r="DV142" s="2" t="s">
        <v>209</v>
      </c>
      <c r="DW142" s="2" t="s">
        <v>209</v>
      </c>
      <c r="DX142" s="2" t="s">
        <v>209</v>
      </c>
      <c r="DY142" s="2" t="s">
        <v>209</v>
      </c>
      <c r="DZ142" s="2" t="s">
        <v>209</v>
      </c>
      <c r="EA142" s="2" t="s">
        <v>209</v>
      </c>
      <c r="EB142" s="2" t="s">
        <v>209</v>
      </c>
      <c r="EF142" s="2" t="s">
        <v>211</v>
      </c>
      <c r="EJ142" s="2" t="s">
        <v>189</v>
      </c>
      <c r="EK142" s="2" t="s">
        <v>187</v>
      </c>
      <c r="EL142" s="2" t="s">
        <v>188</v>
      </c>
      <c r="EN142" s="2" t="s">
        <v>214</v>
      </c>
      <c r="EP142" s="2" t="s">
        <v>230</v>
      </c>
      <c r="ER142" s="2" t="s">
        <v>187</v>
      </c>
      <c r="ET142" s="2" t="s">
        <v>188</v>
      </c>
      <c r="EV142" s="2" t="s">
        <v>187</v>
      </c>
      <c r="EW142" s="2" t="s">
        <v>1183</v>
      </c>
      <c r="EX142" s="2" t="s">
        <v>188</v>
      </c>
      <c r="EZ142" s="2" t="s">
        <v>188</v>
      </c>
      <c r="FC142" s="2" t="s">
        <v>216</v>
      </c>
      <c r="FD142" s="2" t="s">
        <v>188</v>
      </c>
      <c r="FH142" s="2" t="s">
        <v>188</v>
      </c>
      <c r="FJ142" s="2" t="s">
        <v>187</v>
      </c>
      <c r="FK142" s="2" t="s">
        <v>209</v>
      </c>
      <c r="FL142" s="2" t="s">
        <v>616</v>
      </c>
      <c r="FN142" s="2" t="s">
        <v>488</v>
      </c>
      <c r="FT142" s="2" t="s">
        <v>219</v>
      </c>
      <c r="FU142" s="2" t="s">
        <v>219</v>
      </c>
      <c r="FV142" s="2" t="s">
        <v>219</v>
      </c>
      <c r="FW142" s="2" t="s">
        <v>219</v>
      </c>
      <c r="FZ142" s="4">
        <v>46040.651342592595</v>
      </c>
    </row>
    <row r="143" spans="1:182">
      <c r="A143" s="2" t="s">
        <v>1210</v>
      </c>
      <c r="D143" s="4">
        <v>46296.389618055553</v>
      </c>
      <c r="E143" s="2" t="s">
        <v>1211</v>
      </c>
      <c r="F143" s="2" t="s">
        <v>590</v>
      </c>
      <c r="G143" s="2" t="s">
        <v>1206</v>
      </c>
      <c r="H143" s="2" t="s">
        <v>1212</v>
      </c>
      <c r="I143" s="2" t="s">
        <v>1213</v>
      </c>
      <c r="J143" s="2">
        <v>347718573</v>
      </c>
      <c r="K143" s="2" t="s">
        <v>1213</v>
      </c>
      <c r="L143" s="2" t="s">
        <v>182</v>
      </c>
      <c r="M143" s="2" t="s">
        <v>223</v>
      </c>
      <c r="N143" s="2">
        <v>1990</v>
      </c>
      <c r="O143" s="2" t="s">
        <v>184</v>
      </c>
      <c r="P143" s="2" t="s">
        <v>185</v>
      </c>
      <c r="Q143" s="2" t="s">
        <v>270</v>
      </c>
      <c r="R143" s="2" t="s">
        <v>188</v>
      </c>
      <c r="S143" s="2">
        <v>25</v>
      </c>
      <c r="T143" s="2" t="s">
        <v>188</v>
      </c>
      <c r="U143" s="2" t="s">
        <v>188</v>
      </c>
      <c r="Y143" s="2">
        <v>53</v>
      </c>
      <c r="Z143" s="2">
        <v>1</v>
      </c>
      <c r="AA143" s="2">
        <v>53</v>
      </c>
      <c r="AB143" s="2">
        <v>53</v>
      </c>
      <c r="AC143" s="2">
        <v>53</v>
      </c>
      <c r="AD143" s="2">
        <v>60</v>
      </c>
      <c r="AE143" s="2">
        <v>7</v>
      </c>
      <c r="AF143" s="2" t="s">
        <v>188</v>
      </c>
      <c r="AG143" s="2" t="s">
        <v>188</v>
      </c>
      <c r="AH143" s="2" t="s">
        <v>188</v>
      </c>
      <c r="AJ143" s="2" t="s">
        <v>188</v>
      </c>
      <c r="AK143" s="2" t="s">
        <v>188</v>
      </c>
      <c r="AL143" s="2" t="s">
        <v>188</v>
      </c>
      <c r="AM143" s="2" t="s">
        <v>188</v>
      </c>
      <c r="AN143" s="2" t="s">
        <v>188</v>
      </c>
      <c r="AO143" s="2" t="s">
        <v>188</v>
      </c>
      <c r="AR143" s="2">
        <v>0.3</v>
      </c>
      <c r="AS143" s="2">
        <v>1</v>
      </c>
      <c r="AT143" s="2">
        <v>0.6</v>
      </c>
      <c r="AU143" s="2" t="s">
        <v>203</v>
      </c>
      <c r="AV143" s="2" t="s">
        <v>203</v>
      </c>
      <c r="AW143" s="2" t="s">
        <v>188</v>
      </c>
      <c r="AZ143" s="2" t="s">
        <v>190</v>
      </c>
      <c r="BB143" s="2" t="s">
        <v>260</v>
      </c>
      <c r="BC143" s="2" t="s">
        <v>296</v>
      </c>
      <c r="BD143" s="2" t="s">
        <v>187</v>
      </c>
      <c r="BE143" s="2" t="s">
        <v>187</v>
      </c>
      <c r="BF143" s="2" t="s">
        <v>193</v>
      </c>
      <c r="BG143" s="2" t="s">
        <v>279</v>
      </c>
      <c r="BH143" s="2" t="s">
        <v>195</v>
      </c>
      <c r="BI143" s="2" t="s">
        <v>196</v>
      </c>
      <c r="BL143" s="2" t="s">
        <v>240</v>
      </c>
      <c r="BO143" s="2" t="s">
        <v>188</v>
      </c>
      <c r="BQ143" s="2" t="s">
        <v>227</v>
      </c>
      <c r="BS143" s="2" t="s">
        <v>187</v>
      </c>
      <c r="BT143" s="2" t="s">
        <v>594</v>
      </c>
      <c r="BV143" s="2" t="s">
        <v>567</v>
      </c>
      <c r="BX143" s="2" t="s">
        <v>187</v>
      </c>
      <c r="BY143" s="2" t="s">
        <v>1214</v>
      </c>
      <c r="BZ143" s="2" t="s">
        <v>188</v>
      </c>
      <c r="CE143" s="2">
        <v>0.6</v>
      </c>
      <c r="CF143" s="2">
        <v>60</v>
      </c>
      <c r="CK143" s="2">
        <v>100</v>
      </c>
      <c r="CO143" s="2">
        <v>100</v>
      </c>
      <c r="CR143" s="2" t="s">
        <v>204</v>
      </c>
      <c r="CT143" s="2" t="s">
        <v>188</v>
      </c>
      <c r="CU143" s="2" t="s">
        <v>205</v>
      </c>
      <c r="CW143" s="2" t="s">
        <v>206</v>
      </c>
      <c r="CY143" s="2" t="s">
        <v>512</v>
      </c>
      <c r="CZ143" s="2" t="s">
        <v>300</v>
      </c>
      <c r="DA143" s="2" t="s">
        <v>300</v>
      </c>
      <c r="DB143" s="2" t="s">
        <v>988</v>
      </c>
      <c r="DC143" s="2" t="s">
        <v>988</v>
      </c>
      <c r="DD143" s="2" t="s">
        <v>300</v>
      </c>
      <c r="DE143" s="2" t="s">
        <v>300</v>
      </c>
      <c r="DF143" s="2" t="s">
        <v>300</v>
      </c>
      <c r="DG143" s="2" t="s">
        <v>988</v>
      </c>
      <c r="DH143" s="2" t="s">
        <v>988</v>
      </c>
      <c r="DI143" s="2" t="s">
        <v>988</v>
      </c>
      <c r="DL143" s="2" t="s">
        <v>188</v>
      </c>
      <c r="DM143" s="2" t="s">
        <v>188</v>
      </c>
      <c r="DP143" s="2" t="s">
        <v>203</v>
      </c>
      <c r="DT143" s="2" t="s">
        <v>203</v>
      </c>
      <c r="DU143" s="2" t="s">
        <v>203</v>
      </c>
      <c r="DV143" s="2" t="s">
        <v>203</v>
      </c>
      <c r="DW143" s="2" t="s">
        <v>203</v>
      </c>
      <c r="DX143" s="2" t="s">
        <v>203</v>
      </c>
      <c r="DY143" s="2" t="s">
        <v>203</v>
      </c>
      <c r="DZ143" s="2" t="s">
        <v>203</v>
      </c>
      <c r="EA143" s="2" t="s">
        <v>203</v>
      </c>
      <c r="EB143" s="2" t="s">
        <v>203</v>
      </c>
      <c r="EC143" s="2" t="s">
        <v>203</v>
      </c>
      <c r="EF143" s="2" t="s">
        <v>189</v>
      </c>
      <c r="EG143" s="2" t="s">
        <v>1215</v>
      </c>
      <c r="EJ143" s="2" t="s">
        <v>203</v>
      </c>
      <c r="EK143" s="2" t="s">
        <v>188</v>
      </c>
      <c r="EL143" s="2" t="s">
        <v>188</v>
      </c>
      <c r="EN143" s="2" t="s">
        <v>255</v>
      </c>
      <c r="EP143" s="2" t="s">
        <v>230</v>
      </c>
      <c r="ER143" s="2" t="s">
        <v>188</v>
      </c>
      <c r="ET143" s="2" t="s">
        <v>188</v>
      </c>
      <c r="EV143" s="2" t="s">
        <v>188</v>
      </c>
      <c r="EX143" s="2" t="s">
        <v>188</v>
      </c>
      <c r="EZ143" s="2" t="s">
        <v>188</v>
      </c>
      <c r="FC143" s="2" t="s">
        <v>263</v>
      </c>
      <c r="FD143" s="2" t="s">
        <v>188</v>
      </c>
      <c r="FH143" s="2" t="s">
        <v>188</v>
      </c>
      <c r="FJ143" s="2" t="s">
        <v>188</v>
      </c>
      <c r="FK143" s="2" t="s">
        <v>188</v>
      </c>
      <c r="FN143" s="2" t="s">
        <v>432</v>
      </c>
      <c r="FR143" s="2" t="s">
        <v>1216</v>
      </c>
      <c r="FT143" s="2" t="s">
        <v>490</v>
      </c>
      <c r="FU143" s="2" t="s">
        <v>233</v>
      </c>
      <c r="FV143" s="2" t="s">
        <v>219</v>
      </c>
      <c r="FW143" s="2" t="s">
        <v>233</v>
      </c>
      <c r="FZ143" s="4">
        <v>46040.450370370374</v>
      </c>
    </row>
    <row r="144" spans="1:182">
      <c r="A144" s="2" t="s">
        <v>1217</v>
      </c>
      <c r="D144" s="4">
        <v>46296.408229166664</v>
      </c>
      <c r="E144" s="2" t="s">
        <v>1218</v>
      </c>
      <c r="F144" s="2" t="s">
        <v>590</v>
      </c>
      <c r="G144" s="2" t="s">
        <v>1206</v>
      </c>
      <c r="H144" s="2" t="s">
        <v>1219</v>
      </c>
      <c r="I144" s="2" t="s">
        <v>1220</v>
      </c>
      <c r="J144" s="2" t="s">
        <v>985</v>
      </c>
      <c r="K144" s="2" t="s">
        <v>1220</v>
      </c>
      <c r="L144" s="2" t="s">
        <v>182</v>
      </c>
      <c r="M144" s="2" t="s">
        <v>223</v>
      </c>
      <c r="N144" s="2">
        <v>1983</v>
      </c>
      <c r="O144" s="2" t="s">
        <v>184</v>
      </c>
      <c r="P144" s="2" t="s">
        <v>225</v>
      </c>
      <c r="Q144" s="2" t="s">
        <v>603</v>
      </c>
      <c r="R144" s="2" t="s">
        <v>188</v>
      </c>
      <c r="S144" s="2">
        <v>15</v>
      </c>
      <c r="T144" s="2" t="s">
        <v>188</v>
      </c>
      <c r="U144" s="2" t="s">
        <v>188</v>
      </c>
      <c r="Y144" s="2">
        <v>120</v>
      </c>
      <c r="Z144" s="2">
        <v>1</v>
      </c>
      <c r="AA144" s="2">
        <v>120</v>
      </c>
      <c r="AB144" s="2">
        <v>120</v>
      </c>
      <c r="AC144" s="2">
        <v>120</v>
      </c>
      <c r="AD144" s="2">
        <v>150</v>
      </c>
      <c r="AE144" s="2">
        <v>30</v>
      </c>
      <c r="AF144" s="2" t="s">
        <v>188</v>
      </c>
      <c r="AG144" s="2" t="s">
        <v>188</v>
      </c>
      <c r="AH144" s="2" t="s">
        <v>188</v>
      </c>
      <c r="AJ144" s="2" t="s">
        <v>188</v>
      </c>
      <c r="AK144" s="2" t="s">
        <v>188</v>
      </c>
      <c r="AL144" s="2" t="s">
        <v>188</v>
      </c>
      <c r="AM144" s="2" t="s">
        <v>188</v>
      </c>
      <c r="AN144" s="2" t="s">
        <v>188</v>
      </c>
      <c r="AO144" s="2" t="s">
        <v>188</v>
      </c>
      <c r="AR144" s="2">
        <v>1.2</v>
      </c>
      <c r="AS144" s="2">
        <v>3</v>
      </c>
      <c r="AT144" s="2">
        <v>1.5</v>
      </c>
      <c r="AU144" s="2" t="s">
        <v>238</v>
      </c>
      <c r="AV144" s="2" t="s">
        <v>189</v>
      </c>
      <c r="AW144" s="2" t="s">
        <v>188</v>
      </c>
      <c r="AZ144" s="2" t="s">
        <v>357</v>
      </c>
      <c r="BB144" s="2" t="s">
        <v>260</v>
      </c>
      <c r="BC144" s="2" t="s">
        <v>253</v>
      </c>
      <c r="BD144" s="2" t="s">
        <v>188</v>
      </c>
      <c r="BE144" s="2" t="s">
        <v>188</v>
      </c>
      <c r="BL144" s="2" t="s">
        <v>197</v>
      </c>
      <c r="BM144" s="2" t="s">
        <v>507</v>
      </c>
      <c r="BN144" s="2" t="s">
        <v>199</v>
      </c>
      <c r="BO144" s="2" t="s">
        <v>188</v>
      </c>
      <c r="BQ144" s="2" t="s">
        <v>227</v>
      </c>
      <c r="BS144" s="2" t="s">
        <v>187</v>
      </c>
      <c r="BT144" s="2" t="s">
        <v>484</v>
      </c>
      <c r="BV144" s="2" t="s">
        <v>1221</v>
      </c>
      <c r="BX144" s="2" t="s">
        <v>187</v>
      </c>
      <c r="BY144" s="2" t="s">
        <v>1222</v>
      </c>
      <c r="BZ144" s="2" t="s">
        <v>188</v>
      </c>
      <c r="CE144" s="2">
        <v>1.5</v>
      </c>
      <c r="CF144" s="2">
        <v>150</v>
      </c>
      <c r="CK144" s="2">
        <v>100</v>
      </c>
      <c r="CO144" s="2">
        <v>100</v>
      </c>
      <c r="CR144" s="2" t="s">
        <v>204</v>
      </c>
      <c r="CT144" s="2" t="s">
        <v>188</v>
      </c>
      <c r="CU144" s="2" t="s">
        <v>205</v>
      </c>
      <c r="CW144" s="2" t="s">
        <v>206</v>
      </c>
      <c r="CY144" s="2" t="s">
        <v>512</v>
      </c>
      <c r="CZ144" s="2" t="s">
        <v>300</v>
      </c>
      <c r="DA144" s="2" t="s">
        <v>300</v>
      </c>
      <c r="DB144" s="2" t="s">
        <v>988</v>
      </c>
      <c r="DC144" s="2" t="s">
        <v>988</v>
      </c>
      <c r="DD144" s="2" t="s">
        <v>300</v>
      </c>
      <c r="DE144" s="2" t="s">
        <v>300</v>
      </c>
      <c r="DF144" s="2" t="s">
        <v>300</v>
      </c>
      <c r="DG144" s="2" t="s">
        <v>300</v>
      </c>
      <c r="DH144" s="2" t="s">
        <v>988</v>
      </c>
      <c r="DI144" s="2" t="s">
        <v>988</v>
      </c>
      <c r="DL144" s="2" t="s">
        <v>188</v>
      </c>
      <c r="DM144" s="2" t="s">
        <v>188</v>
      </c>
      <c r="DP144" s="2" t="s">
        <v>188</v>
      </c>
      <c r="DT144" s="2" t="s">
        <v>203</v>
      </c>
      <c r="DU144" s="2" t="s">
        <v>203</v>
      </c>
      <c r="DV144" s="2" t="s">
        <v>203</v>
      </c>
      <c r="DW144" s="2" t="s">
        <v>203</v>
      </c>
      <c r="DX144" s="2" t="s">
        <v>203</v>
      </c>
      <c r="DY144" s="2" t="s">
        <v>203</v>
      </c>
      <c r="DZ144" s="2" t="s">
        <v>203</v>
      </c>
      <c r="EA144" s="2" t="s">
        <v>203</v>
      </c>
      <c r="EB144" s="2" t="s">
        <v>203</v>
      </c>
      <c r="EC144" s="2" t="s">
        <v>203</v>
      </c>
      <c r="EF144" s="2" t="s">
        <v>189</v>
      </c>
      <c r="EG144" s="2" t="s">
        <v>1223</v>
      </c>
      <c r="EJ144" s="2" t="s">
        <v>203</v>
      </c>
      <c r="EK144" s="2" t="s">
        <v>188</v>
      </c>
      <c r="EL144" s="2" t="s">
        <v>188</v>
      </c>
      <c r="EN144" s="2" t="s">
        <v>255</v>
      </c>
      <c r="EP144" s="2" t="s">
        <v>230</v>
      </c>
      <c r="ER144" s="2" t="s">
        <v>188</v>
      </c>
      <c r="ET144" s="2" t="s">
        <v>188</v>
      </c>
      <c r="EV144" s="2" t="s">
        <v>188</v>
      </c>
      <c r="EX144" s="2" t="s">
        <v>188</v>
      </c>
      <c r="EZ144" s="2" t="s">
        <v>188</v>
      </c>
      <c r="FC144" s="2" t="s">
        <v>263</v>
      </c>
      <c r="FD144" s="2" t="s">
        <v>188</v>
      </c>
      <c r="FH144" s="2" t="s">
        <v>203</v>
      </c>
      <c r="FJ144" s="2" t="s">
        <v>188</v>
      </c>
      <c r="FK144" s="2" t="s">
        <v>188</v>
      </c>
      <c r="FN144" s="2" t="s">
        <v>432</v>
      </c>
      <c r="FR144" s="2" t="s">
        <v>461</v>
      </c>
      <c r="FT144" s="2" t="s">
        <v>233</v>
      </c>
      <c r="FU144" s="2" t="s">
        <v>233</v>
      </c>
      <c r="FV144" s="2" t="s">
        <v>233</v>
      </c>
      <c r="FW144" s="2" t="s">
        <v>233</v>
      </c>
      <c r="FZ144" s="4">
        <v>46040.458969907406</v>
      </c>
    </row>
    <row r="145" spans="1:182">
      <c r="A145" s="2" t="s">
        <v>1224</v>
      </c>
      <c r="D145" s="4">
        <v>46296.417511574073</v>
      </c>
      <c r="E145" s="2" t="s">
        <v>177</v>
      </c>
      <c r="F145" s="2" t="s">
        <v>480</v>
      </c>
      <c r="G145" s="2" t="s">
        <v>1206</v>
      </c>
      <c r="H145" s="2" t="s">
        <v>1225</v>
      </c>
      <c r="I145" s="2" t="s">
        <v>1226</v>
      </c>
      <c r="J145" s="2">
        <v>334231581</v>
      </c>
      <c r="K145" s="2" t="s">
        <v>1227</v>
      </c>
      <c r="L145" s="2" t="s">
        <v>269</v>
      </c>
      <c r="M145" s="2" t="s">
        <v>223</v>
      </c>
      <c r="N145" s="2">
        <v>1990</v>
      </c>
      <c r="O145" s="2" t="s">
        <v>184</v>
      </c>
      <c r="P145" s="2" t="s">
        <v>225</v>
      </c>
      <c r="Q145" s="2" t="s">
        <v>270</v>
      </c>
      <c r="R145" s="2" t="s">
        <v>188</v>
      </c>
      <c r="S145" s="2">
        <v>10</v>
      </c>
      <c r="T145" s="2" t="s">
        <v>188</v>
      </c>
      <c r="U145" s="2" t="s">
        <v>188</v>
      </c>
      <c r="Y145" s="2">
        <v>203</v>
      </c>
      <c r="Z145" s="2">
        <v>1</v>
      </c>
      <c r="AA145" s="2">
        <v>203</v>
      </c>
      <c r="AB145" s="2">
        <v>203</v>
      </c>
      <c r="AC145" s="2">
        <v>203</v>
      </c>
      <c r="AD145" s="2">
        <v>248</v>
      </c>
      <c r="AE145" s="2">
        <v>45</v>
      </c>
      <c r="AF145" s="2" t="s">
        <v>188</v>
      </c>
      <c r="AG145" s="2" t="s">
        <v>188</v>
      </c>
      <c r="AH145" s="2" t="s">
        <v>188</v>
      </c>
      <c r="AJ145" s="2" t="s">
        <v>188</v>
      </c>
      <c r="AK145" s="2" t="s">
        <v>188</v>
      </c>
      <c r="AL145" s="2" t="s">
        <v>188</v>
      </c>
      <c r="AM145" s="2" t="s">
        <v>188</v>
      </c>
      <c r="AN145" s="2" t="s">
        <v>188</v>
      </c>
      <c r="AO145" s="2" t="s">
        <v>188</v>
      </c>
      <c r="AR145" s="2">
        <v>1</v>
      </c>
      <c r="AS145" s="2">
        <v>2</v>
      </c>
      <c r="AT145" s="2">
        <v>2.5</v>
      </c>
      <c r="AU145" s="2" t="s">
        <v>238</v>
      </c>
      <c r="AV145" s="2" t="s">
        <v>238</v>
      </c>
      <c r="AW145" s="2" t="s">
        <v>188</v>
      </c>
      <c r="AZ145" s="2" t="s">
        <v>190</v>
      </c>
      <c r="BB145" s="2" t="s">
        <v>260</v>
      </c>
      <c r="BC145" s="2" t="s">
        <v>296</v>
      </c>
      <c r="BD145" s="2" t="s">
        <v>188</v>
      </c>
      <c r="BE145" s="2" t="s">
        <v>187</v>
      </c>
      <c r="BF145" s="2" t="s">
        <v>193</v>
      </c>
      <c r="BG145" s="2" t="s">
        <v>194</v>
      </c>
      <c r="BH145" s="2" t="s">
        <v>280</v>
      </c>
      <c r="BI145" s="2" t="s">
        <v>196</v>
      </c>
      <c r="BL145" s="2" t="s">
        <v>240</v>
      </c>
      <c r="BO145" s="2" t="s">
        <v>188</v>
      </c>
      <c r="BQ145" s="2" t="s">
        <v>227</v>
      </c>
      <c r="BS145" s="2" t="s">
        <v>187</v>
      </c>
      <c r="BT145" s="2" t="s">
        <v>484</v>
      </c>
      <c r="BV145" s="2" t="s">
        <v>630</v>
      </c>
      <c r="BX145" s="2" t="s">
        <v>187</v>
      </c>
      <c r="BY145" s="2" t="s">
        <v>1228</v>
      </c>
      <c r="BZ145" s="2" t="s">
        <v>209</v>
      </c>
      <c r="CA145" s="2" t="s">
        <v>1229</v>
      </c>
      <c r="CE145" s="2">
        <v>2.5</v>
      </c>
      <c r="CF145" s="2">
        <v>248</v>
      </c>
      <c r="CK145" s="2">
        <v>100</v>
      </c>
      <c r="CO145" s="2">
        <v>100</v>
      </c>
      <c r="CR145" s="2" t="s">
        <v>511</v>
      </c>
      <c r="CT145" s="2" t="s">
        <v>188</v>
      </c>
      <c r="CU145" s="2" t="s">
        <v>205</v>
      </c>
      <c r="CW145" s="2" t="s">
        <v>206</v>
      </c>
      <c r="CY145" s="2" t="s">
        <v>300</v>
      </c>
      <c r="CZ145" s="2" t="s">
        <v>300</v>
      </c>
      <c r="DA145" s="2" t="s">
        <v>300</v>
      </c>
      <c r="DB145" s="2" t="s">
        <v>300</v>
      </c>
      <c r="DC145" s="2" t="s">
        <v>988</v>
      </c>
      <c r="DD145" s="2" t="s">
        <v>988</v>
      </c>
      <c r="DE145" s="2" t="s">
        <v>988</v>
      </c>
      <c r="DF145" s="2" t="s">
        <v>300</v>
      </c>
      <c r="DG145" s="2" t="s">
        <v>300</v>
      </c>
      <c r="DH145" s="2" t="s">
        <v>300</v>
      </c>
      <c r="DI145" s="2" t="s">
        <v>300</v>
      </c>
      <c r="DL145" s="2" t="s">
        <v>187</v>
      </c>
      <c r="DM145" s="2" t="s">
        <v>187</v>
      </c>
      <c r="DN145" s="2" t="s">
        <v>187</v>
      </c>
      <c r="DO145" s="2" t="s">
        <v>187</v>
      </c>
      <c r="DP145" s="2" t="s">
        <v>209</v>
      </c>
      <c r="DQ145" s="2" t="s">
        <v>210</v>
      </c>
      <c r="DT145" s="2" t="s">
        <v>209</v>
      </c>
      <c r="DU145" s="2" t="s">
        <v>188</v>
      </c>
      <c r="DV145" s="2" t="s">
        <v>209</v>
      </c>
      <c r="DW145" s="2" t="s">
        <v>209</v>
      </c>
      <c r="DX145" s="2" t="s">
        <v>209</v>
      </c>
      <c r="DY145" s="2" t="s">
        <v>203</v>
      </c>
      <c r="DZ145" s="2" t="s">
        <v>203</v>
      </c>
      <c r="EA145" s="2" t="s">
        <v>203</v>
      </c>
      <c r="EB145" s="2" t="s">
        <v>209</v>
      </c>
      <c r="EC145" s="2" t="s">
        <v>203</v>
      </c>
      <c r="ED145" s="2" t="s">
        <v>203</v>
      </c>
      <c r="EF145" s="2" t="s">
        <v>496</v>
      </c>
      <c r="EG145" s="2" t="s">
        <v>1230</v>
      </c>
      <c r="EJ145" s="2" t="s">
        <v>203</v>
      </c>
      <c r="EK145" s="2" t="s">
        <v>188</v>
      </c>
      <c r="EL145" s="2" t="s">
        <v>188</v>
      </c>
      <c r="EN145" s="2" t="s">
        <v>214</v>
      </c>
      <c r="EP145" s="2" t="s">
        <v>230</v>
      </c>
      <c r="ER145" s="2" t="s">
        <v>188</v>
      </c>
      <c r="ET145" s="2" t="s">
        <v>188</v>
      </c>
      <c r="EV145" s="2" t="s">
        <v>188</v>
      </c>
      <c r="EX145" s="2" t="s">
        <v>188</v>
      </c>
      <c r="EZ145" s="2" t="s">
        <v>188</v>
      </c>
      <c r="FC145" s="2" t="s">
        <v>263</v>
      </c>
      <c r="FD145" s="2" t="s">
        <v>188</v>
      </c>
      <c r="FH145" s="2" t="s">
        <v>188</v>
      </c>
      <c r="FJ145" s="2" t="s">
        <v>188</v>
      </c>
      <c r="FK145" s="2" t="s">
        <v>188</v>
      </c>
      <c r="FN145" s="2" t="s">
        <v>488</v>
      </c>
      <c r="FR145" s="2" t="s">
        <v>1231</v>
      </c>
      <c r="FT145" s="2" t="s">
        <v>233</v>
      </c>
      <c r="FU145" s="2" t="s">
        <v>233</v>
      </c>
      <c r="FV145" s="2" t="s">
        <v>233</v>
      </c>
      <c r="FW145" s="2" t="s">
        <v>233</v>
      </c>
      <c r="FX145" s="2" t="s">
        <v>233</v>
      </c>
      <c r="FY145" s="2" t="s">
        <v>1232</v>
      </c>
      <c r="FZ145" s="4">
        <v>46049.411527777775</v>
      </c>
    </row>
    <row r="146" spans="1:182">
      <c r="A146" s="2" t="s">
        <v>1233</v>
      </c>
      <c r="D146" s="4">
        <v>46296.420671296299</v>
      </c>
      <c r="E146" s="2" t="s">
        <v>1234</v>
      </c>
      <c r="F146" s="2" t="s">
        <v>480</v>
      </c>
      <c r="G146" s="2" t="s">
        <v>1206</v>
      </c>
      <c r="H146" s="2" t="s">
        <v>1235</v>
      </c>
      <c r="I146" s="2" t="s">
        <v>1236</v>
      </c>
      <c r="J146" s="2">
        <v>989770056</v>
      </c>
      <c r="K146" s="2" t="s">
        <v>1237</v>
      </c>
      <c r="L146" s="2" t="s">
        <v>269</v>
      </c>
      <c r="M146" s="2" t="s">
        <v>223</v>
      </c>
      <c r="N146" s="2">
        <v>1988</v>
      </c>
      <c r="O146" s="2" t="s">
        <v>184</v>
      </c>
      <c r="P146" s="2" t="s">
        <v>225</v>
      </c>
      <c r="Q146" s="2" t="s">
        <v>186</v>
      </c>
      <c r="R146" s="2" t="s">
        <v>188</v>
      </c>
      <c r="S146" s="2">
        <v>17</v>
      </c>
      <c r="T146" s="2" t="s">
        <v>188</v>
      </c>
      <c r="U146" s="2" t="s">
        <v>188</v>
      </c>
      <c r="Y146" s="2">
        <v>168</v>
      </c>
      <c r="Z146" s="2">
        <v>0.76190000000000002</v>
      </c>
      <c r="AA146" s="2">
        <v>128</v>
      </c>
      <c r="AB146" s="2">
        <v>128</v>
      </c>
      <c r="AC146" s="2">
        <v>128</v>
      </c>
      <c r="AD146" s="2">
        <v>168</v>
      </c>
      <c r="AE146" s="2">
        <v>40</v>
      </c>
      <c r="AF146" s="2" t="s">
        <v>188</v>
      </c>
      <c r="AG146" s="2" t="s">
        <v>188</v>
      </c>
      <c r="AH146" s="2" t="s">
        <v>188</v>
      </c>
      <c r="AJ146" s="2" t="s">
        <v>188</v>
      </c>
      <c r="AK146" s="2" t="s">
        <v>188</v>
      </c>
      <c r="AL146" s="2" t="s">
        <v>188</v>
      </c>
      <c r="AM146" s="2" t="s">
        <v>187</v>
      </c>
      <c r="AN146" s="2" t="s">
        <v>188</v>
      </c>
      <c r="AO146" s="2" t="s">
        <v>188</v>
      </c>
      <c r="AR146" s="2">
        <v>1.3</v>
      </c>
      <c r="AS146" s="2">
        <v>3</v>
      </c>
      <c r="AT146" s="2">
        <v>2.1</v>
      </c>
      <c r="AU146" s="2" t="s">
        <v>238</v>
      </c>
      <c r="AV146" s="2" t="s">
        <v>238</v>
      </c>
      <c r="AW146" s="2" t="s">
        <v>188</v>
      </c>
      <c r="AZ146" s="2" t="s">
        <v>190</v>
      </c>
      <c r="BB146" s="2" t="s">
        <v>260</v>
      </c>
      <c r="BC146" s="2" t="s">
        <v>296</v>
      </c>
      <c r="BD146" s="2" t="s">
        <v>187</v>
      </c>
      <c r="BE146" s="2" t="s">
        <v>187</v>
      </c>
      <c r="BF146" s="2" t="s">
        <v>193</v>
      </c>
      <c r="BG146" s="2" t="s">
        <v>279</v>
      </c>
      <c r="BH146" s="2" t="s">
        <v>195</v>
      </c>
      <c r="BI146" s="2" t="s">
        <v>196</v>
      </c>
      <c r="BL146" s="2" t="s">
        <v>240</v>
      </c>
      <c r="BO146" s="2" t="s">
        <v>188</v>
      </c>
      <c r="BQ146" s="2" t="s">
        <v>227</v>
      </c>
      <c r="BS146" s="2" t="s">
        <v>187</v>
      </c>
      <c r="BT146" s="2" t="s">
        <v>909</v>
      </c>
      <c r="BV146" s="2" t="s">
        <v>630</v>
      </c>
      <c r="BX146" s="2" t="s">
        <v>188</v>
      </c>
      <c r="BZ146" s="2" t="s">
        <v>188</v>
      </c>
      <c r="CE146" s="2">
        <v>2.1</v>
      </c>
      <c r="CF146" s="2">
        <v>208</v>
      </c>
      <c r="CK146" s="2">
        <v>100</v>
      </c>
      <c r="CO146" s="2">
        <v>100</v>
      </c>
      <c r="CR146" s="2" t="s">
        <v>343</v>
      </c>
      <c r="CT146" s="2" t="s">
        <v>188</v>
      </c>
      <c r="CU146" s="2" t="s">
        <v>578</v>
      </c>
      <c r="CW146" s="2" t="s">
        <v>206</v>
      </c>
      <c r="CY146" s="2" t="s">
        <v>207</v>
      </c>
      <c r="CZ146" s="2" t="s">
        <v>207</v>
      </c>
      <c r="DA146" s="2" t="s">
        <v>300</v>
      </c>
      <c r="DB146" s="2" t="s">
        <v>300</v>
      </c>
      <c r="DC146" s="2" t="s">
        <v>430</v>
      </c>
      <c r="DD146" s="2" t="s">
        <v>300</v>
      </c>
      <c r="DE146" s="2" t="s">
        <v>300</v>
      </c>
      <c r="DF146" s="2" t="s">
        <v>300</v>
      </c>
      <c r="DG146" s="2" t="s">
        <v>207</v>
      </c>
      <c r="DH146" s="2" t="s">
        <v>207</v>
      </c>
      <c r="DI146" s="2" t="s">
        <v>207</v>
      </c>
      <c r="DL146" s="2" t="s">
        <v>187</v>
      </c>
      <c r="DM146" s="2" t="s">
        <v>187</v>
      </c>
      <c r="DN146" s="2" t="s">
        <v>187</v>
      </c>
      <c r="DO146" s="2" t="s">
        <v>187</v>
      </c>
      <c r="DP146" s="2" t="s">
        <v>209</v>
      </c>
      <c r="DQ146" s="2" t="s">
        <v>210</v>
      </c>
      <c r="DT146" s="2" t="s">
        <v>209</v>
      </c>
      <c r="DU146" s="2" t="s">
        <v>209</v>
      </c>
      <c r="DV146" s="2" t="s">
        <v>209</v>
      </c>
      <c r="DW146" s="2" t="s">
        <v>209</v>
      </c>
      <c r="DX146" s="2" t="s">
        <v>209</v>
      </c>
      <c r="DY146" s="2" t="s">
        <v>203</v>
      </c>
      <c r="DZ146" s="2" t="s">
        <v>203</v>
      </c>
      <c r="EA146" s="2" t="s">
        <v>203</v>
      </c>
      <c r="EB146" s="2" t="s">
        <v>209</v>
      </c>
      <c r="EC146" s="2" t="s">
        <v>203</v>
      </c>
      <c r="ED146" s="2" t="s">
        <v>203</v>
      </c>
      <c r="EF146" s="2" t="s">
        <v>189</v>
      </c>
      <c r="EG146" s="2" t="s">
        <v>1238</v>
      </c>
      <c r="EJ146" s="2" t="s">
        <v>238</v>
      </c>
      <c r="EK146" s="2" t="s">
        <v>187</v>
      </c>
      <c r="EL146" s="2" t="s">
        <v>188</v>
      </c>
      <c r="EN146" s="2" t="s">
        <v>214</v>
      </c>
      <c r="EP146" s="2" t="s">
        <v>230</v>
      </c>
      <c r="ER146" s="2" t="s">
        <v>187</v>
      </c>
      <c r="ET146" s="2" t="s">
        <v>188</v>
      </c>
      <c r="EV146" s="2" t="s">
        <v>187</v>
      </c>
      <c r="EW146" s="2" t="s">
        <v>215</v>
      </c>
      <c r="EX146" s="2" t="s">
        <v>188</v>
      </c>
      <c r="EZ146" s="2" t="s">
        <v>188</v>
      </c>
      <c r="FC146" s="2" t="s">
        <v>263</v>
      </c>
      <c r="FD146" s="2" t="s">
        <v>188</v>
      </c>
      <c r="FH146" s="2" t="s">
        <v>188</v>
      </c>
      <c r="FJ146" s="2" t="s">
        <v>188</v>
      </c>
      <c r="FK146" s="2" t="s">
        <v>188</v>
      </c>
      <c r="FL146" s="2" t="s">
        <v>274</v>
      </c>
      <c r="FN146" s="2" t="s">
        <v>488</v>
      </c>
      <c r="FR146" s="2" t="s">
        <v>1239</v>
      </c>
      <c r="FT146" s="2" t="s">
        <v>233</v>
      </c>
      <c r="FU146" s="2" t="s">
        <v>233</v>
      </c>
      <c r="FV146" s="2" t="s">
        <v>233</v>
      </c>
      <c r="FW146" s="2" t="s">
        <v>233</v>
      </c>
      <c r="FZ146" s="4">
        <v>46049.416712962964</v>
      </c>
    </row>
    <row r="147" spans="1:182">
      <c r="A147" s="2" t="s">
        <v>1240</v>
      </c>
      <c r="D147" s="4">
        <v>46296.422442129631</v>
      </c>
      <c r="E147" s="2" t="s">
        <v>1241</v>
      </c>
      <c r="F147" s="2" t="s">
        <v>590</v>
      </c>
      <c r="G147" s="2" t="s">
        <v>1206</v>
      </c>
      <c r="H147" s="2" t="s">
        <v>1212</v>
      </c>
      <c r="I147" s="2" t="s">
        <v>1242</v>
      </c>
      <c r="J147" s="2">
        <v>926230417</v>
      </c>
      <c r="K147" s="2" t="s">
        <v>1242</v>
      </c>
      <c r="L147" s="2" t="s">
        <v>182</v>
      </c>
      <c r="M147" s="2" t="s">
        <v>183</v>
      </c>
      <c r="N147" s="2">
        <v>1993</v>
      </c>
      <c r="O147" s="2" t="s">
        <v>184</v>
      </c>
      <c r="P147" s="2" t="s">
        <v>185</v>
      </c>
      <c r="Q147" s="2" t="s">
        <v>186</v>
      </c>
      <c r="R147" s="2" t="s">
        <v>188</v>
      </c>
      <c r="S147" s="2">
        <v>8</v>
      </c>
      <c r="T147" s="2" t="s">
        <v>188</v>
      </c>
      <c r="U147" s="2" t="s">
        <v>188</v>
      </c>
      <c r="Y147" s="2">
        <v>90</v>
      </c>
      <c r="Z147" s="2">
        <v>1</v>
      </c>
      <c r="AA147" s="2">
        <v>90</v>
      </c>
      <c r="AB147" s="2">
        <v>90</v>
      </c>
      <c r="AC147" s="2">
        <v>90</v>
      </c>
      <c r="AD147" s="2">
        <v>130</v>
      </c>
      <c r="AE147" s="2">
        <v>40</v>
      </c>
      <c r="AF147" s="2" t="s">
        <v>188</v>
      </c>
      <c r="AG147" s="2" t="s">
        <v>188</v>
      </c>
      <c r="AH147" s="2" t="s">
        <v>188</v>
      </c>
      <c r="AJ147" s="2" t="s">
        <v>188</v>
      </c>
      <c r="AK147" s="2" t="s">
        <v>188</v>
      </c>
      <c r="AL147" s="2" t="s">
        <v>188</v>
      </c>
      <c r="AM147" s="2" t="s">
        <v>188</v>
      </c>
      <c r="AN147" s="2" t="s">
        <v>188</v>
      </c>
      <c r="AO147" s="2" t="s">
        <v>188</v>
      </c>
      <c r="AR147" s="2">
        <v>1.1000000000000001</v>
      </c>
      <c r="AS147" s="2">
        <v>2</v>
      </c>
      <c r="AT147" s="2">
        <v>1.2</v>
      </c>
      <c r="AU147" s="2" t="s">
        <v>203</v>
      </c>
      <c r="AV147" s="2" t="s">
        <v>189</v>
      </c>
      <c r="AW147" s="2" t="s">
        <v>188</v>
      </c>
      <c r="AZ147" s="2" t="s">
        <v>190</v>
      </c>
      <c r="BB147" s="2" t="s">
        <v>260</v>
      </c>
      <c r="BC147" s="2" t="s">
        <v>296</v>
      </c>
      <c r="BD147" s="2" t="s">
        <v>187</v>
      </c>
      <c r="BE147" s="2" t="s">
        <v>187</v>
      </c>
      <c r="BF147" s="2" t="s">
        <v>193</v>
      </c>
      <c r="BG147" s="2" t="s">
        <v>194</v>
      </c>
      <c r="BH147" s="2" t="s">
        <v>195</v>
      </c>
      <c r="BI147" s="2" t="s">
        <v>196</v>
      </c>
      <c r="BL147" s="2" t="s">
        <v>197</v>
      </c>
      <c r="BM147" s="2" t="s">
        <v>507</v>
      </c>
      <c r="BN147" s="2" t="s">
        <v>199</v>
      </c>
      <c r="BO147" s="2" t="s">
        <v>341</v>
      </c>
      <c r="BP147" s="2" t="s">
        <v>342</v>
      </c>
      <c r="BS147" s="2" t="s">
        <v>188</v>
      </c>
      <c r="BT147" s="2" t="s">
        <v>986</v>
      </c>
      <c r="BV147" s="2" t="s">
        <v>987</v>
      </c>
      <c r="BX147" s="2" t="s">
        <v>188</v>
      </c>
      <c r="BZ147" s="2" t="s">
        <v>188</v>
      </c>
      <c r="CE147" s="2">
        <v>1.2</v>
      </c>
      <c r="CF147" s="2">
        <v>130</v>
      </c>
      <c r="CK147" s="2">
        <v>100</v>
      </c>
      <c r="CO147" s="2">
        <v>100</v>
      </c>
      <c r="CR147" s="2" t="s">
        <v>204</v>
      </c>
      <c r="CT147" s="2" t="s">
        <v>187</v>
      </c>
      <c r="CU147" s="2" t="s">
        <v>758</v>
      </c>
      <c r="CW147" s="2" t="s">
        <v>206</v>
      </c>
      <c r="CY147" s="2" t="s">
        <v>512</v>
      </c>
      <c r="CZ147" s="2" t="s">
        <v>300</v>
      </c>
      <c r="DA147" s="2" t="s">
        <v>300</v>
      </c>
      <c r="DB147" s="2" t="s">
        <v>300</v>
      </c>
      <c r="DC147" s="2" t="s">
        <v>988</v>
      </c>
      <c r="DD147" s="2" t="s">
        <v>300</v>
      </c>
      <c r="DE147" s="2" t="s">
        <v>300</v>
      </c>
      <c r="DF147" s="2" t="s">
        <v>300</v>
      </c>
      <c r="DG147" s="2" t="s">
        <v>988</v>
      </c>
      <c r="DH147" s="2" t="s">
        <v>988</v>
      </c>
      <c r="DI147" s="2" t="s">
        <v>988</v>
      </c>
      <c r="DL147" s="2" t="s">
        <v>188</v>
      </c>
      <c r="DM147" s="2" t="s">
        <v>188</v>
      </c>
      <c r="DP147" s="2" t="s">
        <v>188</v>
      </c>
      <c r="DT147" s="2" t="s">
        <v>203</v>
      </c>
      <c r="DU147" s="2" t="s">
        <v>203</v>
      </c>
      <c r="DV147" s="2" t="s">
        <v>203</v>
      </c>
      <c r="DW147" s="2" t="s">
        <v>203</v>
      </c>
      <c r="DX147" s="2" t="s">
        <v>203</v>
      </c>
      <c r="DY147" s="2" t="s">
        <v>203</v>
      </c>
      <c r="DZ147" s="2" t="s">
        <v>203</v>
      </c>
      <c r="EA147" s="2" t="s">
        <v>203</v>
      </c>
      <c r="EB147" s="2" t="s">
        <v>203</v>
      </c>
      <c r="EC147" s="2" t="s">
        <v>203</v>
      </c>
      <c r="EF147" s="2" t="s">
        <v>189</v>
      </c>
      <c r="EG147" s="2" t="s">
        <v>1243</v>
      </c>
      <c r="EJ147" s="2" t="s">
        <v>203</v>
      </c>
      <c r="EK147" s="2" t="s">
        <v>188</v>
      </c>
      <c r="EL147" s="2" t="s">
        <v>188</v>
      </c>
      <c r="EN147" s="2" t="s">
        <v>255</v>
      </c>
      <c r="EP147" s="2" t="s">
        <v>230</v>
      </c>
      <c r="ER147" s="2" t="s">
        <v>188</v>
      </c>
      <c r="ET147" s="2" t="s">
        <v>188</v>
      </c>
      <c r="EV147" s="2" t="s">
        <v>188</v>
      </c>
      <c r="EX147" s="2" t="s">
        <v>188</v>
      </c>
      <c r="EZ147" s="2" t="s">
        <v>188</v>
      </c>
      <c r="FC147" s="2" t="s">
        <v>263</v>
      </c>
      <c r="FD147" s="2" t="s">
        <v>188</v>
      </c>
      <c r="FH147" s="2" t="s">
        <v>188</v>
      </c>
      <c r="FJ147" s="2" t="s">
        <v>188</v>
      </c>
      <c r="FK147" s="2" t="s">
        <v>188</v>
      </c>
      <c r="FN147" s="2" t="s">
        <v>488</v>
      </c>
      <c r="FR147" s="2" t="s">
        <v>1244</v>
      </c>
      <c r="FT147" s="2" t="s">
        <v>233</v>
      </c>
      <c r="FU147" s="2" t="s">
        <v>233</v>
      </c>
      <c r="FV147" s="2" t="s">
        <v>233</v>
      </c>
      <c r="FW147" s="2" t="s">
        <v>233</v>
      </c>
      <c r="FZ147" s="4">
        <v>46040.465289351851</v>
      </c>
    </row>
    <row r="148" spans="1:182">
      <c r="A148" s="2" t="s">
        <v>1245</v>
      </c>
      <c r="D148" s="4">
        <v>46296.417060185187</v>
      </c>
      <c r="E148" s="2" t="s">
        <v>177</v>
      </c>
      <c r="F148" s="2" t="s">
        <v>293</v>
      </c>
      <c r="G148" s="2" t="s">
        <v>1206</v>
      </c>
      <c r="H148" s="2" t="s">
        <v>1246</v>
      </c>
      <c r="I148" s="2" t="s">
        <v>1247</v>
      </c>
      <c r="J148" s="2">
        <v>369066208</v>
      </c>
      <c r="K148" s="2" t="s">
        <v>1248</v>
      </c>
      <c r="L148" s="2" t="s">
        <v>352</v>
      </c>
      <c r="M148" s="2" t="s">
        <v>223</v>
      </c>
      <c r="N148" s="2">
        <v>1975</v>
      </c>
      <c r="O148" s="2" t="s">
        <v>224</v>
      </c>
      <c r="P148" s="2" t="s">
        <v>225</v>
      </c>
      <c r="Q148" s="2" t="s">
        <v>186</v>
      </c>
      <c r="R148" s="2" t="s">
        <v>188</v>
      </c>
      <c r="T148" s="2" t="s">
        <v>188</v>
      </c>
      <c r="U148" s="2" t="s">
        <v>188</v>
      </c>
      <c r="Y148" s="2">
        <v>900</v>
      </c>
      <c r="Z148" s="2">
        <v>1</v>
      </c>
      <c r="AA148" s="2">
        <v>900</v>
      </c>
      <c r="AC148" s="2">
        <v>500</v>
      </c>
      <c r="AD148" s="2">
        <v>580</v>
      </c>
      <c r="AE148" s="2">
        <v>80</v>
      </c>
      <c r="AF148" s="2" t="s">
        <v>188</v>
      </c>
      <c r="AG148" s="2" t="s">
        <v>187</v>
      </c>
      <c r="AH148" s="2" t="s">
        <v>187</v>
      </c>
      <c r="AI148" s="2" t="s">
        <v>1249</v>
      </c>
      <c r="AJ148" s="2" t="s">
        <v>188</v>
      </c>
      <c r="AK148" s="2" t="s">
        <v>188</v>
      </c>
      <c r="AL148" s="2" t="s">
        <v>188</v>
      </c>
      <c r="AM148" s="2" t="s">
        <v>188</v>
      </c>
      <c r="AN148" s="2" t="s">
        <v>188</v>
      </c>
      <c r="AO148" s="2" t="s">
        <v>188</v>
      </c>
      <c r="AR148" s="2">
        <v>1.9</v>
      </c>
      <c r="AS148" s="2">
        <v>1</v>
      </c>
      <c r="AT148" s="2">
        <v>9.5</v>
      </c>
      <c r="AU148" s="2" t="s">
        <v>189</v>
      </c>
      <c r="AV148" s="2" t="s">
        <v>189</v>
      </c>
      <c r="AW148" s="2" t="s">
        <v>188</v>
      </c>
      <c r="AZ148" s="2" t="s">
        <v>357</v>
      </c>
      <c r="BB148" s="2" t="s">
        <v>260</v>
      </c>
      <c r="BC148" s="2" t="s">
        <v>253</v>
      </c>
      <c r="BD148" s="2" t="s">
        <v>188</v>
      </c>
      <c r="BE148" s="2" t="s">
        <v>188</v>
      </c>
      <c r="BL148" s="2" t="s">
        <v>197</v>
      </c>
      <c r="BM148" s="2" t="s">
        <v>198</v>
      </c>
      <c r="BN148" s="2" t="s">
        <v>199</v>
      </c>
      <c r="BO148" s="2" t="s">
        <v>188</v>
      </c>
      <c r="BQ148" s="2" t="s">
        <v>309</v>
      </c>
      <c r="BS148" s="2" t="s">
        <v>187</v>
      </c>
      <c r="BT148" s="2" t="s">
        <v>261</v>
      </c>
      <c r="BV148" s="2" t="s">
        <v>389</v>
      </c>
      <c r="BX148" s="2" t="s">
        <v>187</v>
      </c>
      <c r="BY148" s="2" t="s">
        <v>310</v>
      </c>
      <c r="BZ148" s="2" t="s">
        <v>203</v>
      </c>
      <c r="CE148" s="2">
        <v>9.5</v>
      </c>
      <c r="CF148" s="2">
        <v>920</v>
      </c>
      <c r="CK148" s="2">
        <v>100</v>
      </c>
      <c r="CO148" s="2">
        <v>100</v>
      </c>
      <c r="CR148" s="2" t="s">
        <v>204</v>
      </c>
      <c r="CT148" s="2" t="s">
        <v>188</v>
      </c>
      <c r="CU148" s="2" t="s">
        <v>205</v>
      </c>
      <c r="CW148" s="2" t="s">
        <v>206</v>
      </c>
      <c r="CY148" s="2" t="s">
        <v>207</v>
      </c>
      <c r="CZ148" s="2" t="s">
        <v>300</v>
      </c>
      <c r="DA148" s="2" t="s">
        <v>300</v>
      </c>
      <c r="DB148" s="2" t="s">
        <v>301</v>
      </c>
      <c r="DC148" s="2" t="s">
        <v>208</v>
      </c>
      <c r="DD148" s="2" t="s">
        <v>301</v>
      </c>
      <c r="DE148" s="2" t="s">
        <v>300</v>
      </c>
      <c r="DF148" s="2" t="s">
        <v>207</v>
      </c>
      <c r="DG148" s="2" t="s">
        <v>207</v>
      </c>
      <c r="DH148" s="2" t="s">
        <v>207</v>
      </c>
      <c r="DI148" s="2" t="s">
        <v>207</v>
      </c>
      <c r="DL148" s="2" t="s">
        <v>187</v>
      </c>
      <c r="DM148" s="2" t="s">
        <v>187</v>
      </c>
      <c r="DN148" s="2" t="s">
        <v>187</v>
      </c>
      <c r="DO148" s="2" t="s">
        <v>187</v>
      </c>
      <c r="DP148" s="2" t="s">
        <v>209</v>
      </c>
      <c r="DQ148" s="2" t="s">
        <v>210</v>
      </c>
      <c r="DT148" s="2" t="s">
        <v>209</v>
      </c>
      <c r="DU148" s="2" t="s">
        <v>209</v>
      </c>
      <c r="DV148" s="2" t="s">
        <v>209</v>
      </c>
      <c r="DW148" s="2" t="s">
        <v>209</v>
      </c>
      <c r="DX148" s="2" t="s">
        <v>209</v>
      </c>
      <c r="DY148" s="2" t="s">
        <v>209</v>
      </c>
      <c r="DZ148" s="2" t="s">
        <v>209</v>
      </c>
      <c r="EA148" s="2" t="s">
        <v>209</v>
      </c>
      <c r="EB148" s="2" t="s">
        <v>203</v>
      </c>
      <c r="EC148" s="2" t="s">
        <v>203</v>
      </c>
      <c r="ED148" s="2" t="s">
        <v>203</v>
      </c>
      <c r="EF148" s="2" t="s">
        <v>211</v>
      </c>
      <c r="EJ148" s="2" t="s">
        <v>212</v>
      </c>
      <c r="EK148" s="2" t="s">
        <v>187</v>
      </c>
      <c r="EL148" s="2" t="s">
        <v>188</v>
      </c>
      <c r="EN148" s="2" t="s">
        <v>214</v>
      </c>
      <c r="EP148" s="2" t="s">
        <v>230</v>
      </c>
      <c r="ER148" s="2" t="s">
        <v>187</v>
      </c>
      <c r="ET148" s="2" t="s">
        <v>188</v>
      </c>
      <c r="EV148" s="2" t="s">
        <v>187</v>
      </c>
      <c r="EW148" s="2" t="s">
        <v>215</v>
      </c>
      <c r="EX148" s="2" t="s">
        <v>187</v>
      </c>
      <c r="EY148" s="2" t="s">
        <v>215</v>
      </c>
      <c r="FC148" s="2" t="s">
        <v>263</v>
      </c>
      <c r="FD148" s="2" t="s">
        <v>187</v>
      </c>
      <c r="FE148" s="2" t="s">
        <v>189</v>
      </c>
      <c r="FH148" s="2" t="s">
        <v>188</v>
      </c>
      <c r="FJ148" s="2" t="s">
        <v>187</v>
      </c>
      <c r="FK148" s="2" t="s">
        <v>209</v>
      </c>
      <c r="FL148" s="2" t="s">
        <v>319</v>
      </c>
      <c r="FN148" s="2" t="s">
        <v>819</v>
      </c>
      <c r="FT148" s="2" t="s">
        <v>219</v>
      </c>
      <c r="FU148" s="2" t="s">
        <v>233</v>
      </c>
      <c r="FV148" s="2" t="s">
        <v>233</v>
      </c>
      <c r="FW148" s="2" t="s">
        <v>233</v>
      </c>
      <c r="FZ148" s="4">
        <v>46039.639791666668</v>
      </c>
    </row>
    <row r="149" spans="1:182">
      <c r="A149" s="2" t="s">
        <v>1250</v>
      </c>
      <c r="D149" s="4">
        <v>46296.424259259256</v>
      </c>
      <c r="E149" s="2" t="s">
        <v>177</v>
      </c>
      <c r="F149" s="2" t="s">
        <v>178</v>
      </c>
      <c r="G149" s="2" t="s">
        <v>1206</v>
      </c>
      <c r="H149" s="2" t="s">
        <v>1207</v>
      </c>
      <c r="I149" s="2" t="s">
        <v>1251</v>
      </c>
      <c r="J149" s="2">
        <v>357026154</v>
      </c>
      <c r="K149" s="2" t="s">
        <v>1251</v>
      </c>
      <c r="L149" s="2" t="s">
        <v>269</v>
      </c>
      <c r="M149" s="2" t="s">
        <v>183</v>
      </c>
      <c r="N149" s="2">
        <v>1993</v>
      </c>
      <c r="O149" s="2" t="s">
        <v>184</v>
      </c>
      <c r="P149" s="2" t="s">
        <v>185</v>
      </c>
      <c r="Q149" s="2" t="s">
        <v>270</v>
      </c>
      <c r="R149" s="2" t="s">
        <v>188</v>
      </c>
      <c r="S149" s="2">
        <v>8</v>
      </c>
      <c r="T149" s="2" t="s">
        <v>188</v>
      </c>
      <c r="U149" s="2" t="s">
        <v>188</v>
      </c>
      <c r="Y149" s="2">
        <v>120</v>
      </c>
      <c r="Z149" s="2">
        <v>1</v>
      </c>
      <c r="AA149" s="2">
        <v>120</v>
      </c>
      <c r="AB149" s="2">
        <v>120</v>
      </c>
      <c r="AC149" s="2">
        <v>120</v>
      </c>
      <c r="AD149" s="2">
        <v>145</v>
      </c>
      <c r="AE149" s="2">
        <v>25</v>
      </c>
      <c r="AF149" s="2" t="s">
        <v>187</v>
      </c>
      <c r="AG149" s="2" t="s">
        <v>188</v>
      </c>
      <c r="AH149" s="2" t="s">
        <v>188</v>
      </c>
      <c r="AJ149" s="2" t="s">
        <v>188</v>
      </c>
      <c r="AK149" s="2" t="s">
        <v>188</v>
      </c>
      <c r="AL149" s="2" t="s">
        <v>188</v>
      </c>
      <c r="AM149" s="2" t="s">
        <v>188</v>
      </c>
      <c r="AN149" s="2" t="s">
        <v>188</v>
      </c>
      <c r="AO149" s="2" t="s">
        <v>188</v>
      </c>
      <c r="AR149" s="2">
        <v>1.1499999999999999</v>
      </c>
      <c r="AS149" s="2">
        <v>3</v>
      </c>
      <c r="AT149" s="2">
        <v>1.5</v>
      </c>
      <c r="AU149" s="2" t="s">
        <v>238</v>
      </c>
      <c r="AV149" s="2" t="s">
        <v>238</v>
      </c>
      <c r="AW149" s="2" t="s">
        <v>188</v>
      </c>
      <c r="AZ149" s="2" t="s">
        <v>190</v>
      </c>
      <c r="BB149" s="2" t="s">
        <v>191</v>
      </c>
      <c r="BC149" s="2" t="s">
        <v>192</v>
      </c>
      <c r="BD149" s="2" t="s">
        <v>187</v>
      </c>
      <c r="BE149" s="2" t="s">
        <v>187</v>
      </c>
      <c r="BF149" s="2" t="s">
        <v>193</v>
      </c>
      <c r="BG149" s="2" t="s">
        <v>279</v>
      </c>
      <c r="BH149" s="2" t="s">
        <v>195</v>
      </c>
      <c r="BI149" s="2" t="s">
        <v>196</v>
      </c>
      <c r="BL149" s="2" t="s">
        <v>197</v>
      </c>
      <c r="BM149" s="2" t="s">
        <v>198</v>
      </c>
      <c r="BN149" s="2" t="s">
        <v>199</v>
      </c>
      <c r="BO149" s="2" t="s">
        <v>188</v>
      </c>
      <c r="BQ149" s="2" t="s">
        <v>200</v>
      </c>
      <c r="BS149" s="2" t="s">
        <v>187</v>
      </c>
      <c r="BT149" s="2" t="s">
        <v>201</v>
      </c>
      <c r="BV149" s="2" t="s">
        <v>248</v>
      </c>
      <c r="BX149" s="2" t="s">
        <v>188</v>
      </c>
      <c r="BZ149" s="2" t="s">
        <v>203</v>
      </c>
      <c r="CE149" s="2">
        <v>1.5</v>
      </c>
      <c r="CF149" s="2">
        <v>145</v>
      </c>
      <c r="CK149" s="2">
        <v>100</v>
      </c>
      <c r="CO149" s="2">
        <v>100</v>
      </c>
      <c r="CU149" s="2" t="s">
        <v>205</v>
      </c>
      <c r="CW149" s="2" t="s">
        <v>206</v>
      </c>
      <c r="CY149" s="2" t="s">
        <v>208</v>
      </c>
      <c r="CZ149" s="2" t="s">
        <v>208</v>
      </c>
      <c r="DA149" s="2" t="s">
        <v>208</v>
      </c>
      <c r="DB149" s="2" t="s">
        <v>208</v>
      </c>
      <c r="DC149" s="2" t="s">
        <v>208</v>
      </c>
      <c r="DD149" s="2" t="s">
        <v>208</v>
      </c>
      <c r="DE149" s="2" t="s">
        <v>208</v>
      </c>
      <c r="DF149" s="2" t="s">
        <v>208</v>
      </c>
      <c r="DG149" s="2" t="s">
        <v>208</v>
      </c>
      <c r="DH149" s="2" t="s">
        <v>208</v>
      </c>
      <c r="DI149" s="2" t="s">
        <v>208</v>
      </c>
      <c r="DL149" s="2" t="s">
        <v>187</v>
      </c>
      <c r="DM149" s="2" t="s">
        <v>188</v>
      </c>
      <c r="DP149" s="2" t="s">
        <v>188</v>
      </c>
      <c r="DT149" s="2" t="s">
        <v>203</v>
      </c>
      <c r="DU149" s="2" t="s">
        <v>203</v>
      </c>
      <c r="DV149" s="2" t="s">
        <v>203</v>
      </c>
      <c r="DW149" s="2" t="s">
        <v>203</v>
      </c>
      <c r="DX149" s="2" t="s">
        <v>203</v>
      </c>
      <c r="DY149" s="2" t="s">
        <v>203</v>
      </c>
      <c r="DZ149" s="2" t="s">
        <v>203</v>
      </c>
      <c r="EA149" s="2" t="s">
        <v>203</v>
      </c>
      <c r="EB149" s="2" t="s">
        <v>203</v>
      </c>
      <c r="EJ149" s="2" t="s">
        <v>238</v>
      </c>
      <c r="EK149" s="2" t="s">
        <v>187</v>
      </c>
      <c r="EL149" s="2" t="s">
        <v>188</v>
      </c>
      <c r="EN149" s="2" t="s">
        <v>597</v>
      </c>
      <c r="EP149" s="2" t="s">
        <v>394</v>
      </c>
      <c r="ET149" s="2" t="s">
        <v>188</v>
      </c>
      <c r="EV149" s="2" t="s">
        <v>188</v>
      </c>
      <c r="EX149" s="2" t="s">
        <v>188</v>
      </c>
      <c r="EZ149" s="2" t="s">
        <v>188</v>
      </c>
      <c r="FC149" s="2" t="s">
        <v>216</v>
      </c>
      <c r="FD149" s="2" t="s">
        <v>188</v>
      </c>
      <c r="FH149" s="2" t="s">
        <v>188</v>
      </c>
      <c r="FJ149" s="2" t="s">
        <v>187</v>
      </c>
      <c r="FK149" s="2" t="s">
        <v>188</v>
      </c>
      <c r="FL149" s="2" t="s">
        <v>319</v>
      </c>
      <c r="FN149" s="2" t="s">
        <v>218</v>
      </c>
      <c r="FT149" s="2" t="s">
        <v>233</v>
      </c>
      <c r="FU149" s="2" t="s">
        <v>233</v>
      </c>
      <c r="FV149" s="2" t="s">
        <v>233</v>
      </c>
      <c r="FW149" s="2" t="s">
        <v>233</v>
      </c>
      <c r="FZ149" s="4">
        <v>46040.643217592595</v>
      </c>
    </row>
    <row r="150" spans="1:182">
      <c r="A150" s="2" t="s">
        <v>1252</v>
      </c>
      <c r="D150" s="4">
        <v>46296.426458333335</v>
      </c>
      <c r="E150" s="2" t="s">
        <v>1253</v>
      </c>
      <c r="F150" s="2" t="s">
        <v>480</v>
      </c>
      <c r="G150" s="2" t="s">
        <v>1206</v>
      </c>
      <c r="H150" s="2" t="s">
        <v>1254</v>
      </c>
      <c r="I150" s="2" t="s">
        <v>1255</v>
      </c>
      <c r="J150" s="2">
        <v>362079617</v>
      </c>
      <c r="K150" s="2" t="s">
        <v>1256</v>
      </c>
      <c r="L150" s="2" t="s">
        <v>182</v>
      </c>
      <c r="M150" s="2" t="s">
        <v>223</v>
      </c>
      <c r="N150" s="2">
        <v>2003</v>
      </c>
      <c r="O150" s="2" t="s">
        <v>184</v>
      </c>
      <c r="P150" s="2" t="s">
        <v>225</v>
      </c>
      <c r="Q150" s="2" t="s">
        <v>226</v>
      </c>
      <c r="R150" s="2" t="s">
        <v>188</v>
      </c>
      <c r="S150" s="2">
        <v>10</v>
      </c>
      <c r="T150" s="2" t="s">
        <v>188</v>
      </c>
      <c r="U150" s="2" t="s">
        <v>188</v>
      </c>
      <c r="Y150" s="2">
        <v>374</v>
      </c>
      <c r="Z150" s="2">
        <v>1</v>
      </c>
      <c r="AA150" s="2">
        <v>374</v>
      </c>
      <c r="AB150" s="2">
        <v>359</v>
      </c>
      <c r="AC150" s="2">
        <v>339</v>
      </c>
      <c r="AD150" s="2">
        <v>519</v>
      </c>
      <c r="AE150" s="2">
        <v>180</v>
      </c>
      <c r="AF150" s="2" t="s">
        <v>187</v>
      </c>
      <c r="AG150" s="2" t="s">
        <v>188</v>
      </c>
      <c r="AH150" s="2" t="s">
        <v>188</v>
      </c>
      <c r="AJ150" s="2" t="s">
        <v>188</v>
      </c>
      <c r="AK150" s="2" t="s">
        <v>187</v>
      </c>
      <c r="AL150" s="2" t="s">
        <v>188</v>
      </c>
      <c r="AM150" s="2" t="s">
        <v>188</v>
      </c>
      <c r="AN150" s="2" t="s">
        <v>188</v>
      </c>
      <c r="AO150" s="2" t="s">
        <v>188</v>
      </c>
      <c r="AR150" s="2">
        <v>3</v>
      </c>
      <c r="AS150" s="2">
        <v>2</v>
      </c>
      <c r="AT150" s="2">
        <v>5.2</v>
      </c>
      <c r="AU150" s="2" t="s">
        <v>238</v>
      </c>
      <c r="AV150" s="2" t="s">
        <v>238</v>
      </c>
      <c r="AW150" s="2" t="s">
        <v>188</v>
      </c>
      <c r="AZ150" s="2" t="s">
        <v>190</v>
      </c>
      <c r="BB150" s="2" t="s">
        <v>260</v>
      </c>
      <c r="BC150" s="2" t="s">
        <v>296</v>
      </c>
      <c r="BD150" s="2" t="s">
        <v>187</v>
      </c>
      <c r="BE150" s="2" t="s">
        <v>187</v>
      </c>
      <c r="BF150" s="2" t="s">
        <v>193</v>
      </c>
      <c r="BG150" s="2" t="s">
        <v>194</v>
      </c>
      <c r="BH150" s="2" t="s">
        <v>195</v>
      </c>
      <c r="BI150" s="2" t="s">
        <v>196</v>
      </c>
      <c r="BL150" s="2" t="s">
        <v>197</v>
      </c>
      <c r="BM150" s="2" t="s">
        <v>507</v>
      </c>
      <c r="BN150" s="2" t="s">
        <v>199</v>
      </c>
      <c r="BO150" s="2" t="s">
        <v>188</v>
      </c>
      <c r="BQ150" s="2" t="s">
        <v>227</v>
      </c>
      <c r="BS150" s="2" t="s">
        <v>187</v>
      </c>
      <c r="BT150" s="2" t="s">
        <v>484</v>
      </c>
      <c r="BV150" s="2" t="s">
        <v>630</v>
      </c>
      <c r="BX150" s="2" t="s">
        <v>187</v>
      </c>
      <c r="BY150" s="2" t="s">
        <v>1257</v>
      </c>
      <c r="BZ150" s="2" t="s">
        <v>209</v>
      </c>
      <c r="CA150" s="2" t="s">
        <v>1258</v>
      </c>
      <c r="CE150" s="2">
        <v>5.2</v>
      </c>
      <c r="CF150" s="2">
        <v>519</v>
      </c>
      <c r="CK150" s="2">
        <v>100</v>
      </c>
      <c r="CO150" s="2">
        <v>100</v>
      </c>
      <c r="CR150" s="2" t="s">
        <v>511</v>
      </c>
      <c r="CT150" s="2" t="s">
        <v>188</v>
      </c>
      <c r="CU150" s="2" t="s">
        <v>205</v>
      </c>
      <c r="CW150" s="2" t="s">
        <v>206</v>
      </c>
      <c r="CY150" s="2" t="s">
        <v>512</v>
      </c>
      <c r="CZ150" s="2" t="s">
        <v>512</v>
      </c>
      <c r="DA150" s="2" t="s">
        <v>300</v>
      </c>
      <c r="DB150" s="2" t="s">
        <v>300</v>
      </c>
      <c r="DC150" s="2" t="s">
        <v>988</v>
      </c>
      <c r="DD150" s="2" t="s">
        <v>988</v>
      </c>
      <c r="DE150" s="2" t="s">
        <v>988</v>
      </c>
      <c r="DF150" s="2" t="s">
        <v>988</v>
      </c>
      <c r="DG150" s="2" t="s">
        <v>512</v>
      </c>
      <c r="DH150" s="2" t="s">
        <v>512</v>
      </c>
      <c r="DI150" s="2" t="s">
        <v>300</v>
      </c>
      <c r="DL150" s="2" t="s">
        <v>187</v>
      </c>
      <c r="DM150" s="2" t="s">
        <v>187</v>
      </c>
      <c r="DN150" s="2" t="s">
        <v>187</v>
      </c>
      <c r="DO150" s="2" t="s">
        <v>187</v>
      </c>
      <c r="DP150" s="2" t="s">
        <v>209</v>
      </c>
      <c r="DQ150" s="2" t="s">
        <v>210</v>
      </c>
      <c r="DT150" s="2" t="s">
        <v>209</v>
      </c>
      <c r="DU150" s="2" t="s">
        <v>209</v>
      </c>
      <c r="DV150" s="2" t="s">
        <v>209</v>
      </c>
      <c r="DW150" s="2" t="s">
        <v>209</v>
      </c>
      <c r="DX150" s="2" t="s">
        <v>209</v>
      </c>
      <c r="DY150" s="2" t="s">
        <v>203</v>
      </c>
      <c r="DZ150" s="2" t="s">
        <v>203</v>
      </c>
      <c r="EA150" s="2" t="s">
        <v>203</v>
      </c>
      <c r="EB150" s="2" t="s">
        <v>209</v>
      </c>
      <c r="EC150" s="2" t="s">
        <v>203</v>
      </c>
      <c r="ED150" s="2" t="s">
        <v>203</v>
      </c>
      <c r="EF150" s="2" t="s">
        <v>189</v>
      </c>
      <c r="EG150" s="2" t="s">
        <v>1259</v>
      </c>
      <c r="EJ150" s="2" t="s">
        <v>238</v>
      </c>
      <c r="EK150" s="2" t="s">
        <v>187</v>
      </c>
      <c r="EL150" s="2" t="s">
        <v>188</v>
      </c>
      <c r="EN150" s="2" t="s">
        <v>214</v>
      </c>
      <c r="EP150" s="2" t="s">
        <v>230</v>
      </c>
      <c r="ER150" s="2" t="s">
        <v>187</v>
      </c>
      <c r="ET150" s="2" t="s">
        <v>188</v>
      </c>
      <c r="EV150" s="2" t="s">
        <v>187</v>
      </c>
      <c r="EW150" s="2" t="s">
        <v>215</v>
      </c>
      <c r="EX150" s="2" t="s">
        <v>188</v>
      </c>
      <c r="EZ150" s="2" t="s">
        <v>188</v>
      </c>
      <c r="FC150" s="2" t="s">
        <v>263</v>
      </c>
      <c r="FD150" s="2" t="s">
        <v>188</v>
      </c>
      <c r="FH150" s="2" t="s">
        <v>188</v>
      </c>
      <c r="FJ150" s="2" t="s">
        <v>188</v>
      </c>
      <c r="FK150" s="2" t="s">
        <v>188</v>
      </c>
      <c r="FN150" s="2" t="s">
        <v>488</v>
      </c>
      <c r="FR150" s="2" t="s">
        <v>1260</v>
      </c>
      <c r="FT150" s="2" t="s">
        <v>233</v>
      </c>
      <c r="FU150" s="2" t="s">
        <v>233</v>
      </c>
      <c r="FV150" s="2" t="s">
        <v>233</v>
      </c>
      <c r="FW150" s="2" t="s">
        <v>233</v>
      </c>
      <c r="FZ150" s="4">
        <v>46049.420358796298</v>
      </c>
    </row>
    <row r="151" spans="1:182">
      <c r="A151" s="2" t="s">
        <v>1261</v>
      </c>
      <c r="D151" s="4">
        <v>46296.416145833333</v>
      </c>
      <c r="E151" s="2" t="s">
        <v>1262</v>
      </c>
      <c r="F151" s="2" t="s">
        <v>425</v>
      </c>
      <c r="G151" s="2" t="s">
        <v>1206</v>
      </c>
      <c r="H151" s="2" t="s">
        <v>1263</v>
      </c>
      <c r="I151" s="2" t="s">
        <v>1264</v>
      </c>
      <c r="J151" s="2">
        <v>359737370</v>
      </c>
      <c r="K151" s="2" t="s">
        <v>1264</v>
      </c>
      <c r="L151" s="2" t="s">
        <v>182</v>
      </c>
      <c r="M151" s="2" t="s">
        <v>183</v>
      </c>
      <c r="N151" s="2">
        <v>1974</v>
      </c>
      <c r="O151" s="2" t="s">
        <v>224</v>
      </c>
      <c r="P151" s="2" t="s">
        <v>185</v>
      </c>
      <c r="Q151" s="2" t="s">
        <v>226</v>
      </c>
      <c r="R151" s="2" t="s">
        <v>188</v>
      </c>
      <c r="S151" s="2">
        <v>30</v>
      </c>
      <c r="T151" s="2" t="s">
        <v>188</v>
      </c>
      <c r="U151" s="2" t="s">
        <v>188</v>
      </c>
      <c r="Y151" s="2">
        <v>1350</v>
      </c>
      <c r="Z151" s="2">
        <v>0.90369999999999995</v>
      </c>
      <c r="AA151" s="2">
        <v>1220</v>
      </c>
      <c r="AB151" s="2">
        <v>1220</v>
      </c>
      <c r="AC151" s="2">
        <v>1120</v>
      </c>
      <c r="AD151" s="2">
        <v>1400</v>
      </c>
      <c r="AE151" s="2">
        <v>280</v>
      </c>
      <c r="AF151" s="2" t="s">
        <v>188</v>
      </c>
      <c r="AG151" s="2" t="s">
        <v>187</v>
      </c>
      <c r="AH151" s="2" t="s">
        <v>188</v>
      </c>
      <c r="AJ151" s="2" t="s">
        <v>188</v>
      </c>
      <c r="AK151" s="2" t="s">
        <v>188</v>
      </c>
      <c r="AL151" s="2" t="s">
        <v>187</v>
      </c>
      <c r="AM151" s="2" t="s">
        <v>188</v>
      </c>
      <c r="AN151" s="2" t="s">
        <v>188</v>
      </c>
      <c r="AO151" s="2" t="s">
        <v>188</v>
      </c>
      <c r="AR151" s="2">
        <v>4</v>
      </c>
      <c r="AS151" s="2">
        <v>3</v>
      </c>
      <c r="AT151" s="2">
        <v>14</v>
      </c>
      <c r="AU151" s="2" t="s">
        <v>189</v>
      </c>
      <c r="AV151" s="2" t="s">
        <v>189</v>
      </c>
      <c r="AW151" s="2" t="s">
        <v>188</v>
      </c>
      <c r="AZ151" s="2" t="s">
        <v>190</v>
      </c>
      <c r="BB151" s="2" t="s">
        <v>260</v>
      </c>
      <c r="BC151" s="2" t="s">
        <v>192</v>
      </c>
      <c r="BD151" s="2" t="s">
        <v>187</v>
      </c>
      <c r="BE151" s="2" t="s">
        <v>188</v>
      </c>
      <c r="BL151" s="2" t="s">
        <v>197</v>
      </c>
      <c r="BM151" s="2" t="s">
        <v>198</v>
      </c>
      <c r="BN151" s="2" t="s">
        <v>199</v>
      </c>
      <c r="BO151" s="2" t="s">
        <v>188</v>
      </c>
      <c r="BQ151" s="2" t="s">
        <v>227</v>
      </c>
      <c r="BS151" s="2" t="s">
        <v>187</v>
      </c>
      <c r="BT151" s="2" t="s">
        <v>69</v>
      </c>
      <c r="BU151" s="2" t="s">
        <v>1265</v>
      </c>
      <c r="BV151" s="2" t="s">
        <v>567</v>
      </c>
      <c r="BX151" s="2" t="s">
        <v>188</v>
      </c>
      <c r="BY151" s="2" t="s">
        <v>1266</v>
      </c>
      <c r="BZ151" s="2" t="s">
        <v>188</v>
      </c>
      <c r="CE151" s="2">
        <v>14</v>
      </c>
      <c r="CF151" s="2">
        <v>1400</v>
      </c>
      <c r="CH151" s="2">
        <v>0</v>
      </c>
      <c r="CI151" s="2">
        <v>0</v>
      </c>
      <c r="CJ151" s="2">
        <v>0</v>
      </c>
      <c r="CK151" s="2">
        <v>0</v>
      </c>
      <c r="CL151" s="2">
        <v>0</v>
      </c>
      <c r="CM151" s="2">
        <v>100</v>
      </c>
      <c r="CO151" s="2">
        <v>100</v>
      </c>
      <c r="CP151" s="2">
        <v>0</v>
      </c>
      <c r="CQ151" s="2">
        <v>0</v>
      </c>
      <c r="CR151" s="2" t="s">
        <v>204</v>
      </c>
      <c r="CT151" s="2" t="s">
        <v>188</v>
      </c>
      <c r="CU151" s="2" t="s">
        <v>205</v>
      </c>
      <c r="CW151" s="2" t="s">
        <v>206</v>
      </c>
      <c r="CY151" s="2" t="s">
        <v>207</v>
      </c>
      <c r="CZ151" s="2" t="s">
        <v>207</v>
      </c>
      <c r="DA151" s="2" t="s">
        <v>300</v>
      </c>
      <c r="DB151" s="2" t="s">
        <v>430</v>
      </c>
      <c r="DC151" s="2" t="s">
        <v>300</v>
      </c>
      <c r="DD151" s="2" t="s">
        <v>430</v>
      </c>
      <c r="DE151" s="2" t="s">
        <v>300</v>
      </c>
      <c r="DF151" s="2" t="s">
        <v>207</v>
      </c>
      <c r="DG151" s="2" t="s">
        <v>207</v>
      </c>
      <c r="DH151" s="2" t="s">
        <v>207</v>
      </c>
      <c r="DI151" s="2" t="s">
        <v>300</v>
      </c>
      <c r="DL151" s="2" t="s">
        <v>187</v>
      </c>
      <c r="DM151" s="2" t="s">
        <v>187</v>
      </c>
      <c r="DN151" s="2" t="s">
        <v>187</v>
      </c>
      <c r="DO151" s="2" t="s">
        <v>187</v>
      </c>
      <c r="DP151" s="2" t="s">
        <v>209</v>
      </c>
      <c r="DQ151" s="2" t="s">
        <v>467</v>
      </c>
      <c r="DR151" s="2" t="s">
        <v>1267</v>
      </c>
      <c r="DT151" s="2" t="s">
        <v>209</v>
      </c>
      <c r="DU151" s="2" t="s">
        <v>209</v>
      </c>
      <c r="DV151" s="2" t="s">
        <v>209</v>
      </c>
      <c r="DW151" s="2" t="s">
        <v>209</v>
      </c>
      <c r="DX151" s="2" t="s">
        <v>209</v>
      </c>
      <c r="DY151" s="2" t="s">
        <v>209</v>
      </c>
      <c r="DZ151" s="2" t="s">
        <v>209</v>
      </c>
      <c r="EA151" s="2" t="s">
        <v>209</v>
      </c>
      <c r="EB151" s="2" t="s">
        <v>209</v>
      </c>
      <c r="EC151" s="2" t="s">
        <v>188</v>
      </c>
      <c r="ED151" s="2" t="s">
        <v>188</v>
      </c>
      <c r="EE151" s="2" t="s">
        <v>188</v>
      </c>
      <c r="EF151" s="2" t="s">
        <v>189</v>
      </c>
      <c r="EG151" s="2" t="s">
        <v>1268</v>
      </c>
      <c r="EJ151" s="2" t="s">
        <v>238</v>
      </c>
      <c r="EK151" s="2" t="s">
        <v>187</v>
      </c>
      <c r="EL151" s="2" t="s">
        <v>188</v>
      </c>
      <c r="EN151" s="2" t="s">
        <v>214</v>
      </c>
      <c r="EP151" s="2" t="s">
        <v>230</v>
      </c>
      <c r="ER151" s="2" t="s">
        <v>187</v>
      </c>
      <c r="ET151" s="2" t="s">
        <v>188</v>
      </c>
      <c r="EV151" s="2" t="s">
        <v>187</v>
      </c>
      <c r="EW151" s="2" t="s">
        <v>215</v>
      </c>
      <c r="EX151" s="2" t="s">
        <v>188</v>
      </c>
      <c r="EZ151" s="2" t="s">
        <v>188</v>
      </c>
      <c r="FC151" s="2" t="s">
        <v>263</v>
      </c>
      <c r="FD151" s="2" t="s">
        <v>188</v>
      </c>
      <c r="FH151" s="2" t="s">
        <v>188</v>
      </c>
      <c r="FJ151" s="2" t="s">
        <v>188</v>
      </c>
      <c r="FK151" s="2" t="s">
        <v>188</v>
      </c>
      <c r="FN151" s="2" t="s">
        <v>291</v>
      </c>
      <c r="FO151" s="2" t="s">
        <v>1166</v>
      </c>
      <c r="FR151" s="2" t="s">
        <v>1269</v>
      </c>
      <c r="FT151" s="2" t="s">
        <v>233</v>
      </c>
      <c r="FU151" s="2" t="s">
        <v>219</v>
      </c>
      <c r="FV151" s="2" t="s">
        <v>219</v>
      </c>
      <c r="FW151" s="2" t="s">
        <v>219</v>
      </c>
      <c r="FX151" s="2" t="s">
        <v>490</v>
      </c>
      <c r="FZ151" s="4">
        <v>46041.48159722222</v>
      </c>
    </row>
    <row r="152" spans="1:182">
      <c r="A152" s="2" t="s">
        <v>1270</v>
      </c>
      <c r="D152" s="4">
        <v>46296.42763888889</v>
      </c>
      <c r="E152" s="2" t="s">
        <v>177</v>
      </c>
      <c r="F152" s="2" t="s">
        <v>293</v>
      </c>
      <c r="G152" s="2" t="s">
        <v>1206</v>
      </c>
      <c r="H152" s="2" t="s">
        <v>1263</v>
      </c>
      <c r="I152" s="2" t="s">
        <v>1271</v>
      </c>
      <c r="J152" s="2">
        <v>362660116</v>
      </c>
      <c r="K152" s="2" t="s">
        <v>1272</v>
      </c>
      <c r="L152" s="2" t="s">
        <v>182</v>
      </c>
      <c r="M152" s="2" t="s">
        <v>223</v>
      </c>
      <c r="N152" s="2">
        <v>1957</v>
      </c>
      <c r="O152" s="2" t="s">
        <v>224</v>
      </c>
      <c r="P152" s="2" t="s">
        <v>225</v>
      </c>
      <c r="Q152" s="2" t="s">
        <v>186</v>
      </c>
      <c r="R152" s="2" t="s">
        <v>188</v>
      </c>
      <c r="S152" s="2">
        <v>1995</v>
      </c>
      <c r="T152" s="2" t="s">
        <v>188</v>
      </c>
      <c r="U152" s="2" t="s">
        <v>188</v>
      </c>
      <c r="Y152" s="2">
        <v>670</v>
      </c>
      <c r="Z152" s="2">
        <v>0.89549999999999996</v>
      </c>
      <c r="AA152" s="2">
        <v>600</v>
      </c>
      <c r="AB152" s="2">
        <v>500</v>
      </c>
      <c r="AC152" s="2">
        <v>260</v>
      </c>
      <c r="AD152" s="2">
        <v>300</v>
      </c>
      <c r="AE152" s="2">
        <v>40</v>
      </c>
      <c r="AF152" s="2" t="s">
        <v>188</v>
      </c>
      <c r="AG152" s="2" t="s">
        <v>187</v>
      </c>
      <c r="AH152" s="2" t="s">
        <v>187</v>
      </c>
      <c r="AI152" s="2" t="s">
        <v>1273</v>
      </c>
      <c r="AJ152" s="2" t="s">
        <v>188</v>
      </c>
      <c r="AK152" s="2" t="s">
        <v>187</v>
      </c>
      <c r="AL152" s="2" t="s">
        <v>187</v>
      </c>
      <c r="AM152" s="2" t="s">
        <v>188</v>
      </c>
      <c r="AN152" s="2" t="s">
        <v>188</v>
      </c>
      <c r="AO152" s="2" t="s">
        <v>188</v>
      </c>
      <c r="AR152" s="2">
        <v>1.2</v>
      </c>
      <c r="AS152" s="2">
        <v>1</v>
      </c>
      <c r="AT152" s="2">
        <v>3</v>
      </c>
      <c r="AU152" s="2" t="s">
        <v>189</v>
      </c>
      <c r="AV152" s="2" t="s">
        <v>238</v>
      </c>
      <c r="AW152" s="2" t="s">
        <v>188</v>
      </c>
      <c r="AZ152" s="2" t="s">
        <v>357</v>
      </c>
      <c r="BB152" s="2" t="s">
        <v>260</v>
      </c>
      <c r="BC152" s="2" t="s">
        <v>253</v>
      </c>
      <c r="BD152" s="2" t="s">
        <v>188</v>
      </c>
      <c r="BE152" s="2" t="s">
        <v>188</v>
      </c>
      <c r="BL152" s="2" t="s">
        <v>240</v>
      </c>
      <c r="BM152" s="2" t="s">
        <v>198</v>
      </c>
      <c r="BN152" s="2" t="s">
        <v>199</v>
      </c>
      <c r="BO152" s="2" t="s">
        <v>188</v>
      </c>
      <c r="BQ152" s="2" t="s">
        <v>227</v>
      </c>
      <c r="BS152" s="2" t="s">
        <v>187</v>
      </c>
      <c r="BT152" s="2" t="s">
        <v>1171</v>
      </c>
      <c r="BV152" s="2" t="s">
        <v>587</v>
      </c>
      <c r="BX152" s="2" t="s">
        <v>187</v>
      </c>
      <c r="BY152" s="2" t="s">
        <v>1274</v>
      </c>
      <c r="BZ152" s="2" t="s">
        <v>203</v>
      </c>
      <c r="CE152" s="2">
        <v>3</v>
      </c>
      <c r="CF152" s="2">
        <v>290</v>
      </c>
      <c r="CK152" s="2">
        <v>100</v>
      </c>
      <c r="CO152" s="2">
        <v>100</v>
      </c>
      <c r="CR152" s="2" t="s">
        <v>204</v>
      </c>
      <c r="CT152" s="2" t="s">
        <v>188</v>
      </c>
      <c r="CU152" s="2" t="s">
        <v>205</v>
      </c>
      <c r="CW152" s="2" t="s">
        <v>206</v>
      </c>
      <c r="CY152" s="2" t="s">
        <v>207</v>
      </c>
      <c r="CZ152" s="2" t="s">
        <v>207</v>
      </c>
      <c r="DA152" s="2" t="s">
        <v>300</v>
      </c>
      <c r="DB152" s="2" t="s">
        <v>301</v>
      </c>
      <c r="DC152" s="2" t="s">
        <v>300</v>
      </c>
      <c r="DD152" s="2" t="s">
        <v>301</v>
      </c>
      <c r="DE152" s="2" t="s">
        <v>300</v>
      </c>
      <c r="DF152" s="2" t="s">
        <v>207</v>
      </c>
      <c r="DG152" s="2" t="s">
        <v>273</v>
      </c>
      <c r="DH152" s="2" t="s">
        <v>207</v>
      </c>
      <c r="DI152" s="2" t="s">
        <v>207</v>
      </c>
      <c r="DL152" s="2" t="s">
        <v>187</v>
      </c>
      <c r="DM152" s="2" t="s">
        <v>187</v>
      </c>
      <c r="DN152" s="2" t="s">
        <v>187</v>
      </c>
      <c r="DO152" s="2" t="s">
        <v>187</v>
      </c>
      <c r="DP152" s="2" t="s">
        <v>209</v>
      </c>
      <c r="DQ152" s="2" t="s">
        <v>210</v>
      </c>
      <c r="DT152" s="2" t="s">
        <v>209</v>
      </c>
      <c r="DU152" s="2" t="s">
        <v>209</v>
      </c>
      <c r="DV152" s="2" t="s">
        <v>209</v>
      </c>
      <c r="DW152" s="2" t="s">
        <v>209</v>
      </c>
      <c r="DX152" s="2" t="s">
        <v>209</v>
      </c>
      <c r="DY152" s="2" t="s">
        <v>209</v>
      </c>
      <c r="DZ152" s="2" t="s">
        <v>209</v>
      </c>
      <c r="EA152" s="2" t="s">
        <v>209</v>
      </c>
      <c r="EB152" s="2" t="s">
        <v>203</v>
      </c>
      <c r="EC152" s="2" t="s">
        <v>203</v>
      </c>
      <c r="ED152" s="2" t="s">
        <v>203</v>
      </c>
      <c r="EF152" s="2" t="s">
        <v>211</v>
      </c>
      <c r="EJ152" s="2" t="s">
        <v>238</v>
      </c>
      <c r="EK152" s="2" t="s">
        <v>187</v>
      </c>
      <c r="EL152" s="2" t="s">
        <v>188</v>
      </c>
      <c r="EN152" s="2" t="s">
        <v>214</v>
      </c>
      <c r="EP152" s="2" t="s">
        <v>230</v>
      </c>
      <c r="ER152" s="2" t="s">
        <v>187</v>
      </c>
      <c r="ET152" s="2" t="s">
        <v>188</v>
      </c>
      <c r="EV152" s="2" t="s">
        <v>187</v>
      </c>
      <c r="EW152" s="2" t="s">
        <v>189</v>
      </c>
      <c r="EX152" s="2" t="s">
        <v>187</v>
      </c>
      <c r="EY152" s="2" t="s">
        <v>189</v>
      </c>
      <c r="EZ152" s="2" t="s">
        <v>188</v>
      </c>
      <c r="FC152" s="2" t="s">
        <v>216</v>
      </c>
      <c r="FD152" s="2" t="s">
        <v>188</v>
      </c>
      <c r="FE152" s="2" t="s">
        <v>189</v>
      </c>
      <c r="FH152" s="2" t="s">
        <v>188</v>
      </c>
      <c r="FJ152" s="2" t="s">
        <v>187</v>
      </c>
      <c r="FK152" s="2" t="s">
        <v>209</v>
      </c>
      <c r="FL152" s="2" t="s">
        <v>327</v>
      </c>
      <c r="FN152" s="2" t="s">
        <v>1091</v>
      </c>
      <c r="FO152" s="2" t="s">
        <v>1275</v>
      </c>
      <c r="FT152" s="2" t="s">
        <v>219</v>
      </c>
      <c r="FU152" s="2" t="s">
        <v>233</v>
      </c>
      <c r="FV152" s="2" t="s">
        <v>233</v>
      </c>
      <c r="FW152" s="2" t="s">
        <v>233</v>
      </c>
      <c r="FZ152" s="4">
        <v>46039.651226851849</v>
      </c>
    </row>
    <row r="153" spans="1:182">
      <c r="A153" s="2" t="s">
        <v>1276</v>
      </c>
      <c r="D153" s="4">
        <v>46296.433159722219</v>
      </c>
      <c r="E153" s="2" t="s">
        <v>1277</v>
      </c>
      <c r="F153" s="2" t="s">
        <v>398</v>
      </c>
      <c r="G153" s="2" t="s">
        <v>1206</v>
      </c>
      <c r="H153" s="2" t="s">
        <v>1278</v>
      </c>
      <c r="I153" s="2" t="s">
        <v>1279</v>
      </c>
      <c r="J153" s="2">
        <v>356423495</v>
      </c>
      <c r="K153" s="2" t="s">
        <v>1279</v>
      </c>
      <c r="L153" s="2" t="s">
        <v>182</v>
      </c>
      <c r="M153" s="2" t="s">
        <v>183</v>
      </c>
      <c r="N153" s="2">
        <v>1973</v>
      </c>
      <c r="O153" s="2" t="s">
        <v>224</v>
      </c>
      <c r="P153" s="2" t="s">
        <v>185</v>
      </c>
      <c r="Q153" s="2" t="s">
        <v>186</v>
      </c>
      <c r="R153" s="2" t="s">
        <v>188</v>
      </c>
      <c r="S153" s="2">
        <v>12</v>
      </c>
      <c r="T153" s="2" t="s">
        <v>188</v>
      </c>
      <c r="U153" s="2" t="s">
        <v>188</v>
      </c>
      <c r="Y153" s="2">
        <v>1514</v>
      </c>
      <c r="Z153" s="2">
        <v>0.99080000000000001</v>
      </c>
      <c r="AA153" s="2">
        <v>1500</v>
      </c>
      <c r="AB153" s="2">
        <v>1500</v>
      </c>
      <c r="AC153" s="2">
        <v>1500</v>
      </c>
      <c r="AD153" s="2">
        <v>1650</v>
      </c>
      <c r="AE153" s="2">
        <v>150</v>
      </c>
      <c r="AF153" s="2" t="s">
        <v>188</v>
      </c>
      <c r="AG153" s="2" t="s">
        <v>188</v>
      </c>
      <c r="AH153" s="2" t="s">
        <v>188</v>
      </c>
      <c r="AJ153" s="2" t="s">
        <v>188</v>
      </c>
      <c r="AK153" s="2" t="s">
        <v>187</v>
      </c>
      <c r="AL153" s="2" t="s">
        <v>187</v>
      </c>
      <c r="AM153" s="2" t="s">
        <v>188</v>
      </c>
      <c r="AN153" s="2" t="s">
        <v>188</v>
      </c>
      <c r="AO153" s="2" t="s">
        <v>188</v>
      </c>
      <c r="AR153" s="2">
        <v>4</v>
      </c>
      <c r="AS153" s="2">
        <v>4</v>
      </c>
      <c r="AT153" s="2">
        <v>15</v>
      </c>
      <c r="AU153" s="2" t="s">
        <v>189</v>
      </c>
      <c r="AV153" s="2" t="s">
        <v>189</v>
      </c>
      <c r="AW153" s="2" t="s">
        <v>188</v>
      </c>
      <c r="BC153" s="2" t="s">
        <v>192</v>
      </c>
      <c r="BD153" s="2" t="s">
        <v>187</v>
      </c>
      <c r="BE153" s="2" t="s">
        <v>188</v>
      </c>
      <c r="BL153" s="2" t="s">
        <v>197</v>
      </c>
      <c r="BM153" s="2" t="s">
        <v>198</v>
      </c>
      <c r="BN153" s="2" t="s">
        <v>199</v>
      </c>
      <c r="BO153" s="2" t="s">
        <v>188</v>
      </c>
      <c r="BQ153" s="2" t="s">
        <v>200</v>
      </c>
      <c r="BS153" s="2" t="s">
        <v>187</v>
      </c>
      <c r="BT153" s="2" t="s">
        <v>201</v>
      </c>
      <c r="BV153" s="2" t="s">
        <v>587</v>
      </c>
      <c r="BX153" s="2" t="s">
        <v>188</v>
      </c>
      <c r="BY153" s="2" t="s">
        <v>1280</v>
      </c>
      <c r="BZ153" s="2" t="s">
        <v>203</v>
      </c>
      <c r="CE153" s="2">
        <v>15</v>
      </c>
      <c r="CF153" s="2">
        <v>1650</v>
      </c>
      <c r="CK153" s="2">
        <v>20</v>
      </c>
      <c r="CM153" s="2">
        <v>80</v>
      </c>
      <c r="CP153" s="2">
        <v>100</v>
      </c>
      <c r="CR153" s="2" t="s">
        <v>343</v>
      </c>
      <c r="CT153" s="2" t="s">
        <v>188</v>
      </c>
      <c r="CU153" s="2" t="s">
        <v>205</v>
      </c>
      <c r="CW153" s="2" t="s">
        <v>206</v>
      </c>
      <c r="CY153" s="2" t="s">
        <v>207</v>
      </c>
      <c r="CZ153" s="2" t="s">
        <v>207</v>
      </c>
      <c r="DA153" s="2" t="s">
        <v>300</v>
      </c>
      <c r="DB153" s="2" t="s">
        <v>300</v>
      </c>
      <c r="DC153" s="2" t="s">
        <v>300</v>
      </c>
      <c r="DD153" s="2" t="s">
        <v>300</v>
      </c>
      <c r="DE153" s="2" t="s">
        <v>300</v>
      </c>
      <c r="DF153" s="2" t="s">
        <v>207</v>
      </c>
      <c r="DG153" s="2" t="s">
        <v>207</v>
      </c>
      <c r="DH153" s="2" t="s">
        <v>207</v>
      </c>
      <c r="DI153" s="2" t="s">
        <v>207</v>
      </c>
      <c r="DL153" s="2" t="s">
        <v>187</v>
      </c>
      <c r="DM153" s="2" t="s">
        <v>187</v>
      </c>
      <c r="DN153" s="2" t="s">
        <v>187</v>
      </c>
      <c r="DO153" s="2" t="s">
        <v>187</v>
      </c>
      <c r="DP153" s="2" t="s">
        <v>209</v>
      </c>
      <c r="DQ153" s="2" t="s">
        <v>467</v>
      </c>
      <c r="DR153" s="2" t="s">
        <v>1281</v>
      </c>
      <c r="DT153" s="2" t="s">
        <v>209</v>
      </c>
      <c r="DU153" s="2" t="s">
        <v>209</v>
      </c>
      <c r="DV153" s="2" t="s">
        <v>209</v>
      </c>
      <c r="DW153" s="2" t="s">
        <v>209</v>
      </c>
      <c r="DX153" s="2" t="s">
        <v>209</v>
      </c>
      <c r="DY153" s="2" t="s">
        <v>209</v>
      </c>
      <c r="DZ153" s="2" t="s">
        <v>188</v>
      </c>
      <c r="EA153" s="2" t="s">
        <v>209</v>
      </c>
      <c r="EB153" s="2" t="s">
        <v>209</v>
      </c>
      <c r="EC153" s="2" t="s">
        <v>188</v>
      </c>
      <c r="EF153" s="2" t="s">
        <v>189</v>
      </c>
      <c r="EG153" s="2" t="s">
        <v>1282</v>
      </c>
      <c r="EJ153" s="2" t="s">
        <v>189</v>
      </c>
      <c r="EK153" s="2" t="s">
        <v>187</v>
      </c>
      <c r="EL153" s="2" t="s">
        <v>188</v>
      </c>
      <c r="EN153" s="2" t="s">
        <v>255</v>
      </c>
      <c r="EP153" s="2" t="s">
        <v>230</v>
      </c>
      <c r="ER153" s="2" t="s">
        <v>187</v>
      </c>
      <c r="ET153" s="2" t="s">
        <v>188</v>
      </c>
      <c r="EV153" s="2" t="s">
        <v>187</v>
      </c>
      <c r="EW153" s="2" t="s">
        <v>189</v>
      </c>
      <c r="EX153" s="2" t="s">
        <v>187</v>
      </c>
      <c r="EY153" s="2" t="s">
        <v>189</v>
      </c>
      <c r="EZ153" s="2" t="s">
        <v>188</v>
      </c>
      <c r="FC153" s="2" t="s">
        <v>216</v>
      </c>
      <c r="FD153" s="2" t="s">
        <v>188</v>
      </c>
      <c r="FH153" s="2" t="s">
        <v>188</v>
      </c>
      <c r="FJ153" s="2" t="s">
        <v>188</v>
      </c>
      <c r="FK153" s="2" t="s">
        <v>209</v>
      </c>
      <c r="FL153" s="2" t="s">
        <v>274</v>
      </c>
      <c r="FN153" s="2" t="s">
        <v>432</v>
      </c>
      <c r="FR153" s="2" t="s">
        <v>1283</v>
      </c>
      <c r="FT153" s="2" t="s">
        <v>233</v>
      </c>
      <c r="FU153" s="2" t="s">
        <v>233</v>
      </c>
      <c r="FV153" s="2" t="s">
        <v>233</v>
      </c>
      <c r="FW153" s="2" t="s">
        <v>233</v>
      </c>
      <c r="FX153" s="2" t="s">
        <v>233</v>
      </c>
      <c r="FY153" s="2" t="s">
        <v>1284</v>
      </c>
      <c r="FZ153" s="4">
        <v>46038.510254629633</v>
      </c>
    </row>
    <row r="154" spans="1:182">
      <c r="A154" s="2" t="s">
        <v>1285</v>
      </c>
      <c r="D154" s="4">
        <v>46296.435231481482</v>
      </c>
      <c r="E154" s="2" t="s">
        <v>1286</v>
      </c>
      <c r="F154" s="2" t="s">
        <v>480</v>
      </c>
      <c r="G154" s="2" t="s">
        <v>1206</v>
      </c>
      <c r="H154" s="2" t="s">
        <v>1212</v>
      </c>
      <c r="I154" s="2" t="s">
        <v>1287</v>
      </c>
      <c r="J154" s="2">
        <v>336723317</v>
      </c>
      <c r="K154" s="2" t="s">
        <v>1288</v>
      </c>
      <c r="L154" s="2" t="s">
        <v>182</v>
      </c>
      <c r="M154" s="2" t="s">
        <v>223</v>
      </c>
      <c r="N154" s="2">
        <v>1996</v>
      </c>
      <c r="O154" s="2" t="s">
        <v>184</v>
      </c>
      <c r="P154" s="2" t="s">
        <v>225</v>
      </c>
      <c r="Q154" s="2" t="s">
        <v>270</v>
      </c>
      <c r="R154" s="2" t="s">
        <v>188</v>
      </c>
      <c r="S154" s="2">
        <v>16</v>
      </c>
      <c r="T154" s="2" t="s">
        <v>188</v>
      </c>
      <c r="U154" s="2" t="s">
        <v>188</v>
      </c>
      <c r="Y154" s="2">
        <v>150</v>
      </c>
      <c r="Z154" s="2">
        <v>0.93330000000000002</v>
      </c>
      <c r="AA154" s="2">
        <v>140</v>
      </c>
      <c r="AB154" s="2">
        <v>100</v>
      </c>
      <c r="AC154" s="2">
        <v>100</v>
      </c>
      <c r="AD154" s="2">
        <v>148</v>
      </c>
      <c r="AE154" s="2">
        <v>48</v>
      </c>
      <c r="AF154" s="2" t="s">
        <v>188</v>
      </c>
      <c r="AG154" s="2" t="s">
        <v>188</v>
      </c>
      <c r="AH154" s="2" t="s">
        <v>188</v>
      </c>
      <c r="AJ154" s="2" t="s">
        <v>188</v>
      </c>
      <c r="AK154" s="2" t="s">
        <v>187</v>
      </c>
      <c r="AM154" s="2" t="s">
        <v>187</v>
      </c>
      <c r="AN154" s="2" t="s">
        <v>188</v>
      </c>
      <c r="AO154" s="2" t="s">
        <v>188</v>
      </c>
      <c r="AR154" s="2">
        <v>1.5</v>
      </c>
      <c r="AS154" s="2">
        <v>3</v>
      </c>
      <c r="AT154" s="2">
        <v>1.5</v>
      </c>
      <c r="AU154" s="2" t="s">
        <v>238</v>
      </c>
      <c r="AV154" s="2" t="s">
        <v>238</v>
      </c>
      <c r="AW154" s="2" t="s">
        <v>188</v>
      </c>
      <c r="AZ154" s="2" t="s">
        <v>190</v>
      </c>
      <c r="BB154" s="2" t="s">
        <v>191</v>
      </c>
      <c r="BC154" s="2" t="s">
        <v>296</v>
      </c>
      <c r="BD154" s="2" t="s">
        <v>188</v>
      </c>
      <c r="BE154" s="2" t="s">
        <v>187</v>
      </c>
      <c r="BF154" s="2" t="s">
        <v>193</v>
      </c>
      <c r="BG154" s="2" t="s">
        <v>194</v>
      </c>
      <c r="BH154" s="2" t="s">
        <v>195</v>
      </c>
      <c r="BI154" s="2" t="s">
        <v>196</v>
      </c>
      <c r="BL154" s="2" t="s">
        <v>240</v>
      </c>
      <c r="BO154" s="2" t="s">
        <v>341</v>
      </c>
      <c r="BP154" s="2" t="s">
        <v>870</v>
      </c>
      <c r="BS154" s="2" t="s">
        <v>187</v>
      </c>
      <c r="BT154" s="2" t="s">
        <v>484</v>
      </c>
      <c r="BV154" s="2" t="s">
        <v>1289</v>
      </c>
      <c r="BX154" s="2" t="s">
        <v>187</v>
      </c>
      <c r="BY154" s="2" t="s">
        <v>705</v>
      </c>
      <c r="BZ154" s="2" t="s">
        <v>188</v>
      </c>
      <c r="CE154" s="2">
        <v>1.5</v>
      </c>
      <c r="CF154" s="2">
        <v>148</v>
      </c>
      <c r="CK154" s="2">
        <v>100</v>
      </c>
      <c r="CO154" s="2">
        <v>100</v>
      </c>
      <c r="CR154" s="2" t="s">
        <v>511</v>
      </c>
      <c r="CT154" s="2" t="s">
        <v>188</v>
      </c>
      <c r="CU154" s="2" t="s">
        <v>205</v>
      </c>
      <c r="CW154" s="2" t="s">
        <v>206</v>
      </c>
      <c r="CY154" s="2" t="s">
        <v>512</v>
      </c>
      <c r="CZ154" s="2" t="s">
        <v>512</v>
      </c>
      <c r="DA154" s="2" t="s">
        <v>300</v>
      </c>
      <c r="DB154" s="2" t="s">
        <v>300</v>
      </c>
      <c r="DC154" s="2" t="s">
        <v>988</v>
      </c>
      <c r="DD154" s="2" t="s">
        <v>300</v>
      </c>
      <c r="DE154" s="2" t="s">
        <v>300</v>
      </c>
      <c r="DF154" s="2" t="s">
        <v>300</v>
      </c>
      <c r="DG154" s="2" t="s">
        <v>512</v>
      </c>
      <c r="DH154" s="2" t="s">
        <v>512</v>
      </c>
      <c r="DI154" s="2" t="s">
        <v>300</v>
      </c>
      <c r="DL154" s="2" t="s">
        <v>187</v>
      </c>
      <c r="DM154" s="2" t="s">
        <v>187</v>
      </c>
      <c r="DN154" s="2" t="s">
        <v>187</v>
      </c>
      <c r="DO154" s="2" t="s">
        <v>187</v>
      </c>
      <c r="DP154" s="2" t="s">
        <v>209</v>
      </c>
      <c r="DQ154" s="2" t="s">
        <v>467</v>
      </c>
      <c r="DR154" s="2" t="s">
        <v>1290</v>
      </c>
      <c r="DT154" s="2" t="s">
        <v>209</v>
      </c>
      <c r="DU154" s="2" t="s">
        <v>209</v>
      </c>
      <c r="DV154" s="2" t="s">
        <v>209</v>
      </c>
      <c r="DW154" s="2" t="s">
        <v>209</v>
      </c>
      <c r="DX154" s="2" t="s">
        <v>203</v>
      </c>
      <c r="DY154" s="2" t="s">
        <v>203</v>
      </c>
      <c r="DZ154" s="2" t="s">
        <v>203</v>
      </c>
      <c r="EA154" s="2" t="s">
        <v>203</v>
      </c>
      <c r="EB154" s="2" t="s">
        <v>209</v>
      </c>
      <c r="EC154" s="2" t="s">
        <v>203</v>
      </c>
      <c r="ED154" s="2" t="s">
        <v>203</v>
      </c>
      <c r="EF154" s="2" t="s">
        <v>189</v>
      </c>
      <c r="EG154" s="2" t="s">
        <v>1291</v>
      </c>
      <c r="EJ154" s="2" t="s">
        <v>238</v>
      </c>
      <c r="EK154" s="2" t="s">
        <v>187</v>
      </c>
      <c r="EL154" s="2" t="s">
        <v>188</v>
      </c>
      <c r="EN154" s="2" t="s">
        <v>214</v>
      </c>
      <c r="EP154" s="2" t="s">
        <v>230</v>
      </c>
      <c r="ER154" s="2" t="s">
        <v>187</v>
      </c>
      <c r="ET154" s="2" t="s">
        <v>188</v>
      </c>
      <c r="EV154" s="2" t="s">
        <v>187</v>
      </c>
      <c r="EW154" s="2" t="s">
        <v>215</v>
      </c>
      <c r="EX154" s="2" t="s">
        <v>188</v>
      </c>
      <c r="EZ154" s="2" t="s">
        <v>188</v>
      </c>
      <c r="FC154" s="2" t="s">
        <v>263</v>
      </c>
      <c r="FD154" s="2" t="s">
        <v>188</v>
      </c>
      <c r="FH154" s="2" t="s">
        <v>188</v>
      </c>
      <c r="FJ154" s="2" t="s">
        <v>188</v>
      </c>
      <c r="FK154" s="2" t="s">
        <v>188</v>
      </c>
      <c r="FN154" s="2" t="s">
        <v>488</v>
      </c>
      <c r="FR154" s="2" t="s">
        <v>1292</v>
      </c>
      <c r="FT154" s="2" t="s">
        <v>233</v>
      </c>
      <c r="FU154" s="2" t="s">
        <v>233</v>
      </c>
      <c r="FV154" s="2" t="s">
        <v>233</v>
      </c>
      <c r="FW154" s="2" t="s">
        <v>233</v>
      </c>
      <c r="FZ154" s="4">
        <v>46049.424467592595</v>
      </c>
    </row>
    <row r="155" spans="1:182">
      <c r="A155" s="2" t="s">
        <v>1293</v>
      </c>
      <c r="D155" s="4">
        <v>46296.43681712963</v>
      </c>
      <c r="E155" s="2" t="s">
        <v>1294</v>
      </c>
      <c r="F155" s="2" t="s">
        <v>590</v>
      </c>
      <c r="G155" s="2" t="s">
        <v>1206</v>
      </c>
      <c r="H155" s="2" t="s">
        <v>1212</v>
      </c>
      <c r="I155" s="2" t="s">
        <v>1295</v>
      </c>
      <c r="J155" s="2">
        <v>357370887</v>
      </c>
      <c r="K155" s="2" t="s">
        <v>1296</v>
      </c>
      <c r="L155" s="2" t="s">
        <v>182</v>
      </c>
      <c r="M155" s="2" t="s">
        <v>223</v>
      </c>
      <c r="N155" s="2">
        <v>1997</v>
      </c>
      <c r="O155" s="2" t="s">
        <v>184</v>
      </c>
      <c r="P155" s="2" t="s">
        <v>225</v>
      </c>
      <c r="Q155" s="2" t="s">
        <v>270</v>
      </c>
      <c r="R155" s="2" t="s">
        <v>188</v>
      </c>
      <c r="S155" s="2">
        <v>9</v>
      </c>
      <c r="T155" s="2" t="s">
        <v>188</v>
      </c>
      <c r="U155" s="2" t="s">
        <v>188</v>
      </c>
      <c r="Y155" s="2">
        <v>90</v>
      </c>
      <c r="Z155" s="2">
        <v>1</v>
      </c>
      <c r="AA155" s="2">
        <v>90</v>
      </c>
      <c r="AB155" s="2">
        <v>90</v>
      </c>
      <c r="AC155" s="2">
        <v>90</v>
      </c>
      <c r="AD155" s="2">
        <v>150</v>
      </c>
      <c r="AE155" s="2">
        <v>60</v>
      </c>
      <c r="AF155" s="2" t="s">
        <v>188</v>
      </c>
      <c r="AG155" s="2" t="s">
        <v>188</v>
      </c>
      <c r="AH155" s="2" t="s">
        <v>188</v>
      </c>
      <c r="AJ155" s="2" t="s">
        <v>188</v>
      </c>
      <c r="AK155" s="2" t="s">
        <v>188</v>
      </c>
      <c r="AL155" s="2" t="s">
        <v>188</v>
      </c>
      <c r="AM155" s="2" t="s">
        <v>188</v>
      </c>
      <c r="AN155" s="2" t="s">
        <v>188</v>
      </c>
      <c r="AO155" s="2" t="s">
        <v>188</v>
      </c>
      <c r="AR155" s="2">
        <v>1</v>
      </c>
      <c r="AS155" s="2">
        <v>3</v>
      </c>
      <c r="AT155" s="2">
        <v>1.3</v>
      </c>
      <c r="AU155" s="2" t="s">
        <v>203</v>
      </c>
      <c r="AV155" s="2" t="s">
        <v>238</v>
      </c>
      <c r="AW155" s="2" t="s">
        <v>188</v>
      </c>
      <c r="AZ155" s="2" t="s">
        <v>190</v>
      </c>
      <c r="BB155" s="2" t="s">
        <v>260</v>
      </c>
      <c r="BC155" s="2" t="s">
        <v>296</v>
      </c>
      <c r="BD155" s="2" t="s">
        <v>187</v>
      </c>
      <c r="BE155" s="2" t="s">
        <v>187</v>
      </c>
      <c r="BF155" s="2" t="s">
        <v>193</v>
      </c>
      <c r="BG155" s="2" t="s">
        <v>194</v>
      </c>
      <c r="BH155" s="2" t="s">
        <v>195</v>
      </c>
      <c r="BI155" s="2" t="s">
        <v>196</v>
      </c>
      <c r="BL155" s="2" t="s">
        <v>197</v>
      </c>
      <c r="BM155" s="2" t="s">
        <v>507</v>
      </c>
      <c r="BN155" s="2" t="s">
        <v>199</v>
      </c>
      <c r="BO155" s="2" t="s">
        <v>188</v>
      </c>
      <c r="BQ155" s="2" t="s">
        <v>227</v>
      </c>
      <c r="BS155" s="2" t="s">
        <v>187</v>
      </c>
      <c r="BT155" s="2" t="s">
        <v>594</v>
      </c>
      <c r="BV155" s="2" t="s">
        <v>1057</v>
      </c>
      <c r="BX155" s="2" t="s">
        <v>188</v>
      </c>
      <c r="BZ155" s="2" t="s">
        <v>188</v>
      </c>
      <c r="CE155" s="2">
        <v>1.3</v>
      </c>
      <c r="CF155" s="2">
        <v>150</v>
      </c>
      <c r="CM155" s="2">
        <v>100</v>
      </c>
      <c r="CO155" s="2">
        <v>100</v>
      </c>
      <c r="CR155" s="2" t="s">
        <v>204</v>
      </c>
      <c r="CT155" s="2" t="s">
        <v>187</v>
      </c>
      <c r="CU155" s="2" t="s">
        <v>205</v>
      </c>
      <c r="CW155" s="2" t="s">
        <v>206</v>
      </c>
      <c r="CY155" s="2" t="s">
        <v>512</v>
      </c>
      <c r="CZ155" s="2" t="s">
        <v>300</v>
      </c>
      <c r="DA155" s="2" t="s">
        <v>300</v>
      </c>
      <c r="DB155" s="2" t="s">
        <v>300</v>
      </c>
      <c r="DC155" s="2" t="s">
        <v>300</v>
      </c>
      <c r="DD155" s="2" t="s">
        <v>300</v>
      </c>
      <c r="DE155" s="2" t="s">
        <v>300</v>
      </c>
      <c r="DF155" s="2" t="s">
        <v>300</v>
      </c>
      <c r="DG155" s="2" t="s">
        <v>300</v>
      </c>
      <c r="DH155" s="2" t="s">
        <v>300</v>
      </c>
      <c r="DI155" s="2" t="s">
        <v>300</v>
      </c>
      <c r="DL155" s="2" t="s">
        <v>188</v>
      </c>
      <c r="DM155" s="2" t="s">
        <v>188</v>
      </c>
      <c r="DP155" s="2" t="s">
        <v>188</v>
      </c>
      <c r="DT155" s="2" t="s">
        <v>203</v>
      </c>
      <c r="DU155" s="2" t="s">
        <v>203</v>
      </c>
      <c r="DV155" s="2" t="s">
        <v>203</v>
      </c>
      <c r="DW155" s="2" t="s">
        <v>203</v>
      </c>
      <c r="DX155" s="2" t="s">
        <v>203</v>
      </c>
      <c r="DY155" s="2" t="s">
        <v>203</v>
      </c>
      <c r="DZ155" s="2" t="s">
        <v>203</v>
      </c>
      <c r="EA155" s="2" t="s">
        <v>203</v>
      </c>
      <c r="EB155" s="2" t="s">
        <v>203</v>
      </c>
      <c r="EC155" s="2" t="s">
        <v>203</v>
      </c>
      <c r="EF155" s="2" t="s">
        <v>189</v>
      </c>
      <c r="EG155" s="2" t="s">
        <v>1121</v>
      </c>
      <c r="EJ155" s="2" t="s">
        <v>203</v>
      </c>
      <c r="EK155" s="2" t="s">
        <v>188</v>
      </c>
      <c r="EL155" s="2" t="s">
        <v>188</v>
      </c>
      <c r="EN155" s="2" t="s">
        <v>255</v>
      </c>
      <c r="EP155" s="2" t="s">
        <v>230</v>
      </c>
      <c r="ER155" s="2" t="s">
        <v>188</v>
      </c>
      <c r="ET155" s="2" t="s">
        <v>188</v>
      </c>
      <c r="EV155" s="2" t="s">
        <v>188</v>
      </c>
      <c r="EX155" s="2" t="s">
        <v>188</v>
      </c>
      <c r="EZ155" s="2" t="s">
        <v>188</v>
      </c>
      <c r="FC155" s="2" t="s">
        <v>263</v>
      </c>
      <c r="FD155" s="2" t="s">
        <v>188</v>
      </c>
      <c r="FH155" s="2" t="s">
        <v>188</v>
      </c>
      <c r="FJ155" s="2" t="s">
        <v>188</v>
      </c>
      <c r="FK155" s="2" t="s">
        <v>188</v>
      </c>
      <c r="FN155" s="2" t="s">
        <v>432</v>
      </c>
      <c r="FR155" s="2" t="s">
        <v>433</v>
      </c>
      <c r="FT155" s="2" t="s">
        <v>233</v>
      </c>
      <c r="FU155" s="2" t="s">
        <v>233</v>
      </c>
      <c r="FV155" s="2" t="s">
        <v>219</v>
      </c>
      <c r="FW155" s="2" t="s">
        <v>233</v>
      </c>
      <c r="FZ155" s="4">
        <v>46047.597430555557</v>
      </c>
    </row>
    <row r="156" spans="1:182">
      <c r="A156" s="2" t="s">
        <v>1297</v>
      </c>
      <c r="D156" s="4">
        <v>46296.440671296295</v>
      </c>
      <c r="E156" s="2" t="s">
        <v>177</v>
      </c>
      <c r="F156" s="2" t="s">
        <v>178</v>
      </c>
      <c r="G156" s="2" t="s">
        <v>1206</v>
      </c>
      <c r="H156" s="2" t="s">
        <v>1207</v>
      </c>
      <c r="I156" s="2" t="s">
        <v>1298</v>
      </c>
      <c r="J156" s="2">
        <v>868661760</v>
      </c>
      <c r="K156" s="2" t="s">
        <v>1298</v>
      </c>
      <c r="L156" s="2" t="s">
        <v>182</v>
      </c>
      <c r="M156" s="2" t="s">
        <v>183</v>
      </c>
      <c r="N156" s="2">
        <v>1980</v>
      </c>
      <c r="O156" s="2" t="s">
        <v>184</v>
      </c>
      <c r="P156" s="2" t="s">
        <v>185</v>
      </c>
      <c r="Q156" s="2" t="s">
        <v>270</v>
      </c>
      <c r="R156" s="2" t="s">
        <v>188</v>
      </c>
      <c r="S156" s="2">
        <v>18</v>
      </c>
      <c r="T156" s="2" t="s">
        <v>188</v>
      </c>
      <c r="U156" s="2" t="s">
        <v>188</v>
      </c>
      <c r="Y156" s="2">
        <v>215</v>
      </c>
      <c r="Z156" s="2">
        <v>1</v>
      </c>
      <c r="AA156" s="2">
        <v>215</v>
      </c>
      <c r="AB156" s="2">
        <v>215</v>
      </c>
      <c r="AC156" s="2">
        <v>215</v>
      </c>
      <c r="AD156" s="2">
        <v>310</v>
      </c>
      <c r="AE156" s="2">
        <v>95</v>
      </c>
      <c r="AF156" s="2" t="s">
        <v>187</v>
      </c>
      <c r="AG156" s="2" t="s">
        <v>188</v>
      </c>
      <c r="AH156" s="2" t="s">
        <v>188</v>
      </c>
      <c r="AJ156" s="2" t="s">
        <v>188</v>
      </c>
      <c r="AK156" s="2" t="s">
        <v>188</v>
      </c>
      <c r="AL156" s="2" t="s">
        <v>188</v>
      </c>
      <c r="AM156" s="2" t="s">
        <v>188</v>
      </c>
      <c r="AN156" s="2" t="s">
        <v>188</v>
      </c>
      <c r="AO156" s="2" t="s">
        <v>188</v>
      </c>
      <c r="AR156" s="2">
        <v>2.6</v>
      </c>
      <c r="AS156" s="2">
        <v>4</v>
      </c>
      <c r="AT156" s="2">
        <v>3.23</v>
      </c>
      <c r="AU156" s="2" t="s">
        <v>189</v>
      </c>
      <c r="AV156" s="2" t="s">
        <v>189</v>
      </c>
      <c r="AW156" s="2" t="s">
        <v>188</v>
      </c>
      <c r="AZ156" s="2" t="s">
        <v>190</v>
      </c>
      <c r="BB156" s="2" t="s">
        <v>191</v>
      </c>
      <c r="BC156" s="2" t="s">
        <v>192</v>
      </c>
      <c r="BD156" s="2" t="s">
        <v>187</v>
      </c>
      <c r="BE156" s="2" t="s">
        <v>187</v>
      </c>
      <c r="BF156" s="2" t="s">
        <v>193</v>
      </c>
      <c r="BG156" s="2" t="s">
        <v>194</v>
      </c>
      <c r="BH156" s="2" t="s">
        <v>195</v>
      </c>
      <c r="BI156" s="2" t="s">
        <v>196</v>
      </c>
      <c r="BL156" s="2" t="s">
        <v>197</v>
      </c>
      <c r="BM156" s="2" t="s">
        <v>198</v>
      </c>
      <c r="BN156" s="2" t="s">
        <v>199</v>
      </c>
      <c r="BO156" s="2" t="s">
        <v>188</v>
      </c>
      <c r="BQ156" s="2" t="s">
        <v>227</v>
      </c>
      <c r="BT156" s="2" t="s">
        <v>201</v>
      </c>
      <c r="BV156" s="2" t="s">
        <v>248</v>
      </c>
      <c r="BX156" s="2" t="s">
        <v>188</v>
      </c>
      <c r="BZ156" s="2" t="s">
        <v>188</v>
      </c>
      <c r="CE156" s="2">
        <v>3.23</v>
      </c>
      <c r="CF156" s="2">
        <v>310</v>
      </c>
      <c r="CM156" s="2">
        <v>100</v>
      </c>
      <c r="CO156" s="2">
        <v>100</v>
      </c>
      <c r="CR156" s="2" t="s">
        <v>204</v>
      </c>
      <c r="CT156" s="2" t="s">
        <v>188</v>
      </c>
      <c r="CU156" s="2" t="s">
        <v>205</v>
      </c>
      <c r="CW156" s="2" t="s">
        <v>206</v>
      </c>
      <c r="CY156" s="2" t="s">
        <v>207</v>
      </c>
      <c r="CZ156" s="2" t="s">
        <v>207</v>
      </c>
      <c r="DA156" s="2" t="s">
        <v>208</v>
      </c>
      <c r="DB156" s="2" t="s">
        <v>208</v>
      </c>
      <c r="DC156" s="2" t="s">
        <v>208</v>
      </c>
      <c r="DD156" s="2" t="s">
        <v>208</v>
      </c>
      <c r="DE156" s="2" t="s">
        <v>208</v>
      </c>
      <c r="DF156" s="2" t="s">
        <v>208</v>
      </c>
      <c r="DG156" s="2" t="s">
        <v>208</v>
      </c>
      <c r="DH156" s="2" t="s">
        <v>208</v>
      </c>
      <c r="DI156" s="2" t="s">
        <v>208</v>
      </c>
      <c r="DL156" s="2" t="s">
        <v>187</v>
      </c>
      <c r="DM156" s="2" t="s">
        <v>187</v>
      </c>
      <c r="DN156" s="2" t="s">
        <v>187</v>
      </c>
      <c r="DO156" s="2" t="s">
        <v>187</v>
      </c>
      <c r="DP156" s="2" t="s">
        <v>209</v>
      </c>
      <c r="DQ156" s="2" t="s">
        <v>210</v>
      </c>
      <c r="DT156" s="2" t="s">
        <v>209</v>
      </c>
      <c r="DU156" s="2" t="s">
        <v>209</v>
      </c>
      <c r="DV156" s="2" t="s">
        <v>209</v>
      </c>
      <c r="DW156" s="2" t="s">
        <v>209</v>
      </c>
      <c r="DX156" s="2" t="s">
        <v>209</v>
      </c>
      <c r="DY156" s="2" t="s">
        <v>209</v>
      </c>
      <c r="DZ156" s="2" t="s">
        <v>209</v>
      </c>
      <c r="EA156" s="2" t="s">
        <v>209</v>
      </c>
      <c r="EB156" s="2" t="s">
        <v>209</v>
      </c>
      <c r="EF156" s="2" t="s">
        <v>211</v>
      </c>
      <c r="FH156" s="2" t="s">
        <v>188</v>
      </c>
      <c r="FJ156" s="2" t="s">
        <v>187</v>
      </c>
      <c r="FK156" s="2" t="s">
        <v>209</v>
      </c>
      <c r="FL156" s="2" t="s">
        <v>256</v>
      </c>
      <c r="FN156" s="2" t="s">
        <v>313</v>
      </c>
      <c r="FT156" s="2" t="s">
        <v>219</v>
      </c>
      <c r="FU156" s="2" t="s">
        <v>219</v>
      </c>
      <c r="FV156" s="2" t="s">
        <v>219</v>
      </c>
      <c r="FW156" s="2" t="s">
        <v>219</v>
      </c>
      <c r="FZ156" s="4">
        <v>46040.636145833334</v>
      </c>
    </row>
    <row r="157" spans="1:182">
      <c r="A157" s="2" t="s">
        <v>1299</v>
      </c>
      <c r="D157" s="4">
        <v>46296.441469907404</v>
      </c>
      <c r="E157" s="2" t="s">
        <v>1262</v>
      </c>
      <c r="F157" s="2" t="s">
        <v>425</v>
      </c>
      <c r="G157" s="2" t="s">
        <v>1206</v>
      </c>
      <c r="H157" s="2" t="s">
        <v>1263</v>
      </c>
      <c r="I157" s="2" t="s">
        <v>1300</v>
      </c>
      <c r="J157" s="2">
        <v>326438595</v>
      </c>
      <c r="K157" s="2" t="s">
        <v>1300</v>
      </c>
      <c r="L157" s="2" t="s">
        <v>182</v>
      </c>
      <c r="M157" s="2" t="s">
        <v>183</v>
      </c>
      <c r="N157" s="2">
        <v>1970</v>
      </c>
      <c r="O157" s="2" t="s">
        <v>224</v>
      </c>
      <c r="P157" s="2" t="s">
        <v>185</v>
      </c>
      <c r="Q157" s="2" t="s">
        <v>270</v>
      </c>
      <c r="R157" s="2" t="s">
        <v>188</v>
      </c>
      <c r="S157" s="2">
        <v>30</v>
      </c>
      <c r="T157" s="2" t="s">
        <v>188</v>
      </c>
      <c r="U157" s="2" t="s">
        <v>188</v>
      </c>
      <c r="Y157" s="2">
        <v>1030</v>
      </c>
      <c r="Z157" s="2">
        <v>1</v>
      </c>
      <c r="AA157" s="2">
        <v>1030</v>
      </c>
      <c r="AB157" s="2">
        <v>1030</v>
      </c>
      <c r="AC157" s="2">
        <v>970</v>
      </c>
      <c r="AD157" s="2">
        <v>1200</v>
      </c>
      <c r="AE157" s="2">
        <v>230</v>
      </c>
      <c r="AF157" s="2" t="s">
        <v>188</v>
      </c>
      <c r="AG157" s="2" t="s">
        <v>187</v>
      </c>
      <c r="AH157" s="2" t="s">
        <v>188</v>
      </c>
      <c r="AJ157" s="2" t="s">
        <v>188</v>
      </c>
      <c r="AK157" s="2" t="s">
        <v>188</v>
      </c>
      <c r="AL157" s="2" t="s">
        <v>188</v>
      </c>
      <c r="AM157" s="2" t="s">
        <v>188</v>
      </c>
      <c r="AN157" s="2" t="s">
        <v>188</v>
      </c>
      <c r="AO157" s="2" t="s">
        <v>188</v>
      </c>
      <c r="AR157" s="2">
        <v>3</v>
      </c>
      <c r="AS157" s="2">
        <v>1</v>
      </c>
      <c r="AT157" s="2">
        <v>12</v>
      </c>
      <c r="AU157" s="2" t="s">
        <v>189</v>
      </c>
      <c r="AV157" s="2" t="s">
        <v>189</v>
      </c>
      <c r="AW157" s="2" t="s">
        <v>188</v>
      </c>
      <c r="AZ157" s="2" t="s">
        <v>357</v>
      </c>
      <c r="BB157" s="2" t="s">
        <v>260</v>
      </c>
      <c r="BC157" s="2" t="s">
        <v>192</v>
      </c>
      <c r="BD157" s="2" t="s">
        <v>188</v>
      </c>
      <c r="BE157" s="2" t="s">
        <v>188</v>
      </c>
      <c r="BL157" s="2" t="s">
        <v>197</v>
      </c>
      <c r="BM157" s="2" t="s">
        <v>198</v>
      </c>
      <c r="BN157" s="2" t="s">
        <v>199</v>
      </c>
      <c r="BO157" s="2" t="s">
        <v>188</v>
      </c>
      <c r="BQ157" s="2" t="s">
        <v>200</v>
      </c>
      <c r="BS157" s="2" t="s">
        <v>187</v>
      </c>
      <c r="BT157" s="2" t="s">
        <v>1301</v>
      </c>
      <c r="BV157" s="2" t="s">
        <v>228</v>
      </c>
      <c r="BX157" s="2" t="s">
        <v>188</v>
      </c>
      <c r="BY157" s="2" t="s">
        <v>1302</v>
      </c>
      <c r="BZ157" s="2" t="s">
        <v>188</v>
      </c>
      <c r="CE157" s="2">
        <v>12</v>
      </c>
      <c r="CF157" s="2">
        <v>1200</v>
      </c>
      <c r="CH157" s="2">
        <v>0</v>
      </c>
      <c r="CI157" s="2">
        <v>0</v>
      </c>
      <c r="CJ157" s="2">
        <v>0</v>
      </c>
      <c r="CK157" s="2">
        <v>30</v>
      </c>
      <c r="CL157" s="2">
        <v>0</v>
      </c>
      <c r="CM157" s="2">
        <v>70</v>
      </c>
      <c r="CO157" s="2">
        <v>100</v>
      </c>
      <c r="CP157" s="2">
        <v>0</v>
      </c>
      <c r="CQ157" s="2">
        <v>0</v>
      </c>
      <c r="CR157" s="2" t="s">
        <v>204</v>
      </c>
      <c r="CT157" s="2" t="s">
        <v>188</v>
      </c>
      <c r="CU157" s="2" t="s">
        <v>281</v>
      </c>
      <c r="CW157" s="2" t="s">
        <v>206</v>
      </c>
      <c r="CY157" s="2" t="s">
        <v>207</v>
      </c>
      <c r="CZ157" s="2" t="s">
        <v>207</v>
      </c>
      <c r="DA157" s="2" t="s">
        <v>300</v>
      </c>
      <c r="DB157" s="2" t="s">
        <v>300</v>
      </c>
      <c r="DC157" s="2" t="s">
        <v>300</v>
      </c>
      <c r="DD157" s="2" t="s">
        <v>430</v>
      </c>
      <c r="DE157" s="2" t="s">
        <v>300</v>
      </c>
      <c r="DF157" s="2" t="s">
        <v>207</v>
      </c>
      <c r="DG157" s="2" t="s">
        <v>207</v>
      </c>
      <c r="DH157" s="2" t="s">
        <v>300</v>
      </c>
      <c r="DI157" s="2" t="s">
        <v>300</v>
      </c>
      <c r="DL157" s="2" t="s">
        <v>187</v>
      </c>
      <c r="DM157" s="2" t="s">
        <v>187</v>
      </c>
      <c r="DN157" s="2" t="s">
        <v>187</v>
      </c>
      <c r="DO157" s="2" t="s">
        <v>187</v>
      </c>
      <c r="DP157" s="2" t="s">
        <v>209</v>
      </c>
      <c r="DQ157" s="2" t="s">
        <v>467</v>
      </c>
      <c r="DR157" s="2" t="s">
        <v>1303</v>
      </c>
      <c r="DT157" s="2" t="s">
        <v>209</v>
      </c>
      <c r="DU157" s="2" t="s">
        <v>209</v>
      </c>
      <c r="DV157" s="2" t="s">
        <v>209</v>
      </c>
      <c r="DW157" s="2" t="s">
        <v>209</v>
      </c>
      <c r="DX157" s="2" t="s">
        <v>209</v>
      </c>
      <c r="DY157" s="2" t="s">
        <v>209</v>
      </c>
      <c r="DZ157" s="2" t="s">
        <v>209</v>
      </c>
      <c r="EA157" s="2" t="s">
        <v>209</v>
      </c>
      <c r="EB157" s="2" t="s">
        <v>209</v>
      </c>
      <c r="EC157" s="2" t="s">
        <v>209</v>
      </c>
      <c r="ED157" s="2" t="s">
        <v>188</v>
      </c>
      <c r="EE157" s="2" t="s">
        <v>1304</v>
      </c>
      <c r="EF157" s="2" t="s">
        <v>189</v>
      </c>
      <c r="EG157" s="2" t="s">
        <v>1305</v>
      </c>
      <c r="EJ157" s="2" t="s">
        <v>238</v>
      </c>
      <c r="EK157" s="2" t="s">
        <v>188</v>
      </c>
      <c r="EL157" s="2" t="s">
        <v>188</v>
      </c>
      <c r="EN157" s="2" t="s">
        <v>214</v>
      </c>
      <c r="EP157" s="2" t="s">
        <v>230</v>
      </c>
      <c r="ER157" s="2" t="s">
        <v>188</v>
      </c>
      <c r="ET157" s="2" t="s">
        <v>188</v>
      </c>
      <c r="EV157" s="2" t="s">
        <v>187</v>
      </c>
      <c r="EW157" s="2" t="s">
        <v>215</v>
      </c>
      <c r="EX157" s="2" t="s">
        <v>188</v>
      </c>
      <c r="EZ157" s="2" t="s">
        <v>188</v>
      </c>
      <c r="FC157" s="2" t="s">
        <v>263</v>
      </c>
      <c r="FD157" s="2" t="s">
        <v>188</v>
      </c>
      <c r="FH157" s="2" t="s">
        <v>188</v>
      </c>
      <c r="FJ157" s="2" t="s">
        <v>188</v>
      </c>
      <c r="FK157" s="2" t="s">
        <v>188</v>
      </c>
      <c r="FN157" s="2" t="s">
        <v>304</v>
      </c>
      <c r="FR157" s="2" t="s">
        <v>433</v>
      </c>
      <c r="FT157" s="2" t="s">
        <v>219</v>
      </c>
      <c r="FU157" s="2" t="s">
        <v>219</v>
      </c>
      <c r="FV157" s="2" t="s">
        <v>219</v>
      </c>
      <c r="FW157" s="2" t="s">
        <v>219</v>
      </c>
      <c r="FX157" s="2" t="s">
        <v>490</v>
      </c>
      <c r="FZ157" s="4">
        <v>46041.608900462961</v>
      </c>
    </row>
    <row r="158" spans="1:182">
      <c r="A158" s="2" t="s">
        <v>1306</v>
      </c>
      <c r="D158" s="4">
        <v>46296.434259259258</v>
      </c>
      <c r="E158" s="2" t="s">
        <v>177</v>
      </c>
      <c r="F158" s="2" t="s">
        <v>293</v>
      </c>
      <c r="G158" s="2" t="s">
        <v>1206</v>
      </c>
      <c r="H158" s="2" t="s">
        <v>1263</v>
      </c>
      <c r="I158" s="2" t="s">
        <v>1307</v>
      </c>
      <c r="J158" s="2">
        <v>356325782</v>
      </c>
      <c r="K158" s="2" t="s">
        <v>1307</v>
      </c>
      <c r="L158" s="2" t="s">
        <v>182</v>
      </c>
      <c r="M158" s="2" t="s">
        <v>223</v>
      </c>
      <c r="N158" s="2">
        <v>1962</v>
      </c>
      <c r="O158" s="2" t="s">
        <v>224</v>
      </c>
      <c r="P158" s="2" t="s">
        <v>185</v>
      </c>
      <c r="Q158" s="2" t="s">
        <v>186</v>
      </c>
      <c r="R158" s="2" t="s">
        <v>188</v>
      </c>
      <c r="S158" s="2">
        <v>1995</v>
      </c>
      <c r="T158" s="2" t="s">
        <v>188</v>
      </c>
      <c r="U158" s="2" t="s">
        <v>188</v>
      </c>
      <c r="Y158" s="2">
        <v>430</v>
      </c>
      <c r="Z158" s="2">
        <v>1</v>
      </c>
      <c r="AA158" s="2">
        <v>430</v>
      </c>
      <c r="AB158" s="2">
        <v>300</v>
      </c>
      <c r="AC158" s="2">
        <v>150</v>
      </c>
      <c r="AD158" s="2">
        <v>180</v>
      </c>
      <c r="AE158" s="2">
        <v>30</v>
      </c>
      <c r="AF158" s="2" t="s">
        <v>188</v>
      </c>
      <c r="AG158" s="2" t="s">
        <v>187</v>
      </c>
      <c r="AH158" s="2" t="s">
        <v>187</v>
      </c>
      <c r="AI158" s="2" t="s">
        <v>346</v>
      </c>
      <c r="AJ158" s="2" t="s">
        <v>188</v>
      </c>
      <c r="AK158" s="2" t="s">
        <v>187</v>
      </c>
      <c r="AL158" s="2" t="s">
        <v>188</v>
      </c>
      <c r="AM158" s="2" t="s">
        <v>187</v>
      </c>
      <c r="AN158" s="2" t="s">
        <v>188</v>
      </c>
      <c r="AO158" s="2" t="s">
        <v>188</v>
      </c>
      <c r="AR158" s="2">
        <v>0.5</v>
      </c>
      <c r="AS158" s="2">
        <v>1</v>
      </c>
      <c r="AT158" s="2">
        <v>2.2999999999999998</v>
      </c>
      <c r="AU158" s="2" t="s">
        <v>189</v>
      </c>
      <c r="AV158" s="2" t="s">
        <v>189</v>
      </c>
      <c r="AW158" s="2" t="s">
        <v>188</v>
      </c>
      <c r="AZ158" s="2" t="s">
        <v>357</v>
      </c>
      <c r="BB158" s="2" t="s">
        <v>260</v>
      </c>
      <c r="BC158" s="2" t="s">
        <v>253</v>
      </c>
      <c r="BD158" s="2" t="s">
        <v>188</v>
      </c>
      <c r="BE158" s="2" t="s">
        <v>188</v>
      </c>
      <c r="BL158" s="2" t="s">
        <v>197</v>
      </c>
      <c r="BM158" s="2" t="s">
        <v>198</v>
      </c>
      <c r="BN158" s="2" t="s">
        <v>199</v>
      </c>
      <c r="BO158" s="2" t="s">
        <v>188</v>
      </c>
      <c r="BQ158" s="2" t="s">
        <v>309</v>
      </c>
      <c r="BS158" s="2" t="s">
        <v>187</v>
      </c>
      <c r="BT158" s="2" t="s">
        <v>261</v>
      </c>
      <c r="BV158" s="2" t="s">
        <v>1308</v>
      </c>
      <c r="BX158" s="2" t="s">
        <v>188</v>
      </c>
      <c r="BY158" s="2" t="s">
        <v>1309</v>
      </c>
      <c r="BZ158" s="2" t="s">
        <v>203</v>
      </c>
      <c r="CE158" s="2">
        <v>2.2999999999999998</v>
      </c>
      <c r="CF158" s="2">
        <v>227</v>
      </c>
      <c r="CK158" s="2">
        <v>100</v>
      </c>
      <c r="CO158" s="2">
        <v>100</v>
      </c>
      <c r="CR158" s="2" t="s">
        <v>204</v>
      </c>
      <c r="CT158" s="2" t="s">
        <v>188</v>
      </c>
      <c r="CU158" s="2" t="s">
        <v>205</v>
      </c>
      <c r="CW158" s="2" t="s">
        <v>206</v>
      </c>
      <c r="CY158" s="2" t="s">
        <v>207</v>
      </c>
      <c r="CZ158" s="2" t="s">
        <v>207</v>
      </c>
      <c r="DA158" s="2" t="s">
        <v>207</v>
      </c>
      <c r="DB158" s="2" t="s">
        <v>273</v>
      </c>
      <c r="DC158" s="2" t="s">
        <v>300</v>
      </c>
      <c r="DD158" s="2" t="s">
        <v>301</v>
      </c>
      <c r="DE158" s="2" t="s">
        <v>208</v>
      </c>
      <c r="DF158" s="2" t="s">
        <v>207</v>
      </c>
      <c r="DG158" s="2" t="s">
        <v>207</v>
      </c>
      <c r="DH158" s="2" t="s">
        <v>208</v>
      </c>
      <c r="DI158" s="2" t="s">
        <v>208</v>
      </c>
      <c r="DL158" s="2" t="s">
        <v>187</v>
      </c>
      <c r="DM158" s="2" t="s">
        <v>187</v>
      </c>
      <c r="DN158" s="2" t="s">
        <v>187</v>
      </c>
      <c r="DO158" s="2" t="s">
        <v>187</v>
      </c>
      <c r="DP158" s="2" t="s">
        <v>209</v>
      </c>
      <c r="DQ158" s="2" t="s">
        <v>210</v>
      </c>
      <c r="DS158" s="2" t="s">
        <v>209</v>
      </c>
      <c r="DT158" s="2" t="s">
        <v>209</v>
      </c>
      <c r="DU158" s="2" t="s">
        <v>209</v>
      </c>
      <c r="DV158" s="2" t="s">
        <v>209</v>
      </c>
      <c r="DW158" s="2" t="s">
        <v>209</v>
      </c>
      <c r="DX158" s="2" t="s">
        <v>209</v>
      </c>
      <c r="DY158" s="2" t="s">
        <v>209</v>
      </c>
      <c r="DZ158" s="2" t="s">
        <v>203</v>
      </c>
      <c r="EA158" s="2" t="s">
        <v>209</v>
      </c>
      <c r="EB158" s="2" t="s">
        <v>209</v>
      </c>
      <c r="EC158" s="2" t="s">
        <v>203</v>
      </c>
      <c r="EF158" s="2" t="s">
        <v>211</v>
      </c>
      <c r="EJ158" s="2" t="s">
        <v>189</v>
      </c>
      <c r="EK158" s="2" t="s">
        <v>187</v>
      </c>
      <c r="EL158" s="2" t="s">
        <v>188</v>
      </c>
      <c r="EN158" s="2" t="s">
        <v>214</v>
      </c>
      <c r="EP158" s="2" t="s">
        <v>230</v>
      </c>
      <c r="ER158" s="2" t="s">
        <v>187</v>
      </c>
      <c r="ET158" s="2" t="s">
        <v>188</v>
      </c>
      <c r="EV158" s="2" t="s">
        <v>187</v>
      </c>
      <c r="EX158" s="2" t="s">
        <v>187</v>
      </c>
      <c r="EY158" s="2" t="s">
        <v>189</v>
      </c>
      <c r="FC158" s="2" t="s">
        <v>216</v>
      </c>
      <c r="FD158" s="2" t="s">
        <v>188</v>
      </c>
      <c r="FH158" s="2" t="s">
        <v>188</v>
      </c>
      <c r="FJ158" s="2" t="s">
        <v>187</v>
      </c>
      <c r="FK158" s="2" t="s">
        <v>209</v>
      </c>
      <c r="FL158" s="2" t="s">
        <v>319</v>
      </c>
      <c r="FN158" s="2" t="s">
        <v>304</v>
      </c>
      <c r="FT158" s="2" t="s">
        <v>219</v>
      </c>
      <c r="FU158" s="2" t="s">
        <v>233</v>
      </c>
      <c r="FV158" s="2" t="s">
        <v>233</v>
      </c>
      <c r="FW158" s="2" t="s">
        <v>233</v>
      </c>
      <c r="FZ158" s="4">
        <v>46039.659178240741</v>
      </c>
    </row>
    <row r="159" spans="1:182">
      <c r="A159" s="2" t="s">
        <v>1310</v>
      </c>
      <c r="D159" s="4">
        <v>46296.449143518519</v>
      </c>
      <c r="E159" s="2" t="s">
        <v>1311</v>
      </c>
      <c r="F159" s="2" t="s">
        <v>480</v>
      </c>
      <c r="G159" s="2" t="s">
        <v>1206</v>
      </c>
      <c r="H159" s="2" t="s">
        <v>1212</v>
      </c>
      <c r="I159" s="2" t="s">
        <v>1312</v>
      </c>
      <c r="J159" s="2">
        <v>344080816</v>
      </c>
      <c r="K159" s="2" t="s">
        <v>1312</v>
      </c>
      <c r="L159" s="2" t="s">
        <v>182</v>
      </c>
      <c r="M159" s="2" t="s">
        <v>183</v>
      </c>
      <c r="N159" s="2">
        <v>1987</v>
      </c>
      <c r="O159" s="2" t="s">
        <v>184</v>
      </c>
      <c r="P159" s="2" t="s">
        <v>185</v>
      </c>
      <c r="Q159" s="2" t="s">
        <v>186</v>
      </c>
      <c r="R159" s="2" t="s">
        <v>188</v>
      </c>
      <c r="S159" s="2">
        <v>18</v>
      </c>
      <c r="T159" s="2" t="s">
        <v>188</v>
      </c>
      <c r="U159" s="2" t="s">
        <v>188</v>
      </c>
      <c r="Y159" s="2">
        <v>648</v>
      </c>
      <c r="Z159" s="2">
        <v>1</v>
      </c>
      <c r="AA159" s="2">
        <v>648</v>
      </c>
      <c r="AB159" s="2">
        <v>588</v>
      </c>
      <c r="AC159" s="2">
        <v>538</v>
      </c>
      <c r="AD159" s="2">
        <v>738</v>
      </c>
      <c r="AE159" s="2">
        <v>200</v>
      </c>
      <c r="AF159" s="2" t="s">
        <v>187</v>
      </c>
      <c r="AG159" s="2" t="s">
        <v>188</v>
      </c>
      <c r="AH159" s="2" t="s">
        <v>188</v>
      </c>
      <c r="AJ159" s="2" t="s">
        <v>188</v>
      </c>
      <c r="AK159" s="2" t="s">
        <v>187</v>
      </c>
      <c r="AL159" s="2" t="s">
        <v>188</v>
      </c>
      <c r="AM159" s="2" t="s">
        <v>188</v>
      </c>
      <c r="AN159" s="2" t="s">
        <v>188</v>
      </c>
      <c r="AO159" s="2" t="s">
        <v>188</v>
      </c>
      <c r="AR159" s="2">
        <v>3</v>
      </c>
      <c r="AS159" s="2">
        <v>3</v>
      </c>
      <c r="AT159" s="2">
        <v>7.5</v>
      </c>
      <c r="AU159" s="2" t="s">
        <v>238</v>
      </c>
      <c r="AV159" s="2" t="s">
        <v>238</v>
      </c>
      <c r="AW159" s="2" t="s">
        <v>188</v>
      </c>
      <c r="AZ159" s="2" t="s">
        <v>190</v>
      </c>
      <c r="BB159" s="2" t="s">
        <v>260</v>
      </c>
      <c r="BC159" s="2" t="s">
        <v>296</v>
      </c>
      <c r="BD159" s="2" t="s">
        <v>187</v>
      </c>
      <c r="BE159" s="2" t="s">
        <v>187</v>
      </c>
      <c r="BF159" s="2" t="s">
        <v>193</v>
      </c>
      <c r="BG159" s="2" t="s">
        <v>194</v>
      </c>
      <c r="BH159" s="2" t="s">
        <v>280</v>
      </c>
      <c r="BI159" s="2" t="s">
        <v>196</v>
      </c>
      <c r="BL159" s="2" t="s">
        <v>197</v>
      </c>
      <c r="BM159" s="2" t="s">
        <v>507</v>
      </c>
      <c r="BN159" s="2" t="s">
        <v>199</v>
      </c>
      <c r="BO159" s="2" t="s">
        <v>188</v>
      </c>
      <c r="BQ159" s="2" t="s">
        <v>227</v>
      </c>
      <c r="BS159" s="2" t="s">
        <v>187</v>
      </c>
      <c r="BT159" s="2" t="s">
        <v>611</v>
      </c>
      <c r="BV159" s="2" t="s">
        <v>1289</v>
      </c>
      <c r="BX159" s="2" t="s">
        <v>187</v>
      </c>
      <c r="BY159" s="2" t="s">
        <v>1257</v>
      </c>
      <c r="BZ159" s="2" t="s">
        <v>188</v>
      </c>
      <c r="CE159" s="2">
        <v>7.5</v>
      </c>
      <c r="CF159" s="2">
        <v>738</v>
      </c>
      <c r="CM159" s="2">
        <v>100</v>
      </c>
      <c r="CO159" s="2">
        <v>100</v>
      </c>
      <c r="CR159" s="2" t="s">
        <v>511</v>
      </c>
      <c r="CT159" s="2" t="s">
        <v>188</v>
      </c>
      <c r="CU159" s="2" t="s">
        <v>205</v>
      </c>
      <c r="CW159" s="2" t="s">
        <v>206</v>
      </c>
      <c r="CY159" s="2" t="s">
        <v>512</v>
      </c>
      <c r="CZ159" s="2" t="s">
        <v>512</v>
      </c>
      <c r="DA159" s="2" t="s">
        <v>512</v>
      </c>
      <c r="DB159" s="2" t="s">
        <v>300</v>
      </c>
      <c r="DC159" s="2" t="s">
        <v>988</v>
      </c>
      <c r="DD159" s="2" t="s">
        <v>988</v>
      </c>
      <c r="DE159" s="2" t="s">
        <v>300</v>
      </c>
      <c r="DF159" s="2" t="s">
        <v>300</v>
      </c>
      <c r="DG159" s="2" t="s">
        <v>512</v>
      </c>
      <c r="DH159" s="2" t="s">
        <v>512</v>
      </c>
      <c r="DI159" s="2" t="s">
        <v>988</v>
      </c>
      <c r="DL159" s="2" t="s">
        <v>187</v>
      </c>
      <c r="DM159" s="2" t="s">
        <v>187</v>
      </c>
      <c r="DN159" s="2" t="s">
        <v>187</v>
      </c>
      <c r="DO159" s="2" t="s">
        <v>187</v>
      </c>
      <c r="DP159" s="2" t="s">
        <v>209</v>
      </c>
      <c r="DQ159" s="2" t="s">
        <v>467</v>
      </c>
      <c r="DR159" s="2" t="s">
        <v>1313</v>
      </c>
      <c r="DT159" s="2" t="s">
        <v>209</v>
      </c>
      <c r="DU159" s="2" t="s">
        <v>209</v>
      </c>
      <c r="DV159" s="2" t="s">
        <v>203</v>
      </c>
      <c r="DW159" s="2" t="s">
        <v>209</v>
      </c>
      <c r="DX159" s="2" t="s">
        <v>209</v>
      </c>
      <c r="DY159" s="2" t="s">
        <v>209</v>
      </c>
      <c r="DZ159" s="2" t="s">
        <v>203</v>
      </c>
      <c r="EA159" s="2" t="s">
        <v>203</v>
      </c>
      <c r="EB159" s="2" t="s">
        <v>209</v>
      </c>
      <c r="EC159" s="2" t="s">
        <v>203</v>
      </c>
      <c r="ED159" s="2" t="s">
        <v>203</v>
      </c>
      <c r="EF159" s="2" t="s">
        <v>189</v>
      </c>
      <c r="EG159" s="2" t="s">
        <v>1314</v>
      </c>
      <c r="EJ159" s="2" t="s">
        <v>238</v>
      </c>
      <c r="EK159" s="2" t="s">
        <v>187</v>
      </c>
      <c r="EL159" s="2" t="s">
        <v>188</v>
      </c>
      <c r="EN159" s="2" t="s">
        <v>214</v>
      </c>
      <c r="EP159" s="2" t="s">
        <v>1315</v>
      </c>
      <c r="ER159" s="2" t="s">
        <v>187</v>
      </c>
      <c r="ET159" s="2" t="s">
        <v>188</v>
      </c>
      <c r="EV159" s="2" t="s">
        <v>187</v>
      </c>
      <c r="EW159" s="2" t="s">
        <v>215</v>
      </c>
      <c r="EX159" s="2" t="s">
        <v>188</v>
      </c>
      <c r="EZ159" s="2" t="s">
        <v>188</v>
      </c>
      <c r="FC159" s="2" t="s">
        <v>395</v>
      </c>
      <c r="FD159" s="2" t="s">
        <v>188</v>
      </c>
      <c r="FH159" s="2" t="s">
        <v>188</v>
      </c>
      <c r="FJ159" s="2" t="s">
        <v>188</v>
      </c>
      <c r="FK159" s="2" t="s">
        <v>188</v>
      </c>
      <c r="FN159" s="2" t="s">
        <v>488</v>
      </c>
      <c r="FR159" s="2" t="s">
        <v>1316</v>
      </c>
      <c r="FT159" s="2" t="s">
        <v>233</v>
      </c>
      <c r="FU159" s="2" t="s">
        <v>233</v>
      </c>
      <c r="FV159" s="2" t="s">
        <v>233</v>
      </c>
      <c r="FW159" s="2" t="s">
        <v>233</v>
      </c>
      <c r="FZ159" s="4">
        <v>46049.431909722225</v>
      </c>
    </row>
    <row r="160" spans="1:182">
      <c r="A160" s="2" t="s">
        <v>1317</v>
      </c>
      <c r="D160" s="4">
        <v>46296.449502314812</v>
      </c>
      <c r="E160" s="2" t="s">
        <v>1318</v>
      </c>
      <c r="F160" s="2" t="s">
        <v>590</v>
      </c>
      <c r="G160" s="2" t="s">
        <v>1206</v>
      </c>
      <c r="H160" s="2" t="s">
        <v>1212</v>
      </c>
      <c r="I160" s="2" t="s">
        <v>1319</v>
      </c>
      <c r="J160" s="2">
        <v>363572418</v>
      </c>
      <c r="K160" s="2" t="s">
        <v>1320</v>
      </c>
      <c r="L160" s="2" t="s">
        <v>182</v>
      </c>
      <c r="M160" s="2" t="s">
        <v>223</v>
      </c>
      <c r="N160" s="2">
        <v>2002</v>
      </c>
      <c r="O160" s="2" t="s">
        <v>184</v>
      </c>
      <c r="P160" s="2" t="s">
        <v>225</v>
      </c>
      <c r="Q160" s="2" t="s">
        <v>186</v>
      </c>
      <c r="R160" s="2" t="s">
        <v>188</v>
      </c>
      <c r="S160" s="2">
        <v>5</v>
      </c>
      <c r="T160" s="2" t="s">
        <v>187</v>
      </c>
      <c r="U160" s="2" t="s">
        <v>187</v>
      </c>
      <c r="Y160" s="2">
        <v>65</v>
      </c>
      <c r="Z160" s="2">
        <v>1</v>
      </c>
      <c r="AA160" s="2">
        <v>65</v>
      </c>
      <c r="AB160" s="2">
        <v>65</v>
      </c>
      <c r="AC160" s="2">
        <v>65</v>
      </c>
      <c r="AD160" s="2">
        <v>85</v>
      </c>
      <c r="AE160" s="2">
        <v>20</v>
      </c>
      <c r="AF160" s="2" t="s">
        <v>188</v>
      </c>
      <c r="AG160" s="2" t="s">
        <v>188</v>
      </c>
      <c r="AH160" s="2" t="s">
        <v>188</v>
      </c>
      <c r="AJ160" s="2" t="s">
        <v>188</v>
      </c>
      <c r="AK160" s="2" t="s">
        <v>188</v>
      </c>
      <c r="AL160" s="2" t="s">
        <v>188</v>
      </c>
      <c r="AM160" s="2" t="s">
        <v>188</v>
      </c>
      <c r="AN160" s="2" t="s">
        <v>188</v>
      </c>
      <c r="AO160" s="2" t="s">
        <v>188</v>
      </c>
      <c r="AR160" s="2">
        <v>1</v>
      </c>
      <c r="AS160" s="2">
        <v>3</v>
      </c>
      <c r="AT160" s="2">
        <v>0.7</v>
      </c>
      <c r="AU160" s="2" t="s">
        <v>203</v>
      </c>
      <c r="AV160" s="2" t="s">
        <v>238</v>
      </c>
      <c r="AW160" s="2" t="s">
        <v>188</v>
      </c>
      <c r="AZ160" s="2" t="s">
        <v>190</v>
      </c>
      <c r="BB160" s="2" t="s">
        <v>260</v>
      </c>
      <c r="BC160" s="2" t="s">
        <v>192</v>
      </c>
      <c r="BD160" s="2" t="s">
        <v>188</v>
      </c>
      <c r="BE160" s="2" t="s">
        <v>188</v>
      </c>
      <c r="BL160" s="2" t="s">
        <v>197</v>
      </c>
      <c r="BM160" s="2" t="s">
        <v>507</v>
      </c>
      <c r="BN160" s="2" t="s">
        <v>199</v>
      </c>
      <c r="BO160" s="2" t="s">
        <v>341</v>
      </c>
      <c r="BP160" s="2" t="s">
        <v>342</v>
      </c>
      <c r="BS160" s="2" t="s">
        <v>188</v>
      </c>
      <c r="BT160" s="2" t="s">
        <v>410</v>
      </c>
      <c r="BV160" s="2" t="s">
        <v>228</v>
      </c>
      <c r="BX160" s="2" t="s">
        <v>188</v>
      </c>
      <c r="BZ160" s="2" t="s">
        <v>188</v>
      </c>
      <c r="CE160" s="2">
        <v>0.7</v>
      </c>
      <c r="CF160" s="2">
        <v>85</v>
      </c>
      <c r="CK160" s="2">
        <v>100</v>
      </c>
      <c r="CO160" s="2">
        <v>100</v>
      </c>
      <c r="CR160" s="2" t="s">
        <v>204</v>
      </c>
      <c r="CT160" s="2" t="s">
        <v>188</v>
      </c>
      <c r="CU160" s="2" t="s">
        <v>758</v>
      </c>
      <c r="CW160" s="2" t="s">
        <v>206</v>
      </c>
      <c r="CY160" s="2" t="s">
        <v>208</v>
      </c>
      <c r="CZ160" s="2" t="s">
        <v>208</v>
      </c>
      <c r="DA160" s="2" t="s">
        <v>208</v>
      </c>
      <c r="DB160" s="2" t="s">
        <v>208</v>
      </c>
      <c r="DC160" s="2" t="s">
        <v>208</v>
      </c>
      <c r="DD160" s="2" t="s">
        <v>208</v>
      </c>
      <c r="DE160" s="2" t="s">
        <v>208</v>
      </c>
      <c r="DF160" s="2" t="s">
        <v>208</v>
      </c>
      <c r="DG160" s="2" t="s">
        <v>208</v>
      </c>
      <c r="DH160" s="2" t="s">
        <v>208</v>
      </c>
      <c r="DI160" s="2" t="s">
        <v>208</v>
      </c>
      <c r="DL160" s="2" t="s">
        <v>188</v>
      </c>
      <c r="DM160" s="2" t="s">
        <v>188</v>
      </c>
      <c r="DP160" s="2" t="s">
        <v>188</v>
      </c>
      <c r="DT160" s="2" t="s">
        <v>203</v>
      </c>
      <c r="DU160" s="2" t="s">
        <v>203</v>
      </c>
      <c r="DV160" s="2" t="s">
        <v>203</v>
      </c>
      <c r="DW160" s="2" t="s">
        <v>203</v>
      </c>
      <c r="DX160" s="2" t="s">
        <v>203</v>
      </c>
      <c r="DY160" s="2" t="s">
        <v>203</v>
      </c>
      <c r="DZ160" s="2" t="s">
        <v>203</v>
      </c>
      <c r="EA160" s="2" t="s">
        <v>203</v>
      </c>
      <c r="EB160" s="2" t="s">
        <v>203</v>
      </c>
      <c r="EC160" s="2" t="s">
        <v>203</v>
      </c>
      <c r="EF160" s="2" t="s">
        <v>189</v>
      </c>
      <c r="EG160" s="2" t="s">
        <v>1087</v>
      </c>
      <c r="EJ160" s="2" t="s">
        <v>203</v>
      </c>
      <c r="EK160" s="2" t="s">
        <v>188</v>
      </c>
      <c r="EL160" s="2" t="s">
        <v>188</v>
      </c>
      <c r="EN160" s="2" t="s">
        <v>255</v>
      </c>
      <c r="EP160" s="2" t="s">
        <v>230</v>
      </c>
      <c r="ER160" s="2" t="s">
        <v>188</v>
      </c>
      <c r="ET160" s="2" t="s">
        <v>188</v>
      </c>
      <c r="EV160" s="2" t="s">
        <v>188</v>
      </c>
      <c r="EX160" s="2" t="s">
        <v>188</v>
      </c>
      <c r="EZ160" s="2" t="s">
        <v>188</v>
      </c>
      <c r="FC160" s="2" t="s">
        <v>263</v>
      </c>
      <c r="FD160" s="2" t="s">
        <v>188</v>
      </c>
      <c r="FH160" s="2" t="s">
        <v>188</v>
      </c>
      <c r="FJ160" s="2" t="s">
        <v>188</v>
      </c>
      <c r="FK160" s="2" t="s">
        <v>188</v>
      </c>
      <c r="FN160" s="2" t="s">
        <v>282</v>
      </c>
      <c r="FR160" s="2" t="s">
        <v>1321</v>
      </c>
      <c r="FT160" s="2" t="s">
        <v>233</v>
      </c>
      <c r="FU160" s="2" t="s">
        <v>233</v>
      </c>
      <c r="FV160" s="2" t="s">
        <v>233</v>
      </c>
      <c r="FW160" s="2" t="s">
        <v>233</v>
      </c>
      <c r="FZ160" s="4">
        <v>46047.598171296297</v>
      </c>
    </row>
    <row r="161" spans="1:182">
      <c r="A161" s="2" t="s">
        <v>1322</v>
      </c>
      <c r="D161" s="4">
        <v>46296.435428240744</v>
      </c>
      <c r="E161" s="2" t="s">
        <v>1323</v>
      </c>
      <c r="F161" s="2" t="s">
        <v>398</v>
      </c>
      <c r="G161" s="2" t="s">
        <v>1206</v>
      </c>
      <c r="H161" s="2" t="s">
        <v>1263</v>
      </c>
      <c r="I161" s="2" t="s">
        <v>1324</v>
      </c>
      <c r="J161" s="2">
        <v>976022599</v>
      </c>
      <c r="K161" s="2" t="s">
        <v>1324</v>
      </c>
      <c r="L161" s="2" t="s">
        <v>182</v>
      </c>
      <c r="M161" s="2" t="s">
        <v>183</v>
      </c>
      <c r="N161" s="2">
        <v>1978</v>
      </c>
      <c r="O161" s="2" t="s">
        <v>224</v>
      </c>
      <c r="P161" s="2" t="s">
        <v>185</v>
      </c>
      <c r="Q161" s="2" t="s">
        <v>186</v>
      </c>
      <c r="R161" s="2" t="s">
        <v>188</v>
      </c>
      <c r="S161" s="2">
        <v>25</v>
      </c>
      <c r="T161" s="2" t="s">
        <v>188</v>
      </c>
      <c r="U161" s="2" t="s">
        <v>188</v>
      </c>
      <c r="Y161" s="2">
        <v>1980</v>
      </c>
      <c r="Z161" s="2">
        <v>0.90910000000000002</v>
      </c>
      <c r="AA161" s="2">
        <v>1800</v>
      </c>
      <c r="AB161" s="2">
        <v>1800</v>
      </c>
      <c r="AC161" s="2">
        <v>1800</v>
      </c>
      <c r="AD161" s="2">
        <v>2000</v>
      </c>
      <c r="AE161" s="2">
        <v>200</v>
      </c>
      <c r="AF161" s="2" t="s">
        <v>188</v>
      </c>
      <c r="AG161" s="2" t="s">
        <v>188</v>
      </c>
      <c r="AH161" s="2" t="s">
        <v>188</v>
      </c>
      <c r="AJ161" s="2" t="s">
        <v>188</v>
      </c>
      <c r="AK161" s="2" t="s">
        <v>187</v>
      </c>
      <c r="AL161" s="2" t="s">
        <v>187</v>
      </c>
      <c r="AM161" s="2" t="s">
        <v>188</v>
      </c>
      <c r="AN161" s="2" t="s">
        <v>188</v>
      </c>
      <c r="AO161" s="2" t="s">
        <v>188</v>
      </c>
      <c r="AR161" s="2">
        <v>3.9</v>
      </c>
      <c r="AS161" s="2">
        <v>5</v>
      </c>
      <c r="AT161" s="2">
        <v>20</v>
      </c>
      <c r="AU161" s="2" t="s">
        <v>189</v>
      </c>
      <c r="AV161" s="2" t="s">
        <v>189</v>
      </c>
      <c r="AW161" s="2" t="s">
        <v>188</v>
      </c>
      <c r="AZ161" s="2" t="s">
        <v>190</v>
      </c>
      <c r="BB161" s="2" t="s">
        <v>260</v>
      </c>
      <c r="BC161" s="2" t="s">
        <v>296</v>
      </c>
      <c r="BD161" s="2" t="s">
        <v>187</v>
      </c>
      <c r="BE161" s="2" t="s">
        <v>187</v>
      </c>
      <c r="BF161" s="2" t="s">
        <v>193</v>
      </c>
      <c r="BG161" s="2" t="s">
        <v>194</v>
      </c>
      <c r="BH161" s="2" t="s">
        <v>280</v>
      </c>
      <c r="BI161" s="2" t="s">
        <v>196</v>
      </c>
      <c r="BL161" s="2" t="s">
        <v>197</v>
      </c>
      <c r="BM161" s="2" t="s">
        <v>198</v>
      </c>
      <c r="BN161" s="2" t="s">
        <v>199</v>
      </c>
      <c r="BO161" s="2" t="s">
        <v>188</v>
      </c>
      <c r="BQ161" s="2" t="s">
        <v>200</v>
      </c>
      <c r="BS161" s="2" t="s">
        <v>187</v>
      </c>
      <c r="BT161" s="2" t="s">
        <v>1325</v>
      </c>
      <c r="BV161" s="2" t="s">
        <v>567</v>
      </c>
      <c r="BX161" s="2" t="s">
        <v>188</v>
      </c>
      <c r="BY161" s="2" t="s">
        <v>1326</v>
      </c>
      <c r="BZ161" s="2" t="s">
        <v>203</v>
      </c>
      <c r="CE161" s="2">
        <v>20</v>
      </c>
      <c r="CF161" s="2">
        <v>2000</v>
      </c>
      <c r="CM161" s="2">
        <v>100</v>
      </c>
      <c r="CP161" s="2">
        <v>100</v>
      </c>
      <c r="CR161" s="2" t="s">
        <v>204</v>
      </c>
      <c r="CT161" s="2" t="s">
        <v>188</v>
      </c>
      <c r="CU161" s="2" t="s">
        <v>205</v>
      </c>
      <c r="CW161" s="2" t="s">
        <v>206</v>
      </c>
      <c r="CY161" s="2" t="s">
        <v>207</v>
      </c>
      <c r="CZ161" s="2" t="s">
        <v>207</v>
      </c>
      <c r="DA161" s="2" t="s">
        <v>207</v>
      </c>
      <c r="DB161" s="2" t="s">
        <v>207</v>
      </c>
      <c r="DC161" s="2" t="s">
        <v>207</v>
      </c>
      <c r="DD161" s="2" t="s">
        <v>207</v>
      </c>
      <c r="DE161" s="2" t="s">
        <v>207</v>
      </c>
      <c r="DF161" s="2" t="s">
        <v>207</v>
      </c>
      <c r="DG161" s="2" t="s">
        <v>207</v>
      </c>
      <c r="DH161" s="2" t="s">
        <v>207</v>
      </c>
      <c r="DI161" s="2" t="s">
        <v>207</v>
      </c>
      <c r="DL161" s="2" t="s">
        <v>187</v>
      </c>
      <c r="DM161" s="2" t="s">
        <v>187</v>
      </c>
      <c r="DN161" s="2" t="s">
        <v>187</v>
      </c>
      <c r="DO161" s="2" t="s">
        <v>187</v>
      </c>
      <c r="DP161" s="2" t="s">
        <v>209</v>
      </c>
      <c r="DQ161" s="2" t="s">
        <v>467</v>
      </c>
      <c r="DR161" s="2" t="s">
        <v>1327</v>
      </c>
      <c r="DT161" s="2" t="s">
        <v>209</v>
      </c>
      <c r="DU161" s="2" t="s">
        <v>209</v>
      </c>
      <c r="DV161" s="2" t="s">
        <v>209</v>
      </c>
      <c r="DW161" s="2" t="s">
        <v>209</v>
      </c>
      <c r="DX161" s="2" t="s">
        <v>209</v>
      </c>
      <c r="DY161" s="2" t="s">
        <v>209</v>
      </c>
      <c r="DZ161" s="2" t="s">
        <v>203</v>
      </c>
      <c r="EA161" s="2" t="s">
        <v>209</v>
      </c>
      <c r="EB161" s="2" t="s">
        <v>209</v>
      </c>
      <c r="EC161" s="2" t="s">
        <v>188</v>
      </c>
      <c r="EF161" s="2" t="s">
        <v>189</v>
      </c>
      <c r="EG161" s="2" t="s">
        <v>1328</v>
      </c>
      <c r="EJ161" s="2" t="s">
        <v>189</v>
      </c>
      <c r="EK161" s="2" t="s">
        <v>187</v>
      </c>
      <c r="EL161" s="2" t="s">
        <v>187</v>
      </c>
      <c r="EM161" s="2" t="s">
        <v>214</v>
      </c>
      <c r="EN161" s="2" t="s">
        <v>214</v>
      </c>
      <c r="EP161" s="2" t="s">
        <v>230</v>
      </c>
      <c r="ER161" s="2" t="s">
        <v>187</v>
      </c>
      <c r="ET161" s="2" t="s">
        <v>188</v>
      </c>
      <c r="EV161" s="2" t="s">
        <v>187</v>
      </c>
      <c r="EW161" s="2" t="s">
        <v>189</v>
      </c>
      <c r="EX161" s="2" t="s">
        <v>187</v>
      </c>
      <c r="EY161" s="2" t="s">
        <v>189</v>
      </c>
      <c r="EZ161" s="2" t="s">
        <v>188</v>
      </c>
      <c r="FC161" s="2" t="s">
        <v>216</v>
      </c>
      <c r="FD161" s="2" t="s">
        <v>188</v>
      </c>
      <c r="FH161" s="2" t="s">
        <v>188</v>
      </c>
      <c r="FJ161" s="2" t="s">
        <v>188</v>
      </c>
      <c r="FK161" s="2" t="s">
        <v>209</v>
      </c>
      <c r="FL161" s="2" t="s">
        <v>274</v>
      </c>
      <c r="FN161" s="2" t="s">
        <v>282</v>
      </c>
      <c r="FR161" s="2" t="s">
        <v>1329</v>
      </c>
      <c r="FT161" s="2" t="s">
        <v>233</v>
      </c>
      <c r="FU161" s="2" t="s">
        <v>233</v>
      </c>
      <c r="FV161" s="2" t="s">
        <v>233</v>
      </c>
      <c r="FW161" s="2" t="s">
        <v>233</v>
      </c>
      <c r="FX161" s="2" t="s">
        <v>233</v>
      </c>
      <c r="FY161" s="2" t="s">
        <v>1330</v>
      </c>
      <c r="FZ161" s="4">
        <v>46038.523842592593</v>
      </c>
    </row>
    <row r="162" spans="1:182">
      <c r="A162" s="2" t="s">
        <v>1331</v>
      </c>
      <c r="D162" s="4">
        <v>46296.446643518517</v>
      </c>
      <c r="E162" s="2" t="s">
        <v>177</v>
      </c>
      <c r="F162" s="2" t="s">
        <v>293</v>
      </c>
      <c r="G162" s="2" t="s">
        <v>1206</v>
      </c>
      <c r="H162" s="2" t="s">
        <v>1263</v>
      </c>
      <c r="I162" s="2" t="s">
        <v>1332</v>
      </c>
      <c r="J162" s="2">
        <v>379102360</v>
      </c>
      <c r="K162" s="2" t="s">
        <v>1333</v>
      </c>
      <c r="L162" s="2" t="s">
        <v>352</v>
      </c>
      <c r="M162" s="2" t="s">
        <v>223</v>
      </c>
      <c r="N162" s="2">
        <v>1967</v>
      </c>
      <c r="O162" s="2" t="s">
        <v>224</v>
      </c>
      <c r="P162" s="2" t="s">
        <v>225</v>
      </c>
      <c r="Q162" s="2" t="s">
        <v>186</v>
      </c>
      <c r="R162" s="2" t="s">
        <v>188</v>
      </c>
      <c r="S162" s="2">
        <v>2018</v>
      </c>
      <c r="T162" s="2" t="s">
        <v>188</v>
      </c>
      <c r="U162" s="2" t="s">
        <v>188</v>
      </c>
      <c r="Y162" s="2">
        <v>745</v>
      </c>
      <c r="Z162" s="2">
        <v>0.93959999999999999</v>
      </c>
      <c r="AA162" s="2">
        <v>700</v>
      </c>
      <c r="AB162" s="2">
        <v>650</v>
      </c>
      <c r="AC162" s="2">
        <v>450</v>
      </c>
      <c r="AD162" s="2">
        <v>500</v>
      </c>
      <c r="AE162" s="2">
        <v>50</v>
      </c>
      <c r="AF162" s="2" t="s">
        <v>187</v>
      </c>
      <c r="AG162" s="2" t="s">
        <v>187</v>
      </c>
      <c r="AH162" s="2" t="s">
        <v>187</v>
      </c>
      <c r="AI162" s="2" t="s">
        <v>1334</v>
      </c>
      <c r="AJ162" s="2" t="s">
        <v>188</v>
      </c>
      <c r="AK162" s="2" t="s">
        <v>187</v>
      </c>
      <c r="AL162" s="2" t="s">
        <v>188</v>
      </c>
      <c r="AM162" s="2" t="s">
        <v>188</v>
      </c>
      <c r="AN162" s="2" t="s">
        <v>188</v>
      </c>
      <c r="AO162" s="2" t="s">
        <v>188</v>
      </c>
      <c r="AR162" s="2">
        <v>1</v>
      </c>
      <c r="AS162" s="2">
        <v>1</v>
      </c>
      <c r="AT162" s="2">
        <v>5</v>
      </c>
      <c r="AU162" s="2" t="s">
        <v>189</v>
      </c>
      <c r="AV162" s="2" t="s">
        <v>189</v>
      </c>
      <c r="AW162" s="2" t="s">
        <v>188</v>
      </c>
      <c r="AZ162" s="2" t="s">
        <v>561</v>
      </c>
      <c r="BB162" s="2" t="s">
        <v>260</v>
      </c>
      <c r="BC162" s="2" t="s">
        <v>296</v>
      </c>
      <c r="BD162" s="2" t="s">
        <v>187</v>
      </c>
      <c r="BE162" s="2" t="s">
        <v>187</v>
      </c>
      <c r="BF162" s="2" t="s">
        <v>193</v>
      </c>
      <c r="BG162" s="2" t="s">
        <v>279</v>
      </c>
      <c r="BH162" s="2" t="s">
        <v>297</v>
      </c>
      <c r="BI162" s="2" t="s">
        <v>196</v>
      </c>
      <c r="BL162" s="2" t="s">
        <v>197</v>
      </c>
      <c r="BM162" s="2" t="s">
        <v>198</v>
      </c>
      <c r="BN162" s="2" t="s">
        <v>199</v>
      </c>
      <c r="BO162" s="2" t="s">
        <v>188</v>
      </c>
      <c r="BQ162" s="2" t="s">
        <v>309</v>
      </c>
      <c r="BS162" s="2" t="s">
        <v>187</v>
      </c>
      <c r="BT162" s="2" t="s">
        <v>261</v>
      </c>
      <c r="BV162" s="2" t="s">
        <v>1308</v>
      </c>
      <c r="BX162" s="2" t="s">
        <v>187</v>
      </c>
      <c r="BY162" s="2" t="s">
        <v>310</v>
      </c>
      <c r="BZ162" s="2" t="s">
        <v>203</v>
      </c>
      <c r="CE162" s="2">
        <v>5</v>
      </c>
      <c r="CF162" s="2">
        <v>490</v>
      </c>
      <c r="CK162" s="2">
        <v>100</v>
      </c>
      <c r="CO162" s="2">
        <v>100</v>
      </c>
      <c r="CR162" s="2" t="s">
        <v>204</v>
      </c>
      <c r="CT162" s="2" t="s">
        <v>188</v>
      </c>
      <c r="CU162" s="2" t="s">
        <v>205</v>
      </c>
      <c r="CW162" s="2" t="s">
        <v>206</v>
      </c>
      <c r="CY162" s="2" t="s">
        <v>207</v>
      </c>
      <c r="CZ162" s="2" t="s">
        <v>207</v>
      </c>
      <c r="DA162" s="2" t="s">
        <v>300</v>
      </c>
      <c r="DB162" s="2" t="s">
        <v>301</v>
      </c>
      <c r="DC162" s="2" t="s">
        <v>300</v>
      </c>
      <c r="DD162" s="2" t="s">
        <v>301</v>
      </c>
      <c r="DE162" s="2" t="s">
        <v>208</v>
      </c>
      <c r="DF162" s="2" t="s">
        <v>207</v>
      </c>
      <c r="DG162" s="2" t="s">
        <v>207</v>
      </c>
      <c r="DH162" s="2" t="s">
        <v>208</v>
      </c>
      <c r="DI162" s="2" t="s">
        <v>208</v>
      </c>
      <c r="DL162" s="2" t="s">
        <v>187</v>
      </c>
      <c r="DM162" s="2" t="s">
        <v>187</v>
      </c>
      <c r="DN162" s="2" t="s">
        <v>187</v>
      </c>
      <c r="DO162" s="2" t="s">
        <v>187</v>
      </c>
      <c r="DP162" s="2" t="s">
        <v>209</v>
      </c>
      <c r="DQ162" s="2" t="s">
        <v>210</v>
      </c>
      <c r="DS162" s="2" t="s">
        <v>209</v>
      </c>
      <c r="DT162" s="2" t="s">
        <v>209</v>
      </c>
      <c r="DU162" s="2" t="s">
        <v>209</v>
      </c>
      <c r="DV162" s="2" t="s">
        <v>209</v>
      </c>
      <c r="DW162" s="2" t="s">
        <v>209</v>
      </c>
      <c r="DX162" s="2" t="s">
        <v>209</v>
      </c>
      <c r="DY162" s="2" t="s">
        <v>209</v>
      </c>
      <c r="DZ162" s="2" t="s">
        <v>203</v>
      </c>
      <c r="EA162" s="2" t="s">
        <v>209</v>
      </c>
      <c r="EB162" s="2" t="s">
        <v>209</v>
      </c>
      <c r="EC162" s="2" t="s">
        <v>203</v>
      </c>
      <c r="EF162" s="2" t="s">
        <v>211</v>
      </c>
      <c r="EJ162" s="2" t="s">
        <v>189</v>
      </c>
      <c r="EK162" s="2" t="s">
        <v>187</v>
      </c>
      <c r="EL162" s="2" t="s">
        <v>188</v>
      </c>
      <c r="EN162" s="2" t="s">
        <v>214</v>
      </c>
      <c r="EP162" s="2" t="s">
        <v>230</v>
      </c>
      <c r="ER162" s="2" t="s">
        <v>187</v>
      </c>
      <c r="ET162" s="2" t="s">
        <v>188</v>
      </c>
      <c r="EV162" s="2" t="s">
        <v>187</v>
      </c>
      <c r="EW162" s="2" t="s">
        <v>189</v>
      </c>
      <c r="EX162" s="2" t="s">
        <v>187</v>
      </c>
      <c r="EY162" s="2" t="s">
        <v>189</v>
      </c>
      <c r="FC162" s="2" t="s">
        <v>216</v>
      </c>
      <c r="FD162" s="2" t="s">
        <v>188</v>
      </c>
      <c r="FH162" s="2" t="s">
        <v>188</v>
      </c>
      <c r="FJ162" s="2" t="s">
        <v>187</v>
      </c>
      <c r="FK162" s="2" t="s">
        <v>209</v>
      </c>
      <c r="FL162" s="2" t="s">
        <v>1335</v>
      </c>
      <c r="FN162" s="2" t="s">
        <v>354</v>
      </c>
      <c r="FT162" s="2" t="s">
        <v>219</v>
      </c>
      <c r="FU162" s="2" t="s">
        <v>233</v>
      </c>
      <c r="FV162" s="2" t="s">
        <v>233</v>
      </c>
      <c r="FW162" s="2" t="s">
        <v>233</v>
      </c>
      <c r="FZ162" s="4">
        <v>46039.673414351855</v>
      </c>
    </row>
    <row r="163" spans="1:182">
      <c r="A163" s="2" t="s">
        <v>1336</v>
      </c>
      <c r="D163" s="4">
        <v>46296.45039351852</v>
      </c>
      <c r="E163" s="2" t="s">
        <v>1337</v>
      </c>
      <c r="F163" s="2" t="s">
        <v>480</v>
      </c>
      <c r="G163" s="2" t="s">
        <v>1206</v>
      </c>
      <c r="H163" s="2" t="s">
        <v>1212</v>
      </c>
      <c r="I163" s="2" t="s">
        <v>1338</v>
      </c>
      <c r="J163" s="2">
        <v>379039861</v>
      </c>
      <c r="K163" s="2" t="s">
        <v>1339</v>
      </c>
      <c r="L163" s="2" t="s">
        <v>182</v>
      </c>
      <c r="M163" s="2" t="s">
        <v>183</v>
      </c>
      <c r="N163" s="2">
        <v>1985</v>
      </c>
      <c r="O163" s="2" t="s">
        <v>184</v>
      </c>
      <c r="P163" s="2" t="s">
        <v>185</v>
      </c>
      <c r="Q163" s="2" t="s">
        <v>226</v>
      </c>
      <c r="R163" s="2" t="s">
        <v>188</v>
      </c>
      <c r="S163" s="2">
        <v>24</v>
      </c>
      <c r="T163" s="2" t="s">
        <v>188</v>
      </c>
      <c r="U163" s="2" t="s">
        <v>188</v>
      </c>
      <c r="Y163" s="2">
        <v>414</v>
      </c>
      <c r="Z163" s="2">
        <v>1</v>
      </c>
      <c r="AA163" s="2">
        <v>414</v>
      </c>
      <c r="AB163" s="2">
        <v>414</v>
      </c>
      <c r="AC163" s="2">
        <v>414</v>
      </c>
      <c r="AD163" s="2">
        <v>594</v>
      </c>
      <c r="AE163" s="2">
        <v>180</v>
      </c>
      <c r="AF163" s="2" t="s">
        <v>188</v>
      </c>
      <c r="AG163" s="2" t="s">
        <v>188</v>
      </c>
      <c r="AH163" s="2" t="s">
        <v>188</v>
      </c>
      <c r="AJ163" s="2" t="s">
        <v>188</v>
      </c>
      <c r="AK163" s="2" t="s">
        <v>188</v>
      </c>
      <c r="AL163" s="2" t="s">
        <v>188</v>
      </c>
      <c r="AM163" s="2" t="s">
        <v>188</v>
      </c>
      <c r="AN163" s="2" t="s">
        <v>188</v>
      </c>
      <c r="AO163" s="2" t="s">
        <v>188</v>
      </c>
      <c r="AR163" s="2">
        <v>3</v>
      </c>
      <c r="AS163" s="2">
        <v>4</v>
      </c>
      <c r="AT163" s="2">
        <v>6</v>
      </c>
      <c r="AU163" s="2" t="s">
        <v>238</v>
      </c>
      <c r="AV163" s="2" t="s">
        <v>238</v>
      </c>
      <c r="AW163" s="2" t="s">
        <v>188</v>
      </c>
      <c r="AZ163" s="2" t="s">
        <v>190</v>
      </c>
      <c r="BB163" s="2" t="s">
        <v>260</v>
      </c>
      <c r="BC163" s="2" t="s">
        <v>296</v>
      </c>
      <c r="BD163" s="2" t="s">
        <v>187</v>
      </c>
      <c r="BE163" s="2" t="s">
        <v>187</v>
      </c>
      <c r="BF163" s="2" t="s">
        <v>193</v>
      </c>
      <c r="BG163" s="2" t="s">
        <v>194</v>
      </c>
      <c r="BH163" s="2" t="s">
        <v>195</v>
      </c>
      <c r="BI163" s="2" t="s">
        <v>196</v>
      </c>
      <c r="BL163" s="2" t="s">
        <v>197</v>
      </c>
      <c r="BM163" s="2" t="s">
        <v>507</v>
      </c>
      <c r="BN163" s="2" t="s">
        <v>199</v>
      </c>
      <c r="BO163" s="2" t="s">
        <v>188</v>
      </c>
      <c r="BQ163" s="2" t="s">
        <v>227</v>
      </c>
      <c r="BS163" s="2" t="s">
        <v>187</v>
      </c>
      <c r="BT163" s="2" t="s">
        <v>484</v>
      </c>
      <c r="BV163" s="2" t="s">
        <v>1340</v>
      </c>
      <c r="BX163" s="2" t="s">
        <v>187</v>
      </c>
      <c r="BY163" s="2" t="s">
        <v>1341</v>
      </c>
      <c r="BZ163" s="2" t="s">
        <v>203</v>
      </c>
      <c r="CE163" s="2">
        <v>6</v>
      </c>
      <c r="CF163" s="2">
        <v>594</v>
      </c>
      <c r="CM163" s="2">
        <v>100</v>
      </c>
      <c r="CO163" s="2">
        <v>100</v>
      </c>
      <c r="CR163" s="2" t="s">
        <v>511</v>
      </c>
      <c r="CT163" s="2" t="s">
        <v>188</v>
      </c>
      <c r="CU163" s="2" t="s">
        <v>205</v>
      </c>
      <c r="CW163" s="2" t="s">
        <v>206</v>
      </c>
      <c r="CY163" s="2" t="s">
        <v>512</v>
      </c>
      <c r="CZ163" s="2" t="s">
        <v>512</v>
      </c>
      <c r="DA163" s="2" t="s">
        <v>300</v>
      </c>
      <c r="DB163" s="2" t="s">
        <v>300</v>
      </c>
      <c r="DC163" s="2" t="s">
        <v>300</v>
      </c>
      <c r="DD163" s="2" t="s">
        <v>300</v>
      </c>
      <c r="DE163" s="2" t="s">
        <v>300</v>
      </c>
      <c r="DF163" s="2" t="s">
        <v>300</v>
      </c>
      <c r="DG163" s="2" t="s">
        <v>273</v>
      </c>
      <c r="DH163" s="2" t="s">
        <v>273</v>
      </c>
      <c r="DI163" s="2" t="s">
        <v>299</v>
      </c>
      <c r="DL163" s="2" t="s">
        <v>187</v>
      </c>
      <c r="DM163" s="2" t="s">
        <v>187</v>
      </c>
      <c r="DN163" s="2" t="s">
        <v>187</v>
      </c>
      <c r="DO163" s="2" t="s">
        <v>187</v>
      </c>
      <c r="DP163" s="2" t="s">
        <v>209</v>
      </c>
      <c r="DQ163" s="2" t="s">
        <v>210</v>
      </c>
      <c r="DT163" s="2" t="s">
        <v>209</v>
      </c>
      <c r="DU163" s="2" t="s">
        <v>209</v>
      </c>
      <c r="DV163" s="2" t="s">
        <v>209</v>
      </c>
      <c r="DW163" s="2" t="s">
        <v>209</v>
      </c>
      <c r="DX163" s="2" t="s">
        <v>209</v>
      </c>
      <c r="DY163" s="2" t="s">
        <v>203</v>
      </c>
      <c r="DZ163" s="2" t="s">
        <v>203</v>
      </c>
      <c r="EA163" s="2" t="s">
        <v>203</v>
      </c>
      <c r="EB163" s="2" t="s">
        <v>209</v>
      </c>
      <c r="EC163" s="2" t="s">
        <v>203</v>
      </c>
      <c r="ED163" s="2" t="s">
        <v>203</v>
      </c>
      <c r="EF163" s="2" t="s">
        <v>189</v>
      </c>
      <c r="EG163" s="2" t="s">
        <v>1342</v>
      </c>
      <c r="EJ163" s="2" t="s">
        <v>238</v>
      </c>
      <c r="EK163" s="2" t="s">
        <v>187</v>
      </c>
      <c r="EL163" s="2" t="s">
        <v>188</v>
      </c>
      <c r="EM163" s="2" t="s">
        <v>214</v>
      </c>
      <c r="EN163" s="2" t="s">
        <v>214</v>
      </c>
      <c r="EP163" s="2" t="s">
        <v>230</v>
      </c>
      <c r="ER163" s="2" t="s">
        <v>187</v>
      </c>
      <c r="ET163" s="2" t="s">
        <v>188</v>
      </c>
      <c r="EV163" s="2" t="s">
        <v>187</v>
      </c>
      <c r="EW163" s="2" t="s">
        <v>215</v>
      </c>
      <c r="EX163" s="2" t="s">
        <v>188</v>
      </c>
      <c r="EZ163" s="2" t="s">
        <v>188</v>
      </c>
      <c r="FC163" s="2" t="s">
        <v>395</v>
      </c>
      <c r="FD163" s="2" t="s">
        <v>188</v>
      </c>
      <c r="FH163" s="2" t="s">
        <v>188</v>
      </c>
      <c r="FJ163" s="2" t="s">
        <v>188</v>
      </c>
      <c r="FK163" s="2" t="s">
        <v>188</v>
      </c>
      <c r="FN163" s="2" t="s">
        <v>488</v>
      </c>
      <c r="FR163" s="2" t="s">
        <v>1343</v>
      </c>
      <c r="FT163" s="2" t="s">
        <v>233</v>
      </c>
      <c r="FU163" s="2" t="s">
        <v>233</v>
      </c>
      <c r="FV163" s="2" t="s">
        <v>233</v>
      </c>
      <c r="FW163" s="2" t="s">
        <v>233</v>
      </c>
      <c r="FZ163" s="4">
        <v>46049.435312499998</v>
      </c>
    </row>
    <row r="164" spans="1:182">
      <c r="A164" s="2" t="s">
        <v>1344</v>
      </c>
      <c r="D164" s="4">
        <v>46296.455636574072</v>
      </c>
      <c r="E164" s="2" t="s">
        <v>1345</v>
      </c>
      <c r="F164" s="2" t="s">
        <v>425</v>
      </c>
      <c r="G164" s="2" t="s">
        <v>1206</v>
      </c>
      <c r="H164" s="2" t="s">
        <v>1263</v>
      </c>
      <c r="I164" s="2" t="s">
        <v>1346</v>
      </c>
      <c r="J164" s="2">
        <v>368916480</v>
      </c>
      <c r="K164" s="2" t="s">
        <v>1347</v>
      </c>
      <c r="L164" s="2" t="s">
        <v>182</v>
      </c>
      <c r="M164" s="2" t="s">
        <v>223</v>
      </c>
      <c r="N164" s="2">
        <v>1975</v>
      </c>
      <c r="O164" s="2" t="s">
        <v>224</v>
      </c>
      <c r="P164" s="2" t="s">
        <v>225</v>
      </c>
      <c r="Q164" s="2" t="s">
        <v>186</v>
      </c>
      <c r="R164" s="2" t="s">
        <v>188</v>
      </c>
      <c r="S164" s="2">
        <v>30</v>
      </c>
      <c r="T164" s="2" t="s">
        <v>188</v>
      </c>
      <c r="U164" s="2" t="s">
        <v>188</v>
      </c>
      <c r="Y164" s="2">
        <v>990</v>
      </c>
      <c r="Z164" s="2">
        <v>1</v>
      </c>
      <c r="AA164" s="2">
        <v>990</v>
      </c>
      <c r="AB164" s="2">
        <v>990</v>
      </c>
      <c r="AC164" s="2">
        <v>990</v>
      </c>
      <c r="AD164" s="2">
        <v>1200</v>
      </c>
      <c r="AE164" s="2">
        <v>210</v>
      </c>
      <c r="AF164" s="2" t="s">
        <v>188</v>
      </c>
      <c r="AG164" s="2" t="s">
        <v>188</v>
      </c>
      <c r="AH164" s="2" t="s">
        <v>188</v>
      </c>
      <c r="AJ164" s="2" t="s">
        <v>188</v>
      </c>
      <c r="AK164" s="2" t="s">
        <v>188</v>
      </c>
      <c r="AL164" s="2" t="s">
        <v>188</v>
      </c>
      <c r="AM164" s="2" t="s">
        <v>188</v>
      </c>
      <c r="AN164" s="2" t="s">
        <v>188</v>
      </c>
      <c r="AO164" s="2" t="s">
        <v>188</v>
      </c>
      <c r="AR164" s="2">
        <v>2.5</v>
      </c>
      <c r="AS164" s="2">
        <v>2</v>
      </c>
      <c r="AT164" s="2">
        <v>12</v>
      </c>
      <c r="AU164" s="2" t="s">
        <v>238</v>
      </c>
      <c r="AV164" s="2" t="s">
        <v>238</v>
      </c>
      <c r="AW164" s="2" t="s">
        <v>188</v>
      </c>
      <c r="AZ164" s="2" t="s">
        <v>476</v>
      </c>
      <c r="BB164" s="2" t="s">
        <v>332</v>
      </c>
      <c r="BC164" s="2" t="s">
        <v>296</v>
      </c>
      <c r="BD164" s="2" t="s">
        <v>187</v>
      </c>
      <c r="BE164" s="2" t="s">
        <v>187</v>
      </c>
      <c r="BF164" s="2" t="s">
        <v>193</v>
      </c>
      <c r="BG164" s="2" t="s">
        <v>194</v>
      </c>
      <c r="BH164" s="2" t="s">
        <v>297</v>
      </c>
      <c r="BI164" s="2" t="s">
        <v>333</v>
      </c>
      <c r="BL164" s="2" t="s">
        <v>197</v>
      </c>
      <c r="BM164" s="2" t="s">
        <v>198</v>
      </c>
      <c r="BN164" s="2" t="s">
        <v>199</v>
      </c>
      <c r="BO164" s="2" t="s">
        <v>188</v>
      </c>
      <c r="BQ164" s="2" t="s">
        <v>227</v>
      </c>
      <c r="BS164" s="2" t="s">
        <v>187</v>
      </c>
      <c r="BT164" s="2" t="s">
        <v>69</v>
      </c>
      <c r="BU164" s="2" t="s">
        <v>544</v>
      </c>
      <c r="BV164" s="2" t="s">
        <v>248</v>
      </c>
      <c r="BX164" s="2" t="s">
        <v>188</v>
      </c>
      <c r="BY164" s="2" t="s">
        <v>1302</v>
      </c>
      <c r="BZ164" s="2" t="s">
        <v>188</v>
      </c>
      <c r="CE164" s="2">
        <v>12</v>
      </c>
      <c r="CF164" s="2">
        <v>1200</v>
      </c>
      <c r="CH164" s="2">
        <v>0</v>
      </c>
      <c r="CI164" s="2">
        <v>0</v>
      </c>
      <c r="CJ164" s="2">
        <v>0</v>
      </c>
      <c r="CK164" s="2">
        <v>30</v>
      </c>
      <c r="CL164" s="2">
        <v>0</v>
      </c>
      <c r="CM164" s="2">
        <v>70</v>
      </c>
      <c r="CO164" s="2">
        <v>100</v>
      </c>
      <c r="CP164" s="2">
        <v>0</v>
      </c>
      <c r="CQ164" s="2">
        <v>0</v>
      </c>
      <c r="CR164" s="2" t="s">
        <v>204</v>
      </c>
      <c r="CT164" s="2" t="s">
        <v>188</v>
      </c>
      <c r="CU164" s="2" t="s">
        <v>281</v>
      </c>
      <c r="CW164" s="2" t="s">
        <v>206</v>
      </c>
      <c r="CY164" s="2" t="s">
        <v>207</v>
      </c>
      <c r="CZ164" s="2" t="s">
        <v>207</v>
      </c>
      <c r="DA164" s="2" t="s">
        <v>300</v>
      </c>
      <c r="DB164" s="2" t="s">
        <v>300</v>
      </c>
      <c r="DC164" s="2" t="s">
        <v>300</v>
      </c>
      <c r="DD164" s="2" t="s">
        <v>430</v>
      </c>
      <c r="DE164" s="2" t="s">
        <v>300</v>
      </c>
      <c r="DF164" s="2" t="s">
        <v>207</v>
      </c>
      <c r="DG164" s="2" t="s">
        <v>207</v>
      </c>
      <c r="DH164" s="2" t="s">
        <v>300</v>
      </c>
      <c r="DI164" s="2" t="s">
        <v>300</v>
      </c>
      <c r="DL164" s="2" t="s">
        <v>187</v>
      </c>
      <c r="DM164" s="2" t="s">
        <v>187</v>
      </c>
      <c r="DN164" s="2" t="s">
        <v>187</v>
      </c>
      <c r="DO164" s="2" t="s">
        <v>187</v>
      </c>
      <c r="DP164" s="2" t="s">
        <v>209</v>
      </c>
      <c r="DQ164" s="2" t="s">
        <v>467</v>
      </c>
      <c r="DR164" s="2" t="s">
        <v>1348</v>
      </c>
      <c r="DT164" s="2" t="s">
        <v>209</v>
      </c>
      <c r="DU164" s="2" t="s">
        <v>209</v>
      </c>
      <c r="DV164" s="2" t="s">
        <v>209</v>
      </c>
      <c r="DW164" s="2" t="s">
        <v>209</v>
      </c>
      <c r="DX164" s="2" t="s">
        <v>209</v>
      </c>
      <c r="DY164" s="2" t="s">
        <v>209</v>
      </c>
      <c r="DZ164" s="2" t="s">
        <v>209</v>
      </c>
      <c r="EA164" s="2" t="s">
        <v>209</v>
      </c>
      <c r="EB164" s="2" t="s">
        <v>209</v>
      </c>
      <c r="EC164" s="2" t="s">
        <v>188</v>
      </c>
      <c r="ED164" s="2" t="s">
        <v>188</v>
      </c>
      <c r="EE164" s="2" t="s">
        <v>188</v>
      </c>
      <c r="EF164" s="2" t="s">
        <v>302</v>
      </c>
      <c r="EG164" s="2" t="s">
        <v>1349</v>
      </c>
      <c r="EJ164" s="2" t="s">
        <v>238</v>
      </c>
      <c r="EK164" s="2" t="s">
        <v>188</v>
      </c>
      <c r="EL164" s="2" t="s">
        <v>188</v>
      </c>
      <c r="EN164" s="2" t="s">
        <v>255</v>
      </c>
      <c r="EP164" s="2" t="s">
        <v>230</v>
      </c>
      <c r="ER164" s="2" t="s">
        <v>188</v>
      </c>
      <c r="ET164" s="2" t="s">
        <v>188</v>
      </c>
      <c r="EV164" s="2" t="s">
        <v>187</v>
      </c>
      <c r="EW164" s="2" t="s">
        <v>215</v>
      </c>
      <c r="EX164" s="2" t="s">
        <v>188</v>
      </c>
      <c r="EZ164" s="2" t="s">
        <v>188</v>
      </c>
      <c r="FC164" s="2" t="s">
        <v>263</v>
      </c>
      <c r="FD164" s="2" t="s">
        <v>188</v>
      </c>
      <c r="FH164" s="2" t="s">
        <v>188</v>
      </c>
      <c r="FJ164" s="2" t="s">
        <v>188</v>
      </c>
      <c r="FK164" s="2" t="s">
        <v>188</v>
      </c>
      <c r="FN164" s="2" t="s">
        <v>291</v>
      </c>
      <c r="FO164" s="2" t="s">
        <v>1350</v>
      </c>
      <c r="FR164" s="2" t="s">
        <v>471</v>
      </c>
      <c r="FT164" s="2" t="s">
        <v>219</v>
      </c>
      <c r="FU164" s="2" t="s">
        <v>219</v>
      </c>
      <c r="FV164" s="2" t="s">
        <v>219</v>
      </c>
      <c r="FW164" s="2" t="s">
        <v>219</v>
      </c>
      <c r="FX164" s="2" t="s">
        <v>490</v>
      </c>
      <c r="FZ164" s="4">
        <v>46041.62431712963</v>
      </c>
    </row>
    <row r="165" spans="1:182">
      <c r="A165" s="2" t="s">
        <v>1351</v>
      </c>
      <c r="D165" s="4">
        <v>46296.457916666666</v>
      </c>
      <c r="E165" s="2" t="s">
        <v>177</v>
      </c>
      <c r="F165" s="2" t="s">
        <v>178</v>
      </c>
      <c r="G165" s="2" t="s">
        <v>1206</v>
      </c>
      <c r="H165" s="2" t="s">
        <v>1207</v>
      </c>
      <c r="I165" s="2" t="s">
        <v>1352</v>
      </c>
      <c r="J165" s="2">
        <v>364082712</v>
      </c>
      <c r="K165" s="2" t="s">
        <v>1353</v>
      </c>
      <c r="L165" s="2" t="s">
        <v>182</v>
      </c>
      <c r="M165" s="2" t="s">
        <v>183</v>
      </c>
      <c r="N165" s="2">
        <v>2005</v>
      </c>
      <c r="O165" s="2" t="s">
        <v>184</v>
      </c>
      <c r="P165" s="2" t="s">
        <v>237</v>
      </c>
      <c r="Q165" s="2" t="s">
        <v>186</v>
      </c>
      <c r="R165" s="2" t="s">
        <v>188</v>
      </c>
      <c r="S165" s="2">
        <v>18</v>
      </c>
      <c r="T165" s="2" t="s">
        <v>188</v>
      </c>
      <c r="U165" s="2" t="s">
        <v>188</v>
      </c>
      <c r="Y165" s="2">
        <v>232</v>
      </c>
      <c r="Z165" s="2">
        <v>1</v>
      </c>
      <c r="AA165" s="2">
        <v>232</v>
      </c>
      <c r="AB165" s="2">
        <v>232</v>
      </c>
      <c r="AC165" s="2">
        <v>232</v>
      </c>
      <c r="AD165" s="2">
        <v>250</v>
      </c>
      <c r="AE165" s="2">
        <v>18</v>
      </c>
      <c r="AF165" s="2" t="s">
        <v>187</v>
      </c>
      <c r="AG165" s="2" t="s">
        <v>188</v>
      </c>
      <c r="AH165" s="2" t="s">
        <v>188</v>
      </c>
      <c r="AJ165" s="2" t="s">
        <v>188</v>
      </c>
      <c r="AK165" s="2" t="s">
        <v>188</v>
      </c>
      <c r="AL165" s="2" t="s">
        <v>188</v>
      </c>
      <c r="AM165" s="2" t="s">
        <v>188</v>
      </c>
      <c r="AN165" s="2" t="s">
        <v>188</v>
      </c>
      <c r="AO165" s="2" t="s">
        <v>188</v>
      </c>
      <c r="AR165" s="2">
        <v>1.4</v>
      </c>
      <c r="AS165" s="2">
        <v>4</v>
      </c>
      <c r="AT165" s="2">
        <v>2.6</v>
      </c>
      <c r="AU165" s="2" t="s">
        <v>238</v>
      </c>
      <c r="AV165" s="2" t="s">
        <v>238</v>
      </c>
      <c r="AW165" s="2" t="s">
        <v>188</v>
      </c>
      <c r="BC165" s="2" t="s">
        <v>192</v>
      </c>
      <c r="BD165" s="2" t="s">
        <v>188</v>
      </c>
      <c r="BE165" s="2" t="s">
        <v>188</v>
      </c>
      <c r="BL165" s="2" t="s">
        <v>240</v>
      </c>
      <c r="BO165" s="2" t="s">
        <v>188</v>
      </c>
      <c r="BQ165" s="2" t="s">
        <v>200</v>
      </c>
      <c r="BS165" s="2" t="s">
        <v>187</v>
      </c>
      <c r="BT165" s="2" t="s">
        <v>201</v>
      </c>
      <c r="BV165" s="2" t="s">
        <v>248</v>
      </c>
      <c r="BX165" s="2" t="s">
        <v>188</v>
      </c>
      <c r="BZ165" s="2" t="s">
        <v>203</v>
      </c>
      <c r="CE165" s="2">
        <v>2.6</v>
      </c>
      <c r="CF165" s="2">
        <v>250</v>
      </c>
      <c r="CK165" s="2">
        <v>100</v>
      </c>
      <c r="CO165" s="2">
        <v>100</v>
      </c>
      <c r="CR165" s="2" t="s">
        <v>204</v>
      </c>
      <c r="CT165" s="2" t="s">
        <v>188</v>
      </c>
      <c r="CU165" s="2" t="s">
        <v>281</v>
      </c>
      <c r="CW165" s="2" t="s">
        <v>206</v>
      </c>
      <c r="CY165" s="2" t="s">
        <v>208</v>
      </c>
      <c r="CZ165" s="2" t="s">
        <v>208</v>
      </c>
      <c r="DA165" s="2" t="s">
        <v>208</v>
      </c>
      <c r="DB165" s="2" t="s">
        <v>208</v>
      </c>
      <c r="DC165" s="2" t="s">
        <v>208</v>
      </c>
      <c r="DD165" s="2" t="s">
        <v>208</v>
      </c>
      <c r="DE165" s="2" t="s">
        <v>208</v>
      </c>
      <c r="DF165" s="2" t="s">
        <v>208</v>
      </c>
      <c r="DG165" s="2" t="s">
        <v>208</v>
      </c>
      <c r="DH165" s="2" t="s">
        <v>208</v>
      </c>
      <c r="DI165" s="2" t="s">
        <v>208</v>
      </c>
      <c r="DL165" s="2" t="s">
        <v>188</v>
      </c>
      <c r="DM165" s="2" t="s">
        <v>188</v>
      </c>
      <c r="DP165" s="2" t="s">
        <v>188</v>
      </c>
      <c r="DT165" s="2" t="s">
        <v>203</v>
      </c>
      <c r="DU165" s="2" t="s">
        <v>203</v>
      </c>
      <c r="DV165" s="2" t="s">
        <v>203</v>
      </c>
      <c r="DW165" s="2" t="s">
        <v>203</v>
      </c>
      <c r="DX165" s="2" t="s">
        <v>203</v>
      </c>
      <c r="DY165" s="2" t="s">
        <v>203</v>
      </c>
      <c r="DZ165" s="2" t="s">
        <v>203</v>
      </c>
      <c r="EA165" s="2" t="s">
        <v>203</v>
      </c>
      <c r="EB165" s="2" t="s">
        <v>203</v>
      </c>
      <c r="EJ165" s="2" t="s">
        <v>238</v>
      </c>
      <c r="EK165" s="2" t="s">
        <v>188</v>
      </c>
      <c r="EL165" s="2" t="s">
        <v>188</v>
      </c>
      <c r="EN165" s="2" t="s">
        <v>597</v>
      </c>
      <c r="EP165" s="2" t="s">
        <v>394</v>
      </c>
      <c r="ER165" s="2" t="s">
        <v>188</v>
      </c>
      <c r="ET165" s="2" t="s">
        <v>188</v>
      </c>
      <c r="EV165" s="2" t="s">
        <v>188</v>
      </c>
      <c r="EX165" s="2" t="s">
        <v>188</v>
      </c>
      <c r="EZ165" s="2" t="s">
        <v>188</v>
      </c>
      <c r="FC165" s="2" t="s">
        <v>216</v>
      </c>
      <c r="FD165" s="2" t="s">
        <v>188</v>
      </c>
      <c r="FH165" s="2" t="s">
        <v>188</v>
      </c>
      <c r="FJ165" s="2" t="s">
        <v>187</v>
      </c>
      <c r="FK165" s="2" t="s">
        <v>188</v>
      </c>
      <c r="FN165" s="2" t="s">
        <v>304</v>
      </c>
      <c r="FT165" s="2" t="s">
        <v>233</v>
      </c>
      <c r="FU165" s="2" t="s">
        <v>233</v>
      </c>
      <c r="FV165" s="2" t="s">
        <v>233</v>
      </c>
      <c r="FW165" s="2" t="s">
        <v>233</v>
      </c>
      <c r="FZ165" s="4">
        <v>46040.623402777775</v>
      </c>
    </row>
    <row r="166" spans="1:182">
      <c r="A166" s="2" t="s">
        <v>1354</v>
      </c>
      <c r="D166" s="4">
        <v>46296.451180555552</v>
      </c>
      <c r="E166" s="2" t="s">
        <v>1323</v>
      </c>
      <c r="F166" s="2" t="s">
        <v>398</v>
      </c>
      <c r="G166" s="2" t="s">
        <v>1206</v>
      </c>
      <c r="H166" s="2" t="s">
        <v>1263</v>
      </c>
      <c r="I166" s="2" t="s">
        <v>1355</v>
      </c>
      <c r="J166" s="2">
        <v>334018779</v>
      </c>
      <c r="K166" s="2" t="s">
        <v>1356</v>
      </c>
      <c r="L166" s="2" t="s">
        <v>182</v>
      </c>
      <c r="M166" s="2" t="s">
        <v>223</v>
      </c>
      <c r="N166" s="2">
        <v>1987</v>
      </c>
      <c r="O166" s="2" t="s">
        <v>224</v>
      </c>
      <c r="P166" s="2" t="s">
        <v>185</v>
      </c>
      <c r="Q166" s="2" t="s">
        <v>186</v>
      </c>
      <c r="R166" s="2" t="s">
        <v>188</v>
      </c>
      <c r="S166" s="2">
        <v>10</v>
      </c>
      <c r="T166" s="2" t="s">
        <v>188</v>
      </c>
      <c r="U166" s="2" t="s">
        <v>188</v>
      </c>
      <c r="Y166" s="2">
        <v>946</v>
      </c>
      <c r="Z166" s="2">
        <v>0.89849999999999997</v>
      </c>
      <c r="AA166" s="2">
        <v>850</v>
      </c>
      <c r="AB166" s="2">
        <v>850</v>
      </c>
      <c r="AC166" s="2">
        <v>850</v>
      </c>
      <c r="AD166" s="2">
        <v>1000</v>
      </c>
      <c r="AE166" s="2">
        <v>150</v>
      </c>
      <c r="AF166" s="2" t="s">
        <v>188</v>
      </c>
      <c r="AG166" s="2" t="s">
        <v>188</v>
      </c>
      <c r="AH166" s="2" t="s">
        <v>188</v>
      </c>
      <c r="AJ166" s="2" t="s">
        <v>188</v>
      </c>
      <c r="AK166" s="2" t="s">
        <v>188</v>
      </c>
      <c r="AL166" s="2" t="s">
        <v>187</v>
      </c>
      <c r="AM166" s="2" t="s">
        <v>188</v>
      </c>
      <c r="AN166" s="2" t="s">
        <v>188</v>
      </c>
      <c r="AO166" s="2" t="s">
        <v>188</v>
      </c>
      <c r="AR166" s="2">
        <v>2.9</v>
      </c>
      <c r="AS166" s="2">
        <v>4</v>
      </c>
      <c r="AT166" s="2">
        <v>10</v>
      </c>
      <c r="AU166" s="2" t="s">
        <v>189</v>
      </c>
      <c r="AV166" s="2" t="s">
        <v>189</v>
      </c>
      <c r="AW166" s="2" t="s">
        <v>188</v>
      </c>
      <c r="BC166" s="2" t="s">
        <v>192</v>
      </c>
      <c r="BD166" s="2" t="s">
        <v>187</v>
      </c>
      <c r="BE166" s="2" t="s">
        <v>188</v>
      </c>
      <c r="BL166" s="2" t="s">
        <v>197</v>
      </c>
      <c r="BM166" s="2" t="s">
        <v>198</v>
      </c>
      <c r="BN166" s="2" t="s">
        <v>199</v>
      </c>
      <c r="BO166" s="2" t="s">
        <v>188</v>
      </c>
      <c r="BQ166" s="2" t="s">
        <v>200</v>
      </c>
      <c r="BS166" s="2" t="s">
        <v>187</v>
      </c>
      <c r="BT166" s="2" t="s">
        <v>410</v>
      </c>
      <c r="BV166" s="2" t="s">
        <v>248</v>
      </c>
      <c r="BX166" s="2" t="s">
        <v>188</v>
      </c>
      <c r="BY166" s="2" t="s">
        <v>1357</v>
      </c>
      <c r="BZ166" s="2" t="s">
        <v>188</v>
      </c>
      <c r="CE166" s="2">
        <v>10</v>
      </c>
      <c r="CF166" s="2">
        <v>1000</v>
      </c>
      <c r="CM166" s="2">
        <v>100</v>
      </c>
      <c r="CP166" s="2">
        <v>100</v>
      </c>
      <c r="CR166" s="2" t="s">
        <v>204</v>
      </c>
      <c r="CT166" s="2" t="s">
        <v>188</v>
      </c>
      <c r="CU166" s="2" t="s">
        <v>205</v>
      </c>
      <c r="CW166" s="2" t="s">
        <v>206</v>
      </c>
      <c r="CY166" s="2" t="s">
        <v>207</v>
      </c>
      <c r="CZ166" s="2" t="s">
        <v>207</v>
      </c>
      <c r="DA166" s="2" t="s">
        <v>300</v>
      </c>
      <c r="DB166" s="2" t="s">
        <v>207</v>
      </c>
      <c r="DC166" s="2" t="s">
        <v>300</v>
      </c>
      <c r="DD166" s="2" t="s">
        <v>300</v>
      </c>
      <c r="DE166" s="2" t="s">
        <v>300</v>
      </c>
      <c r="DF166" s="2" t="s">
        <v>207</v>
      </c>
      <c r="DG166" s="2" t="s">
        <v>207</v>
      </c>
      <c r="DH166" s="2" t="s">
        <v>207</v>
      </c>
      <c r="DI166" s="2" t="s">
        <v>300</v>
      </c>
      <c r="DL166" s="2" t="s">
        <v>187</v>
      </c>
      <c r="DM166" s="2" t="s">
        <v>187</v>
      </c>
      <c r="DN166" s="2" t="s">
        <v>187</v>
      </c>
      <c r="DO166" s="2" t="s">
        <v>187</v>
      </c>
      <c r="DP166" s="2" t="s">
        <v>209</v>
      </c>
      <c r="DQ166" s="2" t="s">
        <v>467</v>
      </c>
      <c r="DR166" s="2" t="s">
        <v>1358</v>
      </c>
      <c r="DT166" s="2" t="s">
        <v>209</v>
      </c>
      <c r="DU166" s="2" t="s">
        <v>209</v>
      </c>
      <c r="DV166" s="2" t="s">
        <v>209</v>
      </c>
      <c r="DW166" s="2" t="s">
        <v>209</v>
      </c>
      <c r="DX166" s="2" t="s">
        <v>209</v>
      </c>
      <c r="DY166" s="2" t="s">
        <v>209</v>
      </c>
      <c r="DZ166" s="2" t="s">
        <v>209</v>
      </c>
      <c r="EA166" s="2" t="s">
        <v>209</v>
      </c>
      <c r="EB166" s="2" t="s">
        <v>209</v>
      </c>
      <c r="EC166" s="2" t="s">
        <v>188</v>
      </c>
      <c r="ED166" s="2" t="s">
        <v>188</v>
      </c>
      <c r="EF166" s="2" t="s">
        <v>189</v>
      </c>
      <c r="EG166" s="2" t="s">
        <v>1359</v>
      </c>
      <c r="EJ166" s="2" t="s">
        <v>189</v>
      </c>
      <c r="EK166" s="2" t="s">
        <v>187</v>
      </c>
      <c r="EL166" s="2" t="s">
        <v>187</v>
      </c>
      <c r="EM166" s="2" t="s">
        <v>214</v>
      </c>
      <c r="EN166" s="2" t="s">
        <v>214</v>
      </c>
      <c r="EP166" s="2" t="s">
        <v>230</v>
      </c>
      <c r="ER166" s="2" t="s">
        <v>187</v>
      </c>
      <c r="ET166" s="2" t="s">
        <v>188</v>
      </c>
      <c r="EV166" s="2" t="s">
        <v>187</v>
      </c>
      <c r="EW166" s="2" t="s">
        <v>189</v>
      </c>
      <c r="EX166" s="2" t="s">
        <v>187</v>
      </c>
      <c r="EY166" s="2" t="s">
        <v>189</v>
      </c>
      <c r="EZ166" s="2" t="s">
        <v>188</v>
      </c>
      <c r="FC166" s="2" t="s">
        <v>216</v>
      </c>
      <c r="FD166" s="2" t="s">
        <v>188</v>
      </c>
      <c r="FH166" s="2" t="s">
        <v>188</v>
      </c>
      <c r="FJ166" s="2" t="s">
        <v>188</v>
      </c>
      <c r="FK166" s="2" t="s">
        <v>209</v>
      </c>
      <c r="FL166" s="2" t="s">
        <v>319</v>
      </c>
      <c r="FN166" s="2" t="s">
        <v>282</v>
      </c>
      <c r="FR166" s="2" t="s">
        <v>421</v>
      </c>
      <c r="FT166" s="2" t="s">
        <v>233</v>
      </c>
      <c r="FU166" s="2" t="s">
        <v>233</v>
      </c>
      <c r="FV166" s="2" t="s">
        <v>233</v>
      </c>
      <c r="FW166" s="2" t="s">
        <v>233</v>
      </c>
      <c r="FX166" s="2" t="s">
        <v>233</v>
      </c>
      <c r="FY166" s="2" t="s">
        <v>1360</v>
      </c>
      <c r="FZ166" s="4">
        <v>46038.594953703701</v>
      </c>
    </row>
    <row r="167" spans="1:182">
      <c r="A167" s="2" t="s">
        <v>1361</v>
      </c>
      <c r="D167" s="4">
        <v>46296.461076388892</v>
      </c>
      <c r="E167" s="2" t="s">
        <v>1362</v>
      </c>
      <c r="F167" s="2" t="s">
        <v>590</v>
      </c>
      <c r="G167" s="2" t="s">
        <v>1206</v>
      </c>
      <c r="H167" s="2" t="s">
        <v>1363</v>
      </c>
      <c r="I167" s="2" t="s">
        <v>1364</v>
      </c>
      <c r="J167" s="2">
        <v>931603196</v>
      </c>
      <c r="K167" s="2" t="s">
        <v>1365</v>
      </c>
      <c r="L167" s="2" t="s">
        <v>269</v>
      </c>
      <c r="M167" s="2" t="s">
        <v>223</v>
      </c>
      <c r="N167" s="2">
        <v>1999</v>
      </c>
      <c r="O167" s="2" t="s">
        <v>184</v>
      </c>
      <c r="P167" s="2" t="s">
        <v>225</v>
      </c>
      <c r="Q167" s="2" t="s">
        <v>270</v>
      </c>
      <c r="R167" s="2" t="s">
        <v>188</v>
      </c>
      <c r="S167" s="2">
        <v>5</v>
      </c>
      <c r="T167" s="2" t="s">
        <v>188</v>
      </c>
      <c r="U167" s="2" t="s">
        <v>187</v>
      </c>
      <c r="Y167" s="2">
        <v>65</v>
      </c>
      <c r="Z167" s="2">
        <v>1</v>
      </c>
      <c r="AA167" s="2">
        <v>65</v>
      </c>
      <c r="AB167" s="2">
        <v>65</v>
      </c>
      <c r="AC167" s="2">
        <v>65</v>
      </c>
      <c r="AD167" s="2">
        <v>80</v>
      </c>
      <c r="AE167" s="2">
        <v>15</v>
      </c>
      <c r="AF167" s="2" t="s">
        <v>188</v>
      </c>
      <c r="AG167" s="2" t="s">
        <v>188</v>
      </c>
      <c r="AH167" s="2" t="s">
        <v>188</v>
      </c>
      <c r="AJ167" s="2" t="s">
        <v>188</v>
      </c>
      <c r="AK167" s="2" t="s">
        <v>188</v>
      </c>
      <c r="AL167" s="2" t="s">
        <v>188</v>
      </c>
      <c r="AM167" s="2" t="s">
        <v>188</v>
      </c>
      <c r="AN167" s="2" t="s">
        <v>188</v>
      </c>
      <c r="AO167" s="2" t="s">
        <v>188</v>
      </c>
      <c r="AR167" s="2">
        <v>0.55000000000000004</v>
      </c>
      <c r="AS167" s="2">
        <v>2</v>
      </c>
      <c r="AT167" s="2">
        <v>0.6</v>
      </c>
      <c r="AU167" s="2" t="s">
        <v>203</v>
      </c>
      <c r="AV167" s="2" t="s">
        <v>203</v>
      </c>
      <c r="AW167" s="2" t="s">
        <v>188</v>
      </c>
      <c r="AZ167" s="2" t="s">
        <v>190</v>
      </c>
      <c r="BB167" s="2" t="s">
        <v>260</v>
      </c>
      <c r="BC167" s="2" t="s">
        <v>192</v>
      </c>
      <c r="BD167" s="2" t="s">
        <v>188</v>
      </c>
      <c r="BE167" s="2" t="s">
        <v>188</v>
      </c>
      <c r="BL167" s="2" t="s">
        <v>240</v>
      </c>
      <c r="BO167" s="2" t="s">
        <v>188</v>
      </c>
      <c r="BQ167" s="2" t="s">
        <v>227</v>
      </c>
      <c r="BS167" s="2" t="s">
        <v>187</v>
      </c>
      <c r="BT167" s="2" t="s">
        <v>651</v>
      </c>
      <c r="BV167" s="2" t="s">
        <v>502</v>
      </c>
      <c r="BX167" s="2" t="s">
        <v>187</v>
      </c>
      <c r="BY167" s="2" t="s">
        <v>1135</v>
      </c>
      <c r="BZ167" s="2" t="s">
        <v>188</v>
      </c>
      <c r="CE167" s="2">
        <v>0.6</v>
      </c>
      <c r="CF167" s="2">
        <v>80</v>
      </c>
      <c r="CK167" s="2">
        <v>100</v>
      </c>
      <c r="CO167" s="2">
        <v>100</v>
      </c>
      <c r="CR167" s="2" t="s">
        <v>204</v>
      </c>
      <c r="CT167" s="2" t="s">
        <v>188</v>
      </c>
      <c r="CU167" s="2" t="s">
        <v>758</v>
      </c>
      <c r="CW167" s="2" t="s">
        <v>206</v>
      </c>
      <c r="CY167" s="2" t="s">
        <v>207</v>
      </c>
      <c r="CZ167" s="2" t="s">
        <v>300</v>
      </c>
      <c r="DA167" s="2" t="s">
        <v>300</v>
      </c>
      <c r="DB167" s="2" t="s">
        <v>300</v>
      </c>
      <c r="DC167" s="2" t="s">
        <v>430</v>
      </c>
      <c r="DD167" s="2" t="s">
        <v>300</v>
      </c>
      <c r="DE167" s="2" t="s">
        <v>300</v>
      </c>
      <c r="DF167" s="2" t="s">
        <v>300</v>
      </c>
      <c r="DG167" s="2" t="s">
        <v>430</v>
      </c>
      <c r="DH167" s="2" t="s">
        <v>430</v>
      </c>
      <c r="DI167" s="2" t="s">
        <v>430</v>
      </c>
      <c r="DL167" s="2" t="s">
        <v>188</v>
      </c>
      <c r="DM167" s="2" t="s">
        <v>188</v>
      </c>
      <c r="DP167" s="2" t="s">
        <v>188</v>
      </c>
      <c r="DT167" s="2" t="s">
        <v>209</v>
      </c>
      <c r="DU167" s="2" t="s">
        <v>209</v>
      </c>
      <c r="DV167" s="2" t="s">
        <v>209</v>
      </c>
      <c r="DW167" s="2" t="s">
        <v>209</v>
      </c>
      <c r="DX167" s="2" t="s">
        <v>203</v>
      </c>
      <c r="DY167" s="2" t="s">
        <v>203</v>
      </c>
      <c r="DZ167" s="2" t="s">
        <v>203</v>
      </c>
      <c r="EA167" s="2" t="s">
        <v>203</v>
      </c>
      <c r="EB167" s="2" t="s">
        <v>209</v>
      </c>
      <c r="EC167" s="2" t="s">
        <v>188</v>
      </c>
      <c r="EF167" s="2" t="s">
        <v>189</v>
      </c>
      <c r="EG167" s="2" t="s">
        <v>1366</v>
      </c>
      <c r="EJ167" s="2" t="s">
        <v>203</v>
      </c>
      <c r="EK167" s="2" t="s">
        <v>188</v>
      </c>
      <c r="EL167" s="2" t="s">
        <v>188</v>
      </c>
      <c r="EN167" s="2" t="s">
        <v>214</v>
      </c>
      <c r="EP167" s="2" t="s">
        <v>230</v>
      </c>
      <c r="ER167" s="2" t="s">
        <v>188</v>
      </c>
      <c r="ET167" s="2" t="s">
        <v>188</v>
      </c>
      <c r="EV167" s="2" t="s">
        <v>188</v>
      </c>
      <c r="EX167" s="2" t="s">
        <v>188</v>
      </c>
      <c r="EZ167" s="2" t="s">
        <v>188</v>
      </c>
      <c r="FC167" s="2" t="s">
        <v>263</v>
      </c>
      <c r="FD167" s="2" t="s">
        <v>188</v>
      </c>
      <c r="FH167" s="2" t="s">
        <v>188</v>
      </c>
      <c r="FJ167" s="2" t="s">
        <v>188</v>
      </c>
      <c r="FK167" s="2" t="s">
        <v>188</v>
      </c>
      <c r="FN167" s="2" t="s">
        <v>432</v>
      </c>
      <c r="FR167" s="2" t="s">
        <v>421</v>
      </c>
      <c r="FT167" s="2" t="s">
        <v>219</v>
      </c>
      <c r="FU167" s="2" t="s">
        <v>219</v>
      </c>
      <c r="FV167" s="2" t="s">
        <v>219</v>
      </c>
      <c r="FW167" s="2" t="s">
        <v>233</v>
      </c>
      <c r="FZ167" s="4">
        <v>46047.598865740743</v>
      </c>
    </row>
    <row r="168" spans="1:182">
      <c r="A168" s="2" t="s">
        <v>1367</v>
      </c>
      <c r="D168" s="4">
        <v>46296.455451388887</v>
      </c>
      <c r="E168" s="2" t="s">
        <v>177</v>
      </c>
      <c r="F168" s="2" t="s">
        <v>293</v>
      </c>
      <c r="G168" s="2" t="s">
        <v>1206</v>
      </c>
      <c r="H168" s="2" t="s">
        <v>1263</v>
      </c>
      <c r="I168" s="2" t="s">
        <v>1368</v>
      </c>
      <c r="J168" s="2">
        <v>985440907</v>
      </c>
      <c r="K168" s="2" t="s">
        <v>1369</v>
      </c>
      <c r="L168" s="2" t="s">
        <v>352</v>
      </c>
      <c r="M168" s="2" t="s">
        <v>223</v>
      </c>
      <c r="N168" s="2">
        <v>1966</v>
      </c>
      <c r="O168" s="2" t="s">
        <v>224</v>
      </c>
      <c r="P168" s="2" t="s">
        <v>225</v>
      </c>
      <c r="Q168" s="2" t="s">
        <v>270</v>
      </c>
      <c r="R168" s="2" t="s">
        <v>188</v>
      </c>
      <c r="S168" s="2">
        <v>2010</v>
      </c>
      <c r="T168" s="2" t="s">
        <v>188</v>
      </c>
      <c r="U168" s="2" t="s">
        <v>188</v>
      </c>
      <c r="Y168" s="2">
        <v>550</v>
      </c>
      <c r="Z168" s="2">
        <v>0.90910000000000002</v>
      </c>
      <c r="AA168" s="2">
        <v>500</v>
      </c>
      <c r="AB168" s="2">
        <v>500</v>
      </c>
      <c r="AC168" s="2">
        <v>260</v>
      </c>
      <c r="AD168" s="2">
        <v>300</v>
      </c>
      <c r="AE168" s="2">
        <v>40</v>
      </c>
      <c r="AF168" s="2" t="s">
        <v>187</v>
      </c>
      <c r="AG168" s="2" t="s">
        <v>187</v>
      </c>
      <c r="AH168" s="2" t="s">
        <v>187</v>
      </c>
      <c r="AI168" s="2" t="s">
        <v>1370</v>
      </c>
      <c r="AJ168" s="2" t="s">
        <v>188</v>
      </c>
      <c r="AK168" s="2" t="s">
        <v>187</v>
      </c>
      <c r="AL168" s="2" t="s">
        <v>187</v>
      </c>
      <c r="AM168" s="2" t="s">
        <v>188</v>
      </c>
      <c r="AN168" s="2" t="s">
        <v>188</v>
      </c>
      <c r="AO168" s="2" t="s">
        <v>188</v>
      </c>
      <c r="AR168" s="2">
        <v>1.1000000000000001</v>
      </c>
      <c r="AS168" s="2">
        <v>2</v>
      </c>
      <c r="AT168" s="2">
        <v>3</v>
      </c>
      <c r="AU168" s="2" t="s">
        <v>189</v>
      </c>
      <c r="AV168" s="2" t="s">
        <v>189</v>
      </c>
      <c r="AW168" s="2" t="s">
        <v>188</v>
      </c>
      <c r="AZ168" s="2" t="s">
        <v>476</v>
      </c>
      <c r="BB168" s="2" t="s">
        <v>260</v>
      </c>
      <c r="BC168" s="2" t="s">
        <v>296</v>
      </c>
      <c r="BD168" s="2" t="s">
        <v>187</v>
      </c>
      <c r="BE168" s="2" t="s">
        <v>187</v>
      </c>
      <c r="BF168" s="2" t="s">
        <v>193</v>
      </c>
      <c r="BG168" s="2" t="s">
        <v>194</v>
      </c>
      <c r="BH168" s="2" t="s">
        <v>297</v>
      </c>
      <c r="BI168" s="2" t="s">
        <v>196</v>
      </c>
      <c r="BL168" s="2" t="s">
        <v>197</v>
      </c>
      <c r="BM168" s="2" t="s">
        <v>198</v>
      </c>
      <c r="BN168" s="2" t="s">
        <v>199</v>
      </c>
      <c r="BO168" s="2" t="s">
        <v>188</v>
      </c>
      <c r="BQ168" s="2" t="s">
        <v>309</v>
      </c>
      <c r="BS168" s="2" t="s">
        <v>187</v>
      </c>
      <c r="BT168" s="2" t="s">
        <v>261</v>
      </c>
      <c r="BV168" s="2" t="s">
        <v>389</v>
      </c>
      <c r="BX168" s="2" t="s">
        <v>187</v>
      </c>
      <c r="BY168" s="2" t="s">
        <v>310</v>
      </c>
      <c r="BZ168" s="2" t="s">
        <v>203</v>
      </c>
      <c r="CE168" s="2">
        <v>3</v>
      </c>
      <c r="CF168" s="2">
        <v>290</v>
      </c>
      <c r="CK168" s="2">
        <v>100</v>
      </c>
      <c r="CO168" s="2">
        <v>100</v>
      </c>
      <c r="CR168" s="2" t="s">
        <v>204</v>
      </c>
      <c r="CT168" s="2" t="s">
        <v>188</v>
      </c>
      <c r="CU168" s="2" t="s">
        <v>281</v>
      </c>
      <c r="CW168" s="2" t="s">
        <v>206</v>
      </c>
      <c r="CY168" s="2" t="s">
        <v>207</v>
      </c>
      <c r="CZ168" s="2" t="s">
        <v>207</v>
      </c>
      <c r="DA168" s="2" t="s">
        <v>300</v>
      </c>
      <c r="DB168" s="2" t="s">
        <v>301</v>
      </c>
      <c r="DC168" s="2" t="s">
        <v>300</v>
      </c>
      <c r="DD168" s="2" t="s">
        <v>301</v>
      </c>
      <c r="DE168" s="2" t="s">
        <v>300</v>
      </c>
      <c r="DF168" s="2" t="s">
        <v>207</v>
      </c>
      <c r="DG168" s="2" t="s">
        <v>208</v>
      </c>
      <c r="DH168" s="2" t="s">
        <v>208</v>
      </c>
      <c r="DI168" s="2" t="s">
        <v>208</v>
      </c>
      <c r="DL168" s="2" t="s">
        <v>187</v>
      </c>
      <c r="DM168" s="2" t="s">
        <v>187</v>
      </c>
      <c r="DN168" s="2" t="s">
        <v>187</v>
      </c>
      <c r="DO168" s="2" t="s">
        <v>187</v>
      </c>
      <c r="DP168" s="2" t="s">
        <v>209</v>
      </c>
      <c r="DQ168" s="2" t="s">
        <v>210</v>
      </c>
      <c r="DT168" s="2" t="s">
        <v>209</v>
      </c>
      <c r="DU168" s="2" t="s">
        <v>209</v>
      </c>
      <c r="DV168" s="2" t="s">
        <v>209</v>
      </c>
      <c r="DW168" s="2" t="s">
        <v>209</v>
      </c>
      <c r="DX168" s="2" t="s">
        <v>209</v>
      </c>
      <c r="DY168" s="2" t="s">
        <v>209</v>
      </c>
      <c r="DZ168" s="2" t="s">
        <v>203</v>
      </c>
      <c r="EA168" s="2" t="s">
        <v>209</v>
      </c>
      <c r="EB168" s="2" t="s">
        <v>203</v>
      </c>
      <c r="EC168" s="2" t="s">
        <v>203</v>
      </c>
      <c r="EF168" s="2" t="s">
        <v>211</v>
      </c>
      <c r="EJ168" s="2" t="s">
        <v>189</v>
      </c>
      <c r="EK168" s="2" t="s">
        <v>187</v>
      </c>
      <c r="EL168" s="2" t="s">
        <v>188</v>
      </c>
      <c r="EN168" s="2" t="s">
        <v>214</v>
      </c>
      <c r="EP168" s="2" t="s">
        <v>230</v>
      </c>
      <c r="ER168" s="2" t="s">
        <v>187</v>
      </c>
      <c r="ET168" s="2" t="s">
        <v>188</v>
      </c>
      <c r="EV168" s="2" t="s">
        <v>187</v>
      </c>
      <c r="EW168" s="2" t="s">
        <v>189</v>
      </c>
      <c r="EX168" s="2" t="s">
        <v>187</v>
      </c>
      <c r="EY168" s="2" t="s">
        <v>189</v>
      </c>
      <c r="FC168" s="2" t="s">
        <v>216</v>
      </c>
      <c r="FD168" s="2" t="s">
        <v>188</v>
      </c>
      <c r="FH168" s="2" t="s">
        <v>188</v>
      </c>
      <c r="FJ168" s="2" t="s">
        <v>187</v>
      </c>
      <c r="FK168" s="2" t="s">
        <v>209</v>
      </c>
      <c r="FL168" s="2" t="s">
        <v>327</v>
      </c>
      <c r="FN168" s="2" t="s">
        <v>819</v>
      </c>
      <c r="FT168" s="2" t="s">
        <v>233</v>
      </c>
      <c r="FU168" s="2" t="s">
        <v>233</v>
      </c>
      <c r="FV168" s="2" t="s">
        <v>233</v>
      </c>
      <c r="FW168" s="2" t="s">
        <v>233</v>
      </c>
      <c r="FZ168" s="4">
        <v>46039.682280092595</v>
      </c>
    </row>
    <row r="169" spans="1:182">
      <c r="A169" s="2" t="s">
        <v>1371</v>
      </c>
      <c r="D169" s="4">
        <v>46296.464467592596</v>
      </c>
      <c r="E169" s="2" t="s">
        <v>1345</v>
      </c>
      <c r="F169" s="2" t="s">
        <v>425</v>
      </c>
      <c r="G169" s="2" t="s">
        <v>1206</v>
      </c>
      <c r="H169" s="2" t="s">
        <v>1263</v>
      </c>
      <c r="I169" s="2" t="s">
        <v>1372</v>
      </c>
      <c r="J169" s="2">
        <v>338965860</v>
      </c>
      <c r="K169" s="2" t="s">
        <v>1372</v>
      </c>
      <c r="L169" s="2" t="s">
        <v>182</v>
      </c>
      <c r="M169" s="2" t="s">
        <v>183</v>
      </c>
      <c r="N169" s="2">
        <v>1970</v>
      </c>
      <c r="O169" s="2" t="s">
        <v>224</v>
      </c>
      <c r="P169" s="2" t="s">
        <v>185</v>
      </c>
      <c r="Q169" s="2" t="s">
        <v>226</v>
      </c>
      <c r="R169" s="2" t="s">
        <v>188</v>
      </c>
      <c r="S169" s="2">
        <v>30</v>
      </c>
      <c r="T169" s="2" t="s">
        <v>188</v>
      </c>
      <c r="U169" s="2" t="s">
        <v>188</v>
      </c>
      <c r="Y169" s="2">
        <v>550</v>
      </c>
      <c r="Z169" s="2">
        <v>1</v>
      </c>
      <c r="AA169" s="2">
        <v>550</v>
      </c>
      <c r="AB169" s="2">
        <v>550</v>
      </c>
      <c r="AC169" s="2">
        <v>550</v>
      </c>
      <c r="AD169" s="2">
        <v>800</v>
      </c>
      <c r="AE169" s="2">
        <v>250</v>
      </c>
      <c r="AF169" s="2" t="s">
        <v>188</v>
      </c>
      <c r="AG169" s="2" t="s">
        <v>188</v>
      </c>
      <c r="AH169" s="2" t="s">
        <v>188</v>
      </c>
      <c r="AJ169" s="2" t="s">
        <v>188</v>
      </c>
      <c r="AK169" s="2" t="s">
        <v>188</v>
      </c>
      <c r="AL169" s="2" t="s">
        <v>187</v>
      </c>
      <c r="AM169" s="2" t="s">
        <v>188</v>
      </c>
      <c r="AN169" s="2" t="s">
        <v>188</v>
      </c>
      <c r="AO169" s="2" t="s">
        <v>188</v>
      </c>
      <c r="AR169" s="2">
        <v>3</v>
      </c>
      <c r="AS169" s="2">
        <v>5</v>
      </c>
      <c r="AT169" s="2">
        <v>8</v>
      </c>
      <c r="AU169" s="2" t="s">
        <v>238</v>
      </c>
      <c r="AV169" s="2" t="s">
        <v>238</v>
      </c>
      <c r="AW169" s="2" t="s">
        <v>188</v>
      </c>
      <c r="AZ169" s="2" t="s">
        <v>190</v>
      </c>
      <c r="BB169" s="2" t="s">
        <v>332</v>
      </c>
      <c r="BC169" s="2" t="s">
        <v>296</v>
      </c>
      <c r="BD169" s="2" t="s">
        <v>187</v>
      </c>
      <c r="BE169" s="2" t="s">
        <v>187</v>
      </c>
      <c r="BF169" s="2" t="s">
        <v>193</v>
      </c>
      <c r="BG169" s="2" t="s">
        <v>194</v>
      </c>
      <c r="BH169" s="2" t="s">
        <v>195</v>
      </c>
      <c r="BI169" s="2" t="s">
        <v>333</v>
      </c>
      <c r="BL169" s="2" t="s">
        <v>197</v>
      </c>
      <c r="BM169" s="2" t="s">
        <v>198</v>
      </c>
      <c r="BN169" s="2" t="s">
        <v>199</v>
      </c>
      <c r="BO169" s="2" t="s">
        <v>188</v>
      </c>
      <c r="BQ169" s="2" t="s">
        <v>200</v>
      </c>
      <c r="BS169" s="2" t="s">
        <v>187</v>
      </c>
      <c r="BT169" s="2" t="s">
        <v>261</v>
      </c>
      <c r="BV169" s="2" t="s">
        <v>248</v>
      </c>
      <c r="BX169" s="2" t="s">
        <v>188</v>
      </c>
      <c r="BZ169" s="2" t="s">
        <v>188</v>
      </c>
      <c r="CE169" s="2">
        <v>8</v>
      </c>
      <c r="CF169" s="2">
        <v>800</v>
      </c>
      <c r="CH169" s="2">
        <v>0</v>
      </c>
      <c r="CI169" s="2">
        <v>0</v>
      </c>
      <c r="CJ169" s="2">
        <v>0</v>
      </c>
      <c r="CK169" s="2">
        <v>100</v>
      </c>
      <c r="CL169" s="2">
        <v>0</v>
      </c>
      <c r="CM169" s="2">
        <v>0</v>
      </c>
      <c r="CO169" s="2">
        <v>100</v>
      </c>
      <c r="CP169" s="2">
        <v>0</v>
      </c>
      <c r="CQ169" s="2">
        <v>0</v>
      </c>
      <c r="CR169" s="2" t="s">
        <v>204</v>
      </c>
      <c r="CT169" s="2" t="s">
        <v>188</v>
      </c>
      <c r="CU169" s="2" t="s">
        <v>205</v>
      </c>
      <c r="CW169" s="2" t="s">
        <v>206</v>
      </c>
      <c r="CY169" s="2" t="s">
        <v>300</v>
      </c>
      <c r="CZ169" s="2" t="s">
        <v>300</v>
      </c>
      <c r="DA169" s="2" t="s">
        <v>300</v>
      </c>
      <c r="DB169" s="2" t="s">
        <v>300</v>
      </c>
      <c r="DC169" s="2" t="s">
        <v>300</v>
      </c>
      <c r="DD169" s="2" t="s">
        <v>300</v>
      </c>
      <c r="DE169" s="2" t="s">
        <v>300</v>
      </c>
      <c r="DF169" s="2" t="s">
        <v>300</v>
      </c>
      <c r="DG169" s="2" t="s">
        <v>300</v>
      </c>
      <c r="DH169" s="2" t="s">
        <v>300</v>
      </c>
      <c r="DI169" s="2" t="s">
        <v>300</v>
      </c>
      <c r="DL169" s="2" t="s">
        <v>188</v>
      </c>
      <c r="DM169" s="2" t="s">
        <v>188</v>
      </c>
      <c r="DP169" s="2" t="s">
        <v>188</v>
      </c>
      <c r="DT169" s="2" t="s">
        <v>203</v>
      </c>
      <c r="DU169" s="2" t="s">
        <v>203</v>
      </c>
      <c r="DV169" s="2" t="s">
        <v>203</v>
      </c>
      <c r="DW169" s="2" t="s">
        <v>203</v>
      </c>
      <c r="DX169" s="2" t="s">
        <v>203</v>
      </c>
      <c r="DY169" s="2" t="s">
        <v>203</v>
      </c>
      <c r="DZ169" s="2" t="s">
        <v>203</v>
      </c>
      <c r="EA169" s="2" t="s">
        <v>203</v>
      </c>
      <c r="EB169" s="2" t="s">
        <v>203</v>
      </c>
      <c r="EC169" s="2" t="s">
        <v>203</v>
      </c>
      <c r="EF169" s="2" t="s">
        <v>302</v>
      </c>
      <c r="EG169" s="2" t="s">
        <v>431</v>
      </c>
      <c r="EJ169" s="2" t="s">
        <v>203</v>
      </c>
      <c r="EK169" s="2" t="s">
        <v>188</v>
      </c>
      <c r="EL169" s="2" t="s">
        <v>188</v>
      </c>
      <c r="EN169" s="2" t="s">
        <v>255</v>
      </c>
      <c r="EP169" s="2" t="s">
        <v>230</v>
      </c>
      <c r="ER169" s="2" t="s">
        <v>188</v>
      </c>
      <c r="ET169" s="2" t="s">
        <v>188</v>
      </c>
      <c r="EV169" s="2" t="s">
        <v>188</v>
      </c>
      <c r="EX169" s="2" t="s">
        <v>188</v>
      </c>
      <c r="EZ169" s="2" t="s">
        <v>188</v>
      </c>
      <c r="FC169" s="2" t="s">
        <v>263</v>
      </c>
      <c r="FD169" s="2" t="s">
        <v>188</v>
      </c>
      <c r="FH169" s="2" t="s">
        <v>188</v>
      </c>
      <c r="FJ169" s="2" t="s">
        <v>188</v>
      </c>
      <c r="FK169" s="2" t="s">
        <v>188</v>
      </c>
      <c r="FN169" s="2" t="s">
        <v>432</v>
      </c>
      <c r="FR169" s="2" t="s">
        <v>1373</v>
      </c>
      <c r="FT169" s="2" t="s">
        <v>490</v>
      </c>
      <c r="FU169" s="2" t="s">
        <v>233</v>
      </c>
      <c r="FV169" s="2" t="s">
        <v>233</v>
      </c>
      <c r="FW169" s="2" t="s">
        <v>219</v>
      </c>
      <c r="FZ169" s="4">
        <v>46041.635000000002</v>
      </c>
    </row>
    <row r="170" spans="1:182">
      <c r="A170" s="2" t="s">
        <v>1374</v>
      </c>
      <c r="D170" s="4">
        <v>46296.465694444443</v>
      </c>
      <c r="E170" s="2" t="s">
        <v>1375</v>
      </c>
      <c r="F170" s="2" t="s">
        <v>480</v>
      </c>
      <c r="G170" s="2" t="s">
        <v>1206</v>
      </c>
      <c r="H170" s="2" t="s">
        <v>1212</v>
      </c>
      <c r="I170" s="2" t="s">
        <v>1376</v>
      </c>
      <c r="J170" s="2">
        <v>393537640</v>
      </c>
      <c r="K170" s="2" t="s">
        <v>1376</v>
      </c>
      <c r="L170" s="2" t="s">
        <v>182</v>
      </c>
      <c r="M170" s="2" t="s">
        <v>183</v>
      </c>
      <c r="N170" s="2">
        <v>1975</v>
      </c>
      <c r="O170" s="2" t="s">
        <v>184</v>
      </c>
      <c r="P170" s="2" t="s">
        <v>185</v>
      </c>
      <c r="Q170" s="2" t="s">
        <v>270</v>
      </c>
      <c r="R170" s="2" t="s">
        <v>188</v>
      </c>
      <c r="S170" s="2">
        <v>16</v>
      </c>
      <c r="T170" s="2" t="s">
        <v>188</v>
      </c>
      <c r="U170" s="2" t="s">
        <v>188</v>
      </c>
      <c r="Y170" s="2">
        <v>202</v>
      </c>
      <c r="Z170" s="2">
        <v>1</v>
      </c>
      <c r="AA170" s="2">
        <v>202</v>
      </c>
      <c r="AB170" s="2">
        <v>202</v>
      </c>
      <c r="AC170" s="2">
        <v>202</v>
      </c>
      <c r="AD170" s="2">
        <v>297</v>
      </c>
      <c r="AE170" s="2">
        <v>95</v>
      </c>
      <c r="AF170" s="2" t="s">
        <v>188</v>
      </c>
      <c r="AG170" s="2" t="s">
        <v>188</v>
      </c>
      <c r="AH170" s="2" t="s">
        <v>188</v>
      </c>
      <c r="AJ170" s="2" t="s">
        <v>188</v>
      </c>
      <c r="AK170" s="2" t="s">
        <v>188</v>
      </c>
      <c r="AL170" s="2" t="s">
        <v>188</v>
      </c>
      <c r="AM170" s="2" t="s">
        <v>188</v>
      </c>
      <c r="AN170" s="2" t="s">
        <v>188</v>
      </c>
      <c r="AO170" s="2" t="s">
        <v>188</v>
      </c>
      <c r="AR170" s="2">
        <v>1.8</v>
      </c>
      <c r="AS170" s="2">
        <v>3</v>
      </c>
      <c r="AT170" s="2">
        <v>3</v>
      </c>
      <c r="AU170" s="2" t="s">
        <v>238</v>
      </c>
      <c r="AV170" s="2" t="s">
        <v>238</v>
      </c>
      <c r="AW170" s="2" t="s">
        <v>188</v>
      </c>
      <c r="AZ170" s="2" t="s">
        <v>190</v>
      </c>
      <c r="BB170" s="2" t="s">
        <v>260</v>
      </c>
      <c r="BC170" s="2" t="s">
        <v>296</v>
      </c>
      <c r="BD170" s="2" t="s">
        <v>187</v>
      </c>
      <c r="BE170" s="2" t="s">
        <v>187</v>
      </c>
      <c r="BF170" s="2" t="s">
        <v>193</v>
      </c>
      <c r="BG170" s="2" t="s">
        <v>194</v>
      </c>
      <c r="BH170" s="2" t="s">
        <v>195</v>
      </c>
      <c r="BI170" s="2" t="s">
        <v>165</v>
      </c>
      <c r="BL170" s="2" t="s">
        <v>240</v>
      </c>
      <c r="BO170" s="2" t="s">
        <v>188</v>
      </c>
      <c r="BQ170" s="2" t="s">
        <v>227</v>
      </c>
      <c r="BS170" s="2" t="s">
        <v>188</v>
      </c>
      <c r="BT170" s="2" t="s">
        <v>261</v>
      </c>
      <c r="BV170" s="2" t="s">
        <v>1377</v>
      </c>
      <c r="BX170" s="2" t="s">
        <v>187</v>
      </c>
      <c r="BY170" s="2" t="s">
        <v>1378</v>
      </c>
      <c r="BZ170" s="2" t="s">
        <v>203</v>
      </c>
      <c r="CE170" s="2">
        <v>3</v>
      </c>
      <c r="CF170" s="2">
        <v>297</v>
      </c>
      <c r="CM170" s="2">
        <v>100</v>
      </c>
      <c r="CO170" s="2">
        <v>100</v>
      </c>
      <c r="CR170" s="2" t="s">
        <v>511</v>
      </c>
      <c r="CT170" s="2" t="s">
        <v>188</v>
      </c>
      <c r="CU170" s="2" t="s">
        <v>205</v>
      </c>
      <c r="CW170" s="2" t="s">
        <v>206</v>
      </c>
      <c r="CY170" s="2" t="s">
        <v>512</v>
      </c>
      <c r="CZ170" s="2" t="s">
        <v>512</v>
      </c>
      <c r="DA170" s="2" t="s">
        <v>300</v>
      </c>
      <c r="DB170" s="2" t="s">
        <v>300</v>
      </c>
      <c r="DC170" s="2" t="s">
        <v>988</v>
      </c>
      <c r="DD170" s="2" t="s">
        <v>300</v>
      </c>
      <c r="DE170" s="2" t="s">
        <v>300</v>
      </c>
      <c r="DF170" s="2" t="s">
        <v>300</v>
      </c>
      <c r="DG170" s="2" t="s">
        <v>273</v>
      </c>
      <c r="DH170" s="2" t="s">
        <v>273</v>
      </c>
      <c r="DI170" s="2" t="s">
        <v>300</v>
      </c>
      <c r="DL170" s="2" t="s">
        <v>187</v>
      </c>
      <c r="DM170" s="2" t="s">
        <v>187</v>
      </c>
      <c r="DN170" s="2" t="s">
        <v>187</v>
      </c>
      <c r="DO170" s="2" t="s">
        <v>187</v>
      </c>
      <c r="DP170" s="2" t="s">
        <v>209</v>
      </c>
      <c r="DQ170" s="2" t="s">
        <v>467</v>
      </c>
      <c r="DR170" s="2" t="s">
        <v>1379</v>
      </c>
      <c r="DT170" s="2" t="s">
        <v>209</v>
      </c>
      <c r="DU170" s="2" t="s">
        <v>209</v>
      </c>
      <c r="DV170" s="2" t="s">
        <v>209</v>
      </c>
      <c r="DW170" s="2" t="s">
        <v>209</v>
      </c>
      <c r="DX170" s="2" t="s">
        <v>209</v>
      </c>
      <c r="DY170" s="2" t="s">
        <v>209</v>
      </c>
      <c r="DZ170" s="2" t="s">
        <v>209</v>
      </c>
      <c r="EA170" s="2" t="s">
        <v>203</v>
      </c>
      <c r="EB170" s="2" t="s">
        <v>203</v>
      </c>
      <c r="EC170" s="2" t="s">
        <v>203</v>
      </c>
      <c r="ED170" s="2" t="s">
        <v>203</v>
      </c>
      <c r="EF170" s="2" t="s">
        <v>302</v>
      </c>
      <c r="EG170" s="2" t="s">
        <v>1380</v>
      </c>
      <c r="EJ170" s="2" t="s">
        <v>238</v>
      </c>
      <c r="EK170" s="2" t="s">
        <v>187</v>
      </c>
      <c r="EL170" s="2" t="s">
        <v>188</v>
      </c>
      <c r="EN170" s="2" t="s">
        <v>214</v>
      </c>
      <c r="EP170" s="2" t="s">
        <v>230</v>
      </c>
      <c r="ER170" s="2" t="s">
        <v>187</v>
      </c>
      <c r="ET170" s="2" t="s">
        <v>188</v>
      </c>
      <c r="EV170" s="2" t="s">
        <v>187</v>
      </c>
      <c r="EW170" s="2" t="s">
        <v>215</v>
      </c>
      <c r="EX170" s="2" t="s">
        <v>188</v>
      </c>
      <c r="EZ170" s="2" t="s">
        <v>188</v>
      </c>
      <c r="FC170" s="2" t="s">
        <v>395</v>
      </c>
      <c r="FD170" s="2" t="s">
        <v>188</v>
      </c>
      <c r="FH170" s="2" t="s">
        <v>188</v>
      </c>
      <c r="FJ170" s="2" t="s">
        <v>188</v>
      </c>
      <c r="FK170" s="2" t="s">
        <v>188</v>
      </c>
      <c r="FN170" s="2" t="s">
        <v>291</v>
      </c>
      <c r="FO170" s="2" t="s">
        <v>1381</v>
      </c>
      <c r="FR170" s="2" t="s">
        <v>1382</v>
      </c>
      <c r="FT170" s="2" t="s">
        <v>233</v>
      </c>
      <c r="FU170" s="2" t="s">
        <v>233</v>
      </c>
      <c r="FV170" s="2" t="s">
        <v>233</v>
      </c>
      <c r="FW170" s="2" t="s">
        <v>233</v>
      </c>
      <c r="FX170" s="2" t="s">
        <v>233</v>
      </c>
      <c r="FZ170" s="4">
        <v>46043.213483796295</v>
      </c>
    </row>
    <row r="171" spans="1:182">
      <c r="A171" s="2" t="s">
        <v>1383</v>
      </c>
      <c r="D171" s="4">
        <v>46296.472534722219</v>
      </c>
      <c r="E171" s="2" t="s">
        <v>1384</v>
      </c>
      <c r="F171" s="2" t="s">
        <v>590</v>
      </c>
      <c r="G171" s="2" t="s">
        <v>1206</v>
      </c>
      <c r="H171" s="2" t="s">
        <v>1385</v>
      </c>
      <c r="I171" s="2" t="s">
        <v>1386</v>
      </c>
      <c r="J171" s="2">
        <v>931603196</v>
      </c>
      <c r="K171" s="2" t="s">
        <v>1387</v>
      </c>
      <c r="L171" s="2" t="s">
        <v>182</v>
      </c>
      <c r="M171" s="2" t="s">
        <v>223</v>
      </c>
      <c r="N171" s="2">
        <v>1999</v>
      </c>
      <c r="O171" s="2" t="s">
        <v>184</v>
      </c>
      <c r="P171" s="2" t="s">
        <v>225</v>
      </c>
      <c r="Q171" s="2" t="s">
        <v>186</v>
      </c>
      <c r="R171" s="2" t="s">
        <v>188</v>
      </c>
      <c r="S171" s="2">
        <v>17</v>
      </c>
      <c r="T171" s="2" t="s">
        <v>188</v>
      </c>
      <c r="U171" s="2" t="s">
        <v>188</v>
      </c>
      <c r="Y171" s="2">
        <v>40</v>
      </c>
      <c r="Z171" s="2">
        <v>1</v>
      </c>
      <c r="AA171" s="2">
        <v>40</v>
      </c>
      <c r="AB171" s="2">
        <v>40</v>
      </c>
      <c r="AC171" s="2">
        <v>40</v>
      </c>
      <c r="AD171" s="2">
        <v>80</v>
      </c>
      <c r="AE171" s="2">
        <v>40</v>
      </c>
      <c r="AF171" s="2" t="s">
        <v>188</v>
      </c>
      <c r="AG171" s="2" t="s">
        <v>188</v>
      </c>
      <c r="AH171" s="2" t="s">
        <v>188</v>
      </c>
      <c r="AJ171" s="2" t="s">
        <v>188</v>
      </c>
      <c r="AK171" s="2" t="s">
        <v>188</v>
      </c>
      <c r="AL171" s="2" t="s">
        <v>188</v>
      </c>
      <c r="AM171" s="2" t="s">
        <v>188</v>
      </c>
      <c r="AN171" s="2" t="s">
        <v>188</v>
      </c>
      <c r="AO171" s="2" t="s">
        <v>188</v>
      </c>
      <c r="AR171" s="2">
        <v>0.4</v>
      </c>
      <c r="AS171" s="2">
        <v>2</v>
      </c>
      <c r="AT171" s="2">
        <v>0.7</v>
      </c>
      <c r="AU171" s="2" t="s">
        <v>203</v>
      </c>
      <c r="AV171" s="2" t="s">
        <v>203</v>
      </c>
      <c r="AW171" s="2" t="s">
        <v>188</v>
      </c>
      <c r="AZ171" s="2" t="s">
        <v>190</v>
      </c>
      <c r="BB171" s="2" t="s">
        <v>260</v>
      </c>
      <c r="BC171" s="2" t="s">
        <v>296</v>
      </c>
      <c r="BD171" s="2" t="s">
        <v>187</v>
      </c>
      <c r="BE171" s="2" t="s">
        <v>187</v>
      </c>
      <c r="BF171" s="2" t="s">
        <v>193</v>
      </c>
      <c r="BG171" s="2" t="s">
        <v>194</v>
      </c>
      <c r="BH171" s="2" t="s">
        <v>195</v>
      </c>
      <c r="BI171" s="2" t="s">
        <v>196</v>
      </c>
      <c r="BL171" s="2" t="s">
        <v>240</v>
      </c>
      <c r="BO171" s="2" t="s">
        <v>188</v>
      </c>
      <c r="BQ171" s="2" t="s">
        <v>227</v>
      </c>
      <c r="BS171" s="2" t="s">
        <v>188</v>
      </c>
      <c r="BT171" s="2" t="s">
        <v>644</v>
      </c>
      <c r="BV171" s="2" t="s">
        <v>502</v>
      </c>
      <c r="BX171" s="2" t="s">
        <v>187</v>
      </c>
      <c r="BY171" s="2" t="s">
        <v>631</v>
      </c>
      <c r="BZ171" s="2" t="s">
        <v>188</v>
      </c>
      <c r="CE171" s="2">
        <v>0.7</v>
      </c>
      <c r="CF171" s="2">
        <v>80</v>
      </c>
      <c r="CK171" s="2">
        <v>100</v>
      </c>
      <c r="CO171" s="2">
        <v>100</v>
      </c>
      <c r="CR171" s="2" t="s">
        <v>204</v>
      </c>
      <c r="CT171" s="2" t="s">
        <v>188</v>
      </c>
      <c r="CU171" s="2" t="s">
        <v>758</v>
      </c>
      <c r="CW171" s="2" t="s">
        <v>206</v>
      </c>
      <c r="CY171" s="2" t="s">
        <v>300</v>
      </c>
      <c r="CZ171" s="2" t="s">
        <v>300</v>
      </c>
      <c r="DA171" s="2" t="s">
        <v>300</v>
      </c>
      <c r="DB171" s="2" t="s">
        <v>300</v>
      </c>
      <c r="DC171" s="2" t="s">
        <v>430</v>
      </c>
      <c r="DD171" s="2" t="s">
        <v>300</v>
      </c>
      <c r="DE171" s="2" t="s">
        <v>300</v>
      </c>
      <c r="DF171" s="2" t="s">
        <v>300</v>
      </c>
      <c r="DG171" s="2" t="s">
        <v>300</v>
      </c>
      <c r="DH171" s="2" t="s">
        <v>300</v>
      </c>
      <c r="DI171" s="2" t="s">
        <v>300</v>
      </c>
      <c r="DL171" s="2" t="s">
        <v>188</v>
      </c>
      <c r="DM171" s="2" t="s">
        <v>188</v>
      </c>
      <c r="DP171" s="2" t="s">
        <v>203</v>
      </c>
      <c r="DT171" s="2" t="s">
        <v>203</v>
      </c>
      <c r="DU171" s="2" t="s">
        <v>203</v>
      </c>
      <c r="DV171" s="2" t="s">
        <v>203</v>
      </c>
      <c r="DW171" s="2" t="s">
        <v>203</v>
      </c>
      <c r="DX171" s="2" t="s">
        <v>203</v>
      </c>
      <c r="DY171" s="2" t="s">
        <v>203</v>
      </c>
      <c r="DZ171" s="2" t="s">
        <v>203</v>
      </c>
      <c r="EA171" s="2" t="s">
        <v>203</v>
      </c>
      <c r="EB171" s="2" t="s">
        <v>203</v>
      </c>
      <c r="EC171" s="2" t="s">
        <v>203</v>
      </c>
      <c r="EF171" s="2" t="s">
        <v>189</v>
      </c>
      <c r="EG171" s="2" t="s">
        <v>1388</v>
      </c>
      <c r="EJ171" s="2" t="s">
        <v>203</v>
      </c>
      <c r="EK171" s="2" t="s">
        <v>188</v>
      </c>
      <c r="EL171" s="2" t="s">
        <v>188</v>
      </c>
      <c r="EN171" s="2" t="s">
        <v>214</v>
      </c>
      <c r="EP171" s="2" t="s">
        <v>230</v>
      </c>
      <c r="ER171" s="2" t="s">
        <v>188</v>
      </c>
      <c r="ET171" s="2" t="s">
        <v>188</v>
      </c>
      <c r="EV171" s="2" t="s">
        <v>188</v>
      </c>
      <c r="EX171" s="2" t="s">
        <v>188</v>
      </c>
      <c r="EZ171" s="2" t="s">
        <v>188</v>
      </c>
      <c r="FC171" s="2" t="s">
        <v>263</v>
      </c>
      <c r="FD171" s="2" t="s">
        <v>188</v>
      </c>
      <c r="FH171" s="2" t="s">
        <v>188</v>
      </c>
      <c r="FJ171" s="2" t="s">
        <v>188</v>
      </c>
      <c r="FK171" s="2" t="s">
        <v>188</v>
      </c>
      <c r="FN171" s="2" t="s">
        <v>769</v>
      </c>
      <c r="FR171" s="2" t="s">
        <v>976</v>
      </c>
      <c r="FT171" s="2" t="s">
        <v>233</v>
      </c>
      <c r="FU171" s="2" t="s">
        <v>233</v>
      </c>
      <c r="FV171" s="2" t="s">
        <v>219</v>
      </c>
      <c r="FW171" s="2" t="s">
        <v>233</v>
      </c>
      <c r="FZ171" s="4">
        <v>46047.599537037036</v>
      </c>
    </row>
    <row r="172" spans="1:182">
      <c r="A172" s="2" t="s">
        <v>1389</v>
      </c>
      <c r="D172" s="4">
        <v>46296.462418981479</v>
      </c>
      <c r="E172" s="2" t="s">
        <v>177</v>
      </c>
      <c r="F172" s="2" t="s">
        <v>178</v>
      </c>
      <c r="G172" s="2" t="s">
        <v>1206</v>
      </c>
      <c r="H172" s="2" t="s">
        <v>1207</v>
      </c>
      <c r="I172" s="2" t="s">
        <v>436</v>
      </c>
      <c r="J172" s="2">
        <v>374195103</v>
      </c>
      <c r="K172" s="2" t="s">
        <v>1390</v>
      </c>
      <c r="L172" s="2" t="s">
        <v>182</v>
      </c>
      <c r="M172" s="2" t="s">
        <v>223</v>
      </c>
      <c r="N172" s="2">
        <v>1982</v>
      </c>
      <c r="O172" s="2" t="s">
        <v>184</v>
      </c>
      <c r="P172" s="2" t="s">
        <v>225</v>
      </c>
      <c r="Q172" s="2" t="s">
        <v>270</v>
      </c>
      <c r="R172" s="2" t="s">
        <v>188</v>
      </c>
      <c r="S172" s="2">
        <v>15</v>
      </c>
      <c r="T172" s="2" t="s">
        <v>188</v>
      </c>
      <c r="U172" s="2" t="s">
        <v>188</v>
      </c>
      <c r="Y172" s="2">
        <v>90</v>
      </c>
      <c r="Z172" s="2">
        <v>1</v>
      </c>
      <c r="AA172" s="2">
        <v>90</v>
      </c>
      <c r="AB172" s="2">
        <v>90</v>
      </c>
      <c r="AC172" s="2">
        <v>90</v>
      </c>
      <c r="AD172" s="2">
        <v>180</v>
      </c>
      <c r="AE172" s="2">
        <v>90</v>
      </c>
      <c r="AF172" s="2" t="s">
        <v>187</v>
      </c>
      <c r="AG172" s="2" t="s">
        <v>188</v>
      </c>
      <c r="AH172" s="2" t="s">
        <v>188</v>
      </c>
      <c r="AJ172" s="2" t="s">
        <v>188</v>
      </c>
      <c r="AK172" s="2" t="s">
        <v>188</v>
      </c>
      <c r="AL172" s="2" t="s">
        <v>188</v>
      </c>
      <c r="AM172" s="2" t="s">
        <v>188</v>
      </c>
      <c r="AN172" s="2" t="s">
        <v>188</v>
      </c>
      <c r="AO172" s="2" t="s">
        <v>188</v>
      </c>
      <c r="AR172" s="2">
        <v>1.55</v>
      </c>
      <c r="AS172" s="2">
        <v>3</v>
      </c>
      <c r="AT172" s="2">
        <v>1.9</v>
      </c>
      <c r="AU172" s="2" t="s">
        <v>238</v>
      </c>
      <c r="AV172" s="2" t="s">
        <v>238</v>
      </c>
      <c r="AW172" s="2" t="s">
        <v>188</v>
      </c>
      <c r="AZ172" s="2" t="s">
        <v>190</v>
      </c>
      <c r="BB172" s="2" t="s">
        <v>260</v>
      </c>
      <c r="BC172" s="2" t="s">
        <v>192</v>
      </c>
      <c r="BD172" s="2" t="s">
        <v>188</v>
      </c>
      <c r="BE172" s="2" t="s">
        <v>187</v>
      </c>
      <c r="BF172" s="2" t="s">
        <v>193</v>
      </c>
      <c r="BG172" s="2" t="s">
        <v>194</v>
      </c>
      <c r="BH172" s="2" t="s">
        <v>195</v>
      </c>
      <c r="BI172" s="2" t="s">
        <v>196</v>
      </c>
      <c r="BL172" s="2" t="s">
        <v>197</v>
      </c>
      <c r="BM172" s="2" t="s">
        <v>198</v>
      </c>
      <c r="BN172" s="2" t="s">
        <v>199</v>
      </c>
      <c r="BO172" s="2" t="s">
        <v>188</v>
      </c>
      <c r="BQ172" s="2" t="s">
        <v>200</v>
      </c>
      <c r="BS172" s="2" t="s">
        <v>188</v>
      </c>
      <c r="BX172" s="2" t="s">
        <v>188</v>
      </c>
      <c r="BZ172" s="2" t="s">
        <v>203</v>
      </c>
      <c r="CE172" s="2">
        <v>1.9</v>
      </c>
      <c r="CF172" s="2">
        <v>180</v>
      </c>
      <c r="CK172" s="2">
        <v>100</v>
      </c>
      <c r="CO172" s="2">
        <v>100</v>
      </c>
      <c r="CR172" s="2" t="s">
        <v>204</v>
      </c>
      <c r="CT172" s="2" t="s">
        <v>188</v>
      </c>
      <c r="CU172" s="2" t="s">
        <v>281</v>
      </c>
      <c r="CW172" s="2" t="s">
        <v>206</v>
      </c>
      <c r="CY172" s="2" t="s">
        <v>208</v>
      </c>
      <c r="CZ172" s="2" t="s">
        <v>208</v>
      </c>
      <c r="DA172" s="2" t="s">
        <v>208</v>
      </c>
      <c r="DB172" s="2" t="s">
        <v>208</v>
      </c>
      <c r="DL172" s="2" t="s">
        <v>188</v>
      </c>
      <c r="DM172" s="2" t="s">
        <v>188</v>
      </c>
      <c r="DP172" s="2" t="s">
        <v>203</v>
      </c>
      <c r="DT172" s="2" t="s">
        <v>203</v>
      </c>
      <c r="DU172" s="2" t="s">
        <v>203</v>
      </c>
      <c r="DV172" s="2" t="s">
        <v>203</v>
      </c>
      <c r="DW172" s="2" t="s">
        <v>203</v>
      </c>
      <c r="DX172" s="2" t="s">
        <v>203</v>
      </c>
      <c r="DY172" s="2" t="s">
        <v>203</v>
      </c>
      <c r="DZ172" s="2" t="s">
        <v>203</v>
      </c>
      <c r="EA172" s="2" t="s">
        <v>203</v>
      </c>
      <c r="EB172" s="2" t="s">
        <v>203</v>
      </c>
      <c r="EJ172" s="2" t="s">
        <v>238</v>
      </c>
      <c r="EK172" s="2" t="s">
        <v>188</v>
      </c>
      <c r="EL172" s="2" t="s">
        <v>188</v>
      </c>
      <c r="EN172" s="2" t="s">
        <v>214</v>
      </c>
      <c r="EP172" s="2" t="s">
        <v>394</v>
      </c>
      <c r="ER172" s="2" t="s">
        <v>188</v>
      </c>
      <c r="ET172" s="2" t="s">
        <v>188</v>
      </c>
      <c r="EV172" s="2" t="s">
        <v>188</v>
      </c>
      <c r="EX172" s="2" t="s">
        <v>188</v>
      </c>
      <c r="FC172" s="2" t="s">
        <v>216</v>
      </c>
      <c r="FD172" s="2" t="s">
        <v>188</v>
      </c>
      <c r="FH172" s="2" t="s">
        <v>188</v>
      </c>
      <c r="FJ172" s="2" t="s">
        <v>187</v>
      </c>
      <c r="FK172" s="2" t="s">
        <v>188</v>
      </c>
      <c r="FN172" s="2" t="s">
        <v>291</v>
      </c>
      <c r="FO172" s="2" t="s">
        <v>1391</v>
      </c>
      <c r="FT172" s="2" t="s">
        <v>233</v>
      </c>
      <c r="FU172" s="2" t="s">
        <v>233</v>
      </c>
      <c r="FV172" s="2" t="s">
        <v>233</v>
      </c>
      <c r="FW172" s="2" t="s">
        <v>233</v>
      </c>
      <c r="FZ172" s="4">
        <v>46040.612638888888</v>
      </c>
    </row>
    <row r="173" spans="1:182">
      <c r="A173" s="2" t="s">
        <v>1392</v>
      </c>
      <c r="D173" s="4">
        <v>46296.464988425927</v>
      </c>
      <c r="E173" s="2" t="s">
        <v>177</v>
      </c>
      <c r="F173" s="2" t="s">
        <v>293</v>
      </c>
      <c r="G173" s="2" t="s">
        <v>1206</v>
      </c>
      <c r="H173" s="2" t="s">
        <v>1263</v>
      </c>
      <c r="I173" s="2" t="s">
        <v>1393</v>
      </c>
      <c r="J173" s="2">
        <v>393464675</v>
      </c>
      <c r="K173" s="2" t="s">
        <v>1393</v>
      </c>
      <c r="L173" s="2" t="s">
        <v>182</v>
      </c>
      <c r="M173" s="2" t="s">
        <v>183</v>
      </c>
      <c r="N173" s="2">
        <v>1975</v>
      </c>
      <c r="O173" s="2" t="s">
        <v>224</v>
      </c>
      <c r="P173" s="2" t="s">
        <v>185</v>
      </c>
      <c r="Q173" s="2" t="s">
        <v>270</v>
      </c>
      <c r="R173" s="2" t="s">
        <v>188</v>
      </c>
      <c r="S173" s="2">
        <v>2010</v>
      </c>
      <c r="T173" s="2" t="s">
        <v>188</v>
      </c>
      <c r="U173" s="2" t="s">
        <v>187</v>
      </c>
      <c r="Y173" s="2">
        <v>1050</v>
      </c>
      <c r="Z173" s="2">
        <v>1</v>
      </c>
      <c r="AA173" s="2">
        <v>1050</v>
      </c>
      <c r="AB173" s="2">
        <v>940</v>
      </c>
      <c r="AC173" s="2">
        <v>820</v>
      </c>
      <c r="AD173" s="2">
        <v>900</v>
      </c>
      <c r="AE173" s="2">
        <v>80</v>
      </c>
      <c r="AF173" s="2" t="s">
        <v>188</v>
      </c>
      <c r="AG173" s="2" t="s">
        <v>187</v>
      </c>
      <c r="AH173" s="2" t="s">
        <v>187</v>
      </c>
      <c r="AI173" s="2" t="s">
        <v>1394</v>
      </c>
      <c r="AJ173" s="2" t="s">
        <v>188</v>
      </c>
      <c r="AK173" s="2" t="s">
        <v>187</v>
      </c>
      <c r="AL173" s="2" t="s">
        <v>188</v>
      </c>
      <c r="AM173" s="2" t="s">
        <v>187</v>
      </c>
      <c r="AN173" s="2" t="s">
        <v>188</v>
      </c>
      <c r="AO173" s="2" t="s">
        <v>188</v>
      </c>
      <c r="AR173" s="2">
        <v>2</v>
      </c>
      <c r="AS173" s="2">
        <v>3</v>
      </c>
      <c r="AT173" s="2">
        <v>9.5</v>
      </c>
      <c r="AU173" s="2" t="s">
        <v>238</v>
      </c>
      <c r="AV173" s="2" t="s">
        <v>238</v>
      </c>
      <c r="AW173" s="2" t="s">
        <v>188</v>
      </c>
      <c r="AZ173" s="2" t="s">
        <v>190</v>
      </c>
      <c r="BB173" s="2" t="s">
        <v>260</v>
      </c>
      <c r="BC173" s="2" t="s">
        <v>253</v>
      </c>
      <c r="BD173" s="2" t="s">
        <v>187</v>
      </c>
      <c r="BE173" s="2" t="s">
        <v>187</v>
      </c>
      <c r="BF173" s="2" t="s">
        <v>193</v>
      </c>
      <c r="BG173" s="2" t="s">
        <v>194</v>
      </c>
      <c r="BH173" s="2" t="s">
        <v>297</v>
      </c>
      <c r="BI173" s="2" t="s">
        <v>196</v>
      </c>
      <c r="BL173" s="2" t="s">
        <v>197</v>
      </c>
      <c r="BM173" s="2" t="s">
        <v>198</v>
      </c>
      <c r="BN173" s="2" t="s">
        <v>199</v>
      </c>
      <c r="BO173" s="2" t="s">
        <v>188</v>
      </c>
      <c r="BQ173" s="2" t="s">
        <v>309</v>
      </c>
      <c r="BS173" s="2" t="s">
        <v>187</v>
      </c>
      <c r="BT173" s="2" t="s">
        <v>261</v>
      </c>
      <c r="BV173" s="2" t="s">
        <v>458</v>
      </c>
      <c r="BX173" s="2" t="s">
        <v>187</v>
      </c>
      <c r="BY173" s="2" t="s">
        <v>310</v>
      </c>
      <c r="BZ173" s="2" t="s">
        <v>203</v>
      </c>
      <c r="CE173" s="2">
        <v>9.5</v>
      </c>
      <c r="CF173" s="2">
        <v>930</v>
      </c>
      <c r="CK173" s="2">
        <v>100</v>
      </c>
      <c r="CO173" s="2">
        <v>100</v>
      </c>
      <c r="CR173" s="2" t="s">
        <v>204</v>
      </c>
      <c r="CT173" s="2" t="s">
        <v>188</v>
      </c>
      <c r="CU173" s="2" t="s">
        <v>281</v>
      </c>
      <c r="CW173" s="2" t="s">
        <v>206</v>
      </c>
      <c r="CY173" s="2" t="s">
        <v>207</v>
      </c>
      <c r="CZ173" s="2" t="s">
        <v>273</v>
      </c>
      <c r="DA173" s="2" t="s">
        <v>299</v>
      </c>
      <c r="DB173" s="2" t="s">
        <v>299</v>
      </c>
      <c r="DC173" s="2" t="s">
        <v>299</v>
      </c>
      <c r="DD173" s="2" t="s">
        <v>208</v>
      </c>
      <c r="DE173" s="2" t="s">
        <v>208</v>
      </c>
      <c r="DF173" s="2" t="s">
        <v>207</v>
      </c>
      <c r="DG173" s="2" t="s">
        <v>207</v>
      </c>
      <c r="DH173" s="2" t="s">
        <v>207</v>
      </c>
      <c r="DI173" s="2" t="s">
        <v>208</v>
      </c>
      <c r="DL173" s="2" t="s">
        <v>187</v>
      </c>
      <c r="DM173" s="2" t="s">
        <v>187</v>
      </c>
      <c r="DN173" s="2" t="s">
        <v>187</v>
      </c>
      <c r="DO173" s="2" t="s">
        <v>187</v>
      </c>
      <c r="DP173" s="2" t="s">
        <v>209</v>
      </c>
      <c r="DQ173" s="2" t="s">
        <v>210</v>
      </c>
      <c r="DS173" s="2" t="s">
        <v>209</v>
      </c>
      <c r="DT173" s="2" t="s">
        <v>209</v>
      </c>
      <c r="DU173" s="2" t="s">
        <v>209</v>
      </c>
      <c r="DV173" s="2" t="s">
        <v>209</v>
      </c>
      <c r="DW173" s="2" t="s">
        <v>209</v>
      </c>
      <c r="DX173" s="2" t="s">
        <v>209</v>
      </c>
      <c r="DY173" s="2" t="s">
        <v>203</v>
      </c>
      <c r="DZ173" s="2" t="s">
        <v>209</v>
      </c>
      <c r="EA173" s="2" t="s">
        <v>209</v>
      </c>
      <c r="EB173" s="2" t="s">
        <v>203</v>
      </c>
      <c r="EF173" s="2" t="s">
        <v>211</v>
      </c>
      <c r="EJ173" s="2" t="s">
        <v>189</v>
      </c>
      <c r="EK173" s="2" t="s">
        <v>187</v>
      </c>
      <c r="EL173" s="2" t="s">
        <v>188</v>
      </c>
      <c r="EN173" s="2" t="s">
        <v>214</v>
      </c>
      <c r="EP173" s="2" t="s">
        <v>230</v>
      </c>
      <c r="ER173" s="2" t="s">
        <v>187</v>
      </c>
      <c r="ET173" s="2" t="s">
        <v>188</v>
      </c>
      <c r="EV173" s="2" t="s">
        <v>188</v>
      </c>
      <c r="EX173" s="2" t="s">
        <v>187</v>
      </c>
      <c r="EY173" s="2" t="s">
        <v>189</v>
      </c>
      <c r="EZ173" s="2" t="s">
        <v>187</v>
      </c>
      <c r="FA173" s="2" t="s">
        <v>1395</v>
      </c>
      <c r="FB173" s="2" t="s">
        <v>189</v>
      </c>
      <c r="FC173" s="2" t="s">
        <v>216</v>
      </c>
      <c r="FD173" s="2" t="s">
        <v>188</v>
      </c>
      <c r="FH173" s="2" t="s">
        <v>188</v>
      </c>
      <c r="FJ173" s="2" t="s">
        <v>187</v>
      </c>
      <c r="FK173" s="2" t="s">
        <v>209</v>
      </c>
      <c r="FL173" s="2" t="s">
        <v>319</v>
      </c>
      <c r="FN173" s="2" t="s">
        <v>304</v>
      </c>
      <c r="FT173" s="2" t="s">
        <v>219</v>
      </c>
      <c r="FU173" s="2" t="s">
        <v>233</v>
      </c>
      <c r="FV173" s="2" t="s">
        <v>233</v>
      </c>
      <c r="FW173" s="2" t="s">
        <v>233</v>
      </c>
      <c r="FZ173" s="4">
        <v>46039.693761574075</v>
      </c>
    </row>
    <row r="174" spans="1:182">
      <c r="A174" s="2" t="s">
        <v>1396</v>
      </c>
      <c r="D174" s="4">
        <v>46296.475023148145</v>
      </c>
      <c r="E174" s="2" t="s">
        <v>1397</v>
      </c>
      <c r="F174" s="2" t="s">
        <v>398</v>
      </c>
      <c r="G174" s="2" t="s">
        <v>1206</v>
      </c>
      <c r="H174" s="2" t="s">
        <v>1263</v>
      </c>
      <c r="I174" s="2" t="s">
        <v>1398</v>
      </c>
      <c r="J174" s="2">
        <v>367856651</v>
      </c>
      <c r="K174" s="2" t="s">
        <v>1398</v>
      </c>
      <c r="L174" s="2" t="s">
        <v>182</v>
      </c>
      <c r="M174" s="2" t="s">
        <v>183</v>
      </c>
      <c r="N174" s="2">
        <v>1966</v>
      </c>
      <c r="O174" s="2" t="s">
        <v>224</v>
      </c>
      <c r="P174" s="2" t="s">
        <v>185</v>
      </c>
      <c r="Q174" s="2" t="s">
        <v>270</v>
      </c>
      <c r="R174" s="2" t="s">
        <v>188</v>
      </c>
      <c r="S174" s="2">
        <v>20</v>
      </c>
      <c r="T174" s="2" t="s">
        <v>188</v>
      </c>
      <c r="U174" s="2" t="s">
        <v>188</v>
      </c>
      <c r="Y174" s="2">
        <v>1300</v>
      </c>
      <c r="Z174" s="2">
        <v>0.92310000000000003</v>
      </c>
      <c r="AA174" s="2">
        <v>1200</v>
      </c>
      <c r="AB174" s="2">
        <v>1200</v>
      </c>
      <c r="AC174" s="2">
        <v>1200</v>
      </c>
      <c r="AD174" s="2">
        <v>1500</v>
      </c>
      <c r="AE174" s="2">
        <v>300</v>
      </c>
      <c r="AF174" s="2" t="s">
        <v>188</v>
      </c>
      <c r="AG174" s="2" t="s">
        <v>188</v>
      </c>
      <c r="AH174" s="2" t="s">
        <v>188</v>
      </c>
      <c r="AJ174" s="2" t="s">
        <v>188</v>
      </c>
      <c r="AK174" s="2" t="s">
        <v>188</v>
      </c>
      <c r="AL174" s="2" t="s">
        <v>187</v>
      </c>
      <c r="AM174" s="2" t="s">
        <v>188</v>
      </c>
      <c r="AN174" s="2" t="s">
        <v>188</v>
      </c>
      <c r="AO174" s="2" t="s">
        <v>188</v>
      </c>
      <c r="AR174" s="2">
        <v>4</v>
      </c>
      <c r="AS174" s="2">
        <v>1</v>
      </c>
      <c r="AT174" s="2">
        <v>16</v>
      </c>
      <c r="AU174" s="2" t="s">
        <v>189</v>
      </c>
      <c r="AV174" s="2" t="s">
        <v>189</v>
      </c>
      <c r="AW174" s="2" t="s">
        <v>188</v>
      </c>
      <c r="BC174" s="2" t="s">
        <v>192</v>
      </c>
      <c r="BD174" s="2" t="s">
        <v>187</v>
      </c>
      <c r="BE174" s="2" t="s">
        <v>188</v>
      </c>
      <c r="BL174" s="2" t="s">
        <v>197</v>
      </c>
      <c r="BM174" s="2" t="s">
        <v>198</v>
      </c>
      <c r="BN174" s="2" t="s">
        <v>199</v>
      </c>
      <c r="BO174" s="2" t="s">
        <v>188</v>
      </c>
      <c r="BQ174" s="2" t="s">
        <v>227</v>
      </c>
      <c r="BS174" s="2" t="s">
        <v>187</v>
      </c>
      <c r="BT174" s="2" t="s">
        <v>261</v>
      </c>
      <c r="BV174" s="2" t="s">
        <v>587</v>
      </c>
      <c r="BX174" s="2" t="s">
        <v>188</v>
      </c>
      <c r="BY174" s="2" t="s">
        <v>1399</v>
      </c>
      <c r="BZ174" s="2" t="s">
        <v>188</v>
      </c>
      <c r="CE174" s="2">
        <v>16</v>
      </c>
      <c r="CF174" s="2">
        <v>1500</v>
      </c>
      <c r="CM174" s="2">
        <v>100</v>
      </c>
      <c r="CP174" s="2">
        <v>100</v>
      </c>
      <c r="CR174" s="2" t="s">
        <v>204</v>
      </c>
      <c r="CT174" s="2" t="s">
        <v>188</v>
      </c>
      <c r="CU174" s="2" t="s">
        <v>205</v>
      </c>
      <c r="CW174" s="2" t="s">
        <v>206</v>
      </c>
      <c r="CY174" s="2" t="s">
        <v>207</v>
      </c>
      <c r="CZ174" s="2" t="s">
        <v>207</v>
      </c>
      <c r="DA174" s="2" t="s">
        <v>207</v>
      </c>
      <c r="DB174" s="2" t="s">
        <v>207</v>
      </c>
      <c r="DC174" s="2" t="s">
        <v>207</v>
      </c>
      <c r="DD174" s="2" t="s">
        <v>300</v>
      </c>
      <c r="DE174" s="2" t="s">
        <v>300</v>
      </c>
      <c r="DF174" s="2" t="s">
        <v>207</v>
      </c>
      <c r="DG174" s="2" t="s">
        <v>207</v>
      </c>
      <c r="DH174" s="2" t="s">
        <v>207</v>
      </c>
      <c r="DI174" s="2" t="s">
        <v>207</v>
      </c>
      <c r="DL174" s="2" t="s">
        <v>187</v>
      </c>
      <c r="DM174" s="2" t="s">
        <v>187</v>
      </c>
      <c r="DN174" s="2" t="s">
        <v>187</v>
      </c>
      <c r="DO174" s="2" t="s">
        <v>187</v>
      </c>
      <c r="DP174" s="2" t="s">
        <v>209</v>
      </c>
      <c r="DQ174" s="2" t="s">
        <v>467</v>
      </c>
      <c r="DR174" s="2" t="s">
        <v>1400</v>
      </c>
      <c r="DT174" s="2" t="s">
        <v>209</v>
      </c>
      <c r="DU174" s="2" t="s">
        <v>209</v>
      </c>
      <c r="DV174" s="2" t="s">
        <v>209</v>
      </c>
      <c r="DW174" s="2" t="s">
        <v>209</v>
      </c>
      <c r="DX174" s="2" t="s">
        <v>209</v>
      </c>
      <c r="DY174" s="2" t="s">
        <v>209</v>
      </c>
      <c r="DZ174" s="2" t="s">
        <v>209</v>
      </c>
      <c r="EA174" s="2" t="s">
        <v>209</v>
      </c>
      <c r="EB174" s="2" t="s">
        <v>209</v>
      </c>
      <c r="EC174" s="2" t="s">
        <v>188</v>
      </c>
      <c r="EF174" s="2" t="s">
        <v>189</v>
      </c>
      <c r="EG174" s="2" t="s">
        <v>1401</v>
      </c>
      <c r="EJ174" s="2" t="s">
        <v>189</v>
      </c>
      <c r="EK174" s="2" t="s">
        <v>187</v>
      </c>
      <c r="EL174" s="2" t="s">
        <v>188</v>
      </c>
      <c r="EN174" s="2" t="s">
        <v>214</v>
      </c>
      <c r="EP174" s="2" t="s">
        <v>230</v>
      </c>
      <c r="ER174" s="2" t="s">
        <v>187</v>
      </c>
      <c r="ET174" s="2" t="s">
        <v>188</v>
      </c>
      <c r="EV174" s="2" t="s">
        <v>187</v>
      </c>
      <c r="EW174" s="2" t="s">
        <v>189</v>
      </c>
      <c r="EX174" s="2" t="s">
        <v>187</v>
      </c>
      <c r="EY174" s="2" t="s">
        <v>189</v>
      </c>
      <c r="EZ174" s="2" t="s">
        <v>188</v>
      </c>
      <c r="FC174" s="2" t="s">
        <v>216</v>
      </c>
      <c r="FD174" s="2" t="s">
        <v>188</v>
      </c>
      <c r="FH174" s="2" t="s">
        <v>188</v>
      </c>
      <c r="FJ174" s="2" t="s">
        <v>188</v>
      </c>
      <c r="FK174" s="2" t="s">
        <v>188</v>
      </c>
      <c r="FR174" s="2" t="s">
        <v>1402</v>
      </c>
      <c r="FT174" s="2" t="s">
        <v>233</v>
      </c>
      <c r="FU174" s="2" t="s">
        <v>233</v>
      </c>
      <c r="FV174" s="2" t="s">
        <v>233</v>
      </c>
      <c r="FW174" s="2" t="s">
        <v>233</v>
      </c>
      <c r="FX174" s="2" t="s">
        <v>233</v>
      </c>
      <c r="FY174" s="2" t="s">
        <v>1403</v>
      </c>
      <c r="FZ174" s="4">
        <v>46038.604085648149</v>
      </c>
    </row>
    <row r="175" spans="1:182">
      <c r="A175" s="2" t="s">
        <v>1404</v>
      </c>
      <c r="D175" s="4">
        <v>46296.476111111115</v>
      </c>
      <c r="E175" s="2" t="s">
        <v>1405</v>
      </c>
      <c r="F175" s="2" t="s">
        <v>425</v>
      </c>
      <c r="G175" s="2" t="s">
        <v>1206</v>
      </c>
      <c r="H175" s="2" t="s">
        <v>1263</v>
      </c>
      <c r="I175" s="2" t="s">
        <v>1406</v>
      </c>
      <c r="J175" s="2">
        <v>703905899</v>
      </c>
      <c r="K175" s="2" t="s">
        <v>1406</v>
      </c>
      <c r="L175" s="2" t="s">
        <v>182</v>
      </c>
      <c r="M175" s="2" t="s">
        <v>183</v>
      </c>
      <c r="N175" s="2">
        <v>1991</v>
      </c>
      <c r="O175" s="2" t="s">
        <v>224</v>
      </c>
      <c r="P175" s="2" t="s">
        <v>185</v>
      </c>
      <c r="Q175" s="2" t="s">
        <v>739</v>
      </c>
      <c r="R175" s="2" t="s">
        <v>188</v>
      </c>
      <c r="S175" s="2">
        <v>22</v>
      </c>
      <c r="T175" s="2" t="s">
        <v>188</v>
      </c>
      <c r="U175" s="2" t="s">
        <v>188</v>
      </c>
      <c r="Y175" s="2">
        <v>560</v>
      </c>
      <c r="Z175" s="2">
        <v>0.92859999999999998</v>
      </c>
      <c r="AA175" s="2">
        <v>520</v>
      </c>
      <c r="AB175" s="2">
        <v>520</v>
      </c>
      <c r="AC175" s="2">
        <v>520</v>
      </c>
      <c r="AD175" s="2">
        <v>680</v>
      </c>
      <c r="AE175" s="2">
        <v>160</v>
      </c>
      <c r="AF175" s="2" t="s">
        <v>188</v>
      </c>
      <c r="AG175" s="2" t="s">
        <v>188</v>
      </c>
      <c r="AH175" s="2" t="s">
        <v>188</v>
      </c>
      <c r="AJ175" s="2" t="s">
        <v>188</v>
      </c>
      <c r="AK175" s="2" t="s">
        <v>188</v>
      </c>
      <c r="AL175" s="2" t="s">
        <v>188</v>
      </c>
      <c r="AM175" s="2" t="s">
        <v>188</v>
      </c>
      <c r="AN175" s="2" t="s">
        <v>187</v>
      </c>
      <c r="AO175" s="2" t="s">
        <v>188</v>
      </c>
      <c r="AR175" s="2">
        <v>1.2</v>
      </c>
      <c r="AS175" s="2">
        <v>3</v>
      </c>
      <c r="AT175" s="2">
        <v>6.8</v>
      </c>
      <c r="AU175" s="2" t="s">
        <v>189</v>
      </c>
      <c r="AV175" s="2" t="s">
        <v>189</v>
      </c>
      <c r="AW175" s="2" t="s">
        <v>188</v>
      </c>
      <c r="AZ175" s="2" t="s">
        <v>476</v>
      </c>
      <c r="BB175" s="2" t="s">
        <v>332</v>
      </c>
      <c r="BC175" s="2" t="s">
        <v>296</v>
      </c>
      <c r="BD175" s="2" t="s">
        <v>187</v>
      </c>
      <c r="BE175" s="2" t="s">
        <v>187</v>
      </c>
      <c r="BF175" s="2" t="s">
        <v>193</v>
      </c>
      <c r="BG175" s="2" t="s">
        <v>194</v>
      </c>
      <c r="BH175" s="2" t="s">
        <v>297</v>
      </c>
      <c r="BI175" s="2" t="s">
        <v>333</v>
      </c>
      <c r="BL175" s="2" t="s">
        <v>240</v>
      </c>
      <c r="BO175" s="2" t="s">
        <v>188</v>
      </c>
      <c r="BQ175" s="2" t="s">
        <v>200</v>
      </c>
      <c r="BS175" s="2" t="s">
        <v>187</v>
      </c>
      <c r="BT175" s="2" t="s">
        <v>69</v>
      </c>
      <c r="BU175" s="2" t="s">
        <v>845</v>
      </c>
      <c r="BV175" s="2" t="s">
        <v>567</v>
      </c>
      <c r="BX175" s="2" t="s">
        <v>188</v>
      </c>
      <c r="BZ175" s="2" t="s">
        <v>188</v>
      </c>
      <c r="CE175" s="2">
        <v>6.8</v>
      </c>
      <c r="CF175" s="2">
        <v>680</v>
      </c>
      <c r="CK175" s="2">
        <v>100</v>
      </c>
      <c r="CO175" s="2">
        <v>100</v>
      </c>
      <c r="CR175" s="2" t="s">
        <v>343</v>
      </c>
      <c r="CT175" s="2" t="s">
        <v>188</v>
      </c>
      <c r="CU175" s="2" t="s">
        <v>205</v>
      </c>
      <c r="CW175" s="2" t="s">
        <v>206</v>
      </c>
      <c r="CY175" s="2" t="s">
        <v>207</v>
      </c>
      <c r="CZ175" s="2" t="s">
        <v>207</v>
      </c>
      <c r="DA175" s="2" t="s">
        <v>300</v>
      </c>
      <c r="DB175" s="2" t="s">
        <v>430</v>
      </c>
      <c r="DC175" s="2" t="s">
        <v>300</v>
      </c>
      <c r="DD175" s="2" t="s">
        <v>430</v>
      </c>
      <c r="DE175" s="2" t="s">
        <v>300</v>
      </c>
      <c r="DF175" s="2" t="s">
        <v>300</v>
      </c>
      <c r="DG175" s="2" t="s">
        <v>300</v>
      </c>
      <c r="DH175" s="2" t="s">
        <v>300</v>
      </c>
      <c r="DI175" s="2" t="s">
        <v>300</v>
      </c>
      <c r="DL175" s="2" t="s">
        <v>188</v>
      </c>
      <c r="DM175" s="2" t="s">
        <v>188</v>
      </c>
      <c r="DP175" s="2" t="s">
        <v>188</v>
      </c>
      <c r="DT175" s="2" t="s">
        <v>203</v>
      </c>
      <c r="DU175" s="2" t="s">
        <v>203</v>
      </c>
      <c r="DV175" s="2" t="s">
        <v>203</v>
      </c>
      <c r="DW175" s="2" t="s">
        <v>203</v>
      </c>
      <c r="DX175" s="2" t="s">
        <v>203</v>
      </c>
      <c r="DY175" s="2" t="s">
        <v>203</v>
      </c>
      <c r="DZ175" s="2" t="s">
        <v>203</v>
      </c>
      <c r="EA175" s="2" t="s">
        <v>203</v>
      </c>
      <c r="EB175" s="2" t="s">
        <v>203</v>
      </c>
      <c r="EC175" s="2" t="s">
        <v>203</v>
      </c>
      <c r="EF175" s="2" t="s">
        <v>302</v>
      </c>
      <c r="EG175" s="2" t="s">
        <v>1407</v>
      </c>
      <c r="EJ175" s="2" t="s">
        <v>189</v>
      </c>
      <c r="EK175" s="2" t="s">
        <v>188</v>
      </c>
      <c r="EL175" s="2" t="s">
        <v>188</v>
      </c>
      <c r="EN175" s="2" t="s">
        <v>255</v>
      </c>
      <c r="EP175" s="2" t="s">
        <v>230</v>
      </c>
      <c r="ER175" s="2" t="s">
        <v>188</v>
      </c>
      <c r="ET175" s="2" t="s">
        <v>188</v>
      </c>
      <c r="EV175" s="2" t="s">
        <v>188</v>
      </c>
      <c r="EX175" s="2" t="s">
        <v>188</v>
      </c>
      <c r="EZ175" s="2" t="s">
        <v>188</v>
      </c>
      <c r="FC175" s="2" t="s">
        <v>263</v>
      </c>
      <c r="FD175" s="2" t="s">
        <v>188</v>
      </c>
      <c r="FH175" s="2" t="s">
        <v>188</v>
      </c>
      <c r="FJ175" s="2" t="s">
        <v>188</v>
      </c>
      <c r="FK175" s="2" t="s">
        <v>188</v>
      </c>
      <c r="FR175" s="2" t="s">
        <v>1408</v>
      </c>
      <c r="FT175" s="2" t="s">
        <v>490</v>
      </c>
      <c r="FU175" s="2" t="s">
        <v>219</v>
      </c>
      <c r="FV175" s="2" t="s">
        <v>219</v>
      </c>
      <c r="FW175" s="2" t="s">
        <v>219</v>
      </c>
      <c r="FZ175" s="4">
        <v>46041.646562499998</v>
      </c>
    </row>
    <row r="176" spans="1:182">
      <c r="A176" s="2" t="s">
        <v>1409</v>
      </c>
      <c r="D176" s="4">
        <v>46296.476458333331</v>
      </c>
      <c r="E176" s="2" t="s">
        <v>1410</v>
      </c>
      <c r="F176" s="2" t="s">
        <v>398</v>
      </c>
      <c r="G176" s="2" t="s">
        <v>1206</v>
      </c>
      <c r="H176" s="2" t="s">
        <v>1263</v>
      </c>
      <c r="I176" s="2" t="s">
        <v>1411</v>
      </c>
      <c r="J176" s="2">
        <v>962179330</v>
      </c>
      <c r="K176" s="2" t="s">
        <v>1412</v>
      </c>
      <c r="L176" s="2" t="s">
        <v>182</v>
      </c>
      <c r="M176" s="2" t="s">
        <v>223</v>
      </c>
      <c r="N176" s="2">
        <v>1996</v>
      </c>
      <c r="O176" s="2" t="s">
        <v>224</v>
      </c>
      <c r="P176" s="2" t="s">
        <v>225</v>
      </c>
      <c r="Q176" s="2" t="s">
        <v>226</v>
      </c>
      <c r="R176" s="2" t="s">
        <v>188</v>
      </c>
      <c r="S176" s="2">
        <v>6</v>
      </c>
      <c r="T176" s="2" t="s">
        <v>188</v>
      </c>
      <c r="U176" s="2" t="s">
        <v>188</v>
      </c>
      <c r="Y176" s="2">
        <v>290</v>
      </c>
      <c r="Z176" s="2">
        <v>0.62070000000000003</v>
      </c>
      <c r="AA176" s="2">
        <v>180</v>
      </c>
      <c r="AB176" s="2">
        <v>180</v>
      </c>
      <c r="AC176" s="2">
        <v>180</v>
      </c>
      <c r="AD176" s="2">
        <v>205</v>
      </c>
      <c r="AE176" s="2">
        <v>25</v>
      </c>
      <c r="AF176" s="2" t="s">
        <v>188</v>
      </c>
      <c r="AG176" s="2" t="s">
        <v>188</v>
      </c>
      <c r="AH176" s="2" t="s">
        <v>188</v>
      </c>
      <c r="AJ176" s="2" t="s">
        <v>188</v>
      </c>
      <c r="AK176" s="2" t="s">
        <v>188</v>
      </c>
      <c r="AL176" s="2" t="s">
        <v>187</v>
      </c>
      <c r="AM176" s="2" t="s">
        <v>187</v>
      </c>
      <c r="AN176" s="2" t="s">
        <v>188</v>
      </c>
      <c r="AO176" s="2" t="s">
        <v>188</v>
      </c>
      <c r="AR176" s="2">
        <v>0.5</v>
      </c>
      <c r="AS176" s="2">
        <v>1</v>
      </c>
      <c r="AT176" s="2">
        <v>2</v>
      </c>
      <c r="AU176" s="2" t="s">
        <v>189</v>
      </c>
      <c r="AV176" s="2" t="s">
        <v>189</v>
      </c>
      <c r="AW176" s="2" t="s">
        <v>188</v>
      </c>
      <c r="AZ176" s="2" t="s">
        <v>190</v>
      </c>
      <c r="BB176" s="2" t="s">
        <v>260</v>
      </c>
      <c r="BC176" s="2" t="s">
        <v>296</v>
      </c>
      <c r="BD176" s="2" t="s">
        <v>187</v>
      </c>
      <c r="BE176" s="2" t="s">
        <v>187</v>
      </c>
      <c r="BF176" s="2" t="s">
        <v>193</v>
      </c>
      <c r="BG176" s="2" t="s">
        <v>194</v>
      </c>
      <c r="BH176" s="2" t="s">
        <v>195</v>
      </c>
      <c r="BI176" s="2" t="s">
        <v>196</v>
      </c>
      <c r="BL176" s="2" t="s">
        <v>240</v>
      </c>
      <c r="BO176" s="2" t="s">
        <v>188</v>
      </c>
      <c r="BQ176" s="2" t="s">
        <v>200</v>
      </c>
      <c r="BS176" s="2" t="s">
        <v>187</v>
      </c>
      <c r="BT176" s="2" t="s">
        <v>201</v>
      </c>
      <c r="BV176" s="2" t="s">
        <v>567</v>
      </c>
      <c r="BX176" s="2" t="s">
        <v>188</v>
      </c>
      <c r="BY176" s="2" t="s">
        <v>1413</v>
      </c>
      <c r="BZ176" s="2" t="s">
        <v>188</v>
      </c>
      <c r="CE176" s="2">
        <v>2</v>
      </c>
      <c r="CF176" s="2">
        <v>205</v>
      </c>
      <c r="CK176" s="2">
        <v>100</v>
      </c>
      <c r="CP176" s="2">
        <v>100</v>
      </c>
      <c r="CR176" s="2" t="s">
        <v>204</v>
      </c>
      <c r="CT176" s="2" t="s">
        <v>188</v>
      </c>
      <c r="CU176" s="2" t="s">
        <v>205</v>
      </c>
      <c r="CW176" s="2" t="s">
        <v>206</v>
      </c>
      <c r="CY176" s="2" t="s">
        <v>300</v>
      </c>
      <c r="CZ176" s="2" t="s">
        <v>300</v>
      </c>
      <c r="DA176" s="2" t="s">
        <v>300</v>
      </c>
      <c r="DB176" s="2" t="s">
        <v>300</v>
      </c>
      <c r="DC176" s="2" t="s">
        <v>300</v>
      </c>
      <c r="DD176" s="2" t="s">
        <v>300</v>
      </c>
      <c r="DE176" s="2" t="s">
        <v>300</v>
      </c>
      <c r="DF176" s="2" t="s">
        <v>300</v>
      </c>
      <c r="DG176" s="2" t="s">
        <v>300</v>
      </c>
      <c r="DH176" s="2" t="s">
        <v>300</v>
      </c>
      <c r="DI176" s="2" t="s">
        <v>300</v>
      </c>
      <c r="DL176" s="2" t="s">
        <v>188</v>
      </c>
      <c r="DM176" s="2" t="s">
        <v>188</v>
      </c>
      <c r="DP176" s="2" t="s">
        <v>203</v>
      </c>
      <c r="DT176" s="2" t="s">
        <v>203</v>
      </c>
      <c r="DU176" s="2" t="s">
        <v>203</v>
      </c>
      <c r="DV176" s="2" t="s">
        <v>203</v>
      </c>
      <c r="DW176" s="2" t="s">
        <v>203</v>
      </c>
      <c r="DX176" s="2" t="s">
        <v>203</v>
      </c>
      <c r="DY176" s="2" t="s">
        <v>203</v>
      </c>
      <c r="DZ176" s="2" t="s">
        <v>203</v>
      </c>
      <c r="EA176" s="2" t="s">
        <v>203</v>
      </c>
      <c r="EB176" s="2" t="s">
        <v>203</v>
      </c>
      <c r="EC176" s="2" t="s">
        <v>203</v>
      </c>
      <c r="ED176" s="2" t="s">
        <v>203</v>
      </c>
      <c r="EE176" s="2" t="s">
        <v>1414</v>
      </c>
      <c r="EF176" s="2" t="s">
        <v>302</v>
      </c>
      <c r="EG176" s="2" t="s">
        <v>1415</v>
      </c>
      <c r="EJ176" s="2" t="s">
        <v>238</v>
      </c>
      <c r="EK176" s="2" t="s">
        <v>188</v>
      </c>
      <c r="EL176" s="2" t="s">
        <v>188</v>
      </c>
      <c r="EN176" s="2" t="s">
        <v>255</v>
      </c>
      <c r="EP176" s="2" t="s">
        <v>230</v>
      </c>
      <c r="ER176" s="2" t="s">
        <v>188</v>
      </c>
      <c r="ET176" s="2" t="s">
        <v>188</v>
      </c>
      <c r="EV176" s="2" t="s">
        <v>188</v>
      </c>
      <c r="EX176" s="2" t="s">
        <v>188</v>
      </c>
      <c r="EZ176" s="2" t="s">
        <v>188</v>
      </c>
      <c r="FC176" s="2" t="s">
        <v>216</v>
      </c>
      <c r="FD176" s="2" t="s">
        <v>188</v>
      </c>
      <c r="FH176" s="2" t="s">
        <v>188</v>
      </c>
      <c r="FJ176" s="2" t="s">
        <v>188</v>
      </c>
      <c r="FK176" s="2" t="s">
        <v>188</v>
      </c>
      <c r="FR176" s="2" t="s">
        <v>1416</v>
      </c>
      <c r="FT176" s="2" t="s">
        <v>233</v>
      </c>
      <c r="FU176" s="2" t="s">
        <v>233</v>
      </c>
      <c r="FV176" s="2" t="s">
        <v>233</v>
      </c>
      <c r="FW176" s="2" t="s">
        <v>233</v>
      </c>
      <c r="FX176" s="2" t="s">
        <v>233</v>
      </c>
      <c r="FY176" s="2" t="s">
        <v>1417</v>
      </c>
      <c r="FZ176" s="4">
        <v>46038.612233796295</v>
      </c>
    </row>
    <row r="177" spans="1:182">
      <c r="A177" s="2" t="s">
        <v>1418</v>
      </c>
      <c r="D177" s="4">
        <v>46296.46738425926</v>
      </c>
      <c r="E177" s="2" t="s">
        <v>1419</v>
      </c>
      <c r="F177" s="2" t="s">
        <v>480</v>
      </c>
      <c r="G177" s="2" t="s">
        <v>1206</v>
      </c>
      <c r="H177" s="2" t="s">
        <v>1212</v>
      </c>
      <c r="I177" s="2" t="s">
        <v>1420</v>
      </c>
      <c r="J177" s="2">
        <v>974724508</v>
      </c>
      <c r="K177" s="2" t="s">
        <v>1420</v>
      </c>
      <c r="L177" s="2" t="s">
        <v>182</v>
      </c>
      <c r="M177" s="2" t="s">
        <v>183</v>
      </c>
      <c r="N177" s="2">
        <v>1985</v>
      </c>
      <c r="O177" s="2" t="s">
        <v>184</v>
      </c>
      <c r="P177" s="2" t="s">
        <v>185</v>
      </c>
      <c r="Q177" s="2" t="s">
        <v>270</v>
      </c>
      <c r="R177" s="2" t="s">
        <v>188</v>
      </c>
      <c r="S177" s="2">
        <v>4</v>
      </c>
      <c r="T177" s="2" t="s">
        <v>188</v>
      </c>
      <c r="U177" s="2" t="s">
        <v>188</v>
      </c>
      <c r="Y177" s="2">
        <v>102</v>
      </c>
      <c r="Z177" s="2">
        <v>0.80389999999999995</v>
      </c>
      <c r="AA177" s="2">
        <v>82</v>
      </c>
      <c r="AB177" s="2">
        <v>37</v>
      </c>
      <c r="AC177" s="2">
        <v>37</v>
      </c>
      <c r="AD177" s="2">
        <v>49</v>
      </c>
      <c r="AE177" s="2">
        <v>12</v>
      </c>
      <c r="AF177" s="2" t="s">
        <v>188</v>
      </c>
      <c r="AG177" s="2" t="s">
        <v>188</v>
      </c>
      <c r="AH177" s="2" t="s">
        <v>188</v>
      </c>
      <c r="AJ177" s="2" t="s">
        <v>188</v>
      </c>
      <c r="AK177" s="2" t="s">
        <v>187</v>
      </c>
      <c r="AL177" s="2" t="s">
        <v>188</v>
      </c>
      <c r="AM177" s="2" t="s">
        <v>187</v>
      </c>
      <c r="AN177" s="2" t="s">
        <v>188</v>
      </c>
      <c r="AO177" s="2" t="s">
        <v>188</v>
      </c>
      <c r="AR177" s="2">
        <v>0.8</v>
      </c>
      <c r="AS177" s="2">
        <v>1</v>
      </c>
      <c r="AT177" s="2">
        <v>0.5</v>
      </c>
      <c r="AU177" s="2" t="s">
        <v>238</v>
      </c>
      <c r="AV177" s="2" t="s">
        <v>238</v>
      </c>
      <c r="AW177" s="2" t="s">
        <v>188</v>
      </c>
      <c r="AZ177" s="2" t="s">
        <v>190</v>
      </c>
      <c r="BB177" s="2" t="s">
        <v>260</v>
      </c>
      <c r="BC177" s="2" t="s">
        <v>192</v>
      </c>
      <c r="BD177" s="2" t="s">
        <v>188</v>
      </c>
      <c r="BE177" s="2" t="s">
        <v>187</v>
      </c>
      <c r="BF177" s="2" t="s">
        <v>193</v>
      </c>
      <c r="BG177" s="2" t="s">
        <v>194</v>
      </c>
      <c r="BH177" s="2" t="s">
        <v>195</v>
      </c>
      <c r="BI177" s="2" t="s">
        <v>196</v>
      </c>
      <c r="BL177" s="2" t="s">
        <v>240</v>
      </c>
      <c r="BO177" s="2" t="s">
        <v>188</v>
      </c>
      <c r="BQ177" s="2" t="s">
        <v>200</v>
      </c>
      <c r="BS177" s="2" t="s">
        <v>188</v>
      </c>
      <c r="BT177" s="2" t="s">
        <v>484</v>
      </c>
      <c r="BV177" s="2" t="s">
        <v>401</v>
      </c>
      <c r="BX177" s="2" t="s">
        <v>187</v>
      </c>
      <c r="BY177" s="2" t="s">
        <v>1421</v>
      </c>
      <c r="BZ177" s="2" t="s">
        <v>203</v>
      </c>
      <c r="CE177" s="2">
        <v>0.5</v>
      </c>
      <c r="CF177" s="2">
        <v>49</v>
      </c>
      <c r="CK177" s="2">
        <v>100</v>
      </c>
      <c r="CO177" s="2">
        <v>100</v>
      </c>
      <c r="CR177" s="2" t="s">
        <v>511</v>
      </c>
      <c r="CT177" s="2" t="s">
        <v>188</v>
      </c>
      <c r="CU177" s="2" t="s">
        <v>205</v>
      </c>
      <c r="CW177" s="2" t="s">
        <v>206</v>
      </c>
      <c r="CY177" s="2" t="s">
        <v>300</v>
      </c>
      <c r="CZ177" s="2" t="s">
        <v>300</v>
      </c>
      <c r="DA177" s="2" t="s">
        <v>300</v>
      </c>
      <c r="DB177" s="2" t="s">
        <v>300</v>
      </c>
      <c r="DC177" s="2" t="s">
        <v>988</v>
      </c>
      <c r="DD177" s="2" t="s">
        <v>988</v>
      </c>
      <c r="DE177" s="2" t="s">
        <v>299</v>
      </c>
      <c r="DF177" s="2" t="s">
        <v>299</v>
      </c>
      <c r="DG177" s="2" t="s">
        <v>299</v>
      </c>
      <c r="DH177" s="2" t="s">
        <v>299</v>
      </c>
      <c r="DI177" s="2" t="s">
        <v>299</v>
      </c>
      <c r="DL177" s="2" t="s">
        <v>187</v>
      </c>
      <c r="DM177" s="2" t="s">
        <v>187</v>
      </c>
      <c r="DN177" s="2" t="s">
        <v>187</v>
      </c>
      <c r="DO177" s="2" t="s">
        <v>187</v>
      </c>
      <c r="DP177" s="2" t="s">
        <v>209</v>
      </c>
      <c r="DQ177" s="2" t="s">
        <v>210</v>
      </c>
      <c r="DT177" s="2" t="s">
        <v>203</v>
      </c>
      <c r="DU177" s="2" t="s">
        <v>203</v>
      </c>
      <c r="DV177" s="2" t="s">
        <v>203</v>
      </c>
      <c r="DW177" s="2" t="s">
        <v>203</v>
      </c>
      <c r="DX177" s="2" t="s">
        <v>203</v>
      </c>
      <c r="DY177" s="2" t="s">
        <v>203</v>
      </c>
      <c r="DZ177" s="2" t="s">
        <v>203</v>
      </c>
      <c r="EA177" s="2" t="s">
        <v>203</v>
      </c>
      <c r="EB177" s="2" t="s">
        <v>203</v>
      </c>
      <c r="EC177" s="2" t="s">
        <v>203</v>
      </c>
      <c r="ED177" s="2" t="s">
        <v>203</v>
      </c>
      <c r="EF177" s="2" t="s">
        <v>496</v>
      </c>
      <c r="EG177" s="2" t="s">
        <v>1422</v>
      </c>
      <c r="EJ177" s="2" t="s">
        <v>238</v>
      </c>
      <c r="EK177" s="2" t="s">
        <v>188</v>
      </c>
      <c r="EL177" s="2" t="s">
        <v>188</v>
      </c>
      <c r="EN177" s="2" t="s">
        <v>255</v>
      </c>
      <c r="EP177" s="2" t="s">
        <v>230</v>
      </c>
      <c r="ER177" s="2" t="s">
        <v>188</v>
      </c>
      <c r="ET177" s="2" t="s">
        <v>188</v>
      </c>
      <c r="EV177" s="2" t="s">
        <v>188</v>
      </c>
      <c r="EX177" s="2" t="s">
        <v>188</v>
      </c>
      <c r="EZ177" s="2" t="s">
        <v>188</v>
      </c>
      <c r="FC177" s="2" t="s">
        <v>263</v>
      </c>
      <c r="FD177" s="2" t="s">
        <v>188</v>
      </c>
      <c r="FH177" s="2" t="s">
        <v>188</v>
      </c>
      <c r="FJ177" s="2" t="s">
        <v>188</v>
      </c>
      <c r="FK177" s="2" t="s">
        <v>188</v>
      </c>
      <c r="FN177" s="2" t="s">
        <v>488</v>
      </c>
      <c r="FR177" s="2" t="s">
        <v>1423</v>
      </c>
      <c r="FT177" s="2" t="s">
        <v>233</v>
      </c>
      <c r="FU177" s="2" t="s">
        <v>233</v>
      </c>
      <c r="FV177" s="2" t="s">
        <v>233</v>
      </c>
      <c r="FW177" s="2" t="s">
        <v>233</v>
      </c>
      <c r="FZ177" s="4">
        <v>46048.825023148151</v>
      </c>
    </row>
    <row r="178" spans="1:182">
      <c r="A178" s="2" t="s">
        <v>1424</v>
      </c>
      <c r="D178" s="4">
        <v>46296.484930555554</v>
      </c>
      <c r="E178" s="2" t="s">
        <v>1425</v>
      </c>
      <c r="F178" s="2" t="s">
        <v>590</v>
      </c>
      <c r="G178" s="2" t="s">
        <v>1206</v>
      </c>
      <c r="H178" s="2" t="s">
        <v>1219</v>
      </c>
      <c r="I178" s="2" t="s">
        <v>1426</v>
      </c>
      <c r="J178" s="2">
        <v>368718354</v>
      </c>
      <c r="K178" s="2" t="s">
        <v>1427</v>
      </c>
      <c r="L178" s="2" t="s">
        <v>182</v>
      </c>
      <c r="M178" s="2" t="s">
        <v>183</v>
      </c>
      <c r="N178" s="2">
        <v>1962</v>
      </c>
      <c r="O178" s="2" t="s">
        <v>184</v>
      </c>
      <c r="P178" s="2" t="s">
        <v>237</v>
      </c>
      <c r="Q178" s="2" t="s">
        <v>603</v>
      </c>
      <c r="R178" s="2" t="s">
        <v>188</v>
      </c>
      <c r="S178" s="2">
        <v>7</v>
      </c>
      <c r="T178" s="2" t="s">
        <v>188</v>
      </c>
      <c r="U178" s="2" t="s">
        <v>188</v>
      </c>
      <c r="Y178" s="2">
        <v>80</v>
      </c>
      <c r="Z178" s="2">
        <v>1</v>
      </c>
      <c r="AA178" s="2">
        <v>80</v>
      </c>
      <c r="AB178" s="2">
        <v>80</v>
      </c>
      <c r="AC178" s="2">
        <v>80</v>
      </c>
      <c r="AD178" s="2">
        <v>100</v>
      </c>
      <c r="AE178" s="2">
        <v>20</v>
      </c>
      <c r="AF178" s="2" t="s">
        <v>188</v>
      </c>
      <c r="AG178" s="2" t="s">
        <v>188</v>
      </c>
      <c r="AH178" s="2" t="s">
        <v>188</v>
      </c>
      <c r="AJ178" s="2" t="s">
        <v>188</v>
      </c>
      <c r="AK178" s="2" t="s">
        <v>188</v>
      </c>
      <c r="AL178" s="2" t="s">
        <v>188</v>
      </c>
      <c r="AM178" s="2" t="s">
        <v>188</v>
      </c>
      <c r="AN178" s="2" t="s">
        <v>188</v>
      </c>
      <c r="AO178" s="2" t="s">
        <v>188</v>
      </c>
      <c r="AR178" s="2">
        <v>1.4</v>
      </c>
      <c r="AS178" s="2">
        <v>3</v>
      </c>
      <c r="AT178" s="2">
        <v>1.5</v>
      </c>
      <c r="AU178" s="2" t="s">
        <v>203</v>
      </c>
      <c r="AV178" s="2" t="s">
        <v>203</v>
      </c>
      <c r="AW178" s="2" t="s">
        <v>188</v>
      </c>
      <c r="AZ178" s="2" t="s">
        <v>271</v>
      </c>
      <c r="BA178" s="2" t="s">
        <v>1144</v>
      </c>
      <c r="BB178" s="2" t="s">
        <v>260</v>
      </c>
      <c r="BC178" s="2" t="s">
        <v>192</v>
      </c>
      <c r="BD178" s="2" t="s">
        <v>188</v>
      </c>
      <c r="BE178" s="2" t="s">
        <v>188</v>
      </c>
      <c r="BL178" s="2" t="s">
        <v>197</v>
      </c>
      <c r="BM178" s="2" t="s">
        <v>507</v>
      </c>
      <c r="BN178" s="2" t="s">
        <v>199</v>
      </c>
      <c r="BO178" s="2" t="s">
        <v>188</v>
      </c>
      <c r="BQ178" s="2" t="s">
        <v>227</v>
      </c>
      <c r="BS178" s="2" t="s">
        <v>187</v>
      </c>
      <c r="BT178" s="2" t="s">
        <v>410</v>
      </c>
      <c r="BV178" s="2" t="s">
        <v>242</v>
      </c>
      <c r="BX178" s="2" t="s">
        <v>187</v>
      </c>
      <c r="BY178" s="2" t="s">
        <v>652</v>
      </c>
      <c r="BZ178" s="2" t="s">
        <v>188</v>
      </c>
      <c r="CE178" s="2">
        <v>1.5</v>
      </c>
      <c r="CF178" s="2">
        <v>100</v>
      </c>
      <c r="CM178" s="2">
        <v>100</v>
      </c>
      <c r="CO178" s="2">
        <v>100</v>
      </c>
      <c r="CR178" s="2" t="s">
        <v>204</v>
      </c>
      <c r="CT178" s="2" t="s">
        <v>188</v>
      </c>
      <c r="CU178" s="2" t="s">
        <v>205</v>
      </c>
      <c r="CW178" s="2" t="s">
        <v>206</v>
      </c>
      <c r="CY178" s="2" t="s">
        <v>300</v>
      </c>
      <c r="CZ178" s="2" t="s">
        <v>430</v>
      </c>
      <c r="DA178" s="2" t="s">
        <v>300</v>
      </c>
      <c r="DB178" s="2" t="s">
        <v>430</v>
      </c>
      <c r="DC178" s="2" t="s">
        <v>430</v>
      </c>
      <c r="DD178" s="2" t="s">
        <v>300</v>
      </c>
      <c r="DE178" s="2" t="s">
        <v>300</v>
      </c>
      <c r="DF178" s="2" t="s">
        <v>300</v>
      </c>
      <c r="DG178" s="2" t="s">
        <v>430</v>
      </c>
      <c r="DH178" s="2" t="s">
        <v>430</v>
      </c>
      <c r="DI178" s="2" t="s">
        <v>430</v>
      </c>
      <c r="DL178" s="2" t="s">
        <v>188</v>
      </c>
      <c r="DM178" s="2" t="s">
        <v>188</v>
      </c>
      <c r="DP178" s="2" t="s">
        <v>188</v>
      </c>
      <c r="DT178" s="2" t="s">
        <v>203</v>
      </c>
      <c r="DU178" s="2" t="s">
        <v>203</v>
      </c>
      <c r="DV178" s="2" t="s">
        <v>203</v>
      </c>
      <c r="DW178" s="2" t="s">
        <v>203</v>
      </c>
      <c r="DX178" s="2" t="s">
        <v>203</v>
      </c>
      <c r="DY178" s="2" t="s">
        <v>203</v>
      </c>
      <c r="DZ178" s="2" t="s">
        <v>203</v>
      </c>
      <c r="EA178" s="2" t="s">
        <v>203</v>
      </c>
      <c r="EB178" s="2" t="s">
        <v>203</v>
      </c>
      <c r="EC178" s="2" t="s">
        <v>203</v>
      </c>
      <c r="EF178" s="2" t="s">
        <v>189</v>
      </c>
      <c r="EG178" s="2" t="s">
        <v>1428</v>
      </c>
      <c r="EJ178" s="2" t="s">
        <v>203</v>
      </c>
      <c r="EK178" s="2" t="s">
        <v>188</v>
      </c>
      <c r="EL178" s="2" t="s">
        <v>188</v>
      </c>
      <c r="EN178" s="2" t="s">
        <v>214</v>
      </c>
      <c r="EP178" s="2" t="s">
        <v>230</v>
      </c>
      <c r="ER178" s="2" t="s">
        <v>188</v>
      </c>
      <c r="ET178" s="2" t="s">
        <v>188</v>
      </c>
      <c r="EV178" s="2" t="s">
        <v>188</v>
      </c>
      <c r="EX178" s="2" t="s">
        <v>188</v>
      </c>
      <c r="EZ178" s="2" t="s">
        <v>188</v>
      </c>
      <c r="FC178" s="2" t="s">
        <v>263</v>
      </c>
      <c r="FD178" s="2" t="s">
        <v>188</v>
      </c>
      <c r="FH178" s="2" t="s">
        <v>188</v>
      </c>
      <c r="FJ178" s="2" t="s">
        <v>188</v>
      </c>
      <c r="FK178" s="2" t="s">
        <v>188</v>
      </c>
      <c r="FN178" s="2" t="s">
        <v>769</v>
      </c>
      <c r="FR178" s="2" t="s">
        <v>1429</v>
      </c>
      <c r="FT178" s="2" t="s">
        <v>233</v>
      </c>
      <c r="FU178" s="2" t="s">
        <v>219</v>
      </c>
      <c r="FV178" s="2" t="s">
        <v>219</v>
      </c>
      <c r="FW178" s="2" t="s">
        <v>233</v>
      </c>
      <c r="FZ178" s="4">
        <v>46047.600381944445</v>
      </c>
    </row>
    <row r="179" spans="1:182">
      <c r="A179" s="2" t="s">
        <v>1430</v>
      </c>
      <c r="D179" s="4">
        <v>46296.484502314815</v>
      </c>
      <c r="E179" s="2" t="s">
        <v>1405</v>
      </c>
      <c r="F179" s="2" t="s">
        <v>425</v>
      </c>
      <c r="G179" s="2" t="s">
        <v>1206</v>
      </c>
      <c r="H179" s="2" t="s">
        <v>1263</v>
      </c>
      <c r="I179" s="2" t="s">
        <v>1431</v>
      </c>
      <c r="J179" s="2">
        <v>385175723</v>
      </c>
      <c r="K179" s="2" t="s">
        <v>1431</v>
      </c>
      <c r="L179" s="2" t="s">
        <v>182</v>
      </c>
      <c r="M179" s="2" t="s">
        <v>223</v>
      </c>
      <c r="N179" s="2">
        <v>1955</v>
      </c>
      <c r="O179" s="2" t="s">
        <v>224</v>
      </c>
      <c r="P179" s="2" t="s">
        <v>185</v>
      </c>
      <c r="Q179" s="2" t="s">
        <v>186</v>
      </c>
      <c r="R179" s="2" t="s">
        <v>188</v>
      </c>
      <c r="S179" s="2">
        <v>30</v>
      </c>
      <c r="T179" s="2" t="s">
        <v>188</v>
      </c>
      <c r="U179" s="2" t="s">
        <v>188</v>
      </c>
      <c r="Y179" s="2">
        <v>410</v>
      </c>
      <c r="Z179" s="2">
        <v>0.75609999999999999</v>
      </c>
      <c r="AA179" s="2">
        <v>310</v>
      </c>
      <c r="AB179" s="2">
        <v>310</v>
      </c>
      <c r="AC179" s="2">
        <v>310</v>
      </c>
      <c r="AD179" s="2">
        <v>450</v>
      </c>
      <c r="AE179" s="2">
        <v>140</v>
      </c>
      <c r="AF179" s="2" t="s">
        <v>188</v>
      </c>
      <c r="AG179" s="2" t="s">
        <v>188</v>
      </c>
      <c r="AH179" s="2" t="s">
        <v>188</v>
      </c>
      <c r="AJ179" s="2" t="s">
        <v>188</v>
      </c>
      <c r="AK179" s="2" t="s">
        <v>188</v>
      </c>
      <c r="AL179" s="2" t="s">
        <v>187</v>
      </c>
      <c r="AM179" s="2" t="s">
        <v>188</v>
      </c>
      <c r="AN179" s="2" t="s">
        <v>188</v>
      </c>
      <c r="AO179" s="2" t="s">
        <v>188</v>
      </c>
      <c r="AR179" s="2">
        <v>1</v>
      </c>
      <c r="AS179" s="2">
        <v>1</v>
      </c>
      <c r="AT179" s="2">
        <v>4.5</v>
      </c>
      <c r="AU179" s="2" t="s">
        <v>238</v>
      </c>
      <c r="AV179" s="2" t="s">
        <v>238</v>
      </c>
      <c r="AW179" s="2" t="s">
        <v>188</v>
      </c>
      <c r="AZ179" s="2" t="s">
        <v>190</v>
      </c>
      <c r="BB179" s="2" t="s">
        <v>332</v>
      </c>
      <c r="BC179" s="2" t="s">
        <v>296</v>
      </c>
      <c r="BD179" s="2" t="s">
        <v>187</v>
      </c>
      <c r="BE179" s="2" t="s">
        <v>187</v>
      </c>
      <c r="BF179" s="2" t="s">
        <v>193</v>
      </c>
      <c r="BG179" s="2" t="s">
        <v>279</v>
      </c>
      <c r="BH179" s="2" t="s">
        <v>297</v>
      </c>
      <c r="BI179" s="2" t="s">
        <v>333</v>
      </c>
      <c r="BL179" s="2" t="s">
        <v>197</v>
      </c>
      <c r="BM179" s="2" t="s">
        <v>198</v>
      </c>
      <c r="BN179" s="2" t="s">
        <v>199</v>
      </c>
      <c r="BO179" s="2" t="s">
        <v>188</v>
      </c>
      <c r="BQ179" s="2" t="s">
        <v>309</v>
      </c>
      <c r="BS179" s="2" t="s">
        <v>187</v>
      </c>
      <c r="BT179" s="2" t="s">
        <v>261</v>
      </c>
      <c r="BV179" s="2" t="s">
        <v>495</v>
      </c>
      <c r="BX179" s="2" t="s">
        <v>188</v>
      </c>
      <c r="BZ179" s="2" t="s">
        <v>188</v>
      </c>
      <c r="CE179" s="2">
        <v>4.5</v>
      </c>
      <c r="CF179" s="2">
        <v>450</v>
      </c>
      <c r="CK179" s="2">
        <v>40</v>
      </c>
      <c r="CM179" s="2">
        <v>60</v>
      </c>
      <c r="CO179" s="2">
        <v>100</v>
      </c>
      <c r="CR179" s="2" t="s">
        <v>204</v>
      </c>
      <c r="CT179" s="2" t="s">
        <v>188</v>
      </c>
      <c r="CU179" s="2" t="s">
        <v>281</v>
      </c>
      <c r="CW179" s="2" t="s">
        <v>206</v>
      </c>
      <c r="CY179" s="2" t="s">
        <v>207</v>
      </c>
      <c r="CZ179" s="2" t="s">
        <v>207</v>
      </c>
      <c r="DA179" s="2" t="s">
        <v>300</v>
      </c>
      <c r="DB179" s="2" t="s">
        <v>430</v>
      </c>
      <c r="DC179" s="2" t="s">
        <v>300</v>
      </c>
      <c r="DD179" s="2" t="s">
        <v>430</v>
      </c>
      <c r="DE179" s="2" t="s">
        <v>300</v>
      </c>
      <c r="DF179" s="2" t="s">
        <v>207</v>
      </c>
      <c r="DG179" s="2" t="s">
        <v>207</v>
      </c>
      <c r="DH179" s="2" t="s">
        <v>300</v>
      </c>
      <c r="DI179" s="2" t="s">
        <v>300</v>
      </c>
      <c r="DL179" s="2" t="s">
        <v>187</v>
      </c>
      <c r="DM179" s="2" t="s">
        <v>187</v>
      </c>
      <c r="DN179" s="2" t="s">
        <v>187</v>
      </c>
      <c r="DO179" s="2" t="s">
        <v>187</v>
      </c>
      <c r="DP179" s="2" t="s">
        <v>209</v>
      </c>
      <c r="DQ179" s="2" t="s">
        <v>467</v>
      </c>
      <c r="DR179" s="2" t="s">
        <v>1432</v>
      </c>
      <c r="DT179" s="2" t="s">
        <v>209</v>
      </c>
      <c r="DU179" s="2" t="s">
        <v>209</v>
      </c>
      <c r="DV179" s="2" t="s">
        <v>209</v>
      </c>
      <c r="DW179" s="2" t="s">
        <v>209</v>
      </c>
      <c r="DX179" s="2" t="s">
        <v>209</v>
      </c>
      <c r="DY179" s="2" t="s">
        <v>209</v>
      </c>
      <c r="DZ179" s="2" t="s">
        <v>209</v>
      </c>
      <c r="EA179" s="2" t="s">
        <v>209</v>
      </c>
      <c r="EB179" s="2" t="s">
        <v>209</v>
      </c>
      <c r="EC179" s="2" t="s">
        <v>188</v>
      </c>
      <c r="EF179" s="2" t="s">
        <v>189</v>
      </c>
      <c r="EJ179" s="2" t="s">
        <v>238</v>
      </c>
      <c r="EK179" s="2" t="s">
        <v>187</v>
      </c>
      <c r="EL179" s="2" t="s">
        <v>188</v>
      </c>
      <c r="EN179" s="2" t="s">
        <v>214</v>
      </c>
      <c r="EP179" s="2" t="s">
        <v>230</v>
      </c>
      <c r="ER179" s="2" t="s">
        <v>188</v>
      </c>
      <c r="ET179" s="2" t="s">
        <v>188</v>
      </c>
      <c r="EV179" s="2" t="s">
        <v>187</v>
      </c>
      <c r="EW179" s="2" t="s">
        <v>189</v>
      </c>
      <c r="EX179" s="2" t="s">
        <v>188</v>
      </c>
      <c r="EZ179" s="2" t="s">
        <v>188</v>
      </c>
      <c r="FC179" s="2" t="s">
        <v>216</v>
      </c>
      <c r="FD179" s="2" t="s">
        <v>188</v>
      </c>
      <c r="FH179" s="2" t="s">
        <v>188</v>
      </c>
      <c r="FJ179" s="2" t="s">
        <v>188</v>
      </c>
      <c r="FK179" s="2" t="s">
        <v>188</v>
      </c>
      <c r="FR179" s="2" t="s">
        <v>433</v>
      </c>
      <c r="FT179" s="2" t="s">
        <v>490</v>
      </c>
      <c r="FU179" s="2" t="s">
        <v>219</v>
      </c>
      <c r="FV179" s="2" t="s">
        <v>219</v>
      </c>
      <c r="FW179" s="2" t="s">
        <v>219</v>
      </c>
      <c r="FZ179" s="4">
        <v>46041.656122685185</v>
      </c>
    </row>
    <row r="180" spans="1:182">
      <c r="A180" s="2" t="s">
        <v>1433</v>
      </c>
      <c r="D180" s="4">
        <v>46296.48810185185</v>
      </c>
      <c r="E180" s="2" t="s">
        <v>177</v>
      </c>
      <c r="F180" s="2" t="s">
        <v>178</v>
      </c>
      <c r="G180" s="2" t="s">
        <v>1206</v>
      </c>
      <c r="H180" s="2" t="s">
        <v>1207</v>
      </c>
      <c r="I180" s="2" t="s">
        <v>1434</v>
      </c>
      <c r="J180" s="2">
        <v>334265988</v>
      </c>
      <c r="K180" s="2" t="s">
        <v>1434</v>
      </c>
      <c r="L180" s="2" t="s">
        <v>182</v>
      </c>
      <c r="M180" s="2" t="s">
        <v>183</v>
      </c>
      <c r="N180" s="2">
        <v>1984</v>
      </c>
      <c r="O180" s="2" t="s">
        <v>224</v>
      </c>
      <c r="P180" s="2" t="s">
        <v>185</v>
      </c>
      <c r="Q180" s="2" t="s">
        <v>270</v>
      </c>
      <c r="R180" s="2" t="s">
        <v>188</v>
      </c>
      <c r="S180" s="2">
        <v>11</v>
      </c>
      <c r="T180" s="2" t="s">
        <v>188</v>
      </c>
      <c r="U180" s="2" t="s">
        <v>188</v>
      </c>
      <c r="Y180" s="2">
        <v>165</v>
      </c>
      <c r="Z180" s="2">
        <v>1</v>
      </c>
      <c r="AA180" s="2">
        <v>165</v>
      </c>
      <c r="AB180" s="2">
        <v>165</v>
      </c>
      <c r="AC180" s="2">
        <v>165</v>
      </c>
      <c r="AD180" s="2">
        <v>220</v>
      </c>
      <c r="AE180" s="2">
        <v>55</v>
      </c>
      <c r="AF180" s="2" t="s">
        <v>187</v>
      </c>
      <c r="AG180" s="2" t="s">
        <v>188</v>
      </c>
      <c r="AH180" s="2" t="s">
        <v>188</v>
      </c>
      <c r="AJ180" s="2" t="s">
        <v>188</v>
      </c>
      <c r="AK180" s="2" t="s">
        <v>188</v>
      </c>
      <c r="AL180" s="2" t="s">
        <v>188</v>
      </c>
      <c r="AM180" s="2" t="s">
        <v>188</v>
      </c>
      <c r="AN180" s="2" t="s">
        <v>188</v>
      </c>
      <c r="AO180" s="2" t="s">
        <v>188</v>
      </c>
      <c r="AR180" s="2">
        <v>2</v>
      </c>
      <c r="AS180" s="2">
        <v>4</v>
      </c>
      <c r="AT180" s="2">
        <v>2.36</v>
      </c>
      <c r="AU180" s="2" t="s">
        <v>238</v>
      </c>
      <c r="AV180" s="2" t="s">
        <v>238</v>
      </c>
      <c r="AW180" s="2" t="s">
        <v>188</v>
      </c>
      <c r="AZ180" s="2" t="s">
        <v>190</v>
      </c>
      <c r="BB180" s="2" t="s">
        <v>191</v>
      </c>
      <c r="BC180" s="2" t="s">
        <v>192</v>
      </c>
      <c r="BD180" s="2" t="s">
        <v>187</v>
      </c>
      <c r="BE180" s="2" t="s">
        <v>187</v>
      </c>
      <c r="BF180" s="2" t="s">
        <v>193</v>
      </c>
      <c r="BG180" s="2" t="s">
        <v>194</v>
      </c>
      <c r="BH180" s="2" t="s">
        <v>195</v>
      </c>
      <c r="BI180" s="2" t="s">
        <v>196</v>
      </c>
      <c r="BL180" s="2" t="s">
        <v>197</v>
      </c>
      <c r="BM180" s="2" t="s">
        <v>198</v>
      </c>
      <c r="BN180" s="2" t="s">
        <v>199</v>
      </c>
      <c r="BO180" s="2" t="s">
        <v>188</v>
      </c>
      <c r="BQ180" s="2" t="s">
        <v>200</v>
      </c>
      <c r="BS180" s="2" t="s">
        <v>187</v>
      </c>
      <c r="BT180" s="2" t="s">
        <v>261</v>
      </c>
      <c r="BV180" s="2" t="s">
        <v>248</v>
      </c>
      <c r="BX180" s="2" t="s">
        <v>188</v>
      </c>
      <c r="BZ180" s="2" t="s">
        <v>188</v>
      </c>
      <c r="CE180" s="2">
        <v>2.36</v>
      </c>
      <c r="CF180" s="2">
        <v>220</v>
      </c>
      <c r="CK180" s="2">
        <v>100</v>
      </c>
      <c r="CO180" s="2">
        <v>100</v>
      </c>
      <c r="CR180" s="2" t="s">
        <v>204</v>
      </c>
      <c r="CT180" s="2" t="s">
        <v>188</v>
      </c>
      <c r="CU180" s="2" t="s">
        <v>281</v>
      </c>
      <c r="CW180" s="2" t="s">
        <v>206</v>
      </c>
      <c r="CY180" s="2" t="s">
        <v>208</v>
      </c>
      <c r="CZ180" s="2" t="s">
        <v>208</v>
      </c>
      <c r="DA180" s="2" t="s">
        <v>208</v>
      </c>
      <c r="DB180" s="2" t="s">
        <v>208</v>
      </c>
      <c r="DC180" s="2" t="s">
        <v>208</v>
      </c>
      <c r="DD180" s="2" t="s">
        <v>208</v>
      </c>
      <c r="DE180" s="2" t="s">
        <v>208</v>
      </c>
      <c r="DF180" s="2" t="s">
        <v>208</v>
      </c>
      <c r="DG180" s="2" t="s">
        <v>208</v>
      </c>
      <c r="DH180" s="2" t="s">
        <v>208</v>
      </c>
      <c r="DI180" s="2" t="s">
        <v>208</v>
      </c>
      <c r="DL180" s="2" t="s">
        <v>188</v>
      </c>
      <c r="DM180" s="2" t="s">
        <v>188</v>
      </c>
      <c r="DP180" s="2" t="s">
        <v>188</v>
      </c>
      <c r="DT180" s="2" t="s">
        <v>203</v>
      </c>
      <c r="DU180" s="2" t="s">
        <v>203</v>
      </c>
      <c r="DV180" s="2" t="s">
        <v>203</v>
      </c>
      <c r="DW180" s="2" t="s">
        <v>203</v>
      </c>
      <c r="DX180" s="2" t="s">
        <v>203</v>
      </c>
      <c r="DY180" s="2" t="s">
        <v>203</v>
      </c>
      <c r="DZ180" s="2" t="s">
        <v>203</v>
      </c>
      <c r="EA180" s="2" t="s">
        <v>203</v>
      </c>
      <c r="EB180" s="2" t="s">
        <v>203</v>
      </c>
      <c r="EJ180" s="2" t="s">
        <v>238</v>
      </c>
      <c r="EK180" s="2" t="s">
        <v>188</v>
      </c>
      <c r="EL180" s="2" t="s">
        <v>188</v>
      </c>
      <c r="EN180" s="2" t="s">
        <v>393</v>
      </c>
      <c r="EP180" s="2" t="s">
        <v>394</v>
      </c>
      <c r="ER180" s="2" t="s">
        <v>188</v>
      </c>
      <c r="ET180" s="2" t="s">
        <v>188</v>
      </c>
      <c r="EV180" s="2" t="s">
        <v>188</v>
      </c>
      <c r="EX180" s="2" t="s">
        <v>188</v>
      </c>
      <c r="EZ180" s="2" t="s">
        <v>188</v>
      </c>
      <c r="FC180" s="2" t="s">
        <v>216</v>
      </c>
      <c r="FD180" s="2" t="s">
        <v>188</v>
      </c>
      <c r="FH180" s="2" t="s">
        <v>188</v>
      </c>
      <c r="FJ180" s="2" t="s">
        <v>187</v>
      </c>
      <c r="FK180" s="2" t="s">
        <v>188</v>
      </c>
      <c r="FN180" s="2" t="s">
        <v>488</v>
      </c>
      <c r="FT180" s="2" t="s">
        <v>233</v>
      </c>
      <c r="FU180" s="2" t="s">
        <v>233</v>
      </c>
      <c r="FV180" s="2" t="s">
        <v>233</v>
      </c>
      <c r="FW180" s="2" t="s">
        <v>233</v>
      </c>
      <c r="FZ180" s="4">
        <v>46040.604988425926</v>
      </c>
    </row>
    <row r="181" spans="1:182">
      <c r="A181" s="2" t="s">
        <v>1435</v>
      </c>
      <c r="D181" s="4">
        <v>46296.479733796295</v>
      </c>
      <c r="E181" s="2" t="s">
        <v>1436</v>
      </c>
      <c r="F181" s="2" t="s">
        <v>480</v>
      </c>
      <c r="G181" s="2" t="s">
        <v>1206</v>
      </c>
      <c r="H181" s="2" t="s">
        <v>1437</v>
      </c>
      <c r="I181" s="2" t="s">
        <v>1438</v>
      </c>
      <c r="J181" s="2">
        <v>362213503</v>
      </c>
      <c r="K181" s="2" t="s">
        <v>1438</v>
      </c>
      <c r="L181" s="2" t="s">
        <v>182</v>
      </c>
      <c r="M181" s="2" t="s">
        <v>183</v>
      </c>
      <c r="N181" s="2">
        <v>1976</v>
      </c>
      <c r="O181" s="2" t="s">
        <v>184</v>
      </c>
      <c r="P181" s="2" t="s">
        <v>185</v>
      </c>
      <c r="Q181" s="2" t="s">
        <v>603</v>
      </c>
      <c r="R181" s="2" t="s">
        <v>188</v>
      </c>
      <c r="S181" s="2">
        <v>2000</v>
      </c>
      <c r="T181" s="2" t="s">
        <v>188</v>
      </c>
      <c r="U181" s="2" t="s">
        <v>188</v>
      </c>
      <c r="Y181" s="2">
        <v>718</v>
      </c>
      <c r="Z181" s="2">
        <v>1</v>
      </c>
      <c r="AA181" s="2">
        <v>718</v>
      </c>
      <c r="AB181" s="2">
        <v>718</v>
      </c>
      <c r="AC181" s="2">
        <v>718</v>
      </c>
      <c r="AD181" s="2">
        <v>1138</v>
      </c>
      <c r="AE181" s="2">
        <v>420</v>
      </c>
      <c r="AF181" s="2" t="s">
        <v>188</v>
      </c>
      <c r="AG181" s="2" t="s">
        <v>188</v>
      </c>
      <c r="AH181" s="2" t="s">
        <v>188</v>
      </c>
      <c r="AJ181" s="2" t="s">
        <v>188</v>
      </c>
      <c r="AK181" s="2" t="s">
        <v>188</v>
      </c>
      <c r="AL181" s="2" t="s">
        <v>188</v>
      </c>
      <c r="AM181" s="2" t="s">
        <v>188</v>
      </c>
      <c r="AN181" s="2" t="s">
        <v>188</v>
      </c>
      <c r="AO181" s="2" t="s">
        <v>188</v>
      </c>
      <c r="AR181" s="2">
        <v>7</v>
      </c>
      <c r="AS181" s="2">
        <v>4</v>
      </c>
      <c r="AT181" s="2">
        <v>11.5</v>
      </c>
      <c r="AU181" s="2" t="s">
        <v>238</v>
      </c>
      <c r="AV181" s="2" t="s">
        <v>238</v>
      </c>
      <c r="AW181" s="2" t="s">
        <v>188</v>
      </c>
      <c r="AZ181" s="2" t="s">
        <v>190</v>
      </c>
      <c r="BB181" s="2" t="s">
        <v>260</v>
      </c>
      <c r="BC181" s="2" t="s">
        <v>296</v>
      </c>
      <c r="BD181" s="2" t="s">
        <v>187</v>
      </c>
      <c r="BE181" s="2" t="s">
        <v>187</v>
      </c>
      <c r="BF181" s="2" t="s">
        <v>193</v>
      </c>
      <c r="BG181" s="2" t="s">
        <v>194</v>
      </c>
      <c r="BH181" s="2" t="s">
        <v>195</v>
      </c>
      <c r="BI181" s="2" t="s">
        <v>196</v>
      </c>
      <c r="BL181" s="2" t="s">
        <v>197</v>
      </c>
      <c r="BM181" s="2" t="s">
        <v>507</v>
      </c>
      <c r="BN181" s="2" t="s">
        <v>199</v>
      </c>
      <c r="BO181" s="2" t="s">
        <v>188</v>
      </c>
      <c r="BQ181" s="2" t="s">
        <v>200</v>
      </c>
      <c r="BS181" s="2" t="s">
        <v>187</v>
      </c>
      <c r="BT181" s="2" t="s">
        <v>484</v>
      </c>
      <c r="BV181" s="2" t="s">
        <v>401</v>
      </c>
      <c r="BX181" s="2" t="s">
        <v>187</v>
      </c>
      <c r="BY181" s="2" t="s">
        <v>1439</v>
      </c>
      <c r="BZ181" s="2" t="s">
        <v>188</v>
      </c>
      <c r="CE181" s="2">
        <v>11.5</v>
      </c>
      <c r="CF181" s="2">
        <v>1138</v>
      </c>
      <c r="CM181" s="2">
        <v>100</v>
      </c>
      <c r="CO181" s="2">
        <v>100</v>
      </c>
      <c r="CR181" s="2" t="s">
        <v>343</v>
      </c>
      <c r="CT181" s="2" t="s">
        <v>188</v>
      </c>
      <c r="CU181" s="2" t="s">
        <v>249</v>
      </c>
      <c r="CW181" s="2" t="s">
        <v>206</v>
      </c>
      <c r="CY181" s="2" t="s">
        <v>207</v>
      </c>
      <c r="CZ181" s="2" t="s">
        <v>207</v>
      </c>
      <c r="DA181" s="2" t="s">
        <v>300</v>
      </c>
      <c r="DB181" s="2" t="s">
        <v>300</v>
      </c>
      <c r="DC181" s="2" t="s">
        <v>430</v>
      </c>
      <c r="DD181" s="2" t="s">
        <v>300</v>
      </c>
      <c r="DE181" s="2" t="s">
        <v>300</v>
      </c>
      <c r="DF181" s="2" t="s">
        <v>300</v>
      </c>
      <c r="DG181" s="2" t="s">
        <v>300</v>
      </c>
      <c r="DH181" s="2" t="s">
        <v>207</v>
      </c>
      <c r="DI181" s="2" t="s">
        <v>207</v>
      </c>
      <c r="DL181" s="2" t="s">
        <v>187</v>
      </c>
      <c r="DM181" s="2" t="s">
        <v>187</v>
      </c>
      <c r="DN181" s="2" t="s">
        <v>187</v>
      </c>
      <c r="DO181" s="2" t="s">
        <v>187</v>
      </c>
      <c r="DP181" s="2" t="s">
        <v>209</v>
      </c>
      <c r="DQ181" s="2" t="s">
        <v>467</v>
      </c>
      <c r="DR181" s="2" t="s">
        <v>1440</v>
      </c>
      <c r="DT181" s="2" t="s">
        <v>209</v>
      </c>
      <c r="DU181" s="2" t="s">
        <v>209</v>
      </c>
      <c r="DV181" s="2" t="s">
        <v>209</v>
      </c>
      <c r="DW181" s="2" t="s">
        <v>209</v>
      </c>
      <c r="DX181" s="2" t="s">
        <v>209</v>
      </c>
      <c r="DY181" s="2" t="s">
        <v>203</v>
      </c>
      <c r="DZ181" s="2" t="s">
        <v>203</v>
      </c>
      <c r="EA181" s="2" t="s">
        <v>203</v>
      </c>
      <c r="EB181" s="2" t="s">
        <v>203</v>
      </c>
      <c r="EC181" s="2" t="s">
        <v>203</v>
      </c>
      <c r="ED181" s="2" t="s">
        <v>203</v>
      </c>
      <c r="EF181" s="2" t="s">
        <v>302</v>
      </c>
      <c r="EG181" s="2" t="s">
        <v>1441</v>
      </c>
      <c r="EJ181" s="2" t="s">
        <v>238</v>
      </c>
      <c r="EK181" s="2" t="s">
        <v>187</v>
      </c>
      <c r="EL181" s="2" t="s">
        <v>188</v>
      </c>
      <c r="EN181" s="2" t="s">
        <v>214</v>
      </c>
      <c r="EP181" s="2" t="s">
        <v>230</v>
      </c>
      <c r="ER181" s="2" t="s">
        <v>187</v>
      </c>
      <c r="ET181" s="2" t="s">
        <v>188</v>
      </c>
      <c r="EU181" s="2" t="s">
        <v>215</v>
      </c>
      <c r="EV181" s="2" t="s">
        <v>187</v>
      </c>
      <c r="EW181" s="2" t="s">
        <v>215</v>
      </c>
      <c r="EX181" s="2" t="s">
        <v>188</v>
      </c>
      <c r="EZ181" s="2" t="s">
        <v>188</v>
      </c>
      <c r="FC181" s="2" t="s">
        <v>263</v>
      </c>
      <c r="FD181" s="2" t="s">
        <v>188</v>
      </c>
      <c r="FH181" s="2" t="s">
        <v>188</v>
      </c>
      <c r="FJ181" s="2" t="s">
        <v>188</v>
      </c>
      <c r="FK181" s="2" t="s">
        <v>188</v>
      </c>
      <c r="FN181" s="2" t="s">
        <v>488</v>
      </c>
      <c r="FR181" s="2" t="s">
        <v>1442</v>
      </c>
      <c r="FT181" s="2" t="s">
        <v>233</v>
      </c>
      <c r="FU181" s="2" t="s">
        <v>233</v>
      </c>
      <c r="FV181" s="2" t="s">
        <v>233</v>
      </c>
      <c r="FW181" s="2" t="s">
        <v>233</v>
      </c>
      <c r="FX181" s="2" t="s">
        <v>233</v>
      </c>
      <c r="FZ181" s="4">
        <v>46049.452349537038</v>
      </c>
    </row>
    <row r="182" spans="1:182">
      <c r="A182" s="2" t="s">
        <v>1443</v>
      </c>
      <c r="D182" s="4">
        <v>46296.495925925927</v>
      </c>
      <c r="E182" s="2" t="s">
        <v>1444</v>
      </c>
      <c r="F182" s="2" t="s">
        <v>425</v>
      </c>
      <c r="G182" s="2" t="s">
        <v>1206</v>
      </c>
      <c r="H182" s="2" t="s">
        <v>1263</v>
      </c>
      <c r="I182" s="2" t="s">
        <v>1445</v>
      </c>
      <c r="J182" s="2">
        <v>978314271</v>
      </c>
      <c r="K182" s="2" t="s">
        <v>1446</v>
      </c>
      <c r="L182" s="2" t="s">
        <v>352</v>
      </c>
      <c r="M182" s="2" t="s">
        <v>223</v>
      </c>
      <c r="N182" s="2">
        <v>1971</v>
      </c>
      <c r="O182" s="2" t="s">
        <v>224</v>
      </c>
      <c r="P182" s="2" t="s">
        <v>225</v>
      </c>
      <c r="Q182" s="2" t="s">
        <v>186</v>
      </c>
      <c r="S182" s="2">
        <v>30</v>
      </c>
      <c r="T182" s="2" t="s">
        <v>188</v>
      </c>
      <c r="U182" s="2" t="s">
        <v>188</v>
      </c>
      <c r="Y182" s="2">
        <v>1400</v>
      </c>
      <c r="Z182" s="2">
        <v>0.92859999999999998</v>
      </c>
      <c r="AA182" s="2">
        <v>1300</v>
      </c>
      <c r="AB182" s="2">
        <v>1300</v>
      </c>
      <c r="AC182" s="2">
        <v>500</v>
      </c>
      <c r="AD182" s="2">
        <v>700</v>
      </c>
      <c r="AE182" s="2">
        <v>200</v>
      </c>
      <c r="AF182" s="2" t="s">
        <v>188</v>
      </c>
      <c r="AG182" s="2" t="s">
        <v>188</v>
      </c>
      <c r="AH182" s="2" t="s">
        <v>187</v>
      </c>
      <c r="AI182" s="2" t="s">
        <v>308</v>
      </c>
      <c r="AJ182" s="2" t="s">
        <v>188</v>
      </c>
      <c r="AK182" s="2" t="s">
        <v>188</v>
      </c>
      <c r="AL182" s="2" t="s">
        <v>188</v>
      </c>
      <c r="AM182" s="2" t="s">
        <v>188</v>
      </c>
      <c r="AN182" s="2" t="s">
        <v>187</v>
      </c>
      <c r="AO182" s="2" t="s">
        <v>188</v>
      </c>
      <c r="AR182" s="2">
        <v>1.5</v>
      </c>
      <c r="AS182" s="2">
        <v>1</v>
      </c>
      <c r="AT182" s="2">
        <v>7</v>
      </c>
      <c r="AU182" s="2" t="s">
        <v>189</v>
      </c>
      <c r="AV182" s="2" t="s">
        <v>189</v>
      </c>
      <c r="AW182" s="2" t="s">
        <v>188</v>
      </c>
      <c r="AZ182" s="2" t="s">
        <v>476</v>
      </c>
      <c r="BB182" s="2" t="s">
        <v>260</v>
      </c>
      <c r="BC182" s="2" t="s">
        <v>296</v>
      </c>
      <c r="BD182" s="2" t="s">
        <v>187</v>
      </c>
      <c r="BE182" s="2" t="s">
        <v>187</v>
      </c>
      <c r="BF182" s="2" t="s">
        <v>193</v>
      </c>
      <c r="BG182" s="2" t="s">
        <v>194</v>
      </c>
      <c r="BH182" s="2" t="s">
        <v>297</v>
      </c>
      <c r="BI182" s="2" t="s">
        <v>448</v>
      </c>
      <c r="BL182" s="2" t="s">
        <v>197</v>
      </c>
      <c r="BM182" s="2" t="s">
        <v>198</v>
      </c>
      <c r="BN182" s="2" t="s">
        <v>199</v>
      </c>
      <c r="BO182" s="2" t="s">
        <v>188</v>
      </c>
      <c r="BQ182" s="2" t="s">
        <v>227</v>
      </c>
      <c r="BS182" s="2" t="s">
        <v>187</v>
      </c>
      <c r="BT182" s="2" t="s">
        <v>69</v>
      </c>
      <c r="BU182" s="2" t="s">
        <v>429</v>
      </c>
      <c r="BV182" s="2" t="s">
        <v>248</v>
      </c>
      <c r="BX182" s="2" t="s">
        <v>188</v>
      </c>
      <c r="BZ182" s="2" t="s">
        <v>188</v>
      </c>
      <c r="CE182" s="2">
        <v>7</v>
      </c>
      <c r="CF182" s="2">
        <v>700</v>
      </c>
      <c r="CM182" s="2">
        <v>100</v>
      </c>
      <c r="CO182" s="2">
        <v>100</v>
      </c>
      <c r="CR182" s="2" t="s">
        <v>343</v>
      </c>
      <c r="CT182" s="2" t="s">
        <v>188</v>
      </c>
      <c r="CU182" s="2" t="s">
        <v>205</v>
      </c>
      <c r="CW182" s="2" t="s">
        <v>206</v>
      </c>
      <c r="CY182" s="2" t="s">
        <v>207</v>
      </c>
      <c r="CZ182" s="2" t="s">
        <v>207</v>
      </c>
      <c r="DA182" s="2" t="s">
        <v>300</v>
      </c>
      <c r="DB182" s="2" t="s">
        <v>430</v>
      </c>
      <c r="DC182" s="2" t="s">
        <v>300</v>
      </c>
      <c r="DD182" s="2" t="s">
        <v>430</v>
      </c>
      <c r="DE182" s="2" t="s">
        <v>300</v>
      </c>
      <c r="DF182" s="2" t="s">
        <v>207</v>
      </c>
      <c r="DG182" s="2" t="s">
        <v>207</v>
      </c>
      <c r="DH182" s="2" t="s">
        <v>207</v>
      </c>
      <c r="DI182" s="2" t="s">
        <v>300</v>
      </c>
      <c r="DL182" s="2" t="s">
        <v>187</v>
      </c>
      <c r="DM182" s="2" t="s">
        <v>187</v>
      </c>
      <c r="DN182" s="2" t="s">
        <v>187</v>
      </c>
      <c r="DO182" s="2" t="s">
        <v>187</v>
      </c>
      <c r="DP182" s="2" t="s">
        <v>209</v>
      </c>
      <c r="DQ182" s="2" t="s">
        <v>467</v>
      </c>
      <c r="DR182" s="2" t="s">
        <v>1447</v>
      </c>
      <c r="DT182" s="2" t="s">
        <v>209</v>
      </c>
      <c r="DU182" s="2" t="s">
        <v>209</v>
      </c>
      <c r="DV182" s="2" t="s">
        <v>209</v>
      </c>
      <c r="DW182" s="2" t="s">
        <v>209</v>
      </c>
      <c r="DX182" s="2" t="s">
        <v>209</v>
      </c>
      <c r="DY182" s="2" t="s">
        <v>209</v>
      </c>
      <c r="DZ182" s="2" t="s">
        <v>203</v>
      </c>
      <c r="EA182" s="2" t="s">
        <v>209</v>
      </c>
      <c r="EB182" s="2" t="s">
        <v>209</v>
      </c>
      <c r="EC182" s="2" t="s">
        <v>188</v>
      </c>
      <c r="EF182" s="2" t="s">
        <v>211</v>
      </c>
      <c r="EJ182" s="2" t="s">
        <v>238</v>
      </c>
      <c r="EK182" s="2" t="s">
        <v>187</v>
      </c>
      <c r="EL182" s="2" t="s">
        <v>188</v>
      </c>
      <c r="EN182" s="2" t="s">
        <v>255</v>
      </c>
      <c r="EP182" s="2" t="s">
        <v>230</v>
      </c>
      <c r="ER182" s="2" t="s">
        <v>187</v>
      </c>
      <c r="ET182" s="2" t="s">
        <v>188</v>
      </c>
      <c r="EV182" s="2" t="s">
        <v>187</v>
      </c>
      <c r="EW182" s="2" t="s">
        <v>215</v>
      </c>
      <c r="EX182" s="2" t="s">
        <v>187</v>
      </c>
      <c r="EY182" s="2" t="s">
        <v>215</v>
      </c>
      <c r="EZ182" s="2" t="s">
        <v>188</v>
      </c>
      <c r="FC182" s="2" t="s">
        <v>216</v>
      </c>
      <c r="FD182" s="2" t="s">
        <v>188</v>
      </c>
      <c r="FH182" s="2" t="s">
        <v>188</v>
      </c>
      <c r="FJ182" s="2" t="s">
        <v>188</v>
      </c>
      <c r="FK182" s="2" t="s">
        <v>188</v>
      </c>
      <c r="FR182" s="2" t="s">
        <v>1448</v>
      </c>
      <c r="FT182" s="2" t="s">
        <v>233</v>
      </c>
      <c r="FU182" s="2" t="s">
        <v>219</v>
      </c>
      <c r="FV182" s="2" t="s">
        <v>219</v>
      </c>
      <c r="FW182" s="2" t="s">
        <v>219</v>
      </c>
      <c r="FZ182" s="4">
        <v>46041.670115740744</v>
      </c>
    </row>
    <row r="183" spans="1:182">
      <c r="A183" s="2" t="s">
        <v>1449</v>
      </c>
      <c r="D183" s="4">
        <v>46296.497141203705</v>
      </c>
      <c r="E183" s="2" t="s">
        <v>1450</v>
      </c>
      <c r="F183" s="2" t="s">
        <v>590</v>
      </c>
      <c r="G183" s="2" t="s">
        <v>1206</v>
      </c>
      <c r="H183" s="2" t="s">
        <v>1219</v>
      </c>
      <c r="I183" s="2" t="s">
        <v>1451</v>
      </c>
      <c r="J183" s="2">
        <v>394579153</v>
      </c>
      <c r="K183" s="2" t="s">
        <v>1452</v>
      </c>
      <c r="L183" s="2" t="s">
        <v>182</v>
      </c>
      <c r="M183" s="2" t="s">
        <v>223</v>
      </c>
      <c r="N183" s="2">
        <v>1977</v>
      </c>
      <c r="O183" s="2" t="s">
        <v>184</v>
      </c>
      <c r="P183" s="2" t="s">
        <v>237</v>
      </c>
      <c r="Q183" s="2" t="s">
        <v>226</v>
      </c>
      <c r="R183" s="2" t="s">
        <v>188</v>
      </c>
      <c r="S183" s="2">
        <v>25</v>
      </c>
      <c r="T183" s="2" t="s">
        <v>188</v>
      </c>
      <c r="U183" s="2" t="s">
        <v>188</v>
      </c>
      <c r="Y183" s="2">
        <v>140</v>
      </c>
      <c r="Z183" s="2">
        <v>1</v>
      </c>
      <c r="AA183" s="2">
        <v>140</v>
      </c>
      <c r="AB183" s="2">
        <v>140</v>
      </c>
      <c r="AC183" s="2">
        <v>140</v>
      </c>
      <c r="AD183" s="2">
        <v>200</v>
      </c>
      <c r="AE183" s="2">
        <v>60</v>
      </c>
      <c r="AF183" s="2" t="s">
        <v>188</v>
      </c>
      <c r="AG183" s="2" t="s">
        <v>188</v>
      </c>
      <c r="AH183" s="2" t="s">
        <v>188</v>
      </c>
      <c r="AJ183" s="2" t="s">
        <v>188</v>
      </c>
      <c r="AK183" s="2" t="s">
        <v>188</v>
      </c>
      <c r="AL183" s="2" t="s">
        <v>188</v>
      </c>
      <c r="AM183" s="2" t="s">
        <v>188</v>
      </c>
      <c r="AN183" s="2" t="s">
        <v>188</v>
      </c>
      <c r="AO183" s="2" t="s">
        <v>188</v>
      </c>
      <c r="AR183" s="2">
        <v>1.5</v>
      </c>
      <c r="AS183" s="2">
        <v>2</v>
      </c>
      <c r="AT183" s="2">
        <v>1.8</v>
      </c>
      <c r="AU183" s="2" t="s">
        <v>203</v>
      </c>
      <c r="AV183" s="2" t="s">
        <v>238</v>
      </c>
      <c r="AW183" s="2" t="s">
        <v>188</v>
      </c>
      <c r="AZ183" s="2" t="s">
        <v>190</v>
      </c>
      <c r="BB183" s="2" t="s">
        <v>260</v>
      </c>
      <c r="BC183" s="2" t="s">
        <v>296</v>
      </c>
      <c r="BD183" s="2" t="s">
        <v>187</v>
      </c>
      <c r="BE183" s="2" t="s">
        <v>187</v>
      </c>
      <c r="BF183" s="2" t="s">
        <v>193</v>
      </c>
      <c r="BG183" s="2" t="s">
        <v>194</v>
      </c>
      <c r="BH183" s="2" t="s">
        <v>195</v>
      </c>
      <c r="BI183" s="2" t="s">
        <v>196</v>
      </c>
      <c r="BL183" s="2" t="s">
        <v>197</v>
      </c>
      <c r="BM183" s="2" t="s">
        <v>507</v>
      </c>
      <c r="BN183" s="2" t="s">
        <v>199</v>
      </c>
      <c r="BO183" s="2" t="s">
        <v>188</v>
      </c>
      <c r="BQ183" s="2" t="s">
        <v>227</v>
      </c>
      <c r="BS183" s="2" t="s">
        <v>187</v>
      </c>
      <c r="BT183" s="2" t="s">
        <v>594</v>
      </c>
      <c r="BV183" s="2" t="s">
        <v>242</v>
      </c>
      <c r="BX183" s="2" t="s">
        <v>188</v>
      </c>
      <c r="BZ183" s="2" t="s">
        <v>203</v>
      </c>
      <c r="CE183" s="2">
        <v>1.8</v>
      </c>
      <c r="CF183" s="2">
        <v>200</v>
      </c>
      <c r="CK183" s="2">
        <v>100</v>
      </c>
      <c r="CO183" s="2">
        <v>100</v>
      </c>
      <c r="CR183" s="2" t="s">
        <v>1099</v>
      </c>
      <c r="CT183" s="2" t="s">
        <v>188</v>
      </c>
      <c r="CU183" s="2" t="s">
        <v>758</v>
      </c>
      <c r="CW183" s="2" t="s">
        <v>206</v>
      </c>
      <c r="CY183" s="2" t="s">
        <v>207</v>
      </c>
      <c r="CZ183" s="2" t="s">
        <v>300</v>
      </c>
      <c r="DA183" s="2" t="s">
        <v>300</v>
      </c>
      <c r="DB183" s="2" t="s">
        <v>300</v>
      </c>
      <c r="DC183" s="2" t="s">
        <v>300</v>
      </c>
      <c r="DD183" s="2" t="s">
        <v>300</v>
      </c>
      <c r="DE183" s="2" t="s">
        <v>300</v>
      </c>
      <c r="DF183" s="2" t="s">
        <v>300</v>
      </c>
      <c r="DG183" s="2" t="s">
        <v>300</v>
      </c>
      <c r="DH183" s="2" t="s">
        <v>300</v>
      </c>
      <c r="DI183" s="2" t="s">
        <v>300</v>
      </c>
      <c r="DL183" s="2" t="s">
        <v>188</v>
      </c>
      <c r="DM183" s="2" t="s">
        <v>188</v>
      </c>
      <c r="DP183" s="2" t="s">
        <v>203</v>
      </c>
      <c r="DT183" s="2" t="s">
        <v>209</v>
      </c>
      <c r="DU183" s="2" t="s">
        <v>209</v>
      </c>
      <c r="DV183" s="2" t="s">
        <v>209</v>
      </c>
      <c r="DW183" s="2" t="s">
        <v>209</v>
      </c>
      <c r="DX183" s="2" t="s">
        <v>209</v>
      </c>
      <c r="DY183" s="2" t="s">
        <v>203</v>
      </c>
      <c r="DZ183" s="2" t="s">
        <v>203</v>
      </c>
      <c r="EA183" s="2" t="s">
        <v>203</v>
      </c>
      <c r="EB183" s="2" t="s">
        <v>209</v>
      </c>
      <c r="EC183" s="2" t="s">
        <v>188</v>
      </c>
      <c r="EF183" s="2" t="s">
        <v>189</v>
      </c>
      <c r="EG183" s="2" t="s">
        <v>1453</v>
      </c>
      <c r="EJ183" s="2" t="s">
        <v>203</v>
      </c>
      <c r="EK183" s="2" t="s">
        <v>188</v>
      </c>
      <c r="EL183" s="2" t="s">
        <v>188</v>
      </c>
      <c r="EN183" s="2" t="s">
        <v>255</v>
      </c>
      <c r="EP183" s="2" t="s">
        <v>230</v>
      </c>
      <c r="ER183" s="2" t="s">
        <v>188</v>
      </c>
      <c r="ET183" s="2" t="s">
        <v>188</v>
      </c>
      <c r="EV183" s="2" t="s">
        <v>188</v>
      </c>
      <c r="EX183" s="2" t="s">
        <v>188</v>
      </c>
      <c r="EZ183" s="2" t="s">
        <v>188</v>
      </c>
      <c r="FC183" s="2" t="s">
        <v>263</v>
      </c>
      <c r="FD183" s="2" t="s">
        <v>188</v>
      </c>
      <c r="FH183" s="2" t="s">
        <v>188</v>
      </c>
      <c r="FJ183" s="2" t="s">
        <v>188</v>
      </c>
      <c r="FK183" s="2" t="s">
        <v>188</v>
      </c>
      <c r="FN183" s="2" t="s">
        <v>769</v>
      </c>
      <c r="FR183" s="2" t="s">
        <v>1454</v>
      </c>
      <c r="FT183" s="2" t="s">
        <v>219</v>
      </c>
      <c r="FU183" s="2" t="s">
        <v>219</v>
      </c>
      <c r="FV183" s="2" t="s">
        <v>219</v>
      </c>
      <c r="FW183" s="2" t="s">
        <v>233</v>
      </c>
      <c r="FZ183" s="4">
        <v>46040.629861111112</v>
      </c>
    </row>
    <row r="184" spans="1:182">
      <c r="A184" s="2" t="s">
        <v>1455</v>
      </c>
      <c r="D184" s="4">
        <v>46296.488969907405</v>
      </c>
      <c r="E184" s="2" t="s">
        <v>177</v>
      </c>
      <c r="F184" s="2" t="s">
        <v>178</v>
      </c>
      <c r="G184" s="2" t="s">
        <v>1206</v>
      </c>
      <c r="H184" s="2" t="s">
        <v>1207</v>
      </c>
      <c r="I184" s="2" t="s">
        <v>1456</v>
      </c>
      <c r="K184" s="2" t="s">
        <v>1456</v>
      </c>
      <c r="L184" s="2" t="s">
        <v>803</v>
      </c>
      <c r="M184" s="2" t="s">
        <v>223</v>
      </c>
      <c r="N184" s="2">
        <v>1972</v>
      </c>
      <c r="O184" s="2" t="s">
        <v>184</v>
      </c>
      <c r="P184" s="2" t="s">
        <v>185</v>
      </c>
      <c r="Q184" s="2" t="s">
        <v>603</v>
      </c>
      <c r="R184" s="2" t="s">
        <v>188</v>
      </c>
      <c r="S184" s="2">
        <v>30</v>
      </c>
      <c r="T184" s="2" t="s">
        <v>188</v>
      </c>
      <c r="U184" s="2" t="s">
        <v>188</v>
      </c>
      <c r="Y184" s="2">
        <v>42</v>
      </c>
      <c r="Z184" s="2">
        <v>1</v>
      </c>
      <c r="AA184" s="2">
        <v>42</v>
      </c>
      <c r="AB184" s="2">
        <v>42</v>
      </c>
      <c r="AC184" s="2">
        <v>42</v>
      </c>
      <c r="AD184" s="2">
        <v>45</v>
      </c>
      <c r="AE184" s="2">
        <v>3</v>
      </c>
      <c r="AF184" s="2" t="s">
        <v>187</v>
      </c>
      <c r="AG184" s="2" t="s">
        <v>188</v>
      </c>
      <c r="AH184" s="2" t="s">
        <v>188</v>
      </c>
      <c r="AJ184" s="2" t="s">
        <v>188</v>
      </c>
      <c r="AK184" s="2" t="s">
        <v>188</v>
      </c>
      <c r="AL184" s="2" t="s">
        <v>188</v>
      </c>
      <c r="AM184" s="2" t="s">
        <v>188</v>
      </c>
      <c r="AN184" s="2" t="s">
        <v>188</v>
      </c>
      <c r="AO184" s="2" t="s">
        <v>188</v>
      </c>
      <c r="AR184" s="2">
        <v>0.4</v>
      </c>
      <c r="AS184" s="2">
        <v>2</v>
      </c>
      <c r="AT184" s="2">
        <v>0.51</v>
      </c>
      <c r="AU184" s="2" t="s">
        <v>203</v>
      </c>
      <c r="AV184" s="2" t="s">
        <v>203</v>
      </c>
      <c r="AW184" s="2" t="s">
        <v>188</v>
      </c>
      <c r="AZ184" s="2" t="s">
        <v>190</v>
      </c>
      <c r="BB184" s="2" t="s">
        <v>260</v>
      </c>
      <c r="BC184" s="2" t="s">
        <v>192</v>
      </c>
      <c r="BD184" s="2" t="s">
        <v>188</v>
      </c>
      <c r="BE184" s="2" t="s">
        <v>187</v>
      </c>
      <c r="BF184" s="2" t="s">
        <v>193</v>
      </c>
      <c r="BG184" s="2" t="s">
        <v>279</v>
      </c>
      <c r="BH184" s="2" t="s">
        <v>195</v>
      </c>
      <c r="BI184" s="2" t="s">
        <v>196</v>
      </c>
      <c r="BL184" s="2" t="s">
        <v>240</v>
      </c>
      <c r="BO184" s="2" t="s">
        <v>188</v>
      </c>
      <c r="BQ184" s="2" t="s">
        <v>200</v>
      </c>
      <c r="BS184" s="2" t="s">
        <v>188</v>
      </c>
      <c r="BX184" s="2" t="s">
        <v>188</v>
      </c>
      <c r="BZ184" s="2" t="s">
        <v>203</v>
      </c>
      <c r="CE184" s="2">
        <v>0.51</v>
      </c>
      <c r="CF184" s="2">
        <v>45</v>
      </c>
      <c r="CK184" s="2">
        <v>100</v>
      </c>
      <c r="CO184" s="2">
        <v>100</v>
      </c>
      <c r="CR184" s="2" t="s">
        <v>204</v>
      </c>
      <c r="CT184" s="2" t="s">
        <v>188</v>
      </c>
      <c r="CU184" s="2" t="s">
        <v>281</v>
      </c>
      <c r="CW184" s="2" t="s">
        <v>206</v>
      </c>
      <c r="CY184" s="2" t="s">
        <v>208</v>
      </c>
      <c r="CZ184" s="2" t="s">
        <v>208</v>
      </c>
      <c r="DA184" s="2" t="s">
        <v>208</v>
      </c>
      <c r="DL184" s="2" t="s">
        <v>188</v>
      </c>
      <c r="DM184" s="2" t="s">
        <v>188</v>
      </c>
      <c r="DP184" s="2" t="s">
        <v>203</v>
      </c>
      <c r="DT184" s="2" t="s">
        <v>203</v>
      </c>
      <c r="DU184" s="2" t="s">
        <v>203</v>
      </c>
      <c r="DV184" s="2" t="s">
        <v>203</v>
      </c>
      <c r="DW184" s="2" t="s">
        <v>203</v>
      </c>
      <c r="DX184" s="2" t="s">
        <v>203</v>
      </c>
      <c r="DY184" s="2" t="s">
        <v>203</v>
      </c>
      <c r="DZ184" s="2" t="s">
        <v>203</v>
      </c>
      <c r="EA184" s="2" t="s">
        <v>203</v>
      </c>
      <c r="EB184" s="2" t="s">
        <v>203</v>
      </c>
      <c r="EJ184" s="2" t="s">
        <v>203</v>
      </c>
      <c r="EK184" s="2" t="s">
        <v>188</v>
      </c>
      <c r="EL184" s="2" t="s">
        <v>188</v>
      </c>
      <c r="ER184" s="2" t="s">
        <v>188</v>
      </c>
      <c r="ET184" s="2" t="s">
        <v>188</v>
      </c>
      <c r="EV184" s="2" t="s">
        <v>188</v>
      </c>
      <c r="EX184" s="2" t="s">
        <v>188</v>
      </c>
      <c r="EZ184" s="2" t="s">
        <v>188</v>
      </c>
      <c r="FC184" s="2" t="s">
        <v>263</v>
      </c>
      <c r="FD184" s="2" t="s">
        <v>188</v>
      </c>
      <c r="FH184" s="2" t="s">
        <v>188</v>
      </c>
      <c r="FJ184" s="2" t="s">
        <v>188</v>
      </c>
      <c r="FK184" s="2" t="s">
        <v>188</v>
      </c>
      <c r="FT184" s="2" t="s">
        <v>490</v>
      </c>
      <c r="FU184" s="2" t="s">
        <v>490</v>
      </c>
      <c r="FV184" s="2" t="s">
        <v>233</v>
      </c>
      <c r="FW184" s="2" t="s">
        <v>490</v>
      </c>
      <c r="FZ184" s="4">
        <v>46040.595277777778</v>
      </c>
    </row>
    <row r="185" spans="1:182">
      <c r="A185" s="2" t="s">
        <v>1457</v>
      </c>
      <c r="D185" s="4">
        <v>46296.493506944447</v>
      </c>
      <c r="E185" s="2" t="s">
        <v>177</v>
      </c>
      <c r="F185" s="2" t="s">
        <v>293</v>
      </c>
      <c r="G185" s="2" t="s">
        <v>1206</v>
      </c>
      <c r="H185" s="2" t="s">
        <v>1458</v>
      </c>
      <c r="I185" s="2" t="s">
        <v>1459</v>
      </c>
      <c r="J185" s="2">
        <v>985885851</v>
      </c>
      <c r="K185" s="2" t="s">
        <v>1459</v>
      </c>
      <c r="L185" s="2" t="s">
        <v>352</v>
      </c>
      <c r="M185" s="2" t="s">
        <v>183</v>
      </c>
      <c r="N185" s="2">
        <v>1982</v>
      </c>
      <c r="O185" s="2" t="s">
        <v>224</v>
      </c>
      <c r="P185" s="2" t="s">
        <v>185</v>
      </c>
      <c r="Q185" s="2" t="s">
        <v>226</v>
      </c>
      <c r="R185" s="2" t="s">
        <v>188</v>
      </c>
      <c r="S185" s="2">
        <v>2010</v>
      </c>
      <c r="T185" s="2" t="s">
        <v>188</v>
      </c>
      <c r="U185" s="2" t="s">
        <v>188</v>
      </c>
      <c r="Y185" s="2">
        <v>1900</v>
      </c>
      <c r="Z185" s="2">
        <v>0.94740000000000002</v>
      </c>
      <c r="AA185" s="2">
        <v>1800</v>
      </c>
      <c r="AB185" s="2">
        <v>1800</v>
      </c>
      <c r="AC185" s="2">
        <v>800</v>
      </c>
      <c r="AD185" s="2">
        <v>1000</v>
      </c>
      <c r="AE185" s="2">
        <v>200</v>
      </c>
      <c r="AF185" s="2" t="s">
        <v>188</v>
      </c>
      <c r="AG185" s="2" t="s">
        <v>187</v>
      </c>
      <c r="AH185" s="2" t="s">
        <v>187</v>
      </c>
      <c r="AI185" s="2" t="s">
        <v>1460</v>
      </c>
      <c r="AJ185" s="2" t="s">
        <v>188</v>
      </c>
      <c r="AK185" s="2" t="s">
        <v>187</v>
      </c>
      <c r="AL185" s="2" t="s">
        <v>188</v>
      </c>
      <c r="AM185" s="2" t="s">
        <v>187</v>
      </c>
      <c r="AN185" s="2" t="s">
        <v>188</v>
      </c>
      <c r="AO185" s="2" t="s">
        <v>188</v>
      </c>
      <c r="AR185" s="2">
        <v>4</v>
      </c>
      <c r="AS185" s="2">
        <v>2</v>
      </c>
      <c r="AT185" s="2">
        <v>10</v>
      </c>
      <c r="AU185" s="2" t="s">
        <v>189</v>
      </c>
      <c r="AV185" s="2" t="s">
        <v>189</v>
      </c>
      <c r="AW185" s="2" t="s">
        <v>188</v>
      </c>
      <c r="AZ185" s="2" t="s">
        <v>190</v>
      </c>
      <c r="BB185" s="2" t="s">
        <v>260</v>
      </c>
      <c r="BC185" s="2" t="s">
        <v>296</v>
      </c>
      <c r="BD185" s="2" t="s">
        <v>187</v>
      </c>
      <c r="BE185" s="2" t="s">
        <v>187</v>
      </c>
      <c r="BF185" s="2" t="s">
        <v>193</v>
      </c>
      <c r="BG185" s="2" t="s">
        <v>194</v>
      </c>
      <c r="BH185" s="2" t="s">
        <v>297</v>
      </c>
      <c r="BI185" s="2" t="s">
        <v>196</v>
      </c>
      <c r="BL185" s="2" t="s">
        <v>197</v>
      </c>
      <c r="BM185" s="2" t="s">
        <v>198</v>
      </c>
      <c r="BN185" s="2" t="s">
        <v>199</v>
      </c>
      <c r="BO185" s="2" t="s">
        <v>188</v>
      </c>
      <c r="BQ185" s="2" t="s">
        <v>227</v>
      </c>
      <c r="BT185" s="2" t="s">
        <v>261</v>
      </c>
      <c r="BV185" s="2" t="s">
        <v>389</v>
      </c>
      <c r="BX185" s="2" t="s">
        <v>187</v>
      </c>
      <c r="BY185" s="2" t="s">
        <v>310</v>
      </c>
      <c r="BZ185" s="2" t="s">
        <v>203</v>
      </c>
      <c r="CE185" s="2">
        <v>10</v>
      </c>
      <c r="CF185" s="2">
        <v>990</v>
      </c>
      <c r="CK185" s="2">
        <v>100</v>
      </c>
      <c r="CO185" s="2">
        <v>100</v>
      </c>
      <c r="CR185" s="2" t="s">
        <v>204</v>
      </c>
      <c r="CT185" s="2" t="s">
        <v>188</v>
      </c>
      <c r="CU185" s="2" t="s">
        <v>205</v>
      </c>
      <c r="CW185" s="2" t="s">
        <v>206</v>
      </c>
      <c r="CY185" s="2" t="s">
        <v>207</v>
      </c>
      <c r="CZ185" s="2" t="s">
        <v>207</v>
      </c>
      <c r="DA185" s="2" t="s">
        <v>208</v>
      </c>
      <c r="DB185" s="2" t="s">
        <v>301</v>
      </c>
      <c r="DC185" s="2" t="s">
        <v>208</v>
      </c>
      <c r="DD185" s="2" t="s">
        <v>208</v>
      </c>
      <c r="DE185" s="2" t="s">
        <v>208</v>
      </c>
      <c r="DF185" s="2" t="s">
        <v>207</v>
      </c>
      <c r="DG185" s="2" t="s">
        <v>208</v>
      </c>
      <c r="DH185" s="2" t="s">
        <v>208</v>
      </c>
      <c r="DI185" s="2" t="s">
        <v>208</v>
      </c>
      <c r="DL185" s="2" t="s">
        <v>187</v>
      </c>
      <c r="DM185" s="2" t="s">
        <v>187</v>
      </c>
      <c r="DN185" s="2" t="s">
        <v>187</v>
      </c>
      <c r="DO185" s="2" t="s">
        <v>187</v>
      </c>
      <c r="DP185" s="2" t="s">
        <v>209</v>
      </c>
      <c r="DQ185" s="2" t="s">
        <v>210</v>
      </c>
      <c r="DT185" s="2" t="s">
        <v>209</v>
      </c>
      <c r="DU185" s="2" t="s">
        <v>209</v>
      </c>
      <c r="DV185" s="2" t="s">
        <v>209</v>
      </c>
      <c r="DW185" s="2" t="s">
        <v>209</v>
      </c>
      <c r="DX185" s="2" t="s">
        <v>209</v>
      </c>
      <c r="DY185" s="2" t="s">
        <v>203</v>
      </c>
      <c r="DZ185" s="2" t="s">
        <v>203</v>
      </c>
      <c r="EA185" s="2" t="s">
        <v>209</v>
      </c>
      <c r="EB185" s="2" t="s">
        <v>209</v>
      </c>
      <c r="EC185" s="2" t="s">
        <v>203</v>
      </c>
      <c r="ED185" s="2" t="s">
        <v>203</v>
      </c>
      <c r="EF185" s="2" t="s">
        <v>211</v>
      </c>
      <c r="EJ185" s="2" t="s">
        <v>189</v>
      </c>
      <c r="EK185" s="2" t="s">
        <v>187</v>
      </c>
      <c r="EL185" s="2" t="s">
        <v>188</v>
      </c>
      <c r="EN185" s="2" t="s">
        <v>214</v>
      </c>
      <c r="EP185" s="2" t="s">
        <v>230</v>
      </c>
      <c r="ER185" s="2" t="s">
        <v>187</v>
      </c>
      <c r="ET185" s="2" t="s">
        <v>188</v>
      </c>
      <c r="EV185" s="2" t="s">
        <v>187</v>
      </c>
      <c r="EW185" s="2" t="s">
        <v>189</v>
      </c>
      <c r="EX185" s="2" t="s">
        <v>187</v>
      </c>
      <c r="EY185" s="2" t="s">
        <v>189</v>
      </c>
      <c r="EZ185" s="2" t="s">
        <v>188</v>
      </c>
      <c r="FC185" s="2" t="s">
        <v>395</v>
      </c>
      <c r="FD185" s="2" t="s">
        <v>188</v>
      </c>
      <c r="FH185" s="2" t="s">
        <v>188</v>
      </c>
      <c r="FJ185" s="2" t="s">
        <v>187</v>
      </c>
      <c r="FK185" s="2" t="s">
        <v>209</v>
      </c>
      <c r="FL185" s="2" t="s">
        <v>319</v>
      </c>
      <c r="FN185" s="2" t="s">
        <v>304</v>
      </c>
      <c r="FT185" s="2" t="s">
        <v>219</v>
      </c>
      <c r="FU185" s="2" t="s">
        <v>233</v>
      </c>
      <c r="FV185" s="2" t="s">
        <v>233</v>
      </c>
      <c r="FW185" s="2" t="s">
        <v>233</v>
      </c>
      <c r="FZ185" s="4">
        <v>46046.479305555556</v>
      </c>
    </row>
    <row r="186" spans="1:182">
      <c r="A186" s="2" t="s">
        <v>1461</v>
      </c>
      <c r="D186" s="4">
        <v>46296.505335648151</v>
      </c>
      <c r="E186" s="2" t="s">
        <v>1462</v>
      </c>
      <c r="F186" s="2" t="s">
        <v>480</v>
      </c>
      <c r="G186" s="2" t="s">
        <v>1206</v>
      </c>
      <c r="H186" s="2" t="s">
        <v>1212</v>
      </c>
      <c r="I186" s="2" t="s">
        <v>1463</v>
      </c>
      <c r="J186" s="2">
        <v>339924651</v>
      </c>
      <c r="K186" s="2" t="s">
        <v>1464</v>
      </c>
      <c r="L186" s="2" t="s">
        <v>182</v>
      </c>
      <c r="M186" s="2" t="s">
        <v>223</v>
      </c>
      <c r="N186" s="2">
        <v>2004</v>
      </c>
      <c r="O186" s="2" t="s">
        <v>184</v>
      </c>
      <c r="P186" s="2" t="s">
        <v>237</v>
      </c>
      <c r="Q186" s="2" t="s">
        <v>270</v>
      </c>
      <c r="R186" s="2" t="s">
        <v>188</v>
      </c>
      <c r="S186" s="2">
        <v>11</v>
      </c>
      <c r="T186" s="2" t="s">
        <v>188</v>
      </c>
      <c r="U186" s="2" t="s">
        <v>188</v>
      </c>
      <c r="Y186" s="2">
        <v>305</v>
      </c>
      <c r="Z186" s="2">
        <v>1</v>
      </c>
      <c r="AA186" s="2">
        <v>305</v>
      </c>
      <c r="AB186" s="2">
        <v>305</v>
      </c>
      <c r="AC186" s="2">
        <v>305</v>
      </c>
      <c r="AD186" s="2">
        <v>445</v>
      </c>
      <c r="AE186" s="2">
        <v>140</v>
      </c>
      <c r="AF186" s="2" t="s">
        <v>188</v>
      </c>
      <c r="AG186" s="2" t="s">
        <v>188</v>
      </c>
      <c r="AH186" s="2" t="s">
        <v>188</v>
      </c>
      <c r="AJ186" s="2" t="s">
        <v>188</v>
      </c>
      <c r="AK186" s="2" t="s">
        <v>188</v>
      </c>
      <c r="AL186" s="2" t="s">
        <v>188</v>
      </c>
      <c r="AM186" s="2" t="s">
        <v>188</v>
      </c>
      <c r="AN186" s="2" t="s">
        <v>188</v>
      </c>
      <c r="AO186" s="2" t="s">
        <v>188</v>
      </c>
      <c r="AR186" s="2">
        <v>4</v>
      </c>
      <c r="AS186" s="2">
        <v>2</v>
      </c>
      <c r="AT186" s="2">
        <v>4.5</v>
      </c>
      <c r="AU186" s="2" t="s">
        <v>238</v>
      </c>
      <c r="AV186" s="2" t="s">
        <v>238</v>
      </c>
      <c r="AW186" s="2" t="s">
        <v>188</v>
      </c>
      <c r="AZ186" s="2" t="s">
        <v>190</v>
      </c>
      <c r="BB186" s="2" t="s">
        <v>260</v>
      </c>
      <c r="BC186" s="2" t="s">
        <v>296</v>
      </c>
      <c r="BD186" s="2" t="s">
        <v>188</v>
      </c>
      <c r="BE186" s="2" t="s">
        <v>187</v>
      </c>
      <c r="BF186" s="2" t="s">
        <v>193</v>
      </c>
      <c r="BG186" s="2" t="s">
        <v>194</v>
      </c>
      <c r="BH186" s="2" t="s">
        <v>195</v>
      </c>
      <c r="BI186" s="2" t="s">
        <v>196</v>
      </c>
      <c r="BL186" s="2" t="s">
        <v>240</v>
      </c>
      <c r="BO186" s="2" t="s">
        <v>188</v>
      </c>
      <c r="BQ186" s="2" t="s">
        <v>227</v>
      </c>
      <c r="BS186" s="2" t="s">
        <v>187</v>
      </c>
      <c r="BT186" s="2" t="s">
        <v>484</v>
      </c>
      <c r="BV186" s="2" t="s">
        <v>630</v>
      </c>
      <c r="BX186" s="2" t="s">
        <v>187</v>
      </c>
      <c r="BY186" s="2" t="s">
        <v>1465</v>
      </c>
      <c r="BZ186" s="2" t="s">
        <v>188</v>
      </c>
      <c r="CE186" s="2">
        <v>4.5</v>
      </c>
      <c r="CF186" s="2">
        <v>445</v>
      </c>
      <c r="CK186" s="2">
        <v>100</v>
      </c>
      <c r="CO186" s="2">
        <v>100</v>
      </c>
      <c r="CR186" s="2" t="s">
        <v>343</v>
      </c>
      <c r="CT186" s="2" t="s">
        <v>188</v>
      </c>
      <c r="CU186" s="2" t="s">
        <v>249</v>
      </c>
      <c r="CY186" s="2" t="s">
        <v>207</v>
      </c>
      <c r="CZ186" s="2" t="s">
        <v>207</v>
      </c>
      <c r="DA186" s="2" t="s">
        <v>300</v>
      </c>
      <c r="DB186" s="2" t="s">
        <v>300</v>
      </c>
      <c r="DC186" s="2" t="s">
        <v>430</v>
      </c>
      <c r="DD186" s="2" t="s">
        <v>300</v>
      </c>
      <c r="DE186" s="2" t="s">
        <v>300</v>
      </c>
      <c r="DF186" s="2" t="s">
        <v>300</v>
      </c>
      <c r="DG186" s="2" t="s">
        <v>207</v>
      </c>
      <c r="DH186" s="2" t="s">
        <v>207</v>
      </c>
      <c r="DI186" s="2" t="s">
        <v>300</v>
      </c>
      <c r="DL186" s="2" t="s">
        <v>187</v>
      </c>
      <c r="DM186" s="2" t="s">
        <v>187</v>
      </c>
      <c r="DN186" s="2" t="s">
        <v>187</v>
      </c>
      <c r="DO186" s="2" t="s">
        <v>187</v>
      </c>
      <c r="DP186" s="2" t="s">
        <v>209</v>
      </c>
      <c r="DQ186" s="2" t="s">
        <v>467</v>
      </c>
      <c r="DR186" s="2" t="s">
        <v>1466</v>
      </c>
      <c r="DT186" s="2" t="s">
        <v>209</v>
      </c>
      <c r="DU186" s="2" t="s">
        <v>203</v>
      </c>
      <c r="DV186" s="2" t="s">
        <v>209</v>
      </c>
      <c r="DW186" s="2" t="s">
        <v>209</v>
      </c>
      <c r="DX186" s="2" t="s">
        <v>209</v>
      </c>
      <c r="DY186" s="2" t="s">
        <v>209</v>
      </c>
      <c r="DZ186" s="2" t="s">
        <v>203</v>
      </c>
      <c r="EA186" s="2" t="s">
        <v>203</v>
      </c>
      <c r="EB186" s="2" t="s">
        <v>209</v>
      </c>
      <c r="EC186" s="2" t="s">
        <v>203</v>
      </c>
      <c r="ED186" s="2" t="s">
        <v>203</v>
      </c>
      <c r="EF186" s="2" t="s">
        <v>302</v>
      </c>
      <c r="EG186" s="2" t="s">
        <v>1467</v>
      </c>
      <c r="EJ186" s="2" t="s">
        <v>238</v>
      </c>
      <c r="EK186" s="2" t="s">
        <v>187</v>
      </c>
      <c r="EL186" s="2" t="s">
        <v>188</v>
      </c>
      <c r="EN186" s="2" t="s">
        <v>214</v>
      </c>
      <c r="EP186" s="2" t="s">
        <v>230</v>
      </c>
      <c r="ER186" s="2" t="s">
        <v>187</v>
      </c>
      <c r="ET186" s="2" t="s">
        <v>188</v>
      </c>
      <c r="EV186" s="2" t="s">
        <v>187</v>
      </c>
      <c r="EW186" s="2" t="s">
        <v>215</v>
      </c>
      <c r="EX186" s="2" t="s">
        <v>188</v>
      </c>
      <c r="EZ186" s="2" t="s">
        <v>188</v>
      </c>
      <c r="FC186" s="2" t="s">
        <v>263</v>
      </c>
      <c r="FD186" s="2" t="s">
        <v>188</v>
      </c>
      <c r="FH186" s="2" t="s">
        <v>188</v>
      </c>
      <c r="FJ186" s="2" t="s">
        <v>188</v>
      </c>
      <c r="FK186" s="2" t="s">
        <v>188</v>
      </c>
      <c r="FN186" s="2" t="s">
        <v>488</v>
      </c>
      <c r="FR186" s="2" t="s">
        <v>1468</v>
      </c>
      <c r="FT186" s="2" t="s">
        <v>233</v>
      </c>
      <c r="FU186" s="2" t="s">
        <v>233</v>
      </c>
      <c r="FV186" s="2" t="s">
        <v>233</v>
      </c>
      <c r="FW186" s="2" t="s">
        <v>233</v>
      </c>
      <c r="FX186" s="2" t="s">
        <v>233</v>
      </c>
      <c r="FZ186" s="4">
        <v>46049.455590277779</v>
      </c>
    </row>
    <row r="187" spans="1:182">
      <c r="A187" s="2" t="s">
        <v>1469</v>
      </c>
      <c r="D187" s="4">
        <v>46296.513055555559</v>
      </c>
      <c r="E187" s="2" t="s">
        <v>1470</v>
      </c>
      <c r="F187" s="2" t="s">
        <v>590</v>
      </c>
      <c r="G187" s="2" t="s">
        <v>1206</v>
      </c>
      <c r="H187" s="2" t="s">
        <v>1219</v>
      </c>
      <c r="I187" s="2" t="s">
        <v>1471</v>
      </c>
      <c r="J187" s="2">
        <v>867087372</v>
      </c>
      <c r="K187" s="2" t="s">
        <v>1472</v>
      </c>
      <c r="L187" s="2" t="s">
        <v>182</v>
      </c>
      <c r="M187" s="2" t="s">
        <v>223</v>
      </c>
      <c r="N187" s="2">
        <v>1982</v>
      </c>
      <c r="O187" s="2" t="s">
        <v>184</v>
      </c>
      <c r="P187" s="2" t="s">
        <v>225</v>
      </c>
      <c r="Q187" s="2" t="s">
        <v>603</v>
      </c>
      <c r="R187" s="2" t="s">
        <v>188</v>
      </c>
      <c r="S187" s="2">
        <v>16</v>
      </c>
      <c r="T187" s="2" t="s">
        <v>188</v>
      </c>
      <c r="U187" s="2" t="s">
        <v>188</v>
      </c>
      <c r="Y187" s="2">
        <v>140</v>
      </c>
      <c r="Z187" s="2">
        <v>1</v>
      </c>
      <c r="AA187" s="2">
        <v>140</v>
      </c>
      <c r="AB187" s="2">
        <v>140</v>
      </c>
      <c r="AC187" s="2">
        <v>140</v>
      </c>
      <c r="AD187" s="2">
        <v>200</v>
      </c>
      <c r="AE187" s="2">
        <v>60</v>
      </c>
      <c r="AF187" s="2" t="s">
        <v>188</v>
      </c>
      <c r="AG187" s="2" t="s">
        <v>188</v>
      </c>
      <c r="AH187" s="2" t="s">
        <v>188</v>
      </c>
      <c r="AJ187" s="2" t="s">
        <v>188</v>
      </c>
      <c r="AK187" s="2" t="s">
        <v>188</v>
      </c>
      <c r="AL187" s="2" t="s">
        <v>188</v>
      </c>
      <c r="AM187" s="2" t="s">
        <v>188</v>
      </c>
      <c r="AN187" s="2" t="s">
        <v>188</v>
      </c>
      <c r="AO187" s="2" t="s">
        <v>188</v>
      </c>
      <c r="AR187" s="2">
        <v>1.3</v>
      </c>
      <c r="AS187" s="2">
        <v>2</v>
      </c>
      <c r="AT187" s="2">
        <v>2.1</v>
      </c>
      <c r="AU187" s="2" t="s">
        <v>203</v>
      </c>
      <c r="AV187" s="2" t="s">
        <v>189</v>
      </c>
      <c r="AW187" s="2" t="s">
        <v>188</v>
      </c>
      <c r="AZ187" s="2" t="s">
        <v>190</v>
      </c>
      <c r="BB187" s="2" t="s">
        <v>260</v>
      </c>
      <c r="BC187" s="2" t="s">
        <v>296</v>
      </c>
      <c r="BD187" s="2" t="s">
        <v>187</v>
      </c>
      <c r="BE187" s="2" t="s">
        <v>187</v>
      </c>
      <c r="BF187" s="2" t="s">
        <v>193</v>
      </c>
      <c r="BG187" s="2" t="s">
        <v>194</v>
      </c>
      <c r="BH187" s="2" t="s">
        <v>195</v>
      </c>
      <c r="BI187" s="2" t="s">
        <v>196</v>
      </c>
      <c r="BL187" s="2" t="s">
        <v>197</v>
      </c>
      <c r="BM187" s="2" t="s">
        <v>507</v>
      </c>
      <c r="BN187" s="2" t="s">
        <v>199</v>
      </c>
      <c r="BO187" s="2" t="s">
        <v>188</v>
      </c>
      <c r="BQ187" s="2" t="s">
        <v>227</v>
      </c>
      <c r="BS187" s="2" t="s">
        <v>187</v>
      </c>
      <c r="BT187" s="2" t="s">
        <v>1301</v>
      </c>
      <c r="BV187" s="2" t="s">
        <v>242</v>
      </c>
      <c r="BX187" s="2" t="s">
        <v>188</v>
      </c>
      <c r="BZ187" s="2" t="s">
        <v>188</v>
      </c>
      <c r="CE187" s="2">
        <v>2.1</v>
      </c>
      <c r="CF187" s="2">
        <v>200</v>
      </c>
      <c r="CM187" s="2">
        <v>100</v>
      </c>
      <c r="CO187" s="2">
        <v>100</v>
      </c>
      <c r="CR187" s="2" t="s">
        <v>204</v>
      </c>
      <c r="CT187" s="2" t="s">
        <v>188</v>
      </c>
      <c r="CU187" s="2" t="s">
        <v>205</v>
      </c>
      <c r="CW187" s="2" t="s">
        <v>206</v>
      </c>
      <c r="CY187" s="2" t="s">
        <v>207</v>
      </c>
      <c r="CZ187" s="2" t="s">
        <v>300</v>
      </c>
      <c r="DA187" s="2" t="s">
        <v>300</v>
      </c>
      <c r="DB187" s="2" t="s">
        <v>300</v>
      </c>
      <c r="DC187" s="2" t="s">
        <v>300</v>
      </c>
      <c r="DD187" s="2" t="s">
        <v>300</v>
      </c>
      <c r="DE187" s="2" t="s">
        <v>300</v>
      </c>
      <c r="DF187" s="2" t="s">
        <v>300</v>
      </c>
      <c r="DG187" s="2" t="s">
        <v>300</v>
      </c>
      <c r="DH187" s="2" t="s">
        <v>300</v>
      </c>
      <c r="DI187" s="2" t="s">
        <v>300</v>
      </c>
      <c r="DL187" s="2" t="s">
        <v>188</v>
      </c>
      <c r="DM187" s="2" t="s">
        <v>187</v>
      </c>
      <c r="DN187" s="2" t="s">
        <v>187</v>
      </c>
      <c r="DO187" s="2" t="s">
        <v>187</v>
      </c>
      <c r="DP187" s="2" t="s">
        <v>203</v>
      </c>
      <c r="DT187" s="2" t="s">
        <v>209</v>
      </c>
      <c r="DU187" s="2" t="s">
        <v>203</v>
      </c>
      <c r="DV187" s="2" t="s">
        <v>209</v>
      </c>
      <c r="DW187" s="2" t="s">
        <v>209</v>
      </c>
      <c r="DX187" s="2" t="s">
        <v>209</v>
      </c>
      <c r="DY187" s="2" t="s">
        <v>203</v>
      </c>
      <c r="DZ187" s="2" t="s">
        <v>203</v>
      </c>
      <c r="EA187" s="2" t="s">
        <v>203</v>
      </c>
      <c r="EB187" s="2" t="s">
        <v>209</v>
      </c>
      <c r="EC187" s="2" t="s">
        <v>188</v>
      </c>
      <c r="EF187" s="2" t="s">
        <v>189</v>
      </c>
      <c r="EG187" s="2" t="s">
        <v>1473</v>
      </c>
      <c r="EJ187" s="2" t="s">
        <v>203</v>
      </c>
      <c r="EK187" s="2" t="s">
        <v>188</v>
      </c>
      <c r="EL187" s="2" t="s">
        <v>188</v>
      </c>
      <c r="EN187" s="2" t="s">
        <v>255</v>
      </c>
      <c r="EP187" s="2" t="s">
        <v>230</v>
      </c>
      <c r="ER187" s="2" t="s">
        <v>188</v>
      </c>
      <c r="ET187" s="2" t="s">
        <v>188</v>
      </c>
      <c r="EV187" s="2" t="s">
        <v>188</v>
      </c>
      <c r="EX187" s="2" t="s">
        <v>188</v>
      </c>
      <c r="EZ187" s="2" t="s">
        <v>188</v>
      </c>
      <c r="FC187" s="2" t="s">
        <v>263</v>
      </c>
      <c r="FD187" s="2" t="s">
        <v>188</v>
      </c>
      <c r="FH187" s="2" t="s">
        <v>188</v>
      </c>
      <c r="FJ187" s="2" t="s">
        <v>188</v>
      </c>
      <c r="FK187" s="2" t="s">
        <v>203</v>
      </c>
      <c r="FN187" s="2" t="s">
        <v>1474</v>
      </c>
      <c r="FR187" s="2" t="s">
        <v>1475</v>
      </c>
      <c r="FT187" s="2" t="s">
        <v>233</v>
      </c>
      <c r="FU187" s="2" t="s">
        <v>233</v>
      </c>
      <c r="FV187" s="2" t="s">
        <v>233</v>
      </c>
      <c r="FW187" s="2" t="s">
        <v>233</v>
      </c>
      <c r="FZ187" s="4">
        <v>46047.602268518516</v>
      </c>
    </row>
    <row r="188" spans="1:182">
      <c r="A188" s="2" t="s">
        <v>1476</v>
      </c>
      <c r="D188" s="4">
        <v>46296.518159722225</v>
      </c>
      <c r="E188" s="2" t="s">
        <v>177</v>
      </c>
      <c r="F188" s="2" t="s">
        <v>178</v>
      </c>
      <c r="G188" s="2" t="s">
        <v>1206</v>
      </c>
      <c r="H188" s="2" t="s">
        <v>1207</v>
      </c>
      <c r="I188" s="2" t="s">
        <v>1477</v>
      </c>
      <c r="J188" s="2">
        <v>358115567</v>
      </c>
      <c r="K188" s="2" t="s">
        <v>1477</v>
      </c>
      <c r="L188" s="2" t="s">
        <v>182</v>
      </c>
      <c r="M188" s="2" t="s">
        <v>183</v>
      </c>
      <c r="N188" s="2">
        <v>1987</v>
      </c>
      <c r="O188" s="2" t="s">
        <v>224</v>
      </c>
      <c r="P188" s="2" t="s">
        <v>185</v>
      </c>
      <c r="Q188" s="2" t="s">
        <v>186</v>
      </c>
      <c r="R188" s="2" t="s">
        <v>188</v>
      </c>
      <c r="S188" s="2">
        <v>14</v>
      </c>
      <c r="T188" s="2" t="s">
        <v>188</v>
      </c>
      <c r="U188" s="2" t="s">
        <v>188</v>
      </c>
      <c r="Y188" s="2">
        <v>262</v>
      </c>
      <c r="Z188" s="2">
        <v>0.92369999999999997</v>
      </c>
      <c r="AA188" s="2">
        <v>242</v>
      </c>
      <c r="AB188" s="2">
        <v>235</v>
      </c>
      <c r="AC188" s="2">
        <v>235</v>
      </c>
      <c r="AD188" s="2">
        <v>300</v>
      </c>
      <c r="AE188" s="2">
        <v>65</v>
      </c>
      <c r="AF188" s="2" t="s">
        <v>188</v>
      </c>
      <c r="AG188" s="2" t="s">
        <v>188</v>
      </c>
      <c r="AH188" s="2" t="s">
        <v>188</v>
      </c>
      <c r="AJ188" s="2" t="s">
        <v>188</v>
      </c>
      <c r="AK188" s="2" t="s">
        <v>187</v>
      </c>
      <c r="AL188" s="2" t="s">
        <v>188</v>
      </c>
      <c r="AM188" s="2" t="s">
        <v>187</v>
      </c>
      <c r="AN188" s="2" t="s">
        <v>188</v>
      </c>
      <c r="AO188" s="2" t="s">
        <v>188</v>
      </c>
      <c r="AR188" s="2">
        <v>1.6</v>
      </c>
      <c r="AS188" s="2">
        <v>2</v>
      </c>
      <c r="AT188" s="2">
        <v>3.9</v>
      </c>
      <c r="AU188" s="2" t="s">
        <v>189</v>
      </c>
      <c r="AV188" s="2" t="s">
        <v>189</v>
      </c>
      <c r="AW188" s="2" t="s">
        <v>188</v>
      </c>
      <c r="AZ188" s="2" t="s">
        <v>190</v>
      </c>
      <c r="BB188" s="2" t="s">
        <v>191</v>
      </c>
      <c r="BC188" s="2" t="s">
        <v>192</v>
      </c>
      <c r="BD188" s="2" t="s">
        <v>187</v>
      </c>
      <c r="BE188" s="2" t="s">
        <v>187</v>
      </c>
      <c r="BF188" s="2" t="s">
        <v>193</v>
      </c>
      <c r="BG188" s="2" t="s">
        <v>194</v>
      </c>
      <c r="BH188" s="2" t="s">
        <v>195</v>
      </c>
      <c r="BI188" s="2" t="s">
        <v>196</v>
      </c>
      <c r="BL188" s="2" t="s">
        <v>197</v>
      </c>
      <c r="BM188" s="2" t="s">
        <v>198</v>
      </c>
      <c r="BN188" s="2" t="s">
        <v>199</v>
      </c>
      <c r="BO188" s="2" t="s">
        <v>188</v>
      </c>
      <c r="BQ188" s="2" t="s">
        <v>200</v>
      </c>
      <c r="BS188" s="2" t="s">
        <v>187</v>
      </c>
      <c r="BT188" s="2" t="s">
        <v>261</v>
      </c>
      <c r="BV188" s="2" t="s">
        <v>248</v>
      </c>
      <c r="BX188" s="2" t="s">
        <v>188</v>
      </c>
      <c r="BZ188" s="2" t="s">
        <v>203</v>
      </c>
      <c r="CE188" s="2">
        <v>3.9</v>
      </c>
      <c r="CF188" s="2">
        <v>300</v>
      </c>
      <c r="CK188" s="2">
        <v>100</v>
      </c>
      <c r="CO188" s="2">
        <v>100</v>
      </c>
      <c r="CR188" s="2" t="s">
        <v>204</v>
      </c>
      <c r="CT188" s="2" t="s">
        <v>188</v>
      </c>
      <c r="CU188" s="2" t="s">
        <v>281</v>
      </c>
      <c r="CW188" s="2" t="s">
        <v>206</v>
      </c>
      <c r="CY188" s="2" t="s">
        <v>208</v>
      </c>
      <c r="CZ188" s="2" t="s">
        <v>208</v>
      </c>
      <c r="DA188" s="2" t="s">
        <v>208</v>
      </c>
      <c r="DB188" s="2" t="s">
        <v>208</v>
      </c>
      <c r="DC188" s="2" t="s">
        <v>208</v>
      </c>
      <c r="DD188" s="2" t="s">
        <v>208</v>
      </c>
      <c r="DE188" s="2" t="s">
        <v>208</v>
      </c>
      <c r="DF188" s="2" t="s">
        <v>208</v>
      </c>
      <c r="DG188" s="2" t="s">
        <v>208</v>
      </c>
      <c r="DH188" s="2" t="s">
        <v>208</v>
      </c>
      <c r="DI188" s="2" t="s">
        <v>208</v>
      </c>
      <c r="DL188" s="2" t="s">
        <v>187</v>
      </c>
      <c r="DM188" s="2" t="s">
        <v>187</v>
      </c>
      <c r="DN188" s="2" t="s">
        <v>187</v>
      </c>
      <c r="DO188" s="2" t="s">
        <v>187</v>
      </c>
      <c r="DP188" s="2" t="s">
        <v>209</v>
      </c>
      <c r="DQ188" s="2" t="s">
        <v>210</v>
      </c>
      <c r="DT188" s="2" t="s">
        <v>209</v>
      </c>
      <c r="DU188" s="2" t="s">
        <v>209</v>
      </c>
      <c r="DV188" s="2" t="s">
        <v>209</v>
      </c>
      <c r="DW188" s="2" t="s">
        <v>209</v>
      </c>
      <c r="DX188" s="2" t="s">
        <v>209</v>
      </c>
      <c r="DY188" s="2" t="s">
        <v>209</v>
      </c>
      <c r="DZ188" s="2" t="s">
        <v>209</v>
      </c>
      <c r="EA188" s="2" t="s">
        <v>209</v>
      </c>
      <c r="EB188" s="2" t="s">
        <v>209</v>
      </c>
      <c r="EF188" s="2" t="s">
        <v>189</v>
      </c>
      <c r="EJ188" s="2" t="s">
        <v>189</v>
      </c>
      <c r="EK188" s="2" t="s">
        <v>187</v>
      </c>
      <c r="EL188" s="2" t="s">
        <v>188</v>
      </c>
      <c r="EN188" s="2" t="s">
        <v>214</v>
      </c>
      <c r="EP188" s="2" t="s">
        <v>230</v>
      </c>
      <c r="ER188" s="2" t="s">
        <v>187</v>
      </c>
      <c r="ET188" s="2" t="s">
        <v>188</v>
      </c>
      <c r="EV188" s="2" t="s">
        <v>187</v>
      </c>
      <c r="EW188" s="2" t="s">
        <v>215</v>
      </c>
      <c r="EX188" s="2" t="s">
        <v>187</v>
      </c>
      <c r="EY188" s="2" t="s">
        <v>215</v>
      </c>
      <c r="FC188" s="2" t="s">
        <v>216</v>
      </c>
      <c r="FD188" s="2" t="s">
        <v>188</v>
      </c>
      <c r="FH188" s="2" t="s">
        <v>188</v>
      </c>
      <c r="FJ188" s="2" t="s">
        <v>187</v>
      </c>
      <c r="FK188" s="2" t="s">
        <v>209</v>
      </c>
      <c r="FL188" s="2" t="s">
        <v>231</v>
      </c>
      <c r="FN188" s="2" t="s">
        <v>488</v>
      </c>
      <c r="FR188" s="2" t="s">
        <v>1478</v>
      </c>
      <c r="FT188" s="2" t="s">
        <v>219</v>
      </c>
      <c r="FU188" s="2" t="s">
        <v>219</v>
      </c>
      <c r="FV188" s="2" t="s">
        <v>219</v>
      </c>
      <c r="FW188" s="2" t="s">
        <v>219</v>
      </c>
      <c r="FZ188" s="4">
        <v>46040.590358796297</v>
      </c>
    </row>
    <row r="189" spans="1:182">
      <c r="A189" s="2" t="s">
        <v>1479</v>
      </c>
      <c r="D189" s="4">
        <v>46296.536493055559</v>
      </c>
      <c r="E189" s="2" t="s">
        <v>1480</v>
      </c>
      <c r="F189" s="2" t="s">
        <v>590</v>
      </c>
      <c r="G189" s="2" t="s">
        <v>1206</v>
      </c>
      <c r="H189" s="2" t="s">
        <v>1219</v>
      </c>
      <c r="I189" s="2" t="s">
        <v>1481</v>
      </c>
      <c r="J189" s="2">
        <v>364548196</v>
      </c>
      <c r="K189" s="2" t="s">
        <v>1482</v>
      </c>
      <c r="L189" s="2" t="s">
        <v>182</v>
      </c>
      <c r="M189" s="2" t="s">
        <v>223</v>
      </c>
      <c r="N189" s="2">
        <v>2001</v>
      </c>
      <c r="O189" s="2" t="s">
        <v>184</v>
      </c>
      <c r="P189" s="2" t="s">
        <v>225</v>
      </c>
      <c r="Q189" s="2" t="s">
        <v>186</v>
      </c>
      <c r="R189" s="2" t="s">
        <v>188</v>
      </c>
      <c r="S189" s="2">
        <v>8</v>
      </c>
      <c r="T189" s="2" t="s">
        <v>188</v>
      </c>
      <c r="U189" s="2" t="s">
        <v>188</v>
      </c>
      <c r="Y189" s="2">
        <v>110</v>
      </c>
      <c r="Z189" s="2">
        <v>1</v>
      </c>
      <c r="AA189" s="2">
        <v>110</v>
      </c>
      <c r="AB189" s="2">
        <v>110</v>
      </c>
      <c r="AC189" s="2">
        <v>110</v>
      </c>
      <c r="AD189" s="2">
        <v>150</v>
      </c>
      <c r="AE189" s="2">
        <v>40</v>
      </c>
      <c r="AF189" s="2" t="s">
        <v>188</v>
      </c>
      <c r="AG189" s="2" t="s">
        <v>188</v>
      </c>
      <c r="AH189" s="2" t="s">
        <v>188</v>
      </c>
      <c r="AJ189" s="2" t="s">
        <v>188</v>
      </c>
      <c r="AK189" s="2" t="s">
        <v>188</v>
      </c>
      <c r="AL189" s="2" t="s">
        <v>188</v>
      </c>
      <c r="AM189" s="2" t="s">
        <v>188</v>
      </c>
      <c r="AN189" s="2" t="s">
        <v>188</v>
      </c>
      <c r="AO189" s="2" t="s">
        <v>188</v>
      </c>
      <c r="AR189" s="2">
        <v>0.6</v>
      </c>
      <c r="AS189" s="2">
        <v>2</v>
      </c>
      <c r="AT189" s="2">
        <v>1.5</v>
      </c>
      <c r="AU189" s="2" t="s">
        <v>203</v>
      </c>
      <c r="AV189" s="2" t="s">
        <v>189</v>
      </c>
      <c r="AW189" s="2" t="s">
        <v>188</v>
      </c>
      <c r="AZ189" s="2" t="s">
        <v>190</v>
      </c>
      <c r="BB189" s="2" t="s">
        <v>260</v>
      </c>
      <c r="BC189" s="2" t="s">
        <v>192</v>
      </c>
      <c r="BD189" s="2" t="s">
        <v>188</v>
      </c>
      <c r="BE189" s="2" t="s">
        <v>188</v>
      </c>
      <c r="BL189" s="2" t="s">
        <v>240</v>
      </c>
      <c r="BO189" s="2" t="s">
        <v>188</v>
      </c>
      <c r="BQ189" s="2" t="s">
        <v>227</v>
      </c>
      <c r="BS189" s="2" t="s">
        <v>188</v>
      </c>
      <c r="BT189" s="2" t="s">
        <v>651</v>
      </c>
      <c r="BV189" s="2" t="s">
        <v>389</v>
      </c>
      <c r="BX189" s="2" t="s">
        <v>188</v>
      </c>
      <c r="BZ189" s="2" t="s">
        <v>188</v>
      </c>
      <c r="CE189" s="2">
        <v>1.5</v>
      </c>
      <c r="CF189" s="2">
        <v>150</v>
      </c>
      <c r="CK189" s="2">
        <v>100</v>
      </c>
      <c r="CO189" s="2">
        <v>100</v>
      </c>
      <c r="CR189" s="2" t="s">
        <v>204</v>
      </c>
      <c r="CT189" s="2" t="s">
        <v>188</v>
      </c>
      <c r="CU189" s="2" t="s">
        <v>758</v>
      </c>
      <c r="CW189" s="2" t="s">
        <v>206</v>
      </c>
      <c r="CY189" s="2" t="s">
        <v>207</v>
      </c>
      <c r="CZ189" s="2" t="s">
        <v>430</v>
      </c>
      <c r="DA189" s="2" t="s">
        <v>300</v>
      </c>
      <c r="DB189" s="2" t="s">
        <v>430</v>
      </c>
      <c r="DC189" s="2" t="s">
        <v>430</v>
      </c>
      <c r="DD189" s="2" t="s">
        <v>300</v>
      </c>
      <c r="DE189" s="2" t="s">
        <v>300</v>
      </c>
      <c r="DF189" s="2" t="s">
        <v>300</v>
      </c>
      <c r="DG189" s="2" t="s">
        <v>430</v>
      </c>
      <c r="DH189" s="2" t="s">
        <v>430</v>
      </c>
      <c r="DI189" s="2" t="s">
        <v>430</v>
      </c>
      <c r="DL189" s="2" t="s">
        <v>187</v>
      </c>
      <c r="DM189" s="2" t="s">
        <v>187</v>
      </c>
      <c r="DN189" s="2" t="s">
        <v>188</v>
      </c>
      <c r="DO189" s="2" t="s">
        <v>187</v>
      </c>
      <c r="DP189" s="2" t="s">
        <v>203</v>
      </c>
      <c r="DT189" s="2" t="s">
        <v>209</v>
      </c>
      <c r="DU189" s="2" t="s">
        <v>209</v>
      </c>
      <c r="DV189" s="2" t="s">
        <v>209</v>
      </c>
      <c r="DW189" s="2" t="s">
        <v>209</v>
      </c>
      <c r="DX189" s="2" t="s">
        <v>209</v>
      </c>
      <c r="DY189" s="2" t="s">
        <v>209</v>
      </c>
      <c r="DZ189" s="2" t="s">
        <v>209</v>
      </c>
      <c r="EA189" s="2" t="s">
        <v>209</v>
      </c>
      <c r="EB189" s="2" t="s">
        <v>209</v>
      </c>
      <c r="EC189" s="2" t="s">
        <v>188</v>
      </c>
      <c r="EF189" s="2" t="s">
        <v>189</v>
      </c>
      <c r="EG189" s="2" t="s">
        <v>1483</v>
      </c>
      <c r="EJ189" s="2" t="s">
        <v>203</v>
      </c>
      <c r="EK189" s="2" t="s">
        <v>188</v>
      </c>
      <c r="EL189" s="2" t="s">
        <v>188</v>
      </c>
      <c r="EN189" s="2" t="s">
        <v>214</v>
      </c>
      <c r="EP189" s="2" t="s">
        <v>230</v>
      </c>
      <c r="ER189" s="2" t="s">
        <v>188</v>
      </c>
      <c r="ET189" s="2" t="s">
        <v>188</v>
      </c>
      <c r="EV189" s="2" t="s">
        <v>188</v>
      </c>
      <c r="EX189" s="2" t="s">
        <v>188</v>
      </c>
      <c r="EZ189" s="2" t="s">
        <v>188</v>
      </c>
      <c r="FC189" s="2" t="s">
        <v>263</v>
      </c>
      <c r="FD189" s="2" t="s">
        <v>188</v>
      </c>
      <c r="FH189" s="2" t="s">
        <v>188</v>
      </c>
      <c r="FJ189" s="2" t="s">
        <v>188</v>
      </c>
      <c r="FK189" s="2" t="s">
        <v>188</v>
      </c>
      <c r="FN189" s="2" t="s">
        <v>819</v>
      </c>
      <c r="FR189" s="2" t="s">
        <v>1484</v>
      </c>
      <c r="FT189" s="2" t="s">
        <v>233</v>
      </c>
      <c r="FU189" s="2" t="s">
        <v>233</v>
      </c>
      <c r="FV189" s="2" t="s">
        <v>219</v>
      </c>
      <c r="FW189" s="2" t="s">
        <v>233</v>
      </c>
      <c r="FZ189" s="4">
        <v>46047.603020833332</v>
      </c>
    </row>
    <row r="190" spans="1:182">
      <c r="A190" s="2" t="s">
        <v>1485</v>
      </c>
      <c r="D190" s="4">
        <v>46296.537129629629</v>
      </c>
      <c r="E190" s="2" t="s">
        <v>177</v>
      </c>
      <c r="F190" s="2" t="s">
        <v>178</v>
      </c>
      <c r="G190" s="2" t="s">
        <v>1206</v>
      </c>
      <c r="H190" s="2" t="s">
        <v>1207</v>
      </c>
      <c r="I190" s="2" t="s">
        <v>1486</v>
      </c>
      <c r="J190" s="2">
        <v>348578001</v>
      </c>
      <c r="K190" s="2" t="s">
        <v>1487</v>
      </c>
      <c r="L190" s="2" t="s">
        <v>182</v>
      </c>
      <c r="M190" s="2" t="s">
        <v>223</v>
      </c>
      <c r="N190" s="2">
        <v>1996</v>
      </c>
      <c r="O190" s="2" t="s">
        <v>834</v>
      </c>
      <c r="P190" s="2" t="s">
        <v>225</v>
      </c>
      <c r="Q190" s="2" t="s">
        <v>186</v>
      </c>
      <c r="R190" s="2" t="s">
        <v>188</v>
      </c>
      <c r="S190" s="2">
        <v>11</v>
      </c>
      <c r="T190" s="2" t="s">
        <v>188</v>
      </c>
      <c r="U190" s="2" t="s">
        <v>188</v>
      </c>
      <c r="Y190" s="2">
        <v>52</v>
      </c>
      <c r="Z190" s="2">
        <v>0.76919999999999999</v>
      </c>
      <c r="AA190" s="2">
        <v>40</v>
      </c>
      <c r="AB190" s="2">
        <v>40</v>
      </c>
      <c r="AC190" s="2">
        <v>40</v>
      </c>
      <c r="AD190" s="2">
        <v>50</v>
      </c>
      <c r="AE190" s="2">
        <v>10</v>
      </c>
      <c r="AF190" s="2" t="s">
        <v>187</v>
      </c>
      <c r="AG190" s="2" t="s">
        <v>188</v>
      </c>
      <c r="AH190" s="2" t="s">
        <v>188</v>
      </c>
      <c r="AJ190" s="2" t="s">
        <v>188</v>
      </c>
      <c r="AK190" s="2" t="s">
        <v>188</v>
      </c>
      <c r="AL190" s="2" t="s">
        <v>188</v>
      </c>
      <c r="AM190" s="2" t="s">
        <v>187</v>
      </c>
      <c r="AN190" s="2" t="s">
        <v>188</v>
      </c>
      <c r="AO190" s="2" t="s">
        <v>188</v>
      </c>
      <c r="AR190" s="2">
        <v>0.6</v>
      </c>
      <c r="AS190" s="2">
        <v>2</v>
      </c>
      <c r="AT190" s="2">
        <v>0.6</v>
      </c>
      <c r="AU190" s="2" t="s">
        <v>189</v>
      </c>
      <c r="AV190" s="2" t="s">
        <v>189</v>
      </c>
      <c r="AW190" s="2" t="s">
        <v>188</v>
      </c>
      <c r="AZ190" s="2" t="s">
        <v>190</v>
      </c>
      <c r="BB190" s="2" t="s">
        <v>260</v>
      </c>
      <c r="BC190" s="2" t="s">
        <v>192</v>
      </c>
      <c r="BD190" s="2" t="s">
        <v>187</v>
      </c>
      <c r="BE190" s="2" t="s">
        <v>187</v>
      </c>
      <c r="BF190" s="2" t="s">
        <v>193</v>
      </c>
      <c r="BG190" s="2" t="s">
        <v>194</v>
      </c>
      <c r="BH190" s="2" t="s">
        <v>195</v>
      </c>
      <c r="BI190" s="2" t="s">
        <v>196</v>
      </c>
      <c r="BL190" s="2" t="s">
        <v>197</v>
      </c>
      <c r="BM190" s="2" t="s">
        <v>198</v>
      </c>
      <c r="BN190" s="2" t="s">
        <v>199</v>
      </c>
      <c r="BO190" s="2" t="s">
        <v>188</v>
      </c>
      <c r="BQ190" s="2" t="s">
        <v>200</v>
      </c>
      <c r="BS190" s="2" t="s">
        <v>187</v>
      </c>
      <c r="BT190" s="2" t="s">
        <v>201</v>
      </c>
      <c r="BV190" s="2" t="s">
        <v>248</v>
      </c>
      <c r="BX190" s="2" t="s">
        <v>188</v>
      </c>
      <c r="BZ190" s="2" t="s">
        <v>188</v>
      </c>
      <c r="CE190" s="2">
        <v>0.6</v>
      </c>
      <c r="CF190" s="2">
        <v>50</v>
      </c>
      <c r="CK190" s="2">
        <v>100</v>
      </c>
      <c r="CO190" s="2">
        <v>100</v>
      </c>
      <c r="CR190" s="2" t="s">
        <v>204</v>
      </c>
      <c r="CT190" s="2" t="s">
        <v>188</v>
      </c>
      <c r="CU190" s="2" t="s">
        <v>205</v>
      </c>
      <c r="CW190" s="2" t="s">
        <v>206</v>
      </c>
      <c r="CY190" s="2" t="s">
        <v>207</v>
      </c>
      <c r="CZ190" s="2" t="s">
        <v>207</v>
      </c>
      <c r="DA190" s="2" t="s">
        <v>208</v>
      </c>
      <c r="DB190" s="2" t="s">
        <v>208</v>
      </c>
      <c r="DC190" s="2" t="s">
        <v>208</v>
      </c>
      <c r="DD190" s="2" t="s">
        <v>208</v>
      </c>
      <c r="DE190" s="2" t="s">
        <v>208</v>
      </c>
      <c r="DF190" s="2" t="s">
        <v>208</v>
      </c>
      <c r="DG190" s="2" t="s">
        <v>208</v>
      </c>
      <c r="DH190" s="2" t="s">
        <v>208</v>
      </c>
      <c r="DI190" s="2" t="s">
        <v>208</v>
      </c>
      <c r="DL190" s="2" t="s">
        <v>188</v>
      </c>
      <c r="DM190" s="2" t="s">
        <v>188</v>
      </c>
      <c r="DP190" s="2" t="s">
        <v>188</v>
      </c>
      <c r="DT190" s="2" t="s">
        <v>203</v>
      </c>
      <c r="DU190" s="2" t="s">
        <v>203</v>
      </c>
      <c r="DV190" s="2" t="s">
        <v>203</v>
      </c>
      <c r="DW190" s="2" t="s">
        <v>203</v>
      </c>
      <c r="DX190" s="2" t="s">
        <v>203</v>
      </c>
      <c r="DY190" s="2" t="s">
        <v>203</v>
      </c>
      <c r="DZ190" s="2" t="s">
        <v>203</v>
      </c>
      <c r="EA190" s="2" t="s">
        <v>203</v>
      </c>
      <c r="EB190" s="2" t="s">
        <v>203</v>
      </c>
      <c r="EC190" s="2" t="s">
        <v>203</v>
      </c>
      <c r="ED190" s="2" t="s">
        <v>203</v>
      </c>
      <c r="EJ190" s="2" t="s">
        <v>238</v>
      </c>
      <c r="EK190" s="2" t="s">
        <v>188</v>
      </c>
      <c r="EL190" s="2" t="s">
        <v>188</v>
      </c>
      <c r="EN190" s="2" t="s">
        <v>214</v>
      </c>
      <c r="EP190" s="2" t="s">
        <v>230</v>
      </c>
      <c r="ER190" s="2" t="s">
        <v>188</v>
      </c>
      <c r="ET190" s="2" t="s">
        <v>188</v>
      </c>
      <c r="EV190" s="2" t="s">
        <v>188</v>
      </c>
      <c r="EX190" s="2" t="s">
        <v>188</v>
      </c>
      <c r="FD190" s="2" t="s">
        <v>188</v>
      </c>
      <c r="FH190" s="2" t="s">
        <v>188</v>
      </c>
      <c r="FJ190" s="2" t="s">
        <v>187</v>
      </c>
      <c r="FK190" s="2" t="s">
        <v>188</v>
      </c>
      <c r="FT190" s="2" t="s">
        <v>233</v>
      </c>
      <c r="FU190" s="2" t="s">
        <v>233</v>
      </c>
      <c r="FV190" s="2" t="s">
        <v>233</v>
      </c>
      <c r="FW190" s="2" t="s">
        <v>233</v>
      </c>
      <c r="FZ190" s="4">
        <v>46040.580520833333</v>
      </c>
    </row>
    <row r="191" spans="1:182">
      <c r="A191" s="2" t="s">
        <v>1488</v>
      </c>
      <c r="D191" s="4">
        <v>46296.547372685185</v>
      </c>
      <c r="E191" s="2" t="s">
        <v>1489</v>
      </c>
      <c r="F191" s="2" t="s">
        <v>590</v>
      </c>
      <c r="G191" s="2" t="s">
        <v>1206</v>
      </c>
      <c r="H191" s="2" t="s">
        <v>1212</v>
      </c>
      <c r="I191" s="2" t="s">
        <v>1490</v>
      </c>
      <c r="J191" s="2">
        <v>928607212</v>
      </c>
      <c r="K191" s="2" t="s">
        <v>1490</v>
      </c>
      <c r="L191" s="2" t="s">
        <v>182</v>
      </c>
      <c r="M191" s="2" t="s">
        <v>183</v>
      </c>
      <c r="N191" s="2">
        <v>1995</v>
      </c>
      <c r="O191" s="2" t="s">
        <v>184</v>
      </c>
      <c r="P191" s="2" t="s">
        <v>185</v>
      </c>
      <c r="Q191" s="2" t="s">
        <v>186</v>
      </c>
      <c r="R191" s="2" t="s">
        <v>188</v>
      </c>
      <c r="S191" s="2">
        <v>11</v>
      </c>
      <c r="T191" s="2" t="s">
        <v>188</v>
      </c>
      <c r="U191" s="2" t="s">
        <v>188</v>
      </c>
      <c r="Y191" s="2">
        <v>70</v>
      </c>
      <c r="Z191" s="2">
        <v>1</v>
      </c>
      <c r="AA191" s="2">
        <v>70</v>
      </c>
      <c r="AB191" s="2">
        <v>70</v>
      </c>
      <c r="AC191" s="2">
        <v>70</v>
      </c>
      <c r="AD191" s="2">
        <v>100</v>
      </c>
      <c r="AE191" s="2">
        <v>30</v>
      </c>
      <c r="AF191" s="2" t="s">
        <v>188</v>
      </c>
      <c r="AG191" s="2" t="s">
        <v>188</v>
      </c>
      <c r="AH191" s="2" t="s">
        <v>188</v>
      </c>
      <c r="AJ191" s="2" t="s">
        <v>188</v>
      </c>
      <c r="AK191" s="2" t="s">
        <v>188</v>
      </c>
      <c r="AL191" s="2" t="s">
        <v>188</v>
      </c>
      <c r="AM191" s="2" t="s">
        <v>188</v>
      </c>
      <c r="AN191" s="2" t="s">
        <v>188</v>
      </c>
      <c r="AO191" s="2" t="s">
        <v>188</v>
      </c>
      <c r="AR191" s="2">
        <v>0.7</v>
      </c>
      <c r="AS191" s="2">
        <v>1</v>
      </c>
      <c r="AT191" s="2">
        <v>0.6</v>
      </c>
      <c r="AU191" s="2" t="s">
        <v>203</v>
      </c>
      <c r="AV191" s="2" t="s">
        <v>189</v>
      </c>
      <c r="AW191" s="2" t="s">
        <v>188</v>
      </c>
      <c r="AZ191" s="2" t="s">
        <v>190</v>
      </c>
      <c r="BB191" s="2" t="s">
        <v>260</v>
      </c>
      <c r="BC191" s="2" t="s">
        <v>296</v>
      </c>
      <c r="BD191" s="2" t="s">
        <v>187</v>
      </c>
      <c r="BE191" s="2" t="s">
        <v>187</v>
      </c>
      <c r="BF191" s="2" t="s">
        <v>193</v>
      </c>
      <c r="BG191" s="2" t="s">
        <v>194</v>
      </c>
      <c r="BH191" s="2" t="s">
        <v>195</v>
      </c>
      <c r="BI191" s="2" t="s">
        <v>196</v>
      </c>
      <c r="BL191" s="2" t="s">
        <v>197</v>
      </c>
      <c r="BM191" s="2" t="s">
        <v>507</v>
      </c>
      <c r="BN191" s="2" t="s">
        <v>199</v>
      </c>
      <c r="BO191" s="2" t="s">
        <v>188</v>
      </c>
      <c r="BQ191" s="2" t="s">
        <v>227</v>
      </c>
      <c r="BS191" s="2" t="s">
        <v>187</v>
      </c>
      <c r="BT191" s="2" t="s">
        <v>484</v>
      </c>
      <c r="BV191" s="2" t="s">
        <v>242</v>
      </c>
      <c r="BX191" s="2" t="s">
        <v>188</v>
      </c>
      <c r="BZ191" s="2" t="s">
        <v>188</v>
      </c>
      <c r="CE191" s="2">
        <v>0.6</v>
      </c>
      <c r="CF191" s="2">
        <v>100</v>
      </c>
      <c r="CK191" s="2">
        <v>100</v>
      </c>
      <c r="CO191" s="2">
        <v>100</v>
      </c>
      <c r="CR191" s="2" t="s">
        <v>204</v>
      </c>
      <c r="CT191" s="2" t="s">
        <v>187</v>
      </c>
      <c r="CU191" s="2" t="s">
        <v>758</v>
      </c>
      <c r="CW191" s="2" t="s">
        <v>206</v>
      </c>
      <c r="CY191" s="2" t="s">
        <v>300</v>
      </c>
      <c r="CZ191" s="2" t="s">
        <v>300</v>
      </c>
      <c r="DA191" s="2" t="s">
        <v>300</v>
      </c>
      <c r="DB191" s="2" t="s">
        <v>430</v>
      </c>
      <c r="DC191" s="2" t="s">
        <v>430</v>
      </c>
      <c r="DD191" s="2" t="s">
        <v>300</v>
      </c>
      <c r="DE191" s="2" t="s">
        <v>300</v>
      </c>
      <c r="DF191" s="2" t="s">
        <v>300</v>
      </c>
      <c r="DG191" s="2" t="s">
        <v>430</v>
      </c>
      <c r="DH191" s="2" t="s">
        <v>430</v>
      </c>
      <c r="DI191" s="2" t="s">
        <v>430</v>
      </c>
      <c r="DL191" s="2" t="s">
        <v>187</v>
      </c>
      <c r="DM191" s="2" t="s">
        <v>188</v>
      </c>
      <c r="DP191" s="2" t="s">
        <v>203</v>
      </c>
      <c r="DT191" s="2" t="s">
        <v>203</v>
      </c>
      <c r="DU191" s="2" t="s">
        <v>203</v>
      </c>
      <c r="DV191" s="2" t="s">
        <v>203</v>
      </c>
      <c r="DW191" s="2" t="s">
        <v>203</v>
      </c>
      <c r="DX191" s="2" t="s">
        <v>203</v>
      </c>
      <c r="DY191" s="2" t="s">
        <v>203</v>
      </c>
      <c r="DZ191" s="2" t="s">
        <v>203</v>
      </c>
      <c r="EA191" s="2" t="s">
        <v>203</v>
      </c>
      <c r="EB191" s="2" t="s">
        <v>203</v>
      </c>
      <c r="EC191" s="2" t="s">
        <v>203</v>
      </c>
      <c r="EF191" s="2" t="s">
        <v>189</v>
      </c>
      <c r="EG191" s="2" t="s">
        <v>1491</v>
      </c>
      <c r="EJ191" s="2" t="s">
        <v>203</v>
      </c>
      <c r="EK191" s="2" t="s">
        <v>188</v>
      </c>
      <c r="EL191" s="2" t="s">
        <v>188</v>
      </c>
      <c r="EN191" s="2" t="s">
        <v>214</v>
      </c>
      <c r="EP191" s="2" t="s">
        <v>230</v>
      </c>
      <c r="ER191" s="2" t="s">
        <v>188</v>
      </c>
      <c r="ET191" s="2" t="s">
        <v>188</v>
      </c>
      <c r="EV191" s="2" t="s">
        <v>188</v>
      </c>
      <c r="EX191" s="2" t="s">
        <v>188</v>
      </c>
      <c r="EZ191" s="2" t="s">
        <v>188</v>
      </c>
      <c r="FC191" s="2" t="s">
        <v>263</v>
      </c>
      <c r="FD191" s="2" t="s">
        <v>188</v>
      </c>
      <c r="FH191" s="2" t="s">
        <v>188</v>
      </c>
      <c r="FJ191" s="2" t="s">
        <v>188</v>
      </c>
      <c r="FK191" s="2" t="s">
        <v>188</v>
      </c>
      <c r="FN191" s="2" t="s">
        <v>1492</v>
      </c>
      <c r="FR191" s="2" t="s">
        <v>433</v>
      </c>
      <c r="FT191" s="2" t="s">
        <v>233</v>
      </c>
      <c r="FU191" s="2" t="s">
        <v>233</v>
      </c>
      <c r="FV191" s="2" t="s">
        <v>219</v>
      </c>
      <c r="FW191" s="2" t="s">
        <v>219</v>
      </c>
      <c r="FZ191" s="4">
        <v>46047.603530092594</v>
      </c>
    </row>
    <row r="192" spans="1:182">
      <c r="A192" s="2" t="s">
        <v>1493</v>
      </c>
      <c r="D192" s="4">
        <v>46296.557083333333</v>
      </c>
      <c r="E192" s="2" t="s">
        <v>1494</v>
      </c>
      <c r="F192" s="2" t="s">
        <v>590</v>
      </c>
      <c r="G192" s="2" t="s">
        <v>1206</v>
      </c>
      <c r="H192" s="2" t="s">
        <v>1219</v>
      </c>
      <c r="I192" s="2" t="s">
        <v>1495</v>
      </c>
      <c r="J192" s="2">
        <v>372392870</v>
      </c>
      <c r="K192" s="2" t="s">
        <v>1495</v>
      </c>
      <c r="L192" s="2" t="s">
        <v>182</v>
      </c>
      <c r="M192" s="2" t="s">
        <v>183</v>
      </c>
      <c r="N192" s="2">
        <v>1994</v>
      </c>
      <c r="O192" s="2" t="s">
        <v>184</v>
      </c>
      <c r="P192" s="2" t="s">
        <v>185</v>
      </c>
      <c r="Q192" s="2" t="s">
        <v>186</v>
      </c>
      <c r="R192" s="2" t="s">
        <v>188</v>
      </c>
      <c r="S192" s="2">
        <v>15</v>
      </c>
      <c r="T192" s="2" t="s">
        <v>188</v>
      </c>
      <c r="U192" s="2" t="s">
        <v>188</v>
      </c>
      <c r="Y192" s="2">
        <v>83</v>
      </c>
      <c r="Z192" s="2">
        <v>1</v>
      </c>
      <c r="AA192" s="2">
        <v>83</v>
      </c>
      <c r="AB192" s="2">
        <v>83</v>
      </c>
      <c r="AC192" s="2">
        <v>83</v>
      </c>
      <c r="AD192" s="2">
        <v>100</v>
      </c>
      <c r="AE192" s="2">
        <v>17</v>
      </c>
      <c r="AF192" s="2" t="s">
        <v>188</v>
      </c>
      <c r="AG192" s="2" t="s">
        <v>188</v>
      </c>
      <c r="AH192" s="2" t="s">
        <v>188</v>
      </c>
      <c r="AJ192" s="2" t="s">
        <v>188</v>
      </c>
      <c r="AK192" s="2" t="s">
        <v>188</v>
      </c>
      <c r="AL192" s="2" t="s">
        <v>188</v>
      </c>
      <c r="AM192" s="2" t="s">
        <v>188</v>
      </c>
      <c r="AN192" s="2" t="s">
        <v>188</v>
      </c>
      <c r="AO192" s="2" t="s">
        <v>188</v>
      </c>
      <c r="AR192" s="2">
        <v>0.8</v>
      </c>
      <c r="AS192" s="2">
        <v>2</v>
      </c>
      <c r="AT192" s="2">
        <v>1</v>
      </c>
      <c r="AU192" s="2" t="s">
        <v>203</v>
      </c>
      <c r="AV192" s="2" t="s">
        <v>189</v>
      </c>
      <c r="AW192" s="2" t="s">
        <v>188</v>
      </c>
      <c r="AZ192" s="2" t="s">
        <v>190</v>
      </c>
      <c r="BB192" s="2" t="s">
        <v>260</v>
      </c>
      <c r="BC192" s="2" t="s">
        <v>296</v>
      </c>
      <c r="BD192" s="2" t="s">
        <v>188</v>
      </c>
      <c r="BE192" s="2" t="s">
        <v>187</v>
      </c>
      <c r="BF192" s="2" t="s">
        <v>193</v>
      </c>
      <c r="BG192" s="2" t="s">
        <v>194</v>
      </c>
      <c r="BH192" s="2" t="s">
        <v>195</v>
      </c>
      <c r="BI192" s="2" t="s">
        <v>196</v>
      </c>
      <c r="BL192" s="2" t="s">
        <v>240</v>
      </c>
      <c r="BO192" s="2" t="s">
        <v>188</v>
      </c>
      <c r="BQ192" s="2" t="s">
        <v>227</v>
      </c>
      <c r="BS192" s="2" t="s">
        <v>187</v>
      </c>
      <c r="BT192" s="2" t="s">
        <v>521</v>
      </c>
      <c r="BV192" s="2" t="s">
        <v>1496</v>
      </c>
      <c r="BX192" s="2" t="s">
        <v>187</v>
      </c>
      <c r="BY192" s="2" t="s">
        <v>652</v>
      </c>
      <c r="BZ192" s="2" t="s">
        <v>188</v>
      </c>
      <c r="CE192" s="2">
        <v>1</v>
      </c>
      <c r="CF192" s="2">
        <v>100</v>
      </c>
      <c r="CK192" s="2">
        <v>100</v>
      </c>
      <c r="CO192" s="2">
        <v>100</v>
      </c>
      <c r="CR192" s="2" t="s">
        <v>204</v>
      </c>
      <c r="CT192" s="2" t="s">
        <v>188</v>
      </c>
      <c r="CU192" s="2" t="s">
        <v>758</v>
      </c>
      <c r="CW192" s="2" t="s">
        <v>206</v>
      </c>
      <c r="CY192" s="2" t="s">
        <v>300</v>
      </c>
      <c r="CZ192" s="2" t="s">
        <v>300</v>
      </c>
      <c r="DA192" s="2" t="s">
        <v>300</v>
      </c>
      <c r="DB192" s="2" t="s">
        <v>430</v>
      </c>
      <c r="DC192" s="2" t="s">
        <v>430</v>
      </c>
      <c r="DD192" s="2" t="s">
        <v>300</v>
      </c>
      <c r="DE192" s="2" t="s">
        <v>300</v>
      </c>
      <c r="DF192" s="2" t="s">
        <v>300</v>
      </c>
      <c r="DG192" s="2" t="s">
        <v>300</v>
      </c>
      <c r="DH192" s="2" t="s">
        <v>300</v>
      </c>
      <c r="DI192" s="2" t="s">
        <v>300</v>
      </c>
      <c r="DL192" s="2" t="s">
        <v>188</v>
      </c>
      <c r="DM192" s="2" t="s">
        <v>188</v>
      </c>
      <c r="DP192" s="2" t="s">
        <v>203</v>
      </c>
      <c r="DT192" s="2" t="s">
        <v>203</v>
      </c>
      <c r="DU192" s="2" t="s">
        <v>203</v>
      </c>
      <c r="DV192" s="2" t="s">
        <v>203</v>
      </c>
      <c r="DW192" s="2" t="s">
        <v>203</v>
      </c>
      <c r="DX192" s="2" t="s">
        <v>203</v>
      </c>
      <c r="DY192" s="2" t="s">
        <v>203</v>
      </c>
      <c r="DZ192" s="2" t="s">
        <v>203</v>
      </c>
      <c r="EA192" s="2" t="s">
        <v>203</v>
      </c>
      <c r="EB192" s="2" t="s">
        <v>203</v>
      </c>
      <c r="EC192" s="2" t="s">
        <v>203</v>
      </c>
      <c r="EF192" s="2" t="s">
        <v>189</v>
      </c>
      <c r="EG192" s="2" t="s">
        <v>1497</v>
      </c>
      <c r="EJ192" s="2" t="s">
        <v>203</v>
      </c>
      <c r="EK192" s="2" t="s">
        <v>188</v>
      </c>
      <c r="EL192" s="2" t="s">
        <v>188</v>
      </c>
      <c r="EN192" s="2" t="s">
        <v>214</v>
      </c>
      <c r="EP192" s="2" t="s">
        <v>230</v>
      </c>
      <c r="ER192" s="2" t="s">
        <v>188</v>
      </c>
      <c r="ET192" s="2" t="s">
        <v>188</v>
      </c>
      <c r="EV192" s="2" t="s">
        <v>188</v>
      </c>
      <c r="EX192" s="2" t="s">
        <v>188</v>
      </c>
      <c r="EZ192" s="2" t="s">
        <v>188</v>
      </c>
      <c r="FC192" s="2" t="s">
        <v>263</v>
      </c>
      <c r="FD192" s="2" t="s">
        <v>188</v>
      </c>
      <c r="FH192" s="2" t="s">
        <v>188</v>
      </c>
      <c r="FJ192" s="2" t="s">
        <v>188</v>
      </c>
      <c r="FK192" s="2" t="s">
        <v>188</v>
      </c>
      <c r="FN192" s="2" t="s">
        <v>432</v>
      </c>
      <c r="FR192" s="2" t="s">
        <v>1498</v>
      </c>
      <c r="FT192" s="2" t="s">
        <v>233</v>
      </c>
      <c r="FU192" s="2" t="s">
        <v>219</v>
      </c>
      <c r="FV192" s="2" t="s">
        <v>219</v>
      </c>
      <c r="FW192" s="2" t="s">
        <v>233</v>
      </c>
      <c r="FZ192" s="4">
        <v>46040.680995370371</v>
      </c>
    </row>
    <row r="193" spans="1:182">
      <c r="A193" s="2" t="s">
        <v>1499</v>
      </c>
      <c r="D193" s="4">
        <v>46296.565613425926</v>
      </c>
      <c r="E193" s="2" t="s">
        <v>1500</v>
      </c>
      <c r="F193" s="2" t="s">
        <v>590</v>
      </c>
      <c r="G193" s="2" t="s">
        <v>1206</v>
      </c>
      <c r="H193" s="2" t="s">
        <v>1219</v>
      </c>
      <c r="I193" s="2" t="s">
        <v>1501</v>
      </c>
      <c r="J193" s="2">
        <v>368432247</v>
      </c>
      <c r="K193" s="2" t="s">
        <v>1502</v>
      </c>
      <c r="L193" s="2" t="s">
        <v>182</v>
      </c>
      <c r="M193" s="2" t="s">
        <v>223</v>
      </c>
      <c r="N193" s="2">
        <v>1997</v>
      </c>
      <c r="O193" s="2" t="s">
        <v>184</v>
      </c>
      <c r="P193" s="2" t="s">
        <v>225</v>
      </c>
      <c r="Q193" s="2" t="s">
        <v>186</v>
      </c>
      <c r="R193" s="2" t="s">
        <v>188</v>
      </c>
      <c r="S193" s="2">
        <v>7</v>
      </c>
      <c r="T193" s="2" t="s">
        <v>188</v>
      </c>
      <c r="U193" s="2" t="s">
        <v>188</v>
      </c>
      <c r="Y193" s="2">
        <v>155</v>
      </c>
      <c r="Z193" s="2">
        <v>1</v>
      </c>
      <c r="AA193" s="2">
        <v>155</v>
      </c>
      <c r="AB193" s="2">
        <v>155</v>
      </c>
      <c r="AC193" s="2">
        <v>155</v>
      </c>
      <c r="AD193" s="2">
        <v>180</v>
      </c>
      <c r="AE193" s="2">
        <v>25</v>
      </c>
      <c r="AF193" s="2" t="s">
        <v>188</v>
      </c>
      <c r="AG193" s="2" t="s">
        <v>188</v>
      </c>
      <c r="AH193" s="2" t="s">
        <v>188</v>
      </c>
      <c r="AJ193" s="2" t="s">
        <v>188</v>
      </c>
      <c r="AK193" s="2" t="s">
        <v>188</v>
      </c>
      <c r="AL193" s="2" t="s">
        <v>188</v>
      </c>
      <c r="AM193" s="2" t="s">
        <v>188</v>
      </c>
      <c r="AN193" s="2" t="s">
        <v>188</v>
      </c>
      <c r="AO193" s="2" t="s">
        <v>188</v>
      </c>
      <c r="AR193" s="2">
        <v>0.8</v>
      </c>
      <c r="AS193" s="2">
        <v>2</v>
      </c>
      <c r="AT193" s="2">
        <v>1.8</v>
      </c>
      <c r="AU193" s="2" t="s">
        <v>203</v>
      </c>
      <c r="AV193" s="2" t="s">
        <v>189</v>
      </c>
      <c r="AW193" s="2" t="s">
        <v>188</v>
      </c>
      <c r="AZ193" s="2" t="s">
        <v>190</v>
      </c>
      <c r="BB193" s="2" t="s">
        <v>260</v>
      </c>
      <c r="BC193" s="2" t="s">
        <v>296</v>
      </c>
      <c r="BD193" s="2" t="s">
        <v>187</v>
      </c>
      <c r="BE193" s="2" t="s">
        <v>187</v>
      </c>
      <c r="BF193" s="2" t="s">
        <v>193</v>
      </c>
      <c r="BG193" s="2" t="s">
        <v>194</v>
      </c>
      <c r="BH193" s="2" t="s">
        <v>195</v>
      </c>
      <c r="BI193" s="2" t="s">
        <v>196</v>
      </c>
      <c r="BL193" s="2" t="s">
        <v>240</v>
      </c>
      <c r="BO193" s="2" t="s">
        <v>188</v>
      </c>
      <c r="BQ193" s="2" t="s">
        <v>227</v>
      </c>
      <c r="BS193" s="2" t="s">
        <v>188</v>
      </c>
      <c r="BT193" s="2" t="s">
        <v>521</v>
      </c>
      <c r="BV193" s="2" t="s">
        <v>242</v>
      </c>
      <c r="BX193" s="2" t="s">
        <v>187</v>
      </c>
      <c r="BY193" s="2" t="s">
        <v>1503</v>
      </c>
      <c r="BZ193" s="2" t="s">
        <v>188</v>
      </c>
      <c r="CE193" s="2">
        <v>1.8</v>
      </c>
      <c r="CF193" s="2">
        <v>180</v>
      </c>
      <c r="CK193" s="2">
        <v>100</v>
      </c>
      <c r="CO193" s="2">
        <v>100</v>
      </c>
      <c r="CR193" s="2" t="s">
        <v>204</v>
      </c>
      <c r="CT193" s="2" t="s">
        <v>188</v>
      </c>
      <c r="CU193" s="2" t="s">
        <v>758</v>
      </c>
      <c r="CW193" s="2" t="s">
        <v>206</v>
      </c>
      <c r="CY193" s="2" t="s">
        <v>300</v>
      </c>
      <c r="CZ193" s="2" t="s">
        <v>300</v>
      </c>
      <c r="DA193" s="2" t="s">
        <v>300</v>
      </c>
      <c r="DB193" s="2" t="s">
        <v>300</v>
      </c>
      <c r="DC193" s="2" t="s">
        <v>300</v>
      </c>
      <c r="DD193" s="2" t="s">
        <v>300</v>
      </c>
      <c r="DE193" s="2" t="s">
        <v>300</v>
      </c>
      <c r="DF193" s="2" t="s">
        <v>300</v>
      </c>
      <c r="DG193" s="2" t="s">
        <v>300</v>
      </c>
      <c r="DH193" s="2" t="s">
        <v>300</v>
      </c>
      <c r="DI193" s="2" t="s">
        <v>300</v>
      </c>
      <c r="DL193" s="2" t="s">
        <v>187</v>
      </c>
      <c r="DM193" s="2" t="s">
        <v>187</v>
      </c>
      <c r="DN193" s="2" t="s">
        <v>187</v>
      </c>
      <c r="DO193" s="2" t="s">
        <v>187</v>
      </c>
      <c r="DP193" s="2" t="s">
        <v>203</v>
      </c>
      <c r="DT193" s="2" t="s">
        <v>209</v>
      </c>
      <c r="DU193" s="2" t="s">
        <v>209</v>
      </c>
      <c r="DV193" s="2" t="s">
        <v>209</v>
      </c>
      <c r="DW193" s="2" t="s">
        <v>209</v>
      </c>
      <c r="DX193" s="2" t="s">
        <v>209</v>
      </c>
      <c r="DY193" s="2" t="s">
        <v>203</v>
      </c>
      <c r="DZ193" s="2" t="s">
        <v>203</v>
      </c>
      <c r="EA193" s="2" t="s">
        <v>209</v>
      </c>
      <c r="EB193" s="2" t="s">
        <v>209</v>
      </c>
      <c r="EC193" s="2" t="s">
        <v>188</v>
      </c>
      <c r="EF193" s="2" t="s">
        <v>189</v>
      </c>
      <c r="EG193" s="2" t="s">
        <v>1497</v>
      </c>
      <c r="EJ193" s="2" t="s">
        <v>203</v>
      </c>
      <c r="EK193" s="2" t="s">
        <v>188</v>
      </c>
      <c r="EL193" s="2" t="s">
        <v>188</v>
      </c>
      <c r="EN193" s="2" t="s">
        <v>393</v>
      </c>
      <c r="EP193" s="2" t="s">
        <v>230</v>
      </c>
      <c r="ER193" s="2" t="s">
        <v>188</v>
      </c>
      <c r="ET193" s="2" t="s">
        <v>188</v>
      </c>
      <c r="EV193" s="2" t="s">
        <v>188</v>
      </c>
      <c r="EX193" s="2" t="s">
        <v>188</v>
      </c>
      <c r="EZ193" s="2" t="s">
        <v>188</v>
      </c>
      <c r="FC193" s="2" t="s">
        <v>263</v>
      </c>
      <c r="FD193" s="2" t="s">
        <v>188</v>
      </c>
      <c r="FH193" s="2" t="s">
        <v>188</v>
      </c>
      <c r="FJ193" s="2" t="s">
        <v>188</v>
      </c>
      <c r="FK193" s="2" t="s">
        <v>188</v>
      </c>
      <c r="FN193" s="2" t="s">
        <v>1474</v>
      </c>
      <c r="FR193" s="2" t="s">
        <v>1504</v>
      </c>
      <c r="FT193" s="2" t="s">
        <v>233</v>
      </c>
      <c r="FU193" s="2" t="s">
        <v>233</v>
      </c>
      <c r="FV193" s="2" t="s">
        <v>219</v>
      </c>
      <c r="FW193" s="2" t="s">
        <v>233</v>
      </c>
      <c r="FZ193" s="4">
        <v>46047.604733796295</v>
      </c>
    </row>
    <row r="194" spans="1:182">
      <c r="A194" s="2" t="s">
        <v>1505</v>
      </c>
      <c r="D194" s="4">
        <v>46296.569432870368</v>
      </c>
      <c r="E194" s="2" t="s">
        <v>1506</v>
      </c>
      <c r="F194" s="2" t="s">
        <v>425</v>
      </c>
      <c r="G194" s="2" t="s">
        <v>1206</v>
      </c>
      <c r="H194" s="2" t="s">
        <v>1263</v>
      </c>
      <c r="I194" s="2" t="s">
        <v>1507</v>
      </c>
      <c r="J194" s="2">
        <v>905824566</v>
      </c>
      <c r="K194" s="2" t="s">
        <v>1507</v>
      </c>
      <c r="L194" s="2" t="s">
        <v>182</v>
      </c>
      <c r="M194" s="2" t="s">
        <v>183</v>
      </c>
      <c r="N194" s="2">
        <v>1991</v>
      </c>
      <c r="O194" s="2" t="s">
        <v>224</v>
      </c>
      <c r="P194" s="2" t="s">
        <v>185</v>
      </c>
      <c r="Q194" s="2" t="s">
        <v>226</v>
      </c>
      <c r="R194" s="2" t="s">
        <v>188</v>
      </c>
      <c r="S194" s="2">
        <v>12</v>
      </c>
      <c r="T194" s="2" t="s">
        <v>188</v>
      </c>
      <c r="U194" s="2" t="s">
        <v>188</v>
      </c>
      <c r="Y194" s="2">
        <v>480</v>
      </c>
      <c r="Z194" s="2">
        <v>1</v>
      </c>
      <c r="AA194" s="2">
        <v>480</v>
      </c>
      <c r="AB194" s="2">
        <v>480</v>
      </c>
      <c r="AC194" s="2">
        <v>460</v>
      </c>
      <c r="AD194" s="2">
        <v>530</v>
      </c>
      <c r="AE194" s="2">
        <v>70</v>
      </c>
      <c r="AF194" s="2" t="s">
        <v>188</v>
      </c>
      <c r="AG194" s="2" t="s">
        <v>187</v>
      </c>
      <c r="AH194" s="2" t="s">
        <v>188</v>
      </c>
      <c r="AJ194" s="2" t="s">
        <v>188</v>
      </c>
      <c r="AK194" s="2" t="s">
        <v>188</v>
      </c>
      <c r="AL194" s="2" t="s">
        <v>188</v>
      </c>
      <c r="AM194" s="2" t="s">
        <v>188</v>
      </c>
      <c r="AN194" s="2" t="s">
        <v>188</v>
      </c>
      <c r="AO194" s="2" t="s">
        <v>188</v>
      </c>
      <c r="AR194" s="2">
        <v>1.2</v>
      </c>
      <c r="AS194" s="2">
        <v>1</v>
      </c>
      <c r="AT194" s="2">
        <v>5.3</v>
      </c>
      <c r="AU194" s="2" t="s">
        <v>238</v>
      </c>
      <c r="AV194" s="2" t="s">
        <v>238</v>
      </c>
      <c r="AW194" s="2" t="s">
        <v>188</v>
      </c>
      <c r="AZ194" s="2" t="s">
        <v>357</v>
      </c>
      <c r="BA194" s="2" t="s">
        <v>395</v>
      </c>
      <c r="BB194" s="2" t="s">
        <v>260</v>
      </c>
      <c r="BC194" s="2" t="s">
        <v>192</v>
      </c>
      <c r="BD194" s="2" t="s">
        <v>188</v>
      </c>
      <c r="BE194" s="2" t="s">
        <v>188</v>
      </c>
      <c r="BL194" s="2" t="s">
        <v>197</v>
      </c>
      <c r="BM194" s="2" t="s">
        <v>198</v>
      </c>
      <c r="BN194" s="2" t="s">
        <v>199</v>
      </c>
      <c r="BO194" s="2" t="s">
        <v>188</v>
      </c>
      <c r="BQ194" s="2" t="s">
        <v>200</v>
      </c>
      <c r="BS194" s="2" t="s">
        <v>187</v>
      </c>
      <c r="BT194" s="2" t="s">
        <v>261</v>
      </c>
      <c r="BV194" s="2" t="s">
        <v>242</v>
      </c>
      <c r="BX194" s="2" t="s">
        <v>188</v>
      </c>
      <c r="BZ194" s="2" t="s">
        <v>188</v>
      </c>
      <c r="CE194" s="2">
        <v>5.3</v>
      </c>
      <c r="CF194" s="2">
        <v>530</v>
      </c>
      <c r="CK194" s="2">
        <v>100</v>
      </c>
      <c r="CO194" s="2">
        <v>100</v>
      </c>
      <c r="CR194" s="2" t="s">
        <v>343</v>
      </c>
      <c r="CT194" s="2" t="s">
        <v>188</v>
      </c>
      <c r="CU194" s="2" t="s">
        <v>205</v>
      </c>
      <c r="CW194" s="2" t="s">
        <v>206</v>
      </c>
      <c r="CY194" s="2" t="s">
        <v>207</v>
      </c>
      <c r="CZ194" s="2" t="s">
        <v>207</v>
      </c>
      <c r="DA194" s="2" t="s">
        <v>300</v>
      </c>
      <c r="DB194" s="2" t="s">
        <v>430</v>
      </c>
      <c r="DC194" s="2" t="s">
        <v>430</v>
      </c>
      <c r="DD194" s="2" t="s">
        <v>430</v>
      </c>
      <c r="DE194" s="2" t="s">
        <v>300</v>
      </c>
      <c r="DF194" s="2" t="s">
        <v>207</v>
      </c>
      <c r="DG194" s="2" t="s">
        <v>207</v>
      </c>
      <c r="DH194" s="2" t="s">
        <v>300</v>
      </c>
      <c r="DI194" s="2" t="s">
        <v>300</v>
      </c>
      <c r="DL194" s="2" t="s">
        <v>187</v>
      </c>
      <c r="DM194" s="2" t="s">
        <v>187</v>
      </c>
      <c r="DN194" s="2" t="s">
        <v>187</v>
      </c>
      <c r="DO194" s="2" t="s">
        <v>187</v>
      </c>
      <c r="DP194" s="2" t="s">
        <v>209</v>
      </c>
      <c r="DQ194" s="2" t="s">
        <v>467</v>
      </c>
      <c r="DR194" s="2" t="s">
        <v>1508</v>
      </c>
      <c r="DT194" s="2" t="s">
        <v>209</v>
      </c>
      <c r="DU194" s="2" t="s">
        <v>209</v>
      </c>
      <c r="DV194" s="2" t="s">
        <v>209</v>
      </c>
      <c r="DW194" s="2" t="s">
        <v>209</v>
      </c>
      <c r="DX194" s="2" t="s">
        <v>209</v>
      </c>
      <c r="DY194" s="2" t="s">
        <v>209</v>
      </c>
      <c r="DZ194" s="2" t="s">
        <v>209</v>
      </c>
      <c r="EA194" s="2" t="s">
        <v>209</v>
      </c>
      <c r="EB194" s="2" t="s">
        <v>209</v>
      </c>
      <c r="EC194" s="2" t="s">
        <v>188</v>
      </c>
      <c r="EF194" s="2" t="s">
        <v>189</v>
      </c>
      <c r="EJ194" s="2" t="s">
        <v>238</v>
      </c>
      <c r="EK194" s="2" t="s">
        <v>187</v>
      </c>
      <c r="EL194" s="2" t="s">
        <v>188</v>
      </c>
      <c r="EN194" s="2" t="s">
        <v>214</v>
      </c>
      <c r="EP194" s="2" t="s">
        <v>230</v>
      </c>
      <c r="ER194" s="2" t="s">
        <v>187</v>
      </c>
      <c r="ET194" s="2" t="s">
        <v>188</v>
      </c>
      <c r="EV194" s="2" t="s">
        <v>187</v>
      </c>
      <c r="EW194" s="2" t="s">
        <v>215</v>
      </c>
      <c r="EX194" s="2" t="s">
        <v>188</v>
      </c>
      <c r="EZ194" s="2" t="s">
        <v>188</v>
      </c>
      <c r="FC194" s="2" t="s">
        <v>216</v>
      </c>
      <c r="FD194" s="2" t="s">
        <v>188</v>
      </c>
      <c r="FH194" s="2" t="s">
        <v>188</v>
      </c>
      <c r="FJ194" s="2" t="s">
        <v>188</v>
      </c>
      <c r="FK194" s="2" t="s">
        <v>188</v>
      </c>
      <c r="FN194" s="2" t="s">
        <v>313</v>
      </c>
      <c r="FR194" s="2" t="s">
        <v>1509</v>
      </c>
      <c r="FT194" s="2" t="s">
        <v>219</v>
      </c>
      <c r="FU194" s="2" t="s">
        <v>233</v>
      </c>
      <c r="FV194" s="2" t="s">
        <v>233</v>
      </c>
      <c r="FW194" s="2" t="s">
        <v>233</v>
      </c>
      <c r="FZ194" s="4">
        <v>46041.679479166669</v>
      </c>
    </row>
    <row r="195" spans="1:182">
      <c r="A195" s="2" t="s">
        <v>1510</v>
      </c>
      <c r="D195" s="4">
        <v>46296.566747685189</v>
      </c>
      <c r="E195" s="2" t="s">
        <v>177</v>
      </c>
      <c r="F195" s="2" t="s">
        <v>293</v>
      </c>
      <c r="G195" s="2" t="s">
        <v>1206</v>
      </c>
      <c r="H195" s="2" t="s">
        <v>1263</v>
      </c>
      <c r="I195" s="2" t="s">
        <v>1511</v>
      </c>
      <c r="J195" s="2">
        <v>935517564</v>
      </c>
      <c r="K195" s="2" t="s">
        <v>1511</v>
      </c>
      <c r="L195" s="2" t="s">
        <v>352</v>
      </c>
      <c r="M195" s="2" t="s">
        <v>183</v>
      </c>
      <c r="N195" s="2">
        <v>1987</v>
      </c>
      <c r="O195" s="2" t="s">
        <v>224</v>
      </c>
      <c r="P195" s="2" t="s">
        <v>185</v>
      </c>
      <c r="Q195" s="2" t="s">
        <v>186</v>
      </c>
      <c r="R195" s="2" t="s">
        <v>188</v>
      </c>
      <c r="S195" s="2">
        <v>1995</v>
      </c>
      <c r="T195" s="2" t="s">
        <v>187</v>
      </c>
      <c r="U195" s="2" t="s">
        <v>188</v>
      </c>
      <c r="Y195" s="2">
        <v>900</v>
      </c>
      <c r="Z195" s="2">
        <v>0.94440000000000002</v>
      </c>
      <c r="AA195" s="2">
        <v>850</v>
      </c>
      <c r="AB195" s="2">
        <v>800</v>
      </c>
      <c r="AC195" s="2">
        <v>400</v>
      </c>
      <c r="AD195" s="2">
        <v>500</v>
      </c>
      <c r="AE195" s="2">
        <v>100</v>
      </c>
      <c r="AF195" s="2" t="s">
        <v>188</v>
      </c>
      <c r="AG195" s="2" t="s">
        <v>187</v>
      </c>
      <c r="AH195" s="2" t="s">
        <v>187</v>
      </c>
      <c r="AI195" s="2" t="s">
        <v>1512</v>
      </c>
      <c r="AJ195" s="2" t="s">
        <v>188</v>
      </c>
      <c r="AK195" s="2" t="s">
        <v>187</v>
      </c>
      <c r="AL195" s="2" t="s">
        <v>188</v>
      </c>
      <c r="AM195" s="2" t="s">
        <v>187</v>
      </c>
      <c r="AN195" s="2" t="s">
        <v>187</v>
      </c>
      <c r="AO195" s="2" t="s">
        <v>188</v>
      </c>
      <c r="AR195" s="2">
        <v>1.3</v>
      </c>
      <c r="AS195" s="2">
        <v>1</v>
      </c>
      <c r="AT195" s="2">
        <v>5</v>
      </c>
      <c r="AU195" s="2" t="s">
        <v>189</v>
      </c>
      <c r="AV195" s="2" t="s">
        <v>189</v>
      </c>
      <c r="AW195" s="2" t="s">
        <v>188</v>
      </c>
      <c r="AZ195" s="2" t="s">
        <v>190</v>
      </c>
      <c r="BB195" s="2" t="s">
        <v>260</v>
      </c>
      <c r="BC195" s="2" t="s">
        <v>192</v>
      </c>
      <c r="BD195" s="2" t="s">
        <v>188</v>
      </c>
      <c r="BE195" s="2" t="s">
        <v>187</v>
      </c>
      <c r="BF195" s="2" t="s">
        <v>193</v>
      </c>
      <c r="BG195" s="2" t="s">
        <v>279</v>
      </c>
      <c r="BH195" s="2" t="s">
        <v>297</v>
      </c>
      <c r="BI195" s="2" t="s">
        <v>196</v>
      </c>
      <c r="BL195" s="2" t="s">
        <v>197</v>
      </c>
      <c r="BM195" s="2" t="s">
        <v>198</v>
      </c>
      <c r="BN195" s="2" t="s">
        <v>199</v>
      </c>
      <c r="BO195" s="2" t="s">
        <v>188</v>
      </c>
      <c r="BQ195" s="2" t="s">
        <v>309</v>
      </c>
      <c r="BS195" s="2" t="s">
        <v>187</v>
      </c>
      <c r="BT195" s="2" t="s">
        <v>261</v>
      </c>
      <c r="BV195" s="2" t="s">
        <v>389</v>
      </c>
      <c r="BX195" s="2" t="s">
        <v>187</v>
      </c>
      <c r="BY195" s="2" t="s">
        <v>310</v>
      </c>
      <c r="BZ195" s="2" t="s">
        <v>203</v>
      </c>
      <c r="CE195" s="2">
        <v>5</v>
      </c>
      <c r="CF195" s="2">
        <v>495</v>
      </c>
      <c r="CK195" s="2">
        <v>100</v>
      </c>
      <c r="CO195" s="2">
        <v>100</v>
      </c>
      <c r="CR195" s="2" t="s">
        <v>204</v>
      </c>
      <c r="CT195" s="2" t="s">
        <v>188</v>
      </c>
      <c r="CU195" s="2" t="s">
        <v>205</v>
      </c>
      <c r="CW195" s="2" t="s">
        <v>206</v>
      </c>
      <c r="CY195" s="2" t="s">
        <v>207</v>
      </c>
      <c r="CZ195" s="2" t="s">
        <v>207</v>
      </c>
      <c r="DA195" s="2" t="s">
        <v>300</v>
      </c>
      <c r="DB195" s="2" t="s">
        <v>301</v>
      </c>
      <c r="DC195" s="2" t="s">
        <v>300</v>
      </c>
      <c r="DD195" s="2" t="s">
        <v>301</v>
      </c>
      <c r="DE195" s="2" t="s">
        <v>301</v>
      </c>
      <c r="DF195" s="2" t="s">
        <v>207</v>
      </c>
      <c r="DG195" s="2" t="s">
        <v>273</v>
      </c>
      <c r="DH195" s="2" t="s">
        <v>273</v>
      </c>
      <c r="DI195" s="2" t="s">
        <v>273</v>
      </c>
      <c r="DL195" s="2" t="s">
        <v>187</v>
      </c>
      <c r="DM195" s="2" t="s">
        <v>187</v>
      </c>
      <c r="DN195" s="2" t="s">
        <v>187</v>
      </c>
      <c r="DO195" s="2" t="s">
        <v>187</v>
      </c>
      <c r="DP195" s="2" t="s">
        <v>209</v>
      </c>
      <c r="DQ195" s="2" t="s">
        <v>210</v>
      </c>
      <c r="DS195" s="2" t="s">
        <v>209</v>
      </c>
      <c r="DT195" s="2" t="s">
        <v>209</v>
      </c>
      <c r="DU195" s="2" t="s">
        <v>209</v>
      </c>
      <c r="DV195" s="2" t="s">
        <v>209</v>
      </c>
      <c r="DW195" s="2" t="s">
        <v>209</v>
      </c>
      <c r="DX195" s="2" t="s">
        <v>209</v>
      </c>
      <c r="DY195" s="2" t="s">
        <v>203</v>
      </c>
      <c r="DZ195" s="2" t="s">
        <v>203</v>
      </c>
      <c r="EA195" s="2" t="s">
        <v>209</v>
      </c>
      <c r="EB195" s="2" t="s">
        <v>209</v>
      </c>
      <c r="EC195" s="2" t="s">
        <v>203</v>
      </c>
      <c r="EF195" s="2" t="s">
        <v>211</v>
      </c>
      <c r="EJ195" s="2" t="s">
        <v>189</v>
      </c>
      <c r="EK195" s="2" t="s">
        <v>187</v>
      </c>
      <c r="EL195" s="2" t="s">
        <v>188</v>
      </c>
      <c r="EN195" s="2" t="s">
        <v>214</v>
      </c>
      <c r="EP195" s="2" t="s">
        <v>230</v>
      </c>
      <c r="ER195" s="2" t="s">
        <v>187</v>
      </c>
      <c r="ET195" s="2" t="s">
        <v>188</v>
      </c>
      <c r="EV195" s="2" t="s">
        <v>187</v>
      </c>
      <c r="EW195" s="2" t="s">
        <v>1513</v>
      </c>
      <c r="EX195" s="2" t="s">
        <v>187</v>
      </c>
      <c r="EY195" s="2" t="s">
        <v>189</v>
      </c>
      <c r="EZ195" s="2" t="s">
        <v>188</v>
      </c>
      <c r="FC195" s="2" t="s">
        <v>216</v>
      </c>
      <c r="FD195" s="2" t="s">
        <v>188</v>
      </c>
      <c r="FH195" s="2" t="s">
        <v>188</v>
      </c>
      <c r="FJ195" s="2" t="s">
        <v>187</v>
      </c>
      <c r="FK195" s="2" t="s">
        <v>209</v>
      </c>
      <c r="FL195" s="2" t="s">
        <v>319</v>
      </c>
      <c r="FN195" s="2" t="s">
        <v>282</v>
      </c>
      <c r="FT195" s="2" t="s">
        <v>219</v>
      </c>
      <c r="FU195" s="2" t="s">
        <v>233</v>
      </c>
      <c r="FV195" s="2" t="s">
        <v>233</v>
      </c>
      <c r="FW195" s="2" t="s">
        <v>233</v>
      </c>
      <c r="FZ195" s="4">
        <v>46039.70685185185</v>
      </c>
    </row>
    <row r="196" spans="1:182">
      <c r="A196" s="2" t="s">
        <v>1514</v>
      </c>
      <c r="D196" s="4">
        <v>46296.578275462962</v>
      </c>
      <c r="E196" s="2" t="s">
        <v>1515</v>
      </c>
      <c r="F196" s="2" t="s">
        <v>398</v>
      </c>
      <c r="G196" s="2" t="s">
        <v>1206</v>
      </c>
      <c r="H196" s="2" t="s">
        <v>1263</v>
      </c>
      <c r="I196" s="2" t="s">
        <v>1516</v>
      </c>
      <c r="J196" s="2">
        <v>338427282</v>
      </c>
      <c r="K196" s="2" t="s">
        <v>1517</v>
      </c>
      <c r="L196" s="2" t="s">
        <v>182</v>
      </c>
      <c r="M196" s="2" t="s">
        <v>223</v>
      </c>
      <c r="N196" s="2">
        <v>1973</v>
      </c>
      <c r="O196" s="2" t="s">
        <v>224</v>
      </c>
      <c r="P196" s="2" t="s">
        <v>225</v>
      </c>
      <c r="Q196" s="2" t="s">
        <v>226</v>
      </c>
      <c r="R196" s="2" t="s">
        <v>188</v>
      </c>
      <c r="S196" s="2">
        <v>20</v>
      </c>
      <c r="T196" s="2" t="s">
        <v>188</v>
      </c>
      <c r="U196" s="2" t="s">
        <v>188</v>
      </c>
      <c r="Y196" s="2">
        <v>200</v>
      </c>
      <c r="Z196" s="2">
        <v>1</v>
      </c>
      <c r="AA196" s="2">
        <v>200</v>
      </c>
      <c r="AB196" s="2">
        <v>200</v>
      </c>
      <c r="AC196" s="2">
        <v>200</v>
      </c>
      <c r="AD196" s="2">
        <v>240</v>
      </c>
      <c r="AE196" s="2">
        <v>40</v>
      </c>
      <c r="AF196" s="2" t="s">
        <v>188</v>
      </c>
      <c r="AG196" s="2" t="s">
        <v>188</v>
      </c>
      <c r="AH196" s="2" t="s">
        <v>188</v>
      </c>
      <c r="AJ196" s="2" t="s">
        <v>188</v>
      </c>
      <c r="AK196" s="2" t="s">
        <v>188</v>
      </c>
      <c r="AL196" s="2" t="s">
        <v>188</v>
      </c>
      <c r="AM196" s="2" t="s">
        <v>188</v>
      </c>
      <c r="AN196" s="2" t="s">
        <v>188</v>
      </c>
      <c r="AO196" s="2" t="s">
        <v>188</v>
      </c>
      <c r="AR196" s="2">
        <v>0.6</v>
      </c>
      <c r="AS196" s="2">
        <v>1</v>
      </c>
      <c r="AT196" s="2">
        <v>2.5</v>
      </c>
      <c r="AU196" s="2" t="s">
        <v>189</v>
      </c>
      <c r="AV196" s="2" t="s">
        <v>189</v>
      </c>
      <c r="AW196" s="2" t="s">
        <v>188</v>
      </c>
      <c r="AZ196" s="2" t="s">
        <v>190</v>
      </c>
      <c r="BB196" s="2" t="s">
        <v>260</v>
      </c>
      <c r="BC196" s="2" t="s">
        <v>296</v>
      </c>
      <c r="BD196" s="2" t="s">
        <v>187</v>
      </c>
      <c r="BE196" s="2" t="s">
        <v>187</v>
      </c>
      <c r="BF196" s="2" t="s">
        <v>193</v>
      </c>
      <c r="BG196" s="2" t="s">
        <v>194</v>
      </c>
      <c r="BH196" s="2" t="s">
        <v>280</v>
      </c>
      <c r="BI196" s="2" t="s">
        <v>196</v>
      </c>
      <c r="BL196" s="2" t="s">
        <v>240</v>
      </c>
      <c r="BO196" s="2" t="s">
        <v>188</v>
      </c>
      <c r="BQ196" s="2" t="s">
        <v>200</v>
      </c>
      <c r="BS196" s="2" t="s">
        <v>187</v>
      </c>
      <c r="BT196" s="2" t="s">
        <v>324</v>
      </c>
      <c r="BV196" s="2" t="s">
        <v>248</v>
      </c>
      <c r="BX196" s="2" t="s">
        <v>188</v>
      </c>
      <c r="BY196" s="2" t="s">
        <v>1357</v>
      </c>
      <c r="BZ196" s="2" t="s">
        <v>188</v>
      </c>
      <c r="CE196" s="2">
        <v>2.5</v>
      </c>
      <c r="CF196" s="2">
        <v>240</v>
      </c>
      <c r="CK196" s="2">
        <v>100</v>
      </c>
      <c r="CP196" s="2">
        <v>100</v>
      </c>
      <c r="CR196" s="2" t="s">
        <v>204</v>
      </c>
      <c r="CT196" s="2" t="s">
        <v>188</v>
      </c>
      <c r="CU196" s="2" t="s">
        <v>205</v>
      </c>
      <c r="CW196" s="2" t="s">
        <v>206</v>
      </c>
      <c r="CY196" s="2" t="s">
        <v>300</v>
      </c>
      <c r="CZ196" s="2" t="s">
        <v>300</v>
      </c>
      <c r="DA196" s="2" t="s">
        <v>300</v>
      </c>
      <c r="DB196" s="2" t="s">
        <v>300</v>
      </c>
      <c r="DC196" s="2" t="s">
        <v>300</v>
      </c>
      <c r="DD196" s="2" t="s">
        <v>300</v>
      </c>
      <c r="DE196" s="2" t="s">
        <v>300</v>
      </c>
      <c r="DF196" s="2" t="s">
        <v>300</v>
      </c>
      <c r="DG196" s="2" t="s">
        <v>300</v>
      </c>
      <c r="DH196" s="2" t="s">
        <v>300</v>
      </c>
      <c r="DI196" s="2" t="s">
        <v>300</v>
      </c>
      <c r="DL196" s="2" t="s">
        <v>188</v>
      </c>
      <c r="DM196" s="2" t="s">
        <v>188</v>
      </c>
      <c r="DP196" s="2" t="s">
        <v>203</v>
      </c>
      <c r="DT196" s="2" t="s">
        <v>203</v>
      </c>
      <c r="DU196" s="2" t="s">
        <v>203</v>
      </c>
      <c r="DV196" s="2" t="s">
        <v>203</v>
      </c>
      <c r="DW196" s="2" t="s">
        <v>203</v>
      </c>
      <c r="DX196" s="2" t="s">
        <v>203</v>
      </c>
      <c r="DY196" s="2" t="s">
        <v>203</v>
      </c>
      <c r="DZ196" s="2" t="s">
        <v>203</v>
      </c>
      <c r="EA196" s="2" t="s">
        <v>203</v>
      </c>
      <c r="EB196" s="2" t="s">
        <v>203</v>
      </c>
      <c r="EC196" s="2" t="s">
        <v>203</v>
      </c>
      <c r="ED196" s="2" t="s">
        <v>203</v>
      </c>
      <c r="EF196" s="2" t="s">
        <v>302</v>
      </c>
      <c r="EG196" s="2" t="s">
        <v>1518</v>
      </c>
      <c r="EJ196" s="2" t="s">
        <v>238</v>
      </c>
      <c r="EK196" s="2" t="s">
        <v>188</v>
      </c>
      <c r="EL196" s="2" t="s">
        <v>188</v>
      </c>
      <c r="EN196" s="2" t="s">
        <v>214</v>
      </c>
      <c r="EP196" s="2" t="s">
        <v>230</v>
      </c>
      <c r="ER196" s="2" t="s">
        <v>188</v>
      </c>
      <c r="ET196" s="2" t="s">
        <v>188</v>
      </c>
      <c r="EV196" s="2" t="s">
        <v>188</v>
      </c>
      <c r="EX196" s="2" t="s">
        <v>188</v>
      </c>
      <c r="EZ196" s="2" t="s">
        <v>188</v>
      </c>
      <c r="FC196" s="2" t="s">
        <v>216</v>
      </c>
      <c r="FD196" s="2" t="s">
        <v>188</v>
      </c>
      <c r="FH196" s="2" t="s">
        <v>188</v>
      </c>
      <c r="FJ196" s="2" t="s">
        <v>188</v>
      </c>
      <c r="FK196" s="2" t="s">
        <v>188</v>
      </c>
      <c r="FR196" s="2" t="s">
        <v>461</v>
      </c>
      <c r="FT196" s="2" t="s">
        <v>233</v>
      </c>
      <c r="FU196" s="2" t="s">
        <v>233</v>
      </c>
      <c r="FV196" s="2" t="s">
        <v>233</v>
      </c>
      <c r="FW196" s="2" t="s">
        <v>233</v>
      </c>
      <c r="FX196" s="2" t="s">
        <v>233</v>
      </c>
      <c r="FY196" s="2" t="s">
        <v>1519</v>
      </c>
      <c r="FZ196" s="4">
        <v>46038.620833333334</v>
      </c>
    </row>
    <row r="197" spans="1:182">
      <c r="A197" s="2" t="s">
        <v>1520</v>
      </c>
      <c r="D197" s="4">
        <v>46296.581365740742</v>
      </c>
      <c r="E197" s="2" t="s">
        <v>1521</v>
      </c>
      <c r="F197" s="2" t="s">
        <v>425</v>
      </c>
      <c r="G197" s="2" t="s">
        <v>1206</v>
      </c>
      <c r="H197" s="2" t="s">
        <v>1263</v>
      </c>
      <c r="I197" s="2" t="s">
        <v>1522</v>
      </c>
      <c r="J197" s="2">
        <v>988313669</v>
      </c>
      <c r="K197" s="2" t="s">
        <v>1522</v>
      </c>
      <c r="L197" s="2" t="s">
        <v>182</v>
      </c>
      <c r="M197" s="2" t="s">
        <v>183</v>
      </c>
      <c r="N197" s="2">
        <v>1980</v>
      </c>
      <c r="O197" s="2" t="s">
        <v>224</v>
      </c>
      <c r="P197" s="2" t="s">
        <v>185</v>
      </c>
      <c r="Q197" s="2" t="s">
        <v>226</v>
      </c>
      <c r="R197" s="2" t="s">
        <v>188</v>
      </c>
      <c r="S197" s="2">
        <v>27</v>
      </c>
      <c r="T197" s="2" t="s">
        <v>188</v>
      </c>
      <c r="U197" s="2" t="s">
        <v>188</v>
      </c>
      <c r="Y197" s="2">
        <v>800</v>
      </c>
      <c r="Z197" s="2">
        <v>0.66249999999999998</v>
      </c>
      <c r="AA197" s="2">
        <v>530</v>
      </c>
      <c r="AB197" s="2">
        <v>530</v>
      </c>
      <c r="AC197" s="2">
        <v>490</v>
      </c>
      <c r="AD197" s="2">
        <v>580</v>
      </c>
      <c r="AE197" s="2">
        <v>90</v>
      </c>
      <c r="AF197" s="2" t="s">
        <v>188</v>
      </c>
      <c r="AG197" s="2" t="s">
        <v>187</v>
      </c>
      <c r="AH197" s="2" t="s">
        <v>188</v>
      </c>
      <c r="AJ197" s="2" t="s">
        <v>188</v>
      </c>
      <c r="AK197" s="2" t="s">
        <v>188</v>
      </c>
      <c r="AL197" s="2" t="s">
        <v>188</v>
      </c>
      <c r="AM197" s="2" t="s">
        <v>188</v>
      </c>
      <c r="AN197" s="2" t="s">
        <v>187</v>
      </c>
      <c r="AO197" s="2" t="s">
        <v>188</v>
      </c>
      <c r="AR197" s="2">
        <v>1</v>
      </c>
      <c r="AS197" s="2">
        <v>1</v>
      </c>
      <c r="AT197" s="2">
        <v>5.8</v>
      </c>
      <c r="AU197" s="2" t="s">
        <v>212</v>
      </c>
      <c r="AV197" s="2" t="s">
        <v>212</v>
      </c>
      <c r="AW197" s="2" t="s">
        <v>188</v>
      </c>
      <c r="AZ197" s="2" t="s">
        <v>190</v>
      </c>
      <c r="BB197" s="2" t="s">
        <v>332</v>
      </c>
      <c r="BC197" s="2" t="s">
        <v>296</v>
      </c>
      <c r="BD197" s="2" t="s">
        <v>187</v>
      </c>
      <c r="BE197" s="2" t="s">
        <v>187</v>
      </c>
      <c r="BF197" s="2" t="s">
        <v>1523</v>
      </c>
      <c r="BG197" s="2" t="s">
        <v>194</v>
      </c>
      <c r="BH197" s="2" t="s">
        <v>297</v>
      </c>
      <c r="BI197" s="2" t="s">
        <v>333</v>
      </c>
      <c r="BL197" s="2" t="s">
        <v>197</v>
      </c>
      <c r="BM197" s="2" t="s">
        <v>198</v>
      </c>
      <c r="BN197" s="2" t="s">
        <v>199</v>
      </c>
      <c r="BO197" s="2" t="s">
        <v>188</v>
      </c>
      <c r="BQ197" s="2" t="s">
        <v>200</v>
      </c>
      <c r="BS197" s="2" t="s">
        <v>187</v>
      </c>
      <c r="BT197" s="2" t="s">
        <v>69</v>
      </c>
      <c r="BU197" s="2" t="s">
        <v>544</v>
      </c>
      <c r="BV197" s="2" t="s">
        <v>248</v>
      </c>
      <c r="BX197" s="2" t="s">
        <v>188</v>
      </c>
      <c r="BZ197" s="2" t="s">
        <v>188</v>
      </c>
      <c r="CE197" s="2">
        <v>5.8</v>
      </c>
      <c r="CF197" s="2">
        <v>580</v>
      </c>
      <c r="CM197" s="2">
        <v>100</v>
      </c>
      <c r="CP197" s="2">
        <v>100</v>
      </c>
      <c r="CR197" s="2" t="s">
        <v>343</v>
      </c>
      <c r="CT197" s="2" t="s">
        <v>188</v>
      </c>
      <c r="CU197" s="2" t="s">
        <v>205</v>
      </c>
      <c r="CW197" s="2" t="s">
        <v>206</v>
      </c>
      <c r="CY197" s="2" t="s">
        <v>207</v>
      </c>
      <c r="CZ197" s="2" t="s">
        <v>207</v>
      </c>
      <c r="DA197" s="2" t="s">
        <v>207</v>
      </c>
      <c r="DB197" s="2" t="s">
        <v>430</v>
      </c>
      <c r="DC197" s="2" t="s">
        <v>300</v>
      </c>
      <c r="DD197" s="2" t="s">
        <v>300</v>
      </c>
      <c r="DE197" s="2" t="s">
        <v>300</v>
      </c>
      <c r="DF197" s="2" t="s">
        <v>207</v>
      </c>
      <c r="DG197" s="2" t="s">
        <v>207</v>
      </c>
      <c r="DH197" s="2" t="s">
        <v>300</v>
      </c>
      <c r="DI197" s="2" t="s">
        <v>300</v>
      </c>
      <c r="DL197" s="2" t="s">
        <v>187</v>
      </c>
      <c r="DM197" s="2" t="s">
        <v>187</v>
      </c>
      <c r="DN197" s="2" t="s">
        <v>187</v>
      </c>
      <c r="DO197" s="2" t="s">
        <v>187</v>
      </c>
      <c r="DP197" s="2" t="s">
        <v>209</v>
      </c>
      <c r="DQ197" s="2" t="s">
        <v>467</v>
      </c>
      <c r="DR197" s="2" t="s">
        <v>1524</v>
      </c>
      <c r="DT197" s="2" t="s">
        <v>209</v>
      </c>
      <c r="DU197" s="2" t="s">
        <v>209</v>
      </c>
      <c r="DV197" s="2" t="s">
        <v>209</v>
      </c>
      <c r="DW197" s="2" t="s">
        <v>209</v>
      </c>
      <c r="DX197" s="2" t="s">
        <v>209</v>
      </c>
      <c r="DY197" s="2" t="s">
        <v>209</v>
      </c>
      <c r="DZ197" s="2" t="s">
        <v>209</v>
      </c>
      <c r="EA197" s="2" t="s">
        <v>209</v>
      </c>
      <c r="EB197" s="2" t="s">
        <v>209</v>
      </c>
      <c r="EC197" s="2" t="s">
        <v>188</v>
      </c>
      <c r="EF197" s="2" t="s">
        <v>211</v>
      </c>
      <c r="EJ197" s="2" t="s">
        <v>212</v>
      </c>
      <c r="EK197" s="2" t="s">
        <v>187</v>
      </c>
      <c r="EL197" s="2" t="s">
        <v>187</v>
      </c>
      <c r="EM197" s="2" t="s">
        <v>214</v>
      </c>
      <c r="EN197" s="2" t="s">
        <v>214</v>
      </c>
      <c r="EP197" s="2" t="s">
        <v>230</v>
      </c>
      <c r="ER197" s="2" t="s">
        <v>187</v>
      </c>
      <c r="ET197" s="2" t="s">
        <v>187</v>
      </c>
      <c r="EU197" s="2" t="s">
        <v>215</v>
      </c>
      <c r="EV197" s="2" t="s">
        <v>187</v>
      </c>
      <c r="EW197" s="2" t="s">
        <v>215</v>
      </c>
      <c r="EX197" s="2" t="s">
        <v>187</v>
      </c>
      <c r="EY197" s="2" t="s">
        <v>215</v>
      </c>
      <c r="EZ197" s="2" t="s">
        <v>188</v>
      </c>
      <c r="FC197" s="2" t="s">
        <v>216</v>
      </c>
      <c r="FD197" s="2" t="s">
        <v>188</v>
      </c>
      <c r="FH197" s="2" t="s">
        <v>188</v>
      </c>
      <c r="FJ197" s="2" t="s">
        <v>188</v>
      </c>
      <c r="FK197" s="2" t="s">
        <v>209</v>
      </c>
      <c r="FL197" s="2" t="s">
        <v>1102</v>
      </c>
      <c r="FN197" s="2" t="s">
        <v>354</v>
      </c>
      <c r="FR197" s="2" t="s">
        <v>1525</v>
      </c>
      <c r="FT197" s="2" t="s">
        <v>219</v>
      </c>
      <c r="FU197" s="2" t="s">
        <v>219</v>
      </c>
      <c r="FV197" s="2" t="s">
        <v>219</v>
      </c>
      <c r="FW197" s="2" t="s">
        <v>219</v>
      </c>
      <c r="FZ197" s="4">
        <v>46041.70921296296</v>
      </c>
    </row>
    <row r="198" spans="1:182">
      <c r="A198" s="2" t="s">
        <v>1526</v>
      </c>
      <c r="D198" s="4">
        <v>46296.570254629631</v>
      </c>
      <c r="E198" s="2" t="s">
        <v>177</v>
      </c>
      <c r="F198" s="2" t="s">
        <v>178</v>
      </c>
      <c r="G198" s="2" t="s">
        <v>1206</v>
      </c>
      <c r="H198" s="2" t="s">
        <v>1207</v>
      </c>
      <c r="I198" s="2" t="s">
        <v>427</v>
      </c>
      <c r="J198" s="2">
        <v>373713853</v>
      </c>
      <c r="K198" s="2" t="s">
        <v>427</v>
      </c>
      <c r="L198" s="2" t="s">
        <v>182</v>
      </c>
      <c r="M198" s="2" t="s">
        <v>183</v>
      </c>
      <c r="N198" s="2">
        <v>1993</v>
      </c>
      <c r="O198" s="2" t="s">
        <v>184</v>
      </c>
      <c r="P198" s="2" t="s">
        <v>185</v>
      </c>
      <c r="Q198" s="2" t="s">
        <v>186</v>
      </c>
      <c r="R198" s="2" t="s">
        <v>188</v>
      </c>
      <c r="S198" s="2">
        <v>2009</v>
      </c>
      <c r="T198" s="2" t="s">
        <v>188</v>
      </c>
      <c r="U198" s="2" t="s">
        <v>187</v>
      </c>
      <c r="Y198" s="2">
        <v>358</v>
      </c>
      <c r="Z198" s="2">
        <v>0.94969999999999999</v>
      </c>
      <c r="AA198" s="2">
        <v>340</v>
      </c>
      <c r="AB198" s="2">
        <v>340</v>
      </c>
      <c r="AC198" s="2">
        <v>340</v>
      </c>
      <c r="AD198" s="2">
        <v>400</v>
      </c>
      <c r="AE198" s="2">
        <v>60</v>
      </c>
      <c r="AF198" s="2" t="s">
        <v>188</v>
      </c>
      <c r="AG198" s="2" t="s">
        <v>188</v>
      </c>
      <c r="AH198" s="2" t="s">
        <v>188</v>
      </c>
      <c r="AJ198" s="2" t="s">
        <v>188</v>
      </c>
      <c r="AK198" s="2" t="s">
        <v>188</v>
      </c>
      <c r="AL198" s="2" t="s">
        <v>187</v>
      </c>
      <c r="AM198" s="2" t="s">
        <v>188</v>
      </c>
      <c r="AN198" s="2" t="s">
        <v>188</v>
      </c>
      <c r="AO198" s="2" t="s">
        <v>188</v>
      </c>
      <c r="AR198" s="2">
        <v>2</v>
      </c>
      <c r="AS198" s="2">
        <v>3</v>
      </c>
      <c r="AT198" s="2">
        <v>3.7</v>
      </c>
      <c r="AU198" s="2" t="s">
        <v>212</v>
      </c>
      <c r="AV198" s="2" t="s">
        <v>212</v>
      </c>
      <c r="AW198" s="2" t="s">
        <v>188</v>
      </c>
      <c r="AZ198" s="2" t="s">
        <v>190</v>
      </c>
      <c r="BB198" s="2" t="s">
        <v>191</v>
      </c>
      <c r="BC198" s="2" t="s">
        <v>192</v>
      </c>
      <c r="BD198" s="2" t="s">
        <v>187</v>
      </c>
      <c r="BE198" s="2" t="s">
        <v>187</v>
      </c>
      <c r="BF198" s="2" t="s">
        <v>193</v>
      </c>
      <c r="BG198" s="2" t="s">
        <v>194</v>
      </c>
      <c r="BH198" s="2" t="s">
        <v>195</v>
      </c>
      <c r="BI198" s="2" t="s">
        <v>448</v>
      </c>
      <c r="BL198" s="2" t="s">
        <v>197</v>
      </c>
      <c r="BM198" s="2" t="s">
        <v>198</v>
      </c>
      <c r="BN198" s="2" t="s">
        <v>199</v>
      </c>
      <c r="BO198" s="2" t="s">
        <v>188</v>
      </c>
      <c r="BQ198" s="2" t="s">
        <v>227</v>
      </c>
      <c r="BS198" s="2" t="s">
        <v>187</v>
      </c>
      <c r="BT198" s="2" t="s">
        <v>201</v>
      </c>
      <c r="BV198" s="2" t="s">
        <v>1527</v>
      </c>
      <c r="BX198" s="2" t="s">
        <v>188</v>
      </c>
      <c r="BZ198" s="2" t="s">
        <v>188</v>
      </c>
      <c r="CE198" s="2">
        <v>3.7</v>
      </c>
      <c r="CF198" s="2">
        <v>400</v>
      </c>
      <c r="CM198" s="2">
        <v>100</v>
      </c>
      <c r="CO198" s="2">
        <v>100</v>
      </c>
      <c r="CR198" s="2" t="s">
        <v>204</v>
      </c>
      <c r="CT198" s="2" t="s">
        <v>188</v>
      </c>
      <c r="CU198" s="2" t="s">
        <v>205</v>
      </c>
      <c r="CW198" s="2" t="s">
        <v>206</v>
      </c>
      <c r="CY198" s="2" t="s">
        <v>207</v>
      </c>
      <c r="CZ198" s="2" t="s">
        <v>207</v>
      </c>
      <c r="DA198" s="2" t="s">
        <v>207</v>
      </c>
      <c r="DB198" s="2" t="s">
        <v>208</v>
      </c>
      <c r="DC198" s="2" t="s">
        <v>208</v>
      </c>
      <c r="DD198" s="2" t="s">
        <v>208</v>
      </c>
      <c r="DE198" s="2" t="s">
        <v>208</v>
      </c>
      <c r="DF198" s="2" t="s">
        <v>208</v>
      </c>
      <c r="DG198" s="2" t="s">
        <v>208</v>
      </c>
      <c r="DH198" s="2" t="s">
        <v>208</v>
      </c>
      <c r="DI198" s="2" t="s">
        <v>208</v>
      </c>
      <c r="DL198" s="2" t="s">
        <v>187</v>
      </c>
      <c r="DM198" s="2" t="s">
        <v>187</v>
      </c>
      <c r="DN198" s="2" t="s">
        <v>187</v>
      </c>
      <c r="DO198" s="2" t="s">
        <v>187</v>
      </c>
      <c r="DP198" s="2" t="s">
        <v>209</v>
      </c>
      <c r="DQ198" s="2" t="s">
        <v>210</v>
      </c>
      <c r="DT198" s="2" t="s">
        <v>209</v>
      </c>
      <c r="DU198" s="2" t="s">
        <v>209</v>
      </c>
      <c r="DV198" s="2" t="s">
        <v>209</v>
      </c>
      <c r="DW198" s="2" t="s">
        <v>209</v>
      </c>
      <c r="DX198" s="2" t="s">
        <v>209</v>
      </c>
      <c r="DY198" s="2" t="s">
        <v>209</v>
      </c>
      <c r="DZ198" s="2" t="s">
        <v>209</v>
      </c>
      <c r="EA198" s="2" t="s">
        <v>209</v>
      </c>
      <c r="EB198" s="2" t="s">
        <v>209</v>
      </c>
      <c r="EF198" s="2" t="s">
        <v>211</v>
      </c>
      <c r="FH198" s="2" t="s">
        <v>188</v>
      </c>
      <c r="FJ198" s="2" t="s">
        <v>187</v>
      </c>
      <c r="FK198" s="2" t="s">
        <v>209</v>
      </c>
      <c r="FL198" s="2" t="s">
        <v>1528</v>
      </c>
      <c r="FN198" s="2" t="s">
        <v>218</v>
      </c>
      <c r="FR198" s="2" t="s">
        <v>1529</v>
      </c>
      <c r="FT198" s="2" t="s">
        <v>219</v>
      </c>
      <c r="FU198" s="2" t="s">
        <v>219</v>
      </c>
      <c r="FV198" s="2" t="s">
        <v>219</v>
      </c>
      <c r="FW198" s="2" t="s">
        <v>219</v>
      </c>
      <c r="FX198" s="2" t="s">
        <v>219</v>
      </c>
      <c r="FZ198" s="4">
        <v>46040.573773148149</v>
      </c>
    </row>
    <row r="199" spans="1:182">
      <c r="A199" s="2" t="s">
        <v>1530</v>
      </c>
      <c r="D199" s="4">
        <v>46296.574780092589</v>
      </c>
      <c r="E199" s="2" t="s">
        <v>177</v>
      </c>
      <c r="F199" s="2" t="s">
        <v>293</v>
      </c>
      <c r="G199" s="2" t="s">
        <v>1206</v>
      </c>
      <c r="H199" s="2" t="s">
        <v>1263</v>
      </c>
      <c r="I199" s="2" t="s">
        <v>1531</v>
      </c>
      <c r="J199" s="2">
        <v>0</v>
      </c>
      <c r="K199" s="2" t="s">
        <v>1532</v>
      </c>
      <c r="L199" s="2" t="s">
        <v>182</v>
      </c>
      <c r="M199" s="2" t="s">
        <v>223</v>
      </c>
      <c r="N199" s="2">
        <v>1978</v>
      </c>
      <c r="O199" s="2" t="s">
        <v>224</v>
      </c>
      <c r="P199" s="2" t="s">
        <v>225</v>
      </c>
      <c r="Q199" s="2" t="s">
        <v>186</v>
      </c>
      <c r="R199" s="2" t="s">
        <v>188</v>
      </c>
      <c r="S199" s="2">
        <v>1995</v>
      </c>
      <c r="T199" s="2" t="s">
        <v>188</v>
      </c>
      <c r="U199" s="2" t="s">
        <v>188</v>
      </c>
      <c r="Y199" s="2">
        <v>750</v>
      </c>
      <c r="Z199" s="2">
        <v>1</v>
      </c>
      <c r="AA199" s="2">
        <v>750</v>
      </c>
      <c r="AB199" s="2">
        <v>700</v>
      </c>
      <c r="AC199" s="2">
        <v>400</v>
      </c>
      <c r="AD199" s="2">
        <v>500</v>
      </c>
      <c r="AE199" s="2">
        <v>100</v>
      </c>
      <c r="AF199" s="2" t="s">
        <v>188</v>
      </c>
      <c r="AG199" s="2" t="s">
        <v>187</v>
      </c>
      <c r="AH199" s="2" t="s">
        <v>187</v>
      </c>
      <c r="AI199" s="2" t="s">
        <v>1533</v>
      </c>
      <c r="AJ199" s="2" t="s">
        <v>188</v>
      </c>
      <c r="AK199" s="2" t="s">
        <v>187</v>
      </c>
      <c r="AL199" s="2" t="s">
        <v>188</v>
      </c>
      <c r="AM199" s="2" t="s">
        <v>187</v>
      </c>
      <c r="AN199" s="2" t="s">
        <v>188</v>
      </c>
      <c r="AO199" s="2" t="s">
        <v>188</v>
      </c>
      <c r="AR199" s="2">
        <v>1.5</v>
      </c>
      <c r="AS199" s="2">
        <v>2</v>
      </c>
      <c r="AT199" s="2">
        <v>5.5</v>
      </c>
      <c r="AU199" s="2" t="s">
        <v>189</v>
      </c>
      <c r="AV199" s="2" t="s">
        <v>189</v>
      </c>
      <c r="AW199" s="2" t="s">
        <v>188</v>
      </c>
      <c r="AZ199" s="2" t="s">
        <v>476</v>
      </c>
      <c r="BB199" s="2" t="s">
        <v>260</v>
      </c>
      <c r="BC199" s="2" t="s">
        <v>192</v>
      </c>
      <c r="BD199" s="2" t="s">
        <v>187</v>
      </c>
      <c r="BE199" s="2" t="s">
        <v>187</v>
      </c>
      <c r="BF199" s="2" t="s">
        <v>193</v>
      </c>
      <c r="BG199" s="2" t="s">
        <v>194</v>
      </c>
      <c r="BH199" s="2" t="s">
        <v>297</v>
      </c>
      <c r="BI199" s="2" t="s">
        <v>196</v>
      </c>
      <c r="BL199" s="2" t="s">
        <v>197</v>
      </c>
      <c r="BM199" s="2" t="s">
        <v>198</v>
      </c>
      <c r="BN199" s="2" t="s">
        <v>199</v>
      </c>
      <c r="BO199" s="2" t="s">
        <v>188</v>
      </c>
      <c r="BQ199" s="2" t="s">
        <v>309</v>
      </c>
      <c r="BS199" s="2" t="s">
        <v>187</v>
      </c>
      <c r="BT199" s="2" t="s">
        <v>201</v>
      </c>
      <c r="BV199" s="2" t="s">
        <v>389</v>
      </c>
      <c r="BX199" s="2" t="s">
        <v>187</v>
      </c>
      <c r="BY199" s="2" t="s">
        <v>310</v>
      </c>
      <c r="BZ199" s="2" t="s">
        <v>203</v>
      </c>
      <c r="CE199" s="2">
        <v>5.5</v>
      </c>
      <c r="CF199" s="2">
        <v>540</v>
      </c>
      <c r="CK199" s="2">
        <v>100</v>
      </c>
      <c r="CO199" s="2">
        <v>100</v>
      </c>
      <c r="CR199" s="2" t="s">
        <v>204</v>
      </c>
      <c r="CT199" s="2" t="s">
        <v>188</v>
      </c>
      <c r="CU199" s="2" t="s">
        <v>205</v>
      </c>
      <c r="CW199" s="2" t="s">
        <v>206</v>
      </c>
      <c r="CY199" s="2" t="s">
        <v>207</v>
      </c>
      <c r="CZ199" s="2" t="s">
        <v>207</v>
      </c>
      <c r="DA199" s="2" t="s">
        <v>207</v>
      </c>
      <c r="DB199" s="2" t="s">
        <v>301</v>
      </c>
      <c r="DC199" s="2" t="s">
        <v>300</v>
      </c>
      <c r="DD199" s="2" t="s">
        <v>301</v>
      </c>
      <c r="DE199" s="2" t="s">
        <v>300</v>
      </c>
      <c r="DF199" s="2" t="s">
        <v>207</v>
      </c>
      <c r="DG199" s="2" t="s">
        <v>273</v>
      </c>
      <c r="DH199" s="2" t="s">
        <v>207</v>
      </c>
      <c r="DI199" s="2" t="s">
        <v>301</v>
      </c>
      <c r="DL199" s="2" t="s">
        <v>187</v>
      </c>
      <c r="DM199" s="2" t="s">
        <v>187</v>
      </c>
      <c r="DN199" s="2" t="s">
        <v>187</v>
      </c>
      <c r="DO199" s="2" t="s">
        <v>187</v>
      </c>
      <c r="DP199" s="2" t="s">
        <v>209</v>
      </c>
      <c r="DQ199" s="2" t="s">
        <v>210</v>
      </c>
      <c r="DT199" s="2" t="s">
        <v>209</v>
      </c>
      <c r="DU199" s="2" t="s">
        <v>209</v>
      </c>
      <c r="DV199" s="2" t="s">
        <v>209</v>
      </c>
      <c r="DW199" s="2" t="s">
        <v>209</v>
      </c>
      <c r="DX199" s="2" t="s">
        <v>209</v>
      </c>
      <c r="DY199" s="2" t="s">
        <v>203</v>
      </c>
      <c r="DZ199" s="2" t="s">
        <v>203</v>
      </c>
      <c r="EA199" s="2" t="s">
        <v>209</v>
      </c>
      <c r="EB199" s="2" t="s">
        <v>209</v>
      </c>
      <c r="EF199" s="2" t="s">
        <v>189</v>
      </c>
      <c r="EG199" s="2" t="s">
        <v>1534</v>
      </c>
      <c r="EJ199" s="2" t="s">
        <v>189</v>
      </c>
      <c r="EK199" s="2" t="s">
        <v>187</v>
      </c>
      <c r="EL199" s="2" t="s">
        <v>188</v>
      </c>
      <c r="EN199" s="2" t="s">
        <v>214</v>
      </c>
      <c r="EP199" s="2" t="s">
        <v>230</v>
      </c>
      <c r="ER199" s="2" t="s">
        <v>187</v>
      </c>
      <c r="ET199" s="2" t="s">
        <v>188</v>
      </c>
      <c r="EV199" s="2" t="s">
        <v>187</v>
      </c>
      <c r="EW199" s="2" t="s">
        <v>189</v>
      </c>
      <c r="EX199" s="2" t="s">
        <v>187</v>
      </c>
      <c r="EY199" s="2" t="s">
        <v>189</v>
      </c>
      <c r="FC199" s="2" t="s">
        <v>216</v>
      </c>
      <c r="FD199" s="2" t="s">
        <v>188</v>
      </c>
      <c r="FH199" s="2" t="s">
        <v>188</v>
      </c>
      <c r="FJ199" s="2" t="s">
        <v>187</v>
      </c>
      <c r="FK199" s="2" t="s">
        <v>209</v>
      </c>
      <c r="FL199" s="2" t="s">
        <v>319</v>
      </c>
      <c r="FN199" s="2" t="s">
        <v>304</v>
      </c>
      <c r="FT199" s="2" t="s">
        <v>219</v>
      </c>
      <c r="FU199" s="2" t="s">
        <v>233</v>
      </c>
      <c r="FV199" s="2" t="s">
        <v>233</v>
      </c>
      <c r="FW199" s="2" t="s">
        <v>233</v>
      </c>
      <c r="FZ199" s="4">
        <v>46039.71539351852</v>
      </c>
    </row>
    <row r="200" spans="1:182">
      <c r="A200" s="2" t="s">
        <v>1535</v>
      </c>
      <c r="D200" s="4">
        <v>46296.590902777774</v>
      </c>
      <c r="E200" s="2" t="s">
        <v>1536</v>
      </c>
      <c r="F200" s="2" t="s">
        <v>425</v>
      </c>
      <c r="G200" s="2" t="s">
        <v>1206</v>
      </c>
      <c r="H200" s="2" t="s">
        <v>1263</v>
      </c>
      <c r="I200" s="2" t="s">
        <v>1537</v>
      </c>
      <c r="J200" s="2">
        <v>988548857</v>
      </c>
      <c r="K200" s="2" t="s">
        <v>1537</v>
      </c>
      <c r="L200" s="2" t="s">
        <v>182</v>
      </c>
      <c r="M200" s="2" t="s">
        <v>183</v>
      </c>
      <c r="N200" s="2">
        <v>1976</v>
      </c>
      <c r="O200" s="2" t="s">
        <v>224</v>
      </c>
      <c r="P200" s="2" t="s">
        <v>185</v>
      </c>
      <c r="Q200" s="2" t="s">
        <v>226</v>
      </c>
      <c r="R200" s="2" t="s">
        <v>188</v>
      </c>
      <c r="S200" s="2">
        <v>32</v>
      </c>
      <c r="T200" s="2" t="s">
        <v>188</v>
      </c>
      <c r="U200" s="2" t="s">
        <v>188</v>
      </c>
      <c r="Y200" s="2">
        <v>420</v>
      </c>
      <c r="Z200" s="2">
        <v>0.76190000000000002</v>
      </c>
      <c r="AA200" s="2">
        <v>320</v>
      </c>
      <c r="AB200" s="2">
        <v>320</v>
      </c>
      <c r="AC200" s="2">
        <v>300</v>
      </c>
      <c r="AD200" s="2">
        <v>400</v>
      </c>
      <c r="AE200" s="2">
        <v>100</v>
      </c>
      <c r="AF200" s="2" t="s">
        <v>188</v>
      </c>
      <c r="AG200" s="2" t="s">
        <v>187</v>
      </c>
      <c r="AH200" s="2" t="s">
        <v>188</v>
      </c>
      <c r="AJ200" s="2" t="s">
        <v>188</v>
      </c>
      <c r="AK200" s="2" t="s">
        <v>188</v>
      </c>
      <c r="AL200" s="2" t="s">
        <v>188</v>
      </c>
      <c r="AM200" s="2" t="s">
        <v>187</v>
      </c>
      <c r="AN200" s="2" t="s">
        <v>188</v>
      </c>
      <c r="AO200" s="2" t="s">
        <v>188</v>
      </c>
      <c r="AR200" s="2">
        <v>1.2</v>
      </c>
      <c r="AS200" s="2">
        <v>1</v>
      </c>
      <c r="AT200" s="2">
        <v>4</v>
      </c>
      <c r="AU200" s="2" t="s">
        <v>238</v>
      </c>
      <c r="AV200" s="2" t="s">
        <v>203</v>
      </c>
      <c r="AW200" s="2" t="s">
        <v>188</v>
      </c>
      <c r="AZ200" s="2" t="s">
        <v>190</v>
      </c>
      <c r="BB200" s="2" t="s">
        <v>260</v>
      </c>
      <c r="BC200" s="2" t="s">
        <v>296</v>
      </c>
      <c r="BD200" s="2" t="s">
        <v>187</v>
      </c>
      <c r="BE200" s="2" t="s">
        <v>187</v>
      </c>
      <c r="BF200" s="2" t="s">
        <v>193</v>
      </c>
      <c r="BG200" s="2" t="s">
        <v>194</v>
      </c>
      <c r="BH200" s="2" t="s">
        <v>297</v>
      </c>
      <c r="BI200" s="2" t="s">
        <v>333</v>
      </c>
      <c r="BL200" s="2" t="s">
        <v>197</v>
      </c>
      <c r="BM200" s="2" t="s">
        <v>198</v>
      </c>
      <c r="BN200" s="2" t="s">
        <v>199</v>
      </c>
      <c r="BO200" s="2" t="s">
        <v>341</v>
      </c>
      <c r="BP200" s="2" t="s">
        <v>342</v>
      </c>
      <c r="BS200" s="2" t="s">
        <v>187</v>
      </c>
      <c r="BT200" s="2" t="s">
        <v>69</v>
      </c>
      <c r="BU200" s="2" t="s">
        <v>1538</v>
      </c>
      <c r="BV200" s="2" t="s">
        <v>587</v>
      </c>
      <c r="BX200" s="2" t="s">
        <v>188</v>
      </c>
      <c r="BZ200" s="2" t="s">
        <v>188</v>
      </c>
      <c r="CE200" s="2">
        <v>4</v>
      </c>
      <c r="CF200" s="2">
        <v>400</v>
      </c>
      <c r="CK200" s="2">
        <v>100</v>
      </c>
      <c r="CP200" s="2">
        <v>100</v>
      </c>
      <c r="CR200" s="2" t="s">
        <v>204</v>
      </c>
      <c r="CT200" s="2" t="s">
        <v>188</v>
      </c>
      <c r="CU200" s="2" t="s">
        <v>205</v>
      </c>
      <c r="CW200" s="2" t="s">
        <v>206</v>
      </c>
      <c r="CY200" s="2" t="s">
        <v>207</v>
      </c>
      <c r="CZ200" s="2" t="s">
        <v>207</v>
      </c>
      <c r="DA200" s="2" t="s">
        <v>300</v>
      </c>
      <c r="DB200" s="2" t="s">
        <v>300</v>
      </c>
      <c r="DC200" s="2" t="s">
        <v>300</v>
      </c>
      <c r="DD200" s="2" t="s">
        <v>430</v>
      </c>
      <c r="DE200" s="2" t="s">
        <v>300</v>
      </c>
      <c r="DF200" s="2" t="s">
        <v>300</v>
      </c>
      <c r="DG200" s="2" t="s">
        <v>300</v>
      </c>
      <c r="DH200" s="2" t="s">
        <v>300</v>
      </c>
      <c r="DI200" s="2" t="s">
        <v>300</v>
      </c>
      <c r="DL200" s="2" t="s">
        <v>188</v>
      </c>
      <c r="DM200" s="2" t="s">
        <v>188</v>
      </c>
      <c r="DP200" s="2" t="s">
        <v>188</v>
      </c>
      <c r="DT200" s="2" t="s">
        <v>203</v>
      </c>
      <c r="DU200" s="2" t="s">
        <v>203</v>
      </c>
      <c r="DV200" s="2" t="s">
        <v>203</v>
      </c>
      <c r="DW200" s="2" t="s">
        <v>203</v>
      </c>
      <c r="DX200" s="2" t="s">
        <v>203</v>
      </c>
      <c r="DY200" s="2" t="s">
        <v>203</v>
      </c>
      <c r="DZ200" s="2" t="s">
        <v>203</v>
      </c>
      <c r="EA200" s="2" t="s">
        <v>203</v>
      </c>
      <c r="EB200" s="2" t="s">
        <v>203</v>
      </c>
      <c r="EC200" s="2" t="s">
        <v>203</v>
      </c>
      <c r="EF200" s="2" t="s">
        <v>302</v>
      </c>
      <c r="EG200" s="2" t="s">
        <v>431</v>
      </c>
      <c r="EJ200" s="2" t="s">
        <v>203</v>
      </c>
      <c r="EK200" s="2" t="s">
        <v>188</v>
      </c>
      <c r="EL200" s="2" t="s">
        <v>188</v>
      </c>
      <c r="EN200" s="2" t="s">
        <v>255</v>
      </c>
      <c r="EP200" s="2" t="s">
        <v>230</v>
      </c>
      <c r="ER200" s="2" t="s">
        <v>188</v>
      </c>
      <c r="ET200" s="2" t="s">
        <v>188</v>
      </c>
      <c r="EV200" s="2" t="s">
        <v>188</v>
      </c>
      <c r="EX200" s="2" t="s">
        <v>188</v>
      </c>
      <c r="EZ200" s="2" t="s">
        <v>188</v>
      </c>
      <c r="FC200" s="2" t="s">
        <v>216</v>
      </c>
      <c r="FD200" s="2" t="s">
        <v>188</v>
      </c>
      <c r="FH200" s="2" t="s">
        <v>188</v>
      </c>
      <c r="FJ200" s="2" t="s">
        <v>188</v>
      </c>
      <c r="FK200" s="2" t="s">
        <v>188</v>
      </c>
      <c r="FR200" s="2" t="s">
        <v>433</v>
      </c>
      <c r="FT200" s="2" t="s">
        <v>233</v>
      </c>
      <c r="FU200" s="2" t="s">
        <v>233</v>
      </c>
      <c r="FV200" s="2" t="s">
        <v>233</v>
      </c>
      <c r="FW200" s="2" t="s">
        <v>233</v>
      </c>
      <c r="FZ200" s="4">
        <v>46041.716516203705</v>
      </c>
    </row>
    <row r="201" spans="1:182">
      <c r="A201" s="2" t="s">
        <v>1539</v>
      </c>
      <c r="D201" s="4">
        <v>46296.594502314816</v>
      </c>
      <c r="E201" s="2" t="s">
        <v>177</v>
      </c>
      <c r="F201" s="2" t="s">
        <v>178</v>
      </c>
      <c r="G201" s="2" t="s">
        <v>1206</v>
      </c>
      <c r="H201" s="2" t="s">
        <v>1207</v>
      </c>
      <c r="I201" s="2" t="s">
        <v>1540</v>
      </c>
      <c r="K201" s="2" t="s">
        <v>1540</v>
      </c>
      <c r="L201" s="2" t="s">
        <v>269</v>
      </c>
      <c r="M201" s="2" t="s">
        <v>183</v>
      </c>
      <c r="N201" s="2">
        <v>1997</v>
      </c>
      <c r="O201" s="2" t="s">
        <v>184</v>
      </c>
      <c r="P201" s="2" t="s">
        <v>185</v>
      </c>
      <c r="Q201" s="2" t="s">
        <v>270</v>
      </c>
      <c r="R201" s="2" t="s">
        <v>188</v>
      </c>
      <c r="S201" s="2">
        <v>6</v>
      </c>
      <c r="T201" s="2" t="s">
        <v>188</v>
      </c>
      <c r="U201" s="2" t="s">
        <v>188</v>
      </c>
      <c r="Y201" s="2">
        <v>34</v>
      </c>
      <c r="Z201" s="2">
        <v>0.91180000000000005</v>
      </c>
      <c r="AA201" s="2">
        <v>31</v>
      </c>
      <c r="AB201" s="2">
        <v>31</v>
      </c>
      <c r="AC201" s="2">
        <v>31</v>
      </c>
      <c r="AD201" s="2">
        <v>35</v>
      </c>
      <c r="AE201" s="2">
        <v>4</v>
      </c>
      <c r="AF201" s="2" t="s">
        <v>188</v>
      </c>
      <c r="AG201" s="2" t="s">
        <v>188</v>
      </c>
      <c r="AH201" s="2" t="s">
        <v>188</v>
      </c>
      <c r="AJ201" s="2" t="s">
        <v>188</v>
      </c>
      <c r="AK201" s="2" t="s">
        <v>188</v>
      </c>
      <c r="AL201" s="2" t="s">
        <v>188</v>
      </c>
      <c r="AM201" s="2" t="s">
        <v>187</v>
      </c>
      <c r="AN201" s="2" t="s">
        <v>188</v>
      </c>
      <c r="AO201" s="2" t="s">
        <v>188</v>
      </c>
      <c r="AR201" s="2">
        <v>0.5</v>
      </c>
      <c r="AS201" s="2">
        <v>2</v>
      </c>
      <c r="AT201" s="2">
        <v>0.36</v>
      </c>
      <c r="AU201" s="2" t="s">
        <v>238</v>
      </c>
      <c r="AV201" s="2" t="s">
        <v>238</v>
      </c>
      <c r="AW201" s="2" t="s">
        <v>188</v>
      </c>
      <c r="BC201" s="2" t="s">
        <v>253</v>
      </c>
      <c r="BD201" s="2" t="s">
        <v>188</v>
      </c>
      <c r="BE201" s="2" t="s">
        <v>188</v>
      </c>
      <c r="BL201" s="2" t="s">
        <v>240</v>
      </c>
      <c r="BO201" s="2" t="s">
        <v>188</v>
      </c>
      <c r="BQ201" s="2" t="s">
        <v>200</v>
      </c>
      <c r="BS201" s="2" t="s">
        <v>188</v>
      </c>
      <c r="BV201" s="2" t="s">
        <v>587</v>
      </c>
      <c r="BX201" s="2" t="s">
        <v>188</v>
      </c>
      <c r="BZ201" s="2" t="s">
        <v>203</v>
      </c>
      <c r="CE201" s="2">
        <v>0.36</v>
      </c>
      <c r="CF201" s="2">
        <v>35</v>
      </c>
      <c r="CK201" s="2">
        <v>100</v>
      </c>
      <c r="CO201" s="2">
        <v>100</v>
      </c>
      <c r="CR201" s="2" t="s">
        <v>204</v>
      </c>
      <c r="CT201" s="2" t="s">
        <v>188</v>
      </c>
      <c r="CU201" s="2" t="s">
        <v>205</v>
      </c>
      <c r="CW201" s="2" t="s">
        <v>206</v>
      </c>
      <c r="CY201" s="2" t="s">
        <v>208</v>
      </c>
      <c r="CZ201" s="2" t="s">
        <v>208</v>
      </c>
      <c r="DA201" s="2" t="s">
        <v>208</v>
      </c>
      <c r="DB201" s="2" t="s">
        <v>208</v>
      </c>
      <c r="DC201" s="2" t="s">
        <v>208</v>
      </c>
      <c r="DD201" s="2" t="s">
        <v>208</v>
      </c>
      <c r="DE201" s="2" t="s">
        <v>208</v>
      </c>
      <c r="DF201" s="2" t="s">
        <v>208</v>
      </c>
      <c r="DG201" s="2" t="s">
        <v>208</v>
      </c>
      <c r="DH201" s="2" t="s">
        <v>208</v>
      </c>
      <c r="DI201" s="2" t="s">
        <v>208</v>
      </c>
      <c r="DL201" s="2" t="s">
        <v>188</v>
      </c>
      <c r="DM201" s="2" t="s">
        <v>188</v>
      </c>
      <c r="DP201" s="2" t="s">
        <v>188</v>
      </c>
      <c r="DT201" s="2" t="s">
        <v>203</v>
      </c>
      <c r="DU201" s="2" t="s">
        <v>203</v>
      </c>
      <c r="DV201" s="2" t="s">
        <v>203</v>
      </c>
      <c r="DW201" s="2" t="s">
        <v>203</v>
      </c>
      <c r="DX201" s="2" t="s">
        <v>203</v>
      </c>
      <c r="DY201" s="2" t="s">
        <v>203</v>
      </c>
      <c r="DZ201" s="2" t="s">
        <v>203</v>
      </c>
      <c r="EA201" s="2" t="s">
        <v>203</v>
      </c>
      <c r="EB201" s="2" t="s">
        <v>203</v>
      </c>
      <c r="EJ201" s="2" t="s">
        <v>203</v>
      </c>
      <c r="EK201" s="2" t="s">
        <v>188</v>
      </c>
      <c r="EL201" s="2" t="s">
        <v>188</v>
      </c>
      <c r="EN201" s="2" t="s">
        <v>288</v>
      </c>
      <c r="EO201" s="2" t="s">
        <v>203</v>
      </c>
      <c r="EP201" s="2" t="s">
        <v>174</v>
      </c>
      <c r="EQ201" s="2" t="s">
        <v>1541</v>
      </c>
      <c r="ER201" s="2" t="s">
        <v>188</v>
      </c>
      <c r="ET201" s="2" t="s">
        <v>188</v>
      </c>
      <c r="EV201" s="2" t="s">
        <v>188</v>
      </c>
      <c r="EX201" s="2" t="s">
        <v>188</v>
      </c>
      <c r="FC201" s="2" t="s">
        <v>263</v>
      </c>
      <c r="FD201" s="2" t="s">
        <v>188</v>
      </c>
      <c r="FH201" s="2" t="s">
        <v>188</v>
      </c>
      <c r="FJ201" s="2" t="s">
        <v>188</v>
      </c>
      <c r="FK201" s="2" t="s">
        <v>188</v>
      </c>
      <c r="FT201" s="2" t="s">
        <v>233</v>
      </c>
      <c r="FU201" s="2" t="s">
        <v>233</v>
      </c>
      <c r="FV201" s="2" t="s">
        <v>233</v>
      </c>
      <c r="FW201" s="2" t="s">
        <v>233</v>
      </c>
      <c r="FZ201" s="4">
        <v>46040.564826388887</v>
      </c>
    </row>
    <row r="202" spans="1:182">
      <c r="A202" s="2" t="s">
        <v>1542</v>
      </c>
      <c r="D202" s="4">
        <v>46296.587256944447</v>
      </c>
      <c r="E202" s="2" t="s">
        <v>177</v>
      </c>
      <c r="F202" s="2" t="s">
        <v>293</v>
      </c>
      <c r="G202" s="2" t="s">
        <v>1206</v>
      </c>
      <c r="H202" s="2" t="s">
        <v>1543</v>
      </c>
      <c r="I202" s="2" t="s">
        <v>1544</v>
      </c>
      <c r="J202" s="2">
        <v>397997227</v>
      </c>
      <c r="K202" s="2" t="s">
        <v>1544</v>
      </c>
      <c r="L202" s="2" t="s">
        <v>182</v>
      </c>
      <c r="M202" s="2" t="s">
        <v>223</v>
      </c>
      <c r="N202" s="2">
        <v>1965</v>
      </c>
      <c r="O202" s="2" t="s">
        <v>224</v>
      </c>
      <c r="P202" s="2" t="s">
        <v>185</v>
      </c>
      <c r="Q202" s="2" t="s">
        <v>186</v>
      </c>
      <c r="R202" s="2" t="s">
        <v>188</v>
      </c>
      <c r="S202" s="2">
        <v>2005</v>
      </c>
      <c r="T202" s="2" t="s">
        <v>188</v>
      </c>
      <c r="U202" s="2" t="s">
        <v>188</v>
      </c>
      <c r="Y202" s="2">
        <v>630</v>
      </c>
      <c r="Z202" s="2">
        <v>1</v>
      </c>
      <c r="AA202" s="2">
        <v>630</v>
      </c>
      <c r="AB202" s="2">
        <v>590</v>
      </c>
      <c r="AC202" s="2">
        <v>410</v>
      </c>
      <c r="AD202" s="2">
        <v>450</v>
      </c>
      <c r="AE202" s="2">
        <v>40</v>
      </c>
      <c r="AF202" s="2" t="s">
        <v>188</v>
      </c>
      <c r="AG202" s="2" t="s">
        <v>187</v>
      </c>
      <c r="AH202" s="2" t="s">
        <v>187</v>
      </c>
      <c r="AI202" s="2" t="s">
        <v>1545</v>
      </c>
      <c r="AJ202" s="2" t="s">
        <v>188</v>
      </c>
      <c r="AK202" s="2" t="s">
        <v>188</v>
      </c>
      <c r="AL202" s="2" t="s">
        <v>188</v>
      </c>
      <c r="AM202" s="2" t="s">
        <v>188</v>
      </c>
      <c r="AN202" s="2" t="s">
        <v>188</v>
      </c>
      <c r="AO202" s="2" t="s">
        <v>188</v>
      </c>
      <c r="AR202" s="2">
        <v>1.1000000000000001</v>
      </c>
      <c r="AS202" s="2">
        <v>1</v>
      </c>
      <c r="AT202" s="2">
        <v>4.5</v>
      </c>
      <c r="AU202" s="2" t="s">
        <v>189</v>
      </c>
      <c r="AV202" s="2" t="s">
        <v>189</v>
      </c>
      <c r="AW202" s="2" t="s">
        <v>188</v>
      </c>
      <c r="AZ202" s="2" t="s">
        <v>476</v>
      </c>
      <c r="BB202" s="2" t="s">
        <v>260</v>
      </c>
      <c r="BC202" s="2" t="s">
        <v>192</v>
      </c>
      <c r="BD202" s="2" t="s">
        <v>187</v>
      </c>
      <c r="BE202" s="2" t="s">
        <v>187</v>
      </c>
      <c r="BF202" s="2" t="s">
        <v>193</v>
      </c>
      <c r="BG202" s="2" t="s">
        <v>194</v>
      </c>
      <c r="BH202" s="2" t="s">
        <v>297</v>
      </c>
      <c r="BI202" s="2" t="s">
        <v>196</v>
      </c>
      <c r="BL202" s="2" t="s">
        <v>197</v>
      </c>
      <c r="BM202" s="2" t="s">
        <v>198</v>
      </c>
      <c r="BN202" s="2" t="s">
        <v>199</v>
      </c>
      <c r="BO202" s="2" t="s">
        <v>188</v>
      </c>
      <c r="BQ202" s="2" t="s">
        <v>227</v>
      </c>
      <c r="BS202" s="2" t="s">
        <v>187</v>
      </c>
      <c r="BT202" s="2" t="s">
        <v>261</v>
      </c>
      <c r="BV202" s="2" t="s">
        <v>389</v>
      </c>
      <c r="BX202" s="2" t="s">
        <v>187</v>
      </c>
      <c r="BY202" s="2" t="s">
        <v>1546</v>
      </c>
      <c r="BZ202" s="2" t="s">
        <v>203</v>
      </c>
      <c r="CE202" s="2">
        <v>4.5</v>
      </c>
      <c r="CF202" s="2">
        <v>450</v>
      </c>
      <c r="CK202" s="2">
        <v>100</v>
      </c>
      <c r="CO202" s="2">
        <v>100</v>
      </c>
      <c r="CR202" s="2" t="s">
        <v>204</v>
      </c>
      <c r="CT202" s="2" t="s">
        <v>188</v>
      </c>
      <c r="CU202" s="2" t="s">
        <v>205</v>
      </c>
      <c r="CW202" s="2" t="s">
        <v>206</v>
      </c>
      <c r="CY202" s="2" t="s">
        <v>273</v>
      </c>
      <c r="CZ202" s="2" t="s">
        <v>207</v>
      </c>
      <c r="DA202" s="2" t="s">
        <v>208</v>
      </c>
      <c r="DC202" s="2" t="s">
        <v>208</v>
      </c>
      <c r="DD202" s="2" t="s">
        <v>301</v>
      </c>
      <c r="DE202" s="2" t="s">
        <v>208</v>
      </c>
      <c r="DF202" s="2" t="s">
        <v>207</v>
      </c>
      <c r="DG202" s="2" t="s">
        <v>207</v>
      </c>
      <c r="DH202" s="2" t="s">
        <v>208</v>
      </c>
      <c r="DI202" s="2" t="s">
        <v>208</v>
      </c>
      <c r="DL202" s="2" t="s">
        <v>187</v>
      </c>
      <c r="DM202" s="2" t="s">
        <v>187</v>
      </c>
      <c r="DN202" s="2" t="s">
        <v>187</v>
      </c>
      <c r="DO202" s="2" t="s">
        <v>187</v>
      </c>
      <c r="DP202" s="2" t="s">
        <v>209</v>
      </c>
      <c r="DQ202" s="2" t="s">
        <v>210</v>
      </c>
      <c r="DS202" s="2" t="s">
        <v>209</v>
      </c>
      <c r="DT202" s="2" t="s">
        <v>209</v>
      </c>
      <c r="DU202" s="2" t="s">
        <v>209</v>
      </c>
      <c r="DV202" s="2" t="s">
        <v>209</v>
      </c>
      <c r="DW202" s="2" t="s">
        <v>209</v>
      </c>
      <c r="DX202" s="2" t="s">
        <v>209</v>
      </c>
      <c r="DY202" s="2" t="s">
        <v>203</v>
      </c>
      <c r="DZ202" s="2" t="s">
        <v>203</v>
      </c>
      <c r="EA202" s="2" t="s">
        <v>209</v>
      </c>
      <c r="EB202" s="2" t="s">
        <v>209</v>
      </c>
      <c r="EF202" s="2" t="s">
        <v>189</v>
      </c>
      <c r="EJ202" s="2" t="s">
        <v>238</v>
      </c>
      <c r="EK202" s="2" t="s">
        <v>187</v>
      </c>
      <c r="EL202" s="2" t="s">
        <v>188</v>
      </c>
      <c r="EN202" s="2" t="s">
        <v>214</v>
      </c>
      <c r="EP202" s="2" t="s">
        <v>230</v>
      </c>
      <c r="ET202" s="2" t="s">
        <v>188</v>
      </c>
      <c r="EV202" s="2" t="s">
        <v>187</v>
      </c>
      <c r="EW202" s="2" t="s">
        <v>189</v>
      </c>
      <c r="EX202" s="2" t="s">
        <v>187</v>
      </c>
      <c r="EY202" s="2" t="s">
        <v>189</v>
      </c>
      <c r="EZ202" s="2" t="s">
        <v>188</v>
      </c>
      <c r="FC202" s="2" t="s">
        <v>216</v>
      </c>
      <c r="FD202" s="2" t="s">
        <v>188</v>
      </c>
      <c r="FH202" s="2" t="s">
        <v>188</v>
      </c>
      <c r="FJ202" s="2" t="s">
        <v>188</v>
      </c>
      <c r="FK202" s="2" t="s">
        <v>209</v>
      </c>
      <c r="FL202" s="2" t="s">
        <v>319</v>
      </c>
      <c r="FN202" s="2" t="s">
        <v>304</v>
      </c>
      <c r="FT202" s="2" t="s">
        <v>219</v>
      </c>
      <c r="FU202" s="2" t="s">
        <v>233</v>
      </c>
      <c r="FV202" s="2" t="s">
        <v>233</v>
      </c>
      <c r="FW202" s="2" t="s">
        <v>233</v>
      </c>
      <c r="FZ202" s="4">
        <v>46039.720416666663</v>
      </c>
    </row>
    <row r="203" spans="1:182">
      <c r="A203" s="2" t="s">
        <v>1547</v>
      </c>
      <c r="D203" s="4">
        <v>46296.600358796299</v>
      </c>
      <c r="E203" s="2" t="s">
        <v>1548</v>
      </c>
      <c r="F203" s="2" t="s">
        <v>590</v>
      </c>
      <c r="G203" s="2" t="s">
        <v>1206</v>
      </c>
      <c r="H203" s="2" t="s">
        <v>1219</v>
      </c>
      <c r="I203" s="2" t="s">
        <v>1549</v>
      </c>
      <c r="J203" s="2">
        <v>3252478</v>
      </c>
      <c r="K203" s="2" t="s">
        <v>1549</v>
      </c>
      <c r="L203" s="2" t="s">
        <v>182</v>
      </c>
      <c r="M203" s="2" t="s">
        <v>183</v>
      </c>
      <c r="N203" s="2">
        <v>1978</v>
      </c>
      <c r="O203" s="2" t="s">
        <v>184</v>
      </c>
      <c r="P203" s="2" t="s">
        <v>185</v>
      </c>
      <c r="Q203" s="2" t="s">
        <v>603</v>
      </c>
      <c r="R203" s="2" t="s">
        <v>188</v>
      </c>
      <c r="S203" s="2">
        <v>8</v>
      </c>
      <c r="T203" s="2" t="s">
        <v>188</v>
      </c>
      <c r="U203" s="2" t="s">
        <v>188</v>
      </c>
      <c r="Y203" s="2">
        <v>90</v>
      </c>
      <c r="Z203" s="2">
        <v>1</v>
      </c>
      <c r="AA203" s="2">
        <v>90</v>
      </c>
      <c r="AB203" s="2">
        <v>90</v>
      </c>
      <c r="AC203" s="2">
        <v>90</v>
      </c>
      <c r="AD203" s="2">
        <v>150</v>
      </c>
      <c r="AE203" s="2">
        <v>60</v>
      </c>
      <c r="AF203" s="2" t="s">
        <v>188</v>
      </c>
      <c r="AG203" s="2" t="s">
        <v>188</v>
      </c>
      <c r="AH203" s="2" t="s">
        <v>188</v>
      </c>
      <c r="AJ203" s="2" t="s">
        <v>188</v>
      </c>
      <c r="AK203" s="2" t="s">
        <v>188</v>
      </c>
      <c r="AL203" s="2" t="s">
        <v>188</v>
      </c>
      <c r="AM203" s="2" t="s">
        <v>188</v>
      </c>
      <c r="AN203" s="2" t="s">
        <v>188</v>
      </c>
      <c r="AO203" s="2" t="s">
        <v>188</v>
      </c>
      <c r="AR203" s="2">
        <v>0.7</v>
      </c>
      <c r="AS203" s="2">
        <v>2</v>
      </c>
      <c r="AT203" s="2">
        <v>1.2</v>
      </c>
      <c r="AU203" s="2" t="s">
        <v>203</v>
      </c>
      <c r="AV203" s="2" t="s">
        <v>189</v>
      </c>
      <c r="AW203" s="2" t="s">
        <v>188</v>
      </c>
      <c r="AZ203" s="2" t="s">
        <v>190</v>
      </c>
      <c r="BB203" s="2" t="s">
        <v>260</v>
      </c>
      <c r="BC203" s="2" t="s">
        <v>296</v>
      </c>
      <c r="BD203" s="2" t="s">
        <v>188</v>
      </c>
      <c r="BE203" s="2" t="s">
        <v>187</v>
      </c>
      <c r="BF203" s="2" t="s">
        <v>193</v>
      </c>
      <c r="BG203" s="2" t="s">
        <v>194</v>
      </c>
      <c r="BH203" s="2" t="s">
        <v>195</v>
      </c>
      <c r="BI203" s="2" t="s">
        <v>196</v>
      </c>
      <c r="BL203" s="2" t="s">
        <v>240</v>
      </c>
      <c r="BO203" s="2" t="s">
        <v>188</v>
      </c>
      <c r="BQ203" s="2" t="s">
        <v>227</v>
      </c>
      <c r="BS203" s="2" t="s">
        <v>187</v>
      </c>
      <c r="BT203" s="2" t="s">
        <v>521</v>
      </c>
      <c r="BV203" s="2" t="s">
        <v>242</v>
      </c>
      <c r="BX203" s="2" t="s">
        <v>188</v>
      </c>
      <c r="BZ203" s="2" t="s">
        <v>188</v>
      </c>
      <c r="CE203" s="2">
        <v>1.2</v>
      </c>
      <c r="CF203" s="2">
        <v>150</v>
      </c>
      <c r="CK203" s="2">
        <v>100</v>
      </c>
      <c r="CO203" s="2">
        <v>100</v>
      </c>
      <c r="CR203" s="2" t="s">
        <v>204</v>
      </c>
      <c r="CT203" s="2" t="s">
        <v>188</v>
      </c>
      <c r="CU203" s="2" t="s">
        <v>758</v>
      </c>
      <c r="CW203" s="2" t="s">
        <v>206</v>
      </c>
      <c r="CY203" s="2" t="s">
        <v>207</v>
      </c>
      <c r="CZ203" s="2" t="s">
        <v>300</v>
      </c>
      <c r="DA203" s="2" t="s">
        <v>300</v>
      </c>
      <c r="DB203" s="2" t="s">
        <v>430</v>
      </c>
      <c r="DC203" s="2" t="s">
        <v>430</v>
      </c>
      <c r="DD203" s="2" t="s">
        <v>300</v>
      </c>
      <c r="DE203" s="2" t="s">
        <v>300</v>
      </c>
      <c r="DF203" s="2" t="s">
        <v>300</v>
      </c>
      <c r="DG203" s="2" t="s">
        <v>300</v>
      </c>
      <c r="DH203" s="2" t="s">
        <v>430</v>
      </c>
      <c r="DI203" s="2" t="s">
        <v>430</v>
      </c>
      <c r="DL203" s="2" t="s">
        <v>187</v>
      </c>
      <c r="DM203" s="2" t="s">
        <v>187</v>
      </c>
      <c r="DN203" s="2" t="s">
        <v>187</v>
      </c>
      <c r="DO203" s="2" t="s">
        <v>187</v>
      </c>
      <c r="DP203" s="2" t="s">
        <v>203</v>
      </c>
      <c r="DT203" s="2" t="s">
        <v>209</v>
      </c>
      <c r="DU203" s="2" t="s">
        <v>209</v>
      </c>
      <c r="DV203" s="2" t="s">
        <v>209</v>
      </c>
      <c r="DW203" s="2" t="s">
        <v>209</v>
      </c>
      <c r="DX203" s="2" t="s">
        <v>209</v>
      </c>
      <c r="DY203" s="2" t="s">
        <v>209</v>
      </c>
      <c r="DZ203" s="2" t="s">
        <v>209</v>
      </c>
      <c r="EA203" s="2" t="s">
        <v>209</v>
      </c>
      <c r="EB203" s="2" t="s">
        <v>209</v>
      </c>
      <c r="EC203" s="2" t="s">
        <v>188</v>
      </c>
      <c r="EF203" s="2" t="s">
        <v>189</v>
      </c>
      <c r="EG203" s="2" t="s">
        <v>1550</v>
      </c>
      <c r="EJ203" s="2" t="s">
        <v>203</v>
      </c>
      <c r="EK203" s="2" t="s">
        <v>188</v>
      </c>
      <c r="EL203" s="2" t="s">
        <v>188</v>
      </c>
      <c r="EN203" s="2" t="s">
        <v>255</v>
      </c>
      <c r="EP203" s="2" t="s">
        <v>230</v>
      </c>
      <c r="ER203" s="2" t="s">
        <v>188</v>
      </c>
      <c r="ET203" s="2" t="s">
        <v>188</v>
      </c>
      <c r="EV203" s="2" t="s">
        <v>188</v>
      </c>
      <c r="EX203" s="2" t="s">
        <v>188</v>
      </c>
      <c r="EZ203" s="2" t="s">
        <v>188</v>
      </c>
      <c r="FC203" s="2" t="s">
        <v>263</v>
      </c>
      <c r="FD203" s="2" t="s">
        <v>188</v>
      </c>
      <c r="FH203" s="2" t="s">
        <v>188</v>
      </c>
      <c r="FJ203" s="2" t="s">
        <v>188</v>
      </c>
      <c r="FK203" s="2" t="s">
        <v>188</v>
      </c>
      <c r="FN203" s="2" t="s">
        <v>769</v>
      </c>
      <c r="FR203" s="2" t="s">
        <v>1551</v>
      </c>
      <c r="FT203" s="2" t="s">
        <v>490</v>
      </c>
      <c r="FU203" s="2" t="s">
        <v>233</v>
      </c>
      <c r="FV203" s="2" t="s">
        <v>219</v>
      </c>
      <c r="FW203" s="2" t="s">
        <v>233</v>
      </c>
      <c r="FZ203" s="4">
        <v>46047.605497685188</v>
      </c>
    </row>
    <row r="204" spans="1:182">
      <c r="A204" s="2" t="s">
        <v>1552</v>
      </c>
      <c r="D204" s="4">
        <v>46296.59988425926</v>
      </c>
      <c r="E204" s="2" t="s">
        <v>1536</v>
      </c>
      <c r="F204" s="2" t="s">
        <v>425</v>
      </c>
      <c r="G204" s="2" t="s">
        <v>1206</v>
      </c>
      <c r="H204" s="2" t="s">
        <v>1263</v>
      </c>
      <c r="I204" s="2" t="s">
        <v>1553</v>
      </c>
      <c r="J204" s="2">
        <v>984996040</v>
      </c>
      <c r="K204" s="2" t="s">
        <v>1553</v>
      </c>
      <c r="L204" s="2" t="s">
        <v>182</v>
      </c>
      <c r="M204" s="2" t="s">
        <v>183</v>
      </c>
      <c r="N204" s="2">
        <v>1966</v>
      </c>
      <c r="O204" s="2" t="s">
        <v>224</v>
      </c>
      <c r="P204" s="2" t="s">
        <v>185</v>
      </c>
      <c r="Q204" s="2" t="s">
        <v>186</v>
      </c>
      <c r="R204" s="2" t="s">
        <v>188</v>
      </c>
      <c r="S204" s="2">
        <v>32</v>
      </c>
      <c r="T204" s="2" t="s">
        <v>188</v>
      </c>
      <c r="U204" s="2" t="s">
        <v>188</v>
      </c>
      <c r="Y204" s="2">
        <v>600</v>
      </c>
      <c r="Z204" s="2">
        <v>1</v>
      </c>
      <c r="AA204" s="2">
        <v>600</v>
      </c>
      <c r="AB204" s="2">
        <v>600</v>
      </c>
      <c r="AC204" s="2">
        <v>570</v>
      </c>
      <c r="AD204" s="2">
        <v>800</v>
      </c>
      <c r="AE204" s="2">
        <v>230</v>
      </c>
      <c r="AF204" s="2" t="s">
        <v>188</v>
      </c>
      <c r="AG204" s="2" t="s">
        <v>187</v>
      </c>
      <c r="AH204" s="2" t="s">
        <v>188</v>
      </c>
      <c r="AJ204" s="2" t="s">
        <v>188</v>
      </c>
      <c r="AK204" s="2" t="s">
        <v>188</v>
      </c>
      <c r="AL204" s="2" t="s">
        <v>188</v>
      </c>
      <c r="AM204" s="2" t="s">
        <v>188</v>
      </c>
      <c r="AN204" s="2" t="s">
        <v>188</v>
      </c>
      <c r="AO204" s="2" t="s">
        <v>188</v>
      </c>
      <c r="AR204" s="2">
        <v>3.1</v>
      </c>
      <c r="AS204" s="2">
        <v>3</v>
      </c>
      <c r="AT204" s="2">
        <v>8</v>
      </c>
      <c r="AU204" s="2" t="s">
        <v>238</v>
      </c>
      <c r="AV204" s="2" t="s">
        <v>203</v>
      </c>
      <c r="AW204" s="2" t="s">
        <v>188</v>
      </c>
      <c r="AZ204" s="2" t="s">
        <v>357</v>
      </c>
      <c r="BC204" s="2" t="s">
        <v>192</v>
      </c>
      <c r="BD204" s="2" t="s">
        <v>188</v>
      </c>
      <c r="BE204" s="2" t="s">
        <v>188</v>
      </c>
      <c r="BL204" s="2" t="s">
        <v>197</v>
      </c>
      <c r="BM204" s="2" t="s">
        <v>198</v>
      </c>
      <c r="BN204" s="2" t="s">
        <v>199</v>
      </c>
      <c r="BO204" s="2" t="s">
        <v>188</v>
      </c>
      <c r="BS204" s="2" t="s">
        <v>187</v>
      </c>
      <c r="BX204" s="2" t="s">
        <v>188</v>
      </c>
      <c r="BZ204" s="2" t="s">
        <v>188</v>
      </c>
      <c r="CE204" s="2">
        <v>8</v>
      </c>
      <c r="CF204" s="2">
        <v>800</v>
      </c>
      <c r="CK204" s="2">
        <v>100</v>
      </c>
      <c r="CO204" s="2">
        <v>100</v>
      </c>
      <c r="CR204" s="2" t="s">
        <v>204</v>
      </c>
      <c r="CT204" s="2" t="s">
        <v>188</v>
      </c>
      <c r="CU204" s="2" t="s">
        <v>205</v>
      </c>
      <c r="CW204" s="2" t="s">
        <v>206</v>
      </c>
      <c r="CY204" s="2" t="s">
        <v>207</v>
      </c>
      <c r="CZ204" s="2" t="s">
        <v>207</v>
      </c>
      <c r="DA204" s="2" t="s">
        <v>300</v>
      </c>
      <c r="DB204" s="2" t="s">
        <v>300</v>
      </c>
      <c r="DC204" s="2" t="s">
        <v>300</v>
      </c>
      <c r="DD204" s="2" t="s">
        <v>300</v>
      </c>
      <c r="DE204" s="2" t="s">
        <v>300</v>
      </c>
      <c r="DF204" s="2" t="s">
        <v>300</v>
      </c>
      <c r="DG204" s="2" t="s">
        <v>300</v>
      </c>
      <c r="DH204" s="2" t="s">
        <v>300</v>
      </c>
      <c r="DI204" s="2" t="s">
        <v>300</v>
      </c>
      <c r="DL204" s="2" t="s">
        <v>188</v>
      </c>
      <c r="DM204" s="2" t="s">
        <v>188</v>
      </c>
      <c r="DP204" s="2" t="s">
        <v>188</v>
      </c>
      <c r="DT204" s="2" t="s">
        <v>203</v>
      </c>
      <c r="DU204" s="2" t="s">
        <v>203</v>
      </c>
      <c r="DV204" s="2" t="s">
        <v>203</v>
      </c>
      <c r="DW204" s="2" t="s">
        <v>203</v>
      </c>
      <c r="DX204" s="2" t="s">
        <v>203</v>
      </c>
      <c r="DY204" s="2" t="s">
        <v>203</v>
      </c>
      <c r="DZ204" s="2" t="s">
        <v>203</v>
      </c>
      <c r="EA204" s="2" t="s">
        <v>203</v>
      </c>
      <c r="EB204" s="2" t="s">
        <v>203</v>
      </c>
      <c r="EC204" s="2" t="s">
        <v>203</v>
      </c>
      <c r="EF204" s="2" t="s">
        <v>302</v>
      </c>
      <c r="EG204" s="2" t="s">
        <v>431</v>
      </c>
      <c r="EJ204" s="2" t="s">
        <v>203</v>
      </c>
      <c r="EK204" s="2" t="s">
        <v>188</v>
      </c>
      <c r="EL204" s="2" t="s">
        <v>188</v>
      </c>
      <c r="EN204" s="2" t="s">
        <v>255</v>
      </c>
      <c r="EP204" s="2" t="s">
        <v>230</v>
      </c>
      <c r="ER204" s="2" t="s">
        <v>188</v>
      </c>
      <c r="ET204" s="2" t="s">
        <v>188</v>
      </c>
      <c r="EV204" s="2" t="s">
        <v>188</v>
      </c>
      <c r="EX204" s="2" t="s">
        <v>188</v>
      </c>
      <c r="EZ204" s="2" t="s">
        <v>188</v>
      </c>
      <c r="FC204" s="2" t="s">
        <v>263</v>
      </c>
      <c r="FD204" s="2" t="s">
        <v>188</v>
      </c>
      <c r="FH204" s="2" t="s">
        <v>188</v>
      </c>
      <c r="FJ204" s="2" t="s">
        <v>188</v>
      </c>
      <c r="FK204" s="2" t="s">
        <v>188</v>
      </c>
      <c r="FR204" s="2" t="s">
        <v>433</v>
      </c>
      <c r="FT204" s="2" t="s">
        <v>233</v>
      </c>
      <c r="FU204" s="2" t="s">
        <v>219</v>
      </c>
      <c r="FV204" s="2" t="s">
        <v>219</v>
      </c>
      <c r="FW204" s="2" t="s">
        <v>219</v>
      </c>
      <c r="FZ204" s="4">
        <v>46041.725104166668</v>
      </c>
    </row>
    <row r="205" spans="1:182">
      <c r="A205" s="2" t="s">
        <v>1554</v>
      </c>
      <c r="D205" s="4">
        <v>46296.601412037038</v>
      </c>
      <c r="E205" s="2" t="s">
        <v>1555</v>
      </c>
      <c r="F205" s="2" t="s">
        <v>398</v>
      </c>
      <c r="G205" s="2" t="s">
        <v>1206</v>
      </c>
      <c r="H205" s="2" t="s">
        <v>1263</v>
      </c>
      <c r="I205" s="2" t="s">
        <v>1556</v>
      </c>
      <c r="J205" s="2">
        <v>395046794</v>
      </c>
      <c r="K205" s="2" t="s">
        <v>1556</v>
      </c>
      <c r="L205" s="2" t="s">
        <v>182</v>
      </c>
      <c r="M205" s="2" t="s">
        <v>183</v>
      </c>
      <c r="N205" s="2">
        <v>1979</v>
      </c>
      <c r="O205" s="2" t="s">
        <v>224</v>
      </c>
      <c r="P205" s="2" t="s">
        <v>185</v>
      </c>
      <c r="Q205" s="2" t="s">
        <v>186</v>
      </c>
      <c r="R205" s="2" t="s">
        <v>188</v>
      </c>
      <c r="S205" s="2">
        <v>30</v>
      </c>
      <c r="T205" s="2" t="s">
        <v>188</v>
      </c>
      <c r="U205" s="2" t="s">
        <v>188</v>
      </c>
      <c r="Y205" s="2">
        <v>720</v>
      </c>
      <c r="Z205" s="2">
        <v>1</v>
      </c>
      <c r="AA205" s="2">
        <v>720</v>
      </c>
      <c r="AB205" s="2">
        <v>720</v>
      </c>
      <c r="AC205" s="2">
        <v>720</v>
      </c>
      <c r="AD205" s="2">
        <v>800</v>
      </c>
      <c r="AE205" s="2">
        <v>80</v>
      </c>
      <c r="AF205" s="2" t="s">
        <v>188</v>
      </c>
      <c r="AG205" s="2" t="s">
        <v>188</v>
      </c>
      <c r="AH205" s="2" t="s">
        <v>188</v>
      </c>
      <c r="AJ205" s="2" t="s">
        <v>188</v>
      </c>
      <c r="AK205" s="2" t="s">
        <v>188</v>
      </c>
      <c r="AL205" s="2" t="s">
        <v>188</v>
      </c>
      <c r="AM205" s="2" t="s">
        <v>188</v>
      </c>
      <c r="AN205" s="2" t="s">
        <v>188</v>
      </c>
      <c r="AO205" s="2" t="s">
        <v>188</v>
      </c>
      <c r="AR205" s="2">
        <v>1.3</v>
      </c>
      <c r="AS205" s="2">
        <v>2</v>
      </c>
      <c r="AT205" s="2">
        <v>8</v>
      </c>
      <c r="AU205" s="2" t="s">
        <v>189</v>
      </c>
      <c r="AV205" s="2" t="s">
        <v>189</v>
      </c>
      <c r="AW205" s="2" t="s">
        <v>188</v>
      </c>
      <c r="BC205" s="2" t="s">
        <v>192</v>
      </c>
      <c r="BD205" s="2" t="s">
        <v>187</v>
      </c>
      <c r="BE205" s="2" t="s">
        <v>188</v>
      </c>
      <c r="BL205" s="2" t="s">
        <v>197</v>
      </c>
      <c r="BM205" s="2" t="s">
        <v>198</v>
      </c>
      <c r="BN205" s="2" t="s">
        <v>199</v>
      </c>
      <c r="BO205" s="2" t="s">
        <v>188</v>
      </c>
      <c r="BQ205" s="2" t="s">
        <v>200</v>
      </c>
      <c r="BS205" s="2" t="s">
        <v>187</v>
      </c>
      <c r="BT205" s="2" t="s">
        <v>261</v>
      </c>
      <c r="BV205" s="2" t="s">
        <v>248</v>
      </c>
      <c r="BX205" s="2" t="s">
        <v>188</v>
      </c>
      <c r="BY205" s="2" t="s">
        <v>1557</v>
      </c>
      <c r="BZ205" s="2" t="s">
        <v>188</v>
      </c>
      <c r="CE205" s="2">
        <v>8</v>
      </c>
      <c r="CF205" s="2">
        <v>800</v>
      </c>
      <c r="CM205" s="2">
        <v>100</v>
      </c>
      <c r="CP205" s="2">
        <v>100</v>
      </c>
      <c r="CR205" s="2" t="s">
        <v>204</v>
      </c>
      <c r="CT205" s="2" t="s">
        <v>188</v>
      </c>
      <c r="CU205" s="2" t="s">
        <v>205</v>
      </c>
      <c r="CW205" s="2" t="s">
        <v>206</v>
      </c>
      <c r="CY205" s="2" t="s">
        <v>207</v>
      </c>
      <c r="CZ205" s="2" t="s">
        <v>207</v>
      </c>
      <c r="DA205" s="2" t="s">
        <v>300</v>
      </c>
      <c r="DB205" s="2" t="s">
        <v>207</v>
      </c>
      <c r="DC205" s="2" t="s">
        <v>300</v>
      </c>
      <c r="DD205" s="2" t="s">
        <v>300</v>
      </c>
      <c r="DE205" s="2" t="s">
        <v>300</v>
      </c>
      <c r="DF205" s="2" t="s">
        <v>207</v>
      </c>
      <c r="DG205" s="2" t="s">
        <v>207</v>
      </c>
      <c r="DH205" s="2" t="s">
        <v>207</v>
      </c>
      <c r="DI205" s="2" t="s">
        <v>207</v>
      </c>
      <c r="DL205" s="2" t="s">
        <v>187</v>
      </c>
      <c r="DM205" s="2" t="s">
        <v>187</v>
      </c>
      <c r="DN205" s="2" t="s">
        <v>187</v>
      </c>
      <c r="DO205" s="2" t="s">
        <v>187</v>
      </c>
      <c r="DP205" s="2" t="s">
        <v>209</v>
      </c>
      <c r="DQ205" s="2" t="s">
        <v>467</v>
      </c>
      <c r="DR205" s="2" t="s">
        <v>1558</v>
      </c>
      <c r="DT205" s="2" t="s">
        <v>209</v>
      </c>
      <c r="DU205" s="2" t="s">
        <v>209</v>
      </c>
      <c r="DV205" s="2" t="s">
        <v>209</v>
      </c>
      <c r="DW205" s="2" t="s">
        <v>209</v>
      </c>
      <c r="DX205" s="2" t="s">
        <v>209</v>
      </c>
      <c r="DY205" s="2" t="s">
        <v>209</v>
      </c>
      <c r="DZ205" s="2" t="s">
        <v>209</v>
      </c>
      <c r="EA205" s="2" t="s">
        <v>209</v>
      </c>
      <c r="EB205" s="2" t="s">
        <v>209</v>
      </c>
      <c r="EF205" s="2" t="s">
        <v>211</v>
      </c>
      <c r="EG205" s="2" t="s">
        <v>1559</v>
      </c>
      <c r="EJ205" s="2" t="s">
        <v>189</v>
      </c>
      <c r="EK205" s="2" t="s">
        <v>187</v>
      </c>
      <c r="EL205" s="2" t="s">
        <v>187</v>
      </c>
      <c r="EM205" s="2" t="s">
        <v>690</v>
      </c>
      <c r="EN205" s="2" t="s">
        <v>214</v>
      </c>
      <c r="EP205" s="2" t="s">
        <v>230</v>
      </c>
      <c r="ER205" s="2" t="s">
        <v>187</v>
      </c>
      <c r="ET205" s="2" t="s">
        <v>188</v>
      </c>
      <c r="EV205" s="2" t="s">
        <v>187</v>
      </c>
      <c r="EW205" s="2" t="s">
        <v>189</v>
      </c>
      <c r="EX205" s="2" t="s">
        <v>187</v>
      </c>
      <c r="EY205" s="2" t="s">
        <v>189</v>
      </c>
      <c r="EZ205" s="2" t="s">
        <v>188</v>
      </c>
      <c r="FC205" s="2" t="s">
        <v>216</v>
      </c>
      <c r="FD205" s="2" t="s">
        <v>188</v>
      </c>
      <c r="FH205" s="2" t="s">
        <v>188</v>
      </c>
      <c r="FJ205" s="2" t="s">
        <v>188</v>
      </c>
      <c r="FK205" s="2" t="s">
        <v>209</v>
      </c>
      <c r="FL205" s="2" t="s">
        <v>319</v>
      </c>
      <c r="FN205" s="2" t="s">
        <v>282</v>
      </c>
      <c r="FR205" s="2" t="s">
        <v>1560</v>
      </c>
      <c r="FT205" s="2" t="s">
        <v>233</v>
      </c>
      <c r="FU205" s="2" t="s">
        <v>233</v>
      </c>
      <c r="FV205" s="2" t="s">
        <v>233</v>
      </c>
      <c r="FW205" s="2" t="s">
        <v>233</v>
      </c>
      <c r="FX205" s="2" t="s">
        <v>233</v>
      </c>
      <c r="FY205" s="2" t="s">
        <v>1561</v>
      </c>
      <c r="FZ205" s="4">
        <v>46038.632337962961</v>
      </c>
    </row>
    <row r="206" spans="1:182">
      <c r="A206" s="2" t="s">
        <v>1562</v>
      </c>
      <c r="D206" s="4">
        <v>46296.595300925925</v>
      </c>
      <c r="E206" s="2" t="s">
        <v>177</v>
      </c>
      <c r="F206" s="2" t="s">
        <v>178</v>
      </c>
      <c r="G206" s="2" t="s">
        <v>1206</v>
      </c>
      <c r="H206" s="2" t="s">
        <v>1207</v>
      </c>
      <c r="I206" s="2" t="s">
        <v>1563</v>
      </c>
      <c r="J206" s="2">
        <v>978492128</v>
      </c>
      <c r="K206" s="2" t="s">
        <v>1563</v>
      </c>
      <c r="L206" s="2" t="s">
        <v>182</v>
      </c>
      <c r="M206" s="2" t="s">
        <v>183</v>
      </c>
      <c r="N206" s="2">
        <v>1981</v>
      </c>
      <c r="O206" s="2" t="s">
        <v>184</v>
      </c>
      <c r="P206" s="2" t="s">
        <v>185</v>
      </c>
      <c r="Q206" s="2" t="s">
        <v>270</v>
      </c>
      <c r="R206" s="2" t="s">
        <v>188</v>
      </c>
      <c r="S206" s="2">
        <v>5</v>
      </c>
      <c r="T206" s="2" t="s">
        <v>188</v>
      </c>
      <c r="U206" s="2" t="s">
        <v>187</v>
      </c>
      <c r="Y206" s="2">
        <v>150</v>
      </c>
      <c r="Z206" s="2">
        <v>1</v>
      </c>
      <c r="AA206" s="2">
        <v>150</v>
      </c>
      <c r="AB206" s="2">
        <v>130</v>
      </c>
      <c r="AC206" s="2">
        <v>130</v>
      </c>
      <c r="AD206" s="2">
        <v>200</v>
      </c>
      <c r="AE206" s="2">
        <v>70</v>
      </c>
      <c r="AF206" s="2" t="s">
        <v>187</v>
      </c>
      <c r="AG206" s="2" t="s">
        <v>188</v>
      </c>
      <c r="AH206" s="2" t="s">
        <v>188</v>
      </c>
      <c r="AJ206" s="2" t="s">
        <v>188</v>
      </c>
      <c r="AK206" s="2" t="s">
        <v>187</v>
      </c>
      <c r="AL206" s="2" t="s">
        <v>188</v>
      </c>
      <c r="AM206" s="2" t="s">
        <v>188</v>
      </c>
      <c r="AN206" s="2" t="s">
        <v>188</v>
      </c>
      <c r="AO206" s="2" t="s">
        <v>188</v>
      </c>
      <c r="AR206" s="2">
        <v>1.5</v>
      </c>
      <c r="AS206" s="2">
        <v>1</v>
      </c>
      <c r="AT206" s="2">
        <v>2.2000000000000002</v>
      </c>
      <c r="AU206" s="2" t="s">
        <v>238</v>
      </c>
      <c r="AV206" s="2" t="s">
        <v>238</v>
      </c>
      <c r="AW206" s="2" t="s">
        <v>188</v>
      </c>
      <c r="AZ206" s="2" t="s">
        <v>190</v>
      </c>
      <c r="BB206" s="2" t="s">
        <v>191</v>
      </c>
      <c r="BC206" s="2" t="s">
        <v>192</v>
      </c>
      <c r="BD206" s="2" t="s">
        <v>187</v>
      </c>
      <c r="BE206" s="2" t="s">
        <v>187</v>
      </c>
      <c r="BF206" s="2" t="s">
        <v>193</v>
      </c>
      <c r="BG206" s="2" t="s">
        <v>279</v>
      </c>
      <c r="BH206" s="2" t="s">
        <v>195</v>
      </c>
      <c r="BI206" s="2" t="s">
        <v>196</v>
      </c>
      <c r="BL206" s="2" t="s">
        <v>240</v>
      </c>
      <c r="BO206" s="2" t="s">
        <v>188</v>
      </c>
      <c r="BQ206" s="2" t="s">
        <v>200</v>
      </c>
      <c r="BS206" s="2" t="s">
        <v>187</v>
      </c>
      <c r="BT206" s="2" t="s">
        <v>201</v>
      </c>
      <c r="BV206" s="2" t="s">
        <v>248</v>
      </c>
      <c r="BX206" s="2" t="s">
        <v>188</v>
      </c>
      <c r="BZ206" s="2" t="s">
        <v>203</v>
      </c>
      <c r="CE206" s="2">
        <v>2.2000000000000002</v>
      </c>
      <c r="CF206" s="2">
        <v>200</v>
      </c>
      <c r="CM206" s="2">
        <v>100</v>
      </c>
      <c r="CO206" s="2">
        <v>100</v>
      </c>
      <c r="CR206" s="2" t="s">
        <v>204</v>
      </c>
      <c r="CT206" s="2" t="s">
        <v>188</v>
      </c>
      <c r="CU206" s="2" t="s">
        <v>205</v>
      </c>
      <c r="CW206" s="2" t="s">
        <v>206</v>
      </c>
      <c r="CY206" s="2" t="s">
        <v>208</v>
      </c>
      <c r="CZ206" s="2" t="s">
        <v>208</v>
      </c>
      <c r="DA206" s="2" t="s">
        <v>208</v>
      </c>
      <c r="DB206" s="2" t="s">
        <v>208</v>
      </c>
      <c r="DC206" s="2" t="s">
        <v>208</v>
      </c>
      <c r="DD206" s="2" t="s">
        <v>208</v>
      </c>
      <c r="DE206" s="2" t="s">
        <v>208</v>
      </c>
      <c r="DF206" s="2" t="s">
        <v>208</v>
      </c>
      <c r="DG206" s="2" t="s">
        <v>208</v>
      </c>
      <c r="DH206" s="2" t="s">
        <v>208</v>
      </c>
      <c r="DI206" s="2" t="s">
        <v>208</v>
      </c>
      <c r="DL206" s="2" t="s">
        <v>187</v>
      </c>
      <c r="DM206" s="2" t="s">
        <v>187</v>
      </c>
      <c r="DN206" s="2" t="s">
        <v>187</v>
      </c>
      <c r="DO206" s="2" t="s">
        <v>187</v>
      </c>
      <c r="DP206" s="2" t="s">
        <v>209</v>
      </c>
      <c r="DQ206" s="2" t="s">
        <v>210</v>
      </c>
      <c r="DT206" s="2" t="s">
        <v>209</v>
      </c>
      <c r="DU206" s="2" t="s">
        <v>209</v>
      </c>
      <c r="DV206" s="2" t="s">
        <v>209</v>
      </c>
      <c r="DW206" s="2" t="s">
        <v>209</v>
      </c>
      <c r="DX206" s="2" t="s">
        <v>209</v>
      </c>
      <c r="DY206" s="2" t="s">
        <v>209</v>
      </c>
      <c r="DZ206" s="2" t="s">
        <v>209</v>
      </c>
      <c r="EA206" s="2" t="s">
        <v>209</v>
      </c>
      <c r="EB206" s="2" t="s">
        <v>209</v>
      </c>
      <c r="EF206" s="2" t="s">
        <v>211</v>
      </c>
      <c r="EJ206" s="2" t="s">
        <v>238</v>
      </c>
      <c r="EK206" s="2" t="s">
        <v>187</v>
      </c>
      <c r="EL206" s="2" t="s">
        <v>188</v>
      </c>
      <c r="EN206" s="2" t="s">
        <v>214</v>
      </c>
      <c r="EP206" s="2" t="s">
        <v>230</v>
      </c>
      <c r="ER206" s="2" t="s">
        <v>187</v>
      </c>
      <c r="ET206" s="2" t="s">
        <v>188</v>
      </c>
      <c r="EV206" s="2" t="s">
        <v>187</v>
      </c>
      <c r="EW206" s="2" t="s">
        <v>1183</v>
      </c>
      <c r="EX206" s="2" t="s">
        <v>187</v>
      </c>
      <c r="EY206" s="2" t="s">
        <v>1183</v>
      </c>
      <c r="FC206" s="2" t="s">
        <v>216</v>
      </c>
      <c r="FD206" s="2" t="s">
        <v>188</v>
      </c>
      <c r="FH206" s="2" t="s">
        <v>188</v>
      </c>
      <c r="FJ206" s="2" t="s">
        <v>187</v>
      </c>
      <c r="FK206" s="2" t="s">
        <v>209</v>
      </c>
      <c r="FL206" s="2" t="s">
        <v>231</v>
      </c>
      <c r="FN206" s="2" t="s">
        <v>1564</v>
      </c>
      <c r="FT206" s="2" t="s">
        <v>219</v>
      </c>
      <c r="FU206" s="2" t="s">
        <v>219</v>
      </c>
      <c r="FV206" s="2" t="s">
        <v>219</v>
      </c>
      <c r="FW206" s="2" t="s">
        <v>219</v>
      </c>
      <c r="FZ206" s="4">
        <v>46040.46503472222</v>
      </c>
    </row>
    <row r="207" spans="1:182">
      <c r="A207" s="2" t="s">
        <v>1565</v>
      </c>
      <c r="D207" s="4">
        <v>46296.597002314818</v>
      </c>
      <c r="E207" s="2" t="s">
        <v>177</v>
      </c>
      <c r="F207" s="2" t="s">
        <v>293</v>
      </c>
      <c r="G207" s="2" t="s">
        <v>1206</v>
      </c>
      <c r="H207" s="2" t="s">
        <v>1566</v>
      </c>
      <c r="I207" s="2" t="s">
        <v>1567</v>
      </c>
      <c r="J207" s="2">
        <v>976805719</v>
      </c>
      <c r="K207" s="2" t="s">
        <v>1568</v>
      </c>
      <c r="L207" s="2" t="s">
        <v>182</v>
      </c>
      <c r="M207" s="2" t="s">
        <v>223</v>
      </c>
      <c r="N207" s="2">
        <v>1982</v>
      </c>
      <c r="O207" s="2" t="s">
        <v>224</v>
      </c>
      <c r="P207" s="2" t="s">
        <v>225</v>
      </c>
      <c r="Q207" s="2" t="s">
        <v>186</v>
      </c>
      <c r="R207" s="2" t="s">
        <v>188</v>
      </c>
      <c r="S207" s="2">
        <v>2012</v>
      </c>
      <c r="T207" s="2" t="s">
        <v>188</v>
      </c>
      <c r="U207" s="2" t="s">
        <v>188</v>
      </c>
      <c r="Y207" s="2">
        <v>1000</v>
      </c>
      <c r="Z207" s="2">
        <v>1</v>
      </c>
      <c r="AA207" s="2">
        <v>1000</v>
      </c>
      <c r="AB207" s="2">
        <v>950</v>
      </c>
      <c r="AC207" s="2">
        <v>360</v>
      </c>
      <c r="AD207" s="2">
        <v>400</v>
      </c>
      <c r="AE207" s="2">
        <v>40</v>
      </c>
      <c r="AF207" s="2" t="s">
        <v>188</v>
      </c>
      <c r="AG207" s="2" t="s">
        <v>187</v>
      </c>
      <c r="AH207" s="2" t="s">
        <v>187</v>
      </c>
      <c r="AI207" s="2" t="s">
        <v>1569</v>
      </c>
      <c r="AJ207" s="2" t="s">
        <v>188</v>
      </c>
      <c r="AK207" s="2" t="s">
        <v>188</v>
      </c>
      <c r="AL207" s="2" t="s">
        <v>188</v>
      </c>
      <c r="AM207" s="2" t="s">
        <v>187</v>
      </c>
      <c r="AN207" s="2" t="s">
        <v>188</v>
      </c>
      <c r="AO207" s="2" t="s">
        <v>188</v>
      </c>
      <c r="AR207" s="2">
        <v>1.5</v>
      </c>
      <c r="AS207" s="2">
        <v>1</v>
      </c>
      <c r="AT207" s="2">
        <v>4</v>
      </c>
      <c r="AU207" s="2" t="s">
        <v>189</v>
      </c>
      <c r="AV207" s="2" t="s">
        <v>189</v>
      </c>
      <c r="AW207" s="2" t="s">
        <v>188</v>
      </c>
      <c r="AZ207" s="2" t="s">
        <v>190</v>
      </c>
      <c r="BB207" s="2" t="s">
        <v>260</v>
      </c>
      <c r="BC207" s="2" t="s">
        <v>192</v>
      </c>
      <c r="BD207" s="2" t="s">
        <v>187</v>
      </c>
      <c r="BE207" s="2" t="s">
        <v>187</v>
      </c>
      <c r="BF207" s="2" t="s">
        <v>193</v>
      </c>
      <c r="BG207" s="2" t="s">
        <v>194</v>
      </c>
      <c r="BH207" s="2" t="s">
        <v>297</v>
      </c>
      <c r="BI207" s="2" t="s">
        <v>196</v>
      </c>
      <c r="BL207" s="2" t="s">
        <v>197</v>
      </c>
      <c r="BM207" s="2" t="s">
        <v>198</v>
      </c>
      <c r="BN207" s="2" t="s">
        <v>199</v>
      </c>
      <c r="BO207" s="2" t="s">
        <v>188</v>
      </c>
      <c r="BQ207" s="2" t="s">
        <v>227</v>
      </c>
      <c r="BT207" s="2" t="s">
        <v>261</v>
      </c>
      <c r="BV207" s="2" t="s">
        <v>389</v>
      </c>
      <c r="BX207" s="2" t="s">
        <v>187</v>
      </c>
      <c r="BY207" s="2" t="s">
        <v>310</v>
      </c>
      <c r="BZ207" s="2" t="s">
        <v>203</v>
      </c>
      <c r="CE207" s="2">
        <v>4</v>
      </c>
      <c r="CF207" s="2">
        <v>390</v>
      </c>
      <c r="CK207" s="2">
        <v>100</v>
      </c>
      <c r="CO207" s="2">
        <v>100</v>
      </c>
      <c r="CR207" s="2" t="s">
        <v>204</v>
      </c>
      <c r="CT207" s="2" t="s">
        <v>188</v>
      </c>
      <c r="CU207" s="2" t="s">
        <v>205</v>
      </c>
      <c r="CW207" s="2" t="s">
        <v>206</v>
      </c>
      <c r="CY207" s="2" t="s">
        <v>273</v>
      </c>
      <c r="CZ207" s="2" t="s">
        <v>207</v>
      </c>
      <c r="DA207" s="2" t="s">
        <v>208</v>
      </c>
      <c r="DB207" s="2" t="s">
        <v>301</v>
      </c>
      <c r="DC207" s="2" t="s">
        <v>208</v>
      </c>
      <c r="DD207" s="2" t="s">
        <v>301</v>
      </c>
      <c r="DE207" s="2" t="s">
        <v>208</v>
      </c>
      <c r="DF207" s="2" t="s">
        <v>207</v>
      </c>
      <c r="DG207" s="2" t="s">
        <v>207</v>
      </c>
      <c r="DH207" s="2" t="s">
        <v>207</v>
      </c>
      <c r="DI207" s="2" t="s">
        <v>208</v>
      </c>
      <c r="DL207" s="2" t="s">
        <v>187</v>
      </c>
      <c r="DM207" s="2" t="s">
        <v>187</v>
      </c>
      <c r="DN207" s="2" t="s">
        <v>187</v>
      </c>
      <c r="DO207" s="2" t="s">
        <v>187</v>
      </c>
      <c r="DP207" s="2" t="s">
        <v>209</v>
      </c>
      <c r="DQ207" s="2" t="s">
        <v>210</v>
      </c>
      <c r="DS207" s="2" t="s">
        <v>209</v>
      </c>
      <c r="DT207" s="2" t="s">
        <v>209</v>
      </c>
      <c r="DU207" s="2" t="s">
        <v>209</v>
      </c>
      <c r="DV207" s="2" t="s">
        <v>209</v>
      </c>
      <c r="DW207" s="2" t="s">
        <v>209</v>
      </c>
      <c r="DX207" s="2" t="s">
        <v>209</v>
      </c>
      <c r="DY207" s="2" t="s">
        <v>203</v>
      </c>
      <c r="DZ207" s="2" t="s">
        <v>203</v>
      </c>
      <c r="EA207" s="2" t="s">
        <v>209</v>
      </c>
      <c r="EB207" s="2" t="s">
        <v>209</v>
      </c>
      <c r="EF207" s="2" t="s">
        <v>211</v>
      </c>
      <c r="EJ207" s="2" t="s">
        <v>238</v>
      </c>
      <c r="EK207" s="2" t="s">
        <v>187</v>
      </c>
      <c r="EL207" s="2" t="s">
        <v>188</v>
      </c>
      <c r="EN207" s="2" t="s">
        <v>214</v>
      </c>
      <c r="EP207" s="2" t="s">
        <v>230</v>
      </c>
      <c r="ER207" s="2" t="s">
        <v>187</v>
      </c>
      <c r="ET207" s="2" t="s">
        <v>188</v>
      </c>
      <c r="EV207" s="2" t="s">
        <v>188</v>
      </c>
      <c r="EX207" s="2" t="s">
        <v>187</v>
      </c>
      <c r="EY207" s="2" t="s">
        <v>189</v>
      </c>
      <c r="FC207" s="2" t="s">
        <v>216</v>
      </c>
      <c r="FD207" s="2" t="s">
        <v>188</v>
      </c>
      <c r="FE207" s="2" t="s">
        <v>189</v>
      </c>
      <c r="FH207" s="2" t="s">
        <v>188</v>
      </c>
      <c r="FJ207" s="2" t="s">
        <v>187</v>
      </c>
      <c r="FK207" s="2" t="s">
        <v>209</v>
      </c>
      <c r="FL207" s="2" t="s">
        <v>319</v>
      </c>
      <c r="FN207" s="2" t="s">
        <v>304</v>
      </c>
      <c r="FT207" s="2" t="s">
        <v>219</v>
      </c>
      <c r="FU207" s="2" t="s">
        <v>233</v>
      </c>
      <c r="FV207" s="2" t="s">
        <v>233</v>
      </c>
      <c r="FW207" s="2" t="s">
        <v>233</v>
      </c>
      <c r="FZ207" s="4">
        <v>46039.726643518516</v>
      </c>
    </row>
    <row r="208" spans="1:182">
      <c r="A208" s="2" t="s">
        <v>1570</v>
      </c>
      <c r="D208" s="4">
        <v>46296.610219907408</v>
      </c>
      <c r="E208" s="2" t="s">
        <v>1571</v>
      </c>
      <c r="F208" s="2" t="s">
        <v>590</v>
      </c>
      <c r="G208" s="2" t="s">
        <v>1206</v>
      </c>
      <c r="H208" s="2" t="s">
        <v>1219</v>
      </c>
      <c r="I208" s="2" t="s">
        <v>1572</v>
      </c>
      <c r="J208" s="2">
        <v>3441182</v>
      </c>
      <c r="K208" s="2" t="s">
        <v>1573</v>
      </c>
      <c r="L208" s="2" t="s">
        <v>182</v>
      </c>
      <c r="M208" s="2" t="s">
        <v>223</v>
      </c>
      <c r="N208" s="2">
        <v>1993</v>
      </c>
      <c r="O208" s="2" t="s">
        <v>184</v>
      </c>
      <c r="P208" s="2" t="s">
        <v>225</v>
      </c>
      <c r="Q208" s="2" t="s">
        <v>186</v>
      </c>
      <c r="R208" s="2" t="s">
        <v>188</v>
      </c>
      <c r="S208" s="2">
        <v>13</v>
      </c>
      <c r="T208" s="2" t="s">
        <v>188</v>
      </c>
      <c r="U208" s="2" t="s">
        <v>188</v>
      </c>
      <c r="Y208" s="2">
        <v>100</v>
      </c>
      <c r="Z208" s="2">
        <v>1</v>
      </c>
      <c r="AA208" s="2">
        <v>100</v>
      </c>
      <c r="AB208" s="2">
        <v>100</v>
      </c>
      <c r="AC208" s="2">
        <v>100</v>
      </c>
      <c r="AD208" s="2">
        <v>120</v>
      </c>
      <c r="AE208" s="2">
        <v>20</v>
      </c>
      <c r="AF208" s="2" t="s">
        <v>188</v>
      </c>
      <c r="AG208" s="2" t="s">
        <v>188</v>
      </c>
      <c r="AH208" s="2" t="s">
        <v>188</v>
      </c>
      <c r="AJ208" s="2" t="s">
        <v>188</v>
      </c>
      <c r="AK208" s="2" t="s">
        <v>188</v>
      </c>
      <c r="AL208" s="2" t="s">
        <v>188</v>
      </c>
      <c r="AM208" s="2" t="s">
        <v>188</v>
      </c>
      <c r="AN208" s="2" t="s">
        <v>188</v>
      </c>
      <c r="AO208" s="2" t="s">
        <v>188</v>
      </c>
      <c r="AR208" s="2">
        <v>1.1000000000000001</v>
      </c>
      <c r="AS208" s="2">
        <v>3</v>
      </c>
      <c r="AT208" s="2">
        <v>1.2</v>
      </c>
      <c r="AU208" s="2" t="s">
        <v>203</v>
      </c>
      <c r="AV208" s="2" t="s">
        <v>189</v>
      </c>
      <c r="AW208" s="2" t="s">
        <v>188</v>
      </c>
      <c r="AZ208" s="2" t="s">
        <v>190</v>
      </c>
      <c r="BB208" s="2" t="s">
        <v>260</v>
      </c>
      <c r="BC208" s="2" t="s">
        <v>296</v>
      </c>
      <c r="BD208" s="2" t="s">
        <v>187</v>
      </c>
      <c r="BE208" s="2" t="s">
        <v>187</v>
      </c>
      <c r="BF208" s="2" t="s">
        <v>193</v>
      </c>
      <c r="BG208" s="2" t="s">
        <v>279</v>
      </c>
      <c r="BH208" s="2" t="s">
        <v>280</v>
      </c>
      <c r="BI208" s="2" t="s">
        <v>196</v>
      </c>
      <c r="BL208" s="2" t="s">
        <v>240</v>
      </c>
      <c r="BO208" s="2" t="s">
        <v>341</v>
      </c>
      <c r="BP208" s="2" t="s">
        <v>334</v>
      </c>
      <c r="BS208" s="2" t="s">
        <v>188</v>
      </c>
      <c r="BT208" s="2" t="s">
        <v>1574</v>
      </c>
      <c r="BV208" s="2" t="s">
        <v>242</v>
      </c>
      <c r="BX208" s="2" t="s">
        <v>188</v>
      </c>
      <c r="BZ208" s="2" t="s">
        <v>188</v>
      </c>
      <c r="CE208" s="2">
        <v>1.2</v>
      </c>
      <c r="CF208" s="2">
        <v>120</v>
      </c>
      <c r="CK208" s="2">
        <v>100</v>
      </c>
      <c r="CO208" s="2">
        <v>100</v>
      </c>
      <c r="CR208" s="2" t="s">
        <v>204</v>
      </c>
      <c r="CT208" s="2" t="s">
        <v>188</v>
      </c>
      <c r="CU208" s="2" t="s">
        <v>758</v>
      </c>
      <c r="CW208" s="2" t="s">
        <v>206</v>
      </c>
      <c r="CY208" s="2" t="s">
        <v>207</v>
      </c>
      <c r="CZ208" s="2" t="s">
        <v>300</v>
      </c>
      <c r="DA208" s="2" t="s">
        <v>300</v>
      </c>
      <c r="DB208" s="2" t="s">
        <v>300</v>
      </c>
      <c r="DC208" s="2" t="s">
        <v>300</v>
      </c>
      <c r="DD208" s="2" t="s">
        <v>300</v>
      </c>
      <c r="DE208" s="2" t="s">
        <v>300</v>
      </c>
      <c r="DF208" s="2" t="s">
        <v>300</v>
      </c>
      <c r="DG208" s="2" t="s">
        <v>300</v>
      </c>
      <c r="DH208" s="2" t="s">
        <v>300</v>
      </c>
      <c r="DI208" s="2" t="s">
        <v>300</v>
      </c>
      <c r="DL208" s="2" t="s">
        <v>187</v>
      </c>
      <c r="DM208" s="2" t="s">
        <v>187</v>
      </c>
      <c r="DN208" s="2" t="s">
        <v>188</v>
      </c>
      <c r="DO208" s="2" t="s">
        <v>187</v>
      </c>
      <c r="DP208" s="2" t="s">
        <v>203</v>
      </c>
      <c r="DT208" s="2" t="s">
        <v>209</v>
      </c>
      <c r="DU208" s="2" t="s">
        <v>209</v>
      </c>
      <c r="DV208" s="2" t="s">
        <v>209</v>
      </c>
      <c r="DW208" s="2" t="s">
        <v>209</v>
      </c>
      <c r="DX208" s="2" t="s">
        <v>209</v>
      </c>
      <c r="DY208" s="2" t="s">
        <v>203</v>
      </c>
      <c r="DZ208" s="2" t="s">
        <v>203</v>
      </c>
      <c r="EA208" s="2" t="s">
        <v>203</v>
      </c>
      <c r="EB208" s="2" t="s">
        <v>209</v>
      </c>
      <c r="EC208" s="2" t="s">
        <v>188</v>
      </c>
      <c r="EF208" s="2" t="s">
        <v>189</v>
      </c>
      <c r="EG208" s="2" t="s">
        <v>1575</v>
      </c>
      <c r="EJ208" s="2" t="s">
        <v>203</v>
      </c>
      <c r="EK208" s="2" t="s">
        <v>188</v>
      </c>
      <c r="EL208" s="2" t="s">
        <v>188</v>
      </c>
      <c r="EN208" s="2" t="s">
        <v>255</v>
      </c>
      <c r="EP208" s="2" t="s">
        <v>230</v>
      </c>
      <c r="ER208" s="2" t="s">
        <v>188</v>
      </c>
      <c r="ET208" s="2" t="s">
        <v>188</v>
      </c>
      <c r="EV208" s="2" t="s">
        <v>188</v>
      </c>
      <c r="EX208" s="2" t="s">
        <v>188</v>
      </c>
      <c r="EZ208" s="2" t="s">
        <v>188</v>
      </c>
      <c r="FC208" s="2" t="s">
        <v>216</v>
      </c>
      <c r="FD208" s="2" t="s">
        <v>188</v>
      </c>
      <c r="FH208" s="2" t="s">
        <v>188</v>
      </c>
      <c r="FJ208" s="2" t="s">
        <v>188</v>
      </c>
      <c r="FK208" s="2" t="s">
        <v>188</v>
      </c>
      <c r="FN208" s="2" t="s">
        <v>1474</v>
      </c>
      <c r="FR208" s="2" t="s">
        <v>1576</v>
      </c>
      <c r="FT208" s="2" t="s">
        <v>219</v>
      </c>
      <c r="FU208" s="2" t="s">
        <v>233</v>
      </c>
      <c r="FV208" s="2" t="s">
        <v>219</v>
      </c>
      <c r="FW208" s="2" t="s">
        <v>233</v>
      </c>
      <c r="FZ208" s="4">
        <v>46047.606354166666</v>
      </c>
    </row>
    <row r="209" spans="1:182">
      <c r="A209" s="2" t="s">
        <v>1577</v>
      </c>
      <c r="D209" s="4">
        <v>46296.620381944442</v>
      </c>
      <c r="E209" s="2" t="s">
        <v>1578</v>
      </c>
      <c r="F209" s="2" t="s">
        <v>398</v>
      </c>
      <c r="G209" s="2" t="s">
        <v>1206</v>
      </c>
      <c r="H209" s="2" t="s">
        <v>1263</v>
      </c>
      <c r="I209" s="2" t="s">
        <v>1579</v>
      </c>
      <c r="J209" s="2">
        <v>343110199</v>
      </c>
      <c r="K209" s="2" t="s">
        <v>1579</v>
      </c>
      <c r="L209" s="2" t="s">
        <v>182</v>
      </c>
      <c r="M209" s="2" t="s">
        <v>183</v>
      </c>
      <c r="N209" s="2">
        <v>1968</v>
      </c>
      <c r="O209" s="2" t="s">
        <v>224</v>
      </c>
      <c r="P209" s="2" t="s">
        <v>185</v>
      </c>
      <c r="Q209" s="2" t="s">
        <v>186</v>
      </c>
      <c r="R209" s="2" t="s">
        <v>188</v>
      </c>
      <c r="S209" s="2">
        <v>25</v>
      </c>
      <c r="T209" s="2" t="s">
        <v>188</v>
      </c>
      <c r="U209" s="2" t="s">
        <v>188</v>
      </c>
      <c r="Y209" s="2">
        <v>700</v>
      </c>
      <c r="Z209" s="2">
        <v>1</v>
      </c>
      <c r="AA209" s="2">
        <v>700</v>
      </c>
      <c r="AB209" s="2">
        <v>700</v>
      </c>
      <c r="AC209" s="2">
        <v>700</v>
      </c>
      <c r="AD209" s="2">
        <v>800</v>
      </c>
      <c r="AE209" s="2">
        <v>100</v>
      </c>
      <c r="AF209" s="2" t="s">
        <v>188</v>
      </c>
      <c r="AG209" s="2" t="s">
        <v>188</v>
      </c>
      <c r="AH209" s="2" t="s">
        <v>188</v>
      </c>
      <c r="AJ209" s="2" t="s">
        <v>188</v>
      </c>
      <c r="AK209" s="2" t="s">
        <v>188</v>
      </c>
      <c r="AL209" s="2" t="s">
        <v>188</v>
      </c>
      <c r="AM209" s="2" t="s">
        <v>188</v>
      </c>
      <c r="AN209" s="2" t="s">
        <v>188</v>
      </c>
      <c r="AO209" s="2" t="s">
        <v>188</v>
      </c>
      <c r="AR209" s="2">
        <v>3</v>
      </c>
      <c r="AS209" s="2">
        <v>3</v>
      </c>
      <c r="AT209" s="2">
        <v>8</v>
      </c>
      <c r="AU209" s="2" t="s">
        <v>189</v>
      </c>
      <c r="AV209" s="2" t="s">
        <v>189</v>
      </c>
      <c r="AW209" s="2" t="s">
        <v>188</v>
      </c>
      <c r="BC209" s="2" t="s">
        <v>192</v>
      </c>
      <c r="BD209" s="2" t="s">
        <v>187</v>
      </c>
      <c r="BE209" s="2" t="s">
        <v>188</v>
      </c>
      <c r="BL209" s="2" t="s">
        <v>240</v>
      </c>
      <c r="BO209" s="2" t="s">
        <v>188</v>
      </c>
      <c r="BQ209" s="2" t="s">
        <v>200</v>
      </c>
      <c r="BS209" s="2" t="s">
        <v>187</v>
      </c>
      <c r="BT209" s="2" t="s">
        <v>261</v>
      </c>
      <c r="BV209" s="2" t="s">
        <v>502</v>
      </c>
      <c r="BX209" s="2" t="s">
        <v>188</v>
      </c>
      <c r="BY209" s="2" t="s">
        <v>1580</v>
      </c>
      <c r="BZ209" s="2" t="s">
        <v>203</v>
      </c>
      <c r="CE209" s="2">
        <v>8</v>
      </c>
      <c r="CF209" s="2">
        <v>800</v>
      </c>
      <c r="CM209" s="2">
        <v>100</v>
      </c>
      <c r="CP209" s="2">
        <v>100</v>
      </c>
      <c r="CR209" s="2" t="s">
        <v>204</v>
      </c>
      <c r="CT209" s="2" t="s">
        <v>188</v>
      </c>
      <c r="CU209" s="2" t="s">
        <v>205</v>
      </c>
      <c r="CW209" s="2" t="s">
        <v>206</v>
      </c>
      <c r="CY209" s="2" t="s">
        <v>207</v>
      </c>
      <c r="CZ209" s="2" t="s">
        <v>207</v>
      </c>
      <c r="DA209" s="2" t="s">
        <v>300</v>
      </c>
      <c r="DB209" s="2" t="s">
        <v>300</v>
      </c>
      <c r="DC209" s="2" t="s">
        <v>300</v>
      </c>
      <c r="DD209" s="2" t="s">
        <v>300</v>
      </c>
      <c r="DE209" s="2" t="s">
        <v>300</v>
      </c>
      <c r="DF209" s="2" t="s">
        <v>207</v>
      </c>
      <c r="DG209" s="2" t="s">
        <v>207</v>
      </c>
      <c r="DH209" s="2" t="s">
        <v>207</v>
      </c>
      <c r="DI209" s="2" t="s">
        <v>207</v>
      </c>
      <c r="DL209" s="2" t="s">
        <v>187</v>
      </c>
      <c r="DM209" s="2" t="s">
        <v>187</v>
      </c>
      <c r="DN209" s="2" t="s">
        <v>187</v>
      </c>
      <c r="DO209" s="2" t="s">
        <v>187</v>
      </c>
      <c r="DP209" s="2" t="s">
        <v>209</v>
      </c>
      <c r="DQ209" s="2" t="s">
        <v>467</v>
      </c>
      <c r="DR209" s="2" t="s">
        <v>1581</v>
      </c>
      <c r="DT209" s="2" t="s">
        <v>209</v>
      </c>
      <c r="DU209" s="2" t="s">
        <v>209</v>
      </c>
      <c r="DV209" s="2" t="s">
        <v>209</v>
      </c>
      <c r="DW209" s="2" t="s">
        <v>209</v>
      </c>
      <c r="DX209" s="2" t="s">
        <v>209</v>
      </c>
      <c r="DY209" s="2" t="s">
        <v>209</v>
      </c>
      <c r="DZ209" s="2" t="s">
        <v>203</v>
      </c>
      <c r="EA209" s="2" t="s">
        <v>209</v>
      </c>
      <c r="EB209" s="2" t="s">
        <v>209</v>
      </c>
      <c r="EF209" s="2" t="s">
        <v>189</v>
      </c>
      <c r="EG209" s="2" t="s">
        <v>1359</v>
      </c>
      <c r="EJ209" s="2" t="s">
        <v>189</v>
      </c>
      <c r="EK209" s="2" t="s">
        <v>187</v>
      </c>
      <c r="EL209" s="2" t="s">
        <v>187</v>
      </c>
      <c r="EM209" s="2" t="s">
        <v>1582</v>
      </c>
      <c r="EN209" s="2" t="s">
        <v>214</v>
      </c>
      <c r="EP209" s="2" t="s">
        <v>230</v>
      </c>
      <c r="ER209" s="2" t="s">
        <v>187</v>
      </c>
      <c r="ET209" s="2" t="s">
        <v>188</v>
      </c>
      <c r="EV209" s="2" t="s">
        <v>187</v>
      </c>
      <c r="EW209" s="2" t="s">
        <v>189</v>
      </c>
      <c r="EX209" s="2" t="s">
        <v>187</v>
      </c>
      <c r="EY209" s="2" t="s">
        <v>189</v>
      </c>
      <c r="EZ209" s="2" t="s">
        <v>188</v>
      </c>
      <c r="FC209" s="2" t="s">
        <v>216</v>
      </c>
      <c r="FD209" s="2" t="s">
        <v>188</v>
      </c>
      <c r="FH209" s="2" t="s">
        <v>188</v>
      </c>
      <c r="FJ209" s="2" t="s">
        <v>188</v>
      </c>
      <c r="FK209" s="2" t="s">
        <v>188</v>
      </c>
      <c r="FR209" s="2" t="s">
        <v>1583</v>
      </c>
      <c r="FT209" s="2" t="s">
        <v>233</v>
      </c>
      <c r="FU209" s="2" t="s">
        <v>233</v>
      </c>
      <c r="FV209" s="2" t="s">
        <v>233</v>
      </c>
      <c r="FW209" s="2" t="s">
        <v>233</v>
      </c>
      <c r="FX209" s="2" t="s">
        <v>233</v>
      </c>
      <c r="FY209" s="2" t="s">
        <v>1584</v>
      </c>
      <c r="FZ209" s="4">
        <v>46038.642789351848</v>
      </c>
    </row>
    <row r="210" spans="1:182">
      <c r="A210" s="2" t="s">
        <v>1585</v>
      </c>
      <c r="D210" s="4">
        <v>46296.62736111111</v>
      </c>
      <c r="E210" s="2" t="s">
        <v>177</v>
      </c>
      <c r="F210" s="2" t="s">
        <v>178</v>
      </c>
      <c r="G210" s="2" t="s">
        <v>1206</v>
      </c>
      <c r="H210" s="2" t="s">
        <v>1207</v>
      </c>
      <c r="I210" s="2" t="s">
        <v>1586</v>
      </c>
      <c r="J210" s="2">
        <v>344744693</v>
      </c>
      <c r="K210" s="2" t="s">
        <v>1586</v>
      </c>
      <c r="L210" s="2" t="s">
        <v>182</v>
      </c>
      <c r="M210" s="2" t="s">
        <v>183</v>
      </c>
      <c r="N210" s="2">
        <v>1993</v>
      </c>
      <c r="O210" s="2" t="s">
        <v>184</v>
      </c>
      <c r="P210" s="2" t="s">
        <v>185</v>
      </c>
      <c r="Q210" s="2" t="s">
        <v>186</v>
      </c>
      <c r="R210" s="2" t="s">
        <v>188</v>
      </c>
      <c r="S210" s="2">
        <v>13</v>
      </c>
      <c r="T210" s="2" t="s">
        <v>188</v>
      </c>
      <c r="U210" s="2" t="s">
        <v>188</v>
      </c>
      <c r="Y210" s="2">
        <v>139</v>
      </c>
      <c r="Z210" s="2">
        <v>1.6475</v>
      </c>
      <c r="AA210" s="2">
        <v>229</v>
      </c>
      <c r="AB210" s="2">
        <v>229</v>
      </c>
      <c r="AC210" s="2">
        <v>229</v>
      </c>
      <c r="AD210" s="2">
        <v>270</v>
      </c>
      <c r="AE210" s="2">
        <v>41</v>
      </c>
      <c r="AF210" s="2" t="s">
        <v>187</v>
      </c>
      <c r="AG210" s="2" t="s">
        <v>188</v>
      </c>
      <c r="AH210" s="2" t="s">
        <v>188</v>
      </c>
      <c r="AJ210" s="2" t="s">
        <v>188</v>
      </c>
      <c r="AK210" s="2" t="s">
        <v>188</v>
      </c>
      <c r="AL210" s="2" t="s">
        <v>188</v>
      </c>
      <c r="AM210" s="2" t="s">
        <v>188</v>
      </c>
      <c r="AN210" s="2" t="s">
        <v>188</v>
      </c>
      <c r="AO210" s="2" t="s">
        <v>188</v>
      </c>
      <c r="AR210" s="2">
        <v>1.7</v>
      </c>
      <c r="AS210" s="2">
        <v>3</v>
      </c>
      <c r="AT210" s="2">
        <v>2.8</v>
      </c>
      <c r="AU210" s="2" t="s">
        <v>238</v>
      </c>
      <c r="AV210" s="2" t="s">
        <v>238</v>
      </c>
      <c r="AW210" s="2" t="s">
        <v>188</v>
      </c>
      <c r="BC210" s="2" t="s">
        <v>192</v>
      </c>
      <c r="BD210" s="2" t="s">
        <v>188</v>
      </c>
      <c r="BE210" s="2" t="s">
        <v>188</v>
      </c>
      <c r="BL210" s="2" t="s">
        <v>197</v>
      </c>
      <c r="BM210" s="2" t="s">
        <v>198</v>
      </c>
      <c r="BN210" s="2" t="s">
        <v>199</v>
      </c>
      <c r="BO210" s="2" t="s">
        <v>188</v>
      </c>
      <c r="BQ210" s="2" t="s">
        <v>200</v>
      </c>
      <c r="BS210" s="2" t="s">
        <v>187</v>
      </c>
      <c r="BT210" s="2" t="s">
        <v>261</v>
      </c>
      <c r="BV210" s="2" t="s">
        <v>248</v>
      </c>
      <c r="BX210" s="2" t="s">
        <v>188</v>
      </c>
      <c r="BZ210" s="2" t="s">
        <v>203</v>
      </c>
      <c r="CE210" s="2">
        <v>2.8</v>
      </c>
      <c r="CF210" s="2">
        <v>270</v>
      </c>
      <c r="CK210" s="2">
        <v>100</v>
      </c>
      <c r="CO210" s="2">
        <v>100</v>
      </c>
      <c r="CR210" s="2" t="s">
        <v>204</v>
      </c>
      <c r="CT210" s="2" t="s">
        <v>188</v>
      </c>
      <c r="CU210" s="2" t="s">
        <v>205</v>
      </c>
      <c r="CW210" s="2" t="s">
        <v>206</v>
      </c>
      <c r="CY210" s="2" t="s">
        <v>208</v>
      </c>
      <c r="CZ210" s="2" t="s">
        <v>208</v>
      </c>
      <c r="DA210" s="2" t="s">
        <v>208</v>
      </c>
      <c r="DB210" s="2" t="s">
        <v>208</v>
      </c>
      <c r="DC210" s="2" t="s">
        <v>208</v>
      </c>
      <c r="DD210" s="2" t="s">
        <v>208</v>
      </c>
      <c r="DE210" s="2" t="s">
        <v>208</v>
      </c>
      <c r="DF210" s="2" t="s">
        <v>208</v>
      </c>
      <c r="DG210" s="2" t="s">
        <v>208</v>
      </c>
      <c r="DH210" s="2" t="s">
        <v>208</v>
      </c>
      <c r="DI210" s="2" t="s">
        <v>208</v>
      </c>
      <c r="DL210" s="2" t="s">
        <v>188</v>
      </c>
      <c r="DM210" s="2" t="s">
        <v>188</v>
      </c>
      <c r="DP210" s="2" t="s">
        <v>203</v>
      </c>
      <c r="DT210" s="2" t="s">
        <v>203</v>
      </c>
      <c r="DU210" s="2" t="s">
        <v>203</v>
      </c>
      <c r="DV210" s="2" t="s">
        <v>203</v>
      </c>
      <c r="DW210" s="2" t="s">
        <v>203</v>
      </c>
      <c r="DX210" s="2" t="s">
        <v>203</v>
      </c>
      <c r="DY210" s="2" t="s">
        <v>203</v>
      </c>
      <c r="DZ210" s="2" t="s">
        <v>203</v>
      </c>
      <c r="EA210" s="2" t="s">
        <v>203</v>
      </c>
      <c r="EB210" s="2" t="s">
        <v>203</v>
      </c>
      <c r="EJ210" s="2" t="s">
        <v>238</v>
      </c>
      <c r="EK210" s="2" t="s">
        <v>188</v>
      </c>
      <c r="EL210" s="2" t="s">
        <v>188</v>
      </c>
      <c r="EN210" s="2" t="s">
        <v>393</v>
      </c>
      <c r="ER210" s="2" t="s">
        <v>188</v>
      </c>
      <c r="ET210" s="2" t="s">
        <v>188</v>
      </c>
      <c r="EV210" s="2" t="s">
        <v>188</v>
      </c>
      <c r="EX210" s="2" t="s">
        <v>188</v>
      </c>
      <c r="FC210" s="2" t="s">
        <v>263</v>
      </c>
      <c r="FD210" s="2" t="s">
        <v>188</v>
      </c>
      <c r="FH210" s="2" t="s">
        <v>188</v>
      </c>
      <c r="FJ210" s="2" t="s">
        <v>187</v>
      </c>
      <c r="FK210" s="2" t="s">
        <v>188</v>
      </c>
      <c r="FN210" s="2" t="s">
        <v>488</v>
      </c>
      <c r="FT210" s="2" t="s">
        <v>233</v>
      </c>
      <c r="FU210" s="2" t="s">
        <v>233</v>
      </c>
      <c r="FV210" s="2" t="s">
        <v>233</v>
      </c>
      <c r="FW210" s="2" t="s">
        <v>233</v>
      </c>
      <c r="FZ210" s="4">
        <v>46040.457245370373</v>
      </c>
    </row>
    <row r="211" spans="1:182">
      <c r="A211" s="2" t="s">
        <v>1587</v>
      </c>
      <c r="D211" s="4">
        <v>46296.627581018518</v>
      </c>
      <c r="E211" s="2" t="s">
        <v>177</v>
      </c>
      <c r="F211" s="2" t="s">
        <v>293</v>
      </c>
      <c r="G211" s="2" t="s">
        <v>1206</v>
      </c>
      <c r="H211" s="2" t="s">
        <v>1263</v>
      </c>
      <c r="I211" s="2" t="s">
        <v>1588</v>
      </c>
      <c r="J211" s="2">
        <v>983729579</v>
      </c>
      <c r="K211" s="2" t="s">
        <v>1588</v>
      </c>
      <c r="L211" s="2" t="s">
        <v>182</v>
      </c>
      <c r="M211" s="2" t="s">
        <v>183</v>
      </c>
      <c r="N211" s="2">
        <v>1985</v>
      </c>
      <c r="O211" s="2" t="s">
        <v>224</v>
      </c>
      <c r="P211" s="2" t="s">
        <v>185</v>
      </c>
      <c r="Q211" s="2" t="s">
        <v>186</v>
      </c>
      <c r="R211" s="2" t="s">
        <v>188</v>
      </c>
      <c r="S211" s="2">
        <v>2013</v>
      </c>
      <c r="T211" s="2" t="s">
        <v>188</v>
      </c>
      <c r="U211" s="2" t="s">
        <v>188</v>
      </c>
      <c r="Y211" s="2">
        <v>600</v>
      </c>
      <c r="Z211" s="2">
        <v>1</v>
      </c>
      <c r="AA211" s="2">
        <v>600</v>
      </c>
      <c r="AB211" s="2">
        <v>600</v>
      </c>
      <c r="AC211" s="2">
        <v>430</v>
      </c>
      <c r="AD211" s="2">
        <v>500</v>
      </c>
      <c r="AE211" s="2">
        <v>70</v>
      </c>
      <c r="AF211" s="2" t="s">
        <v>188</v>
      </c>
      <c r="AG211" s="2" t="s">
        <v>187</v>
      </c>
      <c r="AH211" s="2" t="s">
        <v>187</v>
      </c>
      <c r="AI211" s="2" t="s">
        <v>346</v>
      </c>
      <c r="AJ211" s="2" t="s">
        <v>188</v>
      </c>
      <c r="AK211" s="2" t="s">
        <v>187</v>
      </c>
      <c r="AL211" s="2" t="s">
        <v>188</v>
      </c>
      <c r="AM211" s="2" t="s">
        <v>187</v>
      </c>
      <c r="AN211" s="2" t="s">
        <v>188</v>
      </c>
      <c r="AO211" s="2" t="s">
        <v>187</v>
      </c>
      <c r="AR211" s="2">
        <v>1.1000000000000001</v>
      </c>
      <c r="AS211" s="2">
        <v>2</v>
      </c>
      <c r="AT211" s="2">
        <v>5</v>
      </c>
      <c r="AU211" s="2" t="s">
        <v>189</v>
      </c>
      <c r="AV211" s="2" t="s">
        <v>189</v>
      </c>
      <c r="AW211" s="2" t="s">
        <v>188</v>
      </c>
      <c r="AZ211" s="2" t="s">
        <v>190</v>
      </c>
      <c r="BB211" s="2" t="s">
        <v>260</v>
      </c>
      <c r="BC211" s="2" t="s">
        <v>296</v>
      </c>
      <c r="BD211" s="2" t="s">
        <v>187</v>
      </c>
      <c r="BE211" s="2" t="s">
        <v>187</v>
      </c>
      <c r="BF211" s="2" t="s">
        <v>193</v>
      </c>
      <c r="BG211" s="2" t="s">
        <v>194</v>
      </c>
      <c r="BH211" s="2" t="s">
        <v>280</v>
      </c>
      <c r="BI211" s="2" t="s">
        <v>196</v>
      </c>
      <c r="BL211" s="2" t="s">
        <v>197</v>
      </c>
      <c r="BM211" s="2" t="s">
        <v>198</v>
      </c>
      <c r="BN211" s="2" t="s">
        <v>199</v>
      </c>
      <c r="BO211" s="2" t="s">
        <v>188</v>
      </c>
      <c r="BQ211" s="2" t="s">
        <v>200</v>
      </c>
      <c r="BS211" s="2" t="s">
        <v>187</v>
      </c>
      <c r="BT211" s="2" t="s">
        <v>261</v>
      </c>
      <c r="BV211" s="2" t="s">
        <v>1308</v>
      </c>
      <c r="BX211" s="2" t="s">
        <v>187</v>
      </c>
      <c r="BY211" s="2" t="s">
        <v>310</v>
      </c>
      <c r="BZ211" s="2" t="s">
        <v>203</v>
      </c>
      <c r="CE211" s="2">
        <v>5</v>
      </c>
      <c r="CF211" s="2">
        <v>490</v>
      </c>
      <c r="CK211" s="2">
        <v>100</v>
      </c>
      <c r="CO211" s="2">
        <v>100</v>
      </c>
      <c r="CR211" s="2" t="s">
        <v>204</v>
      </c>
      <c r="CT211" s="2" t="s">
        <v>188</v>
      </c>
      <c r="CU211" s="2" t="s">
        <v>205</v>
      </c>
      <c r="CW211" s="2" t="s">
        <v>206</v>
      </c>
      <c r="CY211" s="2" t="s">
        <v>207</v>
      </c>
      <c r="CZ211" s="2" t="s">
        <v>207</v>
      </c>
      <c r="DA211" s="2" t="s">
        <v>273</v>
      </c>
      <c r="DB211" s="2" t="s">
        <v>273</v>
      </c>
      <c r="DC211" s="2" t="s">
        <v>300</v>
      </c>
      <c r="DD211" s="2" t="s">
        <v>301</v>
      </c>
      <c r="DE211" s="2" t="s">
        <v>207</v>
      </c>
      <c r="DF211" s="2" t="s">
        <v>207</v>
      </c>
      <c r="DG211" s="2" t="s">
        <v>207</v>
      </c>
      <c r="DH211" s="2" t="s">
        <v>207</v>
      </c>
      <c r="DI211" s="2" t="s">
        <v>208</v>
      </c>
      <c r="DL211" s="2" t="s">
        <v>187</v>
      </c>
      <c r="DM211" s="2" t="s">
        <v>187</v>
      </c>
      <c r="DN211" s="2" t="s">
        <v>187</v>
      </c>
      <c r="DO211" s="2" t="s">
        <v>187</v>
      </c>
      <c r="DP211" s="2" t="s">
        <v>209</v>
      </c>
      <c r="DQ211" s="2" t="s">
        <v>210</v>
      </c>
      <c r="DS211" s="2" t="s">
        <v>209</v>
      </c>
      <c r="DT211" s="2" t="s">
        <v>209</v>
      </c>
      <c r="DU211" s="2" t="s">
        <v>209</v>
      </c>
      <c r="DV211" s="2" t="s">
        <v>209</v>
      </c>
      <c r="DW211" s="2" t="s">
        <v>209</v>
      </c>
      <c r="DX211" s="2" t="s">
        <v>209</v>
      </c>
      <c r="DY211" s="2" t="s">
        <v>203</v>
      </c>
      <c r="DZ211" s="2" t="s">
        <v>203</v>
      </c>
      <c r="EA211" s="2" t="s">
        <v>209</v>
      </c>
      <c r="EB211" s="2" t="s">
        <v>203</v>
      </c>
      <c r="EF211" s="2" t="s">
        <v>211</v>
      </c>
      <c r="EJ211" s="2" t="s">
        <v>189</v>
      </c>
      <c r="EK211" s="2" t="s">
        <v>187</v>
      </c>
      <c r="EL211" s="2" t="s">
        <v>188</v>
      </c>
      <c r="EN211" s="2" t="s">
        <v>214</v>
      </c>
      <c r="EP211" s="2" t="s">
        <v>230</v>
      </c>
      <c r="ER211" s="2" t="s">
        <v>187</v>
      </c>
      <c r="ET211" s="2" t="s">
        <v>188</v>
      </c>
      <c r="EV211" s="2" t="s">
        <v>187</v>
      </c>
      <c r="EW211" s="2" t="s">
        <v>189</v>
      </c>
      <c r="EX211" s="2" t="s">
        <v>187</v>
      </c>
      <c r="EY211" s="2" t="s">
        <v>189</v>
      </c>
      <c r="FC211" s="2" t="s">
        <v>216</v>
      </c>
      <c r="FD211" s="2" t="s">
        <v>188</v>
      </c>
      <c r="FH211" s="2" t="s">
        <v>188</v>
      </c>
      <c r="FJ211" s="2" t="s">
        <v>187</v>
      </c>
      <c r="FK211" s="2" t="s">
        <v>209</v>
      </c>
      <c r="FL211" s="2" t="s">
        <v>319</v>
      </c>
      <c r="FN211" s="2" t="s">
        <v>304</v>
      </c>
      <c r="FT211" s="2" t="s">
        <v>219</v>
      </c>
      <c r="FU211" s="2" t="s">
        <v>233</v>
      </c>
      <c r="FV211" s="2" t="s">
        <v>233</v>
      </c>
      <c r="FW211" s="2" t="s">
        <v>233</v>
      </c>
      <c r="FZ211" s="4">
        <v>46039.733310185184</v>
      </c>
    </row>
    <row r="212" spans="1:182">
      <c r="A212" s="2" t="s">
        <v>1589</v>
      </c>
      <c r="D212" s="4">
        <v>46296.638229166667</v>
      </c>
      <c r="E212" s="2" t="s">
        <v>1590</v>
      </c>
      <c r="F212" s="2" t="s">
        <v>590</v>
      </c>
      <c r="G212" s="2" t="s">
        <v>1206</v>
      </c>
      <c r="H212" s="2" t="s">
        <v>1219</v>
      </c>
      <c r="I212" s="2" t="s">
        <v>1591</v>
      </c>
      <c r="J212" s="2">
        <v>337975092</v>
      </c>
      <c r="K212" s="2" t="s">
        <v>1591</v>
      </c>
      <c r="L212" s="2" t="s">
        <v>182</v>
      </c>
      <c r="M212" s="2" t="s">
        <v>183</v>
      </c>
      <c r="N212" s="2">
        <v>1996</v>
      </c>
      <c r="O212" s="2" t="s">
        <v>184</v>
      </c>
      <c r="P212" s="2" t="s">
        <v>185</v>
      </c>
      <c r="Q212" s="2" t="s">
        <v>226</v>
      </c>
      <c r="R212" s="2" t="s">
        <v>188</v>
      </c>
      <c r="S212" s="2">
        <v>11</v>
      </c>
      <c r="T212" s="2" t="s">
        <v>188</v>
      </c>
      <c r="U212" s="2" t="s">
        <v>188</v>
      </c>
      <c r="Y212" s="2">
        <v>380</v>
      </c>
      <c r="Z212" s="2">
        <v>1</v>
      </c>
      <c r="AA212" s="2">
        <v>380</v>
      </c>
      <c r="AB212" s="2">
        <v>380</v>
      </c>
      <c r="AC212" s="2">
        <v>380</v>
      </c>
      <c r="AD212" s="2">
        <v>500</v>
      </c>
      <c r="AE212" s="2">
        <v>120</v>
      </c>
      <c r="AF212" s="2" t="s">
        <v>188</v>
      </c>
      <c r="AG212" s="2" t="s">
        <v>188</v>
      </c>
      <c r="AH212" s="2" t="s">
        <v>188</v>
      </c>
      <c r="AJ212" s="2" t="s">
        <v>188</v>
      </c>
      <c r="AK212" s="2" t="s">
        <v>188</v>
      </c>
      <c r="AL212" s="2" t="s">
        <v>188</v>
      </c>
      <c r="AM212" s="2" t="s">
        <v>188</v>
      </c>
      <c r="AN212" s="2" t="s">
        <v>188</v>
      </c>
      <c r="AO212" s="2" t="s">
        <v>188</v>
      </c>
      <c r="AR212" s="2">
        <v>1.8</v>
      </c>
      <c r="AS212" s="2">
        <v>4</v>
      </c>
      <c r="AT212" s="2">
        <v>3.4</v>
      </c>
      <c r="AU212" s="2" t="s">
        <v>238</v>
      </c>
      <c r="AV212" s="2" t="s">
        <v>189</v>
      </c>
      <c r="AW212" s="2" t="s">
        <v>188</v>
      </c>
      <c r="AZ212" s="2" t="s">
        <v>190</v>
      </c>
      <c r="BB212" s="2" t="s">
        <v>260</v>
      </c>
      <c r="BC212" s="2" t="s">
        <v>296</v>
      </c>
      <c r="BD212" s="2" t="s">
        <v>187</v>
      </c>
      <c r="BE212" s="2" t="s">
        <v>187</v>
      </c>
      <c r="BF212" s="2" t="s">
        <v>193</v>
      </c>
      <c r="BG212" s="2" t="s">
        <v>194</v>
      </c>
      <c r="BH212" s="2" t="s">
        <v>280</v>
      </c>
      <c r="BI212" s="2" t="s">
        <v>196</v>
      </c>
      <c r="BL212" s="2" t="s">
        <v>197</v>
      </c>
      <c r="BM212" s="2" t="s">
        <v>507</v>
      </c>
      <c r="BN212" s="2" t="s">
        <v>199</v>
      </c>
      <c r="BO212" s="2" t="s">
        <v>188</v>
      </c>
      <c r="BQ212" s="2" t="s">
        <v>227</v>
      </c>
      <c r="BS212" s="2" t="s">
        <v>187</v>
      </c>
      <c r="BT212" s="2" t="s">
        <v>1301</v>
      </c>
      <c r="BV212" s="2" t="s">
        <v>242</v>
      </c>
      <c r="BX212" s="2" t="s">
        <v>187</v>
      </c>
      <c r="BY212" s="2" t="s">
        <v>1592</v>
      </c>
      <c r="BZ212" s="2" t="s">
        <v>188</v>
      </c>
      <c r="CE212" s="2">
        <v>3.4</v>
      </c>
      <c r="CF212" s="2">
        <v>500</v>
      </c>
      <c r="CM212" s="2">
        <v>100</v>
      </c>
      <c r="CO212" s="2">
        <v>100</v>
      </c>
      <c r="CR212" s="2" t="s">
        <v>204</v>
      </c>
      <c r="CT212" s="2" t="s">
        <v>188</v>
      </c>
      <c r="CU212" s="2" t="s">
        <v>205</v>
      </c>
      <c r="CW212" s="2" t="s">
        <v>206</v>
      </c>
      <c r="CY212" s="2" t="s">
        <v>207</v>
      </c>
      <c r="CZ212" s="2" t="s">
        <v>208</v>
      </c>
      <c r="DA212" s="2" t="s">
        <v>208</v>
      </c>
      <c r="DB212" s="2" t="s">
        <v>208</v>
      </c>
      <c r="DC212" s="2" t="s">
        <v>208</v>
      </c>
      <c r="DD212" s="2" t="s">
        <v>208</v>
      </c>
      <c r="DE212" s="2" t="s">
        <v>208</v>
      </c>
      <c r="DF212" s="2" t="s">
        <v>208</v>
      </c>
      <c r="DG212" s="2" t="s">
        <v>208</v>
      </c>
      <c r="DH212" s="2" t="s">
        <v>208</v>
      </c>
      <c r="DI212" s="2" t="s">
        <v>208</v>
      </c>
      <c r="DL212" s="2" t="s">
        <v>187</v>
      </c>
      <c r="DM212" s="2" t="s">
        <v>187</v>
      </c>
      <c r="DN212" s="2" t="s">
        <v>187</v>
      </c>
      <c r="DO212" s="2" t="s">
        <v>187</v>
      </c>
      <c r="DP212" s="2" t="s">
        <v>203</v>
      </c>
      <c r="DT212" s="2" t="s">
        <v>209</v>
      </c>
      <c r="DU212" s="2" t="s">
        <v>209</v>
      </c>
      <c r="DV212" s="2" t="s">
        <v>209</v>
      </c>
      <c r="DW212" s="2" t="s">
        <v>209</v>
      </c>
      <c r="DX212" s="2" t="s">
        <v>209</v>
      </c>
      <c r="DY212" s="2" t="s">
        <v>209</v>
      </c>
      <c r="DZ212" s="2" t="s">
        <v>209</v>
      </c>
      <c r="EA212" s="2" t="s">
        <v>209</v>
      </c>
      <c r="EB212" s="2" t="s">
        <v>209</v>
      </c>
      <c r="EC212" s="2" t="s">
        <v>188</v>
      </c>
      <c r="EF212" s="2" t="s">
        <v>189</v>
      </c>
      <c r="EG212" s="2" t="s">
        <v>1593</v>
      </c>
      <c r="EJ212" s="2" t="s">
        <v>203</v>
      </c>
      <c r="EK212" s="2" t="s">
        <v>188</v>
      </c>
      <c r="EL212" s="2" t="s">
        <v>188</v>
      </c>
      <c r="EN212" s="2" t="s">
        <v>255</v>
      </c>
      <c r="EP212" s="2" t="s">
        <v>230</v>
      </c>
      <c r="ER212" s="2" t="s">
        <v>188</v>
      </c>
      <c r="ET212" s="2" t="s">
        <v>188</v>
      </c>
      <c r="EV212" s="2" t="s">
        <v>188</v>
      </c>
      <c r="EX212" s="2" t="s">
        <v>188</v>
      </c>
      <c r="EZ212" s="2" t="s">
        <v>188</v>
      </c>
      <c r="FC212" s="2" t="s">
        <v>216</v>
      </c>
      <c r="FD212" s="2" t="s">
        <v>188</v>
      </c>
      <c r="FH212" s="2" t="s">
        <v>188</v>
      </c>
      <c r="FJ212" s="2" t="s">
        <v>188</v>
      </c>
      <c r="FK212" s="2" t="s">
        <v>188</v>
      </c>
      <c r="FN212" s="2" t="s">
        <v>432</v>
      </c>
      <c r="FR212" s="2" t="s">
        <v>433</v>
      </c>
      <c r="FT212" s="2" t="s">
        <v>219</v>
      </c>
      <c r="FU212" s="2" t="s">
        <v>219</v>
      </c>
      <c r="FV212" s="2" t="s">
        <v>219</v>
      </c>
      <c r="FW212" s="2" t="s">
        <v>233</v>
      </c>
      <c r="FZ212" s="4">
        <v>46047.60728009259</v>
      </c>
    </row>
    <row r="213" spans="1:182">
      <c r="A213" s="2" t="s">
        <v>1594</v>
      </c>
      <c r="D213" s="4">
        <v>46296.671701388892</v>
      </c>
      <c r="E213" s="2" t="s">
        <v>1595</v>
      </c>
      <c r="F213" s="2" t="s">
        <v>480</v>
      </c>
      <c r="G213" s="2" t="s">
        <v>1206</v>
      </c>
      <c r="H213" s="2" t="s">
        <v>1212</v>
      </c>
      <c r="I213" s="2" t="s">
        <v>922</v>
      </c>
      <c r="J213" s="2">
        <v>336643313</v>
      </c>
      <c r="K213" s="2" t="s">
        <v>922</v>
      </c>
      <c r="L213" s="2" t="s">
        <v>182</v>
      </c>
      <c r="M213" s="2" t="s">
        <v>183</v>
      </c>
      <c r="N213" s="2">
        <v>1984</v>
      </c>
      <c r="O213" s="2" t="s">
        <v>184</v>
      </c>
      <c r="P213" s="2" t="s">
        <v>185</v>
      </c>
      <c r="Q213" s="2" t="s">
        <v>270</v>
      </c>
      <c r="R213" s="2" t="s">
        <v>188</v>
      </c>
      <c r="S213" s="2">
        <v>17</v>
      </c>
      <c r="T213" s="2" t="s">
        <v>188</v>
      </c>
      <c r="U213" s="2" t="s">
        <v>188</v>
      </c>
      <c r="Y213" s="2">
        <v>158</v>
      </c>
      <c r="Z213" s="2">
        <v>1</v>
      </c>
      <c r="AA213" s="2">
        <v>158</v>
      </c>
      <c r="AB213" s="2">
        <v>158</v>
      </c>
      <c r="AC213" s="2">
        <v>158</v>
      </c>
      <c r="AD213" s="2">
        <v>208</v>
      </c>
      <c r="AE213" s="2">
        <v>50</v>
      </c>
      <c r="AF213" s="2" t="s">
        <v>188</v>
      </c>
      <c r="AG213" s="2" t="s">
        <v>188</v>
      </c>
      <c r="AH213" s="2" t="s">
        <v>188</v>
      </c>
      <c r="AJ213" s="2" t="s">
        <v>188</v>
      </c>
      <c r="AK213" s="2" t="s">
        <v>188</v>
      </c>
      <c r="AL213" s="2" t="s">
        <v>188</v>
      </c>
      <c r="AM213" s="2" t="s">
        <v>188</v>
      </c>
      <c r="AN213" s="2" t="s">
        <v>188</v>
      </c>
      <c r="AO213" s="2" t="s">
        <v>188</v>
      </c>
      <c r="AR213" s="2">
        <v>1.6</v>
      </c>
      <c r="AS213" s="2">
        <v>2</v>
      </c>
      <c r="AT213" s="2">
        <v>2.1</v>
      </c>
      <c r="AU213" s="2" t="s">
        <v>238</v>
      </c>
      <c r="AV213" s="2" t="s">
        <v>238</v>
      </c>
      <c r="AW213" s="2" t="s">
        <v>188</v>
      </c>
      <c r="AZ213" s="2" t="s">
        <v>190</v>
      </c>
      <c r="BB213" s="2" t="s">
        <v>260</v>
      </c>
      <c r="BC213" s="2" t="s">
        <v>296</v>
      </c>
      <c r="BD213" s="2" t="s">
        <v>188</v>
      </c>
      <c r="BE213" s="2" t="s">
        <v>187</v>
      </c>
      <c r="BF213" s="2" t="s">
        <v>193</v>
      </c>
      <c r="BG213" s="2" t="s">
        <v>194</v>
      </c>
      <c r="BH213" s="2" t="s">
        <v>195</v>
      </c>
      <c r="BI213" s="2" t="s">
        <v>196</v>
      </c>
      <c r="BL213" s="2" t="s">
        <v>240</v>
      </c>
      <c r="BO213" s="2" t="s">
        <v>188</v>
      </c>
      <c r="BQ213" s="2" t="s">
        <v>227</v>
      </c>
      <c r="BS213" s="2" t="s">
        <v>188</v>
      </c>
      <c r="BT213" s="2" t="s">
        <v>484</v>
      </c>
      <c r="BV213" s="2" t="s">
        <v>630</v>
      </c>
      <c r="BX213" s="2" t="s">
        <v>187</v>
      </c>
      <c r="BY213" s="2" t="s">
        <v>1596</v>
      </c>
      <c r="BZ213" s="2" t="s">
        <v>188</v>
      </c>
      <c r="CE213" s="2">
        <v>2.1</v>
      </c>
      <c r="CF213" s="2">
        <v>208</v>
      </c>
      <c r="CK213" s="2">
        <v>100</v>
      </c>
      <c r="CO213" s="2">
        <v>100</v>
      </c>
      <c r="CR213" s="2" t="s">
        <v>343</v>
      </c>
      <c r="CT213" s="2" t="s">
        <v>188</v>
      </c>
      <c r="CU213" s="2" t="s">
        <v>758</v>
      </c>
      <c r="CW213" s="2" t="s">
        <v>206</v>
      </c>
      <c r="CY213" s="2" t="s">
        <v>300</v>
      </c>
      <c r="CZ213" s="2" t="s">
        <v>300</v>
      </c>
      <c r="DA213" s="2" t="s">
        <v>300</v>
      </c>
      <c r="DB213" s="2" t="s">
        <v>300</v>
      </c>
      <c r="DC213" s="2" t="s">
        <v>300</v>
      </c>
      <c r="DD213" s="2" t="s">
        <v>300</v>
      </c>
      <c r="DE213" s="2" t="s">
        <v>300</v>
      </c>
      <c r="DF213" s="2" t="s">
        <v>300</v>
      </c>
      <c r="DG213" s="2" t="s">
        <v>207</v>
      </c>
      <c r="DH213" s="2" t="s">
        <v>300</v>
      </c>
      <c r="DI213" s="2" t="s">
        <v>300</v>
      </c>
      <c r="DL213" s="2" t="s">
        <v>187</v>
      </c>
      <c r="DM213" s="2" t="s">
        <v>187</v>
      </c>
      <c r="DN213" s="2" t="s">
        <v>187</v>
      </c>
      <c r="DO213" s="2" t="s">
        <v>187</v>
      </c>
      <c r="DP213" s="2" t="s">
        <v>209</v>
      </c>
      <c r="DQ213" s="2" t="s">
        <v>210</v>
      </c>
      <c r="DT213" s="2" t="s">
        <v>203</v>
      </c>
      <c r="DU213" s="2" t="s">
        <v>203</v>
      </c>
      <c r="DV213" s="2" t="s">
        <v>203</v>
      </c>
      <c r="DW213" s="2" t="s">
        <v>203</v>
      </c>
      <c r="DX213" s="2" t="s">
        <v>203</v>
      </c>
      <c r="DY213" s="2" t="s">
        <v>203</v>
      </c>
      <c r="DZ213" s="2" t="s">
        <v>203</v>
      </c>
      <c r="EA213" s="2" t="s">
        <v>203</v>
      </c>
      <c r="EB213" s="2" t="s">
        <v>203</v>
      </c>
      <c r="EC213" s="2" t="s">
        <v>203</v>
      </c>
      <c r="EF213" s="2" t="s">
        <v>496</v>
      </c>
      <c r="EG213" s="2" t="s">
        <v>1597</v>
      </c>
      <c r="EJ213" s="2" t="s">
        <v>203</v>
      </c>
      <c r="EK213" s="2" t="s">
        <v>188</v>
      </c>
      <c r="EL213" s="2" t="s">
        <v>188</v>
      </c>
      <c r="EN213" s="2" t="s">
        <v>214</v>
      </c>
      <c r="EP213" s="2" t="s">
        <v>230</v>
      </c>
      <c r="ER213" s="2" t="s">
        <v>188</v>
      </c>
      <c r="ET213" s="2" t="s">
        <v>188</v>
      </c>
      <c r="EV213" s="2" t="s">
        <v>188</v>
      </c>
      <c r="EW213" s="2" t="s">
        <v>189</v>
      </c>
      <c r="EX213" s="2" t="s">
        <v>188</v>
      </c>
      <c r="EZ213" s="2" t="s">
        <v>188</v>
      </c>
      <c r="FC213" s="2" t="s">
        <v>395</v>
      </c>
      <c r="FD213" s="2" t="s">
        <v>188</v>
      </c>
      <c r="FH213" s="2" t="s">
        <v>188</v>
      </c>
      <c r="FJ213" s="2" t="s">
        <v>188</v>
      </c>
      <c r="FK213" s="2" t="s">
        <v>188</v>
      </c>
      <c r="FN213" s="2" t="s">
        <v>488</v>
      </c>
      <c r="FR213" s="2" t="s">
        <v>1598</v>
      </c>
      <c r="FT213" s="2" t="s">
        <v>233</v>
      </c>
      <c r="FU213" s="2" t="s">
        <v>233</v>
      </c>
      <c r="FV213" s="2" t="s">
        <v>233</v>
      </c>
      <c r="FW213" s="2" t="s">
        <v>233</v>
      </c>
      <c r="FX213" s="2" t="s">
        <v>233</v>
      </c>
      <c r="FZ213" s="4">
        <v>46043.323171296295</v>
      </c>
    </row>
    <row r="214" spans="1:182">
      <c r="A214" s="2" t="s">
        <v>1599</v>
      </c>
      <c r="D214" s="4">
        <v>46296.677037037036</v>
      </c>
      <c r="E214" s="2" t="s">
        <v>1600</v>
      </c>
      <c r="F214" s="2" t="s">
        <v>480</v>
      </c>
      <c r="G214" s="2" t="s">
        <v>1206</v>
      </c>
      <c r="H214" s="2" t="s">
        <v>1212</v>
      </c>
      <c r="I214" s="2" t="s">
        <v>1601</v>
      </c>
      <c r="J214" s="2">
        <v>867269600</v>
      </c>
      <c r="K214" s="2" t="s">
        <v>1601</v>
      </c>
      <c r="L214" s="2" t="s">
        <v>182</v>
      </c>
      <c r="M214" s="2" t="s">
        <v>183</v>
      </c>
      <c r="N214" s="2">
        <v>1990</v>
      </c>
      <c r="O214" s="2" t="s">
        <v>184</v>
      </c>
      <c r="P214" s="2" t="s">
        <v>185</v>
      </c>
      <c r="Q214" s="2" t="s">
        <v>186</v>
      </c>
      <c r="R214" s="2" t="s">
        <v>188</v>
      </c>
      <c r="S214" s="2">
        <v>13</v>
      </c>
      <c r="T214" s="2" t="s">
        <v>188</v>
      </c>
      <c r="U214" s="2" t="s">
        <v>188</v>
      </c>
      <c r="Y214" s="2">
        <v>103</v>
      </c>
      <c r="Z214" s="2">
        <v>0.85440000000000005</v>
      </c>
      <c r="AA214" s="2">
        <v>88</v>
      </c>
      <c r="AB214" s="2">
        <v>88</v>
      </c>
      <c r="AC214" s="2">
        <v>88</v>
      </c>
      <c r="AD214" s="2">
        <v>148</v>
      </c>
      <c r="AE214" s="2">
        <v>60</v>
      </c>
      <c r="AF214" s="2" t="s">
        <v>188</v>
      </c>
      <c r="AG214" s="2" t="s">
        <v>188</v>
      </c>
      <c r="AH214" s="2" t="s">
        <v>188</v>
      </c>
      <c r="AJ214" s="2" t="s">
        <v>188</v>
      </c>
      <c r="AK214" s="2" t="s">
        <v>188</v>
      </c>
      <c r="AL214" s="2" t="s">
        <v>188</v>
      </c>
      <c r="AM214" s="2" t="s">
        <v>187</v>
      </c>
      <c r="AN214" s="2" t="s">
        <v>188</v>
      </c>
      <c r="AO214" s="2" t="s">
        <v>188</v>
      </c>
      <c r="AR214" s="2">
        <v>1</v>
      </c>
      <c r="AS214" s="2">
        <v>2</v>
      </c>
      <c r="AT214" s="2">
        <v>1.5</v>
      </c>
      <c r="AU214" s="2" t="s">
        <v>238</v>
      </c>
      <c r="AV214" s="2" t="s">
        <v>238</v>
      </c>
      <c r="AZ214" s="2" t="s">
        <v>190</v>
      </c>
      <c r="BB214" s="2" t="s">
        <v>260</v>
      </c>
      <c r="BC214" s="2" t="s">
        <v>296</v>
      </c>
      <c r="BD214" s="2" t="s">
        <v>188</v>
      </c>
      <c r="BE214" s="2" t="s">
        <v>187</v>
      </c>
      <c r="BF214" s="2" t="s">
        <v>193</v>
      </c>
      <c r="BG214" s="2" t="s">
        <v>194</v>
      </c>
      <c r="BH214" s="2" t="s">
        <v>280</v>
      </c>
      <c r="BI214" s="2" t="s">
        <v>165</v>
      </c>
      <c r="BL214" s="2" t="s">
        <v>240</v>
      </c>
      <c r="BO214" s="2" t="s">
        <v>188</v>
      </c>
      <c r="BQ214" s="2" t="s">
        <v>200</v>
      </c>
      <c r="BS214" s="2" t="s">
        <v>187</v>
      </c>
      <c r="BT214" s="2" t="s">
        <v>484</v>
      </c>
      <c r="BV214" s="2" t="s">
        <v>485</v>
      </c>
      <c r="BX214" s="2" t="s">
        <v>187</v>
      </c>
      <c r="BY214" s="2" t="s">
        <v>1602</v>
      </c>
      <c r="BZ214" s="2" t="s">
        <v>203</v>
      </c>
      <c r="CE214" s="2">
        <v>1.5</v>
      </c>
      <c r="CK214" s="2">
        <v>100</v>
      </c>
      <c r="CO214" s="2">
        <v>100</v>
      </c>
      <c r="CR214" s="2" t="s">
        <v>343</v>
      </c>
      <c r="CT214" s="2" t="s">
        <v>188</v>
      </c>
      <c r="CU214" s="2" t="s">
        <v>758</v>
      </c>
      <c r="CW214" s="2" t="s">
        <v>206</v>
      </c>
      <c r="CY214" s="2" t="s">
        <v>300</v>
      </c>
      <c r="CZ214" s="2" t="s">
        <v>300</v>
      </c>
      <c r="DA214" s="2" t="s">
        <v>300</v>
      </c>
      <c r="DB214" s="2" t="s">
        <v>300</v>
      </c>
      <c r="DC214" s="2" t="s">
        <v>300</v>
      </c>
      <c r="DD214" s="2" t="s">
        <v>300</v>
      </c>
      <c r="DE214" s="2" t="s">
        <v>300</v>
      </c>
      <c r="DF214" s="2" t="s">
        <v>300</v>
      </c>
      <c r="DG214" s="2" t="s">
        <v>207</v>
      </c>
      <c r="DH214" s="2" t="s">
        <v>300</v>
      </c>
      <c r="DI214" s="2" t="s">
        <v>208</v>
      </c>
      <c r="DL214" s="2" t="s">
        <v>187</v>
      </c>
      <c r="DM214" s="2" t="s">
        <v>187</v>
      </c>
      <c r="DN214" s="2" t="s">
        <v>187</v>
      </c>
      <c r="DO214" s="2" t="s">
        <v>187</v>
      </c>
      <c r="DP214" s="2" t="s">
        <v>209</v>
      </c>
      <c r="DQ214" s="2" t="s">
        <v>210</v>
      </c>
      <c r="DT214" s="2" t="s">
        <v>203</v>
      </c>
      <c r="DU214" s="2" t="s">
        <v>209</v>
      </c>
      <c r="DV214" s="2" t="s">
        <v>209</v>
      </c>
      <c r="DW214" s="2" t="s">
        <v>203</v>
      </c>
      <c r="DX214" s="2" t="s">
        <v>203</v>
      </c>
      <c r="DY214" s="2" t="s">
        <v>203</v>
      </c>
      <c r="DZ214" s="2" t="s">
        <v>203</v>
      </c>
      <c r="EA214" s="2" t="s">
        <v>203</v>
      </c>
      <c r="EB214" s="2" t="s">
        <v>203</v>
      </c>
      <c r="EF214" s="2" t="s">
        <v>496</v>
      </c>
      <c r="EG214" s="2" t="s">
        <v>1603</v>
      </c>
      <c r="EJ214" s="2" t="s">
        <v>238</v>
      </c>
      <c r="EK214" s="2" t="s">
        <v>188</v>
      </c>
      <c r="EL214" s="2" t="s">
        <v>188</v>
      </c>
      <c r="EN214" s="2" t="s">
        <v>255</v>
      </c>
      <c r="EP214" s="2" t="s">
        <v>230</v>
      </c>
      <c r="ER214" s="2" t="s">
        <v>188</v>
      </c>
      <c r="ET214" s="2" t="s">
        <v>188</v>
      </c>
      <c r="EV214" s="2" t="s">
        <v>188</v>
      </c>
      <c r="EX214" s="2" t="s">
        <v>188</v>
      </c>
      <c r="EZ214" s="2" t="s">
        <v>188</v>
      </c>
      <c r="FC214" s="2" t="s">
        <v>263</v>
      </c>
      <c r="FD214" s="2" t="s">
        <v>188</v>
      </c>
      <c r="FH214" s="2" t="s">
        <v>188</v>
      </c>
      <c r="FJ214" s="2" t="s">
        <v>188</v>
      </c>
      <c r="FK214" s="2" t="s">
        <v>188</v>
      </c>
      <c r="FN214" s="2" t="s">
        <v>488</v>
      </c>
      <c r="FR214" s="2" t="s">
        <v>1604</v>
      </c>
      <c r="FT214" s="2" t="s">
        <v>233</v>
      </c>
      <c r="FU214" s="2" t="s">
        <v>233</v>
      </c>
      <c r="FV214" s="2" t="s">
        <v>233</v>
      </c>
      <c r="FW214" s="2" t="s">
        <v>233</v>
      </c>
      <c r="FZ214" s="4">
        <v>46049.592465277776</v>
      </c>
    </row>
    <row r="215" spans="1:182">
      <c r="A215" s="2" t="s">
        <v>1605</v>
      </c>
      <c r="D215" s="4">
        <v>46296.680914351855</v>
      </c>
      <c r="E215" s="2" t="s">
        <v>1606</v>
      </c>
      <c r="F215" s="2" t="s">
        <v>480</v>
      </c>
      <c r="G215" s="2" t="s">
        <v>1206</v>
      </c>
      <c r="H215" s="2" t="s">
        <v>1207</v>
      </c>
      <c r="I215" s="2" t="s">
        <v>1607</v>
      </c>
      <c r="J215" s="2">
        <v>347320712</v>
      </c>
      <c r="K215" s="2" t="s">
        <v>1608</v>
      </c>
      <c r="L215" s="2" t="s">
        <v>182</v>
      </c>
      <c r="M215" s="2" t="s">
        <v>183</v>
      </c>
      <c r="N215" s="2">
        <v>2001</v>
      </c>
      <c r="O215" s="2" t="s">
        <v>184</v>
      </c>
      <c r="P215" s="2" t="s">
        <v>237</v>
      </c>
      <c r="Q215" s="2" t="s">
        <v>270</v>
      </c>
      <c r="R215" s="2" t="s">
        <v>188</v>
      </c>
      <c r="S215" s="2">
        <v>16</v>
      </c>
      <c r="T215" s="2" t="s">
        <v>188</v>
      </c>
      <c r="U215" s="2" t="s">
        <v>188</v>
      </c>
      <c r="Y215" s="2">
        <v>245</v>
      </c>
      <c r="Z215" s="2">
        <v>1</v>
      </c>
      <c r="AA215" s="2">
        <v>245</v>
      </c>
      <c r="AB215" s="2">
        <v>170</v>
      </c>
      <c r="AC215" s="2">
        <v>170</v>
      </c>
      <c r="AD215" s="2">
        <v>198</v>
      </c>
      <c r="AE215" s="2">
        <v>28</v>
      </c>
      <c r="AF215" s="2" t="s">
        <v>188</v>
      </c>
      <c r="AG215" s="2" t="s">
        <v>188</v>
      </c>
      <c r="AH215" s="2" t="s">
        <v>188</v>
      </c>
      <c r="AJ215" s="2" t="s">
        <v>188</v>
      </c>
      <c r="AK215" s="2" t="s">
        <v>187</v>
      </c>
      <c r="AL215" s="2" t="s">
        <v>188</v>
      </c>
      <c r="AM215" s="2" t="s">
        <v>188</v>
      </c>
      <c r="AN215" s="2" t="s">
        <v>188</v>
      </c>
      <c r="AO215" s="2" t="s">
        <v>188</v>
      </c>
      <c r="AR215" s="2">
        <v>0.68</v>
      </c>
      <c r="AS215" s="2">
        <v>2</v>
      </c>
      <c r="AT215" s="2">
        <v>2</v>
      </c>
      <c r="AU215" s="2" t="s">
        <v>238</v>
      </c>
      <c r="AV215" s="2" t="s">
        <v>203</v>
      </c>
      <c r="AW215" s="2" t="s">
        <v>188</v>
      </c>
      <c r="AZ215" s="2" t="s">
        <v>190</v>
      </c>
      <c r="BB215" s="2" t="s">
        <v>260</v>
      </c>
      <c r="BC215" s="2" t="s">
        <v>296</v>
      </c>
      <c r="BD215" s="2" t="s">
        <v>188</v>
      </c>
      <c r="BE215" s="2" t="s">
        <v>187</v>
      </c>
      <c r="BF215" s="2" t="s">
        <v>193</v>
      </c>
      <c r="BG215" s="2" t="s">
        <v>194</v>
      </c>
      <c r="BH215" s="2" t="s">
        <v>195</v>
      </c>
      <c r="BI215" s="2" t="s">
        <v>196</v>
      </c>
      <c r="BL215" s="2" t="s">
        <v>197</v>
      </c>
      <c r="BM215" s="2" t="s">
        <v>198</v>
      </c>
      <c r="BN215" s="2" t="s">
        <v>199</v>
      </c>
      <c r="BO215" s="2" t="s">
        <v>188</v>
      </c>
      <c r="BQ215" s="2" t="s">
        <v>227</v>
      </c>
      <c r="BS215" s="2" t="s">
        <v>187</v>
      </c>
      <c r="BT215" s="2" t="s">
        <v>484</v>
      </c>
      <c r="BV215" s="2" t="s">
        <v>1308</v>
      </c>
      <c r="BX215" s="2" t="s">
        <v>187</v>
      </c>
      <c r="BY215" s="2" t="s">
        <v>1609</v>
      </c>
      <c r="BZ215" s="2" t="s">
        <v>203</v>
      </c>
      <c r="CE215" s="2">
        <v>2</v>
      </c>
      <c r="CK215" s="2">
        <v>100</v>
      </c>
      <c r="CO215" s="2">
        <v>100</v>
      </c>
      <c r="CR215" s="2" t="s">
        <v>343</v>
      </c>
      <c r="CT215" s="2" t="s">
        <v>188</v>
      </c>
      <c r="CU215" s="2" t="s">
        <v>758</v>
      </c>
      <c r="CW215" s="2" t="s">
        <v>206</v>
      </c>
      <c r="CY215" s="2" t="s">
        <v>207</v>
      </c>
      <c r="CZ215" s="2" t="s">
        <v>207</v>
      </c>
      <c r="DA215" s="2" t="s">
        <v>300</v>
      </c>
      <c r="DB215" s="2" t="s">
        <v>300</v>
      </c>
      <c r="DC215" s="2" t="s">
        <v>430</v>
      </c>
      <c r="DD215" s="2" t="s">
        <v>300</v>
      </c>
      <c r="DE215" s="2" t="s">
        <v>300</v>
      </c>
      <c r="DF215" s="2" t="s">
        <v>300</v>
      </c>
      <c r="DG215" s="2" t="s">
        <v>207</v>
      </c>
      <c r="DH215" s="2" t="s">
        <v>300</v>
      </c>
      <c r="DI215" s="2" t="s">
        <v>300</v>
      </c>
      <c r="DL215" s="2" t="s">
        <v>187</v>
      </c>
      <c r="DM215" s="2" t="s">
        <v>187</v>
      </c>
      <c r="DN215" s="2" t="s">
        <v>187</v>
      </c>
      <c r="DO215" s="2" t="s">
        <v>187</v>
      </c>
      <c r="DP215" s="2" t="s">
        <v>209</v>
      </c>
      <c r="DQ215" s="2" t="s">
        <v>467</v>
      </c>
      <c r="DR215" s="2" t="s">
        <v>1610</v>
      </c>
      <c r="DT215" s="2" t="s">
        <v>209</v>
      </c>
      <c r="DU215" s="2" t="s">
        <v>203</v>
      </c>
      <c r="DV215" s="2" t="s">
        <v>209</v>
      </c>
      <c r="DW215" s="2" t="s">
        <v>209</v>
      </c>
      <c r="DX215" s="2" t="s">
        <v>203</v>
      </c>
      <c r="DY215" s="2" t="s">
        <v>203</v>
      </c>
      <c r="DZ215" s="2" t="s">
        <v>203</v>
      </c>
      <c r="EA215" s="2" t="s">
        <v>203</v>
      </c>
      <c r="EB215" s="2" t="s">
        <v>209</v>
      </c>
      <c r="EC215" s="2" t="s">
        <v>203</v>
      </c>
      <c r="ED215" s="2" t="s">
        <v>203</v>
      </c>
      <c r="EF215" s="2" t="s">
        <v>302</v>
      </c>
      <c r="EG215" s="2" t="s">
        <v>1611</v>
      </c>
      <c r="EJ215" s="2" t="s">
        <v>238</v>
      </c>
      <c r="EK215" s="2" t="s">
        <v>187</v>
      </c>
      <c r="EL215" s="2" t="s">
        <v>188</v>
      </c>
      <c r="EN215" s="2" t="s">
        <v>214</v>
      </c>
      <c r="EP215" s="2" t="s">
        <v>230</v>
      </c>
      <c r="ER215" s="2" t="s">
        <v>187</v>
      </c>
      <c r="ET215" s="2" t="s">
        <v>188</v>
      </c>
      <c r="EV215" s="2" t="s">
        <v>187</v>
      </c>
      <c r="EW215" s="2" t="s">
        <v>215</v>
      </c>
      <c r="EX215" s="2" t="s">
        <v>188</v>
      </c>
      <c r="EZ215" s="2" t="s">
        <v>188</v>
      </c>
      <c r="FC215" s="2" t="s">
        <v>395</v>
      </c>
      <c r="FD215" s="2" t="s">
        <v>188</v>
      </c>
      <c r="FH215" s="2" t="s">
        <v>188</v>
      </c>
      <c r="FJ215" s="2" t="s">
        <v>188</v>
      </c>
      <c r="FK215" s="2" t="s">
        <v>188</v>
      </c>
      <c r="FN215" s="2" t="s">
        <v>488</v>
      </c>
      <c r="FR215" s="2" t="s">
        <v>1612</v>
      </c>
      <c r="FT215" s="2" t="s">
        <v>233</v>
      </c>
      <c r="FU215" s="2" t="s">
        <v>233</v>
      </c>
      <c r="FV215" s="2" t="s">
        <v>233</v>
      </c>
      <c r="FW215" s="2" t="s">
        <v>233</v>
      </c>
      <c r="FZ215" s="4">
        <v>46049.596053240741</v>
      </c>
    </row>
    <row r="216" spans="1:182">
      <c r="A216" s="2" t="s">
        <v>1613</v>
      </c>
      <c r="D216" s="4">
        <v>46296.681134259263</v>
      </c>
      <c r="E216" s="2" t="s">
        <v>1614</v>
      </c>
      <c r="F216" s="2" t="s">
        <v>398</v>
      </c>
      <c r="G216" s="2" t="s">
        <v>1206</v>
      </c>
      <c r="H216" s="2" t="s">
        <v>1615</v>
      </c>
      <c r="I216" s="2" t="s">
        <v>1616</v>
      </c>
      <c r="J216" s="2">
        <v>365522209</v>
      </c>
      <c r="K216" s="2" t="s">
        <v>1617</v>
      </c>
      <c r="L216" s="2" t="s">
        <v>182</v>
      </c>
      <c r="M216" s="2" t="s">
        <v>223</v>
      </c>
      <c r="N216" s="2">
        <v>1998</v>
      </c>
      <c r="O216" s="2" t="s">
        <v>184</v>
      </c>
      <c r="P216" s="2" t="s">
        <v>225</v>
      </c>
      <c r="Q216" s="2" t="s">
        <v>186</v>
      </c>
      <c r="R216" s="2" t="s">
        <v>188</v>
      </c>
      <c r="S216" s="2">
        <v>8</v>
      </c>
      <c r="T216" s="2" t="s">
        <v>188</v>
      </c>
      <c r="U216" s="2" t="s">
        <v>188</v>
      </c>
      <c r="Y216" s="2">
        <v>850</v>
      </c>
      <c r="Z216" s="2">
        <v>0.98819999999999997</v>
      </c>
      <c r="AA216" s="2">
        <v>840</v>
      </c>
      <c r="AB216" s="2">
        <v>840</v>
      </c>
      <c r="AC216" s="2">
        <v>800</v>
      </c>
      <c r="AD216" s="2">
        <v>840</v>
      </c>
      <c r="AE216" s="2">
        <v>40</v>
      </c>
      <c r="AF216" s="2" t="s">
        <v>188</v>
      </c>
      <c r="AG216" s="2" t="s">
        <v>188</v>
      </c>
      <c r="AH216" s="2" t="s">
        <v>188</v>
      </c>
      <c r="AJ216" s="2" t="s">
        <v>188</v>
      </c>
      <c r="AK216" s="2" t="s">
        <v>188</v>
      </c>
      <c r="AL216" s="2" t="s">
        <v>188</v>
      </c>
      <c r="AM216" s="2" t="s">
        <v>187</v>
      </c>
      <c r="AN216" s="2" t="s">
        <v>188</v>
      </c>
      <c r="AO216" s="2" t="s">
        <v>188</v>
      </c>
      <c r="AR216" s="2">
        <v>1</v>
      </c>
      <c r="AS216" s="2">
        <v>2</v>
      </c>
      <c r="AT216" s="2">
        <v>1.2</v>
      </c>
      <c r="AU216" s="2" t="s">
        <v>238</v>
      </c>
      <c r="AV216" s="2" t="s">
        <v>238</v>
      </c>
      <c r="AW216" s="2" t="s">
        <v>188</v>
      </c>
      <c r="AZ216" s="2" t="s">
        <v>190</v>
      </c>
      <c r="BB216" s="2" t="s">
        <v>260</v>
      </c>
      <c r="BC216" s="2" t="s">
        <v>296</v>
      </c>
      <c r="BD216" s="2" t="s">
        <v>187</v>
      </c>
      <c r="BE216" s="2" t="s">
        <v>187</v>
      </c>
      <c r="BF216" s="2" t="s">
        <v>193</v>
      </c>
      <c r="BG216" s="2" t="s">
        <v>194</v>
      </c>
      <c r="BH216" s="2" t="s">
        <v>280</v>
      </c>
      <c r="BI216" s="2" t="s">
        <v>196</v>
      </c>
      <c r="BL216" s="2" t="s">
        <v>197</v>
      </c>
      <c r="BM216" s="2" t="s">
        <v>198</v>
      </c>
      <c r="BN216" s="2" t="s">
        <v>199</v>
      </c>
      <c r="BO216" s="2" t="s">
        <v>188</v>
      </c>
      <c r="BQ216" s="2" t="s">
        <v>200</v>
      </c>
      <c r="BS216" s="2" t="s">
        <v>187</v>
      </c>
      <c r="BT216" s="2" t="s">
        <v>261</v>
      </c>
      <c r="BV216" s="2" t="s">
        <v>248</v>
      </c>
      <c r="BX216" s="2" t="s">
        <v>188</v>
      </c>
      <c r="BY216" s="2" t="s">
        <v>696</v>
      </c>
      <c r="BZ216" s="2" t="s">
        <v>203</v>
      </c>
      <c r="CE216" s="2">
        <v>1.2</v>
      </c>
      <c r="CF216" s="2">
        <v>120</v>
      </c>
      <c r="CM216" s="2">
        <v>100</v>
      </c>
      <c r="CP216" s="2">
        <v>100</v>
      </c>
      <c r="CR216" s="2" t="s">
        <v>204</v>
      </c>
      <c r="CT216" s="2" t="s">
        <v>188</v>
      </c>
      <c r="CU216" s="2" t="s">
        <v>205</v>
      </c>
      <c r="CW216" s="2" t="s">
        <v>206</v>
      </c>
      <c r="CY216" s="2" t="s">
        <v>207</v>
      </c>
      <c r="CZ216" s="2" t="s">
        <v>207</v>
      </c>
      <c r="DA216" s="2" t="s">
        <v>300</v>
      </c>
      <c r="DB216" s="2" t="s">
        <v>300</v>
      </c>
      <c r="DC216" s="2" t="s">
        <v>300</v>
      </c>
      <c r="DD216" s="2" t="s">
        <v>299</v>
      </c>
      <c r="DE216" s="2" t="s">
        <v>300</v>
      </c>
      <c r="DF216" s="2" t="s">
        <v>300</v>
      </c>
      <c r="DG216" s="2" t="s">
        <v>300</v>
      </c>
      <c r="DH216" s="2" t="s">
        <v>300</v>
      </c>
      <c r="DI216" s="2" t="s">
        <v>300</v>
      </c>
      <c r="DL216" s="2" t="s">
        <v>188</v>
      </c>
      <c r="DM216" s="2" t="s">
        <v>188</v>
      </c>
      <c r="DP216" s="2" t="s">
        <v>203</v>
      </c>
      <c r="DT216" s="2" t="s">
        <v>203</v>
      </c>
      <c r="DU216" s="2" t="s">
        <v>203</v>
      </c>
      <c r="DV216" s="2" t="s">
        <v>203</v>
      </c>
      <c r="DW216" s="2" t="s">
        <v>203</v>
      </c>
      <c r="DX216" s="2" t="s">
        <v>203</v>
      </c>
      <c r="DY216" s="2" t="s">
        <v>203</v>
      </c>
      <c r="DZ216" s="2" t="s">
        <v>203</v>
      </c>
      <c r="EA216" s="2" t="s">
        <v>203</v>
      </c>
      <c r="EB216" s="2" t="s">
        <v>203</v>
      </c>
      <c r="EC216" s="2" t="s">
        <v>203</v>
      </c>
      <c r="ED216" s="2" t="s">
        <v>203</v>
      </c>
      <c r="EF216" s="2" t="s">
        <v>302</v>
      </c>
      <c r="EG216" s="2" t="s">
        <v>1618</v>
      </c>
      <c r="EJ216" s="2" t="s">
        <v>238</v>
      </c>
      <c r="EK216" s="2" t="s">
        <v>187</v>
      </c>
      <c r="EL216" s="2" t="s">
        <v>188</v>
      </c>
      <c r="EN216" s="2" t="s">
        <v>214</v>
      </c>
      <c r="EP216" s="2" t="s">
        <v>230</v>
      </c>
      <c r="ER216" s="2" t="s">
        <v>188</v>
      </c>
      <c r="ET216" s="2" t="s">
        <v>188</v>
      </c>
      <c r="EV216" s="2" t="s">
        <v>188</v>
      </c>
      <c r="EX216" s="2" t="s">
        <v>188</v>
      </c>
      <c r="EZ216" s="2" t="s">
        <v>188</v>
      </c>
      <c r="FC216" s="2" t="s">
        <v>216</v>
      </c>
      <c r="FD216" s="2" t="s">
        <v>188</v>
      </c>
      <c r="FH216" s="2" t="s">
        <v>188</v>
      </c>
      <c r="FJ216" s="2" t="s">
        <v>188</v>
      </c>
      <c r="FK216" s="2" t="s">
        <v>188</v>
      </c>
      <c r="FR216" s="2" t="s">
        <v>461</v>
      </c>
      <c r="FT216" s="2" t="s">
        <v>219</v>
      </c>
      <c r="FU216" s="2" t="s">
        <v>233</v>
      </c>
      <c r="FV216" s="2" t="s">
        <v>219</v>
      </c>
      <c r="FW216" s="2" t="s">
        <v>233</v>
      </c>
      <c r="FX216" s="2" t="s">
        <v>219</v>
      </c>
      <c r="FY216" s="2" t="s">
        <v>1619</v>
      </c>
      <c r="FZ216" s="4">
        <v>46038.650034722225</v>
      </c>
    </row>
    <row r="217" spans="1:182">
      <c r="A217" s="2" t="s">
        <v>1620</v>
      </c>
      <c r="D217" s="4">
        <v>46296.684386574074</v>
      </c>
      <c r="E217" s="2" t="s">
        <v>1621</v>
      </c>
      <c r="F217" s="2" t="s">
        <v>425</v>
      </c>
      <c r="G217" s="2" t="s">
        <v>1206</v>
      </c>
      <c r="H217" s="2" t="s">
        <v>1212</v>
      </c>
      <c r="I217" s="2" t="s">
        <v>1622</v>
      </c>
      <c r="J217" s="2">
        <v>354205422</v>
      </c>
      <c r="K217" s="2" t="s">
        <v>1623</v>
      </c>
      <c r="L217" s="2" t="s">
        <v>269</v>
      </c>
      <c r="M217" s="2" t="s">
        <v>223</v>
      </c>
      <c r="N217" s="2">
        <v>1970</v>
      </c>
      <c r="O217" s="2" t="s">
        <v>184</v>
      </c>
      <c r="P217" s="2" t="s">
        <v>225</v>
      </c>
      <c r="Q217" s="2" t="s">
        <v>603</v>
      </c>
      <c r="R217" s="2" t="s">
        <v>188</v>
      </c>
      <c r="S217" s="2">
        <v>25</v>
      </c>
      <c r="T217" s="2" t="s">
        <v>188</v>
      </c>
      <c r="U217" s="2" t="s">
        <v>188</v>
      </c>
      <c r="Y217" s="2">
        <v>240</v>
      </c>
      <c r="Z217" s="2">
        <v>1</v>
      </c>
      <c r="AA217" s="2">
        <v>240</v>
      </c>
      <c r="AB217" s="2">
        <v>240</v>
      </c>
      <c r="AC217" s="2">
        <v>240</v>
      </c>
      <c r="AD217" s="2">
        <v>300</v>
      </c>
      <c r="AE217" s="2">
        <v>60</v>
      </c>
      <c r="AF217" s="2" t="s">
        <v>188</v>
      </c>
      <c r="AG217" s="2" t="s">
        <v>188</v>
      </c>
      <c r="AH217" s="2" t="s">
        <v>188</v>
      </c>
      <c r="AJ217" s="2" t="s">
        <v>188</v>
      </c>
      <c r="AK217" s="2" t="s">
        <v>188</v>
      </c>
      <c r="AL217" s="2" t="s">
        <v>188</v>
      </c>
      <c r="AM217" s="2" t="s">
        <v>188</v>
      </c>
      <c r="AN217" s="2" t="s">
        <v>188</v>
      </c>
      <c r="AO217" s="2" t="s">
        <v>188</v>
      </c>
      <c r="AR217" s="2">
        <v>1.2</v>
      </c>
      <c r="AS217" s="2">
        <v>1</v>
      </c>
      <c r="AT217" s="2">
        <v>3</v>
      </c>
      <c r="AU217" s="2" t="s">
        <v>203</v>
      </c>
      <c r="AV217" s="2" t="s">
        <v>203</v>
      </c>
      <c r="AW217" s="2" t="s">
        <v>188</v>
      </c>
      <c r="AZ217" s="2" t="s">
        <v>357</v>
      </c>
      <c r="BC217" s="2" t="s">
        <v>253</v>
      </c>
      <c r="BD217" s="2" t="s">
        <v>188</v>
      </c>
      <c r="BE217" s="2" t="s">
        <v>188</v>
      </c>
      <c r="BL217" s="2" t="s">
        <v>240</v>
      </c>
      <c r="BO217" s="2" t="s">
        <v>188</v>
      </c>
      <c r="BX217" s="2" t="s">
        <v>188</v>
      </c>
      <c r="BZ217" s="2" t="s">
        <v>188</v>
      </c>
      <c r="CE217" s="2">
        <v>3</v>
      </c>
      <c r="CF217" s="2">
        <v>300</v>
      </c>
      <c r="CK217" s="2">
        <v>100</v>
      </c>
      <c r="CO217" s="2">
        <v>100</v>
      </c>
      <c r="CR217" s="2" t="s">
        <v>204</v>
      </c>
      <c r="CT217" s="2" t="s">
        <v>188</v>
      </c>
      <c r="CU217" s="2" t="s">
        <v>205</v>
      </c>
      <c r="CW217" s="2" t="s">
        <v>206</v>
      </c>
      <c r="CY217" s="2" t="s">
        <v>300</v>
      </c>
      <c r="CZ217" s="2" t="s">
        <v>300</v>
      </c>
      <c r="DA217" s="2" t="s">
        <v>430</v>
      </c>
      <c r="DB217" s="2" t="s">
        <v>430</v>
      </c>
      <c r="DC217" s="2" t="s">
        <v>430</v>
      </c>
      <c r="DD217" s="2" t="s">
        <v>430</v>
      </c>
      <c r="DE217" s="2" t="s">
        <v>430</v>
      </c>
      <c r="DF217" s="2" t="s">
        <v>430</v>
      </c>
      <c r="DG217" s="2" t="s">
        <v>430</v>
      </c>
      <c r="DH217" s="2" t="s">
        <v>430</v>
      </c>
      <c r="DI217" s="2" t="s">
        <v>430</v>
      </c>
      <c r="DL217" s="2" t="s">
        <v>188</v>
      </c>
      <c r="DM217" s="2" t="s">
        <v>188</v>
      </c>
      <c r="DP217" s="2" t="s">
        <v>188</v>
      </c>
      <c r="DT217" s="2" t="s">
        <v>203</v>
      </c>
      <c r="DU217" s="2" t="s">
        <v>203</v>
      </c>
      <c r="DV217" s="2" t="s">
        <v>203</v>
      </c>
      <c r="DW217" s="2" t="s">
        <v>203</v>
      </c>
      <c r="DX217" s="2" t="s">
        <v>203</v>
      </c>
      <c r="DY217" s="2" t="s">
        <v>203</v>
      </c>
      <c r="DZ217" s="2" t="s">
        <v>203</v>
      </c>
      <c r="EA217" s="2" t="s">
        <v>203</v>
      </c>
      <c r="EB217" s="2" t="s">
        <v>203</v>
      </c>
      <c r="EC217" s="2" t="s">
        <v>203</v>
      </c>
      <c r="EF217" s="2" t="s">
        <v>496</v>
      </c>
      <c r="EG217" s="2" t="s">
        <v>1624</v>
      </c>
      <c r="EJ217" s="2" t="s">
        <v>203</v>
      </c>
      <c r="EK217" s="2" t="s">
        <v>188</v>
      </c>
      <c r="EL217" s="2" t="s">
        <v>188</v>
      </c>
      <c r="EN217" s="2" t="s">
        <v>255</v>
      </c>
      <c r="EP217" s="2" t="s">
        <v>230</v>
      </c>
      <c r="ER217" s="2" t="s">
        <v>188</v>
      </c>
      <c r="ET217" s="2" t="s">
        <v>188</v>
      </c>
      <c r="EV217" s="2" t="s">
        <v>188</v>
      </c>
      <c r="EX217" s="2" t="s">
        <v>188</v>
      </c>
      <c r="EZ217" s="2" t="s">
        <v>188</v>
      </c>
      <c r="FC217" s="2" t="s">
        <v>216</v>
      </c>
      <c r="FD217" s="2" t="s">
        <v>188</v>
      </c>
      <c r="FH217" s="2" t="s">
        <v>188</v>
      </c>
      <c r="FJ217" s="2" t="s">
        <v>188</v>
      </c>
      <c r="FK217" s="2" t="s">
        <v>188</v>
      </c>
      <c r="FR217" s="2" t="s">
        <v>433</v>
      </c>
      <c r="FT217" s="2" t="s">
        <v>233</v>
      </c>
      <c r="FU217" s="2" t="s">
        <v>219</v>
      </c>
      <c r="FV217" s="2" t="s">
        <v>219</v>
      </c>
      <c r="FW217" s="2" t="s">
        <v>219</v>
      </c>
      <c r="FZ217" s="4">
        <v>46041.731006944443</v>
      </c>
    </row>
    <row r="218" spans="1:182">
      <c r="A218" s="2" t="s">
        <v>1625</v>
      </c>
      <c r="D218" s="4">
        <v>46296.688101851854</v>
      </c>
      <c r="E218" s="2" t="s">
        <v>1626</v>
      </c>
      <c r="F218" s="2" t="s">
        <v>480</v>
      </c>
      <c r="G218" s="2" t="s">
        <v>1206</v>
      </c>
      <c r="H218" s="2" t="s">
        <v>1212</v>
      </c>
      <c r="I218" s="2" t="s">
        <v>1627</v>
      </c>
      <c r="J218" s="2">
        <v>353516261</v>
      </c>
      <c r="K218" s="2" t="s">
        <v>1627</v>
      </c>
      <c r="L218" s="2" t="s">
        <v>182</v>
      </c>
      <c r="M218" s="2" t="s">
        <v>183</v>
      </c>
      <c r="N218" s="2">
        <v>1965</v>
      </c>
      <c r="O218" s="2" t="s">
        <v>184</v>
      </c>
      <c r="P218" s="2" t="s">
        <v>185</v>
      </c>
      <c r="Q218" s="2" t="s">
        <v>270</v>
      </c>
      <c r="R218" s="2" t="s">
        <v>188</v>
      </c>
      <c r="S218" s="2">
        <v>18</v>
      </c>
      <c r="T218" s="2" t="s">
        <v>188</v>
      </c>
      <c r="U218" s="2" t="s">
        <v>188</v>
      </c>
      <c r="Y218" s="2">
        <v>266</v>
      </c>
      <c r="Z218" s="2">
        <v>1</v>
      </c>
      <c r="AA218" s="2">
        <v>266</v>
      </c>
      <c r="AB218" s="2">
        <v>266</v>
      </c>
      <c r="AC218" s="2">
        <v>266</v>
      </c>
      <c r="AD218" s="2">
        <v>396</v>
      </c>
      <c r="AE218" s="2">
        <v>130</v>
      </c>
      <c r="AF218" s="2" t="s">
        <v>188</v>
      </c>
      <c r="AG218" s="2" t="s">
        <v>188</v>
      </c>
      <c r="AH218" s="2" t="s">
        <v>188</v>
      </c>
      <c r="AJ218" s="2" t="s">
        <v>188</v>
      </c>
      <c r="AK218" s="2" t="s">
        <v>188</v>
      </c>
      <c r="AL218" s="2" t="s">
        <v>188</v>
      </c>
      <c r="AM218" s="2" t="s">
        <v>188</v>
      </c>
      <c r="AN218" s="2" t="s">
        <v>188</v>
      </c>
      <c r="AO218" s="2" t="s">
        <v>188</v>
      </c>
      <c r="AR218" s="2">
        <v>1.8</v>
      </c>
      <c r="AS218" s="2">
        <v>3</v>
      </c>
      <c r="AT218" s="2">
        <v>4</v>
      </c>
      <c r="AU218" s="2" t="s">
        <v>238</v>
      </c>
      <c r="AV218" s="2" t="s">
        <v>238</v>
      </c>
      <c r="AW218" s="2" t="s">
        <v>188</v>
      </c>
      <c r="AZ218" s="2" t="s">
        <v>190</v>
      </c>
      <c r="BB218" s="2" t="s">
        <v>260</v>
      </c>
      <c r="BC218" s="2" t="s">
        <v>296</v>
      </c>
      <c r="BD218" s="2" t="s">
        <v>188</v>
      </c>
      <c r="BE218" s="2" t="s">
        <v>187</v>
      </c>
      <c r="BF218" s="2" t="s">
        <v>193</v>
      </c>
      <c r="BG218" s="2" t="s">
        <v>194</v>
      </c>
      <c r="BH218" s="2" t="s">
        <v>195</v>
      </c>
      <c r="BI218" s="2" t="s">
        <v>196</v>
      </c>
      <c r="BL218" s="2" t="s">
        <v>197</v>
      </c>
      <c r="BM218" s="2" t="s">
        <v>507</v>
      </c>
      <c r="BN218" s="2" t="s">
        <v>199</v>
      </c>
      <c r="BO218" s="2" t="s">
        <v>188</v>
      </c>
      <c r="BQ218" s="2" t="s">
        <v>227</v>
      </c>
      <c r="BS218" s="2" t="s">
        <v>188</v>
      </c>
      <c r="BT218" s="2" t="s">
        <v>484</v>
      </c>
      <c r="BV218" s="2" t="s">
        <v>1628</v>
      </c>
      <c r="BX218" s="2" t="s">
        <v>187</v>
      </c>
      <c r="BY218" s="2" t="s">
        <v>1629</v>
      </c>
      <c r="BZ218" s="2" t="s">
        <v>188</v>
      </c>
      <c r="CE218" s="2">
        <v>4</v>
      </c>
      <c r="CF218" s="2">
        <v>396</v>
      </c>
      <c r="CK218" s="2">
        <v>100</v>
      </c>
      <c r="CO218" s="2">
        <v>100</v>
      </c>
      <c r="CR218" s="2" t="s">
        <v>343</v>
      </c>
      <c r="CT218" s="2" t="s">
        <v>188</v>
      </c>
      <c r="CU218" s="2" t="s">
        <v>249</v>
      </c>
      <c r="CW218" s="2" t="s">
        <v>206</v>
      </c>
      <c r="CY218" s="2" t="s">
        <v>300</v>
      </c>
      <c r="CZ218" s="2" t="s">
        <v>300</v>
      </c>
      <c r="DA218" s="2" t="s">
        <v>300</v>
      </c>
      <c r="DB218" s="2" t="s">
        <v>300</v>
      </c>
      <c r="DC218" s="2" t="s">
        <v>300</v>
      </c>
      <c r="DD218" s="2" t="s">
        <v>300</v>
      </c>
      <c r="DE218" s="2" t="s">
        <v>300</v>
      </c>
      <c r="DF218" s="2" t="s">
        <v>300</v>
      </c>
      <c r="DG218" s="2" t="s">
        <v>300</v>
      </c>
      <c r="DH218" s="2" t="s">
        <v>300</v>
      </c>
      <c r="DI218" s="2" t="s">
        <v>300</v>
      </c>
      <c r="DL218" s="2" t="s">
        <v>187</v>
      </c>
      <c r="DM218" s="2" t="s">
        <v>187</v>
      </c>
      <c r="DN218" s="2" t="s">
        <v>187</v>
      </c>
      <c r="DO218" s="2" t="s">
        <v>187</v>
      </c>
      <c r="DP218" s="2" t="s">
        <v>209</v>
      </c>
      <c r="DQ218" s="2" t="s">
        <v>210</v>
      </c>
      <c r="DT218" s="2" t="s">
        <v>209</v>
      </c>
      <c r="DU218" s="2" t="s">
        <v>203</v>
      </c>
      <c r="DV218" s="2" t="s">
        <v>203</v>
      </c>
      <c r="DW218" s="2" t="s">
        <v>209</v>
      </c>
      <c r="DX218" s="2" t="s">
        <v>203</v>
      </c>
      <c r="DY218" s="2" t="s">
        <v>203</v>
      </c>
      <c r="DZ218" s="2" t="s">
        <v>203</v>
      </c>
      <c r="EA218" s="2" t="s">
        <v>203</v>
      </c>
      <c r="EB218" s="2" t="s">
        <v>203</v>
      </c>
      <c r="EC218" s="2" t="s">
        <v>203</v>
      </c>
      <c r="ED218" s="2" t="s">
        <v>203</v>
      </c>
      <c r="EF218" s="2" t="s">
        <v>302</v>
      </c>
      <c r="EG218" s="2" t="s">
        <v>1630</v>
      </c>
      <c r="EJ218" s="2" t="s">
        <v>203</v>
      </c>
      <c r="EK218" s="2" t="s">
        <v>187</v>
      </c>
      <c r="EL218" s="2" t="s">
        <v>188</v>
      </c>
      <c r="EN218" s="2" t="s">
        <v>214</v>
      </c>
      <c r="EP218" s="2" t="s">
        <v>230</v>
      </c>
      <c r="ER218" s="2" t="s">
        <v>187</v>
      </c>
      <c r="ET218" s="2" t="s">
        <v>188</v>
      </c>
      <c r="EV218" s="2" t="s">
        <v>188</v>
      </c>
      <c r="EX218" s="2" t="s">
        <v>188</v>
      </c>
      <c r="EZ218" s="2" t="s">
        <v>188</v>
      </c>
      <c r="FC218" s="2" t="s">
        <v>263</v>
      </c>
      <c r="FD218" s="2" t="s">
        <v>188</v>
      </c>
      <c r="FH218" s="2" t="s">
        <v>188</v>
      </c>
      <c r="FJ218" s="2" t="s">
        <v>188</v>
      </c>
      <c r="FK218" s="2" t="s">
        <v>188</v>
      </c>
      <c r="FN218" s="2" t="s">
        <v>488</v>
      </c>
      <c r="FR218" s="2" t="s">
        <v>1631</v>
      </c>
      <c r="FT218" s="2" t="s">
        <v>233</v>
      </c>
      <c r="FU218" s="2" t="s">
        <v>233</v>
      </c>
      <c r="FV218" s="2" t="s">
        <v>233</v>
      </c>
      <c r="FW218" s="2" t="s">
        <v>233</v>
      </c>
      <c r="FZ218" s="4">
        <v>46043.386701388888</v>
      </c>
    </row>
    <row r="219" spans="1:182">
      <c r="A219" s="2" t="s">
        <v>1632</v>
      </c>
      <c r="D219" s="4">
        <v>46296.685474537036</v>
      </c>
      <c r="E219" s="2" t="s">
        <v>177</v>
      </c>
      <c r="F219" s="2" t="s">
        <v>293</v>
      </c>
      <c r="G219" s="2" t="s">
        <v>1206</v>
      </c>
      <c r="H219" s="2" t="s">
        <v>1263</v>
      </c>
      <c r="I219" s="2" t="s">
        <v>1633</v>
      </c>
      <c r="J219" s="2">
        <v>352873870</v>
      </c>
      <c r="K219" s="2" t="s">
        <v>1633</v>
      </c>
      <c r="L219" s="2" t="s">
        <v>182</v>
      </c>
      <c r="M219" s="2" t="s">
        <v>183</v>
      </c>
      <c r="N219" s="2">
        <v>1963</v>
      </c>
      <c r="O219" s="2" t="s">
        <v>224</v>
      </c>
      <c r="P219" s="2" t="s">
        <v>185</v>
      </c>
      <c r="Q219" s="2" t="s">
        <v>186</v>
      </c>
      <c r="R219" s="2" t="s">
        <v>188</v>
      </c>
      <c r="S219" s="2">
        <v>2000</v>
      </c>
      <c r="T219" s="2" t="s">
        <v>188</v>
      </c>
      <c r="U219" s="2" t="s">
        <v>188</v>
      </c>
      <c r="Y219" s="2">
        <v>600</v>
      </c>
      <c r="Z219" s="2">
        <v>1</v>
      </c>
      <c r="AA219" s="2">
        <v>600</v>
      </c>
      <c r="AB219" s="2">
        <v>580</v>
      </c>
      <c r="AC219" s="2">
        <v>420</v>
      </c>
      <c r="AD219" s="2">
        <v>500</v>
      </c>
      <c r="AE219" s="2">
        <v>80</v>
      </c>
      <c r="AF219" s="2" t="s">
        <v>188</v>
      </c>
      <c r="AG219" s="2" t="s">
        <v>187</v>
      </c>
      <c r="AH219" s="2" t="s">
        <v>187</v>
      </c>
      <c r="AI219" s="2" t="s">
        <v>1460</v>
      </c>
      <c r="AJ219" s="2" t="s">
        <v>188</v>
      </c>
      <c r="AK219" s="2" t="s">
        <v>187</v>
      </c>
      <c r="AL219" s="2" t="s">
        <v>188</v>
      </c>
      <c r="AM219" s="2" t="s">
        <v>187</v>
      </c>
      <c r="AN219" s="2" t="s">
        <v>188</v>
      </c>
      <c r="AO219" s="2" t="s">
        <v>188</v>
      </c>
      <c r="AR219" s="2">
        <v>1.5</v>
      </c>
      <c r="AS219" s="2">
        <v>1</v>
      </c>
      <c r="AT219" s="2">
        <v>5</v>
      </c>
      <c r="AU219" s="2" t="s">
        <v>189</v>
      </c>
      <c r="AV219" s="2" t="s">
        <v>189</v>
      </c>
      <c r="AW219" s="2" t="s">
        <v>188</v>
      </c>
      <c r="AZ219" s="2" t="s">
        <v>357</v>
      </c>
      <c r="BB219" s="2" t="s">
        <v>260</v>
      </c>
      <c r="BC219" s="2" t="s">
        <v>192</v>
      </c>
      <c r="BD219" s="2" t="s">
        <v>188</v>
      </c>
      <c r="BE219" s="2" t="s">
        <v>188</v>
      </c>
      <c r="BL219" s="2" t="s">
        <v>197</v>
      </c>
      <c r="BM219" s="2" t="s">
        <v>198</v>
      </c>
      <c r="BN219" s="2" t="s">
        <v>199</v>
      </c>
      <c r="BO219" s="2" t="s">
        <v>188</v>
      </c>
      <c r="BQ219" s="2" t="s">
        <v>227</v>
      </c>
      <c r="BS219" s="2" t="s">
        <v>187</v>
      </c>
      <c r="BT219" s="2" t="s">
        <v>261</v>
      </c>
      <c r="BV219" s="2" t="s">
        <v>1308</v>
      </c>
      <c r="BX219" s="2" t="s">
        <v>187</v>
      </c>
      <c r="BY219" s="2" t="s">
        <v>310</v>
      </c>
      <c r="BZ219" s="2" t="s">
        <v>203</v>
      </c>
      <c r="CE219" s="2">
        <v>5</v>
      </c>
      <c r="CF219" s="2">
        <v>490</v>
      </c>
      <c r="CK219" s="2">
        <v>100</v>
      </c>
      <c r="CO219" s="2">
        <v>100</v>
      </c>
      <c r="CR219" s="2" t="s">
        <v>204</v>
      </c>
      <c r="CT219" s="2" t="s">
        <v>188</v>
      </c>
      <c r="CU219" s="2" t="s">
        <v>205</v>
      </c>
      <c r="CW219" s="2" t="s">
        <v>206</v>
      </c>
      <c r="CY219" s="2" t="s">
        <v>273</v>
      </c>
      <c r="CZ219" s="2" t="s">
        <v>273</v>
      </c>
      <c r="DA219" s="2" t="s">
        <v>208</v>
      </c>
      <c r="DB219" s="2" t="s">
        <v>301</v>
      </c>
      <c r="DC219" s="2" t="s">
        <v>208</v>
      </c>
      <c r="DD219" s="2" t="s">
        <v>301</v>
      </c>
      <c r="DE219" s="2" t="s">
        <v>208</v>
      </c>
      <c r="DF219" s="2" t="s">
        <v>207</v>
      </c>
      <c r="DG219" s="2" t="s">
        <v>208</v>
      </c>
      <c r="DH219" s="2" t="s">
        <v>208</v>
      </c>
      <c r="DI219" s="2" t="s">
        <v>208</v>
      </c>
      <c r="DL219" s="2" t="s">
        <v>187</v>
      </c>
      <c r="DM219" s="2" t="s">
        <v>187</v>
      </c>
      <c r="DN219" s="2" t="s">
        <v>187</v>
      </c>
      <c r="DO219" s="2" t="s">
        <v>187</v>
      </c>
      <c r="DP219" s="2" t="s">
        <v>209</v>
      </c>
      <c r="DQ219" s="2" t="s">
        <v>210</v>
      </c>
      <c r="DT219" s="2" t="s">
        <v>209</v>
      </c>
      <c r="DU219" s="2" t="s">
        <v>209</v>
      </c>
      <c r="DV219" s="2" t="s">
        <v>209</v>
      </c>
      <c r="DW219" s="2" t="s">
        <v>209</v>
      </c>
      <c r="DX219" s="2" t="s">
        <v>209</v>
      </c>
      <c r="DY219" s="2" t="s">
        <v>203</v>
      </c>
      <c r="DZ219" s="2" t="s">
        <v>203</v>
      </c>
      <c r="EA219" s="2" t="s">
        <v>209</v>
      </c>
      <c r="EB219" s="2" t="s">
        <v>209</v>
      </c>
      <c r="EF219" s="2" t="s">
        <v>211</v>
      </c>
      <c r="EJ219" s="2" t="s">
        <v>238</v>
      </c>
      <c r="EK219" s="2" t="s">
        <v>187</v>
      </c>
      <c r="EL219" s="2" t="s">
        <v>188</v>
      </c>
      <c r="EN219" s="2" t="s">
        <v>214</v>
      </c>
      <c r="EP219" s="2" t="s">
        <v>230</v>
      </c>
      <c r="ER219" s="2" t="s">
        <v>187</v>
      </c>
      <c r="ET219" s="2" t="s">
        <v>188</v>
      </c>
      <c r="EV219" s="2" t="s">
        <v>187</v>
      </c>
      <c r="EW219" s="2" t="s">
        <v>189</v>
      </c>
      <c r="EX219" s="2" t="s">
        <v>187</v>
      </c>
      <c r="EY219" s="2" t="s">
        <v>189</v>
      </c>
      <c r="FC219" s="2" t="s">
        <v>216</v>
      </c>
      <c r="FD219" s="2" t="s">
        <v>188</v>
      </c>
      <c r="FH219" s="2" t="s">
        <v>188</v>
      </c>
      <c r="FJ219" s="2" t="s">
        <v>187</v>
      </c>
      <c r="FK219" s="2" t="s">
        <v>209</v>
      </c>
      <c r="FL219" s="2" t="s">
        <v>319</v>
      </c>
      <c r="FN219" s="2" t="s">
        <v>304</v>
      </c>
      <c r="FT219" s="2" t="s">
        <v>219</v>
      </c>
      <c r="FU219" s="2" t="s">
        <v>233</v>
      </c>
      <c r="FV219" s="2" t="s">
        <v>233</v>
      </c>
      <c r="FW219" s="2" t="s">
        <v>233</v>
      </c>
      <c r="FZ219" s="4">
        <v>46039.73909722222</v>
      </c>
    </row>
    <row r="220" spans="1:182">
      <c r="A220" s="2" t="s">
        <v>1634</v>
      </c>
      <c r="D220" s="4">
        <v>46296.694201388891</v>
      </c>
      <c r="E220" s="2" t="s">
        <v>1635</v>
      </c>
      <c r="F220" s="2" t="s">
        <v>398</v>
      </c>
      <c r="G220" s="2" t="s">
        <v>1206</v>
      </c>
      <c r="H220" s="2" t="s">
        <v>1615</v>
      </c>
      <c r="I220" s="2" t="s">
        <v>1636</v>
      </c>
      <c r="J220" s="2">
        <v>359409615</v>
      </c>
      <c r="K220" s="2" t="s">
        <v>1353</v>
      </c>
      <c r="L220" s="2" t="s">
        <v>182</v>
      </c>
      <c r="M220" s="2" t="s">
        <v>223</v>
      </c>
      <c r="N220" s="2">
        <v>1977</v>
      </c>
      <c r="O220" s="2" t="s">
        <v>184</v>
      </c>
      <c r="P220" s="2" t="s">
        <v>225</v>
      </c>
      <c r="Q220" s="2" t="s">
        <v>603</v>
      </c>
      <c r="R220" s="2" t="s">
        <v>188</v>
      </c>
      <c r="S220" s="2">
        <v>30</v>
      </c>
      <c r="T220" s="2" t="s">
        <v>188</v>
      </c>
      <c r="U220" s="2" t="s">
        <v>188</v>
      </c>
      <c r="Y220" s="2">
        <v>300</v>
      </c>
      <c r="Z220" s="2">
        <v>1</v>
      </c>
      <c r="AA220" s="2">
        <v>300</v>
      </c>
      <c r="AB220" s="2">
        <v>300</v>
      </c>
      <c r="AC220" s="2">
        <v>300</v>
      </c>
      <c r="AD220" s="2">
        <v>360</v>
      </c>
      <c r="AE220" s="2">
        <v>60</v>
      </c>
      <c r="AF220" s="2" t="s">
        <v>188</v>
      </c>
      <c r="AG220" s="2" t="s">
        <v>188</v>
      </c>
      <c r="AH220" s="2" t="s">
        <v>188</v>
      </c>
      <c r="AJ220" s="2" t="s">
        <v>188</v>
      </c>
      <c r="AK220" s="2" t="s">
        <v>188</v>
      </c>
      <c r="AL220" s="2" t="s">
        <v>188</v>
      </c>
      <c r="AM220" s="2" t="s">
        <v>188</v>
      </c>
      <c r="AN220" s="2" t="s">
        <v>188</v>
      </c>
      <c r="AO220" s="2" t="s">
        <v>188</v>
      </c>
      <c r="AR220" s="2">
        <v>2.1</v>
      </c>
      <c r="AS220" s="2">
        <v>4</v>
      </c>
      <c r="AT220" s="2">
        <v>3.5</v>
      </c>
      <c r="AU220" s="2" t="s">
        <v>238</v>
      </c>
      <c r="AV220" s="2" t="s">
        <v>238</v>
      </c>
      <c r="AW220" s="2" t="s">
        <v>188</v>
      </c>
      <c r="BC220" s="2" t="s">
        <v>192</v>
      </c>
      <c r="BD220" s="2" t="s">
        <v>187</v>
      </c>
      <c r="BE220" s="2" t="s">
        <v>188</v>
      </c>
      <c r="BL220" s="2" t="s">
        <v>197</v>
      </c>
      <c r="BM220" s="2" t="s">
        <v>198</v>
      </c>
      <c r="BN220" s="2" t="s">
        <v>199</v>
      </c>
      <c r="BO220" s="2" t="s">
        <v>188</v>
      </c>
      <c r="BQ220" s="2" t="s">
        <v>200</v>
      </c>
      <c r="BS220" s="2" t="s">
        <v>187</v>
      </c>
      <c r="BT220" s="2" t="s">
        <v>521</v>
      </c>
      <c r="BV220" s="2" t="s">
        <v>287</v>
      </c>
      <c r="BX220" s="2" t="s">
        <v>188</v>
      </c>
      <c r="BY220" s="2" t="s">
        <v>696</v>
      </c>
      <c r="BZ220" s="2" t="s">
        <v>203</v>
      </c>
      <c r="CE220" s="2">
        <v>3.5</v>
      </c>
      <c r="CF220" s="2">
        <v>360</v>
      </c>
      <c r="CK220" s="2">
        <v>100</v>
      </c>
      <c r="CP220" s="2">
        <v>100</v>
      </c>
      <c r="CR220" s="2" t="s">
        <v>204</v>
      </c>
      <c r="CT220" s="2" t="s">
        <v>188</v>
      </c>
      <c r="CU220" s="2" t="s">
        <v>205</v>
      </c>
      <c r="CW220" s="2" t="s">
        <v>206</v>
      </c>
      <c r="CY220" s="2" t="s">
        <v>300</v>
      </c>
      <c r="CZ220" s="2" t="s">
        <v>300</v>
      </c>
      <c r="DA220" s="2" t="s">
        <v>300</v>
      </c>
      <c r="DB220" s="2" t="s">
        <v>300</v>
      </c>
      <c r="DC220" s="2" t="s">
        <v>300</v>
      </c>
      <c r="DD220" s="2" t="s">
        <v>300</v>
      </c>
      <c r="DE220" s="2" t="s">
        <v>300</v>
      </c>
      <c r="DF220" s="2" t="s">
        <v>300</v>
      </c>
      <c r="DG220" s="2" t="s">
        <v>300</v>
      </c>
      <c r="DH220" s="2" t="s">
        <v>300</v>
      </c>
      <c r="DI220" s="2" t="s">
        <v>300</v>
      </c>
      <c r="DL220" s="2" t="s">
        <v>188</v>
      </c>
      <c r="DM220" s="2" t="s">
        <v>188</v>
      </c>
      <c r="DP220" s="2" t="s">
        <v>203</v>
      </c>
      <c r="DT220" s="2" t="s">
        <v>203</v>
      </c>
      <c r="DU220" s="2" t="s">
        <v>203</v>
      </c>
      <c r="DV220" s="2" t="s">
        <v>203</v>
      </c>
      <c r="DW220" s="2" t="s">
        <v>203</v>
      </c>
      <c r="DX220" s="2" t="s">
        <v>203</v>
      </c>
      <c r="DY220" s="2" t="s">
        <v>203</v>
      </c>
      <c r="DZ220" s="2" t="s">
        <v>203</v>
      </c>
      <c r="EA220" s="2" t="s">
        <v>203</v>
      </c>
      <c r="EB220" s="2" t="s">
        <v>203</v>
      </c>
      <c r="EC220" s="2" t="s">
        <v>203</v>
      </c>
      <c r="EF220" s="2" t="s">
        <v>302</v>
      </c>
      <c r="EG220" s="2" t="s">
        <v>1637</v>
      </c>
      <c r="EJ220" s="2" t="s">
        <v>238</v>
      </c>
      <c r="EK220" s="2" t="s">
        <v>188</v>
      </c>
      <c r="EL220" s="2" t="s">
        <v>188</v>
      </c>
      <c r="EN220" s="2" t="s">
        <v>214</v>
      </c>
      <c r="EP220" s="2" t="s">
        <v>230</v>
      </c>
      <c r="ER220" s="2" t="s">
        <v>188</v>
      </c>
      <c r="ET220" s="2" t="s">
        <v>188</v>
      </c>
      <c r="EV220" s="2" t="s">
        <v>188</v>
      </c>
      <c r="EX220" s="2" t="s">
        <v>188</v>
      </c>
      <c r="EZ220" s="2" t="s">
        <v>188</v>
      </c>
      <c r="FC220" s="2" t="s">
        <v>216</v>
      </c>
      <c r="FD220" s="2" t="s">
        <v>188</v>
      </c>
      <c r="FH220" s="2" t="s">
        <v>188</v>
      </c>
      <c r="FJ220" s="2" t="s">
        <v>188</v>
      </c>
      <c r="FK220" s="2" t="s">
        <v>203</v>
      </c>
      <c r="FN220" s="2" t="s">
        <v>432</v>
      </c>
      <c r="FR220" s="2" t="s">
        <v>1638</v>
      </c>
      <c r="FT220" s="2" t="s">
        <v>233</v>
      </c>
      <c r="FU220" s="2" t="s">
        <v>233</v>
      </c>
      <c r="FV220" s="2" t="s">
        <v>233</v>
      </c>
      <c r="FW220" s="2" t="s">
        <v>233</v>
      </c>
      <c r="FX220" s="2" t="s">
        <v>233</v>
      </c>
      <c r="FY220" s="2" t="s">
        <v>1639</v>
      </c>
      <c r="FZ220" s="4">
        <v>46038.66269675926</v>
      </c>
    </row>
    <row r="221" spans="1:182">
      <c r="A221" s="2" t="s">
        <v>1640</v>
      </c>
      <c r="D221" s="4">
        <v>46296.691076388888</v>
      </c>
      <c r="E221" s="2" t="s">
        <v>177</v>
      </c>
      <c r="F221" s="2" t="s">
        <v>293</v>
      </c>
      <c r="G221" s="2" t="s">
        <v>1206</v>
      </c>
      <c r="H221" s="2" t="s">
        <v>1263</v>
      </c>
      <c r="I221" s="2" t="s">
        <v>1641</v>
      </c>
      <c r="J221" s="2">
        <v>975708588</v>
      </c>
      <c r="K221" s="2" t="s">
        <v>1642</v>
      </c>
      <c r="L221" s="2" t="s">
        <v>182</v>
      </c>
      <c r="M221" s="2" t="s">
        <v>223</v>
      </c>
      <c r="N221" s="2">
        <v>1993</v>
      </c>
      <c r="O221" s="2" t="s">
        <v>224</v>
      </c>
      <c r="P221" s="2" t="s">
        <v>225</v>
      </c>
      <c r="Q221" s="2" t="s">
        <v>186</v>
      </c>
      <c r="R221" s="2" t="s">
        <v>188</v>
      </c>
      <c r="S221" s="2">
        <v>2013</v>
      </c>
      <c r="T221" s="2" t="s">
        <v>188</v>
      </c>
      <c r="U221" s="2" t="s">
        <v>188</v>
      </c>
      <c r="Y221" s="2">
        <v>780</v>
      </c>
      <c r="Z221" s="2">
        <v>1</v>
      </c>
      <c r="AA221" s="2">
        <v>780</v>
      </c>
      <c r="AB221" s="2">
        <v>750</v>
      </c>
      <c r="AC221" s="2">
        <v>500</v>
      </c>
      <c r="AD221" s="2">
        <v>600</v>
      </c>
      <c r="AE221" s="2">
        <v>100</v>
      </c>
      <c r="AF221" s="2" t="s">
        <v>188</v>
      </c>
      <c r="AG221" s="2" t="s">
        <v>187</v>
      </c>
      <c r="AH221" s="2" t="s">
        <v>187</v>
      </c>
      <c r="AI221" s="2" t="s">
        <v>1545</v>
      </c>
      <c r="AJ221" s="2" t="s">
        <v>188</v>
      </c>
      <c r="AK221" s="2" t="s">
        <v>188</v>
      </c>
      <c r="AL221" s="2" t="s">
        <v>188</v>
      </c>
      <c r="AM221" s="2" t="s">
        <v>187</v>
      </c>
      <c r="AN221" s="2" t="s">
        <v>188</v>
      </c>
      <c r="AO221" s="2" t="s">
        <v>188</v>
      </c>
      <c r="AR221" s="2">
        <v>1.5</v>
      </c>
      <c r="AS221" s="2">
        <v>2</v>
      </c>
      <c r="AT221" s="2">
        <v>7.5</v>
      </c>
      <c r="AU221" s="2" t="s">
        <v>189</v>
      </c>
      <c r="AV221" s="2" t="s">
        <v>189</v>
      </c>
      <c r="AW221" s="2" t="s">
        <v>188</v>
      </c>
      <c r="AZ221" s="2" t="s">
        <v>357</v>
      </c>
      <c r="BB221" s="2" t="s">
        <v>260</v>
      </c>
      <c r="BC221" s="2" t="s">
        <v>253</v>
      </c>
      <c r="BD221" s="2" t="s">
        <v>187</v>
      </c>
      <c r="BE221" s="2" t="s">
        <v>187</v>
      </c>
      <c r="BF221" s="2" t="s">
        <v>193</v>
      </c>
      <c r="BG221" s="2" t="s">
        <v>279</v>
      </c>
      <c r="BH221" s="2" t="s">
        <v>297</v>
      </c>
      <c r="BI221" s="2" t="s">
        <v>196</v>
      </c>
      <c r="BL221" s="2" t="s">
        <v>197</v>
      </c>
      <c r="BM221" s="2" t="s">
        <v>198</v>
      </c>
      <c r="BN221" s="2" t="s">
        <v>199</v>
      </c>
      <c r="BO221" s="2" t="s">
        <v>188</v>
      </c>
      <c r="BQ221" s="2" t="s">
        <v>309</v>
      </c>
      <c r="BS221" s="2" t="s">
        <v>187</v>
      </c>
      <c r="BT221" s="2" t="s">
        <v>261</v>
      </c>
      <c r="BV221" s="2" t="s">
        <v>389</v>
      </c>
      <c r="BX221" s="2" t="s">
        <v>187</v>
      </c>
      <c r="BY221" s="2" t="s">
        <v>310</v>
      </c>
      <c r="BZ221" s="2" t="s">
        <v>203</v>
      </c>
      <c r="CE221" s="2">
        <v>7.5</v>
      </c>
      <c r="CF221" s="2">
        <v>740</v>
      </c>
      <c r="CK221" s="2">
        <v>100</v>
      </c>
      <c r="CO221" s="2">
        <v>100</v>
      </c>
      <c r="CR221" s="2" t="s">
        <v>204</v>
      </c>
      <c r="CT221" s="2" t="s">
        <v>188</v>
      </c>
      <c r="CU221" s="2" t="s">
        <v>205</v>
      </c>
      <c r="CW221" s="2" t="s">
        <v>206</v>
      </c>
      <c r="CY221" s="2" t="s">
        <v>207</v>
      </c>
      <c r="CZ221" s="2" t="s">
        <v>207</v>
      </c>
      <c r="DA221" s="2" t="s">
        <v>300</v>
      </c>
      <c r="DB221" s="2" t="s">
        <v>301</v>
      </c>
      <c r="DC221" s="2" t="s">
        <v>300</v>
      </c>
      <c r="DD221" s="2" t="s">
        <v>301</v>
      </c>
      <c r="DE221" s="2" t="s">
        <v>207</v>
      </c>
      <c r="DF221" s="2" t="s">
        <v>207</v>
      </c>
      <c r="DG221" s="2" t="s">
        <v>207</v>
      </c>
      <c r="DH221" s="2" t="s">
        <v>207</v>
      </c>
      <c r="DI221" s="2" t="s">
        <v>207</v>
      </c>
      <c r="DL221" s="2" t="s">
        <v>187</v>
      </c>
      <c r="DM221" s="2" t="s">
        <v>187</v>
      </c>
      <c r="DN221" s="2" t="s">
        <v>187</v>
      </c>
      <c r="DO221" s="2" t="s">
        <v>187</v>
      </c>
      <c r="DP221" s="2" t="s">
        <v>209</v>
      </c>
      <c r="DQ221" s="2" t="s">
        <v>210</v>
      </c>
      <c r="DT221" s="2" t="s">
        <v>209</v>
      </c>
      <c r="DU221" s="2" t="s">
        <v>209</v>
      </c>
      <c r="DV221" s="2" t="s">
        <v>209</v>
      </c>
      <c r="DW221" s="2" t="s">
        <v>209</v>
      </c>
      <c r="DX221" s="2" t="s">
        <v>209</v>
      </c>
      <c r="DY221" s="2" t="s">
        <v>203</v>
      </c>
      <c r="DZ221" s="2" t="s">
        <v>203</v>
      </c>
      <c r="EA221" s="2" t="s">
        <v>209</v>
      </c>
      <c r="EB221" s="2" t="s">
        <v>209</v>
      </c>
      <c r="EC221" s="2" t="s">
        <v>203</v>
      </c>
      <c r="EF221" s="2" t="s">
        <v>211</v>
      </c>
      <c r="EJ221" s="2" t="s">
        <v>238</v>
      </c>
      <c r="EK221" s="2" t="s">
        <v>187</v>
      </c>
      <c r="EL221" s="2" t="s">
        <v>188</v>
      </c>
      <c r="EN221" s="2" t="s">
        <v>214</v>
      </c>
      <c r="EP221" s="2" t="s">
        <v>230</v>
      </c>
      <c r="ER221" s="2" t="s">
        <v>187</v>
      </c>
      <c r="ET221" s="2" t="s">
        <v>188</v>
      </c>
      <c r="EV221" s="2" t="s">
        <v>187</v>
      </c>
      <c r="EW221" s="2" t="s">
        <v>189</v>
      </c>
      <c r="EX221" s="2" t="s">
        <v>188</v>
      </c>
      <c r="EZ221" s="2" t="s">
        <v>188</v>
      </c>
      <c r="FC221" s="2" t="s">
        <v>216</v>
      </c>
      <c r="FD221" s="2" t="s">
        <v>188</v>
      </c>
      <c r="FH221" s="2" t="s">
        <v>188</v>
      </c>
      <c r="FJ221" s="2" t="s">
        <v>187</v>
      </c>
      <c r="FK221" s="2" t="s">
        <v>209</v>
      </c>
      <c r="FL221" s="2" t="s">
        <v>319</v>
      </c>
      <c r="FN221" s="2" t="s">
        <v>354</v>
      </c>
      <c r="FT221" s="2" t="s">
        <v>219</v>
      </c>
      <c r="FU221" s="2" t="s">
        <v>233</v>
      </c>
      <c r="FV221" s="2" t="s">
        <v>233</v>
      </c>
      <c r="FW221" s="2" t="s">
        <v>233</v>
      </c>
      <c r="FZ221" s="4">
        <v>46039.765717592592</v>
      </c>
    </row>
    <row r="222" spans="1:182">
      <c r="A222" s="2" t="s">
        <v>1643</v>
      </c>
      <c r="D222" s="4">
        <v>46296.701226851852</v>
      </c>
      <c r="E222" s="2" t="s">
        <v>177</v>
      </c>
      <c r="F222" s="2" t="s">
        <v>293</v>
      </c>
      <c r="G222" s="2" t="s">
        <v>1206</v>
      </c>
      <c r="H222" s="2" t="s">
        <v>1263</v>
      </c>
      <c r="I222" s="2" t="s">
        <v>1644</v>
      </c>
      <c r="J222" s="2">
        <v>337337200</v>
      </c>
      <c r="K222" s="2" t="s">
        <v>1645</v>
      </c>
      <c r="L222" s="2" t="s">
        <v>182</v>
      </c>
      <c r="M222" s="2" t="s">
        <v>223</v>
      </c>
      <c r="N222" s="2">
        <v>1959</v>
      </c>
      <c r="O222" s="2" t="s">
        <v>224</v>
      </c>
      <c r="P222" s="2" t="s">
        <v>225</v>
      </c>
      <c r="Q222" s="2" t="s">
        <v>186</v>
      </c>
      <c r="R222" s="2" t="s">
        <v>188</v>
      </c>
      <c r="S222" s="2">
        <v>1995</v>
      </c>
      <c r="T222" s="2" t="s">
        <v>188</v>
      </c>
      <c r="U222" s="2" t="s">
        <v>188</v>
      </c>
      <c r="Y222" s="2">
        <v>400</v>
      </c>
      <c r="Z222" s="2">
        <v>1</v>
      </c>
      <c r="AA222" s="2">
        <v>400</v>
      </c>
      <c r="AB222" s="2">
        <v>400</v>
      </c>
      <c r="AC222" s="2">
        <v>205</v>
      </c>
      <c r="AD222" s="2">
        <v>250</v>
      </c>
      <c r="AE222" s="2">
        <v>45</v>
      </c>
      <c r="AF222" s="2" t="s">
        <v>188</v>
      </c>
      <c r="AG222" s="2" t="s">
        <v>187</v>
      </c>
      <c r="AH222" s="2" t="s">
        <v>187</v>
      </c>
      <c r="AI222" s="2" t="s">
        <v>1187</v>
      </c>
      <c r="AJ222" s="2" t="s">
        <v>188</v>
      </c>
      <c r="AK222" s="2" t="s">
        <v>187</v>
      </c>
      <c r="AL222" s="2" t="s">
        <v>188</v>
      </c>
      <c r="AM222" s="2" t="s">
        <v>188</v>
      </c>
      <c r="AN222" s="2" t="s">
        <v>188</v>
      </c>
      <c r="AO222" s="2" t="s">
        <v>188</v>
      </c>
      <c r="AR222" s="2">
        <v>1</v>
      </c>
      <c r="AS222" s="2">
        <v>1</v>
      </c>
      <c r="AT222" s="2">
        <v>2.5</v>
      </c>
      <c r="AU222" s="2" t="s">
        <v>238</v>
      </c>
      <c r="AV222" s="2" t="s">
        <v>238</v>
      </c>
      <c r="AW222" s="2" t="s">
        <v>188</v>
      </c>
      <c r="BC222" s="2" t="s">
        <v>253</v>
      </c>
      <c r="BD222" s="2" t="s">
        <v>188</v>
      </c>
      <c r="BE222" s="2" t="s">
        <v>188</v>
      </c>
      <c r="BL222" s="2" t="s">
        <v>197</v>
      </c>
      <c r="BM222" s="2" t="s">
        <v>198</v>
      </c>
      <c r="BN222" s="2" t="s">
        <v>199</v>
      </c>
      <c r="BO222" s="2" t="s">
        <v>188</v>
      </c>
      <c r="BQ222" s="2" t="s">
        <v>309</v>
      </c>
      <c r="BS222" s="2" t="s">
        <v>187</v>
      </c>
      <c r="BT222" s="2" t="s">
        <v>261</v>
      </c>
      <c r="BV222" s="2" t="s">
        <v>389</v>
      </c>
      <c r="BX222" s="2" t="s">
        <v>187</v>
      </c>
      <c r="BY222" s="2" t="s">
        <v>1646</v>
      </c>
      <c r="BZ222" s="2" t="s">
        <v>203</v>
      </c>
      <c r="CE222" s="2">
        <v>2.5</v>
      </c>
      <c r="CF222" s="2">
        <v>245</v>
      </c>
      <c r="CK222" s="2">
        <v>100</v>
      </c>
      <c r="CO222" s="2">
        <v>100</v>
      </c>
      <c r="CR222" s="2" t="s">
        <v>204</v>
      </c>
      <c r="CT222" s="2" t="s">
        <v>188</v>
      </c>
      <c r="CU222" s="2" t="s">
        <v>205</v>
      </c>
      <c r="CW222" s="2" t="s">
        <v>206</v>
      </c>
      <c r="CY222" s="2" t="s">
        <v>207</v>
      </c>
      <c r="CZ222" s="2" t="s">
        <v>207</v>
      </c>
      <c r="DA222" s="2" t="s">
        <v>300</v>
      </c>
      <c r="DB222" s="2" t="s">
        <v>301</v>
      </c>
      <c r="DC222" s="2" t="s">
        <v>300</v>
      </c>
      <c r="DD222" s="2" t="s">
        <v>301</v>
      </c>
      <c r="DE222" s="2" t="s">
        <v>300</v>
      </c>
      <c r="DF222" s="2" t="s">
        <v>207</v>
      </c>
      <c r="DG222" s="2" t="s">
        <v>207</v>
      </c>
      <c r="DH222" s="2" t="s">
        <v>207</v>
      </c>
      <c r="DI222" s="2" t="s">
        <v>207</v>
      </c>
      <c r="DL222" s="2" t="s">
        <v>187</v>
      </c>
      <c r="DM222" s="2" t="s">
        <v>187</v>
      </c>
      <c r="DN222" s="2" t="s">
        <v>187</v>
      </c>
      <c r="DO222" s="2" t="s">
        <v>187</v>
      </c>
      <c r="DP222" s="2" t="s">
        <v>209</v>
      </c>
      <c r="DQ222" s="2" t="s">
        <v>210</v>
      </c>
      <c r="DS222" s="2" t="s">
        <v>209</v>
      </c>
      <c r="DT222" s="2" t="s">
        <v>209</v>
      </c>
      <c r="DU222" s="2" t="s">
        <v>209</v>
      </c>
      <c r="DV222" s="2" t="s">
        <v>209</v>
      </c>
      <c r="DW222" s="2" t="s">
        <v>209</v>
      </c>
      <c r="DX222" s="2" t="s">
        <v>209</v>
      </c>
      <c r="DY222" s="2" t="s">
        <v>209</v>
      </c>
      <c r="DZ222" s="2" t="s">
        <v>203</v>
      </c>
      <c r="EA222" s="2" t="s">
        <v>209</v>
      </c>
      <c r="EB222" s="2" t="s">
        <v>209</v>
      </c>
      <c r="EC222" s="2" t="s">
        <v>203</v>
      </c>
      <c r="ED222" s="2" t="s">
        <v>203</v>
      </c>
      <c r="EF222" s="2" t="s">
        <v>211</v>
      </c>
      <c r="EJ222" s="2" t="s">
        <v>238</v>
      </c>
      <c r="EK222" s="2" t="s">
        <v>187</v>
      </c>
      <c r="EL222" s="2" t="s">
        <v>188</v>
      </c>
      <c r="EN222" s="2" t="s">
        <v>214</v>
      </c>
      <c r="EP222" s="2" t="s">
        <v>230</v>
      </c>
      <c r="ER222" s="2" t="s">
        <v>187</v>
      </c>
      <c r="ET222" s="2" t="s">
        <v>188</v>
      </c>
      <c r="EV222" s="2" t="s">
        <v>187</v>
      </c>
      <c r="EW222" s="2" t="s">
        <v>189</v>
      </c>
      <c r="EX222" s="2" t="s">
        <v>188</v>
      </c>
      <c r="EZ222" s="2" t="s">
        <v>188</v>
      </c>
      <c r="FC222" s="2" t="s">
        <v>216</v>
      </c>
      <c r="FD222" s="2" t="s">
        <v>188</v>
      </c>
      <c r="FH222" s="2" t="s">
        <v>188</v>
      </c>
      <c r="FJ222" s="2" t="s">
        <v>187</v>
      </c>
      <c r="FK222" s="2" t="s">
        <v>209</v>
      </c>
      <c r="FL222" s="2" t="s">
        <v>319</v>
      </c>
      <c r="FN222" s="2" t="s">
        <v>304</v>
      </c>
      <c r="FT222" s="2" t="s">
        <v>219</v>
      </c>
      <c r="FU222" s="2" t="s">
        <v>233</v>
      </c>
      <c r="FV222" s="2" t="s">
        <v>233</v>
      </c>
      <c r="FW222" s="2" t="s">
        <v>233</v>
      </c>
      <c r="FZ222" s="4">
        <v>46039.771365740744</v>
      </c>
    </row>
    <row r="223" spans="1:182">
      <c r="A223" s="2" t="s">
        <v>1647</v>
      </c>
      <c r="D223" s="4">
        <v>46327.375636574077</v>
      </c>
      <c r="E223" s="2" t="s">
        <v>1648</v>
      </c>
      <c r="F223" s="2" t="s">
        <v>480</v>
      </c>
      <c r="G223" s="2" t="s">
        <v>1649</v>
      </c>
      <c r="H223" s="2" t="s">
        <v>1650</v>
      </c>
      <c r="I223" s="2" t="s">
        <v>1651</v>
      </c>
      <c r="J223" s="2">
        <v>398980378</v>
      </c>
      <c r="K223" s="2" t="s">
        <v>1652</v>
      </c>
      <c r="L223" s="2" t="s">
        <v>182</v>
      </c>
      <c r="M223" s="2" t="s">
        <v>223</v>
      </c>
      <c r="N223" s="2">
        <v>1969</v>
      </c>
      <c r="O223" s="2" t="s">
        <v>224</v>
      </c>
      <c r="P223" s="2" t="s">
        <v>185</v>
      </c>
      <c r="Q223" s="2" t="s">
        <v>226</v>
      </c>
      <c r="R223" s="2" t="s">
        <v>188</v>
      </c>
      <c r="S223" s="2">
        <v>28</v>
      </c>
      <c r="T223" s="2" t="s">
        <v>188</v>
      </c>
      <c r="U223" s="2" t="s">
        <v>188</v>
      </c>
      <c r="Y223" s="2">
        <v>300</v>
      </c>
      <c r="Z223" s="2">
        <v>1</v>
      </c>
      <c r="AA223" s="2">
        <v>300</v>
      </c>
      <c r="AB223" s="2">
        <v>300</v>
      </c>
      <c r="AC223" s="2">
        <v>300</v>
      </c>
      <c r="AD223" s="2">
        <v>440</v>
      </c>
      <c r="AE223" s="2">
        <v>140</v>
      </c>
      <c r="AF223" s="2" t="s">
        <v>188</v>
      </c>
      <c r="AG223" s="2" t="s">
        <v>188</v>
      </c>
      <c r="AH223" s="2" t="s">
        <v>188</v>
      </c>
      <c r="AJ223" s="2" t="s">
        <v>188</v>
      </c>
      <c r="AK223" s="2" t="s">
        <v>188</v>
      </c>
      <c r="AL223" s="2" t="s">
        <v>188</v>
      </c>
      <c r="AM223" s="2" t="s">
        <v>188</v>
      </c>
      <c r="AN223" s="2" t="s">
        <v>188</v>
      </c>
      <c r="AO223" s="2" t="s">
        <v>188</v>
      </c>
      <c r="AR223" s="2">
        <v>1.4</v>
      </c>
      <c r="AS223" s="2">
        <v>1</v>
      </c>
      <c r="AT223" s="2">
        <v>4.5</v>
      </c>
      <c r="AU223" s="2" t="s">
        <v>238</v>
      </c>
      <c r="AV223" s="2" t="s">
        <v>238</v>
      </c>
      <c r="AW223" s="2" t="s">
        <v>188</v>
      </c>
      <c r="AZ223" s="2" t="s">
        <v>190</v>
      </c>
      <c r="BB223" s="2" t="s">
        <v>260</v>
      </c>
      <c r="BC223" s="2" t="s">
        <v>296</v>
      </c>
      <c r="BD223" s="2" t="s">
        <v>188</v>
      </c>
      <c r="BE223" s="2" t="s">
        <v>187</v>
      </c>
      <c r="BF223" s="2" t="s">
        <v>193</v>
      </c>
      <c r="BG223" s="2" t="s">
        <v>194</v>
      </c>
      <c r="BH223" s="2" t="s">
        <v>195</v>
      </c>
      <c r="BI223" s="2" t="s">
        <v>196</v>
      </c>
      <c r="BL223" s="2" t="s">
        <v>197</v>
      </c>
      <c r="BM223" s="2" t="s">
        <v>198</v>
      </c>
      <c r="BN223" s="2" t="s">
        <v>199</v>
      </c>
      <c r="BO223" s="2" t="s">
        <v>188</v>
      </c>
      <c r="BQ223" s="2" t="s">
        <v>227</v>
      </c>
      <c r="BS223" s="2" t="s">
        <v>187</v>
      </c>
      <c r="BT223" s="2" t="s">
        <v>484</v>
      </c>
      <c r="BV223" s="2" t="s">
        <v>630</v>
      </c>
      <c r="BX223" s="2" t="s">
        <v>187</v>
      </c>
      <c r="BY223" s="2" t="s">
        <v>1653</v>
      </c>
      <c r="BZ223" s="2" t="s">
        <v>209</v>
      </c>
      <c r="CA223" s="2" t="s">
        <v>1654</v>
      </c>
      <c r="CE223" s="2">
        <v>4.5</v>
      </c>
      <c r="CF223" s="2">
        <v>440</v>
      </c>
      <c r="CM223" s="2">
        <v>100</v>
      </c>
      <c r="CO223" s="2">
        <v>100</v>
      </c>
      <c r="CR223" s="2" t="s">
        <v>511</v>
      </c>
      <c r="CT223" s="2" t="s">
        <v>188</v>
      </c>
      <c r="CU223" s="2" t="s">
        <v>205</v>
      </c>
      <c r="CW223" s="2" t="s">
        <v>206</v>
      </c>
      <c r="CY223" s="2" t="s">
        <v>273</v>
      </c>
      <c r="CZ223" s="2" t="s">
        <v>273</v>
      </c>
      <c r="DA223" s="2" t="s">
        <v>300</v>
      </c>
      <c r="DB223" s="2" t="s">
        <v>300</v>
      </c>
      <c r="DC223" s="2" t="s">
        <v>300</v>
      </c>
      <c r="DD223" s="2" t="s">
        <v>300</v>
      </c>
      <c r="DE223" s="2" t="s">
        <v>300</v>
      </c>
      <c r="DF223" s="2" t="s">
        <v>273</v>
      </c>
      <c r="DG223" s="2" t="s">
        <v>273</v>
      </c>
      <c r="DH223" s="2" t="s">
        <v>273</v>
      </c>
      <c r="DI223" s="2" t="s">
        <v>273</v>
      </c>
      <c r="DL223" s="2" t="s">
        <v>187</v>
      </c>
      <c r="DM223" s="2" t="s">
        <v>187</v>
      </c>
      <c r="DN223" s="2" t="s">
        <v>187</v>
      </c>
      <c r="DO223" s="2" t="s">
        <v>187</v>
      </c>
      <c r="DP223" s="2" t="s">
        <v>209</v>
      </c>
      <c r="DQ223" s="2" t="s">
        <v>467</v>
      </c>
      <c r="DR223" s="2" t="s">
        <v>1655</v>
      </c>
      <c r="DT223" s="2" t="s">
        <v>209</v>
      </c>
      <c r="DU223" s="2" t="s">
        <v>209</v>
      </c>
      <c r="DV223" s="2" t="s">
        <v>209</v>
      </c>
      <c r="DW223" s="2" t="s">
        <v>209</v>
      </c>
      <c r="DX223" s="2" t="s">
        <v>209</v>
      </c>
      <c r="DY223" s="2" t="s">
        <v>203</v>
      </c>
      <c r="DZ223" s="2" t="s">
        <v>203</v>
      </c>
      <c r="EA223" s="2" t="s">
        <v>203</v>
      </c>
      <c r="EB223" s="2" t="s">
        <v>209</v>
      </c>
      <c r="EC223" s="2" t="s">
        <v>203</v>
      </c>
      <c r="ED223" s="2" t="s">
        <v>203</v>
      </c>
      <c r="EF223" s="2" t="s">
        <v>189</v>
      </c>
      <c r="EG223" s="2" t="s">
        <v>1656</v>
      </c>
      <c r="EJ223" s="2" t="s">
        <v>238</v>
      </c>
      <c r="EK223" s="2" t="s">
        <v>187</v>
      </c>
      <c r="EL223" s="2" t="s">
        <v>188</v>
      </c>
      <c r="EN223" s="2" t="s">
        <v>214</v>
      </c>
      <c r="EP223" s="2" t="s">
        <v>230</v>
      </c>
      <c r="ER223" s="2" t="s">
        <v>187</v>
      </c>
      <c r="ET223" s="2" t="s">
        <v>188</v>
      </c>
      <c r="EV223" s="2" t="s">
        <v>187</v>
      </c>
      <c r="EW223" s="2" t="s">
        <v>215</v>
      </c>
      <c r="EX223" s="2" t="s">
        <v>188</v>
      </c>
      <c r="EZ223" s="2" t="s">
        <v>188</v>
      </c>
      <c r="FC223" s="2" t="s">
        <v>263</v>
      </c>
      <c r="FD223" s="2" t="s">
        <v>188</v>
      </c>
      <c r="FH223" s="2" t="s">
        <v>188</v>
      </c>
      <c r="FJ223" s="2" t="s">
        <v>188</v>
      </c>
      <c r="FK223" s="2" t="s">
        <v>203</v>
      </c>
      <c r="FL223" s="2" t="s">
        <v>616</v>
      </c>
      <c r="FN223" s="2" t="s">
        <v>488</v>
      </c>
      <c r="FR223" s="2" t="s">
        <v>1657</v>
      </c>
      <c r="FT223" s="2" t="s">
        <v>233</v>
      </c>
      <c r="FU223" s="2" t="s">
        <v>233</v>
      </c>
      <c r="FV223" s="2" t="s">
        <v>233</v>
      </c>
      <c r="FW223" s="2" t="s">
        <v>233</v>
      </c>
      <c r="FX223" s="2" t="s">
        <v>233</v>
      </c>
      <c r="FZ223" s="4">
        <v>46043.397499999999</v>
      </c>
    </row>
    <row r="224" spans="1:182">
      <c r="A224" s="2" t="s">
        <v>1658</v>
      </c>
      <c r="D224" s="4">
        <v>46327.375787037039</v>
      </c>
      <c r="E224" s="2" t="s">
        <v>177</v>
      </c>
      <c r="F224" s="2" t="s">
        <v>293</v>
      </c>
      <c r="G224" s="2" t="s">
        <v>1649</v>
      </c>
      <c r="H224" s="2" t="s">
        <v>1659</v>
      </c>
      <c r="I224" s="2" t="s">
        <v>1660</v>
      </c>
      <c r="J224" s="2">
        <v>984169517</v>
      </c>
      <c r="K224" s="2" t="s">
        <v>1660</v>
      </c>
      <c r="L224" s="2" t="s">
        <v>352</v>
      </c>
      <c r="M224" s="2" t="s">
        <v>183</v>
      </c>
      <c r="N224" s="2">
        <v>1966</v>
      </c>
      <c r="O224" s="2" t="s">
        <v>224</v>
      </c>
      <c r="P224" s="2" t="s">
        <v>185</v>
      </c>
      <c r="Q224" s="2" t="s">
        <v>226</v>
      </c>
      <c r="R224" s="2" t="s">
        <v>188</v>
      </c>
      <c r="S224" s="2">
        <v>1997</v>
      </c>
      <c r="T224" s="2" t="s">
        <v>188</v>
      </c>
      <c r="U224" s="2" t="s">
        <v>188</v>
      </c>
      <c r="Y224" s="2">
        <v>1300</v>
      </c>
      <c r="Z224" s="2">
        <v>0.96150000000000002</v>
      </c>
      <c r="AA224" s="2">
        <v>1250</v>
      </c>
      <c r="AB224" s="2">
        <v>1200</v>
      </c>
      <c r="AC224" s="2">
        <v>1150</v>
      </c>
      <c r="AD224" s="2">
        <v>1300</v>
      </c>
      <c r="AE224" s="2">
        <v>150</v>
      </c>
      <c r="AF224" s="2" t="s">
        <v>188</v>
      </c>
      <c r="AG224" s="2" t="s">
        <v>187</v>
      </c>
      <c r="AH224" s="2" t="s">
        <v>187</v>
      </c>
      <c r="AI224" s="2" t="s">
        <v>1187</v>
      </c>
      <c r="AJ224" s="2" t="s">
        <v>188</v>
      </c>
      <c r="AK224" s="2" t="s">
        <v>187</v>
      </c>
      <c r="AL224" s="2" t="s">
        <v>188</v>
      </c>
      <c r="AM224" s="2" t="s">
        <v>187</v>
      </c>
      <c r="AN224" s="2" t="s">
        <v>188</v>
      </c>
      <c r="AO224" s="2" t="s">
        <v>188</v>
      </c>
      <c r="AR224" s="2">
        <v>2.2999999999999998</v>
      </c>
      <c r="AS224" s="2">
        <v>1</v>
      </c>
      <c r="AT224" s="2">
        <v>13</v>
      </c>
      <c r="AU224" s="2" t="s">
        <v>189</v>
      </c>
      <c r="AV224" s="2" t="s">
        <v>189</v>
      </c>
      <c r="AW224" s="2" t="s">
        <v>188</v>
      </c>
      <c r="AZ224" s="2" t="s">
        <v>190</v>
      </c>
      <c r="BB224" s="2" t="s">
        <v>260</v>
      </c>
      <c r="BC224" s="2" t="s">
        <v>253</v>
      </c>
      <c r="BD224" s="2" t="s">
        <v>187</v>
      </c>
      <c r="BE224" s="2" t="s">
        <v>187</v>
      </c>
      <c r="BF224" s="2" t="s">
        <v>193</v>
      </c>
      <c r="BG224" s="2" t="s">
        <v>194</v>
      </c>
      <c r="BH224" s="2" t="s">
        <v>297</v>
      </c>
      <c r="BI224" s="2" t="s">
        <v>196</v>
      </c>
      <c r="BL224" s="2" t="s">
        <v>197</v>
      </c>
      <c r="BM224" s="2" t="s">
        <v>198</v>
      </c>
      <c r="BN224" s="2" t="s">
        <v>199</v>
      </c>
      <c r="BO224" s="2" t="s">
        <v>188</v>
      </c>
      <c r="BQ224" s="2" t="s">
        <v>227</v>
      </c>
      <c r="BS224" s="2" t="s">
        <v>187</v>
      </c>
      <c r="BT224" s="2" t="s">
        <v>261</v>
      </c>
      <c r="BV224" s="2" t="s">
        <v>389</v>
      </c>
      <c r="BX224" s="2" t="s">
        <v>187</v>
      </c>
      <c r="BY224" s="2" t="s">
        <v>310</v>
      </c>
      <c r="BZ224" s="2" t="s">
        <v>203</v>
      </c>
      <c r="CE224" s="2">
        <v>13</v>
      </c>
      <c r="CF224" s="2">
        <v>1280</v>
      </c>
      <c r="CK224" s="2">
        <v>100</v>
      </c>
      <c r="CO224" s="2">
        <v>100</v>
      </c>
      <c r="CR224" s="2" t="s">
        <v>204</v>
      </c>
      <c r="CT224" s="2" t="s">
        <v>188</v>
      </c>
      <c r="CU224" s="2" t="s">
        <v>205</v>
      </c>
      <c r="CW224" s="2" t="s">
        <v>206</v>
      </c>
      <c r="CY224" s="2" t="s">
        <v>207</v>
      </c>
      <c r="CZ224" s="2" t="s">
        <v>207</v>
      </c>
      <c r="DA224" s="2" t="s">
        <v>300</v>
      </c>
      <c r="DB224" s="2" t="s">
        <v>301</v>
      </c>
      <c r="DC224" s="2" t="s">
        <v>300</v>
      </c>
      <c r="DD224" s="2" t="s">
        <v>301</v>
      </c>
      <c r="DE224" s="2" t="s">
        <v>208</v>
      </c>
      <c r="DF224" s="2" t="s">
        <v>207</v>
      </c>
      <c r="DG224" s="2" t="s">
        <v>207</v>
      </c>
      <c r="DH224" s="2" t="s">
        <v>208</v>
      </c>
      <c r="DI224" s="2" t="s">
        <v>208</v>
      </c>
      <c r="DL224" s="2" t="s">
        <v>187</v>
      </c>
      <c r="DM224" s="2" t="s">
        <v>187</v>
      </c>
      <c r="DN224" s="2" t="s">
        <v>187</v>
      </c>
      <c r="DO224" s="2" t="s">
        <v>187</v>
      </c>
      <c r="DP224" s="2" t="s">
        <v>209</v>
      </c>
      <c r="DQ224" s="2" t="s">
        <v>210</v>
      </c>
      <c r="DT224" s="2" t="s">
        <v>209</v>
      </c>
      <c r="DU224" s="2" t="s">
        <v>209</v>
      </c>
      <c r="DV224" s="2" t="s">
        <v>209</v>
      </c>
      <c r="DW224" s="2" t="s">
        <v>209</v>
      </c>
      <c r="DX224" s="2" t="s">
        <v>209</v>
      </c>
      <c r="DY224" s="2" t="s">
        <v>203</v>
      </c>
      <c r="DZ224" s="2" t="s">
        <v>203</v>
      </c>
      <c r="EA224" s="2" t="s">
        <v>209</v>
      </c>
      <c r="EB224" s="2" t="s">
        <v>209</v>
      </c>
      <c r="EF224" s="2" t="s">
        <v>211</v>
      </c>
      <c r="EJ224" s="2" t="s">
        <v>238</v>
      </c>
      <c r="EK224" s="2" t="s">
        <v>187</v>
      </c>
      <c r="EL224" s="2" t="s">
        <v>188</v>
      </c>
      <c r="EN224" s="2" t="s">
        <v>214</v>
      </c>
      <c r="EP224" s="2" t="s">
        <v>230</v>
      </c>
      <c r="ER224" s="2" t="s">
        <v>187</v>
      </c>
      <c r="ET224" s="2" t="s">
        <v>188</v>
      </c>
      <c r="EV224" s="2" t="s">
        <v>187</v>
      </c>
      <c r="EW224" s="2" t="s">
        <v>189</v>
      </c>
      <c r="EX224" s="2" t="s">
        <v>188</v>
      </c>
      <c r="FC224" s="2" t="s">
        <v>216</v>
      </c>
      <c r="FD224" s="2" t="s">
        <v>188</v>
      </c>
      <c r="FH224" s="2" t="s">
        <v>188</v>
      </c>
      <c r="FJ224" s="2" t="s">
        <v>187</v>
      </c>
      <c r="FK224" s="2" t="s">
        <v>209</v>
      </c>
      <c r="FL224" s="2" t="s">
        <v>319</v>
      </c>
      <c r="FN224" s="2" t="s">
        <v>646</v>
      </c>
      <c r="FT224" s="2" t="s">
        <v>219</v>
      </c>
      <c r="FU224" s="2" t="s">
        <v>233</v>
      </c>
      <c r="FV224" s="2" t="s">
        <v>233</v>
      </c>
      <c r="FW224" s="2" t="s">
        <v>233</v>
      </c>
      <c r="FZ224" s="4">
        <v>46039.779039351852</v>
      </c>
    </row>
    <row r="225" spans="1:182">
      <c r="A225" s="2" t="s">
        <v>1661</v>
      </c>
      <c r="D225" s="4">
        <v>46327.378379629627</v>
      </c>
      <c r="E225" s="2" t="s">
        <v>177</v>
      </c>
      <c r="F225" s="2" t="s">
        <v>293</v>
      </c>
      <c r="G225" s="2" t="s">
        <v>1649</v>
      </c>
      <c r="H225" s="2" t="s">
        <v>1659</v>
      </c>
      <c r="I225" s="2" t="s">
        <v>1662</v>
      </c>
      <c r="J225" s="2">
        <v>335694733</v>
      </c>
      <c r="K225" s="2" t="s">
        <v>1662</v>
      </c>
      <c r="L225" s="2" t="s">
        <v>182</v>
      </c>
      <c r="M225" s="2" t="s">
        <v>223</v>
      </c>
      <c r="N225" s="2">
        <v>1973</v>
      </c>
      <c r="O225" s="2" t="s">
        <v>224</v>
      </c>
      <c r="P225" s="2" t="s">
        <v>185</v>
      </c>
      <c r="Q225" s="2" t="s">
        <v>226</v>
      </c>
      <c r="R225" s="2" t="s">
        <v>188</v>
      </c>
      <c r="S225" s="2">
        <v>2006</v>
      </c>
      <c r="T225" s="2" t="s">
        <v>188</v>
      </c>
      <c r="U225" s="2" t="s">
        <v>187</v>
      </c>
      <c r="Y225" s="2">
        <v>1800</v>
      </c>
      <c r="Z225" s="2">
        <v>1</v>
      </c>
      <c r="AA225" s="2">
        <v>1800</v>
      </c>
      <c r="AB225" s="2">
        <v>1800</v>
      </c>
      <c r="AC225" s="2">
        <v>1700</v>
      </c>
      <c r="AD225" s="2">
        <v>2000</v>
      </c>
      <c r="AE225" s="2">
        <v>300</v>
      </c>
      <c r="AF225" s="2" t="s">
        <v>188</v>
      </c>
      <c r="AG225" s="2" t="s">
        <v>187</v>
      </c>
      <c r="AH225" s="2" t="s">
        <v>187</v>
      </c>
      <c r="AI225" s="2" t="s">
        <v>1187</v>
      </c>
      <c r="AJ225" s="2" t="s">
        <v>188</v>
      </c>
      <c r="AK225" s="2" t="s">
        <v>188</v>
      </c>
      <c r="AL225" s="2" t="s">
        <v>188</v>
      </c>
      <c r="AM225" s="2" t="s">
        <v>187</v>
      </c>
      <c r="AN225" s="2" t="s">
        <v>188</v>
      </c>
      <c r="AO225" s="2" t="s">
        <v>188</v>
      </c>
      <c r="AR225" s="2">
        <v>4</v>
      </c>
      <c r="AS225" s="2">
        <v>3</v>
      </c>
      <c r="AT225" s="2">
        <v>20</v>
      </c>
      <c r="AU225" s="2" t="s">
        <v>189</v>
      </c>
      <c r="AV225" s="2" t="s">
        <v>189</v>
      </c>
      <c r="AW225" s="2" t="s">
        <v>188</v>
      </c>
      <c r="AZ225" s="2" t="s">
        <v>190</v>
      </c>
      <c r="BB225" s="2" t="s">
        <v>260</v>
      </c>
      <c r="BC225" s="2" t="s">
        <v>296</v>
      </c>
      <c r="BD225" s="2" t="s">
        <v>187</v>
      </c>
      <c r="BE225" s="2" t="s">
        <v>187</v>
      </c>
      <c r="BF225" s="2" t="s">
        <v>193</v>
      </c>
      <c r="BG225" s="2" t="s">
        <v>194</v>
      </c>
      <c r="BH225" s="2" t="s">
        <v>297</v>
      </c>
      <c r="BI225" s="2" t="s">
        <v>196</v>
      </c>
      <c r="BL225" s="2" t="s">
        <v>197</v>
      </c>
      <c r="BM225" s="2" t="s">
        <v>198</v>
      </c>
      <c r="BN225" s="2" t="s">
        <v>199</v>
      </c>
      <c r="BO225" s="2" t="s">
        <v>188</v>
      </c>
      <c r="BQ225" s="2" t="s">
        <v>227</v>
      </c>
      <c r="BS225" s="2" t="s">
        <v>187</v>
      </c>
      <c r="BT225" s="2" t="s">
        <v>261</v>
      </c>
      <c r="BV225" s="2" t="s">
        <v>1308</v>
      </c>
      <c r="BX225" s="2" t="s">
        <v>187</v>
      </c>
      <c r="BY225" s="2" t="s">
        <v>310</v>
      </c>
      <c r="BZ225" s="2" t="s">
        <v>203</v>
      </c>
      <c r="CE225" s="2">
        <v>20</v>
      </c>
      <c r="CF225" s="2">
        <v>1900</v>
      </c>
      <c r="CK225" s="2">
        <v>100</v>
      </c>
      <c r="CO225" s="2">
        <v>100</v>
      </c>
      <c r="CR225" s="2" t="s">
        <v>204</v>
      </c>
      <c r="CT225" s="2" t="s">
        <v>188</v>
      </c>
      <c r="CU225" s="2" t="s">
        <v>205</v>
      </c>
      <c r="CW225" s="2" t="s">
        <v>206</v>
      </c>
      <c r="CY225" s="2" t="s">
        <v>207</v>
      </c>
      <c r="DA225" s="2" t="s">
        <v>208</v>
      </c>
      <c r="DB225" s="2" t="s">
        <v>208</v>
      </c>
      <c r="DC225" s="2" t="s">
        <v>208</v>
      </c>
      <c r="DD225" s="2" t="s">
        <v>301</v>
      </c>
      <c r="DE225" s="2" t="s">
        <v>208</v>
      </c>
      <c r="DF225" s="2" t="s">
        <v>207</v>
      </c>
      <c r="DG225" s="2" t="s">
        <v>208</v>
      </c>
      <c r="DH225" s="2" t="s">
        <v>208</v>
      </c>
      <c r="DI225" s="2" t="s">
        <v>208</v>
      </c>
      <c r="DL225" s="2" t="s">
        <v>187</v>
      </c>
      <c r="DM225" s="2" t="s">
        <v>187</v>
      </c>
      <c r="DN225" s="2" t="s">
        <v>187</v>
      </c>
      <c r="DO225" s="2" t="s">
        <v>187</v>
      </c>
      <c r="DP225" s="2" t="s">
        <v>209</v>
      </c>
      <c r="DQ225" s="2" t="s">
        <v>210</v>
      </c>
      <c r="DT225" s="2" t="s">
        <v>209</v>
      </c>
      <c r="DU225" s="2" t="s">
        <v>209</v>
      </c>
      <c r="DV225" s="2" t="s">
        <v>209</v>
      </c>
      <c r="DW225" s="2" t="s">
        <v>209</v>
      </c>
      <c r="DX225" s="2" t="s">
        <v>209</v>
      </c>
      <c r="DY225" s="2" t="s">
        <v>203</v>
      </c>
      <c r="DZ225" s="2" t="s">
        <v>203</v>
      </c>
      <c r="EA225" s="2" t="s">
        <v>209</v>
      </c>
      <c r="EB225" s="2" t="s">
        <v>209</v>
      </c>
      <c r="EC225" s="2" t="s">
        <v>203</v>
      </c>
      <c r="EF225" s="2" t="s">
        <v>211</v>
      </c>
      <c r="EJ225" s="2" t="s">
        <v>238</v>
      </c>
      <c r="EK225" s="2" t="s">
        <v>187</v>
      </c>
      <c r="EL225" s="2" t="s">
        <v>188</v>
      </c>
      <c r="EN225" s="2" t="s">
        <v>214</v>
      </c>
      <c r="EP225" s="2" t="s">
        <v>230</v>
      </c>
      <c r="ER225" s="2" t="s">
        <v>187</v>
      </c>
      <c r="ET225" s="2" t="s">
        <v>188</v>
      </c>
      <c r="EV225" s="2" t="s">
        <v>187</v>
      </c>
      <c r="EW225" s="2" t="s">
        <v>189</v>
      </c>
      <c r="EX225" s="2" t="s">
        <v>187</v>
      </c>
      <c r="EY225" s="2" t="s">
        <v>189</v>
      </c>
      <c r="EZ225" s="2" t="s">
        <v>188</v>
      </c>
      <c r="FC225" s="2" t="s">
        <v>216</v>
      </c>
      <c r="FD225" s="2" t="s">
        <v>188</v>
      </c>
      <c r="FH225" s="2" t="s">
        <v>188</v>
      </c>
      <c r="FJ225" s="2" t="s">
        <v>187</v>
      </c>
      <c r="FK225" s="2" t="s">
        <v>209</v>
      </c>
      <c r="FL225" s="2" t="s">
        <v>319</v>
      </c>
      <c r="FN225" s="2" t="s">
        <v>304</v>
      </c>
      <c r="FT225" s="2" t="s">
        <v>219</v>
      </c>
      <c r="FU225" s="2" t="s">
        <v>233</v>
      </c>
      <c r="FV225" s="2" t="s">
        <v>233</v>
      </c>
      <c r="FW225" s="2" t="s">
        <v>233</v>
      </c>
      <c r="FZ225" s="4">
        <v>46039.785474537035</v>
      </c>
    </row>
    <row r="226" spans="1:182">
      <c r="A226" s="2" t="s">
        <v>1663</v>
      </c>
      <c r="D226" s="4">
        <v>46327.381539351853</v>
      </c>
      <c r="E226" s="2" t="s">
        <v>177</v>
      </c>
      <c r="F226" s="2" t="s">
        <v>178</v>
      </c>
      <c r="G226" s="2" t="s">
        <v>1649</v>
      </c>
      <c r="H226" s="2" t="s">
        <v>1659</v>
      </c>
      <c r="I226" s="2" t="s">
        <v>1664</v>
      </c>
      <c r="J226" s="2">
        <v>342888038</v>
      </c>
      <c r="K226" s="2" t="s">
        <v>1664</v>
      </c>
      <c r="L226" s="2" t="s">
        <v>182</v>
      </c>
      <c r="M226" s="2" t="s">
        <v>223</v>
      </c>
      <c r="N226" s="2">
        <v>1977</v>
      </c>
      <c r="O226" s="2" t="s">
        <v>224</v>
      </c>
      <c r="P226" s="2" t="s">
        <v>185</v>
      </c>
      <c r="Q226" s="2" t="s">
        <v>226</v>
      </c>
      <c r="R226" s="2" t="s">
        <v>188</v>
      </c>
      <c r="S226" s="2">
        <v>29</v>
      </c>
      <c r="T226" s="2" t="s">
        <v>188</v>
      </c>
      <c r="U226" s="2" t="s">
        <v>188</v>
      </c>
      <c r="Y226" s="2">
        <v>637</v>
      </c>
      <c r="Z226" s="2">
        <v>0.87129999999999996</v>
      </c>
      <c r="AA226" s="2">
        <v>555</v>
      </c>
      <c r="AB226" s="2">
        <v>555</v>
      </c>
      <c r="AC226" s="2">
        <v>555</v>
      </c>
      <c r="AD226" s="2">
        <v>670</v>
      </c>
      <c r="AE226" s="2">
        <v>115</v>
      </c>
      <c r="AF226" s="2" t="s">
        <v>188</v>
      </c>
      <c r="AG226" s="2" t="s">
        <v>188</v>
      </c>
      <c r="AH226" s="2" t="s">
        <v>188</v>
      </c>
      <c r="AJ226" s="2" t="s">
        <v>188</v>
      </c>
      <c r="AK226" s="2" t="s">
        <v>188</v>
      </c>
      <c r="AL226" s="2" t="s">
        <v>187</v>
      </c>
      <c r="AM226" s="2" t="s">
        <v>187</v>
      </c>
      <c r="AN226" s="2" t="s">
        <v>188</v>
      </c>
      <c r="AO226" s="2" t="s">
        <v>188</v>
      </c>
      <c r="AR226" s="2">
        <v>1.55</v>
      </c>
      <c r="AS226" s="2">
        <v>2</v>
      </c>
      <c r="AT226" s="2">
        <v>6.8</v>
      </c>
      <c r="AU226" s="2" t="s">
        <v>189</v>
      </c>
      <c r="AV226" s="2" t="s">
        <v>189</v>
      </c>
      <c r="AW226" s="2" t="s">
        <v>188</v>
      </c>
      <c r="AZ226" s="2" t="s">
        <v>190</v>
      </c>
      <c r="BB226" s="2" t="s">
        <v>191</v>
      </c>
      <c r="BC226" s="2" t="s">
        <v>192</v>
      </c>
      <c r="BD226" s="2" t="s">
        <v>187</v>
      </c>
      <c r="BE226" s="2" t="s">
        <v>187</v>
      </c>
      <c r="BF226" s="2" t="s">
        <v>193</v>
      </c>
      <c r="BG226" s="2" t="s">
        <v>279</v>
      </c>
      <c r="BH226" s="2" t="s">
        <v>195</v>
      </c>
      <c r="BI226" s="2" t="s">
        <v>196</v>
      </c>
      <c r="BL226" s="2" t="s">
        <v>197</v>
      </c>
      <c r="BN226" s="2" t="s">
        <v>199</v>
      </c>
      <c r="BO226" s="2" t="s">
        <v>188</v>
      </c>
      <c r="BQ226" s="2" t="s">
        <v>200</v>
      </c>
      <c r="BS226" s="2" t="s">
        <v>187</v>
      </c>
      <c r="BT226" s="2" t="s">
        <v>261</v>
      </c>
      <c r="BV226" s="2" t="s">
        <v>248</v>
      </c>
      <c r="BX226" s="2" t="s">
        <v>188</v>
      </c>
      <c r="BZ226" s="2" t="s">
        <v>188</v>
      </c>
      <c r="CE226" s="2">
        <v>6.8</v>
      </c>
      <c r="CF226" s="2">
        <v>670</v>
      </c>
      <c r="CM226" s="2">
        <v>100</v>
      </c>
      <c r="CO226" s="2">
        <v>100</v>
      </c>
      <c r="CR226" s="2" t="s">
        <v>204</v>
      </c>
      <c r="CT226" s="2" t="s">
        <v>188</v>
      </c>
      <c r="CU226" s="2" t="s">
        <v>205</v>
      </c>
      <c r="CW226" s="2" t="s">
        <v>206</v>
      </c>
      <c r="CY226" s="2" t="s">
        <v>207</v>
      </c>
      <c r="CZ226" s="2" t="s">
        <v>207</v>
      </c>
      <c r="DA226" s="2" t="s">
        <v>208</v>
      </c>
      <c r="DB226" s="2" t="s">
        <v>208</v>
      </c>
      <c r="DC226" s="2" t="s">
        <v>208</v>
      </c>
      <c r="DD226" s="2" t="s">
        <v>208</v>
      </c>
      <c r="DE226" s="2" t="s">
        <v>208</v>
      </c>
      <c r="DF226" s="2" t="s">
        <v>208</v>
      </c>
      <c r="DG226" s="2" t="s">
        <v>208</v>
      </c>
      <c r="DH226" s="2" t="s">
        <v>208</v>
      </c>
      <c r="DI226" s="2" t="s">
        <v>208</v>
      </c>
      <c r="DL226" s="2" t="s">
        <v>187</v>
      </c>
      <c r="DM226" s="2" t="s">
        <v>187</v>
      </c>
      <c r="DN226" s="2" t="s">
        <v>187</v>
      </c>
      <c r="DO226" s="2" t="s">
        <v>187</v>
      </c>
      <c r="DP226" s="2" t="s">
        <v>209</v>
      </c>
      <c r="DQ226" s="2" t="s">
        <v>210</v>
      </c>
      <c r="DT226" s="2" t="s">
        <v>209</v>
      </c>
      <c r="DU226" s="2" t="s">
        <v>209</v>
      </c>
      <c r="DV226" s="2" t="s">
        <v>209</v>
      </c>
      <c r="DW226" s="2" t="s">
        <v>209</v>
      </c>
      <c r="DX226" s="2" t="s">
        <v>209</v>
      </c>
      <c r="DY226" s="2" t="s">
        <v>209</v>
      </c>
      <c r="DZ226" s="2" t="s">
        <v>209</v>
      </c>
      <c r="EA226" s="2" t="s">
        <v>209</v>
      </c>
      <c r="EB226" s="2" t="s">
        <v>209</v>
      </c>
      <c r="EF226" s="2" t="s">
        <v>211</v>
      </c>
      <c r="EJ226" s="2" t="s">
        <v>189</v>
      </c>
      <c r="EK226" s="2" t="s">
        <v>187</v>
      </c>
      <c r="EL226" s="2" t="s">
        <v>188</v>
      </c>
      <c r="EN226" s="2" t="s">
        <v>214</v>
      </c>
      <c r="EP226" s="2" t="s">
        <v>230</v>
      </c>
      <c r="ER226" s="2" t="s">
        <v>187</v>
      </c>
      <c r="ET226" s="2" t="s">
        <v>188</v>
      </c>
      <c r="EV226" s="2" t="s">
        <v>187</v>
      </c>
      <c r="EW226" s="2" t="s">
        <v>215</v>
      </c>
      <c r="EX226" s="2" t="s">
        <v>188</v>
      </c>
      <c r="EZ226" s="2" t="s">
        <v>188</v>
      </c>
      <c r="FC226" s="2" t="s">
        <v>216</v>
      </c>
      <c r="FD226" s="2" t="s">
        <v>188</v>
      </c>
      <c r="FH226" s="2" t="s">
        <v>188</v>
      </c>
      <c r="FJ226" s="2" t="s">
        <v>187</v>
      </c>
      <c r="FK226" s="2" t="s">
        <v>209</v>
      </c>
      <c r="FL226" s="2" t="s">
        <v>1665</v>
      </c>
      <c r="FN226" s="2" t="s">
        <v>218</v>
      </c>
      <c r="FT226" s="2" t="s">
        <v>219</v>
      </c>
      <c r="FU226" s="2" t="s">
        <v>219</v>
      </c>
      <c r="FV226" s="2" t="s">
        <v>219</v>
      </c>
      <c r="FW226" s="2" t="s">
        <v>219</v>
      </c>
      <c r="FZ226" s="4">
        <v>46040.725138888891</v>
      </c>
    </row>
    <row r="227" spans="1:182">
      <c r="A227" s="2" t="s">
        <v>1666</v>
      </c>
      <c r="D227" s="4">
        <v>46327.382997685185</v>
      </c>
      <c r="E227" s="2" t="s">
        <v>1667</v>
      </c>
      <c r="F227" s="2" t="s">
        <v>425</v>
      </c>
      <c r="G227" s="2" t="s">
        <v>1649</v>
      </c>
      <c r="H227" s="2" t="s">
        <v>1668</v>
      </c>
      <c r="I227" s="2" t="s">
        <v>1669</v>
      </c>
      <c r="J227" s="2">
        <v>984782126</v>
      </c>
      <c r="K227" s="2" t="s">
        <v>1669</v>
      </c>
      <c r="L227" s="2" t="s">
        <v>182</v>
      </c>
      <c r="M227" s="2" t="s">
        <v>183</v>
      </c>
      <c r="N227" s="2">
        <v>1986</v>
      </c>
      <c r="O227" s="2" t="s">
        <v>224</v>
      </c>
      <c r="P227" s="2" t="s">
        <v>185</v>
      </c>
      <c r="Q227" s="2" t="s">
        <v>226</v>
      </c>
      <c r="R227" s="2" t="s">
        <v>188</v>
      </c>
      <c r="S227" s="2">
        <v>30</v>
      </c>
      <c r="T227" s="2" t="s">
        <v>188</v>
      </c>
      <c r="U227" s="2" t="s">
        <v>188</v>
      </c>
      <c r="Y227" s="2">
        <v>2080</v>
      </c>
      <c r="Z227" s="2">
        <v>1</v>
      </c>
      <c r="AA227" s="2">
        <v>2080</v>
      </c>
      <c r="AB227" s="2">
        <v>2080</v>
      </c>
      <c r="AC227" s="2">
        <v>1080</v>
      </c>
      <c r="AD227" s="2">
        <v>1330</v>
      </c>
      <c r="AE227" s="2">
        <v>250</v>
      </c>
      <c r="AF227" s="2" t="s">
        <v>188</v>
      </c>
      <c r="AG227" s="2" t="s">
        <v>187</v>
      </c>
      <c r="AH227" s="2" t="s">
        <v>188</v>
      </c>
      <c r="AJ227" s="2" t="s">
        <v>188</v>
      </c>
      <c r="AK227" s="2" t="s">
        <v>188</v>
      </c>
      <c r="AL227" s="2" t="s">
        <v>188</v>
      </c>
      <c r="AM227" s="2" t="s">
        <v>188</v>
      </c>
      <c r="AN227" s="2" t="s">
        <v>188</v>
      </c>
      <c r="AO227" s="2" t="s">
        <v>188</v>
      </c>
      <c r="AR227" s="2">
        <v>3.8</v>
      </c>
      <c r="AS227" s="2">
        <v>2</v>
      </c>
      <c r="AT227" s="2">
        <v>13.3</v>
      </c>
      <c r="AZ227" s="2" t="s">
        <v>190</v>
      </c>
      <c r="BB227" s="2" t="s">
        <v>260</v>
      </c>
      <c r="BC227" s="2" t="s">
        <v>296</v>
      </c>
      <c r="BD227" s="2" t="s">
        <v>187</v>
      </c>
      <c r="BE227" s="2" t="s">
        <v>187</v>
      </c>
      <c r="BF227" s="2" t="s">
        <v>193</v>
      </c>
      <c r="BG227" s="2" t="s">
        <v>194</v>
      </c>
      <c r="BH227" s="2" t="s">
        <v>297</v>
      </c>
      <c r="BI227" s="2" t="s">
        <v>333</v>
      </c>
      <c r="BL227" s="2" t="s">
        <v>197</v>
      </c>
      <c r="BM227" s="2" t="s">
        <v>198</v>
      </c>
      <c r="BN227" s="2" t="s">
        <v>199</v>
      </c>
      <c r="BO227" s="2" t="s">
        <v>188</v>
      </c>
      <c r="BQ227" s="2" t="s">
        <v>227</v>
      </c>
      <c r="BS227" s="2" t="s">
        <v>187</v>
      </c>
      <c r="BT227" s="2" t="s">
        <v>69</v>
      </c>
      <c r="BU227" s="2" t="s">
        <v>544</v>
      </c>
      <c r="BV227" s="2" t="s">
        <v>287</v>
      </c>
      <c r="BX227" s="2" t="s">
        <v>188</v>
      </c>
      <c r="BZ227" s="2" t="s">
        <v>188</v>
      </c>
      <c r="CE227" s="2">
        <v>13.3</v>
      </c>
      <c r="CF227" s="2">
        <v>1330</v>
      </c>
      <c r="CM227" s="2">
        <v>100</v>
      </c>
      <c r="CQ227" s="2">
        <v>100</v>
      </c>
      <c r="CR227" s="2" t="s">
        <v>204</v>
      </c>
      <c r="CT227" s="2" t="s">
        <v>188</v>
      </c>
      <c r="CU227" s="2" t="s">
        <v>1670</v>
      </c>
      <c r="CW227" s="2" t="s">
        <v>206</v>
      </c>
      <c r="CY227" s="2" t="s">
        <v>207</v>
      </c>
      <c r="CZ227" s="2" t="s">
        <v>207</v>
      </c>
      <c r="DA227" s="2" t="s">
        <v>300</v>
      </c>
      <c r="DB227" s="2" t="s">
        <v>300</v>
      </c>
      <c r="DC227" s="2" t="s">
        <v>300</v>
      </c>
      <c r="DD227" s="2" t="s">
        <v>430</v>
      </c>
      <c r="DE227" s="2" t="s">
        <v>300</v>
      </c>
      <c r="DF227" s="2" t="s">
        <v>300</v>
      </c>
      <c r="DG227" s="2" t="s">
        <v>300</v>
      </c>
      <c r="DH227" s="2" t="s">
        <v>300</v>
      </c>
      <c r="DI227" s="2" t="s">
        <v>300</v>
      </c>
      <c r="DL227" s="2" t="s">
        <v>188</v>
      </c>
      <c r="DM227" s="2" t="s">
        <v>188</v>
      </c>
      <c r="DP227" s="2" t="s">
        <v>188</v>
      </c>
      <c r="DT227" s="2" t="s">
        <v>203</v>
      </c>
      <c r="DU227" s="2" t="s">
        <v>203</v>
      </c>
      <c r="DV227" s="2" t="s">
        <v>203</v>
      </c>
      <c r="DW227" s="2" t="s">
        <v>203</v>
      </c>
      <c r="DX227" s="2" t="s">
        <v>203</v>
      </c>
      <c r="DY227" s="2" t="s">
        <v>203</v>
      </c>
      <c r="DZ227" s="2" t="s">
        <v>203</v>
      </c>
      <c r="EA227" s="2" t="s">
        <v>203</v>
      </c>
      <c r="EB227" s="2" t="s">
        <v>203</v>
      </c>
      <c r="EC227" s="2" t="s">
        <v>203</v>
      </c>
      <c r="EJ227" s="2" t="s">
        <v>203</v>
      </c>
      <c r="EK227" s="2" t="s">
        <v>188</v>
      </c>
      <c r="EL227" s="2" t="s">
        <v>188</v>
      </c>
      <c r="EN227" s="2" t="s">
        <v>255</v>
      </c>
      <c r="EP227" s="2" t="s">
        <v>230</v>
      </c>
      <c r="ER227" s="2" t="s">
        <v>187</v>
      </c>
      <c r="ET227" s="2" t="s">
        <v>188</v>
      </c>
      <c r="EV227" s="2" t="s">
        <v>188</v>
      </c>
      <c r="EX227" s="2" t="s">
        <v>188</v>
      </c>
      <c r="EZ227" s="2" t="s">
        <v>188</v>
      </c>
      <c r="FC227" s="2" t="s">
        <v>395</v>
      </c>
      <c r="FD227" s="2" t="s">
        <v>188</v>
      </c>
      <c r="FH227" s="2" t="s">
        <v>188</v>
      </c>
      <c r="FJ227" s="2" t="s">
        <v>188</v>
      </c>
      <c r="FK227" s="2" t="s">
        <v>209</v>
      </c>
      <c r="FL227" s="2" t="s">
        <v>1102</v>
      </c>
      <c r="FN227" s="2" t="s">
        <v>819</v>
      </c>
      <c r="FR227" s="2" t="s">
        <v>1671</v>
      </c>
      <c r="FT227" s="2" t="s">
        <v>219</v>
      </c>
      <c r="FU227" s="2" t="s">
        <v>219</v>
      </c>
      <c r="FV227" s="2" t="s">
        <v>219</v>
      </c>
      <c r="FW227" s="2" t="s">
        <v>219</v>
      </c>
      <c r="FZ227" s="4">
        <v>46040.402719907404</v>
      </c>
    </row>
    <row r="228" spans="1:182">
      <c r="A228" s="2" t="s">
        <v>1672</v>
      </c>
      <c r="D228" s="4">
        <v>46327.385127314818</v>
      </c>
      <c r="E228" s="2" t="s">
        <v>1673</v>
      </c>
      <c r="F228" s="2" t="s">
        <v>590</v>
      </c>
      <c r="G228" s="2" t="s">
        <v>1649</v>
      </c>
      <c r="H228" s="2" t="s">
        <v>1674</v>
      </c>
      <c r="I228" s="2" t="s">
        <v>1675</v>
      </c>
      <c r="J228" s="2">
        <v>979594958</v>
      </c>
      <c r="K228" s="2" t="s">
        <v>1675</v>
      </c>
      <c r="L228" s="2" t="s">
        <v>182</v>
      </c>
      <c r="M228" s="2" t="s">
        <v>183</v>
      </c>
      <c r="N228" s="2">
        <v>1976</v>
      </c>
      <c r="O228" s="2" t="s">
        <v>224</v>
      </c>
      <c r="P228" s="2" t="s">
        <v>185</v>
      </c>
      <c r="Q228" s="2" t="s">
        <v>226</v>
      </c>
      <c r="R228" s="2" t="s">
        <v>188</v>
      </c>
      <c r="S228" s="2">
        <v>28</v>
      </c>
      <c r="T228" s="2" t="s">
        <v>188</v>
      </c>
      <c r="U228" s="2" t="s">
        <v>188</v>
      </c>
      <c r="Y228" s="2">
        <v>1190</v>
      </c>
      <c r="Z228" s="2">
        <v>1</v>
      </c>
      <c r="AA228" s="2">
        <v>1190</v>
      </c>
      <c r="AB228" s="2">
        <v>1190</v>
      </c>
      <c r="AC228" s="2">
        <v>1190</v>
      </c>
      <c r="AD228" s="2">
        <v>1300</v>
      </c>
      <c r="AE228" s="2">
        <v>110</v>
      </c>
      <c r="AF228" s="2" t="s">
        <v>188</v>
      </c>
      <c r="AG228" s="2" t="s">
        <v>188</v>
      </c>
      <c r="AH228" s="2" t="s">
        <v>188</v>
      </c>
      <c r="AJ228" s="2" t="s">
        <v>188</v>
      </c>
      <c r="AK228" s="2" t="s">
        <v>188</v>
      </c>
      <c r="AL228" s="2" t="s">
        <v>188</v>
      </c>
      <c r="AM228" s="2" t="s">
        <v>188</v>
      </c>
      <c r="AN228" s="2" t="s">
        <v>188</v>
      </c>
      <c r="AO228" s="2" t="s">
        <v>188</v>
      </c>
      <c r="AR228" s="2">
        <v>2.4</v>
      </c>
      <c r="AS228" s="2">
        <v>3</v>
      </c>
      <c r="AT228" s="2">
        <v>10.5</v>
      </c>
      <c r="AU228" s="2" t="s">
        <v>238</v>
      </c>
      <c r="AV228" s="2" t="s">
        <v>189</v>
      </c>
      <c r="AW228" s="2" t="s">
        <v>188</v>
      </c>
      <c r="AZ228" s="2" t="s">
        <v>190</v>
      </c>
      <c r="BB228" s="2" t="s">
        <v>260</v>
      </c>
      <c r="BC228" s="2" t="s">
        <v>253</v>
      </c>
      <c r="BD228" s="2" t="s">
        <v>188</v>
      </c>
      <c r="BE228" s="2" t="s">
        <v>187</v>
      </c>
      <c r="BF228" s="2" t="s">
        <v>193</v>
      </c>
      <c r="BG228" s="2" t="s">
        <v>279</v>
      </c>
      <c r="BH228" s="2" t="s">
        <v>297</v>
      </c>
      <c r="BI228" s="2" t="s">
        <v>196</v>
      </c>
      <c r="BL228" s="2" t="s">
        <v>722</v>
      </c>
      <c r="BM228" s="2" t="s">
        <v>507</v>
      </c>
      <c r="BN228" s="2" t="s">
        <v>199</v>
      </c>
      <c r="BO228" s="2" t="s">
        <v>188</v>
      </c>
      <c r="BQ228" s="2" t="s">
        <v>227</v>
      </c>
      <c r="BS228" s="2" t="s">
        <v>187</v>
      </c>
      <c r="BT228" s="2" t="s">
        <v>410</v>
      </c>
      <c r="BV228" s="2" t="s">
        <v>242</v>
      </c>
      <c r="BX228" s="2" t="s">
        <v>188</v>
      </c>
      <c r="BZ228" s="2" t="s">
        <v>209</v>
      </c>
      <c r="CA228" s="2" t="s">
        <v>1676</v>
      </c>
      <c r="CE228" s="2">
        <v>10.5</v>
      </c>
      <c r="CF228" s="2">
        <v>1300</v>
      </c>
      <c r="CM228" s="2">
        <v>100</v>
      </c>
      <c r="CO228" s="2">
        <v>100</v>
      </c>
      <c r="CR228" s="2" t="s">
        <v>204</v>
      </c>
      <c r="CT228" s="2" t="s">
        <v>188</v>
      </c>
      <c r="CU228" s="2" t="s">
        <v>205</v>
      </c>
      <c r="CW228" s="2" t="s">
        <v>206</v>
      </c>
      <c r="CY228" s="2" t="s">
        <v>207</v>
      </c>
      <c r="CZ228" s="2" t="s">
        <v>207</v>
      </c>
      <c r="DA228" s="2" t="s">
        <v>300</v>
      </c>
      <c r="DB228" s="2" t="s">
        <v>300</v>
      </c>
      <c r="DC228" s="2" t="s">
        <v>300</v>
      </c>
      <c r="DD228" s="2" t="s">
        <v>207</v>
      </c>
      <c r="DE228" s="2" t="s">
        <v>207</v>
      </c>
      <c r="DF228" s="2" t="s">
        <v>207</v>
      </c>
      <c r="DG228" s="2" t="s">
        <v>273</v>
      </c>
      <c r="DH228" s="2" t="s">
        <v>273</v>
      </c>
      <c r="DI228" s="2" t="s">
        <v>300</v>
      </c>
      <c r="DL228" s="2" t="s">
        <v>187</v>
      </c>
      <c r="DM228" s="2" t="s">
        <v>187</v>
      </c>
      <c r="DN228" s="2" t="s">
        <v>187</v>
      </c>
      <c r="DO228" s="2" t="s">
        <v>187</v>
      </c>
      <c r="DP228" s="2" t="s">
        <v>209</v>
      </c>
      <c r="DQ228" s="2" t="s">
        <v>467</v>
      </c>
      <c r="DR228" s="2" t="s">
        <v>1677</v>
      </c>
      <c r="DT228" s="2" t="s">
        <v>209</v>
      </c>
      <c r="DU228" s="2" t="s">
        <v>209</v>
      </c>
      <c r="DV228" s="2" t="s">
        <v>209</v>
      </c>
      <c r="DW228" s="2" t="s">
        <v>209</v>
      </c>
      <c r="DX228" s="2" t="s">
        <v>209</v>
      </c>
      <c r="DY228" s="2" t="s">
        <v>209</v>
      </c>
      <c r="DZ228" s="2" t="s">
        <v>209</v>
      </c>
      <c r="EA228" s="2" t="s">
        <v>209</v>
      </c>
      <c r="EB228" s="2" t="s">
        <v>209</v>
      </c>
      <c r="EC228" s="2" t="s">
        <v>209</v>
      </c>
      <c r="ED228" s="2" t="s">
        <v>209</v>
      </c>
      <c r="EF228" s="2" t="s">
        <v>211</v>
      </c>
      <c r="EG228" s="2" t="s">
        <v>1678</v>
      </c>
      <c r="EJ228" s="2" t="s">
        <v>238</v>
      </c>
      <c r="EK228" s="2" t="s">
        <v>188</v>
      </c>
      <c r="EL228" s="2" t="s">
        <v>188</v>
      </c>
      <c r="EN228" s="2" t="s">
        <v>255</v>
      </c>
      <c r="EP228" s="2" t="s">
        <v>230</v>
      </c>
      <c r="ER228" s="2" t="s">
        <v>188</v>
      </c>
      <c r="ET228" s="2" t="s">
        <v>188</v>
      </c>
      <c r="EV228" s="2" t="s">
        <v>188</v>
      </c>
      <c r="EX228" s="2" t="s">
        <v>188</v>
      </c>
      <c r="EZ228" s="2" t="s">
        <v>188</v>
      </c>
      <c r="FC228" s="2" t="s">
        <v>263</v>
      </c>
      <c r="FD228" s="2" t="s">
        <v>188</v>
      </c>
      <c r="FH228" s="2" t="s">
        <v>188</v>
      </c>
      <c r="FJ228" s="2" t="s">
        <v>188</v>
      </c>
      <c r="FK228" s="2" t="s">
        <v>188</v>
      </c>
      <c r="FN228" s="2" t="s">
        <v>769</v>
      </c>
      <c r="FR228" s="2" t="s">
        <v>461</v>
      </c>
      <c r="FT228" s="2" t="s">
        <v>219</v>
      </c>
      <c r="FU228" s="2" t="s">
        <v>219</v>
      </c>
      <c r="FV228" s="2" t="s">
        <v>219</v>
      </c>
      <c r="FW228" s="2" t="s">
        <v>219</v>
      </c>
      <c r="FZ228" s="4">
        <v>46047.608344907407</v>
      </c>
    </row>
    <row r="229" spans="1:182">
      <c r="A229" s="2" t="s">
        <v>1679</v>
      </c>
      <c r="D229" s="4">
        <v>46327.381874999999</v>
      </c>
      <c r="E229" s="2" t="s">
        <v>177</v>
      </c>
      <c r="F229" s="2" t="s">
        <v>293</v>
      </c>
      <c r="G229" s="2" t="s">
        <v>1649</v>
      </c>
      <c r="H229" s="2" t="s">
        <v>1659</v>
      </c>
      <c r="I229" s="2" t="s">
        <v>1680</v>
      </c>
      <c r="J229" s="2">
        <v>385508617</v>
      </c>
      <c r="K229" s="2" t="s">
        <v>1681</v>
      </c>
      <c r="L229" s="2" t="s">
        <v>352</v>
      </c>
      <c r="M229" s="2" t="s">
        <v>223</v>
      </c>
      <c r="N229" s="2">
        <v>1970</v>
      </c>
      <c r="O229" s="2" t="s">
        <v>224</v>
      </c>
      <c r="P229" s="2" t="s">
        <v>225</v>
      </c>
      <c r="Q229" s="2" t="s">
        <v>226</v>
      </c>
      <c r="R229" s="2" t="s">
        <v>188</v>
      </c>
      <c r="S229" s="2">
        <v>2006</v>
      </c>
      <c r="T229" s="2" t="s">
        <v>188</v>
      </c>
      <c r="U229" s="2" t="s">
        <v>188</v>
      </c>
      <c r="Y229" s="2">
        <v>670</v>
      </c>
      <c r="Z229" s="2">
        <v>1</v>
      </c>
      <c r="AA229" s="2">
        <v>670</v>
      </c>
      <c r="AB229" s="2">
        <v>650</v>
      </c>
      <c r="AC229" s="2">
        <v>530</v>
      </c>
      <c r="AD229" s="2">
        <v>600</v>
      </c>
      <c r="AE229" s="2">
        <v>70</v>
      </c>
      <c r="AF229" s="2" t="s">
        <v>188</v>
      </c>
      <c r="AG229" s="2" t="s">
        <v>187</v>
      </c>
      <c r="AH229" s="2" t="s">
        <v>187</v>
      </c>
      <c r="AI229" s="2" t="s">
        <v>1187</v>
      </c>
      <c r="AJ229" s="2" t="s">
        <v>188</v>
      </c>
      <c r="AK229" s="2" t="s">
        <v>187</v>
      </c>
      <c r="AL229" s="2" t="s">
        <v>188</v>
      </c>
      <c r="AM229" s="2" t="s">
        <v>187</v>
      </c>
      <c r="AN229" s="2" t="s">
        <v>188</v>
      </c>
      <c r="AO229" s="2" t="s">
        <v>188</v>
      </c>
      <c r="AR229" s="2">
        <v>2</v>
      </c>
      <c r="AS229" s="2">
        <v>1</v>
      </c>
      <c r="AT229" s="2">
        <v>6</v>
      </c>
      <c r="AU229" s="2" t="s">
        <v>189</v>
      </c>
      <c r="AV229" s="2" t="s">
        <v>189</v>
      </c>
      <c r="AW229" s="2" t="s">
        <v>188</v>
      </c>
      <c r="AZ229" s="2" t="s">
        <v>190</v>
      </c>
      <c r="BB229" s="2" t="s">
        <v>260</v>
      </c>
      <c r="BC229" s="2" t="s">
        <v>253</v>
      </c>
      <c r="BD229" s="2" t="s">
        <v>187</v>
      </c>
      <c r="BE229" s="2" t="s">
        <v>187</v>
      </c>
      <c r="BF229" s="2" t="s">
        <v>193</v>
      </c>
      <c r="BG229" s="2" t="s">
        <v>279</v>
      </c>
      <c r="BH229" s="2" t="s">
        <v>195</v>
      </c>
      <c r="BI229" s="2" t="s">
        <v>196</v>
      </c>
      <c r="BL229" s="2" t="s">
        <v>197</v>
      </c>
      <c r="BM229" s="2" t="s">
        <v>198</v>
      </c>
      <c r="BN229" s="2" t="s">
        <v>199</v>
      </c>
      <c r="BO229" s="2" t="s">
        <v>188</v>
      </c>
      <c r="BQ229" s="2" t="s">
        <v>309</v>
      </c>
      <c r="BS229" s="2" t="s">
        <v>187</v>
      </c>
      <c r="BT229" s="2" t="s">
        <v>201</v>
      </c>
      <c r="BV229" s="2" t="s">
        <v>389</v>
      </c>
      <c r="BX229" s="2" t="s">
        <v>187</v>
      </c>
      <c r="BY229" s="2" t="s">
        <v>310</v>
      </c>
      <c r="BZ229" s="2" t="s">
        <v>203</v>
      </c>
      <c r="CE229" s="2">
        <v>6</v>
      </c>
      <c r="CF229" s="2">
        <v>590</v>
      </c>
      <c r="CK229" s="2">
        <v>100</v>
      </c>
      <c r="CO229" s="2">
        <v>100</v>
      </c>
      <c r="CR229" s="2" t="s">
        <v>204</v>
      </c>
      <c r="CT229" s="2" t="s">
        <v>188</v>
      </c>
      <c r="CU229" s="2" t="s">
        <v>205</v>
      </c>
      <c r="CW229" s="2" t="s">
        <v>206</v>
      </c>
      <c r="CY229" s="2" t="s">
        <v>207</v>
      </c>
      <c r="CZ229" s="2" t="s">
        <v>273</v>
      </c>
      <c r="DA229" s="2" t="s">
        <v>300</v>
      </c>
      <c r="DB229" s="2" t="s">
        <v>301</v>
      </c>
      <c r="DC229" s="2" t="s">
        <v>300</v>
      </c>
      <c r="DD229" s="2" t="s">
        <v>301</v>
      </c>
      <c r="DE229" s="2" t="s">
        <v>208</v>
      </c>
      <c r="DF229" s="2" t="s">
        <v>207</v>
      </c>
      <c r="DG229" s="2" t="s">
        <v>207</v>
      </c>
      <c r="DH229" s="2" t="s">
        <v>207</v>
      </c>
      <c r="DI229" s="2" t="s">
        <v>207</v>
      </c>
      <c r="DL229" s="2" t="s">
        <v>187</v>
      </c>
      <c r="DM229" s="2" t="s">
        <v>187</v>
      </c>
      <c r="DN229" s="2" t="s">
        <v>187</v>
      </c>
      <c r="DO229" s="2" t="s">
        <v>187</v>
      </c>
      <c r="DP229" s="2" t="s">
        <v>209</v>
      </c>
      <c r="DQ229" s="2" t="s">
        <v>210</v>
      </c>
      <c r="DT229" s="2" t="s">
        <v>209</v>
      </c>
      <c r="DU229" s="2" t="s">
        <v>209</v>
      </c>
      <c r="DV229" s="2" t="s">
        <v>209</v>
      </c>
      <c r="DW229" s="2" t="s">
        <v>209</v>
      </c>
      <c r="DX229" s="2" t="s">
        <v>209</v>
      </c>
      <c r="DY229" s="2" t="s">
        <v>203</v>
      </c>
      <c r="DZ229" s="2" t="s">
        <v>203</v>
      </c>
      <c r="EA229" s="2" t="s">
        <v>209</v>
      </c>
      <c r="EB229" s="2" t="s">
        <v>209</v>
      </c>
      <c r="EC229" s="2" t="s">
        <v>203</v>
      </c>
      <c r="ED229" s="2" t="s">
        <v>203</v>
      </c>
      <c r="EF229" s="2" t="s">
        <v>211</v>
      </c>
      <c r="EJ229" s="2" t="s">
        <v>189</v>
      </c>
      <c r="EK229" s="2" t="s">
        <v>187</v>
      </c>
      <c r="EL229" s="2" t="s">
        <v>188</v>
      </c>
      <c r="EN229" s="2" t="s">
        <v>214</v>
      </c>
      <c r="EP229" s="2" t="s">
        <v>230</v>
      </c>
      <c r="ER229" s="2" t="s">
        <v>187</v>
      </c>
      <c r="ET229" s="2" t="s">
        <v>188</v>
      </c>
      <c r="EV229" s="2" t="s">
        <v>187</v>
      </c>
      <c r="EW229" s="2" t="s">
        <v>189</v>
      </c>
      <c r="EX229" s="2" t="s">
        <v>187</v>
      </c>
      <c r="EY229" s="2" t="s">
        <v>189</v>
      </c>
      <c r="EZ229" s="2" t="s">
        <v>188</v>
      </c>
      <c r="FC229" s="2" t="s">
        <v>216</v>
      </c>
      <c r="FD229" s="2" t="s">
        <v>188</v>
      </c>
      <c r="FH229" s="2" t="s">
        <v>188</v>
      </c>
      <c r="FJ229" s="2" t="s">
        <v>187</v>
      </c>
      <c r="FK229" s="2" t="s">
        <v>209</v>
      </c>
      <c r="FL229" s="2" t="s">
        <v>319</v>
      </c>
      <c r="FN229" s="2" t="s">
        <v>304</v>
      </c>
      <c r="FT229" s="2" t="s">
        <v>219</v>
      </c>
      <c r="FU229" s="2" t="s">
        <v>233</v>
      </c>
      <c r="FV229" s="2" t="s">
        <v>233</v>
      </c>
      <c r="FW229" s="2" t="s">
        <v>233</v>
      </c>
      <c r="FZ229" s="4">
        <v>46039.789722222224</v>
      </c>
    </row>
    <row r="230" spans="1:182">
      <c r="A230" s="2" t="s">
        <v>1682</v>
      </c>
      <c r="D230" s="4">
        <v>46327.392743055556</v>
      </c>
      <c r="E230" s="2" t="s">
        <v>1683</v>
      </c>
      <c r="F230" s="2" t="s">
        <v>480</v>
      </c>
      <c r="G230" s="2" t="s">
        <v>1649</v>
      </c>
      <c r="H230" s="2" t="s">
        <v>1650</v>
      </c>
      <c r="I230" s="2" t="s">
        <v>1684</v>
      </c>
      <c r="J230" s="2">
        <v>388095857</v>
      </c>
      <c r="K230" s="2" t="s">
        <v>1685</v>
      </c>
      <c r="L230" s="2" t="s">
        <v>182</v>
      </c>
      <c r="M230" s="2" t="s">
        <v>223</v>
      </c>
      <c r="N230" s="2">
        <v>1971</v>
      </c>
      <c r="O230" s="2" t="s">
        <v>224</v>
      </c>
      <c r="P230" s="2" t="s">
        <v>225</v>
      </c>
      <c r="Q230" s="2" t="s">
        <v>226</v>
      </c>
      <c r="R230" s="2" t="s">
        <v>188</v>
      </c>
      <c r="S230" s="2">
        <v>26</v>
      </c>
      <c r="T230" s="2" t="s">
        <v>188</v>
      </c>
      <c r="U230" s="2" t="s">
        <v>188</v>
      </c>
      <c r="Y230" s="2">
        <v>1649</v>
      </c>
      <c r="Z230" s="2">
        <v>1</v>
      </c>
      <c r="AA230" s="2">
        <v>1649</v>
      </c>
      <c r="AB230" s="2">
        <v>1649</v>
      </c>
      <c r="AC230" s="2">
        <v>1649</v>
      </c>
      <c r="AD230" s="2">
        <v>2149</v>
      </c>
      <c r="AE230" s="2">
        <v>500</v>
      </c>
      <c r="AF230" s="2" t="s">
        <v>188</v>
      </c>
      <c r="AG230" s="2" t="s">
        <v>188</v>
      </c>
      <c r="AH230" s="2" t="s">
        <v>188</v>
      </c>
      <c r="AJ230" s="2" t="s">
        <v>188</v>
      </c>
      <c r="AK230" s="2" t="s">
        <v>188</v>
      </c>
      <c r="AL230" s="2" t="s">
        <v>188</v>
      </c>
      <c r="AM230" s="2" t="s">
        <v>188</v>
      </c>
      <c r="AN230" s="2" t="s">
        <v>188</v>
      </c>
      <c r="AO230" s="2" t="s">
        <v>188</v>
      </c>
      <c r="AR230" s="2">
        <v>4.4000000000000004</v>
      </c>
      <c r="AS230" s="2">
        <v>4</v>
      </c>
      <c r="AT230" s="2">
        <v>22</v>
      </c>
      <c r="AU230" s="2" t="s">
        <v>238</v>
      </c>
      <c r="AV230" s="2" t="s">
        <v>238</v>
      </c>
      <c r="AW230" s="2" t="s">
        <v>188</v>
      </c>
      <c r="AZ230" s="2" t="s">
        <v>190</v>
      </c>
      <c r="BB230" s="2" t="s">
        <v>260</v>
      </c>
      <c r="BC230" s="2" t="s">
        <v>296</v>
      </c>
      <c r="BD230" s="2" t="s">
        <v>188</v>
      </c>
      <c r="BE230" s="2" t="s">
        <v>187</v>
      </c>
      <c r="BF230" s="2" t="s">
        <v>193</v>
      </c>
      <c r="BG230" s="2" t="s">
        <v>194</v>
      </c>
      <c r="BH230" s="2" t="s">
        <v>195</v>
      </c>
      <c r="BI230" s="2" t="s">
        <v>196</v>
      </c>
      <c r="BL230" s="2" t="s">
        <v>197</v>
      </c>
      <c r="BM230" s="2" t="s">
        <v>198</v>
      </c>
      <c r="BN230" s="2" t="s">
        <v>199</v>
      </c>
      <c r="BO230" s="2" t="s">
        <v>188</v>
      </c>
      <c r="BQ230" s="2" t="s">
        <v>227</v>
      </c>
      <c r="BS230" s="2" t="s">
        <v>187</v>
      </c>
      <c r="BT230" s="2" t="s">
        <v>611</v>
      </c>
      <c r="BV230" s="2" t="s">
        <v>485</v>
      </c>
      <c r="BX230" s="2" t="s">
        <v>187</v>
      </c>
      <c r="BY230" s="2" t="s">
        <v>1686</v>
      </c>
      <c r="BZ230" s="2" t="s">
        <v>209</v>
      </c>
      <c r="CA230" s="2" t="s">
        <v>1687</v>
      </c>
      <c r="CE230" s="2">
        <v>22</v>
      </c>
      <c r="CF230" s="2">
        <v>1649</v>
      </c>
      <c r="CM230" s="2">
        <v>100</v>
      </c>
      <c r="CO230" s="2">
        <v>100</v>
      </c>
      <c r="CR230" s="2" t="s">
        <v>204</v>
      </c>
      <c r="CT230" s="2" t="s">
        <v>188</v>
      </c>
      <c r="CU230" s="2" t="s">
        <v>249</v>
      </c>
      <c r="CW230" s="2" t="s">
        <v>206</v>
      </c>
      <c r="CY230" s="2" t="s">
        <v>273</v>
      </c>
      <c r="CZ230" s="2" t="s">
        <v>273</v>
      </c>
      <c r="DA230" s="2" t="s">
        <v>299</v>
      </c>
      <c r="DB230" s="2" t="s">
        <v>300</v>
      </c>
      <c r="DC230" s="2" t="s">
        <v>300</v>
      </c>
      <c r="DD230" s="2" t="s">
        <v>300</v>
      </c>
      <c r="DE230" s="2" t="s">
        <v>300</v>
      </c>
      <c r="DF230" s="2" t="s">
        <v>273</v>
      </c>
      <c r="DG230" s="2" t="s">
        <v>273</v>
      </c>
      <c r="DH230" s="2" t="s">
        <v>273</v>
      </c>
      <c r="DI230" s="2" t="s">
        <v>273</v>
      </c>
      <c r="DL230" s="2" t="s">
        <v>187</v>
      </c>
      <c r="DM230" s="2" t="s">
        <v>187</v>
      </c>
      <c r="DN230" s="2" t="s">
        <v>187</v>
      </c>
      <c r="DO230" s="2" t="s">
        <v>187</v>
      </c>
      <c r="DP230" s="2" t="s">
        <v>209</v>
      </c>
      <c r="DQ230" s="2" t="s">
        <v>467</v>
      </c>
      <c r="DR230" s="2" t="s">
        <v>1688</v>
      </c>
      <c r="DT230" s="2" t="s">
        <v>209</v>
      </c>
      <c r="DU230" s="2" t="s">
        <v>209</v>
      </c>
      <c r="DV230" s="2" t="s">
        <v>209</v>
      </c>
      <c r="DW230" s="2" t="s">
        <v>209</v>
      </c>
      <c r="DX230" s="2" t="s">
        <v>209</v>
      </c>
      <c r="DY230" s="2" t="s">
        <v>209</v>
      </c>
      <c r="DZ230" s="2" t="s">
        <v>209</v>
      </c>
      <c r="EA230" s="2" t="s">
        <v>209</v>
      </c>
      <c r="EB230" s="2" t="s">
        <v>209</v>
      </c>
      <c r="EC230" s="2" t="s">
        <v>203</v>
      </c>
      <c r="ED230" s="2" t="s">
        <v>203</v>
      </c>
      <c r="EF230" s="2" t="s">
        <v>189</v>
      </c>
      <c r="EG230" s="2" t="s">
        <v>1689</v>
      </c>
      <c r="EJ230" s="2" t="s">
        <v>238</v>
      </c>
      <c r="EK230" s="2" t="s">
        <v>187</v>
      </c>
      <c r="EL230" s="2" t="s">
        <v>188</v>
      </c>
      <c r="EN230" s="2" t="s">
        <v>214</v>
      </c>
      <c r="EP230" s="2" t="s">
        <v>230</v>
      </c>
      <c r="ER230" s="2" t="s">
        <v>187</v>
      </c>
      <c r="ET230" s="2" t="s">
        <v>188</v>
      </c>
      <c r="EV230" s="2" t="s">
        <v>188</v>
      </c>
      <c r="EX230" s="2" t="s">
        <v>188</v>
      </c>
      <c r="EZ230" s="2" t="s">
        <v>188</v>
      </c>
      <c r="FC230" s="2" t="s">
        <v>263</v>
      </c>
      <c r="FD230" s="2" t="s">
        <v>188</v>
      </c>
      <c r="FH230" s="2" t="s">
        <v>188</v>
      </c>
      <c r="FJ230" s="2" t="s">
        <v>188</v>
      </c>
      <c r="FK230" s="2" t="s">
        <v>188</v>
      </c>
      <c r="FN230" s="2" t="s">
        <v>488</v>
      </c>
      <c r="FR230" s="2" t="s">
        <v>1690</v>
      </c>
      <c r="FT230" s="2" t="s">
        <v>233</v>
      </c>
      <c r="FU230" s="2" t="s">
        <v>233</v>
      </c>
      <c r="FV230" s="2" t="s">
        <v>233</v>
      </c>
      <c r="FW230" s="2" t="s">
        <v>233</v>
      </c>
      <c r="FX230" s="2" t="s">
        <v>233</v>
      </c>
      <c r="FZ230" s="4">
        <v>46049.611354166664</v>
      </c>
    </row>
    <row r="231" spans="1:182">
      <c r="A231" s="2" t="s">
        <v>1691</v>
      </c>
      <c r="D231" s="4">
        <v>46327.382233796299</v>
      </c>
      <c r="E231" s="2" t="s">
        <v>177</v>
      </c>
      <c r="F231" s="2" t="s">
        <v>178</v>
      </c>
      <c r="G231" s="2" t="s">
        <v>1649</v>
      </c>
      <c r="H231" s="2" t="s">
        <v>1659</v>
      </c>
      <c r="I231" s="2" t="s">
        <v>1692</v>
      </c>
      <c r="J231" s="2">
        <v>988471714</v>
      </c>
      <c r="K231" s="2" t="s">
        <v>1693</v>
      </c>
      <c r="L231" s="2" t="s">
        <v>182</v>
      </c>
      <c r="M231" s="2" t="s">
        <v>183</v>
      </c>
      <c r="N231" s="2">
        <v>1974</v>
      </c>
      <c r="O231" s="2" t="s">
        <v>224</v>
      </c>
      <c r="P231" s="2" t="s">
        <v>225</v>
      </c>
      <c r="Q231" s="2" t="s">
        <v>186</v>
      </c>
      <c r="R231" s="2" t="s">
        <v>188</v>
      </c>
      <c r="S231" s="2">
        <v>28</v>
      </c>
      <c r="T231" s="2" t="s">
        <v>188</v>
      </c>
      <c r="U231" s="2" t="s">
        <v>188</v>
      </c>
      <c r="Y231" s="2">
        <v>660</v>
      </c>
      <c r="Z231" s="2">
        <v>1</v>
      </c>
      <c r="AA231" s="2">
        <v>660</v>
      </c>
      <c r="AB231" s="2">
        <v>660</v>
      </c>
      <c r="AC231" s="2">
        <v>660</v>
      </c>
      <c r="AD231" s="2">
        <v>800</v>
      </c>
      <c r="AE231" s="2">
        <v>140</v>
      </c>
      <c r="AF231" s="2" t="s">
        <v>188</v>
      </c>
      <c r="AG231" s="2" t="s">
        <v>188</v>
      </c>
      <c r="AH231" s="2" t="s">
        <v>188</v>
      </c>
      <c r="AJ231" s="2" t="s">
        <v>188</v>
      </c>
      <c r="AK231" s="2" t="s">
        <v>188</v>
      </c>
      <c r="AL231" s="2" t="s">
        <v>188</v>
      </c>
      <c r="AM231" s="2" t="s">
        <v>188</v>
      </c>
      <c r="AN231" s="2" t="s">
        <v>188</v>
      </c>
      <c r="AO231" s="2" t="s">
        <v>188</v>
      </c>
      <c r="AR231" s="2">
        <v>2</v>
      </c>
      <c r="AS231" s="2">
        <v>3</v>
      </c>
      <c r="AT231" s="2">
        <v>7.8</v>
      </c>
      <c r="AU231" s="2" t="s">
        <v>189</v>
      </c>
      <c r="AV231" s="2" t="s">
        <v>189</v>
      </c>
      <c r="AW231" s="2" t="s">
        <v>188</v>
      </c>
      <c r="AZ231" s="2" t="s">
        <v>190</v>
      </c>
      <c r="BB231" s="2" t="s">
        <v>191</v>
      </c>
      <c r="BC231" s="2" t="s">
        <v>192</v>
      </c>
      <c r="BD231" s="2" t="s">
        <v>187</v>
      </c>
      <c r="BE231" s="2" t="s">
        <v>187</v>
      </c>
      <c r="BF231" s="2" t="s">
        <v>193</v>
      </c>
      <c r="BG231" s="2" t="s">
        <v>279</v>
      </c>
      <c r="BH231" s="2" t="s">
        <v>297</v>
      </c>
      <c r="BI231" s="2" t="s">
        <v>196</v>
      </c>
      <c r="BL231" s="2" t="s">
        <v>197</v>
      </c>
      <c r="BM231" s="2" t="s">
        <v>198</v>
      </c>
      <c r="BN231" s="2" t="s">
        <v>199</v>
      </c>
      <c r="BO231" s="2" t="s">
        <v>188</v>
      </c>
      <c r="BQ231" s="2" t="s">
        <v>227</v>
      </c>
      <c r="BS231" s="2" t="s">
        <v>187</v>
      </c>
      <c r="BT231" s="2" t="s">
        <v>201</v>
      </c>
      <c r="BV231" s="2" t="s">
        <v>248</v>
      </c>
      <c r="BX231" s="2" t="s">
        <v>188</v>
      </c>
      <c r="BZ231" s="2" t="s">
        <v>188</v>
      </c>
      <c r="CE231" s="2">
        <v>7.8</v>
      </c>
      <c r="CF231" s="2">
        <v>800</v>
      </c>
      <c r="CM231" s="2">
        <v>100</v>
      </c>
      <c r="CO231" s="2">
        <v>100</v>
      </c>
      <c r="CR231" s="2" t="s">
        <v>204</v>
      </c>
      <c r="CT231" s="2" t="s">
        <v>188</v>
      </c>
      <c r="CU231" s="2" t="s">
        <v>205</v>
      </c>
      <c r="CW231" s="2" t="s">
        <v>206</v>
      </c>
      <c r="CY231" s="2" t="s">
        <v>207</v>
      </c>
      <c r="CZ231" s="2" t="s">
        <v>207</v>
      </c>
      <c r="DA231" s="2" t="s">
        <v>208</v>
      </c>
      <c r="DB231" s="2" t="s">
        <v>208</v>
      </c>
      <c r="DC231" s="2" t="s">
        <v>208</v>
      </c>
      <c r="DD231" s="2" t="s">
        <v>208</v>
      </c>
      <c r="DE231" s="2" t="s">
        <v>208</v>
      </c>
      <c r="DF231" s="2" t="s">
        <v>208</v>
      </c>
      <c r="DG231" s="2" t="s">
        <v>208</v>
      </c>
      <c r="DH231" s="2" t="s">
        <v>208</v>
      </c>
      <c r="DI231" s="2" t="s">
        <v>208</v>
      </c>
      <c r="DL231" s="2" t="s">
        <v>187</v>
      </c>
      <c r="DM231" s="2" t="s">
        <v>187</v>
      </c>
      <c r="DN231" s="2" t="s">
        <v>187</v>
      </c>
      <c r="DO231" s="2" t="s">
        <v>187</v>
      </c>
      <c r="DP231" s="2" t="s">
        <v>209</v>
      </c>
      <c r="DQ231" s="2" t="s">
        <v>210</v>
      </c>
      <c r="DT231" s="2" t="s">
        <v>209</v>
      </c>
      <c r="DU231" s="2" t="s">
        <v>209</v>
      </c>
      <c r="DV231" s="2" t="s">
        <v>209</v>
      </c>
      <c r="DW231" s="2" t="s">
        <v>209</v>
      </c>
      <c r="DX231" s="2" t="s">
        <v>209</v>
      </c>
      <c r="DY231" s="2" t="s">
        <v>209</v>
      </c>
      <c r="DZ231" s="2" t="s">
        <v>209</v>
      </c>
      <c r="EA231" s="2" t="s">
        <v>209</v>
      </c>
      <c r="EB231" s="2" t="s">
        <v>209</v>
      </c>
      <c r="EF231" s="2" t="s">
        <v>211</v>
      </c>
      <c r="EJ231" s="2" t="s">
        <v>189</v>
      </c>
      <c r="EK231" s="2" t="s">
        <v>187</v>
      </c>
      <c r="EL231" s="2" t="s">
        <v>188</v>
      </c>
      <c r="EN231" s="2" t="s">
        <v>214</v>
      </c>
      <c r="EP231" s="2" t="s">
        <v>230</v>
      </c>
      <c r="ER231" s="2" t="s">
        <v>187</v>
      </c>
      <c r="ET231" s="2" t="s">
        <v>188</v>
      </c>
      <c r="EV231" s="2" t="s">
        <v>187</v>
      </c>
      <c r="EW231" s="2" t="s">
        <v>215</v>
      </c>
      <c r="EX231" s="2" t="s">
        <v>188</v>
      </c>
      <c r="EZ231" s="2" t="s">
        <v>188</v>
      </c>
      <c r="FC231" s="2" t="s">
        <v>216</v>
      </c>
      <c r="FD231" s="2" t="s">
        <v>188</v>
      </c>
      <c r="FH231" s="2" t="s">
        <v>188</v>
      </c>
      <c r="FJ231" s="2" t="s">
        <v>187</v>
      </c>
      <c r="FK231" s="2" t="s">
        <v>209</v>
      </c>
      <c r="FL231" s="2" t="s">
        <v>1665</v>
      </c>
      <c r="FN231" s="2" t="s">
        <v>218</v>
      </c>
      <c r="FT231" s="2" t="s">
        <v>219</v>
      </c>
      <c r="FU231" s="2" t="s">
        <v>219</v>
      </c>
      <c r="FV231" s="2" t="s">
        <v>219</v>
      </c>
      <c r="FW231" s="2" t="s">
        <v>219</v>
      </c>
      <c r="FZ231" s="4">
        <v>46040.719386574077</v>
      </c>
    </row>
    <row r="232" spans="1:182">
      <c r="A232" s="2" t="s">
        <v>1694</v>
      </c>
      <c r="D232" s="4">
        <v>46327.385196759256</v>
      </c>
      <c r="E232" s="2" t="s">
        <v>1667</v>
      </c>
      <c r="F232" s="2" t="s">
        <v>425</v>
      </c>
      <c r="G232" s="2" t="s">
        <v>1649</v>
      </c>
      <c r="H232" s="2" t="s">
        <v>1668</v>
      </c>
      <c r="I232" s="2" t="s">
        <v>1695</v>
      </c>
      <c r="J232" s="2">
        <v>349165477</v>
      </c>
      <c r="K232" s="2" t="s">
        <v>1696</v>
      </c>
      <c r="L232" s="2" t="s">
        <v>182</v>
      </c>
      <c r="M232" s="2" t="s">
        <v>223</v>
      </c>
      <c r="N232" s="2">
        <v>1975</v>
      </c>
      <c r="O232" s="2" t="s">
        <v>224</v>
      </c>
      <c r="P232" s="2" t="s">
        <v>225</v>
      </c>
      <c r="Q232" s="2" t="s">
        <v>186</v>
      </c>
      <c r="R232" s="2" t="s">
        <v>188</v>
      </c>
      <c r="S232" s="2">
        <v>28</v>
      </c>
      <c r="T232" s="2" t="s">
        <v>188</v>
      </c>
      <c r="U232" s="2" t="s">
        <v>188</v>
      </c>
      <c r="Y232" s="2">
        <v>550</v>
      </c>
      <c r="Z232" s="2">
        <v>0.85450000000000004</v>
      </c>
      <c r="AA232" s="2">
        <v>470</v>
      </c>
      <c r="AB232" s="2">
        <v>470</v>
      </c>
      <c r="AC232" s="2">
        <v>470</v>
      </c>
      <c r="AD232" s="2">
        <v>540</v>
      </c>
      <c r="AE232" s="2">
        <v>70</v>
      </c>
      <c r="AF232" s="2" t="s">
        <v>188</v>
      </c>
      <c r="AG232" s="2" t="s">
        <v>188</v>
      </c>
      <c r="AH232" s="2" t="s">
        <v>188</v>
      </c>
      <c r="AJ232" s="2" t="s">
        <v>188</v>
      </c>
      <c r="AK232" s="2" t="s">
        <v>188</v>
      </c>
      <c r="AL232" s="2" t="s">
        <v>188</v>
      </c>
      <c r="AM232" s="2" t="s">
        <v>187</v>
      </c>
      <c r="AN232" s="2" t="s">
        <v>188</v>
      </c>
      <c r="AO232" s="2" t="s">
        <v>187</v>
      </c>
      <c r="AR232" s="2">
        <v>1.5</v>
      </c>
      <c r="AS232" s="2">
        <v>2</v>
      </c>
      <c r="AT232" s="2">
        <v>5.4</v>
      </c>
      <c r="AU232" s="2" t="s">
        <v>203</v>
      </c>
      <c r="AV232" s="2" t="s">
        <v>203</v>
      </c>
      <c r="AW232" s="2" t="s">
        <v>188</v>
      </c>
      <c r="AZ232" s="2" t="s">
        <v>190</v>
      </c>
      <c r="BB232" s="2" t="s">
        <v>260</v>
      </c>
      <c r="BC232" s="2" t="s">
        <v>296</v>
      </c>
      <c r="BD232" s="2" t="s">
        <v>188</v>
      </c>
      <c r="BE232" s="2" t="s">
        <v>187</v>
      </c>
      <c r="BF232" s="2" t="s">
        <v>193</v>
      </c>
      <c r="BG232" s="2" t="s">
        <v>194</v>
      </c>
      <c r="BH232" s="2" t="s">
        <v>195</v>
      </c>
      <c r="BI232" s="2" t="s">
        <v>196</v>
      </c>
      <c r="BL232" s="2" t="s">
        <v>197</v>
      </c>
      <c r="BM232" s="2" t="s">
        <v>198</v>
      </c>
      <c r="BN232" s="2" t="s">
        <v>199</v>
      </c>
      <c r="BO232" s="2" t="s">
        <v>188</v>
      </c>
      <c r="BQ232" s="2" t="s">
        <v>309</v>
      </c>
      <c r="BS232" s="2" t="s">
        <v>187</v>
      </c>
      <c r="BT232" s="2" t="s">
        <v>261</v>
      </c>
      <c r="BV232" s="2" t="s">
        <v>248</v>
      </c>
      <c r="BX232" s="2" t="s">
        <v>188</v>
      </c>
      <c r="BZ232" s="2" t="s">
        <v>203</v>
      </c>
      <c r="CE232" s="2">
        <v>5.4</v>
      </c>
      <c r="CF232" s="2">
        <v>540</v>
      </c>
      <c r="CM232" s="2">
        <v>100</v>
      </c>
      <c r="CQ232" s="2">
        <v>100</v>
      </c>
      <c r="CR232" s="2" t="s">
        <v>204</v>
      </c>
      <c r="CT232" s="2" t="s">
        <v>188</v>
      </c>
      <c r="CU232" s="2" t="s">
        <v>1670</v>
      </c>
      <c r="CW232" s="2" t="s">
        <v>206</v>
      </c>
      <c r="CY232" s="2" t="s">
        <v>207</v>
      </c>
      <c r="CZ232" s="2" t="s">
        <v>207</v>
      </c>
      <c r="DA232" s="2" t="s">
        <v>300</v>
      </c>
      <c r="DB232" s="2" t="s">
        <v>300</v>
      </c>
      <c r="DC232" s="2" t="s">
        <v>300</v>
      </c>
      <c r="DD232" s="2" t="s">
        <v>430</v>
      </c>
      <c r="DE232" s="2" t="s">
        <v>300</v>
      </c>
      <c r="DF232" s="2" t="s">
        <v>207</v>
      </c>
      <c r="DG232" s="2" t="s">
        <v>207</v>
      </c>
      <c r="DH232" s="2" t="s">
        <v>207</v>
      </c>
      <c r="DI232" s="2" t="s">
        <v>430</v>
      </c>
      <c r="DL232" s="2" t="s">
        <v>187</v>
      </c>
      <c r="DM232" s="2" t="s">
        <v>187</v>
      </c>
      <c r="DN232" s="2" t="s">
        <v>187</v>
      </c>
      <c r="DO232" s="2" t="s">
        <v>187</v>
      </c>
      <c r="DP232" s="2" t="s">
        <v>209</v>
      </c>
      <c r="DQ232" s="2" t="s">
        <v>467</v>
      </c>
      <c r="DR232" s="2" t="s">
        <v>796</v>
      </c>
      <c r="DT232" s="2" t="s">
        <v>209</v>
      </c>
      <c r="DU232" s="2" t="s">
        <v>209</v>
      </c>
      <c r="DV232" s="2" t="s">
        <v>209</v>
      </c>
      <c r="DW232" s="2" t="s">
        <v>209</v>
      </c>
      <c r="DX232" s="2" t="s">
        <v>209</v>
      </c>
      <c r="DY232" s="2" t="s">
        <v>209</v>
      </c>
      <c r="EA232" s="2" t="s">
        <v>209</v>
      </c>
      <c r="EB232" s="2" t="s">
        <v>209</v>
      </c>
      <c r="EC232" s="2" t="s">
        <v>188</v>
      </c>
      <c r="EF232" s="2" t="s">
        <v>189</v>
      </c>
      <c r="EJ232" s="2" t="s">
        <v>238</v>
      </c>
      <c r="EK232" s="2" t="s">
        <v>187</v>
      </c>
      <c r="EL232" s="2" t="s">
        <v>188</v>
      </c>
      <c r="EN232" s="2" t="s">
        <v>255</v>
      </c>
      <c r="EP232" s="2" t="s">
        <v>230</v>
      </c>
      <c r="ER232" s="2" t="s">
        <v>187</v>
      </c>
      <c r="ET232" s="2" t="s">
        <v>188</v>
      </c>
      <c r="EV232" s="2" t="s">
        <v>187</v>
      </c>
      <c r="EW232" s="2" t="s">
        <v>215</v>
      </c>
      <c r="EX232" s="2" t="s">
        <v>188</v>
      </c>
      <c r="EZ232" s="2" t="s">
        <v>188</v>
      </c>
      <c r="FC232" s="2" t="s">
        <v>395</v>
      </c>
      <c r="FD232" s="2" t="s">
        <v>188</v>
      </c>
      <c r="FH232" s="2" t="s">
        <v>188</v>
      </c>
      <c r="FJ232" s="2" t="s">
        <v>188</v>
      </c>
      <c r="FK232" s="2" t="s">
        <v>188</v>
      </c>
      <c r="FR232" s="2" t="s">
        <v>433</v>
      </c>
      <c r="FT232" s="2" t="s">
        <v>219</v>
      </c>
      <c r="FU232" s="2" t="s">
        <v>233</v>
      </c>
      <c r="FV232" s="2" t="s">
        <v>219</v>
      </c>
      <c r="FW232" s="2" t="s">
        <v>219</v>
      </c>
      <c r="FZ232" s="4">
        <v>46040.4140162037</v>
      </c>
    </row>
    <row r="233" spans="1:182">
      <c r="A233" s="2" t="s">
        <v>1697</v>
      </c>
      <c r="D233" s="4">
        <v>46327.388657407406</v>
      </c>
      <c r="E233" s="2" t="s">
        <v>177</v>
      </c>
      <c r="F233" s="2" t="s">
        <v>293</v>
      </c>
      <c r="G233" s="2" t="s">
        <v>1649</v>
      </c>
      <c r="H233" s="2" t="s">
        <v>1659</v>
      </c>
      <c r="I233" s="2" t="s">
        <v>1698</v>
      </c>
      <c r="J233" s="2">
        <v>329603763</v>
      </c>
      <c r="K233" s="2" t="s">
        <v>1698</v>
      </c>
      <c r="L233" s="2" t="s">
        <v>182</v>
      </c>
      <c r="M233" s="2" t="s">
        <v>223</v>
      </c>
      <c r="N233" s="2">
        <v>1958</v>
      </c>
      <c r="O233" s="2" t="s">
        <v>224</v>
      </c>
      <c r="P233" s="2" t="s">
        <v>185</v>
      </c>
      <c r="Q233" s="2" t="s">
        <v>186</v>
      </c>
      <c r="R233" s="2" t="s">
        <v>188</v>
      </c>
      <c r="S233" s="2">
        <v>1998</v>
      </c>
      <c r="T233" s="2" t="s">
        <v>188</v>
      </c>
      <c r="U233" s="2" t="s">
        <v>188</v>
      </c>
      <c r="Y233" s="2">
        <v>630</v>
      </c>
      <c r="Z233" s="2">
        <v>1</v>
      </c>
      <c r="AA233" s="2">
        <v>630</v>
      </c>
      <c r="AB233" s="2">
        <v>600</v>
      </c>
      <c r="AC233" s="2">
        <v>530</v>
      </c>
      <c r="AD233" s="2">
        <v>600</v>
      </c>
      <c r="AE233" s="2">
        <v>70</v>
      </c>
      <c r="AF233" s="2" t="s">
        <v>188</v>
      </c>
      <c r="AG233" s="2" t="s">
        <v>187</v>
      </c>
      <c r="AH233" s="2" t="s">
        <v>187</v>
      </c>
      <c r="AI233" s="2" t="s">
        <v>308</v>
      </c>
      <c r="AJ233" s="2" t="s">
        <v>188</v>
      </c>
      <c r="AK233" s="2" t="s">
        <v>187</v>
      </c>
      <c r="AL233" s="2" t="s">
        <v>188</v>
      </c>
      <c r="AM233" s="2" t="s">
        <v>188</v>
      </c>
      <c r="AN233" s="2" t="s">
        <v>188</v>
      </c>
      <c r="AO233" s="2" t="s">
        <v>188</v>
      </c>
      <c r="AR233" s="2">
        <v>1.5</v>
      </c>
      <c r="AS233" s="2">
        <v>1</v>
      </c>
      <c r="AT233" s="2">
        <v>6</v>
      </c>
      <c r="AU233" s="2" t="s">
        <v>189</v>
      </c>
      <c r="AV233" s="2" t="s">
        <v>189</v>
      </c>
      <c r="AW233" s="2" t="s">
        <v>187</v>
      </c>
      <c r="AZ233" s="2" t="s">
        <v>190</v>
      </c>
      <c r="BB233" s="2" t="s">
        <v>260</v>
      </c>
      <c r="BC233" s="2" t="s">
        <v>253</v>
      </c>
      <c r="BD233" s="2" t="s">
        <v>188</v>
      </c>
      <c r="BE233" s="2" t="s">
        <v>187</v>
      </c>
      <c r="BF233" s="2" t="s">
        <v>193</v>
      </c>
      <c r="BG233" s="2" t="s">
        <v>194</v>
      </c>
      <c r="BH233" s="2" t="s">
        <v>297</v>
      </c>
      <c r="BI233" s="2" t="s">
        <v>196</v>
      </c>
      <c r="BL233" s="2" t="s">
        <v>197</v>
      </c>
      <c r="BM233" s="2" t="s">
        <v>198</v>
      </c>
      <c r="BN233" s="2" t="s">
        <v>199</v>
      </c>
      <c r="BO233" s="2" t="s">
        <v>188</v>
      </c>
      <c r="BQ233" s="2" t="s">
        <v>227</v>
      </c>
      <c r="BS233" s="2" t="s">
        <v>188</v>
      </c>
      <c r="BT233" s="2" t="s">
        <v>261</v>
      </c>
      <c r="BV233" s="2" t="s">
        <v>1308</v>
      </c>
      <c r="BX233" s="2" t="s">
        <v>187</v>
      </c>
      <c r="BY233" s="2" t="s">
        <v>1699</v>
      </c>
      <c r="BZ233" s="2" t="s">
        <v>203</v>
      </c>
      <c r="CE233" s="2">
        <v>6</v>
      </c>
      <c r="CF233" s="2">
        <v>590</v>
      </c>
      <c r="CK233" s="2">
        <v>100</v>
      </c>
      <c r="CO233" s="2">
        <v>100</v>
      </c>
      <c r="CR233" s="2" t="s">
        <v>204</v>
      </c>
      <c r="CT233" s="2" t="s">
        <v>188</v>
      </c>
      <c r="CU233" s="2" t="s">
        <v>205</v>
      </c>
      <c r="CW233" s="2" t="s">
        <v>206</v>
      </c>
      <c r="CY233" s="2" t="s">
        <v>207</v>
      </c>
      <c r="CZ233" s="2" t="s">
        <v>208</v>
      </c>
      <c r="DA233" s="2" t="s">
        <v>208</v>
      </c>
      <c r="DB233" s="2" t="s">
        <v>301</v>
      </c>
      <c r="DC233" s="2" t="s">
        <v>301</v>
      </c>
      <c r="DD233" s="2" t="s">
        <v>301</v>
      </c>
      <c r="DE233" s="2" t="s">
        <v>208</v>
      </c>
      <c r="DF233" s="2" t="s">
        <v>207</v>
      </c>
      <c r="DG233" s="2" t="s">
        <v>208</v>
      </c>
      <c r="DH233" s="2" t="s">
        <v>208</v>
      </c>
      <c r="DI233" s="2" t="s">
        <v>208</v>
      </c>
      <c r="DL233" s="2" t="s">
        <v>187</v>
      </c>
      <c r="DM233" s="2" t="s">
        <v>187</v>
      </c>
      <c r="DN233" s="2" t="s">
        <v>187</v>
      </c>
      <c r="DO233" s="2" t="s">
        <v>187</v>
      </c>
      <c r="DP233" s="2" t="s">
        <v>209</v>
      </c>
      <c r="DQ233" s="2" t="s">
        <v>210</v>
      </c>
      <c r="DT233" s="2" t="s">
        <v>209</v>
      </c>
      <c r="DU233" s="2" t="s">
        <v>209</v>
      </c>
      <c r="DV233" s="2" t="s">
        <v>209</v>
      </c>
      <c r="DW233" s="2" t="s">
        <v>209</v>
      </c>
      <c r="DX233" s="2" t="s">
        <v>209</v>
      </c>
      <c r="DY233" s="2" t="s">
        <v>209</v>
      </c>
      <c r="DZ233" s="2" t="s">
        <v>203</v>
      </c>
      <c r="EA233" s="2" t="s">
        <v>203</v>
      </c>
      <c r="EB233" s="2" t="s">
        <v>209</v>
      </c>
      <c r="EC233" s="2" t="s">
        <v>203</v>
      </c>
      <c r="EF233" s="2" t="s">
        <v>211</v>
      </c>
      <c r="EJ233" s="2" t="s">
        <v>238</v>
      </c>
      <c r="EK233" s="2" t="s">
        <v>187</v>
      </c>
      <c r="EL233" s="2" t="s">
        <v>188</v>
      </c>
      <c r="EN233" s="2" t="s">
        <v>214</v>
      </c>
      <c r="EP233" s="2" t="s">
        <v>230</v>
      </c>
      <c r="ER233" s="2" t="s">
        <v>187</v>
      </c>
      <c r="ET233" s="2" t="s">
        <v>188</v>
      </c>
      <c r="EV233" s="2" t="s">
        <v>188</v>
      </c>
      <c r="EX233" s="2" t="s">
        <v>188</v>
      </c>
      <c r="FC233" s="2" t="s">
        <v>216</v>
      </c>
      <c r="FD233" s="2" t="s">
        <v>188</v>
      </c>
      <c r="FH233" s="2" t="s">
        <v>188</v>
      </c>
      <c r="FJ233" s="2" t="s">
        <v>187</v>
      </c>
      <c r="FK233" s="2" t="s">
        <v>209</v>
      </c>
      <c r="FL233" s="2" t="s">
        <v>319</v>
      </c>
      <c r="FN233" s="2" t="s">
        <v>304</v>
      </c>
      <c r="FT233" s="2" t="s">
        <v>219</v>
      </c>
      <c r="FU233" s="2" t="s">
        <v>233</v>
      </c>
      <c r="FV233" s="2" t="s">
        <v>233</v>
      </c>
      <c r="FW233" s="2" t="s">
        <v>233</v>
      </c>
      <c r="FZ233" s="4">
        <v>46039.794791666667</v>
      </c>
    </row>
    <row r="234" spans="1:182">
      <c r="A234" s="2" t="s">
        <v>1700</v>
      </c>
      <c r="D234" s="4">
        <v>46327.38621527778</v>
      </c>
      <c r="E234" s="2" t="s">
        <v>1701</v>
      </c>
      <c r="F234" s="2" t="s">
        <v>590</v>
      </c>
      <c r="G234" s="2" t="s">
        <v>1649</v>
      </c>
      <c r="H234" s="2" t="s">
        <v>1659</v>
      </c>
      <c r="I234" s="2" t="s">
        <v>1702</v>
      </c>
      <c r="J234" s="2">
        <v>395680767</v>
      </c>
      <c r="K234" s="2" t="s">
        <v>1702</v>
      </c>
      <c r="L234" s="2" t="s">
        <v>182</v>
      </c>
      <c r="M234" s="2" t="s">
        <v>223</v>
      </c>
      <c r="N234" s="2">
        <v>1978</v>
      </c>
      <c r="O234" s="2" t="s">
        <v>224</v>
      </c>
      <c r="P234" s="2" t="s">
        <v>185</v>
      </c>
      <c r="Q234" s="2" t="s">
        <v>186</v>
      </c>
      <c r="R234" s="2" t="s">
        <v>188</v>
      </c>
      <c r="S234" s="2">
        <v>28</v>
      </c>
      <c r="T234" s="2" t="s">
        <v>188</v>
      </c>
      <c r="U234" s="2" t="s">
        <v>188</v>
      </c>
      <c r="Y234" s="2">
        <v>480</v>
      </c>
      <c r="Z234" s="2">
        <v>1</v>
      </c>
      <c r="AA234" s="2">
        <v>480</v>
      </c>
      <c r="AB234" s="2">
        <v>480</v>
      </c>
      <c r="AC234" s="2">
        <v>480</v>
      </c>
      <c r="AD234" s="2">
        <v>650</v>
      </c>
      <c r="AE234" s="2">
        <v>170</v>
      </c>
      <c r="AF234" s="2" t="s">
        <v>188</v>
      </c>
      <c r="AG234" s="2" t="s">
        <v>188</v>
      </c>
      <c r="AH234" s="2" t="s">
        <v>188</v>
      </c>
      <c r="AJ234" s="2" t="s">
        <v>188</v>
      </c>
      <c r="AK234" s="2" t="s">
        <v>188</v>
      </c>
      <c r="AL234" s="2" t="s">
        <v>188</v>
      </c>
      <c r="AM234" s="2" t="s">
        <v>188</v>
      </c>
      <c r="AN234" s="2" t="s">
        <v>188</v>
      </c>
      <c r="AO234" s="2" t="s">
        <v>188</v>
      </c>
      <c r="AR234" s="2">
        <v>1.7</v>
      </c>
      <c r="AS234" s="2">
        <v>1</v>
      </c>
      <c r="AT234" s="2">
        <v>5.5</v>
      </c>
      <c r="AU234" s="2" t="s">
        <v>203</v>
      </c>
      <c r="AV234" s="2" t="s">
        <v>238</v>
      </c>
      <c r="AW234" s="2" t="s">
        <v>188</v>
      </c>
      <c r="AZ234" s="2" t="s">
        <v>190</v>
      </c>
      <c r="BB234" s="2" t="s">
        <v>260</v>
      </c>
      <c r="BC234" s="2" t="s">
        <v>296</v>
      </c>
      <c r="BD234" s="2" t="s">
        <v>187</v>
      </c>
      <c r="BE234" s="2" t="s">
        <v>187</v>
      </c>
      <c r="BF234" s="2" t="s">
        <v>193</v>
      </c>
      <c r="BG234" s="2" t="s">
        <v>279</v>
      </c>
      <c r="BH234" s="2" t="s">
        <v>195</v>
      </c>
      <c r="BI234" s="2" t="s">
        <v>196</v>
      </c>
      <c r="BL234" s="2" t="s">
        <v>197</v>
      </c>
      <c r="BM234" s="2" t="s">
        <v>507</v>
      </c>
      <c r="BN234" s="2" t="s">
        <v>199</v>
      </c>
      <c r="BO234" s="2" t="s">
        <v>188</v>
      </c>
      <c r="BQ234" s="2" t="s">
        <v>227</v>
      </c>
      <c r="BS234" s="2" t="s">
        <v>187</v>
      </c>
      <c r="BT234" s="2" t="s">
        <v>1703</v>
      </c>
      <c r="BV234" s="2" t="s">
        <v>1628</v>
      </c>
      <c r="BX234" s="2" t="s">
        <v>188</v>
      </c>
      <c r="BZ234" s="2" t="s">
        <v>209</v>
      </c>
      <c r="CA234" s="2" t="s">
        <v>1704</v>
      </c>
      <c r="CE234" s="2">
        <v>5.5</v>
      </c>
      <c r="CF234" s="2">
        <v>650</v>
      </c>
      <c r="CK234" s="2">
        <v>50</v>
      </c>
      <c r="CM234" s="2">
        <v>50</v>
      </c>
      <c r="CO234" s="2">
        <v>100</v>
      </c>
      <c r="CR234" s="2" t="s">
        <v>204</v>
      </c>
      <c r="CT234" s="2" t="s">
        <v>188</v>
      </c>
      <c r="CU234" s="2" t="s">
        <v>281</v>
      </c>
      <c r="CW234" s="2" t="s">
        <v>206</v>
      </c>
      <c r="CY234" s="2" t="s">
        <v>207</v>
      </c>
      <c r="CZ234" s="2" t="s">
        <v>207</v>
      </c>
      <c r="DA234" s="2" t="s">
        <v>300</v>
      </c>
      <c r="DB234" s="2" t="s">
        <v>300</v>
      </c>
      <c r="DC234" s="2" t="s">
        <v>430</v>
      </c>
      <c r="DD234" s="2" t="s">
        <v>430</v>
      </c>
      <c r="DE234" s="2" t="s">
        <v>207</v>
      </c>
      <c r="DF234" s="2" t="s">
        <v>207</v>
      </c>
      <c r="DG234" s="2" t="s">
        <v>207</v>
      </c>
      <c r="DH234" s="2" t="s">
        <v>207</v>
      </c>
      <c r="DI234" s="2" t="s">
        <v>207</v>
      </c>
      <c r="DL234" s="2" t="s">
        <v>187</v>
      </c>
      <c r="DM234" s="2" t="s">
        <v>187</v>
      </c>
      <c r="DN234" s="2" t="s">
        <v>187</v>
      </c>
      <c r="DO234" s="2" t="s">
        <v>187</v>
      </c>
      <c r="DP234" s="2" t="s">
        <v>209</v>
      </c>
      <c r="DQ234" s="2" t="s">
        <v>467</v>
      </c>
      <c r="DR234" s="2" t="s">
        <v>1705</v>
      </c>
      <c r="DT234" s="2" t="s">
        <v>209</v>
      </c>
      <c r="DU234" s="2" t="s">
        <v>209</v>
      </c>
      <c r="DV234" s="2" t="s">
        <v>209</v>
      </c>
      <c r="DW234" s="2" t="s">
        <v>209</v>
      </c>
      <c r="DX234" s="2" t="s">
        <v>209</v>
      </c>
      <c r="DY234" s="2" t="s">
        <v>209</v>
      </c>
      <c r="DZ234" s="2" t="s">
        <v>203</v>
      </c>
      <c r="EA234" s="2" t="s">
        <v>203</v>
      </c>
      <c r="EB234" s="2" t="s">
        <v>209</v>
      </c>
      <c r="EC234" s="2" t="s">
        <v>188</v>
      </c>
      <c r="EF234" s="2" t="s">
        <v>211</v>
      </c>
      <c r="EG234" s="2" t="s">
        <v>985</v>
      </c>
      <c r="EJ234" s="2" t="s">
        <v>203</v>
      </c>
      <c r="EK234" s="2" t="s">
        <v>188</v>
      </c>
      <c r="EL234" s="2" t="s">
        <v>187</v>
      </c>
      <c r="EM234" s="2" t="s">
        <v>393</v>
      </c>
      <c r="EN234" s="2" t="s">
        <v>255</v>
      </c>
      <c r="EP234" s="2" t="s">
        <v>230</v>
      </c>
      <c r="ER234" s="2" t="s">
        <v>188</v>
      </c>
      <c r="ET234" s="2" t="s">
        <v>188</v>
      </c>
      <c r="EV234" s="2" t="s">
        <v>188</v>
      </c>
      <c r="EX234" s="2" t="s">
        <v>188</v>
      </c>
      <c r="EZ234" s="2" t="s">
        <v>188</v>
      </c>
      <c r="FC234" s="2" t="s">
        <v>263</v>
      </c>
      <c r="FD234" s="2" t="s">
        <v>188</v>
      </c>
      <c r="FH234" s="2" t="s">
        <v>188</v>
      </c>
      <c r="FJ234" s="2" t="s">
        <v>188</v>
      </c>
      <c r="FK234" s="2" t="s">
        <v>188</v>
      </c>
      <c r="FN234" s="2" t="s">
        <v>432</v>
      </c>
      <c r="FR234" s="2" t="s">
        <v>1706</v>
      </c>
      <c r="FT234" s="2" t="s">
        <v>490</v>
      </c>
      <c r="FU234" s="2" t="s">
        <v>233</v>
      </c>
      <c r="FV234" s="2" t="s">
        <v>490</v>
      </c>
      <c r="FW234" s="2" t="s">
        <v>219</v>
      </c>
      <c r="FZ234" s="4">
        <v>46047.609780092593</v>
      </c>
    </row>
    <row r="235" spans="1:182">
      <c r="A235" s="2" t="s">
        <v>1707</v>
      </c>
      <c r="D235" s="4">
        <v>46327.401192129626</v>
      </c>
      <c r="E235" s="2" t="s">
        <v>177</v>
      </c>
      <c r="F235" s="2" t="s">
        <v>293</v>
      </c>
      <c r="G235" s="2" t="s">
        <v>1649</v>
      </c>
      <c r="H235" s="2" t="s">
        <v>1659</v>
      </c>
      <c r="I235" s="2" t="s">
        <v>1708</v>
      </c>
      <c r="J235" s="2">
        <v>357405937</v>
      </c>
      <c r="K235" s="2" t="s">
        <v>1709</v>
      </c>
      <c r="L235" s="2" t="s">
        <v>182</v>
      </c>
      <c r="M235" s="2" t="s">
        <v>223</v>
      </c>
      <c r="N235" s="2">
        <v>1975</v>
      </c>
      <c r="O235" s="2" t="s">
        <v>224</v>
      </c>
      <c r="P235" s="2" t="s">
        <v>225</v>
      </c>
      <c r="Q235" s="2" t="s">
        <v>226</v>
      </c>
      <c r="R235" s="2" t="s">
        <v>188</v>
      </c>
      <c r="S235" s="2">
        <v>1998</v>
      </c>
      <c r="T235" s="2" t="s">
        <v>188</v>
      </c>
      <c r="U235" s="2" t="s">
        <v>188</v>
      </c>
      <c r="Y235" s="2">
        <v>570</v>
      </c>
      <c r="Z235" s="2">
        <v>0.96489999999999998</v>
      </c>
      <c r="AA235" s="2">
        <v>550</v>
      </c>
      <c r="AB235" s="2">
        <v>550</v>
      </c>
      <c r="AC235" s="2">
        <v>470</v>
      </c>
      <c r="AD235" s="2">
        <v>600</v>
      </c>
      <c r="AE235" s="2">
        <v>130</v>
      </c>
      <c r="AF235" s="2" t="s">
        <v>188</v>
      </c>
      <c r="AG235" s="2" t="s">
        <v>187</v>
      </c>
      <c r="AH235" s="2" t="s">
        <v>187</v>
      </c>
      <c r="AI235" s="2" t="s">
        <v>1710</v>
      </c>
      <c r="AJ235" s="2" t="s">
        <v>188</v>
      </c>
      <c r="AK235" s="2" t="s">
        <v>188</v>
      </c>
      <c r="AL235" s="2" t="s">
        <v>188</v>
      </c>
      <c r="AM235" s="2" t="s">
        <v>187</v>
      </c>
      <c r="AN235" s="2" t="s">
        <v>188</v>
      </c>
      <c r="AO235" s="2" t="s">
        <v>188</v>
      </c>
      <c r="AR235" s="2">
        <v>2.7</v>
      </c>
      <c r="AS235" s="2">
        <v>3</v>
      </c>
      <c r="AT235" s="2">
        <v>6.7</v>
      </c>
      <c r="AU235" s="2" t="s">
        <v>238</v>
      </c>
      <c r="AV235" s="2" t="s">
        <v>238</v>
      </c>
      <c r="AW235" s="2" t="s">
        <v>188</v>
      </c>
      <c r="AZ235" s="2" t="s">
        <v>190</v>
      </c>
      <c r="BB235" s="2" t="s">
        <v>260</v>
      </c>
      <c r="BC235" s="2" t="s">
        <v>296</v>
      </c>
      <c r="BD235" s="2" t="s">
        <v>187</v>
      </c>
      <c r="BE235" s="2" t="s">
        <v>187</v>
      </c>
      <c r="BF235" s="2" t="s">
        <v>193</v>
      </c>
      <c r="BG235" s="2" t="s">
        <v>194</v>
      </c>
      <c r="BH235" s="2" t="s">
        <v>297</v>
      </c>
      <c r="BI235" s="2" t="s">
        <v>196</v>
      </c>
      <c r="BL235" s="2" t="s">
        <v>197</v>
      </c>
      <c r="BM235" s="2" t="s">
        <v>198</v>
      </c>
      <c r="BN235" s="2" t="s">
        <v>199</v>
      </c>
      <c r="BO235" s="2" t="s">
        <v>188</v>
      </c>
      <c r="BQ235" s="2" t="s">
        <v>309</v>
      </c>
      <c r="BS235" s="2" t="s">
        <v>188</v>
      </c>
      <c r="BT235" s="2" t="s">
        <v>201</v>
      </c>
      <c r="BV235" s="2" t="s">
        <v>389</v>
      </c>
      <c r="BX235" s="2" t="s">
        <v>187</v>
      </c>
      <c r="BY235" s="2" t="s">
        <v>310</v>
      </c>
      <c r="BZ235" s="2" t="s">
        <v>203</v>
      </c>
      <c r="CE235" s="2">
        <v>6.7</v>
      </c>
      <c r="CF235" s="2">
        <v>650</v>
      </c>
      <c r="CK235" s="2">
        <v>100</v>
      </c>
      <c r="CO235" s="2">
        <v>100</v>
      </c>
      <c r="CR235" s="2" t="s">
        <v>204</v>
      </c>
      <c r="CT235" s="2" t="s">
        <v>188</v>
      </c>
      <c r="CU235" s="2" t="s">
        <v>205</v>
      </c>
      <c r="CW235" s="2" t="s">
        <v>206</v>
      </c>
      <c r="CY235" s="2" t="s">
        <v>207</v>
      </c>
      <c r="CZ235" s="2" t="s">
        <v>207</v>
      </c>
      <c r="DA235" s="2" t="s">
        <v>300</v>
      </c>
      <c r="DB235" s="2" t="s">
        <v>301</v>
      </c>
      <c r="DC235" s="2" t="s">
        <v>300</v>
      </c>
      <c r="DD235" s="2" t="s">
        <v>301</v>
      </c>
      <c r="DE235" s="2" t="s">
        <v>301</v>
      </c>
      <c r="DF235" s="2" t="s">
        <v>207</v>
      </c>
      <c r="DG235" s="2" t="s">
        <v>207</v>
      </c>
      <c r="DH235" s="2" t="s">
        <v>207</v>
      </c>
      <c r="DI235" s="2" t="s">
        <v>207</v>
      </c>
      <c r="DL235" s="2" t="s">
        <v>187</v>
      </c>
      <c r="DM235" s="2" t="s">
        <v>187</v>
      </c>
      <c r="DN235" s="2" t="s">
        <v>187</v>
      </c>
      <c r="DO235" s="2" t="s">
        <v>187</v>
      </c>
      <c r="DP235" s="2" t="s">
        <v>209</v>
      </c>
      <c r="DQ235" s="2" t="s">
        <v>210</v>
      </c>
      <c r="DT235" s="2" t="s">
        <v>209</v>
      </c>
      <c r="DU235" s="2" t="s">
        <v>209</v>
      </c>
      <c r="DV235" s="2" t="s">
        <v>209</v>
      </c>
      <c r="DW235" s="2" t="s">
        <v>209</v>
      </c>
      <c r="DX235" s="2" t="s">
        <v>209</v>
      </c>
      <c r="DY235" s="2" t="s">
        <v>209</v>
      </c>
      <c r="DZ235" s="2" t="s">
        <v>203</v>
      </c>
      <c r="EA235" s="2" t="s">
        <v>203</v>
      </c>
      <c r="EB235" s="2" t="s">
        <v>209</v>
      </c>
      <c r="EC235" s="2" t="s">
        <v>203</v>
      </c>
      <c r="EF235" s="2" t="s">
        <v>211</v>
      </c>
      <c r="EJ235" s="2" t="s">
        <v>189</v>
      </c>
      <c r="EK235" s="2" t="s">
        <v>187</v>
      </c>
      <c r="EL235" s="2" t="s">
        <v>188</v>
      </c>
      <c r="EN235" s="2" t="s">
        <v>214</v>
      </c>
      <c r="EP235" s="2" t="s">
        <v>230</v>
      </c>
      <c r="ER235" s="2" t="s">
        <v>187</v>
      </c>
      <c r="ET235" s="2" t="s">
        <v>188</v>
      </c>
      <c r="EV235" s="2" t="s">
        <v>188</v>
      </c>
      <c r="EX235" s="2" t="s">
        <v>187</v>
      </c>
      <c r="EY235" s="2" t="s">
        <v>189</v>
      </c>
      <c r="FC235" s="2" t="s">
        <v>216</v>
      </c>
      <c r="FD235" s="2" t="s">
        <v>188</v>
      </c>
      <c r="FH235" s="2" t="s">
        <v>188</v>
      </c>
      <c r="FJ235" s="2" t="s">
        <v>187</v>
      </c>
      <c r="FK235" s="2" t="s">
        <v>209</v>
      </c>
      <c r="FL235" s="2" t="s">
        <v>319</v>
      </c>
      <c r="FN235" s="2" t="s">
        <v>354</v>
      </c>
      <c r="FT235" s="2" t="s">
        <v>219</v>
      </c>
      <c r="FU235" s="2" t="s">
        <v>233</v>
      </c>
      <c r="FV235" s="2" t="s">
        <v>233</v>
      </c>
      <c r="FW235" s="2" t="s">
        <v>233</v>
      </c>
      <c r="FZ235" s="4">
        <v>46039.802395833336</v>
      </c>
    </row>
    <row r="236" spans="1:182">
      <c r="A236" s="2" t="s">
        <v>1711</v>
      </c>
      <c r="D236" s="4">
        <v>46327.404502314814</v>
      </c>
      <c r="E236" s="2" t="s">
        <v>1712</v>
      </c>
      <c r="F236" s="2" t="s">
        <v>480</v>
      </c>
      <c r="G236" s="2" t="s">
        <v>1649</v>
      </c>
      <c r="H236" s="2" t="s">
        <v>1650</v>
      </c>
      <c r="I236" s="2" t="s">
        <v>1713</v>
      </c>
      <c r="J236" s="2">
        <v>975487102</v>
      </c>
      <c r="K236" s="2" t="s">
        <v>1714</v>
      </c>
      <c r="L236" s="2" t="s">
        <v>182</v>
      </c>
      <c r="M236" s="2" t="s">
        <v>223</v>
      </c>
      <c r="N236" s="2">
        <v>1978</v>
      </c>
      <c r="O236" s="2" t="s">
        <v>224</v>
      </c>
      <c r="P236" s="2" t="s">
        <v>225</v>
      </c>
      <c r="Q236" s="2" t="s">
        <v>226</v>
      </c>
      <c r="R236" s="2" t="s">
        <v>188</v>
      </c>
      <c r="S236" s="2">
        <v>20</v>
      </c>
      <c r="T236" s="2" t="s">
        <v>188</v>
      </c>
      <c r="U236" s="2" t="s">
        <v>188</v>
      </c>
      <c r="Y236" s="2">
        <v>956</v>
      </c>
      <c r="Z236" s="2">
        <v>0.98329999999999995</v>
      </c>
      <c r="AA236" s="2">
        <v>940</v>
      </c>
      <c r="AB236" s="2">
        <v>940</v>
      </c>
      <c r="AC236" s="2">
        <v>1270</v>
      </c>
      <c r="AD236" s="2">
        <v>1270</v>
      </c>
      <c r="AF236" s="2" t="s">
        <v>188</v>
      </c>
      <c r="AG236" s="2" t="s">
        <v>188</v>
      </c>
      <c r="AH236" s="2" t="s">
        <v>188</v>
      </c>
      <c r="AJ236" s="2" t="s">
        <v>188</v>
      </c>
      <c r="AK236" s="2" t="s">
        <v>188</v>
      </c>
      <c r="AL236" s="2" t="s">
        <v>188</v>
      </c>
      <c r="AM236" s="2" t="s">
        <v>188</v>
      </c>
      <c r="AN236" s="2" t="s">
        <v>188</v>
      </c>
      <c r="AO236" s="2" t="s">
        <v>187</v>
      </c>
      <c r="AR236" s="2">
        <v>9.5</v>
      </c>
      <c r="AS236" s="2">
        <v>4</v>
      </c>
      <c r="AT236" s="2">
        <v>13</v>
      </c>
      <c r="AU236" s="2" t="s">
        <v>238</v>
      </c>
      <c r="AV236" s="2" t="s">
        <v>238</v>
      </c>
      <c r="AW236" s="2" t="s">
        <v>188</v>
      </c>
      <c r="AZ236" s="2" t="s">
        <v>1715</v>
      </c>
      <c r="BB236" s="2" t="s">
        <v>260</v>
      </c>
      <c r="BC236" s="2" t="s">
        <v>296</v>
      </c>
      <c r="BD236" s="2" t="s">
        <v>187</v>
      </c>
      <c r="BE236" s="2" t="s">
        <v>187</v>
      </c>
      <c r="BF236" s="2" t="s">
        <v>193</v>
      </c>
      <c r="BG236" s="2" t="s">
        <v>194</v>
      </c>
      <c r="BH236" s="2" t="s">
        <v>195</v>
      </c>
      <c r="BI236" s="2" t="s">
        <v>196</v>
      </c>
      <c r="BL236" s="2" t="s">
        <v>197</v>
      </c>
      <c r="BM236" s="2" t="s">
        <v>198</v>
      </c>
      <c r="BN236" s="2" t="s">
        <v>199</v>
      </c>
      <c r="BO236" s="2" t="s">
        <v>188</v>
      </c>
      <c r="BQ236" s="2" t="s">
        <v>200</v>
      </c>
      <c r="BS236" s="2" t="s">
        <v>187</v>
      </c>
      <c r="BT236" s="2" t="s">
        <v>201</v>
      </c>
      <c r="BV236" s="2" t="s">
        <v>248</v>
      </c>
      <c r="BX236" s="2" t="s">
        <v>188</v>
      </c>
      <c r="BY236" s="2" t="s">
        <v>1716</v>
      </c>
      <c r="BZ236" s="2" t="s">
        <v>203</v>
      </c>
      <c r="CE236" s="2">
        <v>13</v>
      </c>
      <c r="CF236" s="2">
        <v>1297</v>
      </c>
      <c r="CM236" s="2">
        <v>100</v>
      </c>
      <c r="CO236" s="2">
        <v>100</v>
      </c>
      <c r="CR236" s="2" t="s">
        <v>204</v>
      </c>
      <c r="CT236" s="2" t="s">
        <v>188</v>
      </c>
      <c r="CU236" s="2" t="s">
        <v>249</v>
      </c>
      <c r="CW236" s="2" t="s">
        <v>206</v>
      </c>
      <c r="CY236" s="2" t="s">
        <v>207</v>
      </c>
      <c r="CZ236" s="2" t="s">
        <v>207</v>
      </c>
      <c r="DA236" s="2" t="s">
        <v>207</v>
      </c>
      <c r="DB236" s="2" t="s">
        <v>207</v>
      </c>
      <c r="DC236" s="2" t="s">
        <v>300</v>
      </c>
      <c r="DD236" s="2" t="s">
        <v>300</v>
      </c>
      <c r="DE236" s="2" t="s">
        <v>300</v>
      </c>
      <c r="DF236" s="2" t="s">
        <v>207</v>
      </c>
      <c r="DG236" s="2" t="s">
        <v>207</v>
      </c>
      <c r="DH236" s="2" t="s">
        <v>207</v>
      </c>
      <c r="DI236" s="2" t="s">
        <v>300</v>
      </c>
      <c r="DL236" s="2" t="s">
        <v>187</v>
      </c>
      <c r="DM236" s="2" t="s">
        <v>187</v>
      </c>
      <c r="DN236" s="2" t="s">
        <v>187</v>
      </c>
      <c r="DO236" s="2" t="s">
        <v>187</v>
      </c>
      <c r="DP236" s="2" t="s">
        <v>209</v>
      </c>
      <c r="DQ236" s="2" t="s">
        <v>467</v>
      </c>
      <c r="DR236" s="2" t="s">
        <v>1717</v>
      </c>
      <c r="DT236" s="2" t="s">
        <v>209</v>
      </c>
      <c r="DU236" s="2" t="s">
        <v>209</v>
      </c>
      <c r="DV236" s="2" t="s">
        <v>209</v>
      </c>
      <c r="DW236" s="2" t="s">
        <v>209</v>
      </c>
      <c r="DX236" s="2" t="s">
        <v>209</v>
      </c>
      <c r="DY236" s="2" t="s">
        <v>203</v>
      </c>
      <c r="DZ236" s="2" t="s">
        <v>203</v>
      </c>
      <c r="EA236" s="2" t="s">
        <v>209</v>
      </c>
      <c r="EB236" s="2" t="s">
        <v>209</v>
      </c>
      <c r="EF236" s="2" t="s">
        <v>189</v>
      </c>
      <c r="EG236" s="2" t="s">
        <v>1718</v>
      </c>
      <c r="EJ236" s="2" t="s">
        <v>238</v>
      </c>
      <c r="EK236" s="2" t="s">
        <v>187</v>
      </c>
      <c r="EL236" s="2" t="s">
        <v>188</v>
      </c>
      <c r="EN236" s="2" t="s">
        <v>214</v>
      </c>
      <c r="EP236" s="2" t="s">
        <v>230</v>
      </c>
      <c r="ER236" s="2" t="s">
        <v>187</v>
      </c>
      <c r="ET236" s="2" t="s">
        <v>188</v>
      </c>
      <c r="EV236" s="2" t="s">
        <v>188</v>
      </c>
      <c r="EX236" s="2" t="s">
        <v>188</v>
      </c>
      <c r="EZ236" s="2" t="s">
        <v>188</v>
      </c>
      <c r="FC236" s="2" t="s">
        <v>263</v>
      </c>
      <c r="FD236" s="2" t="s">
        <v>188</v>
      </c>
      <c r="FH236" s="2" t="s">
        <v>188</v>
      </c>
      <c r="FJ236" s="2" t="s">
        <v>188</v>
      </c>
      <c r="FK236" s="2" t="s">
        <v>188</v>
      </c>
      <c r="FN236" s="2" t="s">
        <v>488</v>
      </c>
      <c r="FR236" s="2" t="s">
        <v>1719</v>
      </c>
      <c r="FT236" s="2" t="s">
        <v>233</v>
      </c>
      <c r="FU236" s="2" t="s">
        <v>233</v>
      </c>
      <c r="FV236" s="2" t="s">
        <v>233</v>
      </c>
      <c r="FW236" s="2" t="s">
        <v>233</v>
      </c>
      <c r="FX236" s="2" t="s">
        <v>233</v>
      </c>
    </row>
    <row r="237" spans="1:182">
      <c r="A237" s="2" t="s">
        <v>1720</v>
      </c>
      <c r="D237" s="4">
        <v>46327.396666666667</v>
      </c>
      <c r="E237" s="2" t="s">
        <v>1721</v>
      </c>
      <c r="F237" s="2" t="s">
        <v>425</v>
      </c>
      <c r="G237" s="2" t="s">
        <v>1649</v>
      </c>
      <c r="H237" s="2" t="s">
        <v>1668</v>
      </c>
      <c r="I237" s="2" t="s">
        <v>1722</v>
      </c>
      <c r="J237" s="2">
        <v>366382809</v>
      </c>
      <c r="K237" s="2" t="s">
        <v>1722</v>
      </c>
      <c r="L237" s="2" t="s">
        <v>182</v>
      </c>
      <c r="M237" s="2" t="s">
        <v>223</v>
      </c>
      <c r="N237" s="2">
        <v>1966</v>
      </c>
      <c r="O237" s="2" t="s">
        <v>224</v>
      </c>
      <c r="P237" s="2" t="s">
        <v>185</v>
      </c>
      <c r="Q237" s="2" t="s">
        <v>186</v>
      </c>
      <c r="R237" s="2" t="s">
        <v>188</v>
      </c>
      <c r="S237" s="2">
        <v>28</v>
      </c>
      <c r="T237" s="2" t="s">
        <v>188</v>
      </c>
      <c r="U237" s="2" t="s">
        <v>188</v>
      </c>
      <c r="Y237" s="2">
        <v>420</v>
      </c>
      <c r="Z237" s="2">
        <v>1</v>
      </c>
      <c r="AA237" s="2">
        <v>420</v>
      </c>
      <c r="AB237" s="2">
        <v>420</v>
      </c>
      <c r="AC237" s="2">
        <v>420</v>
      </c>
      <c r="AD237" s="2">
        <v>500</v>
      </c>
      <c r="AE237" s="2">
        <v>80</v>
      </c>
      <c r="AF237" s="2" t="s">
        <v>188</v>
      </c>
      <c r="AG237" s="2" t="s">
        <v>188</v>
      </c>
      <c r="AH237" s="2" t="s">
        <v>188</v>
      </c>
      <c r="AJ237" s="2" t="s">
        <v>188</v>
      </c>
      <c r="AK237" s="2" t="s">
        <v>188</v>
      </c>
      <c r="AL237" s="2" t="s">
        <v>188</v>
      </c>
      <c r="AM237" s="2" t="s">
        <v>187</v>
      </c>
      <c r="AN237" s="2" t="s">
        <v>188</v>
      </c>
      <c r="AO237" s="2" t="s">
        <v>188</v>
      </c>
      <c r="AR237" s="2">
        <v>1.4</v>
      </c>
      <c r="AS237" s="2">
        <v>2</v>
      </c>
      <c r="AT237" s="2">
        <v>5</v>
      </c>
      <c r="AU237" s="2" t="s">
        <v>238</v>
      </c>
      <c r="AV237" s="2" t="s">
        <v>238</v>
      </c>
      <c r="AW237" s="2" t="s">
        <v>188</v>
      </c>
      <c r="AZ237" s="2" t="s">
        <v>357</v>
      </c>
      <c r="BB237" s="2" t="s">
        <v>260</v>
      </c>
      <c r="BC237" s="2" t="s">
        <v>253</v>
      </c>
      <c r="BD237" s="2" t="s">
        <v>188</v>
      </c>
      <c r="BE237" s="2" t="s">
        <v>188</v>
      </c>
      <c r="BL237" s="2" t="s">
        <v>197</v>
      </c>
      <c r="BM237" s="2" t="s">
        <v>198</v>
      </c>
      <c r="BN237" s="2" t="s">
        <v>199</v>
      </c>
      <c r="BO237" s="2" t="s">
        <v>188</v>
      </c>
      <c r="BQ237" s="2" t="s">
        <v>227</v>
      </c>
      <c r="BS237" s="2" t="s">
        <v>187</v>
      </c>
      <c r="BT237" s="2" t="s">
        <v>69</v>
      </c>
      <c r="BU237" s="2" t="s">
        <v>1723</v>
      </c>
      <c r="BV237" s="2" t="s">
        <v>587</v>
      </c>
      <c r="BX237" s="2" t="s">
        <v>188</v>
      </c>
      <c r="BZ237" s="2" t="s">
        <v>188</v>
      </c>
      <c r="CE237" s="2">
        <v>5</v>
      </c>
      <c r="CF237" s="2">
        <v>500</v>
      </c>
      <c r="CM237" s="2">
        <v>100</v>
      </c>
      <c r="CQ237" s="2">
        <v>100</v>
      </c>
      <c r="CR237" s="2" t="s">
        <v>204</v>
      </c>
      <c r="CT237" s="2" t="s">
        <v>188</v>
      </c>
      <c r="CU237" s="2" t="s">
        <v>578</v>
      </c>
      <c r="CW237" s="2" t="s">
        <v>206</v>
      </c>
      <c r="CY237" s="2" t="s">
        <v>300</v>
      </c>
      <c r="CZ237" s="2" t="s">
        <v>300</v>
      </c>
      <c r="DA237" s="2" t="s">
        <v>300</v>
      </c>
      <c r="DB237" s="2" t="s">
        <v>430</v>
      </c>
      <c r="DC237" s="2" t="s">
        <v>207</v>
      </c>
      <c r="DD237" s="2" t="s">
        <v>430</v>
      </c>
      <c r="DE237" s="2" t="s">
        <v>300</v>
      </c>
      <c r="DF237" s="2" t="s">
        <v>300</v>
      </c>
      <c r="DG237" s="2" t="s">
        <v>430</v>
      </c>
      <c r="DH237" s="2" t="s">
        <v>430</v>
      </c>
      <c r="DI237" s="2" t="s">
        <v>430</v>
      </c>
      <c r="DL237" s="2" t="s">
        <v>188</v>
      </c>
      <c r="DM237" s="2" t="s">
        <v>188</v>
      </c>
      <c r="DP237" s="2" t="s">
        <v>203</v>
      </c>
      <c r="DT237" s="2" t="s">
        <v>203</v>
      </c>
      <c r="DU237" s="2" t="s">
        <v>203</v>
      </c>
      <c r="DV237" s="2" t="s">
        <v>203</v>
      </c>
      <c r="DW237" s="2" t="s">
        <v>203</v>
      </c>
      <c r="DX237" s="2" t="s">
        <v>203</v>
      </c>
      <c r="DY237" s="2" t="s">
        <v>203</v>
      </c>
      <c r="DZ237" s="2" t="s">
        <v>203</v>
      </c>
      <c r="EA237" s="2" t="s">
        <v>203</v>
      </c>
      <c r="EB237" s="2" t="s">
        <v>203</v>
      </c>
      <c r="EC237" s="2" t="s">
        <v>203</v>
      </c>
      <c r="EF237" s="2" t="s">
        <v>302</v>
      </c>
      <c r="EG237" s="2" t="s">
        <v>1724</v>
      </c>
      <c r="EJ237" s="2" t="s">
        <v>203</v>
      </c>
      <c r="EK237" s="2" t="s">
        <v>188</v>
      </c>
      <c r="EL237" s="2" t="s">
        <v>188</v>
      </c>
      <c r="EN237" s="2" t="s">
        <v>255</v>
      </c>
      <c r="EP237" s="2" t="s">
        <v>230</v>
      </c>
      <c r="ER237" s="2" t="s">
        <v>188</v>
      </c>
      <c r="ET237" s="2" t="s">
        <v>188</v>
      </c>
      <c r="EV237" s="2" t="s">
        <v>188</v>
      </c>
      <c r="EX237" s="2" t="s">
        <v>188</v>
      </c>
      <c r="EZ237" s="2" t="s">
        <v>188</v>
      </c>
      <c r="FC237" s="2" t="s">
        <v>263</v>
      </c>
      <c r="FD237" s="2" t="s">
        <v>188</v>
      </c>
      <c r="FH237" s="2" t="s">
        <v>188</v>
      </c>
      <c r="FJ237" s="2" t="s">
        <v>188</v>
      </c>
      <c r="FK237" s="2" t="s">
        <v>188</v>
      </c>
      <c r="FR237" s="2" t="s">
        <v>433</v>
      </c>
      <c r="FT237" s="2" t="s">
        <v>219</v>
      </c>
      <c r="FU237" s="2" t="s">
        <v>219</v>
      </c>
      <c r="FV237" s="2" t="s">
        <v>219</v>
      </c>
      <c r="FW237" s="2" t="s">
        <v>219</v>
      </c>
      <c r="FX237" s="2" t="s">
        <v>219</v>
      </c>
      <c r="FZ237" s="4">
        <v>46040.42523148148</v>
      </c>
    </row>
    <row r="238" spans="1:182">
      <c r="A238" s="2" t="s">
        <v>1725</v>
      </c>
      <c r="D238" s="4">
        <v>46327.403703703705</v>
      </c>
      <c r="E238" s="2" t="s">
        <v>177</v>
      </c>
      <c r="F238" s="2" t="s">
        <v>293</v>
      </c>
      <c r="G238" s="2" t="s">
        <v>1649</v>
      </c>
      <c r="H238" s="2" t="s">
        <v>1659</v>
      </c>
      <c r="I238" s="2" t="s">
        <v>1726</v>
      </c>
      <c r="J238" s="2">
        <v>395671170</v>
      </c>
      <c r="K238" s="2" t="s">
        <v>1726</v>
      </c>
      <c r="L238" s="2" t="s">
        <v>182</v>
      </c>
      <c r="M238" s="2" t="s">
        <v>223</v>
      </c>
      <c r="N238" s="2">
        <v>1969</v>
      </c>
      <c r="O238" s="2" t="s">
        <v>224</v>
      </c>
      <c r="P238" s="2" t="s">
        <v>185</v>
      </c>
      <c r="Q238" s="2" t="s">
        <v>186</v>
      </c>
      <c r="R238" s="2" t="s">
        <v>188</v>
      </c>
      <c r="S238" s="2">
        <v>1997</v>
      </c>
      <c r="T238" s="2" t="s">
        <v>188</v>
      </c>
      <c r="U238" s="2" t="s">
        <v>188</v>
      </c>
      <c r="Y238" s="2">
        <v>900</v>
      </c>
      <c r="Z238" s="2">
        <v>1</v>
      </c>
      <c r="AA238" s="2">
        <v>900</v>
      </c>
      <c r="AB238" s="2">
        <v>900</v>
      </c>
      <c r="AC238" s="2">
        <v>800</v>
      </c>
      <c r="AD238" s="2">
        <v>900</v>
      </c>
      <c r="AE238" s="2">
        <v>100</v>
      </c>
      <c r="AF238" s="2" t="s">
        <v>188</v>
      </c>
      <c r="AG238" s="2" t="s">
        <v>187</v>
      </c>
      <c r="AH238" s="2" t="s">
        <v>187</v>
      </c>
      <c r="AI238" s="2" t="s">
        <v>308</v>
      </c>
      <c r="AJ238" s="2" t="s">
        <v>188</v>
      </c>
      <c r="AK238" s="2" t="s">
        <v>188</v>
      </c>
      <c r="AL238" s="2" t="s">
        <v>188</v>
      </c>
      <c r="AM238" s="2" t="s">
        <v>187</v>
      </c>
      <c r="AN238" s="2" t="s">
        <v>188</v>
      </c>
      <c r="AO238" s="2" t="s">
        <v>188</v>
      </c>
      <c r="AR238" s="2">
        <v>2</v>
      </c>
      <c r="AS238" s="2">
        <v>2</v>
      </c>
      <c r="AT238" s="2">
        <v>9</v>
      </c>
      <c r="AU238" s="2" t="s">
        <v>238</v>
      </c>
      <c r="AV238" s="2" t="s">
        <v>238</v>
      </c>
      <c r="AW238" s="2" t="s">
        <v>188</v>
      </c>
      <c r="AZ238" s="2" t="s">
        <v>190</v>
      </c>
      <c r="BB238" s="2" t="s">
        <v>260</v>
      </c>
      <c r="BC238" s="2" t="s">
        <v>192</v>
      </c>
      <c r="BD238" s="2" t="s">
        <v>187</v>
      </c>
      <c r="BE238" s="2" t="s">
        <v>187</v>
      </c>
      <c r="BF238" s="2" t="s">
        <v>193</v>
      </c>
      <c r="BG238" s="2" t="s">
        <v>194</v>
      </c>
      <c r="BH238" s="2" t="s">
        <v>297</v>
      </c>
      <c r="BI238" s="2" t="s">
        <v>196</v>
      </c>
      <c r="BL238" s="2" t="s">
        <v>197</v>
      </c>
      <c r="BM238" s="2" t="s">
        <v>198</v>
      </c>
      <c r="BN238" s="2" t="s">
        <v>199</v>
      </c>
      <c r="BO238" s="2" t="s">
        <v>188</v>
      </c>
      <c r="BQ238" s="2" t="s">
        <v>227</v>
      </c>
      <c r="BS238" s="2" t="s">
        <v>187</v>
      </c>
      <c r="BT238" s="2" t="s">
        <v>261</v>
      </c>
      <c r="BV238" s="2" t="s">
        <v>389</v>
      </c>
      <c r="BX238" s="2" t="s">
        <v>187</v>
      </c>
      <c r="BY238" s="2" t="s">
        <v>310</v>
      </c>
      <c r="BZ238" s="2" t="s">
        <v>203</v>
      </c>
      <c r="CE238" s="2">
        <v>9</v>
      </c>
      <c r="CF238" s="2">
        <v>850</v>
      </c>
      <c r="CK238" s="2">
        <v>100</v>
      </c>
      <c r="CO238" s="2">
        <v>100</v>
      </c>
      <c r="CR238" s="2" t="s">
        <v>204</v>
      </c>
      <c r="CT238" s="2" t="s">
        <v>188</v>
      </c>
      <c r="CU238" s="2" t="s">
        <v>205</v>
      </c>
      <c r="CW238" s="2" t="s">
        <v>206</v>
      </c>
      <c r="CY238" s="2" t="s">
        <v>207</v>
      </c>
      <c r="CZ238" s="2" t="s">
        <v>273</v>
      </c>
      <c r="DA238" s="2" t="s">
        <v>208</v>
      </c>
      <c r="DC238" s="2" t="s">
        <v>208</v>
      </c>
      <c r="DD238" s="2" t="s">
        <v>301</v>
      </c>
      <c r="DE238" s="2" t="s">
        <v>208</v>
      </c>
      <c r="DF238" s="2" t="s">
        <v>207</v>
      </c>
      <c r="DG238" s="2" t="s">
        <v>207</v>
      </c>
      <c r="DH238" s="2" t="s">
        <v>273</v>
      </c>
      <c r="DI238" s="2" t="s">
        <v>273</v>
      </c>
      <c r="DL238" s="2" t="s">
        <v>187</v>
      </c>
      <c r="DM238" s="2" t="s">
        <v>187</v>
      </c>
      <c r="DN238" s="2" t="s">
        <v>187</v>
      </c>
      <c r="DO238" s="2" t="s">
        <v>187</v>
      </c>
      <c r="DP238" s="2" t="s">
        <v>209</v>
      </c>
      <c r="DQ238" s="2" t="s">
        <v>210</v>
      </c>
      <c r="DS238" s="2" t="s">
        <v>209</v>
      </c>
      <c r="DT238" s="2" t="s">
        <v>209</v>
      </c>
      <c r="DU238" s="2" t="s">
        <v>209</v>
      </c>
      <c r="DV238" s="2" t="s">
        <v>209</v>
      </c>
      <c r="DW238" s="2" t="s">
        <v>209</v>
      </c>
      <c r="DX238" s="2" t="s">
        <v>209</v>
      </c>
      <c r="DY238" s="2" t="s">
        <v>203</v>
      </c>
      <c r="DZ238" s="2" t="s">
        <v>203</v>
      </c>
      <c r="EA238" s="2" t="s">
        <v>209</v>
      </c>
      <c r="EB238" s="2" t="s">
        <v>209</v>
      </c>
      <c r="EC238" s="2" t="s">
        <v>203</v>
      </c>
      <c r="EF238" s="2" t="s">
        <v>211</v>
      </c>
      <c r="EJ238" s="2" t="s">
        <v>238</v>
      </c>
      <c r="EK238" s="2" t="s">
        <v>187</v>
      </c>
      <c r="EL238" s="2" t="s">
        <v>188</v>
      </c>
      <c r="EN238" s="2" t="s">
        <v>214</v>
      </c>
      <c r="EP238" s="2" t="s">
        <v>230</v>
      </c>
      <c r="ER238" s="2" t="s">
        <v>187</v>
      </c>
      <c r="ET238" s="2" t="s">
        <v>188</v>
      </c>
      <c r="EV238" s="2" t="s">
        <v>187</v>
      </c>
      <c r="EW238" s="2" t="s">
        <v>189</v>
      </c>
      <c r="EX238" s="2" t="s">
        <v>188</v>
      </c>
      <c r="EZ238" s="2" t="s">
        <v>188</v>
      </c>
      <c r="FC238" s="2" t="s">
        <v>216</v>
      </c>
      <c r="FD238" s="2" t="s">
        <v>188</v>
      </c>
      <c r="FH238" s="2" t="s">
        <v>188</v>
      </c>
      <c r="FJ238" s="2" t="s">
        <v>187</v>
      </c>
      <c r="FK238" s="2" t="s">
        <v>209</v>
      </c>
      <c r="FL238" s="2" t="s">
        <v>319</v>
      </c>
      <c r="FN238" s="2" t="s">
        <v>313</v>
      </c>
      <c r="FT238" s="2" t="s">
        <v>219</v>
      </c>
      <c r="FU238" s="2" t="s">
        <v>233</v>
      </c>
      <c r="FV238" s="2" t="s">
        <v>233</v>
      </c>
      <c r="FW238" s="2" t="s">
        <v>233</v>
      </c>
      <c r="FZ238" s="4">
        <v>46039.808483796296</v>
      </c>
    </row>
    <row r="239" spans="1:182">
      <c r="A239" s="2" t="s">
        <v>1727</v>
      </c>
      <c r="D239" s="4">
        <v>46327.394618055558</v>
      </c>
      <c r="E239" s="2" t="s">
        <v>177</v>
      </c>
      <c r="F239" s="2" t="s">
        <v>178</v>
      </c>
      <c r="G239" s="2" t="s">
        <v>1649</v>
      </c>
      <c r="H239" s="2" t="s">
        <v>1659</v>
      </c>
      <c r="I239" s="2" t="s">
        <v>1728</v>
      </c>
      <c r="J239" s="2">
        <v>394484919</v>
      </c>
      <c r="K239" s="2" t="s">
        <v>1728</v>
      </c>
      <c r="L239" s="2" t="s">
        <v>182</v>
      </c>
      <c r="M239" s="2" t="s">
        <v>223</v>
      </c>
      <c r="N239" s="2">
        <v>1976</v>
      </c>
      <c r="O239" s="2" t="s">
        <v>224</v>
      </c>
      <c r="P239" s="2" t="s">
        <v>225</v>
      </c>
      <c r="Q239" s="2" t="s">
        <v>186</v>
      </c>
      <c r="R239" s="2" t="s">
        <v>188</v>
      </c>
      <c r="S239" s="2">
        <v>25</v>
      </c>
      <c r="T239" s="2" t="s">
        <v>188</v>
      </c>
      <c r="U239" s="2" t="s">
        <v>188</v>
      </c>
      <c r="Y239" s="2">
        <v>180</v>
      </c>
      <c r="Z239" s="2">
        <v>1</v>
      </c>
      <c r="AA239" s="2">
        <v>180</v>
      </c>
      <c r="AB239" s="2">
        <v>180</v>
      </c>
      <c r="AC239" s="2">
        <v>180</v>
      </c>
      <c r="AD239" s="2">
        <v>240</v>
      </c>
      <c r="AE239" s="2">
        <v>60</v>
      </c>
      <c r="AF239" s="2" t="s">
        <v>188</v>
      </c>
      <c r="AG239" s="2" t="s">
        <v>188</v>
      </c>
      <c r="AH239" s="2" t="s">
        <v>188</v>
      </c>
      <c r="AJ239" s="2" t="s">
        <v>188</v>
      </c>
      <c r="AK239" s="2" t="s">
        <v>188</v>
      </c>
      <c r="AL239" s="2" t="s">
        <v>188</v>
      </c>
      <c r="AM239" s="2" t="s">
        <v>188</v>
      </c>
      <c r="AN239" s="2" t="s">
        <v>188</v>
      </c>
      <c r="AO239" s="2" t="s">
        <v>188</v>
      </c>
      <c r="AR239" s="2">
        <v>1.2</v>
      </c>
      <c r="AS239" s="2">
        <v>1</v>
      </c>
      <c r="AT239" s="2">
        <v>2.4</v>
      </c>
      <c r="AU239" s="2" t="s">
        <v>212</v>
      </c>
      <c r="AV239" s="2" t="s">
        <v>212</v>
      </c>
      <c r="AW239" s="2" t="s">
        <v>188</v>
      </c>
      <c r="AZ239" s="2" t="s">
        <v>190</v>
      </c>
      <c r="BB239" s="2" t="s">
        <v>260</v>
      </c>
      <c r="BC239" s="2" t="s">
        <v>192</v>
      </c>
      <c r="BD239" s="2" t="s">
        <v>187</v>
      </c>
      <c r="BE239" s="2" t="s">
        <v>187</v>
      </c>
      <c r="BF239" s="2" t="s">
        <v>193</v>
      </c>
      <c r="BG239" s="2" t="s">
        <v>279</v>
      </c>
      <c r="BH239" s="2" t="s">
        <v>195</v>
      </c>
      <c r="BI239" s="2" t="s">
        <v>196</v>
      </c>
      <c r="BL239" s="2" t="s">
        <v>197</v>
      </c>
      <c r="BM239" s="2" t="s">
        <v>198</v>
      </c>
      <c r="BN239" s="2" t="s">
        <v>199</v>
      </c>
      <c r="BO239" s="2" t="s">
        <v>188</v>
      </c>
      <c r="BQ239" s="2" t="s">
        <v>200</v>
      </c>
      <c r="BS239" s="2" t="s">
        <v>187</v>
      </c>
      <c r="BT239" s="2" t="s">
        <v>261</v>
      </c>
      <c r="BV239" s="2" t="s">
        <v>248</v>
      </c>
      <c r="BX239" s="2" t="s">
        <v>188</v>
      </c>
      <c r="BZ239" s="2" t="s">
        <v>188</v>
      </c>
      <c r="CE239" s="2">
        <v>2.4</v>
      </c>
      <c r="CF239" s="2">
        <v>240</v>
      </c>
      <c r="CM239" s="2">
        <v>100</v>
      </c>
      <c r="CO239" s="2">
        <v>100</v>
      </c>
      <c r="CR239" s="2" t="s">
        <v>204</v>
      </c>
      <c r="CT239" s="2" t="s">
        <v>188</v>
      </c>
      <c r="CU239" s="2" t="s">
        <v>205</v>
      </c>
      <c r="CW239" s="2" t="s">
        <v>206</v>
      </c>
      <c r="CY239" s="2" t="s">
        <v>207</v>
      </c>
      <c r="CZ239" s="2" t="s">
        <v>208</v>
      </c>
      <c r="DA239" s="2" t="s">
        <v>208</v>
      </c>
      <c r="DB239" s="2" t="s">
        <v>208</v>
      </c>
      <c r="DC239" s="2" t="s">
        <v>208</v>
      </c>
      <c r="DD239" s="2" t="s">
        <v>208</v>
      </c>
      <c r="DE239" s="2" t="s">
        <v>208</v>
      </c>
      <c r="DF239" s="2" t="s">
        <v>208</v>
      </c>
      <c r="DG239" s="2" t="s">
        <v>208</v>
      </c>
      <c r="DH239" s="2" t="s">
        <v>208</v>
      </c>
      <c r="DI239" s="2" t="s">
        <v>208</v>
      </c>
      <c r="DL239" s="2" t="s">
        <v>187</v>
      </c>
      <c r="DM239" s="2" t="s">
        <v>187</v>
      </c>
      <c r="DN239" s="2" t="s">
        <v>187</v>
      </c>
      <c r="DO239" s="2" t="s">
        <v>187</v>
      </c>
      <c r="DP239" s="2" t="s">
        <v>209</v>
      </c>
      <c r="DQ239" s="2" t="s">
        <v>210</v>
      </c>
      <c r="DT239" s="2" t="s">
        <v>209</v>
      </c>
      <c r="DU239" s="2" t="s">
        <v>209</v>
      </c>
      <c r="DV239" s="2" t="s">
        <v>209</v>
      </c>
      <c r="DW239" s="2" t="s">
        <v>209</v>
      </c>
      <c r="DX239" s="2" t="s">
        <v>203</v>
      </c>
      <c r="DY239" s="2" t="s">
        <v>203</v>
      </c>
      <c r="DZ239" s="2" t="s">
        <v>203</v>
      </c>
      <c r="EA239" s="2" t="s">
        <v>203</v>
      </c>
      <c r="EB239" s="2" t="s">
        <v>203</v>
      </c>
      <c r="EF239" s="2" t="s">
        <v>211</v>
      </c>
      <c r="EJ239" s="2" t="s">
        <v>189</v>
      </c>
      <c r="EK239" s="2" t="s">
        <v>187</v>
      </c>
      <c r="EL239" s="2" t="s">
        <v>188</v>
      </c>
      <c r="EN239" s="2" t="s">
        <v>214</v>
      </c>
      <c r="EP239" s="2" t="s">
        <v>230</v>
      </c>
      <c r="ER239" s="2" t="s">
        <v>187</v>
      </c>
      <c r="ET239" s="2" t="s">
        <v>188</v>
      </c>
      <c r="EV239" s="2" t="s">
        <v>187</v>
      </c>
      <c r="EW239" s="2" t="s">
        <v>215</v>
      </c>
      <c r="EX239" s="2" t="s">
        <v>187</v>
      </c>
      <c r="EY239" s="2" t="s">
        <v>215</v>
      </c>
      <c r="FC239" s="2" t="s">
        <v>216</v>
      </c>
      <c r="FD239" s="2" t="s">
        <v>188</v>
      </c>
      <c r="FH239" s="2" t="s">
        <v>188</v>
      </c>
      <c r="FJ239" s="2" t="s">
        <v>187</v>
      </c>
      <c r="FK239" s="2" t="s">
        <v>209</v>
      </c>
      <c r="FL239" s="2" t="s">
        <v>1665</v>
      </c>
      <c r="FN239" s="2" t="s">
        <v>313</v>
      </c>
      <c r="FT239" s="2" t="s">
        <v>219</v>
      </c>
      <c r="FU239" s="2" t="s">
        <v>219</v>
      </c>
      <c r="FV239" s="2" t="s">
        <v>219</v>
      </c>
      <c r="FW239" s="2" t="s">
        <v>219</v>
      </c>
      <c r="FZ239" s="4">
        <v>46040.706956018519</v>
      </c>
    </row>
    <row r="240" spans="1:182">
      <c r="A240" s="2" t="s">
        <v>1729</v>
      </c>
      <c r="D240" s="4">
        <v>46327.407337962963</v>
      </c>
      <c r="E240" s="2" t="s">
        <v>1730</v>
      </c>
      <c r="F240" s="2" t="s">
        <v>398</v>
      </c>
      <c r="G240" s="2" t="s">
        <v>1649</v>
      </c>
      <c r="H240" s="2" t="s">
        <v>1731</v>
      </c>
      <c r="I240" s="2" t="s">
        <v>1732</v>
      </c>
      <c r="J240" s="2">
        <v>989108392</v>
      </c>
      <c r="K240" s="2" t="s">
        <v>1732</v>
      </c>
      <c r="L240" s="2" t="s">
        <v>182</v>
      </c>
      <c r="M240" s="2" t="s">
        <v>223</v>
      </c>
      <c r="N240" s="2">
        <v>1978</v>
      </c>
      <c r="O240" s="2" t="s">
        <v>224</v>
      </c>
      <c r="P240" s="2" t="s">
        <v>185</v>
      </c>
      <c r="Q240" s="2" t="s">
        <v>226</v>
      </c>
      <c r="R240" s="2" t="s">
        <v>188</v>
      </c>
      <c r="S240" s="2">
        <v>15</v>
      </c>
      <c r="T240" s="2" t="s">
        <v>188</v>
      </c>
      <c r="U240" s="2" t="s">
        <v>188</v>
      </c>
      <c r="Y240" s="2">
        <v>660</v>
      </c>
      <c r="Z240" s="2">
        <v>0.65149999999999997</v>
      </c>
      <c r="AA240" s="2">
        <v>430</v>
      </c>
      <c r="AB240" s="2">
        <v>430</v>
      </c>
      <c r="AC240" s="2">
        <v>430</v>
      </c>
      <c r="AD240" s="2">
        <v>500</v>
      </c>
      <c r="AE240" s="2">
        <v>70</v>
      </c>
      <c r="AF240" s="2" t="s">
        <v>188</v>
      </c>
      <c r="AG240" s="2" t="s">
        <v>188</v>
      </c>
      <c r="AH240" s="2" t="s">
        <v>188</v>
      </c>
      <c r="AJ240" s="2" t="s">
        <v>188</v>
      </c>
      <c r="AK240" s="2" t="s">
        <v>188</v>
      </c>
      <c r="AL240" s="2" t="s">
        <v>187</v>
      </c>
      <c r="AM240" s="2" t="s">
        <v>187</v>
      </c>
      <c r="AN240" s="2" t="s">
        <v>188</v>
      </c>
      <c r="AO240" s="2" t="s">
        <v>188</v>
      </c>
      <c r="AR240" s="2">
        <v>2.0099999999999998</v>
      </c>
      <c r="AS240" s="2">
        <v>3</v>
      </c>
      <c r="AT240" s="2">
        <v>5</v>
      </c>
      <c r="AU240" s="2" t="s">
        <v>189</v>
      </c>
      <c r="AV240" s="2" t="s">
        <v>189</v>
      </c>
      <c r="AW240" s="2" t="s">
        <v>188</v>
      </c>
      <c r="BC240" s="2" t="s">
        <v>192</v>
      </c>
      <c r="BD240" s="2" t="s">
        <v>187</v>
      </c>
      <c r="BE240" s="2" t="s">
        <v>188</v>
      </c>
      <c r="BL240" s="2" t="s">
        <v>197</v>
      </c>
      <c r="BM240" s="2" t="s">
        <v>198</v>
      </c>
      <c r="BN240" s="2" t="s">
        <v>199</v>
      </c>
      <c r="BO240" s="2" t="s">
        <v>188</v>
      </c>
      <c r="BQ240" s="2" t="s">
        <v>200</v>
      </c>
      <c r="BS240" s="2" t="s">
        <v>187</v>
      </c>
      <c r="BT240" s="2" t="s">
        <v>261</v>
      </c>
      <c r="BV240" s="2" t="s">
        <v>522</v>
      </c>
      <c r="BX240" s="2" t="s">
        <v>188</v>
      </c>
      <c r="BY240" s="2" t="s">
        <v>1733</v>
      </c>
      <c r="BZ240" s="2" t="s">
        <v>203</v>
      </c>
      <c r="CE240" s="2">
        <v>5</v>
      </c>
      <c r="CF240" s="2">
        <v>500</v>
      </c>
      <c r="CK240" s="2">
        <v>100</v>
      </c>
      <c r="CP240" s="2">
        <v>100</v>
      </c>
      <c r="CR240" s="2" t="s">
        <v>204</v>
      </c>
      <c r="CT240" s="2" t="s">
        <v>188</v>
      </c>
      <c r="CU240" s="2" t="s">
        <v>205</v>
      </c>
      <c r="CW240" s="2" t="s">
        <v>206</v>
      </c>
      <c r="CY240" s="2" t="s">
        <v>300</v>
      </c>
      <c r="CZ240" s="2" t="s">
        <v>300</v>
      </c>
      <c r="DA240" s="2" t="s">
        <v>300</v>
      </c>
      <c r="DB240" s="2" t="s">
        <v>300</v>
      </c>
      <c r="DC240" s="2" t="s">
        <v>300</v>
      </c>
      <c r="DD240" s="2" t="s">
        <v>300</v>
      </c>
      <c r="DE240" s="2" t="s">
        <v>300</v>
      </c>
      <c r="DF240" s="2" t="s">
        <v>300</v>
      </c>
      <c r="DG240" s="2" t="s">
        <v>300</v>
      </c>
      <c r="DH240" s="2" t="s">
        <v>300</v>
      </c>
      <c r="DI240" s="2" t="s">
        <v>300</v>
      </c>
      <c r="DL240" s="2" t="s">
        <v>188</v>
      </c>
      <c r="DM240" s="2" t="s">
        <v>188</v>
      </c>
      <c r="DP240" s="2" t="s">
        <v>203</v>
      </c>
      <c r="DT240" s="2" t="s">
        <v>203</v>
      </c>
      <c r="DU240" s="2" t="s">
        <v>203</v>
      </c>
      <c r="DV240" s="2" t="s">
        <v>203</v>
      </c>
      <c r="DW240" s="2" t="s">
        <v>203</v>
      </c>
      <c r="DX240" s="2" t="s">
        <v>203</v>
      </c>
      <c r="DY240" s="2" t="s">
        <v>203</v>
      </c>
      <c r="DZ240" s="2" t="s">
        <v>203</v>
      </c>
      <c r="EA240" s="2" t="s">
        <v>203</v>
      </c>
      <c r="EB240" s="2" t="s">
        <v>203</v>
      </c>
      <c r="EC240" s="2" t="s">
        <v>203</v>
      </c>
      <c r="EF240" s="2" t="s">
        <v>302</v>
      </c>
      <c r="EG240" s="2" t="s">
        <v>1734</v>
      </c>
      <c r="EJ240" s="2" t="s">
        <v>238</v>
      </c>
      <c r="EK240" s="2" t="s">
        <v>188</v>
      </c>
      <c r="EL240" s="2" t="s">
        <v>188</v>
      </c>
      <c r="EN240" s="2" t="s">
        <v>255</v>
      </c>
      <c r="EP240" s="2" t="s">
        <v>230</v>
      </c>
      <c r="ER240" s="2" t="s">
        <v>188</v>
      </c>
      <c r="ET240" s="2" t="s">
        <v>188</v>
      </c>
      <c r="EV240" s="2" t="s">
        <v>188</v>
      </c>
      <c r="EX240" s="2" t="s">
        <v>188</v>
      </c>
      <c r="EZ240" s="2" t="s">
        <v>188</v>
      </c>
      <c r="FC240" s="2" t="s">
        <v>216</v>
      </c>
      <c r="FD240" s="2" t="s">
        <v>188</v>
      </c>
      <c r="FH240" s="2" t="s">
        <v>188</v>
      </c>
      <c r="FJ240" s="2" t="s">
        <v>188</v>
      </c>
      <c r="FK240" s="2" t="s">
        <v>203</v>
      </c>
      <c r="FR240" s="2" t="s">
        <v>1735</v>
      </c>
      <c r="FT240" s="2" t="s">
        <v>233</v>
      </c>
      <c r="FU240" s="2" t="s">
        <v>233</v>
      </c>
      <c r="FV240" s="2" t="s">
        <v>233</v>
      </c>
      <c r="FW240" s="2" t="s">
        <v>233</v>
      </c>
      <c r="FX240" s="2" t="s">
        <v>233</v>
      </c>
      <c r="FY240" s="2" t="s">
        <v>1736</v>
      </c>
      <c r="FZ240" s="4">
        <v>46038.694861111115</v>
      </c>
    </row>
    <row r="241" spans="1:182">
      <c r="A241" s="2" t="s">
        <v>1737</v>
      </c>
      <c r="D241" s="4">
        <v>46327.408576388887</v>
      </c>
      <c r="E241" s="2" t="s">
        <v>1738</v>
      </c>
      <c r="F241" s="2" t="s">
        <v>398</v>
      </c>
      <c r="G241" s="2" t="s">
        <v>1649</v>
      </c>
      <c r="H241" s="2" t="s">
        <v>1731</v>
      </c>
      <c r="I241" s="2" t="s">
        <v>1739</v>
      </c>
      <c r="J241" s="2">
        <v>395582608</v>
      </c>
      <c r="K241" s="2" t="s">
        <v>1739</v>
      </c>
      <c r="L241" s="2" t="s">
        <v>182</v>
      </c>
      <c r="M241" s="2" t="s">
        <v>223</v>
      </c>
      <c r="N241" s="2">
        <v>1976</v>
      </c>
      <c r="O241" s="2" t="s">
        <v>224</v>
      </c>
      <c r="P241" s="2" t="s">
        <v>185</v>
      </c>
      <c r="Q241" s="2" t="s">
        <v>186</v>
      </c>
      <c r="R241" s="2" t="s">
        <v>188</v>
      </c>
      <c r="S241" s="2">
        <v>35</v>
      </c>
      <c r="T241" s="2" t="s">
        <v>188</v>
      </c>
      <c r="U241" s="2" t="s">
        <v>188</v>
      </c>
      <c r="Y241" s="2">
        <v>345</v>
      </c>
      <c r="Z241" s="2">
        <v>0.98550000000000004</v>
      </c>
      <c r="AA241" s="2">
        <v>340</v>
      </c>
      <c r="AB241" s="2">
        <v>340</v>
      </c>
      <c r="AC241" s="2">
        <v>340</v>
      </c>
      <c r="AD241" s="2">
        <v>400</v>
      </c>
      <c r="AE241" s="2">
        <v>60</v>
      </c>
      <c r="AF241" s="2" t="s">
        <v>188</v>
      </c>
      <c r="AG241" s="2" t="s">
        <v>188</v>
      </c>
      <c r="AH241" s="2" t="s">
        <v>188</v>
      </c>
      <c r="AJ241" s="2" t="s">
        <v>188</v>
      </c>
      <c r="AK241" s="2" t="s">
        <v>188</v>
      </c>
      <c r="AL241" s="2" t="s">
        <v>188</v>
      </c>
      <c r="AM241" s="2" t="s">
        <v>187</v>
      </c>
      <c r="AN241" s="2" t="s">
        <v>188</v>
      </c>
      <c r="AO241" s="2" t="s">
        <v>188</v>
      </c>
      <c r="AR241" s="2">
        <v>1</v>
      </c>
      <c r="AS241" s="2">
        <v>2</v>
      </c>
      <c r="AT241" s="2">
        <v>4</v>
      </c>
      <c r="AU241" s="2" t="s">
        <v>189</v>
      </c>
      <c r="AV241" s="2" t="s">
        <v>189</v>
      </c>
      <c r="AW241" s="2" t="s">
        <v>188</v>
      </c>
      <c r="AZ241" s="2" t="s">
        <v>357</v>
      </c>
      <c r="BB241" s="2" t="s">
        <v>260</v>
      </c>
      <c r="BC241" s="2" t="s">
        <v>192</v>
      </c>
      <c r="BD241" s="2" t="s">
        <v>187</v>
      </c>
      <c r="BE241" s="2" t="s">
        <v>187</v>
      </c>
      <c r="BF241" s="2" t="s">
        <v>193</v>
      </c>
      <c r="BG241" s="2" t="s">
        <v>279</v>
      </c>
      <c r="BH241" s="2" t="s">
        <v>280</v>
      </c>
      <c r="BI241" s="2" t="s">
        <v>196</v>
      </c>
      <c r="BL241" s="2" t="s">
        <v>197</v>
      </c>
      <c r="BM241" s="2" t="s">
        <v>198</v>
      </c>
      <c r="BN241" s="2" t="s">
        <v>199</v>
      </c>
      <c r="BO241" s="2" t="s">
        <v>188</v>
      </c>
      <c r="BQ241" s="2" t="s">
        <v>227</v>
      </c>
      <c r="BS241" s="2" t="s">
        <v>187</v>
      </c>
      <c r="BT241" s="2" t="s">
        <v>201</v>
      </c>
      <c r="BV241" s="2" t="s">
        <v>522</v>
      </c>
      <c r="BX241" s="2" t="s">
        <v>188</v>
      </c>
      <c r="BY241" s="2" t="s">
        <v>1740</v>
      </c>
      <c r="BZ241" s="2" t="s">
        <v>203</v>
      </c>
      <c r="CE241" s="2">
        <v>4</v>
      </c>
      <c r="CF241" s="2">
        <v>400</v>
      </c>
      <c r="CK241" s="2">
        <v>100</v>
      </c>
      <c r="CP241" s="2">
        <v>100</v>
      </c>
      <c r="CR241" s="2" t="s">
        <v>204</v>
      </c>
      <c r="CT241" s="2" t="s">
        <v>188</v>
      </c>
      <c r="CU241" s="2" t="s">
        <v>205</v>
      </c>
      <c r="CW241" s="2" t="s">
        <v>206</v>
      </c>
      <c r="CY241" s="2" t="s">
        <v>207</v>
      </c>
      <c r="CZ241" s="2" t="s">
        <v>300</v>
      </c>
      <c r="DA241" s="2" t="s">
        <v>300</v>
      </c>
      <c r="DB241" s="2" t="s">
        <v>300</v>
      </c>
      <c r="DC241" s="2" t="s">
        <v>300</v>
      </c>
      <c r="DD241" s="2" t="s">
        <v>300</v>
      </c>
      <c r="DE241" s="2" t="s">
        <v>300</v>
      </c>
      <c r="DF241" s="2" t="s">
        <v>300</v>
      </c>
      <c r="DG241" s="2" t="s">
        <v>300</v>
      </c>
      <c r="DH241" s="2" t="s">
        <v>300</v>
      </c>
      <c r="DI241" s="2" t="s">
        <v>300</v>
      </c>
      <c r="DL241" s="2" t="s">
        <v>188</v>
      </c>
      <c r="DM241" s="2" t="s">
        <v>188</v>
      </c>
      <c r="DP241" s="2" t="s">
        <v>203</v>
      </c>
      <c r="DT241" s="2" t="s">
        <v>203</v>
      </c>
      <c r="DU241" s="2" t="s">
        <v>203</v>
      </c>
      <c r="DV241" s="2" t="s">
        <v>203</v>
      </c>
      <c r="DW241" s="2" t="s">
        <v>203</v>
      </c>
      <c r="DX241" s="2" t="s">
        <v>203</v>
      </c>
      <c r="DY241" s="2" t="s">
        <v>203</v>
      </c>
      <c r="DZ241" s="2" t="s">
        <v>203</v>
      </c>
      <c r="EA241" s="2" t="s">
        <v>203</v>
      </c>
      <c r="EB241" s="2" t="s">
        <v>203</v>
      </c>
      <c r="EC241" s="2" t="s">
        <v>203</v>
      </c>
      <c r="ED241" s="2" t="s">
        <v>203</v>
      </c>
      <c r="EE241" s="2" t="s">
        <v>1741</v>
      </c>
      <c r="EF241" s="2" t="s">
        <v>302</v>
      </c>
      <c r="EG241" s="2" t="s">
        <v>1742</v>
      </c>
      <c r="EJ241" s="2" t="s">
        <v>238</v>
      </c>
      <c r="EK241" s="2" t="s">
        <v>188</v>
      </c>
      <c r="EL241" s="2" t="s">
        <v>188</v>
      </c>
      <c r="EN241" s="2" t="s">
        <v>255</v>
      </c>
      <c r="EP241" s="2" t="s">
        <v>230</v>
      </c>
      <c r="ER241" s="2" t="s">
        <v>188</v>
      </c>
      <c r="ET241" s="2" t="s">
        <v>188</v>
      </c>
      <c r="EV241" s="2" t="s">
        <v>188</v>
      </c>
      <c r="EX241" s="2" t="s">
        <v>188</v>
      </c>
      <c r="EZ241" s="2" t="s">
        <v>188</v>
      </c>
      <c r="FC241" s="2" t="s">
        <v>216</v>
      </c>
      <c r="FD241" s="2" t="s">
        <v>188</v>
      </c>
      <c r="FH241" s="2" t="s">
        <v>188</v>
      </c>
      <c r="FJ241" s="2" t="s">
        <v>188</v>
      </c>
      <c r="FK241" s="2" t="s">
        <v>203</v>
      </c>
      <c r="FR241" s="2" t="s">
        <v>1743</v>
      </c>
      <c r="FT241" s="2" t="s">
        <v>233</v>
      </c>
      <c r="FU241" s="2" t="s">
        <v>233</v>
      </c>
      <c r="FV241" s="2" t="s">
        <v>233</v>
      </c>
      <c r="FW241" s="2" t="s">
        <v>233</v>
      </c>
      <c r="FX241" s="2" t="s">
        <v>233</v>
      </c>
      <c r="FY241" s="2" t="s">
        <v>1744</v>
      </c>
      <c r="FZ241" s="4">
        <v>46038.706331018519</v>
      </c>
    </row>
    <row r="242" spans="1:182">
      <c r="A242" s="2" t="s">
        <v>1745</v>
      </c>
      <c r="D242" s="4">
        <v>46327.401689814818</v>
      </c>
      <c r="E242" s="2" t="s">
        <v>1746</v>
      </c>
      <c r="F242" s="2" t="s">
        <v>590</v>
      </c>
      <c r="G242" s="2" t="s">
        <v>1649</v>
      </c>
      <c r="H242" s="2" t="s">
        <v>1659</v>
      </c>
      <c r="I242" s="2" t="s">
        <v>1747</v>
      </c>
      <c r="J242" s="2">
        <v>961640078</v>
      </c>
      <c r="K242" s="2" t="s">
        <v>1748</v>
      </c>
      <c r="L242" s="2" t="s">
        <v>182</v>
      </c>
      <c r="M242" s="2" t="s">
        <v>223</v>
      </c>
      <c r="N242" s="2">
        <v>1974</v>
      </c>
      <c r="O242" s="2" t="s">
        <v>224</v>
      </c>
      <c r="P242" s="2" t="s">
        <v>225</v>
      </c>
      <c r="Q242" s="2" t="s">
        <v>186</v>
      </c>
      <c r="R242" s="2" t="s">
        <v>188</v>
      </c>
      <c r="S242" s="2">
        <v>27</v>
      </c>
      <c r="T242" s="2" t="s">
        <v>188</v>
      </c>
      <c r="U242" s="2" t="s">
        <v>188</v>
      </c>
      <c r="Y242" s="2">
        <v>430</v>
      </c>
      <c r="Z242" s="2">
        <v>1</v>
      </c>
      <c r="AA242" s="2">
        <v>430</v>
      </c>
      <c r="AB242" s="2">
        <v>430</v>
      </c>
      <c r="AC242" s="2">
        <v>430</v>
      </c>
      <c r="AD242" s="2">
        <v>530</v>
      </c>
      <c r="AE242" s="2">
        <v>100</v>
      </c>
      <c r="AF242" s="2" t="s">
        <v>188</v>
      </c>
      <c r="AG242" s="2" t="s">
        <v>188</v>
      </c>
      <c r="AH242" s="2" t="s">
        <v>188</v>
      </c>
      <c r="AJ242" s="2" t="s">
        <v>188</v>
      </c>
      <c r="AK242" s="2" t="s">
        <v>188</v>
      </c>
      <c r="AL242" s="2" t="s">
        <v>188</v>
      </c>
      <c r="AM242" s="2" t="s">
        <v>188</v>
      </c>
      <c r="AN242" s="2" t="s">
        <v>188</v>
      </c>
      <c r="AO242" s="2" t="s">
        <v>188</v>
      </c>
      <c r="AR242" s="2">
        <v>1.5</v>
      </c>
      <c r="AS242" s="2">
        <v>2</v>
      </c>
      <c r="AT242" s="2">
        <v>6</v>
      </c>
      <c r="AU242" s="2" t="s">
        <v>203</v>
      </c>
      <c r="AV242" s="2" t="s">
        <v>238</v>
      </c>
      <c r="AW242" s="2" t="s">
        <v>188</v>
      </c>
      <c r="AZ242" s="2" t="s">
        <v>190</v>
      </c>
      <c r="BB242" s="2" t="s">
        <v>260</v>
      </c>
      <c r="BC242" s="2" t="s">
        <v>296</v>
      </c>
      <c r="BD242" s="2" t="s">
        <v>187</v>
      </c>
      <c r="BE242" s="2" t="s">
        <v>187</v>
      </c>
      <c r="BF242" s="2" t="s">
        <v>193</v>
      </c>
      <c r="BG242" s="2" t="s">
        <v>194</v>
      </c>
      <c r="BH242" s="2" t="s">
        <v>297</v>
      </c>
      <c r="BI242" s="2" t="s">
        <v>196</v>
      </c>
      <c r="BL242" s="2" t="s">
        <v>197</v>
      </c>
      <c r="BM242" s="2" t="s">
        <v>507</v>
      </c>
      <c r="BN242" s="2" t="s">
        <v>199</v>
      </c>
      <c r="BO242" s="2" t="s">
        <v>341</v>
      </c>
      <c r="BP242" s="2" t="s">
        <v>1749</v>
      </c>
      <c r="BS242" s="2" t="s">
        <v>188</v>
      </c>
      <c r="BT242" s="2" t="s">
        <v>651</v>
      </c>
      <c r="BV242" s="2" t="s">
        <v>389</v>
      </c>
      <c r="BX242" s="2" t="s">
        <v>188</v>
      </c>
      <c r="BZ242" s="2" t="s">
        <v>188</v>
      </c>
      <c r="CE242" s="2">
        <v>6</v>
      </c>
      <c r="CF242" s="2">
        <v>530</v>
      </c>
      <c r="CK242" s="2">
        <v>100</v>
      </c>
      <c r="CO242" s="2">
        <v>100</v>
      </c>
      <c r="CR242" s="2" t="s">
        <v>204</v>
      </c>
      <c r="CT242" s="2" t="s">
        <v>188</v>
      </c>
      <c r="CU242" s="2" t="s">
        <v>281</v>
      </c>
      <c r="CW242" s="2" t="s">
        <v>206</v>
      </c>
      <c r="CY242" s="2" t="s">
        <v>207</v>
      </c>
      <c r="CZ242" s="2" t="s">
        <v>300</v>
      </c>
      <c r="DA242" s="2" t="s">
        <v>300</v>
      </c>
      <c r="DB242" s="2" t="s">
        <v>300</v>
      </c>
      <c r="DC242" s="2" t="s">
        <v>430</v>
      </c>
      <c r="DD242" s="2" t="s">
        <v>300</v>
      </c>
      <c r="DE242" s="2" t="s">
        <v>300</v>
      </c>
      <c r="DF242" s="2" t="s">
        <v>300</v>
      </c>
      <c r="DG242" s="2" t="s">
        <v>300</v>
      </c>
      <c r="DH242" s="2" t="s">
        <v>300</v>
      </c>
      <c r="DI242" s="2" t="s">
        <v>300</v>
      </c>
      <c r="DL242" s="2" t="s">
        <v>188</v>
      </c>
      <c r="DM242" s="2" t="s">
        <v>188</v>
      </c>
      <c r="DP242" s="2" t="s">
        <v>203</v>
      </c>
      <c r="DT242" s="2" t="s">
        <v>203</v>
      </c>
      <c r="DU242" s="2" t="s">
        <v>203</v>
      </c>
      <c r="DV242" s="2" t="s">
        <v>203</v>
      </c>
      <c r="DW242" s="2" t="s">
        <v>203</v>
      </c>
      <c r="DX242" s="2" t="s">
        <v>203</v>
      </c>
      <c r="DY242" s="2" t="s">
        <v>203</v>
      </c>
      <c r="DZ242" s="2" t="s">
        <v>203</v>
      </c>
      <c r="EA242" s="2" t="s">
        <v>203</v>
      </c>
      <c r="EB242" s="2" t="s">
        <v>203</v>
      </c>
      <c r="EC242" s="2" t="s">
        <v>203</v>
      </c>
      <c r="EF242" s="2" t="s">
        <v>189</v>
      </c>
      <c r="EG242" s="2" t="s">
        <v>1750</v>
      </c>
      <c r="EJ242" s="2" t="s">
        <v>203</v>
      </c>
      <c r="EK242" s="2" t="s">
        <v>188</v>
      </c>
      <c r="EL242" s="2" t="s">
        <v>188</v>
      </c>
      <c r="EN242" s="2" t="s">
        <v>255</v>
      </c>
      <c r="EP242" s="2" t="s">
        <v>230</v>
      </c>
      <c r="ER242" s="2" t="s">
        <v>188</v>
      </c>
      <c r="ET242" s="2" t="s">
        <v>188</v>
      </c>
      <c r="EV242" s="2" t="s">
        <v>188</v>
      </c>
      <c r="EX242" s="2" t="s">
        <v>188</v>
      </c>
      <c r="EZ242" s="2" t="s">
        <v>188</v>
      </c>
      <c r="FC242" s="2" t="s">
        <v>263</v>
      </c>
      <c r="FD242" s="2" t="s">
        <v>188</v>
      </c>
      <c r="FH242" s="2" t="s">
        <v>188</v>
      </c>
      <c r="FJ242" s="2" t="s">
        <v>188</v>
      </c>
      <c r="FK242" s="2" t="s">
        <v>188</v>
      </c>
      <c r="FN242" s="2" t="s">
        <v>1751</v>
      </c>
      <c r="FR242" s="2" t="s">
        <v>1752</v>
      </c>
      <c r="FT242" s="2" t="s">
        <v>219</v>
      </c>
      <c r="FU242" s="2" t="s">
        <v>233</v>
      </c>
      <c r="FV242" s="2" t="s">
        <v>219</v>
      </c>
      <c r="FW242" s="2" t="s">
        <v>233</v>
      </c>
      <c r="FZ242" s="4">
        <v>46040.728900462964</v>
      </c>
    </row>
    <row r="243" spans="1:182">
      <c r="A243" s="2" t="s">
        <v>1753</v>
      </c>
      <c r="D243" s="4">
        <v>46327.405451388891</v>
      </c>
      <c r="E243" s="2" t="s">
        <v>1754</v>
      </c>
      <c r="F243" s="2" t="s">
        <v>480</v>
      </c>
      <c r="G243" s="2" t="s">
        <v>1649</v>
      </c>
      <c r="H243" s="2" t="s">
        <v>1650</v>
      </c>
      <c r="I243" s="2" t="s">
        <v>1755</v>
      </c>
      <c r="J243" s="2">
        <v>975589331</v>
      </c>
      <c r="K243" s="2" t="s">
        <v>1756</v>
      </c>
      <c r="L243" s="2" t="s">
        <v>182</v>
      </c>
      <c r="M243" s="2" t="s">
        <v>223</v>
      </c>
      <c r="N243" s="2">
        <v>1983</v>
      </c>
      <c r="O243" s="2" t="s">
        <v>224</v>
      </c>
      <c r="P243" s="2" t="s">
        <v>185</v>
      </c>
      <c r="Q243" s="2" t="s">
        <v>186</v>
      </c>
      <c r="R243" s="2" t="s">
        <v>188</v>
      </c>
      <c r="S243" s="2">
        <v>28</v>
      </c>
      <c r="T243" s="2" t="s">
        <v>188</v>
      </c>
      <c r="U243" s="2" t="s">
        <v>188</v>
      </c>
      <c r="Y243" s="2">
        <v>281</v>
      </c>
      <c r="Z243" s="2">
        <v>1</v>
      </c>
      <c r="AA243" s="2">
        <v>281</v>
      </c>
      <c r="AC243" s="2">
        <v>381</v>
      </c>
      <c r="AD243" s="2">
        <v>539</v>
      </c>
      <c r="AE243" s="2">
        <v>158</v>
      </c>
      <c r="AF243" s="2" t="s">
        <v>188</v>
      </c>
      <c r="AG243" s="2" t="s">
        <v>188</v>
      </c>
      <c r="AH243" s="2" t="s">
        <v>188</v>
      </c>
      <c r="AJ243" s="2" t="s">
        <v>188</v>
      </c>
      <c r="AK243" s="2" t="s">
        <v>188</v>
      </c>
      <c r="AL243" s="2" t="s">
        <v>188</v>
      </c>
      <c r="AM243" s="2" t="s">
        <v>188</v>
      </c>
      <c r="AN243" s="2" t="s">
        <v>188</v>
      </c>
      <c r="AO243" s="2" t="s">
        <v>188</v>
      </c>
      <c r="AR243" s="2">
        <v>2</v>
      </c>
      <c r="AS243" s="2">
        <v>1</v>
      </c>
      <c r="AT243" s="2">
        <v>5.5</v>
      </c>
      <c r="AU243" s="2" t="s">
        <v>238</v>
      </c>
      <c r="AV243" s="2" t="s">
        <v>238</v>
      </c>
      <c r="AW243" s="2" t="s">
        <v>188</v>
      </c>
      <c r="AZ243" s="2" t="s">
        <v>190</v>
      </c>
      <c r="BB243" s="2" t="s">
        <v>260</v>
      </c>
      <c r="BC243" s="2" t="s">
        <v>296</v>
      </c>
      <c r="BD243" s="2" t="s">
        <v>188</v>
      </c>
      <c r="BE243" s="2" t="s">
        <v>187</v>
      </c>
      <c r="BF243" s="2" t="s">
        <v>193</v>
      </c>
      <c r="BG243" s="2" t="s">
        <v>279</v>
      </c>
      <c r="BH243" s="2" t="s">
        <v>195</v>
      </c>
      <c r="BI243" s="2" t="s">
        <v>196</v>
      </c>
      <c r="BL243" s="2" t="s">
        <v>197</v>
      </c>
      <c r="BM243" s="2" t="s">
        <v>198</v>
      </c>
      <c r="BN243" s="2" t="s">
        <v>199</v>
      </c>
      <c r="BO243" s="2" t="s">
        <v>188</v>
      </c>
      <c r="BQ243" s="2" t="s">
        <v>227</v>
      </c>
      <c r="BS243" s="2" t="s">
        <v>187</v>
      </c>
      <c r="BT243" s="2" t="s">
        <v>611</v>
      </c>
      <c r="BV243" s="2" t="s">
        <v>1628</v>
      </c>
      <c r="BX243" s="2" t="s">
        <v>187</v>
      </c>
      <c r="BY243" s="2" t="s">
        <v>1757</v>
      </c>
      <c r="BZ243" s="2" t="s">
        <v>209</v>
      </c>
      <c r="CA243" s="2" t="s">
        <v>1758</v>
      </c>
      <c r="CE243" s="2">
        <v>5.5</v>
      </c>
      <c r="CF243" s="2">
        <v>539</v>
      </c>
      <c r="CL243" s="2">
        <v>100</v>
      </c>
      <c r="CO243" s="2">
        <v>100</v>
      </c>
      <c r="CR243" s="2" t="s">
        <v>511</v>
      </c>
      <c r="CT243" s="2" t="s">
        <v>188</v>
      </c>
      <c r="CU243" s="2" t="s">
        <v>249</v>
      </c>
      <c r="CW243" s="2" t="s">
        <v>206</v>
      </c>
      <c r="CY243" s="2" t="s">
        <v>273</v>
      </c>
      <c r="CZ243" s="2" t="s">
        <v>273</v>
      </c>
      <c r="DA243" s="2" t="s">
        <v>299</v>
      </c>
      <c r="DB243" s="2" t="s">
        <v>273</v>
      </c>
      <c r="DC243" s="2" t="s">
        <v>300</v>
      </c>
      <c r="DD243" s="2" t="s">
        <v>300</v>
      </c>
      <c r="DE243" s="2" t="s">
        <v>300</v>
      </c>
      <c r="DF243" s="2" t="s">
        <v>273</v>
      </c>
      <c r="DG243" s="2" t="s">
        <v>273</v>
      </c>
      <c r="DH243" s="2" t="s">
        <v>273</v>
      </c>
      <c r="DI243" s="2" t="s">
        <v>273</v>
      </c>
      <c r="DL243" s="2" t="s">
        <v>187</v>
      </c>
      <c r="DM243" s="2" t="s">
        <v>187</v>
      </c>
      <c r="DN243" s="2" t="s">
        <v>187</v>
      </c>
      <c r="DO243" s="2" t="s">
        <v>187</v>
      </c>
      <c r="DP243" s="2" t="s">
        <v>209</v>
      </c>
      <c r="DQ243" s="2" t="s">
        <v>467</v>
      </c>
      <c r="DR243" s="2" t="s">
        <v>1759</v>
      </c>
      <c r="DT243" s="2" t="s">
        <v>209</v>
      </c>
      <c r="DU243" s="2" t="s">
        <v>209</v>
      </c>
      <c r="DV243" s="2" t="s">
        <v>209</v>
      </c>
      <c r="DW243" s="2" t="s">
        <v>209</v>
      </c>
      <c r="DX243" s="2" t="s">
        <v>209</v>
      </c>
      <c r="DY243" s="2" t="s">
        <v>203</v>
      </c>
      <c r="DZ243" s="2" t="s">
        <v>203</v>
      </c>
      <c r="EA243" s="2" t="s">
        <v>203</v>
      </c>
      <c r="EB243" s="2" t="s">
        <v>209</v>
      </c>
      <c r="EF243" s="2" t="s">
        <v>189</v>
      </c>
      <c r="EG243" s="2" t="s">
        <v>1760</v>
      </c>
      <c r="EJ243" s="2" t="s">
        <v>238</v>
      </c>
      <c r="EK243" s="2" t="s">
        <v>187</v>
      </c>
      <c r="EL243" s="2" t="s">
        <v>188</v>
      </c>
      <c r="EN243" s="2" t="s">
        <v>214</v>
      </c>
      <c r="EP243" s="2" t="s">
        <v>230</v>
      </c>
      <c r="ER243" s="2" t="s">
        <v>187</v>
      </c>
      <c r="ET243" s="2" t="s">
        <v>188</v>
      </c>
      <c r="EV243" s="2" t="s">
        <v>187</v>
      </c>
      <c r="EW243" s="2" t="s">
        <v>189</v>
      </c>
      <c r="EX243" s="2" t="s">
        <v>188</v>
      </c>
      <c r="EZ243" s="2" t="s">
        <v>188</v>
      </c>
      <c r="FC243" s="2" t="s">
        <v>395</v>
      </c>
      <c r="FD243" s="2" t="s">
        <v>187</v>
      </c>
      <c r="FE243" s="2" t="s">
        <v>215</v>
      </c>
      <c r="FH243" s="2" t="s">
        <v>188</v>
      </c>
      <c r="FJ243" s="2" t="s">
        <v>188</v>
      </c>
      <c r="FK243" s="2" t="s">
        <v>188</v>
      </c>
      <c r="FN243" s="2" t="s">
        <v>488</v>
      </c>
      <c r="FR243" s="2" t="s">
        <v>1761</v>
      </c>
      <c r="FT243" s="2" t="s">
        <v>233</v>
      </c>
      <c r="FU243" s="2" t="s">
        <v>233</v>
      </c>
      <c r="FV243" s="2" t="s">
        <v>233</v>
      </c>
      <c r="FW243" s="2" t="s">
        <v>233</v>
      </c>
      <c r="FX243" s="2" t="s">
        <v>233</v>
      </c>
      <c r="FZ243" s="4">
        <v>46043.438379629632</v>
      </c>
    </row>
    <row r="244" spans="1:182">
      <c r="A244" s="2" t="s">
        <v>1762</v>
      </c>
      <c r="D244" s="4">
        <v>46327.406608796293</v>
      </c>
      <c r="E244" s="2" t="s">
        <v>1763</v>
      </c>
      <c r="F244" s="2" t="s">
        <v>425</v>
      </c>
      <c r="G244" s="2" t="s">
        <v>1649</v>
      </c>
      <c r="H244" s="2" t="s">
        <v>1668</v>
      </c>
      <c r="I244" s="2" t="s">
        <v>1764</v>
      </c>
      <c r="J244" s="2">
        <v>971149582</v>
      </c>
      <c r="K244" s="2" t="s">
        <v>1764</v>
      </c>
      <c r="L244" s="2" t="s">
        <v>182</v>
      </c>
      <c r="M244" s="2" t="s">
        <v>183</v>
      </c>
      <c r="N244" s="2">
        <v>1984</v>
      </c>
      <c r="O244" s="2" t="s">
        <v>224</v>
      </c>
      <c r="P244" s="2" t="s">
        <v>185</v>
      </c>
      <c r="Q244" s="2" t="s">
        <v>226</v>
      </c>
      <c r="R244" s="2" t="s">
        <v>188</v>
      </c>
      <c r="S244" s="2">
        <v>30</v>
      </c>
      <c r="T244" s="2" t="s">
        <v>188</v>
      </c>
      <c r="U244" s="2" t="s">
        <v>188</v>
      </c>
      <c r="Y244" s="2">
        <v>370</v>
      </c>
      <c r="Z244" s="2">
        <v>0.89190000000000003</v>
      </c>
      <c r="AA244" s="2">
        <v>330</v>
      </c>
      <c r="AB244" s="2">
        <v>330</v>
      </c>
      <c r="AC244" s="2">
        <v>330</v>
      </c>
      <c r="AD244" s="2">
        <v>400</v>
      </c>
      <c r="AE244" s="2">
        <v>70</v>
      </c>
      <c r="AF244" s="2" t="s">
        <v>188</v>
      </c>
      <c r="AG244" s="2" t="s">
        <v>188</v>
      </c>
      <c r="AH244" s="2" t="s">
        <v>188</v>
      </c>
      <c r="AJ244" s="2" t="s">
        <v>188</v>
      </c>
      <c r="AK244" s="2" t="s">
        <v>188</v>
      </c>
      <c r="AL244" s="2" t="s">
        <v>188</v>
      </c>
      <c r="AM244" s="2" t="s">
        <v>187</v>
      </c>
      <c r="AN244" s="2" t="s">
        <v>188</v>
      </c>
      <c r="AO244" s="2" t="s">
        <v>188</v>
      </c>
      <c r="AR244" s="2">
        <v>1</v>
      </c>
      <c r="AS244" s="2">
        <v>1</v>
      </c>
      <c r="AT244" s="2">
        <v>4</v>
      </c>
      <c r="AU244" s="2" t="s">
        <v>238</v>
      </c>
      <c r="AV244" s="2" t="s">
        <v>238</v>
      </c>
      <c r="AW244" s="2" t="s">
        <v>188</v>
      </c>
      <c r="AZ244" s="2" t="s">
        <v>357</v>
      </c>
      <c r="BB244" s="2" t="s">
        <v>260</v>
      </c>
      <c r="BC244" s="2" t="s">
        <v>253</v>
      </c>
      <c r="BD244" s="2" t="s">
        <v>188</v>
      </c>
      <c r="BE244" s="2" t="s">
        <v>188</v>
      </c>
      <c r="BL244" s="2" t="s">
        <v>197</v>
      </c>
      <c r="BM244" s="2" t="s">
        <v>198</v>
      </c>
      <c r="BN244" s="2" t="s">
        <v>199</v>
      </c>
      <c r="BO244" s="2" t="s">
        <v>188</v>
      </c>
      <c r="BQ244" s="2" t="s">
        <v>200</v>
      </c>
      <c r="BS244" s="2" t="s">
        <v>187</v>
      </c>
      <c r="BT244" s="2" t="s">
        <v>484</v>
      </c>
      <c r="BV244" s="2" t="s">
        <v>522</v>
      </c>
      <c r="BX244" s="2" t="s">
        <v>188</v>
      </c>
      <c r="BZ244" s="2" t="s">
        <v>188</v>
      </c>
      <c r="CE244" s="2">
        <v>4</v>
      </c>
      <c r="CF244" s="2">
        <v>400</v>
      </c>
      <c r="CK244" s="2">
        <v>30</v>
      </c>
      <c r="CM244" s="2">
        <v>70</v>
      </c>
      <c r="CO244" s="2">
        <v>100</v>
      </c>
      <c r="CR244" s="2" t="s">
        <v>204</v>
      </c>
      <c r="CT244" s="2" t="s">
        <v>188</v>
      </c>
      <c r="CU244" s="2" t="s">
        <v>1670</v>
      </c>
      <c r="CW244" s="2" t="s">
        <v>206</v>
      </c>
      <c r="CY244" s="2" t="s">
        <v>207</v>
      </c>
      <c r="CZ244" s="2" t="s">
        <v>207</v>
      </c>
      <c r="DA244" s="2" t="s">
        <v>300</v>
      </c>
      <c r="DB244" s="2" t="s">
        <v>300</v>
      </c>
      <c r="DC244" s="2" t="s">
        <v>300</v>
      </c>
      <c r="DD244" s="2" t="s">
        <v>430</v>
      </c>
      <c r="DE244" s="2" t="s">
        <v>300</v>
      </c>
      <c r="DF244" s="2" t="s">
        <v>207</v>
      </c>
      <c r="DG244" s="2" t="s">
        <v>207</v>
      </c>
      <c r="DH244" s="2" t="s">
        <v>430</v>
      </c>
      <c r="DI244" s="2" t="s">
        <v>430</v>
      </c>
      <c r="DL244" s="2" t="s">
        <v>187</v>
      </c>
      <c r="DM244" s="2" t="s">
        <v>187</v>
      </c>
      <c r="DN244" s="2" t="s">
        <v>187</v>
      </c>
      <c r="DO244" s="2" t="s">
        <v>187</v>
      </c>
      <c r="DP244" s="2" t="s">
        <v>209</v>
      </c>
      <c r="DQ244" s="2" t="s">
        <v>467</v>
      </c>
      <c r="DR244" s="2" t="s">
        <v>1765</v>
      </c>
      <c r="DT244" s="2" t="s">
        <v>209</v>
      </c>
      <c r="DU244" s="2" t="s">
        <v>209</v>
      </c>
      <c r="DV244" s="2" t="s">
        <v>209</v>
      </c>
      <c r="DW244" s="2" t="s">
        <v>209</v>
      </c>
      <c r="DX244" s="2" t="s">
        <v>209</v>
      </c>
      <c r="DY244" s="2" t="s">
        <v>209</v>
      </c>
      <c r="DZ244" s="2" t="s">
        <v>203</v>
      </c>
      <c r="EA244" s="2" t="s">
        <v>209</v>
      </c>
      <c r="EB244" s="2" t="s">
        <v>209</v>
      </c>
      <c r="EC244" s="2" t="s">
        <v>188</v>
      </c>
      <c r="EF244" s="2" t="s">
        <v>189</v>
      </c>
      <c r="EJ244" s="2" t="s">
        <v>238</v>
      </c>
      <c r="EK244" s="2" t="s">
        <v>187</v>
      </c>
      <c r="EL244" s="2" t="s">
        <v>188</v>
      </c>
      <c r="EN244" s="2" t="s">
        <v>214</v>
      </c>
      <c r="EP244" s="2" t="s">
        <v>230</v>
      </c>
      <c r="ER244" s="2" t="s">
        <v>188</v>
      </c>
      <c r="ET244" s="2" t="s">
        <v>188</v>
      </c>
      <c r="EV244" s="2" t="s">
        <v>187</v>
      </c>
      <c r="EW244" s="2" t="s">
        <v>1183</v>
      </c>
      <c r="EX244" s="2" t="s">
        <v>188</v>
      </c>
      <c r="EZ244" s="2" t="s">
        <v>188</v>
      </c>
      <c r="FC244" s="2" t="s">
        <v>263</v>
      </c>
      <c r="FD244" s="2" t="s">
        <v>188</v>
      </c>
      <c r="FH244" s="2" t="s">
        <v>188</v>
      </c>
      <c r="FJ244" s="2" t="s">
        <v>188</v>
      </c>
      <c r="FK244" s="2" t="s">
        <v>188</v>
      </c>
      <c r="FR244" s="2" t="s">
        <v>1766</v>
      </c>
      <c r="FT244" s="2" t="s">
        <v>219</v>
      </c>
      <c r="FU244" s="2" t="s">
        <v>219</v>
      </c>
      <c r="FV244" s="2" t="s">
        <v>233</v>
      </c>
      <c r="FW244" s="2" t="s">
        <v>233</v>
      </c>
      <c r="FZ244" s="4">
        <v>46040.434756944444</v>
      </c>
    </row>
    <row r="245" spans="1:182">
      <c r="A245" s="2" t="s">
        <v>1767</v>
      </c>
      <c r="D245" s="4">
        <v>46327.413530092592</v>
      </c>
      <c r="E245" s="2" t="s">
        <v>177</v>
      </c>
      <c r="F245" s="2" t="s">
        <v>293</v>
      </c>
      <c r="G245" s="2" t="s">
        <v>1649</v>
      </c>
      <c r="H245" s="2" t="s">
        <v>1659</v>
      </c>
      <c r="I245" s="2" t="s">
        <v>1768</v>
      </c>
      <c r="J245" s="2">
        <v>397832118</v>
      </c>
      <c r="K245" s="2" t="s">
        <v>1768</v>
      </c>
      <c r="L245" s="2" t="s">
        <v>182</v>
      </c>
      <c r="M245" s="2" t="s">
        <v>223</v>
      </c>
      <c r="N245" s="2">
        <v>1970</v>
      </c>
      <c r="O245" s="2" t="s">
        <v>224</v>
      </c>
      <c r="P245" s="2" t="s">
        <v>185</v>
      </c>
      <c r="Q245" s="2" t="s">
        <v>186</v>
      </c>
      <c r="R245" s="2" t="s">
        <v>188</v>
      </c>
      <c r="S245" s="2">
        <v>1997</v>
      </c>
      <c r="T245" s="2" t="s">
        <v>188</v>
      </c>
      <c r="U245" s="2" t="s">
        <v>188</v>
      </c>
      <c r="Y245" s="2">
        <v>820</v>
      </c>
      <c r="Z245" s="2">
        <v>0.97560000000000002</v>
      </c>
      <c r="AA245" s="2">
        <v>800</v>
      </c>
      <c r="AB245" s="2">
        <v>800</v>
      </c>
      <c r="AC245" s="2">
        <v>770</v>
      </c>
      <c r="AD245" s="2">
        <v>900</v>
      </c>
      <c r="AE245" s="2">
        <v>130</v>
      </c>
      <c r="AF245" s="2" t="s">
        <v>188</v>
      </c>
      <c r="AG245" s="2" t="s">
        <v>187</v>
      </c>
      <c r="AH245" s="2" t="s">
        <v>187</v>
      </c>
      <c r="AI245" s="2" t="s">
        <v>1187</v>
      </c>
      <c r="AJ245" s="2" t="s">
        <v>188</v>
      </c>
      <c r="AK245" s="2" t="s">
        <v>188</v>
      </c>
      <c r="AL245" s="2" t="s">
        <v>188</v>
      </c>
      <c r="AM245" s="2" t="s">
        <v>187</v>
      </c>
      <c r="AN245" s="2" t="s">
        <v>188</v>
      </c>
      <c r="AO245" s="2" t="s">
        <v>188</v>
      </c>
      <c r="AR245" s="2">
        <v>2</v>
      </c>
      <c r="AS245" s="2">
        <v>2</v>
      </c>
      <c r="AT245" s="2">
        <v>9</v>
      </c>
      <c r="AU245" s="2" t="s">
        <v>238</v>
      </c>
      <c r="AV245" s="2" t="s">
        <v>238</v>
      </c>
      <c r="AW245" s="2" t="s">
        <v>188</v>
      </c>
      <c r="AZ245" s="2" t="s">
        <v>190</v>
      </c>
      <c r="BB245" s="2" t="s">
        <v>260</v>
      </c>
      <c r="BC245" s="2" t="s">
        <v>296</v>
      </c>
      <c r="BD245" s="2" t="s">
        <v>187</v>
      </c>
      <c r="BE245" s="2" t="s">
        <v>187</v>
      </c>
      <c r="BF245" s="2" t="s">
        <v>193</v>
      </c>
      <c r="BG245" s="2" t="s">
        <v>279</v>
      </c>
      <c r="BH245" s="2" t="s">
        <v>195</v>
      </c>
      <c r="BI245" s="2" t="s">
        <v>196</v>
      </c>
      <c r="BL245" s="2" t="s">
        <v>197</v>
      </c>
      <c r="BM245" s="2" t="s">
        <v>198</v>
      </c>
      <c r="BN245" s="2" t="s">
        <v>199</v>
      </c>
      <c r="BO245" s="2" t="s">
        <v>188</v>
      </c>
      <c r="BQ245" s="2" t="s">
        <v>227</v>
      </c>
      <c r="BS245" s="2" t="s">
        <v>187</v>
      </c>
      <c r="BT245" s="2" t="s">
        <v>201</v>
      </c>
      <c r="BV245" s="2" t="s">
        <v>389</v>
      </c>
      <c r="BX245" s="2" t="s">
        <v>187</v>
      </c>
      <c r="BY245" s="2" t="s">
        <v>310</v>
      </c>
      <c r="BZ245" s="2" t="s">
        <v>203</v>
      </c>
      <c r="CE245" s="2">
        <v>9</v>
      </c>
      <c r="CF245" s="2">
        <v>850</v>
      </c>
      <c r="CK245" s="2">
        <v>100</v>
      </c>
      <c r="CO245" s="2">
        <v>100</v>
      </c>
      <c r="CR245" s="2" t="s">
        <v>343</v>
      </c>
      <c r="CT245" s="2" t="s">
        <v>188</v>
      </c>
      <c r="CU245" s="2" t="s">
        <v>205</v>
      </c>
      <c r="CW245" s="2" t="s">
        <v>206</v>
      </c>
      <c r="CY245" s="2" t="s">
        <v>207</v>
      </c>
      <c r="CZ245" s="2" t="s">
        <v>207</v>
      </c>
      <c r="DA245" s="2" t="s">
        <v>300</v>
      </c>
      <c r="DB245" s="2" t="s">
        <v>301</v>
      </c>
      <c r="DC245" s="2" t="s">
        <v>300</v>
      </c>
      <c r="DD245" s="2" t="s">
        <v>301</v>
      </c>
      <c r="DE245" s="2" t="s">
        <v>300</v>
      </c>
      <c r="DF245" s="2" t="s">
        <v>207</v>
      </c>
      <c r="DG245" s="2" t="s">
        <v>207</v>
      </c>
      <c r="DH245" s="2" t="s">
        <v>207</v>
      </c>
      <c r="DI245" s="2" t="s">
        <v>207</v>
      </c>
      <c r="DL245" s="2" t="s">
        <v>187</v>
      </c>
      <c r="DM245" s="2" t="s">
        <v>187</v>
      </c>
      <c r="DN245" s="2" t="s">
        <v>187</v>
      </c>
      <c r="DO245" s="2" t="s">
        <v>187</v>
      </c>
      <c r="DP245" s="2" t="s">
        <v>209</v>
      </c>
      <c r="DQ245" s="2" t="s">
        <v>210</v>
      </c>
      <c r="DT245" s="2" t="s">
        <v>209</v>
      </c>
      <c r="DU245" s="2" t="s">
        <v>209</v>
      </c>
      <c r="DV245" s="2" t="s">
        <v>209</v>
      </c>
      <c r="DW245" s="2" t="s">
        <v>209</v>
      </c>
      <c r="DX245" s="2" t="s">
        <v>209</v>
      </c>
      <c r="DY245" s="2" t="s">
        <v>203</v>
      </c>
      <c r="DZ245" s="2" t="s">
        <v>203</v>
      </c>
      <c r="EA245" s="2" t="s">
        <v>209</v>
      </c>
      <c r="EB245" s="2" t="s">
        <v>209</v>
      </c>
      <c r="EC245" s="2" t="s">
        <v>203</v>
      </c>
      <c r="EF245" s="2" t="s">
        <v>211</v>
      </c>
      <c r="EJ245" s="2" t="s">
        <v>203</v>
      </c>
      <c r="EK245" s="2" t="s">
        <v>187</v>
      </c>
      <c r="EL245" s="2" t="s">
        <v>188</v>
      </c>
      <c r="EN245" s="2" t="s">
        <v>214</v>
      </c>
      <c r="EP245" s="2" t="s">
        <v>230</v>
      </c>
      <c r="ER245" s="2" t="s">
        <v>188</v>
      </c>
      <c r="ET245" s="2" t="s">
        <v>188</v>
      </c>
      <c r="EV245" s="2" t="s">
        <v>187</v>
      </c>
      <c r="EW245" s="2" t="s">
        <v>189</v>
      </c>
      <c r="EX245" s="2" t="s">
        <v>188</v>
      </c>
      <c r="FC245" s="2" t="s">
        <v>216</v>
      </c>
      <c r="FD245" s="2" t="s">
        <v>188</v>
      </c>
      <c r="FH245" s="2" t="s">
        <v>188</v>
      </c>
      <c r="FJ245" s="2" t="s">
        <v>187</v>
      </c>
      <c r="FK245" s="2" t="s">
        <v>188</v>
      </c>
      <c r="FN245" s="2" t="s">
        <v>354</v>
      </c>
      <c r="FT245" s="2" t="s">
        <v>219</v>
      </c>
      <c r="FU245" s="2" t="s">
        <v>233</v>
      </c>
      <c r="FV245" s="2" t="s">
        <v>233</v>
      </c>
      <c r="FW245" s="2" t="s">
        <v>233</v>
      </c>
      <c r="FZ245" s="4">
        <v>46039.816157407404</v>
      </c>
    </row>
    <row r="246" spans="1:182">
      <c r="A246" s="2" t="s">
        <v>1769</v>
      </c>
      <c r="D246" s="4">
        <v>46327.408518518518</v>
      </c>
      <c r="E246" s="2" t="s">
        <v>177</v>
      </c>
      <c r="F246" s="2" t="s">
        <v>178</v>
      </c>
      <c r="G246" s="2" t="s">
        <v>1649</v>
      </c>
      <c r="H246" s="2" t="s">
        <v>1659</v>
      </c>
      <c r="I246" s="2" t="s">
        <v>1770</v>
      </c>
      <c r="J246" s="2">
        <v>384545642</v>
      </c>
      <c r="K246" s="2" t="s">
        <v>1771</v>
      </c>
      <c r="L246" s="2" t="s">
        <v>182</v>
      </c>
      <c r="M246" s="2" t="s">
        <v>223</v>
      </c>
      <c r="N246" s="2">
        <v>1980</v>
      </c>
      <c r="O246" s="2" t="s">
        <v>224</v>
      </c>
      <c r="P246" s="2" t="s">
        <v>225</v>
      </c>
      <c r="Q246" s="2" t="s">
        <v>186</v>
      </c>
      <c r="R246" s="2" t="s">
        <v>188</v>
      </c>
      <c r="S246" s="2">
        <v>28</v>
      </c>
      <c r="T246" s="2" t="s">
        <v>188</v>
      </c>
      <c r="U246" s="2" t="s">
        <v>188</v>
      </c>
      <c r="Y246" s="2">
        <v>275</v>
      </c>
      <c r="Z246" s="2">
        <v>0.92730000000000001</v>
      </c>
      <c r="AA246" s="2">
        <v>255</v>
      </c>
      <c r="AB246" s="2">
        <v>255</v>
      </c>
      <c r="AC246" s="2">
        <v>255</v>
      </c>
      <c r="AD246" s="2">
        <v>340</v>
      </c>
      <c r="AE246" s="2">
        <v>85</v>
      </c>
      <c r="AF246" s="2" t="s">
        <v>188</v>
      </c>
      <c r="AG246" s="2" t="s">
        <v>188</v>
      </c>
      <c r="AH246" s="2" t="s">
        <v>188</v>
      </c>
      <c r="AJ246" s="2" t="s">
        <v>188</v>
      </c>
      <c r="AK246" s="2" t="s">
        <v>188</v>
      </c>
      <c r="AL246" s="2" t="s">
        <v>188</v>
      </c>
      <c r="AM246" s="2" t="s">
        <v>187</v>
      </c>
      <c r="AN246" s="2" t="s">
        <v>188</v>
      </c>
      <c r="AO246" s="2" t="s">
        <v>188</v>
      </c>
      <c r="AR246" s="2">
        <v>1</v>
      </c>
      <c r="AS246" s="2">
        <v>1</v>
      </c>
      <c r="AT246" s="2">
        <v>3.4</v>
      </c>
      <c r="AU246" s="2" t="s">
        <v>189</v>
      </c>
      <c r="AV246" s="2" t="s">
        <v>189</v>
      </c>
      <c r="AW246" s="2" t="s">
        <v>188</v>
      </c>
      <c r="AZ246" s="2" t="s">
        <v>190</v>
      </c>
      <c r="BB246" s="2" t="s">
        <v>191</v>
      </c>
      <c r="BC246" s="2" t="s">
        <v>192</v>
      </c>
      <c r="BD246" s="2" t="s">
        <v>187</v>
      </c>
      <c r="BE246" s="2" t="s">
        <v>187</v>
      </c>
      <c r="BF246" s="2" t="s">
        <v>193</v>
      </c>
      <c r="BG246" s="2" t="s">
        <v>194</v>
      </c>
      <c r="BH246" s="2" t="s">
        <v>297</v>
      </c>
      <c r="BI246" s="2" t="s">
        <v>196</v>
      </c>
      <c r="BL246" s="2" t="s">
        <v>197</v>
      </c>
      <c r="BM246" s="2" t="s">
        <v>198</v>
      </c>
      <c r="BN246" s="2" t="s">
        <v>199</v>
      </c>
      <c r="BO246" s="2" t="s">
        <v>188</v>
      </c>
      <c r="BQ246" s="2" t="s">
        <v>200</v>
      </c>
      <c r="BS246" s="2" t="s">
        <v>187</v>
      </c>
      <c r="BT246" s="2" t="s">
        <v>261</v>
      </c>
      <c r="BV246" s="2" t="s">
        <v>248</v>
      </c>
      <c r="BX246" s="2" t="s">
        <v>188</v>
      </c>
      <c r="BZ246" s="2" t="s">
        <v>203</v>
      </c>
      <c r="CE246" s="2">
        <v>3.4</v>
      </c>
      <c r="CF246" s="2">
        <v>340</v>
      </c>
      <c r="CM246" s="2">
        <v>100</v>
      </c>
      <c r="CO246" s="2">
        <v>100</v>
      </c>
      <c r="CR246" s="2" t="s">
        <v>204</v>
      </c>
      <c r="CT246" s="2" t="s">
        <v>188</v>
      </c>
      <c r="CU246" s="2" t="s">
        <v>205</v>
      </c>
      <c r="CW246" s="2" t="s">
        <v>206</v>
      </c>
      <c r="CY246" s="2" t="s">
        <v>207</v>
      </c>
      <c r="CZ246" s="2" t="s">
        <v>208</v>
      </c>
      <c r="DA246" s="2" t="s">
        <v>208</v>
      </c>
      <c r="DB246" s="2" t="s">
        <v>208</v>
      </c>
      <c r="DC246" s="2" t="s">
        <v>208</v>
      </c>
      <c r="DD246" s="2" t="s">
        <v>208</v>
      </c>
      <c r="DE246" s="2" t="s">
        <v>208</v>
      </c>
      <c r="DF246" s="2" t="s">
        <v>208</v>
      </c>
      <c r="DG246" s="2" t="s">
        <v>208</v>
      </c>
      <c r="DH246" s="2" t="s">
        <v>208</v>
      </c>
      <c r="DI246" s="2" t="s">
        <v>208</v>
      </c>
      <c r="DL246" s="2" t="s">
        <v>187</v>
      </c>
      <c r="DM246" s="2" t="s">
        <v>187</v>
      </c>
      <c r="DN246" s="2" t="s">
        <v>187</v>
      </c>
      <c r="DO246" s="2" t="s">
        <v>187</v>
      </c>
      <c r="DP246" s="2" t="s">
        <v>209</v>
      </c>
      <c r="DQ246" s="2" t="s">
        <v>210</v>
      </c>
      <c r="DT246" s="2" t="s">
        <v>209</v>
      </c>
      <c r="DU246" s="2" t="s">
        <v>209</v>
      </c>
      <c r="DV246" s="2" t="s">
        <v>209</v>
      </c>
      <c r="DW246" s="2" t="s">
        <v>209</v>
      </c>
      <c r="DX246" s="2" t="s">
        <v>209</v>
      </c>
      <c r="DY246" s="2" t="s">
        <v>209</v>
      </c>
      <c r="DZ246" s="2" t="s">
        <v>209</v>
      </c>
      <c r="EA246" s="2" t="s">
        <v>209</v>
      </c>
      <c r="EB246" s="2" t="s">
        <v>209</v>
      </c>
      <c r="EF246" s="2" t="s">
        <v>189</v>
      </c>
      <c r="EJ246" s="2" t="s">
        <v>189</v>
      </c>
      <c r="EK246" s="2" t="s">
        <v>187</v>
      </c>
      <c r="EL246" s="2" t="s">
        <v>188</v>
      </c>
      <c r="EN246" s="2" t="s">
        <v>214</v>
      </c>
      <c r="EP246" s="2" t="s">
        <v>230</v>
      </c>
      <c r="ER246" s="2" t="s">
        <v>187</v>
      </c>
      <c r="ET246" s="2" t="s">
        <v>188</v>
      </c>
      <c r="EV246" s="2" t="s">
        <v>187</v>
      </c>
      <c r="EW246" s="2" t="s">
        <v>215</v>
      </c>
      <c r="EX246" s="2" t="s">
        <v>188</v>
      </c>
      <c r="EZ246" s="2" t="s">
        <v>188</v>
      </c>
      <c r="FC246" s="2" t="s">
        <v>216</v>
      </c>
      <c r="FD246" s="2" t="s">
        <v>188</v>
      </c>
      <c r="FH246" s="2" t="s">
        <v>188</v>
      </c>
      <c r="FJ246" s="2" t="s">
        <v>187</v>
      </c>
      <c r="FK246" s="2" t="s">
        <v>209</v>
      </c>
      <c r="FL246" s="2" t="s">
        <v>1772</v>
      </c>
      <c r="FN246" s="2" t="s">
        <v>218</v>
      </c>
      <c r="FT246" s="2" t="s">
        <v>233</v>
      </c>
      <c r="FU246" s="2" t="s">
        <v>233</v>
      </c>
      <c r="FV246" s="2" t="s">
        <v>233</v>
      </c>
      <c r="FW246" s="2" t="s">
        <v>233</v>
      </c>
      <c r="FZ246" s="4">
        <v>46040.712569444448</v>
      </c>
    </row>
    <row r="247" spans="1:182">
      <c r="A247" s="2" t="s">
        <v>1773</v>
      </c>
      <c r="D247" s="4">
        <v>46327.417488425926</v>
      </c>
      <c r="E247" s="2" t="s">
        <v>177</v>
      </c>
      <c r="F247" s="2" t="s">
        <v>293</v>
      </c>
      <c r="G247" s="2" t="s">
        <v>1649</v>
      </c>
      <c r="H247" s="2" t="s">
        <v>1659</v>
      </c>
      <c r="I247" s="2" t="s">
        <v>1774</v>
      </c>
      <c r="J247" s="2">
        <v>387438723</v>
      </c>
      <c r="K247" s="2" t="s">
        <v>1774</v>
      </c>
      <c r="L247" s="2" t="s">
        <v>182</v>
      </c>
      <c r="M247" s="2" t="s">
        <v>183</v>
      </c>
      <c r="N247" s="2">
        <v>2000</v>
      </c>
      <c r="O247" s="2" t="s">
        <v>224</v>
      </c>
      <c r="P247" s="2" t="s">
        <v>185</v>
      </c>
      <c r="Q247" s="2" t="s">
        <v>739</v>
      </c>
      <c r="R247" s="2" t="s">
        <v>188</v>
      </c>
      <c r="S247" s="2">
        <v>2000</v>
      </c>
      <c r="T247" s="2" t="s">
        <v>188</v>
      </c>
      <c r="U247" s="2" t="s">
        <v>188</v>
      </c>
      <c r="Y247" s="2">
        <v>650</v>
      </c>
      <c r="Z247" s="2">
        <v>0.61539999999999995</v>
      </c>
      <c r="AA247" s="2">
        <v>400</v>
      </c>
      <c r="AB247" s="2">
        <v>400</v>
      </c>
      <c r="AC247" s="2">
        <v>400</v>
      </c>
      <c r="AD247" s="2">
        <v>550</v>
      </c>
      <c r="AE247" s="2">
        <v>150</v>
      </c>
      <c r="AF247" s="2" t="s">
        <v>188</v>
      </c>
      <c r="AG247" s="2" t="s">
        <v>188</v>
      </c>
      <c r="AH247" s="2" t="s">
        <v>188</v>
      </c>
      <c r="AJ247" s="2" t="s">
        <v>188</v>
      </c>
      <c r="AK247" s="2" t="s">
        <v>188</v>
      </c>
      <c r="AL247" s="2" t="s">
        <v>187</v>
      </c>
      <c r="AM247" s="2" t="s">
        <v>188</v>
      </c>
      <c r="AN247" s="2" t="s">
        <v>188</v>
      </c>
      <c r="AO247" s="2" t="s">
        <v>188</v>
      </c>
      <c r="AR247" s="2">
        <v>1.5</v>
      </c>
      <c r="AS247" s="2">
        <v>1</v>
      </c>
      <c r="AT247" s="2">
        <v>6</v>
      </c>
      <c r="AU247" s="2" t="s">
        <v>212</v>
      </c>
      <c r="AV247" s="2" t="s">
        <v>212</v>
      </c>
      <c r="AW247" s="2" t="s">
        <v>188</v>
      </c>
      <c r="BC247" s="2" t="s">
        <v>253</v>
      </c>
      <c r="BD247" s="2" t="s">
        <v>188</v>
      </c>
      <c r="BE247" s="2" t="s">
        <v>188</v>
      </c>
      <c r="BL247" s="2" t="s">
        <v>722</v>
      </c>
      <c r="BM247" s="2" t="s">
        <v>198</v>
      </c>
      <c r="BN247" s="2" t="s">
        <v>199</v>
      </c>
      <c r="BO247" s="2" t="s">
        <v>188</v>
      </c>
      <c r="BQ247" s="2" t="s">
        <v>309</v>
      </c>
      <c r="BS247" s="2" t="s">
        <v>187</v>
      </c>
      <c r="BT247" s="2" t="s">
        <v>261</v>
      </c>
      <c r="BV247" s="2" t="s">
        <v>495</v>
      </c>
      <c r="BX247" s="2" t="s">
        <v>187</v>
      </c>
      <c r="BY247" s="2" t="s">
        <v>310</v>
      </c>
      <c r="BZ247" s="2" t="s">
        <v>203</v>
      </c>
      <c r="CE247" s="2">
        <v>6</v>
      </c>
      <c r="CF247" s="2">
        <v>580</v>
      </c>
      <c r="CK247" s="2">
        <v>100</v>
      </c>
      <c r="CO247" s="2">
        <v>100</v>
      </c>
      <c r="CR247" s="2" t="s">
        <v>204</v>
      </c>
      <c r="CT247" s="2" t="s">
        <v>188</v>
      </c>
      <c r="CU247" s="2" t="s">
        <v>205</v>
      </c>
      <c r="CW247" s="2" t="s">
        <v>206</v>
      </c>
      <c r="CY247" s="2" t="s">
        <v>299</v>
      </c>
      <c r="CZ247" s="2" t="s">
        <v>299</v>
      </c>
      <c r="DA247" s="2" t="s">
        <v>299</v>
      </c>
      <c r="DB247" s="2" t="s">
        <v>299</v>
      </c>
      <c r="DC247" s="2" t="s">
        <v>299</v>
      </c>
      <c r="DD247" s="2" t="s">
        <v>299</v>
      </c>
      <c r="DE247" s="2" t="s">
        <v>299</v>
      </c>
      <c r="DF247" s="2" t="s">
        <v>207</v>
      </c>
      <c r="DG247" s="2" t="s">
        <v>207</v>
      </c>
      <c r="DH247" s="2" t="s">
        <v>208</v>
      </c>
      <c r="DI247" s="2" t="s">
        <v>208</v>
      </c>
      <c r="DL247" s="2" t="s">
        <v>187</v>
      </c>
      <c r="DM247" s="2" t="s">
        <v>187</v>
      </c>
      <c r="DN247" s="2" t="s">
        <v>187</v>
      </c>
      <c r="DO247" s="2" t="s">
        <v>187</v>
      </c>
      <c r="DP247" s="2" t="s">
        <v>209</v>
      </c>
      <c r="DQ247" s="2" t="s">
        <v>210</v>
      </c>
      <c r="DS247" s="2" t="s">
        <v>209</v>
      </c>
      <c r="DT247" s="2" t="s">
        <v>209</v>
      </c>
      <c r="DU247" s="2" t="s">
        <v>209</v>
      </c>
      <c r="DV247" s="2" t="s">
        <v>209</v>
      </c>
      <c r="DW247" s="2" t="s">
        <v>209</v>
      </c>
      <c r="DX247" s="2" t="s">
        <v>209</v>
      </c>
      <c r="DY247" s="2" t="s">
        <v>203</v>
      </c>
      <c r="DZ247" s="2" t="s">
        <v>203</v>
      </c>
      <c r="EA247" s="2" t="s">
        <v>209</v>
      </c>
      <c r="EB247" s="2" t="s">
        <v>209</v>
      </c>
      <c r="EC247" s="2" t="s">
        <v>203</v>
      </c>
      <c r="EF247" s="2" t="s">
        <v>211</v>
      </c>
      <c r="EJ247" s="2" t="s">
        <v>189</v>
      </c>
      <c r="EK247" s="2" t="s">
        <v>187</v>
      </c>
      <c r="EL247" s="2" t="s">
        <v>188</v>
      </c>
      <c r="EN247" s="2" t="s">
        <v>214</v>
      </c>
      <c r="EP247" s="2" t="s">
        <v>230</v>
      </c>
      <c r="ER247" s="2" t="s">
        <v>187</v>
      </c>
      <c r="ET247" s="2" t="s">
        <v>188</v>
      </c>
      <c r="EV247" s="2" t="s">
        <v>188</v>
      </c>
      <c r="EX247" s="2" t="s">
        <v>188</v>
      </c>
      <c r="EZ247" s="2" t="s">
        <v>188</v>
      </c>
      <c r="FC247" s="2" t="s">
        <v>216</v>
      </c>
      <c r="FD247" s="2" t="s">
        <v>188</v>
      </c>
      <c r="FH247" s="2" t="s">
        <v>188</v>
      </c>
      <c r="FJ247" s="2" t="s">
        <v>187</v>
      </c>
      <c r="FK247" s="2" t="s">
        <v>209</v>
      </c>
      <c r="FL247" s="2" t="s">
        <v>319</v>
      </c>
      <c r="FN247" s="2" t="s">
        <v>304</v>
      </c>
      <c r="FT247" s="2" t="s">
        <v>219</v>
      </c>
      <c r="FU247" s="2" t="s">
        <v>233</v>
      </c>
      <c r="FV247" s="2" t="s">
        <v>233</v>
      </c>
      <c r="FW247" s="2" t="s">
        <v>233</v>
      </c>
      <c r="FZ247" s="4">
        <v>46039.824502314812</v>
      </c>
    </row>
    <row r="248" spans="1:182">
      <c r="A248" s="2" t="s">
        <v>1775</v>
      </c>
      <c r="D248" s="4">
        <v>46327.423726851855</v>
      </c>
      <c r="E248" s="2" t="s">
        <v>1776</v>
      </c>
      <c r="F248" s="2" t="s">
        <v>398</v>
      </c>
      <c r="G248" s="2" t="s">
        <v>1649</v>
      </c>
      <c r="H248" s="2" t="s">
        <v>1731</v>
      </c>
      <c r="I248" s="2" t="s">
        <v>1777</v>
      </c>
      <c r="J248" s="2">
        <v>977882731</v>
      </c>
      <c r="K248" s="2" t="s">
        <v>1778</v>
      </c>
      <c r="L248" s="2" t="s">
        <v>182</v>
      </c>
      <c r="M248" s="2" t="s">
        <v>223</v>
      </c>
      <c r="N248" s="2">
        <v>1971</v>
      </c>
      <c r="O248" s="2" t="s">
        <v>224</v>
      </c>
      <c r="P248" s="2" t="s">
        <v>225</v>
      </c>
      <c r="Q248" s="2" t="s">
        <v>226</v>
      </c>
      <c r="R248" s="2" t="s">
        <v>188</v>
      </c>
      <c r="S248" s="2">
        <v>27</v>
      </c>
      <c r="T248" s="2" t="s">
        <v>188</v>
      </c>
      <c r="U248" s="2" t="s">
        <v>188</v>
      </c>
      <c r="Y248" s="2">
        <v>1300</v>
      </c>
      <c r="Z248" s="2">
        <v>0.83079999999999998</v>
      </c>
      <c r="AA248" s="2">
        <v>1080</v>
      </c>
      <c r="AB248" s="2">
        <v>1080</v>
      </c>
      <c r="AC248" s="2">
        <v>1080</v>
      </c>
      <c r="AD248" s="2">
        <v>1300</v>
      </c>
      <c r="AE248" s="2">
        <v>220</v>
      </c>
      <c r="AF248" s="2" t="s">
        <v>188</v>
      </c>
      <c r="AG248" s="2" t="s">
        <v>188</v>
      </c>
      <c r="AH248" s="2" t="s">
        <v>188</v>
      </c>
      <c r="AJ248" s="2" t="s">
        <v>188</v>
      </c>
      <c r="AK248" s="2" t="s">
        <v>188</v>
      </c>
      <c r="AL248" s="2" t="s">
        <v>187</v>
      </c>
      <c r="AM248" s="2" t="s">
        <v>188</v>
      </c>
      <c r="AN248" s="2" t="s">
        <v>187</v>
      </c>
      <c r="AO248" s="2" t="s">
        <v>188</v>
      </c>
      <c r="AR248" s="2">
        <v>3.2</v>
      </c>
      <c r="AS248" s="2">
        <v>3</v>
      </c>
      <c r="AT248" s="2">
        <v>13</v>
      </c>
      <c r="AU248" s="2" t="s">
        <v>189</v>
      </c>
      <c r="AV248" s="2" t="s">
        <v>189</v>
      </c>
      <c r="AW248" s="2" t="s">
        <v>188</v>
      </c>
      <c r="BC248" s="2" t="s">
        <v>192</v>
      </c>
      <c r="BD248" s="2" t="s">
        <v>187</v>
      </c>
      <c r="BE248" s="2" t="s">
        <v>188</v>
      </c>
      <c r="BL248" s="2" t="s">
        <v>197</v>
      </c>
      <c r="BM248" s="2" t="s">
        <v>198</v>
      </c>
      <c r="BN248" s="2" t="s">
        <v>199</v>
      </c>
      <c r="BO248" s="2" t="s">
        <v>188</v>
      </c>
      <c r="BQ248" s="2" t="s">
        <v>200</v>
      </c>
      <c r="BS248" s="2" t="s">
        <v>187</v>
      </c>
      <c r="BT248" s="2" t="s">
        <v>261</v>
      </c>
      <c r="BV248" s="2" t="s">
        <v>522</v>
      </c>
      <c r="BX248" s="2" t="s">
        <v>188</v>
      </c>
      <c r="BY248" s="2" t="s">
        <v>1779</v>
      </c>
      <c r="BZ248" s="2" t="s">
        <v>203</v>
      </c>
      <c r="CE248" s="2">
        <v>13</v>
      </c>
      <c r="CF248" s="2">
        <v>1300</v>
      </c>
      <c r="CM248" s="2">
        <v>100</v>
      </c>
      <c r="CP248" s="2">
        <v>100</v>
      </c>
      <c r="CR248" s="2" t="s">
        <v>343</v>
      </c>
      <c r="CT248" s="2" t="s">
        <v>188</v>
      </c>
      <c r="CU248" s="2" t="s">
        <v>205</v>
      </c>
      <c r="CW248" s="2" t="s">
        <v>206</v>
      </c>
      <c r="CY248" s="2" t="s">
        <v>207</v>
      </c>
      <c r="CZ248" s="2" t="s">
        <v>207</v>
      </c>
      <c r="DA248" s="2" t="s">
        <v>300</v>
      </c>
      <c r="DB248" s="2" t="s">
        <v>207</v>
      </c>
      <c r="DC248" s="2" t="s">
        <v>300</v>
      </c>
      <c r="DD248" s="2" t="s">
        <v>300</v>
      </c>
      <c r="DE248" s="2" t="s">
        <v>300</v>
      </c>
      <c r="DF248" s="2" t="s">
        <v>207</v>
      </c>
      <c r="DG248" s="2" t="s">
        <v>207</v>
      </c>
      <c r="DH248" s="2" t="s">
        <v>207</v>
      </c>
      <c r="DI248" s="2" t="s">
        <v>207</v>
      </c>
      <c r="DL248" s="2" t="s">
        <v>187</v>
      </c>
      <c r="DM248" s="2" t="s">
        <v>187</v>
      </c>
      <c r="DN248" s="2" t="s">
        <v>187</v>
      </c>
      <c r="DO248" s="2" t="s">
        <v>187</v>
      </c>
      <c r="DP248" s="2" t="s">
        <v>209</v>
      </c>
      <c r="DQ248" s="2" t="s">
        <v>467</v>
      </c>
      <c r="DR248" s="2" t="s">
        <v>1780</v>
      </c>
      <c r="DT248" s="2" t="s">
        <v>209</v>
      </c>
      <c r="DU248" s="2" t="s">
        <v>209</v>
      </c>
      <c r="DV248" s="2" t="s">
        <v>209</v>
      </c>
      <c r="DW248" s="2" t="s">
        <v>209</v>
      </c>
      <c r="DX248" s="2" t="s">
        <v>209</v>
      </c>
      <c r="DY248" s="2" t="s">
        <v>209</v>
      </c>
      <c r="DZ248" s="2" t="s">
        <v>203</v>
      </c>
      <c r="EA248" s="2" t="s">
        <v>209</v>
      </c>
      <c r="EB248" s="2" t="s">
        <v>209</v>
      </c>
      <c r="EC248" s="2" t="s">
        <v>188</v>
      </c>
      <c r="EF248" s="2" t="s">
        <v>211</v>
      </c>
      <c r="EG248" s="2" t="s">
        <v>1359</v>
      </c>
      <c r="EJ248" s="2" t="s">
        <v>189</v>
      </c>
      <c r="EK248" s="2" t="s">
        <v>187</v>
      </c>
      <c r="EL248" s="2" t="s">
        <v>188</v>
      </c>
      <c r="EN248" s="2" t="s">
        <v>214</v>
      </c>
      <c r="EP248" s="2" t="s">
        <v>230</v>
      </c>
      <c r="ER248" s="2" t="s">
        <v>187</v>
      </c>
      <c r="ET248" s="2" t="s">
        <v>188</v>
      </c>
      <c r="EV248" s="2" t="s">
        <v>187</v>
      </c>
      <c r="EW248" s="2" t="s">
        <v>189</v>
      </c>
      <c r="EX248" s="2" t="s">
        <v>187</v>
      </c>
      <c r="EY248" s="2" t="s">
        <v>189</v>
      </c>
      <c r="EZ248" s="2" t="s">
        <v>188</v>
      </c>
      <c r="FC248" s="2" t="s">
        <v>216</v>
      </c>
      <c r="FD248" s="2" t="s">
        <v>188</v>
      </c>
      <c r="FH248" s="2" t="s">
        <v>188</v>
      </c>
      <c r="FJ248" s="2" t="s">
        <v>188</v>
      </c>
      <c r="FK248" s="2" t="s">
        <v>203</v>
      </c>
      <c r="FR248" s="2" t="s">
        <v>1781</v>
      </c>
      <c r="FT248" s="2" t="s">
        <v>233</v>
      </c>
      <c r="FU248" s="2" t="s">
        <v>233</v>
      </c>
      <c r="FV248" s="2" t="s">
        <v>233</v>
      </c>
      <c r="FW248" s="2" t="s">
        <v>233</v>
      </c>
      <c r="FX248" s="2" t="s">
        <v>233</v>
      </c>
      <c r="FY248" s="2" t="s">
        <v>1782</v>
      </c>
      <c r="FZ248" s="4">
        <v>46038.731111111112</v>
      </c>
    </row>
    <row r="249" spans="1:182">
      <c r="A249" s="2" t="s">
        <v>1783</v>
      </c>
      <c r="D249" s="4">
        <v>46327.424664351849</v>
      </c>
      <c r="E249" s="2" t="s">
        <v>1784</v>
      </c>
      <c r="F249" s="2" t="s">
        <v>480</v>
      </c>
      <c r="G249" s="2" t="s">
        <v>1649</v>
      </c>
      <c r="H249" s="2" t="s">
        <v>1650</v>
      </c>
      <c r="I249" s="2" t="s">
        <v>1785</v>
      </c>
      <c r="J249" s="2">
        <v>375377073</v>
      </c>
      <c r="K249" s="2" t="s">
        <v>1675</v>
      </c>
      <c r="L249" s="2" t="s">
        <v>182</v>
      </c>
      <c r="M249" s="2" t="s">
        <v>223</v>
      </c>
      <c r="N249" s="2">
        <v>1978</v>
      </c>
      <c r="O249" s="2" t="s">
        <v>224</v>
      </c>
      <c r="P249" s="2" t="s">
        <v>225</v>
      </c>
      <c r="Q249" s="2" t="s">
        <v>186</v>
      </c>
      <c r="R249" s="2" t="s">
        <v>188</v>
      </c>
      <c r="S249" s="2">
        <v>31</v>
      </c>
      <c r="T249" s="2" t="s">
        <v>188</v>
      </c>
      <c r="U249" s="2" t="s">
        <v>188</v>
      </c>
      <c r="Y249" s="2">
        <v>644</v>
      </c>
      <c r="Z249" s="2">
        <v>1</v>
      </c>
      <c r="AA249" s="2">
        <v>644</v>
      </c>
      <c r="AB249" s="2">
        <v>644</v>
      </c>
      <c r="AC249" s="2">
        <v>644</v>
      </c>
      <c r="AD249" s="2">
        <v>784</v>
      </c>
      <c r="AE249" s="2">
        <v>140</v>
      </c>
      <c r="AF249" s="2" t="s">
        <v>188</v>
      </c>
      <c r="AG249" s="2" t="s">
        <v>188</v>
      </c>
      <c r="AH249" s="2" t="s">
        <v>188</v>
      </c>
      <c r="AJ249" s="2" t="s">
        <v>188</v>
      </c>
      <c r="AK249" s="2" t="s">
        <v>188</v>
      </c>
      <c r="AL249" s="2" t="s">
        <v>188</v>
      </c>
      <c r="AM249" s="2" t="s">
        <v>188</v>
      </c>
      <c r="AN249" s="2" t="s">
        <v>188</v>
      </c>
      <c r="AO249" s="2" t="s">
        <v>188</v>
      </c>
      <c r="AR249" s="2">
        <v>2</v>
      </c>
      <c r="AS249" s="2">
        <v>2</v>
      </c>
      <c r="AT249" s="2">
        <v>8</v>
      </c>
      <c r="AU249" s="2" t="s">
        <v>238</v>
      </c>
      <c r="AV249" s="2" t="s">
        <v>238</v>
      </c>
      <c r="AW249" s="2" t="s">
        <v>188</v>
      </c>
      <c r="AZ249" s="2" t="s">
        <v>957</v>
      </c>
      <c r="BB249" s="2" t="s">
        <v>260</v>
      </c>
      <c r="BC249" s="2" t="s">
        <v>296</v>
      </c>
      <c r="BD249" s="2" t="s">
        <v>188</v>
      </c>
      <c r="BE249" s="2" t="s">
        <v>187</v>
      </c>
      <c r="BF249" s="2" t="s">
        <v>193</v>
      </c>
      <c r="BG249" s="2" t="s">
        <v>194</v>
      </c>
      <c r="BH249" s="2" t="s">
        <v>195</v>
      </c>
      <c r="BI249" s="2" t="s">
        <v>196</v>
      </c>
      <c r="BL249" s="2" t="s">
        <v>197</v>
      </c>
      <c r="BM249" s="2" t="s">
        <v>507</v>
      </c>
      <c r="BN249" s="2" t="s">
        <v>199</v>
      </c>
      <c r="BO249" s="2" t="s">
        <v>188</v>
      </c>
      <c r="BQ249" s="2" t="s">
        <v>227</v>
      </c>
      <c r="BS249" s="2" t="s">
        <v>187</v>
      </c>
      <c r="BT249" s="2" t="s">
        <v>611</v>
      </c>
      <c r="BV249" s="2" t="s">
        <v>630</v>
      </c>
      <c r="BX249" s="2" t="s">
        <v>187</v>
      </c>
      <c r="BY249" s="2" t="s">
        <v>1786</v>
      </c>
      <c r="BZ249" s="2" t="s">
        <v>209</v>
      </c>
      <c r="CA249" s="2" t="s">
        <v>1787</v>
      </c>
      <c r="CE249" s="2">
        <v>8</v>
      </c>
      <c r="CF249" s="2">
        <v>784</v>
      </c>
      <c r="CM249" s="2">
        <v>100</v>
      </c>
      <c r="CO249" s="2">
        <v>100</v>
      </c>
      <c r="CR249" s="2" t="s">
        <v>511</v>
      </c>
      <c r="CT249" s="2" t="s">
        <v>188</v>
      </c>
      <c r="CU249" s="2" t="s">
        <v>205</v>
      </c>
      <c r="CW249" s="2" t="s">
        <v>206</v>
      </c>
      <c r="CY249" s="2" t="s">
        <v>273</v>
      </c>
      <c r="CZ249" s="2" t="s">
        <v>273</v>
      </c>
      <c r="DA249" s="2" t="s">
        <v>300</v>
      </c>
      <c r="DB249" s="2" t="s">
        <v>300</v>
      </c>
      <c r="DC249" s="2" t="s">
        <v>300</v>
      </c>
      <c r="DD249" s="2" t="s">
        <v>300</v>
      </c>
      <c r="DE249" s="2" t="s">
        <v>300</v>
      </c>
      <c r="DF249" s="2" t="s">
        <v>273</v>
      </c>
      <c r="DG249" s="2" t="s">
        <v>273</v>
      </c>
      <c r="DH249" s="2" t="s">
        <v>273</v>
      </c>
      <c r="DI249" s="2" t="s">
        <v>273</v>
      </c>
      <c r="DL249" s="2" t="s">
        <v>187</v>
      </c>
      <c r="DM249" s="2" t="s">
        <v>187</v>
      </c>
      <c r="DN249" s="2" t="s">
        <v>187</v>
      </c>
      <c r="DO249" s="2" t="s">
        <v>187</v>
      </c>
      <c r="DP249" s="2" t="s">
        <v>209</v>
      </c>
      <c r="DQ249" s="2" t="s">
        <v>467</v>
      </c>
      <c r="DR249" s="2" t="s">
        <v>1788</v>
      </c>
      <c r="DT249" s="2" t="s">
        <v>209</v>
      </c>
      <c r="DU249" s="2" t="s">
        <v>209</v>
      </c>
      <c r="DV249" s="2" t="s">
        <v>209</v>
      </c>
      <c r="DW249" s="2" t="s">
        <v>209</v>
      </c>
      <c r="DX249" s="2" t="s">
        <v>209</v>
      </c>
      <c r="DY249" s="2" t="s">
        <v>203</v>
      </c>
      <c r="DZ249" s="2" t="s">
        <v>203</v>
      </c>
      <c r="EA249" s="2" t="s">
        <v>209</v>
      </c>
      <c r="EB249" s="2" t="s">
        <v>203</v>
      </c>
      <c r="EC249" s="2" t="s">
        <v>203</v>
      </c>
      <c r="ED249" s="2" t="s">
        <v>203</v>
      </c>
      <c r="EF249" s="2" t="s">
        <v>189</v>
      </c>
      <c r="EG249" s="2" t="s">
        <v>1789</v>
      </c>
      <c r="EJ249" s="2" t="s">
        <v>238</v>
      </c>
      <c r="EK249" s="2" t="s">
        <v>187</v>
      </c>
      <c r="EL249" s="2" t="s">
        <v>188</v>
      </c>
      <c r="EN249" s="2" t="s">
        <v>214</v>
      </c>
      <c r="EP249" s="2" t="s">
        <v>230</v>
      </c>
      <c r="ER249" s="2" t="s">
        <v>187</v>
      </c>
      <c r="ET249" s="2" t="s">
        <v>188</v>
      </c>
      <c r="EV249" s="2" t="s">
        <v>187</v>
      </c>
      <c r="EW249" s="2" t="s">
        <v>215</v>
      </c>
      <c r="EX249" s="2" t="s">
        <v>188</v>
      </c>
      <c r="EZ249" s="2" t="s">
        <v>188</v>
      </c>
      <c r="FC249" s="2" t="s">
        <v>263</v>
      </c>
      <c r="FD249" s="2" t="s">
        <v>188</v>
      </c>
      <c r="FH249" s="2" t="s">
        <v>188</v>
      </c>
      <c r="FJ249" s="2" t="s">
        <v>188</v>
      </c>
      <c r="FK249" s="2" t="s">
        <v>188</v>
      </c>
      <c r="FN249" s="2" t="s">
        <v>291</v>
      </c>
      <c r="FO249" s="2" t="s">
        <v>1790</v>
      </c>
      <c r="FR249" s="2" t="s">
        <v>1791</v>
      </c>
      <c r="FT249" s="2" t="s">
        <v>233</v>
      </c>
      <c r="FU249" s="2" t="s">
        <v>233</v>
      </c>
      <c r="FV249" s="2" t="s">
        <v>233</v>
      </c>
      <c r="FW249" s="2" t="s">
        <v>233</v>
      </c>
      <c r="FZ249" s="4">
        <v>46043.450266203705</v>
      </c>
    </row>
    <row r="250" spans="1:182">
      <c r="A250" s="2" t="s">
        <v>1792</v>
      </c>
      <c r="D250" s="4">
        <v>46327.419525462959</v>
      </c>
      <c r="E250" s="2" t="s">
        <v>177</v>
      </c>
      <c r="F250" s="2" t="s">
        <v>178</v>
      </c>
      <c r="G250" s="2" t="s">
        <v>1649</v>
      </c>
      <c r="H250" s="2" t="s">
        <v>1659</v>
      </c>
      <c r="I250" s="2" t="s">
        <v>1793</v>
      </c>
      <c r="J250" s="2">
        <v>392393981</v>
      </c>
      <c r="K250" s="2" t="s">
        <v>1794</v>
      </c>
      <c r="L250" s="2" t="s">
        <v>182</v>
      </c>
      <c r="M250" s="2" t="s">
        <v>183</v>
      </c>
      <c r="N250" s="2">
        <v>2001</v>
      </c>
      <c r="O250" s="2" t="s">
        <v>224</v>
      </c>
      <c r="P250" s="2" t="s">
        <v>237</v>
      </c>
      <c r="Q250" s="2" t="s">
        <v>186</v>
      </c>
      <c r="R250" s="2" t="s">
        <v>188</v>
      </c>
      <c r="S250" s="2">
        <v>27</v>
      </c>
      <c r="T250" s="2" t="s">
        <v>188</v>
      </c>
      <c r="U250" s="2" t="s">
        <v>188</v>
      </c>
      <c r="Y250" s="2">
        <v>414</v>
      </c>
      <c r="Z250" s="2">
        <v>0.628</v>
      </c>
      <c r="AA250" s="2">
        <v>260</v>
      </c>
      <c r="AB250" s="2">
        <v>260</v>
      </c>
      <c r="AC250" s="2">
        <v>260</v>
      </c>
      <c r="AD250" s="2">
        <v>360</v>
      </c>
      <c r="AE250" s="2">
        <v>100</v>
      </c>
      <c r="AF250" s="2" t="s">
        <v>188</v>
      </c>
      <c r="AG250" s="2" t="s">
        <v>187</v>
      </c>
      <c r="AH250" s="2" t="s">
        <v>188</v>
      </c>
      <c r="AJ250" s="2" t="s">
        <v>188</v>
      </c>
      <c r="AK250" s="2" t="s">
        <v>188</v>
      </c>
      <c r="AL250" s="2" t="s">
        <v>187</v>
      </c>
      <c r="AM250" s="2" t="s">
        <v>187</v>
      </c>
      <c r="AN250" s="2" t="s">
        <v>188</v>
      </c>
      <c r="AO250" s="2" t="s">
        <v>188</v>
      </c>
      <c r="AR250" s="2">
        <v>1.2</v>
      </c>
      <c r="AS250" s="2">
        <v>1</v>
      </c>
      <c r="AT250" s="2">
        <v>3.6</v>
      </c>
      <c r="AU250" s="2" t="s">
        <v>212</v>
      </c>
      <c r="AV250" s="2" t="s">
        <v>212</v>
      </c>
      <c r="AW250" s="2" t="s">
        <v>188</v>
      </c>
      <c r="BC250" s="2" t="s">
        <v>192</v>
      </c>
      <c r="BD250" s="2" t="s">
        <v>188</v>
      </c>
      <c r="BE250" s="2" t="s">
        <v>188</v>
      </c>
      <c r="BL250" s="2" t="s">
        <v>240</v>
      </c>
      <c r="BO250" s="2" t="s">
        <v>188</v>
      </c>
      <c r="BQ250" s="2" t="s">
        <v>200</v>
      </c>
      <c r="BS250" s="2" t="s">
        <v>187</v>
      </c>
      <c r="BT250" s="2" t="s">
        <v>261</v>
      </c>
      <c r="BV250" s="2" t="s">
        <v>248</v>
      </c>
      <c r="BX250" s="2" t="s">
        <v>188</v>
      </c>
      <c r="BZ250" s="2" t="s">
        <v>188</v>
      </c>
      <c r="CE250" s="2">
        <v>3.6</v>
      </c>
      <c r="CF250" s="2">
        <v>360</v>
      </c>
      <c r="CM250" s="2">
        <v>100</v>
      </c>
      <c r="CO250" s="2">
        <v>100</v>
      </c>
      <c r="CR250" s="2" t="s">
        <v>204</v>
      </c>
      <c r="CT250" s="2" t="s">
        <v>188</v>
      </c>
      <c r="CU250" s="2" t="s">
        <v>205</v>
      </c>
      <c r="CW250" s="2" t="s">
        <v>206</v>
      </c>
      <c r="CY250" s="2" t="s">
        <v>207</v>
      </c>
      <c r="CZ250" s="2" t="s">
        <v>208</v>
      </c>
      <c r="DA250" s="2" t="s">
        <v>208</v>
      </c>
      <c r="DB250" s="2" t="s">
        <v>208</v>
      </c>
      <c r="DC250" s="2" t="s">
        <v>208</v>
      </c>
      <c r="DD250" s="2" t="s">
        <v>208</v>
      </c>
      <c r="DE250" s="2" t="s">
        <v>208</v>
      </c>
      <c r="DF250" s="2" t="s">
        <v>208</v>
      </c>
      <c r="DG250" s="2" t="s">
        <v>208</v>
      </c>
      <c r="DH250" s="2" t="s">
        <v>208</v>
      </c>
      <c r="DI250" s="2" t="s">
        <v>208</v>
      </c>
      <c r="DL250" s="2" t="s">
        <v>187</v>
      </c>
      <c r="DM250" s="2" t="s">
        <v>187</v>
      </c>
      <c r="DN250" s="2" t="s">
        <v>187</v>
      </c>
      <c r="DO250" s="2" t="s">
        <v>187</v>
      </c>
      <c r="DP250" s="2" t="s">
        <v>209</v>
      </c>
      <c r="DQ250" s="2" t="s">
        <v>210</v>
      </c>
      <c r="DT250" s="2" t="s">
        <v>209</v>
      </c>
      <c r="DU250" s="2" t="s">
        <v>209</v>
      </c>
      <c r="DV250" s="2" t="s">
        <v>209</v>
      </c>
      <c r="DW250" s="2" t="s">
        <v>209</v>
      </c>
      <c r="DX250" s="2" t="s">
        <v>209</v>
      </c>
      <c r="DY250" s="2" t="s">
        <v>209</v>
      </c>
      <c r="DZ250" s="2" t="s">
        <v>209</v>
      </c>
      <c r="EA250" s="2" t="s">
        <v>209</v>
      </c>
      <c r="EB250" s="2" t="s">
        <v>209</v>
      </c>
      <c r="EF250" s="2" t="s">
        <v>211</v>
      </c>
      <c r="FH250" s="2" t="s">
        <v>188</v>
      </c>
      <c r="FJ250" s="2" t="s">
        <v>187</v>
      </c>
      <c r="FK250" s="2" t="s">
        <v>209</v>
      </c>
      <c r="FL250" s="2" t="s">
        <v>1665</v>
      </c>
      <c r="FT250" s="2" t="s">
        <v>219</v>
      </c>
      <c r="FU250" s="2" t="s">
        <v>219</v>
      </c>
      <c r="FV250" s="2" t="s">
        <v>219</v>
      </c>
      <c r="FW250" s="2" t="s">
        <v>219</v>
      </c>
      <c r="FZ250" s="4">
        <v>46040.701249999998</v>
      </c>
    </row>
    <row r="251" spans="1:182">
      <c r="A251" s="2" t="s">
        <v>1795</v>
      </c>
      <c r="D251" s="4">
        <v>46327.417175925926</v>
      </c>
      <c r="E251" s="2" t="s">
        <v>1796</v>
      </c>
      <c r="F251" s="2" t="s">
        <v>425</v>
      </c>
      <c r="G251" s="2" t="s">
        <v>1649</v>
      </c>
      <c r="H251" s="2" t="s">
        <v>1668</v>
      </c>
      <c r="I251" s="2" t="s">
        <v>1714</v>
      </c>
      <c r="J251" s="2">
        <v>975078598</v>
      </c>
      <c r="K251" s="2" t="s">
        <v>1714</v>
      </c>
      <c r="L251" s="2" t="s">
        <v>182</v>
      </c>
      <c r="M251" s="2" t="s">
        <v>183</v>
      </c>
      <c r="N251" s="2">
        <v>1983</v>
      </c>
      <c r="O251" s="2" t="s">
        <v>224</v>
      </c>
      <c r="P251" s="2" t="s">
        <v>185</v>
      </c>
      <c r="Q251" s="2" t="s">
        <v>226</v>
      </c>
      <c r="R251" s="2" t="s">
        <v>188</v>
      </c>
      <c r="S251" s="2">
        <v>32</v>
      </c>
      <c r="T251" s="2" t="s">
        <v>188</v>
      </c>
      <c r="U251" s="2" t="s">
        <v>188</v>
      </c>
      <c r="Y251" s="2">
        <v>2200</v>
      </c>
      <c r="Z251" s="2">
        <v>1</v>
      </c>
      <c r="AA251" s="2">
        <v>2200</v>
      </c>
      <c r="AB251" s="2">
        <v>2200</v>
      </c>
      <c r="AC251" s="2">
        <v>1600</v>
      </c>
      <c r="AD251" s="2">
        <v>1900</v>
      </c>
      <c r="AE251" s="2">
        <v>300</v>
      </c>
      <c r="AF251" s="2" t="s">
        <v>188</v>
      </c>
      <c r="AG251" s="2" t="s">
        <v>187</v>
      </c>
      <c r="AH251" s="2" t="s">
        <v>188</v>
      </c>
      <c r="AJ251" s="2" t="s">
        <v>188</v>
      </c>
      <c r="AK251" s="2" t="s">
        <v>188</v>
      </c>
      <c r="AL251" s="2" t="s">
        <v>188</v>
      </c>
      <c r="AM251" s="2" t="s">
        <v>188</v>
      </c>
      <c r="AN251" s="2" t="s">
        <v>188</v>
      </c>
      <c r="AO251" s="2" t="s">
        <v>188</v>
      </c>
      <c r="AR251" s="2">
        <v>4.1500000000000004</v>
      </c>
      <c r="AS251" s="2">
        <v>5</v>
      </c>
      <c r="AT251" s="2">
        <v>19</v>
      </c>
      <c r="AU251" s="2" t="s">
        <v>189</v>
      </c>
      <c r="AV251" s="2" t="s">
        <v>189</v>
      </c>
      <c r="AW251" s="2" t="s">
        <v>188</v>
      </c>
      <c r="AZ251" s="2" t="s">
        <v>476</v>
      </c>
      <c r="BB251" s="2" t="s">
        <v>260</v>
      </c>
      <c r="BC251" s="2" t="s">
        <v>296</v>
      </c>
      <c r="BD251" s="2" t="s">
        <v>187</v>
      </c>
      <c r="BE251" s="2" t="s">
        <v>187</v>
      </c>
      <c r="BF251" s="2" t="s">
        <v>193</v>
      </c>
      <c r="BG251" s="2" t="s">
        <v>194</v>
      </c>
      <c r="BH251" s="2" t="s">
        <v>195</v>
      </c>
      <c r="BI251" s="2" t="s">
        <v>196</v>
      </c>
      <c r="BL251" s="2" t="s">
        <v>197</v>
      </c>
      <c r="BM251" s="2" t="s">
        <v>198</v>
      </c>
      <c r="BN251" s="2" t="s">
        <v>199</v>
      </c>
      <c r="BO251" s="2" t="s">
        <v>188</v>
      </c>
      <c r="BQ251" s="2" t="s">
        <v>200</v>
      </c>
      <c r="BS251" s="2" t="s">
        <v>187</v>
      </c>
      <c r="BT251" s="2" t="s">
        <v>484</v>
      </c>
      <c r="BV251" s="2" t="s">
        <v>389</v>
      </c>
      <c r="BX251" s="2" t="s">
        <v>188</v>
      </c>
      <c r="BZ251" s="2" t="s">
        <v>203</v>
      </c>
      <c r="CE251" s="2">
        <v>19</v>
      </c>
      <c r="CF251" s="2">
        <v>1900</v>
      </c>
      <c r="CK251" s="2">
        <v>20</v>
      </c>
      <c r="CM251" s="2">
        <v>80</v>
      </c>
      <c r="CO251" s="2">
        <v>100</v>
      </c>
      <c r="CR251" s="2" t="s">
        <v>204</v>
      </c>
      <c r="CT251" s="2" t="s">
        <v>188</v>
      </c>
      <c r="CU251" s="2" t="s">
        <v>205</v>
      </c>
      <c r="CW251" s="2" t="s">
        <v>206</v>
      </c>
      <c r="CY251" s="2" t="s">
        <v>207</v>
      </c>
      <c r="CZ251" s="2" t="s">
        <v>207</v>
      </c>
      <c r="DA251" s="2" t="s">
        <v>300</v>
      </c>
      <c r="DB251" s="2" t="s">
        <v>300</v>
      </c>
      <c r="DC251" s="2" t="s">
        <v>430</v>
      </c>
      <c r="DD251" s="2" t="s">
        <v>430</v>
      </c>
      <c r="DE251" s="2" t="s">
        <v>300</v>
      </c>
      <c r="DF251" s="2" t="s">
        <v>207</v>
      </c>
      <c r="DG251" s="2" t="s">
        <v>300</v>
      </c>
      <c r="DH251" s="2" t="s">
        <v>300</v>
      </c>
      <c r="DI251" s="2" t="s">
        <v>300</v>
      </c>
      <c r="DL251" s="2" t="s">
        <v>187</v>
      </c>
      <c r="DM251" s="2" t="s">
        <v>187</v>
      </c>
      <c r="DN251" s="2" t="s">
        <v>187</v>
      </c>
      <c r="DO251" s="2" t="s">
        <v>187</v>
      </c>
      <c r="DP251" s="2" t="s">
        <v>209</v>
      </c>
      <c r="DQ251" s="2" t="s">
        <v>467</v>
      </c>
      <c r="DR251" s="2" t="s">
        <v>1797</v>
      </c>
      <c r="DT251" s="2" t="s">
        <v>209</v>
      </c>
      <c r="DU251" s="2" t="s">
        <v>209</v>
      </c>
      <c r="DV251" s="2" t="s">
        <v>209</v>
      </c>
      <c r="DW251" s="2" t="s">
        <v>209</v>
      </c>
      <c r="DX251" s="2" t="s">
        <v>209</v>
      </c>
      <c r="DY251" s="2" t="s">
        <v>209</v>
      </c>
      <c r="DZ251" s="2" t="s">
        <v>209</v>
      </c>
      <c r="EA251" s="2" t="s">
        <v>209</v>
      </c>
      <c r="EB251" s="2" t="s">
        <v>209</v>
      </c>
      <c r="EC251" s="2" t="s">
        <v>188</v>
      </c>
      <c r="EF251" s="2" t="s">
        <v>211</v>
      </c>
      <c r="EJ251" s="2" t="s">
        <v>238</v>
      </c>
      <c r="EK251" s="2" t="s">
        <v>187</v>
      </c>
      <c r="EL251" s="2" t="s">
        <v>188</v>
      </c>
      <c r="EN251" s="2" t="s">
        <v>214</v>
      </c>
      <c r="EP251" s="2" t="s">
        <v>230</v>
      </c>
      <c r="ER251" s="2" t="s">
        <v>187</v>
      </c>
      <c r="ET251" s="2" t="s">
        <v>188</v>
      </c>
      <c r="EV251" s="2" t="s">
        <v>187</v>
      </c>
      <c r="EW251" s="2" t="s">
        <v>215</v>
      </c>
      <c r="EX251" s="2" t="s">
        <v>188</v>
      </c>
      <c r="EZ251" s="2" t="s">
        <v>188</v>
      </c>
      <c r="FC251" s="2" t="s">
        <v>395</v>
      </c>
      <c r="FD251" s="2" t="s">
        <v>188</v>
      </c>
      <c r="FH251" s="2" t="s">
        <v>188</v>
      </c>
      <c r="FJ251" s="2" t="s">
        <v>188</v>
      </c>
      <c r="FK251" s="2" t="s">
        <v>188</v>
      </c>
      <c r="FR251" s="2" t="s">
        <v>1798</v>
      </c>
      <c r="FT251" s="2" t="s">
        <v>219</v>
      </c>
      <c r="FU251" s="2" t="s">
        <v>219</v>
      </c>
      <c r="FV251" s="2" t="s">
        <v>219</v>
      </c>
      <c r="FW251" s="2" t="s">
        <v>219</v>
      </c>
      <c r="FZ251" s="4">
        <v>46040.45071759259</v>
      </c>
    </row>
    <row r="252" spans="1:182">
      <c r="A252" s="2" t="s">
        <v>1799</v>
      </c>
      <c r="D252" s="4">
        <v>46327.432858796295</v>
      </c>
      <c r="E252" s="2" t="s">
        <v>1800</v>
      </c>
      <c r="F252" s="2" t="s">
        <v>590</v>
      </c>
      <c r="G252" s="2" t="s">
        <v>1649</v>
      </c>
      <c r="H252" s="2" t="s">
        <v>1659</v>
      </c>
      <c r="I252" s="2" t="s">
        <v>1801</v>
      </c>
      <c r="J252" s="2">
        <v>399672760</v>
      </c>
      <c r="K252" s="2" t="s">
        <v>1801</v>
      </c>
      <c r="L252" s="2" t="s">
        <v>182</v>
      </c>
      <c r="M252" s="2" t="s">
        <v>223</v>
      </c>
      <c r="N252" s="2">
        <v>1980</v>
      </c>
      <c r="O252" s="2" t="s">
        <v>224</v>
      </c>
      <c r="P252" s="2" t="s">
        <v>185</v>
      </c>
      <c r="Q252" s="2" t="s">
        <v>270</v>
      </c>
      <c r="R252" s="2" t="s">
        <v>188</v>
      </c>
      <c r="S252" s="2">
        <v>28</v>
      </c>
      <c r="T252" s="2" t="s">
        <v>188</v>
      </c>
      <c r="U252" s="2" t="s">
        <v>188</v>
      </c>
      <c r="Y252" s="2">
        <v>420</v>
      </c>
      <c r="Z252" s="2">
        <v>1</v>
      </c>
      <c r="AA252" s="2">
        <v>420</v>
      </c>
      <c r="AB252" s="2">
        <v>420</v>
      </c>
      <c r="AC252" s="2">
        <v>420</v>
      </c>
      <c r="AD252" s="2">
        <v>520</v>
      </c>
      <c r="AE252" s="2">
        <v>100</v>
      </c>
      <c r="AF252" s="2" t="s">
        <v>188</v>
      </c>
      <c r="AG252" s="2" t="s">
        <v>188</v>
      </c>
      <c r="AH252" s="2" t="s">
        <v>188</v>
      </c>
      <c r="AJ252" s="2" t="s">
        <v>188</v>
      </c>
      <c r="AK252" s="2" t="s">
        <v>188</v>
      </c>
      <c r="AL252" s="2" t="s">
        <v>188</v>
      </c>
      <c r="AM252" s="2" t="s">
        <v>188</v>
      </c>
      <c r="AN252" s="2" t="s">
        <v>188</v>
      </c>
      <c r="AO252" s="2" t="s">
        <v>188</v>
      </c>
      <c r="AR252" s="2">
        <v>1.2</v>
      </c>
      <c r="AS252" s="2">
        <v>1</v>
      </c>
      <c r="AT252" s="2">
        <v>4</v>
      </c>
      <c r="AU252" s="2" t="s">
        <v>238</v>
      </c>
      <c r="AV252" s="2" t="s">
        <v>189</v>
      </c>
      <c r="AW252" s="2" t="s">
        <v>188</v>
      </c>
      <c r="AZ252" s="2" t="s">
        <v>357</v>
      </c>
      <c r="BB252" s="2" t="s">
        <v>260</v>
      </c>
      <c r="BC252" s="2" t="s">
        <v>192</v>
      </c>
      <c r="BD252" s="2" t="s">
        <v>188</v>
      </c>
      <c r="BE252" s="2" t="s">
        <v>188</v>
      </c>
      <c r="BL252" s="2" t="s">
        <v>197</v>
      </c>
      <c r="BM252" s="2" t="s">
        <v>507</v>
      </c>
      <c r="BN252" s="2" t="s">
        <v>199</v>
      </c>
      <c r="BO252" s="2" t="s">
        <v>188</v>
      </c>
      <c r="BQ252" s="2" t="s">
        <v>227</v>
      </c>
      <c r="BS252" s="2" t="s">
        <v>187</v>
      </c>
      <c r="BT252" s="2" t="s">
        <v>651</v>
      </c>
      <c r="BV252" s="2" t="s">
        <v>495</v>
      </c>
      <c r="BX252" s="2" t="s">
        <v>188</v>
      </c>
      <c r="BZ252" s="2" t="s">
        <v>209</v>
      </c>
      <c r="CA252" s="2" t="s">
        <v>1802</v>
      </c>
      <c r="CE252" s="2">
        <v>4</v>
      </c>
      <c r="CF252" s="2">
        <v>520</v>
      </c>
      <c r="CK252" s="2">
        <v>50</v>
      </c>
      <c r="CM252" s="2">
        <v>50</v>
      </c>
      <c r="CO252" s="2">
        <v>100</v>
      </c>
      <c r="CR252" s="2" t="s">
        <v>204</v>
      </c>
      <c r="CT252" s="2" t="s">
        <v>188</v>
      </c>
      <c r="CU252" s="2" t="s">
        <v>205</v>
      </c>
      <c r="CW252" s="2" t="s">
        <v>206</v>
      </c>
      <c r="CY252" s="2" t="s">
        <v>273</v>
      </c>
      <c r="CZ252" s="2" t="s">
        <v>300</v>
      </c>
      <c r="DA252" s="2" t="s">
        <v>300</v>
      </c>
      <c r="DB252" s="2" t="s">
        <v>300</v>
      </c>
      <c r="DC252" s="2" t="s">
        <v>300</v>
      </c>
      <c r="DD252" s="2" t="s">
        <v>300</v>
      </c>
      <c r="DE252" s="2" t="s">
        <v>273</v>
      </c>
      <c r="DF252" s="2" t="s">
        <v>273</v>
      </c>
      <c r="DG252" s="2" t="s">
        <v>273</v>
      </c>
      <c r="DH252" s="2" t="s">
        <v>300</v>
      </c>
      <c r="DI252" s="2" t="s">
        <v>300</v>
      </c>
      <c r="DL252" s="2" t="s">
        <v>187</v>
      </c>
      <c r="DM252" s="2" t="s">
        <v>187</v>
      </c>
      <c r="DN252" s="2" t="s">
        <v>187</v>
      </c>
      <c r="DO252" s="2" t="s">
        <v>187</v>
      </c>
      <c r="DP252" s="2" t="s">
        <v>209</v>
      </c>
      <c r="DQ252" s="2" t="s">
        <v>467</v>
      </c>
      <c r="DR252" s="2" t="s">
        <v>1677</v>
      </c>
      <c r="DT252" s="2" t="s">
        <v>209</v>
      </c>
      <c r="DU252" s="2" t="s">
        <v>209</v>
      </c>
      <c r="DV252" s="2" t="s">
        <v>209</v>
      </c>
      <c r="DW252" s="2" t="s">
        <v>209</v>
      </c>
      <c r="DX252" s="2" t="s">
        <v>209</v>
      </c>
      <c r="DY252" s="2" t="s">
        <v>209</v>
      </c>
      <c r="DZ252" s="2" t="s">
        <v>209</v>
      </c>
      <c r="EA252" s="2" t="s">
        <v>209</v>
      </c>
      <c r="EB252" s="2" t="s">
        <v>209</v>
      </c>
      <c r="EC252" s="2" t="s">
        <v>188</v>
      </c>
      <c r="EF252" s="2" t="s">
        <v>211</v>
      </c>
      <c r="EG252" s="2" t="s">
        <v>985</v>
      </c>
      <c r="EJ252" s="2" t="s">
        <v>203</v>
      </c>
      <c r="EK252" s="2" t="s">
        <v>188</v>
      </c>
      <c r="EL252" s="2" t="s">
        <v>188</v>
      </c>
      <c r="EN252" s="2" t="s">
        <v>255</v>
      </c>
      <c r="EP252" s="2" t="s">
        <v>230</v>
      </c>
      <c r="ER252" s="2" t="s">
        <v>188</v>
      </c>
      <c r="ET252" s="2" t="s">
        <v>188</v>
      </c>
      <c r="EV252" s="2" t="s">
        <v>188</v>
      </c>
      <c r="EX252" s="2" t="s">
        <v>188</v>
      </c>
      <c r="EZ252" s="2" t="s">
        <v>188</v>
      </c>
      <c r="FC252" s="2" t="s">
        <v>263</v>
      </c>
      <c r="FD252" s="2" t="s">
        <v>188</v>
      </c>
      <c r="FH252" s="2" t="s">
        <v>188</v>
      </c>
      <c r="FJ252" s="2" t="s">
        <v>188</v>
      </c>
      <c r="FK252" s="2" t="s">
        <v>188</v>
      </c>
      <c r="FN252" s="2" t="s">
        <v>1492</v>
      </c>
      <c r="FR252" s="2" t="s">
        <v>433</v>
      </c>
      <c r="FT252" s="2" t="s">
        <v>233</v>
      </c>
      <c r="FU252" s="2" t="s">
        <v>233</v>
      </c>
      <c r="FV252" s="2" t="s">
        <v>490</v>
      </c>
      <c r="FW252" s="2" t="s">
        <v>219</v>
      </c>
      <c r="FZ252" s="4">
        <v>46040.734050925923</v>
      </c>
    </row>
    <row r="253" spans="1:182">
      <c r="A253" s="2" t="s">
        <v>1803</v>
      </c>
      <c r="D253" s="4">
        <v>46327.436481481483</v>
      </c>
      <c r="E253" s="2" t="s">
        <v>1804</v>
      </c>
      <c r="F253" s="2" t="s">
        <v>480</v>
      </c>
      <c r="G253" s="2" t="s">
        <v>1649</v>
      </c>
      <c r="H253" s="2" t="s">
        <v>1650</v>
      </c>
      <c r="I253" s="2" t="s">
        <v>1805</v>
      </c>
      <c r="J253" s="2">
        <v>377772486</v>
      </c>
      <c r="K253" s="2" t="s">
        <v>1806</v>
      </c>
      <c r="L253" s="2" t="s">
        <v>182</v>
      </c>
      <c r="M253" s="2" t="s">
        <v>223</v>
      </c>
      <c r="N253" s="2">
        <v>1986</v>
      </c>
      <c r="O253" s="2" t="s">
        <v>224</v>
      </c>
      <c r="P253" s="2" t="s">
        <v>225</v>
      </c>
      <c r="Q253" s="2" t="s">
        <v>226</v>
      </c>
      <c r="R253" s="2" t="s">
        <v>188</v>
      </c>
      <c r="S253" s="2">
        <v>29</v>
      </c>
      <c r="T253" s="2" t="s">
        <v>188</v>
      </c>
      <c r="U253" s="2" t="s">
        <v>188</v>
      </c>
      <c r="Y253" s="2">
        <v>654</v>
      </c>
      <c r="Z253" s="2">
        <v>0.77059999999999995</v>
      </c>
      <c r="AA253" s="2">
        <v>504</v>
      </c>
      <c r="AB253" s="2">
        <v>504</v>
      </c>
      <c r="AC253" s="2">
        <v>504</v>
      </c>
      <c r="AD253" s="2">
        <v>784</v>
      </c>
      <c r="AE253" s="2">
        <v>280</v>
      </c>
      <c r="AF253" s="2" t="s">
        <v>188</v>
      </c>
      <c r="AG253" s="2" t="s">
        <v>188</v>
      </c>
      <c r="AH253" s="2" t="s">
        <v>188</v>
      </c>
      <c r="AJ253" s="2" t="s">
        <v>188</v>
      </c>
      <c r="AK253" s="2" t="s">
        <v>188</v>
      </c>
      <c r="AL253" s="2" t="s">
        <v>188</v>
      </c>
      <c r="AM253" s="2" t="s">
        <v>188</v>
      </c>
      <c r="AN253" s="2" t="s">
        <v>188</v>
      </c>
      <c r="AO253" s="2" t="s">
        <v>187</v>
      </c>
      <c r="AR253" s="2">
        <v>4.5</v>
      </c>
      <c r="AS253" s="2">
        <v>3</v>
      </c>
      <c r="AT253" s="2">
        <v>8</v>
      </c>
      <c r="AU253" s="2" t="s">
        <v>238</v>
      </c>
      <c r="AV253" s="2" t="s">
        <v>238</v>
      </c>
      <c r="AW253" s="2" t="s">
        <v>188</v>
      </c>
      <c r="AZ253" s="2" t="s">
        <v>957</v>
      </c>
      <c r="BB253" s="2" t="s">
        <v>260</v>
      </c>
      <c r="BC253" s="2" t="s">
        <v>296</v>
      </c>
      <c r="BD253" s="2" t="s">
        <v>188</v>
      </c>
      <c r="BE253" s="2" t="s">
        <v>187</v>
      </c>
      <c r="BF253" s="2" t="s">
        <v>193</v>
      </c>
      <c r="BG253" s="2" t="s">
        <v>194</v>
      </c>
      <c r="BH253" s="2" t="s">
        <v>195</v>
      </c>
      <c r="BI253" s="2" t="s">
        <v>196</v>
      </c>
      <c r="BL253" s="2" t="s">
        <v>197</v>
      </c>
      <c r="BM253" s="2" t="s">
        <v>198</v>
      </c>
      <c r="BN253" s="2" t="s">
        <v>199</v>
      </c>
      <c r="BO253" s="2" t="s">
        <v>188</v>
      </c>
      <c r="BQ253" s="2" t="s">
        <v>227</v>
      </c>
      <c r="BS253" s="2" t="s">
        <v>187</v>
      </c>
      <c r="BT253" s="2" t="s">
        <v>611</v>
      </c>
      <c r="BV253" s="2" t="s">
        <v>389</v>
      </c>
      <c r="BX253" s="2" t="s">
        <v>187</v>
      </c>
      <c r="BY253" s="2" t="s">
        <v>1807</v>
      </c>
      <c r="BZ253" s="2" t="s">
        <v>209</v>
      </c>
      <c r="CA253" s="2" t="s">
        <v>1808</v>
      </c>
      <c r="CE253" s="2">
        <v>8</v>
      </c>
      <c r="CF253" s="2">
        <v>784</v>
      </c>
      <c r="CM253" s="2">
        <v>100</v>
      </c>
      <c r="CP253" s="2">
        <v>100</v>
      </c>
      <c r="CR253" s="2" t="s">
        <v>204</v>
      </c>
      <c r="CT253" s="2" t="s">
        <v>188</v>
      </c>
      <c r="CU253" s="2" t="s">
        <v>205</v>
      </c>
      <c r="CW253" s="2" t="s">
        <v>206</v>
      </c>
      <c r="CY253" s="2" t="s">
        <v>207</v>
      </c>
      <c r="CZ253" s="2" t="s">
        <v>207</v>
      </c>
      <c r="DA253" s="2" t="s">
        <v>300</v>
      </c>
      <c r="DB253" s="2" t="s">
        <v>300</v>
      </c>
      <c r="DC253" s="2" t="s">
        <v>300</v>
      </c>
      <c r="DD253" s="2" t="s">
        <v>300</v>
      </c>
      <c r="DE253" s="2" t="s">
        <v>300</v>
      </c>
      <c r="DF253" s="2" t="s">
        <v>207</v>
      </c>
      <c r="DG253" s="2" t="s">
        <v>207</v>
      </c>
      <c r="DH253" s="2" t="s">
        <v>207</v>
      </c>
      <c r="DI253" s="2" t="s">
        <v>300</v>
      </c>
      <c r="DL253" s="2" t="s">
        <v>187</v>
      </c>
      <c r="DM253" s="2" t="s">
        <v>187</v>
      </c>
      <c r="DN253" s="2" t="s">
        <v>187</v>
      </c>
      <c r="DO253" s="2" t="s">
        <v>187</v>
      </c>
      <c r="DP253" s="2" t="s">
        <v>209</v>
      </c>
      <c r="DQ253" s="2" t="s">
        <v>467</v>
      </c>
      <c r="DR253" s="2" t="s">
        <v>1809</v>
      </c>
      <c r="DT253" s="2" t="s">
        <v>209</v>
      </c>
      <c r="DU253" s="2" t="s">
        <v>209</v>
      </c>
      <c r="DV253" s="2" t="s">
        <v>209</v>
      </c>
      <c r="DW253" s="2" t="s">
        <v>209</v>
      </c>
      <c r="DX253" s="2" t="s">
        <v>209</v>
      </c>
      <c r="DY253" s="2" t="s">
        <v>209</v>
      </c>
      <c r="DZ253" s="2" t="s">
        <v>209</v>
      </c>
      <c r="EA253" s="2" t="s">
        <v>209</v>
      </c>
      <c r="EB253" s="2" t="s">
        <v>209</v>
      </c>
      <c r="EC253" s="2" t="s">
        <v>209</v>
      </c>
      <c r="ED253" s="2" t="s">
        <v>203</v>
      </c>
      <c r="EF253" s="2" t="s">
        <v>189</v>
      </c>
      <c r="EG253" s="2" t="s">
        <v>1810</v>
      </c>
      <c r="EJ253" s="2" t="s">
        <v>238</v>
      </c>
      <c r="EK253" s="2" t="s">
        <v>187</v>
      </c>
      <c r="EL253" s="2" t="s">
        <v>188</v>
      </c>
      <c r="EN253" s="2" t="s">
        <v>214</v>
      </c>
      <c r="EP253" s="2" t="s">
        <v>230</v>
      </c>
      <c r="ER253" s="2" t="s">
        <v>187</v>
      </c>
      <c r="ET253" s="2" t="s">
        <v>188</v>
      </c>
      <c r="EV253" s="2" t="s">
        <v>187</v>
      </c>
      <c r="EW253" s="2" t="s">
        <v>215</v>
      </c>
      <c r="EX253" s="2" t="s">
        <v>188</v>
      </c>
      <c r="EY253" s="2" t="s">
        <v>215</v>
      </c>
      <c r="EZ253" s="2" t="s">
        <v>188</v>
      </c>
      <c r="FC253" s="2" t="s">
        <v>216</v>
      </c>
      <c r="FD253" s="2" t="s">
        <v>188</v>
      </c>
      <c r="FH253" s="2" t="s">
        <v>188</v>
      </c>
      <c r="FJ253" s="2" t="s">
        <v>188</v>
      </c>
      <c r="FK253" s="2" t="s">
        <v>188</v>
      </c>
      <c r="FN253" s="2" t="s">
        <v>488</v>
      </c>
      <c r="FR253" s="2" t="s">
        <v>1811</v>
      </c>
      <c r="FT253" s="2" t="s">
        <v>233</v>
      </c>
      <c r="FU253" s="2" t="s">
        <v>233</v>
      </c>
      <c r="FV253" s="2" t="s">
        <v>233</v>
      </c>
      <c r="FW253" s="2" t="s">
        <v>233</v>
      </c>
      <c r="FX253" s="2" t="s">
        <v>233</v>
      </c>
      <c r="FY253" s="2" t="s">
        <v>1812</v>
      </c>
      <c r="FZ253" s="4">
        <v>46048.724004629628</v>
      </c>
    </row>
    <row r="254" spans="1:182">
      <c r="A254" s="2" t="s">
        <v>1813</v>
      </c>
      <c r="D254" s="4">
        <v>46327.434687499997</v>
      </c>
      <c r="E254" s="2" t="s">
        <v>177</v>
      </c>
      <c r="F254" s="2" t="s">
        <v>293</v>
      </c>
      <c r="G254" s="2" t="s">
        <v>1649</v>
      </c>
      <c r="H254" s="2" t="s">
        <v>1659</v>
      </c>
      <c r="I254" s="2" t="s">
        <v>1814</v>
      </c>
      <c r="J254" s="2">
        <v>33333</v>
      </c>
      <c r="K254" s="2" t="s">
        <v>1815</v>
      </c>
      <c r="L254" s="2" t="s">
        <v>182</v>
      </c>
      <c r="M254" s="2" t="s">
        <v>183</v>
      </c>
      <c r="N254" s="2">
        <v>1975</v>
      </c>
      <c r="O254" s="2" t="s">
        <v>224</v>
      </c>
      <c r="P254" s="2" t="s">
        <v>225</v>
      </c>
      <c r="Q254" s="2" t="s">
        <v>186</v>
      </c>
      <c r="R254" s="2" t="s">
        <v>188</v>
      </c>
      <c r="S254" s="2">
        <v>1992</v>
      </c>
      <c r="T254" s="2" t="s">
        <v>188</v>
      </c>
      <c r="U254" s="2" t="s">
        <v>188</v>
      </c>
      <c r="Y254" s="2">
        <v>850</v>
      </c>
      <c r="Z254" s="2">
        <v>0.94120000000000004</v>
      </c>
      <c r="AA254" s="2">
        <v>800</v>
      </c>
      <c r="AB254" s="2">
        <v>800</v>
      </c>
      <c r="AC254" s="2">
        <v>730</v>
      </c>
      <c r="AD254" s="2">
        <v>800</v>
      </c>
      <c r="AE254" s="2">
        <v>70</v>
      </c>
      <c r="AF254" s="2" t="s">
        <v>188</v>
      </c>
      <c r="AG254" s="2" t="s">
        <v>187</v>
      </c>
      <c r="AH254" s="2" t="s">
        <v>187</v>
      </c>
      <c r="AI254" s="2" t="s">
        <v>308</v>
      </c>
      <c r="AJ254" s="2" t="s">
        <v>188</v>
      </c>
      <c r="AK254" s="2" t="s">
        <v>188</v>
      </c>
      <c r="AL254" s="2" t="s">
        <v>188</v>
      </c>
      <c r="AM254" s="2" t="s">
        <v>187</v>
      </c>
      <c r="AN254" s="2" t="s">
        <v>188</v>
      </c>
      <c r="AO254" s="2" t="s">
        <v>188</v>
      </c>
      <c r="AR254" s="2">
        <v>2</v>
      </c>
      <c r="AS254" s="2">
        <v>2</v>
      </c>
      <c r="AT254" s="2">
        <v>9.5</v>
      </c>
      <c r="AU254" s="2" t="s">
        <v>238</v>
      </c>
      <c r="AV254" s="2" t="s">
        <v>238</v>
      </c>
      <c r="AW254" s="2" t="s">
        <v>188</v>
      </c>
      <c r="AZ254" s="2" t="s">
        <v>190</v>
      </c>
      <c r="BB254" s="2" t="s">
        <v>260</v>
      </c>
      <c r="BC254" s="2" t="s">
        <v>253</v>
      </c>
      <c r="BD254" s="2" t="s">
        <v>187</v>
      </c>
      <c r="BE254" s="2" t="s">
        <v>187</v>
      </c>
      <c r="BF254" s="2" t="s">
        <v>193</v>
      </c>
      <c r="BG254" s="2" t="s">
        <v>279</v>
      </c>
      <c r="BH254" s="2" t="s">
        <v>297</v>
      </c>
      <c r="BI254" s="2" t="s">
        <v>196</v>
      </c>
      <c r="BL254" s="2" t="s">
        <v>240</v>
      </c>
      <c r="BM254" s="2" t="s">
        <v>198</v>
      </c>
      <c r="BN254" s="2" t="s">
        <v>199</v>
      </c>
      <c r="BO254" s="2" t="s">
        <v>188</v>
      </c>
      <c r="BP254" s="2" t="s">
        <v>342</v>
      </c>
      <c r="BQ254" s="2" t="s">
        <v>227</v>
      </c>
      <c r="BS254" s="2" t="s">
        <v>187</v>
      </c>
      <c r="BT254" s="2" t="s">
        <v>201</v>
      </c>
      <c r="BV254" s="2" t="s">
        <v>358</v>
      </c>
      <c r="BX254" s="2" t="s">
        <v>187</v>
      </c>
      <c r="BY254" s="2" t="s">
        <v>1816</v>
      </c>
      <c r="BZ254" s="2" t="s">
        <v>203</v>
      </c>
      <c r="CE254" s="2">
        <v>9.5</v>
      </c>
      <c r="CF254" s="2">
        <v>920</v>
      </c>
      <c r="CK254" s="2">
        <v>100</v>
      </c>
      <c r="CO254" s="2">
        <v>100</v>
      </c>
      <c r="CR254" s="2" t="s">
        <v>204</v>
      </c>
      <c r="CT254" s="2" t="s">
        <v>188</v>
      </c>
      <c r="CU254" s="2" t="s">
        <v>205</v>
      </c>
      <c r="CW254" s="2" t="s">
        <v>206</v>
      </c>
      <c r="CY254" s="2" t="s">
        <v>273</v>
      </c>
      <c r="CZ254" s="2" t="s">
        <v>273</v>
      </c>
      <c r="DA254" s="2" t="s">
        <v>299</v>
      </c>
      <c r="DB254" s="2" t="s">
        <v>273</v>
      </c>
      <c r="DC254" s="2" t="s">
        <v>208</v>
      </c>
      <c r="DD254" s="2" t="s">
        <v>301</v>
      </c>
      <c r="DE254" s="2" t="s">
        <v>300</v>
      </c>
      <c r="DF254" s="2" t="s">
        <v>207</v>
      </c>
      <c r="DG254" s="2" t="s">
        <v>273</v>
      </c>
      <c r="DH254" s="2" t="s">
        <v>273</v>
      </c>
      <c r="DI254" s="2" t="s">
        <v>207</v>
      </c>
      <c r="DL254" s="2" t="s">
        <v>187</v>
      </c>
      <c r="DM254" s="2" t="s">
        <v>187</v>
      </c>
      <c r="DN254" s="2" t="s">
        <v>187</v>
      </c>
      <c r="DO254" s="2" t="s">
        <v>187</v>
      </c>
      <c r="DP254" s="2" t="s">
        <v>209</v>
      </c>
      <c r="DQ254" s="2" t="s">
        <v>210</v>
      </c>
      <c r="DS254" s="2" t="s">
        <v>209</v>
      </c>
      <c r="DT254" s="2" t="s">
        <v>209</v>
      </c>
      <c r="DU254" s="2" t="s">
        <v>209</v>
      </c>
      <c r="DV254" s="2" t="s">
        <v>209</v>
      </c>
      <c r="DW254" s="2" t="s">
        <v>209</v>
      </c>
      <c r="DX254" s="2" t="s">
        <v>209</v>
      </c>
      <c r="DY254" s="2" t="s">
        <v>203</v>
      </c>
      <c r="DZ254" s="2" t="s">
        <v>203</v>
      </c>
      <c r="EA254" s="2" t="s">
        <v>209</v>
      </c>
      <c r="EB254" s="2" t="s">
        <v>209</v>
      </c>
      <c r="EC254" s="2" t="s">
        <v>203</v>
      </c>
      <c r="ED254" s="2" t="s">
        <v>203</v>
      </c>
      <c r="EF254" s="2" t="s">
        <v>211</v>
      </c>
      <c r="EJ254" s="2" t="s">
        <v>238</v>
      </c>
      <c r="EK254" s="2" t="s">
        <v>187</v>
      </c>
      <c r="EL254" s="2" t="s">
        <v>188</v>
      </c>
      <c r="EN254" s="2" t="s">
        <v>214</v>
      </c>
      <c r="EP254" s="2" t="s">
        <v>230</v>
      </c>
      <c r="ET254" s="2" t="s">
        <v>188</v>
      </c>
      <c r="EV254" s="2" t="s">
        <v>187</v>
      </c>
      <c r="EW254" s="2" t="s">
        <v>189</v>
      </c>
      <c r="EX254" s="2" t="s">
        <v>188</v>
      </c>
      <c r="FC254" s="2" t="s">
        <v>216</v>
      </c>
      <c r="FD254" s="2" t="s">
        <v>188</v>
      </c>
      <c r="FH254" s="2" t="s">
        <v>188</v>
      </c>
      <c r="FJ254" s="2" t="s">
        <v>188</v>
      </c>
      <c r="FK254" s="2" t="s">
        <v>203</v>
      </c>
      <c r="FN254" s="2" t="s">
        <v>354</v>
      </c>
      <c r="FT254" s="2" t="s">
        <v>219</v>
      </c>
      <c r="FU254" s="2" t="s">
        <v>233</v>
      </c>
      <c r="FV254" s="2" t="s">
        <v>233</v>
      </c>
      <c r="FW254" s="2" t="s">
        <v>233</v>
      </c>
      <c r="FZ254" s="4">
        <v>46039.837291666663</v>
      </c>
    </row>
    <row r="255" spans="1:182">
      <c r="A255" s="2" t="s">
        <v>1817</v>
      </c>
      <c r="D255" s="4">
        <v>46327.448599537034</v>
      </c>
      <c r="E255" s="2" t="s">
        <v>1818</v>
      </c>
      <c r="F255" s="2" t="s">
        <v>480</v>
      </c>
      <c r="G255" s="2" t="s">
        <v>1649</v>
      </c>
      <c r="H255" s="2" t="s">
        <v>1650</v>
      </c>
      <c r="I255" s="2" t="s">
        <v>1819</v>
      </c>
      <c r="J255" s="2">
        <v>564227227</v>
      </c>
      <c r="K255" s="2" t="s">
        <v>1820</v>
      </c>
      <c r="L255" s="2" t="s">
        <v>182</v>
      </c>
      <c r="M255" s="2" t="s">
        <v>183</v>
      </c>
      <c r="N255" s="2">
        <v>1973</v>
      </c>
      <c r="O255" s="2" t="s">
        <v>224</v>
      </c>
      <c r="P255" s="2" t="s">
        <v>185</v>
      </c>
      <c r="Q255" s="2" t="s">
        <v>226</v>
      </c>
      <c r="R255" s="2" t="s">
        <v>188</v>
      </c>
      <c r="S255" s="2">
        <v>28</v>
      </c>
      <c r="T255" s="2" t="s">
        <v>188</v>
      </c>
      <c r="U255" s="2" t="s">
        <v>188</v>
      </c>
      <c r="Y255" s="2">
        <v>966</v>
      </c>
      <c r="Z255" s="2">
        <v>1</v>
      </c>
      <c r="AA255" s="2">
        <v>966</v>
      </c>
      <c r="AB255" s="2">
        <v>966</v>
      </c>
      <c r="AC255" s="2">
        <v>816</v>
      </c>
      <c r="AD255" s="2">
        <v>1176</v>
      </c>
      <c r="AE255" s="2">
        <v>360</v>
      </c>
      <c r="AF255" s="2" t="s">
        <v>188</v>
      </c>
      <c r="AG255" s="2" t="s">
        <v>188</v>
      </c>
      <c r="AH255" s="2" t="s">
        <v>188</v>
      </c>
      <c r="AJ255" s="2" t="s">
        <v>188</v>
      </c>
      <c r="AK255" s="2" t="s">
        <v>188</v>
      </c>
      <c r="AL255" s="2" t="s">
        <v>188</v>
      </c>
      <c r="AM255" s="2" t="s">
        <v>188</v>
      </c>
      <c r="AN255" s="2" t="s">
        <v>188</v>
      </c>
      <c r="AO255" s="2" t="s">
        <v>188</v>
      </c>
      <c r="AR255" s="2">
        <v>3</v>
      </c>
      <c r="AS255" s="2">
        <v>4</v>
      </c>
      <c r="AT255" s="2">
        <v>12</v>
      </c>
      <c r="AU255" s="2" t="s">
        <v>238</v>
      </c>
      <c r="AV255" s="2" t="s">
        <v>238</v>
      </c>
      <c r="AW255" s="2" t="s">
        <v>188</v>
      </c>
      <c r="AZ255" s="2" t="s">
        <v>957</v>
      </c>
      <c r="BB255" s="2" t="s">
        <v>260</v>
      </c>
      <c r="BC255" s="2" t="s">
        <v>296</v>
      </c>
      <c r="BD255" s="2" t="s">
        <v>188</v>
      </c>
      <c r="BE255" s="2" t="s">
        <v>187</v>
      </c>
      <c r="BF255" s="2" t="s">
        <v>193</v>
      </c>
      <c r="BG255" s="2" t="s">
        <v>194</v>
      </c>
      <c r="BH255" s="2" t="s">
        <v>195</v>
      </c>
      <c r="BI255" s="2" t="s">
        <v>196</v>
      </c>
      <c r="BL255" s="2" t="s">
        <v>197</v>
      </c>
      <c r="BM255" s="2" t="s">
        <v>198</v>
      </c>
      <c r="BN255" s="2" t="s">
        <v>199</v>
      </c>
      <c r="BO255" s="2" t="s">
        <v>188</v>
      </c>
      <c r="BQ255" s="2" t="s">
        <v>227</v>
      </c>
      <c r="BS255" s="2" t="s">
        <v>187</v>
      </c>
      <c r="BT255" s="2" t="s">
        <v>611</v>
      </c>
      <c r="BV255" s="2" t="s">
        <v>630</v>
      </c>
      <c r="BX255" s="2" t="s">
        <v>187</v>
      </c>
      <c r="BY255" s="2" t="s">
        <v>1821</v>
      </c>
      <c r="BZ255" s="2" t="s">
        <v>209</v>
      </c>
      <c r="CA255" s="2" t="s">
        <v>1822</v>
      </c>
      <c r="CE255" s="2">
        <v>12</v>
      </c>
      <c r="CF255" s="2">
        <v>1176</v>
      </c>
      <c r="CM255" s="2">
        <v>100</v>
      </c>
      <c r="CO255" s="2">
        <v>100</v>
      </c>
      <c r="CR255" s="2" t="s">
        <v>511</v>
      </c>
      <c r="CT255" s="2" t="s">
        <v>188</v>
      </c>
      <c r="CU255" s="2" t="s">
        <v>205</v>
      </c>
      <c r="CW255" s="2" t="s">
        <v>206</v>
      </c>
      <c r="CY255" s="2" t="s">
        <v>273</v>
      </c>
      <c r="CZ255" s="2" t="s">
        <v>273</v>
      </c>
      <c r="DA255" s="2" t="s">
        <v>299</v>
      </c>
      <c r="DB255" s="2" t="s">
        <v>299</v>
      </c>
      <c r="DC255" s="2" t="s">
        <v>299</v>
      </c>
      <c r="DD255" s="2" t="s">
        <v>299</v>
      </c>
      <c r="DE255" s="2" t="s">
        <v>512</v>
      </c>
      <c r="DF255" s="2" t="s">
        <v>273</v>
      </c>
      <c r="DG255" s="2" t="s">
        <v>273</v>
      </c>
      <c r="DH255" s="2" t="s">
        <v>273</v>
      </c>
      <c r="DI255" s="2" t="s">
        <v>273</v>
      </c>
      <c r="DL255" s="2" t="s">
        <v>187</v>
      </c>
      <c r="DM255" s="2" t="s">
        <v>187</v>
      </c>
      <c r="DN255" s="2" t="s">
        <v>187</v>
      </c>
      <c r="DO255" s="2" t="s">
        <v>187</v>
      </c>
      <c r="DP255" s="2" t="s">
        <v>209</v>
      </c>
      <c r="DQ255" s="2" t="s">
        <v>467</v>
      </c>
      <c r="DR255" s="2" t="s">
        <v>1823</v>
      </c>
      <c r="DT255" s="2" t="s">
        <v>209</v>
      </c>
      <c r="DU255" s="2" t="s">
        <v>209</v>
      </c>
      <c r="DV255" s="2" t="s">
        <v>209</v>
      </c>
      <c r="DW255" s="2" t="s">
        <v>209</v>
      </c>
      <c r="DX255" s="2" t="s">
        <v>209</v>
      </c>
      <c r="DY255" s="2" t="s">
        <v>209</v>
      </c>
      <c r="DZ255" s="2" t="s">
        <v>209</v>
      </c>
      <c r="EA255" s="2" t="s">
        <v>209</v>
      </c>
      <c r="EB255" s="2" t="s">
        <v>209</v>
      </c>
      <c r="EC255" s="2" t="s">
        <v>203</v>
      </c>
      <c r="ED255" s="2" t="s">
        <v>203</v>
      </c>
      <c r="EF255" s="2" t="s">
        <v>189</v>
      </c>
      <c r="EG255" s="2" t="s">
        <v>1824</v>
      </c>
      <c r="EJ255" s="2" t="s">
        <v>238</v>
      </c>
      <c r="EK255" s="2" t="s">
        <v>187</v>
      </c>
      <c r="EL255" s="2" t="s">
        <v>188</v>
      </c>
      <c r="EN255" s="2" t="s">
        <v>214</v>
      </c>
      <c r="EP255" s="2" t="s">
        <v>230</v>
      </c>
      <c r="ER255" s="2" t="s">
        <v>187</v>
      </c>
      <c r="ET255" s="2" t="s">
        <v>188</v>
      </c>
      <c r="EV255" s="2" t="s">
        <v>187</v>
      </c>
      <c r="EW255" s="2" t="s">
        <v>215</v>
      </c>
      <c r="EX255" s="2" t="s">
        <v>188</v>
      </c>
      <c r="EZ255" s="2" t="s">
        <v>188</v>
      </c>
      <c r="FC255" s="2" t="s">
        <v>263</v>
      </c>
      <c r="FD255" s="2" t="s">
        <v>188</v>
      </c>
      <c r="FH255" s="2" t="s">
        <v>188</v>
      </c>
      <c r="FJ255" s="2" t="s">
        <v>188</v>
      </c>
      <c r="FK255" s="2" t="s">
        <v>188</v>
      </c>
      <c r="FN255" s="2" t="s">
        <v>488</v>
      </c>
      <c r="FR255" s="2" t="s">
        <v>1825</v>
      </c>
      <c r="FT255" s="2" t="s">
        <v>233</v>
      </c>
      <c r="FU255" s="2" t="s">
        <v>233</v>
      </c>
      <c r="FV255" s="2" t="s">
        <v>233</v>
      </c>
      <c r="FW255" s="2" t="s">
        <v>233</v>
      </c>
      <c r="FX255" s="2" t="s">
        <v>233</v>
      </c>
      <c r="FZ255" s="4">
        <v>46043.479756944442</v>
      </c>
    </row>
    <row r="256" spans="1:182">
      <c r="A256" s="2" t="s">
        <v>1826</v>
      </c>
      <c r="D256" s="4">
        <v>46327.454201388886</v>
      </c>
      <c r="E256" s="2" t="s">
        <v>1827</v>
      </c>
      <c r="F256" s="2" t="s">
        <v>398</v>
      </c>
      <c r="G256" s="2" t="s">
        <v>1649</v>
      </c>
      <c r="H256" s="2" t="s">
        <v>1731</v>
      </c>
      <c r="I256" s="2" t="s">
        <v>1828</v>
      </c>
      <c r="J256" s="2">
        <v>988307245</v>
      </c>
      <c r="K256" s="2" t="s">
        <v>1828</v>
      </c>
      <c r="L256" s="2" t="s">
        <v>182</v>
      </c>
      <c r="M256" s="2" t="s">
        <v>183</v>
      </c>
      <c r="N256" s="2">
        <v>1978</v>
      </c>
      <c r="O256" s="2" t="s">
        <v>224</v>
      </c>
      <c r="P256" s="2" t="s">
        <v>185</v>
      </c>
      <c r="Q256" s="2" t="s">
        <v>226</v>
      </c>
      <c r="R256" s="2" t="s">
        <v>188</v>
      </c>
      <c r="S256" s="2">
        <v>30</v>
      </c>
      <c r="T256" s="2" t="s">
        <v>188</v>
      </c>
      <c r="U256" s="2" t="s">
        <v>188</v>
      </c>
      <c r="Y256" s="2">
        <v>1380</v>
      </c>
      <c r="Z256" s="2">
        <v>1</v>
      </c>
      <c r="AA256" s="2">
        <v>1380</v>
      </c>
      <c r="AB256" s="2">
        <v>1380</v>
      </c>
      <c r="AC256" s="2">
        <v>1380</v>
      </c>
      <c r="AD256" s="2">
        <v>1500</v>
      </c>
      <c r="AE256" s="2">
        <v>120</v>
      </c>
      <c r="AF256" s="2" t="s">
        <v>188</v>
      </c>
      <c r="AG256" s="2" t="s">
        <v>188</v>
      </c>
      <c r="AH256" s="2" t="s">
        <v>188</v>
      </c>
      <c r="AJ256" s="2" t="s">
        <v>188</v>
      </c>
      <c r="AK256" s="2" t="s">
        <v>188</v>
      </c>
      <c r="AL256" s="2" t="s">
        <v>188</v>
      </c>
      <c r="AM256" s="2" t="s">
        <v>188</v>
      </c>
      <c r="AN256" s="2" t="s">
        <v>188</v>
      </c>
      <c r="AO256" s="2" t="s">
        <v>188</v>
      </c>
      <c r="AR256" s="2">
        <v>3.2</v>
      </c>
      <c r="AS256" s="2">
        <v>5</v>
      </c>
      <c r="AT256" s="2">
        <v>15</v>
      </c>
      <c r="AU256" s="2" t="s">
        <v>238</v>
      </c>
      <c r="AV256" s="2" t="s">
        <v>238</v>
      </c>
      <c r="AW256" s="2" t="s">
        <v>188</v>
      </c>
      <c r="BC256" s="2" t="s">
        <v>192</v>
      </c>
      <c r="BD256" s="2" t="s">
        <v>187</v>
      </c>
      <c r="BE256" s="2" t="s">
        <v>188</v>
      </c>
      <c r="BL256" s="2" t="s">
        <v>197</v>
      </c>
      <c r="BM256" s="2" t="s">
        <v>198</v>
      </c>
      <c r="BN256" s="2" t="s">
        <v>199</v>
      </c>
      <c r="BO256" s="2" t="s">
        <v>341</v>
      </c>
      <c r="BP256" s="2" t="s">
        <v>334</v>
      </c>
      <c r="BS256" s="2" t="s">
        <v>187</v>
      </c>
      <c r="BT256" s="2" t="s">
        <v>410</v>
      </c>
      <c r="BV256" s="2" t="s">
        <v>502</v>
      </c>
      <c r="BX256" s="2" t="s">
        <v>188</v>
      </c>
      <c r="BY256" s="2" t="s">
        <v>1829</v>
      </c>
      <c r="BZ256" s="2" t="s">
        <v>203</v>
      </c>
      <c r="CE256" s="2">
        <v>15</v>
      </c>
      <c r="CF256" s="2">
        <v>1500</v>
      </c>
      <c r="CM256" s="2">
        <v>100</v>
      </c>
      <c r="CR256" s="2" t="s">
        <v>204</v>
      </c>
      <c r="CT256" s="2" t="s">
        <v>188</v>
      </c>
      <c r="CU256" s="2" t="s">
        <v>205</v>
      </c>
      <c r="CW256" s="2" t="s">
        <v>206</v>
      </c>
      <c r="CY256" s="2" t="s">
        <v>207</v>
      </c>
      <c r="CZ256" s="2" t="s">
        <v>207</v>
      </c>
      <c r="DA256" s="2" t="s">
        <v>300</v>
      </c>
      <c r="DB256" s="2" t="s">
        <v>207</v>
      </c>
      <c r="DC256" s="2" t="s">
        <v>300</v>
      </c>
      <c r="DD256" s="2" t="s">
        <v>300</v>
      </c>
      <c r="DE256" s="2" t="s">
        <v>300</v>
      </c>
      <c r="DF256" s="2" t="s">
        <v>207</v>
      </c>
      <c r="DG256" s="2" t="s">
        <v>207</v>
      </c>
      <c r="DH256" s="2" t="s">
        <v>207</v>
      </c>
      <c r="DI256" s="2" t="s">
        <v>300</v>
      </c>
      <c r="DL256" s="2" t="s">
        <v>187</v>
      </c>
      <c r="DM256" s="2" t="s">
        <v>187</v>
      </c>
      <c r="DN256" s="2" t="s">
        <v>187</v>
      </c>
      <c r="DO256" s="2" t="s">
        <v>187</v>
      </c>
      <c r="DP256" s="2" t="s">
        <v>209</v>
      </c>
      <c r="DQ256" s="2" t="s">
        <v>467</v>
      </c>
      <c r="DR256" s="2" t="s">
        <v>1830</v>
      </c>
      <c r="DT256" s="2" t="s">
        <v>209</v>
      </c>
      <c r="DU256" s="2" t="s">
        <v>209</v>
      </c>
      <c r="DV256" s="2" t="s">
        <v>209</v>
      </c>
      <c r="DW256" s="2" t="s">
        <v>209</v>
      </c>
      <c r="DX256" s="2" t="s">
        <v>209</v>
      </c>
      <c r="DY256" s="2" t="s">
        <v>209</v>
      </c>
      <c r="DZ256" s="2" t="s">
        <v>209</v>
      </c>
      <c r="EA256" s="2" t="s">
        <v>209</v>
      </c>
      <c r="EB256" s="2" t="s">
        <v>209</v>
      </c>
      <c r="EF256" s="2" t="s">
        <v>189</v>
      </c>
      <c r="EG256" s="2" t="s">
        <v>1831</v>
      </c>
      <c r="EJ256" s="2" t="s">
        <v>189</v>
      </c>
      <c r="EK256" s="2" t="s">
        <v>187</v>
      </c>
      <c r="EL256" s="2" t="s">
        <v>188</v>
      </c>
      <c r="EN256" s="2" t="s">
        <v>214</v>
      </c>
      <c r="EP256" s="2" t="s">
        <v>230</v>
      </c>
      <c r="ER256" s="2" t="s">
        <v>187</v>
      </c>
      <c r="ET256" s="2" t="s">
        <v>188</v>
      </c>
      <c r="EV256" s="2" t="s">
        <v>187</v>
      </c>
      <c r="EW256" s="2" t="s">
        <v>189</v>
      </c>
      <c r="EX256" s="2" t="s">
        <v>187</v>
      </c>
      <c r="EY256" s="2" t="s">
        <v>189</v>
      </c>
      <c r="EZ256" s="2" t="s">
        <v>188</v>
      </c>
      <c r="FC256" s="2" t="s">
        <v>216</v>
      </c>
      <c r="FD256" s="2" t="s">
        <v>188</v>
      </c>
      <c r="FH256" s="2" t="s">
        <v>188</v>
      </c>
      <c r="FJ256" s="2" t="s">
        <v>188</v>
      </c>
      <c r="FK256" s="2" t="s">
        <v>203</v>
      </c>
      <c r="FR256" s="2" t="s">
        <v>461</v>
      </c>
      <c r="FT256" s="2" t="s">
        <v>233</v>
      </c>
      <c r="FU256" s="2" t="s">
        <v>233</v>
      </c>
      <c r="FV256" s="2" t="s">
        <v>233</v>
      </c>
      <c r="FW256" s="2" t="s">
        <v>219</v>
      </c>
      <c r="FX256" s="2" t="s">
        <v>233</v>
      </c>
      <c r="FY256" s="2" t="s">
        <v>1832</v>
      </c>
      <c r="FZ256" s="4">
        <v>46038.745439814818</v>
      </c>
    </row>
    <row r="257" spans="1:182">
      <c r="A257" s="2" t="s">
        <v>1833</v>
      </c>
      <c r="D257" s="4">
        <v>46327.468217592592</v>
      </c>
      <c r="E257" s="2" t="s">
        <v>1834</v>
      </c>
      <c r="F257" s="2" t="s">
        <v>590</v>
      </c>
      <c r="G257" s="2" t="s">
        <v>1649</v>
      </c>
      <c r="H257" s="2" t="s">
        <v>1659</v>
      </c>
      <c r="I257" s="2" t="s">
        <v>1835</v>
      </c>
      <c r="J257" s="2">
        <v>344889552</v>
      </c>
      <c r="K257" s="2" t="s">
        <v>1835</v>
      </c>
      <c r="L257" s="2" t="s">
        <v>182</v>
      </c>
      <c r="M257" s="2" t="s">
        <v>223</v>
      </c>
      <c r="N257" s="2">
        <v>1972</v>
      </c>
      <c r="O257" s="2" t="s">
        <v>224</v>
      </c>
      <c r="P257" s="2" t="s">
        <v>185</v>
      </c>
      <c r="Q257" s="2" t="s">
        <v>226</v>
      </c>
      <c r="R257" s="2" t="s">
        <v>188</v>
      </c>
      <c r="S257" s="2">
        <v>29</v>
      </c>
      <c r="T257" s="2" t="s">
        <v>188</v>
      </c>
      <c r="U257" s="2" t="s">
        <v>188</v>
      </c>
      <c r="Y257" s="2">
        <v>660</v>
      </c>
      <c r="Z257" s="2">
        <v>1</v>
      </c>
      <c r="AA257" s="2">
        <v>660</v>
      </c>
      <c r="AB257" s="2">
        <v>660</v>
      </c>
      <c r="AC257" s="2">
        <v>660</v>
      </c>
      <c r="AD257" s="2">
        <v>780</v>
      </c>
      <c r="AE257" s="2">
        <v>120</v>
      </c>
      <c r="AF257" s="2" t="s">
        <v>188</v>
      </c>
      <c r="AG257" s="2" t="s">
        <v>188</v>
      </c>
      <c r="AH257" s="2" t="s">
        <v>188</v>
      </c>
      <c r="AJ257" s="2" t="s">
        <v>188</v>
      </c>
      <c r="AK257" s="2" t="s">
        <v>188</v>
      </c>
      <c r="AL257" s="2" t="s">
        <v>188</v>
      </c>
      <c r="AM257" s="2" t="s">
        <v>188</v>
      </c>
      <c r="AN257" s="2" t="s">
        <v>188</v>
      </c>
      <c r="AO257" s="2" t="s">
        <v>188</v>
      </c>
      <c r="AR257" s="2">
        <v>2</v>
      </c>
      <c r="AS257" s="2">
        <v>2</v>
      </c>
      <c r="AT257" s="2">
        <v>8.3000000000000007</v>
      </c>
      <c r="AU257" s="2" t="s">
        <v>238</v>
      </c>
      <c r="AV257" s="2" t="s">
        <v>189</v>
      </c>
      <c r="AW257" s="2" t="s">
        <v>188</v>
      </c>
      <c r="AZ257" s="2" t="s">
        <v>190</v>
      </c>
      <c r="BB257" s="2" t="s">
        <v>260</v>
      </c>
      <c r="BC257" s="2" t="s">
        <v>296</v>
      </c>
      <c r="BD257" s="2" t="s">
        <v>187</v>
      </c>
      <c r="BE257" s="2" t="s">
        <v>187</v>
      </c>
      <c r="BF257" s="2" t="s">
        <v>193</v>
      </c>
      <c r="BG257" s="2" t="s">
        <v>279</v>
      </c>
      <c r="BH257" s="2" t="s">
        <v>297</v>
      </c>
      <c r="BI257" s="2" t="s">
        <v>196</v>
      </c>
      <c r="BL257" s="2" t="s">
        <v>197</v>
      </c>
      <c r="BM257" s="2" t="s">
        <v>507</v>
      </c>
      <c r="BN257" s="2" t="s">
        <v>199</v>
      </c>
      <c r="BO257" s="2" t="s">
        <v>188</v>
      </c>
      <c r="BQ257" s="2" t="s">
        <v>227</v>
      </c>
      <c r="BS257" s="2" t="s">
        <v>187</v>
      </c>
      <c r="BT257" s="2" t="s">
        <v>594</v>
      </c>
      <c r="BV257" s="2" t="s">
        <v>242</v>
      </c>
      <c r="BX257" s="2" t="s">
        <v>187</v>
      </c>
      <c r="BY257" s="2" t="s">
        <v>631</v>
      </c>
      <c r="BZ257" s="2" t="s">
        <v>209</v>
      </c>
      <c r="CA257" s="2" t="s">
        <v>1836</v>
      </c>
      <c r="CE257" s="2">
        <v>8.3000000000000007</v>
      </c>
      <c r="CF257" s="2">
        <v>780</v>
      </c>
      <c r="CM257" s="2">
        <v>100</v>
      </c>
      <c r="CO257" s="2">
        <v>100</v>
      </c>
      <c r="CR257" s="2" t="s">
        <v>204</v>
      </c>
      <c r="CT257" s="2" t="s">
        <v>188</v>
      </c>
      <c r="CU257" s="2" t="s">
        <v>578</v>
      </c>
      <c r="CW257" s="2" t="s">
        <v>206</v>
      </c>
      <c r="CY257" s="2" t="s">
        <v>273</v>
      </c>
      <c r="CZ257" s="2" t="s">
        <v>300</v>
      </c>
      <c r="DA257" s="2" t="s">
        <v>300</v>
      </c>
      <c r="DB257" s="2" t="s">
        <v>300</v>
      </c>
      <c r="DC257" s="2" t="s">
        <v>300</v>
      </c>
      <c r="DD257" s="2" t="s">
        <v>300</v>
      </c>
      <c r="DE257" s="2" t="s">
        <v>273</v>
      </c>
      <c r="DF257" s="2" t="s">
        <v>273</v>
      </c>
      <c r="DG257" s="2" t="s">
        <v>273</v>
      </c>
      <c r="DH257" s="2" t="s">
        <v>273</v>
      </c>
      <c r="DI257" s="2" t="s">
        <v>430</v>
      </c>
      <c r="DL257" s="2" t="s">
        <v>187</v>
      </c>
      <c r="DM257" s="2" t="s">
        <v>187</v>
      </c>
      <c r="DN257" s="2" t="s">
        <v>187</v>
      </c>
      <c r="DO257" s="2" t="s">
        <v>187</v>
      </c>
      <c r="DP257" s="2" t="s">
        <v>209</v>
      </c>
      <c r="DQ257" s="2" t="s">
        <v>467</v>
      </c>
      <c r="DR257" s="2" t="s">
        <v>1677</v>
      </c>
      <c r="DT257" s="2" t="s">
        <v>209</v>
      </c>
      <c r="DU257" s="2" t="s">
        <v>209</v>
      </c>
      <c r="DV257" s="2" t="s">
        <v>209</v>
      </c>
      <c r="DW257" s="2" t="s">
        <v>209</v>
      </c>
      <c r="DX257" s="2" t="s">
        <v>209</v>
      </c>
      <c r="DY257" s="2" t="s">
        <v>209</v>
      </c>
      <c r="DZ257" s="2" t="s">
        <v>209</v>
      </c>
      <c r="EA257" s="2" t="s">
        <v>209</v>
      </c>
      <c r="EB257" s="2" t="s">
        <v>209</v>
      </c>
      <c r="EC257" s="2" t="s">
        <v>188</v>
      </c>
      <c r="EF257" s="2" t="s">
        <v>211</v>
      </c>
      <c r="EG257" s="2" t="s">
        <v>985</v>
      </c>
      <c r="EJ257" s="2" t="s">
        <v>203</v>
      </c>
      <c r="EK257" s="2" t="s">
        <v>188</v>
      </c>
      <c r="EL257" s="2" t="s">
        <v>188</v>
      </c>
      <c r="EN257" s="2" t="s">
        <v>255</v>
      </c>
      <c r="EP257" s="2" t="s">
        <v>230</v>
      </c>
      <c r="ER257" s="2" t="s">
        <v>188</v>
      </c>
      <c r="ET257" s="2" t="s">
        <v>188</v>
      </c>
      <c r="EV257" s="2" t="s">
        <v>188</v>
      </c>
      <c r="EX257" s="2" t="s">
        <v>188</v>
      </c>
      <c r="EZ257" s="2" t="s">
        <v>188</v>
      </c>
      <c r="FC257" s="2" t="s">
        <v>263</v>
      </c>
      <c r="FD257" s="2" t="s">
        <v>188</v>
      </c>
      <c r="FH257" s="2" t="s">
        <v>188</v>
      </c>
      <c r="FJ257" s="2" t="s">
        <v>188</v>
      </c>
      <c r="FK257" s="2" t="s">
        <v>188</v>
      </c>
      <c r="FN257" s="2" t="s">
        <v>304</v>
      </c>
      <c r="FR257" s="2" t="s">
        <v>1837</v>
      </c>
      <c r="FT257" s="2" t="s">
        <v>233</v>
      </c>
      <c r="FU257" s="2" t="s">
        <v>233</v>
      </c>
      <c r="FV257" s="2" t="s">
        <v>233</v>
      </c>
      <c r="FW257" s="2" t="s">
        <v>233</v>
      </c>
      <c r="FZ257" s="4">
        <v>46040.739166666666</v>
      </c>
    </row>
    <row r="258" spans="1:182">
      <c r="A258" s="2" t="s">
        <v>1838</v>
      </c>
      <c r="D258" s="4">
        <v>46327.57402777778</v>
      </c>
      <c r="E258" s="2" t="s">
        <v>177</v>
      </c>
      <c r="F258" s="2" t="s">
        <v>178</v>
      </c>
      <c r="G258" s="2" t="s">
        <v>1649</v>
      </c>
      <c r="H258" s="2" t="s">
        <v>1659</v>
      </c>
      <c r="I258" s="2" t="s">
        <v>1839</v>
      </c>
      <c r="J258" s="2">
        <v>352921303</v>
      </c>
      <c r="K258" s="2" t="s">
        <v>1840</v>
      </c>
      <c r="L258" s="2" t="s">
        <v>182</v>
      </c>
      <c r="M258" s="2" t="s">
        <v>223</v>
      </c>
      <c r="N258" s="2">
        <v>1978</v>
      </c>
      <c r="O258" s="2" t="s">
        <v>224</v>
      </c>
      <c r="P258" s="2" t="s">
        <v>225</v>
      </c>
      <c r="Q258" s="2" t="s">
        <v>186</v>
      </c>
      <c r="R258" s="2" t="s">
        <v>188</v>
      </c>
      <c r="S258" s="2">
        <v>30</v>
      </c>
      <c r="T258" s="2" t="s">
        <v>188</v>
      </c>
      <c r="U258" s="2" t="s">
        <v>188</v>
      </c>
      <c r="Y258" s="2">
        <v>720</v>
      </c>
      <c r="Z258" s="2">
        <v>0.97219999999999995</v>
      </c>
      <c r="AA258" s="2">
        <v>700</v>
      </c>
      <c r="AB258" s="2">
        <v>700</v>
      </c>
      <c r="AC258" s="2">
        <v>700</v>
      </c>
      <c r="AD258" s="2">
        <v>850</v>
      </c>
      <c r="AE258" s="2">
        <v>150</v>
      </c>
      <c r="AF258" s="2" t="s">
        <v>188</v>
      </c>
      <c r="AG258" s="2" t="s">
        <v>188</v>
      </c>
      <c r="AH258" s="2" t="s">
        <v>188</v>
      </c>
      <c r="AJ258" s="2" t="s">
        <v>188</v>
      </c>
      <c r="AK258" s="2" t="s">
        <v>188</v>
      </c>
      <c r="AL258" s="2" t="s">
        <v>188</v>
      </c>
      <c r="AM258" s="2" t="s">
        <v>187</v>
      </c>
      <c r="AN258" s="2" t="s">
        <v>188</v>
      </c>
      <c r="AO258" s="2" t="s">
        <v>188</v>
      </c>
      <c r="AR258" s="2">
        <v>2</v>
      </c>
      <c r="AS258" s="2">
        <v>2</v>
      </c>
      <c r="AT258" s="2">
        <v>9.99</v>
      </c>
      <c r="AU258" s="2" t="s">
        <v>212</v>
      </c>
      <c r="AV258" s="2" t="s">
        <v>212</v>
      </c>
      <c r="AW258" s="2" t="s">
        <v>188</v>
      </c>
      <c r="AZ258" s="2" t="s">
        <v>190</v>
      </c>
      <c r="BB258" s="2" t="s">
        <v>191</v>
      </c>
      <c r="BC258" s="2" t="s">
        <v>192</v>
      </c>
      <c r="BD258" s="2" t="s">
        <v>187</v>
      </c>
      <c r="BE258" s="2" t="s">
        <v>187</v>
      </c>
      <c r="BF258" s="2" t="s">
        <v>193</v>
      </c>
      <c r="BG258" s="2" t="s">
        <v>194</v>
      </c>
      <c r="BH258" s="2" t="s">
        <v>195</v>
      </c>
      <c r="BI258" s="2" t="s">
        <v>196</v>
      </c>
      <c r="BL258" s="2" t="s">
        <v>197</v>
      </c>
      <c r="BM258" s="2" t="s">
        <v>198</v>
      </c>
      <c r="BN258" s="2" t="s">
        <v>199</v>
      </c>
      <c r="BO258" s="2" t="s">
        <v>188</v>
      </c>
      <c r="BQ258" s="2" t="s">
        <v>200</v>
      </c>
      <c r="BS258" s="2" t="s">
        <v>187</v>
      </c>
      <c r="BT258" s="2" t="s">
        <v>241</v>
      </c>
      <c r="BV258" s="2" t="s">
        <v>248</v>
      </c>
      <c r="BX258" s="2" t="s">
        <v>188</v>
      </c>
      <c r="BZ258" s="2" t="s">
        <v>188</v>
      </c>
      <c r="CE258" s="2">
        <v>9.99</v>
      </c>
      <c r="CF258" s="2">
        <v>850</v>
      </c>
      <c r="CM258" s="2">
        <v>100</v>
      </c>
      <c r="CR258" s="2" t="s">
        <v>204</v>
      </c>
      <c r="CT258" s="2" t="s">
        <v>188</v>
      </c>
      <c r="CU258" s="2" t="s">
        <v>205</v>
      </c>
      <c r="CW258" s="2" t="s">
        <v>206</v>
      </c>
      <c r="CY258" s="2" t="s">
        <v>207</v>
      </c>
      <c r="CZ258" s="2" t="s">
        <v>207</v>
      </c>
      <c r="DA258" s="2" t="s">
        <v>208</v>
      </c>
      <c r="DB258" s="2" t="s">
        <v>208</v>
      </c>
      <c r="DC258" s="2" t="s">
        <v>208</v>
      </c>
      <c r="DD258" s="2" t="s">
        <v>208</v>
      </c>
      <c r="DE258" s="2" t="s">
        <v>208</v>
      </c>
      <c r="DF258" s="2" t="s">
        <v>208</v>
      </c>
      <c r="DG258" s="2" t="s">
        <v>208</v>
      </c>
      <c r="DH258" s="2" t="s">
        <v>208</v>
      </c>
      <c r="DI258" s="2" t="s">
        <v>208</v>
      </c>
      <c r="DL258" s="2" t="s">
        <v>187</v>
      </c>
      <c r="DM258" s="2" t="s">
        <v>187</v>
      </c>
      <c r="DN258" s="2" t="s">
        <v>187</v>
      </c>
      <c r="DO258" s="2" t="s">
        <v>187</v>
      </c>
      <c r="DP258" s="2" t="s">
        <v>209</v>
      </c>
      <c r="DQ258" s="2" t="s">
        <v>210</v>
      </c>
      <c r="DT258" s="2" t="s">
        <v>209</v>
      </c>
      <c r="DU258" s="2" t="s">
        <v>209</v>
      </c>
      <c r="DV258" s="2" t="s">
        <v>209</v>
      </c>
      <c r="DW258" s="2" t="s">
        <v>209</v>
      </c>
      <c r="DX258" s="2" t="s">
        <v>209</v>
      </c>
      <c r="DY258" s="2" t="s">
        <v>209</v>
      </c>
      <c r="DZ258" s="2" t="s">
        <v>209</v>
      </c>
      <c r="EA258" s="2" t="s">
        <v>209</v>
      </c>
      <c r="EB258" s="2" t="s">
        <v>209</v>
      </c>
      <c r="EF258" s="2" t="s">
        <v>211</v>
      </c>
      <c r="EJ258" s="2" t="s">
        <v>212</v>
      </c>
      <c r="EK258" s="2" t="s">
        <v>187</v>
      </c>
      <c r="EL258" s="2" t="s">
        <v>188</v>
      </c>
      <c r="EN258" s="2" t="s">
        <v>214</v>
      </c>
      <c r="EP258" s="2" t="s">
        <v>230</v>
      </c>
      <c r="ER258" s="2" t="s">
        <v>187</v>
      </c>
      <c r="ET258" s="2" t="s">
        <v>188</v>
      </c>
      <c r="EV258" s="2" t="s">
        <v>187</v>
      </c>
      <c r="EW258" s="2" t="s">
        <v>215</v>
      </c>
      <c r="FC258" s="2" t="s">
        <v>216</v>
      </c>
      <c r="FD258" s="2" t="s">
        <v>188</v>
      </c>
      <c r="FH258" s="2" t="s">
        <v>188</v>
      </c>
      <c r="FJ258" s="2" t="s">
        <v>187</v>
      </c>
      <c r="FK258" s="2" t="s">
        <v>209</v>
      </c>
      <c r="FL258" s="2" t="s">
        <v>256</v>
      </c>
      <c r="FN258" s="2" t="s">
        <v>488</v>
      </c>
      <c r="FT258" s="2" t="s">
        <v>219</v>
      </c>
      <c r="FU258" s="2" t="s">
        <v>219</v>
      </c>
      <c r="FV258" s="2" t="s">
        <v>219</v>
      </c>
      <c r="FW258" s="2" t="s">
        <v>219</v>
      </c>
      <c r="FZ258" s="4">
        <v>46040.695879629631</v>
      </c>
    </row>
    <row r="259" spans="1:182">
      <c r="A259" s="2" t="s">
        <v>1841</v>
      </c>
      <c r="D259" s="4">
        <v>46327.569351851853</v>
      </c>
      <c r="E259" s="2" t="s">
        <v>177</v>
      </c>
      <c r="F259" s="2" t="s">
        <v>293</v>
      </c>
      <c r="G259" s="2" t="s">
        <v>1649</v>
      </c>
      <c r="H259" s="2" t="s">
        <v>1659</v>
      </c>
      <c r="I259" s="2" t="s">
        <v>1842</v>
      </c>
      <c r="J259" s="2">
        <v>348878494</v>
      </c>
      <c r="K259" s="2" t="s">
        <v>1843</v>
      </c>
      <c r="L259" s="2" t="s">
        <v>352</v>
      </c>
      <c r="M259" s="2" t="s">
        <v>223</v>
      </c>
      <c r="N259" s="2">
        <v>1984</v>
      </c>
      <c r="O259" s="2" t="s">
        <v>224</v>
      </c>
      <c r="P259" s="2" t="s">
        <v>225</v>
      </c>
      <c r="Q259" s="2" t="s">
        <v>186</v>
      </c>
      <c r="R259" s="2" t="s">
        <v>188</v>
      </c>
      <c r="S259" s="2">
        <v>1998</v>
      </c>
      <c r="T259" s="2" t="s">
        <v>188</v>
      </c>
      <c r="U259" s="2" t="s">
        <v>188</v>
      </c>
      <c r="Y259" s="2">
        <v>1600</v>
      </c>
      <c r="Z259" s="2">
        <v>1</v>
      </c>
      <c r="AA259" s="2">
        <v>1600</v>
      </c>
      <c r="AB259" s="2">
        <v>1500</v>
      </c>
      <c r="AC259" s="2">
        <v>1470</v>
      </c>
      <c r="AD259" s="2">
        <v>1600</v>
      </c>
      <c r="AE259" s="2">
        <v>130</v>
      </c>
      <c r="AF259" s="2" t="s">
        <v>188</v>
      </c>
      <c r="AG259" s="2" t="s">
        <v>187</v>
      </c>
      <c r="AH259" s="2" t="s">
        <v>187</v>
      </c>
      <c r="AI259" s="2" t="s">
        <v>308</v>
      </c>
      <c r="AJ259" s="2" t="s">
        <v>188</v>
      </c>
      <c r="AK259" s="2" t="s">
        <v>188</v>
      </c>
      <c r="AL259" s="2" t="s">
        <v>188</v>
      </c>
      <c r="AM259" s="2" t="s">
        <v>187</v>
      </c>
      <c r="AN259" s="2" t="s">
        <v>188</v>
      </c>
      <c r="AO259" s="2" t="s">
        <v>188</v>
      </c>
      <c r="AR259" s="2">
        <v>3.5</v>
      </c>
      <c r="AS259" s="2">
        <v>4</v>
      </c>
      <c r="AT259" s="2">
        <v>16.5</v>
      </c>
      <c r="AU259" s="2" t="s">
        <v>189</v>
      </c>
      <c r="AV259" s="2" t="s">
        <v>189</v>
      </c>
      <c r="AW259" s="2" t="s">
        <v>188</v>
      </c>
      <c r="AZ259" s="2" t="s">
        <v>190</v>
      </c>
      <c r="BB259" s="2" t="s">
        <v>260</v>
      </c>
      <c r="BC259" s="2" t="s">
        <v>192</v>
      </c>
      <c r="BD259" s="2" t="s">
        <v>187</v>
      </c>
      <c r="BE259" s="2" t="s">
        <v>187</v>
      </c>
      <c r="BF259" s="2" t="s">
        <v>193</v>
      </c>
      <c r="BG259" s="2" t="s">
        <v>194</v>
      </c>
      <c r="BH259" s="2" t="s">
        <v>297</v>
      </c>
      <c r="BI259" s="2" t="s">
        <v>196</v>
      </c>
      <c r="BL259" s="2" t="s">
        <v>197</v>
      </c>
      <c r="BM259" s="2" t="s">
        <v>198</v>
      </c>
      <c r="BN259" s="2" t="s">
        <v>199</v>
      </c>
      <c r="BO259" s="2" t="s">
        <v>188</v>
      </c>
      <c r="BQ259" s="2" t="s">
        <v>309</v>
      </c>
      <c r="BS259" s="2" t="s">
        <v>187</v>
      </c>
      <c r="BT259" s="2" t="s">
        <v>201</v>
      </c>
      <c r="BV259" s="2" t="s">
        <v>389</v>
      </c>
      <c r="BX259" s="2" t="s">
        <v>187</v>
      </c>
      <c r="BY259" s="2" t="s">
        <v>310</v>
      </c>
      <c r="BZ259" s="2" t="s">
        <v>203</v>
      </c>
      <c r="CE259" s="2">
        <v>16.5</v>
      </c>
      <c r="CF259" s="2">
        <v>1600</v>
      </c>
      <c r="CK259" s="2">
        <v>100</v>
      </c>
      <c r="CO259" s="2">
        <v>100</v>
      </c>
      <c r="CR259" s="2" t="s">
        <v>204</v>
      </c>
      <c r="CT259" s="2" t="s">
        <v>188</v>
      </c>
      <c r="CU259" s="2" t="s">
        <v>205</v>
      </c>
      <c r="CW259" s="2" t="s">
        <v>206</v>
      </c>
      <c r="CY259" s="2" t="s">
        <v>273</v>
      </c>
      <c r="CZ259" s="2" t="s">
        <v>207</v>
      </c>
      <c r="DA259" s="2" t="s">
        <v>299</v>
      </c>
      <c r="DB259" s="2" t="s">
        <v>301</v>
      </c>
      <c r="DC259" s="2" t="s">
        <v>208</v>
      </c>
      <c r="DD259" s="2" t="s">
        <v>301</v>
      </c>
      <c r="DE259" s="2" t="s">
        <v>208</v>
      </c>
      <c r="DF259" s="2" t="s">
        <v>207</v>
      </c>
      <c r="DG259" s="2" t="s">
        <v>207</v>
      </c>
      <c r="DH259" s="2" t="s">
        <v>207</v>
      </c>
      <c r="DI259" s="2" t="s">
        <v>207</v>
      </c>
      <c r="DL259" s="2" t="s">
        <v>187</v>
      </c>
      <c r="DM259" s="2" t="s">
        <v>187</v>
      </c>
      <c r="DN259" s="2" t="s">
        <v>187</v>
      </c>
      <c r="DO259" s="2" t="s">
        <v>187</v>
      </c>
      <c r="DP259" s="2" t="s">
        <v>209</v>
      </c>
      <c r="DQ259" s="2" t="s">
        <v>210</v>
      </c>
      <c r="DS259" s="2" t="s">
        <v>209</v>
      </c>
      <c r="DT259" s="2" t="s">
        <v>209</v>
      </c>
      <c r="DU259" s="2" t="s">
        <v>209</v>
      </c>
      <c r="DV259" s="2" t="s">
        <v>209</v>
      </c>
      <c r="DW259" s="2" t="s">
        <v>209</v>
      </c>
      <c r="DX259" s="2" t="s">
        <v>209</v>
      </c>
      <c r="DY259" s="2" t="s">
        <v>203</v>
      </c>
      <c r="DZ259" s="2" t="s">
        <v>203</v>
      </c>
      <c r="EA259" s="2" t="s">
        <v>209</v>
      </c>
      <c r="EB259" s="2" t="s">
        <v>209</v>
      </c>
      <c r="EC259" s="2" t="s">
        <v>203</v>
      </c>
      <c r="EF259" s="2" t="s">
        <v>211</v>
      </c>
      <c r="EJ259" s="2" t="s">
        <v>189</v>
      </c>
      <c r="EK259" s="2" t="s">
        <v>187</v>
      </c>
      <c r="EL259" s="2" t="s">
        <v>188</v>
      </c>
      <c r="EN259" s="2" t="s">
        <v>214</v>
      </c>
      <c r="EP259" s="2" t="s">
        <v>230</v>
      </c>
      <c r="ER259" s="2" t="s">
        <v>187</v>
      </c>
      <c r="ET259" s="2" t="s">
        <v>188</v>
      </c>
      <c r="EV259" s="2" t="s">
        <v>187</v>
      </c>
      <c r="EW259" s="2" t="s">
        <v>189</v>
      </c>
      <c r="EX259" s="2" t="s">
        <v>188</v>
      </c>
      <c r="EZ259" s="2" t="s">
        <v>188</v>
      </c>
      <c r="FC259" s="2" t="s">
        <v>216</v>
      </c>
      <c r="FD259" s="2" t="s">
        <v>188</v>
      </c>
      <c r="FH259" s="2" t="s">
        <v>188</v>
      </c>
      <c r="FJ259" s="2" t="s">
        <v>187</v>
      </c>
      <c r="FK259" s="2" t="s">
        <v>209</v>
      </c>
      <c r="FL259" s="2" t="s">
        <v>319</v>
      </c>
      <c r="FN259" s="2" t="s">
        <v>304</v>
      </c>
      <c r="FT259" s="2" t="s">
        <v>219</v>
      </c>
      <c r="FU259" s="2" t="s">
        <v>233</v>
      </c>
      <c r="FV259" s="2" t="s">
        <v>233</v>
      </c>
      <c r="FW259" s="2" t="s">
        <v>233</v>
      </c>
      <c r="FZ259" s="4">
        <v>46039.843923611108</v>
      </c>
    </row>
    <row r="260" spans="1:182">
      <c r="A260" s="2" t="s">
        <v>1844</v>
      </c>
      <c r="D260" s="4">
        <v>46327.576608796298</v>
      </c>
      <c r="E260" s="2" t="s">
        <v>1845</v>
      </c>
      <c r="F260" s="2" t="s">
        <v>425</v>
      </c>
      <c r="G260" s="2" t="s">
        <v>1649</v>
      </c>
      <c r="H260" s="2" t="s">
        <v>1668</v>
      </c>
      <c r="I260" s="2" t="s">
        <v>1846</v>
      </c>
      <c r="J260" s="2">
        <v>973262339</v>
      </c>
      <c r="K260" s="2" t="s">
        <v>1846</v>
      </c>
      <c r="L260" s="2" t="s">
        <v>182</v>
      </c>
      <c r="M260" s="2" t="s">
        <v>183</v>
      </c>
      <c r="N260" s="2">
        <v>1974</v>
      </c>
      <c r="O260" s="2" t="s">
        <v>224</v>
      </c>
      <c r="P260" s="2" t="s">
        <v>185</v>
      </c>
      <c r="Q260" s="2" t="s">
        <v>186</v>
      </c>
      <c r="R260" s="2" t="s">
        <v>188</v>
      </c>
      <c r="S260" s="2">
        <v>30</v>
      </c>
      <c r="T260" s="2" t="s">
        <v>188</v>
      </c>
      <c r="U260" s="2" t="s">
        <v>188</v>
      </c>
      <c r="Y260" s="2">
        <v>700</v>
      </c>
      <c r="Z260" s="2">
        <v>1</v>
      </c>
      <c r="AA260" s="2">
        <v>700</v>
      </c>
      <c r="AB260" s="2">
        <v>700</v>
      </c>
      <c r="AC260" s="2">
        <v>400</v>
      </c>
      <c r="AD260" s="2">
        <v>480</v>
      </c>
      <c r="AE260" s="2">
        <v>80</v>
      </c>
      <c r="AF260" s="2" t="s">
        <v>188</v>
      </c>
      <c r="AG260" s="2" t="s">
        <v>187</v>
      </c>
      <c r="AH260" s="2" t="s">
        <v>188</v>
      </c>
      <c r="AJ260" s="2" t="s">
        <v>188</v>
      </c>
      <c r="AK260" s="2" t="s">
        <v>188</v>
      </c>
      <c r="AL260" s="2" t="s">
        <v>188</v>
      </c>
      <c r="AM260" s="2" t="s">
        <v>188</v>
      </c>
      <c r="AN260" s="2" t="s">
        <v>188</v>
      </c>
      <c r="AO260" s="2" t="s">
        <v>188</v>
      </c>
      <c r="AR260" s="2">
        <v>1.1499999999999999</v>
      </c>
      <c r="AS260" s="2">
        <v>1</v>
      </c>
      <c r="AT260" s="2">
        <v>4.8</v>
      </c>
      <c r="AU260" s="2" t="s">
        <v>238</v>
      </c>
      <c r="AV260" s="2" t="s">
        <v>238</v>
      </c>
      <c r="AW260" s="2" t="s">
        <v>188</v>
      </c>
      <c r="BL260" s="2" t="s">
        <v>197</v>
      </c>
      <c r="BM260" s="2" t="s">
        <v>198</v>
      </c>
      <c r="BN260" s="2" t="s">
        <v>199</v>
      </c>
      <c r="BO260" s="2" t="s">
        <v>188</v>
      </c>
      <c r="BQ260" s="2" t="s">
        <v>309</v>
      </c>
      <c r="BS260" s="2" t="s">
        <v>187</v>
      </c>
      <c r="BT260" s="2" t="s">
        <v>261</v>
      </c>
      <c r="BV260" s="2" t="s">
        <v>630</v>
      </c>
      <c r="BX260" s="2" t="s">
        <v>188</v>
      </c>
      <c r="BZ260" s="2" t="s">
        <v>203</v>
      </c>
      <c r="CE260" s="2">
        <v>4.8</v>
      </c>
      <c r="CF260" s="2">
        <v>480</v>
      </c>
      <c r="CK260" s="2">
        <v>50</v>
      </c>
      <c r="CM260" s="2">
        <v>50</v>
      </c>
      <c r="CO260" s="2">
        <v>100</v>
      </c>
      <c r="CR260" s="2" t="s">
        <v>204</v>
      </c>
      <c r="CT260" s="2" t="s">
        <v>188</v>
      </c>
      <c r="CU260" s="2" t="s">
        <v>758</v>
      </c>
      <c r="CW260" s="2" t="s">
        <v>206</v>
      </c>
      <c r="CY260" s="2" t="s">
        <v>207</v>
      </c>
      <c r="CZ260" s="2" t="s">
        <v>207</v>
      </c>
      <c r="DA260" s="2" t="s">
        <v>300</v>
      </c>
      <c r="DB260" s="2" t="s">
        <v>300</v>
      </c>
      <c r="DC260" s="2" t="s">
        <v>430</v>
      </c>
      <c r="DD260" s="2" t="s">
        <v>430</v>
      </c>
      <c r="DE260" s="2" t="s">
        <v>300</v>
      </c>
      <c r="DF260" s="2" t="s">
        <v>207</v>
      </c>
      <c r="DG260" s="2" t="s">
        <v>207</v>
      </c>
      <c r="DH260" s="2" t="s">
        <v>430</v>
      </c>
      <c r="DI260" s="2" t="s">
        <v>430</v>
      </c>
      <c r="DL260" s="2" t="s">
        <v>187</v>
      </c>
      <c r="DM260" s="2" t="s">
        <v>187</v>
      </c>
      <c r="DN260" s="2" t="s">
        <v>187</v>
      </c>
      <c r="DO260" s="2" t="s">
        <v>188</v>
      </c>
      <c r="DP260" s="2" t="s">
        <v>209</v>
      </c>
      <c r="DQ260" s="2" t="s">
        <v>467</v>
      </c>
      <c r="DR260" s="2" t="s">
        <v>1847</v>
      </c>
      <c r="DT260" s="2" t="s">
        <v>209</v>
      </c>
      <c r="DU260" s="2" t="s">
        <v>209</v>
      </c>
      <c r="DV260" s="2" t="s">
        <v>209</v>
      </c>
      <c r="DW260" s="2" t="s">
        <v>209</v>
      </c>
      <c r="DX260" s="2" t="s">
        <v>209</v>
      </c>
      <c r="DY260" s="2" t="s">
        <v>209</v>
      </c>
      <c r="DZ260" s="2" t="s">
        <v>209</v>
      </c>
      <c r="EA260" s="2" t="s">
        <v>209</v>
      </c>
      <c r="EB260" s="2" t="s">
        <v>209</v>
      </c>
      <c r="EC260" s="2" t="s">
        <v>188</v>
      </c>
      <c r="EF260" s="2" t="s">
        <v>189</v>
      </c>
      <c r="EJ260" s="2" t="s">
        <v>238</v>
      </c>
      <c r="EK260" s="2" t="s">
        <v>188</v>
      </c>
      <c r="EL260" s="2" t="s">
        <v>188</v>
      </c>
      <c r="EN260" s="2" t="s">
        <v>214</v>
      </c>
      <c r="EP260" s="2" t="s">
        <v>230</v>
      </c>
      <c r="ER260" s="2" t="s">
        <v>187</v>
      </c>
      <c r="ET260" s="2" t="s">
        <v>188</v>
      </c>
      <c r="EV260" s="2" t="s">
        <v>187</v>
      </c>
      <c r="EW260" s="2" t="s">
        <v>215</v>
      </c>
      <c r="EX260" s="2" t="s">
        <v>188</v>
      </c>
      <c r="EZ260" s="2" t="s">
        <v>188</v>
      </c>
      <c r="FC260" s="2" t="s">
        <v>395</v>
      </c>
      <c r="FD260" s="2" t="s">
        <v>188</v>
      </c>
      <c r="FH260" s="2" t="s">
        <v>188</v>
      </c>
      <c r="FJ260" s="2" t="s">
        <v>188</v>
      </c>
      <c r="FK260" s="2" t="s">
        <v>203</v>
      </c>
      <c r="FR260" s="2" t="s">
        <v>433</v>
      </c>
      <c r="FT260" s="2" t="s">
        <v>233</v>
      </c>
      <c r="FU260" s="2" t="s">
        <v>233</v>
      </c>
      <c r="FV260" s="2" t="s">
        <v>233</v>
      </c>
      <c r="FW260" s="2" t="s">
        <v>233</v>
      </c>
      <c r="FZ260" s="4">
        <v>46040.460312499999</v>
      </c>
    </row>
    <row r="261" spans="1:182">
      <c r="A261" s="2" t="s">
        <v>1848</v>
      </c>
      <c r="D261" s="4">
        <v>46327.579317129632</v>
      </c>
      <c r="E261" s="2" t="s">
        <v>1849</v>
      </c>
      <c r="F261" s="2" t="s">
        <v>590</v>
      </c>
      <c r="G261" s="2" t="s">
        <v>1649</v>
      </c>
      <c r="H261" s="2" t="s">
        <v>1659</v>
      </c>
      <c r="I261" s="2" t="s">
        <v>1850</v>
      </c>
      <c r="J261" s="2">
        <v>373312860</v>
      </c>
      <c r="K261" s="2" t="s">
        <v>1851</v>
      </c>
      <c r="L261" s="2" t="s">
        <v>182</v>
      </c>
      <c r="M261" s="2" t="s">
        <v>223</v>
      </c>
      <c r="N261" s="2">
        <v>1967</v>
      </c>
      <c r="O261" s="2" t="s">
        <v>224</v>
      </c>
      <c r="P261" s="2" t="s">
        <v>225</v>
      </c>
      <c r="Q261" s="2" t="s">
        <v>186</v>
      </c>
      <c r="R261" s="2" t="s">
        <v>188</v>
      </c>
      <c r="S261" s="2">
        <v>26</v>
      </c>
      <c r="T261" s="2" t="s">
        <v>188</v>
      </c>
      <c r="U261" s="2" t="s">
        <v>188</v>
      </c>
      <c r="Y261" s="2">
        <v>680</v>
      </c>
      <c r="Z261" s="2">
        <v>0.88239999999999996</v>
      </c>
      <c r="AA261" s="2">
        <v>600</v>
      </c>
      <c r="AB261" s="2">
        <v>600</v>
      </c>
      <c r="AC261" s="2">
        <v>600</v>
      </c>
      <c r="AD261" s="2">
        <v>750</v>
      </c>
      <c r="AE261" s="2">
        <v>150</v>
      </c>
      <c r="AF261" s="2" t="s">
        <v>188</v>
      </c>
      <c r="AG261" s="2" t="s">
        <v>188</v>
      </c>
      <c r="AH261" s="2" t="s">
        <v>188</v>
      </c>
      <c r="AJ261" s="2" t="s">
        <v>188</v>
      </c>
      <c r="AK261" s="2" t="s">
        <v>188</v>
      </c>
      <c r="AL261" s="2" t="s">
        <v>187</v>
      </c>
      <c r="AM261" s="2" t="s">
        <v>188</v>
      </c>
      <c r="AN261" s="2" t="s">
        <v>188</v>
      </c>
      <c r="AO261" s="2" t="s">
        <v>188</v>
      </c>
      <c r="AR261" s="2">
        <v>1.5</v>
      </c>
      <c r="AS261" s="2">
        <v>3</v>
      </c>
      <c r="AT261" s="2">
        <v>9</v>
      </c>
      <c r="AU261" s="2" t="s">
        <v>238</v>
      </c>
      <c r="AV261" s="2" t="s">
        <v>189</v>
      </c>
      <c r="AW261" s="2" t="s">
        <v>188</v>
      </c>
      <c r="AZ261" s="2" t="s">
        <v>190</v>
      </c>
      <c r="BB261" s="2" t="s">
        <v>260</v>
      </c>
      <c r="BC261" s="2" t="s">
        <v>296</v>
      </c>
      <c r="BD261" s="2" t="s">
        <v>187</v>
      </c>
      <c r="BE261" s="2" t="s">
        <v>187</v>
      </c>
      <c r="BF261" s="2" t="s">
        <v>193</v>
      </c>
      <c r="BG261" s="2" t="s">
        <v>194</v>
      </c>
      <c r="BH261" s="2" t="s">
        <v>297</v>
      </c>
      <c r="BI261" s="2" t="s">
        <v>196</v>
      </c>
      <c r="BL261" s="2" t="s">
        <v>197</v>
      </c>
      <c r="BM261" s="2" t="s">
        <v>507</v>
      </c>
      <c r="BN261" s="2" t="s">
        <v>199</v>
      </c>
      <c r="BO261" s="2" t="s">
        <v>188</v>
      </c>
      <c r="BQ261" s="2" t="s">
        <v>227</v>
      </c>
      <c r="BS261" s="2" t="s">
        <v>187</v>
      </c>
      <c r="BT261" s="2" t="s">
        <v>594</v>
      </c>
      <c r="BV261" s="2" t="s">
        <v>242</v>
      </c>
      <c r="BX261" s="2" t="s">
        <v>188</v>
      </c>
      <c r="BZ261" s="2" t="s">
        <v>203</v>
      </c>
      <c r="CE261" s="2">
        <v>9</v>
      </c>
      <c r="CF261" s="2">
        <v>750</v>
      </c>
      <c r="CM261" s="2">
        <v>100</v>
      </c>
      <c r="CO261" s="2">
        <v>100</v>
      </c>
      <c r="CR261" s="2" t="s">
        <v>343</v>
      </c>
      <c r="CT261" s="2" t="s">
        <v>188</v>
      </c>
      <c r="CU261" s="2" t="s">
        <v>205</v>
      </c>
      <c r="CW261" s="2" t="s">
        <v>206</v>
      </c>
      <c r="CY261" s="2" t="s">
        <v>273</v>
      </c>
      <c r="CZ261" s="2" t="s">
        <v>300</v>
      </c>
      <c r="DA261" s="2" t="s">
        <v>300</v>
      </c>
      <c r="DB261" s="2" t="s">
        <v>300</v>
      </c>
      <c r="DC261" s="2" t="s">
        <v>430</v>
      </c>
      <c r="DD261" s="2" t="s">
        <v>300</v>
      </c>
      <c r="DE261" s="2" t="s">
        <v>273</v>
      </c>
      <c r="DF261" s="2" t="s">
        <v>273</v>
      </c>
      <c r="DG261" s="2" t="s">
        <v>273</v>
      </c>
      <c r="DH261" s="2" t="s">
        <v>273</v>
      </c>
      <c r="DI261" s="2" t="s">
        <v>300</v>
      </c>
      <c r="DL261" s="2" t="s">
        <v>187</v>
      </c>
      <c r="DM261" s="2" t="s">
        <v>187</v>
      </c>
      <c r="DN261" s="2" t="s">
        <v>187</v>
      </c>
      <c r="DO261" s="2" t="s">
        <v>187</v>
      </c>
      <c r="DP261" s="2" t="s">
        <v>209</v>
      </c>
      <c r="DQ261" s="2" t="s">
        <v>467</v>
      </c>
      <c r="DR261" s="2" t="s">
        <v>1677</v>
      </c>
      <c r="DT261" s="2" t="s">
        <v>209</v>
      </c>
      <c r="DU261" s="2" t="s">
        <v>209</v>
      </c>
      <c r="DV261" s="2" t="s">
        <v>209</v>
      </c>
      <c r="DW261" s="2" t="s">
        <v>209</v>
      </c>
      <c r="DX261" s="2" t="s">
        <v>209</v>
      </c>
      <c r="DY261" s="2" t="s">
        <v>209</v>
      </c>
      <c r="DZ261" s="2" t="s">
        <v>209</v>
      </c>
      <c r="EA261" s="2" t="s">
        <v>209</v>
      </c>
      <c r="EB261" s="2" t="s">
        <v>209</v>
      </c>
      <c r="EC261" s="2" t="s">
        <v>188</v>
      </c>
      <c r="EF261" s="2" t="s">
        <v>211</v>
      </c>
      <c r="EG261" s="2" t="s">
        <v>985</v>
      </c>
      <c r="EJ261" s="2" t="s">
        <v>203</v>
      </c>
      <c r="EK261" s="2" t="s">
        <v>188</v>
      </c>
      <c r="EL261" s="2" t="s">
        <v>188</v>
      </c>
      <c r="EN261" s="2" t="s">
        <v>255</v>
      </c>
      <c r="EP261" s="2" t="s">
        <v>230</v>
      </c>
      <c r="ER261" s="2" t="s">
        <v>188</v>
      </c>
      <c r="ET261" s="2" t="s">
        <v>188</v>
      </c>
      <c r="EV261" s="2" t="s">
        <v>188</v>
      </c>
      <c r="EX261" s="2" t="s">
        <v>188</v>
      </c>
      <c r="EZ261" s="2" t="s">
        <v>188</v>
      </c>
      <c r="FC261" s="2" t="s">
        <v>263</v>
      </c>
      <c r="FD261" s="2" t="s">
        <v>188</v>
      </c>
      <c r="FH261" s="2" t="s">
        <v>188</v>
      </c>
      <c r="FJ261" s="2" t="s">
        <v>188</v>
      </c>
      <c r="FK261" s="2" t="s">
        <v>188</v>
      </c>
      <c r="FN261" s="2" t="s">
        <v>432</v>
      </c>
      <c r="FR261" s="2" t="s">
        <v>433</v>
      </c>
      <c r="FT261" s="2" t="s">
        <v>233</v>
      </c>
      <c r="FU261" s="2" t="s">
        <v>233</v>
      </c>
      <c r="FV261" s="2" t="s">
        <v>233</v>
      </c>
      <c r="FW261" s="2" t="s">
        <v>219</v>
      </c>
      <c r="FZ261" s="4">
        <v>46047.615266203706</v>
      </c>
    </row>
    <row r="262" spans="1:182">
      <c r="A262" s="2" t="s">
        <v>1852</v>
      </c>
      <c r="D262" s="4">
        <v>46327.579050925924</v>
      </c>
      <c r="E262" s="2" t="s">
        <v>1853</v>
      </c>
      <c r="F262" s="2" t="s">
        <v>398</v>
      </c>
      <c r="G262" s="2" t="s">
        <v>1649</v>
      </c>
      <c r="H262" s="2" t="s">
        <v>1854</v>
      </c>
      <c r="I262" s="2" t="s">
        <v>1855</v>
      </c>
      <c r="J262" s="2">
        <v>867087216</v>
      </c>
      <c r="K262" s="2" t="s">
        <v>1856</v>
      </c>
      <c r="L262" s="2" t="s">
        <v>182</v>
      </c>
      <c r="M262" s="2" t="s">
        <v>223</v>
      </c>
      <c r="N262" s="2">
        <v>1976</v>
      </c>
      <c r="O262" s="2" t="s">
        <v>224</v>
      </c>
      <c r="P262" s="2" t="s">
        <v>225</v>
      </c>
      <c r="Q262" s="2" t="s">
        <v>186</v>
      </c>
      <c r="R262" s="2" t="s">
        <v>188</v>
      </c>
      <c r="S262" s="2">
        <v>20</v>
      </c>
      <c r="T262" s="2" t="s">
        <v>188</v>
      </c>
      <c r="U262" s="2" t="s">
        <v>188</v>
      </c>
      <c r="Y262" s="2">
        <v>1200</v>
      </c>
      <c r="Z262" s="2">
        <v>0.75</v>
      </c>
      <c r="AA262" s="2">
        <v>900</v>
      </c>
      <c r="AB262" s="2">
        <v>900</v>
      </c>
      <c r="AC262" s="2">
        <v>900</v>
      </c>
      <c r="AD262" s="2">
        <v>1000</v>
      </c>
      <c r="AE262" s="2">
        <v>100</v>
      </c>
      <c r="AF262" s="2" t="s">
        <v>188</v>
      </c>
      <c r="AG262" s="2" t="s">
        <v>188</v>
      </c>
      <c r="AH262" s="2" t="s">
        <v>188</v>
      </c>
      <c r="AJ262" s="2" t="s">
        <v>188</v>
      </c>
      <c r="AK262" s="2" t="s">
        <v>187</v>
      </c>
      <c r="AL262" s="2" t="s">
        <v>187</v>
      </c>
      <c r="AM262" s="2" t="s">
        <v>188</v>
      </c>
      <c r="AN262" s="2" t="s">
        <v>188</v>
      </c>
      <c r="AO262" s="2" t="s">
        <v>188</v>
      </c>
      <c r="AR262" s="2">
        <v>2</v>
      </c>
      <c r="AS262" s="2">
        <v>2</v>
      </c>
      <c r="AT262" s="2">
        <v>10</v>
      </c>
      <c r="AU262" s="2" t="s">
        <v>189</v>
      </c>
      <c r="AV262" s="2" t="s">
        <v>189</v>
      </c>
      <c r="AW262" s="2" t="s">
        <v>188</v>
      </c>
      <c r="BC262" s="2" t="s">
        <v>192</v>
      </c>
      <c r="BD262" s="2" t="s">
        <v>187</v>
      </c>
      <c r="BE262" s="2" t="s">
        <v>188</v>
      </c>
      <c r="BL262" s="2" t="s">
        <v>197</v>
      </c>
      <c r="BM262" s="2" t="s">
        <v>198</v>
      </c>
      <c r="BN262" s="2" t="s">
        <v>199</v>
      </c>
      <c r="BO262" s="2" t="s">
        <v>188</v>
      </c>
      <c r="BQ262" s="2" t="s">
        <v>200</v>
      </c>
      <c r="BS262" s="2" t="s">
        <v>187</v>
      </c>
      <c r="BT262" s="2" t="s">
        <v>201</v>
      </c>
      <c r="BV262" s="2" t="s">
        <v>502</v>
      </c>
      <c r="BX262" s="2" t="s">
        <v>187</v>
      </c>
      <c r="BY262" s="2" t="s">
        <v>1857</v>
      </c>
      <c r="BZ262" s="2" t="s">
        <v>203</v>
      </c>
      <c r="CE262" s="2">
        <v>10</v>
      </c>
      <c r="CF262" s="2">
        <v>1000</v>
      </c>
      <c r="CM262" s="2">
        <v>100</v>
      </c>
      <c r="CP262" s="2">
        <v>100</v>
      </c>
      <c r="CR262" s="2" t="s">
        <v>204</v>
      </c>
      <c r="CT262" s="2" t="s">
        <v>188</v>
      </c>
      <c r="CU262" s="2" t="s">
        <v>205</v>
      </c>
      <c r="CW262" s="2" t="s">
        <v>206</v>
      </c>
      <c r="CY262" s="2" t="s">
        <v>207</v>
      </c>
      <c r="CZ262" s="2" t="s">
        <v>207</v>
      </c>
      <c r="DA262" s="2" t="s">
        <v>300</v>
      </c>
      <c r="DB262" s="2" t="s">
        <v>207</v>
      </c>
      <c r="DC262" s="2" t="s">
        <v>300</v>
      </c>
      <c r="DD262" s="2" t="s">
        <v>300</v>
      </c>
      <c r="DE262" s="2" t="s">
        <v>300</v>
      </c>
      <c r="DF262" s="2" t="s">
        <v>207</v>
      </c>
      <c r="DG262" s="2" t="s">
        <v>207</v>
      </c>
      <c r="DH262" s="2" t="s">
        <v>207</v>
      </c>
      <c r="DI262" s="2" t="s">
        <v>207</v>
      </c>
      <c r="DL262" s="2" t="s">
        <v>187</v>
      </c>
      <c r="DM262" s="2" t="s">
        <v>187</v>
      </c>
      <c r="DN262" s="2" t="s">
        <v>187</v>
      </c>
      <c r="DO262" s="2" t="s">
        <v>187</v>
      </c>
      <c r="DP262" s="2" t="s">
        <v>209</v>
      </c>
      <c r="DQ262" s="2" t="s">
        <v>467</v>
      </c>
      <c r="DR262" s="2" t="s">
        <v>1858</v>
      </c>
      <c r="DT262" s="2" t="s">
        <v>209</v>
      </c>
      <c r="DU262" s="2" t="s">
        <v>209</v>
      </c>
      <c r="DV262" s="2" t="s">
        <v>209</v>
      </c>
      <c r="DW262" s="2" t="s">
        <v>209</v>
      </c>
      <c r="DX262" s="2" t="s">
        <v>209</v>
      </c>
      <c r="DY262" s="2" t="s">
        <v>209</v>
      </c>
      <c r="DZ262" s="2" t="s">
        <v>209</v>
      </c>
      <c r="EA262" s="2" t="s">
        <v>209</v>
      </c>
      <c r="EB262" s="2" t="s">
        <v>209</v>
      </c>
      <c r="EF262" s="2" t="s">
        <v>189</v>
      </c>
      <c r="EG262" s="2" t="s">
        <v>1859</v>
      </c>
      <c r="EJ262" s="2" t="s">
        <v>189</v>
      </c>
      <c r="EK262" s="2" t="s">
        <v>187</v>
      </c>
      <c r="EL262" s="2" t="s">
        <v>188</v>
      </c>
      <c r="EN262" s="2" t="s">
        <v>214</v>
      </c>
      <c r="EP262" s="2" t="s">
        <v>230</v>
      </c>
      <c r="ER262" s="2" t="s">
        <v>187</v>
      </c>
      <c r="ET262" s="2" t="s">
        <v>188</v>
      </c>
      <c r="EV262" s="2" t="s">
        <v>187</v>
      </c>
      <c r="EW262" s="2" t="s">
        <v>189</v>
      </c>
      <c r="EX262" s="2" t="s">
        <v>187</v>
      </c>
      <c r="EY262" s="2" t="s">
        <v>189</v>
      </c>
      <c r="EZ262" s="2" t="s">
        <v>188</v>
      </c>
      <c r="FC262" s="2" t="s">
        <v>216</v>
      </c>
      <c r="FD262" s="2" t="s">
        <v>188</v>
      </c>
      <c r="FH262" s="2" t="s">
        <v>188</v>
      </c>
      <c r="FJ262" s="2" t="s">
        <v>188</v>
      </c>
      <c r="FK262" s="2" t="s">
        <v>188</v>
      </c>
      <c r="FN262" s="2" t="s">
        <v>432</v>
      </c>
      <c r="FR262" s="2" t="s">
        <v>1860</v>
      </c>
      <c r="FT262" s="2" t="s">
        <v>233</v>
      </c>
      <c r="FU262" s="2" t="s">
        <v>233</v>
      </c>
      <c r="FV262" s="2" t="s">
        <v>233</v>
      </c>
      <c r="FW262" s="2" t="s">
        <v>233</v>
      </c>
      <c r="FX262" s="2" t="s">
        <v>233</v>
      </c>
      <c r="FY262" s="2" t="s">
        <v>1861</v>
      </c>
      <c r="FZ262" s="4">
        <v>46038.795057870368</v>
      </c>
    </row>
    <row r="263" spans="1:182">
      <c r="A263" s="2" t="s">
        <v>1862</v>
      </c>
      <c r="D263" s="4">
        <v>46327.578958333332</v>
      </c>
      <c r="E263" s="2" t="s">
        <v>1863</v>
      </c>
      <c r="F263" s="2" t="s">
        <v>480</v>
      </c>
      <c r="G263" s="2" t="s">
        <v>1649</v>
      </c>
      <c r="H263" s="2" t="s">
        <v>1650</v>
      </c>
      <c r="I263" s="2" t="s">
        <v>1864</v>
      </c>
      <c r="J263" s="2">
        <v>356283516</v>
      </c>
      <c r="K263" s="2" t="s">
        <v>1865</v>
      </c>
      <c r="L263" s="2" t="s">
        <v>182</v>
      </c>
      <c r="M263" s="2" t="s">
        <v>223</v>
      </c>
      <c r="N263" s="2">
        <v>1991</v>
      </c>
      <c r="O263" s="2" t="s">
        <v>224</v>
      </c>
      <c r="P263" s="2" t="s">
        <v>185</v>
      </c>
      <c r="Q263" s="2" t="s">
        <v>226</v>
      </c>
      <c r="R263" s="2" t="s">
        <v>188</v>
      </c>
      <c r="S263" s="2">
        <v>26</v>
      </c>
      <c r="T263" s="2" t="s">
        <v>188</v>
      </c>
      <c r="U263" s="2" t="s">
        <v>188</v>
      </c>
      <c r="Y263" s="2">
        <v>713</v>
      </c>
      <c r="Z263" s="2">
        <v>0.94389999999999996</v>
      </c>
      <c r="AA263" s="2">
        <v>673</v>
      </c>
      <c r="AB263" s="2">
        <v>673</v>
      </c>
      <c r="AC263" s="2">
        <v>673</v>
      </c>
      <c r="AD263" s="2">
        <v>833</v>
      </c>
      <c r="AE263" s="2">
        <v>160</v>
      </c>
      <c r="AF263" s="2" t="s">
        <v>188</v>
      </c>
      <c r="AG263" s="2" t="s">
        <v>188</v>
      </c>
      <c r="AH263" s="2" t="s">
        <v>188</v>
      </c>
      <c r="AJ263" s="2" t="s">
        <v>188</v>
      </c>
      <c r="AK263" s="2" t="s">
        <v>188</v>
      </c>
      <c r="AL263" s="2" t="s">
        <v>188</v>
      </c>
      <c r="AM263" s="2" t="s">
        <v>188</v>
      </c>
      <c r="AN263" s="2" t="s">
        <v>187</v>
      </c>
      <c r="AO263" s="2" t="s">
        <v>188</v>
      </c>
      <c r="AR263" s="2">
        <v>2.02</v>
      </c>
      <c r="AS263" s="2">
        <v>4</v>
      </c>
      <c r="AT263" s="2">
        <v>8.5</v>
      </c>
      <c r="AU263" s="2" t="s">
        <v>238</v>
      </c>
      <c r="AV263" s="2" t="s">
        <v>238</v>
      </c>
      <c r="AW263" s="2" t="s">
        <v>188</v>
      </c>
      <c r="AZ263" s="2" t="s">
        <v>957</v>
      </c>
      <c r="BB263" s="2" t="s">
        <v>260</v>
      </c>
      <c r="BC263" s="2" t="s">
        <v>296</v>
      </c>
      <c r="BD263" s="2" t="s">
        <v>188</v>
      </c>
      <c r="BE263" s="2" t="s">
        <v>187</v>
      </c>
      <c r="BF263" s="2" t="s">
        <v>193</v>
      </c>
      <c r="BG263" s="2" t="s">
        <v>194</v>
      </c>
      <c r="BH263" s="2" t="s">
        <v>297</v>
      </c>
      <c r="BI263" s="2" t="s">
        <v>196</v>
      </c>
      <c r="BL263" s="2" t="s">
        <v>197</v>
      </c>
      <c r="BM263" s="2" t="s">
        <v>198</v>
      </c>
      <c r="BN263" s="2" t="s">
        <v>199</v>
      </c>
      <c r="BO263" s="2" t="s">
        <v>188</v>
      </c>
      <c r="BQ263" s="2" t="s">
        <v>200</v>
      </c>
      <c r="BS263" s="2" t="s">
        <v>187</v>
      </c>
      <c r="BT263" s="2" t="s">
        <v>484</v>
      </c>
      <c r="BV263" s="2" t="s">
        <v>401</v>
      </c>
      <c r="BX263" s="2" t="s">
        <v>187</v>
      </c>
      <c r="BY263" s="2" t="s">
        <v>1866</v>
      </c>
      <c r="BZ263" s="2" t="s">
        <v>209</v>
      </c>
      <c r="CA263" s="2" t="s">
        <v>1867</v>
      </c>
      <c r="CE263" s="2">
        <v>8.5</v>
      </c>
      <c r="CF263" s="2">
        <v>833</v>
      </c>
      <c r="CM263" s="2">
        <v>100</v>
      </c>
      <c r="CO263" s="2">
        <v>100</v>
      </c>
      <c r="CR263" s="2" t="s">
        <v>511</v>
      </c>
      <c r="CT263" s="2" t="s">
        <v>188</v>
      </c>
      <c r="CU263" s="2" t="s">
        <v>205</v>
      </c>
      <c r="CW263" s="2" t="s">
        <v>206</v>
      </c>
      <c r="CY263" s="2" t="s">
        <v>273</v>
      </c>
      <c r="CZ263" s="2" t="s">
        <v>273</v>
      </c>
      <c r="DA263" s="2" t="s">
        <v>300</v>
      </c>
      <c r="DB263" s="2" t="s">
        <v>299</v>
      </c>
      <c r="DC263" s="2" t="s">
        <v>299</v>
      </c>
      <c r="DD263" s="2" t="s">
        <v>299</v>
      </c>
      <c r="DE263" s="2" t="s">
        <v>273</v>
      </c>
      <c r="DF263" s="2" t="s">
        <v>273</v>
      </c>
      <c r="DG263" s="2" t="s">
        <v>273</v>
      </c>
      <c r="DH263" s="2" t="s">
        <v>273</v>
      </c>
      <c r="DI263" s="2" t="s">
        <v>273</v>
      </c>
      <c r="DL263" s="2" t="s">
        <v>187</v>
      </c>
      <c r="DM263" s="2" t="s">
        <v>187</v>
      </c>
      <c r="DN263" s="2" t="s">
        <v>187</v>
      </c>
      <c r="DO263" s="2" t="s">
        <v>187</v>
      </c>
      <c r="DP263" s="2" t="s">
        <v>209</v>
      </c>
      <c r="DQ263" s="2" t="s">
        <v>467</v>
      </c>
      <c r="DR263" s="2" t="s">
        <v>1868</v>
      </c>
      <c r="DT263" s="2" t="s">
        <v>209</v>
      </c>
      <c r="DU263" s="2" t="s">
        <v>209</v>
      </c>
      <c r="DV263" s="2" t="s">
        <v>209</v>
      </c>
      <c r="DW263" s="2" t="s">
        <v>209</v>
      </c>
      <c r="DX263" s="2" t="s">
        <v>209</v>
      </c>
      <c r="DY263" s="2" t="s">
        <v>209</v>
      </c>
      <c r="DZ263" s="2" t="s">
        <v>209</v>
      </c>
      <c r="EA263" s="2" t="s">
        <v>209</v>
      </c>
      <c r="EB263" s="2" t="s">
        <v>209</v>
      </c>
      <c r="EC263" s="2" t="s">
        <v>203</v>
      </c>
      <c r="ED263" s="2" t="s">
        <v>203</v>
      </c>
      <c r="EF263" s="2" t="s">
        <v>189</v>
      </c>
      <c r="EG263" s="2" t="s">
        <v>1869</v>
      </c>
      <c r="EJ263" s="2" t="s">
        <v>238</v>
      </c>
      <c r="EK263" s="2" t="s">
        <v>187</v>
      </c>
      <c r="EL263" s="2" t="s">
        <v>188</v>
      </c>
      <c r="EN263" s="2" t="s">
        <v>214</v>
      </c>
      <c r="EP263" s="2" t="s">
        <v>230</v>
      </c>
      <c r="ER263" s="2" t="s">
        <v>187</v>
      </c>
      <c r="ET263" s="2" t="s">
        <v>188</v>
      </c>
      <c r="EV263" s="2" t="s">
        <v>187</v>
      </c>
      <c r="EW263" s="2" t="s">
        <v>215</v>
      </c>
      <c r="EX263" s="2" t="s">
        <v>188</v>
      </c>
      <c r="EZ263" s="2" t="s">
        <v>188</v>
      </c>
      <c r="FC263" s="2" t="s">
        <v>263</v>
      </c>
      <c r="FD263" s="2" t="s">
        <v>188</v>
      </c>
      <c r="FH263" s="2" t="s">
        <v>188</v>
      </c>
      <c r="FJ263" s="2" t="s">
        <v>188</v>
      </c>
      <c r="FK263" s="2" t="s">
        <v>188</v>
      </c>
      <c r="FL263" s="2" t="s">
        <v>616</v>
      </c>
      <c r="FN263" s="2" t="s">
        <v>488</v>
      </c>
      <c r="FR263" s="2" t="s">
        <v>1870</v>
      </c>
      <c r="FT263" s="2" t="s">
        <v>233</v>
      </c>
      <c r="FU263" s="2" t="s">
        <v>233</v>
      </c>
      <c r="FV263" s="2" t="s">
        <v>233</v>
      </c>
      <c r="FW263" s="2" t="s">
        <v>233</v>
      </c>
      <c r="FX263" s="2" t="s">
        <v>233</v>
      </c>
      <c r="FZ263" s="4">
        <v>46049.63181712963</v>
      </c>
    </row>
    <row r="264" spans="1:182">
      <c r="A264" s="2" t="s">
        <v>1871</v>
      </c>
      <c r="D264" s="4">
        <v>46327.574965277781</v>
      </c>
      <c r="E264" s="2" t="s">
        <v>177</v>
      </c>
      <c r="F264" s="2" t="s">
        <v>178</v>
      </c>
      <c r="G264" s="2" t="s">
        <v>1649</v>
      </c>
      <c r="H264" s="2" t="s">
        <v>1659</v>
      </c>
      <c r="I264" s="2" t="s">
        <v>1872</v>
      </c>
      <c r="J264" s="2">
        <v>353583750</v>
      </c>
      <c r="K264" s="2" t="s">
        <v>1873</v>
      </c>
      <c r="L264" s="2" t="s">
        <v>182</v>
      </c>
      <c r="M264" s="2" t="s">
        <v>223</v>
      </c>
      <c r="N264" s="2">
        <v>1975</v>
      </c>
      <c r="O264" s="2" t="s">
        <v>224</v>
      </c>
      <c r="P264" s="2" t="s">
        <v>225</v>
      </c>
      <c r="Q264" s="2" t="s">
        <v>186</v>
      </c>
      <c r="R264" s="2" t="s">
        <v>188</v>
      </c>
      <c r="S264" s="2">
        <v>27</v>
      </c>
      <c r="T264" s="2" t="s">
        <v>188</v>
      </c>
      <c r="U264" s="2" t="s">
        <v>188</v>
      </c>
      <c r="Y264" s="2">
        <v>820</v>
      </c>
      <c r="Z264" s="2">
        <v>1</v>
      </c>
      <c r="AA264" s="2">
        <v>820</v>
      </c>
      <c r="AB264" s="2">
        <v>820</v>
      </c>
      <c r="AC264" s="2">
        <v>820</v>
      </c>
      <c r="AD264" s="2">
        <v>920</v>
      </c>
      <c r="AE264" s="2">
        <v>100</v>
      </c>
      <c r="AF264" s="2" t="s">
        <v>188</v>
      </c>
      <c r="AG264" s="2" t="s">
        <v>188</v>
      </c>
      <c r="AH264" s="2" t="s">
        <v>188</v>
      </c>
      <c r="AJ264" s="2" t="s">
        <v>188</v>
      </c>
      <c r="AK264" s="2" t="s">
        <v>188</v>
      </c>
      <c r="AL264" s="2" t="s">
        <v>188</v>
      </c>
      <c r="AM264" s="2" t="s">
        <v>188</v>
      </c>
      <c r="AN264" s="2" t="s">
        <v>188</v>
      </c>
      <c r="AO264" s="2" t="s">
        <v>188</v>
      </c>
      <c r="AR264" s="2">
        <v>2</v>
      </c>
      <c r="AS264" s="2">
        <v>3</v>
      </c>
      <c r="AT264" s="2">
        <v>9.1999999999999993</v>
      </c>
      <c r="AU264" s="2" t="s">
        <v>212</v>
      </c>
      <c r="AV264" s="2" t="s">
        <v>212</v>
      </c>
      <c r="AW264" s="2" t="s">
        <v>188</v>
      </c>
      <c r="AZ264" s="2" t="s">
        <v>190</v>
      </c>
      <c r="BB264" s="2" t="s">
        <v>191</v>
      </c>
      <c r="BC264" s="2" t="s">
        <v>192</v>
      </c>
      <c r="BD264" s="2" t="s">
        <v>187</v>
      </c>
      <c r="BE264" s="2" t="s">
        <v>187</v>
      </c>
      <c r="BF264" s="2" t="s">
        <v>193</v>
      </c>
      <c r="BG264" s="2" t="s">
        <v>194</v>
      </c>
      <c r="BH264" s="2" t="s">
        <v>297</v>
      </c>
      <c r="BI264" s="2" t="s">
        <v>196</v>
      </c>
      <c r="BL264" s="2" t="s">
        <v>197</v>
      </c>
      <c r="BM264" s="2" t="s">
        <v>198</v>
      </c>
      <c r="BN264" s="2" t="s">
        <v>199</v>
      </c>
      <c r="BO264" s="2" t="s">
        <v>188</v>
      </c>
      <c r="BQ264" s="2" t="s">
        <v>227</v>
      </c>
      <c r="BS264" s="2" t="s">
        <v>187</v>
      </c>
      <c r="BT264" s="2" t="s">
        <v>1325</v>
      </c>
      <c r="BV264" s="2" t="s">
        <v>248</v>
      </c>
      <c r="BX264" s="2" t="s">
        <v>188</v>
      </c>
      <c r="BZ264" s="2" t="s">
        <v>188</v>
      </c>
      <c r="CE264" s="2">
        <v>9.1999999999999993</v>
      </c>
      <c r="CF264" s="2">
        <v>920</v>
      </c>
      <c r="CM264" s="2">
        <v>100</v>
      </c>
      <c r="CO264" s="2">
        <v>100</v>
      </c>
      <c r="CR264" s="2" t="s">
        <v>204</v>
      </c>
      <c r="CT264" s="2" t="s">
        <v>188</v>
      </c>
      <c r="CU264" s="2" t="s">
        <v>205</v>
      </c>
      <c r="CW264" s="2" t="s">
        <v>206</v>
      </c>
      <c r="CY264" s="2" t="s">
        <v>207</v>
      </c>
      <c r="CZ264" s="2" t="s">
        <v>207</v>
      </c>
      <c r="DA264" s="2" t="s">
        <v>208</v>
      </c>
      <c r="DB264" s="2" t="s">
        <v>208</v>
      </c>
      <c r="DC264" s="2" t="s">
        <v>208</v>
      </c>
      <c r="DD264" s="2" t="s">
        <v>208</v>
      </c>
      <c r="DE264" s="2" t="s">
        <v>208</v>
      </c>
      <c r="DF264" s="2" t="s">
        <v>208</v>
      </c>
      <c r="DG264" s="2" t="s">
        <v>208</v>
      </c>
      <c r="DH264" s="2" t="s">
        <v>208</v>
      </c>
      <c r="DI264" s="2" t="s">
        <v>208</v>
      </c>
      <c r="DL264" s="2" t="s">
        <v>187</v>
      </c>
      <c r="DM264" s="2" t="s">
        <v>187</v>
      </c>
      <c r="DN264" s="2" t="s">
        <v>187</v>
      </c>
      <c r="DO264" s="2" t="s">
        <v>187</v>
      </c>
      <c r="DP264" s="2" t="s">
        <v>209</v>
      </c>
      <c r="DQ264" s="2" t="s">
        <v>210</v>
      </c>
      <c r="DT264" s="2" t="s">
        <v>209</v>
      </c>
      <c r="DU264" s="2" t="s">
        <v>209</v>
      </c>
      <c r="DV264" s="2" t="s">
        <v>209</v>
      </c>
      <c r="DW264" s="2" t="s">
        <v>209</v>
      </c>
      <c r="DX264" s="2" t="s">
        <v>209</v>
      </c>
      <c r="DY264" s="2" t="s">
        <v>209</v>
      </c>
      <c r="DZ264" s="2" t="s">
        <v>209</v>
      </c>
      <c r="EA264" s="2" t="s">
        <v>209</v>
      </c>
      <c r="EB264" s="2" t="s">
        <v>209</v>
      </c>
      <c r="EF264" s="2" t="s">
        <v>211</v>
      </c>
      <c r="EJ264" s="2" t="s">
        <v>212</v>
      </c>
      <c r="EK264" s="2" t="s">
        <v>187</v>
      </c>
      <c r="EL264" s="2" t="s">
        <v>188</v>
      </c>
      <c r="EN264" s="2" t="s">
        <v>214</v>
      </c>
      <c r="EP264" s="2" t="s">
        <v>230</v>
      </c>
      <c r="ER264" s="2" t="s">
        <v>187</v>
      </c>
      <c r="ET264" s="2" t="s">
        <v>188</v>
      </c>
      <c r="EV264" s="2" t="s">
        <v>187</v>
      </c>
      <c r="EW264" s="2" t="s">
        <v>215</v>
      </c>
      <c r="EX264" s="2" t="s">
        <v>187</v>
      </c>
      <c r="EY264" s="2" t="s">
        <v>215</v>
      </c>
      <c r="FC264" s="2" t="s">
        <v>216</v>
      </c>
      <c r="FD264" s="2" t="s">
        <v>188</v>
      </c>
      <c r="FH264" s="2" t="s">
        <v>188</v>
      </c>
      <c r="FJ264" s="2" t="s">
        <v>187</v>
      </c>
      <c r="FK264" s="2" t="s">
        <v>209</v>
      </c>
      <c r="FL264" s="2" t="s">
        <v>1665</v>
      </c>
      <c r="FT264" s="2" t="s">
        <v>219</v>
      </c>
      <c r="FU264" s="2" t="s">
        <v>219</v>
      </c>
      <c r="FV264" s="2" t="s">
        <v>219</v>
      </c>
      <c r="FW264" s="2" t="s">
        <v>219</v>
      </c>
      <c r="FZ264" s="4">
        <v>46040.68849537037</v>
      </c>
    </row>
    <row r="265" spans="1:182">
      <c r="A265" s="2" t="s">
        <v>1874</v>
      </c>
      <c r="D265" s="4">
        <v>46327.576284722221</v>
      </c>
      <c r="E265" s="2" t="s">
        <v>177</v>
      </c>
      <c r="F265" s="2" t="s">
        <v>293</v>
      </c>
      <c r="G265" s="2" t="s">
        <v>1649</v>
      </c>
      <c r="H265" s="2" t="s">
        <v>1659</v>
      </c>
      <c r="I265" s="2" t="s">
        <v>1875</v>
      </c>
      <c r="J265" s="2">
        <v>333515586</v>
      </c>
      <c r="K265" s="2" t="s">
        <v>1876</v>
      </c>
      <c r="L265" s="2" t="s">
        <v>352</v>
      </c>
      <c r="M265" s="2" t="s">
        <v>223</v>
      </c>
      <c r="N265" s="2">
        <v>1980</v>
      </c>
      <c r="O265" s="2" t="s">
        <v>224</v>
      </c>
      <c r="P265" s="2" t="s">
        <v>225</v>
      </c>
      <c r="Q265" s="2" t="s">
        <v>186</v>
      </c>
      <c r="R265" s="2" t="s">
        <v>188</v>
      </c>
      <c r="S265" s="2">
        <v>2005</v>
      </c>
      <c r="T265" s="2" t="s">
        <v>188</v>
      </c>
      <c r="U265" s="2" t="s">
        <v>188</v>
      </c>
      <c r="Y265" s="2">
        <v>920</v>
      </c>
      <c r="Z265" s="2">
        <v>0.97829999999999995</v>
      </c>
      <c r="AA265" s="2">
        <v>900</v>
      </c>
      <c r="AB265" s="2">
        <v>900</v>
      </c>
      <c r="AC265" s="2">
        <v>880</v>
      </c>
      <c r="AD265" s="2">
        <v>1000</v>
      </c>
      <c r="AE265" s="2">
        <v>120</v>
      </c>
      <c r="AF265" s="2" t="s">
        <v>188</v>
      </c>
      <c r="AG265" s="2" t="s">
        <v>187</v>
      </c>
      <c r="AH265" s="2" t="s">
        <v>187</v>
      </c>
      <c r="AI265" s="2" t="s">
        <v>1545</v>
      </c>
      <c r="AJ265" s="2" t="s">
        <v>188</v>
      </c>
      <c r="AK265" s="2" t="s">
        <v>188</v>
      </c>
      <c r="AL265" s="2" t="s">
        <v>188</v>
      </c>
      <c r="AM265" s="2" t="s">
        <v>187</v>
      </c>
      <c r="AN265" s="2" t="s">
        <v>188</v>
      </c>
      <c r="AO265" s="2" t="s">
        <v>188</v>
      </c>
      <c r="AR265" s="2">
        <v>2</v>
      </c>
      <c r="AS265" s="2">
        <v>2</v>
      </c>
      <c r="AT265" s="2">
        <v>10</v>
      </c>
      <c r="AU265" s="2" t="s">
        <v>189</v>
      </c>
      <c r="AV265" s="2" t="s">
        <v>189</v>
      </c>
      <c r="AW265" s="2" t="s">
        <v>188</v>
      </c>
      <c r="AZ265" s="2" t="s">
        <v>190</v>
      </c>
      <c r="BB265" s="2" t="s">
        <v>260</v>
      </c>
      <c r="BC265" s="2" t="s">
        <v>192</v>
      </c>
      <c r="BD265" s="2" t="s">
        <v>187</v>
      </c>
      <c r="BE265" s="2" t="s">
        <v>187</v>
      </c>
      <c r="BF265" s="2" t="s">
        <v>193</v>
      </c>
      <c r="BG265" s="2" t="s">
        <v>194</v>
      </c>
      <c r="BH265" s="2" t="s">
        <v>297</v>
      </c>
      <c r="BI265" s="2" t="s">
        <v>196</v>
      </c>
      <c r="BL265" s="2" t="s">
        <v>197</v>
      </c>
      <c r="BM265" s="2" t="s">
        <v>198</v>
      </c>
      <c r="BN265" s="2" t="s">
        <v>199</v>
      </c>
      <c r="BO265" s="2" t="s">
        <v>188</v>
      </c>
      <c r="BP265" s="2" t="s">
        <v>342</v>
      </c>
      <c r="BQ265" s="2" t="s">
        <v>227</v>
      </c>
      <c r="BS265" s="2" t="s">
        <v>187</v>
      </c>
      <c r="BT265" s="2" t="s">
        <v>261</v>
      </c>
      <c r="BV265" s="2" t="s">
        <v>389</v>
      </c>
      <c r="BX265" s="2" t="s">
        <v>187</v>
      </c>
      <c r="BY265" s="2" t="s">
        <v>326</v>
      </c>
      <c r="BZ265" s="2" t="s">
        <v>203</v>
      </c>
      <c r="CE265" s="2">
        <v>10</v>
      </c>
      <c r="CF265" s="2">
        <v>960</v>
      </c>
      <c r="CK265" s="2">
        <v>100</v>
      </c>
      <c r="CO265" s="2">
        <v>100</v>
      </c>
      <c r="CR265" s="2" t="s">
        <v>204</v>
      </c>
      <c r="CT265" s="2" t="s">
        <v>188</v>
      </c>
      <c r="CU265" s="2" t="s">
        <v>205</v>
      </c>
      <c r="CW265" s="2" t="s">
        <v>206</v>
      </c>
      <c r="CY265" s="2" t="s">
        <v>207</v>
      </c>
      <c r="CZ265" s="2" t="s">
        <v>273</v>
      </c>
      <c r="DA265" s="2" t="s">
        <v>300</v>
      </c>
      <c r="DB265" s="2" t="s">
        <v>301</v>
      </c>
      <c r="DC265" s="2" t="s">
        <v>208</v>
      </c>
      <c r="DD265" s="2" t="s">
        <v>301</v>
      </c>
      <c r="DE265" s="2" t="s">
        <v>300</v>
      </c>
      <c r="DF265" s="2" t="s">
        <v>207</v>
      </c>
      <c r="DG265" s="2" t="s">
        <v>208</v>
      </c>
      <c r="DH265" s="2" t="s">
        <v>208</v>
      </c>
      <c r="DI265" s="2" t="s">
        <v>208</v>
      </c>
      <c r="DL265" s="2" t="s">
        <v>187</v>
      </c>
      <c r="DM265" s="2" t="s">
        <v>187</v>
      </c>
      <c r="DN265" s="2" t="s">
        <v>187</v>
      </c>
      <c r="DO265" s="2" t="s">
        <v>187</v>
      </c>
      <c r="DP265" s="2" t="s">
        <v>209</v>
      </c>
      <c r="DQ265" s="2" t="s">
        <v>210</v>
      </c>
      <c r="DS265" s="2" t="s">
        <v>209</v>
      </c>
      <c r="DT265" s="2" t="s">
        <v>209</v>
      </c>
      <c r="DU265" s="2" t="s">
        <v>209</v>
      </c>
      <c r="DV265" s="2" t="s">
        <v>209</v>
      </c>
      <c r="DW265" s="2" t="s">
        <v>209</v>
      </c>
      <c r="DX265" s="2" t="s">
        <v>209</v>
      </c>
      <c r="DY265" s="2" t="s">
        <v>203</v>
      </c>
      <c r="DZ265" s="2" t="s">
        <v>203</v>
      </c>
      <c r="EA265" s="2" t="s">
        <v>209</v>
      </c>
      <c r="EB265" s="2" t="s">
        <v>209</v>
      </c>
      <c r="EC265" s="2" t="s">
        <v>203</v>
      </c>
      <c r="EF265" s="2" t="s">
        <v>189</v>
      </c>
      <c r="EJ265" s="2" t="s">
        <v>238</v>
      </c>
      <c r="EK265" s="2" t="s">
        <v>187</v>
      </c>
      <c r="EL265" s="2" t="s">
        <v>188</v>
      </c>
      <c r="EN265" s="2" t="s">
        <v>214</v>
      </c>
      <c r="EP265" s="2" t="s">
        <v>230</v>
      </c>
      <c r="ER265" s="2" t="s">
        <v>187</v>
      </c>
      <c r="ET265" s="2" t="s">
        <v>188</v>
      </c>
      <c r="EV265" s="2" t="s">
        <v>188</v>
      </c>
      <c r="EX265" s="2" t="s">
        <v>188</v>
      </c>
      <c r="EZ265" s="2" t="s">
        <v>188</v>
      </c>
      <c r="FC265" s="2" t="s">
        <v>216</v>
      </c>
      <c r="FD265" s="2" t="s">
        <v>188</v>
      </c>
      <c r="FH265" s="2" t="s">
        <v>188</v>
      </c>
      <c r="FJ265" s="2" t="s">
        <v>188</v>
      </c>
      <c r="FK265" s="2" t="s">
        <v>209</v>
      </c>
      <c r="FL265" s="2" t="s">
        <v>319</v>
      </c>
      <c r="FN265" s="2" t="s">
        <v>304</v>
      </c>
      <c r="FT265" s="2" t="s">
        <v>219</v>
      </c>
      <c r="FU265" s="2" t="s">
        <v>233</v>
      </c>
      <c r="FV265" s="2" t="s">
        <v>233</v>
      </c>
      <c r="FW265" s="2" t="s">
        <v>233</v>
      </c>
      <c r="FZ265" s="4">
        <v>46039.849930555552</v>
      </c>
    </row>
    <row r="266" spans="1:182">
      <c r="A266" s="2" t="s">
        <v>1877</v>
      </c>
      <c r="D266" s="4">
        <v>46327.578703703701</v>
      </c>
      <c r="E266" s="2" t="s">
        <v>1878</v>
      </c>
      <c r="F266" s="2" t="s">
        <v>425</v>
      </c>
      <c r="G266" s="2" t="s">
        <v>1649</v>
      </c>
      <c r="H266" s="2" t="s">
        <v>1668</v>
      </c>
      <c r="I266" s="2" t="s">
        <v>1879</v>
      </c>
      <c r="J266" s="2">
        <v>974841726</v>
      </c>
      <c r="K266" s="2" t="s">
        <v>1880</v>
      </c>
      <c r="L266" s="2" t="s">
        <v>182</v>
      </c>
      <c r="M266" s="2" t="s">
        <v>223</v>
      </c>
      <c r="N266" s="2">
        <v>1988</v>
      </c>
      <c r="O266" s="2" t="s">
        <v>224</v>
      </c>
      <c r="P266" s="2" t="s">
        <v>225</v>
      </c>
      <c r="Q266" s="2" t="s">
        <v>226</v>
      </c>
      <c r="R266" s="2" t="s">
        <v>188</v>
      </c>
      <c r="S266" s="2">
        <v>30</v>
      </c>
      <c r="T266" s="2" t="s">
        <v>188</v>
      </c>
      <c r="U266" s="2" t="s">
        <v>188</v>
      </c>
      <c r="Y266" s="2">
        <v>1180</v>
      </c>
      <c r="Z266" s="2">
        <v>1</v>
      </c>
      <c r="AA266" s="2">
        <v>1180</v>
      </c>
      <c r="AB266" s="2">
        <v>1180</v>
      </c>
      <c r="AC266" s="2">
        <v>1130</v>
      </c>
      <c r="AD266" s="2">
        <v>1360</v>
      </c>
      <c r="AE266" s="2">
        <v>230</v>
      </c>
      <c r="AF266" s="2" t="s">
        <v>188</v>
      </c>
      <c r="AG266" s="2" t="s">
        <v>188</v>
      </c>
      <c r="AH266" s="2" t="s">
        <v>187</v>
      </c>
      <c r="AI266" s="2" t="s">
        <v>308</v>
      </c>
      <c r="AJ266" s="2" t="s">
        <v>188</v>
      </c>
      <c r="AK266" s="2" t="s">
        <v>188</v>
      </c>
      <c r="AL266" s="2" t="s">
        <v>188</v>
      </c>
      <c r="AM266" s="2" t="s">
        <v>188</v>
      </c>
      <c r="AN266" s="2" t="s">
        <v>188</v>
      </c>
      <c r="AO266" s="2" t="s">
        <v>188</v>
      </c>
      <c r="AR266" s="2">
        <v>3.8</v>
      </c>
      <c r="AS266" s="2">
        <v>4</v>
      </c>
      <c r="AT266" s="2">
        <v>13.6</v>
      </c>
      <c r="AU266" s="2" t="s">
        <v>189</v>
      </c>
      <c r="AV266" s="2" t="s">
        <v>189</v>
      </c>
      <c r="AW266" s="2" t="s">
        <v>188</v>
      </c>
      <c r="AZ266" s="2" t="s">
        <v>476</v>
      </c>
      <c r="BB266" s="2" t="s">
        <v>191</v>
      </c>
      <c r="BC266" s="2" t="s">
        <v>192</v>
      </c>
      <c r="BD266" s="2" t="s">
        <v>188</v>
      </c>
      <c r="BE266" s="2" t="s">
        <v>188</v>
      </c>
      <c r="BL266" s="2" t="s">
        <v>197</v>
      </c>
      <c r="BM266" s="2" t="s">
        <v>198</v>
      </c>
      <c r="BN266" s="2" t="s">
        <v>199</v>
      </c>
      <c r="BO266" s="2" t="s">
        <v>341</v>
      </c>
      <c r="BP266" s="2" t="s">
        <v>342</v>
      </c>
      <c r="BS266" s="2" t="s">
        <v>187</v>
      </c>
      <c r="BT266" s="2" t="s">
        <v>484</v>
      </c>
      <c r="BV266" s="2" t="s">
        <v>522</v>
      </c>
      <c r="BX266" s="2" t="s">
        <v>188</v>
      </c>
      <c r="BZ266" s="2" t="s">
        <v>188</v>
      </c>
      <c r="CE266" s="2">
        <v>13.6</v>
      </c>
      <c r="CF266" s="2">
        <v>1360</v>
      </c>
      <c r="CK266" s="2">
        <v>100</v>
      </c>
      <c r="CO266" s="2">
        <v>100</v>
      </c>
      <c r="CR266" s="2" t="s">
        <v>204</v>
      </c>
      <c r="CT266" s="2" t="s">
        <v>188</v>
      </c>
      <c r="CU266" s="2" t="s">
        <v>205</v>
      </c>
      <c r="CW266" s="2" t="s">
        <v>206</v>
      </c>
      <c r="CY266" s="2" t="s">
        <v>207</v>
      </c>
      <c r="CZ266" s="2" t="s">
        <v>207</v>
      </c>
      <c r="DA266" s="2" t="s">
        <v>300</v>
      </c>
      <c r="DB266" s="2" t="s">
        <v>300</v>
      </c>
      <c r="DC266" s="2" t="s">
        <v>300</v>
      </c>
      <c r="DD266" s="2" t="s">
        <v>430</v>
      </c>
      <c r="DE266" s="2" t="s">
        <v>300</v>
      </c>
      <c r="DG266" s="2" t="s">
        <v>300</v>
      </c>
      <c r="DH266" s="2" t="s">
        <v>430</v>
      </c>
      <c r="DI266" s="2" t="s">
        <v>430</v>
      </c>
      <c r="DL266" s="2" t="s">
        <v>188</v>
      </c>
      <c r="DM266" s="2" t="s">
        <v>188</v>
      </c>
      <c r="DP266" s="2" t="s">
        <v>203</v>
      </c>
      <c r="DT266" s="2" t="s">
        <v>203</v>
      </c>
      <c r="DU266" s="2" t="s">
        <v>203</v>
      </c>
      <c r="DV266" s="2" t="s">
        <v>203</v>
      </c>
      <c r="DW266" s="2" t="s">
        <v>203</v>
      </c>
      <c r="DX266" s="2" t="s">
        <v>203</v>
      </c>
      <c r="DY266" s="2" t="s">
        <v>203</v>
      </c>
      <c r="DZ266" s="2" t="s">
        <v>203</v>
      </c>
      <c r="EA266" s="2" t="s">
        <v>203</v>
      </c>
      <c r="EB266" s="2" t="s">
        <v>203</v>
      </c>
      <c r="EC266" s="2" t="s">
        <v>203</v>
      </c>
      <c r="EF266" s="2" t="s">
        <v>302</v>
      </c>
      <c r="EG266" s="2" t="s">
        <v>431</v>
      </c>
      <c r="EJ266" s="2" t="s">
        <v>203</v>
      </c>
      <c r="EK266" s="2" t="s">
        <v>188</v>
      </c>
      <c r="EL266" s="2" t="s">
        <v>188</v>
      </c>
      <c r="EN266" s="2" t="s">
        <v>255</v>
      </c>
      <c r="EP266" s="2" t="s">
        <v>230</v>
      </c>
      <c r="ER266" s="2" t="s">
        <v>188</v>
      </c>
      <c r="ET266" s="2" t="s">
        <v>188</v>
      </c>
      <c r="EV266" s="2" t="s">
        <v>188</v>
      </c>
      <c r="EX266" s="2" t="s">
        <v>188</v>
      </c>
      <c r="EZ266" s="2" t="s">
        <v>188</v>
      </c>
      <c r="FC266" s="2" t="s">
        <v>263</v>
      </c>
      <c r="FD266" s="2" t="s">
        <v>188</v>
      </c>
      <c r="FH266" s="2" t="s">
        <v>188</v>
      </c>
      <c r="FJ266" s="2" t="s">
        <v>188</v>
      </c>
      <c r="FK266" s="2" t="s">
        <v>188</v>
      </c>
      <c r="FR266" s="2" t="s">
        <v>433</v>
      </c>
      <c r="FT266" s="2" t="s">
        <v>219</v>
      </c>
      <c r="FU266" s="2" t="s">
        <v>219</v>
      </c>
      <c r="FV266" s="2" t="s">
        <v>219</v>
      </c>
      <c r="FW266" s="2" t="s">
        <v>219</v>
      </c>
      <c r="FZ266" s="4">
        <v>46040.473101851851</v>
      </c>
    </row>
    <row r="267" spans="1:182">
      <c r="A267" s="2" t="s">
        <v>1881</v>
      </c>
      <c r="D267" s="4">
        <v>46327.589768518519</v>
      </c>
      <c r="E267" s="2" t="s">
        <v>1882</v>
      </c>
      <c r="F267" s="2" t="s">
        <v>480</v>
      </c>
      <c r="G267" s="2" t="s">
        <v>1649</v>
      </c>
      <c r="H267" s="2" t="s">
        <v>1650</v>
      </c>
      <c r="I267" s="2" t="s">
        <v>1883</v>
      </c>
      <c r="J267" s="2">
        <v>9777725030</v>
      </c>
      <c r="K267" s="2" t="s">
        <v>1884</v>
      </c>
      <c r="L267" s="2" t="s">
        <v>182</v>
      </c>
      <c r="M267" s="2" t="s">
        <v>223</v>
      </c>
      <c r="N267" s="2">
        <v>1990</v>
      </c>
      <c r="O267" s="2" t="s">
        <v>224</v>
      </c>
      <c r="P267" s="2" t="s">
        <v>225</v>
      </c>
      <c r="Q267" s="2" t="s">
        <v>270</v>
      </c>
      <c r="R267" s="2" t="s">
        <v>188</v>
      </c>
      <c r="S267" s="2">
        <v>20</v>
      </c>
      <c r="T267" s="2" t="s">
        <v>188</v>
      </c>
      <c r="U267" s="2" t="s">
        <v>188</v>
      </c>
      <c r="Y267" s="2">
        <v>1012</v>
      </c>
      <c r="Z267" s="2">
        <v>1</v>
      </c>
      <c r="AA267" s="2">
        <v>1012</v>
      </c>
      <c r="AB267" s="2">
        <v>1012</v>
      </c>
      <c r="AC267" s="2">
        <v>1012</v>
      </c>
      <c r="AD267" s="2">
        <v>1372</v>
      </c>
      <c r="AE267" s="2">
        <v>360</v>
      </c>
      <c r="AF267" s="2" t="s">
        <v>188</v>
      </c>
      <c r="AG267" s="2" t="s">
        <v>188</v>
      </c>
      <c r="AH267" s="2" t="s">
        <v>188</v>
      </c>
      <c r="AJ267" s="2" t="s">
        <v>188</v>
      </c>
      <c r="AK267" s="2" t="s">
        <v>188</v>
      </c>
      <c r="AL267" s="2" t="s">
        <v>188</v>
      </c>
      <c r="AM267" s="2" t="s">
        <v>188</v>
      </c>
      <c r="AN267" s="2" t="s">
        <v>188</v>
      </c>
      <c r="AO267" s="2" t="s">
        <v>188</v>
      </c>
      <c r="AR267" s="2">
        <v>3</v>
      </c>
      <c r="AS267" s="2">
        <v>4</v>
      </c>
      <c r="AT267" s="2">
        <v>14</v>
      </c>
      <c r="AU267" s="2" t="s">
        <v>238</v>
      </c>
      <c r="AV267" s="2" t="s">
        <v>238</v>
      </c>
      <c r="AW267" s="2" t="s">
        <v>188</v>
      </c>
      <c r="AZ267" s="2" t="s">
        <v>957</v>
      </c>
      <c r="BB267" s="2" t="s">
        <v>260</v>
      </c>
      <c r="BC267" s="2" t="s">
        <v>296</v>
      </c>
      <c r="BD267" s="2" t="s">
        <v>188</v>
      </c>
      <c r="BE267" s="2" t="s">
        <v>187</v>
      </c>
      <c r="BF267" s="2" t="s">
        <v>193</v>
      </c>
      <c r="BG267" s="2" t="s">
        <v>194</v>
      </c>
      <c r="BH267" s="2" t="s">
        <v>195</v>
      </c>
      <c r="BI267" s="2" t="s">
        <v>196</v>
      </c>
      <c r="BL267" s="2" t="s">
        <v>197</v>
      </c>
      <c r="BM267" s="2" t="s">
        <v>198</v>
      </c>
      <c r="BN267" s="2" t="s">
        <v>199</v>
      </c>
      <c r="BO267" s="2" t="s">
        <v>188</v>
      </c>
      <c r="BQ267" s="2" t="s">
        <v>227</v>
      </c>
      <c r="BS267" s="2" t="s">
        <v>187</v>
      </c>
      <c r="BT267" s="2" t="s">
        <v>611</v>
      </c>
      <c r="BV267" s="2" t="s">
        <v>325</v>
      </c>
      <c r="BX267" s="2" t="s">
        <v>187</v>
      </c>
      <c r="BY267" s="2" t="s">
        <v>1885</v>
      </c>
      <c r="BZ267" s="2" t="s">
        <v>209</v>
      </c>
      <c r="CA267" s="2" t="s">
        <v>1886</v>
      </c>
      <c r="CE267" s="2">
        <v>14</v>
      </c>
      <c r="CF267" s="2">
        <v>1372</v>
      </c>
      <c r="CM267" s="2">
        <v>100</v>
      </c>
      <c r="CO267" s="2">
        <v>100</v>
      </c>
      <c r="CR267" s="2" t="s">
        <v>511</v>
      </c>
      <c r="CT267" s="2" t="s">
        <v>188</v>
      </c>
      <c r="CU267" s="2" t="s">
        <v>205</v>
      </c>
      <c r="CW267" s="2" t="s">
        <v>206</v>
      </c>
      <c r="CY267" s="2" t="s">
        <v>273</v>
      </c>
      <c r="CZ267" s="2" t="s">
        <v>273</v>
      </c>
      <c r="DA267" s="2" t="s">
        <v>300</v>
      </c>
      <c r="DB267" s="2" t="s">
        <v>300</v>
      </c>
      <c r="DC267" s="2" t="s">
        <v>299</v>
      </c>
      <c r="DD267" s="2" t="s">
        <v>300</v>
      </c>
      <c r="DE267" s="2" t="s">
        <v>300</v>
      </c>
      <c r="DF267" s="2" t="s">
        <v>273</v>
      </c>
      <c r="DG267" s="2" t="s">
        <v>273</v>
      </c>
      <c r="DH267" s="2" t="s">
        <v>273</v>
      </c>
      <c r="DI267" s="2" t="s">
        <v>273</v>
      </c>
      <c r="DL267" s="2" t="s">
        <v>187</v>
      </c>
      <c r="DM267" s="2" t="s">
        <v>187</v>
      </c>
      <c r="DN267" s="2" t="s">
        <v>187</v>
      </c>
      <c r="DO267" s="2" t="s">
        <v>187</v>
      </c>
      <c r="DP267" s="2" t="s">
        <v>209</v>
      </c>
      <c r="DQ267" s="2" t="s">
        <v>467</v>
      </c>
      <c r="DR267" s="2" t="s">
        <v>1887</v>
      </c>
      <c r="DT267" s="2" t="s">
        <v>209</v>
      </c>
      <c r="DU267" s="2" t="s">
        <v>209</v>
      </c>
      <c r="DV267" s="2" t="s">
        <v>209</v>
      </c>
      <c r="DW267" s="2" t="s">
        <v>209</v>
      </c>
      <c r="DX267" s="2" t="s">
        <v>209</v>
      </c>
      <c r="DY267" s="2" t="s">
        <v>203</v>
      </c>
      <c r="DZ267" s="2" t="s">
        <v>203</v>
      </c>
      <c r="EA267" s="2" t="s">
        <v>203</v>
      </c>
      <c r="EB267" s="2" t="s">
        <v>203</v>
      </c>
      <c r="EC267" s="2" t="s">
        <v>203</v>
      </c>
      <c r="ED267" s="2" t="s">
        <v>203</v>
      </c>
      <c r="EF267" s="2" t="s">
        <v>189</v>
      </c>
      <c r="EG267" s="2" t="s">
        <v>1888</v>
      </c>
      <c r="EJ267" s="2" t="s">
        <v>238</v>
      </c>
      <c r="EK267" s="2" t="s">
        <v>187</v>
      </c>
      <c r="EL267" s="2" t="s">
        <v>188</v>
      </c>
      <c r="EN267" s="2" t="s">
        <v>214</v>
      </c>
      <c r="EP267" s="2" t="s">
        <v>230</v>
      </c>
      <c r="ER267" s="2" t="s">
        <v>187</v>
      </c>
      <c r="ET267" s="2" t="s">
        <v>188</v>
      </c>
      <c r="EV267" s="2" t="s">
        <v>187</v>
      </c>
      <c r="EW267" s="2" t="s">
        <v>215</v>
      </c>
      <c r="EX267" s="2" t="s">
        <v>188</v>
      </c>
      <c r="EZ267" s="2" t="s">
        <v>188</v>
      </c>
      <c r="FC267" s="2" t="s">
        <v>263</v>
      </c>
      <c r="FD267" s="2" t="s">
        <v>188</v>
      </c>
      <c r="FH267" s="2" t="s">
        <v>188</v>
      </c>
      <c r="FJ267" s="2" t="s">
        <v>188</v>
      </c>
      <c r="FK267" s="2" t="s">
        <v>188</v>
      </c>
      <c r="FN267" s="2" t="s">
        <v>488</v>
      </c>
      <c r="FR267" s="2" t="s">
        <v>1889</v>
      </c>
      <c r="FT267" s="2" t="s">
        <v>233</v>
      </c>
      <c r="FU267" s="2" t="s">
        <v>233</v>
      </c>
      <c r="FV267" s="2" t="s">
        <v>233</v>
      </c>
      <c r="FW267" s="2" t="s">
        <v>233</v>
      </c>
      <c r="FZ267" s="4">
        <v>46049.635717592595</v>
      </c>
    </row>
    <row r="268" spans="1:182">
      <c r="A268" s="2" t="s">
        <v>1890</v>
      </c>
      <c r="D268" s="4">
        <v>46327.580127314817</v>
      </c>
      <c r="E268" s="2" t="s">
        <v>1891</v>
      </c>
      <c r="F268" s="2" t="s">
        <v>398</v>
      </c>
      <c r="G268" s="2" t="s">
        <v>1649</v>
      </c>
      <c r="H268" s="2" t="s">
        <v>1854</v>
      </c>
      <c r="I268" s="2" t="s">
        <v>1892</v>
      </c>
      <c r="J268" s="2">
        <v>344122598</v>
      </c>
      <c r="K268" s="2" t="s">
        <v>1893</v>
      </c>
      <c r="L268" s="2" t="s">
        <v>182</v>
      </c>
      <c r="M268" s="2" t="s">
        <v>223</v>
      </c>
      <c r="N268" s="2">
        <v>1983</v>
      </c>
      <c r="O268" s="2" t="s">
        <v>224</v>
      </c>
      <c r="P268" s="2" t="s">
        <v>225</v>
      </c>
      <c r="Q268" s="2" t="s">
        <v>186</v>
      </c>
      <c r="R268" s="2" t="s">
        <v>188</v>
      </c>
      <c r="S268" s="2">
        <v>26</v>
      </c>
      <c r="T268" s="2" t="s">
        <v>188</v>
      </c>
      <c r="U268" s="2" t="s">
        <v>188</v>
      </c>
      <c r="Y268" s="2">
        <v>1000</v>
      </c>
      <c r="Z268" s="2">
        <v>1</v>
      </c>
      <c r="AA268" s="2">
        <v>1000</v>
      </c>
      <c r="AB268" s="2">
        <v>1000</v>
      </c>
      <c r="AC268" s="2">
        <v>1000</v>
      </c>
      <c r="AD268" s="2">
        <v>1120</v>
      </c>
      <c r="AE268" s="2">
        <v>120</v>
      </c>
      <c r="AF268" s="2" t="s">
        <v>188</v>
      </c>
      <c r="AG268" s="2" t="s">
        <v>188</v>
      </c>
      <c r="AH268" s="2" t="s">
        <v>188</v>
      </c>
      <c r="AJ268" s="2" t="s">
        <v>188</v>
      </c>
      <c r="AK268" s="2" t="s">
        <v>188</v>
      </c>
      <c r="AL268" s="2" t="s">
        <v>188</v>
      </c>
      <c r="AM268" s="2" t="s">
        <v>188</v>
      </c>
      <c r="AN268" s="2" t="s">
        <v>188</v>
      </c>
      <c r="AO268" s="2" t="s">
        <v>188</v>
      </c>
      <c r="AR268" s="2">
        <v>3.3</v>
      </c>
      <c r="AS268" s="2">
        <v>3</v>
      </c>
      <c r="AT268" s="2">
        <v>11</v>
      </c>
      <c r="AU268" s="2" t="s">
        <v>189</v>
      </c>
      <c r="AV268" s="2" t="s">
        <v>189</v>
      </c>
      <c r="AW268" s="2" t="s">
        <v>188</v>
      </c>
      <c r="BC268" s="2" t="s">
        <v>192</v>
      </c>
      <c r="BD268" s="2" t="s">
        <v>187</v>
      </c>
      <c r="BE268" s="2" t="s">
        <v>188</v>
      </c>
      <c r="BL268" s="2" t="s">
        <v>197</v>
      </c>
      <c r="BM268" s="2" t="s">
        <v>198</v>
      </c>
      <c r="BN268" s="2" t="s">
        <v>199</v>
      </c>
      <c r="BO268" s="2" t="s">
        <v>341</v>
      </c>
      <c r="BP268" s="2" t="s">
        <v>342</v>
      </c>
      <c r="BS268" s="2" t="s">
        <v>187</v>
      </c>
      <c r="BT268" s="2" t="s">
        <v>521</v>
      </c>
      <c r="BV268" s="2" t="s">
        <v>248</v>
      </c>
      <c r="BX268" s="2" t="s">
        <v>188</v>
      </c>
      <c r="BY268" s="2" t="s">
        <v>1894</v>
      </c>
      <c r="BZ268" s="2" t="s">
        <v>203</v>
      </c>
      <c r="CE268" s="2">
        <v>11</v>
      </c>
      <c r="CF268" s="2">
        <v>1120</v>
      </c>
      <c r="CM268" s="2">
        <v>100</v>
      </c>
      <c r="CP268" s="2">
        <v>100</v>
      </c>
      <c r="CR268" s="2" t="s">
        <v>204</v>
      </c>
      <c r="CT268" s="2" t="s">
        <v>188</v>
      </c>
      <c r="CU268" s="2" t="s">
        <v>205</v>
      </c>
      <c r="CW268" s="2" t="s">
        <v>206</v>
      </c>
      <c r="CY268" s="2" t="s">
        <v>207</v>
      </c>
      <c r="CZ268" s="2" t="s">
        <v>207</v>
      </c>
      <c r="DA268" s="2" t="s">
        <v>300</v>
      </c>
      <c r="DB268" s="2" t="s">
        <v>207</v>
      </c>
      <c r="DC268" s="2" t="s">
        <v>300</v>
      </c>
      <c r="DD268" s="2" t="s">
        <v>300</v>
      </c>
      <c r="DE268" s="2" t="s">
        <v>300</v>
      </c>
      <c r="DF268" s="2" t="s">
        <v>207</v>
      </c>
      <c r="DG268" s="2" t="s">
        <v>207</v>
      </c>
      <c r="DH268" s="2" t="s">
        <v>207</v>
      </c>
      <c r="DI268" s="2" t="s">
        <v>207</v>
      </c>
      <c r="DL268" s="2" t="s">
        <v>187</v>
      </c>
      <c r="DM268" s="2" t="s">
        <v>187</v>
      </c>
      <c r="DN268" s="2" t="s">
        <v>187</v>
      </c>
      <c r="DO268" s="2" t="s">
        <v>187</v>
      </c>
      <c r="DP268" s="2" t="s">
        <v>209</v>
      </c>
      <c r="DQ268" s="2" t="s">
        <v>467</v>
      </c>
      <c r="DR268" s="2" t="s">
        <v>1895</v>
      </c>
      <c r="DT268" s="2" t="s">
        <v>209</v>
      </c>
      <c r="DU268" s="2" t="s">
        <v>209</v>
      </c>
      <c r="DV268" s="2" t="s">
        <v>209</v>
      </c>
      <c r="DW268" s="2" t="s">
        <v>209</v>
      </c>
      <c r="DX268" s="2" t="s">
        <v>209</v>
      </c>
      <c r="DY268" s="2" t="s">
        <v>209</v>
      </c>
      <c r="DZ268" s="2" t="s">
        <v>203</v>
      </c>
      <c r="EA268" s="2" t="s">
        <v>209</v>
      </c>
      <c r="EB268" s="2" t="s">
        <v>209</v>
      </c>
      <c r="EC268" s="2" t="s">
        <v>188</v>
      </c>
      <c r="EF268" s="2" t="s">
        <v>189</v>
      </c>
      <c r="EG268" s="2" t="s">
        <v>1896</v>
      </c>
      <c r="EJ268" s="2" t="s">
        <v>238</v>
      </c>
      <c r="EK268" s="2" t="s">
        <v>187</v>
      </c>
      <c r="EL268" s="2" t="s">
        <v>188</v>
      </c>
      <c r="EN268" s="2" t="s">
        <v>214</v>
      </c>
      <c r="EP268" s="2" t="s">
        <v>230</v>
      </c>
      <c r="ER268" s="2" t="s">
        <v>187</v>
      </c>
      <c r="ET268" s="2" t="s">
        <v>188</v>
      </c>
      <c r="EV268" s="2" t="s">
        <v>187</v>
      </c>
      <c r="EW268" s="2" t="s">
        <v>189</v>
      </c>
      <c r="EX268" s="2" t="s">
        <v>187</v>
      </c>
      <c r="EY268" s="2" t="s">
        <v>189</v>
      </c>
      <c r="EZ268" s="2" t="s">
        <v>188</v>
      </c>
      <c r="FC268" s="2" t="s">
        <v>216</v>
      </c>
      <c r="FD268" s="2" t="s">
        <v>188</v>
      </c>
      <c r="FH268" s="2" t="s">
        <v>188</v>
      </c>
      <c r="FJ268" s="2" t="s">
        <v>188</v>
      </c>
      <c r="FK268" s="2" t="s">
        <v>203</v>
      </c>
      <c r="FN268" s="2" t="s">
        <v>282</v>
      </c>
      <c r="FR268" s="2" t="s">
        <v>1897</v>
      </c>
      <c r="FT268" s="2" t="s">
        <v>233</v>
      </c>
      <c r="FU268" s="2" t="s">
        <v>233</v>
      </c>
      <c r="FV268" s="2" t="s">
        <v>233</v>
      </c>
      <c r="FW268" s="2" t="s">
        <v>233</v>
      </c>
      <c r="FX268" s="2" t="s">
        <v>233</v>
      </c>
      <c r="FY268" s="2" t="s">
        <v>1898</v>
      </c>
      <c r="FZ268" s="4">
        <v>46038.804525462961</v>
      </c>
    </row>
    <row r="269" spans="1:182">
      <c r="A269" s="2" t="s">
        <v>1899</v>
      </c>
      <c r="D269" s="4">
        <v>46327.584513888891</v>
      </c>
      <c r="E269" s="2" t="s">
        <v>177</v>
      </c>
      <c r="F269" s="2" t="s">
        <v>178</v>
      </c>
      <c r="G269" s="2" t="s">
        <v>1649</v>
      </c>
      <c r="H269" s="2" t="s">
        <v>1659</v>
      </c>
      <c r="I269" s="2" t="s">
        <v>1900</v>
      </c>
      <c r="J269" s="2">
        <v>393199791</v>
      </c>
      <c r="K269" s="2" t="s">
        <v>1901</v>
      </c>
      <c r="L269" s="2" t="s">
        <v>352</v>
      </c>
      <c r="M269" s="2" t="s">
        <v>223</v>
      </c>
      <c r="N269" s="2">
        <v>1982</v>
      </c>
      <c r="O269" s="2" t="s">
        <v>224</v>
      </c>
      <c r="P269" s="2" t="s">
        <v>225</v>
      </c>
      <c r="Q269" s="2" t="s">
        <v>186</v>
      </c>
      <c r="R269" s="2" t="s">
        <v>188</v>
      </c>
      <c r="S269" s="2">
        <v>31</v>
      </c>
      <c r="T269" s="2" t="s">
        <v>188</v>
      </c>
      <c r="U269" s="2" t="s">
        <v>188</v>
      </c>
      <c r="Y269" s="2">
        <v>990</v>
      </c>
      <c r="Z269" s="2">
        <v>1</v>
      </c>
      <c r="AA269" s="2">
        <v>990</v>
      </c>
      <c r="AB269" s="2">
        <v>990</v>
      </c>
      <c r="AC269" s="2">
        <v>990</v>
      </c>
      <c r="AD269" s="2">
        <v>1100</v>
      </c>
      <c r="AE269" s="2">
        <v>110</v>
      </c>
      <c r="AF269" s="2" t="s">
        <v>188</v>
      </c>
      <c r="AG269" s="2" t="s">
        <v>188</v>
      </c>
      <c r="AH269" s="2" t="s">
        <v>188</v>
      </c>
      <c r="AJ269" s="2" t="s">
        <v>188</v>
      </c>
      <c r="AK269" s="2" t="s">
        <v>188</v>
      </c>
      <c r="AL269" s="2" t="s">
        <v>188</v>
      </c>
      <c r="AM269" s="2" t="s">
        <v>188</v>
      </c>
      <c r="AN269" s="2" t="s">
        <v>188</v>
      </c>
      <c r="AO269" s="2" t="s">
        <v>188</v>
      </c>
      <c r="AR269" s="2">
        <v>2.6</v>
      </c>
      <c r="AS269" s="2">
        <v>3</v>
      </c>
      <c r="AT269" s="2">
        <v>12.7</v>
      </c>
      <c r="AU269" s="2" t="s">
        <v>212</v>
      </c>
      <c r="AV269" s="2" t="s">
        <v>212</v>
      </c>
      <c r="AW269" s="2" t="s">
        <v>188</v>
      </c>
      <c r="AZ269" s="2" t="s">
        <v>190</v>
      </c>
      <c r="BB269" s="2" t="s">
        <v>191</v>
      </c>
      <c r="BC269" s="2" t="s">
        <v>192</v>
      </c>
      <c r="BD269" s="2" t="s">
        <v>187</v>
      </c>
      <c r="BE269" s="2" t="s">
        <v>187</v>
      </c>
      <c r="BF269" s="2" t="s">
        <v>193</v>
      </c>
      <c r="BG269" s="2" t="s">
        <v>194</v>
      </c>
      <c r="BH269" s="2" t="s">
        <v>297</v>
      </c>
      <c r="BI269" s="2" t="s">
        <v>196</v>
      </c>
      <c r="BL269" s="2" t="s">
        <v>197</v>
      </c>
      <c r="BM269" s="2" t="s">
        <v>198</v>
      </c>
      <c r="BN269" s="2" t="s">
        <v>199</v>
      </c>
      <c r="BO269" s="2" t="s">
        <v>188</v>
      </c>
      <c r="BQ269" s="2" t="s">
        <v>227</v>
      </c>
      <c r="BS269" s="2" t="s">
        <v>187</v>
      </c>
      <c r="BT269" s="2" t="s">
        <v>1325</v>
      </c>
      <c r="BV269" s="2" t="s">
        <v>248</v>
      </c>
      <c r="BX269" s="2" t="s">
        <v>188</v>
      </c>
      <c r="BZ269" s="2" t="s">
        <v>188</v>
      </c>
      <c r="CE269" s="2">
        <v>12.7</v>
      </c>
      <c r="CF269" s="2">
        <v>1100</v>
      </c>
      <c r="CM269" s="2">
        <v>100</v>
      </c>
      <c r="CO269" s="2">
        <v>100</v>
      </c>
      <c r="CR269" s="2" t="s">
        <v>204</v>
      </c>
      <c r="CT269" s="2" t="s">
        <v>188</v>
      </c>
      <c r="CU269" s="2" t="s">
        <v>205</v>
      </c>
      <c r="CW269" s="2" t="s">
        <v>206</v>
      </c>
      <c r="CY269" s="2" t="s">
        <v>207</v>
      </c>
      <c r="CZ269" s="2" t="s">
        <v>207</v>
      </c>
      <c r="DA269" s="2" t="s">
        <v>208</v>
      </c>
      <c r="DB269" s="2" t="s">
        <v>208</v>
      </c>
      <c r="DC269" s="2" t="s">
        <v>208</v>
      </c>
      <c r="DD269" s="2" t="s">
        <v>208</v>
      </c>
      <c r="DE269" s="2" t="s">
        <v>208</v>
      </c>
      <c r="DF269" s="2" t="s">
        <v>208</v>
      </c>
      <c r="DG269" s="2" t="s">
        <v>208</v>
      </c>
      <c r="DH269" s="2" t="s">
        <v>208</v>
      </c>
      <c r="DI269" s="2" t="s">
        <v>208</v>
      </c>
      <c r="DL269" s="2" t="s">
        <v>187</v>
      </c>
      <c r="DM269" s="2" t="s">
        <v>187</v>
      </c>
      <c r="DN269" s="2" t="s">
        <v>187</v>
      </c>
      <c r="DO269" s="2" t="s">
        <v>187</v>
      </c>
      <c r="DP269" s="2" t="s">
        <v>209</v>
      </c>
      <c r="DQ269" s="2" t="s">
        <v>210</v>
      </c>
      <c r="DT269" s="2" t="s">
        <v>209</v>
      </c>
      <c r="DU269" s="2" t="s">
        <v>209</v>
      </c>
      <c r="DV269" s="2" t="s">
        <v>209</v>
      </c>
      <c r="DW269" s="2" t="s">
        <v>209</v>
      </c>
      <c r="DX269" s="2" t="s">
        <v>209</v>
      </c>
      <c r="DY269" s="2" t="s">
        <v>209</v>
      </c>
      <c r="DZ269" s="2" t="s">
        <v>209</v>
      </c>
      <c r="EA269" s="2" t="s">
        <v>209</v>
      </c>
      <c r="EB269" s="2" t="s">
        <v>209</v>
      </c>
      <c r="EF269" s="2" t="s">
        <v>211</v>
      </c>
      <c r="EJ269" s="2" t="s">
        <v>212</v>
      </c>
      <c r="EK269" s="2" t="s">
        <v>187</v>
      </c>
      <c r="EL269" s="2" t="s">
        <v>188</v>
      </c>
      <c r="EN269" s="2" t="s">
        <v>214</v>
      </c>
      <c r="EP269" s="2" t="s">
        <v>230</v>
      </c>
      <c r="ER269" s="2" t="s">
        <v>187</v>
      </c>
      <c r="ET269" s="2" t="s">
        <v>188</v>
      </c>
      <c r="EV269" s="2" t="s">
        <v>187</v>
      </c>
      <c r="EW269" s="2" t="s">
        <v>1183</v>
      </c>
      <c r="EX269" s="2" t="s">
        <v>188</v>
      </c>
      <c r="EZ269" s="2" t="s">
        <v>188</v>
      </c>
      <c r="FC269" s="2" t="s">
        <v>216</v>
      </c>
      <c r="FD269" s="2" t="s">
        <v>188</v>
      </c>
      <c r="FH269" s="2" t="s">
        <v>188</v>
      </c>
      <c r="FJ269" s="2" t="s">
        <v>187</v>
      </c>
      <c r="FK269" s="2" t="s">
        <v>209</v>
      </c>
      <c r="FL269" s="2" t="s">
        <v>1665</v>
      </c>
      <c r="FN269" s="2" t="s">
        <v>488</v>
      </c>
      <c r="FT269" s="2" t="s">
        <v>219</v>
      </c>
      <c r="FU269" s="2" t="s">
        <v>219</v>
      </c>
      <c r="FV269" s="2" t="s">
        <v>219</v>
      </c>
      <c r="FW269" s="2" t="s">
        <v>219</v>
      </c>
      <c r="FZ269" s="4">
        <v>46040.681354166663</v>
      </c>
    </row>
    <row r="270" spans="1:182">
      <c r="A270" s="2" t="s">
        <v>1902</v>
      </c>
      <c r="D270" s="4">
        <v>46327.587187500001</v>
      </c>
      <c r="E270" s="2" t="s">
        <v>177</v>
      </c>
      <c r="F270" s="2" t="s">
        <v>293</v>
      </c>
      <c r="G270" s="2" t="s">
        <v>1649</v>
      </c>
      <c r="H270" s="2" t="s">
        <v>1659</v>
      </c>
      <c r="I270" s="2" t="s">
        <v>1903</v>
      </c>
      <c r="J270" s="2">
        <v>379879619</v>
      </c>
      <c r="K270" s="2" t="s">
        <v>1904</v>
      </c>
      <c r="L270" s="2" t="s">
        <v>182</v>
      </c>
      <c r="M270" s="2" t="s">
        <v>223</v>
      </c>
      <c r="N270" s="2">
        <v>1975</v>
      </c>
      <c r="O270" s="2" t="s">
        <v>224</v>
      </c>
      <c r="P270" s="2" t="s">
        <v>225</v>
      </c>
      <c r="Q270" s="2" t="s">
        <v>186</v>
      </c>
      <c r="R270" s="2" t="s">
        <v>188</v>
      </c>
      <c r="S270" s="2">
        <v>2000</v>
      </c>
      <c r="T270" s="2" t="s">
        <v>188</v>
      </c>
      <c r="U270" s="2" t="s">
        <v>188</v>
      </c>
      <c r="Y270" s="2">
        <v>970</v>
      </c>
      <c r="Z270" s="2">
        <v>0.97940000000000005</v>
      </c>
      <c r="AA270" s="2">
        <v>950</v>
      </c>
      <c r="AB270" s="2">
        <v>950</v>
      </c>
      <c r="AC270" s="2">
        <v>850</v>
      </c>
      <c r="AD270" s="2">
        <v>970</v>
      </c>
      <c r="AE270" s="2">
        <v>120</v>
      </c>
      <c r="AF270" s="2" t="s">
        <v>188</v>
      </c>
      <c r="AG270" s="2" t="s">
        <v>187</v>
      </c>
      <c r="AH270" s="2" t="s">
        <v>187</v>
      </c>
      <c r="AI270" s="2" t="s">
        <v>308</v>
      </c>
      <c r="AJ270" s="2" t="s">
        <v>188</v>
      </c>
      <c r="AK270" s="2" t="s">
        <v>188</v>
      </c>
      <c r="AL270" s="2" t="s">
        <v>188</v>
      </c>
      <c r="AM270" s="2" t="s">
        <v>187</v>
      </c>
      <c r="AN270" s="2" t="s">
        <v>188</v>
      </c>
      <c r="AO270" s="2" t="s">
        <v>188</v>
      </c>
      <c r="AR270" s="2">
        <v>2</v>
      </c>
      <c r="AS270" s="2">
        <v>1</v>
      </c>
      <c r="AT270" s="2">
        <v>10</v>
      </c>
      <c r="AU270" s="2" t="s">
        <v>238</v>
      </c>
      <c r="AV270" s="2" t="s">
        <v>238</v>
      </c>
      <c r="AW270" s="2" t="s">
        <v>188</v>
      </c>
      <c r="AZ270" s="2" t="s">
        <v>190</v>
      </c>
      <c r="BB270" s="2" t="s">
        <v>260</v>
      </c>
      <c r="BC270" s="2" t="s">
        <v>253</v>
      </c>
      <c r="BD270" s="2" t="s">
        <v>187</v>
      </c>
      <c r="BE270" s="2" t="s">
        <v>187</v>
      </c>
      <c r="BF270" s="2" t="s">
        <v>193</v>
      </c>
      <c r="BG270" s="2" t="s">
        <v>194</v>
      </c>
      <c r="BH270" s="2" t="s">
        <v>297</v>
      </c>
      <c r="BI270" s="2" t="s">
        <v>196</v>
      </c>
      <c r="BL270" s="2" t="s">
        <v>197</v>
      </c>
      <c r="BM270" s="2" t="s">
        <v>198</v>
      </c>
      <c r="BN270" s="2" t="s">
        <v>199</v>
      </c>
      <c r="BO270" s="2" t="s">
        <v>188</v>
      </c>
      <c r="BQ270" s="2" t="s">
        <v>200</v>
      </c>
      <c r="BS270" s="2" t="s">
        <v>187</v>
      </c>
      <c r="BT270" s="2" t="s">
        <v>201</v>
      </c>
      <c r="BV270" s="2" t="s">
        <v>358</v>
      </c>
      <c r="BX270" s="2" t="s">
        <v>187</v>
      </c>
      <c r="BY270" s="2" t="s">
        <v>1905</v>
      </c>
      <c r="BZ270" s="2" t="s">
        <v>188</v>
      </c>
      <c r="CE270" s="2">
        <v>10</v>
      </c>
      <c r="CF270" s="2">
        <v>970</v>
      </c>
      <c r="CK270" s="2">
        <v>100</v>
      </c>
      <c r="CO270" s="2">
        <v>100</v>
      </c>
      <c r="CR270" s="2" t="s">
        <v>204</v>
      </c>
      <c r="CT270" s="2" t="s">
        <v>188</v>
      </c>
      <c r="CU270" s="2" t="s">
        <v>205</v>
      </c>
      <c r="CW270" s="2" t="s">
        <v>206</v>
      </c>
      <c r="CY270" s="2" t="s">
        <v>207</v>
      </c>
      <c r="CZ270" s="2" t="s">
        <v>273</v>
      </c>
      <c r="DA270" s="2" t="s">
        <v>273</v>
      </c>
      <c r="DB270" s="2" t="s">
        <v>301</v>
      </c>
      <c r="DC270" s="2" t="s">
        <v>300</v>
      </c>
      <c r="DD270" s="2" t="s">
        <v>301</v>
      </c>
      <c r="DE270" s="2" t="s">
        <v>300</v>
      </c>
      <c r="DF270" s="2" t="s">
        <v>207</v>
      </c>
      <c r="DG270" s="2" t="s">
        <v>208</v>
      </c>
      <c r="DH270" s="2" t="s">
        <v>207</v>
      </c>
      <c r="DI270" s="2" t="s">
        <v>207</v>
      </c>
      <c r="DL270" s="2" t="s">
        <v>187</v>
      </c>
      <c r="DM270" s="2" t="s">
        <v>187</v>
      </c>
      <c r="DN270" s="2" t="s">
        <v>187</v>
      </c>
      <c r="DO270" s="2" t="s">
        <v>187</v>
      </c>
      <c r="DP270" s="2" t="s">
        <v>209</v>
      </c>
      <c r="DQ270" s="2" t="s">
        <v>210</v>
      </c>
      <c r="DS270" s="2" t="s">
        <v>209</v>
      </c>
      <c r="DT270" s="2" t="s">
        <v>209</v>
      </c>
      <c r="DU270" s="2" t="s">
        <v>209</v>
      </c>
      <c r="DV270" s="2" t="s">
        <v>209</v>
      </c>
      <c r="DW270" s="2" t="s">
        <v>209</v>
      </c>
      <c r="DX270" s="2" t="s">
        <v>209</v>
      </c>
      <c r="DY270" s="2" t="s">
        <v>203</v>
      </c>
      <c r="DZ270" s="2" t="s">
        <v>203</v>
      </c>
      <c r="EA270" s="2" t="s">
        <v>209</v>
      </c>
      <c r="EB270" s="2" t="s">
        <v>209</v>
      </c>
      <c r="EC270" s="2" t="s">
        <v>203</v>
      </c>
      <c r="EF270" s="2" t="s">
        <v>211</v>
      </c>
      <c r="EJ270" s="2" t="s">
        <v>189</v>
      </c>
      <c r="EK270" s="2" t="s">
        <v>187</v>
      </c>
      <c r="EL270" s="2" t="s">
        <v>188</v>
      </c>
      <c r="EN270" s="2" t="s">
        <v>214</v>
      </c>
      <c r="EP270" s="2" t="s">
        <v>230</v>
      </c>
      <c r="ER270" s="2" t="s">
        <v>187</v>
      </c>
      <c r="ET270" s="2" t="s">
        <v>188</v>
      </c>
      <c r="EV270" s="2" t="s">
        <v>187</v>
      </c>
      <c r="EW270" s="2" t="s">
        <v>189</v>
      </c>
      <c r="EX270" s="2" t="s">
        <v>188</v>
      </c>
      <c r="FC270" s="2" t="s">
        <v>216</v>
      </c>
      <c r="FD270" s="2" t="s">
        <v>188</v>
      </c>
      <c r="FH270" s="2" t="s">
        <v>188</v>
      </c>
      <c r="FJ270" s="2" t="s">
        <v>188</v>
      </c>
      <c r="FK270" s="2" t="s">
        <v>209</v>
      </c>
      <c r="FL270" s="2" t="s">
        <v>319</v>
      </c>
      <c r="FN270" s="2" t="s">
        <v>354</v>
      </c>
      <c r="FT270" s="2" t="s">
        <v>219</v>
      </c>
      <c r="FU270" s="2" t="s">
        <v>233</v>
      </c>
      <c r="FV270" s="2" t="s">
        <v>233</v>
      </c>
      <c r="FW270" s="2" t="s">
        <v>233</v>
      </c>
      <c r="FZ270" s="4">
        <v>46039.864479166667</v>
      </c>
    </row>
    <row r="271" spans="1:182">
      <c r="A271" s="2" t="s">
        <v>1906</v>
      </c>
      <c r="D271" s="4">
        <v>46327.588206018518</v>
      </c>
      <c r="E271" s="2" t="s">
        <v>1907</v>
      </c>
      <c r="F271" s="2" t="s">
        <v>425</v>
      </c>
      <c r="G271" s="2" t="s">
        <v>1649</v>
      </c>
      <c r="H271" s="2" t="s">
        <v>1668</v>
      </c>
      <c r="I271" s="2" t="s">
        <v>1908</v>
      </c>
      <c r="J271" s="2">
        <v>976139049</v>
      </c>
      <c r="K271" s="2" t="s">
        <v>1909</v>
      </c>
      <c r="L271" s="2" t="s">
        <v>182</v>
      </c>
      <c r="M271" s="2" t="s">
        <v>223</v>
      </c>
      <c r="N271" s="2">
        <v>1983</v>
      </c>
      <c r="O271" s="2" t="s">
        <v>224</v>
      </c>
      <c r="P271" s="2" t="s">
        <v>225</v>
      </c>
      <c r="Q271" s="2" t="s">
        <v>226</v>
      </c>
      <c r="R271" s="2" t="s">
        <v>188</v>
      </c>
      <c r="S271" s="2">
        <v>30</v>
      </c>
      <c r="T271" s="2" t="s">
        <v>188</v>
      </c>
      <c r="U271" s="2" t="s">
        <v>188</v>
      </c>
      <c r="Y271" s="2">
        <v>1110</v>
      </c>
      <c r="Z271" s="2">
        <v>1</v>
      </c>
      <c r="AA271" s="2">
        <v>1110</v>
      </c>
      <c r="AB271" s="2">
        <v>1110</v>
      </c>
      <c r="AC271" s="2">
        <v>960</v>
      </c>
      <c r="AD271" s="2">
        <v>1200</v>
      </c>
      <c r="AE271" s="2">
        <v>240</v>
      </c>
      <c r="AF271" s="2" t="s">
        <v>188</v>
      </c>
      <c r="AG271" s="2" t="s">
        <v>188</v>
      </c>
      <c r="AH271" s="2" t="s">
        <v>187</v>
      </c>
      <c r="AI271" s="2" t="s">
        <v>308</v>
      </c>
      <c r="AJ271" s="2" t="s">
        <v>188</v>
      </c>
      <c r="AK271" s="2" t="s">
        <v>188</v>
      </c>
      <c r="AL271" s="2" t="s">
        <v>188</v>
      </c>
      <c r="AM271" s="2" t="s">
        <v>188</v>
      </c>
      <c r="AN271" s="2" t="s">
        <v>188</v>
      </c>
      <c r="AO271" s="2" t="s">
        <v>188</v>
      </c>
      <c r="AR271" s="2">
        <v>2.5</v>
      </c>
      <c r="AS271" s="2">
        <v>3</v>
      </c>
      <c r="AT271" s="2">
        <v>12</v>
      </c>
      <c r="AU271" s="2" t="s">
        <v>189</v>
      </c>
      <c r="AV271" s="2" t="s">
        <v>189</v>
      </c>
      <c r="AW271" s="2" t="s">
        <v>188</v>
      </c>
      <c r="AZ271" s="2" t="s">
        <v>476</v>
      </c>
      <c r="BB271" s="2" t="s">
        <v>260</v>
      </c>
      <c r="BC271" s="2" t="s">
        <v>192</v>
      </c>
      <c r="BD271" s="2" t="s">
        <v>188</v>
      </c>
      <c r="BE271" s="2" t="s">
        <v>188</v>
      </c>
      <c r="BL271" s="2" t="s">
        <v>197</v>
      </c>
      <c r="BM271" s="2" t="s">
        <v>198</v>
      </c>
      <c r="BN271" s="2" t="s">
        <v>199</v>
      </c>
      <c r="BO271" s="2" t="s">
        <v>188</v>
      </c>
      <c r="BQ271" s="2" t="s">
        <v>227</v>
      </c>
      <c r="BS271" s="2" t="s">
        <v>187</v>
      </c>
      <c r="BT271" s="2" t="s">
        <v>261</v>
      </c>
      <c r="BV271" s="2" t="s">
        <v>522</v>
      </c>
      <c r="BX271" s="2" t="s">
        <v>188</v>
      </c>
      <c r="BZ271" s="2" t="s">
        <v>188</v>
      </c>
      <c r="CE271" s="2">
        <v>12</v>
      </c>
      <c r="CF271" s="2">
        <v>1200</v>
      </c>
      <c r="CK271" s="2">
        <v>100</v>
      </c>
      <c r="CO271" s="2">
        <v>100</v>
      </c>
      <c r="CR271" s="2" t="s">
        <v>204</v>
      </c>
      <c r="CT271" s="2" t="s">
        <v>188</v>
      </c>
      <c r="CU271" s="2" t="s">
        <v>205</v>
      </c>
      <c r="CW271" s="2" t="s">
        <v>206</v>
      </c>
      <c r="CY271" s="2" t="s">
        <v>207</v>
      </c>
      <c r="CZ271" s="2" t="s">
        <v>207</v>
      </c>
      <c r="DA271" s="2" t="s">
        <v>300</v>
      </c>
      <c r="DB271" s="2" t="s">
        <v>300</v>
      </c>
      <c r="DC271" s="2" t="s">
        <v>430</v>
      </c>
      <c r="DD271" s="2" t="s">
        <v>430</v>
      </c>
      <c r="DE271" s="2" t="s">
        <v>300</v>
      </c>
      <c r="DF271" s="2" t="s">
        <v>207</v>
      </c>
      <c r="DG271" s="2" t="s">
        <v>207</v>
      </c>
      <c r="DH271" s="2" t="s">
        <v>207</v>
      </c>
      <c r="DI271" s="2" t="s">
        <v>430</v>
      </c>
      <c r="DL271" s="2" t="s">
        <v>187</v>
      </c>
      <c r="DM271" s="2" t="s">
        <v>187</v>
      </c>
      <c r="DN271" s="2" t="s">
        <v>187</v>
      </c>
      <c r="DO271" s="2" t="s">
        <v>187</v>
      </c>
      <c r="DP271" s="2" t="s">
        <v>209</v>
      </c>
      <c r="DQ271" s="2" t="s">
        <v>467</v>
      </c>
      <c r="DR271" s="2" t="s">
        <v>1910</v>
      </c>
      <c r="DT271" s="2" t="s">
        <v>209</v>
      </c>
      <c r="DU271" s="2" t="s">
        <v>209</v>
      </c>
      <c r="DV271" s="2" t="s">
        <v>209</v>
      </c>
      <c r="DW271" s="2" t="s">
        <v>209</v>
      </c>
      <c r="DX271" s="2" t="s">
        <v>209</v>
      </c>
      <c r="DZ271" s="2" t="s">
        <v>203</v>
      </c>
      <c r="EA271" s="2" t="s">
        <v>209</v>
      </c>
      <c r="EB271" s="2" t="s">
        <v>209</v>
      </c>
      <c r="EC271" s="2" t="s">
        <v>188</v>
      </c>
      <c r="EF271" s="2" t="s">
        <v>189</v>
      </c>
      <c r="EJ271" s="2" t="s">
        <v>238</v>
      </c>
      <c r="EK271" s="2" t="s">
        <v>187</v>
      </c>
      <c r="EL271" s="2" t="s">
        <v>188</v>
      </c>
      <c r="EN271" s="2" t="s">
        <v>214</v>
      </c>
      <c r="EP271" s="2" t="s">
        <v>230</v>
      </c>
      <c r="ER271" s="2" t="s">
        <v>188</v>
      </c>
      <c r="ET271" s="2" t="s">
        <v>188</v>
      </c>
      <c r="EV271" s="2" t="s">
        <v>187</v>
      </c>
      <c r="EW271" s="2" t="s">
        <v>189</v>
      </c>
      <c r="EX271" s="2" t="s">
        <v>188</v>
      </c>
      <c r="EZ271" s="2" t="s">
        <v>188</v>
      </c>
      <c r="FC271" s="2" t="s">
        <v>395</v>
      </c>
      <c r="FD271" s="2" t="s">
        <v>188</v>
      </c>
      <c r="FH271" s="2" t="s">
        <v>188</v>
      </c>
      <c r="FJ271" s="2" t="s">
        <v>188</v>
      </c>
      <c r="FK271" s="2" t="s">
        <v>188</v>
      </c>
      <c r="FR271" s="2" t="s">
        <v>1911</v>
      </c>
      <c r="FT271" s="2" t="s">
        <v>233</v>
      </c>
      <c r="FU271" s="2" t="s">
        <v>233</v>
      </c>
      <c r="FV271" s="2" t="s">
        <v>219</v>
      </c>
      <c r="FW271" s="2" t="s">
        <v>219</v>
      </c>
      <c r="FZ271" s="4">
        <v>46040.495439814818</v>
      </c>
    </row>
    <row r="272" spans="1:182">
      <c r="A272" s="2" t="s">
        <v>1912</v>
      </c>
      <c r="D272" s="4">
        <v>46327.580081018517</v>
      </c>
      <c r="E272" s="2" t="s">
        <v>1913</v>
      </c>
      <c r="F272" s="2" t="s">
        <v>590</v>
      </c>
      <c r="G272" s="2" t="s">
        <v>1649</v>
      </c>
      <c r="H272" s="2" t="s">
        <v>1659</v>
      </c>
      <c r="I272" s="2" t="s">
        <v>1914</v>
      </c>
      <c r="J272" s="2">
        <v>328345834</v>
      </c>
      <c r="K272" s="2" t="s">
        <v>1915</v>
      </c>
      <c r="L272" s="2" t="s">
        <v>182</v>
      </c>
      <c r="M272" s="2" t="s">
        <v>223</v>
      </c>
      <c r="N272" s="2">
        <v>1974</v>
      </c>
      <c r="O272" s="2" t="s">
        <v>224</v>
      </c>
      <c r="P272" s="2" t="s">
        <v>225</v>
      </c>
      <c r="Q272" s="2" t="s">
        <v>186</v>
      </c>
      <c r="R272" s="2" t="s">
        <v>188</v>
      </c>
      <c r="S272" s="2">
        <v>30</v>
      </c>
      <c r="T272" s="2" t="s">
        <v>188</v>
      </c>
      <c r="U272" s="2" t="s">
        <v>187</v>
      </c>
      <c r="Y272" s="2">
        <v>2150</v>
      </c>
      <c r="Z272" s="2">
        <v>0.95350000000000001</v>
      </c>
      <c r="AA272" s="2">
        <v>2050</v>
      </c>
      <c r="AB272" s="2">
        <v>2050</v>
      </c>
      <c r="AC272" s="2">
        <v>2000</v>
      </c>
      <c r="AD272" s="2">
        <v>2500</v>
      </c>
      <c r="AE272" s="2">
        <v>500</v>
      </c>
      <c r="AF272" s="2" t="s">
        <v>188</v>
      </c>
      <c r="AG272" s="2" t="s">
        <v>187</v>
      </c>
      <c r="AH272" s="2" t="s">
        <v>188</v>
      </c>
      <c r="AJ272" s="2" t="s">
        <v>188</v>
      </c>
      <c r="AK272" s="2" t="s">
        <v>188</v>
      </c>
      <c r="AL272" s="2" t="s">
        <v>187</v>
      </c>
      <c r="AM272" s="2" t="s">
        <v>188</v>
      </c>
      <c r="AN272" s="2" t="s">
        <v>188</v>
      </c>
      <c r="AO272" s="2" t="s">
        <v>188</v>
      </c>
      <c r="AR272" s="2">
        <v>5</v>
      </c>
      <c r="AS272" s="2">
        <v>6</v>
      </c>
      <c r="AT272" s="2">
        <v>20.5</v>
      </c>
      <c r="AU272" s="2" t="s">
        <v>189</v>
      </c>
      <c r="AV272" s="2" t="s">
        <v>189</v>
      </c>
      <c r="AW272" s="2" t="s">
        <v>188</v>
      </c>
      <c r="AZ272" s="2" t="s">
        <v>190</v>
      </c>
      <c r="BB272" s="2" t="s">
        <v>260</v>
      </c>
      <c r="BC272" s="2" t="s">
        <v>296</v>
      </c>
      <c r="BD272" s="2" t="s">
        <v>188</v>
      </c>
      <c r="BE272" s="2" t="s">
        <v>187</v>
      </c>
      <c r="BF272" s="2" t="s">
        <v>193</v>
      </c>
      <c r="BG272" s="2" t="s">
        <v>194</v>
      </c>
      <c r="BH272" s="2" t="s">
        <v>297</v>
      </c>
      <c r="BI272" s="2" t="s">
        <v>196</v>
      </c>
      <c r="BL272" s="2" t="s">
        <v>197</v>
      </c>
      <c r="BM272" s="2" t="s">
        <v>507</v>
      </c>
      <c r="BN272" s="2" t="s">
        <v>199</v>
      </c>
      <c r="BO272" s="2" t="s">
        <v>188</v>
      </c>
      <c r="BQ272" s="2" t="s">
        <v>227</v>
      </c>
      <c r="BS272" s="2" t="s">
        <v>187</v>
      </c>
      <c r="BT272" s="2" t="s">
        <v>594</v>
      </c>
      <c r="BV272" s="2" t="s">
        <v>242</v>
      </c>
      <c r="BX272" s="2" t="s">
        <v>188</v>
      </c>
      <c r="BZ272" s="2" t="s">
        <v>209</v>
      </c>
      <c r="CA272" s="2" t="s">
        <v>1916</v>
      </c>
      <c r="CE272" s="2">
        <v>20.5</v>
      </c>
      <c r="CF272" s="2">
        <v>2500</v>
      </c>
      <c r="CM272" s="2">
        <v>100</v>
      </c>
      <c r="CQ272" s="2">
        <v>100</v>
      </c>
      <c r="CR272" s="2" t="s">
        <v>204</v>
      </c>
      <c r="CT272" s="2" t="s">
        <v>188</v>
      </c>
      <c r="CU272" s="2" t="s">
        <v>205</v>
      </c>
      <c r="CW272" s="2" t="s">
        <v>206</v>
      </c>
      <c r="CY272" s="2" t="s">
        <v>273</v>
      </c>
      <c r="CZ272" s="2" t="s">
        <v>300</v>
      </c>
      <c r="DA272" s="2" t="s">
        <v>300</v>
      </c>
      <c r="DB272" s="2" t="s">
        <v>300</v>
      </c>
      <c r="DC272" s="2" t="s">
        <v>273</v>
      </c>
      <c r="DD272" s="2" t="s">
        <v>300</v>
      </c>
      <c r="DE272" s="2" t="s">
        <v>273</v>
      </c>
      <c r="DF272" s="2" t="s">
        <v>273</v>
      </c>
      <c r="DG272" s="2" t="s">
        <v>273</v>
      </c>
      <c r="DH272" s="2" t="s">
        <v>273</v>
      </c>
      <c r="DI272" s="2" t="s">
        <v>273</v>
      </c>
      <c r="DL272" s="2" t="s">
        <v>187</v>
      </c>
      <c r="DM272" s="2" t="s">
        <v>187</v>
      </c>
      <c r="DN272" s="2" t="s">
        <v>187</v>
      </c>
      <c r="DO272" s="2" t="s">
        <v>187</v>
      </c>
      <c r="DP272" s="2" t="s">
        <v>209</v>
      </c>
      <c r="DQ272" s="2" t="s">
        <v>467</v>
      </c>
      <c r="DR272" s="2" t="s">
        <v>1677</v>
      </c>
      <c r="DT272" s="2" t="s">
        <v>209</v>
      </c>
      <c r="DU272" s="2" t="s">
        <v>209</v>
      </c>
      <c r="DV272" s="2" t="s">
        <v>209</v>
      </c>
      <c r="DW272" s="2" t="s">
        <v>209</v>
      </c>
      <c r="DX272" s="2" t="s">
        <v>209</v>
      </c>
      <c r="DY272" s="2" t="s">
        <v>209</v>
      </c>
      <c r="DZ272" s="2" t="s">
        <v>209</v>
      </c>
      <c r="EA272" s="2" t="s">
        <v>209</v>
      </c>
      <c r="EB272" s="2" t="s">
        <v>209</v>
      </c>
      <c r="EC272" s="2" t="s">
        <v>188</v>
      </c>
      <c r="EF272" s="2" t="s">
        <v>211</v>
      </c>
      <c r="EG272" s="2" t="s">
        <v>985</v>
      </c>
      <c r="EJ272" s="2" t="s">
        <v>238</v>
      </c>
      <c r="EK272" s="2" t="s">
        <v>187</v>
      </c>
      <c r="EL272" s="2" t="s">
        <v>188</v>
      </c>
      <c r="EN272" s="2" t="s">
        <v>255</v>
      </c>
      <c r="EP272" s="2" t="s">
        <v>230</v>
      </c>
      <c r="ER272" s="2" t="s">
        <v>188</v>
      </c>
      <c r="ET272" s="2" t="s">
        <v>188</v>
      </c>
      <c r="EV272" s="2" t="s">
        <v>188</v>
      </c>
      <c r="EX272" s="2" t="s">
        <v>188</v>
      </c>
      <c r="EZ272" s="2" t="s">
        <v>188</v>
      </c>
      <c r="FC272" s="2" t="s">
        <v>263</v>
      </c>
      <c r="FD272" s="2" t="s">
        <v>188</v>
      </c>
      <c r="FH272" s="2" t="s">
        <v>188</v>
      </c>
      <c r="FJ272" s="2" t="s">
        <v>188</v>
      </c>
      <c r="FK272" s="2" t="s">
        <v>188</v>
      </c>
      <c r="FN272" s="2" t="s">
        <v>990</v>
      </c>
      <c r="FR272" s="2" t="s">
        <v>421</v>
      </c>
      <c r="FT272" s="2" t="s">
        <v>490</v>
      </c>
      <c r="FU272" s="2" t="s">
        <v>233</v>
      </c>
      <c r="FV272" s="2" t="s">
        <v>219</v>
      </c>
      <c r="FW272" s="2" t="s">
        <v>219</v>
      </c>
      <c r="FZ272" s="4">
        <v>46047.616493055553</v>
      </c>
    </row>
    <row r="273" spans="1:182">
      <c r="A273" s="2" t="s">
        <v>1917</v>
      </c>
      <c r="D273" s="4">
        <v>46327.597199074073</v>
      </c>
      <c r="E273" s="2" t="s">
        <v>1849</v>
      </c>
      <c r="F273" s="2" t="s">
        <v>480</v>
      </c>
      <c r="G273" s="2" t="s">
        <v>1649</v>
      </c>
      <c r="H273" s="2" t="s">
        <v>1918</v>
      </c>
      <c r="I273" s="2" t="s">
        <v>1919</v>
      </c>
      <c r="J273" s="2">
        <v>375646554</v>
      </c>
      <c r="K273" s="2" t="s">
        <v>1920</v>
      </c>
      <c r="L273" s="2" t="s">
        <v>182</v>
      </c>
      <c r="M273" s="2" t="s">
        <v>223</v>
      </c>
      <c r="N273" s="2">
        <v>1984</v>
      </c>
      <c r="O273" s="2" t="s">
        <v>224</v>
      </c>
      <c r="P273" s="2" t="s">
        <v>225</v>
      </c>
      <c r="Q273" s="2" t="s">
        <v>186</v>
      </c>
      <c r="R273" s="2" t="s">
        <v>188</v>
      </c>
      <c r="S273" s="2">
        <v>26</v>
      </c>
      <c r="T273" s="2" t="s">
        <v>188</v>
      </c>
      <c r="U273" s="2" t="s">
        <v>188</v>
      </c>
      <c r="Y273" s="2">
        <v>546</v>
      </c>
      <c r="Z273" s="2">
        <v>1</v>
      </c>
      <c r="AA273" s="2">
        <v>546</v>
      </c>
      <c r="AB273" s="2">
        <v>546</v>
      </c>
      <c r="AC273" s="2">
        <v>556</v>
      </c>
      <c r="AD273" s="2">
        <v>686</v>
      </c>
      <c r="AE273" s="2">
        <v>130</v>
      </c>
      <c r="AF273" s="2" t="s">
        <v>188</v>
      </c>
      <c r="AG273" s="2" t="s">
        <v>188</v>
      </c>
      <c r="AH273" s="2" t="s">
        <v>188</v>
      </c>
      <c r="AJ273" s="2" t="s">
        <v>188</v>
      </c>
      <c r="AK273" s="2" t="s">
        <v>188</v>
      </c>
      <c r="AL273" s="2" t="s">
        <v>188</v>
      </c>
      <c r="AM273" s="2" t="s">
        <v>188</v>
      </c>
      <c r="AN273" s="2" t="s">
        <v>188</v>
      </c>
      <c r="AO273" s="2" t="s">
        <v>188</v>
      </c>
      <c r="AR273" s="2">
        <v>1.5</v>
      </c>
      <c r="AS273" s="2">
        <v>2</v>
      </c>
      <c r="AT273" s="2">
        <v>7</v>
      </c>
      <c r="AU273" s="2" t="s">
        <v>238</v>
      </c>
      <c r="AV273" s="2" t="s">
        <v>238</v>
      </c>
      <c r="AW273" s="2" t="s">
        <v>188</v>
      </c>
      <c r="AZ273" s="2" t="s">
        <v>957</v>
      </c>
      <c r="BB273" s="2" t="s">
        <v>260</v>
      </c>
      <c r="BC273" s="2" t="s">
        <v>296</v>
      </c>
      <c r="BD273" s="2" t="s">
        <v>188</v>
      </c>
      <c r="BE273" s="2" t="s">
        <v>187</v>
      </c>
      <c r="BF273" s="2" t="s">
        <v>193</v>
      </c>
      <c r="BG273" s="2" t="s">
        <v>194</v>
      </c>
      <c r="BH273" s="2" t="s">
        <v>195</v>
      </c>
      <c r="BI273" s="2" t="s">
        <v>196</v>
      </c>
      <c r="BL273" s="2" t="s">
        <v>197</v>
      </c>
      <c r="BM273" s="2" t="s">
        <v>507</v>
      </c>
      <c r="BN273" s="2" t="s">
        <v>199</v>
      </c>
      <c r="BO273" s="2" t="s">
        <v>188</v>
      </c>
      <c r="BQ273" s="2" t="s">
        <v>227</v>
      </c>
      <c r="BS273" s="2" t="s">
        <v>187</v>
      </c>
      <c r="BT273" s="2" t="s">
        <v>611</v>
      </c>
      <c r="BV273" s="2" t="s">
        <v>1921</v>
      </c>
      <c r="BX273" s="2" t="s">
        <v>187</v>
      </c>
      <c r="BY273" s="2" t="s">
        <v>1922</v>
      </c>
      <c r="BZ273" s="2" t="s">
        <v>209</v>
      </c>
      <c r="CA273" s="2" t="s">
        <v>1923</v>
      </c>
      <c r="CE273" s="2">
        <v>7</v>
      </c>
      <c r="CF273" s="2">
        <v>686</v>
      </c>
      <c r="CM273" s="2">
        <v>100</v>
      </c>
      <c r="CO273" s="2">
        <v>100</v>
      </c>
      <c r="CR273" s="2" t="s">
        <v>511</v>
      </c>
      <c r="CT273" s="2" t="s">
        <v>188</v>
      </c>
      <c r="CU273" s="2" t="s">
        <v>205</v>
      </c>
      <c r="CW273" s="2" t="s">
        <v>206</v>
      </c>
      <c r="CY273" s="2" t="s">
        <v>273</v>
      </c>
      <c r="CZ273" s="2" t="s">
        <v>273</v>
      </c>
      <c r="DA273" s="2" t="s">
        <v>300</v>
      </c>
      <c r="DB273" s="2" t="s">
        <v>300</v>
      </c>
      <c r="DC273" s="2" t="s">
        <v>299</v>
      </c>
      <c r="DD273" s="2" t="s">
        <v>300</v>
      </c>
      <c r="DE273" s="2" t="s">
        <v>300</v>
      </c>
      <c r="DF273" s="2" t="s">
        <v>273</v>
      </c>
      <c r="DG273" s="2" t="s">
        <v>273</v>
      </c>
      <c r="DH273" s="2" t="s">
        <v>273</v>
      </c>
      <c r="DI273" s="2" t="s">
        <v>299</v>
      </c>
      <c r="DL273" s="2" t="s">
        <v>187</v>
      </c>
      <c r="DM273" s="2" t="s">
        <v>187</v>
      </c>
      <c r="DN273" s="2" t="s">
        <v>187</v>
      </c>
      <c r="DO273" s="2" t="s">
        <v>187</v>
      </c>
      <c r="DP273" s="2" t="s">
        <v>209</v>
      </c>
      <c r="DQ273" s="2" t="s">
        <v>210</v>
      </c>
      <c r="DT273" s="2" t="s">
        <v>209</v>
      </c>
      <c r="DU273" s="2" t="s">
        <v>209</v>
      </c>
      <c r="DV273" s="2" t="s">
        <v>209</v>
      </c>
      <c r="DW273" s="2" t="s">
        <v>209</v>
      </c>
      <c r="DX273" s="2" t="s">
        <v>209</v>
      </c>
      <c r="DY273" s="2" t="s">
        <v>209</v>
      </c>
      <c r="DZ273" s="2" t="s">
        <v>209</v>
      </c>
      <c r="EA273" s="2" t="s">
        <v>209</v>
      </c>
      <c r="EB273" s="2" t="s">
        <v>209</v>
      </c>
      <c r="EC273" s="2" t="s">
        <v>203</v>
      </c>
      <c r="ED273" s="2" t="s">
        <v>203</v>
      </c>
      <c r="EF273" s="2" t="s">
        <v>189</v>
      </c>
      <c r="EJ273" s="2" t="s">
        <v>238</v>
      </c>
      <c r="EK273" s="2" t="s">
        <v>187</v>
      </c>
      <c r="EL273" s="2" t="s">
        <v>188</v>
      </c>
      <c r="EN273" s="2" t="s">
        <v>214</v>
      </c>
      <c r="EP273" s="2" t="s">
        <v>230</v>
      </c>
      <c r="ER273" s="2" t="s">
        <v>187</v>
      </c>
      <c r="ET273" s="2" t="s">
        <v>188</v>
      </c>
      <c r="EV273" s="2" t="s">
        <v>187</v>
      </c>
      <c r="EW273" s="2" t="s">
        <v>215</v>
      </c>
      <c r="EX273" s="2" t="s">
        <v>188</v>
      </c>
      <c r="EZ273" s="2" t="s">
        <v>188</v>
      </c>
      <c r="FC273" s="2" t="s">
        <v>263</v>
      </c>
      <c r="FD273" s="2" t="s">
        <v>188</v>
      </c>
      <c r="FH273" s="2" t="s">
        <v>188</v>
      </c>
      <c r="FJ273" s="2" t="s">
        <v>188</v>
      </c>
      <c r="FK273" s="2" t="s">
        <v>188</v>
      </c>
      <c r="FN273" s="2" t="s">
        <v>488</v>
      </c>
      <c r="FR273" s="2" t="s">
        <v>1924</v>
      </c>
      <c r="FT273" s="2" t="s">
        <v>233</v>
      </c>
      <c r="FU273" s="2" t="s">
        <v>233</v>
      </c>
      <c r="FV273" s="2" t="s">
        <v>233</v>
      </c>
      <c r="FW273" s="2" t="s">
        <v>233</v>
      </c>
      <c r="FZ273" s="4">
        <v>46043.523634259262</v>
      </c>
    </row>
    <row r="274" spans="1:182">
      <c r="A274" s="2" t="s">
        <v>1925</v>
      </c>
      <c r="D274" s="4">
        <v>46327.592638888891</v>
      </c>
      <c r="E274" s="2" t="s">
        <v>177</v>
      </c>
      <c r="F274" s="2" t="s">
        <v>178</v>
      </c>
      <c r="G274" s="2" t="s">
        <v>1649</v>
      </c>
      <c r="H274" s="2" t="s">
        <v>1659</v>
      </c>
      <c r="I274" s="2" t="s">
        <v>1926</v>
      </c>
      <c r="J274" s="2">
        <v>355290877</v>
      </c>
      <c r="K274" s="2" t="s">
        <v>1926</v>
      </c>
      <c r="L274" s="2" t="s">
        <v>182</v>
      </c>
      <c r="M274" s="2" t="s">
        <v>223</v>
      </c>
      <c r="N274" s="2">
        <v>1973</v>
      </c>
      <c r="O274" s="2" t="s">
        <v>224</v>
      </c>
      <c r="P274" s="2" t="s">
        <v>185</v>
      </c>
      <c r="Q274" s="2" t="s">
        <v>186</v>
      </c>
      <c r="R274" s="2" t="s">
        <v>188</v>
      </c>
      <c r="S274" s="2">
        <v>29</v>
      </c>
      <c r="T274" s="2" t="s">
        <v>188</v>
      </c>
      <c r="U274" s="2" t="s">
        <v>188</v>
      </c>
      <c r="Y274" s="2">
        <v>524</v>
      </c>
      <c r="Z274" s="2">
        <v>0.95420000000000005</v>
      </c>
      <c r="AA274" s="2">
        <v>500</v>
      </c>
      <c r="AB274" s="2">
        <v>500</v>
      </c>
      <c r="AC274" s="2">
        <v>485</v>
      </c>
      <c r="AD274" s="2">
        <v>550</v>
      </c>
      <c r="AE274" s="2">
        <v>65</v>
      </c>
      <c r="AF274" s="2" t="s">
        <v>188</v>
      </c>
      <c r="AG274" s="2" t="s">
        <v>188</v>
      </c>
      <c r="AH274" s="2" t="s">
        <v>188</v>
      </c>
      <c r="AJ274" s="2" t="s">
        <v>188</v>
      </c>
      <c r="AK274" s="2" t="s">
        <v>188</v>
      </c>
      <c r="AL274" s="2" t="s">
        <v>187</v>
      </c>
      <c r="AM274" s="2" t="s">
        <v>187</v>
      </c>
      <c r="AN274" s="2" t="s">
        <v>188</v>
      </c>
      <c r="AO274" s="2" t="s">
        <v>188</v>
      </c>
      <c r="AR274" s="2">
        <v>1.4</v>
      </c>
      <c r="AS274" s="2">
        <v>2</v>
      </c>
      <c r="AT274" s="2">
        <v>5.53</v>
      </c>
      <c r="AU274" s="2" t="s">
        <v>212</v>
      </c>
      <c r="AV274" s="2" t="s">
        <v>212</v>
      </c>
      <c r="AW274" s="2" t="s">
        <v>188</v>
      </c>
      <c r="AZ274" s="2" t="s">
        <v>190</v>
      </c>
      <c r="BB274" s="2" t="s">
        <v>191</v>
      </c>
      <c r="BC274" s="2" t="s">
        <v>192</v>
      </c>
      <c r="BD274" s="2" t="s">
        <v>187</v>
      </c>
      <c r="BE274" s="2" t="s">
        <v>187</v>
      </c>
      <c r="BF274" s="2" t="s">
        <v>193</v>
      </c>
      <c r="BG274" s="2" t="s">
        <v>279</v>
      </c>
      <c r="BH274" s="2" t="s">
        <v>297</v>
      </c>
      <c r="BI274" s="2" t="s">
        <v>196</v>
      </c>
      <c r="BL274" s="2" t="s">
        <v>240</v>
      </c>
      <c r="BO274" s="2" t="s">
        <v>188</v>
      </c>
      <c r="BQ274" s="2" t="s">
        <v>200</v>
      </c>
      <c r="BS274" s="2" t="s">
        <v>187</v>
      </c>
      <c r="BT274" s="2" t="s">
        <v>261</v>
      </c>
      <c r="BV274" s="2" t="s">
        <v>248</v>
      </c>
      <c r="BX274" s="2" t="s">
        <v>188</v>
      </c>
      <c r="BZ274" s="2" t="s">
        <v>188</v>
      </c>
      <c r="CE274" s="2">
        <v>5.53</v>
      </c>
      <c r="CF274" s="2">
        <v>550</v>
      </c>
      <c r="CM274" s="2">
        <v>100</v>
      </c>
      <c r="CO274" s="2">
        <v>100</v>
      </c>
      <c r="CR274" s="2" t="s">
        <v>204</v>
      </c>
      <c r="CT274" s="2" t="s">
        <v>188</v>
      </c>
      <c r="CU274" s="2" t="s">
        <v>205</v>
      </c>
      <c r="CW274" s="2" t="s">
        <v>206</v>
      </c>
      <c r="CY274" s="2" t="s">
        <v>207</v>
      </c>
      <c r="CZ274" s="2" t="s">
        <v>207</v>
      </c>
      <c r="DA274" s="2" t="s">
        <v>208</v>
      </c>
      <c r="DB274" s="2" t="s">
        <v>208</v>
      </c>
      <c r="DC274" s="2" t="s">
        <v>208</v>
      </c>
      <c r="DD274" s="2" t="s">
        <v>208</v>
      </c>
      <c r="DE274" s="2" t="s">
        <v>208</v>
      </c>
      <c r="DF274" s="2" t="s">
        <v>208</v>
      </c>
      <c r="DG274" s="2" t="s">
        <v>208</v>
      </c>
      <c r="DH274" s="2" t="s">
        <v>208</v>
      </c>
      <c r="DI274" s="2" t="s">
        <v>208</v>
      </c>
      <c r="DL274" s="2" t="s">
        <v>187</v>
      </c>
      <c r="DM274" s="2" t="s">
        <v>187</v>
      </c>
      <c r="DN274" s="2" t="s">
        <v>187</v>
      </c>
      <c r="DO274" s="2" t="s">
        <v>187</v>
      </c>
      <c r="DP274" s="2" t="s">
        <v>209</v>
      </c>
      <c r="DQ274" s="2" t="s">
        <v>210</v>
      </c>
      <c r="DT274" s="2" t="s">
        <v>209</v>
      </c>
      <c r="DU274" s="2" t="s">
        <v>209</v>
      </c>
      <c r="DV274" s="2" t="s">
        <v>209</v>
      </c>
      <c r="DW274" s="2" t="s">
        <v>209</v>
      </c>
      <c r="DX274" s="2" t="s">
        <v>209</v>
      </c>
      <c r="DY274" s="2" t="s">
        <v>209</v>
      </c>
      <c r="DZ274" s="2" t="s">
        <v>209</v>
      </c>
      <c r="EA274" s="2" t="s">
        <v>209</v>
      </c>
      <c r="EB274" s="2" t="s">
        <v>209</v>
      </c>
      <c r="EF274" s="2" t="s">
        <v>211</v>
      </c>
      <c r="EJ274" s="2" t="s">
        <v>212</v>
      </c>
      <c r="EK274" s="2" t="s">
        <v>187</v>
      </c>
      <c r="EL274" s="2" t="s">
        <v>188</v>
      </c>
      <c r="EN274" s="2" t="s">
        <v>214</v>
      </c>
      <c r="EP274" s="2" t="s">
        <v>230</v>
      </c>
      <c r="ER274" s="2" t="s">
        <v>187</v>
      </c>
      <c r="ET274" s="2" t="s">
        <v>188</v>
      </c>
      <c r="EV274" s="2" t="s">
        <v>187</v>
      </c>
      <c r="EW274" s="2" t="s">
        <v>1183</v>
      </c>
      <c r="EX274" s="2" t="s">
        <v>188</v>
      </c>
      <c r="FC274" s="2" t="s">
        <v>216</v>
      </c>
      <c r="FD274" s="2" t="s">
        <v>188</v>
      </c>
      <c r="FH274" s="2" t="s">
        <v>188</v>
      </c>
      <c r="FJ274" s="2" t="s">
        <v>187</v>
      </c>
      <c r="FK274" s="2" t="s">
        <v>209</v>
      </c>
      <c r="FL274" s="2" t="s">
        <v>1772</v>
      </c>
      <c r="FN274" s="2" t="s">
        <v>488</v>
      </c>
      <c r="FT274" s="2" t="s">
        <v>219</v>
      </c>
      <c r="FU274" s="2" t="s">
        <v>219</v>
      </c>
      <c r="FV274" s="2" t="s">
        <v>219</v>
      </c>
      <c r="FW274" s="2" t="s">
        <v>219</v>
      </c>
      <c r="FZ274" s="4">
        <v>46040.672002314815</v>
      </c>
    </row>
    <row r="275" spans="1:182">
      <c r="A275" s="2" t="s">
        <v>1927</v>
      </c>
      <c r="D275" s="4">
        <v>46327.598067129627</v>
      </c>
      <c r="E275" s="2" t="s">
        <v>1907</v>
      </c>
      <c r="F275" s="2" t="s">
        <v>425</v>
      </c>
      <c r="G275" s="2" t="s">
        <v>1649</v>
      </c>
      <c r="H275" s="2" t="s">
        <v>1668</v>
      </c>
      <c r="I275" s="2" t="s">
        <v>1928</v>
      </c>
      <c r="J275" s="2">
        <v>969480315</v>
      </c>
      <c r="K275" s="2" t="s">
        <v>1929</v>
      </c>
      <c r="L275" s="2" t="s">
        <v>182</v>
      </c>
      <c r="M275" s="2" t="s">
        <v>223</v>
      </c>
      <c r="N275" s="2">
        <v>1974</v>
      </c>
      <c r="O275" s="2" t="s">
        <v>224</v>
      </c>
      <c r="P275" s="2" t="s">
        <v>225</v>
      </c>
      <c r="Q275" s="2" t="s">
        <v>226</v>
      </c>
      <c r="R275" s="2" t="s">
        <v>188</v>
      </c>
      <c r="S275" s="2">
        <v>28</v>
      </c>
      <c r="T275" s="2" t="s">
        <v>188</v>
      </c>
      <c r="U275" s="2" t="s">
        <v>188</v>
      </c>
      <c r="Y275" s="2">
        <v>660</v>
      </c>
      <c r="Z275" s="2">
        <v>1</v>
      </c>
      <c r="AA275" s="2">
        <v>660</v>
      </c>
      <c r="AB275" s="2">
        <v>660</v>
      </c>
      <c r="AC275" s="2">
        <v>660</v>
      </c>
      <c r="AD275" s="2">
        <v>800</v>
      </c>
      <c r="AE275" s="2">
        <v>140</v>
      </c>
      <c r="AF275" s="2" t="s">
        <v>188</v>
      </c>
      <c r="AG275" s="2" t="s">
        <v>188</v>
      </c>
      <c r="AH275" s="2" t="s">
        <v>188</v>
      </c>
      <c r="AJ275" s="2" t="s">
        <v>188</v>
      </c>
      <c r="AK275" s="2" t="s">
        <v>188</v>
      </c>
      <c r="AL275" s="2" t="s">
        <v>188</v>
      </c>
      <c r="AM275" s="2" t="s">
        <v>188</v>
      </c>
      <c r="AN275" s="2" t="s">
        <v>188</v>
      </c>
      <c r="AO275" s="2" t="s">
        <v>188</v>
      </c>
      <c r="AR275" s="2">
        <v>1.5</v>
      </c>
      <c r="AS275" s="2">
        <v>2</v>
      </c>
      <c r="AT275" s="2">
        <v>8</v>
      </c>
      <c r="AU275" s="2" t="s">
        <v>238</v>
      </c>
      <c r="AV275" s="2" t="s">
        <v>238</v>
      </c>
      <c r="AW275" s="2" t="s">
        <v>188</v>
      </c>
      <c r="AZ275" s="2" t="s">
        <v>190</v>
      </c>
      <c r="BB275" s="2" t="s">
        <v>260</v>
      </c>
      <c r="BC275" s="2" t="s">
        <v>296</v>
      </c>
      <c r="BD275" s="2" t="s">
        <v>187</v>
      </c>
      <c r="BE275" s="2" t="s">
        <v>187</v>
      </c>
      <c r="BF275" s="2" t="s">
        <v>193</v>
      </c>
      <c r="BG275" s="2" t="s">
        <v>194</v>
      </c>
      <c r="BH275" s="2" t="s">
        <v>297</v>
      </c>
      <c r="BI275" s="2" t="s">
        <v>333</v>
      </c>
      <c r="BL275" s="2" t="s">
        <v>197</v>
      </c>
      <c r="BM275" s="2" t="s">
        <v>198</v>
      </c>
      <c r="BN275" s="2" t="s">
        <v>199</v>
      </c>
      <c r="BO275" s="2" t="s">
        <v>341</v>
      </c>
      <c r="BP275" s="2" t="s">
        <v>342</v>
      </c>
      <c r="BS275" s="2" t="s">
        <v>187</v>
      </c>
      <c r="BT275" s="2" t="s">
        <v>69</v>
      </c>
      <c r="BU275" s="2" t="s">
        <v>342</v>
      </c>
      <c r="BV275" s="2" t="s">
        <v>587</v>
      </c>
      <c r="BX275" s="2" t="s">
        <v>188</v>
      </c>
      <c r="BZ275" s="2" t="s">
        <v>188</v>
      </c>
      <c r="CE275" s="2">
        <v>8</v>
      </c>
      <c r="CF275" s="2">
        <v>800</v>
      </c>
      <c r="CM275" s="2">
        <v>100</v>
      </c>
      <c r="CO275" s="2">
        <v>100</v>
      </c>
      <c r="CR275" s="2" t="s">
        <v>343</v>
      </c>
      <c r="CT275" s="2" t="s">
        <v>188</v>
      </c>
      <c r="CU275" s="2" t="s">
        <v>205</v>
      </c>
      <c r="CW275" s="2" t="s">
        <v>206</v>
      </c>
      <c r="CY275" s="2" t="s">
        <v>207</v>
      </c>
      <c r="CZ275" s="2" t="s">
        <v>207</v>
      </c>
      <c r="DA275" s="2" t="s">
        <v>300</v>
      </c>
      <c r="DB275" s="2" t="s">
        <v>430</v>
      </c>
      <c r="DC275" s="2" t="s">
        <v>430</v>
      </c>
      <c r="DD275" s="2" t="s">
        <v>430</v>
      </c>
      <c r="DE275" s="2" t="s">
        <v>300</v>
      </c>
      <c r="DF275" s="2" t="s">
        <v>207</v>
      </c>
      <c r="DG275" s="2" t="s">
        <v>207</v>
      </c>
      <c r="DH275" s="2" t="s">
        <v>430</v>
      </c>
      <c r="DI275" s="2" t="s">
        <v>430</v>
      </c>
      <c r="DL275" s="2" t="s">
        <v>187</v>
      </c>
      <c r="DM275" s="2" t="s">
        <v>187</v>
      </c>
      <c r="DN275" s="2" t="s">
        <v>187</v>
      </c>
      <c r="DO275" s="2" t="s">
        <v>187</v>
      </c>
      <c r="DP275" s="2" t="s">
        <v>209</v>
      </c>
      <c r="DQ275" s="2" t="s">
        <v>467</v>
      </c>
      <c r="DR275" s="2" t="s">
        <v>1930</v>
      </c>
      <c r="DT275" s="2" t="s">
        <v>209</v>
      </c>
      <c r="DU275" s="2" t="s">
        <v>209</v>
      </c>
      <c r="DV275" s="2" t="s">
        <v>209</v>
      </c>
      <c r="DW275" s="2" t="s">
        <v>209</v>
      </c>
      <c r="DX275" s="2" t="s">
        <v>209</v>
      </c>
      <c r="DY275" s="2" t="s">
        <v>209</v>
      </c>
      <c r="DZ275" s="2" t="s">
        <v>209</v>
      </c>
      <c r="EA275" s="2" t="s">
        <v>209</v>
      </c>
      <c r="EB275" s="2" t="s">
        <v>209</v>
      </c>
      <c r="EC275" s="2" t="s">
        <v>188</v>
      </c>
      <c r="EF275" s="2" t="s">
        <v>189</v>
      </c>
      <c r="EJ275" s="2" t="s">
        <v>189</v>
      </c>
      <c r="EK275" s="2" t="s">
        <v>187</v>
      </c>
      <c r="EL275" s="2" t="s">
        <v>188</v>
      </c>
      <c r="EN275" s="2" t="s">
        <v>214</v>
      </c>
      <c r="EP275" s="2" t="s">
        <v>230</v>
      </c>
      <c r="ER275" s="2" t="s">
        <v>187</v>
      </c>
      <c r="ET275" s="2" t="s">
        <v>188</v>
      </c>
      <c r="EV275" s="2" t="s">
        <v>187</v>
      </c>
      <c r="EW275" s="2" t="s">
        <v>215</v>
      </c>
      <c r="EX275" s="2" t="s">
        <v>188</v>
      </c>
      <c r="EZ275" s="2" t="s">
        <v>188</v>
      </c>
      <c r="FC275" s="2" t="s">
        <v>263</v>
      </c>
      <c r="FD275" s="2" t="s">
        <v>188</v>
      </c>
      <c r="FH275" s="2" t="s">
        <v>188</v>
      </c>
      <c r="FJ275" s="2" t="s">
        <v>188</v>
      </c>
      <c r="FK275" s="2" t="s">
        <v>203</v>
      </c>
      <c r="FR275" s="2" t="s">
        <v>1931</v>
      </c>
      <c r="FT275" s="2" t="s">
        <v>219</v>
      </c>
      <c r="FU275" s="2" t="s">
        <v>219</v>
      </c>
      <c r="FV275" s="2" t="s">
        <v>219</v>
      </c>
      <c r="FW275" s="2" t="s">
        <v>219</v>
      </c>
      <c r="FZ275" s="4">
        <v>46040.503807870373</v>
      </c>
    </row>
    <row r="276" spans="1:182">
      <c r="A276" s="2" t="s">
        <v>1932</v>
      </c>
      <c r="D276" s="4">
        <v>46327.598391203705</v>
      </c>
      <c r="E276" s="2" t="s">
        <v>177</v>
      </c>
      <c r="F276" s="2" t="s">
        <v>293</v>
      </c>
      <c r="G276" s="2" t="s">
        <v>1649</v>
      </c>
      <c r="H276" s="2" t="s">
        <v>1659</v>
      </c>
      <c r="I276" s="2" t="s">
        <v>1933</v>
      </c>
      <c r="J276" s="2">
        <v>383125380</v>
      </c>
      <c r="K276" s="2" t="s">
        <v>1934</v>
      </c>
      <c r="L276" s="2" t="s">
        <v>182</v>
      </c>
      <c r="M276" s="2" t="s">
        <v>223</v>
      </c>
      <c r="N276" s="2">
        <v>1976</v>
      </c>
      <c r="O276" s="2" t="s">
        <v>224</v>
      </c>
      <c r="P276" s="2" t="s">
        <v>225</v>
      </c>
      <c r="Q276" s="2" t="s">
        <v>186</v>
      </c>
      <c r="R276" s="2" t="s">
        <v>188</v>
      </c>
      <c r="S276" s="2">
        <v>1995</v>
      </c>
      <c r="T276" s="2" t="s">
        <v>188</v>
      </c>
      <c r="U276" s="2" t="s">
        <v>188</v>
      </c>
      <c r="Y276" s="2">
        <v>980</v>
      </c>
      <c r="Z276" s="2">
        <v>1</v>
      </c>
      <c r="AA276" s="2">
        <v>980</v>
      </c>
      <c r="AB276" s="2">
        <v>950</v>
      </c>
      <c r="AC276" s="2">
        <v>850</v>
      </c>
      <c r="AD276" s="2">
        <v>970</v>
      </c>
      <c r="AE276" s="2">
        <v>120</v>
      </c>
      <c r="AF276" s="2" t="s">
        <v>188</v>
      </c>
      <c r="AG276" s="2" t="s">
        <v>187</v>
      </c>
      <c r="AH276" s="2" t="s">
        <v>187</v>
      </c>
      <c r="AI276" s="2" t="s">
        <v>346</v>
      </c>
      <c r="AJ276" s="2" t="s">
        <v>188</v>
      </c>
      <c r="AK276" s="2" t="s">
        <v>188</v>
      </c>
      <c r="AL276" s="2" t="s">
        <v>188</v>
      </c>
      <c r="AM276" s="2" t="s">
        <v>188</v>
      </c>
      <c r="AN276" s="2" t="s">
        <v>188</v>
      </c>
      <c r="AO276" s="2" t="s">
        <v>188</v>
      </c>
      <c r="AR276" s="2">
        <v>2</v>
      </c>
      <c r="AS276" s="2">
        <v>2</v>
      </c>
      <c r="AT276" s="2">
        <v>10</v>
      </c>
      <c r="AU276" s="2" t="s">
        <v>189</v>
      </c>
      <c r="AV276" s="2" t="s">
        <v>189</v>
      </c>
      <c r="AW276" s="2" t="s">
        <v>188</v>
      </c>
      <c r="AZ276" s="2" t="s">
        <v>190</v>
      </c>
      <c r="BB276" s="2" t="s">
        <v>260</v>
      </c>
      <c r="BC276" s="2" t="s">
        <v>192</v>
      </c>
      <c r="BD276" s="2" t="s">
        <v>187</v>
      </c>
      <c r="BE276" s="2" t="s">
        <v>187</v>
      </c>
      <c r="BF276" s="2" t="s">
        <v>193</v>
      </c>
      <c r="BG276" s="2" t="s">
        <v>194</v>
      </c>
      <c r="BH276" s="2" t="s">
        <v>297</v>
      </c>
      <c r="BI276" s="2" t="s">
        <v>196</v>
      </c>
      <c r="BL276" s="2" t="s">
        <v>197</v>
      </c>
      <c r="BM276" s="2" t="s">
        <v>198</v>
      </c>
      <c r="BN276" s="2" t="s">
        <v>199</v>
      </c>
      <c r="BO276" s="2" t="s">
        <v>188</v>
      </c>
      <c r="BQ276" s="2" t="s">
        <v>200</v>
      </c>
      <c r="BS276" s="2" t="s">
        <v>187</v>
      </c>
      <c r="BT276" s="2" t="s">
        <v>261</v>
      </c>
      <c r="BV276" s="2" t="s">
        <v>389</v>
      </c>
      <c r="BX276" s="2" t="s">
        <v>187</v>
      </c>
      <c r="BY276" s="2" t="s">
        <v>310</v>
      </c>
      <c r="BZ276" s="2" t="s">
        <v>203</v>
      </c>
      <c r="CE276" s="2">
        <v>10</v>
      </c>
      <c r="CF276" s="2">
        <v>970</v>
      </c>
      <c r="CK276" s="2">
        <v>100</v>
      </c>
      <c r="CO276" s="2">
        <v>100</v>
      </c>
      <c r="CR276" s="2" t="s">
        <v>204</v>
      </c>
      <c r="CT276" s="2" t="s">
        <v>188</v>
      </c>
      <c r="CU276" s="2" t="s">
        <v>205</v>
      </c>
      <c r="CW276" s="2" t="s">
        <v>206</v>
      </c>
      <c r="CY276" s="2" t="s">
        <v>207</v>
      </c>
      <c r="CZ276" s="2" t="s">
        <v>273</v>
      </c>
      <c r="DA276" s="2" t="s">
        <v>273</v>
      </c>
      <c r="DB276" s="2" t="s">
        <v>301</v>
      </c>
      <c r="DC276" s="2" t="s">
        <v>300</v>
      </c>
      <c r="DD276" s="2" t="s">
        <v>301</v>
      </c>
      <c r="DE276" s="2" t="s">
        <v>300</v>
      </c>
      <c r="DF276" s="2" t="s">
        <v>207</v>
      </c>
      <c r="DG276" s="2" t="s">
        <v>207</v>
      </c>
      <c r="DH276" s="2" t="s">
        <v>207</v>
      </c>
      <c r="DI276" s="2" t="s">
        <v>207</v>
      </c>
      <c r="DL276" s="2" t="s">
        <v>187</v>
      </c>
      <c r="DM276" s="2" t="s">
        <v>187</v>
      </c>
      <c r="DN276" s="2" t="s">
        <v>187</v>
      </c>
      <c r="DO276" s="2" t="s">
        <v>187</v>
      </c>
      <c r="DP276" s="2" t="s">
        <v>209</v>
      </c>
      <c r="DQ276" s="2" t="s">
        <v>210</v>
      </c>
      <c r="DS276" s="2" t="s">
        <v>209</v>
      </c>
      <c r="DT276" s="2" t="s">
        <v>209</v>
      </c>
      <c r="DU276" s="2" t="s">
        <v>209</v>
      </c>
      <c r="DV276" s="2" t="s">
        <v>209</v>
      </c>
      <c r="DW276" s="2" t="s">
        <v>209</v>
      </c>
      <c r="DX276" s="2" t="s">
        <v>209</v>
      </c>
      <c r="DY276" s="2" t="s">
        <v>203</v>
      </c>
      <c r="DZ276" s="2" t="s">
        <v>203</v>
      </c>
      <c r="EA276" s="2" t="s">
        <v>209</v>
      </c>
      <c r="EB276" s="2" t="s">
        <v>209</v>
      </c>
      <c r="EC276" s="2" t="s">
        <v>203</v>
      </c>
      <c r="EF276" s="2" t="s">
        <v>211</v>
      </c>
      <c r="EJ276" s="2" t="s">
        <v>238</v>
      </c>
      <c r="EK276" s="2" t="s">
        <v>187</v>
      </c>
      <c r="EL276" s="2" t="s">
        <v>188</v>
      </c>
      <c r="EN276" s="2" t="s">
        <v>214</v>
      </c>
      <c r="EP276" s="2" t="s">
        <v>230</v>
      </c>
      <c r="ER276" s="2" t="s">
        <v>187</v>
      </c>
      <c r="ET276" s="2" t="s">
        <v>188</v>
      </c>
      <c r="EV276" s="2" t="s">
        <v>187</v>
      </c>
      <c r="EW276" s="2" t="s">
        <v>189</v>
      </c>
      <c r="EX276" s="2" t="s">
        <v>188</v>
      </c>
      <c r="EZ276" s="2" t="s">
        <v>188</v>
      </c>
      <c r="FC276" s="2" t="s">
        <v>216</v>
      </c>
      <c r="FD276" s="2" t="s">
        <v>188</v>
      </c>
      <c r="FH276" s="2" t="s">
        <v>188</v>
      </c>
      <c r="FJ276" s="2" t="s">
        <v>188</v>
      </c>
      <c r="FK276" s="2" t="s">
        <v>209</v>
      </c>
      <c r="FL276" s="2" t="s">
        <v>319</v>
      </c>
      <c r="FN276" s="2" t="s">
        <v>282</v>
      </c>
      <c r="FT276" s="2" t="s">
        <v>219</v>
      </c>
      <c r="FU276" s="2" t="s">
        <v>233</v>
      </c>
      <c r="FV276" s="2" t="s">
        <v>233</v>
      </c>
      <c r="FW276" s="2" t="s">
        <v>233</v>
      </c>
      <c r="FZ276" s="4">
        <v>46039.869571759256</v>
      </c>
    </row>
    <row r="277" spans="1:182">
      <c r="A277" s="2" t="s">
        <v>1935</v>
      </c>
      <c r="D277" s="4">
        <v>46327.604421296295</v>
      </c>
      <c r="E277" s="2" t="s">
        <v>1936</v>
      </c>
      <c r="F277" s="2" t="s">
        <v>480</v>
      </c>
      <c r="G277" s="2" t="s">
        <v>1649</v>
      </c>
      <c r="H277" s="2" t="s">
        <v>1918</v>
      </c>
      <c r="I277" s="2" t="s">
        <v>1937</v>
      </c>
      <c r="J277" s="2">
        <v>357694180</v>
      </c>
      <c r="K277" s="2" t="s">
        <v>1938</v>
      </c>
      <c r="L277" s="2" t="s">
        <v>352</v>
      </c>
      <c r="M277" s="2" t="s">
        <v>223</v>
      </c>
      <c r="N277" s="2">
        <v>1983</v>
      </c>
      <c r="O277" s="2" t="s">
        <v>224</v>
      </c>
      <c r="P277" s="2" t="s">
        <v>225</v>
      </c>
      <c r="Q277" s="2" t="s">
        <v>186</v>
      </c>
      <c r="R277" s="2" t="s">
        <v>188</v>
      </c>
      <c r="S277" s="2">
        <v>28</v>
      </c>
      <c r="T277" s="2" t="s">
        <v>188</v>
      </c>
      <c r="U277" s="2" t="s">
        <v>188</v>
      </c>
      <c r="Y277" s="2">
        <v>2006</v>
      </c>
      <c r="Z277" s="2">
        <v>1</v>
      </c>
      <c r="AA277" s="2">
        <v>2006</v>
      </c>
      <c r="AB277" s="2">
        <v>2006</v>
      </c>
      <c r="AC277" s="2">
        <v>2006</v>
      </c>
      <c r="AD277" s="2">
        <v>2646</v>
      </c>
      <c r="AE277" s="2">
        <v>640</v>
      </c>
      <c r="AF277" s="2" t="s">
        <v>188</v>
      </c>
      <c r="AG277" s="2" t="s">
        <v>188</v>
      </c>
      <c r="AH277" s="2" t="s">
        <v>188</v>
      </c>
      <c r="AJ277" s="2" t="s">
        <v>188</v>
      </c>
      <c r="AK277" s="2" t="s">
        <v>188</v>
      </c>
      <c r="AL277" s="2" t="s">
        <v>188</v>
      </c>
      <c r="AM277" s="2" t="s">
        <v>188</v>
      </c>
      <c r="AN277" s="2" t="s">
        <v>188</v>
      </c>
      <c r="AO277" s="2" t="s">
        <v>188</v>
      </c>
      <c r="AR277" s="2">
        <v>5</v>
      </c>
      <c r="AS277" s="2">
        <v>3</v>
      </c>
      <c r="AT277" s="2">
        <v>27</v>
      </c>
      <c r="AU277" s="2" t="s">
        <v>238</v>
      </c>
      <c r="AV277" s="2" t="s">
        <v>238</v>
      </c>
      <c r="AW277" s="2" t="s">
        <v>188</v>
      </c>
      <c r="AZ277" s="2" t="s">
        <v>957</v>
      </c>
      <c r="BB277" s="2" t="s">
        <v>260</v>
      </c>
      <c r="BC277" s="2" t="s">
        <v>296</v>
      </c>
      <c r="BD277" s="2" t="s">
        <v>188</v>
      </c>
      <c r="BE277" s="2" t="s">
        <v>187</v>
      </c>
      <c r="BF277" s="2" t="s">
        <v>193</v>
      </c>
      <c r="BG277" s="2" t="s">
        <v>194</v>
      </c>
      <c r="BH277" s="2" t="s">
        <v>297</v>
      </c>
      <c r="BI277" s="2" t="s">
        <v>196</v>
      </c>
      <c r="BL277" s="2" t="s">
        <v>197</v>
      </c>
      <c r="BM277" s="2" t="s">
        <v>198</v>
      </c>
      <c r="BN277" s="2" t="s">
        <v>199</v>
      </c>
      <c r="BO277" s="2" t="s">
        <v>188</v>
      </c>
      <c r="BQ277" s="2" t="s">
        <v>227</v>
      </c>
      <c r="BS277" s="2" t="s">
        <v>187</v>
      </c>
      <c r="BT277" s="2" t="s">
        <v>611</v>
      </c>
      <c r="BV277" s="2" t="s">
        <v>630</v>
      </c>
      <c r="BX277" s="2" t="s">
        <v>187</v>
      </c>
      <c r="BY277" s="2" t="s">
        <v>1939</v>
      </c>
      <c r="BZ277" s="2" t="s">
        <v>209</v>
      </c>
      <c r="CA277" s="2" t="s">
        <v>1940</v>
      </c>
      <c r="CE277" s="2">
        <v>27</v>
      </c>
      <c r="CF277" s="2">
        <v>2646</v>
      </c>
      <c r="CM277" s="2">
        <v>100</v>
      </c>
      <c r="CO277" s="2">
        <v>100</v>
      </c>
      <c r="CR277" s="2" t="s">
        <v>343</v>
      </c>
      <c r="CT277" s="2" t="s">
        <v>188</v>
      </c>
      <c r="CU277" s="2" t="s">
        <v>249</v>
      </c>
      <c r="CW277" s="2" t="s">
        <v>206</v>
      </c>
      <c r="CY277" s="2" t="s">
        <v>207</v>
      </c>
      <c r="CZ277" s="2" t="s">
        <v>207</v>
      </c>
      <c r="DA277" s="2" t="s">
        <v>207</v>
      </c>
      <c r="DB277" s="2" t="s">
        <v>300</v>
      </c>
      <c r="DC277" s="2" t="s">
        <v>300</v>
      </c>
      <c r="DD277" s="2" t="s">
        <v>300</v>
      </c>
      <c r="DE277" s="2" t="s">
        <v>300</v>
      </c>
      <c r="DF277" s="2" t="s">
        <v>207</v>
      </c>
      <c r="DG277" s="2" t="s">
        <v>207</v>
      </c>
      <c r="DH277" s="2" t="s">
        <v>207</v>
      </c>
      <c r="DI277" s="2" t="s">
        <v>300</v>
      </c>
      <c r="DL277" s="2" t="s">
        <v>187</v>
      </c>
      <c r="DM277" s="2" t="s">
        <v>187</v>
      </c>
      <c r="DN277" s="2" t="s">
        <v>187</v>
      </c>
      <c r="DO277" s="2" t="s">
        <v>187</v>
      </c>
      <c r="DP277" s="2" t="s">
        <v>209</v>
      </c>
      <c r="DQ277" s="2" t="s">
        <v>467</v>
      </c>
      <c r="DR277" s="2" t="s">
        <v>1941</v>
      </c>
      <c r="DT277" s="2" t="s">
        <v>209</v>
      </c>
      <c r="DU277" s="2" t="s">
        <v>209</v>
      </c>
      <c r="DV277" s="2" t="s">
        <v>209</v>
      </c>
      <c r="DW277" s="2" t="s">
        <v>209</v>
      </c>
      <c r="DX277" s="2" t="s">
        <v>209</v>
      </c>
      <c r="DY277" s="2" t="s">
        <v>209</v>
      </c>
      <c r="DZ277" s="2" t="s">
        <v>209</v>
      </c>
      <c r="EA277" s="2" t="s">
        <v>203</v>
      </c>
      <c r="EB277" s="2" t="s">
        <v>209</v>
      </c>
      <c r="EC277" s="2" t="s">
        <v>203</v>
      </c>
      <c r="ED277" s="2" t="s">
        <v>203</v>
      </c>
      <c r="EF277" s="2" t="s">
        <v>189</v>
      </c>
      <c r="EG277" s="2" t="s">
        <v>1942</v>
      </c>
      <c r="EJ277" s="2" t="s">
        <v>238</v>
      </c>
      <c r="EK277" s="2" t="s">
        <v>187</v>
      </c>
      <c r="EL277" s="2" t="s">
        <v>188</v>
      </c>
      <c r="EN277" s="2" t="s">
        <v>214</v>
      </c>
      <c r="EP277" s="2" t="s">
        <v>230</v>
      </c>
      <c r="ER277" s="2" t="s">
        <v>187</v>
      </c>
      <c r="ET277" s="2" t="s">
        <v>188</v>
      </c>
      <c r="EV277" s="2" t="s">
        <v>187</v>
      </c>
      <c r="EW277" s="2" t="s">
        <v>215</v>
      </c>
      <c r="EX277" s="2" t="s">
        <v>188</v>
      </c>
      <c r="EZ277" s="2" t="s">
        <v>188</v>
      </c>
      <c r="FC277" s="2" t="s">
        <v>263</v>
      </c>
      <c r="FD277" s="2" t="s">
        <v>188</v>
      </c>
      <c r="FH277" s="2" t="s">
        <v>188</v>
      </c>
      <c r="FJ277" s="2" t="s">
        <v>188</v>
      </c>
      <c r="FK277" s="2" t="s">
        <v>188</v>
      </c>
      <c r="FN277" s="2" t="s">
        <v>488</v>
      </c>
      <c r="FR277" s="2" t="s">
        <v>1943</v>
      </c>
      <c r="FT277" s="2" t="s">
        <v>233</v>
      </c>
      <c r="FU277" s="2" t="s">
        <v>233</v>
      </c>
      <c r="FV277" s="2" t="s">
        <v>233</v>
      </c>
      <c r="FW277" s="2" t="s">
        <v>233</v>
      </c>
      <c r="FX277" s="2" t="s">
        <v>233</v>
      </c>
      <c r="FZ277" s="4">
        <v>46049.642962962964</v>
      </c>
    </row>
    <row r="278" spans="1:182">
      <c r="A278" s="2" t="s">
        <v>1944</v>
      </c>
      <c r="D278" s="4">
        <v>46327.604108796295</v>
      </c>
      <c r="E278" s="2" t="s">
        <v>1891</v>
      </c>
      <c r="F278" s="2" t="s">
        <v>398</v>
      </c>
      <c r="G278" s="2" t="s">
        <v>1649</v>
      </c>
      <c r="H278" s="2" t="s">
        <v>1113</v>
      </c>
      <c r="I278" s="2" t="s">
        <v>1945</v>
      </c>
      <c r="J278" s="2">
        <v>385435340</v>
      </c>
      <c r="K278" s="2" t="s">
        <v>1945</v>
      </c>
      <c r="L278" s="2" t="s">
        <v>182</v>
      </c>
      <c r="M278" s="2" t="s">
        <v>223</v>
      </c>
      <c r="N278" s="2">
        <v>1964</v>
      </c>
      <c r="O278" s="2" t="s">
        <v>224</v>
      </c>
      <c r="P278" s="2" t="s">
        <v>185</v>
      </c>
      <c r="Q278" s="2" t="s">
        <v>186</v>
      </c>
      <c r="R278" s="2" t="s">
        <v>188</v>
      </c>
      <c r="S278" s="2">
        <v>30</v>
      </c>
      <c r="T278" s="2" t="s">
        <v>188</v>
      </c>
      <c r="U278" s="2" t="s">
        <v>188</v>
      </c>
      <c r="Y278" s="2">
        <v>800</v>
      </c>
      <c r="Z278" s="2">
        <v>1</v>
      </c>
      <c r="AA278" s="2">
        <v>800</v>
      </c>
      <c r="AB278" s="2">
        <v>800</v>
      </c>
      <c r="AC278" s="2">
        <v>800</v>
      </c>
      <c r="AD278" s="2">
        <v>870</v>
      </c>
      <c r="AE278" s="2">
        <v>70</v>
      </c>
      <c r="AF278" s="2" t="s">
        <v>188</v>
      </c>
      <c r="AG278" s="2" t="s">
        <v>188</v>
      </c>
      <c r="AH278" s="2" t="s">
        <v>188</v>
      </c>
      <c r="AJ278" s="2" t="s">
        <v>188</v>
      </c>
      <c r="AK278" s="2" t="s">
        <v>188</v>
      </c>
      <c r="AL278" s="2" t="s">
        <v>188</v>
      </c>
      <c r="AM278" s="2" t="s">
        <v>188</v>
      </c>
      <c r="AN278" s="2" t="s">
        <v>188</v>
      </c>
      <c r="AO278" s="2" t="s">
        <v>188</v>
      </c>
      <c r="AR278" s="2">
        <v>2.4</v>
      </c>
      <c r="AS278" s="2">
        <v>3</v>
      </c>
      <c r="AT278" s="2">
        <v>9</v>
      </c>
      <c r="AU278" s="2" t="s">
        <v>238</v>
      </c>
      <c r="AV278" s="2" t="s">
        <v>238</v>
      </c>
      <c r="AW278" s="2" t="s">
        <v>188</v>
      </c>
      <c r="BC278" s="2" t="s">
        <v>192</v>
      </c>
      <c r="BD278" s="2" t="s">
        <v>187</v>
      </c>
      <c r="BE278" s="2" t="s">
        <v>188</v>
      </c>
      <c r="BL278" s="2" t="s">
        <v>197</v>
      </c>
      <c r="BM278" s="2" t="s">
        <v>198</v>
      </c>
      <c r="BN278" s="2" t="s">
        <v>199</v>
      </c>
      <c r="BO278" s="2" t="s">
        <v>188</v>
      </c>
      <c r="BQ278" s="2" t="s">
        <v>200</v>
      </c>
      <c r="BS278" s="2" t="s">
        <v>187</v>
      </c>
      <c r="BT278" s="2" t="s">
        <v>261</v>
      </c>
      <c r="BV278" s="2" t="s">
        <v>522</v>
      </c>
      <c r="BX278" s="2" t="s">
        <v>187</v>
      </c>
      <c r="BY278" s="2" t="s">
        <v>1946</v>
      </c>
      <c r="BZ278" s="2" t="s">
        <v>203</v>
      </c>
      <c r="CE278" s="2">
        <v>9</v>
      </c>
      <c r="CF278" s="2">
        <v>870</v>
      </c>
      <c r="CM278" s="2">
        <v>100</v>
      </c>
      <c r="CP278" s="2">
        <v>100</v>
      </c>
      <c r="CR278" s="2" t="s">
        <v>204</v>
      </c>
      <c r="CT278" s="2" t="s">
        <v>188</v>
      </c>
      <c r="CU278" s="2" t="s">
        <v>205</v>
      </c>
      <c r="CW278" s="2" t="s">
        <v>206</v>
      </c>
      <c r="CY278" s="2" t="s">
        <v>207</v>
      </c>
      <c r="CZ278" s="2" t="s">
        <v>207</v>
      </c>
      <c r="DA278" s="2" t="s">
        <v>300</v>
      </c>
      <c r="DB278" s="2" t="s">
        <v>207</v>
      </c>
      <c r="DC278" s="2" t="s">
        <v>300</v>
      </c>
      <c r="DD278" s="2" t="s">
        <v>300</v>
      </c>
      <c r="DE278" s="2" t="s">
        <v>300</v>
      </c>
      <c r="DF278" s="2" t="s">
        <v>207</v>
      </c>
      <c r="DG278" s="2" t="s">
        <v>207</v>
      </c>
      <c r="DH278" s="2" t="s">
        <v>207</v>
      </c>
      <c r="DI278" s="2" t="s">
        <v>207</v>
      </c>
      <c r="DL278" s="2" t="s">
        <v>187</v>
      </c>
      <c r="DM278" s="2" t="s">
        <v>187</v>
      </c>
      <c r="DN278" s="2" t="s">
        <v>187</v>
      </c>
      <c r="DO278" s="2" t="s">
        <v>187</v>
      </c>
      <c r="DP278" s="2" t="s">
        <v>209</v>
      </c>
      <c r="DQ278" s="2" t="s">
        <v>467</v>
      </c>
      <c r="DR278" s="2" t="s">
        <v>1947</v>
      </c>
      <c r="DT278" s="2" t="s">
        <v>209</v>
      </c>
      <c r="DU278" s="2" t="s">
        <v>209</v>
      </c>
      <c r="DV278" s="2" t="s">
        <v>209</v>
      </c>
      <c r="DW278" s="2" t="s">
        <v>209</v>
      </c>
      <c r="DX278" s="2" t="s">
        <v>209</v>
      </c>
      <c r="DY278" s="2" t="s">
        <v>209</v>
      </c>
      <c r="DZ278" s="2" t="s">
        <v>203</v>
      </c>
      <c r="EA278" s="2" t="s">
        <v>209</v>
      </c>
      <c r="EB278" s="2" t="s">
        <v>209</v>
      </c>
      <c r="EC278" s="2" t="s">
        <v>209</v>
      </c>
      <c r="ED278" s="2" t="s">
        <v>209</v>
      </c>
      <c r="EE278" s="2" t="s">
        <v>1948</v>
      </c>
      <c r="EF278" s="2" t="s">
        <v>189</v>
      </c>
      <c r="EG278" s="2" t="s">
        <v>1359</v>
      </c>
      <c r="EJ278" s="2" t="s">
        <v>189</v>
      </c>
      <c r="EK278" s="2" t="s">
        <v>187</v>
      </c>
      <c r="EL278" s="2" t="s">
        <v>187</v>
      </c>
      <c r="EM278" s="2" t="s">
        <v>1582</v>
      </c>
      <c r="EN278" s="2" t="s">
        <v>214</v>
      </c>
      <c r="EP278" s="2" t="s">
        <v>230</v>
      </c>
      <c r="ER278" s="2" t="s">
        <v>187</v>
      </c>
      <c r="ET278" s="2" t="s">
        <v>188</v>
      </c>
      <c r="EV278" s="2" t="s">
        <v>187</v>
      </c>
      <c r="EW278" s="2" t="s">
        <v>189</v>
      </c>
      <c r="EX278" s="2" t="s">
        <v>187</v>
      </c>
      <c r="EY278" s="2" t="s">
        <v>189</v>
      </c>
      <c r="EZ278" s="2" t="s">
        <v>188</v>
      </c>
      <c r="FC278" s="2" t="s">
        <v>216</v>
      </c>
      <c r="FD278" s="2" t="s">
        <v>188</v>
      </c>
      <c r="FH278" s="2" t="s">
        <v>188</v>
      </c>
      <c r="FJ278" s="2" t="s">
        <v>188</v>
      </c>
      <c r="FK278" s="2" t="s">
        <v>188</v>
      </c>
      <c r="FR278" s="2" t="s">
        <v>1949</v>
      </c>
      <c r="FT278" s="2" t="s">
        <v>233</v>
      </c>
      <c r="FU278" s="2" t="s">
        <v>233</v>
      </c>
      <c r="FV278" s="2" t="s">
        <v>233</v>
      </c>
      <c r="FW278" s="2" t="s">
        <v>233</v>
      </c>
      <c r="FX278" s="2" t="s">
        <v>233</v>
      </c>
      <c r="FY278" s="2" t="s">
        <v>1950</v>
      </c>
      <c r="FZ278" s="4">
        <v>46039.077164351853</v>
      </c>
    </row>
    <row r="279" spans="1:182">
      <c r="A279" s="2" t="s">
        <v>1951</v>
      </c>
      <c r="D279" s="4">
        <v>46327.598275462966</v>
      </c>
      <c r="E279" s="2" t="s">
        <v>1952</v>
      </c>
      <c r="F279" s="2" t="s">
        <v>590</v>
      </c>
      <c r="G279" s="2" t="s">
        <v>1649</v>
      </c>
      <c r="H279" s="2" t="s">
        <v>1659</v>
      </c>
      <c r="I279" s="2" t="s">
        <v>1953</v>
      </c>
      <c r="J279" s="2">
        <v>985427186</v>
      </c>
      <c r="K279" s="2" t="s">
        <v>1954</v>
      </c>
      <c r="L279" s="2" t="s">
        <v>182</v>
      </c>
      <c r="M279" s="2" t="s">
        <v>223</v>
      </c>
      <c r="N279" s="2">
        <v>1971</v>
      </c>
      <c r="O279" s="2" t="s">
        <v>224</v>
      </c>
      <c r="P279" s="2" t="s">
        <v>225</v>
      </c>
      <c r="Q279" s="2" t="s">
        <v>186</v>
      </c>
      <c r="R279" s="2" t="s">
        <v>188</v>
      </c>
      <c r="S279" s="2">
        <v>30</v>
      </c>
      <c r="T279" s="2" t="s">
        <v>188</v>
      </c>
      <c r="U279" s="2" t="s">
        <v>188</v>
      </c>
      <c r="Y279" s="2">
        <v>580</v>
      </c>
      <c r="Z279" s="2">
        <v>1</v>
      </c>
      <c r="AA279" s="2">
        <v>580</v>
      </c>
      <c r="AB279" s="2">
        <v>580</v>
      </c>
      <c r="AC279" s="2">
        <v>580</v>
      </c>
      <c r="AD279" s="2">
        <v>620</v>
      </c>
      <c r="AE279" s="2">
        <v>40</v>
      </c>
      <c r="AF279" s="2" t="s">
        <v>188</v>
      </c>
      <c r="AG279" s="2" t="s">
        <v>188</v>
      </c>
      <c r="AH279" s="2" t="s">
        <v>188</v>
      </c>
      <c r="AJ279" s="2" t="s">
        <v>188</v>
      </c>
      <c r="AK279" s="2" t="s">
        <v>188</v>
      </c>
      <c r="AL279" s="2" t="s">
        <v>188</v>
      </c>
      <c r="AM279" s="2" t="s">
        <v>188</v>
      </c>
      <c r="AN279" s="2" t="s">
        <v>188</v>
      </c>
      <c r="AO279" s="2" t="s">
        <v>188</v>
      </c>
      <c r="AR279" s="2">
        <v>1.2</v>
      </c>
      <c r="AS279" s="2">
        <v>3</v>
      </c>
      <c r="AT279" s="2">
        <v>4.7</v>
      </c>
      <c r="AU279" s="2" t="s">
        <v>238</v>
      </c>
      <c r="AV279" s="2" t="s">
        <v>189</v>
      </c>
      <c r="AW279" s="2" t="s">
        <v>188</v>
      </c>
      <c r="AZ279" s="2" t="s">
        <v>190</v>
      </c>
      <c r="BB279" s="2" t="s">
        <v>260</v>
      </c>
      <c r="BC279" s="2" t="s">
        <v>296</v>
      </c>
      <c r="BD279" s="2" t="s">
        <v>188</v>
      </c>
      <c r="BE279" s="2" t="s">
        <v>187</v>
      </c>
      <c r="BF279" s="2" t="s">
        <v>193</v>
      </c>
      <c r="BG279" s="2" t="s">
        <v>194</v>
      </c>
      <c r="BH279" s="2" t="s">
        <v>297</v>
      </c>
      <c r="BI279" s="2" t="s">
        <v>196</v>
      </c>
      <c r="BL279" s="2" t="s">
        <v>197</v>
      </c>
      <c r="BM279" s="2" t="s">
        <v>507</v>
      </c>
      <c r="BN279" s="2" t="s">
        <v>199</v>
      </c>
      <c r="BO279" s="2" t="s">
        <v>188</v>
      </c>
      <c r="BQ279" s="2" t="s">
        <v>227</v>
      </c>
      <c r="BS279" s="2" t="s">
        <v>187</v>
      </c>
      <c r="BT279" s="2" t="s">
        <v>594</v>
      </c>
      <c r="BV279" s="2" t="s">
        <v>242</v>
      </c>
      <c r="BX279" s="2" t="s">
        <v>188</v>
      </c>
      <c r="BZ279" s="2" t="s">
        <v>209</v>
      </c>
      <c r="CA279" s="2" t="s">
        <v>1955</v>
      </c>
      <c r="CE279" s="2">
        <v>4.7</v>
      </c>
      <c r="CF279" s="2">
        <v>620</v>
      </c>
      <c r="CM279" s="2">
        <v>100</v>
      </c>
      <c r="CQ279" s="2">
        <v>100</v>
      </c>
      <c r="CR279" s="2" t="s">
        <v>204</v>
      </c>
      <c r="CT279" s="2" t="s">
        <v>188</v>
      </c>
      <c r="CU279" s="2" t="s">
        <v>205</v>
      </c>
      <c r="CW279" s="2" t="s">
        <v>206</v>
      </c>
      <c r="CY279" s="2" t="s">
        <v>273</v>
      </c>
      <c r="CZ279" s="2" t="s">
        <v>300</v>
      </c>
      <c r="DA279" s="2" t="s">
        <v>300</v>
      </c>
      <c r="DB279" s="2" t="s">
        <v>300</v>
      </c>
      <c r="DC279" s="2" t="s">
        <v>273</v>
      </c>
      <c r="DD279" s="2" t="s">
        <v>300</v>
      </c>
      <c r="DE279" s="2" t="s">
        <v>273</v>
      </c>
      <c r="DF279" s="2" t="s">
        <v>273</v>
      </c>
      <c r="DG279" s="2" t="s">
        <v>273</v>
      </c>
      <c r="DH279" s="2" t="s">
        <v>273</v>
      </c>
      <c r="DI279" s="2" t="s">
        <v>273</v>
      </c>
      <c r="DL279" s="2" t="s">
        <v>187</v>
      </c>
      <c r="DM279" s="2" t="s">
        <v>187</v>
      </c>
      <c r="DN279" s="2" t="s">
        <v>187</v>
      </c>
      <c r="DO279" s="2" t="s">
        <v>187</v>
      </c>
      <c r="DP279" s="2" t="s">
        <v>209</v>
      </c>
      <c r="DQ279" s="2" t="s">
        <v>467</v>
      </c>
      <c r="DR279" s="2" t="s">
        <v>1677</v>
      </c>
      <c r="DT279" s="2" t="s">
        <v>209</v>
      </c>
      <c r="DU279" s="2" t="s">
        <v>209</v>
      </c>
      <c r="DV279" s="2" t="s">
        <v>209</v>
      </c>
      <c r="DW279" s="2" t="s">
        <v>209</v>
      </c>
      <c r="DX279" s="2" t="s">
        <v>209</v>
      </c>
      <c r="DY279" s="2" t="s">
        <v>209</v>
      </c>
      <c r="DZ279" s="2" t="s">
        <v>209</v>
      </c>
      <c r="EA279" s="2" t="s">
        <v>209</v>
      </c>
      <c r="EB279" s="2" t="s">
        <v>209</v>
      </c>
      <c r="EC279" s="2" t="s">
        <v>188</v>
      </c>
      <c r="EF279" s="2" t="s">
        <v>211</v>
      </c>
      <c r="EG279" s="2" t="s">
        <v>985</v>
      </c>
      <c r="EJ279" s="2" t="s">
        <v>238</v>
      </c>
      <c r="EK279" s="2" t="s">
        <v>188</v>
      </c>
      <c r="EL279" s="2" t="s">
        <v>188</v>
      </c>
      <c r="EN279" s="2" t="s">
        <v>255</v>
      </c>
      <c r="EP279" s="2" t="s">
        <v>230</v>
      </c>
      <c r="ER279" s="2" t="s">
        <v>188</v>
      </c>
      <c r="ET279" s="2" t="s">
        <v>188</v>
      </c>
      <c r="EV279" s="2" t="s">
        <v>188</v>
      </c>
      <c r="EX279" s="2" t="s">
        <v>188</v>
      </c>
      <c r="EZ279" s="2" t="s">
        <v>188</v>
      </c>
      <c r="FC279" s="2" t="s">
        <v>263</v>
      </c>
      <c r="FD279" s="2" t="s">
        <v>188</v>
      </c>
      <c r="FH279" s="2" t="s">
        <v>188</v>
      </c>
      <c r="FJ279" s="2" t="s">
        <v>188</v>
      </c>
      <c r="FK279" s="2" t="s">
        <v>203</v>
      </c>
      <c r="FN279" s="2" t="s">
        <v>432</v>
      </c>
      <c r="FR279" s="2" t="s">
        <v>976</v>
      </c>
      <c r="FT279" s="2" t="s">
        <v>490</v>
      </c>
      <c r="FU279" s="2" t="s">
        <v>233</v>
      </c>
      <c r="FV279" s="2" t="s">
        <v>233</v>
      </c>
      <c r="FW279" s="2" t="s">
        <v>233</v>
      </c>
      <c r="FZ279" s="4">
        <v>46047.617337962962</v>
      </c>
    </row>
    <row r="280" spans="1:182">
      <c r="A280" s="2" t="s">
        <v>1956</v>
      </c>
      <c r="D280" s="4">
        <v>46327.610717592594</v>
      </c>
      <c r="E280" s="2" t="s">
        <v>177</v>
      </c>
      <c r="F280" s="2" t="s">
        <v>178</v>
      </c>
      <c r="G280" s="2" t="s">
        <v>1649</v>
      </c>
      <c r="H280" s="2" t="s">
        <v>1659</v>
      </c>
      <c r="I280" s="2" t="s">
        <v>1957</v>
      </c>
      <c r="J280" s="2">
        <v>364703628</v>
      </c>
      <c r="K280" s="2" t="s">
        <v>1957</v>
      </c>
      <c r="L280" s="2" t="s">
        <v>182</v>
      </c>
      <c r="M280" s="2" t="s">
        <v>183</v>
      </c>
      <c r="N280" s="2">
        <v>1957</v>
      </c>
      <c r="O280" s="2" t="s">
        <v>224</v>
      </c>
      <c r="P280" s="2" t="s">
        <v>185</v>
      </c>
      <c r="Q280" s="2" t="s">
        <v>186</v>
      </c>
      <c r="R280" s="2" t="s">
        <v>188</v>
      </c>
      <c r="S280" s="2">
        <v>31</v>
      </c>
      <c r="T280" s="2" t="s">
        <v>188</v>
      </c>
      <c r="U280" s="2" t="s">
        <v>188</v>
      </c>
      <c r="Y280" s="2">
        <v>404</v>
      </c>
      <c r="Z280" s="2">
        <v>0.94059999999999999</v>
      </c>
      <c r="AA280" s="2">
        <v>380</v>
      </c>
      <c r="AB280" s="2">
        <v>380</v>
      </c>
      <c r="AC280" s="2">
        <v>380</v>
      </c>
      <c r="AD280" s="2">
        <v>480</v>
      </c>
      <c r="AE280" s="2">
        <v>100</v>
      </c>
      <c r="AF280" s="2" t="s">
        <v>188</v>
      </c>
      <c r="AG280" s="2" t="s">
        <v>188</v>
      </c>
      <c r="AH280" s="2" t="s">
        <v>188</v>
      </c>
      <c r="AJ280" s="2" t="s">
        <v>188</v>
      </c>
      <c r="AK280" s="2" t="s">
        <v>188</v>
      </c>
      <c r="AL280" s="2" t="s">
        <v>187</v>
      </c>
      <c r="AN280" s="2" t="s">
        <v>188</v>
      </c>
      <c r="AO280" s="2" t="s">
        <v>188</v>
      </c>
      <c r="AR280" s="2">
        <v>1.8</v>
      </c>
      <c r="AS280" s="2">
        <v>3</v>
      </c>
      <c r="AT280" s="2">
        <v>4.8</v>
      </c>
      <c r="AU280" s="2" t="s">
        <v>212</v>
      </c>
      <c r="AV280" s="2" t="s">
        <v>212</v>
      </c>
      <c r="AW280" s="2" t="s">
        <v>188</v>
      </c>
      <c r="AZ280" s="2" t="s">
        <v>190</v>
      </c>
      <c r="BB280" s="2" t="s">
        <v>191</v>
      </c>
      <c r="BC280" s="2" t="s">
        <v>192</v>
      </c>
      <c r="BD280" s="2" t="s">
        <v>187</v>
      </c>
      <c r="BE280" s="2" t="s">
        <v>187</v>
      </c>
      <c r="BF280" s="2" t="s">
        <v>193</v>
      </c>
      <c r="BG280" s="2" t="s">
        <v>194</v>
      </c>
      <c r="BH280" s="2" t="s">
        <v>297</v>
      </c>
      <c r="BI280" s="2" t="s">
        <v>196</v>
      </c>
      <c r="BL280" s="2" t="s">
        <v>197</v>
      </c>
      <c r="BM280" s="2" t="s">
        <v>198</v>
      </c>
      <c r="BN280" s="2" t="s">
        <v>199</v>
      </c>
      <c r="BO280" s="2" t="s">
        <v>188</v>
      </c>
      <c r="BQ280" s="2" t="s">
        <v>227</v>
      </c>
      <c r="BS280" s="2" t="s">
        <v>187</v>
      </c>
      <c r="BT280" s="2" t="s">
        <v>1325</v>
      </c>
      <c r="BV280" s="2" t="s">
        <v>1527</v>
      </c>
      <c r="BX280" s="2" t="s">
        <v>188</v>
      </c>
      <c r="BZ280" s="2" t="s">
        <v>188</v>
      </c>
      <c r="CE280" s="2">
        <v>4.8</v>
      </c>
      <c r="CF280" s="2">
        <v>480</v>
      </c>
      <c r="CM280" s="2">
        <v>100</v>
      </c>
      <c r="CP280" s="2">
        <v>100</v>
      </c>
      <c r="CR280" s="2" t="s">
        <v>204</v>
      </c>
      <c r="CT280" s="2" t="s">
        <v>188</v>
      </c>
      <c r="CU280" s="2" t="s">
        <v>205</v>
      </c>
      <c r="CW280" s="2" t="s">
        <v>206</v>
      </c>
      <c r="CY280" s="2" t="s">
        <v>207</v>
      </c>
      <c r="CZ280" s="2" t="s">
        <v>207</v>
      </c>
      <c r="DA280" s="2" t="s">
        <v>208</v>
      </c>
      <c r="DB280" s="2" t="s">
        <v>208</v>
      </c>
      <c r="DC280" s="2" t="s">
        <v>208</v>
      </c>
      <c r="DD280" s="2" t="s">
        <v>208</v>
      </c>
      <c r="DE280" s="2" t="s">
        <v>208</v>
      </c>
      <c r="DF280" s="2" t="s">
        <v>208</v>
      </c>
      <c r="DG280" s="2" t="s">
        <v>208</v>
      </c>
      <c r="DH280" s="2" t="s">
        <v>208</v>
      </c>
      <c r="DI280" s="2" t="s">
        <v>208</v>
      </c>
      <c r="DL280" s="2" t="s">
        <v>187</v>
      </c>
      <c r="DM280" s="2" t="s">
        <v>187</v>
      </c>
      <c r="DN280" s="2" t="s">
        <v>187</v>
      </c>
      <c r="DO280" s="2" t="s">
        <v>187</v>
      </c>
      <c r="DP280" s="2" t="s">
        <v>209</v>
      </c>
      <c r="DQ280" s="2" t="s">
        <v>210</v>
      </c>
      <c r="DT280" s="2" t="s">
        <v>209</v>
      </c>
      <c r="DU280" s="2" t="s">
        <v>209</v>
      </c>
      <c r="DV280" s="2" t="s">
        <v>209</v>
      </c>
      <c r="DW280" s="2" t="s">
        <v>209</v>
      </c>
      <c r="DX280" s="2" t="s">
        <v>209</v>
      </c>
      <c r="DY280" s="2" t="s">
        <v>209</v>
      </c>
      <c r="DZ280" s="2" t="s">
        <v>209</v>
      </c>
      <c r="EA280" s="2" t="s">
        <v>209</v>
      </c>
      <c r="EB280" s="2" t="s">
        <v>209</v>
      </c>
      <c r="EF280" s="2" t="s">
        <v>211</v>
      </c>
      <c r="EJ280" s="2" t="s">
        <v>212</v>
      </c>
      <c r="EK280" s="2" t="s">
        <v>187</v>
      </c>
      <c r="EL280" s="2" t="s">
        <v>188</v>
      </c>
      <c r="EN280" s="2" t="s">
        <v>214</v>
      </c>
      <c r="EP280" s="2" t="s">
        <v>230</v>
      </c>
      <c r="ER280" s="2" t="s">
        <v>187</v>
      </c>
      <c r="ET280" s="2" t="s">
        <v>188</v>
      </c>
      <c r="EV280" s="2" t="s">
        <v>187</v>
      </c>
      <c r="EW280" s="2" t="s">
        <v>1183</v>
      </c>
      <c r="EX280" s="2" t="s">
        <v>187</v>
      </c>
      <c r="EY280" s="2" t="s">
        <v>1183</v>
      </c>
      <c r="FC280" s="2" t="s">
        <v>216</v>
      </c>
      <c r="FD280" s="2" t="s">
        <v>188</v>
      </c>
      <c r="FH280" s="2" t="s">
        <v>188</v>
      </c>
      <c r="FJ280" s="2" t="s">
        <v>187</v>
      </c>
      <c r="FK280" s="2" t="s">
        <v>209</v>
      </c>
      <c r="FL280" s="2" t="s">
        <v>1958</v>
      </c>
      <c r="FN280" s="2" t="s">
        <v>313</v>
      </c>
      <c r="FT280" s="2" t="s">
        <v>219</v>
      </c>
      <c r="FU280" s="2" t="s">
        <v>219</v>
      </c>
      <c r="FV280" s="2" t="s">
        <v>219</v>
      </c>
      <c r="FW280" s="2" t="s">
        <v>219</v>
      </c>
      <c r="FZ280" s="4">
        <v>46040.662430555552</v>
      </c>
    </row>
    <row r="281" spans="1:182">
      <c r="A281" s="2" t="s">
        <v>1959</v>
      </c>
      <c r="D281" s="4">
        <v>46327.604756944442</v>
      </c>
      <c r="E281" s="2" t="s">
        <v>1960</v>
      </c>
      <c r="F281" s="2" t="s">
        <v>425</v>
      </c>
      <c r="G281" s="2" t="s">
        <v>1649</v>
      </c>
      <c r="H281" s="2" t="s">
        <v>1668</v>
      </c>
      <c r="I281" s="2" t="s">
        <v>1961</v>
      </c>
      <c r="J281" s="2">
        <v>344450325</v>
      </c>
      <c r="K281" s="2" t="s">
        <v>1961</v>
      </c>
      <c r="L281" s="2" t="s">
        <v>182</v>
      </c>
      <c r="M281" s="2" t="s">
        <v>183</v>
      </c>
      <c r="N281" s="2">
        <v>1993</v>
      </c>
      <c r="O281" s="2" t="s">
        <v>834</v>
      </c>
      <c r="P281" s="2" t="s">
        <v>185</v>
      </c>
      <c r="Q281" s="2" t="s">
        <v>270</v>
      </c>
      <c r="R281" s="2" t="s">
        <v>188</v>
      </c>
      <c r="S281" s="2">
        <v>30</v>
      </c>
      <c r="T281" s="2" t="s">
        <v>188</v>
      </c>
      <c r="U281" s="2" t="s">
        <v>188</v>
      </c>
      <c r="Y281" s="2">
        <v>270</v>
      </c>
      <c r="Z281" s="2">
        <v>0.96299999999999997</v>
      </c>
      <c r="AA281" s="2">
        <v>260</v>
      </c>
      <c r="AB281" s="2">
        <v>235</v>
      </c>
      <c r="AC281" s="2">
        <v>235</v>
      </c>
      <c r="AD281" s="2">
        <v>260</v>
      </c>
      <c r="AE281" s="2">
        <v>25</v>
      </c>
      <c r="AF281" s="2" t="s">
        <v>187</v>
      </c>
      <c r="AG281" s="2" t="s">
        <v>188</v>
      </c>
      <c r="AH281" s="2" t="s">
        <v>188</v>
      </c>
      <c r="AJ281" s="2" t="s">
        <v>188</v>
      </c>
      <c r="AK281" s="2" t="s">
        <v>187</v>
      </c>
      <c r="AL281" s="2" t="s">
        <v>188</v>
      </c>
      <c r="AM281" s="2" t="s">
        <v>187</v>
      </c>
      <c r="AN281" s="2" t="s">
        <v>188</v>
      </c>
      <c r="AO281" s="2" t="s">
        <v>188</v>
      </c>
      <c r="AR281" s="2">
        <v>1</v>
      </c>
      <c r="AS281" s="2">
        <v>3</v>
      </c>
      <c r="AT281" s="2">
        <v>2.6</v>
      </c>
      <c r="AU281" s="2" t="s">
        <v>238</v>
      </c>
      <c r="AV281" s="2" t="s">
        <v>203</v>
      </c>
      <c r="AW281" s="2" t="s">
        <v>188</v>
      </c>
      <c r="AZ281" s="2" t="s">
        <v>357</v>
      </c>
      <c r="BB281" s="2" t="s">
        <v>260</v>
      </c>
      <c r="BC281" s="2" t="s">
        <v>192</v>
      </c>
      <c r="BD281" s="2" t="s">
        <v>188</v>
      </c>
      <c r="BE281" s="2" t="s">
        <v>188</v>
      </c>
      <c r="BL281" s="2" t="s">
        <v>240</v>
      </c>
      <c r="BO281" s="2" t="s">
        <v>188</v>
      </c>
      <c r="BQ281" s="2" t="s">
        <v>200</v>
      </c>
      <c r="BS281" s="2" t="s">
        <v>187</v>
      </c>
      <c r="BT281" s="2" t="s">
        <v>261</v>
      </c>
      <c r="BV281" s="2" t="s">
        <v>401</v>
      </c>
      <c r="BX281" s="2" t="s">
        <v>188</v>
      </c>
      <c r="BZ281" s="2" t="s">
        <v>203</v>
      </c>
      <c r="CE281" s="2">
        <v>2.6</v>
      </c>
      <c r="CF281" s="2">
        <v>260</v>
      </c>
      <c r="CM281" s="2">
        <v>100</v>
      </c>
      <c r="CP281" s="2">
        <v>100</v>
      </c>
      <c r="CR281" s="2" t="s">
        <v>204</v>
      </c>
      <c r="CT281" s="2" t="s">
        <v>188</v>
      </c>
      <c r="CU281" s="2" t="s">
        <v>205</v>
      </c>
      <c r="CW281" s="2" t="s">
        <v>206</v>
      </c>
      <c r="CY281" s="2" t="s">
        <v>207</v>
      </c>
      <c r="CZ281" s="2" t="s">
        <v>207</v>
      </c>
      <c r="DA281" s="2" t="s">
        <v>300</v>
      </c>
      <c r="DB281" s="2" t="s">
        <v>300</v>
      </c>
      <c r="DC281" s="2" t="s">
        <v>300</v>
      </c>
      <c r="DD281" s="2" t="s">
        <v>430</v>
      </c>
      <c r="DE281" s="2" t="s">
        <v>300</v>
      </c>
      <c r="DF281" s="2" t="s">
        <v>207</v>
      </c>
      <c r="DG281" s="2" t="s">
        <v>207</v>
      </c>
      <c r="DH281" s="2" t="s">
        <v>300</v>
      </c>
      <c r="DI281" s="2" t="s">
        <v>300</v>
      </c>
      <c r="DL281" s="2" t="s">
        <v>187</v>
      </c>
      <c r="DM281" s="2" t="s">
        <v>187</v>
      </c>
      <c r="DN281" s="2" t="s">
        <v>187</v>
      </c>
      <c r="DO281" s="2" t="s">
        <v>187</v>
      </c>
      <c r="DP281" s="2" t="s">
        <v>209</v>
      </c>
      <c r="DQ281" s="2" t="s">
        <v>467</v>
      </c>
      <c r="DR281" s="2" t="s">
        <v>1962</v>
      </c>
      <c r="DT281" s="2" t="s">
        <v>209</v>
      </c>
      <c r="DU281" s="2" t="s">
        <v>209</v>
      </c>
      <c r="DV281" s="2" t="s">
        <v>209</v>
      </c>
      <c r="DW281" s="2" t="s">
        <v>209</v>
      </c>
      <c r="DX281" s="2" t="s">
        <v>209</v>
      </c>
      <c r="DY281" s="2" t="s">
        <v>209</v>
      </c>
      <c r="DZ281" s="2" t="s">
        <v>203</v>
      </c>
      <c r="EA281" s="2" t="s">
        <v>209</v>
      </c>
      <c r="EB281" s="2" t="s">
        <v>209</v>
      </c>
      <c r="EC281" s="2" t="s">
        <v>188</v>
      </c>
      <c r="EF281" s="2" t="s">
        <v>189</v>
      </c>
      <c r="EJ281" s="2" t="s">
        <v>238</v>
      </c>
      <c r="EK281" s="2" t="s">
        <v>187</v>
      </c>
      <c r="EL281" s="2" t="s">
        <v>188</v>
      </c>
      <c r="EN281" s="2" t="s">
        <v>214</v>
      </c>
      <c r="EP281" s="2" t="s">
        <v>230</v>
      </c>
      <c r="ER281" s="2" t="s">
        <v>187</v>
      </c>
      <c r="ET281" s="2" t="s">
        <v>188</v>
      </c>
      <c r="EV281" s="2" t="s">
        <v>187</v>
      </c>
      <c r="EW281" s="2" t="s">
        <v>215</v>
      </c>
      <c r="EX281" s="2" t="s">
        <v>188</v>
      </c>
      <c r="EZ281" s="2" t="s">
        <v>188</v>
      </c>
      <c r="FC281" s="2" t="s">
        <v>263</v>
      </c>
      <c r="FD281" s="2" t="s">
        <v>188</v>
      </c>
      <c r="FH281" s="2" t="s">
        <v>188</v>
      </c>
      <c r="FJ281" s="2" t="s">
        <v>188</v>
      </c>
      <c r="FK281" s="2" t="s">
        <v>203</v>
      </c>
      <c r="FR281" s="2" t="s">
        <v>471</v>
      </c>
      <c r="FT281" s="2" t="s">
        <v>219</v>
      </c>
      <c r="FU281" s="2" t="s">
        <v>219</v>
      </c>
      <c r="FV281" s="2" t="s">
        <v>219</v>
      </c>
      <c r="FW281" s="2" t="s">
        <v>233</v>
      </c>
      <c r="FZ281" s="4">
        <v>46040.389675925922</v>
      </c>
    </row>
    <row r="282" spans="1:182">
      <c r="A282" s="2" t="s">
        <v>1963</v>
      </c>
      <c r="D282" s="6">
        <v>46034.366770833331</v>
      </c>
      <c r="E282" s="2" t="s">
        <v>1964</v>
      </c>
      <c r="F282" s="2" t="s">
        <v>425</v>
      </c>
      <c r="G282" s="2" t="s">
        <v>1965</v>
      </c>
      <c r="H282" s="2" t="s">
        <v>1966</v>
      </c>
      <c r="I282" s="2" t="s">
        <v>1967</v>
      </c>
      <c r="J282" s="2">
        <v>368073771</v>
      </c>
      <c r="K282" s="2" t="s">
        <v>1967</v>
      </c>
      <c r="L282" s="2" t="s">
        <v>182</v>
      </c>
      <c r="M282" s="2" t="s">
        <v>183</v>
      </c>
      <c r="N282" s="2">
        <v>1976</v>
      </c>
      <c r="O282" s="2" t="s">
        <v>224</v>
      </c>
      <c r="P282" s="2" t="s">
        <v>185</v>
      </c>
      <c r="Q282" s="2" t="s">
        <v>186</v>
      </c>
      <c r="R282" s="2" t="s">
        <v>188</v>
      </c>
      <c r="S282" s="2">
        <v>33</v>
      </c>
      <c r="T282" s="2" t="s">
        <v>188</v>
      </c>
      <c r="U282" s="2" t="s">
        <v>188</v>
      </c>
      <c r="Y282" s="2">
        <v>300</v>
      </c>
      <c r="Z282" s="2">
        <v>0.83330000000000004</v>
      </c>
      <c r="AA282" s="2">
        <v>250</v>
      </c>
      <c r="AB282" s="2">
        <v>250</v>
      </c>
      <c r="AC282" s="2">
        <v>250</v>
      </c>
      <c r="AD282" s="2">
        <v>400</v>
      </c>
      <c r="AE282" s="2">
        <v>150</v>
      </c>
      <c r="AF282" s="2" t="s">
        <v>188</v>
      </c>
      <c r="AG282" s="2" t="s">
        <v>188</v>
      </c>
      <c r="AH282" s="2" t="s">
        <v>188</v>
      </c>
      <c r="AJ282" s="2" t="s">
        <v>188</v>
      </c>
      <c r="AK282" s="2" t="s">
        <v>188</v>
      </c>
      <c r="AL282" s="2" t="s">
        <v>188</v>
      </c>
      <c r="AM282" s="2" t="s">
        <v>187</v>
      </c>
      <c r="AN282" s="2" t="s">
        <v>188</v>
      </c>
      <c r="AO282" s="2" t="s">
        <v>188</v>
      </c>
      <c r="AR282" s="2">
        <v>1.5</v>
      </c>
      <c r="AS282" s="2">
        <v>3</v>
      </c>
      <c r="AT282" s="2">
        <v>4</v>
      </c>
      <c r="AU282" s="2" t="s">
        <v>238</v>
      </c>
      <c r="AV282" s="2" t="s">
        <v>238</v>
      </c>
      <c r="AW282" s="2" t="s">
        <v>188</v>
      </c>
      <c r="AZ282" s="2" t="s">
        <v>1715</v>
      </c>
      <c r="BB282" s="2" t="s">
        <v>191</v>
      </c>
      <c r="BC282" s="2" t="s">
        <v>296</v>
      </c>
      <c r="BD282" s="2" t="s">
        <v>187</v>
      </c>
      <c r="BE282" s="2" t="s">
        <v>187</v>
      </c>
      <c r="BF282" s="2" t="s">
        <v>193</v>
      </c>
      <c r="BG282" s="2" t="s">
        <v>194</v>
      </c>
      <c r="BH282" s="2" t="s">
        <v>195</v>
      </c>
      <c r="BI282" s="2" t="s">
        <v>333</v>
      </c>
      <c r="BL282" s="2" t="s">
        <v>197</v>
      </c>
      <c r="BM282" s="2" t="s">
        <v>198</v>
      </c>
      <c r="BN282" s="2" t="s">
        <v>199</v>
      </c>
      <c r="BO282" s="2" t="s">
        <v>188</v>
      </c>
      <c r="BQ282" s="2" t="s">
        <v>227</v>
      </c>
      <c r="BS282" s="2" t="s">
        <v>187</v>
      </c>
      <c r="BT282" s="2" t="s">
        <v>69</v>
      </c>
      <c r="BU282" s="2" t="s">
        <v>1968</v>
      </c>
      <c r="BV282" s="2" t="s">
        <v>587</v>
      </c>
      <c r="BX282" s="2" t="s">
        <v>188</v>
      </c>
      <c r="BZ282" s="2" t="s">
        <v>188</v>
      </c>
      <c r="CE282" s="2">
        <v>4</v>
      </c>
      <c r="CF282" s="2">
        <v>400</v>
      </c>
      <c r="CK282" s="2">
        <v>100</v>
      </c>
      <c r="CO282" s="2">
        <v>100</v>
      </c>
      <c r="CR282" s="2" t="s">
        <v>204</v>
      </c>
      <c r="CT282" s="2" t="s">
        <v>188</v>
      </c>
      <c r="CU282" s="2" t="s">
        <v>281</v>
      </c>
      <c r="CW282" s="2" t="s">
        <v>206</v>
      </c>
      <c r="CY282" s="2" t="s">
        <v>207</v>
      </c>
      <c r="CZ282" s="2" t="s">
        <v>207</v>
      </c>
      <c r="DA282" s="2" t="s">
        <v>300</v>
      </c>
      <c r="DB282" s="2" t="s">
        <v>300</v>
      </c>
      <c r="DC282" s="2" t="s">
        <v>300</v>
      </c>
      <c r="DD282" s="2" t="s">
        <v>430</v>
      </c>
      <c r="DE282" s="2" t="s">
        <v>300</v>
      </c>
      <c r="DF282" s="2" t="s">
        <v>207</v>
      </c>
      <c r="DG282" s="2" t="s">
        <v>207</v>
      </c>
      <c r="DH282" s="2" t="s">
        <v>300</v>
      </c>
      <c r="DI282" s="2" t="s">
        <v>430</v>
      </c>
      <c r="DL282" s="2" t="s">
        <v>187</v>
      </c>
      <c r="DM282" s="2" t="s">
        <v>187</v>
      </c>
      <c r="DN282" s="2" t="s">
        <v>187</v>
      </c>
      <c r="DO282" s="2" t="s">
        <v>187</v>
      </c>
      <c r="DP282" s="2" t="s">
        <v>209</v>
      </c>
      <c r="DQ282" s="2" t="s">
        <v>467</v>
      </c>
      <c r="DR282" s="2" t="s">
        <v>1969</v>
      </c>
      <c r="DT282" s="2" t="s">
        <v>209</v>
      </c>
      <c r="DU282" s="2" t="s">
        <v>209</v>
      </c>
      <c r="DV282" s="2" t="s">
        <v>209</v>
      </c>
      <c r="DW282" s="2" t="s">
        <v>209</v>
      </c>
      <c r="DX282" s="2" t="s">
        <v>203</v>
      </c>
      <c r="DY282" s="2" t="s">
        <v>209</v>
      </c>
      <c r="DZ282" s="2" t="s">
        <v>203</v>
      </c>
      <c r="EA282" s="2" t="s">
        <v>209</v>
      </c>
      <c r="EB282" s="2" t="s">
        <v>209</v>
      </c>
      <c r="EC282" s="2" t="s">
        <v>188</v>
      </c>
      <c r="EF282" s="2" t="s">
        <v>189</v>
      </c>
      <c r="EJ282" s="2" t="s">
        <v>238</v>
      </c>
      <c r="EK282" s="2" t="s">
        <v>187</v>
      </c>
      <c r="EL282" s="2" t="s">
        <v>188</v>
      </c>
      <c r="EN282" s="2" t="s">
        <v>214</v>
      </c>
      <c r="EP282" s="2" t="s">
        <v>230</v>
      </c>
      <c r="ER282" s="2" t="s">
        <v>187</v>
      </c>
      <c r="ET282" s="2" t="s">
        <v>188</v>
      </c>
      <c r="EV282" s="2" t="s">
        <v>187</v>
      </c>
      <c r="EW282" s="2" t="s">
        <v>215</v>
      </c>
      <c r="EX282" s="2" t="s">
        <v>188</v>
      </c>
      <c r="EZ282" s="2" t="s">
        <v>188</v>
      </c>
      <c r="FC282" s="2" t="s">
        <v>395</v>
      </c>
      <c r="FD282" s="2" t="s">
        <v>188</v>
      </c>
      <c r="FH282" s="2" t="s">
        <v>188</v>
      </c>
      <c r="FJ282" s="2" t="s">
        <v>188</v>
      </c>
      <c r="FK282" s="2" t="s">
        <v>188</v>
      </c>
      <c r="FR282" s="2" t="s">
        <v>1970</v>
      </c>
      <c r="FT282" s="2" t="s">
        <v>233</v>
      </c>
      <c r="FU282" s="2" t="s">
        <v>233</v>
      </c>
      <c r="FV282" s="2" t="s">
        <v>233</v>
      </c>
      <c r="FW282" s="2" t="s">
        <v>219</v>
      </c>
      <c r="FZ282" s="4">
        <v>46040.374768518515</v>
      </c>
    </row>
    <row r="283" spans="1:182">
      <c r="A283" s="2" t="s">
        <v>1971</v>
      </c>
      <c r="D283" s="6">
        <v>46034.368101851855</v>
      </c>
      <c r="E283" s="2" t="s">
        <v>1972</v>
      </c>
      <c r="F283" s="2" t="s">
        <v>398</v>
      </c>
      <c r="G283" s="2" t="s">
        <v>1965</v>
      </c>
      <c r="H283" s="2" t="s">
        <v>1966</v>
      </c>
      <c r="I283" s="2" t="s">
        <v>1973</v>
      </c>
      <c r="J283" s="2">
        <v>397835568</v>
      </c>
      <c r="K283" s="2" t="s">
        <v>1974</v>
      </c>
      <c r="L283" s="2" t="s">
        <v>182</v>
      </c>
      <c r="M283" s="2" t="s">
        <v>223</v>
      </c>
      <c r="N283" s="2">
        <v>1964</v>
      </c>
      <c r="O283" s="2" t="s">
        <v>224</v>
      </c>
      <c r="P283" s="2" t="s">
        <v>225</v>
      </c>
      <c r="Q283" s="2" t="s">
        <v>186</v>
      </c>
      <c r="R283" s="2" t="s">
        <v>188</v>
      </c>
      <c r="S283" s="2">
        <v>25</v>
      </c>
      <c r="T283" s="2" t="s">
        <v>188</v>
      </c>
      <c r="U283" s="2" t="s">
        <v>188</v>
      </c>
      <c r="Y283" s="2">
        <v>90</v>
      </c>
      <c r="Z283" s="2">
        <v>1</v>
      </c>
      <c r="AA283" s="2">
        <v>90</v>
      </c>
      <c r="AB283" s="2">
        <v>90</v>
      </c>
      <c r="AC283" s="2">
        <v>90</v>
      </c>
      <c r="AD283" s="2">
        <v>110</v>
      </c>
      <c r="AE283" s="2">
        <v>20</v>
      </c>
      <c r="AF283" s="2" t="s">
        <v>188</v>
      </c>
      <c r="AG283" s="2" t="s">
        <v>188</v>
      </c>
      <c r="AH283" s="2" t="s">
        <v>188</v>
      </c>
      <c r="AJ283" s="2" t="s">
        <v>188</v>
      </c>
      <c r="AK283" s="2" t="s">
        <v>188</v>
      </c>
      <c r="AL283" s="2" t="s">
        <v>188</v>
      </c>
      <c r="AM283" s="2" t="s">
        <v>188</v>
      </c>
      <c r="AN283" s="2" t="s">
        <v>188</v>
      </c>
      <c r="AO283" s="2" t="s">
        <v>188</v>
      </c>
      <c r="AR283" s="2">
        <v>0.5</v>
      </c>
      <c r="AS283" s="2">
        <v>1</v>
      </c>
      <c r="AT283" s="2">
        <v>1.1000000000000001</v>
      </c>
      <c r="AU283" s="2" t="s">
        <v>189</v>
      </c>
      <c r="AV283" s="2" t="s">
        <v>189</v>
      </c>
      <c r="AW283" s="2" t="s">
        <v>188</v>
      </c>
      <c r="BC283" s="2" t="s">
        <v>192</v>
      </c>
      <c r="BD283" s="2" t="s">
        <v>188</v>
      </c>
      <c r="BE283" s="2" t="s">
        <v>188</v>
      </c>
      <c r="BL283" s="2" t="s">
        <v>240</v>
      </c>
      <c r="BO283" s="2" t="s">
        <v>188</v>
      </c>
      <c r="BQ283" s="2" t="s">
        <v>200</v>
      </c>
      <c r="BS283" s="2" t="s">
        <v>187</v>
      </c>
      <c r="BT283" s="2" t="s">
        <v>410</v>
      </c>
      <c r="BV283" s="2" t="s">
        <v>587</v>
      </c>
      <c r="BX283" s="2" t="s">
        <v>188</v>
      </c>
      <c r="BY283" s="2" t="s">
        <v>1975</v>
      </c>
      <c r="BZ283" s="2" t="s">
        <v>203</v>
      </c>
      <c r="CE283" s="2">
        <v>1.1000000000000001</v>
      </c>
      <c r="CF283" s="2">
        <v>110</v>
      </c>
      <c r="CK283" s="2">
        <v>100</v>
      </c>
      <c r="CP283" s="2">
        <v>100</v>
      </c>
      <c r="CR283" s="2" t="s">
        <v>204</v>
      </c>
      <c r="CT283" s="2" t="s">
        <v>188</v>
      </c>
      <c r="CU283" s="2" t="s">
        <v>205</v>
      </c>
      <c r="CW283" s="2" t="s">
        <v>206</v>
      </c>
      <c r="CY283" s="2" t="s">
        <v>207</v>
      </c>
      <c r="CZ283" s="2" t="s">
        <v>207</v>
      </c>
      <c r="DA283" s="2" t="s">
        <v>300</v>
      </c>
      <c r="DB283" s="2" t="s">
        <v>300</v>
      </c>
      <c r="DC283" s="2" t="s">
        <v>300</v>
      </c>
      <c r="DD283" s="2" t="s">
        <v>300</v>
      </c>
      <c r="DE283" s="2" t="s">
        <v>300</v>
      </c>
      <c r="DF283" s="2" t="s">
        <v>207</v>
      </c>
      <c r="DG283" s="2" t="s">
        <v>207</v>
      </c>
      <c r="DH283" s="2" t="s">
        <v>207</v>
      </c>
      <c r="DI283" s="2" t="s">
        <v>207</v>
      </c>
      <c r="DL283" s="2" t="s">
        <v>187</v>
      </c>
      <c r="DM283" s="2" t="s">
        <v>187</v>
      </c>
      <c r="DN283" s="2" t="s">
        <v>187</v>
      </c>
      <c r="DO283" s="2" t="s">
        <v>187</v>
      </c>
      <c r="DP283" s="2" t="s">
        <v>209</v>
      </c>
      <c r="DQ283" s="2" t="s">
        <v>467</v>
      </c>
      <c r="DR283" s="2" t="s">
        <v>1976</v>
      </c>
      <c r="DT283" s="2" t="s">
        <v>209</v>
      </c>
      <c r="DU283" s="2" t="s">
        <v>209</v>
      </c>
      <c r="DV283" s="2" t="s">
        <v>209</v>
      </c>
      <c r="DW283" s="2" t="s">
        <v>209</v>
      </c>
      <c r="DX283" s="2" t="s">
        <v>209</v>
      </c>
      <c r="DY283" s="2" t="s">
        <v>209</v>
      </c>
      <c r="DZ283" s="2" t="s">
        <v>188</v>
      </c>
      <c r="EA283" s="2" t="s">
        <v>209</v>
      </c>
      <c r="EB283" s="2" t="s">
        <v>209</v>
      </c>
      <c r="EC283" s="2" t="s">
        <v>188</v>
      </c>
      <c r="EE283" s="2" t="s">
        <v>1977</v>
      </c>
      <c r="EF283" s="2" t="s">
        <v>189</v>
      </c>
      <c r="EG283" s="2" t="s">
        <v>1978</v>
      </c>
      <c r="EJ283" s="2" t="s">
        <v>189</v>
      </c>
      <c r="EK283" s="2" t="s">
        <v>187</v>
      </c>
      <c r="EL283" s="2" t="s">
        <v>187</v>
      </c>
      <c r="EM283" s="2" t="s">
        <v>382</v>
      </c>
      <c r="EN283" s="2" t="s">
        <v>214</v>
      </c>
      <c r="EP283" s="2" t="s">
        <v>230</v>
      </c>
      <c r="ER283" s="2" t="s">
        <v>187</v>
      </c>
      <c r="ET283" s="2" t="s">
        <v>188</v>
      </c>
      <c r="EV283" s="2" t="s">
        <v>188</v>
      </c>
      <c r="EX283" s="2" t="s">
        <v>188</v>
      </c>
      <c r="EZ283" s="2" t="s">
        <v>188</v>
      </c>
      <c r="FC283" s="2" t="s">
        <v>216</v>
      </c>
      <c r="FD283" s="2" t="s">
        <v>188</v>
      </c>
      <c r="FH283" s="2" t="s">
        <v>188</v>
      </c>
      <c r="FJ283" s="2" t="s">
        <v>188</v>
      </c>
      <c r="FK283" s="2" t="s">
        <v>203</v>
      </c>
      <c r="FN283" s="2" t="s">
        <v>432</v>
      </c>
      <c r="FR283" s="2" t="s">
        <v>1979</v>
      </c>
      <c r="FT283" s="2" t="s">
        <v>233</v>
      </c>
      <c r="FU283" s="2" t="s">
        <v>219</v>
      </c>
      <c r="FV283" s="2" t="s">
        <v>219</v>
      </c>
      <c r="FW283" s="2" t="s">
        <v>219</v>
      </c>
      <c r="FX283" s="2" t="s">
        <v>233</v>
      </c>
      <c r="FY283" s="2" t="s">
        <v>1980</v>
      </c>
      <c r="FZ283" s="4">
        <v>46039.682106481479</v>
      </c>
    </row>
    <row r="284" spans="1:182">
      <c r="A284" s="2" t="s">
        <v>1981</v>
      </c>
      <c r="D284" s="6">
        <v>46034.369085648148</v>
      </c>
      <c r="E284" s="2" t="s">
        <v>1982</v>
      </c>
      <c r="F284" s="2" t="s">
        <v>480</v>
      </c>
      <c r="G284" s="2" t="s">
        <v>1965</v>
      </c>
      <c r="H284" s="2" t="s">
        <v>1983</v>
      </c>
      <c r="I284" s="2" t="s">
        <v>1984</v>
      </c>
      <c r="J284" s="2">
        <v>568126322</v>
      </c>
      <c r="K284" s="2" t="s">
        <v>1985</v>
      </c>
      <c r="L284" s="2" t="s">
        <v>182</v>
      </c>
      <c r="M284" s="2" t="s">
        <v>223</v>
      </c>
      <c r="N284" s="2">
        <v>1991</v>
      </c>
      <c r="O284" s="2" t="s">
        <v>224</v>
      </c>
      <c r="P284" s="2" t="s">
        <v>225</v>
      </c>
      <c r="Q284" s="2" t="s">
        <v>186</v>
      </c>
      <c r="R284" s="2" t="s">
        <v>188</v>
      </c>
      <c r="T284" s="2" t="s">
        <v>188</v>
      </c>
      <c r="U284" s="2" t="s">
        <v>188</v>
      </c>
      <c r="Y284" s="2">
        <v>414</v>
      </c>
      <c r="Z284" s="2">
        <v>0.56520000000000004</v>
      </c>
      <c r="AA284" s="2">
        <v>234</v>
      </c>
      <c r="AB284" s="2">
        <v>234</v>
      </c>
      <c r="AC284" s="2">
        <v>234</v>
      </c>
      <c r="AD284" s="2">
        <v>274</v>
      </c>
      <c r="AE284" s="2">
        <v>40</v>
      </c>
      <c r="AF284" s="2" t="s">
        <v>188</v>
      </c>
      <c r="AG284" s="2" t="s">
        <v>188</v>
      </c>
      <c r="AH284" s="2" t="s">
        <v>188</v>
      </c>
      <c r="AJ284" s="2" t="s">
        <v>188</v>
      </c>
      <c r="AK284" s="2" t="s">
        <v>188</v>
      </c>
      <c r="AL284" s="2" t="s">
        <v>188</v>
      </c>
      <c r="AM284" s="2" t="s">
        <v>188</v>
      </c>
      <c r="AN284" s="2" t="s">
        <v>188</v>
      </c>
      <c r="AO284" s="2" t="s">
        <v>187</v>
      </c>
      <c r="AR284" s="2">
        <v>0.7</v>
      </c>
      <c r="AS284" s="2">
        <v>1</v>
      </c>
      <c r="AT284" s="2">
        <v>2.8</v>
      </c>
      <c r="AU284" s="2" t="s">
        <v>238</v>
      </c>
      <c r="AV284" s="2" t="s">
        <v>238</v>
      </c>
      <c r="AW284" s="2" t="s">
        <v>188</v>
      </c>
      <c r="AZ284" s="2" t="s">
        <v>190</v>
      </c>
      <c r="BB284" s="2" t="s">
        <v>260</v>
      </c>
      <c r="BC284" s="2" t="s">
        <v>192</v>
      </c>
      <c r="BD284" s="2" t="s">
        <v>188</v>
      </c>
      <c r="BE284" s="2" t="s">
        <v>187</v>
      </c>
      <c r="BF284" s="2" t="s">
        <v>193</v>
      </c>
      <c r="BG284" s="2" t="s">
        <v>194</v>
      </c>
      <c r="BH284" s="2" t="s">
        <v>195</v>
      </c>
      <c r="BI284" s="2" t="s">
        <v>196</v>
      </c>
      <c r="BL284" s="2" t="s">
        <v>197</v>
      </c>
      <c r="BM284" s="2" t="s">
        <v>198</v>
      </c>
      <c r="BN284" s="2" t="s">
        <v>199</v>
      </c>
      <c r="BO284" s="2" t="s">
        <v>188</v>
      </c>
      <c r="BQ284" s="2" t="s">
        <v>227</v>
      </c>
      <c r="BS284" s="2" t="s">
        <v>187</v>
      </c>
      <c r="BT284" s="2" t="s">
        <v>909</v>
      </c>
      <c r="BV284" s="2" t="s">
        <v>202</v>
      </c>
      <c r="BX284" s="2" t="s">
        <v>187</v>
      </c>
      <c r="BY284" s="2" t="s">
        <v>1986</v>
      </c>
      <c r="BZ284" s="2" t="s">
        <v>188</v>
      </c>
      <c r="CE284" s="2">
        <v>2.8</v>
      </c>
      <c r="CK284" s="2">
        <v>100</v>
      </c>
      <c r="CO284" s="2">
        <v>100</v>
      </c>
      <c r="CR284" s="2" t="s">
        <v>343</v>
      </c>
      <c r="CT284" s="2" t="s">
        <v>188</v>
      </c>
      <c r="CU284" s="2" t="s">
        <v>205</v>
      </c>
      <c r="CW284" s="2" t="s">
        <v>206</v>
      </c>
      <c r="CY284" s="2" t="s">
        <v>207</v>
      </c>
      <c r="CZ284" s="2" t="s">
        <v>207</v>
      </c>
      <c r="DA284" s="2" t="s">
        <v>300</v>
      </c>
      <c r="DB284" s="2" t="s">
        <v>430</v>
      </c>
      <c r="DC284" s="2" t="s">
        <v>430</v>
      </c>
      <c r="DD284" s="2" t="s">
        <v>430</v>
      </c>
      <c r="DE284" s="2" t="s">
        <v>300</v>
      </c>
      <c r="DF284" s="2" t="s">
        <v>300</v>
      </c>
      <c r="DG284" s="2" t="s">
        <v>207</v>
      </c>
      <c r="DH284" s="2" t="s">
        <v>207</v>
      </c>
      <c r="DI284" s="2" t="s">
        <v>300</v>
      </c>
      <c r="DL284" s="2" t="s">
        <v>187</v>
      </c>
      <c r="DM284" s="2" t="s">
        <v>187</v>
      </c>
      <c r="DN284" s="2" t="s">
        <v>187</v>
      </c>
      <c r="DO284" s="2" t="s">
        <v>187</v>
      </c>
      <c r="DP284" s="2" t="s">
        <v>209</v>
      </c>
      <c r="DQ284" s="2" t="s">
        <v>467</v>
      </c>
      <c r="DR284" s="2" t="s">
        <v>1987</v>
      </c>
      <c r="DT284" s="2" t="s">
        <v>209</v>
      </c>
      <c r="DU284" s="2" t="s">
        <v>209</v>
      </c>
      <c r="DV284" s="2" t="s">
        <v>209</v>
      </c>
      <c r="DW284" s="2" t="s">
        <v>209</v>
      </c>
      <c r="DX284" s="2" t="s">
        <v>209</v>
      </c>
      <c r="DY284" s="2" t="s">
        <v>203</v>
      </c>
      <c r="DZ284" s="2" t="s">
        <v>203</v>
      </c>
      <c r="EA284" s="2" t="s">
        <v>203</v>
      </c>
      <c r="EB284" s="2" t="s">
        <v>209</v>
      </c>
      <c r="EC284" s="2" t="s">
        <v>203</v>
      </c>
      <c r="ED284" s="2" t="s">
        <v>203</v>
      </c>
      <c r="EF284" s="2" t="s">
        <v>189</v>
      </c>
      <c r="EJ284" s="2" t="s">
        <v>238</v>
      </c>
      <c r="EK284" s="2" t="s">
        <v>187</v>
      </c>
      <c r="EL284" s="2" t="s">
        <v>188</v>
      </c>
      <c r="EN284" s="2" t="s">
        <v>214</v>
      </c>
      <c r="EP284" s="2" t="s">
        <v>230</v>
      </c>
      <c r="ER284" s="2" t="s">
        <v>187</v>
      </c>
      <c r="ET284" s="2" t="s">
        <v>188</v>
      </c>
      <c r="EV284" s="2" t="s">
        <v>187</v>
      </c>
      <c r="EW284" s="2" t="s">
        <v>215</v>
      </c>
      <c r="EX284" s="2" t="s">
        <v>188</v>
      </c>
      <c r="EZ284" s="2" t="s">
        <v>188</v>
      </c>
      <c r="FC284" s="2" t="s">
        <v>263</v>
      </c>
      <c r="FD284" s="2" t="s">
        <v>188</v>
      </c>
      <c r="FH284" s="2" t="s">
        <v>188</v>
      </c>
      <c r="FJ284" s="2" t="s">
        <v>188</v>
      </c>
      <c r="FN284" s="2" t="s">
        <v>488</v>
      </c>
      <c r="FR284" s="2" t="s">
        <v>1988</v>
      </c>
      <c r="FT284" s="2" t="s">
        <v>233</v>
      </c>
      <c r="FU284" s="2" t="s">
        <v>233</v>
      </c>
      <c r="FV284" s="2" t="s">
        <v>233</v>
      </c>
      <c r="FW284" s="2" t="s">
        <v>233</v>
      </c>
      <c r="FZ284" s="4">
        <v>46043.568356481483</v>
      </c>
    </row>
    <row r="285" spans="1:182">
      <c r="A285" s="2" t="s">
        <v>1989</v>
      </c>
      <c r="D285" s="6">
        <v>46034.360474537039</v>
      </c>
      <c r="E285" s="2" t="s">
        <v>177</v>
      </c>
      <c r="F285" s="2" t="s">
        <v>293</v>
      </c>
      <c r="G285" s="2" t="s">
        <v>1965</v>
      </c>
      <c r="H285" s="2" t="s">
        <v>1990</v>
      </c>
      <c r="I285" s="2" t="s">
        <v>1991</v>
      </c>
      <c r="J285" s="2">
        <v>868023855</v>
      </c>
      <c r="K285" s="2" t="s">
        <v>1992</v>
      </c>
      <c r="L285" s="2" t="s">
        <v>182</v>
      </c>
      <c r="M285" s="2" t="s">
        <v>223</v>
      </c>
      <c r="N285" s="2">
        <v>1982</v>
      </c>
      <c r="O285" s="2" t="s">
        <v>224</v>
      </c>
      <c r="P285" s="2" t="s">
        <v>225</v>
      </c>
      <c r="Q285" s="2" t="s">
        <v>270</v>
      </c>
      <c r="R285" s="2" t="s">
        <v>188</v>
      </c>
      <c r="S285" s="2">
        <v>2007</v>
      </c>
      <c r="T285" s="2" t="s">
        <v>188</v>
      </c>
      <c r="U285" s="2" t="s">
        <v>188</v>
      </c>
      <c r="Y285" s="2">
        <v>920</v>
      </c>
      <c r="Z285" s="2">
        <v>0.95650000000000002</v>
      </c>
      <c r="AA285" s="2">
        <v>880</v>
      </c>
      <c r="AB285" s="2">
        <v>860</v>
      </c>
      <c r="AC285" s="2">
        <v>820</v>
      </c>
      <c r="AD285" s="2">
        <v>970</v>
      </c>
      <c r="AE285" s="2">
        <v>150</v>
      </c>
      <c r="AF285" s="2" t="s">
        <v>188</v>
      </c>
      <c r="AG285" s="2" t="s">
        <v>187</v>
      </c>
      <c r="AH285" s="2" t="s">
        <v>187</v>
      </c>
      <c r="AI285" s="2" t="s">
        <v>1993</v>
      </c>
      <c r="AJ285" s="2" t="s">
        <v>188</v>
      </c>
      <c r="AK285" s="2" t="s">
        <v>188</v>
      </c>
      <c r="AL285" s="2" t="s">
        <v>187</v>
      </c>
      <c r="AM285" s="2" t="s">
        <v>188</v>
      </c>
      <c r="AN285" s="2" t="s">
        <v>188</v>
      </c>
      <c r="AO285" s="2" t="s">
        <v>187</v>
      </c>
      <c r="AR285" s="2">
        <v>2.2999999999999998</v>
      </c>
      <c r="AS285" s="2">
        <v>2</v>
      </c>
      <c r="AT285" s="2">
        <v>10</v>
      </c>
      <c r="AU285" s="2" t="s">
        <v>189</v>
      </c>
      <c r="AV285" s="2" t="s">
        <v>189</v>
      </c>
      <c r="AW285" s="2" t="s">
        <v>188</v>
      </c>
      <c r="AZ285" s="2" t="s">
        <v>190</v>
      </c>
      <c r="BB285" s="2" t="s">
        <v>260</v>
      </c>
      <c r="BC285" s="2" t="s">
        <v>192</v>
      </c>
      <c r="BD285" s="2" t="s">
        <v>187</v>
      </c>
      <c r="BE285" s="2" t="s">
        <v>187</v>
      </c>
      <c r="BF285" s="2" t="s">
        <v>193</v>
      </c>
      <c r="BG285" s="2" t="s">
        <v>194</v>
      </c>
      <c r="BH285" s="2" t="s">
        <v>297</v>
      </c>
      <c r="BI285" s="2" t="s">
        <v>196</v>
      </c>
      <c r="BL285" s="2" t="s">
        <v>197</v>
      </c>
      <c r="BM285" s="2" t="s">
        <v>198</v>
      </c>
      <c r="BN285" s="2" t="s">
        <v>199</v>
      </c>
      <c r="BO285" s="2" t="s">
        <v>188</v>
      </c>
      <c r="BQ285" s="2" t="s">
        <v>227</v>
      </c>
      <c r="BT285" s="2" t="s">
        <v>261</v>
      </c>
      <c r="BV285" s="2" t="s">
        <v>389</v>
      </c>
      <c r="BX285" s="2" t="s">
        <v>187</v>
      </c>
      <c r="BY285" s="2" t="s">
        <v>310</v>
      </c>
      <c r="BZ285" s="2" t="s">
        <v>188</v>
      </c>
      <c r="CE285" s="2">
        <v>10</v>
      </c>
      <c r="CF285" s="2">
        <v>970</v>
      </c>
      <c r="CK285" s="2">
        <v>100</v>
      </c>
      <c r="CO285" s="2">
        <v>100</v>
      </c>
      <c r="CR285" s="2" t="s">
        <v>204</v>
      </c>
      <c r="CT285" s="2" t="s">
        <v>188</v>
      </c>
      <c r="CU285" s="2" t="s">
        <v>205</v>
      </c>
      <c r="CW285" s="2" t="s">
        <v>206</v>
      </c>
      <c r="CY285" s="2" t="s">
        <v>207</v>
      </c>
      <c r="CZ285" s="2" t="s">
        <v>207</v>
      </c>
      <c r="DA285" s="2" t="s">
        <v>207</v>
      </c>
      <c r="DB285" s="2" t="s">
        <v>273</v>
      </c>
      <c r="DC285" s="2" t="s">
        <v>300</v>
      </c>
      <c r="DD285" s="2" t="s">
        <v>299</v>
      </c>
      <c r="DE285" s="2" t="s">
        <v>299</v>
      </c>
      <c r="DF285" s="2" t="s">
        <v>207</v>
      </c>
      <c r="DG285" s="2" t="s">
        <v>273</v>
      </c>
      <c r="DH285" s="2" t="s">
        <v>208</v>
      </c>
      <c r="DI285" s="2" t="s">
        <v>208</v>
      </c>
      <c r="DL285" s="2" t="s">
        <v>187</v>
      </c>
      <c r="DM285" s="2" t="s">
        <v>187</v>
      </c>
      <c r="DN285" s="2" t="s">
        <v>187</v>
      </c>
      <c r="DO285" s="2" t="s">
        <v>187</v>
      </c>
      <c r="DP285" s="2" t="s">
        <v>209</v>
      </c>
      <c r="DQ285" s="2" t="s">
        <v>210</v>
      </c>
      <c r="DS285" s="2" t="s">
        <v>209</v>
      </c>
      <c r="DT285" s="2" t="s">
        <v>209</v>
      </c>
      <c r="DU285" s="2" t="s">
        <v>209</v>
      </c>
      <c r="DV285" s="2" t="s">
        <v>209</v>
      </c>
      <c r="DW285" s="2" t="s">
        <v>209</v>
      </c>
      <c r="DX285" s="2" t="s">
        <v>209</v>
      </c>
      <c r="DY285" s="2" t="s">
        <v>209</v>
      </c>
      <c r="DZ285" s="2" t="s">
        <v>209</v>
      </c>
      <c r="EA285" s="2" t="s">
        <v>209</v>
      </c>
      <c r="EB285" s="2" t="s">
        <v>209</v>
      </c>
      <c r="EC285" s="2" t="s">
        <v>203</v>
      </c>
      <c r="EF285" s="2" t="s">
        <v>211</v>
      </c>
      <c r="EJ285" s="2" t="s">
        <v>189</v>
      </c>
      <c r="EK285" s="2" t="s">
        <v>187</v>
      </c>
      <c r="EL285" s="2" t="s">
        <v>188</v>
      </c>
      <c r="EN285" s="2" t="s">
        <v>214</v>
      </c>
      <c r="EP285" s="2" t="s">
        <v>230</v>
      </c>
      <c r="ER285" s="2" t="s">
        <v>187</v>
      </c>
      <c r="ET285" s="2" t="s">
        <v>188</v>
      </c>
      <c r="EV285" s="2" t="s">
        <v>187</v>
      </c>
      <c r="EW285" s="2" t="s">
        <v>189</v>
      </c>
      <c r="EX285" s="2" t="s">
        <v>187</v>
      </c>
      <c r="EY285" s="2" t="s">
        <v>189</v>
      </c>
      <c r="EZ285" s="2" t="s">
        <v>188</v>
      </c>
      <c r="FC285" s="2" t="s">
        <v>216</v>
      </c>
      <c r="FD285" s="2" t="s">
        <v>188</v>
      </c>
      <c r="FH285" s="2" t="s">
        <v>188</v>
      </c>
      <c r="FJ285" s="2" t="s">
        <v>188</v>
      </c>
      <c r="FK285" s="2" t="s">
        <v>209</v>
      </c>
      <c r="FL285" s="2" t="s">
        <v>319</v>
      </c>
      <c r="FN285" s="2" t="s">
        <v>819</v>
      </c>
      <c r="FT285" s="2" t="s">
        <v>219</v>
      </c>
      <c r="FU285" s="2" t="s">
        <v>233</v>
      </c>
      <c r="FV285" s="2" t="s">
        <v>233</v>
      </c>
      <c r="FW285" s="2" t="s">
        <v>233</v>
      </c>
      <c r="FZ285" s="4">
        <v>46039.877557870372</v>
      </c>
    </row>
    <row r="286" spans="1:182">
      <c r="A286" s="2" t="s">
        <v>1994</v>
      </c>
      <c r="D286" s="6">
        <v>46034.372847222221</v>
      </c>
      <c r="E286" s="2" t="s">
        <v>1995</v>
      </c>
      <c r="F286" s="2" t="s">
        <v>590</v>
      </c>
      <c r="G286" s="2" t="s">
        <v>1965</v>
      </c>
      <c r="H286" s="2" t="s">
        <v>1996</v>
      </c>
      <c r="I286" s="2" t="s">
        <v>1997</v>
      </c>
      <c r="J286" s="2">
        <v>329583198</v>
      </c>
      <c r="K286" s="2" t="s">
        <v>1997</v>
      </c>
      <c r="L286" s="2" t="s">
        <v>182</v>
      </c>
      <c r="M286" s="2" t="s">
        <v>183</v>
      </c>
      <c r="N286" s="2">
        <v>1987</v>
      </c>
      <c r="O286" s="2" t="s">
        <v>224</v>
      </c>
      <c r="P286" s="2" t="s">
        <v>185</v>
      </c>
      <c r="Q286" s="2" t="s">
        <v>186</v>
      </c>
      <c r="R286" s="2" t="s">
        <v>188</v>
      </c>
      <c r="S286" s="2">
        <v>20</v>
      </c>
      <c r="T286" s="2" t="s">
        <v>188</v>
      </c>
      <c r="U286" s="2" t="s">
        <v>188</v>
      </c>
      <c r="Y286" s="2">
        <v>440</v>
      </c>
      <c r="Z286" s="2">
        <v>0.95450000000000002</v>
      </c>
      <c r="AA286" s="2">
        <v>420</v>
      </c>
      <c r="AB286" s="2">
        <v>420</v>
      </c>
      <c r="AC286" s="2">
        <v>420</v>
      </c>
      <c r="AD286" s="2">
        <v>500</v>
      </c>
      <c r="AE286" s="2">
        <v>80</v>
      </c>
      <c r="AF286" s="2" t="s">
        <v>188</v>
      </c>
      <c r="AG286" s="2" t="s">
        <v>188</v>
      </c>
      <c r="AH286" s="2" t="s">
        <v>188</v>
      </c>
      <c r="AJ286" s="2" t="s">
        <v>188</v>
      </c>
      <c r="AK286" s="2" t="s">
        <v>188</v>
      </c>
      <c r="AL286" s="2" t="s">
        <v>188</v>
      </c>
      <c r="AM286" s="2" t="s">
        <v>187</v>
      </c>
      <c r="AN286" s="2" t="s">
        <v>188</v>
      </c>
      <c r="AO286" s="2" t="s">
        <v>188</v>
      </c>
      <c r="AR286" s="2">
        <v>1.4</v>
      </c>
      <c r="AS286" s="2">
        <v>2</v>
      </c>
      <c r="AT286" s="2">
        <v>5</v>
      </c>
      <c r="AU286" s="2" t="s">
        <v>238</v>
      </c>
      <c r="AV286" s="2" t="s">
        <v>189</v>
      </c>
      <c r="AW286" s="2" t="s">
        <v>188</v>
      </c>
      <c r="AZ286" s="2" t="s">
        <v>190</v>
      </c>
      <c r="BB286" s="2" t="s">
        <v>260</v>
      </c>
      <c r="BC286" s="2" t="s">
        <v>296</v>
      </c>
      <c r="BD286" s="2" t="s">
        <v>187</v>
      </c>
      <c r="BE286" s="2" t="s">
        <v>187</v>
      </c>
      <c r="BF286" s="2" t="s">
        <v>193</v>
      </c>
      <c r="BG286" s="2" t="s">
        <v>194</v>
      </c>
      <c r="BH286" s="2" t="s">
        <v>297</v>
      </c>
      <c r="BI286" s="2" t="s">
        <v>196</v>
      </c>
      <c r="BL286" s="2" t="s">
        <v>240</v>
      </c>
      <c r="BO286" s="2" t="s">
        <v>188</v>
      </c>
      <c r="BQ286" s="2" t="s">
        <v>227</v>
      </c>
      <c r="BS286" s="2" t="s">
        <v>187</v>
      </c>
      <c r="BT286" s="2" t="s">
        <v>484</v>
      </c>
      <c r="BV286" s="2" t="s">
        <v>242</v>
      </c>
      <c r="BX286" s="2" t="s">
        <v>188</v>
      </c>
      <c r="BZ286" s="2" t="s">
        <v>203</v>
      </c>
      <c r="CE286" s="2">
        <v>5</v>
      </c>
      <c r="CF286" s="2">
        <v>500</v>
      </c>
      <c r="CK286" s="2">
        <v>100</v>
      </c>
      <c r="CO286" s="2">
        <v>100</v>
      </c>
      <c r="CR286" s="2" t="s">
        <v>343</v>
      </c>
      <c r="CT286" s="2" t="s">
        <v>188</v>
      </c>
      <c r="CU286" s="2" t="s">
        <v>205</v>
      </c>
      <c r="CW286" s="2" t="s">
        <v>206</v>
      </c>
      <c r="CY286" s="2" t="s">
        <v>273</v>
      </c>
      <c r="CZ286" s="2" t="s">
        <v>300</v>
      </c>
      <c r="DA286" s="2" t="s">
        <v>300</v>
      </c>
      <c r="DB286" s="2" t="s">
        <v>300</v>
      </c>
      <c r="DC286" s="2" t="s">
        <v>300</v>
      </c>
      <c r="DD286" s="2" t="s">
        <v>300</v>
      </c>
      <c r="DE286" s="2" t="s">
        <v>207</v>
      </c>
      <c r="DF286" s="2" t="s">
        <v>207</v>
      </c>
      <c r="DG286" s="2" t="s">
        <v>207</v>
      </c>
      <c r="DH286" s="2" t="s">
        <v>207</v>
      </c>
      <c r="DI286" s="2" t="s">
        <v>207</v>
      </c>
      <c r="DL286" s="2" t="s">
        <v>187</v>
      </c>
      <c r="DM286" s="2" t="s">
        <v>187</v>
      </c>
      <c r="DN286" s="2" t="s">
        <v>187</v>
      </c>
      <c r="DO286" s="2" t="s">
        <v>187</v>
      </c>
      <c r="DP286" s="2" t="s">
        <v>209</v>
      </c>
      <c r="DQ286" s="2" t="s">
        <v>467</v>
      </c>
      <c r="DR286" s="2" t="s">
        <v>1998</v>
      </c>
      <c r="DT286" s="2" t="s">
        <v>209</v>
      </c>
      <c r="DU286" s="2" t="s">
        <v>209</v>
      </c>
      <c r="DV286" s="2" t="s">
        <v>209</v>
      </c>
      <c r="DW286" s="2" t="s">
        <v>209</v>
      </c>
      <c r="DX286" s="2" t="s">
        <v>209</v>
      </c>
      <c r="DY286" s="2" t="s">
        <v>209</v>
      </c>
      <c r="DZ286" s="2" t="s">
        <v>203</v>
      </c>
      <c r="EA286" s="2" t="s">
        <v>203</v>
      </c>
      <c r="EB286" s="2" t="s">
        <v>209</v>
      </c>
      <c r="EC286" s="2" t="s">
        <v>188</v>
      </c>
      <c r="EF286" s="2" t="s">
        <v>211</v>
      </c>
      <c r="EG286" s="2" t="s">
        <v>985</v>
      </c>
      <c r="EJ286" s="2" t="s">
        <v>189</v>
      </c>
      <c r="EK286" s="2" t="s">
        <v>187</v>
      </c>
      <c r="EL286" s="2" t="s">
        <v>187</v>
      </c>
      <c r="EM286" s="2" t="s">
        <v>393</v>
      </c>
      <c r="EN286" s="2" t="s">
        <v>255</v>
      </c>
      <c r="EP286" s="2" t="s">
        <v>230</v>
      </c>
      <c r="ER286" s="2" t="s">
        <v>188</v>
      </c>
      <c r="ET286" s="2" t="s">
        <v>188</v>
      </c>
      <c r="EV286" s="2" t="s">
        <v>188</v>
      </c>
      <c r="EX286" s="2" t="s">
        <v>188</v>
      </c>
      <c r="EZ286" s="2" t="s">
        <v>188</v>
      </c>
      <c r="FC286" s="2" t="s">
        <v>263</v>
      </c>
      <c r="FD286" s="2" t="s">
        <v>188</v>
      </c>
      <c r="FH286" s="2" t="s">
        <v>188</v>
      </c>
      <c r="FJ286" s="2" t="s">
        <v>188</v>
      </c>
      <c r="FK286" s="2" t="s">
        <v>188</v>
      </c>
      <c r="FN286" s="2" t="s">
        <v>990</v>
      </c>
      <c r="FR286" s="2" t="s">
        <v>1999</v>
      </c>
      <c r="FT286" s="2" t="s">
        <v>233</v>
      </c>
      <c r="FU286" s="2" t="s">
        <v>233</v>
      </c>
      <c r="FV286" s="2" t="s">
        <v>233</v>
      </c>
      <c r="FW286" s="2" t="s">
        <v>233</v>
      </c>
      <c r="FZ286" s="4">
        <v>46040.853229166663</v>
      </c>
    </row>
    <row r="287" spans="1:182">
      <c r="A287" s="2" t="s">
        <v>2000</v>
      </c>
      <c r="D287" s="6">
        <v>46034.375393518516</v>
      </c>
      <c r="E287" s="2" t="s">
        <v>177</v>
      </c>
      <c r="F287" s="2" t="s">
        <v>178</v>
      </c>
      <c r="G287" s="2" t="s">
        <v>1965</v>
      </c>
      <c r="H287" s="2" t="s">
        <v>2001</v>
      </c>
      <c r="I287" s="2" t="s">
        <v>2002</v>
      </c>
      <c r="J287" s="2">
        <v>382543677</v>
      </c>
      <c r="K287" s="2" t="s">
        <v>2003</v>
      </c>
      <c r="L287" s="2" t="s">
        <v>352</v>
      </c>
      <c r="M287" s="2" t="s">
        <v>223</v>
      </c>
      <c r="N287" s="2">
        <v>1978</v>
      </c>
      <c r="O287" s="2" t="s">
        <v>224</v>
      </c>
      <c r="P287" s="2" t="s">
        <v>225</v>
      </c>
      <c r="Q287" s="2" t="s">
        <v>186</v>
      </c>
      <c r="R287" s="2" t="s">
        <v>188</v>
      </c>
      <c r="S287" s="2">
        <v>31</v>
      </c>
      <c r="T287" s="2" t="s">
        <v>188</v>
      </c>
      <c r="U287" s="2" t="s">
        <v>188</v>
      </c>
      <c r="Y287" s="2">
        <v>800</v>
      </c>
      <c r="Z287" s="2">
        <v>1</v>
      </c>
      <c r="AA287" s="2">
        <v>800</v>
      </c>
      <c r="AB287" s="2">
        <v>800</v>
      </c>
      <c r="AC287" s="2">
        <v>800</v>
      </c>
      <c r="AD287" s="2">
        <v>1100</v>
      </c>
      <c r="AE287" s="2">
        <v>300</v>
      </c>
      <c r="AF287" s="2" t="s">
        <v>188</v>
      </c>
      <c r="AG287" s="2" t="s">
        <v>188</v>
      </c>
      <c r="AH287" s="2" t="s">
        <v>188</v>
      </c>
      <c r="AJ287" s="2" t="s">
        <v>188</v>
      </c>
      <c r="AK287" s="2" t="s">
        <v>188</v>
      </c>
      <c r="AL287" s="2" t="s">
        <v>188</v>
      </c>
      <c r="AM287" s="2" t="s">
        <v>188</v>
      </c>
      <c r="AN287" s="2" t="s">
        <v>188</v>
      </c>
      <c r="AO287" s="2" t="s">
        <v>188</v>
      </c>
      <c r="AR287" s="2">
        <v>3.1</v>
      </c>
      <c r="AS287" s="2">
        <v>5</v>
      </c>
      <c r="AT287" s="2">
        <v>12</v>
      </c>
      <c r="AU287" s="2" t="s">
        <v>189</v>
      </c>
      <c r="AV287" s="2" t="s">
        <v>189</v>
      </c>
      <c r="AW287" s="2" t="s">
        <v>188</v>
      </c>
      <c r="AZ287" s="2" t="s">
        <v>190</v>
      </c>
      <c r="BB287" s="2" t="s">
        <v>191</v>
      </c>
      <c r="BC287" s="2" t="s">
        <v>192</v>
      </c>
      <c r="BD287" s="2" t="s">
        <v>187</v>
      </c>
      <c r="BE287" s="2" t="s">
        <v>187</v>
      </c>
      <c r="BF287" s="2" t="s">
        <v>193</v>
      </c>
      <c r="BG287" s="2" t="s">
        <v>194</v>
      </c>
      <c r="BH287" s="2" t="s">
        <v>297</v>
      </c>
      <c r="BI287" s="2" t="s">
        <v>196</v>
      </c>
      <c r="BL287" s="2" t="s">
        <v>197</v>
      </c>
      <c r="BM287" s="2" t="s">
        <v>198</v>
      </c>
      <c r="BN287" s="2" t="s">
        <v>199</v>
      </c>
      <c r="BO287" s="2" t="s">
        <v>188</v>
      </c>
      <c r="BQ287" s="2" t="s">
        <v>200</v>
      </c>
      <c r="BS287" s="2" t="s">
        <v>187</v>
      </c>
      <c r="BT287" s="2" t="s">
        <v>241</v>
      </c>
      <c r="BV287" s="2" t="s">
        <v>248</v>
      </c>
      <c r="BX287" s="2" t="s">
        <v>188</v>
      </c>
      <c r="BZ287" s="2" t="s">
        <v>188</v>
      </c>
      <c r="CE287" s="2">
        <v>12</v>
      </c>
      <c r="CF287" s="2">
        <v>1100</v>
      </c>
      <c r="CM287" s="2">
        <v>100</v>
      </c>
      <c r="CO287" s="2">
        <v>100</v>
      </c>
      <c r="CR287" s="2" t="s">
        <v>204</v>
      </c>
      <c r="CT287" s="2" t="s">
        <v>188</v>
      </c>
      <c r="CU287" s="2" t="s">
        <v>205</v>
      </c>
      <c r="CW287" s="2" t="s">
        <v>206</v>
      </c>
      <c r="CY287" s="2" t="s">
        <v>207</v>
      </c>
      <c r="CZ287" s="2" t="s">
        <v>207</v>
      </c>
      <c r="DA287" s="2" t="s">
        <v>207</v>
      </c>
      <c r="DB287" s="2" t="s">
        <v>207</v>
      </c>
      <c r="DC287" s="2" t="s">
        <v>208</v>
      </c>
      <c r="DD287" s="2" t="s">
        <v>208</v>
      </c>
      <c r="DE287" s="2" t="s">
        <v>208</v>
      </c>
      <c r="DF287" s="2" t="s">
        <v>208</v>
      </c>
      <c r="DG287" s="2" t="s">
        <v>208</v>
      </c>
      <c r="DH287" s="2" t="s">
        <v>208</v>
      </c>
      <c r="DI287" s="2" t="s">
        <v>208</v>
      </c>
      <c r="DL287" s="2" t="s">
        <v>187</v>
      </c>
      <c r="DM287" s="2" t="s">
        <v>187</v>
      </c>
      <c r="DN287" s="2" t="s">
        <v>187</v>
      </c>
      <c r="DO287" s="2" t="s">
        <v>187</v>
      </c>
      <c r="DP287" s="2" t="s">
        <v>209</v>
      </c>
      <c r="DQ287" s="2" t="s">
        <v>210</v>
      </c>
      <c r="DT287" s="2" t="s">
        <v>209</v>
      </c>
      <c r="DU287" s="2" t="s">
        <v>209</v>
      </c>
      <c r="DV287" s="2" t="s">
        <v>209</v>
      </c>
      <c r="DW287" s="2" t="s">
        <v>209</v>
      </c>
      <c r="DX287" s="2" t="s">
        <v>209</v>
      </c>
      <c r="DY287" s="2" t="s">
        <v>209</v>
      </c>
      <c r="DZ287" s="2" t="s">
        <v>209</v>
      </c>
      <c r="EA287" s="2" t="s">
        <v>209</v>
      </c>
      <c r="EB287" s="2" t="s">
        <v>209</v>
      </c>
      <c r="EF287" s="2" t="s">
        <v>767</v>
      </c>
      <c r="EJ287" s="2" t="s">
        <v>212</v>
      </c>
      <c r="EK287" s="2" t="s">
        <v>187</v>
      </c>
      <c r="EL287" s="2" t="s">
        <v>188</v>
      </c>
      <c r="EN287" s="2" t="s">
        <v>214</v>
      </c>
      <c r="EP287" s="2" t="s">
        <v>230</v>
      </c>
      <c r="ER287" s="2" t="s">
        <v>187</v>
      </c>
      <c r="ET287" s="2" t="s">
        <v>188</v>
      </c>
      <c r="EV287" s="2" t="s">
        <v>187</v>
      </c>
      <c r="EW287" s="2" t="s">
        <v>1183</v>
      </c>
      <c r="EX287" s="2" t="s">
        <v>188</v>
      </c>
      <c r="EY287" s="2" t="s">
        <v>1183</v>
      </c>
      <c r="EZ287" s="2" t="s">
        <v>188</v>
      </c>
      <c r="FC287" s="2" t="s">
        <v>216</v>
      </c>
      <c r="FD287" s="2" t="s">
        <v>188</v>
      </c>
      <c r="FH287" s="2" t="s">
        <v>188</v>
      </c>
      <c r="FJ287" s="2" t="s">
        <v>187</v>
      </c>
      <c r="FK287" s="2" t="s">
        <v>209</v>
      </c>
      <c r="FL287" s="2" t="s">
        <v>217</v>
      </c>
      <c r="FN287" s="2" t="s">
        <v>218</v>
      </c>
      <c r="FT287" s="2" t="s">
        <v>219</v>
      </c>
      <c r="FU287" s="2" t="s">
        <v>219</v>
      </c>
      <c r="FV287" s="2" t="s">
        <v>219</v>
      </c>
      <c r="FW287" s="2" t="s">
        <v>219</v>
      </c>
      <c r="FZ287" s="4">
        <v>46041.686365740738</v>
      </c>
    </row>
    <row r="288" spans="1:182">
      <c r="A288" s="2" t="s">
        <v>2004</v>
      </c>
      <c r="D288" s="6">
        <v>46034.380162037036</v>
      </c>
      <c r="E288" s="2" t="s">
        <v>2005</v>
      </c>
      <c r="F288" s="2" t="s">
        <v>480</v>
      </c>
      <c r="G288" s="2" t="s">
        <v>1965</v>
      </c>
      <c r="H288" s="2" t="s">
        <v>2001</v>
      </c>
      <c r="I288" s="2" t="s">
        <v>2006</v>
      </c>
      <c r="J288" s="2">
        <v>965522054</v>
      </c>
      <c r="K288" s="2" t="s">
        <v>2007</v>
      </c>
      <c r="L288" s="2" t="s">
        <v>182</v>
      </c>
      <c r="M288" s="2" t="s">
        <v>223</v>
      </c>
      <c r="N288" s="2">
        <v>1977</v>
      </c>
      <c r="O288" s="2" t="s">
        <v>224</v>
      </c>
      <c r="P288" s="2" t="s">
        <v>225</v>
      </c>
      <c r="Q288" s="2" t="s">
        <v>270</v>
      </c>
      <c r="R288" s="2" t="s">
        <v>188</v>
      </c>
      <c r="S288" s="2">
        <v>28</v>
      </c>
      <c r="T288" s="2" t="s">
        <v>188</v>
      </c>
      <c r="U288" s="2" t="s">
        <v>188</v>
      </c>
      <c r="Y288" s="2">
        <v>820</v>
      </c>
      <c r="Z288" s="2">
        <v>0.28050000000000003</v>
      </c>
      <c r="AA288" s="2">
        <v>230</v>
      </c>
      <c r="AB288" s="2">
        <v>805</v>
      </c>
      <c r="AC288" s="2">
        <v>805</v>
      </c>
      <c r="AD288" s="2">
        <v>920</v>
      </c>
      <c r="AE288" s="2">
        <v>115</v>
      </c>
      <c r="AF288" s="2" t="s">
        <v>188</v>
      </c>
      <c r="AG288" s="2" t="s">
        <v>188</v>
      </c>
      <c r="AH288" s="2" t="s">
        <v>188</v>
      </c>
      <c r="AJ288" s="2" t="s">
        <v>188</v>
      </c>
      <c r="AK288" s="2" t="s">
        <v>188</v>
      </c>
      <c r="AL288" s="2" t="s">
        <v>188</v>
      </c>
      <c r="AM288" s="2" t="s">
        <v>187</v>
      </c>
      <c r="AN288" s="2" t="s">
        <v>188</v>
      </c>
      <c r="AO288" s="2" t="s">
        <v>188</v>
      </c>
      <c r="AR288" s="2">
        <v>2.6</v>
      </c>
      <c r="AS288" s="2">
        <v>3</v>
      </c>
      <c r="AT288" s="2">
        <v>10</v>
      </c>
      <c r="AU288" s="2" t="s">
        <v>238</v>
      </c>
      <c r="AV288" s="2" t="s">
        <v>238</v>
      </c>
      <c r="AW288" s="2" t="s">
        <v>188</v>
      </c>
      <c r="AZ288" s="2" t="s">
        <v>957</v>
      </c>
      <c r="BB288" s="2" t="s">
        <v>260</v>
      </c>
      <c r="BC288" s="2" t="s">
        <v>296</v>
      </c>
      <c r="BD288" s="2" t="s">
        <v>188</v>
      </c>
      <c r="BE288" s="2" t="s">
        <v>187</v>
      </c>
      <c r="BF288" s="2" t="s">
        <v>193</v>
      </c>
      <c r="BG288" s="2" t="s">
        <v>194</v>
      </c>
      <c r="BH288" s="2" t="s">
        <v>297</v>
      </c>
      <c r="BI288" s="2" t="s">
        <v>196</v>
      </c>
      <c r="BL288" s="2" t="s">
        <v>197</v>
      </c>
      <c r="BM288" s="2" t="s">
        <v>198</v>
      </c>
      <c r="BN288" s="2" t="s">
        <v>199</v>
      </c>
      <c r="BO288" s="2" t="s">
        <v>188</v>
      </c>
      <c r="BQ288" s="2" t="s">
        <v>227</v>
      </c>
      <c r="BS288" s="2" t="s">
        <v>187</v>
      </c>
      <c r="BT288" s="2" t="s">
        <v>611</v>
      </c>
      <c r="BV288" s="2" t="s">
        <v>1628</v>
      </c>
      <c r="BX288" s="2" t="s">
        <v>187</v>
      </c>
      <c r="BY288" s="2" t="s">
        <v>2008</v>
      </c>
      <c r="BZ288" s="2" t="s">
        <v>188</v>
      </c>
      <c r="CE288" s="2">
        <v>10</v>
      </c>
      <c r="CF288" s="2">
        <v>980</v>
      </c>
      <c r="CM288" s="2">
        <v>100</v>
      </c>
      <c r="CO288" s="2">
        <v>100</v>
      </c>
      <c r="CR288" s="2" t="s">
        <v>204</v>
      </c>
      <c r="CT288" s="2" t="s">
        <v>188</v>
      </c>
      <c r="CU288" s="2" t="s">
        <v>249</v>
      </c>
      <c r="CW288" s="2" t="s">
        <v>206</v>
      </c>
      <c r="CY288" s="2" t="s">
        <v>207</v>
      </c>
      <c r="CZ288" s="2" t="s">
        <v>207</v>
      </c>
      <c r="DA288" s="2" t="s">
        <v>300</v>
      </c>
      <c r="DB288" s="2" t="s">
        <v>430</v>
      </c>
      <c r="DC288" s="2" t="s">
        <v>430</v>
      </c>
      <c r="DD288" s="2" t="s">
        <v>430</v>
      </c>
      <c r="DE288" s="2" t="s">
        <v>300</v>
      </c>
      <c r="DF288" s="2" t="s">
        <v>207</v>
      </c>
      <c r="DG288" s="2" t="s">
        <v>207</v>
      </c>
      <c r="DH288" s="2" t="s">
        <v>207</v>
      </c>
      <c r="DI288" s="2" t="s">
        <v>300</v>
      </c>
      <c r="DL288" s="2" t="s">
        <v>187</v>
      </c>
      <c r="DM288" s="2" t="s">
        <v>187</v>
      </c>
      <c r="DN288" s="2" t="s">
        <v>187</v>
      </c>
      <c r="DO288" s="2" t="s">
        <v>187</v>
      </c>
      <c r="DP288" s="2" t="s">
        <v>209</v>
      </c>
      <c r="DQ288" s="2" t="s">
        <v>467</v>
      </c>
      <c r="DR288" s="2" t="s">
        <v>2009</v>
      </c>
      <c r="DT288" s="2" t="s">
        <v>209</v>
      </c>
      <c r="DU288" s="2" t="s">
        <v>209</v>
      </c>
      <c r="DV288" s="2" t="s">
        <v>209</v>
      </c>
      <c r="DW288" s="2" t="s">
        <v>209</v>
      </c>
      <c r="DX288" s="2" t="s">
        <v>209</v>
      </c>
      <c r="DY288" s="2" t="s">
        <v>203</v>
      </c>
      <c r="DZ288" s="2" t="s">
        <v>203</v>
      </c>
      <c r="EA288" s="2" t="s">
        <v>203</v>
      </c>
      <c r="EB288" s="2" t="s">
        <v>209</v>
      </c>
      <c r="EC288" s="2" t="s">
        <v>203</v>
      </c>
      <c r="ED288" s="2" t="s">
        <v>203</v>
      </c>
      <c r="EF288" s="2" t="s">
        <v>189</v>
      </c>
      <c r="EJ288" s="2" t="s">
        <v>238</v>
      </c>
      <c r="EK288" s="2" t="s">
        <v>187</v>
      </c>
      <c r="EL288" s="2" t="s">
        <v>188</v>
      </c>
      <c r="EN288" s="2" t="s">
        <v>214</v>
      </c>
      <c r="EP288" s="2" t="s">
        <v>230</v>
      </c>
      <c r="ER288" s="2" t="s">
        <v>187</v>
      </c>
      <c r="ET288" s="2" t="s">
        <v>188</v>
      </c>
      <c r="EV288" s="2" t="s">
        <v>187</v>
      </c>
      <c r="EW288" s="2" t="s">
        <v>215</v>
      </c>
      <c r="EX288" s="2" t="s">
        <v>188</v>
      </c>
      <c r="EZ288" s="2" t="s">
        <v>188</v>
      </c>
      <c r="FC288" s="2" t="s">
        <v>263</v>
      </c>
      <c r="FD288" s="2" t="s">
        <v>188</v>
      </c>
      <c r="FH288" s="2" t="s">
        <v>188</v>
      </c>
      <c r="FJ288" s="2" t="s">
        <v>188</v>
      </c>
      <c r="FK288" s="2" t="s">
        <v>188</v>
      </c>
      <c r="FN288" s="2" t="s">
        <v>488</v>
      </c>
      <c r="FR288" s="2" t="s">
        <v>2010</v>
      </c>
      <c r="FT288" s="2" t="s">
        <v>233</v>
      </c>
      <c r="FU288" s="2" t="s">
        <v>233</v>
      </c>
      <c r="FV288" s="2" t="s">
        <v>233</v>
      </c>
      <c r="FW288" s="2" t="s">
        <v>233</v>
      </c>
      <c r="FZ288" s="4">
        <v>46043.580729166664</v>
      </c>
    </row>
    <row r="289" spans="1:182">
      <c r="A289" s="2" t="s">
        <v>2011</v>
      </c>
      <c r="D289" s="6">
        <v>46034.376203703701</v>
      </c>
      <c r="E289" s="2" t="s">
        <v>177</v>
      </c>
      <c r="F289" s="2" t="s">
        <v>178</v>
      </c>
      <c r="G289" s="2" t="s">
        <v>1965</v>
      </c>
      <c r="H289" s="2" t="s">
        <v>2012</v>
      </c>
      <c r="I289" s="2" t="s">
        <v>2013</v>
      </c>
      <c r="J289" s="2">
        <v>393287580</v>
      </c>
      <c r="K289" s="2" t="s">
        <v>1856</v>
      </c>
      <c r="L289" s="2" t="s">
        <v>352</v>
      </c>
      <c r="M289" s="2" t="s">
        <v>223</v>
      </c>
      <c r="N289" s="2">
        <v>1975</v>
      </c>
      <c r="O289" s="2" t="s">
        <v>224</v>
      </c>
      <c r="P289" s="2" t="s">
        <v>225</v>
      </c>
      <c r="Q289" s="2" t="s">
        <v>186</v>
      </c>
      <c r="R289" s="2" t="s">
        <v>188</v>
      </c>
      <c r="S289" s="2">
        <v>31</v>
      </c>
      <c r="T289" s="2" t="s">
        <v>188</v>
      </c>
      <c r="U289" s="2" t="s">
        <v>188</v>
      </c>
      <c r="Y289" s="2">
        <v>960</v>
      </c>
      <c r="Z289" s="2">
        <v>1</v>
      </c>
      <c r="AA289" s="2">
        <v>960</v>
      </c>
      <c r="AB289" s="2">
        <v>960</v>
      </c>
      <c r="AC289" s="2">
        <v>950</v>
      </c>
      <c r="AD289" s="2">
        <v>1200</v>
      </c>
      <c r="AE289" s="2">
        <v>250</v>
      </c>
      <c r="AF289" s="2" t="s">
        <v>188</v>
      </c>
      <c r="AG289" s="2" t="s">
        <v>187</v>
      </c>
      <c r="AH289" s="2" t="s">
        <v>188</v>
      </c>
      <c r="AJ289" s="2" t="s">
        <v>188</v>
      </c>
      <c r="AK289" s="2" t="s">
        <v>188</v>
      </c>
      <c r="AL289" s="2" t="s">
        <v>188</v>
      </c>
      <c r="AM289" s="2" t="s">
        <v>188</v>
      </c>
      <c r="AN289" s="2" t="s">
        <v>188</v>
      </c>
      <c r="AO289" s="2" t="s">
        <v>188</v>
      </c>
      <c r="AR289" s="2">
        <v>2.68</v>
      </c>
      <c r="AS289" s="2">
        <v>4</v>
      </c>
      <c r="AT289" s="2">
        <v>12.3</v>
      </c>
      <c r="AU289" s="2" t="s">
        <v>212</v>
      </c>
      <c r="AV289" s="2" t="s">
        <v>212</v>
      </c>
      <c r="AW289" s="2" t="s">
        <v>188</v>
      </c>
      <c r="AZ289" s="2" t="s">
        <v>190</v>
      </c>
      <c r="BB289" s="2" t="s">
        <v>191</v>
      </c>
      <c r="BC289" s="2" t="s">
        <v>192</v>
      </c>
      <c r="BD289" s="2" t="s">
        <v>187</v>
      </c>
      <c r="BE289" s="2" t="s">
        <v>187</v>
      </c>
      <c r="BF289" s="2" t="s">
        <v>193</v>
      </c>
      <c r="BG289" s="2" t="s">
        <v>194</v>
      </c>
      <c r="BH289" s="2" t="s">
        <v>297</v>
      </c>
      <c r="BI289" s="2" t="s">
        <v>196</v>
      </c>
      <c r="BL289" s="2" t="s">
        <v>197</v>
      </c>
      <c r="BM289" s="2" t="s">
        <v>198</v>
      </c>
      <c r="BN289" s="2" t="s">
        <v>199</v>
      </c>
      <c r="BO289" s="2" t="s">
        <v>188</v>
      </c>
      <c r="BQ289" s="2" t="s">
        <v>200</v>
      </c>
      <c r="BS289" s="2" t="s">
        <v>187</v>
      </c>
      <c r="BT289" s="2" t="s">
        <v>1325</v>
      </c>
      <c r="BV289" s="2" t="s">
        <v>248</v>
      </c>
      <c r="BX289" s="2" t="s">
        <v>188</v>
      </c>
      <c r="BZ289" s="2" t="s">
        <v>188</v>
      </c>
      <c r="CE289" s="2">
        <v>12.3</v>
      </c>
      <c r="CF289" s="2">
        <v>1200</v>
      </c>
      <c r="CM289" s="2">
        <v>100</v>
      </c>
      <c r="CO289" s="2">
        <v>100</v>
      </c>
      <c r="CR289" s="2" t="s">
        <v>204</v>
      </c>
      <c r="CT289" s="2" t="s">
        <v>188</v>
      </c>
      <c r="CU289" s="2" t="s">
        <v>205</v>
      </c>
      <c r="CW289" s="2" t="s">
        <v>206</v>
      </c>
      <c r="CY289" s="2" t="s">
        <v>207</v>
      </c>
      <c r="CZ289" s="2" t="s">
        <v>207</v>
      </c>
      <c r="DA289" s="2" t="s">
        <v>207</v>
      </c>
      <c r="DB289" s="2" t="s">
        <v>208</v>
      </c>
      <c r="DC289" s="2" t="s">
        <v>208</v>
      </c>
      <c r="DD289" s="2" t="s">
        <v>208</v>
      </c>
      <c r="DE289" s="2" t="s">
        <v>208</v>
      </c>
      <c r="DF289" s="2" t="s">
        <v>208</v>
      </c>
      <c r="DG289" s="2" t="s">
        <v>208</v>
      </c>
      <c r="DH289" s="2" t="s">
        <v>208</v>
      </c>
      <c r="DI289" s="2" t="s">
        <v>208</v>
      </c>
      <c r="DL289" s="2" t="s">
        <v>187</v>
      </c>
      <c r="DM289" s="2" t="s">
        <v>187</v>
      </c>
      <c r="DN289" s="2" t="s">
        <v>187</v>
      </c>
      <c r="DO289" s="2" t="s">
        <v>187</v>
      </c>
      <c r="DP289" s="2" t="s">
        <v>209</v>
      </c>
      <c r="DQ289" s="2" t="s">
        <v>210</v>
      </c>
      <c r="DT289" s="2" t="s">
        <v>209</v>
      </c>
      <c r="DU289" s="2" t="s">
        <v>209</v>
      </c>
      <c r="DV289" s="2" t="s">
        <v>209</v>
      </c>
      <c r="DW289" s="2" t="s">
        <v>209</v>
      </c>
      <c r="DX289" s="2" t="s">
        <v>209</v>
      </c>
      <c r="DY289" s="2" t="s">
        <v>209</v>
      </c>
      <c r="DZ289" s="2" t="s">
        <v>209</v>
      </c>
      <c r="EA289" s="2" t="s">
        <v>209</v>
      </c>
      <c r="EB289" s="2" t="s">
        <v>209</v>
      </c>
      <c r="EF289" s="2" t="s">
        <v>767</v>
      </c>
      <c r="EJ289" s="2" t="s">
        <v>212</v>
      </c>
      <c r="EK289" s="2" t="s">
        <v>187</v>
      </c>
      <c r="EL289" s="2" t="s">
        <v>188</v>
      </c>
      <c r="EN289" s="2" t="s">
        <v>214</v>
      </c>
      <c r="EP289" s="2" t="s">
        <v>230</v>
      </c>
      <c r="ER289" s="2" t="s">
        <v>187</v>
      </c>
      <c r="ET289" s="2" t="s">
        <v>188</v>
      </c>
      <c r="EV289" s="2" t="s">
        <v>187</v>
      </c>
      <c r="EW289" s="2" t="s">
        <v>1183</v>
      </c>
      <c r="EX289" s="2" t="s">
        <v>188</v>
      </c>
      <c r="EZ289" s="2" t="s">
        <v>188</v>
      </c>
      <c r="FC289" s="2" t="s">
        <v>216</v>
      </c>
      <c r="FD289" s="2" t="s">
        <v>188</v>
      </c>
      <c r="FH289" s="2" t="s">
        <v>188</v>
      </c>
      <c r="FJ289" s="2" t="s">
        <v>187</v>
      </c>
      <c r="FK289" s="2" t="s">
        <v>209</v>
      </c>
      <c r="FL289" s="2" t="s">
        <v>1665</v>
      </c>
      <c r="FN289" s="2" t="s">
        <v>313</v>
      </c>
      <c r="FT289" s="2" t="s">
        <v>219</v>
      </c>
      <c r="FU289" s="2" t="s">
        <v>219</v>
      </c>
      <c r="FV289" s="2" t="s">
        <v>219</v>
      </c>
      <c r="FW289" s="2" t="s">
        <v>219</v>
      </c>
      <c r="FZ289" s="4">
        <v>46041.678842592592</v>
      </c>
    </row>
    <row r="290" spans="1:182">
      <c r="A290" s="2" t="s">
        <v>2014</v>
      </c>
      <c r="D290" s="6">
        <v>46034.368888888886</v>
      </c>
      <c r="E290" s="2" t="s">
        <v>2015</v>
      </c>
      <c r="F290" s="2" t="s">
        <v>425</v>
      </c>
      <c r="G290" s="2" t="s">
        <v>1965</v>
      </c>
      <c r="H290" s="2" t="s">
        <v>1966</v>
      </c>
      <c r="I290" s="2" t="s">
        <v>2016</v>
      </c>
      <c r="K290" s="2" t="s">
        <v>2017</v>
      </c>
      <c r="L290" s="2" t="s">
        <v>182</v>
      </c>
      <c r="M290" s="2" t="s">
        <v>223</v>
      </c>
      <c r="N290" s="2">
        <v>1974</v>
      </c>
      <c r="O290" s="2" t="s">
        <v>224</v>
      </c>
      <c r="P290" s="2" t="s">
        <v>225</v>
      </c>
      <c r="Q290" s="2" t="s">
        <v>186</v>
      </c>
      <c r="R290" s="2" t="s">
        <v>188</v>
      </c>
      <c r="S290" s="2">
        <v>40</v>
      </c>
      <c r="T290" s="2" t="s">
        <v>188</v>
      </c>
      <c r="U290" s="2" t="s">
        <v>188</v>
      </c>
      <c r="Y290" s="2">
        <v>150</v>
      </c>
      <c r="Z290" s="2">
        <v>0.76670000000000005</v>
      </c>
      <c r="AA290" s="2">
        <v>115</v>
      </c>
      <c r="AB290" s="2">
        <v>115</v>
      </c>
      <c r="AC290" s="2">
        <v>95</v>
      </c>
      <c r="AD290" s="2">
        <v>130</v>
      </c>
      <c r="AE290" s="2">
        <v>35</v>
      </c>
      <c r="AF290" s="2" t="s">
        <v>188</v>
      </c>
      <c r="AG290" s="2" t="s">
        <v>187</v>
      </c>
      <c r="AH290" s="2" t="s">
        <v>188</v>
      </c>
      <c r="AJ290" s="2" t="s">
        <v>188</v>
      </c>
      <c r="AK290" s="2" t="s">
        <v>188</v>
      </c>
      <c r="AL290" s="2" t="s">
        <v>188</v>
      </c>
      <c r="AM290" s="2" t="s">
        <v>187</v>
      </c>
      <c r="AN290" s="2" t="s">
        <v>188</v>
      </c>
      <c r="AO290" s="2" t="s">
        <v>188</v>
      </c>
      <c r="AR290" s="2">
        <v>1.1000000000000001</v>
      </c>
      <c r="AS290" s="2">
        <v>2</v>
      </c>
      <c r="AT290" s="2">
        <v>1.3</v>
      </c>
      <c r="AU290" s="2" t="s">
        <v>189</v>
      </c>
      <c r="AV290" s="2" t="s">
        <v>238</v>
      </c>
      <c r="AW290" s="2" t="s">
        <v>188</v>
      </c>
      <c r="AZ290" s="2" t="s">
        <v>2018</v>
      </c>
      <c r="BB290" s="2" t="s">
        <v>191</v>
      </c>
      <c r="BC290" s="2" t="s">
        <v>296</v>
      </c>
      <c r="BD290" s="2" t="s">
        <v>187</v>
      </c>
      <c r="BE290" s="2" t="s">
        <v>187</v>
      </c>
      <c r="BF290" s="2" t="s">
        <v>193</v>
      </c>
      <c r="BG290" s="2" t="s">
        <v>194</v>
      </c>
      <c r="BH290" s="2" t="s">
        <v>280</v>
      </c>
      <c r="BI290" s="2" t="s">
        <v>196</v>
      </c>
      <c r="BL290" s="2" t="s">
        <v>240</v>
      </c>
      <c r="BO290" s="2" t="s">
        <v>341</v>
      </c>
      <c r="BP290" s="2" t="s">
        <v>342</v>
      </c>
      <c r="BS290" s="2" t="s">
        <v>187</v>
      </c>
      <c r="BT290" s="2" t="s">
        <v>69</v>
      </c>
      <c r="BU290" s="2" t="s">
        <v>429</v>
      </c>
      <c r="BV290" s="2" t="s">
        <v>248</v>
      </c>
      <c r="BX290" s="2" t="s">
        <v>188</v>
      </c>
      <c r="BZ290" s="2" t="s">
        <v>188</v>
      </c>
      <c r="CE290" s="2">
        <v>1.3</v>
      </c>
      <c r="CF290" s="2">
        <v>130</v>
      </c>
      <c r="CK290" s="2">
        <v>100</v>
      </c>
      <c r="CO290" s="2">
        <v>100</v>
      </c>
      <c r="CR290" s="2" t="s">
        <v>204</v>
      </c>
      <c r="CT290" s="2" t="s">
        <v>188</v>
      </c>
      <c r="CU290" s="2" t="s">
        <v>758</v>
      </c>
      <c r="CW290" s="2" t="s">
        <v>206</v>
      </c>
      <c r="CY290" s="2" t="s">
        <v>300</v>
      </c>
      <c r="CZ290" s="2" t="s">
        <v>300</v>
      </c>
      <c r="DA290" s="2" t="s">
        <v>300</v>
      </c>
      <c r="DB290" s="2" t="s">
        <v>430</v>
      </c>
      <c r="DC290" s="2" t="s">
        <v>300</v>
      </c>
      <c r="DD290" s="2" t="s">
        <v>430</v>
      </c>
      <c r="DE290" s="2" t="s">
        <v>300</v>
      </c>
      <c r="DF290" s="2" t="s">
        <v>207</v>
      </c>
      <c r="DG290" s="2" t="s">
        <v>207</v>
      </c>
      <c r="DH290" s="2" t="s">
        <v>430</v>
      </c>
      <c r="DI290" s="2" t="s">
        <v>430</v>
      </c>
      <c r="DL290" s="2" t="s">
        <v>187</v>
      </c>
      <c r="DM290" s="2" t="s">
        <v>187</v>
      </c>
      <c r="DN290" s="2" t="s">
        <v>187</v>
      </c>
      <c r="DO290" s="2" t="s">
        <v>188</v>
      </c>
      <c r="DP290" s="2" t="s">
        <v>209</v>
      </c>
      <c r="DQ290" s="2" t="s">
        <v>467</v>
      </c>
      <c r="DR290" s="2" t="s">
        <v>2019</v>
      </c>
      <c r="DT290" s="2" t="s">
        <v>209</v>
      </c>
      <c r="DU290" s="2" t="s">
        <v>209</v>
      </c>
      <c r="DV290" s="2" t="s">
        <v>209</v>
      </c>
      <c r="DW290" s="2" t="s">
        <v>209</v>
      </c>
      <c r="DX290" s="2" t="s">
        <v>209</v>
      </c>
      <c r="DY290" s="2" t="s">
        <v>209</v>
      </c>
      <c r="DZ290" s="2" t="s">
        <v>203</v>
      </c>
      <c r="EA290" s="2" t="s">
        <v>209</v>
      </c>
      <c r="EB290" s="2" t="s">
        <v>209</v>
      </c>
      <c r="EC290" s="2" t="s">
        <v>188</v>
      </c>
      <c r="EF290" s="2" t="s">
        <v>189</v>
      </c>
      <c r="EG290" s="2" t="s">
        <v>2020</v>
      </c>
      <c r="EJ290" s="2" t="s">
        <v>238</v>
      </c>
      <c r="EK290" s="2" t="s">
        <v>187</v>
      </c>
      <c r="EL290" s="2" t="s">
        <v>188</v>
      </c>
      <c r="EN290" s="2" t="s">
        <v>214</v>
      </c>
      <c r="EP290" s="2" t="s">
        <v>230</v>
      </c>
      <c r="ER290" s="2" t="s">
        <v>187</v>
      </c>
      <c r="ET290" s="2" t="s">
        <v>188</v>
      </c>
      <c r="EV290" s="2" t="s">
        <v>187</v>
      </c>
      <c r="EW290" s="2" t="s">
        <v>215</v>
      </c>
      <c r="EX290" s="2" t="s">
        <v>188</v>
      </c>
      <c r="EZ290" s="2" t="s">
        <v>188</v>
      </c>
      <c r="FC290" s="2" t="s">
        <v>263</v>
      </c>
      <c r="FD290" s="2" t="s">
        <v>188</v>
      </c>
      <c r="FH290" s="2" t="s">
        <v>188</v>
      </c>
      <c r="FJ290" s="2" t="s">
        <v>188</v>
      </c>
      <c r="FK290" s="2" t="s">
        <v>203</v>
      </c>
      <c r="FN290" s="2" t="s">
        <v>354</v>
      </c>
      <c r="FR290" s="2" t="s">
        <v>433</v>
      </c>
      <c r="FT290" s="2" t="s">
        <v>233</v>
      </c>
      <c r="FU290" s="2" t="s">
        <v>233</v>
      </c>
      <c r="FV290" s="2" t="s">
        <v>219</v>
      </c>
      <c r="FW290" s="2" t="s">
        <v>219</v>
      </c>
      <c r="FZ290" s="4">
        <v>46040.36074074074</v>
      </c>
    </row>
    <row r="291" spans="1:182">
      <c r="A291" s="2" t="s">
        <v>2021</v>
      </c>
      <c r="D291" s="6">
        <v>46034.387962962966</v>
      </c>
      <c r="E291" s="2" t="s">
        <v>2022</v>
      </c>
      <c r="F291" s="2" t="s">
        <v>480</v>
      </c>
      <c r="G291" s="2" t="s">
        <v>1965</v>
      </c>
      <c r="H291" s="2" t="s">
        <v>2001</v>
      </c>
      <c r="I291" s="2" t="s">
        <v>2023</v>
      </c>
      <c r="J291" s="2">
        <v>396467289</v>
      </c>
      <c r="K291" s="2" t="s">
        <v>2024</v>
      </c>
      <c r="L291" s="2" t="s">
        <v>182</v>
      </c>
      <c r="M291" s="2" t="s">
        <v>223</v>
      </c>
      <c r="N291" s="2">
        <v>1978</v>
      </c>
      <c r="O291" s="2" t="s">
        <v>224</v>
      </c>
      <c r="P291" s="2" t="s">
        <v>225</v>
      </c>
      <c r="Q291" s="2" t="s">
        <v>270</v>
      </c>
      <c r="R291" s="2" t="s">
        <v>188</v>
      </c>
      <c r="S291" s="2">
        <v>31</v>
      </c>
      <c r="T291" s="2" t="s">
        <v>188</v>
      </c>
      <c r="U291" s="2" t="s">
        <v>188</v>
      </c>
      <c r="Y291" s="2">
        <v>604</v>
      </c>
      <c r="Z291" s="2">
        <v>1</v>
      </c>
      <c r="AA291" s="2">
        <v>604</v>
      </c>
      <c r="AB291" s="2">
        <v>604</v>
      </c>
      <c r="AC291" s="2">
        <v>604</v>
      </c>
      <c r="AD291" s="2">
        <v>784</v>
      </c>
      <c r="AE291" s="2">
        <v>180</v>
      </c>
      <c r="AF291" s="2" t="s">
        <v>188</v>
      </c>
      <c r="AG291" s="2" t="s">
        <v>188</v>
      </c>
      <c r="AH291" s="2" t="s">
        <v>188</v>
      </c>
      <c r="AJ291" s="2" t="s">
        <v>188</v>
      </c>
      <c r="AK291" s="2" t="s">
        <v>188</v>
      </c>
      <c r="AL291" s="2" t="s">
        <v>188</v>
      </c>
      <c r="AM291" s="2" t="s">
        <v>188</v>
      </c>
      <c r="AN291" s="2" t="s">
        <v>188</v>
      </c>
      <c r="AO291" s="2" t="s">
        <v>188</v>
      </c>
      <c r="AR291" s="2">
        <v>1.5</v>
      </c>
      <c r="AS291" s="2">
        <v>3</v>
      </c>
      <c r="AT291" s="2">
        <v>8</v>
      </c>
      <c r="AU291" s="2" t="s">
        <v>238</v>
      </c>
      <c r="AV291" s="2" t="s">
        <v>238</v>
      </c>
      <c r="AW291" s="2" t="s">
        <v>188</v>
      </c>
      <c r="AZ291" s="2" t="s">
        <v>190</v>
      </c>
      <c r="BB291" s="2" t="s">
        <v>260</v>
      </c>
      <c r="BC291" s="2" t="s">
        <v>192</v>
      </c>
      <c r="BD291" s="2" t="s">
        <v>187</v>
      </c>
      <c r="BE291" s="2" t="s">
        <v>187</v>
      </c>
      <c r="BF291" s="2" t="s">
        <v>193</v>
      </c>
      <c r="BG291" s="2" t="s">
        <v>194</v>
      </c>
      <c r="BH291" s="2" t="s">
        <v>280</v>
      </c>
      <c r="BI291" s="2" t="s">
        <v>196</v>
      </c>
      <c r="BL291" s="2" t="s">
        <v>197</v>
      </c>
      <c r="BM291" s="2" t="s">
        <v>198</v>
      </c>
      <c r="BN291" s="2" t="s">
        <v>199</v>
      </c>
      <c r="BO291" s="2" t="s">
        <v>188</v>
      </c>
      <c r="BQ291" s="2" t="s">
        <v>309</v>
      </c>
      <c r="BS291" s="2" t="s">
        <v>187</v>
      </c>
      <c r="BT291" s="2" t="s">
        <v>611</v>
      </c>
      <c r="BV291" s="2" t="s">
        <v>630</v>
      </c>
      <c r="BX291" s="2" t="s">
        <v>187</v>
      </c>
      <c r="BY291" s="2" t="s">
        <v>2025</v>
      </c>
      <c r="BZ291" s="2" t="s">
        <v>203</v>
      </c>
      <c r="CE291" s="2">
        <v>8</v>
      </c>
      <c r="CF291" s="2">
        <v>784</v>
      </c>
      <c r="CK291" s="2">
        <v>100</v>
      </c>
      <c r="CO291" s="2">
        <v>100</v>
      </c>
      <c r="CR291" s="2" t="s">
        <v>511</v>
      </c>
      <c r="CT291" s="2" t="s">
        <v>188</v>
      </c>
      <c r="CU291" s="2" t="s">
        <v>249</v>
      </c>
      <c r="CW291" s="2" t="s">
        <v>206</v>
      </c>
      <c r="CY291" s="2" t="s">
        <v>207</v>
      </c>
      <c r="CZ291" s="2" t="s">
        <v>207</v>
      </c>
      <c r="DA291" s="2" t="s">
        <v>300</v>
      </c>
      <c r="DB291" s="2" t="s">
        <v>300</v>
      </c>
      <c r="DC291" s="2" t="s">
        <v>430</v>
      </c>
      <c r="DD291" s="2" t="s">
        <v>430</v>
      </c>
      <c r="DE291" s="2" t="s">
        <v>300</v>
      </c>
      <c r="DF291" s="2" t="s">
        <v>207</v>
      </c>
      <c r="DG291" s="2" t="s">
        <v>207</v>
      </c>
      <c r="DH291" s="2" t="s">
        <v>207</v>
      </c>
      <c r="DI291" s="2" t="s">
        <v>300</v>
      </c>
      <c r="DL291" s="2" t="s">
        <v>187</v>
      </c>
      <c r="DM291" s="2" t="s">
        <v>187</v>
      </c>
      <c r="DN291" s="2" t="s">
        <v>187</v>
      </c>
      <c r="DO291" s="2" t="s">
        <v>187</v>
      </c>
      <c r="DP291" s="2" t="s">
        <v>209</v>
      </c>
      <c r="DQ291" s="2" t="s">
        <v>467</v>
      </c>
      <c r="DR291" s="2" t="s">
        <v>2026</v>
      </c>
      <c r="DT291" s="2" t="s">
        <v>209</v>
      </c>
      <c r="DU291" s="2" t="s">
        <v>209</v>
      </c>
      <c r="DV291" s="2" t="s">
        <v>209</v>
      </c>
      <c r="DW291" s="2" t="s">
        <v>209</v>
      </c>
      <c r="DX291" s="2" t="s">
        <v>209</v>
      </c>
      <c r="DY291" s="2" t="s">
        <v>203</v>
      </c>
      <c r="DZ291" s="2" t="s">
        <v>203</v>
      </c>
      <c r="EA291" s="2" t="s">
        <v>203</v>
      </c>
      <c r="EB291" s="2" t="s">
        <v>209</v>
      </c>
      <c r="EC291" s="2" t="s">
        <v>203</v>
      </c>
      <c r="ED291" s="2" t="s">
        <v>203</v>
      </c>
      <c r="EF291" s="2" t="s">
        <v>189</v>
      </c>
      <c r="EG291" s="2" t="s">
        <v>2027</v>
      </c>
      <c r="EJ291" s="2" t="s">
        <v>238</v>
      </c>
      <c r="EK291" s="2" t="s">
        <v>187</v>
      </c>
      <c r="EL291" s="2" t="s">
        <v>188</v>
      </c>
      <c r="EN291" s="2" t="s">
        <v>214</v>
      </c>
      <c r="EP291" s="2" t="s">
        <v>230</v>
      </c>
      <c r="ER291" s="2" t="s">
        <v>187</v>
      </c>
      <c r="ET291" s="2" t="s">
        <v>188</v>
      </c>
      <c r="EV291" s="2" t="s">
        <v>188</v>
      </c>
      <c r="EX291" s="2" t="s">
        <v>188</v>
      </c>
      <c r="EZ291" s="2" t="s">
        <v>188</v>
      </c>
      <c r="FC291" s="2" t="s">
        <v>263</v>
      </c>
      <c r="FD291" s="2" t="s">
        <v>188</v>
      </c>
      <c r="FH291" s="2" t="s">
        <v>188</v>
      </c>
      <c r="FJ291" s="2" t="s">
        <v>188</v>
      </c>
      <c r="FK291" s="2" t="s">
        <v>188</v>
      </c>
      <c r="FN291" s="2" t="s">
        <v>488</v>
      </c>
      <c r="FR291" s="2" t="s">
        <v>2028</v>
      </c>
      <c r="FT291" s="2" t="s">
        <v>233</v>
      </c>
      <c r="FU291" s="2" t="s">
        <v>233</v>
      </c>
      <c r="FV291" s="2" t="s">
        <v>233</v>
      </c>
      <c r="FW291" s="2" t="s">
        <v>233</v>
      </c>
      <c r="FX291" s="2" t="s">
        <v>233</v>
      </c>
      <c r="FY291" s="2" t="s">
        <v>2029</v>
      </c>
      <c r="FZ291" s="4">
        <v>46043.594247685185</v>
      </c>
    </row>
    <row r="292" spans="1:182">
      <c r="A292" s="2" t="s">
        <v>2030</v>
      </c>
      <c r="D292" s="6">
        <v>46034.371689814812</v>
      </c>
      <c r="E292" s="2" t="s">
        <v>177</v>
      </c>
      <c r="F292" s="2" t="s">
        <v>293</v>
      </c>
      <c r="G292" s="2" t="s">
        <v>1965</v>
      </c>
      <c r="H292" s="2" t="s">
        <v>1996</v>
      </c>
      <c r="I292" s="2" t="s">
        <v>2031</v>
      </c>
      <c r="J292" s="2">
        <v>965696558</v>
      </c>
      <c r="K292" s="2" t="s">
        <v>2032</v>
      </c>
      <c r="L292" s="2" t="s">
        <v>182</v>
      </c>
      <c r="M292" s="2" t="s">
        <v>223</v>
      </c>
      <c r="N292" s="2">
        <v>1967</v>
      </c>
      <c r="O292" s="2" t="s">
        <v>224</v>
      </c>
      <c r="P292" s="2" t="s">
        <v>225</v>
      </c>
      <c r="Q292" s="2" t="s">
        <v>186</v>
      </c>
      <c r="R292" s="2" t="s">
        <v>188</v>
      </c>
      <c r="S292" s="2">
        <v>1999</v>
      </c>
      <c r="T292" s="2" t="s">
        <v>188</v>
      </c>
      <c r="U292" s="2" t="s">
        <v>188</v>
      </c>
      <c r="Y292" s="2">
        <v>720</v>
      </c>
      <c r="Z292" s="2">
        <v>0.97219999999999995</v>
      </c>
      <c r="AA292" s="2">
        <v>700</v>
      </c>
      <c r="AB292" s="2">
        <v>700</v>
      </c>
      <c r="AC292" s="2">
        <v>610</v>
      </c>
      <c r="AD292" s="2">
        <v>680</v>
      </c>
      <c r="AE292" s="2">
        <v>70</v>
      </c>
      <c r="AF292" s="2" t="s">
        <v>188</v>
      </c>
      <c r="AG292" s="2" t="s">
        <v>187</v>
      </c>
      <c r="AH292" s="2" t="s">
        <v>187</v>
      </c>
      <c r="AI292" s="2" t="s">
        <v>346</v>
      </c>
      <c r="AJ292" s="2" t="s">
        <v>188</v>
      </c>
      <c r="AK292" s="2" t="s">
        <v>188</v>
      </c>
      <c r="AL292" s="2" t="s">
        <v>188</v>
      </c>
      <c r="AM292" s="2" t="s">
        <v>187</v>
      </c>
      <c r="AN292" s="2" t="s">
        <v>188</v>
      </c>
      <c r="AO292" s="2" t="s">
        <v>188</v>
      </c>
      <c r="AR292" s="2">
        <v>1.5</v>
      </c>
      <c r="AS292" s="2">
        <v>1</v>
      </c>
      <c r="AT292" s="2">
        <v>7</v>
      </c>
      <c r="AU292" s="2" t="s">
        <v>189</v>
      </c>
      <c r="AV292" s="2" t="s">
        <v>238</v>
      </c>
      <c r="AW292" s="2" t="s">
        <v>188</v>
      </c>
      <c r="AZ292" s="2" t="s">
        <v>190</v>
      </c>
      <c r="BB292" s="2" t="s">
        <v>260</v>
      </c>
      <c r="BC292" s="2" t="s">
        <v>192</v>
      </c>
      <c r="BD292" s="2" t="s">
        <v>187</v>
      </c>
      <c r="BE292" s="2" t="s">
        <v>187</v>
      </c>
      <c r="BF292" s="2" t="s">
        <v>193</v>
      </c>
      <c r="BG292" s="2" t="s">
        <v>194</v>
      </c>
      <c r="BH292" s="2" t="s">
        <v>297</v>
      </c>
      <c r="BI292" s="2" t="s">
        <v>196</v>
      </c>
      <c r="BL292" s="2" t="s">
        <v>197</v>
      </c>
      <c r="BM292" s="2" t="s">
        <v>198</v>
      </c>
      <c r="BN292" s="2" t="s">
        <v>199</v>
      </c>
      <c r="BO292" s="2" t="s">
        <v>188</v>
      </c>
      <c r="BQ292" s="2" t="s">
        <v>309</v>
      </c>
      <c r="BS292" s="2" t="s">
        <v>187</v>
      </c>
      <c r="BT292" s="2" t="s">
        <v>261</v>
      </c>
      <c r="BV292" s="2" t="s">
        <v>389</v>
      </c>
      <c r="BX292" s="2" t="s">
        <v>187</v>
      </c>
      <c r="BY292" s="2" t="s">
        <v>310</v>
      </c>
      <c r="BZ292" s="2" t="s">
        <v>188</v>
      </c>
      <c r="CE292" s="2">
        <v>7</v>
      </c>
      <c r="CF292" s="2">
        <v>680</v>
      </c>
      <c r="CK292" s="2">
        <v>100</v>
      </c>
      <c r="CO292" s="2">
        <v>100</v>
      </c>
      <c r="CR292" s="2" t="s">
        <v>204</v>
      </c>
      <c r="CT292" s="2" t="s">
        <v>188</v>
      </c>
      <c r="CU292" s="2" t="s">
        <v>205</v>
      </c>
      <c r="CW292" s="2" t="s">
        <v>206</v>
      </c>
      <c r="CY292" s="2" t="s">
        <v>207</v>
      </c>
      <c r="CZ292" s="2" t="s">
        <v>207</v>
      </c>
      <c r="DA292" s="2" t="s">
        <v>207</v>
      </c>
      <c r="DB292" s="2" t="s">
        <v>301</v>
      </c>
      <c r="DC292" s="2" t="s">
        <v>300</v>
      </c>
      <c r="DD292" s="2" t="s">
        <v>301</v>
      </c>
      <c r="DE292" s="2" t="s">
        <v>207</v>
      </c>
      <c r="DF292" s="2" t="s">
        <v>207</v>
      </c>
      <c r="DG292" s="2" t="s">
        <v>273</v>
      </c>
      <c r="DH292" s="2" t="s">
        <v>207</v>
      </c>
      <c r="DI292" s="2" t="s">
        <v>207</v>
      </c>
      <c r="DL292" s="2" t="s">
        <v>187</v>
      </c>
      <c r="DM292" s="2" t="s">
        <v>187</v>
      </c>
      <c r="DN292" s="2" t="s">
        <v>187</v>
      </c>
      <c r="DO292" s="2" t="s">
        <v>187</v>
      </c>
      <c r="DP292" s="2" t="s">
        <v>209</v>
      </c>
      <c r="DQ292" s="2" t="s">
        <v>210</v>
      </c>
      <c r="DT292" s="2" t="s">
        <v>209</v>
      </c>
      <c r="DU292" s="2" t="s">
        <v>209</v>
      </c>
      <c r="DV292" s="2" t="s">
        <v>209</v>
      </c>
      <c r="DW292" s="2" t="s">
        <v>209</v>
      </c>
      <c r="DX292" s="2" t="s">
        <v>209</v>
      </c>
      <c r="DY292" s="2" t="s">
        <v>203</v>
      </c>
      <c r="DZ292" s="2" t="s">
        <v>203</v>
      </c>
      <c r="EA292" s="2" t="s">
        <v>209</v>
      </c>
      <c r="EB292" s="2" t="s">
        <v>209</v>
      </c>
      <c r="EC292" s="2" t="s">
        <v>203</v>
      </c>
      <c r="EF292" s="2" t="s">
        <v>211</v>
      </c>
      <c r="EJ292" s="2" t="s">
        <v>238</v>
      </c>
      <c r="EK292" s="2" t="s">
        <v>187</v>
      </c>
      <c r="EL292" s="2" t="s">
        <v>188</v>
      </c>
      <c r="EN292" s="2" t="s">
        <v>214</v>
      </c>
      <c r="EP292" s="2" t="s">
        <v>230</v>
      </c>
      <c r="ER292" s="2" t="s">
        <v>187</v>
      </c>
      <c r="ET292" s="2" t="s">
        <v>188</v>
      </c>
      <c r="EV292" s="2" t="s">
        <v>187</v>
      </c>
      <c r="EW292" s="2" t="s">
        <v>189</v>
      </c>
      <c r="EX292" s="2" t="s">
        <v>188</v>
      </c>
      <c r="EZ292" s="2" t="s">
        <v>188</v>
      </c>
      <c r="FC292" s="2" t="s">
        <v>216</v>
      </c>
      <c r="FD292" s="2" t="s">
        <v>188</v>
      </c>
      <c r="FH292" s="2" t="s">
        <v>188</v>
      </c>
      <c r="FJ292" s="2" t="s">
        <v>188</v>
      </c>
      <c r="FK292" s="2" t="s">
        <v>209</v>
      </c>
      <c r="FL292" s="2" t="s">
        <v>319</v>
      </c>
      <c r="FN292" s="2" t="s">
        <v>354</v>
      </c>
      <c r="FT292" s="2" t="s">
        <v>219</v>
      </c>
      <c r="FU292" s="2" t="s">
        <v>233</v>
      </c>
      <c r="FV292" s="2" t="s">
        <v>233</v>
      </c>
      <c r="FW292" s="2" t="s">
        <v>233</v>
      </c>
      <c r="FZ292" s="4">
        <v>46039.883217592593</v>
      </c>
    </row>
    <row r="293" spans="1:182">
      <c r="A293" s="2" t="s">
        <v>2033</v>
      </c>
      <c r="D293" s="6">
        <v>46034.392060185186</v>
      </c>
      <c r="E293" s="2" t="s">
        <v>177</v>
      </c>
      <c r="F293" s="2" t="s">
        <v>178</v>
      </c>
      <c r="G293" s="2" t="s">
        <v>1965</v>
      </c>
      <c r="H293" s="2" t="s">
        <v>2012</v>
      </c>
      <c r="I293" s="2" t="s">
        <v>2034</v>
      </c>
      <c r="J293" s="2">
        <v>366094321</v>
      </c>
      <c r="K293" s="2" t="s">
        <v>2035</v>
      </c>
      <c r="L293" s="2" t="s">
        <v>182</v>
      </c>
      <c r="M293" s="2" t="s">
        <v>223</v>
      </c>
      <c r="N293" s="2">
        <v>1983</v>
      </c>
      <c r="O293" s="2" t="s">
        <v>224</v>
      </c>
      <c r="P293" s="2" t="s">
        <v>225</v>
      </c>
      <c r="Q293" s="2" t="s">
        <v>186</v>
      </c>
      <c r="R293" s="2" t="s">
        <v>188</v>
      </c>
      <c r="S293" s="2">
        <v>16</v>
      </c>
      <c r="T293" s="2" t="s">
        <v>188</v>
      </c>
      <c r="U293" s="2" t="s">
        <v>188</v>
      </c>
      <c r="Y293" s="2">
        <v>430</v>
      </c>
      <c r="Z293" s="2">
        <v>0.97670000000000001</v>
      </c>
      <c r="AA293" s="2">
        <v>420</v>
      </c>
      <c r="AB293" s="2">
        <v>420</v>
      </c>
      <c r="AC293" s="2">
        <v>420</v>
      </c>
      <c r="AD293" s="2">
        <v>520</v>
      </c>
      <c r="AE293" s="2">
        <v>100</v>
      </c>
      <c r="AF293" s="2" t="s">
        <v>188</v>
      </c>
      <c r="AG293" s="2" t="s">
        <v>188</v>
      </c>
      <c r="AH293" s="2" t="s">
        <v>188</v>
      </c>
      <c r="AJ293" s="2" t="s">
        <v>188</v>
      </c>
      <c r="AK293" s="2" t="s">
        <v>188</v>
      </c>
      <c r="AL293" s="2" t="s">
        <v>188</v>
      </c>
      <c r="AM293" s="2" t="s">
        <v>187</v>
      </c>
      <c r="AN293" s="2" t="s">
        <v>188</v>
      </c>
      <c r="AO293" s="2" t="s">
        <v>188</v>
      </c>
      <c r="AR293" s="2">
        <v>1.5</v>
      </c>
      <c r="AS293" s="2">
        <v>2</v>
      </c>
      <c r="AT293" s="2">
        <v>5.4</v>
      </c>
      <c r="AU293" s="2" t="s">
        <v>189</v>
      </c>
      <c r="AV293" s="2" t="s">
        <v>189</v>
      </c>
      <c r="AW293" s="2" t="s">
        <v>188</v>
      </c>
      <c r="AZ293" s="2" t="s">
        <v>190</v>
      </c>
      <c r="BB293" s="2" t="s">
        <v>191</v>
      </c>
      <c r="BC293" s="2" t="s">
        <v>192</v>
      </c>
      <c r="BD293" s="2" t="s">
        <v>187</v>
      </c>
      <c r="BE293" s="2" t="s">
        <v>187</v>
      </c>
      <c r="BF293" s="2" t="s">
        <v>193</v>
      </c>
      <c r="BG293" s="2" t="s">
        <v>279</v>
      </c>
      <c r="BH293" s="2" t="s">
        <v>195</v>
      </c>
      <c r="BI293" s="2" t="s">
        <v>196</v>
      </c>
      <c r="BL293" s="2" t="s">
        <v>197</v>
      </c>
      <c r="BM293" s="2" t="s">
        <v>198</v>
      </c>
      <c r="BN293" s="2" t="s">
        <v>199</v>
      </c>
      <c r="BO293" s="2" t="s">
        <v>188</v>
      </c>
      <c r="BQ293" s="2" t="s">
        <v>200</v>
      </c>
      <c r="BS293" s="2" t="s">
        <v>187</v>
      </c>
      <c r="BT293" s="2" t="s">
        <v>201</v>
      </c>
      <c r="BV293" s="2" t="s">
        <v>248</v>
      </c>
      <c r="BX293" s="2" t="s">
        <v>188</v>
      </c>
      <c r="BZ293" s="2" t="s">
        <v>188</v>
      </c>
      <c r="CE293" s="2">
        <v>5.4</v>
      </c>
      <c r="CF293" s="2">
        <v>520</v>
      </c>
      <c r="CM293" s="2">
        <v>100</v>
      </c>
      <c r="CO293" s="2">
        <v>100</v>
      </c>
      <c r="CR293" s="2" t="s">
        <v>204</v>
      </c>
      <c r="CT293" s="2" t="s">
        <v>188</v>
      </c>
      <c r="CU293" s="2" t="s">
        <v>205</v>
      </c>
      <c r="CW293" s="2" t="s">
        <v>206</v>
      </c>
      <c r="CY293" s="2" t="s">
        <v>207</v>
      </c>
      <c r="CZ293" s="2" t="s">
        <v>207</v>
      </c>
      <c r="DA293" s="2" t="s">
        <v>208</v>
      </c>
      <c r="DB293" s="2" t="s">
        <v>208</v>
      </c>
      <c r="DC293" s="2" t="s">
        <v>208</v>
      </c>
      <c r="DD293" s="2" t="s">
        <v>208</v>
      </c>
      <c r="DE293" s="2" t="s">
        <v>208</v>
      </c>
      <c r="DF293" s="2" t="s">
        <v>208</v>
      </c>
      <c r="DG293" s="2" t="s">
        <v>208</v>
      </c>
      <c r="DH293" s="2" t="s">
        <v>208</v>
      </c>
      <c r="DI293" s="2" t="s">
        <v>208</v>
      </c>
      <c r="DL293" s="2" t="s">
        <v>187</v>
      </c>
      <c r="DM293" s="2" t="s">
        <v>187</v>
      </c>
      <c r="DN293" s="2" t="s">
        <v>187</v>
      </c>
      <c r="DO293" s="2" t="s">
        <v>187</v>
      </c>
      <c r="DP293" s="2" t="s">
        <v>209</v>
      </c>
      <c r="DQ293" s="2" t="s">
        <v>210</v>
      </c>
      <c r="DT293" s="2" t="s">
        <v>209</v>
      </c>
      <c r="DU293" s="2" t="s">
        <v>209</v>
      </c>
      <c r="DV293" s="2" t="s">
        <v>209</v>
      </c>
      <c r="DW293" s="2" t="s">
        <v>209</v>
      </c>
      <c r="DX293" s="2" t="s">
        <v>209</v>
      </c>
      <c r="DY293" s="2" t="s">
        <v>209</v>
      </c>
      <c r="DZ293" s="2" t="s">
        <v>209</v>
      </c>
      <c r="EA293" s="2" t="s">
        <v>209</v>
      </c>
      <c r="EB293" s="2" t="s">
        <v>209</v>
      </c>
      <c r="EF293" s="2" t="s">
        <v>189</v>
      </c>
      <c r="EJ293" s="2" t="s">
        <v>189</v>
      </c>
      <c r="EK293" s="2" t="s">
        <v>187</v>
      </c>
      <c r="EL293" s="2" t="s">
        <v>188</v>
      </c>
      <c r="EN293" s="2" t="s">
        <v>214</v>
      </c>
      <c r="EP293" s="2" t="s">
        <v>230</v>
      </c>
      <c r="ER293" s="2" t="s">
        <v>187</v>
      </c>
      <c r="ET293" s="2" t="s">
        <v>188</v>
      </c>
      <c r="EV293" s="2" t="s">
        <v>187</v>
      </c>
      <c r="EW293" s="2" t="s">
        <v>1183</v>
      </c>
      <c r="EX293" s="2" t="s">
        <v>188</v>
      </c>
      <c r="EZ293" s="2" t="s">
        <v>188</v>
      </c>
      <c r="FC293" s="2" t="s">
        <v>216</v>
      </c>
      <c r="FD293" s="2" t="s">
        <v>188</v>
      </c>
      <c r="FH293" s="2" t="s">
        <v>188</v>
      </c>
      <c r="FJ293" s="2" t="s">
        <v>187</v>
      </c>
      <c r="FK293" s="2" t="s">
        <v>209</v>
      </c>
      <c r="FL293" s="2" t="s">
        <v>243</v>
      </c>
      <c r="FN293" s="2" t="s">
        <v>218</v>
      </c>
      <c r="FT293" s="2" t="s">
        <v>219</v>
      </c>
      <c r="FU293" s="2" t="s">
        <v>219</v>
      </c>
      <c r="FV293" s="2" t="s">
        <v>219</v>
      </c>
      <c r="FW293" s="2" t="s">
        <v>219</v>
      </c>
      <c r="FZ293" s="4">
        <v>46041.692754629628</v>
      </c>
    </row>
    <row r="294" spans="1:182">
      <c r="A294" s="2" t="s">
        <v>2036</v>
      </c>
      <c r="D294" s="6">
        <v>46034.393414351849</v>
      </c>
      <c r="E294" s="2" t="s">
        <v>2037</v>
      </c>
      <c r="F294" s="2" t="s">
        <v>590</v>
      </c>
      <c r="G294" s="2" t="s">
        <v>1965</v>
      </c>
      <c r="H294" s="2" t="s">
        <v>1996</v>
      </c>
      <c r="I294" s="2" t="s">
        <v>2038</v>
      </c>
      <c r="J294" s="2">
        <v>967007174</v>
      </c>
      <c r="K294" s="2" t="s">
        <v>2038</v>
      </c>
      <c r="L294" s="2" t="s">
        <v>182</v>
      </c>
      <c r="M294" s="2" t="s">
        <v>223</v>
      </c>
      <c r="N294" s="2">
        <v>1982</v>
      </c>
      <c r="O294" s="2" t="s">
        <v>224</v>
      </c>
      <c r="P294" s="2" t="s">
        <v>225</v>
      </c>
      <c r="Q294" s="2" t="s">
        <v>226</v>
      </c>
      <c r="R294" s="2" t="s">
        <v>188</v>
      </c>
      <c r="S294" s="2">
        <v>19</v>
      </c>
      <c r="T294" s="2" t="s">
        <v>188</v>
      </c>
      <c r="U294" s="2" t="s">
        <v>188</v>
      </c>
      <c r="Y294" s="2">
        <v>300</v>
      </c>
      <c r="Z294" s="2">
        <v>0.83330000000000004</v>
      </c>
      <c r="AA294" s="2">
        <v>250</v>
      </c>
      <c r="AB294" s="2">
        <v>250</v>
      </c>
      <c r="AC294" s="2">
        <v>250</v>
      </c>
      <c r="AD294" s="2">
        <v>400</v>
      </c>
      <c r="AE294" s="2">
        <v>150</v>
      </c>
      <c r="AF294" s="2" t="s">
        <v>188</v>
      </c>
      <c r="AG294" s="2" t="s">
        <v>188</v>
      </c>
      <c r="AH294" s="2" t="s">
        <v>188</v>
      </c>
      <c r="AJ294" s="2" t="s">
        <v>188</v>
      </c>
      <c r="AK294" s="2" t="s">
        <v>188</v>
      </c>
      <c r="AL294" s="2" t="s">
        <v>188</v>
      </c>
      <c r="AM294" s="2" t="s">
        <v>187</v>
      </c>
      <c r="AN294" s="2" t="s">
        <v>187</v>
      </c>
      <c r="AO294" s="2" t="s">
        <v>188</v>
      </c>
      <c r="AR294" s="2">
        <v>1.3</v>
      </c>
      <c r="AS294" s="2">
        <v>2</v>
      </c>
      <c r="AT294" s="2">
        <v>4.7</v>
      </c>
      <c r="AU294" s="2" t="s">
        <v>238</v>
      </c>
      <c r="AV294" s="2" t="s">
        <v>189</v>
      </c>
      <c r="AW294" s="2" t="s">
        <v>188</v>
      </c>
      <c r="AZ294" s="2" t="s">
        <v>190</v>
      </c>
      <c r="BB294" s="2" t="s">
        <v>260</v>
      </c>
      <c r="BC294" s="2" t="s">
        <v>296</v>
      </c>
      <c r="BD294" s="2" t="s">
        <v>187</v>
      </c>
      <c r="BE294" s="2" t="s">
        <v>187</v>
      </c>
      <c r="BF294" s="2" t="s">
        <v>193</v>
      </c>
      <c r="BG294" s="2" t="s">
        <v>194</v>
      </c>
      <c r="BH294" s="2" t="s">
        <v>195</v>
      </c>
      <c r="BI294" s="2" t="s">
        <v>196</v>
      </c>
      <c r="BL294" s="2" t="s">
        <v>197</v>
      </c>
      <c r="BM294" s="2" t="s">
        <v>507</v>
      </c>
      <c r="BN294" s="2" t="s">
        <v>199</v>
      </c>
      <c r="BO294" s="2" t="s">
        <v>341</v>
      </c>
      <c r="BP294" s="2" t="s">
        <v>2039</v>
      </c>
      <c r="BS294" s="2" t="s">
        <v>188</v>
      </c>
      <c r="BT294" s="2" t="s">
        <v>651</v>
      </c>
      <c r="BV294" s="2" t="s">
        <v>242</v>
      </c>
      <c r="BX294" s="2" t="s">
        <v>188</v>
      </c>
      <c r="BZ294" s="2" t="s">
        <v>203</v>
      </c>
      <c r="CE294" s="2">
        <v>4.7</v>
      </c>
      <c r="CF294" s="2">
        <v>400</v>
      </c>
      <c r="CK294" s="2">
        <v>100</v>
      </c>
      <c r="CO294" s="2">
        <v>100</v>
      </c>
      <c r="CR294" s="2" t="s">
        <v>343</v>
      </c>
      <c r="CT294" s="2" t="s">
        <v>188</v>
      </c>
      <c r="CU294" s="2" t="s">
        <v>205</v>
      </c>
      <c r="CW294" s="2" t="s">
        <v>206</v>
      </c>
      <c r="CY294" s="2" t="s">
        <v>273</v>
      </c>
      <c r="CZ294" s="2" t="s">
        <v>300</v>
      </c>
      <c r="DA294" s="2" t="s">
        <v>300</v>
      </c>
      <c r="DB294" s="2" t="s">
        <v>300</v>
      </c>
      <c r="DC294" s="2" t="s">
        <v>300</v>
      </c>
      <c r="DD294" s="2" t="s">
        <v>300</v>
      </c>
      <c r="DE294" s="2" t="s">
        <v>300</v>
      </c>
      <c r="DF294" s="2" t="s">
        <v>273</v>
      </c>
      <c r="DG294" s="2" t="s">
        <v>273</v>
      </c>
      <c r="DH294" s="2" t="s">
        <v>273</v>
      </c>
      <c r="DI294" s="2" t="s">
        <v>273</v>
      </c>
      <c r="DL294" s="2" t="s">
        <v>187</v>
      </c>
      <c r="DM294" s="2" t="s">
        <v>187</v>
      </c>
      <c r="DN294" s="2" t="s">
        <v>187</v>
      </c>
      <c r="DO294" s="2" t="s">
        <v>187</v>
      </c>
      <c r="DP294" s="2" t="s">
        <v>209</v>
      </c>
      <c r="DQ294" s="2" t="s">
        <v>467</v>
      </c>
      <c r="DR294" s="2" t="s">
        <v>579</v>
      </c>
      <c r="DT294" s="2" t="s">
        <v>209</v>
      </c>
      <c r="DU294" s="2" t="s">
        <v>209</v>
      </c>
      <c r="DV294" s="2" t="s">
        <v>209</v>
      </c>
      <c r="DW294" s="2" t="s">
        <v>209</v>
      </c>
      <c r="DX294" s="2" t="s">
        <v>209</v>
      </c>
      <c r="DY294" s="2" t="s">
        <v>209</v>
      </c>
      <c r="DZ294" s="2" t="s">
        <v>209</v>
      </c>
      <c r="EA294" s="2" t="s">
        <v>209</v>
      </c>
      <c r="EB294" s="2" t="s">
        <v>209</v>
      </c>
      <c r="EC294" s="2" t="s">
        <v>188</v>
      </c>
      <c r="EF294" s="2" t="s">
        <v>211</v>
      </c>
      <c r="EG294" s="2" t="s">
        <v>1678</v>
      </c>
      <c r="EJ294" s="2" t="s">
        <v>203</v>
      </c>
      <c r="EK294" s="2" t="s">
        <v>188</v>
      </c>
      <c r="EL294" s="2" t="s">
        <v>188</v>
      </c>
      <c r="EN294" s="2" t="s">
        <v>255</v>
      </c>
      <c r="EP294" s="2" t="s">
        <v>230</v>
      </c>
      <c r="ER294" s="2" t="s">
        <v>188</v>
      </c>
      <c r="ET294" s="2" t="s">
        <v>188</v>
      </c>
      <c r="EV294" s="2" t="s">
        <v>188</v>
      </c>
      <c r="EX294" s="2" t="s">
        <v>188</v>
      </c>
      <c r="EZ294" s="2" t="s">
        <v>188</v>
      </c>
      <c r="FC294" s="2" t="s">
        <v>263</v>
      </c>
      <c r="FD294" s="2" t="s">
        <v>188</v>
      </c>
      <c r="FH294" s="2" t="s">
        <v>188</v>
      </c>
      <c r="FJ294" s="2" t="s">
        <v>187</v>
      </c>
      <c r="FK294" s="2" t="s">
        <v>188</v>
      </c>
      <c r="FN294" s="2" t="s">
        <v>2040</v>
      </c>
      <c r="FR294" s="2" t="s">
        <v>2041</v>
      </c>
      <c r="FT294" s="2" t="s">
        <v>233</v>
      </c>
      <c r="FU294" s="2" t="s">
        <v>233</v>
      </c>
      <c r="FV294" s="2" t="s">
        <v>233</v>
      </c>
      <c r="FW294" s="2" t="s">
        <v>233</v>
      </c>
      <c r="FZ294" s="4">
        <v>46040.858935185184</v>
      </c>
    </row>
    <row r="295" spans="1:182">
      <c r="A295" s="2" t="s">
        <v>2042</v>
      </c>
      <c r="D295" s="6">
        <v>46034.369826388887</v>
      </c>
      <c r="E295" s="2" t="s">
        <v>2043</v>
      </c>
      <c r="F295" s="2" t="s">
        <v>398</v>
      </c>
      <c r="G295" s="2" t="s">
        <v>1965</v>
      </c>
      <c r="H295" s="2" t="s">
        <v>1966</v>
      </c>
      <c r="I295" s="2" t="s">
        <v>1967</v>
      </c>
      <c r="J295" s="2">
        <v>934973306</v>
      </c>
      <c r="K295" s="2" t="s">
        <v>1967</v>
      </c>
      <c r="L295" s="2" t="s">
        <v>182</v>
      </c>
      <c r="M295" s="2" t="s">
        <v>183</v>
      </c>
      <c r="N295" s="2">
        <v>1965</v>
      </c>
      <c r="O295" s="2" t="s">
        <v>224</v>
      </c>
      <c r="P295" s="2" t="s">
        <v>185</v>
      </c>
      <c r="Q295" s="2" t="s">
        <v>226</v>
      </c>
      <c r="R295" s="2" t="s">
        <v>188</v>
      </c>
      <c r="S295" s="2">
        <v>17</v>
      </c>
      <c r="T295" s="2" t="s">
        <v>188</v>
      </c>
      <c r="U295" s="2" t="s">
        <v>188</v>
      </c>
      <c r="Y295" s="2">
        <v>390</v>
      </c>
      <c r="Z295" s="2">
        <v>0.61539999999999995</v>
      </c>
      <c r="AA295" s="2">
        <v>240</v>
      </c>
      <c r="AB295" s="2">
        <v>240</v>
      </c>
      <c r="AC295" s="2">
        <v>240</v>
      </c>
      <c r="AD295" s="2">
        <v>280</v>
      </c>
      <c r="AE295" s="2">
        <v>40</v>
      </c>
      <c r="AF295" s="2" t="s">
        <v>188</v>
      </c>
      <c r="AG295" s="2" t="s">
        <v>188</v>
      </c>
      <c r="AH295" s="2" t="s">
        <v>188</v>
      </c>
      <c r="AJ295" s="2" t="s">
        <v>188</v>
      </c>
      <c r="AK295" s="2" t="s">
        <v>188</v>
      </c>
      <c r="AL295" s="2" t="s">
        <v>187</v>
      </c>
      <c r="AM295" s="2" t="s">
        <v>187</v>
      </c>
      <c r="AN295" s="2" t="s">
        <v>188</v>
      </c>
      <c r="AO295" s="2" t="s">
        <v>188</v>
      </c>
      <c r="AR295" s="2">
        <v>0.6</v>
      </c>
      <c r="AS295" s="2">
        <v>1</v>
      </c>
      <c r="AT295" s="2">
        <v>3</v>
      </c>
      <c r="AU295" s="2" t="s">
        <v>189</v>
      </c>
      <c r="AV295" s="2" t="s">
        <v>189</v>
      </c>
      <c r="AW295" s="2" t="s">
        <v>188</v>
      </c>
      <c r="BC295" s="2" t="s">
        <v>192</v>
      </c>
      <c r="BD295" s="2" t="s">
        <v>187</v>
      </c>
      <c r="BE295" s="2" t="s">
        <v>188</v>
      </c>
      <c r="BL295" s="2" t="s">
        <v>197</v>
      </c>
      <c r="BM295" s="2" t="s">
        <v>198</v>
      </c>
      <c r="BN295" s="2" t="s">
        <v>199</v>
      </c>
      <c r="BO295" s="2" t="s">
        <v>188</v>
      </c>
      <c r="BQ295" s="2" t="s">
        <v>200</v>
      </c>
      <c r="BS295" s="2" t="s">
        <v>187</v>
      </c>
      <c r="BT295" s="2" t="s">
        <v>201</v>
      </c>
      <c r="BV295" s="2" t="s">
        <v>522</v>
      </c>
      <c r="BX295" s="2" t="s">
        <v>187</v>
      </c>
      <c r="BY295" s="2" t="s">
        <v>2044</v>
      </c>
      <c r="BZ295" s="2" t="s">
        <v>203</v>
      </c>
      <c r="CE295" s="2">
        <v>3</v>
      </c>
      <c r="CF295" s="2">
        <v>280</v>
      </c>
      <c r="CK295" s="2">
        <v>100</v>
      </c>
      <c r="CP295" s="2">
        <v>100</v>
      </c>
      <c r="CR295" s="2" t="s">
        <v>204</v>
      </c>
      <c r="CT295" s="2" t="s">
        <v>188</v>
      </c>
      <c r="CU295" s="2" t="s">
        <v>205</v>
      </c>
      <c r="CW295" s="2" t="s">
        <v>206</v>
      </c>
      <c r="CY295" s="2" t="s">
        <v>300</v>
      </c>
      <c r="CZ295" s="2" t="s">
        <v>300</v>
      </c>
      <c r="DA295" s="2" t="s">
        <v>300</v>
      </c>
      <c r="DB295" s="2" t="s">
        <v>300</v>
      </c>
      <c r="DC295" s="2" t="s">
        <v>300</v>
      </c>
      <c r="DD295" s="2" t="s">
        <v>300</v>
      </c>
      <c r="DE295" s="2" t="s">
        <v>300</v>
      </c>
      <c r="DF295" s="2" t="s">
        <v>300</v>
      </c>
      <c r="DG295" s="2" t="s">
        <v>300</v>
      </c>
      <c r="DH295" s="2" t="s">
        <v>300</v>
      </c>
      <c r="DI295" s="2" t="s">
        <v>300</v>
      </c>
      <c r="DL295" s="2" t="s">
        <v>188</v>
      </c>
      <c r="DM295" s="2" t="s">
        <v>188</v>
      </c>
      <c r="DP295" s="2" t="s">
        <v>203</v>
      </c>
      <c r="DT295" s="2" t="s">
        <v>203</v>
      </c>
      <c r="DU295" s="2" t="s">
        <v>203</v>
      </c>
      <c r="DV295" s="2" t="s">
        <v>203</v>
      </c>
      <c r="DW295" s="2" t="s">
        <v>203</v>
      </c>
      <c r="DX295" s="2" t="s">
        <v>203</v>
      </c>
      <c r="DY295" s="2" t="s">
        <v>203</v>
      </c>
      <c r="DZ295" s="2" t="s">
        <v>203</v>
      </c>
      <c r="EA295" s="2" t="s">
        <v>203</v>
      </c>
      <c r="EB295" s="2" t="s">
        <v>203</v>
      </c>
      <c r="EC295" s="2" t="s">
        <v>203</v>
      </c>
      <c r="ED295" s="2" t="s">
        <v>203</v>
      </c>
      <c r="EE295" s="2" t="s">
        <v>2045</v>
      </c>
      <c r="EF295" s="2" t="s">
        <v>189</v>
      </c>
      <c r="EG295" s="2" t="s">
        <v>2046</v>
      </c>
      <c r="EJ295" s="2" t="s">
        <v>238</v>
      </c>
      <c r="EK295" s="2" t="s">
        <v>188</v>
      </c>
      <c r="EL295" s="2" t="s">
        <v>187</v>
      </c>
      <c r="EM295" s="2" t="s">
        <v>1582</v>
      </c>
      <c r="EN295" s="2" t="s">
        <v>214</v>
      </c>
      <c r="EP295" s="2" t="s">
        <v>230</v>
      </c>
      <c r="ER295" s="2" t="s">
        <v>188</v>
      </c>
      <c r="ET295" s="2" t="s">
        <v>188</v>
      </c>
      <c r="EV295" s="2" t="s">
        <v>188</v>
      </c>
      <c r="EX295" s="2" t="s">
        <v>188</v>
      </c>
      <c r="EZ295" s="2" t="s">
        <v>188</v>
      </c>
      <c r="FC295" s="2" t="s">
        <v>216</v>
      </c>
      <c r="FD295" s="2" t="s">
        <v>188</v>
      </c>
      <c r="FH295" s="2" t="s">
        <v>188</v>
      </c>
      <c r="FJ295" s="2" t="s">
        <v>188</v>
      </c>
      <c r="FK295" s="2" t="s">
        <v>188</v>
      </c>
      <c r="FN295" s="2" t="s">
        <v>432</v>
      </c>
      <c r="FR295" s="2" t="s">
        <v>2047</v>
      </c>
      <c r="FT295" s="2" t="s">
        <v>233</v>
      </c>
      <c r="FU295" s="2" t="s">
        <v>233</v>
      </c>
      <c r="FV295" s="2" t="s">
        <v>219</v>
      </c>
      <c r="FW295" s="2" t="s">
        <v>219</v>
      </c>
      <c r="FX295" s="2" t="s">
        <v>219</v>
      </c>
      <c r="FY295" s="2" t="s">
        <v>2048</v>
      </c>
      <c r="FZ295" s="4">
        <v>46039.690960648149</v>
      </c>
    </row>
    <row r="296" spans="1:182">
      <c r="A296" s="2" t="s">
        <v>2049</v>
      </c>
      <c r="D296" s="6">
        <v>46034.396469907406</v>
      </c>
      <c r="E296" s="2" t="s">
        <v>2050</v>
      </c>
      <c r="F296" s="2" t="s">
        <v>480</v>
      </c>
      <c r="G296" s="2" t="s">
        <v>1965</v>
      </c>
      <c r="H296" s="2" t="s">
        <v>2051</v>
      </c>
      <c r="I296" s="2" t="s">
        <v>2052</v>
      </c>
      <c r="J296" s="2">
        <v>987747671</v>
      </c>
      <c r="K296" s="2" t="s">
        <v>2052</v>
      </c>
      <c r="L296" s="2" t="s">
        <v>182</v>
      </c>
      <c r="M296" s="2" t="s">
        <v>183</v>
      </c>
      <c r="N296" s="2">
        <v>1993</v>
      </c>
      <c r="O296" s="2" t="s">
        <v>224</v>
      </c>
      <c r="P296" s="2" t="s">
        <v>185</v>
      </c>
      <c r="Q296" s="2" t="s">
        <v>226</v>
      </c>
      <c r="R296" s="2" t="s">
        <v>188</v>
      </c>
      <c r="S296" s="2">
        <v>31</v>
      </c>
      <c r="T296" s="2" t="s">
        <v>188</v>
      </c>
      <c r="U296" s="2" t="s">
        <v>188</v>
      </c>
      <c r="Y296" s="2">
        <v>195</v>
      </c>
      <c r="Z296" s="2">
        <v>0.75380000000000003</v>
      </c>
      <c r="AA296" s="2">
        <v>147</v>
      </c>
      <c r="AB296" s="2">
        <v>147</v>
      </c>
      <c r="AC296" s="2">
        <v>147</v>
      </c>
      <c r="AD296" s="2">
        <v>227</v>
      </c>
      <c r="AE296" s="2">
        <v>80</v>
      </c>
      <c r="AF296" s="2" t="s">
        <v>188</v>
      </c>
      <c r="AG296" s="2" t="s">
        <v>188</v>
      </c>
      <c r="AH296" s="2" t="s">
        <v>188</v>
      </c>
      <c r="AJ296" s="2" t="s">
        <v>188</v>
      </c>
      <c r="AK296" s="2" t="s">
        <v>188</v>
      </c>
      <c r="AL296" s="2" t="s">
        <v>188</v>
      </c>
      <c r="AM296" s="2" t="s">
        <v>188</v>
      </c>
      <c r="AN296" s="2" t="s">
        <v>188</v>
      </c>
      <c r="AO296" s="2" t="s">
        <v>187</v>
      </c>
      <c r="AR296" s="2">
        <v>1.2</v>
      </c>
      <c r="AS296" s="2">
        <v>1</v>
      </c>
      <c r="AT296" s="2">
        <v>2.2999999999999998</v>
      </c>
      <c r="AU296" s="2" t="s">
        <v>238</v>
      </c>
      <c r="AV296" s="2" t="s">
        <v>238</v>
      </c>
      <c r="AW296" s="2" t="s">
        <v>188</v>
      </c>
      <c r="AZ296" s="2" t="s">
        <v>190</v>
      </c>
      <c r="BB296" s="2" t="s">
        <v>260</v>
      </c>
      <c r="BC296" s="2" t="s">
        <v>192</v>
      </c>
      <c r="BD296" s="2" t="s">
        <v>188</v>
      </c>
      <c r="BE296" s="2" t="s">
        <v>187</v>
      </c>
      <c r="BF296" s="2" t="s">
        <v>193</v>
      </c>
      <c r="BG296" s="2" t="s">
        <v>194</v>
      </c>
      <c r="BH296" s="2" t="s">
        <v>195</v>
      </c>
      <c r="BI296" s="2" t="s">
        <v>196</v>
      </c>
      <c r="BL296" s="2" t="s">
        <v>197</v>
      </c>
      <c r="BM296" s="2" t="s">
        <v>198</v>
      </c>
      <c r="BN296" s="2" t="s">
        <v>199</v>
      </c>
      <c r="BO296" s="2" t="s">
        <v>188</v>
      </c>
      <c r="BQ296" s="2" t="s">
        <v>200</v>
      </c>
      <c r="BS296" s="2" t="s">
        <v>187</v>
      </c>
      <c r="BT296" s="2" t="s">
        <v>484</v>
      </c>
      <c r="BV296" s="2" t="s">
        <v>1628</v>
      </c>
      <c r="BX296" s="2" t="s">
        <v>187</v>
      </c>
      <c r="BY296" s="2" t="s">
        <v>2053</v>
      </c>
      <c r="BZ296" s="2" t="s">
        <v>209</v>
      </c>
      <c r="CA296" s="2" t="s">
        <v>2054</v>
      </c>
      <c r="CE296" s="2">
        <v>2.2999999999999998</v>
      </c>
      <c r="CF296" s="2">
        <v>227</v>
      </c>
      <c r="CM296" s="2">
        <v>100</v>
      </c>
      <c r="CO296" s="2">
        <v>100</v>
      </c>
      <c r="CR296" s="2" t="s">
        <v>511</v>
      </c>
      <c r="CT296" s="2" t="s">
        <v>188</v>
      </c>
      <c r="CU296" s="2" t="s">
        <v>205</v>
      </c>
      <c r="CW296" s="2" t="s">
        <v>206</v>
      </c>
      <c r="CY296" s="2" t="s">
        <v>273</v>
      </c>
      <c r="CZ296" s="2" t="s">
        <v>273</v>
      </c>
      <c r="DA296" s="2" t="s">
        <v>300</v>
      </c>
      <c r="DB296" s="2" t="s">
        <v>300</v>
      </c>
      <c r="DC296" s="2" t="s">
        <v>299</v>
      </c>
      <c r="DD296" s="2" t="s">
        <v>299</v>
      </c>
      <c r="DE296" s="2" t="s">
        <v>273</v>
      </c>
      <c r="DF296" s="2" t="s">
        <v>273</v>
      </c>
      <c r="DG296" s="2" t="s">
        <v>273</v>
      </c>
      <c r="DH296" s="2" t="s">
        <v>273</v>
      </c>
      <c r="DI296" s="2" t="s">
        <v>299</v>
      </c>
      <c r="DL296" s="2" t="s">
        <v>187</v>
      </c>
      <c r="DM296" s="2" t="s">
        <v>187</v>
      </c>
      <c r="DN296" s="2" t="s">
        <v>187</v>
      </c>
      <c r="DO296" s="2" t="s">
        <v>187</v>
      </c>
      <c r="DP296" s="2" t="s">
        <v>209</v>
      </c>
      <c r="DQ296" s="2" t="s">
        <v>467</v>
      </c>
      <c r="DR296" s="2" t="s">
        <v>2055</v>
      </c>
      <c r="DT296" s="2" t="s">
        <v>209</v>
      </c>
      <c r="DU296" s="2" t="s">
        <v>209</v>
      </c>
      <c r="DV296" s="2" t="s">
        <v>209</v>
      </c>
      <c r="DW296" s="2" t="s">
        <v>209</v>
      </c>
      <c r="DX296" s="2" t="s">
        <v>209</v>
      </c>
      <c r="DY296" s="2" t="s">
        <v>203</v>
      </c>
      <c r="DZ296" s="2" t="s">
        <v>203</v>
      </c>
      <c r="EA296" s="2" t="s">
        <v>203</v>
      </c>
      <c r="EB296" s="2" t="s">
        <v>209</v>
      </c>
      <c r="EF296" s="2" t="s">
        <v>189</v>
      </c>
      <c r="EJ296" s="2" t="s">
        <v>238</v>
      </c>
      <c r="EK296" s="2" t="s">
        <v>187</v>
      </c>
      <c r="EL296" s="2" t="s">
        <v>188</v>
      </c>
      <c r="EN296" s="2" t="s">
        <v>214</v>
      </c>
      <c r="EP296" s="2" t="s">
        <v>230</v>
      </c>
      <c r="ER296" s="2" t="s">
        <v>187</v>
      </c>
      <c r="ET296" s="2" t="s">
        <v>188</v>
      </c>
      <c r="EV296" s="2" t="s">
        <v>188</v>
      </c>
      <c r="EX296" s="2" t="s">
        <v>188</v>
      </c>
      <c r="EZ296" s="2" t="s">
        <v>188</v>
      </c>
      <c r="FC296" s="2" t="s">
        <v>263</v>
      </c>
      <c r="FD296" s="2" t="s">
        <v>188</v>
      </c>
      <c r="FH296" s="2" t="s">
        <v>188</v>
      </c>
      <c r="FJ296" s="2" t="s">
        <v>188</v>
      </c>
      <c r="FK296" s="2" t="s">
        <v>188</v>
      </c>
      <c r="FN296" s="2" t="s">
        <v>488</v>
      </c>
      <c r="FR296" s="2" t="s">
        <v>708</v>
      </c>
      <c r="FT296" s="2" t="s">
        <v>233</v>
      </c>
      <c r="FU296" s="2" t="s">
        <v>233</v>
      </c>
      <c r="FV296" s="2" t="s">
        <v>233</v>
      </c>
      <c r="FW296" s="2" t="s">
        <v>233</v>
      </c>
      <c r="FX296" s="2" t="s">
        <v>233</v>
      </c>
      <c r="FZ296" s="4">
        <v>46043.602592592593</v>
      </c>
    </row>
    <row r="297" spans="1:182">
      <c r="A297" s="2" t="s">
        <v>2056</v>
      </c>
      <c r="D297" s="6">
        <v>46034.385983796295</v>
      </c>
      <c r="E297" s="2" t="s">
        <v>2057</v>
      </c>
      <c r="F297" s="2" t="s">
        <v>425</v>
      </c>
      <c r="G297" s="2" t="s">
        <v>1965</v>
      </c>
      <c r="H297" s="2" t="s">
        <v>2058</v>
      </c>
      <c r="I297" s="2" t="s">
        <v>2059</v>
      </c>
      <c r="J297" s="2">
        <v>353176070</v>
      </c>
      <c r="K297" s="2" t="s">
        <v>2059</v>
      </c>
      <c r="L297" s="2" t="s">
        <v>182</v>
      </c>
      <c r="M297" s="2" t="s">
        <v>183</v>
      </c>
      <c r="N297" s="2">
        <v>1999</v>
      </c>
      <c r="O297" s="2" t="s">
        <v>834</v>
      </c>
      <c r="P297" s="2" t="s">
        <v>185</v>
      </c>
      <c r="Q297" s="2" t="s">
        <v>186</v>
      </c>
      <c r="R297" s="2" t="s">
        <v>188</v>
      </c>
      <c r="S297" s="2">
        <v>30</v>
      </c>
      <c r="T297" s="2" t="s">
        <v>188</v>
      </c>
      <c r="U297" s="2" t="s">
        <v>188</v>
      </c>
      <c r="Y297" s="2">
        <v>130</v>
      </c>
      <c r="Z297" s="2">
        <v>0.23080000000000001</v>
      </c>
      <c r="AA297" s="2">
        <v>30</v>
      </c>
      <c r="AB297" s="2">
        <v>20</v>
      </c>
      <c r="AC297" s="2">
        <v>-20</v>
      </c>
      <c r="AD297" s="2">
        <v>0</v>
      </c>
      <c r="AE297" s="2">
        <v>20</v>
      </c>
      <c r="AF297" s="2" t="s">
        <v>187</v>
      </c>
      <c r="AG297" s="2" t="s">
        <v>188</v>
      </c>
      <c r="AH297" s="2" t="s">
        <v>188</v>
      </c>
      <c r="AJ297" s="2" t="s">
        <v>188</v>
      </c>
      <c r="AK297" s="2" t="s">
        <v>188</v>
      </c>
      <c r="AL297" s="2" t="s">
        <v>187</v>
      </c>
      <c r="AM297" s="2" t="s">
        <v>187</v>
      </c>
      <c r="AN297" s="2" t="s">
        <v>187</v>
      </c>
      <c r="AO297" s="2" t="s">
        <v>188</v>
      </c>
      <c r="AR297" s="2">
        <v>2.4</v>
      </c>
      <c r="AS297" s="2">
        <v>3</v>
      </c>
      <c r="AT297" s="2">
        <v>0</v>
      </c>
      <c r="AU297" s="2" t="s">
        <v>238</v>
      </c>
      <c r="AV297" s="2" t="s">
        <v>203</v>
      </c>
      <c r="AW297" s="2" t="s">
        <v>188</v>
      </c>
      <c r="AZ297" s="2" t="s">
        <v>476</v>
      </c>
      <c r="BB297" s="2" t="s">
        <v>191</v>
      </c>
      <c r="BC297" s="2" t="s">
        <v>296</v>
      </c>
      <c r="BD297" s="2" t="s">
        <v>187</v>
      </c>
      <c r="BE297" s="2" t="s">
        <v>187</v>
      </c>
      <c r="BF297" s="2" t="s">
        <v>193</v>
      </c>
      <c r="BG297" s="2" t="s">
        <v>194</v>
      </c>
      <c r="BH297" s="2" t="s">
        <v>280</v>
      </c>
      <c r="BI297" s="2" t="s">
        <v>196</v>
      </c>
      <c r="BL297" s="2" t="s">
        <v>197</v>
      </c>
      <c r="BM297" s="2" t="s">
        <v>198</v>
      </c>
      <c r="BN297" s="2" t="s">
        <v>199</v>
      </c>
      <c r="BO297" s="2" t="s">
        <v>188</v>
      </c>
      <c r="BQ297" s="2" t="s">
        <v>309</v>
      </c>
      <c r="BS297" s="2" t="s">
        <v>187</v>
      </c>
      <c r="BT297" s="2" t="s">
        <v>69</v>
      </c>
      <c r="BU297" s="2" t="s">
        <v>429</v>
      </c>
      <c r="BV297" s="2" t="s">
        <v>522</v>
      </c>
      <c r="BX297" s="2" t="s">
        <v>188</v>
      </c>
      <c r="BY297" s="2" t="s">
        <v>2060</v>
      </c>
      <c r="BZ297" s="2" t="s">
        <v>203</v>
      </c>
      <c r="CE297" s="2">
        <v>0</v>
      </c>
      <c r="CF297" s="2">
        <v>0</v>
      </c>
      <c r="CH297" s="2">
        <v>0</v>
      </c>
      <c r="CI297" s="2">
        <v>0</v>
      </c>
      <c r="CJ297" s="2">
        <v>0</v>
      </c>
      <c r="CK297" s="2">
        <v>0</v>
      </c>
      <c r="CL297" s="2">
        <v>0</v>
      </c>
      <c r="CM297" s="2">
        <v>0</v>
      </c>
      <c r="CO297" s="2">
        <v>0</v>
      </c>
      <c r="CP297" s="2">
        <v>0</v>
      </c>
      <c r="CQ297" s="2">
        <v>0</v>
      </c>
      <c r="CR297" s="2" t="s">
        <v>204</v>
      </c>
      <c r="CT297" s="2" t="s">
        <v>188</v>
      </c>
      <c r="CU297" s="2" t="s">
        <v>205</v>
      </c>
      <c r="CW297" s="2" t="s">
        <v>206</v>
      </c>
      <c r="CY297" s="2" t="s">
        <v>300</v>
      </c>
      <c r="CZ297" s="2" t="s">
        <v>300</v>
      </c>
      <c r="DA297" s="2" t="s">
        <v>300</v>
      </c>
      <c r="DB297" s="2" t="s">
        <v>300</v>
      </c>
      <c r="DC297" s="2" t="s">
        <v>300</v>
      </c>
      <c r="DD297" s="2" t="s">
        <v>430</v>
      </c>
      <c r="DE297" s="2" t="s">
        <v>300</v>
      </c>
      <c r="DF297" s="2" t="s">
        <v>430</v>
      </c>
      <c r="DG297" s="2" t="s">
        <v>300</v>
      </c>
      <c r="DH297" s="2" t="s">
        <v>300</v>
      </c>
      <c r="DI297" s="2" t="s">
        <v>300</v>
      </c>
      <c r="DL297" s="2" t="s">
        <v>188</v>
      </c>
      <c r="DM297" s="2" t="s">
        <v>188</v>
      </c>
      <c r="DP297" s="2" t="s">
        <v>188</v>
      </c>
      <c r="DT297" s="2" t="s">
        <v>203</v>
      </c>
      <c r="DU297" s="2" t="s">
        <v>203</v>
      </c>
      <c r="DV297" s="2" t="s">
        <v>203</v>
      </c>
      <c r="DW297" s="2" t="s">
        <v>203</v>
      </c>
      <c r="DX297" s="2" t="s">
        <v>203</v>
      </c>
      <c r="DY297" s="2" t="s">
        <v>203</v>
      </c>
      <c r="DZ297" s="2" t="s">
        <v>203</v>
      </c>
      <c r="EA297" s="2" t="s">
        <v>203</v>
      </c>
      <c r="EB297" s="2" t="s">
        <v>203</v>
      </c>
      <c r="EC297" s="2" t="s">
        <v>203</v>
      </c>
      <c r="ED297" s="2" t="s">
        <v>203</v>
      </c>
      <c r="EE297" s="2" t="s">
        <v>2061</v>
      </c>
      <c r="EF297" s="2" t="s">
        <v>302</v>
      </c>
      <c r="EG297" s="2" t="s">
        <v>2062</v>
      </c>
      <c r="EJ297" s="2" t="s">
        <v>203</v>
      </c>
      <c r="EK297" s="2" t="s">
        <v>188</v>
      </c>
      <c r="EL297" s="2" t="s">
        <v>188</v>
      </c>
      <c r="EN297" s="2" t="s">
        <v>255</v>
      </c>
      <c r="EP297" s="2" t="s">
        <v>230</v>
      </c>
      <c r="ER297" s="2" t="s">
        <v>188</v>
      </c>
      <c r="ET297" s="2" t="s">
        <v>188</v>
      </c>
      <c r="EV297" s="2" t="s">
        <v>188</v>
      </c>
      <c r="EX297" s="2" t="s">
        <v>188</v>
      </c>
      <c r="EZ297" s="2" t="s">
        <v>188</v>
      </c>
      <c r="FC297" s="2" t="s">
        <v>263</v>
      </c>
      <c r="FD297" s="2" t="s">
        <v>188</v>
      </c>
      <c r="FH297" s="2" t="s">
        <v>188</v>
      </c>
      <c r="FJ297" s="2" t="s">
        <v>188</v>
      </c>
      <c r="FK297" s="2" t="s">
        <v>188</v>
      </c>
      <c r="FN297" s="2" t="s">
        <v>304</v>
      </c>
      <c r="FR297" s="2" t="s">
        <v>1931</v>
      </c>
      <c r="FT297" s="2" t="s">
        <v>233</v>
      </c>
      <c r="FU297" s="2" t="s">
        <v>233</v>
      </c>
      <c r="FV297" s="2" t="s">
        <v>219</v>
      </c>
      <c r="FW297" s="2" t="s">
        <v>233</v>
      </c>
      <c r="FX297" s="2" t="s">
        <v>490</v>
      </c>
      <c r="FZ297" s="4">
        <v>46046.429282407407</v>
      </c>
    </row>
    <row r="298" spans="1:182">
      <c r="A298" s="2" t="s">
        <v>2063</v>
      </c>
      <c r="D298" s="6">
        <v>46034.402245370373</v>
      </c>
      <c r="E298" s="2" t="s">
        <v>177</v>
      </c>
      <c r="F298" s="2" t="s">
        <v>293</v>
      </c>
      <c r="G298" s="2" t="s">
        <v>1965</v>
      </c>
      <c r="H298" s="2" t="s">
        <v>1996</v>
      </c>
      <c r="I298" s="2" t="s">
        <v>2064</v>
      </c>
      <c r="J298" s="2">
        <v>979612055</v>
      </c>
      <c r="K298" s="2" t="s">
        <v>2065</v>
      </c>
      <c r="L298" s="2" t="s">
        <v>182</v>
      </c>
      <c r="M298" s="2" t="s">
        <v>223</v>
      </c>
      <c r="N298" s="2">
        <v>1959</v>
      </c>
      <c r="O298" s="2" t="s">
        <v>224</v>
      </c>
      <c r="P298" s="2" t="s">
        <v>225</v>
      </c>
      <c r="Q298" s="2" t="s">
        <v>226</v>
      </c>
      <c r="R298" s="2" t="s">
        <v>188</v>
      </c>
      <c r="S298" s="2">
        <v>2019</v>
      </c>
      <c r="T298" s="2" t="s">
        <v>188</v>
      </c>
      <c r="U298" s="2" t="s">
        <v>188</v>
      </c>
      <c r="Y298" s="2">
        <v>600</v>
      </c>
      <c r="Z298" s="2">
        <v>1</v>
      </c>
      <c r="AA298" s="2">
        <v>600</v>
      </c>
      <c r="AB298" s="2">
        <v>580</v>
      </c>
      <c r="AC298" s="2">
        <v>375</v>
      </c>
      <c r="AD298" s="2">
        <v>450</v>
      </c>
      <c r="AE298" s="2">
        <v>75</v>
      </c>
      <c r="AF298" s="2" t="s">
        <v>188</v>
      </c>
      <c r="AG298" s="2" t="s">
        <v>187</v>
      </c>
      <c r="AH298" s="2" t="s">
        <v>187</v>
      </c>
      <c r="AI298" s="2" t="s">
        <v>2066</v>
      </c>
      <c r="AJ298" s="2" t="s">
        <v>188</v>
      </c>
      <c r="AK298" s="2" t="s">
        <v>188</v>
      </c>
      <c r="AL298" s="2" t="s">
        <v>188</v>
      </c>
      <c r="AM298" s="2" t="s">
        <v>188</v>
      </c>
      <c r="AN298" s="2" t="s">
        <v>188</v>
      </c>
      <c r="AO298" s="2" t="s">
        <v>188</v>
      </c>
      <c r="AR298" s="2">
        <v>1.9</v>
      </c>
      <c r="AS298" s="2">
        <v>2</v>
      </c>
      <c r="AT298" s="2">
        <v>5</v>
      </c>
      <c r="AU298" s="2" t="s">
        <v>238</v>
      </c>
      <c r="AV298" s="2" t="s">
        <v>238</v>
      </c>
      <c r="AW298" s="2" t="s">
        <v>188</v>
      </c>
      <c r="AZ298" s="2" t="s">
        <v>190</v>
      </c>
      <c r="BB298" s="2" t="s">
        <v>260</v>
      </c>
      <c r="BC298" s="2" t="s">
        <v>192</v>
      </c>
      <c r="BD298" s="2" t="s">
        <v>187</v>
      </c>
      <c r="BE298" s="2" t="s">
        <v>187</v>
      </c>
      <c r="BF298" s="2" t="s">
        <v>193</v>
      </c>
      <c r="BG298" s="2" t="s">
        <v>194</v>
      </c>
      <c r="BH298" s="2" t="s">
        <v>195</v>
      </c>
      <c r="BI298" s="2" t="s">
        <v>196</v>
      </c>
      <c r="BL298" s="2" t="s">
        <v>197</v>
      </c>
      <c r="BM298" s="2" t="s">
        <v>198</v>
      </c>
      <c r="BN298" s="2" t="s">
        <v>199</v>
      </c>
      <c r="BO298" s="2" t="s">
        <v>188</v>
      </c>
      <c r="BQ298" s="2" t="s">
        <v>309</v>
      </c>
      <c r="BS298" s="2" t="s">
        <v>187</v>
      </c>
      <c r="BT298" s="2" t="s">
        <v>261</v>
      </c>
      <c r="BV298" s="2" t="s">
        <v>325</v>
      </c>
      <c r="BX298" s="2" t="s">
        <v>187</v>
      </c>
      <c r="BY298" s="2" t="s">
        <v>2067</v>
      </c>
      <c r="BZ298" s="2" t="s">
        <v>188</v>
      </c>
      <c r="CE298" s="2">
        <v>5</v>
      </c>
      <c r="CF298" s="2">
        <v>480</v>
      </c>
      <c r="CK298" s="2">
        <v>100</v>
      </c>
      <c r="CO298" s="2">
        <v>100</v>
      </c>
      <c r="CR298" s="2" t="s">
        <v>204</v>
      </c>
      <c r="CT298" s="2" t="s">
        <v>188</v>
      </c>
      <c r="CU298" s="2" t="s">
        <v>205</v>
      </c>
      <c r="CW298" s="2" t="s">
        <v>206</v>
      </c>
      <c r="CY298" s="2" t="s">
        <v>207</v>
      </c>
      <c r="CZ298" s="2" t="s">
        <v>207</v>
      </c>
      <c r="DA298" s="2" t="s">
        <v>299</v>
      </c>
      <c r="DB298" s="2" t="s">
        <v>208</v>
      </c>
      <c r="DC298" s="2" t="s">
        <v>300</v>
      </c>
      <c r="DD298" s="2" t="s">
        <v>301</v>
      </c>
      <c r="DE298" s="2" t="s">
        <v>300</v>
      </c>
      <c r="DF298" s="2" t="s">
        <v>207</v>
      </c>
      <c r="DG298" s="2" t="s">
        <v>207</v>
      </c>
      <c r="DH298" s="2" t="s">
        <v>207</v>
      </c>
      <c r="DI298" s="2" t="s">
        <v>207</v>
      </c>
      <c r="DL298" s="2" t="s">
        <v>187</v>
      </c>
      <c r="DM298" s="2" t="s">
        <v>187</v>
      </c>
      <c r="DN298" s="2" t="s">
        <v>187</v>
      </c>
      <c r="DO298" s="2" t="s">
        <v>187</v>
      </c>
      <c r="DP298" s="2" t="s">
        <v>209</v>
      </c>
      <c r="DQ298" s="2" t="s">
        <v>210</v>
      </c>
      <c r="DT298" s="2" t="s">
        <v>209</v>
      </c>
      <c r="DU298" s="2" t="s">
        <v>209</v>
      </c>
      <c r="DV298" s="2" t="s">
        <v>209</v>
      </c>
      <c r="DW298" s="2" t="s">
        <v>209</v>
      </c>
      <c r="DX298" s="2" t="s">
        <v>209</v>
      </c>
      <c r="DY298" s="2" t="s">
        <v>203</v>
      </c>
      <c r="DZ298" s="2" t="s">
        <v>203</v>
      </c>
      <c r="EA298" s="2" t="s">
        <v>209</v>
      </c>
      <c r="EB298" s="2" t="s">
        <v>209</v>
      </c>
      <c r="EC298" s="2" t="s">
        <v>203</v>
      </c>
      <c r="EF298" s="2" t="s">
        <v>211</v>
      </c>
      <c r="EJ298" s="2" t="s">
        <v>238</v>
      </c>
      <c r="EK298" s="2" t="s">
        <v>187</v>
      </c>
      <c r="EL298" s="2" t="s">
        <v>188</v>
      </c>
      <c r="EN298" s="2" t="s">
        <v>214</v>
      </c>
      <c r="EP298" s="2" t="s">
        <v>230</v>
      </c>
      <c r="ER298" s="2" t="s">
        <v>187</v>
      </c>
      <c r="ET298" s="2" t="s">
        <v>188</v>
      </c>
      <c r="EV298" s="2" t="s">
        <v>187</v>
      </c>
      <c r="EW298" s="2" t="s">
        <v>189</v>
      </c>
      <c r="EX298" s="2" t="s">
        <v>188</v>
      </c>
      <c r="FC298" s="2" t="s">
        <v>216</v>
      </c>
      <c r="FD298" s="2" t="s">
        <v>188</v>
      </c>
      <c r="FH298" s="2" t="s">
        <v>188</v>
      </c>
      <c r="FJ298" s="2" t="s">
        <v>188</v>
      </c>
      <c r="FK298" s="2" t="s">
        <v>209</v>
      </c>
      <c r="FL298" s="2" t="s">
        <v>319</v>
      </c>
      <c r="FN298" s="2" t="s">
        <v>304</v>
      </c>
      <c r="FT298" s="2" t="s">
        <v>219</v>
      </c>
      <c r="FU298" s="2" t="s">
        <v>233</v>
      </c>
      <c r="FV298" s="2" t="s">
        <v>233</v>
      </c>
      <c r="FW298" s="2" t="s">
        <v>233</v>
      </c>
      <c r="FZ298" s="4">
        <v>46046.4531712963</v>
      </c>
    </row>
    <row r="299" spans="1:182">
      <c r="A299" s="2" t="s">
        <v>2068</v>
      </c>
      <c r="D299" s="6">
        <v>46034.39943287037</v>
      </c>
      <c r="E299" s="2" t="s">
        <v>2069</v>
      </c>
      <c r="F299" s="2" t="s">
        <v>425</v>
      </c>
      <c r="G299" s="2" t="s">
        <v>1965</v>
      </c>
      <c r="H299" s="2" t="s">
        <v>2070</v>
      </c>
      <c r="I299" s="2" t="s">
        <v>2071</v>
      </c>
      <c r="J299" s="2">
        <v>975635079</v>
      </c>
      <c r="K299" s="2" t="s">
        <v>2071</v>
      </c>
      <c r="L299" s="2" t="s">
        <v>182</v>
      </c>
      <c r="M299" s="2" t="s">
        <v>183</v>
      </c>
      <c r="N299" s="2">
        <v>1973</v>
      </c>
      <c r="O299" s="2" t="s">
        <v>834</v>
      </c>
      <c r="P299" s="2" t="s">
        <v>185</v>
      </c>
      <c r="Q299" s="2" t="s">
        <v>270</v>
      </c>
      <c r="R299" s="2" t="s">
        <v>188</v>
      </c>
      <c r="S299" s="2">
        <v>27</v>
      </c>
      <c r="T299" s="2" t="s">
        <v>188</v>
      </c>
      <c r="U299" s="2" t="s">
        <v>188</v>
      </c>
      <c r="Y299" s="2">
        <v>170</v>
      </c>
      <c r="Z299" s="2">
        <v>0.85289999999999999</v>
      </c>
      <c r="AA299" s="2">
        <v>145</v>
      </c>
      <c r="AB299" s="2">
        <v>125</v>
      </c>
      <c r="AC299" s="2">
        <v>105</v>
      </c>
      <c r="AD299" s="2">
        <v>140</v>
      </c>
      <c r="AE299" s="2">
        <v>35</v>
      </c>
      <c r="AF299" s="2" t="s">
        <v>187</v>
      </c>
      <c r="AG299" s="2" t="s">
        <v>188</v>
      </c>
      <c r="AH299" s="2" t="s">
        <v>188</v>
      </c>
      <c r="AJ299" s="2" t="s">
        <v>188</v>
      </c>
      <c r="AK299" s="2" t="s">
        <v>187</v>
      </c>
      <c r="AL299" s="2" t="s">
        <v>187</v>
      </c>
      <c r="AM299" s="2" t="s">
        <v>187</v>
      </c>
      <c r="AN299" s="2" t="s">
        <v>188</v>
      </c>
      <c r="AO299" s="2" t="s">
        <v>188</v>
      </c>
      <c r="AR299" s="2">
        <v>0.5</v>
      </c>
      <c r="AS299" s="2">
        <v>1</v>
      </c>
      <c r="AT299" s="2">
        <v>1.4</v>
      </c>
      <c r="AU299" s="2" t="s">
        <v>189</v>
      </c>
      <c r="AV299" s="2" t="s">
        <v>238</v>
      </c>
      <c r="AW299" s="2" t="s">
        <v>188</v>
      </c>
      <c r="AZ299" s="2" t="s">
        <v>1715</v>
      </c>
      <c r="BB299" s="2" t="s">
        <v>260</v>
      </c>
      <c r="BC299" s="2" t="s">
        <v>296</v>
      </c>
      <c r="BD299" s="2" t="s">
        <v>187</v>
      </c>
      <c r="BE299" s="2" t="s">
        <v>187</v>
      </c>
      <c r="BF299" s="2" t="s">
        <v>193</v>
      </c>
      <c r="BG299" s="2" t="s">
        <v>194</v>
      </c>
      <c r="BH299" s="2" t="s">
        <v>280</v>
      </c>
      <c r="BI299" s="2" t="s">
        <v>958</v>
      </c>
      <c r="BL299" s="2" t="s">
        <v>240</v>
      </c>
      <c r="BO299" s="2" t="s">
        <v>188</v>
      </c>
      <c r="BQ299" s="2" t="s">
        <v>227</v>
      </c>
      <c r="BS299" s="2" t="s">
        <v>187</v>
      </c>
      <c r="BT299" s="2" t="s">
        <v>261</v>
      </c>
      <c r="BV299" s="2" t="s">
        <v>242</v>
      </c>
      <c r="BX299" s="2" t="s">
        <v>188</v>
      </c>
      <c r="BZ299" s="2" t="s">
        <v>188</v>
      </c>
      <c r="CE299" s="2">
        <v>1.4</v>
      </c>
      <c r="CF299" s="2">
        <v>140</v>
      </c>
      <c r="CK299" s="2">
        <v>100</v>
      </c>
      <c r="CO299" s="2">
        <v>100</v>
      </c>
      <c r="CR299" s="2" t="s">
        <v>204</v>
      </c>
      <c r="CT299" s="2" t="s">
        <v>188</v>
      </c>
      <c r="CU299" s="2" t="s">
        <v>205</v>
      </c>
      <c r="CW299" s="2" t="s">
        <v>206</v>
      </c>
      <c r="CY299" s="2" t="s">
        <v>300</v>
      </c>
      <c r="CZ299" s="2" t="s">
        <v>300</v>
      </c>
      <c r="DA299" s="2" t="s">
        <v>300</v>
      </c>
      <c r="DB299" s="2" t="s">
        <v>430</v>
      </c>
      <c r="DC299" s="2" t="s">
        <v>430</v>
      </c>
      <c r="DD299" s="2" t="s">
        <v>430</v>
      </c>
      <c r="DE299" s="2" t="s">
        <v>300</v>
      </c>
      <c r="DF299" s="2" t="s">
        <v>300</v>
      </c>
      <c r="DG299" s="2" t="s">
        <v>300</v>
      </c>
      <c r="DH299" s="2" t="s">
        <v>300</v>
      </c>
      <c r="DI299" s="2" t="s">
        <v>300</v>
      </c>
      <c r="DL299" s="2" t="s">
        <v>188</v>
      </c>
      <c r="DM299" s="2" t="s">
        <v>188</v>
      </c>
      <c r="DP299" s="2" t="s">
        <v>203</v>
      </c>
      <c r="DT299" s="2" t="s">
        <v>203</v>
      </c>
      <c r="DU299" s="2" t="s">
        <v>203</v>
      </c>
      <c r="DV299" s="2" t="s">
        <v>203</v>
      </c>
      <c r="DW299" s="2" t="s">
        <v>203</v>
      </c>
      <c r="DX299" s="2" t="s">
        <v>203</v>
      </c>
      <c r="DY299" s="2" t="s">
        <v>203</v>
      </c>
      <c r="DZ299" s="2" t="s">
        <v>203</v>
      </c>
      <c r="EA299" s="2" t="s">
        <v>203</v>
      </c>
      <c r="EB299" s="2" t="s">
        <v>203</v>
      </c>
      <c r="EC299" s="2" t="s">
        <v>203</v>
      </c>
      <c r="EF299" s="2" t="s">
        <v>302</v>
      </c>
      <c r="EG299" s="2" t="s">
        <v>431</v>
      </c>
      <c r="EJ299" s="2" t="s">
        <v>203</v>
      </c>
      <c r="EK299" s="2" t="s">
        <v>188</v>
      </c>
      <c r="EL299" s="2" t="s">
        <v>188</v>
      </c>
      <c r="EN299" s="2" t="s">
        <v>255</v>
      </c>
      <c r="EP299" s="2" t="s">
        <v>230</v>
      </c>
      <c r="ER299" s="2" t="s">
        <v>188</v>
      </c>
      <c r="ET299" s="2" t="s">
        <v>188</v>
      </c>
      <c r="EV299" s="2" t="s">
        <v>188</v>
      </c>
      <c r="EX299" s="2" t="s">
        <v>188</v>
      </c>
      <c r="EZ299" s="2" t="s">
        <v>188</v>
      </c>
      <c r="FC299" s="2" t="s">
        <v>395</v>
      </c>
      <c r="FD299" s="2" t="s">
        <v>188</v>
      </c>
      <c r="FH299" s="2" t="s">
        <v>188</v>
      </c>
      <c r="FJ299" s="2" t="s">
        <v>188</v>
      </c>
      <c r="FK299" s="2" t="s">
        <v>188</v>
      </c>
      <c r="FR299" s="2" t="s">
        <v>2072</v>
      </c>
      <c r="FT299" s="2" t="s">
        <v>490</v>
      </c>
      <c r="FU299" s="2" t="s">
        <v>219</v>
      </c>
      <c r="FV299" s="2" t="s">
        <v>219</v>
      </c>
      <c r="FW299" s="2" t="s">
        <v>219</v>
      </c>
      <c r="FZ299" s="4">
        <v>46040.335381944446</v>
      </c>
    </row>
    <row r="300" spans="1:182">
      <c r="A300" s="2" t="s">
        <v>2073</v>
      </c>
      <c r="D300" s="6">
        <v>46034.410324074073</v>
      </c>
      <c r="E300" s="2" t="s">
        <v>177</v>
      </c>
      <c r="F300" s="2" t="s">
        <v>178</v>
      </c>
      <c r="G300" s="2" t="s">
        <v>1965</v>
      </c>
      <c r="H300" s="2" t="s">
        <v>2012</v>
      </c>
      <c r="I300" s="2" t="s">
        <v>2074</v>
      </c>
      <c r="J300" s="2">
        <v>397253972</v>
      </c>
      <c r="K300" s="2" t="s">
        <v>2074</v>
      </c>
      <c r="L300" s="2" t="s">
        <v>182</v>
      </c>
      <c r="M300" s="2" t="s">
        <v>183</v>
      </c>
      <c r="N300" s="2">
        <v>1975</v>
      </c>
      <c r="O300" s="2" t="s">
        <v>224</v>
      </c>
      <c r="P300" s="2" t="s">
        <v>185</v>
      </c>
      <c r="Q300" s="2" t="s">
        <v>270</v>
      </c>
      <c r="R300" s="2" t="s">
        <v>188</v>
      </c>
      <c r="S300" s="2">
        <v>30</v>
      </c>
      <c r="T300" s="2" t="s">
        <v>188</v>
      </c>
      <c r="U300" s="2" t="s">
        <v>188</v>
      </c>
      <c r="Y300" s="2">
        <v>240</v>
      </c>
      <c r="Z300" s="2">
        <v>0.85419999999999996</v>
      </c>
      <c r="AA300" s="2">
        <v>205</v>
      </c>
      <c r="AB300" s="2">
        <v>205</v>
      </c>
      <c r="AC300" s="2">
        <v>205</v>
      </c>
      <c r="AD300" s="2">
        <v>255</v>
      </c>
      <c r="AE300" s="2">
        <v>50</v>
      </c>
      <c r="AF300" s="2" t="s">
        <v>188</v>
      </c>
      <c r="AG300" s="2" t="s">
        <v>188</v>
      </c>
      <c r="AH300" s="2" t="s">
        <v>188</v>
      </c>
      <c r="AJ300" s="2" t="s">
        <v>188</v>
      </c>
      <c r="AK300" s="2" t="s">
        <v>188</v>
      </c>
      <c r="AL300" s="2" t="s">
        <v>188</v>
      </c>
      <c r="AM300" s="2" t="s">
        <v>187</v>
      </c>
      <c r="AN300" s="2" t="s">
        <v>188</v>
      </c>
      <c r="AO300" s="2" t="s">
        <v>188</v>
      </c>
      <c r="AR300" s="2">
        <v>0.3</v>
      </c>
      <c r="AS300" s="2">
        <v>1</v>
      </c>
      <c r="AT300" s="2">
        <v>2.6</v>
      </c>
      <c r="AU300" s="2" t="s">
        <v>238</v>
      </c>
      <c r="AV300" s="2" t="s">
        <v>238</v>
      </c>
      <c r="AW300" s="2" t="s">
        <v>188</v>
      </c>
      <c r="AZ300" s="2" t="s">
        <v>190</v>
      </c>
      <c r="BB300" s="2" t="s">
        <v>260</v>
      </c>
      <c r="BC300" s="2" t="s">
        <v>192</v>
      </c>
      <c r="BD300" s="2" t="s">
        <v>187</v>
      </c>
      <c r="BE300" s="2" t="s">
        <v>187</v>
      </c>
      <c r="BF300" s="2" t="s">
        <v>193</v>
      </c>
      <c r="BG300" s="2" t="s">
        <v>194</v>
      </c>
      <c r="BH300" s="2" t="s">
        <v>297</v>
      </c>
      <c r="BI300" s="2" t="s">
        <v>196</v>
      </c>
      <c r="BL300" s="2" t="s">
        <v>240</v>
      </c>
      <c r="BO300" s="2" t="s">
        <v>188</v>
      </c>
      <c r="BQ300" s="2" t="s">
        <v>309</v>
      </c>
      <c r="BS300" s="2" t="s">
        <v>187</v>
      </c>
      <c r="BT300" s="2" t="s">
        <v>261</v>
      </c>
      <c r="BV300" s="2" t="s">
        <v>248</v>
      </c>
      <c r="BX300" s="2" t="s">
        <v>188</v>
      </c>
      <c r="BZ300" s="2" t="s">
        <v>188</v>
      </c>
      <c r="CE300" s="2">
        <v>2.6</v>
      </c>
      <c r="CF300" s="2">
        <v>255</v>
      </c>
      <c r="CK300" s="2">
        <v>100</v>
      </c>
      <c r="CO300" s="2">
        <v>100</v>
      </c>
      <c r="CR300" s="2" t="s">
        <v>204</v>
      </c>
      <c r="CT300" s="2" t="s">
        <v>188</v>
      </c>
      <c r="CU300" s="2" t="s">
        <v>205</v>
      </c>
      <c r="CW300" s="2" t="s">
        <v>206</v>
      </c>
      <c r="CY300" s="2" t="s">
        <v>207</v>
      </c>
      <c r="CZ300" s="2" t="s">
        <v>208</v>
      </c>
      <c r="DA300" s="2" t="s">
        <v>208</v>
      </c>
      <c r="DB300" s="2" t="s">
        <v>208</v>
      </c>
      <c r="DC300" s="2" t="s">
        <v>208</v>
      </c>
      <c r="DD300" s="2" t="s">
        <v>208</v>
      </c>
      <c r="DE300" s="2" t="s">
        <v>208</v>
      </c>
      <c r="DF300" s="2" t="s">
        <v>208</v>
      </c>
      <c r="DG300" s="2" t="s">
        <v>208</v>
      </c>
      <c r="DH300" s="2" t="s">
        <v>208</v>
      </c>
      <c r="DI300" s="2" t="s">
        <v>208</v>
      </c>
      <c r="DL300" s="2" t="s">
        <v>187</v>
      </c>
      <c r="DM300" s="2" t="s">
        <v>187</v>
      </c>
      <c r="DN300" s="2" t="s">
        <v>187</v>
      </c>
      <c r="DO300" s="2" t="s">
        <v>187</v>
      </c>
      <c r="DP300" s="2" t="s">
        <v>209</v>
      </c>
      <c r="DQ300" s="2" t="s">
        <v>210</v>
      </c>
      <c r="DT300" s="2" t="s">
        <v>209</v>
      </c>
      <c r="DU300" s="2" t="s">
        <v>209</v>
      </c>
      <c r="DV300" s="2" t="s">
        <v>209</v>
      </c>
      <c r="DW300" s="2" t="s">
        <v>209</v>
      </c>
      <c r="DX300" s="2" t="s">
        <v>209</v>
      </c>
      <c r="DY300" s="2" t="s">
        <v>209</v>
      </c>
      <c r="DZ300" s="2" t="s">
        <v>209</v>
      </c>
      <c r="EA300" s="2" t="s">
        <v>209</v>
      </c>
      <c r="EB300" s="2" t="s">
        <v>209</v>
      </c>
      <c r="EJ300" s="2" t="s">
        <v>189</v>
      </c>
      <c r="EK300" s="2" t="s">
        <v>187</v>
      </c>
      <c r="EL300" s="2" t="s">
        <v>188</v>
      </c>
      <c r="EN300" s="2" t="s">
        <v>214</v>
      </c>
      <c r="EP300" s="2" t="s">
        <v>230</v>
      </c>
      <c r="ER300" s="2" t="s">
        <v>187</v>
      </c>
      <c r="ET300" s="2" t="s">
        <v>188</v>
      </c>
      <c r="EV300" s="2" t="s">
        <v>187</v>
      </c>
      <c r="EW300" s="2" t="s">
        <v>189</v>
      </c>
      <c r="EX300" s="2" t="s">
        <v>188</v>
      </c>
      <c r="EZ300" s="2" t="s">
        <v>188</v>
      </c>
      <c r="FC300" s="2" t="s">
        <v>216</v>
      </c>
      <c r="FD300" s="2" t="s">
        <v>188</v>
      </c>
      <c r="FH300" s="2" t="s">
        <v>188</v>
      </c>
      <c r="FJ300" s="2" t="s">
        <v>187</v>
      </c>
      <c r="FK300" s="2" t="s">
        <v>209</v>
      </c>
      <c r="FL300" s="2" t="s">
        <v>1665</v>
      </c>
      <c r="FN300" s="2" t="s">
        <v>313</v>
      </c>
      <c r="FT300" s="2" t="s">
        <v>219</v>
      </c>
      <c r="FU300" s="2" t="s">
        <v>219</v>
      </c>
      <c r="FV300" s="2" t="s">
        <v>219</v>
      </c>
      <c r="FW300" s="2" t="s">
        <v>219</v>
      </c>
      <c r="FZ300" s="4">
        <v>46041.672800925924</v>
      </c>
    </row>
    <row r="301" spans="1:182">
      <c r="A301" s="2" t="s">
        <v>2075</v>
      </c>
      <c r="D301" s="6">
        <v>46034.410879629628</v>
      </c>
      <c r="E301" s="2" t="s">
        <v>2076</v>
      </c>
      <c r="F301" s="2" t="s">
        <v>590</v>
      </c>
      <c r="G301" s="2" t="s">
        <v>1965</v>
      </c>
      <c r="H301" s="2" t="s">
        <v>1996</v>
      </c>
      <c r="I301" s="2" t="s">
        <v>2077</v>
      </c>
      <c r="J301" s="2">
        <v>862240807</v>
      </c>
      <c r="K301" s="2" t="s">
        <v>2077</v>
      </c>
      <c r="L301" s="2" t="s">
        <v>182</v>
      </c>
      <c r="M301" s="2" t="s">
        <v>223</v>
      </c>
      <c r="N301" s="2">
        <v>1979</v>
      </c>
      <c r="O301" s="2" t="s">
        <v>224</v>
      </c>
      <c r="P301" s="2" t="s">
        <v>225</v>
      </c>
      <c r="Q301" s="2" t="s">
        <v>186</v>
      </c>
      <c r="R301" s="2" t="s">
        <v>188</v>
      </c>
      <c r="S301" s="2">
        <v>26</v>
      </c>
      <c r="T301" s="2" t="s">
        <v>188</v>
      </c>
      <c r="U301" s="2" t="s">
        <v>188</v>
      </c>
      <c r="Y301" s="2">
        <v>100</v>
      </c>
      <c r="Z301" s="2">
        <v>0.7</v>
      </c>
      <c r="AA301" s="2">
        <v>70</v>
      </c>
      <c r="AB301" s="2">
        <v>70</v>
      </c>
      <c r="AC301" s="2">
        <v>70</v>
      </c>
      <c r="AD301" s="2">
        <v>170</v>
      </c>
      <c r="AE301" s="2">
        <v>100</v>
      </c>
      <c r="AF301" s="2" t="s">
        <v>188</v>
      </c>
      <c r="AG301" s="2" t="s">
        <v>188</v>
      </c>
      <c r="AH301" s="2" t="s">
        <v>188</v>
      </c>
      <c r="AJ301" s="2" t="s">
        <v>188</v>
      </c>
      <c r="AK301" s="2" t="s">
        <v>188</v>
      </c>
      <c r="AL301" s="2" t="s">
        <v>188</v>
      </c>
      <c r="AM301" s="2" t="s">
        <v>187</v>
      </c>
      <c r="AN301" s="2" t="s">
        <v>188</v>
      </c>
      <c r="AO301" s="2" t="s">
        <v>188</v>
      </c>
      <c r="AR301" s="2">
        <v>0.9</v>
      </c>
      <c r="AS301" s="2">
        <v>1</v>
      </c>
      <c r="AT301" s="2">
        <v>1.3</v>
      </c>
      <c r="AU301" s="2" t="s">
        <v>238</v>
      </c>
      <c r="AV301" s="2" t="s">
        <v>189</v>
      </c>
      <c r="AW301" s="2" t="s">
        <v>188</v>
      </c>
      <c r="AZ301" s="2" t="s">
        <v>190</v>
      </c>
      <c r="BB301" s="2" t="s">
        <v>260</v>
      </c>
      <c r="BC301" s="2" t="s">
        <v>296</v>
      </c>
      <c r="BD301" s="2" t="s">
        <v>188</v>
      </c>
      <c r="BE301" s="2" t="s">
        <v>187</v>
      </c>
      <c r="BF301" s="2" t="s">
        <v>193</v>
      </c>
      <c r="BG301" s="2" t="s">
        <v>194</v>
      </c>
      <c r="BH301" s="2" t="s">
        <v>297</v>
      </c>
      <c r="BI301" s="2" t="s">
        <v>196</v>
      </c>
      <c r="BL301" s="2" t="s">
        <v>197</v>
      </c>
      <c r="BM301" s="2" t="s">
        <v>507</v>
      </c>
      <c r="BN301" s="2" t="s">
        <v>199</v>
      </c>
      <c r="BO301" s="2" t="s">
        <v>188</v>
      </c>
      <c r="BQ301" s="2" t="s">
        <v>227</v>
      </c>
      <c r="BS301" s="2" t="s">
        <v>187</v>
      </c>
      <c r="BT301" s="2" t="s">
        <v>484</v>
      </c>
      <c r="BV301" s="2" t="s">
        <v>242</v>
      </c>
      <c r="BX301" s="2" t="s">
        <v>188</v>
      </c>
      <c r="BZ301" s="2" t="s">
        <v>188</v>
      </c>
      <c r="CE301" s="2">
        <v>1.3</v>
      </c>
      <c r="CF301" s="2">
        <v>170</v>
      </c>
      <c r="CK301" s="2">
        <v>100</v>
      </c>
      <c r="CO301" s="2">
        <v>100</v>
      </c>
      <c r="CR301" s="2" t="s">
        <v>204</v>
      </c>
      <c r="CT301" s="2" t="s">
        <v>188</v>
      </c>
      <c r="CU301" s="2" t="s">
        <v>281</v>
      </c>
      <c r="CW301" s="2" t="s">
        <v>206</v>
      </c>
      <c r="CY301" s="2" t="s">
        <v>273</v>
      </c>
      <c r="CZ301" s="2" t="s">
        <v>300</v>
      </c>
      <c r="DA301" s="2" t="s">
        <v>300</v>
      </c>
      <c r="DB301" s="2" t="s">
        <v>300</v>
      </c>
      <c r="DC301" s="2" t="s">
        <v>300</v>
      </c>
      <c r="DD301" s="2" t="s">
        <v>300</v>
      </c>
      <c r="DE301" s="2" t="s">
        <v>300</v>
      </c>
      <c r="DF301" s="2" t="s">
        <v>273</v>
      </c>
      <c r="DG301" s="2" t="s">
        <v>273</v>
      </c>
      <c r="DH301" s="2" t="s">
        <v>273</v>
      </c>
      <c r="DI301" s="2" t="s">
        <v>273</v>
      </c>
      <c r="DL301" s="2" t="s">
        <v>187</v>
      </c>
      <c r="DM301" s="2" t="s">
        <v>187</v>
      </c>
      <c r="DN301" s="2" t="s">
        <v>187</v>
      </c>
      <c r="DO301" s="2" t="s">
        <v>187</v>
      </c>
      <c r="DP301" s="2" t="s">
        <v>209</v>
      </c>
      <c r="DQ301" s="2" t="s">
        <v>467</v>
      </c>
      <c r="DR301" s="2" t="s">
        <v>1998</v>
      </c>
      <c r="DT301" s="2" t="s">
        <v>209</v>
      </c>
      <c r="DU301" s="2" t="s">
        <v>209</v>
      </c>
      <c r="DV301" s="2" t="s">
        <v>209</v>
      </c>
      <c r="DW301" s="2" t="s">
        <v>209</v>
      </c>
      <c r="DX301" s="2" t="s">
        <v>209</v>
      </c>
      <c r="DY301" s="2" t="s">
        <v>209</v>
      </c>
      <c r="DZ301" s="2" t="s">
        <v>203</v>
      </c>
      <c r="EA301" s="2" t="s">
        <v>203</v>
      </c>
      <c r="EB301" s="2" t="s">
        <v>209</v>
      </c>
      <c r="EC301" s="2" t="s">
        <v>188</v>
      </c>
      <c r="EF301" s="2" t="s">
        <v>211</v>
      </c>
      <c r="EG301" s="2" t="s">
        <v>985</v>
      </c>
      <c r="EJ301" s="2" t="s">
        <v>238</v>
      </c>
      <c r="EK301" s="2" t="s">
        <v>188</v>
      </c>
      <c r="EL301" s="2" t="s">
        <v>187</v>
      </c>
      <c r="EM301" s="2" t="s">
        <v>597</v>
      </c>
      <c r="EN301" s="2" t="s">
        <v>255</v>
      </c>
      <c r="EP301" s="2" t="s">
        <v>230</v>
      </c>
      <c r="ER301" s="2" t="s">
        <v>188</v>
      </c>
      <c r="ET301" s="2" t="s">
        <v>188</v>
      </c>
      <c r="EV301" s="2" t="s">
        <v>188</v>
      </c>
      <c r="EX301" s="2" t="s">
        <v>188</v>
      </c>
      <c r="EZ301" s="2" t="s">
        <v>188</v>
      </c>
      <c r="FC301" s="2" t="s">
        <v>263</v>
      </c>
      <c r="FD301" s="2" t="s">
        <v>188</v>
      </c>
      <c r="FH301" s="2" t="s">
        <v>188</v>
      </c>
      <c r="FJ301" s="2" t="s">
        <v>188</v>
      </c>
      <c r="FK301" s="2" t="s">
        <v>188</v>
      </c>
      <c r="FN301" s="2" t="s">
        <v>432</v>
      </c>
      <c r="FR301" s="2" t="s">
        <v>2078</v>
      </c>
      <c r="FT301" s="2" t="s">
        <v>233</v>
      </c>
      <c r="FU301" s="2" t="s">
        <v>233</v>
      </c>
      <c r="FV301" s="2" t="s">
        <v>219</v>
      </c>
      <c r="FW301" s="2" t="s">
        <v>219</v>
      </c>
      <c r="FZ301" s="4">
        <v>46040.865219907406</v>
      </c>
    </row>
    <row r="302" spans="1:182">
      <c r="A302" s="2" t="s">
        <v>2079</v>
      </c>
      <c r="D302" s="6">
        <v>46034.420891203707</v>
      </c>
      <c r="E302" s="2" t="s">
        <v>177</v>
      </c>
      <c r="F302" s="2" t="s">
        <v>293</v>
      </c>
      <c r="G302" s="2" t="s">
        <v>1965</v>
      </c>
      <c r="H302" s="2" t="s">
        <v>1996</v>
      </c>
      <c r="I302" s="2" t="s">
        <v>2080</v>
      </c>
      <c r="J302" s="2">
        <v>976692734</v>
      </c>
      <c r="K302" s="2" t="s">
        <v>2081</v>
      </c>
      <c r="L302" s="2" t="s">
        <v>182</v>
      </c>
      <c r="M302" s="2" t="s">
        <v>183</v>
      </c>
      <c r="N302" s="2">
        <v>1972</v>
      </c>
      <c r="O302" s="2" t="s">
        <v>224</v>
      </c>
      <c r="P302" s="2" t="s">
        <v>185</v>
      </c>
      <c r="Q302" s="2" t="s">
        <v>270</v>
      </c>
      <c r="R302" s="2" t="s">
        <v>188</v>
      </c>
      <c r="S302" s="2">
        <v>2019</v>
      </c>
      <c r="T302" s="2" t="s">
        <v>188</v>
      </c>
      <c r="U302" s="2" t="s">
        <v>188</v>
      </c>
      <c r="Y302" s="2">
        <v>650</v>
      </c>
      <c r="Z302" s="2">
        <v>0.92310000000000003</v>
      </c>
      <c r="AA302" s="2">
        <v>600</v>
      </c>
      <c r="AB302" s="2">
        <v>600</v>
      </c>
      <c r="AC302" s="2">
        <v>350</v>
      </c>
      <c r="AD302" s="2">
        <v>400</v>
      </c>
      <c r="AE302" s="2">
        <v>50</v>
      </c>
      <c r="AF302" s="2" t="s">
        <v>188</v>
      </c>
      <c r="AG302" s="2" t="s">
        <v>187</v>
      </c>
      <c r="AH302" s="2" t="s">
        <v>187</v>
      </c>
      <c r="AI302" s="2" t="s">
        <v>2082</v>
      </c>
      <c r="AJ302" s="2" t="s">
        <v>188</v>
      </c>
      <c r="AK302" s="2" t="s">
        <v>188</v>
      </c>
      <c r="AL302" s="2" t="s">
        <v>188</v>
      </c>
      <c r="AM302" s="2" t="s">
        <v>187</v>
      </c>
      <c r="AN302" s="2" t="s">
        <v>188</v>
      </c>
      <c r="AO302" s="2" t="s">
        <v>188</v>
      </c>
      <c r="AR302" s="2">
        <v>3.5</v>
      </c>
      <c r="AS302" s="2">
        <v>2</v>
      </c>
      <c r="AT302" s="2">
        <v>3.5</v>
      </c>
      <c r="AU302" s="2" t="s">
        <v>238</v>
      </c>
      <c r="AV302" s="2" t="s">
        <v>189</v>
      </c>
      <c r="AW302" s="2" t="s">
        <v>188</v>
      </c>
      <c r="AZ302" s="2" t="s">
        <v>190</v>
      </c>
      <c r="BB302" s="2" t="s">
        <v>260</v>
      </c>
      <c r="BC302" s="2" t="s">
        <v>253</v>
      </c>
      <c r="BD302" s="2" t="s">
        <v>187</v>
      </c>
      <c r="BE302" s="2" t="s">
        <v>187</v>
      </c>
      <c r="BF302" s="2" t="s">
        <v>193</v>
      </c>
      <c r="BG302" s="2" t="s">
        <v>194</v>
      </c>
      <c r="BH302" s="2" t="s">
        <v>297</v>
      </c>
      <c r="BI302" s="2" t="s">
        <v>196</v>
      </c>
      <c r="BL302" s="2" t="s">
        <v>240</v>
      </c>
      <c r="BM302" s="2" t="s">
        <v>198</v>
      </c>
      <c r="BN302" s="2" t="s">
        <v>199</v>
      </c>
      <c r="BO302" s="2" t="s">
        <v>188</v>
      </c>
      <c r="BQ302" s="2" t="s">
        <v>309</v>
      </c>
      <c r="BT302" s="2" t="s">
        <v>261</v>
      </c>
      <c r="BV302" s="2" t="s">
        <v>389</v>
      </c>
      <c r="BX302" s="2" t="s">
        <v>187</v>
      </c>
      <c r="BY302" s="2" t="s">
        <v>310</v>
      </c>
      <c r="BZ302" s="2" t="s">
        <v>188</v>
      </c>
      <c r="CE302" s="2">
        <v>3.5</v>
      </c>
      <c r="CF302" s="2">
        <v>340</v>
      </c>
      <c r="CK302" s="2">
        <v>100</v>
      </c>
      <c r="CO302" s="2">
        <v>100</v>
      </c>
      <c r="CR302" s="2" t="s">
        <v>204</v>
      </c>
      <c r="CT302" s="2" t="s">
        <v>188</v>
      </c>
      <c r="CU302" s="2" t="s">
        <v>205</v>
      </c>
      <c r="CW302" s="2" t="s">
        <v>206</v>
      </c>
      <c r="CY302" s="2" t="s">
        <v>207</v>
      </c>
      <c r="CZ302" s="2" t="s">
        <v>273</v>
      </c>
      <c r="DA302" s="2" t="s">
        <v>299</v>
      </c>
      <c r="DB302" s="2" t="s">
        <v>301</v>
      </c>
      <c r="DC302" s="2" t="s">
        <v>299</v>
      </c>
      <c r="DD302" s="2" t="s">
        <v>301</v>
      </c>
      <c r="DE302" s="2" t="s">
        <v>300</v>
      </c>
      <c r="DF302" s="2" t="s">
        <v>207</v>
      </c>
      <c r="DG302" s="2" t="s">
        <v>208</v>
      </c>
      <c r="DH302" s="2" t="s">
        <v>208</v>
      </c>
      <c r="DI302" s="2" t="s">
        <v>208</v>
      </c>
      <c r="DL302" s="2" t="s">
        <v>187</v>
      </c>
      <c r="DM302" s="2" t="s">
        <v>187</v>
      </c>
      <c r="DN302" s="2" t="s">
        <v>187</v>
      </c>
      <c r="DO302" s="2" t="s">
        <v>187</v>
      </c>
      <c r="DP302" s="2" t="s">
        <v>209</v>
      </c>
      <c r="DQ302" s="2" t="s">
        <v>210</v>
      </c>
      <c r="DT302" s="2" t="s">
        <v>209</v>
      </c>
      <c r="DU302" s="2" t="s">
        <v>209</v>
      </c>
      <c r="DV302" s="2" t="s">
        <v>209</v>
      </c>
      <c r="DW302" s="2" t="s">
        <v>209</v>
      </c>
      <c r="DX302" s="2" t="s">
        <v>209</v>
      </c>
      <c r="DY302" s="2" t="s">
        <v>203</v>
      </c>
      <c r="DZ302" s="2" t="s">
        <v>203</v>
      </c>
      <c r="EA302" s="2" t="s">
        <v>209</v>
      </c>
      <c r="EB302" s="2" t="s">
        <v>209</v>
      </c>
      <c r="EC302" s="2" t="s">
        <v>203</v>
      </c>
      <c r="EF302" s="2" t="s">
        <v>211</v>
      </c>
      <c r="EJ302" s="2" t="s">
        <v>189</v>
      </c>
      <c r="EK302" s="2" t="s">
        <v>188</v>
      </c>
      <c r="EL302" s="2" t="s">
        <v>188</v>
      </c>
      <c r="EN302" s="2" t="s">
        <v>214</v>
      </c>
      <c r="EP302" s="2" t="s">
        <v>230</v>
      </c>
      <c r="ER302" s="2" t="s">
        <v>187</v>
      </c>
      <c r="ET302" s="2" t="s">
        <v>188</v>
      </c>
      <c r="EV302" s="2" t="s">
        <v>187</v>
      </c>
      <c r="EW302" s="2" t="s">
        <v>189</v>
      </c>
      <c r="EX302" s="2" t="s">
        <v>188</v>
      </c>
      <c r="FC302" s="2" t="s">
        <v>216</v>
      </c>
      <c r="FD302" s="2" t="s">
        <v>188</v>
      </c>
      <c r="FH302" s="2" t="s">
        <v>188</v>
      </c>
      <c r="FJ302" s="2" t="s">
        <v>187</v>
      </c>
      <c r="FK302" s="2" t="s">
        <v>209</v>
      </c>
      <c r="FL302" s="2" t="s">
        <v>319</v>
      </c>
      <c r="FN302" s="2" t="s">
        <v>367</v>
      </c>
      <c r="FT302" s="2" t="s">
        <v>219</v>
      </c>
      <c r="FU302" s="2" t="s">
        <v>233</v>
      </c>
      <c r="FV302" s="2" t="s">
        <v>233</v>
      </c>
      <c r="FW302" s="2" t="s">
        <v>233</v>
      </c>
      <c r="FZ302" s="4">
        <v>46039.89980324074</v>
      </c>
    </row>
    <row r="303" spans="1:182">
      <c r="A303" s="2" t="s">
        <v>2083</v>
      </c>
      <c r="D303" s="6">
        <v>46034.425162037034</v>
      </c>
      <c r="E303" s="2" t="s">
        <v>177</v>
      </c>
      <c r="F303" s="2" t="s">
        <v>178</v>
      </c>
      <c r="G303" s="2" t="s">
        <v>1965</v>
      </c>
      <c r="H303" s="2" t="s">
        <v>2012</v>
      </c>
      <c r="I303" s="2" t="s">
        <v>2084</v>
      </c>
      <c r="J303" s="2">
        <v>399144385</v>
      </c>
      <c r="K303" s="2" t="s">
        <v>2084</v>
      </c>
      <c r="L303" s="2" t="s">
        <v>182</v>
      </c>
      <c r="M303" s="2" t="s">
        <v>223</v>
      </c>
      <c r="N303" s="2">
        <v>1984</v>
      </c>
      <c r="O303" s="2" t="s">
        <v>224</v>
      </c>
      <c r="P303" s="2" t="s">
        <v>185</v>
      </c>
      <c r="Q303" s="2" t="s">
        <v>186</v>
      </c>
      <c r="R303" s="2" t="s">
        <v>188</v>
      </c>
      <c r="S303" s="2">
        <v>11</v>
      </c>
      <c r="T303" s="2" t="s">
        <v>188</v>
      </c>
      <c r="U303" s="2" t="s">
        <v>188</v>
      </c>
      <c r="Y303" s="2">
        <v>410</v>
      </c>
      <c r="Z303" s="2">
        <v>0.95120000000000005</v>
      </c>
      <c r="AA303" s="2">
        <v>390</v>
      </c>
      <c r="AB303" s="2">
        <v>390</v>
      </c>
      <c r="AC303" s="2">
        <v>380</v>
      </c>
      <c r="AD303" s="2">
        <v>650</v>
      </c>
      <c r="AE303" s="2">
        <v>270</v>
      </c>
      <c r="AF303" s="2" t="s">
        <v>188</v>
      </c>
      <c r="AG303" s="2" t="s">
        <v>187</v>
      </c>
      <c r="AH303" s="2" t="s">
        <v>187</v>
      </c>
      <c r="AI303" s="2" t="s">
        <v>2085</v>
      </c>
      <c r="AJ303" s="2" t="s">
        <v>188</v>
      </c>
      <c r="AK303" s="2" t="s">
        <v>188</v>
      </c>
      <c r="AL303" s="2" t="s">
        <v>188</v>
      </c>
      <c r="AM303" s="2" t="s">
        <v>187</v>
      </c>
      <c r="AN303" s="2" t="s">
        <v>188</v>
      </c>
      <c r="AO303" s="2" t="s">
        <v>188</v>
      </c>
      <c r="AR303" s="2">
        <v>4</v>
      </c>
      <c r="AS303" s="2">
        <v>5</v>
      </c>
      <c r="AT303" s="2">
        <v>6.6</v>
      </c>
      <c r="AU303" s="2" t="s">
        <v>189</v>
      </c>
      <c r="AV303" s="2" t="s">
        <v>189</v>
      </c>
      <c r="AW303" s="2" t="s">
        <v>188</v>
      </c>
      <c r="AZ303" s="2" t="s">
        <v>190</v>
      </c>
      <c r="BB303" s="2" t="s">
        <v>191</v>
      </c>
      <c r="BC303" s="2" t="s">
        <v>192</v>
      </c>
      <c r="BD303" s="2" t="s">
        <v>187</v>
      </c>
      <c r="BE303" s="2" t="s">
        <v>187</v>
      </c>
      <c r="BF303" s="2" t="s">
        <v>193</v>
      </c>
      <c r="BG303" s="2" t="s">
        <v>279</v>
      </c>
      <c r="BH303" s="2" t="s">
        <v>195</v>
      </c>
      <c r="BI303" s="2" t="s">
        <v>196</v>
      </c>
      <c r="BL303" s="2" t="s">
        <v>197</v>
      </c>
      <c r="BM303" s="2" t="s">
        <v>198</v>
      </c>
      <c r="BN303" s="2" t="s">
        <v>199</v>
      </c>
      <c r="BO303" s="2" t="s">
        <v>188</v>
      </c>
      <c r="BQ303" s="2" t="s">
        <v>227</v>
      </c>
      <c r="BS303" s="2" t="s">
        <v>187</v>
      </c>
      <c r="BT303" s="2" t="s">
        <v>201</v>
      </c>
      <c r="BV303" s="2" t="s">
        <v>228</v>
      </c>
      <c r="BX303" s="2" t="s">
        <v>188</v>
      </c>
      <c r="BZ303" s="2" t="s">
        <v>188</v>
      </c>
      <c r="CE303" s="2">
        <v>6.6</v>
      </c>
      <c r="CF303" s="2">
        <v>650</v>
      </c>
      <c r="CM303" s="2">
        <v>100</v>
      </c>
      <c r="CO303" s="2">
        <v>100</v>
      </c>
      <c r="CR303" s="2" t="s">
        <v>229</v>
      </c>
      <c r="CT303" s="2" t="s">
        <v>188</v>
      </c>
      <c r="CU303" s="2" t="s">
        <v>205</v>
      </c>
      <c r="CW303" s="2" t="s">
        <v>206</v>
      </c>
      <c r="CY303" s="2" t="s">
        <v>207</v>
      </c>
      <c r="CZ303" s="2" t="s">
        <v>207</v>
      </c>
      <c r="DA303" s="2" t="s">
        <v>207</v>
      </c>
      <c r="DB303" s="2" t="s">
        <v>208</v>
      </c>
      <c r="DC303" s="2" t="s">
        <v>208</v>
      </c>
      <c r="DD303" s="2" t="s">
        <v>208</v>
      </c>
      <c r="DE303" s="2" t="s">
        <v>208</v>
      </c>
      <c r="DF303" s="2" t="s">
        <v>208</v>
      </c>
      <c r="DG303" s="2" t="s">
        <v>208</v>
      </c>
      <c r="DH303" s="2" t="s">
        <v>208</v>
      </c>
      <c r="DI303" s="2" t="s">
        <v>208</v>
      </c>
      <c r="DL303" s="2" t="s">
        <v>187</v>
      </c>
      <c r="DM303" s="2" t="s">
        <v>187</v>
      </c>
      <c r="DN303" s="2" t="s">
        <v>187</v>
      </c>
      <c r="DO303" s="2" t="s">
        <v>187</v>
      </c>
      <c r="DP303" s="2" t="s">
        <v>209</v>
      </c>
      <c r="DQ303" s="2" t="s">
        <v>210</v>
      </c>
      <c r="DT303" s="2" t="s">
        <v>209</v>
      </c>
      <c r="DU303" s="2" t="s">
        <v>209</v>
      </c>
      <c r="DV303" s="2" t="s">
        <v>209</v>
      </c>
      <c r="DW303" s="2" t="s">
        <v>209</v>
      </c>
      <c r="DX303" s="2" t="s">
        <v>209</v>
      </c>
      <c r="DY303" s="2" t="s">
        <v>209</v>
      </c>
      <c r="DZ303" s="2" t="s">
        <v>209</v>
      </c>
      <c r="EA303" s="2" t="s">
        <v>209</v>
      </c>
      <c r="EB303" s="2" t="s">
        <v>209</v>
      </c>
      <c r="EF303" s="2" t="s">
        <v>189</v>
      </c>
      <c r="EJ303" s="2" t="s">
        <v>189</v>
      </c>
      <c r="EK303" s="2" t="s">
        <v>187</v>
      </c>
      <c r="EL303" s="2" t="s">
        <v>188</v>
      </c>
      <c r="EN303" s="2" t="s">
        <v>214</v>
      </c>
      <c r="EP303" s="2" t="s">
        <v>230</v>
      </c>
      <c r="ER303" s="2" t="s">
        <v>187</v>
      </c>
      <c r="ET303" s="2" t="s">
        <v>188</v>
      </c>
      <c r="EV303" s="2" t="s">
        <v>187</v>
      </c>
      <c r="EW303" s="2" t="s">
        <v>215</v>
      </c>
      <c r="EX303" s="2" t="s">
        <v>187</v>
      </c>
      <c r="EY303" s="2" t="s">
        <v>215</v>
      </c>
      <c r="EZ303" s="2" t="s">
        <v>188</v>
      </c>
      <c r="FC303" s="2" t="s">
        <v>216</v>
      </c>
      <c r="FD303" s="2" t="s">
        <v>188</v>
      </c>
      <c r="FH303" s="2" t="s">
        <v>188</v>
      </c>
      <c r="FJ303" s="2" t="s">
        <v>187</v>
      </c>
      <c r="FK303" s="2" t="s">
        <v>209</v>
      </c>
      <c r="FL303" s="2" t="s">
        <v>217</v>
      </c>
      <c r="FN303" s="2" t="s">
        <v>313</v>
      </c>
      <c r="FT303" s="2" t="s">
        <v>219</v>
      </c>
      <c r="FU303" s="2" t="s">
        <v>219</v>
      </c>
      <c r="FV303" s="2" t="s">
        <v>219</v>
      </c>
      <c r="FW303" s="2" t="s">
        <v>219</v>
      </c>
      <c r="FZ303" s="4">
        <v>46041.667222222219</v>
      </c>
    </row>
    <row r="304" spans="1:182">
      <c r="A304" s="2" t="s">
        <v>2086</v>
      </c>
      <c r="D304" s="6">
        <v>46034.410891203705</v>
      </c>
      <c r="E304" s="2" t="s">
        <v>2087</v>
      </c>
      <c r="F304" s="2" t="s">
        <v>425</v>
      </c>
      <c r="G304" s="2" t="s">
        <v>1965</v>
      </c>
      <c r="H304" s="2" t="s">
        <v>1966</v>
      </c>
      <c r="I304" s="2" t="s">
        <v>2088</v>
      </c>
      <c r="J304" s="2">
        <v>988527808</v>
      </c>
      <c r="K304" s="2" t="s">
        <v>2088</v>
      </c>
      <c r="L304" s="2" t="s">
        <v>269</v>
      </c>
      <c r="M304" s="2" t="s">
        <v>223</v>
      </c>
      <c r="N304" s="2">
        <v>1971</v>
      </c>
      <c r="O304" s="2" t="s">
        <v>224</v>
      </c>
      <c r="P304" s="2" t="s">
        <v>185</v>
      </c>
      <c r="Q304" s="2" t="s">
        <v>186</v>
      </c>
      <c r="R304" s="2" t="s">
        <v>188</v>
      </c>
      <c r="S304" s="2">
        <v>31</v>
      </c>
      <c r="T304" s="2" t="s">
        <v>188</v>
      </c>
      <c r="U304" s="2" t="s">
        <v>188</v>
      </c>
      <c r="Y304" s="2">
        <v>260</v>
      </c>
      <c r="Z304" s="2">
        <v>0.66539999999999999</v>
      </c>
      <c r="AA304" s="2">
        <v>173</v>
      </c>
      <c r="AB304" s="2">
        <v>173</v>
      </c>
      <c r="AC304" s="2">
        <v>173</v>
      </c>
      <c r="AD304" s="2">
        <v>220</v>
      </c>
      <c r="AE304" s="2">
        <v>47</v>
      </c>
      <c r="AF304" s="2" t="s">
        <v>188</v>
      </c>
      <c r="AG304" s="2" t="s">
        <v>188</v>
      </c>
      <c r="AH304" s="2" t="s">
        <v>188</v>
      </c>
      <c r="AJ304" s="2" t="s">
        <v>188</v>
      </c>
      <c r="AK304" s="2" t="s">
        <v>188</v>
      </c>
      <c r="AM304" s="2" t="s">
        <v>187</v>
      </c>
      <c r="AN304" s="2" t="s">
        <v>188</v>
      </c>
      <c r="AO304" s="2" t="s">
        <v>187</v>
      </c>
      <c r="AR304" s="2">
        <v>0.5</v>
      </c>
      <c r="AS304" s="2">
        <v>1</v>
      </c>
      <c r="AT304" s="2">
        <v>2.2000000000000002</v>
      </c>
      <c r="AU304" s="2" t="s">
        <v>238</v>
      </c>
      <c r="AV304" s="2" t="s">
        <v>238</v>
      </c>
      <c r="AW304" s="2" t="s">
        <v>188</v>
      </c>
      <c r="AZ304" s="2" t="s">
        <v>561</v>
      </c>
      <c r="BB304" s="2" t="s">
        <v>191</v>
      </c>
      <c r="BC304" s="2" t="s">
        <v>253</v>
      </c>
      <c r="BD304" s="2" t="s">
        <v>188</v>
      </c>
      <c r="BE304" s="2" t="s">
        <v>187</v>
      </c>
      <c r="BF304" s="2" t="s">
        <v>193</v>
      </c>
      <c r="BG304" s="2" t="s">
        <v>279</v>
      </c>
      <c r="BH304" s="2" t="s">
        <v>297</v>
      </c>
      <c r="BI304" s="2" t="s">
        <v>196</v>
      </c>
      <c r="BL304" s="2" t="s">
        <v>197</v>
      </c>
      <c r="BM304" s="2" t="s">
        <v>198</v>
      </c>
      <c r="BN304" s="2" t="s">
        <v>199</v>
      </c>
      <c r="BO304" s="2" t="s">
        <v>188</v>
      </c>
      <c r="BQ304" s="2" t="s">
        <v>309</v>
      </c>
      <c r="BS304" s="2" t="s">
        <v>187</v>
      </c>
      <c r="BT304" s="2" t="s">
        <v>261</v>
      </c>
      <c r="BV304" s="2" t="s">
        <v>401</v>
      </c>
      <c r="BX304" s="2" t="s">
        <v>188</v>
      </c>
      <c r="BZ304" s="2" t="s">
        <v>188</v>
      </c>
      <c r="CE304" s="2">
        <v>2.2000000000000002</v>
      </c>
      <c r="CF304" s="2">
        <v>220</v>
      </c>
      <c r="CK304" s="2">
        <v>100</v>
      </c>
      <c r="CO304" s="2">
        <v>100</v>
      </c>
      <c r="CR304" s="2" t="s">
        <v>204</v>
      </c>
      <c r="CT304" s="2" t="s">
        <v>188</v>
      </c>
      <c r="CU304" s="2" t="s">
        <v>758</v>
      </c>
      <c r="CW304" s="2" t="s">
        <v>206</v>
      </c>
      <c r="CY304" s="2" t="s">
        <v>207</v>
      </c>
      <c r="CZ304" s="2" t="s">
        <v>207</v>
      </c>
      <c r="DA304" s="2" t="s">
        <v>300</v>
      </c>
      <c r="DB304" s="2" t="s">
        <v>430</v>
      </c>
      <c r="DC304" s="2" t="s">
        <v>430</v>
      </c>
      <c r="DD304" s="2" t="s">
        <v>430</v>
      </c>
      <c r="DE304" s="2" t="s">
        <v>300</v>
      </c>
      <c r="DG304" s="2" t="s">
        <v>300</v>
      </c>
      <c r="DH304" s="2" t="s">
        <v>430</v>
      </c>
      <c r="DI304" s="2" t="s">
        <v>430</v>
      </c>
      <c r="DL304" s="2" t="s">
        <v>188</v>
      </c>
      <c r="DM304" s="2" t="s">
        <v>188</v>
      </c>
      <c r="DP304" s="2" t="s">
        <v>203</v>
      </c>
      <c r="DT304" s="2" t="s">
        <v>203</v>
      </c>
      <c r="DU304" s="2" t="s">
        <v>203</v>
      </c>
      <c r="DV304" s="2" t="s">
        <v>203</v>
      </c>
      <c r="DW304" s="2" t="s">
        <v>203</v>
      </c>
      <c r="DX304" s="2" t="s">
        <v>203</v>
      </c>
      <c r="DY304" s="2" t="s">
        <v>203</v>
      </c>
      <c r="DZ304" s="2" t="s">
        <v>203</v>
      </c>
      <c r="EA304" s="2" t="s">
        <v>203</v>
      </c>
      <c r="EB304" s="2" t="s">
        <v>203</v>
      </c>
      <c r="EC304" s="2" t="s">
        <v>203</v>
      </c>
      <c r="EF304" s="2" t="s">
        <v>302</v>
      </c>
      <c r="EG304" s="2" t="s">
        <v>431</v>
      </c>
      <c r="EJ304" s="2" t="s">
        <v>238</v>
      </c>
      <c r="EK304" s="2" t="s">
        <v>187</v>
      </c>
      <c r="EL304" s="2" t="s">
        <v>188</v>
      </c>
      <c r="EN304" s="2" t="s">
        <v>255</v>
      </c>
      <c r="EP304" s="2" t="s">
        <v>230</v>
      </c>
      <c r="ER304" s="2" t="s">
        <v>187</v>
      </c>
      <c r="ET304" s="2" t="s">
        <v>188</v>
      </c>
      <c r="EV304" s="2" t="s">
        <v>188</v>
      </c>
      <c r="EX304" s="2" t="s">
        <v>188</v>
      </c>
      <c r="EZ304" s="2" t="s">
        <v>188</v>
      </c>
      <c r="FC304" s="2" t="s">
        <v>395</v>
      </c>
      <c r="FD304" s="2" t="s">
        <v>188</v>
      </c>
      <c r="FH304" s="2" t="s">
        <v>188</v>
      </c>
      <c r="FJ304" s="2" t="s">
        <v>188</v>
      </c>
      <c r="FK304" s="2" t="s">
        <v>188</v>
      </c>
      <c r="FL304" s="2" t="s">
        <v>319</v>
      </c>
      <c r="FR304" s="2" t="s">
        <v>2089</v>
      </c>
      <c r="FT304" s="2" t="s">
        <v>490</v>
      </c>
      <c r="FU304" s="2" t="s">
        <v>233</v>
      </c>
      <c r="FV304" s="2" t="s">
        <v>219</v>
      </c>
      <c r="FW304" s="2" t="s">
        <v>219</v>
      </c>
      <c r="FZ304" s="4">
        <v>46038.708032407405</v>
      </c>
    </row>
    <row r="305" spans="1:182">
      <c r="A305" s="2" t="s">
        <v>2090</v>
      </c>
      <c r="D305" s="6">
        <v>46034.424629629626</v>
      </c>
      <c r="E305" s="2" t="s">
        <v>177</v>
      </c>
      <c r="F305" s="2" t="s">
        <v>293</v>
      </c>
      <c r="G305" s="2" t="s">
        <v>1965</v>
      </c>
      <c r="H305" s="2" t="s">
        <v>1996</v>
      </c>
      <c r="I305" s="2" t="s">
        <v>2091</v>
      </c>
      <c r="J305" s="2">
        <v>333333</v>
      </c>
      <c r="K305" s="2" t="s">
        <v>2092</v>
      </c>
      <c r="L305" s="2" t="s">
        <v>182</v>
      </c>
      <c r="M305" s="2" t="s">
        <v>223</v>
      </c>
      <c r="N305" s="2">
        <v>1999</v>
      </c>
      <c r="O305" s="2" t="s">
        <v>224</v>
      </c>
      <c r="P305" s="2" t="s">
        <v>225</v>
      </c>
      <c r="Q305" s="2" t="s">
        <v>186</v>
      </c>
      <c r="R305" s="2" t="s">
        <v>188</v>
      </c>
      <c r="S305" s="2">
        <v>2016</v>
      </c>
      <c r="T305" s="2" t="s">
        <v>188</v>
      </c>
      <c r="U305" s="2" t="s">
        <v>188</v>
      </c>
      <c r="Y305" s="2">
        <v>450</v>
      </c>
      <c r="Z305" s="2">
        <v>0.88890000000000002</v>
      </c>
      <c r="AA305" s="2">
        <v>400</v>
      </c>
      <c r="AB305" s="2">
        <v>400</v>
      </c>
      <c r="AC305" s="2">
        <v>290</v>
      </c>
      <c r="AD305" s="2">
        <v>340</v>
      </c>
      <c r="AE305" s="2">
        <v>50</v>
      </c>
      <c r="AF305" s="2" t="s">
        <v>188</v>
      </c>
      <c r="AG305" s="2" t="s">
        <v>187</v>
      </c>
      <c r="AH305" s="2" t="s">
        <v>187</v>
      </c>
      <c r="AI305" s="2" t="s">
        <v>2093</v>
      </c>
      <c r="AJ305" s="2" t="s">
        <v>188</v>
      </c>
      <c r="AK305" s="2" t="s">
        <v>188</v>
      </c>
      <c r="AL305" s="2" t="s">
        <v>188</v>
      </c>
      <c r="AM305" s="2" t="s">
        <v>187</v>
      </c>
      <c r="AN305" s="2" t="s">
        <v>188</v>
      </c>
      <c r="AO305" s="2" t="s">
        <v>188</v>
      </c>
      <c r="AR305" s="2">
        <v>2</v>
      </c>
      <c r="AS305" s="2">
        <v>2</v>
      </c>
      <c r="AT305" s="2">
        <v>3.5</v>
      </c>
      <c r="AU305" s="2" t="s">
        <v>189</v>
      </c>
      <c r="AV305" s="2" t="s">
        <v>238</v>
      </c>
      <c r="AW305" s="2" t="s">
        <v>188</v>
      </c>
      <c r="AZ305" s="2" t="s">
        <v>357</v>
      </c>
      <c r="BB305" s="2" t="s">
        <v>260</v>
      </c>
      <c r="BC305" s="2" t="s">
        <v>253</v>
      </c>
      <c r="BD305" s="2" t="s">
        <v>188</v>
      </c>
      <c r="BE305" s="2" t="s">
        <v>188</v>
      </c>
      <c r="BL305" s="2" t="s">
        <v>240</v>
      </c>
      <c r="BM305" s="2" t="s">
        <v>198</v>
      </c>
      <c r="BN305" s="2" t="s">
        <v>199</v>
      </c>
      <c r="BO305" s="2" t="s">
        <v>188</v>
      </c>
      <c r="BQ305" s="2" t="s">
        <v>200</v>
      </c>
      <c r="BS305" s="2" t="s">
        <v>187</v>
      </c>
      <c r="BV305" s="2" t="s">
        <v>401</v>
      </c>
      <c r="BX305" s="2" t="s">
        <v>187</v>
      </c>
      <c r="BY305" s="2" t="s">
        <v>310</v>
      </c>
      <c r="BZ305" s="2" t="s">
        <v>188</v>
      </c>
      <c r="CE305" s="2">
        <v>3.5</v>
      </c>
      <c r="CF305" s="2">
        <v>340</v>
      </c>
      <c r="CK305" s="2">
        <v>100</v>
      </c>
      <c r="CO305" s="2">
        <v>100</v>
      </c>
      <c r="CR305" s="2" t="s">
        <v>204</v>
      </c>
      <c r="CT305" s="2" t="s">
        <v>188</v>
      </c>
      <c r="CU305" s="2" t="s">
        <v>205</v>
      </c>
      <c r="CW305" s="2" t="s">
        <v>206</v>
      </c>
      <c r="CY305" s="2" t="s">
        <v>207</v>
      </c>
      <c r="CZ305" s="2" t="s">
        <v>207</v>
      </c>
      <c r="DA305" s="2" t="s">
        <v>300</v>
      </c>
      <c r="DB305" s="2" t="s">
        <v>301</v>
      </c>
      <c r="DC305" s="2" t="s">
        <v>300</v>
      </c>
      <c r="DD305" s="2" t="s">
        <v>301</v>
      </c>
      <c r="DE305" s="2" t="s">
        <v>300</v>
      </c>
      <c r="DF305" s="2" t="s">
        <v>207</v>
      </c>
      <c r="DG305" s="2" t="s">
        <v>207</v>
      </c>
      <c r="DH305" s="2" t="s">
        <v>207</v>
      </c>
      <c r="DI305" s="2" t="s">
        <v>207</v>
      </c>
      <c r="DL305" s="2" t="s">
        <v>187</v>
      </c>
      <c r="DM305" s="2" t="s">
        <v>187</v>
      </c>
      <c r="DN305" s="2" t="s">
        <v>187</v>
      </c>
      <c r="DO305" s="2" t="s">
        <v>187</v>
      </c>
      <c r="DP305" s="2" t="s">
        <v>209</v>
      </c>
      <c r="DQ305" s="2" t="s">
        <v>210</v>
      </c>
      <c r="DS305" s="2" t="s">
        <v>209</v>
      </c>
      <c r="DT305" s="2" t="s">
        <v>209</v>
      </c>
      <c r="DU305" s="2" t="s">
        <v>209</v>
      </c>
      <c r="DV305" s="2" t="s">
        <v>209</v>
      </c>
      <c r="DW305" s="2" t="s">
        <v>209</v>
      </c>
      <c r="DX305" s="2" t="s">
        <v>209</v>
      </c>
      <c r="DY305" s="2" t="s">
        <v>203</v>
      </c>
      <c r="DZ305" s="2" t="s">
        <v>203</v>
      </c>
      <c r="EA305" s="2" t="s">
        <v>209</v>
      </c>
      <c r="EB305" s="2" t="s">
        <v>209</v>
      </c>
      <c r="EC305" s="2" t="s">
        <v>203</v>
      </c>
      <c r="EF305" s="2" t="s">
        <v>211</v>
      </c>
      <c r="EJ305" s="2" t="s">
        <v>238</v>
      </c>
      <c r="EK305" s="2" t="s">
        <v>187</v>
      </c>
      <c r="EL305" s="2" t="s">
        <v>188</v>
      </c>
      <c r="EN305" s="2" t="s">
        <v>214</v>
      </c>
      <c r="EP305" s="2" t="s">
        <v>230</v>
      </c>
      <c r="ER305" s="2" t="s">
        <v>187</v>
      </c>
      <c r="ET305" s="2" t="s">
        <v>188</v>
      </c>
      <c r="EV305" s="2" t="s">
        <v>188</v>
      </c>
      <c r="EX305" s="2" t="s">
        <v>188</v>
      </c>
      <c r="FC305" s="2" t="s">
        <v>216</v>
      </c>
      <c r="FD305" s="2" t="s">
        <v>188</v>
      </c>
      <c r="FH305" s="2" t="s">
        <v>188</v>
      </c>
      <c r="FJ305" s="2" t="s">
        <v>187</v>
      </c>
      <c r="FK305" s="2" t="s">
        <v>209</v>
      </c>
      <c r="FL305" s="2" t="s">
        <v>319</v>
      </c>
      <c r="FN305" s="2" t="s">
        <v>354</v>
      </c>
      <c r="FT305" s="2" t="s">
        <v>219</v>
      </c>
      <c r="FU305" s="2" t="s">
        <v>233</v>
      </c>
      <c r="FV305" s="2" t="s">
        <v>233</v>
      </c>
      <c r="FW305" s="2" t="s">
        <v>233</v>
      </c>
      <c r="FZ305" s="4">
        <v>46046.438402777778</v>
      </c>
    </row>
    <row r="306" spans="1:182">
      <c r="A306" s="2" t="s">
        <v>2094</v>
      </c>
      <c r="D306" s="6">
        <v>46034.397094907406</v>
      </c>
      <c r="E306" s="2" t="s">
        <v>2095</v>
      </c>
      <c r="F306" s="2" t="s">
        <v>398</v>
      </c>
      <c r="G306" s="2" t="s">
        <v>1965</v>
      </c>
      <c r="H306" s="2" t="s">
        <v>1966</v>
      </c>
      <c r="I306" s="2" t="s">
        <v>1739</v>
      </c>
      <c r="J306" s="2">
        <v>377881200</v>
      </c>
      <c r="K306" s="2" t="s">
        <v>2096</v>
      </c>
      <c r="L306" s="2" t="s">
        <v>182</v>
      </c>
      <c r="M306" s="2" t="s">
        <v>223</v>
      </c>
      <c r="N306" s="2">
        <v>1981</v>
      </c>
      <c r="O306" s="2" t="s">
        <v>224</v>
      </c>
      <c r="P306" s="2" t="s">
        <v>225</v>
      </c>
      <c r="Q306" s="2" t="s">
        <v>186</v>
      </c>
      <c r="R306" s="2" t="s">
        <v>188</v>
      </c>
      <c r="S306" s="2">
        <v>25</v>
      </c>
      <c r="T306" s="2" t="s">
        <v>188</v>
      </c>
      <c r="U306" s="2" t="s">
        <v>188</v>
      </c>
      <c r="Y306" s="2">
        <v>550</v>
      </c>
      <c r="Z306" s="2">
        <v>0.6</v>
      </c>
      <c r="AA306" s="2">
        <v>330</v>
      </c>
      <c r="AB306" s="2">
        <v>330</v>
      </c>
      <c r="AC306" s="2">
        <v>330</v>
      </c>
      <c r="AD306" s="2">
        <v>400</v>
      </c>
      <c r="AE306" s="2">
        <v>70</v>
      </c>
      <c r="AF306" s="2" t="s">
        <v>188</v>
      </c>
      <c r="AG306" s="2" t="s">
        <v>188</v>
      </c>
      <c r="AH306" s="2" t="s">
        <v>188</v>
      </c>
      <c r="AJ306" s="2" t="s">
        <v>188</v>
      </c>
      <c r="AK306" s="2" t="s">
        <v>188</v>
      </c>
      <c r="AL306" s="2" t="s">
        <v>187</v>
      </c>
      <c r="AM306" s="2" t="s">
        <v>187</v>
      </c>
      <c r="AN306" s="2" t="s">
        <v>188</v>
      </c>
      <c r="AO306" s="2" t="s">
        <v>188</v>
      </c>
      <c r="AR306" s="2">
        <v>1.27</v>
      </c>
      <c r="AS306" s="2">
        <v>3</v>
      </c>
      <c r="AT306" s="2">
        <v>4</v>
      </c>
      <c r="AU306" s="2" t="s">
        <v>189</v>
      </c>
      <c r="AV306" s="2" t="s">
        <v>189</v>
      </c>
      <c r="AW306" s="2" t="s">
        <v>188</v>
      </c>
      <c r="BC306" s="2" t="s">
        <v>192</v>
      </c>
      <c r="BD306" s="2" t="s">
        <v>188</v>
      </c>
      <c r="BE306" s="2" t="s">
        <v>188</v>
      </c>
      <c r="BL306" s="2" t="s">
        <v>240</v>
      </c>
      <c r="BO306" s="2" t="s">
        <v>188</v>
      </c>
      <c r="BQ306" s="2" t="s">
        <v>200</v>
      </c>
      <c r="BS306" s="2" t="s">
        <v>187</v>
      </c>
      <c r="BT306" s="2" t="s">
        <v>410</v>
      </c>
      <c r="BV306" s="2" t="s">
        <v>502</v>
      </c>
      <c r="BX306" s="2" t="s">
        <v>188</v>
      </c>
      <c r="BY306" s="2" t="s">
        <v>2097</v>
      </c>
      <c r="BZ306" s="2" t="s">
        <v>203</v>
      </c>
      <c r="CE306" s="2">
        <v>4</v>
      </c>
      <c r="CF306" s="2">
        <v>400</v>
      </c>
      <c r="CM306" s="2">
        <v>100</v>
      </c>
      <c r="CP306" s="2">
        <v>100</v>
      </c>
      <c r="CR306" s="2" t="s">
        <v>204</v>
      </c>
      <c r="CT306" s="2" t="s">
        <v>188</v>
      </c>
      <c r="CU306" s="2" t="s">
        <v>205</v>
      </c>
      <c r="CW306" s="2" t="s">
        <v>206</v>
      </c>
      <c r="CY306" s="2" t="s">
        <v>207</v>
      </c>
      <c r="CZ306" s="2" t="s">
        <v>207</v>
      </c>
      <c r="DA306" s="2" t="s">
        <v>300</v>
      </c>
      <c r="DB306" s="2" t="s">
        <v>300</v>
      </c>
      <c r="DC306" s="2" t="s">
        <v>300</v>
      </c>
      <c r="DD306" s="2" t="s">
        <v>300</v>
      </c>
      <c r="DE306" s="2" t="s">
        <v>300</v>
      </c>
      <c r="DF306" s="2" t="s">
        <v>207</v>
      </c>
      <c r="DG306" s="2" t="s">
        <v>207</v>
      </c>
      <c r="DH306" s="2" t="s">
        <v>207</v>
      </c>
      <c r="DI306" s="2" t="s">
        <v>207</v>
      </c>
      <c r="DL306" s="2" t="s">
        <v>187</v>
      </c>
      <c r="DM306" s="2" t="s">
        <v>187</v>
      </c>
      <c r="DN306" s="2" t="s">
        <v>187</v>
      </c>
      <c r="DO306" s="2" t="s">
        <v>187</v>
      </c>
      <c r="DP306" s="2" t="s">
        <v>209</v>
      </c>
      <c r="DQ306" s="2" t="s">
        <v>467</v>
      </c>
      <c r="DR306" s="2" t="s">
        <v>2098</v>
      </c>
      <c r="DT306" s="2" t="s">
        <v>209</v>
      </c>
      <c r="DU306" s="2" t="s">
        <v>209</v>
      </c>
      <c r="DV306" s="2" t="s">
        <v>209</v>
      </c>
      <c r="DW306" s="2" t="s">
        <v>209</v>
      </c>
      <c r="DX306" s="2" t="s">
        <v>209</v>
      </c>
      <c r="DY306" s="2" t="s">
        <v>209</v>
      </c>
      <c r="DZ306" s="2" t="s">
        <v>203</v>
      </c>
      <c r="EA306" s="2" t="s">
        <v>209</v>
      </c>
      <c r="EB306" s="2" t="s">
        <v>209</v>
      </c>
      <c r="EC306" s="2" t="s">
        <v>203</v>
      </c>
      <c r="EF306" s="2" t="s">
        <v>189</v>
      </c>
      <c r="EG306" s="2" t="s">
        <v>1896</v>
      </c>
      <c r="EJ306" s="2" t="s">
        <v>238</v>
      </c>
      <c r="EK306" s="2" t="s">
        <v>187</v>
      </c>
      <c r="EL306" s="2" t="s">
        <v>187</v>
      </c>
      <c r="EM306" s="2" t="s">
        <v>382</v>
      </c>
      <c r="EN306" s="2" t="s">
        <v>214</v>
      </c>
      <c r="EP306" s="2" t="s">
        <v>230</v>
      </c>
      <c r="ER306" s="2" t="s">
        <v>187</v>
      </c>
      <c r="ET306" s="2" t="s">
        <v>188</v>
      </c>
      <c r="EV306" s="2" t="s">
        <v>188</v>
      </c>
      <c r="EX306" s="2" t="s">
        <v>188</v>
      </c>
      <c r="EZ306" s="2" t="s">
        <v>188</v>
      </c>
      <c r="FC306" s="2" t="s">
        <v>216</v>
      </c>
      <c r="FD306" s="2" t="s">
        <v>188</v>
      </c>
      <c r="FH306" s="2" t="s">
        <v>188</v>
      </c>
      <c r="FJ306" s="2" t="s">
        <v>188</v>
      </c>
      <c r="FK306" s="2" t="s">
        <v>203</v>
      </c>
      <c r="FN306" s="2" t="s">
        <v>432</v>
      </c>
      <c r="FR306" s="2" t="s">
        <v>2099</v>
      </c>
      <c r="FT306" s="2" t="s">
        <v>219</v>
      </c>
      <c r="FU306" s="2" t="s">
        <v>233</v>
      </c>
      <c r="FV306" s="2" t="s">
        <v>219</v>
      </c>
      <c r="FW306" s="2" t="s">
        <v>219</v>
      </c>
      <c r="FX306" s="2" t="s">
        <v>219</v>
      </c>
      <c r="FY306" s="2" t="s">
        <v>2100</v>
      </c>
      <c r="FZ306" s="4">
        <v>46039.705208333333</v>
      </c>
    </row>
    <row r="307" spans="1:182">
      <c r="A307" s="2" t="s">
        <v>2101</v>
      </c>
      <c r="D307" s="6">
        <v>46034.414131944446</v>
      </c>
      <c r="E307" s="2" t="s">
        <v>2102</v>
      </c>
      <c r="F307" s="2" t="s">
        <v>590</v>
      </c>
      <c r="G307" s="2" t="s">
        <v>1965</v>
      </c>
      <c r="H307" s="2" t="s">
        <v>1996</v>
      </c>
      <c r="I307" s="2" t="s">
        <v>2103</v>
      </c>
      <c r="J307" s="2">
        <v>981760082</v>
      </c>
      <c r="K307" s="2" t="s">
        <v>2104</v>
      </c>
      <c r="L307" s="2" t="s">
        <v>182</v>
      </c>
      <c r="M307" s="2" t="s">
        <v>223</v>
      </c>
      <c r="N307" s="2">
        <v>1962</v>
      </c>
      <c r="O307" s="2" t="s">
        <v>224</v>
      </c>
      <c r="P307" s="2" t="s">
        <v>225</v>
      </c>
      <c r="Q307" s="2" t="s">
        <v>270</v>
      </c>
      <c r="R307" s="2" t="s">
        <v>188</v>
      </c>
      <c r="S307" s="2">
        <v>26</v>
      </c>
      <c r="T307" s="2" t="s">
        <v>188</v>
      </c>
      <c r="U307" s="2" t="s">
        <v>188</v>
      </c>
      <c r="Y307" s="2">
        <v>300</v>
      </c>
      <c r="Z307" s="2">
        <v>1</v>
      </c>
      <c r="AA307" s="2">
        <v>300</v>
      </c>
      <c r="AB307" s="2">
        <v>300</v>
      </c>
      <c r="AC307" s="2">
        <v>300</v>
      </c>
      <c r="AD307" s="2">
        <v>400</v>
      </c>
      <c r="AE307" s="2">
        <v>100</v>
      </c>
      <c r="AF307" s="2" t="s">
        <v>188</v>
      </c>
      <c r="AG307" s="2" t="s">
        <v>188</v>
      </c>
      <c r="AH307" s="2" t="s">
        <v>188</v>
      </c>
      <c r="AJ307" s="2" t="s">
        <v>188</v>
      </c>
      <c r="AK307" s="2" t="s">
        <v>188</v>
      </c>
      <c r="AL307" s="2" t="s">
        <v>188</v>
      </c>
      <c r="AM307" s="2" t="s">
        <v>188</v>
      </c>
      <c r="AN307" s="2" t="s">
        <v>188</v>
      </c>
      <c r="AO307" s="2" t="s">
        <v>188</v>
      </c>
      <c r="AR307" s="2">
        <v>1.6</v>
      </c>
      <c r="AS307" s="2">
        <v>2</v>
      </c>
      <c r="AT307" s="2">
        <v>3.5</v>
      </c>
      <c r="AU307" s="2" t="s">
        <v>238</v>
      </c>
      <c r="AV307" s="2" t="s">
        <v>189</v>
      </c>
      <c r="AW307" s="2" t="s">
        <v>188</v>
      </c>
      <c r="AZ307" s="2" t="s">
        <v>190</v>
      </c>
      <c r="BB307" s="2" t="s">
        <v>260</v>
      </c>
      <c r="BC307" s="2" t="s">
        <v>296</v>
      </c>
      <c r="BD307" s="2" t="s">
        <v>188</v>
      </c>
      <c r="BE307" s="2" t="s">
        <v>187</v>
      </c>
      <c r="BF307" s="2" t="s">
        <v>193</v>
      </c>
      <c r="BG307" s="2" t="s">
        <v>194</v>
      </c>
      <c r="BH307" s="2" t="s">
        <v>297</v>
      </c>
      <c r="BI307" s="2" t="s">
        <v>196</v>
      </c>
      <c r="BL307" s="2" t="s">
        <v>197</v>
      </c>
      <c r="BM307" s="2" t="s">
        <v>507</v>
      </c>
      <c r="BN307" s="2" t="s">
        <v>199</v>
      </c>
      <c r="BO307" s="2" t="s">
        <v>188</v>
      </c>
      <c r="BQ307" s="2" t="s">
        <v>227</v>
      </c>
      <c r="BS307" s="2" t="s">
        <v>187</v>
      </c>
      <c r="BT307" s="2" t="s">
        <v>484</v>
      </c>
      <c r="BV307" s="2" t="s">
        <v>242</v>
      </c>
      <c r="BX307" s="2" t="s">
        <v>188</v>
      </c>
      <c r="BZ307" s="2" t="s">
        <v>203</v>
      </c>
      <c r="CE307" s="2">
        <v>3.5</v>
      </c>
      <c r="CF307" s="2">
        <v>400</v>
      </c>
      <c r="CM307" s="2">
        <v>100</v>
      </c>
      <c r="CQ307" s="2">
        <v>100</v>
      </c>
      <c r="CR307" s="2" t="s">
        <v>204</v>
      </c>
      <c r="CT307" s="2" t="s">
        <v>188</v>
      </c>
      <c r="CU307" s="2" t="s">
        <v>205</v>
      </c>
      <c r="CW307" s="2" t="s">
        <v>206</v>
      </c>
      <c r="CY307" s="2" t="s">
        <v>273</v>
      </c>
      <c r="CZ307" s="2" t="s">
        <v>300</v>
      </c>
      <c r="DA307" s="2" t="s">
        <v>300</v>
      </c>
      <c r="DB307" s="2" t="s">
        <v>300</v>
      </c>
      <c r="DC307" s="2" t="s">
        <v>273</v>
      </c>
      <c r="DD307" s="2" t="s">
        <v>273</v>
      </c>
      <c r="DE307" s="2" t="s">
        <v>273</v>
      </c>
      <c r="DF307" s="2" t="s">
        <v>273</v>
      </c>
      <c r="DG307" s="2" t="s">
        <v>273</v>
      </c>
      <c r="DH307" s="2" t="s">
        <v>273</v>
      </c>
      <c r="DI307" s="2" t="s">
        <v>273</v>
      </c>
      <c r="DL307" s="2" t="s">
        <v>187</v>
      </c>
      <c r="DM307" s="2" t="s">
        <v>187</v>
      </c>
      <c r="DN307" s="2" t="s">
        <v>187</v>
      </c>
      <c r="DO307" s="2" t="s">
        <v>187</v>
      </c>
      <c r="DP307" s="2" t="s">
        <v>209</v>
      </c>
      <c r="DQ307" s="2" t="s">
        <v>467</v>
      </c>
      <c r="DR307" s="2" t="s">
        <v>1998</v>
      </c>
      <c r="DT307" s="2" t="s">
        <v>209</v>
      </c>
      <c r="DU307" s="2" t="s">
        <v>209</v>
      </c>
      <c r="DV307" s="2" t="s">
        <v>209</v>
      </c>
      <c r="DW307" s="2" t="s">
        <v>209</v>
      </c>
      <c r="DX307" s="2" t="s">
        <v>209</v>
      </c>
      <c r="DY307" s="2" t="s">
        <v>203</v>
      </c>
      <c r="DZ307" s="2" t="s">
        <v>203</v>
      </c>
      <c r="EA307" s="2" t="s">
        <v>209</v>
      </c>
      <c r="EB307" s="2" t="s">
        <v>209</v>
      </c>
      <c r="EC307" s="2" t="s">
        <v>188</v>
      </c>
      <c r="EF307" s="2" t="s">
        <v>211</v>
      </c>
      <c r="EG307" s="2" t="s">
        <v>985</v>
      </c>
      <c r="EJ307" s="2" t="s">
        <v>238</v>
      </c>
      <c r="EK307" s="2" t="s">
        <v>188</v>
      </c>
      <c r="EL307" s="2" t="s">
        <v>188</v>
      </c>
      <c r="EN307" s="2" t="s">
        <v>255</v>
      </c>
      <c r="EP307" s="2" t="s">
        <v>230</v>
      </c>
      <c r="ER307" s="2" t="s">
        <v>188</v>
      </c>
      <c r="ET307" s="2" t="s">
        <v>188</v>
      </c>
      <c r="EV307" s="2" t="s">
        <v>188</v>
      </c>
      <c r="EX307" s="2" t="s">
        <v>188</v>
      </c>
      <c r="EZ307" s="2" t="s">
        <v>188</v>
      </c>
      <c r="FC307" s="2" t="s">
        <v>263</v>
      </c>
      <c r="FD307" s="2" t="s">
        <v>188</v>
      </c>
      <c r="FH307" s="2" t="s">
        <v>188</v>
      </c>
      <c r="FJ307" s="2" t="s">
        <v>188</v>
      </c>
      <c r="FK307" s="2" t="s">
        <v>188</v>
      </c>
      <c r="FN307" s="2" t="s">
        <v>2040</v>
      </c>
      <c r="FR307" s="2" t="s">
        <v>2105</v>
      </c>
      <c r="FT307" s="2" t="s">
        <v>233</v>
      </c>
      <c r="FU307" s="2" t="s">
        <v>233</v>
      </c>
      <c r="FV307" s="2" t="s">
        <v>233</v>
      </c>
      <c r="FW307" s="2" t="s">
        <v>233</v>
      </c>
      <c r="FZ307" s="4">
        <v>46040.870648148149</v>
      </c>
    </row>
    <row r="308" spans="1:182">
      <c r="A308" s="2" t="s">
        <v>2106</v>
      </c>
      <c r="D308" s="6">
        <v>46034.43310185185</v>
      </c>
      <c r="E308" s="2" t="s">
        <v>2107</v>
      </c>
      <c r="F308" s="2" t="s">
        <v>480</v>
      </c>
      <c r="G308" s="2" t="s">
        <v>1965</v>
      </c>
      <c r="H308" s="2" t="s">
        <v>2108</v>
      </c>
      <c r="I308" s="2" t="s">
        <v>2109</v>
      </c>
      <c r="J308" s="2">
        <v>974081347</v>
      </c>
      <c r="K308" s="2" t="s">
        <v>2109</v>
      </c>
      <c r="L308" s="2" t="s">
        <v>182</v>
      </c>
      <c r="M308" s="2" t="s">
        <v>183</v>
      </c>
      <c r="N308" s="2">
        <v>1968</v>
      </c>
      <c r="O308" s="2" t="s">
        <v>224</v>
      </c>
      <c r="P308" s="2" t="s">
        <v>185</v>
      </c>
      <c r="Q308" s="2" t="s">
        <v>226</v>
      </c>
      <c r="R308" s="2" t="s">
        <v>188</v>
      </c>
      <c r="S308" s="2">
        <v>1998</v>
      </c>
      <c r="T308" s="2" t="s">
        <v>188</v>
      </c>
      <c r="U308" s="2" t="s">
        <v>188</v>
      </c>
      <c r="Y308" s="2">
        <v>400</v>
      </c>
      <c r="Z308" s="2">
        <v>1</v>
      </c>
      <c r="AA308" s="2">
        <v>400</v>
      </c>
      <c r="AB308" s="2">
        <v>400</v>
      </c>
      <c r="AC308" s="2">
        <v>400</v>
      </c>
      <c r="AD308" s="2">
        <v>490</v>
      </c>
      <c r="AE308" s="2">
        <v>90</v>
      </c>
      <c r="AF308" s="2" t="s">
        <v>188</v>
      </c>
      <c r="AG308" s="2" t="s">
        <v>188</v>
      </c>
      <c r="AH308" s="2" t="s">
        <v>188</v>
      </c>
      <c r="AJ308" s="2" t="s">
        <v>188</v>
      </c>
      <c r="AK308" s="2" t="s">
        <v>188</v>
      </c>
      <c r="AL308" s="2" t="s">
        <v>188</v>
      </c>
      <c r="AM308" s="2" t="s">
        <v>188</v>
      </c>
      <c r="AN308" s="2" t="s">
        <v>188</v>
      </c>
      <c r="AO308" s="2" t="s">
        <v>188</v>
      </c>
      <c r="AR308" s="2">
        <v>1</v>
      </c>
      <c r="AS308" s="2">
        <v>1</v>
      </c>
      <c r="AT308" s="2">
        <v>5</v>
      </c>
      <c r="AU308" s="2" t="s">
        <v>238</v>
      </c>
      <c r="AV308" s="2" t="s">
        <v>238</v>
      </c>
      <c r="AZ308" s="2" t="s">
        <v>190</v>
      </c>
      <c r="BB308" s="2" t="s">
        <v>260</v>
      </c>
      <c r="BC308" s="2" t="s">
        <v>192</v>
      </c>
      <c r="BD308" s="2" t="s">
        <v>188</v>
      </c>
      <c r="BE308" s="2" t="s">
        <v>188</v>
      </c>
      <c r="BL308" s="2" t="s">
        <v>197</v>
      </c>
      <c r="BM308" s="2" t="s">
        <v>198</v>
      </c>
      <c r="BN308" s="2" t="s">
        <v>199</v>
      </c>
      <c r="BO308" s="2" t="s">
        <v>188</v>
      </c>
      <c r="BQ308" s="2" t="s">
        <v>227</v>
      </c>
      <c r="BS308" s="2" t="s">
        <v>187</v>
      </c>
      <c r="BT308" s="2" t="s">
        <v>611</v>
      </c>
      <c r="BV308" s="2" t="s">
        <v>1628</v>
      </c>
      <c r="BX308" s="2" t="s">
        <v>187</v>
      </c>
      <c r="BY308" s="2" t="s">
        <v>1602</v>
      </c>
      <c r="BZ308" s="2" t="s">
        <v>209</v>
      </c>
      <c r="CA308" s="2" t="s">
        <v>2110</v>
      </c>
      <c r="CE308" s="2">
        <v>5</v>
      </c>
      <c r="CF308" s="2">
        <v>490</v>
      </c>
      <c r="CK308" s="2">
        <v>100</v>
      </c>
      <c r="CO308" s="2">
        <v>100</v>
      </c>
      <c r="CR308" s="2" t="s">
        <v>511</v>
      </c>
      <c r="CT308" s="2" t="s">
        <v>188</v>
      </c>
      <c r="CU308" s="2" t="s">
        <v>205</v>
      </c>
      <c r="CW308" s="2" t="s">
        <v>206</v>
      </c>
      <c r="CY308" s="2" t="s">
        <v>273</v>
      </c>
      <c r="CZ308" s="2" t="s">
        <v>273</v>
      </c>
      <c r="DA308" s="2" t="s">
        <v>299</v>
      </c>
      <c r="DB308" s="2" t="s">
        <v>299</v>
      </c>
      <c r="DC308" s="2" t="s">
        <v>299</v>
      </c>
      <c r="DD308" s="2" t="s">
        <v>299</v>
      </c>
      <c r="DE308" s="2" t="s">
        <v>299</v>
      </c>
      <c r="DF308" s="2" t="s">
        <v>273</v>
      </c>
      <c r="DG308" s="2" t="s">
        <v>273</v>
      </c>
      <c r="DH308" s="2" t="s">
        <v>273</v>
      </c>
      <c r="DI308" s="2" t="s">
        <v>273</v>
      </c>
      <c r="DL308" s="2" t="s">
        <v>187</v>
      </c>
      <c r="DM308" s="2" t="s">
        <v>187</v>
      </c>
      <c r="DN308" s="2" t="s">
        <v>187</v>
      </c>
      <c r="DO308" s="2" t="s">
        <v>187</v>
      </c>
      <c r="DP308" s="2" t="s">
        <v>209</v>
      </c>
      <c r="DQ308" s="2" t="s">
        <v>467</v>
      </c>
      <c r="DR308" s="2" t="s">
        <v>2111</v>
      </c>
      <c r="DT308" s="2" t="s">
        <v>209</v>
      </c>
      <c r="DU308" s="2" t="s">
        <v>209</v>
      </c>
      <c r="DV308" s="2" t="s">
        <v>209</v>
      </c>
      <c r="DW308" s="2" t="s">
        <v>209</v>
      </c>
      <c r="DX308" s="2" t="s">
        <v>209</v>
      </c>
      <c r="DY308" s="2" t="s">
        <v>203</v>
      </c>
      <c r="DZ308" s="2" t="s">
        <v>203</v>
      </c>
      <c r="EA308" s="2" t="s">
        <v>203</v>
      </c>
      <c r="EB308" s="2" t="s">
        <v>209</v>
      </c>
      <c r="EF308" s="2" t="s">
        <v>189</v>
      </c>
      <c r="EG308" s="2" t="s">
        <v>2112</v>
      </c>
      <c r="EJ308" s="2" t="s">
        <v>238</v>
      </c>
      <c r="EK308" s="2" t="s">
        <v>187</v>
      </c>
      <c r="EL308" s="2" t="s">
        <v>188</v>
      </c>
      <c r="EN308" s="2" t="s">
        <v>214</v>
      </c>
      <c r="EP308" s="2" t="s">
        <v>230</v>
      </c>
      <c r="ER308" s="2" t="s">
        <v>187</v>
      </c>
      <c r="ET308" s="2" t="s">
        <v>188</v>
      </c>
      <c r="EV308" s="2" t="s">
        <v>188</v>
      </c>
      <c r="EX308" s="2" t="s">
        <v>188</v>
      </c>
      <c r="EZ308" s="2" t="s">
        <v>188</v>
      </c>
      <c r="FC308" s="2" t="s">
        <v>263</v>
      </c>
      <c r="FD308" s="2" t="s">
        <v>188</v>
      </c>
      <c r="FH308" s="2" t="s">
        <v>188</v>
      </c>
      <c r="FJ308" s="2" t="s">
        <v>188</v>
      </c>
      <c r="FK308" s="2" t="s">
        <v>188</v>
      </c>
      <c r="FN308" s="2" t="s">
        <v>488</v>
      </c>
      <c r="FR308" s="2" t="s">
        <v>2113</v>
      </c>
      <c r="FT308" s="2" t="s">
        <v>233</v>
      </c>
      <c r="FU308" s="2" t="s">
        <v>233</v>
      </c>
      <c r="FV308" s="2" t="s">
        <v>233</v>
      </c>
      <c r="FW308" s="2" t="s">
        <v>233</v>
      </c>
      <c r="FZ308" s="4">
        <v>46043.610937500001</v>
      </c>
    </row>
    <row r="309" spans="1:182">
      <c r="A309" s="2" t="s">
        <v>2114</v>
      </c>
      <c r="D309" s="6">
        <v>46034.4372337963</v>
      </c>
      <c r="E309" s="2" t="s">
        <v>177</v>
      </c>
      <c r="F309" s="2" t="s">
        <v>178</v>
      </c>
      <c r="G309" s="2" t="s">
        <v>1965</v>
      </c>
      <c r="H309" s="2" t="s">
        <v>2012</v>
      </c>
      <c r="I309" s="2" t="s">
        <v>2115</v>
      </c>
      <c r="J309" s="2">
        <v>372515140</v>
      </c>
      <c r="K309" s="2" t="s">
        <v>2115</v>
      </c>
      <c r="L309" s="2" t="s">
        <v>182</v>
      </c>
      <c r="M309" s="2" t="s">
        <v>183</v>
      </c>
      <c r="N309" s="2">
        <v>1976</v>
      </c>
      <c r="O309" s="2" t="s">
        <v>224</v>
      </c>
      <c r="P309" s="2" t="s">
        <v>185</v>
      </c>
      <c r="Q309" s="2" t="s">
        <v>270</v>
      </c>
      <c r="R309" s="2" t="s">
        <v>188</v>
      </c>
      <c r="S309" s="2">
        <v>29</v>
      </c>
      <c r="T309" s="2" t="s">
        <v>188</v>
      </c>
      <c r="U309" s="2" t="s">
        <v>188</v>
      </c>
      <c r="Y309" s="2">
        <v>55</v>
      </c>
      <c r="Z309" s="2">
        <v>0</v>
      </c>
      <c r="AA309" s="2">
        <v>0</v>
      </c>
      <c r="AB309" s="2">
        <v>0</v>
      </c>
      <c r="AC309" s="2">
        <v>0</v>
      </c>
      <c r="AD309" s="2">
        <v>0</v>
      </c>
      <c r="AE309" s="2">
        <v>0</v>
      </c>
      <c r="AF309" s="2" t="s">
        <v>188</v>
      </c>
      <c r="AG309" s="2" t="s">
        <v>188</v>
      </c>
      <c r="AH309" s="2" t="s">
        <v>188</v>
      </c>
      <c r="AJ309" s="2" t="s">
        <v>188</v>
      </c>
      <c r="AK309" s="2" t="s">
        <v>188</v>
      </c>
      <c r="AL309" s="2" t="s">
        <v>188</v>
      </c>
      <c r="AM309" s="2" t="s">
        <v>187</v>
      </c>
      <c r="AN309" s="2" t="s">
        <v>188</v>
      </c>
      <c r="AO309" s="2" t="s">
        <v>188</v>
      </c>
      <c r="AR309" s="2">
        <v>0.5</v>
      </c>
      <c r="AS309" s="2">
        <v>1</v>
      </c>
      <c r="AT309" s="2">
        <v>0</v>
      </c>
      <c r="AU309" s="2" t="s">
        <v>238</v>
      </c>
      <c r="AV309" s="2" t="s">
        <v>238</v>
      </c>
      <c r="AW309" s="2" t="s">
        <v>188</v>
      </c>
      <c r="AZ309" s="2" t="s">
        <v>190</v>
      </c>
      <c r="BB309" s="2" t="s">
        <v>260</v>
      </c>
      <c r="BC309" s="2" t="s">
        <v>192</v>
      </c>
      <c r="BD309" s="2" t="s">
        <v>188</v>
      </c>
      <c r="BE309" s="2" t="s">
        <v>187</v>
      </c>
      <c r="BF309" s="2" t="s">
        <v>193</v>
      </c>
      <c r="BG309" s="2" t="s">
        <v>194</v>
      </c>
      <c r="BH309" s="2" t="s">
        <v>195</v>
      </c>
      <c r="BI309" s="2" t="s">
        <v>196</v>
      </c>
      <c r="BL309" s="2" t="s">
        <v>240</v>
      </c>
      <c r="BO309" s="2" t="s">
        <v>188</v>
      </c>
      <c r="BQ309" s="2" t="s">
        <v>200</v>
      </c>
      <c r="BS309" s="2" t="s">
        <v>187</v>
      </c>
      <c r="BT309" s="2" t="s">
        <v>241</v>
      </c>
      <c r="BV309" s="2" t="s">
        <v>248</v>
      </c>
      <c r="BX309" s="2" t="s">
        <v>188</v>
      </c>
      <c r="BZ309" s="2" t="s">
        <v>188</v>
      </c>
      <c r="CE309" s="2">
        <v>0</v>
      </c>
      <c r="CF309" s="2">
        <v>0</v>
      </c>
      <c r="CT309" s="2" t="s">
        <v>188</v>
      </c>
      <c r="CU309" s="2" t="s">
        <v>281</v>
      </c>
      <c r="CY309" s="2" t="s">
        <v>208</v>
      </c>
      <c r="CZ309" s="2" t="s">
        <v>208</v>
      </c>
      <c r="DA309" s="2" t="s">
        <v>208</v>
      </c>
      <c r="DB309" s="2" t="s">
        <v>208</v>
      </c>
      <c r="DC309" s="2" t="s">
        <v>208</v>
      </c>
      <c r="DD309" s="2" t="s">
        <v>208</v>
      </c>
      <c r="DE309" s="2" t="s">
        <v>208</v>
      </c>
      <c r="DF309" s="2" t="s">
        <v>208</v>
      </c>
      <c r="DG309" s="2" t="s">
        <v>208</v>
      </c>
      <c r="DH309" s="2" t="s">
        <v>208</v>
      </c>
      <c r="DI309" s="2" t="s">
        <v>208</v>
      </c>
      <c r="DL309" s="2" t="s">
        <v>188</v>
      </c>
      <c r="DM309" s="2" t="s">
        <v>188</v>
      </c>
      <c r="DP309" s="2" t="s">
        <v>203</v>
      </c>
      <c r="DT309" s="2" t="s">
        <v>203</v>
      </c>
      <c r="DU309" s="2" t="s">
        <v>203</v>
      </c>
      <c r="DV309" s="2" t="s">
        <v>203</v>
      </c>
      <c r="DW309" s="2" t="s">
        <v>203</v>
      </c>
      <c r="DX309" s="2" t="s">
        <v>203</v>
      </c>
      <c r="DY309" s="2" t="s">
        <v>203</v>
      </c>
      <c r="DZ309" s="2" t="s">
        <v>203</v>
      </c>
      <c r="EA309" s="2" t="s">
        <v>203</v>
      </c>
      <c r="EB309" s="2" t="s">
        <v>203</v>
      </c>
      <c r="EC309" s="2" t="s">
        <v>209</v>
      </c>
      <c r="EJ309" s="2" t="s">
        <v>203</v>
      </c>
      <c r="EK309" s="2" t="s">
        <v>188</v>
      </c>
      <c r="EL309" s="2" t="s">
        <v>188</v>
      </c>
      <c r="EN309" s="2" t="s">
        <v>255</v>
      </c>
      <c r="EP309" s="2" t="s">
        <v>230</v>
      </c>
      <c r="ER309" s="2" t="s">
        <v>188</v>
      </c>
      <c r="ET309" s="2" t="s">
        <v>188</v>
      </c>
      <c r="EV309" s="2" t="s">
        <v>188</v>
      </c>
      <c r="EX309" s="2" t="s">
        <v>188</v>
      </c>
      <c r="EZ309" s="2" t="s">
        <v>188</v>
      </c>
      <c r="FC309" s="2" t="s">
        <v>263</v>
      </c>
      <c r="FD309" s="2" t="s">
        <v>188</v>
      </c>
      <c r="FH309" s="2" t="s">
        <v>188</v>
      </c>
      <c r="FJ309" s="2" t="s">
        <v>188</v>
      </c>
      <c r="FK309" s="2" t="s">
        <v>188</v>
      </c>
      <c r="FN309" s="2" t="s">
        <v>313</v>
      </c>
      <c r="FT309" s="2" t="s">
        <v>490</v>
      </c>
      <c r="FU309" s="2" t="s">
        <v>490</v>
      </c>
      <c r="FV309" s="2" t="s">
        <v>233</v>
      </c>
      <c r="FW309" s="2" t="s">
        <v>233</v>
      </c>
      <c r="FZ309" s="4">
        <v>46041.658032407409</v>
      </c>
    </row>
    <row r="310" spans="1:182">
      <c r="A310" s="2" t="s">
        <v>2116</v>
      </c>
      <c r="D310" s="6">
        <v>46034.450497685182</v>
      </c>
      <c r="E310" s="2" t="s">
        <v>2117</v>
      </c>
      <c r="F310" s="2" t="s">
        <v>590</v>
      </c>
      <c r="G310" s="2" t="s">
        <v>1965</v>
      </c>
      <c r="H310" s="2" t="s">
        <v>1996</v>
      </c>
      <c r="I310" s="2" t="s">
        <v>2118</v>
      </c>
      <c r="J310" s="2">
        <v>393446716</v>
      </c>
      <c r="K310" s="2" t="s">
        <v>2118</v>
      </c>
      <c r="L310" s="2" t="s">
        <v>182</v>
      </c>
      <c r="M310" s="2" t="s">
        <v>183</v>
      </c>
      <c r="N310" s="2">
        <v>1954</v>
      </c>
      <c r="O310" s="2" t="s">
        <v>224</v>
      </c>
      <c r="P310" s="2" t="s">
        <v>185</v>
      </c>
      <c r="Q310" s="2" t="s">
        <v>270</v>
      </c>
      <c r="R310" s="2" t="s">
        <v>188</v>
      </c>
      <c r="S310" s="2">
        <v>30</v>
      </c>
      <c r="T310" s="2" t="s">
        <v>188</v>
      </c>
      <c r="U310" s="2" t="s">
        <v>188</v>
      </c>
      <c r="Y310" s="2">
        <v>60</v>
      </c>
      <c r="Z310" s="2">
        <v>0.83330000000000004</v>
      </c>
      <c r="AA310" s="2">
        <v>50</v>
      </c>
      <c r="AB310" s="2">
        <v>50</v>
      </c>
      <c r="AC310" s="2">
        <v>50</v>
      </c>
      <c r="AD310" s="2">
        <v>100</v>
      </c>
      <c r="AE310" s="2">
        <v>50</v>
      </c>
      <c r="AF310" s="2" t="s">
        <v>188</v>
      </c>
      <c r="AG310" s="2" t="s">
        <v>187</v>
      </c>
      <c r="AH310" s="2" t="s">
        <v>188</v>
      </c>
      <c r="AJ310" s="2" t="s">
        <v>188</v>
      </c>
      <c r="AK310" s="2" t="s">
        <v>188</v>
      </c>
      <c r="AL310" s="2" t="s">
        <v>188</v>
      </c>
      <c r="AM310" s="2" t="s">
        <v>188</v>
      </c>
      <c r="AN310" s="2" t="s">
        <v>188</v>
      </c>
      <c r="AO310" s="2" t="s">
        <v>188</v>
      </c>
      <c r="AR310" s="2">
        <v>1.2</v>
      </c>
      <c r="AS310" s="2">
        <v>2</v>
      </c>
      <c r="AT310" s="2">
        <v>1.5</v>
      </c>
      <c r="AU310" s="2" t="s">
        <v>203</v>
      </c>
      <c r="AV310" s="2" t="s">
        <v>189</v>
      </c>
      <c r="AW310" s="2" t="s">
        <v>188</v>
      </c>
      <c r="AZ310" s="2" t="s">
        <v>190</v>
      </c>
      <c r="BB310" s="2" t="s">
        <v>260</v>
      </c>
      <c r="BC310" s="2" t="s">
        <v>192</v>
      </c>
      <c r="BD310" s="2" t="s">
        <v>188</v>
      </c>
      <c r="BE310" s="2" t="s">
        <v>187</v>
      </c>
      <c r="BF310" s="2" t="s">
        <v>193</v>
      </c>
      <c r="BG310" s="2" t="s">
        <v>279</v>
      </c>
      <c r="BH310" s="2" t="s">
        <v>297</v>
      </c>
      <c r="BI310" s="2" t="s">
        <v>196</v>
      </c>
      <c r="BL310" s="2" t="s">
        <v>240</v>
      </c>
      <c r="BO310" s="2" t="s">
        <v>188</v>
      </c>
      <c r="BQ310" s="2" t="s">
        <v>227</v>
      </c>
      <c r="BS310" s="2" t="s">
        <v>187</v>
      </c>
      <c r="BT310" s="2" t="s">
        <v>651</v>
      </c>
      <c r="BV310" s="2" t="s">
        <v>242</v>
      </c>
      <c r="BX310" s="2" t="s">
        <v>188</v>
      </c>
      <c r="BZ310" s="2" t="s">
        <v>203</v>
      </c>
      <c r="CE310" s="2">
        <v>1.5</v>
      </c>
      <c r="CF310" s="2">
        <v>100</v>
      </c>
      <c r="CK310" s="2">
        <v>100</v>
      </c>
      <c r="CO310" s="2">
        <v>100</v>
      </c>
      <c r="CR310" s="2" t="s">
        <v>204</v>
      </c>
      <c r="CT310" s="2" t="s">
        <v>188</v>
      </c>
      <c r="CU310" s="2" t="s">
        <v>205</v>
      </c>
      <c r="CW310" s="2" t="s">
        <v>206</v>
      </c>
      <c r="CY310" s="2" t="s">
        <v>273</v>
      </c>
      <c r="CZ310" s="2" t="s">
        <v>300</v>
      </c>
      <c r="DA310" s="2" t="s">
        <v>300</v>
      </c>
      <c r="DB310" s="2" t="s">
        <v>300</v>
      </c>
      <c r="DC310" s="2" t="s">
        <v>430</v>
      </c>
      <c r="DD310" s="2" t="s">
        <v>300</v>
      </c>
      <c r="DE310" s="2" t="s">
        <v>300</v>
      </c>
      <c r="DF310" s="2" t="s">
        <v>300</v>
      </c>
      <c r="DG310" s="2" t="s">
        <v>273</v>
      </c>
      <c r="DH310" s="2" t="s">
        <v>273</v>
      </c>
      <c r="DI310" s="2" t="s">
        <v>273</v>
      </c>
      <c r="DL310" s="2" t="s">
        <v>188</v>
      </c>
      <c r="DM310" s="2" t="s">
        <v>187</v>
      </c>
      <c r="DN310" s="2" t="s">
        <v>187</v>
      </c>
      <c r="DO310" s="2" t="s">
        <v>187</v>
      </c>
      <c r="DP310" s="2" t="s">
        <v>209</v>
      </c>
      <c r="DQ310" s="2" t="s">
        <v>467</v>
      </c>
      <c r="DR310" s="2" t="s">
        <v>579</v>
      </c>
      <c r="DT310" s="2" t="s">
        <v>209</v>
      </c>
      <c r="DU310" s="2" t="s">
        <v>209</v>
      </c>
      <c r="DV310" s="2" t="s">
        <v>209</v>
      </c>
      <c r="DW310" s="2" t="s">
        <v>209</v>
      </c>
      <c r="DX310" s="2" t="s">
        <v>209</v>
      </c>
      <c r="DY310" s="2" t="s">
        <v>203</v>
      </c>
      <c r="DZ310" s="2" t="s">
        <v>203</v>
      </c>
      <c r="EA310" s="2" t="s">
        <v>203</v>
      </c>
      <c r="EB310" s="2" t="s">
        <v>209</v>
      </c>
      <c r="EC310" s="2" t="s">
        <v>188</v>
      </c>
      <c r="EF310" s="2" t="s">
        <v>211</v>
      </c>
      <c r="EG310" s="2" t="s">
        <v>985</v>
      </c>
      <c r="EJ310" s="2" t="s">
        <v>203</v>
      </c>
      <c r="EK310" s="2" t="s">
        <v>188</v>
      </c>
      <c r="EL310" s="2" t="s">
        <v>188</v>
      </c>
      <c r="EN310" s="2" t="s">
        <v>255</v>
      </c>
      <c r="EP310" s="2" t="s">
        <v>230</v>
      </c>
      <c r="ER310" s="2" t="s">
        <v>188</v>
      </c>
      <c r="ET310" s="2" t="s">
        <v>188</v>
      </c>
      <c r="EV310" s="2" t="s">
        <v>188</v>
      </c>
      <c r="EX310" s="2" t="s">
        <v>188</v>
      </c>
      <c r="EZ310" s="2" t="s">
        <v>188</v>
      </c>
      <c r="FC310" s="2" t="s">
        <v>263</v>
      </c>
      <c r="FD310" s="2" t="s">
        <v>188</v>
      </c>
      <c r="FH310" s="2" t="s">
        <v>188</v>
      </c>
      <c r="FJ310" s="2" t="s">
        <v>187</v>
      </c>
      <c r="FK310" s="2" t="s">
        <v>188</v>
      </c>
      <c r="FN310" s="2" t="s">
        <v>432</v>
      </c>
      <c r="FR310" s="2" t="s">
        <v>2119</v>
      </c>
      <c r="FT310" s="2" t="s">
        <v>490</v>
      </c>
      <c r="FU310" s="2" t="s">
        <v>233</v>
      </c>
      <c r="FV310" s="2" t="s">
        <v>233</v>
      </c>
      <c r="FW310" s="2" t="s">
        <v>233</v>
      </c>
      <c r="FZ310" s="4">
        <v>46040.875752314816</v>
      </c>
    </row>
    <row r="311" spans="1:182">
      <c r="A311" s="2" t="s">
        <v>2120</v>
      </c>
      <c r="D311" s="6">
        <v>46034.44390046296</v>
      </c>
      <c r="E311" s="2" t="s">
        <v>177</v>
      </c>
      <c r="F311" s="2" t="s">
        <v>293</v>
      </c>
      <c r="G311" s="2" t="s">
        <v>1965</v>
      </c>
      <c r="H311" s="2" t="s">
        <v>1996</v>
      </c>
      <c r="I311" s="2" t="s">
        <v>2121</v>
      </c>
      <c r="J311" s="2">
        <v>366096461</v>
      </c>
      <c r="K311" s="2" t="s">
        <v>2122</v>
      </c>
      <c r="L311" s="2" t="s">
        <v>182</v>
      </c>
      <c r="M311" s="2" t="s">
        <v>223</v>
      </c>
      <c r="N311" s="2">
        <v>1973</v>
      </c>
      <c r="O311" s="2" t="s">
        <v>224</v>
      </c>
      <c r="P311" s="2" t="s">
        <v>225</v>
      </c>
      <c r="Q311" s="2" t="s">
        <v>226</v>
      </c>
      <c r="R311" s="2" t="s">
        <v>188</v>
      </c>
      <c r="S311" s="2">
        <v>1996</v>
      </c>
      <c r="T311" s="2" t="s">
        <v>188</v>
      </c>
      <c r="U311" s="2" t="s">
        <v>188</v>
      </c>
      <c r="Y311" s="2">
        <v>780</v>
      </c>
      <c r="Z311" s="2">
        <v>0.96150000000000002</v>
      </c>
      <c r="AA311" s="2">
        <v>750</v>
      </c>
      <c r="AB311" s="2">
        <v>750</v>
      </c>
      <c r="AC311" s="2">
        <v>520</v>
      </c>
      <c r="AD311" s="2">
        <v>600</v>
      </c>
      <c r="AE311" s="2">
        <v>80</v>
      </c>
      <c r="AF311" s="2" t="s">
        <v>188</v>
      </c>
      <c r="AG311" s="2" t="s">
        <v>187</v>
      </c>
      <c r="AH311" s="2" t="s">
        <v>187</v>
      </c>
      <c r="AI311" s="2" t="s">
        <v>2123</v>
      </c>
      <c r="AJ311" s="2" t="s">
        <v>188</v>
      </c>
      <c r="AK311" s="2" t="s">
        <v>188</v>
      </c>
      <c r="AL311" s="2" t="s">
        <v>188</v>
      </c>
      <c r="AM311" s="2" t="s">
        <v>187</v>
      </c>
      <c r="AN311" s="2" t="s">
        <v>188</v>
      </c>
      <c r="AO311" s="2" t="s">
        <v>188</v>
      </c>
      <c r="AR311" s="2">
        <v>2.2000000000000002</v>
      </c>
      <c r="AS311" s="2">
        <v>2</v>
      </c>
      <c r="AT311" s="2">
        <v>6</v>
      </c>
      <c r="AU311" s="2" t="s">
        <v>189</v>
      </c>
      <c r="AV311" s="2" t="s">
        <v>189</v>
      </c>
      <c r="AW311" s="2" t="s">
        <v>188</v>
      </c>
      <c r="AZ311" s="2" t="s">
        <v>357</v>
      </c>
      <c r="BB311" s="2" t="s">
        <v>260</v>
      </c>
      <c r="BC311" s="2" t="s">
        <v>253</v>
      </c>
      <c r="BD311" s="2" t="s">
        <v>188</v>
      </c>
      <c r="BE311" s="2" t="s">
        <v>188</v>
      </c>
      <c r="BL311" s="2" t="s">
        <v>197</v>
      </c>
      <c r="BM311" s="2" t="s">
        <v>198</v>
      </c>
      <c r="BN311" s="2" t="s">
        <v>199</v>
      </c>
      <c r="BO311" s="2" t="s">
        <v>188</v>
      </c>
      <c r="BQ311" s="2" t="s">
        <v>200</v>
      </c>
      <c r="BS311" s="2" t="s">
        <v>187</v>
      </c>
      <c r="BT311" s="2" t="s">
        <v>261</v>
      </c>
      <c r="BV311" s="2" t="s">
        <v>1308</v>
      </c>
      <c r="BX311" s="2" t="s">
        <v>187</v>
      </c>
      <c r="BY311" s="2" t="s">
        <v>310</v>
      </c>
      <c r="BZ311" s="2" t="s">
        <v>188</v>
      </c>
      <c r="CE311" s="2">
        <v>6</v>
      </c>
      <c r="CF311" s="2">
        <v>600</v>
      </c>
      <c r="CK311" s="2">
        <v>100</v>
      </c>
      <c r="CO311" s="2">
        <v>100</v>
      </c>
      <c r="CR311" s="2" t="s">
        <v>204</v>
      </c>
      <c r="CT311" s="2" t="s">
        <v>188</v>
      </c>
      <c r="CU311" s="2" t="s">
        <v>205</v>
      </c>
      <c r="CW311" s="2" t="s">
        <v>206</v>
      </c>
      <c r="CY311" s="2" t="s">
        <v>207</v>
      </c>
      <c r="CZ311" s="2" t="s">
        <v>273</v>
      </c>
      <c r="DA311" s="2" t="s">
        <v>299</v>
      </c>
      <c r="DB311" s="2" t="s">
        <v>299</v>
      </c>
      <c r="DC311" s="2" t="s">
        <v>299</v>
      </c>
      <c r="DD311" s="2" t="s">
        <v>301</v>
      </c>
      <c r="DE311" s="2" t="s">
        <v>208</v>
      </c>
      <c r="DF311" s="2" t="s">
        <v>207</v>
      </c>
      <c r="DG311" s="2" t="s">
        <v>208</v>
      </c>
      <c r="DH311" s="2" t="s">
        <v>208</v>
      </c>
      <c r="DI311" s="2" t="s">
        <v>208</v>
      </c>
      <c r="DL311" s="2" t="s">
        <v>187</v>
      </c>
      <c r="DM311" s="2" t="s">
        <v>187</v>
      </c>
      <c r="DN311" s="2" t="s">
        <v>187</v>
      </c>
      <c r="DO311" s="2" t="s">
        <v>187</v>
      </c>
      <c r="DP311" s="2" t="s">
        <v>209</v>
      </c>
      <c r="DQ311" s="2" t="s">
        <v>210</v>
      </c>
      <c r="DS311" s="2" t="s">
        <v>209</v>
      </c>
      <c r="DT311" s="2" t="s">
        <v>209</v>
      </c>
      <c r="DU311" s="2" t="s">
        <v>209</v>
      </c>
      <c r="DV311" s="2" t="s">
        <v>209</v>
      </c>
      <c r="DW311" s="2" t="s">
        <v>209</v>
      </c>
      <c r="DX311" s="2" t="s">
        <v>209</v>
      </c>
      <c r="DY311" s="2" t="s">
        <v>203</v>
      </c>
      <c r="DZ311" s="2" t="s">
        <v>203</v>
      </c>
      <c r="EA311" s="2" t="s">
        <v>209</v>
      </c>
      <c r="EB311" s="2" t="s">
        <v>209</v>
      </c>
      <c r="EC311" s="2" t="s">
        <v>203</v>
      </c>
      <c r="EF311" s="2" t="s">
        <v>211</v>
      </c>
      <c r="EJ311" s="2" t="s">
        <v>189</v>
      </c>
      <c r="EK311" s="2" t="s">
        <v>187</v>
      </c>
      <c r="EL311" s="2" t="s">
        <v>188</v>
      </c>
      <c r="EN311" s="2" t="s">
        <v>214</v>
      </c>
      <c r="EP311" s="2" t="s">
        <v>230</v>
      </c>
      <c r="ER311" s="2" t="s">
        <v>187</v>
      </c>
      <c r="ET311" s="2" t="s">
        <v>188</v>
      </c>
      <c r="EV311" s="2" t="s">
        <v>187</v>
      </c>
      <c r="EW311" s="2" t="s">
        <v>189</v>
      </c>
      <c r="EX311" s="2" t="s">
        <v>188</v>
      </c>
      <c r="FC311" s="2" t="s">
        <v>216</v>
      </c>
      <c r="FH311" s="2" t="s">
        <v>188</v>
      </c>
      <c r="FJ311" s="2" t="s">
        <v>188</v>
      </c>
      <c r="FK311" s="2" t="s">
        <v>209</v>
      </c>
      <c r="FL311" s="2" t="s">
        <v>319</v>
      </c>
      <c r="FN311" s="2" t="s">
        <v>354</v>
      </c>
      <c r="FT311" s="2" t="s">
        <v>219</v>
      </c>
      <c r="FU311" s="2" t="s">
        <v>233</v>
      </c>
      <c r="FV311" s="2" t="s">
        <v>233</v>
      </c>
      <c r="FW311" s="2" t="s">
        <v>233</v>
      </c>
      <c r="FZ311" s="4">
        <v>46039.912488425929</v>
      </c>
    </row>
    <row r="312" spans="1:182">
      <c r="A312" s="2" t="s">
        <v>2124</v>
      </c>
      <c r="D312" s="6">
        <v>46034.462800925925</v>
      </c>
      <c r="E312" s="2" t="s">
        <v>177</v>
      </c>
      <c r="F312" s="2" t="s">
        <v>178</v>
      </c>
      <c r="G312" s="2" t="s">
        <v>1965</v>
      </c>
      <c r="H312" s="2" t="s">
        <v>2012</v>
      </c>
      <c r="I312" s="2" t="s">
        <v>2125</v>
      </c>
      <c r="J312" s="2">
        <v>388904884</v>
      </c>
      <c r="K312" s="2" t="s">
        <v>2125</v>
      </c>
      <c r="L312" s="2" t="s">
        <v>182</v>
      </c>
      <c r="M312" s="2" t="s">
        <v>183</v>
      </c>
      <c r="N312" s="2">
        <v>1980</v>
      </c>
      <c r="O312" s="2" t="s">
        <v>224</v>
      </c>
      <c r="P312" s="2" t="s">
        <v>185</v>
      </c>
      <c r="Q312" s="2" t="s">
        <v>186</v>
      </c>
      <c r="R312" s="2" t="s">
        <v>188</v>
      </c>
      <c r="S312" s="2">
        <v>28</v>
      </c>
      <c r="T312" s="2" t="s">
        <v>188</v>
      </c>
      <c r="U312" s="2" t="s">
        <v>188</v>
      </c>
      <c r="Y312" s="2">
        <v>595</v>
      </c>
      <c r="Z312" s="2">
        <v>1</v>
      </c>
      <c r="AA312" s="2">
        <v>595</v>
      </c>
      <c r="AB312" s="2">
        <v>595</v>
      </c>
      <c r="AC312" s="2">
        <v>495</v>
      </c>
      <c r="AD312" s="2">
        <v>580</v>
      </c>
      <c r="AE312" s="2">
        <v>85</v>
      </c>
      <c r="AF312" s="2" t="s">
        <v>188</v>
      </c>
      <c r="AG312" s="2" t="s">
        <v>187</v>
      </c>
      <c r="AH312" s="2" t="s">
        <v>188</v>
      </c>
      <c r="AJ312" s="2" t="s">
        <v>188</v>
      </c>
      <c r="AK312" s="2" t="s">
        <v>188</v>
      </c>
      <c r="AL312" s="2" t="s">
        <v>188</v>
      </c>
      <c r="AM312" s="2" t="s">
        <v>188</v>
      </c>
      <c r="AN312" s="2" t="s">
        <v>188</v>
      </c>
      <c r="AO312" s="2" t="s">
        <v>188</v>
      </c>
      <c r="AR312" s="2">
        <v>1.8</v>
      </c>
      <c r="AS312" s="2">
        <v>3</v>
      </c>
      <c r="AT312" s="2">
        <v>6</v>
      </c>
      <c r="AU312" s="2" t="s">
        <v>189</v>
      </c>
      <c r="AV312" s="2" t="s">
        <v>189</v>
      </c>
      <c r="AW312" s="2" t="s">
        <v>188</v>
      </c>
      <c r="AZ312" s="2" t="s">
        <v>190</v>
      </c>
      <c r="BB312" s="2" t="s">
        <v>191</v>
      </c>
      <c r="BC312" s="2" t="s">
        <v>192</v>
      </c>
      <c r="BD312" s="2" t="s">
        <v>187</v>
      </c>
      <c r="BE312" s="2" t="s">
        <v>187</v>
      </c>
      <c r="BF312" s="2" t="s">
        <v>193</v>
      </c>
      <c r="BG312" s="2" t="s">
        <v>194</v>
      </c>
      <c r="BH312" s="2" t="s">
        <v>195</v>
      </c>
      <c r="BI312" s="2" t="s">
        <v>196</v>
      </c>
      <c r="BL312" s="2" t="s">
        <v>240</v>
      </c>
      <c r="BO312" s="2" t="s">
        <v>188</v>
      </c>
      <c r="BQ312" s="2" t="s">
        <v>227</v>
      </c>
      <c r="BS312" s="2" t="s">
        <v>187</v>
      </c>
      <c r="BT312" s="2" t="s">
        <v>201</v>
      </c>
      <c r="BV312" s="2" t="s">
        <v>248</v>
      </c>
      <c r="BX312" s="2" t="s">
        <v>188</v>
      </c>
      <c r="BZ312" s="2" t="s">
        <v>188</v>
      </c>
      <c r="CE312" s="2">
        <v>6</v>
      </c>
      <c r="CF312" s="2">
        <v>580</v>
      </c>
      <c r="CM312" s="2">
        <v>100</v>
      </c>
      <c r="CO312" s="2">
        <v>100</v>
      </c>
      <c r="CR312" s="2" t="s">
        <v>229</v>
      </c>
      <c r="CT312" s="2" t="s">
        <v>188</v>
      </c>
      <c r="CU312" s="2" t="s">
        <v>205</v>
      </c>
      <c r="CW312" s="2" t="s">
        <v>206</v>
      </c>
      <c r="CY312" s="2" t="s">
        <v>207</v>
      </c>
      <c r="CZ312" s="2" t="s">
        <v>207</v>
      </c>
      <c r="DA312" s="2" t="s">
        <v>207</v>
      </c>
      <c r="DB312" s="2" t="s">
        <v>208</v>
      </c>
      <c r="DC312" s="2" t="s">
        <v>208</v>
      </c>
      <c r="DD312" s="2" t="s">
        <v>208</v>
      </c>
      <c r="DE312" s="2" t="s">
        <v>208</v>
      </c>
      <c r="DF312" s="2" t="s">
        <v>208</v>
      </c>
      <c r="DG312" s="2" t="s">
        <v>208</v>
      </c>
      <c r="DH312" s="2" t="s">
        <v>208</v>
      </c>
      <c r="DI312" s="2" t="s">
        <v>208</v>
      </c>
      <c r="DL312" s="2" t="s">
        <v>187</v>
      </c>
      <c r="DM312" s="2" t="s">
        <v>187</v>
      </c>
      <c r="DN312" s="2" t="s">
        <v>187</v>
      </c>
      <c r="DO312" s="2" t="s">
        <v>187</v>
      </c>
      <c r="DP312" s="2" t="s">
        <v>209</v>
      </c>
      <c r="DQ312" s="2" t="s">
        <v>210</v>
      </c>
      <c r="DT312" s="2" t="s">
        <v>209</v>
      </c>
      <c r="DU312" s="2" t="s">
        <v>209</v>
      </c>
      <c r="DV312" s="2" t="s">
        <v>209</v>
      </c>
      <c r="DW312" s="2" t="s">
        <v>209</v>
      </c>
      <c r="DX312" s="2" t="s">
        <v>209</v>
      </c>
      <c r="DY312" s="2" t="s">
        <v>209</v>
      </c>
      <c r="DZ312" s="2" t="s">
        <v>209</v>
      </c>
      <c r="EA312" s="2" t="s">
        <v>209</v>
      </c>
      <c r="EB312" s="2" t="s">
        <v>209</v>
      </c>
      <c r="EF312" s="2" t="s">
        <v>211</v>
      </c>
      <c r="EJ312" s="2" t="s">
        <v>189</v>
      </c>
      <c r="EK312" s="2" t="s">
        <v>187</v>
      </c>
      <c r="EL312" s="2" t="s">
        <v>188</v>
      </c>
      <c r="EN312" s="2" t="s">
        <v>214</v>
      </c>
      <c r="EP312" s="2" t="s">
        <v>230</v>
      </c>
      <c r="ER312" s="2" t="s">
        <v>187</v>
      </c>
      <c r="ET312" s="2" t="s">
        <v>188</v>
      </c>
      <c r="EV312" s="2" t="s">
        <v>187</v>
      </c>
      <c r="EW312" s="2" t="s">
        <v>1183</v>
      </c>
      <c r="EX312" s="2" t="s">
        <v>188</v>
      </c>
      <c r="EZ312" s="2" t="s">
        <v>188</v>
      </c>
      <c r="FC312" s="2" t="s">
        <v>216</v>
      </c>
      <c r="FD312" s="2" t="s">
        <v>188</v>
      </c>
      <c r="FH312" s="2" t="s">
        <v>188</v>
      </c>
      <c r="FJ312" s="2" t="s">
        <v>187</v>
      </c>
      <c r="FK312" s="2" t="s">
        <v>209</v>
      </c>
      <c r="FL312" s="2" t="s">
        <v>1665</v>
      </c>
      <c r="FN312" s="2" t="s">
        <v>488</v>
      </c>
      <c r="FT312" s="2" t="s">
        <v>219</v>
      </c>
      <c r="FU312" s="2" t="s">
        <v>219</v>
      </c>
      <c r="FV312" s="2" t="s">
        <v>219</v>
      </c>
      <c r="FW312" s="2" t="s">
        <v>219</v>
      </c>
      <c r="FZ312" s="4">
        <v>46041.653587962966</v>
      </c>
    </row>
    <row r="313" spans="1:182">
      <c r="A313" s="2" t="s">
        <v>2126</v>
      </c>
      <c r="D313" s="6">
        <v>46034.47483796296</v>
      </c>
      <c r="E313" s="2" t="s">
        <v>2127</v>
      </c>
      <c r="F313" s="2" t="s">
        <v>480</v>
      </c>
      <c r="G313" s="2" t="s">
        <v>1965</v>
      </c>
      <c r="H313" s="2" t="s">
        <v>2051</v>
      </c>
      <c r="I313" s="2" t="s">
        <v>2128</v>
      </c>
      <c r="J313" s="2">
        <v>363077495</v>
      </c>
      <c r="K313" s="2" t="s">
        <v>2129</v>
      </c>
      <c r="L313" s="2" t="s">
        <v>182</v>
      </c>
      <c r="M313" s="2" t="s">
        <v>223</v>
      </c>
      <c r="N313" s="2">
        <v>1975</v>
      </c>
      <c r="O313" s="2" t="s">
        <v>224</v>
      </c>
      <c r="P313" s="2" t="s">
        <v>225</v>
      </c>
      <c r="Q313" s="2" t="s">
        <v>186</v>
      </c>
      <c r="R313" s="2" t="s">
        <v>188</v>
      </c>
      <c r="S313" s="2">
        <v>17</v>
      </c>
      <c r="T313" s="2" t="s">
        <v>188</v>
      </c>
      <c r="U313" s="2" t="s">
        <v>188</v>
      </c>
      <c r="Y313" s="2">
        <v>800</v>
      </c>
      <c r="Z313" s="2">
        <v>1</v>
      </c>
      <c r="AA313" s="2">
        <v>800</v>
      </c>
      <c r="AB313" s="2">
        <v>800</v>
      </c>
      <c r="AC313" s="2">
        <v>800</v>
      </c>
      <c r="AD313" s="2">
        <v>980</v>
      </c>
      <c r="AE313" s="2">
        <v>180</v>
      </c>
      <c r="AF313" s="2" t="s">
        <v>188</v>
      </c>
      <c r="AG313" s="2" t="s">
        <v>188</v>
      </c>
      <c r="AH313" s="2" t="s">
        <v>188</v>
      </c>
      <c r="AJ313" s="2" t="s">
        <v>188</v>
      </c>
      <c r="AK313" s="2" t="s">
        <v>188</v>
      </c>
      <c r="AL313" s="2" t="s">
        <v>188</v>
      </c>
      <c r="AM313" s="2" t="s">
        <v>188</v>
      </c>
      <c r="AN313" s="2" t="s">
        <v>188</v>
      </c>
      <c r="AO313" s="2" t="s">
        <v>188</v>
      </c>
      <c r="AR313" s="2">
        <v>2</v>
      </c>
      <c r="AS313" s="2">
        <v>2</v>
      </c>
      <c r="AT313" s="2">
        <v>10</v>
      </c>
      <c r="AU313" s="2" t="s">
        <v>238</v>
      </c>
      <c r="AV313" s="2" t="s">
        <v>238</v>
      </c>
      <c r="AZ313" s="2" t="s">
        <v>190</v>
      </c>
      <c r="BB313" s="2" t="s">
        <v>260</v>
      </c>
      <c r="BC313" s="2" t="s">
        <v>296</v>
      </c>
      <c r="BD313" s="2" t="s">
        <v>188</v>
      </c>
      <c r="BE313" s="2" t="s">
        <v>187</v>
      </c>
      <c r="BF313" s="2" t="s">
        <v>193</v>
      </c>
      <c r="BH313" s="2" t="s">
        <v>297</v>
      </c>
      <c r="BI313" s="2" t="s">
        <v>196</v>
      </c>
      <c r="BL313" s="2" t="s">
        <v>197</v>
      </c>
      <c r="BM313" s="2" t="s">
        <v>198</v>
      </c>
      <c r="BN313" s="2" t="s">
        <v>199</v>
      </c>
      <c r="BO313" s="2" t="s">
        <v>188</v>
      </c>
      <c r="BQ313" s="2" t="s">
        <v>200</v>
      </c>
      <c r="BT313" s="2" t="s">
        <v>611</v>
      </c>
      <c r="BV313" s="2" t="s">
        <v>1628</v>
      </c>
      <c r="BX313" s="2" t="s">
        <v>187</v>
      </c>
      <c r="BY313" s="2" t="s">
        <v>2130</v>
      </c>
      <c r="BZ313" s="2" t="s">
        <v>209</v>
      </c>
      <c r="CA313" s="2" t="s">
        <v>2131</v>
      </c>
      <c r="CE313" s="2">
        <v>10</v>
      </c>
      <c r="CF313" s="2">
        <v>980</v>
      </c>
      <c r="CM313" s="2">
        <v>100</v>
      </c>
      <c r="CO313" s="2">
        <v>100</v>
      </c>
      <c r="CR313" s="2" t="s">
        <v>511</v>
      </c>
      <c r="CT313" s="2" t="s">
        <v>188</v>
      </c>
      <c r="CU313" s="2" t="s">
        <v>205</v>
      </c>
      <c r="CW313" s="2" t="s">
        <v>206</v>
      </c>
      <c r="CY313" s="2" t="s">
        <v>273</v>
      </c>
      <c r="CZ313" s="2" t="s">
        <v>273</v>
      </c>
      <c r="DA313" s="2" t="s">
        <v>299</v>
      </c>
      <c r="DB313" s="2" t="s">
        <v>299</v>
      </c>
      <c r="DC313" s="2" t="s">
        <v>299</v>
      </c>
      <c r="DD313" s="2" t="s">
        <v>299</v>
      </c>
      <c r="DE313" s="2" t="s">
        <v>300</v>
      </c>
      <c r="DF313" s="2" t="s">
        <v>273</v>
      </c>
      <c r="DG313" s="2" t="s">
        <v>273</v>
      </c>
      <c r="DH313" s="2" t="s">
        <v>273</v>
      </c>
      <c r="DI313" s="2" t="s">
        <v>273</v>
      </c>
      <c r="DL313" s="2" t="s">
        <v>187</v>
      </c>
      <c r="DM313" s="2" t="s">
        <v>187</v>
      </c>
      <c r="DN313" s="2" t="s">
        <v>187</v>
      </c>
      <c r="DO313" s="2" t="s">
        <v>187</v>
      </c>
      <c r="DP313" s="2" t="s">
        <v>209</v>
      </c>
      <c r="DQ313" s="2" t="s">
        <v>467</v>
      </c>
      <c r="DR313" s="2" t="s">
        <v>2132</v>
      </c>
      <c r="DT313" s="2" t="s">
        <v>209</v>
      </c>
      <c r="DU313" s="2" t="s">
        <v>209</v>
      </c>
      <c r="DV313" s="2" t="s">
        <v>209</v>
      </c>
      <c r="DW313" s="2" t="s">
        <v>209</v>
      </c>
      <c r="DX313" s="2" t="s">
        <v>209</v>
      </c>
      <c r="DY313" s="2" t="s">
        <v>203</v>
      </c>
      <c r="DZ313" s="2" t="s">
        <v>203</v>
      </c>
      <c r="EA313" s="2" t="s">
        <v>209</v>
      </c>
      <c r="EB313" s="2" t="s">
        <v>203</v>
      </c>
      <c r="EF313" s="2" t="s">
        <v>189</v>
      </c>
      <c r="EG313" s="2" t="s">
        <v>2133</v>
      </c>
      <c r="EJ313" s="2" t="s">
        <v>238</v>
      </c>
      <c r="EK313" s="2" t="s">
        <v>187</v>
      </c>
      <c r="EL313" s="2" t="s">
        <v>188</v>
      </c>
      <c r="EN313" s="2" t="s">
        <v>214</v>
      </c>
      <c r="EP313" s="2" t="s">
        <v>230</v>
      </c>
      <c r="ER313" s="2" t="s">
        <v>187</v>
      </c>
      <c r="ET313" s="2" t="s">
        <v>188</v>
      </c>
      <c r="EV313" s="2" t="s">
        <v>187</v>
      </c>
      <c r="EW313" s="2" t="s">
        <v>215</v>
      </c>
      <c r="EX313" s="2" t="s">
        <v>188</v>
      </c>
      <c r="EZ313" s="2" t="s">
        <v>188</v>
      </c>
      <c r="FC313" s="2" t="s">
        <v>263</v>
      </c>
      <c r="FD313" s="2" t="s">
        <v>188</v>
      </c>
      <c r="FH313" s="2" t="s">
        <v>188</v>
      </c>
      <c r="FJ313" s="2" t="s">
        <v>188</v>
      </c>
      <c r="FK313" s="2" t="s">
        <v>188</v>
      </c>
      <c r="FN313" s="2" t="s">
        <v>488</v>
      </c>
      <c r="FR313" s="2" t="s">
        <v>2134</v>
      </c>
      <c r="FT313" s="2" t="s">
        <v>233</v>
      </c>
      <c r="FU313" s="2" t="s">
        <v>233</v>
      </c>
      <c r="FV313" s="2" t="s">
        <v>233</v>
      </c>
      <c r="FW313" s="2" t="s">
        <v>233</v>
      </c>
      <c r="FX313" s="2" t="s">
        <v>233</v>
      </c>
      <c r="FZ313" s="4">
        <v>46043.618958333333</v>
      </c>
    </row>
    <row r="314" spans="1:182">
      <c r="A314" s="2" t="s">
        <v>2135</v>
      </c>
      <c r="D314" s="6">
        <v>46034.463506944441</v>
      </c>
      <c r="E314" s="2" t="s">
        <v>177</v>
      </c>
      <c r="F314" s="2" t="s">
        <v>178</v>
      </c>
      <c r="G314" s="2" t="s">
        <v>1965</v>
      </c>
      <c r="H314" s="2" t="s">
        <v>1966</v>
      </c>
      <c r="I314" s="2" t="s">
        <v>2136</v>
      </c>
      <c r="J314" s="2">
        <v>339662976</v>
      </c>
      <c r="K314" s="2" t="s">
        <v>2136</v>
      </c>
      <c r="L314" s="2" t="s">
        <v>182</v>
      </c>
      <c r="M314" s="2" t="s">
        <v>183</v>
      </c>
      <c r="N314" s="2">
        <v>1973</v>
      </c>
      <c r="O314" s="2" t="s">
        <v>224</v>
      </c>
      <c r="P314" s="2" t="s">
        <v>185</v>
      </c>
      <c r="Q314" s="2" t="s">
        <v>270</v>
      </c>
      <c r="R314" s="2" t="s">
        <v>188</v>
      </c>
      <c r="S314" s="2">
        <v>30</v>
      </c>
      <c r="T314" s="2" t="s">
        <v>188</v>
      </c>
      <c r="U314" s="2" t="s">
        <v>188</v>
      </c>
      <c r="Y314" s="2">
        <v>900</v>
      </c>
      <c r="Z314" s="2">
        <v>1</v>
      </c>
      <c r="AA314" s="2">
        <v>900</v>
      </c>
      <c r="AB314" s="2">
        <v>900</v>
      </c>
      <c r="AC314" s="2">
        <v>900</v>
      </c>
      <c r="AD314" s="2">
        <v>1100</v>
      </c>
      <c r="AE314" s="2">
        <v>200</v>
      </c>
      <c r="AF314" s="2" t="s">
        <v>188</v>
      </c>
      <c r="AG314" s="2" t="s">
        <v>188</v>
      </c>
      <c r="AH314" s="2" t="s">
        <v>188</v>
      </c>
      <c r="AJ314" s="2" t="s">
        <v>188</v>
      </c>
      <c r="AK314" s="2" t="s">
        <v>188</v>
      </c>
      <c r="AL314" s="2" t="s">
        <v>188</v>
      </c>
      <c r="AM314" s="2" t="s">
        <v>188</v>
      </c>
      <c r="AN314" s="2" t="s">
        <v>188</v>
      </c>
      <c r="AO314" s="2" t="s">
        <v>188</v>
      </c>
      <c r="AR314" s="2">
        <v>2</v>
      </c>
      <c r="AS314" s="2">
        <v>4</v>
      </c>
      <c r="AT314" s="2">
        <v>12</v>
      </c>
      <c r="AU314" s="2" t="s">
        <v>212</v>
      </c>
      <c r="AV314" s="2" t="s">
        <v>212</v>
      </c>
      <c r="AW314" s="2" t="s">
        <v>188</v>
      </c>
      <c r="AZ314" s="2" t="s">
        <v>190</v>
      </c>
      <c r="BB314" s="2" t="s">
        <v>191</v>
      </c>
      <c r="BC314" s="2" t="s">
        <v>192</v>
      </c>
      <c r="BD314" s="2" t="s">
        <v>187</v>
      </c>
      <c r="BE314" s="2" t="s">
        <v>187</v>
      </c>
      <c r="BF314" s="2" t="s">
        <v>193</v>
      </c>
      <c r="BG314" s="2" t="s">
        <v>194</v>
      </c>
      <c r="BH314" s="2" t="s">
        <v>297</v>
      </c>
      <c r="BI314" s="2" t="s">
        <v>196</v>
      </c>
      <c r="BL314" s="2" t="s">
        <v>197</v>
      </c>
      <c r="BM314" s="2" t="s">
        <v>198</v>
      </c>
      <c r="BN314" s="2" t="s">
        <v>199</v>
      </c>
      <c r="BO314" s="2" t="s">
        <v>188</v>
      </c>
      <c r="BQ314" s="2" t="s">
        <v>227</v>
      </c>
      <c r="BS314" s="2" t="s">
        <v>187</v>
      </c>
      <c r="BT314" s="2" t="s">
        <v>1325</v>
      </c>
      <c r="BV314" s="2" t="s">
        <v>502</v>
      </c>
      <c r="BX314" s="2" t="s">
        <v>188</v>
      </c>
      <c r="BZ314" s="2" t="s">
        <v>188</v>
      </c>
      <c r="CE314" s="2">
        <v>12</v>
      </c>
      <c r="CF314" s="2">
        <v>1100</v>
      </c>
      <c r="CM314" s="2">
        <v>100</v>
      </c>
      <c r="CO314" s="2">
        <v>100</v>
      </c>
      <c r="CR314" s="2" t="s">
        <v>229</v>
      </c>
      <c r="CT314" s="2" t="s">
        <v>188</v>
      </c>
      <c r="CU314" s="2" t="s">
        <v>205</v>
      </c>
      <c r="CW314" s="2" t="s">
        <v>206</v>
      </c>
      <c r="CY314" s="2" t="s">
        <v>207</v>
      </c>
      <c r="CZ314" s="2" t="s">
        <v>207</v>
      </c>
      <c r="DA314" s="2" t="s">
        <v>207</v>
      </c>
      <c r="DB314" s="2" t="s">
        <v>208</v>
      </c>
      <c r="DC314" s="2" t="s">
        <v>208</v>
      </c>
      <c r="DD314" s="2" t="s">
        <v>208</v>
      </c>
      <c r="DE314" s="2" t="s">
        <v>208</v>
      </c>
      <c r="DF314" s="2" t="s">
        <v>208</v>
      </c>
      <c r="DG314" s="2" t="s">
        <v>208</v>
      </c>
      <c r="DH314" s="2" t="s">
        <v>208</v>
      </c>
      <c r="DI314" s="2" t="s">
        <v>208</v>
      </c>
      <c r="DL314" s="2" t="s">
        <v>187</v>
      </c>
      <c r="DM314" s="2" t="s">
        <v>187</v>
      </c>
      <c r="DN314" s="2" t="s">
        <v>187</v>
      </c>
      <c r="DO314" s="2" t="s">
        <v>187</v>
      </c>
      <c r="DP314" s="2" t="s">
        <v>209</v>
      </c>
      <c r="DQ314" s="2" t="s">
        <v>210</v>
      </c>
      <c r="DT314" s="2" t="s">
        <v>209</v>
      </c>
      <c r="DU314" s="2" t="s">
        <v>209</v>
      </c>
      <c r="DV314" s="2" t="s">
        <v>209</v>
      </c>
      <c r="DW314" s="2" t="s">
        <v>209</v>
      </c>
      <c r="DX314" s="2" t="s">
        <v>209</v>
      </c>
      <c r="DY314" s="2" t="s">
        <v>209</v>
      </c>
      <c r="DZ314" s="2" t="s">
        <v>209</v>
      </c>
      <c r="EA314" s="2" t="s">
        <v>209</v>
      </c>
      <c r="EB314" s="2" t="s">
        <v>209</v>
      </c>
      <c r="EF314" s="2" t="s">
        <v>211</v>
      </c>
      <c r="EJ314" s="2" t="s">
        <v>212</v>
      </c>
      <c r="EK314" s="2" t="s">
        <v>187</v>
      </c>
      <c r="EL314" s="2" t="s">
        <v>188</v>
      </c>
      <c r="EN314" s="2" t="s">
        <v>214</v>
      </c>
      <c r="EP314" s="2" t="s">
        <v>230</v>
      </c>
      <c r="ER314" s="2" t="s">
        <v>187</v>
      </c>
      <c r="ET314" s="2" t="s">
        <v>188</v>
      </c>
      <c r="EV314" s="2" t="s">
        <v>187</v>
      </c>
      <c r="EW314" s="2" t="s">
        <v>1183</v>
      </c>
      <c r="EX314" s="2" t="s">
        <v>188</v>
      </c>
      <c r="EZ314" s="2" t="s">
        <v>188</v>
      </c>
      <c r="FC314" s="2" t="s">
        <v>216</v>
      </c>
      <c r="FD314" s="2" t="s">
        <v>188</v>
      </c>
      <c r="FH314" s="2" t="s">
        <v>188</v>
      </c>
      <c r="FJ314" s="2" t="s">
        <v>187</v>
      </c>
      <c r="FK314" s="2" t="s">
        <v>209</v>
      </c>
      <c r="FL314" s="2" t="s">
        <v>1665</v>
      </c>
      <c r="FN314" s="2" t="s">
        <v>250</v>
      </c>
      <c r="FT314" s="2" t="s">
        <v>219</v>
      </c>
      <c r="FU314" s="2" t="s">
        <v>219</v>
      </c>
      <c r="FV314" s="2" t="s">
        <v>219</v>
      </c>
      <c r="FW314" s="2" t="s">
        <v>219</v>
      </c>
      <c r="FZ314" s="4">
        <v>46041.64671296296</v>
      </c>
    </row>
    <row r="315" spans="1:182">
      <c r="A315" s="2" t="s">
        <v>2137</v>
      </c>
      <c r="D315" s="6">
        <v>46034.480879629627</v>
      </c>
      <c r="E315" s="2" t="s">
        <v>177</v>
      </c>
      <c r="F315" s="2" t="s">
        <v>178</v>
      </c>
      <c r="G315" s="2" t="s">
        <v>1965</v>
      </c>
      <c r="H315" s="2" t="s">
        <v>2012</v>
      </c>
      <c r="I315" s="2" t="s">
        <v>2138</v>
      </c>
      <c r="J315" s="2">
        <v>364243694</v>
      </c>
      <c r="K315" s="2" t="s">
        <v>2138</v>
      </c>
      <c r="L315" s="2" t="s">
        <v>182</v>
      </c>
      <c r="M315" s="2" t="s">
        <v>183</v>
      </c>
      <c r="N315" s="2">
        <v>1992</v>
      </c>
      <c r="O315" s="2" t="s">
        <v>224</v>
      </c>
      <c r="P315" s="2" t="s">
        <v>185</v>
      </c>
      <c r="Q315" s="2" t="s">
        <v>226</v>
      </c>
      <c r="R315" s="2" t="s">
        <v>188</v>
      </c>
      <c r="S315" s="2">
        <v>11</v>
      </c>
      <c r="T315" s="2" t="s">
        <v>188</v>
      </c>
      <c r="U315" s="2" t="s">
        <v>188</v>
      </c>
      <c r="Y315" s="2">
        <v>660</v>
      </c>
      <c r="Z315" s="2">
        <v>1</v>
      </c>
      <c r="AA315" s="2">
        <v>660</v>
      </c>
      <c r="AB315" s="2">
        <v>660</v>
      </c>
      <c r="AC315" s="2">
        <v>360</v>
      </c>
      <c r="AD315" s="2">
        <v>460</v>
      </c>
      <c r="AE315" s="2">
        <v>100</v>
      </c>
      <c r="AF315" s="2" t="s">
        <v>188</v>
      </c>
      <c r="AG315" s="2" t="s">
        <v>187</v>
      </c>
      <c r="AH315" s="2" t="s">
        <v>188</v>
      </c>
      <c r="AJ315" s="2" t="s">
        <v>188</v>
      </c>
      <c r="AK315" s="2" t="s">
        <v>188</v>
      </c>
      <c r="AL315" s="2" t="s">
        <v>188</v>
      </c>
      <c r="AM315" s="2" t="s">
        <v>188</v>
      </c>
      <c r="AN315" s="2" t="s">
        <v>188</v>
      </c>
      <c r="AO315" s="2" t="s">
        <v>188</v>
      </c>
      <c r="AR315" s="2">
        <v>1.4</v>
      </c>
      <c r="AS315" s="2">
        <v>2</v>
      </c>
      <c r="AT315" s="2">
        <v>4.7</v>
      </c>
      <c r="AU315" s="2" t="s">
        <v>212</v>
      </c>
      <c r="AV315" s="2" t="s">
        <v>212</v>
      </c>
      <c r="AW315" s="2" t="s">
        <v>188</v>
      </c>
      <c r="BC315" s="2" t="s">
        <v>192</v>
      </c>
      <c r="BD315" s="2" t="s">
        <v>188</v>
      </c>
      <c r="BE315" s="2" t="s">
        <v>188</v>
      </c>
      <c r="BL315" s="2" t="s">
        <v>240</v>
      </c>
      <c r="BO315" s="2" t="s">
        <v>188</v>
      </c>
      <c r="BQ315" s="2" t="s">
        <v>200</v>
      </c>
      <c r="BS315" s="2" t="s">
        <v>187</v>
      </c>
      <c r="BT315" s="2" t="s">
        <v>201</v>
      </c>
      <c r="BV315" s="2" t="s">
        <v>248</v>
      </c>
      <c r="BX315" s="2" t="s">
        <v>188</v>
      </c>
      <c r="BZ315" s="2" t="s">
        <v>188</v>
      </c>
      <c r="CE315" s="2">
        <v>4.7</v>
      </c>
      <c r="CF315" s="2">
        <v>460</v>
      </c>
      <c r="CM315" s="2">
        <v>100</v>
      </c>
      <c r="CO315" s="2">
        <v>100</v>
      </c>
      <c r="CR315" s="2" t="s">
        <v>204</v>
      </c>
      <c r="CT315" s="2" t="s">
        <v>188</v>
      </c>
      <c r="CU315" s="2" t="s">
        <v>205</v>
      </c>
      <c r="CW315" s="2" t="s">
        <v>206</v>
      </c>
      <c r="CY315" s="2" t="s">
        <v>207</v>
      </c>
      <c r="CZ315" s="2" t="s">
        <v>207</v>
      </c>
      <c r="DA315" s="2" t="s">
        <v>207</v>
      </c>
      <c r="DB315" s="2" t="s">
        <v>208</v>
      </c>
      <c r="DC315" s="2" t="s">
        <v>208</v>
      </c>
      <c r="DD315" s="2" t="s">
        <v>208</v>
      </c>
      <c r="DE315" s="2" t="s">
        <v>208</v>
      </c>
      <c r="DF315" s="2" t="s">
        <v>208</v>
      </c>
      <c r="DG315" s="2" t="s">
        <v>208</v>
      </c>
      <c r="DH315" s="2" t="s">
        <v>208</v>
      </c>
      <c r="DI315" s="2" t="s">
        <v>208</v>
      </c>
      <c r="DL315" s="2" t="s">
        <v>187</v>
      </c>
      <c r="DM315" s="2" t="s">
        <v>187</v>
      </c>
      <c r="DN315" s="2" t="s">
        <v>187</v>
      </c>
      <c r="DO315" s="2" t="s">
        <v>187</v>
      </c>
      <c r="DP315" s="2" t="s">
        <v>209</v>
      </c>
      <c r="DQ315" s="2" t="s">
        <v>210</v>
      </c>
      <c r="DT315" s="2" t="s">
        <v>209</v>
      </c>
      <c r="DU315" s="2" t="s">
        <v>209</v>
      </c>
      <c r="DV315" s="2" t="s">
        <v>209</v>
      </c>
      <c r="DW315" s="2" t="s">
        <v>209</v>
      </c>
      <c r="DX315" s="2" t="s">
        <v>209</v>
      </c>
      <c r="DY315" s="2" t="s">
        <v>209</v>
      </c>
      <c r="DZ315" s="2" t="s">
        <v>209</v>
      </c>
      <c r="EA315" s="2" t="s">
        <v>209</v>
      </c>
      <c r="EB315" s="2" t="s">
        <v>209</v>
      </c>
      <c r="EF315" s="2" t="s">
        <v>211</v>
      </c>
      <c r="EJ315" s="2" t="s">
        <v>212</v>
      </c>
      <c r="EK315" s="2" t="s">
        <v>187</v>
      </c>
      <c r="EL315" s="2" t="s">
        <v>188</v>
      </c>
      <c r="EN315" s="2" t="s">
        <v>214</v>
      </c>
      <c r="EP315" s="2" t="s">
        <v>230</v>
      </c>
      <c r="ER315" s="2" t="s">
        <v>187</v>
      </c>
      <c r="ET315" s="2" t="s">
        <v>188</v>
      </c>
      <c r="EV315" s="2" t="s">
        <v>187</v>
      </c>
      <c r="EW315" s="2" t="s">
        <v>1183</v>
      </c>
      <c r="EX315" s="2" t="s">
        <v>187</v>
      </c>
      <c r="EY315" s="2" t="s">
        <v>1183</v>
      </c>
      <c r="EZ315" s="2" t="s">
        <v>188</v>
      </c>
      <c r="FC315" s="2" t="s">
        <v>216</v>
      </c>
      <c r="FD315" s="2" t="s">
        <v>188</v>
      </c>
      <c r="FH315" s="2" t="s">
        <v>188</v>
      </c>
      <c r="FJ315" s="2" t="s">
        <v>187</v>
      </c>
      <c r="FK315" s="2" t="s">
        <v>209</v>
      </c>
      <c r="FL315" s="2" t="s">
        <v>2139</v>
      </c>
      <c r="FN315" s="2" t="s">
        <v>2140</v>
      </c>
      <c r="FT315" s="2" t="s">
        <v>219</v>
      </c>
      <c r="FU315" s="2" t="s">
        <v>219</v>
      </c>
      <c r="FV315" s="2" t="s">
        <v>219</v>
      </c>
      <c r="FW315" s="2" t="s">
        <v>219</v>
      </c>
      <c r="FZ315" s="4">
        <v>46041.63784722222</v>
      </c>
    </row>
    <row r="316" spans="1:182">
      <c r="A316" s="2" t="s">
        <v>2141</v>
      </c>
      <c r="D316" s="6">
        <v>46034.492523148147</v>
      </c>
      <c r="E316" s="2" t="s">
        <v>2142</v>
      </c>
      <c r="F316" s="2" t="s">
        <v>480</v>
      </c>
      <c r="G316" s="2" t="s">
        <v>1965</v>
      </c>
      <c r="H316" s="2" t="s">
        <v>2051</v>
      </c>
      <c r="I316" s="2" t="s">
        <v>2143</v>
      </c>
      <c r="J316" s="2">
        <v>343739389</v>
      </c>
      <c r="K316" s="2" t="s">
        <v>2144</v>
      </c>
      <c r="L316" s="2" t="s">
        <v>182</v>
      </c>
      <c r="M316" s="2" t="s">
        <v>223</v>
      </c>
      <c r="N316" s="2">
        <v>1987</v>
      </c>
      <c r="O316" s="2" t="s">
        <v>224</v>
      </c>
      <c r="P316" s="2" t="s">
        <v>225</v>
      </c>
      <c r="Q316" s="2" t="s">
        <v>226</v>
      </c>
      <c r="R316" s="2" t="s">
        <v>188</v>
      </c>
      <c r="T316" s="2" t="s">
        <v>188</v>
      </c>
      <c r="U316" s="2" t="s">
        <v>188</v>
      </c>
      <c r="Y316" s="2">
        <v>68</v>
      </c>
      <c r="Z316" s="2">
        <v>1</v>
      </c>
      <c r="AA316" s="2">
        <v>68</v>
      </c>
      <c r="AB316" s="2">
        <v>68</v>
      </c>
      <c r="AC316" s="2">
        <v>68</v>
      </c>
      <c r="AD316" s="2">
        <v>98</v>
      </c>
      <c r="AE316" s="2">
        <v>30</v>
      </c>
      <c r="AF316" s="2" t="s">
        <v>188</v>
      </c>
      <c r="AG316" s="2" t="s">
        <v>188</v>
      </c>
      <c r="AH316" s="2" t="s">
        <v>188</v>
      </c>
      <c r="AJ316" s="2" t="s">
        <v>188</v>
      </c>
      <c r="AK316" s="2" t="s">
        <v>188</v>
      </c>
      <c r="AL316" s="2" t="s">
        <v>188</v>
      </c>
      <c r="AM316" s="2" t="s">
        <v>188</v>
      </c>
      <c r="AN316" s="2" t="s">
        <v>188</v>
      </c>
      <c r="AO316" s="2" t="s">
        <v>188</v>
      </c>
      <c r="AR316" s="2">
        <v>0.85</v>
      </c>
      <c r="AS316" s="2">
        <v>1</v>
      </c>
      <c r="AT316" s="2">
        <v>1</v>
      </c>
      <c r="AU316" s="2" t="s">
        <v>238</v>
      </c>
      <c r="AV316" s="2" t="s">
        <v>238</v>
      </c>
      <c r="AZ316" s="2" t="s">
        <v>957</v>
      </c>
      <c r="BB316" s="2" t="s">
        <v>260</v>
      </c>
      <c r="BC316" s="2" t="s">
        <v>296</v>
      </c>
      <c r="BD316" s="2" t="s">
        <v>187</v>
      </c>
      <c r="BE316" s="2" t="s">
        <v>187</v>
      </c>
      <c r="BF316" s="2" t="s">
        <v>193</v>
      </c>
      <c r="BH316" s="2" t="s">
        <v>195</v>
      </c>
      <c r="BI316" s="2" t="s">
        <v>196</v>
      </c>
      <c r="BL316" s="2" t="s">
        <v>240</v>
      </c>
      <c r="BO316" s="2" t="s">
        <v>188</v>
      </c>
      <c r="BQ316" s="2" t="s">
        <v>200</v>
      </c>
      <c r="BS316" s="2" t="s">
        <v>187</v>
      </c>
      <c r="BT316" s="2" t="s">
        <v>611</v>
      </c>
      <c r="BV316" s="2" t="s">
        <v>1628</v>
      </c>
      <c r="BX316" s="2" t="s">
        <v>187</v>
      </c>
      <c r="BY316" s="2" t="s">
        <v>705</v>
      </c>
      <c r="BZ316" s="2" t="s">
        <v>209</v>
      </c>
      <c r="CA316" s="2" t="s">
        <v>2145</v>
      </c>
      <c r="CE316" s="2">
        <v>1</v>
      </c>
      <c r="CF316" s="2">
        <v>98</v>
      </c>
      <c r="CK316" s="2">
        <v>100</v>
      </c>
      <c r="CO316" s="2">
        <v>100</v>
      </c>
      <c r="CR316" s="2" t="s">
        <v>511</v>
      </c>
      <c r="CT316" s="2" t="s">
        <v>188</v>
      </c>
      <c r="CU316" s="2" t="s">
        <v>205</v>
      </c>
      <c r="CW316" s="2" t="s">
        <v>206</v>
      </c>
      <c r="CY316" s="2" t="s">
        <v>273</v>
      </c>
      <c r="CZ316" s="2" t="s">
        <v>273</v>
      </c>
      <c r="DA316" s="2" t="s">
        <v>300</v>
      </c>
      <c r="DB316" s="2" t="s">
        <v>300</v>
      </c>
      <c r="DC316" s="2" t="s">
        <v>299</v>
      </c>
      <c r="DD316" s="2" t="s">
        <v>300</v>
      </c>
      <c r="DE316" s="2" t="s">
        <v>300</v>
      </c>
      <c r="DF316" s="2" t="s">
        <v>299</v>
      </c>
      <c r="DG316" s="2" t="s">
        <v>273</v>
      </c>
      <c r="DH316" s="2" t="s">
        <v>273</v>
      </c>
      <c r="DI316" s="2" t="s">
        <v>273</v>
      </c>
      <c r="DL316" s="2" t="s">
        <v>187</v>
      </c>
      <c r="DM316" s="2" t="s">
        <v>187</v>
      </c>
      <c r="DN316" s="2" t="s">
        <v>187</v>
      </c>
      <c r="DO316" s="2" t="s">
        <v>187</v>
      </c>
      <c r="DP316" s="2" t="s">
        <v>209</v>
      </c>
      <c r="DQ316" s="2" t="s">
        <v>467</v>
      </c>
      <c r="DR316" s="2" t="s">
        <v>2146</v>
      </c>
      <c r="DT316" s="2" t="s">
        <v>209</v>
      </c>
      <c r="DU316" s="2" t="s">
        <v>209</v>
      </c>
      <c r="DV316" s="2" t="s">
        <v>209</v>
      </c>
      <c r="DW316" s="2" t="s">
        <v>209</v>
      </c>
      <c r="DX316" s="2" t="s">
        <v>209</v>
      </c>
      <c r="DY316" s="2" t="s">
        <v>203</v>
      </c>
      <c r="DZ316" s="2" t="s">
        <v>203</v>
      </c>
      <c r="EA316" s="2" t="s">
        <v>203</v>
      </c>
      <c r="EB316" s="2" t="s">
        <v>209</v>
      </c>
      <c r="EF316" s="2" t="s">
        <v>189</v>
      </c>
      <c r="EG316" s="2" t="s">
        <v>2147</v>
      </c>
      <c r="EJ316" s="2" t="s">
        <v>238</v>
      </c>
      <c r="EK316" s="2" t="s">
        <v>187</v>
      </c>
      <c r="EL316" s="2" t="s">
        <v>188</v>
      </c>
      <c r="EN316" s="2" t="s">
        <v>214</v>
      </c>
      <c r="EP316" s="2" t="s">
        <v>230</v>
      </c>
      <c r="ER316" s="2" t="s">
        <v>187</v>
      </c>
      <c r="ET316" s="2" t="s">
        <v>188</v>
      </c>
      <c r="EV316" s="2" t="s">
        <v>187</v>
      </c>
      <c r="EW316" s="2" t="s">
        <v>215</v>
      </c>
      <c r="EX316" s="2" t="s">
        <v>188</v>
      </c>
      <c r="EZ316" s="2" t="s">
        <v>188</v>
      </c>
      <c r="FC316" s="2" t="s">
        <v>263</v>
      </c>
      <c r="FD316" s="2" t="s">
        <v>188</v>
      </c>
      <c r="FH316" s="2" t="s">
        <v>188</v>
      </c>
      <c r="FJ316" s="2" t="s">
        <v>188</v>
      </c>
      <c r="FK316" s="2" t="s">
        <v>188</v>
      </c>
      <c r="FN316" s="2" t="s">
        <v>488</v>
      </c>
      <c r="FT316" s="2" t="s">
        <v>233</v>
      </c>
      <c r="FU316" s="2" t="s">
        <v>233</v>
      </c>
      <c r="FV316" s="2" t="s">
        <v>233</v>
      </c>
      <c r="FW316" s="2" t="s">
        <v>233</v>
      </c>
      <c r="FX316" s="2" t="s">
        <v>233</v>
      </c>
      <c r="FZ316" s="4">
        <v>46043.627916666665</v>
      </c>
    </row>
    <row r="317" spans="1:182">
      <c r="A317" s="2" t="s">
        <v>2148</v>
      </c>
      <c r="D317" s="6">
        <v>46034.61645833333</v>
      </c>
      <c r="E317" s="2" t="s">
        <v>177</v>
      </c>
      <c r="F317" s="2" t="s">
        <v>178</v>
      </c>
      <c r="G317" s="2" t="s">
        <v>1965</v>
      </c>
      <c r="H317" s="2" t="s">
        <v>1966</v>
      </c>
      <c r="I317" s="2" t="s">
        <v>2149</v>
      </c>
      <c r="J317" s="2">
        <v>342920584</v>
      </c>
      <c r="K317" s="2" t="s">
        <v>2150</v>
      </c>
      <c r="L317" s="2" t="s">
        <v>269</v>
      </c>
      <c r="M317" s="2" t="s">
        <v>223</v>
      </c>
      <c r="N317" s="2">
        <v>1977</v>
      </c>
      <c r="O317" s="2" t="s">
        <v>2151</v>
      </c>
      <c r="P317" s="2" t="s">
        <v>225</v>
      </c>
      <c r="Q317" s="2" t="s">
        <v>603</v>
      </c>
      <c r="R317" s="2" t="s">
        <v>188</v>
      </c>
      <c r="S317" s="2">
        <v>19</v>
      </c>
      <c r="T317" s="2" t="s">
        <v>188</v>
      </c>
      <c r="U317" s="2" t="s">
        <v>188</v>
      </c>
      <c r="Y317" s="2">
        <v>14</v>
      </c>
      <c r="Z317" s="2">
        <v>0</v>
      </c>
      <c r="AA317" s="2">
        <v>0</v>
      </c>
      <c r="AB317" s="2">
        <v>0</v>
      </c>
      <c r="AC317" s="2">
        <v>-21</v>
      </c>
      <c r="AD317" s="2">
        <v>0</v>
      </c>
      <c r="AE317" s="2">
        <v>21</v>
      </c>
      <c r="AF317" s="2" t="s">
        <v>188</v>
      </c>
      <c r="AG317" s="2" t="s">
        <v>188</v>
      </c>
      <c r="AH317" s="2" t="s">
        <v>188</v>
      </c>
      <c r="AJ317" s="2" t="s">
        <v>188</v>
      </c>
      <c r="AK317" s="2" t="s">
        <v>187</v>
      </c>
      <c r="AL317" s="2" t="s">
        <v>188</v>
      </c>
      <c r="AM317" s="2" t="s">
        <v>187</v>
      </c>
      <c r="AN317" s="2" t="s">
        <v>188</v>
      </c>
      <c r="AO317" s="2" t="s">
        <v>188</v>
      </c>
      <c r="AR317" s="2">
        <v>1</v>
      </c>
      <c r="AS317" s="2">
        <v>3</v>
      </c>
      <c r="AT317" s="2">
        <v>0</v>
      </c>
      <c r="AU317" s="2" t="s">
        <v>238</v>
      </c>
      <c r="AV317" s="2" t="s">
        <v>238</v>
      </c>
      <c r="AW317" s="2" t="s">
        <v>188</v>
      </c>
      <c r="AZ317" s="2" t="s">
        <v>190</v>
      </c>
      <c r="BB317" s="2" t="s">
        <v>260</v>
      </c>
      <c r="BC317" s="2" t="s">
        <v>192</v>
      </c>
      <c r="BD317" s="2" t="s">
        <v>187</v>
      </c>
      <c r="BE317" s="2" t="s">
        <v>187</v>
      </c>
      <c r="BF317" s="2" t="s">
        <v>193</v>
      </c>
      <c r="BG317" s="2" t="s">
        <v>194</v>
      </c>
      <c r="BH317" s="2" t="s">
        <v>280</v>
      </c>
      <c r="BI317" s="2" t="s">
        <v>196</v>
      </c>
      <c r="BL317" s="2" t="s">
        <v>240</v>
      </c>
      <c r="BO317" s="2" t="s">
        <v>188</v>
      </c>
      <c r="BQ317" s="2" t="s">
        <v>200</v>
      </c>
      <c r="BS317" s="2" t="s">
        <v>187</v>
      </c>
      <c r="BT317" s="2" t="s">
        <v>1325</v>
      </c>
      <c r="BV317" s="2" t="s">
        <v>248</v>
      </c>
      <c r="BX317" s="2" t="s">
        <v>188</v>
      </c>
      <c r="BZ317" s="2" t="s">
        <v>188</v>
      </c>
      <c r="CE317" s="2">
        <v>0</v>
      </c>
      <c r="CF317" s="2">
        <v>0</v>
      </c>
      <c r="CR317" s="2" t="s">
        <v>204</v>
      </c>
      <c r="CT317" s="2" t="s">
        <v>188</v>
      </c>
      <c r="CU317" s="2" t="s">
        <v>281</v>
      </c>
      <c r="CW317" s="2" t="s">
        <v>206</v>
      </c>
      <c r="CY317" s="2" t="s">
        <v>208</v>
      </c>
      <c r="CZ317" s="2" t="s">
        <v>208</v>
      </c>
      <c r="DA317" s="2" t="s">
        <v>208</v>
      </c>
      <c r="DB317" s="2" t="s">
        <v>208</v>
      </c>
      <c r="DC317" s="2" t="s">
        <v>208</v>
      </c>
      <c r="DD317" s="2" t="s">
        <v>208</v>
      </c>
      <c r="DE317" s="2" t="s">
        <v>208</v>
      </c>
      <c r="DF317" s="2" t="s">
        <v>208</v>
      </c>
      <c r="DG317" s="2" t="s">
        <v>208</v>
      </c>
      <c r="DH317" s="2" t="s">
        <v>208</v>
      </c>
      <c r="DI317" s="2" t="s">
        <v>208</v>
      </c>
      <c r="DL317" s="2" t="s">
        <v>188</v>
      </c>
      <c r="DM317" s="2" t="s">
        <v>188</v>
      </c>
      <c r="DP317" s="2" t="s">
        <v>188</v>
      </c>
      <c r="DT317" s="2" t="s">
        <v>203</v>
      </c>
      <c r="DU317" s="2" t="s">
        <v>203</v>
      </c>
      <c r="DV317" s="2" t="s">
        <v>203</v>
      </c>
      <c r="DW317" s="2" t="s">
        <v>203</v>
      </c>
      <c r="DX317" s="2" t="s">
        <v>203</v>
      </c>
      <c r="DY317" s="2" t="s">
        <v>203</v>
      </c>
      <c r="DZ317" s="2" t="s">
        <v>203</v>
      </c>
      <c r="EA317" s="2" t="s">
        <v>203</v>
      </c>
      <c r="EB317" s="2" t="s">
        <v>203</v>
      </c>
      <c r="EJ317" s="2" t="s">
        <v>203</v>
      </c>
      <c r="EK317" s="2" t="s">
        <v>188</v>
      </c>
      <c r="EL317" s="2" t="s">
        <v>188</v>
      </c>
      <c r="EN317" s="2" t="s">
        <v>255</v>
      </c>
      <c r="EP317" s="2" t="s">
        <v>230</v>
      </c>
      <c r="ER317" s="2" t="s">
        <v>188</v>
      </c>
      <c r="ET317" s="2" t="s">
        <v>188</v>
      </c>
      <c r="EV317" s="2" t="s">
        <v>188</v>
      </c>
      <c r="EX317" s="2" t="s">
        <v>188</v>
      </c>
      <c r="EZ317" s="2" t="s">
        <v>188</v>
      </c>
      <c r="FC317" s="2" t="s">
        <v>263</v>
      </c>
      <c r="FD317" s="2" t="s">
        <v>188</v>
      </c>
      <c r="FH317" s="2" t="s">
        <v>188</v>
      </c>
      <c r="FJ317" s="2" t="s">
        <v>187</v>
      </c>
      <c r="FK317" s="2" t="s">
        <v>188</v>
      </c>
      <c r="FT317" s="2" t="s">
        <v>233</v>
      </c>
      <c r="FU317" s="2" t="s">
        <v>233</v>
      </c>
      <c r="FV317" s="2" t="s">
        <v>233</v>
      </c>
      <c r="FW317" s="2" t="s">
        <v>233</v>
      </c>
      <c r="FZ317" s="4">
        <v>46041.629282407404</v>
      </c>
    </row>
    <row r="318" spans="1:182">
      <c r="A318" s="2" t="s">
        <v>2152</v>
      </c>
      <c r="D318" s="6">
        <v>46034.616828703707</v>
      </c>
      <c r="E318" s="2" t="s">
        <v>2153</v>
      </c>
      <c r="F318" s="2" t="s">
        <v>590</v>
      </c>
      <c r="G318" s="2" t="s">
        <v>1965</v>
      </c>
      <c r="H318" s="2" t="s">
        <v>1966</v>
      </c>
      <c r="I318" s="2" t="s">
        <v>2154</v>
      </c>
      <c r="J318" s="2">
        <v>985957973</v>
      </c>
      <c r="K318" s="2" t="s">
        <v>2154</v>
      </c>
      <c r="L318" s="2" t="s">
        <v>182</v>
      </c>
      <c r="M318" s="2" t="s">
        <v>183</v>
      </c>
      <c r="N318" s="2">
        <v>1965</v>
      </c>
      <c r="O318" s="2" t="s">
        <v>224</v>
      </c>
      <c r="P318" s="2" t="s">
        <v>185</v>
      </c>
      <c r="Q318" s="2" t="s">
        <v>270</v>
      </c>
      <c r="R318" s="2" t="s">
        <v>188</v>
      </c>
      <c r="S318" s="2">
        <v>30</v>
      </c>
      <c r="T318" s="2" t="s">
        <v>188</v>
      </c>
      <c r="U318" s="2" t="s">
        <v>188</v>
      </c>
      <c r="Y318" s="2">
        <v>320</v>
      </c>
      <c r="Z318" s="2">
        <v>0.75</v>
      </c>
      <c r="AA318" s="2">
        <v>240</v>
      </c>
      <c r="AB318" s="2">
        <v>240</v>
      </c>
      <c r="AC318" s="2">
        <v>240</v>
      </c>
      <c r="AD318" s="2">
        <v>300</v>
      </c>
      <c r="AE318" s="2">
        <v>60</v>
      </c>
      <c r="AF318" s="2" t="s">
        <v>188</v>
      </c>
      <c r="AG318" s="2" t="s">
        <v>188</v>
      </c>
      <c r="AH318" s="2" t="s">
        <v>188</v>
      </c>
      <c r="AJ318" s="2" t="s">
        <v>188</v>
      </c>
      <c r="AK318" s="2" t="s">
        <v>188</v>
      </c>
      <c r="AL318" s="2" t="s">
        <v>187</v>
      </c>
      <c r="AM318" s="2" t="s">
        <v>188</v>
      </c>
      <c r="AN318" s="2" t="s">
        <v>188</v>
      </c>
      <c r="AO318" s="2" t="s">
        <v>188</v>
      </c>
      <c r="AR318" s="2">
        <v>1.5</v>
      </c>
      <c r="AS318" s="2">
        <v>1</v>
      </c>
      <c r="AT318" s="2">
        <v>2.5</v>
      </c>
      <c r="AU318" s="2" t="s">
        <v>238</v>
      </c>
      <c r="AV318" s="2" t="s">
        <v>189</v>
      </c>
      <c r="AW318" s="2" t="s">
        <v>188</v>
      </c>
      <c r="AZ318" s="2" t="s">
        <v>190</v>
      </c>
      <c r="BB318" s="2" t="s">
        <v>260</v>
      </c>
      <c r="BC318" s="2" t="s">
        <v>296</v>
      </c>
      <c r="BD318" s="2" t="s">
        <v>187</v>
      </c>
      <c r="BE318" s="2" t="s">
        <v>187</v>
      </c>
      <c r="BF318" s="2" t="s">
        <v>193</v>
      </c>
      <c r="BG318" s="2" t="s">
        <v>194</v>
      </c>
      <c r="BH318" s="2" t="s">
        <v>297</v>
      </c>
      <c r="BI318" s="2" t="s">
        <v>196</v>
      </c>
      <c r="BL318" s="2" t="s">
        <v>197</v>
      </c>
      <c r="BM318" s="2" t="s">
        <v>507</v>
      </c>
      <c r="BN318" s="2" t="s">
        <v>199</v>
      </c>
      <c r="BO318" s="2" t="s">
        <v>188</v>
      </c>
      <c r="BQ318" s="2" t="s">
        <v>227</v>
      </c>
      <c r="BS318" s="2" t="s">
        <v>187</v>
      </c>
      <c r="BT318" s="2" t="s">
        <v>594</v>
      </c>
      <c r="BV318" s="2" t="s">
        <v>242</v>
      </c>
      <c r="BX318" s="2" t="s">
        <v>188</v>
      </c>
      <c r="BZ318" s="2" t="s">
        <v>203</v>
      </c>
      <c r="CE318" s="2">
        <v>2.5</v>
      </c>
      <c r="CF318" s="2">
        <v>300</v>
      </c>
      <c r="CM318" s="2">
        <v>100</v>
      </c>
      <c r="CO318" s="2">
        <v>100</v>
      </c>
      <c r="CR318" s="2" t="s">
        <v>204</v>
      </c>
      <c r="CT318" s="2" t="s">
        <v>188</v>
      </c>
      <c r="CU318" s="2" t="s">
        <v>205</v>
      </c>
      <c r="CW318" s="2" t="s">
        <v>206</v>
      </c>
      <c r="CY318" s="2" t="s">
        <v>273</v>
      </c>
      <c r="CZ318" s="2" t="s">
        <v>300</v>
      </c>
      <c r="DA318" s="2" t="s">
        <v>300</v>
      </c>
      <c r="DB318" s="2" t="s">
        <v>300</v>
      </c>
      <c r="DC318" s="2" t="s">
        <v>300</v>
      </c>
      <c r="DD318" s="2" t="s">
        <v>300</v>
      </c>
      <c r="DE318" s="2" t="s">
        <v>300</v>
      </c>
      <c r="DF318" s="2" t="s">
        <v>300</v>
      </c>
      <c r="DG318" s="2" t="s">
        <v>300</v>
      </c>
      <c r="DH318" s="2" t="s">
        <v>300</v>
      </c>
      <c r="DI318" s="2" t="s">
        <v>300</v>
      </c>
      <c r="DL318" s="2" t="s">
        <v>187</v>
      </c>
      <c r="DM318" s="2" t="s">
        <v>188</v>
      </c>
      <c r="DP318" s="2" t="s">
        <v>203</v>
      </c>
      <c r="DT318" s="2" t="s">
        <v>203</v>
      </c>
      <c r="DU318" s="2" t="s">
        <v>203</v>
      </c>
      <c r="DV318" s="2" t="s">
        <v>203</v>
      </c>
      <c r="DW318" s="2" t="s">
        <v>203</v>
      </c>
      <c r="DX318" s="2" t="s">
        <v>203</v>
      </c>
      <c r="DY318" s="2" t="s">
        <v>203</v>
      </c>
      <c r="DZ318" s="2" t="s">
        <v>203</v>
      </c>
      <c r="EA318" s="2" t="s">
        <v>203</v>
      </c>
      <c r="EB318" s="2" t="s">
        <v>203</v>
      </c>
      <c r="EC318" s="2" t="s">
        <v>203</v>
      </c>
      <c r="EF318" s="2" t="s">
        <v>189</v>
      </c>
      <c r="EG318" s="2" t="s">
        <v>2155</v>
      </c>
      <c r="EJ318" s="2" t="s">
        <v>238</v>
      </c>
      <c r="EK318" s="2" t="s">
        <v>188</v>
      </c>
      <c r="EL318" s="2" t="s">
        <v>187</v>
      </c>
      <c r="EM318" s="2" t="s">
        <v>392</v>
      </c>
      <c r="EN318" s="2" t="s">
        <v>255</v>
      </c>
      <c r="EP318" s="2" t="s">
        <v>230</v>
      </c>
      <c r="ER318" s="2" t="s">
        <v>188</v>
      </c>
      <c r="ET318" s="2" t="s">
        <v>188</v>
      </c>
      <c r="EV318" s="2" t="s">
        <v>188</v>
      </c>
      <c r="EX318" s="2" t="s">
        <v>188</v>
      </c>
      <c r="EZ318" s="2" t="s">
        <v>188</v>
      </c>
      <c r="FC318" s="2" t="s">
        <v>263</v>
      </c>
      <c r="FD318" s="2" t="s">
        <v>188</v>
      </c>
      <c r="FH318" s="2" t="s">
        <v>188</v>
      </c>
      <c r="FJ318" s="2" t="s">
        <v>188</v>
      </c>
      <c r="FK318" s="2" t="s">
        <v>188</v>
      </c>
      <c r="FN318" s="2" t="s">
        <v>432</v>
      </c>
      <c r="FR318" s="2" t="s">
        <v>2156</v>
      </c>
      <c r="FT318" s="2" t="s">
        <v>233</v>
      </c>
      <c r="FU318" s="2" t="s">
        <v>233</v>
      </c>
      <c r="FV318" s="2" t="s">
        <v>233</v>
      </c>
      <c r="FW318" s="2" t="s">
        <v>233</v>
      </c>
      <c r="FZ318" s="4">
        <v>46040.880682870367</v>
      </c>
    </row>
    <row r="319" spans="1:182">
      <c r="A319" s="2" t="s">
        <v>2157</v>
      </c>
      <c r="D319" s="6">
        <v>46034.621064814812</v>
      </c>
      <c r="E319" s="2" t="s">
        <v>2158</v>
      </c>
      <c r="F319" s="2" t="s">
        <v>480</v>
      </c>
      <c r="G319" s="2" t="s">
        <v>1965</v>
      </c>
      <c r="H319" s="2" t="s">
        <v>2159</v>
      </c>
      <c r="I319" s="2" t="s">
        <v>2160</v>
      </c>
      <c r="J319" s="2">
        <v>336220179</v>
      </c>
      <c r="K319" s="2" t="s">
        <v>2161</v>
      </c>
      <c r="L319" s="2" t="s">
        <v>182</v>
      </c>
      <c r="M319" s="2" t="s">
        <v>183</v>
      </c>
      <c r="N319" s="2">
        <v>1974</v>
      </c>
      <c r="O319" s="2" t="s">
        <v>224</v>
      </c>
      <c r="P319" s="2" t="s">
        <v>185</v>
      </c>
      <c r="Q319" s="2" t="s">
        <v>186</v>
      </c>
      <c r="R319" s="2" t="s">
        <v>188</v>
      </c>
      <c r="S319" s="2">
        <v>31</v>
      </c>
      <c r="T319" s="2" t="s">
        <v>188</v>
      </c>
      <c r="U319" s="2" t="s">
        <v>188</v>
      </c>
      <c r="Y319" s="2">
        <v>389</v>
      </c>
      <c r="Z319" s="2">
        <v>1</v>
      </c>
      <c r="AA319" s="2">
        <v>389</v>
      </c>
      <c r="AB319" s="2">
        <v>389</v>
      </c>
      <c r="AC319" s="2">
        <v>389</v>
      </c>
      <c r="AD319" s="2">
        <v>539</v>
      </c>
      <c r="AE319" s="2">
        <v>150</v>
      </c>
      <c r="AF319" s="2" t="s">
        <v>188</v>
      </c>
      <c r="AG319" s="2" t="s">
        <v>188</v>
      </c>
      <c r="AH319" s="2" t="s">
        <v>188</v>
      </c>
      <c r="AJ319" s="2" t="s">
        <v>188</v>
      </c>
      <c r="AK319" s="2" t="s">
        <v>188</v>
      </c>
      <c r="AL319" s="2" t="s">
        <v>188</v>
      </c>
      <c r="AM319" s="2" t="s">
        <v>188</v>
      </c>
      <c r="AN319" s="2" t="s">
        <v>188</v>
      </c>
      <c r="AO319" s="2" t="s">
        <v>188</v>
      </c>
      <c r="AR319" s="2">
        <v>2.2000000000000002</v>
      </c>
      <c r="AS319" s="2">
        <v>2</v>
      </c>
      <c r="AT319" s="2">
        <v>5.5</v>
      </c>
      <c r="AU319" s="2" t="s">
        <v>238</v>
      </c>
      <c r="AV319" s="2" t="s">
        <v>238</v>
      </c>
      <c r="AW319" s="2" t="s">
        <v>188</v>
      </c>
      <c r="AZ319" s="2" t="s">
        <v>190</v>
      </c>
      <c r="BB319" s="2" t="s">
        <v>260</v>
      </c>
      <c r="BC319" s="2" t="s">
        <v>296</v>
      </c>
      <c r="BD319" s="2" t="s">
        <v>188</v>
      </c>
      <c r="BE319" s="2" t="s">
        <v>187</v>
      </c>
      <c r="BF319" s="2" t="s">
        <v>193</v>
      </c>
      <c r="BG319" s="2" t="s">
        <v>194</v>
      </c>
      <c r="BH319" s="2" t="s">
        <v>297</v>
      </c>
      <c r="BI319" s="2" t="s">
        <v>196</v>
      </c>
      <c r="BL319" s="2" t="s">
        <v>197</v>
      </c>
      <c r="BM319" s="2" t="s">
        <v>198</v>
      </c>
      <c r="BN319" s="2" t="s">
        <v>199</v>
      </c>
      <c r="BO319" s="2" t="s">
        <v>188</v>
      </c>
      <c r="BQ319" s="2" t="s">
        <v>200</v>
      </c>
      <c r="BS319" s="2" t="s">
        <v>187</v>
      </c>
      <c r="BT319" s="2" t="s">
        <v>484</v>
      </c>
      <c r="BV319" s="2" t="s">
        <v>401</v>
      </c>
      <c r="BX319" s="2" t="s">
        <v>187</v>
      </c>
      <c r="BY319" s="2" t="s">
        <v>1885</v>
      </c>
      <c r="BZ319" s="2" t="s">
        <v>209</v>
      </c>
      <c r="CA319" s="2" t="s">
        <v>2162</v>
      </c>
      <c r="CE319" s="2">
        <v>5.5</v>
      </c>
      <c r="CF319" s="2">
        <v>539</v>
      </c>
      <c r="CM319" s="2">
        <v>100</v>
      </c>
      <c r="CO319" s="2">
        <v>100</v>
      </c>
      <c r="CR319" s="2" t="s">
        <v>511</v>
      </c>
      <c r="CT319" s="2" t="s">
        <v>188</v>
      </c>
      <c r="CU319" s="2" t="s">
        <v>578</v>
      </c>
      <c r="CW319" s="2" t="s">
        <v>206</v>
      </c>
      <c r="CY319" s="2" t="s">
        <v>512</v>
      </c>
      <c r="CZ319" s="2" t="s">
        <v>512</v>
      </c>
      <c r="DA319" s="2" t="s">
        <v>300</v>
      </c>
      <c r="DB319" s="2" t="s">
        <v>300</v>
      </c>
      <c r="DC319" s="2" t="s">
        <v>988</v>
      </c>
      <c r="DD319" s="2" t="s">
        <v>988</v>
      </c>
      <c r="DE319" s="2" t="s">
        <v>512</v>
      </c>
      <c r="DF319" s="2" t="s">
        <v>300</v>
      </c>
      <c r="DG319" s="2" t="s">
        <v>300</v>
      </c>
      <c r="DH319" s="2" t="s">
        <v>512</v>
      </c>
      <c r="DI319" s="2" t="s">
        <v>512</v>
      </c>
      <c r="DL319" s="2" t="s">
        <v>187</v>
      </c>
      <c r="DM319" s="2" t="s">
        <v>187</v>
      </c>
      <c r="DN319" s="2" t="s">
        <v>187</v>
      </c>
      <c r="DO319" s="2" t="s">
        <v>187</v>
      </c>
      <c r="DP319" s="2" t="s">
        <v>209</v>
      </c>
      <c r="DT319" s="2" t="s">
        <v>209</v>
      </c>
      <c r="DU319" s="2" t="s">
        <v>209</v>
      </c>
      <c r="DV319" s="2" t="s">
        <v>209</v>
      </c>
      <c r="DW319" s="2" t="s">
        <v>209</v>
      </c>
      <c r="DX319" s="2" t="s">
        <v>209</v>
      </c>
      <c r="DY319" s="2" t="s">
        <v>203</v>
      </c>
      <c r="DZ319" s="2" t="s">
        <v>203</v>
      </c>
      <c r="EA319" s="2" t="s">
        <v>203</v>
      </c>
      <c r="EB319" s="2" t="s">
        <v>209</v>
      </c>
      <c r="EF319" s="2" t="s">
        <v>189</v>
      </c>
      <c r="EJ319" s="2" t="s">
        <v>238</v>
      </c>
      <c r="EK319" s="2" t="s">
        <v>187</v>
      </c>
      <c r="EL319" s="2" t="s">
        <v>188</v>
      </c>
      <c r="EN319" s="2" t="s">
        <v>214</v>
      </c>
      <c r="EP319" s="2" t="s">
        <v>230</v>
      </c>
      <c r="ER319" s="2" t="s">
        <v>187</v>
      </c>
      <c r="ET319" s="2" t="s">
        <v>188</v>
      </c>
      <c r="EV319" s="2" t="s">
        <v>187</v>
      </c>
      <c r="EW319" s="2" t="s">
        <v>215</v>
      </c>
      <c r="EX319" s="2" t="s">
        <v>188</v>
      </c>
      <c r="EZ319" s="2" t="s">
        <v>188</v>
      </c>
      <c r="FC319" s="2" t="s">
        <v>395</v>
      </c>
      <c r="FD319" s="2" t="s">
        <v>188</v>
      </c>
      <c r="FH319" s="2" t="s">
        <v>188</v>
      </c>
      <c r="FJ319" s="2" t="s">
        <v>188</v>
      </c>
      <c r="FK319" s="2" t="s">
        <v>188</v>
      </c>
      <c r="FN319" s="2" t="s">
        <v>488</v>
      </c>
      <c r="FR319" s="2" t="s">
        <v>2163</v>
      </c>
      <c r="FT319" s="2" t="s">
        <v>233</v>
      </c>
      <c r="FU319" s="2" t="s">
        <v>233</v>
      </c>
      <c r="FV319" s="2" t="s">
        <v>233</v>
      </c>
      <c r="FW319" s="2" t="s">
        <v>233</v>
      </c>
      <c r="FZ319" s="4">
        <v>46043.721585648149</v>
      </c>
    </row>
    <row r="320" spans="1:182">
      <c r="A320" s="2" t="s">
        <v>2164</v>
      </c>
      <c r="D320" s="6">
        <v>46034.617488425924</v>
      </c>
      <c r="E320" s="2" t="s">
        <v>177</v>
      </c>
      <c r="F320" s="2" t="s">
        <v>178</v>
      </c>
      <c r="G320" s="2" t="s">
        <v>1965</v>
      </c>
      <c r="H320" s="2" t="s">
        <v>1966</v>
      </c>
      <c r="I320" s="2" t="s">
        <v>2165</v>
      </c>
      <c r="J320" s="2">
        <v>367534309</v>
      </c>
      <c r="K320" s="2" t="s">
        <v>2165</v>
      </c>
      <c r="L320" s="2" t="s">
        <v>182</v>
      </c>
      <c r="M320" s="2" t="s">
        <v>223</v>
      </c>
      <c r="N320" s="2">
        <v>1984</v>
      </c>
      <c r="O320" s="2" t="s">
        <v>2151</v>
      </c>
      <c r="P320" s="2" t="s">
        <v>225</v>
      </c>
      <c r="Q320" s="2" t="s">
        <v>270</v>
      </c>
      <c r="R320" s="2" t="s">
        <v>188</v>
      </c>
      <c r="S320" s="2">
        <v>15</v>
      </c>
      <c r="T320" s="2" t="s">
        <v>188</v>
      </c>
      <c r="U320" s="2" t="s">
        <v>188</v>
      </c>
      <c r="Y320" s="2">
        <v>95</v>
      </c>
      <c r="Z320" s="2">
        <v>1</v>
      </c>
      <c r="AA320" s="2">
        <v>95</v>
      </c>
      <c r="AB320" s="2">
        <v>95</v>
      </c>
      <c r="AC320" s="2">
        <v>75</v>
      </c>
      <c r="AD320" s="2">
        <v>155</v>
      </c>
      <c r="AE320" s="2">
        <v>80</v>
      </c>
      <c r="AF320" s="2" t="s">
        <v>188</v>
      </c>
      <c r="AG320" s="2" t="s">
        <v>187</v>
      </c>
      <c r="AH320" s="2" t="s">
        <v>188</v>
      </c>
      <c r="AJ320" s="2" t="s">
        <v>188</v>
      </c>
      <c r="AK320" s="2" t="s">
        <v>188</v>
      </c>
      <c r="AL320" s="2" t="s">
        <v>188</v>
      </c>
      <c r="AM320" s="2" t="s">
        <v>188</v>
      </c>
      <c r="AN320" s="2" t="s">
        <v>188</v>
      </c>
      <c r="AO320" s="2" t="s">
        <v>188</v>
      </c>
      <c r="AR320" s="2">
        <v>1.5</v>
      </c>
      <c r="AS320" s="2">
        <v>3</v>
      </c>
      <c r="AT320" s="2">
        <v>1.6</v>
      </c>
      <c r="AU320" s="2" t="s">
        <v>189</v>
      </c>
      <c r="AV320" s="2" t="s">
        <v>189</v>
      </c>
      <c r="AW320" s="2" t="s">
        <v>188</v>
      </c>
      <c r="AZ320" s="2" t="s">
        <v>190</v>
      </c>
      <c r="BB320" s="2" t="s">
        <v>260</v>
      </c>
      <c r="BC320" s="2" t="s">
        <v>192</v>
      </c>
      <c r="BD320" s="2" t="s">
        <v>187</v>
      </c>
      <c r="BE320" s="2" t="s">
        <v>187</v>
      </c>
      <c r="BF320" s="2" t="s">
        <v>193</v>
      </c>
      <c r="BG320" s="2" t="s">
        <v>194</v>
      </c>
      <c r="BH320" s="2" t="s">
        <v>280</v>
      </c>
      <c r="BI320" s="2" t="s">
        <v>196</v>
      </c>
      <c r="BL320" s="2" t="s">
        <v>240</v>
      </c>
      <c r="BO320" s="2" t="s">
        <v>188</v>
      </c>
      <c r="BQ320" s="2" t="s">
        <v>200</v>
      </c>
      <c r="BS320" s="2" t="s">
        <v>187</v>
      </c>
      <c r="BT320" s="2" t="s">
        <v>201</v>
      </c>
      <c r="BV320" s="2" t="s">
        <v>248</v>
      </c>
      <c r="BX320" s="2" t="s">
        <v>188</v>
      </c>
      <c r="BZ320" s="2" t="s">
        <v>188</v>
      </c>
      <c r="CE320" s="2">
        <v>1.6</v>
      </c>
      <c r="CF320" s="2">
        <v>155</v>
      </c>
      <c r="CK320" s="2">
        <v>100</v>
      </c>
      <c r="CO320" s="2">
        <v>100</v>
      </c>
      <c r="CR320" s="2" t="s">
        <v>204</v>
      </c>
      <c r="CT320" s="2" t="s">
        <v>188</v>
      </c>
      <c r="CU320" s="2" t="s">
        <v>205</v>
      </c>
      <c r="CW320" s="2" t="s">
        <v>206</v>
      </c>
      <c r="CY320" s="2" t="s">
        <v>207</v>
      </c>
      <c r="CZ320" s="2" t="s">
        <v>207</v>
      </c>
      <c r="DA320" s="2" t="s">
        <v>208</v>
      </c>
      <c r="DB320" s="2" t="s">
        <v>208</v>
      </c>
      <c r="DC320" s="2" t="s">
        <v>208</v>
      </c>
      <c r="DD320" s="2" t="s">
        <v>208</v>
      </c>
      <c r="DE320" s="2" t="s">
        <v>208</v>
      </c>
      <c r="DF320" s="2" t="s">
        <v>208</v>
      </c>
      <c r="DG320" s="2" t="s">
        <v>208</v>
      </c>
      <c r="DH320" s="2" t="s">
        <v>208</v>
      </c>
      <c r="DI320" s="2" t="s">
        <v>208</v>
      </c>
      <c r="DL320" s="2" t="s">
        <v>187</v>
      </c>
      <c r="DM320" s="2" t="s">
        <v>187</v>
      </c>
      <c r="DN320" s="2" t="s">
        <v>187</v>
      </c>
      <c r="DO320" s="2" t="s">
        <v>187</v>
      </c>
      <c r="DP320" s="2" t="s">
        <v>209</v>
      </c>
      <c r="DQ320" s="2" t="s">
        <v>210</v>
      </c>
      <c r="DT320" s="2" t="s">
        <v>209</v>
      </c>
      <c r="DU320" s="2" t="s">
        <v>209</v>
      </c>
      <c r="DV320" s="2" t="s">
        <v>209</v>
      </c>
      <c r="DW320" s="2" t="s">
        <v>209</v>
      </c>
      <c r="DX320" s="2" t="s">
        <v>209</v>
      </c>
      <c r="DY320" s="2" t="s">
        <v>209</v>
      </c>
      <c r="DZ320" s="2" t="s">
        <v>209</v>
      </c>
      <c r="EA320" s="2" t="s">
        <v>209</v>
      </c>
      <c r="EB320" s="2" t="s">
        <v>209</v>
      </c>
      <c r="EF320" s="2" t="s">
        <v>211</v>
      </c>
      <c r="EJ320" s="2" t="s">
        <v>189</v>
      </c>
      <c r="EK320" s="2" t="s">
        <v>187</v>
      </c>
      <c r="EL320" s="2" t="s">
        <v>188</v>
      </c>
      <c r="EN320" s="2" t="s">
        <v>214</v>
      </c>
      <c r="EP320" s="2" t="s">
        <v>230</v>
      </c>
      <c r="ER320" s="2" t="s">
        <v>187</v>
      </c>
      <c r="ET320" s="2" t="s">
        <v>188</v>
      </c>
      <c r="EV320" s="2" t="s">
        <v>187</v>
      </c>
      <c r="EW320" s="2" t="s">
        <v>215</v>
      </c>
      <c r="EX320" s="2" t="s">
        <v>187</v>
      </c>
      <c r="EY320" s="2" t="s">
        <v>215</v>
      </c>
      <c r="EZ320" s="2" t="s">
        <v>188</v>
      </c>
      <c r="FC320" s="2" t="s">
        <v>216</v>
      </c>
      <c r="FD320" s="2" t="s">
        <v>188</v>
      </c>
      <c r="FH320" s="2" t="s">
        <v>188</v>
      </c>
      <c r="FJ320" s="2" t="s">
        <v>187</v>
      </c>
      <c r="FK320" s="2" t="s">
        <v>209</v>
      </c>
      <c r="FL320" s="2" t="s">
        <v>274</v>
      </c>
      <c r="FT320" s="2" t="s">
        <v>219</v>
      </c>
      <c r="FU320" s="2" t="s">
        <v>219</v>
      </c>
      <c r="FV320" s="2" t="s">
        <v>219</v>
      </c>
      <c r="FW320" s="2" t="s">
        <v>219</v>
      </c>
      <c r="FZ320" s="4">
        <v>46041.621527777781</v>
      </c>
    </row>
    <row r="321" spans="1:182">
      <c r="A321" s="2" t="s">
        <v>2166</v>
      </c>
      <c r="D321" s="6">
        <v>46034.641319444447</v>
      </c>
      <c r="E321" s="2" t="s">
        <v>2167</v>
      </c>
      <c r="F321" s="2" t="s">
        <v>590</v>
      </c>
      <c r="G321" s="2" t="s">
        <v>1965</v>
      </c>
      <c r="H321" s="2" t="s">
        <v>1966</v>
      </c>
      <c r="I321" s="2" t="s">
        <v>2168</v>
      </c>
      <c r="J321" s="2">
        <v>364483461</v>
      </c>
      <c r="K321" s="2" t="s">
        <v>2168</v>
      </c>
      <c r="L321" s="2" t="s">
        <v>182</v>
      </c>
      <c r="M321" s="2" t="s">
        <v>223</v>
      </c>
      <c r="N321" s="2">
        <v>1973</v>
      </c>
      <c r="O321" s="2" t="s">
        <v>224</v>
      </c>
      <c r="P321" s="2" t="s">
        <v>225</v>
      </c>
      <c r="Q321" s="2" t="s">
        <v>226</v>
      </c>
      <c r="R321" s="2" t="s">
        <v>188</v>
      </c>
      <c r="S321" s="2">
        <v>28</v>
      </c>
      <c r="T321" s="2" t="s">
        <v>188</v>
      </c>
      <c r="U321" s="2" t="s">
        <v>188</v>
      </c>
      <c r="Y321" s="2">
        <v>520</v>
      </c>
      <c r="Z321" s="2">
        <v>1</v>
      </c>
      <c r="AA321" s="2">
        <v>520</v>
      </c>
      <c r="AB321" s="2">
        <v>520</v>
      </c>
      <c r="AC321" s="2">
        <v>520</v>
      </c>
      <c r="AD321" s="2">
        <v>650</v>
      </c>
      <c r="AE321" s="2">
        <v>130</v>
      </c>
      <c r="AF321" s="2" t="s">
        <v>188</v>
      </c>
      <c r="AG321" s="2" t="s">
        <v>188</v>
      </c>
      <c r="AH321" s="2" t="s">
        <v>188</v>
      </c>
      <c r="AJ321" s="2" t="s">
        <v>188</v>
      </c>
      <c r="AK321" s="2" t="s">
        <v>188</v>
      </c>
      <c r="AL321" s="2" t="s">
        <v>188</v>
      </c>
      <c r="AM321" s="2" t="s">
        <v>188</v>
      </c>
      <c r="AN321" s="2" t="s">
        <v>188</v>
      </c>
      <c r="AO321" s="2" t="s">
        <v>188</v>
      </c>
      <c r="AR321" s="2">
        <v>2.2400000000000002</v>
      </c>
      <c r="AS321" s="2">
        <v>4</v>
      </c>
      <c r="AT321" s="2">
        <v>5.0999999999999996</v>
      </c>
      <c r="AU321" s="2" t="s">
        <v>203</v>
      </c>
      <c r="AV321" s="2" t="s">
        <v>189</v>
      </c>
      <c r="AW321" s="2" t="s">
        <v>188</v>
      </c>
      <c r="AZ321" s="2" t="s">
        <v>190</v>
      </c>
      <c r="BB321" s="2" t="s">
        <v>260</v>
      </c>
      <c r="BC321" s="2" t="s">
        <v>192</v>
      </c>
      <c r="BD321" s="2" t="s">
        <v>188</v>
      </c>
      <c r="BE321" s="2" t="s">
        <v>187</v>
      </c>
      <c r="BF321" s="2" t="s">
        <v>193</v>
      </c>
      <c r="BG321" s="2" t="s">
        <v>279</v>
      </c>
      <c r="BH321" s="2" t="s">
        <v>297</v>
      </c>
      <c r="BI321" s="2" t="s">
        <v>196</v>
      </c>
      <c r="BL321" s="2" t="s">
        <v>197</v>
      </c>
      <c r="BM321" s="2" t="s">
        <v>507</v>
      </c>
      <c r="BN321" s="2" t="s">
        <v>199</v>
      </c>
      <c r="BO321" s="2" t="s">
        <v>188</v>
      </c>
      <c r="BQ321" s="2" t="s">
        <v>227</v>
      </c>
      <c r="BS321" s="2" t="s">
        <v>187</v>
      </c>
      <c r="BT321" s="2" t="s">
        <v>594</v>
      </c>
      <c r="BV321" s="2" t="s">
        <v>242</v>
      </c>
      <c r="BX321" s="2" t="s">
        <v>188</v>
      </c>
      <c r="BZ321" s="2" t="s">
        <v>209</v>
      </c>
      <c r="CA321" s="2" t="s">
        <v>2169</v>
      </c>
      <c r="CE321" s="2">
        <v>5.0999999999999996</v>
      </c>
      <c r="CF321" s="2">
        <v>650</v>
      </c>
      <c r="CM321" s="2">
        <v>100</v>
      </c>
      <c r="CO321" s="2">
        <v>100</v>
      </c>
      <c r="CR321" s="2" t="s">
        <v>262</v>
      </c>
      <c r="CT321" s="2" t="s">
        <v>188</v>
      </c>
      <c r="CU321" s="2" t="s">
        <v>281</v>
      </c>
      <c r="CW321" s="2" t="s">
        <v>206</v>
      </c>
      <c r="CY321" s="2" t="s">
        <v>273</v>
      </c>
      <c r="CZ321" s="2" t="s">
        <v>300</v>
      </c>
      <c r="DA321" s="2" t="s">
        <v>300</v>
      </c>
      <c r="DB321" s="2" t="s">
        <v>300</v>
      </c>
      <c r="DC321" s="2" t="s">
        <v>300</v>
      </c>
      <c r="DD321" s="2" t="s">
        <v>300</v>
      </c>
      <c r="DE321" s="2" t="s">
        <v>273</v>
      </c>
      <c r="DF321" s="2" t="s">
        <v>273</v>
      </c>
      <c r="DG321" s="2" t="s">
        <v>273</v>
      </c>
      <c r="DH321" s="2" t="s">
        <v>273</v>
      </c>
      <c r="DI321" s="2" t="s">
        <v>273</v>
      </c>
      <c r="DL321" s="2" t="s">
        <v>187</v>
      </c>
      <c r="DM321" s="2" t="s">
        <v>187</v>
      </c>
      <c r="DN321" s="2" t="s">
        <v>187</v>
      </c>
      <c r="DO321" s="2" t="s">
        <v>187</v>
      </c>
      <c r="DP321" s="2" t="s">
        <v>209</v>
      </c>
      <c r="DQ321" s="2" t="s">
        <v>467</v>
      </c>
      <c r="DR321" s="2" t="s">
        <v>1998</v>
      </c>
      <c r="DT321" s="2" t="s">
        <v>209</v>
      </c>
      <c r="DU321" s="2" t="s">
        <v>209</v>
      </c>
      <c r="DV321" s="2" t="s">
        <v>209</v>
      </c>
      <c r="DW321" s="2" t="s">
        <v>209</v>
      </c>
      <c r="DX321" s="2" t="s">
        <v>209</v>
      </c>
      <c r="DY321" s="2" t="s">
        <v>209</v>
      </c>
      <c r="DZ321" s="2" t="s">
        <v>209</v>
      </c>
      <c r="EA321" s="2" t="s">
        <v>209</v>
      </c>
      <c r="EB321" s="2" t="s">
        <v>209</v>
      </c>
      <c r="EC321" s="2" t="s">
        <v>188</v>
      </c>
      <c r="EF321" s="2" t="s">
        <v>211</v>
      </c>
      <c r="EG321" s="2" t="s">
        <v>985</v>
      </c>
      <c r="EJ321" s="2" t="s">
        <v>238</v>
      </c>
      <c r="EK321" s="2" t="s">
        <v>188</v>
      </c>
      <c r="EL321" s="2" t="s">
        <v>187</v>
      </c>
      <c r="EM321" s="2" t="s">
        <v>392</v>
      </c>
      <c r="EN321" s="2" t="s">
        <v>255</v>
      </c>
      <c r="EP321" s="2" t="s">
        <v>230</v>
      </c>
      <c r="ER321" s="2" t="s">
        <v>188</v>
      </c>
      <c r="ET321" s="2" t="s">
        <v>188</v>
      </c>
      <c r="EV321" s="2" t="s">
        <v>188</v>
      </c>
      <c r="EX321" s="2" t="s">
        <v>188</v>
      </c>
      <c r="EZ321" s="2" t="s">
        <v>188</v>
      </c>
      <c r="FC321" s="2" t="s">
        <v>263</v>
      </c>
      <c r="FD321" s="2" t="s">
        <v>188</v>
      </c>
      <c r="FH321" s="2" t="s">
        <v>188</v>
      </c>
      <c r="FJ321" s="2" t="s">
        <v>188</v>
      </c>
      <c r="FK321" s="2" t="s">
        <v>188</v>
      </c>
      <c r="FN321" s="2" t="s">
        <v>432</v>
      </c>
      <c r="FR321" s="2" t="s">
        <v>2170</v>
      </c>
      <c r="FT321" s="2" t="s">
        <v>233</v>
      </c>
      <c r="FU321" s="2" t="s">
        <v>233</v>
      </c>
      <c r="FV321" s="2" t="s">
        <v>233</v>
      </c>
      <c r="FW321" s="2" t="s">
        <v>233</v>
      </c>
      <c r="FZ321" s="4">
        <v>46040.887314814812</v>
      </c>
    </row>
    <row r="322" spans="1:182">
      <c r="A322" s="2" t="s">
        <v>2171</v>
      </c>
      <c r="D322" s="6">
        <v>46034.632928240739</v>
      </c>
      <c r="E322" s="2" t="s">
        <v>2172</v>
      </c>
      <c r="F322" s="2" t="s">
        <v>398</v>
      </c>
      <c r="G322" s="2" t="s">
        <v>1965</v>
      </c>
      <c r="H322" s="2" t="s">
        <v>2173</v>
      </c>
      <c r="I322" s="2" t="s">
        <v>2174</v>
      </c>
      <c r="J322" s="2">
        <v>386787351</v>
      </c>
      <c r="K322" s="2" t="s">
        <v>2174</v>
      </c>
      <c r="L322" s="2" t="s">
        <v>182</v>
      </c>
      <c r="M322" s="2" t="s">
        <v>183</v>
      </c>
      <c r="N322" s="2">
        <v>1976</v>
      </c>
      <c r="O322" s="2" t="s">
        <v>224</v>
      </c>
      <c r="P322" s="2" t="s">
        <v>185</v>
      </c>
      <c r="Q322" s="2" t="s">
        <v>186</v>
      </c>
      <c r="R322" s="2" t="s">
        <v>188</v>
      </c>
      <c r="S322" s="2">
        <v>25</v>
      </c>
      <c r="T322" s="2" t="s">
        <v>188</v>
      </c>
      <c r="U322" s="2" t="s">
        <v>188</v>
      </c>
      <c r="Y322" s="2">
        <v>745</v>
      </c>
      <c r="Z322" s="2">
        <v>0.99329999999999996</v>
      </c>
      <c r="AA322" s="2">
        <v>740</v>
      </c>
      <c r="AB322" s="2">
        <v>740</v>
      </c>
      <c r="AC322" s="2">
        <v>740</v>
      </c>
      <c r="AD322" s="2">
        <v>850</v>
      </c>
      <c r="AE322" s="2">
        <v>110</v>
      </c>
      <c r="AF322" s="2" t="s">
        <v>188</v>
      </c>
      <c r="AG322" s="2" t="s">
        <v>188</v>
      </c>
      <c r="AH322" s="2" t="s">
        <v>188</v>
      </c>
      <c r="AJ322" s="2" t="s">
        <v>188</v>
      </c>
      <c r="AK322" s="2" t="s">
        <v>188</v>
      </c>
      <c r="AL322" s="2" t="s">
        <v>188</v>
      </c>
      <c r="AM322" s="2" t="s">
        <v>187</v>
      </c>
      <c r="AN322" s="2" t="s">
        <v>188</v>
      </c>
      <c r="AO322" s="2" t="s">
        <v>188</v>
      </c>
      <c r="AR322" s="2">
        <v>2.2000000000000002</v>
      </c>
      <c r="AS322" s="2">
        <v>3</v>
      </c>
      <c r="AT322" s="2">
        <v>9</v>
      </c>
      <c r="AU322" s="2" t="s">
        <v>189</v>
      </c>
      <c r="AV322" s="2" t="s">
        <v>189</v>
      </c>
      <c r="AW322" s="2" t="s">
        <v>188</v>
      </c>
      <c r="BC322" s="2" t="s">
        <v>192</v>
      </c>
      <c r="BD322" s="2" t="s">
        <v>187</v>
      </c>
      <c r="BE322" s="2" t="s">
        <v>188</v>
      </c>
      <c r="BL322" s="2" t="s">
        <v>197</v>
      </c>
      <c r="BM322" s="2" t="s">
        <v>198</v>
      </c>
      <c r="BN322" s="2" t="s">
        <v>199</v>
      </c>
      <c r="BO322" s="2" t="s">
        <v>188</v>
      </c>
      <c r="BP322" s="2" t="s">
        <v>342</v>
      </c>
      <c r="BQ322" s="2" t="s">
        <v>200</v>
      </c>
      <c r="BS322" s="2" t="s">
        <v>187</v>
      </c>
      <c r="BT322" s="2" t="s">
        <v>410</v>
      </c>
      <c r="BV322" s="2" t="s">
        <v>248</v>
      </c>
      <c r="BX322" s="2" t="s">
        <v>188</v>
      </c>
      <c r="BY322" s="2" t="s">
        <v>696</v>
      </c>
      <c r="BZ322" s="2" t="s">
        <v>203</v>
      </c>
      <c r="CE322" s="2">
        <v>9</v>
      </c>
      <c r="CF322" s="2">
        <v>850</v>
      </c>
      <c r="CK322" s="2">
        <v>40</v>
      </c>
      <c r="CM322" s="2">
        <v>60</v>
      </c>
      <c r="CP322" s="2">
        <v>100</v>
      </c>
      <c r="CR322" s="2" t="s">
        <v>204</v>
      </c>
      <c r="CT322" s="2" t="s">
        <v>188</v>
      </c>
      <c r="CU322" s="2" t="s">
        <v>281</v>
      </c>
      <c r="CW322" s="2" t="s">
        <v>206</v>
      </c>
      <c r="CY322" s="2" t="s">
        <v>207</v>
      </c>
      <c r="CZ322" s="2" t="s">
        <v>207</v>
      </c>
      <c r="DA322" s="2" t="s">
        <v>300</v>
      </c>
      <c r="DB322" s="2" t="s">
        <v>300</v>
      </c>
      <c r="DC322" s="2" t="s">
        <v>300</v>
      </c>
      <c r="DD322" s="2" t="s">
        <v>300</v>
      </c>
      <c r="DE322" s="2" t="s">
        <v>300</v>
      </c>
      <c r="DF322" s="2" t="s">
        <v>207</v>
      </c>
      <c r="DG322" s="2" t="s">
        <v>207</v>
      </c>
      <c r="DH322" s="2" t="s">
        <v>207</v>
      </c>
      <c r="DI322" s="2" t="s">
        <v>207</v>
      </c>
      <c r="DL322" s="2" t="s">
        <v>187</v>
      </c>
      <c r="DM322" s="2" t="s">
        <v>187</v>
      </c>
      <c r="DN322" s="2" t="s">
        <v>187</v>
      </c>
      <c r="DO322" s="2" t="s">
        <v>187</v>
      </c>
      <c r="DP322" s="2" t="s">
        <v>209</v>
      </c>
      <c r="DQ322" s="2" t="s">
        <v>467</v>
      </c>
      <c r="DR322" s="2" t="s">
        <v>2175</v>
      </c>
      <c r="DT322" s="2" t="s">
        <v>209</v>
      </c>
      <c r="DU322" s="2" t="s">
        <v>209</v>
      </c>
      <c r="DV322" s="2" t="s">
        <v>209</v>
      </c>
      <c r="DW322" s="2" t="s">
        <v>209</v>
      </c>
      <c r="DX322" s="2" t="s">
        <v>209</v>
      </c>
      <c r="DY322" s="2" t="s">
        <v>209</v>
      </c>
      <c r="DZ322" s="2" t="s">
        <v>203</v>
      </c>
      <c r="EA322" s="2" t="s">
        <v>209</v>
      </c>
      <c r="EB322" s="2" t="s">
        <v>209</v>
      </c>
      <c r="EC322" s="2" t="s">
        <v>203</v>
      </c>
      <c r="EF322" s="2" t="s">
        <v>189</v>
      </c>
      <c r="EG322" s="2" t="s">
        <v>2176</v>
      </c>
      <c r="EJ322" s="2" t="s">
        <v>189</v>
      </c>
      <c r="EK322" s="2" t="s">
        <v>187</v>
      </c>
      <c r="EL322" s="2" t="s">
        <v>187</v>
      </c>
      <c r="EM322" s="2" t="s">
        <v>690</v>
      </c>
      <c r="EN322" s="2" t="s">
        <v>214</v>
      </c>
      <c r="EP322" s="2" t="s">
        <v>230</v>
      </c>
      <c r="ER322" s="2" t="s">
        <v>187</v>
      </c>
      <c r="ET322" s="2" t="s">
        <v>188</v>
      </c>
      <c r="EV322" s="2" t="s">
        <v>188</v>
      </c>
      <c r="EX322" s="2" t="s">
        <v>188</v>
      </c>
      <c r="EZ322" s="2" t="s">
        <v>188</v>
      </c>
      <c r="FC322" s="2" t="s">
        <v>216</v>
      </c>
      <c r="FD322" s="2" t="s">
        <v>188</v>
      </c>
      <c r="FH322" s="2" t="s">
        <v>188</v>
      </c>
      <c r="FJ322" s="2" t="s">
        <v>188</v>
      </c>
      <c r="FK322" s="2" t="s">
        <v>203</v>
      </c>
      <c r="FR322" s="2" t="s">
        <v>2177</v>
      </c>
      <c r="FT322" s="2" t="s">
        <v>219</v>
      </c>
      <c r="FU322" s="2" t="s">
        <v>233</v>
      </c>
      <c r="FV322" s="2" t="s">
        <v>219</v>
      </c>
      <c r="FW322" s="2" t="s">
        <v>219</v>
      </c>
      <c r="FX322" s="2" t="s">
        <v>219</v>
      </c>
      <c r="FY322" s="2" t="s">
        <v>2178</v>
      </c>
      <c r="FZ322" s="4">
        <v>46039.716458333336</v>
      </c>
    </row>
    <row r="323" spans="1:182">
      <c r="A323" s="2" t="s">
        <v>2179</v>
      </c>
      <c r="D323" s="6">
        <v>46034.655416666668</v>
      </c>
      <c r="E323" s="2" t="s">
        <v>2180</v>
      </c>
      <c r="F323" s="2" t="s">
        <v>480</v>
      </c>
      <c r="G323" s="2" t="s">
        <v>1965</v>
      </c>
      <c r="H323" s="2" t="s">
        <v>2181</v>
      </c>
      <c r="I323" s="2" t="s">
        <v>2182</v>
      </c>
      <c r="J323" s="2">
        <v>378163182</v>
      </c>
      <c r="K323" s="2" t="s">
        <v>2182</v>
      </c>
      <c r="L323" s="2" t="s">
        <v>182</v>
      </c>
      <c r="M323" s="2" t="s">
        <v>183</v>
      </c>
      <c r="N323" s="2">
        <v>1969</v>
      </c>
      <c r="O323" s="2" t="s">
        <v>224</v>
      </c>
      <c r="P323" s="2" t="s">
        <v>185</v>
      </c>
      <c r="Q323" s="2" t="s">
        <v>186</v>
      </c>
      <c r="R323" s="2" t="s">
        <v>188</v>
      </c>
      <c r="T323" s="2" t="s">
        <v>188</v>
      </c>
      <c r="U323" s="2" t="s">
        <v>188</v>
      </c>
      <c r="Y323" s="2">
        <v>100</v>
      </c>
      <c r="Z323" s="2">
        <v>1</v>
      </c>
      <c r="AA323" s="2">
        <v>100</v>
      </c>
      <c r="AB323" s="2">
        <v>100</v>
      </c>
      <c r="AC323" s="2">
        <v>38</v>
      </c>
      <c r="AD323" s="2">
        <v>98</v>
      </c>
      <c r="AE323" s="2">
        <v>60</v>
      </c>
      <c r="AF323" s="2" t="s">
        <v>188</v>
      </c>
      <c r="AG323" s="2" t="s">
        <v>188</v>
      </c>
      <c r="AH323" s="2" t="s">
        <v>187</v>
      </c>
      <c r="AI323" s="2" t="s">
        <v>2183</v>
      </c>
      <c r="AJ323" s="2" t="s">
        <v>188</v>
      </c>
      <c r="AK323" s="2" t="s">
        <v>188</v>
      </c>
      <c r="AL323" s="2" t="s">
        <v>188</v>
      </c>
      <c r="AM323" s="2" t="s">
        <v>188</v>
      </c>
      <c r="AN323" s="2" t="s">
        <v>188</v>
      </c>
      <c r="AO323" s="2" t="s">
        <v>188</v>
      </c>
      <c r="AR323" s="2">
        <v>2.2000000000000002</v>
      </c>
      <c r="AS323" s="2">
        <v>3</v>
      </c>
      <c r="AT323" s="2">
        <v>1</v>
      </c>
      <c r="AU323" s="2" t="s">
        <v>238</v>
      </c>
      <c r="AV323" s="2" t="s">
        <v>238</v>
      </c>
      <c r="AW323" s="2" t="s">
        <v>188</v>
      </c>
      <c r="AZ323" s="2" t="s">
        <v>957</v>
      </c>
      <c r="BB323" s="2" t="s">
        <v>191</v>
      </c>
      <c r="BC323" s="2" t="s">
        <v>296</v>
      </c>
      <c r="BD323" s="2" t="s">
        <v>188</v>
      </c>
      <c r="BE323" s="2" t="s">
        <v>187</v>
      </c>
      <c r="BF323" s="2" t="s">
        <v>193</v>
      </c>
      <c r="BG323" s="2" t="s">
        <v>194</v>
      </c>
      <c r="BH323" s="2" t="s">
        <v>195</v>
      </c>
      <c r="BI323" s="2" t="s">
        <v>196</v>
      </c>
      <c r="BL323" s="2" t="s">
        <v>197</v>
      </c>
      <c r="BM323" s="2" t="s">
        <v>507</v>
      </c>
      <c r="BN323" s="2" t="s">
        <v>199</v>
      </c>
      <c r="BO323" s="2" t="s">
        <v>188</v>
      </c>
      <c r="BQ323" s="2" t="s">
        <v>227</v>
      </c>
      <c r="BS323" s="2" t="s">
        <v>187</v>
      </c>
      <c r="BT323" s="2" t="s">
        <v>484</v>
      </c>
      <c r="BV323" s="2" t="s">
        <v>2184</v>
      </c>
      <c r="BX323" s="2" t="s">
        <v>187</v>
      </c>
      <c r="BY323" s="2" t="s">
        <v>705</v>
      </c>
      <c r="BZ323" s="2" t="s">
        <v>209</v>
      </c>
      <c r="CA323" s="2" t="s">
        <v>2185</v>
      </c>
      <c r="CE323" s="2">
        <v>1</v>
      </c>
      <c r="CF323" s="2">
        <v>98</v>
      </c>
      <c r="CK323" s="2">
        <v>100</v>
      </c>
      <c r="CO323" s="2">
        <v>100</v>
      </c>
      <c r="CR323" s="2" t="s">
        <v>511</v>
      </c>
      <c r="CT323" s="2" t="s">
        <v>188</v>
      </c>
      <c r="CU323" s="2" t="s">
        <v>205</v>
      </c>
      <c r="CW323" s="2" t="s">
        <v>206</v>
      </c>
      <c r="CY323" s="2" t="s">
        <v>273</v>
      </c>
      <c r="CZ323" s="2" t="s">
        <v>273</v>
      </c>
      <c r="DA323" s="2" t="s">
        <v>299</v>
      </c>
      <c r="DB323" s="2" t="s">
        <v>299</v>
      </c>
      <c r="DC323" s="2" t="s">
        <v>299</v>
      </c>
      <c r="DD323" s="2" t="s">
        <v>299</v>
      </c>
      <c r="DE323" s="2" t="s">
        <v>273</v>
      </c>
      <c r="DF323" s="2" t="s">
        <v>273</v>
      </c>
      <c r="DG323" s="2" t="s">
        <v>273</v>
      </c>
      <c r="DH323" s="2" t="s">
        <v>273</v>
      </c>
      <c r="DI323" s="2" t="s">
        <v>273</v>
      </c>
      <c r="DL323" s="2" t="s">
        <v>187</v>
      </c>
      <c r="DM323" s="2" t="s">
        <v>187</v>
      </c>
      <c r="DN323" s="2" t="s">
        <v>187</v>
      </c>
      <c r="DO323" s="2" t="s">
        <v>187</v>
      </c>
      <c r="DP323" s="2" t="s">
        <v>209</v>
      </c>
      <c r="DQ323" s="2" t="s">
        <v>467</v>
      </c>
      <c r="DR323" s="2" t="s">
        <v>2186</v>
      </c>
      <c r="DT323" s="2" t="s">
        <v>209</v>
      </c>
      <c r="DU323" s="2" t="s">
        <v>209</v>
      </c>
      <c r="DV323" s="2" t="s">
        <v>209</v>
      </c>
      <c r="DW323" s="2" t="s">
        <v>209</v>
      </c>
      <c r="DX323" s="2" t="s">
        <v>209</v>
      </c>
      <c r="DY323" s="2" t="s">
        <v>203</v>
      </c>
      <c r="DZ323" s="2" t="s">
        <v>203</v>
      </c>
      <c r="EA323" s="2" t="s">
        <v>203</v>
      </c>
      <c r="EB323" s="2" t="s">
        <v>209</v>
      </c>
      <c r="EF323" s="2" t="s">
        <v>189</v>
      </c>
      <c r="EG323" s="2" t="s">
        <v>2187</v>
      </c>
      <c r="EJ323" s="2" t="s">
        <v>238</v>
      </c>
      <c r="EK323" s="2" t="s">
        <v>187</v>
      </c>
      <c r="EL323" s="2" t="s">
        <v>188</v>
      </c>
      <c r="EN323" s="2" t="s">
        <v>255</v>
      </c>
      <c r="EP323" s="2" t="s">
        <v>230</v>
      </c>
      <c r="ER323" s="2" t="s">
        <v>187</v>
      </c>
      <c r="ET323" s="2" t="s">
        <v>188</v>
      </c>
      <c r="EV323" s="2" t="s">
        <v>187</v>
      </c>
      <c r="EW323" s="2" t="s">
        <v>215</v>
      </c>
      <c r="EX323" s="2" t="s">
        <v>188</v>
      </c>
      <c r="EZ323" s="2" t="s">
        <v>188</v>
      </c>
      <c r="FC323" s="2" t="s">
        <v>395</v>
      </c>
      <c r="FD323" s="2" t="s">
        <v>188</v>
      </c>
      <c r="FH323" s="2" t="s">
        <v>188</v>
      </c>
      <c r="FJ323" s="2" t="s">
        <v>188</v>
      </c>
      <c r="FK323" s="2" t="s">
        <v>188</v>
      </c>
      <c r="FN323" s="2" t="s">
        <v>488</v>
      </c>
      <c r="FR323" s="2" t="s">
        <v>2188</v>
      </c>
      <c r="FT323" s="2" t="s">
        <v>233</v>
      </c>
      <c r="FU323" s="2" t="s">
        <v>233</v>
      </c>
      <c r="FV323" s="2" t="s">
        <v>233</v>
      </c>
      <c r="FW323" s="2" t="s">
        <v>233</v>
      </c>
    </row>
    <row r="324" spans="1:182">
      <c r="A324" s="2" t="s">
        <v>2189</v>
      </c>
      <c r="D324" s="6">
        <v>46034.674120370371</v>
      </c>
      <c r="E324" s="2" t="s">
        <v>177</v>
      </c>
      <c r="F324" s="2" t="s">
        <v>178</v>
      </c>
      <c r="G324" s="2" t="s">
        <v>1965</v>
      </c>
      <c r="H324" s="2" t="s">
        <v>1966</v>
      </c>
      <c r="I324" s="2" t="s">
        <v>2190</v>
      </c>
      <c r="J324" s="2">
        <v>338382158</v>
      </c>
      <c r="K324" s="2" t="s">
        <v>2190</v>
      </c>
      <c r="L324" s="2" t="s">
        <v>182</v>
      </c>
      <c r="M324" s="2" t="s">
        <v>183</v>
      </c>
      <c r="N324" s="2">
        <v>1966</v>
      </c>
      <c r="O324" s="2" t="s">
        <v>224</v>
      </c>
      <c r="P324" s="2" t="s">
        <v>185</v>
      </c>
      <c r="Q324" s="2" t="s">
        <v>186</v>
      </c>
      <c r="R324" s="2" t="s">
        <v>188</v>
      </c>
      <c r="S324" s="2">
        <v>6</v>
      </c>
      <c r="T324" s="2" t="s">
        <v>188</v>
      </c>
      <c r="U324" s="2" t="s">
        <v>188</v>
      </c>
      <c r="Y324" s="2">
        <v>24</v>
      </c>
      <c r="Z324" s="2">
        <v>0.70830000000000004</v>
      </c>
      <c r="AA324" s="2">
        <v>17</v>
      </c>
      <c r="AB324" s="2">
        <v>17</v>
      </c>
      <c r="AC324" s="2">
        <v>17</v>
      </c>
      <c r="AD324" s="2">
        <v>24</v>
      </c>
      <c r="AE324" s="2">
        <v>7</v>
      </c>
      <c r="AF324" s="2" t="s">
        <v>188</v>
      </c>
      <c r="AG324" s="2" t="s">
        <v>188</v>
      </c>
      <c r="AH324" s="2" t="s">
        <v>188</v>
      </c>
      <c r="AJ324" s="2" t="s">
        <v>188</v>
      </c>
      <c r="AK324" s="2" t="s">
        <v>188</v>
      </c>
      <c r="AL324" s="2" t="s">
        <v>188</v>
      </c>
      <c r="AM324" s="2" t="s">
        <v>187</v>
      </c>
      <c r="AN324" s="2" t="s">
        <v>188</v>
      </c>
      <c r="AO324" s="2" t="s">
        <v>188</v>
      </c>
      <c r="AR324" s="2">
        <v>0.24</v>
      </c>
      <c r="AS324" s="2">
        <v>1</v>
      </c>
      <c r="AT324" s="2">
        <v>0.24</v>
      </c>
      <c r="AU324" s="2" t="s">
        <v>238</v>
      </c>
      <c r="AV324" s="2" t="s">
        <v>238</v>
      </c>
      <c r="AW324" s="2" t="s">
        <v>188</v>
      </c>
      <c r="BA324" s="2" t="s">
        <v>188</v>
      </c>
      <c r="BC324" s="2" t="s">
        <v>192</v>
      </c>
      <c r="BD324" s="2" t="s">
        <v>188</v>
      </c>
      <c r="BE324" s="2" t="s">
        <v>188</v>
      </c>
      <c r="BL324" s="2" t="s">
        <v>240</v>
      </c>
      <c r="BO324" s="2" t="s">
        <v>188</v>
      </c>
      <c r="BQ324" s="2" t="s">
        <v>200</v>
      </c>
      <c r="BS324" s="2" t="s">
        <v>187</v>
      </c>
      <c r="BT324" s="2" t="s">
        <v>261</v>
      </c>
      <c r="BV324" s="2" t="s">
        <v>248</v>
      </c>
      <c r="BX324" s="2" t="s">
        <v>188</v>
      </c>
      <c r="BZ324" s="2" t="s">
        <v>203</v>
      </c>
      <c r="CE324" s="2">
        <v>0.24</v>
      </c>
      <c r="CF324" s="2">
        <v>24</v>
      </c>
      <c r="CH324" s="2">
        <v>0</v>
      </c>
      <c r="CI324" s="2">
        <v>0</v>
      </c>
      <c r="CJ324" s="2">
        <v>0</v>
      </c>
      <c r="CK324" s="2">
        <v>100</v>
      </c>
      <c r="CL324" s="2">
        <v>0</v>
      </c>
      <c r="CM324" s="2">
        <v>0</v>
      </c>
      <c r="CO324" s="2">
        <v>100</v>
      </c>
      <c r="CP324" s="2">
        <v>0</v>
      </c>
      <c r="CQ324" s="2">
        <v>0</v>
      </c>
      <c r="CR324" s="2" t="s">
        <v>204</v>
      </c>
      <c r="CT324" s="2" t="s">
        <v>188</v>
      </c>
      <c r="CU324" s="2" t="s">
        <v>205</v>
      </c>
      <c r="CW324" s="2" t="s">
        <v>206</v>
      </c>
      <c r="CY324" s="2" t="s">
        <v>208</v>
      </c>
      <c r="CZ324" s="2" t="s">
        <v>208</v>
      </c>
      <c r="DA324" s="2" t="s">
        <v>208</v>
      </c>
      <c r="DB324" s="2" t="s">
        <v>208</v>
      </c>
      <c r="DC324" s="2" t="s">
        <v>208</v>
      </c>
      <c r="DD324" s="2" t="s">
        <v>208</v>
      </c>
      <c r="DE324" s="2" t="s">
        <v>208</v>
      </c>
      <c r="DF324" s="2" t="s">
        <v>208</v>
      </c>
      <c r="DG324" s="2" t="s">
        <v>208</v>
      </c>
      <c r="DH324" s="2" t="s">
        <v>208</v>
      </c>
      <c r="DI324" s="2" t="s">
        <v>208</v>
      </c>
      <c r="DL324" s="2" t="s">
        <v>188</v>
      </c>
      <c r="DM324" s="2" t="s">
        <v>188</v>
      </c>
      <c r="DP324" s="2" t="s">
        <v>188</v>
      </c>
      <c r="DT324" s="2" t="s">
        <v>209</v>
      </c>
      <c r="DU324" s="2" t="s">
        <v>209</v>
      </c>
      <c r="DV324" s="2" t="s">
        <v>209</v>
      </c>
      <c r="DW324" s="2" t="s">
        <v>209</v>
      </c>
      <c r="DX324" s="2" t="s">
        <v>209</v>
      </c>
      <c r="DY324" s="2" t="s">
        <v>209</v>
      </c>
      <c r="DZ324" s="2" t="s">
        <v>209</v>
      </c>
      <c r="EA324" s="2" t="s">
        <v>209</v>
      </c>
      <c r="EB324" s="2" t="s">
        <v>209</v>
      </c>
      <c r="EE324" s="2" t="s">
        <v>188</v>
      </c>
      <c r="EJ324" s="2" t="s">
        <v>238</v>
      </c>
      <c r="EK324" s="2" t="s">
        <v>188</v>
      </c>
      <c r="EL324" s="2" t="s">
        <v>188</v>
      </c>
      <c r="EN324" s="2" t="s">
        <v>214</v>
      </c>
      <c r="EP324" s="2" t="s">
        <v>230</v>
      </c>
      <c r="ER324" s="2" t="s">
        <v>188</v>
      </c>
      <c r="ET324" s="2" t="s">
        <v>188</v>
      </c>
      <c r="EV324" s="2" t="s">
        <v>188</v>
      </c>
      <c r="EX324" s="2" t="s">
        <v>188</v>
      </c>
      <c r="EZ324" s="2" t="s">
        <v>188</v>
      </c>
      <c r="FC324" s="2" t="s">
        <v>263</v>
      </c>
      <c r="FD324" s="2" t="s">
        <v>188</v>
      </c>
      <c r="FH324" s="2" t="s">
        <v>188</v>
      </c>
      <c r="FJ324" s="2" t="s">
        <v>187</v>
      </c>
      <c r="FK324" s="2" t="s">
        <v>188</v>
      </c>
      <c r="FN324" s="2" t="s">
        <v>218</v>
      </c>
      <c r="FR324" s="2" t="s">
        <v>188</v>
      </c>
      <c r="FT324" s="2" t="s">
        <v>233</v>
      </c>
      <c r="FU324" s="2" t="s">
        <v>233</v>
      </c>
      <c r="FV324" s="2" t="s">
        <v>233</v>
      </c>
      <c r="FW324" s="2" t="s">
        <v>233</v>
      </c>
      <c r="FZ324" s="4">
        <v>46041.608506944445</v>
      </c>
    </row>
    <row r="325" spans="1:182">
      <c r="A325" s="2" t="s">
        <v>2191</v>
      </c>
      <c r="D325" s="6">
        <v>46034.674108796295</v>
      </c>
      <c r="E325" s="2" t="s">
        <v>2192</v>
      </c>
      <c r="F325" s="2" t="s">
        <v>590</v>
      </c>
      <c r="G325" s="2" t="s">
        <v>1965</v>
      </c>
      <c r="H325" s="2" t="s">
        <v>1966</v>
      </c>
      <c r="I325" s="2" t="s">
        <v>2193</v>
      </c>
      <c r="J325" s="2">
        <v>989646776</v>
      </c>
      <c r="K325" s="2" t="s">
        <v>2193</v>
      </c>
      <c r="L325" s="2" t="s">
        <v>182</v>
      </c>
      <c r="M325" s="2" t="s">
        <v>183</v>
      </c>
      <c r="N325" s="2">
        <v>1988</v>
      </c>
      <c r="O325" s="2" t="s">
        <v>224</v>
      </c>
      <c r="P325" s="2" t="s">
        <v>185</v>
      </c>
      <c r="Q325" s="2" t="s">
        <v>186</v>
      </c>
      <c r="R325" s="2" t="s">
        <v>188</v>
      </c>
      <c r="S325" s="2">
        <v>30</v>
      </c>
      <c r="T325" s="2" t="s">
        <v>188</v>
      </c>
      <c r="U325" s="2" t="s">
        <v>188</v>
      </c>
      <c r="Y325" s="2">
        <v>22</v>
      </c>
      <c r="Z325" s="2">
        <v>1</v>
      </c>
      <c r="AA325" s="2">
        <v>22</v>
      </c>
      <c r="AB325" s="2">
        <v>22</v>
      </c>
      <c r="AC325" s="2">
        <v>22</v>
      </c>
      <c r="AD325" s="2">
        <v>72</v>
      </c>
      <c r="AE325" s="2">
        <v>50</v>
      </c>
      <c r="AF325" s="2" t="s">
        <v>188</v>
      </c>
      <c r="AG325" s="2" t="s">
        <v>188</v>
      </c>
      <c r="AH325" s="2" t="s">
        <v>188</v>
      </c>
      <c r="AJ325" s="2" t="s">
        <v>188</v>
      </c>
      <c r="AK325" s="2" t="s">
        <v>188</v>
      </c>
      <c r="AL325" s="2" t="s">
        <v>188</v>
      </c>
      <c r="AM325" s="2" t="s">
        <v>188</v>
      </c>
      <c r="AN325" s="2" t="s">
        <v>188</v>
      </c>
      <c r="AO325" s="2" t="s">
        <v>188</v>
      </c>
      <c r="AR325" s="2">
        <v>2</v>
      </c>
      <c r="AS325" s="2">
        <v>3</v>
      </c>
      <c r="AT325" s="2">
        <v>0.6</v>
      </c>
      <c r="AU325" s="2" t="s">
        <v>238</v>
      </c>
      <c r="AV325" s="2" t="s">
        <v>189</v>
      </c>
      <c r="AW325" s="2" t="s">
        <v>188</v>
      </c>
      <c r="AZ325" s="2" t="s">
        <v>190</v>
      </c>
      <c r="BB325" s="2" t="s">
        <v>260</v>
      </c>
      <c r="BC325" s="2" t="s">
        <v>192</v>
      </c>
      <c r="BD325" s="2" t="s">
        <v>188</v>
      </c>
      <c r="BE325" s="2" t="s">
        <v>187</v>
      </c>
      <c r="BF325" s="2" t="s">
        <v>193</v>
      </c>
      <c r="BG325" s="2" t="s">
        <v>194</v>
      </c>
      <c r="BH325" s="2" t="s">
        <v>297</v>
      </c>
      <c r="BI325" s="2" t="s">
        <v>196</v>
      </c>
      <c r="BL325" s="2" t="s">
        <v>197</v>
      </c>
      <c r="BM325" s="2" t="s">
        <v>507</v>
      </c>
      <c r="BN325" s="2" t="s">
        <v>199</v>
      </c>
      <c r="BO325" s="2" t="s">
        <v>188</v>
      </c>
      <c r="BQ325" s="2" t="s">
        <v>227</v>
      </c>
      <c r="BS325" s="2" t="s">
        <v>187</v>
      </c>
      <c r="BT325" s="2" t="s">
        <v>594</v>
      </c>
      <c r="BV325" s="2" t="s">
        <v>242</v>
      </c>
      <c r="BX325" s="2" t="s">
        <v>188</v>
      </c>
      <c r="BZ325" s="2" t="s">
        <v>203</v>
      </c>
      <c r="CE325" s="2">
        <v>0.6</v>
      </c>
      <c r="CF325" s="2">
        <v>72</v>
      </c>
      <c r="CK325" s="2">
        <v>100</v>
      </c>
      <c r="CO325" s="2">
        <v>100</v>
      </c>
      <c r="CR325" s="2" t="s">
        <v>204</v>
      </c>
      <c r="CT325" s="2" t="s">
        <v>188</v>
      </c>
      <c r="CU325" s="2" t="s">
        <v>758</v>
      </c>
      <c r="CW325" s="2" t="s">
        <v>206</v>
      </c>
      <c r="CY325" s="2" t="s">
        <v>273</v>
      </c>
      <c r="CZ325" s="2" t="s">
        <v>300</v>
      </c>
      <c r="DA325" s="2" t="s">
        <v>300</v>
      </c>
      <c r="DB325" s="2" t="s">
        <v>300</v>
      </c>
      <c r="DC325" s="2" t="s">
        <v>300</v>
      </c>
      <c r="DD325" s="2" t="s">
        <v>300</v>
      </c>
      <c r="DE325" s="2" t="s">
        <v>300</v>
      </c>
      <c r="DF325" s="2" t="s">
        <v>273</v>
      </c>
      <c r="DG325" s="2" t="s">
        <v>273</v>
      </c>
      <c r="DH325" s="2" t="s">
        <v>273</v>
      </c>
      <c r="DI325" s="2" t="s">
        <v>273</v>
      </c>
      <c r="DL325" s="2" t="s">
        <v>188</v>
      </c>
      <c r="DM325" s="2" t="s">
        <v>187</v>
      </c>
      <c r="DN325" s="2" t="s">
        <v>187</v>
      </c>
      <c r="DO325" s="2" t="s">
        <v>187</v>
      </c>
      <c r="DP325" s="2" t="s">
        <v>209</v>
      </c>
      <c r="DQ325" s="2" t="s">
        <v>467</v>
      </c>
      <c r="DR325" s="2" t="s">
        <v>1998</v>
      </c>
      <c r="DT325" s="2" t="s">
        <v>209</v>
      </c>
      <c r="DU325" s="2" t="s">
        <v>209</v>
      </c>
      <c r="DV325" s="2" t="s">
        <v>209</v>
      </c>
      <c r="DW325" s="2" t="s">
        <v>209</v>
      </c>
      <c r="DX325" s="2" t="s">
        <v>209</v>
      </c>
      <c r="DY325" s="2" t="s">
        <v>203</v>
      </c>
      <c r="DZ325" s="2" t="s">
        <v>203</v>
      </c>
      <c r="EA325" s="2" t="s">
        <v>203</v>
      </c>
      <c r="EB325" s="2" t="s">
        <v>209</v>
      </c>
      <c r="EC325" s="2" t="s">
        <v>188</v>
      </c>
      <c r="EF325" s="2" t="s">
        <v>211</v>
      </c>
      <c r="EG325" s="2" t="s">
        <v>985</v>
      </c>
      <c r="EJ325" s="2" t="s">
        <v>203</v>
      </c>
      <c r="EK325" s="2" t="s">
        <v>188</v>
      </c>
      <c r="EL325" s="2" t="s">
        <v>188</v>
      </c>
      <c r="EN325" s="2" t="s">
        <v>255</v>
      </c>
      <c r="EP325" s="2" t="s">
        <v>230</v>
      </c>
      <c r="ER325" s="2" t="s">
        <v>188</v>
      </c>
      <c r="ET325" s="2" t="s">
        <v>188</v>
      </c>
      <c r="EV325" s="2" t="s">
        <v>188</v>
      </c>
      <c r="EX325" s="2" t="s">
        <v>188</v>
      </c>
      <c r="EZ325" s="2" t="s">
        <v>188</v>
      </c>
      <c r="FC325" s="2" t="s">
        <v>263</v>
      </c>
      <c r="FD325" s="2" t="s">
        <v>188</v>
      </c>
      <c r="FH325" s="2" t="s">
        <v>188</v>
      </c>
      <c r="FJ325" s="2" t="s">
        <v>188</v>
      </c>
      <c r="FK325" s="2" t="s">
        <v>188</v>
      </c>
      <c r="FN325" s="2" t="s">
        <v>432</v>
      </c>
      <c r="FR325" s="2" t="s">
        <v>2194</v>
      </c>
      <c r="FT325" s="2" t="s">
        <v>233</v>
      </c>
      <c r="FU325" s="2" t="s">
        <v>233</v>
      </c>
      <c r="FV325" s="2" t="s">
        <v>233</v>
      </c>
      <c r="FW325" s="2" t="s">
        <v>233</v>
      </c>
      <c r="FZ325" s="4">
        <v>46040.893564814818</v>
      </c>
    </row>
    <row r="326" spans="1:182">
      <c r="A326" s="2" t="s">
        <v>2195</v>
      </c>
      <c r="D326" s="6">
        <v>46034.674710648149</v>
      </c>
      <c r="E326" s="2" t="s">
        <v>2196</v>
      </c>
      <c r="F326" s="2" t="s">
        <v>398</v>
      </c>
      <c r="G326" s="2" t="s">
        <v>1965</v>
      </c>
      <c r="H326" s="2" t="s">
        <v>2197</v>
      </c>
      <c r="I326" s="2" t="s">
        <v>2198</v>
      </c>
      <c r="J326" s="2">
        <v>987484122</v>
      </c>
      <c r="K326" s="2" t="s">
        <v>2198</v>
      </c>
      <c r="L326" s="2" t="s">
        <v>182</v>
      </c>
      <c r="M326" s="2" t="s">
        <v>183</v>
      </c>
      <c r="N326" s="2">
        <v>1972</v>
      </c>
      <c r="O326" s="2" t="s">
        <v>224</v>
      </c>
      <c r="P326" s="2" t="s">
        <v>185</v>
      </c>
      <c r="Q326" s="2" t="s">
        <v>186</v>
      </c>
      <c r="R326" s="2" t="s">
        <v>188</v>
      </c>
      <c r="S326" s="2">
        <v>29</v>
      </c>
      <c r="T326" s="2" t="s">
        <v>188</v>
      </c>
      <c r="U326" s="2" t="s">
        <v>188</v>
      </c>
      <c r="Y326" s="2">
        <v>450</v>
      </c>
      <c r="Z326" s="2">
        <v>1</v>
      </c>
      <c r="AA326" s="2">
        <v>450</v>
      </c>
      <c r="AB326" s="2">
        <v>450</v>
      </c>
      <c r="AC326" s="2">
        <v>450</v>
      </c>
      <c r="AD326" s="2">
        <v>630</v>
      </c>
      <c r="AE326" s="2">
        <v>180</v>
      </c>
      <c r="AF326" s="2" t="s">
        <v>188</v>
      </c>
      <c r="AG326" s="2" t="s">
        <v>188</v>
      </c>
      <c r="AH326" s="2" t="s">
        <v>188</v>
      </c>
      <c r="AJ326" s="2" t="s">
        <v>188</v>
      </c>
      <c r="AK326" s="2" t="s">
        <v>188</v>
      </c>
      <c r="AL326" s="2" t="s">
        <v>188</v>
      </c>
      <c r="AM326" s="2" t="s">
        <v>188</v>
      </c>
      <c r="AN326" s="2" t="s">
        <v>188</v>
      </c>
      <c r="AO326" s="2" t="s">
        <v>188</v>
      </c>
      <c r="AR326" s="2">
        <v>1.91</v>
      </c>
      <c r="AS326" s="2">
        <v>3</v>
      </c>
      <c r="AT326" s="2">
        <v>6.5</v>
      </c>
      <c r="AU326" s="2" t="s">
        <v>189</v>
      </c>
      <c r="AV326" s="2" t="s">
        <v>189</v>
      </c>
      <c r="AW326" s="2" t="s">
        <v>188</v>
      </c>
      <c r="BC326" s="2" t="s">
        <v>192</v>
      </c>
      <c r="BD326" s="2" t="s">
        <v>187</v>
      </c>
      <c r="BE326" s="2" t="s">
        <v>188</v>
      </c>
      <c r="BL326" s="2" t="s">
        <v>197</v>
      </c>
      <c r="BM326" s="2" t="s">
        <v>198</v>
      </c>
      <c r="BN326" s="2" t="s">
        <v>199</v>
      </c>
      <c r="BO326" s="2" t="s">
        <v>188</v>
      </c>
      <c r="BQ326" s="2" t="s">
        <v>227</v>
      </c>
      <c r="BS326" s="2" t="s">
        <v>187</v>
      </c>
      <c r="BT326" s="2" t="s">
        <v>410</v>
      </c>
      <c r="BV326" s="2" t="s">
        <v>587</v>
      </c>
      <c r="BX326" s="2" t="s">
        <v>187</v>
      </c>
      <c r="BY326" s="2" t="s">
        <v>2199</v>
      </c>
      <c r="BZ326" s="2" t="s">
        <v>203</v>
      </c>
      <c r="CE326" s="2">
        <v>6.5</v>
      </c>
      <c r="CF326" s="2">
        <v>630</v>
      </c>
      <c r="CM326" s="2">
        <v>100</v>
      </c>
      <c r="CP326" s="2">
        <v>100</v>
      </c>
      <c r="CR326" s="2" t="s">
        <v>204</v>
      </c>
      <c r="CT326" s="2" t="s">
        <v>188</v>
      </c>
      <c r="CU326" s="2" t="s">
        <v>205</v>
      </c>
      <c r="CW326" s="2" t="s">
        <v>206</v>
      </c>
      <c r="CY326" s="2" t="s">
        <v>207</v>
      </c>
      <c r="CZ326" s="2" t="s">
        <v>207</v>
      </c>
      <c r="DA326" s="2" t="s">
        <v>300</v>
      </c>
      <c r="DB326" s="2" t="s">
        <v>300</v>
      </c>
      <c r="DC326" s="2" t="s">
        <v>300</v>
      </c>
      <c r="DD326" s="2" t="s">
        <v>300</v>
      </c>
      <c r="DE326" s="2" t="s">
        <v>300</v>
      </c>
      <c r="DF326" s="2" t="s">
        <v>207</v>
      </c>
      <c r="DG326" s="2" t="s">
        <v>207</v>
      </c>
      <c r="DH326" s="2" t="s">
        <v>207</v>
      </c>
      <c r="DI326" s="2" t="s">
        <v>207</v>
      </c>
      <c r="DL326" s="2" t="s">
        <v>187</v>
      </c>
      <c r="DM326" s="2" t="s">
        <v>187</v>
      </c>
      <c r="DN326" s="2" t="s">
        <v>187</v>
      </c>
      <c r="DO326" s="2" t="s">
        <v>187</v>
      </c>
      <c r="DP326" s="2" t="s">
        <v>209</v>
      </c>
      <c r="DQ326" s="2" t="s">
        <v>467</v>
      </c>
      <c r="DR326" s="2" t="s">
        <v>2200</v>
      </c>
      <c r="DT326" s="2" t="s">
        <v>209</v>
      </c>
      <c r="DU326" s="2" t="s">
        <v>209</v>
      </c>
      <c r="DV326" s="2" t="s">
        <v>209</v>
      </c>
      <c r="DW326" s="2" t="s">
        <v>209</v>
      </c>
      <c r="DX326" s="2" t="s">
        <v>209</v>
      </c>
      <c r="DY326" s="2" t="s">
        <v>209</v>
      </c>
      <c r="DZ326" s="2" t="s">
        <v>203</v>
      </c>
      <c r="EA326" s="2" t="s">
        <v>209</v>
      </c>
      <c r="EB326" s="2" t="s">
        <v>209</v>
      </c>
      <c r="EC326" s="2" t="s">
        <v>188</v>
      </c>
      <c r="EF326" s="2" t="s">
        <v>189</v>
      </c>
      <c r="EG326" s="2" t="s">
        <v>1896</v>
      </c>
      <c r="EJ326" s="2" t="s">
        <v>189</v>
      </c>
      <c r="EK326" s="2" t="s">
        <v>187</v>
      </c>
      <c r="EL326" s="2" t="s">
        <v>187</v>
      </c>
      <c r="EM326" s="2" t="s">
        <v>690</v>
      </c>
      <c r="EN326" s="2" t="s">
        <v>214</v>
      </c>
      <c r="EP326" s="2" t="s">
        <v>230</v>
      </c>
      <c r="ER326" s="2" t="s">
        <v>187</v>
      </c>
      <c r="ET326" s="2" t="s">
        <v>188</v>
      </c>
      <c r="EV326" s="2" t="s">
        <v>187</v>
      </c>
      <c r="EW326" s="2" t="s">
        <v>189</v>
      </c>
      <c r="EX326" s="2" t="s">
        <v>188</v>
      </c>
      <c r="EZ326" s="2" t="s">
        <v>188</v>
      </c>
      <c r="FC326" s="2" t="s">
        <v>216</v>
      </c>
      <c r="FD326" s="2" t="s">
        <v>188</v>
      </c>
      <c r="FH326" s="2" t="s">
        <v>188</v>
      </c>
      <c r="FJ326" s="2" t="s">
        <v>188</v>
      </c>
      <c r="FK326" s="2" t="s">
        <v>203</v>
      </c>
      <c r="FN326" s="2" t="s">
        <v>432</v>
      </c>
      <c r="FR326" s="2" t="s">
        <v>2201</v>
      </c>
      <c r="FT326" s="2" t="s">
        <v>219</v>
      </c>
      <c r="FU326" s="2" t="s">
        <v>233</v>
      </c>
      <c r="FV326" s="2" t="s">
        <v>219</v>
      </c>
      <c r="FW326" s="2" t="s">
        <v>219</v>
      </c>
      <c r="FX326" s="2" t="s">
        <v>233</v>
      </c>
      <c r="FY326" s="2" t="s">
        <v>2202</v>
      </c>
      <c r="FZ326" s="4">
        <v>46039.892268518517</v>
      </c>
    </row>
    <row r="327" spans="1:182">
      <c r="A327" s="2" t="s">
        <v>2203</v>
      </c>
      <c r="D327" s="6">
        <v>46034.676863425928</v>
      </c>
      <c r="E327" s="2" t="s">
        <v>2204</v>
      </c>
      <c r="F327" s="2" t="s">
        <v>425</v>
      </c>
      <c r="G327" s="2" t="s">
        <v>1965</v>
      </c>
      <c r="H327" s="2" t="s">
        <v>2205</v>
      </c>
      <c r="I327" s="2" t="s">
        <v>2206</v>
      </c>
      <c r="K327" s="2" t="s">
        <v>2206</v>
      </c>
      <c r="L327" s="2" t="s">
        <v>352</v>
      </c>
      <c r="M327" s="2" t="s">
        <v>183</v>
      </c>
      <c r="N327" s="2">
        <v>1954</v>
      </c>
      <c r="O327" s="2" t="s">
        <v>224</v>
      </c>
      <c r="P327" s="2" t="s">
        <v>185</v>
      </c>
      <c r="Q327" s="2" t="s">
        <v>2207</v>
      </c>
      <c r="R327" s="2" t="s">
        <v>188</v>
      </c>
      <c r="S327" s="2">
        <v>28</v>
      </c>
      <c r="T327" s="2" t="s">
        <v>188</v>
      </c>
      <c r="U327" s="2" t="s">
        <v>188</v>
      </c>
      <c r="Y327" s="2">
        <v>1800</v>
      </c>
      <c r="Z327" s="2">
        <v>0.91669999999999996</v>
      </c>
      <c r="AA327" s="2">
        <v>1650</v>
      </c>
      <c r="AB327" s="2">
        <v>1650</v>
      </c>
      <c r="AC327" s="2">
        <v>650</v>
      </c>
      <c r="AD327" s="2">
        <v>1000</v>
      </c>
      <c r="AE327" s="2">
        <v>350</v>
      </c>
      <c r="AF327" s="2" t="s">
        <v>188</v>
      </c>
      <c r="AG327" s="2" t="s">
        <v>187</v>
      </c>
      <c r="AH327" s="2" t="s">
        <v>188</v>
      </c>
      <c r="AJ327" s="2" t="s">
        <v>188</v>
      </c>
      <c r="AK327" s="2" t="s">
        <v>188</v>
      </c>
      <c r="AL327" s="2" t="s">
        <v>187</v>
      </c>
      <c r="AM327" s="2" t="s">
        <v>188</v>
      </c>
      <c r="AN327" s="2" t="s">
        <v>188</v>
      </c>
      <c r="AO327" s="2" t="s">
        <v>187</v>
      </c>
      <c r="AR327" s="2">
        <v>4.5</v>
      </c>
      <c r="AS327" s="2">
        <v>2</v>
      </c>
      <c r="AT327" s="2">
        <v>10</v>
      </c>
      <c r="AU327" s="2" t="s">
        <v>212</v>
      </c>
      <c r="AV327" s="2" t="s">
        <v>189</v>
      </c>
      <c r="AW327" s="2" t="s">
        <v>188</v>
      </c>
      <c r="AZ327" s="2" t="s">
        <v>190</v>
      </c>
      <c r="BB327" s="2" t="s">
        <v>260</v>
      </c>
      <c r="BC327" s="2" t="s">
        <v>296</v>
      </c>
      <c r="BD327" s="2" t="s">
        <v>187</v>
      </c>
      <c r="BE327" s="2" t="s">
        <v>187</v>
      </c>
      <c r="BF327" s="2" t="s">
        <v>193</v>
      </c>
      <c r="BG327" s="2" t="s">
        <v>194</v>
      </c>
      <c r="BH327" s="2" t="s">
        <v>297</v>
      </c>
      <c r="BI327" s="2" t="s">
        <v>333</v>
      </c>
      <c r="BL327" s="2" t="s">
        <v>197</v>
      </c>
      <c r="BM327" s="2" t="s">
        <v>198</v>
      </c>
      <c r="BN327" s="2" t="s">
        <v>199</v>
      </c>
      <c r="BO327" s="2" t="s">
        <v>188</v>
      </c>
      <c r="BQ327" s="2" t="s">
        <v>227</v>
      </c>
      <c r="BS327" s="2" t="s">
        <v>187</v>
      </c>
      <c r="BT327" s="2" t="s">
        <v>241</v>
      </c>
      <c r="BV327" s="2" t="s">
        <v>630</v>
      </c>
      <c r="BX327" s="2" t="s">
        <v>188</v>
      </c>
      <c r="BZ327" s="2" t="s">
        <v>203</v>
      </c>
      <c r="CE327" s="2">
        <v>10</v>
      </c>
      <c r="CF327" s="2">
        <v>1000</v>
      </c>
      <c r="CK327" s="2">
        <v>100</v>
      </c>
      <c r="CO327" s="2">
        <v>100</v>
      </c>
      <c r="CR327" s="2" t="s">
        <v>204</v>
      </c>
      <c r="CT327" s="2" t="s">
        <v>188</v>
      </c>
      <c r="CU327" s="2" t="s">
        <v>205</v>
      </c>
      <c r="CW327" s="2" t="s">
        <v>206</v>
      </c>
      <c r="CY327" s="2" t="s">
        <v>207</v>
      </c>
      <c r="CZ327" s="2" t="s">
        <v>207</v>
      </c>
      <c r="DA327" s="2" t="s">
        <v>430</v>
      </c>
      <c r="DB327" s="2" t="s">
        <v>430</v>
      </c>
      <c r="DC327" s="2" t="s">
        <v>430</v>
      </c>
      <c r="DD327" s="2" t="s">
        <v>430</v>
      </c>
      <c r="DE327" s="2" t="s">
        <v>300</v>
      </c>
      <c r="DF327" s="2" t="s">
        <v>207</v>
      </c>
      <c r="DG327" s="2" t="s">
        <v>207</v>
      </c>
      <c r="DH327" s="2" t="s">
        <v>430</v>
      </c>
      <c r="DI327" s="2" t="s">
        <v>300</v>
      </c>
      <c r="DL327" s="2" t="s">
        <v>187</v>
      </c>
      <c r="DM327" s="2" t="s">
        <v>187</v>
      </c>
      <c r="DN327" s="2" t="s">
        <v>187</v>
      </c>
      <c r="DO327" s="2" t="s">
        <v>187</v>
      </c>
      <c r="DP327" s="2" t="s">
        <v>209</v>
      </c>
      <c r="DQ327" s="2" t="s">
        <v>467</v>
      </c>
      <c r="DR327" s="2" t="s">
        <v>2208</v>
      </c>
      <c r="DT327" s="2" t="s">
        <v>209</v>
      </c>
      <c r="DU327" s="2" t="s">
        <v>209</v>
      </c>
      <c r="DV327" s="2" t="s">
        <v>209</v>
      </c>
      <c r="DW327" s="2" t="s">
        <v>209</v>
      </c>
      <c r="DX327" s="2" t="s">
        <v>209</v>
      </c>
      <c r="DY327" s="2" t="s">
        <v>209</v>
      </c>
      <c r="DZ327" s="2" t="s">
        <v>209</v>
      </c>
      <c r="EA327" s="2" t="s">
        <v>209</v>
      </c>
      <c r="EB327" s="2" t="s">
        <v>209</v>
      </c>
      <c r="EC327" s="2" t="s">
        <v>188</v>
      </c>
      <c r="EF327" s="2" t="s">
        <v>189</v>
      </c>
      <c r="EJ327" s="2" t="s">
        <v>238</v>
      </c>
      <c r="EK327" s="2" t="s">
        <v>188</v>
      </c>
      <c r="EL327" s="2" t="s">
        <v>188</v>
      </c>
      <c r="EN327" s="2" t="s">
        <v>255</v>
      </c>
      <c r="EP327" s="2" t="s">
        <v>230</v>
      </c>
      <c r="ER327" s="2" t="s">
        <v>188</v>
      </c>
      <c r="ET327" s="2" t="s">
        <v>188</v>
      </c>
      <c r="EV327" s="2" t="s">
        <v>188</v>
      </c>
      <c r="EX327" s="2" t="s">
        <v>188</v>
      </c>
      <c r="EZ327" s="2" t="s">
        <v>188</v>
      </c>
      <c r="FC327" s="2" t="s">
        <v>263</v>
      </c>
      <c r="FD327" s="2" t="s">
        <v>188</v>
      </c>
      <c r="FH327" s="2" t="s">
        <v>188</v>
      </c>
      <c r="FJ327" s="2" t="s">
        <v>188</v>
      </c>
      <c r="FK327" s="2" t="s">
        <v>188</v>
      </c>
      <c r="FR327" s="2" t="s">
        <v>498</v>
      </c>
      <c r="FT327" s="2" t="s">
        <v>490</v>
      </c>
      <c r="FU327" s="2" t="s">
        <v>233</v>
      </c>
      <c r="FV327" s="2" t="s">
        <v>233</v>
      </c>
      <c r="FW327" s="2" t="s">
        <v>490</v>
      </c>
      <c r="FZ327" s="4">
        <v>46038.696875000001</v>
      </c>
    </row>
    <row r="328" spans="1:182">
      <c r="A328" s="2" t="s">
        <v>2209</v>
      </c>
      <c r="D328" s="6">
        <v>46034.678530092591</v>
      </c>
      <c r="E328" s="2" t="s">
        <v>177</v>
      </c>
      <c r="F328" s="2" t="s">
        <v>293</v>
      </c>
      <c r="G328" s="2" t="s">
        <v>1965</v>
      </c>
      <c r="H328" s="2" t="s">
        <v>2205</v>
      </c>
      <c r="I328" s="2" t="s">
        <v>2210</v>
      </c>
      <c r="J328" s="2">
        <v>399840605</v>
      </c>
      <c r="K328" s="2" t="s">
        <v>2210</v>
      </c>
      <c r="L328" s="2" t="s">
        <v>182</v>
      </c>
      <c r="M328" s="2" t="s">
        <v>183</v>
      </c>
      <c r="N328" s="2">
        <v>1965</v>
      </c>
      <c r="O328" s="2" t="s">
        <v>224</v>
      </c>
      <c r="P328" s="2" t="s">
        <v>185</v>
      </c>
      <c r="Q328" s="2" t="s">
        <v>186</v>
      </c>
      <c r="R328" s="2" t="s">
        <v>188</v>
      </c>
      <c r="S328" s="2">
        <v>2000</v>
      </c>
      <c r="T328" s="2" t="s">
        <v>188</v>
      </c>
      <c r="U328" s="2" t="s">
        <v>188</v>
      </c>
      <c r="Y328" s="2">
        <v>540</v>
      </c>
      <c r="Z328" s="2">
        <v>0.92589999999999995</v>
      </c>
      <c r="AA328" s="2">
        <v>500</v>
      </c>
      <c r="AB328" s="2">
        <v>500</v>
      </c>
      <c r="AC328" s="2">
        <v>300</v>
      </c>
      <c r="AD328" s="2">
        <v>350</v>
      </c>
      <c r="AE328" s="2">
        <v>50</v>
      </c>
      <c r="AF328" s="2" t="s">
        <v>188</v>
      </c>
      <c r="AG328" s="2" t="s">
        <v>187</v>
      </c>
      <c r="AH328" s="2" t="s">
        <v>187</v>
      </c>
      <c r="AI328" s="2" t="s">
        <v>2211</v>
      </c>
      <c r="AJ328" s="2" t="s">
        <v>188</v>
      </c>
      <c r="AK328" s="2" t="s">
        <v>188</v>
      </c>
      <c r="AL328" s="2" t="s">
        <v>187</v>
      </c>
      <c r="AN328" s="2" t="s">
        <v>188</v>
      </c>
      <c r="AO328" s="2" t="s">
        <v>188</v>
      </c>
      <c r="AR328" s="2">
        <v>1</v>
      </c>
      <c r="AS328" s="2">
        <v>1</v>
      </c>
      <c r="AT328" s="2">
        <v>3.5</v>
      </c>
      <c r="AU328" s="2" t="s">
        <v>189</v>
      </c>
      <c r="AV328" s="2" t="s">
        <v>189</v>
      </c>
      <c r="AW328" s="2" t="s">
        <v>188</v>
      </c>
      <c r="AZ328" s="2" t="s">
        <v>190</v>
      </c>
      <c r="BB328" s="2" t="s">
        <v>260</v>
      </c>
      <c r="BC328" s="2" t="s">
        <v>192</v>
      </c>
      <c r="BD328" s="2" t="s">
        <v>187</v>
      </c>
      <c r="BE328" s="2" t="s">
        <v>187</v>
      </c>
      <c r="BF328" s="2" t="s">
        <v>193</v>
      </c>
      <c r="BG328" s="2" t="s">
        <v>194</v>
      </c>
      <c r="BH328" s="2" t="s">
        <v>297</v>
      </c>
      <c r="BI328" s="2" t="s">
        <v>196</v>
      </c>
      <c r="BL328" s="2" t="s">
        <v>197</v>
      </c>
      <c r="BM328" s="2" t="s">
        <v>198</v>
      </c>
      <c r="BN328" s="2" t="s">
        <v>199</v>
      </c>
      <c r="BO328" s="2" t="s">
        <v>188</v>
      </c>
      <c r="BQ328" s="2" t="s">
        <v>309</v>
      </c>
      <c r="BS328" s="2" t="s">
        <v>187</v>
      </c>
      <c r="BT328" s="2" t="s">
        <v>261</v>
      </c>
      <c r="BV328" s="2" t="s">
        <v>325</v>
      </c>
      <c r="BX328" s="2" t="s">
        <v>187</v>
      </c>
      <c r="BY328" s="2" t="s">
        <v>310</v>
      </c>
      <c r="BZ328" s="2" t="s">
        <v>188</v>
      </c>
      <c r="CE328" s="2">
        <v>3.5</v>
      </c>
      <c r="CF328" s="2">
        <v>345</v>
      </c>
      <c r="CK328" s="2">
        <v>100</v>
      </c>
      <c r="CO328" s="2">
        <v>100</v>
      </c>
      <c r="CR328" s="2" t="s">
        <v>204</v>
      </c>
      <c r="CT328" s="2" t="s">
        <v>188</v>
      </c>
      <c r="CU328" s="2" t="s">
        <v>205</v>
      </c>
      <c r="CW328" s="2" t="s">
        <v>206</v>
      </c>
      <c r="CY328" s="2" t="s">
        <v>273</v>
      </c>
      <c r="CZ328" s="2" t="s">
        <v>273</v>
      </c>
      <c r="DA328" s="2" t="s">
        <v>207</v>
      </c>
      <c r="DB328" s="2" t="s">
        <v>301</v>
      </c>
      <c r="DC328" s="2" t="s">
        <v>299</v>
      </c>
      <c r="DD328" s="2" t="s">
        <v>301</v>
      </c>
      <c r="DE328" s="2" t="s">
        <v>299</v>
      </c>
      <c r="DF328" s="2" t="s">
        <v>207</v>
      </c>
      <c r="DG328" s="2" t="s">
        <v>208</v>
      </c>
      <c r="DH328" s="2" t="s">
        <v>208</v>
      </c>
      <c r="DI328" s="2" t="s">
        <v>208</v>
      </c>
      <c r="DL328" s="2" t="s">
        <v>187</v>
      </c>
      <c r="DM328" s="2" t="s">
        <v>187</v>
      </c>
      <c r="DN328" s="2" t="s">
        <v>187</v>
      </c>
      <c r="DO328" s="2" t="s">
        <v>187</v>
      </c>
      <c r="DP328" s="2" t="s">
        <v>209</v>
      </c>
      <c r="DQ328" s="2" t="s">
        <v>210</v>
      </c>
      <c r="DT328" s="2" t="s">
        <v>209</v>
      </c>
      <c r="DU328" s="2" t="s">
        <v>209</v>
      </c>
      <c r="DV328" s="2" t="s">
        <v>209</v>
      </c>
      <c r="DW328" s="2" t="s">
        <v>209</v>
      </c>
      <c r="DX328" s="2" t="s">
        <v>209</v>
      </c>
      <c r="DY328" s="2" t="s">
        <v>203</v>
      </c>
      <c r="DZ328" s="2" t="s">
        <v>203</v>
      </c>
      <c r="EA328" s="2" t="s">
        <v>209</v>
      </c>
      <c r="EB328" s="2" t="s">
        <v>209</v>
      </c>
      <c r="EC328" s="2" t="s">
        <v>203</v>
      </c>
      <c r="EF328" s="2" t="s">
        <v>211</v>
      </c>
      <c r="EJ328" s="2" t="s">
        <v>189</v>
      </c>
      <c r="EK328" s="2" t="s">
        <v>188</v>
      </c>
      <c r="EL328" s="2" t="s">
        <v>188</v>
      </c>
      <c r="EN328" s="2" t="s">
        <v>214</v>
      </c>
      <c r="EP328" s="2" t="s">
        <v>230</v>
      </c>
      <c r="ER328" s="2" t="s">
        <v>187</v>
      </c>
      <c r="ET328" s="2" t="s">
        <v>188</v>
      </c>
      <c r="EV328" s="2" t="s">
        <v>187</v>
      </c>
      <c r="EW328" s="2" t="s">
        <v>189</v>
      </c>
      <c r="EX328" s="2" t="s">
        <v>188</v>
      </c>
      <c r="FC328" s="2" t="s">
        <v>216</v>
      </c>
      <c r="FH328" s="2" t="s">
        <v>188</v>
      </c>
      <c r="FJ328" s="2" t="s">
        <v>187</v>
      </c>
      <c r="FK328" s="2" t="s">
        <v>209</v>
      </c>
      <c r="FL328" s="2" t="s">
        <v>319</v>
      </c>
      <c r="FN328" s="2" t="s">
        <v>304</v>
      </c>
      <c r="FT328" s="2" t="s">
        <v>219</v>
      </c>
      <c r="FU328" s="2" t="s">
        <v>233</v>
      </c>
      <c r="FV328" s="2" t="s">
        <v>233</v>
      </c>
      <c r="FW328" s="2" t="s">
        <v>233</v>
      </c>
      <c r="FZ328" s="4">
        <v>46039.917534722219</v>
      </c>
    </row>
    <row r="329" spans="1:182">
      <c r="A329" s="2" t="s">
        <v>2212</v>
      </c>
      <c r="D329" s="6">
        <v>46034.698125000003</v>
      </c>
      <c r="E329" s="2" t="s">
        <v>2213</v>
      </c>
      <c r="F329" s="2" t="s">
        <v>480</v>
      </c>
      <c r="G329" s="2" t="s">
        <v>1965</v>
      </c>
      <c r="H329" s="2" t="s">
        <v>2214</v>
      </c>
      <c r="I329" s="2" t="s">
        <v>2215</v>
      </c>
      <c r="J329" s="2">
        <v>353147774</v>
      </c>
      <c r="K329" s="2" t="s">
        <v>2216</v>
      </c>
      <c r="L329" s="2" t="s">
        <v>182</v>
      </c>
      <c r="M329" s="2" t="s">
        <v>183</v>
      </c>
      <c r="N329" s="2">
        <v>1987</v>
      </c>
      <c r="O329" s="2" t="s">
        <v>834</v>
      </c>
      <c r="P329" s="2" t="s">
        <v>185</v>
      </c>
      <c r="Q329" s="2" t="s">
        <v>270</v>
      </c>
      <c r="R329" s="2" t="s">
        <v>188</v>
      </c>
      <c r="S329" s="2">
        <v>21</v>
      </c>
      <c r="T329" s="2" t="s">
        <v>188</v>
      </c>
      <c r="U329" s="2" t="s">
        <v>188</v>
      </c>
      <c r="Y329" s="2">
        <v>89</v>
      </c>
      <c r="Z329" s="2">
        <v>1</v>
      </c>
      <c r="AA329" s="2">
        <v>89</v>
      </c>
      <c r="AB329" s="2">
        <v>89</v>
      </c>
      <c r="AC329" s="2">
        <v>89</v>
      </c>
      <c r="AD329" s="2">
        <v>147</v>
      </c>
      <c r="AE329" s="2">
        <v>58</v>
      </c>
      <c r="AF329" s="2" t="s">
        <v>188</v>
      </c>
      <c r="AG329" s="2" t="s">
        <v>188</v>
      </c>
      <c r="AH329" s="2" t="s">
        <v>188</v>
      </c>
      <c r="AJ329" s="2" t="s">
        <v>188</v>
      </c>
      <c r="AK329" s="2" t="s">
        <v>188</v>
      </c>
      <c r="AL329" s="2" t="s">
        <v>188</v>
      </c>
      <c r="AM329" s="2" t="s">
        <v>188</v>
      </c>
      <c r="AN329" s="2" t="s">
        <v>188</v>
      </c>
      <c r="AO329" s="2" t="s">
        <v>188</v>
      </c>
      <c r="AR329" s="2">
        <v>1.1000000000000001</v>
      </c>
      <c r="AS329" s="2">
        <v>2</v>
      </c>
      <c r="AT329" s="2">
        <v>1.5</v>
      </c>
      <c r="AZ329" s="2" t="s">
        <v>380</v>
      </c>
      <c r="BB329" s="2" t="s">
        <v>191</v>
      </c>
      <c r="BC329" s="2" t="s">
        <v>296</v>
      </c>
      <c r="BD329" s="2" t="s">
        <v>187</v>
      </c>
      <c r="BE329" s="2" t="s">
        <v>187</v>
      </c>
      <c r="BF329" s="2" t="s">
        <v>193</v>
      </c>
      <c r="BG329" s="2" t="s">
        <v>194</v>
      </c>
      <c r="BH329" s="2" t="s">
        <v>195</v>
      </c>
      <c r="BI329" s="2" t="s">
        <v>196</v>
      </c>
      <c r="BL329" s="2" t="s">
        <v>240</v>
      </c>
      <c r="BO329" s="2" t="s">
        <v>188</v>
      </c>
      <c r="BQ329" s="2" t="s">
        <v>227</v>
      </c>
      <c r="BS329" s="2" t="s">
        <v>187</v>
      </c>
      <c r="BT329" s="2" t="s">
        <v>484</v>
      </c>
      <c r="BV329" s="2" t="s">
        <v>2184</v>
      </c>
      <c r="BX329" s="2" t="s">
        <v>187</v>
      </c>
      <c r="BY329" s="2" t="s">
        <v>2217</v>
      </c>
      <c r="BZ329" s="2" t="s">
        <v>209</v>
      </c>
      <c r="CA329" s="2" t="s">
        <v>2218</v>
      </c>
      <c r="CE329" s="2">
        <v>1.5</v>
      </c>
      <c r="CF329" s="2">
        <v>147</v>
      </c>
      <c r="CM329" s="2">
        <v>100</v>
      </c>
      <c r="CO329" s="2">
        <v>100</v>
      </c>
      <c r="CR329" s="2" t="s">
        <v>511</v>
      </c>
      <c r="CT329" s="2" t="s">
        <v>188</v>
      </c>
      <c r="CU329" s="2" t="s">
        <v>205</v>
      </c>
      <c r="CW329" s="2" t="s">
        <v>206</v>
      </c>
      <c r="CY329" s="2" t="s">
        <v>273</v>
      </c>
      <c r="CZ329" s="2" t="s">
        <v>273</v>
      </c>
      <c r="DA329" s="2" t="s">
        <v>299</v>
      </c>
      <c r="DB329" s="2" t="s">
        <v>273</v>
      </c>
      <c r="DC329" s="2" t="s">
        <v>299</v>
      </c>
      <c r="DD329" s="2" t="s">
        <v>299</v>
      </c>
      <c r="DE329" s="2" t="s">
        <v>299</v>
      </c>
      <c r="DF329" s="2" t="s">
        <v>273</v>
      </c>
      <c r="DG329" s="2" t="s">
        <v>273</v>
      </c>
      <c r="DH329" s="2" t="s">
        <v>273</v>
      </c>
      <c r="DI329" s="2" t="s">
        <v>273</v>
      </c>
      <c r="DL329" s="2" t="s">
        <v>187</v>
      </c>
      <c r="DM329" s="2" t="s">
        <v>187</v>
      </c>
      <c r="DN329" s="2" t="s">
        <v>187</v>
      </c>
      <c r="DO329" s="2" t="s">
        <v>187</v>
      </c>
      <c r="DP329" s="2" t="s">
        <v>209</v>
      </c>
      <c r="DQ329" s="2" t="s">
        <v>467</v>
      </c>
      <c r="DR329" s="2" t="s">
        <v>2219</v>
      </c>
      <c r="DT329" s="2" t="s">
        <v>209</v>
      </c>
      <c r="DU329" s="2" t="s">
        <v>209</v>
      </c>
      <c r="DV329" s="2" t="s">
        <v>209</v>
      </c>
      <c r="DW329" s="2" t="s">
        <v>209</v>
      </c>
      <c r="DX329" s="2" t="s">
        <v>209</v>
      </c>
      <c r="DY329" s="2" t="s">
        <v>209</v>
      </c>
      <c r="DZ329" s="2" t="s">
        <v>203</v>
      </c>
      <c r="EA329" s="2" t="s">
        <v>203</v>
      </c>
      <c r="EB329" s="2" t="s">
        <v>209</v>
      </c>
      <c r="EF329" s="2" t="s">
        <v>211</v>
      </c>
      <c r="EG329" s="2" t="s">
        <v>885</v>
      </c>
      <c r="EJ329" s="2" t="s">
        <v>238</v>
      </c>
      <c r="EK329" s="2" t="s">
        <v>187</v>
      </c>
      <c r="EL329" s="2" t="s">
        <v>188</v>
      </c>
      <c r="EN329" s="2" t="s">
        <v>214</v>
      </c>
      <c r="EP329" s="2" t="s">
        <v>230</v>
      </c>
      <c r="ER329" s="2" t="s">
        <v>187</v>
      </c>
      <c r="ET329" s="2" t="s">
        <v>188</v>
      </c>
      <c r="EV329" s="2" t="s">
        <v>187</v>
      </c>
      <c r="EW329" s="2" t="s">
        <v>215</v>
      </c>
      <c r="EX329" s="2" t="s">
        <v>188</v>
      </c>
      <c r="EZ329" s="2" t="s">
        <v>188</v>
      </c>
      <c r="FC329" s="2" t="s">
        <v>263</v>
      </c>
      <c r="FD329" s="2" t="s">
        <v>188</v>
      </c>
      <c r="FH329" s="2" t="s">
        <v>188</v>
      </c>
      <c r="FJ329" s="2" t="s">
        <v>188</v>
      </c>
      <c r="FK329" s="2" t="s">
        <v>188</v>
      </c>
      <c r="FL329" s="2" t="s">
        <v>2220</v>
      </c>
      <c r="FN329" s="2" t="s">
        <v>488</v>
      </c>
      <c r="FR329" s="2" t="s">
        <v>2221</v>
      </c>
      <c r="FT329" s="2" t="s">
        <v>233</v>
      </c>
      <c r="FU329" s="2" t="s">
        <v>233</v>
      </c>
      <c r="FV329" s="2" t="s">
        <v>233</v>
      </c>
      <c r="FW329" s="2" t="s">
        <v>233</v>
      </c>
      <c r="FZ329" s="4">
        <v>46043.722199074073</v>
      </c>
    </row>
    <row r="330" spans="1:182">
      <c r="A330" s="2" t="s">
        <v>2222</v>
      </c>
      <c r="D330" s="6">
        <v>46034.698854166665</v>
      </c>
      <c r="E330" s="2" t="s">
        <v>2223</v>
      </c>
      <c r="F330" s="2" t="s">
        <v>590</v>
      </c>
      <c r="G330" s="2" t="s">
        <v>1965</v>
      </c>
      <c r="H330" s="2" t="s">
        <v>1966</v>
      </c>
      <c r="I330" s="2" t="s">
        <v>2224</v>
      </c>
      <c r="J330" s="2">
        <v>363649837</v>
      </c>
      <c r="K330" s="2" t="s">
        <v>2225</v>
      </c>
      <c r="L330" s="2" t="s">
        <v>182</v>
      </c>
      <c r="M330" s="2" t="s">
        <v>223</v>
      </c>
      <c r="N330" s="2">
        <v>1976</v>
      </c>
      <c r="O330" s="2" t="s">
        <v>224</v>
      </c>
      <c r="P330" s="2" t="s">
        <v>225</v>
      </c>
      <c r="Q330" s="2" t="s">
        <v>270</v>
      </c>
      <c r="R330" s="2" t="s">
        <v>188</v>
      </c>
      <c r="S330" s="2">
        <v>27</v>
      </c>
      <c r="T330" s="2" t="s">
        <v>188</v>
      </c>
      <c r="U330" s="2" t="s">
        <v>188</v>
      </c>
      <c r="Y330" s="2">
        <v>200</v>
      </c>
      <c r="Z330" s="2">
        <v>0.75</v>
      </c>
      <c r="AA330" s="2">
        <v>150</v>
      </c>
      <c r="AB330" s="2">
        <v>150</v>
      </c>
      <c r="AC330" s="2">
        <v>150</v>
      </c>
      <c r="AD330" s="2">
        <v>250</v>
      </c>
      <c r="AE330" s="2">
        <v>100</v>
      </c>
      <c r="AF330" s="2" t="s">
        <v>188</v>
      </c>
      <c r="AG330" s="2" t="s">
        <v>188</v>
      </c>
      <c r="AH330" s="2" t="s">
        <v>188</v>
      </c>
      <c r="AJ330" s="2" t="s">
        <v>188</v>
      </c>
      <c r="AK330" s="2" t="s">
        <v>188</v>
      </c>
      <c r="AL330" s="2" t="s">
        <v>188</v>
      </c>
      <c r="AM330" s="2" t="s">
        <v>187</v>
      </c>
      <c r="AN330" s="2" t="s">
        <v>188</v>
      </c>
      <c r="AO330" s="2" t="s">
        <v>188</v>
      </c>
      <c r="AR330" s="2">
        <v>1.3</v>
      </c>
      <c r="AS330" s="2">
        <v>2</v>
      </c>
      <c r="AT330" s="2">
        <v>2.5</v>
      </c>
      <c r="AU330" s="2" t="s">
        <v>238</v>
      </c>
      <c r="AV330" s="2" t="s">
        <v>189</v>
      </c>
      <c r="AW330" s="2" t="s">
        <v>188</v>
      </c>
      <c r="AZ330" s="2" t="s">
        <v>190</v>
      </c>
      <c r="BB330" s="2" t="s">
        <v>260</v>
      </c>
      <c r="BC330" s="2" t="s">
        <v>192</v>
      </c>
      <c r="BD330" s="2" t="s">
        <v>188</v>
      </c>
      <c r="BE330" s="2" t="s">
        <v>187</v>
      </c>
      <c r="BF330" s="2" t="s">
        <v>193</v>
      </c>
      <c r="BG330" s="2" t="s">
        <v>194</v>
      </c>
      <c r="BH330" s="2" t="s">
        <v>195</v>
      </c>
      <c r="BI330" s="2" t="s">
        <v>196</v>
      </c>
      <c r="BL330" s="2" t="s">
        <v>240</v>
      </c>
      <c r="BO330" s="2" t="s">
        <v>188</v>
      </c>
      <c r="BQ330" s="2" t="s">
        <v>227</v>
      </c>
      <c r="BS330" s="2" t="s">
        <v>187</v>
      </c>
      <c r="BT330" s="2" t="s">
        <v>651</v>
      </c>
      <c r="BV330" s="2" t="s">
        <v>242</v>
      </c>
      <c r="BX330" s="2" t="s">
        <v>188</v>
      </c>
      <c r="BZ330" s="2" t="s">
        <v>203</v>
      </c>
      <c r="CE330" s="2">
        <v>2.5</v>
      </c>
      <c r="CF330" s="2">
        <v>250</v>
      </c>
      <c r="CM330" s="2">
        <v>100</v>
      </c>
      <c r="CO330" s="2">
        <v>100</v>
      </c>
      <c r="CR330" s="2" t="s">
        <v>204</v>
      </c>
      <c r="CT330" s="2" t="s">
        <v>188</v>
      </c>
      <c r="CU330" s="2" t="s">
        <v>205</v>
      </c>
      <c r="CW330" s="2" t="s">
        <v>206</v>
      </c>
      <c r="CY330" s="2" t="s">
        <v>273</v>
      </c>
      <c r="CZ330" s="2" t="s">
        <v>300</v>
      </c>
      <c r="DA330" s="2" t="s">
        <v>300</v>
      </c>
      <c r="DB330" s="2" t="s">
        <v>300</v>
      </c>
      <c r="DC330" s="2" t="s">
        <v>430</v>
      </c>
      <c r="DD330" s="2" t="s">
        <v>300</v>
      </c>
      <c r="DE330" s="2" t="s">
        <v>300</v>
      </c>
      <c r="DF330" s="2" t="s">
        <v>273</v>
      </c>
      <c r="DG330" s="2" t="s">
        <v>273</v>
      </c>
      <c r="DH330" s="2" t="s">
        <v>273</v>
      </c>
      <c r="DI330" s="2" t="s">
        <v>273</v>
      </c>
      <c r="DL330" s="2" t="s">
        <v>187</v>
      </c>
      <c r="DM330" s="2" t="s">
        <v>187</v>
      </c>
      <c r="DN330" s="2" t="s">
        <v>187</v>
      </c>
      <c r="DO330" s="2" t="s">
        <v>187</v>
      </c>
      <c r="DP330" s="2" t="s">
        <v>209</v>
      </c>
      <c r="DQ330" s="2" t="s">
        <v>467</v>
      </c>
      <c r="DR330" s="2" t="s">
        <v>579</v>
      </c>
      <c r="DT330" s="2" t="s">
        <v>209</v>
      </c>
      <c r="DU330" s="2" t="s">
        <v>209</v>
      </c>
      <c r="DV330" s="2" t="s">
        <v>209</v>
      </c>
      <c r="DW330" s="2" t="s">
        <v>209</v>
      </c>
      <c r="DX330" s="2" t="s">
        <v>209</v>
      </c>
      <c r="DY330" s="2" t="s">
        <v>209</v>
      </c>
      <c r="DZ330" s="2" t="s">
        <v>209</v>
      </c>
      <c r="EA330" s="2" t="s">
        <v>209</v>
      </c>
      <c r="EB330" s="2" t="s">
        <v>209</v>
      </c>
      <c r="EC330" s="2" t="s">
        <v>188</v>
      </c>
      <c r="EF330" s="2" t="s">
        <v>211</v>
      </c>
      <c r="EG330" s="2" t="s">
        <v>985</v>
      </c>
      <c r="EJ330" s="2" t="s">
        <v>203</v>
      </c>
      <c r="EK330" s="2" t="s">
        <v>188</v>
      </c>
      <c r="EL330" s="2" t="s">
        <v>188</v>
      </c>
      <c r="EN330" s="2" t="s">
        <v>255</v>
      </c>
      <c r="EP330" s="2" t="s">
        <v>230</v>
      </c>
      <c r="ER330" s="2" t="s">
        <v>188</v>
      </c>
      <c r="ET330" s="2" t="s">
        <v>188</v>
      </c>
      <c r="EV330" s="2" t="s">
        <v>188</v>
      </c>
      <c r="EX330" s="2" t="s">
        <v>188</v>
      </c>
      <c r="EZ330" s="2" t="s">
        <v>188</v>
      </c>
      <c r="FC330" s="2" t="s">
        <v>263</v>
      </c>
      <c r="FD330" s="2" t="s">
        <v>188</v>
      </c>
      <c r="FH330" s="2" t="s">
        <v>188</v>
      </c>
      <c r="FJ330" s="2" t="s">
        <v>188</v>
      </c>
      <c r="FK330" s="2" t="s">
        <v>188</v>
      </c>
      <c r="FN330" s="2" t="s">
        <v>2040</v>
      </c>
      <c r="FR330" s="2" t="s">
        <v>2194</v>
      </c>
      <c r="FT330" s="2" t="s">
        <v>233</v>
      </c>
      <c r="FU330" s="2" t="s">
        <v>233</v>
      </c>
      <c r="FV330" s="2" t="s">
        <v>233</v>
      </c>
      <c r="FW330" s="2" t="s">
        <v>233</v>
      </c>
      <c r="FZ330" s="4">
        <v>46040.898136574076</v>
      </c>
    </row>
    <row r="331" spans="1:182">
      <c r="A331" s="2" t="s">
        <v>2226</v>
      </c>
      <c r="D331" s="6">
        <v>46034.699201388888</v>
      </c>
      <c r="E331" s="2" t="s">
        <v>177</v>
      </c>
      <c r="F331" s="2" t="s">
        <v>178</v>
      </c>
      <c r="G331" s="2" t="s">
        <v>1965</v>
      </c>
      <c r="H331" s="2" t="s">
        <v>2012</v>
      </c>
      <c r="I331" s="2" t="s">
        <v>2227</v>
      </c>
      <c r="J331" s="2">
        <v>359732079</v>
      </c>
      <c r="K331" s="2" t="s">
        <v>2227</v>
      </c>
      <c r="L331" s="2" t="s">
        <v>182</v>
      </c>
      <c r="M331" s="2" t="s">
        <v>183</v>
      </c>
      <c r="N331" s="2">
        <v>1988</v>
      </c>
      <c r="O331" s="2" t="s">
        <v>834</v>
      </c>
      <c r="P331" s="2" t="s">
        <v>185</v>
      </c>
      <c r="Q331" s="2" t="s">
        <v>270</v>
      </c>
      <c r="R331" s="2" t="s">
        <v>188</v>
      </c>
      <c r="S331" s="2">
        <v>14</v>
      </c>
      <c r="T331" s="2" t="s">
        <v>188</v>
      </c>
      <c r="U331" s="2" t="s">
        <v>188</v>
      </c>
      <c r="Y331" s="2">
        <v>197</v>
      </c>
      <c r="Z331" s="2">
        <v>1.0406</v>
      </c>
      <c r="AA331" s="2">
        <v>205</v>
      </c>
      <c r="AB331" s="2">
        <v>205</v>
      </c>
      <c r="AC331" s="2">
        <v>205</v>
      </c>
      <c r="AD331" s="2">
        <v>258</v>
      </c>
      <c r="AE331" s="2">
        <v>53</v>
      </c>
      <c r="AF331" s="2" t="s">
        <v>188</v>
      </c>
      <c r="AG331" s="2" t="s">
        <v>188</v>
      </c>
      <c r="AH331" s="2" t="s">
        <v>188</v>
      </c>
      <c r="AJ331" s="2" t="s">
        <v>188</v>
      </c>
      <c r="AK331" s="2" t="s">
        <v>188</v>
      </c>
      <c r="AL331" s="2" t="s">
        <v>188</v>
      </c>
      <c r="AM331" s="2" t="s">
        <v>188</v>
      </c>
      <c r="AN331" s="2" t="s">
        <v>188</v>
      </c>
      <c r="AO331" s="2" t="s">
        <v>188</v>
      </c>
      <c r="AR331" s="2">
        <v>1.38</v>
      </c>
      <c r="AS331" s="2">
        <v>5</v>
      </c>
      <c r="AT331" s="2">
        <v>2.6</v>
      </c>
      <c r="AU331" s="2" t="s">
        <v>238</v>
      </c>
      <c r="AV331" s="2" t="s">
        <v>238</v>
      </c>
      <c r="AW331" s="2" t="s">
        <v>188</v>
      </c>
      <c r="AZ331" s="2" t="s">
        <v>190</v>
      </c>
      <c r="BB331" s="2" t="s">
        <v>260</v>
      </c>
      <c r="BC331" s="2" t="s">
        <v>192</v>
      </c>
      <c r="BD331" s="2" t="s">
        <v>188</v>
      </c>
      <c r="BE331" s="2" t="s">
        <v>187</v>
      </c>
      <c r="BF331" s="2" t="s">
        <v>193</v>
      </c>
      <c r="BG331" s="2" t="s">
        <v>194</v>
      </c>
      <c r="BH331" s="2" t="s">
        <v>297</v>
      </c>
      <c r="BI331" s="2" t="s">
        <v>196</v>
      </c>
      <c r="BL331" s="2" t="s">
        <v>240</v>
      </c>
      <c r="BM331" s="2" t="s">
        <v>198</v>
      </c>
      <c r="BN331" s="2" t="s">
        <v>199</v>
      </c>
      <c r="BO331" s="2" t="s">
        <v>188</v>
      </c>
      <c r="BQ331" s="2" t="s">
        <v>200</v>
      </c>
      <c r="BS331" s="2" t="s">
        <v>187</v>
      </c>
      <c r="BT331" s="2" t="s">
        <v>261</v>
      </c>
      <c r="BV331" s="2" t="s">
        <v>248</v>
      </c>
      <c r="BX331" s="2" t="s">
        <v>188</v>
      </c>
      <c r="BY331" s="2" t="s">
        <v>188</v>
      </c>
      <c r="BZ331" s="2" t="s">
        <v>203</v>
      </c>
      <c r="CE331" s="2">
        <v>2.6</v>
      </c>
      <c r="CF331" s="2">
        <v>258</v>
      </c>
      <c r="CH331" s="2">
        <v>0</v>
      </c>
      <c r="CI331" s="2">
        <v>0</v>
      </c>
      <c r="CJ331" s="2">
        <v>0</v>
      </c>
      <c r="CK331" s="2">
        <v>100</v>
      </c>
      <c r="CL331" s="2">
        <v>0</v>
      </c>
      <c r="CM331" s="2">
        <v>0</v>
      </c>
      <c r="CO331" s="2">
        <v>100</v>
      </c>
      <c r="CP331" s="2">
        <v>0</v>
      </c>
      <c r="CQ331" s="2">
        <v>0</v>
      </c>
      <c r="CR331" s="2" t="s">
        <v>204</v>
      </c>
      <c r="CT331" s="2" t="s">
        <v>188</v>
      </c>
      <c r="CU331" s="2" t="s">
        <v>205</v>
      </c>
      <c r="CW331" s="2" t="s">
        <v>206</v>
      </c>
      <c r="CY331" s="2" t="s">
        <v>208</v>
      </c>
      <c r="CZ331" s="2" t="s">
        <v>208</v>
      </c>
      <c r="DA331" s="2" t="s">
        <v>208</v>
      </c>
      <c r="DB331" s="2" t="s">
        <v>208</v>
      </c>
      <c r="DC331" s="2" t="s">
        <v>208</v>
      </c>
      <c r="DD331" s="2" t="s">
        <v>208</v>
      </c>
      <c r="DE331" s="2" t="s">
        <v>208</v>
      </c>
      <c r="DF331" s="2" t="s">
        <v>208</v>
      </c>
      <c r="DG331" s="2" t="s">
        <v>208</v>
      </c>
      <c r="DH331" s="2" t="s">
        <v>208</v>
      </c>
      <c r="DI331" s="2" t="s">
        <v>208</v>
      </c>
      <c r="DL331" s="2" t="s">
        <v>188</v>
      </c>
      <c r="DM331" s="2" t="s">
        <v>188</v>
      </c>
      <c r="DP331" s="2" t="s">
        <v>188</v>
      </c>
      <c r="DT331" s="2" t="s">
        <v>203</v>
      </c>
      <c r="DU331" s="2" t="s">
        <v>209</v>
      </c>
      <c r="DV331" s="2" t="s">
        <v>209</v>
      </c>
      <c r="DW331" s="2" t="s">
        <v>209</v>
      </c>
      <c r="DX331" s="2" t="s">
        <v>209</v>
      </c>
      <c r="DY331" s="2" t="s">
        <v>209</v>
      </c>
      <c r="DZ331" s="2" t="s">
        <v>209</v>
      </c>
      <c r="EA331" s="2" t="s">
        <v>209</v>
      </c>
      <c r="EB331" s="2" t="s">
        <v>209</v>
      </c>
      <c r="EC331" s="2" t="s">
        <v>203</v>
      </c>
      <c r="ED331" s="2" t="s">
        <v>203</v>
      </c>
      <c r="EE331" s="2" t="s">
        <v>188</v>
      </c>
      <c r="EF331" s="2" t="s">
        <v>496</v>
      </c>
      <c r="EG331" s="2" t="s">
        <v>188</v>
      </c>
      <c r="EJ331" s="2" t="s">
        <v>238</v>
      </c>
      <c r="EK331" s="2" t="s">
        <v>188</v>
      </c>
      <c r="EL331" s="2" t="s">
        <v>188</v>
      </c>
      <c r="EN331" s="2" t="s">
        <v>597</v>
      </c>
      <c r="EP331" s="2" t="s">
        <v>174</v>
      </c>
      <c r="ER331" s="2" t="s">
        <v>188</v>
      </c>
      <c r="ET331" s="2" t="s">
        <v>188</v>
      </c>
      <c r="EV331" s="2" t="s">
        <v>188</v>
      </c>
      <c r="EX331" s="2" t="s">
        <v>188</v>
      </c>
      <c r="EZ331" s="2" t="s">
        <v>188</v>
      </c>
      <c r="FC331" s="2" t="s">
        <v>263</v>
      </c>
      <c r="FD331" s="2" t="s">
        <v>188</v>
      </c>
      <c r="FH331" s="2" t="s">
        <v>188</v>
      </c>
      <c r="FJ331" s="2" t="s">
        <v>187</v>
      </c>
      <c r="FK331" s="2" t="s">
        <v>188</v>
      </c>
      <c r="FN331" s="2" t="s">
        <v>218</v>
      </c>
      <c r="FR331" s="2" t="s">
        <v>188</v>
      </c>
      <c r="FT331" s="2" t="s">
        <v>233</v>
      </c>
      <c r="FU331" s="2" t="s">
        <v>233</v>
      </c>
      <c r="FV331" s="2" t="s">
        <v>233</v>
      </c>
      <c r="FW331" s="2" t="s">
        <v>233</v>
      </c>
      <c r="FX331" s="2" t="s">
        <v>490</v>
      </c>
      <c r="FZ331" s="4">
        <v>46041.600856481484</v>
      </c>
    </row>
    <row r="332" spans="1:182">
      <c r="A332" s="2" t="s">
        <v>2228</v>
      </c>
      <c r="D332" s="6">
        <v>46034.699062500003</v>
      </c>
      <c r="E332" s="2" t="s">
        <v>177</v>
      </c>
      <c r="F332" s="2" t="s">
        <v>293</v>
      </c>
      <c r="G332" s="2" t="s">
        <v>1965</v>
      </c>
      <c r="H332" s="2" t="s">
        <v>2205</v>
      </c>
      <c r="I332" s="2" t="s">
        <v>2229</v>
      </c>
      <c r="J332" s="2">
        <v>338852645</v>
      </c>
      <c r="K332" s="2" t="s">
        <v>2230</v>
      </c>
      <c r="L332" s="2" t="s">
        <v>352</v>
      </c>
      <c r="M332" s="2" t="s">
        <v>183</v>
      </c>
      <c r="N332" s="2">
        <v>1960</v>
      </c>
      <c r="O332" s="2" t="s">
        <v>224</v>
      </c>
      <c r="P332" s="2" t="s">
        <v>185</v>
      </c>
      <c r="Q332" s="2" t="s">
        <v>186</v>
      </c>
      <c r="R332" s="2" t="s">
        <v>188</v>
      </c>
      <c r="S332" s="2">
        <v>1995</v>
      </c>
      <c r="T332" s="2" t="s">
        <v>188</v>
      </c>
      <c r="U332" s="2" t="s">
        <v>188</v>
      </c>
      <c r="Y332" s="2">
        <v>2200</v>
      </c>
      <c r="Z332" s="2">
        <v>1</v>
      </c>
      <c r="AA332" s="2">
        <v>2200</v>
      </c>
      <c r="AB332" s="2">
        <v>2000</v>
      </c>
      <c r="AC332" s="2">
        <v>1080</v>
      </c>
      <c r="AD332" s="2">
        <v>1200</v>
      </c>
      <c r="AE332" s="2">
        <v>120</v>
      </c>
      <c r="AF332" s="2" t="s">
        <v>188</v>
      </c>
      <c r="AG332" s="2" t="s">
        <v>187</v>
      </c>
      <c r="AH332" s="2" t="s">
        <v>187</v>
      </c>
      <c r="AI332" s="2" t="s">
        <v>2231</v>
      </c>
      <c r="AJ332" s="2" t="s">
        <v>187</v>
      </c>
      <c r="AK332" s="2" t="s">
        <v>188</v>
      </c>
      <c r="AL332" s="2" t="s">
        <v>188</v>
      </c>
      <c r="AM332" s="2" t="s">
        <v>188</v>
      </c>
      <c r="AN332" s="2" t="s">
        <v>188</v>
      </c>
      <c r="AO332" s="2" t="s">
        <v>188</v>
      </c>
      <c r="AR332" s="2">
        <v>4</v>
      </c>
      <c r="AS332" s="2">
        <v>1</v>
      </c>
      <c r="AT332" s="2">
        <v>12</v>
      </c>
      <c r="AU332" s="2" t="s">
        <v>189</v>
      </c>
      <c r="AV332" s="2" t="s">
        <v>189</v>
      </c>
      <c r="AW332" s="2" t="s">
        <v>188</v>
      </c>
      <c r="AZ332" s="2" t="s">
        <v>190</v>
      </c>
      <c r="BB332" s="2" t="s">
        <v>260</v>
      </c>
      <c r="BC332" s="2" t="s">
        <v>253</v>
      </c>
      <c r="BD332" s="2" t="s">
        <v>187</v>
      </c>
      <c r="BE332" s="2" t="s">
        <v>187</v>
      </c>
      <c r="BF332" s="2" t="s">
        <v>1523</v>
      </c>
      <c r="BG332" s="2" t="s">
        <v>194</v>
      </c>
      <c r="BH332" s="2" t="s">
        <v>297</v>
      </c>
      <c r="BI332" s="2" t="s">
        <v>196</v>
      </c>
      <c r="BL332" s="2" t="s">
        <v>197</v>
      </c>
      <c r="BM332" s="2" t="s">
        <v>198</v>
      </c>
      <c r="BN332" s="2" t="s">
        <v>199</v>
      </c>
      <c r="BO332" s="2" t="s">
        <v>188</v>
      </c>
      <c r="BQ332" s="2" t="s">
        <v>309</v>
      </c>
      <c r="BS332" s="2" t="s">
        <v>187</v>
      </c>
      <c r="BT332" s="2" t="s">
        <v>261</v>
      </c>
      <c r="BV332" s="2" t="s">
        <v>1308</v>
      </c>
      <c r="BX332" s="2" t="s">
        <v>187</v>
      </c>
      <c r="BY332" s="2" t="s">
        <v>310</v>
      </c>
      <c r="BZ332" s="2" t="s">
        <v>188</v>
      </c>
      <c r="CE332" s="2">
        <v>12</v>
      </c>
      <c r="CF332" s="2">
        <v>1200</v>
      </c>
      <c r="CK332" s="2">
        <v>100</v>
      </c>
      <c r="CO332" s="2">
        <v>100</v>
      </c>
      <c r="CR332" s="2" t="s">
        <v>204</v>
      </c>
      <c r="CT332" s="2" t="s">
        <v>188</v>
      </c>
      <c r="CU332" s="2" t="s">
        <v>205</v>
      </c>
      <c r="CW332" s="2" t="s">
        <v>206</v>
      </c>
      <c r="CY332" s="2" t="s">
        <v>273</v>
      </c>
      <c r="CZ332" s="2" t="s">
        <v>273</v>
      </c>
      <c r="DA332" s="2" t="s">
        <v>273</v>
      </c>
      <c r="DB332" s="2" t="s">
        <v>273</v>
      </c>
      <c r="DC332" s="2" t="s">
        <v>301</v>
      </c>
      <c r="DD332" s="2" t="s">
        <v>301</v>
      </c>
      <c r="DE332" s="2" t="s">
        <v>301</v>
      </c>
      <c r="DF332" s="2" t="s">
        <v>207</v>
      </c>
      <c r="DG332" s="2" t="s">
        <v>208</v>
      </c>
      <c r="DH332" s="2" t="s">
        <v>208</v>
      </c>
      <c r="DI332" s="2" t="s">
        <v>208</v>
      </c>
      <c r="DL332" s="2" t="s">
        <v>187</v>
      </c>
      <c r="DM332" s="2" t="s">
        <v>187</v>
      </c>
      <c r="DN332" s="2" t="s">
        <v>187</v>
      </c>
      <c r="DO332" s="2" t="s">
        <v>187</v>
      </c>
      <c r="DP332" s="2" t="s">
        <v>209</v>
      </c>
      <c r="DQ332" s="2" t="s">
        <v>210</v>
      </c>
      <c r="DS332" s="2" t="s">
        <v>209</v>
      </c>
      <c r="DT332" s="2" t="s">
        <v>209</v>
      </c>
      <c r="DU332" s="2" t="s">
        <v>209</v>
      </c>
      <c r="DV332" s="2" t="s">
        <v>209</v>
      </c>
      <c r="DW332" s="2" t="s">
        <v>209</v>
      </c>
      <c r="DX332" s="2" t="s">
        <v>209</v>
      </c>
      <c r="DY332" s="2" t="s">
        <v>203</v>
      </c>
      <c r="DZ332" s="2" t="s">
        <v>203</v>
      </c>
      <c r="EA332" s="2" t="s">
        <v>209</v>
      </c>
      <c r="EB332" s="2" t="s">
        <v>209</v>
      </c>
      <c r="EC332" s="2" t="s">
        <v>203</v>
      </c>
      <c r="EF332" s="2" t="s">
        <v>211</v>
      </c>
      <c r="EJ332" s="2" t="s">
        <v>189</v>
      </c>
      <c r="EK332" s="2" t="s">
        <v>187</v>
      </c>
      <c r="EL332" s="2" t="s">
        <v>188</v>
      </c>
      <c r="EN332" s="2" t="s">
        <v>214</v>
      </c>
      <c r="EP332" s="2" t="s">
        <v>230</v>
      </c>
      <c r="ER332" s="2" t="s">
        <v>187</v>
      </c>
      <c r="ET332" s="2" t="s">
        <v>188</v>
      </c>
      <c r="EV332" s="2" t="s">
        <v>187</v>
      </c>
      <c r="EW332" s="2" t="s">
        <v>189</v>
      </c>
      <c r="EX332" s="2" t="s">
        <v>187</v>
      </c>
      <c r="EY332" s="2" t="s">
        <v>189</v>
      </c>
      <c r="FC332" s="2" t="s">
        <v>216</v>
      </c>
      <c r="FD332" s="2" t="s">
        <v>188</v>
      </c>
      <c r="FH332" s="2" t="s">
        <v>188</v>
      </c>
      <c r="FJ332" s="2" t="s">
        <v>187</v>
      </c>
      <c r="FK332" s="2" t="s">
        <v>209</v>
      </c>
      <c r="FL332" s="2" t="s">
        <v>319</v>
      </c>
      <c r="FN332" s="2" t="s">
        <v>304</v>
      </c>
      <c r="FT332" s="2" t="s">
        <v>219</v>
      </c>
      <c r="FU332" s="2" t="s">
        <v>233</v>
      </c>
      <c r="FV332" s="2" t="s">
        <v>233</v>
      </c>
      <c r="FW332" s="2" t="s">
        <v>233</v>
      </c>
      <c r="FZ332" s="4">
        <v>46039.924432870372</v>
      </c>
    </row>
    <row r="333" spans="1:182">
      <c r="A333" s="2" t="s">
        <v>2232</v>
      </c>
      <c r="D333" s="6">
        <v>46034.700254629628</v>
      </c>
      <c r="E333" s="2" t="s">
        <v>177</v>
      </c>
      <c r="F333" s="2" t="s">
        <v>178</v>
      </c>
      <c r="G333" s="2" t="s">
        <v>1965</v>
      </c>
      <c r="H333" s="2" t="s">
        <v>2012</v>
      </c>
      <c r="I333" s="2" t="s">
        <v>2233</v>
      </c>
      <c r="J333" s="2">
        <v>961167480</v>
      </c>
      <c r="K333" s="2" t="s">
        <v>2233</v>
      </c>
      <c r="L333" s="2" t="s">
        <v>182</v>
      </c>
      <c r="M333" s="2" t="s">
        <v>183</v>
      </c>
      <c r="N333" s="2">
        <v>1985</v>
      </c>
      <c r="O333" s="2" t="s">
        <v>834</v>
      </c>
      <c r="P333" s="2" t="s">
        <v>185</v>
      </c>
      <c r="Q333" s="2" t="s">
        <v>270</v>
      </c>
      <c r="R333" s="2" t="s">
        <v>188</v>
      </c>
      <c r="S333" s="2">
        <v>16</v>
      </c>
      <c r="T333" s="2" t="s">
        <v>188</v>
      </c>
      <c r="U333" s="2" t="s">
        <v>188</v>
      </c>
      <c r="Y333" s="2">
        <v>59</v>
      </c>
      <c r="Z333" s="2">
        <v>1</v>
      </c>
      <c r="AA333" s="2">
        <v>59</v>
      </c>
      <c r="AB333" s="2">
        <v>59</v>
      </c>
      <c r="AC333" s="2">
        <v>59</v>
      </c>
      <c r="AD333" s="2">
        <v>120</v>
      </c>
      <c r="AE333" s="2">
        <v>61</v>
      </c>
      <c r="AF333" s="2" t="s">
        <v>187</v>
      </c>
      <c r="AG333" s="2" t="s">
        <v>188</v>
      </c>
      <c r="AH333" s="2" t="s">
        <v>188</v>
      </c>
      <c r="AJ333" s="2" t="s">
        <v>188</v>
      </c>
      <c r="AK333" s="2" t="s">
        <v>188</v>
      </c>
      <c r="AL333" s="2" t="s">
        <v>188</v>
      </c>
      <c r="AM333" s="2" t="s">
        <v>188</v>
      </c>
      <c r="AN333" s="2" t="s">
        <v>188</v>
      </c>
      <c r="AO333" s="2" t="s">
        <v>188</v>
      </c>
      <c r="AR333" s="2">
        <v>0.9</v>
      </c>
      <c r="AS333" s="2">
        <v>3</v>
      </c>
      <c r="AT333" s="2">
        <v>1.33</v>
      </c>
      <c r="AU333" s="2" t="s">
        <v>238</v>
      </c>
      <c r="AV333" s="2" t="s">
        <v>238</v>
      </c>
      <c r="AW333" s="2" t="s">
        <v>188</v>
      </c>
      <c r="AZ333" s="2" t="s">
        <v>190</v>
      </c>
      <c r="BB333" s="2" t="s">
        <v>260</v>
      </c>
      <c r="BC333" s="2" t="s">
        <v>192</v>
      </c>
      <c r="BD333" s="2" t="s">
        <v>188</v>
      </c>
      <c r="BE333" s="2" t="s">
        <v>187</v>
      </c>
      <c r="BF333" s="2" t="s">
        <v>193</v>
      </c>
      <c r="BG333" s="2" t="s">
        <v>194</v>
      </c>
      <c r="BH333" s="2" t="s">
        <v>195</v>
      </c>
      <c r="BI333" s="2" t="s">
        <v>196</v>
      </c>
      <c r="BL333" s="2" t="s">
        <v>240</v>
      </c>
      <c r="BO333" s="2" t="s">
        <v>188</v>
      </c>
      <c r="BQ333" s="2" t="s">
        <v>200</v>
      </c>
      <c r="BS333" s="2" t="s">
        <v>187</v>
      </c>
      <c r="BT333" s="2" t="s">
        <v>261</v>
      </c>
      <c r="BV333" s="2" t="s">
        <v>248</v>
      </c>
      <c r="BX333" s="2" t="s">
        <v>188</v>
      </c>
      <c r="BZ333" s="2" t="s">
        <v>203</v>
      </c>
      <c r="CE333" s="2">
        <v>1.33</v>
      </c>
      <c r="CF333" s="2">
        <v>120</v>
      </c>
      <c r="CK333" s="2">
        <v>100</v>
      </c>
      <c r="CO333" s="2">
        <v>100</v>
      </c>
      <c r="CR333" s="2" t="s">
        <v>229</v>
      </c>
      <c r="CT333" s="2" t="s">
        <v>188</v>
      </c>
      <c r="CU333" s="2" t="s">
        <v>281</v>
      </c>
      <c r="CW333" s="2" t="s">
        <v>206</v>
      </c>
      <c r="CY333" s="2" t="s">
        <v>208</v>
      </c>
      <c r="CZ333" s="2" t="s">
        <v>208</v>
      </c>
      <c r="DA333" s="2" t="s">
        <v>208</v>
      </c>
      <c r="DB333" s="2" t="s">
        <v>208</v>
      </c>
      <c r="DL333" s="2" t="s">
        <v>188</v>
      </c>
      <c r="DM333" s="2" t="s">
        <v>188</v>
      </c>
      <c r="DP333" s="2" t="s">
        <v>203</v>
      </c>
      <c r="DT333" s="2" t="s">
        <v>203</v>
      </c>
      <c r="DU333" s="2" t="s">
        <v>203</v>
      </c>
      <c r="DV333" s="2" t="s">
        <v>203</v>
      </c>
      <c r="DW333" s="2" t="s">
        <v>203</v>
      </c>
      <c r="DX333" s="2" t="s">
        <v>203</v>
      </c>
      <c r="DY333" s="2" t="s">
        <v>203</v>
      </c>
      <c r="DZ333" s="2" t="s">
        <v>203</v>
      </c>
      <c r="EB333" s="2" t="s">
        <v>203</v>
      </c>
      <c r="EJ333" s="2" t="s">
        <v>203</v>
      </c>
      <c r="EK333" s="2" t="s">
        <v>188</v>
      </c>
      <c r="EL333" s="2" t="s">
        <v>188</v>
      </c>
      <c r="EN333" s="2" t="s">
        <v>288</v>
      </c>
      <c r="EO333" s="2" t="s">
        <v>203</v>
      </c>
      <c r="ER333" s="2" t="s">
        <v>188</v>
      </c>
      <c r="ET333" s="2" t="s">
        <v>188</v>
      </c>
      <c r="EV333" s="2" t="s">
        <v>188</v>
      </c>
      <c r="EX333" s="2" t="s">
        <v>188</v>
      </c>
      <c r="EZ333" s="2" t="s">
        <v>188</v>
      </c>
      <c r="FC333" s="2" t="s">
        <v>263</v>
      </c>
      <c r="FD333" s="2" t="s">
        <v>188</v>
      </c>
      <c r="FH333" s="2" t="s">
        <v>188</v>
      </c>
      <c r="FJ333" s="2" t="s">
        <v>187</v>
      </c>
      <c r="FK333" s="2" t="s">
        <v>188</v>
      </c>
      <c r="FT333" s="2" t="s">
        <v>233</v>
      </c>
      <c r="FU333" s="2" t="s">
        <v>490</v>
      </c>
      <c r="FV333" s="2" t="s">
        <v>233</v>
      </c>
      <c r="FW333" s="2" t="s">
        <v>490</v>
      </c>
      <c r="FZ333" s="4">
        <v>46040.746863425928</v>
      </c>
    </row>
    <row r="334" spans="1:182">
      <c r="A334" s="2" t="s">
        <v>2234</v>
      </c>
      <c r="D334" s="6">
        <v>46034.711296296293</v>
      </c>
      <c r="E334" s="2" t="s">
        <v>2235</v>
      </c>
      <c r="F334" s="2" t="s">
        <v>398</v>
      </c>
      <c r="G334" s="2" t="s">
        <v>1965</v>
      </c>
      <c r="H334" s="2" t="s">
        <v>2197</v>
      </c>
      <c r="I334" s="2" t="s">
        <v>2236</v>
      </c>
      <c r="J334" s="2">
        <v>979326272</v>
      </c>
      <c r="K334" s="2" t="s">
        <v>2236</v>
      </c>
      <c r="L334" s="2" t="s">
        <v>182</v>
      </c>
      <c r="M334" s="2" t="s">
        <v>183</v>
      </c>
      <c r="N334" s="2">
        <v>1971</v>
      </c>
      <c r="O334" s="2" t="s">
        <v>224</v>
      </c>
      <c r="P334" s="2" t="s">
        <v>185</v>
      </c>
      <c r="Q334" s="2" t="s">
        <v>186</v>
      </c>
      <c r="R334" s="2" t="s">
        <v>188</v>
      </c>
      <c r="S334" s="2">
        <v>28</v>
      </c>
      <c r="T334" s="2" t="s">
        <v>188</v>
      </c>
      <c r="U334" s="2" t="s">
        <v>188</v>
      </c>
      <c r="Y334" s="2">
        <v>310</v>
      </c>
      <c r="Z334" s="2">
        <v>0.871</v>
      </c>
      <c r="AA334" s="2">
        <v>270</v>
      </c>
      <c r="AB334" s="2">
        <v>270</v>
      </c>
      <c r="AC334" s="2">
        <v>270</v>
      </c>
      <c r="AD334" s="2">
        <v>300</v>
      </c>
      <c r="AE334" s="2">
        <v>30</v>
      </c>
      <c r="AF334" s="2" t="s">
        <v>188</v>
      </c>
      <c r="AG334" s="2" t="s">
        <v>188</v>
      </c>
      <c r="AH334" s="2" t="s">
        <v>188</v>
      </c>
      <c r="AJ334" s="2" t="s">
        <v>188</v>
      </c>
      <c r="AK334" s="2" t="s">
        <v>188</v>
      </c>
      <c r="AL334" s="2" t="s">
        <v>187</v>
      </c>
      <c r="AM334" s="2" t="s">
        <v>188</v>
      </c>
      <c r="AN334" s="2" t="s">
        <v>188</v>
      </c>
      <c r="AO334" s="2" t="s">
        <v>188</v>
      </c>
      <c r="AR334" s="2">
        <v>1.8</v>
      </c>
      <c r="AS334" s="2">
        <v>2</v>
      </c>
      <c r="AT334" s="2">
        <v>3</v>
      </c>
      <c r="AU334" s="2" t="s">
        <v>189</v>
      </c>
      <c r="AV334" s="2" t="s">
        <v>189</v>
      </c>
      <c r="AW334" s="2" t="s">
        <v>188</v>
      </c>
      <c r="AZ334" s="2" t="s">
        <v>190</v>
      </c>
      <c r="BB334" s="2" t="s">
        <v>260</v>
      </c>
      <c r="BC334" s="2" t="s">
        <v>296</v>
      </c>
      <c r="BD334" s="2" t="s">
        <v>187</v>
      </c>
      <c r="BE334" s="2" t="s">
        <v>187</v>
      </c>
      <c r="BF334" s="2" t="s">
        <v>193</v>
      </c>
      <c r="BG334" s="2" t="s">
        <v>279</v>
      </c>
      <c r="BH334" s="2" t="s">
        <v>195</v>
      </c>
      <c r="BI334" s="2" t="s">
        <v>196</v>
      </c>
      <c r="BL334" s="2" t="s">
        <v>240</v>
      </c>
      <c r="BO334" s="2" t="s">
        <v>188</v>
      </c>
      <c r="BQ334" s="2" t="s">
        <v>200</v>
      </c>
      <c r="BS334" s="2" t="s">
        <v>187</v>
      </c>
      <c r="BT334" s="2" t="s">
        <v>261</v>
      </c>
      <c r="BV334" s="2" t="s">
        <v>248</v>
      </c>
      <c r="BX334" s="2" t="s">
        <v>187</v>
      </c>
      <c r="BY334" s="2" t="s">
        <v>2237</v>
      </c>
      <c r="BZ334" s="2" t="s">
        <v>203</v>
      </c>
      <c r="CE334" s="2">
        <v>3</v>
      </c>
      <c r="CF334" s="2">
        <v>300</v>
      </c>
      <c r="CM334" s="2">
        <v>100</v>
      </c>
      <c r="CP334" s="2">
        <v>100</v>
      </c>
      <c r="CR334" s="2" t="s">
        <v>204</v>
      </c>
      <c r="CT334" s="2" t="s">
        <v>188</v>
      </c>
      <c r="CU334" s="2" t="s">
        <v>205</v>
      </c>
      <c r="CW334" s="2" t="s">
        <v>206</v>
      </c>
      <c r="CY334" s="2" t="s">
        <v>207</v>
      </c>
      <c r="CZ334" s="2" t="s">
        <v>207</v>
      </c>
      <c r="DA334" s="2" t="s">
        <v>300</v>
      </c>
      <c r="DB334" s="2" t="s">
        <v>300</v>
      </c>
      <c r="DC334" s="2" t="s">
        <v>300</v>
      </c>
      <c r="DD334" s="2" t="s">
        <v>300</v>
      </c>
      <c r="DE334" s="2" t="s">
        <v>300</v>
      </c>
      <c r="DF334" s="2" t="s">
        <v>207</v>
      </c>
      <c r="DG334" s="2" t="s">
        <v>207</v>
      </c>
      <c r="DH334" s="2" t="s">
        <v>207</v>
      </c>
      <c r="DI334" s="2" t="s">
        <v>207</v>
      </c>
      <c r="DL334" s="2" t="s">
        <v>187</v>
      </c>
      <c r="DM334" s="2" t="s">
        <v>187</v>
      </c>
      <c r="DN334" s="2" t="s">
        <v>187</v>
      </c>
      <c r="DO334" s="2" t="s">
        <v>187</v>
      </c>
      <c r="DP334" s="2" t="s">
        <v>209</v>
      </c>
      <c r="DQ334" s="2" t="s">
        <v>467</v>
      </c>
      <c r="DR334" s="2" t="s">
        <v>2238</v>
      </c>
      <c r="DT334" s="2" t="s">
        <v>209</v>
      </c>
      <c r="DU334" s="2" t="s">
        <v>209</v>
      </c>
      <c r="DV334" s="2" t="s">
        <v>209</v>
      </c>
      <c r="DW334" s="2" t="s">
        <v>209</v>
      </c>
      <c r="DX334" s="2" t="s">
        <v>209</v>
      </c>
      <c r="DY334" s="2" t="s">
        <v>209</v>
      </c>
      <c r="DZ334" s="2" t="s">
        <v>209</v>
      </c>
      <c r="EA334" s="2" t="s">
        <v>209</v>
      </c>
      <c r="EB334" s="2" t="s">
        <v>209</v>
      </c>
      <c r="EC334" s="2" t="s">
        <v>209</v>
      </c>
      <c r="EF334" s="2" t="s">
        <v>189</v>
      </c>
      <c r="EG334" s="2" t="s">
        <v>1401</v>
      </c>
      <c r="EJ334" s="2" t="s">
        <v>189</v>
      </c>
      <c r="EK334" s="2" t="s">
        <v>187</v>
      </c>
      <c r="EL334" s="2" t="s">
        <v>187</v>
      </c>
      <c r="EM334" s="2" t="s">
        <v>1582</v>
      </c>
      <c r="EN334" s="2" t="s">
        <v>214</v>
      </c>
      <c r="EP334" s="2" t="s">
        <v>230</v>
      </c>
      <c r="ER334" s="2" t="s">
        <v>187</v>
      </c>
      <c r="ET334" s="2" t="s">
        <v>188</v>
      </c>
      <c r="EV334" s="2" t="s">
        <v>188</v>
      </c>
      <c r="EX334" s="2" t="s">
        <v>188</v>
      </c>
      <c r="EZ334" s="2" t="s">
        <v>188</v>
      </c>
      <c r="FC334" s="2" t="s">
        <v>216</v>
      </c>
      <c r="FD334" s="2" t="s">
        <v>188</v>
      </c>
      <c r="FH334" s="2" t="s">
        <v>188</v>
      </c>
      <c r="FJ334" s="2" t="s">
        <v>188</v>
      </c>
      <c r="FK334" s="2" t="s">
        <v>203</v>
      </c>
      <c r="FN334" s="2" t="s">
        <v>432</v>
      </c>
      <c r="FR334" s="2" t="s">
        <v>2239</v>
      </c>
      <c r="FT334" s="2" t="s">
        <v>219</v>
      </c>
      <c r="FU334" s="2" t="s">
        <v>233</v>
      </c>
      <c r="FV334" s="2" t="s">
        <v>219</v>
      </c>
      <c r="FW334" s="2" t="s">
        <v>219</v>
      </c>
      <c r="FX334" s="2" t="s">
        <v>219</v>
      </c>
      <c r="FY334" s="2" t="s">
        <v>2240</v>
      </c>
      <c r="FZ334" s="4">
        <v>46039.903553240743</v>
      </c>
    </row>
    <row r="335" spans="1:182">
      <c r="A335" s="2" t="s">
        <v>2241</v>
      </c>
      <c r="D335" s="6">
        <v>46034.704953703702</v>
      </c>
      <c r="E335" s="2" t="s">
        <v>2242</v>
      </c>
      <c r="F335" s="2" t="s">
        <v>425</v>
      </c>
      <c r="G335" s="2" t="s">
        <v>1965</v>
      </c>
      <c r="H335" s="2" t="s">
        <v>2205</v>
      </c>
      <c r="I335" s="2" t="s">
        <v>2243</v>
      </c>
      <c r="J335" s="2">
        <v>984170113</v>
      </c>
      <c r="K335" s="2" t="s">
        <v>2243</v>
      </c>
      <c r="L335" s="2" t="s">
        <v>182</v>
      </c>
      <c r="M335" s="2" t="s">
        <v>183</v>
      </c>
      <c r="N335" s="2">
        <v>1976</v>
      </c>
      <c r="O335" s="2" t="s">
        <v>224</v>
      </c>
      <c r="P335" s="2" t="s">
        <v>185</v>
      </c>
      <c r="Q335" s="2" t="s">
        <v>226</v>
      </c>
      <c r="R335" s="2" t="s">
        <v>188</v>
      </c>
      <c r="S335" s="2">
        <v>26</v>
      </c>
      <c r="T335" s="2" t="s">
        <v>187</v>
      </c>
      <c r="U335" s="2" t="s">
        <v>187</v>
      </c>
      <c r="Y335" s="2">
        <v>500</v>
      </c>
      <c r="Z335" s="2">
        <v>0.86</v>
      </c>
      <c r="AA335" s="2">
        <v>430</v>
      </c>
      <c r="AB335" s="2">
        <v>430</v>
      </c>
      <c r="AC335" s="2">
        <v>330</v>
      </c>
      <c r="AD335" s="2">
        <v>500</v>
      </c>
      <c r="AE335" s="2">
        <v>170</v>
      </c>
      <c r="AF335" s="2" t="s">
        <v>188</v>
      </c>
      <c r="AG335" s="2" t="s">
        <v>187</v>
      </c>
      <c r="AH335" s="2" t="s">
        <v>188</v>
      </c>
      <c r="AJ335" s="2" t="s">
        <v>188</v>
      </c>
      <c r="AK335" s="2" t="s">
        <v>188</v>
      </c>
      <c r="AL335" s="2" t="s">
        <v>188</v>
      </c>
      <c r="AM335" s="2" t="s">
        <v>187</v>
      </c>
      <c r="AN335" s="2" t="s">
        <v>188</v>
      </c>
      <c r="AO335" s="2" t="s">
        <v>188</v>
      </c>
      <c r="AR335" s="2">
        <v>2</v>
      </c>
      <c r="AS335" s="2">
        <v>3</v>
      </c>
      <c r="AT335" s="2">
        <v>5</v>
      </c>
      <c r="AU335" s="2" t="s">
        <v>238</v>
      </c>
      <c r="AV335" s="2" t="s">
        <v>238</v>
      </c>
      <c r="AW335" s="2" t="s">
        <v>188</v>
      </c>
      <c r="AZ335" s="2" t="s">
        <v>190</v>
      </c>
      <c r="BB335" s="2" t="s">
        <v>260</v>
      </c>
      <c r="BC335" s="2" t="s">
        <v>296</v>
      </c>
      <c r="BD335" s="2" t="s">
        <v>187</v>
      </c>
      <c r="BE335" s="2" t="s">
        <v>187</v>
      </c>
      <c r="BF335" s="2" t="s">
        <v>193</v>
      </c>
      <c r="BG335" s="2" t="s">
        <v>194</v>
      </c>
      <c r="BH335" s="2" t="s">
        <v>297</v>
      </c>
      <c r="BI335" s="2" t="s">
        <v>958</v>
      </c>
      <c r="BL335" s="2" t="s">
        <v>197</v>
      </c>
      <c r="BM335" s="2" t="s">
        <v>198</v>
      </c>
      <c r="BN335" s="2" t="s">
        <v>199</v>
      </c>
      <c r="BO335" s="2" t="s">
        <v>188</v>
      </c>
      <c r="BQ335" s="2" t="s">
        <v>227</v>
      </c>
      <c r="BS335" s="2" t="s">
        <v>187</v>
      </c>
      <c r="BT335" s="2" t="s">
        <v>69</v>
      </c>
      <c r="BU335" s="2" t="s">
        <v>2244</v>
      </c>
      <c r="BV335" s="2" t="s">
        <v>587</v>
      </c>
      <c r="BX335" s="2" t="s">
        <v>188</v>
      </c>
      <c r="BZ335" s="2" t="s">
        <v>203</v>
      </c>
      <c r="CE335" s="2">
        <v>5</v>
      </c>
      <c r="CF335" s="2">
        <v>500</v>
      </c>
      <c r="CK335" s="2">
        <v>100</v>
      </c>
      <c r="CO335" s="2">
        <v>100</v>
      </c>
      <c r="CR335" s="2" t="s">
        <v>204</v>
      </c>
      <c r="CT335" s="2" t="s">
        <v>188</v>
      </c>
      <c r="CU335" s="2" t="s">
        <v>281</v>
      </c>
      <c r="CW335" s="2" t="s">
        <v>206</v>
      </c>
      <c r="CY335" s="2" t="s">
        <v>207</v>
      </c>
      <c r="CZ335" s="2" t="s">
        <v>207</v>
      </c>
      <c r="DA335" s="2" t="s">
        <v>300</v>
      </c>
      <c r="DB335" s="2" t="s">
        <v>430</v>
      </c>
      <c r="DC335" s="2" t="s">
        <v>300</v>
      </c>
      <c r="DD335" s="2" t="s">
        <v>430</v>
      </c>
      <c r="DE335" s="2" t="s">
        <v>300</v>
      </c>
      <c r="DF335" s="2" t="s">
        <v>207</v>
      </c>
      <c r="DG335" s="2" t="s">
        <v>207</v>
      </c>
      <c r="DH335" s="2" t="s">
        <v>207</v>
      </c>
      <c r="DI335" s="2" t="s">
        <v>300</v>
      </c>
      <c r="DL335" s="2" t="s">
        <v>187</v>
      </c>
      <c r="DM335" s="2" t="s">
        <v>187</v>
      </c>
      <c r="DN335" s="2" t="s">
        <v>187</v>
      </c>
      <c r="DO335" s="2" t="s">
        <v>188</v>
      </c>
      <c r="DP335" s="2" t="s">
        <v>209</v>
      </c>
      <c r="DQ335" s="2" t="s">
        <v>210</v>
      </c>
      <c r="DR335" s="2" t="s">
        <v>2245</v>
      </c>
      <c r="DT335" s="2" t="s">
        <v>209</v>
      </c>
      <c r="DU335" s="2" t="s">
        <v>209</v>
      </c>
      <c r="DV335" s="2" t="s">
        <v>209</v>
      </c>
      <c r="DW335" s="2" t="s">
        <v>209</v>
      </c>
      <c r="DX335" s="2" t="s">
        <v>209</v>
      </c>
      <c r="DY335" s="2" t="s">
        <v>209</v>
      </c>
      <c r="DZ335" s="2" t="s">
        <v>203</v>
      </c>
      <c r="EA335" s="2" t="s">
        <v>209</v>
      </c>
      <c r="EB335" s="2" t="s">
        <v>209</v>
      </c>
      <c r="EC335" s="2" t="s">
        <v>188</v>
      </c>
      <c r="EF335" s="2" t="s">
        <v>189</v>
      </c>
      <c r="EJ335" s="2" t="s">
        <v>189</v>
      </c>
      <c r="EK335" s="2" t="s">
        <v>188</v>
      </c>
      <c r="EL335" s="2" t="s">
        <v>188</v>
      </c>
      <c r="EN335" s="2" t="s">
        <v>214</v>
      </c>
      <c r="EP335" s="2" t="s">
        <v>230</v>
      </c>
      <c r="ER335" s="2" t="s">
        <v>187</v>
      </c>
      <c r="ET335" s="2" t="s">
        <v>188</v>
      </c>
      <c r="EV335" s="2" t="s">
        <v>187</v>
      </c>
      <c r="EW335" s="2" t="s">
        <v>215</v>
      </c>
      <c r="EX335" s="2" t="s">
        <v>188</v>
      </c>
      <c r="EZ335" s="2" t="s">
        <v>187</v>
      </c>
      <c r="FA335" s="2" t="s">
        <v>2246</v>
      </c>
      <c r="FB335" s="2" t="s">
        <v>215</v>
      </c>
      <c r="FC335" s="2" t="s">
        <v>263</v>
      </c>
      <c r="FD335" s="2" t="s">
        <v>188</v>
      </c>
      <c r="FH335" s="2" t="s">
        <v>188</v>
      </c>
      <c r="FJ335" s="2" t="s">
        <v>188</v>
      </c>
      <c r="FK335" s="2" t="s">
        <v>209</v>
      </c>
      <c r="FL335" s="2" t="s">
        <v>319</v>
      </c>
      <c r="FR335" s="2" t="s">
        <v>433</v>
      </c>
      <c r="FT335" s="2" t="s">
        <v>490</v>
      </c>
      <c r="FU335" s="2" t="s">
        <v>233</v>
      </c>
      <c r="FV335" s="2" t="s">
        <v>219</v>
      </c>
      <c r="FW335" s="2" t="s">
        <v>219</v>
      </c>
      <c r="FZ335" s="4">
        <v>46038.682372685187</v>
      </c>
    </row>
    <row r="336" spans="1:182">
      <c r="A336" s="2" t="s">
        <v>2247</v>
      </c>
      <c r="D336" s="6">
        <v>46034.713263888887</v>
      </c>
      <c r="E336" s="2" t="s">
        <v>2248</v>
      </c>
      <c r="F336" s="2" t="s">
        <v>480</v>
      </c>
      <c r="G336" s="2" t="s">
        <v>1965</v>
      </c>
      <c r="H336" s="2" t="s">
        <v>2051</v>
      </c>
      <c r="I336" s="2" t="s">
        <v>2249</v>
      </c>
      <c r="J336" s="2">
        <v>353052763</v>
      </c>
      <c r="K336" s="2" t="s">
        <v>2249</v>
      </c>
      <c r="L336" s="2" t="s">
        <v>182</v>
      </c>
      <c r="M336" s="2" t="s">
        <v>183</v>
      </c>
      <c r="N336" s="2">
        <v>1977</v>
      </c>
      <c r="O336" s="2" t="s">
        <v>834</v>
      </c>
      <c r="P336" s="2" t="s">
        <v>185</v>
      </c>
      <c r="Q336" s="2" t="s">
        <v>270</v>
      </c>
      <c r="R336" s="2" t="s">
        <v>188</v>
      </c>
      <c r="T336" s="2" t="s">
        <v>188</v>
      </c>
      <c r="U336" s="2" t="s">
        <v>188</v>
      </c>
      <c r="Y336" s="2">
        <v>253</v>
      </c>
      <c r="Z336" s="2">
        <v>1</v>
      </c>
      <c r="AA336" s="2">
        <v>253</v>
      </c>
      <c r="AB336" s="2">
        <v>253</v>
      </c>
      <c r="AC336" s="2">
        <v>253</v>
      </c>
      <c r="AD336" s="2">
        <v>323</v>
      </c>
      <c r="AE336" s="2">
        <v>70</v>
      </c>
      <c r="AF336" s="2" t="s">
        <v>188</v>
      </c>
      <c r="AG336" s="2" t="s">
        <v>188</v>
      </c>
      <c r="AH336" s="2" t="s">
        <v>188</v>
      </c>
      <c r="AJ336" s="2" t="s">
        <v>188</v>
      </c>
      <c r="AK336" s="2" t="s">
        <v>188</v>
      </c>
      <c r="AL336" s="2" t="s">
        <v>188</v>
      </c>
      <c r="AM336" s="2" t="s">
        <v>188</v>
      </c>
      <c r="AN336" s="2" t="s">
        <v>188</v>
      </c>
      <c r="AO336" s="2" t="s">
        <v>188</v>
      </c>
      <c r="AR336" s="2">
        <v>0.7</v>
      </c>
      <c r="AS336" s="2">
        <v>2</v>
      </c>
      <c r="AT336" s="2">
        <v>3.3</v>
      </c>
      <c r="AU336" s="2" t="s">
        <v>238</v>
      </c>
      <c r="AV336" s="2" t="s">
        <v>238</v>
      </c>
      <c r="AW336" s="2" t="s">
        <v>188</v>
      </c>
      <c r="AZ336" s="2" t="s">
        <v>190</v>
      </c>
      <c r="BB336" s="2" t="s">
        <v>260</v>
      </c>
      <c r="BC336" s="2" t="s">
        <v>296</v>
      </c>
      <c r="BD336" s="2" t="s">
        <v>188</v>
      </c>
      <c r="BE336" s="2" t="s">
        <v>187</v>
      </c>
      <c r="BF336" s="2" t="s">
        <v>193</v>
      </c>
      <c r="BH336" s="2" t="s">
        <v>297</v>
      </c>
      <c r="BI336" s="2" t="s">
        <v>196</v>
      </c>
      <c r="BL336" s="2" t="s">
        <v>240</v>
      </c>
      <c r="BO336" s="2" t="s">
        <v>188</v>
      </c>
      <c r="BQ336" s="2" t="s">
        <v>200</v>
      </c>
      <c r="BS336" s="2" t="s">
        <v>187</v>
      </c>
      <c r="BT336" s="2" t="s">
        <v>484</v>
      </c>
      <c r="BV336" s="2" t="s">
        <v>2184</v>
      </c>
      <c r="BX336" s="2" t="s">
        <v>187</v>
      </c>
      <c r="BY336" s="2" t="s">
        <v>705</v>
      </c>
      <c r="BZ336" s="2" t="s">
        <v>209</v>
      </c>
      <c r="CA336" s="2" t="s">
        <v>2250</v>
      </c>
      <c r="CE336" s="2">
        <v>3.3</v>
      </c>
      <c r="CF336" s="2">
        <v>332</v>
      </c>
      <c r="CK336" s="2">
        <v>100</v>
      </c>
      <c r="CO336" s="2">
        <v>100</v>
      </c>
      <c r="CR336" s="2" t="s">
        <v>511</v>
      </c>
      <c r="CT336" s="2" t="s">
        <v>188</v>
      </c>
      <c r="CU336" s="2" t="s">
        <v>205</v>
      </c>
      <c r="CW336" s="2" t="s">
        <v>206</v>
      </c>
      <c r="CY336" s="2" t="s">
        <v>273</v>
      </c>
      <c r="CZ336" s="2" t="s">
        <v>273</v>
      </c>
      <c r="DA336" s="2" t="s">
        <v>299</v>
      </c>
      <c r="DB336" s="2" t="s">
        <v>299</v>
      </c>
      <c r="DC336" s="2" t="s">
        <v>299</v>
      </c>
      <c r="DD336" s="2" t="s">
        <v>299</v>
      </c>
      <c r="DE336" s="2" t="s">
        <v>299</v>
      </c>
      <c r="DF336" s="2" t="s">
        <v>273</v>
      </c>
      <c r="DG336" s="2" t="s">
        <v>273</v>
      </c>
      <c r="DH336" s="2" t="s">
        <v>273</v>
      </c>
      <c r="DI336" s="2" t="s">
        <v>273</v>
      </c>
      <c r="DL336" s="2" t="s">
        <v>187</v>
      </c>
      <c r="DM336" s="2" t="s">
        <v>187</v>
      </c>
      <c r="DN336" s="2" t="s">
        <v>187</v>
      </c>
      <c r="DO336" s="2" t="s">
        <v>187</v>
      </c>
      <c r="DP336" s="2" t="s">
        <v>209</v>
      </c>
      <c r="DQ336" s="2" t="s">
        <v>467</v>
      </c>
      <c r="DR336" s="2" t="s">
        <v>2251</v>
      </c>
      <c r="DT336" s="2" t="s">
        <v>209</v>
      </c>
      <c r="DU336" s="2" t="s">
        <v>209</v>
      </c>
      <c r="DV336" s="2" t="s">
        <v>209</v>
      </c>
      <c r="DW336" s="2" t="s">
        <v>209</v>
      </c>
      <c r="DX336" s="2" t="s">
        <v>209</v>
      </c>
      <c r="DZ336" s="2" t="s">
        <v>203</v>
      </c>
      <c r="EA336" s="2" t="s">
        <v>203</v>
      </c>
      <c r="EB336" s="2" t="s">
        <v>209</v>
      </c>
      <c r="EF336" s="2" t="s">
        <v>302</v>
      </c>
      <c r="EG336" s="2" t="s">
        <v>2252</v>
      </c>
      <c r="EJ336" s="2" t="s">
        <v>238</v>
      </c>
      <c r="EK336" s="2" t="s">
        <v>187</v>
      </c>
      <c r="EL336" s="2" t="s">
        <v>188</v>
      </c>
      <c r="EN336" s="2" t="s">
        <v>214</v>
      </c>
      <c r="EP336" s="2" t="s">
        <v>230</v>
      </c>
      <c r="ER336" s="2" t="s">
        <v>187</v>
      </c>
      <c r="ET336" s="2" t="s">
        <v>188</v>
      </c>
      <c r="EV336" s="2" t="s">
        <v>188</v>
      </c>
      <c r="EX336" s="2" t="s">
        <v>188</v>
      </c>
      <c r="EZ336" s="2" t="s">
        <v>188</v>
      </c>
      <c r="FC336" s="2" t="s">
        <v>263</v>
      </c>
      <c r="FD336" s="2" t="s">
        <v>188</v>
      </c>
      <c r="FH336" s="2" t="s">
        <v>188</v>
      </c>
      <c r="FJ336" s="2" t="s">
        <v>188</v>
      </c>
      <c r="FK336" s="2" t="s">
        <v>209</v>
      </c>
      <c r="FL336" s="2" t="s">
        <v>2220</v>
      </c>
      <c r="FN336" s="2" t="s">
        <v>488</v>
      </c>
      <c r="FR336" s="2" t="s">
        <v>2253</v>
      </c>
      <c r="FT336" s="2" t="s">
        <v>233</v>
      </c>
      <c r="FU336" s="2" t="s">
        <v>233</v>
      </c>
      <c r="FV336" s="2" t="s">
        <v>233</v>
      </c>
      <c r="FW336" s="2" t="s">
        <v>233</v>
      </c>
      <c r="FZ336" s="4">
        <v>46043.722361111111</v>
      </c>
    </row>
    <row r="337" spans="1:182">
      <c r="A337" s="2" t="s">
        <v>2254</v>
      </c>
      <c r="D337" s="6">
        <v>46034.716689814813</v>
      </c>
      <c r="E337" s="2" t="s">
        <v>2255</v>
      </c>
      <c r="F337" s="2" t="s">
        <v>590</v>
      </c>
      <c r="G337" s="2" t="s">
        <v>1965</v>
      </c>
      <c r="H337" s="2" t="s">
        <v>2001</v>
      </c>
      <c r="I337" s="2" t="s">
        <v>2256</v>
      </c>
      <c r="J337" s="2">
        <v>869588317</v>
      </c>
      <c r="K337" s="2" t="s">
        <v>2257</v>
      </c>
      <c r="L337" s="2" t="s">
        <v>182</v>
      </c>
      <c r="M337" s="2" t="s">
        <v>223</v>
      </c>
      <c r="N337" s="2">
        <v>2000</v>
      </c>
      <c r="O337" s="2" t="s">
        <v>834</v>
      </c>
      <c r="P337" s="2" t="s">
        <v>225</v>
      </c>
      <c r="Q337" s="2" t="s">
        <v>226</v>
      </c>
      <c r="R337" s="2" t="s">
        <v>188</v>
      </c>
      <c r="S337" s="2">
        <v>8</v>
      </c>
      <c r="T337" s="2" t="s">
        <v>188</v>
      </c>
      <c r="U337" s="2" t="s">
        <v>188</v>
      </c>
      <c r="Y337" s="2">
        <v>200</v>
      </c>
      <c r="Z337" s="2">
        <v>1</v>
      </c>
      <c r="AA337" s="2">
        <v>200</v>
      </c>
      <c r="AB337" s="2">
        <v>200</v>
      </c>
      <c r="AC337" s="2">
        <v>200</v>
      </c>
      <c r="AD337" s="2">
        <v>250</v>
      </c>
      <c r="AE337" s="2">
        <v>50</v>
      </c>
      <c r="AF337" s="2" t="s">
        <v>188</v>
      </c>
      <c r="AG337" s="2" t="s">
        <v>188</v>
      </c>
      <c r="AH337" s="2" t="s">
        <v>188</v>
      </c>
      <c r="AJ337" s="2" t="s">
        <v>188</v>
      </c>
      <c r="AK337" s="2" t="s">
        <v>188</v>
      </c>
      <c r="AL337" s="2" t="s">
        <v>188</v>
      </c>
      <c r="AM337" s="2" t="s">
        <v>188</v>
      </c>
      <c r="AN337" s="2" t="s">
        <v>188</v>
      </c>
      <c r="AO337" s="2" t="s">
        <v>188</v>
      </c>
      <c r="AR337" s="2">
        <v>0.9</v>
      </c>
      <c r="AS337" s="2">
        <v>3</v>
      </c>
      <c r="AT337" s="2">
        <v>2</v>
      </c>
      <c r="AU337" s="2" t="s">
        <v>203</v>
      </c>
      <c r="AV337" s="2" t="s">
        <v>189</v>
      </c>
      <c r="AW337" s="2" t="s">
        <v>188</v>
      </c>
      <c r="AZ337" s="2" t="s">
        <v>271</v>
      </c>
      <c r="BA337" s="2" t="s">
        <v>1144</v>
      </c>
      <c r="BB337" s="2" t="s">
        <v>260</v>
      </c>
      <c r="BC337" s="2" t="s">
        <v>253</v>
      </c>
      <c r="BD337" s="2" t="s">
        <v>188</v>
      </c>
      <c r="BE337" s="2" t="s">
        <v>188</v>
      </c>
      <c r="BL337" s="2" t="s">
        <v>240</v>
      </c>
      <c r="BO337" s="2" t="s">
        <v>188</v>
      </c>
      <c r="BQ337" s="2" t="s">
        <v>227</v>
      </c>
      <c r="BS337" s="2" t="s">
        <v>187</v>
      </c>
      <c r="BT337" s="2" t="s">
        <v>651</v>
      </c>
      <c r="BV337" s="2" t="s">
        <v>495</v>
      </c>
      <c r="BX337" s="2" t="s">
        <v>188</v>
      </c>
      <c r="BZ337" s="2" t="s">
        <v>188</v>
      </c>
      <c r="CE337" s="2">
        <v>2</v>
      </c>
      <c r="CF337" s="2">
        <v>250</v>
      </c>
      <c r="CK337" s="2">
        <v>100</v>
      </c>
      <c r="CO337" s="2">
        <v>100</v>
      </c>
      <c r="CR337" s="2" t="s">
        <v>204</v>
      </c>
      <c r="CT337" s="2" t="s">
        <v>188</v>
      </c>
      <c r="CU337" s="2" t="s">
        <v>205</v>
      </c>
      <c r="CW337" s="2" t="s">
        <v>206</v>
      </c>
      <c r="CY337" s="2" t="s">
        <v>273</v>
      </c>
      <c r="CZ337" s="2" t="s">
        <v>300</v>
      </c>
      <c r="DA337" s="2" t="s">
        <v>300</v>
      </c>
      <c r="DB337" s="2" t="s">
        <v>300</v>
      </c>
      <c r="DC337" s="2" t="s">
        <v>430</v>
      </c>
      <c r="DD337" s="2" t="s">
        <v>300</v>
      </c>
      <c r="DE337" s="2" t="s">
        <v>300</v>
      </c>
      <c r="DF337" s="2" t="s">
        <v>300</v>
      </c>
      <c r="DG337" s="2" t="s">
        <v>300</v>
      </c>
      <c r="DH337" s="2" t="s">
        <v>300</v>
      </c>
      <c r="DI337" s="2" t="s">
        <v>300</v>
      </c>
      <c r="DL337" s="2" t="s">
        <v>188</v>
      </c>
      <c r="DM337" s="2" t="s">
        <v>188</v>
      </c>
      <c r="DP337" s="2" t="s">
        <v>203</v>
      </c>
      <c r="DT337" s="2" t="s">
        <v>203</v>
      </c>
      <c r="DU337" s="2" t="s">
        <v>203</v>
      </c>
      <c r="DV337" s="2" t="s">
        <v>203</v>
      </c>
      <c r="DW337" s="2" t="s">
        <v>203</v>
      </c>
      <c r="DX337" s="2" t="s">
        <v>203</v>
      </c>
      <c r="DY337" s="2" t="s">
        <v>203</v>
      </c>
      <c r="DZ337" s="2" t="s">
        <v>203</v>
      </c>
      <c r="EA337" s="2" t="s">
        <v>203</v>
      </c>
      <c r="EB337" s="2" t="s">
        <v>203</v>
      </c>
      <c r="EC337" s="2" t="s">
        <v>203</v>
      </c>
      <c r="EF337" s="2" t="s">
        <v>189</v>
      </c>
      <c r="EG337" s="2" t="s">
        <v>2258</v>
      </c>
      <c r="EJ337" s="2" t="s">
        <v>203</v>
      </c>
      <c r="EK337" s="2" t="s">
        <v>188</v>
      </c>
      <c r="EL337" s="2" t="s">
        <v>188</v>
      </c>
      <c r="EN337" s="2" t="s">
        <v>255</v>
      </c>
      <c r="EP337" s="2" t="s">
        <v>230</v>
      </c>
      <c r="ER337" s="2" t="s">
        <v>188</v>
      </c>
      <c r="ET337" s="2" t="s">
        <v>188</v>
      </c>
      <c r="EV337" s="2" t="s">
        <v>188</v>
      </c>
      <c r="EX337" s="2" t="s">
        <v>188</v>
      </c>
      <c r="EZ337" s="2" t="s">
        <v>188</v>
      </c>
      <c r="FC337" s="2" t="s">
        <v>263</v>
      </c>
      <c r="FD337" s="2" t="s">
        <v>188</v>
      </c>
      <c r="FH337" s="2" t="s">
        <v>188</v>
      </c>
      <c r="FJ337" s="2" t="s">
        <v>188</v>
      </c>
      <c r="FK337" s="2" t="s">
        <v>188</v>
      </c>
      <c r="FN337" s="2" t="s">
        <v>432</v>
      </c>
      <c r="FR337" s="2" t="s">
        <v>2259</v>
      </c>
      <c r="FT337" s="2" t="s">
        <v>233</v>
      </c>
      <c r="FU337" s="2" t="s">
        <v>219</v>
      </c>
      <c r="FV337" s="2" t="s">
        <v>219</v>
      </c>
      <c r="FW337" s="2" t="s">
        <v>219</v>
      </c>
      <c r="FZ337" s="4">
        <v>46040.903877314813</v>
      </c>
    </row>
    <row r="338" spans="1:182">
      <c r="A338" s="2" t="s">
        <v>2260</v>
      </c>
      <c r="D338" s="6">
        <v>46034.720243055555</v>
      </c>
      <c r="E338" s="2" t="s">
        <v>177</v>
      </c>
      <c r="F338" s="2" t="s">
        <v>178</v>
      </c>
      <c r="G338" s="2" t="s">
        <v>1965</v>
      </c>
      <c r="H338" s="2" t="s">
        <v>2012</v>
      </c>
      <c r="I338" s="2" t="s">
        <v>2261</v>
      </c>
      <c r="J338" s="2">
        <v>329559377</v>
      </c>
      <c r="K338" s="2" t="s">
        <v>2261</v>
      </c>
      <c r="L338" s="2" t="s">
        <v>182</v>
      </c>
      <c r="M338" s="2" t="s">
        <v>183</v>
      </c>
      <c r="N338" s="2">
        <v>1992</v>
      </c>
      <c r="O338" s="2" t="s">
        <v>834</v>
      </c>
      <c r="P338" s="2" t="s">
        <v>185</v>
      </c>
      <c r="Q338" s="2" t="s">
        <v>270</v>
      </c>
      <c r="R338" s="2" t="s">
        <v>188</v>
      </c>
      <c r="S338" s="2">
        <v>19</v>
      </c>
      <c r="T338" s="2" t="s">
        <v>188</v>
      </c>
      <c r="U338" s="2" t="s">
        <v>188</v>
      </c>
      <c r="Y338" s="2">
        <v>83</v>
      </c>
      <c r="Z338" s="2">
        <v>0.75900000000000001</v>
      </c>
      <c r="AA338" s="2">
        <v>63</v>
      </c>
      <c r="AB338" s="2">
        <v>63</v>
      </c>
      <c r="AC338" s="2">
        <v>63</v>
      </c>
      <c r="AD338" s="2">
        <v>81</v>
      </c>
      <c r="AE338" s="2">
        <v>18</v>
      </c>
      <c r="AF338" s="2" t="s">
        <v>187</v>
      </c>
      <c r="AG338" s="2" t="s">
        <v>188</v>
      </c>
      <c r="AH338" s="2" t="s">
        <v>188</v>
      </c>
      <c r="AJ338" s="2" t="s">
        <v>188</v>
      </c>
      <c r="AK338" s="2" t="s">
        <v>188</v>
      </c>
      <c r="AL338" s="2" t="s">
        <v>188</v>
      </c>
      <c r="AM338" s="2" t="s">
        <v>187</v>
      </c>
      <c r="AN338" s="2" t="s">
        <v>188</v>
      </c>
      <c r="AO338" s="2" t="s">
        <v>188</v>
      </c>
      <c r="AR338" s="2">
        <v>0.5</v>
      </c>
      <c r="AS338" s="2">
        <v>1</v>
      </c>
      <c r="AT338" s="2">
        <v>0.8</v>
      </c>
      <c r="AU338" s="2" t="s">
        <v>238</v>
      </c>
      <c r="AV338" s="2" t="s">
        <v>238</v>
      </c>
      <c r="AW338" s="2" t="s">
        <v>188</v>
      </c>
      <c r="AZ338" s="2" t="s">
        <v>190</v>
      </c>
      <c r="BB338" s="2" t="s">
        <v>260</v>
      </c>
      <c r="BC338" s="2" t="s">
        <v>192</v>
      </c>
      <c r="BD338" s="2" t="s">
        <v>188</v>
      </c>
      <c r="BE338" s="2" t="s">
        <v>187</v>
      </c>
      <c r="BF338" s="2" t="s">
        <v>193</v>
      </c>
      <c r="BG338" s="2" t="s">
        <v>194</v>
      </c>
      <c r="BH338" s="2" t="s">
        <v>280</v>
      </c>
      <c r="BI338" s="2" t="s">
        <v>196</v>
      </c>
      <c r="BL338" s="2" t="s">
        <v>240</v>
      </c>
      <c r="BO338" s="2" t="s">
        <v>188</v>
      </c>
      <c r="BQ338" s="2" t="s">
        <v>200</v>
      </c>
      <c r="BS338" s="2" t="s">
        <v>187</v>
      </c>
      <c r="BT338" s="2" t="s">
        <v>261</v>
      </c>
      <c r="BV338" s="2" t="s">
        <v>248</v>
      </c>
      <c r="BX338" s="2" t="s">
        <v>188</v>
      </c>
      <c r="BZ338" s="2" t="s">
        <v>203</v>
      </c>
      <c r="CE338" s="2">
        <v>0.8</v>
      </c>
      <c r="CF338" s="2">
        <v>81</v>
      </c>
      <c r="CK338" s="2">
        <v>100</v>
      </c>
      <c r="CO338" s="2">
        <v>100</v>
      </c>
      <c r="CR338" s="2" t="s">
        <v>204</v>
      </c>
      <c r="CT338" s="2" t="s">
        <v>188</v>
      </c>
      <c r="CU338" s="2" t="s">
        <v>281</v>
      </c>
      <c r="CW338" s="2" t="s">
        <v>206</v>
      </c>
      <c r="CY338" s="2" t="s">
        <v>208</v>
      </c>
      <c r="CZ338" s="2" t="s">
        <v>208</v>
      </c>
      <c r="DL338" s="2" t="s">
        <v>188</v>
      </c>
      <c r="DM338" s="2" t="s">
        <v>188</v>
      </c>
      <c r="DP338" s="2" t="s">
        <v>188</v>
      </c>
      <c r="DT338" s="2" t="s">
        <v>203</v>
      </c>
      <c r="DU338" s="2" t="s">
        <v>203</v>
      </c>
      <c r="DV338" s="2" t="s">
        <v>203</v>
      </c>
      <c r="DW338" s="2" t="s">
        <v>203</v>
      </c>
      <c r="DX338" s="2" t="s">
        <v>203</v>
      </c>
      <c r="DY338" s="2" t="s">
        <v>203</v>
      </c>
      <c r="DZ338" s="2" t="s">
        <v>203</v>
      </c>
      <c r="EA338" s="2" t="s">
        <v>203</v>
      </c>
      <c r="EB338" s="2" t="s">
        <v>203</v>
      </c>
      <c r="EJ338" s="2" t="s">
        <v>203</v>
      </c>
      <c r="EK338" s="2" t="s">
        <v>188</v>
      </c>
      <c r="EL338" s="2" t="s">
        <v>188</v>
      </c>
      <c r="EP338" s="2" t="s">
        <v>174</v>
      </c>
      <c r="EQ338" s="2" t="s">
        <v>2262</v>
      </c>
      <c r="ER338" s="2" t="s">
        <v>188</v>
      </c>
      <c r="ET338" s="2" t="s">
        <v>188</v>
      </c>
      <c r="EV338" s="2" t="s">
        <v>188</v>
      </c>
      <c r="EX338" s="2" t="s">
        <v>188</v>
      </c>
      <c r="EZ338" s="2" t="s">
        <v>188</v>
      </c>
      <c r="FC338" s="2" t="s">
        <v>263</v>
      </c>
      <c r="FD338" s="2" t="s">
        <v>188</v>
      </c>
      <c r="FH338" s="2" t="s">
        <v>188</v>
      </c>
      <c r="FJ338" s="2" t="s">
        <v>187</v>
      </c>
      <c r="FK338" s="2" t="s">
        <v>188</v>
      </c>
      <c r="FT338" s="2" t="s">
        <v>490</v>
      </c>
      <c r="FU338" s="2" t="s">
        <v>490</v>
      </c>
      <c r="FV338" s="2" t="s">
        <v>233</v>
      </c>
      <c r="FW338" s="2" t="s">
        <v>490</v>
      </c>
      <c r="FZ338" s="4">
        <v>46040.740358796298</v>
      </c>
    </row>
    <row r="339" spans="1:182">
      <c r="A339" s="2" t="s">
        <v>2263</v>
      </c>
      <c r="D339" s="6">
        <v>46034.729803240742</v>
      </c>
      <c r="E339" s="2" t="s">
        <v>2264</v>
      </c>
      <c r="F339" s="2" t="s">
        <v>398</v>
      </c>
      <c r="G339" s="2" t="s">
        <v>1965</v>
      </c>
      <c r="H339" s="2" t="s">
        <v>2197</v>
      </c>
      <c r="I339" s="2" t="s">
        <v>2265</v>
      </c>
      <c r="J339" s="2">
        <v>367862240</v>
      </c>
      <c r="K339" s="2" t="s">
        <v>2266</v>
      </c>
      <c r="L339" s="2" t="s">
        <v>182</v>
      </c>
      <c r="M339" s="2" t="s">
        <v>183</v>
      </c>
      <c r="N339" s="2">
        <v>1970</v>
      </c>
      <c r="O339" s="2" t="s">
        <v>224</v>
      </c>
      <c r="P339" s="2" t="s">
        <v>185</v>
      </c>
      <c r="Q339" s="2" t="s">
        <v>186</v>
      </c>
      <c r="R339" s="2" t="s">
        <v>188</v>
      </c>
      <c r="S339" s="2">
        <v>30</v>
      </c>
      <c r="T339" s="2" t="s">
        <v>188</v>
      </c>
      <c r="U339" s="2" t="s">
        <v>188</v>
      </c>
      <c r="Y339" s="2">
        <v>540</v>
      </c>
      <c r="Z339" s="2">
        <v>1</v>
      </c>
      <c r="AA339" s="2">
        <v>540</v>
      </c>
      <c r="AB339" s="2">
        <v>540</v>
      </c>
      <c r="AC339" s="2">
        <v>540</v>
      </c>
      <c r="AD339" s="2">
        <v>600</v>
      </c>
      <c r="AE339" s="2">
        <v>60</v>
      </c>
      <c r="AF339" s="2" t="s">
        <v>188</v>
      </c>
      <c r="AG339" s="2" t="s">
        <v>188</v>
      </c>
      <c r="AH339" s="2" t="s">
        <v>188</v>
      </c>
      <c r="AJ339" s="2" t="s">
        <v>188</v>
      </c>
      <c r="AK339" s="2" t="s">
        <v>188</v>
      </c>
      <c r="AL339" s="2" t="s">
        <v>188</v>
      </c>
      <c r="AM339" s="2" t="s">
        <v>188</v>
      </c>
      <c r="AN339" s="2" t="s">
        <v>188</v>
      </c>
      <c r="AO339" s="2" t="s">
        <v>188</v>
      </c>
      <c r="AR339" s="2">
        <v>2</v>
      </c>
      <c r="AS339" s="2">
        <v>2</v>
      </c>
      <c r="AT339" s="2">
        <v>6</v>
      </c>
      <c r="AU339" s="2" t="s">
        <v>189</v>
      </c>
      <c r="AV339" s="2" t="s">
        <v>189</v>
      </c>
      <c r="AW339" s="2" t="s">
        <v>188</v>
      </c>
      <c r="BC339" s="2" t="s">
        <v>192</v>
      </c>
      <c r="BD339" s="2" t="s">
        <v>187</v>
      </c>
      <c r="BE339" s="2" t="s">
        <v>188</v>
      </c>
      <c r="BL339" s="2" t="s">
        <v>197</v>
      </c>
      <c r="BM339" s="2" t="s">
        <v>198</v>
      </c>
      <c r="BN339" s="2" t="s">
        <v>199</v>
      </c>
      <c r="BO339" s="2" t="s">
        <v>188</v>
      </c>
      <c r="BQ339" s="2" t="s">
        <v>200</v>
      </c>
      <c r="BS339" s="2" t="s">
        <v>187</v>
      </c>
      <c r="BT339" s="2" t="s">
        <v>261</v>
      </c>
      <c r="BV339" s="2" t="s">
        <v>587</v>
      </c>
      <c r="BX339" s="2" t="s">
        <v>188</v>
      </c>
      <c r="BY339" s="2" t="s">
        <v>2267</v>
      </c>
      <c r="BZ339" s="2" t="s">
        <v>203</v>
      </c>
      <c r="CE339" s="2">
        <v>6</v>
      </c>
      <c r="CF339" s="2">
        <v>600</v>
      </c>
      <c r="CM339" s="2">
        <v>100</v>
      </c>
      <c r="CP339" s="2">
        <v>100</v>
      </c>
      <c r="CR339" s="2" t="s">
        <v>204</v>
      </c>
      <c r="CT339" s="2" t="s">
        <v>188</v>
      </c>
      <c r="CU339" s="2" t="s">
        <v>205</v>
      </c>
      <c r="CW339" s="2" t="s">
        <v>206</v>
      </c>
      <c r="CY339" s="2" t="s">
        <v>207</v>
      </c>
      <c r="CZ339" s="2" t="s">
        <v>207</v>
      </c>
      <c r="DA339" s="2" t="s">
        <v>300</v>
      </c>
      <c r="DB339" s="2" t="s">
        <v>207</v>
      </c>
      <c r="DC339" s="2" t="s">
        <v>300</v>
      </c>
      <c r="DD339" s="2" t="s">
        <v>300</v>
      </c>
      <c r="DE339" s="2" t="s">
        <v>300</v>
      </c>
      <c r="DF339" s="2" t="s">
        <v>207</v>
      </c>
      <c r="DG339" s="2" t="s">
        <v>207</v>
      </c>
      <c r="DH339" s="2" t="s">
        <v>207</v>
      </c>
      <c r="DI339" s="2" t="s">
        <v>207</v>
      </c>
      <c r="DL339" s="2" t="s">
        <v>187</v>
      </c>
      <c r="DM339" s="2" t="s">
        <v>187</v>
      </c>
      <c r="DN339" s="2" t="s">
        <v>187</v>
      </c>
      <c r="DO339" s="2" t="s">
        <v>187</v>
      </c>
      <c r="DP339" s="2" t="s">
        <v>209</v>
      </c>
      <c r="DQ339" s="2" t="s">
        <v>467</v>
      </c>
      <c r="DR339" s="2" t="s">
        <v>2268</v>
      </c>
      <c r="DT339" s="2" t="s">
        <v>209</v>
      </c>
      <c r="DU339" s="2" t="s">
        <v>209</v>
      </c>
      <c r="DV339" s="2" t="s">
        <v>209</v>
      </c>
      <c r="DW339" s="2" t="s">
        <v>209</v>
      </c>
      <c r="DX339" s="2" t="s">
        <v>209</v>
      </c>
      <c r="DY339" s="2" t="s">
        <v>209</v>
      </c>
      <c r="DZ339" s="2" t="s">
        <v>203</v>
      </c>
      <c r="EA339" s="2" t="s">
        <v>209</v>
      </c>
      <c r="EB339" s="2" t="s">
        <v>209</v>
      </c>
      <c r="EC339" s="2" t="s">
        <v>188</v>
      </c>
      <c r="EF339" s="2" t="s">
        <v>189</v>
      </c>
      <c r="EG339" s="2" t="s">
        <v>2269</v>
      </c>
      <c r="EJ339" s="2" t="s">
        <v>189</v>
      </c>
      <c r="EK339" s="2" t="s">
        <v>187</v>
      </c>
      <c r="EL339" s="2" t="s">
        <v>187</v>
      </c>
      <c r="EM339" s="2" t="s">
        <v>1582</v>
      </c>
      <c r="EN339" s="2" t="s">
        <v>214</v>
      </c>
      <c r="EP339" s="2" t="s">
        <v>230</v>
      </c>
      <c r="ER339" s="2" t="s">
        <v>187</v>
      </c>
      <c r="ET339" s="2" t="s">
        <v>188</v>
      </c>
      <c r="EV339" s="2" t="s">
        <v>188</v>
      </c>
      <c r="EX339" s="2" t="s">
        <v>188</v>
      </c>
      <c r="EZ339" s="2" t="s">
        <v>188</v>
      </c>
      <c r="FC339" s="2" t="s">
        <v>216</v>
      </c>
      <c r="FD339" s="2" t="s">
        <v>188</v>
      </c>
      <c r="FH339" s="2" t="s">
        <v>188</v>
      </c>
      <c r="FJ339" s="2" t="s">
        <v>188</v>
      </c>
      <c r="FK339" s="2" t="s">
        <v>209</v>
      </c>
      <c r="FL339" s="2" t="s">
        <v>319</v>
      </c>
      <c r="FN339" s="2" t="s">
        <v>432</v>
      </c>
      <c r="FR339" s="2" t="s">
        <v>2270</v>
      </c>
      <c r="FT339" s="2" t="s">
        <v>233</v>
      </c>
      <c r="FU339" s="2" t="s">
        <v>233</v>
      </c>
      <c r="FV339" s="2" t="s">
        <v>219</v>
      </c>
      <c r="FW339" s="2" t="s">
        <v>219</v>
      </c>
      <c r="FX339" s="2" t="s">
        <v>219</v>
      </c>
      <c r="FY339" s="2" t="s">
        <v>2178</v>
      </c>
      <c r="FZ339" s="4">
        <v>46039.932280092595</v>
      </c>
    </row>
    <row r="340" spans="1:182">
      <c r="A340" s="2" t="s">
        <v>2271</v>
      </c>
      <c r="D340" s="6">
        <v>46035.385763888888</v>
      </c>
      <c r="E340" s="2" t="s">
        <v>2272</v>
      </c>
      <c r="F340" s="2" t="s">
        <v>425</v>
      </c>
      <c r="G340" s="2" t="s">
        <v>2273</v>
      </c>
      <c r="H340" s="2" t="s">
        <v>2274</v>
      </c>
      <c r="I340" s="2" t="s">
        <v>2275</v>
      </c>
      <c r="J340" s="2">
        <v>336627786</v>
      </c>
      <c r="K340" s="2" t="s">
        <v>2275</v>
      </c>
      <c r="L340" s="2" t="s">
        <v>182</v>
      </c>
      <c r="M340" s="2" t="s">
        <v>183</v>
      </c>
      <c r="N340" s="2">
        <v>1988</v>
      </c>
      <c r="O340" s="2" t="s">
        <v>834</v>
      </c>
      <c r="P340" s="2" t="s">
        <v>185</v>
      </c>
      <c r="Q340" s="2" t="s">
        <v>226</v>
      </c>
      <c r="R340" s="2" t="s">
        <v>188</v>
      </c>
      <c r="S340" s="2">
        <v>24</v>
      </c>
      <c r="T340" s="2" t="s">
        <v>188</v>
      </c>
      <c r="U340" s="2" t="s">
        <v>188</v>
      </c>
      <c r="Y340" s="2">
        <v>240</v>
      </c>
      <c r="Z340" s="2">
        <v>0.875</v>
      </c>
      <c r="AA340" s="2">
        <v>210</v>
      </c>
      <c r="AB340" s="2">
        <v>200</v>
      </c>
      <c r="AC340" s="2">
        <v>170</v>
      </c>
      <c r="AD340" s="2">
        <v>200</v>
      </c>
      <c r="AE340" s="2">
        <v>30</v>
      </c>
      <c r="AF340" s="2" t="s">
        <v>187</v>
      </c>
      <c r="AG340" s="2" t="s">
        <v>188</v>
      </c>
      <c r="AH340" s="2" t="s">
        <v>187</v>
      </c>
      <c r="AI340" s="2" t="s">
        <v>308</v>
      </c>
      <c r="AJ340" s="2" t="s">
        <v>188</v>
      </c>
      <c r="AK340" s="2" t="s">
        <v>187</v>
      </c>
      <c r="AL340" s="2" t="s">
        <v>188</v>
      </c>
      <c r="AM340" s="2" t="s">
        <v>187</v>
      </c>
      <c r="AN340" s="2" t="s">
        <v>188</v>
      </c>
      <c r="AO340" s="2" t="s">
        <v>188</v>
      </c>
      <c r="AR340" s="2">
        <v>1</v>
      </c>
      <c r="AS340" s="2">
        <v>4</v>
      </c>
      <c r="AT340" s="2">
        <v>2</v>
      </c>
      <c r="AU340" s="2" t="s">
        <v>238</v>
      </c>
      <c r="AV340" s="2" t="s">
        <v>238</v>
      </c>
      <c r="AW340" s="2" t="s">
        <v>188</v>
      </c>
      <c r="AZ340" s="2" t="s">
        <v>2276</v>
      </c>
      <c r="BB340" s="2" t="s">
        <v>332</v>
      </c>
      <c r="BC340" s="2" t="s">
        <v>192</v>
      </c>
      <c r="BD340" s="2" t="s">
        <v>188</v>
      </c>
      <c r="BE340" s="2" t="s">
        <v>188</v>
      </c>
      <c r="BL340" s="2" t="s">
        <v>240</v>
      </c>
      <c r="BO340" s="2" t="s">
        <v>341</v>
      </c>
      <c r="BP340" s="2" t="s">
        <v>342</v>
      </c>
      <c r="BS340" s="2" t="s">
        <v>187</v>
      </c>
      <c r="BT340" s="2" t="s">
        <v>69</v>
      </c>
      <c r="BU340" s="2" t="s">
        <v>429</v>
      </c>
      <c r="BV340" s="2" t="s">
        <v>1628</v>
      </c>
      <c r="BX340" s="2" t="s">
        <v>188</v>
      </c>
      <c r="BZ340" s="2" t="s">
        <v>203</v>
      </c>
      <c r="CE340" s="2">
        <v>2</v>
      </c>
      <c r="CF340" s="2">
        <v>200</v>
      </c>
      <c r="CK340" s="2">
        <v>100</v>
      </c>
      <c r="CO340" s="2">
        <v>100</v>
      </c>
      <c r="CR340" s="2" t="s">
        <v>204</v>
      </c>
      <c r="CT340" s="2" t="s">
        <v>188</v>
      </c>
      <c r="CU340" s="2" t="s">
        <v>205</v>
      </c>
      <c r="CW340" s="2" t="s">
        <v>1039</v>
      </c>
      <c r="CY340" s="2" t="s">
        <v>300</v>
      </c>
      <c r="CZ340" s="2" t="s">
        <v>300</v>
      </c>
      <c r="DA340" s="2" t="s">
        <v>300</v>
      </c>
      <c r="DB340" s="2" t="s">
        <v>300</v>
      </c>
      <c r="DC340" s="2" t="s">
        <v>430</v>
      </c>
      <c r="DD340" s="2" t="s">
        <v>430</v>
      </c>
      <c r="DE340" s="2" t="s">
        <v>300</v>
      </c>
      <c r="DG340" s="2" t="s">
        <v>300</v>
      </c>
      <c r="DH340" s="2" t="s">
        <v>300</v>
      </c>
      <c r="DI340" s="2" t="s">
        <v>300</v>
      </c>
      <c r="DL340" s="2" t="s">
        <v>188</v>
      </c>
      <c r="DM340" s="2" t="s">
        <v>188</v>
      </c>
      <c r="DP340" s="2" t="s">
        <v>203</v>
      </c>
      <c r="DT340" s="2" t="s">
        <v>203</v>
      </c>
      <c r="DU340" s="2" t="s">
        <v>203</v>
      </c>
      <c r="DV340" s="2" t="s">
        <v>203</v>
      </c>
      <c r="DW340" s="2" t="s">
        <v>203</v>
      </c>
      <c r="DX340" s="2" t="s">
        <v>203</v>
      </c>
      <c r="DY340" s="2" t="s">
        <v>203</v>
      </c>
      <c r="DZ340" s="2" t="s">
        <v>203</v>
      </c>
      <c r="EA340" s="2" t="s">
        <v>203</v>
      </c>
      <c r="EB340" s="2" t="s">
        <v>203</v>
      </c>
      <c r="EC340" s="2" t="s">
        <v>203</v>
      </c>
      <c r="EF340" s="2" t="s">
        <v>496</v>
      </c>
      <c r="EG340" s="2" t="s">
        <v>431</v>
      </c>
      <c r="EJ340" s="2" t="s">
        <v>238</v>
      </c>
      <c r="EK340" s="2" t="s">
        <v>188</v>
      </c>
      <c r="EL340" s="2" t="s">
        <v>188</v>
      </c>
      <c r="EN340" s="2" t="s">
        <v>255</v>
      </c>
      <c r="EP340" s="2" t="s">
        <v>230</v>
      </c>
      <c r="ER340" s="2" t="s">
        <v>188</v>
      </c>
      <c r="ET340" s="2" t="s">
        <v>188</v>
      </c>
      <c r="EV340" s="2" t="s">
        <v>188</v>
      </c>
      <c r="EX340" s="2" t="s">
        <v>188</v>
      </c>
      <c r="EZ340" s="2" t="s">
        <v>188</v>
      </c>
      <c r="FC340" s="2" t="s">
        <v>263</v>
      </c>
      <c r="FD340" s="2" t="s">
        <v>188</v>
      </c>
      <c r="FH340" s="2" t="s">
        <v>188</v>
      </c>
      <c r="FJ340" s="2" t="s">
        <v>188</v>
      </c>
      <c r="FK340" s="2" t="s">
        <v>188</v>
      </c>
      <c r="FR340" s="2" t="s">
        <v>433</v>
      </c>
      <c r="FT340" s="2" t="s">
        <v>219</v>
      </c>
      <c r="FU340" s="2" t="s">
        <v>233</v>
      </c>
      <c r="FV340" s="2" t="s">
        <v>219</v>
      </c>
      <c r="FW340" s="2" t="s">
        <v>490</v>
      </c>
      <c r="FZ340" s="4">
        <v>46046.886967592596</v>
      </c>
    </row>
    <row r="341" spans="1:182">
      <c r="A341" s="2" t="s">
        <v>2277</v>
      </c>
      <c r="D341" s="6">
        <v>46035.388101851851</v>
      </c>
      <c r="E341" s="2" t="s">
        <v>2278</v>
      </c>
      <c r="F341" s="2" t="s">
        <v>480</v>
      </c>
      <c r="G341" s="2" t="s">
        <v>2273</v>
      </c>
      <c r="H341" s="2" t="s">
        <v>2279</v>
      </c>
      <c r="I341" s="2" t="s">
        <v>2280</v>
      </c>
      <c r="J341" s="2">
        <v>388501878</v>
      </c>
      <c r="K341" s="2" t="s">
        <v>2281</v>
      </c>
      <c r="L341" s="2" t="s">
        <v>182</v>
      </c>
      <c r="M341" s="2" t="s">
        <v>183</v>
      </c>
      <c r="N341" s="2">
        <v>1964</v>
      </c>
      <c r="O341" s="2" t="s">
        <v>834</v>
      </c>
      <c r="P341" s="2" t="s">
        <v>185</v>
      </c>
      <c r="Q341" s="2" t="s">
        <v>270</v>
      </c>
      <c r="R341" s="2" t="s">
        <v>188</v>
      </c>
      <c r="S341" s="2">
        <v>17</v>
      </c>
      <c r="T341" s="2" t="s">
        <v>188</v>
      </c>
      <c r="U341" s="2" t="s">
        <v>188</v>
      </c>
      <c r="Y341" s="2">
        <v>121</v>
      </c>
      <c r="Z341" s="2">
        <v>1</v>
      </c>
      <c r="AA341" s="2">
        <v>121</v>
      </c>
      <c r="AC341" s="2">
        <v>31</v>
      </c>
      <c r="AD341" s="2">
        <v>49</v>
      </c>
      <c r="AE341" s="2">
        <v>18</v>
      </c>
      <c r="AF341" s="2" t="s">
        <v>187</v>
      </c>
      <c r="AG341" s="2" t="s">
        <v>188</v>
      </c>
      <c r="AH341" s="2" t="s">
        <v>188</v>
      </c>
      <c r="AJ341" s="2" t="s">
        <v>188</v>
      </c>
      <c r="AK341" s="2" t="s">
        <v>187</v>
      </c>
      <c r="AN341" s="2" t="s">
        <v>188</v>
      </c>
      <c r="AO341" s="2" t="s">
        <v>188</v>
      </c>
      <c r="AR341" s="2">
        <v>0.8</v>
      </c>
      <c r="AS341" s="2">
        <v>1</v>
      </c>
      <c r="AT341" s="2">
        <v>0.5</v>
      </c>
      <c r="AU341" s="2" t="s">
        <v>238</v>
      </c>
      <c r="AV341" s="2" t="s">
        <v>238</v>
      </c>
      <c r="AW341" s="2" t="s">
        <v>188</v>
      </c>
      <c r="AZ341" s="2" t="s">
        <v>190</v>
      </c>
      <c r="BB341" s="2" t="s">
        <v>260</v>
      </c>
      <c r="BC341" s="2" t="s">
        <v>296</v>
      </c>
      <c r="BD341" s="2" t="s">
        <v>188</v>
      </c>
      <c r="BE341" s="2" t="s">
        <v>187</v>
      </c>
      <c r="BF341" s="2" t="s">
        <v>193</v>
      </c>
      <c r="BG341" s="2" t="s">
        <v>194</v>
      </c>
      <c r="BH341" s="2" t="s">
        <v>195</v>
      </c>
      <c r="BI341" s="2" t="s">
        <v>196</v>
      </c>
      <c r="BL341" s="2" t="s">
        <v>240</v>
      </c>
      <c r="BO341" s="2" t="s">
        <v>188</v>
      </c>
      <c r="BQ341" s="2" t="s">
        <v>309</v>
      </c>
      <c r="BS341" s="2" t="s">
        <v>188</v>
      </c>
      <c r="BT341" s="2" t="s">
        <v>484</v>
      </c>
      <c r="BV341" s="2" t="s">
        <v>2282</v>
      </c>
      <c r="BX341" s="2" t="s">
        <v>187</v>
      </c>
      <c r="BY341" s="2" t="s">
        <v>705</v>
      </c>
      <c r="BZ341" s="2" t="s">
        <v>203</v>
      </c>
      <c r="CE341" s="2">
        <v>0.5</v>
      </c>
      <c r="CF341" s="2">
        <v>49</v>
      </c>
      <c r="CK341" s="2">
        <v>100</v>
      </c>
      <c r="CO341" s="2">
        <v>100</v>
      </c>
      <c r="CR341" s="2" t="s">
        <v>511</v>
      </c>
      <c r="CT341" s="2" t="s">
        <v>188</v>
      </c>
      <c r="CU341" s="2" t="s">
        <v>205</v>
      </c>
      <c r="CW341" s="2" t="s">
        <v>206</v>
      </c>
      <c r="CY341" s="2" t="s">
        <v>300</v>
      </c>
      <c r="CZ341" s="2" t="s">
        <v>300</v>
      </c>
      <c r="DA341" s="2" t="s">
        <v>300</v>
      </c>
      <c r="DB341" s="2" t="s">
        <v>300</v>
      </c>
      <c r="DC341" s="2" t="s">
        <v>988</v>
      </c>
      <c r="DD341" s="2" t="s">
        <v>300</v>
      </c>
      <c r="DE341" s="2" t="s">
        <v>300</v>
      </c>
      <c r="DF341" s="2" t="s">
        <v>300</v>
      </c>
      <c r="DG341" s="2" t="s">
        <v>300</v>
      </c>
      <c r="DH341" s="2" t="s">
        <v>300</v>
      </c>
      <c r="DI341" s="2" t="s">
        <v>988</v>
      </c>
      <c r="DL341" s="2" t="s">
        <v>188</v>
      </c>
      <c r="DM341" s="2" t="s">
        <v>188</v>
      </c>
      <c r="DP341" s="2" t="s">
        <v>188</v>
      </c>
      <c r="DT341" s="2" t="s">
        <v>203</v>
      </c>
      <c r="DU341" s="2" t="s">
        <v>203</v>
      </c>
      <c r="DV341" s="2" t="s">
        <v>203</v>
      </c>
      <c r="DW341" s="2" t="s">
        <v>203</v>
      </c>
      <c r="DX341" s="2" t="s">
        <v>203</v>
      </c>
      <c r="DY341" s="2" t="s">
        <v>203</v>
      </c>
      <c r="DZ341" s="2" t="s">
        <v>203</v>
      </c>
      <c r="EA341" s="2" t="s">
        <v>203</v>
      </c>
      <c r="EB341" s="2" t="s">
        <v>203</v>
      </c>
      <c r="EF341" s="2" t="s">
        <v>496</v>
      </c>
      <c r="EG341" s="2" t="s">
        <v>2283</v>
      </c>
      <c r="EJ341" s="2" t="s">
        <v>203</v>
      </c>
      <c r="EK341" s="2" t="s">
        <v>188</v>
      </c>
      <c r="EL341" s="2" t="s">
        <v>188</v>
      </c>
      <c r="EN341" s="2" t="s">
        <v>255</v>
      </c>
      <c r="EP341" s="2" t="s">
        <v>230</v>
      </c>
      <c r="ET341" s="2" t="s">
        <v>188</v>
      </c>
      <c r="EV341" s="2" t="s">
        <v>188</v>
      </c>
      <c r="EX341" s="2" t="s">
        <v>188</v>
      </c>
      <c r="EZ341" s="2" t="s">
        <v>188</v>
      </c>
      <c r="FC341" s="2" t="s">
        <v>395</v>
      </c>
      <c r="FD341" s="2" t="s">
        <v>188</v>
      </c>
      <c r="FH341" s="2" t="s">
        <v>188</v>
      </c>
      <c r="FJ341" s="2" t="s">
        <v>188</v>
      </c>
      <c r="FK341" s="2" t="s">
        <v>188</v>
      </c>
      <c r="FN341" s="2" t="s">
        <v>488</v>
      </c>
      <c r="FR341" s="2" t="s">
        <v>2284</v>
      </c>
      <c r="FT341" s="2" t="s">
        <v>233</v>
      </c>
      <c r="FU341" s="2" t="s">
        <v>233</v>
      </c>
      <c r="FV341" s="2" t="s">
        <v>233</v>
      </c>
      <c r="FW341" s="2" t="s">
        <v>233</v>
      </c>
      <c r="FZ341" s="4">
        <v>46043.72246527778</v>
      </c>
    </row>
    <row r="342" spans="1:182">
      <c r="A342" s="2" t="s">
        <v>2285</v>
      </c>
      <c r="D342" s="6">
        <v>46035.387650462966</v>
      </c>
      <c r="E342" s="2" t="s">
        <v>2286</v>
      </c>
      <c r="F342" s="2" t="s">
        <v>398</v>
      </c>
      <c r="G342" s="2" t="s">
        <v>2273</v>
      </c>
      <c r="H342" s="2" t="s">
        <v>2287</v>
      </c>
      <c r="I342" s="2" t="s">
        <v>2288</v>
      </c>
      <c r="J342" s="2">
        <v>348838914</v>
      </c>
      <c r="K342" s="2" t="s">
        <v>2289</v>
      </c>
      <c r="L342" s="2" t="s">
        <v>182</v>
      </c>
      <c r="M342" s="2" t="s">
        <v>183</v>
      </c>
      <c r="N342" s="2">
        <v>2001</v>
      </c>
      <c r="O342" s="2" t="s">
        <v>834</v>
      </c>
      <c r="P342" s="2" t="s">
        <v>225</v>
      </c>
      <c r="Q342" s="2" t="s">
        <v>270</v>
      </c>
      <c r="R342" s="2" t="s">
        <v>188</v>
      </c>
      <c r="S342" s="2">
        <v>12</v>
      </c>
      <c r="T342" s="2" t="s">
        <v>188</v>
      </c>
      <c r="U342" s="2" t="s">
        <v>188</v>
      </c>
      <c r="Y342" s="2">
        <v>400</v>
      </c>
      <c r="Z342" s="2">
        <v>1</v>
      </c>
      <c r="AA342" s="2">
        <v>400</v>
      </c>
      <c r="AB342" s="2">
        <v>400</v>
      </c>
      <c r="AC342" s="2">
        <v>400</v>
      </c>
      <c r="AD342" s="2">
        <v>470</v>
      </c>
      <c r="AE342" s="2">
        <v>70</v>
      </c>
      <c r="AF342" s="2" t="s">
        <v>188</v>
      </c>
      <c r="AG342" s="2" t="s">
        <v>188</v>
      </c>
      <c r="AH342" s="2" t="s">
        <v>188</v>
      </c>
      <c r="AJ342" s="2" t="s">
        <v>188</v>
      </c>
      <c r="AK342" s="2" t="s">
        <v>188</v>
      </c>
      <c r="AL342" s="2" t="s">
        <v>188</v>
      </c>
      <c r="AM342" s="2" t="s">
        <v>188</v>
      </c>
      <c r="AN342" s="2" t="s">
        <v>188</v>
      </c>
      <c r="AO342" s="2" t="s">
        <v>188</v>
      </c>
      <c r="AR342" s="2">
        <v>1.6</v>
      </c>
      <c r="AS342" s="2">
        <v>3</v>
      </c>
      <c r="AT342" s="2">
        <v>4.7</v>
      </c>
      <c r="AU342" s="2" t="s">
        <v>238</v>
      </c>
      <c r="AV342" s="2" t="s">
        <v>238</v>
      </c>
      <c r="AW342" s="2" t="s">
        <v>188</v>
      </c>
      <c r="AZ342" s="2" t="s">
        <v>190</v>
      </c>
      <c r="BB342" s="2" t="s">
        <v>260</v>
      </c>
      <c r="BC342" s="2" t="s">
        <v>296</v>
      </c>
      <c r="BD342" s="2" t="s">
        <v>187</v>
      </c>
      <c r="BE342" s="2" t="s">
        <v>187</v>
      </c>
      <c r="BF342" s="2" t="s">
        <v>193</v>
      </c>
      <c r="BG342" s="2" t="s">
        <v>279</v>
      </c>
      <c r="BH342" s="2" t="s">
        <v>195</v>
      </c>
      <c r="BI342" s="2" t="s">
        <v>196</v>
      </c>
      <c r="BL342" s="2" t="s">
        <v>240</v>
      </c>
      <c r="BO342" s="2" t="s">
        <v>188</v>
      </c>
      <c r="BQ342" s="2" t="s">
        <v>200</v>
      </c>
      <c r="BS342" s="2" t="s">
        <v>187</v>
      </c>
      <c r="BT342" s="2" t="s">
        <v>201</v>
      </c>
      <c r="BV342" s="2" t="s">
        <v>567</v>
      </c>
      <c r="BX342" s="2" t="s">
        <v>188</v>
      </c>
      <c r="BY342" s="2" t="s">
        <v>2290</v>
      </c>
      <c r="BZ342" s="2" t="s">
        <v>203</v>
      </c>
      <c r="CE342" s="2">
        <v>4.7</v>
      </c>
      <c r="CF342" s="2">
        <v>470</v>
      </c>
      <c r="CK342" s="2">
        <v>100</v>
      </c>
      <c r="CP342" s="2">
        <v>100</v>
      </c>
      <c r="CR342" s="2" t="s">
        <v>204</v>
      </c>
      <c r="CT342" s="2" t="s">
        <v>188</v>
      </c>
      <c r="CU342" s="2" t="s">
        <v>205</v>
      </c>
      <c r="CW342" s="2" t="s">
        <v>206</v>
      </c>
      <c r="CY342" s="2" t="s">
        <v>300</v>
      </c>
      <c r="CZ342" s="2" t="s">
        <v>300</v>
      </c>
      <c r="DA342" s="2" t="s">
        <v>300</v>
      </c>
      <c r="DB342" s="2" t="s">
        <v>300</v>
      </c>
      <c r="DC342" s="2" t="s">
        <v>300</v>
      </c>
      <c r="DD342" s="2" t="s">
        <v>300</v>
      </c>
      <c r="DE342" s="2" t="s">
        <v>300</v>
      </c>
      <c r="DF342" s="2" t="s">
        <v>300</v>
      </c>
      <c r="DG342" s="2" t="s">
        <v>300</v>
      </c>
      <c r="DH342" s="2" t="s">
        <v>300</v>
      </c>
      <c r="DI342" s="2" t="s">
        <v>300</v>
      </c>
      <c r="DL342" s="2" t="s">
        <v>188</v>
      </c>
      <c r="DM342" s="2" t="s">
        <v>188</v>
      </c>
      <c r="DP342" s="2" t="s">
        <v>203</v>
      </c>
      <c r="DT342" s="2" t="s">
        <v>203</v>
      </c>
      <c r="DU342" s="2" t="s">
        <v>203</v>
      </c>
      <c r="DV342" s="2" t="s">
        <v>203</v>
      </c>
      <c r="DW342" s="2" t="s">
        <v>203</v>
      </c>
      <c r="DX342" s="2" t="s">
        <v>203</v>
      </c>
      <c r="DY342" s="2" t="s">
        <v>203</v>
      </c>
      <c r="DZ342" s="2" t="s">
        <v>203</v>
      </c>
      <c r="EA342" s="2" t="s">
        <v>203</v>
      </c>
      <c r="EB342" s="2" t="s">
        <v>203</v>
      </c>
      <c r="EC342" s="2" t="s">
        <v>203</v>
      </c>
      <c r="EF342" s="2" t="s">
        <v>302</v>
      </c>
      <c r="EG342" s="2" t="s">
        <v>2291</v>
      </c>
      <c r="EJ342" s="2" t="s">
        <v>238</v>
      </c>
      <c r="EK342" s="2" t="s">
        <v>188</v>
      </c>
      <c r="EL342" s="2" t="s">
        <v>188</v>
      </c>
      <c r="EN342" s="2" t="s">
        <v>214</v>
      </c>
      <c r="EP342" s="2" t="s">
        <v>230</v>
      </c>
      <c r="ER342" s="2" t="s">
        <v>188</v>
      </c>
      <c r="ET342" s="2" t="s">
        <v>188</v>
      </c>
      <c r="EV342" s="2" t="s">
        <v>188</v>
      </c>
      <c r="EX342" s="2" t="s">
        <v>188</v>
      </c>
      <c r="EZ342" s="2" t="s">
        <v>188</v>
      </c>
      <c r="FC342" s="2" t="s">
        <v>216</v>
      </c>
      <c r="FD342" s="2" t="s">
        <v>188</v>
      </c>
      <c r="FH342" s="2" t="s">
        <v>188</v>
      </c>
      <c r="FJ342" s="2" t="s">
        <v>188</v>
      </c>
      <c r="FK342" s="2" t="s">
        <v>203</v>
      </c>
      <c r="FN342" s="2" t="s">
        <v>432</v>
      </c>
      <c r="FR342" s="2" t="s">
        <v>461</v>
      </c>
      <c r="FT342" s="2" t="s">
        <v>233</v>
      </c>
      <c r="FU342" s="2" t="s">
        <v>233</v>
      </c>
      <c r="FV342" s="2" t="s">
        <v>233</v>
      </c>
      <c r="FW342" s="2" t="s">
        <v>219</v>
      </c>
      <c r="FX342" s="2" t="s">
        <v>233</v>
      </c>
      <c r="FY342" s="2" t="s">
        <v>2292</v>
      </c>
      <c r="FZ342" s="4">
        <v>46039.946134259262</v>
      </c>
    </row>
    <row r="343" spans="1:182">
      <c r="A343" s="2" t="s">
        <v>2293</v>
      </c>
      <c r="D343" s="6">
        <v>46035.390439814815</v>
      </c>
      <c r="E343" s="2" t="s">
        <v>177</v>
      </c>
      <c r="F343" s="2" t="s">
        <v>178</v>
      </c>
      <c r="G343" s="2" t="s">
        <v>2273</v>
      </c>
      <c r="H343" s="2" t="s">
        <v>2294</v>
      </c>
      <c r="I343" s="2" t="s">
        <v>2295</v>
      </c>
      <c r="J343" s="2">
        <v>862219413</v>
      </c>
      <c r="K343" s="2" t="s">
        <v>2295</v>
      </c>
      <c r="L343" s="2" t="s">
        <v>182</v>
      </c>
      <c r="M343" s="2" t="s">
        <v>183</v>
      </c>
      <c r="N343" s="2">
        <v>1978</v>
      </c>
      <c r="O343" s="2" t="s">
        <v>834</v>
      </c>
      <c r="P343" s="2" t="s">
        <v>185</v>
      </c>
      <c r="Q343" s="2" t="s">
        <v>186</v>
      </c>
      <c r="R343" s="2" t="s">
        <v>188</v>
      </c>
      <c r="S343" s="2">
        <v>28</v>
      </c>
      <c r="T343" s="2" t="s">
        <v>188</v>
      </c>
      <c r="U343" s="2" t="s">
        <v>188</v>
      </c>
      <c r="Y343" s="2">
        <v>606</v>
      </c>
      <c r="Z343" s="2">
        <v>0.94220000000000004</v>
      </c>
      <c r="AA343" s="2">
        <v>571</v>
      </c>
      <c r="AB343" s="2">
        <v>571</v>
      </c>
      <c r="AC343" s="2">
        <v>545</v>
      </c>
      <c r="AD343" s="2">
        <v>620</v>
      </c>
      <c r="AE343" s="2">
        <v>75</v>
      </c>
      <c r="AF343" s="2" t="s">
        <v>187</v>
      </c>
      <c r="AG343" s="2" t="s">
        <v>187</v>
      </c>
      <c r="AH343" s="2" t="s">
        <v>187</v>
      </c>
      <c r="AI343" s="2" t="s">
        <v>308</v>
      </c>
      <c r="AJ343" s="2" t="s">
        <v>188</v>
      </c>
      <c r="AK343" s="2" t="s">
        <v>188</v>
      </c>
      <c r="AL343" s="2" t="s">
        <v>187</v>
      </c>
      <c r="AM343" s="2" t="s">
        <v>188</v>
      </c>
      <c r="AN343" s="2" t="s">
        <v>188</v>
      </c>
      <c r="AO343" s="2" t="s">
        <v>188</v>
      </c>
      <c r="AR343" s="2">
        <v>2.4500000000000002</v>
      </c>
      <c r="AS343" s="2">
        <v>4</v>
      </c>
      <c r="AT343" s="2">
        <v>6.3</v>
      </c>
      <c r="AU343" s="2" t="s">
        <v>189</v>
      </c>
      <c r="AV343" s="2" t="s">
        <v>189</v>
      </c>
      <c r="AW343" s="2" t="s">
        <v>188</v>
      </c>
      <c r="BC343" s="2" t="s">
        <v>192</v>
      </c>
      <c r="BD343" s="2" t="s">
        <v>188</v>
      </c>
      <c r="BE343" s="2" t="s">
        <v>188</v>
      </c>
      <c r="BL343" s="2" t="s">
        <v>197</v>
      </c>
      <c r="BM343" s="2" t="s">
        <v>198</v>
      </c>
      <c r="BN343" s="2" t="s">
        <v>199</v>
      </c>
      <c r="BO343" s="2" t="s">
        <v>188</v>
      </c>
      <c r="BQ343" s="2" t="s">
        <v>200</v>
      </c>
      <c r="BT343" s="2" t="s">
        <v>201</v>
      </c>
      <c r="BV343" s="2" t="s">
        <v>248</v>
      </c>
      <c r="BX343" s="2" t="s">
        <v>188</v>
      </c>
      <c r="BZ343" s="2" t="s">
        <v>188</v>
      </c>
      <c r="CE343" s="2">
        <v>6.3</v>
      </c>
      <c r="CF343" s="2">
        <v>620</v>
      </c>
      <c r="CM343" s="2">
        <v>100</v>
      </c>
      <c r="CO343" s="2">
        <v>100</v>
      </c>
      <c r="CR343" s="2" t="s">
        <v>204</v>
      </c>
      <c r="CT343" s="2" t="s">
        <v>188</v>
      </c>
      <c r="CU343" s="2" t="s">
        <v>205</v>
      </c>
      <c r="CW343" s="2" t="s">
        <v>206</v>
      </c>
      <c r="CY343" s="2" t="s">
        <v>207</v>
      </c>
      <c r="CZ343" s="2" t="s">
        <v>207</v>
      </c>
      <c r="DA343" s="2" t="s">
        <v>207</v>
      </c>
      <c r="DB343" s="2" t="s">
        <v>208</v>
      </c>
      <c r="DC343" s="2" t="s">
        <v>208</v>
      </c>
      <c r="DD343" s="2" t="s">
        <v>208</v>
      </c>
      <c r="DE343" s="2" t="s">
        <v>208</v>
      </c>
      <c r="DF343" s="2" t="s">
        <v>208</v>
      </c>
      <c r="DG343" s="2" t="s">
        <v>208</v>
      </c>
      <c r="DH343" s="2" t="s">
        <v>208</v>
      </c>
      <c r="DI343" s="2" t="s">
        <v>208</v>
      </c>
      <c r="DL343" s="2" t="s">
        <v>187</v>
      </c>
      <c r="DM343" s="2" t="s">
        <v>187</v>
      </c>
      <c r="DN343" s="2" t="s">
        <v>187</v>
      </c>
      <c r="DO343" s="2" t="s">
        <v>187</v>
      </c>
      <c r="DP343" s="2" t="s">
        <v>209</v>
      </c>
      <c r="DQ343" s="2" t="s">
        <v>210</v>
      </c>
      <c r="DT343" s="2" t="s">
        <v>209</v>
      </c>
      <c r="DU343" s="2" t="s">
        <v>209</v>
      </c>
      <c r="DV343" s="2" t="s">
        <v>209</v>
      </c>
      <c r="DW343" s="2" t="s">
        <v>209</v>
      </c>
      <c r="DX343" s="2" t="s">
        <v>209</v>
      </c>
      <c r="DY343" s="2" t="s">
        <v>209</v>
      </c>
      <c r="DZ343" s="2" t="s">
        <v>209</v>
      </c>
      <c r="EA343" s="2" t="s">
        <v>209</v>
      </c>
      <c r="EB343" s="2" t="s">
        <v>209</v>
      </c>
      <c r="EF343" s="2" t="s">
        <v>211</v>
      </c>
      <c r="FH343" s="2" t="s">
        <v>188</v>
      </c>
      <c r="FJ343" s="2" t="s">
        <v>187</v>
      </c>
      <c r="FK343" s="2" t="s">
        <v>209</v>
      </c>
      <c r="FL343" s="2" t="s">
        <v>217</v>
      </c>
      <c r="FN343" s="2" t="s">
        <v>218</v>
      </c>
      <c r="FT343" s="2" t="s">
        <v>219</v>
      </c>
      <c r="FU343" s="2" t="s">
        <v>219</v>
      </c>
      <c r="FV343" s="2" t="s">
        <v>219</v>
      </c>
      <c r="FW343" s="2" t="s">
        <v>219</v>
      </c>
      <c r="FZ343" s="4">
        <v>46041.757673611108</v>
      </c>
    </row>
    <row r="344" spans="1:182">
      <c r="A344" s="2" t="s">
        <v>2296</v>
      </c>
      <c r="D344" s="6">
        <v>46035.396701388891</v>
      </c>
      <c r="E344" s="2" t="s">
        <v>2297</v>
      </c>
      <c r="F344" s="2" t="s">
        <v>590</v>
      </c>
      <c r="G344" s="2" t="s">
        <v>2273</v>
      </c>
      <c r="H344" s="2" t="s">
        <v>2298</v>
      </c>
      <c r="I344" s="2" t="s">
        <v>2299</v>
      </c>
      <c r="J344" s="2">
        <v>985071221</v>
      </c>
      <c r="K344" s="2" t="s">
        <v>2299</v>
      </c>
      <c r="L344" s="2" t="s">
        <v>182</v>
      </c>
      <c r="M344" s="2" t="s">
        <v>183</v>
      </c>
      <c r="N344" s="2">
        <v>1968</v>
      </c>
      <c r="O344" s="2" t="s">
        <v>834</v>
      </c>
      <c r="P344" s="2" t="s">
        <v>185</v>
      </c>
      <c r="Q344" s="2" t="s">
        <v>270</v>
      </c>
      <c r="R344" s="2" t="s">
        <v>188</v>
      </c>
      <c r="S344" s="2">
        <v>25</v>
      </c>
      <c r="T344" s="2" t="s">
        <v>188</v>
      </c>
      <c r="U344" s="2" t="s">
        <v>188</v>
      </c>
      <c r="Y344" s="2">
        <v>275</v>
      </c>
      <c r="Z344" s="2">
        <v>1</v>
      </c>
      <c r="AA344" s="2">
        <v>275</v>
      </c>
      <c r="AB344" s="2">
        <v>275</v>
      </c>
      <c r="AC344" s="2">
        <v>275</v>
      </c>
      <c r="AD344" s="2">
        <v>300</v>
      </c>
      <c r="AE344" s="2">
        <v>25</v>
      </c>
      <c r="AF344" s="2" t="s">
        <v>188</v>
      </c>
      <c r="AG344" s="2" t="s">
        <v>188</v>
      </c>
      <c r="AH344" s="2" t="s">
        <v>188</v>
      </c>
      <c r="AJ344" s="2" t="s">
        <v>188</v>
      </c>
      <c r="AK344" s="2" t="s">
        <v>188</v>
      </c>
      <c r="AL344" s="2" t="s">
        <v>188</v>
      </c>
      <c r="AM344" s="2" t="s">
        <v>188</v>
      </c>
      <c r="AN344" s="2" t="s">
        <v>188</v>
      </c>
      <c r="AO344" s="2" t="s">
        <v>188</v>
      </c>
      <c r="AR344" s="2">
        <v>1.3</v>
      </c>
      <c r="AS344" s="2">
        <v>2</v>
      </c>
      <c r="AT344" s="2">
        <v>2.5</v>
      </c>
      <c r="AU344" s="2" t="s">
        <v>203</v>
      </c>
      <c r="AV344" s="2" t="s">
        <v>238</v>
      </c>
      <c r="AW344" s="2" t="s">
        <v>188</v>
      </c>
      <c r="AZ344" s="2" t="s">
        <v>190</v>
      </c>
      <c r="BB344" s="2" t="s">
        <v>260</v>
      </c>
      <c r="BC344" s="2" t="s">
        <v>296</v>
      </c>
      <c r="BD344" s="2" t="s">
        <v>187</v>
      </c>
      <c r="BE344" s="2" t="s">
        <v>187</v>
      </c>
      <c r="BF344" s="2" t="s">
        <v>193</v>
      </c>
      <c r="BG344" s="2" t="s">
        <v>194</v>
      </c>
      <c r="BH344" s="2" t="s">
        <v>297</v>
      </c>
      <c r="BI344" s="2" t="s">
        <v>196</v>
      </c>
      <c r="BL344" s="2" t="s">
        <v>240</v>
      </c>
      <c r="BO344" s="2" t="s">
        <v>341</v>
      </c>
      <c r="BP344" s="2" t="s">
        <v>2039</v>
      </c>
      <c r="BS344" s="2" t="s">
        <v>188</v>
      </c>
      <c r="BT344" s="2" t="s">
        <v>521</v>
      </c>
      <c r="BV344" s="2" t="s">
        <v>522</v>
      </c>
      <c r="BX344" s="2" t="s">
        <v>188</v>
      </c>
      <c r="BZ344" s="2" t="s">
        <v>188</v>
      </c>
      <c r="CE344" s="2">
        <v>2.5</v>
      </c>
      <c r="CF344" s="2">
        <v>300</v>
      </c>
      <c r="CK344" s="2">
        <v>100</v>
      </c>
      <c r="CO344" s="2">
        <v>100</v>
      </c>
      <c r="CR344" s="2" t="s">
        <v>204</v>
      </c>
      <c r="CT344" s="2" t="s">
        <v>188</v>
      </c>
      <c r="CU344" s="2" t="s">
        <v>205</v>
      </c>
      <c r="CW344" s="2" t="s">
        <v>206</v>
      </c>
      <c r="CY344" s="2" t="s">
        <v>273</v>
      </c>
      <c r="CZ344" s="2" t="s">
        <v>300</v>
      </c>
      <c r="DA344" s="2" t="s">
        <v>300</v>
      </c>
      <c r="DB344" s="2" t="s">
        <v>300</v>
      </c>
      <c r="DC344" s="2" t="s">
        <v>430</v>
      </c>
      <c r="DD344" s="2" t="s">
        <v>300</v>
      </c>
      <c r="DE344" s="2" t="s">
        <v>273</v>
      </c>
      <c r="DF344" s="2" t="s">
        <v>273</v>
      </c>
      <c r="DG344" s="2" t="s">
        <v>300</v>
      </c>
      <c r="DH344" s="2" t="s">
        <v>300</v>
      </c>
      <c r="DI344" s="2" t="s">
        <v>300</v>
      </c>
      <c r="DL344" s="2" t="s">
        <v>188</v>
      </c>
      <c r="DM344" s="2" t="s">
        <v>187</v>
      </c>
      <c r="DN344" s="2" t="s">
        <v>187</v>
      </c>
      <c r="DO344" s="2" t="s">
        <v>187</v>
      </c>
      <c r="DP344" s="2" t="s">
        <v>203</v>
      </c>
      <c r="DT344" s="2" t="s">
        <v>209</v>
      </c>
      <c r="DU344" s="2" t="s">
        <v>209</v>
      </c>
      <c r="DV344" s="2" t="s">
        <v>209</v>
      </c>
      <c r="DW344" s="2" t="s">
        <v>209</v>
      </c>
      <c r="DX344" s="2" t="s">
        <v>209</v>
      </c>
      <c r="DY344" s="2" t="s">
        <v>209</v>
      </c>
      <c r="DZ344" s="2" t="s">
        <v>209</v>
      </c>
      <c r="EA344" s="2" t="s">
        <v>209</v>
      </c>
      <c r="EB344" s="2" t="s">
        <v>209</v>
      </c>
      <c r="EC344" s="2" t="s">
        <v>188</v>
      </c>
      <c r="EF344" s="2" t="s">
        <v>211</v>
      </c>
      <c r="EG344" s="2" t="s">
        <v>985</v>
      </c>
      <c r="EJ344" s="2" t="s">
        <v>203</v>
      </c>
      <c r="EK344" s="2" t="s">
        <v>188</v>
      </c>
      <c r="EL344" s="2" t="s">
        <v>188</v>
      </c>
      <c r="EN344" s="2" t="s">
        <v>255</v>
      </c>
      <c r="EP344" s="2" t="s">
        <v>230</v>
      </c>
      <c r="ER344" s="2" t="s">
        <v>188</v>
      </c>
      <c r="ET344" s="2" t="s">
        <v>188</v>
      </c>
      <c r="EV344" s="2" t="s">
        <v>188</v>
      </c>
      <c r="EX344" s="2" t="s">
        <v>188</v>
      </c>
      <c r="EZ344" s="2" t="s">
        <v>188</v>
      </c>
      <c r="FC344" s="2" t="s">
        <v>263</v>
      </c>
      <c r="FD344" s="2" t="s">
        <v>188</v>
      </c>
      <c r="FH344" s="2" t="s">
        <v>188</v>
      </c>
      <c r="FJ344" s="2" t="s">
        <v>188</v>
      </c>
      <c r="FK344" s="2" t="s">
        <v>188</v>
      </c>
      <c r="FN344" s="2" t="s">
        <v>990</v>
      </c>
      <c r="FR344" s="2" t="s">
        <v>461</v>
      </c>
      <c r="FT344" s="2" t="s">
        <v>233</v>
      </c>
      <c r="FU344" s="2" t="s">
        <v>233</v>
      </c>
      <c r="FV344" s="2" t="s">
        <v>233</v>
      </c>
      <c r="FW344" s="2" t="s">
        <v>233</v>
      </c>
      <c r="FZ344" s="4">
        <v>46047.624212962961</v>
      </c>
    </row>
    <row r="345" spans="1:182">
      <c r="A345" s="2" t="s">
        <v>2300</v>
      </c>
      <c r="D345" s="6">
        <v>46035.399224537039</v>
      </c>
      <c r="E345" s="2" t="s">
        <v>2301</v>
      </c>
      <c r="F345" s="2" t="s">
        <v>480</v>
      </c>
      <c r="G345" s="2" t="s">
        <v>2273</v>
      </c>
      <c r="H345" s="2" t="s">
        <v>2302</v>
      </c>
      <c r="I345" s="2" t="s">
        <v>2303</v>
      </c>
      <c r="J345" s="2">
        <v>986090487</v>
      </c>
      <c r="K345" s="2" t="s">
        <v>2304</v>
      </c>
      <c r="L345" s="2" t="s">
        <v>182</v>
      </c>
      <c r="M345" s="2" t="s">
        <v>183</v>
      </c>
      <c r="N345" s="2">
        <v>1977</v>
      </c>
      <c r="O345" s="2" t="s">
        <v>834</v>
      </c>
      <c r="P345" s="2" t="s">
        <v>185</v>
      </c>
      <c r="Q345" s="2" t="s">
        <v>186</v>
      </c>
      <c r="R345" s="2" t="s">
        <v>188</v>
      </c>
      <c r="S345" s="2">
        <v>17</v>
      </c>
      <c r="T345" s="2" t="s">
        <v>188</v>
      </c>
      <c r="U345" s="2" t="s">
        <v>188</v>
      </c>
      <c r="Y345" s="2">
        <v>312</v>
      </c>
      <c r="Z345" s="2">
        <v>1</v>
      </c>
      <c r="AA345" s="2">
        <v>312</v>
      </c>
      <c r="AC345" s="2">
        <v>312</v>
      </c>
      <c r="AD345" s="2">
        <v>392</v>
      </c>
      <c r="AE345" s="2">
        <v>80</v>
      </c>
      <c r="AF345" s="2" t="s">
        <v>188</v>
      </c>
      <c r="AG345" s="2" t="s">
        <v>188</v>
      </c>
      <c r="AH345" s="2" t="s">
        <v>188</v>
      </c>
      <c r="AJ345" s="2" t="s">
        <v>188</v>
      </c>
      <c r="AK345" s="2" t="s">
        <v>188</v>
      </c>
      <c r="AL345" s="2" t="s">
        <v>188</v>
      </c>
      <c r="AM345" s="2" t="s">
        <v>188</v>
      </c>
      <c r="AN345" s="2" t="s">
        <v>188</v>
      </c>
      <c r="AO345" s="2" t="s">
        <v>188</v>
      </c>
      <c r="AR345" s="2">
        <v>1</v>
      </c>
      <c r="AS345" s="2">
        <v>2</v>
      </c>
      <c r="AT345" s="2">
        <v>4</v>
      </c>
      <c r="AU345" s="2" t="s">
        <v>238</v>
      </c>
      <c r="AV345" s="2" t="s">
        <v>238</v>
      </c>
      <c r="AZ345" s="2" t="s">
        <v>190</v>
      </c>
      <c r="BB345" s="2" t="s">
        <v>260</v>
      </c>
      <c r="BC345" s="2" t="s">
        <v>296</v>
      </c>
      <c r="BD345" s="2" t="s">
        <v>188</v>
      </c>
      <c r="BE345" s="2" t="s">
        <v>187</v>
      </c>
      <c r="BF345" s="2" t="s">
        <v>193</v>
      </c>
      <c r="BG345" s="2" t="s">
        <v>194</v>
      </c>
      <c r="BH345" s="2" t="s">
        <v>280</v>
      </c>
      <c r="BI345" s="2" t="s">
        <v>196</v>
      </c>
      <c r="BL345" s="2" t="s">
        <v>240</v>
      </c>
      <c r="BO345" s="2" t="s">
        <v>188</v>
      </c>
      <c r="BQ345" s="2" t="s">
        <v>200</v>
      </c>
      <c r="BS345" s="2" t="s">
        <v>187</v>
      </c>
      <c r="BT345" s="2" t="s">
        <v>909</v>
      </c>
      <c r="BV345" s="2" t="s">
        <v>401</v>
      </c>
      <c r="BX345" s="2" t="s">
        <v>187</v>
      </c>
      <c r="BY345" s="2" t="s">
        <v>2305</v>
      </c>
      <c r="BZ345" s="2" t="s">
        <v>188</v>
      </c>
      <c r="CE345" s="2">
        <v>4</v>
      </c>
      <c r="CF345" s="2">
        <v>392</v>
      </c>
      <c r="CK345" s="2">
        <v>100</v>
      </c>
      <c r="CO345" s="2">
        <v>100</v>
      </c>
      <c r="CR345" s="2" t="s">
        <v>511</v>
      </c>
      <c r="CT345" s="2" t="s">
        <v>188</v>
      </c>
      <c r="CU345" s="2" t="s">
        <v>205</v>
      </c>
      <c r="CY345" s="2" t="s">
        <v>300</v>
      </c>
      <c r="CZ345" s="2" t="s">
        <v>300</v>
      </c>
      <c r="DA345" s="2" t="s">
        <v>300</v>
      </c>
      <c r="DB345" s="2" t="s">
        <v>300</v>
      </c>
      <c r="DC345" s="2" t="s">
        <v>300</v>
      </c>
      <c r="DD345" s="2" t="s">
        <v>300</v>
      </c>
      <c r="DE345" s="2" t="s">
        <v>300</v>
      </c>
      <c r="DF345" s="2" t="s">
        <v>300</v>
      </c>
      <c r="DG345" s="2" t="s">
        <v>300</v>
      </c>
      <c r="DH345" s="2" t="s">
        <v>300</v>
      </c>
      <c r="DI345" s="2" t="s">
        <v>988</v>
      </c>
      <c r="DL345" s="2" t="s">
        <v>187</v>
      </c>
      <c r="DM345" s="2" t="s">
        <v>188</v>
      </c>
      <c r="DP345" s="2" t="s">
        <v>188</v>
      </c>
      <c r="DT345" s="2" t="s">
        <v>209</v>
      </c>
      <c r="DU345" s="2" t="s">
        <v>209</v>
      </c>
      <c r="DV345" s="2" t="s">
        <v>209</v>
      </c>
      <c r="DW345" s="2" t="s">
        <v>209</v>
      </c>
      <c r="DX345" s="2" t="s">
        <v>209</v>
      </c>
      <c r="DY345" s="2" t="s">
        <v>209</v>
      </c>
      <c r="DZ345" s="2" t="s">
        <v>203</v>
      </c>
      <c r="EA345" s="2" t="s">
        <v>203</v>
      </c>
      <c r="EB345" s="2" t="s">
        <v>209</v>
      </c>
      <c r="EJ345" s="2" t="s">
        <v>203</v>
      </c>
      <c r="EK345" s="2" t="s">
        <v>188</v>
      </c>
      <c r="EL345" s="2" t="s">
        <v>188</v>
      </c>
      <c r="EN345" s="2" t="s">
        <v>597</v>
      </c>
      <c r="EP345" s="2" t="s">
        <v>230</v>
      </c>
      <c r="ER345" s="2" t="s">
        <v>188</v>
      </c>
      <c r="ET345" s="2" t="s">
        <v>188</v>
      </c>
      <c r="EV345" s="2" t="s">
        <v>188</v>
      </c>
      <c r="EX345" s="2" t="s">
        <v>188</v>
      </c>
      <c r="EZ345" s="2" t="s">
        <v>188</v>
      </c>
      <c r="FD345" s="2" t="s">
        <v>188</v>
      </c>
      <c r="FH345" s="2" t="s">
        <v>188</v>
      </c>
      <c r="FJ345" s="2" t="s">
        <v>188</v>
      </c>
      <c r="FK345" s="2" t="s">
        <v>203</v>
      </c>
      <c r="FN345" s="2" t="s">
        <v>488</v>
      </c>
      <c r="FT345" s="2" t="s">
        <v>233</v>
      </c>
      <c r="FU345" s="2" t="s">
        <v>233</v>
      </c>
      <c r="FV345" s="2" t="s">
        <v>233</v>
      </c>
      <c r="FW345" s="2" t="s">
        <v>233</v>
      </c>
    </row>
    <row r="346" spans="1:182">
      <c r="A346" s="2" t="s">
        <v>2306</v>
      </c>
      <c r="D346" s="6">
        <v>46035.391319444447</v>
      </c>
      <c r="E346" s="2" t="s">
        <v>2307</v>
      </c>
      <c r="F346" s="2" t="s">
        <v>398</v>
      </c>
      <c r="G346" s="2" t="s">
        <v>2273</v>
      </c>
      <c r="H346" s="2" t="s">
        <v>2308</v>
      </c>
      <c r="I346" s="2" t="s">
        <v>2309</v>
      </c>
      <c r="J346" s="2">
        <v>333450017</v>
      </c>
      <c r="K346" s="2" t="s">
        <v>2309</v>
      </c>
      <c r="L346" s="2" t="s">
        <v>269</v>
      </c>
      <c r="M346" s="2" t="s">
        <v>223</v>
      </c>
      <c r="N346" s="2">
        <v>1996</v>
      </c>
      <c r="O346" s="2" t="s">
        <v>834</v>
      </c>
      <c r="P346" s="2" t="s">
        <v>185</v>
      </c>
      <c r="Q346" s="2" t="s">
        <v>270</v>
      </c>
      <c r="R346" s="2" t="s">
        <v>188</v>
      </c>
      <c r="S346" s="2">
        <v>8</v>
      </c>
      <c r="T346" s="2" t="s">
        <v>188</v>
      </c>
      <c r="U346" s="2" t="s">
        <v>188</v>
      </c>
      <c r="Y346" s="2">
        <v>120</v>
      </c>
      <c r="Z346" s="2">
        <v>1</v>
      </c>
      <c r="AA346" s="2">
        <v>120</v>
      </c>
      <c r="AB346" s="2">
        <v>120</v>
      </c>
      <c r="AC346" s="2">
        <v>120</v>
      </c>
      <c r="AD346" s="2">
        <v>145</v>
      </c>
      <c r="AE346" s="2">
        <v>25</v>
      </c>
      <c r="AF346" s="2" t="s">
        <v>188</v>
      </c>
      <c r="AG346" s="2" t="s">
        <v>188</v>
      </c>
      <c r="AH346" s="2" t="s">
        <v>188</v>
      </c>
      <c r="AJ346" s="2" t="s">
        <v>188</v>
      </c>
      <c r="AK346" s="2" t="s">
        <v>188</v>
      </c>
      <c r="AL346" s="2" t="s">
        <v>188</v>
      </c>
      <c r="AM346" s="2" t="s">
        <v>188</v>
      </c>
      <c r="AN346" s="2" t="s">
        <v>188</v>
      </c>
      <c r="AO346" s="2" t="s">
        <v>188</v>
      </c>
      <c r="AR346" s="2">
        <v>0.8</v>
      </c>
      <c r="AS346" s="2">
        <v>2</v>
      </c>
      <c r="AT346" s="2">
        <v>1.5</v>
      </c>
      <c r="AU346" s="2" t="s">
        <v>238</v>
      </c>
      <c r="AV346" s="2" t="s">
        <v>238</v>
      </c>
      <c r="AW346" s="2" t="s">
        <v>188</v>
      </c>
      <c r="AZ346" s="2" t="s">
        <v>190</v>
      </c>
      <c r="BB346" s="2" t="s">
        <v>260</v>
      </c>
      <c r="BC346" s="2" t="s">
        <v>296</v>
      </c>
      <c r="BD346" s="2" t="s">
        <v>187</v>
      </c>
      <c r="BE346" s="2" t="s">
        <v>187</v>
      </c>
      <c r="BF346" s="2" t="s">
        <v>193</v>
      </c>
      <c r="BG346" s="2" t="s">
        <v>279</v>
      </c>
      <c r="BH346" s="2" t="s">
        <v>195</v>
      </c>
      <c r="BI346" s="2" t="s">
        <v>196</v>
      </c>
      <c r="BL346" s="2" t="s">
        <v>240</v>
      </c>
      <c r="BO346" s="2" t="s">
        <v>188</v>
      </c>
      <c r="BQ346" s="2" t="s">
        <v>200</v>
      </c>
      <c r="BS346" s="2" t="s">
        <v>187</v>
      </c>
      <c r="BT346" s="2" t="s">
        <v>261</v>
      </c>
      <c r="BV346" s="2" t="s">
        <v>248</v>
      </c>
      <c r="BX346" s="2" t="s">
        <v>188</v>
      </c>
      <c r="BY346" s="2" t="s">
        <v>1357</v>
      </c>
      <c r="BZ346" s="2" t="s">
        <v>203</v>
      </c>
      <c r="CE346" s="2">
        <v>1.5</v>
      </c>
      <c r="CF346" s="2">
        <v>145</v>
      </c>
      <c r="CK346" s="2">
        <v>100</v>
      </c>
      <c r="CP346" s="2">
        <v>100</v>
      </c>
      <c r="CR346" s="2" t="s">
        <v>204</v>
      </c>
      <c r="CT346" s="2" t="s">
        <v>188</v>
      </c>
      <c r="CU346" s="2" t="s">
        <v>205</v>
      </c>
      <c r="CW346" s="2" t="s">
        <v>206</v>
      </c>
      <c r="CY346" s="2" t="s">
        <v>300</v>
      </c>
      <c r="CZ346" s="2" t="s">
        <v>300</v>
      </c>
      <c r="DA346" s="2" t="s">
        <v>300</v>
      </c>
      <c r="DB346" s="2" t="s">
        <v>300</v>
      </c>
      <c r="DC346" s="2" t="s">
        <v>300</v>
      </c>
      <c r="DD346" s="2" t="s">
        <v>300</v>
      </c>
      <c r="DE346" s="2" t="s">
        <v>300</v>
      </c>
      <c r="DF346" s="2" t="s">
        <v>300</v>
      </c>
      <c r="DG346" s="2" t="s">
        <v>300</v>
      </c>
      <c r="DH346" s="2" t="s">
        <v>300</v>
      </c>
      <c r="DI346" s="2" t="s">
        <v>300</v>
      </c>
      <c r="DL346" s="2" t="s">
        <v>188</v>
      </c>
      <c r="DM346" s="2" t="s">
        <v>188</v>
      </c>
      <c r="DP346" s="2" t="s">
        <v>203</v>
      </c>
      <c r="DT346" s="2" t="s">
        <v>203</v>
      </c>
      <c r="DU346" s="2" t="s">
        <v>203</v>
      </c>
      <c r="DV346" s="2" t="s">
        <v>203</v>
      </c>
      <c r="DW346" s="2" t="s">
        <v>203</v>
      </c>
      <c r="DX346" s="2" t="s">
        <v>203</v>
      </c>
      <c r="DY346" s="2" t="s">
        <v>203</v>
      </c>
      <c r="DZ346" s="2" t="s">
        <v>203</v>
      </c>
      <c r="EA346" s="2" t="s">
        <v>203</v>
      </c>
      <c r="EB346" s="2" t="s">
        <v>203</v>
      </c>
      <c r="EC346" s="2" t="s">
        <v>203</v>
      </c>
      <c r="EF346" s="2" t="s">
        <v>302</v>
      </c>
      <c r="EG346" s="2" t="s">
        <v>2310</v>
      </c>
      <c r="EJ346" s="2" t="s">
        <v>238</v>
      </c>
      <c r="EK346" s="2" t="s">
        <v>188</v>
      </c>
      <c r="EL346" s="2" t="s">
        <v>188</v>
      </c>
      <c r="EN346" s="2" t="s">
        <v>214</v>
      </c>
      <c r="EP346" s="2" t="s">
        <v>230</v>
      </c>
      <c r="ER346" s="2" t="s">
        <v>188</v>
      </c>
      <c r="ET346" s="2" t="s">
        <v>188</v>
      </c>
      <c r="EV346" s="2" t="s">
        <v>188</v>
      </c>
      <c r="EX346" s="2" t="s">
        <v>188</v>
      </c>
      <c r="EZ346" s="2" t="s">
        <v>188</v>
      </c>
      <c r="FC346" s="2" t="s">
        <v>216</v>
      </c>
      <c r="FD346" s="2" t="s">
        <v>188</v>
      </c>
      <c r="FH346" s="2" t="s">
        <v>188</v>
      </c>
      <c r="FJ346" s="2" t="s">
        <v>188</v>
      </c>
      <c r="FK346" s="2" t="s">
        <v>203</v>
      </c>
      <c r="FN346" s="2" t="s">
        <v>432</v>
      </c>
      <c r="FR346" s="2" t="s">
        <v>2311</v>
      </c>
      <c r="FT346" s="2" t="s">
        <v>219</v>
      </c>
      <c r="FU346" s="2" t="s">
        <v>233</v>
      </c>
      <c r="FV346" s="2" t="s">
        <v>219</v>
      </c>
      <c r="FW346" s="2" t="s">
        <v>219</v>
      </c>
      <c r="FX346" s="2" t="s">
        <v>219</v>
      </c>
      <c r="FY346" s="2" t="s">
        <v>2312</v>
      </c>
      <c r="FZ346" s="4">
        <v>46039.955289351848</v>
      </c>
    </row>
    <row r="347" spans="1:182">
      <c r="A347" s="2" t="s">
        <v>2313</v>
      </c>
      <c r="D347" s="6">
        <v>46035.391423611109</v>
      </c>
      <c r="E347" s="2" t="s">
        <v>177</v>
      </c>
      <c r="F347" s="2" t="s">
        <v>293</v>
      </c>
      <c r="G347" s="2" t="s">
        <v>2273</v>
      </c>
      <c r="H347" s="2" t="s">
        <v>2314</v>
      </c>
      <c r="I347" s="2" t="s">
        <v>2315</v>
      </c>
      <c r="J347" s="2">
        <v>342987185</v>
      </c>
      <c r="K347" s="2" t="s">
        <v>2316</v>
      </c>
      <c r="L347" s="2" t="s">
        <v>269</v>
      </c>
      <c r="M347" s="2" t="s">
        <v>223</v>
      </c>
      <c r="N347" s="2">
        <v>2002</v>
      </c>
      <c r="O347" s="2" t="s">
        <v>834</v>
      </c>
      <c r="P347" s="2" t="s">
        <v>225</v>
      </c>
      <c r="Q347" s="2" t="s">
        <v>186</v>
      </c>
      <c r="R347" s="2" t="s">
        <v>188</v>
      </c>
      <c r="S347" s="2">
        <v>2013</v>
      </c>
      <c r="T347" s="2" t="s">
        <v>188</v>
      </c>
      <c r="U347" s="2" t="s">
        <v>188</v>
      </c>
      <c r="Y347" s="2">
        <v>230</v>
      </c>
      <c r="Z347" s="2">
        <v>0.86960000000000004</v>
      </c>
      <c r="AA347" s="2">
        <v>200</v>
      </c>
      <c r="AB347" s="2">
        <v>200</v>
      </c>
      <c r="AC347" s="2">
        <v>175</v>
      </c>
      <c r="AD347" s="2">
        <v>200</v>
      </c>
      <c r="AE347" s="2">
        <v>25</v>
      </c>
      <c r="AF347" s="2" t="s">
        <v>187</v>
      </c>
      <c r="AG347" s="2" t="s">
        <v>188</v>
      </c>
      <c r="AH347" s="2" t="s">
        <v>188</v>
      </c>
      <c r="AJ347" s="2" t="s">
        <v>188</v>
      </c>
      <c r="AK347" s="2" t="s">
        <v>188</v>
      </c>
      <c r="AL347" s="2" t="s">
        <v>188</v>
      </c>
      <c r="AM347" s="2" t="s">
        <v>187</v>
      </c>
      <c r="AN347" s="2" t="s">
        <v>188</v>
      </c>
      <c r="AO347" s="2" t="s">
        <v>188</v>
      </c>
      <c r="AR347" s="2">
        <v>0.8</v>
      </c>
      <c r="AS347" s="2">
        <v>1</v>
      </c>
      <c r="AT347" s="2">
        <v>2</v>
      </c>
      <c r="AU347" s="2" t="s">
        <v>238</v>
      </c>
      <c r="AV347" s="2" t="s">
        <v>238</v>
      </c>
      <c r="AW347" s="2" t="s">
        <v>188</v>
      </c>
      <c r="AZ347" s="2" t="s">
        <v>190</v>
      </c>
      <c r="BB347" s="2" t="s">
        <v>260</v>
      </c>
      <c r="BC347" s="2" t="s">
        <v>192</v>
      </c>
      <c r="BD347" s="2" t="s">
        <v>187</v>
      </c>
      <c r="BE347" s="2" t="s">
        <v>187</v>
      </c>
      <c r="BF347" s="2" t="s">
        <v>193</v>
      </c>
      <c r="BG347" s="2" t="s">
        <v>194</v>
      </c>
      <c r="BH347" s="2" t="s">
        <v>280</v>
      </c>
      <c r="BI347" s="2" t="s">
        <v>196</v>
      </c>
      <c r="BL347" s="2" t="s">
        <v>240</v>
      </c>
      <c r="BM347" s="2" t="s">
        <v>198</v>
      </c>
      <c r="BN347" s="2" t="s">
        <v>199</v>
      </c>
      <c r="BO347" s="2" t="s">
        <v>188</v>
      </c>
      <c r="BP347" s="2" t="s">
        <v>342</v>
      </c>
      <c r="BQ347" s="2" t="s">
        <v>309</v>
      </c>
      <c r="BS347" s="2" t="s">
        <v>188</v>
      </c>
      <c r="BT347" s="2" t="s">
        <v>261</v>
      </c>
      <c r="BV347" s="2" t="s">
        <v>287</v>
      </c>
      <c r="BX347" s="2" t="s">
        <v>188</v>
      </c>
      <c r="BY347" s="2" t="s">
        <v>2317</v>
      </c>
      <c r="BZ347" s="2" t="s">
        <v>188</v>
      </c>
      <c r="CE347" s="2">
        <v>2</v>
      </c>
      <c r="CF347" s="2">
        <v>200</v>
      </c>
      <c r="CK347" s="2">
        <v>100</v>
      </c>
      <c r="CO347" s="2">
        <v>100</v>
      </c>
      <c r="CR347" s="2" t="s">
        <v>204</v>
      </c>
      <c r="CT347" s="2" t="s">
        <v>188</v>
      </c>
      <c r="CU347" s="2" t="s">
        <v>281</v>
      </c>
      <c r="CW347" s="2" t="s">
        <v>206</v>
      </c>
      <c r="CY347" s="2" t="s">
        <v>273</v>
      </c>
      <c r="CZ347" s="2" t="s">
        <v>299</v>
      </c>
      <c r="DA347" s="2" t="s">
        <v>300</v>
      </c>
      <c r="DB347" s="2" t="s">
        <v>299</v>
      </c>
      <c r="DC347" s="2" t="s">
        <v>300</v>
      </c>
      <c r="DD347" s="2" t="s">
        <v>299</v>
      </c>
      <c r="DE347" s="2" t="s">
        <v>300</v>
      </c>
      <c r="DF347" s="2" t="s">
        <v>300</v>
      </c>
      <c r="DG347" s="2" t="s">
        <v>299</v>
      </c>
      <c r="DH347" s="2" t="s">
        <v>299</v>
      </c>
      <c r="DI347" s="2" t="s">
        <v>299</v>
      </c>
      <c r="DL347" s="2" t="s">
        <v>188</v>
      </c>
      <c r="DM347" s="2" t="s">
        <v>188</v>
      </c>
      <c r="DP347" s="2" t="s">
        <v>188</v>
      </c>
      <c r="DT347" s="2" t="s">
        <v>209</v>
      </c>
      <c r="DU347" s="2" t="s">
        <v>209</v>
      </c>
      <c r="DV347" s="2" t="s">
        <v>209</v>
      </c>
      <c r="DW347" s="2" t="s">
        <v>203</v>
      </c>
      <c r="DX347" s="2" t="s">
        <v>203</v>
      </c>
      <c r="DY347" s="2" t="s">
        <v>203</v>
      </c>
      <c r="DZ347" s="2" t="s">
        <v>203</v>
      </c>
      <c r="EA347" s="2" t="s">
        <v>209</v>
      </c>
      <c r="EB347" s="2" t="s">
        <v>209</v>
      </c>
      <c r="EC347" s="2" t="s">
        <v>203</v>
      </c>
      <c r="EF347" s="2" t="s">
        <v>302</v>
      </c>
      <c r="EG347" s="2" t="s">
        <v>2318</v>
      </c>
      <c r="EJ347" s="2" t="s">
        <v>203</v>
      </c>
      <c r="EK347" s="2" t="s">
        <v>188</v>
      </c>
      <c r="EL347" s="2" t="s">
        <v>188</v>
      </c>
      <c r="EN347" s="2" t="s">
        <v>214</v>
      </c>
      <c r="EP347" s="2" t="s">
        <v>230</v>
      </c>
      <c r="ER347" s="2" t="s">
        <v>188</v>
      </c>
      <c r="ET347" s="2" t="s">
        <v>188</v>
      </c>
      <c r="EV347" s="2" t="s">
        <v>188</v>
      </c>
      <c r="EX347" s="2" t="s">
        <v>188</v>
      </c>
      <c r="FC347" s="2" t="s">
        <v>263</v>
      </c>
      <c r="FD347" s="2" t="s">
        <v>188</v>
      </c>
      <c r="FH347" s="2" t="s">
        <v>188</v>
      </c>
      <c r="FJ347" s="2" t="s">
        <v>188</v>
      </c>
      <c r="FK347" s="2" t="s">
        <v>203</v>
      </c>
      <c r="FN347" s="2" t="s">
        <v>304</v>
      </c>
      <c r="FT347" s="2" t="s">
        <v>219</v>
      </c>
      <c r="FU347" s="2" t="s">
        <v>233</v>
      </c>
      <c r="FV347" s="2" t="s">
        <v>233</v>
      </c>
      <c r="FW347" s="2" t="s">
        <v>233</v>
      </c>
      <c r="FZ347" s="4">
        <v>46039.930532407408</v>
      </c>
    </row>
    <row r="348" spans="1:182">
      <c r="A348" s="2" t="s">
        <v>2319</v>
      </c>
      <c r="D348" s="6">
        <v>46035.391400462962</v>
      </c>
      <c r="E348" s="2" t="s">
        <v>177</v>
      </c>
      <c r="F348" s="2" t="s">
        <v>178</v>
      </c>
      <c r="G348" s="2" t="s">
        <v>2273</v>
      </c>
      <c r="H348" s="2" t="s">
        <v>2294</v>
      </c>
      <c r="I348" s="2" t="s">
        <v>2320</v>
      </c>
      <c r="J348" s="2">
        <v>349531471</v>
      </c>
      <c r="K348" s="2" t="s">
        <v>2321</v>
      </c>
      <c r="L348" s="2" t="s">
        <v>803</v>
      </c>
      <c r="M348" s="2" t="s">
        <v>223</v>
      </c>
      <c r="N348" s="2">
        <v>1990</v>
      </c>
      <c r="O348" s="2" t="s">
        <v>834</v>
      </c>
      <c r="P348" s="2" t="s">
        <v>225</v>
      </c>
      <c r="Q348" s="2" t="s">
        <v>186</v>
      </c>
      <c r="R348" s="2" t="s">
        <v>188</v>
      </c>
      <c r="S348" s="2">
        <v>15</v>
      </c>
      <c r="T348" s="2" t="s">
        <v>188</v>
      </c>
      <c r="U348" s="2" t="s">
        <v>188</v>
      </c>
      <c r="Y348" s="2">
        <v>83</v>
      </c>
      <c r="Z348" s="2">
        <v>0.97589999999999999</v>
      </c>
      <c r="AA348" s="2">
        <v>81</v>
      </c>
      <c r="AB348" s="2">
        <v>81</v>
      </c>
      <c r="AC348" s="2">
        <v>81</v>
      </c>
      <c r="AD348" s="2">
        <v>100</v>
      </c>
      <c r="AE348" s="2">
        <v>19</v>
      </c>
      <c r="AF348" s="2" t="s">
        <v>187</v>
      </c>
      <c r="AG348" s="2" t="s">
        <v>188</v>
      </c>
      <c r="AH348" s="2" t="s">
        <v>188</v>
      </c>
      <c r="AJ348" s="2" t="s">
        <v>188</v>
      </c>
      <c r="AK348" s="2" t="s">
        <v>188</v>
      </c>
      <c r="AL348" s="2" t="s">
        <v>188</v>
      </c>
      <c r="AM348" s="2" t="s">
        <v>187</v>
      </c>
      <c r="AN348" s="2" t="s">
        <v>188</v>
      </c>
      <c r="AO348" s="2" t="s">
        <v>188</v>
      </c>
      <c r="AR348" s="2">
        <v>0.6</v>
      </c>
      <c r="AS348" s="2">
        <v>2</v>
      </c>
      <c r="AT348" s="2">
        <v>1.03</v>
      </c>
      <c r="AU348" s="2" t="s">
        <v>238</v>
      </c>
      <c r="AV348" s="2" t="s">
        <v>238</v>
      </c>
      <c r="AW348" s="2" t="s">
        <v>188</v>
      </c>
      <c r="AZ348" s="2" t="s">
        <v>190</v>
      </c>
      <c r="BB348" s="2" t="s">
        <v>260</v>
      </c>
      <c r="BC348" s="2" t="s">
        <v>192</v>
      </c>
      <c r="BD348" s="2" t="s">
        <v>188</v>
      </c>
      <c r="BE348" s="2" t="s">
        <v>187</v>
      </c>
      <c r="BF348" s="2" t="s">
        <v>193</v>
      </c>
      <c r="BG348" s="2" t="s">
        <v>194</v>
      </c>
      <c r="BH348" s="2" t="s">
        <v>195</v>
      </c>
      <c r="BI348" s="2" t="s">
        <v>196</v>
      </c>
      <c r="BL348" s="2" t="s">
        <v>240</v>
      </c>
      <c r="BO348" s="2" t="s">
        <v>188</v>
      </c>
      <c r="BQ348" s="2" t="s">
        <v>200</v>
      </c>
      <c r="BS348" s="2" t="s">
        <v>187</v>
      </c>
      <c r="BT348" s="2" t="s">
        <v>201</v>
      </c>
      <c r="BV348" s="2" t="s">
        <v>248</v>
      </c>
      <c r="BX348" s="2" t="s">
        <v>188</v>
      </c>
      <c r="BZ348" s="2" t="s">
        <v>188</v>
      </c>
      <c r="CE348" s="2">
        <v>1.03</v>
      </c>
      <c r="CF348" s="2">
        <v>100</v>
      </c>
      <c r="CK348" s="2">
        <v>100</v>
      </c>
      <c r="CO348" s="2">
        <v>100</v>
      </c>
      <c r="CR348" s="2" t="s">
        <v>204</v>
      </c>
      <c r="CT348" s="2" t="s">
        <v>188</v>
      </c>
      <c r="CU348" s="2" t="s">
        <v>281</v>
      </c>
      <c r="CW348" s="2" t="s">
        <v>206</v>
      </c>
      <c r="CY348" s="2" t="s">
        <v>208</v>
      </c>
      <c r="CZ348" s="2" t="s">
        <v>208</v>
      </c>
      <c r="DA348" s="2" t="s">
        <v>208</v>
      </c>
      <c r="DB348" s="2" t="s">
        <v>208</v>
      </c>
      <c r="DC348" s="2" t="s">
        <v>208</v>
      </c>
      <c r="DD348" s="2" t="s">
        <v>208</v>
      </c>
      <c r="DE348" s="2" t="s">
        <v>208</v>
      </c>
      <c r="DF348" s="2" t="s">
        <v>208</v>
      </c>
      <c r="DG348" s="2" t="s">
        <v>208</v>
      </c>
      <c r="DH348" s="2" t="s">
        <v>208</v>
      </c>
      <c r="DI348" s="2" t="s">
        <v>208</v>
      </c>
      <c r="DL348" s="2" t="s">
        <v>188</v>
      </c>
      <c r="DM348" s="2" t="s">
        <v>188</v>
      </c>
      <c r="DP348" s="2" t="s">
        <v>203</v>
      </c>
      <c r="DT348" s="2" t="s">
        <v>209</v>
      </c>
      <c r="DU348" s="2" t="s">
        <v>203</v>
      </c>
      <c r="DV348" s="2" t="s">
        <v>209</v>
      </c>
      <c r="DW348" s="2" t="s">
        <v>209</v>
      </c>
      <c r="DX348" s="2" t="s">
        <v>203</v>
      </c>
      <c r="DY348" s="2" t="s">
        <v>203</v>
      </c>
      <c r="DZ348" s="2" t="s">
        <v>203</v>
      </c>
      <c r="EA348" s="2" t="s">
        <v>203</v>
      </c>
      <c r="EB348" s="2" t="s">
        <v>203</v>
      </c>
      <c r="EJ348" s="2" t="s">
        <v>203</v>
      </c>
      <c r="EK348" s="2" t="s">
        <v>188</v>
      </c>
      <c r="EL348" s="2" t="s">
        <v>188</v>
      </c>
      <c r="EN348" s="2" t="s">
        <v>255</v>
      </c>
      <c r="EP348" s="2" t="s">
        <v>230</v>
      </c>
      <c r="ER348" s="2" t="s">
        <v>188</v>
      </c>
      <c r="ET348" s="2" t="s">
        <v>188</v>
      </c>
      <c r="EV348" s="2" t="s">
        <v>188</v>
      </c>
      <c r="EX348" s="2" t="s">
        <v>188</v>
      </c>
      <c r="EZ348" s="2" t="s">
        <v>188</v>
      </c>
      <c r="FC348" s="2" t="s">
        <v>216</v>
      </c>
      <c r="FD348" s="2" t="s">
        <v>188</v>
      </c>
      <c r="FH348" s="2" t="s">
        <v>188</v>
      </c>
      <c r="FJ348" s="2" t="s">
        <v>187</v>
      </c>
      <c r="FK348" s="2" t="s">
        <v>188</v>
      </c>
      <c r="FN348" s="2" t="s">
        <v>218</v>
      </c>
      <c r="FT348" s="2" t="s">
        <v>233</v>
      </c>
      <c r="FU348" s="2" t="s">
        <v>233</v>
      </c>
      <c r="FV348" s="2" t="s">
        <v>233</v>
      </c>
      <c r="FW348" s="2" t="s">
        <v>233</v>
      </c>
      <c r="FZ348" s="4">
        <v>46041.750173611108</v>
      </c>
    </row>
    <row r="349" spans="1:182">
      <c r="A349" s="2" t="s">
        <v>2322</v>
      </c>
      <c r="D349" s="6">
        <v>46035.401365740741</v>
      </c>
      <c r="E349" s="2" t="s">
        <v>177</v>
      </c>
      <c r="F349" s="2" t="s">
        <v>178</v>
      </c>
      <c r="G349" s="2" t="s">
        <v>2273</v>
      </c>
      <c r="H349" s="2" t="s">
        <v>2294</v>
      </c>
      <c r="I349" s="2" t="s">
        <v>2323</v>
      </c>
      <c r="J349" s="2">
        <v>355215513</v>
      </c>
      <c r="K349" s="2" t="s">
        <v>2324</v>
      </c>
      <c r="L349" s="2" t="s">
        <v>182</v>
      </c>
      <c r="M349" s="2" t="s">
        <v>183</v>
      </c>
      <c r="N349" s="2">
        <v>1996</v>
      </c>
      <c r="O349" s="2" t="s">
        <v>834</v>
      </c>
      <c r="P349" s="2" t="s">
        <v>237</v>
      </c>
      <c r="Q349" s="2" t="s">
        <v>226</v>
      </c>
      <c r="R349" s="2" t="s">
        <v>188</v>
      </c>
      <c r="S349" s="2">
        <v>11</v>
      </c>
      <c r="T349" s="2" t="s">
        <v>188</v>
      </c>
      <c r="U349" s="2" t="s">
        <v>188</v>
      </c>
      <c r="Y349" s="2">
        <v>100</v>
      </c>
      <c r="Z349" s="2">
        <v>0.95</v>
      </c>
      <c r="AA349" s="2">
        <v>95</v>
      </c>
      <c r="AB349" s="2">
        <v>95</v>
      </c>
      <c r="AC349" s="2">
        <v>95</v>
      </c>
      <c r="AD349" s="2">
        <v>115</v>
      </c>
      <c r="AE349" s="2">
        <v>20</v>
      </c>
      <c r="AF349" s="2" t="s">
        <v>187</v>
      </c>
      <c r="AG349" s="2" t="s">
        <v>188</v>
      </c>
      <c r="AH349" s="2" t="s">
        <v>188</v>
      </c>
      <c r="AJ349" s="2" t="s">
        <v>188</v>
      </c>
      <c r="AK349" s="2" t="s">
        <v>188</v>
      </c>
      <c r="AL349" s="2" t="s">
        <v>188</v>
      </c>
      <c r="AM349" s="2" t="s">
        <v>187</v>
      </c>
      <c r="AN349" s="2" t="s">
        <v>188</v>
      </c>
      <c r="AO349" s="2" t="s">
        <v>188</v>
      </c>
      <c r="AR349" s="2">
        <v>0.7</v>
      </c>
      <c r="AS349" s="2">
        <v>3</v>
      </c>
      <c r="AT349" s="2">
        <v>1.2</v>
      </c>
      <c r="AU349" s="2" t="s">
        <v>238</v>
      </c>
      <c r="AV349" s="2" t="s">
        <v>238</v>
      </c>
      <c r="AW349" s="2" t="s">
        <v>188</v>
      </c>
      <c r="BC349" s="2" t="s">
        <v>253</v>
      </c>
      <c r="BD349" s="2" t="s">
        <v>188</v>
      </c>
      <c r="BE349" s="2" t="s">
        <v>188</v>
      </c>
      <c r="BL349" s="2" t="s">
        <v>240</v>
      </c>
      <c r="BO349" s="2" t="s">
        <v>188</v>
      </c>
      <c r="BQ349" s="2" t="s">
        <v>200</v>
      </c>
      <c r="BS349" s="2" t="s">
        <v>187</v>
      </c>
      <c r="BT349" s="2" t="s">
        <v>201</v>
      </c>
      <c r="BV349" s="2" t="s">
        <v>248</v>
      </c>
      <c r="BX349" s="2" t="s">
        <v>188</v>
      </c>
      <c r="BZ349" s="2" t="s">
        <v>203</v>
      </c>
      <c r="CE349" s="2">
        <v>1.2</v>
      </c>
      <c r="CF349" s="2">
        <v>115</v>
      </c>
      <c r="CK349" s="2">
        <v>100</v>
      </c>
      <c r="CO349" s="2">
        <v>100</v>
      </c>
      <c r="CR349" s="2" t="s">
        <v>204</v>
      </c>
      <c r="CT349" s="2" t="s">
        <v>188</v>
      </c>
      <c r="CU349" s="2" t="s">
        <v>205</v>
      </c>
      <c r="CW349" s="2" t="s">
        <v>206</v>
      </c>
      <c r="CY349" s="2" t="s">
        <v>208</v>
      </c>
      <c r="CZ349" s="2" t="s">
        <v>208</v>
      </c>
      <c r="DA349" s="2" t="s">
        <v>208</v>
      </c>
      <c r="DB349" s="2" t="s">
        <v>208</v>
      </c>
      <c r="DC349" s="2" t="s">
        <v>208</v>
      </c>
      <c r="DD349" s="2" t="s">
        <v>208</v>
      </c>
      <c r="DE349" s="2" t="s">
        <v>208</v>
      </c>
      <c r="DF349" s="2" t="s">
        <v>208</v>
      </c>
      <c r="DG349" s="2" t="s">
        <v>208</v>
      </c>
      <c r="DH349" s="2" t="s">
        <v>208</v>
      </c>
      <c r="DI349" s="2" t="s">
        <v>208</v>
      </c>
      <c r="DL349" s="2" t="s">
        <v>188</v>
      </c>
      <c r="DM349" s="2" t="s">
        <v>188</v>
      </c>
      <c r="DP349" s="2" t="s">
        <v>203</v>
      </c>
      <c r="DT349" s="2" t="s">
        <v>209</v>
      </c>
      <c r="DU349" s="2" t="s">
        <v>209</v>
      </c>
      <c r="DV349" s="2" t="s">
        <v>209</v>
      </c>
      <c r="DW349" s="2" t="s">
        <v>209</v>
      </c>
      <c r="DX349" s="2" t="s">
        <v>209</v>
      </c>
      <c r="DY349" s="2" t="s">
        <v>209</v>
      </c>
      <c r="DZ349" s="2" t="s">
        <v>209</v>
      </c>
      <c r="EA349" s="2" t="s">
        <v>209</v>
      </c>
      <c r="EB349" s="2" t="s">
        <v>209</v>
      </c>
      <c r="EJ349" s="2" t="s">
        <v>238</v>
      </c>
      <c r="EK349" s="2" t="s">
        <v>187</v>
      </c>
      <c r="EL349" s="2" t="s">
        <v>188</v>
      </c>
      <c r="EN349" s="2" t="s">
        <v>214</v>
      </c>
      <c r="EP349" s="2" t="s">
        <v>230</v>
      </c>
      <c r="ER349" s="2" t="s">
        <v>188</v>
      </c>
      <c r="ET349" s="2" t="s">
        <v>188</v>
      </c>
      <c r="EV349" s="2" t="s">
        <v>188</v>
      </c>
      <c r="EX349" s="2" t="s">
        <v>188</v>
      </c>
      <c r="EZ349" s="2" t="s">
        <v>188</v>
      </c>
      <c r="FC349" s="2" t="s">
        <v>216</v>
      </c>
      <c r="FD349" s="2" t="s">
        <v>188</v>
      </c>
      <c r="FH349" s="2" t="s">
        <v>188</v>
      </c>
      <c r="FJ349" s="2" t="s">
        <v>187</v>
      </c>
      <c r="FK349" s="2" t="s">
        <v>188</v>
      </c>
      <c r="FN349" s="2" t="s">
        <v>313</v>
      </c>
      <c r="FT349" s="2" t="s">
        <v>233</v>
      </c>
      <c r="FU349" s="2" t="s">
        <v>233</v>
      </c>
      <c r="FV349" s="2" t="s">
        <v>233</v>
      </c>
      <c r="FW349" s="2" t="s">
        <v>233</v>
      </c>
      <c r="FZ349" s="4">
        <v>46041.741979166669</v>
      </c>
    </row>
    <row r="350" spans="1:182">
      <c r="A350" s="2" t="s">
        <v>2325</v>
      </c>
      <c r="D350" s="6">
        <v>46035.412581018521</v>
      </c>
      <c r="E350" s="2" t="s">
        <v>177</v>
      </c>
      <c r="F350" s="2" t="s">
        <v>293</v>
      </c>
      <c r="G350" s="2" t="s">
        <v>2273</v>
      </c>
      <c r="H350" s="2" t="s">
        <v>2314</v>
      </c>
      <c r="I350" s="2" t="s">
        <v>2326</v>
      </c>
      <c r="J350" s="2">
        <v>0</v>
      </c>
      <c r="K350" s="2" t="s">
        <v>2327</v>
      </c>
      <c r="L350" s="2" t="s">
        <v>269</v>
      </c>
      <c r="M350" s="2" t="s">
        <v>223</v>
      </c>
      <c r="N350" s="2">
        <v>1988</v>
      </c>
      <c r="O350" s="2" t="s">
        <v>834</v>
      </c>
      <c r="P350" s="2" t="s">
        <v>225</v>
      </c>
      <c r="Q350" s="2" t="s">
        <v>603</v>
      </c>
      <c r="R350" s="2" t="s">
        <v>188</v>
      </c>
      <c r="S350" s="2">
        <v>2013</v>
      </c>
      <c r="T350" s="2" t="s">
        <v>188</v>
      </c>
      <c r="U350" s="2" t="s">
        <v>188</v>
      </c>
      <c r="Y350" s="2">
        <v>250</v>
      </c>
      <c r="Z350" s="2">
        <v>1</v>
      </c>
      <c r="AA350" s="2">
        <v>250</v>
      </c>
      <c r="AB350" s="2">
        <v>200</v>
      </c>
      <c r="AC350" s="2">
        <v>180</v>
      </c>
      <c r="AD350" s="2">
        <v>200</v>
      </c>
      <c r="AE350" s="2">
        <v>20</v>
      </c>
      <c r="AF350" s="2" t="s">
        <v>187</v>
      </c>
      <c r="AG350" s="2" t="s">
        <v>187</v>
      </c>
      <c r="AH350" s="2" t="s">
        <v>187</v>
      </c>
      <c r="AI350" s="2" t="s">
        <v>308</v>
      </c>
      <c r="AJ350" s="2" t="s">
        <v>188</v>
      </c>
      <c r="AK350" s="2" t="s">
        <v>188</v>
      </c>
      <c r="AL350" s="2" t="s">
        <v>188</v>
      </c>
      <c r="AM350" s="2" t="s">
        <v>187</v>
      </c>
      <c r="AN350" s="2" t="s">
        <v>188</v>
      </c>
      <c r="AO350" s="2" t="s">
        <v>188</v>
      </c>
      <c r="AR350" s="2">
        <v>0.8</v>
      </c>
      <c r="AS350" s="2">
        <v>1</v>
      </c>
      <c r="AT350" s="2">
        <v>2</v>
      </c>
      <c r="AU350" s="2" t="s">
        <v>203</v>
      </c>
      <c r="AV350" s="2" t="s">
        <v>203</v>
      </c>
      <c r="AW350" s="2" t="s">
        <v>188</v>
      </c>
      <c r="AZ350" s="2" t="s">
        <v>190</v>
      </c>
      <c r="BB350" s="2" t="s">
        <v>332</v>
      </c>
      <c r="BC350" s="2" t="s">
        <v>253</v>
      </c>
      <c r="BD350" s="2" t="s">
        <v>188</v>
      </c>
      <c r="BE350" s="2" t="s">
        <v>188</v>
      </c>
      <c r="BL350" s="2" t="s">
        <v>240</v>
      </c>
      <c r="BM350" s="2" t="s">
        <v>198</v>
      </c>
      <c r="BN350" s="2" t="s">
        <v>199</v>
      </c>
      <c r="BO350" s="2" t="s">
        <v>187</v>
      </c>
      <c r="BP350" s="2" t="s">
        <v>342</v>
      </c>
      <c r="BS350" s="2" t="s">
        <v>188</v>
      </c>
      <c r="BT350" s="2" t="s">
        <v>261</v>
      </c>
      <c r="BV350" s="2" t="s">
        <v>287</v>
      </c>
      <c r="BX350" s="2" t="s">
        <v>188</v>
      </c>
      <c r="BY350" s="2" t="s">
        <v>335</v>
      </c>
      <c r="BZ350" s="2" t="s">
        <v>188</v>
      </c>
      <c r="CE350" s="2">
        <v>2</v>
      </c>
      <c r="CF350" s="2">
        <v>200</v>
      </c>
      <c r="CK350" s="2">
        <v>100</v>
      </c>
      <c r="CO350" s="2">
        <v>100</v>
      </c>
      <c r="CR350" s="2" t="s">
        <v>204</v>
      </c>
      <c r="CT350" s="2" t="s">
        <v>188</v>
      </c>
      <c r="CU350" s="2" t="s">
        <v>281</v>
      </c>
      <c r="CW350" s="2" t="s">
        <v>206</v>
      </c>
      <c r="CY350" s="2" t="s">
        <v>300</v>
      </c>
      <c r="CZ350" s="2" t="s">
        <v>299</v>
      </c>
      <c r="DA350" s="2" t="s">
        <v>300</v>
      </c>
      <c r="DB350" s="2" t="s">
        <v>299</v>
      </c>
      <c r="DC350" s="2" t="s">
        <v>300</v>
      </c>
      <c r="DD350" s="2" t="s">
        <v>299</v>
      </c>
      <c r="DE350" s="2" t="s">
        <v>300</v>
      </c>
      <c r="DF350" s="2" t="s">
        <v>300</v>
      </c>
      <c r="DG350" s="2" t="s">
        <v>299</v>
      </c>
      <c r="DH350" s="2" t="s">
        <v>299</v>
      </c>
      <c r="DI350" s="2" t="s">
        <v>299</v>
      </c>
      <c r="DL350" s="2" t="s">
        <v>188</v>
      </c>
      <c r="DM350" s="2" t="s">
        <v>188</v>
      </c>
      <c r="DP350" s="2" t="s">
        <v>203</v>
      </c>
      <c r="DT350" s="2" t="s">
        <v>203</v>
      </c>
      <c r="DU350" s="2" t="s">
        <v>203</v>
      </c>
      <c r="DV350" s="2" t="s">
        <v>203</v>
      </c>
      <c r="DW350" s="2" t="s">
        <v>203</v>
      </c>
      <c r="DX350" s="2" t="s">
        <v>203</v>
      </c>
      <c r="DY350" s="2" t="s">
        <v>203</v>
      </c>
      <c r="DZ350" s="2" t="s">
        <v>203</v>
      </c>
      <c r="EA350" s="2" t="s">
        <v>203</v>
      </c>
      <c r="EB350" s="2" t="s">
        <v>203</v>
      </c>
      <c r="EC350" s="2" t="s">
        <v>203</v>
      </c>
      <c r="EF350" s="2" t="s">
        <v>302</v>
      </c>
      <c r="EG350" s="2" t="s">
        <v>2328</v>
      </c>
      <c r="EJ350" s="2" t="s">
        <v>203</v>
      </c>
      <c r="EK350" s="2" t="s">
        <v>188</v>
      </c>
      <c r="EL350" s="2" t="s">
        <v>188</v>
      </c>
      <c r="EN350" s="2" t="s">
        <v>214</v>
      </c>
      <c r="EP350" s="2" t="s">
        <v>230</v>
      </c>
      <c r="ER350" s="2" t="s">
        <v>188</v>
      </c>
      <c r="ET350" s="2" t="s">
        <v>188</v>
      </c>
      <c r="EV350" s="2" t="s">
        <v>188</v>
      </c>
      <c r="EX350" s="2" t="s">
        <v>188</v>
      </c>
      <c r="FC350" s="2" t="s">
        <v>216</v>
      </c>
      <c r="FD350" s="2" t="s">
        <v>188</v>
      </c>
      <c r="FH350" s="2" t="s">
        <v>188</v>
      </c>
      <c r="FJ350" s="2" t="s">
        <v>188</v>
      </c>
      <c r="FK350" s="2" t="s">
        <v>203</v>
      </c>
      <c r="FN350" s="2" t="s">
        <v>304</v>
      </c>
      <c r="FT350" s="2" t="s">
        <v>219</v>
      </c>
      <c r="FU350" s="2" t="s">
        <v>233</v>
      </c>
      <c r="FV350" s="2" t="s">
        <v>233</v>
      </c>
      <c r="FW350" s="2" t="s">
        <v>233</v>
      </c>
      <c r="FZ350" s="4">
        <v>46039.938090277778</v>
      </c>
    </row>
    <row r="351" spans="1:182">
      <c r="A351" s="2" t="s">
        <v>2329</v>
      </c>
      <c r="D351" s="6">
        <v>46035.39775462963</v>
      </c>
      <c r="E351" s="2" t="s">
        <v>2330</v>
      </c>
      <c r="F351" s="2" t="s">
        <v>590</v>
      </c>
      <c r="G351" s="2" t="s">
        <v>2273</v>
      </c>
      <c r="H351" s="2" t="s">
        <v>2298</v>
      </c>
      <c r="I351" s="2" t="s">
        <v>2331</v>
      </c>
      <c r="J351" s="2">
        <v>362134634</v>
      </c>
      <c r="K351" s="2" t="s">
        <v>2331</v>
      </c>
      <c r="L351" s="2" t="s">
        <v>182</v>
      </c>
      <c r="M351" s="2" t="s">
        <v>183</v>
      </c>
      <c r="N351" s="2">
        <v>1993</v>
      </c>
      <c r="O351" s="2" t="s">
        <v>834</v>
      </c>
      <c r="P351" s="2" t="s">
        <v>185</v>
      </c>
      <c r="Q351" s="2" t="s">
        <v>270</v>
      </c>
      <c r="R351" s="2" t="s">
        <v>188</v>
      </c>
      <c r="S351" s="2">
        <v>10</v>
      </c>
      <c r="T351" s="2" t="s">
        <v>188</v>
      </c>
      <c r="U351" s="2" t="s">
        <v>188</v>
      </c>
      <c r="Y351" s="2">
        <v>160</v>
      </c>
      <c r="Z351" s="2">
        <v>1</v>
      </c>
      <c r="AA351" s="2">
        <v>160</v>
      </c>
      <c r="AB351" s="2">
        <v>160</v>
      </c>
      <c r="AC351" s="2">
        <v>160</v>
      </c>
      <c r="AD351" s="2">
        <v>190</v>
      </c>
      <c r="AE351" s="2">
        <v>30</v>
      </c>
      <c r="AF351" s="2" t="s">
        <v>188</v>
      </c>
      <c r="AG351" s="2" t="s">
        <v>188</v>
      </c>
      <c r="AH351" s="2" t="s">
        <v>188</v>
      </c>
      <c r="AJ351" s="2" t="s">
        <v>188</v>
      </c>
      <c r="AK351" s="2" t="s">
        <v>188</v>
      </c>
      <c r="AL351" s="2" t="s">
        <v>188</v>
      </c>
      <c r="AM351" s="2" t="s">
        <v>188</v>
      </c>
      <c r="AN351" s="2" t="s">
        <v>188</v>
      </c>
      <c r="AO351" s="2" t="s">
        <v>188</v>
      </c>
      <c r="AR351" s="2">
        <v>0.45</v>
      </c>
      <c r="AS351" s="2">
        <v>1</v>
      </c>
      <c r="AT351" s="2">
        <v>1.6</v>
      </c>
      <c r="AU351" s="2" t="s">
        <v>203</v>
      </c>
      <c r="AV351" s="2" t="s">
        <v>189</v>
      </c>
      <c r="AW351" s="2" t="s">
        <v>188</v>
      </c>
      <c r="AZ351" s="2" t="s">
        <v>190</v>
      </c>
      <c r="BB351" s="2" t="s">
        <v>260</v>
      </c>
      <c r="BC351" s="2" t="s">
        <v>296</v>
      </c>
      <c r="BD351" s="2" t="s">
        <v>187</v>
      </c>
      <c r="BE351" s="2" t="s">
        <v>187</v>
      </c>
      <c r="BF351" s="2" t="s">
        <v>193</v>
      </c>
      <c r="BG351" s="2" t="s">
        <v>194</v>
      </c>
      <c r="BH351" s="2" t="s">
        <v>195</v>
      </c>
      <c r="BI351" s="2" t="s">
        <v>196</v>
      </c>
      <c r="BL351" s="2" t="s">
        <v>240</v>
      </c>
      <c r="BO351" s="2" t="s">
        <v>188</v>
      </c>
      <c r="BQ351" s="2" t="s">
        <v>227</v>
      </c>
      <c r="BS351" s="2" t="s">
        <v>187</v>
      </c>
      <c r="BT351" s="2" t="s">
        <v>1703</v>
      </c>
      <c r="BV351" s="2" t="s">
        <v>242</v>
      </c>
      <c r="BX351" s="2" t="s">
        <v>188</v>
      </c>
      <c r="BZ351" s="2" t="s">
        <v>188</v>
      </c>
      <c r="CE351" s="2">
        <v>1.6</v>
      </c>
      <c r="CF351" s="2">
        <v>190</v>
      </c>
      <c r="CK351" s="2">
        <v>100</v>
      </c>
      <c r="CO351" s="2">
        <v>100</v>
      </c>
      <c r="CR351" s="2" t="s">
        <v>204</v>
      </c>
      <c r="CT351" s="2" t="s">
        <v>188</v>
      </c>
      <c r="CU351" s="2" t="s">
        <v>205</v>
      </c>
      <c r="CW351" s="2" t="s">
        <v>206</v>
      </c>
      <c r="CY351" s="2" t="s">
        <v>273</v>
      </c>
      <c r="CZ351" s="2" t="s">
        <v>300</v>
      </c>
      <c r="DA351" s="2" t="s">
        <v>300</v>
      </c>
      <c r="DB351" s="2" t="s">
        <v>300</v>
      </c>
      <c r="DC351" s="2" t="s">
        <v>300</v>
      </c>
      <c r="DD351" s="2" t="s">
        <v>430</v>
      </c>
      <c r="DE351" s="2" t="s">
        <v>300</v>
      </c>
      <c r="DF351" s="2" t="s">
        <v>300</v>
      </c>
      <c r="DG351" s="2" t="s">
        <v>300</v>
      </c>
      <c r="DH351" s="2" t="s">
        <v>300</v>
      </c>
      <c r="DI351" s="2" t="s">
        <v>430</v>
      </c>
      <c r="DL351" s="2" t="s">
        <v>188</v>
      </c>
      <c r="DM351" s="2" t="s">
        <v>188</v>
      </c>
      <c r="DP351" s="2" t="s">
        <v>188</v>
      </c>
      <c r="DT351" s="2" t="s">
        <v>203</v>
      </c>
      <c r="DU351" s="2" t="s">
        <v>203</v>
      </c>
      <c r="DV351" s="2" t="s">
        <v>203</v>
      </c>
      <c r="DW351" s="2" t="s">
        <v>203</v>
      </c>
      <c r="DX351" s="2" t="s">
        <v>203</v>
      </c>
      <c r="DY351" s="2" t="s">
        <v>203</v>
      </c>
      <c r="DZ351" s="2" t="s">
        <v>203</v>
      </c>
      <c r="EA351" s="2" t="s">
        <v>203</v>
      </c>
      <c r="EB351" s="2" t="s">
        <v>203</v>
      </c>
      <c r="EC351" s="2" t="s">
        <v>203</v>
      </c>
      <c r="EF351" s="2" t="s">
        <v>189</v>
      </c>
      <c r="EG351" s="2" t="s">
        <v>2332</v>
      </c>
      <c r="EJ351" s="2" t="s">
        <v>203</v>
      </c>
      <c r="EK351" s="2" t="s">
        <v>188</v>
      </c>
      <c r="EL351" s="2" t="s">
        <v>188</v>
      </c>
      <c r="EN351" s="2" t="s">
        <v>255</v>
      </c>
      <c r="EP351" s="2" t="s">
        <v>230</v>
      </c>
      <c r="ER351" s="2" t="s">
        <v>188</v>
      </c>
      <c r="ET351" s="2" t="s">
        <v>188</v>
      </c>
      <c r="EV351" s="2" t="s">
        <v>188</v>
      </c>
      <c r="EX351" s="2" t="s">
        <v>188</v>
      </c>
      <c r="EZ351" s="2" t="s">
        <v>188</v>
      </c>
      <c r="FC351" s="2" t="s">
        <v>263</v>
      </c>
      <c r="FD351" s="2" t="s">
        <v>188</v>
      </c>
      <c r="FH351" s="2" t="s">
        <v>188</v>
      </c>
      <c r="FJ351" s="2" t="s">
        <v>188</v>
      </c>
      <c r="FK351" s="2" t="s">
        <v>188</v>
      </c>
      <c r="FN351" s="2" t="s">
        <v>2040</v>
      </c>
      <c r="FR351" s="2" t="s">
        <v>2333</v>
      </c>
      <c r="FT351" s="2" t="s">
        <v>219</v>
      </c>
      <c r="FU351" s="2" t="s">
        <v>233</v>
      </c>
      <c r="FV351" s="2" t="s">
        <v>233</v>
      </c>
      <c r="FW351" s="2" t="s">
        <v>233</v>
      </c>
      <c r="FZ351" s="4">
        <v>46047.624768518515</v>
      </c>
    </row>
    <row r="352" spans="1:182">
      <c r="A352" s="2" t="s">
        <v>2334</v>
      </c>
      <c r="D352" s="6">
        <v>46035.416412037041</v>
      </c>
      <c r="E352" s="2" t="s">
        <v>2335</v>
      </c>
      <c r="F352" s="2" t="s">
        <v>398</v>
      </c>
      <c r="G352" s="2" t="s">
        <v>2273</v>
      </c>
      <c r="H352" s="2" t="s">
        <v>2336</v>
      </c>
      <c r="I352" s="2" t="s">
        <v>2337</v>
      </c>
      <c r="J352" s="2">
        <v>326387312</v>
      </c>
      <c r="K352" s="2" t="s">
        <v>2337</v>
      </c>
      <c r="L352" s="2" t="s">
        <v>182</v>
      </c>
      <c r="M352" s="2" t="s">
        <v>183</v>
      </c>
      <c r="N352" s="2">
        <v>1988</v>
      </c>
      <c r="O352" s="2" t="s">
        <v>834</v>
      </c>
      <c r="P352" s="2" t="s">
        <v>185</v>
      </c>
      <c r="Q352" s="2" t="s">
        <v>186</v>
      </c>
      <c r="R352" s="2" t="s">
        <v>188</v>
      </c>
      <c r="S352" s="2">
        <v>7</v>
      </c>
      <c r="T352" s="2" t="s">
        <v>188</v>
      </c>
      <c r="U352" s="2" t="s">
        <v>188</v>
      </c>
      <c r="Y352" s="2">
        <v>160</v>
      </c>
      <c r="Z352" s="2">
        <v>1</v>
      </c>
      <c r="AA352" s="2">
        <v>160</v>
      </c>
      <c r="AB352" s="2">
        <v>160</v>
      </c>
      <c r="AC352" s="2">
        <v>160</v>
      </c>
      <c r="AD352" s="2">
        <v>200</v>
      </c>
      <c r="AE352" s="2">
        <v>40</v>
      </c>
      <c r="AF352" s="2" t="s">
        <v>188</v>
      </c>
      <c r="AG352" s="2" t="s">
        <v>188</v>
      </c>
      <c r="AH352" s="2" t="s">
        <v>188</v>
      </c>
      <c r="AJ352" s="2" t="s">
        <v>188</v>
      </c>
      <c r="AK352" s="2" t="s">
        <v>188</v>
      </c>
      <c r="AL352" s="2" t="s">
        <v>188</v>
      </c>
      <c r="AM352" s="2" t="s">
        <v>188</v>
      </c>
      <c r="AN352" s="2" t="s">
        <v>188</v>
      </c>
      <c r="AO352" s="2" t="s">
        <v>188</v>
      </c>
      <c r="AR352" s="2">
        <v>1</v>
      </c>
      <c r="AS352" s="2">
        <v>4</v>
      </c>
      <c r="AT352" s="2">
        <v>2</v>
      </c>
      <c r="AU352" s="2" t="s">
        <v>238</v>
      </c>
      <c r="AV352" s="2" t="s">
        <v>238</v>
      </c>
      <c r="AW352" s="2" t="s">
        <v>188</v>
      </c>
      <c r="BC352" s="2" t="s">
        <v>192</v>
      </c>
      <c r="BD352" s="2" t="s">
        <v>187</v>
      </c>
      <c r="BE352" s="2" t="s">
        <v>188</v>
      </c>
      <c r="BL352" s="2" t="s">
        <v>240</v>
      </c>
      <c r="BO352" s="2" t="s">
        <v>188</v>
      </c>
      <c r="BQ352" s="2" t="s">
        <v>200</v>
      </c>
      <c r="BS352" s="2" t="s">
        <v>187</v>
      </c>
      <c r="BT352" s="2" t="s">
        <v>594</v>
      </c>
      <c r="BV352" s="2" t="s">
        <v>458</v>
      </c>
      <c r="BX352" s="2" t="s">
        <v>188</v>
      </c>
      <c r="BY352" s="2" t="s">
        <v>2338</v>
      </c>
      <c r="BZ352" s="2" t="s">
        <v>203</v>
      </c>
      <c r="CE352" s="2">
        <v>2</v>
      </c>
      <c r="CF352" s="2">
        <v>160</v>
      </c>
      <c r="CK352" s="2">
        <v>100</v>
      </c>
      <c r="CP352" s="2">
        <v>100</v>
      </c>
      <c r="CR352" s="2" t="s">
        <v>204</v>
      </c>
      <c r="CT352" s="2" t="s">
        <v>188</v>
      </c>
      <c r="CU352" s="2" t="s">
        <v>205</v>
      </c>
      <c r="CW352" s="2" t="s">
        <v>206</v>
      </c>
      <c r="CY352" s="2" t="s">
        <v>300</v>
      </c>
      <c r="CZ352" s="2" t="s">
        <v>300</v>
      </c>
      <c r="DA352" s="2" t="s">
        <v>300</v>
      </c>
      <c r="DB352" s="2" t="s">
        <v>300</v>
      </c>
      <c r="DC352" s="2" t="s">
        <v>300</v>
      </c>
      <c r="DD352" s="2" t="s">
        <v>300</v>
      </c>
      <c r="DE352" s="2" t="s">
        <v>300</v>
      </c>
      <c r="DF352" s="2" t="s">
        <v>300</v>
      </c>
      <c r="DG352" s="2" t="s">
        <v>300</v>
      </c>
      <c r="DH352" s="2" t="s">
        <v>300</v>
      </c>
      <c r="DI352" s="2" t="s">
        <v>300</v>
      </c>
      <c r="DL352" s="2" t="s">
        <v>188</v>
      </c>
      <c r="DM352" s="2" t="s">
        <v>188</v>
      </c>
      <c r="DP352" s="2" t="s">
        <v>203</v>
      </c>
      <c r="DT352" s="2" t="s">
        <v>209</v>
      </c>
      <c r="DU352" s="2" t="s">
        <v>209</v>
      </c>
      <c r="DV352" s="2" t="s">
        <v>209</v>
      </c>
      <c r="DW352" s="2" t="s">
        <v>209</v>
      </c>
      <c r="DX352" s="2" t="s">
        <v>209</v>
      </c>
      <c r="DY352" s="2" t="s">
        <v>209</v>
      </c>
      <c r="DZ352" s="2" t="s">
        <v>209</v>
      </c>
      <c r="EA352" s="2" t="s">
        <v>209</v>
      </c>
      <c r="EB352" s="2" t="s">
        <v>209</v>
      </c>
      <c r="EC352" s="2" t="s">
        <v>188</v>
      </c>
      <c r="EF352" s="2" t="s">
        <v>302</v>
      </c>
      <c r="EG352" s="2" t="s">
        <v>2339</v>
      </c>
      <c r="EJ352" s="2" t="s">
        <v>238</v>
      </c>
      <c r="EK352" s="2" t="s">
        <v>188</v>
      </c>
      <c r="EL352" s="2" t="s">
        <v>188</v>
      </c>
      <c r="EN352" s="2" t="s">
        <v>214</v>
      </c>
      <c r="EP352" s="2" t="s">
        <v>230</v>
      </c>
      <c r="ER352" s="2" t="s">
        <v>188</v>
      </c>
      <c r="ET352" s="2" t="s">
        <v>188</v>
      </c>
      <c r="EV352" s="2" t="s">
        <v>188</v>
      </c>
      <c r="EX352" s="2" t="s">
        <v>188</v>
      </c>
      <c r="EZ352" s="2" t="s">
        <v>188</v>
      </c>
      <c r="FC352" s="2" t="s">
        <v>216</v>
      </c>
      <c r="FD352" s="2" t="s">
        <v>188</v>
      </c>
      <c r="FH352" s="2" t="s">
        <v>188</v>
      </c>
      <c r="FJ352" s="2" t="s">
        <v>188</v>
      </c>
      <c r="FK352" s="2" t="s">
        <v>203</v>
      </c>
      <c r="FN352" s="2" t="s">
        <v>432</v>
      </c>
      <c r="FR352" s="2" t="s">
        <v>452</v>
      </c>
      <c r="FT352" s="2" t="s">
        <v>233</v>
      </c>
      <c r="FU352" s="2" t="s">
        <v>233</v>
      </c>
      <c r="FV352" s="2" t="s">
        <v>233</v>
      </c>
      <c r="FW352" s="2" t="s">
        <v>233</v>
      </c>
      <c r="FX352" s="2" t="s">
        <v>233</v>
      </c>
      <c r="FY352" s="2" t="s">
        <v>2340</v>
      </c>
      <c r="FZ352" s="4">
        <v>46039.969409722224</v>
      </c>
    </row>
    <row r="353" spans="1:182">
      <c r="A353" s="2" t="s">
        <v>2341</v>
      </c>
      <c r="D353" s="6">
        <v>46035.420451388891</v>
      </c>
      <c r="E353" s="2" t="s">
        <v>2342</v>
      </c>
      <c r="F353" s="2" t="s">
        <v>480</v>
      </c>
      <c r="G353" s="2" t="s">
        <v>2273</v>
      </c>
      <c r="H353" s="2" t="s">
        <v>2343</v>
      </c>
      <c r="I353" s="2" t="s">
        <v>2344</v>
      </c>
      <c r="J353" s="2">
        <v>33384076</v>
      </c>
      <c r="K353" s="2" t="s">
        <v>2344</v>
      </c>
      <c r="L353" s="2" t="s">
        <v>182</v>
      </c>
      <c r="M353" s="2" t="s">
        <v>183</v>
      </c>
      <c r="N353" s="2">
        <v>1981</v>
      </c>
      <c r="O353" s="2" t="s">
        <v>834</v>
      </c>
      <c r="P353" s="2" t="s">
        <v>185</v>
      </c>
      <c r="Q353" s="2" t="s">
        <v>270</v>
      </c>
      <c r="R353" s="2" t="s">
        <v>188</v>
      </c>
      <c r="S353" s="2">
        <v>26</v>
      </c>
      <c r="T353" s="2" t="s">
        <v>188</v>
      </c>
      <c r="U353" s="2" t="s">
        <v>188</v>
      </c>
      <c r="Y353" s="2">
        <v>265</v>
      </c>
      <c r="Z353" s="2">
        <v>1</v>
      </c>
      <c r="AA353" s="2">
        <v>265</v>
      </c>
      <c r="AB353" s="2">
        <v>265</v>
      </c>
      <c r="AC353" s="2">
        <v>265</v>
      </c>
      <c r="AD353" s="2">
        <v>325</v>
      </c>
      <c r="AE353" s="2">
        <v>60</v>
      </c>
      <c r="AF353" s="2" t="s">
        <v>188</v>
      </c>
      <c r="AG353" s="2" t="s">
        <v>188</v>
      </c>
      <c r="AH353" s="2" t="s">
        <v>188</v>
      </c>
      <c r="AJ353" s="2" t="s">
        <v>188</v>
      </c>
      <c r="AK353" s="2" t="s">
        <v>188</v>
      </c>
      <c r="AL353" s="2" t="s">
        <v>188</v>
      </c>
      <c r="AM353" s="2" t="s">
        <v>188</v>
      </c>
      <c r="AN353" s="2" t="s">
        <v>188</v>
      </c>
      <c r="AO353" s="2" t="s">
        <v>188</v>
      </c>
      <c r="AR353" s="2">
        <v>1</v>
      </c>
      <c r="AS353" s="2">
        <v>2</v>
      </c>
      <c r="AT353" s="2">
        <v>2.2999999999999998</v>
      </c>
      <c r="AU353" s="2" t="s">
        <v>238</v>
      </c>
      <c r="AV353" s="2" t="s">
        <v>238</v>
      </c>
      <c r="AZ353" s="2" t="s">
        <v>190</v>
      </c>
      <c r="BB353" s="2" t="s">
        <v>260</v>
      </c>
      <c r="BC353" s="2" t="s">
        <v>296</v>
      </c>
      <c r="BD353" s="2" t="s">
        <v>188</v>
      </c>
      <c r="BE353" s="2" t="s">
        <v>187</v>
      </c>
      <c r="BF353" s="2" t="s">
        <v>193</v>
      </c>
      <c r="BG353" s="2" t="s">
        <v>194</v>
      </c>
      <c r="BH353" s="2" t="s">
        <v>195</v>
      </c>
      <c r="BI353" s="2" t="s">
        <v>196</v>
      </c>
      <c r="BL353" s="2" t="s">
        <v>240</v>
      </c>
      <c r="BO353" s="2" t="s">
        <v>188</v>
      </c>
      <c r="BQ353" s="2" t="s">
        <v>200</v>
      </c>
      <c r="BS353" s="2" t="s">
        <v>187</v>
      </c>
      <c r="BT353" s="2" t="s">
        <v>484</v>
      </c>
      <c r="BV353" s="2" t="s">
        <v>401</v>
      </c>
      <c r="BX353" s="2" t="s">
        <v>187</v>
      </c>
      <c r="BY353" s="2" t="s">
        <v>1000</v>
      </c>
      <c r="BZ353" s="2" t="s">
        <v>188</v>
      </c>
      <c r="CE353" s="2">
        <v>2.2999999999999998</v>
      </c>
      <c r="CF353" s="2">
        <v>325</v>
      </c>
      <c r="CM353" s="2">
        <v>100</v>
      </c>
      <c r="CO353" s="2">
        <v>100</v>
      </c>
      <c r="CR353" s="2" t="s">
        <v>511</v>
      </c>
      <c r="CT353" s="2" t="s">
        <v>188</v>
      </c>
      <c r="CU353" s="2" t="s">
        <v>249</v>
      </c>
      <c r="CW353" s="2" t="s">
        <v>206</v>
      </c>
      <c r="CY353" s="2" t="s">
        <v>512</v>
      </c>
      <c r="CZ353" s="2" t="s">
        <v>512</v>
      </c>
      <c r="DA353" s="2" t="s">
        <v>512</v>
      </c>
      <c r="DB353" s="2" t="s">
        <v>512</v>
      </c>
      <c r="DC353" s="2" t="s">
        <v>988</v>
      </c>
      <c r="DD353" s="2" t="s">
        <v>300</v>
      </c>
      <c r="DE353" s="2" t="s">
        <v>300</v>
      </c>
      <c r="DF353" s="2" t="s">
        <v>300</v>
      </c>
      <c r="DG353" s="2" t="s">
        <v>300</v>
      </c>
      <c r="DH353" s="2" t="s">
        <v>512</v>
      </c>
      <c r="DI353" s="2" t="s">
        <v>988</v>
      </c>
      <c r="DL353" s="2" t="s">
        <v>187</v>
      </c>
      <c r="DM353" s="2" t="s">
        <v>187</v>
      </c>
      <c r="DN353" s="2" t="s">
        <v>187</v>
      </c>
      <c r="DO353" s="2" t="s">
        <v>187</v>
      </c>
      <c r="DP353" s="2" t="s">
        <v>209</v>
      </c>
      <c r="DQ353" s="2" t="s">
        <v>467</v>
      </c>
      <c r="DR353" s="2" t="s">
        <v>2345</v>
      </c>
      <c r="DT353" s="2" t="s">
        <v>209</v>
      </c>
      <c r="DU353" s="2" t="s">
        <v>209</v>
      </c>
      <c r="DV353" s="2" t="s">
        <v>209</v>
      </c>
      <c r="DW353" s="2" t="s">
        <v>209</v>
      </c>
      <c r="DX353" s="2" t="s">
        <v>209</v>
      </c>
      <c r="DY353" s="2" t="s">
        <v>203</v>
      </c>
      <c r="DZ353" s="2" t="s">
        <v>203</v>
      </c>
      <c r="EA353" s="2" t="s">
        <v>203</v>
      </c>
      <c r="EB353" s="2" t="s">
        <v>209</v>
      </c>
      <c r="EC353" s="2" t="s">
        <v>188</v>
      </c>
      <c r="EF353" s="2" t="s">
        <v>189</v>
      </c>
      <c r="EJ353" s="2" t="s">
        <v>238</v>
      </c>
      <c r="EK353" s="2" t="s">
        <v>187</v>
      </c>
      <c r="EL353" s="2" t="s">
        <v>188</v>
      </c>
      <c r="EN353" s="2" t="s">
        <v>214</v>
      </c>
      <c r="EP353" s="2" t="s">
        <v>230</v>
      </c>
      <c r="ER353" s="2" t="s">
        <v>187</v>
      </c>
      <c r="ET353" s="2" t="s">
        <v>188</v>
      </c>
      <c r="EV353" s="2" t="s">
        <v>187</v>
      </c>
      <c r="EW353" s="2" t="s">
        <v>215</v>
      </c>
      <c r="EZ353" s="2" t="s">
        <v>188</v>
      </c>
      <c r="FC353" s="2" t="s">
        <v>395</v>
      </c>
      <c r="FD353" s="2" t="s">
        <v>188</v>
      </c>
      <c r="FH353" s="2" t="s">
        <v>188</v>
      </c>
      <c r="FJ353" s="2" t="s">
        <v>188</v>
      </c>
      <c r="FN353" s="2" t="s">
        <v>488</v>
      </c>
      <c r="FR353" s="2" t="s">
        <v>2346</v>
      </c>
      <c r="FT353" s="2" t="s">
        <v>233</v>
      </c>
      <c r="FU353" s="2" t="s">
        <v>233</v>
      </c>
      <c r="FV353" s="2" t="s">
        <v>233</v>
      </c>
      <c r="FW353" s="2" t="s">
        <v>233</v>
      </c>
      <c r="FZ353" s="4">
        <v>46043.741643518515</v>
      </c>
    </row>
    <row r="354" spans="1:182">
      <c r="A354" s="2" t="s">
        <v>2347</v>
      </c>
      <c r="D354" s="6">
        <v>46035.41609953704</v>
      </c>
      <c r="E354" s="2" t="s">
        <v>2348</v>
      </c>
      <c r="F354" s="2" t="s">
        <v>425</v>
      </c>
      <c r="G354" s="2" t="s">
        <v>2273</v>
      </c>
      <c r="H354" s="2" t="s">
        <v>2336</v>
      </c>
      <c r="I354" s="2" t="s">
        <v>2349</v>
      </c>
      <c r="K354" s="2" t="s">
        <v>2349</v>
      </c>
      <c r="L354" s="2" t="s">
        <v>182</v>
      </c>
      <c r="M354" s="2" t="s">
        <v>183</v>
      </c>
      <c r="N354" s="2">
        <v>1972</v>
      </c>
      <c r="O354" s="2" t="s">
        <v>834</v>
      </c>
      <c r="P354" s="2" t="s">
        <v>185</v>
      </c>
      <c r="Q354" s="2" t="s">
        <v>270</v>
      </c>
      <c r="R354" s="2" t="s">
        <v>188</v>
      </c>
      <c r="S354" s="2">
        <v>30</v>
      </c>
      <c r="T354" s="2" t="s">
        <v>188</v>
      </c>
      <c r="U354" s="2" t="s">
        <v>188</v>
      </c>
      <c r="Y354" s="2">
        <v>160</v>
      </c>
      <c r="Z354" s="2">
        <v>1</v>
      </c>
      <c r="AA354" s="2">
        <v>160</v>
      </c>
      <c r="AB354" s="2">
        <v>140</v>
      </c>
      <c r="AC354" s="2">
        <v>130</v>
      </c>
      <c r="AD354" s="2">
        <v>150</v>
      </c>
      <c r="AE354" s="2">
        <v>20</v>
      </c>
      <c r="AF354" s="2" t="s">
        <v>188</v>
      </c>
      <c r="AG354" s="2" t="s">
        <v>188</v>
      </c>
      <c r="AH354" s="2" t="s">
        <v>188</v>
      </c>
      <c r="AJ354" s="2" t="s">
        <v>188</v>
      </c>
      <c r="AK354" s="2" t="s">
        <v>187</v>
      </c>
      <c r="AL354" s="2" t="s">
        <v>188</v>
      </c>
      <c r="AM354" s="2" t="s">
        <v>188</v>
      </c>
      <c r="AN354" s="2" t="s">
        <v>188</v>
      </c>
      <c r="AO354" s="2" t="s">
        <v>188</v>
      </c>
      <c r="AR354" s="2">
        <v>0.45</v>
      </c>
      <c r="AS354" s="2">
        <v>1</v>
      </c>
      <c r="AT354" s="2">
        <v>1.5</v>
      </c>
      <c r="AU354" s="2" t="s">
        <v>203</v>
      </c>
      <c r="AV354" s="2" t="s">
        <v>203</v>
      </c>
      <c r="AW354" s="2" t="s">
        <v>188</v>
      </c>
      <c r="AZ354" s="2" t="s">
        <v>357</v>
      </c>
      <c r="BC354" s="2" t="s">
        <v>253</v>
      </c>
      <c r="BD354" s="2" t="s">
        <v>188</v>
      </c>
      <c r="BE354" s="2" t="s">
        <v>187</v>
      </c>
      <c r="BF354" s="2" t="s">
        <v>2350</v>
      </c>
      <c r="BG354" s="2" t="s">
        <v>194</v>
      </c>
      <c r="BH354" s="2" t="s">
        <v>280</v>
      </c>
      <c r="BI354" s="2" t="s">
        <v>196</v>
      </c>
      <c r="BL354" s="2" t="s">
        <v>240</v>
      </c>
      <c r="BO354" s="2" t="s">
        <v>341</v>
      </c>
      <c r="BP354" s="2" t="s">
        <v>342</v>
      </c>
      <c r="BS354" s="2" t="s">
        <v>188</v>
      </c>
      <c r="BT354" s="2" t="s">
        <v>69</v>
      </c>
      <c r="BU354" s="2" t="s">
        <v>544</v>
      </c>
      <c r="BV354" s="2" t="s">
        <v>254</v>
      </c>
      <c r="BX354" s="2" t="s">
        <v>188</v>
      </c>
      <c r="BZ354" s="2" t="s">
        <v>188</v>
      </c>
      <c r="CE354" s="2">
        <v>1.5</v>
      </c>
      <c r="CF354" s="2">
        <v>150</v>
      </c>
      <c r="CK354" s="2">
        <v>100</v>
      </c>
      <c r="CO354" s="2">
        <v>100</v>
      </c>
      <c r="CR354" s="2" t="s">
        <v>204</v>
      </c>
      <c r="CT354" s="2" t="s">
        <v>188</v>
      </c>
      <c r="CU354" s="2" t="s">
        <v>205</v>
      </c>
      <c r="CW354" s="2" t="s">
        <v>206</v>
      </c>
      <c r="CY354" s="2" t="s">
        <v>300</v>
      </c>
      <c r="CZ354" s="2" t="s">
        <v>300</v>
      </c>
      <c r="DA354" s="2" t="s">
        <v>300</v>
      </c>
      <c r="DB354" s="2" t="s">
        <v>430</v>
      </c>
      <c r="DC354" s="2" t="s">
        <v>430</v>
      </c>
      <c r="DD354" s="2" t="s">
        <v>430</v>
      </c>
      <c r="DE354" s="2" t="s">
        <v>300</v>
      </c>
      <c r="DG354" s="2" t="s">
        <v>300</v>
      </c>
      <c r="DH354" s="2" t="s">
        <v>430</v>
      </c>
      <c r="DI354" s="2" t="s">
        <v>430</v>
      </c>
      <c r="DL354" s="2" t="s">
        <v>188</v>
      </c>
      <c r="DM354" s="2" t="s">
        <v>188</v>
      </c>
      <c r="DP354" s="2" t="s">
        <v>188</v>
      </c>
      <c r="DT354" s="2" t="s">
        <v>203</v>
      </c>
      <c r="DU354" s="2" t="s">
        <v>203</v>
      </c>
      <c r="DV354" s="2" t="s">
        <v>203</v>
      </c>
      <c r="DW354" s="2" t="s">
        <v>203</v>
      </c>
      <c r="DX354" s="2" t="s">
        <v>203</v>
      </c>
      <c r="DY354" s="2" t="s">
        <v>203</v>
      </c>
      <c r="DZ354" s="2" t="s">
        <v>203</v>
      </c>
      <c r="EA354" s="2" t="s">
        <v>203</v>
      </c>
      <c r="EB354" s="2" t="s">
        <v>203</v>
      </c>
      <c r="EC354" s="2" t="s">
        <v>203</v>
      </c>
      <c r="ED354" s="2" t="s">
        <v>203</v>
      </c>
      <c r="EF354" s="2" t="s">
        <v>302</v>
      </c>
      <c r="EG354" s="2" t="s">
        <v>632</v>
      </c>
      <c r="EJ354" s="2" t="s">
        <v>203</v>
      </c>
      <c r="EK354" s="2" t="s">
        <v>188</v>
      </c>
      <c r="EL354" s="2" t="s">
        <v>188</v>
      </c>
      <c r="EN354" s="2" t="s">
        <v>255</v>
      </c>
      <c r="EP354" s="2" t="s">
        <v>230</v>
      </c>
      <c r="ER354" s="2" t="s">
        <v>188</v>
      </c>
      <c r="ET354" s="2" t="s">
        <v>188</v>
      </c>
      <c r="EV354" s="2" t="s">
        <v>188</v>
      </c>
      <c r="EX354" s="2" t="s">
        <v>188</v>
      </c>
      <c r="EZ354" s="2" t="s">
        <v>188</v>
      </c>
      <c r="FC354" s="2" t="s">
        <v>395</v>
      </c>
      <c r="FD354" s="2" t="s">
        <v>188</v>
      </c>
      <c r="FH354" s="2" t="s">
        <v>188</v>
      </c>
      <c r="FJ354" s="2" t="s">
        <v>188</v>
      </c>
      <c r="FK354" s="2" t="s">
        <v>188</v>
      </c>
      <c r="FR354" s="2" t="s">
        <v>498</v>
      </c>
      <c r="FT354" s="2" t="s">
        <v>490</v>
      </c>
      <c r="FU354" s="2" t="s">
        <v>233</v>
      </c>
      <c r="FV354" s="2" t="s">
        <v>219</v>
      </c>
      <c r="FW354" s="2" t="s">
        <v>233</v>
      </c>
      <c r="FZ354" s="4">
        <v>46038.647349537037</v>
      </c>
    </row>
    <row r="355" spans="1:182">
      <c r="A355" s="2" t="s">
        <v>2351</v>
      </c>
      <c r="D355" s="6">
        <v>46035.415856481479</v>
      </c>
      <c r="E355" s="2" t="s">
        <v>177</v>
      </c>
      <c r="F355" s="2" t="s">
        <v>293</v>
      </c>
      <c r="G355" s="2" t="s">
        <v>2273</v>
      </c>
      <c r="H355" s="2" t="s">
        <v>2352</v>
      </c>
      <c r="I355" s="2" t="s">
        <v>2353</v>
      </c>
      <c r="J355" s="2">
        <v>348602483</v>
      </c>
      <c r="K355" s="2" t="s">
        <v>2353</v>
      </c>
      <c r="L355" s="2" t="s">
        <v>269</v>
      </c>
      <c r="M355" s="2" t="s">
        <v>183</v>
      </c>
      <c r="N355" s="2">
        <v>2003</v>
      </c>
      <c r="O355" s="2" t="s">
        <v>834</v>
      </c>
      <c r="P355" s="2" t="s">
        <v>185</v>
      </c>
      <c r="Q355" s="2" t="s">
        <v>270</v>
      </c>
      <c r="R355" s="2" t="s">
        <v>188</v>
      </c>
      <c r="S355" s="2">
        <v>2010</v>
      </c>
      <c r="T355" s="2" t="s">
        <v>188</v>
      </c>
      <c r="U355" s="2" t="s">
        <v>188</v>
      </c>
      <c r="Y355" s="2">
        <v>160</v>
      </c>
      <c r="Z355" s="2">
        <v>0.75</v>
      </c>
      <c r="AA355" s="2">
        <v>120</v>
      </c>
      <c r="AB355" s="2">
        <v>120</v>
      </c>
      <c r="AC355" s="2">
        <v>80</v>
      </c>
      <c r="AD355" s="2">
        <v>90</v>
      </c>
      <c r="AE355" s="2">
        <v>10</v>
      </c>
      <c r="AF355" s="2" t="s">
        <v>187</v>
      </c>
      <c r="AG355" s="2" t="s">
        <v>187</v>
      </c>
      <c r="AH355" s="2" t="s">
        <v>187</v>
      </c>
      <c r="AI355" s="2" t="s">
        <v>308</v>
      </c>
      <c r="AJ355" s="2" t="s">
        <v>188</v>
      </c>
      <c r="AK355" s="2" t="s">
        <v>188</v>
      </c>
      <c r="AL355" s="2" t="s">
        <v>188</v>
      </c>
      <c r="AM355" s="2" t="s">
        <v>187</v>
      </c>
      <c r="AN355" s="2" t="s">
        <v>188</v>
      </c>
      <c r="AO355" s="2" t="s">
        <v>188</v>
      </c>
      <c r="AR355" s="2">
        <v>1</v>
      </c>
      <c r="AS355" s="2">
        <v>1</v>
      </c>
      <c r="AT355" s="2">
        <v>0.9</v>
      </c>
      <c r="AU355" s="2" t="s">
        <v>238</v>
      </c>
      <c r="AV355" s="2" t="s">
        <v>238</v>
      </c>
      <c r="AW355" s="2" t="s">
        <v>188</v>
      </c>
      <c r="AZ355" s="2" t="s">
        <v>190</v>
      </c>
      <c r="BB355" s="2" t="s">
        <v>260</v>
      </c>
      <c r="BC355" s="2" t="s">
        <v>253</v>
      </c>
      <c r="BD355" s="2" t="s">
        <v>187</v>
      </c>
      <c r="BE355" s="2" t="s">
        <v>187</v>
      </c>
      <c r="BF355" s="2" t="s">
        <v>193</v>
      </c>
      <c r="BG355" s="2" t="s">
        <v>194</v>
      </c>
      <c r="BH355" s="2" t="s">
        <v>280</v>
      </c>
      <c r="BI355" s="2" t="s">
        <v>165</v>
      </c>
      <c r="BL355" s="2" t="s">
        <v>240</v>
      </c>
      <c r="BM355" s="2" t="s">
        <v>198</v>
      </c>
      <c r="BN355" s="2" t="s">
        <v>199</v>
      </c>
      <c r="BO355" s="2" t="s">
        <v>298</v>
      </c>
      <c r="BP355" s="2" t="s">
        <v>342</v>
      </c>
      <c r="BS355" s="2" t="s">
        <v>188</v>
      </c>
      <c r="BT355" s="2" t="s">
        <v>261</v>
      </c>
      <c r="BV355" s="2" t="s">
        <v>287</v>
      </c>
      <c r="BX355" s="2" t="s">
        <v>188</v>
      </c>
      <c r="BY355" s="2" t="s">
        <v>335</v>
      </c>
      <c r="BZ355" s="2" t="s">
        <v>188</v>
      </c>
      <c r="CE355" s="2">
        <v>0.9</v>
      </c>
      <c r="CF355" s="2">
        <v>90</v>
      </c>
      <c r="CK355" s="2">
        <v>100</v>
      </c>
      <c r="CO355" s="2">
        <v>100</v>
      </c>
      <c r="CR355" s="2" t="s">
        <v>204</v>
      </c>
      <c r="CT355" s="2" t="s">
        <v>188</v>
      </c>
      <c r="CU355" s="2" t="s">
        <v>281</v>
      </c>
      <c r="CW355" s="2" t="s">
        <v>206</v>
      </c>
      <c r="CY355" s="2" t="s">
        <v>207</v>
      </c>
      <c r="CZ355" s="2" t="s">
        <v>273</v>
      </c>
      <c r="DA355" s="2" t="s">
        <v>299</v>
      </c>
      <c r="DB355" s="2" t="s">
        <v>299</v>
      </c>
      <c r="DC355" s="2" t="s">
        <v>299</v>
      </c>
      <c r="DD355" s="2" t="s">
        <v>299</v>
      </c>
      <c r="DE355" s="2" t="s">
        <v>299</v>
      </c>
      <c r="DF355" s="2" t="s">
        <v>299</v>
      </c>
      <c r="DG355" s="2" t="s">
        <v>299</v>
      </c>
      <c r="DH355" s="2" t="s">
        <v>299</v>
      </c>
      <c r="DI355" s="2" t="s">
        <v>299</v>
      </c>
      <c r="DL355" s="2" t="s">
        <v>188</v>
      </c>
      <c r="DM355" s="2" t="s">
        <v>188</v>
      </c>
      <c r="DP355" s="2" t="s">
        <v>203</v>
      </c>
      <c r="DT355" s="2" t="s">
        <v>209</v>
      </c>
      <c r="DU355" s="2" t="s">
        <v>209</v>
      </c>
      <c r="DV355" s="2" t="s">
        <v>209</v>
      </c>
      <c r="DW355" s="2" t="s">
        <v>209</v>
      </c>
      <c r="DX355" s="2" t="s">
        <v>203</v>
      </c>
      <c r="DY355" s="2" t="s">
        <v>203</v>
      </c>
      <c r="DZ355" s="2" t="s">
        <v>203</v>
      </c>
      <c r="EA355" s="2" t="s">
        <v>203</v>
      </c>
      <c r="EB355" s="2" t="s">
        <v>203</v>
      </c>
      <c r="EC355" s="2" t="s">
        <v>203</v>
      </c>
      <c r="EF355" s="2" t="s">
        <v>211</v>
      </c>
      <c r="EJ355" s="2" t="s">
        <v>238</v>
      </c>
      <c r="EK355" s="2" t="s">
        <v>187</v>
      </c>
      <c r="EL355" s="2" t="s">
        <v>188</v>
      </c>
      <c r="EN355" s="2" t="s">
        <v>214</v>
      </c>
      <c r="EP355" s="2" t="s">
        <v>230</v>
      </c>
      <c r="ET355" s="2" t="s">
        <v>188</v>
      </c>
      <c r="EV355" s="2" t="s">
        <v>188</v>
      </c>
      <c r="EX355" s="2" t="s">
        <v>188</v>
      </c>
      <c r="FC355" s="2" t="s">
        <v>216</v>
      </c>
      <c r="FD355" s="2" t="s">
        <v>188</v>
      </c>
      <c r="FH355" s="2" t="s">
        <v>188</v>
      </c>
      <c r="FJ355" s="2" t="s">
        <v>188</v>
      </c>
      <c r="FK355" s="2" t="s">
        <v>209</v>
      </c>
      <c r="FL355" s="2" t="s">
        <v>319</v>
      </c>
      <c r="FN355" s="2" t="s">
        <v>304</v>
      </c>
      <c r="FT355" s="2" t="s">
        <v>219</v>
      </c>
      <c r="FU355" s="2" t="s">
        <v>233</v>
      </c>
      <c r="FV355" s="2" t="s">
        <v>233</v>
      </c>
      <c r="FW355" s="2" t="s">
        <v>233</v>
      </c>
      <c r="FZ355" s="4">
        <v>46039.944374999999</v>
      </c>
    </row>
    <row r="356" spans="1:182">
      <c r="A356" s="2" t="s">
        <v>2354</v>
      </c>
      <c r="D356" s="6">
        <v>46035.413229166668</v>
      </c>
      <c r="E356" s="2" t="s">
        <v>177</v>
      </c>
      <c r="F356" s="2" t="s">
        <v>178</v>
      </c>
      <c r="G356" s="2" t="s">
        <v>2273</v>
      </c>
      <c r="H356" s="2" t="s">
        <v>2294</v>
      </c>
      <c r="I356" s="2" t="s">
        <v>2355</v>
      </c>
      <c r="J356" s="2" t="s">
        <v>2356</v>
      </c>
      <c r="K356" s="2" t="s">
        <v>2355</v>
      </c>
      <c r="L356" s="2" t="s">
        <v>803</v>
      </c>
      <c r="M356" s="2" t="s">
        <v>223</v>
      </c>
      <c r="N356" s="2">
        <v>1979</v>
      </c>
      <c r="O356" s="2" t="s">
        <v>834</v>
      </c>
      <c r="P356" s="2" t="s">
        <v>185</v>
      </c>
      <c r="Q356" s="2" t="s">
        <v>270</v>
      </c>
      <c r="R356" s="2" t="s">
        <v>188</v>
      </c>
      <c r="S356" s="2">
        <v>6</v>
      </c>
      <c r="T356" s="2" t="s">
        <v>188</v>
      </c>
      <c r="U356" s="2" t="s">
        <v>188</v>
      </c>
      <c r="Y356" s="2">
        <v>83</v>
      </c>
      <c r="Z356" s="2">
        <v>1</v>
      </c>
      <c r="AA356" s="2">
        <v>83</v>
      </c>
      <c r="AB356" s="2">
        <v>83</v>
      </c>
      <c r="AC356" s="2">
        <v>83</v>
      </c>
      <c r="AD356" s="2">
        <v>98</v>
      </c>
      <c r="AE356" s="2">
        <v>15</v>
      </c>
      <c r="AF356" s="2" t="s">
        <v>187</v>
      </c>
      <c r="AG356" s="2" t="s">
        <v>188</v>
      </c>
      <c r="AH356" s="2" t="s">
        <v>188</v>
      </c>
      <c r="AJ356" s="2" t="s">
        <v>188</v>
      </c>
      <c r="AK356" s="2" t="s">
        <v>188</v>
      </c>
      <c r="AL356" s="2" t="s">
        <v>188</v>
      </c>
      <c r="AM356" s="2" t="s">
        <v>188</v>
      </c>
      <c r="AN356" s="2" t="s">
        <v>188</v>
      </c>
      <c r="AO356" s="2" t="s">
        <v>188</v>
      </c>
      <c r="AR356" s="2">
        <v>0.6</v>
      </c>
      <c r="AS356" s="2">
        <v>1</v>
      </c>
      <c r="AT356" s="2">
        <v>1</v>
      </c>
      <c r="AU356" s="2" t="s">
        <v>238</v>
      </c>
      <c r="AV356" s="2" t="s">
        <v>203</v>
      </c>
      <c r="AW356" s="2" t="s">
        <v>188</v>
      </c>
      <c r="AZ356" s="2" t="s">
        <v>190</v>
      </c>
      <c r="BB356" s="2" t="s">
        <v>260</v>
      </c>
      <c r="BC356" s="2" t="s">
        <v>192</v>
      </c>
      <c r="BD356" s="2" t="s">
        <v>188</v>
      </c>
      <c r="BE356" s="2" t="s">
        <v>187</v>
      </c>
      <c r="BF356" s="2" t="s">
        <v>193</v>
      </c>
      <c r="BG356" s="2" t="s">
        <v>279</v>
      </c>
      <c r="BH356" s="2" t="s">
        <v>280</v>
      </c>
      <c r="BI356" s="2" t="s">
        <v>196</v>
      </c>
      <c r="BL356" s="2" t="s">
        <v>240</v>
      </c>
      <c r="BO356" s="2" t="s">
        <v>188</v>
      </c>
      <c r="BQ356" s="2" t="s">
        <v>200</v>
      </c>
      <c r="BS356" s="2" t="s">
        <v>187</v>
      </c>
      <c r="BT356" s="2" t="s">
        <v>241</v>
      </c>
      <c r="BV356" s="2" t="s">
        <v>248</v>
      </c>
      <c r="BX356" s="2" t="s">
        <v>188</v>
      </c>
      <c r="BZ356" s="2" t="s">
        <v>203</v>
      </c>
      <c r="CE356" s="2">
        <v>1</v>
      </c>
      <c r="CF356" s="2">
        <v>98</v>
      </c>
      <c r="CK356" s="2">
        <v>100</v>
      </c>
      <c r="CO356" s="2">
        <v>100</v>
      </c>
      <c r="CR356" s="2" t="s">
        <v>229</v>
      </c>
      <c r="CT356" s="2" t="s">
        <v>188</v>
      </c>
      <c r="CU356" s="2" t="s">
        <v>281</v>
      </c>
      <c r="CW356" s="2" t="s">
        <v>206</v>
      </c>
      <c r="CY356" s="2" t="s">
        <v>208</v>
      </c>
      <c r="CZ356" s="2" t="s">
        <v>208</v>
      </c>
      <c r="DA356" s="2" t="s">
        <v>208</v>
      </c>
      <c r="DB356" s="2" t="s">
        <v>208</v>
      </c>
      <c r="DC356" s="2" t="s">
        <v>208</v>
      </c>
      <c r="DD356" s="2" t="s">
        <v>208</v>
      </c>
      <c r="DE356" s="2" t="s">
        <v>208</v>
      </c>
      <c r="DF356" s="2" t="s">
        <v>208</v>
      </c>
      <c r="DG356" s="2" t="s">
        <v>208</v>
      </c>
      <c r="DH356" s="2" t="s">
        <v>208</v>
      </c>
      <c r="DI356" s="2" t="s">
        <v>208</v>
      </c>
      <c r="DL356" s="2" t="s">
        <v>188</v>
      </c>
      <c r="DM356" s="2" t="s">
        <v>188</v>
      </c>
      <c r="DP356" s="2" t="s">
        <v>203</v>
      </c>
      <c r="DT356" s="2" t="s">
        <v>209</v>
      </c>
      <c r="DU356" s="2" t="s">
        <v>203</v>
      </c>
      <c r="DV356" s="2" t="s">
        <v>209</v>
      </c>
      <c r="DW356" s="2" t="s">
        <v>203</v>
      </c>
      <c r="DX356" s="2" t="s">
        <v>203</v>
      </c>
      <c r="DY356" s="2" t="s">
        <v>203</v>
      </c>
      <c r="DZ356" s="2" t="s">
        <v>203</v>
      </c>
      <c r="EA356" s="2" t="s">
        <v>203</v>
      </c>
      <c r="EB356" s="2" t="s">
        <v>203</v>
      </c>
      <c r="EJ356" s="2" t="s">
        <v>203</v>
      </c>
      <c r="EK356" s="2" t="s">
        <v>188</v>
      </c>
      <c r="EL356" s="2" t="s">
        <v>188</v>
      </c>
      <c r="EN356" s="2" t="s">
        <v>288</v>
      </c>
      <c r="EO356" s="2" t="s">
        <v>203</v>
      </c>
      <c r="EP356" s="2" t="s">
        <v>230</v>
      </c>
      <c r="ET356" s="2" t="s">
        <v>188</v>
      </c>
      <c r="EV356" s="2" t="s">
        <v>188</v>
      </c>
      <c r="EX356" s="2" t="s">
        <v>188</v>
      </c>
      <c r="EZ356" s="2" t="s">
        <v>188</v>
      </c>
      <c r="FC356" s="2" t="s">
        <v>263</v>
      </c>
      <c r="FD356" s="2" t="s">
        <v>188</v>
      </c>
      <c r="FH356" s="2" t="s">
        <v>188</v>
      </c>
      <c r="FJ356" s="2" t="s">
        <v>188</v>
      </c>
      <c r="FK356" s="2" t="s">
        <v>188</v>
      </c>
      <c r="FN356" s="2" t="s">
        <v>2357</v>
      </c>
      <c r="FT356" s="2" t="s">
        <v>233</v>
      </c>
      <c r="FU356" s="2" t="s">
        <v>233</v>
      </c>
      <c r="FV356" s="2" t="s">
        <v>233</v>
      </c>
      <c r="FW356" s="2" t="s">
        <v>233</v>
      </c>
      <c r="FZ356" s="4">
        <v>46041.735173611109</v>
      </c>
    </row>
    <row r="357" spans="1:182">
      <c r="A357" s="2" t="s">
        <v>2358</v>
      </c>
      <c r="D357" s="6">
        <v>46035.421875</v>
      </c>
      <c r="E357" s="2" t="s">
        <v>2359</v>
      </c>
      <c r="F357" s="2" t="s">
        <v>425</v>
      </c>
      <c r="G357" s="2" t="s">
        <v>2273</v>
      </c>
      <c r="H357" s="2" t="s">
        <v>2336</v>
      </c>
      <c r="I357" s="2" t="s">
        <v>2360</v>
      </c>
      <c r="K357" s="2" t="s">
        <v>2361</v>
      </c>
      <c r="L357" s="2" t="s">
        <v>182</v>
      </c>
      <c r="M357" s="2" t="s">
        <v>223</v>
      </c>
      <c r="N357" s="2">
        <v>2004</v>
      </c>
      <c r="O357" s="2" t="s">
        <v>834</v>
      </c>
      <c r="P357" s="2" t="s">
        <v>225</v>
      </c>
      <c r="Q357" s="2" t="s">
        <v>270</v>
      </c>
      <c r="R357" s="2" t="s">
        <v>188</v>
      </c>
      <c r="S357" s="2">
        <v>27</v>
      </c>
      <c r="T357" s="2" t="s">
        <v>188</v>
      </c>
      <c r="U357" s="2" t="s">
        <v>188</v>
      </c>
      <c r="Y357" s="2">
        <v>80</v>
      </c>
      <c r="Z357" s="2">
        <v>1</v>
      </c>
      <c r="AA357" s="2">
        <v>80</v>
      </c>
      <c r="AB357" s="2">
        <v>80</v>
      </c>
      <c r="AC357" s="2">
        <v>60</v>
      </c>
      <c r="AD357" s="2">
        <v>70</v>
      </c>
      <c r="AE357" s="2">
        <v>10</v>
      </c>
      <c r="AF357" s="2" t="s">
        <v>187</v>
      </c>
      <c r="AG357" s="2" t="s">
        <v>188</v>
      </c>
      <c r="AH357" s="2" t="s">
        <v>188</v>
      </c>
      <c r="AJ357" s="2" t="s">
        <v>188</v>
      </c>
      <c r="AK357" s="2" t="s">
        <v>188</v>
      </c>
      <c r="AL357" s="2" t="s">
        <v>188</v>
      </c>
      <c r="AM357" s="2" t="s">
        <v>188</v>
      </c>
      <c r="AN357" s="2" t="s">
        <v>188</v>
      </c>
      <c r="AO357" s="2" t="s">
        <v>188</v>
      </c>
      <c r="AR357" s="2">
        <v>0.4</v>
      </c>
      <c r="AS357" s="2">
        <v>1</v>
      </c>
      <c r="AT357" s="2">
        <v>0.7</v>
      </c>
      <c r="AU357" s="2" t="s">
        <v>203</v>
      </c>
      <c r="AV357" s="2" t="s">
        <v>203</v>
      </c>
      <c r="AW357" s="2" t="s">
        <v>188</v>
      </c>
      <c r="AZ357" s="2" t="s">
        <v>357</v>
      </c>
      <c r="BC357" s="2" t="s">
        <v>253</v>
      </c>
      <c r="BD357" s="2" t="s">
        <v>188</v>
      </c>
      <c r="BE357" s="2" t="s">
        <v>188</v>
      </c>
      <c r="BL357" s="2" t="s">
        <v>240</v>
      </c>
      <c r="BO357" s="2" t="s">
        <v>188</v>
      </c>
      <c r="BQ357" s="2" t="s">
        <v>200</v>
      </c>
      <c r="BS357" s="2" t="s">
        <v>188</v>
      </c>
      <c r="BV357" s="2" t="s">
        <v>389</v>
      </c>
      <c r="BX357" s="2" t="s">
        <v>188</v>
      </c>
      <c r="BZ357" s="2" t="s">
        <v>203</v>
      </c>
      <c r="CE357" s="2">
        <v>0.7</v>
      </c>
      <c r="CF357" s="2">
        <v>70</v>
      </c>
      <c r="CK357" s="2">
        <v>100</v>
      </c>
      <c r="CO357" s="2">
        <v>100</v>
      </c>
      <c r="CR357" s="2" t="s">
        <v>204</v>
      </c>
      <c r="CT357" s="2" t="s">
        <v>188</v>
      </c>
      <c r="CU357" s="2" t="s">
        <v>205</v>
      </c>
      <c r="CW357" s="2" t="s">
        <v>1039</v>
      </c>
      <c r="CY357" s="2" t="s">
        <v>300</v>
      </c>
      <c r="CZ357" s="2" t="s">
        <v>300</v>
      </c>
      <c r="DA357" s="2" t="s">
        <v>300</v>
      </c>
      <c r="DB357" s="2" t="s">
        <v>300</v>
      </c>
      <c r="DC357" s="2" t="s">
        <v>430</v>
      </c>
      <c r="DD357" s="2" t="s">
        <v>430</v>
      </c>
      <c r="DE357" s="2" t="s">
        <v>300</v>
      </c>
      <c r="DG357" s="2" t="s">
        <v>300</v>
      </c>
      <c r="DH357" s="2" t="s">
        <v>300</v>
      </c>
      <c r="DI357" s="2" t="s">
        <v>300</v>
      </c>
      <c r="DL357" s="2" t="s">
        <v>188</v>
      </c>
      <c r="DM357" s="2" t="s">
        <v>188</v>
      </c>
      <c r="DP357" s="2" t="s">
        <v>203</v>
      </c>
      <c r="DT357" s="2" t="s">
        <v>203</v>
      </c>
      <c r="DU357" s="2" t="s">
        <v>203</v>
      </c>
      <c r="DV357" s="2" t="s">
        <v>203</v>
      </c>
      <c r="DW357" s="2" t="s">
        <v>203</v>
      </c>
      <c r="DX357" s="2" t="s">
        <v>203</v>
      </c>
      <c r="DY357" s="2" t="s">
        <v>203</v>
      </c>
      <c r="DZ357" s="2" t="s">
        <v>203</v>
      </c>
      <c r="EA357" s="2" t="s">
        <v>203</v>
      </c>
      <c r="EB357" s="2" t="s">
        <v>203</v>
      </c>
      <c r="EC357" s="2" t="s">
        <v>203</v>
      </c>
      <c r="EF357" s="2" t="s">
        <v>302</v>
      </c>
      <c r="EG357" s="2" t="s">
        <v>2362</v>
      </c>
      <c r="EJ357" s="2" t="s">
        <v>203</v>
      </c>
      <c r="EK357" s="2" t="s">
        <v>188</v>
      </c>
      <c r="EL357" s="2" t="s">
        <v>188</v>
      </c>
      <c r="EN357" s="2" t="s">
        <v>255</v>
      </c>
      <c r="EP357" s="2" t="s">
        <v>230</v>
      </c>
      <c r="ER357" s="2" t="s">
        <v>188</v>
      </c>
      <c r="ET357" s="2" t="s">
        <v>188</v>
      </c>
      <c r="EV357" s="2" t="s">
        <v>188</v>
      </c>
      <c r="EX357" s="2" t="s">
        <v>188</v>
      </c>
      <c r="EZ357" s="2" t="s">
        <v>188</v>
      </c>
      <c r="FC357" s="2" t="s">
        <v>395</v>
      </c>
      <c r="FD357" s="2" t="s">
        <v>188</v>
      </c>
      <c r="FH357" s="2" t="s">
        <v>188</v>
      </c>
      <c r="FJ357" s="2" t="s">
        <v>188</v>
      </c>
      <c r="FK357" s="2" t="s">
        <v>188</v>
      </c>
      <c r="FR357" s="2" t="s">
        <v>2363</v>
      </c>
      <c r="FT357" s="2" t="s">
        <v>219</v>
      </c>
      <c r="FU357" s="2" t="s">
        <v>233</v>
      </c>
      <c r="FV357" s="2" t="s">
        <v>219</v>
      </c>
      <c r="FW357" s="2" t="s">
        <v>233</v>
      </c>
      <c r="FZ357" s="4">
        <v>46038.63621527778</v>
      </c>
    </row>
    <row r="358" spans="1:182">
      <c r="A358" s="2" t="s">
        <v>2364</v>
      </c>
      <c r="D358" s="6">
        <v>46035.426608796297</v>
      </c>
      <c r="E358" s="2" t="s">
        <v>2365</v>
      </c>
      <c r="F358" s="2" t="s">
        <v>398</v>
      </c>
      <c r="G358" s="2" t="s">
        <v>2273</v>
      </c>
      <c r="H358" s="2" t="s">
        <v>2336</v>
      </c>
      <c r="I358" s="2" t="s">
        <v>2366</v>
      </c>
      <c r="J358" s="2" t="s">
        <v>2356</v>
      </c>
      <c r="K358" s="2" t="s">
        <v>2366</v>
      </c>
      <c r="L358" s="2" t="s">
        <v>269</v>
      </c>
      <c r="M358" s="2" t="s">
        <v>183</v>
      </c>
      <c r="N358" s="2">
        <v>1979</v>
      </c>
      <c r="O358" s="2" t="s">
        <v>834</v>
      </c>
      <c r="P358" s="2" t="s">
        <v>225</v>
      </c>
      <c r="Q358" s="2" t="s">
        <v>270</v>
      </c>
      <c r="R358" s="2" t="s">
        <v>188</v>
      </c>
      <c r="S358" s="2">
        <v>10</v>
      </c>
      <c r="T358" s="2" t="s">
        <v>188</v>
      </c>
      <c r="U358" s="2" t="s">
        <v>188</v>
      </c>
      <c r="Y358" s="2">
        <v>60</v>
      </c>
      <c r="Z358" s="2">
        <v>1</v>
      </c>
      <c r="AA358" s="2">
        <v>60</v>
      </c>
      <c r="AB358" s="2">
        <v>60</v>
      </c>
      <c r="AC358" s="2">
        <v>60</v>
      </c>
      <c r="AD358" s="2">
        <v>100</v>
      </c>
      <c r="AE358" s="2">
        <v>40</v>
      </c>
      <c r="AF358" s="2" t="s">
        <v>188</v>
      </c>
      <c r="AG358" s="2" t="s">
        <v>188</v>
      </c>
      <c r="AH358" s="2" t="s">
        <v>188</v>
      </c>
      <c r="AJ358" s="2" t="s">
        <v>188</v>
      </c>
      <c r="AK358" s="2" t="s">
        <v>188</v>
      </c>
      <c r="AL358" s="2" t="s">
        <v>188</v>
      </c>
      <c r="AM358" s="2" t="s">
        <v>188</v>
      </c>
      <c r="AN358" s="2" t="s">
        <v>188</v>
      </c>
      <c r="AO358" s="2" t="s">
        <v>188</v>
      </c>
      <c r="AR358" s="2">
        <v>0.5</v>
      </c>
      <c r="AS358" s="2">
        <v>1</v>
      </c>
      <c r="AT358" s="2">
        <v>1</v>
      </c>
      <c r="AU358" s="2" t="s">
        <v>238</v>
      </c>
      <c r="AV358" s="2" t="s">
        <v>238</v>
      </c>
      <c r="AW358" s="2" t="s">
        <v>188</v>
      </c>
      <c r="BC358" s="2" t="s">
        <v>192</v>
      </c>
      <c r="BD358" s="2" t="s">
        <v>188</v>
      </c>
      <c r="BE358" s="2" t="s">
        <v>188</v>
      </c>
      <c r="BL358" s="2" t="s">
        <v>240</v>
      </c>
      <c r="BO358" s="2" t="s">
        <v>188</v>
      </c>
      <c r="BQ358" s="2" t="s">
        <v>200</v>
      </c>
      <c r="BS358" s="2" t="s">
        <v>187</v>
      </c>
      <c r="BT358" s="2" t="s">
        <v>410</v>
      </c>
      <c r="BV358" s="2" t="s">
        <v>248</v>
      </c>
      <c r="BX358" s="2" t="s">
        <v>188</v>
      </c>
      <c r="BY358" s="2" t="s">
        <v>2367</v>
      </c>
      <c r="BZ358" s="2" t="s">
        <v>203</v>
      </c>
      <c r="CE358" s="2">
        <v>1</v>
      </c>
      <c r="CF358" s="2">
        <v>100</v>
      </c>
      <c r="CK358" s="2">
        <v>100</v>
      </c>
      <c r="CP358" s="2">
        <v>100</v>
      </c>
      <c r="CR358" s="2" t="s">
        <v>204</v>
      </c>
      <c r="CT358" s="2" t="s">
        <v>188</v>
      </c>
      <c r="CU358" s="2" t="s">
        <v>205</v>
      </c>
      <c r="CW358" s="2" t="s">
        <v>206</v>
      </c>
      <c r="CY358" s="2" t="s">
        <v>300</v>
      </c>
      <c r="CZ358" s="2" t="s">
        <v>300</v>
      </c>
      <c r="DA358" s="2" t="s">
        <v>300</v>
      </c>
      <c r="DB358" s="2" t="s">
        <v>300</v>
      </c>
      <c r="DC358" s="2" t="s">
        <v>300</v>
      </c>
      <c r="DD358" s="2" t="s">
        <v>300</v>
      </c>
      <c r="DE358" s="2" t="s">
        <v>300</v>
      </c>
      <c r="DF358" s="2" t="s">
        <v>300</v>
      </c>
      <c r="DG358" s="2" t="s">
        <v>300</v>
      </c>
      <c r="DH358" s="2" t="s">
        <v>300</v>
      </c>
      <c r="DI358" s="2" t="s">
        <v>300</v>
      </c>
      <c r="DL358" s="2" t="s">
        <v>188</v>
      </c>
      <c r="DM358" s="2" t="s">
        <v>188</v>
      </c>
      <c r="DP358" s="2" t="s">
        <v>203</v>
      </c>
      <c r="DT358" s="2" t="s">
        <v>203</v>
      </c>
      <c r="DU358" s="2" t="s">
        <v>203</v>
      </c>
      <c r="DV358" s="2" t="s">
        <v>203</v>
      </c>
      <c r="DW358" s="2" t="s">
        <v>203</v>
      </c>
      <c r="DX358" s="2" t="s">
        <v>203</v>
      </c>
      <c r="DY358" s="2" t="s">
        <v>203</v>
      </c>
      <c r="DZ358" s="2" t="s">
        <v>203</v>
      </c>
      <c r="EA358" s="2" t="s">
        <v>203</v>
      </c>
      <c r="EB358" s="2" t="s">
        <v>203</v>
      </c>
      <c r="EC358" s="2" t="s">
        <v>203</v>
      </c>
      <c r="EF358" s="2" t="s">
        <v>302</v>
      </c>
      <c r="EG358" s="2" t="s">
        <v>2291</v>
      </c>
      <c r="EJ358" s="2" t="s">
        <v>203</v>
      </c>
      <c r="EK358" s="2" t="s">
        <v>188</v>
      </c>
      <c r="EL358" s="2" t="s">
        <v>188</v>
      </c>
      <c r="EN358" s="2" t="s">
        <v>214</v>
      </c>
      <c r="EP358" s="2" t="s">
        <v>230</v>
      </c>
      <c r="ER358" s="2" t="s">
        <v>188</v>
      </c>
      <c r="ET358" s="2" t="s">
        <v>188</v>
      </c>
      <c r="EV358" s="2" t="s">
        <v>188</v>
      </c>
      <c r="EX358" s="2" t="s">
        <v>188</v>
      </c>
      <c r="EZ358" s="2" t="s">
        <v>188</v>
      </c>
      <c r="FC358" s="2" t="s">
        <v>216</v>
      </c>
      <c r="FD358" s="2" t="s">
        <v>188</v>
      </c>
      <c r="FH358" s="2" t="s">
        <v>188</v>
      </c>
      <c r="FJ358" s="2" t="s">
        <v>188</v>
      </c>
      <c r="FK358" s="2" t="s">
        <v>203</v>
      </c>
      <c r="FN358" s="2" t="s">
        <v>432</v>
      </c>
      <c r="FR358" s="2" t="s">
        <v>461</v>
      </c>
      <c r="FT358" s="2" t="s">
        <v>219</v>
      </c>
      <c r="FU358" s="2" t="s">
        <v>233</v>
      </c>
      <c r="FV358" s="2" t="s">
        <v>219</v>
      </c>
      <c r="FW358" s="2" t="s">
        <v>219</v>
      </c>
      <c r="FX358" s="2" t="s">
        <v>219</v>
      </c>
      <c r="FY358" s="2" t="s">
        <v>2368</v>
      </c>
      <c r="FZ358" s="4">
        <v>46040.005324074074</v>
      </c>
    </row>
    <row r="359" spans="1:182">
      <c r="A359" s="2" t="s">
        <v>2369</v>
      </c>
      <c r="D359" s="6">
        <v>46035.426921296297</v>
      </c>
      <c r="E359" s="2" t="s">
        <v>2370</v>
      </c>
      <c r="F359" s="2" t="s">
        <v>425</v>
      </c>
      <c r="G359" s="2" t="s">
        <v>2273</v>
      </c>
      <c r="H359" s="2" t="s">
        <v>2371</v>
      </c>
      <c r="I359" s="2" t="s">
        <v>2372</v>
      </c>
      <c r="J359" s="2">
        <v>344836814</v>
      </c>
      <c r="K359" s="2" t="s">
        <v>2373</v>
      </c>
      <c r="L359" s="2" t="s">
        <v>269</v>
      </c>
      <c r="M359" s="2" t="s">
        <v>183</v>
      </c>
      <c r="N359" s="2">
        <v>1992</v>
      </c>
      <c r="O359" s="2" t="s">
        <v>834</v>
      </c>
      <c r="P359" s="2" t="s">
        <v>225</v>
      </c>
      <c r="Q359" s="2" t="s">
        <v>603</v>
      </c>
      <c r="R359" s="2" t="s">
        <v>188</v>
      </c>
      <c r="S359" s="2">
        <v>30</v>
      </c>
      <c r="T359" s="2" t="s">
        <v>188</v>
      </c>
      <c r="U359" s="2" t="s">
        <v>188</v>
      </c>
      <c r="Y359" s="2">
        <v>95</v>
      </c>
      <c r="Z359" s="2">
        <v>0.89470000000000005</v>
      </c>
      <c r="AA359" s="2">
        <v>85</v>
      </c>
      <c r="AB359" s="2">
        <v>85</v>
      </c>
      <c r="AC359" s="2">
        <v>85</v>
      </c>
      <c r="AD359" s="2">
        <v>100</v>
      </c>
      <c r="AE359" s="2">
        <v>15</v>
      </c>
      <c r="AF359" s="2" t="s">
        <v>188</v>
      </c>
      <c r="AG359" s="2" t="s">
        <v>188</v>
      </c>
      <c r="AH359" s="2" t="s">
        <v>188</v>
      </c>
      <c r="AJ359" s="2" t="s">
        <v>188</v>
      </c>
      <c r="AK359" s="2" t="s">
        <v>188</v>
      </c>
      <c r="AL359" s="2" t="s">
        <v>188</v>
      </c>
      <c r="AM359" s="2" t="s">
        <v>187</v>
      </c>
      <c r="AN359" s="2" t="s">
        <v>188</v>
      </c>
      <c r="AO359" s="2" t="s">
        <v>188</v>
      </c>
      <c r="AR359" s="2">
        <v>0.7</v>
      </c>
      <c r="AS359" s="2">
        <v>2</v>
      </c>
      <c r="AT359" s="2">
        <v>1</v>
      </c>
      <c r="AU359" s="2" t="s">
        <v>203</v>
      </c>
      <c r="AV359" s="2" t="s">
        <v>203</v>
      </c>
      <c r="AW359" s="2" t="s">
        <v>188</v>
      </c>
      <c r="AZ359" s="2" t="s">
        <v>561</v>
      </c>
      <c r="BB359" s="2" t="s">
        <v>260</v>
      </c>
      <c r="BC359" s="2" t="s">
        <v>253</v>
      </c>
      <c r="BD359" s="2" t="s">
        <v>188</v>
      </c>
      <c r="BE359" s="2" t="s">
        <v>187</v>
      </c>
      <c r="BF359" s="2" t="s">
        <v>193</v>
      </c>
      <c r="BG359" s="2" t="s">
        <v>279</v>
      </c>
      <c r="BH359" s="2" t="s">
        <v>280</v>
      </c>
      <c r="BI359" s="2" t="s">
        <v>958</v>
      </c>
      <c r="BL359" s="2" t="s">
        <v>240</v>
      </c>
      <c r="BM359" s="2" t="s">
        <v>198</v>
      </c>
      <c r="BN359" s="2" t="s">
        <v>199</v>
      </c>
      <c r="BO359" s="2" t="s">
        <v>341</v>
      </c>
      <c r="BP359" s="2" t="s">
        <v>342</v>
      </c>
      <c r="BS359" s="2" t="s">
        <v>188</v>
      </c>
      <c r="BT359" s="2" t="s">
        <v>69</v>
      </c>
      <c r="BU359" s="2" t="s">
        <v>544</v>
      </c>
      <c r="BV359" s="2" t="s">
        <v>522</v>
      </c>
      <c r="BX359" s="2" t="s">
        <v>188</v>
      </c>
      <c r="BY359" s="2" t="s">
        <v>2374</v>
      </c>
      <c r="BZ359" s="2" t="s">
        <v>188</v>
      </c>
      <c r="CE359" s="2">
        <v>1</v>
      </c>
      <c r="CF359" s="2">
        <v>100</v>
      </c>
      <c r="CH359" s="2">
        <v>0</v>
      </c>
      <c r="CI359" s="2">
        <v>0</v>
      </c>
      <c r="CJ359" s="2">
        <v>0</v>
      </c>
      <c r="CK359" s="2">
        <v>100</v>
      </c>
      <c r="CL359" s="2">
        <v>0</v>
      </c>
      <c r="CM359" s="2">
        <v>0</v>
      </c>
      <c r="CO359" s="2">
        <v>100</v>
      </c>
      <c r="CP359" s="2">
        <v>0</v>
      </c>
      <c r="CQ359" s="2">
        <v>0</v>
      </c>
      <c r="CR359" s="2" t="s">
        <v>204</v>
      </c>
      <c r="CT359" s="2" t="s">
        <v>188</v>
      </c>
      <c r="CU359" s="2" t="s">
        <v>205</v>
      </c>
      <c r="CW359" s="2" t="s">
        <v>206</v>
      </c>
      <c r="CY359" s="2" t="s">
        <v>207</v>
      </c>
      <c r="CZ359" s="2" t="s">
        <v>207</v>
      </c>
      <c r="DA359" s="2" t="s">
        <v>300</v>
      </c>
      <c r="DB359" s="2" t="s">
        <v>300</v>
      </c>
      <c r="DC359" s="2" t="s">
        <v>430</v>
      </c>
      <c r="DD359" s="2" t="s">
        <v>430</v>
      </c>
      <c r="DE359" s="2" t="s">
        <v>300</v>
      </c>
      <c r="DF359" s="2" t="s">
        <v>300</v>
      </c>
      <c r="DG359" s="2" t="s">
        <v>300</v>
      </c>
      <c r="DH359" s="2" t="s">
        <v>300</v>
      </c>
      <c r="DI359" s="2" t="s">
        <v>430</v>
      </c>
      <c r="DL359" s="2" t="s">
        <v>188</v>
      </c>
      <c r="DM359" s="2" t="s">
        <v>188</v>
      </c>
      <c r="DP359" s="2" t="s">
        <v>203</v>
      </c>
      <c r="DT359" s="2" t="s">
        <v>203</v>
      </c>
      <c r="DU359" s="2" t="s">
        <v>203</v>
      </c>
      <c r="DV359" s="2" t="s">
        <v>203</v>
      </c>
      <c r="DW359" s="2" t="s">
        <v>203</v>
      </c>
      <c r="DX359" s="2" t="s">
        <v>203</v>
      </c>
      <c r="DY359" s="2" t="s">
        <v>203</v>
      </c>
      <c r="DZ359" s="2" t="s">
        <v>203</v>
      </c>
      <c r="EA359" s="2" t="s">
        <v>203</v>
      </c>
      <c r="EB359" s="2" t="s">
        <v>203</v>
      </c>
      <c r="EC359" s="2" t="s">
        <v>203</v>
      </c>
      <c r="ED359" s="2" t="s">
        <v>188</v>
      </c>
      <c r="EE359" s="2" t="s">
        <v>188</v>
      </c>
      <c r="EF359" s="2" t="s">
        <v>302</v>
      </c>
      <c r="EG359" s="2" t="s">
        <v>2375</v>
      </c>
      <c r="EJ359" s="2" t="s">
        <v>203</v>
      </c>
      <c r="EK359" s="2" t="s">
        <v>187</v>
      </c>
      <c r="EL359" s="2" t="s">
        <v>188</v>
      </c>
      <c r="EN359" s="2" t="s">
        <v>255</v>
      </c>
      <c r="EP359" s="2" t="s">
        <v>230</v>
      </c>
      <c r="ER359" s="2" t="s">
        <v>187</v>
      </c>
      <c r="ET359" s="2" t="s">
        <v>188</v>
      </c>
      <c r="EV359" s="2" t="s">
        <v>188</v>
      </c>
      <c r="EX359" s="2" t="s">
        <v>188</v>
      </c>
      <c r="EZ359" s="2" t="s">
        <v>187</v>
      </c>
      <c r="FA359" s="2" t="s">
        <v>2376</v>
      </c>
      <c r="FB359" s="2" t="s">
        <v>189</v>
      </c>
      <c r="FC359" s="2" t="s">
        <v>216</v>
      </c>
      <c r="FD359" s="2" t="s">
        <v>188</v>
      </c>
      <c r="FH359" s="2" t="s">
        <v>188</v>
      </c>
      <c r="FJ359" s="2" t="s">
        <v>188</v>
      </c>
      <c r="FK359" s="2" t="s">
        <v>188</v>
      </c>
      <c r="FN359" s="2" t="s">
        <v>291</v>
      </c>
      <c r="FO359" s="2" t="s">
        <v>203</v>
      </c>
      <c r="FR359" s="2" t="s">
        <v>2377</v>
      </c>
      <c r="FT359" s="2" t="s">
        <v>219</v>
      </c>
      <c r="FU359" s="2" t="s">
        <v>233</v>
      </c>
      <c r="FV359" s="2" t="s">
        <v>219</v>
      </c>
      <c r="FW359" s="2" t="s">
        <v>233</v>
      </c>
      <c r="FX359" s="2" t="s">
        <v>233</v>
      </c>
    </row>
    <row r="360" spans="1:182">
      <c r="A360" s="2" t="s">
        <v>2378</v>
      </c>
      <c r="D360" s="6">
        <v>46035.434907407405</v>
      </c>
      <c r="E360" s="2" t="s">
        <v>2379</v>
      </c>
      <c r="F360" s="2" t="s">
        <v>590</v>
      </c>
      <c r="G360" s="2" t="s">
        <v>2273</v>
      </c>
      <c r="H360" s="2" t="s">
        <v>2380</v>
      </c>
      <c r="I360" s="2" t="s">
        <v>2381</v>
      </c>
      <c r="J360" s="2">
        <v>332646290</v>
      </c>
      <c r="K360" s="2" t="s">
        <v>2382</v>
      </c>
      <c r="L360" s="2" t="s">
        <v>182</v>
      </c>
      <c r="M360" s="2" t="s">
        <v>223</v>
      </c>
      <c r="N360" s="2">
        <v>1990</v>
      </c>
      <c r="O360" s="2" t="s">
        <v>834</v>
      </c>
      <c r="P360" s="2" t="s">
        <v>225</v>
      </c>
      <c r="Q360" s="2" t="s">
        <v>270</v>
      </c>
      <c r="R360" s="2" t="s">
        <v>188</v>
      </c>
      <c r="S360" s="2">
        <v>15</v>
      </c>
      <c r="T360" s="2" t="s">
        <v>188</v>
      </c>
      <c r="U360" s="2" t="s">
        <v>188</v>
      </c>
      <c r="Y360" s="2">
        <v>80</v>
      </c>
      <c r="Z360" s="2">
        <v>1</v>
      </c>
      <c r="AA360" s="2">
        <v>80</v>
      </c>
      <c r="AB360" s="2">
        <v>80</v>
      </c>
      <c r="AC360" s="2">
        <v>80</v>
      </c>
      <c r="AD360" s="2">
        <v>120</v>
      </c>
      <c r="AE360" s="2">
        <v>40</v>
      </c>
      <c r="AF360" s="2" t="s">
        <v>188</v>
      </c>
      <c r="AG360" s="2" t="s">
        <v>188</v>
      </c>
      <c r="AH360" s="2" t="s">
        <v>188</v>
      </c>
      <c r="AJ360" s="2" t="s">
        <v>188</v>
      </c>
      <c r="AK360" s="2" t="s">
        <v>188</v>
      </c>
      <c r="AL360" s="2" t="s">
        <v>188</v>
      </c>
      <c r="AM360" s="2" t="s">
        <v>188</v>
      </c>
      <c r="AN360" s="2" t="s">
        <v>188</v>
      </c>
      <c r="AO360" s="2" t="s">
        <v>188</v>
      </c>
      <c r="AR360" s="2">
        <v>0.5</v>
      </c>
      <c r="AS360" s="2">
        <v>1</v>
      </c>
      <c r="AT360" s="2">
        <v>1</v>
      </c>
      <c r="AU360" s="2" t="s">
        <v>203</v>
      </c>
      <c r="AV360" s="2" t="s">
        <v>238</v>
      </c>
      <c r="AW360" s="2" t="s">
        <v>188</v>
      </c>
      <c r="AZ360" s="2" t="s">
        <v>190</v>
      </c>
      <c r="BB360" s="2" t="s">
        <v>260</v>
      </c>
      <c r="BC360" s="2" t="s">
        <v>296</v>
      </c>
      <c r="BD360" s="2" t="s">
        <v>188</v>
      </c>
      <c r="BE360" s="2" t="s">
        <v>187</v>
      </c>
      <c r="BF360" s="2" t="s">
        <v>193</v>
      </c>
      <c r="BG360" s="2" t="s">
        <v>194</v>
      </c>
      <c r="BH360" s="2" t="s">
        <v>195</v>
      </c>
      <c r="BI360" s="2" t="s">
        <v>196</v>
      </c>
      <c r="BL360" s="2" t="s">
        <v>240</v>
      </c>
      <c r="BO360" s="2" t="s">
        <v>188</v>
      </c>
      <c r="BQ360" s="2" t="s">
        <v>227</v>
      </c>
      <c r="BS360" s="2" t="s">
        <v>187</v>
      </c>
      <c r="BT360" s="2" t="s">
        <v>1703</v>
      </c>
      <c r="BV360" s="2" t="s">
        <v>495</v>
      </c>
      <c r="BX360" s="2" t="s">
        <v>187</v>
      </c>
      <c r="BY360" s="2" t="s">
        <v>2383</v>
      </c>
      <c r="BZ360" s="2" t="s">
        <v>188</v>
      </c>
      <c r="CE360" s="2">
        <v>1</v>
      </c>
      <c r="CF360" s="2">
        <v>120</v>
      </c>
      <c r="CK360" s="2">
        <v>100</v>
      </c>
      <c r="CO360" s="2">
        <v>100</v>
      </c>
      <c r="CR360" s="2" t="s">
        <v>204</v>
      </c>
      <c r="CT360" s="2" t="s">
        <v>188</v>
      </c>
      <c r="CU360" s="2" t="s">
        <v>205</v>
      </c>
      <c r="CW360" s="2" t="s">
        <v>206</v>
      </c>
      <c r="CY360" s="2" t="s">
        <v>273</v>
      </c>
      <c r="CZ360" s="2" t="s">
        <v>300</v>
      </c>
      <c r="DA360" s="2" t="s">
        <v>300</v>
      </c>
      <c r="DB360" s="2" t="s">
        <v>300</v>
      </c>
      <c r="DC360" s="2" t="s">
        <v>430</v>
      </c>
      <c r="DD360" s="2" t="s">
        <v>300</v>
      </c>
      <c r="DE360" s="2" t="s">
        <v>300</v>
      </c>
      <c r="DF360" s="2" t="s">
        <v>300</v>
      </c>
      <c r="DG360" s="2" t="s">
        <v>300</v>
      </c>
      <c r="DH360" s="2" t="s">
        <v>430</v>
      </c>
      <c r="DI360" s="2" t="s">
        <v>430</v>
      </c>
      <c r="DL360" s="2" t="s">
        <v>188</v>
      </c>
      <c r="DM360" s="2" t="s">
        <v>188</v>
      </c>
      <c r="DP360" s="2" t="s">
        <v>188</v>
      </c>
      <c r="DT360" s="2" t="s">
        <v>203</v>
      </c>
      <c r="DU360" s="2" t="s">
        <v>203</v>
      </c>
      <c r="DV360" s="2" t="s">
        <v>203</v>
      </c>
      <c r="DW360" s="2" t="s">
        <v>203</v>
      </c>
      <c r="DX360" s="2" t="s">
        <v>203</v>
      </c>
      <c r="DY360" s="2" t="s">
        <v>203</v>
      </c>
      <c r="DZ360" s="2" t="s">
        <v>203</v>
      </c>
      <c r="EA360" s="2" t="s">
        <v>203</v>
      </c>
      <c r="EB360" s="2" t="s">
        <v>203</v>
      </c>
      <c r="EC360" s="2" t="s">
        <v>203</v>
      </c>
      <c r="EF360" s="2" t="s">
        <v>189</v>
      </c>
      <c r="EG360" s="2" t="s">
        <v>632</v>
      </c>
      <c r="EJ360" s="2" t="s">
        <v>203</v>
      </c>
      <c r="EK360" s="2" t="s">
        <v>188</v>
      </c>
      <c r="EL360" s="2" t="s">
        <v>188</v>
      </c>
      <c r="EN360" s="2" t="s">
        <v>255</v>
      </c>
      <c r="EP360" s="2" t="s">
        <v>230</v>
      </c>
      <c r="ER360" s="2" t="s">
        <v>188</v>
      </c>
      <c r="ET360" s="2" t="s">
        <v>188</v>
      </c>
      <c r="EV360" s="2" t="s">
        <v>188</v>
      </c>
      <c r="EX360" s="2" t="s">
        <v>188</v>
      </c>
      <c r="EZ360" s="2" t="s">
        <v>188</v>
      </c>
      <c r="FC360" s="2" t="s">
        <v>263</v>
      </c>
      <c r="FD360" s="2" t="s">
        <v>188</v>
      </c>
      <c r="FH360" s="2" t="s">
        <v>188</v>
      </c>
      <c r="FJ360" s="2" t="s">
        <v>188</v>
      </c>
      <c r="FK360" s="2" t="s">
        <v>188</v>
      </c>
      <c r="FN360" s="2" t="s">
        <v>282</v>
      </c>
      <c r="FR360" s="2" t="s">
        <v>2384</v>
      </c>
      <c r="FT360" s="2" t="s">
        <v>233</v>
      </c>
      <c r="FU360" s="2" t="s">
        <v>233</v>
      </c>
      <c r="FV360" s="2" t="s">
        <v>233</v>
      </c>
      <c r="FW360" s="2" t="s">
        <v>233</v>
      </c>
      <c r="FZ360" s="4">
        <v>46047.625462962962</v>
      </c>
    </row>
    <row r="361" spans="1:182">
      <c r="A361" s="2" t="s">
        <v>2385</v>
      </c>
      <c r="D361" s="6">
        <v>46035.42596064815</v>
      </c>
      <c r="E361" s="2" t="s">
        <v>177</v>
      </c>
      <c r="F361" s="2" t="s">
        <v>178</v>
      </c>
      <c r="G361" s="2" t="s">
        <v>2273</v>
      </c>
      <c r="H361" s="2" t="s">
        <v>2294</v>
      </c>
      <c r="I361" s="2" t="s">
        <v>2386</v>
      </c>
      <c r="J361" s="2">
        <v>365054943</v>
      </c>
      <c r="K361" s="2" t="s">
        <v>2387</v>
      </c>
      <c r="L361" s="2" t="s">
        <v>182</v>
      </c>
      <c r="M361" s="2" t="s">
        <v>223</v>
      </c>
      <c r="N361" s="2">
        <v>2004</v>
      </c>
      <c r="O361" s="2" t="s">
        <v>834</v>
      </c>
      <c r="P361" s="2" t="s">
        <v>237</v>
      </c>
      <c r="R361" s="2" t="s">
        <v>188</v>
      </c>
      <c r="S361" s="2">
        <v>11</v>
      </c>
      <c r="T361" s="2" t="s">
        <v>188</v>
      </c>
      <c r="U361" s="2" t="s">
        <v>188</v>
      </c>
      <c r="Y361" s="2">
        <v>305</v>
      </c>
      <c r="Z361" s="2">
        <v>0.88519999999999999</v>
      </c>
      <c r="AA361" s="2">
        <v>270</v>
      </c>
      <c r="AB361" s="2">
        <v>270</v>
      </c>
      <c r="AC361" s="2">
        <v>270</v>
      </c>
      <c r="AD361" s="2">
        <v>315</v>
      </c>
      <c r="AE361" s="2">
        <v>45</v>
      </c>
      <c r="AF361" s="2" t="s">
        <v>188</v>
      </c>
      <c r="AG361" s="2" t="s">
        <v>188</v>
      </c>
      <c r="AH361" s="2" t="s">
        <v>188</v>
      </c>
      <c r="AJ361" s="2" t="s">
        <v>188</v>
      </c>
      <c r="AK361" s="2" t="s">
        <v>188</v>
      </c>
      <c r="AL361" s="2" t="s">
        <v>188</v>
      </c>
      <c r="AM361" s="2" t="s">
        <v>187</v>
      </c>
      <c r="AN361" s="2" t="s">
        <v>188</v>
      </c>
      <c r="AO361" s="2" t="s">
        <v>188</v>
      </c>
      <c r="AR361" s="2">
        <v>1</v>
      </c>
      <c r="AS361" s="2">
        <v>4</v>
      </c>
      <c r="AT361" s="2">
        <v>3.2</v>
      </c>
      <c r="AU361" s="2" t="s">
        <v>238</v>
      </c>
      <c r="AV361" s="2" t="s">
        <v>238</v>
      </c>
      <c r="AW361" s="2" t="s">
        <v>188</v>
      </c>
      <c r="AZ361" s="2" t="s">
        <v>190</v>
      </c>
      <c r="BB361" s="2" t="s">
        <v>260</v>
      </c>
      <c r="BC361" s="2" t="s">
        <v>192</v>
      </c>
      <c r="BD361" s="2" t="s">
        <v>188</v>
      </c>
      <c r="BE361" s="2" t="s">
        <v>187</v>
      </c>
      <c r="BF361" s="2" t="s">
        <v>193</v>
      </c>
      <c r="BG361" s="2" t="s">
        <v>194</v>
      </c>
      <c r="BH361" s="2" t="s">
        <v>195</v>
      </c>
      <c r="BI361" s="2" t="s">
        <v>196</v>
      </c>
      <c r="BL361" s="2" t="s">
        <v>240</v>
      </c>
      <c r="BO361" s="2" t="s">
        <v>188</v>
      </c>
      <c r="BQ361" s="2" t="s">
        <v>200</v>
      </c>
      <c r="BS361" s="2" t="s">
        <v>187</v>
      </c>
      <c r="BT361" s="2" t="s">
        <v>201</v>
      </c>
      <c r="BV361" s="2" t="s">
        <v>248</v>
      </c>
      <c r="BX361" s="2" t="s">
        <v>188</v>
      </c>
      <c r="BZ361" s="2" t="s">
        <v>188</v>
      </c>
      <c r="CE361" s="2">
        <v>3.2</v>
      </c>
      <c r="CF361" s="2">
        <v>315</v>
      </c>
      <c r="CK361" s="2">
        <v>100</v>
      </c>
      <c r="CO361" s="2">
        <v>100</v>
      </c>
      <c r="CR361" s="2" t="s">
        <v>204</v>
      </c>
      <c r="CT361" s="2" t="s">
        <v>188</v>
      </c>
      <c r="CU361" s="2" t="s">
        <v>205</v>
      </c>
      <c r="CW361" s="2" t="s">
        <v>206</v>
      </c>
      <c r="CY361" s="2" t="s">
        <v>208</v>
      </c>
      <c r="CZ361" s="2" t="s">
        <v>208</v>
      </c>
      <c r="DA361" s="2" t="s">
        <v>208</v>
      </c>
      <c r="DB361" s="2" t="s">
        <v>208</v>
      </c>
      <c r="DC361" s="2" t="s">
        <v>208</v>
      </c>
      <c r="DD361" s="2" t="s">
        <v>208</v>
      </c>
      <c r="DE361" s="2" t="s">
        <v>208</v>
      </c>
      <c r="DF361" s="2" t="s">
        <v>208</v>
      </c>
      <c r="DG361" s="2" t="s">
        <v>208</v>
      </c>
      <c r="DH361" s="2" t="s">
        <v>208</v>
      </c>
      <c r="DI361" s="2" t="s">
        <v>208</v>
      </c>
      <c r="DL361" s="2" t="s">
        <v>188</v>
      </c>
      <c r="DM361" s="2" t="s">
        <v>188</v>
      </c>
      <c r="DP361" s="2" t="s">
        <v>203</v>
      </c>
      <c r="DT361" s="2" t="s">
        <v>209</v>
      </c>
      <c r="DU361" s="2" t="s">
        <v>203</v>
      </c>
      <c r="DV361" s="2" t="s">
        <v>209</v>
      </c>
      <c r="DW361" s="2" t="s">
        <v>203</v>
      </c>
      <c r="DX361" s="2" t="s">
        <v>203</v>
      </c>
      <c r="DY361" s="2" t="s">
        <v>209</v>
      </c>
      <c r="DZ361" s="2" t="s">
        <v>203</v>
      </c>
      <c r="EA361" s="2" t="s">
        <v>209</v>
      </c>
      <c r="EB361" s="2" t="s">
        <v>209</v>
      </c>
      <c r="EJ361" s="2" t="s">
        <v>238</v>
      </c>
      <c r="EK361" s="2" t="s">
        <v>188</v>
      </c>
      <c r="EL361" s="2" t="s">
        <v>188</v>
      </c>
      <c r="EN361" s="2" t="s">
        <v>597</v>
      </c>
      <c r="EP361" s="2" t="s">
        <v>230</v>
      </c>
      <c r="ER361" s="2" t="s">
        <v>188</v>
      </c>
      <c r="ET361" s="2" t="s">
        <v>188</v>
      </c>
      <c r="EV361" s="2" t="s">
        <v>188</v>
      </c>
      <c r="EX361" s="2" t="s">
        <v>188</v>
      </c>
      <c r="EZ361" s="2" t="s">
        <v>188</v>
      </c>
      <c r="FC361" s="2" t="s">
        <v>216</v>
      </c>
      <c r="FD361" s="2" t="s">
        <v>188</v>
      </c>
      <c r="FH361" s="2" t="s">
        <v>188</v>
      </c>
      <c r="FJ361" s="2" t="s">
        <v>187</v>
      </c>
      <c r="FK361" s="2" t="s">
        <v>188</v>
      </c>
      <c r="FN361" s="2" t="s">
        <v>218</v>
      </c>
      <c r="FT361" s="2" t="s">
        <v>233</v>
      </c>
      <c r="FU361" s="2" t="s">
        <v>233</v>
      </c>
      <c r="FV361" s="2" t="s">
        <v>233</v>
      </c>
      <c r="FW361" s="2" t="s">
        <v>233</v>
      </c>
      <c r="FZ361" s="4">
        <v>46041.729062500002</v>
      </c>
    </row>
    <row r="362" spans="1:182">
      <c r="A362" s="2" t="s">
        <v>2388</v>
      </c>
      <c r="D362" s="6">
        <v>46035.434629629628</v>
      </c>
      <c r="E362" s="2" t="s">
        <v>177</v>
      </c>
      <c r="F362" s="2" t="s">
        <v>293</v>
      </c>
      <c r="G362" s="2" t="s">
        <v>2273</v>
      </c>
      <c r="H362" s="2" t="s">
        <v>2352</v>
      </c>
      <c r="I362" s="2" t="s">
        <v>2389</v>
      </c>
      <c r="J362" s="2">
        <v>0</v>
      </c>
      <c r="K362" s="2" t="s">
        <v>2389</v>
      </c>
      <c r="L362" s="2" t="s">
        <v>803</v>
      </c>
      <c r="M362" s="2" t="s">
        <v>183</v>
      </c>
      <c r="N362" s="2">
        <v>1960</v>
      </c>
      <c r="O362" s="2" t="s">
        <v>834</v>
      </c>
      <c r="P362" s="2" t="s">
        <v>185</v>
      </c>
      <c r="Q362" s="2" t="s">
        <v>603</v>
      </c>
      <c r="R362" s="2" t="s">
        <v>188</v>
      </c>
      <c r="S362" s="2">
        <v>2012</v>
      </c>
      <c r="T362" s="2" t="s">
        <v>188</v>
      </c>
      <c r="U362" s="2" t="s">
        <v>188</v>
      </c>
      <c r="Y362" s="2">
        <v>120</v>
      </c>
      <c r="Z362" s="2">
        <v>1</v>
      </c>
      <c r="AA362" s="2">
        <v>120</v>
      </c>
      <c r="AB362" s="2">
        <v>120</v>
      </c>
      <c r="AC362" s="2">
        <v>90</v>
      </c>
      <c r="AD362" s="2">
        <v>100</v>
      </c>
      <c r="AE362" s="2">
        <v>10</v>
      </c>
      <c r="AF362" s="2" t="s">
        <v>187</v>
      </c>
      <c r="AG362" s="2" t="s">
        <v>188</v>
      </c>
      <c r="AH362" s="2" t="s">
        <v>187</v>
      </c>
      <c r="AI362" s="2" t="s">
        <v>308</v>
      </c>
      <c r="AJ362" s="2" t="s">
        <v>188</v>
      </c>
      <c r="AK362" s="2" t="s">
        <v>188</v>
      </c>
      <c r="AL362" s="2" t="s">
        <v>188</v>
      </c>
      <c r="AM362" s="2" t="s">
        <v>187</v>
      </c>
      <c r="AN362" s="2" t="s">
        <v>188</v>
      </c>
      <c r="AO362" s="2" t="s">
        <v>188</v>
      </c>
      <c r="AR362" s="2">
        <v>1</v>
      </c>
      <c r="AS362" s="2">
        <v>1</v>
      </c>
      <c r="AT362" s="2">
        <v>1</v>
      </c>
      <c r="AU362" s="2" t="s">
        <v>203</v>
      </c>
      <c r="AV362" s="2" t="s">
        <v>203</v>
      </c>
      <c r="AW362" s="2" t="s">
        <v>188</v>
      </c>
      <c r="AZ362" s="2" t="s">
        <v>190</v>
      </c>
      <c r="BB362" s="2" t="s">
        <v>260</v>
      </c>
      <c r="BC362" s="2" t="s">
        <v>296</v>
      </c>
      <c r="BD362" s="2" t="s">
        <v>188</v>
      </c>
      <c r="BE362" s="2" t="s">
        <v>188</v>
      </c>
      <c r="BL362" s="2" t="s">
        <v>240</v>
      </c>
      <c r="BM362" s="2" t="s">
        <v>198</v>
      </c>
      <c r="BN362" s="2" t="s">
        <v>199</v>
      </c>
      <c r="BO362" s="2" t="s">
        <v>187</v>
      </c>
      <c r="BP362" s="2" t="s">
        <v>342</v>
      </c>
      <c r="BS362" s="2" t="s">
        <v>188</v>
      </c>
      <c r="BT362" s="2" t="s">
        <v>261</v>
      </c>
      <c r="BV362" s="2" t="s">
        <v>287</v>
      </c>
      <c r="BX362" s="2" t="s">
        <v>188</v>
      </c>
      <c r="BY362" s="2" t="s">
        <v>335</v>
      </c>
      <c r="BZ362" s="2" t="s">
        <v>188</v>
      </c>
      <c r="CE362" s="2">
        <v>1</v>
      </c>
      <c r="CF362" s="2">
        <v>100</v>
      </c>
      <c r="CK362" s="2">
        <v>100</v>
      </c>
      <c r="CO362" s="2">
        <v>100</v>
      </c>
      <c r="CR362" s="2" t="s">
        <v>204</v>
      </c>
      <c r="CT362" s="2" t="s">
        <v>188</v>
      </c>
      <c r="CU362" s="2" t="s">
        <v>281</v>
      </c>
      <c r="CW362" s="2" t="s">
        <v>206</v>
      </c>
      <c r="CY362" s="2" t="s">
        <v>299</v>
      </c>
      <c r="CZ362" s="2" t="s">
        <v>299</v>
      </c>
      <c r="DA362" s="2" t="s">
        <v>300</v>
      </c>
      <c r="DB362" s="2" t="s">
        <v>299</v>
      </c>
      <c r="DC362" s="2" t="s">
        <v>300</v>
      </c>
      <c r="DD362" s="2" t="s">
        <v>299</v>
      </c>
      <c r="DE362" s="2" t="s">
        <v>300</v>
      </c>
      <c r="DF362" s="2" t="s">
        <v>300</v>
      </c>
      <c r="DG362" s="2" t="s">
        <v>299</v>
      </c>
      <c r="DH362" s="2" t="s">
        <v>299</v>
      </c>
      <c r="DI362" s="2" t="s">
        <v>299</v>
      </c>
      <c r="DL362" s="2" t="s">
        <v>188</v>
      </c>
      <c r="DM362" s="2" t="s">
        <v>188</v>
      </c>
      <c r="DP362" s="2" t="s">
        <v>203</v>
      </c>
      <c r="DT362" s="2" t="s">
        <v>209</v>
      </c>
      <c r="DU362" s="2" t="s">
        <v>203</v>
      </c>
      <c r="DV362" s="2" t="s">
        <v>209</v>
      </c>
      <c r="DW362" s="2" t="s">
        <v>203</v>
      </c>
      <c r="DX362" s="2" t="s">
        <v>203</v>
      </c>
      <c r="DY362" s="2" t="s">
        <v>203</v>
      </c>
      <c r="DZ362" s="2" t="s">
        <v>203</v>
      </c>
      <c r="EA362" s="2" t="s">
        <v>203</v>
      </c>
      <c r="EB362" s="2" t="s">
        <v>203</v>
      </c>
      <c r="EC362" s="2" t="s">
        <v>203</v>
      </c>
      <c r="EF362" s="2" t="s">
        <v>302</v>
      </c>
      <c r="EG362" s="2" t="s">
        <v>2390</v>
      </c>
      <c r="EJ362" s="2" t="s">
        <v>203</v>
      </c>
      <c r="EK362" s="2" t="s">
        <v>188</v>
      </c>
      <c r="EL362" s="2" t="s">
        <v>188</v>
      </c>
      <c r="EN362" s="2" t="s">
        <v>214</v>
      </c>
      <c r="EP362" s="2" t="s">
        <v>230</v>
      </c>
      <c r="ER362" s="2" t="s">
        <v>188</v>
      </c>
      <c r="ET362" s="2" t="s">
        <v>188</v>
      </c>
      <c r="EV362" s="2" t="s">
        <v>188</v>
      </c>
      <c r="EX362" s="2" t="s">
        <v>188</v>
      </c>
      <c r="FC362" s="2" t="s">
        <v>216</v>
      </c>
      <c r="FD362" s="2" t="s">
        <v>188</v>
      </c>
      <c r="FH362" s="2" t="s">
        <v>188</v>
      </c>
      <c r="FJ362" s="2" t="s">
        <v>188</v>
      </c>
      <c r="FK362" s="2" t="s">
        <v>203</v>
      </c>
      <c r="FN362" s="2" t="s">
        <v>304</v>
      </c>
      <c r="FR362" s="2" t="s">
        <v>1750</v>
      </c>
      <c r="FT362" s="2" t="s">
        <v>219</v>
      </c>
      <c r="FU362" s="2" t="s">
        <v>233</v>
      </c>
      <c r="FV362" s="2" t="s">
        <v>233</v>
      </c>
      <c r="FW362" s="2" t="s">
        <v>233</v>
      </c>
      <c r="FZ362" s="4">
        <v>46039.950277777774</v>
      </c>
    </row>
    <row r="363" spans="1:182">
      <c r="A363" s="2" t="s">
        <v>2391</v>
      </c>
      <c r="D363" s="6">
        <v>46035.436203703706</v>
      </c>
      <c r="E363" s="2" t="s">
        <v>177</v>
      </c>
      <c r="F363" s="2" t="s">
        <v>178</v>
      </c>
      <c r="G363" s="2" t="s">
        <v>2273</v>
      </c>
      <c r="H363" s="2" t="s">
        <v>2294</v>
      </c>
      <c r="I363" s="2" t="s">
        <v>2392</v>
      </c>
      <c r="J363" s="2">
        <v>961493129</v>
      </c>
      <c r="K363" s="2" t="s">
        <v>2393</v>
      </c>
      <c r="L363" s="2" t="s">
        <v>182</v>
      </c>
      <c r="M363" s="2" t="s">
        <v>223</v>
      </c>
      <c r="N363" s="2">
        <v>2006</v>
      </c>
      <c r="O363" s="2" t="s">
        <v>834</v>
      </c>
      <c r="P363" s="2" t="s">
        <v>237</v>
      </c>
      <c r="Q363" s="2" t="s">
        <v>186</v>
      </c>
      <c r="R363" s="2" t="s">
        <v>188</v>
      </c>
      <c r="S363" s="2">
        <v>11</v>
      </c>
      <c r="T363" s="2" t="s">
        <v>188</v>
      </c>
      <c r="U363" s="2" t="s">
        <v>188</v>
      </c>
      <c r="Y363" s="2">
        <v>80</v>
      </c>
      <c r="Z363" s="2">
        <v>0.875</v>
      </c>
      <c r="AA363" s="2">
        <v>70</v>
      </c>
      <c r="AB363" s="2">
        <v>55</v>
      </c>
      <c r="AC363" s="2">
        <v>55</v>
      </c>
      <c r="AD363" s="2">
        <v>60</v>
      </c>
      <c r="AE363" s="2">
        <v>5</v>
      </c>
      <c r="AF363" s="2" t="s">
        <v>187</v>
      </c>
      <c r="AG363" s="2" t="s">
        <v>188</v>
      </c>
      <c r="AH363" s="2" t="s">
        <v>188</v>
      </c>
      <c r="AJ363" s="2" t="s">
        <v>188</v>
      </c>
      <c r="AK363" s="2" t="s">
        <v>187</v>
      </c>
      <c r="AL363" s="2" t="s">
        <v>188</v>
      </c>
      <c r="AM363" s="2" t="s">
        <v>187</v>
      </c>
      <c r="AN363" s="2" t="s">
        <v>188</v>
      </c>
      <c r="AO363" s="2" t="s">
        <v>188</v>
      </c>
      <c r="AR363" s="2">
        <v>0.3</v>
      </c>
      <c r="AS363" s="2">
        <v>2</v>
      </c>
      <c r="AT363" s="2">
        <v>0.6</v>
      </c>
      <c r="AU363" s="2" t="s">
        <v>238</v>
      </c>
      <c r="AV363" s="2" t="s">
        <v>238</v>
      </c>
      <c r="AW363" s="2" t="s">
        <v>188</v>
      </c>
      <c r="AZ363" s="2" t="s">
        <v>190</v>
      </c>
      <c r="BB363" s="2" t="s">
        <v>260</v>
      </c>
      <c r="BC363" s="2" t="s">
        <v>192</v>
      </c>
      <c r="BD363" s="2" t="s">
        <v>188</v>
      </c>
      <c r="BE363" s="2" t="s">
        <v>187</v>
      </c>
      <c r="BF363" s="2" t="s">
        <v>193</v>
      </c>
      <c r="BG363" s="2" t="s">
        <v>194</v>
      </c>
      <c r="BH363" s="2" t="s">
        <v>195</v>
      </c>
      <c r="BI363" s="2" t="s">
        <v>196</v>
      </c>
      <c r="BL363" s="2" t="s">
        <v>240</v>
      </c>
      <c r="BO363" s="2" t="s">
        <v>188</v>
      </c>
      <c r="BQ363" s="2" t="s">
        <v>200</v>
      </c>
      <c r="BS363" s="2" t="s">
        <v>187</v>
      </c>
      <c r="BT363" s="2" t="s">
        <v>261</v>
      </c>
      <c r="BV363" s="2" t="s">
        <v>248</v>
      </c>
      <c r="BX363" s="2" t="s">
        <v>188</v>
      </c>
      <c r="BZ363" s="2" t="s">
        <v>203</v>
      </c>
      <c r="CE363" s="2">
        <v>0.6</v>
      </c>
      <c r="CF363" s="2">
        <v>60</v>
      </c>
      <c r="CK363" s="2">
        <v>100</v>
      </c>
      <c r="CO363" s="2">
        <v>100</v>
      </c>
      <c r="CR363" s="2" t="s">
        <v>204</v>
      </c>
      <c r="CT363" s="2" t="s">
        <v>188</v>
      </c>
      <c r="CU363" s="2" t="s">
        <v>205</v>
      </c>
      <c r="CY363" s="2" t="s">
        <v>208</v>
      </c>
      <c r="CZ363" s="2" t="s">
        <v>208</v>
      </c>
      <c r="DA363" s="2" t="s">
        <v>208</v>
      </c>
      <c r="DB363" s="2" t="s">
        <v>208</v>
      </c>
      <c r="DC363" s="2" t="s">
        <v>208</v>
      </c>
      <c r="DD363" s="2" t="s">
        <v>208</v>
      </c>
      <c r="DE363" s="2" t="s">
        <v>208</v>
      </c>
      <c r="DF363" s="2" t="s">
        <v>208</v>
      </c>
      <c r="DG363" s="2" t="s">
        <v>208</v>
      </c>
      <c r="DH363" s="2" t="s">
        <v>208</v>
      </c>
      <c r="DI363" s="2" t="s">
        <v>208</v>
      </c>
      <c r="DL363" s="2" t="s">
        <v>188</v>
      </c>
      <c r="DM363" s="2" t="s">
        <v>188</v>
      </c>
      <c r="DP363" s="2" t="s">
        <v>203</v>
      </c>
      <c r="DT363" s="2" t="s">
        <v>209</v>
      </c>
      <c r="DU363" s="2" t="s">
        <v>203</v>
      </c>
      <c r="DV363" s="2" t="s">
        <v>209</v>
      </c>
      <c r="DW363" s="2" t="s">
        <v>203</v>
      </c>
      <c r="DX363" s="2" t="s">
        <v>203</v>
      </c>
      <c r="DY363" s="2" t="s">
        <v>209</v>
      </c>
      <c r="DZ363" s="2" t="s">
        <v>203</v>
      </c>
      <c r="EA363" s="2" t="s">
        <v>203</v>
      </c>
      <c r="EB363" s="2" t="s">
        <v>203</v>
      </c>
      <c r="EJ363" s="2" t="s">
        <v>203</v>
      </c>
      <c r="EK363" s="2" t="s">
        <v>188</v>
      </c>
      <c r="EL363" s="2" t="s">
        <v>188</v>
      </c>
      <c r="EN363" s="2" t="s">
        <v>597</v>
      </c>
      <c r="EP363" s="2" t="s">
        <v>230</v>
      </c>
      <c r="ER363" s="2" t="s">
        <v>188</v>
      </c>
      <c r="ET363" s="2" t="s">
        <v>188</v>
      </c>
      <c r="EV363" s="2" t="s">
        <v>188</v>
      </c>
      <c r="EX363" s="2" t="s">
        <v>188</v>
      </c>
      <c r="EZ363" s="2" t="s">
        <v>188</v>
      </c>
      <c r="FC363" s="2" t="s">
        <v>216</v>
      </c>
      <c r="FD363" s="2" t="s">
        <v>188</v>
      </c>
      <c r="FH363" s="2" t="s">
        <v>188</v>
      </c>
      <c r="FJ363" s="2" t="s">
        <v>187</v>
      </c>
      <c r="FK363" s="2" t="s">
        <v>188</v>
      </c>
      <c r="FN363" s="2" t="s">
        <v>218</v>
      </c>
      <c r="FT363" s="2" t="s">
        <v>233</v>
      </c>
      <c r="FU363" s="2" t="s">
        <v>233</v>
      </c>
      <c r="FV363" s="2" t="s">
        <v>233</v>
      </c>
      <c r="FW363" s="2" t="s">
        <v>233</v>
      </c>
      <c r="FZ363" s="4">
        <v>46041.721678240741</v>
      </c>
    </row>
    <row r="364" spans="1:182">
      <c r="A364" s="2" t="s">
        <v>2394</v>
      </c>
      <c r="D364" s="6">
        <v>46035.4216087963</v>
      </c>
      <c r="E364" s="2" t="s">
        <v>2395</v>
      </c>
      <c r="F364" s="2" t="s">
        <v>480</v>
      </c>
      <c r="G364" s="2" t="s">
        <v>2273</v>
      </c>
      <c r="H364" s="2" t="s">
        <v>2294</v>
      </c>
      <c r="I364" s="2" t="s">
        <v>2396</v>
      </c>
      <c r="J364" s="2">
        <v>375076292</v>
      </c>
      <c r="K364" s="2" t="s">
        <v>2396</v>
      </c>
      <c r="L364" s="2" t="s">
        <v>182</v>
      </c>
      <c r="M364" s="2" t="s">
        <v>183</v>
      </c>
      <c r="N364" s="2">
        <v>1995</v>
      </c>
      <c r="O364" s="2" t="s">
        <v>834</v>
      </c>
      <c r="P364" s="2" t="s">
        <v>185</v>
      </c>
      <c r="Q364" s="2" t="s">
        <v>270</v>
      </c>
      <c r="R364" s="2" t="s">
        <v>188</v>
      </c>
      <c r="S364" s="2">
        <v>7</v>
      </c>
      <c r="T364" s="2" t="s">
        <v>188</v>
      </c>
      <c r="U364" s="2" t="s">
        <v>188</v>
      </c>
      <c r="Y364" s="2">
        <v>158.6</v>
      </c>
      <c r="Z364" s="2">
        <v>0.4325</v>
      </c>
      <c r="AA364" s="2">
        <v>68.599999999999994</v>
      </c>
      <c r="AC364" s="2">
        <v>19.600000000000001</v>
      </c>
      <c r="AD364" s="2">
        <v>68.599999999999994</v>
      </c>
      <c r="AE364" s="2">
        <v>49</v>
      </c>
      <c r="AF364" s="2" t="s">
        <v>188</v>
      </c>
      <c r="AG364" s="2" t="s">
        <v>188</v>
      </c>
      <c r="AH364" s="2" t="s">
        <v>188</v>
      </c>
      <c r="AJ364" s="2" t="s">
        <v>188</v>
      </c>
      <c r="AK364" s="2" t="s">
        <v>188</v>
      </c>
      <c r="AL364" s="2" t="s">
        <v>187</v>
      </c>
      <c r="AM364" s="2" t="s">
        <v>187</v>
      </c>
      <c r="AN364" s="2" t="s">
        <v>188</v>
      </c>
      <c r="AO364" s="2" t="s">
        <v>188</v>
      </c>
      <c r="AR364" s="2">
        <v>0.8</v>
      </c>
      <c r="AS364" s="2">
        <v>1</v>
      </c>
      <c r="AT364" s="2">
        <v>0.7</v>
      </c>
      <c r="AU364" s="2" t="s">
        <v>203</v>
      </c>
      <c r="AV364" s="2" t="s">
        <v>203</v>
      </c>
      <c r="AW364" s="2" t="s">
        <v>188</v>
      </c>
      <c r="AZ364" s="2" t="s">
        <v>190</v>
      </c>
      <c r="BB364" s="2" t="s">
        <v>260</v>
      </c>
      <c r="BD364" s="2" t="s">
        <v>188</v>
      </c>
      <c r="BE364" s="2" t="s">
        <v>187</v>
      </c>
      <c r="BF364" s="2" t="s">
        <v>193</v>
      </c>
      <c r="BG364" s="2" t="s">
        <v>194</v>
      </c>
      <c r="BH364" s="2" t="s">
        <v>195</v>
      </c>
      <c r="BI364" s="2" t="s">
        <v>196</v>
      </c>
      <c r="BL364" s="2" t="s">
        <v>240</v>
      </c>
      <c r="BO364" s="2" t="s">
        <v>188</v>
      </c>
      <c r="BQ364" s="2" t="s">
        <v>200</v>
      </c>
      <c r="BS364" s="2" t="s">
        <v>187</v>
      </c>
      <c r="BT364" s="2" t="s">
        <v>484</v>
      </c>
      <c r="BV364" s="2" t="s">
        <v>401</v>
      </c>
      <c r="BX364" s="2" t="s">
        <v>187</v>
      </c>
      <c r="BY364" s="2" t="s">
        <v>2397</v>
      </c>
      <c r="CE364" s="2">
        <v>0.7</v>
      </c>
      <c r="CF364" s="2">
        <v>68</v>
      </c>
      <c r="CK364" s="2">
        <v>100</v>
      </c>
      <c r="CP364" s="2">
        <v>100</v>
      </c>
      <c r="CR364" s="2" t="s">
        <v>343</v>
      </c>
      <c r="CT364" s="2" t="s">
        <v>188</v>
      </c>
      <c r="CU364" s="2" t="s">
        <v>205</v>
      </c>
      <c r="CW364" s="2" t="s">
        <v>206</v>
      </c>
      <c r="CY364" s="2" t="s">
        <v>299</v>
      </c>
      <c r="CZ364" s="2" t="s">
        <v>299</v>
      </c>
      <c r="DA364" s="2" t="s">
        <v>299</v>
      </c>
      <c r="DB364" s="2" t="s">
        <v>299</v>
      </c>
      <c r="DC364" s="2" t="s">
        <v>299</v>
      </c>
      <c r="DD364" s="2" t="s">
        <v>299</v>
      </c>
      <c r="DE364" s="2" t="s">
        <v>299</v>
      </c>
      <c r="DF364" s="2" t="s">
        <v>299</v>
      </c>
      <c r="DG364" s="2" t="s">
        <v>299</v>
      </c>
      <c r="DH364" s="2" t="s">
        <v>299</v>
      </c>
      <c r="DI364" s="2" t="s">
        <v>299</v>
      </c>
      <c r="DL364" s="2" t="s">
        <v>188</v>
      </c>
      <c r="DM364" s="2" t="s">
        <v>188</v>
      </c>
      <c r="DP364" s="2" t="s">
        <v>188</v>
      </c>
      <c r="DT364" s="2" t="s">
        <v>203</v>
      </c>
      <c r="DU364" s="2" t="s">
        <v>203</v>
      </c>
      <c r="DV364" s="2" t="s">
        <v>203</v>
      </c>
      <c r="DW364" s="2" t="s">
        <v>203</v>
      </c>
      <c r="DX364" s="2" t="s">
        <v>203</v>
      </c>
      <c r="DY364" s="2" t="s">
        <v>203</v>
      </c>
      <c r="DZ364" s="2" t="s">
        <v>203</v>
      </c>
      <c r="EA364" s="2" t="s">
        <v>203</v>
      </c>
      <c r="EB364" s="2" t="s">
        <v>203</v>
      </c>
      <c r="EC364" s="2" t="s">
        <v>203</v>
      </c>
      <c r="EF364" s="2" t="s">
        <v>496</v>
      </c>
      <c r="EJ364" s="2" t="s">
        <v>203</v>
      </c>
      <c r="EK364" s="2" t="s">
        <v>188</v>
      </c>
      <c r="EL364" s="2" t="s">
        <v>188</v>
      </c>
      <c r="EN364" s="2" t="s">
        <v>214</v>
      </c>
      <c r="EP364" s="2" t="s">
        <v>230</v>
      </c>
      <c r="ER364" s="2" t="s">
        <v>188</v>
      </c>
      <c r="ET364" s="2" t="s">
        <v>188</v>
      </c>
      <c r="EV364" s="2" t="s">
        <v>188</v>
      </c>
      <c r="EX364" s="2" t="s">
        <v>188</v>
      </c>
      <c r="EZ364" s="2" t="s">
        <v>188</v>
      </c>
      <c r="FC364" s="2" t="s">
        <v>263</v>
      </c>
      <c r="FD364" s="2" t="s">
        <v>188</v>
      </c>
      <c r="FH364" s="2" t="s">
        <v>188</v>
      </c>
      <c r="FJ364" s="2" t="s">
        <v>188</v>
      </c>
      <c r="FK364" s="2" t="s">
        <v>188</v>
      </c>
      <c r="FN364" s="2" t="s">
        <v>488</v>
      </c>
      <c r="FR364" s="2" t="s">
        <v>2398</v>
      </c>
      <c r="FT364" s="2" t="s">
        <v>233</v>
      </c>
      <c r="FU364" s="2" t="s">
        <v>233</v>
      </c>
      <c r="FV364" s="2" t="s">
        <v>233</v>
      </c>
      <c r="FW364" s="2" t="s">
        <v>233</v>
      </c>
      <c r="FZ364" s="4">
        <v>46043.821238425924</v>
      </c>
    </row>
    <row r="365" spans="1:182">
      <c r="A365" s="2" t="s">
        <v>2399</v>
      </c>
      <c r="D365" s="6">
        <v>46035.445185185185</v>
      </c>
      <c r="E365" s="2" t="s">
        <v>2400</v>
      </c>
      <c r="F365" s="2" t="s">
        <v>398</v>
      </c>
      <c r="G365" s="2" t="s">
        <v>2273</v>
      </c>
      <c r="H365" s="2" t="s">
        <v>2371</v>
      </c>
      <c r="I365" s="2" t="s">
        <v>2401</v>
      </c>
      <c r="J365" s="2" t="s">
        <v>2356</v>
      </c>
      <c r="K365" s="2" t="s">
        <v>2401</v>
      </c>
      <c r="L365" s="2" t="s">
        <v>269</v>
      </c>
      <c r="M365" s="2" t="s">
        <v>183</v>
      </c>
      <c r="N365" s="2">
        <v>1987</v>
      </c>
      <c r="O365" s="2" t="s">
        <v>834</v>
      </c>
      <c r="P365" s="2" t="s">
        <v>225</v>
      </c>
      <c r="Q365" s="2" t="s">
        <v>270</v>
      </c>
      <c r="R365" s="2" t="s">
        <v>188</v>
      </c>
      <c r="S365" s="2">
        <v>6</v>
      </c>
      <c r="T365" s="2" t="s">
        <v>188</v>
      </c>
      <c r="U365" s="2" t="s">
        <v>188</v>
      </c>
      <c r="Y365" s="2">
        <v>60</v>
      </c>
      <c r="Z365" s="2">
        <v>1</v>
      </c>
      <c r="AA365" s="2">
        <v>60</v>
      </c>
      <c r="AB365" s="2">
        <v>60</v>
      </c>
      <c r="AC365" s="2">
        <v>60</v>
      </c>
      <c r="AD365" s="2">
        <v>90</v>
      </c>
      <c r="AE365" s="2">
        <v>30</v>
      </c>
      <c r="AF365" s="2" t="s">
        <v>188</v>
      </c>
      <c r="AG365" s="2" t="s">
        <v>188</v>
      </c>
      <c r="AH365" s="2" t="s">
        <v>188</v>
      </c>
      <c r="AJ365" s="2" t="s">
        <v>188</v>
      </c>
      <c r="AK365" s="2" t="s">
        <v>188</v>
      </c>
      <c r="AL365" s="2" t="s">
        <v>188</v>
      </c>
      <c r="AM365" s="2" t="s">
        <v>188</v>
      </c>
      <c r="AN365" s="2" t="s">
        <v>188</v>
      </c>
      <c r="AO365" s="2" t="s">
        <v>188</v>
      </c>
      <c r="AR365" s="2">
        <v>0.5</v>
      </c>
      <c r="AS365" s="2">
        <v>2</v>
      </c>
      <c r="AT365" s="2">
        <v>0.9</v>
      </c>
      <c r="AU365" s="2" t="s">
        <v>238</v>
      </c>
      <c r="AV365" s="2" t="s">
        <v>238</v>
      </c>
      <c r="AW365" s="2" t="s">
        <v>188</v>
      </c>
      <c r="AZ365" s="2" t="s">
        <v>190</v>
      </c>
      <c r="BB365" s="2" t="s">
        <v>332</v>
      </c>
      <c r="BC365" s="2" t="s">
        <v>296</v>
      </c>
      <c r="BD365" s="2" t="s">
        <v>187</v>
      </c>
      <c r="BE365" s="2" t="s">
        <v>187</v>
      </c>
      <c r="BF365" s="2" t="s">
        <v>193</v>
      </c>
      <c r="BG365" s="2" t="s">
        <v>279</v>
      </c>
      <c r="BH365" s="2" t="s">
        <v>195</v>
      </c>
      <c r="BI365" s="2" t="s">
        <v>448</v>
      </c>
      <c r="BL365" s="2" t="s">
        <v>240</v>
      </c>
      <c r="BO365" s="2" t="s">
        <v>188</v>
      </c>
      <c r="BQ365" s="2" t="s">
        <v>200</v>
      </c>
      <c r="BS365" s="2" t="s">
        <v>187</v>
      </c>
      <c r="BT365" s="2" t="s">
        <v>410</v>
      </c>
      <c r="BV365" s="2" t="s">
        <v>248</v>
      </c>
      <c r="BX365" s="2" t="s">
        <v>188</v>
      </c>
      <c r="BY365" s="2" t="s">
        <v>2402</v>
      </c>
      <c r="BZ365" s="2" t="s">
        <v>203</v>
      </c>
      <c r="CE365" s="2">
        <v>0.9</v>
      </c>
      <c r="CF365" s="2">
        <v>90</v>
      </c>
      <c r="CK365" s="2">
        <v>100</v>
      </c>
      <c r="CP365" s="2">
        <v>100</v>
      </c>
      <c r="CR365" s="2" t="s">
        <v>204</v>
      </c>
      <c r="CT365" s="2" t="s">
        <v>188</v>
      </c>
      <c r="CU365" s="2" t="s">
        <v>205</v>
      </c>
      <c r="CW365" s="2" t="s">
        <v>206</v>
      </c>
      <c r="CY365" s="2" t="s">
        <v>300</v>
      </c>
      <c r="CZ365" s="2" t="s">
        <v>300</v>
      </c>
      <c r="DA365" s="2" t="s">
        <v>300</v>
      </c>
      <c r="DB365" s="2" t="s">
        <v>300</v>
      </c>
      <c r="DC365" s="2" t="s">
        <v>300</v>
      </c>
      <c r="DD365" s="2" t="s">
        <v>300</v>
      </c>
      <c r="DE365" s="2" t="s">
        <v>300</v>
      </c>
      <c r="DF365" s="2" t="s">
        <v>300</v>
      </c>
      <c r="DG365" s="2" t="s">
        <v>300</v>
      </c>
      <c r="DH365" s="2" t="s">
        <v>300</v>
      </c>
      <c r="DI365" s="2" t="s">
        <v>300</v>
      </c>
      <c r="DL365" s="2" t="s">
        <v>188</v>
      </c>
      <c r="DM365" s="2" t="s">
        <v>188</v>
      </c>
      <c r="DP365" s="2" t="s">
        <v>203</v>
      </c>
      <c r="DT365" s="2" t="s">
        <v>203</v>
      </c>
      <c r="DU365" s="2" t="s">
        <v>203</v>
      </c>
      <c r="DV365" s="2" t="s">
        <v>203</v>
      </c>
      <c r="DW365" s="2" t="s">
        <v>203</v>
      </c>
      <c r="DX365" s="2" t="s">
        <v>203</v>
      </c>
      <c r="DY365" s="2" t="s">
        <v>203</v>
      </c>
      <c r="DZ365" s="2" t="s">
        <v>203</v>
      </c>
      <c r="EA365" s="2" t="s">
        <v>203</v>
      </c>
      <c r="EB365" s="2" t="s">
        <v>203</v>
      </c>
      <c r="EC365" s="2" t="s">
        <v>203</v>
      </c>
      <c r="EF365" s="2" t="s">
        <v>302</v>
      </c>
      <c r="EG365" s="2" t="s">
        <v>2403</v>
      </c>
      <c r="EJ365" s="2" t="s">
        <v>238</v>
      </c>
      <c r="EK365" s="2" t="s">
        <v>188</v>
      </c>
      <c r="EL365" s="2" t="s">
        <v>188</v>
      </c>
      <c r="EN365" s="2" t="s">
        <v>214</v>
      </c>
      <c r="EP365" s="2" t="s">
        <v>230</v>
      </c>
      <c r="ER365" s="2" t="s">
        <v>188</v>
      </c>
      <c r="ET365" s="2" t="s">
        <v>188</v>
      </c>
      <c r="EV365" s="2" t="s">
        <v>188</v>
      </c>
      <c r="EX365" s="2" t="s">
        <v>188</v>
      </c>
      <c r="EZ365" s="2" t="s">
        <v>188</v>
      </c>
      <c r="FC365" s="2" t="s">
        <v>216</v>
      </c>
      <c r="FD365" s="2" t="s">
        <v>188</v>
      </c>
      <c r="FH365" s="2" t="s">
        <v>188</v>
      </c>
      <c r="FJ365" s="2" t="s">
        <v>188</v>
      </c>
      <c r="FK365" s="2" t="s">
        <v>203</v>
      </c>
      <c r="FR365" s="2" t="s">
        <v>2404</v>
      </c>
      <c r="FT365" s="2" t="s">
        <v>233</v>
      </c>
      <c r="FU365" s="2" t="s">
        <v>233</v>
      </c>
      <c r="FV365" s="2" t="s">
        <v>219</v>
      </c>
      <c r="FW365" s="2" t="s">
        <v>219</v>
      </c>
      <c r="FX365" s="2" t="s">
        <v>219</v>
      </c>
      <c r="FY365" s="2" t="s">
        <v>2405</v>
      </c>
      <c r="FZ365" s="4">
        <v>46040.015497685185</v>
      </c>
    </row>
    <row r="366" spans="1:182">
      <c r="A366" s="2" t="s">
        <v>2406</v>
      </c>
      <c r="D366" s="6">
        <v>46035.451851851853</v>
      </c>
      <c r="E366" s="2" t="s">
        <v>2407</v>
      </c>
      <c r="F366" s="2" t="s">
        <v>480</v>
      </c>
      <c r="G366" s="2" t="s">
        <v>2273</v>
      </c>
      <c r="H366" s="2" t="s">
        <v>2408</v>
      </c>
      <c r="I366" s="2" t="s">
        <v>2409</v>
      </c>
      <c r="J366" s="2">
        <v>0</v>
      </c>
      <c r="K366" s="2" t="s">
        <v>2410</v>
      </c>
      <c r="L366" s="2" t="s">
        <v>182</v>
      </c>
      <c r="M366" s="2" t="s">
        <v>223</v>
      </c>
      <c r="N366" s="2">
        <v>1985</v>
      </c>
      <c r="O366" s="2" t="s">
        <v>834</v>
      </c>
      <c r="P366" s="2" t="s">
        <v>225</v>
      </c>
      <c r="Q366" s="2" t="s">
        <v>270</v>
      </c>
      <c r="R366" s="2" t="s">
        <v>188</v>
      </c>
      <c r="S366" s="2">
        <v>2016</v>
      </c>
      <c r="T366" s="2" t="s">
        <v>188</v>
      </c>
      <c r="U366" s="2" t="s">
        <v>188</v>
      </c>
      <c r="Y366" s="2">
        <v>175</v>
      </c>
      <c r="Z366" s="2">
        <v>1</v>
      </c>
      <c r="AA366" s="2">
        <v>175</v>
      </c>
      <c r="AB366" s="2">
        <v>175</v>
      </c>
      <c r="AC366" s="2">
        <v>175</v>
      </c>
      <c r="AD366" s="2">
        <v>215</v>
      </c>
      <c r="AE366" s="2">
        <v>40</v>
      </c>
      <c r="AF366" s="2" t="s">
        <v>188</v>
      </c>
      <c r="AG366" s="2" t="s">
        <v>188</v>
      </c>
      <c r="AH366" s="2" t="s">
        <v>188</v>
      </c>
      <c r="AJ366" s="2" t="s">
        <v>188</v>
      </c>
      <c r="AK366" s="2" t="s">
        <v>188</v>
      </c>
      <c r="AL366" s="2" t="s">
        <v>188</v>
      </c>
      <c r="AM366" s="2" t="s">
        <v>188</v>
      </c>
      <c r="AN366" s="2" t="s">
        <v>188</v>
      </c>
      <c r="AO366" s="2" t="s">
        <v>188</v>
      </c>
      <c r="AR366" s="2">
        <v>0.5</v>
      </c>
      <c r="AS366" s="2">
        <v>1</v>
      </c>
      <c r="AT366" s="2">
        <v>2.2000000000000002</v>
      </c>
      <c r="AU366" s="2" t="s">
        <v>203</v>
      </c>
      <c r="AV366" s="2" t="s">
        <v>203</v>
      </c>
      <c r="AW366" s="2" t="s">
        <v>188</v>
      </c>
      <c r="AZ366" s="2" t="s">
        <v>190</v>
      </c>
      <c r="BB366" s="2" t="s">
        <v>260</v>
      </c>
      <c r="BC366" s="2" t="s">
        <v>296</v>
      </c>
      <c r="BD366" s="2" t="s">
        <v>188</v>
      </c>
      <c r="BE366" s="2" t="s">
        <v>187</v>
      </c>
      <c r="BG366" s="2" t="s">
        <v>194</v>
      </c>
      <c r="BH366" s="2" t="s">
        <v>195</v>
      </c>
      <c r="BI366" s="2" t="s">
        <v>196</v>
      </c>
      <c r="BL366" s="2" t="s">
        <v>240</v>
      </c>
      <c r="BO366" s="2" t="s">
        <v>188</v>
      </c>
      <c r="BQ366" s="2" t="s">
        <v>309</v>
      </c>
      <c r="BS366" s="2" t="s">
        <v>188</v>
      </c>
      <c r="BT366" s="2" t="s">
        <v>909</v>
      </c>
      <c r="BV366" s="2" t="s">
        <v>401</v>
      </c>
      <c r="BX366" s="2" t="s">
        <v>187</v>
      </c>
      <c r="BY366" s="2" t="s">
        <v>2411</v>
      </c>
      <c r="BZ366" s="2" t="s">
        <v>203</v>
      </c>
      <c r="CE366" s="2">
        <v>2.2000000000000002</v>
      </c>
      <c r="CF366" s="2">
        <v>215</v>
      </c>
      <c r="CK366" s="2">
        <v>100</v>
      </c>
      <c r="CO366" s="2">
        <v>100</v>
      </c>
      <c r="CR366" s="2" t="s">
        <v>343</v>
      </c>
      <c r="CT366" s="2" t="s">
        <v>188</v>
      </c>
      <c r="CU366" s="2" t="s">
        <v>205</v>
      </c>
      <c r="CY366" s="2" t="s">
        <v>299</v>
      </c>
      <c r="CZ366" s="2" t="s">
        <v>299</v>
      </c>
      <c r="DA366" s="2" t="s">
        <v>299</v>
      </c>
      <c r="DB366" s="2" t="s">
        <v>299</v>
      </c>
      <c r="DC366" s="2" t="s">
        <v>299</v>
      </c>
      <c r="DD366" s="2" t="s">
        <v>299</v>
      </c>
      <c r="DE366" s="2" t="s">
        <v>299</v>
      </c>
      <c r="DF366" s="2" t="s">
        <v>299</v>
      </c>
      <c r="DG366" s="2" t="s">
        <v>273</v>
      </c>
      <c r="DH366" s="2" t="s">
        <v>273</v>
      </c>
      <c r="DI366" s="2" t="s">
        <v>299</v>
      </c>
      <c r="DL366" s="2" t="s">
        <v>188</v>
      </c>
      <c r="DM366" s="2" t="s">
        <v>188</v>
      </c>
      <c r="DN366" s="2" t="s">
        <v>187</v>
      </c>
      <c r="DO366" s="2" t="s">
        <v>187</v>
      </c>
      <c r="DP366" s="2" t="s">
        <v>188</v>
      </c>
      <c r="DT366" s="2" t="s">
        <v>203</v>
      </c>
      <c r="DU366" s="2" t="s">
        <v>203</v>
      </c>
      <c r="DV366" s="2" t="s">
        <v>203</v>
      </c>
      <c r="DW366" s="2" t="s">
        <v>203</v>
      </c>
      <c r="DX366" s="2" t="s">
        <v>203</v>
      </c>
      <c r="DY366" s="2" t="s">
        <v>203</v>
      </c>
      <c r="DZ366" s="2" t="s">
        <v>203</v>
      </c>
      <c r="EA366" s="2" t="s">
        <v>203</v>
      </c>
      <c r="EB366" s="2" t="s">
        <v>203</v>
      </c>
      <c r="EF366" s="2" t="s">
        <v>496</v>
      </c>
      <c r="EJ366" s="2" t="s">
        <v>203</v>
      </c>
      <c r="EK366" s="2" t="s">
        <v>188</v>
      </c>
      <c r="EL366" s="2" t="s">
        <v>188</v>
      </c>
      <c r="EN366" s="2" t="s">
        <v>214</v>
      </c>
      <c r="EP366" s="2" t="s">
        <v>230</v>
      </c>
      <c r="ER366" s="2" t="s">
        <v>188</v>
      </c>
      <c r="ET366" s="2" t="s">
        <v>188</v>
      </c>
      <c r="EV366" s="2" t="s">
        <v>188</v>
      </c>
      <c r="EX366" s="2" t="s">
        <v>188</v>
      </c>
      <c r="EZ366" s="2" t="s">
        <v>188</v>
      </c>
      <c r="FC366" s="2" t="s">
        <v>263</v>
      </c>
      <c r="FD366" s="2" t="s">
        <v>188</v>
      </c>
      <c r="FH366" s="2" t="s">
        <v>188</v>
      </c>
      <c r="FJ366" s="2" t="s">
        <v>188</v>
      </c>
      <c r="FK366" s="2" t="s">
        <v>188</v>
      </c>
      <c r="FN366" s="2" t="s">
        <v>488</v>
      </c>
      <c r="FR366" s="2" t="s">
        <v>2412</v>
      </c>
      <c r="FT366" s="2" t="s">
        <v>233</v>
      </c>
      <c r="FU366" s="2" t="s">
        <v>233</v>
      </c>
      <c r="FV366" s="2" t="s">
        <v>233</v>
      </c>
      <c r="FW366" s="2" t="s">
        <v>233</v>
      </c>
      <c r="FZ366" s="4">
        <v>46043.83258101852</v>
      </c>
    </row>
    <row r="367" spans="1:182">
      <c r="A367" s="2" t="s">
        <v>2413</v>
      </c>
      <c r="D367" s="6">
        <v>46035.453043981484</v>
      </c>
      <c r="E367" s="2" t="s">
        <v>2414</v>
      </c>
      <c r="F367" s="2" t="s">
        <v>590</v>
      </c>
      <c r="G367" s="2" t="s">
        <v>2273</v>
      </c>
      <c r="H367" s="2" t="s">
        <v>2298</v>
      </c>
      <c r="I367" s="2" t="s">
        <v>2415</v>
      </c>
      <c r="J367" s="2">
        <v>961288242</v>
      </c>
      <c r="K367" s="2" t="s">
        <v>2415</v>
      </c>
      <c r="L367" s="2" t="s">
        <v>182</v>
      </c>
      <c r="M367" s="2" t="s">
        <v>183</v>
      </c>
      <c r="N367" s="2">
        <v>1984</v>
      </c>
      <c r="O367" s="2" t="s">
        <v>834</v>
      </c>
      <c r="P367" s="2" t="s">
        <v>185</v>
      </c>
      <c r="Q367" s="2" t="s">
        <v>270</v>
      </c>
      <c r="R367" s="2" t="s">
        <v>188</v>
      </c>
      <c r="S367" s="2">
        <v>23</v>
      </c>
      <c r="T367" s="2" t="s">
        <v>188</v>
      </c>
      <c r="U367" s="2" t="s">
        <v>188</v>
      </c>
      <c r="Y367" s="2">
        <v>180</v>
      </c>
      <c r="Z367" s="2">
        <v>1</v>
      </c>
      <c r="AA367" s="2">
        <v>180</v>
      </c>
      <c r="AB367" s="2">
        <v>180</v>
      </c>
      <c r="AC367" s="2">
        <v>160</v>
      </c>
      <c r="AD367" s="2">
        <v>240</v>
      </c>
      <c r="AE367" s="2">
        <v>80</v>
      </c>
      <c r="AF367" s="2" t="s">
        <v>188</v>
      </c>
      <c r="AG367" s="2" t="s">
        <v>188</v>
      </c>
      <c r="AH367" s="2" t="s">
        <v>187</v>
      </c>
      <c r="AI367" s="2" t="s">
        <v>308</v>
      </c>
      <c r="AJ367" s="2" t="s">
        <v>188</v>
      </c>
      <c r="AK367" s="2" t="s">
        <v>188</v>
      </c>
      <c r="AL367" s="2" t="s">
        <v>188</v>
      </c>
      <c r="AM367" s="2" t="s">
        <v>188</v>
      </c>
      <c r="AN367" s="2" t="s">
        <v>188</v>
      </c>
      <c r="AO367" s="2" t="s">
        <v>188</v>
      </c>
      <c r="AR367" s="2">
        <v>1</v>
      </c>
      <c r="AS367" s="2">
        <v>1</v>
      </c>
      <c r="AT367" s="2">
        <v>2</v>
      </c>
      <c r="AU367" s="2" t="s">
        <v>203</v>
      </c>
      <c r="AV367" s="2" t="s">
        <v>189</v>
      </c>
      <c r="AW367" s="2" t="s">
        <v>188</v>
      </c>
      <c r="AZ367" s="2" t="s">
        <v>190</v>
      </c>
      <c r="BB367" s="2" t="s">
        <v>260</v>
      </c>
      <c r="BC367" s="2" t="s">
        <v>296</v>
      </c>
      <c r="BD367" s="2" t="s">
        <v>188</v>
      </c>
      <c r="BE367" s="2" t="s">
        <v>187</v>
      </c>
      <c r="BF367" s="2" t="s">
        <v>193</v>
      </c>
      <c r="BG367" s="2" t="s">
        <v>194</v>
      </c>
      <c r="BH367" s="2" t="s">
        <v>297</v>
      </c>
      <c r="BI367" s="2" t="s">
        <v>196</v>
      </c>
      <c r="BL367" s="2" t="s">
        <v>240</v>
      </c>
      <c r="BO367" s="2" t="s">
        <v>188</v>
      </c>
      <c r="BQ367" s="2" t="s">
        <v>227</v>
      </c>
      <c r="BS367" s="2" t="s">
        <v>187</v>
      </c>
      <c r="BT367" s="2" t="s">
        <v>651</v>
      </c>
      <c r="BV367" s="2" t="s">
        <v>242</v>
      </c>
      <c r="BX367" s="2" t="s">
        <v>188</v>
      </c>
      <c r="BZ367" s="2" t="s">
        <v>188</v>
      </c>
      <c r="CE367" s="2">
        <v>2</v>
      </c>
      <c r="CF367" s="2">
        <v>240</v>
      </c>
      <c r="CM367" s="2">
        <v>100</v>
      </c>
      <c r="CO367" s="2">
        <v>100</v>
      </c>
      <c r="CR367" s="2" t="s">
        <v>204</v>
      </c>
      <c r="CT367" s="2" t="s">
        <v>187</v>
      </c>
      <c r="CU367" s="2" t="s">
        <v>205</v>
      </c>
      <c r="CW367" s="2" t="s">
        <v>725</v>
      </c>
      <c r="CY367" s="2" t="s">
        <v>273</v>
      </c>
      <c r="CZ367" s="2" t="s">
        <v>300</v>
      </c>
      <c r="DA367" s="2" t="s">
        <v>300</v>
      </c>
      <c r="DB367" s="2" t="s">
        <v>300</v>
      </c>
      <c r="DC367" s="2" t="s">
        <v>430</v>
      </c>
      <c r="DD367" s="2" t="s">
        <v>430</v>
      </c>
      <c r="DE367" s="2" t="s">
        <v>300</v>
      </c>
      <c r="DF367" s="2" t="s">
        <v>300</v>
      </c>
      <c r="DG367" s="2" t="s">
        <v>300</v>
      </c>
      <c r="DH367" s="2" t="s">
        <v>300</v>
      </c>
      <c r="DI367" s="2" t="s">
        <v>300</v>
      </c>
      <c r="DL367" s="2" t="s">
        <v>188</v>
      </c>
      <c r="DM367" s="2" t="s">
        <v>188</v>
      </c>
      <c r="DP367" s="2" t="s">
        <v>188</v>
      </c>
      <c r="DT367" s="2" t="s">
        <v>203</v>
      </c>
      <c r="DU367" s="2" t="s">
        <v>203</v>
      </c>
      <c r="DV367" s="2" t="s">
        <v>203</v>
      </c>
      <c r="DW367" s="2" t="s">
        <v>203</v>
      </c>
      <c r="DX367" s="2" t="s">
        <v>203</v>
      </c>
      <c r="DY367" s="2" t="s">
        <v>203</v>
      </c>
      <c r="DZ367" s="2" t="s">
        <v>203</v>
      </c>
      <c r="EA367" s="2" t="s">
        <v>203</v>
      </c>
      <c r="EB367" s="2" t="s">
        <v>203</v>
      </c>
      <c r="EC367" s="2" t="s">
        <v>203</v>
      </c>
      <c r="EF367" s="2" t="s">
        <v>189</v>
      </c>
      <c r="EG367" s="2" t="s">
        <v>2416</v>
      </c>
      <c r="EJ367" s="2" t="s">
        <v>203</v>
      </c>
      <c r="EK367" s="2" t="s">
        <v>188</v>
      </c>
      <c r="EL367" s="2" t="s">
        <v>188</v>
      </c>
      <c r="EN367" s="2" t="s">
        <v>255</v>
      </c>
      <c r="EP367" s="2" t="s">
        <v>230</v>
      </c>
      <c r="ER367" s="2" t="s">
        <v>188</v>
      </c>
      <c r="ET367" s="2" t="s">
        <v>188</v>
      </c>
      <c r="EV367" s="2" t="s">
        <v>188</v>
      </c>
      <c r="EX367" s="2" t="s">
        <v>188</v>
      </c>
      <c r="EZ367" s="2" t="s">
        <v>188</v>
      </c>
      <c r="FC367" s="2" t="s">
        <v>216</v>
      </c>
      <c r="FD367" s="2" t="s">
        <v>188</v>
      </c>
      <c r="FH367" s="2" t="s">
        <v>188</v>
      </c>
      <c r="FJ367" s="2" t="s">
        <v>188</v>
      </c>
      <c r="FK367" s="2" t="s">
        <v>188</v>
      </c>
      <c r="FN367" s="2" t="s">
        <v>432</v>
      </c>
      <c r="FR367" s="2" t="s">
        <v>1087</v>
      </c>
      <c r="FT367" s="2" t="s">
        <v>233</v>
      </c>
      <c r="FU367" s="2" t="s">
        <v>233</v>
      </c>
      <c r="FV367" s="2" t="s">
        <v>219</v>
      </c>
      <c r="FW367" s="2" t="s">
        <v>233</v>
      </c>
      <c r="FZ367" s="4">
        <v>46047.626168981478</v>
      </c>
    </row>
    <row r="368" spans="1:182">
      <c r="A368" s="2" t="s">
        <v>2417</v>
      </c>
      <c r="D368" s="6">
        <v>46035.458194444444</v>
      </c>
      <c r="E368" s="2" t="s">
        <v>2418</v>
      </c>
      <c r="F368" s="2" t="s">
        <v>480</v>
      </c>
      <c r="G368" s="2" t="s">
        <v>2273</v>
      </c>
      <c r="H368" s="2" t="s">
        <v>2419</v>
      </c>
      <c r="I368" s="2" t="s">
        <v>2420</v>
      </c>
      <c r="J368" s="2">
        <v>328785617</v>
      </c>
      <c r="K368" s="2" t="s">
        <v>2420</v>
      </c>
      <c r="L368" s="2" t="s">
        <v>182</v>
      </c>
      <c r="M368" s="2" t="s">
        <v>183</v>
      </c>
      <c r="N368" s="2">
        <v>1988</v>
      </c>
      <c r="O368" s="2" t="s">
        <v>834</v>
      </c>
      <c r="P368" s="2" t="s">
        <v>185</v>
      </c>
      <c r="Q368" s="2" t="s">
        <v>186</v>
      </c>
      <c r="R368" s="2" t="s">
        <v>188</v>
      </c>
      <c r="S368" s="2">
        <v>13</v>
      </c>
      <c r="T368" s="2" t="s">
        <v>188</v>
      </c>
      <c r="U368" s="2" t="s">
        <v>188</v>
      </c>
      <c r="Y368" s="2">
        <v>186</v>
      </c>
      <c r="Z368" s="2">
        <v>1</v>
      </c>
      <c r="AA368" s="2">
        <v>186</v>
      </c>
      <c r="AB368" s="2">
        <v>155</v>
      </c>
      <c r="AC368" s="2">
        <v>156</v>
      </c>
      <c r="AD368" s="2">
        <v>216</v>
      </c>
      <c r="AE368" s="2">
        <v>60</v>
      </c>
      <c r="AF368" s="2" t="s">
        <v>188</v>
      </c>
      <c r="AG368" s="2" t="s">
        <v>188</v>
      </c>
      <c r="AH368" s="2" t="s">
        <v>188</v>
      </c>
      <c r="AJ368" s="2" t="s">
        <v>188</v>
      </c>
      <c r="AK368" s="2" t="s">
        <v>187</v>
      </c>
      <c r="AL368" s="2" t="s">
        <v>188</v>
      </c>
      <c r="AM368" s="2" t="s">
        <v>188</v>
      </c>
      <c r="AN368" s="2" t="s">
        <v>188</v>
      </c>
      <c r="AO368" s="2" t="s">
        <v>188</v>
      </c>
      <c r="AR368" s="2">
        <v>1</v>
      </c>
      <c r="AS368" s="2">
        <v>2</v>
      </c>
      <c r="AT368" s="2">
        <v>2.2000000000000002</v>
      </c>
      <c r="AU368" s="2" t="s">
        <v>238</v>
      </c>
      <c r="AV368" s="2" t="s">
        <v>238</v>
      </c>
      <c r="AW368" s="2" t="s">
        <v>188</v>
      </c>
      <c r="AZ368" s="2" t="s">
        <v>957</v>
      </c>
      <c r="BB368" s="2" t="s">
        <v>260</v>
      </c>
      <c r="BC368" s="2" t="s">
        <v>296</v>
      </c>
      <c r="BD368" s="2" t="s">
        <v>188</v>
      </c>
      <c r="BE368" s="2" t="s">
        <v>187</v>
      </c>
      <c r="BF368" s="2" t="s">
        <v>193</v>
      </c>
      <c r="BG368" s="2" t="s">
        <v>194</v>
      </c>
      <c r="BH368" s="2" t="s">
        <v>195</v>
      </c>
      <c r="BI368" s="2" t="s">
        <v>196</v>
      </c>
      <c r="BL368" s="2" t="s">
        <v>240</v>
      </c>
      <c r="BO368" s="2" t="s">
        <v>188</v>
      </c>
      <c r="BQ368" s="2" t="s">
        <v>200</v>
      </c>
      <c r="BS368" s="2" t="s">
        <v>187</v>
      </c>
      <c r="BT368" s="2" t="s">
        <v>611</v>
      </c>
      <c r="BV368" s="2" t="s">
        <v>389</v>
      </c>
      <c r="BX368" s="2" t="s">
        <v>187</v>
      </c>
      <c r="BY368" s="2" t="s">
        <v>2421</v>
      </c>
      <c r="BZ368" s="2" t="s">
        <v>203</v>
      </c>
      <c r="CE368" s="2">
        <v>2.2000000000000002</v>
      </c>
      <c r="CF368" s="2">
        <v>216</v>
      </c>
      <c r="CK368" s="2">
        <v>100</v>
      </c>
      <c r="CO368" s="2">
        <v>100</v>
      </c>
      <c r="CR368" s="2" t="s">
        <v>511</v>
      </c>
      <c r="CT368" s="2" t="s">
        <v>188</v>
      </c>
      <c r="CU368" s="2" t="s">
        <v>205</v>
      </c>
      <c r="CW368" s="2" t="s">
        <v>206</v>
      </c>
      <c r="CY368" s="2" t="s">
        <v>512</v>
      </c>
      <c r="CZ368" s="2" t="s">
        <v>512</v>
      </c>
      <c r="DA368" s="2" t="s">
        <v>300</v>
      </c>
      <c r="DB368" s="2" t="s">
        <v>300</v>
      </c>
      <c r="DC368" s="2" t="s">
        <v>988</v>
      </c>
      <c r="DD368" s="2" t="s">
        <v>300</v>
      </c>
      <c r="DE368" s="2" t="s">
        <v>300</v>
      </c>
      <c r="DF368" s="2" t="s">
        <v>300</v>
      </c>
      <c r="DG368" s="2" t="s">
        <v>300</v>
      </c>
      <c r="DH368" s="2" t="s">
        <v>300</v>
      </c>
      <c r="DI368" s="2" t="s">
        <v>300</v>
      </c>
      <c r="DL368" s="2" t="s">
        <v>187</v>
      </c>
      <c r="DM368" s="2" t="s">
        <v>187</v>
      </c>
      <c r="DN368" s="2" t="s">
        <v>187</v>
      </c>
      <c r="DO368" s="2" t="s">
        <v>187</v>
      </c>
      <c r="DP368" s="2" t="s">
        <v>209</v>
      </c>
      <c r="DQ368" s="2" t="s">
        <v>467</v>
      </c>
      <c r="DR368" s="2" t="s">
        <v>2422</v>
      </c>
      <c r="DT368" s="2" t="s">
        <v>209</v>
      </c>
      <c r="DU368" s="2" t="s">
        <v>209</v>
      </c>
      <c r="DV368" s="2" t="s">
        <v>209</v>
      </c>
      <c r="DW368" s="2" t="s">
        <v>209</v>
      </c>
      <c r="DX368" s="2" t="s">
        <v>209</v>
      </c>
      <c r="DY368" s="2" t="s">
        <v>203</v>
      </c>
      <c r="DZ368" s="2" t="s">
        <v>203</v>
      </c>
      <c r="EA368" s="2" t="s">
        <v>203</v>
      </c>
      <c r="EB368" s="2" t="s">
        <v>209</v>
      </c>
      <c r="EF368" s="2" t="s">
        <v>302</v>
      </c>
      <c r="EG368" s="2" t="s">
        <v>2423</v>
      </c>
      <c r="EJ368" s="2" t="s">
        <v>238</v>
      </c>
      <c r="EK368" s="2" t="s">
        <v>187</v>
      </c>
      <c r="EL368" s="2" t="s">
        <v>188</v>
      </c>
      <c r="EN368" s="2" t="s">
        <v>214</v>
      </c>
      <c r="EP368" s="2" t="s">
        <v>230</v>
      </c>
      <c r="ER368" s="2" t="s">
        <v>187</v>
      </c>
      <c r="ET368" s="2" t="s">
        <v>188</v>
      </c>
      <c r="EV368" s="2" t="s">
        <v>187</v>
      </c>
      <c r="EW368" s="2" t="s">
        <v>215</v>
      </c>
      <c r="EX368" s="2" t="s">
        <v>188</v>
      </c>
      <c r="EZ368" s="2" t="s">
        <v>188</v>
      </c>
      <c r="FC368" s="2" t="s">
        <v>263</v>
      </c>
      <c r="FD368" s="2" t="s">
        <v>188</v>
      </c>
      <c r="FH368" s="2" t="s">
        <v>188</v>
      </c>
      <c r="FJ368" s="2" t="s">
        <v>188</v>
      </c>
      <c r="FK368" s="2" t="s">
        <v>188</v>
      </c>
      <c r="FN368" s="2" t="s">
        <v>488</v>
      </c>
      <c r="FR368" s="2" t="s">
        <v>2424</v>
      </c>
      <c r="FT368" s="2" t="s">
        <v>233</v>
      </c>
      <c r="FU368" s="2" t="s">
        <v>233</v>
      </c>
      <c r="FV368" s="2" t="s">
        <v>233</v>
      </c>
      <c r="FW368" s="2" t="s">
        <v>233</v>
      </c>
      <c r="FZ368" s="4">
        <v>46043.756909722222</v>
      </c>
    </row>
    <row r="369" spans="1:182">
      <c r="A369" s="2" t="s">
        <v>2425</v>
      </c>
      <c r="D369" s="6">
        <v>46035.459733796299</v>
      </c>
      <c r="E369" s="2" t="s">
        <v>177</v>
      </c>
      <c r="F369" s="2" t="s">
        <v>178</v>
      </c>
      <c r="G369" s="2" t="s">
        <v>2273</v>
      </c>
      <c r="H369" s="2" t="s">
        <v>2294</v>
      </c>
      <c r="I369" s="2" t="s">
        <v>2426</v>
      </c>
      <c r="J369" s="2" t="s">
        <v>2427</v>
      </c>
      <c r="K369" s="2" t="s">
        <v>2428</v>
      </c>
      <c r="L369" s="2" t="s">
        <v>182</v>
      </c>
      <c r="M369" s="2" t="s">
        <v>223</v>
      </c>
      <c r="N369" s="2">
        <v>1991</v>
      </c>
      <c r="O369" s="2" t="s">
        <v>834</v>
      </c>
      <c r="P369" s="2" t="s">
        <v>225</v>
      </c>
      <c r="Q369" s="2" t="s">
        <v>270</v>
      </c>
      <c r="R369" s="2" t="s">
        <v>188</v>
      </c>
      <c r="Y369" s="2">
        <v>43</v>
      </c>
      <c r="Z369" s="2">
        <v>0.88370000000000004</v>
      </c>
      <c r="AA369" s="2">
        <v>38</v>
      </c>
      <c r="AB369" s="2">
        <v>38</v>
      </c>
      <c r="AC369" s="2">
        <v>38</v>
      </c>
      <c r="AD369" s="2">
        <v>45</v>
      </c>
      <c r="AE369" s="2">
        <v>7</v>
      </c>
      <c r="AF369" s="2" t="s">
        <v>188</v>
      </c>
      <c r="AG369" s="2" t="s">
        <v>188</v>
      </c>
      <c r="AH369" s="2" t="s">
        <v>188</v>
      </c>
      <c r="AJ369" s="2" t="s">
        <v>188</v>
      </c>
      <c r="AK369" s="2" t="s">
        <v>188</v>
      </c>
      <c r="AL369" s="2" t="s">
        <v>188</v>
      </c>
      <c r="AM369" s="2" t="s">
        <v>187</v>
      </c>
      <c r="AN369" s="2" t="s">
        <v>188</v>
      </c>
      <c r="AO369" s="2" t="s">
        <v>188</v>
      </c>
      <c r="AR369" s="2">
        <v>0.4</v>
      </c>
      <c r="AS369" s="2">
        <v>1</v>
      </c>
      <c r="AT369" s="2">
        <v>0.45</v>
      </c>
      <c r="AU369" s="2" t="s">
        <v>238</v>
      </c>
      <c r="AV369" s="2" t="s">
        <v>203</v>
      </c>
      <c r="AW369" s="2" t="s">
        <v>188</v>
      </c>
      <c r="AZ369" s="2" t="s">
        <v>190</v>
      </c>
      <c r="BB369" s="2" t="s">
        <v>260</v>
      </c>
      <c r="BC369" s="2" t="s">
        <v>192</v>
      </c>
      <c r="BD369" s="2" t="s">
        <v>188</v>
      </c>
      <c r="BE369" s="2" t="s">
        <v>187</v>
      </c>
      <c r="BF369" s="2" t="s">
        <v>193</v>
      </c>
      <c r="BG369" s="2" t="s">
        <v>194</v>
      </c>
      <c r="BH369" s="2" t="s">
        <v>280</v>
      </c>
      <c r="BI369" s="2" t="s">
        <v>196</v>
      </c>
      <c r="BL369" s="2" t="s">
        <v>240</v>
      </c>
      <c r="BO369" s="2" t="s">
        <v>188</v>
      </c>
      <c r="BQ369" s="2" t="s">
        <v>200</v>
      </c>
      <c r="BS369" s="2" t="s">
        <v>187</v>
      </c>
      <c r="BT369" s="2" t="s">
        <v>201</v>
      </c>
      <c r="BV369" s="2" t="s">
        <v>248</v>
      </c>
      <c r="BX369" s="2" t="s">
        <v>188</v>
      </c>
      <c r="BZ369" s="2" t="s">
        <v>203</v>
      </c>
      <c r="CE369" s="2">
        <v>0.45</v>
      </c>
      <c r="CF369" s="2">
        <v>45</v>
      </c>
      <c r="CK369" s="2">
        <v>100</v>
      </c>
      <c r="CO369" s="2">
        <v>100</v>
      </c>
      <c r="CR369" s="2" t="s">
        <v>204</v>
      </c>
      <c r="CT369" s="2" t="s">
        <v>188</v>
      </c>
      <c r="CU369" s="2" t="s">
        <v>281</v>
      </c>
      <c r="CW369" s="2" t="s">
        <v>206</v>
      </c>
      <c r="CY369" s="2" t="s">
        <v>208</v>
      </c>
      <c r="CZ369" s="2" t="s">
        <v>208</v>
      </c>
      <c r="DA369" s="2" t="s">
        <v>208</v>
      </c>
      <c r="DB369" s="2" t="s">
        <v>208</v>
      </c>
      <c r="DL369" s="2" t="s">
        <v>188</v>
      </c>
      <c r="DM369" s="2" t="s">
        <v>188</v>
      </c>
      <c r="DP369" s="2" t="s">
        <v>203</v>
      </c>
      <c r="DT369" s="2" t="s">
        <v>203</v>
      </c>
      <c r="DU369" s="2" t="s">
        <v>203</v>
      </c>
      <c r="DV369" s="2" t="s">
        <v>203</v>
      </c>
      <c r="DW369" s="2" t="s">
        <v>203</v>
      </c>
      <c r="DX369" s="2" t="s">
        <v>203</v>
      </c>
      <c r="DY369" s="2" t="s">
        <v>203</v>
      </c>
      <c r="DZ369" s="2" t="s">
        <v>203</v>
      </c>
      <c r="EA369" s="2" t="s">
        <v>203</v>
      </c>
      <c r="EB369" s="2" t="s">
        <v>203</v>
      </c>
      <c r="EJ369" s="2" t="s">
        <v>203</v>
      </c>
      <c r="EK369" s="2" t="s">
        <v>188</v>
      </c>
      <c r="EL369" s="2" t="s">
        <v>188</v>
      </c>
      <c r="ER369" s="2" t="s">
        <v>188</v>
      </c>
      <c r="ET369" s="2" t="s">
        <v>188</v>
      </c>
      <c r="EV369" s="2" t="s">
        <v>188</v>
      </c>
      <c r="EX369" s="2" t="s">
        <v>188</v>
      </c>
      <c r="EZ369" s="2" t="s">
        <v>188</v>
      </c>
      <c r="FC369" s="2" t="s">
        <v>263</v>
      </c>
      <c r="FD369" s="2" t="s">
        <v>188</v>
      </c>
      <c r="FH369" s="2" t="s">
        <v>188</v>
      </c>
      <c r="FJ369" s="2" t="s">
        <v>188</v>
      </c>
      <c r="FK369" s="2" t="s">
        <v>203</v>
      </c>
      <c r="FT369" s="2" t="s">
        <v>233</v>
      </c>
      <c r="FU369" s="2" t="s">
        <v>490</v>
      </c>
      <c r="FV369" s="2" t="s">
        <v>219</v>
      </c>
      <c r="FW369" s="2" t="s">
        <v>490</v>
      </c>
      <c r="FZ369" s="4">
        <v>46041.715567129628</v>
      </c>
    </row>
    <row r="370" spans="1:182">
      <c r="A370" s="2" t="s">
        <v>2429</v>
      </c>
      <c r="D370" s="6">
        <v>46035.453726851854</v>
      </c>
      <c r="E370" s="2" t="s">
        <v>2430</v>
      </c>
      <c r="F370" s="2" t="s">
        <v>590</v>
      </c>
      <c r="G370" s="2" t="s">
        <v>2273</v>
      </c>
      <c r="H370" s="2" t="s">
        <v>2380</v>
      </c>
      <c r="I370" s="2" t="s">
        <v>2431</v>
      </c>
      <c r="J370" s="2">
        <v>328448313</v>
      </c>
      <c r="K370" s="2" t="s">
        <v>2431</v>
      </c>
      <c r="L370" s="2" t="s">
        <v>182</v>
      </c>
      <c r="M370" s="2" t="s">
        <v>223</v>
      </c>
      <c r="N370" s="2">
        <v>2000</v>
      </c>
      <c r="O370" s="2" t="s">
        <v>834</v>
      </c>
      <c r="P370" s="2" t="s">
        <v>185</v>
      </c>
      <c r="Q370" s="2" t="s">
        <v>186</v>
      </c>
      <c r="R370" s="2" t="s">
        <v>188</v>
      </c>
      <c r="S370" s="2">
        <v>17</v>
      </c>
      <c r="T370" s="2" t="s">
        <v>188</v>
      </c>
      <c r="U370" s="2" t="s">
        <v>188</v>
      </c>
      <c r="Y370" s="2">
        <v>90</v>
      </c>
      <c r="Z370" s="2">
        <v>1</v>
      </c>
      <c r="AA370" s="2">
        <v>90</v>
      </c>
      <c r="AB370" s="2">
        <v>90</v>
      </c>
      <c r="AC370" s="2">
        <v>90</v>
      </c>
      <c r="AD370" s="2">
        <v>120</v>
      </c>
      <c r="AE370" s="2">
        <v>30</v>
      </c>
      <c r="AF370" s="2" t="s">
        <v>188</v>
      </c>
      <c r="AG370" s="2" t="s">
        <v>188</v>
      </c>
      <c r="AH370" s="2" t="s">
        <v>188</v>
      </c>
      <c r="AJ370" s="2" t="s">
        <v>188</v>
      </c>
      <c r="AK370" s="2" t="s">
        <v>188</v>
      </c>
      <c r="AL370" s="2" t="s">
        <v>188</v>
      </c>
      <c r="AM370" s="2" t="s">
        <v>188</v>
      </c>
      <c r="AN370" s="2" t="s">
        <v>188</v>
      </c>
      <c r="AO370" s="2" t="s">
        <v>188</v>
      </c>
      <c r="AR370" s="2">
        <v>0.6</v>
      </c>
      <c r="AS370" s="2">
        <v>1</v>
      </c>
      <c r="AT370" s="2">
        <v>1</v>
      </c>
      <c r="AU370" s="2" t="s">
        <v>203</v>
      </c>
      <c r="AV370" s="2" t="s">
        <v>238</v>
      </c>
      <c r="AW370" s="2" t="s">
        <v>188</v>
      </c>
      <c r="AZ370" s="2" t="s">
        <v>190</v>
      </c>
      <c r="BB370" s="2" t="s">
        <v>260</v>
      </c>
      <c r="BC370" s="2" t="s">
        <v>192</v>
      </c>
      <c r="BD370" s="2" t="s">
        <v>188</v>
      </c>
      <c r="BE370" s="2" t="s">
        <v>188</v>
      </c>
      <c r="BL370" s="2" t="s">
        <v>240</v>
      </c>
      <c r="BO370" s="2" t="s">
        <v>188</v>
      </c>
      <c r="BQ370" s="2" t="s">
        <v>227</v>
      </c>
      <c r="BS370" s="2" t="s">
        <v>187</v>
      </c>
      <c r="BT370" s="2" t="s">
        <v>1703</v>
      </c>
      <c r="BV370" s="2" t="s">
        <v>495</v>
      </c>
      <c r="BX370" s="2" t="s">
        <v>188</v>
      </c>
      <c r="BZ370" s="2" t="s">
        <v>188</v>
      </c>
      <c r="CE370" s="2">
        <v>1</v>
      </c>
      <c r="CF370" s="2">
        <v>120</v>
      </c>
      <c r="CK370" s="2">
        <v>100</v>
      </c>
      <c r="CO370" s="2">
        <v>100</v>
      </c>
      <c r="CR370" s="2" t="s">
        <v>204</v>
      </c>
      <c r="CT370" s="2" t="s">
        <v>188</v>
      </c>
      <c r="CU370" s="2" t="s">
        <v>205</v>
      </c>
      <c r="CW370" s="2" t="s">
        <v>206</v>
      </c>
      <c r="CY370" s="2" t="s">
        <v>273</v>
      </c>
      <c r="CZ370" s="2" t="s">
        <v>300</v>
      </c>
      <c r="DA370" s="2" t="s">
        <v>300</v>
      </c>
      <c r="DB370" s="2" t="s">
        <v>300</v>
      </c>
      <c r="DC370" s="2" t="s">
        <v>300</v>
      </c>
      <c r="DD370" s="2" t="s">
        <v>300</v>
      </c>
      <c r="DE370" s="2" t="s">
        <v>300</v>
      </c>
      <c r="DF370" s="2" t="s">
        <v>300</v>
      </c>
      <c r="DG370" s="2" t="s">
        <v>300</v>
      </c>
      <c r="DH370" s="2" t="s">
        <v>300</v>
      </c>
      <c r="DI370" s="2" t="s">
        <v>300</v>
      </c>
      <c r="DL370" s="2" t="s">
        <v>188</v>
      </c>
      <c r="DM370" s="2" t="s">
        <v>188</v>
      </c>
      <c r="DP370" s="2" t="s">
        <v>188</v>
      </c>
      <c r="DT370" s="2" t="s">
        <v>203</v>
      </c>
      <c r="DU370" s="2" t="s">
        <v>203</v>
      </c>
      <c r="DV370" s="2" t="s">
        <v>203</v>
      </c>
      <c r="DW370" s="2" t="s">
        <v>203</v>
      </c>
      <c r="DX370" s="2" t="s">
        <v>203</v>
      </c>
      <c r="DY370" s="2" t="s">
        <v>203</v>
      </c>
      <c r="DZ370" s="2" t="s">
        <v>203</v>
      </c>
      <c r="EA370" s="2" t="s">
        <v>203</v>
      </c>
      <c r="EB370" s="2" t="s">
        <v>203</v>
      </c>
      <c r="EC370" s="2" t="s">
        <v>203</v>
      </c>
      <c r="EF370" s="2" t="s">
        <v>189</v>
      </c>
      <c r="EG370" s="2" t="s">
        <v>2432</v>
      </c>
      <c r="EJ370" s="2" t="s">
        <v>203</v>
      </c>
      <c r="EK370" s="2" t="s">
        <v>188</v>
      </c>
      <c r="EL370" s="2" t="s">
        <v>188</v>
      </c>
      <c r="EN370" s="2" t="s">
        <v>255</v>
      </c>
      <c r="EP370" s="2" t="s">
        <v>230</v>
      </c>
      <c r="ER370" s="2" t="s">
        <v>188</v>
      </c>
      <c r="ET370" s="2" t="s">
        <v>188</v>
      </c>
      <c r="EV370" s="2" t="s">
        <v>188</v>
      </c>
      <c r="EX370" s="2" t="s">
        <v>188</v>
      </c>
      <c r="EZ370" s="2" t="s">
        <v>188</v>
      </c>
      <c r="FC370" s="2" t="s">
        <v>263</v>
      </c>
      <c r="FD370" s="2" t="s">
        <v>188</v>
      </c>
      <c r="FH370" s="2" t="s">
        <v>188</v>
      </c>
      <c r="FJ370" s="2" t="s">
        <v>188</v>
      </c>
      <c r="FK370" s="2" t="s">
        <v>188</v>
      </c>
      <c r="FN370" s="2" t="s">
        <v>432</v>
      </c>
      <c r="FR370" s="2" t="s">
        <v>2433</v>
      </c>
      <c r="FT370" s="2" t="s">
        <v>219</v>
      </c>
      <c r="FU370" s="2" t="s">
        <v>219</v>
      </c>
      <c r="FV370" s="2" t="s">
        <v>233</v>
      </c>
      <c r="FW370" s="2" t="s">
        <v>233</v>
      </c>
      <c r="FZ370" s="4">
        <v>46047.62672453704</v>
      </c>
    </row>
    <row r="371" spans="1:182">
      <c r="A371" s="2" t="s">
        <v>2434</v>
      </c>
      <c r="D371" s="6">
        <v>46035.467893518522</v>
      </c>
      <c r="E371" s="2" t="s">
        <v>2435</v>
      </c>
      <c r="F371" s="2" t="s">
        <v>480</v>
      </c>
      <c r="G371" s="2" t="s">
        <v>2273</v>
      </c>
      <c r="H371" s="2" t="s">
        <v>2419</v>
      </c>
      <c r="I371" s="2" t="s">
        <v>2436</v>
      </c>
      <c r="J371" s="2">
        <v>394806951</v>
      </c>
      <c r="K371" s="2" t="s">
        <v>2437</v>
      </c>
      <c r="L371" s="2" t="s">
        <v>182</v>
      </c>
      <c r="M371" s="2" t="s">
        <v>183</v>
      </c>
      <c r="N371" s="2">
        <v>2001</v>
      </c>
      <c r="O371" s="2" t="s">
        <v>834</v>
      </c>
      <c r="P371" s="2" t="s">
        <v>185</v>
      </c>
      <c r="Q371" s="2" t="s">
        <v>270</v>
      </c>
      <c r="R371" s="2" t="s">
        <v>188</v>
      </c>
      <c r="S371" s="2">
        <v>27</v>
      </c>
      <c r="T371" s="2" t="s">
        <v>188</v>
      </c>
      <c r="U371" s="2" t="s">
        <v>188</v>
      </c>
      <c r="Y371" s="2">
        <v>139</v>
      </c>
      <c r="Z371" s="2">
        <v>0.48199999999999998</v>
      </c>
      <c r="AA371" s="2">
        <v>67</v>
      </c>
      <c r="AB371" s="2">
        <v>67</v>
      </c>
      <c r="AC371" s="2">
        <v>67</v>
      </c>
      <c r="AD371" s="2">
        <v>107</v>
      </c>
      <c r="AE371" s="2">
        <v>40</v>
      </c>
      <c r="AF371" s="2" t="s">
        <v>188</v>
      </c>
      <c r="AG371" s="2" t="s">
        <v>188</v>
      </c>
      <c r="AH371" s="2" t="s">
        <v>188</v>
      </c>
      <c r="AJ371" s="2" t="s">
        <v>188</v>
      </c>
      <c r="AK371" s="2" t="s">
        <v>188</v>
      </c>
      <c r="AL371" s="2" t="s">
        <v>188</v>
      </c>
      <c r="AO371" s="2" t="s">
        <v>187</v>
      </c>
      <c r="AR371" s="2">
        <v>0.8</v>
      </c>
      <c r="AS371" s="2">
        <v>2</v>
      </c>
      <c r="AT371" s="2">
        <v>1.1000000000000001</v>
      </c>
      <c r="AU371" s="2" t="s">
        <v>238</v>
      </c>
      <c r="AV371" s="2" t="s">
        <v>238</v>
      </c>
      <c r="AW371" s="2" t="s">
        <v>188</v>
      </c>
      <c r="AZ371" s="2" t="s">
        <v>190</v>
      </c>
      <c r="BB371" s="2" t="s">
        <v>260</v>
      </c>
      <c r="BC371" s="2" t="s">
        <v>296</v>
      </c>
      <c r="BD371" s="2" t="s">
        <v>188</v>
      </c>
      <c r="BE371" s="2" t="s">
        <v>187</v>
      </c>
      <c r="BF371" s="2" t="s">
        <v>193</v>
      </c>
      <c r="BG371" s="2" t="s">
        <v>194</v>
      </c>
      <c r="BH371" s="2" t="s">
        <v>195</v>
      </c>
      <c r="BI371" s="2" t="s">
        <v>196</v>
      </c>
      <c r="BL371" s="2" t="s">
        <v>240</v>
      </c>
      <c r="BO371" s="2" t="s">
        <v>188</v>
      </c>
      <c r="BQ371" s="2" t="s">
        <v>200</v>
      </c>
      <c r="BS371" s="2" t="s">
        <v>187</v>
      </c>
      <c r="BT371" s="2" t="s">
        <v>484</v>
      </c>
      <c r="BV371" s="2" t="s">
        <v>401</v>
      </c>
      <c r="BX371" s="2" t="s">
        <v>187</v>
      </c>
      <c r="BY371" s="2" t="s">
        <v>2438</v>
      </c>
      <c r="BZ371" s="2" t="s">
        <v>203</v>
      </c>
      <c r="CE371" s="2">
        <v>1.1000000000000001</v>
      </c>
      <c r="CF371" s="2">
        <v>107</v>
      </c>
      <c r="CK371" s="2">
        <v>100</v>
      </c>
      <c r="CO371" s="2">
        <v>100</v>
      </c>
      <c r="CR371" s="2" t="s">
        <v>511</v>
      </c>
      <c r="CT371" s="2" t="s">
        <v>188</v>
      </c>
      <c r="CU371" s="2" t="s">
        <v>205</v>
      </c>
      <c r="CW371" s="2" t="s">
        <v>206</v>
      </c>
      <c r="CY371" s="2" t="s">
        <v>512</v>
      </c>
      <c r="CZ371" s="2" t="s">
        <v>512</v>
      </c>
      <c r="DA371" s="2" t="s">
        <v>300</v>
      </c>
      <c r="DB371" s="2" t="s">
        <v>300</v>
      </c>
      <c r="DC371" s="2" t="s">
        <v>300</v>
      </c>
      <c r="DD371" s="2" t="s">
        <v>300</v>
      </c>
      <c r="DE371" s="2" t="s">
        <v>300</v>
      </c>
      <c r="DF371" s="2" t="s">
        <v>300</v>
      </c>
      <c r="DG371" s="2" t="s">
        <v>300</v>
      </c>
      <c r="DH371" s="2" t="s">
        <v>208</v>
      </c>
      <c r="DI371" s="2" t="s">
        <v>208</v>
      </c>
      <c r="DL371" s="2" t="s">
        <v>187</v>
      </c>
      <c r="DM371" s="2" t="s">
        <v>187</v>
      </c>
      <c r="DN371" s="2" t="s">
        <v>187</v>
      </c>
      <c r="DO371" s="2" t="s">
        <v>187</v>
      </c>
      <c r="DP371" s="2" t="s">
        <v>209</v>
      </c>
      <c r="DT371" s="2" t="s">
        <v>209</v>
      </c>
      <c r="DU371" s="2" t="s">
        <v>209</v>
      </c>
      <c r="DV371" s="2" t="s">
        <v>209</v>
      </c>
      <c r="DW371" s="2" t="s">
        <v>209</v>
      </c>
      <c r="DX371" s="2" t="s">
        <v>203</v>
      </c>
      <c r="DY371" s="2" t="s">
        <v>203</v>
      </c>
      <c r="DZ371" s="2" t="s">
        <v>203</v>
      </c>
      <c r="EA371" s="2" t="s">
        <v>203</v>
      </c>
      <c r="EB371" s="2" t="s">
        <v>203</v>
      </c>
      <c r="EF371" s="2" t="s">
        <v>189</v>
      </c>
      <c r="EG371" s="2" t="s">
        <v>2439</v>
      </c>
      <c r="EJ371" s="2" t="s">
        <v>238</v>
      </c>
      <c r="EK371" s="2" t="s">
        <v>187</v>
      </c>
      <c r="EL371" s="2" t="s">
        <v>188</v>
      </c>
      <c r="EN371" s="2" t="s">
        <v>214</v>
      </c>
      <c r="EP371" s="2" t="s">
        <v>230</v>
      </c>
      <c r="ER371" s="2" t="s">
        <v>188</v>
      </c>
      <c r="ET371" s="2" t="s">
        <v>188</v>
      </c>
      <c r="EV371" s="2" t="s">
        <v>187</v>
      </c>
      <c r="EW371" s="2" t="s">
        <v>215</v>
      </c>
      <c r="EX371" s="2" t="s">
        <v>188</v>
      </c>
      <c r="EZ371" s="2" t="s">
        <v>188</v>
      </c>
      <c r="FC371" s="2" t="s">
        <v>263</v>
      </c>
      <c r="FD371" s="2" t="s">
        <v>188</v>
      </c>
      <c r="FH371" s="2" t="s">
        <v>188</v>
      </c>
      <c r="FJ371" s="2" t="s">
        <v>188</v>
      </c>
      <c r="FK371" s="2" t="s">
        <v>188</v>
      </c>
      <c r="FN371" s="2" t="s">
        <v>488</v>
      </c>
      <c r="FR371" s="2" t="s">
        <v>2440</v>
      </c>
      <c r="FT371" s="2" t="s">
        <v>233</v>
      </c>
      <c r="FU371" s="2" t="s">
        <v>233</v>
      </c>
      <c r="FV371" s="2" t="s">
        <v>233</v>
      </c>
      <c r="FW371" s="2" t="s">
        <v>233</v>
      </c>
      <c r="FZ371" s="4">
        <v>46043.767569444448</v>
      </c>
    </row>
    <row r="372" spans="1:182">
      <c r="A372" s="2" t="s">
        <v>2441</v>
      </c>
      <c r="D372" s="6">
        <v>46035.463159722225</v>
      </c>
      <c r="E372" s="2" t="s">
        <v>177</v>
      </c>
      <c r="F372" s="2" t="s">
        <v>293</v>
      </c>
      <c r="G372" s="2" t="s">
        <v>2273</v>
      </c>
      <c r="H372" s="2" t="s">
        <v>2314</v>
      </c>
      <c r="I372" s="2" t="s">
        <v>2442</v>
      </c>
      <c r="J372" s="2">
        <v>349066053</v>
      </c>
      <c r="K372" s="2" t="s">
        <v>2442</v>
      </c>
      <c r="L372" s="2" t="s">
        <v>182</v>
      </c>
      <c r="M372" s="2" t="s">
        <v>223</v>
      </c>
      <c r="N372" s="2">
        <v>1982</v>
      </c>
      <c r="O372" s="2" t="s">
        <v>224</v>
      </c>
      <c r="P372" s="2" t="s">
        <v>185</v>
      </c>
      <c r="Q372" s="2" t="s">
        <v>186</v>
      </c>
      <c r="R372" s="2" t="s">
        <v>188</v>
      </c>
      <c r="S372" s="2">
        <v>2012</v>
      </c>
      <c r="T372" s="2" t="s">
        <v>188</v>
      </c>
      <c r="U372" s="2" t="s">
        <v>188</v>
      </c>
      <c r="Y372" s="2">
        <v>430</v>
      </c>
      <c r="Z372" s="2">
        <v>0.93020000000000003</v>
      </c>
      <c r="AA372" s="2">
        <v>400</v>
      </c>
      <c r="AB372" s="2">
        <v>400</v>
      </c>
      <c r="AC372" s="2">
        <v>220</v>
      </c>
      <c r="AD372" s="2">
        <v>250</v>
      </c>
      <c r="AE372" s="2">
        <v>30</v>
      </c>
      <c r="AF372" s="2" t="s">
        <v>188</v>
      </c>
      <c r="AG372" s="2" t="s">
        <v>187</v>
      </c>
      <c r="AH372" s="2" t="s">
        <v>187</v>
      </c>
      <c r="AI372" s="2" t="s">
        <v>2211</v>
      </c>
      <c r="AJ372" s="2" t="s">
        <v>188</v>
      </c>
      <c r="AK372" s="2" t="s">
        <v>187</v>
      </c>
      <c r="AL372" s="2" t="s">
        <v>188</v>
      </c>
      <c r="AM372" s="2" t="s">
        <v>187</v>
      </c>
      <c r="AN372" s="2" t="s">
        <v>188</v>
      </c>
      <c r="AO372" s="2" t="s">
        <v>188</v>
      </c>
      <c r="AR372" s="2">
        <v>0.6</v>
      </c>
      <c r="AS372" s="2">
        <v>1</v>
      </c>
      <c r="AT372" s="2">
        <v>2.5</v>
      </c>
      <c r="AU372" s="2" t="s">
        <v>238</v>
      </c>
      <c r="AV372" s="2" t="s">
        <v>238</v>
      </c>
      <c r="AW372" s="2" t="s">
        <v>188</v>
      </c>
      <c r="AZ372" s="2" t="s">
        <v>561</v>
      </c>
      <c r="BB372" s="2" t="s">
        <v>260</v>
      </c>
      <c r="BC372" s="2" t="s">
        <v>296</v>
      </c>
      <c r="BD372" s="2" t="s">
        <v>188</v>
      </c>
      <c r="BE372" s="2" t="s">
        <v>188</v>
      </c>
      <c r="BL372" s="2" t="s">
        <v>240</v>
      </c>
      <c r="BM372" s="2" t="s">
        <v>198</v>
      </c>
      <c r="BN372" s="2" t="s">
        <v>199</v>
      </c>
      <c r="BO372" s="2" t="s">
        <v>188</v>
      </c>
      <c r="BQ372" s="2" t="s">
        <v>200</v>
      </c>
      <c r="BS372" s="2" t="s">
        <v>187</v>
      </c>
      <c r="BT372" s="2" t="s">
        <v>261</v>
      </c>
      <c r="BV372" s="2" t="s">
        <v>389</v>
      </c>
      <c r="BX372" s="2" t="s">
        <v>187</v>
      </c>
      <c r="BY372" s="2" t="s">
        <v>2443</v>
      </c>
      <c r="CE372" s="2">
        <v>2.5</v>
      </c>
      <c r="CF372" s="2">
        <v>250</v>
      </c>
      <c r="CK372" s="2">
        <v>100</v>
      </c>
      <c r="CO372" s="2">
        <v>100</v>
      </c>
      <c r="CR372" s="2" t="s">
        <v>204</v>
      </c>
      <c r="CT372" s="2" t="s">
        <v>188</v>
      </c>
      <c r="CU372" s="2" t="s">
        <v>205</v>
      </c>
      <c r="CW372" s="2" t="s">
        <v>206</v>
      </c>
      <c r="CY372" s="2" t="s">
        <v>273</v>
      </c>
      <c r="CZ372" s="2" t="s">
        <v>299</v>
      </c>
      <c r="DA372" s="2" t="s">
        <v>299</v>
      </c>
      <c r="DB372" s="2" t="s">
        <v>299</v>
      </c>
      <c r="DC372" s="2" t="s">
        <v>299</v>
      </c>
      <c r="DD372" s="2" t="s">
        <v>299</v>
      </c>
      <c r="DE372" s="2" t="s">
        <v>299</v>
      </c>
      <c r="DF372" s="2" t="s">
        <v>300</v>
      </c>
      <c r="DG372" s="2" t="s">
        <v>300</v>
      </c>
      <c r="DH372" s="2" t="s">
        <v>208</v>
      </c>
      <c r="DI372" s="2" t="s">
        <v>208</v>
      </c>
      <c r="DL372" s="2" t="s">
        <v>188</v>
      </c>
      <c r="DM372" s="2" t="s">
        <v>188</v>
      </c>
      <c r="DP372" s="2" t="s">
        <v>188</v>
      </c>
      <c r="DT372" s="2" t="s">
        <v>209</v>
      </c>
      <c r="DU372" s="2" t="s">
        <v>209</v>
      </c>
      <c r="DV372" s="2" t="s">
        <v>209</v>
      </c>
      <c r="DW372" s="2" t="s">
        <v>209</v>
      </c>
      <c r="DX372" s="2" t="s">
        <v>209</v>
      </c>
      <c r="DY372" s="2" t="s">
        <v>203</v>
      </c>
      <c r="DZ372" s="2" t="s">
        <v>203</v>
      </c>
      <c r="EA372" s="2" t="s">
        <v>209</v>
      </c>
      <c r="EB372" s="2" t="s">
        <v>209</v>
      </c>
      <c r="EC372" s="2" t="s">
        <v>203</v>
      </c>
      <c r="EF372" s="2" t="s">
        <v>211</v>
      </c>
      <c r="EJ372" s="2" t="s">
        <v>203</v>
      </c>
      <c r="EK372" s="2" t="s">
        <v>188</v>
      </c>
      <c r="EL372" s="2" t="s">
        <v>188</v>
      </c>
      <c r="EN372" s="2" t="s">
        <v>214</v>
      </c>
      <c r="EP372" s="2" t="s">
        <v>230</v>
      </c>
      <c r="ET372" s="2" t="s">
        <v>188</v>
      </c>
      <c r="EV372" s="2" t="s">
        <v>188</v>
      </c>
      <c r="EX372" s="2" t="s">
        <v>188</v>
      </c>
      <c r="FC372" s="2" t="s">
        <v>216</v>
      </c>
      <c r="FD372" s="2" t="s">
        <v>188</v>
      </c>
      <c r="FH372" s="2" t="s">
        <v>188</v>
      </c>
      <c r="FJ372" s="2" t="s">
        <v>187</v>
      </c>
      <c r="FK372" s="2" t="s">
        <v>209</v>
      </c>
      <c r="FL372" s="2" t="s">
        <v>319</v>
      </c>
      <c r="FN372" s="2" t="s">
        <v>304</v>
      </c>
      <c r="FT372" s="2" t="s">
        <v>219</v>
      </c>
      <c r="FU372" s="2" t="s">
        <v>233</v>
      </c>
      <c r="FV372" s="2" t="s">
        <v>233</v>
      </c>
      <c r="FW372" s="2" t="s">
        <v>233</v>
      </c>
      <c r="FZ372" s="4">
        <v>46039.960763888892</v>
      </c>
    </row>
    <row r="373" spans="1:182">
      <c r="A373" s="2" t="s">
        <v>2444</v>
      </c>
      <c r="D373" s="6">
        <v>46035.462650462963</v>
      </c>
      <c r="E373" s="2" t="s">
        <v>2445</v>
      </c>
      <c r="F373" s="2" t="s">
        <v>398</v>
      </c>
      <c r="G373" s="2" t="s">
        <v>2273</v>
      </c>
      <c r="H373" s="2" t="s">
        <v>2446</v>
      </c>
      <c r="I373" s="2" t="s">
        <v>2447</v>
      </c>
      <c r="J373" s="2">
        <v>335676653</v>
      </c>
      <c r="K373" s="2" t="s">
        <v>2448</v>
      </c>
      <c r="L373" s="2" t="s">
        <v>182</v>
      </c>
      <c r="M373" s="2" t="s">
        <v>223</v>
      </c>
      <c r="N373" s="2">
        <v>1974</v>
      </c>
      <c r="O373" s="2" t="s">
        <v>224</v>
      </c>
      <c r="P373" s="2" t="s">
        <v>225</v>
      </c>
      <c r="Q373" s="2" t="s">
        <v>186</v>
      </c>
      <c r="R373" s="2" t="s">
        <v>188</v>
      </c>
      <c r="S373" s="2">
        <v>25</v>
      </c>
      <c r="T373" s="2" t="s">
        <v>188</v>
      </c>
      <c r="U373" s="2" t="s">
        <v>188</v>
      </c>
      <c r="Y373" s="2">
        <v>480</v>
      </c>
      <c r="Z373" s="2">
        <v>0.54169999999999996</v>
      </c>
      <c r="AA373" s="2">
        <v>260</v>
      </c>
      <c r="AB373" s="2">
        <v>260</v>
      </c>
      <c r="AC373" s="2">
        <v>260</v>
      </c>
      <c r="AD373" s="2">
        <v>300</v>
      </c>
      <c r="AE373" s="2">
        <v>40</v>
      </c>
      <c r="AF373" s="2" t="s">
        <v>188</v>
      </c>
      <c r="AG373" s="2" t="s">
        <v>188</v>
      </c>
      <c r="AH373" s="2" t="s">
        <v>188</v>
      </c>
      <c r="AJ373" s="2" t="s">
        <v>188</v>
      </c>
      <c r="AK373" s="2" t="s">
        <v>188</v>
      </c>
      <c r="AL373" s="2" t="s">
        <v>187</v>
      </c>
      <c r="AM373" s="2" t="s">
        <v>188</v>
      </c>
      <c r="AN373" s="2" t="s">
        <v>187</v>
      </c>
      <c r="AO373" s="2" t="s">
        <v>188</v>
      </c>
      <c r="AR373" s="2">
        <v>0.9</v>
      </c>
      <c r="AS373" s="2">
        <v>1</v>
      </c>
      <c r="AT373" s="2">
        <v>3</v>
      </c>
      <c r="AU373" s="2" t="s">
        <v>189</v>
      </c>
      <c r="AV373" s="2" t="s">
        <v>189</v>
      </c>
      <c r="AW373" s="2" t="s">
        <v>188</v>
      </c>
      <c r="BC373" s="2" t="s">
        <v>192</v>
      </c>
      <c r="BD373" s="2" t="s">
        <v>188</v>
      </c>
      <c r="BE373" s="2" t="s">
        <v>188</v>
      </c>
      <c r="BL373" s="2" t="s">
        <v>240</v>
      </c>
      <c r="BO373" s="2" t="s">
        <v>188</v>
      </c>
      <c r="BQ373" s="2" t="s">
        <v>200</v>
      </c>
      <c r="BS373" s="2" t="s">
        <v>187</v>
      </c>
      <c r="BT373" s="2" t="s">
        <v>201</v>
      </c>
      <c r="BV373" s="2" t="s">
        <v>248</v>
      </c>
      <c r="BX373" s="2" t="s">
        <v>188</v>
      </c>
      <c r="BY373" s="2" t="s">
        <v>678</v>
      </c>
      <c r="BZ373" s="2" t="s">
        <v>203</v>
      </c>
      <c r="CE373" s="2">
        <v>3</v>
      </c>
      <c r="CF373" s="2">
        <v>300</v>
      </c>
      <c r="CK373" s="2">
        <v>100</v>
      </c>
      <c r="CP373" s="2">
        <v>100</v>
      </c>
      <c r="CR373" s="2" t="s">
        <v>204</v>
      </c>
      <c r="CT373" s="2" t="s">
        <v>188</v>
      </c>
      <c r="CU373" s="2" t="s">
        <v>205</v>
      </c>
      <c r="CW373" s="2" t="s">
        <v>206</v>
      </c>
      <c r="CY373" s="2" t="s">
        <v>300</v>
      </c>
      <c r="CZ373" s="2" t="s">
        <v>300</v>
      </c>
      <c r="DA373" s="2" t="s">
        <v>300</v>
      </c>
      <c r="DB373" s="2" t="s">
        <v>300</v>
      </c>
      <c r="DC373" s="2" t="s">
        <v>300</v>
      </c>
      <c r="DD373" s="2" t="s">
        <v>300</v>
      </c>
      <c r="DE373" s="2" t="s">
        <v>300</v>
      </c>
      <c r="DF373" s="2" t="s">
        <v>300</v>
      </c>
      <c r="DG373" s="2" t="s">
        <v>300</v>
      </c>
      <c r="DH373" s="2" t="s">
        <v>300</v>
      </c>
      <c r="DI373" s="2" t="s">
        <v>300</v>
      </c>
      <c r="DL373" s="2" t="s">
        <v>188</v>
      </c>
      <c r="DM373" s="2" t="s">
        <v>188</v>
      </c>
      <c r="DP373" s="2" t="s">
        <v>203</v>
      </c>
      <c r="DT373" s="2" t="s">
        <v>203</v>
      </c>
      <c r="DU373" s="2" t="s">
        <v>203</v>
      </c>
      <c r="DV373" s="2" t="s">
        <v>203</v>
      </c>
      <c r="DW373" s="2" t="s">
        <v>203</v>
      </c>
      <c r="DX373" s="2" t="s">
        <v>203</v>
      </c>
      <c r="DY373" s="2" t="s">
        <v>203</v>
      </c>
      <c r="DZ373" s="2" t="s">
        <v>203</v>
      </c>
      <c r="EA373" s="2" t="s">
        <v>203</v>
      </c>
      <c r="EB373" s="2" t="s">
        <v>203</v>
      </c>
      <c r="EC373" s="2" t="s">
        <v>203</v>
      </c>
      <c r="EF373" s="2" t="s">
        <v>302</v>
      </c>
      <c r="EG373" s="2" t="s">
        <v>2449</v>
      </c>
      <c r="EJ373" s="2" t="s">
        <v>238</v>
      </c>
      <c r="EK373" s="2" t="s">
        <v>188</v>
      </c>
      <c r="EL373" s="2" t="s">
        <v>188</v>
      </c>
      <c r="EN373" s="2" t="s">
        <v>597</v>
      </c>
      <c r="EP373" s="2" t="s">
        <v>230</v>
      </c>
      <c r="ER373" s="2" t="s">
        <v>188</v>
      </c>
      <c r="ET373" s="2" t="s">
        <v>188</v>
      </c>
      <c r="EV373" s="2" t="s">
        <v>188</v>
      </c>
      <c r="EX373" s="2" t="s">
        <v>188</v>
      </c>
      <c r="EZ373" s="2" t="s">
        <v>188</v>
      </c>
      <c r="FC373" s="2" t="s">
        <v>216</v>
      </c>
      <c r="FD373" s="2" t="s">
        <v>188</v>
      </c>
      <c r="FH373" s="2" t="s">
        <v>188</v>
      </c>
      <c r="FJ373" s="2" t="s">
        <v>188</v>
      </c>
      <c r="FK373" s="2" t="s">
        <v>203</v>
      </c>
      <c r="FR373" s="2" t="s">
        <v>461</v>
      </c>
      <c r="FT373" s="2" t="s">
        <v>233</v>
      </c>
      <c r="FU373" s="2" t="s">
        <v>233</v>
      </c>
      <c r="FV373" s="2" t="s">
        <v>219</v>
      </c>
      <c r="FW373" s="2" t="s">
        <v>219</v>
      </c>
      <c r="FX373" s="2" t="s">
        <v>219</v>
      </c>
      <c r="FY373" s="2" t="s">
        <v>2450</v>
      </c>
      <c r="FZ373" s="4">
        <v>46040.024780092594</v>
      </c>
    </row>
    <row r="374" spans="1:182">
      <c r="A374" s="2" t="s">
        <v>2451</v>
      </c>
      <c r="D374" s="6">
        <v>46035.473032407404</v>
      </c>
      <c r="E374" s="2" t="s">
        <v>2452</v>
      </c>
      <c r="F374" s="2" t="s">
        <v>590</v>
      </c>
      <c r="G374" s="2" t="s">
        <v>2273</v>
      </c>
      <c r="H374" s="2" t="s">
        <v>2298</v>
      </c>
      <c r="I374" s="2" t="s">
        <v>2453</v>
      </c>
      <c r="J374" s="2">
        <v>399457844</v>
      </c>
      <c r="K374" s="2" t="s">
        <v>2453</v>
      </c>
      <c r="L374" s="2" t="s">
        <v>182</v>
      </c>
      <c r="M374" s="2" t="s">
        <v>183</v>
      </c>
      <c r="N374" s="2">
        <v>1993</v>
      </c>
      <c r="O374" s="2" t="s">
        <v>834</v>
      </c>
      <c r="P374" s="2" t="s">
        <v>185</v>
      </c>
      <c r="Q374" s="2" t="s">
        <v>186</v>
      </c>
      <c r="R374" s="2" t="s">
        <v>188</v>
      </c>
      <c r="S374" s="2">
        <v>17</v>
      </c>
      <c r="T374" s="2" t="s">
        <v>188</v>
      </c>
      <c r="U374" s="2" t="s">
        <v>188</v>
      </c>
      <c r="Y374" s="2">
        <v>75</v>
      </c>
      <c r="Z374" s="2">
        <v>1</v>
      </c>
      <c r="AA374" s="2">
        <v>75</v>
      </c>
      <c r="AB374" s="2">
        <v>75</v>
      </c>
      <c r="AC374" s="2">
        <v>75</v>
      </c>
      <c r="AD374" s="2">
        <v>95</v>
      </c>
      <c r="AE374" s="2">
        <v>20</v>
      </c>
      <c r="AF374" s="2" t="s">
        <v>188</v>
      </c>
      <c r="AG374" s="2" t="s">
        <v>188</v>
      </c>
      <c r="AH374" s="2" t="s">
        <v>188</v>
      </c>
      <c r="AJ374" s="2" t="s">
        <v>188</v>
      </c>
      <c r="AK374" s="2" t="s">
        <v>188</v>
      </c>
      <c r="AL374" s="2" t="s">
        <v>188</v>
      </c>
      <c r="AM374" s="2" t="s">
        <v>188</v>
      </c>
      <c r="AN374" s="2" t="s">
        <v>188</v>
      </c>
      <c r="AO374" s="2" t="s">
        <v>188</v>
      </c>
      <c r="AR374" s="2">
        <v>0.55000000000000004</v>
      </c>
      <c r="AS374" s="2">
        <v>2</v>
      </c>
      <c r="AT374" s="2">
        <v>0.8</v>
      </c>
      <c r="AU374" s="2" t="s">
        <v>203</v>
      </c>
      <c r="AV374" s="2" t="s">
        <v>238</v>
      </c>
      <c r="AW374" s="2" t="s">
        <v>188</v>
      </c>
      <c r="AZ374" s="2" t="s">
        <v>190</v>
      </c>
      <c r="BB374" s="2" t="s">
        <v>260</v>
      </c>
      <c r="BC374" s="2" t="s">
        <v>192</v>
      </c>
      <c r="BD374" s="2" t="s">
        <v>188</v>
      </c>
      <c r="BE374" s="2" t="s">
        <v>188</v>
      </c>
      <c r="BL374" s="2" t="s">
        <v>240</v>
      </c>
      <c r="BO374" s="2" t="s">
        <v>188</v>
      </c>
      <c r="BQ374" s="2" t="s">
        <v>227</v>
      </c>
      <c r="BS374" s="2" t="s">
        <v>187</v>
      </c>
      <c r="BT374" s="2" t="s">
        <v>594</v>
      </c>
      <c r="BV374" s="2" t="s">
        <v>495</v>
      </c>
      <c r="BX374" s="2" t="s">
        <v>188</v>
      </c>
      <c r="BZ374" s="2" t="s">
        <v>188</v>
      </c>
      <c r="CE374" s="2">
        <v>0.8</v>
      </c>
      <c r="CF374" s="2">
        <v>95</v>
      </c>
      <c r="CK374" s="2">
        <v>100</v>
      </c>
      <c r="CO374" s="2">
        <v>100</v>
      </c>
      <c r="CR374" s="2" t="s">
        <v>204</v>
      </c>
      <c r="CT374" s="2" t="s">
        <v>188</v>
      </c>
      <c r="CU374" s="2" t="s">
        <v>205</v>
      </c>
      <c r="CW374" s="2" t="s">
        <v>206</v>
      </c>
      <c r="CY374" s="2" t="s">
        <v>273</v>
      </c>
      <c r="CZ374" s="2" t="s">
        <v>300</v>
      </c>
      <c r="DA374" s="2" t="s">
        <v>300</v>
      </c>
      <c r="DB374" s="2" t="s">
        <v>300</v>
      </c>
      <c r="DC374" s="2" t="s">
        <v>430</v>
      </c>
      <c r="DD374" s="2" t="s">
        <v>300</v>
      </c>
      <c r="DE374" s="2" t="s">
        <v>300</v>
      </c>
      <c r="DF374" s="2" t="s">
        <v>300</v>
      </c>
      <c r="DG374" s="2" t="s">
        <v>430</v>
      </c>
      <c r="DH374" s="2" t="s">
        <v>430</v>
      </c>
      <c r="DI374" s="2" t="s">
        <v>430</v>
      </c>
      <c r="DL374" s="2" t="s">
        <v>188</v>
      </c>
      <c r="DM374" s="2" t="s">
        <v>188</v>
      </c>
      <c r="DP374" s="2" t="s">
        <v>188</v>
      </c>
      <c r="DT374" s="2" t="s">
        <v>203</v>
      </c>
      <c r="DU374" s="2" t="s">
        <v>203</v>
      </c>
      <c r="DV374" s="2" t="s">
        <v>203</v>
      </c>
      <c r="DW374" s="2" t="s">
        <v>203</v>
      </c>
      <c r="DX374" s="2" t="s">
        <v>203</v>
      </c>
      <c r="DY374" s="2" t="s">
        <v>203</v>
      </c>
      <c r="DZ374" s="2" t="s">
        <v>203</v>
      </c>
      <c r="EA374" s="2" t="s">
        <v>203</v>
      </c>
      <c r="EB374" s="2" t="s">
        <v>203</v>
      </c>
      <c r="EC374" s="2" t="s">
        <v>203</v>
      </c>
      <c r="EF374" s="2" t="s">
        <v>189</v>
      </c>
      <c r="EG374" s="2" t="s">
        <v>203</v>
      </c>
      <c r="EJ374" s="2" t="s">
        <v>203</v>
      </c>
      <c r="EK374" s="2" t="s">
        <v>188</v>
      </c>
      <c r="EL374" s="2" t="s">
        <v>188</v>
      </c>
      <c r="EN374" s="2" t="s">
        <v>255</v>
      </c>
      <c r="EP374" s="2" t="s">
        <v>230</v>
      </c>
      <c r="ER374" s="2" t="s">
        <v>188</v>
      </c>
      <c r="ET374" s="2" t="s">
        <v>188</v>
      </c>
      <c r="EV374" s="2" t="s">
        <v>188</v>
      </c>
      <c r="EX374" s="2" t="s">
        <v>188</v>
      </c>
      <c r="EZ374" s="2" t="s">
        <v>188</v>
      </c>
      <c r="FC374" s="2" t="s">
        <v>263</v>
      </c>
      <c r="FD374" s="2" t="s">
        <v>188</v>
      </c>
      <c r="FH374" s="2" t="s">
        <v>188</v>
      </c>
      <c r="FJ374" s="2" t="s">
        <v>188</v>
      </c>
      <c r="FK374" s="2" t="s">
        <v>188</v>
      </c>
      <c r="FN374" s="2" t="s">
        <v>1751</v>
      </c>
      <c r="FR374" s="2" t="s">
        <v>2454</v>
      </c>
      <c r="FT374" s="2" t="s">
        <v>233</v>
      </c>
      <c r="FU374" s="2" t="s">
        <v>219</v>
      </c>
      <c r="FV374" s="2" t="s">
        <v>219</v>
      </c>
      <c r="FW374" s="2" t="s">
        <v>219</v>
      </c>
      <c r="FZ374" s="4">
        <v>46047.627303240741</v>
      </c>
    </row>
    <row r="375" spans="1:182">
      <c r="A375" s="2" t="s">
        <v>2455</v>
      </c>
      <c r="D375" s="6">
        <v>46035.476064814815</v>
      </c>
      <c r="E375" s="2" t="s">
        <v>177</v>
      </c>
      <c r="F375" s="2" t="s">
        <v>178</v>
      </c>
      <c r="G375" s="2" t="s">
        <v>2273</v>
      </c>
      <c r="H375" s="2" t="s">
        <v>2294</v>
      </c>
      <c r="I375" s="2" t="s">
        <v>2456</v>
      </c>
      <c r="J375" s="2">
        <v>945455105</v>
      </c>
      <c r="K375" s="2" t="s">
        <v>1693</v>
      </c>
      <c r="L375" s="2" t="s">
        <v>182</v>
      </c>
      <c r="M375" s="2" t="s">
        <v>183</v>
      </c>
      <c r="N375" s="2">
        <v>1961</v>
      </c>
      <c r="O375" s="2" t="s">
        <v>224</v>
      </c>
      <c r="P375" s="2" t="s">
        <v>2457</v>
      </c>
      <c r="Q375" s="2" t="s">
        <v>270</v>
      </c>
      <c r="R375" s="2" t="s">
        <v>188</v>
      </c>
      <c r="S375" s="2">
        <v>21</v>
      </c>
      <c r="T375" s="2" t="s">
        <v>188</v>
      </c>
      <c r="U375" s="2" t="s">
        <v>188</v>
      </c>
      <c r="Y375" s="2">
        <v>336</v>
      </c>
      <c r="Z375" s="2">
        <v>0.98209999999999997</v>
      </c>
      <c r="AA375" s="2">
        <v>330</v>
      </c>
      <c r="AB375" s="2">
        <v>330</v>
      </c>
      <c r="AC375" s="2">
        <v>330</v>
      </c>
      <c r="AD375" s="2">
        <v>380</v>
      </c>
      <c r="AE375" s="2">
        <v>50</v>
      </c>
      <c r="AF375" s="2" t="s">
        <v>188</v>
      </c>
      <c r="AG375" s="2" t="s">
        <v>188</v>
      </c>
      <c r="AH375" s="2" t="s">
        <v>188</v>
      </c>
      <c r="AJ375" s="2" t="s">
        <v>188</v>
      </c>
      <c r="AK375" s="2" t="s">
        <v>188</v>
      </c>
      <c r="AL375" s="2" t="s">
        <v>188</v>
      </c>
      <c r="AM375" s="2" t="s">
        <v>187</v>
      </c>
      <c r="AN375" s="2" t="s">
        <v>188</v>
      </c>
      <c r="AO375" s="2" t="s">
        <v>188</v>
      </c>
      <c r="AR375" s="2">
        <v>0.7</v>
      </c>
      <c r="AS375" s="2">
        <v>1</v>
      </c>
      <c r="AT375" s="2">
        <v>3.8</v>
      </c>
      <c r="AU375" s="2" t="s">
        <v>189</v>
      </c>
      <c r="AV375" s="2" t="s">
        <v>189</v>
      </c>
      <c r="AW375" s="2" t="s">
        <v>188</v>
      </c>
      <c r="BC375" s="2" t="s">
        <v>192</v>
      </c>
      <c r="BD375" s="2" t="s">
        <v>188</v>
      </c>
      <c r="BE375" s="2" t="s">
        <v>188</v>
      </c>
      <c r="BL375" s="2" t="s">
        <v>240</v>
      </c>
      <c r="BO375" s="2" t="s">
        <v>188</v>
      </c>
      <c r="BQ375" s="2" t="s">
        <v>200</v>
      </c>
      <c r="BS375" s="2" t="s">
        <v>187</v>
      </c>
      <c r="BT375" s="2" t="s">
        <v>261</v>
      </c>
      <c r="BV375" s="2" t="s">
        <v>248</v>
      </c>
      <c r="BX375" s="2" t="s">
        <v>188</v>
      </c>
      <c r="BZ375" s="2" t="s">
        <v>203</v>
      </c>
      <c r="CE375" s="2">
        <v>3.8</v>
      </c>
      <c r="CF375" s="2">
        <v>380</v>
      </c>
      <c r="CK375" s="2">
        <v>100</v>
      </c>
      <c r="CO375" s="2">
        <v>100</v>
      </c>
      <c r="CR375" s="2" t="s">
        <v>204</v>
      </c>
      <c r="CT375" s="2" t="s">
        <v>188</v>
      </c>
      <c r="CU375" s="2" t="s">
        <v>205</v>
      </c>
      <c r="CY375" s="2" t="s">
        <v>208</v>
      </c>
      <c r="CZ375" s="2" t="s">
        <v>208</v>
      </c>
      <c r="DA375" s="2" t="s">
        <v>208</v>
      </c>
      <c r="DB375" s="2" t="s">
        <v>208</v>
      </c>
      <c r="DC375" s="2" t="s">
        <v>208</v>
      </c>
      <c r="DD375" s="2" t="s">
        <v>208</v>
      </c>
      <c r="DE375" s="2" t="s">
        <v>208</v>
      </c>
      <c r="DF375" s="2" t="s">
        <v>208</v>
      </c>
      <c r="DG375" s="2" t="s">
        <v>208</v>
      </c>
      <c r="DH375" s="2" t="s">
        <v>208</v>
      </c>
      <c r="DI375" s="2" t="s">
        <v>208</v>
      </c>
      <c r="DL375" s="2" t="s">
        <v>187</v>
      </c>
      <c r="DM375" s="2" t="s">
        <v>188</v>
      </c>
      <c r="DP375" s="2" t="s">
        <v>188</v>
      </c>
      <c r="DT375" s="2" t="s">
        <v>209</v>
      </c>
      <c r="DU375" s="2" t="s">
        <v>209</v>
      </c>
      <c r="DV375" s="2" t="s">
        <v>209</v>
      </c>
      <c r="DW375" s="2" t="s">
        <v>209</v>
      </c>
      <c r="DX375" s="2" t="s">
        <v>209</v>
      </c>
      <c r="DY375" s="2" t="s">
        <v>209</v>
      </c>
      <c r="DZ375" s="2" t="s">
        <v>209</v>
      </c>
      <c r="EA375" s="2" t="s">
        <v>209</v>
      </c>
      <c r="EB375" s="2" t="s">
        <v>209</v>
      </c>
      <c r="EJ375" s="2" t="s">
        <v>189</v>
      </c>
      <c r="EK375" s="2" t="s">
        <v>188</v>
      </c>
      <c r="EL375" s="2" t="s">
        <v>188</v>
      </c>
      <c r="EN375" s="2" t="s">
        <v>597</v>
      </c>
      <c r="EP375" s="2" t="s">
        <v>230</v>
      </c>
      <c r="ER375" s="2" t="s">
        <v>188</v>
      </c>
      <c r="ET375" s="2" t="s">
        <v>188</v>
      </c>
      <c r="EV375" s="2" t="s">
        <v>188</v>
      </c>
      <c r="EX375" s="2" t="s">
        <v>188</v>
      </c>
      <c r="EZ375" s="2" t="s">
        <v>188</v>
      </c>
      <c r="FC375" s="2" t="s">
        <v>216</v>
      </c>
      <c r="FD375" s="2" t="s">
        <v>188</v>
      </c>
      <c r="FH375" s="2" t="s">
        <v>188</v>
      </c>
      <c r="FJ375" s="2" t="s">
        <v>187</v>
      </c>
      <c r="FK375" s="2" t="s">
        <v>188</v>
      </c>
      <c r="FT375" s="2" t="s">
        <v>233</v>
      </c>
      <c r="FU375" s="2" t="s">
        <v>233</v>
      </c>
      <c r="FV375" s="2" t="s">
        <v>233</v>
      </c>
      <c r="FW375" s="2" t="s">
        <v>233</v>
      </c>
      <c r="FZ375" s="4">
        <v>46041.710833333331</v>
      </c>
    </row>
    <row r="376" spans="1:182">
      <c r="A376" s="2" t="s">
        <v>2458</v>
      </c>
      <c r="D376" s="6">
        <v>46035.469131944446</v>
      </c>
      <c r="E376" s="2" t="s">
        <v>177</v>
      </c>
      <c r="F376" s="2" t="s">
        <v>293</v>
      </c>
      <c r="G376" s="2" t="s">
        <v>2273</v>
      </c>
      <c r="H376" s="2" t="s">
        <v>2314</v>
      </c>
      <c r="I376" s="2" t="s">
        <v>2459</v>
      </c>
      <c r="J376" s="2">
        <v>374840972</v>
      </c>
      <c r="K376" s="2" t="s">
        <v>2459</v>
      </c>
      <c r="L376" s="2" t="s">
        <v>182</v>
      </c>
      <c r="M376" s="2" t="s">
        <v>183</v>
      </c>
      <c r="N376" s="2">
        <v>1971</v>
      </c>
      <c r="O376" s="2" t="s">
        <v>224</v>
      </c>
      <c r="P376" s="2" t="s">
        <v>185</v>
      </c>
      <c r="Q376" s="2" t="s">
        <v>270</v>
      </c>
      <c r="R376" s="2" t="s">
        <v>188</v>
      </c>
      <c r="S376" s="2">
        <v>2002</v>
      </c>
      <c r="T376" s="2" t="s">
        <v>188</v>
      </c>
      <c r="U376" s="2" t="s">
        <v>188</v>
      </c>
      <c r="Y376" s="2">
        <v>1500</v>
      </c>
      <c r="Z376" s="2">
        <v>1</v>
      </c>
      <c r="AA376" s="2">
        <v>1500</v>
      </c>
      <c r="AB376" s="2">
        <v>1500</v>
      </c>
      <c r="AC376" s="2">
        <v>880</v>
      </c>
      <c r="AD376" s="2">
        <v>1000</v>
      </c>
      <c r="AE376" s="2">
        <v>120</v>
      </c>
      <c r="AF376" s="2" t="s">
        <v>188</v>
      </c>
      <c r="AG376" s="2" t="s">
        <v>187</v>
      </c>
      <c r="AH376" s="2" t="s">
        <v>187</v>
      </c>
      <c r="AI376" s="2" t="s">
        <v>2460</v>
      </c>
      <c r="AJ376" s="2" t="s">
        <v>188</v>
      </c>
      <c r="AK376" s="2" t="s">
        <v>187</v>
      </c>
      <c r="AL376" s="2" t="s">
        <v>188</v>
      </c>
      <c r="AM376" s="2" t="s">
        <v>187</v>
      </c>
      <c r="AN376" s="2" t="s">
        <v>188</v>
      </c>
      <c r="AO376" s="2" t="s">
        <v>188</v>
      </c>
      <c r="AR376" s="2">
        <v>2</v>
      </c>
      <c r="AS376" s="2">
        <v>1</v>
      </c>
      <c r="AT376" s="2">
        <v>10</v>
      </c>
      <c r="AU376" s="2" t="s">
        <v>238</v>
      </c>
      <c r="AV376" s="2" t="s">
        <v>238</v>
      </c>
      <c r="AW376" s="2" t="s">
        <v>188</v>
      </c>
      <c r="AZ376" s="2" t="s">
        <v>476</v>
      </c>
      <c r="BB376" s="2" t="s">
        <v>260</v>
      </c>
      <c r="BC376" s="2" t="s">
        <v>253</v>
      </c>
      <c r="BD376" s="2" t="s">
        <v>188</v>
      </c>
      <c r="BE376" s="2" t="s">
        <v>188</v>
      </c>
      <c r="BL376" s="2" t="s">
        <v>197</v>
      </c>
      <c r="BM376" s="2" t="s">
        <v>198</v>
      </c>
      <c r="BN376" s="2" t="s">
        <v>199</v>
      </c>
      <c r="BO376" s="2" t="s">
        <v>188</v>
      </c>
      <c r="BQ376" s="2" t="s">
        <v>227</v>
      </c>
      <c r="BS376" s="2" t="s">
        <v>187</v>
      </c>
      <c r="BT376" s="2" t="s">
        <v>261</v>
      </c>
      <c r="BV376" s="2" t="s">
        <v>389</v>
      </c>
      <c r="BX376" s="2" t="s">
        <v>187</v>
      </c>
      <c r="BY376" s="2" t="s">
        <v>310</v>
      </c>
      <c r="BZ376" s="2" t="s">
        <v>188</v>
      </c>
      <c r="CE376" s="2">
        <v>10</v>
      </c>
      <c r="CF376" s="2">
        <v>980</v>
      </c>
      <c r="CK376" s="2">
        <v>100</v>
      </c>
      <c r="CO376" s="2">
        <v>100</v>
      </c>
      <c r="CR376" s="2" t="s">
        <v>204</v>
      </c>
      <c r="CT376" s="2" t="s">
        <v>188</v>
      </c>
      <c r="CU376" s="2" t="s">
        <v>205</v>
      </c>
      <c r="CW376" s="2" t="s">
        <v>206</v>
      </c>
      <c r="CY376" s="2" t="s">
        <v>273</v>
      </c>
      <c r="CZ376" s="2" t="s">
        <v>273</v>
      </c>
      <c r="DA376" s="2" t="s">
        <v>299</v>
      </c>
      <c r="DB376" s="2" t="s">
        <v>299</v>
      </c>
      <c r="DC376" s="2" t="s">
        <v>299</v>
      </c>
      <c r="DD376" s="2" t="s">
        <v>299</v>
      </c>
      <c r="DE376" s="2" t="s">
        <v>299</v>
      </c>
      <c r="DF376" s="2" t="s">
        <v>207</v>
      </c>
      <c r="DG376" s="2" t="s">
        <v>300</v>
      </c>
      <c r="DH376" s="2" t="s">
        <v>300</v>
      </c>
      <c r="DI376" s="2" t="s">
        <v>208</v>
      </c>
      <c r="DL376" s="2" t="s">
        <v>187</v>
      </c>
      <c r="DM376" s="2" t="s">
        <v>187</v>
      </c>
      <c r="DN376" s="2" t="s">
        <v>187</v>
      </c>
      <c r="DO376" s="2" t="s">
        <v>187</v>
      </c>
      <c r="DP376" s="2" t="s">
        <v>209</v>
      </c>
      <c r="DQ376" s="2" t="s">
        <v>210</v>
      </c>
      <c r="DT376" s="2" t="s">
        <v>209</v>
      </c>
      <c r="DU376" s="2" t="s">
        <v>209</v>
      </c>
      <c r="DV376" s="2" t="s">
        <v>209</v>
      </c>
      <c r="DW376" s="2" t="s">
        <v>209</v>
      </c>
      <c r="DX376" s="2" t="s">
        <v>209</v>
      </c>
      <c r="DY376" s="2" t="s">
        <v>209</v>
      </c>
      <c r="DZ376" s="2" t="s">
        <v>209</v>
      </c>
      <c r="EA376" s="2" t="s">
        <v>209</v>
      </c>
      <c r="EB376" s="2" t="s">
        <v>209</v>
      </c>
      <c r="EC376" s="2" t="s">
        <v>203</v>
      </c>
      <c r="EF376" s="2" t="s">
        <v>211</v>
      </c>
      <c r="EJ376" s="2" t="s">
        <v>238</v>
      </c>
      <c r="EK376" s="2" t="s">
        <v>188</v>
      </c>
      <c r="EL376" s="2" t="s">
        <v>188</v>
      </c>
      <c r="EN376" s="2" t="s">
        <v>214</v>
      </c>
      <c r="EP376" s="2" t="s">
        <v>230</v>
      </c>
      <c r="ER376" s="2" t="s">
        <v>187</v>
      </c>
      <c r="ET376" s="2" t="s">
        <v>188</v>
      </c>
      <c r="EV376" s="2" t="s">
        <v>188</v>
      </c>
      <c r="EX376" s="2" t="s">
        <v>188</v>
      </c>
      <c r="FC376" s="2" t="s">
        <v>216</v>
      </c>
      <c r="FD376" s="2" t="s">
        <v>188</v>
      </c>
      <c r="FH376" s="2" t="s">
        <v>188</v>
      </c>
      <c r="FJ376" s="2" t="s">
        <v>188</v>
      </c>
      <c r="FK376" s="2" t="s">
        <v>188</v>
      </c>
      <c r="FN376" s="2" t="s">
        <v>354</v>
      </c>
      <c r="FT376" s="2" t="s">
        <v>219</v>
      </c>
      <c r="FU376" s="2" t="s">
        <v>233</v>
      </c>
      <c r="FV376" s="2" t="s">
        <v>233</v>
      </c>
      <c r="FW376" s="2" t="s">
        <v>233</v>
      </c>
      <c r="FZ376" s="4">
        <v>46039.965891203705</v>
      </c>
    </row>
    <row r="377" spans="1:182">
      <c r="A377" s="2" t="s">
        <v>2461</v>
      </c>
      <c r="D377" s="6">
        <v>46035.473749999997</v>
      </c>
      <c r="E377" s="2" t="s">
        <v>2462</v>
      </c>
      <c r="F377" s="2" t="s">
        <v>590</v>
      </c>
      <c r="G377" s="2" t="s">
        <v>2273</v>
      </c>
      <c r="H377" s="2" t="s">
        <v>2463</v>
      </c>
      <c r="I377" s="2" t="s">
        <v>2464</v>
      </c>
      <c r="J377" s="2">
        <v>931623179</v>
      </c>
      <c r="K377" s="2" t="s">
        <v>2464</v>
      </c>
      <c r="L377" s="2" t="s">
        <v>182</v>
      </c>
      <c r="M377" s="2" t="s">
        <v>183</v>
      </c>
      <c r="N377" s="2">
        <v>1998</v>
      </c>
      <c r="O377" s="2" t="s">
        <v>224</v>
      </c>
      <c r="P377" s="2" t="s">
        <v>185</v>
      </c>
      <c r="Q377" s="2" t="s">
        <v>685</v>
      </c>
      <c r="R377" s="2" t="s">
        <v>188</v>
      </c>
      <c r="S377" s="2">
        <v>10</v>
      </c>
      <c r="T377" s="2" t="s">
        <v>188</v>
      </c>
      <c r="U377" s="2" t="s">
        <v>188</v>
      </c>
      <c r="Y377" s="2">
        <v>190</v>
      </c>
      <c r="Z377" s="2">
        <v>1</v>
      </c>
      <c r="AA377" s="2">
        <v>190</v>
      </c>
      <c r="AB377" s="2">
        <v>190</v>
      </c>
      <c r="AC377" s="2">
        <v>190</v>
      </c>
      <c r="AD377" s="2">
        <v>240</v>
      </c>
      <c r="AE377" s="2">
        <v>50</v>
      </c>
      <c r="AF377" s="2" t="s">
        <v>188</v>
      </c>
      <c r="AG377" s="2" t="s">
        <v>188</v>
      </c>
      <c r="AH377" s="2" t="s">
        <v>188</v>
      </c>
      <c r="AJ377" s="2" t="s">
        <v>188</v>
      </c>
      <c r="AK377" s="2" t="s">
        <v>188</v>
      </c>
      <c r="AL377" s="2" t="s">
        <v>188</v>
      </c>
      <c r="AM377" s="2" t="s">
        <v>188</v>
      </c>
      <c r="AN377" s="2" t="s">
        <v>188</v>
      </c>
      <c r="AO377" s="2" t="s">
        <v>188</v>
      </c>
      <c r="AR377" s="2">
        <v>0.6</v>
      </c>
      <c r="AS377" s="2">
        <v>1</v>
      </c>
      <c r="AT377" s="2">
        <v>2</v>
      </c>
      <c r="AU377" s="2" t="s">
        <v>238</v>
      </c>
      <c r="AV377" s="2" t="s">
        <v>189</v>
      </c>
      <c r="AW377" s="2" t="s">
        <v>188</v>
      </c>
      <c r="AZ377" s="2" t="s">
        <v>190</v>
      </c>
      <c r="BB377" s="2" t="s">
        <v>260</v>
      </c>
      <c r="BC377" s="2" t="s">
        <v>296</v>
      </c>
      <c r="BD377" s="2" t="s">
        <v>188</v>
      </c>
      <c r="BE377" s="2" t="s">
        <v>187</v>
      </c>
      <c r="BF377" s="2" t="s">
        <v>193</v>
      </c>
      <c r="BG377" s="2" t="s">
        <v>721</v>
      </c>
      <c r="BH377" s="2" t="s">
        <v>297</v>
      </c>
      <c r="BI377" s="2" t="s">
        <v>196</v>
      </c>
      <c r="BL377" s="2" t="s">
        <v>197</v>
      </c>
      <c r="BM377" s="2" t="s">
        <v>507</v>
      </c>
      <c r="BN377" s="2" t="s">
        <v>199</v>
      </c>
      <c r="BO377" s="2" t="s">
        <v>188</v>
      </c>
      <c r="BQ377" s="2" t="s">
        <v>227</v>
      </c>
      <c r="BS377" s="2" t="s">
        <v>187</v>
      </c>
      <c r="BT377" s="2" t="s">
        <v>594</v>
      </c>
      <c r="BV377" s="2" t="s">
        <v>242</v>
      </c>
      <c r="BX377" s="2" t="s">
        <v>187</v>
      </c>
      <c r="BY377" s="2" t="s">
        <v>2465</v>
      </c>
      <c r="BZ377" s="2" t="s">
        <v>188</v>
      </c>
      <c r="CE377" s="2">
        <v>2</v>
      </c>
      <c r="CF377" s="2">
        <v>240</v>
      </c>
      <c r="CK377" s="2">
        <v>100</v>
      </c>
      <c r="CO377" s="2">
        <v>100</v>
      </c>
      <c r="CR377" s="2" t="s">
        <v>204</v>
      </c>
      <c r="CT377" s="2" t="s">
        <v>188</v>
      </c>
      <c r="CU377" s="2" t="s">
        <v>205</v>
      </c>
      <c r="CW377" s="2" t="s">
        <v>206</v>
      </c>
      <c r="CY377" s="2" t="s">
        <v>273</v>
      </c>
      <c r="CZ377" s="2" t="s">
        <v>300</v>
      </c>
      <c r="DA377" s="2" t="s">
        <v>300</v>
      </c>
      <c r="DB377" s="2" t="s">
        <v>300</v>
      </c>
      <c r="DC377" s="2" t="s">
        <v>300</v>
      </c>
      <c r="DD377" s="2" t="s">
        <v>300</v>
      </c>
      <c r="DE377" s="2" t="s">
        <v>300</v>
      </c>
      <c r="DF377" s="2" t="s">
        <v>300</v>
      </c>
      <c r="DG377" s="2" t="s">
        <v>300</v>
      </c>
      <c r="DH377" s="2" t="s">
        <v>300</v>
      </c>
      <c r="DI377" s="2" t="s">
        <v>300</v>
      </c>
      <c r="DL377" s="2" t="s">
        <v>188</v>
      </c>
      <c r="DM377" s="2" t="s">
        <v>188</v>
      </c>
      <c r="DP377" s="2" t="s">
        <v>203</v>
      </c>
      <c r="DT377" s="2" t="s">
        <v>203</v>
      </c>
      <c r="DU377" s="2" t="s">
        <v>203</v>
      </c>
      <c r="DV377" s="2" t="s">
        <v>203</v>
      </c>
      <c r="DW377" s="2" t="s">
        <v>203</v>
      </c>
      <c r="DX377" s="2" t="s">
        <v>203</v>
      </c>
      <c r="DY377" s="2" t="s">
        <v>203</v>
      </c>
      <c r="DZ377" s="2" t="s">
        <v>203</v>
      </c>
      <c r="EA377" s="2" t="s">
        <v>203</v>
      </c>
      <c r="EB377" s="2" t="s">
        <v>203</v>
      </c>
      <c r="EC377" s="2" t="s">
        <v>203</v>
      </c>
      <c r="EF377" s="2" t="s">
        <v>189</v>
      </c>
      <c r="EG377" s="2" t="s">
        <v>203</v>
      </c>
      <c r="EJ377" s="2" t="s">
        <v>203</v>
      </c>
      <c r="EK377" s="2" t="s">
        <v>188</v>
      </c>
      <c r="EL377" s="2" t="s">
        <v>188</v>
      </c>
      <c r="EN377" s="2" t="s">
        <v>255</v>
      </c>
      <c r="EP377" s="2" t="s">
        <v>230</v>
      </c>
      <c r="ER377" s="2" t="s">
        <v>188</v>
      </c>
      <c r="ET377" s="2" t="s">
        <v>188</v>
      </c>
      <c r="EV377" s="2" t="s">
        <v>188</v>
      </c>
      <c r="EX377" s="2" t="s">
        <v>188</v>
      </c>
      <c r="EZ377" s="2" t="s">
        <v>188</v>
      </c>
      <c r="FC377" s="2" t="s">
        <v>216</v>
      </c>
      <c r="FD377" s="2" t="s">
        <v>188</v>
      </c>
      <c r="FH377" s="2" t="s">
        <v>188</v>
      </c>
      <c r="FJ377" s="2" t="s">
        <v>188</v>
      </c>
      <c r="FK377" s="2" t="s">
        <v>188</v>
      </c>
      <c r="FN377" s="2" t="s">
        <v>2040</v>
      </c>
      <c r="FR377" s="2" t="s">
        <v>433</v>
      </c>
      <c r="FT377" s="2" t="s">
        <v>233</v>
      </c>
      <c r="FU377" s="2" t="s">
        <v>233</v>
      </c>
      <c r="FV377" s="2" t="s">
        <v>233</v>
      </c>
      <c r="FW377" s="2" t="s">
        <v>233</v>
      </c>
      <c r="FZ377" s="4">
        <v>46047.627939814818</v>
      </c>
    </row>
    <row r="378" spans="1:182">
      <c r="A378" s="2" t="s">
        <v>2466</v>
      </c>
      <c r="D378" s="6">
        <v>46035.573009259257</v>
      </c>
      <c r="E378" s="2" t="s">
        <v>177</v>
      </c>
      <c r="F378" s="2" t="s">
        <v>293</v>
      </c>
      <c r="G378" s="2" t="s">
        <v>2273</v>
      </c>
      <c r="H378" s="2" t="s">
        <v>2314</v>
      </c>
      <c r="I378" s="2" t="s">
        <v>2467</v>
      </c>
      <c r="J378" s="2">
        <v>396816067</v>
      </c>
      <c r="K378" s="2" t="s">
        <v>2468</v>
      </c>
      <c r="L378" s="2" t="s">
        <v>182</v>
      </c>
      <c r="M378" s="2" t="s">
        <v>183</v>
      </c>
      <c r="N378" s="2">
        <v>1980</v>
      </c>
      <c r="O378" s="2" t="s">
        <v>224</v>
      </c>
      <c r="P378" s="2" t="s">
        <v>185</v>
      </c>
      <c r="Q378" s="2" t="s">
        <v>226</v>
      </c>
      <c r="R378" s="2" t="s">
        <v>188</v>
      </c>
      <c r="S378" s="2">
        <v>2012</v>
      </c>
      <c r="T378" s="2" t="s">
        <v>188</v>
      </c>
      <c r="U378" s="2" t="s">
        <v>188</v>
      </c>
      <c r="Y378" s="2">
        <v>720</v>
      </c>
      <c r="Z378" s="2">
        <v>0.83330000000000004</v>
      </c>
      <c r="AA378" s="2">
        <v>600</v>
      </c>
      <c r="AB378" s="2">
        <v>600</v>
      </c>
      <c r="AC378" s="2">
        <v>420</v>
      </c>
      <c r="AD378" s="2">
        <v>500</v>
      </c>
      <c r="AE378" s="2">
        <v>80</v>
      </c>
      <c r="AF378" s="2" t="s">
        <v>188</v>
      </c>
      <c r="AG378" s="2" t="s">
        <v>187</v>
      </c>
      <c r="AH378" s="2" t="s">
        <v>187</v>
      </c>
      <c r="AI378" s="2" t="s">
        <v>2469</v>
      </c>
      <c r="AJ378" s="2" t="s">
        <v>188</v>
      </c>
      <c r="AK378" s="2" t="s">
        <v>188</v>
      </c>
      <c r="AL378" s="2" t="s">
        <v>187</v>
      </c>
      <c r="AM378" s="2" t="s">
        <v>188</v>
      </c>
      <c r="AN378" s="2" t="s">
        <v>188</v>
      </c>
      <c r="AO378" s="2" t="s">
        <v>188</v>
      </c>
      <c r="AR378" s="2">
        <v>1.5</v>
      </c>
      <c r="AS378" s="2">
        <v>2</v>
      </c>
      <c r="AT378" s="2">
        <v>5</v>
      </c>
      <c r="AU378" s="2" t="s">
        <v>189</v>
      </c>
      <c r="AV378" s="2" t="s">
        <v>189</v>
      </c>
      <c r="AW378" s="2" t="s">
        <v>188</v>
      </c>
      <c r="AZ378" s="2" t="s">
        <v>190</v>
      </c>
      <c r="BB378" s="2" t="s">
        <v>260</v>
      </c>
      <c r="BC378" s="2" t="s">
        <v>296</v>
      </c>
      <c r="BD378" s="2" t="s">
        <v>187</v>
      </c>
      <c r="BE378" s="2" t="s">
        <v>187</v>
      </c>
      <c r="BF378" s="2" t="s">
        <v>193</v>
      </c>
      <c r="BG378" s="2" t="s">
        <v>194</v>
      </c>
      <c r="BH378" s="2" t="s">
        <v>195</v>
      </c>
      <c r="BI378" s="2" t="s">
        <v>196</v>
      </c>
      <c r="BL378" s="2" t="s">
        <v>197</v>
      </c>
      <c r="BM378" s="2" t="s">
        <v>198</v>
      </c>
      <c r="BN378" s="2" t="s">
        <v>199</v>
      </c>
      <c r="BO378" s="2" t="s">
        <v>188</v>
      </c>
      <c r="BS378" s="2" t="s">
        <v>187</v>
      </c>
      <c r="BT378" s="2" t="s">
        <v>261</v>
      </c>
      <c r="BV378" s="2" t="s">
        <v>389</v>
      </c>
      <c r="BX378" s="2" t="s">
        <v>187</v>
      </c>
      <c r="BY378" s="2" t="s">
        <v>326</v>
      </c>
      <c r="BZ378" s="2" t="s">
        <v>188</v>
      </c>
      <c r="CE378" s="2">
        <v>5</v>
      </c>
      <c r="CF378" s="2">
        <v>500</v>
      </c>
      <c r="CK378" s="2">
        <v>100</v>
      </c>
      <c r="CO378" s="2">
        <v>100</v>
      </c>
      <c r="CR378" s="2" t="s">
        <v>204</v>
      </c>
      <c r="CT378" s="2" t="s">
        <v>188</v>
      </c>
      <c r="CU378" s="2" t="s">
        <v>205</v>
      </c>
      <c r="CW378" s="2" t="s">
        <v>206</v>
      </c>
      <c r="CY378" s="2" t="s">
        <v>273</v>
      </c>
      <c r="CZ378" s="2" t="s">
        <v>299</v>
      </c>
      <c r="DA378" s="2" t="s">
        <v>299</v>
      </c>
      <c r="DB378" s="2" t="s">
        <v>299</v>
      </c>
      <c r="DC378" s="2" t="s">
        <v>299</v>
      </c>
      <c r="DD378" s="2" t="s">
        <v>299</v>
      </c>
      <c r="DE378" s="2" t="s">
        <v>299</v>
      </c>
      <c r="DF378" s="2" t="s">
        <v>207</v>
      </c>
      <c r="DG378" s="2" t="s">
        <v>299</v>
      </c>
      <c r="DL378" s="2" t="s">
        <v>187</v>
      </c>
      <c r="DM378" s="2" t="s">
        <v>187</v>
      </c>
      <c r="DN378" s="2" t="s">
        <v>187</v>
      </c>
      <c r="DO378" s="2" t="s">
        <v>187</v>
      </c>
      <c r="DP378" s="2" t="s">
        <v>188</v>
      </c>
      <c r="DT378" s="2" t="s">
        <v>188</v>
      </c>
      <c r="DU378" s="2" t="s">
        <v>209</v>
      </c>
      <c r="DV378" s="2" t="s">
        <v>209</v>
      </c>
      <c r="DW378" s="2" t="s">
        <v>209</v>
      </c>
      <c r="DX378" s="2" t="s">
        <v>209</v>
      </c>
      <c r="DY378" s="2" t="s">
        <v>188</v>
      </c>
      <c r="DZ378" s="2" t="s">
        <v>209</v>
      </c>
      <c r="EA378" s="2" t="s">
        <v>209</v>
      </c>
      <c r="EB378" s="2" t="s">
        <v>209</v>
      </c>
      <c r="EC378" s="2" t="s">
        <v>203</v>
      </c>
      <c r="EF378" s="2" t="s">
        <v>211</v>
      </c>
      <c r="EJ378" s="2" t="s">
        <v>189</v>
      </c>
      <c r="EK378" s="2" t="s">
        <v>187</v>
      </c>
      <c r="EL378" s="2" t="s">
        <v>187</v>
      </c>
      <c r="EM378" s="2" t="s">
        <v>382</v>
      </c>
      <c r="EN378" s="2" t="s">
        <v>597</v>
      </c>
      <c r="EP378" s="2" t="s">
        <v>230</v>
      </c>
      <c r="ER378" s="2" t="s">
        <v>187</v>
      </c>
      <c r="ET378" s="2" t="s">
        <v>188</v>
      </c>
      <c r="EV378" s="2" t="s">
        <v>188</v>
      </c>
      <c r="FC378" s="2" t="s">
        <v>216</v>
      </c>
      <c r="FD378" s="2" t="s">
        <v>188</v>
      </c>
      <c r="FH378" s="2" t="s">
        <v>188</v>
      </c>
      <c r="FJ378" s="2" t="s">
        <v>187</v>
      </c>
      <c r="FK378" s="2" t="s">
        <v>209</v>
      </c>
      <c r="FL378" s="2" t="s">
        <v>319</v>
      </c>
      <c r="FN378" s="2" t="s">
        <v>282</v>
      </c>
      <c r="FT378" s="2" t="s">
        <v>219</v>
      </c>
      <c r="FU378" s="2" t="s">
        <v>233</v>
      </c>
      <c r="FV378" s="2" t="s">
        <v>233</v>
      </c>
      <c r="FW378" s="2" t="s">
        <v>233</v>
      </c>
      <c r="FZ378" s="4">
        <v>46039.972384259258</v>
      </c>
    </row>
    <row r="379" spans="1:182">
      <c r="A379" s="2" t="s">
        <v>2470</v>
      </c>
      <c r="D379" s="6">
        <v>46035.58421296296</v>
      </c>
      <c r="E379" s="2" t="s">
        <v>2471</v>
      </c>
      <c r="F379" s="2" t="s">
        <v>425</v>
      </c>
      <c r="G379" s="2" t="s">
        <v>2273</v>
      </c>
      <c r="H379" s="2" t="s">
        <v>2371</v>
      </c>
      <c r="I379" s="2" t="s">
        <v>2472</v>
      </c>
      <c r="J379" s="2">
        <v>359446424</v>
      </c>
      <c r="K379" s="2" t="s">
        <v>2473</v>
      </c>
      <c r="L379" s="2" t="s">
        <v>182</v>
      </c>
      <c r="M379" s="2" t="s">
        <v>183</v>
      </c>
      <c r="N379" s="2">
        <v>1971</v>
      </c>
      <c r="O379" s="2" t="s">
        <v>224</v>
      </c>
      <c r="P379" s="2" t="s">
        <v>185</v>
      </c>
      <c r="Q379" s="2" t="s">
        <v>186</v>
      </c>
      <c r="R379" s="2" t="s">
        <v>188</v>
      </c>
      <c r="S379" s="2">
        <v>26</v>
      </c>
      <c r="T379" s="2" t="s">
        <v>188</v>
      </c>
      <c r="U379" s="2" t="s">
        <v>187</v>
      </c>
      <c r="Y379" s="2">
        <v>520</v>
      </c>
      <c r="Z379" s="2">
        <v>1</v>
      </c>
      <c r="AA379" s="2">
        <v>520</v>
      </c>
      <c r="AB379" s="2">
        <v>520</v>
      </c>
      <c r="AC379" s="2">
        <v>320</v>
      </c>
      <c r="AD379" s="2">
        <v>500</v>
      </c>
      <c r="AE379" s="2">
        <v>180</v>
      </c>
      <c r="AF379" s="2" t="s">
        <v>188</v>
      </c>
      <c r="AG379" s="2" t="s">
        <v>187</v>
      </c>
      <c r="AH379" s="2" t="s">
        <v>188</v>
      </c>
      <c r="AJ379" s="2" t="s">
        <v>188</v>
      </c>
      <c r="AK379" s="2" t="s">
        <v>188</v>
      </c>
      <c r="AL379" s="2" t="s">
        <v>188</v>
      </c>
      <c r="AM379" s="2" t="s">
        <v>188</v>
      </c>
      <c r="AN379" s="2" t="s">
        <v>188</v>
      </c>
      <c r="AO379" s="2" t="s">
        <v>188</v>
      </c>
      <c r="AR379" s="2">
        <v>3</v>
      </c>
      <c r="AS379" s="2">
        <v>3</v>
      </c>
      <c r="AT379" s="2">
        <v>5</v>
      </c>
      <c r="AU379" s="2" t="s">
        <v>189</v>
      </c>
      <c r="AV379" s="2" t="s">
        <v>238</v>
      </c>
      <c r="AW379" s="2" t="s">
        <v>188</v>
      </c>
      <c r="AZ379" s="2" t="s">
        <v>357</v>
      </c>
      <c r="BC379" s="2" t="s">
        <v>192</v>
      </c>
      <c r="BD379" s="2" t="s">
        <v>188</v>
      </c>
      <c r="BE379" s="2" t="s">
        <v>188</v>
      </c>
      <c r="BL379" s="2" t="s">
        <v>197</v>
      </c>
      <c r="BM379" s="2" t="s">
        <v>198</v>
      </c>
      <c r="BN379" s="2" t="s">
        <v>199</v>
      </c>
      <c r="BO379" s="2" t="s">
        <v>188</v>
      </c>
      <c r="BQ379" s="2" t="s">
        <v>227</v>
      </c>
      <c r="BS379" s="2" t="s">
        <v>187</v>
      </c>
      <c r="BT379" s="2" t="s">
        <v>69</v>
      </c>
      <c r="BU379" s="2" t="s">
        <v>2474</v>
      </c>
      <c r="BV379" s="2" t="s">
        <v>401</v>
      </c>
      <c r="BX379" s="2" t="s">
        <v>188</v>
      </c>
      <c r="BZ379" s="2" t="s">
        <v>188</v>
      </c>
      <c r="CE379" s="2">
        <v>5</v>
      </c>
      <c r="CF379" s="2">
        <v>500</v>
      </c>
      <c r="CK379" s="2">
        <v>100</v>
      </c>
      <c r="CO379" s="2">
        <v>100</v>
      </c>
      <c r="CR379" s="2" t="s">
        <v>204</v>
      </c>
      <c r="CT379" s="2" t="s">
        <v>188</v>
      </c>
      <c r="CU379" s="2" t="s">
        <v>578</v>
      </c>
      <c r="CW379" s="2" t="s">
        <v>206</v>
      </c>
      <c r="CY379" s="2" t="s">
        <v>207</v>
      </c>
      <c r="CZ379" s="2" t="s">
        <v>207</v>
      </c>
      <c r="DA379" s="2" t="s">
        <v>300</v>
      </c>
      <c r="DB379" s="2" t="s">
        <v>430</v>
      </c>
      <c r="DC379" s="2" t="s">
        <v>430</v>
      </c>
      <c r="DD379" s="2" t="s">
        <v>430</v>
      </c>
      <c r="DE379" s="2" t="s">
        <v>300</v>
      </c>
      <c r="DG379" s="2" t="s">
        <v>300</v>
      </c>
      <c r="DH379" s="2" t="s">
        <v>300</v>
      </c>
      <c r="DI379" s="2" t="s">
        <v>300</v>
      </c>
      <c r="DL379" s="2" t="s">
        <v>188</v>
      </c>
      <c r="DM379" s="2" t="s">
        <v>188</v>
      </c>
      <c r="DP379" s="2" t="s">
        <v>203</v>
      </c>
      <c r="DT379" s="2" t="s">
        <v>203</v>
      </c>
      <c r="DU379" s="2" t="s">
        <v>203</v>
      </c>
      <c r="DV379" s="2" t="s">
        <v>203</v>
      </c>
      <c r="DW379" s="2" t="s">
        <v>203</v>
      </c>
      <c r="DX379" s="2" t="s">
        <v>203</v>
      </c>
      <c r="DY379" s="2" t="s">
        <v>203</v>
      </c>
      <c r="DZ379" s="2" t="s">
        <v>203</v>
      </c>
      <c r="EA379" s="2" t="s">
        <v>203</v>
      </c>
      <c r="EB379" s="2" t="s">
        <v>203</v>
      </c>
      <c r="EC379" s="2" t="s">
        <v>203</v>
      </c>
      <c r="EF379" s="2" t="s">
        <v>302</v>
      </c>
      <c r="EG379" s="2" t="s">
        <v>431</v>
      </c>
      <c r="EJ379" s="2" t="s">
        <v>238</v>
      </c>
      <c r="EK379" s="2" t="s">
        <v>188</v>
      </c>
      <c r="EL379" s="2" t="s">
        <v>188</v>
      </c>
      <c r="EN379" s="2" t="s">
        <v>255</v>
      </c>
      <c r="EP379" s="2" t="s">
        <v>230</v>
      </c>
      <c r="ER379" s="2" t="s">
        <v>188</v>
      </c>
      <c r="ET379" s="2" t="s">
        <v>188</v>
      </c>
      <c r="EV379" s="2" t="s">
        <v>188</v>
      </c>
      <c r="EX379" s="2" t="s">
        <v>188</v>
      </c>
      <c r="EZ379" s="2" t="s">
        <v>188</v>
      </c>
      <c r="FC379" s="2" t="s">
        <v>395</v>
      </c>
      <c r="FD379" s="2" t="s">
        <v>188</v>
      </c>
      <c r="FH379" s="2" t="s">
        <v>188</v>
      </c>
      <c r="FJ379" s="2" t="s">
        <v>188</v>
      </c>
      <c r="FK379" s="2" t="s">
        <v>203</v>
      </c>
      <c r="FR379" s="2" t="s">
        <v>433</v>
      </c>
      <c r="FT379" s="2" t="s">
        <v>490</v>
      </c>
      <c r="FU379" s="2" t="s">
        <v>233</v>
      </c>
      <c r="FV379" s="2" t="s">
        <v>219</v>
      </c>
      <c r="FW379" s="2" t="s">
        <v>233</v>
      </c>
      <c r="FZ379" s="4">
        <v>46038.618854166663</v>
      </c>
    </row>
    <row r="380" spans="1:182">
      <c r="A380" s="2" t="s">
        <v>2475</v>
      </c>
      <c r="D380" s="6">
        <v>46035.58152777778</v>
      </c>
      <c r="E380" s="2" t="s">
        <v>177</v>
      </c>
      <c r="F380" s="2" t="s">
        <v>293</v>
      </c>
      <c r="G380" s="2" t="s">
        <v>2273</v>
      </c>
      <c r="H380" s="2" t="s">
        <v>2314</v>
      </c>
      <c r="I380" s="2" t="s">
        <v>1785</v>
      </c>
      <c r="J380" s="2">
        <v>333335211</v>
      </c>
      <c r="K380" s="2" t="s">
        <v>2476</v>
      </c>
      <c r="L380" s="2" t="s">
        <v>182</v>
      </c>
      <c r="M380" s="2" t="s">
        <v>223</v>
      </c>
      <c r="N380" s="2">
        <v>1970</v>
      </c>
      <c r="O380" s="2" t="s">
        <v>224</v>
      </c>
      <c r="P380" s="2" t="s">
        <v>225</v>
      </c>
      <c r="Q380" s="2" t="s">
        <v>186</v>
      </c>
      <c r="R380" s="2" t="s">
        <v>188</v>
      </c>
      <c r="S380" s="2">
        <v>2012</v>
      </c>
      <c r="T380" s="2" t="s">
        <v>188</v>
      </c>
      <c r="U380" s="2" t="s">
        <v>188</v>
      </c>
      <c r="Y380" s="2">
        <v>600</v>
      </c>
      <c r="Z380" s="2">
        <v>1</v>
      </c>
      <c r="AA380" s="2">
        <v>600</v>
      </c>
      <c r="AB380" s="2">
        <v>600</v>
      </c>
      <c r="AC380" s="2">
        <v>360</v>
      </c>
      <c r="AD380" s="2">
        <v>400</v>
      </c>
      <c r="AE380" s="2">
        <v>40</v>
      </c>
      <c r="AF380" s="2" t="s">
        <v>188</v>
      </c>
      <c r="AG380" s="2" t="s">
        <v>187</v>
      </c>
      <c r="AH380" s="2" t="s">
        <v>187</v>
      </c>
      <c r="AI380" s="2" t="s">
        <v>2477</v>
      </c>
      <c r="AJ380" s="2" t="s">
        <v>188</v>
      </c>
      <c r="AK380" s="2" t="s">
        <v>188</v>
      </c>
      <c r="AL380" s="2" t="s">
        <v>188</v>
      </c>
      <c r="AM380" s="2" t="s">
        <v>187</v>
      </c>
      <c r="AN380" s="2" t="s">
        <v>188</v>
      </c>
      <c r="AO380" s="2" t="s">
        <v>188</v>
      </c>
      <c r="AR380" s="2">
        <v>1.5</v>
      </c>
      <c r="AS380" s="2">
        <v>1</v>
      </c>
      <c r="AT380" s="2">
        <v>4.5</v>
      </c>
      <c r="AU380" s="2" t="s">
        <v>238</v>
      </c>
      <c r="AV380" s="2" t="s">
        <v>238</v>
      </c>
      <c r="AW380" s="2" t="s">
        <v>188</v>
      </c>
      <c r="AZ380" s="2" t="s">
        <v>190</v>
      </c>
      <c r="BB380" s="2" t="s">
        <v>260</v>
      </c>
      <c r="BC380" s="2" t="s">
        <v>296</v>
      </c>
      <c r="BD380" s="2" t="s">
        <v>187</v>
      </c>
      <c r="BE380" s="2" t="s">
        <v>187</v>
      </c>
      <c r="BF380" s="2" t="s">
        <v>193</v>
      </c>
      <c r="BG380" s="2" t="s">
        <v>194</v>
      </c>
      <c r="BH380" s="2" t="s">
        <v>297</v>
      </c>
      <c r="BI380" s="2" t="s">
        <v>196</v>
      </c>
      <c r="BL380" s="2" t="s">
        <v>197</v>
      </c>
      <c r="BM380" s="2" t="s">
        <v>198</v>
      </c>
      <c r="BN380" s="2" t="s">
        <v>199</v>
      </c>
      <c r="BO380" s="2" t="s">
        <v>188</v>
      </c>
      <c r="BS380" s="2" t="s">
        <v>187</v>
      </c>
      <c r="BT380" s="2" t="s">
        <v>261</v>
      </c>
      <c r="BV380" s="2" t="s">
        <v>389</v>
      </c>
      <c r="BX380" s="2" t="s">
        <v>187</v>
      </c>
      <c r="BY380" s="2" t="s">
        <v>2478</v>
      </c>
      <c r="BZ380" s="2" t="s">
        <v>188</v>
      </c>
      <c r="CE380" s="2">
        <v>4.5</v>
      </c>
      <c r="CF380" s="2">
        <v>450</v>
      </c>
      <c r="CK380" s="2">
        <v>100</v>
      </c>
      <c r="CO380" s="2">
        <v>100</v>
      </c>
      <c r="CR380" s="2" t="s">
        <v>204</v>
      </c>
      <c r="CT380" s="2" t="s">
        <v>188</v>
      </c>
      <c r="CU380" s="2" t="s">
        <v>205</v>
      </c>
      <c r="CW380" s="2" t="s">
        <v>206</v>
      </c>
      <c r="CY380" s="2" t="s">
        <v>299</v>
      </c>
      <c r="CZ380" s="2" t="s">
        <v>299</v>
      </c>
      <c r="DA380" s="2" t="s">
        <v>299</v>
      </c>
      <c r="DB380" s="2" t="s">
        <v>301</v>
      </c>
      <c r="DC380" s="2" t="s">
        <v>299</v>
      </c>
      <c r="DD380" s="2" t="s">
        <v>299</v>
      </c>
      <c r="DE380" s="2" t="s">
        <v>299</v>
      </c>
      <c r="DF380" s="2" t="s">
        <v>300</v>
      </c>
      <c r="DG380" s="2" t="s">
        <v>299</v>
      </c>
      <c r="DH380" s="2" t="s">
        <v>299</v>
      </c>
      <c r="DI380" s="2" t="s">
        <v>208</v>
      </c>
      <c r="DL380" s="2" t="s">
        <v>187</v>
      </c>
      <c r="DM380" s="2" t="s">
        <v>187</v>
      </c>
      <c r="DN380" s="2" t="s">
        <v>187</v>
      </c>
      <c r="DO380" s="2" t="s">
        <v>187</v>
      </c>
      <c r="DP380" s="2" t="s">
        <v>209</v>
      </c>
      <c r="DQ380" s="2" t="s">
        <v>210</v>
      </c>
      <c r="DT380" s="2" t="s">
        <v>209</v>
      </c>
      <c r="DU380" s="2" t="s">
        <v>209</v>
      </c>
      <c r="DV380" s="2" t="s">
        <v>209</v>
      </c>
      <c r="DW380" s="2" t="s">
        <v>209</v>
      </c>
      <c r="DX380" s="2" t="s">
        <v>209</v>
      </c>
      <c r="DY380" s="2" t="s">
        <v>209</v>
      </c>
      <c r="DZ380" s="2" t="s">
        <v>209</v>
      </c>
      <c r="EA380" s="2" t="s">
        <v>209</v>
      </c>
      <c r="EB380" s="2" t="s">
        <v>209</v>
      </c>
      <c r="EF380" s="2" t="s">
        <v>211</v>
      </c>
      <c r="EJ380" s="2" t="s">
        <v>238</v>
      </c>
      <c r="EK380" s="2" t="s">
        <v>187</v>
      </c>
      <c r="EL380" s="2" t="s">
        <v>188</v>
      </c>
      <c r="EN380" s="2" t="s">
        <v>214</v>
      </c>
      <c r="EP380" s="2" t="s">
        <v>230</v>
      </c>
      <c r="ER380" s="2" t="s">
        <v>187</v>
      </c>
      <c r="ET380" s="2" t="s">
        <v>188</v>
      </c>
      <c r="EV380" s="2" t="s">
        <v>188</v>
      </c>
      <c r="EX380" s="2" t="s">
        <v>188</v>
      </c>
      <c r="EZ380" s="2" t="s">
        <v>188</v>
      </c>
      <c r="FC380" s="2" t="s">
        <v>216</v>
      </c>
      <c r="FD380" s="2" t="s">
        <v>188</v>
      </c>
      <c r="FH380" s="2" t="s">
        <v>188</v>
      </c>
      <c r="FJ380" s="2" t="s">
        <v>188</v>
      </c>
      <c r="FK380" s="2" t="s">
        <v>209</v>
      </c>
      <c r="FL380" s="2" t="s">
        <v>319</v>
      </c>
      <c r="FN380" s="2" t="s">
        <v>304</v>
      </c>
      <c r="FT380" s="2" t="s">
        <v>233</v>
      </c>
      <c r="FU380" s="2" t="s">
        <v>233</v>
      </c>
      <c r="FV380" s="2" t="s">
        <v>233</v>
      </c>
      <c r="FW380" s="2" t="s">
        <v>233</v>
      </c>
      <c r="FZ380" s="4">
        <v>46039.976689814815</v>
      </c>
    </row>
    <row r="381" spans="1:182">
      <c r="A381" s="2" t="s">
        <v>2479</v>
      </c>
      <c r="D381" s="6">
        <v>46035.597291666665</v>
      </c>
      <c r="E381" s="2" t="s">
        <v>2480</v>
      </c>
      <c r="F381" s="2" t="s">
        <v>398</v>
      </c>
      <c r="G381" s="2" t="s">
        <v>2273</v>
      </c>
      <c r="H381" s="2" t="s">
        <v>2446</v>
      </c>
      <c r="I381" s="2" t="s">
        <v>2481</v>
      </c>
      <c r="J381" s="2">
        <v>329558337</v>
      </c>
      <c r="K381" s="2" t="s">
        <v>2481</v>
      </c>
      <c r="L381" s="2" t="s">
        <v>182</v>
      </c>
      <c r="M381" s="2" t="s">
        <v>183</v>
      </c>
      <c r="N381" s="2">
        <v>1966</v>
      </c>
      <c r="O381" s="2" t="s">
        <v>224</v>
      </c>
      <c r="P381" s="2" t="s">
        <v>185</v>
      </c>
      <c r="Q381" s="2" t="s">
        <v>186</v>
      </c>
      <c r="R381" s="2" t="s">
        <v>188</v>
      </c>
      <c r="S381" s="2">
        <v>5</v>
      </c>
      <c r="T381" s="2" t="s">
        <v>188</v>
      </c>
      <c r="U381" s="2" t="s">
        <v>187</v>
      </c>
      <c r="Y381" s="2">
        <v>830</v>
      </c>
      <c r="Z381" s="2">
        <v>0.90359999999999996</v>
      </c>
      <c r="AA381" s="2">
        <v>750</v>
      </c>
      <c r="AB381" s="2">
        <v>750</v>
      </c>
      <c r="AC381" s="2">
        <v>750</v>
      </c>
      <c r="AD381" s="2">
        <v>930</v>
      </c>
      <c r="AE381" s="2">
        <v>180</v>
      </c>
      <c r="AF381" s="2" t="s">
        <v>188</v>
      </c>
      <c r="AG381" s="2" t="s">
        <v>188</v>
      </c>
      <c r="AH381" s="2" t="s">
        <v>188</v>
      </c>
      <c r="AJ381" s="2" t="s">
        <v>188</v>
      </c>
      <c r="AK381" s="2" t="s">
        <v>188</v>
      </c>
      <c r="AL381" s="2" t="s">
        <v>187</v>
      </c>
      <c r="AM381" s="2" t="s">
        <v>188</v>
      </c>
      <c r="AN381" s="2" t="s">
        <v>188</v>
      </c>
      <c r="AO381" s="2" t="s">
        <v>188</v>
      </c>
      <c r="AR381" s="2">
        <v>3.4</v>
      </c>
      <c r="AS381" s="2">
        <v>4</v>
      </c>
      <c r="AT381" s="2">
        <v>11</v>
      </c>
      <c r="AU381" s="2" t="s">
        <v>238</v>
      </c>
      <c r="AV381" s="2" t="s">
        <v>238</v>
      </c>
      <c r="AW381" s="2" t="s">
        <v>188</v>
      </c>
      <c r="AZ381" s="2" t="s">
        <v>190</v>
      </c>
      <c r="BB381" s="2" t="s">
        <v>260</v>
      </c>
      <c r="BC381" s="2" t="s">
        <v>296</v>
      </c>
      <c r="BD381" s="2" t="s">
        <v>187</v>
      </c>
      <c r="BE381" s="2" t="s">
        <v>187</v>
      </c>
      <c r="BF381" s="2" t="s">
        <v>193</v>
      </c>
      <c r="BG381" s="2" t="s">
        <v>194</v>
      </c>
      <c r="BH381" s="2" t="s">
        <v>280</v>
      </c>
      <c r="BI381" s="2" t="s">
        <v>196</v>
      </c>
      <c r="BL381" s="2" t="s">
        <v>197</v>
      </c>
      <c r="BM381" s="2" t="s">
        <v>198</v>
      </c>
      <c r="BN381" s="2" t="s">
        <v>199</v>
      </c>
      <c r="BO381" s="2" t="s">
        <v>188</v>
      </c>
      <c r="BQ381" s="2" t="s">
        <v>200</v>
      </c>
      <c r="BS381" s="2" t="s">
        <v>187</v>
      </c>
      <c r="BT381" s="2" t="s">
        <v>521</v>
      </c>
      <c r="BV381" s="2" t="s">
        <v>248</v>
      </c>
      <c r="BX381" s="2" t="s">
        <v>188</v>
      </c>
      <c r="BY381" s="2" t="s">
        <v>2482</v>
      </c>
      <c r="BZ381" s="2" t="s">
        <v>203</v>
      </c>
      <c r="CE381" s="2">
        <v>11</v>
      </c>
      <c r="CF381" s="2">
        <v>930</v>
      </c>
      <c r="CK381" s="2">
        <v>100</v>
      </c>
      <c r="CP381" s="2">
        <v>100</v>
      </c>
      <c r="CR381" s="2" t="s">
        <v>204</v>
      </c>
      <c r="CT381" s="2" t="s">
        <v>188</v>
      </c>
      <c r="CU381" s="2" t="s">
        <v>205</v>
      </c>
      <c r="CW381" s="2" t="s">
        <v>206</v>
      </c>
      <c r="CY381" s="2" t="s">
        <v>300</v>
      </c>
      <c r="CZ381" s="2" t="s">
        <v>300</v>
      </c>
      <c r="DA381" s="2" t="s">
        <v>300</v>
      </c>
      <c r="DB381" s="2" t="s">
        <v>300</v>
      </c>
      <c r="DC381" s="2" t="s">
        <v>300</v>
      </c>
      <c r="DD381" s="2" t="s">
        <v>300</v>
      </c>
      <c r="DE381" s="2" t="s">
        <v>300</v>
      </c>
      <c r="DF381" s="2" t="s">
        <v>300</v>
      </c>
      <c r="DG381" s="2" t="s">
        <v>300</v>
      </c>
      <c r="DH381" s="2" t="s">
        <v>300</v>
      </c>
      <c r="DI381" s="2" t="s">
        <v>300</v>
      </c>
      <c r="DL381" s="2" t="s">
        <v>188</v>
      </c>
      <c r="DM381" s="2" t="s">
        <v>188</v>
      </c>
      <c r="DP381" s="2" t="s">
        <v>203</v>
      </c>
      <c r="DT381" s="2" t="s">
        <v>203</v>
      </c>
      <c r="DU381" s="2" t="s">
        <v>203</v>
      </c>
      <c r="DV381" s="2" t="s">
        <v>203</v>
      </c>
      <c r="DW381" s="2" t="s">
        <v>203</v>
      </c>
      <c r="DX381" s="2" t="s">
        <v>203</v>
      </c>
      <c r="DY381" s="2" t="s">
        <v>203</v>
      </c>
      <c r="DZ381" s="2" t="s">
        <v>203</v>
      </c>
      <c r="EA381" s="2" t="s">
        <v>203</v>
      </c>
      <c r="EB381" s="2" t="s">
        <v>203</v>
      </c>
      <c r="EC381" s="2" t="s">
        <v>203</v>
      </c>
      <c r="ED381" s="2" t="s">
        <v>203</v>
      </c>
      <c r="EF381" s="2" t="s">
        <v>302</v>
      </c>
      <c r="EG381" s="2" t="s">
        <v>2483</v>
      </c>
      <c r="EJ381" s="2" t="s">
        <v>238</v>
      </c>
      <c r="EK381" s="2" t="s">
        <v>188</v>
      </c>
      <c r="EL381" s="2" t="s">
        <v>188</v>
      </c>
      <c r="EN381" s="2" t="s">
        <v>214</v>
      </c>
      <c r="EP381" s="2" t="s">
        <v>230</v>
      </c>
      <c r="ER381" s="2" t="s">
        <v>188</v>
      </c>
      <c r="ET381" s="2" t="s">
        <v>188</v>
      </c>
      <c r="EV381" s="2" t="s">
        <v>188</v>
      </c>
      <c r="EX381" s="2" t="s">
        <v>188</v>
      </c>
      <c r="EZ381" s="2" t="s">
        <v>188</v>
      </c>
      <c r="FC381" s="2" t="s">
        <v>216</v>
      </c>
      <c r="FD381" s="2" t="s">
        <v>188</v>
      </c>
      <c r="FH381" s="2" t="s">
        <v>188</v>
      </c>
      <c r="FJ381" s="2" t="s">
        <v>188</v>
      </c>
      <c r="FK381" s="2" t="s">
        <v>203</v>
      </c>
      <c r="FN381" s="2" t="s">
        <v>432</v>
      </c>
      <c r="FR381" s="2" t="s">
        <v>2484</v>
      </c>
      <c r="FT381" s="2" t="s">
        <v>233</v>
      </c>
      <c r="FU381" s="2" t="s">
        <v>219</v>
      </c>
      <c r="FV381" s="2" t="s">
        <v>219</v>
      </c>
      <c r="FW381" s="2" t="s">
        <v>219</v>
      </c>
      <c r="FX381" s="2" t="s">
        <v>219</v>
      </c>
      <c r="FY381" s="2" t="s">
        <v>2485</v>
      </c>
      <c r="FZ381" s="4">
        <v>46040.036747685182</v>
      </c>
    </row>
    <row r="382" spans="1:182">
      <c r="A382" s="2" t="s">
        <v>2486</v>
      </c>
      <c r="D382" s="6">
        <v>46035.589502314811</v>
      </c>
      <c r="E382" s="2" t="s">
        <v>2487</v>
      </c>
      <c r="F382" s="2" t="s">
        <v>425</v>
      </c>
      <c r="G382" s="2" t="s">
        <v>2273</v>
      </c>
      <c r="H382" s="2" t="s">
        <v>2336</v>
      </c>
      <c r="I382" s="2" t="s">
        <v>2488</v>
      </c>
      <c r="J382" s="2">
        <v>966641244</v>
      </c>
      <c r="K382" s="2" t="s">
        <v>2488</v>
      </c>
      <c r="L382" s="2" t="s">
        <v>182</v>
      </c>
      <c r="M382" s="2" t="s">
        <v>183</v>
      </c>
      <c r="N382" s="2">
        <v>1978</v>
      </c>
      <c r="O382" s="2" t="s">
        <v>224</v>
      </c>
      <c r="P382" s="2" t="s">
        <v>185</v>
      </c>
      <c r="Q382" s="2" t="s">
        <v>226</v>
      </c>
      <c r="R382" s="2" t="s">
        <v>188</v>
      </c>
      <c r="S382" s="2">
        <v>25</v>
      </c>
      <c r="T382" s="2" t="s">
        <v>188</v>
      </c>
      <c r="U382" s="2" t="s">
        <v>188</v>
      </c>
      <c r="Y382" s="2">
        <v>370</v>
      </c>
      <c r="Z382" s="2">
        <v>1</v>
      </c>
      <c r="AA382" s="2">
        <v>370</v>
      </c>
      <c r="AB382" s="2">
        <v>370</v>
      </c>
      <c r="AC382" s="2">
        <v>230</v>
      </c>
      <c r="AD382" s="2">
        <v>300</v>
      </c>
      <c r="AE382" s="2">
        <v>70</v>
      </c>
      <c r="AF382" s="2" t="s">
        <v>188</v>
      </c>
      <c r="AG382" s="2" t="s">
        <v>187</v>
      </c>
      <c r="AH382" s="2" t="s">
        <v>188</v>
      </c>
      <c r="AJ382" s="2" t="s">
        <v>188</v>
      </c>
      <c r="AK382" s="2" t="s">
        <v>188</v>
      </c>
      <c r="AL382" s="2" t="s">
        <v>188</v>
      </c>
      <c r="AM382" s="2" t="s">
        <v>188</v>
      </c>
      <c r="AN382" s="2" t="s">
        <v>188</v>
      </c>
      <c r="AO382" s="2" t="s">
        <v>188</v>
      </c>
      <c r="AR382" s="2">
        <v>1</v>
      </c>
      <c r="AS382" s="2">
        <v>1</v>
      </c>
      <c r="AT382" s="2">
        <v>3</v>
      </c>
      <c r="AU382" s="2" t="s">
        <v>238</v>
      </c>
      <c r="AV382" s="2" t="s">
        <v>238</v>
      </c>
      <c r="AW382" s="2" t="s">
        <v>188</v>
      </c>
      <c r="AZ382" s="2" t="s">
        <v>357</v>
      </c>
      <c r="BC382" s="2" t="s">
        <v>192</v>
      </c>
      <c r="BD382" s="2" t="s">
        <v>188</v>
      </c>
      <c r="BE382" s="2" t="s">
        <v>188</v>
      </c>
      <c r="BL382" s="2" t="s">
        <v>240</v>
      </c>
      <c r="BO382" s="2" t="s">
        <v>188</v>
      </c>
      <c r="BS382" s="2" t="s">
        <v>187</v>
      </c>
      <c r="BT382" s="2" t="s">
        <v>69</v>
      </c>
      <c r="BU382" s="2" t="s">
        <v>429</v>
      </c>
      <c r="BV382" s="2" t="s">
        <v>502</v>
      </c>
      <c r="BX382" s="2" t="s">
        <v>188</v>
      </c>
      <c r="BZ382" s="2" t="s">
        <v>188</v>
      </c>
      <c r="CE382" s="2">
        <v>3</v>
      </c>
      <c r="CF382" s="2">
        <v>300</v>
      </c>
      <c r="CK382" s="2">
        <v>100</v>
      </c>
      <c r="CO382" s="2">
        <v>100</v>
      </c>
      <c r="CR382" s="2" t="s">
        <v>204</v>
      </c>
      <c r="CT382" s="2" t="s">
        <v>188</v>
      </c>
      <c r="CU382" s="2" t="s">
        <v>205</v>
      </c>
      <c r="CW382" s="2" t="s">
        <v>206</v>
      </c>
      <c r="CY382" s="2" t="s">
        <v>300</v>
      </c>
      <c r="CZ382" s="2" t="s">
        <v>300</v>
      </c>
      <c r="DA382" s="2" t="s">
        <v>300</v>
      </c>
      <c r="DB382" s="2" t="s">
        <v>300</v>
      </c>
      <c r="DC382" s="2" t="s">
        <v>430</v>
      </c>
      <c r="DD382" s="2" t="s">
        <v>430</v>
      </c>
      <c r="DE382" s="2" t="s">
        <v>300</v>
      </c>
      <c r="DF382" s="2" t="s">
        <v>300</v>
      </c>
      <c r="DG382" s="2" t="s">
        <v>300</v>
      </c>
      <c r="DH382" s="2" t="s">
        <v>430</v>
      </c>
      <c r="DI382" s="2" t="s">
        <v>430</v>
      </c>
      <c r="DL382" s="2" t="s">
        <v>187</v>
      </c>
      <c r="DM382" s="2" t="s">
        <v>188</v>
      </c>
      <c r="DP382" s="2" t="s">
        <v>188</v>
      </c>
      <c r="DT382" s="2" t="s">
        <v>203</v>
      </c>
      <c r="DU382" s="2" t="s">
        <v>203</v>
      </c>
      <c r="DV382" s="2" t="s">
        <v>203</v>
      </c>
      <c r="DW382" s="2" t="s">
        <v>203</v>
      </c>
      <c r="DX382" s="2" t="s">
        <v>203</v>
      </c>
      <c r="DY382" s="2" t="s">
        <v>203</v>
      </c>
      <c r="DZ382" s="2" t="s">
        <v>203</v>
      </c>
      <c r="EA382" s="2" t="s">
        <v>203</v>
      </c>
      <c r="EB382" s="2" t="s">
        <v>203</v>
      </c>
      <c r="EC382" s="2" t="s">
        <v>203</v>
      </c>
      <c r="EF382" s="2" t="s">
        <v>302</v>
      </c>
      <c r="EG382" s="2" t="s">
        <v>2489</v>
      </c>
      <c r="EJ382" s="2" t="s">
        <v>238</v>
      </c>
      <c r="EK382" s="2" t="s">
        <v>188</v>
      </c>
      <c r="EL382" s="2" t="s">
        <v>188</v>
      </c>
      <c r="EN382" s="2" t="s">
        <v>214</v>
      </c>
      <c r="EP382" s="2" t="s">
        <v>230</v>
      </c>
      <c r="ER382" s="2" t="s">
        <v>188</v>
      </c>
      <c r="ET382" s="2" t="s">
        <v>188</v>
      </c>
      <c r="EV382" s="2" t="s">
        <v>188</v>
      </c>
      <c r="EX382" s="2" t="s">
        <v>188</v>
      </c>
      <c r="EZ382" s="2" t="s">
        <v>188</v>
      </c>
      <c r="FC382" s="2" t="s">
        <v>263</v>
      </c>
      <c r="FD382" s="2" t="s">
        <v>188</v>
      </c>
      <c r="FH382" s="2" t="s">
        <v>188</v>
      </c>
      <c r="FJ382" s="2" t="s">
        <v>188</v>
      </c>
      <c r="FK382" s="2" t="s">
        <v>188</v>
      </c>
      <c r="FR382" s="2" t="s">
        <v>433</v>
      </c>
      <c r="FT382" s="2" t="s">
        <v>490</v>
      </c>
      <c r="FV382" s="2" t="s">
        <v>219</v>
      </c>
      <c r="FW382" s="2" t="s">
        <v>233</v>
      </c>
      <c r="FZ382" s="4">
        <v>46038.295081018521</v>
      </c>
    </row>
    <row r="383" spans="1:182">
      <c r="A383" s="2" t="s">
        <v>2490</v>
      </c>
      <c r="D383" s="6">
        <v>46035.613171296296</v>
      </c>
      <c r="E383" s="2" t="s">
        <v>2491</v>
      </c>
      <c r="F383" s="2" t="s">
        <v>398</v>
      </c>
      <c r="G383" s="2" t="s">
        <v>2273</v>
      </c>
      <c r="H383" s="2" t="s">
        <v>2308</v>
      </c>
      <c r="I383" s="2" t="s">
        <v>2492</v>
      </c>
      <c r="J383" s="2">
        <v>334566239</v>
      </c>
      <c r="K383" s="2" t="s">
        <v>2493</v>
      </c>
      <c r="L383" s="2" t="s">
        <v>803</v>
      </c>
      <c r="M383" s="2" t="s">
        <v>223</v>
      </c>
      <c r="N383" s="2">
        <v>1988</v>
      </c>
      <c r="O383" s="2" t="s">
        <v>224</v>
      </c>
      <c r="P383" s="2" t="s">
        <v>225</v>
      </c>
      <c r="Q383" s="2" t="s">
        <v>270</v>
      </c>
      <c r="R383" s="2" t="s">
        <v>188</v>
      </c>
      <c r="S383" s="2">
        <v>25</v>
      </c>
      <c r="T383" s="2" t="s">
        <v>188</v>
      </c>
      <c r="U383" s="2" t="s">
        <v>188</v>
      </c>
      <c r="Y383" s="2">
        <v>180</v>
      </c>
      <c r="Z383" s="2">
        <v>1</v>
      </c>
      <c r="AA383" s="2">
        <v>180</v>
      </c>
      <c r="AB383" s="2">
        <v>180</v>
      </c>
      <c r="AC383" s="2">
        <v>180</v>
      </c>
      <c r="AD383" s="2">
        <v>230</v>
      </c>
      <c r="AE383" s="2">
        <v>50</v>
      </c>
      <c r="AF383" s="2" t="s">
        <v>188</v>
      </c>
      <c r="AG383" s="2" t="s">
        <v>188</v>
      </c>
      <c r="AH383" s="2" t="s">
        <v>188</v>
      </c>
      <c r="AJ383" s="2" t="s">
        <v>188</v>
      </c>
      <c r="AK383" s="2" t="s">
        <v>188</v>
      </c>
      <c r="AL383" s="2" t="s">
        <v>188</v>
      </c>
      <c r="AM383" s="2" t="s">
        <v>188</v>
      </c>
      <c r="AN383" s="2" t="s">
        <v>188</v>
      </c>
      <c r="AO383" s="2" t="s">
        <v>188</v>
      </c>
      <c r="AR383" s="2">
        <v>0.7</v>
      </c>
      <c r="AS383" s="2">
        <v>1</v>
      </c>
      <c r="AT383" s="2">
        <v>2.4</v>
      </c>
      <c r="AU383" s="2" t="s">
        <v>238</v>
      </c>
      <c r="AV383" s="2" t="s">
        <v>238</v>
      </c>
      <c r="AW383" s="2" t="s">
        <v>188</v>
      </c>
      <c r="AZ383" s="2" t="s">
        <v>190</v>
      </c>
      <c r="BB383" s="2" t="s">
        <v>260</v>
      </c>
      <c r="BC383" s="2" t="s">
        <v>296</v>
      </c>
      <c r="BD383" s="2" t="s">
        <v>187</v>
      </c>
      <c r="BE383" s="2" t="s">
        <v>187</v>
      </c>
      <c r="BF383" s="2" t="s">
        <v>193</v>
      </c>
      <c r="BG383" s="2" t="s">
        <v>194</v>
      </c>
      <c r="BH383" s="2" t="s">
        <v>280</v>
      </c>
      <c r="BI383" s="2" t="s">
        <v>196</v>
      </c>
      <c r="BL383" s="2" t="s">
        <v>197</v>
      </c>
      <c r="BM383" s="2" t="s">
        <v>198</v>
      </c>
      <c r="BN383" s="2" t="s">
        <v>199</v>
      </c>
      <c r="BO383" s="2" t="s">
        <v>188</v>
      </c>
      <c r="BQ383" s="2" t="s">
        <v>200</v>
      </c>
      <c r="BS383" s="2" t="s">
        <v>187</v>
      </c>
      <c r="BT383" s="2" t="s">
        <v>261</v>
      </c>
      <c r="BV383" s="2" t="s">
        <v>248</v>
      </c>
      <c r="BX383" s="2" t="s">
        <v>188</v>
      </c>
      <c r="BY383" s="2" t="s">
        <v>696</v>
      </c>
      <c r="BZ383" s="2" t="s">
        <v>203</v>
      </c>
      <c r="CE383" s="2">
        <v>2.4</v>
      </c>
      <c r="CF383" s="2">
        <v>230</v>
      </c>
      <c r="CK383" s="2">
        <v>100</v>
      </c>
      <c r="CP383" s="2">
        <v>100</v>
      </c>
      <c r="CR383" s="2" t="s">
        <v>204</v>
      </c>
      <c r="CT383" s="2" t="s">
        <v>188</v>
      </c>
      <c r="CU383" s="2" t="s">
        <v>205</v>
      </c>
      <c r="CW383" s="2" t="s">
        <v>206</v>
      </c>
      <c r="CY383" s="2" t="s">
        <v>300</v>
      </c>
      <c r="CZ383" s="2" t="s">
        <v>300</v>
      </c>
      <c r="DA383" s="2" t="s">
        <v>300</v>
      </c>
      <c r="DB383" s="2" t="s">
        <v>300</v>
      </c>
      <c r="DC383" s="2" t="s">
        <v>300</v>
      </c>
      <c r="DD383" s="2" t="s">
        <v>300</v>
      </c>
      <c r="DE383" s="2" t="s">
        <v>300</v>
      </c>
      <c r="DF383" s="2" t="s">
        <v>300</v>
      </c>
      <c r="DG383" s="2" t="s">
        <v>300</v>
      </c>
      <c r="DH383" s="2" t="s">
        <v>300</v>
      </c>
      <c r="DI383" s="2" t="s">
        <v>300</v>
      </c>
      <c r="DL383" s="2" t="s">
        <v>188</v>
      </c>
      <c r="DM383" s="2" t="s">
        <v>188</v>
      </c>
      <c r="DP383" s="2" t="s">
        <v>203</v>
      </c>
      <c r="DT383" s="2" t="s">
        <v>203</v>
      </c>
      <c r="DU383" s="2" t="s">
        <v>203</v>
      </c>
      <c r="DV383" s="2" t="s">
        <v>203</v>
      </c>
      <c r="DW383" s="2" t="s">
        <v>203</v>
      </c>
      <c r="DX383" s="2" t="s">
        <v>203</v>
      </c>
      <c r="DY383" s="2" t="s">
        <v>203</v>
      </c>
      <c r="DZ383" s="2" t="s">
        <v>203</v>
      </c>
      <c r="EA383" s="2" t="s">
        <v>203</v>
      </c>
      <c r="EB383" s="2" t="s">
        <v>203</v>
      </c>
      <c r="EC383" s="2" t="s">
        <v>203</v>
      </c>
      <c r="ED383" s="2" t="s">
        <v>203</v>
      </c>
      <c r="EF383" s="2" t="s">
        <v>302</v>
      </c>
      <c r="EG383" s="2" t="s">
        <v>2494</v>
      </c>
      <c r="EJ383" s="2" t="s">
        <v>238</v>
      </c>
      <c r="EK383" s="2" t="s">
        <v>188</v>
      </c>
      <c r="EL383" s="2" t="s">
        <v>188</v>
      </c>
      <c r="EN383" s="2" t="s">
        <v>597</v>
      </c>
      <c r="EP383" s="2" t="s">
        <v>230</v>
      </c>
      <c r="ER383" s="2" t="s">
        <v>188</v>
      </c>
      <c r="ET383" s="2" t="s">
        <v>188</v>
      </c>
      <c r="EV383" s="2" t="s">
        <v>188</v>
      </c>
      <c r="EX383" s="2" t="s">
        <v>188</v>
      </c>
      <c r="EZ383" s="2" t="s">
        <v>188</v>
      </c>
      <c r="FC383" s="2" t="s">
        <v>216</v>
      </c>
      <c r="FD383" s="2" t="s">
        <v>188</v>
      </c>
      <c r="FH383" s="2" t="s">
        <v>188</v>
      </c>
      <c r="FJ383" s="2" t="s">
        <v>188</v>
      </c>
      <c r="FK383" s="2" t="s">
        <v>203</v>
      </c>
      <c r="FN383" s="2" t="s">
        <v>432</v>
      </c>
      <c r="FR383" s="2" t="s">
        <v>2495</v>
      </c>
      <c r="FT383" s="2" t="s">
        <v>233</v>
      </c>
      <c r="FU383" s="2" t="s">
        <v>233</v>
      </c>
      <c r="FV383" s="2" t="s">
        <v>219</v>
      </c>
      <c r="FW383" s="2" t="s">
        <v>219</v>
      </c>
      <c r="FX383" s="2" t="s">
        <v>219</v>
      </c>
      <c r="FY383" s="2" t="s">
        <v>2496</v>
      </c>
      <c r="FZ383" s="4">
        <v>46040.045486111114</v>
      </c>
    </row>
    <row r="384" spans="1:182">
      <c r="A384" s="2" t="s">
        <v>2497</v>
      </c>
      <c r="D384" s="6">
        <v>46035.614803240744</v>
      </c>
      <c r="E384" s="2" t="s">
        <v>2498</v>
      </c>
      <c r="F384" s="2" t="s">
        <v>425</v>
      </c>
      <c r="G384" s="2" t="s">
        <v>2273</v>
      </c>
      <c r="H384" s="2" t="s">
        <v>2371</v>
      </c>
      <c r="I384" s="2" t="s">
        <v>1933</v>
      </c>
      <c r="J384" s="2">
        <v>325963978</v>
      </c>
      <c r="K384" s="2" t="s">
        <v>2499</v>
      </c>
      <c r="L384" s="2" t="s">
        <v>182</v>
      </c>
      <c r="M384" s="2" t="s">
        <v>223</v>
      </c>
      <c r="N384" s="2">
        <v>1974</v>
      </c>
      <c r="O384" s="2" t="s">
        <v>224</v>
      </c>
      <c r="P384" s="2" t="s">
        <v>225</v>
      </c>
      <c r="Q384" s="2" t="s">
        <v>226</v>
      </c>
      <c r="R384" s="2" t="s">
        <v>188</v>
      </c>
      <c r="S384" s="2">
        <v>20</v>
      </c>
      <c r="T384" s="2" t="s">
        <v>188</v>
      </c>
      <c r="U384" s="2" t="s">
        <v>187</v>
      </c>
      <c r="Y384" s="2">
        <v>330</v>
      </c>
      <c r="Z384" s="2">
        <v>0.95450000000000002</v>
      </c>
      <c r="AA384" s="2">
        <v>315</v>
      </c>
      <c r="AB384" s="2">
        <v>315</v>
      </c>
      <c r="AC384" s="2">
        <v>315</v>
      </c>
      <c r="AD384" s="2">
        <v>400</v>
      </c>
      <c r="AE384" s="2">
        <v>85</v>
      </c>
      <c r="AF384" s="2" t="s">
        <v>188</v>
      </c>
      <c r="AG384" s="2" t="s">
        <v>188</v>
      </c>
      <c r="AH384" s="2" t="s">
        <v>188</v>
      </c>
      <c r="AJ384" s="2" t="s">
        <v>188</v>
      </c>
      <c r="AK384" s="2" t="s">
        <v>188</v>
      </c>
      <c r="AL384" s="2" t="s">
        <v>188</v>
      </c>
      <c r="AM384" s="2" t="s">
        <v>187</v>
      </c>
      <c r="AN384" s="2" t="s">
        <v>188</v>
      </c>
      <c r="AO384" s="2" t="s">
        <v>188</v>
      </c>
      <c r="AR384" s="2">
        <v>1.2</v>
      </c>
      <c r="AS384" s="2">
        <v>1</v>
      </c>
      <c r="AT384" s="2">
        <v>4</v>
      </c>
      <c r="AU384" s="2" t="s">
        <v>238</v>
      </c>
      <c r="AV384" s="2" t="s">
        <v>238</v>
      </c>
      <c r="AW384" s="2" t="s">
        <v>188</v>
      </c>
      <c r="AZ384" s="2" t="s">
        <v>190</v>
      </c>
      <c r="BB384" s="2" t="s">
        <v>260</v>
      </c>
      <c r="BC384" s="2" t="s">
        <v>296</v>
      </c>
      <c r="BD384" s="2" t="s">
        <v>187</v>
      </c>
      <c r="BE384" s="2" t="s">
        <v>187</v>
      </c>
      <c r="BF384" s="2" t="s">
        <v>193</v>
      </c>
      <c r="BG384" s="2" t="s">
        <v>194</v>
      </c>
      <c r="BH384" s="2" t="s">
        <v>195</v>
      </c>
      <c r="BI384" s="2" t="s">
        <v>196</v>
      </c>
      <c r="BL384" s="2" t="s">
        <v>197</v>
      </c>
      <c r="BM384" s="2" t="s">
        <v>198</v>
      </c>
      <c r="BN384" s="2" t="s">
        <v>199</v>
      </c>
      <c r="BO384" s="2" t="s">
        <v>188</v>
      </c>
      <c r="BS384" s="2" t="s">
        <v>187</v>
      </c>
      <c r="BT384" s="2" t="s">
        <v>69</v>
      </c>
      <c r="BU384" s="2" t="s">
        <v>429</v>
      </c>
      <c r="BV384" s="2" t="s">
        <v>248</v>
      </c>
      <c r="BX384" s="2" t="s">
        <v>188</v>
      </c>
      <c r="BZ384" s="2" t="s">
        <v>188</v>
      </c>
      <c r="CE384" s="2">
        <v>4</v>
      </c>
      <c r="CF384" s="2">
        <v>400</v>
      </c>
      <c r="CK384" s="2">
        <v>100</v>
      </c>
      <c r="CO384" s="2">
        <v>100</v>
      </c>
      <c r="CR384" s="2" t="s">
        <v>204</v>
      </c>
      <c r="CT384" s="2" t="s">
        <v>188</v>
      </c>
      <c r="CU384" s="2" t="s">
        <v>205</v>
      </c>
      <c r="CW384" s="2" t="s">
        <v>206</v>
      </c>
      <c r="CY384" s="2" t="s">
        <v>300</v>
      </c>
      <c r="CZ384" s="2" t="s">
        <v>300</v>
      </c>
      <c r="DA384" s="2" t="s">
        <v>300</v>
      </c>
      <c r="DB384" s="2" t="s">
        <v>430</v>
      </c>
      <c r="DC384" s="2" t="s">
        <v>430</v>
      </c>
      <c r="DD384" s="2" t="s">
        <v>430</v>
      </c>
      <c r="DE384" s="2" t="s">
        <v>300</v>
      </c>
      <c r="DF384" s="2" t="s">
        <v>300</v>
      </c>
      <c r="DG384" s="2" t="s">
        <v>300</v>
      </c>
      <c r="DH384" s="2" t="s">
        <v>300</v>
      </c>
      <c r="DI384" s="2" t="s">
        <v>300</v>
      </c>
      <c r="DL384" s="2" t="s">
        <v>187</v>
      </c>
      <c r="DM384" s="2" t="s">
        <v>188</v>
      </c>
      <c r="DP384" s="2" t="s">
        <v>203</v>
      </c>
      <c r="DT384" s="2" t="s">
        <v>203</v>
      </c>
      <c r="DU384" s="2" t="s">
        <v>203</v>
      </c>
      <c r="DV384" s="2" t="s">
        <v>203</v>
      </c>
      <c r="DW384" s="2" t="s">
        <v>203</v>
      </c>
      <c r="DX384" s="2" t="s">
        <v>203</v>
      </c>
      <c r="DY384" s="2" t="s">
        <v>203</v>
      </c>
      <c r="DZ384" s="2" t="s">
        <v>203</v>
      </c>
      <c r="EA384" s="2" t="s">
        <v>203</v>
      </c>
      <c r="EB384" s="2" t="s">
        <v>203</v>
      </c>
      <c r="EC384" s="2" t="s">
        <v>203</v>
      </c>
      <c r="EF384" s="2" t="s">
        <v>302</v>
      </c>
      <c r="EG384" s="2" t="s">
        <v>2500</v>
      </c>
      <c r="EJ384" s="2" t="s">
        <v>203</v>
      </c>
      <c r="EK384" s="2" t="s">
        <v>188</v>
      </c>
      <c r="EL384" s="2" t="s">
        <v>188</v>
      </c>
      <c r="EN384" s="2" t="s">
        <v>255</v>
      </c>
      <c r="EP384" s="2" t="s">
        <v>230</v>
      </c>
      <c r="ER384" s="2" t="s">
        <v>188</v>
      </c>
      <c r="ET384" s="2" t="s">
        <v>188</v>
      </c>
      <c r="EV384" s="2" t="s">
        <v>188</v>
      </c>
      <c r="EX384" s="2" t="s">
        <v>188</v>
      </c>
      <c r="EZ384" s="2" t="s">
        <v>188</v>
      </c>
      <c r="FC384" s="2" t="s">
        <v>263</v>
      </c>
      <c r="FD384" s="2" t="s">
        <v>188</v>
      </c>
      <c r="FH384" s="2" t="s">
        <v>188</v>
      </c>
      <c r="FJ384" s="2" t="s">
        <v>188</v>
      </c>
      <c r="FK384" s="2" t="s">
        <v>188</v>
      </c>
      <c r="FR384" s="2" t="s">
        <v>433</v>
      </c>
      <c r="FT384" s="2" t="s">
        <v>490</v>
      </c>
      <c r="FV384" s="2" t="s">
        <v>219</v>
      </c>
      <c r="FW384" s="2" t="s">
        <v>233</v>
      </c>
      <c r="FZ384" s="4">
        <v>46038.278229166666</v>
      </c>
    </row>
    <row r="385" spans="1:182">
      <c r="A385" s="2" t="s">
        <v>2501</v>
      </c>
      <c r="D385" s="6">
        <v>46035.620254629626</v>
      </c>
      <c r="E385" s="2" t="s">
        <v>177</v>
      </c>
      <c r="F385" s="2" t="s">
        <v>293</v>
      </c>
      <c r="G385" s="2" t="s">
        <v>2273</v>
      </c>
      <c r="H385" s="2" t="s">
        <v>2314</v>
      </c>
      <c r="I385" s="2" t="s">
        <v>2502</v>
      </c>
      <c r="J385" s="2">
        <v>782521281</v>
      </c>
      <c r="K385" s="2" t="s">
        <v>2502</v>
      </c>
      <c r="L385" s="2" t="s">
        <v>352</v>
      </c>
      <c r="M385" s="2" t="s">
        <v>183</v>
      </c>
      <c r="N385" s="2">
        <v>1972</v>
      </c>
      <c r="O385" s="2" t="s">
        <v>224</v>
      </c>
      <c r="P385" s="2" t="s">
        <v>185</v>
      </c>
      <c r="Q385" s="2" t="s">
        <v>186</v>
      </c>
      <c r="R385" s="2" t="s">
        <v>188</v>
      </c>
      <c r="S385" s="2">
        <v>2013</v>
      </c>
      <c r="T385" s="2" t="s">
        <v>188</v>
      </c>
      <c r="U385" s="2" t="s">
        <v>188</v>
      </c>
      <c r="Y385" s="2">
        <v>1800</v>
      </c>
      <c r="Z385" s="2">
        <v>0.94440000000000002</v>
      </c>
      <c r="AA385" s="2">
        <v>1700</v>
      </c>
      <c r="AB385" s="2">
        <v>1600</v>
      </c>
      <c r="AC385" s="2">
        <v>1150</v>
      </c>
      <c r="AD385" s="2">
        <v>1300</v>
      </c>
      <c r="AE385" s="2">
        <v>150</v>
      </c>
      <c r="AF385" s="2" t="s">
        <v>188</v>
      </c>
      <c r="AG385" s="2" t="s">
        <v>187</v>
      </c>
      <c r="AH385" s="2" t="s">
        <v>187</v>
      </c>
      <c r="AI385" s="2" t="s">
        <v>2503</v>
      </c>
      <c r="AJ385" s="2" t="s">
        <v>188</v>
      </c>
      <c r="AK385" s="2" t="s">
        <v>188</v>
      </c>
      <c r="AL385" s="2" t="s">
        <v>188</v>
      </c>
      <c r="AM385" s="2" t="s">
        <v>188</v>
      </c>
      <c r="AN385" s="2" t="s">
        <v>188</v>
      </c>
      <c r="AO385" s="2" t="s">
        <v>188</v>
      </c>
      <c r="AR385" s="2">
        <v>3.5</v>
      </c>
      <c r="AS385" s="2">
        <v>2</v>
      </c>
      <c r="AT385" s="2">
        <v>13</v>
      </c>
      <c r="AU385" s="2" t="s">
        <v>189</v>
      </c>
      <c r="AV385" s="2" t="s">
        <v>189</v>
      </c>
      <c r="AW385" s="2" t="s">
        <v>188</v>
      </c>
      <c r="AZ385" s="2" t="s">
        <v>190</v>
      </c>
      <c r="BB385" s="2" t="s">
        <v>260</v>
      </c>
      <c r="BC385" s="2" t="s">
        <v>253</v>
      </c>
      <c r="BD385" s="2" t="s">
        <v>187</v>
      </c>
      <c r="BE385" s="2" t="s">
        <v>187</v>
      </c>
      <c r="BF385" s="2" t="s">
        <v>193</v>
      </c>
      <c r="BG385" s="2" t="s">
        <v>194</v>
      </c>
      <c r="BH385" s="2" t="s">
        <v>297</v>
      </c>
      <c r="BI385" s="2" t="s">
        <v>196</v>
      </c>
      <c r="BL385" s="2" t="s">
        <v>197</v>
      </c>
      <c r="BM385" s="2" t="s">
        <v>198</v>
      </c>
      <c r="BN385" s="2" t="s">
        <v>199</v>
      </c>
      <c r="BO385" s="2" t="s">
        <v>188</v>
      </c>
      <c r="BQ385" s="2" t="s">
        <v>309</v>
      </c>
      <c r="BS385" s="2" t="s">
        <v>187</v>
      </c>
      <c r="BT385" s="2" t="s">
        <v>521</v>
      </c>
      <c r="BV385" s="2" t="s">
        <v>389</v>
      </c>
      <c r="BX385" s="2" t="s">
        <v>187</v>
      </c>
      <c r="BY385" s="2" t="s">
        <v>310</v>
      </c>
      <c r="BZ385" s="2" t="s">
        <v>188</v>
      </c>
      <c r="CE385" s="2">
        <v>13</v>
      </c>
      <c r="CF385" s="2">
        <v>1300</v>
      </c>
      <c r="CK385" s="2">
        <v>100</v>
      </c>
      <c r="CO385" s="2">
        <v>100</v>
      </c>
      <c r="CR385" s="2" t="s">
        <v>204</v>
      </c>
      <c r="CT385" s="2" t="s">
        <v>188</v>
      </c>
      <c r="CU385" s="2" t="s">
        <v>205</v>
      </c>
      <c r="CW385" s="2" t="s">
        <v>206</v>
      </c>
      <c r="CY385" s="2" t="s">
        <v>207</v>
      </c>
      <c r="CZ385" s="2" t="s">
        <v>299</v>
      </c>
      <c r="DA385" s="2" t="s">
        <v>299</v>
      </c>
      <c r="DB385" s="2" t="s">
        <v>301</v>
      </c>
      <c r="DC385" s="2" t="s">
        <v>208</v>
      </c>
      <c r="DD385" s="2" t="s">
        <v>301</v>
      </c>
      <c r="DE385" s="2" t="s">
        <v>208</v>
      </c>
      <c r="DF385" s="2" t="s">
        <v>208</v>
      </c>
      <c r="DG385" s="2" t="s">
        <v>208</v>
      </c>
      <c r="DH385" s="2" t="s">
        <v>208</v>
      </c>
      <c r="DI385" s="2" t="s">
        <v>208</v>
      </c>
      <c r="DL385" s="2" t="s">
        <v>187</v>
      </c>
      <c r="DM385" s="2" t="s">
        <v>188</v>
      </c>
      <c r="DP385" s="2" t="s">
        <v>203</v>
      </c>
      <c r="DT385" s="2" t="s">
        <v>209</v>
      </c>
      <c r="DU385" s="2" t="s">
        <v>209</v>
      </c>
      <c r="DV385" s="2" t="s">
        <v>209</v>
      </c>
      <c r="DW385" s="2" t="s">
        <v>209</v>
      </c>
      <c r="DX385" s="2" t="s">
        <v>209</v>
      </c>
      <c r="DY385" s="2" t="s">
        <v>209</v>
      </c>
      <c r="DZ385" s="2" t="s">
        <v>209</v>
      </c>
      <c r="EA385" s="2" t="s">
        <v>209</v>
      </c>
      <c r="EB385" s="2" t="s">
        <v>209</v>
      </c>
      <c r="EC385" s="2" t="s">
        <v>203</v>
      </c>
      <c r="EF385" s="2" t="s">
        <v>211</v>
      </c>
      <c r="EJ385" s="2" t="s">
        <v>189</v>
      </c>
      <c r="EK385" s="2" t="s">
        <v>187</v>
      </c>
      <c r="EL385" s="2" t="s">
        <v>188</v>
      </c>
      <c r="EN385" s="2" t="s">
        <v>214</v>
      </c>
      <c r="EP385" s="2" t="s">
        <v>230</v>
      </c>
      <c r="ER385" s="2" t="s">
        <v>187</v>
      </c>
      <c r="ET385" s="2" t="s">
        <v>188</v>
      </c>
      <c r="EV385" s="2" t="s">
        <v>187</v>
      </c>
      <c r="EW385" s="2" t="s">
        <v>189</v>
      </c>
      <c r="EX385" s="2" t="s">
        <v>188</v>
      </c>
      <c r="EZ385" s="2" t="s">
        <v>188</v>
      </c>
      <c r="FC385" s="2" t="s">
        <v>216</v>
      </c>
      <c r="FD385" s="2" t="s">
        <v>188</v>
      </c>
      <c r="FH385" s="2" t="s">
        <v>188</v>
      </c>
      <c r="FJ385" s="2" t="s">
        <v>187</v>
      </c>
      <c r="FK385" s="2" t="s">
        <v>209</v>
      </c>
      <c r="FL385" s="2" t="s">
        <v>319</v>
      </c>
      <c r="FN385" s="2" t="s">
        <v>282</v>
      </c>
      <c r="FT385" s="2" t="s">
        <v>219</v>
      </c>
      <c r="FU385" s="2" t="s">
        <v>219</v>
      </c>
      <c r="FV385" s="2" t="s">
        <v>219</v>
      </c>
      <c r="FW385" s="2" t="s">
        <v>219</v>
      </c>
      <c r="FZ385" s="4">
        <v>46039.985925925925</v>
      </c>
    </row>
    <row r="386" spans="1:182">
      <c r="A386" s="2" t="s">
        <v>2504</v>
      </c>
      <c r="D386" s="6">
        <v>46035.625509259262</v>
      </c>
      <c r="E386" s="2" t="s">
        <v>177</v>
      </c>
      <c r="F386" s="2" t="s">
        <v>293</v>
      </c>
      <c r="G386" s="2" t="s">
        <v>2273</v>
      </c>
      <c r="H386" s="2" t="s">
        <v>2505</v>
      </c>
      <c r="I386" s="2" t="s">
        <v>2506</v>
      </c>
      <c r="J386" s="2">
        <v>355449225</v>
      </c>
      <c r="K386" s="2" t="s">
        <v>2506</v>
      </c>
      <c r="L386" s="2" t="s">
        <v>182</v>
      </c>
      <c r="M386" s="2" t="s">
        <v>183</v>
      </c>
      <c r="N386" s="2">
        <v>1988</v>
      </c>
      <c r="O386" s="2" t="s">
        <v>224</v>
      </c>
      <c r="P386" s="2" t="s">
        <v>185</v>
      </c>
      <c r="Q386" s="2" t="s">
        <v>2207</v>
      </c>
      <c r="R386" s="2" t="s">
        <v>188</v>
      </c>
      <c r="S386" s="2">
        <v>2012</v>
      </c>
      <c r="T386" s="2" t="s">
        <v>188</v>
      </c>
      <c r="U386" s="2" t="s">
        <v>188</v>
      </c>
      <c r="Y386" s="2">
        <v>930</v>
      </c>
      <c r="Z386" s="2">
        <v>1</v>
      </c>
      <c r="AA386" s="2">
        <v>930</v>
      </c>
      <c r="AB386" s="2">
        <v>930</v>
      </c>
      <c r="AC386" s="2">
        <v>680</v>
      </c>
      <c r="AD386" s="2">
        <v>800</v>
      </c>
      <c r="AE386" s="2">
        <v>120</v>
      </c>
      <c r="AF386" s="2" t="s">
        <v>188</v>
      </c>
      <c r="AG386" s="2" t="s">
        <v>187</v>
      </c>
      <c r="AH386" s="2" t="s">
        <v>187</v>
      </c>
      <c r="AI386" s="2" t="s">
        <v>2507</v>
      </c>
      <c r="AJ386" s="2" t="s">
        <v>188</v>
      </c>
      <c r="AK386" s="2" t="s">
        <v>188</v>
      </c>
      <c r="AL386" s="2" t="s">
        <v>188</v>
      </c>
      <c r="AM386" s="2" t="s">
        <v>187</v>
      </c>
      <c r="AN386" s="2" t="s">
        <v>188</v>
      </c>
      <c r="AO386" s="2" t="s">
        <v>188</v>
      </c>
      <c r="AR386" s="2">
        <v>3.5</v>
      </c>
      <c r="AS386" s="2">
        <v>2</v>
      </c>
      <c r="AT386" s="2">
        <v>8</v>
      </c>
      <c r="AU386" s="2" t="s">
        <v>212</v>
      </c>
      <c r="AV386" s="2" t="s">
        <v>212</v>
      </c>
      <c r="AW386" s="2" t="s">
        <v>188</v>
      </c>
      <c r="AZ386" s="2" t="s">
        <v>190</v>
      </c>
      <c r="BB386" s="2" t="s">
        <v>260</v>
      </c>
      <c r="BC386" s="2" t="s">
        <v>253</v>
      </c>
      <c r="BD386" s="2" t="s">
        <v>187</v>
      </c>
      <c r="BE386" s="2" t="s">
        <v>187</v>
      </c>
      <c r="BF386" s="2" t="s">
        <v>193</v>
      </c>
      <c r="BG386" s="2" t="s">
        <v>194</v>
      </c>
      <c r="BH386" s="2" t="s">
        <v>195</v>
      </c>
      <c r="BI386" s="2" t="s">
        <v>196</v>
      </c>
      <c r="BL386" s="2" t="s">
        <v>197</v>
      </c>
      <c r="BM386" s="2" t="s">
        <v>198</v>
      </c>
      <c r="BN386" s="2" t="s">
        <v>199</v>
      </c>
      <c r="BO386" s="2" t="s">
        <v>188</v>
      </c>
      <c r="BQ386" s="2" t="s">
        <v>200</v>
      </c>
      <c r="BS386" s="2" t="s">
        <v>187</v>
      </c>
      <c r="BT386" s="2" t="s">
        <v>261</v>
      </c>
      <c r="BV386" s="2" t="s">
        <v>2508</v>
      </c>
      <c r="BX386" s="2" t="s">
        <v>187</v>
      </c>
      <c r="BY386" s="2" t="s">
        <v>310</v>
      </c>
      <c r="BZ386" s="2" t="s">
        <v>188</v>
      </c>
      <c r="CE386" s="2">
        <v>8</v>
      </c>
      <c r="CF386" s="2">
        <v>790</v>
      </c>
      <c r="CK386" s="2">
        <v>100</v>
      </c>
      <c r="CO386" s="2">
        <v>100</v>
      </c>
      <c r="CR386" s="2" t="s">
        <v>204</v>
      </c>
      <c r="CT386" s="2" t="s">
        <v>188</v>
      </c>
      <c r="CU386" s="2" t="s">
        <v>249</v>
      </c>
      <c r="CW386" s="2" t="s">
        <v>206</v>
      </c>
      <c r="CY386" s="2" t="s">
        <v>299</v>
      </c>
      <c r="CZ386" s="2" t="s">
        <v>299</v>
      </c>
      <c r="DA386" s="2" t="s">
        <v>300</v>
      </c>
      <c r="DB386" s="2" t="s">
        <v>299</v>
      </c>
      <c r="DC386" s="2" t="s">
        <v>299</v>
      </c>
      <c r="DD386" s="2" t="s">
        <v>299</v>
      </c>
      <c r="DE386" s="2" t="s">
        <v>300</v>
      </c>
      <c r="DF386" s="2" t="s">
        <v>300</v>
      </c>
      <c r="DG386" s="2" t="s">
        <v>208</v>
      </c>
      <c r="DH386" s="2" t="s">
        <v>208</v>
      </c>
      <c r="DI386" s="2" t="s">
        <v>208</v>
      </c>
      <c r="DL386" s="2" t="s">
        <v>187</v>
      </c>
      <c r="DM386" s="2" t="s">
        <v>188</v>
      </c>
      <c r="DP386" s="2" t="s">
        <v>209</v>
      </c>
      <c r="DQ386" s="2" t="s">
        <v>210</v>
      </c>
      <c r="DT386" s="2" t="s">
        <v>209</v>
      </c>
      <c r="DU386" s="2" t="s">
        <v>209</v>
      </c>
      <c r="DV386" s="2" t="s">
        <v>209</v>
      </c>
      <c r="DW386" s="2" t="s">
        <v>209</v>
      </c>
      <c r="DX386" s="2" t="s">
        <v>209</v>
      </c>
      <c r="DY386" s="2" t="s">
        <v>209</v>
      </c>
      <c r="DZ386" s="2" t="s">
        <v>209</v>
      </c>
      <c r="EA386" s="2" t="s">
        <v>209</v>
      </c>
      <c r="EB386" s="2" t="s">
        <v>209</v>
      </c>
      <c r="EC386" s="2" t="s">
        <v>203</v>
      </c>
      <c r="ED386" s="2" t="s">
        <v>203</v>
      </c>
      <c r="EF386" s="2" t="s">
        <v>211</v>
      </c>
      <c r="EJ386" s="2" t="s">
        <v>189</v>
      </c>
      <c r="EK386" s="2" t="s">
        <v>187</v>
      </c>
      <c r="EL386" s="2" t="s">
        <v>188</v>
      </c>
      <c r="EN386" s="2" t="s">
        <v>393</v>
      </c>
      <c r="EP386" s="2" t="s">
        <v>394</v>
      </c>
      <c r="ER386" s="2" t="s">
        <v>188</v>
      </c>
      <c r="ET386" s="2" t="s">
        <v>188</v>
      </c>
      <c r="EV386" s="2" t="s">
        <v>188</v>
      </c>
      <c r="EX386" s="2" t="s">
        <v>188</v>
      </c>
      <c r="EZ386" s="2" t="s">
        <v>188</v>
      </c>
      <c r="FC386" s="2" t="s">
        <v>216</v>
      </c>
      <c r="FH386" s="2" t="s">
        <v>188</v>
      </c>
      <c r="FJ386" s="2" t="s">
        <v>187</v>
      </c>
      <c r="FK386" s="2" t="s">
        <v>209</v>
      </c>
      <c r="FL386" s="2" t="s">
        <v>319</v>
      </c>
      <c r="FN386" s="2" t="s">
        <v>819</v>
      </c>
      <c r="FT386" s="2" t="s">
        <v>219</v>
      </c>
      <c r="FU386" s="2" t="s">
        <v>219</v>
      </c>
      <c r="FV386" s="2" t="s">
        <v>219</v>
      </c>
      <c r="FW386" s="2" t="s">
        <v>219</v>
      </c>
      <c r="FZ386" s="4">
        <v>46039.995243055557</v>
      </c>
    </row>
    <row r="387" spans="1:182">
      <c r="A387" s="2" t="s">
        <v>2509</v>
      </c>
      <c r="D387" s="6">
        <v>46035.63045138889</v>
      </c>
      <c r="E387" s="2" t="s">
        <v>177</v>
      </c>
      <c r="F387" s="2" t="s">
        <v>293</v>
      </c>
      <c r="G387" s="2" t="s">
        <v>2273</v>
      </c>
      <c r="H387" s="2" t="s">
        <v>2314</v>
      </c>
      <c r="I387" s="2" t="s">
        <v>2510</v>
      </c>
      <c r="J387" s="2">
        <v>968782786</v>
      </c>
      <c r="K387" s="2" t="s">
        <v>2510</v>
      </c>
      <c r="L387" s="2" t="s">
        <v>182</v>
      </c>
      <c r="M387" s="2" t="s">
        <v>183</v>
      </c>
      <c r="N387" s="2">
        <v>1986</v>
      </c>
      <c r="O387" s="2" t="s">
        <v>224</v>
      </c>
      <c r="P387" s="2" t="s">
        <v>185</v>
      </c>
      <c r="Q387" s="2" t="s">
        <v>2207</v>
      </c>
      <c r="R387" s="2" t="s">
        <v>188</v>
      </c>
      <c r="S387" s="2">
        <v>2012</v>
      </c>
      <c r="T387" s="2" t="s">
        <v>188</v>
      </c>
      <c r="U387" s="2" t="s">
        <v>188</v>
      </c>
      <c r="Y387" s="2">
        <v>1100</v>
      </c>
      <c r="Z387" s="2">
        <v>1</v>
      </c>
      <c r="AA387" s="2">
        <v>1100</v>
      </c>
      <c r="AB387" s="2">
        <v>1020</v>
      </c>
      <c r="AC387" s="2">
        <v>620</v>
      </c>
      <c r="AD387" s="2">
        <v>700</v>
      </c>
      <c r="AE387" s="2">
        <v>80</v>
      </c>
      <c r="AF387" s="2" t="s">
        <v>188</v>
      </c>
      <c r="AG387" s="2" t="s">
        <v>187</v>
      </c>
      <c r="AH387" s="2" t="s">
        <v>187</v>
      </c>
      <c r="AI387" s="2" t="s">
        <v>2511</v>
      </c>
      <c r="AJ387" s="2" t="s">
        <v>188</v>
      </c>
      <c r="AK387" s="2" t="s">
        <v>188</v>
      </c>
      <c r="AL387" s="2" t="s">
        <v>188</v>
      </c>
      <c r="AM387" s="2" t="s">
        <v>187</v>
      </c>
      <c r="AN387" s="2" t="s">
        <v>188</v>
      </c>
      <c r="AO387" s="2" t="s">
        <v>188</v>
      </c>
      <c r="AR387" s="2">
        <v>3</v>
      </c>
      <c r="AS387" s="2">
        <v>2</v>
      </c>
      <c r="AT387" s="2">
        <v>8</v>
      </c>
      <c r="AU387" s="2" t="s">
        <v>189</v>
      </c>
      <c r="AV387" s="2" t="s">
        <v>189</v>
      </c>
      <c r="AW387" s="2" t="s">
        <v>188</v>
      </c>
      <c r="AZ387" s="2" t="s">
        <v>190</v>
      </c>
      <c r="BB387" s="2" t="s">
        <v>260</v>
      </c>
      <c r="BC387" s="2" t="s">
        <v>253</v>
      </c>
      <c r="BD387" s="2" t="s">
        <v>187</v>
      </c>
      <c r="BE387" s="2" t="s">
        <v>187</v>
      </c>
      <c r="BF387" s="2" t="s">
        <v>193</v>
      </c>
      <c r="BG387" s="2" t="s">
        <v>194</v>
      </c>
      <c r="BH387" s="2" t="s">
        <v>195</v>
      </c>
      <c r="BI387" s="2" t="s">
        <v>196</v>
      </c>
      <c r="BL387" s="2" t="s">
        <v>197</v>
      </c>
      <c r="BM387" s="2" t="s">
        <v>198</v>
      </c>
      <c r="BN387" s="2" t="s">
        <v>199</v>
      </c>
      <c r="BO387" s="2" t="s">
        <v>188</v>
      </c>
      <c r="BQ387" s="2" t="s">
        <v>200</v>
      </c>
      <c r="BS387" s="2" t="s">
        <v>187</v>
      </c>
      <c r="BT387" s="2" t="s">
        <v>261</v>
      </c>
      <c r="BV387" s="2" t="s">
        <v>495</v>
      </c>
      <c r="BX387" s="2" t="s">
        <v>187</v>
      </c>
      <c r="BY387" s="2" t="s">
        <v>310</v>
      </c>
      <c r="BZ387" s="2" t="s">
        <v>188</v>
      </c>
      <c r="CE387" s="2">
        <v>8</v>
      </c>
      <c r="CF387" s="2">
        <v>780</v>
      </c>
      <c r="CK387" s="2">
        <v>100</v>
      </c>
      <c r="CO387" s="2">
        <v>100</v>
      </c>
      <c r="CR387" s="2" t="s">
        <v>204</v>
      </c>
      <c r="CT387" s="2" t="s">
        <v>188</v>
      </c>
      <c r="CU387" s="2" t="s">
        <v>205</v>
      </c>
      <c r="CW387" s="2" t="s">
        <v>206</v>
      </c>
      <c r="CY387" s="2" t="s">
        <v>299</v>
      </c>
      <c r="CZ387" s="2" t="s">
        <v>299</v>
      </c>
      <c r="DA387" s="2" t="s">
        <v>299</v>
      </c>
      <c r="DB387" s="2" t="s">
        <v>300</v>
      </c>
      <c r="DC387" s="2" t="s">
        <v>208</v>
      </c>
      <c r="DD387" s="2" t="s">
        <v>301</v>
      </c>
      <c r="DE387" s="2" t="s">
        <v>208</v>
      </c>
      <c r="DF387" s="2" t="s">
        <v>300</v>
      </c>
      <c r="DG387" s="2" t="s">
        <v>208</v>
      </c>
      <c r="DH387" s="2" t="s">
        <v>208</v>
      </c>
      <c r="DI387" s="2" t="s">
        <v>208</v>
      </c>
      <c r="DL387" s="2" t="s">
        <v>187</v>
      </c>
      <c r="DM387" s="2" t="s">
        <v>188</v>
      </c>
      <c r="DP387" s="2" t="s">
        <v>203</v>
      </c>
      <c r="DT387" s="2" t="s">
        <v>209</v>
      </c>
      <c r="DU387" s="2" t="s">
        <v>209</v>
      </c>
      <c r="DV387" s="2" t="s">
        <v>209</v>
      </c>
      <c r="DW387" s="2" t="s">
        <v>209</v>
      </c>
      <c r="DX387" s="2" t="s">
        <v>209</v>
      </c>
      <c r="DY387" s="2" t="s">
        <v>209</v>
      </c>
      <c r="DZ387" s="2" t="s">
        <v>209</v>
      </c>
      <c r="EA387" s="2" t="s">
        <v>209</v>
      </c>
      <c r="EB387" s="2" t="s">
        <v>209</v>
      </c>
      <c r="EF387" s="2" t="s">
        <v>211</v>
      </c>
      <c r="EJ387" s="2" t="s">
        <v>189</v>
      </c>
      <c r="EK387" s="2" t="s">
        <v>188</v>
      </c>
      <c r="EL387" s="2" t="s">
        <v>188</v>
      </c>
      <c r="EN387" s="2" t="s">
        <v>393</v>
      </c>
      <c r="EP387" s="2" t="s">
        <v>394</v>
      </c>
      <c r="ER387" s="2" t="s">
        <v>187</v>
      </c>
      <c r="ET387" s="2" t="s">
        <v>188</v>
      </c>
      <c r="EV387" s="2" t="s">
        <v>187</v>
      </c>
      <c r="EW387" s="2" t="s">
        <v>215</v>
      </c>
      <c r="EX387" s="2" t="s">
        <v>187</v>
      </c>
      <c r="EY387" s="2" t="s">
        <v>215</v>
      </c>
      <c r="EZ387" s="2" t="s">
        <v>188</v>
      </c>
      <c r="FC387" s="2" t="s">
        <v>216</v>
      </c>
      <c r="FD387" s="2" t="s">
        <v>188</v>
      </c>
      <c r="FH387" s="2" t="s">
        <v>188</v>
      </c>
      <c r="FJ387" s="2" t="s">
        <v>187</v>
      </c>
      <c r="FK387" s="2" t="s">
        <v>209</v>
      </c>
      <c r="FL387" s="2" t="s">
        <v>319</v>
      </c>
      <c r="FN387" s="2" t="s">
        <v>819</v>
      </c>
      <c r="FT387" s="2" t="s">
        <v>219</v>
      </c>
      <c r="FU387" s="2" t="s">
        <v>219</v>
      </c>
      <c r="FV387" s="2" t="s">
        <v>219</v>
      </c>
      <c r="FW387" s="2" t="s">
        <v>219</v>
      </c>
      <c r="FZ387" s="4">
        <v>46040.004363425927</v>
      </c>
    </row>
    <row r="388" spans="1:182">
      <c r="A388" s="2" t="s">
        <v>2512</v>
      </c>
      <c r="D388" s="6">
        <v>46035.632916666669</v>
      </c>
      <c r="E388" s="2" t="s">
        <v>2513</v>
      </c>
      <c r="F388" s="2" t="s">
        <v>398</v>
      </c>
      <c r="G388" s="2" t="s">
        <v>2273</v>
      </c>
      <c r="H388" s="2" t="s">
        <v>2308</v>
      </c>
      <c r="I388" s="2" t="s">
        <v>2514</v>
      </c>
      <c r="J388" s="2">
        <v>366475370</v>
      </c>
      <c r="K388" s="2" t="s">
        <v>2514</v>
      </c>
      <c r="L388" s="2" t="s">
        <v>182</v>
      </c>
      <c r="M388" s="2" t="s">
        <v>223</v>
      </c>
      <c r="N388" s="2">
        <v>1956</v>
      </c>
      <c r="O388" s="2" t="s">
        <v>224</v>
      </c>
      <c r="P388" s="2" t="s">
        <v>225</v>
      </c>
      <c r="Q388" s="2" t="s">
        <v>603</v>
      </c>
      <c r="R388" s="2" t="s">
        <v>188</v>
      </c>
      <c r="S388" s="2">
        <v>6</v>
      </c>
      <c r="T388" s="2" t="s">
        <v>188</v>
      </c>
      <c r="U388" s="2" t="s">
        <v>188</v>
      </c>
      <c r="Y388" s="2">
        <v>300</v>
      </c>
      <c r="Z388" s="2">
        <v>1</v>
      </c>
      <c r="AA388" s="2">
        <v>300</v>
      </c>
      <c r="AB388" s="2">
        <v>300</v>
      </c>
      <c r="AC388" s="2">
        <v>300</v>
      </c>
      <c r="AD388" s="2">
        <v>370</v>
      </c>
      <c r="AE388" s="2">
        <v>70</v>
      </c>
      <c r="AF388" s="2" t="s">
        <v>188</v>
      </c>
      <c r="AG388" s="2" t="s">
        <v>188</v>
      </c>
      <c r="AH388" s="2" t="s">
        <v>188</v>
      </c>
      <c r="AJ388" s="2" t="s">
        <v>188</v>
      </c>
      <c r="AK388" s="2" t="s">
        <v>188</v>
      </c>
      <c r="AL388" s="2" t="s">
        <v>188</v>
      </c>
      <c r="AM388" s="2" t="s">
        <v>188</v>
      </c>
      <c r="AN388" s="2" t="s">
        <v>188</v>
      </c>
      <c r="AO388" s="2" t="s">
        <v>188</v>
      </c>
      <c r="AR388" s="2">
        <v>2</v>
      </c>
      <c r="AS388" s="2">
        <v>1</v>
      </c>
      <c r="AT388" s="2">
        <v>4</v>
      </c>
      <c r="AU388" s="2" t="s">
        <v>189</v>
      </c>
      <c r="AV388" s="2" t="s">
        <v>189</v>
      </c>
      <c r="AW388" s="2" t="s">
        <v>188</v>
      </c>
      <c r="BC388" s="2" t="s">
        <v>192</v>
      </c>
      <c r="BD388" s="2" t="s">
        <v>188</v>
      </c>
      <c r="BE388" s="2" t="s">
        <v>188</v>
      </c>
      <c r="BL388" s="2" t="s">
        <v>240</v>
      </c>
      <c r="BO388" s="2" t="s">
        <v>188</v>
      </c>
      <c r="BQ388" s="2" t="s">
        <v>200</v>
      </c>
      <c r="BS388" s="2" t="s">
        <v>187</v>
      </c>
      <c r="BT388" s="2" t="s">
        <v>410</v>
      </c>
      <c r="BV388" s="2" t="s">
        <v>502</v>
      </c>
      <c r="BX388" s="2" t="s">
        <v>188</v>
      </c>
      <c r="BY388" s="2" t="s">
        <v>459</v>
      </c>
      <c r="BZ388" s="2" t="s">
        <v>203</v>
      </c>
      <c r="CE388" s="2">
        <v>4</v>
      </c>
      <c r="CF388" s="2">
        <v>370</v>
      </c>
      <c r="CK388" s="2">
        <v>100</v>
      </c>
      <c r="CP388" s="2">
        <v>100</v>
      </c>
      <c r="CR388" s="2" t="s">
        <v>204</v>
      </c>
      <c r="CT388" s="2" t="s">
        <v>188</v>
      </c>
      <c r="CU388" s="2" t="s">
        <v>205</v>
      </c>
      <c r="CW388" s="2" t="s">
        <v>206</v>
      </c>
      <c r="CY388" s="2" t="s">
        <v>300</v>
      </c>
      <c r="CZ388" s="2" t="s">
        <v>300</v>
      </c>
      <c r="DA388" s="2" t="s">
        <v>300</v>
      </c>
      <c r="DB388" s="2" t="s">
        <v>300</v>
      </c>
      <c r="DC388" s="2" t="s">
        <v>300</v>
      </c>
      <c r="DD388" s="2" t="s">
        <v>300</v>
      </c>
      <c r="DE388" s="2" t="s">
        <v>300</v>
      </c>
      <c r="DF388" s="2" t="s">
        <v>300</v>
      </c>
      <c r="DG388" s="2" t="s">
        <v>300</v>
      </c>
      <c r="DH388" s="2" t="s">
        <v>300</v>
      </c>
      <c r="DI388" s="2" t="s">
        <v>300</v>
      </c>
      <c r="DL388" s="2" t="s">
        <v>188</v>
      </c>
      <c r="DM388" s="2" t="s">
        <v>188</v>
      </c>
      <c r="DP388" s="2" t="s">
        <v>203</v>
      </c>
      <c r="DT388" s="2" t="s">
        <v>203</v>
      </c>
      <c r="DU388" s="2" t="s">
        <v>203</v>
      </c>
      <c r="DV388" s="2" t="s">
        <v>203</v>
      </c>
      <c r="DW388" s="2" t="s">
        <v>203</v>
      </c>
      <c r="DX388" s="2" t="s">
        <v>203</v>
      </c>
      <c r="DY388" s="2" t="s">
        <v>203</v>
      </c>
      <c r="DZ388" s="2" t="s">
        <v>203</v>
      </c>
      <c r="EA388" s="2" t="s">
        <v>203</v>
      </c>
      <c r="EB388" s="2" t="s">
        <v>203</v>
      </c>
      <c r="EC388" s="2" t="s">
        <v>203</v>
      </c>
      <c r="ED388" s="2" t="s">
        <v>203</v>
      </c>
      <c r="EF388" s="2" t="s">
        <v>302</v>
      </c>
      <c r="EG388" s="2" t="s">
        <v>2515</v>
      </c>
      <c r="EJ388" s="2" t="s">
        <v>238</v>
      </c>
      <c r="EK388" s="2" t="s">
        <v>188</v>
      </c>
      <c r="EL388" s="2" t="s">
        <v>188</v>
      </c>
      <c r="EN388" s="2" t="s">
        <v>597</v>
      </c>
      <c r="EP388" s="2" t="s">
        <v>230</v>
      </c>
      <c r="ER388" s="2" t="s">
        <v>188</v>
      </c>
      <c r="ET388" s="2" t="s">
        <v>188</v>
      </c>
      <c r="EV388" s="2" t="s">
        <v>188</v>
      </c>
      <c r="EX388" s="2" t="s">
        <v>188</v>
      </c>
      <c r="EZ388" s="2" t="s">
        <v>188</v>
      </c>
      <c r="FC388" s="2" t="s">
        <v>216</v>
      </c>
      <c r="FD388" s="2" t="s">
        <v>188</v>
      </c>
      <c r="FH388" s="2" t="s">
        <v>188</v>
      </c>
      <c r="FJ388" s="2" t="s">
        <v>188</v>
      </c>
      <c r="FK388" s="2" t="s">
        <v>203</v>
      </c>
      <c r="FN388" s="2" t="s">
        <v>432</v>
      </c>
      <c r="FR388" s="2" t="s">
        <v>2516</v>
      </c>
      <c r="FT388" s="2" t="s">
        <v>233</v>
      </c>
      <c r="FU388" s="2" t="s">
        <v>233</v>
      </c>
      <c r="FV388" s="2" t="s">
        <v>233</v>
      </c>
      <c r="FW388" s="2" t="s">
        <v>219</v>
      </c>
      <c r="FX388" s="2" t="s">
        <v>219</v>
      </c>
      <c r="FY388" s="2" t="s">
        <v>2517</v>
      </c>
      <c r="FZ388" s="4">
        <v>46040.060879629629</v>
      </c>
    </row>
    <row r="389" spans="1:182">
      <c r="A389" s="2" t="s">
        <v>2518</v>
      </c>
      <c r="D389" s="6">
        <v>46035.637754629628</v>
      </c>
      <c r="E389" s="2" t="s">
        <v>2519</v>
      </c>
      <c r="F389" s="2" t="s">
        <v>590</v>
      </c>
      <c r="G389" s="2" t="s">
        <v>2273</v>
      </c>
      <c r="H389" s="2" t="s">
        <v>2380</v>
      </c>
      <c r="I389" s="2" t="s">
        <v>2520</v>
      </c>
      <c r="J389" s="2" t="s">
        <v>985</v>
      </c>
      <c r="K389" s="2" t="s">
        <v>2520</v>
      </c>
      <c r="L389" s="2" t="s">
        <v>182</v>
      </c>
      <c r="M389" s="2" t="s">
        <v>183</v>
      </c>
      <c r="N389" s="2">
        <v>1990</v>
      </c>
      <c r="O389" s="2" t="s">
        <v>834</v>
      </c>
      <c r="P389" s="2" t="s">
        <v>185</v>
      </c>
      <c r="Q389" s="2" t="s">
        <v>186</v>
      </c>
      <c r="R389" s="2" t="s">
        <v>188</v>
      </c>
      <c r="S389" s="2">
        <v>13</v>
      </c>
      <c r="T389" s="2" t="s">
        <v>188</v>
      </c>
      <c r="U389" s="2" t="s">
        <v>188</v>
      </c>
      <c r="Y389" s="2">
        <v>110</v>
      </c>
      <c r="Z389" s="2">
        <v>1</v>
      </c>
      <c r="AA389" s="2">
        <v>110</v>
      </c>
      <c r="AB389" s="2">
        <v>110</v>
      </c>
      <c r="AC389" s="2">
        <v>110</v>
      </c>
      <c r="AD389" s="2">
        <v>180</v>
      </c>
      <c r="AE389" s="2">
        <v>70</v>
      </c>
      <c r="AF389" s="2" t="s">
        <v>188</v>
      </c>
      <c r="AG389" s="2" t="s">
        <v>188</v>
      </c>
      <c r="AH389" s="2" t="s">
        <v>188</v>
      </c>
      <c r="AJ389" s="2" t="s">
        <v>188</v>
      </c>
      <c r="AK389" s="2" t="s">
        <v>188</v>
      </c>
      <c r="AL389" s="2" t="s">
        <v>188</v>
      </c>
      <c r="AM389" s="2" t="s">
        <v>188</v>
      </c>
      <c r="AN389" s="2" t="s">
        <v>188</v>
      </c>
      <c r="AO389" s="2" t="s">
        <v>188</v>
      </c>
      <c r="AR389" s="2">
        <v>1</v>
      </c>
      <c r="AS389" s="2">
        <v>1</v>
      </c>
      <c r="AT389" s="2">
        <v>1.5</v>
      </c>
      <c r="AU389" s="2" t="s">
        <v>203</v>
      </c>
      <c r="AV389" s="2" t="s">
        <v>189</v>
      </c>
      <c r="AW389" s="2" t="s">
        <v>188</v>
      </c>
      <c r="AZ389" s="2" t="s">
        <v>190</v>
      </c>
      <c r="BB389" s="2" t="s">
        <v>260</v>
      </c>
      <c r="BC389" s="2" t="s">
        <v>296</v>
      </c>
      <c r="BD389" s="2" t="s">
        <v>188</v>
      </c>
      <c r="BE389" s="2" t="s">
        <v>187</v>
      </c>
      <c r="BF389" s="2" t="s">
        <v>193</v>
      </c>
      <c r="BG389" s="2" t="s">
        <v>194</v>
      </c>
      <c r="BH389" s="2" t="s">
        <v>195</v>
      </c>
      <c r="BI389" s="2" t="s">
        <v>196</v>
      </c>
      <c r="BL389" s="2" t="s">
        <v>197</v>
      </c>
      <c r="BM389" s="2" t="s">
        <v>507</v>
      </c>
      <c r="BN389" s="2" t="s">
        <v>199</v>
      </c>
      <c r="BO389" s="2" t="s">
        <v>188</v>
      </c>
      <c r="BQ389" s="2" t="s">
        <v>227</v>
      </c>
      <c r="BS389" s="2" t="s">
        <v>187</v>
      </c>
      <c r="BT389" s="2" t="s">
        <v>594</v>
      </c>
      <c r="BV389" s="2" t="s">
        <v>242</v>
      </c>
      <c r="BX389" s="2" t="s">
        <v>188</v>
      </c>
      <c r="BZ389" s="2" t="s">
        <v>188</v>
      </c>
      <c r="CE389" s="2">
        <v>1.5</v>
      </c>
      <c r="CF389" s="2">
        <v>180</v>
      </c>
      <c r="CK389" s="2">
        <v>100</v>
      </c>
      <c r="CO389" s="2">
        <v>100</v>
      </c>
      <c r="CR389" s="2" t="s">
        <v>204</v>
      </c>
      <c r="CT389" s="2" t="s">
        <v>188</v>
      </c>
      <c r="CU389" s="2" t="s">
        <v>205</v>
      </c>
      <c r="CW389" s="2" t="s">
        <v>206</v>
      </c>
      <c r="CY389" s="2" t="s">
        <v>273</v>
      </c>
      <c r="CZ389" s="2" t="s">
        <v>300</v>
      </c>
      <c r="DA389" s="2" t="s">
        <v>300</v>
      </c>
      <c r="DB389" s="2" t="s">
        <v>300</v>
      </c>
      <c r="DC389" s="2" t="s">
        <v>430</v>
      </c>
      <c r="DD389" s="2" t="s">
        <v>300</v>
      </c>
      <c r="DE389" s="2" t="s">
        <v>300</v>
      </c>
      <c r="DF389" s="2" t="s">
        <v>300</v>
      </c>
      <c r="DG389" s="2" t="s">
        <v>300</v>
      </c>
      <c r="DH389" s="2" t="s">
        <v>300</v>
      </c>
      <c r="DI389" s="2" t="s">
        <v>300</v>
      </c>
      <c r="DL389" s="2" t="s">
        <v>188</v>
      </c>
      <c r="DM389" s="2" t="s">
        <v>188</v>
      </c>
      <c r="DP389" s="2" t="s">
        <v>203</v>
      </c>
      <c r="DT389" s="2" t="s">
        <v>203</v>
      </c>
      <c r="DU389" s="2" t="s">
        <v>203</v>
      </c>
      <c r="DV389" s="2" t="s">
        <v>203</v>
      </c>
      <c r="DW389" s="2" t="s">
        <v>203</v>
      </c>
      <c r="DX389" s="2" t="s">
        <v>203</v>
      </c>
      <c r="DY389" s="2" t="s">
        <v>203</v>
      </c>
      <c r="DZ389" s="2" t="s">
        <v>203</v>
      </c>
      <c r="EA389" s="2" t="s">
        <v>203</v>
      </c>
      <c r="EB389" s="2" t="s">
        <v>203</v>
      </c>
      <c r="EC389" s="2" t="s">
        <v>203</v>
      </c>
      <c r="EF389" s="2" t="s">
        <v>189</v>
      </c>
      <c r="EG389" s="2" t="s">
        <v>2521</v>
      </c>
      <c r="EJ389" s="2" t="s">
        <v>203</v>
      </c>
      <c r="EK389" s="2" t="s">
        <v>188</v>
      </c>
      <c r="EL389" s="2" t="s">
        <v>188</v>
      </c>
      <c r="EN389" s="2" t="s">
        <v>255</v>
      </c>
      <c r="EP389" s="2" t="s">
        <v>230</v>
      </c>
      <c r="ER389" s="2" t="s">
        <v>188</v>
      </c>
      <c r="ET389" s="2" t="s">
        <v>188</v>
      </c>
      <c r="EV389" s="2" t="s">
        <v>188</v>
      </c>
      <c r="EX389" s="2" t="s">
        <v>188</v>
      </c>
      <c r="EZ389" s="2" t="s">
        <v>188</v>
      </c>
      <c r="FC389" s="2" t="s">
        <v>263</v>
      </c>
      <c r="FD389" s="2" t="s">
        <v>188</v>
      </c>
      <c r="FH389" s="2" t="s">
        <v>188</v>
      </c>
      <c r="FJ389" s="2" t="s">
        <v>188</v>
      </c>
      <c r="FK389" s="2" t="s">
        <v>188</v>
      </c>
      <c r="FN389" s="2" t="s">
        <v>432</v>
      </c>
      <c r="FR389" s="2" t="s">
        <v>2522</v>
      </c>
      <c r="FT389" s="2" t="s">
        <v>219</v>
      </c>
      <c r="FU389" s="2" t="s">
        <v>233</v>
      </c>
      <c r="FV389" s="2" t="s">
        <v>219</v>
      </c>
      <c r="FW389" s="2" t="s">
        <v>219</v>
      </c>
      <c r="FZ389" s="4">
        <v>46041.337604166663</v>
      </c>
    </row>
    <row r="390" spans="1:182">
      <c r="A390" s="2" t="s">
        <v>2523</v>
      </c>
      <c r="D390" s="6">
        <v>46035.632407407407</v>
      </c>
      <c r="E390" s="2" t="s">
        <v>2524</v>
      </c>
      <c r="F390" s="2" t="s">
        <v>425</v>
      </c>
      <c r="G390" s="2" t="s">
        <v>2273</v>
      </c>
      <c r="H390" s="2" t="s">
        <v>2371</v>
      </c>
      <c r="I390" s="2" t="s">
        <v>2525</v>
      </c>
      <c r="J390" s="2">
        <v>348556914</v>
      </c>
      <c r="K390" s="2" t="s">
        <v>2525</v>
      </c>
      <c r="L390" s="2" t="s">
        <v>182</v>
      </c>
      <c r="M390" s="2" t="s">
        <v>183</v>
      </c>
      <c r="N390" s="2">
        <v>1962</v>
      </c>
      <c r="O390" s="2" t="s">
        <v>224</v>
      </c>
      <c r="P390" s="2" t="s">
        <v>185</v>
      </c>
      <c r="Q390" s="2" t="s">
        <v>186</v>
      </c>
      <c r="R390" s="2" t="s">
        <v>188</v>
      </c>
      <c r="S390" s="2">
        <v>18</v>
      </c>
      <c r="T390" s="2" t="s">
        <v>188</v>
      </c>
      <c r="U390" s="2" t="s">
        <v>187</v>
      </c>
      <c r="Y390" s="2">
        <v>550</v>
      </c>
      <c r="Z390" s="2">
        <v>1</v>
      </c>
      <c r="AA390" s="2">
        <v>550</v>
      </c>
      <c r="AB390" s="2">
        <v>550</v>
      </c>
      <c r="AC390" s="2">
        <v>550</v>
      </c>
      <c r="AD390" s="2">
        <v>800</v>
      </c>
      <c r="AE390" s="2">
        <v>250</v>
      </c>
      <c r="AF390" s="2" t="s">
        <v>188</v>
      </c>
      <c r="AG390" s="2" t="s">
        <v>188</v>
      </c>
      <c r="AH390" s="2" t="s">
        <v>188</v>
      </c>
      <c r="AJ390" s="2" t="s">
        <v>188</v>
      </c>
      <c r="AK390" s="2" t="s">
        <v>188</v>
      </c>
      <c r="AL390" s="2" t="s">
        <v>188</v>
      </c>
      <c r="AM390" s="2" t="s">
        <v>188</v>
      </c>
      <c r="AN390" s="2" t="s">
        <v>188</v>
      </c>
      <c r="AO390" s="2" t="s">
        <v>188</v>
      </c>
      <c r="AR390" s="2">
        <v>4</v>
      </c>
      <c r="AS390" s="2">
        <v>2</v>
      </c>
      <c r="AT390" s="2">
        <v>8</v>
      </c>
      <c r="AU390" s="2" t="s">
        <v>238</v>
      </c>
      <c r="AV390" s="2" t="s">
        <v>189</v>
      </c>
      <c r="AW390" s="2" t="s">
        <v>188</v>
      </c>
      <c r="AZ390" s="2" t="s">
        <v>247</v>
      </c>
      <c r="BB390" s="2" t="s">
        <v>332</v>
      </c>
      <c r="BC390" s="2" t="s">
        <v>192</v>
      </c>
      <c r="BD390" s="2" t="s">
        <v>187</v>
      </c>
      <c r="BE390" s="2" t="s">
        <v>187</v>
      </c>
      <c r="BF390" s="2" t="s">
        <v>193</v>
      </c>
      <c r="BG390" s="2" t="s">
        <v>194</v>
      </c>
      <c r="BH390" s="2" t="s">
        <v>195</v>
      </c>
      <c r="BI390" s="2" t="s">
        <v>333</v>
      </c>
      <c r="BL390" s="2" t="s">
        <v>197</v>
      </c>
      <c r="BM390" s="2" t="s">
        <v>198</v>
      </c>
      <c r="BN390" s="2" t="s">
        <v>199</v>
      </c>
      <c r="BO390" s="2" t="s">
        <v>188</v>
      </c>
      <c r="BQ390" s="2" t="s">
        <v>200</v>
      </c>
      <c r="BS390" s="2" t="s">
        <v>187</v>
      </c>
      <c r="BT390" s="2" t="s">
        <v>241</v>
      </c>
      <c r="BV390" s="2" t="s">
        <v>242</v>
      </c>
      <c r="BX390" s="2" t="s">
        <v>188</v>
      </c>
      <c r="BZ390" s="2" t="s">
        <v>188</v>
      </c>
      <c r="CE390" s="2">
        <v>8</v>
      </c>
      <c r="CF390" s="2">
        <v>800</v>
      </c>
      <c r="CK390" s="2">
        <v>100</v>
      </c>
      <c r="CO390" s="2">
        <v>100</v>
      </c>
      <c r="CR390" s="2" t="s">
        <v>229</v>
      </c>
      <c r="CT390" s="2" t="s">
        <v>188</v>
      </c>
      <c r="CU390" s="2" t="s">
        <v>205</v>
      </c>
      <c r="CW390" s="2" t="s">
        <v>1039</v>
      </c>
      <c r="CY390" s="2" t="s">
        <v>300</v>
      </c>
      <c r="CZ390" s="2" t="s">
        <v>430</v>
      </c>
      <c r="DA390" s="2" t="s">
        <v>300</v>
      </c>
      <c r="DB390" s="2" t="s">
        <v>430</v>
      </c>
      <c r="DC390" s="2" t="s">
        <v>430</v>
      </c>
      <c r="DD390" s="2" t="s">
        <v>207</v>
      </c>
      <c r="DE390" s="2" t="s">
        <v>300</v>
      </c>
      <c r="DF390" s="2" t="s">
        <v>300</v>
      </c>
      <c r="DG390" s="2" t="s">
        <v>300</v>
      </c>
      <c r="DH390" s="2" t="s">
        <v>300</v>
      </c>
      <c r="DI390" s="2" t="s">
        <v>430</v>
      </c>
      <c r="DL390" s="2" t="s">
        <v>188</v>
      </c>
      <c r="DM390" s="2" t="s">
        <v>188</v>
      </c>
      <c r="DP390" s="2" t="s">
        <v>203</v>
      </c>
      <c r="DT390" s="2" t="s">
        <v>203</v>
      </c>
      <c r="DU390" s="2" t="s">
        <v>203</v>
      </c>
      <c r="DV390" s="2" t="s">
        <v>203</v>
      </c>
      <c r="DW390" s="2" t="s">
        <v>203</v>
      </c>
      <c r="DX390" s="2" t="s">
        <v>203</v>
      </c>
      <c r="DY390" s="2" t="s">
        <v>203</v>
      </c>
      <c r="DZ390" s="2" t="s">
        <v>203</v>
      </c>
      <c r="EA390" s="2" t="s">
        <v>203</v>
      </c>
      <c r="EB390" s="2" t="s">
        <v>203</v>
      </c>
      <c r="EC390" s="2" t="s">
        <v>203</v>
      </c>
      <c r="EF390" s="2" t="s">
        <v>302</v>
      </c>
      <c r="EG390" s="2" t="s">
        <v>431</v>
      </c>
      <c r="EJ390" s="2" t="s">
        <v>238</v>
      </c>
      <c r="EK390" s="2" t="s">
        <v>188</v>
      </c>
      <c r="EL390" s="2" t="s">
        <v>188</v>
      </c>
      <c r="EN390" s="2" t="s">
        <v>255</v>
      </c>
      <c r="EP390" s="2" t="s">
        <v>230</v>
      </c>
      <c r="ER390" s="2" t="s">
        <v>188</v>
      </c>
      <c r="ET390" s="2" t="s">
        <v>188</v>
      </c>
      <c r="EV390" s="2" t="s">
        <v>188</v>
      </c>
      <c r="EX390" s="2" t="s">
        <v>188</v>
      </c>
      <c r="EZ390" s="2" t="s">
        <v>188</v>
      </c>
      <c r="FC390" s="2" t="s">
        <v>216</v>
      </c>
      <c r="FD390" s="2" t="s">
        <v>188</v>
      </c>
      <c r="FH390" s="2" t="s">
        <v>188</v>
      </c>
      <c r="FJ390" s="2" t="s">
        <v>188</v>
      </c>
      <c r="FK390" s="2" t="s">
        <v>188</v>
      </c>
      <c r="FN390" s="2" t="s">
        <v>291</v>
      </c>
      <c r="FO390" s="2" t="s">
        <v>2526</v>
      </c>
      <c r="FR390" s="2" t="s">
        <v>2527</v>
      </c>
      <c r="FT390" s="2" t="s">
        <v>233</v>
      </c>
      <c r="FU390" s="2" t="s">
        <v>233</v>
      </c>
      <c r="FV390" s="2" t="s">
        <v>233</v>
      </c>
      <c r="FW390" s="2" t="s">
        <v>233</v>
      </c>
    </row>
    <row r="391" spans="1:182">
      <c r="A391" s="2" t="s">
        <v>2528</v>
      </c>
      <c r="D391" s="6">
        <v>46035.646423611113</v>
      </c>
      <c r="E391" s="2" t="s">
        <v>177</v>
      </c>
      <c r="F391" s="2" t="s">
        <v>178</v>
      </c>
      <c r="G391" s="2" t="s">
        <v>2273</v>
      </c>
      <c r="H391" s="2" t="s">
        <v>2294</v>
      </c>
      <c r="I391" s="2" t="s">
        <v>2529</v>
      </c>
      <c r="J391" s="2">
        <v>397078036</v>
      </c>
      <c r="K391" s="2" t="s">
        <v>2529</v>
      </c>
      <c r="L391" s="2" t="s">
        <v>182</v>
      </c>
      <c r="M391" s="2" t="s">
        <v>183</v>
      </c>
      <c r="N391" s="2">
        <v>1984</v>
      </c>
      <c r="O391" s="2" t="s">
        <v>834</v>
      </c>
      <c r="P391" s="2" t="s">
        <v>185</v>
      </c>
      <c r="Q391" s="2" t="s">
        <v>186</v>
      </c>
      <c r="R391" s="2" t="s">
        <v>188</v>
      </c>
      <c r="S391" s="2">
        <v>20</v>
      </c>
      <c r="T391" s="2" t="s">
        <v>188</v>
      </c>
      <c r="U391" s="2" t="s">
        <v>188</v>
      </c>
      <c r="Y391" s="2">
        <v>230</v>
      </c>
      <c r="Z391" s="2">
        <v>1</v>
      </c>
      <c r="AA391" s="2">
        <v>230</v>
      </c>
      <c r="AB391" s="2">
        <v>230</v>
      </c>
      <c r="AC391" s="2">
        <v>230</v>
      </c>
      <c r="AD391" s="2">
        <v>250</v>
      </c>
      <c r="AE391" s="2">
        <v>20</v>
      </c>
      <c r="AF391" s="2" t="s">
        <v>188</v>
      </c>
      <c r="AG391" s="2" t="s">
        <v>188</v>
      </c>
      <c r="AH391" s="2" t="s">
        <v>188</v>
      </c>
      <c r="AJ391" s="2" t="s">
        <v>188</v>
      </c>
      <c r="AK391" s="2" t="s">
        <v>188</v>
      </c>
      <c r="AL391" s="2" t="s">
        <v>188</v>
      </c>
      <c r="AM391" s="2" t="s">
        <v>188</v>
      </c>
      <c r="AN391" s="2" t="s">
        <v>188</v>
      </c>
      <c r="AO391" s="2" t="s">
        <v>188</v>
      </c>
      <c r="AR391" s="2">
        <v>1.5</v>
      </c>
      <c r="AS391" s="2">
        <v>4</v>
      </c>
      <c r="AT391" s="2">
        <v>2.5</v>
      </c>
      <c r="AU391" s="2" t="s">
        <v>238</v>
      </c>
      <c r="AV391" s="2" t="s">
        <v>238</v>
      </c>
      <c r="AW391" s="2" t="s">
        <v>188</v>
      </c>
      <c r="AZ391" s="2" t="s">
        <v>190</v>
      </c>
      <c r="BB391" s="2" t="s">
        <v>260</v>
      </c>
      <c r="BC391" s="2" t="s">
        <v>192</v>
      </c>
      <c r="BD391" s="2" t="s">
        <v>188</v>
      </c>
      <c r="BE391" s="2" t="s">
        <v>187</v>
      </c>
      <c r="BF391" s="2" t="s">
        <v>193</v>
      </c>
      <c r="BG391" s="2" t="s">
        <v>194</v>
      </c>
      <c r="BH391" s="2" t="s">
        <v>280</v>
      </c>
      <c r="BI391" s="2" t="s">
        <v>196</v>
      </c>
      <c r="BL391" s="2" t="s">
        <v>240</v>
      </c>
      <c r="BO391" s="2" t="s">
        <v>188</v>
      </c>
      <c r="BQ391" s="2" t="s">
        <v>200</v>
      </c>
      <c r="BS391" s="2" t="s">
        <v>187</v>
      </c>
      <c r="BT391" s="2" t="s">
        <v>261</v>
      </c>
      <c r="BV391" s="2" t="s">
        <v>248</v>
      </c>
      <c r="BX391" s="2" t="s">
        <v>188</v>
      </c>
      <c r="BZ391" s="2" t="s">
        <v>188</v>
      </c>
      <c r="CE391" s="2">
        <v>2.5</v>
      </c>
      <c r="CF391" s="2">
        <v>250</v>
      </c>
      <c r="CK391" s="2">
        <v>100</v>
      </c>
      <c r="CO391" s="2">
        <v>100</v>
      </c>
      <c r="CR391" s="2" t="s">
        <v>204</v>
      </c>
      <c r="CT391" s="2" t="s">
        <v>188</v>
      </c>
      <c r="CU391" s="2" t="s">
        <v>281</v>
      </c>
      <c r="CW391" s="2" t="s">
        <v>206</v>
      </c>
      <c r="CY391" s="2" t="s">
        <v>208</v>
      </c>
      <c r="CZ391" s="2" t="s">
        <v>208</v>
      </c>
      <c r="DA391" s="2" t="s">
        <v>208</v>
      </c>
      <c r="DB391" s="2" t="s">
        <v>208</v>
      </c>
      <c r="DC391" s="2" t="s">
        <v>208</v>
      </c>
      <c r="DD391" s="2" t="s">
        <v>208</v>
      </c>
      <c r="DE391" s="2" t="s">
        <v>208</v>
      </c>
      <c r="DF391" s="2" t="s">
        <v>208</v>
      </c>
      <c r="DG391" s="2" t="s">
        <v>208</v>
      </c>
      <c r="DH391" s="2" t="s">
        <v>208</v>
      </c>
      <c r="DI391" s="2" t="s">
        <v>208</v>
      </c>
      <c r="DL391" s="2" t="s">
        <v>188</v>
      </c>
      <c r="DM391" s="2" t="s">
        <v>188</v>
      </c>
      <c r="DP391" s="2" t="s">
        <v>188</v>
      </c>
      <c r="DT391" s="2" t="s">
        <v>203</v>
      </c>
      <c r="DU391" s="2" t="s">
        <v>203</v>
      </c>
      <c r="DV391" s="2" t="s">
        <v>203</v>
      </c>
      <c r="DW391" s="2" t="s">
        <v>203</v>
      </c>
      <c r="DX391" s="2" t="s">
        <v>203</v>
      </c>
      <c r="DY391" s="2" t="s">
        <v>203</v>
      </c>
      <c r="DZ391" s="2" t="s">
        <v>203</v>
      </c>
      <c r="EA391" s="2" t="s">
        <v>203</v>
      </c>
      <c r="EB391" s="2" t="s">
        <v>203</v>
      </c>
      <c r="EJ391" s="2" t="s">
        <v>203</v>
      </c>
      <c r="EK391" s="2" t="s">
        <v>188</v>
      </c>
      <c r="EL391" s="2" t="s">
        <v>188</v>
      </c>
      <c r="EN391" s="2" t="s">
        <v>255</v>
      </c>
      <c r="EP391" s="2" t="s">
        <v>174</v>
      </c>
      <c r="EQ391" s="2" t="s">
        <v>289</v>
      </c>
      <c r="ET391" s="2" t="s">
        <v>188</v>
      </c>
      <c r="EV391" s="2" t="s">
        <v>188</v>
      </c>
      <c r="EX391" s="2" t="s">
        <v>188</v>
      </c>
      <c r="EZ391" s="2" t="s">
        <v>188</v>
      </c>
      <c r="FC391" s="2" t="s">
        <v>263</v>
      </c>
      <c r="FD391" s="2" t="s">
        <v>188</v>
      </c>
      <c r="FH391" s="2" t="s">
        <v>188</v>
      </c>
      <c r="FJ391" s="2" t="s">
        <v>188</v>
      </c>
      <c r="FK391" s="2" t="s">
        <v>188</v>
      </c>
      <c r="FN391" s="2" t="s">
        <v>488</v>
      </c>
      <c r="FT391" s="2" t="s">
        <v>233</v>
      </c>
      <c r="FU391" s="2" t="s">
        <v>490</v>
      </c>
      <c r="FV391" s="2" t="s">
        <v>233</v>
      </c>
      <c r="FW391" s="2" t="s">
        <v>233</v>
      </c>
      <c r="FZ391" s="4">
        <v>46041.70590277778</v>
      </c>
    </row>
    <row r="392" spans="1:182">
      <c r="A392" s="2" t="s">
        <v>2530</v>
      </c>
      <c r="D392" s="6">
        <v>46035.634780092594</v>
      </c>
      <c r="E392" s="2" t="s">
        <v>2531</v>
      </c>
      <c r="F392" s="2" t="s">
        <v>398</v>
      </c>
      <c r="G392" s="2" t="s">
        <v>2273</v>
      </c>
      <c r="H392" s="2" t="s">
        <v>2446</v>
      </c>
      <c r="I392" s="2" t="s">
        <v>2532</v>
      </c>
      <c r="J392" s="2">
        <v>332972304</v>
      </c>
      <c r="K392" s="2" t="s">
        <v>2532</v>
      </c>
      <c r="L392" s="2" t="s">
        <v>182</v>
      </c>
      <c r="M392" s="2" t="s">
        <v>183</v>
      </c>
      <c r="N392" s="2">
        <v>1962</v>
      </c>
      <c r="O392" s="2" t="s">
        <v>224</v>
      </c>
      <c r="P392" s="2" t="s">
        <v>185</v>
      </c>
      <c r="Q392" s="2" t="s">
        <v>186</v>
      </c>
      <c r="R392" s="2" t="s">
        <v>188</v>
      </c>
      <c r="S392" s="2">
        <v>6</v>
      </c>
      <c r="T392" s="2" t="s">
        <v>188</v>
      </c>
      <c r="U392" s="2" t="s">
        <v>188</v>
      </c>
      <c r="Y392" s="2">
        <v>300</v>
      </c>
      <c r="Z392" s="2">
        <v>1</v>
      </c>
      <c r="AA392" s="2">
        <v>300</v>
      </c>
      <c r="AB392" s="2">
        <v>300</v>
      </c>
      <c r="AC392" s="2">
        <v>300</v>
      </c>
      <c r="AD392" s="2">
        <v>350</v>
      </c>
      <c r="AE392" s="2">
        <v>50</v>
      </c>
      <c r="AF392" s="2" t="s">
        <v>188</v>
      </c>
      <c r="AG392" s="2" t="s">
        <v>188</v>
      </c>
      <c r="AH392" s="2" t="s">
        <v>188</v>
      </c>
      <c r="AJ392" s="2" t="s">
        <v>188</v>
      </c>
      <c r="AK392" s="2" t="s">
        <v>188</v>
      </c>
      <c r="AL392" s="2" t="s">
        <v>188</v>
      </c>
      <c r="AM392" s="2" t="s">
        <v>188</v>
      </c>
      <c r="AN392" s="2" t="s">
        <v>188</v>
      </c>
      <c r="AO392" s="2" t="s">
        <v>188</v>
      </c>
      <c r="AR392" s="2">
        <v>0.85</v>
      </c>
      <c r="AS392" s="2">
        <v>1</v>
      </c>
      <c r="AT392" s="2">
        <v>3.5</v>
      </c>
      <c r="AU392" s="2" t="s">
        <v>189</v>
      </c>
      <c r="AV392" s="2" t="s">
        <v>189</v>
      </c>
      <c r="AW392" s="2" t="s">
        <v>188</v>
      </c>
      <c r="BC392" s="2" t="s">
        <v>192</v>
      </c>
      <c r="BD392" s="2" t="s">
        <v>187</v>
      </c>
      <c r="BE392" s="2" t="s">
        <v>188</v>
      </c>
      <c r="BL392" s="2" t="s">
        <v>197</v>
      </c>
      <c r="BM392" s="2" t="s">
        <v>198</v>
      </c>
      <c r="BN392" s="2" t="s">
        <v>199</v>
      </c>
      <c r="BO392" s="2" t="s">
        <v>188</v>
      </c>
      <c r="BQ392" s="2" t="s">
        <v>200</v>
      </c>
      <c r="BS392" s="2" t="s">
        <v>187</v>
      </c>
      <c r="BT392" s="2" t="s">
        <v>521</v>
      </c>
      <c r="BV392" s="2" t="s">
        <v>567</v>
      </c>
      <c r="BX392" s="2" t="s">
        <v>188</v>
      </c>
      <c r="BY392" s="2" t="s">
        <v>2533</v>
      </c>
      <c r="BZ392" s="2" t="s">
        <v>203</v>
      </c>
      <c r="CE392" s="2">
        <v>3.5</v>
      </c>
      <c r="CF392" s="2">
        <v>350</v>
      </c>
      <c r="CK392" s="2">
        <v>100</v>
      </c>
      <c r="CP392" s="2">
        <v>100</v>
      </c>
      <c r="CR392" s="2" t="s">
        <v>204</v>
      </c>
      <c r="CT392" s="2" t="s">
        <v>188</v>
      </c>
      <c r="CU392" s="2" t="s">
        <v>205</v>
      </c>
      <c r="CW392" s="2" t="s">
        <v>206</v>
      </c>
      <c r="CY392" s="2" t="s">
        <v>300</v>
      </c>
      <c r="CZ392" s="2" t="s">
        <v>300</v>
      </c>
      <c r="DA392" s="2" t="s">
        <v>300</v>
      </c>
      <c r="DB392" s="2" t="s">
        <v>300</v>
      </c>
      <c r="DC392" s="2" t="s">
        <v>300</v>
      </c>
      <c r="DD392" s="2" t="s">
        <v>300</v>
      </c>
      <c r="DE392" s="2" t="s">
        <v>300</v>
      </c>
      <c r="DF392" s="2" t="s">
        <v>300</v>
      </c>
      <c r="DG392" s="2" t="s">
        <v>300</v>
      </c>
      <c r="DH392" s="2" t="s">
        <v>300</v>
      </c>
      <c r="DI392" s="2" t="s">
        <v>300</v>
      </c>
      <c r="DL392" s="2" t="s">
        <v>188</v>
      </c>
      <c r="DM392" s="2" t="s">
        <v>188</v>
      </c>
      <c r="DP392" s="2" t="s">
        <v>203</v>
      </c>
      <c r="DT392" s="2" t="s">
        <v>203</v>
      </c>
      <c r="DU392" s="2" t="s">
        <v>203</v>
      </c>
      <c r="DV392" s="2" t="s">
        <v>203</v>
      </c>
      <c r="DW392" s="2" t="s">
        <v>203</v>
      </c>
      <c r="DX392" s="2" t="s">
        <v>203</v>
      </c>
      <c r="DY392" s="2" t="s">
        <v>203</v>
      </c>
      <c r="DZ392" s="2" t="s">
        <v>203</v>
      </c>
      <c r="EA392" s="2" t="s">
        <v>203</v>
      </c>
      <c r="EB392" s="2" t="s">
        <v>203</v>
      </c>
      <c r="EC392" s="2" t="s">
        <v>203</v>
      </c>
      <c r="ED392" s="2" t="s">
        <v>203</v>
      </c>
      <c r="EF392" s="2" t="s">
        <v>302</v>
      </c>
      <c r="EG392" s="2" t="s">
        <v>2534</v>
      </c>
      <c r="EJ392" s="2" t="s">
        <v>238</v>
      </c>
      <c r="EK392" s="2" t="s">
        <v>188</v>
      </c>
      <c r="EL392" s="2" t="s">
        <v>188</v>
      </c>
      <c r="EN392" s="2" t="s">
        <v>597</v>
      </c>
      <c r="EP392" s="2" t="s">
        <v>230</v>
      </c>
      <c r="ER392" s="2" t="s">
        <v>188</v>
      </c>
      <c r="ET392" s="2" t="s">
        <v>188</v>
      </c>
      <c r="EV392" s="2" t="s">
        <v>188</v>
      </c>
      <c r="EX392" s="2" t="s">
        <v>188</v>
      </c>
      <c r="EZ392" s="2" t="s">
        <v>188</v>
      </c>
      <c r="FC392" s="2" t="s">
        <v>216</v>
      </c>
      <c r="FD392" s="2" t="s">
        <v>188</v>
      </c>
      <c r="FH392" s="2" t="s">
        <v>188</v>
      </c>
      <c r="FJ392" s="2" t="s">
        <v>188</v>
      </c>
      <c r="FK392" s="2" t="s">
        <v>203</v>
      </c>
      <c r="FR392" s="2" t="s">
        <v>461</v>
      </c>
      <c r="FT392" s="2" t="s">
        <v>233</v>
      </c>
      <c r="FU392" s="2" t="s">
        <v>233</v>
      </c>
      <c r="FV392" s="2" t="s">
        <v>233</v>
      </c>
      <c r="FW392" s="2" t="s">
        <v>233</v>
      </c>
      <c r="FX392" s="2" t="s">
        <v>233</v>
      </c>
      <c r="FY392" s="2" t="s">
        <v>2535</v>
      </c>
      <c r="FZ392" s="4">
        <v>46040.06622685185</v>
      </c>
    </row>
    <row r="393" spans="1:182">
      <c r="A393" s="2" t="s">
        <v>2536</v>
      </c>
      <c r="D393" s="6">
        <v>46035.648020833331</v>
      </c>
      <c r="E393" s="2" t="s">
        <v>2537</v>
      </c>
      <c r="F393" s="2" t="s">
        <v>590</v>
      </c>
      <c r="G393" s="2" t="s">
        <v>2273</v>
      </c>
      <c r="H393" s="2" t="s">
        <v>2298</v>
      </c>
      <c r="I393" s="2" t="s">
        <v>2538</v>
      </c>
      <c r="J393" s="2">
        <v>896160031</v>
      </c>
      <c r="K393" s="2" t="s">
        <v>2538</v>
      </c>
      <c r="L393" s="2" t="s">
        <v>182</v>
      </c>
      <c r="M393" s="2" t="s">
        <v>183</v>
      </c>
      <c r="N393" s="2">
        <v>1995</v>
      </c>
      <c r="O393" s="2" t="s">
        <v>834</v>
      </c>
      <c r="P393" s="2" t="s">
        <v>185</v>
      </c>
      <c r="Q393" s="2" t="s">
        <v>270</v>
      </c>
      <c r="R393" s="2" t="s">
        <v>188</v>
      </c>
      <c r="S393" s="2">
        <v>17</v>
      </c>
      <c r="T393" s="2" t="s">
        <v>188</v>
      </c>
      <c r="U393" s="2" t="s">
        <v>188</v>
      </c>
      <c r="Y393" s="2">
        <v>38</v>
      </c>
      <c r="Z393" s="2">
        <v>1</v>
      </c>
      <c r="AA393" s="2">
        <v>38</v>
      </c>
      <c r="AB393" s="2">
        <v>38</v>
      </c>
      <c r="AC393" s="2">
        <v>38</v>
      </c>
      <c r="AD393" s="2">
        <v>48</v>
      </c>
      <c r="AE393" s="2">
        <v>10</v>
      </c>
      <c r="AF393" s="2" t="s">
        <v>188</v>
      </c>
      <c r="AG393" s="2" t="s">
        <v>188</v>
      </c>
      <c r="AH393" s="2" t="s">
        <v>188</v>
      </c>
      <c r="AJ393" s="2" t="s">
        <v>188</v>
      </c>
      <c r="AK393" s="2" t="s">
        <v>188</v>
      </c>
      <c r="AL393" s="2" t="s">
        <v>188</v>
      </c>
      <c r="AM393" s="2" t="s">
        <v>188</v>
      </c>
      <c r="AN393" s="2" t="s">
        <v>188</v>
      </c>
      <c r="AO393" s="2" t="s">
        <v>188</v>
      </c>
      <c r="AR393" s="2">
        <v>0.5</v>
      </c>
      <c r="AS393" s="2">
        <v>1</v>
      </c>
      <c r="AT393" s="2">
        <v>0.4</v>
      </c>
      <c r="AU393" s="2" t="s">
        <v>203</v>
      </c>
      <c r="AV393" s="2" t="s">
        <v>238</v>
      </c>
      <c r="AW393" s="2" t="s">
        <v>188</v>
      </c>
      <c r="AZ393" s="2" t="s">
        <v>190</v>
      </c>
      <c r="BB393" s="2" t="s">
        <v>260</v>
      </c>
      <c r="BC393" s="2" t="s">
        <v>192</v>
      </c>
      <c r="BD393" s="2" t="s">
        <v>188</v>
      </c>
      <c r="BE393" s="2" t="s">
        <v>188</v>
      </c>
      <c r="BL393" s="2" t="s">
        <v>240</v>
      </c>
      <c r="BO393" s="2" t="s">
        <v>341</v>
      </c>
      <c r="BP393" s="2" t="s">
        <v>342</v>
      </c>
      <c r="BS393" s="2" t="s">
        <v>188</v>
      </c>
      <c r="BT393" s="2" t="s">
        <v>594</v>
      </c>
      <c r="BV393" s="2" t="s">
        <v>495</v>
      </c>
      <c r="BX393" s="2" t="s">
        <v>188</v>
      </c>
      <c r="BZ393" s="2" t="s">
        <v>188</v>
      </c>
      <c r="CE393" s="2">
        <v>0.4</v>
      </c>
      <c r="CF393" s="2">
        <v>48</v>
      </c>
      <c r="CK393" s="2">
        <v>100</v>
      </c>
      <c r="CO393" s="2">
        <v>100</v>
      </c>
      <c r="CR393" s="2" t="s">
        <v>204</v>
      </c>
      <c r="CT393" s="2" t="s">
        <v>188</v>
      </c>
      <c r="CU393" s="2" t="s">
        <v>205</v>
      </c>
      <c r="CW393" s="2" t="s">
        <v>206</v>
      </c>
      <c r="CY393" s="2" t="s">
        <v>273</v>
      </c>
      <c r="CZ393" s="2" t="s">
        <v>300</v>
      </c>
      <c r="DA393" s="2" t="s">
        <v>300</v>
      </c>
      <c r="DB393" s="2" t="s">
        <v>300</v>
      </c>
      <c r="DC393" s="2" t="s">
        <v>300</v>
      </c>
      <c r="DD393" s="2" t="s">
        <v>300</v>
      </c>
      <c r="DE393" s="2" t="s">
        <v>300</v>
      </c>
      <c r="DF393" s="2" t="s">
        <v>300</v>
      </c>
      <c r="DG393" s="2" t="s">
        <v>300</v>
      </c>
      <c r="DH393" s="2" t="s">
        <v>300</v>
      </c>
      <c r="DI393" s="2" t="s">
        <v>300</v>
      </c>
      <c r="DL393" s="2" t="s">
        <v>188</v>
      </c>
      <c r="DM393" s="2" t="s">
        <v>188</v>
      </c>
      <c r="DP393" s="2" t="s">
        <v>188</v>
      </c>
      <c r="DT393" s="2" t="s">
        <v>203</v>
      </c>
      <c r="DU393" s="2" t="s">
        <v>203</v>
      </c>
      <c r="DV393" s="2" t="s">
        <v>203</v>
      </c>
      <c r="DW393" s="2" t="s">
        <v>203</v>
      </c>
      <c r="DX393" s="2" t="s">
        <v>203</v>
      </c>
      <c r="DY393" s="2" t="s">
        <v>203</v>
      </c>
      <c r="DZ393" s="2" t="s">
        <v>203</v>
      </c>
      <c r="EA393" s="2" t="s">
        <v>203</v>
      </c>
      <c r="EB393" s="2" t="s">
        <v>203</v>
      </c>
      <c r="EC393" s="2" t="s">
        <v>203</v>
      </c>
      <c r="EF393" s="2" t="s">
        <v>189</v>
      </c>
      <c r="EG393" s="2" t="s">
        <v>2539</v>
      </c>
      <c r="EJ393" s="2" t="s">
        <v>203</v>
      </c>
      <c r="EK393" s="2" t="s">
        <v>188</v>
      </c>
      <c r="EL393" s="2" t="s">
        <v>188</v>
      </c>
      <c r="EN393" s="2" t="s">
        <v>255</v>
      </c>
      <c r="EP393" s="2" t="s">
        <v>230</v>
      </c>
      <c r="ER393" s="2" t="s">
        <v>188</v>
      </c>
      <c r="ET393" s="2" t="s">
        <v>188</v>
      </c>
      <c r="EV393" s="2" t="s">
        <v>188</v>
      </c>
      <c r="EX393" s="2" t="s">
        <v>188</v>
      </c>
      <c r="EZ393" s="2" t="s">
        <v>188</v>
      </c>
      <c r="FC393" s="2" t="s">
        <v>263</v>
      </c>
      <c r="FD393" s="2" t="s">
        <v>188</v>
      </c>
      <c r="FH393" s="2" t="s">
        <v>188</v>
      </c>
      <c r="FJ393" s="2" t="s">
        <v>188</v>
      </c>
      <c r="FK393" s="2" t="s">
        <v>188</v>
      </c>
      <c r="FN393" s="2" t="s">
        <v>282</v>
      </c>
      <c r="FR393" s="2" t="s">
        <v>433</v>
      </c>
      <c r="FT393" s="2" t="s">
        <v>219</v>
      </c>
      <c r="FU393" s="2" t="s">
        <v>233</v>
      </c>
      <c r="FV393" s="2" t="s">
        <v>219</v>
      </c>
      <c r="FW393" s="2" t="s">
        <v>233</v>
      </c>
      <c r="FZ393" s="4">
        <v>46041.385914351849</v>
      </c>
    </row>
    <row r="394" spans="1:182">
      <c r="A394" s="2" t="s">
        <v>2540</v>
      </c>
      <c r="D394" s="6">
        <v>46035.648715277777</v>
      </c>
      <c r="E394" s="2" t="s">
        <v>2541</v>
      </c>
      <c r="F394" s="2" t="s">
        <v>590</v>
      </c>
      <c r="G394" s="2" t="s">
        <v>2273</v>
      </c>
      <c r="H394" s="2" t="s">
        <v>2298</v>
      </c>
      <c r="I394" s="2" t="s">
        <v>2542</v>
      </c>
      <c r="J394" s="2">
        <v>382837244</v>
      </c>
      <c r="K394" s="2" t="s">
        <v>2542</v>
      </c>
      <c r="L394" s="2" t="s">
        <v>182</v>
      </c>
      <c r="M394" s="2" t="s">
        <v>223</v>
      </c>
      <c r="N394" s="2">
        <v>2005</v>
      </c>
      <c r="O394" s="2" t="s">
        <v>834</v>
      </c>
      <c r="P394" s="2" t="s">
        <v>185</v>
      </c>
      <c r="Q394" s="2" t="s">
        <v>186</v>
      </c>
      <c r="R394" s="2" t="s">
        <v>188</v>
      </c>
      <c r="S394" s="2">
        <v>17</v>
      </c>
      <c r="T394" s="2" t="s">
        <v>188</v>
      </c>
      <c r="U394" s="2" t="s">
        <v>188</v>
      </c>
      <c r="Y394" s="2">
        <v>353</v>
      </c>
      <c r="Z394" s="2">
        <v>1</v>
      </c>
      <c r="AA394" s="2">
        <v>353</v>
      </c>
      <c r="AB394" s="2">
        <v>353</v>
      </c>
      <c r="AC394" s="2">
        <v>353</v>
      </c>
      <c r="AD394" s="2">
        <v>360</v>
      </c>
      <c r="AE394" s="2">
        <v>7</v>
      </c>
      <c r="AF394" s="2" t="s">
        <v>188</v>
      </c>
      <c r="AG394" s="2" t="s">
        <v>188</v>
      </c>
      <c r="AH394" s="2" t="s">
        <v>188</v>
      </c>
      <c r="AJ394" s="2" t="s">
        <v>188</v>
      </c>
      <c r="AK394" s="2" t="s">
        <v>188</v>
      </c>
      <c r="AL394" s="2" t="s">
        <v>188</v>
      </c>
      <c r="AM394" s="2" t="s">
        <v>188</v>
      </c>
      <c r="AN394" s="2" t="s">
        <v>188</v>
      </c>
      <c r="AO394" s="2" t="s">
        <v>188</v>
      </c>
      <c r="AR394" s="2">
        <v>0.22</v>
      </c>
      <c r="AS394" s="2">
        <v>1</v>
      </c>
      <c r="AT394" s="2">
        <v>0.3</v>
      </c>
      <c r="AU394" s="2" t="s">
        <v>203</v>
      </c>
      <c r="AV394" s="2" t="s">
        <v>238</v>
      </c>
      <c r="AW394" s="2" t="s">
        <v>188</v>
      </c>
      <c r="AZ394" s="2" t="s">
        <v>190</v>
      </c>
      <c r="BB394" s="2" t="s">
        <v>260</v>
      </c>
      <c r="BC394" s="2" t="s">
        <v>192</v>
      </c>
      <c r="BD394" s="2" t="s">
        <v>188</v>
      </c>
      <c r="BE394" s="2" t="s">
        <v>188</v>
      </c>
      <c r="BL394" s="2" t="s">
        <v>240</v>
      </c>
      <c r="BO394" s="2" t="s">
        <v>188</v>
      </c>
      <c r="BQ394" s="2" t="s">
        <v>227</v>
      </c>
      <c r="BS394" s="2" t="s">
        <v>187</v>
      </c>
      <c r="BT394" s="2" t="s">
        <v>2543</v>
      </c>
      <c r="BV394" s="2" t="s">
        <v>242</v>
      </c>
      <c r="BX394" s="2" t="s">
        <v>188</v>
      </c>
      <c r="BZ394" s="2" t="s">
        <v>188</v>
      </c>
      <c r="CE394" s="2">
        <v>0.3</v>
      </c>
      <c r="CF394" s="2">
        <v>360</v>
      </c>
      <c r="CK394" s="2">
        <v>100</v>
      </c>
      <c r="CO394" s="2">
        <v>100</v>
      </c>
      <c r="CR394" s="2" t="s">
        <v>204</v>
      </c>
      <c r="CT394" s="2" t="s">
        <v>188</v>
      </c>
      <c r="CU394" s="2" t="s">
        <v>205</v>
      </c>
      <c r="CW394" s="2" t="s">
        <v>206</v>
      </c>
      <c r="CY394" s="2" t="s">
        <v>273</v>
      </c>
      <c r="CZ394" s="2" t="s">
        <v>300</v>
      </c>
      <c r="DA394" s="2" t="s">
        <v>300</v>
      </c>
      <c r="DB394" s="2" t="s">
        <v>300</v>
      </c>
      <c r="DC394" s="2" t="s">
        <v>300</v>
      </c>
      <c r="DD394" s="2" t="s">
        <v>300</v>
      </c>
      <c r="DE394" s="2" t="s">
        <v>300</v>
      </c>
      <c r="DF394" s="2" t="s">
        <v>300</v>
      </c>
      <c r="DG394" s="2" t="s">
        <v>300</v>
      </c>
      <c r="DH394" s="2" t="s">
        <v>300</v>
      </c>
      <c r="DI394" s="2" t="s">
        <v>300</v>
      </c>
      <c r="DL394" s="2" t="s">
        <v>188</v>
      </c>
      <c r="DM394" s="2" t="s">
        <v>188</v>
      </c>
      <c r="DP394" s="2" t="s">
        <v>188</v>
      </c>
      <c r="DT394" s="2" t="s">
        <v>203</v>
      </c>
      <c r="DU394" s="2" t="s">
        <v>203</v>
      </c>
      <c r="DV394" s="2" t="s">
        <v>203</v>
      </c>
      <c r="DW394" s="2" t="s">
        <v>203</v>
      </c>
      <c r="DX394" s="2" t="s">
        <v>203</v>
      </c>
      <c r="DY394" s="2" t="s">
        <v>203</v>
      </c>
      <c r="DZ394" s="2" t="s">
        <v>203</v>
      </c>
      <c r="EA394" s="2" t="s">
        <v>203</v>
      </c>
      <c r="EB394" s="2" t="s">
        <v>203</v>
      </c>
      <c r="EC394" s="2" t="s">
        <v>203</v>
      </c>
      <c r="EF394" s="2" t="s">
        <v>189</v>
      </c>
      <c r="EG394" s="2" t="s">
        <v>203</v>
      </c>
      <c r="EJ394" s="2" t="s">
        <v>203</v>
      </c>
      <c r="EK394" s="2" t="s">
        <v>188</v>
      </c>
      <c r="EL394" s="2" t="s">
        <v>188</v>
      </c>
      <c r="EN394" s="2" t="s">
        <v>255</v>
      </c>
      <c r="EP394" s="2" t="s">
        <v>230</v>
      </c>
      <c r="ER394" s="2" t="s">
        <v>188</v>
      </c>
      <c r="ET394" s="2" t="s">
        <v>188</v>
      </c>
      <c r="EV394" s="2" t="s">
        <v>188</v>
      </c>
      <c r="EX394" s="2" t="s">
        <v>188</v>
      </c>
      <c r="EZ394" s="2" t="s">
        <v>188</v>
      </c>
      <c r="FC394" s="2" t="s">
        <v>263</v>
      </c>
      <c r="FD394" s="2" t="s">
        <v>188</v>
      </c>
      <c r="FH394" s="2" t="s">
        <v>188</v>
      </c>
      <c r="FJ394" s="2" t="s">
        <v>188</v>
      </c>
      <c r="FK394" s="2" t="s">
        <v>188</v>
      </c>
      <c r="FN394" s="2" t="s">
        <v>432</v>
      </c>
      <c r="FR394" s="2" t="s">
        <v>976</v>
      </c>
      <c r="FT394" s="2" t="s">
        <v>219</v>
      </c>
      <c r="FU394" s="2" t="s">
        <v>233</v>
      </c>
      <c r="FV394" s="2" t="s">
        <v>219</v>
      </c>
      <c r="FW394" s="2" t="s">
        <v>233</v>
      </c>
      <c r="FZ394" s="4">
        <v>46047.629884259259</v>
      </c>
    </row>
    <row r="395" spans="1:182">
      <c r="A395" s="2" t="s">
        <v>2544</v>
      </c>
      <c r="D395" s="6">
        <v>46035.654548611114</v>
      </c>
      <c r="E395" s="2" t="s">
        <v>2545</v>
      </c>
      <c r="F395" s="2" t="s">
        <v>590</v>
      </c>
      <c r="G395" s="2" t="s">
        <v>2273</v>
      </c>
      <c r="H395" s="2" t="s">
        <v>2298</v>
      </c>
      <c r="I395" s="2" t="s">
        <v>2546</v>
      </c>
      <c r="J395" s="2">
        <v>333813330</v>
      </c>
      <c r="K395" s="2" t="s">
        <v>2546</v>
      </c>
      <c r="L395" s="2" t="s">
        <v>182</v>
      </c>
      <c r="M395" s="2" t="s">
        <v>183</v>
      </c>
      <c r="N395" s="2">
        <v>1993</v>
      </c>
      <c r="O395" s="2" t="s">
        <v>834</v>
      </c>
      <c r="P395" s="2" t="s">
        <v>185</v>
      </c>
      <c r="Q395" s="2" t="s">
        <v>270</v>
      </c>
      <c r="R395" s="2" t="s">
        <v>188</v>
      </c>
      <c r="S395" s="2">
        <v>12</v>
      </c>
      <c r="T395" s="2" t="s">
        <v>188</v>
      </c>
      <c r="U395" s="2" t="s">
        <v>188</v>
      </c>
      <c r="Y395" s="2">
        <v>135</v>
      </c>
      <c r="Z395" s="2">
        <v>1</v>
      </c>
      <c r="AA395" s="2">
        <v>135</v>
      </c>
      <c r="AB395" s="2">
        <v>135</v>
      </c>
      <c r="AC395" s="2">
        <v>135</v>
      </c>
      <c r="AD395" s="2">
        <v>180</v>
      </c>
      <c r="AE395" s="2">
        <v>45</v>
      </c>
      <c r="AF395" s="2" t="s">
        <v>188</v>
      </c>
      <c r="AG395" s="2" t="s">
        <v>188</v>
      </c>
      <c r="AH395" s="2" t="s">
        <v>188</v>
      </c>
      <c r="AJ395" s="2" t="s">
        <v>188</v>
      </c>
      <c r="AK395" s="2" t="s">
        <v>188</v>
      </c>
      <c r="AL395" s="2" t="s">
        <v>188</v>
      </c>
      <c r="AM395" s="2" t="s">
        <v>188</v>
      </c>
      <c r="AN395" s="2" t="s">
        <v>188</v>
      </c>
      <c r="AO395" s="2" t="s">
        <v>188</v>
      </c>
      <c r="AR395" s="2">
        <v>1</v>
      </c>
      <c r="AS395" s="2">
        <v>1</v>
      </c>
      <c r="AT395" s="2">
        <v>1.5</v>
      </c>
      <c r="AU395" s="2" t="s">
        <v>203</v>
      </c>
      <c r="AV395" s="2" t="s">
        <v>238</v>
      </c>
      <c r="AW395" s="2" t="s">
        <v>188</v>
      </c>
      <c r="AZ395" s="2" t="s">
        <v>190</v>
      </c>
      <c r="BB395" s="2" t="s">
        <v>260</v>
      </c>
      <c r="BC395" s="2" t="s">
        <v>192</v>
      </c>
      <c r="BD395" s="2" t="s">
        <v>188</v>
      </c>
      <c r="BE395" s="2" t="s">
        <v>188</v>
      </c>
      <c r="BL395" s="2" t="s">
        <v>240</v>
      </c>
      <c r="BO395" s="2" t="s">
        <v>341</v>
      </c>
      <c r="BP395" s="2" t="s">
        <v>342</v>
      </c>
      <c r="BS395" s="2" t="s">
        <v>188</v>
      </c>
      <c r="BT395" s="2" t="s">
        <v>1703</v>
      </c>
      <c r="BV395" s="2" t="s">
        <v>495</v>
      </c>
      <c r="BX395" s="2" t="s">
        <v>188</v>
      </c>
      <c r="BZ395" s="2" t="s">
        <v>188</v>
      </c>
      <c r="CE395" s="2">
        <v>1.5</v>
      </c>
      <c r="CF395" s="2">
        <v>180</v>
      </c>
      <c r="CK395" s="2">
        <v>100</v>
      </c>
      <c r="CO395" s="2">
        <v>100</v>
      </c>
      <c r="CR395" s="2" t="s">
        <v>204</v>
      </c>
      <c r="CT395" s="2" t="s">
        <v>188</v>
      </c>
      <c r="CU395" s="2" t="s">
        <v>205</v>
      </c>
      <c r="CW395" s="2" t="s">
        <v>206</v>
      </c>
      <c r="CY395" s="2" t="s">
        <v>273</v>
      </c>
      <c r="CZ395" s="2" t="s">
        <v>300</v>
      </c>
      <c r="DA395" s="2" t="s">
        <v>300</v>
      </c>
      <c r="DB395" s="2" t="s">
        <v>300</v>
      </c>
      <c r="DC395" s="2" t="s">
        <v>300</v>
      </c>
      <c r="DD395" s="2" t="s">
        <v>300</v>
      </c>
      <c r="DE395" s="2" t="s">
        <v>300</v>
      </c>
      <c r="DF395" s="2" t="s">
        <v>300</v>
      </c>
      <c r="DG395" s="2" t="s">
        <v>300</v>
      </c>
      <c r="DH395" s="2" t="s">
        <v>300</v>
      </c>
      <c r="DI395" s="2" t="s">
        <v>300</v>
      </c>
      <c r="DL395" s="2" t="s">
        <v>188</v>
      </c>
      <c r="DM395" s="2" t="s">
        <v>188</v>
      </c>
      <c r="DP395" s="2" t="s">
        <v>203</v>
      </c>
      <c r="DT395" s="2" t="s">
        <v>203</v>
      </c>
      <c r="DU395" s="2" t="s">
        <v>203</v>
      </c>
      <c r="DV395" s="2" t="s">
        <v>203</v>
      </c>
      <c r="DW395" s="2" t="s">
        <v>203</v>
      </c>
      <c r="DX395" s="2" t="s">
        <v>203</v>
      </c>
      <c r="DY395" s="2" t="s">
        <v>203</v>
      </c>
      <c r="DZ395" s="2" t="s">
        <v>203</v>
      </c>
      <c r="EA395" s="2" t="s">
        <v>203</v>
      </c>
      <c r="EB395" s="2" t="s">
        <v>203</v>
      </c>
      <c r="EC395" s="2" t="s">
        <v>203</v>
      </c>
      <c r="EF395" s="2" t="s">
        <v>189</v>
      </c>
      <c r="EG395" s="2" t="s">
        <v>203</v>
      </c>
      <c r="EJ395" s="2" t="s">
        <v>203</v>
      </c>
      <c r="EK395" s="2" t="s">
        <v>188</v>
      </c>
      <c r="EL395" s="2" t="s">
        <v>188</v>
      </c>
      <c r="EN395" s="2" t="s">
        <v>255</v>
      </c>
      <c r="EP395" s="2" t="s">
        <v>230</v>
      </c>
      <c r="ER395" s="2" t="s">
        <v>188</v>
      </c>
      <c r="ET395" s="2" t="s">
        <v>188</v>
      </c>
      <c r="EV395" s="2" t="s">
        <v>188</v>
      </c>
      <c r="EX395" s="2" t="s">
        <v>188</v>
      </c>
      <c r="EZ395" s="2" t="s">
        <v>188</v>
      </c>
      <c r="FC395" s="2" t="s">
        <v>263</v>
      </c>
      <c r="FD395" s="2" t="s">
        <v>188</v>
      </c>
      <c r="FH395" s="2" t="s">
        <v>188</v>
      </c>
      <c r="FJ395" s="2" t="s">
        <v>188</v>
      </c>
      <c r="FK395" s="2" t="s">
        <v>188</v>
      </c>
      <c r="FN395" s="2" t="s">
        <v>282</v>
      </c>
      <c r="FR395" s="2" t="s">
        <v>976</v>
      </c>
      <c r="FT395" s="2" t="s">
        <v>219</v>
      </c>
      <c r="FU395" s="2" t="s">
        <v>233</v>
      </c>
      <c r="FV395" s="2" t="s">
        <v>219</v>
      </c>
      <c r="FW395" s="2" t="s">
        <v>233</v>
      </c>
      <c r="FZ395" s="4">
        <v>46047.630462962959</v>
      </c>
    </row>
    <row r="396" spans="1:182">
      <c r="A396" s="2" t="s">
        <v>2547</v>
      </c>
      <c r="D396" s="6">
        <v>46035.660324074073</v>
      </c>
      <c r="E396" s="2" t="s">
        <v>2548</v>
      </c>
      <c r="F396" s="2" t="s">
        <v>425</v>
      </c>
      <c r="G396" s="2" t="s">
        <v>2273</v>
      </c>
      <c r="H396" s="2" t="s">
        <v>2336</v>
      </c>
      <c r="I396" s="2" t="s">
        <v>2549</v>
      </c>
      <c r="J396" s="2">
        <v>379127450</v>
      </c>
      <c r="K396" s="2" t="s">
        <v>2549</v>
      </c>
      <c r="L396" s="2" t="s">
        <v>269</v>
      </c>
      <c r="M396" s="2" t="s">
        <v>183</v>
      </c>
      <c r="N396" s="2">
        <v>1980</v>
      </c>
      <c r="O396" s="2" t="s">
        <v>834</v>
      </c>
      <c r="P396" s="2" t="s">
        <v>185</v>
      </c>
      <c r="Q396" s="2" t="s">
        <v>270</v>
      </c>
      <c r="R396" s="2" t="s">
        <v>188</v>
      </c>
      <c r="S396" s="2">
        <v>27</v>
      </c>
      <c r="T396" s="2" t="s">
        <v>188</v>
      </c>
      <c r="U396" s="2" t="s">
        <v>188</v>
      </c>
      <c r="Y396" s="2">
        <v>260</v>
      </c>
      <c r="Z396" s="2">
        <v>0.92310000000000003</v>
      </c>
      <c r="AA396" s="2">
        <v>240</v>
      </c>
      <c r="AB396" s="2">
        <v>240</v>
      </c>
      <c r="AC396" s="2">
        <v>220</v>
      </c>
      <c r="AD396" s="2">
        <v>310</v>
      </c>
      <c r="AE396" s="2">
        <v>90</v>
      </c>
      <c r="AF396" s="2" t="s">
        <v>188</v>
      </c>
      <c r="AG396" s="2" t="s">
        <v>188</v>
      </c>
      <c r="AH396" s="2" t="s">
        <v>188</v>
      </c>
      <c r="AJ396" s="2" t="s">
        <v>188</v>
      </c>
      <c r="AK396" s="2" t="s">
        <v>188</v>
      </c>
      <c r="AL396" s="2" t="s">
        <v>188</v>
      </c>
      <c r="AM396" s="2" t="s">
        <v>187</v>
      </c>
      <c r="AN396" s="2" t="s">
        <v>188</v>
      </c>
      <c r="AO396" s="2" t="s">
        <v>188</v>
      </c>
      <c r="AR396" s="2">
        <v>1.6</v>
      </c>
      <c r="AS396" s="2">
        <v>3</v>
      </c>
      <c r="AT396" s="2">
        <v>3.2</v>
      </c>
      <c r="AU396" s="2" t="s">
        <v>238</v>
      </c>
      <c r="AV396" s="2" t="s">
        <v>203</v>
      </c>
      <c r="AW396" s="2" t="s">
        <v>188</v>
      </c>
      <c r="AZ396" s="2" t="s">
        <v>239</v>
      </c>
      <c r="BB396" s="2" t="s">
        <v>260</v>
      </c>
      <c r="BC396" s="2" t="s">
        <v>192</v>
      </c>
      <c r="BD396" s="2" t="s">
        <v>188</v>
      </c>
      <c r="BE396" s="2" t="s">
        <v>188</v>
      </c>
      <c r="BL396" s="2" t="s">
        <v>240</v>
      </c>
      <c r="BM396" s="2" t="s">
        <v>198</v>
      </c>
      <c r="BN396" s="2" t="s">
        <v>199</v>
      </c>
      <c r="BO396" s="2" t="s">
        <v>341</v>
      </c>
      <c r="BS396" s="2" t="s">
        <v>187</v>
      </c>
      <c r="BT396" s="2" t="s">
        <v>69</v>
      </c>
      <c r="BU396" s="2" t="s">
        <v>544</v>
      </c>
      <c r="BV396" s="2" t="s">
        <v>248</v>
      </c>
      <c r="BX396" s="2" t="s">
        <v>188</v>
      </c>
      <c r="BY396" s="2" t="s">
        <v>2550</v>
      </c>
      <c r="BZ396" s="2" t="s">
        <v>188</v>
      </c>
      <c r="CE396" s="2">
        <v>3.2</v>
      </c>
      <c r="CF396" s="2">
        <v>310</v>
      </c>
      <c r="CK396" s="2">
        <v>100</v>
      </c>
      <c r="CO396" s="2">
        <v>100</v>
      </c>
      <c r="CR396" s="2" t="s">
        <v>204</v>
      </c>
      <c r="CT396" s="2" t="s">
        <v>188</v>
      </c>
      <c r="CU396" s="2" t="s">
        <v>205</v>
      </c>
      <c r="CW396" s="2" t="s">
        <v>1039</v>
      </c>
      <c r="CY396" s="2" t="s">
        <v>207</v>
      </c>
      <c r="CZ396" s="2" t="s">
        <v>207</v>
      </c>
      <c r="DA396" s="2" t="s">
        <v>300</v>
      </c>
      <c r="DB396" s="2" t="s">
        <v>430</v>
      </c>
      <c r="DC396" s="2" t="s">
        <v>300</v>
      </c>
      <c r="DD396" s="2" t="s">
        <v>430</v>
      </c>
      <c r="DE396" s="2" t="s">
        <v>300</v>
      </c>
      <c r="DF396" s="2" t="s">
        <v>300</v>
      </c>
      <c r="DG396" s="2" t="s">
        <v>300</v>
      </c>
      <c r="DH396" s="2" t="s">
        <v>300</v>
      </c>
      <c r="DI396" s="2" t="s">
        <v>430</v>
      </c>
      <c r="DL396" s="2" t="s">
        <v>188</v>
      </c>
      <c r="DM396" s="2" t="s">
        <v>188</v>
      </c>
      <c r="DP396" s="2" t="s">
        <v>203</v>
      </c>
      <c r="DT396" s="2" t="s">
        <v>203</v>
      </c>
      <c r="DU396" s="2" t="s">
        <v>203</v>
      </c>
      <c r="DV396" s="2" t="s">
        <v>203</v>
      </c>
      <c r="DW396" s="2" t="s">
        <v>203</v>
      </c>
      <c r="DX396" s="2" t="s">
        <v>203</v>
      </c>
      <c r="DY396" s="2" t="s">
        <v>203</v>
      </c>
      <c r="DZ396" s="2" t="s">
        <v>203</v>
      </c>
      <c r="EA396" s="2" t="s">
        <v>203</v>
      </c>
      <c r="EB396" s="2" t="s">
        <v>203</v>
      </c>
      <c r="ED396" s="2" t="s">
        <v>203</v>
      </c>
      <c r="EF396" s="2" t="s">
        <v>302</v>
      </c>
      <c r="EG396" s="2" t="s">
        <v>2551</v>
      </c>
      <c r="EJ396" s="2" t="s">
        <v>203</v>
      </c>
      <c r="EK396" s="2" t="s">
        <v>188</v>
      </c>
      <c r="EL396" s="2" t="s">
        <v>188</v>
      </c>
      <c r="EN396" s="2" t="s">
        <v>255</v>
      </c>
      <c r="EP396" s="2" t="s">
        <v>230</v>
      </c>
      <c r="ER396" s="2" t="s">
        <v>188</v>
      </c>
      <c r="ET396" s="2" t="s">
        <v>188</v>
      </c>
      <c r="EV396" s="2" t="s">
        <v>188</v>
      </c>
      <c r="EX396" s="2" t="s">
        <v>188</v>
      </c>
      <c r="EZ396" s="2" t="s">
        <v>187</v>
      </c>
      <c r="FA396" s="2" t="s">
        <v>2552</v>
      </c>
      <c r="FB396" s="2" t="s">
        <v>215</v>
      </c>
      <c r="FC396" s="2" t="s">
        <v>263</v>
      </c>
      <c r="FD396" s="2" t="s">
        <v>188</v>
      </c>
      <c r="FH396" s="2" t="s">
        <v>188</v>
      </c>
      <c r="FJ396" s="2" t="s">
        <v>188</v>
      </c>
      <c r="FK396" s="2" t="s">
        <v>188</v>
      </c>
      <c r="FN396" s="2" t="s">
        <v>354</v>
      </c>
      <c r="FR396" s="2" t="s">
        <v>2553</v>
      </c>
      <c r="FT396" s="2" t="s">
        <v>490</v>
      </c>
      <c r="FV396" s="2" t="s">
        <v>233</v>
      </c>
      <c r="FW396" s="2" t="s">
        <v>233</v>
      </c>
      <c r="FZ396" s="4">
        <v>46038.259745370371</v>
      </c>
    </row>
    <row r="397" spans="1:182">
      <c r="A397" s="2" t="s">
        <v>2554</v>
      </c>
      <c r="D397" s="6">
        <v>46035.647557870368</v>
      </c>
      <c r="E397" s="2" t="s">
        <v>177</v>
      </c>
      <c r="F397" s="2" t="s">
        <v>178</v>
      </c>
      <c r="G397" s="2" t="s">
        <v>2273</v>
      </c>
      <c r="H397" s="2" t="s">
        <v>2294</v>
      </c>
      <c r="I397" s="2" t="s">
        <v>2555</v>
      </c>
      <c r="J397" s="2">
        <v>837345749</v>
      </c>
      <c r="K397" s="2" t="s">
        <v>2556</v>
      </c>
      <c r="L397" s="2" t="s">
        <v>803</v>
      </c>
      <c r="M397" s="2" t="s">
        <v>183</v>
      </c>
      <c r="N397" s="2">
        <v>1990</v>
      </c>
      <c r="O397" s="2" t="s">
        <v>224</v>
      </c>
      <c r="P397" s="2" t="s">
        <v>237</v>
      </c>
      <c r="Q397" s="2" t="s">
        <v>270</v>
      </c>
      <c r="R397" s="2" t="s">
        <v>188</v>
      </c>
      <c r="S397" s="2">
        <v>22</v>
      </c>
      <c r="T397" s="2" t="s">
        <v>188</v>
      </c>
      <c r="U397" s="2" t="s">
        <v>188</v>
      </c>
      <c r="Y397" s="2">
        <v>136</v>
      </c>
      <c r="Z397" s="2">
        <v>0.1176</v>
      </c>
      <c r="AA397" s="2">
        <v>16</v>
      </c>
      <c r="AB397" s="2">
        <v>16</v>
      </c>
      <c r="AC397" s="2">
        <v>16</v>
      </c>
      <c r="AD397" s="2">
        <v>36</v>
      </c>
      <c r="AE397" s="2">
        <v>20</v>
      </c>
      <c r="AF397" s="2" t="s">
        <v>188</v>
      </c>
      <c r="AG397" s="2" t="s">
        <v>188</v>
      </c>
      <c r="AH397" s="2" t="s">
        <v>188</v>
      </c>
      <c r="AJ397" s="2" t="s">
        <v>188</v>
      </c>
      <c r="AK397" s="2" t="s">
        <v>188</v>
      </c>
      <c r="AL397" s="2" t="s">
        <v>188</v>
      </c>
      <c r="AM397" s="2" t="s">
        <v>187</v>
      </c>
      <c r="AN397" s="2" t="s">
        <v>188</v>
      </c>
      <c r="AO397" s="2" t="s">
        <v>188</v>
      </c>
      <c r="AR397" s="2">
        <v>0.8</v>
      </c>
      <c r="AS397" s="2">
        <v>1</v>
      </c>
      <c r="AT397" s="2">
        <v>0.4</v>
      </c>
      <c r="AU397" s="2" t="s">
        <v>238</v>
      </c>
      <c r="AV397" s="2" t="s">
        <v>238</v>
      </c>
      <c r="AW397" s="2" t="s">
        <v>188</v>
      </c>
      <c r="AZ397" s="2" t="s">
        <v>190</v>
      </c>
      <c r="BB397" s="2" t="s">
        <v>260</v>
      </c>
      <c r="BC397" s="2" t="s">
        <v>192</v>
      </c>
      <c r="BD397" s="2" t="s">
        <v>188</v>
      </c>
      <c r="BE397" s="2" t="s">
        <v>187</v>
      </c>
      <c r="BF397" s="2" t="s">
        <v>193</v>
      </c>
      <c r="BG397" s="2" t="s">
        <v>194</v>
      </c>
      <c r="BH397" s="2" t="s">
        <v>195</v>
      </c>
      <c r="BI397" s="2" t="s">
        <v>196</v>
      </c>
      <c r="BL397" s="2" t="s">
        <v>240</v>
      </c>
      <c r="BO397" s="2" t="s">
        <v>188</v>
      </c>
      <c r="BQ397" s="2" t="s">
        <v>200</v>
      </c>
      <c r="BS397" s="2" t="s">
        <v>187</v>
      </c>
      <c r="BT397" s="2" t="s">
        <v>261</v>
      </c>
      <c r="BV397" s="2" t="s">
        <v>248</v>
      </c>
      <c r="BX397" s="2" t="s">
        <v>188</v>
      </c>
      <c r="BZ397" s="2" t="s">
        <v>203</v>
      </c>
      <c r="CE397" s="2">
        <v>0.4</v>
      </c>
      <c r="CF397" s="2">
        <v>36</v>
      </c>
      <c r="CK397" s="2">
        <v>100</v>
      </c>
      <c r="CO397" s="2">
        <v>100</v>
      </c>
      <c r="CR397" s="2" t="s">
        <v>204</v>
      </c>
      <c r="CT397" s="2" t="s">
        <v>188</v>
      </c>
      <c r="CU397" s="2" t="s">
        <v>281</v>
      </c>
      <c r="CW397" s="2" t="s">
        <v>206</v>
      </c>
      <c r="CY397" s="2" t="s">
        <v>208</v>
      </c>
      <c r="CZ397" s="2" t="s">
        <v>208</v>
      </c>
      <c r="DA397" s="2" t="s">
        <v>208</v>
      </c>
      <c r="DB397" s="2" t="s">
        <v>208</v>
      </c>
      <c r="DL397" s="2" t="s">
        <v>188</v>
      </c>
      <c r="DM397" s="2" t="s">
        <v>188</v>
      </c>
      <c r="DP397" s="2" t="s">
        <v>203</v>
      </c>
      <c r="DT397" s="2" t="s">
        <v>209</v>
      </c>
      <c r="DU397" s="2" t="s">
        <v>203</v>
      </c>
      <c r="DV397" s="2" t="s">
        <v>209</v>
      </c>
      <c r="DW397" s="2" t="s">
        <v>203</v>
      </c>
      <c r="DX397" s="2" t="s">
        <v>203</v>
      </c>
      <c r="DY397" s="2" t="s">
        <v>203</v>
      </c>
      <c r="DZ397" s="2" t="s">
        <v>203</v>
      </c>
      <c r="EA397" s="2" t="s">
        <v>203</v>
      </c>
      <c r="EB397" s="2" t="s">
        <v>203</v>
      </c>
      <c r="EJ397" s="2" t="s">
        <v>238</v>
      </c>
      <c r="EK397" s="2" t="s">
        <v>188</v>
      </c>
      <c r="EL397" s="2" t="s">
        <v>188</v>
      </c>
      <c r="EN397" s="2" t="s">
        <v>597</v>
      </c>
      <c r="EP397" s="2" t="s">
        <v>230</v>
      </c>
      <c r="ER397" s="2" t="s">
        <v>188</v>
      </c>
      <c r="ET397" s="2" t="s">
        <v>188</v>
      </c>
      <c r="EV397" s="2" t="s">
        <v>188</v>
      </c>
      <c r="EX397" s="2" t="s">
        <v>188</v>
      </c>
      <c r="EZ397" s="2" t="s">
        <v>188</v>
      </c>
      <c r="FC397" s="2" t="s">
        <v>263</v>
      </c>
      <c r="FD397" s="2" t="s">
        <v>188</v>
      </c>
      <c r="FH397" s="2" t="s">
        <v>188</v>
      </c>
      <c r="FJ397" s="2" t="s">
        <v>187</v>
      </c>
      <c r="FK397" s="2" t="s">
        <v>188</v>
      </c>
      <c r="FT397" s="2" t="s">
        <v>233</v>
      </c>
      <c r="FU397" s="2" t="s">
        <v>233</v>
      </c>
      <c r="FV397" s="2" t="s">
        <v>233</v>
      </c>
      <c r="FW397" s="2" t="s">
        <v>233</v>
      </c>
      <c r="FZ397" s="4">
        <v>46041.698182870372</v>
      </c>
    </row>
    <row r="398" spans="1:182">
      <c r="A398" s="2" t="s">
        <v>2557</v>
      </c>
      <c r="D398" s="6">
        <v>46035.665659722225</v>
      </c>
      <c r="E398" s="2" t="s">
        <v>2558</v>
      </c>
      <c r="F398" s="2" t="s">
        <v>398</v>
      </c>
      <c r="G398" s="2" t="s">
        <v>2273</v>
      </c>
      <c r="H398" s="2" t="s">
        <v>2559</v>
      </c>
      <c r="I398" s="2" t="s">
        <v>2560</v>
      </c>
      <c r="J398" s="2">
        <v>395331221</v>
      </c>
      <c r="K398" s="2" t="s">
        <v>2560</v>
      </c>
      <c r="L398" s="2" t="s">
        <v>182</v>
      </c>
      <c r="M398" s="2" t="s">
        <v>183</v>
      </c>
      <c r="N398" s="2">
        <v>1973</v>
      </c>
      <c r="O398" s="2" t="s">
        <v>2561</v>
      </c>
      <c r="P398" s="2" t="s">
        <v>185</v>
      </c>
      <c r="Q398" s="2" t="s">
        <v>186</v>
      </c>
      <c r="R398" s="2" t="s">
        <v>188</v>
      </c>
      <c r="S398" s="2">
        <v>7</v>
      </c>
      <c r="T398" s="2" t="s">
        <v>188</v>
      </c>
      <c r="U398" s="2" t="s">
        <v>188</v>
      </c>
      <c r="Y398" s="2">
        <v>90</v>
      </c>
      <c r="Z398" s="2">
        <v>1</v>
      </c>
      <c r="AA398" s="2">
        <v>90</v>
      </c>
      <c r="AB398" s="2">
        <v>90</v>
      </c>
      <c r="AC398" s="2">
        <v>90</v>
      </c>
      <c r="AD398" s="2">
        <v>97</v>
      </c>
      <c r="AE398" s="2">
        <v>7</v>
      </c>
      <c r="AF398" s="2" t="s">
        <v>188</v>
      </c>
      <c r="AG398" s="2" t="s">
        <v>188</v>
      </c>
      <c r="AH398" s="2" t="s">
        <v>188</v>
      </c>
      <c r="AJ398" s="2" t="s">
        <v>188</v>
      </c>
      <c r="AK398" s="2" t="s">
        <v>188</v>
      </c>
      <c r="AL398" s="2" t="s">
        <v>188</v>
      </c>
      <c r="AM398" s="2" t="s">
        <v>188</v>
      </c>
      <c r="AN398" s="2" t="s">
        <v>188</v>
      </c>
      <c r="AO398" s="2" t="s">
        <v>188</v>
      </c>
      <c r="AR398" s="2">
        <v>0.3</v>
      </c>
      <c r="AS398" s="2">
        <v>1</v>
      </c>
      <c r="AT398" s="2">
        <v>1</v>
      </c>
      <c r="AU398" s="2" t="s">
        <v>189</v>
      </c>
      <c r="AV398" s="2" t="s">
        <v>189</v>
      </c>
      <c r="AW398" s="2" t="s">
        <v>188</v>
      </c>
      <c r="BC398" s="2" t="s">
        <v>192</v>
      </c>
      <c r="BD398" s="2" t="s">
        <v>187</v>
      </c>
      <c r="BE398" s="2" t="s">
        <v>188</v>
      </c>
      <c r="BL398" s="2" t="s">
        <v>240</v>
      </c>
      <c r="BO398" s="2" t="s">
        <v>188</v>
      </c>
      <c r="BQ398" s="2" t="s">
        <v>200</v>
      </c>
      <c r="BS398" s="2" t="s">
        <v>187</v>
      </c>
      <c r="BT398" s="2" t="s">
        <v>261</v>
      </c>
      <c r="BV398" s="2" t="s">
        <v>567</v>
      </c>
      <c r="BX398" s="2" t="s">
        <v>188</v>
      </c>
      <c r="BY398" s="2" t="s">
        <v>1357</v>
      </c>
      <c r="BZ398" s="2" t="s">
        <v>203</v>
      </c>
      <c r="CE398" s="2">
        <v>1</v>
      </c>
      <c r="CF398" s="2">
        <v>97</v>
      </c>
      <c r="CK398" s="2">
        <v>100</v>
      </c>
      <c r="CP398" s="2">
        <v>100</v>
      </c>
      <c r="CR398" s="2" t="s">
        <v>204</v>
      </c>
      <c r="CT398" s="2" t="s">
        <v>188</v>
      </c>
      <c r="CU398" s="2" t="s">
        <v>205</v>
      </c>
      <c r="CW398" s="2" t="s">
        <v>206</v>
      </c>
      <c r="CY398" s="2" t="s">
        <v>300</v>
      </c>
      <c r="CZ398" s="2" t="s">
        <v>300</v>
      </c>
      <c r="DA398" s="2" t="s">
        <v>300</v>
      </c>
      <c r="DB398" s="2" t="s">
        <v>300</v>
      </c>
      <c r="DC398" s="2" t="s">
        <v>300</v>
      </c>
      <c r="DD398" s="2" t="s">
        <v>300</v>
      </c>
      <c r="DE398" s="2" t="s">
        <v>300</v>
      </c>
      <c r="DF398" s="2" t="s">
        <v>300</v>
      </c>
      <c r="DG398" s="2" t="s">
        <v>300</v>
      </c>
      <c r="DH398" s="2" t="s">
        <v>300</v>
      </c>
      <c r="DI398" s="2" t="s">
        <v>300</v>
      </c>
      <c r="DL398" s="2" t="s">
        <v>188</v>
      </c>
      <c r="DM398" s="2" t="s">
        <v>188</v>
      </c>
      <c r="DP398" s="2" t="s">
        <v>203</v>
      </c>
      <c r="DT398" s="2" t="s">
        <v>203</v>
      </c>
      <c r="DU398" s="2" t="s">
        <v>203</v>
      </c>
      <c r="DV398" s="2" t="s">
        <v>203</v>
      </c>
      <c r="DW398" s="2" t="s">
        <v>203</v>
      </c>
      <c r="DX398" s="2" t="s">
        <v>203</v>
      </c>
      <c r="DY398" s="2" t="s">
        <v>203</v>
      </c>
      <c r="DZ398" s="2" t="s">
        <v>203</v>
      </c>
      <c r="EA398" s="2" t="s">
        <v>203</v>
      </c>
      <c r="EB398" s="2" t="s">
        <v>203</v>
      </c>
      <c r="EC398" s="2" t="s">
        <v>203</v>
      </c>
      <c r="ED398" s="2" t="s">
        <v>203</v>
      </c>
      <c r="EF398" s="2" t="s">
        <v>189</v>
      </c>
      <c r="EG398" s="2" t="s">
        <v>2562</v>
      </c>
      <c r="EJ398" s="2" t="s">
        <v>238</v>
      </c>
      <c r="EK398" s="2" t="s">
        <v>188</v>
      </c>
      <c r="EL398" s="2" t="s">
        <v>188</v>
      </c>
      <c r="EN398" s="2" t="s">
        <v>214</v>
      </c>
      <c r="EP398" s="2" t="s">
        <v>230</v>
      </c>
      <c r="ER398" s="2" t="s">
        <v>188</v>
      </c>
      <c r="ET398" s="2" t="s">
        <v>188</v>
      </c>
      <c r="EV398" s="2" t="s">
        <v>188</v>
      </c>
      <c r="EX398" s="2" t="s">
        <v>188</v>
      </c>
      <c r="EZ398" s="2" t="s">
        <v>188</v>
      </c>
      <c r="FC398" s="2" t="s">
        <v>216</v>
      </c>
      <c r="FD398" s="2" t="s">
        <v>188</v>
      </c>
      <c r="FH398" s="2" t="s">
        <v>188</v>
      </c>
      <c r="FJ398" s="2" t="s">
        <v>188</v>
      </c>
      <c r="FK398" s="2" t="s">
        <v>203</v>
      </c>
      <c r="FN398" s="2" t="s">
        <v>432</v>
      </c>
      <c r="FR398" s="2" t="s">
        <v>2563</v>
      </c>
      <c r="FT398" s="2" t="s">
        <v>233</v>
      </c>
      <c r="FU398" s="2" t="s">
        <v>233</v>
      </c>
      <c r="FV398" s="2" t="s">
        <v>219</v>
      </c>
      <c r="FW398" s="2" t="s">
        <v>233</v>
      </c>
      <c r="FX398" s="2" t="s">
        <v>219</v>
      </c>
      <c r="FY398" s="2" t="s">
        <v>2564</v>
      </c>
      <c r="FZ398" s="4">
        <v>46040.072523148148</v>
      </c>
    </row>
    <row r="399" spans="1:182">
      <c r="A399" s="2" t="s">
        <v>2565</v>
      </c>
      <c r="D399" s="6">
        <v>46036.471180555556</v>
      </c>
      <c r="E399" s="2" t="s">
        <v>177</v>
      </c>
      <c r="F399" s="2" t="s">
        <v>178</v>
      </c>
      <c r="G399" s="2" t="s">
        <v>2273</v>
      </c>
      <c r="H399" s="2" t="s">
        <v>2294</v>
      </c>
      <c r="I399" s="2" t="s">
        <v>2381</v>
      </c>
      <c r="J399" s="2">
        <v>325600597</v>
      </c>
      <c r="K399" s="2" t="s">
        <v>2381</v>
      </c>
      <c r="L399" s="2" t="s">
        <v>182</v>
      </c>
      <c r="M399" s="2" t="s">
        <v>183</v>
      </c>
      <c r="N399" s="2">
        <v>1987</v>
      </c>
      <c r="O399" s="2" t="s">
        <v>834</v>
      </c>
      <c r="P399" s="2" t="s">
        <v>185</v>
      </c>
      <c r="Q399" s="2" t="s">
        <v>186</v>
      </c>
      <c r="R399" s="2" t="s">
        <v>187</v>
      </c>
      <c r="S399" s="2">
        <v>2005</v>
      </c>
      <c r="T399" s="2" t="s">
        <v>188</v>
      </c>
      <c r="U399" s="2" t="s">
        <v>188</v>
      </c>
      <c r="Y399" s="2">
        <v>394</v>
      </c>
      <c r="Z399" s="2">
        <v>0.78680000000000005</v>
      </c>
      <c r="AA399" s="2">
        <v>310</v>
      </c>
      <c r="AB399" s="2">
        <v>310</v>
      </c>
      <c r="AC399" s="2">
        <v>250</v>
      </c>
      <c r="AD399" s="2">
        <v>310</v>
      </c>
      <c r="AE399" s="2">
        <v>60</v>
      </c>
      <c r="AF399" s="2" t="s">
        <v>188</v>
      </c>
      <c r="AG399" s="2" t="s">
        <v>188</v>
      </c>
      <c r="AH399" s="2" t="s">
        <v>188</v>
      </c>
      <c r="AJ399" s="2" t="s">
        <v>188</v>
      </c>
      <c r="AK399" s="2" t="s">
        <v>188</v>
      </c>
      <c r="AL399" s="2" t="s">
        <v>187</v>
      </c>
      <c r="AM399" s="2" t="s">
        <v>187</v>
      </c>
      <c r="AN399" s="2" t="s">
        <v>188</v>
      </c>
      <c r="AO399" s="2" t="s">
        <v>188</v>
      </c>
      <c r="AR399" s="2">
        <v>1.2</v>
      </c>
      <c r="AS399" s="2">
        <v>3</v>
      </c>
      <c r="AT399" s="2">
        <v>3.5</v>
      </c>
      <c r="AU399" s="2" t="s">
        <v>189</v>
      </c>
      <c r="AV399" s="2" t="s">
        <v>189</v>
      </c>
      <c r="AW399" s="2" t="s">
        <v>188</v>
      </c>
      <c r="AZ399" s="2" t="s">
        <v>190</v>
      </c>
      <c r="BB399" s="2" t="s">
        <v>191</v>
      </c>
      <c r="BC399" s="2" t="s">
        <v>192</v>
      </c>
      <c r="BD399" s="2" t="s">
        <v>187</v>
      </c>
      <c r="BE399" s="2" t="s">
        <v>187</v>
      </c>
      <c r="BF399" s="2" t="s">
        <v>193</v>
      </c>
      <c r="BG399" s="2" t="s">
        <v>194</v>
      </c>
      <c r="BH399" s="2" t="s">
        <v>297</v>
      </c>
      <c r="BI399" s="2" t="s">
        <v>196</v>
      </c>
      <c r="BL399" s="2" t="s">
        <v>197</v>
      </c>
      <c r="BM399" s="2" t="s">
        <v>198</v>
      </c>
      <c r="BN399" s="2" t="s">
        <v>199</v>
      </c>
      <c r="BO399" s="2" t="s">
        <v>188</v>
      </c>
      <c r="BQ399" s="2" t="s">
        <v>227</v>
      </c>
      <c r="BS399" s="2" t="s">
        <v>187</v>
      </c>
      <c r="BT399" s="2" t="s">
        <v>201</v>
      </c>
      <c r="BV399" s="2" t="s">
        <v>248</v>
      </c>
      <c r="BX399" s="2" t="s">
        <v>188</v>
      </c>
      <c r="BZ399" s="2" t="s">
        <v>188</v>
      </c>
      <c r="CE399" s="2">
        <v>3.5</v>
      </c>
      <c r="CF399" s="2">
        <v>310</v>
      </c>
      <c r="CM399" s="2">
        <v>100</v>
      </c>
      <c r="CO399" s="2">
        <v>100</v>
      </c>
      <c r="CR399" s="2" t="s">
        <v>204</v>
      </c>
      <c r="CT399" s="2" t="s">
        <v>188</v>
      </c>
      <c r="CU399" s="2" t="s">
        <v>205</v>
      </c>
      <c r="CW399" s="2" t="s">
        <v>206</v>
      </c>
      <c r="CY399" s="2" t="s">
        <v>207</v>
      </c>
      <c r="CZ399" s="2" t="s">
        <v>207</v>
      </c>
      <c r="DA399" s="2" t="s">
        <v>208</v>
      </c>
      <c r="DB399" s="2" t="s">
        <v>208</v>
      </c>
      <c r="DC399" s="2" t="s">
        <v>208</v>
      </c>
      <c r="DD399" s="2" t="s">
        <v>208</v>
      </c>
      <c r="DE399" s="2" t="s">
        <v>208</v>
      </c>
      <c r="DF399" s="2" t="s">
        <v>208</v>
      </c>
      <c r="DG399" s="2" t="s">
        <v>208</v>
      </c>
      <c r="DH399" s="2" t="s">
        <v>208</v>
      </c>
      <c r="DI399" s="2" t="s">
        <v>208</v>
      </c>
      <c r="DL399" s="2" t="s">
        <v>187</v>
      </c>
      <c r="DM399" s="2" t="s">
        <v>187</v>
      </c>
      <c r="DN399" s="2" t="s">
        <v>187</v>
      </c>
      <c r="DO399" s="2" t="s">
        <v>187</v>
      </c>
      <c r="DP399" s="2" t="s">
        <v>209</v>
      </c>
      <c r="DQ399" s="2" t="s">
        <v>210</v>
      </c>
      <c r="DT399" s="2" t="s">
        <v>209</v>
      </c>
      <c r="DU399" s="2" t="s">
        <v>209</v>
      </c>
      <c r="DV399" s="2" t="s">
        <v>209</v>
      </c>
      <c r="DW399" s="2" t="s">
        <v>209</v>
      </c>
      <c r="DX399" s="2" t="s">
        <v>209</v>
      </c>
      <c r="DY399" s="2" t="s">
        <v>209</v>
      </c>
      <c r="DZ399" s="2" t="s">
        <v>209</v>
      </c>
      <c r="EA399" s="2" t="s">
        <v>209</v>
      </c>
      <c r="EB399" s="2" t="s">
        <v>209</v>
      </c>
      <c r="EF399" s="2" t="s">
        <v>211</v>
      </c>
      <c r="EJ399" s="2" t="s">
        <v>189</v>
      </c>
      <c r="EK399" s="2" t="s">
        <v>187</v>
      </c>
      <c r="EL399" s="2" t="s">
        <v>188</v>
      </c>
      <c r="EN399" s="2" t="s">
        <v>214</v>
      </c>
      <c r="EP399" s="2" t="s">
        <v>230</v>
      </c>
      <c r="ER399" s="2" t="s">
        <v>187</v>
      </c>
      <c r="ET399" s="2" t="s">
        <v>188</v>
      </c>
      <c r="EV399" s="2" t="s">
        <v>187</v>
      </c>
      <c r="EW399" s="2" t="s">
        <v>1183</v>
      </c>
      <c r="EX399" s="2" t="s">
        <v>187</v>
      </c>
      <c r="EY399" s="2" t="s">
        <v>1183</v>
      </c>
      <c r="FC399" s="2" t="s">
        <v>216</v>
      </c>
      <c r="FD399" s="2" t="s">
        <v>188</v>
      </c>
      <c r="FH399" s="2" t="s">
        <v>188</v>
      </c>
      <c r="FJ399" s="2" t="s">
        <v>187</v>
      </c>
      <c r="FK399" s="2" t="s">
        <v>209</v>
      </c>
      <c r="FL399" s="2" t="s">
        <v>243</v>
      </c>
      <c r="FN399" s="2" t="s">
        <v>218</v>
      </c>
      <c r="FT399" s="2" t="s">
        <v>219</v>
      </c>
      <c r="FU399" s="2" t="s">
        <v>219</v>
      </c>
      <c r="FV399" s="2" t="s">
        <v>219</v>
      </c>
      <c r="FW399" s="2" t="s">
        <v>219</v>
      </c>
      <c r="FZ399" s="4">
        <v>46040.735300925924</v>
      </c>
    </row>
  </sheetData>
  <autoFilter ref="A1:FZ399" xr:uid="{00000000-0001-0000-0000-000000000000}">
    <sortState xmlns:xlrd2="http://schemas.microsoft.com/office/spreadsheetml/2017/richdata2" ref="A2:FZ399">
      <sortCondition sortBy="cellColor" ref="A1:A399" dxfId="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1105"/>
  <sheetViews>
    <sheetView workbookViewId="0"/>
  </sheetViews>
  <sheetFormatPr defaultColWidth="12.6640625" defaultRowHeight="15.75" customHeight="1"/>
  <cols>
    <col min="1" max="2" width="16.21875" customWidth="1"/>
  </cols>
  <sheetData>
    <row r="1" spans="1:12">
      <c r="A1" s="1" t="s">
        <v>2566</v>
      </c>
      <c r="B1" s="1" t="s">
        <v>10</v>
      </c>
      <c r="C1" s="1" t="s">
        <v>2567</v>
      </c>
      <c r="D1" s="1" t="s">
        <v>0</v>
      </c>
      <c r="E1" s="1" t="s">
        <v>12</v>
      </c>
      <c r="F1" s="1" t="s">
        <v>13</v>
      </c>
      <c r="G1" s="1" t="s">
        <v>14</v>
      </c>
      <c r="H1" s="1" t="s">
        <v>2568</v>
      </c>
      <c r="I1" s="1" t="s">
        <v>15</v>
      </c>
      <c r="J1" s="1" t="s">
        <v>16</v>
      </c>
      <c r="K1" s="1" t="s">
        <v>2569</v>
      </c>
      <c r="L1" s="1" t="s">
        <v>2570</v>
      </c>
    </row>
    <row r="2" spans="1:12">
      <c r="A2" s="2" t="s">
        <v>400</v>
      </c>
      <c r="B2" s="2" t="s">
        <v>400</v>
      </c>
      <c r="C2" s="2" t="s">
        <v>2571</v>
      </c>
      <c r="D2" s="2" t="s">
        <v>396</v>
      </c>
      <c r="E2" s="2" t="s">
        <v>183</v>
      </c>
      <c r="F2" s="2">
        <v>1988</v>
      </c>
      <c r="G2" s="2" t="s">
        <v>184</v>
      </c>
      <c r="H2" s="2" t="s">
        <v>400</v>
      </c>
      <c r="I2" s="2" t="s">
        <v>185</v>
      </c>
      <c r="J2" s="2" t="s">
        <v>270</v>
      </c>
      <c r="K2" s="2" t="s">
        <v>187</v>
      </c>
      <c r="L2" s="2" t="s">
        <v>2572</v>
      </c>
    </row>
    <row r="3" spans="1:12">
      <c r="A3" s="2" t="s">
        <v>407</v>
      </c>
      <c r="B3" s="2" t="s">
        <v>409</v>
      </c>
      <c r="C3" s="2" t="s">
        <v>2573</v>
      </c>
      <c r="D3" s="2" t="s">
        <v>406</v>
      </c>
      <c r="E3" s="2" t="s">
        <v>183</v>
      </c>
      <c r="F3" s="2">
        <v>1976</v>
      </c>
      <c r="G3" s="2" t="s">
        <v>184</v>
      </c>
      <c r="H3" s="2" t="s">
        <v>409</v>
      </c>
      <c r="I3" s="2" t="s">
        <v>185</v>
      </c>
      <c r="J3" s="2" t="s">
        <v>270</v>
      </c>
      <c r="K3" s="2" t="s">
        <v>187</v>
      </c>
      <c r="L3" s="2" t="s">
        <v>2574</v>
      </c>
    </row>
    <row r="4" spans="1:12">
      <c r="A4" s="2" t="s">
        <v>446</v>
      </c>
      <c r="B4" s="2" t="s">
        <v>447</v>
      </c>
      <c r="C4" s="2" t="s">
        <v>2575</v>
      </c>
      <c r="D4" s="2" t="s">
        <v>443</v>
      </c>
      <c r="E4" s="2" t="s">
        <v>183</v>
      </c>
      <c r="F4" s="2">
        <v>1963</v>
      </c>
      <c r="G4" s="2" t="s">
        <v>184</v>
      </c>
      <c r="H4" s="2" t="s">
        <v>447</v>
      </c>
      <c r="I4" s="2" t="s">
        <v>185</v>
      </c>
      <c r="J4" s="2" t="s">
        <v>186</v>
      </c>
      <c r="K4" s="2" t="s">
        <v>187</v>
      </c>
      <c r="L4" s="2" t="s">
        <v>2576</v>
      </c>
    </row>
    <row r="5" spans="1:12">
      <c r="A5" s="2" t="s">
        <v>457</v>
      </c>
      <c r="B5" s="2" t="s">
        <v>457</v>
      </c>
      <c r="C5" s="2" t="s">
        <v>2577</v>
      </c>
      <c r="D5" s="2" t="s">
        <v>454</v>
      </c>
      <c r="E5" s="2" t="s">
        <v>183</v>
      </c>
      <c r="F5" s="2">
        <v>1967</v>
      </c>
      <c r="G5" s="2" t="s">
        <v>184</v>
      </c>
      <c r="H5" s="2" t="s">
        <v>457</v>
      </c>
      <c r="I5" s="2" t="s">
        <v>185</v>
      </c>
      <c r="J5" s="2" t="s">
        <v>270</v>
      </c>
      <c r="K5" s="2" t="s">
        <v>187</v>
      </c>
      <c r="L5" s="2" t="s">
        <v>2572</v>
      </c>
    </row>
    <row r="6" spans="1:12">
      <c r="A6" s="2" t="s">
        <v>525</v>
      </c>
      <c r="B6" s="2" t="s">
        <v>525</v>
      </c>
      <c r="C6" s="2" t="s">
        <v>2578</v>
      </c>
      <c r="D6" s="2" t="s">
        <v>523</v>
      </c>
      <c r="E6" s="2" t="s">
        <v>183</v>
      </c>
      <c r="F6" s="2">
        <v>1973</v>
      </c>
      <c r="G6" s="2" t="s">
        <v>184</v>
      </c>
      <c r="H6" s="2" t="s">
        <v>525</v>
      </c>
      <c r="I6" s="2" t="s">
        <v>185</v>
      </c>
      <c r="J6" s="2" t="s">
        <v>186</v>
      </c>
      <c r="K6" s="2" t="s">
        <v>187</v>
      </c>
      <c r="L6" s="2" t="s">
        <v>2579</v>
      </c>
    </row>
    <row r="7" spans="1:12">
      <c r="A7" s="2" t="s">
        <v>666</v>
      </c>
      <c r="B7" s="2" t="s">
        <v>667</v>
      </c>
      <c r="C7" s="2" t="s">
        <v>2580</v>
      </c>
      <c r="D7" s="2" t="s">
        <v>663</v>
      </c>
      <c r="E7" s="2" t="s">
        <v>183</v>
      </c>
      <c r="F7" s="2">
        <v>1974</v>
      </c>
      <c r="G7" s="2" t="s">
        <v>184</v>
      </c>
      <c r="H7" s="2" t="s">
        <v>667</v>
      </c>
      <c r="I7" s="2" t="s">
        <v>185</v>
      </c>
      <c r="J7" s="2" t="s">
        <v>186</v>
      </c>
      <c r="K7" s="2" t="s">
        <v>187</v>
      </c>
      <c r="L7" s="2" t="s">
        <v>2572</v>
      </c>
    </row>
    <row r="8" spans="1:12">
      <c r="A8" s="2" t="s">
        <v>695</v>
      </c>
      <c r="B8" s="2" t="s">
        <v>224</v>
      </c>
      <c r="C8" s="2" t="s">
        <v>2581</v>
      </c>
      <c r="D8" s="2" t="s">
        <v>693</v>
      </c>
      <c r="E8" s="2" t="s">
        <v>183</v>
      </c>
      <c r="F8" s="2">
        <v>1993</v>
      </c>
      <c r="G8" s="2" t="s">
        <v>184</v>
      </c>
      <c r="H8" s="2" t="s">
        <v>224</v>
      </c>
      <c r="I8" s="2" t="s">
        <v>185</v>
      </c>
      <c r="J8" s="2" t="s">
        <v>270</v>
      </c>
      <c r="K8" s="2" t="s">
        <v>187</v>
      </c>
      <c r="L8" s="2" t="s">
        <v>2572</v>
      </c>
    </row>
    <row r="9" spans="1:12">
      <c r="A9" s="2" t="s">
        <v>747</v>
      </c>
      <c r="B9" s="2" t="s">
        <v>748</v>
      </c>
      <c r="C9" s="2" t="s">
        <v>2582</v>
      </c>
      <c r="D9" s="2" t="s">
        <v>745</v>
      </c>
      <c r="E9" s="2" t="s">
        <v>183</v>
      </c>
      <c r="F9" s="2">
        <v>1972</v>
      </c>
      <c r="G9" s="2" t="s">
        <v>184</v>
      </c>
      <c r="H9" s="2" t="s">
        <v>748</v>
      </c>
      <c r="I9" s="2" t="s">
        <v>185</v>
      </c>
      <c r="J9" s="2" t="s">
        <v>603</v>
      </c>
      <c r="K9" s="2" t="s">
        <v>187</v>
      </c>
      <c r="L9" s="2" t="s">
        <v>2576</v>
      </c>
    </row>
    <row r="10" spans="1:12">
      <c r="A10" s="2" t="s">
        <v>802</v>
      </c>
      <c r="B10" s="2" t="s">
        <v>802</v>
      </c>
      <c r="C10" s="2" t="s">
        <v>2583</v>
      </c>
      <c r="D10" s="2" t="s">
        <v>799</v>
      </c>
      <c r="E10" s="2" t="s">
        <v>183</v>
      </c>
      <c r="F10" s="2">
        <v>2001</v>
      </c>
      <c r="G10" s="2" t="s">
        <v>184</v>
      </c>
      <c r="H10" s="2" t="s">
        <v>802</v>
      </c>
      <c r="I10" s="2" t="s">
        <v>185</v>
      </c>
      <c r="J10" s="2" t="s">
        <v>186</v>
      </c>
      <c r="K10" s="2" t="s">
        <v>187</v>
      </c>
      <c r="L10" s="2" t="s">
        <v>2576</v>
      </c>
    </row>
    <row r="11" spans="1:12">
      <c r="A11" s="2" t="s">
        <v>823</v>
      </c>
      <c r="B11" s="2" t="s">
        <v>823</v>
      </c>
      <c r="C11" s="2" t="s">
        <v>2584</v>
      </c>
      <c r="D11" s="2" t="s">
        <v>820</v>
      </c>
      <c r="E11" s="2" t="s">
        <v>183</v>
      </c>
      <c r="F11" s="2">
        <v>2000</v>
      </c>
      <c r="G11" s="2" t="s">
        <v>184</v>
      </c>
      <c r="H11" s="2" t="s">
        <v>2585</v>
      </c>
      <c r="I11" s="2" t="s">
        <v>185</v>
      </c>
      <c r="J11" s="2" t="s">
        <v>226</v>
      </c>
      <c r="K11" s="2" t="s">
        <v>187</v>
      </c>
      <c r="L11" s="2" t="s">
        <v>2576</v>
      </c>
    </row>
    <row r="12" spans="1:12">
      <c r="A12" s="2" t="s">
        <v>921</v>
      </c>
      <c r="B12" s="2" t="s">
        <v>922</v>
      </c>
      <c r="C12" s="2" t="s">
        <v>2586</v>
      </c>
      <c r="D12" s="2" t="s">
        <v>919</v>
      </c>
      <c r="E12" s="2" t="s">
        <v>183</v>
      </c>
      <c r="F12" s="2">
        <v>1979</v>
      </c>
      <c r="G12" s="2" t="s">
        <v>184</v>
      </c>
      <c r="H12" s="2" t="s">
        <v>922</v>
      </c>
      <c r="I12" s="2" t="s">
        <v>185</v>
      </c>
      <c r="J12" s="2" t="s">
        <v>270</v>
      </c>
      <c r="K12" s="2" t="s">
        <v>187</v>
      </c>
      <c r="L12" s="2" t="s">
        <v>2572</v>
      </c>
    </row>
    <row r="13" spans="1:12">
      <c r="A13" s="2" t="s">
        <v>938</v>
      </c>
      <c r="B13" s="2" t="s">
        <v>939</v>
      </c>
      <c r="C13" s="2" t="s">
        <v>2587</v>
      </c>
      <c r="D13" s="2" t="s">
        <v>936</v>
      </c>
      <c r="E13" s="2" t="s">
        <v>183</v>
      </c>
      <c r="F13" s="2">
        <v>2000</v>
      </c>
      <c r="G13" s="2" t="s">
        <v>184</v>
      </c>
      <c r="H13" s="2" t="s">
        <v>939</v>
      </c>
      <c r="I13" s="2" t="s">
        <v>185</v>
      </c>
      <c r="J13" s="2" t="s">
        <v>186</v>
      </c>
      <c r="K13" s="2" t="s">
        <v>187</v>
      </c>
      <c r="L13" s="2" t="s">
        <v>2576</v>
      </c>
    </row>
    <row r="14" spans="1:12">
      <c r="A14" s="2" t="s">
        <v>971</v>
      </c>
      <c r="B14" s="2" t="s">
        <v>972</v>
      </c>
      <c r="C14" s="2" t="s">
        <v>2588</v>
      </c>
      <c r="D14" s="2" t="s">
        <v>968</v>
      </c>
      <c r="E14" s="2" t="s">
        <v>183</v>
      </c>
      <c r="F14" s="2">
        <v>1976</v>
      </c>
      <c r="G14" s="2" t="s">
        <v>184</v>
      </c>
      <c r="H14" s="2" t="s">
        <v>2589</v>
      </c>
      <c r="I14" s="2" t="s">
        <v>185</v>
      </c>
      <c r="J14" s="2" t="s">
        <v>186</v>
      </c>
      <c r="K14" s="2" t="s">
        <v>187</v>
      </c>
      <c r="L14" s="2" t="s">
        <v>2572</v>
      </c>
    </row>
    <row r="15" spans="1:12">
      <c r="A15" s="2" t="s">
        <v>1006</v>
      </c>
      <c r="B15" s="2" t="s">
        <v>1006</v>
      </c>
      <c r="C15" s="2" t="s">
        <v>2590</v>
      </c>
      <c r="D15" s="2" t="s">
        <v>1004</v>
      </c>
      <c r="E15" s="2" t="s">
        <v>183</v>
      </c>
      <c r="F15" s="2">
        <v>1978</v>
      </c>
      <c r="G15" s="2" t="s">
        <v>184</v>
      </c>
      <c r="H15" s="2" t="s">
        <v>1006</v>
      </c>
      <c r="I15" s="2" t="s">
        <v>185</v>
      </c>
      <c r="J15" s="2" t="s">
        <v>270</v>
      </c>
      <c r="K15" s="2" t="s">
        <v>187</v>
      </c>
      <c r="L15" s="2" t="s">
        <v>2576</v>
      </c>
    </row>
    <row r="16" spans="1:12">
      <c r="A16" s="2" t="s">
        <v>1018</v>
      </c>
      <c r="B16" s="2" t="s">
        <v>1019</v>
      </c>
      <c r="C16" s="2" t="s">
        <v>2591</v>
      </c>
      <c r="D16" s="2" t="s">
        <v>1016</v>
      </c>
      <c r="E16" s="2" t="s">
        <v>183</v>
      </c>
      <c r="F16" s="2">
        <v>1968</v>
      </c>
      <c r="G16" s="2" t="s">
        <v>184</v>
      </c>
      <c r="H16" s="2" t="s">
        <v>1019</v>
      </c>
      <c r="I16" s="2" t="s">
        <v>185</v>
      </c>
      <c r="J16" s="2" t="s">
        <v>603</v>
      </c>
      <c r="K16" s="2" t="s">
        <v>187</v>
      </c>
      <c r="L16" s="2" t="s">
        <v>2572</v>
      </c>
    </row>
    <row r="17" spans="1:12">
      <c r="A17" s="2" t="s">
        <v>1046</v>
      </c>
      <c r="B17" s="2" t="s">
        <v>1046</v>
      </c>
      <c r="C17" s="2" t="s">
        <v>2592</v>
      </c>
      <c r="D17" s="2" t="s">
        <v>1044</v>
      </c>
      <c r="E17" s="2" t="s">
        <v>183</v>
      </c>
      <c r="F17" s="2">
        <v>1994</v>
      </c>
      <c r="G17" s="2" t="s">
        <v>184</v>
      </c>
      <c r="H17" s="2" t="s">
        <v>1046</v>
      </c>
      <c r="I17" s="2" t="s">
        <v>185</v>
      </c>
      <c r="K17" s="2" t="s">
        <v>187</v>
      </c>
      <c r="L17" s="2" t="s">
        <v>2572</v>
      </c>
    </row>
    <row r="18" spans="1:12">
      <c r="A18" s="2" t="s">
        <v>1064</v>
      </c>
      <c r="B18" s="2" t="s">
        <v>1064</v>
      </c>
      <c r="C18" s="2" t="s">
        <v>2593</v>
      </c>
      <c r="D18" s="2" t="s">
        <v>1062</v>
      </c>
      <c r="E18" s="2" t="s">
        <v>183</v>
      </c>
      <c r="F18" s="2">
        <v>1987</v>
      </c>
      <c r="G18" s="2" t="s">
        <v>184</v>
      </c>
      <c r="H18" s="2" t="s">
        <v>1064</v>
      </c>
      <c r="I18" s="2" t="s">
        <v>185</v>
      </c>
      <c r="J18" s="2" t="s">
        <v>270</v>
      </c>
      <c r="K18" s="2" t="s">
        <v>187</v>
      </c>
      <c r="L18" s="2" t="s">
        <v>2572</v>
      </c>
    </row>
    <row r="19" spans="1:12">
      <c r="A19" s="2" t="s">
        <v>1073</v>
      </c>
      <c r="B19" s="2" t="s">
        <v>1073</v>
      </c>
      <c r="C19" s="2" t="s">
        <v>2594</v>
      </c>
      <c r="D19" s="2" t="s">
        <v>1072</v>
      </c>
      <c r="E19" s="2" t="s">
        <v>183</v>
      </c>
      <c r="F19" s="2">
        <v>1993</v>
      </c>
      <c r="G19" s="2" t="s">
        <v>224</v>
      </c>
      <c r="H19" s="2" t="s">
        <v>1073</v>
      </c>
      <c r="I19" s="2" t="s">
        <v>185</v>
      </c>
      <c r="J19" s="2" t="s">
        <v>186</v>
      </c>
      <c r="K19" s="2" t="s">
        <v>187</v>
      </c>
      <c r="L19" s="2" t="s">
        <v>2572</v>
      </c>
    </row>
    <row r="20" spans="1:12">
      <c r="A20" s="2" t="s">
        <v>1084</v>
      </c>
      <c r="B20" s="2" t="s">
        <v>1084</v>
      </c>
      <c r="C20" s="2" t="s">
        <v>2595</v>
      </c>
      <c r="D20" s="2" t="s">
        <v>1082</v>
      </c>
      <c r="E20" s="2" t="s">
        <v>183</v>
      </c>
      <c r="F20" s="2">
        <v>1985</v>
      </c>
      <c r="G20" s="2" t="s">
        <v>184</v>
      </c>
      <c r="H20" s="2" t="s">
        <v>1084</v>
      </c>
      <c r="I20" s="2" t="s">
        <v>185</v>
      </c>
      <c r="J20" s="2" t="s">
        <v>270</v>
      </c>
      <c r="K20" s="2" t="s">
        <v>187</v>
      </c>
      <c r="L20" s="2" t="s">
        <v>2572</v>
      </c>
    </row>
    <row r="21" spans="1:12">
      <c r="A21" s="2" t="s">
        <v>731</v>
      </c>
      <c r="B21" s="2" t="s">
        <v>731</v>
      </c>
      <c r="C21" s="2" t="s">
        <v>2596</v>
      </c>
      <c r="D21" s="2" t="s">
        <v>728</v>
      </c>
      <c r="E21" s="2" t="s">
        <v>183</v>
      </c>
      <c r="F21" s="2">
        <v>1995</v>
      </c>
      <c r="G21" s="2" t="s">
        <v>184</v>
      </c>
      <c r="H21" s="2" t="s">
        <v>2597</v>
      </c>
      <c r="I21" s="2" t="s">
        <v>185</v>
      </c>
      <c r="J21" s="2" t="s">
        <v>226</v>
      </c>
      <c r="K21" s="2" t="s">
        <v>187</v>
      </c>
      <c r="L21" s="2" t="s">
        <v>2598</v>
      </c>
    </row>
    <row r="22" spans="1:12">
      <c r="A22" s="2" t="s">
        <v>534</v>
      </c>
      <c r="B22" s="2" t="s">
        <v>534</v>
      </c>
      <c r="C22" s="2" t="s">
        <v>2599</v>
      </c>
      <c r="D22" s="2" t="s">
        <v>531</v>
      </c>
      <c r="E22" s="2" t="s">
        <v>223</v>
      </c>
      <c r="F22" s="2">
        <v>1975</v>
      </c>
      <c r="G22" s="2" t="s">
        <v>184</v>
      </c>
      <c r="H22" s="2" t="s">
        <v>2600</v>
      </c>
      <c r="I22" s="2" t="s">
        <v>225</v>
      </c>
      <c r="J22" s="2" t="s">
        <v>270</v>
      </c>
      <c r="K22" s="2" t="s">
        <v>187</v>
      </c>
      <c r="L22" s="2" t="s">
        <v>2601</v>
      </c>
    </row>
    <row r="23" spans="1:12">
      <c r="A23" s="2" t="s">
        <v>534</v>
      </c>
      <c r="B23" s="2" t="s">
        <v>534</v>
      </c>
      <c r="C23" s="2" t="s">
        <v>2602</v>
      </c>
      <c r="D23" s="2" t="s">
        <v>531</v>
      </c>
      <c r="L23" s="2" t="s">
        <v>2603</v>
      </c>
    </row>
    <row r="24" spans="1:12">
      <c r="A24" s="2" t="s">
        <v>534</v>
      </c>
      <c r="B24" s="2" t="s">
        <v>534</v>
      </c>
      <c r="C24" s="2" t="s">
        <v>2604</v>
      </c>
      <c r="D24" s="2" t="s">
        <v>531</v>
      </c>
      <c r="E24" s="2" t="s">
        <v>183</v>
      </c>
      <c r="F24" s="2">
        <v>1974</v>
      </c>
      <c r="G24" s="2" t="s">
        <v>184</v>
      </c>
      <c r="H24" s="2" t="s">
        <v>534</v>
      </c>
      <c r="I24" s="2" t="s">
        <v>185</v>
      </c>
      <c r="J24" s="2" t="s">
        <v>186</v>
      </c>
      <c r="K24" s="2" t="s">
        <v>187</v>
      </c>
      <c r="L24" s="2" t="s">
        <v>2605</v>
      </c>
    </row>
    <row r="25" spans="1:12">
      <c r="A25" s="2" t="s">
        <v>559</v>
      </c>
      <c r="B25" s="2" t="s">
        <v>560</v>
      </c>
      <c r="C25" s="2" t="s">
        <v>2606</v>
      </c>
      <c r="D25" s="2" t="s">
        <v>557</v>
      </c>
      <c r="E25" s="2" t="s">
        <v>183</v>
      </c>
      <c r="F25" s="2">
        <v>1965</v>
      </c>
      <c r="G25" s="2" t="s">
        <v>184</v>
      </c>
      <c r="H25" s="2" t="s">
        <v>2607</v>
      </c>
      <c r="I25" s="2" t="s">
        <v>185</v>
      </c>
      <c r="J25" s="2" t="s">
        <v>270</v>
      </c>
      <c r="K25" s="2" t="s">
        <v>187</v>
      </c>
      <c r="L25" s="2" t="s">
        <v>2572</v>
      </c>
    </row>
    <row r="26" spans="1:12">
      <c r="A26" s="2" t="s">
        <v>543</v>
      </c>
      <c r="B26" s="2" t="s">
        <v>543</v>
      </c>
      <c r="C26" s="2" t="s">
        <v>2608</v>
      </c>
      <c r="D26" s="2" t="s">
        <v>541</v>
      </c>
      <c r="E26" s="2" t="s">
        <v>183</v>
      </c>
      <c r="F26" s="2">
        <v>1987</v>
      </c>
      <c r="G26" s="2" t="s">
        <v>184</v>
      </c>
      <c r="H26" s="2" t="s">
        <v>543</v>
      </c>
      <c r="I26" s="2" t="s">
        <v>185</v>
      </c>
      <c r="J26" s="2" t="s">
        <v>270</v>
      </c>
      <c r="K26" s="2" t="s">
        <v>187</v>
      </c>
      <c r="L26" s="2" t="s">
        <v>2598</v>
      </c>
    </row>
    <row r="27" spans="1:12">
      <c r="A27" s="2" t="s">
        <v>585</v>
      </c>
      <c r="B27" s="2" t="s">
        <v>585</v>
      </c>
      <c r="C27" s="2" t="s">
        <v>2609</v>
      </c>
      <c r="D27" s="2" t="s">
        <v>583</v>
      </c>
      <c r="E27" s="2" t="s">
        <v>183</v>
      </c>
      <c r="F27" s="2">
        <v>1973</v>
      </c>
      <c r="G27" s="2" t="s">
        <v>184</v>
      </c>
      <c r="H27" s="2" t="s">
        <v>585</v>
      </c>
      <c r="I27" s="2" t="s">
        <v>185</v>
      </c>
      <c r="J27" s="2" t="s">
        <v>270</v>
      </c>
      <c r="K27" s="2" t="s">
        <v>187</v>
      </c>
      <c r="L27" s="2" t="s">
        <v>2598</v>
      </c>
    </row>
    <row r="28" spans="1:12">
      <c r="A28" s="2" t="s">
        <v>474</v>
      </c>
      <c r="B28" s="2" t="s">
        <v>475</v>
      </c>
      <c r="C28" s="2" t="s">
        <v>2610</v>
      </c>
      <c r="D28" s="2" t="s">
        <v>472</v>
      </c>
      <c r="E28" s="2" t="s">
        <v>183</v>
      </c>
      <c r="F28" s="2">
        <v>1962</v>
      </c>
      <c r="G28" s="2" t="s">
        <v>184</v>
      </c>
      <c r="H28" s="2" t="s">
        <v>2611</v>
      </c>
      <c r="I28" s="2" t="s">
        <v>185</v>
      </c>
      <c r="J28" s="2" t="s">
        <v>270</v>
      </c>
      <c r="K28" s="2" t="s">
        <v>187</v>
      </c>
      <c r="L28" s="2" t="s">
        <v>2612</v>
      </c>
    </row>
    <row r="29" spans="1:12">
      <c r="A29" s="2" t="s">
        <v>501</v>
      </c>
      <c r="B29" s="2" t="s">
        <v>501</v>
      </c>
      <c r="C29" s="2" t="s">
        <v>2613</v>
      </c>
      <c r="D29" s="2" t="s">
        <v>499</v>
      </c>
      <c r="E29" s="2" t="s">
        <v>183</v>
      </c>
      <c r="F29" s="2">
        <v>1976</v>
      </c>
      <c r="G29" s="2" t="s">
        <v>184</v>
      </c>
      <c r="H29" s="2" t="s">
        <v>501</v>
      </c>
      <c r="I29" s="2" t="s">
        <v>185</v>
      </c>
      <c r="J29" s="2" t="s">
        <v>270</v>
      </c>
      <c r="K29" s="2" t="s">
        <v>187</v>
      </c>
      <c r="L29" s="2" t="s">
        <v>2598</v>
      </c>
    </row>
    <row r="30" spans="1:12">
      <c r="A30" s="2" t="s">
        <v>427</v>
      </c>
      <c r="B30" s="2" t="s">
        <v>428</v>
      </c>
      <c r="C30" s="2" t="s">
        <v>2614</v>
      </c>
      <c r="D30" s="2" t="s">
        <v>423</v>
      </c>
      <c r="E30" s="2" t="s">
        <v>223</v>
      </c>
      <c r="F30" s="2">
        <v>1990</v>
      </c>
      <c r="G30" s="2" t="s">
        <v>184</v>
      </c>
      <c r="H30" s="2" t="s">
        <v>427</v>
      </c>
      <c r="I30" s="2" t="s">
        <v>225</v>
      </c>
      <c r="J30" s="2" t="s">
        <v>270</v>
      </c>
      <c r="K30" s="2" t="s">
        <v>187</v>
      </c>
      <c r="L30" s="2" t="s">
        <v>2572</v>
      </c>
    </row>
    <row r="31" spans="1:12">
      <c r="A31" s="2" t="s">
        <v>774</v>
      </c>
      <c r="B31" s="2" t="s">
        <v>774</v>
      </c>
      <c r="C31" s="2" t="s">
        <v>2615</v>
      </c>
      <c r="D31" s="2" t="s">
        <v>771</v>
      </c>
      <c r="E31" s="2" t="s">
        <v>223</v>
      </c>
      <c r="F31" s="2">
        <v>1964</v>
      </c>
      <c r="G31" s="2" t="s">
        <v>184</v>
      </c>
      <c r="H31" s="2" t="s">
        <v>774</v>
      </c>
      <c r="I31" s="2" t="s">
        <v>185</v>
      </c>
      <c r="J31" s="2" t="s">
        <v>270</v>
      </c>
      <c r="K31" s="2" t="s">
        <v>187</v>
      </c>
      <c r="L31" s="2" t="s">
        <v>2572</v>
      </c>
    </row>
    <row r="32" spans="1:12">
      <c r="A32" s="2" t="s">
        <v>713</v>
      </c>
      <c r="B32" s="2" t="s">
        <v>714</v>
      </c>
      <c r="C32" s="2" t="s">
        <v>2616</v>
      </c>
      <c r="D32" s="2" t="s">
        <v>710</v>
      </c>
      <c r="E32" s="2" t="s">
        <v>183</v>
      </c>
      <c r="F32" s="2">
        <v>2007</v>
      </c>
      <c r="G32" s="2" t="s">
        <v>184</v>
      </c>
      <c r="H32" s="2" t="s">
        <v>713</v>
      </c>
      <c r="I32" s="2" t="s">
        <v>237</v>
      </c>
      <c r="J32" s="2" t="s">
        <v>186</v>
      </c>
      <c r="K32" s="2" t="s">
        <v>187</v>
      </c>
      <c r="L32" s="2" t="s">
        <v>2574</v>
      </c>
    </row>
    <row r="33" spans="1:12">
      <c r="A33" s="2" t="s">
        <v>1161</v>
      </c>
      <c r="B33" s="2" t="s">
        <v>1162</v>
      </c>
      <c r="C33" s="2" t="s">
        <v>2617</v>
      </c>
      <c r="D33" s="2" t="s">
        <v>1158</v>
      </c>
      <c r="E33" s="2" t="s">
        <v>183</v>
      </c>
      <c r="F33" s="2">
        <v>1983</v>
      </c>
      <c r="G33" s="2" t="s">
        <v>184</v>
      </c>
      <c r="H33" s="2" t="s">
        <v>1162</v>
      </c>
      <c r="I33" s="2" t="s">
        <v>185</v>
      </c>
      <c r="J33" s="2" t="s">
        <v>270</v>
      </c>
      <c r="K33" s="2" t="s">
        <v>187</v>
      </c>
      <c r="L33" s="2" t="s">
        <v>2598</v>
      </c>
    </row>
    <row r="34" spans="1:12">
      <c r="A34" s="2" t="s">
        <v>1161</v>
      </c>
      <c r="B34" s="2" t="s">
        <v>1162</v>
      </c>
      <c r="C34" s="2" t="s">
        <v>2618</v>
      </c>
      <c r="D34" s="2" t="s">
        <v>1158</v>
      </c>
      <c r="E34" s="2" t="s">
        <v>183</v>
      </c>
      <c r="F34" s="2">
        <v>2005</v>
      </c>
      <c r="G34" s="2" t="s">
        <v>184</v>
      </c>
      <c r="H34" s="2" t="s">
        <v>2619</v>
      </c>
      <c r="I34" s="2" t="s">
        <v>237</v>
      </c>
      <c r="J34" s="2" t="s">
        <v>186</v>
      </c>
      <c r="K34" s="2" t="s">
        <v>187</v>
      </c>
      <c r="L34" s="2" t="s">
        <v>2574</v>
      </c>
    </row>
    <row r="35" spans="1:12">
      <c r="A35" s="2" t="s">
        <v>1180</v>
      </c>
      <c r="B35" s="2" t="s">
        <v>1181</v>
      </c>
      <c r="C35" s="2" t="s">
        <v>2620</v>
      </c>
      <c r="D35" s="2" t="s">
        <v>1178</v>
      </c>
      <c r="E35" s="2" t="s">
        <v>223</v>
      </c>
      <c r="F35" s="2">
        <v>1991</v>
      </c>
      <c r="G35" s="2" t="s">
        <v>184</v>
      </c>
      <c r="H35" s="2" t="s">
        <v>1180</v>
      </c>
      <c r="I35" s="2" t="s">
        <v>225</v>
      </c>
      <c r="J35" s="2" t="s">
        <v>186</v>
      </c>
      <c r="K35" s="2" t="s">
        <v>187</v>
      </c>
      <c r="L35" s="2" t="s">
        <v>2621</v>
      </c>
    </row>
    <row r="36" spans="1:12">
      <c r="A36" s="2" t="s">
        <v>1192</v>
      </c>
      <c r="B36" s="2" t="s">
        <v>1192</v>
      </c>
      <c r="C36" s="2" t="s">
        <v>2622</v>
      </c>
      <c r="D36" s="2" t="s">
        <v>1190</v>
      </c>
      <c r="E36" s="2" t="s">
        <v>183</v>
      </c>
      <c r="F36" s="2">
        <v>1980</v>
      </c>
      <c r="G36" s="2" t="s">
        <v>184</v>
      </c>
      <c r="H36" s="2" t="s">
        <v>548</v>
      </c>
      <c r="I36" s="2" t="s">
        <v>185</v>
      </c>
      <c r="J36" s="2" t="s">
        <v>270</v>
      </c>
      <c r="K36" s="2" t="s">
        <v>187</v>
      </c>
      <c r="L36" s="2" t="s">
        <v>2572</v>
      </c>
    </row>
    <row r="37" spans="1:12">
      <c r="A37" s="2" t="s">
        <v>1203</v>
      </c>
      <c r="B37" s="2" t="s">
        <v>1203</v>
      </c>
      <c r="C37" s="2" t="s">
        <v>2623</v>
      </c>
      <c r="D37" s="2" t="s">
        <v>1201</v>
      </c>
      <c r="E37" s="2" t="s">
        <v>183</v>
      </c>
      <c r="F37" s="2">
        <v>1984</v>
      </c>
      <c r="G37" s="2" t="s">
        <v>184</v>
      </c>
      <c r="H37" s="2" t="s">
        <v>1203</v>
      </c>
      <c r="I37" s="2" t="s">
        <v>185</v>
      </c>
      <c r="J37" s="2" t="s">
        <v>186</v>
      </c>
      <c r="K37" s="2" t="s">
        <v>187</v>
      </c>
      <c r="L37" s="2" t="s">
        <v>2598</v>
      </c>
    </row>
    <row r="38" spans="1:12">
      <c r="A38" s="2" t="s">
        <v>793</v>
      </c>
      <c r="B38" s="2" t="s">
        <v>794</v>
      </c>
      <c r="C38" s="2" t="s">
        <v>2624</v>
      </c>
      <c r="D38" s="2" t="s">
        <v>789</v>
      </c>
      <c r="E38" s="2" t="s">
        <v>183</v>
      </c>
      <c r="F38" s="2">
        <v>1989</v>
      </c>
      <c r="G38" s="2" t="s">
        <v>184</v>
      </c>
      <c r="H38" s="2" t="s">
        <v>794</v>
      </c>
      <c r="I38" s="2" t="s">
        <v>185</v>
      </c>
      <c r="J38" s="2" t="s">
        <v>226</v>
      </c>
      <c r="K38" s="2" t="s">
        <v>187</v>
      </c>
      <c r="L38" s="2" t="s">
        <v>2598</v>
      </c>
    </row>
    <row r="39" spans="1:12">
      <c r="A39" s="2" t="s">
        <v>657</v>
      </c>
      <c r="B39" s="2" t="s">
        <v>657</v>
      </c>
      <c r="C39" s="2" t="s">
        <v>2625</v>
      </c>
      <c r="D39" s="2" t="s">
        <v>867</v>
      </c>
      <c r="E39" s="2" t="s">
        <v>183</v>
      </c>
      <c r="F39" s="2">
        <v>1979</v>
      </c>
      <c r="G39" s="2" t="s">
        <v>184</v>
      </c>
      <c r="H39" s="2" t="s">
        <v>657</v>
      </c>
      <c r="I39" s="2" t="s">
        <v>185</v>
      </c>
      <c r="J39" s="2" t="s">
        <v>186</v>
      </c>
      <c r="K39" s="2" t="s">
        <v>187</v>
      </c>
      <c r="L39" s="2" t="s">
        <v>2598</v>
      </c>
    </row>
    <row r="40" spans="1:12">
      <c r="A40" s="2" t="s">
        <v>1106</v>
      </c>
      <c r="B40" s="2" t="s">
        <v>1107</v>
      </c>
      <c r="C40" s="2" t="s">
        <v>2626</v>
      </c>
      <c r="D40" s="2" t="s">
        <v>1104</v>
      </c>
      <c r="E40" s="2" t="s">
        <v>223</v>
      </c>
      <c r="F40" s="2">
        <v>1999</v>
      </c>
      <c r="G40" s="2" t="s">
        <v>184</v>
      </c>
      <c r="H40" s="2" t="s">
        <v>1106</v>
      </c>
      <c r="I40" s="2" t="s">
        <v>225</v>
      </c>
      <c r="J40" s="2" t="s">
        <v>270</v>
      </c>
      <c r="K40" s="2" t="s">
        <v>187</v>
      </c>
      <c r="L40" s="2" t="s">
        <v>2621</v>
      </c>
    </row>
    <row r="41" spans="1:12">
      <c r="A41" s="2" t="s">
        <v>1106</v>
      </c>
      <c r="B41" s="2" t="s">
        <v>1107</v>
      </c>
      <c r="C41" s="2" t="s">
        <v>2627</v>
      </c>
      <c r="D41" s="2" t="s">
        <v>1104</v>
      </c>
      <c r="E41" s="2" t="s">
        <v>183</v>
      </c>
      <c r="F41" s="2">
        <v>1995</v>
      </c>
      <c r="G41" s="2" t="s">
        <v>184</v>
      </c>
      <c r="H41" s="2" t="s">
        <v>1107</v>
      </c>
      <c r="I41" s="2" t="s">
        <v>185</v>
      </c>
      <c r="J41" s="2" t="s">
        <v>270</v>
      </c>
      <c r="K41" s="2" t="s">
        <v>187</v>
      </c>
      <c r="L41" s="2" t="s">
        <v>2572</v>
      </c>
    </row>
    <row r="42" spans="1:12">
      <c r="A42" s="2" t="s">
        <v>295</v>
      </c>
      <c r="B42" s="2" t="s">
        <v>185</v>
      </c>
      <c r="C42" s="2" t="s">
        <v>2628</v>
      </c>
      <c r="D42" s="2" t="s">
        <v>292</v>
      </c>
      <c r="K42" s="2" t="s">
        <v>187</v>
      </c>
      <c r="L42" s="2" t="s">
        <v>2629</v>
      </c>
    </row>
    <row r="43" spans="1:12">
      <c r="A43" s="2" t="s">
        <v>322</v>
      </c>
      <c r="B43" s="2" t="s">
        <v>323</v>
      </c>
      <c r="C43" s="2" t="s">
        <v>2630</v>
      </c>
      <c r="D43" s="2" t="s">
        <v>320</v>
      </c>
      <c r="E43" s="2" t="s">
        <v>223</v>
      </c>
      <c r="G43" s="2" t="s">
        <v>184</v>
      </c>
      <c r="H43" s="2" t="s">
        <v>2631</v>
      </c>
      <c r="I43" s="2" t="s">
        <v>225</v>
      </c>
      <c r="J43" s="2" t="s">
        <v>270</v>
      </c>
      <c r="K43" s="2" t="s">
        <v>187</v>
      </c>
      <c r="L43" s="2" t="s">
        <v>2632</v>
      </c>
    </row>
    <row r="44" spans="1:12">
      <c r="A44" s="2" t="s">
        <v>338</v>
      </c>
      <c r="B44" s="2" t="s">
        <v>338</v>
      </c>
      <c r="C44" s="2" t="s">
        <v>2633</v>
      </c>
      <c r="D44" s="2" t="s">
        <v>337</v>
      </c>
      <c r="E44" s="2" t="s">
        <v>223</v>
      </c>
      <c r="F44" s="2">
        <v>1993</v>
      </c>
      <c r="G44" s="2" t="s">
        <v>184</v>
      </c>
      <c r="H44" s="2" t="s">
        <v>2634</v>
      </c>
      <c r="I44" s="2" t="s">
        <v>225</v>
      </c>
      <c r="J44" s="2" t="s">
        <v>270</v>
      </c>
      <c r="K44" s="2" t="s">
        <v>187</v>
      </c>
      <c r="L44" s="2" t="s">
        <v>2635</v>
      </c>
    </row>
    <row r="45" spans="1:12">
      <c r="A45" s="2" t="s">
        <v>350</v>
      </c>
      <c r="B45" s="2" t="s">
        <v>351</v>
      </c>
      <c r="C45" s="2" t="s">
        <v>2636</v>
      </c>
      <c r="D45" s="2" t="s">
        <v>349</v>
      </c>
      <c r="K45" s="2" t="s">
        <v>187</v>
      </c>
    </row>
    <row r="46" spans="1:12">
      <c r="A46" s="2" t="s">
        <v>356</v>
      </c>
      <c r="B46" s="2" t="s">
        <v>356</v>
      </c>
      <c r="C46" s="2" t="s">
        <v>2637</v>
      </c>
      <c r="D46" s="2" t="s">
        <v>355</v>
      </c>
      <c r="E46" s="2" t="s">
        <v>223</v>
      </c>
      <c r="F46" s="2">
        <v>1990</v>
      </c>
      <c r="G46" s="2" t="s">
        <v>184</v>
      </c>
      <c r="H46" s="2" t="s">
        <v>2638</v>
      </c>
      <c r="I46" s="2" t="s">
        <v>225</v>
      </c>
      <c r="J46" s="2" t="s">
        <v>186</v>
      </c>
      <c r="K46" s="2" t="s">
        <v>187</v>
      </c>
      <c r="L46" s="2" t="s">
        <v>2635</v>
      </c>
    </row>
    <row r="47" spans="1:12">
      <c r="A47" s="2" t="s">
        <v>360</v>
      </c>
      <c r="B47" s="2" t="s">
        <v>361</v>
      </c>
      <c r="C47" s="2" t="s">
        <v>2639</v>
      </c>
      <c r="D47" s="2" t="s">
        <v>359</v>
      </c>
      <c r="K47" s="2" t="s">
        <v>187</v>
      </c>
      <c r="L47" s="2" t="s">
        <v>2629</v>
      </c>
    </row>
    <row r="48" spans="1:12">
      <c r="A48" s="2" t="s">
        <v>370</v>
      </c>
      <c r="B48" s="2" t="s">
        <v>371</v>
      </c>
      <c r="C48" s="2" t="s">
        <v>2640</v>
      </c>
      <c r="D48" s="2" t="s">
        <v>368</v>
      </c>
      <c r="K48" s="2" t="s">
        <v>187</v>
      </c>
      <c r="L48" s="2" t="s">
        <v>2629</v>
      </c>
    </row>
    <row r="49" spans="1:12">
      <c r="A49" s="2" t="s">
        <v>377</v>
      </c>
      <c r="B49" s="2" t="s">
        <v>378</v>
      </c>
      <c r="C49" s="2" t="s">
        <v>2641</v>
      </c>
      <c r="D49" s="2" t="s">
        <v>375</v>
      </c>
      <c r="K49" s="2" t="s">
        <v>187</v>
      </c>
      <c r="L49" s="2" t="s">
        <v>2629</v>
      </c>
    </row>
    <row r="50" spans="1:12">
      <c r="A50" s="2" t="s">
        <v>386</v>
      </c>
      <c r="B50" s="2" t="s">
        <v>387</v>
      </c>
      <c r="C50" s="2" t="s">
        <v>2642</v>
      </c>
      <c r="D50" s="2" t="s">
        <v>384</v>
      </c>
      <c r="K50" s="2" t="s">
        <v>187</v>
      </c>
      <c r="L50" s="2" t="s">
        <v>2643</v>
      </c>
    </row>
    <row r="51" spans="1:12">
      <c r="A51" s="2" t="s">
        <v>1169</v>
      </c>
      <c r="B51" s="2" t="s">
        <v>1170</v>
      </c>
      <c r="C51" s="2" t="s">
        <v>2644</v>
      </c>
      <c r="D51" s="2" t="s">
        <v>1168</v>
      </c>
      <c r="K51" s="2" t="s">
        <v>187</v>
      </c>
      <c r="L51" s="2" t="s">
        <v>2629</v>
      </c>
    </row>
    <row r="52" spans="1:12">
      <c r="A52" s="2" t="s">
        <v>1194</v>
      </c>
      <c r="B52" s="2" t="s">
        <v>1195</v>
      </c>
      <c r="C52" s="2" t="s">
        <v>2645</v>
      </c>
      <c r="D52" s="2" t="s">
        <v>1193</v>
      </c>
      <c r="K52" s="2" t="s">
        <v>187</v>
      </c>
      <c r="L52" s="2" t="s">
        <v>2629</v>
      </c>
    </row>
    <row r="53" spans="1:12">
      <c r="A53" s="2" t="s">
        <v>862</v>
      </c>
      <c r="B53" s="2" t="s">
        <v>863</v>
      </c>
      <c r="C53" s="2" t="s">
        <v>2646</v>
      </c>
      <c r="D53" s="2" t="s">
        <v>861</v>
      </c>
      <c r="K53" s="2" t="s">
        <v>187</v>
      </c>
      <c r="L53" s="2" t="s">
        <v>2647</v>
      </c>
    </row>
    <row r="54" spans="1:12">
      <c r="A54" s="2" t="s">
        <v>901</v>
      </c>
      <c r="B54" s="2" t="s">
        <v>902</v>
      </c>
      <c r="C54" s="2" t="s">
        <v>2648</v>
      </c>
      <c r="D54" s="2" t="s">
        <v>900</v>
      </c>
      <c r="K54" s="2" t="s">
        <v>188</v>
      </c>
    </row>
    <row r="55" spans="1:12">
      <c r="A55" s="2" t="s">
        <v>979</v>
      </c>
      <c r="B55" s="2" t="s">
        <v>980</v>
      </c>
      <c r="C55" s="2" t="s">
        <v>2649</v>
      </c>
      <c r="D55" s="2" t="s">
        <v>978</v>
      </c>
      <c r="K55" s="2" t="s">
        <v>187</v>
      </c>
      <c r="L55" s="2" t="s">
        <v>2650</v>
      </c>
    </row>
    <row r="56" spans="1:12">
      <c r="A56" s="2" t="s">
        <v>1013</v>
      </c>
      <c r="B56" s="2" t="s">
        <v>1013</v>
      </c>
      <c r="C56" s="2" t="s">
        <v>2651</v>
      </c>
      <c r="D56" s="2" t="s">
        <v>1012</v>
      </c>
      <c r="K56" s="2" t="s">
        <v>187</v>
      </c>
      <c r="L56" s="2" t="s">
        <v>2647</v>
      </c>
    </row>
    <row r="57" spans="1:12">
      <c r="A57" s="2" t="s">
        <v>1052</v>
      </c>
      <c r="B57" s="2" t="s">
        <v>1052</v>
      </c>
      <c r="C57" s="2" t="s">
        <v>2652</v>
      </c>
      <c r="D57" s="2" t="s">
        <v>1051</v>
      </c>
      <c r="E57" s="2" t="s">
        <v>183</v>
      </c>
      <c r="F57" s="2">
        <v>1987</v>
      </c>
      <c r="G57" s="2" t="s">
        <v>184</v>
      </c>
      <c r="H57" s="2" t="s">
        <v>1052</v>
      </c>
      <c r="I57" s="2" t="s">
        <v>185</v>
      </c>
      <c r="J57" s="2" t="s">
        <v>186</v>
      </c>
      <c r="K57" s="2" t="s">
        <v>187</v>
      </c>
      <c r="L57" s="2" t="s">
        <v>2647</v>
      </c>
    </row>
    <row r="58" spans="1:12">
      <c r="A58" s="2" t="s">
        <v>1070</v>
      </c>
      <c r="B58" s="2" t="s">
        <v>1070</v>
      </c>
      <c r="C58" s="2" t="s">
        <v>2653</v>
      </c>
      <c r="D58" s="2" t="s">
        <v>1069</v>
      </c>
      <c r="E58" s="2" t="s">
        <v>223</v>
      </c>
      <c r="F58" s="2">
        <v>2003</v>
      </c>
      <c r="G58" s="2" t="s">
        <v>184</v>
      </c>
      <c r="H58" s="2" t="s">
        <v>2654</v>
      </c>
      <c r="I58" s="2" t="s">
        <v>225</v>
      </c>
      <c r="J58" s="2" t="s">
        <v>186</v>
      </c>
      <c r="K58" s="2" t="s">
        <v>187</v>
      </c>
      <c r="L58" s="2" t="s">
        <v>2647</v>
      </c>
    </row>
    <row r="59" spans="1:12">
      <c r="A59" s="2" t="s">
        <v>1090</v>
      </c>
      <c r="B59" s="2" t="s">
        <v>1090</v>
      </c>
      <c r="C59" s="2" t="s">
        <v>2655</v>
      </c>
      <c r="D59" s="2" t="s">
        <v>1089</v>
      </c>
      <c r="E59" s="2" t="s">
        <v>223</v>
      </c>
      <c r="F59" s="2">
        <v>1989</v>
      </c>
      <c r="G59" s="2" t="s">
        <v>184</v>
      </c>
      <c r="H59" s="2" t="s">
        <v>2656</v>
      </c>
      <c r="I59" s="2" t="s">
        <v>225</v>
      </c>
      <c r="J59" s="2" t="s">
        <v>186</v>
      </c>
      <c r="K59" s="2" t="s">
        <v>187</v>
      </c>
      <c r="L59" s="2" t="s">
        <v>2647</v>
      </c>
    </row>
    <row r="60" spans="1:12">
      <c r="A60" s="2" t="s">
        <v>566</v>
      </c>
      <c r="B60" s="2" t="s">
        <v>566</v>
      </c>
      <c r="C60" s="2" t="s">
        <v>2657</v>
      </c>
      <c r="D60" s="2" t="s">
        <v>563</v>
      </c>
      <c r="E60" s="2" t="s">
        <v>183</v>
      </c>
      <c r="F60" s="2">
        <v>1964</v>
      </c>
      <c r="G60" s="2" t="s">
        <v>184</v>
      </c>
      <c r="H60" s="2" t="s">
        <v>566</v>
      </c>
      <c r="I60" s="2" t="s">
        <v>185</v>
      </c>
      <c r="J60" s="2" t="s">
        <v>270</v>
      </c>
      <c r="K60" s="2" t="s">
        <v>187</v>
      </c>
      <c r="L60" s="2" t="s">
        <v>2658</v>
      </c>
    </row>
    <row r="61" spans="1:12">
      <c r="A61" s="2" t="s">
        <v>2088</v>
      </c>
      <c r="B61" s="2" t="s">
        <v>2088</v>
      </c>
      <c r="C61" s="2" t="s">
        <v>2659</v>
      </c>
      <c r="D61" s="2" t="s">
        <v>2086</v>
      </c>
      <c r="E61" s="2" t="s">
        <v>223</v>
      </c>
      <c r="F61" s="2">
        <v>1971</v>
      </c>
      <c r="G61" s="2" t="s">
        <v>224</v>
      </c>
      <c r="H61" s="2" t="s">
        <v>2088</v>
      </c>
      <c r="I61" s="2" t="s">
        <v>185</v>
      </c>
      <c r="J61" s="2" t="s">
        <v>186</v>
      </c>
      <c r="K61" s="2" t="s">
        <v>187</v>
      </c>
      <c r="L61" s="2" t="s">
        <v>2660</v>
      </c>
    </row>
    <row r="62" spans="1:12">
      <c r="A62" s="2" t="s">
        <v>2088</v>
      </c>
      <c r="B62" s="2" t="s">
        <v>2088</v>
      </c>
      <c r="C62" s="2" t="s">
        <v>2661</v>
      </c>
      <c r="D62" s="2" t="s">
        <v>2086</v>
      </c>
      <c r="E62" s="2" t="s">
        <v>183</v>
      </c>
      <c r="F62" s="2">
        <v>2001</v>
      </c>
      <c r="G62" s="2" t="s">
        <v>224</v>
      </c>
      <c r="H62" s="2" t="s">
        <v>2662</v>
      </c>
      <c r="I62" s="2" t="s">
        <v>237</v>
      </c>
      <c r="J62" s="2" t="s">
        <v>226</v>
      </c>
      <c r="K62" s="2" t="s">
        <v>188</v>
      </c>
    </row>
    <row r="63" spans="1:12">
      <c r="A63" s="2" t="s">
        <v>2243</v>
      </c>
      <c r="B63" s="2" t="s">
        <v>2243</v>
      </c>
      <c r="C63" s="2" t="s">
        <v>2663</v>
      </c>
      <c r="D63" s="2" t="s">
        <v>2241</v>
      </c>
      <c r="E63" s="2" t="s">
        <v>183</v>
      </c>
      <c r="F63" s="2">
        <v>1976</v>
      </c>
      <c r="G63" s="2" t="s">
        <v>224</v>
      </c>
      <c r="H63" s="2" t="s">
        <v>2243</v>
      </c>
      <c r="I63" s="2" t="s">
        <v>185</v>
      </c>
      <c r="J63" s="2" t="s">
        <v>226</v>
      </c>
      <c r="K63" s="2" t="s">
        <v>187</v>
      </c>
      <c r="L63" s="2" t="s">
        <v>2598</v>
      </c>
    </row>
    <row r="64" spans="1:12">
      <c r="A64" s="2" t="s">
        <v>2243</v>
      </c>
      <c r="B64" s="2" t="s">
        <v>2243</v>
      </c>
      <c r="C64" s="2" t="s">
        <v>2664</v>
      </c>
      <c r="D64" s="2" t="s">
        <v>2241</v>
      </c>
      <c r="E64" s="2" t="s">
        <v>223</v>
      </c>
      <c r="F64" s="2">
        <v>1982</v>
      </c>
      <c r="G64" s="2" t="s">
        <v>224</v>
      </c>
      <c r="H64" s="2" t="s">
        <v>2665</v>
      </c>
      <c r="I64" s="2" t="s">
        <v>225</v>
      </c>
      <c r="J64" s="2" t="s">
        <v>226</v>
      </c>
      <c r="K64" s="2" t="s">
        <v>187</v>
      </c>
      <c r="L64" s="2" t="s">
        <v>2666</v>
      </c>
    </row>
    <row r="65" spans="1:12">
      <c r="A65" s="2" t="s">
        <v>2275</v>
      </c>
      <c r="B65" s="2" t="s">
        <v>2275</v>
      </c>
      <c r="C65" s="2" t="s">
        <v>2667</v>
      </c>
      <c r="D65" s="2" t="s">
        <v>2271</v>
      </c>
      <c r="E65" s="2" t="s">
        <v>223</v>
      </c>
      <c r="F65" s="2">
        <v>1982</v>
      </c>
      <c r="G65" s="2" t="s">
        <v>834</v>
      </c>
      <c r="H65" s="2" t="s">
        <v>2668</v>
      </c>
      <c r="I65" s="2" t="s">
        <v>225</v>
      </c>
      <c r="J65" s="2" t="s">
        <v>270</v>
      </c>
      <c r="K65" s="2" t="s">
        <v>187</v>
      </c>
      <c r="L65" s="2" t="s">
        <v>2603</v>
      </c>
    </row>
    <row r="66" spans="1:12">
      <c r="A66" s="2" t="s">
        <v>2275</v>
      </c>
      <c r="B66" s="2" t="s">
        <v>2275</v>
      </c>
      <c r="C66" s="2" t="s">
        <v>2669</v>
      </c>
      <c r="D66" s="2" t="s">
        <v>2271</v>
      </c>
      <c r="E66" s="2" t="s">
        <v>183</v>
      </c>
      <c r="F66" s="2">
        <v>1988</v>
      </c>
      <c r="G66" s="2" t="s">
        <v>834</v>
      </c>
      <c r="H66" s="2" t="s">
        <v>2670</v>
      </c>
      <c r="I66" s="2" t="s">
        <v>185</v>
      </c>
      <c r="J66" s="2" t="s">
        <v>226</v>
      </c>
      <c r="K66" s="2" t="s">
        <v>187</v>
      </c>
      <c r="L66" s="2" t="s">
        <v>2647</v>
      </c>
    </row>
    <row r="67" spans="1:12">
      <c r="A67" s="2" t="s">
        <v>2360</v>
      </c>
      <c r="B67" s="2" t="s">
        <v>2361</v>
      </c>
      <c r="C67" s="2" t="s">
        <v>2671</v>
      </c>
      <c r="D67" s="2" t="s">
        <v>2358</v>
      </c>
      <c r="E67" s="2" t="s">
        <v>183</v>
      </c>
      <c r="F67" s="2">
        <v>1999</v>
      </c>
      <c r="G67" s="2" t="s">
        <v>834</v>
      </c>
      <c r="H67" s="2" t="s">
        <v>2361</v>
      </c>
      <c r="I67" s="2" t="s">
        <v>185</v>
      </c>
      <c r="J67" s="2" t="s">
        <v>270</v>
      </c>
      <c r="K67" s="2" t="s">
        <v>187</v>
      </c>
      <c r="L67" s="2" t="s">
        <v>2572</v>
      </c>
    </row>
    <row r="68" spans="1:12">
      <c r="A68" s="2" t="s">
        <v>2372</v>
      </c>
      <c r="B68" s="2" t="s">
        <v>2373</v>
      </c>
      <c r="C68" s="2" t="s">
        <v>2672</v>
      </c>
      <c r="D68" s="2" t="s">
        <v>2369</v>
      </c>
      <c r="E68" s="2" t="s">
        <v>223</v>
      </c>
      <c r="F68" s="2">
        <v>1992</v>
      </c>
      <c r="G68" s="2" t="s">
        <v>834</v>
      </c>
      <c r="H68" s="2" t="s">
        <v>2373</v>
      </c>
      <c r="I68" s="2" t="s">
        <v>185</v>
      </c>
      <c r="J68" s="2" t="s">
        <v>270</v>
      </c>
      <c r="K68" s="2" t="s">
        <v>187</v>
      </c>
      <c r="L68" s="2" t="s">
        <v>2572</v>
      </c>
    </row>
    <row r="69" spans="1:12">
      <c r="A69" s="2" t="s">
        <v>2372</v>
      </c>
      <c r="B69" s="2" t="s">
        <v>2373</v>
      </c>
      <c r="C69" s="2" t="s">
        <v>2673</v>
      </c>
      <c r="D69" s="2" t="s">
        <v>2369</v>
      </c>
      <c r="E69" s="2" t="s">
        <v>223</v>
      </c>
      <c r="F69" s="2">
        <v>2020</v>
      </c>
      <c r="G69" s="2" t="s">
        <v>834</v>
      </c>
      <c r="H69" s="2" t="s">
        <v>2674</v>
      </c>
      <c r="I69" s="2" t="s">
        <v>237</v>
      </c>
      <c r="J69" s="2" t="s">
        <v>291</v>
      </c>
      <c r="K69" s="2" t="s">
        <v>188</v>
      </c>
    </row>
    <row r="70" spans="1:12">
      <c r="A70" s="2" t="s">
        <v>2372</v>
      </c>
      <c r="B70" s="2" t="s">
        <v>2373</v>
      </c>
      <c r="C70" s="2" t="s">
        <v>2675</v>
      </c>
      <c r="D70" s="2" t="s">
        <v>2369</v>
      </c>
      <c r="E70" s="2" t="s">
        <v>223</v>
      </c>
      <c r="F70" s="2">
        <v>2018</v>
      </c>
      <c r="G70" s="2" t="s">
        <v>834</v>
      </c>
      <c r="H70" s="2" t="s">
        <v>2676</v>
      </c>
      <c r="I70" s="2" t="s">
        <v>237</v>
      </c>
      <c r="J70" s="2" t="s">
        <v>291</v>
      </c>
      <c r="K70" s="2" t="s">
        <v>188</v>
      </c>
    </row>
    <row r="71" spans="1:12">
      <c r="A71" s="2" t="s">
        <v>2467</v>
      </c>
      <c r="B71" s="2" t="s">
        <v>2468</v>
      </c>
      <c r="C71" s="2" t="s">
        <v>2677</v>
      </c>
      <c r="D71" s="2" t="s">
        <v>2466</v>
      </c>
      <c r="E71" s="2" t="s">
        <v>223</v>
      </c>
      <c r="G71" s="2" t="s">
        <v>224</v>
      </c>
      <c r="H71" s="2" t="s">
        <v>2678</v>
      </c>
      <c r="I71" s="2" t="s">
        <v>225</v>
      </c>
      <c r="J71" s="2" t="s">
        <v>186</v>
      </c>
      <c r="K71" s="2" t="s">
        <v>187</v>
      </c>
      <c r="L71" s="2" t="s">
        <v>2621</v>
      </c>
    </row>
    <row r="72" spans="1:12">
      <c r="A72" s="2" t="s">
        <v>2472</v>
      </c>
      <c r="B72" s="2" t="s">
        <v>2473</v>
      </c>
      <c r="C72" s="2" t="s">
        <v>2679</v>
      </c>
      <c r="D72" s="2" t="s">
        <v>2470</v>
      </c>
      <c r="E72" s="2" t="s">
        <v>223</v>
      </c>
      <c r="F72" s="2">
        <v>1975</v>
      </c>
      <c r="G72" s="2" t="s">
        <v>224</v>
      </c>
      <c r="H72" s="2" t="s">
        <v>2680</v>
      </c>
      <c r="I72" s="2" t="s">
        <v>225</v>
      </c>
      <c r="J72" s="2" t="s">
        <v>226</v>
      </c>
      <c r="K72" s="2" t="s">
        <v>187</v>
      </c>
      <c r="L72" s="2" t="s">
        <v>2681</v>
      </c>
    </row>
    <row r="73" spans="1:12">
      <c r="A73" s="2" t="s">
        <v>2525</v>
      </c>
      <c r="B73" s="2" t="s">
        <v>2525</v>
      </c>
      <c r="C73" s="2" t="s">
        <v>2682</v>
      </c>
      <c r="D73" s="2" t="s">
        <v>2523</v>
      </c>
      <c r="E73" s="2" t="s">
        <v>183</v>
      </c>
      <c r="F73" s="2">
        <v>2008</v>
      </c>
      <c r="G73" s="2" t="s">
        <v>224</v>
      </c>
      <c r="H73" s="2" t="s">
        <v>2683</v>
      </c>
      <c r="I73" s="2" t="s">
        <v>237</v>
      </c>
      <c r="J73" s="2" t="s">
        <v>226</v>
      </c>
      <c r="K73" s="2" t="s">
        <v>187</v>
      </c>
      <c r="L73" s="2" t="s">
        <v>2684</v>
      </c>
    </row>
    <row r="74" spans="1:12">
      <c r="A74" s="2" t="s">
        <v>2525</v>
      </c>
      <c r="B74" s="2" t="s">
        <v>2525</v>
      </c>
      <c r="C74" s="2" t="s">
        <v>2685</v>
      </c>
      <c r="D74" s="2" t="s">
        <v>2523</v>
      </c>
      <c r="E74" s="2" t="s">
        <v>223</v>
      </c>
      <c r="F74" s="2">
        <v>1975</v>
      </c>
      <c r="G74" s="2" t="s">
        <v>224</v>
      </c>
      <c r="H74" s="2" t="s">
        <v>2686</v>
      </c>
      <c r="I74" s="2" t="s">
        <v>225</v>
      </c>
      <c r="J74" s="2" t="s">
        <v>186</v>
      </c>
      <c r="K74" s="2" t="s">
        <v>187</v>
      </c>
      <c r="L74" s="2" t="s">
        <v>2635</v>
      </c>
    </row>
    <row r="75" spans="1:12">
      <c r="A75" s="2" t="s">
        <v>2549</v>
      </c>
      <c r="B75" s="2" t="s">
        <v>2549</v>
      </c>
      <c r="C75" s="2" t="s">
        <v>2687</v>
      </c>
      <c r="D75" s="2" t="s">
        <v>2547</v>
      </c>
      <c r="E75" s="2" t="s">
        <v>223</v>
      </c>
      <c r="F75" s="2">
        <v>1980</v>
      </c>
      <c r="G75" s="2" t="s">
        <v>834</v>
      </c>
      <c r="H75" s="2" t="s">
        <v>2688</v>
      </c>
      <c r="I75" s="2" t="s">
        <v>225</v>
      </c>
      <c r="J75" s="2" t="s">
        <v>270</v>
      </c>
      <c r="K75" s="2" t="s">
        <v>187</v>
      </c>
      <c r="L75" s="2" t="s">
        <v>2689</v>
      </c>
    </row>
    <row r="76" spans="1:12">
      <c r="A76" s="2" t="s">
        <v>2549</v>
      </c>
      <c r="B76" s="2" t="s">
        <v>2549</v>
      </c>
      <c r="C76" s="2" t="s">
        <v>2690</v>
      </c>
      <c r="D76" s="2" t="s">
        <v>2547</v>
      </c>
      <c r="E76" s="2" t="s">
        <v>223</v>
      </c>
      <c r="F76" s="2">
        <v>2005</v>
      </c>
      <c r="G76" s="2" t="s">
        <v>834</v>
      </c>
      <c r="H76" s="2" t="s">
        <v>2691</v>
      </c>
      <c r="I76" s="2" t="s">
        <v>237</v>
      </c>
      <c r="J76" s="2" t="s">
        <v>186</v>
      </c>
      <c r="K76" s="2" t="s">
        <v>187</v>
      </c>
      <c r="L76" s="2" t="s">
        <v>2689</v>
      </c>
    </row>
    <row r="77" spans="1:12">
      <c r="A77" s="2" t="s">
        <v>2549</v>
      </c>
      <c r="B77" s="2" t="s">
        <v>2549</v>
      </c>
      <c r="C77" s="2" t="s">
        <v>2692</v>
      </c>
      <c r="D77" s="2" t="s">
        <v>2547</v>
      </c>
      <c r="E77" s="2" t="s">
        <v>183</v>
      </c>
      <c r="F77" s="2">
        <v>2000</v>
      </c>
      <c r="G77" s="2" t="s">
        <v>834</v>
      </c>
      <c r="H77" s="2" t="s">
        <v>2693</v>
      </c>
      <c r="I77" s="2" t="s">
        <v>237</v>
      </c>
      <c r="J77" s="2" t="s">
        <v>270</v>
      </c>
      <c r="K77" s="2" t="s">
        <v>187</v>
      </c>
      <c r="L77" s="2" t="s">
        <v>2647</v>
      </c>
    </row>
    <row r="78" spans="1:12">
      <c r="A78" s="2" t="s">
        <v>2381</v>
      </c>
      <c r="B78" s="2" t="s">
        <v>2381</v>
      </c>
      <c r="C78" s="2" t="s">
        <v>2694</v>
      </c>
      <c r="D78" s="2" t="s">
        <v>2565</v>
      </c>
      <c r="E78" s="2" t="s">
        <v>223</v>
      </c>
      <c r="F78" s="2">
        <v>1990</v>
      </c>
      <c r="G78" s="2" t="s">
        <v>834</v>
      </c>
      <c r="H78" s="2" t="s">
        <v>2695</v>
      </c>
      <c r="I78" s="2" t="s">
        <v>225</v>
      </c>
      <c r="J78" s="2" t="s">
        <v>270</v>
      </c>
      <c r="K78" s="2" t="s">
        <v>187</v>
      </c>
      <c r="L78" s="2" t="s">
        <v>2635</v>
      </c>
    </row>
    <row r="79" spans="1:12">
      <c r="A79" s="2" t="s">
        <v>2381</v>
      </c>
      <c r="B79" s="2" t="s">
        <v>2381</v>
      </c>
      <c r="C79" s="2" t="s">
        <v>2696</v>
      </c>
      <c r="D79" s="2" t="s">
        <v>2565</v>
      </c>
      <c r="E79" s="2" t="s">
        <v>223</v>
      </c>
      <c r="F79" s="2">
        <v>2016</v>
      </c>
      <c r="G79" s="2" t="s">
        <v>834</v>
      </c>
      <c r="H79" s="2" t="s">
        <v>2697</v>
      </c>
      <c r="I79" s="2" t="s">
        <v>237</v>
      </c>
      <c r="J79" s="2" t="s">
        <v>186</v>
      </c>
      <c r="K79" s="2" t="s">
        <v>188</v>
      </c>
    </row>
    <row r="80" spans="1:12">
      <c r="A80" s="2" t="s">
        <v>2381</v>
      </c>
      <c r="B80" s="2" t="s">
        <v>2381</v>
      </c>
      <c r="C80" s="2" t="s">
        <v>2698</v>
      </c>
      <c r="D80" s="2" t="s">
        <v>2565</v>
      </c>
      <c r="E80" s="2" t="s">
        <v>183</v>
      </c>
      <c r="F80" s="2">
        <v>2009</v>
      </c>
      <c r="G80" s="2" t="s">
        <v>834</v>
      </c>
      <c r="H80" s="2" t="s">
        <v>2699</v>
      </c>
      <c r="I80" s="2" t="s">
        <v>237</v>
      </c>
      <c r="J80" s="2" t="s">
        <v>226</v>
      </c>
      <c r="K80" s="2" t="s">
        <v>188</v>
      </c>
    </row>
    <row r="81" spans="1:12">
      <c r="A81" s="2" t="s">
        <v>295</v>
      </c>
      <c r="B81" s="2" t="s">
        <v>185</v>
      </c>
      <c r="C81" s="2" t="s">
        <v>2700</v>
      </c>
      <c r="D81" s="2" t="s">
        <v>292</v>
      </c>
      <c r="E81" s="2" t="s">
        <v>223</v>
      </c>
      <c r="F81" s="2">
        <v>1979</v>
      </c>
      <c r="G81" s="2" t="s">
        <v>184</v>
      </c>
      <c r="H81" s="2" t="s">
        <v>2701</v>
      </c>
      <c r="I81" s="2" t="s">
        <v>225</v>
      </c>
      <c r="J81" s="2" t="s">
        <v>603</v>
      </c>
      <c r="K81" s="2" t="s">
        <v>187</v>
      </c>
      <c r="L81" s="2" t="s">
        <v>2635</v>
      </c>
    </row>
    <row r="82" spans="1:12">
      <c r="A82" s="2" t="s">
        <v>307</v>
      </c>
      <c r="B82" s="2" t="s">
        <v>185</v>
      </c>
      <c r="C82" s="2" t="s">
        <v>2702</v>
      </c>
      <c r="D82" s="2" t="s">
        <v>305</v>
      </c>
      <c r="E82" s="2" t="s">
        <v>223</v>
      </c>
      <c r="F82" s="2">
        <v>1962</v>
      </c>
      <c r="G82" s="2" t="s">
        <v>184</v>
      </c>
      <c r="H82" s="2" t="s">
        <v>2703</v>
      </c>
      <c r="I82" s="2" t="s">
        <v>225</v>
      </c>
      <c r="J82" s="2" t="s">
        <v>603</v>
      </c>
      <c r="K82" s="2" t="s">
        <v>187</v>
      </c>
      <c r="L82" s="2" t="s">
        <v>2635</v>
      </c>
    </row>
    <row r="83" spans="1:12">
      <c r="A83" s="2" t="s">
        <v>802</v>
      </c>
      <c r="B83" s="2" t="s">
        <v>802</v>
      </c>
      <c r="C83" s="2" t="s">
        <v>2704</v>
      </c>
      <c r="D83" s="2" t="s">
        <v>799</v>
      </c>
      <c r="E83" s="2" t="s">
        <v>223</v>
      </c>
      <c r="F83" s="2">
        <v>2001</v>
      </c>
      <c r="G83" s="2" t="s">
        <v>184</v>
      </c>
      <c r="H83" s="2" t="s">
        <v>2705</v>
      </c>
      <c r="I83" s="2" t="s">
        <v>225</v>
      </c>
      <c r="J83" s="2" t="s">
        <v>186</v>
      </c>
      <c r="K83" s="2" t="s">
        <v>187</v>
      </c>
      <c r="L83" s="2" t="s">
        <v>2632</v>
      </c>
    </row>
    <row r="84" spans="1:12">
      <c r="A84" s="2" t="s">
        <v>350</v>
      </c>
      <c r="B84" s="2" t="s">
        <v>351</v>
      </c>
      <c r="C84" s="2" t="s">
        <v>2706</v>
      </c>
      <c r="D84" s="2" t="s">
        <v>349</v>
      </c>
      <c r="E84" s="2" t="s">
        <v>183</v>
      </c>
      <c r="F84" s="2">
        <v>1988</v>
      </c>
      <c r="G84" s="2" t="s">
        <v>184</v>
      </c>
      <c r="H84" s="2" t="s">
        <v>351</v>
      </c>
      <c r="I84" s="2" t="s">
        <v>185</v>
      </c>
      <c r="J84" s="2" t="s">
        <v>186</v>
      </c>
      <c r="K84" s="2" t="s">
        <v>187</v>
      </c>
      <c r="L84" s="2" t="s">
        <v>2647</v>
      </c>
    </row>
    <row r="85" spans="1:12">
      <c r="A85" s="2" t="s">
        <v>823</v>
      </c>
      <c r="B85" s="2" t="s">
        <v>823</v>
      </c>
      <c r="C85" s="2" t="s">
        <v>2707</v>
      </c>
      <c r="D85" s="2" t="s">
        <v>820</v>
      </c>
      <c r="E85" s="2" t="s">
        <v>223</v>
      </c>
      <c r="F85" s="2">
        <v>2001</v>
      </c>
      <c r="G85" s="2" t="s">
        <v>184</v>
      </c>
      <c r="H85" s="2" t="s">
        <v>2708</v>
      </c>
      <c r="I85" s="2" t="s">
        <v>225</v>
      </c>
      <c r="J85" s="2" t="s">
        <v>186</v>
      </c>
      <c r="K85" s="2" t="s">
        <v>187</v>
      </c>
      <c r="L85" s="2" t="s">
        <v>2632</v>
      </c>
    </row>
    <row r="86" spans="1:12">
      <c r="A86" s="2" t="s">
        <v>823</v>
      </c>
      <c r="B86" s="2" t="s">
        <v>823</v>
      </c>
      <c r="C86" s="2" t="s">
        <v>2709</v>
      </c>
      <c r="D86" s="2" t="s">
        <v>820</v>
      </c>
      <c r="E86" s="2" t="s">
        <v>223</v>
      </c>
      <c r="F86" s="2">
        <v>2021</v>
      </c>
      <c r="G86" s="2" t="s">
        <v>184</v>
      </c>
      <c r="H86" s="2" t="s">
        <v>2710</v>
      </c>
      <c r="I86" s="2" t="s">
        <v>237</v>
      </c>
      <c r="J86" s="2" t="s">
        <v>291</v>
      </c>
      <c r="K86" s="2" t="s">
        <v>188</v>
      </c>
    </row>
    <row r="87" spans="1:12">
      <c r="A87" s="2" t="s">
        <v>921</v>
      </c>
      <c r="B87" s="2" t="s">
        <v>922</v>
      </c>
      <c r="C87" s="2" t="s">
        <v>2711</v>
      </c>
      <c r="D87" s="2" t="s">
        <v>919</v>
      </c>
      <c r="E87" s="2" t="s">
        <v>223</v>
      </c>
      <c r="F87" s="2">
        <v>2008</v>
      </c>
      <c r="G87" s="2" t="s">
        <v>184</v>
      </c>
      <c r="H87" s="2" t="s">
        <v>2712</v>
      </c>
      <c r="I87" s="2" t="s">
        <v>237</v>
      </c>
      <c r="J87" s="2" t="s">
        <v>186</v>
      </c>
      <c r="K87" s="2" t="s">
        <v>187</v>
      </c>
      <c r="L87" s="2" t="s">
        <v>2632</v>
      </c>
    </row>
    <row r="88" spans="1:12">
      <c r="A88" s="2" t="s">
        <v>921</v>
      </c>
      <c r="B88" s="2" t="s">
        <v>922</v>
      </c>
      <c r="C88" s="2" t="s">
        <v>2713</v>
      </c>
      <c r="D88" s="2" t="s">
        <v>919</v>
      </c>
      <c r="E88" s="2" t="s">
        <v>223</v>
      </c>
      <c r="F88" s="2">
        <v>1984</v>
      </c>
      <c r="G88" s="2" t="s">
        <v>184</v>
      </c>
      <c r="H88" s="2" t="s">
        <v>921</v>
      </c>
      <c r="I88" s="2" t="s">
        <v>225</v>
      </c>
      <c r="J88" s="2" t="s">
        <v>270</v>
      </c>
      <c r="K88" s="2" t="s">
        <v>187</v>
      </c>
      <c r="L88" s="2" t="s">
        <v>2632</v>
      </c>
    </row>
    <row r="89" spans="1:12">
      <c r="A89" s="2" t="s">
        <v>921</v>
      </c>
      <c r="B89" s="2" t="s">
        <v>922</v>
      </c>
      <c r="C89" s="2" t="s">
        <v>2714</v>
      </c>
      <c r="D89" s="2" t="s">
        <v>919</v>
      </c>
      <c r="E89" s="2" t="s">
        <v>183</v>
      </c>
      <c r="F89" s="2">
        <v>2005</v>
      </c>
      <c r="G89" s="2" t="s">
        <v>184</v>
      </c>
      <c r="H89" s="2" t="s">
        <v>2715</v>
      </c>
      <c r="I89" s="2" t="s">
        <v>237</v>
      </c>
      <c r="J89" s="2" t="s">
        <v>186</v>
      </c>
      <c r="K89" s="2" t="s">
        <v>187</v>
      </c>
      <c r="L89" s="2" t="s">
        <v>2716</v>
      </c>
    </row>
    <row r="90" spans="1:12">
      <c r="A90" s="2" t="s">
        <v>938</v>
      </c>
      <c r="B90" s="2" t="s">
        <v>939</v>
      </c>
      <c r="C90" s="2" t="s">
        <v>2717</v>
      </c>
      <c r="D90" s="2" t="s">
        <v>936</v>
      </c>
      <c r="E90" s="2" t="s">
        <v>223</v>
      </c>
      <c r="F90" s="2">
        <v>2000</v>
      </c>
      <c r="G90" s="2" t="s">
        <v>184</v>
      </c>
      <c r="H90" s="2" t="s">
        <v>938</v>
      </c>
      <c r="I90" s="2" t="s">
        <v>225</v>
      </c>
      <c r="J90" s="2" t="s">
        <v>186</v>
      </c>
      <c r="K90" s="2" t="s">
        <v>187</v>
      </c>
      <c r="L90" s="2" t="s">
        <v>2632</v>
      </c>
    </row>
    <row r="91" spans="1:12">
      <c r="A91" s="2" t="s">
        <v>938</v>
      </c>
      <c r="B91" s="2" t="s">
        <v>939</v>
      </c>
      <c r="C91" s="2" t="s">
        <v>2718</v>
      </c>
      <c r="D91" s="2" t="s">
        <v>936</v>
      </c>
      <c r="E91" s="2" t="s">
        <v>183</v>
      </c>
      <c r="F91" s="2">
        <v>2022</v>
      </c>
      <c r="G91" s="2" t="s">
        <v>184</v>
      </c>
      <c r="H91" s="2" t="s">
        <v>2719</v>
      </c>
      <c r="I91" s="2" t="s">
        <v>237</v>
      </c>
      <c r="J91" s="2" t="s">
        <v>291</v>
      </c>
      <c r="K91" s="2" t="s">
        <v>188</v>
      </c>
    </row>
    <row r="92" spans="1:12">
      <c r="A92" s="2" t="s">
        <v>938</v>
      </c>
      <c r="B92" s="2" t="s">
        <v>939</v>
      </c>
      <c r="C92" s="2" t="s">
        <v>2720</v>
      </c>
      <c r="D92" s="2" t="s">
        <v>936</v>
      </c>
      <c r="E92" s="2" t="s">
        <v>223</v>
      </c>
      <c r="F92" s="2">
        <v>2019</v>
      </c>
      <c r="G92" s="2" t="s">
        <v>184</v>
      </c>
      <c r="H92" s="2" t="s">
        <v>2721</v>
      </c>
      <c r="I92" s="2" t="s">
        <v>237</v>
      </c>
      <c r="J92" s="2" t="s">
        <v>270</v>
      </c>
      <c r="K92" s="2" t="s">
        <v>188</v>
      </c>
    </row>
    <row r="93" spans="1:12">
      <c r="A93" s="2" t="s">
        <v>2549</v>
      </c>
      <c r="B93" s="2" t="s">
        <v>2549</v>
      </c>
      <c r="C93" s="2" t="s">
        <v>2722</v>
      </c>
      <c r="D93" s="2" t="s">
        <v>2547</v>
      </c>
      <c r="E93" s="2" t="s">
        <v>183</v>
      </c>
      <c r="F93" s="2">
        <v>1980</v>
      </c>
      <c r="G93" s="2" t="s">
        <v>834</v>
      </c>
      <c r="H93" s="2" t="s">
        <v>2549</v>
      </c>
      <c r="I93" s="2" t="s">
        <v>185</v>
      </c>
      <c r="J93" s="2" t="s">
        <v>270</v>
      </c>
      <c r="K93" s="2" t="s">
        <v>187</v>
      </c>
      <c r="L93" s="2" t="s">
        <v>2647</v>
      </c>
    </row>
    <row r="94" spans="1:12">
      <c r="A94" s="2" t="s">
        <v>2525</v>
      </c>
      <c r="B94" s="2" t="s">
        <v>2525</v>
      </c>
      <c r="C94" s="2" t="s">
        <v>2723</v>
      </c>
      <c r="D94" s="2" t="s">
        <v>2523</v>
      </c>
      <c r="E94" s="2" t="s">
        <v>183</v>
      </c>
      <c r="F94" s="2">
        <v>1962</v>
      </c>
      <c r="G94" s="2" t="s">
        <v>224</v>
      </c>
      <c r="H94" s="2" t="s">
        <v>2525</v>
      </c>
      <c r="I94" s="2" t="s">
        <v>185</v>
      </c>
      <c r="J94" s="2" t="s">
        <v>186</v>
      </c>
      <c r="K94" s="2" t="s">
        <v>187</v>
      </c>
      <c r="L94" s="2" t="s">
        <v>2647</v>
      </c>
    </row>
    <row r="95" spans="1:12">
      <c r="A95" s="2" t="s">
        <v>365</v>
      </c>
      <c r="B95" s="2" t="s">
        <v>365</v>
      </c>
      <c r="C95" s="2" t="s">
        <v>2724</v>
      </c>
      <c r="D95" s="2" t="s">
        <v>364</v>
      </c>
      <c r="E95" s="2" t="s">
        <v>223</v>
      </c>
      <c r="F95" s="2">
        <v>1959</v>
      </c>
      <c r="G95" s="2" t="s">
        <v>184</v>
      </c>
      <c r="H95" s="2" t="s">
        <v>2725</v>
      </c>
      <c r="I95" s="2" t="s">
        <v>225</v>
      </c>
      <c r="J95" s="2" t="s">
        <v>603</v>
      </c>
      <c r="K95" s="2" t="s">
        <v>187</v>
      </c>
      <c r="L95" s="2" t="s">
        <v>2635</v>
      </c>
    </row>
    <row r="96" spans="1:12">
      <c r="A96" s="2" t="s">
        <v>1933</v>
      </c>
      <c r="B96" s="2" t="s">
        <v>2499</v>
      </c>
      <c r="C96" s="2" t="s">
        <v>2726</v>
      </c>
      <c r="D96" s="2" t="s">
        <v>2497</v>
      </c>
      <c r="E96" s="2" t="s">
        <v>183</v>
      </c>
      <c r="F96" s="2">
        <v>1971</v>
      </c>
      <c r="G96" s="2" t="s">
        <v>224</v>
      </c>
      <c r="H96" s="2" t="s">
        <v>2499</v>
      </c>
      <c r="I96" s="2" t="s">
        <v>185</v>
      </c>
      <c r="J96" s="2" t="s">
        <v>226</v>
      </c>
      <c r="K96" s="2" t="s">
        <v>187</v>
      </c>
      <c r="L96" s="2" t="s">
        <v>2647</v>
      </c>
    </row>
    <row r="97" spans="1:12">
      <c r="A97" s="2" t="s">
        <v>1933</v>
      </c>
      <c r="B97" s="2" t="s">
        <v>2499</v>
      </c>
      <c r="C97" s="2" t="s">
        <v>2727</v>
      </c>
      <c r="D97" s="2" t="s">
        <v>2497</v>
      </c>
      <c r="E97" s="2" t="s">
        <v>183</v>
      </c>
      <c r="F97" s="2">
        <v>2001</v>
      </c>
      <c r="G97" s="2" t="s">
        <v>224</v>
      </c>
      <c r="H97" s="2" t="s">
        <v>2728</v>
      </c>
      <c r="I97" s="2" t="s">
        <v>237</v>
      </c>
      <c r="J97" s="2" t="s">
        <v>226</v>
      </c>
      <c r="K97" s="2" t="s">
        <v>188</v>
      </c>
    </row>
    <row r="98" spans="1:12">
      <c r="A98" s="2" t="s">
        <v>1933</v>
      </c>
      <c r="B98" s="2" t="s">
        <v>2499</v>
      </c>
      <c r="C98" s="2" t="s">
        <v>2729</v>
      </c>
      <c r="D98" s="2" t="s">
        <v>2497</v>
      </c>
      <c r="E98" s="2" t="s">
        <v>223</v>
      </c>
      <c r="F98" s="2">
        <v>1975</v>
      </c>
      <c r="G98" s="2" t="s">
        <v>224</v>
      </c>
      <c r="H98" s="2" t="s">
        <v>1933</v>
      </c>
      <c r="J98" s="2" t="s">
        <v>226</v>
      </c>
      <c r="K98" s="2" t="s">
        <v>187</v>
      </c>
      <c r="L98" s="2" t="s">
        <v>2689</v>
      </c>
    </row>
    <row r="99" spans="1:12">
      <c r="A99" s="2" t="s">
        <v>2488</v>
      </c>
      <c r="B99" s="2" t="s">
        <v>2488</v>
      </c>
      <c r="C99" s="2" t="s">
        <v>2730</v>
      </c>
      <c r="D99" s="2" t="s">
        <v>2486</v>
      </c>
      <c r="E99" s="2" t="s">
        <v>223</v>
      </c>
      <c r="F99" s="2">
        <v>1986</v>
      </c>
      <c r="G99" s="2" t="s">
        <v>224</v>
      </c>
      <c r="H99" s="2" t="s">
        <v>2731</v>
      </c>
      <c r="I99" s="2" t="s">
        <v>225</v>
      </c>
      <c r="J99" s="2" t="s">
        <v>226</v>
      </c>
      <c r="K99" s="2" t="s">
        <v>187</v>
      </c>
      <c r="L99" s="2" t="s">
        <v>2689</v>
      </c>
    </row>
    <row r="100" spans="1:12">
      <c r="A100" s="2" t="s">
        <v>2488</v>
      </c>
      <c r="B100" s="2" t="s">
        <v>2488</v>
      </c>
      <c r="C100" s="2" t="s">
        <v>2732</v>
      </c>
      <c r="D100" s="2" t="s">
        <v>2486</v>
      </c>
      <c r="E100" s="2" t="s">
        <v>223</v>
      </c>
      <c r="F100" s="2">
        <v>2009</v>
      </c>
      <c r="G100" s="2" t="s">
        <v>224</v>
      </c>
      <c r="H100" s="2" t="s">
        <v>2733</v>
      </c>
      <c r="I100" s="2" t="s">
        <v>237</v>
      </c>
      <c r="J100" s="2" t="s">
        <v>291</v>
      </c>
      <c r="K100" s="2" t="s">
        <v>188</v>
      </c>
    </row>
    <row r="101" spans="1:12">
      <c r="A101" s="2" t="s">
        <v>2488</v>
      </c>
      <c r="B101" s="2" t="s">
        <v>2488</v>
      </c>
      <c r="C101" s="2" t="s">
        <v>2734</v>
      </c>
      <c r="D101" s="2" t="s">
        <v>2486</v>
      </c>
      <c r="E101" s="2" t="s">
        <v>183</v>
      </c>
      <c r="F101" s="2">
        <v>1978</v>
      </c>
      <c r="G101" s="2" t="s">
        <v>224</v>
      </c>
      <c r="H101" s="2" t="s">
        <v>2488</v>
      </c>
      <c r="I101" s="2" t="s">
        <v>185</v>
      </c>
      <c r="J101" s="2" t="s">
        <v>226</v>
      </c>
      <c r="K101" s="2" t="s">
        <v>187</v>
      </c>
      <c r="L101" s="2" t="s">
        <v>2647</v>
      </c>
    </row>
    <row r="102" spans="1:12">
      <c r="A102" s="2" t="s">
        <v>2472</v>
      </c>
      <c r="B102" s="2" t="s">
        <v>2473</v>
      </c>
      <c r="C102" s="2" t="s">
        <v>2735</v>
      </c>
      <c r="D102" s="2" t="s">
        <v>2470</v>
      </c>
      <c r="E102" s="2" t="s">
        <v>183</v>
      </c>
      <c r="F102" s="2">
        <v>1971</v>
      </c>
      <c r="G102" s="2" t="s">
        <v>224</v>
      </c>
      <c r="H102" s="2" t="s">
        <v>2472</v>
      </c>
      <c r="J102" s="2" t="s">
        <v>186</v>
      </c>
      <c r="K102" s="2" t="s">
        <v>187</v>
      </c>
      <c r="L102" s="2" t="s">
        <v>2736</v>
      </c>
    </row>
    <row r="103" spans="1:12">
      <c r="A103" s="2" t="s">
        <v>370</v>
      </c>
      <c r="B103" s="2" t="s">
        <v>371</v>
      </c>
      <c r="C103" s="2" t="s">
        <v>2737</v>
      </c>
      <c r="D103" s="2" t="s">
        <v>368</v>
      </c>
      <c r="E103" s="2" t="s">
        <v>223</v>
      </c>
      <c r="F103" s="2">
        <v>1988</v>
      </c>
      <c r="G103" s="2" t="s">
        <v>184</v>
      </c>
      <c r="H103" s="2" t="s">
        <v>371</v>
      </c>
      <c r="I103" s="2" t="s">
        <v>185</v>
      </c>
      <c r="J103" s="2" t="s">
        <v>270</v>
      </c>
      <c r="K103" s="2" t="s">
        <v>187</v>
      </c>
      <c r="L103" s="2" t="s">
        <v>2635</v>
      </c>
    </row>
    <row r="104" spans="1:12">
      <c r="A104" s="2" t="s">
        <v>284</v>
      </c>
      <c r="B104" s="2" t="s">
        <v>284</v>
      </c>
      <c r="C104" s="2" t="s">
        <v>2738</v>
      </c>
      <c r="D104" s="2" t="s">
        <v>283</v>
      </c>
      <c r="E104" s="2" t="s">
        <v>183</v>
      </c>
      <c r="F104" s="2">
        <v>1974</v>
      </c>
      <c r="G104" s="2" t="s">
        <v>184</v>
      </c>
      <c r="H104" s="2" t="s">
        <v>2739</v>
      </c>
      <c r="I104" s="2" t="s">
        <v>225</v>
      </c>
      <c r="J104" s="2" t="s">
        <v>270</v>
      </c>
      <c r="K104" s="2" t="s">
        <v>187</v>
      </c>
      <c r="L104" s="2" t="s">
        <v>2647</v>
      </c>
    </row>
    <row r="105" spans="1:12">
      <c r="A105" s="2" t="s">
        <v>592</v>
      </c>
      <c r="B105" s="2" t="s">
        <v>593</v>
      </c>
      <c r="C105" s="2" t="s">
        <v>2740</v>
      </c>
      <c r="D105" s="2" t="s">
        <v>588</v>
      </c>
      <c r="E105" s="2" t="s">
        <v>223</v>
      </c>
      <c r="F105" s="2">
        <v>2001</v>
      </c>
      <c r="G105" s="2" t="s">
        <v>184</v>
      </c>
      <c r="H105" s="2" t="s">
        <v>2741</v>
      </c>
      <c r="I105" s="2" t="s">
        <v>237</v>
      </c>
      <c r="J105" s="2" t="s">
        <v>226</v>
      </c>
      <c r="K105" s="2" t="s">
        <v>187</v>
      </c>
      <c r="L105" s="2" t="s">
        <v>2742</v>
      </c>
    </row>
    <row r="106" spans="1:12">
      <c r="A106" s="2" t="s">
        <v>592</v>
      </c>
      <c r="B106" s="2" t="s">
        <v>593</v>
      </c>
      <c r="C106" s="2" t="s">
        <v>2743</v>
      </c>
      <c r="D106" s="2" t="s">
        <v>588</v>
      </c>
      <c r="E106" s="2" t="s">
        <v>183</v>
      </c>
      <c r="F106" s="2">
        <v>1978</v>
      </c>
      <c r="G106" s="2" t="s">
        <v>184</v>
      </c>
      <c r="H106" s="2" t="s">
        <v>593</v>
      </c>
      <c r="I106" s="2" t="s">
        <v>225</v>
      </c>
      <c r="J106" s="2" t="s">
        <v>186</v>
      </c>
      <c r="K106" s="2" t="s">
        <v>187</v>
      </c>
      <c r="L106" s="2" t="s">
        <v>2598</v>
      </c>
    </row>
    <row r="107" spans="1:12">
      <c r="A107" s="2" t="s">
        <v>2472</v>
      </c>
      <c r="B107" s="2" t="s">
        <v>2473</v>
      </c>
      <c r="C107" s="2" t="s">
        <v>2744</v>
      </c>
      <c r="D107" s="2" t="s">
        <v>2470</v>
      </c>
      <c r="E107" s="2" t="s">
        <v>183</v>
      </c>
      <c r="F107" s="2">
        <v>2008</v>
      </c>
      <c r="G107" s="2" t="s">
        <v>224</v>
      </c>
      <c r="H107" s="2" t="s">
        <v>2745</v>
      </c>
      <c r="I107" s="2" t="s">
        <v>237</v>
      </c>
      <c r="J107" s="2" t="s">
        <v>226</v>
      </c>
      <c r="K107" s="2" t="s">
        <v>188</v>
      </c>
    </row>
    <row r="108" spans="1:12">
      <c r="A108" s="2" t="s">
        <v>971</v>
      </c>
      <c r="B108" s="2" t="s">
        <v>972</v>
      </c>
      <c r="C108" s="2" t="s">
        <v>2746</v>
      </c>
      <c r="D108" s="2" t="s">
        <v>968</v>
      </c>
      <c r="E108" s="2" t="s">
        <v>223</v>
      </c>
      <c r="F108" s="2">
        <v>1979</v>
      </c>
      <c r="G108" s="2" t="s">
        <v>184</v>
      </c>
      <c r="H108" s="2" t="s">
        <v>2747</v>
      </c>
      <c r="I108" s="2" t="s">
        <v>225</v>
      </c>
      <c r="J108" s="2" t="s">
        <v>270</v>
      </c>
      <c r="K108" s="2" t="s">
        <v>187</v>
      </c>
      <c r="L108" s="2" t="s">
        <v>2632</v>
      </c>
    </row>
    <row r="109" spans="1:12">
      <c r="A109" s="2" t="s">
        <v>971</v>
      </c>
      <c r="B109" s="2" t="s">
        <v>972</v>
      </c>
      <c r="C109" s="2" t="s">
        <v>2748</v>
      </c>
      <c r="D109" s="2" t="s">
        <v>968</v>
      </c>
      <c r="E109" s="2" t="s">
        <v>183</v>
      </c>
      <c r="F109" s="2">
        <v>2009</v>
      </c>
      <c r="G109" s="2" t="s">
        <v>184</v>
      </c>
      <c r="H109" s="2" t="s">
        <v>971</v>
      </c>
      <c r="I109" s="2" t="s">
        <v>237</v>
      </c>
      <c r="J109" s="2" t="s">
        <v>186</v>
      </c>
      <c r="K109" s="2" t="s">
        <v>187</v>
      </c>
      <c r="L109" s="2" t="s">
        <v>2749</v>
      </c>
    </row>
    <row r="110" spans="1:12">
      <c r="A110" s="2" t="s">
        <v>1006</v>
      </c>
      <c r="B110" s="2" t="s">
        <v>1006</v>
      </c>
      <c r="C110" s="2" t="s">
        <v>2750</v>
      </c>
      <c r="D110" s="2" t="s">
        <v>1004</v>
      </c>
      <c r="E110" s="2" t="s">
        <v>183</v>
      </c>
      <c r="F110" s="2">
        <v>2016</v>
      </c>
      <c r="G110" s="2" t="s">
        <v>184</v>
      </c>
      <c r="H110" s="2" t="s">
        <v>1387</v>
      </c>
      <c r="I110" s="2" t="s">
        <v>237</v>
      </c>
      <c r="J110" s="2" t="s">
        <v>270</v>
      </c>
      <c r="K110" s="2" t="s">
        <v>188</v>
      </c>
    </row>
    <row r="111" spans="1:12">
      <c r="A111" s="2" t="s">
        <v>1006</v>
      </c>
      <c r="B111" s="2" t="s">
        <v>1006</v>
      </c>
      <c r="C111" s="2" t="s">
        <v>2751</v>
      </c>
      <c r="D111" s="2" t="s">
        <v>1004</v>
      </c>
      <c r="E111" s="2" t="s">
        <v>223</v>
      </c>
      <c r="F111" s="2">
        <v>1995</v>
      </c>
      <c r="G111" s="2" t="s">
        <v>184</v>
      </c>
      <c r="H111" s="2" t="s">
        <v>2752</v>
      </c>
      <c r="I111" s="2" t="s">
        <v>225</v>
      </c>
      <c r="J111" s="2" t="s">
        <v>270</v>
      </c>
      <c r="K111" s="2" t="s">
        <v>187</v>
      </c>
      <c r="L111" s="2" t="s">
        <v>2632</v>
      </c>
    </row>
    <row r="112" spans="1:12">
      <c r="A112" s="2" t="s">
        <v>1006</v>
      </c>
      <c r="B112" s="2" t="s">
        <v>1006</v>
      </c>
      <c r="C112" s="2" t="s">
        <v>2753</v>
      </c>
      <c r="D112" s="2" t="s">
        <v>1004</v>
      </c>
      <c r="E112" s="2" t="s">
        <v>183</v>
      </c>
      <c r="F112" s="2">
        <v>2012</v>
      </c>
      <c r="G112" s="2" t="s">
        <v>184</v>
      </c>
      <c r="H112" s="2" t="s">
        <v>2754</v>
      </c>
      <c r="I112" s="2" t="s">
        <v>237</v>
      </c>
      <c r="J112" s="2" t="s">
        <v>186</v>
      </c>
      <c r="K112" s="2" t="s">
        <v>188</v>
      </c>
    </row>
    <row r="113" spans="1:12">
      <c r="A113" s="2" t="s">
        <v>622</v>
      </c>
      <c r="B113" s="2" t="s">
        <v>622</v>
      </c>
      <c r="C113" s="2" t="s">
        <v>2755</v>
      </c>
      <c r="D113" s="2" t="s">
        <v>620</v>
      </c>
      <c r="E113" s="2" t="s">
        <v>183</v>
      </c>
      <c r="F113" s="2">
        <v>1999</v>
      </c>
      <c r="G113" s="2" t="s">
        <v>184</v>
      </c>
      <c r="H113" s="2" t="s">
        <v>2756</v>
      </c>
      <c r="I113" s="2" t="s">
        <v>237</v>
      </c>
      <c r="J113" s="2" t="s">
        <v>186</v>
      </c>
      <c r="K113" s="2" t="s">
        <v>187</v>
      </c>
      <c r="L113" s="2" t="s">
        <v>2574</v>
      </c>
    </row>
    <row r="114" spans="1:12">
      <c r="A114" s="2" t="s">
        <v>592</v>
      </c>
      <c r="B114" s="2" t="s">
        <v>593</v>
      </c>
      <c r="C114" s="2" t="s">
        <v>2757</v>
      </c>
      <c r="D114" s="2" t="s">
        <v>588</v>
      </c>
      <c r="E114" s="2" t="s">
        <v>223</v>
      </c>
      <c r="F114" s="2">
        <v>1979</v>
      </c>
      <c r="G114" s="2" t="s">
        <v>184</v>
      </c>
      <c r="H114" s="2" t="s">
        <v>592</v>
      </c>
      <c r="I114" s="2" t="s">
        <v>225</v>
      </c>
      <c r="J114" s="2" t="s">
        <v>270</v>
      </c>
      <c r="K114" s="2" t="s">
        <v>187</v>
      </c>
      <c r="L114" s="2" t="s">
        <v>2758</v>
      </c>
    </row>
    <row r="115" spans="1:12">
      <c r="A115" s="2" t="s">
        <v>622</v>
      </c>
      <c r="B115" s="2" t="s">
        <v>622</v>
      </c>
      <c r="C115" s="2" t="s">
        <v>2759</v>
      </c>
      <c r="D115" s="2" t="s">
        <v>620</v>
      </c>
      <c r="E115" s="2" t="s">
        <v>183</v>
      </c>
      <c r="F115" s="2">
        <v>1965</v>
      </c>
      <c r="G115" s="2" t="s">
        <v>184</v>
      </c>
      <c r="H115" s="2" t="s">
        <v>622</v>
      </c>
      <c r="I115" s="2" t="s">
        <v>185</v>
      </c>
      <c r="J115" s="2" t="s">
        <v>270</v>
      </c>
      <c r="K115" s="2" t="s">
        <v>187</v>
      </c>
      <c r="L115" s="2" t="s">
        <v>2598</v>
      </c>
    </row>
    <row r="116" spans="1:12">
      <c r="A116" s="2" t="s">
        <v>1018</v>
      </c>
      <c r="B116" s="2" t="s">
        <v>1019</v>
      </c>
      <c r="C116" s="2" t="s">
        <v>2760</v>
      </c>
      <c r="D116" s="2" t="s">
        <v>1016</v>
      </c>
      <c r="E116" s="2" t="s">
        <v>223</v>
      </c>
      <c r="F116" s="2">
        <v>1998</v>
      </c>
      <c r="G116" s="2" t="s">
        <v>184</v>
      </c>
      <c r="H116" s="2" t="s">
        <v>2761</v>
      </c>
      <c r="I116" s="2" t="s">
        <v>237</v>
      </c>
      <c r="J116" s="2" t="s">
        <v>226</v>
      </c>
      <c r="K116" s="2" t="s">
        <v>187</v>
      </c>
      <c r="L116" s="2" t="s">
        <v>2632</v>
      </c>
    </row>
    <row r="117" spans="1:12">
      <c r="A117" s="2" t="s">
        <v>1018</v>
      </c>
      <c r="B117" s="2" t="s">
        <v>1019</v>
      </c>
      <c r="C117" s="2" t="s">
        <v>2762</v>
      </c>
      <c r="D117" s="2" t="s">
        <v>1016</v>
      </c>
      <c r="E117" s="2" t="s">
        <v>223</v>
      </c>
      <c r="F117" s="2">
        <v>1972</v>
      </c>
      <c r="G117" s="2" t="s">
        <v>184</v>
      </c>
      <c r="H117" s="2" t="s">
        <v>1018</v>
      </c>
      <c r="I117" s="2" t="s">
        <v>225</v>
      </c>
      <c r="J117" s="2" t="s">
        <v>603</v>
      </c>
      <c r="K117" s="2" t="s">
        <v>187</v>
      </c>
      <c r="L117" s="2" t="s">
        <v>2632</v>
      </c>
    </row>
    <row r="118" spans="1:12">
      <c r="A118" s="2" t="s">
        <v>628</v>
      </c>
      <c r="B118" s="2" t="s">
        <v>629</v>
      </c>
      <c r="C118" s="2" t="s">
        <v>2763</v>
      </c>
      <c r="D118" s="2" t="s">
        <v>626</v>
      </c>
      <c r="E118" s="2" t="s">
        <v>183</v>
      </c>
      <c r="F118" s="2">
        <v>2003</v>
      </c>
      <c r="G118" s="2" t="s">
        <v>184</v>
      </c>
      <c r="H118" s="2" t="s">
        <v>2764</v>
      </c>
      <c r="I118" s="2" t="s">
        <v>237</v>
      </c>
      <c r="J118" s="2" t="s">
        <v>226</v>
      </c>
      <c r="K118" s="2" t="s">
        <v>187</v>
      </c>
      <c r="L118" s="2" t="s">
        <v>2579</v>
      </c>
    </row>
    <row r="119" spans="1:12">
      <c r="A119" s="2" t="s">
        <v>628</v>
      </c>
      <c r="B119" s="2" t="s">
        <v>629</v>
      </c>
      <c r="C119" s="2" t="s">
        <v>2765</v>
      </c>
      <c r="D119" s="2" t="s">
        <v>626</v>
      </c>
      <c r="E119" s="2" t="s">
        <v>223</v>
      </c>
      <c r="F119" s="2">
        <v>1974</v>
      </c>
      <c r="G119" s="2" t="s">
        <v>184</v>
      </c>
      <c r="H119" s="2" t="s">
        <v>628</v>
      </c>
      <c r="I119" s="2" t="s">
        <v>225</v>
      </c>
      <c r="J119" s="2" t="s">
        <v>270</v>
      </c>
      <c r="K119" s="2" t="s">
        <v>187</v>
      </c>
      <c r="L119" s="2" t="s">
        <v>2766</v>
      </c>
    </row>
    <row r="120" spans="1:12">
      <c r="A120" s="2" t="s">
        <v>628</v>
      </c>
      <c r="B120" s="2" t="s">
        <v>629</v>
      </c>
      <c r="C120" s="2" t="s">
        <v>2767</v>
      </c>
      <c r="D120" s="2" t="s">
        <v>626</v>
      </c>
      <c r="E120" s="2" t="s">
        <v>183</v>
      </c>
      <c r="F120" s="2">
        <v>1974</v>
      </c>
      <c r="G120" s="2" t="s">
        <v>184</v>
      </c>
      <c r="H120" s="2" t="s">
        <v>2768</v>
      </c>
      <c r="I120" s="2" t="s">
        <v>185</v>
      </c>
      <c r="J120" s="2" t="s">
        <v>186</v>
      </c>
      <c r="K120" s="2" t="s">
        <v>187</v>
      </c>
      <c r="L120" s="2" t="s">
        <v>2598</v>
      </c>
    </row>
    <row r="121" spans="1:12">
      <c r="A121" s="2" t="s">
        <v>628</v>
      </c>
      <c r="B121" s="2" t="s">
        <v>629</v>
      </c>
      <c r="C121" s="2" t="s">
        <v>2769</v>
      </c>
      <c r="D121" s="2" t="s">
        <v>626</v>
      </c>
      <c r="E121" s="2" t="s">
        <v>183</v>
      </c>
      <c r="F121" s="2">
        <v>1996</v>
      </c>
      <c r="G121" s="2" t="s">
        <v>184</v>
      </c>
      <c r="H121" s="2" t="s">
        <v>2770</v>
      </c>
      <c r="I121" s="2" t="s">
        <v>237</v>
      </c>
      <c r="J121" s="2" t="s">
        <v>186</v>
      </c>
      <c r="K121" s="2" t="s">
        <v>187</v>
      </c>
      <c r="L121" s="2" t="s">
        <v>2579</v>
      </c>
    </row>
    <row r="122" spans="1:12">
      <c r="A122" s="2" t="s">
        <v>628</v>
      </c>
      <c r="B122" s="2" t="s">
        <v>629</v>
      </c>
      <c r="C122" s="2" t="s">
        <v>2771</v>
      </c>
      <c r="D122" s="2" t="s">
        <v>626</v>
      </c>
      <c r="E122" s="2" t="s">
        <v>183</v>
      </c>
      <c r="F122" s="2">
        <v>2009</v>
      </c>
      <c r="G122" s="2" t="s">
        <v>184</v>
      </c>
      <c r="H122" s="2" t="s">
        <v>2772</v>
      </c>
      <c r="I122" s="2" t="s">
        <v>237</v>
      </c>
      <c r="J122" s="2" t="s">
        <v>291</v>
      </c>
      <c r="K122" s="2" t="s">
        <v>187</v>
      </c>
      <c r="L122" s="2" t="s">
        <v>2576</v>
      </c>
    </row>
    <row r="123" spans="1:12">
      <c r="A123" s="2" t="s">
        <v>636</v>
      </c>
      <c r="B123" s="2" t="s">
        <v>637</v>
      </c>
      <c r="C123" s="2" t="s">
        <v>2773</v>
      </c>
      <c r="D123" s="2" t="s">
        <v>634</v>
      </c>
      <c r="E123" s="2" t="s">
        <v>223</v>
      </c>
      <c r="F123" s="2">
        <v>1974</v>
      </c>
      <c r="G123" s="2" t="s">
        <v>184</v>
      </c>
      <c r="H123" s="2" t="s">
        <v>636</v>
      </c>
      <c r="I123" s="2" t="s">
        <v>225</v>
      </c>
      <c r="J123" s="2" t="s">
        <v>603</v>
      </c>
      <c r="K123" s="2" t="s">
        <v>187</v>
      </c>
      <c r="L123" s="2" t="s">
        <v>2632</v>
      </c>
    </row>
    <row r="124" spans="1:12">
      <c r="A124" s="2" t="s">
        <v>636</v>
      </c>
      <c r="B124" s="2" t="s">
        <v>637</v>
      </c>
      <c r="C124" s="2" t="s">
        <v>2774</v>
      </c>
      <c r="D124" s="2" t="s">
        <v>634</v>
      </c>
      <c r="E124" s="2" t="s">
        <v>183</v>
      </c>
      <c r="F124" s="2">
        <v>1964</v>
      </c>
      <c r="G124" s="2" t="s">
        <v>184</v>
      </c>
      <c r="H124" s="2" t="s">
        <v>2775</v>
      </c>
      <c r="I124" s="2" t="s">
        <v>185</v>
      </c>
      <c r="J124" s="2" t="s">
        <v>186</v>
      </c>
      <c r="K124" s="2" t="s">
        <v>187</v>
      </c>
      <c r="L124" s="2" t="s">
        <v>2576</v>
      </c>
    </row>
    <row r="125" spans="1:12">
      <c r="A125" s="2" t="s">
        <v>636</v>
      </c>
      <c r="B125" s="2" t="s">
        <v>637</v>
      </c>
      <c r="C125" s="2" t="s">
        <v>2776</v>
      </c>
      <c r="D125" s="2" t="s">
        <v>634</v>
      </c>
      <c r="E125" s="2" t="s">
        <v>223</v>
      </c>
      <c r="F125" s="2">
        <v>2004</v>
      </c>
      <c r="G125" s="2" t="s">
        <v>184</v>
      </c>
      <c r="H125" s="2" t="s">
        <v>2777</v>
      </c>
      <c r="I125" s="2" t="s">
        <v>237</v>
      </c>
      <c r="J125" s="2" t="s">
        <v>226</v>
      </c>
      <c r="K125" s="2" t="s">
        <v>187</v>
      </c>
      <c r="L125" s="2" t="s">
        <v>2778</v>
      </c>
    </row>
    <row r="126" spans="1:12">
      <c r="A126" s="2" t="s">
        <v>979</v>
      </c>
      <c r="B126" s="2" t="s">
        <v>980</v>
      </c>
      <c r="C126" s="2" t="s">
        <v>2779</v>
      </c>
      <c r="D126" s="2" t="s">
        <v>978</v>
      </c>
      <c r="E126" s="2" t="s">
        <v>183</v>
      </c>
      <c r="F126" s="2">
        <v>1989</v>
      </c>
      <c r="G126" s="2" t="s">
        <v>184</v>
      </c>
      <c r="H126" s="2" t="s">
        <v>2780</v>
      </c>
      <c r="I126" s="2" t="s">
        <v>185</v>
      </c>
      <c r="J126" s="2" t="s">
        <v>186</v>
      </c>
      <c r="K126" s="2" t="s">
        <v>187</v>
      </c>
      <c r="L126" s="2" t="s">
        <v>2598</v>
      </c>
    </row>
    <row r="127" spans="1:12">
      <c r="A127" s="2" t="s">
        <v>636</v>
      </c>
      <c r="B127" s="2" t="s">
        <v>637</v>
      </c>
      <c r="C127" s="2" t="s">
        <v>2781</v>
      </c>
      <c r="D127" s="2" t="s">
        <v>634</v>
      </c>
      <c r="E127" s="2" t="s">
        <v>183</v>
      </c>
      <c r="F127" s="2">
        <v>2010</v>
      </c>
      <c r="G127" s="2" t="s">
        <v>184</v>
      </c>
      <c r="H127" s="2" t="s">
        <v>2782</v>
      </c>
      <c r="I127" s="2" t="s">
        <v>237</v>
      </c>
      <c r="J127" s="2" t="s">
        <v>291</v>
      </c>
      <c r="K127" s="2" t="s">
        <v>187</v>
      </c>
      <c r="L127" s="2" t="s">
        <v>2783</v>
      </c>
    </row>
    <row r="128" spans="1:12">
      <c r="A128" s="2" t="s">
        <v>1064</v>
      </c>
      <c r="B128" s="2" t="s">
        <v>1064</v>
      </c>
      <c r="C128" s="2" t="s">
        <v>2784</v>
      </c>
      <c r="D128" s="2" t="s">
        <v>1062</v>
      </c>
      <c r="E128" s="2" t="s">
        <v>223</v>
      </c>
      <c r="F128" s="2">
        <v>2011</v>
      </c>
      <c r="G128" s="2" t="s">
        <v>184</v>
      </c>
      <c r="H128" s="2" t="s">
        <v>2785</v>
      </c>
      <c r="I128" s="2" t="s">
        <v>237</v>
      </c>
      <c r="J128" s="2" t="s">
        <v>186</v>
      </c>
      <c r="K128" s="2" t="s">
        <v>188</v>
      </c>
    </row>
    <row r="129" spans="1:12">
      <c r="A129" s="2" t="s">
        <v>1064</v>
      </c>
      <c r="B129" s="2" t="s">
        <v>1064</v>
      </c>
      <c r="C129" s="2" t="s">
        <v>2786</v>
      </c>
      <c r="D129" s="2" t="s">
        <v>1062</v>
      </c>
      <c r="E129" s="2" t="s">
        <v>223</v>
      </c>
      <c r="F129" s="2">
        <v>2007</v>
      </c>
      <c r="G129" s="2" t="s">
        <v>184</v>
      </c>
      <c r="H129" s="2" t="s">
        <v>2787</v>
      </c>
      <c r="I129" s="2" t="s">
        <v>237</v>
      </c>
      <c r="J129" s="2" t="s">
        <v>186</v>
      </c>
      <c r="K129" s="2" t="s">
        <v>187</v>
      </c>
      <c r="L129" s="2" t="s">
        <v>2788</v>
      </c>
    </row>
    <row r="130" spans="1:12">
      <c r="A130" s="2" t="s">
        <v>1064</v>
      </c>
      <c r="B130" s="2" t="s">
        <v>1064</v>
      </c>
      <c r="C130" s="2" t="s">
        <v>2789</v>
      </c>
      <c r="D130" s="2" t="s">
        <v>1062</v>
      </c>
      <c r="E130" s="2" t="s">
        <v>223</v>
      </c>
      <c r="F130" s="2">
        <v>1986</v>
      </c>
      <c r="G130" s="2" t="s">
        <v>184</v>
      </c>
      <c r="H130" s="2" t="s">
        <v>2790</v>
      </c>
      <c r="I130" s="2" t="s">
        <v>225</v>
      </c>
      <c r="J130" s="2" t="s">
        <v>603</v>
      </c>
      <c r="K130" s="2" t="s">
        <v>187</v>
      </c>
      <c r="L130" s="2" t="s">
        <v>2632</v>
      </c>
    </row>
    <row r="131" spans="1:12">
      <c r="A131" s="2" t="s">
        <v>642</v>
      </c>
      <c r="B131" s="2" t="s">
        <v>643</v>
      </c>
      <c r="C131" s="2" t="s">
        <v>2791</v>
      </c>
      <c r="D131" s="2" t="s">
        <v>639</v>
      </c>
      <c r="E131" s="2" t="s">
        <v>183</v>
      </c>
      <c r="F131" s="2">
        <v>1958</v>
      </c>
      <c r="G131" s="2" t="s">
        <v>184</v>
      </c>
      <c r="H131" s="2" t="s">
        <v>643</v>
      </c>
      <c r="I131" s="2" t="s">
        <v>185</v>
      </c>
      <c r="J131" s="2" t="s">
        <v>186</v>
      </c>
      <c r="K131" s="2" t="s">
        <v>187</v>
      </c>
      <c r="L131" s="2" t="s">
        <v>2598</v>
      </c>
    </row>
    <row r="132" spans="1:12">
      <c r="A132" s="2" t="s">
        <v>642</v>
      </c>
      <c r="B132" s="2" t="s">
        <v>643</v>
      </c>
      <c r="C132" s="2" t="s">
        <v>2792</v>
      </c>
      <c r="D132" s="2" t="s">
        <v>639</v>
      </c>
      <c r="E132" s="2" t="s">
        <v>183</v>
      </c>
      <c r="F132" s="2">
        <v>1987</v>
      </c>
      <c r="G132" s="2" t="s">
        <v>184</v>
      </c>
      <c r="H132" s="2" t="s">
        <v>2793</v>
      </c>
      <c r="I132" s="2" t="s">
        <v>237</v>
      </c>
      <c r="J132" s="2" t="s">
        <v>226</v>
      </c>
      <c r="K132" s="2" t="s">
        <v>187</v>
      </c>
      <c r="L132" s="2" t="s">
        <v>2579</v>
      </c>
    </row>
    <row r="133" spans="1:12">
      <c r="A133" s="2" t="s">
        <v>642</v>
      </c>
      <c r="B133" s="2" t="s">
        <v>643</v>
      </c>
      <c r="C133" s="2" t="s">
        <v>2794</v>
      </c>
      <c r="D133" s="2" t="s">
        <v>639</v>
      </c>
      <c r="E133" s="2" t="s">
        <v>223</v>
      </c>
      <c r="F133" s="2">
        <v>1979</v>
      </c>
      <c r="G133" s="2" t="s">
        <v>184</v>
      </c>
      <c r="H133" s="2" t="s">
        <v>2795</v>
      </c>
      <c r="I133" s="2" t="s">
        <v>237</v>
      </c>
      <c r="J133" s="2" t="s">
        <v>226</v>
      </c>
      <c r="K133" s="2" t="s">
        <v>187</v>
      </c>
      <c r="L133" s="2" t="s">
        <v>2579</v>
      </c>
    </row>
    <row r="134" spans="1:12">
      <c r="A134" s="2" t="s">
        <v>1073</v>
      </c>
      <c r="B134" s="2" t="s">
        <v>1073</v>
      </c>
      <c r="C134" s="2" t="s">
        <v>2796</v>
      </c>
      <c r="D134" s="2" t="s">
        <v>1072</v>
      </c>
      <c r="E134" s="2" t="s">
        <v>223</v>
      </c>
      <c r="F134" s="2">
        <v>2018</v>
      </c>
      <c r="G134" s="2" t="s">
        <v>224</v>
      </c>
      <c r="H134" s="2" t="s">
        <v>2797</v>
      </c>
      <c r="I134" s="2" t="s">
        <v>2457</v>
      </c>
      <c r="J134" s="2" t="s">
        <v>270</v>
      </c>
      <c r="K134" s="2" t="s">
        <v>188</v>
      </c>
    </row>
    <row r="135" spans="1:12">
      <c r="A135" s="2" t="s">
        <v>650</v>
      </c>
      <c r="B135" s="2" t="s">
        <v>643</v>
      </c>
      <c r="C135" s="2" t="s">
        <v>2798</v>
      </c>
      <c r="D135" s="2" t="s">
        <v>648</v>
      </c>
      <c r="E135" s="2" t="s">
        <v>223</v>
      </c>
      <c r="F135" s="2">
        <v>1991</v>
      </c>
      <c r="G135" s="2" t="s">
        <v>184</v>
      </c>
      <c r="H135" s="2" t="s">
        <v>2799</v>
      </c>
      <c r="I135" s="2" t="s">
        <v>237</v>
      </c>
      <c r="J135" s="2" t="s">
        <v>186</v>
      </c>
      <c r="K135" s="2" t="s">
        <v>187</v>
      </c>
      <c r="L135" s="2" t="s">
        <v>2758</v>
      </c>
    </row>
    <row r="136" spans="1:12">
      <c r="A136" s="2" t="s">
        <v>650</v>
      </c>
      <c r="B136" s="2" t="s">
        <v>643</v>
      </c>
      <c r="C136" s="2" t="s">
        <v>2800</v>
      </c>
      <c r="D136" s="2" t="s">
        <v>648</v>
      </c>
      <c r="E136" s="2" t="s">
        <v>183</v>
      </c>
      <c r="F136" s="2">
        <v>1968</v>
      </c>
      <c r="G136" s="2" t="s">
        <v>184</v>
      </c>
      <c r="H136" s="2" t="s">
        <v>643</v>
      </c>
      <c r="I136" s="2" t="s">
        <v>185</v>
      </c>
      <c r="J136" s="2" t="s">
        <v>186</v>
      </c>
      <c r="K136" s="2" t="s">
        <v>187</v>
      </c>
      <c r="L136" s="2" t="s">
        <v>2598</v>
      </c>
    </row>
    <row r="137" spans="1:12">
      <c r="A137" s="2" t="s">
        <v>650</v>
      </c>
      <c r="B137" s="2" t="s">
        <v>643</v>
      </c>
      <c r="C137" s="2" t="s">
        <v>2801</v>
      </c>
      <c r="D137" s="2" t="s">
        <v>648</v>
      </c>
      <c r="E137" s="2" t="s">
        <v>223</v>
      </c>
      <c r="F137" s="2">
        <v>1972</v>
      </c>
      <c r="G137" s="2" t="s">
        <v>184</v>
      </c>
      <c r="H137" s="2" t="s">
        <v>650</v>
      </c>
      <c r="I137" s="2" t="s">
        <v>225</v>
      </c>
      <c r="J137" s="2" t="s">
        <v>270</v>
      </c>
      <c r="K137" s="2" t="s">
        <v>187</v>
      </c>
      <c r="L137" s="2" t="s">
        <v>2758</v>
      </c>
    </row>
    <row r="138" spans="1:12">
      <c r="A138" s="2" t="s">
        <v>1084</v>
      </c>
      <c r="B138" s="2" t="s">
        <v>1084</v>
      </c>
      <c r="C138" s="2" t="s">
        <v>2802</v>
      </c>
      <c r="D138" s="2" t="s">
        <v>1082</v>
      </c>
      <c r="E138" s="2" t="s">
        <v>183</v>
      </c>
      <c r="F138" s="2">
        <v>2006</v>
      </c>
      <c r="G138" s="2" t="s">
        <v>184</v>
      </c>
      <c r="H138" s="2" t="s">
        <v>2803</v>
      </c>
      <c r="I138" s="2" t="s">
        <v>237</v>
      </c>
      <c r="J138" s="2" t="s">
        <v>186</v>
      </c>
      <c r="K138" s="2" t="s">
        <v>187</v>
      </c>
      <c r="L138" s="2" t="s">
        <v>2574</v>
      </c>
    </row>
    <row r="139" spans="1:12">
      <c r="A139" s="2" t="s">
        <v>1084</v>
      </c>
      <c r="B139" s="2" t="s">
        <v>1084</v>
      </c>
      <c r="C139" s="2" t="s">
        <v>2804</v>
      </c>
      <c r="D139" s="2" t="s">
        <v>1082</v>
      </c>
      <c r="E139" s="2" t="s">
        <v>223</v>
      </c>
      <c r="F139" s="2">
        <v>1987</v>
      </c>
      <c r="G139" s="2" t="s">
        <v>184</v>
      </c>
      <c r="H139" s="2" t="s">
        <v>2805</v>
      </c>
      <c r="I139" s="2" t="s">
        <v>225</v>
      </c>
      <c r="K139" s="2" t="s">
        <v>187</v>
      </c>
      <c r="L139" s="2" t="s">
        <v>2632</v>
      </c>
    </row>
    <row r="140" spans="1:12">
      <c r="A140" s="2" t="s">
        <v>1084</v>
      </c>
      <c r="B140" s="2" t="s">
        <v>1084</v>
      </c>
      <c r="C140" s="2" t="s">
        <v>2806</v>
      </c>
      <c r="D140" s="2" t="s">
        <v>1082</v>
      </c>
      <c r="E140" s="2" t="s">
        <v>183</v>
      </c>
      <c r="F140" s="2">
        <v>2008</v>
      </c>
      <c r="G140" s="2" t="s">
        <v>184</v>
      </c>
      <c r="H140" s="2" t="s">
        <v>2807</v>
      </c>
      <c r="I140" s="2" t="s">
        <v>237</v>
      </c>
      <c r="J140" s="2" t="s">
        <v>186</v>
      </c>
      <c r="K140" s="2" t="s">
        <v>187</v>
      </c>
      <c r="L140" s="2" t="s">
        <v>2808</v>
      </c>
    </row>
    <row r="141" spans="1:12">
      <c r="A141" s="2" t="s">
        <v>1084</v>
      </c>
      <c r="B141" s="2" t="s">
        <v>1084</v>
      </c>
      <c r="C141" s="2" t="s">
        <v>2809</v>
      </c>
      <c r="D141" s="2" t="s">
        <v>1082</v>
      </c>
      <c r="E141" s="2" t="s">
        <v>223</v>
      </c>
      <c r="F141" s="2">
        <v>2012</v>
      </c>
      <c r="G141" s="2" t="s">
        <v>184</v>
      </c>
      <c r="H141" s="2" t="s">
        <v>2810</v>
      </c>
      <c r="I141" s="2" t="s">
        <v>237</v>
      </c>
      <c r="J141" s="2" t="s">
        <v>270</v>
      </c>
      <c r="K141" s="2" t="s">
        <v>188</v>
      </c>
    </row>
    <row r="142" spans="1:12">
      <c r="A142" s="2" t="s">
        <v>1279</v>
      </c>
      <c r="B142" s="2" t="s">
        <v>1279</v>
      </c>
      <c r="C142" s="2" t="s">
        <v>2811</v>
      </c>
      <c r="D142" s="2" t="s">
        <v>1276</v>
      </c>
      <c r="E142" s="2" t="s">
        <v>183</v>
      </c>
      <c r="G142" s="2" t="s">
        <v>224</v>
      </c>
      <c r="H142" s="2" t="s">
        <v>2812</v>
      </c>
      <c r="I142" s="2" t="s">
        <v>237</v>
      </c>
      <c r="J142" s="2" t="s">
        <v>226</v>
      </c>
      <c r="K142" s="2" t="s">
        <v>187</v>
      </c>
      <c r="L142" s="2" t="s">
        <v>2813</v>
      </c>
    </row>
    <row r="143" spans="1:12">
      <c r="A143" s="2" t="s">
        <v>1279</v>
      </c>
      <c r="B143" s="2" t="s">
        <v>1279</v>
      </c>
      <c r="C143" s="2" t="s">
        <v>2814</v>
      </c>
      <c r="D143" s="2" t="s">
        <v>1276</v>
      </c>
      <c r="E143" s="2" t="s">
        <v>223</v>
      </c>
      <c r="F143" s="2">
        <v>1996</v>
      </c>
      <c r="G143" s="2" t="s">
        <v>224</v>
      </c>
      <c r="H143" s="2" t="s">
        <v>1973</v>
      </c>
      <c r="I143" s="2" t="s">
        <v>237</v>
      </c>
      <c r="J143" s="2" t="s">
        <v>685</v>
      </c>
      <c r="K143" s="2" t="s">
        <v>188</v>
      </c>
    </row>
    <row r="144" spans="1:12">
      <c r="A144" s="2" t="s">
        <v>1279</v>
      </c>
      <c r="B144" s="2" t="s">
        <v>1279</v>
      </c>
      <c r="C144" s="2" t="s">
        <v>2815</v>
      </c>
      <c r="D144" s="2" t="s">
        <v>1276</v>
      </c>
      <c r="E144" s="2" t="s">
        <v>183</v>
      </c>
      <c r="G144" s="2" t="s">
        <v>224</v>
      </c>
      <c r="H144" s="2" t="s">
        <v>2816</v>
      </c>
      <c r="I144" s="2" t="s">
        <v>237</v>
      </c>
      <c r="J144" s="2" t="s">
        <v>186</v>
      </c>
      <c r="K144" s="2" t="s">
        <v>188</v>
      </c>
    </row>
    <row r="145" spans="1:12">
      <c r="A145" s="2" t="s">
        <v>1279</v>
      </c>
      <c r="B145" s="2" t="s">
        <v>1279</v>
      </c>
      <c r="C145" s="2" t="s">
        <v>2817</v>
      </c>
      <c r="D145" s="2" t="s">
        <v>1276</v>
      </c>
      <c r="E145" s="2" t="s">
        <v>183</v>
      </c>
      <c r="F145" s="2">
        <v>1973</v>
      </c>
      <c r="G145" s="2" t="s">
        <v>224</v>
      </c>
      <c r="H145" s="2" t="s">
        <v>2818</v>
      </c>
      <c r="I145" s="2" t="s">
        <v>185</v>
      </c>
      <c r="J145" s="2" t="s">
        <v>186</v>
      </c>
      <c r="K145" s="2" t="s">
        <v>187</v>
      </c>
      <c r="L145" s="2" t="s">
        <v>2598</v>
      </c>
    </row>
    <row r="146" spans="1:12">
      <c r="A146" s="2" t="s">
        <v>1279</v>
      </c>
      <c r="B146" s="2" t="s">
        <v>1279</v>
      </c>
      <c r="C146" s="2" t="s">
        <v>2819</v>
      </c>
      <c r="D146" s="2" t="s">
        <v>1276</v>
      </c>
      <c r="E146" s="2" t="s">
        <v>223</v>
      </c>
      <c r="F146" s="2">
        <v>1982</v>
      </c>
      <c r="G146" s="2" t="s">
        <v>224</v>
      </c>
      <c r="H146" s="2" t="s">
        <v>2820</v>
      </c>
      <c r="I146" s="2" t="s">
        <v>225</v>
      </c>
      <c r="J146" s="2" t="s">
        <v>186</v>
      </c>
      <c r="K146" s="2" t="s">
        <v>187</v>
      </c>
      <c r="L146" s="2" t="s">
        <v>2821</v>
      </c>
    </row>
    <row r="147" spans="1:12">
      <c r="A147" s="2" t="s">
        <v>1324</v>
      </c>
      <c r="B147" s="2" t="s">
        <v>1324</v>
      </c>
      <c r="C147" s="2" t="s">
        <v>2822</v>
      </c>
      <c r="D147" s="2" t="s">
        <v>1322</v>
      </c>
      <c r="E147" s="2" t="s">
        <v>183</v>
      </c>
      <c r="F147" s="2">
        <v>2004</v>
      </c>
      <c r="G147" s="2" t="s">
        <v>224</v>
      </c>
      <c r="H147" s="2" t="s">
        <v>2823</v>
      </c>
      <c r="I147" s="2" t="s">
        <v>237</v>
      </c>
      <c r="J147" s="2" t="s">
        <v>226</v>
      </c>
      <c r="K147" s="2" t="s">
        <v>188</v>
      </c>
    </row>
    <row r="148" spans="1:12">
      <c r="A148" s="2" t="s">
        <v>1324</v>
      </c>
      <c r="B148" s="2" t="s">
        <v>1324</v>
      </c>
      <c r="C148" s="2" t="s">
        <v>2824</v>
      </c>
      <c r="D148" s="2" t="s">
        <v>1322</v>
      </c>
      <c r="E148" s="2" t="s">
        <v>223</v>
      </c>
      <c r="F148" s="2">
        <v>1983</v>
      </c>
      <c r="G148" s="2" t="s">
        <v>224</v>
      </c>
      <c r="H148" s="2" t="s">
        <v>2825</v>
      </c>
      <c r="I148" s="2" t="s">
        <v>225</v>
      </c>
      <c r="J148" s="2" t="s">
        <v>186</v>
      </c>
      <c r="K148" s="2" t="s">
        <v>187</v>
      </c>
      <c r="L148" s="2" t="s">
        <v>2598</v>
      </c>
    </row>
    <row r="149" spans="1:12">
      <c r="A149" s="2" t="s">
        <v>1324</v>
      </c>
      <c r="B149" s="2" t="s">
        <v>1324</v>
      </c>
      <c r="C149" s="2" t="s">
        <v>2826</v>
      </c>
      <c r="D149" s="2" t="s">
        <v>1322</v>
      </c>
      <c r="E149" s="2" t="s">
        <v>223</v>
      </c>
      <c r="F149" s="2">
        <v>2002</v>
      </c>
      <c r="G149" s="2" t="s">
        <v>224</v>
      </c>
      <c r="H149" s="2" t="s">
        <v>2827</v>
      </c>
      <c r="I149" s="2" t="s">
        <v>237</v>
      </c>
      <c r="J149" s="2" t="s">
        <v>226</v>
      </c>
      <c r="K149" s="2" t="s">
        <v>188</v>
      </c>
    </row>
    <row r="150" spans="1:12">
      <c r="A150" s="2" t="s">
        <v>1324</v>
      </c>
      <c r="B150" s="2" t="s">
        <v>1324</v>
      </c>
      <c r="C150" s="2" t="s">
        <v>2828</v>
      </c>
      <c r="D150" s="2" t="s">
        <v>1322</v>
      </c>
      <c r="E150" s="2" t="s">
        <v>183</v>
      </c>
      <c r="F150" s="2">
        <v>2019</v>
      </c>
      <c r="G150" s="2" t="s">
        <v>224</v>
      </c>
      <c r="H150" s="2" t="s">
        <v>2829</v>
      </c>
      <c r="I150" s="2" t="s">
        <v>237</v>
      </c>
      <c r="J150" s="2" t="s">
        <v>685</v>
      </c>
      <c r="K150" s="2" t="s">
        <v>188</v>
      </c>
    </row>
    <row r="151" spans="1:12">
      <c r="A151" s="2" t="s">
        <v>1324</v>
      </c>
      <c r="B151" s="2" t="s">
        <v>1324</v>
      </c>
      <c r="C151" s="2" t="s">
        <v>2830</v>
      </c>
      <c r="D151" s="2" t="s">
        <v>1322</v>
      </c>
      <c r="E151" s="2" t="s">
        <v>183</v>
      </c>
      <c r="F151" s="2">
        <v>1978</v>
      </c>
      <c r="G151" s="2" t="s">
        <v>224</v>
      </c>
      <c r="H151" s="2" t="s">
        <v>1324</v>
      </c>
      <c r="I151" s="2" t="s">
        <v>185</v>
      </c>
      <c r="J151" s="2" t="s">
        <v>186</v>
      </c>
      <c r="K151" s="2" t="s">
        <v>187</v>
      </c>
      <c r="L151" s="2" t="s">
        <v>2598</v>
      </c>
    </row>
    <row r="152" spans="1:12">
      <c r="A152" s="2" t="s">
        <v>1355</v>
      </c>
      <c r="B152" s="2" t="s">
        <v>1356</v>
      </c>
      <c r="C152" s="2" t="s">
        <v>2831</v>
      </c>
      <c r="D152" s="2" t="s">
        <v>1354</v>
      </c>
      <c r="E152" s="2" t="s">
        <v>223</v>
      </c>
      <c r="F152" s="2">
        <v>2011</v>
      </c>
      <c r="G152" s="2" t="s">
        <v>224</v>
      </c>
      <c r="H152" s="2" t="s">
        <v>2832</v>
      </c>
      <c r="I152" s="2" t="s">
        <v>237</v>
      </c>
      <c r="J152" s="2" t="s">
        <v>186</v>
      </c>
      <c r="K152" s="2" t="s">
        <v>187</v>
      </c>
      <c r="L152" s="2" t="s">
        <v>2833</v>
      </c>
    </row>
    <row r="153" spans="1:12">
      <c r="A153" s="2" t="s">
        <v>1355</v>
      </c>
      <c r="B153" s="2" t="s">
        <v>1356</v>
      </c>
      <c r="C153" s="2" t="s">
        <v>2834</v>
      </c>
      <c r="D153" s="2" t="s">
        <v>1354</v>
      </c>
      <c r="E153" s="2" t="s">
        <v>183</v>
      </c>
      <c r="F153" s="2">
        <v>1981</v>
      </c>
      <c r="G153" s="2" t="s">
        <v>224</v>
      </c>
      <c r="H153" s="2" t="s">
        <v>1356</v>
      </c>
      <c r="I153" s="2" t="s">
        <v>185</v>
      </c>
      <c r="J153" s="2" t="s">
        <v>685</v>
      </c>
      <c r="K153" s="2" t="s">
        <v>187</v>
      </c>
      <c r="L153" s="2" t="s">
        <v>2572</v>
      </c>
    </row>
    <row r="154" spans="1:12">
      <c r="A154" s="2" t="s">
        <v>1355</v>
      </c>
      <c r="B154" s="2" t="s">
        <v>1356</v>
      </c>
      <c r="C154" s="2" t="s">
        <v>2835</v>
      </c>
      <c r="D154" s="2" t="s">
        <v>1354</v>
      </c>
      <c r="E154" s="2" t="s">
        <v>223</v>
      </c>
      <c r="F154" s="2">
        <v>2015</v>
      </c>
      <c r="G154" s="2" t="s">
        <v>224</v>
      </c>
      <c r="H154" s="2" t="s">
        <v>2836</v>
      </c>
      <c r="I154" s="2" t="s">
        <v>237</v>
      </c>
      <c r="J154" s="2" t="s">
        <v>270</v>
      </c>
      <c r="K154" s="2" t="s">
        <v>188</v>
      </c>
    </row>
    <row r="155" spans="1:12">
      <c r="A155" s="2" t="s">
        <v>1355</v>
      </c>
      <c r="B155" s="2" t="s">
        <v>1356</v>
      </c>
      <c r="C155" s="2" t="s">
        <v>2837</v>
      </c>
      <c r="D155" s="2" t="s">
        <v>1354</v>
      </c>
      <c r="E155" s="2" t="s">
        <v>223</v>
      </c>
      <c r="F155" s="2">
        <v>1987</v>
      </c>
      <c r="G155" s="2" t="s">
        <v>224</v>
      </c>
      <c r="H155" s="2" t="s">
        <v>1355</v>
      </c>
      <c r="I155" s="2" t="s">
        <v>225</v>
      </c>
      <c r="J155" s="2" t="s">
        <v>186</v>
      </c>
      <c r="K155" s="2" t="s">
        <v>187</v>
      </c>
      <c r="L155" s="2" t="s">
        <v>2598</v>
      </c>
    </row>
    <row r="156" spans="1:12">
      <c r="A156" s="2" t="s">
        <v>1398</v>
      </c>
      <c r="B156" s="2" t="s">
        <v>1398</v>
      </c>
      <c r="C156" s="2" t="s">
        <v>2838</v>
      </c>
      <c r="D156" s="2" t="s">
        <v>1396</v>
      </c>
      <c r="E156" s="2" t="s">
        <v>183</v>
      </c>
      <c r="F156" s="2">
        <v>1990</v>
      </c>
      <c r="G156" s="2" t="s">
        <v>224</v>
      </c>
      <c r="H156" s="2" t="s">
        <v>2839</v>
      </c>
      <c r="I156" s="2" t="s">
        <v>237</v>
      </c>
      <c r="J156" s="2" t="s">
        <v>226</v>
      </c>
      <c r="K156" s="2" t="s">
        <v>187</v>
      </c>
      <c r="L156" s="2" t="s">
        <v>2716</v>
      </c>
    </row>
    <row r="157" spans="1:12">
      <c r="A157" s="2" t="s">
        <v>1398</v>
      </c>
      <c r="B157" s="2" t="s">
        <v>1398</v>
      </c>
      <c r="C157" s="2" t="s">
        <v>2840</v>
      </c>
      <c r="D157" s="2" t="s">
        <v>1396</v>
      </c>
      <c r="E157" s="2" t="s">
        <v>183</v>
      </c>
      <c r="F157" s="2">
        <v>1996</v>
      </c>
      <c r="G157" s="2" t="s">
        <v>224</v>
      </c>
      <c r="H157" s="2" t="s">
        <v>2841</v>
      </c>
      <c r="I157" s="2" t="s">
        <v>237</v>
      </c>
      <c r="J157" s="2" t="s">
        <v>186</v>
      </c>
      <c r="K157" s="2" t="s">
        <v>188</v>
      </c>
    </row>
    <row r="158" spans="1:12">
      <c r="A158" s="2" t="s">
        <v>1398</v>
      </c>
      <c r="B158" s="2" t="s">
        <v>1398</v>
      </c>
      <c r="C158" s="2" t="s">
        <v>2842</v>
      </c>
      <c r="D158" s="2" t="s">
        <v>1396</v>
      </c>
      <c r="E158" s="2" t="s">
        <v>183</v>
      </c>
      <c r="F158" s="2">
        <v>1989</v>
      </c>
      <c r="G158" s="2" t="s">
        <v>224</v>
      </c>
      <c r="H158" s="2" t="s">
        <v>2843</v>
      </c>
      <c r="I158" s="2" t="s">
        <v>237</v>
      </c>
      <c r="J158" s="2" t="s">
        <v>226</v>
      </c>
      <c r="K158" s="2" t="s">
        <v>188</v>
      </c>
    </row>
    <row r="159" spans="1:12">
      <c r="A159" s="2" t="s">
        <v>1398</v>
      </c>
      <c r="B159" s="2" t="s">
        <v>1398</v>
      </c>
      <c r="C159" s="2" t="s">
        <v>2844</v>
      </c>
      <c r="D159" s="2" t="s">
        <v>1396</v>
      </c>
      <c r="E159" s="2" t="s">
        <v>183</v>
      </c>
      <c r="F159" s="2">
        <v>1966</v>
      </c>
      <c r="G159" s="2" t="s">
        <v>224</v>
      </c>
      <c r="H159" s="2" t="s">
        <v>1398</v>
      </c>
      <c r="I159" s="2" t="s">
        <v>185</v>
      </c>
      <c r="J159" s="2" t="s">
        <v>270</v>
      </c>
      <c r="K159" s="2" t="s">
        <v>187</v>
      </c>
      <c r="L159" s="2" t="s">
        <v>2598</v>
      </c>
    </row>
    <row r="160" spans="1:12">
      <c r="A160" s="2" t="s">
        <v>1398</v>
      </c>
      <c r="B160" s="2" t="s">
        <v>1398</v>
      </c>
      <c r="C160" s="2" t="s">
        <v>2845</v>
      </c>
      <c r="D160" s="2" t="s">
        <v>1396</v>
      </c>
      <c r="E160" s="2" t="s">
        <v>223</v>
      </c>
      <c r="F160" s="2">
        <v>1967</v>
      </c>
      <c r="G160" s="2" t="s">
        <v>224</v>
      </c>
      <c r="H160" s="2" t="s">
        <v>2846</v>
      </c>
      <c r="I160" s="2" t="s">
        <v>225</v>
      </c>
      <c r="J160" s="2" t="s">
        <v>270</v>
      </c>
      <c r="K160" s="2" t="s">
        <v>187</v>
      </c>
      <c r="L160" s="2" t="s">
        <v>2598</v>
      </c>
    </row>
    <row r="161" spans="1:12">
      <c r="A161" s="2" t="s">
        <v>1411</v>
      </c>
      <c r="B161" s="2" t="s">
        <v>1412</v>
      </c>
      <c r="C161" s="2" t="s">
        <v>2847</v>
      </c>
      <c r="D161" s="2" t="s">
        <v>1409</v>
      </c>
      <c r="E161" s="2" t="s">
        <v>223</v>
      </c>
      <c r="F161" s="2">
        <v>2016</v>
      </c>
      <c r="G161" s="2" t="s">
        <v>224</v>
      </c>
      <c r="H161" s="2" t="s">
        <v>2848</v>
      </c>
      <c r="I161" s="2" t="s">
        <v>237</v>
      </c>
      <c r="J161" s="2" t="s">
        <v>270</v>
      </c>
      <c r="K161" s="2" t="s">
        <v>188</v>
      </c>
    </row>
    <row r="162" spans="1:12">
      <c r="A162" s="2" t="s">
        <v>1411</v>
      </c>
      <c r="B162" s="2" t="s">
        <v>1412</v>
      </c>
      <c r="C162" s="2" t="s">
        <v>2849</v>
      </c>
      <c r="D162" s="2" t="s">
        <v>1409</v>
      </c>
      <c r="E162" s="2" t="s">
        <v>183</v>
      </c>
      <c r="F162" s="2">
        <v>1994</v>
      </c>
      <c r="G162" s="2" t="s">
        <v>224</v>
      </c>
      <c r="H162" s="2" t="s">
        <v>1412</v>
      </c>
      <c r="I162" s="2" t="s">
        <v>185</v>
      </c>
      <c r="J162" s="2" t="s">
        <v>226</v>
      </c>
      <c r="K162" s="2" t="s">
        <v>188</v>
      </c>
      <c r="L162" s="2" t="s">
        <v>2850</v>
      </c>
    </row>
    <row r="163" spans="1:12">
      <c r="A163" s="2" t="s">
        <v>1411</v>
      </c>
      <c r="B163" s="2" t="s">
        <v>1412</v>
      </c>
      <c r="C163" s="2" t="s">
        <v>2851</v>
      </c>
      <c r="D163" s="2" t="s">
        <v>1409</v>
      </c>
      <c r="E163" s="2" t="s">
        <v>183</v>
      </c>
      <c r="F163" s="2">
        <v>2019</v>
      </c>
      <c r="G163" s="2" t="s">
        <v>224</v>
      </c>
      <c r="H163" s="2" t="s">
        <v>2852</v>
      </c>
      <c r="I163" s="2" t="s">
        <v>237</v>
      </c>
      <c r="J163" s="2" t="s">
        <v>270</v>
      </c>
      <c r="K163" s="2" t="s">
        <v>188</v>
      </c>
    </row>
    <row r="164" spans="1:12">
      <c r="A164" s="2" t="s">
        <v>1411</v>
      </c>
      <c r="B164" s="2" t="s">
        <v>1412</v>
      </c>
      <c r="C164" s="2" t="s">
        <v>2853</v>
      </c>
      <c r="D164" s="2" t="s">
        <v>1409</v>
      </c>
      <c r="E164" s="2" t="s">
        <v>223</v>
      </c>
      <c r="F164" s="2">
        <v>1996</v>
      </c>
      <c r="G164" s="2" t="s">
        <v>224</v>
      </c>
      <c r="H164" s="2" t="s">
        <v>1411</v>
      </c>
      <c r="I164" s="2" t="s">
        <v>225</v>
      </c>
      <c r="J164" s="2" t="s">
        <v>226</v>
      </c>
      <c r="K164" s="2" t="s">
        <v>187</v>
      </c>
      <c r="L164" s="2" t="s">
        <v>2598</v>
      </c>
    </row>
    <row r="165" spans="1:12">
      <c r="A165" s="2" t="s">
        <v>1516</v>
      </c>
      <c r="B165" s="2" t="s">
        <v>1517</v>
      </c>
      <c r="C165" s="2" t="s">
        <v>2854</v>
      </c>
      <c r="D165" s="2" t="s">
        <v>1514</v>
      </c>
      <c r="E165" s="2" t="s">
        <v>183</v>
      </c>
      <c r="F165" s="2">
        <v>1974</v>
      </c>
      <c r="G165" s="2" t="s">
        <v>224</v>
      </c>
      <c r="H165" s="2" t="s">
        <v>1517</v>
      </c>
      <c r="I165" s="2" t="s">
        <v>185</v>
      </c>
      <c r="J165" s="2" t="s">
        <v>186</v>
      </c>
      <c r="K165" s="2" t="s">
        <v>187</v>
      </c>
      <c r="L165" s="2" t="s">
        <v>2576</v>
      </c>
    </row>
    <row r="166" spans="1:12">
      <c r="A166" s="2" t="s">
        <v>1516</v>
      </c>
      <c r="B166" s="2" t="s">
        <v>1517</v>
      </c>
      <c r="C166" s="2" t="s">
        <v>2855</v>
      </c>
      <c r="D166" s="2" t="s">
        <v>1514</v>
      </c>
      <c r="E166" s="2" t="s">
        <v>223</v>
      </c>
      <c r="F166" s="2">
        <v>1973</v>
      </c>
      <c r="G166" s="2" t="s">
        <v>224</v>
      </c>
      <c r="H166" s="2" t="s">
        <v>1516</v>
      </c>
      <c r="I166" s="2" t="s">
        <v>225</v>
      </c>
      <c r="J166" s="2" t="s">
        <v>226</v>
      </c>
      <c r="K166" s="2" t="s">
        <v>187</v>
      </c>
      <c r="L166" s="2" t="s">
        <v>2632</v>
      </c>
    </row>
    <row r="167" spans="1:12">
      <c r="A167" s="2" t="s">
        <v>1516</v>
      </c>
      <c r="B167" s="2" t="s">
        <v>1517</v>
      </c>
      <c r="C167" s="2" t="s">
        <v>2856</v>
      </c>
      <c r="D167" s="2" t="s">
        <v>1514</v>
      </c>
      <c r="E167" s="2" t="s">
        <v>183</v>
      </c>
      <c r="F167" s="2">
        <v>2010</v>
      </c>
      <c r="G167" s="2" t="s">
        <v>224</v>
      </c>
      <c r="H167" s="2" t="s">
        <v>2857</v>
      </c>
      <c r="I167" s="2" t="s">
        <v>237</v>
      </c>
      <c r="J167" s="2" t="s">
        <v>226</v>
      </c>
      <c r="K167" s="2" t="s">
        <v>188</v>
      </c>
    </row>
    <row r="168" spans="1:12">
      <c r="A168" s="2" t="s">
        <v>2372</v>
      </c>
      <c r="B168" s="2" t="s">
        <v>2373</v>
      </c>
      <c r="C168" s="2" t="s">
        <v>2858</v>
      </c>
      <c r="D168" s="2" t="s">
        <v>2369</v>
      </c>
      <c r="E168" s="2" t="s">
        <v>183</v>
      </c>
      <c r="F168" s="2">
        <v>2000</v>
      </c>
      <c r="G168" s="2" t="s">
        <v>834</v>
      </c>
      <c r="H168" s="2" t="s">
        <v>2859</v>
      </c>
      <c r="I168" s="2" t="s">
        <v>225</v>
      </c>
      <c r="J168" s="2" t="s">
        <v>603</v>
      </c>
      <c r="K168" s="2" t="s">
        <v>187</v>
      </c>
      <c r="L168" s="2" t="s">
        <v>2572</v>
      </c>
    </row>
    <row r="169" spans="1:12">
      <c r="A169" s="2" t="s">
        <v>1556</v>
      </c>
      <c r="B169" s="2" t="s">
        <v>1556</v>
      </c>
      <c r="C169" s="2" t="s">
        <v>2860</v>
      </c>
      <c r="D169" s="2" t="s">
        <v>1554</v>
      </c>
      <c r="E169" s="2" t="s">
        <v>223</v>
      </c>
      <c r="F169" s="2">
        <v>2009</v>
      </c>
      <c r="G169" s="2" t="s">
        <v>224</v>
      </c>
      <c r="H169" s="2" t="s">
        <v>2861</v>
      </c>
      <c r="I169" s="2" t="s">
        <v>237</v>
      </c>
      <c r="J169" s="2" t="s">
        <v>226</v>
      </c>
      <c r="K169" s="2" t="s">
        <v>188</v>
      </c>
    </row>
    <row r="170" spans="1:12">
      <c r="A170" s="2" t="s">
        <v>1556</v>
      </c>
      <c r="B170" s="2" t="s">
        <v>1556</v>
      </c>
      <c r="C170" s="2" t="s">
        <v>2862</v>
      </c>
      <c r="D170" s="2" t="s">
        <v>1554</v>
      </c>
      <c r="E170" s="2" t="s">
        <v>183</v>
      </c>
      <c r="F170" s="2">
        <v>1979</v>
      </c>
      <c r="G170" s="2" t="s">
        <v>224</v>
      </c>
      <c r="H170" s="2" t="s">
        <v>1556</v>
      </c>
      <c r="I170" s="2" t="s">
        <v>185</v>
      </c>
      <c r="J170" s="2" t="s">
        <v>186</v>
      </c>
      <c r="K170" s="2" t="s">
        <v>187</v>
      </c>
      <c r="L170" s="2" t="s">
        <v>2579</v>
      </c>
    </row>
    <row r="171" spans="1:12">
      <c r="A171" s="2" t="s">
        <v>1556</v>
      </c>
      <c r="B171" s="2" t="s">
        <v>1556</v>
      </c>
      <c r="C171" s="2" t="s">
        <v>2863</v>
      </c>
      <c r="D171" s="2" t="s">
        <v>1554</v>
      </c>
      <c r="E171" s="2" t="s">
        <v>183</v>
      </c>
      <c r="F171" s="2">
        <v>2005</v>
      </c>
      <c r="G171" s="2" t="s">
        <v>224</v>
      </c>
      <c r="H171" s="2" t="s">
        <v>2864</v>
      </c>
      <c r="I171" s="2" t="s">
        <v>237</v>
      </c>
      <c r="J171" s="2" t="s">
        <v>685</v>
      </c>
      <c r="K171" s="2" t="s">
        <v>188</v>
      </c>
    </row>
    <row r="172" spans="1:12">
      <c r="A172" s="2" t="s">
        <v>1556</v>
      </c>
      <c r="B172" s="2" t="s">
        <v>1556</v>
      </c>
      <c r="C172" s="2" t="s">
        <v>2865</v>
      </c>
      <c r="D172" s="2" t="s">
        <v>1554</v>
      </c>
      <c r="E172" s="2" t="s">
        <v>183</v>
      </c>
      <c r="F172" s="2">
        <v>2012</v>
      </c>
      <c r="G172" s="2" t="s">
        <v>224</v>
      </c>
      <c r="H172" s="2" t="s">
        <v>2866</v>
      </c>
      <c r="I172" s="2" t="s">
        <v>237</v>
      </c>
      <c r="J172" s="2" t="s">
        <v>186</v>
      </c>
      <c r="K172" s="2" t="s">
        <v>188</v>
      </c>
    </row>
    <row r="173" spans="1:12">
      <c r="A173" s="2" t="s">
        <v>1556</v>
      </c>
      <c r="B173" s="2" t="s">
        <v>1556</v>
      </c>
      <c r="C173" s="2" t="s">
        <v>2867</v>
      </c>
      <c r="D173" s="2" t="s">
        <v>1554</v>
      </c>
      <c r="E173" s="2" t="s">
        <v>223</v>
      </c>
      <c r="F173" s="2">
        <v>1984</v>
      </c>
      <c r="G173" s="2" t="s">
        <v>224</v>
      </c>
      <c r="H173" s="2" t="s">
        <v>2868</v>
      </c>
      <c r="I173" s="2" t="s">
        <v>225</v>
      </c>
      <c r="J173" s="2" t="s">
        <v>186</v>
      </c>
      <c r="K173" s="2" t="s">
        <v>187</v>
      </c>
      <c r="L173" s="2" t="s">
        <v>2632</v>
      </c>
    </row>
    <row r="174" spans="1:12">
      <c r="A174" s="2" t="s">
        <v>2360</v>
      </c>
      <c r="B174" s="2" t="s">
        <v>2361</v>
      </c>
      <c r="C174" s="2" t="s">
        <v>2869</v>
      </c>
      <c r="D174" s="2" t="s">
        <v>2358</v>
      </c>
      <c r="E174" s="2" t="s">
        <v>223</v>
      </c>
      <c r="F174" s="2">
        <v>2004</v>
      </c>
      <c r="G174" s="2" t="s">
        <v>834</v>
      </c>
      <c r="H174" s="2" t="s">
        <v>2870</v>
      </c>
      <c r="I174" s="2" t="s">
        <v>225</v>
      </c>
      <c r="J174" s="2" t="s">
        <v>270</v>
      </c>
      <c r="K174" s="2" t="s">
        <v>187</v>
      </c>
      <c r="L174" s="2" t="s">
        <v>2871</v>
      </c>
    </row>
    <row r="175" spans="1:12">
      <c r="A175" s="2" t="s">
        <v>1579</v>
      </c>
      <c r="B175" s="2" t="s">
        <v>1579</v>
      </c>
      <c r="C175" s="2" t="s">
        <v>2872</v>
      </c>
      <c r="D175" s="2" t="s">
        <v>1577</v>
      </c>
      <c r="E175" s="2" t="s">
        <v>223</v>
      </c>
      <c r="F175" s="2">
        <v>1971</v>
      </c>
      <c r="G175" s="2" t="s">
        <v>224</v>
      </c>
      <c r="H175" s="2" t="s">
        <v>2873</v>
      </c>
      <c r="I175" s="2" t="s">
        <v>225</v>
      </c>
      <c r="J175" s="2" t="s">
        <v>186</v>
      </c>
      <c r="K175" s="2" t="s">
        <v>187</v>
      </c>
      <c r="L175" s="2" t="s">
        <v>2621</v>
      </c>
    </row>
    <row r="176" spans="1:12">
      <c r="A176" s="2" t="s">
        <v>1579</v>
      </c>
      <c r="B176" s="2" t="s">
        <v>1579</v>
      </c>
      <c r="C176" s="2" t="s">
        <v>2874</v>
      </c>
      <c r="D176" s="2" t="s">
        <v>1577</v>
      </c>
      <c r="E176" s="2" t="s">
        <v>183</v>
      </c>
      <c r="F176" s="2">
        <v>1986</v>
      </c>
      <c r="G176" s="2" t="s">
        <v>224</v>
      </c>
      <c r="H176" s="2" t="s">
        <v>1579</v>
      </c>
      <c r="I176" s="2" t="s">
        <v>185</v>
      </c>
      <c r="J176" s="2" t="s">
        <v>186</v>
      </c>
      <c r="K176" s="2" t="s">
        <v>187</v>
      </c>
      <c r="L176" s="2" t="s">
        <v>2598</v>
      </c>
    </row>
    <row r="177" spans="1:12">
      <c r="A177" s="2" t="s">
        <v>1579</v>
      </c>
      <c r="B177" s="2" t="s">
        <v>1579</v>
      </c>
      <c r="C177" s="2" t="s">
        <v>2875</v>
      </c>
      <c r="D177" s="2" t="s">
        <v>1577</v>
      </c>
      <c r="E177" s="2" t="s">
        <v>183</v>
      </c>
      <c r="F177" s="2">
        <v>1992</v>
      </c>
      <c r="G177" s="2" t="s">
        <v>224</v>
      </c>
      <c r="H177" s="2" t="s">
        <v>2876</v>
      </c>
      <c r="I177" s="2" t="s">
        <v>237</v>
      </c>
      <c r="J177" s="2" t="s">
        <v>685</v>
      </c>
      <c r="K177" s="2" t="s">
        <v>188</v>
      </c>
    </row>
    <row r="178" spans="1:12">
      <c r="A178" s="2" t="s">
        <v>2349</v>
      </c>
      <c r="B178" s="2" t="s">
        <v>2349</v>
      </c>
      <c r="C178" s="2" t="s">
        <v>2877</v>
      </c>
      <c r="D178" s="2" t="s">
        <v>2347</v>
      </c>
      <c r="E178" s="2" t="s">
        <v>223</v>
      </c>
      <c r="F178" s="2">
        <v>1977</v>
      </c>
      <c r="G178" s="2" t="s">
        <v>834</v>
      </c>
      <c r="H178" s="2" t="s">
        <v>2878</v>
      </c>
      <c r="I178" s="2" t="s">
        <v>225</v>
      </c>
      <c r="J178" s="2" t="s">
        <v>603</v>
      </c>
      <c r="K178" s="2" t="s">
        <v>187</v>
      </c>
      <c r="L178" s="2" t="s">
        <v>2879</v>
      </c>
    </row>
    <row r="179" spans="1:12">
      <c r="A179" s="2" t="s">
        <v>2349</v>
      </c>
      <c r="B179" s="2" t="s">
        <v>2349</v>
      </c>
      <c r="C179" s="2" t="s">
        <v>2880</v>
      </c>
      <c r="D179" s="2" t="s">
        <v>2347</v>
      </c>
      <c r="E179" s="2" t="s">
        <v>183</v>
      </c>
      <c r="F179" s="2">
        <v>1972</v>
      </c>
      <c r="G179" s="2" t="s">
        <v>834</v>
      </c>
      <c r="H179" s="2" t="s">
        <v>2349</v>
      </c>
      <c r="I179" s="2" t="s">
        <v>185</v>
      </c>
      <c r="J179" s="2" t="s">
        <v>270</v>
      </c>
      <c r="K179" s="2" t="s">
        <v>187</v>
      </c>
      <c r="L179" s="2" t="s">
        <v>2572</v>
      </c>
    </row>
    <row r="180" spans="1:12">
      <c r="A180" s="2" t="s">
        <v>2349</v>
      </c>
      <c r="B180" s="2" t="s">
        <v>2349</v>
      </c>
      <c r="C180" s="2" t="s">
        <v>2881</v>
      </c>
      <c r="D180" s="2" t="s">
        <v>2347</v>
      </c>
      <c r="E180" s="2" t="s">
        <v>223</v>
      </c>
      <c r="F180" s="2">
        <v>2000</v>
      </c>
      <c r="G180" s="2" t="s">
        <v>834</v>
      </c>
      <c r="H180" s="2" t="s">
        <v>2882</v>
      </c>
      <c r="I180" s="2" t="s">
        <v>237</v>
      </c>
      <c r="J180" s="2" t="s">
        <v>270</v>
      </c>
      <c r="K180" s="2" t="s">
        <v>187</v>
      </c>
      <c r="L180" s="2" t="s">
        <v>2883</v>
      </c>
    </row>
    <row r="181" spans="1:12">
      <c r="A181" s="2" t="s">
        <v>1616</v>
      </c>
      <c r="B181" s="2" t="s">
        <v>1617</v>
      </c>
      <c r="C181" s="2" t="s">
        <v>2884</v>
      </c>
      <c r="D181" s="2" t="s">
        <v>1613</v>
      </c>
      <c r="E181" s="2" t="s">
        <v>223</v>
      </c>
      <c r="F181" s="2">
        <v>1998</v>
      </c>
      <c r="G181" s="2" t="s">
        <v>184</v>
      </c>
      <c r="H181" s="2" t="s">
        <v>1616</v>
      </c>
      <c r="I181" s="2" t="s">
        <v>225</v>
      </c>
      <c r="J181" s="2" t="s">
        <v>186</v>
      </c>
      <c r="K181" s="2" t="s">
        <v>187</v>
      </c>
      <c r="L181" s="2" t="s">
        <v>2766</v>
      </c>
    </row>
    <row r="182" spans="1:12">
      <c r="A182" s="2" t="s">
        <v>1616</v>
      </c>
      <c r="B182" s="2" t="s">
        <v>1617</v>
      </c>
      <c r="C182" s="2" t="s">
        <v>2885</v>
      </c>
      <c r="D182" s="2" t="s">
        <v>1613</v>
      </c>
      <c r="E182" s="2" t="s">
        <v>183</v>
      </c>
      <c r="F182" s="2">
        <v>2017</v>
      </c>
      <c r="G182" s="2" t="s">
        <v>184</v>
      </c>
      <c r="H182" s="2" t="s">
        <v>2886</v>
      </c>
      <c r="I182" s="2" t="s">
        <v>237</v>
      </c>
      <c r="J182" s="2" t="s">
        <v>270</v>
      </c>
      <c r="K182" s="2" t="s">
        <v>188</v>
      </c>
    </row>
    <row r="183" spans="1:12">
      <c r="A183" s="2" t="s">
        <v>1616</v>
      </c>
      <c r="B183" s="2" t="s">
        <v>1617</v>
      </c>
      <c r="C183" s="2" t="s">
        <v>2887</v>
      </c>
      <c r="D183" s="2" t="s">
        <v>1613</v>
      </c>
      <c r="E183" s="2" t="s">
        <v>183</v>
      </c>
      <c r="F183" s="2">
        <v>1997</v>
      </c>
      <c r="G183" s="2" t="s">
        <v>184</v>
      </c>
      <c r="H183" s="2" t="s">
        <v>1617</v>
      </c>
      <c r="I183" s="2" t="s">
        <v>185</v>
      </c>
      <c r="J183" s="2" t="s">
        <v>186</v>
      </c>
      <c r="K183" s="2" t="s">
        <v>187</v>
      </c>
      <c r="L183" s="2" t="s">
        <v>2598</v>
      </c>
    </row>
    <row r="184" spans="1:12">
      <c r="A184" s="2" t="s">
        <v>1052</v>
      </c>
      <c r="B184" s="2" t="s">
        <v>1052</v>
      </c>
      <c r="C184" s="2" t="s">
        <v>2888</v>
      </c>
      <c r="D184" s="2" t="s">
        <v>1051</v>
      </c>
      <c r="E184" s="2" t="s">
        <v>223</v>
      </c>
      <c r="F184" s="2">
        <v>1989</v>
      </c>
      <c r="G184" s="2" t="s">
        <v>184</v>
      </c>
      <c r="H184" s="2" t="s">
        <v>2889</v>
      </c>
      <c r="I184" s="2" t="s">
        <v>225</v>
      </c>
      <c r="J184" s="2" t="s">
        <v>270</v>
      </c>
      <c r="K184" s="2" t="s">
        <v>187</v>
      </c>
      <c r="L184" s="2" t="s">
        <v>2632</v>
      </c>
    </row>
    <row r="185" spans="1:12">
      <c r="A185" s="2" t="s">
        <v>2275</v>
      </c>
      <c r="B185" s="2" t="s">
        <v>2275</v>
      </c>
      <c r="C185" s="2" t="s">
        <v>2890</v>
      </c>
      <c r="D185" s="2" t="s">
        <v>2271</v>
      </c>
      <c r="E185" s="2" t="s">
        <v>183</v>
      </c>
      <c r="F185" s="2">
        <v>2008</v>
      </c>
      <c r="G185" s="2" t="s">
        <v>834</v>
      </c>
      <c r="H185" s="2" t="s">
        <v>2891</v>
      </c>
      <c r="I185" s="2" t="s">
        <v>237</v>
      </c>
      <c r="J185" s="2" t="s">
        <v>186</v>
      </c>
      <c r="K185" s="2" t="s">
        <v>187</v>
      </c>
      <c r="L185" s="2" t="s">
        <v>2892</v>
      </c>
    </row>
    <row r="186" spans="1:12">
      <c r="A186" s="2" t="s">
        <v>1636</v>
      </c>
      <c r="B186" s="2" t="s">
        <v>1353</v>
      </c>
      <c r="C186" s="2" t="s">
        <v>2893</v>
      </c>
      <c r="D186" s="2" t="s">
        <v>1634</v>
      </c>
      <c r="E186" s="2" t="s">
        <v>223</v>
      </c>
      <c r="F186" s="2">
        <v>1977</v>
      </c>
      <c r="G186" s="2" t="s">
        <v>184</v>
      </c>
      <c r="H186" s="2" t="s">
        <v>1636</v>
      </c>
      <c r="I186" s="2" t="s">
        <v>225</v>
      </c>
      <c r="J186" s="2" t="s">
        <v>603</v>
      </c>
      <c r="K186" s="2" t="s">
        <v>187</v>
      </c>
      <c r="L186" s="2" t="s">
        <v>2572</v>
      </c>
    </row>
    <row r="187" spans="1:12">
      <c r="A187" s="2" t="s">
        <v>1636</v>
      </c>
      <c r="B187" s="2" t="s">
        <v>1353</v>
      </c>
      <c r="C187" s="2" t="s">
        <v>2894</v>
      </c>
      <c r="D187" s="2" t="s">
        <v>1634</v>
      </c>
      <c r="E187" s="2" t="s">
        <v>183</v>
      </c>
      <c r="F187" s="2">
        <v>2005</v>
      </c>
      <c r="G187" s="2" t="s">
        <v>184</v>
      </c>
      <c r="H187" s="2" t="s">
        <v>2895</v>
      </c>
      <c r="I187" s="2" t="s">
        <v>237</v>
      </c>
      <c r="J187" s="2" t="s">
        <v>186</v>
      </c>
      <c r="K187" s="2" t="s">
        <v>187</v>
      </c>
      <c r="L187" s="2" t="s">
        <v>2778</v>
      </c>
    </row>
    <row r="188" spans="1:12">
      <c r="A188" s="2" t="s">
        <v>1636</v>
      </c>
      <c r="B188" s="2" t="s">
        <v>1353</v>
      </c>
      <c r="C188" s="2" t="s">
        <v>2896</v>
      </c>
      <c r="D188" s="2" t="s">
        <v>1634</v>
      </c>
      <c r="E188" s="2" t="s">
        <v>183</v>
      </c>
      <c r="F188" s="2">
        <v>1977</v>
      </c>
      <c r="G188" s="2" t="s">
        <v>184</v>
      </c>
      <c r="H188" s="2" t="s">
        <v>1353</v>
      </c>
      <c r="I188" s="2" t="s">
        <v>185</v>
      </c>
      <c r="J188" s="2" t="s">
        <v>603</v>
      </c>
      <c r="K188" s="2" t="s">
        <v>187</v>
      </c>
      <c r="L188" s="2" t="s">
        <v>2572</v>
      </c>
    </row>
    <row r="189" spans="1:12">
      <c r="A189" s="2" t="s">
        <v>1636</v>
      </c>
      <c r="B189" s="2" t="s">
        <v>1353</v>
      </c>
      <c r="C189" s="2" t="s">
        <v>2897</v>
      </c>
      <c r="D189" s="2" t="s">
        <v>1634</v>
      </c>
      <c r="E189" s="2" t="s">
        <v>183</v>
      </c>
      <c r="F189" s="2">
        <v>1996</v>
      </c>
      <c r="G189" s="2" t="s">
        <v>184</v>
      </c>
      <c r="H189" s="2" t="s">
        <v>2898</v>
      </c>
      <c r="I189" s="2" t="s">
        <v>237</v>
      </c>
      <c r="J189" s="2" t="s">
        <v>186</v>
      </c>
      <c r="K189" s="2" t="s">
        <v>187</v>
      </c>
      <c r="L189" s="2" t="s">
        <v>2778</v>
      </c>
    </row>
    <row r="190" spans="1:12">
      <c r="A190" s="2" t="s">
        <v>1732</v>
      </c>
      <c r="B190" s="2" t="s">
        <v>1732</v>
      </c>
      <c r="C190" s="2" t="s">
        <v>2899</v>
      </c>
      <c r="D190" s="2" t="s">
        <v>1729</v>
      </c>
      <c r="E190" s="2" t="s">
        <v>223</v>
      </c>
      <c r="F190" s="2">
        <v>1978</v>
      </c>
      <c r="G190" s="2" t="s">
        <v>224</v>
      </c>
      <c r="H190" s="2" t="s">
        <v>2900</v>
      </c>
      <c r="I190" s="2" t="s">
        <v>185</v>
      </c>
      <c r="J190" s="2" t="s">
        <v>226</v>
      </c>
      <c r="K190" s="2" t="s">
        <v>187</v>
      </c>
      <c r="L190" s="2" t="s">
        <v>2572</v>
      </c>
    </row>
    <row r="191" spans="1:12">
      <c r="A191" s="2" t="s">
        <v>1732</v>
      </c>
      <c r="B191" s="2" t="s">
        <v>1732</v>
      </c>
      <c r="C191" s="2" t="s">
        <v>2901</v>
      </c>
      <c r="D191" s="2" t="s">
        <v>1729</v>
      </c>
      <c r="E191" s="2" t="s">
        <v>183</v>
      </c>
      <c r="F191" s="2">
        <v>2007</v>
      </c>
      <c r="G191" s="2" t="s">
        <v>224</v>
      </c>
      <c r="H191" s="2" t="s">
        <v>2902</v>
      </c>
      <c r="I191" s="2" t="s">
        <v>237</v>
      </c>
      <c r="J191" s="2" t="s">
        <v>685</v>
      </c>
      <c r="K191" s="2" t="s">
        <v>188</v>
      </c>
    </row>
    <row r="192" spans="1:12">
      <c r="A192" s="2" t="s">
        <v>1732</v>
      </c>
      <c r="B192" s="2" t="s">
        <v>1732</v>
      </c>
      <c r="C192" s="2" t="s">
        <v>2903</v>
      </c>
      <c r="D192" s="2" t="s">
        <v>1729</v>
      </c>
      <c r="E192" s="2" t="s">
        <v>223</v>
      </c>
      <c r="F192" s="2">
        <v>2002</v>
      </c>
      <c r="G192" s="2" t="s">
        <v>224</v>
      </c>
      <c r="H192" s="2" t="s">
        <v>2904</v>
      </c>
      <c r="I192" s="2" t="s">
        <v>237</v>
      </c>
      <c r="J192" s="2" t="s">
        <v>226</v>
      </c>
      <c r="K192" s="2" t="s">
        <v>188</v>
      </c>
    </row>
    <row r="193" spans="1:12">
      <c r="A193" s="2" t="s">
        <v>1732</v>
      </c>
      <c r="B193" s="2" t="s">
        <v>1732</v>
      </c>
      <c r="C193" s="2" t="s">
        <v>2905</v>
      </c>
      <c r="D193" s="2" t="s">
        <v>1729</v>
      </c>
      <c r="E193" s="2" t="s">
        <v>183</v>
      </c>
      <c r="F193" s="2">
        <v>2004</v>
      </c>
      <c r="G193" s="2" t="s">
        <v>224</v>
      </c>
      <c r="H193" s="2" t="s">
        <v>2906</v>
      </c>
      <c r="I193" s="2" t="s">
        <v>237</v>
      </c>
      <c r="J193" s="2" t="s">
        <v>685</v>
      </c>
      <c r="K193" s="2" t="s">
        <v>188</v>
      </c>
    </row>
    <row r="194" spans="1:12">
      <c r="A194" s="2" t="s">
        <v>2206</v>
      </c>
      <c r="B194" s="2" t="s">
        <v>2206</v>
      </c>
      <c r="C194" s="2" t="s">
        <v>2907</v>
      </c>
      <c r="D194" s="2" t="s">
        <v>2203</v>
      </c>
      <c r="E194" s="2" t="s">
        <v>183</v>
      </c>
      <c r="F194" s="2">
        <v>1954</v>
      </c>
      <c r="G194" s="2" t="s">
        <v>224</v>
      </c>
      <c r="H194" s="2" t="s">
        <v>2206</v>
      </c>
      <c r="I194" s="2" t="s">
        <v>185</v>
      </c>
      <c r="J194" s="2" t="s">
        <v>2207</v>
      </c>
      <c r="K194" s="2" t="s">
        <v>188</v>
      </c>
    </row>
    <row r="195" spans="1:12">
      <c r="A195" s="2" t="s">
        <v>2206</v>
      </c>
      <c r="B195" s="2" t="s">
        <v>2206</v>
      </c>
      <c r="C195" s="2" t="s">
        <v>2908</v>
      </c>
      <c r="D195" s="2" t="s">
        <v>2203</v>
      </c>
      <c r="E195" s="2" t="s">
        <v>183</v>
      </c>
      <c r="F195" s="2">
        <v>1980</v>
      </c>
      <c r="G195" s="2" t="s">
        <v>224</v>
      </c>
      <c r="H195" s="2" t="s">
        <v>2909</v>
      </c>
      <c r="I195" s="2" t="s">
        <v>237</v>
      </c>
      <c r="J195" s="2" t="s">
        <v>226</v>
      </c>
      <c r="K195" s="2" t="s">
        <v>187</v>
      </c>
      <c r="L195" s="2" t="s">
        <v>2598</v>
      </c>
    </row>
    <row r="196" spans="1:12">
      <c r="A196" s="2" t="s">
        <v>2206</v>
      </c>
      <c r="B196" s="2" t="s">
        <v>2206</v>
      </c>
      <c r="C196" s="2" t="s">
        <v>2910</v>
      </c>
      <c r="D196" s="2" t="s">
        <v>2203</v>
      </c>
      <c r="E196" s="2" t="s">
        <v>223</v>
      </c>
      <c r="F196" s="2">
        <v>1983</v>
      </c>
      <c r="G196" s="2" t="s">
        <v>224</v>
      </c>
      <c r="H196" s="2" t="s">
        <v>2911</v>
      </c>
      <c r="I196" s="2" t="s">
        <v>237</v>
      </c>
      <c r="J196" s="2" t="s">
        <v>226</v>
      </c>
      <c r="K196" s="2" t="s">
        <v>187</v>
      </c>
      <c r="L196" s="2" t="s">
        <v>2912</v>
      </c>
    </row>
    <row r="197" spans="1:12">
      <c r="A197" s="2" t="s">
        <v>1739</v>
      </c>
      <c r="B197" s="2" t="s">
        <v>1739</v>
      </c>
      <c r="C197" s="2" t="s">
        <v>2913</v>
      </c>
      <c r="D197" s="2" t="s">
        <v>1737</v>
      </c>
      <c r="E197" s="2" t="s">
        <v>223</v>
      </c>
      <c r="F197" s="2">
        <v>1976</v>
      </c>
      <c r="G197" s="2" t="s">
        <v>224</v>
      </c>
      <c r="H197" s="2" t="s">
        <v>1739</v>
      </c>
      <c r="I197" s="2" t="s">
        <v>185</v>
      </c>
      <c r="J197" s="2" t="s">
        <v>186</v>
      </c>
      <c r="K197" s="2" t="s">
        <v>187</v>
      </c>
      <c r="L197" s="2" t="s">
        <v>2572</v>
      </c>
    </row>
    <row r="198" spans="1:12">
      <c r="A198" s="2" t="s">
        <v>1739</v>
      </c>
      <c r="B198" s="2" t="s">
        <v>1739</v>
      </c>
      <c r="C198" s="2" t="s">
        <v>2914</v>
      </c>
      <c r="D198" s="2" t="s">
        <v>1737</v>
      </c>
      <c r="E198" s="2" t="s">
        <v>183</v>
      </c>
      <c r="F198" s="2">
        <v>2013</v>
      </c>
      <c r="G198" s="2" t="s">
        <v>224</v>
      </c>
      <c r="H198" s="2" t="s">
        <v>2915</v>
      </c>
      <c r="I198" s="2" t="s">
        <v>237</v>
      </c>
      <c r="J198" s="2" t="s">
        <v>186</v>
      </c>
      <c r="K198" s="2" t="s">
        <v>187</v>
      </c>
      <c r="L198" s="2" t="s">
        <v>2916</v>
      </c>
    </row>
    <row r="199" spans="1:12">
      <c r="A199" s="2" t="s">
        <v>1198</v>
      </c>
      <c r="B199" s="2" t="s">
        <v>1199</v>
      </c>
      <c r="C199" s="2" t="s">
        <v>2917</v>
      </c>
      <c r="D199" s="2" t="s">
        <v>1197</v>
      </c>
      <c r="E199" s="2" t="s">
        <v>183</v>
      </c>
      <c r="F199" s="2">
        <v>1989</v>
      </c>
      <c r="G199" s="2" t="s">
        <v>184</v>
      </c>
      <c r="H199" s="2" t="s">
        <v>1199</v>
      </c>
      <c r="I199" s="2" t="s">
        <v>185</v>
      </c>
      <c r="J199" s="2" t="s">
        <v>186</v>
      </c>
      <c r="K199" s="2" t="s">
        <v>187</v>
      </c>
      <c r="L199" s="2" t="s">
        <v>2598</v>
      </c>
    </row>
    <row r="200" spans="1:12">
      <c r="A200" s="2" t="s">
        <v>1777</v>
      </c>
      <c r="B200" s="2" t="s">
        <v>1778</v>
      </c>
      <c r="C200" s="2" t="s">
        <v>2918</v>
      </c>
      <c r="D200" s="2" t="s">
        <v>1775</v>
      </c>
      <c r="E200" s="2" t="s">
        <v>223</v>
      </c>
      <c r="F200" s="2">
        <v>1971</v>
      </c>
      <c r="G200" s="2" t="s">
        <v>224</v>
      </c>
      <c r="H200" s="2" t="s">
        <v>1777</v>
      </c>
      <c r="I200" s="2" t="s">
        <v>225</v>
      </c>
      <c r="J200" s="2" t="s">
        <v>226</v>
      </c>
      <c r="K200" s="2" t="s">
        <v>187</v>
      </c>
      <c r="L200" s="2" t="s">
        <v>2621</v>
      </c>
    </row>
    <row r="201" spans="1:12">
      <c r="A201" s="2" t="s">
        <v>1777</v>
      </c>
      <c r="B201" s="2" t="s">
        <v>1778</v>
      </c>
      <c r="C201" s="2" t="s">
        <v>2919</v>
      </c>
      <c r="D201" s="2" t="s">
        <v>1775</v>
      </c>
      <c r="E201" s="2" t="s">
        <v>183</v>
      </c>
      <c r="F201" s="2">
        <v>1996</v>
      </c>
      <c r="G201" s="2" t="s">
        <v>224</v>
      </c>
      <c r="H201" s="2" t="s">
        <v>2920</v>
      </c>
      <c r="I201" s="2" t="s">
        <v>237</v>
      </c>
      <c r="J201" s="2" t="s">
        <v>186</v>
      </c>
      <c r="K201" s="2" t="s">
        <v>187</v>
      </c>
      <c r="L201" s="2" t="s">
        <v>2574</v>
      </c>
    </row>
    <row r="202" spans="1:12">
      <c r="A202" s="2" t="s">
        <v>1777</v>
      </c>
      <c r="B202" s="2" t="s">
        <v>1778</v>
      </c>
      <c r="C202" s="2" t="s">
        <v>2921</v>
      </c>
      <c r="D202" s="2" t="s">
        <v>1775</v>
      </c>
      <c r="E202" s="2" t="s">
        <v>183</v>
      </c>
      <c r="F202" s="2">
        <v>1962</v>
      </c>
      <c r="G202" s="2" t="s">
        <v>224</v>
      </c>
      <c r="H202" s="2" t="s">
        <v>1778</v>
      </c>
      <c r="I202" s="2" t="s">
        <v>185</v>
      </c>
      <c r="J202" s="2" t="s">
        <v>186</v>
      </c>
      <c r="K202" s="2" t="s">
        <v>187</v>
      </c>
      <c r="L202" s="2" t="s">
        <v>2576</v>
      </c>
    </row>
    <row r="203" spans="1:12">
      <c r="A203" s="2" t="s">
        <v>1777</v>
      </c>
      <c r="B203" s="2" t="s">
        <v>1778</v>
      </c>
      <c r="C203" s="2" t="s">
        <v>2922</v>
      </c>
      <c r="D203" s="2" t="s">
        <v>1775</v>
      </c>
      <c r="E203" s="2" t="s">
        <v>223</v>
      </c>
      <c r="F203" s="2">
        <v>1996</v>
      </c>
      <c r="G203" s="2" t="s">
        <v>224</v>
      </c>
      <c r="H203" s="2" t="s">
        <v>2923</v>
      </c>
      <c r="I203" s="2" t="s">
        <v>237</v>
      </c>
      <c r="J203" s="2" t="s">
        <v>186</v>
      </c>
      <c r="K203" s="2" t="s">
        <v>187</v>
      </c>
      <c r="L203" s="2" t="s">
        <v>2716</v>
      </c>
    </row>
    <row r="204" spans="1:12">
      <c r="A204" s="2" t="s">
        <v>1828</v>
      </c>
      <c r="B204" s="2" t="s">
        <v>1828</v>
      </c>
      <c r="C204" s="2" t="s">
        <v>2924</v>
      </c>
      <c r="D204" s="2" t="s">
        <v>1826</v>
      </c>
      <c r="E204" s="2" t="s">
        <v>183</v>
      </c>
      <c r="F204" s="2">
        <v>1978</v>
      </c>
      <c r="G204" s="2" t="s">
        <v>224</v>
      </c>
      <c r="H204" s="2" t="s">
        <v>1828</v>
      </c>
      <c r="I204" s="2" t="s">
        <v>185</v>
      </c>
      <c r="J204" s="2" t="s">
        <v>226</v>
      </c>
      <c r="K204" s="2" t="s">
        <v>187</v>
      </c>
      <c r="L204" s="2" t="s">
        <v>2579</v>
      </c>
    </row>
    <row r="205" spans="1:12">
      <c r="A205" s="2" t="s">
        <v>1828</v>
      </c>
      <c r="B205" s="2" t="s">
        <v>1828</v>
      </c>
      <c r="C205" s="2" t="s">
        <v>2925</v>
      </c>
      <c r="D205" s="2" t="s">
        <v>1826</v>
      </c>
      <c r="E205" s="2" t="s">
        <v>183</v>
      </c>
      <c r="F205" s="2">
        <v>2008</v>
      </c>
      <c r="G205" s="2" t="s">
        <v>224</v>
      </c>
      <c r="H205" s="2" t="s">
        <v>2926</v>
      </c>
      <c r="I205" s="2" t="s">
        <v>237</v>
      </c>
      <c r="J205" s="2" t="s">
        <v>226</v>
      </c>
      <c r="K205" s="2" t="s">
        <v>187</v>
      </c>
      <c r="L205" s="2" t="s">
        <v>2927</v>
      </c>
    </row>
    <row r="206" spans="1:12">
      <c r="A206" s="2" t="s">
        <v>1828</v>
      </c>
      <c r="B206" s="2" t="s">
        <v>1828</v>
      </c>
      <c r="C206" s="2" t="s">
        <v>2928</v>
      </c>
      <c r="D206" s="2" t="s">
        <v>1826</v>
      </c>
      <c r="E206" s="2" t="s">
        <v>223</v>
      </c>
      <c r="F206" s="2">
        <v>1978</v>
      </c>
      <c r="G206" s="2" t="s">
        <v>224</v>
      </c>
      <c r="H206" s="2" t="s">
        <v>2929</v>
      </c>
      <c r="I206" s="2" t="s">
        <v>225</v>
      </c>
      <c r="J206" s="2" t="s">
        <v>186</v>
      </c>
      <c r="K206" s="2" t="s">
        <v>187</v>
      </c>
      <c r="L206" s="2" t="s">
        <v>2621</v>
      </c>
    </row>
    <row r="207" spans="1:12">
      <c r="A207" s="2" t="s">
        <v>1828</v>
      </c>
      <c r="B207" s="2" t="s">
        <v>1828</v>
      </c>
      <c r="C207" s="2" t="s">
        <v>2930</v>
      </c>
      <c r="D207" s="2" t="s">
        <v>1826</v>
      </c>
      <c r="E207" s="2" t="s">
        <v>183</v>
      </c>
      <c r="F207" s="2">
        <v>2004</v>
      </c>
      <c r="G207" s="2" t="s">
        <v>224</v>
      </c>
      <c r="H207" s="2" t="s">
        <v>2931</v>
      </c>
      <c r="I207" s="2" t="s">
        <v>237</v>
      </c>
      <c r="J207" s="2" t="s">
        <v>226</v>
      </c>
      <c r="K207" s="2" t="s">
        <v>188</v>
      </c>
    </row>
    <row r="208" spans="1:12">
      <c r="A208" s="2" t="s">
        <v>1855</v>
      </c>
      <c r="B208" s="2" t="s">
        <v>1856</v>
      </c>
      <c r="C208" s="2" t="s">
        <v>2932</v>
      </c>
      <c r="D208" s="2" t="s">
        <v>1852</v>
      </c>
      <c r="E208" s="2" t="s">
        <v>223</v>
      </c>
      <c r="G208" s="2" t="s">
        <v>224</v>
      </c>
      <c r="H208" s="2" t="s">
        <v>2933</v>
      </c>
      <c r="I208" s="2" t="s">
        <v>237</v>
      </c>
      <c r="J208" s="2" t="s">
        <v>226</v>
      </c>
      <c r="K208" s="2" t="s">
        <v>188</v>
      </c>
    </row>
    <row r="209" spans="1:12">
      <c r="A209" s="2" t="s">
        <v>1855</v>
      </c>
      <c r="B209" s="2" t="s">
        <v>1856</v>
      </c>
      <c r="C209" s="2" t="s">
        <v>2934</v>
      </c>
      <c r="D209" s="2" t="s">
        <v>1852</v>
      </c>
      <c r="E209" s="2" t="s">
        <v>183</v>
      </c>
      <c r="F209" s="2">
        <v>1995</v>
      </c>
      <c r="G209" s="2" t="s">
        <v>224</v>
      </c>
      <c r="H209" s="2" t="s">
        <v>2935</v>
      </c>
      <c r="I209" s="2" t="s">
        <v>237</v>
      </c>
      <c r="J209" s="2" t="s">
        <v>226</v>
      </c>
      <c r="K209" s="2" t="s">
        <v>188</v>
      </c>
    </row>
    <row r="210" spans="1:12">
      <c r="A210" s="2" t="s">
        <v>1855</v>
      </c>
      <c r="B210" s="2" t="s">
        <v>1856</v>
      </c>
      <c r="C210" s="2" t="s">
        <v>2936</v>
      </c>
      <c r="D210" s="2" t="s">
        <v>1852</v>
      </c>
      <c r="E210" s="2" t="s">
        <v>183</v>
      </c>
      <c r="F210" s="2">
        <v>2008</v>
      </c>
      <c r="G210" s="2" t="s">
        <v>224</v>
      </c>
      <c r="H210" s="2" t="s">
        <v>2937</v>
      </c>
      <c r="I210" s="2" t="s">
        <v>237</v>
      </c>
      <c r="J210" s="2" t="s">
        <v>226</v>
      </c>
      <c r="K210" s="2" t="s">
        <v>188</v>
      </c>
    </row>
    <row r="211" spans="1:12">
      <c r="A211" s="2" t="s">
        <v>1855</v>
      </c>
      <c r="B211" s="2" t="s">
        <v>1856</v>
      </c>
      <c r="C211" s="2" t="s">
        <v>2938</v>
      </c>
      <c r="D211" s="2" t="s">
        <v>1852</v>
      </c>
      <c r="E211" s="2" t="s">
        <v>223</v>
      </c>
      <c r="F211" s="2">
        <v>1976</v>
      </c>
      <c r="G211" s="2" t="s">
        <v>224</v>
      </c>
      <c r="H211" s="2" t="s">
        <v>1855</v>
      </c>
      <c r="I211" s="2" t="s">
        <v>225</v>
      </c>
      <c r="J211" s="2" t="s">
        <v>186</v>
      </c>
      <c r="K211" s="2" t="s">
        <v>187</v>
      </c>
      <c r="L211" s="2" t="s">
        <v>2632</v>
      </c>
    </row>
    <row r="212" spans="1:12">
      <c r="A212" s="2" t="s">
        <v>1855</v>
      </c>
      <c r="B212" s="2" t="s">
        <v>1856</v>
      </c>
      <c r="C212" s="2" t="s">
        <v>2939</v>
      </c>
      <c r="D212" s="2" t="s">
        <v>1852</v>
      </c>
      <c r="E212" s="2" t="s">
        <v>183</v>
      </c>
      <c r="F212" s="2">
        <v>1970</v>
      </c>
      <c r="G212" s="2" t="s">
        <v>224</v>
      </c>
      <c r="H212" s="2" t="s">
        <v>1856</v>
      </c>
      <c r="I212" s="2" t="s">
        <v>185</v>
      </c>
      <c r="J212" s="2" t="s">
        <v>226</v>
      </c>
      <c r="K212" s="2" t="s">
        <v>187</v>
      </c>
      <c r="L212" s="2" t="s">
        <v>2579</v>
      </c>
    </row>
    <row r="213" spans="1:12">
      <c r="A213" s="2" t="s">
        <v>1892</v>
      </c>
      <c r="B213" s="2" t="s">
        <v>1893</v>
      </c>
      <c r="C213" s="2" t="s">
        <v>2940</v>
      </c>
      <c r="D213" s="2" t="s">
        <v>1890</v>
      </c>
      <c r="E213" s="2" t="s">
        <v>183</v>
      </c>
      <c r="F213" s="2">
        <v>1975</v>
      </c>
      <c r="G213" s="2" t="s">
        <v>224</v>
      </c>
      <c r="H213" s="2" t="s">
        <v>1893</v>
      </c>
      <c r="I213" s="2" t="s">
        <v>185</v>
      </c>
      <c r="J213" s="2" t="s">
        <v>186</v>
      </c>
      <c r="K213" s="2" t="s">
        <v>187</v>
      </c>
      <c r="L213" s="2" t="s">
        <v>2579</v>
      </c>
    </row>
    <row r="214" spans="1:12">
      <c r="A214" s="2" t="s">
        <v>1892</v>
      </c>
      <c r="B214" s="2" t="s">
        <v>1893</v>
      </c>
      <c r="C214" s="2" t="s">
        <v>2941</v>
      </c>
      <c r="D214" s="2" t="s">
        <v>1890</v>
      </c>
      <c r="E214" s="2" t="s">
        <v>223</v>
      </c>
      <c r="F214" s="2">
        <v>1983</v>
      </c>
      <c r="G214" s="2" t="s">
        <v>224</v>
      </c>
      <c r="H214" s="2" t="s">
        <v>1892</v>
      </c>
      <c r="I214" s="2" t="s">
        <v>225</v>
      </c>
      <c r="J214" s="2" t="s">
        <v>186</v>
      </c>
      <c r="K214" s="2" t="s">
        <v>187</v>
      </c>
      <c r="L214" s="2" t="s">
        <v>2621</v>
      </c>
    </row>
    <row r="215" spans="1:12">
      <c r="A215" s="2" t="s">
        <v>1892</v>
      </c>
      <c r="B215" s="2" t="s">
        <v>1893</v>
      </c>
      <c r="C215" s="2" t="s">
        <v>2942</v>
      </c>
      <c r="D215" s="2" t="s">
        <v>1890</v>
      </c>
      <c r="E215" s="2" t="s">
        <v>223</v>
      </c>
      <c r="F215" s="2">
        <v>2005</v>
      </c>
      <c r="G215" s="2" t="s">
        <v>224</v>
      </c>
      <c r="H215" s="2" t="s">
        <v>2943</v>
      </c>
      <c r="I215" s="2" t="s">
        <v>237</v>
      </c>
      <c r="J215" s="2" t="s">
        <v>685</v>
      </c>
      <c r="K215" s="2" t="s">
        <v>188</v>
      </c>
    </row>
    <row r="216" spans="1:12">
      <c r="A216" s="2" t="s">
        <v>1892</v>
      </c>
      <c r="B216" s="2" t="s">
        <v>1893</v>
      </c>
      <c r="C216" s="2" t="s">
        <v>2944</v>
      </c>
      <c r="D216" s="2" t="s">
        <v>1890</v>
      </c>
      <c r="E216" s="2" t="s">
        <v>223</v>
      </c>
      <c r="F216" s="2">
        <v>2003</v>
      </c>
      <c r="G216" s="2" t="s">
        <v>224</v>
      </c>
      <c r="H216" s="2" t="s">
        <v>2945</v>
      </c>
      <c r="I216" s="2" t="s">
        <v>237</v>
      </c>
      <c r="J216" s="2" t="s">
        <v>685</v>
      </c>
      <c r="K216" s="2" t="s">
        <v>188</v>
      </c>
    </row>
    <row r="217" spans="1:12">
      <c r="A217" s="2" t="s">
        <v>1892</v>
      </c>
      <c r="B217" s="2" t="s">
        <v>1893</v>
      </c>
      <c r="C217" s="2" t="s">
        <v>2946</v>
      </c>
      <c r="D217" s="2" t="s">
        <v>1890</v>
      </c>
      <c r="E217" s="2" t="s">
        <v>223</v>
      </c>
      <c r="F217" s="2">
        <v>2013</v>
      </c>
      <c r="G217" s="2" t="s">
        <v>224</v>
      </c>
      <c r="H217" s="2" t="s">
        <v>2947</v>
      </c>
      <c r="I217" s="2" t="s">
        <v>237</v>
      </c>
      <c r="J217" s="2" t="s">
        <v>186</v>
      </c>
      <c r="K217" s="2" t="s">
        <v>187</v>
      </c>
      <c r="L217" s="2" t="s">
        <v>2948</v>
      </c>
    </row>
    <row r="218" spans="1:12">
      <c r="A218" s="2" t="s">
        <v>1945</v>
      </c>
      <c r="B218" s="2" t="s">
        <v>1945</v>
      </c>
      <c r="C218" s="2" t="s">
        <v>2949</v>
      </c>
      <c r="D218" s="2" t="s">
        <v>1944</v>
      </c>
      <c r="E218" s="2" t="s">
        <v>183</v>
      </c>
      <c r="F218" s="2">
        <v>1960</v>
      </c>
      <c r="G218" s="2" t="s">
        <v>224</v>
      </c>
      <c r="H218" s="2" t="s">
        <v>2950</v>
      </c>
      <c r="I218" s="2" t="s">
        <v>237</v>
      </c>
      <c r="J218" s="2" t="s">
        <v>186</v>
      </c>
      <c r="K218" s="2" t="s">
        <v>188</v>
      </c>
    </row>
    <row r="219" spans="1:12">
      <c r="A219" s="2" t="s">
        <v>1945</v>
      </c>
      <c r="B219" s="2" t="s">
        <v>1945</v>
      </c>
      <c r="C219" s="2" t="s">
        <v>2951</v>
      </c>
      <c r="D219" s="2" t="s">
        <v>1944</v>
      </c>
      <c r="E219" s="2" t="s">
        <v>223</v>
      </c>
      <c r="F219" s="2">
        <v>1964</v>
      </c>
      <c r="G219" s="2" t="s">
        <v>224</v>
      </c>
      <c r="H219" s="2" t="s">
        <v>1945</v>
      </c>
      <c r="I219" s="2" t="s">
        <v>185</v>
      </c>
      <c r="J219" s="2" t="s">
        <v>186</v>
      </c>
      <c r="K219" s="2" t="s">
        <v>187</v>
      </c>
      <c r="L219" s="2" t="s">
        <v>2572</v>
      </c>
    </row>
    <row r="220" spans="1:12">
      <c r="A220" s="2" t="s">
        <v>400</v>
      </c>
      <c r="B220" s="2" t="s">
        <v>400</v>
      </c>
      <c r="C220" s="2" t="s">
        <v>2952</v>
      </c>
      <c r="D220" s="2" t="s">
        <v>396</v>
      </c>
      <c r="E220" s="2" t="s">
        <v>223</v>
      </c>
      <c r="F220" s="2">
        <v>1954</v>
      </c>
      <c r="G220" s="2" t="s">
        <v>184</v>
      </c>
      <c r="H220" s="2" t="s">
        <v>2953</v>
      </c>
      <c r="I220" s="2" t="s">
        <v>2457</v>
      </c>
      <c r="J220" s="2" t="s">
        <v>603</v>
      </c>
      <c r="K220" s="2" t="s">
        <v>188</v>
      </c>
    </row>
    <row r="221" spans="1:12">
      <c r="A221" s="2" t="s">
        <v>400</v>
      </c>
      <c r="B221" s="2" t="s">
        <v>400</v>
      </c>
      <c r="C221" s="2" t="s">
        <v>2954</v>
      </c>
      <c r="D221" s="2" t="s">
        <v>396</v>
      </c>
      <c r="E221" s="2" t="s">
        <v>223</v>
      </c>
      <c r="F221" s="2">
        <v>2013</v>
      </c>
      <c r="G221" s="2" t="s">
        <v>184</v>
      </c>
      <c r="H221" s="2" t="s">
        <v>2955</v>
      </c>
      <c r="I221" s="2" t="s">
        <v>237</v>
      </c>
      <c r="J221" s="2" t="s">
        <v>186</v>
      </c>
      <c r="K221" s="2" t="s">
        <v>188</v>
      </c>
    </row>
    <row r="222" spans="1:12">
      <c r="A222" s="2" t="s">
        <v>400</v>
      </c>
      <c r="B222" s="2" t="s">
        <v>400</v>
      </c>
      <c r="C222" s="2" t="s">
        <v>2956</v>
      </c>
      <c r="D222" s="2" t="s">
        <v>396</v>
      </c>
      <c r="E222" s="2" t="s">
        <v>223</v>
      </c>
      <c r="F222" s="2">
        <v>1994</v>
      </c>
      <c r="G222" s="2" t="s">
        <v>184</v>
      </c>
      <c r="H222" s="2" t="s">
        <v>2957</v>
      </c>
      <c r="I222" s="2" t="s">
        <v>225</v>
      </c>
      <c r="J222" s="2" t="s">
        <v>270</v>
      </c>
      <c r="K222" s="2" t="s">
        <v>187</v>
      </c>
      <c r="L222" s="2" t="s">
        <v>2716</v>
      </c>
    </row>
    <row r="223" spans="1:12">
      <c r="A223" s="2" t="s">
        <v>407</v>
      </c>
      <c r="B223" s="2" t="s">
        <v>409</v>
      </c>
      <c r="C223" s="2" t="s">
        <v>2958</v>
      </c>
      <c r="D223" s="2" t="s">
        <v>406</v>
      </c>
      <c r="E223" s="2" t="s">
        <v>183</v>
      </c>
      <c r="F223" s="2">
        <v>2009</v>
      </c>
      <c r="G223" s="2" t="s">
        <v>184</v>
      </c>
      <c r="H223" s="2" t="s">
        <v>2959</v>
      </c>
      <c r="I223" s="2" t="s">
        <v>237</v>
      </c>
      <c r="J223" s="2" t="s">
        <v>186</v>
      </c>
      <c r="K223" s="2" t="s">
        <v>188</v>
      </c>
    </row>
    <row r="224" spans="1:12">
      <c r="A224" s="2" t="s">
        <v>407</v>
      </c>
      <c r="B224" s="2" t="s">
        <v>409</v>
      </c>
      <c r="C224" s="2" t="s">
        <v>2960</v>
      </c>
      <c r="D224" s="2" t="s">
        <v>406</v>
      </c>
      <c r="E224" s="2" t="s">
        <v>183</v>
      </c>
      <c r="F224" s="2">
        <v>2008</v>
      </c>
      <c r="G224" s="2" t="s">
        <v>184</v>
      </c>
      <c r="H224" s="2" t="s">
        <v>2961</v>
      </c>
      <c r="I224" s="2" t="s">
        <v>237</v>
      </c>
      <c r="J224" s="2" t="s">
        <v>186</v>
      </c>
      <c r="K224" s="2" t="s">
        <v>188</v>
      </c>
    </row>
    <row r="225" spans="1:12">
      <c r="A225" s="2" t="s">
        <v>407</v>
      </c>
      <c r="B225" s="2" t="s">
        <v>409</v>
      </c>
      <c r="C225" s="2" t="s">
        <v>2962</v>
      </c>
      <c r="D225" s="2" t="s">
        <v>406</v>
      </c>
      <c r="E225" s="2" t="s">
        <v>183</v>
      </c>
      <c r="F225" s="2">
        <v>2004</v>
      </c>
      <c r="G225" s="2" t="s">
        <v>184</v>
      </c>
      <c r="H225" s="2" t="s">
        <v>2963</v>
      </c>
      <c r="I225" s="2" t="s">
        <v>237</v>
      </c>
      <c r="J225" s="2" t="s">
        <v>186</v>
      </c>
      <c r="K225" s="2" t="s">
        <v>187</v>
      </c>
      <c r="L225" s="2" t="s">
        <v>2964</v>
      </c>
    </row>
    <row r="226" spans="1:12">
      <c r="A226" s="2" t="s">
        <v>407</v>
      </c>
      <c r="B226" s="2" t="s">
        <v>409</v>
      </c>
      <c r="C226" s="2" t="s">
        <v>2965</v>
      </c>
      <c r="D226" s="2" t="s">
        <v>406</v>
      </c>
      <c r="E226" s="2" t="s">
        <v>223</v>
      </c>
      <c r="F226" s="2">
        <v>1981</v>
      </c>
      <c r="G226" s="2" t="s">
        <v>184</v>
      </c>
      <c r="H226" s="2" t="s">
        <v>407</v>
      </c>
      <c r="I226" s="2" t="s">
        <v>225</v>
      </c>
      <c r="J226" s="2" t="s">
        <v>603</v>
      </c>
      <c r="K226" s="2" t="s">
        <v>187</v>
      </c>
      <c r="L226" s="2" t="s">
        <v>2632</v>
      </c>
    </row>
    <row r="227" spans="1:12">
      <c r="A227" s="2" t="s">
        <v>407</v>
      </c>
      <c r="B227" s="2" t="s">
        <v>409</v>
      </c>
      <c r="C227" s="2" t="s">
        <v>2966</v>
      </c>
      <c r="D227" s="2" t="s">
        <v>406</v>
      </c>
      <c r="E227" s="2" t="s">
        <v>183</v>
      </c>
      <c r="F227" s="2">
        <v>2000</v>
      </c>
      <c r="G227" s="2" t="s">
        <v>184</v>
      </c>
      <c r="H227" s="2" t="s">
        <v>2967</v>
      </c>
      <c r="I227" s="2" t="s">
        <v>237</v>
      </c>
      <c r="J227" s="2" t="s">
        <v>186</v>
      </c>
      <c r="K227" s="2" t="s">
        <v>187</v>
      </c>
      <c r="L227" s="2" t="s">
        <v>2778</v>
      </c>
    </row>
    <row r="228" spans="1:12">
      <c r="A228" s="2" t="s">
        <v>407</v>
      </c>
      <c r="B228" s="2" t="s">
        <v>409</v>
      </c>
      <c r="C228" s="2" t="s">
        <v>2968</v>
      </c>
      <c r="D228" s="2" t="s">
        <v>406</v>
      </c>
      <c r="E228" s="2" t="s">
        <v>183</v>
      </c>
      <c r="F228" s="2">
        <v>2025</v>
      </c>
      <c r="G228" s="2" t="s">
        <v>184</v>
      </c>
      <c r="H228" s="2" t="s">
        <v>2969</v>
      </c>
      <c r="I228" s="2" t="s">
        <v>291</v>
      </c>
      <c r="J228" s="2" t="s">
        <v>291</v>
      </c>
      <c r="K228" s="2" t="s">
        <v>188</v>
      </c>
    </row>
    <row r="229" spans="1:12">
      <c r="A229" s="2" t="s">
        <v>417</v>
      </c>
      <c r="B229" s="2" t="s">
        <v>418</v>
      </c>
      <c r="C229" s="2" t="s">
        <v>2970</v>
      </c>
      <c r="D229" s="2" t="s">
        <v>415</v>
      </c>
      <c r="E229" s="2" t="s">
        <v>183</v>
      </c>
      <c r="F229" s="2">
        <v>2016</v>
      </c>
      <c r="G229" s="2" t="s">
        <v>184</v>
      </c>
      <c r="H229" s="2" t="s">
        <v>2971</v>
      </c>
      <c r="I229" s="2" t="s">
        <v>237</v>
      </c>
      <c r="J229" s="2" t="s">
        <v>270</v>
      </c>
      <c r="K229" s="2" t="s">
        <v>188</v>
      </c>
    </row>
    <row r="230" spans="1:12">
      <c r="A230" s="2" t="s">
        <v>417</v>
      </c>
      <c r="B230" s="2" t="s">
        <v>418</v>
      </c>
      <c r="C230" s="2" t="s">
        <v>2972</v>
      </c>
      <c r="D230" s="2" t="s">
        <v>415</v>
      </c>
      <c r="E230" s="2" t="s">
        <v>223</v>
      </c>
      <c r="F230" s="2">
        <v>1997</v>
      </c>
      <c r="G230" s="2" t="s">
        <v>184</v>
      </c>
      <c r="H230" s="2" t="s">
        <v>417</v>
      </c>
      <c r="I230" s="2" t="s">
        <v>225</v>
      </c>
      <c r="J230" s="2" t="s">
        <v>226</v>
      </c>
      <c r="K230" s="2" t="s">
        <v>187</v>
      </c>
      <c r="L230" s="2" t="s">
        <v>2716</v>
      </c>
    </row>
    <row r="231" spans="1:12">
      <c r="A231" s="2" t="s">
        <v>417</v>
      </c>
      <c r="B231" s="2" t="s">
        <v>418</v>
      </c>
      <c r="C231" s="2" t="s">
        <v>2973</v>
      </c>
      <c r="D231" s="2" t="s">
        <v>415</v>
      </c>
      <c r="E231" s="2" t="s">
        <v>183</v>
      </c>
      <c r="F231" s="2">
        <v>2023</v>
      </c>
      <c r="G231" s="2" t="s">
        <v>184</v>
      </c>
      <c r="H231" s="2" t="s">
        <v>2974</v>
      </c>
      <c r="I231" s="2" t="s">
        <v>237</v>
      </c>
      <c r="J231" s="2" t="s">
        <v>291</v>
      </c>
      <c r="K231" s="2" t="s">
        <v>188</v>
      </c>
    </row>
    <row r="232" spans="1:12">
      <c r="A232" s="2" t="s">
        <v>417</v>
      </c>
      <c r="B232" s="2" t="s">
        <v>418</v>
      </c>
      <c r="C232" s="2" t="s">
        <v>2975</v>
      </c>
      <c r="D232" s="2" t="s">
        <v>415</v>
      </c>
      <c r="E232" s="2" t="s">
        <v>183</v>
      </c>
      <c r="F232" s="2">
        <v>1990</v>
      </c>
      <c r="G232" s="2" t="s">
        <v>184</v>
      </c>
      <c r="H232" s="2" t="s">
        <v>418</v>
      </c>
      <c r="I232" s="2" t="s">
        <v>185</v>
      </c>
      <c r="J232" s="2" t="s">
        <v>226</v>
      </c>
      <c r="K232" s="2" t="s">
        <v>187</v>
      </c>
      <c r="L232" s="2" t="s">
        <v>2572</v>
      </c>
    </row>
    <row r="233" spans="1:12">
      <c r="A233" s="2" t="s">
        <v>436</v>
      </c>
      <c r="B233" s="2" t="s">
        <v>437</v>
      </c>
      <c r="C233" s="2" t="s">
        <v>2976</v>
      </c>
      <c r="D233" s="2" t="s">
        <v>434</v>
      </c>
      <c r="E233" s="2" t="s">
        <v>183</v>
      </c>
      <c r="F233" s="2">
        <v>1968</v>
      </c>
      <c r="G233" s="2" t="s">
        <v>184</v>
      </c>
      <c r="H233" s="2" t="s">
        <v>2977</v>
      </c>
      <c r="I233" s="2" t="s">
        <v>185</v>
      </c>
      <c r="J233" s="2" t="s">
        <v>186</v>
      </c>
      <c r="K233" s="2" t="s">
        <v>187</v>
      </c>
      <c r="L233" s="2" t="s">
        <v>2572</v>
      </c>
    </row>
    <row r="234" spans="1:12">
      <c r="A234" s="2" t="s">
        <v>436</v>
      </c>
      <c r="B234" s="2" t="s">
        <v>437</v>
      </c>
      <c r="C234" s="2" t="s">
        <v>2978</v>
      </c>
      <c r="D234" s="2" t="s">
        <v>434</v>
      </c>
      <c r="E234" s="2" t="s">
        <v>223</v>
      </c>
      <c r="F234" s="2">
        <v>2013</v>
      </c>
      <c r="G234" s="2" t="s">
        <v>184</v>
      </c>
      <c r="H234" s="2" t="s">
        <v>2979</v>
      </c>
      <c r="I234" s="2" t="s">
        <v>237</v>
      </c>
      <c r="J234" s="2" t="s">
        <v>291</v>
      </c>
      <c r="K234" s="2" t="s">
        <v>188</v>
      </c>
    </row>
    <row r="235" spans="1:12">
      <c r="A235" s="2" t="s">
        <v>436</v>
      </c>
      <c r="B235" s="2" t="s">
        <v>437</v>
      </c>
      <c r="C235" s="2" t="s">
        <v>2980</v>
      </c>
      <c r="D235" s="2" t="s">
        <v>434</v>
      </c>
      <c r="E235" s="2" t="s">
        <v>223</v>
      </c>
      <c r="F235" s="2">
        <v>1999</v>
      </c>
      <c r="G235" s="2" t="s">
        <v>184</v>
      </c>
      <c r="H235" s="2" t="s">
        <v>2981</v>
      </c>
      <c r="I235" s="2" t="s">
        <v>237</v>
      </c>
      <c r="J235" s="2" t="s">
        <v>226</v>
      </c>
      <c r="K235" s="2" t="s">
        <v>187</v>
      </c>
      <c r="L235" s="2" t="s">
        <v>2982</v>
      </c>
    </row>
    <row r="236" spans="1:12">
      <c r="A236" s="2" t="s">
        <v>436</v>
      </c>
      <c r="B236" s="2" t="s">
        <v>437</v>
      </c>
      <c r="C236" s="2" t="s">
        <v>2983</v>
      </c>
      <c r="D236" s="2" t="s">
        <v>434</v>
      </c>
      <c r="E236" s="2" t="s">
        <v>183</v>
      </c>
      <c r="G236" s="2" t="s">
        <v>184</v>
      </c>
      <c r="H236" s="2" t="s">
        <v>436</v>
      </c>
      <c r="I236" s="2" t="s">
        <v>237</v>
      </c>
      <c r="J236" s="2" t="s">
        <v>186</v>
      </c>
      <c r="K236" s="2" t="s">
        <v>187</v>
      </c>
      <c r="L236" s="2" t="s">
        <v>2716</v>
      </c>
    </row>
    <row r="237" spans="1:12">
      <c r="A237" s="2" t="s">
        <v>436</v>
      </c>
      <c r="B237" s="2" t="s">
        <v>437</v>
      </c>
      <c r="C237" s="2" t="s">
        <v>2984</v>
      </c>
      <c r="D237" s="2" t="s">
        <v>434</v>
      </c>
      <c r="E237" s="2" t="s">
        <v>223</v>
      </c>
      <c r="F237" s="2">
        <v>1971</v>
      </c>
      <c r="G237" s="2" t="s">
        <v>184</v>
      </c>
      <c r="H237" s="2" t="s">
        <v>2985</v>
      </c>
      <c r="I237" s="2" t="s">
        <v>225</v>
      </c>
      <c r="J237" s="2" t="s">
        <v>270</v>
      </c>
      <c r="K237" s="2" t="s">
        <v>187</v>
      </c>
      <c r="L237" s="2" t="s">
        <v>2716</v>
      </c>
    </row>
    <row r="238" spans="1:12">
      <c r="A238" s="2" t="s">
        <v>446</v>
      </c>
      <c r="B238" s="2" t="s">
        <v>447</v>
      </c>
      <c r="C238" s="2" t="s">
        <v>2986</v>
      </c>
      <c r="D238" s="2" t="s">
        <v>443</v>
      </c>
      <c r="E238" s="2" t="s">
        <v>183</v>
      </c>
      <c r="F238" s="2">
        <v>1999</v>
      </c>
      <c r="G238" s="2" t="s">
        <v>184</v>
      </c>
      <c r="H238" s="2" t="s">
        <v>2987</v>
      </c>
      <c r="I238" s="2" t="s">
        <v>237</v>
      </c>
      <c r="J238" s="2" t="s">
        <v>226</v>
      </c>
      <c r="K238" s="2" t="s">
        <v>187</v>
      </c>
      <c r="L238" s="2" t="s">
        <v>2758</v>
      </c>
    </row>
    <row r="239" spans="1:12">
      <c r="A239" s="2" t="s">
        <v>446</v>
      </c>
      <c r="B239" s="2" t="s">
        <v>447</v>
      </c>
      <c r="C239" s="2" t="s">
        <v>2988</v>
      </c>
      <c r="D239" s="2" t="s">
        <v>443</v>
      </c>
      <c r="E239" s="2" t="s">
        <v>223</v>
      </c>
      <c r="F239" s="2">
        <v>1968</v>
      </c>
      <c r="G239" s="2" t="s">
        <v>184</v>
      </c>
      <c r="H239" s="2" t="s">
        <v>2989</v>
      </c>
      <c r="I239" s="2" t="s">
        <v>225</v>
      </c>
      <c r="J239" s="2" t="s">
        <v>270</v>
      </c>
      <c r="K239" s="2" t="s">
        <v>187</v>
      </c>
      <c r="L239" s="2" t="s">
        <v>2632</v>
      </c>
    </row>
    <row r="240" spans="1:12">
      <c r="A240" s="2" t="s">
        <v>457</v>
      </c>
      <c r="B240" s="2" t="s">
        <v>457</v>
      </c>
      <c r="C240" s="2" t="s">
        <v>2990</v>
      </c>
      <c r="D240" s="2" t="s">
        <v>454</v>
      </c>
      <c r="E240" s="2" t="s">
        <v>223</v>
      </c>
      <c r="F240" s="2">
        <v>1972</v>
      </c>
      <c r="G240" s="2" t="s">
        <v>184</v>
      </c>
      <c r="H240" s="2" t="s">
        <v>2991</v>
      </c>
      <c r="I240" s="2" t="s">
        <v>225</v>
      </c>
      <c r="J240" s="2" t="s">
        <v>270</v>
      </c>
      <c r="K240" s="2" t="s">
        <v>187</v>
      </c>
      <c r="L240" s="2" t="s">
        <v>2632</v>
      </c>
    </row>
    <row r="241" spans="1:12">
      <c r="A241" s="2" t="s">
        <v>525</v>
      </c>
      <c r="B241" s="2" t="s">
        <v>525</v>
      </c>
      <c r="C241" s="2" t="s">
        <v>2992</v>
      </c>
      <c r="D241" s="2" t="s">
        <v>523</v>
      </c>
      <c r="E241" s="2" t="s">
        <v>223</v>
      </c>
      <c r="F241" s="2">
        <v>2006</v>
      </c>
      <c r="G241" s="2" t="s">
        <v>184</v>
      </c>
      <c r="H241" s="2" t="s">
        <v>2993</v>
      </c>
      <c r="I241" s="2" t="s">
        <v>237</v>
      </c>
      <c r="J241" s="2" t="s">
        <v>226</v>
      </c>
      <c r="K241" s="2" t="s">
        <v>187</v>
      </c>
      <c r="L241" s="2" t="s">
        <v>2716</v>
      </c>
    </row>
    <row r="242" spans="1:12">
      <c r="A242" s="2" t="s">
        <v>525</v>
      </c>
      <c r="B242" s="2" t="s">
        <v>525</v>
      </c>
      <c r="C242" s="2" t="s">
        <v>2994</v>
      </c>
      <c r="D242" s="2" t="s">
        <v>523</v>
      </c>
      <c r="E242" s="2" t="s">
        <v>223</v>
      </c>
      <c r="F242" s="2">
        <v>1974</v>
      </c>
      <c r="G242" s="2" t="s">
        <v>184</v>
      </c>
      <c r="H242" s="2" t="s">
        <v>2995</v>
      </c>
      <c r="I242" s="2" t="s">
        <v>225</v>
      </c>
      <c r="J242" s="2" t="s">
        <v>270</v>
      </c>
      <c r="K242" s="2" t="s">
        <v>187</v>
      </c>
      <c r="L242" s="2" t="s">
        <v>2621</v>
      </c>
    </row>
    <row r="243" spans="1:12">
      <c r="A243" s="2" t="s">
        <v>666</v>
      </c>
      <c r="B243" s="2" t="s">
        <v>667</v>
      </c>
      <c r="C243" s="2" t="s">
        <v>2996</v>
      </c>
      <c r="D243" s="2" t="s">
        <v>663</v>
      </c>
      <c r="E243" s="2" t="s">
        <v>183</v>
      </c>
      <c r="F243" s="2">
        <v>1997</v>
      </c>
      <c r="G243" s="2" t="s">
        <v>184</v>
      </c>
      <c r="H243" s="2" t="s">
        <v>2997</v>
      </c>
      <c r="I243" s="2" t="s">
        <v>237</v>
      </c>
      <c r="J243" s="2" t="s">
        <v>226</v>
      </c>
      <c r="K243" s="2" t="s">
        <v>187</v>
      </c>
      <c r="L243" s="2" t="s">
        <v>2998</v>
      </c>
    </row>
    <row r="244" spans="1:12">
      <c r="A244" s="2" t="s">
        <v>666</v>
      </c>
      <c r="B244" s="2" t="s">
        <v>667</v>
      </c>
      <c r="C244" s="2" t="s">
        <v>2999</v>
      </c>
      <c r="D244" s="2" t="s">
        <v>663</v>
      </c>
      <c r="E244" s="2" t="s">
        <v>223</v>
      </c>
      <c r="F244" s="2">
        <v>1999</v>
      </c>
      <c r="G244" s="2" t="s">
        <v>184</v>
      </c>
      <c r="H244" s="2" t="s">
        <v>3000</v>
      </c>
      <c r="I244" s="2" t="s">
        <v>237</v>
      </c>
      <c r="J244" s="2" t="s">
        <v>226</v>
      </c>
      <c r="K244" s="2" t="s">
        <v>187</v>
      </c>
      <c r="L244" s="2" t="s">
        <v>2998</v>
      </c>
    </row>
    <row r="245" spans="1:12">
      <c r="A245" s="2" t="s">
        <v>666</v>
      </c>
      <c r="B245" s="2" t="s">
        <v>667</v>
      </c>
      <c r="C245" s="2" t="s">
        <v>3001</v>
      </c>
      <c r="D245" s="2" t="s">
        <v>663</v>
      </c>
      <c r="E245" s="2" t="s">
        <v>223</v>
      </c>
      <c r="F245" s="2">
        <v>1980</v>
      </c>
      <c r="G245" s="2" t="s">
        <v>184</v>
      </c>
      <c r="H245" s="2" t="s">
        <v>666</v>
      </c>
      <c r="I245" s="2" t="s">
        <v>225</v>
      </c>
      <c r="J245" s="2" t="s">
        <v>186</v>
      </c>
      <c r="K245" s="2" t="s">
        <v>187</v>
      </c>
      <c r="L245" s="2" t="s">
        <v>2621</v>
      </c>
    </row>
    <row r="246" spans="1:12">
      <c r="A246" s="2" t="s">
        <v>666</v>
      </c>
      <c r="B246" s="2" t="s">
        <v>667</v>
      </c>
      <c r="C246" s="2" t="s">
        <v>3002</v>
      </c>
      <c r="D246" s="2" t="s">
        <v>663</v>
      </c>
      <c r="E246" s="2" t="s">
        <v>183</v>
      </c>
      <c r="F246" s="2">
        <v>2001</v>
      </c>
      <c r="G246" s="2" t="s">
        <v>184</v>
      </c>
      <c r="H246" s="2" t="s">
        <v>3003</v>
      </c>
      <c r="I246" s="2" t="s">
        <v>237</v>
      </c>
      <c r="J246" s="2" t="s">
        <v>226</v>
      </c>
      <c r="K246" s="2" t="s">
        <v>187</v>
      </c>
      <c r="L246" s="2" t="s">
        <v>3004</v>
      </c>
    </row>
    <row r="247" spans="1:12">
      <c r="A247" s="2" t="s">
        <v>666</v>
      </c>
      <c r="B247" s="2" t="s">
        <v>667</v>
      </c>
      <c r="C247" s="2" t="s">
        <v>3005</v>
      </c>
      <c r="D247" s="2" t="s">
        <v>663</v>
      </c>
      <c r="E247" s="2" t="s">
        <v>223</v>
      </c>
      <c r="F247" s="2">
        <v>2006</v>
      </c>
      <c r="G247" s="2" t="s">
        <v>184</v>
      </c>
      <c r="H247" s="2" t="s">
        <v>3006</v>
      </c>
      <c r="I247" s="2" t="s">
        <v>237</v>
      </c>
      <c r="K247" s="2" t="s">
        <v>187</v>
      </c>
      <c r="L247" s="2" t="s">
        <v>3007</v>
      </c>
    </row>
    <row r="248" spans="1:12">
      <c r="A248" s="2" t="s">
        <v>676</v>
      </c>
      <c r="B248" s="2" t="s">
        <v>677</v>
      </c>
      <c r="C248" s="2" t="s">
        <v>3008</v>
      </c>
      <c r="D248" s="2" t="s">
        <v>674</v>
      </c>
      <c r="E248" s="2" t="s">
        <v>223</v>
      </c>
      <c r="F248" s="2">
        <v>2023</v>
      </c>
      <c r="G248" s="2" t="s">
        <v>184</v>
      </c>
      <c r="H248" s="2" t="s">
        <v>3009</v>
      </c>
      <c r="I248" s="2" t="s">
        <v>237</v>
      </c>
      <c r="K248" s="2" t="s">
        <v>188</v>
      </c>
    </row>
    <row r="249" spans="1:12">
      <c r="A249" s="2" t="s">
        <v>676</v>
      </c>
      <c r="B249" s="2" t="s">
        <v>677</v>
      </c>
      <c r="C249" s="2" t="s">
        <v>3010</v>
      </c>
      <c r="D249" s="2" t="s">
        <v>674</v>
      </c>
      <c r="E249" s="2" t="s">
        <v>183</v>
      </c>
      <c r="F249" s="2">
        <v>2002</v>
      </c>
      <c r="G249" s="2" t="s">
        <v>184</v>
      </c>
      <c r="H249" s="2" t="s">
        <v>3011</v>
      </c>
      <c r="I249" s="2" t="s">
        <v>185</v>
      </c>
      <c r="J249" s="2" t="s">
        <v>226</v>
      </c>
      <c r="K249" s="2" t="s">
        <v>187</v>
      </c>
      <c r="L249" s="2" t="s">
        <v>2572</v>
      </c>
    </row>
    <row r="250" spans="1:12">
      <c r="A250" s="2" t="s">
        <v>676</v>
      </c>
      <c r="B250" s="2" t="s">
        <v>677</v>
      </c>
      <c r="C250" s="2" t="s">
        <v>3012</v>
      </c>
      <c r="D250" s="2" t="s">
        <v>674</v>
      </c>
      <c r="E250" s="2" t="s">
        <v>223</v>
      </c>
      <c r="F250" s="2">
        <v>2001</v>
      </c>
      <c r="G250" s="2" t="s">
        <v>184</v>
      </c>
      <c r="H250" s="2" t="s">
        <v>676</v>
      </c>
      <c r="I250" s="2" t="s">
        <v>225</v>
      </c>
      <c r="J250" s="2" t="s">
        <v>226</v>
      </c>
      <c r="K250" s="2" t="s">
        <v>187</v>
      </c>
      <c r="L250" s="2" t="s">
        <v>2632</v>
      </c>
    </row>
    <row r="251" spans="1:12">
      <c r="A251" s="2" t="s">
        <v>684</v>
      </c>
      <c r="B251" s="2" t="s">
        <v>684</v>
      </c>
      <c r="C251" s="2" t="s">
        <v>3013</v>
      </c>
      <c r="D251" s="2" t="s">
        <v>682</v>
      </c>
      <c r="E251" s="2" t="s">
        <v>223</v>
      </c>
      <c r="F251" s="2">
        <v>2002</v>
      </c>
      <c r="G251" s="2" t="s">
        <v>224</v>
      </c>
      <c r="H251" s="2" t="s">
        <v>3014</v>
      </c>
      <c r="I251" s="2" t="s">
        <v>237</v>
      </c>
      <c r="J251" s="2" t="s">
        <v>226</v>
      </c>
      <c r="K251" s="2" t="s">
        <v>188</v>
      </c>
    </row>
    <row r="252" spans="1:12">
      <c r="A252" s="2" t="s">
        <v>684</v>
      </c>
      <c r="B252" s="2" t="s">
        <v>684</v>
      </c>
      <c r="C252" s="2" t="s">
        <v>3015</v>
      </c>
      <c r="D252" s="2" t="s">
        <v>682</v>
      </c>
      <c r="E252" s="2" t="s">
        <v>183</v>
      </c>
      <c r="F252" s="2">
        <v>2006</v>
      </c>
      <c r="G252" s="2" t="s">
        <v>224</v>
      </c>
      <c r="H252" s="2" t="s">
        <v>3016</v>
      </c>
      <c r="I252" s="2" t="s">
        <v>237</v>
      </c>
      <c r="K252" s="2" t="s">
        <v>188</v>
      </c>
    </row>
    <row r="253" spans="1:12">
      <c r="A253" s="2" t="s">
        <v>684</v>
      </c>
      <c r="B253" s="2" t="s">
        <v>684</v>
      </c>
      <c r="C253" s="2" t="s">
        <v>3017</v>
      </c>
      <c r="D253" s="2" t="s">
        <v>682</v>
      </c>
      <c r="E253" s="2" t="s">
        <v>223</v>
      </c>
      <c r="F253" s="2">
        <v>1979</v>
      </c>
      <c r="G253" s="2" t="s">
        <v>224</v>
      </c>
      <c r="H253" s="2" t="s">
        <v>3018</v>
      </c>
      <c r="I253" s="2" t="s">
        <v>225</v>
      </c>
      <c r="J253" s="2" t="s">
        <v>226</v>
      </c>
      <c r="K253" s="2" t="s">
        <v>187</v>
      </c>
      <c r="L253" s="2" t="s">
        <v>2572</v>
      </c>
    </row>
    <row r="254" spans="1:12">
      <c r="A254" s="2" t="s">
        <v>684</v>
      </c>
      <c r="B254" s="2" t="s">
        <v>684</v>
      </c>
      <c r="C254" s="2" t="s">
        <v>3019</v>
      </c>
      <c r="D254" s="2" t="s">
        <v>682</v>
      </c>
      <c r="E254" s="2" t="s">
        <v>183</v>
      </c>
      <c r="F254" s="2">
        <v>1976</v>
      </c>
      <c r="G254" s="2" t="s">
        <v>224</v>
      </c>
      <c r="H254" s="2" t="s">
        <v>684</v>
      </c>
      <c r="I254" s="2" t="s">
        <v>185</v>
      </c>
      <c r="J254" s="2" t="s">
        <v>685</v>
      </c>
      <c r="K254" s="2" t="s">
        <v>187</v>
      </c>
      <c r="L254" s="2" t="s">
        <v>3020</v>
      </c>
    </row>
    <row r="255" spans="1:12">
      <c r="A255" s="2" t="s">
        <v>657</v>
      </c>
      <c r="B255" s="2" t="s">
        <v>657</v>
      </c>
      <c r="C255" s="2" t="s">
        <v>3021</v>
      </c>
      <c r="D255" s="2" t="s">
        <v>655</v>
      </c>
      <c r="E255" s="2" t="s">
        <v>223</v>
      </c>
      <c r="F255" s="2">
        <v>1980</v>
      </c>
      <c r="G255" s="2" t="s">
        <v>184</v>
      </c>
      <c r="H255" s="2" t="s">
        <v>3022</v>
      </c>
      <c r="I255" s="2" t="s">
        <v>225</v>
      </c>
      <c r="J255" s="2" t="s">
        <v>186</v>
      </c>
      <c r="K255" s="2" t="s">
        <v>187</v>
      </c>
      <c r="L255" s="2" t="s">
        <v>2758</v>
      </c>
    </row>
    <row r="256" spans="1:12">
      <c r="A256" s="2" t="s">
        <v>657</v>
      </c>
      <c r="B256" s="2" t="s">
        <v>657</v>
      </c>
      <c r="C256" s="2" t="s">
        <v>3023</v>
      </c>
      <c r="D256" s="2" t="s">
        <v>655</v>
      </c>
      <c r="E256" s="2" t="s">
        <v>183</v>
      </c>
      <c r="F256" s="2">
        <v>2007</v>
      </c>
      <c r="G256" s="2" t="s">
        <v>184</v>
      </c>
      <c r="H256" s="2" t="s">
        <v>3024</v>
      </c>
      <c r="I256" s="2" t="s">
        <v>237</v>
      </c>
      <c r="J256" s="2" t="s">
        <v>226</v>
      </c>
      <c r="K256" s="2" t="s">
        <v>187</v>
      </c>
      <c r="L256" s="2" t="s">
        <v>2576</v>
      </c>
    </row>
    <row r="257" spans="1:12">
      <c r="A257" s="2" t="s">
        <v>657</v>
      </c>
      <c r="B257" s="2" t="s">
        <v>657</v>
      </c>
      <c r="C257" s="2" t="s">
        <v>3025</v>
      </c>
      <c r="D257" s="2" t="s">
        <v>655</v>
      </c>
      <c r="E257" s="2" t="s">
        <v>183</v>
      </c>
      <c r="F257" s="2">
        <v>1981</v>
      </c>
      <c r="G257" s="2" t="s">
        <v>184</v>
      </c>
      <c r="H257" s="2" t="s">
        <v>657</v>
      </c>
      <c r="I257" s="2" t="s">
        <v>185</v>
      </c>
      <c r="J257" s="2" t="s">
        <v>186</v>
      </c>
      <c r="K257" s="2" t="s">
        <v>187</v>
      </c>
      <c r="L257" s="2" t="s">
        <v>2598</v>
      </c>
    </row>
    <row r="258" spans="1:12">
      <c r="A258" s="2" t="s">
        <v>718</v>
      </c>
      <c r="B258" s="2" t="s">
        <v>719</v>
      </c>
      <c r="C258" s="2" t="s">
        <v>3026</v>
      </c>
      <c r="D258" s="2" t="s">
        <v>715</v>
      </c>
      <c r="E258" s="2" t="s">
        <v>223</v>
      </c>
      <c r="F258" s="2">
        <v>1952</v>
      </c>
      <c r="G258" s="2" t="s">
        <v>184</v>
      </c>
      <c r="H258" s="2" t="s">
        <v>3027</v>
      </c>
      <c r="I258" s="2" t="s">
        <v>225</v>
      </c>
      <c r="J258" s="2" t="s">
        <v>603</v>
      </c>
      <c r="K258" s="2" t="s">
        <v>187</v>
      </c>
      <c r="L258" s="2" t="s">
        <v>2758</v>
      </c>
    </row>
    <row r="259" spans="1:12">
      <c r="A259" s="2" t="s">
        <v>718</v>
      </c>
      <c r="B259" s="2" t="s">
        <v>719</v>
      </c>
      <c r="C259" s="2" t="s">
        <v>3028</v>
      </c>
      <c r="D259" s="2" t="s">
        <v>715</v>
      </c>
      <c r="E259" s="2" t="s">
        <v>183</v>
      </c>
      <c r="F259" s="2">
        <v>1993</v>
      </c>
      <c r="G259" s="2" t="s">
        <v>184</v>
      </c>
      <c r="H259" s="2" t="s">
        <v>3029</v>
      </c>
      <c r="I259" s="2" t="s">
        <v>237</v>
      </c>
      <c r="J259" s="2" t="s">
        <v>226</v>
      </c>
      <c r="K259" s="2" t="s">
        <v>187</v>
      </c>
      <c r="L259" s="2" t="s">
        <v>2576</v>
      </c>
    </row>
    <row r="260" spans="1:12">
      <c r="A260" s="2" t="s">
        <v>718</v>
      </c>
      <c r="B260" s="2" t="s">
        <v>719</v>
      </c>
      <c r="C260" s="2" t="s">
        <v>3030</v>
      </c>
      <c r="D260" s="2" t="s">
        <v>715</v>
      </c>
      <c r="E260" s="2" t="s">
        <v>183</v>
      </c>
      <c r="F260" s="2">
        <v>1952</v>
      </c>
      <c r="G260" s="2" t="s">
        <v>184</v>
      </c>
      <c r="H260" s="2" t="s">
        <v>719</v>
      </c>
      <c r="I260" s="2" t="s">
        <v>185</v>
      </c>
      <c r="J260" s="2" t="s">
        <v>603</v>
      </c>
      <c r="K260" s="2" t="s">
        <v>187</v>
      </c>
      <c r="L260" s="2" t="s">
        <v>2572</v>
      </c>
    </row>
    <row r="261" spans="1:12">
      <c r="A261" s="2" t="s">
        <v>718</v>
      </c>
      <c r="B261" s="2" t="s">
        <v>719</v>
      </c>
      <c r="C261" s="2" t="s">
        <v>3031</v>
      </c>
      <c r="D261" s="2" t="s">
        <v>715</v>
      </c>
      <c r="E261" s="2" t="s">
        <v>223</v>
      </c>
      <c r="F261" s="2">
        <v>1994</v>
      </c>
      <c r="G261" s="2" t="s">
        <v>184</v>
      </c>
      <c r="H261" s="2" t="s">
        <v>718</v>
      </c>
      <c r="I261" s="2" t="s">
        <v>237</v>
      </c>
      <c r="J261" s="2" t="s">
        <v>226</v>
      </c>
      <c r="K261" s="2" t="s">
        <v>187</v>
      </c>
      <c r="L261" s="2" t="s">
        <v>2758</v>
      </c>
    </row>
    <row r="262" spans="1:12">
      <c r="A262" s="2" t="s">
        <v>764</v>
      </c>
      <c r="B262" s="2" t="s">
        <v>765</v>
      </c>
      <c r="C262" s="2" t="s">
        <v>3032</v>
      </c>
      <c r="D262" s="2" t="s">
        <v>761</v>
      </c>
      <c r="E262" s="2" t="s">
        <v>223</v>
      </c>
      <c r="F262" s="2">
        <v>2002</v>
      </c>
      <c r="G262" s="2" t="s">
        <v>184</v>
      </c>
      <c r="H262" s="2" t="s">
        <v>764</v>
      </c>
      <c r="I262" s="2" t="s">
        <v>225</v>
      </c>
      <c r="J262" s="2" t="s">
        <v>186</v>
      </c>
      <c r="K262" s="2" t="s">
        <v>187</v>
      </c>
      <c r="L262" s="2" t="s">
        <v>2621</v>
      </c>
    </row>
    <row r="263" spans="1:12">
      <c r="A263" s="2" t="s">
        <v>764</v>
      </c>
      <c r="B263" s="2" t="s">
        <v>765</v>
      </c>
      <c r="C263" s="2" t="s">
        <v>3033</v>
      </c>
      <c r="D263" s="2" t="s">
        <v>761</v>
      </c>
      <c r="E263" s="2" t="s">
        <v>183</v>
      </c>
      <c r="F263" s="2">
        <v>1996</v>
      </c>
      <c r="G263" s="2" t="s">
        <v>184</v>
      </c>
      <c r="H263" s="2" t="s">
        <v>765</v>
      </c>
      <c r="I263" s="2" t="s">
        <v>185</v>
      </c>
      <c r="J263" s="2" t="s">
        <v>270</v>
      </c>
      <c r="K263" s="2" t="s">
        <v>187</v>
      </c>
      <c r="L263" s="2" t="s">
        <v>2579</v>
      </c>
    </row>
    <row r="264" spans="1:12">
      <c r="A264" s="2" t="s">
        <v>779</v>
      </c>
      <c r="B264" s="2" t="s">
        <v>780</v>
      </c>
      <c r="C264" s="2" t="s">
        <v>3034</v>
      </c>
      <c r="D264" s="2" t="s">
        <v>776</v>
      </c>
      <c r="E264" s="2" t="s">
        <v>183</v>
      </c>
      <c r="F264" s="2">
        <v>1982</v>
      </c>
      <c r="G264" s="2" t="s">
        <v>184</v>
      </c>
      <c r="H264" s="2" t="s">
        <v>780</v>
      </c>
      <c r="I264" s="2" t="s">
        <v>185</v>
      </c>
      <c r="J264" s="2" t="s">
        <v>186</v>
      </c>
      <c r="K264" s="2" t="s">
        <v>187</v>
      </c>
      <c r="L264" s="2" t="s">
        <v>2572</v>
      </c>
    </row>
    <row r="265" spans="1:12">
      <c r="A265" s="2" t="s">
        <v>779</v>
      </c>
      <c r="B265" s="2" t="s">
        <v>780</v>
      </c>
      <c r="C265" s="2" t="s">
        <v>3035</v>
      </c>
      <c r="D265" s="2" t="s">
        <v>776</v>
      </c>
      <c r="E265" s="2" t="s">
        <v>223</v>
      </c>
      <c r="F265" s="2">
        <v>1984</v>
      </c>
      <c r="G265" s="2" t="s">
        <v>184</v>
      </c>
      <c r="H265" s="2" t="s">
        <v>3036</v>
      </c>
      <c r="I265" s="2" t="s">
        <v>225</v>
      </c>
      <c r="J265" s="2" t="s">
        <v>603</v>
      </c>
      <c r="K265" s="2" t="s">
        <v>187</v>
      </c>
      <c r="L265" s="2" t="s">
        <v>2758</v>
      </c>
    </row>
    <row r="266" spans="1:12">
      <c r="A266" s="2" t="s">
        <v>695</v>
      </c>
      <c r="B266" s="2" t="s">
        <v>224</v>
      </c>
      <c r="C266" s="2" t="s">
        <v>3037</v>
      </c>
      <c r="D266" s="2" t="s">
        <v>693</v>
      </c>
      <c r="E266" s="2" t="s">
        <v>223</v>
      </c>
      <c r="F266" s="2">
        <v>1998</v>
      </c>
      <c r="G266" s="2" t="s">
        <v>184</v>
      </c>
      <c r="H266" s="2" t="s">
        <v>695</v>
      </c>
      <c r="I266" s="2" t="s">
        <v>225</v>
      </c>
      <c r="J266" s="2" t="s">
        <v>270</v>
      </c>
      <c r="K266" s="2" t="s">
        <v>187</v>
      </c>
      <c r="L266" s="2" t="s">
        <v>2632</v>
      </c>
    </row>
    <row r="267" spans="1:12">
      <c r="A267" s="2" t="s">
        <v>695</v>
      </c>
      <c r="B267" s="2" t="s">
        <v>224</v>
      </c>
      <c r="C267" s="2" t="s">
        <v>3038</v>
      </c>
      <c r="D267" s="2" t="s">
        <v>693</v>
      </c>
      <c r="E267" s="2" t="s">
        <v>183</v>
      </c>
      <c r="F267" s="2">
        <v>2022</v>
      </c>
      <c r="G267" s="2" t="s">
        <v>184</v>
      </c>
      <c r="H267" s="2" t="s">
        <v>3039</v>
      </c>
      <c r="I267" s="2" t="s">
        <v>237</v>
      </c>
      <c r="K267" s="2" t="s">
        <v>188</v>
      </c>
    </row>
    <row r="268" spans="1:12">
      <c r="A268" s="2" t="s">
        <v>267</v>
      </c>
      <c r="B268" s="2" t="s">
        <v>268</v>
      </c>
      <c r="C268" s="2" t="s">
        <v>3040</v>
      </c>
      <c r="D268" s="2" t="s">
        <v>266</v>
      </c>
      <c r="E268" s="2" t="s">
        <v>183</v>
      </c>
      <c r="F268" s="2">
        <v>1974</v>
      </c>
      <c r="G268" s="2" t="s">
        <v>184</v>
      </c>
      <c r="H268" s="2" t="s">
        <v>268</v>
      </c>
      <c r="I268" s="2" t="s">
        <v>185</v>
      </c>
      <c r="J268" s="2" t="s">
        <v>270</v>
      </c>
      <c r="K268" s="2" t="s">
        <v>187</v>
      </c>
      <c r="L268" s="2" t="s">
        <v>2572</v>
      </c>
    </row>
    <row r="269" spans="1:12">
      <c r="A269" s="2" t="s">
        <v>785</v>
      </c>
      <c r="B269" s="2" t="s">
        <v>785</v>
      </c>
      <c r="C269" s="2" t="s">
        <v>3041</v>
      </c>
      <c r="D269" s="2" t="s">
        <v>783</v>
      </c>
      <c r="E269" s="2" t="s">
        <v>183</v>
      </c>
      <c r="F269" s="2">
        <v>1995</v>
      </c>
      <c r="G269" s="2" t="s">
        <v>184</v>
      </c>
      <c r="H269" s="2" t="s">
        <v>785</v>
      </c>
      <c r="I269" s="2" t="s">
        <v>185</v>
      </c>
      <c r="J269" s="2" t="s">
        <v>186</v>
      </c>
      <c r="K269" s="2" t="s">
        <v>187</v>
      </c>
      <c r="L269" s="2" t="s">
        <v>2572</v>
      </c>
    </row>
    <row r="270" spans="1:12">
      <c r="A270" s="2" t="s">
        <v>785</v>
      </c>
      <c r="B270" s="2" t="s">
        <v>785</v>
      </c>
      <c r="C270" s="2" t="s">
        <v>3042</v>
      </c>
      <c r="D270" s="2" t="s">
        <v>783</v>
      </c>
      <c r="E270" s="2" t="s">
        <v>223</v>
      </c>
      <c r="F270" s="2">
        <v>1996</v>
      </c>
      <c r="G270" s="2" t="s">
        <v>184</v>
      </c>
      <c r="H270" s="2" t="s">
        <v>3043</v>
      </c>
      <c r="I270" s="2" t="s">
        <v>225</v>
      </c>
      <c r="J270" s="2" t="s">
        <v>270</v>
      </c>
      <c r="K270" s="2" t="s">
        <v>187</v>
      </c>
      <c r="L270" s="2" t="s">
        <v>2758</v>
      </c>
    </row>
    <row r="271" spans="1:12">
      <c r="A271" s="2" t="s">
        <v>747</v>
      </c>
      <c r="B271" s="2" t="s">
        <v>748</v>
      </c>
      <c r="C271" s="2" t="s">
        <v>3044</v>
      </c>
      <c r="D271" s="2" t="s">
        <v>745</v>
      </c>
      <c r="E271" s="2" t="s">
        <v>183</v>
      </c>
      <c r="F271" s="2">
        <v>2011</v>
      </c>
      <c r="G271" s="2" t="s">
        <v>184</v>
      </c>
      <c r="H271" s="2" t="s">
        <v>3045</v>
      </c>
      <c r="I271" s="2" t="s">
        <v>291</v>
      </c>
      <c r="J271" s="2" t="s">
        <v>186</v>
      </c>
      <c r="K271" s="2" t="s">
        <v>187</v>
      </c>
      <c r="L271" s="2" t="s">
        <v>2998</v>
      </c>
    </row>
    <row r="272" spans="1:12">
      <c r="A272" s="2" t="s">
        <v>747</v>
      </c>
      <c r="B272" s="2" t="s">
        <v>748</v>
      </c>
      <c r="C272" s="2" t="s">
        <v>3046</v>
      </c>
      <c r="D272" s="2" t="s">
        <v>745</v>
      </c>
      <c r="E272" s="2" t="s">
        <v>183</v>
      </c>
      <c r="F272" s="2">
        <v>1990</v>
      </c>
      <c r="G272" s="2" t="s">
        <v>184</v>
      </c>
      <c r="H272" s="2" t="s">
        <v>747</v>
      </c>
      <c r="I272" s="2" t="s">
        <v>237</v>
      </c>
      <c r="J272" s="2" t="s">
        <v>186</v>
      </c>
      <c r="K272" s="2" t="s">
        <v>187</v>
      </c>
      <c r="L272" s="2" t="s">
        <v>2574</v>
      </c>
    </row>
    <row r="273" spans="1:12">
      <c r="A273" s="2" t="s">
        <v>747</v>
      </c>
      <c r="B273" s="2" t="s">
        <v>748</v>
      </c>
      <c r="C273" s="2" t="s">
        <v>3047</v>
      </c>
      <c r="D273" s="2" t="s">
        <v>745</v>
      </c>
      <c r="E273" s="2" t="s">
        <v>223</v>
      </c>
      <c r="F273" s="2">
        <v>1993</v>
      </c>
      <c r="G273" s="2" t="s">
        <v>184</v>
      </c>
      <c r="H273" s="2" t="s">
        <v>3048</v>
      </c>
      <c r="I273" s="2" t="s">
        <v>237</v>
      </c>
      <c r="J273" s="2" t="s">
        <v>186</v>
      </c>
      <c r="K273" s="2" t="s">
        <v>187</v>
      </c>
      <c r="L273" s="2" t="s">
        <v>2778</v>
      </c>
    </row>
    <row r="274" spans="1:12">
      <c r="A274" s="2" t="s">
        <v>747</v>
      </c>
      <c r="B274" s="2" t="s">
        <v>748</v>
      </c>
      <c r="C274" s="2" t="s">
        <v>3049</v>
      </c>
      <c r="D274" s="2" t="s">
        <v>745</v>
      </c>
      <c r="E274" s="2" t="s">
        <v>223</v>
      </c>
      <c r="F274" s="2">
        <v>1974</v>
      </c>
      <c r="G274" s="2" t="s">
        <v>184</v>
      </c>
      <c r="H274" s="2" t="s">
        <v>3050</v>
      </c>
      <c r="I274" s="2" t="s">
        <v>225</v>
      </c>
      <c r="J274" s="2" t="s">
        <v>270</v>
      </c>
      <c r="K274" s="2" t="s">
        <v>187</v>
      </c>
      <c r="L274" s="2" t="s">
        <v>2572</v>
      </c>
    </row>
    <row r="275" spans="1:12">
      <c r="A275" s="2" t="s">
        <v>747</v>
      </c>
      <c r="B275" s="2" t="s">
        <v>748</v>
      </c>
      <c r="C275" s="2" t="s">
        <v>3051</v>
      </c>
      <c r="D275" s="2" t="s">
        <v>745</v>
      </c>
      <c r="E275" s="2" t="s">
        <v>183</v>
      </c>
      <c r="F275" s="2">
        <v>2015</v>
      </c>
      <c r="G275" s="2" t="s">
        <v>184</v>
      </c>
      <c r="H275" s="2" t="s">
        <v>3052</v>
      </c>
      <c r="I275" s="2" t="s">
        <v>291</v>
      </c>
      <c r="J275" s="2" t="s">
        <v>186</v>
      </c>
      <c r="K275" s="2" t="s">
        <v>188</v>
      </c>
    </row>
    <row r="276" spans="1:12">
      <c r="A276" s="2" t="s">
        <v>1247</v>
      </c>
      <c r="B276" s="2" t="s">
        <v>1248</v>
      </c>
      <c r="C276" s="2" t="s">
        <v>3053</v>
      </c>
      <c r="D276" s="2" t="s">
        <v>1245</v>
      </c>
      <c r="E276" s="2" t="s">
        <v>183</v>
      </c>
      <c r="F276" s="2">
        <v>1972</v>
      </c>
      <c r="G276" s="2" t="s">
        <v>224</v>
      </c>
      <c r="H276" s="2" t="s">
        <v>1248</v>
      </c>
      <c r="I276" s="2" t="s">
        <v>185</v>
      </c>
      <c r="J276" s="2" t="s">
        <v>186</v>
      </c>
      <c r="K276" s="2" t="s">
        <v>187</v>
      </c>
      <c r="L276" s="2" t="s">
        <v>2598</v>
      </c>
    </row>
    <row r="277" spans="1:12">
      <c r="A277" s="2" t="s">
        <v>842</v>
      </c>
      <c r="B277" s="2" t="s">
        <v>843</v>
      </c>
      <c r="C277" s="2" t="s">
        <v>3054</v>
      </c>
      <c r="D277" s="2" t="s">
        <v>839</v>
      </c>
      <c r="E277" s="2" t="s">
        <v>183</v>
      </c>
      <c r="F277" s="2">
        <v>1966</v>
      </c>
      <c r="G277" s="2" t="s">
        <v>224</v>
      </c>
      <c r="H277" s="2" t="s">
        <v>843</v>
      </c>
      <c r="I277" s="2" t="s">
        <v>185</v>
      </c>
      <c r="J277" s="2" t="s">
        <v>186</v>
      </c>
      <c r="K277" s="2" t="s">
        <v>187</v>
      </c>
      <c r="L277" s="2" t="s">
        <v>2576</v>
      </c>
    </row>
    <row r="278" spans="1:12">
      <c r="A278" s="2" t="s">
        <v>842</v>
      </c>
      <c r="B278" s="2" t="s">
        <v>843</v>
      </c>
      <c r="C278" s="2" t="s">
        <v>3055</v>
      </c>
      <c r="D278" s="2" t="s">
        <v>839</v>
      </c>
      <c r="E278" s="2" t="s">
        <v>223</v>
      </c>
      <c r="F278" s="2">
        <v>1969</v>
      </c>
      <c r="G278" s="2" t="s">
        <v>224</v>
      </c>
      <c r="H278" s="2" t="s">
        <v>842</v>
      </c>
      <c r="I278" s="2" t="s">
        <v>225</v>
      </c>
      <c r="J278" s="2" t="s">
        <v>186</v>
      </c>
      <c r="K278" s="2" t="s">
        <v>187</v>
      </c>
      <c r="L278" s="2" t="s">
        <v>2572</v>
      </c>
    </row>
    <row r="279" spans="1:12">
      <c r="A279" s="2" t="s">
        <v>258</v>
      </c>
      <c r="B279" s="2" t="s">
        <v>259</v>
      </c>
      <c r="C279" s="2" t="s">
        <v>3056</v>
      </c>
      <c r="D279" s="2" t="s">
        <v>257</v>
      </c>
      <c r="E279" s="2" t="s">
        <v>183</v>
      </c>
      <c r="F279" s="2">
        <v>1974</v>
      </c>
      <c r="G279" s="2" t="s">
        <v>184</v>
      </c>
      <c r="H279" s="2" t="s">
        <v>259</v>
      </c>
      <c r="I279" s="2" t="s">
        <v>185</v>
      </c>
      <c r="J279" s="2" t="s">
        <v>270</v>
      </c>
      <c r="K279" s="2" t="s">
        <v>187</v>
      </c>
      <c r="L279" s="2" t="s">
        <v>2572</v>
      </c>
    </row>
    <row r="280" spans="1:12">
      <c r="A280" s="2" t="s">
        <v>876</v>
      </c>
      <c r="B280" s="2" t="s">
        <v>876</v>
      </c>
      <c r="C280" s="2" t="s">
        <v>3057</v>
      </c>
      <c r="D280" s="2" t="s">
        <v>873</v>
      </c>
      <c r="E280" s="2" t="s">
        <v>223</v>
      </c>
      <c r="F280" s="2">
        <v>1990</v>
      </c>
      <c r="G280" s="2" t="s">
        <v>224</v>
      </c>
      <c r="H280" s="2" t="s">
        <v>3058</v>
      </c>
      <c r="I280" s="2" t="s">
        <v>225</v>
      </c>
      <c r="J280" s="2" t="s">
        <v>226</v>
      </c>
      <c r="K280" s="2" t="s">
        <v>187</v>
      </c>
      <c r="L280" s="2" t="s">
        <v>2621</v>
      </c>
    </row>
    <row r="281" spans="1:12">
      <c r="A281" s="2" t="s">
        <v>876</v>
      </c>
      <c r="B281" s="2" t="s">
        <v>876</v>
      </c>
      <c r="C281" s="2" t="s">
        <v>3059</v>
      </c>
      <c r="D281" s="2" t="s">
        <v>873</v>
      </c>
      <c r="E281" s="2" t="s">
        <v>183</v>
      </c>
      <c r="F281" s="2">
        <v>1988</v>
      </c>
      <c r="G281" s="2" t="s">
        <v>224</v>
      </c>
      <c r="H281" s="2" t="s">
        <v>876</v>
      </c>
      <c r="I281" s="2" t="s">
        <v>185</v>
      </c>
      <c r="J281" s="2" t="s">
        <v>685</v>
      </c>
      <c r="K281" s="2" t="s">
        <v>187</v>
      </c>
      <c r="L281" s="2" t="s">
        <v>2579</v>
      </c>
    </row>
    <row r="282" spans="1:12">
      <c r="A282" s="2" t="s">
        <v>221</v>
      </c>
      <c r="B282" s="2" t="s">
        <v>222</v>
      </c>
      <c r="C282" s="2" t="s">
        <v>3060</v>
      </c>
      <c r="D282" s="2" t="s">
        <v>220</v>
      </c>
      <c r="E282" s="2" t="s">
        <v>183</v>
      </c>
      <c r="F282" s="2">
        <v>1960</v>
      </c>
      <c r="G282" s="2" t="s">
        <v>224</v>
      </c>
      <c r="H282" s="2" t="s">
        <v>222</v>
      </c>
      <c r="I282" s="2" t="s">
        <v>185</v>
      </c>
      <c r="J282" s="2" t="s">
        <v>226</v>
      </c>
      <c r="K282" s="2" t="s">
        <v>187</v>
      </c>
      <c r="L282" s="2" t="s">
        <v>2598</v>
      </c>
    </row>
    <row r="283" spans="1:12">
      <c r="A283" s="2" t="s">
        <v>947</v>
      </c>
      <c r="B283" s="2" t="s">
        <v>947</v>
      </c>
      <c r="C283" s="2" t="s">
        <v>3061</v>
      </c>
      <c r="D283" s="2" t="s">
        <v>945</v>
      </c>
      <c r="E283" s="2" t="s">
        <v>183</v>
      </c>
      <c r="F283" s="2">
        <v>1996</v>
      </c>
      <c r="G283" s="2" t="s">
        <v>184</v>
      </c>
      <c r="H283" s="2" t="s">
        <v>947</v>
      </c>
      <c r="I283" s="2" t="s">
        <v>185</v>
      </c>
      <c r="J283" s="2" t="s">
        <v>186</v>
      </c>
      <c r="K283" s="2" t="s">
        <v>187</v>
      </c>
      <c r="L283" s="2" t="s">
        <v>2598</v>
      </c>
    </row>
    <row r="284" spans="1:12">
      <c r="A284" s="2" t="s">
        <v>947</v>
      </c>
      <c r="B284" s="2" t="s">
        <v>947</v>
      </c>
      <c r="C284" s="2" t="s">
        <v>3062</v>
      </c>
      <c r="D284" s="2" t="s">
        <v>945</v>
      </c>
      <c r="E284" s="2" t="s">
        <v>183</v>
      </c>
      <c r="F284" s="2">
        <v>2021</v>
      </c>
      <c r="G284" s="2" t="s">
        <v>834</v>
      </c>
      <c r="H284" s="2" t="s">
        <v>3063</v>
      </c>
      <c r="I284" s="2" t="s">
        <v>237</v>
      </c>
      <c r="J284" s="2" t="s">
        <v>291</v>
      </c>
      <c r="K284" s="2" t="s">
        <v>188</v>
      </c>
    </row>
    <row r="285" spans="1:12">
      <c r="A285" s="2" t="s">
        <v>947</v>
      </c>
      <c r="B285" s="2" t="s">
        <v>947</v>
      </c>
      <c r="C285" s="2" t="s">
        <v>3064</v>
      </c>
      <c r="D285" s="2" t="s">
        <v>945</v>
      </c>
      <c r="E285" s="2" t="s">
        <v>223</v>
      </c>
      <c r="F285" s="2">
        <v>1997</v>
      </c>
      <c r="G285" s="2" t="s">
        <v>834</v>
      </c>
      <c r="H285" s="2" t="s">
        <v>3065</v>
      </c>
      <c r="I285" s="2" t="s">
        <v>225</v>
      </c>
      <c r="J285" s="2" t="s">
        <v>270</v>
      </c>
      <c r="K285" s="2" t="s">
        <v>187</v>
      </c>
      <c r="L285" s="2" t="s">
        <v>2758</v>
      </c>
    </row>
    <row r="286" spans="1:12">
      <c r="A286" s="2" t="s">
        <v>1332</v>
      </c>
      <c r="B286" s="2" t="s">
        <v>1333</v>
      </c>
      <c r="C286" s="2" t="s">
        <v>3066</v>
      </c>
      <c r="D286" s="2" t="s">
        <v>1331</v>
      </c>
      <c r="E286" s="2" t="s">
        <v>183</v>
      </c>
      <c r="F286" s="2">
        <v>1965</v>
      </c>
      <c r="G286" s="2" t="s">
        <v>224</v>
      </c>
      <c r="H286" s="2" t="s">
        <v>1333</v>
      </c>
      <c r="I286" s="2" t="s">
        <v>185</v>
      </c>
      <c r="J286" s="2" t="s">
        <v>186</v>
      </c>
      <c r="K286" s="2" t="s">
        <v>187</v>
      </c>
      <c r="L286" s="2" t="s">
        <v>2598</v>
      </c>
    </row>
    <row r="287" spans="1:12">
      <c r="A287" s="2" t="s">
        <v>894</v>
      </c>
      <c r="B287" s="2" t="s">
        <v>895</v>
      </c>
      <c r="C287" s="2" t="s">
        <v>3067</v>
      </c>
      <c r="D287" s="2" t="s">
        <v>892</v>
      </c>
      <c r="E287" s="2" t="s">
        <v>223</v>
      </c>
      <c r="F287" s="2">
        <v>1975</v>
      </c>
      <c r="G287" s="2" t="s">
        <v>184</v>
      </c>
      <c r="H287" s="2" t="s">
        <v>895</v>
      </c>
      <c r="I287" s="2" t="s">
        <v>185</v>
      </c>
      <c r="J287" s="2" t="s">
        <v>270</v>
      </c>
      <c r="K287" s="2" t="s">
        <v>187</v>
      </c>
      <c r="L287" s="2" t="s">
        <v>2621</v>
      </c>
    </row>
    <row r="288" spans="1:12">
      <c r="A288" s="2" t="s">
        <v>894</v>
      </c>
      <c r="B288" s="2" t="s">
        <v>895</v>
      </c>
      <c r="C288" s="2" t="s">
        <v>3068</v>
      </c>
      <c r="D288" s="2" t="s">
        <v>892</v>
      </c>
      <c r="E288" s="2" t="s">
        <v>223</v>
      </c>
      <c r="F288" s="2">
        <v>1972</v>
      </c>
      <c r="G288" s="2" t="s">
        <v>184</v>
      </c>
      <c r="H288" s="2" t="s">
        <v>894</v>
      </c>
      <c r="I288" s="2" t="s">
        <v>291</v>
      </c>
      <c r="J288" s="2" t="s">
        <v>270</v>
      </c>
      <c r="K288" s="2" t="s">
        <v>187</v>
      </c>
      <c r="L288" s="2" t="s">
        <v>3069</v>
      </c>
    </row>
    <row r="289" spans="1:12">
      <c r="A289" s="2" t="s">
        <v>245</v>
      </c>
      <c r="B289" s="2" t="s">
        <v>246</v>
      </c>
      <c r="C289" s="2" t="s">
        <v>3070</v>
      </c>
      <c r="D289" s="2" t="s">
        <v>244</v>
      </c>
      <c r="E289" s="2" t="s">
        <v>183</v>
      </c>
      <c r="F289" s="2">
        <v>1990</v>
      </c>
      <c r="G289" s="2" t="s">
        <v>184</v>
      </c>
      <c r="H289" s="2" t="s">
        <v>3071</v>
      </c>
      <c r="I289" s="2" t="s">
        <v>185</v>
      </c>
      <c r="J289" s="2" t="s">
        <v>226</v>
      </c>
      <c r="K289" s="2" t="s">
        <v>187</v>
      </c>
      <c r="L289" s="2" t="s">
        <v>2598</v>
      </c>
    </row>
    <row r="290" spans="1:12">
      <c r="A290" s="2" t="s">
        <v>1973</v>
      </c>
      <c r="B290" s="2" t="s">
        <v>1974</v>
      </c>
      <c r="C290" s="2" t="s">
        <v>3072</v>
      </c>
      <c r="D290" s="2" t="s">
        <v>1971</v>
      </c>
      <c r="E290" s="2" t="s">
        <v>183</v>
      </c>
      <c r="F290" s="2">
        <v>1968</v>
      </c>
      <c r="G290" s="2" t="s">
        <v>224</v>
      </c>
      <c r="H290" s="2" t="s">
        <v>3073</v>
      </c>
      <c r="I290" s="2" t="s">
        <v>185</v>
      </c>
      <c r="J290" s="2" t="s">
        <v>186</v>
      </c>
      <c r="K290" s="2" t="s">
        <v>187</v>
      </c>
      <c r="L290" s="2" t="s">
        <v>3074</v>
      </c>
    </row>
    <row r="291" spans="1:12">
      <c r="A291" s="2" t="s">
        <v>1973</v>
      </c>
      <c r="B291" s="2" t="s">
        <v>1974</v>
      </c>
      <c r="C291" s="2" t="s">
        <v>3075</v>
      </c>
      <c r="D291" s="2" t="s">
        <v>1971</v>
      </c>
      <c r="E291" s="2" t="s">
        <v>223</v>
      </c>
      <c r="F291" s="2">
        <v>1964</v>
      </c>
      <c r="G291" s="2" t="s">
        <v>224</v>
      </c>
      <c r="H291" s="2" t="s">
        <v>1973</v>
      </c>
      <c r="I291" s="2" t="s">
        <v>225</v>
      </c>
      <c r="K291" s="2" t="s">
        <v>187</v>
      </c>
      <c r="L291" s="2" t="s">
        <v>2621</v>
      </c>
    </row>
    <row r="292" spans="1:12">
      <c r="A292" s="2" t="s">
        <v>1967</v>
      </c>
      <c r="B292" s="2" t="s">
        <v>1967</v>
      </c>
      <c r="C292" s="2" t="s">
        <v>3076</v>
      </c>
      <c r="D292" s="2" t="s">
        <v>2042</v>
      </c>
      <c r="E292" s="2" t="s">
        <v>223</v>
      </c>
      <c r="F292" s="2">
        <v>1982</v>
      </c>
      <c r="G292" s="2" t="s">
        <v>224</v>
      </c>
      <c r="H292" s="2" t="s">
        <v>3077</v>
      </c>
      <c r="I292" s="2" t="s">
        <v>225</v>
      </c>
      <c r="J292" s="2" t="s">
        <v>186</v>
      </c>
      <c r="K292" s="2" t="s">
        <v>187</v>
      </c>
      <c r="L292" s="2" t="s">
        <v>2758</v>
      </c>
    </row>
    <row r="293" spans="1:12">
      <c r="A293" s="2" t="s">
        <v>1967</v>
      </c>
      <c r="B293" s="2" t="s">
        <v>1967</v>
      </c>
      <c r="C293" s="2" t="s">
        <v>3078</v>
      </c>
      <c r="D293" s="2" t="s">
        <v>2042</v>
      </c>
      <c r="E293" s="2" t="s">
        <v>183</v>
      </c>
      <c r="F293" s="2">
        <v>2003</v>
      </c>
      <c r="G293" s="2" t="s">
        <v>224</v>
      </c>
      <c r="H293" s="2" t="s">
        <v>2683</v>
      </c>
      <c r="I293" s="2" t="s">
        <v>237</v>
      </c>
      <c r="J293" s="2" t="s">
        <v>226</v>
      </c>
      <c r="K293" s="2" t="s">
        <v>188</v>
      </c>
    </row>
    <row r="294" spans="1:12">
      <c r="A294" s="2" t="s">
        <v>1967</v>
      </c>
      <c r="B294" s="2" t="s">
        <v>1967</v>
      </c>
      <c r="C294" s="2" t="s">
        <v>3079</v>
      </c>
      <c r="D294" s="2" t="s">
        <v>2042</v>
      </c>
      <c r="E294" s="2" t="s">
        <v>183</v>
      </c>
      <c r="F294" s="2">
        <v>2017</v>
      </c>
      <c r="G294" s="2" t="s">
        <v>224</v>
      </c>
      <c r="H294" s="2" t="s">
        <v>3080</v>
      </c>
      <c r="I294" s="2" t="s">
        <v>237</v>
      </c>
      <c r="J294" s="2" t="s">
        <v>186</v>
      </c>
      <c r="K294" s="2" t="s">
        <v>188</v>
      </c>
    </row>
    <row r="295" spans="1:12">
      <c r="A295" s="2" t="s">
        <v>1967</v>
      </c>
      <c r="B295" s="2" t="s">
        <v>1967</v>
      </c>
      <c r="C295" s="2" t="s">
        <v>3081</v>
      </c>
      <c r="D295" s="2" t="s">
        <v>2042</v>
      </c>
      <c r="E295" s="2" t="s">
        <v>183</v>
      </c>
      <c r="F295" s="2">
        <v>1965</v>
      </c>
      <c r="G295" s="2" t="s">
        <v>224</v>
      </c>
      <c r="H295" s="2" t="s">
        <v>1967</v>
      </c>
      <c r="I295" s="2" t="s">
        <v>185</v>
      </c>
      <c r="J295" s="2" t="s">
        <v>226</v>
      </c>
      <c r="K295" s="2" t="s">
        <v>187</v>
      </c>
      <c r="L295" s="2" t="s">
        <v>2572</v>
      </c>
    </row>
    <row r="296" spans="1:12">
      <c r="A296" s="2" t="s">
        <v>235</v>
      </c>
      <c r="B296" s="2" t="s">
        <v>236</v>
      </c>
      <c r="C296" s="2" t="s">
        <v>3082</v>
      </c>
      <c r="D296" s="2" t="s">
        <v>234</v>
      </c>
      <c r="E296" s="2" t="s">
        <v>223</v>
      </c>
      <c r="F296" s="2">
        <v>2001</v>
      </c>
      <c r="G296" s="2" t="s">
        <v>184</v>
      </c>
      <c r="H296" s="2" t="s">
        <v>235</v>
      </c>
      <c r="I296" s="2" t="s">
        <v>237</v>
      </c>
      <c r="J296" s="2" t="s">
        <v>226</v>
      </c>
      <c r="K296" s="2" t="s">
        <v>187</v>
      </c>
      <c r="L296" s="2" t="s">
        <v>2598</v>
      </c>
    </row>
    <row r="297" spans="1:12">
      <c r="A297" s="2" t="s">
        <v>235</v>
      </c>
      <c r="B297" s="2" t="s">
        <v>236</v>
      </c>
      <c r="C297" s="2" t="s">
        <v>3083</v>
      </c>
      <c r="D297" s="2" t="s">
        <v>234</v>
      </c>
      <c r="E297" s="2" t="s">
        <v>183</v>
      </c>
      <c r="F297" s="2">
        <v>1975</v>
      </c>
      <c r="G297" s="2" t="s">
        <v>184</v>
      </c>
      <c r="H297" s="2" t="s">
        <v>236</v>
      </c>
      <c r="I297" s="2" t="s">
        <v>185</v>
      </c>
      <c r="J297" s="2" t="s">
        <v>270</v>
      </c>
      <c r="K297" s="2" t="s">
        <v>187</v>
      </c>
      <c r="L297" s="2" t="s">
        <v>2598</v>
      </c>
    </row>
    <row r="298" spans="1:12">
      <c r="A298" s="2" t="s">
        <v>181</v>
      </c>
      <c r="B298" s="2" t="s">
        <v>181</v>
      </c>
      <c r="C298" s="2" t="s">
        <v>3084</v>
      </c>
      <c r="D298" s="2" t="s">
        <v>176</v>
      </c>
      <c r="E298" s="2" t="s">
        <v>183</v>
      </c>
      <c r="F298" s="2">
        <v>1997</v>
      </c>
      <c r="G298" s="2" t="s">
        <v>184</v>
      </c>
      <c r="H298" s="2" t="s">
        <v>181</v>
      </c>
      <c r="I298" s="2" t="s">
        <v>185</v>
      </c>
      <c r="J298" s="2" t="s">
        <v>186</v>
      </c>
      <c r="K298" s="2" t="s">
        <v>187</v>
      </c>
      <c r="L298" s="2" t="s">
        <v>2598</v>
      </c>
    </row>
    <row r="299" spans="1:12">
      <c r="A299" s="2" t="s">
        <v>1739</v>
      </c>
      <c r="B299" s="2" t="s">
        <v>2096</v>
      </c>
      <c r="C299" s="2" t="s">
        <v>3085</v>
      </c>
      <c r="D299" s="2" t="s">
        <v>2094</v>
      </c>
      <c r="E299" s="2" t="s">
        <v>183</v>
      </c>
      <c r="F299" s="2">
        <v>2007</v>
      </c>
      <c r="G299" s="2" t="s">
        <v>224</v>
      </c>
      <c r="H299" s="2" t="s">
        <v>3086</v>
      </c>
      <c r="I299" s="2" t="s">
        <v>237</v>
      </c>
      <c r="J299" s="2" t="s">
        <v>739</v>
      </c>
      <c r="K299" s="2" t="s">
        <v>188</v>
      </c>
    </row>
    <row r="300" spans="1:12">
      <c r="A300" s="2" t="s">
        <v>1739</v>
      </c>
      <c r="B300" s="2" t="s">
        <v>2096</v>
      </c>
      <c r="C300" s="2" t="s">
        <v>3087</v>
      </c>
      <c r="D300" s="2" t="s">
        <v>2094</v>
      </c>
      <c r="E300" s="2" t="s">
        <v>223</v>
      </c>
      <c r="F300" s="2">
        <v>1981</v>
      </c>
      <c r="G300" s="2" t="s">
        <v>224</v>
      </c>
      <c r="H300" s="2" t="s">
        <v>1739</v>
      </c>
      <c r="I300" s="2" t="s">
        <v>225</v>
      </c>
      <c r="J300" s="2" t="s">
        <v>186</v>
      </c>
      <c r="K300" s="2" t="s">
        <v>187</v>
      </c>
      <c r="L300" s="2" t="s">
        <v>2632</v>
      </c>
    </row>
    <row r="301" spans="1:12">
      <c r="A301" s="2" t="s">
        <v>1739</v>
      </c>
      <c r="B301" s="2" t="s">
        <v>2096</v>
      </c>
      <c r="C301" s="2" t="s">
        <v>3088</v>
      </c>
      <c r="D301" s="2" t="s">
        <v>2094</v>
      </c>
      <c r="E301" s="2" t="s">
        <v>183</v>
      </c>
      <c r="F301" s="2">
        <v>1975</v>
      </c>
      <c r="G301" s="2" t="s">
        <v>224</v>
      </c>
      <c r="H301" s="2" t="s">
        <v>3089</v>
      </c>
      <c r="I301" s="2" t="s">
        <v>185</v>
      </c>
      <c r="J301" s="2" t="s">
        <v>186</v>
      </c>
      <c r="K301" s="2" t="s">
        <v>187</v>
      </c>
      <c r="L301" s="2" t="s">
        <v>3074</v>
      </c>
    </row>
    <row r="302" spans="1:12">
      <c r="A302" s="2" t="s">
        <v>1739</v>
      </c>
      <c r="B302" s="2" t="s">
        <v>2096</v>
      </c>
      <c r="C302" s="2" t="s">
        <v>3090</v>
      </c>
      <c r="D302" s="2" t="s">
        <v>2094</v>
      </c>
      <c r="E302" s="2" t="s">
        <v>183</v>
      </c>
      <c r="F302" s="2">
        <v>2001</v>
      </c>
      <c r="G302" s="2" t="s">
        <v>224</v>
      </c>
      <c r="H302" s="2" t="s">
        <v>3091</v>
      </c>
      <c r="I302" s="2" t="s">
        <v>237</v>
      </c>
      <c r="J302" s="2" t="s">
        <v>226</v>
      </c>
      <c r="K302" s="2" t="s">
        <v>188</v>
      </c>
    </row>
    <row r="303" spans="1:12">
      <c r="A303" s="2" t="s">
        <v>2174</v>
      </c>
      <c r="B303" s="2" t="s">
        <v>2174</v>
      </c>
      <c r="C303" s="2" t="s">
        <v>3092</v>
      </c>
      <c r="D303" s="2" t="s">
        <v>2171</v>
      </c>
      <c r="E303" s="2" t="s">
        <v>183</v>
      </c>
      <c r="F303" s="2">
        <v>2008</v>
      </c>
      <c r="G303" s="2" t="s">
        <v>224</v>
      </c>
      <c r="H303" s="2" t="s">
        <v>3093</v>
      </c>
      <c r="I303" s="2" t="s">
        <v>237</v>
      </c>
      <c r="J303" s="2" t="s">
        <v>226</v>
      </c>
      <c r="K303" s="2" t="s">
        <v>187</v>
      </c>
      <c r="L303" s="2" t="s">
        <v>3094</v>
      </c>
    </row>
    <row r="304" spans="1:12">
      <c r="A304" s="2" t="s">
        <v>2174</v>
      </c>
      <c r="B304" s="2" t="s">
        <v>2174</v>
      </c>
      <c r="C304" s="2" t="s">
        <v>3095</v>
      </c>
      <c r="D304" s="2" t="s">
        <v>2171</v>
      </c>
      <c r="E304" s="2" t="s">
        <v>223</v>
      </c>
      <c r="F304" s="2">
        <v>2004</v>
      </c>
      <c r="G304" s="2" t="s">
        <v>224</v>
      </c>
      <c r="H304" s="2" t="s">
        <v>3096</v>
      </c>
      <c r="I304" s="2" t="s">
        <v>237</v>
      </c>
      <c r="J304" s="2" t="s">
        <v>685</v>
      </c>
      <c r="K304" s="2" t="s">
        <v>188</v>
      </c>
    </row>
    <row r="305" spans="1:12">
      <c r="A305" s="2" t="s">
        <v>2174</v>
      </c>
      <c r="B305" s="2" t="s">
        <v>2174</v>
      </c>
      <c r="C305" s="2" t="s">
        <v>3097</v>
      </c>
      <c r="D305" s="2" t="s">
        <v>2171</v>
      </c>
      <c r="E305" s="2" t="s">
        <v>223</v>
      </c>
      <c r="F305" s="2">
        <v>1979</v>
      </c>
      <c r="G305" s="2" t="s">
        <v>224</v>
      </c>
      <c r="H305" s="2" t="s">
        <v>1785</v>
      </c>
      <c r="I305" s="2" t="s">
        <v>225</v>
      </c>
      <c r="J305" s="2" t="s">
        <v>186</v>
      </c>
      <c r="K305" s="2" t="s">
        <v>187</v>
      </c>
      <c r="L305" s="2" t="s">
        <v>2621</v>
      </c>
    </row>
    <row r="306" spans="1:12">
      <c r="A306" s="2" t="s">
        <v>2174</v>
      </c>
      <c r="B306" s="2" t="s">
        <v>2174</v>
      </c>
      <c r="C306" s="2" t="s">
        <v>3098</v>
      </c>
      <c r="D306" s="2" t="s">
        <v>2171</v>
      </c>
      <c r="E306" s="2" t="s">
        <v>183</v>
      </c>
      <c r="F306" s="2">
        <v>1976</v>
      </c>
      <c r="G306" s="2" t="s">
        <v>224</v>
      </c>
      <c r="H306" s="2" t="s">
        <v>2174</v>
      </c>
      <c r="I306" s="2" t="s">
        <v>185</v>
      </c>
      <c r="J306" s="2" t="s">
        <v>186</v>
      </c>
      <c r="K306" s="2" t="s">
        <v>187</v>
      </c>
      <c r="L306" s="2" t="s">
        <v>2579</v>
      </c>
    </row>
    <row r="307" spans="1:12">
      <c r="A307" s="2" t="s">
        <v>2198</v>
      </c>
      <c r="B307" s="2" t="s">
        <v>2198</v>
      </c>
      <c r="C307" s="2" t="s">
        <v>3099</v>
      </c>
      <c r="D307" s="2" t="s">
        <v>2195</v>
      </c>
      <c r="E307" s="2" t="s">
        <v>183</v>
      </c>
      <c r="F307" s="2">
        <v>2003</v>
      </c>
      <c r="G307" s="2" t="s">
        <v>224</v>
      </c>
      <c r="H307" s="2" t="s">
        <v>3100</v>
      </c>
      <c r="I307" s="2" t="s">
        <v>237</v>
      </c>
      <c r="J307" s="2" t="s">
        <v>685</v>
      </c>
      <c r="K307" s="2" t="s">
        <v>188</v>
      </c>
    </row>
    <row r="308" spans="1:12">
      <c r="A308" s="2" t="s">
        <v>2198</v>
      </c>
      <c r="B308" s="2" t="s">
        <v>2198</v>
      </c>
      <c r="C308" s="2" t="s">
        <v>3101</v>
      </c>
      <c r="D308" s="2" t="s">
        <v>2195</v>
      </c>
      <c r="E308" s="2" t="s">
        <v>183</v>
      </c>
      <c r="F308" s="2">
        <v>1994</v>
      </c>
      <c r="G308" s="2" t="s">
        <v>224</v>
      </c>
      <c r="H308" s="2" t="s">
        <v>3102</v>
      </c>
      <c r="I308" s="2" t="s">
        <v>237</v>
      </c>
      <c r="J308" s="2" t="s">
        <v>186</v>
      </c>
      <c r="K308" s="2" t="s">
        <v>188</v>
      </c>
    </row>
    <row r="309" spans="1:12">
      <c r="A309" s="2" t="s">
        <v>2198</v>
      </c>
      <c r="B309" s="2" t="s">
        <v>2198</v>
      </c>
      <c r="C309" s="2" t="s">
        <v>3103</v>
      </c>
      <c r="D309" s="2" t="s">
        <v>2195</v>
      </c>
      <c r="E309" s="2" t="s">
        <v>223</v>
      </c>
      <c r="F309" s="2">
        <v>1973</v>
      </c>
      <c r="G309" s="2" t="s">
        <v>224</v>
      </c>
      <c r="H309" s="2" t="s">
        <v>3104</v>
      </c>
      <c r="I309" s="2" t="s">
        <v>225</v>
      </c>
      <c r="J309" s="2" t="s">
        <v>186</v>
      </c>
      <c r="K309" s="2" t="s">
        <v>187</v>
      </c>
      <c r="L309" s="2" t="s">
        <v>2632</v>
      </c>
    </row>
    <row r="310" spans="1:12">
      <c r="A310" s="2" t="s">
        <v>2198</v>
      </c>
      <c r="B310" s="2" t="s">
        <v>2198</v>
      </c>
      <c r="C310" s="2" t="s">
        <v>3105</v>
      </c>
      <c r="D310" s="2" t="s">
        <v>2195</v>
      </c>
      <c r="E310" s="2" t="s">
        <v>183</v>
      </c>
      <c r="F310" s="2">
        <v>1972</v>
      </c>
      <c r="G310" s="2" t="s">
        <v>224</v>
      </c>
      <c r="H310" s="2" t="s">
        <v>2198</v>
      </c>
      <c r="I310" s="2" t="s">
        <v>185</v>
      </c>
      <c r="J310" s="2" t="s">
        <v>186</v>
      </c>
      <c r="K310" s="2" t="s">
        <v>187</v>
      </c>
      <c r="L310" s="2" t="s">
        <v>2576</v>
      </c>
    </row>
    <row r="311" spans="1:12">
      <c r="A311" s="2" t="s">
        <v>2236</v>
      </c>
      <c r="B311" s="2" t="s">
        <v>2236</v>
      </c>
      <c r="C311" s="2" t="s">
        <v>3106</v>
      </c>
      <c r="D311" s="2" t="s">
        <v>2234</v>
      </c>
      <c r="E311" s="2" t="s">
        <v>223</v>
      </c>
      <c r="F311" s="2">
        <v>1976</v>
      </c>
      <c r="G311" s="2" t="s">
        <v>224</v>
      </c>
      <c r="H311" s="2" t="s">
        <v>3107</v>
      </c>
      <c r="I311" s="2" t="s">
        <v>225</v>
      </c>
      <c r="J311" s="2" t="s">
        <v>186</v>
      </c>
      <c r="K311" s="2" t="s">
        <v>187</v>
      </c>
      <c r="L311" s="2" t="s">
        <v>2621</v>
      </c>
    </row>
    <row r="312" spans="1:12">
      <c r="A312" s="2" t="s">
        <v>2236</v>
      </c>
      <c r="B312" s="2" t="s">
        <v>2236</v>
      </c>
      <c r="C312" s="2" t="s">
        <v>3108</v>
      </c>
      <c r="D312" s="2" t="s">
        <v>2234</v>
      </c>
      <c r="E312" s="2" t="s">
        <v>183</v>
      </c>
      <c r="F312" s="2">
        <v>1998</v>
      </c>
      <c r="G312" s="2" t="s">
        <v>224</v>
      </c>
      <c r="H312" s="2" t="s">
        <v>3109</v>
      </c>
      <c r="I312" s="2" t="s">
        <v>237</v>
      </c>
      <c r="J312" s="2" t="s">
        <v>226</v>
      </c>
      <c r="K312" s="2" t="s">
        <v>188</v>
      </c>
    </row>
    <row r="313" spans="1:12">
      <c r="A313" s="2" t="s">
        <v>2236</v>
      </c>
      <c r="B313" s="2" t="s">
        <v>2236</v>
      </c>
      <c r="C313" s="2" t="s">
        <v>3110</v>
      </c>
      <c r="D313" s="2" t="s">
        <v>2234</v>
      </c>
      <c r="E313" s="2" t="s">
        <v>223</v>
      </c>
      <c r="F313" s="2">
        <v>2006</v>
      </c>
      <c r="G313" s="2" t="s">
        <v>224</v>
      </c>
      <c r="H313" s="2" t="s">
        <v>3111</v>
      </c>
      <c r="I313" s="2" t="s">
        <v>237</v>
      </c>
      <c r="J313" s="2" t="s">
        <v>226</v>
      </c>
      <c r="K313" s="2" t="s">
        <v>188</v>
      </c>
    </row>
    <row r="314" spans="1:12">
      <c r="A314" s="2" t="s">
        <v>2236</v>
      </c>
      <c r="B314" s="2" t="s">
        <v>2236</v>
      </c>
      <c r="C314" s="2" t="s">
        <v>3112</v>
      </c>
      <c r="D314" s="2" t="s">
        <v>2234</v>
      </c>
      <c r="E314" s="2" t="s">
        <v>183</v>
      </c>
      <c r="F314" s="2">
        <v>2003</v>
      </c>
      <c r="G314" s="2" t="s">
        <v>224</v>
      </c>
      <c r="H314" s="2" t="s">
        <v>3113</v>
      </c>
      <c r="I314" s="2" t="s">
        <v>237</v>
      </c>
      <c r="J314" s="2" t="s">
        <v>226</v>
      </c>
      <c r="K314" s="2" t="s">
        <v>188</v>
      </c>
    </row>
    <row r="315" spans="1:12">
      <c r="A315" s="2" t="s">
        <v>2236</v>
      </c>
      <c r="B315" s="2" t="s">
        <v>2236</v>
      </c>
      <c r="C315" s="2" t="s">
        <v>3114</v>
      </c>
      <c r="D315" s="2" t="s">
        <v>2234</v>
      </c>
      <c r="E315" s="2" t="s">
        <v>183</v>
      </c>
      <c r="F315" s="2">
        <v>1971</v>
      </c>
      <c r="G315" s="2" t="s">
        <v>224</v>
      </c>
      <c r="H315" s="2" t="s">
        <v>2236</v>
      </c>
      <c r="I315" s="2" t="s">
        <v>185</v>
      </c>
      <c r="J315" s="2" t="s">
        <v>186</v>
      </c>
      <c r="K315" s="2" t="s">
        <v>187</v>
      </c>
      <c r="L315" s="2" t="s">
        <v>2579</v>
      </c>
    </row>
    <row r="316" spans="1:12">
      <c r="A316" s="2" t="s">
        <v>2210</v>
      </c>
      <c r="B316" s="2" t="s">
        <v>2210</v>
      </c>
      <c r="C316" s="2" t="s">
        <v>3115</v>
      </c>
      <c r="D316" s="2" t="s">
        <v>2209</v>
      </c>
      <c r="E316" s="2" t="s">
        <v>223</v>
      </c>
      <c r="F316" s="2">
        <v>1970</v>
      </c>
      <c r="G316" s="2" t="s">
        <v>224</v>
      </c>
      <c r="H316" s="2" t="s">
        <v>3116</v>
      </c>
      <c r="I316" s="2" t="s">
        <v>225</v>
      </c>
      <c r="J316" s="2" t="s">
        <v>186</v>
      </c>
      <c r="K316" s="2" t="s">
        <v>187</v>
      </c>
      <c r="L316" s="2" t="s">
        <v>2621</v>
      </c>
    </row>
    <row r="317" spans="1:12">
      <c r="A317" s="2" t="s">
        <v>2315</v>
      </c>
      <c r="B317" s="2" t="s">
        <v>2316</v>
      </c>
      <c r="C317" s="2" t="s">
        <v>3117</v>
      </c>
      <c r="D317" s="2" t="s">
        <v>2313</v>
      </c>
      <c r="E317" s="2" t="s">
        <v>183</v>
      </c>
      <c r="G317" s="2" t="s">
        <v>834</v>
      </c>
      <c r="H317" s="2" t="s">
        <v>3118</v>
      </c>
      <c r="I317" s="2" t="s">
        <v>185</v>
      </c>
      <c r="J317" s="2" t="s">
        <v>270</v>
      </c>
      <c r="K317" s="2" t="s">
        <v>187</v>
      </c>
      <c r="L317" s="2" t="s">
        <v>2598</v>
      </c>
    </row>
    <row r="318" spans="1:12">
      <c r="A318" s="2" t="s">
        <v>2265</v>
      </c>
      <c r="B318" s="2" t="s">
        <v>2266</v>
      </c>
      <c r="C318" s="2" t="s">
        <v>3119</v>
      </c>
      <c r="D318" s="2" t="s">
        <v>2263</v>
      </c>
      <c r="E318" s="2" t="s">
        <v>183</v>
      </c>
      <c r="F318" s="2">
        <v>1970</v>
      </c>
      <c r="G318" s="2" t="s">
        <v>224</v>
      </c>
      <c r="H318" s="2" t="s">
        <v>2266</v>
      </c>
      <c r="I318" s="2" t="s">
        <v>185</v>
      </c>
      <c r="J318" s="2" t="s">
        <v>186</v>
      </c>
      <c r="K318" s="2" t="s">
        <v>187</v>
      </c>
      <c r="L318" s="2" t="s">
        <v>2579</v>
      </c>
    </row>
    <row r="319" spans="1:12">
      <c r="A319" s="2" t="s">
        <v>2265</v>
      </c>
      <c r="B319" s="2" t="s">
        <v>2266</v>
      </c>
      <c r="C319" s="2" t="s">
        <v>3120</v>
      </c>
      <c r="D319" s="2" t="s">
        <v>2263</v>
      </c>
      <c r="E319" s="2" t="s">
        <v>183</v>
      </c>
      <c r="F319" s="2">
        <v>2003</v>
      </c>
      <c r="G319" s="2" t="s">
        <v>224</v>
      </c>
      <c r="H319" s="2" t="s">
        <v>2456</v>
      </c>
      <c r="I319" s="2" t="s">
        <v>237</v>
      </c>
      <c r="J319" s="2" t="s">
        <v>226</v>
      </c>
      <c r="K319" s="2" t="s">
        <v>188</v>
      </c>
    </row>
    <row r="320" spans="1:12">
      <c r="A320" s="2" t="s">
        <v>2265</v>
      </c>
      <c r="B320" s="2" t="s">
        <v>2266</v>
      </c>
      <c r="C320" s="2" t="s">
        <v>3121</v>
      </c>
      <c r="D320" s="2" t="s">
        <v>2263</v>
      </c>
      <c r="E320" s="2" t="s">
        <v>223</v>
      </c>
      <c r="F320" s="2">
        <v>1972</v>
      </c>
      <c r="G320" s="2" t="s">
        <v>224</v>
      </c>
      <c r="H320" s="2" t="s">
        <v>3122</v>
      </c>
      <c r="I320" s="2" t="s">
        <v>225</v>
      </c>
      <c r="J320" s="2" t="s">
        <v>226</v>
      </c>
      <c r="K320" s="2" t="s">
        <v>187</v>
      </c>
      <c r="L320" s="2" t="s">
        <v>2632</v>
      </c>
    </row>
    <row r="321" spans="1:12">
      <c r="A321" s="2" t="s">
        <v>2326</v>
      </c>
      <c r="B321" s="2" t="s">
        <v>2327</v>
      </c>
      <c r="C321" s="2" t="s">
        <v>3123</v>
      </c>
      <c r="D321" s="2" t="s">
        <v>2325</v>
      </c>
      <c r="E321" s="2" t="s">
        <v>183</v>
      </c>
      <c r="F321" s="2">
        <v>1984</v>
      </c>
      <c r="G321" s="2" t="s">
        <v>834</v>
      </c>
      <c r="H321" s="2" t="s">
        <v>2327</v>
      </c>
      <c r="I321" s="2" t="s">
        <v>185</v>
      </c>
      <c r="J321" s="2" t="s">
        <v>603</v>
      </c>
      <c r="K321" s="2" t="s">
        <v>187</v>
      </c>
      <c r="L321" s="2" t="s">
        <v>2598</v>
      </c>
    </row>
    <row r="322" spans="1:12">
      <c r="A322" s="2" t="s">
        <v>2288</v>
      </c>
      <c r="B322" s="2" t="s">
        <v>2289</v>
      </c>
      <c r="C322" s="2" t="s">
        <v>3124</v>
      </c>
      <c r="D322" s="2" t="s">
        <v>2285</v>
      </c>
      <c r="E322" s="2" t="s">
        <v>223</v>
      </c>
      <c r="F322" s="2">
        <v>2004</v>
      </c>
      <c r="G322" s="2" t="s">
        <v>834</v>
      </c>
      <c r="H322" s="2" t="s">
        <v>2289</v>
      </c>
      <c r="I322" s="2" t="s">
        <v>185</v>
      </c>
      <c r="J322" s="2" t="s">
        <v>186</v>
      </c>
      <c r="K322" s="2" t="s">
        <v>187</v>
      </c>
      <c r="L322" s="2" t="s">
        <v>2632</v>
      </c>
    </row>
    <row r="323" spans="1:12">
      <c r="A323" s="2" t="s">
        <v>2288</v>
      </c>
      <c r="B323" s="2" t="s">
        <v>2289</v>
      </c>
      <c r="C323" s="2" t="s">
        <v>3125</v>
      </c>
      <c r="D323" s="2" t="s">
        <v>2285</v>
      </c>
      <c r="E323" s="2" t="s">
        <v>183</v>
      </c>
      <c r="F323" s="2">
        <v>2001</v>
      </c>
      <c r="G323" s="2" t="s">
        <v>834</v>
      </c>
      <c r="H323" s="2" t="s">
        <v>3126</v>
      </c>
      <c r="I323" s="2" t="s">
        <v>225</v>
      </c>
      <c r="J323" s="2" t="s">
        <v>270</v>
      </c>
      <c r="K323" s="2" t="s">
        <v>187</v>
      </c>
      <c r="L323" s="2" t="s">
        <v>2572</v>
      </c>
    </row>
    <row r="324" spans="1:12">
      <c r="A324" s="2" t="s">
        <v>2288</v>
      </c>
      <c r="B324" s="2" t="s">
        <v>2289</v>
      </c>
      <c r="C324" s="2" t="s">
        <v>3127</v>
      </c>
      <c r="D324" s="2" t="s">
        <v>2285</v>
      </c>
      <c r="E324" s="2" t="s">
        <v>183</v>
      </c>
      <c r="F324" s="2">
        <v>2021</v>
      </c>
      <c r="G324" s="2" t="s">
        <v>834</v>
      </c>
      <c r="H324" s="2" t="s">
        <v>3128</v>
      </c>
      <c r="I324" s="2" t="s">
        <v>237</v>
      </c>
      <c r="J324" s="2" t="s">
        <v>291</v>
      </c>
      <c r="K324" s="2" t="s">
        <v>188</v>
      </c>
    </row>
    <row r="325" spans="1:12">
      <c r="A325" s="2" t="s">
        <v>2309</v>
      </c>
      <c r="B325" s="2" t="s">
        <v>2309</v>
      </c>
      <c r="C325" s="2" t="s">
        <v>3129</v>
      </c>
      <c r="D325" s="2" t="s">
        <v>2306</v>
      </c>
      <c r="E325" s="2" t="s">
        <v>223</v>
      </c>
      <c r="F325" s="2">
        <v>2012</v>
      </c>
      <c r="G325" s="2" t="s">
        <v>834</v>
      </c>
      <c r="H325" s="2" t="s">
        <v>3130</v>
      </c>
      <c r="I325" s="2" t="s">
        <v>237</v>
      </c>
      <c r="J325" s="2" t="s">
        <v>186</v>
      </c>
      <c r="K325" s="2" t="s">
        <v>187</v>
      </c>
      <c r="L325" s="2" t="s">
        <v>3131</v>
      </c>
    </row>
    <row r="326" spans="1:12">
      <c r="A326" s="2" t="s">
        <v>2309</v>
      </c>
      <c r="B326" s="2" t="s">
        <v>2309</v>
      </c>
      <c r="C326" s="2" t="s">
        <v>3132</v>
      </c>
      <c r="D326" s="2" t="s">
        <v>2306</v>
      </c>
      <c r="E326" s="2" t="s">
        <v>223</v>
      </c>
      <c r="F326" s="2">
        <v>1996</v>
      </c>
      <c r="G326" s="2" t="s">
        <v>834</v>
      </c>
      <c r="H326" s="2" t="s">
        <v>2309</v>
      </c>
      <c r="I326" s="2" t="s">
        <v>185</v>
      </c>
      <c r="J326" s="2" t="s">
        <v>270</v>
      </c>
      <c r="K326" s="2" t="s">
        <v>187</v>
      </c>
      <c r="L326" s="2" t="s">
        <v>2572</v>
      </c>
    </row>
    <row r="327" spans="1:12">
      <c r="A327" s="2" t="s">
        <v>2309</v>
      </c>
      <c r="B327" s="2" t="s">
        <v>2309</v>
      </c>
      <c r="C327" s="2" t="s">
        <v>3133</v>
      </c>
      <c r="D327" s="2" t="s">
        <v>2306</v>
      </c>
      <c r="E327" s="2" t="s">
        <v>223</v>
      </c>
      <c r="F327" s="2">
        <v>2019</v>
      </c>
      <c r="G327" s="2" t="s">
        <v>834</v>
      </c>
      <c r="H327" s="2" t="s">
        <v>3134</v>
      </c>
      <c r="I327" s="2" t="s">
        <v>237</v>
      </c>
      <c r="J327" s="2" t="s">
        <v>270</v>
      </c>
      <c r="K327" s="2" t="s">
        <v>188</v>
      </c>
    </row>
    <row r="328" spans="1:12">
      <c r="A328" s="2" t="s">
        <v>2309</v>
      </c>
      <c r="B328" s="2" t="s">
        <v>2309</v>
      </c>
      <c r="C328" s="2" t="s">
        <v>3135</v>
      </c>
      <c r="D328" s="2" t="s">
        <v>2306</v>
      </c>
      <c r="E328" s="2" t="s">
        <v>183</v>
      </c>
      <c r="F328" s="2">
        <v>1996</v>
      </c>
      <c r="G328" s="2" t="s">
        <v>834</v>
      </c>
      <c r="H328" s="2" t="s">
        <v>3136</v>
      </c>
      <c r="I328" s="2" t="s">
        <v>225</v>
      </c>
      <c r="J328" s="2" t="s">
        <v>270</v>
      </c>
      <c r="K328" s="2" t="s">
        <v>187</v>
      </c>
      <c r="L328" s="2" t="s">
        <v>2572</v>
      </c>
    </row>
    <row r="329" spans="1:12">
      <c r="A329" s="2" t="s">
        <v>2442</v>
      </c>
      <c r="B329" s="2" t="s">
        <v>2442</v>
      </c>
      <c r="C329" s="2" t="s">
        <v>3137</v>
      </c>
      <c r="D329" s="2" t="s">
        <v>2441</v>
      </c>
      <c r="E329" s="2" t="s">
        <v>223</v>
      </c>
      <c r="F329" s="2">
        <v>1968</v>
      </c>
      <c r="G329" s="2" t="s">
        <v>224</v>
      </c>
      <c r="H329" s="2" t="s">
        <v>3138</v>
      </c>
      <c r="I329" s="2" t="s">
        <v>2457</v>
      </c>
      <c r="J329" s="2" t="s">
        <v>270</v>
      </c>
      <c r="K329" s="2" t="s">
        <v>187</v>
      </c>
      <c r="L329" s="2" t="s">
        <v>3139</v>
      </c>
    </row>
    <row r="330" spans="1:12">
      <c r="A330" s="2" t="s">
        <v>2459</v>
      </c>
      <c r="B330" s="2" t="s">
        <v>2459</v>
      </c>
      <c r="C330" s="2" t="s">
        <v>3140</v>
      </c>
      <c r="D330" s="2" t="s">
        <v>2458</v>
      </c>
      <c r="E330" s="2" t="s">
        <v>223</v>
      </c>
      <c r="F330" s="2">
        <v>1977</v>
      </c>
      <c r="G330" s="2" t="s">
        <v>224</v>
      </c>
      <c r="H330" s="2" t="s">
        <v>3141</v>
      </c>
      <c r="I330" s="2" t="s">
        <v>225</v>
      </c>
      <c r="J330" s="2" t="s">
        <v>186</v>
      </c>
      <c r="K330" s="2" t="s">
        <v>187</v>
      </c>
      <c r="L330" s="2" t="s">
        <v>2632</v>
      </c>
    </row>
    <row r="331" spans="1:12">
      <c r="A331" s="2" t="s">
        <v>2337</v>
      </c>
      <c r="B331" s="2" t="s">
        <v>2337</v>
      </c>
      <c r="C331" s="2" t="s">
        <v>3142</v>
      </c>
      <c r="D331" s="2" t="s">
        <v>2334</v>
      </c>
      <c r="E331" s="2" t="s">
        <v>183</v>
      </c>
      <c r="F331" s="2">
        <v>2011</v>
      </c>
      <c r="G331" s="2" t="s">
        <v>834</v>
      </c>
      <c r="H331" s="2" t="s">
        <v>3143</v>
      </c>
      <c r="I331" s="2" t="s">
        <v>237</v>
      </c>
      <c r="J331" s="2" t="s">
        <v>270</v>
      </c>
      <c r="K331" s="2" t="s">
        <v>188</v>
      </c>
    </row>
    <row r="332" spans="1:12">
      <c r="A332" s="2" t="s">
        <v>2337</v>
      </c>
      <c r="B332" s="2" t="s">
        <v>2337</v>
      </c>
      <c r="C332" s="2" t="s">
        <v>3144</v>
      </c>
      <c r="D332" s="2" t="s">
        <v>2334</v>
      </c>
      <c r="E332" s="2" t="s">
        <v>183</v>
      </c>
      <c r="F332" s="2">
        <v>1988</v>
      </c>
      <c r="G332" s="2" t="s">
        <v>834</v>
      </c>
      <c r="H332" s="2" t="s">
        <v>2337</v>
      </c>
      <c r="I332" s="2" t="s">
        <v>185</v>
      </c>
      <c r="J332" s="2" t="s">
        <v>186</v>
      </c>
      <c r="K332" s="2" t="s">
        <v>187</v>
      </c>
      <c r="L332" s="2" t="s">
        <v>2572</v>
      </c>
    </row>
    <row r="333" spans="1:12">
      <c r="A333" s="2" t="s">
        <v>2337</v>
      </c>
      <c r="B333" s="2" t="s">
        <v>2337</v>
      </c>
      <c r="C333" s="2" t="s">
        <v>3145</v>
      </c>
      <c r="D333" s="2" t="s">
        <v>2334</v>
      </c>
      <c r="E333" s="2" t="s">
        <v>183</v>
      </c>
      <c r="F333" s="2">
        <v>1994</v>
      </c>
      <c r="G333" s="2" t="s">
        <v>834</v>
      </c>
      <c r="H333" s="2" t="s">
        <v>3146</v>
      </c>
      <c r="I333" s="2" t="s">
        <v>225</v>
      </c>
      <c r="J333" s="2" t="s">
        <v>186</v>
      </c>
      <c r="K333" s="2" t="s">
        <v>187</v>
      </c>
      <c r="L333" s="2" t="s">
        <v>2576</v>
      </c>
    </row>
    <row r="334" spans="1:12">
      <c r="A334" s="2" t="s">
        <v>2337</v>
      </c>
      <c r="B334" s="2" t="s">
        <v>2337</v>
      </c>
      <c r="C334" s="2" t="s">
        <v>3147</v>
      </c>
      <c r="D334" s="2" t="s">
        <v>2334</v>
      </c>
      <c r="E334" s="2" t="s">
        <v>223</v>
      </c>
      <c r="F334" s="2">
        <v>2017</v>
      </c>
      <c r="G334" s="2" t="s">
        <v>834</v>
      </c>
      <c r="H334" s="2" t="s">
        <v>3148</v>
      </c>
      <c r="I334" s="2" t="s">
        <v>237</v>
      </c>
      <c r="J334" s="2" t="s">
        <v>270</v>
      </c>
      <c r="K334" s="2" t="s">
        <v>188</v>
      </c>
    </row>
    <row r="335" spans="1:12">
      <c r="A335" s="2" t="s">
        <v>2337</v>
      </c>
      <c r="B335" s="2" t="s">
        <v>2337</v>
      </c>
      <c r="C335" s="2" t="s">
        <v>3149</v>
      </c>
      <c r="D335" s="2" t="s">
        <v>2334</v>
      </c>
      <c r="E335" s="2" t="s">
        <v>223</v>
      </c>
      <c r="F335" s="2">
        <v>2024</v>
      </c>
      <c r="G335" s="2" t="s">
        <v>834</v>
      </c>
      <c r="H335" s="2" t="s">
        <v>3150</v>
      </c>
      <c r="I335" s="2" t="s">
        <v>237</v>
      </c>
      <c r="J335" s="2" t="s">
        <v>291</v>
      </c>
      <c r="K335" s="2" t="s">
        <v>188</v>
      </c>
    </row>
    <row r="336" spans="1:12">
      <c r="A336" s="2" t="s">
        <v>1785</v>
      </c>
      <c r="B336" s="2" t="s">
        <v>2476</v>
      </c>
      <c r="C336" s="2" t="s">
        <v>3151</v>
      </c>
      <c r="D336" s="2" t="s">
        <v>2475</v>
      </c>
      <c r="E336" s="2" t="s">
        <v>183</v>
      </c>
      <c r="F336" s="2">
        <v>1967</v>
      </c>
      <c r="G336" s="2" t="s">
        <v>224</v>
      </c>
      <c r="H336" s="2" t="s">
        <v>2476</v>
      </c>
      <c r="I336" s="2" t="s">
        <v>185</v>
      </c>
      <c r="J336" s="2" t="s">
        <v>186</v>
      </c>
      <c r="K336" s="2" t="s">
        <v>187</v>
      </c>
      <c r="L336" s="2" t="s">
        <v>2579</v>
      </c>
    </row>
    <row r="337" spans="1:12">
      <c r="A337" s="2" t="s">
        <v>2502</v>
      </c>
      <c r="B337" s="2" t="s">
        <v>2502</v>
      </c>
      <c r="C337" s="2" t="s">
        <v>3152</v>
      </c>
      <c r="D337" s="2" t="s">
        <v>2501</v>
      </c>
      <c r="E337" s="2" t="s">
        <v>223</v>
      </c>
      <c r="F337" s="2">
        <v>1975</v>
      </c>
      <c r="G337" s="2" t="s">
        <v>224</v>
      </c>
      <c r="H337" s="2" t="s">
        <v>3153</v>
      </c>
      <c r="I337" s="2" t="s">
        <v>225</v>
      </c>
      <c r="J337" s="2" t="s">
        <v>186</v>
      </c>
      <c r="K337" s="2" t="s">
        <v>187</v>
      </c>
      <c r="L337" s="2" t="s">
        <v>2621</v>
      </c>
    </row>
    <row r="338" spans="1:12">
      <c r="A338" s="2" t="s">
        <v>2502</v>
      </c>
      <c r="B338" s="2" t="s">
        <v>2502</v>
      </c>
      <c r="C338" s="2" t="s">
        <v>3154</v>
      </c>
      <c r="D338" s="2" t="s">
        <v>2501</v>
      </c>
      <c r="E338" s="2" t="s">
        <v>183</v>
      </c>
      <c r="F338" s="2">
        <v>2000</v>
      </c>
      <c r="G338" s="2" t="s">
        <v>224</v>
      </c>
      <c r="H338" s="2" t="s">
        <v>3155</v>
      </c>
      <c r="I338" s="2" t="s">
        <v>237</v>
      </c>
      <c r="J338" s="2" t="s">
        <v>186</v>
      </c>
      <c r="K338" s="2" t="s">
        <v>187</v>
      </c>
      <c r="L338" s="2" t="s">
        <v>2579</v>
      </c>
    </row>
    <row r="339" spans="1:12">
      <c r="A339" s="2" t="s">
        <v>2506</v>
      </c>
      <c r="B339" s="2" t="s">
        <v>2506</v>
      </c>
      <c r="C339" s="2" t="s">
        <v>3156</v>
      </c>
      <c r="D339" s="2" t="s">
        <v>2504</v>
      </c>
      <c r="E339" s="2" t="s">
        <v>223</v>
      </c>
      <c r="F339" s="2">
        <v>1988</v>
      </c>
      <c r="G339" s="2" t="s">
        <v>224</v>
      </c>
      <c r="H339" s="2" t="s">
        <v>3157</v>
      </c>
      <c r="I339" s="2" t="s">
        <v>225</v>
      </c>
      <c r="J339" s="2" t="s">
        <v>226</v>
      </c>
      <c r="K339" s="2" t="s">
        <v>187</v>
      </c>
      <c r="L339" s="2" t="s">
        <v>2632</v>
      </c>
    </row>
    <row r="340" spans="1:12">
      <c r="A340" s="2" t="s">
        <v>2510</v>
      </c>
      <c r="B340" s="2" t="s">
        <v>2510</v>
      </c>
      <c r="C340" s="2" t="s">
        <v>3158</v>
      </c>
      <c r="D340" s="2" t="s">
        <v>2509</v>
      </c>
      <c r="E340" s="2" t="s">
        <v>223</v>
      </c>
      <c r="G340" s="2" t="s">
        <v>224</v>
      </c>
      <c r="H340" s="2" t="s">
        <v>3159</v>
      </c>
      <c r="I340" s="2" t="s">
        <v>225</v>
      </c>
      <c r="J340" s="2" t="s">
        <v>226</v>
      </c>
      <c r="K340" s="2" t="s">
        <v>187</v>
      </c>
      <c r="L340" s="2" t="s">
        <v>2632</v>
      </c>
    </row>
    <row r="341" spans="1:12">
      <c r="A341" s="2" t="s">
        <v>2366</v>
      </c>
      <c r="B341" s="2" t="s">
        <v>2366</v>
      </c>
      <c r="C341" s="2" t="s">
        <v>3160</v>
      </c>
      <c r="D341" s="2" t="s">
        <v>2364</v>
      </c>
      <c r="E341" s="2" t="s">
        <v>183</v>
      </c>
      <c r="F341" s="2">
        <v>2008</v>
      </c>
      <c r="G341" s="2" t="s">
        <v>834</v>
      </c>
      <c r="H341" s="2" t="s">
        <v>3161</v>
      </c>
      <c r="I341" s="2" t="s">
        <v>237</v>
      </c>
      <c r="J341" s="2" t="s">
        <v>270</v>
      </c>
      <c r="K341" s="2" t="s">
        <v>187</v>
      </c>
      <c r="L341" s="2" t="s">
        <v>2778</v>
      </c>
    </row>
    <row r="342" spans="1:12">
      <c r="A342" s="2" t="s">
        <v>2366</v>
      </c>
      <c r="B342" s="2" t="s">
        <v>2366</v>
      </c>
      <c r="C342" s="2" t="s">
        <v>3162</v>
      </c>
      <c r="D342" s="2" t="s">
        <v>2364</v>
      </c>
      <c r="E342" s="2" t="s">
        <v>223</v>
      </c>
      <c r="F342" s="2">
        <v>1979</v>
      </c>
      <c r="G342" s="2" t="s">
        <v>834</v>
      </c>
      <c r="H342" s="2" t="s">
        <v>3163</v>
      </c>
      <c r="I342" s="2" t="s">
        <v>185</v>
      </c>
      <c r="J342" s="2" t="s">
        <v>603</v>
      </c>
      <c r="K342" s="2" t="s">
        <v>187</v>
      </c>
      <c r="L342" s="2" t="s">
        <v>2632</v>
      </c>
    </row>
    <row r="343" spans="1:12">
      <c r="A343" s="2" t="s">
        <v>2366</v>
      </c>
      <c r="B343" s="2" t="s">
        <v>2366</v>
      </c>
      <c r="C343" s="2" t="s">
        <v>3164</v>
      </c>
      <c r="D343" s="2" t="s">
        <v>2364</v>
      </c>
      <c r="E343" s="2" t="s">
        <v>223</v>
      </c>
      <c r="F343" s="2">
        <v>2017</v>
      </c>
      <c r="G343" s="2" t="s">
        <v>834</v>
      </c>
      <c r="H343" s="2" t="s">
        <v>3165</v>
      </c>
      <c r="I343" s="2" t="s">
        <v>237</v>
      </c>
      <c r="J343" s="2" t="s">
        <v>291</v>
      </c>
      <c r="K343" s="2" t="s">
        <v>188</v>
      </c>
    </row>
    <row r="344" spans="1:12">
      <c r="A344" s="2" t="s">
        <v>2366</v>
      </c>
      <c r="B344" s="2" t="s">
        <v>2366</v>
      </c>
      <c r="C344" s="2" t="s">
        <v>3166</v>
      </c>
      <c r="D344" s="2" t="s">
        <v>2364</v>
      </c>
      <c r="E344" s="2" t="s">
        <v>223</v>
      </c>
      <c r="F344" s="2">
        <v>2005</v>
      </c>
      <c r="G344" s="2" t="s">
        <v>834</v>
      </c>
      <c r="H344" s="2" t="s">
        <v>3167</v>
      </c>
      <c r="I344" s="2" t="s">
        <v>237</v>
      </c>
      <c r="J344" s="2" t="s">
        <v>270</v>
      </c>
      <c r="K344" s="2" t="s">
        <v>187</v>
      </c>
      <c r="L344" s="2" t="s">
        <v>2716</v>
      </c>
    </row>
    <row r="345" spans="1:12">
      <c r="A345" s="2" t="s">
        <v>2366</v>
      </c>
      <c r="B345" s="2" t="s">
        <v>2366</v>
      </c>
      <c r="C345" s="2" t="s">
        <v>3168</v>
      </c>
      <c r="D345" s="2" t="s">
        <v>2364</v>
      </c>
      <c r="E345" s="2" t="s">
        <v>183</v>
      </c>
      <c r="F345" s="2">
        <v>1979</v>
      </c>
      <c r="G345" s="2" t="s">
        <v>834</v>
      </c>
      <c r="H345" s="2" t="s">
        <v>3169</v>
      </c>
      <c r="I345" s="2" t="s">
        <v>225</v>
      </c>
      <c r="J345" s="2" t="s">
        <v>270</v>
      </c>
      <c r="K345" s="2" t="s">
        <v>187</v>
      </c>
      <c r="L345" s="2" t="s">
        <v>2572</v>
      </c>
    </row>
    <row r="346" spans="1:12">
      <c r="A346" s="2" t="s">
        <v>2401</v>
      </c>
      <c r="B346" s="2" t="s">
        <v>2401</v>
      </c>
      <c r="C346" s="2" t="s">
        <v>3170</v>
      </c>
      <c r="D346" s="2" t="s">
        <v>2399</v>
      </c>
      <c r="E346" s="2" t="s">
        <v>183</v>
      </c>
      <c r="F346" s="2">
        <v>2007</v>
      </c>
      <c r="G346" s="2" t="s">
        <v>834</v>
      </c>
      <c r="H346" s="2" t="s">
        <v>3171</v>
      </c>
      <c r="I346" s="2" t="s">
        <v>237</v>
      </c>
      <c r="J346" s="2" t="s">
        <v>186</v>
      </c>
      <c r="K346" s="2" t="s">
        <v>187</v>
      </c>
      <c r="L346" s="2" t="s">
        <v>2927</v>
      </c>
    </row>
    <row r="347" spans="1:12">
      <c r="A347" s="2" t="s">
        <v>2401</v>
      </c>
      <c r="B347" s="2" t="s">
        <v>2401</v>
      </c>
      <c r="C347" s="2" t="s">
        <v>3172</v>
      </c>
      <c r="D347" s="2" t="s">
        <v>2399</v>
      </c>
      <c r="E347" s="2" t="s">
        <v>183</v>
      </c>
      <c r="F347" s="2">
        <v>2015</v>
      </c>
      <c r="G347" s="2" t="s">
        <v>834</v>
      </c>
      <c r="H347" s="2" t="s">
        <v>3173</v>
      </c>
      <c r="I347" s="2" t="s">
        <v>237</v>
      </c>
      <c r="J347" s="2" t="s">
        <v>270</v>
      </c>
      <c r="K347" s="2" t="s">
        <v>188</v>
      </c>
    </row>
    <row r="348" spans="1:12">
      <c r="A348" s="2" t="s">
        <v>2401</v>
      </c>
      <c r="B348" s="2" t="s">
        <v>2401</v>
      </c>
      <c r="C348" s="2" t="s">
        <v>3174</v>
      </c>
      <c r="D348" s="2" t="s">
        <v>2399</v>
      </c>
      <c r="E348" s="2" t="s">
        <v>183</v>
      </c>
      <c r="F348" s="2">
        <v>1987</v>
      </c>
      <c r="G348" s="2" t="s">
        <v>834</v>
      </c>
      <c r="H348" s="2" t="s">
        <v>3175</v>
      </c>
      <c r="I348" s="2" t="s">
        <v>225</v>
      </c>
      <c r="J348" s="2" t="s">
        <v>270</v>
      </c>
      <c r="K348" s="2" t="s">
        <v>187</v>
      </c>
      <c r="L348" s="2" t="s">
        <v>2572</v>
      </c>
    </row>
    <row r="349" spans="1:12">
      <c r="A349" s="2" t="s">
        <v>2401</v>
      </c>
      <c r="B349" s="2" t="s">
        <v>2401</v>
      </c>
      <c r="C349" s="2" t="s">
        <v>3176</v>
      </c>
      <c r="D349" s="2" t="s">
        <v>2399</v>
      </c>
      <c r="E349" s="2" t="s">
        <v>223</v>
      </c>
      <c r="F349" s="2">
        <v>2023</v>
      </c>
      <c r="G349" s="2" t="s">
        <v>834</v>
      </c>
      <c r="H349" s="2" t="s">
        <v>3177</v>
      </c>
      <c r="I349" s="2" t="s">
        <v>237</v>
      </c>
      <c r="J349" s="2" t="s">
        <v>291</v>
      </c>
      <c r="K349" s="2" t="s">
        <v>188</v>
      </c>
    </row>
    <row r="350" spans="1:12">
      <c r="A350" s="2" t="s">
        <v>2401</v>
      </c>
      <c r="B350" s="2" t="s">
        <v>2401</v>
      </c>
      <c r="C350" s="2" t="s">
        <v>3178</v>
      </c>
      <c r="D350" s="2" t="s">
        <v>2399</v>
      </c>
      <c r="E350" s="2" t="s">
        <v>223</v>
      </c>
      <c r="F350" s="2">
        <v>1990</v>
      </c>
      <c r="G350" s="2" t="s">
        <v>834</v>
      </c>
      <c r="H350" s="2" t="s">
        <v>3179</v>
      </c>
      <c r="I350" s="2" t="s">
        <v>185</v>
      </c>
      <c r="J350" s="2" t="s">
        <v>603</v>
      </c>
      <c r="K350" s="2" t="s">
        <v>187</v>
      </c>
      <c r="L350" s="2" t="s">
        <v>2632</v>
      </c>
    </row>
    <row r="351" spans="1:12">
      <c r="A351" s="2" t="s">
        <v>2447</v>
      </c>
      <c r="B351" s="2" t="s">
        <v>2448</v>
      </c>
      <c r="C351" s="2" t="s">
        <v>3180</v>
      </c>
      <c r="D351" s="2" t="s">
        <v>2444</v>
      </c>
      <c r="E351" s="2" t="s">
        <v>223</v>
      </c>
      <c r="F351" s="2">
        <v>1974</v>
      </c>
      <c r="G351" s="2" t="s">
        <v>224</v>
      </c>
      <c r="H351" s="2" t="s">
        <v>3181</v>
      </c>
      <c r="I351" s="2" t="s">
        <v>225</v>
      </c>
      <c r="J351" s="2" t="s">
        <v>186</v>
      </c>
      <c r="K351" s="2" t="s">
        <v>187</v>
      </c>
      <c r="L351" s="2" t="s">
        <v>2632</v>
      </c>
    </row>
    <row r="352" spans="1:12">
      <c r="A352" s="2" t="s">
        <v>2447</v>
      </c>
      <c r="B352" s="2" t="s">
        <v>2448</v>
      </c>
      <c r="C352" s="2" t="s">
        <v>3182</v>
      </c>
      <c r="D352" s="2" t="s">
        <v>2444</v>
      </c>
      <c r="E352" s="2" t="s">
        <v>183</v>
      </c>
      <c r="F352" s="2">
        <v>2013</v>
      </c>
      <c r="G352" s="2" t="s">
        <v>224</v>
      </c>
      <c r="H352" s="2" t="s">
        <v>3183</v>
      </c>
      <c r="I352" s="2" t="s">
        <v>237</v>
      </c>
      <c r="J352" s="2" t="s">
        <v>186</v>
      </c>
      <c r="K352" s="2" t="s">
        <v>188</v>
      </c>
    </row>
    <row r="353" spans="1:12">
      <c r="A353" s="2" t="s">
        <v>2447</v>
      </c>
      <c r="B353" s="2" t="s">
        <v>2448</v>
      </c>
      <c r="C353" s="2" t="s">
        <v>3184</v>
      </c>
      <c r="D353" s="2" t="s">
        <v>2444</v>
      </c>
      <c r="E353" s="2" t="s">
        <v>183</v>
      </c>
      <c r="F353" s="2">
        <v>1968</v>
      </c>
      <c r="G353" s="2" t="s">
        <v>224</v>
      </c>
      <c r="H353" s="2" t="s">
        <v>3185</v>
      </c>
      <c r="I353" s="2" t="s">
        <v>185</v>
      </c>
      <c r="J353" s="2" t="s">
        <v>186</v>
      </c>
      <c r="K353" s="2" t="s">
        <v>187</v>
      </c>
      <c r="L353" s="2" t="s">
        <v>2579</v>
      </c>
    </row>
    <row r="354" spans="1:12">
      <c r="A354" s="2" t="s">
        <v>2447</v>
      </c>
      <c r="B354" s="2" t="s">
        <v>2448</v>
      </c>
      <c r="C354" s="2" t="s">
        <v>3186</v>
      </c>
      <c r="D354" s="2" t="s">
        <v>2444</v>
      </c>
      <c r="E354" s="2" t="s">
        <v>223</v>
      </c>
      <c r="F354" s="2">
        <v>2003</v>
      </c>
      <c r="G354" s="2" t="s">
        <v>224</v>
      </c>
      <c r="H354" s="2" t="s">
        <v>3187</v>
      </c>
      <c r="I354" s="2" t="s">
        <v>237</v>
      </c>
      <c r="J354" s="2" t="s">
        <v>226</v>
      </c>
      <c r="K354" s="2" t="s">
        <v>188</v>
      </c>
    </row>
    <row r="355" spans="1:12">
      <c r="A355" s="2" t="s">
        <v>2447</v>
      </c>
      <c r="B355" s="2" t="s">
        <v>2448</v>
      </c>
      <c r="C355" s="2" t="s">
        <v>3188</v>
      </c>
      <c r="D355" s="2" t="s">
        <v>2444</v>
      </c>
      <c r="E355" s="2" t="s">
        <v>183</v>
      </c>
      <c r="F355" s="2">
        <v>2001</v>
      </c>
      <c r="G355" s="2" t="s">
        <v>224</v>
      </c>
      <c r="H355" s="2" t="s">
        <v>3189</v>
      </c>
      <c r="I355" s="2" t="s">
        <v>237</v>
      </c>
      <c r="J355" s="2" t="s">
        <v>685</v>
      </c>
      <c r="K355" s="2" t="s">
        <v>188</v>
      </c>
    </row>
    <row r="356" spans="1:12">
      <c r="A356" s="2" t="s">
        <v>2481</v>
      </c>
      <c r="B356" s="2" t="s">
        <v>2481</v>
      </c>
      <c r="C356" s="2" t="s">
        <v>3190</v>
      </c>
      <c r="D356" s="2" t="s">
        <v>2479</v>
      </c>
      <c r="E356" s="2" t="s">
        <v>183</v>
      </c>
      <c r="F356" s="2">
        <v>1997</v>
      </c>
      <c r="G356" s="2" t="s">
        <v>224</v>
      </c>
      <c r="H356" s="2" t="s">
        <v>3191</v>
      </c>
      <c r="I356" s="2" t="s">
        <v>237</v>
      </c>
      <c r="J356" s="2" t="s">
        <v>226</v>
      </c>
      <c r="K356" s="2" t="s">
        <v>187</v>
      </c>
      <c r="L356" s="2" t="s">
        <v>2574</v>
      </c>
    </row>
    <row r="357" spans="1:12">
      <c r="A357" s="2" t="s">
        <v>2481</v>
      </c>
      <c r="B357" s="2" t="s">
        <v>2481</v>
      </c>
      <c r="C357" s="2" t="s">
        <v>3192</v>
      </c>
      <c r="D357" s="2" t="s">
        <v>2479</v>
      </c>
      <c r="E357" s="2" t="s">
        <v>223</v>
      </c>
      <c r="F357" s="2">
        <v>2001</v>
      </c>
      <c r="G357" s="2" t="s">
        <v>224</v>
      </c>
      <c r="H357" s="2" t="s">
        <v>3193</v>
      </c>
      <c r="I357" s="2" t="s">
        <v>237</v>
      </c>
      <c r="J357" s="2" t="s">
        <v>226</v>
      </c>
      <c r="K357" s="2" t="s">
        <v>188</v>
      </c>
    </row>
    <row r="358" spans="1:12">
      <c r="A358" s="2" t="s">
        <v>2481</v>
      </c>
      <c r="B358" s="2" t="s">
        <v>2481</v>
      </c>
      <c r="C358" s="2" t="s">
        <v>3194</v>
      </c>
      <c r="D358" s="2" t="s">
        <v>2479</v>
      </c>
      <c r="E358" s="2" t="s">
        <v>183</v>
      </c>
      <c r="F358" s="2">
        <v>1995</v>
      </c>
      <c r="G358" s="2" t="s">
        <v>224</v>
      </c>
      <c r="H358" s="2" t="s">
        <v>3195</v>
      </c>
      <c r="I358" s="2" t="s">
        <v>237</v>
      </c>
      <c r="J358" s="2" t="s">
        <v>226</v>
      </c>
      <c r="K358" s="2" t="s">
        <v>187</v>
      </c>
      <c r="L358" s="2" t="s">
        <v>2574</v>
      </c>
    </row>
    <row r="359" spans="1:12">
      <c r="A359" s="2" t="s">
        <v>2481</v>
      </c>
      <c r="B359" s="2" t="s">
        <v>2481</v>
      </c>
      <c r="C359" s="2" t="s">
        <v>3196</v>
      </c>
      <c r="D359" s="2" t="s">
        <v>2479</v>
      </c>
      <c r="E359" s="2" t="s">
        <v>223</v>
      </c>
      <c r="F359" s="2">
        <v>1969</v>
      </c>
      <c r="G359" s="2" t="s">
        <v>224</v>
      </c>
      <c r="H359" s="2" t="s">
        <v>3197</v>
      </c>
      <c r="I359" s="2" t="s">
        <v>225</v>
      </c>
      <c r="J359" s="2" t="s">
        <v>226</v>
      </c>
      <c r="K359" s="2" t="s">
        <v>187</v>
      </c>
      <c r="L359" s="2" t="s">
        <v>2632</v>
      </c>
    </row>
    <row r="360" spans="1:12">
      <c r="A360" s="2" t="s">
        <v>2481</v>
      </c>
      <c r="B360" s="2" t="s">
        <v>2481</v>
      </c>
      <c r="C360" s="2" t="s">
        <v>3198</v>
      </c>
      <c r="D360" s="2" t="s">
        <v>2479</v>
      </c>
      <c r="E360" s="2" t="s">
        <v>183</v>
      </c>
      <c r="F360" s="2">
        <v>1966</v>
      </c>
      <c r="G360" s="2" t="s">
        <v>224</v>
      </c>
      <c r="H360" s="2" t="s">
        <v>2481</v>
      </c>
      <c r="I360" s="2" t="s">
        <v>185</v>
      </c>
      <c r="J360" s="2" t="s">
        <v>186</v>
      </c>
      <c r="K360" s="2" t="s">
        <v>187</v>
      </c>
      <c r="L360" s="2" t="s">
        <v>2576</v>
      </c>
    </row>
    <row r="361" spans="1:12">
      <c r="A361" s="2" t="s">
        <v>2492</v>
      </c>
      <c r="B361" s="2" t="s">
        <v>2493</v>
      </c>
      <c r="C361" s="2" t="s">
        <v>3199</v>
      </c>
      <c r="D361" s="2" t="s">
        <v>2490</v>
      </c>
      <c r="E361" s="2" t="s">
        <v>223</v>
      </c>
      <c r="F361" s="2">
        <v>2011</v>
      </c>
      <c r="G361" s="2" t="s">
        <v>224</v>
      </c>
      <c r="H361" s="2" t="s">
        <v>3200</v>
      </c>
      <c r="I361" s="2" t="s">
        <v>237</v>
      </c>
      <c r="J361" s="2" t="s">
        <v>186</v>
      </c>
      <c r="K361" s="2" t="s">
        <v>187</v>
      </c>
      <c r="L361" s="2" t="s">
        <v>3201</v>
      </c>
    </row>
    <row r="362" spans="1:12">
      <c r="A362" s="2" t="s">
        <v>2492</v>
      </c>
      <c r="B362" s="2" t="s">
        <v>2493</v>
      </c>
      <c r="C362" s="2" t="s">
        <v>3202</v>
      </c>
      <c r="D362" s="2" t="s">
        <v>2490</v>
      </c>
      <c r="E362" s="2" t="s">
        <v>223</v>
      </c>
      <c r="F362" s="2">
        <v>2009</v>
      </c>
      <c r="G362" s="2" t="s">
        <v>224</v>
      </c>
      <c r="H362" s="2" t="s">
        <v>3203</v>
      </c>
      <c r="I362" s="2" t="s">
        <v>237</v>
      </c>
      <c r="J362" s="2" t="s">
        <v>226</v>
      </c>
      <c r="K362" s="2" t="s">
        <v>187</v>
      </c>
      <c r="L362" s="2" t="s">
        <v>2833</v>
      </c>
    </row>
    <row r="363" spans="1:12">
      <c r="A363" s="2" t="s">
        <v>2492</v>
      </c>
      <c r="B363" s="2" t="s">
        <v>2493</v>
      </c>
      <c r="C363" s="2" t="s">
        <v>3204</v>
      </c>
      <c r="D363" s="2" t="s">
        <v>2490</v>
      </c>
      <c r="E363" s="2" t="s">
        <v>183</v>
      </c>
      <c r="F363" s="2">
        <v>1983</v>
      </c>
      <c r="G363" s="2" t="s">
        <v>224</v>
      </c>
      <c r="H363" s="2" t="s">
        <v>2493</v>
      </c>
      <c r="I363" s="2" t="s">
        <v>185</v>
      </c>
      <c r="J363" s="2" t="s">
        <v>186</v>
      </c>
      <c r="K363" s="2" t="s">
        <v>187</v>
      </c>
      <c r="L363" s="2" t="s">
        <v>2576</v>
      </c>
    </row>
    <row r="364" spans="1:12">
      <c r="A364" s="2" t="s">
        <v>2492</v>
      </c>
      <c r="B364" s="2" t="s">
        <v>2493</v>
      </c>
      <c r="C364" s="2" t="s">
        <v>3205</v>
      </c>
      <c r="D364" s="2" t="s">
        <v>2490</v>
      </c>
      <c r="E364" s="2" t="s">
        <v>223</v>
      </c>
      <c r="F364" s="2">
        <v>1988</v>
      </c>
      <c r="G364" s="2" t="s">
        <v>224</v>
      </c>
      <c r="H364" s="2" t="s">
        <v>2492</v>
      </c>
      <c r="I364" s="2" t="s">
        <v>225</v>
      </c>
      <c r="J364" s="2" t="s">
        <v>270</v>
      </c>
      <c r="K364" s="2" t="s">
        <v>187</v>
      </c>
      <c r="L364" s="2" t="s">
        <v>2632</v>
      </c>
    </row>
    <row r="365" spans="1:12">
      <c r="A365" s="2" t="s">
        <v>2492</v>
      </c>
      <c r="B365" s="2" t="s">
        <v>2493</v>
      </c>
      <c r="C365" s="2" t="s">
        <v>3206</v>
      </c>
      <c r="D365" s="2" t="s">
        <v>2490</v>
      </c>
      <c r="E365" s="2" t="s">
        <v>223</v>
      </c>
      <c r="F365" s="2">
        <v>2020</v>
      </c>
      <c r="G365" s="2" t="s">
        <v>224</v>
      </c>
      <c r="H365" s="2" t="s">
        <v>3207</v>
      </c>
      <c r="I365" s="2" t="s">
        <v>237</v>
      </c>
      <c r="J365" s="2" t="s">
        <v>270</v>
      </c>
      <c r="K365" s="2" t="s">
        <v>188</v>
      </c>
    </row>
    <row r="366" spans="1:12">
      <c r="A366" s="2" t="s">
        <v>2492</v>
      </c>
      <c r="B366" s="2" t="s">
        <v>2493</v>
      </c>
      <c r="C366" s="2" t="s">
        <v>3208</v>
      </c>
      <c r="D366" s="2" t="s">
        <v>2490</v>
      </c>
      <c r="E366" s="2" t="s">
        <v>223</v>
      </c>
      <c r="F366" s="2">
        <v>2013</v>
      </c>
      <c r="G366" s="2" t="s">
        <v>224</v>
      </c>
      <c r="H366" s="2" t="s">
        <v>3209</v>
      </c>
      <c r="I366" s="2" t="s">
        <v>237</v>
      </c>
      <c r="J366" s="2" t="s">
        <v>186</v>
      </c>
      <c r="K366" s="2" t="s">
        <v>188</v>
      </c>
    </row>
    <row r="367" spans="1:12">
      <c r="A367" s="2" t="s">
        <v>2514</v>
      </c>
      <c r="B367" s="2" t="s">
        <v>2514</v>
      </c>
      <c r="C367" s="2" t="s">
        <v>3210</v>
      </c>
      <c r="D367" s="2" t="s">
        <v>2512</v>
      </c>
      <c r="E367" s="2" t="s">
        <v>223</v>
      </c>
      <c r="F367" s="2">
        <v>1956</v>
      </c>
      <c r="G367" s="2" t="s">
        <v>224</v>
      </c>
      <c r="H367" s="2" t="s">
        <v>2514</v>
      </c>
      <c r="I367" s="2" t="s">
        <v>225</v>
      </c>
      <c r="J367" s="2" t="s">
        <v>603</v>
      </c>
      <c r="K367" s="2" t="s">
        <v>187</v>
      </c>
      <c r="L367" s="2" t="s">
        <v>2766</v>
      </c>
    </row>
    <row r="368" spans="1:12">
      <c r="A368" s="2" t="s">
        <v>2514</v>
      </c>
      <c r="B368" s="2" t="s">
        <v>2514</v>
      </c>
      <c r="C368" s="2" t="s">
        <v>3211</v>
      </c>
      <c r="D368" s="2" t="s">
        <v>2512</v>
      </c>
      <c r="E368" s="2" t="s">
        <v>183</v>
      </c>
      <c r="F368" s="2">
        <v>1991</v>
      </c>
      <c r="G368" s="2" t="s">
        <v>224</v>
      </c>
      <c r="H368" s="2" t="s">
        <v>3212</v>
      </c>
      <c r="I368" s="2" t="s">
        <v>237</v>
      </c>
      <c r="J368" s="2" t="s">
        <v>186</v>
      </c>
      <c r="K368" s="2" t="s">
        <v>187</v>
      </c>
      <c r="L368" s="2" t="s">
        <v>2576</v>
      </c>
    </row>
    <row r="369" spans="1:12">
      <c r="A369" s="2" t="s">
        <v>2514</v>
      </c>
      <c r="B369" s="2" t="s">
        <v>2514</v>
      </c>
      <c r="C369" s="2" t="s">
        <v>3213</v>
      </c>
      <c r="D369" s="2" t="s">
        <v>2512</v>
      </c>
      <c r="E369" s="2" t="s">
        <v>183</v>
      </c>
      <c r="F369" s="2">
        <v>1950</v>
      </c>
      <c r="G369" s="2" t="s">
        <v>224</v>
      </c>
      <c r="H369" s="2" t="s">
        <v>3214</v>
      </c>
      <c r="I369" s="2" t="s">
        <v>185</v>
      </c>
      <c r="J369" s="2" t="s">
        <v>603</v>
      </c>
      <c r="K369" s="2" t="s">
        <v>187</v>
      </c>
      <c r="L369" s="2" t="s">
        <v>2758</v>
      </c>
    </row>
    <row r="370" spans="1:12">
      <c r="A370" s="2" t="s">
        <v>2532</v>
      </c>
      <c r="B370" s="2" t="s">
        <v>2532</v>
      </c>
      <c r="C370" s="2" t="s">
        <v>3215</v>
      </c>
      <c r="D370" s="2" t="s">
        <v>2530</v>
      </c>
      <c r="E370" s="2" t="s">
        <v>183</v>
      </c>
      <c r="F370" s="2">
        <v>1962</v>
      </c>
      <c r="G370" s="2" t="s">
        <v>224</v>
      </c>
      <c r="H370" s="2" t="s">
        <v>2532</v>
      </c>
      <c r="I370" s="2" t="s">
        <v>185</v>
      </c>
      <c r="J370" s="2" t="s">
        <v>186</v>
      </c>
      <c r="K370" s="2" t="s">
        <v>187</v>
      </c>
      <c r="L370" s="2" t="s">
        <v>2576</v>
      </c>
    </row>
    <row r="371" spans="1:12">
      <c r="A371" s="2" t="s">
        <v>2532</v>
      </c>
      <c r="B371" s="2" t="s">
        <v>2532</v>
      </c>
      <c r="C371" s="2" t="s">
        <v>3216</v>
      </c>
      <c r="D371" s="2" t="s">
        <v>2530</v>
      </c>
      <c r="E371" s="2" t="s">
        <v>223</v>
      </c>
      <c r="F371" s="2">
        <v>1957</v>
      </c>
      <c r="G371" s="2" t="s">
        <v>224</v>
      </c>
      <c r="H371" s="2" t="s">
        <v>3217</v>
      </c>
      <c r="I371" s="2" t="s">
        <v>225</v>
      </c>
      <c r="J371" s="2" t="s">
        <v>186</v>
      </c>
      <c r="K371" s="2" t="s">
        <v>187</v>
      </c>
      <c r="L371" s="2" t="s">
        <v>2632</v>
      </c>
    </row>
    <row r="372" spans="1:12">
      <c r="A372" s="2" t="s">
        <v>2560</v>
      </c>
      <c r="B372" s="2" t="s">
        <v>2560</v>
      </c>
      <c r="C372" s="2" t="s">
        <v>3218</v>
      </c>
      <c r="D372" s="2" t="s">
        <v>2557</v>
      </c>
      <c r="E372" s="2" t="s">
        <v>183</v>
      </c>
      <c r="F372" s="2">
        <v>2001</v>
      </c>
      <c r="G372" s="2" t="s">
        <v>2561</v>
      </c>
      <c r="H372" s="2" t="s">
        <v>3219</v>
      </c>
      <c r="I372" s="2" t="s">
        <v>237</v>
      </c>
      <c r="J372" s="2" t="s">
        <v>186</v>
      </c>
      <c r="K372" s="2" t="s">
        <v>187</v>
      </c>
      <c r="L372" s="2" t="s">
        <v>2749</v>
      </c>
    </row>
    <row r="373" spans="1:12">
      <c r="A373" s="2" t="s">
        <v>2560</v>
      </c>
      <c r="B373" s="2" t="s">
        <v>2560</v>
      </c>
      <c r="C373" s="2" t="s">
        <v>3220</v>
      </c>
      <c r="D373" s="2" t="s">
        <v>2557</v>
      </c>
      <c r="E373" s="2" t="s">
        <v>223</v>
      </c>
      <c r="F373" s="2">
        <v>2004</v>
      </c>
      <c r="G373" s="2" t="s">
        <v>2561</v>
      </c>
      <c r="H373" s="2" t="s">
        <v>3221</v>
      </c>
      <c r="I373" s="2" t="s">
        <v>237</v>
      </c>
      <c r="J373" s="2" t="s">
        <v>226</v>
      </c>
      <c r="K373" s="2" t="s">
        <v>187</v>
      </c>
      <c r="L373" s="2" t="s">
        <v>2998</v>
      </c>
    </row>
    <row r="374" spans="1:12">
      <c r="A374" s="2" t="s">
        <v>2560</v>
      </c>
      <c r="B374" s="2" t="s">
        <v>2560</v>
      </c>
      <c r="C374" s="2" t="s">
        <v>3222</v>
      </c>
      <c r="D374" s="2" t="s">
        <v>2557</v>
      </c>
      <c r="E374" s="2" t="s">
        <v>223</v>
      </c>
      <c r="F374" s="2">
        <v>1973</v>
      </c>
      <c r="G374" s="2" t="s">
        <v>2561</v>
      </c>
      <c r="H374" s="2" t="s">
        <v>3223</v>
      </c>
      <c r="I374" s="2" t="s">
        <v>225</v>
      </c>
      <c r="J374" s="2" t="s">
        <v>186</v>
      </c>
      <c r="K374" s="2" t="s">
        <v>187</v>
      </c>
      <c r="L374" s="2" t="s">
        <v>2632</v>
      </c>
    </row>
    <row r="375" spans="1:12">
      <c r="A375" s="2" t="s">
        <v>2560</v>
      </c>
      <c r="B375" s="2" t="s">
        <v>2560</v>
      </c>
      <c r="C375" s="2" t="s">
        <v>3224</v>
      </c>
      <c r="D375" s="2" t="s">
        <v>2557</v>
      </c>
      <c r="E375" s="2" t="s">
        <v>183</v>
      </c>
      <c r="F375" s="2">
        <v>1973</v>
      </c>
      <c r="G375" s="2" t="s">
        <v>2561</v>
      </c>
      <c r="H375" s="2" t="s">
        <v>3225</v>
      </c>
      <c r="I375" s="2" t="s">
        <v>185</v>
      </c>
      <c r="J375" s="2" t="s">
        <v>186</v>
      </c>
      <c r="K375" s="2" t="s">
        <v>187</v>
      </c>
      <c r="L375" s="2" t="s">
        <v>2572</v>
      </c>
    </row>
    <row r="376" spans="1:12">
      <c r="A376" s="2" t="s">
        <v>316</v>
      </c>
      <c r="B376" s="2" t="s">
        <v>317</v>
      </c>
      <c r="C376" s="2" t="s">
        <v>3226</v>
      </c>
      <c r="D376" s="2" t="s">
        <v>315</v>
      </c>
      <c r="E376" s="2" t="s">
        <v>223</v>
      </c>
      <c r="F376" s="2">
        <v>1969</v>
      </c>
      <c r="G376" s="2" t="s">
        <v>184</v>
      </c>
      <c r="H376" s="2" t="s">
        <v>3227</v>
      </c>
      <c r="I376" s="2" t="s">
        <v>225</v>
      </c>
      <c r="J376" s="2" t="s">
        <v>603</v>
      </c>
      <c r="K376" s="2" t="s">
        <v>187</v>
      </c>
      <c r="L376" s="2" t="s">
        <v>2621</v>
      </c>
    </row>
    <row r="377" spans="1:12">
      <c r="A377" s="2" t="s">
        <v>330</v>
      </c>
      <c r="B377" s="2" t="s">
        <v>331</v>
      </c>
      <c r="C377" s="2" t="s">
        <v>3228</v>
      </c>
      <c r="D377" s="2" t="s">
        <v>328</v>
      </c>
      <c r="E377" s="2" t="s">
        <v>183</v>
      </c>
      <c r="G377" s="2" t="s">
        <v>184</v>
      </c>
      <c r="H377" s="2" t="s">
        <v>3229</v>
      </c>
      <c r="I377" s="2" t="s">
        <v>185</v>
      </c>
      <c r="J377" s="2" t="s">
        <v>270</v>
      </c>
      <c r="K377" s="2" t="s">
        <v>187</v>
      </c>
      <c r="L377" s="2" t="s">
        <v>2598</v>
      </c>
    </row>
    <row r="378" spans="1:12">
      <c r="A378" s="2" t="s">
        <v>984</v>
      </c>
      <c r="B378" s="2" t="s">
        <v>984</v>
      </c>
      <c r="C378" s="2" t="s">
        <v>3230</v>
      </c>
      <c r="D378" s="2" t="s">
        <v>982</v>
      </c>
      <c r="E378" s="2" t="s">
        <v>183</v>
      </c>
      <c r="F378" s="2">
        <v>1969</v>
      </c>
      <c r="G378" s="2" t="s">
        <v>184</v>
      </c>
      <c r="H378" s="2" t="s">
        <v>984</v>
      </c>
      <c r="I378" s="2" t="s">
        <v>185</v>
      </c>
      <c r="J378" s="2" t="s">
        <v>291</v>
      </c>
      <c r="K378" s="2" t="s">
        <v>187</v>
      </c>
      <c r="L378" s="2" t="s">
        <v>3231</v>
      </c>
    </row>
    <row r="379" spans="1:12">
      <c r="A379" s="2" t="s">
        <v>984</v>
      </c>
      <c r="B379" s="2" t="s">
        <v>984</v>
      </c>
      <c r="C379" s="2" t="s">
        <v>3232</v>
      </c>
      <c r="D379" s="2" t="s">
        <v>982</v>
      </c>
      <c r="E379" s="2" t="s">
        <v>223</v>
      </c>
      <c r="F379" s="2">
        <v>1974</v>
      </c>
      <c r="G379" s="2" t="s">
        <v>834</v>
      </c>
      <c r="H379" s="2" t="s">
        <v>3233</v>
      </c>
      <c r="I379" s="2" t="s">
        <v>225</v>
      </c>
      <c r="J379" s="2" t="s">
        <v>603</v>
      </c>
      <c r="K379" s="2" t="s">
        <v>187</v>
      </c>
      <c r="L379" s="2" t="s">
        <v>3234</v>
      </c>
    </row>
    <row r="380" spans="1:12">
      <c r="A380" s="2" t="s">
        <v>2071</v>
      </c>
      <c r="B380" s="2" t="s">
        <v>2071</v>
      </c>
      <c r="C380" s="2" t="s">
        <v>3235</v>
      </c>
      <c r="D380" s="2" t="s">
        <v>2068</v>
      </c>
      <c r="E380" s="2" t="s">
        <v>183</v>
      </c>
      <c r="F380" s="2">
        <v>1973</v>
      </c>
      <c r="G380" s="2" t="s">
        <v>834</v>
      </c>
      <c r="H380" s="2" t="s">
        <v>3236</v>
      </c>
      <c r="I380" s="2" t="s">
        <v>185</v>
      </c>
      <c r="J380" s="2" t="s">
        <v>270</v>
      </c>
      <c r="K380" s="2" t="s">
        <v>187</v>
      </c>
      <c r="L380" s="2" t="s">
        <v>2572</v>
      </c>
    </row>
    <row r="381" spans="1:12">
      <c r="A381" s="2" t="s">
        <v>2071</v>
      </c>
      <c r="B381" s="2" t="s">
        <v>2071</v>
      </c>
      <c r="C381" s="2" t="s">
        <v>3237</v>
      </c>
      <c r="D381" s="2" t="s">
        <v>2068</v>
      </c>
      <c r="E381" s="2" t="s">
        <v>183</v>
      </c>
      <c r="F381" s="2">
        <v>2002</v>
      </c>
      <c r="G381" s="2" t="s">
        <v>834</v>
      </c>
      <c r="H381" s="2" t="s">
        <v>3238</v>
      </c>
      <c r="I381" s="2" t="s">
        <v>237</v>
      </c>
      <c r="J381" s="2" t="s">
        <v>186</v>
      </c>
      <c r="K381" s="2" t="s">
        <v>187</v>
      </c>
      <c r="L381" s="2" t="s">
        <v>2574</v>
      </c>
    </row>
    <row r="382" spans="1:12">
      <c r="A382" s="2" t="s">
        <v>2071</v>
      </c>
      <c r="B382" s="2" t="s">
        <v>2071</v>
      </c>
      <c r="C382" s="2" t="s">
        <v>3239</v>
      </c>
      <c r="D382" s="2" t="s">
        <v>2068</v>
      </c>
      <c r="E382" s="2" t="s">
        <v>223</v>
      </c>
      <c r="F382" s="2">
        <v>1976</v>
      </c>
      <c r="G382" s="2" t="s">
        <v>834</v>
      </c>
      <c r="H382" s="2" t="s">
        <v>3240</v>
      </c>
      <c r="I382" s="2" t="s">
        <v>225</v>
      </c>
      <c r="J382" s="2" t="s">
        <v>270</v>
      </c>
      <c r="K382" s="2" t="s">
        <v>187</v>
      </c>
      <c r="L382" s="2" t="s">
        <v>2879</v>
      </c>
    </row>
    <row r="383" spans="1:12">
      <c r="A383" s="2" t="s">
        <v>1056</v>
      </c>
      <c r="B383" s="2" t="s">
        <v>1056</v>
      </c>
      <c r="C383" s="2" t="s">
        <v>3241</v>
      </c>
      <c r="D383" s="2" t="s">
        <v>1054</v>
      </c>
      <c r="E383" s="2" t="s">
        <v>223</v>
      </c>
      <c r="F383" s="2">
        <v>2022</v>
      </c>
      <c r="G383" s="2" t="s">
        <v>224</v>
      </c>
      <c r="H383" s="2" t="s">
        <v>3242</v>
      </c>
      <c r="I383" s="2" t="s">
        <v>237</v>
      </c>
      <c r="J383" s="2" t="s">
        <v>291</v>
      </c>
      <c r="K383" s="2" t="s">
        <v>188</v>
      </c>
    </row>
    <row r="384" spans="1:12">
      <c r="A384" s="2" t="s">
        <v>1056</v>
      </c>
      <c r="B384" s="2" t="s">
        <v>1056</v>
      </c>
      <c r="C384" s="2" t="s">
        <v>3243</v>
      </c>
      <c r="D384" s="2" t="s">
        <v>1054</v>
      </c>
      <c r="E384" s="2" t="s">
        <v>183</v>
      </c>
      <c r="F384" s="2">
        <v>1994</v>
      </c>
      <c r="G384" s="2" t="s">
        <v>224</v>
      </c>
      <c r="H384" s="2" t="s">
        <v>1056</v>
      </c>
      <c r="I384" s="2" t="s">
        <v>185</v>
      </c>
      <c r="J384" s="2" t="s">
        <v>226</v>
      </c>
      <c r="K384" s="2" t="s">
        <v>187</v>
      </c>
      <c r="L384" s="2" t="s">
        <v>3244</v>
      </c>
    </row>
    <row r="385" spans="1:12">
      <c r="A385" s="2" t="s">
        <v>1056</v>
      </c>
      <c r="B385" s="2" t="s">
        <v>1056</v>
      </c>
      <c r="C385" s="2" t="s">
        <v>3245</v>
      </c>
      <c r="D385" s="2" t="s">
        <v>1054</v>
      </c>
      <c r="E385" s="2" t="s">
        <v>223</v>
      </c>
      <c r="F385" s="2">
        <v>1998</v>
      </c>
      <c r="G385" s="2" t="s">
        <v>224</v>
      </c>
      <c r="H385" s="2" t="s">
        <v>3246</v>
      </c>
      <c r="I385" s="2" t="s">
        <v>225</v>
      </c>
      <c r="J385" s="2" t="s">
        <v>685</v>
      </c>
      <c r="K385" s="2" t="s">
        <v>187</v>
      </c>
      <c r="L385" s="2" t="s">
        <v>3247</v>
      </c>
    </row>
    <row r="386" spans="1:12">
      <c r="A386" s="2" t="s">
        <v>2059</v>
      </c>
      <c r="B386" s="2" t="s">
        <v>2059</v>
      </c>
      <c r="C386" s="2" t="s">
        <v>3248</v>
      </c>
      <c r="D386" s="2" t="s">
        <v>2056</v>
      </c>
      <c r="E386" s="2" t="s">
        <v>183</v>
      </c>
      <c r="F386" s="2">
        <v>1999</v>
      </c>
      <c r="G386" s="2" t="s">
        <v>834</v>
      </c>
      <c r="H386" s="2" t="s">
        <v>2059</v>
      </c>
      <c r="I386" s="2" t="s">
        <v>185</v>
      </c>
      <c r="J386" s="2" t="s">
        <v>186</v>
      </c>
      <c r="K386" s="2" t="s">
        <v>187</v>
      </c>
      <c r="L386" s="2" t="s">
        <v>2572</v>
      </c>
    </row>
    <row r="387" spans="1:12">
      <c r="A387" s="2" t="s">
        <v>2059</v>
      </c>
      <c r="B387" s="2" t="s">
        <v>2059</v>
      </c>
      <c r="C387" s="2" t="s">
        <v>3249</v>
      </c>
      <c r="D387" s="2" t="s">
        <v>2056</v>
      </c>
      <c r="E387" s="2" t="s">
        <v>223</v>
      </c>
      <c r="F387" s="2">
        <v>2001</v>
      </c>
      <c r="G387" s="2" t="s">
        <v>834</v>
      </c>
      <c r="H387" s="2" t="s">
        <v>3250</v>
      </c>
      <c r="I387" s="2" t="s">
        <v>225</v>
      </c>
      <c r="J387" s="2" t="s">
        <v>186</v>
      </c>
      <c r="K387" s="2" t="s">
        <v>187</v>
      </c>
      <c r="L387" s="2" t="s">
        <v>3251</v>
      </c>
    </row>
    <row r="388" spans="1:12">
      <c r="A388" s="2" t="s">
        <v>2016</v>
      </c>
      <c r="B388" s="2" t="s">
        <v>2017</v>
      </c>
      <c r="C388" s="2" t="s">
        <v>3252</v>
      </c>
      <c r="D388" s="2" t="s">
        <v>2014</v>
      </c>
      <c r="E388" s="2" t="s">
        <v>183</v>
      </c>
      <c r="F388" s="2">
        <v>1974</v>
      </c>
      <c r="G388" s="2" t="s">
        <v>224</v>
      </c>
      <c r="H388" s="2" t="s">
        <v>2017</v>
      </c>
      <c r="I388" s="2" t="s">
        <v>185</v>
      </c>
      <c r="J388" s="2" t="s">
        <v>226</v>
      </c>
      <c r="K388" s="2" t="s">
        <v>187</v>
      </c>
      <c r="L388" s="2" t="s">
        <v>2576</v>
      </c>
    </row>
    <row r="389" spans="1:12">
      <c r="A389" s="2" t="s">
        <v>2016</v>
      </c>
      <c r="B389" s="2" t="s">
        <v>2017</v>
      </c>
      <c r="C389" s="2" t="s">
        <v>3253</v>
      </c>
      <c r="D389" s="2" t="s">
        <v>2014</v>
      </c>
      <c r="E389" s="2" t="s">
        <v>223</v>
      </c>
      <c r="F389" s="2">
        <v>1974</v>
      </c>
      <c r="G389" s="2" t="s">
        <v>224</v>
      </c>
      <c r="H389" s="2" t="s">
        <v>2016</v>
      </c>
      <c r="I389" s="2" t="s">
        <v>225</v>
      </c>
      <c r="J389" s="2" t="s">
        <v>186</v>
      </c>
      <c r="K389" s="2" t="s">
        <v>187</v>
      </c>
      <c r="L389" s="2" t="s">
        <v>2879</v>
      </c>
    </row>
    <row r="390" spans="1:12">
      <c r="A390" s="2" t="s">
        <v>850</v>
      </c>
      <c r="B390" s="2" t="s">
        <v>850</v>
      </c>
      <c r="C390" s="2" t="s">
        <v>3254</v>
      </c>
      <c r="D390" s="2" t="s">
        <v>848</v>
      </c>
      <c r="E390" s="2" t="s">
        <v>223</v>
      </c>
      <c r="F390" s="2">
        <v>1989</v>
      </c>
      <c r="G390" s="2" t="s">
        <v>224</v>
      </c>
      <c r="H390" s="2" t="s">
        <v>850</v>
      </c>
      <c r="I390" s="2" t="s">
        <v>185</v>
      </c>
      <c r="J390" s="2" t="s">
        <v>186</v>
      </c>
      <c r="K390" s="2" t="s">
        <v>187</v>
      </c>
      <c r="L390" s="2" t="s">
        <v>2598</v>
      </c>
    </row>
    <row r="391" spans="1:12">
      <c r="A391" s="2" t="s">
        <v>1967</v>
      </c>
      <c r="B391" s="2" t="s">
        <v>1967</v>
      </c>
      <c r="C391" s="2" t="s">
        <v>3255</v>
      </c>
      <c r="D391" s="2" t="s">
        <v>1963</v>
      </c>
      <c r="E391" s="2" t="s">
        <v>183</v>
      </c>
      <c r="F391" s="2">
        <v>1976</v>
      </c>
      <c r="G391" s="2" t="s">
        <v>224</v>
      </c>
      <c r="H391" s="2" t="s">
        <v>1967</v>
      </c>
      <c r="I391" s="2" t="s">
        <v>185</v>
      </c>
      <c r="J391" s="2" t="s">
        <v>186</v>
      </c>
      <c r="K391" s="2" t="s">
        <v>187</v>
      </c>
      <c r="L391" s="2" t="s">
        <v>2598</v>
      </c>
    </row>
    <row r="392" spans="1:12">
      <c r="A392" s="2" t="s">
        <v>1967</v>
      </c>
      <c r="B392" s="2" t="s">
        <v>1967</v>
      </c>
      <c r="C392" s="2" t="s">
        <v>3256</v>
      </c>
      <c r="D392" s="2" t="s">
        <v>1963</v>
      </c>
      <c r="E392" s="2" t="s">
        <v>223</v>
      </c>
      <c r="F392" s="2">
        <v>1976</v>
      </c>
      <c r="G392" s="2" t="s">
        <v>224</v>
      </c>
      <c r="H392" s="2" t="s">
        <v>3257</v>
      </c>
      <c r="I392" s="2" t="s">
        <v>225</v>
      </c>
      <c r="J392" s="2" t="s">
        <v>226</v>
      </c>
      <c r="K392" s="2" t="s">
        <v>187</v>
      </c>
      <c r="L392" s="2" t="s">
        <v>3258</v>
      </c>
    </row>
    <row r="393" spans="1:12">
      <c r="A393" s="2" t="s">
        <v>887</v>
      </c>
      <c r="B393" s="2" t="s">
        <v>888</v>
      </c>
      <c r="C393" s="2" t="s">
        <v>3259</v>
      </c>
      <c r="D393" s="2" t="s">
        <v>886</v>
      </c>
      <c r="E393" s="2" t="s">
        <v>223</v>
      </c>
      <c r="F393" s="2">
        <v>1983</v>
      </c>
      <c r="G393" s="2" t="s">
        <v>224</v>
      </c>
      <c r="H393" s="2" t="s">
        <v>887</v>
      </c>
      <c r="I393" s="2" t="s">
        <v>225</v>
      </c>
      <c r="J393" s="2" t="s">
        <v>186</v>
      </c>
      <c r="K393" s="2" t="s">
        <v>187</v>
      </c>
      <c r="L393" s="2" t="s">
        <v>2598</v>
      </c>
    </row>
    <row r="394" spans="1:12">
      <c r="A394" s="2" t="s">
        <v>887</v>
      </c>
      <c r="B394" s="2" t="s">
        <v>888</v>
      </c>
      <c r="C394" s="2" t="s">
        <v>3260</v>
      </c>
      <c r="D394" s="2" t="s">
        <v>886</v>
      </c>
      <c r="E394" s="2" t="s">
        <v>183</v>
      </c>
      <c r="F394" s="2">
        <v>1983</v>
      </c>
      <c r="G394" s="2" t="s">
        <v>224</v>
      </c>
      <c r="H394" s="2" t="s">
        <v>888</v>
      </c>
      <c r="I394" s="2" t="s">
        <v>185</v>
      </c>
      <c r="J394" s="2" t="s">
        <v>186</v>
      </c>
      <c r="K394" s="2" t="s">
        <v>187</v>
      </c>
      <c r="L394" s="2" t="s">
        <v>2598</v>
      </c>
    </row>
    <row r="395" spans="1:12">
      <c r="A395" s="2" t="s">
        <v>890</v>
      </c>
      <c r="B395" s="2" t="s">
        <v>891</v>
      </c>
      <c r="C395" s="2" t="s">
        <v>3261</v>
      </c>
      <c r="D395" s="2" t="s">
        <v>889</v>
      </c>
      <c r="E395" s="2" t="s">
        <v>223</v>
      </c>
      <c r="F395" s="2">
        <v>1965</v>
      </c>
      <c r="G395" s="2" t="s">
        <v>224</v>
      </c>
      <c r="H395" s="2" t="s">
        <v>890</v>
      </c>
      <c r="I395" s="2" t="s">
        <v>225</v>
      </c>
      <c r="J395" s="2" t="s">
        <v>186</v>
      </c>
      <c r="K395" s="2" t="s">
        <v>187</v>
      </c>
      <c r="L395" s="2" t="s">
        <v>2598</v>
      </c>
    </row>
    <row r="396" spans="1:12">
      <c r="A396" s="2" t="s">
        <v>890</v>
      </c>
      <c r="B396" s="2" t="s">
        <v>891</v>
      </c>
      <c r="C396" s="2" t="s">
        <v>3262</v>
      </c>
      <c r="D396" s="2" t="s">
        <v>889</v>
      </c>
      <c r="E396" s="2" t="s">
        <v>183</v>
      </c>
      <c r="F396" s="2">
        <v>1963</v>
      </c>
      <c r="G396" s="2" t="s">
        <v>224</v>
      </c>
      <c r="H396" s="2" t="s">
        <v>891</v>
      </c>
      <c r="I396" s="2" t="s">
        <v>185</v>
      </c>
      <c r="J396" s="2" t="s">
        <v>186</v>
      </c>
      <c r="K396" s="2" t="s">
        <v>187</v>
      </c>
      <c r="L396" s="2" t="s">
        <v>2598</v>
      </c>
    </row>
    <row r="397" spans="1:12">
      <c r="A397" s="2" t="s">
        <v>1961</v>
      </c>
      <c r="B397" s="2" t="s">
        <v>1961</v>
      </c>
      <c r="C397" s="2" t="s">
        <v>3263</v>
      </c>
      <c r="D397" s="2" t="s">
        <v>1959</v>
      </c>
      <c r="E397" s="2" t="s">
        <v>183</v>
      </c>
      <c r="F397" s="2">
        <v>1993</v>
      </c>
      <c r="G397" s="2" t="s">
        <v>834</v>
      </c>
      <c r="H397" s="2" t="s">
        <v>1961</v>
      </c>
      <c r="I397" s="2" t="s">
        <v>185</v>
      </c>
      <c r="J397" s="2" t="s">
        <v>270</v>
      </c>
      <c r="K397" s="2" t="s">
        <v>187</v>
      </c>
      <c r="L397" s="2" t="s">
        <v>2598</v>
      </c>
    </row>
    <row r="398" spans="1:12">
      <c r="A398" s="2" t="s">
        <v>1961</v>
      </c>
      <c r="B398" s="2" t="s">
        <v>1961</v>
      </c>
      <c r="C398" s="2" t="s">
        <v>3264</v>
      </c>
      <c r="D398" s="2" t="s">
        <v>1959</v>
      </c>
      <c r="E398" s="2" t="s">
        <v>223</v>
      </c>
      <c r="F398" s="2">
        <v>1993</v>
      </c>
      <c r="G398" s="2" t="s">
        <v>834</v>
      </c>
      <c r="H398" s="2" t="s">
        <v>3265</v>
      </c>
      <c r="I398" s="2" t="s">
        <v>225</v>
      </c>
      <c r="J398" s="2" t="s">
        <v>270</v>
      </c>
      <c r="K398" s="2" t="s">
        <v>187</v>
      </c>
      <c r="L398" s="2" t="s">
        <v>2601</v>
      </c>
    </row>
    <row r="399" spans="1:12">
      <c r="A399" s="2" t="s">
        <v>1096</v>
      </c>
      <c r="B399" s="2" t="s">
        <v>1096</v>
      </c>
      <c r="C399" s="2" t="s">
        <v>3266</v>
      </c>
      <c r="D399" s="2" t="s">
        <v>1093</v>
      </c>
      <c r="E399" s="2" t="s">
        <v>183</v>
      </c>
      <c r="F399" s="2">
        <v>1991</v>
      </c>
      <c r="G399" s="2" t="s">
        <v>224</v>
      </c>
      <c r="H399" s="2" t="s">
        <v>1096</v>
      </c>
      <c r="I399" s="2" t="s">
        <v>185</v>
      </c>
      <c r="J399" s="2" t="s">
        <v>1097</v>
      </c>
      <c r="K399" s="2" t="s">
        <v>187</v>
      </c>
      <c r="L399" s="2" t="s">
        <v>3244</v>
      </c>
    </row>
    <row r="400" spans="1:12">
      <c r="A400" s="2" t="s">
        <v>1096</v>
      </c>
      <c r="B400" s="2" t="s">
        <v>1096</v>
      </c>
      <c r="C400" s="2" t="s">
        <v>3267</v>
      </c>
      <c r="D400" s="2" t="s">
        <v>1093</v>
      </c>
      <c r="E400" s="2" t="s">
        <v>223</v>
      </c>
      <c r="F400" s="2">
        <v>1994</v>
      </c>
      <c r="G400" s="2" t="s">
        <v>224</v>
      </c>
      <c r="H400" s="2" t="s">
        <v>3268</v>
      </c>
      <c r="I400" s="2" t="s">
        <v>225</v>
      </c>
      <c r="J400" s="2" t="s">
        <v>685</v>
      </c>
      <c r="K400" s="2" t="s">
        <v>187</v>
      </c>
      <c r="L400" s="2" t="s">
        <v>3247</v>
      </c>
    </row>
    <row r="401" spans="1:12">
      <c r="A401" s="2" t="s">
        <v>1096</v>
      </c>
      <c r="B401" s="2" t="s">
        <v>1096</v>
      </c>
      <c r="C401" s="2" t="s">
        <v>3269</v>
      </c>
      <c r="D401" s="2" t="s">
        <v>1093</v>
      </c>
      <c r="E401" s="2" t="s">
        <v>183</v>
      </c>
      <c r="F401" s="2">
        <v>2014</v>
      </c>
      <c r="G401" s="2" t="s">
        <v>224</v>
      </c>
      <c r="H401" s="2" t="s">
        <v>3270</v>
      </c>
      <c r="I401" s="2" t="s">
        <v>237</v>
      </c>
      <c r="J401" s="2" t="s">
        <v>291</v>
      </c>
      <c r="K401" s="2" t="s">
        <v>188</v>
      </c>
    </row>
    <row r="402" spans="1:12">
      <c r="A402" s="2" t="s">
        <v>1096</v>
      </c>
      <c r="B402" s="2" t="s">
        <v>1096</v>
      </c>
      <c r="C402" s="2" t="s">
        <v>3271</v>
      </c>
      <c r="D402" s="2" t="s">
        <v>1093</v>
      </c>
      <c r="E402" s="2" t="s">
        <v>223</v>
      </c>
      <c r="F402" s="2">
        <v>2017</v>
      </c>
      <c r="G402" s="2" t="s">
        <v>224</v>
      </c>
      <c r="H402" s="2" t="s">
        <v>3272</v>
      </c>
      <c r="I402" s="2" t="s">
        <v>237</v>
      </c>
      <c r="J402" s="2" t="s">
        <v>291</v>
      </c>
      <c r="K402" s="2" t="s">
        <v>188</v>
      </c>
    </row>
    <row r="403" spans="1:12">
      <c r="A403" s="2" t="s">
        <v>944</v>
      </c>
      <c r="B403" s="2" t="s">
        <v>944</v>
      </c>
      <c r="C403" s="2" t="s">
        <v>3273</v>
      </c>
      <c r="D403" s="2" t="s">
        <v>943</v>
      </c>
      <c r="E403" s="2" t="s">
        <v>183</v>
      </c>
      <c r="F403" s="2">
        <v>1988</v>
      </c>
      <c r="G403" s="2" t="s">
        <v>184</v>
      </c>
      <c r="H403" s="2" t="s">
        <v>944</v>
      </c>
      <c r="I403" s="2" t="s">
        <v>185</v>
      </c>
      <c r="J403" s="2" t="s">
        <v>603</v>
      </c>
      <c r="K403" s="2" t="s">
        <v>187</v>
      </c>
      <c r="L403" s="2" t="s">
        <v>2598</v>
      </c>
    </row>
    <row r="404" spans="1:12">
      <c r="A404" s="2" t="s">
        <v>1669</v>
      </c>
      <c r="B404" s="2" t="s">
        <v>1669</v>
      </c>
      <c r="C404" s="2" t="s">
        <v>3274</v>
      </c>
      <c r="D404" s="2" t="s">
        <v>1666</v>
      </c>
      <c r="E404" s="2" t="s">
        <v>183</v>
      </c>
      <c r="F404" s="2">
        <v>2012</v>
      </c>
      <c r="G404" s="2" t="s">
        <v>224</v>
      </c>
      <c r="H404" s="2" t="s">
        <v>3275</v>
      </c>
      <c r="I404" s="2" t="s">
        <v>237</v>
      </c>
      <c r="J404" s="2" t="s">
        <v>291</v>
      </c>
      <c r="K404" s="2" t="s">
        <v>188</v>
      </c>
    </row>
    <row r="405" spans="1:12">
      <c r="A405" s="2" t="s">
        <v>1669</v>
      </c>
      <c r="B405" s="2" t="s">
        <v>1669</v>
      </c>
      <c r="C405" s="2" t="s">
        <v>3276</v>
      </c>
      <c r="D405" s="2" t="s">
        <v>1666</v>
      </c>
      <c r="E405" s="2" t="s">
        <v>223</v>
      </c>
      <c r="F405" s="2">
        <v>1990</v>
      </c>
      <c r="G405" s="2" t="s">
        <v>224</v>
      </c>
      <c r="H405" s="2" t="s">
        <v>3277</v>
      </c>
      <c r="I405" s="2" t="s">
        <v>225</v>
      </c>
      <c r="J405" s="2" t="s">
        <v>226</v>
      </c>
      <c r="K405" s="2" t="s">
        <v>187</v>
      </c>
      <c r="L405" s="2" t="s">
        <v>3251</v>
      </c>
    </row>
    <row r="406" spans="1:12">
      <c r="A406" s="2" t="s">
        <v>1669</v>
      </c>
      <c r="B406" s="2" t="s">
        <v>1669</v>
      </c>
      <c r="C406" s="2" t="s">
        <v>3278</v>
      </c>
      <c r="D406" s="2" t="s">
        <v>1666</v>
      </c>
      <c r="E406" s="2" t="s">
        <v>183</v>
      </c>
      <c r="F406" s="2">
        <v>1986</v>
      </c>
      <c r="G406" s="2" t="s">
        <v>224</v>
      </c>
      <c r="H406" s="2" t="s">
        <v>1669</v>
      </c>
      <c r="I406" s="2" t="s">
        <v>185</v>
      </c>
      <c r="J406" s="2" t="s">
        <v>226</v>
      </c>
      <c r="K406" s="2" t="s">
        <v>187</v>
      </c>
      <c r="L406" s="2" t="s">
        <v>2598</v>
      </c>
    </row>
    <row r="407" spans="1:12">
      <c r="A407" s="2" t="s">
        <v>1114</v>
      </c>
      <c r="B407" s="2" t="s">
        <v>1114</v>
      </c>
      <c r="C407" s="2" t="s">
        <v>3279</v>
      </c>
      <c r="D407" s="2" t="s">
        <v>1111</v>
      </c>
      <c r="E407" s="2" t="s">
        <v>183</v>
      </c>
      <c r="F407" s="2">
        <v>2005</v>
      </c>
      <c r="G407" s="2" t="s">
        <v>224</v>
      </c>
      <c r="H407" s="2" t="s">
        <v>3280</v>
      </c>
      <c r="I407" s="2" t="s">
        <v>237</v>
      </c>
      <c r="J407" s="2" t="s">
        <v>685</v>
      </c>
      <c r="K407" s="2" t="s">
        <v>188</v>
      </c>
    </row>
    <row r="408" spans="1:12">
      <c r="A408" s="2" t="s">
        <v>1114</v>
      </c>
      <c r="B408" s="2" t="s">
        <v>1114</v>
      </c>
      <c r="C408" s="2" t="s">
        <v>3281</v>
      </c>
      <c r="D408" s="2" t="s">
        <v>1111</v>
      </c>
      <c r="E408" s="2" t="s">
        <v>223</v>
      </c>
      <c r="F408" s="2">
        <v>1970</v>
      </c>
      <c r="G408" s="2" t="s">
        <v>224</v>
      </c>
      <c r="H408" s="2" t="s">
        <v>3282</v>
      </c>
      <c r="I408" s="2" t="s">
        <v>225</v>
      </c>
      <c r="J408" s="2" t="s">
        <v>186</v>
      </c>
      <c r="K408" s="2" t="s">
        <v>187</v>
      </c>
      <c r="L408" s="2" t="s">
        <v>3247</v>
      </c>
    </row>
    <row r="409" spans="1:12">
      <c r="A409" s="2" t="s">
        <v>1114</v>
      </c>
      <c r="B409" s="2" t="s">
        <v>1114</v>
      </c>
      <c r="C409" s="2" t="s">
        <v>3283</v>
      </c>
      <c r="D409" s="2" t="s">
        <v>1111</v>
      </c>
      <c r="E409" s="2" t="s">
        <v>183</v>
      </c>
      <c r="F409" s="2">
        <v>1969</v>
      </c>
      <c r="G409" s="2" t="s">
        <v>224</v>
      </c>
      <c r="H409" s="2" t="s">
        <v>1114</v>
      </c>
      <c r="I409" s="2" t="s">
        <v>185</v>
      </c>
      <c r="J409" s="2" t="s">
        <v>186</v>
      </c>
      <c r="K409" s="2" t="s">
        <v>187</v>
      </c>
      <c r="L409" s="2" t="s">
        <v>3284</v>
      </c>
    </row>
    <row r="410" spans="1:12">
      <c r="A410" s="2" t="s">
        <v>1138</v>
      </c>
      <c r="B410" s="2" t="s">
        <v>1138</v>
      </c>
      <c r="C410" s="2" t="s">
        <v>3285</v>
      </c>
      <c r="D410" s="2" t="s">
        <v>1137</v>
      </c>
      <c r="E410" s="2" t="s">
        <v>183</v>
      </c>
      <c r="F410" s="2">
        <v>1952</v>
      </c>
      <c r="G410" s="2" t="s">
        <v>224</v>
      </c>
      <c r="H410" s="2" t="s">
        <v>1138</v>
      </c>
      <c r="I410" s="2" t="s">
        <v>185</v>
      </c>
      <c r="J410" s="2" t="s">
        <v>186</v>
      </c>
      <c r="K410" s="2" t="s">
        <v>187</v>
      </c>
      <c r="L410" s="2" t="s">
        <v>2598</v>
      </c>
    </row>
    <row r="411" spans="1:12">
      <c r="A411" s="2" t="s">
        <v>1119</v>
      </c>
      <c r="B411" s="2" t="s">
        <v>1119</v>
      </c>
      <c r="C411" s="2" t="s">
        <v>3286</v>
      </c>
      <c r="D411" s="2" t="s">
        <v>1117</v>
      </c>
      <c r="E411" s="2" t="s">
        <v>183</v>
      </c>
      <c r="F411" s="2">
        <v>1989</v>
      </c>
      <c r="G411" s="2" t="s">
        <v>224</v>
      </c>
      <c r="H411" s="2" t="s">
        <v>1119</v>
      </c>
      <c r="I411" s="2" t="s">
        <v>185</v>
      </c>
      <c r="J411" s="2" t="s">
        <v>226</v>
      </c>
      <c r="K411" s="2" t="s">
        <v>187</v>
      </c>
      <c r="L411" s="2" t="s">
        <v>3244</v>
      </c>
    </row>
    <row r="412" spans="1:12">
      <c r="A412" s="2" t="s">
        <v>1119</v>
      </c>
      <c r="B412" s="2" t="s">
        <v>1119</v>
      </c>
      <c r="C412" s="2" t="s">
        <v>3287</v>
      </c>
      <c r="D412" s="2" t="s">
        <v>1117</v>
      </c>
      <c r="E412" s="2" t="s">
        <v>223</v>
      </c>
      <c r="F412" s="2">
        <v>1990</v>
      </c>
      <c r="G412" s="2" t="s">
        <v>224</v>
      </c>
      <c r="H412" s="2" t="s">
        <v>3288</v>
      </c>
      <c r="I412" s="2" t="s">
        <v>225</v>
      </c>
      <c r="J412" s="2" t="s">
        <v>226</v>
      </c>
      <c r="K412" s="2" t="s">
        <v>187</v>
      </c>
      <c r="L412" s="2" t="s">
        <v>3247</v>
      </c>
    </row>
    <row r="413" spans="1:12">
      <c r="A413" s="2" t="s">
        <v>1157</v>
      </c>
      <c r="B413" s="2" t="s">
        <v>1157</v>
      </c>
      <c r="C413" s="2" t="s">
        <v>3289</v>
      </c>
      <c r="D413" s="2" t="s">
        <v>1156</v>
      </c>
      <c r="E413" s="2" t="s">
        <v>183</v>
      </c>
      <c r="F413" s="2">
        <v>1956</v>
      </c>
      <c r="G413" s="2" t="s">
        <v>224</v>
      </c>
      <c r="H413" s="2" t="s">
        <v>1157</v>
      </c>
      <c r="I413" s="2" t="s">
        <v>185</v>
      </c>
      <c r="J413" s="2" t="s">
        <v>186</v>
      </c>
      <c r="K413" s="2" t="s">
        <v>187</v>
      </c>
      <c r="L413" s="2" t="s">
        <v>2598</v>
      </c>
    </row>
    <row r="414" spans="1:12">
      <c r="A414" s="2" t="s">
        <v>1695</v>
      </c>
      <c r="B414" s="2" t="s">
        <v>1696</v>
      </c>
      <c r="C414" s="2" t="s">
        <v>3290</v>
      </c>
      <c r="D414" s="2" t="s">
        <v>1694</v>
      </c>
      <c r="E414" s="2" t="s">
        <v>183</v>
      </c>
      <c r="F414" s="2">
        <v>1971</v>
      </c>
      <c r="G414" s="2" t="s">
        <v>224</v>
      </c>
      <c r="H414" s="2" t="s">
        <v>1696</v>
      </c>
      <c r="J414" s="2" t="s">
        <v>226</v>
      </c>
      <c r="K414" s="2" t="s">
        <v>187</v>
      </c>
      <c r="L414" s="2" t="s">
        <v>2598</v>
      </c>
    </row>
    <row r="415" spans="1:12">
      <c r="A415" s="2" t="s">
        <v>1695</v>
      </c>
      <c r="B415" s="2" t="s">
        <v>1696</v>
      </c>
      <c r="C415" s="2" t="s">
        <v>3291</v>
      </c>
      <c r="D415" s="2" t="s">
        <v>1694</v>
      </c>
      <c r="E415" s="2" t="s">
        <v>223</v>
      </c>
      <c r="F415" s="2">
        <v>2007</v>
      </c>
      <c r="G415" s="2" t="s">
        <v>224</v>
      </c>
      <c r="H415" s="2" t="s">
        <v>3292</v>
      </c>
      <c r="I415" s="2" t="s">
        <v>237</v>
      </c>
      <c r="J415" s="2" t="s">
        <v>226</v>
      </c>
      <c r="K415" s="2" t="s">
        <v>188</v>
      </c>
    </row>
    <row r="416" spans="1:12">
      <c r="A416" s="2" t="s">
        <v>1695</v>
      </c>
      <c r="B416" s="2" t="s">
        <v>1696</v>
      </c>
      <c r="C416" s="2" t="s">
        <v>3293</v>
      </c>
      <c r="D416" s="2" t="s">
        <v>1694</v>
      </c>
      <c r="E416" s="2" t="s">
        <v>223</v>
      </c>
      <c r="F416" s="2">
        <v>1975</v>
      </c>
      <c r="G416" s="2" t="s">
        <v>224</v>
      </c>
      <c r="H416" s="2" t="s">
        <v>1695</v>
      </c>
      <c r="I416" s="2" t="s">
        <v>225</v>
      </c>
      <c r="J416" s="2" t="s">
        <v>186</v>
      </c>
      <c r="K416" s="2" t="s">
        <v>187</v>
      </c>
      <c r="L416" s="2" t="s">
        <v>2666</v>
      </c>
    </row>
    <row r="417" spans="1:12">
      <c r="A417" s="2" t="s">
        <v>1695</v>
      </c>
      <c r="B417" s="2" t="s">
        <v>1696</v>
      </c>
      <c r="C417" s="2" t="s">
        <v>3294</v>
      </c>
      <c r="D417" s="2" t="s">
        <v>1694</v>
      </c>
      <c r="E417" s="2" t="s">
        <v>223</v>
      </c>
      <c r="F417" s="2">
        <v>2001</v>
      </c>
      <c r="G417" s="2" t="s">
        <v>224</v>
      </c>
      <c r="H417" s="2" t="s">
        <v>3295</v>
      </c>
      <c r="I417" s="2" t="s">
        <v>237</v>
      </c>
      <c r="J417" s="2" t="s">
        <v>685</v>
      </c>
      <c r="K417" s="2" t="s">
        <v>188</v>
      </c>
    </row>
    <row r="418" spans="1:12">
      <c r="A418" s="2" t="s">
        <v>1155</v>
      </c>
      <c r="B418" s="2" t="s">
        <v>1155</v>
      </c>
      <c r="C418" s="2" t="s">
        <v>3296</v>
      </c>
      <c r="D418" s="2" t="s">
        <v>1154</v>
      </c>
      <c r="E418" s="2" t="s">
        <v>183</v>
      </c>
      <c r="F418" s="2">
        <v>1957</v>
      </c>
      <c r="G418" s="2" t="s">
        <v>224</v>
      </c>
      <c r="H418" s="2" t="s">
        <v>1155</v>
      </c>
      <c r="I418" s="2" t="s">
        <v>185</v>
      </c>
      <c r="J418" s="2" t="s">
        <v>226</v>
      </c>
      <c r="K418" s="2" t="s">
        <v>187</v>
      </c>
      <c r="L418" s="2" t="s">
        <v>2579</v>
      </c>
    </row>
    <row r="419" spans="1:12">
      <c r="A419" s="2" t="s">
        <v>1124</v>
      </c>
      <c r="B419" s="2" t="s">
        <v>1125</v>
      </c>
      <c r="C419" s="2" t="s">
        <v>3297</v>
      </c>
      <c r="D419" s="2" t="s">
        <v>1122</v>
      </c>
      <c r="E419" s="2" t="s">
        <v>223</v>
      </c>
      <c r="F419" s="2">
        <v>1977</v>
      </c>
      <c r="G419" s="2" t="s">
        <v>834</v>
      </c>
      <c r="H419" s="2" t="s">
        <v>3298</v>
      </c>
      <c r="I419" s="2" t="s">
        <v>225</v>
      </c>
      <c r="J419" s="2" t="s">
        <v>270</v>
      </c>
      <c r="K419" s="2" t="s">
        <v>187</v>
      </c>
      <c r="L419" s="2" t="s">
        <v>3247</v>
      </c>
    </row>
    <row r="420" spans="1:12">
      <c r="A420" s="2" t="s">
        <v>1124</v>
      </c>
      <c r="B420" s="2" t="s">
        <v>1125</v>
      </c>
      <c r="C420" s="2" t="s">
        <v>3299</v>
      </c>
      <c r="D420" s="2" t="s">
        <v>1122</v>
      </c>
      <c r="E420" s="2" t="s">
        <v>183</v>
      </c>
      <c r="F420" s="2">
        <v>2002</v>
      </c>
      <c r="G420" s="2" t="s">
        <v>834</v>
      </c>
      <c r="H420" s="2" t="s">
        <v>1124</v>
      </c>
      <c r="I420" s="2" t="s">
        <v>237</v>
      </c>
      <c r="J420" s="2" t="s">
        <v>603</v>
      </c>
      <c r="K420" s="2" t="s">
        <v>187</v>
      </c>
      <c r="L420" s="2" t="s">
        <v>3300</v>
      </c>
    </row>
    <row r="421" spans="1:12">
      <c r="A421" s="2" t="s">
        <v>1124</v>
      </c>
      <c r="B421" s="2" t="s">
        <v>1125</v>
      </c>
      <c r="C421" s="2" t="s">
        <v>3301</v>
      </c>
      <c r="D421" s="2" t="s">
        <v>1122</v>
      </c>
      <c r="E421" s="2" t="s">
        <v>183</v>
      </c>
      <c r="F421" s="2">
        <v>1977</v>
      </c>
      <c r="G421" s="2" t="s">
        <v>834</v>
      </c>
      <c r="H421" s="2" t="s">
        <v>1125</v>
      </c>
      <c r="I421" s="2" t="s">
        <v>185</v>
      </c>
      <c r="J421" s="2" t="s">
        <v>270</v>
      </c>
      <c r="K421" s="2" t="s">
        <v>187</v>
      </c>
      <c r="L421" s="2" t="s">
        <v>3244</v>
      </c>
    </row>
    <row r="422" spans="1:12">
      <c r="A422" s="2" t="s">
        <v>1129</v>
      </c>
      <c r="B422" s="2" t="s">
        <v>1129</v>
      </c>
      <c r="C422" s="2" t="s">
        <v>3302</v>
      </c>
      <c r="D422" s="2" t="s">
        <v>1128</v>
      </c>
      <c r="E422" s="2" t="s">
        <v>183</v>
      </c>
      <c r="F422" s="2">
        <v>1988</v>
      </c>
      <c r="G422" s="2" t="s">
        <v>224</v>
      </c>
      <c r="H422" s="2" t="s">
        <v>1129</v>
      </c>
      <c r="I422" s="2" t="s">
        <v>185</v>
      </c>
      <c r="J422" s="2" t="s">
        <v>226</v>
      </c>
      <c r="K422" s="2" t="s">
        <v>187</v>
      </c>
      <c r="L422" s="2" t="s">
        <v>2598</v>
      </c>
    </row>
    <row r="423" spans="1:12">
      <c r="A423" s="2" t="s">
        <v>1722</v>
      </c>
      <c r="B423" s="2" t="s">
        <v>1722</v>
      </c>
      <c r="C423" s="2" t="s">
        <v>3303</v>
      </c>
      <c r="D423" s="2" t="s">
        <v>1720</v>
      </c>
      <c r="E423" s="2" t="s">
        <v>223</v>
      </c>
      <c r="F423" s="2">
        <v>2005</v>
      </c>
      <c r="G423" s="2" t="s">
        <v>224</v>
      </c>
      <c r="H423" s="2" t="s">
        <v>3304</v>
      </c>
      <c r="I423" s="2" t="s">
        <v>237</v>
      </c>
      <c r="J423" s="2" t="s">
        <v>685</v>
      </c>
      <c r="K423" s="2" t="s">
        <v>188</v>
      </c>
    </row>
    <row r="424" spans="1:12">
      <c r="A424" s="2" t="s">
        <v>1722</v>
      </c>
      <c r="B424" s="2" t="s">
        <v>1722</v>
      </c>
      <c r="C424" s="2" t="s">
        <v>3305</v>
      </c>
      <c r="D424" s="2" t="s">
        <v>1720</v>
      </c>
      <c r="E424" s="2" t="s">
        <v>223</v>
      </c>
      <c r="F424" s="2">
        <v>1966</v>
      </c>
      <c r="G424" s="2" t="s">
        <v>224</v>
      </c>
      <c r="H424" s="2" t="s">
        <v>1722</v>
      </c>
      <c r="I424" s="2" t="s">
        <v>185</v>
      </c>
      <c r="J424" s="2" t="s">
        <v>186</v>
      </c>
      <c r="K424" s="2" t="s">
        <v>187</v>
      </c>
      <c r="L424" s="2" t="s">
        <v>3306</v>
      </c>
    </row>
    <row r="425" spans="1:12">
      <c r="A425" s="2" t="s">
        <v>1722</v>
      </c>
      <c r="B425" s="2" t="s">
        <v>1722</v>
      </c>
      <c r="C425" s="2" t="s">
        <v>3307</v>
      </c>
      <c r="D425" s="2" t="s">
        <v>1720</v>
      </c>
      <c r="E425" s="2" t="s">
        <v>223</v>
      </c>
      <c r="F425" s="2">
        <v>2002</v>
      </c>
      <c r="G425" s="2" t="s">
        <v>224</v>
      </c>
      <c r="H425" s="2" t="s">
        <v>3308</v>
      </c>
      <c r="I425" s="2" t="s">
        <v>237</v>
      </c>
      <c r="J425" s="2" t="s">
        <v>226</v>
      </c>
      <c r="K425" s="2" t="s">
        <v>188</v>
      </c>
    </row>
    <row r="426" spans="1:12">
      <c r="A426" s="2" t="s">
        <v>1133</v>
      </c>
      <c r="B426" s="2" t="s">
        <v>1134</v>
      </c>
      <c r="C426" s="2" t="s">
        <v>3309</v>
      </c>
      <c r="D426" s="2" t="s">
        <v>1131</v>
      </c>
      <c r="E426" s="2" t="s">
        <v>183</v>
      </c>
      <c r="F426" s="2">
        <v>2017</v>
      </c>
      <c r="G426" s="2" t="s">
        <v>224</v>
      </c>
      <c r="H426" s="2" t="s">
        <v>3310</v>
      </c>
      <c r="I426" s="2" t="s">
        <v>237</v>
      </c>
      <c r="J426" s="2" t="s">
        <v>291</v>
      </c>
      <c r="K426" s="2" t="s">
        <v>188</v>
      </c>
    </row>
    <row r="427" spans="1:12">
      <c r="A427" s="2" t="s">
        <v>1133</v>
      </c>
      <c r="B427" s="2" t="s">
        <v>1134</v>
      </c>
      <c r="C427" s="2" t="s">
        <v>3311</v>
      </c>
      <c r="D427" s="2" t="s">
        <v>1131</v>
      </c>
      <c r="E427" s="2" t="s">
        <v>183</v>
      </c>
      <c r="F427" s="2">
        <v>1985</v>
      </c>
      <c r="G427" s="2" t="s">
        <v>224</v>
      </c>
      <c r="H427" s="2" t="s">
        <v>1134</v>
      </c>
      <c r="I427" s="2" t="s">
        <v>185</v>
      </c>
      <c r="J427" s="2" t="s">
        <v>226</v>
      </c>
      <c r="K427" s="2" t="s">
        <v>187</v>
      </c>
      <c r="L427" s="2" t="s">
        <v>3244</v>
      </c>
    </row>
    <row r="428" spans="1:12">
      <c r="A428" s="2" t="s">
        <v>1133</v>
      </c>
      <c r="B428" s="2" t="s">
        <v>1134</v>
      </c>
      <c r="C428" s="2" t="s">
        <v>3312</v>
      </c>
      <c r="D428" s="2" t="s">
        <v>1131</v>
      </c>
      <c r="E428" s="2" t="s">
        <v>223</v>
      </c>
      <c r="F428" s="2">
        <v>1990</v>
      </c>
      <c r="G428" s="2" t="s">
        <v>224</v>
      </c>
      <c r="H428" s="2" t="s">
        <v>1133</v>
      </c>
      <c r="I428" s="2" t="s">
        <v>225</v>
      </c>
      <c r="J428" s="2" t="s">
        <v>226</v>
      </c>
      <c r="K428" s="2" t="s">
        <v>187</v>
      </c>
      <c r="L428" s="2" t="s">
        <v>3313</v>
      </c>
    </row>
    <row r="429" spans="1:12">
      <c r="A429" s="2" t="s">
        <v>1133</v>
      </c>
      <c r="B429" s="2" t="s">
        <v>1134</v>
      </c>
      <c r="C429" s="2" t="s">
        <v>3314</v>
      </c>
      <c r="D429" s="2" t="s">
        <v>1131</v>
      </c>
      <c r="E429" s="2" t="s">
        <v>183</v>
      </c>
      <c r="F429" s="2">
        <v>2012</v>
      </c>
      <c r="G429" s="2" t="s">
        <v>224</v>
      </c>
      <c r="H429" s="2" t="s">
        <v>3315</v>
      </c>
      <c r="I429" s="2" t="s">
        <v>237</v>
      </c>
      <c r="J429" s="2" t="s">
        <v>291</v>
      </c>
      <c r="K429" s="2" t="s">
        <v>188</v>
      </c>
    </row>
    <row r="430" spans="1:12">
      <c r="A430" s="2" t="s">
        <v>1024</v>
      </c>
      <c r="B430" s="2" t="s">
        <v>1025</v>
      </c>
      <c r="C430" s="2" t="s">
        <v>3316</v>
      </c>
      <c r="D430" s="2" t="s">
        <v>1023</v>
      </c>
      <c r="E430" s="2" t="s">
        <v>183</v>
      </c>
      <c r="F430" s="2">
        <v>1998</v>
      </c>
      <c r="G430" s="2" t="s">
        <v>834</v>
      </c>
      <c r="H430" s="2" t="s">
        <v>1025</v>
      </c>
      <c r="I430" s="2" t="s">
        <v>185</v>
      </c>
      <c r="J430" s="2" t="s">
        <v>270</v>
      </c>
      <c r="K430" s="2" t="s">
        <v>187</v>
      </c>
      <c r="L430" s="2" t="s">
        <v>2598</v>
      </c>
    </row>
    <row r="431" spans="1:12">
      <c r="A431" s="2" t="s">
        <v>1024</v>
      </c>
      <c r="B431" s="2" t="s">
        <v>1025</v>
      </c>
      <c r="C431" s="2" t="s">
        <v>3317</v>
      </c>
      <c r="D431" s="2" t="s">
        <v>1023</v>
      </c>
      <c r="E431" s="2" t="s">
        <v>223</v>
      </c>
      <c r="F431" s="2">
        <v>1999</v>
      </c>
      <c r="G431" s="2" t="s">
        <v>834</v>
      </c>
      <c r="H431" s="2" t="s">
        <v>1024</v>
      </c>
      <c r="I431" s="2" t="s">
        <v>225</v>
      </c>
      <c r="J431" s="2" t="s">
        <v>186</v>
      </c>
      <c r="K431" s="2" t="s">
        <v>187</v>
      </c>
      <c r="L431" s="2" t="s">
        <v>2621</v>
      </c>
    </row>
    <row r="432" spans="1:12">
      <c r="A432" s="2" t="s">
        <v>1142</v>
      </c>
      <c r="B432" s="2" t="s">
        <v>1143</v>
      </c>
      <c r="C432" s="2" t="s">
        <v>3318</v>
      </c>
      <c r="D432" s="2" t="s">
        <v>1139</v>
      </c>
      <c r="E432" s="2" t="s">
        <v>183</v>
      </c>
      <c r="F432" s="2">
        <v>1961</v>
      </c>
      <c r="G432" s="2" t="s">
        <v>224</v>
      </c>
      <c r="H432" s="2" t="s">
        <v>1142</v>
      </c>
      <c r="I432" s="2" t="s">
        <v>185</v>
      </c>
      <c r="J432" s="2" t="s">
        <v>186</v>
      </c>
      <c r="K432" s="2" t="s">
        <v>187</v>
      </c>
      <c r="L432" s="2" t="s">
        <v>3244</v>
      </c>
    </row>
    <row r="433" spans="1:12">
      <c r="A433" s="2" t="s">
        <v>1142</v>
      </c>
      <c r="B433" s="2" t="s">
        <v>1143</v>
      </c>
      <c r="C433" s="2" t="s">
        <v>3319</v>
      </c>
      <c r="D433" s="2" t="s">
        <v>1139</v>
      </c>
      <c r="E433" s="2" t="s">
        <v>223</v>
      </c>
      <c r="F433" s="2">
        <v>1963</v>
      </c>
      <c r="G433" s="2" t="s">
        <v>224</v>
      </c>
      <c r="H433" s="2" t="s">
        <v>3320</v>
      </c>
      <c r="I433" s="2" t="s">
        <v>225</v>
      </c>
      <c r="J433" s="2" t="s">
        <v>186</v>
      </c>
      <c r="K433" s="2" t="s">
        <v>187</v>
      </c>
      <c r="L433" s="2" t="s">
        <v>3247</v>
      </c>
    </row>
    <row r="434" spans="1:12">
      <c r="A434" s="2" t="s">
        <v>1764</v>
      </c>
      <c r="B434" s="2" t="s">
        <v>1764</v>
      </c>
      <c r="C434" s="2" t="s">
        <v>3321</v>
      </c>
      <c r="D434" s="2" t="s">
        <v>1762</v>
      </c>
      <c r="E434" s="2" t="s">
        <v>183</v>
      </c>
      <c r="F434" s="2">
        <v>2004</v>
      </c>
      <c r="G434" s="2" t="s">
        <v>224</v>
      </c>
      <c r="H434" s="2" t="s">
        <v>3322</v>
      </c>
      <c r="I434" s="2" t="s">
        <v>237</v>
      </c>
      <c r="J434" s="2" t="s">
        <v>685</v>
      </c>
      <c r="K434" s="2" t="s">
        <v>188</v>
      </c>
    </row>
    <row r="435" spans="1:12">
      <c r="A435" s="2" t="s">
        <v>1764</v>
      </c>
      <c r="B435" s="2" t="s">
        <v>1764</v>
      </c>
      <c r="C435" s="2" t="s">
        <v>3323</v>
      </c>
      <c r="D435" s="2" t="s">
        <v>1762</v>
      </c>
      <c r="E435" s="2" t="s">
        <v>183</v>
      </c>
      <c r="F435" s="2">
        <v>1984</v>
      </c>
      <c r="G435" s="2" t="s">
        <v>224</v>
      </c>
      <c r="H435" s="2" t="s">
        <v>1764</v>
      </c>
      <c r="I435" s="2" t="s">
        <v>185</v>
      </c>
      <c r="J435" s="2" t="s">
        <v>226</v>
      </c>
      <c r="K435" s="2" t="s">
        <v>187</v>
      </c>
      <c r="L435" s="2" t="s">
        <v>2598</v>
      </c>
    </row>
    <row r="436" spans="1:12">
      <c r="A436" s="2" t="s">
        <v>953</v>
      </c>
      <c r="B436" s="2" t="s">
        <v>953</v>
      </c>
      <c r="C436" s="2" t="s">
        <v>3324</v>
      </c>
      <c r="D436" s="2" t="s">
        <v>952</v>
      </c>
      <c r="E436" s="2" t="s">
        <v>183</v>
      </c>
      <c r="F436" s="2">
        <v>1972</v>
      </c>
      <c r="G436" s="2" t="s">
        <v>834</v>
      </c>
      <c r="H436" s="2" t="s">
        <v>953</v>
      </c>
      <c r="I436" s="2" t="s">
        <v>185</v>
      </c>
      <c r="J436" s="2" t="s">
        <v>270</v>
      </c>
      <c r="K436" s="2" t="s">
        <v>187</v>
      </c>
      <c r="L436" s="2" t="s">
        <v>3325</v>
      </c>
    </row>
    <row r="437" spans="1:12">
      <c r="A437" s="2" t="s">
        <v>1150</v>
      </c>
      <c r="B437" s="2" t="s">
        <v>1150</v>
      </c>
      <c r="C437" s="2" t="s">
        <v>3326</v>
      </c>
      <c r="D437" s="2" t="s">
        <v>1148</v>
      </c>
      <c r="E437" s="2" t="s">
        <v>223</v>
      </c>
      <c r="F437" s="2">
        <v>1962</v>
      </c>
      <c r="G437" s="2" t="s">
        <v>224</v>
      </c>
      <c r="H437" s="2" t="s">
        <v>1150</v>
      </c>
      <c r="I437" s="2" t="s">
        <v>185</v>
      </c>
      <c r="J437" s="2" t="s">
        <v>186</v>
      </c>
      <c r="K437" s="2" t="s">
        <v>187</v>
      </c>
      <c r="L437" s="2" t="s">
        <v>3284</v>
      </c>
    </row>
    <row r="438" spans="1:12">
      <c r="A438" s="2" t="s">
        <v>1043</v>
      </c>
      <c r="B438" s="2" t="s">
        <v>1043</v>
      </c>
      <c r="C438" s="2" t="s">
        <v>3327</v>
      </c>
      <c r="D438" s="2" t="s">
        <v>1042</v>
      </c>
      <c r="E438" s="2" t="s">
        <v>183</v>
      </c>
      <c r="F438" s="2">
        <v>1949</v>
      </c>
      <c r="G438" s="2" t="s">
        <v>834</v>
      </c>
      <c r="H438" s="2" t="s">
        <v>1043</v>
      </c>
      <c r="I438" s="2" t="s">
        <v>185</v>
      </c>
      <c r="J438" s="2" t="s">
        <v>270</v>
      </c>
      <c r="K438" s="2" t="s">
        <v>187</v>
      </c>
      <c r="L438" s="2" t="s">
        <v>2598</v>
      </c>
    </row>
    <row r="439" spans="1:12">
      <c r="A439" s="2" t="s">
        <v>1213</v>
      </c>
      <c r="B439" s="2" t="s">
        <v>1213</v>
      </c>
      <c r="C439" s="2" t="s">
        <v>3328</v>
      </c>
      <c r="D439" s="2" t="s">
        <v>1210</v>
      </c>
      <c r="E439" s="2" t="s">
        <v>183</v>
      </c>
      <c r="F439" s="2">
        <v>2014</v>
      </c>
      <c r="G439" s="2" t="s">
        <v>184</v>
      </c>
      <c r="H439" s="2" t="s">
        <v>3329</v>
      </c>
      <c r="I439" s="2" t="s">
        <v>237</v>
      </c>
      <c r="J439" s="2" t="s">
        <v>291</v>
      </c>
      <c r="K439" s="2" t="s">
        <v>188</v>
      </c>
    </row>
    <row r="440" spans="1:12">
      <c r="A440" s="2" t="s">
        <v>1213</v>
      </c>
      <c r="B440" s="2" t="s">
        <v>1213</v>
      </c>
      <c r="C440" s="2" t="s">
        <v>3330</v>
      </c>
      <c r="D440" s="2" t="s">
        <v>1210</v>
      </c>
      <c r="E440" s="2" t="s">
        <v>223</v>
      </c>
      <c r="F440" s="2">
        <v>1990</v>
      </c>
      <c r="G440" s="2" t="s">
        <v>184</v>
      </c>
      <c r="H440" s="2" t="s">
        <v>1213</v>
      </c>
      <c r="I440" s="2" t="s">
        <v>185</v>
      </c>
      <c r="J440" s="2" t="s">
        <v>270</v>
      </c>
      <c r="K440" s="2" t="s">
        <v>187</v>
      </c>
      <c r="L440" s="2" t="s">
        <v>3313</v>
      </c>
    </row>
    <row r="441" spans="1:12">
      <c r="A441" s="2" t="s">
        <v>1213</v>
      </c>
      <c r="B441" s="2" t="s">
        <v>1213</v>
      </c>
      <c r="C441" s="2" t="s">
        <v>3331</v>
      </c>
      <c r="D441" s="2" t="s">
        <v>1210</v>
      </c>
      <c r="E441" s="2" t="s">
        <v>183</v>
      </c>
      <c r="F441" s="2">
        <v>1989</v>
      </c>
      <c r="G441" s="2" t="s">
        <v>834</v>
      </c>
      <c r="H441" s="2" t="s">
        <v>3332</v>
      </c>
      <c r="I441" s="2" t="s">
        <v>225</v>
      </c>
      <c r="J441" s="2" t="s">
        <v>603</v>
      </c>
      <c r="K441" s="2" t="s">
        <v>187</v>
      </c>
      <c r="L441" s="2" t="s">
        <v>3300</v>
      </c>
    </row>
    <row r="442" spans="1:12">
      <c r="A442" s="2" t="s">
        <v>1213</v>
      </c>
      <c r="B442" s="2" t="s">
        <v>1213</v>
      </c>
      <c r="C442" s="2" t="s">
        <v>3333</v>
      </c>
      <c r="D442" s="2" t="s">
        <v>1210</v>
      </c>
      <c r="E442" s="2" t="s">
        <v>183</v>
      </c>
      <c r="F442" s="2">
        <v>2013</v>
      </c>
      <c r="G442" s="2" t="s">
        <v>184</v>
      </c>
      <c r="H442" s="2" t="s">
        <v>3334</v>
      </c>
      <c r="I442" s="2" t="s">
        <v>237</v>
      </c>
      <c r="J442" s="2" t="s">
        <v>291</v>
      </c>
      <c r="K442" s="2" t="s">
        <v>188</v>
      </c>
    </row>
    <row r="443" spans="1:12">
      <c r="A443" s="2" t="s">
        <v>1714</v>
      </c>
      <c r="B443" s="2" t="s">
        <v>1714</v>
      </c>
      <c r="C443" s="2" t="s">
        <v>3335</v>
      </c>
      <c r="D443" s="2" t="s">
        <v>1795</v>
      </c>
      <c r="E443" s="2" t="s">
        <v>223</v>
      </c>
      <c r="F443" s="2">
        <v>1978</v>
      </c>
      <c r="G443" s="2" t="s">
        <v>224</v>
      </c>
      <c r="H443" s="2" t="s">
        <v>3336</v>
      </c>
      <c r="I443" s="2" t="s">
        <v>225</v>
      </c>
      <c r="J443" s="2" t="s">
        <v>226</v>
      </c>
      <c r="K443" s="2" t="s">
        <v>187</v>
      </c>
      <c r="L443" s="2" t="s">
        <v>2879</v>
      </c>
    </row>
    <row r="444" spans="1:12">
      <c r="A444" s="2" t="s">
        <v>1714</v>
      </c>
      <c r="B444" s="2" t="s">
        <v>1714</v>
      </c>
      <c r="C444" s="2" t="s">
        <v>3337</v>
      </c>
      <c r="D444" s="2" t="s">
        <v>1795</v>
      </c>
      <c r="E444" s="2" t="s">
        <v>183</v>
      </c>
      <c r="F444" s="2">
        <v>2010</v>
      </c>
      <c r="G444" s="2" t="s">
        <v>224</v>
      </c>
      <c r="H444" s="2" t="s">
        <v>3338</v>
      </c>
      <c r="I444" s="2" t="s">
        <v>237</v>
      </c>
      <c r="J444" s="2" t="s">
        <v>291</v>
      </c>
      <c r="K444" s="2" t="s">
        <v>188</v>
      </c>
    </row>
    <row r="445" spans="1:12">
      <c r="A445" s="2" t="s">
        <v>1714</v>
      </c>
      <c r="B445" s="2" t="s">
        <v>1714</v>
      </c>
      <c r="C445" s="2" t="s">
        <v>3339</v>
      </c>
      <c r="D445" s="2" t="s">
        <v>1795</v>
      </c>
      <c r="E445" s="2" t="s">
        <v>183</v>
      </c>
      <c r="F445" s="2">
        <v>1983</v>
      </c>
      <c r="G445" s="2" t="s">
        <v>224</v>
      </c>
      <c r="H445" s="2" t="s">
        <v>1714</v>
      </c>
      <c r="I445" s="2" t="s">
        <v>185</v>
      </c>
      <c r="J445" s="2" t="s">
        <v>226</v>
      </c>
      <c r="K445" s="2" t="s">
        <v>187</v>
      </c>
      <c r="L445" s="2" t="s">
        <v>2598</v>
      </c>
    </row>
    <row r="446" spans="1:12">
      <c r="A446" s="2" t="s">
        <v>1714</v>
      </c>
      <c r="B446" s="2" t="s">
        <v>1714</v>
      </c>
      <c r="C446" s="2" t="s">
        <v>3340</v>
      </c>
      <c r="D446" s="2" t="s">
        <v>1795</v>
      </c>
      <c r="E446" s="2" t="s">
        <v>183</v>
      </c>
      <c r="F446" s="2">
        <v>2012</v>
      </c>
      <c r="G446" s="2" t="s">
        <v>224</v>
      </c>
      <c r="H446" s="2" t="s">
        <v>3341</v>
      </c>
      <c r="I446" s="2" t="s">
        <v>237</v>
      </c>
      <c r="J446" s="2" t="s">
        <v>291</v>
      </c>
      <c r="K446" s="2" t="s">
        <v>188</v>
      </c>
    </row>
    <row r="447" spans="1:12">
      <c r="A447" s="2" t="s">
        <v>1586</v>
      </c>
      <c r="B447" s="2" t="s">
        <v>1586</v>
      </c>
      <c r="C447" s="2" t="s">
        <v>3342</v>
      </c>
      <c r="D447" s="2" t="s">
        <v>1585</v>
      </c>
      <c r="E447" s="2" t="s">
        <v>223</v>
      </c>
      <c r="F447" s="2">
        <v>2021</v>
      </c>
      <c r="G447" s="2" t="s">
        <v>184</v>
      </c>
      <c r="H447" s="2" t="s">
        <v>3343</v>
      </c>
      <c r="I447" s="2" t="s">
        <v>237</v>
      </c>
      <c r="J447" s="2" t="s">
        <v>603</v>
      </c>
      <c r="K447" s="2" t="s">
        <v>188</v>
      </c>
    </row>
    <row r="448" spans="1:12">
      <c r="A448" s="2" t="s">
        <v>1586</v>
      </c>
      <c r="B448" s="2" t="s">
        <v>1586</v>
      </c>
      <c r="C448" s="2" t="s">
        <v>3344</v>
      </c>
      <c r="D448" s="2" t="s">
        <v>1585</v>
      </c>
      <c r="E448" s="2" t="s">
        <v>223</v>
      </c>
      <c r="F448" s="2">
        <v>1996</v>
      </c>
      <c r="G448" s="2" t="s">
        <v>184</v>
      </c>
      <c r="H448" s="2" t="s">
        <v>3345</v>
      </c>
      <c r="I448" s="2" t="s">
        <v>225</v>
      </c>
      <c r="J448" s="2" t="s">
        <v>186</v>
      </c>
      <c r="K448" s="2" t="s">
        <v>187</v>
      </c>
      <c r="L448" s="2" t="s">
        <v>2598</v>
      </c>
    </row>
    <row r="449" spans="1:12">
      <c r="A449" s="2" t="s">
        <v>1586</v>
      </c>
      <c r="B449" s="2" t="s">
        <v>1586</v>
      </c>
      <c r="C449" s="2" t="s">
        <v>3346</v>
      </c>
      <c r="D449" s="2" t="s">
        <v>1585</v>
      </c>
      <c r="E449" s="2" t="s">
        <v>183</v>
      </c>
      <c r="F449" s="2">
        <v>2013</v>
      </c>
      <c r="G449" s="2" t="s">
        <v>184</v>
      </c>
      <c r="H449" s="2" t="s">
        <v>3347</v>
      </c>
      <c r="I449" s="2" t="s">
        <v>237</v>
      </c>
      <c r="J449" s="2" t="s">
        <v>186</v>
      </c>
      <c r="K449" s="2" t="s">
        <v>188</v>
      </c>
    </row>
    <row r="450" spans="1:12">
      <c r="A450" s="2" t="s">
        <v>1586</v>
      </c>
      <c r="B450" s="2" t="s">
        <v>1586</v>
      </c>
      <c r="C450" s="2" t="s">
        <v>3348</v>
      </c>
      <c r="D450" s="2" t="s">
        <v>1585</v>
      </c>
      <c r="E450" s="2" t="s">
        <v>183</v>
      </c>
      <c r="F450" s="2">
        <v>1993</v>
      </c>
      <c r="G450" s="2" t="s">
        <v>184</v>
      </c>
      <c r="H450" s="2" t="s">
        <v>1586</v>
      </c>
      <c r="I450" s="2" t="s">
        <v>185</v>
      </c>
      <c r="J450" s="2" t="s">
        <v>186</v>
      </c>
      <c r="K450" s="2" t="s">
        <v>187</v>
      </c>
      <c r="L450" s="2" t="s">
        <v>2598</v>
      </c>
    </row>
    <row r="451" spans="1:12">
      <c r="A451" s="2" t="s">
        <v>1220</v>
      </c>
      <c r="B451" s="2" t="s">
        <v>1220</v>
      </c>
      <c r="C451" s="2" t="s">
        <v>3349</v>
      </c>
      <c r="D451" s="2" t="s">
        <v>1217</v>
      </c>
      <c r="E451" s="2" t="s">
        <v>223</v>
      </c>
      <c r="F451" s="2">
        <v>2021</v>
      </c>
      <c r="G451" s="2" t="s">
        <v>184</v>
      </c>
      <c r="H451" s="2" t="s">
        <v>3350</v>
      </c>
      <c r="I451" s="2" t="s">
        <v>237</v>
      </c>
      <c r="J451" s="2" t="s">
        <v>291</v>
      </c>
      <c r="K451" s="2" t="s">
        <v>188</v>
      </c>
    </row>
    <row r="452" spans="1:12">
      <c r="A452" s="2" t="s">
        <v>1220</v>
      </c>
      <c r="B452" s="2" t="s">
        <v>1220</v>
      </c>
      <c r="C452" s="2" t="s">
        <v>3351</v>
      </c>
      <c r="D452" s="2" t="s">
        <v>1217</v>
      </c>
      <c r="E452" s="2" t="s">
        <v>183</v>
      </c>
      <c r="F452" s="2">
        <v>1983</v>
      </c>
      <c r="G452" s="2" t="s">
        <v>816</v>
      </c>
      <c r="H452" s="2" t="s">
        <v>3352</v>
      </c>
      <c r="I452" s="2" t="s">
        <v>185</v>
      </c>
      <c r="J452" s="2" t="s">
        <v>270</v>
      </c>
      <c r="K452" s="2" t="s">
        <v>187</v>
      </c>
      <c r="L452" s="2" t="s">
        <v>3300</v>
      </c>
    </row>
    <row r="453" spans="1:12">
      <c r="A453" s="2" t="s">
        <v>1220</v>
      </c>
      <c r="B453" s="2" t="s">
        <v>1220</v>
      </c>
      <c r="C453" s="2" t="s">
        <v>3353</v>
      </c>
      <c r="D453" s="2" t="s">
        <v>1217</v>
      </c>
      <c r="E453" s="2" t="s">
        <v>223</v>
      </c>
      <c r="F453" s="2">
        <v>2017</v>
      </c>
      <c r="G453" s="2" t="s">
        <v>184</v>
      </c>
      <c r="H453" s="2" t="s">
        <v>3354</v>
      </c>
      <c r="I453" s="2" t="s">
        <v>237</v>
      </c>
      <c r="J453" s="2" t="s">
        <v>291</v>
      </c>
      <c r="K453" s="2" t="s">
        <v>188</v>
      </c>
    </row>
    <row r="454" spans="1:12">
      <c r="A454" s="2" t="s">
        <v>1220</v>
      </c>
      <c r="B454" s="2" t="s">
        <v>1220</v>
      </c>
      <c r="C454" s="2" t="s">
        <v>3355</v>
      </c>
      <c r="D454" s="2" t="s">
        <v>1217</v>
      </c>
      <c r="E454" s="2" t="s">
        <v>223</v>
      </c>
      <c r="F454" s="2">
        <v>1983</v>
      </c>
      <c r="G454" s="2" t="s">
        <v>184</v>
      </c>
      <c r="H454" s="2" t="s">
        <v>1220</v>
      </c>
      <c r="I454" s="2" t="s">
        <v>225</v>
      </c>
      <c r="J454" s="2" t="s">
        <v>603</v>
      </c>
      <c r="K454" s="2" t="s">
        <v>187</v>
      </c>
      <c r="L454" s="2" t="s">
        <v>3313</v>
      </c>
    </row>
    <row r="455" spans="1:12">
      <c r="A455" s="2" t="s">
        <v>1846</v>
      </c>
      <c r="B455" s="2" t="s">
        <v>1846</v>
      </c>
      <c r="C455" s="2" t="s">
        <v>3356</v>
      </c>
      <c r="D455" s="2" t="s">
        <v>1844</v>
      </c>
      <c r="E455" s="2" t="s">
        <v>183</v>
      </c>
      <c r="F455" s="2">
        <v>1974</v>
      </c>
      <c r="G455" s="2" t="s">
        <v>224</v>
      </c>
      <c r="H455" s="2" t="s">
        <v>1846</v>
      </c>
      <c r="I455" s="2" t="s">
        <v>185</v>
      </c>
      <c r="J455" s="2" t="s">
        <v>186</v>
      </c>
      <c r="K455" s="2" t="s">
        <v>187</v>
      </c>
      <c r="L455" s="2" t="s">
        <v>3357</v>
      </c>
    </row>
    <row r="456" spans="1:12">
      <c r="A456" s="2" t="s">
        <v>1846</v>
      </c>
      <c r="B456" s="2" t="s">
        <v>1846</v>
      </c>
      <c r="C456" s="2" t="s">
        <v>3358</v>
      </c>
      <c r="D456" s="2" t="s">
        <v>1844</v>
      </c>
      <c r="E456" s="2" t="s">
        <v>223</v>
      </c>
      <c r="F456" s="2">
        <v>1979</v>
      </c>
      <c r="G456" s="2" t="s">
        <v>224</v>
      </c>
      <c r="H456" s="2" t="s">
        <v>3359</v>
      </c>
      <c r="I456" s="2" t="s">
        <v>225</v>
      </c>
      <c r="J456" s="2" t="s">
        <v>226</v>
      </c>
      <c r="K456" s="2" t="s">
        <v>187</v>
      </c>
      <c r="L456" s="2" t="s">
        <v>3360</v>
      </c>
    </row>
    <row r="457" spans="1:12">
      <c r="A457" s="2" t="s">
        <v>1846</v>
      </c>
      <c r="B457" s="2" t="s">
        <v>1846</v>
      </c>
      <c r="C457" s="2" t="s">
        <v>3361</v>
      </c>
      <c r="D457" s="2" t="s">
        <v>1844</v>
      </c>
      <c r="E457" s="2" t="s">
        <v>183</v>
      </c>
      <c r="F457" s="2">
        <v>2002</v>
      </c>
      <c r="G457" s="2" t="s">
        <v>224</v>
      </c>
      <c r="H457" s="2" t="s">
        <v>3362</v>
      </c>
      <c r="I457" s="2" t="s">
        <v>237</v>
      </c>
      <c r="J457" s="2" t="s">
        <v>685</v>
      </c>
      <c r="K457" s="2" t="s">
        <v>188</v>
      </c>
    </row>
    <row r="458" spans="1:12">
      <c r="A458" s="2" t="s">
        <v>1563</v>
      </c>
      <c r="B458" s="2" t="s">
        <v>1563</v>
      </c>
      <c r="C458" s="2" t="s">
        <v>3363</v>
      </c>
      <c r="D458" s="2" t="s">
        <v>1562</v>
      </c>
      <c r="E458" s="2" t="s">
        <v>183</v>
      </c>
      <c r="G458" s="2" t="s">
        <v>184</v>
      </c>
      <c r="H458" s="2" t="s">
        <v>1563</v>
      </c>
      <c r="I458" s="2" t="s">
        <v>185</v>
      </c>
      <c r="J458" s="2" t="s">
        <v>270</v>
      </c>
      <c r="K458" s="2" t="s">
        <v>187</v>
      </c>
      <c r="L458" s="2" t="s">
        <v>3364</v>
      </c>
    </row>
    <row r="459" spans="1:12">
      <c r="A459" s="2" t="s">
        <v>1563</v>
      </c>
      <c r="B459" s="2" t="s">
        <v>1563</v>
      </c>
      <c r="C459" s="2" t="s">
        <v>3365</v>
      </c>
      <c r="D459" s="2" t="s">
        <v>1562</v>
      </c>
      <c r="E459" s="2" t="s">
        <v>223</v>
      </c>
      <c r="F459" s="2">
        <v>1982</v>
      </c>
      <c r="G459" s="2" t="s">
        <v>184</v>
      </c>
      <c r="H459" s="2" t="s">
        <v>3366</v>
      </c>
      <c r="I459" s="2" t="s">
        <v>225</v>
      </c>
      <c r="J459" s="2" t="s">
        <v>270</v>
      </c>
      <c r="K459" s="2" t="s">
        <v>187</v>
      </c>
      <c r="L459" s="2" t="s">
        <v>2621</v>
      </c>
    </row>
    <row r="460" spans="1:12">
      <c r="A460" s="2" t="s">
        <v>1242</v>
      </c>
      <c r="B460" s="2" t="s">
        <v>1242</v>
      </c>
      <c r="C460" s="2" t="s">
        <v>3367</v>
      </c>
      <c r="D460" s="2" t="s">
        <v>1240</v>
      </c>
      <c r="E460" s="2" t="s">
        <v>223</v>
      </c>
      <c r="F460" s="2">
        <v>2018</v>
      </c>
      <c r="G460" s="2" t="s">
        <v>184</v>
      </c>
      <c r="H460" s="2" t="s">
        <v>3368</v>
      </c>
      <c r="I460" s="2" t="s">
        <v>237</v>
      </c>
      <c r="J460" s="2" t="s">
        <v>291</v>
      </c>
      <c r="K460" s="2" t="s">
        <v>188</v>
      </c>
    </row>
    <row r="461" spans="1:12">
      <c r="A461" s="2" t="s">
        <v>1242</v>
      </c>
      <c r="B461" s="2" t="s">
        <v>1242</v>
      </c>
      <c r="C461" s="2" t="s">
        <v>3369</v>
      </c>
      <c r="D461" s="2" t="s">
        <v>1240</v>
      </c>
      <c r="E461" s="2" t="s">
        <v>183</v>
      </c>
      <c r="F461" s="2">
        <v>2014</v>
      </c>
      <c r="G461" s="2" t="s">
        <v>184</v>
      </c>
      <c r="H461" s="2" t="s">
        <v>3370</v>
      </c>
      <c r="I461" s="2" t="s">
        <v>237</v>
      </c>
      <c r="J461" s="2" t="s">
        <v>291</v>
      </c>
      <c r="K461" s="2" t="s">
        <v>188</v>
      </c>
    </row>
    <row r="462" spans="1:12">
      <c r="A462" s="2" t="s">
        <v>1242</v>
      </c>
      <c r="B462" s="2" t="s">
        <v>1242</v>
      </c>
      <c r="C462" s="2" t="s">
        <v>3371</v>
      </c>
      <c r="D462" s="2" t="s">
        <v>1240</v>
      </c>
      <c r="E462" s="2" t="s">
        <v>183</v>
      </c>
      <c r="F462" s="2">
        <v>1993</v>
      </c>
      <c r="G462" s="2" t="s">
        <v>184</v>
      </c>
      <c r="H462" s="2" t="s">
        <v>3372</v>
      </c>
      <c r="I462" s="2" t="s">
        <v>185</v>
      </c>
      <c r="J462" s="2" t="s">
        <v>186</v>
      </c>
      <c r="K462" s="2" t="s">
        <v>187</v>
      </c>
      <c r="L462" s="2" t="s">
        <v>3244</v>
      </c>
    </row>
    <row r="463" spans="1:12">
      <c r="A463" s="2" t="s">
        <v>1242</v>
      </c>
      <c r="B463" s="2" t="s">
        <v>1242</v>
      </c>
      <c r="C463" s="2" t="s">
        <v>3373</v>
      </c>
      <c r="D463" s="2" t="s">
        <v>1240</v>
      </c>
      <c r="E463" s="2" t="s">
        <v>223</v>
      </c>
      <c r="F463" s="2">
        <v>1993</v>
      </c>
      <c r="G463" s="2" t="s">
        <v>184</v>
      </c>
      <c r="H463" s="2" t="s">
        <v>3374</v>
      </c>
      <c r="I463" s="2" t="s">
        <v>225</v>
      </c>
      <c r="J463" s="2" t="s">
        <v>186</v>
      </c>
      <c r="K463" s="2" t="s">
        <v>187</v>
      </c>
      <c r="L463" s="2" t="s">
        <v>3247</v>
      </c>
    </row>
    <row r="464" spans="1:12">
      <c r="A464" s="2" t="s">
        <v>1242</v>
      </c>
      <c r="B464" s="2" t="s">
        <v>1242</v>
      </c>
      <c r="C464" s="2" t="s">
        <v>3375</v>
      </c>
      <c r="D464" s="2" t="s">
        <v>1240</v>
      </c>
      <c r="E464" s="2" t="s">
        <v>223</v>
      </c>
      <c r="F464" s="2">
        <v>2012</v>
      </c>
      <c r="G464" s="2" t="s">
        <v>184</v>
      </c>
      <c r="H464" s="2" t="s">
        <v>3376</v>
      </c>
      <c r="I464" s="2" t="s">
        <v>237</v>
      </c>
      <c r="J464" s="2" t="s">
        <v>291</v>
      </c>
      <c r="K464" s="2" t="s">
        <v>188</v>
      </c>
    </row>
    <row r="465" spans="1:12">
      <c r="A465" s="2" t="s">
        <v>1295</v>
      </c>
      <c r="B465" s="2" t="s">
        <v>1296</v>
      </c>
      <c r="C465" s="2" t="s">
        <v>3377</v>
      </c>
      <c r="D465" s="2" t="s">
        <v>1293</v>
      </c>
      <c r="E465" s="2" t="s">
        <v>223</v>
      </c>
      <c r="F465" s="2">
        <v>1996</v>
      </c>
      <c r="G465" s="2" t="s">
        <v>184</v>
      </c>
      <c r="H465" s="2" t="s">
        <v>3378</v>
      </c>
      <c r="I465" s="2" t="s">
        <v>225</v>
      </c>
      <c r="J465" s="2" t="s">
        <v>270</v>
      </c>
      <c r="K465" s="2" t="s">
        <v>187</v>
      </c>
      <c r="L465" s="2" t="s">
        <v>3247</v>
      </c>
    </row>
    <row r="466" spans="1:12">
      <c r="A466" s="2" t="s">
        <v>1295</v>
      </c>
      <c r="B466" s="2" t="s">
        <v>1296</v>
      </c>
      <c r="C466" s="2" t="s">
        <v>3379</v>
      </c>
      <c r="D466" s="2" t="s">
        <v>1293</v>
      </c>
      <c r="E466" s="2" t="s">
        <v>183</v>
      </c>
      <c r="F466" s="2">
        <v>2016</v>
      </c>
      <c r="G466" s="2" t="s">
        <v>184</v>
      </c>
      <c r="H466" s="2" t="s">
        <v>3380</v>
      </c>
      <c r="I466" s="2" t="s">
        <v>237</v>
      </c>
      <c r="J466" s="2" t="s">
        <v>291</v>
      </c>
      <c r="K466" s="2" t="s">
        <v>188</v>
      </c>
    </row>
    <row r="467" spans="1:12">
      <c r="A467" s="2" t="s">
        <v>1295</v>
      </c>
      <c r="B467" s="2" t="s">
        <v>1296</v>
      </c>
      <c r="C467" s="2" t="s">
        <v>3381</v>
      </c>
      <c r="D467" s="2" t="s">
        <v>1293</v>
      </c>
      <c r="E467" s="2" t="s">
        <v>183</v>
      </c>
      <c r="F467" s="2">
        <v>1997</v>
      </c>
      <c r="G467" s="2" t="s">
        <v>184</v>
      </c>
      <c r="H467" s="2" t="s">
        <v>3372</v>
      </c>
      <c r="I467" s="2" t="s">
        <v>185</v>
      </c>
      <c r="J467" s="2" t="s">
        <v>270</v>
      </c>
      <c r="K467" s="2" t="s">
        <v>187</v>
      </c>
      <c r="L467" s="2" t="s">
        <v>3300</v>
      </c>
    </row>
    <row r="468" spans="1:12">
      <c r="A468" s="2" t="s">
        <v>1295</v>
      </c>
      <c r="B468" s="2" t="s">
        <v>1296</v>
      </c>
      <c r="C468" s="2" t="s">
        <v>3382</v>
      </c>
      <c r="D468" s="2" t="s">
        <v>1293</v>
      </c>
      <c r="E468" s="2" t="s">
        <v>183</v>
      </c>
      <c r="F468" s="2">
        <v>2020</v>
      </c>
      <c r="G468" s="2" t="s">
        <v>184</v>
      </c>
      <c r="H468" s="2" t="s">
        <v>3383</v>
      </c>
      <c r="I468" s="2" t="s">
        <v>237</v>
      </c>
      <c r="J468" s="2" t="s">
        <v>291</v>
      </c>
      <c r="K468" s="2" t="s">
        <v>188</v>
      </c>
    </row>
    <row r="469" spans="1:12">
      <c r="A469" s="2" t="s">
        <v>1879</v>
      </c>
      <c r="B469" s="2" t="s">
        <v>1880</v>
      </c>
      <c r="C469" s="2" t="s">
        <v>3384</v>
      </c>
      <c r="D469" s="2" t="s">
        <v>1877</v>
      </c>
      <c r="E469" s="2" t="s">
        <v>183</v>
      </c>
      <c r="F469" s="2">
        <v>2010</v>
      </c>
      <c r="G469" s="2" t="s">
        <v>224</v>
      </c>
      <c r="H469" s="2" t="s">
        <v>3385</v>
      </c>
      <c r="I469" s="2" t="s">
        <v>237</v>
      </c>
      <c r="J469" s="2" t="s">
        <v>291</v>
      </c>
      <c r="K469" s="2" t="s">
        <v>188</v>
      </c>
    </row>
    <row r="470" spans="1:12">
      <c r="A470" s="2" t="s">
        <v>1879</v>
      </c>
      <c r="B470" s="2" t="s">
        <v>1880</v>
      </c>
      <c r="C470" s="2" t="s">
        <v>3386</v>
      </c>
      <c r="D470" s="2" t="s">
        <v>1877</v>
      </c>
      <c r="E470" s="2" t="s">
        <v>223</v>
      </c>
      <c r="F470" s="2">
        <v>1988</v>
      </c>
      <c r="G470" s="2" t="s">
        <v>224</v>
      </c>
      <c r="H470" s="2" t="s">
        <v>1879</v>
      </c>
      <c r="I470" s="2" t="s">
        <v>225</v>
      </c>
      <c r="J470" s="2" t="s">
        <v>226</v>
      </c>
      <c r="K470" s="2" t="s">
        <v>187</v>
      </c>
      <c r="L470" s="2" t="s">
        <v>2632</v>
      </c>
    </row>
    <row r="471" spans="1:12">
      <c r="A471" s="2" t="s">
        <v>1879</v>
      </c>
      <c r="B471" s="2" t="s">
        <v>1880</v>
      </c>
      <c r="C471" s="2" t="s">
        <v>3387</v>
      </c>
      <c r="D471" s="2" t="s">
        <v>1877</v>
      </c>
      <c r="E471" s="2" t="s">
        <v>223</v>
      </c>
      <c r="F471" s="2">
        <v>2012</v>
      </c>
      <c r="G471" s="2" t="s">
        <v>224</v>
      </c>
      <c r="H471" s="2" t="s">
        <v>3388</v>
      </c>
      <c r="I471" s="2" t="s">
        <v>237</v>
      </c>
      <c r="J471" s="2" t="s">
        <v>291</v>
      </c>
      <c r="K471" s="2" t="s">
        <v>188</v>
      </c>
    </row>
    <row r="472" spans="1:12">
      <c r="A472" s="2" t="s">
        <v>1879</v>
      </c>
      <c r="B472" s="2" t="s">
        <v>1880</v>
      </c>
      <c r="C472" s="2" t="s">
        <v>3389</v>
      </c>
      <c r="D472" s="2" t="s">
        <v>1877</v>
      </c>
      <c r="E472" s="2" t="s">
        <v>183</v>
      </c>
      <c r="F472" s="2">
        <v>1986</v>
      </c>
      <c r="G472" s="2" t="s">
        <v>224</v>
      </c>
      <c r="H472" s="2" t="s">
        <v>1880</v>
      </c>
      <c r="I472" s="2" t="s">
        <v>185</v>
      </c>
      <c r="J472" s="2" t="s">
        <v>226</v>
      </c>
      <c r="K472" s="2" t="s">
        <v>187</v>
      </c>
      <c r="L472" s="2" t="s">
        <v>2598</v>
      </c>
    </row>
    <row r="473" spans="1:12">
      <c r="A473" s="2" t="s">
        <v>1908</v>
      </c>
      <c r="B473" s="2" t="s">
        <v>1909</v>
      </c>
      <c r="C473" s="2" t="s">
        <v>3390</v>
      </c>
      <c r="D473" s="2" t="s">
        <v>1906</v>
      </c>
      <c r="E473" s="2" t="s">
        <v>183</v>
      </c>
      <c r="F473" s="2">
        <v>1974</v>
      </c>
      <c r="G473" s="2" t="s">
        <v>224</v>
      </c>
      <c r="H473" s="2" t="s">
        <v>1909</v>
      </c>
      <c r="I473" s="2" t="s">
        <v>185</v>
      </c>
      <c r="J473" s="2" t="s">
        <v>226</v>
      </c>
      <c r="K473" s="2" t="s">
        <v>187</v>
      </c>
      <c r="L473" s="2" t="s">
        <v>2598</v>
      </c>
    </row>
    <row r="474" spans="1:12">
      <c r="A474" s="2" t="s">
        <v>1908</v>
      </c>
      <c r="B474" s="2" t="s">
        <v>1909</v>
      </c>
      <c r="C474" s="2" t="s">
        <v>3391</v>
      </c>
      <c r="D474" s="2" t="s">
        <v>1906</v>
      </c>
      <c r="E474" s="2" t="s">
        <v>223</v>
      </c>
      <c r="F474" s="2">
        <v>1983</v>
      </c>
      <c r="G474" s="2" t="s">
        <v>224</v>
      </c>
      <c r="H474" s="2" t="s">
        <v>1908</v>
      </c>
      <c r="I474" s="2" t="s">
        <v>225</v>
      </c>
      <c r="J474" s="2" t="s">
        <v>226</v>
      </c>
      <c r="K474" s="2" t="s">
        <v>187</v>
      </c>
      <c r="L474" s="2" t="s">
        <v>3392</v>
      </c>
    </row>
    <row r="475" spans="1:12">
      <c r="A475" s="2" t="s">
        <v>1908</v>
      </c>
      <c r="B475" s="2" t="s">
        <v>1909</v>
      </c>
      <c r="C475" s="2" t="s">
        <v>3393</v>
      </c>
      <c r="D475" s="2" t="s">
        <v>1906</v>
      </c>
      <c r="E475" s="2" t="s">
        <v>183</v>
      </c>
      <c r="F475" s="2">
        <v>2003</v>
      </c>
      <c r="G475" s="2" t="s">
        <v>224</v>
      </c>
      <c r="H475" s="2" t="s">
        <v>3394</v>
      </c>
      <c r="I475" s="2" t="s">
        <v>237</v>
      </c>
      <c r="J475" s="2" t="s">
        <v>685</v>
      </c>
      <c r="K475" s="2" t="s">
        <v>188</v>
      </c>
    </row>
    <row r="476" spans="1:12">
      <c r="A476" s="2" t="s">
        <v>1908</v>
      </c>
      <c r="B476" s="2" t="s">
        <v>1909</v>
      </c>
      <c r="C476" s="2" t="s">
        <v>3395</v>
      </c>
      <c r="D476" s="2" t="s">
        <v>1906</v>
      </c>
      <c r="E476" s="2" t="s">
        <v>223</v>
      </c>
      <c r="F476" s="2">
        <v>2005</v>
      </c>
      <c r="G476" s="2" t="s">
        <v>224</v>
      </c>
      <c r="H476" s="2" t="s">
        <v>3396</v>
      </c>
      <c r="I476" s="2" t="s">
        <v>237</v>
      </c>
      <c r="J476" s="2" t="s">
        <v>685</v>
      </c>
      <c r="K476" s="2" t="s">
        <v>188</v>
      </c>
    </row>
    <row r="477" spans="1:12">
      <c r="A477" s="2" t="s">
        <v>1928</v>
      </c>
      <c r="B477" s="2" t="s">
        <v>1929</v>
      </c>
      <c r="C477" s="2" t="s">
        <v>3397</v>
      </c>
      <c r="D477" s="2" t="s">
        <v>1927</v>
      </c>
      <c r="E477" s="2" t="s">
        <v>223</v>
      </c>
      <c r="F477" s="2">
        <v>1974</v>
      </c>
      <c r="G477" s="2" t="s">
        <v>224</v>
      </c>
      <c r="H477" s="2" t="s">
        <v>1928</v>
      </c>
      <c r="I477" s="2" t="s">
        <v>225</v>
      </c>
      <c r="J477" s="2" t="s">
        <v>226</v>
      </c>
      <c r="K477" s="2" t="s">
        <v>187</v>
      </c>
      <c r="L477" s="2" t="s">
        <v>3251</v>
      </c>
    </row>
    <row r="478" spans="1:12">
      <c r="A478" s="2" t="s">
        <v>1928</v>
      </c>
      <c r="B478" s="2" t="s">
        <v>1929</v>
      </c>
      <c r="C478" s="2" t="s">
        <v>3398</v>
      </c>
      <c r="D478" s="2" t="s">
        <v>1927</v>
      </c>
      <c r="E478" s="2" t="s">
        <v>183</v>
      </c>
      <c r="F478" s="2">
        <v>1970</v>
      </c>
      <c r="G478" s="2" t="s">
        <v>224</v>
      </c>
      <c r="H478" s="2" t="s">
        <v>1929</v>
      </c>
      <c r="I478" s="2" t="s">
        <v>185</v>
      </c>
      <c r="J478" s="2" t="s">
        <v>226</v>
      </c>
      <c r="K478" s="2" t="s">
        <v>187</v>
      </c>
      <c r="L478" s="2" t="s">
        <v>2598</v>
      </c>
    </row>
    <row r="479" spans="1:12">
      <c r="A479" s="2" t="s">
        <v>1540</v>
      </c>
      <c r="B479" s="2" t="s">
        <v>1540</v>
      </c>
      <c r="C479" s="2" t="s">
        <v>3399</v>
      </c>
      <c r="D479" s="2" t="s">
        <v>1539</v>
      </c>
      <c r="E479" s="2" t="s">
        <v>223</v>
      </c>
      <c r="F479" s="2">
        <v>1999</v>
      </c>
      <c r="G479" s="2" t="s">
        <v>184</v>
      </c>
      <c r="H479" s="2" t="s">
        <v>3400</v>
      </c>
      <c r="I479" s="2" t="s">
        <v>225</v>
      </c>
      <c r="J479" s="2" t="s">
        <v>186</v>
      </c>
      <c r="K479" s="2" t="s">
        <v>187</v>
      </c>
      <c r="L479" s="2" t="s">
        <v>2621</v>
      </c>
    </row>
    <row r="480" spans="1:12">
      <c r="A480" s="2" t="s">
        <v>1540</v>
      </c>
      <c r="B480" s="2" t="s">
        <v>1540</v>
      </c>
      <c r="C480" s="2" t="s">
        <v>3401</v>
      </c>
      <c r="D480" s="2" t="s">
        <v>1539</v>
      </c>
      <c r="E480" s="2" t="s">
        <v>183</v>
      </c>
      <c r="F480" s="2">
        <v>1997</v>
      </c>
      <c r="G480" s="2" t="s">
        <v>184</v>
      </c>
      <c r="H480" s="2" t="s">
        <v>1540</v>
      </c>
      <c r="I480" s="2" t="s">
        <v>185</v>
      </c>
      <c r="J480" s="2" t="s">
        <v>270</v>
      </c>
      <c r="K480" s="2" t="s">
        <v>187</v>
      </c>
      <c r="L480" s="2" t="s">
        <v>2598</v>
      </c>
    </row>
    <row r="481" spans="1:12">
      <c r="A481" s="2" t="s">
        <v>427</v>
      </c>
      <c r="B481" s="2" t="s">
        <v>427</v>
      </c>
      <c r="C481" s="2" t="s">
        <v>3402</v>
      </c>
      <c r="D481" s="2" t="s">
        <v>1526</v>
      </c>
      <c r="E481" s="2" t="s">
        <v>183</v>
      </c>
      <c r="F481" s="2">
        <v>1993</v>
      </c>
      <c r="G481" s="2" t="s">
        <v>184</v>
      </c>
      <c r="H481" s="2" t="s">
        <v>427</v>
      </c>
      <c r="I481" s="2" t="s">
        <v>185</v>
      </c>
      <c r="J481" s="2" t="s">
        <v>186</v>
      </c>
      <c r="K481" s="2" t="s">
        <v>187</v>
      </c>
      <c r="L481" s="2" t="s">
        <v>2598</v>
      </c>
    </row>
    <row r="482" spans="1:12">
      <c r="A482" s="2" t="s">
        <v>1486</v>
      </c>
      <c r="B482" s="2" t="s">
        <v>1487</v>
      </c>
      <c r="C482" s="2" t="s">
        <v>3403</v>
      </c>
      <c r="D482" s="2" t="s">
        <v>1485</v>
      </c>
      <c r="E482" s="2" t="s">
        <v>183</v>
      </c>
      <c r="F482" s="2">
        <v>1989</v>
      </c>
      <c r="G482" s="2" t="s">
        <v>184</v>
      </c>
      <c r="H482" s="2" t="s">
        <v>1487</v>
      </c>
      <c r="I482" s="2" t="s">
        <v>185</v>
      </c>
      <c r="J482" s="2" t="s">
        <v>226</v>
      </c>
      <c r="K482" s="2" t="s">
        <v>187</v>
      </c>
      <c r="L482" s="2" t="s">
        <v>2598</v>
      </c>
    </row>
    <row r="483" spans="1:12">
      <c r="A483" s="2" t="s">
        <v>1486</v>
      </c>
      <c r="B483" s="2" t="s">
        <v>1487</v>
      </c>
      <c r="C483" s="2" t="s">
        <v>3404</v>
      </c>
      <c r="D483" s="2" t="s">
        <v>1485</v>
      </c>
      <c r="E483" s="2" t="s">
        <v>223</v>
      </c>
      <c r="F483" s="2">
        <v>1996</v>
      </c>
      <c r="G483" s="2" t="s">
        <v>834</v>
      </c>
      <c r="H483" s="2" t="s">
        <v>1486</v>
      </c>
      <c r="I483" s="2" t="s">
        <v>225</v>
      </c>
      <c r="J483" s="2" t="s">
        <v>186</v>
      </c>
      <c r="K483" s="2" t="s">
        <v>187</v>
      </c>
      <c r="L483" s="2" t="s">
        <v>2621</v>
      </c>
    </row>
    <row r="484" spans="1:12">
      <c r="A484" s="2" t="s">
        <v>1319</v>
      </c>
      <c r="B484" s="2" t="s">
        <v>1320</v>
      </c>
      <c r="C484" s="2" t="s">
        <v>3405</v>
      </c>
      <c r="D484" s="2" t="s">
        <v>1317</v>
      </c>
      <c r="E484" s="2" t="s">
        <v>223</v>
      </c>
      <c r="F484" s="2">
        <v>2007</v>
      </c>
      <c r="G484" s="2" t="s">
        <v>184</v>
      </c>
      <c r="H484" s="2" t="s">
        <v>1319</v>
      </c>
      <c r="I484" s="2" t="s">
        <v>225</v>
      </c>
      <c r="J484" s="2" t="s">
        <v>186</v>
      </c>
      <c r="K484" s="2" t="s">
        <v>187</v>
      </c>
      <c r="L484" s="2" t="s">
        <v>2758</v>
      </c>
    </row>
    <row r="485" spans="1:12">
      <c r="A485" s="2" t="s">
        <v>1319</v>
      </c>
      <c r="B485" s="2" t="s">
        <v>1320</v>
      </c>
      <c r="C485" s="2" t="s">
        <v>3406</v>
      </c>
      <c r="D485" s="2" t="s">
        <v>1317</v>
      </c>
      <c r="E485" s="2" t="s">
        <v>183</v>
      </c>
      <c r="F485" s="2">
        <v>2002</v>
      </c>
      <c r="G485" s="2" t="s">
        <v>184</v>
      </c>
      <c r="H485" s="2" t="s">
        <v>1320</v>
      </c>
      <c r="I485" s="2" t="s">
        <v>185</v>
      </c>
      <c r="J485" s="2" t="s">
        <v>186</v>
      </c>
      <c r="K485" s="2" t="s">
        <v>187</v>
      </c>
      <c r="L485" s="2" t="s">
        <v>2572</v>
      </c>
    </row>
    <row r="486" spans="1:12">
      <c r="A486" s="2" t="s">
        <v>1319</v>
      </c>
      <c r="B486" s="2" t="s">
        <v>1320</v>
      </c>
      <c r="C486" s="2" t="s">
        <v>3407</v>
      </c>
      <c r="D486" s="2" t="s">
        <v>1317</v>
      </c>
      <c r="E486" s="2" t="s">
        <v>223</v>
      </c>
      <c r="F486" s="2">
        <v>2023</v>
      </c>
      <c r="G486" s="2" t="s">
        <v>184</v>
      </c>
      <c r="H486" s="2" t="s">
        <v>3408</v>
      </c>
      <c r="I486" s="2" t="s">
        <v>237</v>
      </c>
      <c r="J486" s="2" t="s">
        <v>291</v>
      </c>
      <c r="K486" s="2" t="s">
        <v>188</v>
      </c>
    </row>
    <row r="487" spans="1:12">
      <c r="A487" s="2" t="s">
        <v>1477</v>
      </c>
      <c r="B487" s="2" t="s">
        <v>1477</v>
      </c>
      <c r="C487" s="2" t="s">
        <v>3409</v>
      </c>
      <c r="D487" s="2" t="s">
        <v>1476</v>
      </c>
      <c r="E487" s="2" t="s">
        <v>223</v>
      </c>
      <c r="F487" s="2">
        <v>1962</v>
      </c>
      <c r="G487" s="2" t="s">
        <v>224</v>
      </c>
      <c r="H487" s="2" t="s">
        <v>3410</v>
      </c>
      <c r="I487" s="2" t="s">
        <v>2457</v>
      </c>
      <c r="J487" s="2" t="s">
        <v>270</v>
      </c>
      <c r="K487" s="2" t="s">
        <v>188</v>
      </c>
    </row>
    <row r="488" spans="1:12">
      <c r="A488" s="2" t="s">
        <v>1477</v>
      </c>
      <c r="B488" s="2" t="s">
        <v>1477</v>
      </c>
      <c r="C488" s="2" t="s">
        <v>3411</v>
      </c>
      <c r="D488" s="2" t="s">
        <v>1476</v>
      </c>
      <c r="E488" s="2" t="s">
        <v>183</v>
      </c>
      <c r="F488" s="2">
        <v>1959</v>
      </c>
      <c r="G488" s="2" t="s">
        <v>224</v>
      </c>
      <c r="H488" s="2" t="s">
        <v>3412</v>
      </c>
      <c r="I488" s="2" t="s">
        <v>2457</v>
      </c>
      <c r="J488" s="2" t="s">
        <v>270</v>
      </c>
      <c r="K488" s="2" t="s">
        <v>188</v>
      </c>
    </row>
    <row r="489" spans="1:12">
      <c r="A489" s="2" t="s">
        <v>1477</v>
      </c>
      <c r="B489" s="2" t="s">
        <v>1477</v>
      </c>
      <c r="C489" s="2" t="s">
        <v>3413</v>
      </c>
      <c r="D489" s="2" t="s">
        <v>1476</v>
      </c>
      <c r="E489" s="2" t="s">
        <v>183</v>
      </c>
      <c r="F489" s="2">
        <v>1987</v>
      </c>
      <c r="G489" s="2" t="s">
        <v>224</v>
      </c>
      <c r="H489" s="2" t="s">
        <v>1477</v>
      </c>
      <c r="I489" s="2" t="s">
        <v>185</v>
      </c>
      <c r="J489" s="2" t="s">
        <v>186</v>
      </c>
      <c r="K489" s="2" t="s">
        <v>187</v>
      </c>
      <c r="L489" s="2" t="s">
        <v>2598</v>
      </c>
    </row>
    <row r="490" spans="1:12">
      <c r="A490" s="2" t="s">
        <v>1456</v>
      </c>
      <c r="B490" s="2" t="s">
        <v>1456</v>
      </c>
      <c r="C490" s="2" t="s">
        <v>3414</v>
      </c>
      <c r="D490" s="2" t="s">
        <v>1455</v>
      </c>
      <c r="E490" s="2" t="s">
        <v>223</v>
      </c>
      <c r="F490" s="2">
        <v>1972</v>
      </c>
      <c r="G490" s="2" t="s">
        <v>184</v>
      </c>
      <c r="H490" s="2" t="s">
        <v>1456</v>
      </c>
      <c r="I490" s="2" t="s">
        <v>185</v>
      </c>
      <c r="J490" s="2" t="s">
        <v>603</v>
      </c>
      <c r="K490" s="2" t="s">
        <v>187</v>
      </c>
      <c r="L490" s="2" t="s">
        <v>2598</v>
      </c>
    </row>
    <row r="491" spans="1:12">
      <c r="A491" s="2" t="s">
        <v>1434</v>
      </c>
      <c r="B491" s="2" t="s">
        <v>1434</v>
      </c>
      <c r="C491" s="2" t="s">
        <v>3415</v>
      </c>
      <c r="D491" s="2" t="s">
        <v>1433</v>
      </c>
      <c r="E491" s="2" t="s">
        <v>183</v>
      </c>
      <c r="F491" s="2">
        <v>2012</v>
      </c>
      <c r="G491" s="2" t="s">
        <v>224</v>
      </c>
      <c r="H491" s="2" t="s">
        <v>3416</v>
      </c>
      <c r="I491" s="2" t="s">
        <v>237</v>
      </c>
      <c r="J491" s="2" t="s">
        <v>186</v>
      </c>
      <c r="K491" s="2" t="s">
        <v>188</v>
      </c>
    </row>
    <row r="492" spans="1:12">
      <c r="A492" s="2" t="s">
        <v>1434</v>
      </c>
      <c r="B492" s="2" t="s">
        <v>1434</v>
      </c>
      <c r="C492" s="2" t="s">
        <v>3417</v>
      </c>
      <c r="D492" s="2" t="s">
        <v>1433</v>
      </c>
      <c r="E492" s="2" t="s">
        <v>183</v>
      </c>
      <c r="F492" s="2">
        <v>1984</v>
      </c>
      <c r="G492" s="2" t="s">
        <v>224</v>
      </c>
      <c r="H492" s="2" t="s">
        <v>1434</v>
      </c>
      <c r="I492" s="2" t="s">
        <v>185</v>
      </c>
      <c r="J492" s="2" t="s">
        <v>270</v>
      </c>
      <c r="K492" s="2" t="s">
        <v>187</v>
      </c>
      <c r="L492" s="2" t="s">
        <v>2598</v>
      </c>
    </row>
    <row r="493" spans="1:12">
      <c r="A493" s="2" t="s">
        <v>1434</v>
      </c>
      <c r="B493" s="2" t="s">
        <v>1434</v>
      </c>
      <c r="C493" s="2" t="s">
        <v>3418</v>
      </c>
      <c r="D493" s="2" t="s">
        <v>1433</v>
      </c>
      <c r="E493" s="2" t="s">
        <v>223</v>
      </c>
      <c r="F493" s="2">
        <v>2022</v>
      </c>
      <c r="G493" s="2" t="s">
        <v>224</v>
      </c>
      <c r="H493" s="2" t="s">
        <v>3419</v>
      </c>
      <c r="I493" s="2" t="s">
        <v>237</v>
      </c>
      <c r="J493" s="2" t="s">
        <v>603</v>
      </c>
      <c r="K493" s="2" t="s">
        <v>188</v>
      </c>
    </row>
    <row r="494" spans="1:12">
      <c r="A494" s="2" t="s">
        <v>1434</v>
      </c>
      <c r="B494" s="2" t="s">
        <v>1434</v>
      </c>
      <c r="C494" s="2" t="s">
        <v>3420</v>
      </c>
      <c r="D494" s="2" t="s">
        <v>1433</v>
      </c>
      <c r="E494" s="2" t="s">
        <v>223</v>
      </c>
      <c r="F494" s="2">
        <v>1988</v>
      </c>
      <c r="G494" s="2" t="s">
        <v>184</v>
      </c>
      <c r="H494" s="2" t="s">
        <v>3421</v>
      </c>
      <c r="I494" s="2" t="s">
        <v>225</v>
      </c>
      <c r="J494" s="2" t="s">
        <v>186</v>
      </c>
      <c r="K494" s="2" t="s">
        <v>187</v>
      </c>
      <c r="L494" s="2" t="s">
        <v>3069</v>
      </c>
    </row>
    <row r="495" spans="1:12">
      <c r="A495" s="2" t="s">
        <v>1434</v>
      </c>
      <c r="B495" s="2" t="s">
        <v>1434</v>
      </c>
      <c r="C495" s="2" t="s">
        <v>3422</v>
      </c>
      <c r="D495" s="2" t="s">
        <v>1433</v>
      </c>
      <c r="E495" s="2" t="s">
        <v>183</v>
      </c>
      <c r="F495" s="2">
        <v>2009</v>
      </c>
      <c r="G495" s="2" t="s">
        <v>224</v>
      </c>
      <c r="H495" s="2" t="s">
        <v>3423</v>
      </c>
      <c r="I495" s="2" t="s">
        <v>237</v>
      </c>
      <c r="J495" s="2" t="s">
        <v>186</v>
      </c>
      <c r="K495" s="2" t="s">
        <v>188</v>
      </c>
    </row>
    <row r="496" spans="1:12">
      <c r="A496" s="2" t="s">
        <v>1434</v>
      </c>
      <c r="B496" s="2" t="s">
        <v>1434</v>
      </c>
      <c r="C496" s="2" t="s">
        <v>3424</v>
      </c>
      <c r="D496" s="2" t="s">
        <v>1433</v>
      </c>
      <c r="E496" s="2" t="s">
        <v>223</v>
      </c>
      <c r="F496" s="2">
        <v>2014</v>
      </c>
      <c r="G496" s="2" t="s">
        <v>224</v>
      </c>
      <c r="H496" s="2" t="s">
        <v>3425</v>
      </c>
      <c r="I496" s="2" t="s">
        <v>237</v>
      </c>
      <c r="J496" s="2" t="s">
        <v>270</v>
      </c>
      <c r="K496" s="2" t="s">
        <v>188</v>
      </c>
    </row>
    <row r="497" spans="1:12">
      <c r="A497" s="2" t="s">
        <v>1364</v>
      </c>
      <c r="B497" s="2" t="s">
        <v>1365</v>
      </c>
      <c r="C497" s="2" t="s">
        <v>3426</v>
      </c>
      <c r="D497" s="2" t="s">
        <v>1361</v>
      </c>
      <c r="E497" s="2" t="s">
        <v>183</v>
      </c>
      <c r="F497" s="2">
        <v>2019</v>
      </c>
      <c r="G497" s="2" t="s">
        <v>184</v>
      </c>
      <c r="H497" s="2" t="s">
        <v>3427</v>
      </c>
      <c r="I497" s="2" t="s">
        <v>237</v>
      </c>
      <c r="J497" s="2" t="s">
        <v>291</v>
      </c>
      <c r="K497" s="2" t="s">
        <v>188</v>
      </c>
    </row>
    <row r="498" spans="1:12">
      <c r="A498" s="2" t="s">
        <v>1364</v>
      </c>
      <c r="B498" s="2" t="s">
        <v>1365</v>
      </c>
      <c r="C498" s="2" t="s">
        <v>3428</v>
      </c>
      <c r="D498" s="2" t="s">
        <v>1361</v>
      </c>
      <c r="E498" s="2" t="s">
        <v>183</v>
      </c>
      <c r="F498" s="2">
        <v>1999</v>
      </c>
      <c r="G498" s="2" t="s">
        <v>184</v>
      </c>
      <c r="H498" s="2" t="s">
        <v>1365</v>
      </c>
      <c r="I498" s="2" t="s">
        <v>185</v>
      </c>
      <c r="J498" s="2" t="s">
        <v>270</v>
      </c>
      <c r="K498" s="2" t="s">
        <v>187</v>
      </c>
      <c r="L498" s="2" t="s">
        <v>2579</v>
      </c>
    </row>
    <row r="499" spans="1:12">
      <c r="A499" s="2" t="s">
        <v>1364</v>
      </c>
      <c r="B499" s="2" t="s">
        <v>1365</v>
      </c>
      <c r="C499" s="2" t="s">
        <v>3429</v>
      </c>
      <c r="D499" s="2" t="s">
        <v>1361</v>
      </c>
      <c r="E499" s="2" t="s">
        <v>183</v>
      </c>
      <c r="F499" s="2">
        <v>2022</v>
      </c>
      <c r="G499" s="2" t="s">
        <v>184</v>
      </c>
      <c r="H499" s="2" t="s">
        <v>3430</v>
      </c>
      <c r="I499" s="2" t="s">
        <v>237</v>
      </c>
      <c r="J499" s="2" t="s">
        <v>291</v>
      </c>
      <c r="K499" s="2" t="s">
        <v>188</v>
      </c>
    </row>
    <row r="500" spans="1:12">
      <c r="A500" s="2" t="s">
        <v>1364</v>
      </c>
      <c r="B500" s="2" t="s">
        <v>1365</v>
      </c>
      <c r="C500" s="2" t="s">
        <v>3431</v>
      </c>
      <c r="D500" s="2" t="s">
        <v>1361</v>
      </c>
      <c r="E500" s="2" t="s">
        <v>223</v>
      </c>
      <c r="F500" s="2">
        <v>2000</v>
      </c>
      <c r="G500" s="2" t="s">
        <v>184</v>
      </c>
      <c r="H500" s="2" t="s">
        <v>1364</v>
      </c>
      <c r="I500" s="2" t="s">
        <v>225</v>
      </c>
      <c r="J500" s="2" t="s">
        <v>270</v>
      </c>
      <c r="K500" s="2" t="s">
        <v>187</v>
      </c>
      <c r="L500" s="2" t="s">
        <v>2632</v>
      </c>
    </row>
    <row r="501" spans="1:12">
      <c r="A501" s="2" t="s">
        <v>1364</v>
      </c>
      <c r="B501" s="2" t="s">
        <v>1365</v>
      </c>
      <c r="C501" s="2" t="s">
        <v>3432</v>
      </c>
      <c r="D501" s="2" t="s">
        <v>1361</v>
      </c>
      <c r="E501" s="2" t="s">
        <v>223</v>
      </c>
      <c r="F501" s="2">
        <v>2025</v>
      </c>
      <c r="G501" s="2" t="s">
        <v>184</v>
      </c>
      <c r="H501" s="2" t="s">
        <v>3433</v>
      </c>
      <c r="I501" s="2" t="s">
        <v>237</v>
      </c>
      <c r="J501" s="2" t="s">
        <v>291</v>
      </c>
      <c r="K501" s="2" t="s">
        <v>188</v>
      </c>
    </row>
    <row r="502" spans="1:12">
      <c r="A502" s="2" t="s">
        <v>436</v>
      </c>
      <c r="B502" s="2" t="s">
        <v>1390</v>
      </c>
      <c r="C502" s="2" t="s">
        <v>3434</v>
      </c>
      <c r="D502" s="2" t="s">
        <v>1389</v>
      </c>
      <c r="E502" s="2" t="s">
        <v>183</v>
      </c>
      <c r="F502" s="2">
        <v>1978</v>
      </c>
      <c r="G502" s="2" t="s">
        <v>184</v>
      </c>
      <c r="H502" s="2" t="s">
        <v>1390</v>
      </c>
      <c r="I502" s="2" t="s">
        <v>185</v>
      </c>
      <c r="J502" s="2" t="s">
        <v>270</v>
      </c>
      <c r="K502" s="2" t="s">
        <v>187</v>
      </c>
      <c r="L502" s="2" t="s">
        <v>2572</v>
      </c>
    </row>
    <row r="503" spans="1:12">
      <c r="A503" s="2" t="s">
        <v>436</v>
      </c>
      <c r="B503" s="2" t="s">
        <v>1390</v>
      </c>
      <c r="C503" s="2" t="s">
        <v>3435</v>
      </c>
      <c r="D503" s="2" t="s">
        <v>1389</v>
      </c>
      <c r="E503" s="2" t="s">
        <v>223</v>
      </c>
      <c r="F503" s="2">
        <v>1982</v>
      </c>
      <c r="G503" s="2" t="s">
        <v>184</v>
      </c>
      <c r="H503" s="2" t="s">
        <v>436</v>
      </c>
      <c r="I503" s="2" t="s">
        <v>225</v>
      </c>
      <c r="J503" s="2" t="s">
        <v>603</v>
      </c>
      <c r="K503" s="2" t="s">
        <v>187</v>
      </c>
      <c r="L503" s="2" t="s">
        <v>2632</v>
      </c>
    </row>
    <row r="504" spans="1:12">
      <c r="A504" s="2" t="s">
        <v>1386</v>
      </c>
      <c r="B504" s="2" t="s">
        <v>1387</v>
      </c>
      <c r="C504" s="2" t="s">
        <v>3436</v>
      </c>
      <c r="D504" s="2" t="s">
        <v>1383</v>
      </c>
      <c r="E504" s="2" t="s">
        <v>223</v>
      </c>
      <c r="F504" s="2">
        <v>2004</v>
      </c>
      <c r="G504" s="2" t="s">
        <v>184</v>
      </c>
      <c r="H504" s="2" t="s">
        <v>1386</v>
      </c>
      <c r="I504" s="2" t="s">
        <v>225</v>
      </c>
      <c r="J504" s="2" t="s">
        <v>186</v>
      </c>
      <c r="K504" s="2" t="s">
        <v>187</v>
      </c>
      <c r="L504" s="2" t="s">
        <v>2632</v>
      </c>
    </row>
    <row r="505" spans="1:12">
      <c r="A505" s="2" t="s">
        <v>1386</v>
      </c>
      <c r="B505" s="2" t="s">
        <v>1387</v>
      </c>
      <c r="C505" s="2" t="s">
        <v>3437</v>
      </c>
      <c r="D505" s="2" t="s">
        <v>1383</v>
      </c>
      <c r="E505" s="2" t="s">
        <v>183</v>
      </c>
      <c r="F505" s="2">
        <v>2023</v>
      </c>
      <c r="G505" s="2" t="s">
        <v>184</v>
      </c>
      <c r="H505" s="2" t="s">
        <v>3438</v>
      </c>
      <c r="I505" s="2" t="s">
        <v>237</v>
      </c>
      <c r="J505" s="2" t="s">
        <v>291</v>
      </c>
      <c r="K505" s="2" t="s">
        <v>188</v>
      </c>
    </row>
    <row r="506" spans="1:12">
      <c r="A506" s="2" t="s">
        <v>1386</v>
      </c>
      <c r="B506" s="2" t="s">
        <v>1387</v>
      </c>
      <c r="C506" s="2" t="s">
        <v>3439</v>
      </c>
      <c r="D506" s="2" t="s">
        <v>1383</v>
      </c>
      <c r="E506" s="2" t="s">
        <v>183</v>
      </c>
      <c r="F506" s="2">
        <v>2020</v>
      </c>
      <c r="G506" s="2" t="s">
        <v>184</v>
      </c>
      <c r="H506" s="2" t="s">
        <v>3440</v>
      </c>
      <c r="I506" s="2" t="s">
        <v>237</v>
      </c>
      <c r="J506" s="2" t="s">
        <v>291</v>
      </c>
      <c r="K506" s="2" t="s">
        <v>188</v>
      </c>
    </row>
    <row r="507" spans="1:12">
      <c r="A507" s="2" t="s">
        <v>1386</v>
      </c>
      <c r="B507" s="2" t="s">
        <v>1387</v>
      </c>
      <c r="C507" s="2" t="s">
        <v>3441</v>
      </c>
      <c r="D507" s="2" t="s">
        <v>1383</v>
      </c>
      <c r="E507" s="2" t="s">
        <v>183</v>
      </c>
      <c r="F507" s="2">
        <v>2001</v>
      </c>
      <c r="G507" s="2" t="s">
        <v>184</v>
      </c>
      <c r="H507" s="2" t="s">
        <v>1387</v>
      </c>
      <c r="I507" s="2" t="s">
        <v>185</v>
      </c>
      <c r="J507" s="2" t="s">
        <v>270</v>
      </c>
      <c r="K507" s="2" t="s">
        <v>187</v>
      </c>
      <c r="L507" s="2" t="s">
        <v>2576</v>
      </c>
    </row>
    <row r="508" spans="1:12">
      <c r="A508" s="2" t="s">
        <v>1426</v>
      </c>
      <c r="B508" s="2" t="s">
        <v>1427</v>
      </c>
      <c r="C508" s="2" t="s">
        <v>3442</v>
      </c>
      <c r="D508" s="2" t="s">
        <v>1424</v>
      </c>
      <c r="E508" s="2" t="s">
        <v>183</v>
      </c>
      <c r="F508" s="2">
        <v>1997</v>
      </c>
      <c r="G508" s="2" t="s">
        <v>184</v>
      </c>
      <c r="H508" s="2" t="s">
        <v>1426</v>
      </c>
      <c r="I508" s="2" t="s">
        <v>185</v>
      </c>
      <c r="J508" s="2" t="s">
        <v>603</v>
      </c>
      <c r="K508" s="2" t="s">
        <v>187</v>
      </c>
      <c r="L508" s="2" t="s">
        <v>2572</v>
      </c>
    </row>
    <row r="509" spans="1:12">
      <c r="A509" s="2" t="s">
        <v>1426</v>
      </c>
      <c r="B509" s="2" t="s">
        <v>1427</v>
      </c>
      <c r="C509" s="2" t="s">
        <v>3443</v>
      </c>
      <c r="D509" s="2" t="s">
        <v>1424</v>
      </c>
      <c r="E509" s="2" t="s">
        <v>223</v>
      </c>
      <c r="F509" s="2">
        <v>1960</v>
      </c>
      <c r="G509" s="2" t="s">
        <v>184</v>
      </c>
      <c r="H509" s="2" t="s">
        <v>3444</v>
      </c>
      <c r="I509" s="2" t="s">
        <v>2457</v>
      </c>
      <c r="J509" s="2" t="s">
        <v>270</v>
      </c>
      <c r="K509" s="2" t="s">
        <v>187</v>
      </c>
      <c r="L509" s="2" t="s">
        <v>2758</v>
      </c>
    </row>
    <row r="510" spans="1:12">
      <c r="A510" s="2" t="s">
        <v>1426</v>
      </c>
      <c r="B510" s="2" t="s">
        <v>1427</v>
      </c>
      <c r="C510" s="2" t="s">
        <v>3445</v>
      </c>
      <c r="D510" s="2" t="s">
        <v>1424</v>
      </c>
      <c r="E510" s="2" t="s">
        <v>183</v>
      </c>
      <c r="F510" s="2">
        <v>1962</v>
      </c>
      <c r="G510" s="2" t="s">
        <v>184</v>
      </c>
      <c r="H510" s="2" t="s">
        <v>1427</v>
      </c>
      <c r="I510" s="2" t="s">
        <v>2457</v>
      </c>
      <c r="J510" s="2" t="s">
        <v>270</v>
      </c>
      <c r="K510" s="2" t="s">
        <v>187</v>
      </c>
      <c r="L510" s="2" t="s">
        <v>2576</v>
      </c>
    </row>
    <row r="511" spans="1:12">
      <c r="A511" s="2" t="s">
        <v>1352</v>
      </c>
      <c r="B511" s="2" t="s">
        <v>1353</v>
      </c>
      <c r="C511" s="2" t="s">
        <v>3446</v>
      </c>
      <c r="D511" s="2" t="s">
        <v>1351</v>
      </c>
      <c r="E511" s="2" t="s">
        <v>223</v>
      </c>
      <c r="F511" s="2">
        <v>2006</v>
      </c>
      <c r="G511" s="2" t="s">
        <v>184</v>
      </c>
      <c r="H511" s="2" t="s">
        <v>3447</v>
      </c>
      <c r="I511" s="2" t="s">
        <v>237</v>
      </c>
      <c r="J511" s="2" t="s">
        <v>270</v>
      </c>
      <c r="K511" s="2" t="s">
        <v>187</v>
      </c>
      <c r="L511" s="2" t="s">
        <v>2758</v>
      </c>
    </row>
    <row r="512" spans="1:12">
      <c r="A512" s="2" t="s">
        <v>1352</v>
      </c>
      <c r="B512" s="2" t="s">
        <v>1353</v>
      </c>
      <c r="C512" s="2" t="s">
        <v>3448</v>
      </c>
      <c r="D512" s="2" t="s">
        <v>1351</v>
      </c>
      <c r="E512" s="2" t="s">
        <v>183</v>
      </c>
      <c r="F512" s="2">
        <v>1978</v>
      </c>
      <c r="G512" s="2" t="s">
        <v>184</v>
      </c>
      <c r="H512" s="2" t="s">
        <v>3449</v>
      </c>
      <c r="I512" s="2" t="s">
        <v>185</v>
      </c>
      <c r="J512" s="2" t="s">
        <v>270</v>
      </c>
      <c r="K512" s="2" t="s">
        <v>187</v>
      </c>
      <c r="L512" s="2" t="s">
        <v>2572</v>
      </c>
    </row>
    <row r="513" spans="1:12">
      <c r="A513" s="2" t="s">
        <v>1352</v>
      </c>
      <c r="B513" s="2" t="s">
        <v>1353</v>
      </c>
      <c r="C513" s="2" t="s">
        <v>3450</v>
      </c>
      <c r="D513" s="2" t="s">
        <v>1351</v>
      </c>
      <c r="E513" s="2" t="s">
        <v>183</v>
      </c>
      <c r="F513" s="2">
        <v>2005</v>
      </c>
      <c r="G513" s="2" t="s">
        <v>184</v>
      </c>
      <c r="H513" s="2" t="s">
        <v>1352</v>
      </c>
      <c r="I513" s="2" t="s">
        <v>237</v>
      </c>
      <c r="J513" s="2" t="s">
        <v>186</v>
      </c>
      <c r="K513" s="2" t="s">
        <v>187</v>
      </c>
      <c r="L513" s="2" t="s">
        <v>2572</v>
      </c>
    </row>
    <row r="514" spans="1:12">
      <c r="A514" s="2" t="s">
        <v>1451</v>
      </c>
      <c r="B514" s="2" t="s">
        <v>1452</v>
      </c>
      <c r="C514" s="2" t="s">
        <v>3451</v>
      </c>
      <c r="D514" s="2" t="s">
        <v>1449</v>
      </c>
      <c r="E514" s="2" t="s">
        <v>223</v>
      </c>
      <c r="F514" s="2">
        <v>2000</v>
      </c>
      <c r="G514" s="2" t="s">
        <v>184</v>
      </c>
      <c r="H514" s="2" t="s">
        <v>3452</v>
      </c>
      <c r="I514" s="2" t="s">
        <v>237</v>
      </c>
      <c r="J514" s="2" t="s">
        <v>226</v>
      </c>
      <c r="K514" s="2" t="s">
        <v>187</v>
      </c>
      <c r="L514" s="2" t="s">
        <v>2758</v>
      </c>
    </row>
    <row r="515" spans="1:12">
      <c r="A515" s="2" t="s">
        <v>1451</v>
      </c>
      <c r="B515" s="2" t="s">
        <v>1452</v>
      </c>
      <c r="C515" s="2" t="s">
        <v>3453</v>
      </c>
      <c r="D515" s="2" t="s">
        <v>1449</v>
      </c>
      <c r="E515" s="2" t="s">
        <v>223</v>
      </c>
      <c r="F515" s="2">
        <v>1982</v>
      </c>
      <c r="G515" s="2" t="s">
        <v>184</v>
      </c>
      <c r="H515" s="2" t="s">
        <v>3454</v>
      </c>
      <c r="I515" s="2" t="s">
        <v>225</v>
      </c>
      <c r="J515" s="2" t="s">
        <v>603</v>
      </c>
      <c r="K515" s="2" t="s">
        <v>187</v>
      </c>
      <c r="L515" s="2" t="s">
        <v>2632</v>
      </c>
    </row>
    <row r="516" spans="1:12">
      <c r="A516" s="2" t="s">
        <v>1451</v>
      </c>
      <c r="B516" s="2" t="s">
        <v>1452</v>
      </c>
      <c r="C516" s="2" t="s">
        <v>3455</v>
      </c>
      <c r="D516" s="2" t="s">
        <v>1449</v>
      </c>
      <c r="E516" s="2" t="s">
        <v>183</v>
      </c>
      <c r="F516" s="2">
        <v>1977</v>
      </c>
      <c r="G516" s="2" t="s">
        <v>184</v>
      </c>
      <c r="H516" s="2" t="s">
        <v>1452</v>
      </c>
      <c r="I516" s="2" t="s">
        <v>185</v>
      </c>
      <c r="J516" s="2" t="s">
        <v>186</v>
      </c>
      <c r="K516" s="2" t="s">
        <v>187</v>
      </c>
      <c r="L516" s="2" t="s">
        <v>2579</v>
      </c>
    </row>
    <row r="517" spans="1:12">
      <c r="A517" s="2" t="s">
        <v>1298</v>
      </c>
      <c r="B517" s="2" t="s">
        <v>1298</v>
      </c>
      <c r="C517" s="2" t="s">
        <v>3456</v>
      </c>
      <c r="D517" s="2" t="s">
        <v>1297</v>
      </c>
      <c r="E517" s="2" t="s">
        <v>223</v>
      </c>
      <c r="F517" s="2">
        <v>2008</v>
      </c>
      <c r="G517" s="2" t="s">
        <v>184</v>
      </c>
      <c r="H517" s="2" t="s">
        <v>3457</v>
      </c>
      <c r="I517" s="2" t="s">
        <v>237</v>
      </c>
      <c r="J517" s="2" t="s">
        <v>226</v>
      </c>
      <c r="K517" s="2" t="s">
        <v>188</v>
      </c>
    </row>
    <row r="518" spans="1:12">
      <c r="A518" s="2" t="s">
        <v>1298</v>
      </c>
      <c r="B518" s="2" t="s">
        <v>1298</v>
      </c>
      <c r="C518" s="2" t="s">
        <v>3458</v>
      </c>
      <c r="D518" s="2" t="s">
        <v>1297</v>
      </c>
      <c r="E518" s="2" t="s">
        <v>183</v>
      </c>
      <c r="F518" s="2">
        <v>2011</v>
      </c>
      <c r="G518" s="2" t="s">
        <v>184</v>
      </c>
      <c r="H518" s="2" t="s">
        <v>3459</v>
      </c>
      <c r="I518" s="2" t="s">
        <v>237</v>
      </c>
      <c r="J518" s="2" t="s">
        <v>186</v>
      </c>
      <c r="K518" s="2" t="s">
        <v>188</v>
      </c>
    </row>
    <row r="519" spans="1:12">
      <c r="A519" s="2" t="s">
        <v>1298</v>
      </c>
      <c r="B519" s="2" t="s">
        <v>1298</v>
      </c>
      <c r="C519" s="2" t="s">
        <v>3460</v>
      </c>
      <c r="D519" s="2" t="s">
        <v>1297</v>
      </c>
      <c r="E519" s="2" t="s">
        <v>183</v>
      </c>
      <c r="F519" s="2">
        <v>1980</v>
      </c>
      <c r="G519" s="2" t="s">
        <v>184</v>
      </c>
      <c r="H519" s="2" t="s">
        <v>1298</v>
      </c>
      <c r="I519" s="2" t="s">
        <v>185</v>
      </c>
      <c r="J519" s="2" t="s">
        <v>270</v>
      </c>
      <c r="K519" s="2" t="s">
        <v>187</v>
      </c>
      <c r="L519" s="2" t="s">
        <v>2598</v>
      </c>
    </row>
    <row r="520" spans="1:12">
      <c r="A520" s="2" t="s">
        <v>1298</v>
      </c>
      <c r="B520" s="2" t="s">
        <v>1298</v>
      </c>
      <c r="C520" s="2" t="s">
        <v>3461</v>
      </c>
      <c r="D520" s="2" t="s">
        <v>1297</v>
      </c>
      <c r="E520" s="2" t="s">
        <v>223</v>
      </c>
      <c r="F520" s="2">
        <v>1992</v>
      </c>
      <c r="G520" s="2" t="s">
        <v>184</v>
      </c>
      <c r="H520" s="2" t="s">
        <v>3462</v>
      </c>
      <c r="I520" s="2" t="s">
        <v>225</v>
      </c>
      <c r="J520" s="2" t="s">
        <v>186</v>
      </c>
      <c r="K520" s="2" t="s">
        <v>187</v>
      </c>
      <c r="L520" s="2" t="s">
        <v>2632</v>
      </c>
    </row>
    <row r="521" spans="1:12">
      <c r="A521" s="2" t="s">
        <v>1298</v>
      </c>
      <c r="B521" s="2" t="s">
        <v>1298</v>
      </c>
      <c r="C521" s="2" t="s">
        <v>3463</v>
      </c>
      <c r="D521" s="2" t="s">
        <v>1297</v>
      </c>
      <c r="E521" s="2" t="s">
        <v>223</v>
      </c>
      <c r="F521" s="2">
        <v>2014</v>
      </c>
      <c r="G521" s="2" t="s">
        <v>184</v>
      </c>
      <c r="H521" s="2" t="s">
        <v>1198</v>
      </c>
      <c r="J521" s="2" t="s">
        <v>270</v>
      </c>
      <c r="K521" s="2" t="s">
        <v>188</v>
      </c>
    </row>
    <row r="522" spans="1:12">
      <c r="A522" s="2" t="s">
        <v>731</v>
      </c>
      <c r="B522" s="2" t="s">
        <v>731</v>
      </c>
      <c r="C522" s="2" t="s">
        <v>3464</v>
      </c>
      <c r="D522" s="2" t="s">
        <v>728</v>
      </c>
      <c r="E522" s="2" t="s">
        <v>223</v>
      </c>
      <c r="F522" s="2">
        <v>1998</v>
      </c>
      <c r="G522" s="2" t="s">
        <v>184</v>
      </c>
      <c r="H522" s="2" t="s">
        <v>3465</v>
      </c>
      <c r="I522" s="2" t="s">
        <v>225</v>
      </c>
      <c r="J522" s="2" t="s">
        <v>226</v>
      </c>
      <c r="K522" s="2" t="s">
        <v>187</v>
      </c>
      <c r="L522" s="2" t="s">
        <v>2879</v>
      </c>
    </row>
    <row r="523" spans="1:12">
      <c r="A523" s="2" t="s">
        <v>1471</v>
      </c>
      <c r="B523" s="2" t="s">
        <v>1472</v>
      </c>
      <c r="C523" s="2" t="s">
        <v>3466</v>
      </c>
      <c r="D523" s="2" t="s">
        <v>1469</v>
      </c>
      <c r="E523" s="2" t="s">
        <v>223</v>
      </c>
      <c r="F523" s="2">
        <v>1985</v>
      </c>
      <c r="G523" s="2" t="s">
        <v>184</v>
      </c>
      <c r="H523" s="2" t="s">
        <v>1471</v>
      </c>
      <c r="I523" s="2" t="s">
        <v>225</v>
      </c>
      <c r="J523" s="2" t="s">
        <v>186</v>
      </c>
      <c r="K523" s="2" t="s">
        <v>187</v>
      </c>
      <c r="L523" s="2" t="s">
        <v>2632</v>
      </c>
    </row>
    <row r="524" spans="1:12">
      <c r="A524" s="2" t="s">
        <v>1471</v>
      </c>
      <c r="B524" s="2" t="s">
        <v>1472</v>
      </c>
      <c r="C524" s="2" t="s">
        <v>3467</v>
      </c>
      <c r="D524" s="2" t="s">
        <v>1469</v>
      </c>
      <c r="E524" s="2" t="s">
        <v>183</v>
      </c>
      <c r="F524" s="2">
        <v>1982</v>
      </c>
      <c r="G524" s="2" t="s">
        <v>184</v>
      </c>
      <c r="H524" s="2" t="s">
        <v>1472</v>
      </c>
      <c r="I524" s="2" t="s">
        <v>185</v>
      </c>
      <c r="J524" s="2" t="s">
        <v>603</v>
      </c>
      <c r="K524" s="2" t="s">
        <v>187</v>
      </c>
      <c r="L524" s="2" t="s">
        <v>2579</v>
      </c>
    </row>
    <row r="525" spans="1:12">
      <c r="A525" s="2" t="s">
        <v>1471</v>
      </c>
      <c r="B525" s="2" t="s">
        <v>1472</v>
      </c>
      <c r="C525" s="2" t="s">
        <v>3468</v>
      </c>
      <c r="D525" s="2" t="s">
        <v>1469</v>
      </c>
      <c r="E525" s="2" t="s">
        <v>183</v>
      </c>
      <c r="F525" s="2">
        <v>2017</v>
      </c>
      <c r="G525" s="2" t="s">
        <v>184</v>
      </c>
      <c r="H525" s="2" t="s">
        <v>3469</v>
      </c>
      <c r="I525" s="2" t="s">
        <v>237</v>
      </c>
      <c r="J525" s="2" t="s">
        <v>291</v>
      </c>
      <c r="K525" s="2" t="s">
        <v>188</v>
      </c>
    </row>
    <row r="526" spans="1:12">
      <c r="A526" s="2" t="s">
        <v>1471</v>
      </c>
      <c r="B526" s="2" t="s">
        <v>1472</v>
      </c>
      <c r="C526" s="2" t="s">
        <v>3470</v>
      </c>
      <c r="D526" s="2" t="s">
        <v>1469</v>
      </c>
      <c r="E526" s="2" t="s">
        <v>183</v>
      </c>
      <c r="F526" s="2">
        <v>2011</v>
      </c>
      <c r="G526" s="2" t="s">
        <v>184</v>
      </c>
      <c r="H526" s="2" t="s">
        <v>802</v>
      </c>
      <c r="I526" s="2" t="s">
        <v>237</v>
      </c>
      <c r="J526" s="2" t="s">
        <v>291</v>
      </c>
      <c r="K526" s="2" t="s">
        <v>188</v>
      </c>
    </row>
    <row r="527" spans="1:12">
      <c r="A527" s="2" t="s">
        <v>1471</v>
      </c>
      <c r="B527" s="2" t="s">
        <v>1472</v>
      </c>
      <c r="C527" s="2" t="s">
        <v>3471</v>
      </c>
      <c r="D527" s="2" t="s">
        <v>1469</v>
      </c>
      <c r="E527" s="2" t="s">
        <v>183</v>
      </c>
      <c r="F527" s="2">
        <v>2013</v>
      </c>
      <c r="G527" s="2" t="s">
        <v>184</v>
      </c>
      <c r="H527" s="2" t="s">
        <v>3472</v>
      </c>
      <c r="I527" s="2" t="s">
        <v>237</v>
      </c>
      <c r="J527" s="2" t="s">
        <v>291</v>
      </c>
      <c r="K527" s="2" t="s">
        <v>188</v>
      </c>
    </row>
    <row r="528" spans="1:12">
      <c r="A528" s="2" t="s">
        <v>1471</v>
      </c>
      <c r="B528" s="2" t="s">
        <v>1472</v>
      </c>
      <c r="C528" s="2" t="s">
        <v>3473</v>
      </c>
      <c r="D528" s="2" t="s">
        <v>1469</v>
      </c>
      <c r="E528" s="2" t="s">
        <v>183</v>
      </c>
      <c r="F528" s="2">
        <v>2008</v>
      </c>
      <c r="G528" s="2" t="s">
        <v>184</v>
      </c>
      <c r="H528" s="2" t="s">
        <v>1013</v>
      </c>
      <c r="I528" s="2" t="s">
        <v>237</v>
      </c>
      <c r="J528" s="2" t="s">
        <v>226</v>
      </c>
      <c r="K528" s="2" t="s">
        <v>187</v>
      </c>
      <c r="L528" s="2" t="s">
        <v>2576</v>
      </c>
    </row>
    <row r="529" spans="1:12">
      <c r="A529" s="2" t="s">
        <v>1251</v>
      </c>
      <c r="B529" s="2" t="s">
        <v>1251</v>
      </c>
      <c r="C529" s="2" t="s">
        <v>3474</v>
      </c>
      <c r="D529" s="2" t="s">
        <v>1250</v>
      </c>
      <c r="E529" s="2" t="s">
        <v>223</v>
      </c>
      <c r="F529" s="2">
        <v>2018</v>
      </c>
      <c r="G529" s="2" t="s">
        <v>184</v>
      </c>
      <c r="H529" s="2" t="s">
        <v>3475</v>
      </c>
      <c r="I529" s="2" t="s">
        <v>237</v>
      </c>
      <c r="J529" s="2" t="s">
        <v>270</v>
      </c>
      <c r="K529" s="2" t="s">
        <v>188</v>
      </c>
    </row>
    <row r="530" spans="1:12">
      <c r="A530" s="2" t="s">
        <v>1251</v>
      </c>
      <c r="B530" s="2" t="s">
        <v>1251</v>
      </c>
      <c r="C530" s="2" t="s">
        <v>3476</v>
      </c>
      <c r="D530" s="2" t="s">
        <v>1250</v>
      </c>
      <c r="E530" s="2" t="s">
        <v>183</v>
      </c>
      <c r="F530" s="2">
        <v>1993</v>
      </c>
      <c r="G530" s="2" t="s">
        <v>184</v>
      </c>
      <c r="H530" s="2" t="s">
        <v>1251</v>
      </c>
      <c r="I530" s="2" t="s">
        <v>185</v>
      </c>
      <c r="J530" s="2" t="s">
        <v>270</v>
      </c>
      <c r="K530" s="2" t="s">
        <v>187</v>
      </c>
      <c r="L530" s="2" t="s">
        <v>2576</v>
      </c>
    </row>
    <row r="531" spans="1:12">
      <c r="A531" s="2" t="s">
        <v>1251</v>
      </c>
      <c r="B531" s="2" t="s">
        <v>1251</v>
      </c>
      <c r="C531" s="2" t="s">
        <v>3477</v>
      </c>
      <c r="D531" s="2" t="s">
        <v>1250</v>
      </c>
      <c r="E531" s="2" t="s">
        <v>223</v>
      </c>
      <c r="F531" s="2">
        <v>1993</v>
      </c>
      <c r="G531" s="2" t="s">
        <v>184</v>
      </c>
      <c r="H531" s="2" t="s">
        <v>3478</v>
      </c>
      <c r="I531" s="2" t="s">
        <v>225</v>
      </c>
      <c r="J531" s="2" t="s">
        <v>270</v>
      </c>
      <c r="K531" s="2" t="s">
        <v>187</v>
      </c>
      <c r="L531" s="2" t="s">
        <v>2632</v>
      </c>
    </row>
    <row r="532" spans="1:12">
      <c r="A532" s="2" t="s">
        <v>1251</v>
      </c>
      <c r="B532" s="2" t="s">
        <v>1251</v>
      </c>
      <c r="C532" s="2" t="s">
        <v>3479</v>
      </c>
      <c r="D532" s="2" t="s">
        <v>1250</v>
      </c>
      <c r="E532" s="2" t="s">
        <v>183</v>
      </c>
      <c r="F532" s="2">
        <v>2012</v>
      </c>
      <c r="G532" s="2" t="s">
        <v>184</v>
      </c>
      <c r="H532" s="2" t="s">
        <v>3480</v>
      </c>
      <c r="I532" s="2" t="s">
        <v>237</v>
      </c>
      <c r="J532" s="2" t="s">
        <v>270</v>
      </c>
      <c r="K532" s="2" t="s">
        <v>188</v>
      </c>
    </row>
    <row r="533" spans="1:12">
      <c r="A533" s="2" t="s">
        <v>1481</v>
      </c>
      <c r="B533" s="2" t="s">
        <v>1482</v>
      </c>
      <c r="C533" s="2" t="s">
        <v>3481</v>
      </c>
      <c r="D533" s="2" t="s">
        <v>1479</v>
      </c>
      <c r="E533" s="2" t="s">
        <v>183</v>
      </c>
      <c r="F533" s="2">
        <v>2018</v>
      </c>
      <c r="G533" s="2" t="s">
        <v>184</v>
      </c>
      <c r="H533" s="2" t="s">
        <v>3482</v>
      </c>
      <c r="I533" s="2" t="s">
        <v>237</v>
      </c>
      <c r="J533" s="2" t="s">
        <v>291</v>
      </c>
      <c r="K533" s="2" t="s">
        <v>188</v>
      </c>
    </row>
    <row r="534" spans="1:12">
      <c r="A534" s="2" t="s">
        <v>1481</v>
      </c>
      <c r="B534" s="2" t="s">
        <v>1482</v>
      </c>
      <c r="C534" s="2" t="s">
        <v>3483</v>
      </c>
      <c r="D534" s="2" t="s">
        <v>1479</v>
      </c>
      <c r="E534" s="2" t="s">
        <v>223</v>
      </c>
      <c r="F534" s="2">
        <v>2001</v>
      </c>
      <c r="G534" s="2" t="s">
        <v>184</v>
      </c>
      <c r="H534" s="2" t="s">
        <v>1481</v>
      </c>
      <c r="I534" s="2" t="s">
        <v>225</v>
      </c>
      <c r="J534" s="2" t="s">
        <v>270</v>
      </c>
      <c r="K534" s="2" t="s">
        <v>187</v>
      </c>
      <c r="L534" s="2" t="s">
        <v>2632</v>
      </c>
    </row>
    <row r="535" spans="1:12">
      <c r="A535" s="2" t="s">
        <v>1481</v>
      </c>
      <c r="B535" s="2" t="s">
        <v>1482</v>
      </c>
      <c r="C535" s="2" t="s">
        <v>3484</v>
      </c>
      <c r="D535" s="2" t="s">
        <v>1479</v>
      </c>
      <c r="E535" s="2" t="s">
        <v>183</v>
      </c>
      <c r="F535" s="2">
        <v>2001</v>
      </c>
      <c r="G535" s="2" t="s">
        <v>184</v>
      </c>
      <c r="H535" s="2" t="s">
        <v>1482</v>
      </c>
      <c r="I535" s="2" t="s">
        <v>185</v>
      </c>
      <c r="J535" s="2" t="s">
        <v>270</v>
      </c>
      <c r="K535" s="2" t="s">
        <v>187</v>
      </c>
      <c r="L535" s="2" t="s">
        <v>2576</v>
      </c>
    </row>
    <row r="536" spans="1:12">
      <c r="A536" s="2" t="s">
        <v>1208</v>
      </c>
      <c r="B536" s="2" t="s">
        <v>1209</v>
      </c>
      <c r="C536" s="2" t="s">
        <v>3485</v>
      </c>
      <c r="D536" s="2" t="s">
        <v>1205</v>
      </c>
      <c r="E536" s="2" t="s">
        <v>183</v>
      </c>
      <c r="F536" s="2">
        <v>1984</v>
      </c>
      <c r="G536" s="2" t="s">
        <v>184</v>
      </c>
      <c r="H536" s="2" t="s">
        <v>1209</v>
      </c>
      <c r="I536" s="2" t="s">
        <v>185</v>
      </c>
      <c r="J536" s="2" t="s">
        <v>270</v>
      </c>
      <c r="K536" s="2" t="s">
        <v>187</v>
      </c>
      <c r="L536" s="2" t="s">
        <v>3486</v>
      </c>
    </row>
    <row r="537" spans="1:12">
      <c r="A537" s="2" t="s">
        <v>1208</v>
      </c>
      <c r="B537" s="2" t="s">
        <v>1209</v>
      </c>
      <c r="C537" s="2" t="s">
        <v>3487</v>
      </c>
      <c r="D537" s="2" t="s">
        <v>1205</v>
      </c>
      <c r="E537" s="2" t="s">
        <v>223</v>
      </c>
      <c r="F537" s="2">
        <v>1986</v>
      </c>
      <c r="G537" s="2" t="s">
        <v>184</v>
      </c>
      <c r="H537" s="2" t="s">
        <v>1208</v>
      </c>
      <c r="I537" s="2" t="s">
        <v>225</v>
      </c>
      <c r="J537" s="2" t="s">
        <v>186</v>
      </c>
      <c r="K537" s="2" t="s">
        <v>187</v>
      </c>
      <c r="L537" s="2" t="s">
        <v>2766</v>
      </c>
    </row>
    <row r="538" spans="1:12">
      <c r="A538" s="2" t="s">
        <v>559</v>
      </c>
      <c r="B538" s="2" t="s">
        <v>560</v>
      </c>
      <c r="C538" s="2" t="s">
        <v>3488</v>
      </c>
      <c r="D538" s="2" t="s">
        <v>557</v>
      </c>
      <c r="E538" s="2" t="s">
        <v>223</v>
      </c>
      <c r="F538" s="2">
        <v>1969</v>
      </c>
      <c r="G538" s="2" t="s">
        <v>184</v>
      </c>
      <c r="H538" s="2" t="s">
        <v>559</v>
      </c>
      <c r="I538" s="2" t="s">
        <v>225</v>
      </c>
      <c r="J538" s="2" t="s">
        <v>270</v>
      </c>
      <c r="K538" s="2" t="s">
        <v>187</v>
      </c>
      <c r="L538" s="2" t="s">
        <v>2681</v>
      </c>
    </row>
    <row r="539" spans="1:12">
      <c r="A539" s="2" t="s">
        <v>1957</v>
      </c>
      <c r="B539" s="2" t="s">
        <v>1957</v>
      </c>
      <c r="C539" s="2" t="s">
        <v>3489</v>
      </c>
      <c r="D539" s="2" t="s">
        <v>1956</v>
      </c>
      <c r="E539" s="2" t="s">
        <v>223</v>
      </c>
      <c r="F539" s="2">
        <v>1991</v>
      </c>
      <c r="G539" s="2" t="s">
        <v>224</v>
      </c>
      <c r="H539" s="2" t="s">
        <v>3490</v>
      </c>
      <c r="I539" s="2" t="s">
        <v>237</v>
      </c>
      <c r="J539" s="2" t="s">
        <v>739</v>
      </c>
      <c r="K539" s="2" t="s">
        <v>188</v>
      </c>
    </row>
    <row r="540" spans="1:12">
      <c r="A540" s="2" t="s">
        <v>1957</v>
      </c>
      <c r="B540" s="2" t="s">
        <v>1957</v>
      </c>
      <c r="C540" s="2" t="s">
        <v>3491</v>
      </c>
      <c r="D540" s="2" t="s">
        <v>1956</v>
      </c>
      <c r="E540" s="2" t="s">
        <v>223</v>
      </c>
      <c r="F540" s="2">
        <v>1962</v>
      </c>
      <c r="G540" s="2" t="s">
        <v>224</v>
      </c>
      <c r="H540" s="2" t="s">
        <v>3492</v>
      </c>
      <c r="I540" s="2" t="s">
        <v>225</v>
      </c>
      <c r="J540" s="2" t="s">
        <v>186</v>
      </c>
      <c r="K540" s="2" t="s">
        <v>187</v>
      </c>
      <c r="L540" s="2" t="s">
        <v>2621</v>
      </c>
    </row>
    <row r="541" spans="1:12">
      <c r="A541" s="2" t="s">
        <v>1957</v>
      </c>
      <c r="B541" s="2" t="s">
        <v>1957</v>
      </c>
      <c r="C541" s="2" t="s">
        <v>3493</v>
      </c>
      <c r="D541" s="2" t="s">
        <v>1956</v>
      </c>
      <c r="E541" s="2" t="s">
        <v>183</v>
      </c>
      <c r="F541" s="2">
        <v>1957</v>
      </c>
      <c r="G541" s="2" t="s">
        <v>224</v>
      </c>
      <c r="H541" s="2" t="s">
        <v>1957</v>
      </c>
      <c r="I541" s="2" t="s">
        <v>185</v>
      </c>
      <c r="J541" s="2" t="s">
        <v>186</v>
      </c>
      <c r="K541" s="2" t="s">
        <v>187</v>
      </c>
      <c r="L541" s="2" t="s">
        <v>2598</v>
      </c>
    </row>
    <row r="542" spans="1:12">
      <c r="A542" s="2" t="s">
        <v>1957</v>
      </c>
      <c r="B542" s="2" t="s">
        <v>1957</v>
      </c>
      <c r="C542" s="2" t="s">
        <v>3494</v>
      </c>
      <c r="D542" s="2" t="s">
        <v>1956</v>
      </c>
      <c r="E542" s="2" t="s">
        <v>183</v>
      </c>
      <c r="F542" s="2">
        <v>1998</v>
      </c>
      <c r="G542" s="2" t="s">
        <v>224</v>
      </c>
      <c r="H542" s="2" t="s">
        <v>3495</v>
      </c>
      <c r="I542" s="2" t="s">
        <v>237</v>
      </c>
      <c r="J542" s="2" t="s">
        <v>739</v>
      </c>
      <c r="K542" s="2" t="s">
        <v>188</v>
      </c>
    </row>
    <row r="543" spans="1:12">
      <c r="A543" s="2" t="s">
        <v>1957</v>
      </c>
      <c r="B543" s="2" t="s">
        <v>1957</v>
      </c>
      <c r="C543" s="2" t="s">
        <v>3496</v>
      </c>
      <c r="D543" s="2" t="s">
        <v>1956</v>
      </c>
      <c r="E543" s="2" t="s">
        <v>183</v>
      </c>
      <c r="F543" s="2">
        <v>1988</v>
      </c>
      <c r="G543" s="2" t="s">
        <v>224</v>
      </c>
      <c r="H543" s="2" t="s">
        <v>3497</v>
      </c>
      <c r="I543" s="2" t="s">
        <v>237</v>
      </c>
      <c r="J543" s="2" t="s">
        <v>186</v>
      </c>
      <c r="K543" s="2" t="s">
        <v>187</v>
      </c>
      <c r="L543" s="2" t="s">
        <v>2579</v>
      </c>
    </row>
    <row r="544" spans="1:12">
      <c r="A544" s="2" t="s">
        <v>543</v>
      </c>
      <c r="B544" s="2" t="s">
        <v>543</v>
      </c>
      <c r="C544" s="2" t="s">
        <v>3498</v>
      </c>
      <c r="D544" s="2" t="s">
        <v>541</v>
      </c>
      <c r="E544" s="2" t="s">
        <v>223</v>
      </c>
      <c r="F544" s="2">
        <v>1993</v>
      </c>
      <c r="G544" s="2" t="s">
        <v>184</v>
      </c>
      <c r="H544" s="2" t="s">
        <v>3499</v>
      </c>
      <c r="I544" s="2" t="s">
        <v>225</v>
      </c>
      <c r="J544" s="2" t="s">
        <v>186</v>
      </c>
      <c r="K544" s="2" t="s">
        <v>187</v>
      </c>
      <c r="L544" s="2" t="s">
        <v>2632</v>
      </c>
    </row>
    <row r="545" spans="1:12">
      <c r="A545" s="2" t="s">
        <v>1490</v>
      </c>
      <c r="B545" s="2" t="s">
        <v>1490</v>
      </c>
      <c r="C545" s="2" t="s">
        <v>3500</v>
      </c>
      <c r="D545" s="2" t="s">
        <v>1488</v>
      </c>
      <c r="E545" s="2" t="s">
        <v>183</v>
      </c>
      <c r="F545" s="2">
        <v>2012</v>
      </c>
      <c r="G545" s="2" t="s">
        <v>184</v>
      </c>
      <c r="H545" s="2" t="s">
        <v>3501</v>
      </c>
      <c r="I545" s="2" t="s">
        <v>237</v>
      </c>
      <c r="J545" s="2" t="s">
        <v>186</v>
      </c>
      <c r="K545" s="2" t="s">
        <v>187</v>
      </c>
      <c r="L545" s="2" t="s">
        <v>2758</v>
      </c>
    </row>
    <row r="546" spans="1:12">
      <c r="A546" s="2" t="s">
        <v>1490</v>
      </c>
      <c r="B546" s="2" t="s">
        <v>1490</v>
      </c>
      <c r="C546" s="2" t="s">
        <v>3502</v>
      </c>
      <c r="D546" s="2" t="s">
        <v>1488</v>
      </c>
      <c r="E546" s="2" t="s">
        <v>223</v>
      </c>
      <c r="F546" s="2">
        <v>2014</v>
      </c>
      <c r="G546" s="2" t="s">
        <v>184</v>
      </c>
      <c r="H546" s="2" t="s">
        <v>3478</v>
      </c>
      <c r="I546" s="2" t="s">
        <v>237</v>
      </c>
      <c r="J546" s="2" t="s">
        <v>291</v>
      </c>
      <c r="K546" s="2" t="s">
        <v>188</v>
      </c>
    </row>
    <row r="547" spans="1:12">
      <c r="A547" s="2" t="s">
        <v>1490</v>
      </c>
      <c r="B547" s="2" t="s">
        <v>1490</v>
      </c>
      <c r="C547" s="2" t="s">
        <v>3503</v>
      </c>
      <c r="D547" s="2" t="s">
        <v>1488</v>
      </c>
      <c r="E547" s="2" t="s">
        <v>223</v>
      </c>
      <c r="F547" s="2">
        <v>1983</v>
      </c>
      <c r="G547" s="2" t="s">
        <v>184</v>
      </c>
      <c r="H547" s="2" t="s">
        <v>3504</v>
      </c>
      <c r="I547" s="2" t="s">
        <v>225</v>
      </c>
      <c r="J547" s="2" t="s">
        <v>603</v>
      </c>
      <c r="K547" s="2" t="s">
        <v>187</v>
      </c>
      <c r="L547" s="2" t="s">
        <v>2632</v>
      </c>
    </row>
    <row r="548" spans="1:12">
      <c r="A548" s="2" t="s">
        <v>1490</v>
      </c>
      <c r="B548" s="2" t="s">
        <v>1490</v>
      </c>
      <c r="C548" s="2" t="s">
        <v>3505</v>
      </c>
      <c r="D548" s="2" t="s">
        <v>1488</v>
      </c>
      <c r="E548" s="2" t="s">
        <v>183</v>
      </c>
      <c r="F548" s="2">
        <v>1995</v>
      </c>
      <c r="G548" s="2" t="s">
        <v>184</v>
      </c>
      <c r="H548" s="2" t="s">
        <v>1490</v>
      </c>
      <c r="I548" s="2" t="s">
        <v>185</v>
      </c>
      <c r="J548" s="2" t="s">
        <v>186</v>
      </c>
      <c r="K548" s="2" t="s">
        <v>187</v>
      </c>
      <c r="L548" s="2" t="s">
        <v>2572</v>
      </c>
    </row>
    <row r="549" spans="1:12">
      <c r="A549" s="2" t="s">
        <v>1490</v>
      </c>
      <c r="B549" s="2" t="s">
        <v>1490</v>
      </c>
      <c r="C549" s="2" t="s">
        <v>3506</v>
      </c>
      <c r="D549" s="2" t="s">
        <v>1488</v>
      </c>
      <c r="E549" s="2" t="s">
        <v>223</v>
      </c>
      <c r="F549" s="2">
        <v>2001</v>
      </c>
      <c r="G549" s="2" t="s">
        <v>184</v>
      </c>
      <c r="H549" s="2" t="s">
        <v>3507</v>
      </c>
      <c r="I549" s="2" t="s">
        <v>237</v>
      </c>
      <c r="J549" s="2" t="s">
        <v>291</v>
      </c>
      <c r="K549" s="2" t="s">
        <v>188</v>
      </c>
    </row>
    <row r="550" spans="1:12">
      <c r="A550" s="2" t="s">
        <v>1490</v>
      </c>
      <c r="B550" s="2" t="s">
        <v>1490</v>
      </c>
      <c r="C550" s="2" t="s">
        <v>3508</v>
      </c>
      <c r="D550" s="2" t="s">
        <v>1488</v>
      </c>
      <c r="E550" s="2" t="s">
        <v>223</v>
      </c>
      <c r="F550" s="2">
        <v>2002</v>
      </c>
      <c r="G550" s="2" t="s">
        <v>184</v>
      </c>
      <c r="H550" s="2" t="s">
        <v>3509</v>
      </c>
      <c r="I550" s="2" t="s">
        <v>237</v>
      </c>
      <c r="J550" s="2" t="s">
        <v>291</v>
      </c>
      <c r="K550" s="2" t="s">
        <v>188</v>
      </c>
    </row>
    <row r="551" spans="1:12">
      <c r="A551" s="2" t="s">
        <v>1926</v>
      </c>
      <c r="B551" s="2" t="s">
        <v>1926</v>
      </c>
      <c r="C551" s="2" t="s">
        <v>3510</v>
      </c>
      <c r="D551" s="2" t="s">
        <v>1925</v>
      </c>
      <c r="E551" s="2" t="s">
        <v>183</v>
      </c>
      <c r="F551" s="2">
        <v>2000</v>
      </c>
      <c r="G551" s="2" t="s">
        <v>224</v>
      </c>
      <c r="H551" s="2" t="s">
        <v>3511</v>
      </c>
      <c r="I551" s="2" t="s">
        <v>237</v>
      </c>
      <c r="J551" s="2" t="s">
        <v>739</v>
      </c>
      <c r="K551" s="2" t="s">
        <v>188</v>
      </c>
    </row>
    <row r="552" spans="1:12">
      <c r="A552" s="2" t="s">
        <v>1926</v>
      </c>
      <c r="B552" s="2" t="s">
        <v>1926</v>
      </c>
      <c r="C552" s="2" t="s">
        <v>3512</v>
      </c>
      <c r="D552" s="2" t="s">
        <v>1925</v>
      </c>
      <c r="E552" s="2" t="s">
        <v>223</v>
      </c>
      <c r="F552" s="2">
        <v>2011</v>
      </c>
      <c r="G552" s="2" t="s">
        <v>224</v>
      </c>
      <c r="H552" s="2" t="s">
        <v>3513</v>
      </c>
      <c r="I552" s="2" t="s">
        <v>237</v>
      </c>
      <c r="J552" s="2" t="s">
        <v>186</v>
      </c>
      <c r="K552" s="2" t="s">
        <v>188</v>
      </c>
    </row>
    <row r="553" spans="1:12">
      <c r="A553" s="2" t="s">
        <v>1926</v>
      </c>
      <c r="B553" s="2" t="s">
        <v>1926</v>
      </c>
      <c r="C553" s="2" t="s">
        <v>3514</v>
      </c>
      <c r="D553" s="2" t="s">
        <v>1925</v>
      </c>
      <c r="E553" s="2" t="s">
        <v>183</v>
      </c>
      <c r="F553" s="2">
        <v>1972</v>
      </c>
      <c r="G553" s="2" t="s">
        <v>224</v>
      </c>
      <c r="H553" s="2" t="s">
        <v>3515</v>
      </c>
      <c r="I553" s="2" t="s">
        <v>185</v>
      </c>
      <c r="J553" s="2" t="s">
        <v>226</v>
      </c>
      <c r="K553" s="2" t="s">
        <v>187</v>
      </c>
      <c r="L553" s="2" t="s">
        <v>2598</v>
      </c>
    </row>
    <row r="554" spans="1:12">
      <c r="A554" s="2" t="s">
        <v>1926</v>
      </c>
      <c r="B554" s="2" t="s">
        <v>1926</v>
      </c>
      <c r="C554" s="2" t="s">
        <v>3516</v>
      </c>
      <c r="D554" s="2" t="s">
        <v>1925</v>
      </c>
      <c r="E554" s="2" t="s">
        <v>223</v>
      </c>
      <c r="F554" s="2">
        <v>1999</v>
      </c>
      <c r="G554" s="2" t="s">
        <v>224</v>
      </c>
      <c r="H554" s="2" t="s">
        <v>3517</v>
      </c>
      <c r="I554" s="2" t="s">
        <v>237</v>
      </c>
      <c r="J554" s="2" t="s">
        <v>186</v>
      </c>
      <c r="K554" s="2" t="s">
        <v>188</v>
      </c>
    </row>
    <row r="555" spans="1:12">
      <c r="A555" s="2" t="s">
        <v>1926</v>
      </c>
      <c r="B555" s="2" t="s">
        <v>1926</v>
      </c>
      <c r="C555" s="2" t="s">
        <v>3518</v>
      </c>
      <c r="D555" s="2" t="s">
        <v>1925</v>
      </c>
      <c r="E555" s="2" t="s">
        <v>223</v>
      </c>
      <c r="F555" s="2">
        <v>1973</v>
      </c>
      <c r="G555" s="2" t="s">
        <v>224</v>
      </c>
      <c r="H555" s="2" t="s">
        <v>1926</v>
      </c>
      <c r="I555" s="2" t="s">
        <v>225</v>
      </c>
      <c r="J555" s="2" t="s">
        <v>186</v>
      </c>
      <c r="K555" s="2" t="s">
        <v>187</v>
      </c>
      <c r="L555" s="2" t="s">
        <v>2621</v>
      </c>
    </row>
    <row r="556" spans="1:12">
      <c r="A556" s="2" t="s">
        <v>1495</v>
      </c>
      <c r="B556" s="2" t="s">
        <v>1495</v>
      </c>
      <c r="C556" s="2" t="s">
        <v>3519</v>
      </c>
      <c r="D556" s="2" t="s">
        <v>1493</v>
      </c>
      <c r="E556" s="2" t="s">
        <v>223</v>
      </c>
      <c r="F556" s="2">
        <v>2012</v>
      </c>
      <c r="G556" s="2" t="s">
        <v>184</v>
      </c>
      <c r="H556" s="2" t="s">
        <v>3520</v>
      </c>
      <c r="I556" s="2" t="s">
        <v>237</v>
      </c>
      <c r="J556" s="2" t="s">
        <v>291</v>
      </c>
      <c r="K556" s="2" t="s">
        <v>188</v>
      </c>
    </row>
    <row r="557" spans="1:12">
      <c r="A557" s="2" t="s">
        <v>1495</v>
      </c>
      <c r="B557" s="2" t="s">
        <v>1495</v>
      </c>
      <c r="C557" s="2" t="s">
        <v>3521</v>
      </c>
      <c r="D557" s="2" t="s">
        <v>1493</v>
      </c>
      <c r="E557" s="2" t="s">
        <v>223</v>
      </c>
      <c r="F557" s="2">
        <v>2009</v>
      </c>
      <c r="G557" s="2" t="s">
        <v>184</v>
      </c>
      <c r="H557" s="2" t="s">
        <v>3522</v>
      </c>
      <c r="I557" s="2" t="s">
        <v>237</v>
      </c>
      <c r="J557" s="2" t="s">
        <v>186</v>
      </c>
      <c r="K557" s="2" t="s">
        <v>187</v>
      </c>
      <c r="L557" s="2" t="s">
        <v>2716</v>
      </c>
    </row>
    <row r="558" spans="1:12">
      <c r="A558" s="2" t="s">
        <v>1495</v>
      </c>
      <c r="B558" s="2" t="s">
        <v>1495</v>
      </c>
      <c r="C558" s="2" t="s">
        <v>3523</v>
      </c>
      <c r="D558" s="2" t="s">
        <v>1493</v>
      </c>
      <c r="E558" s="2" t="s">
        <v>183</v>
      </c>
      <c r="F558" s="2">
        <v>1994</v>
      </c>
      <c r="G558" s="2" t="s">
        <v>184</v>
      </c>
      <c r="H558" s="2" t="s">
        <v>1495</v>
      </c>
      <c r="I558" s="2" t="s">
        <v>185</v>
      </c>
      <c r="J558" s="2" t="s">
        <v>186</v>
      </c>
      <c r="K558" s="2" t="s">
        <v>187</v>
      </c>
      <c r="L558" s="2" t="s">
        <v>2576</v>
      </c>
    </row>
    <row r="559" spans="1:12">
      <c r="A559" s="2" t="s">
        <v>1495</v>
      </c>
      <c r="B559" s="2" t="s">
        <v>1495</v>
      </c>
      <c r="C559" s="2" t="s">
        <v>3524</v>
      </c>
      <c r="D559" s="2" t="s">
        <v>1493</v>
      </c>
      <c r="E559" s="2" t="s">
        <v>223</v>
      </c>
      <c r="F559" s="2">
        <v>1991</v>
      </c>
      <c r="G559" s="2" t="s">
        <v>184</v>
      </c>
      <c r="H559" s="2" t="s">
        <v>3525</v>
      </c>
      <c r="I559" s="2" t="s">
        <v>225</v>
      </c>
      <c r="J559" s="2" t="s">
        <v>186</v>
      </c>
      <c r="K559" s="2" t="s">
        <v>187</v>
      </c>
      <c r="L559" s="2" t="s">
        <v>2632</v>
      </c>
    </row>
    <row r="560" spans="1:12">
      <c r="A560" s="2" t="s">
        <v>1495</v>
      </c>
      <c r="B560" s="2" t="s">
        <v>1495</v>
      </c>
      <c r="C560" s="2" t="s">
        <v>3526</v>
      </c>
      <c r="D560" s="2" t="s">
        <v>1493</v>
      </c>
      <c r="E560" s="2" t="s">
        <v>223</v>
      </c>
      <c r="F560" s="2">
        <v>2012</v>
      </c>
      <c r="G560" s="2" t="s">
        <v>184</v>
      </c>
      <c r="H560" s="2" t="s">
        <v>3527</v>
      </c>
      <c r="I560" s="2" t="s">
        <v>237</v>
      </c>
      <c r="J560" s="2" t="s">
        <v>186</v>
      </c>
      <c r="K560" s="2" t="s">
        <v>187</v>
      </c>
      <c r="L560" s="2" t="s">
        <v>2716</v>
      </c>
    </row>
    <row r="561" spans="1:12">
      <c r="A561" s="2" t="s">
        <v>1495</v>
      </c>
      <c r="B561" s="2" t="s">
        <v>1495</v>
      </c>
      <c r="C561" s="2" t="s">
        <v>3528</v>
      </c>
      <c r="D561" s="2" t="s">
        <v>1493</v>
      </c>
      <c r="E561" s="2" t="s">
        <v>183</v>
      </c>
      <c r="F561" s="2">
        <v>2014</v>
      </c>
      <c r="G561" s="2" t="s">
        <v>184</v>
      </c>
      <c r="H561" s="2" t="s">
        <v>3529</v>
      </c>
      <c r="I561" s="2" t="s">
        <v>237</v>
      </c>
      <c r="J561" s="2" t="s">
        <v>291</v>
      </c>
      <c r="K561" s="2" t="s">
        <v>188</v>
      </c>
    </row>
    <row r="562" spans="1:12">
      <c r="A562" s="2" t="s">
        <v>1900</v>
      </c>
      <c r="B562" s="2" t="s">
        <v>1901</v>
      </c>
      <c r="C562" s="2" t="s">
        <v>3530</v>
      </c>
      <c r="D562" s="2" t="s">
        <v>1899</v>
      </c>
      <c r="E562" s="2" t="s">
        <v>183</v>
      </c>
      <c r="F562" s="2">
        <v>1969</v>
      </c>
      <c r="G562" s="2" t="s">
        <v>224</v>
      </c>
      <c r="H562" s="2" t="s">
        <v>1901</v>
      </c>
      <c r="I562" s="2" t="s">
        <v>185</v>
      </c>
      <c r="J562" s="2" t="s">
        <v>186</v>
      </c>
      <c r="K562" s="2" t="s">
        <v>187</v>
      </c>
      <c r="L562" s="2" t="s">
        <v>2598</v>
      </c>
    </row>
    <row r="563" spans="1:12">
      <c r="A563" s="2" t="s">
        <v>1900</v>
      </c>
      <c r="B563" s="2" t="s">
        <v>1901</v>
      </c>
      <c r="C563" s="2" t="s">
        <v>3531</v>
      </c>
      <c r="D563" s="2" t="s">
        <v>1899</v>
      </c>
      <c r="E563" s="2" t="s">
        <v>183</v>
      </c>
      <c r="F563" s="2">
        <v>2001</v>
      </c>
      <c r="G563" s="2" t="s">
        <v>224</v>
      </c>
      <c r="H563" s="2" t="s">
        <v>3532</v>
      </c>
      <c r="I563" s="2" t="s">
        <v>237</v>
      </c>
      <c r="J563" s="2" t="s">
        <v>685</v>
      </c>
      <c r="K563" s="2" t="s">
        <v>188</v>
      </c>
    </row>
    <row r="564" spans="1:12">
      <c r="A564" s="2" t="s">
        <v>1900</v>
      </c>
      <c r="B564" s="2" t="s">
        <v>1901</v>
      </c>
      <c r="C564" s="2" t="s">
        <v>3533</v>
      </c>
      <c r="D564" s="2" t="s">
        <v>1899</v>
      </c>
      <c r="E564" s="2" t="s">
        <v>223</v>
      </c>
      <c r="F564" s="2">
        <v>2006</v>
      </c>
      <c r="G564" s="2" t="s">
        <v>224</v>
      </c>
      <c r="H564" s="2" t="s">
        <v>2492</v>
      </c>
      <c r="I564" s="2" t="s">
        <v>237</v>
      </c>
      <c r="J564" s="2" t="s">
        <v>685</v>
      </c>
      <c r="K564" s="2" t="s">
        <v>188</v>
      </c>
    </row>
    <row r="565" spans="1:12">
      <c r="A565" s="2" t="s">
        <v>1900</v>
      </c>
      <c r="B565" s="2" t="s">
        <v>1901</v>
      </c>
      <c r="C565" s="2" t="s">
        <v>3534</v>
      </c>
      <c r="D565" s="2" t="s">
        <v>1899</v>
      </c>
      <c r="E565" s="2" t="s">
        <v>223</v>
      </c>
      <c r="F565" s="2">
        <v>1982</v>
      </c>
      <c r="G565" s="2" t="s">
        <v>224</v>
      </c>
      <c r="H565" s="2" t="s">
        <v>1900</v>
      </c>
      <c r="I565" s="2" t="s">
        <v>225</v>
      </c>
      <c r="J565" s="2" t="s">
        <v>186</v>
      </c>
      <c r="K565" s="2" t="s">
        <v>187</v>
      </c>
      <c r="L565" s="2" t="s">
        <v>2621</v>
      </c>
    </row>
    <row r="566" spans="1:12">
      <c r="A566" s="2" t="s">
        <v>585</v>
      </c>
      <c r="B566" s="2" t="s">
        <v>585</v>
      </c>
      <c r="C566" s="2" t="s">
        <v>3535</v>
      </c>
      <c r="D566" s="2" t="s">
        <v>583</v>
      </c>
      <c r="E566" s="2" t="s">
        <v>223</v>
      </c>
      <c r="F566" s="2">
        <v>1979</v>
      </c>
      <c r="G566" s="2" t="s">
        <v>184</v>
      </c>
      <c r="H566" s="2" t="s">
        <v>3536</v>
      </c>
      <c r="I566" s="2" t="s">
        <v>225</v>
      </c>
      <c r="J566" s="2" t="s">
        <v>270</v>
      </c>
      <c r="K566" s="2" t="s">
        <v>187</v>
      </c>
      <c r="L566" s="2" t="s">
        <v>3537</v>
      </c>
    </row>
    <row r="567" spans="1:12">
      <c r="A567" s="2" t="s">
        <v>1501</v>
      </c>
      <c r="B567" s="2" t="s">
        <v>1502</v>
      </c>
      <c r="C567" s="2" t="s">
        <v>3538</v>
      </c>
      <c r="D567" s="2" t="s">
        <v>1499</v>
      </c>
      <c r="E567" s="2" t="s">
        <v>223</v>
      </c>
      <c r="F567" s="2">
        <v>2002</v>
      </c>
      <c r="G567" s="2" t="s">
        <v>184</v>
      </c>
      <c r="H567" s="2" t="s">
        <v>1501</v>
      </c>
      <c r="I567" s="2" t="s">
        <v>225</v>
      </c>
      <c r="J567" s="2" t="s">
        <v>186</v>
      </c>
      <c r="K567" s="2" t="s">
        <v>187</v>
      </c>
      <c r="L567" s="2" t="s">
        <v>2632</v>
      </c>
    </row>
    <row r="568" spans="1:12">
      <c r="A568" s="2" t="s">
        <v>1501</v>
      </c>
      <c r="B568" s="2" t="s">
        <v>1502</v>
      </c>
      <c r="C568" s="2" t="s">
        <v>3539</v>
      </c>
      <c r="D568" s="2" t="s">
        <v>1499</v>
      </c>
      <c r="E568" s="2" t="s">
        <v>183</v>
      </c>
      <c r="F568" s="2">
        <v>1997</v>
      </c>
      <c r="G568" s="2" t="s">
        <v>184</v>
      </c>
      <c r="H568" s="2" t="s">
        <v>1502</v>
      </c>
      <c r="I568" s="2" t="s">
        <v>185</v>
      </c>
      <c r="J568" s="2" t="s">
        <v>270</v>
      </c>
      <c r="K568" s="2" t="s">
        <v>187</v>
      </c>
      <c r="L568" s="2" t="s">
        <v>2576</v>
      </c>
    </row>
    <row r="569" spans="1:12">
      <c r="A569" s="2" t="s">
        <v>1501</v>
      </c>
      <c r="B569" s="2" t="s">
        <v>1502</v>
      </c>
      <c r="C569" s="2" t="s">
        <v>3540</v>
      </c>
      <c r="D569" s="2" t="s">
        <v>1499</v>
      </c>
      <c r="E569" s="2" t="s">
        <v>223</v>
      </c>
      <c r="F569" s="2">
        <v>2020</v>
      </c>
      <c r="G569" s="2" t="s">
        <v>184</v>
      </c>
      <c r="H569" s="2" t="s">
        <v>3541</v>
      </c>
      <c r="I569" s="2" t="s">
        <v>237</v>
      </c>
      <c r="J569" s="2" t="s">
        <v>291</v>
      </c>
      <c r="K569" s="2" t="s">
        <v>188</v>
      </c>
    </row>
    <row r="570" spans="1:12">
      <c r="A570" s="2" t="s">
        <v>1872</v>
      </c>
      <c r="B570" s="2" t="s">
        <v>1873</v>
      </c>
      <c r="C570" s="2" t="s">
        <v>3542</v>
      </c>
      <c r="D570" s="2" t="s">
        <v>1871</v>
      </c>
      <c r="E570" s="2" t="s">
        <v>223</v>
      </c>
      <c r="F570" s="2">
        <v>1998</v>
      </c>
      <c r="G570" s="2" t="s">
        <v>224</v>
      </c>
      <c r="H570" s="2" t="s">
        <v>3543</v>
      </c>
      <c r="I570" s="2" t="s">
        <v>237</v>
      </c>
      <c r="J570" s="2" t="s">
        <v>685</v>
      </c>
      <c r="K570" s="2" t="s">
        <v>188</v>
      </c>
    </row>
    <row r="571" spans="1:12">
      <c r="A571" s="2" t="s">
        <v>1872</v>
      </c>
      <c r="B571" s="2" t="s">
        <v>1873</v>
      </c>
      <c r="C571" s="2" t="s">
        <v>3544</v>
      </c>
      <c r="D571" s="2" t="s">
        <v>1871</v>
      </c>
      <c r="E571" s="2" t="s">
        <v>223</v>
      </c>
      <c r="F571" s="2">
        <v>1975</v>
      </c>
      <c r="G571" s="2" t="s">
        <v>224</v>
      </c>
      <c r="H571" s="2" t="s">
        <v>1872</v>
      </c>
      <c r="I571" s="2" t="s">
        <v>225</v>
      </c>
      <c r="J571" s="2" t="s">
        <v>186</v>
      </c>
      <c r="K571" s="2" t="s">
        <v>187</v>
      </c>
      <c r="L571" s="2" t="s">
        <v>2621</v>
      </c>
    </row>
    <row r="572" spans="1:12">
      <c r="A572" s="2" t="s">
        <v>1872</v>
      </c>
      <c r="B572" s="2" t="s">
        <v>1873</v>
      </c>
      <c r="C572" s="2" t="s">
        <v>3545</v>
      </c>
      <c r="D572" s="2" t="s">
        <v>1871</v>
      </c>
      <c r="E572" s="2" t="s">
        <v>183</v>
      </c>
      <c r="F572" s="2">
        <v>2013</v>
      </c>
      <c r="G572" s="2" t="s">
        <v>224</v>
      </c>
      <c r="H572" s="2" t="s">
        <v>3546</v>
      </c>
      <c r="I572" s="2" t="s">
        <v>237</v>
      </c>
      <c r="J572" s="2" t="s">
        <v>186</v>
      </c>
      <c r="K572" s="2" t="s">
        <v>188</v>
      </c>
    </row>
    <row r="573" spans="1:12">
      <c r="A573" s="2" t="s">
        <v>1872</v>
      </c>
      <c r="B573" s="2" t="s">
        <v>1873</v>
      </c>
      <c r="C573" s="2" t="s">
        <v>3547</v>
      </c>
      <c r="D573" s="2" t="s">
        <v>1871</v>
      </c>
      <c r="E573" s="2" t="s">
        <v>223</v>
      </c>
      <c r="F573" s="2">
        <v>2005</v>
      </c>
      <c r="G573" s="2" t="s">
        <v>224</v>
      </c>
      <c r="H573" s="2" t="s">
        <v>3548</v>
      </c>
      <c r="I573" s="2" t="s">
        <v>237</v>
      </c>
      <c r="J573" s="2" t="s">
        <v>739</v>
      </c>
      <c r="K573" s="2" t="s">
        <v>188</v>
      </c>
    </row>
    <row r="574" spans="1:12">
      <c r="A574" s="2" t="s">
        <v>1872</v>
      </c>
      <c r="B574" s="2" t="s">
        <v>1873</v>
      </c>
      <c r="C574" s="2" t="s">
        <v>3549</v>
      </c>
      <c r="D574" s="2" t="s">
        <v>1871</v>
      </c>
      <c r="E574" s="2" t="s">
        <v>183</v>
      </c>
      <c r="F574" s="2">
        <v>1974</v>
      </c>
      <c r="G574" s="2" t="s">
        <v>224</v>
      </c>
      <c r="H574" s="2" t="s">
        <v>3550</v>
      </c>
      <c r="I574" s="2" t="s">
        <v>185</v>
      </c>
      <c r="J574" s="2" t="s">
        <v>186</v>
      </c>
      <c r="K574" s="2" t="s">
        <v>187</v>
      </c>
      <c r="L574" s="2" t="s">
        <v>2598</v>
      </c>
    </row>
    <row r="575" spans="1:12">
      <c r="A575" s="2" t="s">
        <v>1549</v>
      </c>
      <c r="B575" s="2" t="s">
        <v>1549</v>
      </c>
      <c r="C575" s="2" t="s">
        <v>3551</v>
      </c>
      <c r="D575" s="2" t="s">
        <v>1547</v>
      </c>
      <c r="E575" s="2" t="s">
        <v>223</v>
      </c>
      <c r="F575" s="2">
        <v>1988</v>
      </c>
      <c r="G575" s="2" t="s">
        <v>184</v>
      </c>
      <c r="H575" s="2" t="s">
        <v>3552</v>
      </c>
      <c r="I575" s="2" t="s">
        <v>225</v>
      </c>
      <c r="J575" s="2" t="s">
        <v>270</v>
      </c>
      <c r="K575" s="2" t="s">
        <v>187</v>
      </c>
      <c r="L575" s="2" t="s">
        <v>2632</v>
      </c>
    </row>
    <row r="576" spans="1:12">
      <c r="A576" s="2" t="s">
        <v>1549</v>
      </c>
      <c r="B576" s="2" t="s">
        <v>1549</v>
      </c>
      <c r="C576" s="2" t="s">
        <v>3553</v>
      </c>
      <c r="D576" s="2" t="s">
        <v>1547</v>
      </c>
      <c r="E576" s="2" t="s">
        <v>183</v>
      </c>
      <c r="F576" s="2">
        <v>1978</v>
      </c>
      <c r="G576" s="2" t="s">
        <v>184</v>
      </c>
      <c r="H576" s="2" t="s">
        <v>1549</v>
      </c>
      <c r="I576" s="2" t="s">
        <v>185</v>
      </c>
      <c r="J576" s="2" t="s">
        <v>603</v>
      </c>
      <c r="K576" s="2" t="s">
        <v>187</v>
      </c>
      <c r="L576" s="2" t="s">
        <v>2579</v>
      </c>
    </row>
    <row r="577" spans="1:12">
      <c r="A577" s="2" t="s">
        <v>1549</v>
      </c>
      <c r="B577" s="2" t="s">
        <v>1549</v>
      </c>
      <c r="C577" s="2" t="s">
        <v>3554</v>
      </c>
      <c r="D577" s="2" t="s">
        <v>1547</v>
      </c>
      <c r="E577" s="2" t="s">
        <v>223</v>
      </c>
      <c r="F577" s="2">
        <v>2011</v>
      </c>
      <c r="G577" s="2" t="s">
        <v>184</v>
      </c>
      <c r="H577" s="2" t="s">
        <v>3555</v>
      </c>
      <c r="I577" s="2" t="s">
        <v>237</v>
      </c>
      <c r="J577" s="2" t="s">
        <v>186</v>
      </c>
      <c r="K577" s="2" t="s">
        <v>187</v>
      </c>
      <c r="L577" s="2" t="s">
        <v>2716</v>
      </c>
    </row>
    <row r="578" spans="1:12">
      <c r="A578" s="2" t="s">
        <v>1549</v>
      </c>
      <c r="B578" s="2" t="s">
        <v>1549</v>
      </c>
      <c r="C578" s="2" t="s">
        <v>3556</v>
      </c>
      <c r="D578" s="2" t="s">
        <v>1547</v>
      </c>
      <c r="E578" s="2" t="s">
        <v>183</v>
      </c>
      <c r="F578" s="2">
        <v>2019</v>
      </c>
      <c r="G578" s="2" t="s">
        <v>184</v>
      </c>
      <c r="H578" s="2" t="s">
        <v>3557</v>
      </c>
      <c r="I578" s="2" t="s">
        <v>237</v>
      </c>
      <c r="J578" s="2" t="s">
        <v>291</v>
      </c>
      <c r="K578" s="2" t="s">
        <v>188</v>
      </c>
    </row>
    <row r="579" spans="1:12">
      <c r="A579" s="2" t="s">
        <v>1549</v>
      </c>
      <c r="B579" s="2" t="s">
        <v>1549</v>
      </c>
      <c r="C579" s="2" t="s">
        <v>3558</v>
      </c>
      <c r="D579" s="2" t="s">
        <v>1547</v>
      </c>
      <c r="E579" s="2" t="s">
        <v>183</v>
      </c>
      <c r="F579" s="2">
        <v>2007</v>
      </c>
      <c r="G579" s="2" t="s">
        <v>184</v>
      </c>
      <c r="H579" s="2" t="s">
        <v>3559</v>
      </c>
      <c r="I579" s="2" t="s">
        <v>237</v>
      </c>
      <c r="J579" s="2" t="s">
        <v>270</v>
      </c>
      <c r="K579" s="2" t="s">
        <v>187</v>
      </c>
      <c r="L579" s="2" t="s">
        <v>2576</v>
      </c>
    </row>
    <row r="580" spans="1:12">
      <c r="A580" s="2" t="s">
        <v>1549</v>
      </c>
      <c r="B580" s="2" t="s">
        <v>1549</v>
      </c>
      <c r="C580" s="2" t="s">
        <v>3560</v>
      </c>
      <c r="D580" s="2" t="s">
        <v>1547</v>
      </c>
      <c r="E580" s="2" t="s">
        <v>223</v>
      </c>
      <c r="F580" s="2">
        <v>2013</v>
      </c>
      <c r="G580" s="2" t="s">
        <v>184</v>
      </c>
      <c r="H580" s="2" t="s">
        <v>3478</v>
      </c>
      <c r="I580" s="2" t="s">
        <v>237</v>
      </c>
      <c r="J580" s="2" t="s">
        <v>186</v>
      </c>
      <c r="K580" s="2" t="s">
        <v>187</v>
      </c>
      <c r="L580" s="2" t="s">
        <v>2716</v>
      </c>
    </row>
    <row r="581" spans="1:12">
      <c r="A581" s="2" t="s">
        <v>1839</v>
      </c>
      <c r="B581" s="2" t="s">
        <v>1840</v>
      </c>
      <c r="C581" s="2" t="s">
        <v>3561</v>
      </c>
      <c r="D581" s="2" t="s">
        <v>1838</v>
      </c>
      <c r="E581" s="2" t="s">
        <v>183</v>
      </c>
      <c r="F581" s="2">
        <v>2006</v>
      </c>
      <c r="G581" s="2" t="s">
        <v>224</v>
      </c>
      <c r="H581" s="2" t="s">
        <v>3562</v>
      </c>
      <c r="I581" s="2" t="s">
        <v>237</v>
      </c>
      <c r="J581" s="2" t="s">
        <v>226</v>
      </c>
      <c r="K581" s="2" t="s">
        <v>188</v>
      </c>
    </row>
    <row r="582" spans="1:12">
      <c r="A582" s="2" t="s">
        <v>1839</v>
      </c>
      <c r="B582" s="2" t="s">
        <v>1840</v>
      </c>
      <c r="C582" s="2" t="s">
        <v>3563</v>
      </c>
      <c r="D582" s="2" t="s">
        <v>1838</v>
      </c>
      <c r="E582" s="2" t="s">
        <v>183</v>
      </c>
      <c r="F582" s="2">
        <v>2001</v>
      </c>
      <c r="G582" s="2" t="s">
        <v>224</v>
      </c>
      <c r="H582" s="2" t="s">
        <v>3564</v>
      </c>
      <c r="I582" s="2" t="s">
        <v>237</v>
      </c>
      <c r="J582" s="2" t="s">
        <v>226</v>
      </c>
      <c r="K582" s="2" t="s">
        <v>188</v>
      </c>
    </row>
    <row r="583" spans="1:12">
      <c r="A583" s="2" t="s">
        <v>1839</v>
      </c>
      <c r="B583" s="2" t="s">
        <v>1840</v>
      </c>
      <c r="C583" s="2" t="s">
        <v>3565</v>
      </c>
      <c r="D583" s="2" t="s">
        <v>1838</v>
      </c>
      <c r="E583" s="2" t="s">
        <v>223</v>
      </c>
      <c r="F583" s="2">
        <v>1978</v>
      </c>
      <c r="G583" s="2" t="s">
        <v>224</v>
      </c>
      <c r="H583" s="2" t="s">
        <v>1839</v>
      </c>
      <c r="I583" s="2" t="s">
        <v>225</v>
      </c>
      <c r="J583" s="2" t="s">
        <v>186</v>
      </c>
      <c r="K583" s="2" t="s">
        <v>187</v>
      </c>
      <c r="L583" s="2" t="s">
        <v>2621</v>
      </c>
    </row>
    <row r="584" spans="1:12">
      <c r="A584" s="2" t="s">
        <v>1839</v>
      </c>
      <c r="B584" s="2" t="s">
        <v>1840</v>
      </c>
      <c r="C584" s="2" t="s">
        <v>3566</v>
      </c>
      <c r="D584" s="2" t="s">
        <v>1838</v>
      </c>
      <c r="E584" s="2" t="s">
        <v>183</v>
      </c>
      <c r="F584" s="2">
        <v>1977</v>
      </c>
      <c r="G584" s="2" t="s">
        <v>224</v>
      </c>
      <c r="H584" s="2" t="s">
        <v>1840</v>
      </c>
      <c r="I584" s="2" t="s">
        <v>185</v>
      </c>
      <c r="J584" s="2" t="s">
        <v>186</v>
      </c>
      <c r="K584" s="2" t="s">
        <v>187</v>
      </c>
      <c r="L584" s="2" t="s">
        <v>2598</v>
      </c>
    </row>
    <row r="585" spans="1:12">
      <c r="A585" s="2" t="s">
        <v>1572</v>
      </c>
      <c r="B585" s="2" t="s">
        <v>1573</v>
      </c>
      <c r="C585" s="2" t="s">
        <v>3567</v>
      </c>
      <c r="D585" s="2" t="s">
        <v>1570</v>
      </c>
      <c r="E585" s="2" t="s">
        <v>183</v>
      </c>
      <c r="F585" s="2">
        <v>1993</v>
      </c>
      <c r="G585" s="2" t="s">
        <v>184</v>
      </c>
      <c r="H585" s="2" t="s">
        <v>1573</v>
      </c>
      <c r="I585" s="2" t="s">
        <v>185</v>
      </c>
      <c r="J585" s="2" t="s">
        <v>270</v>
      </c>
      <c r="K585" s="2" t="s">
        <v>187</v>
      </c>
      <c r="L585" s="2" t="s">
        <v>2576</v>
      </c>
    </row>
    <row r="586" spans="1:12">
      <c r="A586" s="2" t="s">
        <v>1572</v>
      </c>
      <c r="B586" s="2" t="s">
        <v>1573</v>
      </c>
      <c r="C586" s="2" t="s">
        <v>3568</v>
      </c>
      <c r="D586" s="2" t="s">
        <v>1570</v>
      </c>
      <c r="E586" s="2" t="s">
        <v>223</v>
      </c>
      <c r="F586" s="2">
        <v>1994</v>
      </c>
      <c r="G586" s="2" t="s">
        <v>184</v>
      </c>
      <c r="H586" s="2" t="s">
        <v>1572</v>
      </c>
      <c r="I586" s="2" t="s">
        <v>225</v>
      </c>
      <c r="J586" s="2" t="s">
        <v>186</v>
      </c>
      <c r="K586" s="2" t="s">
        <v>187</v>
      </c>
      <c r="L586" s="2" t="s">
        <v>2598</v>
      </c>
    </row>
    <row r="587" spans="1:12">
      <c r="A587" s="2" t="s">
        <v>1572</v>
      </c>
      <c r="B587" s="2" t="s">
        <v>1573</v>
      </c>
      <c r="C587" s="2" t="s">
        <v>3569</v>
      </c>
      <c r="D587" s="2" t="s">
        <v>1570</v>
      </c>
      <c r="E587" s="2" t="s">
        <v>223</v>
      </c>
      <c r="F587" s="2">
        <v>2025</v>
      </c>
      <c r="G587" s="2" t="s">
        <v>184</v>
      </c>
      <c r="H587" s="2" t="s">
        <v>3570</v>
      </c>
      <c r="I587" s="2" t="s">
        <v>237</v>
      </c>
      <c r="J587" s="2" t="s">
        <v>291</v>
      </c>
      <c r="K587" s="2" t="s">
        <v>188</v>
      </c>
    </row>
    <row r="588" spans="1:12">
      <c r="A588" s="2" t="s">
        <v>1572</v>
      </c>
      <c r="B588" s="2" t="s">
        <v>1573</v>
      </c>
      <c r="C588" s="2" t="s">
        <v>3571</v>
      </c>
      <c r="D588" s="2" t="s">
        <v>1570</v>
      </c>
      <c r="E588" s="2" t="s">
        <v>223</v>
      </c>
      <c r="F588" s="2">
        <v>2013</v>
      </c>
      <c r="G588" s="2" t="s">
        <v>184</v>
      </c>
      <c r="H588" s="2" t="s">
        <v>3572</v>
      </c>
      <c r="I588" s="2" t="s">
        <v>237</v>
      </c>
      <c r="J588" s="2" t="s">
        <v>291</v>
      </c>
      <c r="K588" s="2" t="s">
        <v>188</v>
      </c>
    </row>
    <row r="589" spans="1:12">
      <c r="A589" s="2" t="s">
        <v>474</v>
      </c>
      <c r="B589" s="2" t="s">
        <v>475</v>
      </c>
      <c r="C589" s="2" t="s">
        <v>3573</v>
      </c>
      <c r="D589" s="2" t="s">
        <v>472</v>
      </c>
      <c r="E589" s="2" t="s">
        <v>223</v>
      </c>
      <c r="F589" s="2">
        <v>1991</v>
      </c>
      <c r="G589" s="2" t="s">
        <v>184</v>
      </c>
      <c r="H589" s="2" t="s">
        <v>474</v>
      </c>
      <c r="I589" s="2" t="s">
        <v>237</v>
      </c>
      <c r="J589" s="2" t="s">
        <v>186</v>
      </c>
      <c r="K589" s="2" t="s">
        <v>187</v>
      </c>
      <c r="L589" s="2" t="s">
        <v>3251</v>
      </c>
    </row>
    <row r="590" spans="1:12">
      <c r="A590" s="2" t="s">
        <v>1793</v>
      </c>
      <c r="B590" s="2" t="s">
        <v>1794</v>
      </c>
      <c r="C590" s="2" t="s">
        <v>3574</v>
      </c>
      <c r="D590" s="2" t="s">
        <v>1792</v>
      </c>
      <c r="E590" s="2" t="s">
        <v>183</v>
      </c>
      <c r="F590" s="2">
        <v>2001</v>
      </c>
      <c r="G590" s="2" t="s">
        <v>224</v>
      </c>
      <c r="H590" s="2" t="s">
        <v>1793</v>
      </c>
      <c r="I590" s="2" t="s">
        <v>237</v>
      </c>
      <c r="J590" s="2" t="s">
        <v>186</v>
      </c>
      <c r="K590" s="2" t="s">
        <v>187</v>
      </c>
      <c r="L590" s="2" t="s">
        <v>3575</v>
      </c>
    </row>
    <row r="591" spans="1:12">
      <c r="A591" s="2" t="s">
        <v>1793</v>
      </c>
      <c r="B591" s="2" t="s">
        <v>1794</v>
      </c>
      <c r="C591" s="2" t="s">
        <v>3576</v>
      </c>
      <c r="D591" s="2" t="s">
        <v>1792</v>
      </c>
      <c r="E591" s="2" t="s">
        <v>183</v>
      </c>
      <c r="F591" s="2">
        <v>2000</v>
      </c>
      <c r="G591" s="2" t="s">
        <v>224</v>
      </c>
      <c r="H591" s="2" t="s">
        <v>3577</v>
      </c>
      <c r="I591" s="2" t="s">
        <v>237</v>
      </c>
      <c r="J591" s="2" t="s">
        <v>226</v>
      </c>
      <c r="K591" s="2" t="s">
        <v>187</v>
      </c>
      <c r="L591" s="2" t="s">
        <v>2574</v>
      </c>
    </row>
    <row r="592" spans="1:12">
      <c r="A592" s="2" t="s">
        <v>1793</v>
      </c>
      <c r="B592" s="2" t="s">
        <v>1794</v>
      </c>
      <c r="C592" s="2" t="s">
        <v>3578</v>
      </c>
      <c r="D592" s="2" t="s">
        <v>1792</v>
      </c>
      <c r="E592" s="2" t="s">
        <v>183</v>
      </c>
      <c r="F592" s="2">
        <v>1974</v>
      </c>
      <c r="G592" s="2" t="s">
        <v>224</v>
      </c>
      <c r="H592" s="2" t="s">
        <v>1794</v>
      </c>
      <c r="I592" s="2" t="s">
        <v>185</v>
      </c>
      <c r="J592" s="2" t="s">
        <v>186</v>
      </c>
      <c r="K592" s="2" t="s">
        <v>187</v>
      </c>
      <c r="L592" s="2" t="s">
        <v>2598</v>
      </c>
    </row>
    <row r="593" spans="1:12">
      <c r="A593" s="2" t="s">
        <v>474</v>
      </c>
      <c r="B593" s="2" t="s">
        <v>475</v>
      </c>
      <c r="C593" s="2" t="s">
        <v>3579</v>
      </c>
      <c r="D593" s="2" t="s">
        <v>472</v>
      </c>
      <c r="E593" s="2" t="s">
        <v>183</v>
      </c>
      <c r="F593" s="2">
        <v>1991</v>
      </c>
      <c r="G593" s="2" t="s">
        <v>184</v>
      </c>
      <c r="H593" s="2" t="s">
        <v>3580</v>
      </c>
      <c r="I593" s="2" t="s">
        <v>237</v>
      </c>
      <c r="J593" s="2" t="s">
        <v>186</v>
      </c>
      <c r="K593" s="2" t="s">
        <v>187</v>
      </c>
      <c r="L593" s="2" t="s">
        <v>2598</v>
      </c>
    </row>
    <row r="594" spans="1:12">
      <c r="A594" s="2" t="s">
        <v>1793</v>
      </c>
      <c r="B594" s="2" t="s">
        <v>1794</v>
      </c>
      <c r="C594" s="2" t="s">
        <v>3581</v>
      </c>
      <c r="D594" s="2" t="s">
        <v>1792</v>
      </c>
      <c r="E594" s="2" t="s">
        <v>183</v>
      </c>
      <c r="F594" s="2">
        <v>1980</v>
      </c>
      <c r="G594" s="2" t="s">
        <v>224</v>
      </c>
      <c r="H594" s="2" t="s">
        <v>1801</v>
      </c>
      <c r="I594" s="2" t="s">
        <v>225</v>
      </c>
      <c r="J594" s="2" t="s">
        <v>186</v>
      </c>
      <c r="K594" s="2" t="s">
        <v>187</v>
      </c>
      <c r="L594" s="2" t="s">
        <v>2621</v>
      </c>
    </row>
    <row r="595" spans="1:12">
      <c r="A595" s="2" t="s">
        <v>1591</v>
      </c>
      <c r="B595" s="2" t="s">
        <v>1591</v>
      </c>
      <c r="C595" s="2" t="s">
        <v>3582</v>
      </c>
      <c r="D595" s="2" t="s">
        <v>1589</v>
      </c>
      <c r="E595" s="2" t="s">
        <v>183</v>
      </c>
      <c r="F595" s="2">
        <v>1996</v>
      </c>
      <c r="G595" s="2" t="s">
        <v>184</v>
      </c>
      <c r="H595" s="2" t="s">
        <v>1591</v>
      </c>
      <c r="I595" s="2" t="s">
        <v>185</v>
      </c>
      <c r="J595" s="2" t="s">
        <v>226</v>
      </c>
      <c r="K595" s="2" t="s">
        <v>187</v>
      </c>
      <c r="L595" s="2" t="s">
        <v>2598</v>
      </c>
    </row>
    <row r="596" spans="1:12">
      <c r="A596" s="2" t="s">
        <v>1591</v>
      </c>
      <c r="B596" s="2" t="s">
        <v>1591</v>
      </c>
      <c r="C596" s="2" t="s">
        <v>3583</v>
      </c>
      <c r="D596" s="2" t="s">
        <v>1589</v>
      </c>
      <c r="E596" s="2" t="s">
        <v>223</v>
      </c>
      <c r="F596" s="2">
        <v>1996</v>
      </c>
      <c r="G596" s="2" t="s">
        <v>184</v>
      </c>
      <c r="H596" s="2" t="s">
        <v>3584</v>
      </c>
      <c r="I596" s="2" t="s">
        <v>225</v>
      </c>
      <c r="J596" s="2" t="s">
        <v>226</v>
      </c>
      <c r="K596" s="2" t="s">
        <v>187</v>
      </c>
      <c r="L596" s="2" t="s">
        <v>2758</v>
      </c>
    </row>
    <row r="597" spans="1:12">
      <c r="A597" s="2" t="s">
        <v>1591</v>
      </c>
      <c r="B597" s="2" t="s">
        <v>1591</v>
      </c>
      <c r="C597" s="2" t="s">
        <v>3585</v>
      </c>
      <c r="D597" s="2" t="s">
        <v>1589</v>
      </c>
      <c r="E597" s="2" t="s">
        <v>183</v>
      </c>
      <c r="F597" s="2">
        <v>2019</v>
      </c>
      <c r="G597" s="2" t="s">
        <v>184</v>
      </c>
      <c r="H597" s="2" t="s">
        <v>3586</v>
      </c>
      <c r="I597" s="2" t="s">
        <v>237</v>
      </c>
      <c r="J597" s="2" t="s">
        <v>291</v>
      </c>
      <c r="K597" s="2" t="s">
        <v>188</v>
      </c>
    </row>
    <row r="598" spans="1:12">
      <c r="A598" s="2" t="s">
        <v>1591</v>
      </c>
      <c r="B598" s="2" t="s">
        <v>1591</v>
      </c>
      <c r="C598" s="2" t="s">
        <v>3587</v>
      </c>
      <c r="D598" s="2" t="s">
        <v>1589</v>
      </c>
      <c r="E598" s="2" t="s">
        <v>223</v>
      </c>
      <c r="F598" s="2">
        <v>2017</v>
      </c>
      <c r="G598" s="2" t="s">
        <v>184</v>
      </c>
      <c r="H598" s="2" t="s">
        <v>3588</v>
      </c>
      <c r="I598" s="2" t="s">
        <v>237</v>
      </c>
      <c r="J598" s="2" t="s">
        <v>291</v>
      </c>
      <c r="K598" s="2" t="s">
        <v>188</v>
      </c>
    </row>
    <row r="599" spans="1:12">
      <c r="A599" s="2" t="s">
        <v>1728</v>
      </c>
      <c r="B599" s="2" t="s">
        <v>1728</v>
      </c>
      <c r="C599" s="2" t="s">
        <v>3589</v>
      </c>
      <c r="D599" s="2" t="s">
        <v>1727</v>
      </c>
      <c r="E599" s="2" t="s">
        <v>223</v>
      </c>
      <c r="F599" s="2">
        <v>1976</v>
      </c>
      <c r="G599" s="2" t="s">
        <v>224</v>
      </c>
      <c r="H599" s="2" t="s">
        <v>1728</v>
      </c>
      <c r="I599" s="2" t="s">
        <v>225</v>
      </c>
      <c r="J599" s="2" t="s">
        <v>186</v>
      </c>
      <c r="K599" s="2" t="s">
        <v>187</v>
      </c>
      <c r="L599" s="2" t="s">
        <v>3069</v>
      </c>
    </row>
    <row r="600" spans="1:12">
      <c r="A600" s="2" t="s">
        <v>1728</v>
      </c>
      <c r="B600" s="2" t="s">
        <v>1728</v>
      </c>
      <c r="C600" s="2" t="s">
        <v>3590</v>
      </c>
      <c r="D600" s="2" t="s">
        <v>1727</v>
      </c>
      <c r="E600" s="2" t="s">
        <v>183</v>
      </c>
      <c r="F600" s="2">
        <v>1976</v>
      </c>
      <c r="G600" s="2" t="s">
        <v>224</v>
      </c>
      <c r="H600" s="2" t="s">
        <v>3591</v>
      </c>
      <c r="I600" s="2" t="s">
        <v>185</v>
      </c>
      <c r="J600" s="2" t="s">
        <v>186</v>
      </c>
      <c r="K600" s="2" t="s">
        <v>187</v>
      </c>
      <c r="L600" s="2" t="s">
        <v>2598</v>
      </c>
    </row>
    <row r="601" spans="1:12">
      <c r="A601" s="2" t="s">
        <v>1728</v>
      </c>
      <c r="B601" s="2" t="s">
        <v>1728</v>
      </c>
      <c r="C601" s="2" t="s">
        <v>3592</v>
      </c>
      <c r="D601" s="2" t="s">
        <v>1727</v>
      </c>
      <c r="E601" s="2" t="s">
        <v>223</v>
      </c>
      <c r="F601" s="2">
        <v>2003</v>
      </c>
      <c r="G601" s="2" t="s">
        <v>224</v>
      </c>
      <c r="H601" s="2" t="s">
        <v>3593</v>
      </c>
      <c r="I601" s="2" t="s">
        <v>237</v>
      </c>
      <c r="J601" s="2" t="s">
        <v>226</v>
      </c>
      <c r="K601" s="2" t="s">
        <v>188</v>
      </c>
    </row>
    <row r="602" spans="1:12">
      <c r="A602" s="2" t="s">
        <v>493</v>
      </c>
      <c r="B602" s="2" t="s">
        <v>493</v>
      </c>
      <c r="C602" s="2" t="s">
        <v>3594</v>
      </c>
      <c r="D602" s="2" t="s">
        <v>491</v>
      </c>
      <c r="E602" s="2" t="s">
        <v>183</v>
      </c>
      <c r="F602" s="2">
        <v>1974</v>
      </c>
      <c r="G602" s="2" t="s">
        <v>184</v>
      </c>
      <c r="H602" s="2" t="s">
        <v>493</v>
      </c>
      <c r="I602" s="2" t="s">
        <v>185</v>
      </c>
      <c r="J602" s="2" t="s">
        <v>270</v>
      </c>
      <c r="K602" s="2" t="s">
        <v>187</v>
      </c>
      <c r="L602" s="2" t="s">
        <v>2598</v>
      </c>
    </row>
    <row r="603" spans="1:12">
      <c r="A603" s="2" t="s">
        <v>493</v>
      </c>
      <c r="B603" s="2" t="s">
        <v>493</v>
      </c>
      <c r="C603" s="2" t="s">
        <v>3595</v>
      </c>
      <c r="D603" s="2" t="s">
        <v>491</v>
      </c>
      <c r="E603" s="2" t="s">
        <v>223</v>
      </c>
      <c r="F603" s="2">
        <v>1975</v>
      </c>
      <c r="G603" s="2" t="s">
        <v>184</v>
      </c>
      <c r="H603" s="2" t="s">
        <v>3596</v>
      </c>
      <c r="I603" s="2" t="s">
        <v>225</v>
      </c>
      <c r="J603" s="2" t="s">
        <v>270</v>
      </c>
      <c r="K603" s="2" t="s">
        <v>187</v>
      </c>
      <c r="L603" s="2" t="s">
        <v>3251</v>
      </c>
    </row>
    <row r="604" spans="1:12">
      <c r="A604" s="2" t="s">
        <v>1770</v>
      </c>
      <c r="B604" s="2" t="s">
        <v>1771</v>
      </c>
      <c r="C604" s="2" t="s">
        <v>3597</v>
      </c>
      <c r="D604" s="2" t="s">
        <v>1769</v>
      </c>
      <c r="E604" s="2" t="s">
        <v>223</v>
      </c>
      <c r="F604" s="2">
        <v>1980</v>
      </c>
      <c r="G604" s="2" t="s">
        <v>224</v>
      </c>
      <c r="H604" s="2" t="s">
        <v>1770</v>
      </c>
      <c r="I604" s="2" t="s">
        <v>225</v>
      </c>
      <c r="J604" s="2" t="s">
        <v>186</v>
      </c>
      <c r="K604" s="2" t="s">
        <v>187</v>
      </c>
      <c r="L604" s="2" t="s">
        <v>2621</v>
      </c>
    </row>
    <row r="605" spans="1:12">
      <c r="A605" s="2" t="s">
        <v>1770</v>
      </c>
      <c r="B605" s="2" t="s">
        <v>1771</v>
      </c>
      <c r="C605" s="2" t="s">
        <v>3598</v>
      </c>
      <c r="D605" s="2" t="s">
        <v>1769</v>
      </c>
      <c r="E605" s="2" t="s">
        <v>223</v>
      </c>
      <c r="F605" s="2">
        <v>2007</v>
      </c>
      <c r="G605" s="2" t="s">
        <v>224</v>
      </c>
      <c r="H605" s="2" t="s">
        <v>1879</v>
      </c>
      <c r="I605" s="2" t="s">
        <v>237</v>
      </c>
      <c r="J605" s="2" t="s">
        <v>685</v>
      </c>
      <c r="K605" s="2" t="s">
        <v>188</v>
      </c>
    </row>
    <row r="606" spans="1:12">
      <c r="A606" s="2" t="s">
        <v>1770</v>
      </c>
      <c r="B606" s="2" t="s">
        <v>1771</v>
      </c>
      <c r="C606" s="2" t="s">
        <v>3599</v>
      </c>
      <c r="D606" s="2" t="s">
        <v>1769</v>
      </c>
      <c r="E606" s="2" t="s">
        <v>183</v>
      </c>
      <c r="F606" s="2">
        <v>1974</v>
      </c>
      <c r="G606" s="2" t="s">
        <v>224</v>
      </c>
      <c r="H606" s="2" t="s">
        <v>1771</v>
      </c>
      <c r="I606" s="2" t="s">
        <v>185</v>
      </c>
      <c r="J606" s="2" t="s">
        <v>186</v>
      </c>
      <c r="K606" s="2" t="s">
        <v>187</v>
      </c>
      <c r="L606" s="2" t="s">
        <v>2598</v>
      </c>
    </row>
    <row r="607" spans="1:12">
      <c r="A607" s="2" t="s">
        <v>1770</v>
      </c>
      <c r="B607" s="2" t="s">
        <v>1771</v>
      </c>
      <c r="C607" s="2" t="s">
        <v>3600</v>
      </c>
      <c r="D607" s="2" t="s">
        <v>1769</v>
      </c>
      <c r="E607" s="2" t="s">
        <v>183</v>
      </c>
      <c r="F607" s="2">
        <v>2002</v>
      </c>
      <c r="G607" s="2" t="s">
        <v>224</v>
      </c>
      <c r="H607" s="2" t="s">
        <v>3601</v>
      </c>
      <c r="I607" s="2" t="s">
        <v>237</v>
      </c>
      <c r="J607" s="2" t="s">
        <v>226</v>
      </c>
      <c r="K607" s="2" t="s">
        <v>188</v>
      </c>
    </row>
    <row r="608" spans="1:12">
      <c r="A608" s="2" t="s">
        <v>1675</v>
      </c>
      <c r="B608" s="2" t="s">
        <v>1675</v>
      </c>
      <c r="C608" s="2" t="s">
        <v>3602</v>
      </c>
      <c r="D608" s="2" t="s">
        <v>1672</v>
      </c>
      <c r="E608" s="2" t="s">
        <v>223</v>
      </c>
      <c r="F608" s="2">
        <v>2013</v>
      </c>
      <c r="G608" s="2" t="s">
        <v>224</v>
      </c>
      <c r="H608" s="2" t="s">
        <v>3221</v>
      </c>
      <c r="I608" s="2" t="s">
        <v>237</v>
      </c>
      <c r="J608" s="2" t="s">
        <v>291</v>
      </c>
      <c r="K608" s="2" t="s">
        <v>188</v>
      </c>
    </row>
    <row r="609" spans="1:12">
      <c r="A609" s="2" t="s">
        <v>1675</v>
      </c>
      <c r="B609" s="2" t="s">
        <v>1675</v>
      </c>
      <c r="C609" s="2" t="s">
        <v>3603</v>
      </c>
      <c r="D609" s="2" t="s">
        <v>1672</v>
      </c>
      <c r="E609" s="2" t="s">
        <v>183</v>
      </c>
      <c r="F609" s="2">
        <v>2004</v>
      </c>
      <c r="G609" s="2" t="s">
        <v>224</v>
      </c>
      <c r="H609" s="2" t="s">
        <v>3604</v>
      </c>
      <c r="I609" s="2" t="s">
        <v>237</v>
      </c>
      <c r="J609" s="2" t="s">
        <v>226</v>
      </c>
      <c r="K609" s="2" t="s">
        <v>188</v>
      </c>
    </row>
    <row r="610" spans="1:12">
      <c r="A610" s="2" t="s">
        <v>1675</v>
      </c>
      <c r="B610" s="2" t="s">
        <v>1675</v>
      </c>
      <c r="C610" s="2" t="s">
        <v>3605</v>
      </c>
      <c r="D610" s="2" t="s">
        <v>1672</v>
      </c>
      <c r="E610" s="2" t="s">
        <v>183</v>
      </c>
      <c r="F610" s="2">
        <v>1976</v>
      </c>
      <c r="G610" s="2" t="s">
        <v>224</v>
      </c>
      <c r="H610" s="2" t="s">
        <v>1675</v>
      </c>
      <c r="I610" s="2" t="s">
        <v>185</v>
      </c>
      <c r="J610" s="2" t="s">
        <v>226</v>
      </c>
      <c r="K610" s="2" t="s">
        <v>187</v>
      </c>
      <c r="L610" s="2" t="s">
        <v>3074</v>
      </c>
    </row>
    <row r="611" spans="1:12">
      <c r="A611" s="2" t="s">
        <v>1675</v>
      </c>
      <c r="B611" s="2" t="s">
        <v>1675</v>
      </c>
      <c r="C611" s="2" t="s">
        <v>3606</v>
      </c>
      <c r="D611" s="2" t="s">
        <v>1672</v>
      </c>
      <c r="E611" s="2" t="s">
        <v>223</v>
      </c>
      <c r="F611" s="2">
        <v>1999</v>
      </c>
      <c r="G611" s="2" t="s">
        <v>224</v>
      </c>
      <c r="H611" s="2" t="s">
        <v>3607</v>
      </c>
      <c r="I611" s="2" t="s">
        <v>237</v>
      </c>
      <c r="J611" s="2" t="s">
        <v>685</v>
      </c>
      <c r="K611" s="2" t="s">
        <v>188</v>
      </c>
    </row>
    <row r="612" spans="1:12">
      <c r="A612" s="2" t="s">
        <v>1675</v>
      </c>
      <c r="B612" s="2" t="s">
        <v>1675</v>
      </c>
      <c r="C612" s="2" t="s">
        <v>3608</v>
      </c>
      <c r="D612" s="2" t="s">
        <v>1672</v>
      </c>
      <c r="E612" s="2" t="s">
        <v>223</v>
      </c>
      <c r="F612" s="2">
        <v>1978</v>
      </c>
      <c r="G612" s="2" t="s">
        <v>224</v>
      </c>
      <c r="H612" s="2" t="s">
        <v>1785</v>
      </c>
      <c r="I612" s="2" t="s">
        <v>225</v>
      </c>
      <c r="J612" s="2" t="s">
        <v>186</v>
      </c>
      <c r="K612" s="2" t="s">
        <v>187</v>
      </c>
      <c r="L612" s="2" t="s">
        <v>2621</v>
      </c>
    </row>
    <row r="613" spans="1:12">
      <c r="A613" s="2" t="s">
        <v>1692</v>
      </c>
      <c r="B613" s="2" t="s">
        <v>1693</v>
      </c>
      <c r="C613" s="2" t="s">
        <v>3609</v>
      </c>
      <c r="D613" s="2" t="s">
        <v>1691</v>
      </c>
      <c r="E613" s="2" t="s">
        <v>223</v>
      </c>
      <c r="F613" s="2">
        <v>1975</v>
      </c>
      <c r="G613" s="2" t="s">
        <v>224</v>
      </c>
      <c r="H613" s="2" t="s">
        <v>1693</v>
      </c>
      <c r="I613" s="2" t="s">
        <v>185</v>
      </c>
      <c r="J613" s="2" t="s">
        <v>186</v>
      </c>
      <c r="K613" s="2" t="s">
        <v>187</v>
      </c>
      <c r="L613" s="2" t="s">
        <v>3069</v>
      </c>
    </row>
    <row r="614" spans="1:12">
      <c r="A614" s="2" t="s">
        <v>1692</v>
      </c>
      <c r="B614" s="2" t="s">
        <v>1693</v>
      </c>
      <c r="C614" s="2" t="s">
        <v>3610</v>
      </c>
      <c r="D614" s="2" t="s">
        <v>1691</v>
      </c>
      <c r="E614" s="2" t="s">
        <v>183</v>
      </c>
      <c r="F614" s="2">
        <v>1974</v>
      </c>
      <c r="G614" s="2" t="s">
        <v>224</v>
      </c>
      <c r="H614" s="2" t="s">
        <v>3611</v>
      </c>
      <c r="I614" s="2" t="s">
        <v>225</v>
      </c>
      <c r="J614" s="2" t="s">
        <v>186</v>
      </c>
      <c r="K614" s="2" t="s">
        <v>187</v>
      </c>
      <c r="L614" s="2" t="s">
        <v>2598</v>
      </c>
    </row>
    <row r="615" spans="1:12">
      <c r="A615" s="2" t="s">
        <v>1692</v>
      </c>
      <c r="B615" s="2" t="s">
        <v>1693</v>
      </c>
      <c r="C615" s="2" t="s">
        <v>3612</v>
      </c>
      <c r="D615" s="2" t="s">
        <v>1691</v>
      </c>
      <c r="E615" s="2" t="s">
        <v>183</v>
      </c>
      <c r="F615" s="2">
        <v>2005</v>
      </c>
      <c r="G615" s="2" t="s">
        <v>224</v>
      </c>
      <c r="H615" s="2" t="s">
        <v>3613</v>
      </c>
      <c r="I615" s="2" t="s">
        <v>237</v>
      </c>
      <c r="J615" s="2" t="s">
        <v>2207</v>
      </c>
      <c r="K615" s="2" t="s">
        <v>188</v>
      </c>
    </row>
    <row r="616" spans="1:12">
      <c r="A616" s="2" t="s">
        <v>1692</v>
      </c>
      <c r="B616" s="2" t="s">
        <v>1693</v>
      </c>
      <c r="C616" s="2" t="s">
        <v>3614</v>
      </c>
      <c r="D616" s="2" t="s">
        <v>1691</v>
      </c>
      <c r="E616" s="2" t="s">
        <v>183</v>
      </c>
      <c r="F616" s="2">
        <v>2001</v>
      </c>
      <c r="G616" s="2" t="s">
        <v>224</v>
      </c>
      <c r="H616" s="2" t="s">
        <v>3615</v>
      </c>
      <c r="I616" s="2" t="s">
        <v>237</v>
      </c>
      <c r="J616" s="2" t="s">
        <v>685</v>
      </c>
      <c r="K616" s="2" t="s">
        <v>188</v>
      </c>
    </row>
    <row r="617" spans="1:12">
      <c r="A617" s="2" t="s">
        <v>1702</v>
      </c>
      <c r="B617" s="2" t="s">
        <v>1702</v>
      </c>
      <c r="C617" s="2" t="s">
        <v>3616</v>
      </c>
      <c r="D617" s="2" t="s">
        <v>1700</v>
      </c>
      <c r="E617" s="2" t="s">
        <v>183</v>
      </c>
      <c r="F617" s="2">
        <v>1976</v>
      </c>
      <c r="G617" s="2" t="s">
        <v>224</v>
      </c>
      <c r="H617" s="2" t="s">
        <v>3617</v>
      </c>
      <c r="I617" s="2" t="s">
        <v>225</v>
      </c>
      <c r="J617" s="2" t="s">
        <v>186</v>
      </c>
      <c r="K617" s="2" t="s">
        <v>187</v>
      </c>
      <c r="L617" s="2" t="s">
        <v>2758</v>
      </c>
    </row>
    <row r="618" spans="1:12">
      <c r="A618" s="2" t="s">
        <v>1702</v>
      </c>
      <c r="B618" s="2" t="s">
        <v>1702</v>
      </c>
      <c r="C618" s="2" t="s">
        <v>3618</v>
      </c>
      <c r="D618" s="2" t="s">
        <v>1700</v>
      </c>
      <c r="E618" s="2" t="s">
        <v>223</v>
      </c>
      <c r="F618" s="2">
        <v>1978</v>
      </c>
      <c r="G618" s="2" t="s">
        <v>224</v>
      </c>
      <c r="H618" s="2" t="s">
        <v>1702</v>
      </c>
      <c r="I618" s="2" t="s">
        <v>185</v>
      </c>
      <c r="J618" s="2" t="s">
        <v>186</v>
      </c>
      <c r="K618" s="2" t="s">
        <v>187</v>
      </c>
      <c r="L618" s="2" t="s">
        <v>2621</v>
      </c>
    </row>
    <row r="619" spans="1:12">
      <c r="A619" s="2" t="s">
        <v>1702</v>
      </c>
      <c r="B619" s="2" t="s">
        <v>1702</v>
      </c>
      <c r="C619" s="2" t="s">
        <v>3619</v>
      </c>
      <c r="D619" s="2" t="s">
        <v>1700</v>
      </c>
      <c r="E619" s="2" t="s">
        <v>183</v>
      </c>
      <c r="F619" s="2">
        <v>2000</v>
      </c>
      <c r="G619" s="2" t="s">
        <v>224</v>
      </c>
      <c r="H619" s="2" t="s">
        <v>1774</v>
      </c>
      <c r="I619" s="2" t="s">
        <v>237</v>
      </c>
      <c r="J619" s="2" t="s">
        <v>685</v>
      </c>
      <c r="K619" s="2" t="s">
        <v>187</v>
      </c>
      <c r="L619" s="2" t="s">
        <v>2716</v>
      </c>
    </row>
    <row r="620" spans="1:12">
      <c r="A620" s="2" t="s">
        <v>1702</v>
      </c>
      <c r="B620" s="2" t="s">
        <v>1702</v>
      </c>
      <c r="C620" s="2" t="s">
        <v>3620</v>
      </c>
      <c r="D620" s="2" t="s">
        <v>1700</v>
      </c>
      <c r="E620" s="2" t="s">
        <v>223</v>
      </c>
      <c r="F620" s="2">
        <v>2007</v>
      </c>
      <c r="G620" s="2" t="s">
        <v>224</v>
      </c>
      <c r="H620" s="2" t="s">
        <v>3621</v>
      </c>
      <c r="I620" s="2" t="s">
        <v>237</v>
      </c>
      <c r="J620" s="2" t="s">
        <v>685</v>
      </c>
      <c r="K620" s="2" t="s">
        <v>188</v>
      </c>
    </row>
    <row r="621" spans="1:12">
      <c r="A621" s="2" t="s">
        <v>1664</v>
      </c>
      <c r="B621" s="2" t="s">
        <v>1664</v>
      </c>
      <c r="C621" s="2" t="s">
        <v>3622</v>
      </c>
      <c r="D621" s="2" t="s">
        <v>1663</v>
      </c>
      <c r="E621" s="2" t="s">
        <v>223</v>
      </c>
      <c r="F621" s="2">
        <v>1977</v>
      </c>
      <c r="G621" s="2" t="s">
        <v>224</v>
      </c>
      <c r="H621" s="2" t="s">
        <v>3623</v>
      </c>
      <c r="I621" s="2" t="s">
        <v>185</v>
      </c>
      <c r="J621" s="2" t="s">
        <v>226</v>
      </c>
      <c r="K621" s="2" t="s">
        <v>187</v>
      </c>
      <c r="L621" s="2" t="s">
        <v>2621</v>
      </c>
    </row>
    <row r="622" spans="1:12">
      <c r="A622" s="2" t="s">
        <v>1664</v>
      </c>
      <c r="B622" s="2" t="s">
        <v>1664</v>
      </c>
      <c r="C622" s="2" t="s">
        <v>3624</v>
      </c>
      <c r="D622" s="2" t="s">
        <v>1663</v>
      </c>
      <c r="E622" s="2" t="s">
        <v>183</v>
      </c>
      <c r="F622" s="2">
        <v>1999</v>
      </c>
      <c r="G622" s="2" t="s">
        <v>224</v>
      </c>
      <c r="H622" s="2" t="s">
        <v>3625</v>
      </c>
      <c r="I622" s="2" t="s">
        <v>237</v>
      </c>
      <c r="J622" s="2" t="s">
        <v>226</v>
      </c>
      <c r="K622" s="2" t="s">
        <v>188</v>
      </c>
    </row>
    <row r="623" spans="1:12">
      <c r="A623" s="2" t="s">
        <v>1664</v>
      </c>
      <c r="B623" s="2" t="s">
        <v>1664</v>
      </c>
      <c r="C623" s="2" t="s">
        <v>3626</v>
      </c>
      <c r="D623" s="2" t="s">
        <v>1663</v>
      </c>
      <c r="E623" s="2" t="s">
        <v>223</v>
      </c>
      <c r="F623" s="2">
        <v>2005</v>
      </c>
      <c r="G623" s="2" t="s">
        <v>224</v>
      </c>
      <c r="H623" s="2" t="s">
        <v>3627</v>
      </c>
      <c r="I623" s="2" t="s">
        <v>237</v>
      </c>
      <c r="J623" s="2" t="s">
        <v>685</v>
      </c>
      <c r="K623" s="2" t="s">
        <v>188</v>
      </c>
    </row>
    <row r="624" spans="1:12">
      <c r="A624" s="2" t="s">
        <v>1747</v>
      </c>
      <c r="B624" s="2" t="s">
        <v>1748</v>
      </c>
      <c r="C624" s="2" t="s">
        <v>3628</v>
      </c>
      <c r="D624" s="2" t="s">
        <v>1745</v>
      </c>
      <c r="E624" s="2" t="s">
        <v>183</v>
      </c>
      <c r="F624" s="2">
        <v>2001</v>
      </c>
      <c r="G624" s="2" t="s">
        <v>224</v>
      </c>
      <c r="H624" s="2" t="s">
        <v>3629</v>
      </c>
      <c r="I624" s="2" t="s">
        <v>237</v>
      </c>
      <c r="J624" s="2" t="s">
        <v>685</v>
      </c>
      <c r="K624" s="2" t="s">
        <v>188</v>
      </c>
    </row>
    <row r="625" spans="1:12">
      <c r="A625" s="2" t="s">
        <v>1747</v>
      </c>
      <c r="B625" s="2" t="s">
        <v>1748</v>
      </c>
      <c r="C625" s="2" t="s">
        <v>3630</v>
      </c>
      <c r="D625" s="2" t="s">
        <v>1745</v>
      </c>
      <c r="E625" s="2" t="s">
        <v>183</v>
      </c>
      <c r="F625" s="2">
        <v>1999</v>
      </c>
      <c r="G625" s="2" t="s">
        <v>224</v>
      </c>
      <c r="H625" s="2" t="s">
        <v>3631</v>
      </c>
      <c r="I625" s="2" t="s">
        <v>237</v>
      </c>
      <c r="J625" s="2" t="s">
        <v>685</v>
      </c>
      <c r="K625" s="2" t="s">
        <v>188</v>
      </c>
    </row>
    <row r="626" spans="1:12">
      <c r="A626" s="2" t="s">
        <v>1747</v>
      </c>
      <c r="B626" s="2" t="s">
        <v>1748</v>
      </c>
      <c r="C626" s="2" t="s">
        <v>3632</v>
      </c>
      <c r="D626" s="2" t="s">
        <v>1745</v>
      </c>
      <c r="E626" s="2" t="s">
        <v>183</v>
      </c>
      <c r="F626" s="2">
        <v>1974</v>
      </c>
      <c r="G626" s="2" t="s">
        <v>224</v>
      </c>
      <c r="H626" s="2" t="s">
        <v>1748</v>
      </c>
      <c r="I626" s="2" t="s">
        <v>185</v>
      </c>
      <c r="J626" s="2" t="s">
        <v>186</v>
      </c>
      <c r="K626" s="2" t="s">
        <v>187</v>
      </c>
      <c r="L626" s="2" t="s">
        <v>2576</v>
      </c>
    </row>
    <row r="627" spans="1:12">
      <c r="A627" s="2" t="s">
        <v>1747</v>
      </c>
      <c r="B627" s="2" t="s">
        <v>1748</v>
      </c>
      <c r="C627" s="2" t="s">
        <v>3633</v>
      </c>
      <c r="D627" s="2" t="s">
        <v>1745</v>
      </c>
      <c r="E627" s="2" t="s">
        <v>223</v>
      </c>
      <c r="F627" s="2">
        <v>1972</v>
      </c>
      <c r="G627" s="2" t="s">
        <v>224</v>
      </c>
      <c r="H627" s="2" t="s">
        <v>1747</v>
      </c>
      <c r="I627" s="2" t="s">
        <v>225</v>
      </c>
      <c r="J627" s="2" t="s">
        <v>186</v>
      </c>
      <c r="K627" s="2" t="s">
        <v>187</v>
      </c>
      <c r="L627" s="2" t="s">
        <v>2632</v>
      </c>
    </row>
    <row r="628" spans="1:12">
      <c r="A628" s="2" t="s">
        <v>1801</v>
      </c>
      <c r="B628" s="2" t="s">
        <v>1801</v>
      </c>
      <c r="C628" s="2" t="s">
        <v>3634</v>
      </c>
      <c r="D628" s="2" t="s">
        <v>1799</v>
      </c>
      <c r="E628" s="2" t="s">
        <v>223</v>
      </c>
      <c r="F628" s="2">
        <v>1980</v>
      </c>
      <c r="G628" s="2" t="s">
        <v>224</v>
      </c>
      <c r="H628" s="2" t="s">
        <v>1801</v>
      </c>
      <c r="I628" s="2" t="s">
        <v>185</v>
      </c>
      <c r="J628" s="2" t="s">
        <v>270</v>
      </c>
      <c r="K628" s="2" t="s">
        <v>187</v>
      </c>
      <c r="L628" s="2" t="s">
        <v>2621</v>
      </c>
    </row>
    <row r="629" spans="1:12">
      <c r="A629" s="2" t="s">
        <v>1801</v>
      </c>
      <c r="B629" s="2" t="s">
        <v>1801</v>
      </c>
      <c r="C629" s="2" t="s">
        <v>3635</v>
      </c>
      <c r="D629" s="2" t="s">
        <v>1799</v>
      </c>
      <c r="E629" s="2" t="s">
        <v>183</v>
      </c>
      <c r="F629" s="2">
        <v>2000</v>
      </c>
      <c r="G629" s="2" t="s">
        <v>224</v>
      </c>
      <c r="H629" s="2" t="s">
        <v>3577</v>
      </c>
      <c r="I629" s="2" t="s">
        <v>237</v>
      </c>
      <c r="J629" s="2" t="s">
        <v>226</v>
      </c>
      <c r="K629" s="2" t="s">
        <v>187</v>
      </c>
      <c r="L629" s="2" t="s">
        <v>2716</v>
      </c>
    </row>
    <row r="630" spans="1:12">
      <c r="A630" s="2" t="s">
        <v>1801</v>
      </c>
      <c r="B630" s="2" t="s">
        <v>1801</v>
      </c>
      <c r="C630" s="2" t="s">
        <v>3636</v>
      </c>
      <c r="D630" s="2" t="s">
        <v>1799</v>
      </c>
      <c r="E630" s="2" t="s">
        <v>183</v>
      </c>
      <c r="F630" s="2">
        <v>2001</v>
      </c>
      <c r="G630" s="2" t="s">
        <v>224</v>
      </c>
      <c r="H630" s="2" t="s">
        <v>3637</v>
      </c>
      <c r="I630" s="2" t="s">
        <v>237</v>
      </c>
      <c r="J630" s="2" t="s">
        <v>226</v>
      </c>
      <c r="K630" s="2" t="s">
        <v>187</v>
      </c>
      <c r="L630" s="2" t="s">
        <v>2716</v>
      </c>
    </row>
    <row r="631" spans="1:12">
      <c r="A631" s="2" t="s">
        <v>1801</v>
      </c>
      <c r="B631" s="2" t="s">
        <v>1801</v>
      </c>
      <c r="C631" s="2" t="s">
        <v>3638</v>
      </c>
      <c r="D631" s="2" t="s">
        <v>1799</v>
      </c>
      <c r="E631" s="2" t="s">
        <v>183</v>
      </c>
      <c r="F631" s="2">
        <v>1974</v>
      </c>
      <c r="G631" s="2" t="s">
        <v>224</v>
      </c>
      <c r="H631" s="2" t="s">
        <v>1794</v>
      </c>
      <c r="I631" s="2" t="s">
        <v>225</v>
      </c>
      <c r="J631" s="2" t="s">
        <v>270</v>
      </c>
      <c r="K631" s="2" t="s">
        <v>187</v>
      </c>
      <c r="L631" s="2" t="s">
        <v>2579</v>
      </c>
    </row>
    <row r="632" spans="1:12">
      <c r="A632" s="2" t="s">
        <v>2381</v>
      </c>
      <c r="B632" s="2" t="s">
        <v>2381</v>
      </c>
      <c r="C632" s="2" t="s">
        <v>3639</v>
      </c>
      <c r="D632" s="2" t="s">
        <v>2565</v>
      </c>
      <c r="E632" s="2" t="s">
        <v>183</v>
      </c>
      <c r="F632" s="2">
        <v>1987</v>
      </c>
      <c r="G632" s="2" t="s">
        <v>184</v>
      </c>
      <c r="H632" s="2" t="s">
        <v>2381</v>
      </c>
      <c r="I632" s="2" t="s">
        <v>185</v>
      </c>
      <c r="J632" s="2" t="s">
        <v>186</v>
      </c>
      <c r="K632" s="2" t="s">
        <v>187</v>
      </c>
      <c r="L632" s="2" t="s">
        <v>2579</v>
      </c>
    </row>
    <row r="633" spans="1:12">
      <c r="A633" s="2" t="s">
        <v>1835</v>
      </c>
      <c r="B633" s="2" t="s">
        <v>1835</v>
      </c>
      <c r="C633" s="2" t="s">
        <v>3640</v>
      </c>
      <c r="D633" s="2" t="s">
        <v>1833</v>
      </c>
      <c r="E633" s="2" t="s">
        <v>223</v>
      </c>
      <c r="F633" s="2">
        <v>1972</v>
      </c>
      <c r="G633" s="2" t="s">
        <v>224</v>
      </c>
      <c r="H633" s="2" t="s">
        <v>1835</v>
      </c>
      <c r="I633" s="2" t="s">
        <v>185</v>
      </c>
      <c r="J633" s="2" t="s">
        <v>226</v>
      </c>
      <c r="K633" s="2" t="s">
        <v>187</v>
      </c>
      <c r="L633" s="2" t="s">
        <v>2598</v>
      </c>
    </row>
    <row r="634" spans="1:12">
      <c r="A634" s="2" t="s">
        <v>1835</v>
      </c>
      <c r="B634" s="2" t="s">
        <v>1835</v>
      </c>
      <c r="C634" s="2" t="s">
        <v>3641</v>
      </c>
      <c r="D634" s="2" t="s">
        <v>1833</v>
      </c>
      <c r="E634" s="2" t="s">
        <v>183</v>
      </c>
      <c r="F634" s="2">
        <v>2015</v>
      </c>
      <c r="G634" s="2" t="s">
        <v>224</v>
      </c>
      <c r="H634" s="2" t="s">
        <v>3642</v>
      </c>
      <c r="I634" s="2" t="s">
        <v>237</v>
      </c>
      <c r="J634" s="2" t="s">
        <v>291</v>
      </c>
      <c r="K634" s="2" t="s">
        <v>188</v>
      </c>
    </row>
    <row r="635" spans="1:12">
      <c r="A635" s="2" t="s">
        <v>1835</v>
      </c>
      <c r="B635" s="2" t="s">
        <v>1835</v>
      </c>
      <c r="C635" s="2" t="s">
        <v>3643</v>
      </c>
      <c r="D635" s="2" t="s">
        <v>1833</v>
      </c>
      <c r="E635" s="2" t="s">
        <v>183</v>
      </c>
      <c r="F635" s="2">
        <v>1969</v>
      </c>
      <c r="G635" s="2" t="s">
        <v>224</v>
      </c>
      <c r="H635" s="2" t="s">
        <v>3644</v>
      </c>
      <c r="I635" s="2" t="s">
        <v>225</v>
      </c>
      <c r="J635" s="2" t="s">
        <v>186</v>
      </c>
      <c r="K635" s="2" t="s">
        <v>187</v>
      </c>
      <c r="L635" s="2" t="s">
        <v>2576</v>
      </c>
    </row>
    <row r="636" spans="1:12">
      <c r="A636" s="2" t="s">
        <v>2261</v>
      </c>
      <c r="B636" s="2" t="s">
        <v>2261</v>
      </c>
      <c r="C636" s="2" t="s">
        <v>3645</v>
      </c>
      <c r="D636" s="2" t="s">
        <v>2260</v>
      </c>
      <c r="E636" s="2" t="s">
        <v>183</v>
      </c>
      <c r="F636" s="2">
        <v>1984</v>
      </c>
      <c r="G636" s="2" t="s">
        <v>834</v>
      </c>
      <c r="H636" s="2" t="s">
        <v>2261</v>
      </c>
      <c r="I636" s="2" t="s">
        <v>185</v>
      </c>
      <c r="J636" s="2" t="s">
        <v>270</v>
      </c>
      <c r="K636" s="2" t="s">
        <v>187</v>
      </c>
      <c r="L636" s="2" t="s">
        <v>2572</v>
      </c>
    </row>
    <row r="637" spans="1:12">
      <c r="A637" s="2" t="s">
        <v>1850</v>
      </c>
      <c r="B637" s="2" t="s">
        <v>1851</v>
      </c>
      <c r="C637" s="2" t="s">
        <v>3646</v>
      </c>
      <c r="D637" s="2" t="s">
        <v>1848</v>
      </c>
      <c r="E637" s="2" t="s">
        <v>183</v>
      </c>
      <c r="F637" s="2">
        <v>2000</v>
      </c>
      <c r="G637" s="2" t="s">
        <v>224</v>
      </c>
      <c r="H637" s="2" t="s">
        <v>3647</v>
      </c>
      <c r="I637" s="2" t="s">
        <v>237</v>
      </c>
      <c r="J637" s="2" t="s">
        <v>685</v>
      </c>
      <c r="K637" s="2" t="s">
        <v>188</v>
      </c>
    </row>
    <row r="638" spans="1:12">
      <c r="A638" s="2" t="s">
        <v>1850</v>
      </c>
      <c r="B638" s="2" t="s">
        <v>1851</v>
      </c>
      <c r="C638" s="2" t="s">
        <v>3648</v>
      </c>
      <c r="D638" s="2" t="s">
        <v>1848</v>
      </c>
      <c r="E638" s="2" t="s">
        <v>183</v>
      </c>
      <c r="F638" s="2">
        <v>1977</v>
      </c>
      <c r="G638" s="2" t="s">
        <v>224</v>
      </c>
      <c r="H638" s="2" t="s">
        <v>1851</v>
      </c>
      <c r="I638" s="2" t="s">
        <v>185</v>
      </c>
      <c r="J638" s="2" t="s">
        <v>186</v>
      </c>
      <c r="K638" s="2" t="s">
        <v>187</v>
      </c>
      <c r="L638" s="2" t="s">
        <v>2576</v>
      </c>
    </row>
    <row r="639" spans="1:12">
      <c r="A639" s="2" t="s">
        <v>1850</v>
      </c>
      <c r="B639" s="2" t="s">
        <v>1851</v>
      </c>
      <c r="C639" s="2" t="s">
        <v>3649</v>
      </c>
      <c r="D639" s="2" t="s">
        <v>1848</v>
      </c>
      <c r="E639" s="2" t="s">
        <v>223</v>
      </c>
      <c r="F639" s="2">
        <v>2007</v>
      </c>
      <c r="G639" s="2" t="s">
        <v>224</v>
      </c>
      <c r="H639" s="2" t="s">
        <v>3650</v>
      </c>
      <c r="I639" s="2" t="s">
        <v>237</v>
      </c>
      <c r="J639" s="2" t="s">
        <v>739</v>
      </c>
      <c r="K639" s="2" t="s">
        <v>188</v>
      </c>
    </row>
    <row r="640" spans="1:12">
      <c r="A640" s="2" t="s">
        <v>1850</v>
      </c>
      <c r="B640" s="2" t="s">
        <v>1851</v>
      </c>
      <c r="C640" s="2" t="s">
        <v>3651</v>
      </c>
      <c r="D640" s="2" t="s">
        <v>1848</v>
      </c>
      <c r="E640" s="2" t="s">
        <v>223</v>
      </c>
      <c r="F640" s="2">
        <v>1982</v>
      </c>
      <c r="G640" s="2" t="s">
        <v>224</v>
      </c>
      <c r="H640" s="2" t="s">
        <v>1850</v>
      </c>
      <c r="I640" s="2" t="s">
        <v>225</v>
      </c>
      <c r="J640" s="2" t="s">
        <v>186</v>
      </c>
      <c r="K640" s="2" t="s">
        <v>187</v>
      </c>
      <c r="L640" s="2" t="s">
        <v>2572</v>
      </c>
    </row>
    <row r="641" spans="1:12">
      <c r="A641" s="2" t="s">
        <v>1850</v>
      </c>
      <c r="B641" s="2" t="s">
        <v>1851</v>
      </c>
      <c r="C641" s="2" t="s">
        <v>3652</v>
      </c>
      <c r="D641" s="2" t="s">
        <v>1848</v>
      </c>
      <c r="E641" s="2" t="s">
        <v>223</v>
      </c>
      <c r="F641" s="2">
        <v>2019</v>
      </c>
      <c r="G641" s="2" t="s">
        <v>224</v>
      </c>
      <c r="H641" s="2" t="s">
        <v>3653</v>
      </c>
      <c r="I641" s="2" t="s">
        <v>237</v>
      </c>
      <c r="J641" s="2" t="s">
        <v>291</v>
      </c>
      <c r="K641" s="2" t="s">
        <v>188</v>
      </c>
    </row>
    <row r="642" spans="1:12">
      <c r="A642" s="2" t="s">
        <v>2233</v>
      </c>
      <c r="B642" s="2" t="s">
        <v>2233</v>
      </c>
      <c r="C642" s="2" t="s">
        <v>3654</v>
      </c>
      <c r="D642" s="2" t="s">
        <v>2232</v>
      </c>
      <c r="E642" s="2" t="s">
        <v>183</v>
      </c>
      <c r="F642" s="2">
        <v>2017</v>
      </c>
      <c r="G642" s="2" t="s">
        <v>834</v>
      </c>
      <c r="H642" s="2" t="s">
        <v>3655</v>
      </c>
      <c r="I642" s="2" t="s">
        <v>237</v>
      </c>
      <c r="J642" s="2" t="s">
        <v>270</v>
      </c>
      <c r="K642" s="2" t="s">
        <v>188</v>
      </c>
    </row>
    <row r="643" spans="1:12">
      <c r="A643" s="2" t="s">
        <v>2233</v>
      </c>
      <c r="B643" s="2" t="s">
        <v>2233</v>
      </c>
      <c r="C643" s="2" t="s">
        <v>3656</v>
      </c>
      <c r="D643" s="2" t="s">
        <v>2232</v>
      </c>
      <c r="E643" s="2" t="s">
        <v>183</v>
      </c>
      <c r="F643" s="2">
        <v>1985</v>
      </c>
      <c r="G643" s="2" t="s">
        <v>834</v>
      </c>
      <c r="H643" s="2" t="s">
        <v>3657</v>
      </c>
      <c r="I643" s="2" t="s">
        <v>185</v>
      </c>
      <c r="J643" s="2" t="s">
        <v>270</v>
      </c>
      <c r="K643" s="2" t="s">
        <v>187</v>
      </c>
      <c r="L643" s="2" t="s">
        <v>3658</v>
      </c>
    </row>
    <row r="644" spans="1:12">
      <c r="A644" s="2" t="s">
        <v>2233</v>
      </c>
      <c r="B644" s="2" t="s">
        <v>2233</v>
      </c>
      <c r="C644" s="2" t="s">
        <v>3659</v>
      </c>
      <c r="D644" s="2" t="s">
        <v>2232</v>
      </c>
      <c r="E644" s="2" t="s">
        <v>223</v>
      </c>
      <c r="F644" s="2">
        <v>2011</v>
      </c>
      <c r="G644" s="2" t="s">
        <v>834</v>
      </c>
      <c r="H644" s="2" t="s">
        <v>3660</v>
      </c>
      <c r="I644" s="2" t="s">
        <v>237</v>
      </c>
      <c r="J644" s="2" t="s">
        <v>186</v>
      </c>
      <c r="K644" s="2" t="s">
        <v>188</v>
      </c>
    </row>
    <row r="645" spans="1:12">
      <c r="A645" s="2" t="s">
        <v>2233</v>
      </c>
      <c r="B645" s="2" t="s">
        <v>2233</v>
      </c>
      <c r="C645" s="2" t="s">
        <v>3661</v>
      </c>
      <c r="D645" s="2" t="s">
        <v>2232</v>
      </c>
      <c r="E645" s="2" t="s">
        <v>223</v>
      </c>
      <c r="F645" s="2">
        <v>1990</v>
      </c>
      <c r="G645" s="2" t="s">
        <v>834</v>
      </c>
      <c r="H645" s="2" t="s">
        <v>3662</v>
      </c>
      <c r="I645" s="2" t="s">
        <v>225</v>
      </c>
      <c r="J645" s="2" t="s">
        <v>270</v>
      </c>
      <c r="K645" s="2" t="s">
        <v>187</v>
      </c>
      <c r="L645" s="2" t="s">
        <v>2632</v>
      </c>
    </row>
    <row r="646" spans="1:12">
      <c r="A646" s="2" t="s">
        <v>2233</v>
      </c>
      <c r="B646" s="2" t="s">
        <v>2233</v>
      </c>
      <c r="C646" s="2" t="s">
        <v>3663</v>
      </c>
      <c r="D646" s="2" t="s">
        <v>2232</v>
      </c>
      <c r="E646" s="2" t="s">
        <v>183</v>
      </c>
      <c r="F646" s="2">
        <v>2008</v>
      </c>
      <c r="G646" s="2" t="s">
        <v>834</v>
      </c>
      <c r="H646" s="2" t="s">
        <v>3664</v>
      </c>
      <c r="I646" s="2" t="s">
        <v>237</v>
      </c>
      <c r="J646" s="2" t="s">
        <v>186</v>
      </c>
      <c r="K646" s="2" t="s">
        <v>188</v>
      </c>
    </row>
    <row r="647" spans="1:12">
      <c r="A647" s="2" t="s">
        <v>1914</v>
      </c>
      <c r="B647" s="2" t="s">
        <v>1915</v>
      </c>
      <c r="C647" s="2" t="s">
        <v>3665</v>
      </c>
      <c r="D647" s="2" t="s">
        <v>1912</v>
      </c>
      <c r="E647" s="2" t="s">
        <v>223</v>
      </c>
      <c r="F647" s="2">
        <v>1982</v>
      </c>
      <c r="G647" s="2" t="s">
        <v>224</v>
      </c>
      <c r="H647" s="2" t="s">
        <v>1914</v>
      </c>
      <c r="I647" s="2" t="s">
        <v>225</v>
      </c>
      <c r="J647" s="2" t="s">
        <v>186</v>
      </c>
      <c r="K647" s="2" t="s">
        <v>187</v>
      </c>
      <c r="L647" s="2" t="s">
        <v>2598</v>
      </c>
    </row>
    <row r="648" spans="1:12">
      <c r="A648" s="2" t="s">
        <v>1914</v>
      </c>
      <c r="B648" s="2" t="s">
        <v>1915</v>
      </c>
      <c r="C648" s="2" t="s">
        <v>3666</v>
      </c>
      <c r="D648" s="2" t="s">
        <v>1912</v>
      </c>
      <c r="E648" s="2" t="s">
        <v>183</v>
      </c>
      <c r="F648" s="2">
        <v>2000</v>
      </c>
      <c r="G648" s="2" t="s">
        <v>224</v>
      </c>
      <c r="H648" s="2" t="s">
        <v>3667</v>
      </c>
      <c r="I648" s="2" t="s">
        <v>237</v>
      </c>
      <c r="J648" s="2" t="s">
        <v>685</v>
      </c>
      <c r="K648" s="2" t="s">
        <v>188</v>
      </c>
    </row>
    <row r="649" spans="1:12">
      <c r="A649" s="2" t="s">
        <v>1914</v>
      </c>
      <c r="B649" s="2" t="s">
        <v>1915</v>
      </c>
      <c r="C649" s="2" t="s">
        <v>3668</v>
      </c>
      <c r="D649" s="2" t="s">
        <v>1912</v>
      </c>
      <c r="E649" s="2" t="s">
        <v>183</v>
      </c>
      <c r="F649" s="2">
        <v>1974</v>
      </c>
      <c r="G649" s="2" t="s">
        <v>224</v>
      </c>
      <c r="H649" s="2" t="s">
        <v>3669</v>
      </c>
      <c r="I649" s="2" t="s">
        <v>185</v>
      </c>
      <c r="J649" s="2" t="s">
        <v>186</v>
      </c>
      <c r="K649" s="2" t="s">
        <v>187</v>
      </c>
      <c r="L649" s="2" t="s">
        <v>2579</v>
      </c>
    </row>
    <row r="650" spans="1:12">
      <c r="A650" s="2" t="s">
        <v>1914</v>
      </c>
      <c r="B650" s="2" t="s">
        <v>1915</v>
      </c>
      <c r="C650" s="2" t="s">
        <v>3670</v>
      </c>
      <c r="D650" s="2" t="s">
        <v>1912</v>
      </c>
      <c r="E650" s="2" t="s">
        <v>183</v>
      </c>
      <c r="F650" s="2">
        <v>2003</v>
      </c>
      <c r="G650" s="2" t="s">
        <v>224</v>
      </c>
      <c r="H650" s="2" t="s">
        <v>2154</v>
      </c>
      <c r="I650" s="2" t="s">
        <v>237</v>
      </c>
      <c r="J650" s="2" t="s">
        <v>739</v>
      </c>
      <c r="K650" s="2" t="s">
        <v>188</v>
      </c>
    </row>
    <row r="651" spans="1:12">
      <c r="A651" s="2" t="s">
        <v>1953</v>
      </c>
      <c r="B651" s="2" t="s">
        <v>1954</v>
      </c>
      <c r="C651" s="2" t="s">
        <v>3671</v>
      </c>
      <c r="D651" s="2" t="s">
        <v>1951</v>
      </c>
      <c r="E651" s="2" t="s">
        <v>183</v>
      </c>
      <c r="F651" s="2">
        <v>1971</v>
      </c>
      <c r="G651" s="2" t="s">
        <v>224</v>
      </c>
      <c r="H651" s="2" t="s">
        <v>3672</v>
      </c>
      <c r="I651" s="2" t="s">
        <v>185</v>
      </c>
      <c r="J651" s="2" t="s">
        <v>226</v>
      </c>
      <c r="K651" s="2" t="s">
        <v>187</v>
      </c>
      <c r="L651" s="2" t="s">
        <v>2598</v>
      </c>
    </row>
    <row r="652" spans="1:12">
      <c r="A652" s="2" t="s">
        <v>1953</v>
      </c>
      <c r="B652" s="2" t="s">
        <v>1954</v>
      </c>
      <c r="C652" s="2" t="s">
        <v>3673</v>
      </c>
      <c r="D652" s="2" t="s">
        <v>1951</v>
      </c>
      <c r="E652" s="2" t="s">
        <v>223</v>
      </c>
      <c r="F652" s="2">
        <v>1978</v>
      </c>
      <c r="G652" s="2" t="s">
        <v>224</v>
      </c>
      <c r="H652" s="2" t="s">
        <v>1953</v>
      </c>
      <c r="I652" s="2" t="s">
        <v>225</v>
      </c>
      <c r="J652" s="2" t="s">
        <v>186</v>
      </c>
      <c r="K652" s="2" t="s">
        <v>187</v>
      </c>
      <c r="L652" s="2" t="s">
        <v>2579</v>
      </c>
    </row>
    <row r="653" spans="1:12">
      <c r="A653" s="2" t="s">
        <v>519</v>
      </c>
      <c r="B653" s="2" t="s">
        <v>520</v>
      </c>
      <c r="C653" s="2" t="s">
        <v>3674</v>
      </c>
      <c r="D653" s="2" t="s">
        <v>517</v>
      </c>
      <c r="E653" s="2" t="s">
        <v>183</v>
      </c>
      <c r="F653" s="2">
        <v>1986</v>
      </c>
      <c r="G653" s="2" t="s">
        <v>224</v>
      </c>
      <c r="H653" s="2" t="s">
        <v>3675</v>
      </c>
      <c r="I653" s="2" t="s">
        <v>185</v>
      </c>
      <c r="J653" s="2" t="s">
        <v>226</v>
      </c>
      <c r="K653" s="2" t="s">
        <v>187</v>
      </c>
      <c r="L653" s="2" t="s">
        <v>2598</v>
      </c>
    </row>
    <row r="654" spans="1:12">
      <c r="A654" s="2" t="s">
        <v>519</v>
      </c>
      <c r="B654" s="2" t="s">
        <v>520</v>
      </c>
      <c r="C654" s="2" t="s">
        <v>3676</v>
      </c>
      <c r="D654" s="2" t="s">
        <v>517</v>
      </c>
      <c r="E654" s="2" t="s">
        <v>223</v>
      </c>
      <c r="F654" s="2">
        <v>1978</v>
      </c>
      <c r="G654" s="2" t="s">
        <v>184</v>
      </c>
      <c r="H654" s="2" t="s">
        <v>519</v>
      </c>
      <c r="I654" s="2" t="s">
        <v>225</v>
      </c>
      <c r="J654" s="2" t="s">
        <v>186</v>
      </c>
      <c r="K654" s="2" t="s">
        <v>187</v>
      </c>
      <c r="L654" s="2" t="s">
        <v>2632</v>
      </c>
    </row>
    <row r="655" spans="1:12">
      <c r="A655" s="2" t="s">
        <v>465</v>
      </c>
      <c r="B655" s="2" t="s">
        <v>465</v>
      </c>
      <c r="C655" s="2" t="s">
        <v>3677</v>
      </c>
      <c r="D655" s="2" t="s">
        <v>463</v>
      </c>
      <c r="E655" s="2" t="s">
        <v>223</v>
      </c>
      <c r="F655" s="2">
        <v>1983</v>
      </c>
      <c r="G655" s="2" t="s">
        <v>184</v>
      </c>
      <c r="H655" s="2" t="s">
        <v>3678</v>
      </c>
      <c r="I655" s="2" t="s">
        <v>225</v>
      </c>
      <c r="J655" s="2" t="s">
        <v>270</v>
      </c>
      <c r="K655" s="2" t="s">
        <v>187</v>
      </c>
      <c r="L655" s="2" t="s">
        <v>3251</v>
      </c>
    </row>
    <row r="656" spans="1:12">
      <c r="A656" s="2" t="s">
        <v>465</v>
      </c>
      <c r="B656" s="2" t="s">
        <v>465</v>
      </c>
      <c r="C656" s="2" t="s">
        <v>3679</v>
      </c>
      <c r="D656" s="2" t="s">
        <v>463</v>
      </c>
      <c r="E656" s="2" t="s">
        <v>183</v>
      </c>
      <c r="F656" s="2">
        <v>1976</v>
      </c>
      <c r="G656" s="2" t="s">
        <v>184</v>
      </c>
      <c r="H656" s="2" t="s">
        <v>3680</v>
      </c>
      <c r="I656" s="2" t="s">
        <v>185</v>
      </c>
      <c r="J656" s="2" t="s">
        <v>186</v>
      </c>
      <c r="K656" s="2" t="s">
        <v>187</v>
      </c>
      <c r="L656" s="2" t="s">
        <v>2598</v>
      </c>
    </row>
    <row r="657" spans="1:12">
      <c r="A657" s="2" t="s">
        <v>427</v>
      </c>
      <c r="B657" s="2" t="s">
        <v>428</v>
      </c>
      <c r="C657" s="2" t="s">
        <v>3681</v>
      </c>
      <c r="D657" s="2" t="s">
        <v>423</v>
      </c>
      <c r="E657" s="2" t="s">
        <v>183</v>
      </c>
      <c r="F657" s="2">
        <v>1990</v>
      </c>
      <c r="G657" s="2" t="s">
        <v>184</v>
      </c>
      <c r="H657" s="2" t="s">
        <v>428</v>
      </c>
      <c r="I657" s="2" t="s">
        <v>185</v>
      </c>
      <c r="J657" s="2" t="s">
        <v>270</v>
      </c>
      <c r="K657" s="2" t="s">
        <v>187</v>
      </c>
      <c r="L657" s="2" t="s">
        <v>2572</v>
      </c>
    </row>
    <row r="658" spans="1:12">
      <c r="A658" s="2" t="s">
        <v>713</v>
      </c>
      <c r="B658" s="2" t="s">
        <v>714</v>
      </c>
      <c r="C658" s="2" t="s">
        <v>3682</v>
      </c>
      <c r="D658" s="2" t="s">
        <v>710</v>
      </c>
      <c r="E658" s="2" t="s">
        <v>223</v>
      </c>
      <c r="F658" s="2">
        <v>1972</v>
      </c>
      <c r="G658" s="2" t="s">
        <v>184</v>
      </c>
      <c r="H658" s="2" t="s">
        <v>3683</v>
      </c>
      <c r="I658" s="2" t="s">
        <v>225</v>
      </c>
      <c r="J658" s="2" t="s">
        <v>270</v>
      </c>
      <c r="K658" s="2" t="s">
        <v>187</v>
      </c>
      <c r="L658" s="2" t="s">
        <v>3258</v>
      </c>
    </row>
    <row r="659" spans="1:12">
      <c r="A659" s="2" t="s">
        <v>713</v>
      </c>
      <c r="B659" s="2" t="s">
        <v>714</v>
      </c>
      <c r="C659" s="2" t="s">
        <v>3684</v>
      </c>
      <c r="D659" s="2" t="s">
        <v>710</v>
      </c>
      <c r="E659" s="2" t="s">
        <v>183</v>
      </c>
      <c r="F659" s="2">
        <v>1968</v>
      </c>
      <c r="G659" s="2" t="s">
        <v>184</v>
      </c>
      <c r="H659" s="2" t="s">
        <v>714</v>
      </c>
      <c r="I659" s="2" t="s">
        <v>185</v>
      </c>
      <c r="J659" s="2" t="s">
        <v>270</v>
      </c>
      <c r="K659" s="2" t="s">
        <v>187</v>
      </c>
      <c r="L659" s="2" t="s">
        <v>2572</v>
      </c>
    </row>
    <row r="660" spans="1:12">
      <c r="A660" s="2" t="s">
        <v>1997</v>
      </c>
      <c r="B660" s="2" t="s">
        <v>1997</v>
      </c>
      <c r="C660" s="2" t="s">
        <v>3685</v>
      </c>
      <c r="D660" s="2" t="s">
        <v>1994</v>
      </c>
      <c r="E660" s="2" t="s">
        <v>183</v>
      </c>
      <c r="F660" s="2">
        <v>1987</v>
      </c>
      <c r="G660" s="2" t="s">
        <v>224</v>
      </c>
      <c r="H660" s="2" t="s">
        <v>1997</v>
      </c>
      <c r="I660" s="2" t="s">
        <v>185</v>
      </c>
      <c r="J660" s="2" t="s">
        <v>186</v>
      </c>
      <c r="K660" s="2" t="s">
        <v>187</v>
      </c>
      <c r="L660" s="2" t="s">
        <v>2598</v>
      </c>
    </row>
    <row r="661" spans="1:12">
      <c r="A661" s="2" t="s">
        <v>1997</v>
      </c>
      <c r="B661" s="2" t="s">
        <v>1997</v>
      </c>
      <c r="C661" s="2" t="s">
        <v>3686</v>
      </c>
      <c r="D661" s="2" t="s">
        <v>1994</v>
      </c>
      <c r="E661" s="2" t="s">
        <v>183</v>
      </c>
      <c r="F661" s="2">
        <v>2018</v>
      </c>
      <c r="G661" s="2" t="s">
        <v>224</v>
      </c>
      <c r="H661" s="2" t="s">
        <v>3687</v>
      </c>
      <c r="I661" s="2" t="s">
        <v>237</v>
      </c>
      <c r="J661" s="2" t="s">
        <v>291</v>
      </c>
      <c r="K661" s="2" t="s">
        <v>188</v>
      </c>
    </row>
    <row r="662" spans="1:12">
      <c r="A662" s="2" t="s">
        <v>1997</v>
      </c>
      <c r="B662" s="2" t="s">
        <v>1997</v>
      </c>
      <c r="C662" s="2" t="s">
        <v>3688</v>
      </c>
      <c r="D662" s="2" t="s">
        <v>1994</v>
      </c>
      <c r="E662" s="2" t="s">
        <v>183</v>
      </c>
      <c r="F662" s="2">
        <v>2016</v>
      </c>
      <c r="G662" s="2" t="s">
        <v>224</v>
      </c>
      <c r="H662" s="2" t="s">
        <v>3689</v>
      </c>
      <c r="I662" s="2" t="s">
        <v>237</v>
      </c>
      <c r="J662" s="2" t="s">
        <v>291</v>
      </c>
      <c r="K662" s="2" t="s">
        <v>188</v>
      </c>
    </row>
    <row r="663" spans="1:12">
      <c r="A663" s="2" t="s">
        <v>1997</v>
      </c>
      <c r="B663" s="2" t="s">
        <v>1997</v>
      </c>
      <c r="C663" s="2" t="s">
        <v>3690</v>
      </c>
      <c r="D663" s="2" t="s">
        <v>1994</v>
      </c>
      <c r="E663" s="2" t="s">
        <v>223</v>
      </c>
      <c r="F663" s="2">
        <v>1993</v>
      </c>
      <c r="G663" s="2" t="s">
        <v>224</v>
      </c>
      <c r="H663" s="2" t="s">
        <v>3691</v>
      </c>
      <c r="I663" s="2" t="s">
        <v>225</v>
      </c>
      <c r="J663" s="2" t="s">
        <v>186</v>
      </c>
      <c r="K663" s="2" t="s">
        <v>187</v>
      </c>
      <c r="L663" s="2" t="s">
        <v>2758</v>
      </c>
    </row>
    <row r="664" spans="1:12">
      <c r="A664" s="2" t="s">
        <v>1997</v>
      </c>
      <c r="B664" s="2" t="s">
        <v>1997</v>
      </c>
      <c r="C664" s="2" t="s">
        <v>3692</v>
      </c>
      <c r="D664" s="2" t="s">
        <v>1994</v>
      </c>
      <c r="E664" s="2" t="s">
        <v>183</v>
      </c>
      <c r="F664" s="2">
        <v>2025</v>
      </c>
      <c r="G664" s="2" t="s">
        <v>224</v>
      </c>
      <c r="H664" s="2" t="s">
        <v>3693</v>
      </c>
      <c r="I664" s="2" t="s">
        <v>237</v>
      </c>
      <c r="J664" s="2" t="s">
        <v>291</v>
      </c>
      <c r="K664" s="2" t="s">
        <v>188</v>
      </c>
    </row>
    <row r="665" spans="1:12">
      <c r="A665" s="2" t="s">
        <v>793</v>
      </c>
      <c r="B665" s="2" t="s">
        <v>794</v>
      </c>
      <c r="C665" s="2" t="s">
        <v>3694</v>
      </c>
      <c r="D665" s="2" t="s">
        <v>789</v>
      </c>
      <c r="E665" s="2" t="s">
        <v>223</v>
      </c>
      <c r="F665" s="2">
        <v>1991</v>
      </c>
      <c r="G665" s="2" t="s">
        <v>184</v>
      </c>
      <c r="H665" s="2" t="s">
        <v>793</v>
      </c>
      <c r="I665" s="2" t="s">
        <v>225</v>
      </c>
      <c r="J665" s="2" t="s">
        <v>186</v>
      </c>
      <c r="K665" s="2" t="s">
        <v>187</v>
      </c>
      <c r="L665" s="2" t="s">
        <v>3251</v>
      </c>
    </row>
    <row r="666" spans="1:12">
      <c r="A666" s="2" t="s">
        <v>2038</v>
      </c>
      <c r="B666" s="2" t="s">
        <v>2038</v>
      </c>
      <c r="C666" s="2" t="s">
        <v>3695</v>
      </c>
      <c r="D666" s="2" t="s">
        <v>2036</v>
      </c>
      <c r="E666" s="2" t="s">
        <v>183</v>
      </c>
      <c r="F666" s="2">
        <v>2006</v>
      </c>
      <c r="G666" s="2" t="s">
        <v>224</v>
      </c>
      <c r="H666" s="2" t="s">
        <v>3696</v>
      </c>
      <c r="I666" s="2" t="s">
        <v>237</v>
      </c>
      <c r="J666" s="2" t="s">
        <v>739</v>
      </c>
      <c r="K666" s="2" t="s">
        <v>188</v>
      </c>
    </row>
    <row r="667" spans="1:12">
      <c r="A667" s="2" t="s">
        <v>2038</v>
      </c>
      <c r="B667" s="2" t="s">
        <v>2038</v>
      </c>
      <c r="C667" s="2" t="s">
        <v>3697</v>
      </c>
      <c r="D667" s="2" t="s">
        <v>2036</v>
      </c>
      <c r="E667" s="2" t="s">
        <v>223</v>
      </c>
      <c r="F667" s="2">
        <v>2012</v>
      </c>
      <c r="G667" s="2" t="s">
        <v>224</v>
      </c>
      <c r="H667" s="2" t="s">
        <v>3698</v>
      </c>
      <c r="I667" s="2" t="s">
        <v>237</v>
      </c>
      <c r="J667" s="2" t="s">
        <v>291</v>
      </c>
      <c r="K667" s="2" t="s">
        <v>188</v>
      </c>
    </row>
    <row r="668" spans="1:12">
      <c r="A668" s="2" t="s">
        <v>2038</v>
      </c>
      <c r="B668" s="2" t="s">
        <v>2038</v>
      </c>
      <c r="C668" s="2" t="s">
        <v>3699</v>
      </c>
      <c r="D668" s="2" t="s">
        <v>2036</v>
      </c>
      <c r="E668" s="2" t="s">
        <v>183</v>
      </c>
      <c r="F668" s="2">
        <v>1982</v>
      </c>
      <c r="G668" s="2" t="s">
        <v>224</v>
      </c>
      <c r="H668" s="2" t="s">
        <v>3700</v>
      </c>
      <c r="I668" s="2" t="s">
        <v>185</v>
      </c>
      <c r="J668" s="2" t="s">
        <v>186</v>
      </c>
      <c r="K668" s="2" t="s">
        <v>187</v>
      </c>
      <c r="L668" s="2" t="s">
        <v>2579</v>
      </c>
    </row>
    <row r="669" spans="1:12">
      <c r="A669" s="2" t="s">
        <v>2038</v>
      </c>
      <c r="B669" s="2" t="s">
        <v>2038</v>
      </c>
      <c r="C669" s="2" t="s">
        <v>3701</v>
      </c>
      <c r="D669" s="2" t="s">
        <v>2036</v>
      </c>
      <c r="E669" s="2" t="s">
        <v>223</v>
      </c>
      <c r="F669" s="2">
        <v>1982</v>
      </c>
      <c r="G669" s="2" t="s">
        <v>224</v>
      </c>
      <c r="H669" s="2" t="s">
        <v>2038</v>
      </c>
      <c r="I669" s="2" t="s">
        <v>225</v>
      </c>
      <c r="J669" s="2" t="s">
        <v>226</v>
      </c>
      <c r="K669" s="2" t="s">
        <v>187</v>
      </c>
      <c r="L669" s="2" t="s">
        <v>2621</v>
      </c>
    </row>
    <row r="670" spans="1:12">
      <c r="A670" s="2" t="s">
        <v>2077</v>
      </c>
      <c r="B670" s="2" t="s">
        <v>2077</v>
      </c>
      <c r="C670" s="2" t="s">
        <v>3702</v>
      </c>
      <c r="D670" s="2" t="s">
        <v>2075</v>
      </c>
      <c r="E670" s="2" t="s">
        <v>223</v>
      </c>
      <c r="F670" s="2">
        <v>2007</v>
      </c>
      <c r="G670" s="2" t="s">
        <v>224</v>
      </c>
      <c r="H670" s="2" t="s">
        <v>3703</v>
      </c>
      <c r="I670" s="2" t="s">
        <v>237</v>
      </c>
      <c r="J670" s="2" t="s">
        <v>739</v>
      </c>
      <c r="K670" s="2" t="s">
        <v>188</v>
      </c>
    </row>
    <row r="671" spans="1:12">
      <c r="A671" s="2" t="s">
        <v>2077</v>
      </c>
      <c r="B671" s="2" t="s">
        <v>2077</v>
      </c>
      <c r="C671" s="2" t="s">
        <v>3704</v>
      </c>
      <c r="D671" s="2" t="s">
        <v>2075</v>
      </c>
      <c r="E671" s="2" t="s">
        <v>223</v>
      </c>
      <c r="F671" s="2">
        <v>1979</v>
      </c>
      <c r="G671" s="2" t="s">
        <v>224</v>
      </c>
      <c r="H671" s="2" t="s">
        <v>2077</v>
      </c>
      <c r="I671" s="2" t="s">
        <v>225</v>
      </c>
      <c r="J671" s="2" t="s">
        <v>186</v>
      </c>
      <c r="K671" s="2" t="s">
        <v>187</v>
      </c>
      <c r="L671" s="2" t="s">
        <v>2598</v>
      </c>
    </row>
    <row r="672" spans="1:12">
      <c r="A672" s="2" t="s">
        <v>2077</v>
      </c>
      <c r="B672" s="2" t="s">
        <v>2077</v>
      </c>
      <c r="C672" s="2" t="s">
        <v>3705</v>
      </c>
      <c r="D672" s="2" t="s">
        <v>2075</v>
      </c>
      <c r="E672" s="2" t="s">
        <v>183</v>
      </c>
      <c r="F672" s="2">
        <v>1979</v>
      </c>
      <c r="G672" s="2" t="s">
        <v>224</v>
      </c>
      <c r="H672" s="2" t="s">
        <v>3706</v>
      </c>
      <c r="I672" s="2" t="s">
        <v>185</v>
      </c>
      <c r="J672" s="2" t="s">
        <v>186</v>
      </c>
      <c r="K672" s="2" t="s">
        <v>187</v>
      </c>
      <c r="L672" s="2" t="s">
        <v>2579</v>
      </c>
    </row>
    <row r="673" spans="1:12">
      <c r="A673" s="2" t="s">
        <v>2103</v>
      </c>
      <c r="B673" s="2" t="s">
        <v>2104</v>
      </c>
      <c r="C673" s="2" t="s">
        <v>3707</v>
      </c>
      <c r="D673" s="2" t="s">
        <v>2101</v>
      </c>
      <c r="E673" s="2" t="s">
        <v>183</v>
      </c>
      <c r="F673" s="2">
        <v>1962</v>
      </c>
      <c r="G673" s="2" t="s">
        <v>224</v>
      </c>
      <c r="H673" s="2" t="s">
        <v>2104</v>
      </c>
      <c r="I673" s="2" t="s">
        <v>185</v>
      </c>
      <c r="J673" s="2" t="s">
        <v>270</v>
      </c>
      <c r="K673" s="2" t="s">
        <v>187</v>
      </c>
      <c r="L673" s="2" t="s">
        <v>3069</v>
      </c>
    </row>
    <row r="674" spans="1:12">
      <c r="A674" s="2" t="s">
        <v>2103</v>
      </c>
      <c r="B674" s="2" t="s">
        <v>2104</v>
      </c>
      <c r="C674" s="2" t="s">
        <v>3708</v>
      </c>
      <c r="D674" s="2" t="s">
        <v>2101</v>
      </c>
      <c r="E674" s="2" t="s">
        <v>183</v>
      </c>
      <c r="F674" s="2">
        <v>2000</v>
      </c>
      <c r="G674" s="2" t="s">
        <v>224</v>
      </c>
      <c r="H674" s="2" t="s">
        <v>3709</v>
      </c>
      <c r="I674" s="2" t="s">
        <v>237</v>
      </c>
      <c r="J674" s="2" t="s">
        <v>685</v>
      </c>
      <c r="K674" s="2" t="s">
        <v>188</v>
      </c>
    </row>
    <row r="675" spans="1:12">
      <c r="A675" s="2" t="s">
        <v>2103</v>
      </c>
      <c r="B675" s="2" t="s">
        <v>2104</v>
      </c>
      <c r="C675" s="2" t="s">
        <v>3710</v>
      </c>
      <c r="D675" s="2" t="s">
        <v>2101</v>
      </c>
      <c r="E675" s="2" t="s">
        <v>223</v>
      </c>
      <c r="F675" s="2">
        <v>1968</v>
      </c>
      <c r="G675" s="2" t="s">
        <v>224</v>
      </c>
      <c r="H675" s="2" t="s">
        <v>2103</v>
      </c>
      <c r="I675" s="2" t="s">
        <v>225</v>
      </c>
      <c r="J675" s="2" t="s">
        <v>270</v>
      </c>
      <c r="K675" s="2" t="s">
        <v>187</v>
      </c>
      <c r="L675" s="2" t="s">
        <v>2598</v>
      </c>
    </row>
    <row r="676" spans="1:12">
      <c r="A676" s="2" t="s">
        <v>657</v>
      </c>
      <c r="B676" s="2" t="s">
        <v>657</v>
      </c>
      <c r="C676" s="2" t="s">
        <v>3711</v>
      </c>
      <c r="D676" s="2" t="s">
        <v>867</v>
      </c>
      <c r="E676" s="2" t="s">
        <v>223</v>
      </c>
      <c r="F676" s="2">
        <v>2005</v>
      </c>
      <c r="G676" s="2" t="s">
        <v>184</v>
      </c>
      <c r="H676" s="2" t="s">
        <v>3712</v>
      </c>
      <c r="I676" s="2" t="s">
        <v>237</v>
      </c>
      <c r="J676" s="2" t="s">
        <v>226</v>
      </c>
      <c r="K676" s="2" t="s">
        <v>187</v>
      </c>
      <c r="L676" s="2" t="s">
        <v>2716</v>
      </c>
    </row>
    <row r="677" spans="1:12">
      <c r="A677" s="2" t="s">
        <v>657</v>
      </c>
      <c r="B677" s="2" t="s">
        <v>657</v>
      </c>
      <c r="C677" s="2" t="s">
        <v>3713</v>
      </c>
      <c r="D677" s="2" t="s">
        <v>867</v>
      </c>
      <c r="E677" s="2" t="s">
        <v>183</v>
      </c>
      <c r="F677" s="2">
        <v>2016</v>
      </c>
      <c r="G677" s="2" t="s">
        <v>184</v>
      </c>
      <c r="H677" s="2" t="s">
        <v>3714</v>
      </c>
      <c r="I677" s="2" t="s">
        <v>237</v>
      </c>
      <c r="J677" s="2" t="s">
        <v>291</v>
      </c>
      <c r="K677" s="2" t="s">
        <v>188</v>
      </c>
    </row>
    <row r="678" spans="1:12">
      <c r="A678" s="2" t="s">
        <v>657</v>
      </c>
      <c r="B678" s="2" t="s">
        <v>657</v>
      </c>
      <c r="C678" s="2" t="s">
        <v>3715</v>
      </c>
      <c r="D678" s="2" t="s">
        <v>867</v>
      </c>
      <c r="E678" s="2" t="s">
        <v>223</v>
      </c>
      <c r="F678" s="2">
        <v>1985</v>
      </c>
      <c r="G678" s="2" t="s">
        <v>184</v>
      </c>
      <c r="H678" s="2" t="s">
        <v>3716</v>
      </c>
      <c r="I678" s="2" t="s">
        <v>225</v>
      </c>
      <c r="J678" s="2" t="s">
        <v>186</v>
      </c>
      <c r="K678" s="2" t="s">
        <v>187</v>
      </c>
      <c r="L678" s="2" t="s">
        <v>3258</v>
      </c>
    </row>
    <row r="679" spans="1:12">
      <c r="A679" s="2" t="s">
        <v>657</v>
      </c>
      <c r="B679" s="2" t="s">
        <v>657</v>
      </c>
      <c r="C679" s="2" t="s">
        <v>3717</v>
      </c>
      <c r="D679" s="2" t="s">
        <v>867</v>
      </c>
      <c r="E679" s="2" t="s">
        <v>223</v>
      </c>
      <c r="F679" s="2">
        <v>2003</v>
      </c>
      <c r="G679" s="2" t="s">
        <v>184</v>
      </c>
      <c r="H679" s="2" t="s">
        <v>3718</v>
      </c>
      <c r="I679" s="2" t="s">
        <v>237</v>
      </c>
      <c r="J679" s="2" t="s">
        <v>186</v>
      </c>
      <c r="K679" s="2" t="s">
        <v>187</v>
      </c>
      <c r="L679" s="2" t="s">
        <v>2716</v>
      </c>
    </row>
    <row r="680" spans="1:12">
      <c r="A680" s="2" t="s">
        <v>2118</v>
      </c>
      <c r="B680" s="2" t="s">
        <v>2118</v>
      </c>
      <c r="C680" s="2" t="s">
        <v>3719</v>
      </c>
      <c r="D680" s="2" t="s">
        <v>2116</v>
      </c>
      <c r="E680" s="2" t="s">
        <v>183</v>
      </c>
      <c r="F680" s="2">
        <v>1954</v>
      </c>
      <c r="G680" s="2" t="s">
        <v>224</v>
      </c>
      <c r="H680" s="2" t="s">
        <v>2118</v>
      </c>
      <c r="I680" s="2" t="s">
        <v>185</v>
      </c>
      <c r="J680" s="2" t="s">
        <v>270</v>
      </c>
      <c r="K680" s="2" t="s">
        <v>187</v>
      </c>
      <c r="L680" s="2" t="s">
        <v>2598</v>
      </c>
    </row>
    <row r="681" spans="1:12">
      <c r="A681" s="2" t="s">
        <v>2118</v>
      </c>
      <c r="B681" s="2" t="s">
        <v>2118</v>
      </c>
      <c r="C681" s="2" t="s">
        <v>3720</v>
      </c>
      <c r="D681" s="2" t="s">
        <v>2116</v>
      </c>
      <c r="E681" s="2" t="s">
        <v>223</v>
      </c>
      <c r="F681" s="2">
        <v>1954</v>
      </c>
      <c r="G681" s="2" t="s">
        <v>224</v>
      </c>
      <c r="H681" s="2" t="s">
        <v>3721</v>
      </c>
      <c r="I681" s="2" t="s">
        <v>225</v>
      </c>
      <c r="J681" s="2" t="s">
        <v>186</v>
      </c>
      <c r="K681" s="2" t="s">
        <v>187</v>
      </c>
      <c r="L681" s="2" t="s">
        <v>3722</v>
      </c>
    </row>
    <row r="682" spans="1:12">
      <c r="A682" s="2" t="s">
        <v>2154</v>
      </c>
      <c r="B682" s="2" t="s">
        <v>2154</v>
      </c>
      <c r="C682" s="2" t="s">
        <v>3723</v>
      </c>
      <c r="D682" s="2" t="s">
        <v>2152</v>
      </c>
      <c r="E682" s="2" t="s">
        <v>183</v>
      </c>
      <c r="F682" s="2">
        <v>1965</v>
      </c>
      <c r="G682" s="2" t="s">
        <v>224</v>
      </c>
      <c r="H682" s="2" t="s">
        <v>2154</v>
      </c>
      <c r="I682" s="2" t="s">
        <v>185</v>
      </c>
      <c r="J682" s="2" t="s">
        <v>270</v>
      </c>
      <c r="K682" s="2" t="s">
        <v>187</v>
      </c>
      <c r="L682" s="2" t="s">
        <v>2598</v>
      </c>
    </row>
    <row r="683" spans="1:12">
      <c r="A683" s="2" t="s">
        <v>2154</v>
      </c>
      <c r="B683" s="2" t="s">
        <v>2154</v>
      </c>
      <c r="C683" s="2" t="s">
        <v>3724</v>
      </c>
      <c r="D683" s="2" t="s">
        <v>2152</v>
      </c>
      <c r="E683" s="2" t="s">
        <v>223</v>
      </c>
      <c r="F683" s="2">
        <v>1965</v>
      </c>
      <c r="G683" s="2" t="s">
        <v>224</v>
      </c>
      <c r="H683" s="2" t="s">
        <v>3725</v>
      </c>
      <c r="I683" s="2" t="s">
        <v>225</v>
      </c>
      <c r="J683" s="2" t="s">
        <v>270</v>
      </c>
      <c r="K683" s="2" t="s">
        <v>187</v>
      </c>
      <c r="L683" s="2" t="s">
        <v>2579</v>
      </c>
    </row>
    <row r="684" spans="1:12">
      <c r="A684" s="2" t="s">
        <v>916</v>
      </c>
      <c r="B684" s="2" t="s">
        <v>917</v>
      </c>
      <c r="C684" s="2" t="s">
        <v>3726</v>
      </c>
      <c r="D684" s="2" t="s">
        <v>914</v>
      </c>
      <c r="E684" s="2" t="s">
        <v>183</v>
      </c>
      <c r="F684" s="2">
        <v>1968</v>
      </c>
      <c r="G684" s="2" t="s">
        <v>184</v>
      </c>
      <c r="H684" s="2" t="s">
        <v>3727</v>
      </c>
      <c r="I684" s="2" t="s">
        <v>185</v>
      </c>
      <c r="J684" s="2" t="s">
        <v>603</v>
      </c>
      <c r="K684" s="2" t="s">
        <v>187</v>
      </c>
      <c r="L684" s="2" t="s">
        <v>2572</v>
      </c>
    </row>
    <row r="685" spans="1:12">
      <c r="A685" s="2" t="s">
        <v>916</v>
      </c>
      <c r="B685" s="2" t="s">
        <v>917</v>
      </c>
      <c r="C685" s="2" t="s">
        <v>3728</v>
      </c>
      <c r="D685" s="2" t="s">
        <v>914</v>
      </c>
      <c r="E685" s="2" t="s">
        <v>223</v>
      </c>
      <c r="F685" s="2">
        <v>2001</v>
      </c>
      <c r="G685" s="2" t="s">
        <v>184</v>
      </c>
      <c r="H685" s="2" t="s">
        <v>3729</v>
      </c>
      <c r="I685" s="2" t="s">
        <v>237</v>
      </c>
      <c r="J685" s="2" t="s">
        <v>186</v>
      </c>
      <c r="K685" s="2" t="s">
        <v>187</v>
      </c>
      <c r="L685" s="2" t="s">
        <v>3730</v>
      </c>
    </row>
    <row r="686" spans="1:12">
      <c r="A686" s="2" t="s">
        <v>916</v>
      </c>
      <c r="B686" s="2" t="s">
        <v>917</v>
      </c>
      <c r="C686" s="2" t="s">
        <v>3731</v>
      </c>
      <c r="D686" s="2" t="s">
        <v>914</v>
      </c>
      <c r="E686" s="2" t="s">
        <v>223</v>
      </c>
      <c r="F686" s="2">
        <v>2019</v>
      </c>
      <c r="G686" s="2" t="s">
        <v>184</v>
      </c>
      <c r="H686" s="2" t="s">
        <v>3732</v>
      </c>
      <c r="I686" s="2" t="s">
        <v>291</v>
      </c>
      <c r="J686" s="2" t="s">
        <v>291</v>
      </c>
      <c r="K686" s="2" t="s">
        <v>188</v>
      </c>
    </row>
    <row r="687" spans="1:12">
      <c r="A687" s="2" t="s">
        <v>916</v>
      </c>
      <c r="B687" s="2" t="s">
        <v>917</v>
      </c>
      <c r="C687" s="2" t="s">
        <v>3733</v>
      </c>
      <c r="D687" s="2" t="s">
        <v>914</v>
      </c>
      <c r="E687" s="2" t="s">
        <v>183</v>
      </c>
      <c r="F687" s="2">
        <v>2000</v>
      </c>
      <c r="G687" s="2" t="s">
        <v>184</v>
      </c>
      <c r="H687" s="2" t="s">
        <v>3734</v>
      </c>
      <c r="I687" s="2" t="s">
        <v>237</v>
      </c>
      <c r="J687" s="2" t="s">
        <v>186</v>
      </c>
      <c r="K687" s="2" t="s">
        <v>187</v>
      </c>
      <c r="L687" s="2" t="s">
        <v>2574</v>
      </c>
    </row>
    <row r="688" spans="1:12">
      <c r="A688" s="2" t="s">
        <v>916</v>
      </c>
      <c r="B688" s="2" t="s">
        <v>917</v>
      </c>
      <c r="C688" s="2" t="s">
        <v>3735</v>
      </c>
      <c r="D688" s="2" t="s">
        <v>914</v>
      </c>
      <c r="E688" s="2" t="s">
        <v>223</v>
      </c>
      <c r="F688" s="2">
        <v>1974</v>
      </c>
      <c r="G688" s="2" t="s">
        <v>184</v>
      </c>
      <c r="H688" s="2" t="s">
        <v>3736</v>
      </c>
      <c r="I688" s="2" t="s">
        <v>225</v>
      </c>
      <c r="J688" s="2" t="s">
        <v>270</v>
      </c>
      <c r="K688" s="2" t="s">
        <v>187</v>
      </c>
      <c r="L688" s="2" t="s">
        <v>2632</v>
      </c>
    </row>
    <row r="689" spans="1:12">
      <c r="A689" s="2" t="s">
        <v>2168</v>
      </c>
      <c r="B689" s="2" t="s">
        <v>2168</v>
      </c>
      <c r="C689" s="2" t="s">
        <v>3737</v>
      </c>
      <c r="D689" s="2" t="s">
        <v>2166</v>
      </c>
      <c r="E689" s="2" t="s">
        <v>183</v>
      </c>
      <c r="F689" s="2">
        <v>1966</v>
      </c>
      <c r="G689" s="2" t="s">
        <v>224</v>
      </c>
      <c r="H689" s="2" t="s">
        <v>3738</v>
      </c>
      <c r="I689" s="2" t="s">
        <v>185</v>
      </c>
      <c r="J689" s="2" t="s">
        <v>226</v>
      </c>
      <c r="K689" s="2" t="s">
        <v>188</v>
      </c>
    </row>
    <row r="690" spans="1:12">
      <c r="A690" s="2" t="s">
        <v>2168</v>
      </c>
      <c r="B690" s="2" t="s">
        <v>2168</v>
      </c>
      <c r="C690" s="2" t="s">
        <v>3739</v>
      </c>
      <c r="D690" s="2" t="s">
        <v>2166</v>
      </c>
      <c r="E690" s="2" t="s">
        <v>223</v>
      </c>
      <c r="F690" s="2">
        <v>1973</v>
      </c>
      <c r="G690" s="2" t="s">
        <v>224</v>
      </c>
      <c r="H690" s="2" t="s">
        <v>2168</v>
      </c>
      <c r="I690" s="2" t="s">
        <v>225</v>
      </c>
      <c r="J690" s="2" t="s">
        <v>226</v>
      </c>
      <c r="K690" s="2" t="s">
        <v>187</v>
      </c>
      <c r="L690" s="2" t="s">
        <v>2598</v>
      </c>
    </row>
    <row r="691" spans="1:12">
      <c r="A691" s="2" t="s">
        <v>2193</v>
      </c>
      <c r="B691" s="2" t="s">
        <v>2193</v>
      </c>
      <c r="C691" s="2" t="s">
        <v>3740</v>
      </c>
      <c r="D691" s="2" t="s">
        <v>2191</v>
      </c>
      <c r="E691" s="2" t="s">
        <v>223</v>
      </c>
      <c r="F691" s="2">
        <v>2020</v>
      </c>
      <c r="G691" s="2" t="s">
        <v>224</v>
      </c>
      <c r="H691" s="2" t="s">
        <v>3741</v>
      </c>
      <c r="I691" s="2" t="s">
        <v>237</v>
      </c>
      <c r="J691" s="2" t="s">
        <v>291</v>
      </c>
      <c r="K691" s="2" t="s">
        <v>188</v>
      </c>
    </row>
    <row r="692" spans="1:12">
      <c r="A692" s="2" t="s">
        <v>2193</v>
      </c>
      <c r="B692" s="2" t="s">
        <v>2193</v>
      </c>
      <c r="C692" s="2" t="s">
        <v>3742</v>
      </c>
      <c r="D692" s="2" t="s">
        <v>2191</v>
      </c>
      <c r="E692" s="2" t="s">
        <v>223</v>
      </c>
      <c r="F692" s="2">
        <v>1988</v>
      </c>
      <c r="G692" s="2" t="s">
        <v>224</v>
      </c>
      <c r="H692" s="2" t="s">
        <v>3743</v>
      </c>
      <c r="I692" s="2" t="s">
        <v>225</v>
      </c>
      <c r="J692" s="2" t="s">
        <v>226</v>
      </c>
      <c r="K692" s="2" t="s">
        <v>187</v>
      </c>
      <c r="L692" s="2" t="s">
        <v>2572</v>
      </c>
    </row>
    <row r="693" spans="1:12">
      <c r="A693" s="2" t="s">
        <v>2193</v>
      </c>
      <c r="B693" s="2" t="s">
        <v>2193</v>
      </c>
      <c r="C693" s="2" t="s">
        <v>3744</v>
      </c>
      <c r="D693" s="2" t="s">
        <v>2191</v>
      </c>
      <c r="E693" s="2" t="s">
        <v>183</v>
      </c>
      <c r="F693" s="2">
        <v>1988</v>
      </c>
      <c r="G693" s="2" t="s">
        <v>224</v>
      </c>
      <c r="H693" s="2" t="s">
        <v>2193</v>
      </c>
      <c r="I693" s="2" t="s">
        <v>185</v>
      </c>
      <c r="J693" s="2" t="s">
        <v>186</v>
      </c>
      <c r="K693" s="2" t="s">
        <v>187</v>
      </c>
      <c r="L693" s="2" t="s">
        <v>2579</v>
      </c>
    </row>
    <row r="694" spans="1:12">
      <c r="A694" s="2" t="s">
        <v>2193</v>
      </c>
      <c r="B694" s="2" t="s">
        <v>2193</v>
      </c>
      <c r="C694" s="2" t="s">
        <v>3745</v>
      </c>
      <c r="D694" s="2" t="s">
        <v>2191</v>
      </c>
      <c r="E694" s="2" t="s">
        <v>183</v>
      </c>
      <c r="F694" s="2">
        <v>2018</v>
      </c>
      <c r="G694" s="2" t="s">
        <v>224</v>
      </c>
      <c r="H694" s="2" t="s">
        <v>3746</v>
      </c>
      <c r="I694" s="2" t="s">
        <v>237</v>
      </c>
      <c r="J694" s="2" t="s">
        <v>291</v>
      </c>
      <c r="K694" s="2" t="s">
        <v>188</v>
      </c>
    </row>
    <row r="695" spans="1:12">
      <c r="A695" s="2" t="s">
        <v>2224</v>
      </c>
      <c r="B695" s="2" t="s">
        <v>2225</v>
      </c>
      <c r="C695" s="2" t="s">
        <v>3747</v>
      </c>
      <c r="D695" s="2" t="s">
        <v>2222</v>
      </c>
      <c r="E695" s="2" t="s">
        <v>223</v>
      </c>
      <c r="F695" s="2">
        <v>1970</v>
      </c>
      <c r="G695" s="2" t="s">
        <v>224</v>
      </c>
      <c r="H695" s="2" t="s">
        <v>2224</v>
      </c>
      <c r="I695" s="2" t="s">
        <v>225</v>
      </c>
      <c r="J695" s="2" t="s">
        <v>186</v>
      </c>
      <c r="K695" s="2" t="s">
        <v>187</v>
      </c>
      <c r="L695" s="2" t="s">
        <v>2598</v>
      </c>
    </row>
    <row r="696" spans="1:12">
      <c r="A696" s="2" t="s">
        <v>2224</v>
      </c>
      <c r="B696" s="2" t="s">
        <v>2225</v>
      </c>
      <c r="C696" s="2" t="s">
        <v>3748</v>
      </c>
      <c r="D696" s="2" t="s">
        <v>2222</v>
      </c>
      <c r="E696" s="2" t="s">
        <v>183</v>
      </c>
      <c r="F696" s="2">
        <v>1976</v>
      </c>
      <c r="G696" s="2" t="s">
        <v>224</v>
      </c>
      <c r="H696" s="2" t="s">
        <v>2225</v>
      </c>
      <c r="I696" s="2" t="s">
        <v>185</v>
      </c>
      <c r="J696" s="2" t="s">
        <v>270</v>
      </c>
      <c r="K696" s="2" t="s">
        <v>187</v>
      </c>
      <c r="L696" s="2" t="s">
        <v>2576</v>
      </c>
    </row>
    <row r="697" spans="1:12">
      <c r="A697" s="2" t="s">
        <v>2256</v>
      </c>
      <c r="B697" s="2" t="s">
        <v>2257</v>
      </c>
      <c r="C697" s="2" t="s">
        <v>3749</v>
      </c>
      <c r="D697" s="2" t="s">
        <v>2254</v>
      </c>
      <c r="E697" s="2" t="s">
        <v>223</v>
      </c>
      <c r="F697" s="2">
        <v>1999</v>
      </c>
      <c r="G697" s="2" t="s">
        <v>834</v>
      </c>
      <c r="H697" s="2" t="s">
        <v>3750</v>
      </c>
      <c r="I697" s="2" t="s">
        <v>225</v>
      </c>
      <c r="J697" s="2" t="s">
        <v>226</v>
      </c>
      <c r="K697" s="2" t="s">
        <v>187</v>
      </c>
      <c r="L697" s="2" t="s">
        <v>2632</v>
      </c>
    </row>
    <row r="698" spans="1:12">
      <c r="A698" s="2" t="s">
        <v>2256</v>
      </c>
      <c r="B698" s="2" t="s">
        <v>2257</v>
      </c>
      <c r="C698" s="2" t="s">
        <v>3751</v>
      </c>
      <c r="D698" s="2" t="s">
        <v>2254</v>
      </c>
      <c r="E698" s="2" t="s">
        <v>183</v>
      </c>
      <c r="F698" s="2">
        <v>2000</v>
      </c>
      <c r="G698" s="2" t="s">
        <v>834</v>
      </c>
      <c r="H698" s="2" t="s">
        <v>2257</v>
      </c>
      <c r="I698" s="2" t="s">
        <v>185</v>
      </c>
      <c r="J698" s="2" t="s">
        <v>270</v>
      </c>
      <c r="K698" s="2" t="s">
        <v>187</v>
      </c>
      <c r="L698" s="2" t="s">
        <v>2579</v>
      </c>
    </row>
    <row r="699" spans="1:12">
      <c r="A699" s="2" t="s">
        <v>933</v>
      </c>
      <c r="B699" s="2" t="s">
        <v>934</v>
      </c>
      <c r="C699" s="2" t="s">
        <v>3752</v>
      </c>
      <c r="D699" s="2" t="s">
        <v>931</v>
      </c>
      <c r="E699" s="2" t="s">
        <v>183</v>
      </c>
      <c r="F699" s="2">
        <v>1976</v>
      </c>
      <c r="G699" s="2" t="s">
        <v>184</v>
      </c>
      <c r="H699" s="2" t="s">
        <v>934</v>
      </c>
      <c r="I699" s="2" t="s">
        <v>185</v>
      </c>
      <c r="J699" s="2" t="s">
        <v>270</v>
      </c>
      <c r="K699" s="2" t="s">
        <v>187</v>
      </c>
      <c r="L699" s="2" t="s">
        <v>2572</v>
      </c>
    </row>
    <row r="700" spans="1:12">
      <c r="A700" s="2" t="s">
        <v>933</v>
      </c>
      <c r="B700" s="2" t="s">
        <v>934</v>
      </c>
      <c r="C700" s="2" t="s">
        <v>3753</v>
      </c>
      <c r="D700" s="2" t="s">
        <v>931</v>
      </c>
      <c r="E700" s="2" t="s">
        <v>223</v>
      </c>
      <c r="F700" s="2">
        <v>2002</v>
      </c>
      <c r="G700" s="2" t="s">
        <v>184</v>
      </c>
      <c r="H700" s="2" t="s">
        <v>3754</v>
      </c>
      <c r="I700" s="2" t="s">
        <v>237</v>
      </c>
      <c r="J700" s="2" t="s">
        <v>226</v>
      </c>
      <c r="K700" s="2" t="s">
        <v>187</v>
      </c>
      <c r="L700" s="2" t="s">
        <v>3730</v>
      </c>
    </row>
    <row r="701" spans="1:12">
      <c r="A701" s="2" t="s">
        <v>933</v>
      </c>
      <c r="B701" s="2" t="s">
        <v>934</v>
      </c>
      <c r="C701" s="2" t="s">
        <v>3755</v>
      </c>
      <c r="D701" s="2" t="s">
        <v>931</v>
      </c>
      <c r="E701" s="2" t="s">
        <v>223</v>
      </c>
      <c r="F701" s="2">
        <v>1978</v>
      </c>
      <c r="G701" s="2" t="s">
        <v>184</v>
      </c>
      <c r="H701" s="2" t="s">
        <v>3756</v>
      </c>
      <c r="I701" s="2" t="s">
        <v>225</v>
      </c>
      <c r="J701" s="2" t="s">
        <v>270</v>
      </c>
      <c r="K701" s="2" t="s">
        <v>187</v>
      </c>
      <c r="L701" s="2" t="s">
        <v>3258</v>
      </c>
    </row>
    <row r="702" spans="1:12">
      <c r="A702" s="2" t="s">
        <v>933</v>
      </c>
      <c r="B702" s="2" t="s">
        <v>934</v>
      </c>
      <c r="C702" s="2" t="s">
        <v>3757</v>
      </c>
      <c r="D702" s="2" t="s">
        <v>931</v>
      </c>
      <c r="E702" s="2" t="s">
        <v>183</v>
      </c>
      <c r="F702" s="2">
        <v>2019</v>
      </c>
      <c r="G702" s="2" t="s">
        <v>184</v>
      </c>
      <c r="H702" s="2" t="s">
        <v>3758</v>
      </c>
      <c r="I702" s="2" t="s">
        <v>291</v>
      </c>
      <c r="J702" s="2" t="s">
        <v>291</v>
      </c>
      <c r="K702" s="2" t="s">
        <v>188</v>
      </c>
    </row>
    <row r="703" spans="1:12">
      <c r="A703" s="2" t="s">
        <v>933</v>
      </c>
      <c r="B703" s="2" t="s">
        <v>934</v>
      </c>
      <c r="C703" s="2" t="s">
        <v>3759</v>
      </c>
      <c r="D703" s="2" t="s">
        <v>931</v>
      </c>
      <c r="E703" s="2" t="s">
        <v>223</v>
      </c>
      <c r="F703" s="2">
        <v>2020</v>
      </c>
      <c r="G703" s="2" t="s">
        <v>184</v>
      </c>
      <c r="H703" s="2" t="s">
        <v>3760</v>
      </c>
      <c r="I703" s="2" t="s">
        <v>291</v>
      </c>
      <c r="J703" s="2" t="s">
        <v>291</v>
      </c>
      <c r="K703" s="2" t="s">
        <v>188</v>
      </c>
    </row>
    <row r="704" spans="1:12">
      <c r="A704" s="2" t="s">
        <v>933</v>
      </c>
      <c r="B704" s="2" t="s">
        <v>934</v>
      </c>
      <c r="C704" s="2" t="s">
        <v>3761</v>
      </c>
      <c r="D704" s="2" t="s">
        <v>931</v>
      </c>
      <c r="E704" s="2" t="s">
        <v>183</v>
      </c>
      <c r="F704" s="2">
        <v>1997</v>
      </c>
      <c r="G704" s="2" t="s">
        <v>184</v>
      </c>
      <c r="H704" s="2" t="s">
        <v>3762</v>
      </c>
      <c r="I704" s="2" t="s">
        <v>237</v>
      </c>
      <c r="J704" s="2" t="s">
        <v>226</v>
      </c>
      <c r="K704" s="2" t="s">
        <v>187</v>
      </c>
      <c r="L704" s="2" t="s">
        <v>2598</v>
      </c>
    </row>
    <row r="705" spans="1:12">
      <c r="A705" s="2" t="s">
        <v>964</v>
      </c>
      <c r="B705" s="2" t="s">
        <v>965</v>
      </c>
      <c r="C705" s="2" t="s">
        <v>3763</v>
      </c>
      <c r="D705" s="2" t="s">
        <v>962</v>
      </c>
      <c r="E705" s="2" t="s">
        <v>223</v>
      </c>
      <c r="F705" s="2">
        <v>2025</v>
      </c>
      <c r="G705" s="2" t="s">
        <v>184</v>
      </c>
      <c r="H705" s="2" t="s">
        <v>3764</v>
      </c>
      <c r="I705" s="2" t="s">
        <v>237</v>
      </c>
      <c r="J705" s="2" t="s">
        <v>291</v>
      </c>
      <c r="K705" s="2" t="s">
        <v>188</v>
      </c>
    </row>
    <row r="706" spans="1:12">
      <c r="A706" s="2" t="s">
        <v>964</v>
      </c>
      <c r="B706" s="2" t="s">
        <v>965</v>
      </c>
      <c r="C706" s="2" t="s">
        <v>3765</v>
      </c>
      <c r="D706" s="2" t="s">
        <v>962</v>
      </c>
      <c r="E706" s="2" t="s">
        <v>223</v>
      </c>
      <c r="F706" s="2">
        <v>2018</v>
      </c>
      <c r="G706" s="2" t="s">
        <v>184</v>
      </c>
      <c r="H706" s="2" t="s">
        <v>3766</v>
      </c>
      <c r="I706" s="2" t="s">
        <v>237</v>
      </c>
      <c r="J706" s="2" t="s">
        <v>291</v>
      </c>
      <c r="K706" s="2" t="s">
        <v>188</v>
      </c>
    </row>
    <row r="707" spans="1:12">
      <c r="A707" s="2" t="s">
        <v>964</v>
      </c>
      <c r="B707" s="2" t="s">
        <v>965</v>
      </c>
      <c r="C707" s="2" t="s">
        <v>3767</v>
      </c>
      <c r="D707" s="2" t="s">
        <v>962</v>
      </c>
      <c r="E707" s="2" t="s">
        <v>183</v>
      </c>
      <c r="F707" s="2">
        <v>1996</v>
      </c>
      <c r="G707" s="2" t="s">
        <v>184</v>
      </c>
      <c r="H707" s="2" t="s">
        <v>965</v>
      </c>
      <c r="I707" s="2" t="s">
        <v>185</v>
      </c>
      <c r="J707" s="2" t="s">
        <v>603</v>
      </c>
      <c r="K707" s="2" t="s">
        <v>187</v>
      </c>
      <c r="L707" s="2" t="s">
        <v>2576</v>
      </c>
    </row>
    <row r="708" spans="1:12">
      <c r="A708" s="2" t="s">
        <v>964</v>
      </c>
      <c r="B708" s="2" t="s">
        <v>965</v>
      </c>
      <c r="C708" s="2" t="s">
        <v>3768</v>
      </c>
      <c r="D708" s="2" t="s">
        <v>962</v>
      </c>
      <c r="E708" s="2" t="s">
        <v>223</v>
      </c>
      <c r="F708" s="2">
        <v>1998</v>
      </c>
      <c r="G708" s="2" t="s">
        <v>184</v>
      </c>
      <c r="H708" s="2" t="s">
        <v>964</v>
      </c>
      <c r="I708" s="2" t="s">
        <v>225</v>
      </c>
      <c r="J708" s="2" t="s">
        <v>270</v>
      </c>
      <c r="K708" s="2" t="s">
        <v>187</v>
      </c>
      <c r="L708" s="2" t="s">
        <v>3769</v>
      </c>
    </row>
    <row r="709" spans="1:12">
      <c r="A709" s="2" t="s">
        <v>994</v>
      </c>
      <c r="B709" s="2" t="s">
        <v>994</v>
      </c>
      <c r="C709" s="2" t="s">
        <v>3770</v>
      </c>
      <c r="D709" s="2" t="s">
        <v>992</v>
      </c>
      <c r="E709" s="2" t="s">
        <v>223</v>
      </c>
      <c r="F709" s="2">
        <v>2017</v>
      </c>
      <c r="G709" s="2" t="s">
        <v>184</v>
      </c>
      <c r="H709" s="2" t="s">
        <v>3771</v>
      </c>
      <c r="I709" s="2" t="s">
        <v>237</v>
      </c>
      <c r="J709" s="2" t="s">
        <v>291</v>
      </c>
      <c r="K709" s="2" t="s">
        <v>188</v>
      </c>
    </row>
    <row r="710" spans="1:12">
      <c r="A710" s="2" t="s">
        <v>994</v>
      </c>
      <c r="B710" s="2" t="s">
        <v>994</v>
      </c>
      <c r="C710" s="2" t="s">
        <v>3772</v>
      </c>
      <c r="D710" s="2" t="s">
        <v>992</v>
      </c>
      <c r="E710" s="2" t="s">
        <v>223</v>
      </c>
      <c r="F710" s="2">
        <v>2019</v>
      </c>
      <c r="G710" s="2" t="s">
        <v>184</v>
      </c>
      <c r="H710" s="2" t="s">
        <v>3773</v>
      </c>
      <c r="I710" s="2" t="s">
        <v>237</v>
      </c>
      <c r="J710" s="2" t="s">
        <v>291</v>
      </c>
      <c r="K710" s="2" t="s">
        <v>188</v>
      </c>
    </row>
    <row r="711" spans="1:12">
      <c r="A711" s="2" t="s">
        <v>994</v>
      </c>
      <c r="B711" s="2" t="s">
        <v>994</v>
      </c>
      <c r="C711" s="2" t="s">
        <v>3774</v>
      </c>
      <c r="D711" s="2" t="s">
        <v>992</v>
      </c>
      <c r="E711" s="2" t="s">
        <v>223</v>
      </c>
      <c r="F711" s="2">
        <v>1993</v>
      </c>
      <c r="G711" s="2" t="s">
        <v>184</v>
      </c>
      <c r="H711" s="2" t="s">
        <v>894</v>
      </c>
      <c r="I711" s="2" t="s">
        <v>225</v>
      </c>
      <c r="J711" s="2" t="s">
        <v>270</v>
      </c>
      <c r="K711" s="2" t="s">
        <v>187</v>
      </c>
      <c r="L711" s="2" t="s">
        <v>3258</v>
      </c>
    </row>
    <row r="712" spans="1:12">
      <c r="A712" s="2" t="s">
        <v>994</v>
      </c>
      <c r="B712" s="2" t="s">
        <v>994</v>
      </c>
      <c r="C712" s="2" t="s">
        <v>3775</v>
      </c>
      <c r="D712" s="2" t="s">
        <v>992</v>
      </c>
      <c r="E712" s="2" t="s">
        <v>223</v>
      </c>
      <c r="F712" s="2">
        <v>2022</v>
      </c>
      <c r="G712" s="2" t="s">
        <v>184</v>
      </c>
      <c r="H712" s="2" t="s">
        <v>3776</v>
      </c>
      <c r="I712" s="2" t="s">
        <v>237</v>
      </c>
      <c r="J712" s="2" t="s">
        <v>291</v>
      </c>
      <c r="K712" s="2" t="s">
        <v>188</v>
      </c>
    </row>
    <row r="713" spans="1:12">
      <c r="A713" s="2" t="s">
        <v>994</v>
      </c>
      <c r="B713" s="2" t="s">
        <v>994</v>
      </c>
      <c r="C713" s="2" t="s">
        <v>3777</v>
      </c>
      <c r="D713" s="2" t="s">
        <v>992</v>
      </c>
      <c r="E713" s="2" t="s">
        <v>183</v>
      </c>
      <c r="F713" s="2">
        <v>1989</v>
      </c>
      <c r="G713" s="2" t="s">
        <v>184</v>
      </c>
      <c r="H713" s="2" t="s">
        <v>994</v>
      </c>
      <c r="I713" s="2" t="s">
        <v>185</v>
      </c>
      <c r="J713" s="2" t="s">
        <v>270</v>
      </c>
      <c r="K713" s="2" t="s">
        <v>187</v>
      </c>
      <c r="L713" s="2" t="s">
        <v>2598</v>
      </c>
    </row>
    <row r="714" spans="1:12">
      <c r="A714" s="2" t="s">
        <v>1037</v>
      </c>
      <c r="B714" s="2" t="s">
        <v>1038</v>
      </c>
      <c r="C714" s="2" t="s">
        <v>3778</v>
      </c>
      <c r="D714" s="2" t="s">
        <v>1035</v>
      </c>
      <c r="E714" s="2" t="s">
        <v>223</v>
      </c>
      <c r="F714" s="2">
        <v>1998</v>
      </c>
      <c r="G714" s="2" t="s">
        <v>184</v>
      </c>
      <c r="H714" s="2" t="s">
        <v>3332</v>
      </c>
      <c r="I714" s="2" t="s">
        <v>225</v>
      </c>
      <c r="J714" s="2" t="s">
        <v>186</v>
      </c>
      <c r="K714" s="2" t="s">
        <v>187</v>
      </c>
      <c r="L714" s="2" t="s">
        <v>2572</v>
      </c>
    </row>
    <row r="715" spans="1:12">
      <c r="A715" s="2" t="s">
        <v>1037</v>
      </c>
      <c r="B715" s="2" t="s">
        <v>1038</v>
      </c>
      <c r="C715" s="2" t="s">
        <v>3779</v>
      </c>
      <c r="D715" s="2" t="s">
        <v>1035</v>
      </c>
      <c r="E715" s="2" t="s">
        <v>183</v>
      </c>
      <c r="F715" s="2">
        <v>1996</v>
      </c>
      <c r="G715" s="2" t="s">
        <v>184</v>
      </c>
      <c r="H715" s="2" t="s">
        <v>1038</v>
      </c>
      <c r="I715" s="2" t="s">
        <v>185</v>
      </c>
      <c r="J715" s="2" t="s">
        <v>270</v>
      </c>
      <c r="K715" s="2" t="s">
        <v>187</v>
      </c>
      <c r="L715" s="2" t="s">
        <v>2572</v>
      </c>
    </row>
    <row r="716" spans="1:12">
      <c r="A716" s="2" t="s">
        <v>1037</v>
      </c>
      <c r="B716" s="2" t="s">
        <v>1038</v>
      </c>
      <c r="C716" s="2" t="s">
        <v>3780</v>
      </c>
      <c r="D716" s="2" t="s">
        <v>1035</v>
      </c>
      <c r="E716" s="2" t="s">
        <v>183</v>
      </c>
      <c r="F716" s="2">
        <v>2016</v>
      </c>
      <c r="G716" s="2" t="s">
        <v>184</v>
      </c>
      <c r="H716" s="2" t="s">
        <v>3781</v>
      </c>
      <c r="I716" s="2" t="s">
        <v>237</v>
      </c>
      <c r="J716" s="2" t="s">
        <v>291</v>
      </c>
      <c r="K716" s="2" t="s">
        <v>188</v>
      </c>
    </row>
    <row r="717" spans="1:12">
      <c r="A717" s="2" t="s">
        <v>1079</v>
      </c>
      <c r="B717" s="2" t="s">
        <v>1079</v>
      </c>
      <c r="C717" s="2" t="s">
        <v>3782</v>
      </c>
      <c r="D717" s="2" t="s">
        <v>1077</v>
      </c>
      <c r="E717" s="2" t="s">
        <v>183</v>
      </c>
      <c r="F717" s="2">
        <v>1955</v>
      </c>
      <c r="G717" s="2" t="s">
        <v>184</v>
      </c>
      <c r="H717" s="2" t="s">
        <v>1079</v>
      </c>
      <c r="I717" s="2" t="s">
        <v>185</v>
      </c>
      <c r="J717" s="2" t="s">
        <v>270</v>
      </c>
      <c r="K717" s="2" t="s">
        <v>187</v>
      </c>
      <c r="L717" s="2" t="s">
        <v>2598</v>
      </c>
    </row>
    <row r="718" spans="1:12">
      <c r="A718" s="2" t="s">
        <v>1079</v>
      </c>
      <c r="B718" s="2" t="s">
        <v>1079</v>
      </c>
      <c r="C718" s="2" t="s">
        <v>3783</v>
      </c>
      <c r="D718" s="2" t="s">
        <v>1077</v>
      </c>
      <c r="E718" s="2" t="s">
        <v>223</v>
      </c>
      <c r="F718" s="2">
        <v>1960</v>
      </c>
      <c r="G718" s="2" t="s">
        <v>184</v>
      </c>
      <c r="H718" s="2" t="s">
        <v>3784</v>
      </c>
      <c r="I718" s="2" t="s">
        <v>225</v>
      </c>
      <c r="J718" s="2" t="s">
        <v>603</v>
      </c>
      <c r="K718" s="2" t="s">
        <v>187</v>
      </c>
      <c r="L718" s="2" t="s">
        <v>3258</v>
      </c>
    </row>
    <row r="719" spans="1:12">
      <c r="A719" s="2" t="s">
        <v>1079</v>
      </c>
      <c r="B719" s="2" t="s">
        <v>1079</v>
      </c>
      <c r="C719" s="2" t="s">
        <v>3785</v>
      </c>
      <c r="D719" s="2" t="s">
        <v>1077</v>
      </c>
      <c r="E719" s="2" t="s">
        <v>183</v>
      </c>
      <c r="F719" s="2">
        <v>2016</v>
      </c>
      <c r="G719" s="2" t="s">
        <v>184</v>
      </c>
      <c r="H719" s="2" t="s">
        <v>3786</v>
      </c>
      <c r="I719" s="2" t="s">
        <v>291</v>
      </c>
      <c r="J719" s="2" t="s">
        <v>291</v>
      </c>
      <c r="K719" s="2" t="s">
        <v>188</v>
      </c>
    </row>
    <row r="720" spans="1:12">
      <c r="A720" s="2" t="s">
        <v>2299</v>
      </c>
      <c r="B720" s="2" t="s">
        <v>2299</v>
      </c>
      <c r="C720" s="2" t="s">
        <v>3787</v>
      </c>
      <c r="D720" s="2" t="s">
        <v>2296</v>
      </c>
      <c r="E720" s="2" t="s">
        <v>223</v>
      </c>
      <c r="F720" s="2">
        <v>1975</v>
      </c>
      <c r="G720" s="2" t="s">
        <v>834</v>
      </c>
      <c r="H720" s="2" t="s">
        <v>3788</v>
      </c>
      <c r="I720" s="2" t="s">
        <v>225</v>
      </c>
      <c r="J720" s="2" t="s">
        <v>603</v>
      </c>
      <c r="K720" s="2" t="s">
        <v>187</v>
      </c>
      <c r="L720" s="2" t="s">
        <v>2758</v>
      </c>
    </row>
    <row r="721" spans="1:12">
      <c r="A721" s="2" t="s">
        <v>2299</v>
      </c>
      <c r="B721" s="2" t="s">
        <v>2299</v>
      </c>
      <c r="C721" s="2" t="s">
        <v>3789</v>
      </c>
      <c r="D721" s="2" t="s">
        <v>2296</v>
      </c>
      <c r="E721" s="2" t="s">
        <v>183</v>
      </c>
      <c r="F721" s="2">
        <v>2000</v>
      </c>
      <c r="G721" s="2" t="s">
        <v>834</v>
      </c>
      <c r="H721" s="2" t="s">
        <v>3790</v>
      </c>
      <c r="I721" s="2" t="s">
        <v>237</v>
      </c>
      <c r="J721" s="2" t="s">
        <v>186</v>
      </c>
      <c r="K721" s="2" t="s">
        <v>187</v>
      </c>
      <c r="L721" s="2" t="s">
        <v>2574</v>
      </c>
    </row>
    <row r="722" spans="1:12">
      <c r="A722" s="2" t="s">
        <v>2299</v>
      </c>
      <c r="B722" s="2" t="s">
        <v>2299</v>
      </c>
      <c r="C722" s="2" t="s">
        <v>3791</v>
      </c>
      <c r="D722" s="2" t="s">
        <v>2296</v>
      </c>
      <c r="E722" s="2" t="s">
        <v>223</v>
      </c>
      <c r="F722" s="2">
        <v>2000</v>
      </c>
      <c r="G722" s="2" t="s">
        <v>834</v>
      </c>
      <c r="H722" s="2" t="s">
        <v>3792</v>
      </c>
      <c r="I722" s="2" t="s">
        <v>237</v>
      </c>
      <c r="J722" s="2" t="s">
        <v>186</v>
      </c>
      <c r="K722" s="2" t="s">
        <v>187</v>
      </c>
      <c r="L722" s="2" t="s">
        <v>2716</v>
      </c>
    </row>
    <row r="723" spans="1:12">
      <c r="A723" s="2" t="s">
        <v>2299</v>
      </c>
      <c r="B723" s="2" t="s">
        <v>2299</v>
      </c>
      <c r="C723" s="2" t="s">
        <v>3793</v>
      </c>
      <c r="D723" s="2" t="s">
        <v>2296</v>
      </c>
      <c r="E723" s="2" t="s">
        <v>183</v>
      </c>
      <c r="F723" s="2">
        <v>1968</v>
      </c>
      <c r="G723" s="2" t="s">
        <v>834</v>
      </c>
      <c r="H723" s="2" t="s">
        <v>3794</v>
      </c>
      <c r="I723" s="2" t="s">
        <v>185</v>
      </c>
      <c r="J723" s="2" t="s">
        <v>270</v>
      </c>
      <c r="K723" s="2" t="s">
        <v>187</v>
      </c>
      <c r="L723" s="2" t="s">
        <v>2572</v>
      </c>
    </row>
    <row r="724" spans="1:12">
      <c r="A724" s="2" t="s">
        <v>1106</v>
      </c>
      <c r="B724" s="2" t="s">
        <v>1107</v>
      </c>
      <c r="C724" s="2" t="s">
        <v>3795</v>
      </c>
      <c r="D724" s="2" t="s">
        <v>1104</v>
      </c>
      <c r="E724" s="2" t="s">
        <v>183</v>
      </c>
      <c r="F724" s="2">
        <v>2017</v>
      </c>
      <c r="G724" s="2" t="s">
        <v>184</v>
      </c>
      <c r="H724" s="2" t="s">
        <v>3329</v>
      </c>
      <c r="I724" s="2" t="s">
        <v>237</v>
      </c>
      <c r="J724" s="2" t="s">
        <v>291</v>
      </c>
      <c r="K724" s="2" t="s">
        <v>188</v>
      </c>
    </row>
    <row r="725" spans="1:12">
      <c r="A725" s="2" t="s">
        <v>2331</v>
      </c>
      <c r="B725" s="2" t="s">
        <v>2331</v>
      </c>
      <c r="C725" s="2" t="s">
        <v>3796</v>
      </c>
      <c r="D725" s="2" t="s">
        <v>2329</v>
      </c>
      <c r="E725" s="2" t="s">
        <v>183</v>
      </c>
      <c r="F725" s="2">
        <v>2019</v>
      </c>
      <c r="G725" s="2" t="s">
        <v>834</v>
      </c>
      <c r="H725" s="2" t="s">
        <v>3797</v>
      </c>
      <c r="I725" s="2" t="s">
        <v>237</v>
      </c>
      <c r="J725" s="2" t="s">
        <v>291</v>
      </c>
      <c r="K725" s="2" t="s">
        <v>188</v>
      </c>
    </row>
    <row r="726" spans="1:12">
      <c r="A726" s="2" t="s">
        <v>2331</v>
      </c>
      <c r="B726" s="2" t="s">
        <v>2331</v>
      </c>
      <c r="C726" s="2" t="s">
        <v>3798</v>
      </c>
      <c r="D726" s="2" t="s">
        <v>2329</v>
      </c>
      <c r="E726" s="2" t="s">
        <v>183</v>
      </c>
      <c r="F726" s="2">
        <v>1993</v>
      </c>
      <c r="G726" s="2" t="s">
        <v>834</v>
      </c>
      <c r="H726" s="2" t="s">
        <v>2331</v>
      </c>
      <c r="I726" s="2" t="s">
        <v>185</v>
      </c>
      <c r="J726" s="2" t="s">
        <v>270</v>
      </c>
      <c r="K726" s="2" t="s">
        <v>187</v>
      </c>
      <c r="L726" s="2" t="s">
        <v>2598</v>
      </c>
    </row>
    <row r="727" spans="1:12">
      <c r="A727" s="2" t="s">
        <v>2331</v>
      </c>
      <c r="B727" s="2" t="s">
        <v>2331</v>
      </c>
      <c r="C727" s="2" t="s">
        <v>3799</v>
      </c>
      <c r="D727" s="2" t="s">
        <v>2329</v>
      </c>
      <c r="E727" s="2" t="s">
        <v>223</v>
      </c>
      <c r="F727" s="2">
        <v>2012</v>
      </c>
      <c r="G727" s="2" t="s">
        <v>834</v>
      </c>
      <c r="H727" s="2" t="s">
        <v>3800</v>
      </c>
      <c r="I727" s="2" t="s">
        <v>237</v>
      </c>
      <c r="J727" s="2" t="s">
        <v>291</v>
      </c>
      <c r="K727" s="2" t="s">
        <v>188</v>
      </c>
    </row>
    <row r="728" spans="1:12">
      <c r="A728" s="2" t="s">
        <v>2331</v>
      </c>
      <c r="B728" s="2" t="s">
        <v>2331</v>
      </c>
      <c r="C728" s="2" t="s">
        <v>3801</v>
      </c>
      <c r="D728" s="2" t="s">
        <v>2329</v>
      </c>
      <c r="E728" s="2" t="s">
        <v>223</v>
      </c>
      <c r="F728" s="2">
        <v>1993</v>
      </c>
      <c r="G728" s="2" t="s">
        <v>834</v>
      </c>
      <c r="H728" s="2" t="s">
        <v>3802</v>
      </c>
      <c r="I728" s="2" t="s">
        <v>225</v>
      </c>
      <c r="J728" s="2" t="s">
        <v>270</v>
      </c>
      <c r="K728" s="2" t="s">
        <v>187</v>
      </c>
      <c r="L728" s="2" t="s">
        <v>2758</v>
      </c>
    </row>
    <row r="729" spans="1:12">
      <c r="A729" s="2" t="s">
        <v>2381</v>
      </c>
      <c r="B729" s="2" t="s">
        <v>2382</v>
      </c>
      <c r="C729" s="2" t="s">
        <v>3803</v>
      </c>
      <c r="D729" s="2" t="s">
        <v>2378</v>
      </c>
      <c r="E729" s="2" t="s">
        <v>223</v>
      </c>
      <c r="F729" s="2">
        <v>1987</v>
      </c>
      <c r="G729" s="2" t="s">
        <v>834</v>
      </c>
      <c r="H729" s="2" t="s">
        <v>2381</v>
      </c>
      <c r="I729" s="2" t="s">
        <v>225</v>
      </c>
      <c r="J729" s="2" t="s">
        <v>270</v>
      </c>
      <c r="K729" s="2" t="s">
        <v>187</v>
      </c>
      <c r="L729" s="2" t="s">
        <v>2758</v>
      </c>
    </row>
    <row r="730" spans="1:12">
      <c r="A730" s="2" t="s">
        <v>2381</v>
      </c>
      <c r="B730" s="2" t="s">
        <v>2382</v>
      </c>
      <c r="C730" s="2" t="s">
        <v>3804</v>
      </c>
      <c r="D730" s="2" t="s">
        <v>2378</v>
      </c>
      <c r="E730" s="2" t="s">
        <v>183</v>
      </c>
      <c r="F730" s="2">
        <v>1990</v>
      </c>
      <c r="G730" s="2" t="s">
        <v>834</v>
      </c>
      <c r="H730" s="2" t="s">
        <v>2382</v>
      </c>
      <c r="I730" s="2" t="s">
        <v>185</v>
      </c>
      <c r="J730" s="2" t="s">
        <v>270</v>
      </c>
      <c r="K730" s="2" t="s">
        <v>187</v>
      </c>
      <c r="L730" s="2" t="s">
        <v>2579</v>
      </c>
    </row>
    <row r="731" spans="1:12">
      <c r="A731" s="2" t="s">
        <v>1161</v>
      </c>
      <c r="B731" s="2" t="s">
        <v>1162</v>
      </c>
      <c r="C731" s="2" t="s">
        <v>3805</v>
      </c>
      <c r="D731" s="2" t="s">
        <v>1158</v>
      </c>
      <c r="E731" s="2" t="s">
        <v>223</v>
      </c>
      <c r="F731" s="2">
        <v>1986</v>
      </c>
      <c r="G731" s="2" t="s">
        <v>184</v>
      </c>
      <c r="H731" s="2" t="s">
        <v>1161</v>
      </c>
      <c r="I731" s="2" t="s">
        <v>225</v>
      </c>
      <c r="J731" s="2" t="s">
        <v>186</v>
      </c>
      <c r="K731" s="2" t="s">
        <v>187</v>
      </c>
      <c r="L731" s="2" t="s">
        <v>2879</v>
      </c>
    </row>
    <row r="732" spans="1:12">
      <c r="A732" s="2" t="s">
        <v>2415</v>
      </c>
      <c r="B732" s="2" t="s">
        <v>2415</v>
      </c>
      <c r="C732" s="2" t="s">
        <v>3806</v>
      </c>
      <c r="D732" s="2" t="s">
        <v>2413</v>
      </c>
      <c r="E732" s="2" t="s">
        <v>183</v>
      </c>
      <c r="F732" s="2">
        <v>1984</v>
      </c>
      <c r="G732" s="2" t="s">
        <v>834</v>
      </c>
      <c r="H732" s="2" t="s">
        <v>2415</v>
      </c>
      <c r="I732" s="2" t="s">
        <v>185</v>
      </c>
      <c r="J732" s="2" t="s">
        <v>270</v>
      </c>
      <c r="K732" s="2" t="s">
        <v>187</v>
      </c>
      <c r="L732" s="2" t="s">
        <v>2598</v>
      </c>
    </row>
    <row r="733" spans="1:12">
      <c r="A733" s="2" t="s">
        <v>2415</v>
      </c>
      <c r="B733" s="2" t="s">
        <v>2415</v>
      </c>
      <c r="C733" s="2" t="s">
        <v>3807</v>
      </c>
      <c r="D733" s="2" t="s">
        <v>2413</v>
      </c>
      <c r="E733" s="2" t="s">
        <v>223</v>
      </c>
      <c r="F733" s="2">
        <v>1982</v>
      </c>
      <c r="G733" s="2" t="s">
        <v>834</v>
      </c>
      <c r="H733" s="2" t="s">
        <v>3808</v>
      </c>
      <c r="I733" s="2" t="s">
        <v>225</v>
      </c>
      <c r="J733" s="2" t="s">
        <v>270</v>
      </c>
      <c r="K733" s="2" t="s">
        <v>187</v>
      </c>
      <c r="L733" s="2" t="s">
        <v>2758</v>
      </c>
    </row>
    <row r="734" spans="1:12">
      <c r="A734" s="2" t="s">
        <v>2415</v>
      </c>
      <c r="B734" s="2" t="s">
        <v>2415</v>
      </c>
      <c r="C734" s="2" t="s">
        <v>3809</v>
      </c>
      <c r="D734" s="2" t="s">
        <v>2413</v>
      </c>
      <c r="E734" s="2" t="s">
        <v>183</v>
      </c>
      <c r="F734" s="2">
        <v>2009</v>
      </c>
      <c r="G734" s="2" t="s">
        <v>834</v>
      </c>
      <c r="H734" s="2" t="s">
        <v>3810</v>
      </c>
      <c r="I734" s="2" t="s">
        <v>237</v>
      </c>
      <c r="J734" s="2" t="s">
        <v>291</v>
      </c>
      <c r="K734" s="2" t="s">
        <v>187</v>
      </c>
      <c r="L734" s="2" t="s">
        <v>3811</v>
      </c>
    </row>
    <row r="735" spans="1:12">
      <c r="A735" s="2" t="s">
        <v>2431</v>
      </c>
      <c r="B735" s="2" t="s">
        <v>2431</v>
      </c>
      <c r="C735" s="2" t="s">
        <v>3812</v>
      </c>
      <c r="D735" s="2" t="s">
        <v>2429</v>
      </c>
      <c r="E735" s="2" t="s">
        <v>223</v>
      </c>
      <c r="F735" s="2">
        <v>2000</v>
      </c>
      <c r="G735" s="2" t="s">
        <v>834</v>
      </c>
      <c r="H735" s="2" t="s">
        <v>3813</v>
      </c>
      <c r="I735" s="2" t="s">
        <v>185</v>
      </c>
      <c r="J735" s="2" t="s">
        <v>186</v>
      </c>
      <c r="K735" s="2" t="s">
        <v>187</v>
      </c>
      <c r="L735" s="2" t="s">
        <v>2621</v>
      </c>
    </row>
    <row r="736" spans="1:12">
      <c r="A736" s="2" t="s">
        <v>2431</v>
      </c>
      <c r="B736" s="2" t="s">
        <v>2431</v>
      </c>
      <c r="C736" s="2" t="s">
        <v>3814</v>
      </c>
      <c r="D736" s="2" t="s">
        <v>2429</v>
      </c>
      <c r="E736" s="2" t="s">
        <v>223</v>
      </c>
      <c r="F736" s="2">
        <v>1959</v>
      </c>
      <c r="G736" s="2" t="s">
        <v>834</v>
      </c>
      <c r="H736" s="2" t="s">
        <v>3815</v>
      </c>
      <c r="I736" s="2" t="s">
        <v>2457</v>
      </c>
      <c r="J736" s="2" t="s">
        <v>603</v>
      </c>
      <c r="K736" s="2" t="s">
        <v>187</v>
      </c>
      <c r="L736" s="2" t="s">
        <v>2576</v>
      </c>
    </row>
    <row r="737" spans="1:12">
      <c r="A737" s="2" t="s">
        <v>2453</v>
      </c>
      <c r="B737" s="2" t="s">
        <v>2453</v>
      </c>
      <c r="C737" s="2" t="s">
        <v>3816</v>
      </c>
      <c r="D737" s="2" t="s">
        <v>2451</v>
      </c>
      <c r="E737" s="2" t="s">
        <v>183</v>
      </c>
      <c r="F737" s="2">
        <v>1993</v>
      </c>
      <c r="G737" s="2" t="s">
        <v>834</v>
      </c>
      <c r="H737" s="2" t="s">
        <v>3817</v>
      </c>
      <c r="I737" s="2" t="s">
        <v>185</v>
      </c>
      <c r="J737" s="2" t="s">
        <v>186</v>
      </c>
      <c r="K737" s="2" t="s">
        <v>187</v>
      </c>
      <c r="L737" s="2" t="s">
        <v>2598</v>
      </c>
    </row>
    <row r="738" spans="1:12">
      <c r="A738" s="2" t="s">
        <v>2453</v>
      </c>
      <c r="B738" s="2" t="s">
        <v>2453</v>
      </c>
      <c r="C738" s="2" t="s">
        <v>3818</v>
      </c>
      <c r="D738" s="2" t="s">
        <v>2451</v>
      </c>
      <c r="E738" s="2" t="s">
        <v>183</v>
      </c>
      <c r="F738" s="2">
        <v>2023</v>
      </c>
      <c r="G738" s="2" t="s">
        <v>834</v>
      </c>
      <c r="H738" s="2" t="s">
        <v>3819</v>
      </c>
      <c r="I738" s="2" t="s">
        <v>237</v>
      </c>
      <c r="J738" s="2" t="s">
        <v>291</v>
      </c>
      <c r="K738" s="2" t="s">
        <v>188</v>
      </c>
    </row>
    <row r="739" spans="1:12">
      <c r="A739" s="2" t="s">
        <v>2453</v>
      </c>
      <c r="B739" s="2" t="s">
        <v>2453</v>
      </c>
      <c r="C739" s="2" t="s">
        <v>3820</v>
      </c>
      <c r="D739" s="2" t="s">
        <v>2451</v>
      </c>
      <c r="E739" s="2" t="s">
        <v>223</v>
      </c>
      <c r="F739" s="2">
        <v>1999</v>
      </c>
      <c r="G739" s="2" t="s">
        <v>834</v>
      </c>
      <c r="H739" s="2" t="s">
        <v>3821</v>
      </c>
      <c r="I739" s="2" t="s">
        <v>225</v>
      </c>
      <c r="J739" s="2" t="s">
        <v>186</v>
      </c>
      <c r="K739" s="2" t="s">
        <v>187</v>
      </c>
      <c r="L739" s="2" t="s">
        <v>2758</v>
      </c>
    </row>
    <row r="740" spans="1:12">
      <c r="A740" s="2" t="s">
        <v>2453</v>
      </c>
      <c r="B740" s="2" t="s">
        <v>2453</v>
      </c>
      <c r="C740" s="2" t="s">
        <v>3822</v>
      </c>
      <c r="D740" s="2" t="s">
        <v>2451</v>
      </c>
      <c r="E740" s="2" t="s">
        <v>223</v>
      </c>
      <c r="F740" s="2">
        <v>2017</v>
      </c>
      <c r="G740" s="2" t="s">
        <v>834</v>
      </c>
      <c r="H740" s="2" t="s">
        <v>3823</v>
      </c>
      <c r="I740" s="2" t="s">
        <v>237</v>
      </c>
      <c r="J740" s="2" t="s">
        <v>291</v>
      </c>
      <c r="K740" s="2" t="s">
        <v>188</v>
      </c>
    </row>
    <row r="741" spans="1:12">
      <c r="A741" s="2" t="s">
        <v>2464</v>
      </c>
      <c r="B741" s="2" t="s">
        <v>2464</v>
      </c>
      <c r="C741" s="2" t="s">
        <v>3824</v>
      </c>
      <c r="D741" s="2" t="s">
        <v>2461</v>
      </c>
      <c r="E741" s="2" t="s">
        <v>223</v>
      </c>
      <c r="F741" s="2">
        <v>2001</v>
      </c>
      <c r="G741" s="2" t="s">
        <v>224</v>
      </c>
      <c r="H741" s="2" t="s">
        <v>3825</v>
      </c>
      <c r="I741" s="2" t="s">
        <v>225</v>
      </c>
      <c r="J741" s="2" t="s">
        <v>226</v>
      </c>
      <c r="K741" s="2" t="s">
        <v>187</v>
      </c>
      <c r="L741" s="2" t="s">
        <v>3826</v>
      </c>
    </row>
    <row r="742" spans="1:12">
      <c r="A742" s="2" t="s">
        <v>2464</v>
      </c>
      <c r="B742" s="2" t="s">
        <v>2464</v>
      </c>
      <c r="C742" s="2" t="s">
        <v>3827</v>
      </c>
      <c r="D742" s="2" t="s">
        <v>2461</v>
      </c>
      <c r="E742" s="2" t="s">
        <v>183</v>
      </c>
      <c r="F742" s="2">
        <v>1998</v>
      </c>
      <c r="G742" s="2" t="s">
        <v>224</v>
      </c>
      <c r="H742" s="2" t="s">
        <v>2464</v>
      </c>
      <c r="I742" s="2" t="s">
        <v>185</v>
      </c>
      <c r="J742" s="2" t="s">
        <v>685</v>
      </c>
      <c r="K742" s="2" t="s">
        <v>187</v>
      </c>
      <c r="L742" s="2" t="s">
        <v>2579</v>
      </c>
    </row>
    <row r="743" spans="1:12">
      <c r="A743" s="2" t="s">
        <v>1175</v>
      </c>
      <c r="B743" s="2" t="s">
        <v>1176</v>
      </c>
      <c r="C743" s="2" t="s">
        <v>3828</v>
      </c>
      <c r="D743" s="2" t="s">
        <v>1173</v>
      </c>
      <c r="E743" s="2" t="s">
        <v>183</v>
      </c>
      <c r="F743" s="2">
        <v>1975</v>
      </c>
      <c r="G743" s="2" t="s">
        <v>184</v>
      </c>
      <c r="H743" s="2" t="s">
        <v>1176</v>
      </c>
      <c r="I743" s="2" t="s">
        <v>185</v>
      </c>
      <c r="J743" s="2" t="s">
        <v>270</v>
      </c>
      <c r="K743" s="2" t="s">
        <v>187</v>
      </c>
      <c r="L743" s="2" t="s">
        <v>2598</v>
      </c>
    </row>
    <row r="744" spans="1:12">
      <c r="A744" s="2" t="s">
        <v>1175</v>
      </c>
      <c r="B744" s="2" t="s">
        <v>1176</v>
      </c>
      <c r="C744" s="2" t="s">
        <v>3829</v>
      </c>
      <c r="D744" s="2" t="s">
        <v>1173</v>
      </c>
      <c r="E744" s="2" t="s">
        <v>223</v>
      </c>
      <c r="F744" s="2">
        <v>2001</v>
      </c>
      <c r="G744" s="2" t="s">
        <v>184</v>
      </c>
      <c r="H744" s="2" t="s">
        <v>3830</v>
      </c>
      <c r="I744" s="2" t="s">
        <v>237</v>
      </c>
      <c r="J744" s="2" t="s">
        <v>186</v>
      </c>
      <c r="K744" s="2" t="s">
        <v>187</v>
      </c>
      <c r="L744" s="2" t="s">
        <v>3730</v>
      </c>
    </row>
    <row r="745" spans="1:12">
      <c r="A745" s="2" t="s">
        <v>1175</v>
      </c>
      <c r="B745" s="2" t="s">
        <v>1176</v>
      </c>
      <c r="C745" s="2" t="s">
        <v>3831</v>
      </c>
      <c r="D745" s="2" t="s">
        <v>1173</v>
      </c>
      <c r="E745" s="2" t="s">
        <v>183</v>
      </c>
      <c r="F745" s="2">
        <v>2000</v>
      </c>
      <c r="G745" s="2" t="s">
        <v>184</v>
      </c>
      <c r="H745" s="2" t="s">
        <v>1175</v>
      </c>
      <c r="I745" s="2" t="s">
        <v>237</v>
      </c>
      <c r="J745" s="2" t="s">
        <v>186</v>
      </c>
      <c r="K745" s="2" t="s">
        <v>187</v>
      </c>
      <c r="L745" s="2" t="s">
        <v>3832</v>
      </c>
    </row>
    <row r="746" spans="1:12">
      <c r="A746" s="2" t="s">
        <v>2520</v>
      </c>
      <c r="B746" s="2" t="s">
        <v>2520</v>
      </c>
      <c r="C746" s="2" t="s">
        <v>3833</v>
      </c>
      <c r="D746" s="2" t="s">
        <v>2518</v>
      </c>
      <c r="E746" s="2" t="s">
        <v>183</v>
      </c>
      <c r="F746" s="2">
        <v>1990</v>
      </c>
      <c r="G746" s="2" t="s">
        <v>834</v>
      </c>
      <c r="H746" s="2" t="s">
        <v>2520</v>
      </c>
      <c r="I746" s="2" t="s">
        <v>185</v>
      </c>
      <c r="J746" s="2" t="s">
        <v>186</v>
      </c>
      <c r="K746" s="2" t="s">
        <v>187</v>
      </c>
      <c r="L746" s="2" t="s">
        <v>2579</v>
      </c>
    </row>
    <row r="747" spans="1:12">
      <c r="A747" s="2" t="s">
        <v>2520</v>
      </c>
      <c r="B747" s="2" t="s">
        <v>2520</v>
      </c>
      <c r="C747" s="2" t="s">
        <v>3834</v>
      </c>
      <c r="D747" s="2" t="s">
        <v>2518</v>
      </c>
      <c r="E747" s="2" t="s">
        <v>223</v>
      </c>
      <c r="F747" s="2">
        <v>1997</v>
      </c>
      <c r="G747" s="2" t="s">
        <v>834</v>
      </c>
      <c r="H747" s="2" t="s">
        <v>3835</v>
      </c>
      <c r="I747" s="2" t="s">
        <v>225</v>
      </c>
      <c r="J747" s="2" t="s">
        <v>186</v>
      </c>
      <c r="K747" s="2" t="s">
        <v>187</v>
      </c>
      <c r="L747" s="2" t="s">
        <v>2632</v>
      </c>
    </row>
    <row r="748" spans="1:12">
      <c r="A748" s="2" t="s">
        <v>1180</v>
      </c>
      <c r="B748" s="2" t="s">
        <v>1181</v>
      </c>
      <c r="C748" s="2" t="s">
        <v>3836</v>
      </c>
      <c r="D748" s="2" t="s">
        <v>1178</v>
      </c>
      <c r="E748" s="2" t="s">
        <v>183</v>
      </c>
      <c r="F748" s="2">
        <v>1991</v>
      </c>
      <c r="G748" s="2" t="s">
        <v>184</v>
      </c>
      <c r="H748" s="2" t="s">
        <v>3837</v>
      </c>
      <c r="I748" s="2" t="s">
        <v>185</v>
      </c>
      <c r="J748" s="2" t="s">
        <v>186</v>
      </c>
      <c r="K748" s="2" t="s">
        <v>187</v>
      </c>
      <c r="L748" s="2" t="s">
        <v>2598</v>
      </c>
    </row>
    <row r="749" spans="1:12">
      <c r="A749" s="2" t="s">
        <v>1203</v>
      </c>
      <c r="B749" s="2" t="s">
        <v>1203</v>
      </c>
      <c r="C749" s="2" t="s">
        <v>3838</v>
      </c>
      <c r="D749" s="2" t="s">
        <v>1201</v>
      </c>
      <c r="E749" s="2" t="s">
        <v>223</v>
      </c>
      <c r="F749" s="2">
        <v>1986</v>
      </c>
      <c r="G749" s="2" t="s">
        <v>184</v>
      </c>
      <c r="H749" s="2" t="s">
        <v>3839</v>
      </c>
      <c r="I749" s="2" t="s">
        <v>225</v>
      </c>
      <c r="J749" s="2" t="s">
        <v>226</v>
      </c>
      <c r="K749" s="2" t="s">
        <v>187</v>
      </c>
      <c r="L749" s="2" t="s">
        <v>3840</v>
      </c>
    </row>
    <row r="750" spans="1:12">
      <c r="A750" s="2" t="s">
        <v>1203</v>
      </c>
      <c r="B750" s="2" t="s">
        <v>1203</v>
      </c>
      <c r="C750" s="2" t="s">
        <v>3841</v>
      </c>
      <c r="D750" s="2" t="s">
        <v>1201</v>
      </c>
      <c r="E750" s="2" t="s">
        <v>223</v>
      </c>
      <c r="F750" s="2">
        <v>2015</v>
      </c>
      <c r="G750" s="2" t="s">
        <v>184</v>
      </c>
      <c r="H750" s="2" t="s">
        <v>3842</v>
      </c>
      <c r="I750" s="2" t="s">
        <v>237</v>
      </c>
      <c r="J750" s="2" t="s">
        <v>291</v>
      </c>
      <c r="K750" s="2" t="s">
        <v>188</v>
      </c>
    </row>
    <row r="751" spans="1:12">
      <c r="A751" s="2" t="s">
        <v>2538</v>
      </c>
      <c r="B751" s="2" t="s">
        <v>2538</v>
      </c>
      <c r="C751" s="2" t="s">
        <v>3843</v>
      </c>
      <c r="D751" s="2" t="s">
        <v>2536</v>
      </c>
      <c r="E751" s="2" t="s">
        <v>183</v>
      </c>
      <c r="F751" s="2">
        <v>1995</v>
      </c>
      <c r="G751" s="2" t="s">
        <v>834</v>
      </c>
      <c r="H751" s="2" t="s">
        <v>2538</v>
      </c>
      <c r="I751" s="2" t="s">
        <v>185</v>
      </c>
      <c r="J751" s="2" t="s">
        <v>270</v>
      </c>
      <c r="K751" s="2" t="s">
        <v>187</v>
      </c>
      <c r="L751" s="2" t="s">
        <v>2579</v>
      </c>
    </row>
    <row r="752" spans="1:12">
      <c r="A752" s="2" t="s">
        <v>2538</v>
      </c>
      <c r="B752" s="2" t="s">
        <v>2538</v>
      </c>
      <c r="C752" s="2" t="s">
        <v>3844</v>
      </c>
      <c r="D752" s="2" t="s">
        <v>2536</v>
      </c>
      <c r="E752" s="2" t="s">
        <v>223</v>
      </c>
      <c r="F752" s="2">
        <v>1989</v>
      </c>
      <c r="G752" s="2" t="s">
        <v>834</v>
      </c>
      <c r="H752" s="2" t="s">
        <v>3845</v>
      </c>
      <c r="I752" s="2" t="s">
        <v>225</v>
      </c>
      <c r="J752" s="2" t="s">
        <v>270</v>
      </c>
      <c r="K752" s="2" t="s">
        <v>187</v>
      </c>
      <c r="L752" s="2" t="s">
        <v>3846</v>
      </c>
    </row>
    <row r="753" spans="1:12">
      <c r="A753" s="2" t="s">
        <v>2542</v>
      </c>
      <c r="B753" s="2" t="s">
        <v>2542</v>
      </c>
      <c r="C753" s="2" t="s">
        <v>3847</v>
      </c>
      <c r="D753" s="2" t="s">
        <v>2540</v>
      </c>
      <c r="E753" s="2" t="s">
        <v>183</v>
      </c>
      <c r="F753" s="2">
        <v>2000</v>
      </c>
      <c r="G753" s="2" t="s">
        <v>834</v>
      </c>
      <c r="H753" s="2" t="s">
        <v>3848</v>
      </c>
      <c r="I753" s="2" t="s">
        <v>225</v>
      </c>
      <c r="J753" s="2" t="s">
        <v>186</v>
      </c>
      <c r="K753" s="2" t="s">
        <v>187</v>
      </c>
      <c r="L753" s="2" t="s">
        <v>2579</v>
      </c>
    </row>
    <row r="754" spans="1:12">
      <c r="A754" s="2" t="s">
        <v>2542</v>
      </c>
      <c r="B754" s="2" t="s">
        <v>2542</v>
      </c>
      <c r="C754" s="2" t="s">
        <v>3849</v>
      </c>
      <c r="D754" s="2" t="s">
        <v>2540</v>
      </c>
      <c r="E754" s="2" t="s">
        <v>223</v>
      </c>
      <c r="F754" s="2">
        <v>2005</v>
      </c>
      <c r="G754" s="2" t="s">
        <v>834</v>
      </c>
      <c r="H754" s="2" t="s">
        <v>2542</v>
      </c>
      <c r="I754" s="2" t="s">
        <v>185</v>
      </c>
      <c r="J754" s="2" t="s">
        <v>186</v>
      </c>
      <c r="K754" s="2" t="s">
        <v>187</v>
      </c>
      <c r="L754" s="2" t="s">
        <v>2598</v>
      </c>
    </row>
    <row r="755" spans="1:12">
      <c r="A755" s="2" t="s">
        <v>2546</v>
      </c>
      <c r="B755" s="2" t="s">
        <v>2546</v>
      </c>
      <c r="C755" s="2" t="s">
        <v>3850</v>
      </c>
      <c r="D755" s="2" t="s">
        <v>2544</v>
      </c>
      <c r="E755" s="2" t="s">
        <v>223</v>
      </c>
      <c r="F755" s="2">
        <v>1986</v>
      </c>
      <c r="G755" s="2" t="s">
        <v>834</v>
      </c>
      <c r="H755" s="2" t="s">
        <v>3851</v>
      </c>
      <c r="I755" s="2" t="s">
        <v>225</v>
      </c>
      <c r="J755" s="2" t="s">
        <v>270</v>
      </c>
      <c r="K755" s="2" t="s">
        <v>187</v>
      </c>
      <c r="L755" s="2" t="s">
        <v>2621</v>
      </c>
    </row>
    <row r="756" spans="1:12">
      <c r="A756" s="2" t="s">
        <v>2546</v>
      </c>
      <c r="B756" s="2" t="s">
        <v>2546</v>
      </c>
      <c r="C756" s="2" t="s">
        <v>3852</v>
      </c>
      <c r="D756" s="2" t="s">
        <v>2544</v>
      </c>
      <c r="E756" s="2" t="s">
        <v>183</v>
      </c>
      <c r="F756" s="2">
        <v>1993</v>
      </c>
      <c r="G756" s="2" t="s">
        <v>834</v>
      </c>
      <c r="H756" s="2" t="s">
        <v>2546</v>
      </c>
      <c r="I756" s="2" t="s">
        <v>185</v>
      </c>
      <c r="J756" s="2" t="s">
        <v>270</v>
      </c>
      <c r="K756" s="2" t="s">
        <v>187</v>
      </c>
      <c r="L756" s="2" t="s">
        <v>2576</v>
      </c>
    </row>
    <row r="757" spans="1:12">
      <c r="A757" s="2" t="s">
        <v>1264</v>
      </c>
      <c r="B757" s="2" t="s">
        <v>1264</v>
      </c>
      <c r="C757" s="2" t="s">
        <v>3853</v>
      </c>
      <c r="D757" s="2" t="s">
        <v>1261</v>
      </c>
      <c r="E757" s="2" t="s">
        <v>183</v>
      </c>
      <c r="F757" s="2">
        <v>1974</v>
      </c>
      <c r="G757" s="2" t="s">
        <v>224</v>
      </c>
      <c r="H757" s="2" t="s">
        <v>1264</v>
      </c>
      <c r="I757" s="2" t="s">
        <v>185</v>
      </c>
      <c r="J757" s="2" t="s">
        <v>226</v>
      </c>
      <c r="K757" s="2" t="s">
        <v>187</v>
      </c>
      <c r="L757" s="2" t="s">
        <v>2598</v>
      </c>
    </row>
    <row r="758" spans="1:12">
      <c r="A758" s="2" t="s">
        <v>1264</v>
      </c>
      <c r="B758" s="2" t="s">
        <v>1264</v>
      </c>
      <c r="C758" s="2" t="s">
        <v>3854</v>
      </c>
      <c r="D758" s="2" t="s">
        <v>1261</v>
      </c>
      <c r="E758" s="2" t="s">
        <v>223</v>
      </c>
      <c r="F758" s="2">
        <v>1982</v>
      </c>
      <c r="G758" s="2" t="s">
        <v>224</v>
      </c>
      <c r="H758" s="2" t="s">
        <v>3855</v>
      </c>
      <c r="I758" s="2" t="s">
        <v>225</v>
      </c>
      <c r="J758" s="2" t="s">
        <v>685</v>
      </c>
      <c r="K758" s="2" t="s">
        <v>187</v>
      </c>
      <c r="L758" s="2" t="s">
        <v>3856</v>
      </c>
    </row>
    <row r="759" spans="1:12">
      <c r="A759" s="2" t="s">
        <v>1264</v>
      </c>
      <c r="B759" s="2" t="s">
        <v>1264</v>
      </c>
      <c r="C759" s="2" t="s">
        <v>3857</v>
      </c>
      <c r="D759" s="2" t="s">
        <v>1261</v>
      </c>
      <c r="E759" s="2" t="s">
        <v>223</v>
      </c>
      <c r="F759" s="2">
        <v>2008</v>
      </c>
      <c r="G759" s="2" t="s">
        <v>224</v>
      </c>
      <c r="H759" s="2" t="s">
        <v>3858</v>
      </c>
      <c r="I759" s="2" t="s">
        <v>237</v>
      </c>
      <c r="J759" s="2" t="s">
        <v>226</v>
      </c>
      <c r="K759" s="2" t="s">
        <v>188</v>
      </c>
    </row>
    <row r="760" spans="1:12">
      <c r="A760" s="2" t="s">
        <v>482</v>
      </c>
      <c r="B760" s="2" t="s">
        <v>483</v>
      </c>
      <c r="C760" s="2" t="s">
        <v>3859</v>
      </c>
      <c r="D760" s="2" t="s">
        <v>478</v>
      </c>
      <c r="E760" s="2" t="s">
        <v>223</v>
      </c>
      <c r="F760" s="2">
        <v>1997</v>
      </c>
      <c r="G760" s="2" t="s">
        <v>184</v>
      </c>
      <c r="H760" s="2" t="s">
        <v>3860</v>
      </c>
      <c r="I760" s="2" t="s">
        <v>291</v>
      </c>
      <c r="J760" s="2" t="s">
        <v>270</v>
      </c>
      <c r="K760" s="2" t="s">
        <v>187</v>
      </c>
      <c r="L760" s="2" t="s">
        <v>3861</v>
      </c>
    </row>
    <row r="761" spans="1:12">
      <c r="A761" s="2" t="s">
        <v>482</v>
      </c>
      <c r="B761" s="2" t="s">
        <v>483</v>
      </c>
      <c r="C761" s="2" t="s">
        <v>3862</v>
      </c>
      <c r="D761" s="2" t="s">
        <v>478</v>
      </c>
      <c r="E761" s="2" t="s">
        <v>183</v>
      </c>
      <c r="F761" s="2">
        <v>2015</v>
      </c>
      <c r="G761" s="2" t="s">
        <v>184</v>
      </c>
      <c r="H761" s="2" t="s">
        <v>3863</v>
      </c>
      <c r="I761" s="2" t="s">
        <v>291</v>
      </c>
      <c r="J761" s="2" t="s">
        <v>270</v>
      </c>
      <c r="K761" s="2" t="s">
        <v>188</v>
      </c>
    </row>
    <row r="762" spans="1:12">
      <c r="A762" s="2" t="s">
        <v>482</v>
      </c>
      <c r="B762" s="2" t="s">
        <v>483</v>
      </c>
      <c r="C762" s="2" t="s">
        <v>3864</v>
      </c>
      <c r="D762" s="2" t="s">
        <v>478</v>
      </c>
      <c r="E762" s="2" t="s">
        <v>183</v>
      </c>
      <c r="F762" s="2">
        <v>2018</v>
      </c>
      <c r="G762" s="2" t="s">
        <v>184</v>
      </c>
      <c r="H762" s="2" t="s">
        <v>3865</v>
      </c>
      <c r="I762" s="2" t="s">
        <v>291</v>
      </c>
      <c r="J762" s="2" t="s">
        <v>291</v>
      </c>
      <c r="K762" s="2" t="s">
        <v>188</v>
      </c>
    </row>
    <row r="763" spans="1:12">
      <c r="A763" s="2" t="s">
        <v>482</v>
      </c>
      <c r="B763" s="2" t="s">
        <v>483</v>
      </c>
      <c r="C763" s="2" t="s">
        <v>3866</v>
      </c>
      <c r="D763" s="2" t="s">
        <v>478</v>
      </c>
      <c r="E763" s="2" t="s">
        <v>183</v>
      </c>
      <c r="F763" s="2">
        <v>2003</v>
      </c>
      <c r="G763" s="2" t="s">
        <v>184</v>
      </c>
      <c r="H763" s="2" t="s">
        <v>3867</v>
      </c>
      <c r="I763" s="2" t="s">
        <v>291</v>
      </c>
      <c r="J763" s="2" t="s">
        <v>186</v>
      </c>
      <c r="K763" s="2" t="s">
        <v>187</v>
      </c>
      <c r="L763" s="2" t="s">
        <v>2574</v>
      </c>
    </row>
    <row r="764" spans="1:12">
      <c r="A764" s="2" t="s">
        <v>482</v>
      </c>
      <c r="B764" s="2" t="s">
        <v>483</v>
      </c>
      <c r="C764" s="2" t="s">
        <v>3868</v>
      </c>
      <c r="D764" s="2" t="s">
        <v>478</v>
      </c>
      <c r="E764" s="2" t="s">
        <v>223</v>
      </c>
      <c r="F764" s="2">
        <v>1967</v>
      </c>
      <c r="G764" s="2" t="s">
        <v>184</v>
      </c>
      <c r="H764" s="2" t="s">
        <v>483</v>
      </c>
      <c r="I764" s="2" t="s">
        <v>185</v>
      </c>
      <c r="J764" s="2" t="s">
        <v>270</v>
      </c>
      <c r="K764" s="2" t="s">
        <v>188</v>
      </c>
    </row>
    <row r="765" spans="1:12">
      <c r="A765" s="2" t="s">
        <v>2227</v>
      </c>
      <c r="B765" s="2" t="s">
        <v>2227</v>
      </c>
      <c r="C765" s="2" t="s">
        <v>3869</v>
      </c>
      <c r="D765" s="2" t="s">
        <v>2226</v>
      </c>
      <c r="E765" s="2" t="s">
        <v>183</v>
      </c>
      <c r="F765" s="2">
        <v>1988</v>
      </c>
      <c r="G765" s="2" t="s">
        <v>834</v>
      </c>
      <c r="H765" s="2" t="s">
        <v>2227</v>
      </c>
      <c r="I765" s="2" t="s">
        <v>185</v>
      </c>
      <c r="J765" s="2" t="s">
        <v>270</v>
      </c>
      <c r="K765" s="2" t="s">
        <v>187</v>
      </c>
      <c r="L765" s="2" t="s">
        <v>2598</v>
      </c>
    </row>
    <row r="766" spans="1:12">
      <c r="A766" s="2" t="s">
        <v>2227</v>
      </c>
      <c r="B766" s="2" t="s">
        <v>2227</v>
      </c>
      <c r="C766" s="2" t="s">
        <v>3870</v>
      </c>
      <c r="D766" s="2" t="s">
        <v>2226</v>
      </c>
      <c r="E766" s="2" t="s">
        <v>223</v>
      </c>
      <c r="F766" s="2">
        <v>1992</v>
      </c>
      <c r="G766" s="2" t="s">
        <v>834</v>
      </c>
      <c r="H766" s="2" t="s">
        <v>3871</v>
      </c>
      <c r="I766" s="2" t="s">
        <v>225</v>
      </c>
      <c r="J766" s="2" t="s">
        <v>270</v>
      </c>
      <c r="K766" s="2" t="s">
        <v>187</v>
      </c>
      <c r="L766" s="2" t="s">
        <v>2632</v>
      </c>
    </row>
    <row r="767" spans="1:12">
      <c r="A767" s="2" t="s">
        <v>2190</v>
      </c>
      <c r="B767" s="2" t="s">
        <v>2190</v>
      </c>
      <c r="C767" s="2" t="s">
        <v>3872</v>
      </c>
      <c r="D767" s="2" t="s">
        <v>2189</v>
      </c>
      <c r="E767" s="2" t="s">
        <v>183</v>
      </c>
      <c r="F767" s="2">
        <v>1966</v>
      </c>
      <c r="G767" s="2" t="s">
        <v>224</v>
      </c>
      <c r="H767" s="2" t="s">
        <v>2190</v>
      </c>
      <c r="I767" s="2" t="s">
        <v>185</v>
      </c>
      <c r="J767" s="2" t="s">
        <v>186</v>
      </c>
      <c r="K767" s="2" t="s">
        <v>187</v>
      </c>
      <c r="L767" s="2" t="s">
        <v>2598</v>
      </c>
    </row>
    <row r="768" spans="1:12">
      <c r="A768" s="2" t="s">
        <v>2190</v>
      </c>
      <c r="B768" s="2" t="s">
        <v>2190</v>
      </c>
      <c r="C768" s="2" t="s">
        <v>3873</v>
      </c>
      <c r="D768" s="2" t="s">
        <v>2189</v>
      </c>
      <c r="E768" s="2" t="s">
        <v>183</v>
      </c>
      <c r="F768" s="2">
        <v>1994</v>
      </c>
      <c r="G768" s="2" t="s">
        <v>224</v>
      </c>
      <c r="H768" s="2" t="s">
        <v>3874</v>
      </c>
      <c r="I768" s="2" t="s">
        <v>237</v>
      </c>
      <c r="J768" s="2" t="s">
        <v>270</v>
      </c>
      <c r="K768" s="2" t="s">
        <v>187</v>
      </c>
      <c r="L768" s="2" t="s">
        <v>2576</v>
      </c>
    </row>
    <row r="769" spans="1:12">
      <c r="A769" s="2" t="s">
        <v>2190</v>
      </c>
      <c r="B769" s="2" t="s">
        <v>2190</v>
      </c>
      <c r="C769" s="2" t="s">
        <v>3875</v>
      </c>
      <c r="D769" s="2" t="s">
        <v>2189</v>
      </c>
      <c r="E769" s="2" t="s">
        <v>223</v>
      </c>
      <c r="F769" s="2">
        <v>1968</v>
      </c>
      <c r="G769" s="2" t="s">
        <v>224</v>
      </c>
      <c r="H769" s="2" t="s">
        <v>3876</v>
      </c>
      <c r="I769" s="2" t="s">
        <v>225</v>
      </c>
      <c r="J769" s="2" t="s">
        <v>186</v>
      </c>
      <c r="K769" s="2" t="s">
        <v>187</v>
      </c>
      <c r="L769" s="2" t="s">
        <v>2632</v>
      </c>
    </row>
    <row r="770" spans="1:12">
      <c r="A770" s="2" t="s">
        <v>1300</v>
      </c>
      <c r="B770" s="2" t="s">
        <v>1300</v>
      </c>
      <c r="C770" s="2" t="s">
        <v>3877</v>
      </c>
      <c r="D770" s="2" t="s">
        <v>1299</v>
      </c>
      <c r="E770" s="2" t="s">
        <v>223</v>
      </c>
      <c r="F770" s="2">
        <v>1968</v>
      </c>
      <c r="G770" s="2" t="s">
        <v>224</v>
      </c>
      <c r="H770" s="2" t="s">
        <v>3878</v>
      </c>
      <c r="I770" s="2" t="s">
        <v>225</v>
      </c>
      <c r="J770" s="2" t="s">
        <v>186</v>
      </c>
      <c r="K770" s="2" t="s">
        <v>187</v>
      </c>
      <c r="L770" s="2" t="s">
        <v>3258</v>
      </c>
    </row>
    <row r="771" spans="1:12">
      <c r="A771" s="2" t="s">
        <v>1300</v>
      </c>
      <c r="B771" s="2" t="s">
        <v>1300</v>
      </c>
      <c r="C771" s="2" t="s">
        <v>3879</v>
      </c>
      <c r="D771" s="2" t="s">
        <v>1299</v>
      </c>
      <c r="E771" s="2" t="s">
        <v>183</v>
      </c>
      <c r="F771" s="2">
        <v>1970</v>
      </c>
      <c r="G771" s="2" t="s">
        <v>224</v>
      </c>
      <c r="H771" s="2" t="s">
        <v>1300</v>
      </c>
      <c r="I771" s="2" t="s">
        <v>185</v>
      </c>
      <c r="J771" s="2" t="s">
        <v>270</v>
      </c>
      <c r="K771" s="2" t="s">
        <v>187</v>
      </c>
      <c r="L771" s="2" t="s">
        <v>2598</v>
      </c>
    </row>
    <row r="772" spans="1:12">
      <c r="A772" s="2" t="s">
        <v>2165</v>
      </c>
      <c r="B772" s="2" t="s">
        <v>2165</v>
      </c>
      <c r="C772" s="2" t="s">
        <v>3880</v>
      </c>
      <c r="D772" s="2" t="s">
        <v>2164</v>
      </c>
      <c r="E772" s="2" t="s">
        <v>183</v>
      </c>
      <c r="F772" s="2">
        <v>2011</v>
      </c>
      <c r="G772" s="2" t="s">
        <v>224</v>
      </c>
      <c r="H772" s="2" t="s">
        <v>3881</v>
      </c>
      <c r="I772" s="2" t="s">
        <v>237</v>
      </c>
      <c r="J772" s="2" t="s">
        <v>186</v>
      </c>
      <c r="K772" s="2" t="s">
        <v>188</v>
      </c>
    </row>
    <row r="773" spans="1:12">
      <c r="A773" s="2" t="s">
        <v>2165</v>
      </c>
      <c r="B773" s="2" t="s">
        <v>2165</v>
      </c>
      <c r="C773" s="2" t="s">
        <v>3882</v>
      </c>
      <c r="D773" s="2" t="s">
        <v>2164</v>
      </c>
      <c r="E773" s="2" t="s">
        <v>223</v>
      </c>
      <c r="F773" s="2">
        <v>1984</v>
      </c>
      <c r="G773" s="2" t="s">
        <v>2151</v>
      </c>
      <c r="H773" s="2" t="s">
        <v>2165</v>
      </c>
      <c r="I773" s="2" t="s">
        <v>225</v>
      </c>
      <c r="J773" s="2" t="s">
        <v>270</v>
      </c>
      <c r="K773" s="2" t="s">
        <v>187</v>
      </c>
      <c r="L773" s="2" t="s">
        <v>2621</v>
      </c>
    </row>
    <row r="774" spans="1:12">
      <c r="A774" s="2" t="s">
        <v>2165</v>
      </c>
      <c r="B774" s="2" t="s">
        <v>2165</v>
      </c>
      <c r="C774" s="2" t="s">
        <v>3883</v>
      </c>
      <c r="D774" s="2" t="s">
        <v>2164</v>
      </c>
      <c r="E774" s="2" t="s">
        <v>183</v>
      </c>
      <c r="F774" s="2">
        <v>2012</v>
      </c>
      <c r="G774" s="2" t="s">
        <v>224</v>
      </c>
      <c r="H774" s="2" t="s">
        <v>3884</v>
      </c>
      <c r="I774" s="2" t="s">
        <v>237</v>
      </c>
      <c r="J774" s="2" t="s">
        <v>186</v>
      </c>
      <c r="K774" s="2" t="s">
        <v>188</v>
      </c>
    </row>
    <row r="775" spans="1:12">
      <c r="A775" s="2" t="s">
        <v>2165</v>
      </c>
      <c r="B775" s="2" t="s">
        <v>2165</v>
      </c>
      <c r="C775" s="2" t="s">
        <v>3885</v>
      </c>
      <c r="D775" s="2" t="s">
        <v>2164</v>
      </c>
      <c r="E775" s="2" t="s">
        <v>183</v>
      </c>
      <c r="F775" s="2">
        <v>1984</v>
      </c>
      <c r="G775" s="2" t="s">
        <v>224</v>
      </c>
      <c r="H775" s="2" t="s">
        <v>3886</v>
      </c>
      <c r="I775" s="2" t="s">
        <v>185</v>
      </c>
      <c r="J775" s="2" t="s">
        <v>186</v>
      </c>
      <c r="K775" s="2" t="s">
        <v>187</v>
      </c>
      <c r="L775" s="2" t="s">
        <v>2598</v>
      </c>
    </row>
    <row r="776" spans="1:12">
      <c r="A776" s="2" t="s">
        <v>2165</v>
      </c>
      <c r="B776" s="2" t="s">
        <v>2165</v>
      </c>
      <c r="C776" s="2" t="s">
        <v>3887</v>
      </c>
      <c r="D776" s="2" t="s">
        <v>2164</v>
      </c>
      <c r="E776" s="2" t="s">
        <v>223</v>
      </c>
      <c r="F776" s="2">
        <v>2019</v>
      </c>
      <c r="G776" s="2" t="s">
        <v>224</v>
      </c>
      <c r="H776" s="2" t="s">
        <v>3888</v>
      </c>
      <c r="I776" s="2" t="s">
        <v>237</v>
      </c>
      <c r="J776" s="2" t="s">
        <v>270</v>
      </c>
      <c r="K776" s="2" t="s">
        <v>188</v>
      </c>
    </row>
    <row r="777" spans="1:12">
      <c r="A777" s="2" t="s">
        <v>1346</v>
      </c>
      <c r="B777" s="2" t="s">
        <v>1347</v>
      </c>
      <c r="C777" s="2" t="s">
        <v>3889</v>
      </c>
      <c r="D777" s="2" t="s">
        <v>1344</v>
      </c>
      <c r="E777" s="2" t="s">
        <v>223</v>
      </c>
      <c r="F777" s="2">
        <v>2005</v>
      </c>
      <c r="G777" s="2" t="s">
        <v>224</v>
      </c>
      <c r="H777" s="2" t="s">
        <v>3890</v>
      </c>
      <c r="I777" s="2" t="s">
        <v>237</v>
      </c>
      <c r="J777" s="2" t="s">
        <v>226</v>
      </c>
      <c r="K777" s="2" t="s">
        <v>187</v>
      </c>
      <c r="L777" s="2" t="s">
        <v>3891</v>
      </c>
    </row>
    <row r="778" spans="1:12">
      <c r="A778" s="2" t="s">
        <v>1346</v>
      </c>
      <c r="B778" s="2" t="s">
        <v>1347</v>
      </c>
      <c r="C778" s="2" t="s">
        <v>3892</v>
      </c>
      <c r="D778" s="2" t="s">
        <v>1344</v>
      </c>
      <c r="E778" s="2" t="s">
        <v>183</v>
      </c>
      <c r="F778" s="2">
        <v>1973</v>
      </c>
      <c r="G778" s="2" t="s">
        <v>224</v>
      </c>
      <c r="H778" s="2" t="s">
        <v>1347</v>
      </c>
      <c r="I778" s="2" t="s">
        <v>185</v>
      </c>
      <c r="J778" s="2" t="s">
        <v>186</v>
      </c>
      <c r="K778" s="2" t="s">
        <v>187</v>
      </c>
      <c r="L778" s="2" t="s">
        <v>3074</v>
      </c>
    </row>
    <row r="779" spans="1:12">
      <c r="A779" s="2" t="s">
        <v>1346</v>
      </c>
      <c r="B779" s="2" t="s">
        <v>1347</v>
      </c>
      <c r="C779" s="2" t="s">
        <v>3893</v>
      </c>
      <c r="D779" s="2" t="s">
        <v>1344</v>
      </c>
      <c r="E779" s="2" t="s">
        <v>223</v>
      </c>
      <c r="F779" s="2">
        <v>1975</v>
      </c>
      <c r="G779" s="2" t="s">
        <v>224</v>
      </c>
      <c r="H779" s="2" t="s">
        <v>3894</v>
      </c>
      <c r="I779" s="2" t="s">
        <v>225</v>
      </c>
      <c r="J779" s="2" t="s">
        <v>186</v>
      </c>
      <c r="K779" s="2" t="s">
        <v>187</v>
      </c>
      <c r="L779" s="2" t="s">
        <v>2621</v>
      </c>
    </row>
    <row r="780" spans="1:12">
      <c r="A780" s="2" t="s">
        <v>1346</v>
      </c>
      <c r="B780" s="2" t="s">
        <v>1347</v>
      </c>
      <c r="C780" s="2" t="s">
        <v>3895</v>
      </c>
      <c r="D780" s="2" t="s">
        <v>1344</v>
      </c>
      <c r="E780" s="2" t="s">
        <v>183</v>
      </c>
      <c r="F780" s="2">
        <v>2013</v>
      </c>
      <c r="G780" s="2" t="s">
        <v>224</v>
      </c>
      <c r="H780" s="2" t="s">
        <v>3896</v>
      </c>
      <c r="I780" s="2" t="s">
        <v>237</v>
      </c>
      <c r="J780" s="2" t="s">
        <v>291</v>
      </c>
      <c r="K780" s="2" t="s">
        <v>188</v>
      </c>
    </row>
    <row r="781" spans="1:12">
      <c r="A781" s="2" t="s">
        <v>2149</v>
      </c>
      <c r="B781" s="2" t="s">
        <v>2150</v>
      </c>
      <c r="C781" s="2" t="s">
        <v>3897</v>
      </c>
      <c r="D781" s="2" t="s">
        <v>2148</v>
      </c>
      <c r="E781" s="2" t="s">
        <v>183</v>
      </c>
      <c r="F781" s="2">
        <v>2001</v>
      </c>
      <c r="G781" s="2" t="s">
        <v>2151</v>
      </c>
      <c r="H781" s="2" t="s">
        <v>3898</v>
      </c>
      <c r="I781" s="2" t="s">
        <v>237</v>
      </c>
      <c r="J781" s="2" t="s">
        <v>186</v>
      </c>
      <c r="K781" s="2" t="s">
        <v>188</v>
      </c>
    </row>
    <row r="782" spans="1:12">
      <c r="A782" s="2" t="s">
        <v>2149</v>
      </c>
      <c r="B782" s="2" t="s">
        <v>2150</v>
      </c>
      <c r="C782" s="2" t="s">
        <v>3899</v>
      </c>
      <c r="D782" s="2" t="s">
        <v>2148</v>
      </c>
      <c r="E782" s="2" t="s">
        <v>183</v>
      </c>
      <c r="F782" s="2">
        <v>1977</v>
      </c>
      <c r="G782" s="2" t="s">
        <v>2151</v>
      </c>
      <c r="H782" s="2" t="s">
        <v>2150</v>
      </c>
      <c r="I782" s="2" t="s">
        <v>185</v>
      </c>
      <c r="J782" s="2" t="s">
        <v>603</v>
      </c>
      <c r="K782" s="2" t="s">
        <v>187</v>
      </c>
      <c r="L782" s="2" t="s">
        <v>2572</v>
      </c>
    </row>
    <row r="783" spans="1:12">
      <c r="A783" s="2" t="s">
        <v>2149</v>
      </c>
      <c r="B783" s="2" t="s">
        <v>2150</v>
      </c>
      <c r="C783" s="2" t="s">
        <v>3900</v>
      </c>
      <c r="D783" s="2" t="s">
        <v>2148</v>
      </c>
      <c r="E783" s="2" t="s">
        <v>223</v>
      </c>
      <c r="F783" s="2">
        <v>1977</v>
      </c>
      <c r="G783" s="2" t="s">
        <v>2151</v>
      </c>
      <c r="H783" s="2" t="s">
        <v>2149</v>
      </c>
      <c r="I783" s="2" t="s">
        <v>225</v>
      </c>
      <c r="J783" s="2" t="s">
        <v>603</v>
      </c>
      <c r="K783" s="2" t="s">
        <v>187</v>
      </c>
      <c r="L783" s="2" t="s">
        <v>2621</v>
      </c>
    </row>
    <row r="784" spans="1:12">
      <c r="A784" s="2" t="s">
        <v>2149</v>
      </c>
      <c r="B784" s="2" t="s">
        <v>2150</v>
      </c>
      <c r="C784" s="2" t="s">
        <v>3901</v>
      </c>
      <c r="D784" s="2" t="s">
        <v>2148</v>
      </c>
      <c r="E784" s="2" t="s">
        <v>183</v>
      </c>
      <c r="F784" s="2">
        <v>1999</v>
      </c>
      <c r="G784" s="2" t="s">
        <v>2151</v>
      </c>
      <c r="H784" s="2" t="s">
        <v>3902</v>
      </c>
      <c r="J784" s="2" t="s">
        <v>186</v>
      </c>
      <c r="K784" s="2" t="s">
        <v>188</v>
      </c>
    </row>
    <row r="785" spans="1:12">
      <c r="A785" s="2" t="s">
        <v>1372</v>
      </c>
      <c r="B785" s="2" t="s">
        <v>1372</v>
      </c>
      <c r="C785" s="2" t="s">
        <v>3903</v>
      </c>
      <c r="D785" s="2" t="s">
        <v>1371</v>
      </c>
      <c r="E785" s="2" t="s">
        <v>183</v>
      </c>
      <c r="F785" s="2">
        <v>1970</v>
      </c>
      <c r="G785" s="2" t="s">
        <v>224</v>
      </c>
      <c r="H785" s="2" t="s">
        <v>1372</v>
      </c>
      <c r="I785" s="2" t="s">
        <v>185</v>
      </c>
      <c r="J785" s="2" t="s">
        <v>226</v>
      </c>
      <c r="K785" s="2" t="s">
        <v>187</v>
      </c>
      <c r="L785" s="2" t="s">
        <v>2598</v>
      </c>
    </row>
    <row r="786" spans="1:12">
      <c r="A786" s="2" t="s">
        <v>1372</v>
      </c>
      <c r="B786" s="2" t="s">
        <v>1372</v>
      </c>
      <c r="C786" s="2" t="s">
        <v>3904</v>
      </c>
      <c r="D786" s="2" t="s">
        <v>1371</v>
      </c>
      <c r="E786" s="2" t="s">
        <v>223</v>
      </c>
      <c r="F786" s="2">
        <v>1973</v>
      </c>
      <c r="G786" s="2" t="s">
        <v>224</v>
      </c>
      <c r="H786" s="2" t="s">
        <v>3905</v>
      </c>
      <c r="I786" s="2" t="s">
        <v>225</v>
      </c>
      <c r="J786" s="2" t="s">
        <v>186</v>
      </c>
      <c r="K786" s="2" t="s">
        <v>187</v>
      </c>
      <c r="L786" s="2" t="s">
        <v>3840</v>
      </c>
    </row>
    <row r="787" spans="1:12">
      <c r="A787" s="2" t="s">
        <v>2138</v>
      </c>
      <c r="B787" s="2" t="s">
        <v>2138</v>
      </c>
      <c r="C787" s="2" t="s">
        <v>3906</v>
      </c>
      <c r="D787" s="2" t="s">
        <v>2137</v>
      </c>
      <c r="E787" s="2" t="s">
        <v>223</v>
      </c>
      <c r="F787" s="2">
        <v>2024</v>
      </c>
      <c r="G787" s="2" t="s">
        <v>224</v>
      </c>
      <c r="H787" s="2" t="s">
        <v>3907</v>
      </c>
      <c r="I787" s="2" t="s">
        <v>237</v>
      </c>
      <c r="J787" s="2" t="s">
        <v>603</v>
      </c>
      <c r="K787" s="2" t="s">
        <v>188</v>
      </c>
    </row>
    <row r="788" spans="1:12">
      <c r="A788" s="2" t="s">
        <v>2138</v>
      </c>
      <c r="B788" s="2" t="s">
        <v>2138</v>
      </c>
      <c r="C788" s="2" t="s">
        <v>3908</v>
      </c>
      <c r="D788" s="2" t="s">
        <v>2137</v>
      </c>
      <c r="E788" s="2" t="s">
        <v>223</v>
      </c>
      <c r="F788" s="2">
        <v>2015</v>
      </c>
      <c r="G788" s="2" t="s">
        <v>224</v>
      </c>
      <c r="H788" s="2" t="s">
        <v>3909</v>
      </c>
      <c r="I788" s="2" t="s">
        <v>237</v>
      </c>
      <c r="J788" s="2" t="s">
        <v>270</v>
      </c>
      <c r="K788" s="2" t="s">
        <v>188</v>
      </c>
    </row>
    <row r="789" spans="1:12">
      <c r="A789" s="2" t="s">
        <v>2138</v>
      </c>
      <c r="B789" s="2" t="s">
        <v>2138</v>
      </c>
      <c r="C789" s="2" t="s">
        <v>3910</v>
      </c>
      <c r="D789" s="2" t="s">
        <v>2137</v>
      </c>
      <c r="E789" s="2" t="s">
        <v>223</v>
      </c>
      <c r="F789" s="2">
        <v>1996</v>
      </c>
      <c r="G789" s="2" t="s">
        <v>224</v>
      </c>
      <c r="H789" s="2" t="s">
        <v>3911</v>
      </c>
      <c r="I789" s="2" t="s">
        <v>225</v>
      </c>
      <c r="J789" s="2" t="s">
        <v>186</v>
      </c>
      <c r="K789" s="2" t="s">
        <v>187</v>
      </c>
      <c r="L789" s="2" t="s">
        <v>2632</v>
      </c>
    </row>
    <row r="790" spans="1:12">
      <c r="A790" s="2" t="s">
        <v>2138</v>
      </c>
      <c r="B790" s="2" t="s">
        <v>2138</v>
      </c>
      <c r="C790" s="2" t="s">
        <v>3912</v>
      </c>
      <c r="D790" s="2" t="s">
        <v>2137</v>
      </c>
      <c r="E790" s="2" t="s">
        <v>183</v>
      </c>
      <c r="F790" s="2">
        <v>1992</v>
      </c>
      <c r="G790" s="2" t="s">
        <v>224</v>
      </c>
      <c r="H790" s="2" t="s">
        <v>2138</v>
      </c>
      <c r="I790" s="2" t="s">
        <v>185</v>
      </c>
      <c r="J790" s="2" t="s">
        <v>226</v>
      </c>
      <c r="K790" s="2" t="s">
        <v>187</v>
      </c>
      <c r="L790" s="2" t="s">
        <v>2598</v>
      </c>
    </row>
    <row r="791" spans="1:12">
      <c r="A791" s="2" t="s">
        <v>2136</v>
      </c>
      <c r="B791" s="2" t="s">
        <v>2136</v>
      </c>
      <c r="C791" s="2" t="s">
        <v>3913</v>
      </c>
      <c r="D791" s="2" t="s">
        <v>2135</v>
      </c>
      <c r="E791" s="2" t="s">
        <v>223</v>
      </c>
      <c r="F791" s="2">
        <v>1980</v>
      </c>
      <c r="G791" s="2" t="s">
        <v>224</v>
      </c>
      <c r="H791" s="2" t="s">
        <v>3914</v>
      </c>
      <c r="I791" s="2" t="s">
        <v>225</v>
      </c>
      <c r="J791" s="2" t="s">
        <v>186</v>
      </c>
      <c r="K791" s="2" t="s">
        <v>187</v>
      </c>
      <c r="L791" s="2" t="s">
        <v>2632</v>
      </c>
    </row>
    <row r="792" spans="1:12">
      <c r="A792" s="2" t="s">
        <v>2136</v>
      </c>
      <c r="B792" s="2" t="s">
        <v>2136</v>
      </c>
      <c r="C792" s="2" t="s">
        <v>3915</v>
      </c>
      <c r="D792" s="2" t="s">
        <v>2135</v>
      </c>
      <c r="E792" s="2" t="s">
        <v>183</v>
      </c>
      <c r="F792" s="2">
        <v>1973</v>
      </c>
      <c r="G792" s="2" t="s">
        <v>224</v>
      </c>
      <c r="H792" s="2" t="s">
        <v>2136</v>
      </c>
      <c r="I792" s="2" t="s">
        <v>185</v>
      </c>
      <c r="J792" s="2" t="s">
        <v>270</v>
      </c>
      <c r="K792" s="2" t="s">
        <v>187</v>
      </c>
      <c r="L792" s="2" t="s">
        <v>3306</v>
      </c>
    </row>
    <row r="793" spans="1:12">
      <c r="A793" s="2" t="s">
        <v>2136</v>
      </c>
      <c r="B793" s="2" t="s">
        <v>2136</v>
      </c>
      <c r="C793" s="2" t="s">
        <v>3916</v>
      </c>
      <c r="D793" s="2" t="s">
        <v>2135</v>
      </c>
      <c r="E793" s="2" t="s">
        <v>183</v>
      </c>
      <c r="F793" s="2">
        <v>2001</v>
      </c>
      <c r="G793" s="2" t="s">
        <v>224</v>
      </c>
      <c r="H793" s="2" t="s">
        <v>3917</v>
      </c>
      <c r="I793" s="2" t="s">
        <v>237</v>
      </c>
      <c r="J793" s="2" t="s">
        <v>186</v>
      </c>
      <c r="K793" s="2" t="s">
        <v>188</v>
      </c>
    </row>
    <row r="794" spans="1:12">
      <c r="A794" s="2" t="s">
        <v>1406</v>
      </c>
      <c r="B794" s="2" t="s">
        <v>1406</v>
      </c>
      <c r="C794" s="2" t="s">
        <v>3918</v>
      </c>
      <c r="D794" s="2" t="s">
        <v>1404</v>
      </c>
      <c r="E794" s="2" t="s">
        <v>223</v>
      </c>
      <c r="F794" s="2">
        <v>1991</v>
      </c>
      <c r="G794" s="2" t="s">
        <v>224</v>
      </c>
      <c r="H794" s="2" t="s">
        <v>3919</v>
      </c>
      <c r="I794" s="2" t="s">
        <v>225</v>
      </c>
      <c r="J794" s="2" t="s">
        <v>739</v>
      </c>
      <c r="K794" s="2" t="s">
        <v>187</v>
      </c>
      <c r="L794" s="2" t="s">
        <v>3769</v>
      </c>
    </row>
    <row r="795" spans="1:12">
      <c r="A795" s="2" t="s">
        <v>1406</v>
      </c>
      <c r="B795" s="2" t="s">
        <v>1406</v>
      </c>
      <c r="C795" s="2" t="s">
        <v>3920</v>
      </c>
      <c r="D795" s="2" t="s">
        <v>1404</v>
      </c>
      <c r="E795" s="2" t="s">
        <v>183</v>
      </c>
      <c r="F795" s="2">
        <v>1991</v>
      </c>
      <c r="G795" s="2" t="s">
        <v>224</v>
      </c>
      <c r="H795" s="2" t="s">
        <v>1406</v>
      </c>
      <c r="I795" s="2" t="s">
        <v>185</v>
      </c>
      <c r="J795" s="2" t="s">
        <v>2207</v>
      </c>
      <c r="K795" s="2" t="s">
        <v>187</v>
      </c>
      <c r="L795" s="2" t="s">
        <v>2598</v>
      </c>
    </row>
    <row r="796" spans="1:12">
      <c r="A796" s="2" t="s">
        <v>2136</v>
      </c>
      <c r="B796" s="2" t="s">
        <v>2136</v>
      </c>
      <c r="C796" s="2" t="s">
        <v>3921</v>
      </c>
      <c r="D796" s="2" t="s">
        <v>2135</v>
      </c>
      <c r="E796" s="2" t="s">
        <v>183</v>
      </c>
      <c r="F796" s="2">
        <v>1999</v>
      </c>
      <c r="G796" s="2" t="s">
        <v>224</v>
      </c>
      <c r="H796" s="2" t="s">
        <v>3922</v>
      </c>
      <c r="I796" s="2" t="s">
        <v>237</v>
      </c>
      <c r="J796" s="2" t="s">
        <v>226</v>
      </c>
      <c r="K796" s="2" t="s">
        <v>188</v>
      </c>
    </row>
    <row r="797" spans="1:12">
      <c r="A797" s="2" t="s">
        <v>2125</v>
      </c>
      <c r="B797" s="2" t="s">
        <v>2125</v>
      </c>
      <c r="C797" s="2" t="s">
        <v>3923</v>
      </c>
      <c r="D797" s="2" t="s">
        <v>2124</v>
      </c>
      <c r="E797" s="2" t="s">
        <v>183</v>
      </c>
      <c r="F797" s="2">
        <v>1980</v>
      </c>
      <c r="G797" s="2" t="s">
        <v>224</v>
      </c>
      <c r="H797" s="2" t="s">
        <v>2125</v>
      </c>
      <c r="I797" s="2" t="s">
        <v>185</v>
      </c>
      <c r="J797" s="2" t="s">
        <v>186</v>
      </c>
      <c r="K797" s="2" t="s">
        <v>187</v>
      </c>
      <c r="L797" s="2" t="s">
        <v>2598</v>
      </c>
    </row>
    <row r="798" spans="1:12">
      <c r="A798" s="2" t="s">
        <v>2125</v>
      </c>
      <c r="B798" s="2" t="s">
        <v>2125</v>
      </c>
      <c r="C798" s="2" t="s">
        <v>3924</v>
      </c>
      <c r="D798" s="2" t="s">
        <v>2124</v>
      </c>
      <c r="E798" s="2" t="s">
        <v>183</v>
      </c>
      <c r="F798" s="2">
        <v>2001</v>
      </c>
      <c r="G798" s="2" t="s">
        <v>224</v>
      </c>
      <c r="H798" s="2" t="s">
        <v>3925</v>
      </c>
      <c r="I798" s="2" t="s">
        <v>237</v>
      </c>
      <c r="J798" s="2" t="s">
        <v>226</v>
      </c>
      <c r="K798" s="2" t="s">
        <v>188</v>
      </c>
    </row>
    <row r="799" spans="1:12">
      <c r="A799" s="2" t="s">
        <v>2125</v>
      </c>
      <c r="B799" s="2" t="s">
        <v>2125</v>
      </c>
      <c r="C799" s="2" t="s">
        <v>3926</v>
      </c>
      <c r="D799" s="2" t="s">
        <v>2124</v>
      </c>
      <c r="E799" s="2" t="s">
        <v>223</v>
      </c>
      <c r="F799" s="2">
        <v>1979</v>
      </c>
      <c r="G799" s="2" t="s">
        <v>224</v>
      </c>
      <c r="H799" s="2" t="s">
        <v>3927</v>
      </c>
      <c r="I799" s="2" t="s">
        <v>225</v>
      </c>
      <c r="J799" s="2" t="s">
        <v>270</v>
      </c>
      <c r="K799" s="2" t="s">
        <v>187</v>
      </c>
      <c r="L799" s="2" t="s">
        <v>2632</v>
      </c>
    </row>
    <row r="800" spans="1:12">
      <c r="A800" s="2" t="s">
        <v>2125</v>
      </c>
      <c r="B800" s="2" t="s">
        <v>2125</v>
      </c>
      <c r="C800" s="2" t="s">
        <v>3928</v>
      </c>
      <c r="D800" s="2" t="s">
        <v>2124</v>
      </c>
      <c r="E800" s="2" t="s">
        <v>223</v>
      </c>
      <c r="F800" s="2">
        <v>2007</v>
      </c>
      <c r="G800" s="2" t="s">
        <v>224</v>
      </c>
      <c r="H800" s="2" t="s">
        <v>3929</v>
      </c>
      <c r="I800" s="2" t="s">
        <v>237</v>
      </c>
      <c r="J800" s="2" t="s">
        <v>226</v>
      </c>
      <c r="K800" s="2" t="s">
        <v>188</v>
      </c>
    </row>
    <row r="801" spans="1:12">
      <c r="A801" s="2" t="s">
        <v>2125</v>
      </c>
      <c r="B801" s="2" t="s">
        <v>2125</v>
      </c>
      <c r="C801" s="2" t="s">
        <v>3930</v>
      </c>
      <c r="D801" s="2" t="s">
        <v>2124</v>
      </c>
      <c r="E801" s="2" t="s">
        <v>223</v>
      </c>
      <c r="F801" s="2">
        <v>2015</v>
      </c>
      <c r="G801" s="2" t="s">
        <v>224</v>
      </c>
      <c r="H801" s="2" t="s">
        <v>3931</v>
      </c>
      <c r="I801" s="2" t="s">
        <v>237</v>
      </c>
      <c r="J801" s="2" t="s">
        <v>270</v>
      </c>
      <c r="K801" s="2" t="s">
        <v>188</v>
      </c>
    </row>
    <row r="802" spans="1:12">
      <c r="A802" s="2" t="s">
        <v>1431</v>
      </c>
      <c r="B802" s="2" t="s">
        <v>1431</v>
      </c>
      <c r="C802" s="2" t="s">
        <v>3932</v>
      </c>
      <c r="D802" s="2" t="s">
        <v>1430</v>
      </c>
      <c r="E802" s="2" t="s">
        <v>223</v>
      </c>
      <c r="F802" s="2">
        <v>1955</v>
      </c>
      <c r="G802" s="2" t="s">
        <v>224</v>
      </c>
      <c r="H802" s="2" t="s">
        <v>1431</v>
      </c>
      <c r="I802" s="2" t="s">
        <v>185</v>
      </c>
      <c r="J802" s="2" t="s">
        <v>186</v>
      </c>
      <c r="K802" s="2" t="s">
        <v>187</v>
      </c>
      <c r="L802" s="2" t="s">
        <v>3933</v>
      </c>
    </row>
    <row r="803" spans="1:12">
      <c r="A803" s="2" t="s">
        <v>1431</v>
      </c>
      <c r="B803" s="2" t="s">
        <v>1431</v>
      </c>
      <c r="C803" s="2" t="s">
        <v>3934</v>
      </c>
      <c r="D803" s="2" t="s">
        <v>1430</v>
      </c>
      <c r="E803" s="2" t="s">
        <v>223</v>
      </c>
      <c r="F803" s="2">
        <v>2007</v>
      </c>
      <c r="G803" s="2" t="s">
        <v>224</v>
      </c>
      <c r="H803" s="2" t="s">
        <v>3935</v>
      </c>
      <c r="I803" s="2" t="s">
        <v>291</v>
      </c>
      <c r="J803" s="2" t="s">
        <v>226</v>
      </c>
      <c r="K803" s="2" t="s">
        <v>188</v>
      </c>
    </row>
    <row r="804" spans="1:12">
      <c r="A804" s="2" t="s">
        <v>2115</v>
      </c>
      <c r="B804" s="2" t="s">
        <v>2115</v>
      </c>
      <c r="C804" s="2" t="s">
        <v>3936</v>
      </c>
      <c r="D804" s="2" t="s">
        <v>2114</v>
      </c>
      <c r="E804" s="2" t="s">
        <v>183</v>
      </c>
      <c r="F804" s="2">
        <v>1976</v>
      </c>
      <c r="G804" s="2" t="s">
        <v>224</v>
      </c>
      <c r="H804" s="2" t="s">
        <v>2115</v>
      </c>
      <c r="I804" s="2" t="s">
        <v>185</v>
      </c>
      <c r="J804" s="2" t="s">
        <v>270</v>
      </c>
      <c r="K804" s="2" t="s">
        <v>187</v>
      </c>
      <c r="L804" s="2" t="s">
        <v>3937</v>
      </c>
    </row>
    <row r="805" spans="1:12">
      <c r="A805" s="2" t="s">
        <v>2115</v>
      </c>
      <c r="B805" s="2" t="s">
        <v>2115</v>
      </c>
      <c r="C805" s="2" t="s">
        <v>3938</v>
      </c>
      <c r="D805" s="2" t="s">
        <v>2114</v>
      </c>
      <c r="E805" s="2" t="s">
        <v>223</v>
      </c>
      <c r="F805" s="2">
        <v>1978</v>
      </c>
      <c r="G805" s="2" t="s">
        <v>224</v>
      </c>
      <c r="H805" s="2" t="s">
        <v>3939</v>
      </c>
      <c r="I805" s="2" t="s">
        <v>225</v>
      </c>
      <c r="J805" s="2" t="s">
        <v>270</v>
      </c>
      <c r="K805" s="2" t="s">
        <v>187</v>
      </c>
      <c r="L805" s="2" t="s">
        <v>2632</v>
      </c>
    </row>
    <row r="806" spans="1:12">
      <c r="A806" s="2" t="s">
        <v>2084</v>
      </c>
      <c r="B806" s="2" t="s">
        <v>2084</v>
      </c>
      <c r="C806" s="2" t="s">
        <v>3940</v>
      </c>
      <c r="D806" s="2" t="s">
        <v>2083</v>
      </c>
      <c r="E806" s="2" t="s">
        <v>183</v>
      </c>
      <c r="F806" s="2">
        <v>1982</v>
      </c>
      <c r="G806" s="2" t="s">
        <v>224</v>
      </c>
      <c r="H806" s="2" t="s">
        <v>3941</v>
      </c>
      <c r="I806" s="2" t="s">
        <v>225</v>
      </c>
      <c r="J806" s="2" t="s">
        <v>186</v>
      </c>
      <c r="K806" s="2" t="s">
        <v>187</v>
      </c>
      <c r="L806" s="2" t="s">
        <v>2598</v>
      </c>
    </row>
    <row r="807" spans="1:12">
      <c r="A807" s="2" t="s">
        <v>2084</v>
      </c>
      <c r="B807" s="2" t="s">
        <v>2084</v>
      </c>
      <c r="C807" s="2" t="s">
        <v>3942</v>
      </c>
      <c r="D807" s="2" t="s">
        <v>2083</v>
      </c>
      <c r="E807" s="2" t="s">
        <v>183</v>
      </c>
      <c r="F807" s="2">
        <v>2004</v>
      </c>
      <c r="G807" s="2" t="s">
        <v>224</v>
      </c>
      <c r="H807" s="2" t="s">
        <v>3943</v>
      </c>
      <c r="I807" s="2" t="s">
        <v>237</v>
      </c>
      <c r="J807" s="2" t="s">
        <v>739</v>
      </c>
      <c r="K807" s="2" t="s">
        <v>188</v>
      </c>
    </row>
    <row r="808" spans="1:12">
      <c r="A808" s="2" t="s">
        <v>2084</v>
      </c>
      <c r="B808" s="2" t="s">
        <v>2084</v>
      </c>
      <c r="C808" s="2" t="s">
        <v>3944</v>
      </c>
      <c r="D808" s="2" t="s">
        <v>2083</v>
      </c>
      <c r="E808" s="2" t="s">
        <v>183</v>
      </c>
      <c r="F808" s="2">
        <v>2018</v>
      </c>
      <c r="G808" s="2" t="s">
        <v>224</v>
      </c>
      <c r="H808" s="2" t="s">
        <v>3945</v>
      </c>
      <c r="I808" s="2" t="s">
        <v>237</v>
      </c>
      <c r="J808" s="2" t="s">
        <v>270</v>
      </c>
      <c r="K808" s="2" t="s">
        <v>188</v>
      </c>
    </row>
    <row r="809" spans="1:12">
      <c r="A809" s="2" t="s">
        <v>2084</v>
      </c>
      <c r="B809" s="2" t="s">
        <v>2084</v>
      </c>
      <c r="C809" s="2" t="s">
        <v>3946</v>
      </c>
      <c r="D809" s="2" t="s">
        <v>2083</v>
      </c>
      <c r="E809" s="2" t="s">
        <v>223</v>
      </c>
      <c r="F809" s="2">
        <v>1984</v>
      </c>
      <c r="G809" s="2" t="s">
        <v>224</v>
      </c>
      <c r="H809" s="2" t="s">
        <v>2084</v>
      </c>
      <c r="I809" s="2" t="s">
        <v>185</v>
      </c>
      <c r="J809" s="2" t="s">
        <v>186</v>
      </c>
      <c r="K809" s="2" t="s">
        <v>187</v>
      </c>
      <c r="L809" s="2" t="s">
        <v>2621</v>
      </c>
    </row>
    <row r="810" spans="1:12">
      <c r="A810" s="2" t="s">
        <v>2084</v>
      </c>
      <c r="B810" s="2" t="s">
        <v>2084</v>
      </c>
      <c r="C810" s="2" t="s">
        <v>3947</v>
      </c>
      <c r="D810" s="2" t="s">
        <v>2083</v>
      </c>
      <c r="E810" s="2" t="s">
        <v>183</v>
      </c>
      <c r="F810" s="2">
        <v>2015</v>
      </c>
      <c r="G810" s="2" t="s">
        <v>224</v>
      </c>
      <c r="H810" s="2" t="s">
        <v>3948</v>
      </c>
      <c r="I810" s="2" t="s">
        <v>237</v>
      </c>
      <c r="J810" s="2" t="s">
        <v>270</v>
      </c>
      <c r="K810" s="2" t="s">
        <v>188</v>
      </c>
    </row>
    <row r="811" spans="1:12">
      <c r="A811" s="2" t="s">
        <v>2084</v>
      </c>
      <c r="B811" s="2" t="s">
        <v>2084</v>
      </c>
      <c r="C811" s="2" t="s">
        <v>3949</v>
      </c>
      <c r="D811" s="2" t="s">
        <v>2083</v>
      </c>
      <c r="E811" s="2" t="s">
        <v>183</v>
      </c>
      <c r="F811" s="2">
        <v>2000</v>
      </c>
      <c r="G811" s="2" t="s">
        <v>224</v>
      </c>
      <c r="H811" s="2" t="s">
        <v>3950</v>
      </c>
      <c r="I811" s="2" t="s">
        <v>237</v>
      </c>
      <c r="J811" s="2" t="s">
        <v>685</v>
      </c>
      <c r="K811" s="2" t="s">
        <v>188</v>
      </c>
    </row>
    <row r="812" spans="1:12">
      <c r="A812" s="2" t="s">
        <v>1445</v>
      </c>
      <c r="B812" s="2" t="s">
        <v>1446</v>
      </c>
      <c r="C812" s="2" t="s">
        <v>3951</v>
      </c>
      <c r="D812" s="2" t="s">
        <v>1443</v>
      </c>
      <c r="E812" s="2" t="s">
        <v>223</v>
      </c>
      <c r="F812" s="2">
        <v>1971</v>
      </c>
      <c r="G812" s="2" t="s">
        <v>224</v>
      </c>
      <c r="H812" s="2" t="s">
        <v>1445</v>
      </c>
      <c r="I812" s="2" t="s">
        <v>225</v>
      </c>
      <c r="J812" s="2" t="s">
        <v>186</v>
      </c>
      <c r="K812" s="2" t="s">
        <v>187</v>
      </c>
      <c r="L812" s="2" t="s">
        <v>3952</v>
      </c>
    </row>
    <row r="813" spans="1:12">
      <c r="A813" s="2" t="s">
        <v>1445</v>
      </c>
      <c r="B813" s="2" t="s">
        <v>1446</v>
      </c>
      <c r="C813" s="2" t="s">
        <v>3953</v>
      </c>
      <c r="D813" s="2" t="s">
        <v>1443</v>
      </c>
      <c r="E813" s="2" t="s">
        <v>183</v>
      </c>
      <c r="F813" s="2">
        <v>1971</v>
      </c>
      <c r="G813" s="2" t="s">
        <v>224</v>
      </c>
      <c r="H813" s="2" t="s">
        <v>1446</v>
      </c>
      <c r="I813" s="2" t="s">
        <v>185</v>
      </c>
      <c r="J813" s="2" t="s">
        <v>186</v>
      </c>
      <c r="K813" s="2" t="s">
        <v>187</v>
      </c>
      <c r="L813" s="2" t="s">
        <v>3954</v>
      </c>
    </row>
    <row r="814" spans="1:12">
      <c r="A814" s="2" t="s">
        <v>2074</v>
      </c>
      <c r="B814" s="2" t="s">
        <v>2074</v>
      </c>
      <c r="C814" s="2" t="s">
        <v>3955</v>
      </c>
      <c r="D814" s="2" t="s">
        <v>2073</v>
      </c>
      <c r="E814" s="2" t="s">
        <v>183</v>
      </c>
      <c r="F814" s="2">
        <v>2002</v>
      </c>
      <c r="G814" s="2" t="s">
        <v>224</v>
      </c>
      <c r="H814" s="2" t="s">
        <v>3956</v>
      </c>
      <c r="I814" s="2" t="s">
        <v>237</v>
      </c>
      <c r="J814" s="2" t="s">
        <v>226</v>
      </c>
      <c r="K814" s="2" t="s">
        <v>188</v>
      </c>
    </row>
    <row r="815" spans="1:12">
      <c r="A815" s="2" t="s">
        <v>2074</v>
      </c>
      <c r="B815" s="2" t="s">
        <v>2074</v>
      </c>
      <c r="C815" s="2" t="s">
        <v>3957</v>
      </c>
      <c r="D815" s="2" t="s">
        <v>2073</v>
      </c>
      <c r="E815" s="2" t="s">
        <v>183</v>
      </c>
      <c r="F815" s="2">
        <v>1973</v>
      </c>
      <c r="G815" s="2" t="s">
        <v>224</v>
      </c>
      <c r="H815" s="2" t="s">
        <v>2074</v>
      </c>
      <c r="I815" s="2" t="s">
        <v>185</v>
      </c>
      <c r="J815" s="2" t="s">
        <v>270</v>
      </c>
      <c r="K815" s="2" t="s">
        <v>187</v>
      </c>
      <c r="L815" s="2" t="s">
        <v>2572</v>
      </c>
    </row>
    <row r="816" spans="1:12">
      <c r="A816" s="2" t="s">
        <v>2074</v>
      </c>
      <c r="B816" s="2" t="s">
        <v>2074</v>
      </c>
      <c r="C816" s="2" t="s">
        <v>3958</v>
      </c>
      <c r="D816" s="2" t="s">
        <v>2073</v>
      </c>
      <c r="E816" s="2" t="s">
        <v>223</v>
      </c>
      <c r="F816" s="2">
        <v>1983</v>
      </c>
      <c r="G816" s="2" t="s">
        <v>224</v>
      </c>
      <c r="H816" s="2" t="s">
        <v>3959</v>
      </c>
      <c r="I816" s="2" t="s">
        <v>225</v>
      </c>
      <c r="J816" s="2" t="s">
        <v>270</v>
      </c>
      <c r="K816" s="2" t="s">
        <v>187</v>
      </c>
      <c r="L816" s="2" t="s">
        <v>2632</v>
      </c>
    </row>
    <row r="817" spans="1:12">
      <c r="A817" s="2" t="s">
        <v>2013</v>
      </c>
      <c r="B817" s="2" t="s">
        <v>1856</v>
      </c>
      <c r="C817" s="2" t="s">
        <v>3960</v>
      </c>
      <c r="D817" s="2" t="s">
        <v>2011</v>
      </c>
      <c r="E817" s="2" t="s">
        <v>223</v>
      </c>
      <c r="F817" s="2">
        <v>1975</v>
      </c>
      <c r="G817" s="2" t="s">
        <v>224</v>
      </c>
      <c r="H817" s="2" t="s">
        <v>2013</v>
      </c>
      <c r="I817" s="2" t="s">
        <v>225</v>
      </c>
      <c r="J817" s="2" t="s">
        <v>186</v>
      </c>
      <c r="K817" s="2" t="s">
        <v>187</v>
      </c>
      <c r="L817" s="2" t="s">
        <v>2621</v>
      </c>
    </row>
    <row r="818" spans="1:12">
      <c r="A818" s="2" t="s">
        <v>2013</v>
      </c>
      <c r="B818" s="2" t="s">
        <v>1856</v>
      </c>
      <c r="C818" s="2" t="s">
        <v>3961</v>
      </c>
      <c r="D818" s="2" t="s">
        <v>2011</v>
      </c>
      <c r="E818" s="2" t="s">
        <v>183</v>
      </c>
      <c r="F818" s="2">
        <v>1971</v>
      </c>
      <c r="G818" s="2" t="s">
        <v>224</v>
      </c>
      <c r="H818" s="2" t="s">
        <v>1856</v>
      </c>
      <c r="I818" s="2" t="s">
        <v>185</v>
      </c>
      <c r="J818" s="2" t="s">
        <v>226</v>
      </c>
      <c r="K818" s="2" t="s">
        <v>187</v>
      </c>
      <c r="L818" s="2" t="s">
        <v>2598</v>
      </c>
    </row>
    <row r="819" spans="1:12">
      <c r="A819" s="2" t="s">
        <v>1507</v>
      </c>
      <c r="B819" s="2" t="s">
        <v>1507</v>
      </c>
      <c r="C819" s="2" t="s">
        <v>3962</v>
      </c>
      <c r="D819" s="2" t="s">
        <v>1505</v>
      </c>
      <c r="E819" s="2" t="s">
        <v>183</v>
      </c>
      <c r="F819" s="2">
        <v>1992</v>
      </c>
      <c r="G819" s="2" t="s">
        <v>224</v>
      </c>
      <c r="H819" s="2" t="s">
        <v>1507</v>
      </c>
      <c r="I819" s="2" t="s">
        <v>185</v>
      </c>
      <c r="J819" s="2" t="s">
        <v>226</v>
      </c>
      <c r="K819" s="2" t="s">
        <v>187</v>
      </c>
      <c r="L819" s="2" t="s">
        <v>2598</v>
      </c>
    </row>
    <row r="820" spans="1:12">
      <c r="A820" s="2" t="s">
        <v>1507</v>
      </c>
      <c r="B820" s="2" t="s">
        <v>1507</v>
      </c>
      <c r="C820" s="2" t="s">
        <v>3963</v>
      </c>
      <c r="D820" s="2" t="s">
        <v>1505</v>
      </c>
      <c r="E820" s="2" t="s">
        <v>223</v>
      </c>
      <c r="F820" s="2">
        <v>1992</v>
      </c>
      <c r="G820" s="2" t="s">
        <v>224</v>
      </c>
      <c r="H820" s="2" t="s">
        <v>3964</v>
      </c>
      <c r="I820" s="2" t="s">
        <v>225</v>
      </c>
      <c r="J820" s="2" t="s">
        <v>226</v>
      </c>
      <c r="K820" s="2" t="s">
        <v>187</v>
      </c>
      <c r="L820" s="2" t="s">
        <v>2879</v>
      </c>
    </row>
    <row r="821" spans="1:12">
      <c r="A821" s="2" t="s">
        <v>506</v>
      </c>
      <c r="B821" s="2" t="s">
        <v>506</v>
      </c>
      <c r="C821" s="2" t="s">
        <v>3965</v>
      </c>
      <c r="D821" s="2" t="s">
        <v>503</v>
      </c>
      <c r="E821" s="2" t="s">
        <v>223</v>
      </c>
      <c r="F821" s="2">
        <v>1960</v>
      </c>
      <c r="G821" s="2" t="s">
        <v>184</v>
      </c>
      <c r="H821" s="2" t="s">
        <v>3966</v>
      </c>
      <c r="I821" s="2" t="s">
        <v>2457</v>
      </c>
      <c r="J821" s="2" t="s">
        <v>603</v>
      </c>
      <c r="K821" s="2" t="s">
        <v>188</v>
      </c>
    </row>
    <row r="822" spans="1:12">
      <c r="A822" s="2" t="s">
        <v>2002</v>
      </c>
      <c r="B822" s="2" t="s">
        <v>2003</v>
      </c>
      <c r="C822" s="2" t="s">
        <v>3967</v>
      </c>
      <c r="D822" s="2" t="s">
        <v>2000</v>
      </c>
      <c r="E822" s="2" t="s">
        <v>223</v>
      </c>
      <c r="F822" s="2">
        <v>2006</v>
      </c>
      <c r="G822" s="2" t="s">
        <v>224</v>
      </c>
      <c r="H822" s="2" t="s">
        <v>3968</v>
      </c>
      <c r="I822" s="2" t="s">
        <v>237</v>
      </c>
      <c r="J822" s="2" t="s">
        <v>226</v>
      </c>
      <c r="K822" s="2" t="s">
        <v>188</v>
      </c>
    </row>
    <row r="823" spans="1:12">
      <c r="A823" s="2" t="s">
        <v>506</v>
      </c>
      <c r="B823" s="2" t="s">
        <v>506</v>
      </c>
      <c r="C823" s="2" t="s">
        <v>3969</v>
      </c>
      <c r="D823" s="2" t="s">
        <v>503</v>
      </c>
      <c r="E823" s="2" t="s">
        <v>223</v>
      </c>
      <c r="F823" s="2">
        <v>2015</v>
      </c>
      <c r="G823" s="2" t="s">
        <v>184</v>
      </c>
      <c r="H823" s="2" t="s">
        <v>2561</v>
      </c>
      <c r="I823" s="2" t="s">
        <v>291</v>
      </c>
      <c r="J823" s="2" t="s">
        <v>291</v>
      </c>
      <c r="K823" s="2" t="s">
        <v>188</v>
      </c>
    </row>
    <row r="824" spans="1:12">
      <c r="A824" s="2" t="s">
        <v>506</v>
      </c>
      <c r="B824" s="2" t="s">
        <v>506</v>
      </c>
      <c r="C824" s="2" t="s">
        <v>3970</v>
      </c>
      <c r="D824" s="2" t="s">
        <v>503</v>
      </c>
      <c r="E824" s="2" t="s">
        <v>223</v>
      </c>
      <c r="F824" s="2">
        <v>1991</v>
      </c>
      <c r="G824" s="2" t="s">
        <v>184</v>
      </c>
      <c r="H824" s="2" t="s">
        <v>3971</v>
      </c>
      <c r="I824" s="2" t="s">
        <v>291</v>
      </c>
      <c r="J824" s="2" t="s">
        <v>186</v>
      </c>
      <c r="K824" s="2" t="s">
        <v>187</v>
      </c>
      <c r="L824" s="2" t="s">
        <v>3247</v>
      </c>
    </row>
    <row r="825" spans="1:12">
      <c r="A825" s="2" t="s">
        <v>506</v>
      </c>
      <c r="B825" s="2" t="s">
        <v>506</v>
      </c>
      <c r="C825" s="2" t="s">
        <v>3972</v>
      </c>
      <c r="D825" s="2" t="s">
        <v>503</v>
      </c>
      <c r="E825" s="2" t="s">
        <v>223</v>
      </c>
      <c r="F825" s="2">
        <v>2013</v>
      </c>
      <c r="G825" s="2" t="s">
        <v>184</v>
      </c>
      <c r="H825" s="2" t="s">
        <v>3973</v>
      </c>
      <c r="I825" s="2" t="s">
        <v>291</v>
      </c>
      <c r="J825" s="2" t="s">
        <v>291</v>
      </c>
      <c r="K825" s="2" t="s">
        <v>188</v>
      </c>
    </row>
    <row r="826" spans="1:12">
      <c r="A826" s="2" t="s">
        <v>2002</v>
      </c>
      <c r="B826" s="2" t="s">
        <v>2003</v>
      </c>
      <c r="C826" s="2" t="s">
        <v>3974</v>
      </c>
      <c r="D826" s="2" t="s">
        <v>2000</v>
      </c>
      <c r="E826" s="2" t="s">
        <v>223</v>
      </c>
      <c r="F826" s="2">
        <v>1999</v>
      </c>
      <c r="G826" s="2" t="s">
        <v>224</v>
      </c>
      <c r="H826" s="2" t="s">
        <v>3975</v>
      </c>
      <c r="I826" s="2" t="s">
        <v>237</v>
      </c>
      <c r="J826" s="2" t="s">
        <v>685</v>
      </c>
      <c r="K826" s="2" t="s">
        <v>188</v>
      </c>
    </row>
    <row r="827" spans="1:12">
      <c r="A827" s="2" t="s">
        <v>2002</v>
      </c>
      <c r="B827" s="2" t="s">
        <v>2003</v>
      </c>
      <c r="C827" s="2" t="s">
        <v>3976</v>
      </c>
      <c r="D827" s="2" t="s">
        <v>2000</v>
      </c>
      <c r="E827" s="2" t="s">
        <v>223</v>
      </c>
      <c r="F827" s="2">
        <v>2009</v>
      </c>
      <c r="G827" s="2" t="s">
        <v>224</v>
      </c>
      <c r="H827" s="2" t="s">
        <v>3977</v>
      </c>
      <c r="I827" s="2" t="s">
        <v>237</v>
      </c>
      <c r="J827" s="2" t="s">
        <v>186</v>
      </c>
      <c r="K827" s="2" t="s">
        <v>188</v>
      </c>
    </row>
    <row r="828" spans="1:12">
      <c r="A828" s="2" t="s">
        <v>2002</v>
      </c>
      <c r="B828" s="2" t="s">
        <v>2003</v>
      </c>
      <c r="C828" s="2" t="s">
        <v>3978</v>
      </c>
      <c r="D828" s="2" t="s">
        <v>2000</v>
      </c>
      <c r="E828" s="2" t="s">
        <v>223</v>
      </c>
      <c r="F828" s="2">
        <v>1978</v>
      </c>
      <c r="G828" s="2" t="s">
        <v>224</v>
      </c>
      <c r="H828" s="2" t="s">
        <v>2002</v>
      </c>
      <c r="I828" s="2" t="s">
        <v>225</v>
      </c>
      <c r="J828" s="2" t="s">
        <v>186</v>
      </c>
      <c r="K828" s="2" t="s">
        <v>187</v>
      </c>
      <c r="L828" s="2" t="s">
        <v>2621</v>
      </c>
    </row>
    <row r="829" spans="1:12">
      <c r="A829" s="2" t="s">
        <v>2002</v>
      </c>
      <c r="B829" s="2" t="s">
        <v>2003</v>
      </c>
      <c r="C829" s="2" t="s">
        <v>3979</v>
      </c>
      <c r="D829" s="2" t="s">
        <v>2000</v>
      </c>
      <c r="E829" s="2" t="s">
        <v>183</v>
      </c>
      <c r="F829" s="2">
        <v>1976</v>
      </c>
      <c r="G829" s="2" t="s">
        <v>224</v>
      </c>
      <c r="H829" s="2" t="s">
        <v>2003</v>
      </c>
      <c r="I829" s="2" t="s">
        <v>185</v>
      </c>
      <c r="J829" s="2" t="s">
        <v>186</v>
      </c>
      <c r="K829" s="2" t="s">
        <v>187</v>
      </c>
      <c r="L829" s="2" t="s">
        <v>2598</v>
      </c>
    </row>
    <row r="830" spans="1:12">
      <c r="A830" s="2" t="s">
        <v>2002</v>
      </c>
      <c r="B830" s="2" t="s">
        <v>2003</v>
      </c>
      <c r="C830" s="2" t="s">
        <v>3980</v>
      </c>
      <c r="D830" s="2" t="s">
        <v>2000</v>
      </c>
      <c r="E830" s="2" t="s">
        <v>183</v>
      </c>
      <c r="F830" s="2">
        <v>2012</v>
      </c>
      <c r="G830" s="2" t="s">
        <v>224</v>
      </c>
      <c r="H830" s="2" t="s">
        <v>3981</v>
      </c>
      <c r="I830" s="2" t="s">
        <v>237</v>
      </c>
      <c r="J830" s="2" t="s">
        <v>186</v>
      </c>
      <c r="K830" s="2" t="s">
        <v>188</v>
      </c>
    </row>
    <row r="831" spans="1:12">
      <c r="A831" s="2" t="s">
        <v>2034</v>
      </c>
      <c r="B831" s="2" t="s">
        <v>2035</v>
      </c>
      <c r="C831" s="2" t="s">
        <v>3982</v>
      </c>
      <c r="D831" s="2" t="s">
        <v>2033</v>
      </c>
      <c r="E831" s="2" t="s">
        <v>183</v>
      </c>
      <c r="F831" s="2">
        <v>2023</v>
      </c>
      <c r="G831" s="2" t="s">
        <v>224</v>
      </c>
      <c r="H831" s="2" t="s">
        <v>3983</v>
      </c>
      <c r="I831" s="2" t="s">
        <v>237</v>
      </c>
      <c r="J831" s="2" t="s">
        <v>603</v>
      </c>
      <c r="K831" s="2" t="s">
        <v>188</v>
      </c>
    </row>
    <row r="832" spans="1:12">
      <c r="A832" s="2" t="s">
        <v>2034</v>
      </c>
      <c r="B832" s="2" t="s">
        <v>2035</v>
      </c>
      <c r="C832" s="2" t="s">
        <v>3984</v>
      </c>
      <c r="D832" s="2" t="s">
        <v>2033</v>
      </c>
      <c r="E832" s="2" t="s">
        <v>183</v>
      </c>
      <c r="F832" s="2">
        <v>1982</v>
      </c>
      <c r="G832" s="2" t="s">
        <v>224</v>
      </c>
      <c r="H832" s="2" t="s">
        <v>2035</v>
      </c>
      <c r="I832" s="2" t="s">
        <v>185</v>
      </c>
      <c r="J832" s="2" t="s">
        <v>186</v>
      </c>
      <c r="K832" s="2" t="s">
        <v>187</v>
      </c>
      <c r="L832" s="2" t="s">
        <v>2598</v>
      </c>
    </row>
    <row r="833" spans="1:12">
      <c r="A833" s="2" t="s">
        <v>2034</v>
      </c>
      <c r="B833" s="2" t="s">
        <v>2035</v>
      </c>
      <c r="C833" s="2" t="s">
        <v>3985</v>
      </c>
      <c r="D833" s="2" t="s">
        <v>2033</v>
      </c>
      <c r="E833" s="2" t="s">
        <v>223</v>
      </c>
      <c r="F833" s="2">
        <v>1983</v>
      </c>
      <c r="G833" s="2" t="s">
        <v>224</v>
      </c>
      <c r="H833" s="2" t="s">
        <v>2034</v>
      </c>
      <c r="I833" s="2" t="s">
        <v>225</v>
      </c>
      <c r="J833" s="2" t="s">
        <v>186</v>
      </c>
      <c r="K833" s="2" t="s">
        <v>187</v>
      </c>
      <c r="L833" s="2" t="s">
        <v>2621</v>
      </c>
    </row>
    <row r="834" spans="1:12">
      <c r="A834" s="2" t="s">
        <v>2034</v>
      </c>
      <c r="B834" s="2" t="s">
        <v>2035</v>
      </c>
      <c r="C834" s="2" t="s">
        <v>3986</v>
      </c>
      <c r="D834" s="2" t="s">
        <v>2033</v>
      </c>
      <c r="E834" s="2" t="s">
        <v>223</v>
      </c>
      <c r="F834" s="2">
        <v>2013</v>
      </c>
      <c r="G834" s="2" t="s">
        <v>224</v>
      </c>
      <c r="H834" s="2" t="s">
        <v>3987</v>
      </c>
      <c r="I834" s="2" t="s">
        <v>237</v>
      </c>
      <c r="J834" s="2" t="s">
        <v>186</v>
      </c>
      <c r="K834" s="2" t="s">
        <v>188</v>
      </c>
    </row>
    <row r="835" spans="1:12">
      <c r="A835" s="2" t="s">
        <v>2034</v>
      </c>
      <c r="B835" s="2" t="s">
        <v>2035</v>
      </c>
      <c r="C835" s="2" t="s">
        <v>3988</v>
      </c>
      <c r="D835" s="2" t="s">
        <v>2033</v>
      </c>
      <c r="E835" s="2" t="s">
        <v>183</v>
      </c>
      <c r="F835" s="2">
        <v>2016</v>
      </c>
      <c r="G835" s="2" t="s">
        <v>224</v>
      </c>
      <c r="H835" s="2" t="s">
        <v>3989</v>
      </c>
      <c r="I835" s="2" t="s">
        <v>237</v>
      </c>
      <c r="J835" s="2" t="s">
        <v>270</v>
      </c>
      <c r="K835" s="2" t="s">
        <v>188</v>
      </c>
    </row>
    <row r="836" spans="1:12">
      <c r="A836" s="2" t="s">
        <v>2555</v>
      </c>
      <c r="B836" s="2" t="s">
        <v>2556</v>
      </c>
      <c r="C836" s="2" t="s">
        <v>3990</v>
      </c>
      <c r="D836" s="2" t="s">
        <v>2554</v>
      </c>
      <c r="E836" s="2" t="s">
        <v>223</v>
      </c>
      <c r="F836" s="2">
        <v>1945</v>
      </c>
      <c r="G836" s="2" t="s">
        <v>224</v>
      </c>
      <c r="H836" s="2" t="s">
        <v>2556</v>
      </c>
      <c r="I836" s="2" t="s">
        <v>185</v>
      </c>
      <c r="J836" s="2" t="s">
        <v>270</v>
      </c>
      <c r="K836" s="2" t="s">
        <v>188</v>
      </c>
    </row>
    <row r="837" spans="1:12">
      <c r="A837" s="2" t="s">
        <v>2555</v>
      </c>
      <c r="B837" s="2" t="s">
        <v>2556</v>
      </c>
      <c r="C837" s="2" t="s">
        <v>3991</v>
      </c>
      <c r="D837" s="2" t="s">
        <v>2554</v>
      </c>
      <c r="E837" s="2" t="s">
        <v>183</v>
      </c>
      <c r="F837" s="2">
        <v>1990</v>
      </c>
      <c r="G837" s="2" t="s">
        <v>224</v>
      </c>
      <c r="H837" s="2" t="s">
        <v>2555</v>
      </c>
      <c r="I837" s="2" t="s">
        <v>237</v>
      </c>
      <c r="J837" s="2" t="s">
        <v>270</v>
      </c>
      <c r="K837" s="2" t="s">
        <v>187</v>
      </c>
      <c r="L837" s="2" t="s">
        <v>2572</v>
      </c>
    </row>
    <row r="838" spans="1:12">
      <c r="A838" s="2" t="s">
        <v>2555</v>
      </c>
      <c r="B838" s="2" t="s">
        <v>2556</v>
      </c>
      <c r="C838" s="2" t="s">
        <v>3992</v>
      </c>
      <c r="D838" s="2" t="s">
        <v>2554</v>
      </c>
      <c r="E838" s="2" t="s">
        <v>223</v>
      </c>
      <c r="F838" s="2">
        <v>1987</v>
      </c>
      <c r="G838" s="2" t="s">
        <v>834</v>
      </c>
      <c r="H838" s="2" t="s">
        <v>3993</v>
      </c>
      <c r="I838" s="2" t="s">
        <v>237</v>
      </c>
      <c r="J838" s="2" t="s">
        <v>270</v>
      </c>
      <c r="K838" s="2" t="s">
        <v>187</v>
      </c>
      <c r="L838" s="2" t="s">
        <v>2758</v>
      </c>
    </row>
    <row r="839" spans="1:12">
      <c r="A839" s="2" t="s">
        <v>2529</v>
      </c>
      <c r="B839" s="2" t="s">
        <v>2529</v>
      </c>
      <c r="C839" s="2" t="s">
        <v>3994</v>
      </c>
      <c r="D839" s="2" t="s">
        <v>2528</v>
      </c>
      <c r="E839" s="2" t="s">
        <v>223</v>
      </c>
      <c r="F839" s="2">
        <v>1987</v>
      </c>
      <c r="G839" s="2" t="s">
        <v>834</v>
      </c>
      <c r="H839" s="2" t="s">
        <v>3995</v>
      </c>
      <c r="I839" s="2" t="s">
        <v>225</v>
      </c>
      <c r="J839" s="2" t="s">
        <v>270</v>
      </c>
      <c r="K839" s="2" t="s">
        <v>187</v>
      </c>
      <c r="L839" s="2" t="s">
        <v>2632</v>
      </c>
    </row>
    <row r="840" spans="1:12">
      <c r="A840" s="2" t="s">
        <v>2529</v>
      </c>
      <c r="B840" s="2" t="s">
        <v>2529</v>
      </c>
      <c r="C840" s="2" t="s">
        <v>3996</v>
      </c>
      <c r="D840" s="2" t="s">
        <v>2528</v>
      </c>
      <c r="E840" s="2" t="s">
        <v>183</v>
      </c>
      <c r="F840" s="2">
        <v>1984</v>
      </c>
      <c r="G840" s="2" t="s">
        <v>834</v>
      </c>
      <c r="H840" s="2" t="s">
        <v>2529</v>
      </c>
      <c r="I840" s="2" t="s">
        <v>185</v>
      </c>
      <c r="J840" s="2" t="s">
        <v>270</v>
      </c>
      <c r="K840" s="2" t="s">
        <v>187</v>
      </c>
      <c r="L840" s="2" t="s">
        <v>2572</v>
      </c>
    </row>
    <row r="841" spans="1:12">
      <c r="A841" s="2" t="s">
        <v>1522</v>
      </c>
      <c r="B841" s="2" t="s">
        <v>1522</v>
      </c>
      <c r="C841" s="2" t="s">
        <v>3997</v>
      </c>
      <c r="D841" s="2" t="s">
        <v>1520</v>
      </c>
      <c r="E841" s="2" t="s">
        <v>223</v>
      </c>
      <c r="F841" s="2">
        <v>1989</v>
      </c>
      <c r="G841" s="2" t="s">
        <v>224</v>
      </c>
      <c r="H841" s="2" t="s">
        <v>3998</v>
      </c>
      <c r="I841" s="2" t="s">
        <v>225</v>
      </c>
      <c r="J841" s="2" t="s">
        <v>226</v>
      </c>
      <c r="K841" s="2" t="s">
        <v>187</v>
      </c>
      <c r="L841" s="2" t="s">
        <v>3999</v>
      </c>
    </row>
    <row r="842" spans="1:12">
      <c r="A842" s="2" t="s">
        <v>1522</v>
      </c>
      <c r="B842" s="2" t="s">
        <v>1522</v>
      </c>
      <c r="C842" s="2" t="s">
        <v>4000</v>
      </c>
      <c r="D842" s="2" t="s">
        <v>1520</v>
      </c>
      <c r="E842" s="2" t="s">
        <v>223</v>
      </c>
      <c r="F842" s="2">
        <v>2012</v>
      </c>
      <c r="G842" s="2" t="s">
        <v>224</v>
      </c>
      <c r="H842" s="2" t="s">
        <v>4001</v>
      </c>
      <c r="I842" s="2" t="s">
        <v>237</v>
      </c>
      <c r="J842" s="2" t="s">
        <v>291</v>
      </c>
      <c r="K842" s="2" t="s">
        <v>188</v>
      </c>
    </row>
    <row r="843" spans="1:12">
      <c r="A843" s="2" t="s">
        <v>1522</v>
      </c>
      <c r="B843" s="2" t="s">
        <v>1522</v>
      </c>
      <c r="C843" s="2" t="s">
        <v>4002</v>
      </c>
      <c r="D843" s="2" t="s">
        <v>1520</v>
      </c>
      <c r="E843" s="2" t="s">
        <v>183</v>
      </c>
      <c r="F843" s="2">
        <v>1980</v>
      </c>
      <c r="G843" s="2" t="s">
        <v>224</v>
      </c>
      <c r="H843" s="2" t="s">
        <v>1522</v>
      </c>
      <c r="I843" s="2" t="s">
        <v>185</v>
      </c>
      <c r="J843" s="2" t="s">
        <v>226</v>
      </c>
      <c r="K843" s="2" t="s">
        <v>187</v>
      </c>
      <c r="L843" s="2" t="s">
        <v>2598</v>
      </c>
    </row>
    <row r="844" spans="1:12">
      <c r="A844" s="2" t="s">
        <v>2456</v>
      </c>
      <c r="B844" s="2" t="s">
        <v>1693</v>
      </c>
      <c r="C844" s="2" t="s">
        <v>4003</v>
      </c>
      <c r="D844" s="2" t="s">
        <v>2455</v>
      </c>
      <c r="E844" s="2" t="s">
        <v>223</v>
      </c>
      <c r="F844" s="2">
        <v>1987</v>
      </c>
      <c r="G844" s="2" t="s">
        <v>224</v>
      </c>
      <c r="H844" s="2" t="s">
        <v>1693</v>
      </c>
      <c r="I844" s="2" t="s">
        <v>185</v>
      </c>
      <c r="J844" s="2" t="s">
        <v>186</v>
      </c>
      <c r="K844" s="2" t="s">
        <v>187</v>
      </c>
      <c r="L844" s="2" t="s">
        <v>2758</v>
      </c>
    </row>
    <row r="845" spans="1:12">
      <c r="A845" s="2" t="s">
        <v>2456</v>
      </c>
      <c r="B845" s="2" t="s">
        <v>1693</v>
      </c>
      <c r="C845" s="2" t="s">
        <v>4004</v>
      </c>
      <c r="D845" s="2" t="s">
        <v>2455</v>
      </c>
      <c r="E845" s="2" t="s">
        <v>183</v>
      </c>
      <c r="F845" s="2">
        <v>1961</v>
      </c>
      <c r="G845" s="2" t="s">
        <v>224</v>
      </c>
      <c r="H845" s="2" t="s">
        <v>2456</v>
      </c>
      <c r="I845" s="2" t="s">
        <v>2457</v>
      </c>
      <c r="J845" s="2" t="s">
        <v>270</v>
      </c>
      <c r="K845" s="2" t="s">
        <v>187</v>
      </c>
      <c r="L845" s="2" t="s">
        <v>2572</v>
      </c>
    </row>
    <row r="846" spans="1:12">
      <c r="A846" s="2" t="s">
        <v>2456</v>
      </c>
      <c r="B846" s="2" t="s">
        <v>1693</v>
      </c>
      <c r="C846" s="2" t="s">
        <v>4005</v>
      </c>
      <c r="D846" s="2" t="s">
        <v>2455</v>
      </c>
      <c r="E846" s="2" t="s">
        <v>223</v>
      </c>
      <c r="F846" s="2">
        <v>1963</v>
      </c>
      <c r="G846" s="2" t="s">
        <v>224</v>
      </c>
      <c r="H846" s="2" t="s">
        <v>4006</v>
      </c>
      <c r="I846" s="2" t="s">
        <v>2457</v>
      </c>
      <c r="J846" s="2" t="s">
        <v>270</v>
      </c>
      <c r="K846" s="2" t="s">
        <v>187</v>
      </c>
      <c r="L846" s="2" t="s">
        <v>2632</v>
      </c>
    </row>
    <row r="847" spans="1:12">
      <c r="A847" s="2" t="s">
        <v>548</v>
      </c>
      <c r="B847" s="2" t="s">
        <v>549</v>
      </c>
      <c r="C847" s="2" t="s">
        <v>4007</v>
      </c>
      <c r="D847" s="2" t="s">
        <v>546</v>
      </c>
      <c r="E847" s="2" t="s">
        <v>183</v>
      </c>
      <c r="F847" s="2">
        <v>1951</v>
      </c>
      <c r="G847" s="2" t="s">
        <v>184</v>
      </c>
      <c r="H847" s="2" t="s">
        <v>4008</v>
      </c>
      <c r="I847" s="2" t="s">
        <v>185</v>
      </c>
      <c r="J847" s="2" t="s">
        <v>270</v>
      </c>
      <c r="K847" s="2" t="s">
        <v>188</v>
      </c>
      <c r="L847" s="2" t="s">
        <v>2572</v>
      </c>
    </row>
    <row r="848" spans="1:12">
      <c r="A848" s="2" t="s">
        <v>548</v>
      </c>
      <c r="B848" s="2" t="s">
        <v>549</v>
      </c>
      <c r="C848" s="2" t="s">
        <v>4009</v>
      </c>
      <c r="D848" s="2" t="s">
        <v>546</v>
      </c>
      <c r="E848" s="2" t="s">
        <v>223</v>
      </c>
      <c r="F848" s="2">
        <v>1986</v>
      </c>
      <c r="G848" s="2" t="s">
        <v>184</v>
      </c>
      <c r="H848" s="2" t="s">
        <v>4010</v>
      </c>
      <c r="I848" s="2" t="s">
        <v>291</v>
      </c>
      <c r="J848" s="2" t="s">
        <v>186</v>
      </c>
      <c r="K848" s="2" t="s">
        <v>187</v>
      </c>
      <c r="L848" s="2" t="s">
        <v>2632</v>
      </c>
    </row>
    <row r="849" spans="1:12">
      <c r="A849" s="2" t="s">
        <v>548</v>
      </c>
      <c r="B849" s="2" t="s">
        <v>549</v>
      </c>
      <c r="C849" s="2" t="s">
        <v>4011</v>
      </c>
      <c r="D849" s="2" t="s">
        <v>546</v>
      </c>
      <c r="E849" s="2" t="s">
        <v>223</v>
      </c>
      <c r="F849" s="2">
        <v>2009</v>
      </c>
      <c r="G849" s="2" t="s">
        <v>184</v>
      </c>
      <c r="H849" s="2" t="s">
        <v>1038</v>
      </c>
      <c r="I849" s="2" t="s">
        <v>291</v>
      </c>
      <c r="J849" s="2" t="s">
        <v>186</v>
      </c>
      <c r="K849" s="2" t="s">
        <v>188</v>
      </c>
    </row>
    <row r="850" spans="1:12">
      <c r="A850" s="2" t="s">
        <v>548</v>
      </c>
      <c r="B850" s="2" t="s">
        <v>549</v>
      </c>
      <c r="C850" s="2" t="s">
        <v>4012</v>
      </c>
      <c r="D850" s="2" t="s">
        <v>546</v>
      </c>
      <c r="E850" s="2" t="s">
        <v>223</v>
      </c>
      <c r="F850" s="2">
        <v>2016</v>
      </c>
      <c r="G850" s="2" t="s">
        <v>184</v>
      </c>
      <c r="H850" s="2" t="s">
        <v>4013</v>
      </c>
      <c r="J850" s="2" t="s">
        <v>291</v>
      </c>
      <c r="K850" s="2" t="s">
        <v>188</v>
      </c>
    </row>
    <row r="851" spans="1:12">
      <c r="A851" s="2" t="s">
        <v>548</v>
      </c>
      <c r="B851" s="2" t="s">
        <v>549</v>
      </c>
      <c r="C851" s="2" t="s">
        <v>4014</v>
      </c>
      <c r="D851" s="2" t="s">
        <v>546</v>
      </c>
      <c r="E851" s="2" t="s">
        <v>183</v>
      </c>
      <c r="F851" s="2">
        <v>2007</v>
      </c>
      <c r="G851" s="2" t="s">
        <v>184</v>
      </c>
      <c r="H851" s="2" t="s">
        <v>4015</v>
      </c>
      <c r="I851" s="2" t="s">
        <v>291</v>
      </c>
      <c r="J851" s="2" t="s">
        <v>186</v>
      </c>
      <c r="K851" s="2" t="s">
        <v>187</v>
      </c>
      <c r="L851" s="2" t="s">
        <v>4016</v>
      </c>
    </row>
    <row r="852" spans="1:12">
      <c r="A852" s="2" t="s">
        <v>548</v>
      </c>
      <c r="B852" s="2" t="s">
        <v>549</v>
      </c>
      <c r="C852" s="2" t="s">
        <v>4017</v>
      </c>
      <c r="D852" s="2" t="s">
        <v>546</v>
      </c>
      <c r="E852" s="2" t="s">
        <v>223</v>
      </c>
      <c r="F852" s="2">
        <v>1951</v>
      </c>
      <c r="G852" s="2" t="s">
        <v>184</v>
      </c>
      <c r="H852" s="2" t="s">
        <v>4018</v>
      </c>
      <c r="I852" s="2" t="s">
        <v>225</v>
      </c>
      <c r="J852" s="2" t="s">
        <v>603</v>
      </c>
      <c r="K852" s="2" t="s">
        <v>188</v>
      </c>
    </row>
    <row r="853" spans="1:12">
      <c r="A853" s="2" t="s">
        <v>2426</v>
      </c>
      <c r="B853" s="2" t="s">
        <v>2428</v>
      </c>
      <c r="C853" s="2" t="s">
        <v>4019</v>
      </c>
      <c r="D853" s="2" t="s">
        <v>2425</v>
      </c>
      <c r="E853" s="2" t="s">
        <v>183</v>
      </c>
      <c r="F853" s="2">
        <v>2014</v>
      </c>
      <c r="G853" s="2" t="s">
        <v>834</v>
      </c>
      <c r="H853" s="2" t="s">
        <v>4020</v>
      </c>
      <c r="I853" s="2" t="s">
        <v>237</v>
      </c>
      <c r="J853" s="2" t="s">
        <v>270</v>
      </c>
      <c r="K853" s="2" t="s">
        <v>188</v>
      </c>
    </row>
    <row r="854" spans="1:12">
      <c r="A854" s="2" t="s">
        <v>2426</v>
      </c>
      <c r="B854" s="2" t="s">
        <v>2428</v>
      </c>
      <c r="C854" s="2" t="s">
        <v>4021</v>
      </c>
      <c r="D854" s="2" t="s">
        <v>2425</v>
      </c>
      <c r="E854" s="2" t="s">
        <v>223</v>
      </c>
      <c r="F854" s="2">
        <v>2012</v>
      </c>
      <c r="G854" s="2" t="s">
        <v>834</v>
      </c>
      <c r="H854" s="2" t="s">
        <v>4022</v>
      </c>
      <c r="I854" s="2" t="s">
        <v>237</v>
      </c>
      <c r="J854" s="2" t="s">
        <v>270</v>
      </c>
      <c r="K854" s="2" t="s">
        <v>188</v>
      </c>
    </row>
    <row r="855" spans="1:12">
      <c r="A855" s="2" t="s">
        <v>2426</v>
      </c>
      <c r="B855" s="2" t="s">
        <v>2428</v>
      </c>
      <c r="C855" s="2" t="s">
        <v>4023</v>
      </c>
      <c r="D855" s="2" t="s">
        <v>2425</v>
      </c>
      <c r="E855" s="2" t="s">
        <v>223</v>
      </c>
      <c r="F855" s="2">
        <v>1991</v>
      </c>
      <c r="G855" s="2" t="s">
        <v>834</v>
      </c>
      <c r="H855" s="2" t="s">
        <v>2426</v>
      </c>
      <c r="I855" s="2" t="s">
        <v>225</v>
      </c>
      <c r="J855" s="2" t="s">
        <v>270</v>
      </c>
      <c r="K855" s="2" t="s">
        <v>187</v>
      </c>
      <c r="L855" s="2" t="s">
        <v>2632</v>
      </c>
    </row>
    <row r="856" spans="1:12">
      <c r="A856" s="2" t="s">
        <v>2426</v>
      </c>
      <c r="B856" s="2" t="s">
        <v>2428</v>
      </c>
      <c r="C856" s="2" t="s">
        <v>4024</v>
      </c>
      <c r="D856" s="2" t="s">
        <v>2425</v>
      </c>
      <c r="E856" s="2" t="s">
        <v>183</v>
      </c>
      <c r="F856" s="2">
        <v>1996</v>
      </c>
      <c r="G856" s="2" t="s">
        <v>834</v>
      </c>
      <c r="H856" s="2" t="s">
        <v>2428</v>
      </c>
      <c r="I856" s="2" t="s">
        <v>185</v>
      </c>
      <c r="J856" s="2" t="s">
        <v>270</v>
      </c>
      <c r="K856" s="2" t="s">
        <v>187</v>
      </c>
      <c r="L856" s="2" t="s">
        <v>2572</v>
      </c>
    </row>
    <row r="857" spans="1:12">
      <c r="A857" s="2" t="s">
        <v>1537</v>
      </c>
      <c r="B857" s="2" t="s">
        <v>1537</v>
      </c>
      <c r="C857" s="2" t="s">
        <v>4025</v>
      </c>
      <c r="D857" s="2" t="s">
        <v>1535</v>
      </c>
      <c r="E857" s="2" t="s">
        <v>183</v>
      </c>
      <c r="F857" s="2">
        <v>1976</v>
      </c>
      <c r="G857" s="2" t="s">
        <v>224</v>
      </c>
      <c r="H857" s="2" t="s">
        <v>1537</v>
      </c>
      <c r="I857" s="2" t="s">
        <v>185</v>
      </c>
      <c r="J857" s="2" t="s">
        <v>226</v>
      </c>
      <c r="K857" s="2" t="s">
        <v>187</v>
      </c>
      <c r="L857" s="2" t="s">
        <v>2598</v>
      </c>
    </row>
    <row r="858" spans="1:12">
      <c r="A858" s="2" t="s">
        <v>1537</v>
      </c>
      <c r="B858" s="2" t="s">
        <v>1537</v>
      </c>
      <c r="C858" s="2" t="s">
        <v>4026</v>
      </c>
      <c r="D858" s="2" t="s">
        <v>1535</v>
      </c>
      <c r="E858" s="2" t="s">
        <v>223</v>
      </c>
      <c r="F858" s="2">
        <v>1982</v>
      </c>
      <c r="G858" s="2" t="s">
        <v>224</v>
      </c>
      <c r="H858" s="2" t="s">
        <v>4027</v>
      </c>
      <c r="I858" s="2" t="s">
        <v>225</v>
      </c>
      <c r="J858" s="2" t="s">
        <v>226</v>
      </c>
      <c r="K858" s="2" t="s">
        <v>187</v>
      </c>
      <c r="L858" s="2" t="s">
        <v>3258</v>
      </c>
    </row>
    <row r="859" spans="1:12">
      <c r="A859" s="2" t="s">
        <v>2392</v>
      </c>
      <c r="B859" s="2" t="s">
        <v>2393</v>
      </c>
      <c r="C859" s="2" t="s">
        <v>4028</v>
      </c>
      <c r="D859" s="2" t="s">
        <v>2391</v>
      </c>
      <c r="E859" s="2" t="s">
        <v>183</v>
      </c>
      <c r="F859" s="2">
        <v>1987</v>
      </c>
      <c r="G859" s="2" t="s">
        <v>834</v>
      </c>
      <c r="H859" s="2" t="s">
        <v>2393</v>
      </c>
      <c r="I859" s="2" t="s">
        <v>185</v>
      </c>
      <c r="J859" s="2" t="s">
        <v>270</v>
      </c>
      <c r="K859" s="2" t="s">
        <v>187</v>
      </c>
      <c r="L859" s="2" t="s">
        <v>3658</v>
      </c>
    </row>
    <row r="860" spans="1:12">
      <c r="A860" s="2" t="s">
        <v>2392</v>
      </c>
      <c r="B860" s="2" t="s">
        <v>2393</v>
      </c>
      <c r="C860" s="2" t="s">
        <v>4029</v>
      </c>
      <c r="D860" s="2" t="s">
        <v>2391</v>
      </c>
      <c r="E860" s="2" t="s">
        <v>223</v>
      </c>
      <c r="F860" s="2">
        <v>2006</v>
      </c>
      <c r="G860" s="2" t="s">
        <v>834</v>
      </c>
      <c r="H860" s="2" t="s">
        <v>2392</v>
      </c>
      <c r="I860" s="2" t="s">
        <v>237</v>
      </c>
      <c r="J860" s="2" t="s">
        <v>186</v>
      </c>
      <c r="K860" s="2" t="s">
        <v>187</v>
      </c>
      <c r="L860" s="2" t="s">
        <v>2632</v>
      </c>
    </row>
    <row r="861" spans="1:12">
      <c r="A861" s="2" t="s">
        <v>2392</v>
      </c>
      <c r="B861" s="2" t="s">
        <v>2393</v>
      </c>
      <c r="C861" s="2" t="s">
        <v>4030</v>
      </c>
      <c r="D861" s="2" t="s">
        <v>2391</v>
      </c>
      <c r="E861" s="2" t="s">
        <v>183</v>
      </c>
      <c r="F861" s="2">
        <v>1999</v>
      </c>
      <c r="G861" s="2" t="s">
        <v>834</v>
      </c>
      <c r="H861" s="2" t="s">
        <v>4031</v>
      </c>
      <c r="I861" s="2" t="s">
        <v>237</v>
      </c>
      <c r="J861" s="2" t="s">
        <v>186</v>
      </c>
      <c r="K861" s="2" t="s">
        <v>187</v>
      </c>
      <c r="L861" s="2" t="s">
        <v>2572</v>
      </c>
    </row>
    <row r="862" spans="1:12">
      <c r="A862" s="2" t="s">
        <v>2392</v>
      </c>
      <c r="B862" s="2" t="s">
        <v>2393</v>
      </c>
      <c r="C862" s="2" t="s">
        <v>4032</v>
      </c>
      <c r="D862" s="2" t="s">
        <v>2391</v>
      </c>
      <c r="E862" s="2" t="s">
        <v>223</v>
      </c>
      <c r="F862" s="2">
        <v>2023</v>
      </c>
      <c r="G862" s="2" t="s">
        <v>834</v>
      </c>
      <c r="H862" s="2" t="s">
        <v>4033</v>
      </c>
      <c r="I862" s="2" t="s">
        <v>291</v>
      </c>
      <c r="J862" s="2" t="s">
        <v>603</v>
      </c>
      <c r="K862" s="2" t="s">
        <v>188</v>
      </c>
    </row>
    <row r="863" spans="1:12">
      <c r="A863" s="2" t="s">
        <v>1553</v>
      </c>
      <c r="B863" s="2" t="s">
        <v>1553</v>
      </c>
      <c r="C863" s="2" t="s">
        <v>4034</v>
      </c>
      <c r="D863" s="2" t="s">
        <v>1552</v>
      </c>
      <c r="E863" s="2" t="s">
        <v>223</v>
      </c>
      <c r="F863" s="2">
        <v>1969</v>
      </c>
      <c r="G863" s="2" t="s">
        <v>224</v>
      </c>
      <c r="H863" s="2" t="s">
        <v>3058</v>
      </c>
      <c r="I863" s="2" t="s">
        <v>225</v>
      </c>
      <c r="J863" s="2" t="s">
        <v>186</v>
      </c>
      <c r="K863" s="2" t="s">
        <v>187</v>
      </c>
      <c r="L863" s="2" t="s">
        <v>4035</v>
      </c>
    </row>
    <row r="864" spans="1:12">
      <c r="A864" s="2" t="s">
        <v>1553</v>
      </c>
      <c r="B864" s="2" t="s">
        <v>1553</v>
      </c>
      <c r="C864" s="2" t="s">
        <v>4036</v>
      </c>
      <c r="D864" s="2" t="s">
        <v>1552</v>
      </c>
      <c r="E864" s="2" t="s">
        <v>183</v>
      </c>
      <c r="F864" s="2">
        <v>1966</v>
      </c>
      <c r="G864" s="2" t="s">
        <v>224</v>
      </c>
      <c r="H864" s="2" t="s">
        <v>1553</v>
      </c>
      <c r="I864" s="2" t="s">
        <v>185</v>
      </c>
      <c r="J864" s="2" t="s">
        <v>186</v>
      </c>
      <c r="K864" s="2" t="s">
        <v>187</v>
      </c>
      <c r="L864" s="2" t="s">
        <v>2576</v>
      </c>
    </row>
    <row r="865" spans="1:12">
      <c r="A865" s="2" t="s">
        <v>2386</v>
      </c>
      <c r="B865" s="2" t="s">
        <v>2387</v>
      </c>
      <c r="C865" s="2" t="s">
        <v>4037</v>
      </c>
      <c r="D865" s="2" t="s">
        <v>2385</v>
      </c>
      <c r="E865" s="2" t="s">
        <v>183</v>
      </c>
      <c r="F865" s="2">
        <v>1982</v>
      </c>
      <c r="G865" s="2" t="s">
        <v>834</v>
      </c>
      <c r="H865" s="2" t="s">
        <v>2387</v>
      </c>
      <c r="I865" s="2" t="s">
        <v>185</v>
      </c>
      <c r="J865" s="2" t="s">
        <v>270</v>
      </c>
      <c r="K865" s="2" t="s">
        <v>187</v>
      </c>
      <c r="L865" s="2" t="s">
        <v>2632</v>
      </c>
    </row>
    <row r="866" spans="1:12">
      <c r="A866" s="2" t="s">
        <v>2386</v>
      </c>
      <c r="B866" s="2" t="s">
        <v>2387</v>
      </c>
      <c r="C866" s="2" t="s">
        <v>4038</v>
      </c>
      <c r="D866" s="2" t="s">
        <v>2385</v>
      </c>
      <c r="E866" s="2" t="s">
        <v>223</v>
      </c>
      <c r="F866" s="2">
        <v>2004</v>
      </c>
      <c r="G866" s="2" t="s">
        <v>834</v>
      </c>
      <c r="H866" s="2" t="s">
        <v>2386</v>
      </c>
      <c r="I866" s="2" t="s">
        <v>237</v>
      </c>
      <c r="J866" s="2" t="s">
        <v>186</v>
      </c>
      <c r="K866" s="2" t="s">
        <v>187</v>
      </c>
      <c r="L866" s="2" t="s">
        <v>3251</v>
      </c>
    </row>
    <row r="867" spans="1:12">
      <c r="A867" s="2" t="s">
        <v>2386</v>
      </c>
      <c r="B867" s="2" t="s">
        <v>2387</v>
      </c>
      <c r="C867" s="2" t="s">
        <v>4039</v>
      </c>
      <c r="D867" s="2" t="s">
        <v>2385</v>
      </c>
      <c r="E867" s="2" t="s">
        <v>183</v>
      </c>
      <c r="F867" s="2">
        <v>2020</v>
      </c>
      <c r="G867" s="2" t="s">
        <v>834</v>
      </c>
      <c r="H867" s="2" t="s">
        <v>4040</v>
      </c>
      <c r="I867" s="2" t="s">
        <v>291</v>
      </c>
      <c r="J867" s="2" t="s">
        <v>270</v>
      </c>
      <c r="K867" s="2" t="s">
        <v>188</v>
      </c>
    </row>
    <row r="868" spans="1:12">
      <c r="A868" s="2" t="s">
        <v>1622</v>
      </c>
      <c r="B868" s="2" t="s">
        <v>1623</v>
      </c>
      <c r="C868" s="2" t="s">
        <v>4041</v>
      </c>
      <c r="D868" s="2" t="s">
        <v>1620</v>
      </c>
      <c r="E868" s="2" t="s">
        <v>223</v>
      </c>
      <c r="F868" s="2">
        <v>1970</v>
      </c>
      <c r="G868" s="2" t="s">
        <v>184</v>
      </c>
      <c r="H868" s="2" t="s">
        <v>1622</v>
      </c>
      <c r="I868" s="2" t="s">
        <v>225</v>
      </c>
      <c r="J868" s="2" t="s">
        <v>603</v>
      </c>
      <c r="K868" s="2" t="s">
        <v>187</v>
      </c>
      <c r="L868" s="2" t="s">
        <v>2572</v>
      </c>
    </row>
    <row r="869" spans="1:12">
      <c r="A869" s="2" t="s">
        <v>1622</v>
      </c>
      <c r="B869" s="2" t="s">
        <v>1623</v>
      </c>
      <c r="C869" s="2" t="s">
        <v>4042</v>
      </c>
      <c r="D869" s="2" t="s">
        <v>1620</v>
      </c>
      <c r="E869" s="2" t="s">
        <v>183</v>
      </c>
      <c r="F869" s="2">
        <v>1970</v>
      </c>
      <c r="G869" s="2" t="s">
        <v>184</v>
      </c>
      <c r="H869" s="2" t="s">
        <v>4043</v>
      </c>
      <c r="I869" s="2" t="s">
        <v>185</v>
      </c>
      <c r="J869" s="2" t="s">
        <v>270</v>
      </c>
      <c r="K869" s="2" t="s">
        <v>187</v>
      </c>
      <c r="L869" s="2" t="s">
        <v>2572</v>
      </c>
    </row>
    <row r="870" spans="1:12">
      <c r="A870" s="2" t="s">
        <v>2355</v>
      </c>
      <c r="B870" s="2" t="s">
        <v>2355</v>
      </c>
      <c r="C870" s="2" t="s">
        <v>4044</v>
      </c>
      <c r="D870" s="2" t="s">
        <v>2354</v>
      </c>
      <c r="E870" s="2" t="s">
        <v>223</v>
      </c>
      <c r="F870" s="2">
        <v>2009</v>
      </c>
      <c r="G870" s="2" t="s">
        <v>834</v>
      </c>
      <c r="H870" s="2" t="s">
        <v>4045</v>
      </c>
      <c r="I870" s="2" t="s">
        <v>237</v>
      </c>
      <c r="J870" s="2" t="s">
        <v>186</v>
      </c>
      <c r="K870" s="2" t="s">
        <v>188</v>
      </c>
    </row>
    <row r="871" spans="1:12">
      <c r="A871" s="2" t="s">
        <v>2355</v>
      </c>
      <c r="B871" s="2" t="s">
        <v>2355</v>
      </c>
      <c r="C871" s="2" t="s">
        <v>4046</v>
      </c>
      <c r="D871" s="2" t="s">
        <v>2354</v>
      </c>
      <c r="E871" s="2" t="s">
        <v>183</v>
      </c>
      <c r="F871" s="2">
        <v>2000</v>
      </c>
      <c r="G871" s="2" t="s">
        <v>834</v>
      </c>
      <c r="H871" s="2" t="s">
        <v>4047</v>
      </c>
      <c r="I871" s="2" t="s">
        <v>237</v>
      </c>
      <c r="J871" s="2" t="s">
        <v>270</v>
      </c>
      <c r="K871" s="2" t="s">
        <v>187</v>
      </c>
      <c r="L871" s="2" t="s">
        <v>2572</v>
      </c>
    </row>
    <row r="872" spans="1:12">
      <c r="A872" s="2" t="s">
        <v>2355</v>
      </c>
      <c r="B872" s="2" t="s">
        <v>2355</v>
      </c>
      <c r="C872" s="2" t="s">
        <v>4048</v>
      </c>
      <c r="D872" s="2" t="s">
        <v>2354</v>
      </c>
      <c r="E872" s="2" t="s">
        <v>223</v>
      </c>
      <c r="F872" s="2">
        <v>1979</v>
      </c>
      <c r="G872" s="2" t="s">
        <v>834</v>
      </c>
      <c r="H872" s="2" t="s">
        <v>2355</v>
      </c>
      <c r="I872" s="2" t="s">
        <v>185</v>
      </c>
      <c r="J872" s="2" t="s">
        <v>270</v>
      </c>
      <c r="K872" s="2" t="s">
        <v>187</v>
      </c>
      <c r="L872" s="2" t="s">
        <v>2572</v>
      </c>
    </row>
    <row r="873" spans="1:12">
      <c r="A873" s="2" t="s">
        <v>2355</v>
      </c>
      <c r="B873" s="2" t="s">
        <v>2355</v>
      </c>
      <c r="C873" s="2" t="s">
        <v>4049</v>
      </c>
      <c r="D873" s="2" t="s">
        <v>2354</v>
      </c>
      <c r="E873" s="2" t="s">
        <v>223</v>
      </c>
      <c r="F873" s="2">
        <v>2002</v>
      </c>
      <c r="G873" s="2" t="s">
        <v>834</v>
      </c>
      <c r="H873" s="2" t="s">
        <v>4050</v>
      </c>
      <c r="I873" s="2" t="s">
        <v>237</v>
      </c>
      <c r="J873" s="2" t="s">
        <v>270</v>
      </c>
      <c r="K873" s="2" t="s">
        <v>188</v>
      </c>
    </row>
    <row r="874" spans="1:12">
      <c r="A874" s="2" t="s">
        <v>2355</v>
      </c>
      <c r="B874" s="2" t="s">
        <v>2355</v>
      </c>
      <c r="C874" s="2" t="s">
        <v>4051</v>
      </c>
      <c r="D874" s="2" t="s">
        <v>2354</v>
      </c>
      <c r="E874" s="2" t="s">
        <v>183</v>
      </c>
      <c r="F874" s="2">
        <v>1979</v>
      </c>
      <c r="G874" s="2" t="s">
        <v>834</v>
      </c>
      <c r="H874" s="2" t="s">
        <v>4052</v>
      </c>
      <c r="I874" s="2" t="s">
        <v>225</v>
      </c>
      <c r="J874" s="2" t="s">
        <v>603</v>
      </c>
      <c r="K874" s="2" t="s">
        <v>188</v>
      </c>
    </row>
    <row r="875" spans="1:12">
      <c r="A875" s="2" t="s">
        <v>2323</v>
      </c>
      <c r="B875" s="2" t="s">
        <v>2324</v>
      </c>
      <c r="C875" s="2" t="s">
        <v>4053</v>
      </c>
      <c r="D875" s="2" t="s">
        <v>2322</v>
      </c>
      <c r="E875" s="2" t="s">
        <v>183</v>
      </c>
      <c r="F875" s="2">
        <v>1996</v>
      </c>
      <c r="G875" s="2" t="s">
        <v>834</v>
      </c>
      <c r="H875" s="2" t="s">
        <v>2323</v>
      </c>
      <c r="I875" s="2" t="s">
        <v>237</v>
      </c>
      <c r="J875" s="2" t="s">
        <v>226</v>
      </c>
      <c r="K875" s="2" t="s">
        <v>187</v>
      </c>
      <c r="L875" s="2" t="s">
        <v>2572</v>
      </c>
    </row>
    <row r="876" spans="1:12">
      <c r="A876" s="2" t="s">
        <v>2323</v>
      </c>
      <c r="B876" s="2" t="s">
        <v>2324</v>
      </c>
      <c r="C876" s="2" t="s">
        <v>4054</v>
      </c>
      <c r="D876" s="2" t="s">
        <v>2322</v>
      </c>
      <c r="E876" s="2" t="s">
        <v>223</v>
      </c>
      <c r="F876" s="2">
        <v>2002</v>
      </c>
      <c r="G876" s="2" t="s">
        <v>834</v>
      </c>
      <c r="H876" s="2" t="s">
        <v>4055</v>
      </c>
      <c r="I876" s="2" t="s">
        <v>237</v>
      </c>
      <c r="J876" s="2" t="s">
        <v>186</v>
      </c>
      <c r="K876" s="2" t="s">
        <v>187</v>
      </c>
      <c r="L876" s="2" t="s">
        <v>2632</v>
      </c>
    </row>
    <row r="877" spans="1:12">
      <c r="A877" s="2" t="s">
        <v>2323</v>
      </c>
      <c r="B877" s="2" t="s">
        <v>2324</v>
      </c>
      <c r="C877" s="2" t="s">
        <v>4056</v>
      </c>
      <c r="D877" s="2" t="s">
        <v>2322</v>
      </c>
      <c r="E877" s="2" t="s">
        <v>183</v>
      </c>
      <c r="F877" s="2">
        <v>1980</v>
      </c>
      <c r="G877" s="2" t="s">
        <v>834</v>
      </c>
      <c r="H877" s="2" t="s">
        <v>2324</v>
      </c>
      <c r="I877" s="2" t="s">
        <v>185</v>
      </c>
      <c r="J877" s="2" t="s">
        <v>270</v>
      </c>
      <c r="K877" s="2" t="s">
        <v>187</v>
      </c>
      <c r="L877" s="2" t="s">
        <v>2572</v>
      </c>
    </row>
    <row r="878" spans="1:12">
      <c r="A878" s="2" t="s">
        <v>2323</v>
      </c>
      <c r="B878" s="2" t="s">
        <v>2324</v>
      </c>
      <c r="C878" s="2" t="s">
        <v>4057</v>
      </c>
      <c r="D878" s="2" t="s">
        <v>2322</v>
      </c>
      <c r="E878" s="2" t="s">
        <v>183</v>
      </c>
      <c r="F878" s="2">
        <v>2022</v>
      </c>
      <c r="G878" s="2" t="s">
        <v>834</v>
      </c>
      <c r="H878" s="2" t="s">
        <v>4058</v>
      </c>
      <c r="I878" s="2" t="s">
        <v>291</v>
      </c>
      <c r="J878" s="2" t="s">
        <v>603</v>
      </c>
      <c r="K878" s="2" t="s">
        <v>188</v>
      </c>
    </row>
    <row r="879" spans="1:12">
      <c r="A879" s="2" t="s">
        <v>2320</v>
      </c>
      <c r="B879" s="2" t="s">
        <v>2321</v>
      </c>
      <c r="C879" s="2" t="s">
        <v>4059</v>
      </c>
      <c r="D879" s="2" t="s">
        <v>2319</v>
      </c>
      <c r="E879" s="2" t="s">
        <v>183</v>
      </c>
      <c r="F879" s="2">
        <v>1993</v>
      </c>
      <c r="G879" s="2" t="s">
        <v>834</v>
      </c>
      <c r="H879" s="2" t="s">
        <v>4060</v>
      </c>
      <c r="I879" s="2" t="s">
        <v>185</v>
      </c>
      <c r="J879" s="2" t="s">
        <v>270</v>
      </c>
      <c r="K879" s="2" t="s">
        <v>187</v>
      </c>
      <c r="L879" s="2" t="s">
        <v>2572</v>
      </c>
    </row>
    <row r="880" spans="1:12">
      <c r="A880" s="2" t="s">
        <v>2320</v>
      </c>
      <c r="B880" s="2" t="s">
        <v>2321</v>
      </c>
      <c r="C880" s="2" t="s">
        <v>4061</v>
      </c>
      <c r="D880" s="2" t="s">
        <v>2319</v>
      </c>
      <c r="E880" s="2" t="s">
        <v>223</v>
      </c>
      <c r="F880" s="2">
        <v>2011</v>
      </c>
      <c r="G880" s="2" t="s">
        <v>834</v>
      </c>
      <c r="H880" s="2" t="s">
        <v>4062</v>
      </c>
      <c r="I880" s="2" t="s">
        <v>237</v>
      </c>
      <c r="J880" s="2" t="s">
        <v>270</v>
      </c>
      <c r="K880" s="2" t="s">
        <v>188</v>
      </c>
    </row>
    <row r="881" spans="1:12">
      <c r="A881" s="2" t="s">
        <v>2320</v>
      </c>
      <c r="B881" s="2" t="s">
        <v>2321</v>
      </c>
      <c r="C881" s="2" t="s">
        <v>4063</v>
      </c>
      <c r="D881" s="2" t="s">
        <v>2319</v>
      </c>
      <c r="E881" s="2" t="s">
        <v>223</v>
      </c>
      <c r="F881" s="2">
        <v>1990</v>
      </c>
      <c r="G881" s="2" t="s">
        <v>834</v>
      </c>
      <c r="H881" s="2" t="s">
        <v>4064</v>
      </c>
      <c r="I881" s="2" t="s">
        <v>225</v>
      </c>
      <c r="J881" s="2" t="s">
        <v>186</v>
      </c>
      <c r="K881" s="2" t="s">
        <v>187</v>
      </c>
      <c r="L881" s="2" t="s">
        <v>2621</v>
      </c>
    </row>
    <row r="882" spans="1:12">
      <c r="A882" s="2" t="s">
        <v>2320</v>
      </c>
      <c r="B882" s="2" t="s">
        <v>2321</v>
      </c>
      <c r="C882" s="2" t="s">
        <v>4065</v>
      </c>
      <c r="D882" s="2" t="s">
        <v>2319</v>
      </c>
      <c r="E882" s="2" t="s">
        <v>223</v>
      </c>
      <c r="F882" s="2">
        <v>2020</v>
      </c>
      <c r="G882" s="2" t="s">
        <v>834</v>
      </c>
      <c r="H882" s="2" t="s">
        <v>4066</v>
      </c>
      <c r="I882" s="2" t="s">
        <v>237</v>
      </c>
      <c r="J882" s="2" t="s">
        <v>603</v>
      </c>
      <c r="K882" s="2" t="s">
        <v>188</v>
      </c>
    </row>
    <row r="883" spans="1:12">
      <c r="A883" s="2" t="s">
        <v>2320</v>
      </c>
      <c r="B883" s="2" t="s">
        <v>2321</v>
      </c>
      <c r="C883" s="2" t="s">
        <v>4067</v>
      </c>
      <c r="D883" s="2" t="s">
        <v>2319</v>
      </c>
      <c r="E883" s="2" t="s">
        <v>223</v>
      </c>
      <c r="F883" s="2">
        <v>2017</v>
      </c>
      <c r="G883" s="2" t="s">
        <v>834</v>
      </c>
      <c r="H883" s="2" t="s">
        <v>4068</v>
      </c>
      <c r="I883" s="2" t="s">
        <v>237</v>
      </c>
      <c r="J883" s="2" t="s">
        <v>270</v>
      </c>
      <c r="K883" s="2" t="s">
        <v>188</v>
      </c>
    </row>
    <row r="884" spans="1:12">
      <c r="A884" s="2" t="s">
        <v>2295</v>
      </c>
      <c r="B884" s="2" t="s">
        <v>2295</v>
      </c>
      <c r="C884" s="2" t="s">
        <v>4069</v>
      </c>
      <c r="D884" s="2" t="s">
        <v>2293</v>
      </c>
      <c r="E884" s="2" t="s">
        <v>183</v>
      </c>
      <c r="F884" s="2">
        <v>1978</v>
      </c>
      <c r="G884" s="2" t="s">
        <v>834</v>
      </c>
      <c r="H884" s="2" t="s">
        <v>2295</v>
      </c>
      <c r="I884" s="2" t="s">
        <v>185</v>
      </c>
      <c r="J884" s="2" t="s">
        <v>186</v>
      </c>
      <c r="K884" s="2" t="s">
        <v>187</v>
      </c>
      <c r="L884" s="2" t="s">
        <v>2598</v>
      </c>
    </row>
    <row r="885" spans="1:12">
      <c r="A885" s="2" t="s">
        <v>2295</v>
      </c>
      <c r="B885" s="2" t="s">
        <v>2295</v>
      </c>
      <c r="C885" s="2" t="s">
        <v>4070</v>
      </c>
      <c r="D885" s="2" t="s">
        <v>2293</v>
      </c>
      <c r="E885" s="2" t="s">
        <v>223</v>
      </c>
      <c r="F885" s="2">
        <v>1984</v>
      </c>
      <c r="G885" s="2" t="s">
        <v>834</v>
      </c>
      <c r="H885" s="2" t="s">
        <v>4071</v>
      </c>
      <c r="I885" s="2" t="s">
        <v>225</v>
      </c>
      <c r="J885" s="2" t="s">
        <v>270</v>
      </c>
      <c r="K885" s="2" t="s">
        <v>187</v>
      </c>
      <c r="L885" s="2" t="s">
        <v>2632</v>
      </c>
    </row>
    <row r="886" spans="1:12">
      <c r="A886" s="2" t="s">
        <v>566</v>
      </c>
      <c r="B886" s="2" t="s">
        <v>566</v>
      </c>
      <c r="C886" s="2" t="s">
        <v>4072</v>
      </c>
      <c r="D886" s="2" t="s">
        <v>563</v>
      </c>
      <c r="E886" s="2" t="s">
        <v>223</v>
      </c>
      <c r="F886" s="2">
        <v>1963</v>
      </c>
      <c r="G886" s="2" t="s">
        <v>184</v>
      </c>
      <c r="H886" s="2" t="s">
        <v>4073</v>
      </c>
      <c r="I886" s="2" t="s">
        <v>225</v>
      </c>
      <c r="J886" s="2" t="s">
        <v>270</v>
      </c>
      <c r="K886" s="2" t="s">
        <v>188</v>
      </c>
    </row>
    <row r="887" spans="1:12">
      <c r="A887" s="2" t="s">
        <v>566</v>
      </c>
      <c r="B887" s="2" t="s">
        <v>566</v>
      </c>
      <c r="C887" s="2" t="s">
        <v>4074</v>
      </c>
      <c r="D887" s="2" t="s">
        <v>563</v>
      </c>
      <c r="E887" s="2" t="s">
        <v>183</v>
      </c>
      <c r="F887" s="2">
        <v>1989</v>
      </c>
      <c r="G887" s="2" t="s">
        <v>184</v>
      </c>
      <c r="H887" s="2" t="s">
        <v>4075</v>
      </c>
      <c r="I887" s="2" t="s">
        <v>237</v>
      </c>
      <c r="J887" s="2" t="s">
        <v>186</v>
      </c>
      <c r="K887" s="2" t="s">
        <v>187</v>
      </c>
      <c r="L887" s="2" t="s">
        <v>2572</v>
      </c>
    </row>
    <row r="888" spans="1:12">
      <c r="A888" s="2" t="s">
        <v>575</v>
      </c>
      <c r="B888" s="2" t="s">
        <v>576</v>
      </c>
      <c r="C888" s="2" t="s">
        <v>4076</v>
      </c>
      <c r="D888" s="2" t="s">
        <v>573</v>
      </c>
      <c r="E888" s="2" t="s">
        <v>183</v>
      </c>
      <c r="F888" s="2">
        <v>2012</v>
      </c>
      <c r="G888" s="2" t="s">
        <v>184</v>
      </c>
      <c r="H888" s="2" t="s">
        <v>4077</v>
      </c>
      <c r="I888" s="2" t="s">
        <v>237</v>
      </c>
      <c r="J888" s="2" t="s">
        <v>291</v>
      </c>
      <c r="K888" s="2" t="s">
        <v>188</v>
      </c>
    </row>
    <row r="889" spans="1:12">
      <c r="A889" s="2" t="s">
        <v>575</v>
      </c>
      <c r="B889" s="2" t="s">
        <v>576</v>
      </c>
      <c r="C889" s="2" t="s">
        <v>4078</v>
      </c>
      <c r="D889" s="2" t="s">
        <v>573</v>
      </c>
      <c r="E889" s="2" t="s">
        <v>183</v>
      </c>
      <c r="F889" s="2">
        <v>1975</v>
      </c>
      <c r="G889" s="2" t="s">
        <v>184</v>
      </c>
      <c r="H889" s="2" t="s">
        <v>4079</v>
      </c>
      <c r="I889" s="2" t="s">
        <v>185</v>
      </c>
      <c r="J889" s="2" t="s">
        <v>270</v>
      </c>
      <c r="K889" s="2" t="s">
        <v>187</v>
      </c>
      <c r="L889" s="2" t="s">
        <v>2598</v>
      </c>
    </row>
    <row r="890" spans="1:12">
      <c r="A890" s="2" t="s">
        <v>601</v>
      </c>
      <c r="B890" s="2" t="s">
        <v>602</v>
      </c>
      <c r="C890" s="2" t="s">
        <v>4080</v>
      </c>
      <c r="D890" s="2" t="s">
        <v>599</v>
      </c>
      <c r="E890" s="2" t="s">
        <v>183</v>
      </c>
      <c r="F890" s="2">
        <v>1997</v>
      </c>
      <c r="G890" s="2" t="s">
        <v>184</v>
      </c>
      <c r="H890" s="2" t="s">
        <v>4081</v>
      </c>
      <c r="I890" s="2" t="s">
        <v>237</v>
      </c>
      <c r="J890" s="2" t="s">
        <v>186</v>
      </c>
      <c r="K890" s="2" t="s">
        <v>187</v>
      </c>
      <c r="L890" s="2" t="s">
        <v>2598</v>
      </c>
    </row>
    <row r="891" spans="1:12">
      <c r="A891" s="2" t="s">
        <v>601</v>
      </c>
      <c r="B891" s="2" t="s">
        <v>602</v>
      </c>
      <c r="C891" s="2" t="s">
        <v>4082</v>
      </c>
      <c r="D891" s="2" t="s">
        <v>599</v>
      </c>
      <c r="E891" s="2" t="s">
        <v>223</v>
      </c>
      <c r="F891" s="2">
        <v>1997</v>
      </c>
      <c r="G891" s="2" t="s">
        <v>184</v>
      </c>
      <c r="H891" s="2" t="s">
        <v>4083</v>
      </c>
      <c r="I891" s="2" t="s">
        <v>291</v>
      </c>
      <c r="J891" s="2" t="s">
        <v>186</v>
      </c>
      <c r="K891" s="2" t="s">
        <v>187</v>
      </c>
      <c r="L891" s="2" t="s">
        <v>4084</v>
      </c>
    </row>
    <row r="892" spans="1:12">
      <c r="A892" s="2" t="s">
        <v>386</v>
      </c>
      <c r="B892" s="2" t="s">
        <v>610</v>
      </c>
      <c r="C892" s="2" t="s">
        <v>4085</v>
      </c>
      <c r="D892" s="2" t="s">
        <v>608</v>
      </c>
      <c r="E892" s="2" t="s">
        <v>183</v>
      </c>
      <c r="F892" s="2">
        <v>1988</v>
      </c>
      <c r="G892" s="2" t="s">
        <v>184</v>
      </c>
      <c r="H892" s="2" t="s">
        <v>4086</v>
      </c>
      <c r="I892" s="2" t="s">
        <v>185</v>
      </c>
      <c r="J892" s="2" t="s">
        <v>186</v>
      </c>
      <c r="K892" s="2" t="s">
        <v>187</v>
      </c>
      <c r="L892" s="2" t="s">
        <v>2598</v>
      </c>
    </row>
    <row r="893" spans="1:12">
      <c r="A893" s="2" t="s">
        <v>386</v>
      </c>
      <c r="B893" s="2" t="s">
        <v>610</v>
      </c>
      <c r="C893" s="2" t="s">
        <v>4087</v>
      </c>
      <c r="D893" s="2" t="s">
        <v>608</v>
      </c>
      <c r="E893" s="2" t="s">
        <v>183</v>
      </c>
      <c r="F893" s="2">
        <v>2017</v>
      </c>
      <c r="G893" s="2" t="s">
        <v>184</v>
      </c>
      <c r="H893" s="2" t="s">
        <v>4088</v>
      </c>
      <c r="I893" s="2" t="s">
        <v>237</v>
      </c>
      <c r="J893" s="2" t="s">
        <v>291</v>
      </c>
      <c r="K893" s="2" t="s">
        <v>188</v>
      </c>
    </row>
    <row r="894" spans="1:12">
      <c r="A894" s="2" t="s">
        <v>702</v>
      </c>
      <c r="B894" s="2" t="s">
        <v>703</v>
      </c>
      <c r="C894" s="2" t="s">
        <v>4089</v>
      </c>
      <c r="D894" s="2" t="s">
        <v>699</v>
      </c>
      <c r="E894" s="2" t="s">
        <v>183</v>
      </c>
      <c r="F894" s="2">
        <v>2017</v>
      </c>
      <c r="G894" s="2" t="s">
        <v>184</v>
      </c>
      <c r="H894" s="2" t="s">
        <v>4090</v>
      </c>
      <c r="I894" s="2" t="s">
        <v>291</v>
      </c>
      <c r="J894" s="2" t="s">
        <v>291</v>
      </c>
      <c r="K894" s="2" t="s">
        <v>188</v>
      </c>
    </row>
    <row r="895" spans="1:12">
      <c r="A895" s="2" t="s">
        <v>702</v>
      </c>
      <c r="B895" s="2" t="s">
        <v>703</v>
      </c>
      <c r="C895" s="2" t="s">
        <v>4091</v>
      </c>
      <c r="D895" s="2" t="s">
        <v>699</v>
      </c>
      <c r="E895" s="2" t="s">
        <v>223</v>
      </c>
      <c r="F895" s="2">
        <v>2000</v>
      </c>
      <c r="G895" s="2" t="s">
        <v>184</v>
      </c>
      <c r="H895" s="2" t="s">
        <v>4092</v>
      </c>
      <c r="I895" s="2" t="s">
        <v>291</v>
      </c>
      <c r="J895" s="2" t="s">
        <v>186</v>
      </c>
      <c r="K895" s="2" t="s">
        <v>187</v>
      </c>
      <c r="L895" s="2" t="s">
        <v>3069</v>
      </c>
    </row>
    <row r="896" spans="1:12">
      <c r="A896" s="2" t="s">
        <v>702</v>
      </c>
      <c r="B896" s="2" t="s">
        <v>703</v>
      </c>
      <c r="C896" s="2" t="s">
        <v>4093</v>
      </c>
      <c r="D896" s="2" t="s">
        <v>699</v>
      </c>
      <c r="E896" s="2" t="s">
        <v>223</v>
      </c>
      <c r="F896" s="2">
        <v>1972</v>
      </c>
      <c r="G896" s="2" t="s">
        <v>184</v>
      </c>
      <c r="H896" s="2" t="s">
        <v>703</v>
      </c>
      <c r="I896" s="2" t="s">
        <v>185</v>
      </c>
      <c r="J896" s="2" t="s">
        <v>270</v>
      </c>
      <c r="K896" s="2" t="s">
        <v>187</v>
      </c>
      <c r="L896" s="2" t="s">
        <v>4094</v>
      </c>
    </row>
    <row r="897" spans="1:12">
      <c r="A897" s="2" t="s">
        <v>702</v>
      </c>
      <c r="B897" s="2" t="s">
        <v>703</v>
      </c>
      <c r="C897" s="2" t="s">
        <v>4095</v>
      </c>
      <c r="D897" s="2" t="s">
        <v>699</v>
      </c>
      <c r="E897" s="2" t="s">
        <v>223</v>
      </c>
      <c r="F897" s="2">
        <v>2021</v>
      </c>
      <c r="G897" s="2" t="s">
        <v>184</v>
      </c>
      <c r="H897" s="2" t="s">
        <v>4096</v>
      </c>
      <c r="I897" s="2" t="s">
        <v>291</v>
      </c>
      <c r="J897" s="2" t="s">
        <v>291</v>
      </c>
      <c r="K897" s="2" t="s">
        <v>188</v>
      </c>
    </row>
    <row r="898" spans="1:12">
      <c r="A898" s="2" t="s">
        <v>756</v>
      </c>
      <c r="B898" s="2" t="s">
        <v>756</v>
      </c>
      <c r="C898" s="2" t="s">
        <v>4097</v>
      </c>
      <c r="D898" s="2" t="s">
        <v>753</v>
      </c>
      <c r="E898" s="2" t="s">
        <v>223</v>
      </c>
      <c r="F898" s="2">
        <v>1965</v>
      </c>
      <c r="G898" s="2" t="s">
        <v>184</v>
      </c>
      <c r="H898" s="2" t="s">
        <v>4098</v>
      </c>
      <c r="J898" s="2" t="s">
        <v>270</v>
      </c>
      <c r="K898" s="2" t="s">
        <v>187</v>
      </c>
      <c r="L898" s="2" t="s">
        <v>4099</v>
      </c>
    </row>
    <row r="899" spans="1:12">
      <c r="A899" s="2" t="s">
        <v>737</v>
      </c>
      <c r="B899" s="2" t="s">
        <v>738</v>
      </c>
      <c r="C899" s="2" t="s">
        <v>4100</v>
      </c>
      <c r="D899" s="2" t="s">
        <v>734</v>
      </c>
      <c r="E899" s="2" t="s">
        <v>223</v>
      </c>
      <c r="F899" s="2">
        <v>2010</v>
      </c>
      <c r="G899" s="2" t="s">
        <v>184</v>
      </c>
      <c r="H899" s="2" t="s">
        <v>4101</v>
      </c>
      <c r="J899" s="2" t="s">
        <v>226</v>
      </c>
      <c r="K899" s="2" t="s">
        <v>188</v>
      </c>
    </row>
    <row r="900" spans="1:12">
      <c r="A900" s="2" t="s">
        <v>737</v>
      </c>
      <c r="B900" s="2" t="s">
        <v>738</v>
      </c>
      <c r="C900" s="2" t="s">
        <v>4102</v>
      </c>
      <c r="D900" s="2" t="s">
        <v>734</v>
      </c>
      <c r="E900" s="2" t="s">
        <v>183</v>
      </c>
      <c r="F900" s="2">
        <v>1979</v>
      </c>
      <c r="G900" s="2" t="s">
        <v>184</v>
      </c>
      <c r="H900" s="2" t="s">
        <v>4103</v>
      </c>
      <c r="I900" s="2" t="s">
        <v>291</v>
      </c>
      <c r="J900" s="2" t="s">
        <v>226</v>
      </c>
      <c r="K900" s="2" t="s">
        <v>187</v>
      </c>
      <c r="L900" s="2" t="s">
        <v>2598</v>
      </c>
    </row>
    <row r="901" spans="1:12">
      <c r="A901" s="2" t="s">
        <v>737</v>
      </c>
      <c r="B901" s="2" t="s">
        <v>738</v>
      </c>
      <c r="C901" s="2" t="s">
        <v>4104</v>
      </c>
      <c r="D901" s="2" t="s">
        <v>734</v>
      </c>
      <c r="E901" s="2" t="s">
        <v>183</v>
      </c>
      <c r="F901" s="2">
        <v>1950</v>
      </c>
      <c r="G901" s="2" t="s">
        <v>184</v>
      </c>
      <c r="H901" s="2" t="s">
        <v>738</v>
      </c>
      <c r="I901" s="2" t="s">
        <v>185</v>
      </c>
      <c r="J901" s="2" t="s">
        <v>226</v>
      </c>
      <c r="K901" s="2" t="s">
        <v>188</v>
      </c>
    </row>
    <row r="902" spans="1:12">
      <c r="A902" s="2" t="s">
        <v>833</v>
      </c>
      <c r="B902" s="2" t="s">
        <v>833</v>
      </c>
      <c r="C902" s="2" t="s">
        <v>4105</v>
      </c>
      <c r="D902" s="2" t="s">
        <v>829</v>
      </c>
      <c r="E902" s="2" t="s">
        <v>223</v>
      </c>
      <c r="F902" s="2">
        <v>2015</v>
      </c>
      <c r="G902" s="2" t="s">
        <v>834</v>
      </c>
      <c r="H902" s="2" t="s">
        <v>4106</v>
      </c>
      <c r="I902" s="2" t="s">
        <v>237</v>
      </c>
      <c r="J902" s="2" t="s">
        <v>291</v>
      </c>
      <c r="K902" s="2" t="s">
        <v>188</v>
      </c>
    </row>
    <row r="903" spans="1:12">
      <c r="A903" s="2" t="s">
        <v>833</v>
      </c>
      <c r="B903" s="2" t="s">
        <v>833</v>
      </c>
      <c r="C903" s="2" t="s">
        <v>4107</v>
      </c>
      <c r="D903" s="2" t="s">
        <v>829</v>
      </c>
      <c r="E903" s="2" t="s">
        <v>223</v>
      </c>
      <c r="F903" s="2">
        <v>1996</v>
      </c>
      <c r="G903" s="2" t="s">
        <v>834</v>
      </c>
      <c r="H903" s="2" t="s">
        <v>1502</v>
      </c>
      <c r="I903" s="2" t="s">
        <v>225</v>
      </c>
      <c r="J903" s="2" t="s">
        <v>186</v>
      </c>
      <c r="K903" s="2" t="s">
        <v>187</v>
      </c>
      <c r="L903" s="2" t="s">
        <v>4108</v>
      </c>
    </row>
    <row r="904" spans="1:12">
      <c r="A904" s="2" t="s">
        <v>855</v>
      </c>
      <c r="B904" s="2" t="s">
        <v>856</v>
      </c>
      <c r="C904" s="2" t="s">
        <v>4109</v>
      </c>
      <c r="D904" s="2" t="s">
        <v>852</v>
      </c>
      <c r="E904" s="2" t="s">
        <v>183</v>
      </c>
      <c r="F904" s="2">
        <v>2022</v>
      </c>
      <c r="G904" s="2" t="s">
        <v>834</v>
      </c>
      <c r="H904" s="2" t="s">
        <v>4110</v>
      </c>
      <c r="I904" s="2" t="s">
        <v>291</v>
      </c>
      <c r="J904" s="2" t="s">
        <v>291</v>
      </c>
      <c r="K904" s="2" t="s">
        <v>188</v>
      </c>
    </row>
    <row r="905" spans="1:12">
      <c r="A905" s="2" t="s">
        <v>855</v>
      </c>
      <c r="B905" s="2" t="s">
        <v>856</v>
      </c>
      <c r="C905" s="2" t="s">
        <v>4111</v>
      </c>
      <c r="D905" s="2" t="s">
        <v>852</v>
      </c>
      <c r="E905" s="2" t="s">
        <v>183</v>
      </c>
      <c r="F905" s="2">
        <v>2004</v>
      </c>
      <c r="G905" s="2" t="s">
        <v>834</v>
      </c>
      <c r="H905" s="2" t="s">
        <v>4112</v>
      </c>
      <c r="I905" s="2" t="s">
        <v>237</v>
      </c>
      <c r="J905" s="2" t="s">
        <v>270</v>
      </c>
      <c r="K905" s="2" t="s">
        <v>187</v>
      </c>
      <c r="L905" s="2" t="s">
        <v>2576</v>
      </c>
    </row>
    <row r="906" spans="1:12">
      <c r="A906" s="2" t="s">
        <v>855</v>
      </c>
      <c r="B906" s="2" t="s">
        <v>856</v>
      </c>
      <c r="C906" s="2" t="s">
        <v>4113</v>
      </c>
      <c r="D906" s="2" t="s">
        <v>852</v>
      </c>
      <c r="E906" s="2" t="s">
        <v>183</v>
      </c>
      <c r="F906" s="2">
        <v>1968</v>
      </c>
      <c r="G906" s="2" t="s">
        <v>834</v>
      </c>
      <c r="H906" s="2" t="s">
        <v>856</v>
      </c>
      <c r="I906" s="2" t="s">
        <v>185</v>
      </c>
      <c r="J906" s="2" t="s">
        <v>603</v>
      </c>
      <c r="K906" s="2" t="s">
        <v>187</v>
      </c>
      <c r="L906" s="2" t="s">
        <v>2572</v>
      </c>
    </row>
    <row r="907" spans="1:12">
      <c r="A907" s="2" t="s">
        <v>855</v>
      </c>
      <c r="B907" s="2" t="s">
        <v>856</v>
      </c>
      <c r="C907" s="2" t="s">
        <v>4114</v>
      </c>
      <c r="D907" s="2" t="s">
        <v>852</v>
      </c>
      <c r="E907" s="2" t="s">
        <v>223</v>
      </c>
      <c r="F907" s="2">
        <v>1968</v>
      </c>
      <c r="G907" s="2" t="s">
        <v>834</v>
      </c>
      <c r="H907" s="2" t="s">
        <v>4115</v>
      </c>
      <c r="I907" s="2" t="s">
        <v>225</v>
      </c>
      <c r="J907" s="2" t="s">
        <v>603</v>
      </c>
      <c r="K907" s="2" t="s">
        <v>187</v>
      </c>
      <c r="L907" s="2" t="s">
        <v>4116</v>
      </c>
    </row>
    <row r="908" spans="1:12">
      <c r="A908" s="2" t="s">
        <v>881</v>
      </c>
      <c r="B908" s="2" t="s">
        <v>882</v>
      </c>
      <c r="C908" s="2" t="s">
        <v>4117</v>
      </c>
      <c r="D908" s="2" t="s">
        <v>879</v>
      </c>
      <c r="E908" s="2" t="s">
        <v>183</v>
      </c>
      <c r="F908" s="2">
        <v>1975</v>
      </c>
      <c r="G908" s="2" t="s">
        <v>224</v>
      </c>
      <c r="H908" s="2" t="s">
        <v>882</v>
      </c>
      <c r="I908" s="2" t="s">
        <v>185</v>
      </c>
      <c r="J908" s="2" t="s">
        <v>186</v>
      </c>
      <c r="K908" s="2" t="s">
        <v>187</v>
      </c>
      <c r="L908" s="2" t="s">
        <v>2598</v>
      </c>
    </row>
    <row r="909" spans="1:12">
      <c r="A909" s="2" t="s">
        <v>881</v>
      </c>
      <c r="B909" s="2" t="s">
        <v>882</v>
      </c>
      <c r="C909" s="2" t="s">
        <v>4118</v>
      </c>
      <c r="D909" s="2" t="s">
        <v>879</v>
      </c>
      <c r="E909" s="2" t="s">
        <v>183</v>
      </c>
      <c r="F909" s="2">
        <v>2010</v>
      </c>
      <c r="G909" s="2" t="s">
        <v>224</v>
      </c>
      <c r="H909" s="2" t="s">
        <v>4119</v>
      </c>
      <c r="I909" s="2" t="s">
        <v>237</v>
      </c>
      <c r="J909" s="2" t="s">
        <v>291</v>
      </c>
      <c r="K909" s="2" t="s">
        <v>188</v>
      </c>
    </row>
    <row r="910" spans="1:12">
      <c r="A910" s="2" t="s">
        <v>881</v>
      </c>
      <c r="B910" s="2" t="s">
        <v>882</v>
      </c>
      <c r="C910" s="2" t="s">
        <v>4120</v>
      </c>
      <c r="D910" s="2" t="s">
        <v>879</v>
      </c>
      <c r="E910" s="2" t="s">
        <v>183</v>
      </c>
      <c r="F910" s="2">
        <v>1999</v>
      </c>
      <c r="G910" s="2" t="s">
        <v>224</v>
      </c>
      <c r="H910" s="2" t="s">
        <v>4121</v>
      </c>
      <c r="I910" s="2" t="s">
        <v>237</v>
      </c>
      <c r="J910" s="2" t="s">
        <v>226</v>
      </c>
      <c r="K910" s="2" t="s">
        <v>188</v>
      </c>
    </row>
    <row r="911" spans="1:12">
      <c r="A911" s="2" t="s">
        <v>907</v>
      </c>
      <c r="B911" s="2" t="s">
        <v>908</v>
      </c>
      <c r="C911" s="2" t="s">
        <v>4122</v>
      </c>
      <c r="D911" s="2" t="s">
        <v>905</v>
      </c>
      <c r="E911" s="2" t="s">
        <v>183</v>
      </c>
      <c r="F911" s="2">
        <v>2011</v>
      </c>
      <c r="G911" s="2" t="s">
        <v>224</v>
      </c>
      <c r="H911" s="2" t="s">
        <v>4123</v>
      </c>
      <c r="I911" s="2" t="s">
        <v>237</v>
      </c>
      <c r="J911" s="2" t="s">
        <v>291</v>
      </c>
      <c r="K911" s="2" t="s">
        <v>188</v>
      </c>
    </row>
    <row r="912" spans="1:12">
      <c r="A912" s="2" t="s">
        <v>907</v>
      </c>
      <c r="B912" s="2" t="s">
        <v>908</v>
      </c>
      <c r="C912" s="2" t="s">
        <v>4124</v>
      </c>
      <c r="D912" s="2" t="s">
        <v>905</v>
      </c>
      <c r="E912" s="2" t="s">
        <v>223</v>
      </c>
      <c r="F912" s="2">
        <v>1989</v>
      </c>
      <c r="G912" s="2" t="s">
        <v>224</v>
      </c>
      <c r="H912" s="2" t="s">
        <v>4125</v>
      </c>
      <c r="I912" s="2" t="s">
        <v>225</v>
      </c>
      <c r="J912" s="2" t="s">
        <v>186</v>
      </c>
      <c r="K912" s="2" t="s">
        <v>187</v>
      </c>
      <c r="L912" s="2" t="s">
        <v>2621</v>
      </c>
    </row>
    <row r="913" spans="1:12">
      <c r="A913" s="2" t="s">
        <v>907</v>
      </c>
      <c r="B913" s="2" t="s">
        <v>908</v>
      </c>
      <c r="C913" s="2" t="s">
        <v>4126</v>
      </c>
      <c r="D913" s="2" t="s">
        <v>905</v>
      </c>
      <c r="E913" s="2" t="s">
        <v>223</v>
      </c>
      <c r="F913" s="2">
        <v>2009</v>
      </c>
      <c r="G913" s="2" t="s">
        <v>224</v>
      </c>
      <c r="H913" s="2" t="s">
        <v>4127</v>
      </c>
      <c r="I913" s="2" t="s">
        <v>237</v>
      </c>
      <c r="J913" s="2" t="s">
        <v>291</v>
      </c>
      <c r="K913" s="2" t="s">
        <v>188</v>
      </c>
    </row>
    <row r="914" spans="1:12">
      <c r="A914" s="2" t="s">
        <v>907</v>
      </c>
      <c r="B914" s="2" t="s">
        <v>908</v>
      </c>
      <c r="C914" s="2" t="s">
        <v>4128</v>
      </c>
      <c r="D914" s="2" t="s">
        <v>905</v>
      </c>
      <c r="E914" s="2" t="s">
        <v>183</v>
      </c>
      <c r="F914" s="2">
        <v>2015</v>
      </c>
      <c r="G914" s="2" t="s">
        <v>224</v>
      </c>
      <c r="H914" s="2" t="s">
        <v>4129</v>
      </c>
      <c r="J914" s="2" t="s">
        <v>291</v>
      </c>
      <c r="K914" s="2" t="s">
        <v>188</v>
      </c>
    </row>
    <row r="915" spans="1:12">
      <c r="A915" s="2" t="s">
        <v>956</v>
      </c>
      <c r="B915" s="2" t="s">
        <v>956</v>
      </c>
      <c r="C915" s="2" t="s">
        <v>4130</v>
      </c>
      <c r="D915" s="2" t="s">
        <v>954</v>
      </c>
      <c r="E915" s="2" t="s">
        <v>223</v>
      </c>
      <c r="F915" s="2">
        <v>2016</v>
      </c>
      <c r="G915" s="2" t="s">
        <v>834</v>
      </c>
      <c r="H915" s="2" t="s">
        <v>4131</v>
      </c>
      <c r="I915" s="2" t="s">
        <v>237</v>
      </c>
      <c r="J915" s="2" t="s">
        <v>291</v>
      </c>
      <c r="K915" s="2" t="s">
        <v>188</v>
      </c>
    </row>
    <row r="916" spans="1:12">
      <c r="A916" s="2" t="s">
        <v>956</v>
      </c>
      <c r="B916" s="2" t="s">
        <v>956</v>
      </c>
      <c r="C916" s="2" t="s">
        <v>4132</v>
      </c>
      <c r="D916" s="2" t="s">
        <v>954</v>
      </c>
      <c r="E916" s="2" t="s">
        <v>183</v>
      </c>
      <c r="F916" s="2">
        <v>2017</v>
      </c>
      <c r="G916" s="2" t="s">
        <v>834</v>
      </c>
      <c r="H916" s="2" t="s">
        <v>4133</v>
      </c>
      <c r="I916" s="2" t="s">
        <v>237</v>
      </c>
      <c r="J916" s="2" t="s">
        <v>291</v>
      </c>
      <c r="K916" s="2" t="s">
        <v>188</v>
      </c>
    </row>
    <row r="917" spans="1:12">
      <c r="A917" s="2" t="s">
        <v>956</v>
      </c>
      <c r="B917" s="2" t="s">
        <v>956</v>
      </c>
      <c r="C917" s="2" t="s">
        <v>4134</v>
      </c>
      <c r="D917" s="2" t="s">
        <v>954</v>
      </c>
      <c r="E917" s="2" t="s">
        <v>223</v>
      </c>
      <c r="F917" s="2">
        <v>2000</v>
      </c>
      <c r="G917" s="2" t="s">
        <v>834</v>
      </c>
      <c r="H917" s="2" t="s">
        <v>4135</v>
      </c>
      <c r="I917" s="2" t="s">
        <v>225</v>
      </c>
      <c r="J917" s="2" t="s">
        <v>186</v>
      </c>
      <c r="K917" s="2" t="s">
        <v>187</v>
      </c>
      <c r="L917" s="2" t="s">
        <v>4136</v>
      </c>
    </row>
    <row r="918" spans="1:12">
      <c r="A918" s="2" t="s">
        <v>999</v>
      </c>
      <c r="B918" s="2" t="s">
        <v>999</v>
      </c>
      <c r="C918" s="2" t="s">
        <v>4137</v>
      </c>
      <c r="D918" s="2" t="s">
        <v>996</v>
      </c>
      <c r="E918" s="2" t="s">
        <v>223</v>
      </c>
      <c r="F918" s="2">
        <v>1994</v>
      </c>
      <c r="G918" s="2" t="s">
        <v>834</v>
      </c>
      <c r="H918" s="2" t="s">
        <v>4138</v>
      </c>
      <c r="I918" s="2" t="s">
        <v>225</v>
      </c>
      <c r="J918" s="2" t="s">
        <v>186</v>
      </c>
      <c r="K918" s="2" t="s">
        <v>187</v>
      </c>
      <c r="L918" s="2" t="s">
        <v>2632</v>
      </c>
    </row>
    <row r="919" spans="1:12">
      <c r="A919" s="2" t="s">
        <v>999</v>
      </c>
      <c r="B919" s="2" t="s">
        <v>999</v>
      </c>
      <c r="C919" s="2" t="s">
        <v>4139</v>
      </c>
      <c r="D919" s="2" t="s">
        <v>996</v>
      </c>
      <c r="E919" s="2" t="s">
        <v>183</v>
      </c>
      <c r="F919" s="2">
        <v>2016</v>
      </c>
      <c r="G919" s="2" t="s">
        <v>834</v>
      </c>
      <c r="H919" s="2" t="s">
        <v>4140</v>
      </c>
      <c r="I919" s="2" t="s">
        <v>237</v>
      </c>
      <c r="J919" s="2" t="s">
        <v>291</v>
      </c>
      <c r="K919" s="2" t="s">
        <v>188</v>
      </c>
    </row>
    <row r="920" spans="1:12">
      <c r="A920" s="2" t="s">
        <v>999</v>
      </c>
      <c r="B920" s="2" t="s">
        <v>999</v>
      </c>
      <c r="C920" s="2" t="s">
        <v>4141</v>
      </c>
      <c r="D920" s="2" t="s">
        <v>996</v>
      </c>
      <c r="E920" s="2" t="s">
        <v>223</v>
      </c>
      <c r="F920" s="2">
        <v>2013</v>
      </c>
      <c r="G920" s="2" t="s">
        <v>834</v>
      </c>
      <c r="H920" s="2" t="s">
        <v>4142</v>
      </c>
      <c r="I920" s="2" t="s">
        <v>237</v>
      </c>
      <c r="J920" s="2" t="s">
        <v>291</v>
      </c>
      <c r="K920" s="2" t="s">
        <v>188</v>
      </c>
    </row>
    <row r="921" spans="1:12">
      <c r="A921" s="2" t="s">
        <v>999</v>
      </c>
      <c r="B921" s="2" t="s">
        <v>999</v>
      </c>
      <c r="C921" s="2" t="s">
        <v>4143</v>
      </c>
      <c r="D921" s="2" t="s">
        <v>996</v>
      </c>
      <c r="E921" s="2" t="s">
        <v>223</v>
      </c>
      <c r="F921" s="2">
        <v>2013</v>
      </c>
      <c r="G921" s="2" t="s">
        <v>834</v>
      </c>
      <c r="H921" s="2" t="s">
        <v>4144</v>
      </c>
      <c r="I921" s="2" t="s">
        <v>237</v>
      </c>
      <c r="J921" s="2" t="s">
        <v>291</v>
      </c>
      <c r="K921" s="2" t="s">
        <v>188</v>
      </c>
    </row>
    <row r="922" spans="1:12">
      <c r="A922" s="2" t="s">
        <v>1029</v>
      </c>
      <c r="B922" s="2" t="s">
        <v>1030</v>
      </c>
      <c r="C922" s="2" t="s">
        <v>4145</v>
      </c>
      <c r="D922" s="2" t="s">
        <v>1026</v>
      </c>
      <c r="E922" s="2" t="s">
        <v>223</v>
      </c>
      <c r="F922" s="2">
        <v>1971</v>
      </c>
      <c r="G922" s="2" t="s">
        <v>224</v>
      </c>
      <c r="H922" s="2" t="s">
        <v>4146</v>
      </c>
      <c r="I922" s="2" t="s">
        <v>225</v>
      </c>
      <c r="J922" s="2" t="s">
        <v>226</v>
      </c>
      <c r="K922" s="2" t="s">
        <v>187</v>
      </c>
      <c r="L922" s="2" t="s">
        <v>4147</v>
      </c>
    </row>
    <row r="923" spans="1:12">
      <c r="A923" s="2" t="s">
        <v>1226</v>
      </c>
      <c r="B923" s="2" t="s">
        <v>1227</v>
      </c>
      <c r="C923" s="2" t="s">
        <v>4148</v>
      </c>
      <c r="D923" s="2" t="s">
        <v>1224</v>
      </c>
      <c r="E923" s="2" t="s">
        <v>183</v>
      </c>
      <c r="F923" s="2">
        <v>2009</v>
      </c>
      <c r="G923" s="2" t="s">
        <v>184</v>
      </c>
      <c r="H923" s="2" t="s">
        <v>482</v>
      </c>
      <c r="I923" s="2" t="s">
        <v>237</v>
      </c>
      <c r="J923" s="2" t="s">
        <v>270</v>
      </c>
      <c r="K923" s="2" t="s">
        <v>187</v>
      </c>
      <c r="L923" s="2" t="s">
        <v>2783</v>
      </c>
    </row>
    <row r="924" spans="1:12">
      <c r="A924" s="2" t="s">
        <v>1226</v>
      </c>
      <c r="B924" s="2" t="s">
        <v>1227</v>
      </c>
      <c r="C924" s="2" t="s">
        <v>4149</v>
      </c>
      <c r="D924" s="2" t="s">
        <v>1224</v>
      </c>
      <c r="E924" s="2" t="s">
        <v>183</v>
      </c>
      <c r="F924" s="2">
        <v>2013</v>
      </c>
      <c r="G924" s="2" t="s">
        <v>184</v>
      </c>
      <c r="H924" s="2" t="s">
        <v>4150</v>
      </c>
      <c r="I924" s="2" t="s">
        <v>237</v>
      </c>
      <c r="J924" s="2" t="s">
        <v>291</v>
      </c>
      <c r="K924" s="2" t="s">
        <v>188</v>
      </c>
    </row>
    <row r="925" spans="1:12">
      <c r="A925" s="2" t="s">
        <v>1226</v>
      </c>
      <c r="B925" s="2" t="s">
        <v>1227</v>
      </c>
      <c r="C925" s="2" t="s">
        <v>4151</v>
      </c>
      <c r="D925" s="2" t="s">
        <v>1224</v>
      </c>
      <c r="E925" s="2" t="s">
        <v>183</v>
      </c>
      <c r="F925" s="2">
        <v>1984</v>
      </c>
      <c r="G925" s="2" t="s">
        <v>184</v>
      </c>
      <c r="H925" s="2" t="s">
        <v>1227</v>
      </c>
      <c r="I925" s="2" t="s">
        <v>185</v>
      </c>
      <c r="J925" s="2" t="s">
        <v>186</v>
      </c>
      <c r="K925" s="2" t="s">
        <v>187</v>
      </c>
      <c r="L925" s="2" t="s">
        <v>2598</v>
      </c>
    </row>
    <row r="926" spans="1:12">
      <c r="A926" s="2" t="s">
        <v>1226</v>
      </c>
      <c r="B926" s="2" t="s">
        <v>1227</v>
      </c>
      <c r="C926" s="2" t="s">
        <v>4152</v>
      </c>
      <c r="D926" s="2" t="s">
        <v>1224</v>
      </c>
      <c r="E926" s="2" t="s">
        <v>183</v>
      </c>
      <c r="F926" s="2">
        <v>2020</v>
      </c>
      <c r="G926" s="2" t="s">
        <v>184</v>
      </c>
      <c r="H926" s="2" t="s">
        <v>4153</v>
      </c>
      <c r="I926" s="2" t="s">
        <v>237</v>
      </c>
      <c r="J926" s="2" t="s">
        <v>291</v>
      </c>
      <c r="K926" s="2" t="s">
        <v>188</v>
      </c>
    </row>
    <row r="927" spans="1:12">
      <c r="A927" s="2" t="s">
        <v>1236</v>
      </c>
      <c r="B927" s="2" t="s">
        <v>1237</v>
      </c>
      <c r="C927" s="2" t="s">
        <v>4154</v>
      </c>
      <c r="D927" s="2" t="s">
        <v>1233</v>
      </c>
      <c r="E927" s="2" t="s">
        <v>223</v>
      </c>
      <c r="F927" s="2">
        <v>2017</v>
      </c>
      <c r="G927" s="2" t="s">
        <v>184</v>
      </c>
      <c r="H927" s="2" t="s">
        <v>4155</v>
      </c>
      <c r="I927" s="2" t="s">
        <v>237</v>
      </c>
      <c r="J927" s="2" t="s">
        <v>291</v>
      </c>
      <c r="K927" s="2" t="s">
        <v>188</v>
      </c>
    </row>
    <row r="928" spans="1:12">
      <c r="A928" s="2" t="s">
        <v>1236</v>
      </c>
      <c r="B928" s="2" t="s">
        <v>1237</v>
      </c>
      <c r="C928" s="2" t="s">
        <v>4156</v>
      </c>
      <c r="D928" s="2" t="s">
        <v>1233</v>
      </c>
      <c r="E928" s="2" t="s">
        <v>223</v>
      </c>
      <c r="F928" s="2">
        <v>2020</v>
      </c>
      <c r="G928" s="2" t="s">
        <v>184</v>
      </c>
      <c r="H928" s="2" t="s">
        <v>4157</v>
      </c>
      <c r="I928" s="2" t="s">
        <v>237</v>
      </c>
      <c r="J928" s="2" t="s">
        <v>291</v>
      </c>
      <c r="K928" s="2" t="s">
        <v>188</v>
      </c>
    </row>
    <row r="929" spans="1:12">
      <c r="A929" s="2" t="s">
        <v>1236</v>
      </c>
      <c r="B929" s="2" t="s">
        <v>1237</v>
      </c>
      <c r="C929" s="2" t="s">
        <v>4158</v>
      </c>
      <c r="D929" s="2" t="s">
        <v>1233</v>
      </c>
      <c r="E929" s="2" t="s">
        <v>183</v>
      </c>
      <c r="F929" s="2">
        <v>1987</v>
      </c>
      <c r="G929" s="2" t="s">
        <v>184</v>
      </c>
      <c r="H929" s="2" t="s">
        <v>1237</v>
      </c>
      <c r="I929" s="2" t="s">
        <v>185</v>
      </c>
      <c r="J929" s="2" t="s">
        <v>186</v>
      </c>
      <c r="K929" s="2" t="s">
        <v>187</v>
      </c>
      <c r="L929" s="2" t="s">
        <v>2598</v>
      </c>
    </row>
    <row r="930" spans="1:12">
      <c r="A930" s="2" t="s">
        <v>1255</v>
      </c>
      <c r="B930" s="2" t="s">
        <v>1256</v>
      </c>
      <c r="C930" s="2" t="s">
        <v>4159</v>
      </c>
      <c r="D930" s="2" t="s">
        <v>1252</v>
      </c>
      <c r="E930" s="2" t="s">
        <v>183</v>
      </c>
      <c r="F930" s="2">
        <v>1997</v>
      </c>
      <c r="G930" s="2" t="s">
        <v>184</v>
      </c>
      <c r="H930" s="2" t="s">
        <v>1256</v>
      </c>
      <c r="I930" s="2" t="s">
        <v>185</v>
      </c>
      <c r="J930" s="2" t="s">
        <v>226</v>
      </c>
      <c r="K930" s="2" t="s">
        <v>187</v>
      </c>
      <c r="L930" s="2" t="s">
        <v>2598</v>
      </c>
    </row>
    <row r="931" spans="1:12">
      <c r="A931" s="2" t="s">
        <v>1255</v>
      </c>
      <c r="B931" s="2" t="s">
        <v>1256</v>
      </c>
      <c r="C931" s="2" t="s">
        <v>4160</v>
      </c>
      <c r="D931" s="2" t="s">
        <v>1252</v>
      </c>
      <c r="E931" s="2" t="s">
        <v>223</v>
      </c>
      <c r="F931" s="2">
        <v>2023</v>
      </c>
      <c r="G931" s="2" t="s">
        <v>184</v>
      </c>
      <c r="H931" s="2" t="s">
        <v>4161</v>
      </c>
      <c r="I931" s="2" t="s">
        <v>237</v>
      </c>
      <c r="J931" s="2" t="s">
        <v>291</v>
      </c>
      <c r="K931" s="2" t="s">
        <v>188</v>
      </c>
    </row>
    <row r="932" spans="1:12">
      <c r="A932" s="2" t="s">
        <v>1287</v>
      </c>
      <c r="B932" s="2" t="s">
        <v>1288</v>
      </c>
      <c r="C932" s="2" t="s">
        <v>4162</v>
      </c>
      <c r="D932" s="2" t="s">
        <v>1285</v>
      </c>
      <c r="E932" s="2" t="s">
        <v>223</v>
      </c>
      <c r="F932" s="2">
        <v>2014</v>
      </c>
      <c r="G932" s="2" t="s">
        <v>184</v>
      </c>
      <c r="H932" s="2" t="s">
        <v>4163</v>
      </c>
      <c r="I932" s="2" t="s">
        <v>237</v>
      </c>
      <c r="J932" s="2" t="s">
        <v>291</v>
      </c>
      <c r="K932" s="2" t="s">
        <v>188</v>
      </c>
    </row>
    <row r="933" spans="1:12">
      <c r="A933" s="2" t="s">
        <v>1287</v>
      </c>
      <c r="B933" s="2" t="s">
        <v>1288</v>
      </c>
      <c r="C933" s="2" t="s">
        <v>4164</v>
      </c>
      <c r="D933" s="2" t="s">
        <v>1285</v>
      </c>
      <c r="E933" s="2" t="s">
        <v>183</v>
      </c>
      <c r="F933" s="2">
        <v>2017</v>
      </c>
      <c r="G933" s="2" t="s">
        <v>184</v>
      </c>
      <c r="H933" s="2" t="s">
        <v>4165</v>
      </c>
      <c r="I933" s="2" t="s">
        <v>237</v>
      </c>
      <c r="J933" s="2" t="s">
        <v>291</v>
      </c>
      <c r="K933" s="2" t="s">
        <v>188</v>
      </c>
    </row>
    <row r="934" spans="1:12">
      <c r="A934" s="2" t="s">
        <v>1287</v>
      </c>
      <c r="B934" s="2" t="s">
        <v>1288</v>
      </c>
      <c r="C934" s="2" t="s">
        <v>4166</v>
      </c>
      <c r="D934" s="2" t="s">
        <v>1285</v>
      </c>
      <c r="E934" s="2" t="s">
        <v>183</v>
      </c>
      <c r="F934" s="2">
        <v>1993</v>
      </c>
      <c r="G934" s="2" t="s">
        <v>184</v>
      </c>
      <c r="H934" s="2" t="s">
        <v>4167</v>
      </c>
      <c r="I934" s="2" t="s">
        <v>185</v>
      </c>
      <c r="J934" s="2" t="s">
        <v>186</v>
      </c>
      <c r="K934" s="2" t="s">
        <v>187</v>
      </c>
      <c r="L934" s="2" t="s">
        <v>3231</v>
      </c>
    </row>
    <row r="935" spans="1:12">
      <c r="A935" s="2" t="s">
        <v>1312</v>
      </c>
      <c r="B935" s="2" t="s">
        <v>1312</v>
      </c>
      <c r="C935" s="2" t="s">
        <v>4168</v>
      </c>
      <c r="D935" s="2" t="s">
        <v>1310</v>
      </c>
      <c r="E935" s="2" t="s">
        <v>183</v>
      </c>
      <c r="F935" s="2">
        <v>2022</v>
      </c>
      <c r="G935" s="2" t="s">
        <v>184</v>
      </c>
      <c r="H935" s="2" t="s">
        <v>4169</v>
      </c>
      <c r="I935" s="2" t="s">
        <v>237</v>
      </c>
      <c r="J935" s="2" t="s">
        <v>291</v>
      </c>
      <c r="K935" s="2" t="s">
        <v>188</v>
      </c>
    </row>
    <row r="936" spans="1:12">
      <c r="A936" s="2" t="s">
        <v>1312</v>
      </c>
      <c r="B936" s="2" t="s">
        <v>1312</v>
      </c>
      <c r="C936" s="2" t="s">
        <v>4170</v>
      </c>
      <c r="D936" s="2" t="s">
        <v>1310</v>
      </c>
      <c r="E936" s="2" t="s">
        <v>223</v>
      </c>
      <c r="F936" s="2">
        <v>1993</v>
      </c>
      <c r="G936" s="2" t="s">
        <v>184</v>
      </c>
      <c r="H936" s="2" t="s">
        <v>4171</v>
      </c>
      <c r="I936" s="2" t="s">
        <v>225</v>
      </c>
      <c r="J936" s="2" t="s">
        <v>270</v>
      </c>
      <c r="K936" s="2" t="s">
        <v>187</v>
      </c>
      <c r="L936" s="2" t="s">
        <v>3231</v>
      </c>
    </row>
    <row r="937" spans="1:12">
      <c r="A937" s="2" t="s">
        <v>1312</v>
      </c>
      <c r="B937" s="2" t="s">
        <v>1312</v>
      </c>
      <c r="C937" s="2" t="s">
        <v>4172</v>
      </c>
      <c r="D937" s="2" t="s">
        <v>1310</v>
      </c>
      <c r="E937" s="2" t="s">
        <v>223</v>
      </c>
      <c r="F937" s="2">
        <v>2016</v>
      </c>
      <c r="G937" s="2" t="s">
        <v>184</v>
      </c>
      <c r="H937" s="2" t="s">
        <v>4173</v>
      </c>
      <c r="I937" s="2" t="s">
        <v>237</v>
      </c>
      <c r="J937" s="2" t="s">
        <v>270</v>
      </c>
      <c r="K937" s="2" t="s">
        <v>188</v>
      </c>
    </row>
    <row r="938" spans="1:12">
      <c r="A938" s="2" t="s">
        <v>1312</v>
      </c>
      <c r="B938" s="2" t="s">
        <v>1312</v>
      </c>
      <c r="C938" s="2" t="s">
        <v>4174</v>
      </c>
      <c r="D938" s="2" t="s">
        <v>1310</v>
      </c>
      <c r="E938" s="2" t="s">
        <v>223</v>
      </c>
      <c r="F938" s="2">
        <v>2008</v>
      </c>
      <c r="G938" s="2" t="s">
        <v>184</v>
      </c>
      <c r="H938" s="2" t="s">
        <v>4175</v>
      </c>
      <c r="I938" s="2" t="s">
        <v>237</v>
      </c>
      <c r="J938" s="2" t="s">
        <v>226</v>
      </c>
      <c r="K938" s="2" t="s">
        <v>187</v>
      </c>
      <c r="L938" s="2" t="s">
        <v>3234</v>
      </c>
    </row>
    <row r="939" spans="1:12">
      <c r="A939" s="2" t="s">
        <v>1338</v>
      </c>
      <c r="B939" s="2" t="s">
        <v>1339</v>
      </c>
      <c r="C939" s="2" t="s">
        <v>4176</v>
      </c>
      <c r="D939" s="2" t="s">
        <v>1336</v>
      </c>
      <c r="E939" s="2" t="s">
        <v>223</v>
      </c>
      <c r="F939" s="2">
        <v>2011</v>
      </c>
      <c r="G939" s="2" t="s">
        <v>184</v>
      </c>
      <c r="H939" s="2" t="s">
        <v>4177</v>
      </c>
      <c r="I939" s="2" t="s">
        <v>237</v>
      </c>
      <c r="J939" s="2" t="s">
        <v>291</v>
      </c>
      <c r="K939" s="2" t="s">
        <v>188</v>
      </c>
    </row>
    <row r="940" spans="1:12">
      <c r="A940" s="2" t="s">
        <v>1338</v>
      </c>
      <c r="B940" s="2" t="s">
        <v>1339</v>
      </c>
      <c r="C940" s="2" t="s">
        <v>4178</v>
      </c>
      <c r="D940" s="2" t="s">
        <v>1336</v>
      </c>
      <c r="E940" s="2" t="s">
        <v>223</v>
      </c>
      <c r="F940" s="2">
        <v>1991</v>
      </c>
      <c r="G940" s="2" t="s">
        <v>184</v>
      </c>
      <c r="H940" s="2" t="s">
        <v>4179</v>
      </c>
      <c r="I940" s="2" t="s">
        <v>225</v>
      </c>
      <c r="J940" s="2" t="s">
        <v>186</v>
      </c>
      <c r="K940" s="2" t="s">
        <v>187</v>
      </c>
      <c r="L940" s="2" t="s">
        <v>4180</v>
      </c>
    </row>
    <row r="941" spans="1:12">
      <c r="A941" s="2" t="s">
        <v>1338</v>
      </c>
      <c r="B941" s="2" t="s">
        <v>1339</v>
      </c>
      <c r="C941" s="2" t="s">
        <v>4181</v>
      </c>
      <c r="D941" s="2" t="s">
        <v>1336</v>
      </c>
      <c r="E941" s="2" t="s">
        <v>223</v>
      </c>
      <c r="F941" s="2">
        <v>2010</v>
      </c>
      <c r="G941" s="2" t="s">
        <v>184</v>
      </c>
      <c r="H941" s="2" t="s">
        <v>4182</v>
      </c>
      <c r="I941" s="2" t="s">
        <v>237</v>
      </c>
      <c r="J941" s="2" t="s">
        <v>291</v>
      </c>
      <c r="K941" s="2" t="s">
        <v>188</v>
      </c>
    </row>
    <row r="942" spans="1:12">
      <c r="A942" s="2" t="s">
        <v>1338</v>
      </c>
      <c r="B942" s="2" t="s">
        <v>1339</v>
      </c>
      <c r="C942" s="2" t="s">
        <v>4183</v>
      </c>
      <c r="D942" s="2" t="s">
        <v>1336</v>
      </c>
      <c r="E942" s="2" t="s">
        <v>183</v>
      </c>
      <c r="F942" s="2">
        <v>2015</v>
      </c>
      <c r="G942" s="2" t="s">
        <v>184</v>
      </c>
      <c r="H942" s="2" t="s">
        <v>4184</v>
      </c>
      <c r="I942" s="2" t="s">
        <v>237</v>
      </c>
      <c r="J942" s="2" t="s">
        <v>291</v>
      </c>
      <c r="K942" s="2" t="s">
        <v>188</v>
      </c>
    </row>
    <row r="943" spans="1:12">
      <c r="A943" s="2" t="s">
        <v>1376</v>
      </c>
      <c r="B943" s="2" t="s">
        <v>1376</v>
      </c>
      <c r="C943" s="2" t="s">
        <v>4185</v>
      </c>
      <c r="D943" s="2" t="s">
        <v>1374</v>
      </c>
      <c r="E943" s="2" t="s">
        <v>223</v>
      </c>
      <c r="F943" s="2">
        <v>1986</v>
      </c>
      <c r="G943" s="2" t="s">
        <v>184</v>
      </c>
      <c r="H943" s="2" t="s">
        <v>4186</v>
      </c>
      <c r="I943" s="2" t="s">
        <v>225</v>
      </c>
      <c r="J943" s="2" t="s">
        <v>270</v>
      </c>
      <c r="K943" s="2" t="s">
        <v>187</v>
      </c>
      <c r="L943" s="2" t="s">
        <v>4187</v>
      </c>
    </row>
    <row r="944" spans="1:12">
      <c r="A944" s="2" t="s">
        <v>1376</v>
      </c>
      <c r="B944" s="2" t="s">
        <v>1376</v>
      </c>
      <c r="C944" s="2" t="s">
        <v>4188</v>
      </c>
      <c r="D944" s="2" t="s">
        <v>1374</v>
      </c>
      <c r="E944" s="2" t="s">
        <v>183</v>
      </c>
      <c r="F944" s="2">
        <v>1996</v>
      </c>
      <c r="G944" s="2" t="s">
        <v>184</v>
      </c>
      <c r="H944" s="2" t="s">
        <v>4189</v>
      </c>
      <c r="I944" s="2" t="s">
        <v>237</v>
      </c>
      <c r="J944" s="2" t="s">
        <v>226</v>
      </c>
      <c r="K944" s="2" t="s">
        <v>187</v>
      </c>
      <c r="L944" s="2" t="s">
        <v>4190</v>
      </c>
    </row>
    <row r="945" spans="1:12">
      <c r="A945" s="2" t="s">
        <v>1376</v>
      </c>
      <c r="B945" s="2" t="s">
        <v>1376</v>
      </c>
      <c r="C945" s="2" t="s">
        <v>4191</v>
      </c>
      <c r="D945" s="2" t="s">
        <v>1374</v>
      </c>
      <c r="E945" s="2" t="s">
        <v>183</v>
      </c>
      <c r="F945" s="2">
        <v>2025</v>
      </c>
      <c r="G945" s="2" t="s">
        <v>184</v>
      </c>
      <c r="H945" s="2" t="s">
        <v>1038</v>
      </c>
      <c r="I945" s="2" t="s">
        <v>237</v>
      </c>
      <c r="J945" s="2" t="s">
        <v>291</v>
      </c>
      <c r="K945" s="2" t="s">
        <v>188</v>
      </c>
    </row>
    <row r="946" spans="1:12">
      <c r="A946" s="2" t="s">
        <v>1376</v>
      </c>
      <c r="B946" s="2" t="s">
        <v>1376</v>
      </c>
      <c r="C946" s="2" t="s">
        <v>4192</v>
      </c>
      <c r="D946" s="2" t="s">
        <v>1374</v>
      </c>
      <c r="E946" s="2" t="s">
        <v>183</v>
      </c>
      <c r="F946" s="2">
        <v>2005</v>
      </c>
      <c r="G946" s="2" t="s">
        <v>184</v>
      </c>
      <c r="H946" s="2" t="s">
        <v>4193</v>
      </c>
      <c r="I946" s="2" t="s">
        <v>237</v>
      </c>
      <c r="J946" s="2" t="s">
        <v>270</v>
      </c>
      <c r="K946" s="2" t="s">
        <v>187</v>
      </c>
      <c r="L946" s="2" t="s">
        <v>4194</v>
      </c>
    </row>
    <row r="947" spans="1:12">
      <c r="A947" s="2" t="s">
        <v>1376</v>
      </c>
      <c r="B947" s="2" t="s">
        <v>1376</v>
      </c>
      <c r="C947" s="2" t="s">
        <v>4195</v>
      </c>
      <c r="D947" s="2" t="s">
        <v>1374</v>
      </c>
      <c r="E947" s="2" t="s">
        <v>183</v>
      </c>
      <c r="F947" s="2">
        <v>2001</v>
      </c>
      <c r="G947" s="2" t="s">
        <v>184</v>
      </c>
      <c r="H947" s="2" t="s">
        <v>4196</v>
      </c>
      <c r="I947" s="2" t="s">
        <v>237</v>
      </c>
      <c r="J947" s="2" t="s">
        <v>186</v>
      </c>
      <c r="K947" s="2" t="s">
        <v>187</v>
      </c>
      <c r="L947" s="2" t="s">
        <v>3284</v>
      </c>
    </row>
    <row r="948" spans="1:12">
      <c r="A948" s="2" t="s">
        <v>1607</v>
      </c>
      <c r="B948" s="2" t="s">
        <v>1608</v>
      </c>
      <c r="C948" s="2" t="s">
        <v>4197</v>
      </c>
      <c r="D948" s="2" t="s">
        <v>1605</v>
      </c>
      <c r="E948" s="2" t="s">
        <v>183</v>
      </c>
      <c r="F948" s="2">
        <v>1963</v>
      </c>
      <c r="G948" s="2" t="s">
        <v>184</v>
      </c>
      <c r="H948" s="2" t="s">
        <v>4198</v>
      </c>
      <c r="I948" s="2" t="s">
        <v>185</v>
      </c>
      <c r="J948" s="2" t="s">
        <v>270</v>
      </c>
      <c r="K948" s="2" t="s">
        <v>187</v>
      </c>
      <c r="L948" s="2" t="s">
        <v>2598</v>
      </c>
    </row>
    <row r="949" spans="1:12">
      <c r="A949" s="2" t="s">
        <v>1607</v>
      </c>
      <c r="B949" s="2" t="s">
        <v>1608</v>
      </c>
      <c r="C949" s="2" t="s">
        <v>4199</v>
      </c>
      <c r="D949" s="2" t="s">
        <v>1605</v>
      </c>
      <c r="E949" s="2" t="s">
        <v>223</v>
      </c>
      <c r="F949" s="2">
        <v>1960</v>
      </c>
      <c r="G949" s="2" t="s">
        <v>184</v>
      </c>
      <c r="H949" s="2" t="s">
        <v>4200</v>
      </c>
      <c r="I949" s="2" t="s">
        <v>225</v>
      </c>
      <c r="J949" s="2" t="s">
        <v>270</v>
      </c>
      <c r="K949" s="2" t="s">
        <v>187</v>
      </c>
      <c r="L949" s="2" t="s">
        <v>4201</v>
      </c>
    </row>
    <row r="950" spans="1:12">
      <c r="A950" s="2" t="s">
        <v>922</v>
      </c>
      <c r="B950" s="2" t="s">
        <v>922</v>
      </c>
      <c r="C950" s="2" t="s">
        <v>4202</v>
      </c>
      <c r="D950" s="2" t="s">
        <v>1594</v>
      </c>
      <c r="E950" s="2" t="s">
        <v>223</v>
      </c>
      <c r="F950" s="2">
        <v>1990</v>
      </c>
      <c r="G950" s="2" t="s">
        <v>184</v>
      </c>
      <c r="H950" s="2" t="s">
        <v>4203</v>
      </c>
      <c r="I950" s="2" t="s">
        <v>225</v>
      </c>
      <c r="J950" s="2" t="s">
        <v>270</v>
      </c>
      <c r="K950" s="2" t="s">
        <v>187</v>
      </c>
      <c r="L950" s="2" t="s">
        <v>4204</v>
      </c>
    </row>
    <row r="951" spans="1:12">
      <c r="A951" s="2" t="s">
        <v>922</v>
      </c>
      <c r="B951" s="2" t="s">
        <v>922</v>
      </c>
      <c r="C951" s="2" t="s">
        <v>4205</v>
      </c>
      <c r="D951" s="2" t="s">
        <v>1594</v>
      </c>
      <c r="E951" s="2" t="s">
        <v>183</v>
      </c>
      <c r="F951" s="2">
        <v>2022</v>
      </c>
      <c r="G951" s="2" t="s">
        <v>184</v>
      </c>
      <c r="H951" s="2" t="s">
        <v>4206</v>
      </c>
      <c r="I951" s="2" t="s">
        <v>237</v>
      </c>
      <c r="J951" s="2" t="s">
        <v>291</v>
      </c>
      <c r="K951" s="2" t="s">
        <v>188</v>
      </c>
    </row>
    <row r="952" spans="1:12">
      <c r="A952" s="2" t="s">
        <v>922</v>
      </c>
      <c r="B952" s="2" t="s">
        <v>922</v>
      </c>
      <c r="C952" s="2" t="s">
        <v>4207</v>
      </c>
      <c r="D952" s="2" t="s">
        <v>1594</v>
      </c>
      <c r="E952" s="2" t="s">
        <v>183</v>
      </c>
      <c r="F952" s="2">
        <v>2013</v>
      </c>
      <c r="G952" s="2" t="s">
        <v>184</v>
      </c>
      <c r="H952" s="2" t="s">
        <v>4208</v>
      </c>
      <c r="I952" s="2" t="s">
        <v>237</v>
      </c>
      <c r="J952" s="2" t="s">
        <v>291</v>
      </c>
      <c r="K952" s="2" t="s">
        <v>188</v>
      </c>
    </row>
    <row r="953" spans="1:12">
      <c r="A953" s="2" t="s">
        <v>1601</v>
      </c>
      <c r="B953" s="2" t="s">
        <v>1601</v>
      </c>
      <c r="C953" s="2" t="s">
        <v>4209</v>
      </c>
      <c r="D953" s="2" t="s">
        <v>1599</v>
      </c>
      <c r="E953" s="2" t="s">
        <v>223</v>
      </c>
      <c r="F953" s="2">
        <v>1997</v>
      </c>
      <c r="G953" s="2" t="s">
        <v>184</v>
      </c>
      <c r="H953" s="2" t="s">
        <v>4210</v>
      </c>
      <c r="I953" s="2" t="s">
        <v>225</v>
      </c>
      <c r="J953" s="2" t="s">
        <v>270</v>
      </c>
      <c r="K953" s="2" t="s">
        <v>187</v>
      </c>
      <c r="L953" s="2" t="s">
        <v>4211</v>
      </c>
    </row>
    <row r="954" spans="1:12">
      <c r="A954" s="2" t="s">
        <v>1601</v>
      </c>
      <c r="B954" s="2" t="s">
        <v>1601</v>
      </c>
      <c r="C954" s="2" t="s">
        <v>4212</v>
      </c>
      <c r="D954" s="2" t="s">
        <v>1599</v>
      </c>
      <c r="E954" s="2" t="s">
        <v>223</v>
      </c>
      <c r="F954" s="2">
        <v>2016</v>
      </c>
      <c r="G954" s="2" t="s">
        <v>184</v>
      </c>
      <c r="H954" s="2" t="s">
        <v>4213</v>
      </c>
      <c r="I954" s="2" t="s">
        <v>237</v>
      </c>
      <c r="J954" s="2" t="s">
        <v>291</v>
      </c>
      <c r="K954" s="2" t="s">
        <v>188</v>
      </c>
    </row>
    <row r="955" spans="1:12">
      <c r="A955" s="2" t="s">
        <v>1601</v>
      </c>
      <c r="B955" s="2" t="s">
        <v>1601</v>
      </c>
      <c r="C955" s="2" t="s">
        <v>4214</v>
      </c>
      <c r="D955" s="2" t="s">
        <v>1599</v>
      </c>
      <c r="E955" s="2" t="s">
        <v>183</v>
      </c>
      <c r="F955" s="2">
        <v>2010</v>
      </c>
      <c r="G955" s="2" t="s">
        <v>184</v>
      </c>
      <c r="H955" s="2" t="s">
        <v>4215</v>
      </c>
      <c r="I955" s="2" t="s">
        <v>237</v>
      </c>
      <c r="J955" s="2" t="s">
        <v>270</v>
      </c>
      <c r="K955" s="2" t="s">
        <v>187</v>
      </c>
      <c r="L955" s="2" t="s">
        <v>4216</v>
      </c>
    </row>
    <row r="956" spans="1:12">
      <c r="A956" s="2" t="s">
        <v>1463</v>
      </c>
      <c r="B956" s="2" t="s">
        <v>1464</v>
      </c>
      <c r="C956" s="2" t="s">
        <v>4217</v>
      </c>
      <c r="D956" s="2" t="s">
        <v>1461</v>
      </c>
      <c r="E956" s="2" t="s">
        <v>223</v>
      </c>
      <c r="F956" s="2">
        <v>1975</v>
      </c>
      <c r="G956" s="2" t="s">
        <v>184</v>
      </c>
      <c r="H956" s="2" t="s">
        <v>4218</v>
      </c>
      <c r="I956" s="2" t="s">
        <v>225</v>
      </c>
      <c r="J956" s="2" t="s">
        <v>603</v>
      </c>
      <c r="K956" s="2" t="s">
        <v>187</v>
      </c>
      <c r="L956" s="2" t="s">
        <v>4219</v>
      </c>
    </row>
    <row r="957" spans="1:12">
      <c r="A957" s="2" t="s">
        <v>1463</v>
      </c>
      <c r="B957" s="2" t="s">
        <v>1464</v>
      </c>
      <c r="C957" s="2" t="s">
        <v>4220</v>
      </c>
      <c r="D957" s="2" t="s">
        <v>1461</v>
      </c>
      <c r="E957" s="2" t="s">
        <v>183</v>
      </c>
      <c r="F957" s="2">
        <v>1970</v>
      </c>
      <c r="G957" s="2" t="s">
        <v>184</v>
      </c>
      <c r="H957" s="2" t="s">
        <v>4221</v>
      </c>
      <c r="I957" s="2" t="s">
        <v>185</v>
      </c>
      <c r="J957" s="2" t="s">
        <v>270</v>
      </c>
      <c r="K957" s="2" t="s">
        <v>187</v>
      </c>
      <c r="L957" s="2" t="s">
        <v>2598</v>
      </c>
    </row>
    <row r="958" spans="1:12">
      <c r="A958" s="2" t="s">
        <v>1463</v>
      </c>
      <c r="B958" s="2" t="s">
        <v>1464</v>
      </c>
      <c r="C958" s="2" t="s">
        <v>4222</v>
      </c>
      <c r="D958" s="2" t="s">
        <v>1461</v>
      </c>
      <c r="E958" s="2" t="s">
        <v>223</v>
      </c>
      <c r="F958" s="2">
        <v>2001</v>
      </c>
      <c r="G958" s="2" t="s">
        <v>184</v>
      </c>
      <c r="H958" s="2" t="s">
        <v>4223</v>
      </c>
      <c r="I958" s="2" t="s">
        <v>237</v>
      </c>
      <c r="J958" s="2" t="s">
        <v>270</v>
      </c>
      <c r="K958" s="2" t="s">
        <v>187</v>
      </c>
      <c r="L958" s="2" t="s">
        <v>4224</v>
      </c>
    </row>
    <row r="959" spans="1:12">
      <c r="A959" s="2" t="s">
        <v>1463</v>
      </c>
      <c r="B959" s="2" t="s">
        <v>1464</v>
      </c>
      <c r="C959" s="2" t="s">
        <v>4225</v>
      </c>
      <c r="D959" s="2" t="s">
        <v>1461</v>
      </c>
      <c r="E959" s="2" t="s">
        <v>183</v>
      </c>
      <c r="F959" s="2">
        <v>2011</v>
      </c>
      <c r="G959" s="2" t="s">
        <v>184</v>
      </c>
      <c r="H959" s="2" t="s">
        <v>4226</v>
      </c>
      <c r="I959" s="2" t="s">
        <v>237</v>
      </c>
      <c r="J959" s="2" t="s">
        <v>186</v>
      </c>
      <c r="K959" s="2" t="s">
        <v>188</v>
      </c>
    </row>
    <row r="960" spans="1:12">
      <c r="A960" s="2" t="s">
        <v>1438</v>
      </c>
      <c r="B960" s="2" t="s">
        <v>1438</v>
      </c>
      <c r="C960" s="2" t="s">
        <v>4227</v>
      </c>
      <c r="D960" s="2" t="s">
        <v>1435</v>
      </c>
      <c r="E960" s="2" t="s">
        <v>223</v>
      </c>
      <c r="F960" s="2">
        <v>1981</v>
      </c>
      <c r="G960" s="2" t="s">
        <v>184</v>
      </c>
      <c r="H960" s="2" t="s">
        <v>4110</v>
      </c>
      <c r="I960" s="2" t="s">
        <v>225</v>
      </c>
      <c r="J960" s="2" t="s">
        <v>603</v>
      </c>
      <c r="K960" s="2" t="s">
        <v>187</v>
      </c>
      <c r="L960" s="2" t="s">
        <v>4228</v>
      </c>
    </row>
    <row r="961" spans="1:12">
      <c r="A961" s="2" t="s">
        <v>1438</v>
      </c>
      <c r="B961" s="2" t="s">
        <v>1438</v>
      </c>
      <c r="C961" s="2" t="s">
        <v>4229</v>
      </c>
      <c r="D961" s="2" t="s">
        <v>1435</v>
      </c>
      <c r="E961" s="2" t="s">
        <v>223</v>
      </c>
      <c r="F961" s="2">
        <v>2019</v>
      </c>
      <c r="G961" s="2" t="s">
        <v>184</v>
      </c>
      <c r="H961" s="2" t="s">
        <v>1064</v>
      </c>
      <c r="I961" s="2" t="s">
        <v>237</v>
      </c>
      <c r="J961" s="2" t="s">
        <v>291</v>
      </c>
      <c r="K961" s="2" t="s">
        <v>188</v>
      </c>
    </row>
    <row r="962" spans="1:12">
      <c r="A962" s="2" t="s">
        <v>1438</v>
      </c>
      <c r="B962" s="2" t="s">
        <v>1438</v>
      </c>
      <c r="C962" s="2" t="s">
        <v>4230</v>
      </c>
      <c r="D962" s="2" t="s">
        <v>1435</v>
      </c>
      <c r="E962" s="2" t="s">
        <v>223</v>
      </c>
      <c r="F962" s="2">
        <v>2020</v>
      </c>
      <c r="G962" s="2" t="s">
        <v>184</v>
      </c>
      <c r="H962" s="2" t="s">
        <v>4231</v>
      </c>
      <c r="I962" s="2" t="s">
        <v>237</v>
      </c>
      <c r="J962" s="2" t="s">
        <v>291</v>
      </c>
      <c r="K962" s="2" t="s">
        <v>188</v>
      </c>
    </row>
    <row r="963" spans="1:12">
      <c r="A963" s="2" t="s">
        <v>1438</v>
      </c>
      <c r="B963" s="2" t="s">
        <v>1438</v>
      </c>
      <c r="C963" s="2" t="s">
        <v>4232</v>
      </c>
      <c r="D963" s="2" t="s">
        <v>1435</v>
      </c>
      <c r="E963" s="2" t="s">
        <v>183</v>
      </c>
      <c r="F963" s="2">
        <v>2003</v>
      </c>
      <c r="G963" s="2" t="s">
        <v>184</v>
      </c>
      <c r="H963" s="2" t="s">
        <v>4233</v>
      </c>
      <c r="I963" s="2" t="s">
        <v>237</v>
      </c>
      <c r="J963" s="2" t="s">
        <v>270</v>
      </c>
      <c r="K963" s="2" t="s">
        <v>187</v>
      </c>
      <c r="L963" s="2" t="s">
        <v>3074</v>
      </c>
    </row>
    <row r="964" spans="1:12">
      <c r="A964" s="2" t="s">
        <v>1438</v>
      </c>
      <c r="B964" s="2" t="s">
        <v>1438</v>
      </c>
      <c r="C964" s="2" t="s">
        <v>4234</v>
      </c>
      <c r="D964" s="2" t="s">
        <v>1435</v>
      </c>
      <c r="E964" s="2" t="s">
        <v>183</v>
      </c>
      <c r="F964" s="2">
        <v>2005</v>
      </c>
      <c r="G964" s="2" t="s">
        <v>184</v>
      </c>
      <c r="H964" s="2" t="s">
        <v>4235</v>
      </c>
      <c r="I964" s="2" t="s">
        <v>237</v>
      </c>
      <c r="J964" s="2" t="s">
        <v>270</v>
      </c>
      <c r="K964" s="2" t="s">
        <v>187</v>
      </c>
      <c r="L964" s="2" t="s">
        <v>2574</v>
      </c>
    </row>
    <row r="965" spans="1:12">
      <c r="A965" s="2" t="s">
        <v>1438</v>
      </c>
      <c r="B965" s="2" t="s">
        <v>1438</v>
      </c>
      <c r="C965" s="2" t="s">
        <v>4236</v>
      </c>
      <c r="D965" s="2" t="s">
        <v>1435</v>
      </c>
      <c r="E965" s="2" t="s">
        <v>183</v>
      </c>
      <c r="F965" s="2">
        <v>2015</v>
      </c>
      <c r="G965" s="2" t="s">
        <v>184</v>
      </c>
      <c r="H965" s="2" t="s">
        <v>4237</v>
      </c>
      <c r="I965" s="2" t="s">
        <v>237</v>
      </c>
      <c r="J965" s="2" t="s">
        <v>291</v>
      </c>
      <c r="K965" s="2" t="s">
        <v>188</v>
      </c>
    </row>
    <row r="966" spans="1:12">
      <c r="A966" s="2" t="s">
        <v>1438</v>
      </c>
      <c r="B966" s="2" t="s">
        <v>1438</v>
      </c>
      <c r="C966" s="2" t="s">
        <v>4238</v>
      </c>
      <c r="D966" s="2" t="s">
        <v>1435</v>
      </c>
      <c r="E966" s="2" t="s">
        <v>183</v>
      </c>
      <c r="F966" s="2">
        <v>2013</v>
      </c>
      <c r="G966" s="2" t="s">
        <v>184</v>
      </c>
      <c r="H966" s="2" t="s">
        <v>4239</v>
      </c>
      <c r="I966" s="2" t="s">
        <v>237</v>
      </c>
      <c r="J966" s="2" t="s">
        <v>291</v>
      </c>
      <c r="K966" s="2" t="s">
        <v>188</v>
      </c>
    </row>
    <row r="967" spans="1:12">
      <c r="A967" s="2" t="s">
        <v>1627</v>
      </c>
      <c r="B967" s="2" t="s">
        <v>1627</v>
      </c>
      <c r="C967" s="2" t="s">
        <v>4240</v>
      </c>
      <c r="D967" s="2" t="s">
        <v>1625</v>
      </c>
      <c r="E967" s="2" t="s">
        <v>223</v>
      </c>
      <c r="F967" s="2">
        <v>1960</v>
      </c>
      <c r="G967" s="2" t="s">
        <v>184</v>
      </c>
      <c r="H967" s="2" t="s">
        <v>4241</v>
      </c>
      <c r="I967" s="2" t="s">
        <v>225</v>
      </c>
      <c r="J967" s="2" t="s">
        <v>270</v>
      </c>
      <c r="K967" s="2" t="s">
        <v>188</v>
      </c>
    </row>
    <row r="968" spans="1:12">
      <c r="A968" s="2" t="s">
        <v>1627</v>
      </c>
      <c r="B968" s="2" t="s">
        <v>1627</v>
      </c>
      <c r="C968" s="2" t="s">
        <v>4242</v>
      </c>
      <c r="D968" s="2" t="s">
        <v>1625</v>
      </c>
      <c r="E968" s="2" t="s">
        <v>223</v>
      </c>
      <c r="F968" s="2">
        <v>2002</v>
      </c>
      <c r="G968" s="2" t="s">
        <v>184</v>
      </c>
      <c r="H968" s="2" t="s">
        <v>4243</v>
      </c>
      <c r="I968" s="2" t="s">
        <v>237</v>
      </c>
      <c r="J968" s="2" t="s">
        <v>186</v>
      </c>
      <c r="K968" s="2" t="s">
        <v>187</v>
      </c>
      <c r="L968" s="2" t="s">
        <v>3094</v>
      </c>
    </row>
    <row r="969" spans="1:12">
      <c r="A969" s="2" t="s">
        <v>1651</v>
      </c>
      <c r="B969" s="2" t="s">
        <v>1652</v>
      </c>
      <c r="C969" s="2" t="s">
        <v>4244</v>
      </c>
      <c r="D969" s="2" t="s">
        <v>1647</v>
      </c>
      <c r="E969" s="2" t="s">
        <v>183</v>
      </c>
      <c r="F969" s="2">
        <v>2001</v>
      </c>
      <c r="G969" s="2" t="s">
        <v>224</v>
      </c>
      <c r="H969" s="2" t="s">
        <v>4245</v>
      </c>
      <c r="I969" s="2" t="s">
        <v>237</v>
      </c>
      <c r="J969" s="2" t="s">
        <v>739</v>
      </c>
      <c r="K969" s="2" t="s">
        <v>188</v>
      </c>
    </row>
    <row r="970" spans="1:12">
      <c r="A970" s="2" t="s">
        <v>1651</v>
      </c>
      <c r="B970" s="2" t="s">
        <v>1652</v>
      </c>
      <c r="C970" s="2" t="s">
        <v>4246</v>
      </c>
      <c r="D970" s="2" t="s">
        <v>1647</v>
      </c>
      <c r="E970" s="2" t="s">
        <v>223</v>
      </c>
      <c r="F970" s="2">
        <v>2004</v>
      </c>
      <c r="G970" s="2" t="s">
        <v>224</v>
      </c>
      <c r="H970" s="2" t="s">
        <v>4247</v>
      </c>
      <c r="I970" s="2" t="s">
        <v>237</v>
      </c>
      <c r="J970" s="2" t="s">
        <v>685</v>
      </c>
      <c r="K970" s="2" t="s">
        <v>188</v>
      </c>
    </row>
    <row r="971" spans="1:12">
      <c r="A971" s="2" t="s">
        <v>1684</v>
      </c>
      <c r="B971" s="2" t="s">
        <v>1685</v>
      </c>
      <c r="C971" s="2" t="s">
        <v>4248</v>
      </c>
      <c r="D971" s="2" t="s">
        <v>1682</v>
      </c>
      <c r="E971" s="2" t="s">
        <v>183</v>
      </c>
      <c r="F971" s="2">
        <v>1974</v>
      </c>
      <c r="G971" s="2" t="s">
        <v>224</v>
      </c>
      <c r="H971" s="2" t="s">
        <v>4249</v>
      </c>
      <c r="I971" s="2" t="s">
        <v>185</v>
      </c>
      <c r="J971" s="2" t="s">
        <v>186</v>
      </c>
      <c r="K971" s="2" t="s">
        <v>187</v>
      </c>
      <c r="L971" s="2" t="s">
        <v>2598</v>
      </c>
    </row>
    <row r="972" spans="1:12">
      <c r="A972" s="2" t="s">
        <v>1684</v>
      </c>
      <c r="B972" s="2" t="s">
        <v>1685</v>
      </c>
      <c r="C972" s="2" t="s">
        <v>4250</v>
      </c>
      <c r="D972" s="2" t="s">
        <v>1682</v>
      </c>
      <c r="E972" s="2" t="s">
        <v>183</v>
      </c>
      <c r="F972" s="2">
        <v>2003</v>
      </c>
      <c r="G972" s="2" t="s">
        <v>224</v>
      </c>
      <c r="H972" s="2" t="s">
        <v>4251</v>
      </c>
      <c r="I972" s="2" t="s">
        <v>237</v>
      </c>
      <c r="J972" s="2" t="s">
        <v>739</v>
      </c>
      <c r="K972" s="2" t="s">
        <v>188</v>
      </c>
    </row>
    <row r="973" spans="1:12">
      <c r="A973" s="2" t="s">
        <v>1684</v>
      </c>
      <c r="B973" s="2" t="s">
        <v>1685</v>
      </c>
      <c r="C973" s="2" t="s">
        <v>4252</v>
      </c>
      <c r="D973" s="2" t="s">
        <v>1682</v>
      </c>
      <c r="E973" s="2" t="s">
        <v>183</v>
      </c>
      <c r="F973" s="2">
        <v>2000</v>
      </c>
      <c r="G973" s="2" t="s">
        <v>224</v>
      </c>
      <c r="H973" s="2" t="s">
        <v>4253</v>
      </c>
      <c r="I973" s="2" t="s">
        <v>237</v>
      </c>
      <c r="J973" s="2" t="s">
        <v>739</v>
      </c>
      <c r="K973" s="2" t="s">
        <v>188</v>
      </c>
    </row>
    <row r="974" spans="1:12">
      <c r="A974" s="2" t="s">
        <v>1713</v>
      </c>
      <c r="B974" s="2" t="s">
        <v>1714</v>
      </c>
      <c r="C974" s="2" t="s">
        <v>4254</v>
      </c>
      <c r="D974" s="2" t="s">
        <v>1711</v>
      </c>
      <c r="E974" s="2" t="s">
        <v>183</v>
      </c>
      <c r="F974" s="2">
        <v>1983</v>
      </c>
      <c r="G974" s="2" t="s">
        <v>224</v>
      </c>
      <c r="H974" s="2" t="s">
        <v>1714</v>
      </c>
      <c r="I974" s="2" t="s">
        <v>185</v>
      </c>
      <c r="J974" s="2" t="s">
        <v>186</v>
      </c>
      <c r="K974" s="2" t="s">
        <v>187</v>
      </c>
      <c r="L974" s="2" t="s">
        <v>2598</v>
      </c>
    </row>
    <row r="975" spans="1:12">
      <c r="A975" s="2" t="s">
        <v>1713</v>
      </c>
      <c r="B975" s="2" t="s">
        <v>1714</v>
      </c>
      <c r="C975" s="2" t="s">
        <v>4255</v>
      </c>
      <c r="D975" s="2" t="s">
        <v>1711</v>
      </c>
      <c r="E975" s="2" t="s">
        <v>183</v>
      </c>
      <c r="F975" s="2">
        <v>2010</v>
      </c>
      <c r="G975" s="2" t="s">
        <v>224</v>
      </c>
      <c r="H975" s="2" t="s">
        <v>4256</v>
      </c>
      <c r="I975" s="2" t="s">
        <v>237</v>
      </c>
      <c r="J975" s="2" t="s">
        <v>186</v>
      </c>
      <c r="K975" s="2" t="s">
        <v>188</v>
      </c>
    </row>
    <row r="976" spans="1:12">
      <c r="A976" s="2" t="s">
        <v>1713</v>
      </c>
      <c r="B976" s="2" t="s">
        <v>1714</v>
      </c>
      <c r="C976" s="2" t="s">
        <v>4257</v>
      </c>
      <c r="D976" s="2" t="s">
        <v>1711</v>
      </c>
      <c r="E976" s="2" t="s">
        <v>183</v>
      </c>
      <c r="F976" s="2">
        <v>2013</v>
      </c>
      <c r="G976" s="2" t="s">
        <v>224</v>
      </c>
      <c r="H976" s="2" t="s">
        <v>4258</v>
      </c>
      <c r="I976" s="2" t="s">
        <v>237</v>
      </c>
      <c r="J976" s="2" t="s">
        <v>291</v>
      </c>
      <c r="K976" s="2" t="s">
        <v>188</v>
      </c>
    </row>
    <row r="977" spans="1:12">
      <c r="A977" s="2" t="s">
        <v>1755</v>
      </c>
      <c r="B977" s="2" t="s">
        <v>1756</v>
      </c>
      <c r="C977" s="2" t="s">
        <v>4259</v>
      </c>
      <c r="D977" s="2" t="s">
        <v>1753</v>
      </c>
      <c r="E977" s="2" t="s">
        <v>183</v>
      </c>
      <c r="F977" s="2">
        <v>2015</v>
      </c>
      <c r="G977" s="2" t="s">
        <v>224</v>
      </c>
      <c r="H977" s="2" t="s">
        <v>4260</v>
      </c>
      <c r="I977" s="2" t="s">
        <v>237</v>
      </c>
      <c r="J977" s="2" t="s">
        <v>291</v>
      </c>
      <c r="K977" s="2" t="s">
        <v>188</v>
      </c>
    </row>
    <row r="978" spans="1:12">
      <c r="A978" s="2" t="s">
        <v>1755</v>
      </c>
      <c r="B978" s="2" t="s">
        <v>1756</v>
      </c>
      <c r="C978" s="2" t="s">
        <v>4261</v>
      </c>
      <c r="D978" s="2" t="s">
        <v>1753</v>
      </c>
      <c r="E978" s="2" t="s">
        <v>183</v>
      </c>
      <c r="F978" s="2">
        <v>2012</v>
      </c>
      <c r="G978" s="2" t="s">
        <v>224</v>
      </c>
      <c r="H978" s="2" t="s">
        <v>4262</v>
      </c>
      <c r="I978" s="2" t="s">
        <v>237</v>
      </c>
      <c r="J978" s="2" t="s">
        <v>291</v>
      </c>
      <c r="K978" s="2" t="s">
        <v>188</v>
      </c>
    </row>
    <row r="979" spans="1:12">
      <c r="A979" s="2" t="s">
        <v>1785</v>
      </c>
      <c r="B979" s="2" t="s">
        <v>1675</v>
      </c>
      <c r="C979" s="2" t="s">
        <v>4263</v>
      </c>
      <c r="D979" s="2" t="s">
        <v>1783</v>
      </c>
      <c r="E979" s="2" t="s">
        <v>223</v>
      </c>
      <c r="F979" s="2">
        <v>2003</v>
      </c>
      <c r="G979" s="2" t="s">
        <v>224</v>
      </c>
      <c r="H979" s="2" t="s">
        <v>4264</v>
      </c>
      <c r="I979" s="2" t="s">
        <v>237</v>
      </c>
      <c r="J979" s="2" t="s">
        <v>685</v>
      </c>
      <c r="K979" s="2" t="s">
        <v>188</v>
      </c>
    </row>
    <row r="980" spans="1:12">
      <c r="A980" s="2" t="s">
        <v>1785</v>
      </c>
      <c r="B980" s="2" t="s">
        <v>1675</v>
      </c>
      <c r="C980" s="2" t="s">
        <v>4265</v>
      </c>
      <c r="D980" s="2" t="s">
        <v>1783</v>
      </c>
      <c r="E980" s="2" t="s">
        <v>183</v>
      </c>
      <c r="F980" s="2">
        <v>1977</v>
      </c>
      <c r="G980" s="2" t="s">
        <v>224</v>
      </c>
      <c r="H980" s="2" t="s">
        <v>1675</v>
      </c>
      <c r="I980" s="2" t="s">
        <v>185</v>
      </c>
      <c r="J980" s="2" t="s">
        <v>186</v>
      </c>
      <c r="K980" s="2" t="s">
        <v>187</v>
      </c>
      <c r="L980" s="2" t="s">
        <v>2598</v>
      </c>
    </row>
    <row r="981" spans="1:12">
      <c r="A981" s="2" t="s">
        <v>1785</v>
      </c>
      <c r="B981" s="2" t="s">
        <v>1675</v>
      </c>
      <c r="C981" s="2" t="s">
        <v>4266</v>
      </c>
      <c r="D981" s="2" t="s">
        <v>1783</v>
      </c>
      <c r="E981" s="2" t="s">
        <v>223</v>
      </c>
      <c r="F981" s="2">
        <v>2000</v>
      </c>
      <c r="G981" s="2" t="s">
        <v>224</v>
      </c>
      <c r="H981" s="2" t="s">
        <v>4267</v>
      </c>
      <c r="I981" s="2" t="s">
        <v>237</v>
      </c>
      <c r="J981" s="2" t="s">
        <v>685</v>
      </c>
      <c r="K981" s="2" t="s">
        <v>188</v>
      </c>
    </row>
    <row r="982" spans="1:12">
      <c r="A982" s="2" t="s">
        <v>1805</v>
      </c>
      <c r="B982" s="2" t="s">
        <v>1806</v>
      </c>
      <c r="C982" s="2" t="s">
        <v>4268</v>
      </c>
      <c r="D982" s="2" t="s">
        <v>1803</v>
      </c>
      <c r="E982" s="2" t="s">
        <v>223</v>
      </c>
      <c r="F982" s="2">
        <v>2016</v>
      </c>
      <c r="G982" s="2" t="s">
        <v>224</v>
      </c>
      <c r="H982" s="2" t="s">
        <v>4269</v>
      </c>
      <c r="I982" s="2" t="s">
        <v>237</v>
      </c>
      <c r="J982" s="2" t="s">
        <v>291</v>
      </c>
      <c r="K982" s="2" t="s">
        <v>188</v>
      </c>
    </row>
    <row r="983" spans="1:12">
      <c r="A983" s="2" t="s">
        <v>1805</v>
      </c>
      <c r="B983" s="2" t="s">
        <v>1806</v>
      </c>
      <c r="C983" s="2" t="s">
        <v>4270</v>
      </c>
      <c r="D983" s="2" t="s">
        <v>1803</v>
      </c>
      <c r="E983" s="2" t="s">
        <v>183</v>
      </c>
      <c r="F983" s="2">
        <v>1979</v>
      </c>
      <c r="G983" s="2" t="s">
        <v>224</v>
      </c>
      <c r="H983" s="2" t="s">
        <v>1806</v>
      </c>
      <c r="I983" s="2" t="s">
        <v>185</v>
      </c>
      <c r="J983" s="2" t="s">
        <v>186</v>
      </c>
      <c r="K983" s="2" t="s">
        <v>187</v>
      </c>
      <c r="L983" s="2" t="s">
        <v>4271</v>
      </c>
    </row>
    <row r="984" spans="1:12">
      <c r="A984" s="2" t="s">
        <v>1805</v>
      </c>
      <c r="B984" s="2" t="s">
        <v>1806</v>
      </c>
      <c r="C984" s="2" t="s">
        <v>4272</v>
      </c>
      <c r="D984" s="2" t="s">
        <v>1803</v>
      </c>
      <c r="E984" s="2" t="s">
        <v>183</v>
      </c>
      <c r="F984" s="2">
        <v>2008</v>
      </c>
      <c r="G984" s="2" t="s">
        <v>224</v>
      </c>
      <c r="H984" s="2" t="s">
        <v>4273</v>
      </c>
      <c r="I984" s="2" t="s">
        <v>237</v>
      </c>
      <c r="J984" s="2" t="s">
        <v>226</v>
      </c>
      <c r="K984" s="2" t="s">
        <v>188</v>
      </c>
    </row>
    <row r="985" spans="1:12">
      <c r="A985" s="2" t="s">
        <v>1805</v>
      </c>
      <c r="B985" s="2" t="s">
        <v>1806</v>
      </c>
      <c r="C985" s="2" t="s">
        <v>4274</v>
      </c>
      <c r="D985" s="2" t="s">
        <v>1803</v>
      </c>
      <c r="E985" s="2" t="s">
        <v>183</v>
      </c>
      <c r="F985" s="2">
        <v>2005</v>
      </c>
      <c r="G985" s="2" t="s">
        <v>224</v>
      </c>
      <c r="H985" s="2" t="s">
        <v>4275</v>
      </c>
      <c r="I985" s="2" t="s">
        <v>237</v>
      </c>
      <c r="J985" s="2" t="s">
        <v>685</v>
      </c>
      <c r="K985" s="2" t="s">
        <v>188</v>
      </c>
    </row>
    <row r="986" spans="1:12">
      <c r="A986" s="2" t="s">
        <v>1819</v>
      </c>
      <c r="B986" s="2" t="s">
        <v>1820</v>
      </c>
      <c r="C986" s="2" t="s">
        <v>4276</v>
      </c>
      <c r="D986" s="2" t="s">
        <v>1817</v>
      </c>
      <c r="E986" s="2" t="s">
        <v>223</v>
      </c>
      <c r="F986" s="2">
        <v>2022</v>
      </c>
      <c r="G986" s="2" t="s">
        <v>224</v>
      </c>
      <c r="H986" s="2" t="s">
        <v>2904</v>
      </c>
      <c r="I986" s="2" t="s">
        <v>237</v>
      </c>
      <c r="J986" s="2" t="s">
        <v>685</v>
      </c>
      <c r="K986" s="2" t="s">
        <v>188</v>
      </c>
    </row>
    <row r="987" spans="1:12">
      <c r="A987" s="2" t="s">
        <v>1819</v>
      </c>
      <c r="B987" s="2" t="s">
        <v>1820</v>
      </c>
      <c r="C987" s="2" t="s">
        <v>4277</v>
      </c>
      <c r="D987" s="2" t="s">
        <v>1817</v>
      </c>
      <c r="E987" s="2" t="s">
        <v>183</v>
      </c>
      <c r="F987" s="2">
        <v>2004</v>
      </c>
      <c r="G987" s="2" t="s">
        <v>224</v>
      </c>
      <c r="H987" s="2" t="s">
        <v>2906</v>
      </c>
      <c r="J987" s="2" t="s">
        <v>685</v>
      </c>
      <c r="K987" s="2" t="s">
        <v>188</v>
      </c>
    </row>
    <row r="988" spans="1:12">
      <c r="A988" s="2" t="s">
        <v>1819</v>
      </c>
      <c r="B988" s="2" t="s">
        <v>1820</v>
      </c>
      <c r="C988" s="2" t="s">
        <v>4278</v>
      </c>
      <c r="D988" s="2" t="s">
        <v>1817</v>
      </c>
      <c r="E988" s="2" t="s">
        <v>183</v>
      </c>
      <c r="F988" s="2">
        <v>2007</v>
      </c>
      <c r="G988" s="2" t="s">
        <v>224</v>
      </c>
      <c r="H988" s="2" t="s">
        <v>4279</v>
      </c>
      <c r="I988" s="2" t="s">
        <v>237</v>
      </c>
      <c r="J988" s="2" t="s">
        <v>685</v>
      </c>
      <c r="K988" s="2" t="s">
        <v>188</v>
      </c>
    </row>
    <row r="989" spans="1:12">
      <c r="A989" s="2" t="s">
        <v>1919</v>
      </c>
      <c r="B989" s="2" t="s">
        <v>1920</v>
      </c>
      <c r="C989" s="2" t="s">
        <v>4280</v>
      </c>
      <c r="D989" s="2" t="s">
        <v>1917</v>
      </c>
      <c r="E989" s="2" t="s">
        <v>183</v>
      </c>
      <c r="F989" s="2">
        <v>2006</v>
      </c>
      <c r="G989" s="2" t="s">
        <v>224</v>
      </c>
      <c r="H989" s="2" t="s">
        <v>4281</v>
      </c>
      <c r="I989" s="2" t="s">
        <v>237</v>
      </c>
      <c r="J989" s="2" t="s">
        <v>226</v>
      </c>
      <c r="K989" s="2" t="s">
        <v>188</v>
      </c>
    </row>
    <row r="990" spans="1:12">
      <c r="A990" s="2" t="s">
        <v>1919</v>
      </c>
      <c r="B990" s="2" t="s">
        <v>1920</v>
      </c>
      <c r="C990" s="2" t="s">
        <v>4282</v>
      </c>
      <c r="D990" s="2" t="s">
        <v>1917</v>
      </c>
      <c r="E990" s="2" t="s">
        <v>183</v>
      </c>
      <c r="F990" s="2">
        <v>2012</v>
      </c>
      <c r="G990" s="2" t="s">
        <v>224</v>
      </c>
      <c r="H990" s="2" t="s">
        <v>4283</v>
      </c>
      <c r="I990" s="2" t="s">
        <v>237</v>
      </c>
    </row>
    <row r="991" spans="1:12">
      <c r="A991" s="2" t="s">
        <v>1919</v>
      </c>
      <c r="B991" s="2" t="s">
        <v>1920</v>
      </c>
      <c r="C991" s="2" t="s">
        <v>4284</v>
      </c>
      <c r="D991" s="2" t="s">
        <v>1917</v>
      </c>
      <c r="E991" s="2" t="s">
        <v>223</v>
      </c>
      <c r="F991" s="2">
        <v>2011</v>
      </c>
      <c r="G991" s="2" t="s">
        <v>224</v>
      </c>
      <c r="H991" s="2" t="s">
        <v>4285</v>
      </c>
      <c r="I991" s="2" t="s">
        <v>237</v>
      </c>
      <c r="J991" s="2" t="s">
        <v>186</v>
      </c>
      <c r="K991" s="2" t="s">
        <v>188</v>
      </c>
    </row>
    <row r="992" spans="1:12">
      <c r="A992" s="2" t="s">
        <v>1919</v>
      </c>
      <c r="B992" s="2" t="s">
        <v>1920</v>
      </c>
      <c r="C992" s="2" t="s">
        <v>4286</v>
      </c>
      <c r="D992" s="2" t="s">
        <v>1917</v>
      </c>
      <c r="E992" s="2" t="s">
        <v>183</v>
      </c>
      <c r="F992" s="2">
        <v>1965</v>
      </c>
      <c r="G992" s="2" t="s">
        <v>224</v>
      </c>
      <c r="H992" s="2" t="s">
        <v>4287</v>
      </c>
      <c r="I992" s="2" t="s">
        <v>185</v>
      </c>
      <c r="J992" s="2" t="s">
        <v>186</v>
      </c>
      <c r="K992" s="2" t="s">
        <v>187</v>
      </c>
      <c r="L992" s="2" t="s">
        <v>2598</v>
      </c>
    </row>
    <row r="993" spans="1:12">
      <c r="A993" s="2" t="s">
        <v>1864</v>
      </c>
      <c r="B993" s="2" t="s">
        <v>1865</v>
      </c>
      <c r="C993" s="2" t="s">
        <v>4288</v>
      </c>
      <c r="D993" s="2" t="s">
        <v>1862</v>
      </c>
      <c r="E993" s="2" t="s">
        <v>183</v>
      </c>
      <c r="F993" s="2">
        <v>2016</v>
      </c>
      <c r="G993" s="2" t="s">
        <v>224</v>
      </c>
      <c r="H993" s="2" t="s">
        <v>4289</v>
      </c>
      <c r="I993" s="2" t="s">
        <v>237</v>
      </c>
      <c r="J993" s="2" t="s">
        <v>291</v>
      </c>
      <c r="K993" s="2" t="s">
        <v>188</v>
      </c>
    </row>
    <row r="994" spans="1:12">
      <c r="A994" s="2" t="s">
        <v>1864</v>
      </c>
      <c r="B994" s="2" t="s">
        <v>1865</v>
      </c>
      <c r="C994" s="2" t="s">
        <v>4290</v>
      </c>
      <c r="D994" s="2" t="s">
        <v>1862</v>
      </c>
      <c r="E994" s="2" t="s">
        <v>183</v>
      </c>
      <c r="F994" s="2">
        <v>1988</v>
      </c>
      <c r="G994" s="2" t="s">
        <v>224</v>
      </c>
      <c r="H994" s="2" t="s">
        <v>3497</v>
      </c>
      <c r="I994" s="2" t="s">
        <v>185</v>
      </c>
      <c r="J994" s="2" t="s">
        <v>226</v>
      </c>
      <c r="K994" s="2" t="s">
        <v>187</v>
      </c>
      <c r="L994" s="2" t="s">
        <v>2598</v>
      </c>
    </row>
    <row r="995" spans="1:12">
      <c r="A995" s="2" t="s">
        <v>1864</v>
      </c>
      <c r="B995" s="2" t="s">
        <v>1865</v>
      </c>
      <c r="C995" s="2" t="s">
        <v>4291</v>
      </c>
      <c r="D995" s="2" t="s">
        <v>1862</v>
      </c>
      <c r="E995" s="2" t="s">
        <v>223</v>
      </c>
      <c r="F995" s="2">
        <v>2012</v>
      </c>
      <c r="G995" s="2" t="s">
        <v>224</v>
      </c>
      <c r="H995" s="2" t="s">
        <v>4292</v>
      </c>
      <c r="I995" s="2" t="s">
        <v>237</v>
      </c>
      <c r="J995" s="2" t="s">
        <v>291</v>
      </c>
      <c r="K995" s="2" t="s">
        <v>188</v>
      </c>
    </row>
    <row r="996" spans="1:12">
      <c r="A996" s="2" t="s">
        <v>1883</v>
      </c>
      <c r="B996" s="2" t="s">
        <v>1884</v>
      </c>
      <c r="C996" s="2" t="s">
        <v>4293</v>
      </c>
      <c r="D996" s="2" t="s">
        <v>1881</v>
      </c>
      <c r="E996" s="2" t="s">
        <v>183</v>
      </c>
      <c r="F996" s="2">
        <v>1985</v>
      </c>
      <c r="G996" s="2" t="s">
        <v>224</v>
      </c>
      <c r="H996" s="2" t="s">
        <v>4294</v>
      </c>
      <c r="I996" s="2" t="s">
        <v>185</v>
      </c>
      <c r="J996" s="2" t="s">
        <v>186</v>
      </c>
      <c r="K996" s="2" t="s">
        <v>187</v>
      </c>
      <c r="L996" s="2" t="s">
        <v>3364</v>
      </c>
    </row>
    <row r="997" spans="1:12">
      <c r="A997" s="2" t="s">
        <v>1883</v>
      </c>
      <c r="B997" s="2" t="s">
        <v>1884</v>
      </c>
      <c r="C997" s="2" t="s">
        <v>4295</v>
      </c>
      <c r="D997" s="2" t="s">
        <v>1881</v>
      </c>
      <c r="E997" s="2" t="s">
        <v>183</v>
      </c>
      <c r="F997" s="2">
        <v>2013</v>
      </c>
      <c r="G997" s="2" t="s">
        <v>224</v>
      </c>
      <c r="H997" s="2" t="s">
        <v>4296</v>
      </c>
      <c r="I997" s="2" t="s">
        <v>237</v>
      </c>
      <c r="J997" s="2" t="s">
        <v>291</v>
      </c>
      <c r="K997" s="2" t="s">
        <v>188</v>
      </c>
    </row>
    <row r="998" spans="1:12">
      <c r="A998" s="2" t="s">
        <v>1883</v>
      </c>
      <c r="B998" s="2" t="s">
        <v>1884</v>
      </c>
      <c r="C998" s="2" t="s">
        <v>4297</v>
      </c>
      <c r="D998" s="2" t="s">
        <v>1881</v>
      </c>
      <c r="E998" s="2" t="s">
        <v>183</v>
      </c>
      <c r="F998" s="2">
        <v>2015</v>
      </c>
      <c r="G998" s="2" t="s">
        <v>224</v>
      </c>
      <c r="H998" s="2" t="s">
        <v>4298</v>
      </c>
      <c r="I998" s="2" t="s">
        <v>237</v>
      </c>
      <c r="J998" s="2" t="s">
        <v>291</v>
      </c>
      <c r="K998" s="2" t="s">
        <v>188</v>
      </c>
    </row>
    <row r="999" spans="1:12">
      <c r="A999" s="2" t="s">
        <v>1883</v>
      </c>
      <c r="B999" s="2" t="s">
        <v>1884</v>
      </c>
      <c r="C999" s="2" t="s">
        <v>4299</v>
      </c>
      <c r="D999" s="2" t="s">
        <v>1881</v>
      </c>
      <c r="E999" s="2" t="s">
        <v>183</v>
      </c>
      <c r="F999" s="2">
        <v>2022</v>
      </c>
      <c r="G999" s="2" t="s">
        <v>224</v>
      </c>
      <c r="H999" s="2" t="s">
        <v>4300</v>
      </c>
      <c r="I999" s="2" t="s">
        <v>237</v>
      </c>
      <c r="J999" s="2" t="s">
        <v>291</v>
      </c>
    </row>
    <row r="1000" spans="1:12">
      <c r="A1000" s="2" t="s">
        <v>1937</v>
      </c>
      <c r="B1000" s="2" t="s">
        <v>1938</v>
      </c>
      <c r="C1000" s="2" t="s">
        <v>4301</v>
      </c>
      <c r="D1000" s="2" t="s">
        <v>1935</v>
      </c>
      <c r="E1000" s="2" t="s">
        <v>183</v>
      </c>
      <c r="F1000" s="2">
        <v>2006</v>
      </c>
      <c r="G1000" s="2" t="s">
        <v>224</v>
      </c>
      <c r="H1000" s="2" t="s">
        <v>4302</v>
      </c>
      <c r="I1000" s="2" t="s">
        <v>237</v>
      </c>
      <c r="J1000" s="2" t="s">
        <v>685</v>
      </c>
      <c r="K1000" s="2" t="s">
        <v>188</v>
      </c>
    </row>
    <row r="1001" spans="1:12">
      <c r="A1001" s="2" t="s">
        <v>1937</v>
      </c>
      <c r="B1001" s="2" t="s">
        <v>1938</v>
      </c>
      <c r="C1001" s="2" t="s">
        <v>4303</v>
      </c>
      <c r="D1001" s="2" t="s">
        <v>1935</v>
      </c>
      <c r="E1001" s="2" t="s">
        <v>223</v>
      </c>
      <c r="F1001" s="2">
        <v>2010</v>
      </c>
      <c r="G1001" s="2" t="s">
        <v>224</v>
      </c>
      <c r="H1001" s="2" t="s">
        <v>4304</v>
      </c>
      <c r="I1001" s="2" t="s">
        <v>237</v>
      </c>
      <c r="J1001" s="2" t="s">
        <v>291</v>
      </c>
      <c r="K1001" s="2" t="s">
        <v>188</v>
      </c>
    </row>
    <row r="1002" spans="1:12">
      <c r="A1002" s="2" t="s">
        <v>1937</v>
      </c>
      <c r="B1002" s="2" t="s">
        <v>1938</v>
      </c>
      <c r="C1002" s="2" t="s">
        <v>4305</v>
      </c>
      <c r="D1002" s="2" t="s">
        <v>1935</v>
      </c>
      <c r="E1002" s="2" t="s">
        <v>183</v>
      </c>
      <c r="F1002" s="2">
        <v>1978</v>
      </c>
      <c r="G1002" s="2" t="s">
        <v>224</v>
      </c>
      <c r="H1002" s="2" t="s">
        <v>4306</v>
      </c>
      <c r="I1002" s="2" t="s">
        <v>185</v>
      </c>
      <c r="J1002" s="2" t="s">
        <v>186</v>
      </c>
      <c r="K1002" s="2" t="s">
        <v>187</v>
      </c>
      <c r="L1002" s="2" t="s">
        <v>2598</v>
      </c>
    </row>
    <row r="1003" spans="1:12">
      <c r="A1003" s="2" t="s">
        <v>1937</v>
      </c>
      <c r="B1003" s="2" t="s">
        <v>1938</v>
      </c>
      <c r="C1003" s="2" t="s">
        <v>4307</v>
      </c>
      <c r="D1003" s="2" t="s">
        <v>1935</v>
      </c>
      <c r="E1003" s="2" t="s">
        <v>223</v>
      </c>
      <c r="F1003" s="2">
        <v>2002</v>
      </c>
      <c r="G1003" s="2" t="s">
        <v>224</v>
      </c>
      <c r="H1003" s="2" t="s">
        <v>4308</v>
      </c>
      <c r="J1003" s="2" t="s">
        <v>685</v>
      </c>
      <c r="K1003" s="2" t="s">
        <v>188</v>
      </c>
    </row>
    <row r="1004" spans="1:12">
      <c r="A1004" s="2" t="s">
        <v>1984</v>
      </c>
      <c r="B1004" s="2" t="s">
        <v>1985</v>
      </c>
      <c r="C1004" s="2" t="s">
        <v>4309</v>
      </c>
      <c r="D1004" s="2" t="s">
        <v>1981</v>
      </c>
      <c r="E1004" s="2" t="s">
        <v>183</v>
      </c>
      <c r="F1004" s="2">
        <v>2009</v>
      </c>
      <c r="G1004" s="2" t="s">
        <v>224</v>
      </c>
      <c r="H1004" s="2" t="s">
        <v>4310</v>
      </c>
      <c r="I1004" s="2" t="s">
        <v>237</v>
      </c>
      <c r="J1004" s="2" t="s">
        <v>291</v>
      </c>
      <c r="K1004" s="2" t="s">
        <v>188</v>
      </c>
    </row>
    <row r="1005" spans="1:12">
      <c r="A1005" s="2" t="s">
        <v>1984</v>
      </c>
      <c r="B1005" s="2" t="s">
        <v>1985</v>
      </c>
      <c r="C1005" s="2" t="s">
        <v>4311</v>
      </c>
      <c r="D1005" s="2" t="s">
        <v>1981</v>
      </c>
      <c r="E1005" s="2" t="s">
        <v>183</v>
      </c>
      <c r="F1005" s="2">
        <v>1983</v>
      </c>
      <c r="G1005" s="2" t="s">
        <v>224</v>
      </c>
      <c r="H1005" s="2" t="s">
        <v>1985</v>
      </c>
      <c r="I1005" s="2" t="s">
        <v>185</v>
      </c>
      <c r="J1005" s="2" t="s">
        <v>226</v>
      </c>
      <c r="K1005" s="2" t="s">
        <v>188</v>
      </c>
    </row>
    <row r="1006" spans="1:12">
      <c r="A1006" s="2" t="s">
        <v>2006</v>
      </c>
      <c r="B1006" s="2" t="s">
        <v>2007</v>
      </c>
      <c r="C1006" s="2" t="s">
        <v>4312</v>
      </c>
      <c r="D1006" s="2" t="s">
        <v>2004</v>
      </c>
      <c r="E1006" s="2" t="s">
        <v>183</v>
      </c>
      <c r="F1006" s="2">
        <v>1977</v>
      </c>
      <c r="G1006" s="2" t="s">
        <v>224</v>
      </c>
      <c r="H1006" s="2" t="s">
        <v>4313</v>
      </c>
      <c r="I1006" s="2" t="s">
        <v>185</v>
      </c>
      <c r="J1006" s="2" t="s">
        <v>270</v>
      </c>
      <c r="K1006" s="2" t="s">
        <v>187</v>
      </c>
      <c r="L1006" s="2" t="s">
        <v>2598</v>
      </c>
    </row>
    <row r="1007" spans="1:12">
      <c r="A1007" s="2" t="s">
        <v>2006</v>
      </c>
      <c r="B1007" s="2" t="s">
        <v>2007</v>
      </c>
      <c r="C1007" s="2" t="s">
        <v>4314</v>
      </c>
      <c r="D1007" s="2" t="s">
        <v>2004</v>
      </c>
      <c r="E1007" s="2" t="s">
        <v>183</v>
      </c>
      <c r="F1007" s="2">
        <v>2008</v>
      </c>
      <c r="G1007" s="2" t="s">
        <v>224</v>
      </c>
      <c r="H1007" s="2" t="s">
        <v>4315</v>
      </c>
      <c r="I1007" s="2" t="s">
        <v>237</v>
      </c>
      <c r="J1007" s="2" t="s">
        <v>226</v>
      </c>
      <c r="K1007" s="2" t="s">
        <v>187</v>
      </c>
      <c r="L1007" s="2" t="s">
        <v>3074</v>
      </c>
    </row>
    <row r="1008" spans="1:12">
      <c r="A1008" s="2" t="s">
        <v>2006</v>
      </c>
      <c r="B1008" s="2" t="s">
        <v>2007</v>
      </c>
      <c r="C1008" s="2" t="s">
        <v>4316</v>
      </c>
      <c r="D1008" s="2" t="s">
        <v>2004</v>
      </c>
      <c r="E1008" s="2" t="s">
        <v>223</v>
      </c>
      <c r="F1008" s="2">
        <v>2010</v>
      </c>
      <c r="G1008" s="2" t="s">
        <v>224</v>
      </c>
      <c r="H1008" s="2" t="s">
        <v>4317</v>
      </c>
      <c r="I1008" s="2" t="s">
        <v>237</v>
      </c>
      <c r="J1008" s="2" t="s">
        <v>291</v>
      </c>
      <c r="K1008" s="2" t="s">
        <v>188</v>
      </c>
    </row>
    <row r="1009" spans="1:12">
      <c r="A1009" s="2" t="s">
        <v>2023</v>
      </c>
      <c r="B1009" s="2" t="s">
        <v>2024</v>
      </c>
      <c r="C1009" s="2" t="s">
        <v>4318</v>
      </c>
      <c r="D1009" s="2" t="s">
        <v>2021</v>
      </c>
      <c r="E1009" s="2" t="s">
        <v>223</v>
      </c>
      <c r="F1009" s="2">
        <v>2000</v>
      </c>
      <c r="G1009" s="2" t="s">
        <v>224</v>
      </c>
      <c r="H1009" s="2" t="s">
        <v>4319</v>
      </c>
      <c r="I1009" s="2" t="s">
        <v>237</v>
      </c>
      <c r="J1009" s="2" t="s">
        <v>685</v>
      </c>
      <c r="K1009" s="2" t="s">
        <v>188</v>
      </c>
    </row>
    <row r="1010" spans="1:12">
      <c r="A1010" s="2" t="s">
        <v>2023</v>
      </c>
      <c r="B1010" s="2" t="s">
        <v>2024</v>
      </c>
      <c r="C1010" s="2" t="s">
        <v>4320</v>
      </c>
      <c r="D1010" s="2" t="s">
        <v>2021</v>
      </c>
      <c r="E1010" s="2" t="s">
        <v>183</v>
      </c>
      <c r="F1010" s="2">
        <v>2011</v>
      </c>
      <c r="G1010" s="2" t="s">
        <v>224</v>
      </c>
      <c r="H1010" s="2" t="s">
        <v>4321</v>
      </c>
      <c r="I1010" s="2" t="s">
        <v>237</v>
      </c>
      <c r="J1010" s="2" t="s">
        <v>291</v>
      </c>
      <c r="K1010" s="2" t="s">
        <v>188</v>
      </c>
    </row>
    <row r="1011" spans="1:12">
      <c r="A1011" s="2" t="s">
        <v>2023</v>
      </c>
      <c r="B1011" s="2" t="s">
        <v>2024</v>
      </c>
      <c r="C1011" s="2" t="s">
        <v>4322</v>
      </c>
      <c r="D1011" s="2" t="s">
        <v>2021</v>
      </c>
      <c r="E1011" s="2" t="s">
        <v>183</v>
      </c>
      <c r="F1011" s="2">
        <v>1977</v>
      </c>
      <c r="G1011" s="2" t="s">
        <v>224</v>
      </c>
      <c r="H1011" s="2" t="s">
        <v>2024</v>
      </c>
      <c r="I1011" s="2" t="s">
        <v>185</v>
      </c>
      <c r="J1011" s="2" t="s">
        <v>270</v>
      </c>
      <c r="K1011" s="2" t="s">
        <v>187</v>
      </c>
      <c r="L1011" s="2" t="s">
        <v>2598</v>
      </c>
    </row>
    <row r="1012" spans="1:12">
      <c r="A1012" s="2" t="s">
        <v>2023</v>
      </c>
      <c r="B1012" s="2" t="s">
        <v>2024</v>
      </c>
      <c r="C1012" s="2" t="s">
        <v>4323</v>
      </c>
      <c r="D1012" s="2" t="s">
        <v>2021</v>
      </c>
      <c r="E1012" s="2" t="s">
        <v>183</v>
      </c>
      <c r="F1012" s="2">
        <v>2006</v>
      </c>
      <c r="G1012" s="2" t="s">
        <v>224</v>
      </c>
      <c r="H1012" s="2" t="s">
        <v>4324</v>
      </c>
      <c r="I1012" s="2" t="s">
        <v>237</v>
      </c>
      <c r="J1012" s="2" t="s">
        <v>685</v>
      </c>
      <c r="K1012" s="2" t="s">
        <v>188</v>
      </c>
    </row>
    <row r="1013" spans="1:12">
      <c r="A1013" s="2" t="s">
        <v>2052</v>
      </c>
      <c r="B1013" s="2" t="s">
        <v>2052</v>
      </c>
      <c r="C1013" s="2" t="s">
        <v>4325</v>
      </c>
      <c r="D1013" s="2" t="s">
        <v>2049</v>
      </c>
      <c r="E1013" s="2" t="s">
        <v>223</v>
      </c>
      <c r="F1013" s="2">
        <v>2016</v>
      </c>
      <c r="G1013" s="2" t="s">
        <v>224</v>
      </c>
      <c r="H1013" s="2" t="s">
        <v>4326</v>
      </c>
      <c r="I1013" s="2" t="s">
        <v>237</v>
      </c>
      <c r="J1013" s="2" t="s">
        <v>291</v>
      </c>
      <c r="K1013" s="2" t="s">
        <v>188</v>
      </c>
    </row>
    <row r="1014" spans="1:12">
      <c r="A1014" s="2" t="s">
        <v>2052</v>
      </c>
      <c r="B1014" s="2" t="s">
        <v>2052</v>
      </c>
      <c r="C1014" s="2" t="s">
        <v>4327</v>
      </c>
      <c r="D1014" s="2" t="s">
        <v>2049</v>
      </c>
      <c r="E1014" s="2" t="s">
        <v>223</v>
      </c>
      <c r="F1014" s="2">
        <v>1993</v>
      </c>
      <c r="G1014" s="2" t="s">
        <v>224</v>
      </c>
      <c r="H1014" s="2" t="s">
        <v>4328</v>
      </c>
      <c r="I1014" s="2" t="s">
        <v>225</v>
      </c>
      <c r="J1014" s="2" t="s">
        <v>226</v>
      </c>
      <c r="K1014" s="2" t="s">
        <v>187</v>
      </c>
      <c r="L1014" s="2" t="s">
        <v>2621</v>
      </c>
    </row>
    <row r="1015" spans="1:12">
      <c r="A1015" s="2" t="s">
        <v>2052</v>
      </c>
      <c r="B1015" s="2" t="s">
        <v>2052</v>
      </c>
      <c r="C1015" s="2" t="s">
        <v>4329</v>
      </c>
      <c r="D1015" s="2" t="s">
        <v>2049</v>
      </c>
      <c r="E1015" s="2" t="s">
        <v>223</v>
      </c>
      <c r="F1015" s="2">
        <v>2018</v>
      </c>
      <c r="G1015" s="2" t="s">
        <v>224</v>
      </c>
      <c r="H1015" s="2" t="s">
        <v>4330</v>
      </c>
      <c r="I1015" s="2" t="s">
        <v>237</v>
      </c>
      <c r="J1015" s="2" t="s">
        <v>291</v>
      </c>
      <c r="K1015" s="2" t="s">
        <v>188</v>
      </c>
    </row>
    <row r="1016" spans="1:12">
      <c r="A1016" s="2" t="s">
        <v>2109</v>
      </c>
      <c r="B1016" s="2" t="s">
        <v>2109</v>
      </c>
      <c r="C1016" s="2" t="s">
        <v>4331</v>
      </c>
      <c r="D1016" s="2" t="s">
        <v>2106</v>
      </c>
      <c r="E1016" s="2" t="s">
        <v>183</v>
      </c>
      <c r="F1016" s="2">
        <v>2004</v>
      </c>
      <c r="G1016" s="2" t="s">
        <v>224</v>
      </c>
      <c r="H1016" s="2" t="s">
        <v>4332</v>
      </c>
      <c r="I1016" s="2" t="s">
        <v>237</v>
      </c>
      <c r="J1016" s="2" t="s">
        <v>685</v>
      </c>
      <c r="K1016" s="2" t="s">
        <v>188</v>
      </c>
    </row>
    <row r="1017" spans="1:12">
      <c r="A1017" s="2" t="s">
        <v>2109</v>
      </c>
      <c r="B1017" s="2" t="s">
        <v>2109</v>
      </c>
      <c r="C1017" s="2" t="s">
        <v>4333</v>
      </c>
      <c r="D1017" s="2" t="s">
        <v>2106</v>
      </c>
      <c r="E1017" s="2" t="s">
        <v>223</v>
      </c>
      <c r="F1017" s="2">
        <v>2001</v>
      </c>
      <c r="G1017" s="2" t="s">
        <v>224</v>
      </c>
      <c r="H1017" s="2" t="s">
        <v>4334</v>
      </c>
      <c r="I1017" s="2" t="s">
        <v>237</v>
      </c>
      <c r="J1017" s="2" t="s">
        <v>685</v>
      </c>
      <c r="K1017" s="2" t="s">
        <v>188</v>
      </c>
    </row>
    <row r="1018" spans="1:12">
      <c r="A1018" s="2" t="s">
        <v>2109</v>
      </c>
      <c r="B1018" s="2" t="s">
        <v>2109</v>
      </c>
      <c r="C1018" s="2" t="s">
        <v>4335</v>
      </c>
      <c r="D1018" s="2" t="s">
        <v>2106</v>
      </c>
      <c r="E1018" s="2" t="s">
        <v>223</v>
      </c>
      <c r="F1018" s="2">
        <v>2012</v>
      </c>
      <c r="G1018" s="2" t="s">
        <v>224</v>
      </c>
      <c r="H1018" s="2" t="s">
        <v>4336</v>
      </c>
      <c r="I1018" s="2" t="s">
        <v>237</v>
      </c>
      <c r="J1018" s="2" t="s">
        <v>291</v>
      </c>
      <c r="K1018" s="2" t="s">
        <v>188</v>
      </c>
    </row>
    <row r="1019" spans="1:12">
      <c r="A1019" s="2" t="s">
        <v>2109</v>
      </c>
      <c r="B1019" s="2" t="s">
        <v>2109</v>
      </c>
      <c r="C1019" s="2" t="s">
        <v>4337</v>
      </c>
      <c r="D1019" s="2" t="s">
        <v>2106</v>
      </c>
      <c r="E1019" s="2" t="s">
        <v>223</v>
      </c>
      <c r="F1019" s="2">
        <v>1979</v>
      </c>
      <c r="G1019" s="2" t="s">
        <v>224</v>
      </c>
      <c r="H1019" s="2" t="s">
        <v>4338</v>
      </c>
      <c r="I1019" s="2" t="s">
        <v>225</v>
      </c>
      <c r="J1019" s="2" t="s">
        <v>186</v>
      </c>
      <c r="K1019" s="2" t="s">
        <v>187</v>
      </c>
      <c r="L1019" s="2" t="s">
        <v>3933</v>
      </c>
    </row>
    <row r="1020" spans="1:12">
      <c r="A1020" s="2" t="s">
        <v>2128</v>
      </c>
      <c r="B1020" s="2" t="s">
        <v>2129</v>
      </c>
      <c r="C1020" s="2" t="s">
        <v>4339</v>
      </c>
      <c r="D1020" s="2" t="s">
        <v>2126</v>
      </c>
      <c r="E1020" s="2" t="s">
        <v>223</v>
      </c>
      <c r="F1020" s="2">
        <v>2000</v>
      </c>
      <c r="G1020" s="2" t="s">
        <v>224</v>
      </c>
      <c r="H1020" s="2" t="s">
        <v>4340</v>
      </c>
      <c r="I1020" s="2" t="s">
        <v>237</v>
      </c>
      <c r="J1020" s="2" t="s">
        <v>226</v>
      </c>
      <c r="K1020" s="2" t="s">
        <v>188</v>
      </c>
    </row>
    <row r="1021" spans="1:12">
      <c r="A1021" s="2" t="s">
        <v>2128</v>
      </c>
      <c r="B1021" s="2" t="s">
        <v>2129</v>
      </c>
      <c r="C1021" s="2" t="s">
        <v>4341</v>
      </c>
      <c r="D1021" s="2" t="s">
        <v>2126</v>
      </c>
      <c r="E1021" s="2" t="s">
        <v>223</v>
      </c>
      <c r="F1021" s="2">
        <v>1975</v>
      </c>
      <c r="G1021" s="2" t="s">
        <v>224</v>
      </c>
      <c r="H1021" s="2" t="s">
        <v>4342</v>
      </c>
      <c r="I1021" s="2" t="s">
        <v>185</v>
      </c>
      <c r="J1021" s="2" t="s">
        <v>270</v>
      </c>
      <c r="K1021" s="2" t="s">
        <v>187</v>
      </c>
      <c r="L1021" s="2" t="s">
        <v>2598</v>
      </c>
    </row>
    <row r="1022" spans="1:12">
      <c r="A1022" s="2" t="s">
        <v>2128</v>
      </c>
      <c r="B1022" s="2" t="s">
        <v>2129</v>
      </c>
      <c r="C1022" s="2" t="s">
        <v>4343</v>
      </c>
      <c r="D1022" s="2" t="s">
        <v>2126</v>
      </c>
      <c r="E1022" s="2" t="s">
        <v>183</v>
      </c>
      <c r="F1022" s="2">
        <v>2004</v>
      </c>
      <c r="G1022" s="2" t="s">
        <v>224</v>
      </c>
      <c r="H1022" s="2" t="s">
        <v>4344</v>
      </c>
      <c r="I1022" s="2" t="s">
        <v>237</v>
      </c>
      <c r="J1022" s="2" t="s">
        <v>685</v>
      </c>
      <c r="K1022" s="2" t="s">
        <v>188</v>
      </c>
    </row>
    <row r="1023" spans="1:12">
      <c r="A1023" s="2" t="s">
        <v>2143</v>
      </c>
      <c r="B1023" s="2" t="s">
        <v>2144</v>
      </c>
      <c r="C1023" s="2" t="s">
        <v>4345</v>
      </c>
      <c r="D1023" s="2" t="s">
        <v>2141</v>
      </c>
      <c r="E1023" s="2" t="s">
        <v>223</v>
      </c>
      <c r="F1023" s="2">
        <v>2012</v>
      </c>
      <c r="G1023" s="2" t="s">
        <v>224</v>
      </c>
      <c r="H1023" s="2" t="s">
        <v>4346</v>
      </c>
      <c r="I1023" s="2" t="s">
        <v>237</v>
      </c>
      <c r="J1023" s="2" t="s">
        <v>291</v>
      </c>
      <c r="K1023" s="2" t="s">
        <v>188</v>
      </c>
    </row>
    <row r="1024" spans="1:12">
      <c r="A1024" s="2" t="s">
        <v>2143</v>
      </c>
      <c r="B1024" s="2" t="s">
        <v>2144</v>
      </c>
      <c r="C1024" s="2" t="s">
        <v>4347</v>
      </c>
      <c r="D1024" s="2" t="s">
        <v>2141</v>
      </c>
      <c r="E1024" s="2" t="s">
        <v>223</v>
      </c>
      <c r="F1024" s="2">
        <v>2016</v>
      </c>
      <c r="G1024" s="2" t="s">
        <v>224</v>
      </c>
      <c r="H1024" s="2" t="s">
        <v>4348</v>
      </c>
      <c r="I1024" s="2" t="s">
        <v>237</v>
      </c>
      <c r="J1024" s="2" t="s">
        <v>291</v>
      </c>
      <c r="K1024" s="2" t="s">
        <v>188</v>
      </c>
    </row>
    <row r="1025" spans="1:12">
      <c r="A1025" s="2" t="s">
        <v>2143</v>
      </c>
      <c r="B1025" s="2" t="s">
        <v>2144</v>
      </c>
      <c r="C1025" s="2" t="s">
        <v>4349</v>
      </c>
      <c r="D1025" s="2" t="s">
        <v>2141</v>
      </c>
      <c r="E1025" s="2" t="s">
        <v>183</v>
      </c>
      <c r="F1025" s="2">
        <v>1983</v>
      </c>
      <c r="G1025" s="2" t="s">
        <v>224</v>
      </c>
      <c r="H1025" s="2" t="s">
        <v>1828</v>
      </c>
      <c r="I1025" s="2" t="s">
        <v>185</v>
      </c>
      <c r="J1025" s="2" t="s">
        <v>270</v>
      </c>
      <c r="K1025" s="2" t="s">
        <v>187</v>
      </c>
      <c r="L1025" s="2" t="s">
        <v>2598</v>
      </c>
    </row>
    <row r="1026" spans="1:12">
      <c r="A1026" s="2" t="s">
        <v>2160</v>
      </c>
      <c r="B1026" s="2" t="s">
        <v>2161</v>
      </c>
      <c r="C1026" s="2" t="s">
        <v>4350</v>
      </c>
      <c r="D1026" s="2" t="s">
        <v>2157</v>
      </c>
      <c r="E1026" s="2" t="s">
        <v>223</v>
      </c>
      <c r="F1026" s="2">
        <v>2009</v>
      </c>
      <c r="G1026" s="2" t="s">
        <v>224</v>
      </c>
      <c r="H1026" s="2" t="s">
        <v>4351</v>
      </c>
      <c r="I1026" s="2" t="s">
        <v>237</v>
      </c>
      <c r="J1026" s="2" t="s">
        <v>291</v>
      </c>
      <c r="K1026" s="2" t="s">
        <v>188</v>
      </c>
    </row>
    <row r="1027" spans="1:12">
      <c r="A1027" s="2" t="s">
        <v>2160</v>
      </c>
      <c r="B1027" s="2" t="s">
        <v>2161</v>
      </c>
      <c r="C1027" s="2" t="s">
        <v>4352</v>
      </c>
      <c r="D1027" s="2" t="s">
        <v>2157</v>
      </c>
      <c r="E1027" s="2" t="s">
        <v>223</v>
      </c>
      <c r="F1027" s="2">
        <v>2002</v>
      </c>
      <c r="G1027" s="2" t="s">
        <v>224</v>
      </c>
      <c r="H1027" s="2" t="s">
        <v>4353</v>
      </c>
      <c r="I1027" s="2" t="s">
        <v>237</v>
      </c>
      <c r="J1027" s="2" t="s">
        <v>685</v>
      </c>
      <c r="K1027" s="2" t="s">
        <v>188</v>
      </c>
    </row>
    <row r="1028" spans="1:12">
      <c r="A1028" s="2" t="s">
        <v>2160</v>
      </c>
      <c r="B1028" s="2" t="s">
        <v>2161</v>
      </c>
      <c r="C1028" s="2" t="s">
        <v>4354</v>
      </c>
      <c r="D1028" s="2" t="s">
        <v>2157</v>
      </c>
      <c r="E1028" s="2" t="s">
        <v>223</v>
      </c>
      <c r="F1028" s="2">
        <v>1983</v>
      </c>
      <c r="G1028" s="2" t="s">
        <v>224</v>
      </c>
      <c r="H1028" s="2" t="s">
        <v>4355</v>
      </c>
      <c r="I1028" s="2" t="s">
        <v>225</v>
      </c>
      <c r="J1028" s="2" t="s">
        <v>270</v>
      </c>
      <c r="K1028" s="2" t="s">
        <v>187</v>
      </c>
      <c r="L1028" s="2" t="s">
        <v>4271</v>
      </c>
    </row>
    <row r="1029" spans="1:12">
      <c r="A1029" s="2" t="s">
        <v>2182</v>
      </c>
      <c r="B1029" s="2" t="s">
        <v>2182</v>
      </c>
      <c r="C1029" s="2" t="s">
        <v>4356</v>
      </c>
      <c r="D1029" s="2" t="s">
        <v>2179</v>
      </c>
      <c r="E1029" s="2" t="s">
        <v>183</v>
      </c>
      <c r="F1029" s="2">
        <v>2001</v>
      </c>
      <c r="G1029" s="2" t="s">
        <v>224</v>
      </c>
      <c r="H1029" s="2" t="s">
        <v>1774</v>
      </c>
      <c r="I1029" s="2" t="s">
        <v>237</v>
      </c>
      <c r="J1029" s="2" t="s">
        <v>186</v>
      </c>
      <c r="K1029" s="2" t="s">
        <v>187</v>
      </c>
      <c r="L1029" s="2" t="s">
        <v>3244</v>
      </c>
    </row>
    <row r="1030" spans="1:12">
      <c r="A1030" s="2" t="s">
        <v>2182</v>
      </c>
      <c r="B1030" s="2" t="s">
        <v>2182</v>
      </c>
      <c r="C1030" s="2" t="s">
        <v>4357</v>
      </c>
      <c r="D1030" s="2" t="s">
        <v>2179</v>
      </c>
      <c r="E1030" s="2" t="s">
        <v>223</v>
      </c>
      <c r="F1030" s="2">
        <v>1971</v>
      </c>
      <c r="G1030" s="2" t="s">
        <v>224</v>
      </c>
      <c r="H1030" s="2" t="s">
        <v>4358</v>
      </c>
      <c r="I1030" s="2" t="s">
        <v>225</v>
      </c>
      <c r="J1030" s="2" t="s">
        <v>186</v>
      </c>
      <c r="K1030" s="2" t="s">
        <v>187</v>
      </c>
      <c r="L1030" s="2" t="s">
        <v>4359</v>
      </c>
    </row>
    <row r="1031" spans="1:12">
      <c r="A1031" s="2" t="s">
        <v>2182</v>
      </c>
      <c r="B1031" s="2" t="s">
        <v>2182</v>
      </c>
      <c r="C1031" s="2" t="s">
        <v>4360</v>
      </c>
      <c r="D1031" s="2" t="s">
        <v>2179</v>
      </c>
      <c r="E1031" s="2" t="s">
        <v>183</v>
      </c>
      <c r="F1031" s="2">
        <v>2000</v>
      </c>
      <c r="G1031" s="2" t="s">
        <v>224</v>
      </c>
      <c r="H1031" s="2" t="s">
        <v>4361</v>
      </c>
      <c r="I1031" s="2" t="s">
        <v>237</v>
      </c>
      <c r="J1031" s="2" t="s">
        <v>226</v>
      </c>
      <c r="K1031" s="2" t="s">
        <v>187</v>
      </c>
      <c r="L1031" s="2" t="s">
        <v>4362</v>
      </c>
    </row>
    <row r="1032" spans="1:12">
      <c r="A1032" s="2" t="s">
        <v>2182</v>
      </c>
      <c r="B1032" s="2" t="s">
        <v>2182</v>
      </c>
      <c r="C1032" s="2" t="s">
        <v>4363</v>
      </c>
      <c r="D1032" s="2" t="s">
        <v>2179</v>
      </c>
      <c r="E1032" s="2" t="s">
        <v>183</v>
      </c>
      <c r="F1032" s="2">
        <v>2015</v>
      </c>
      <c r="G1032" s="2" t="s">
        <v>224</v>
      </c>
      <c r="H1032" s="2" t="s">
        <v>4364</v>
      </c>
      <c r="I1032" s="2" t="s">
        <v>237</v>
      </c>
      <c r="J1032" s="2" t="s">
        <v>291</v>
      </c>
      <c r="K1032" s="2" t="s">
        <v>188</v>
      </c>
    </row>
    <row r="1033" spans="1:12">
      <c r="A1033" s="2" t="s">
        <v>2215</v>
      </c>
      <c r="B1033" s="2" t="s">
        <v>2216</v>
      </c>
      <c r="C1033" s="2" t="s">
        <v>4365</v>
      </c>
      <c r="D1033" s="2" t="s">
        <v>2212</v>
      </c>
      <c r="E1033" s="2" t="s">
        <v>223</v>
      </c>
      <c r="F1033" s="2">
        <v>2018</v>
      </c>
      <c r="G1033" s="2" t="s">
        <v>184</v>
      </c>
      <c r="H1033" s="2" t="s">
        <v>4366</v>
      </c>
      <c r="I1033" s="2" t="s">
        <v>237</v>
      </c>
      <c r="J1033" s="2" t="s">
        <v>291</v>
      </c>
      <c r="K1033" s="2" t="s">
        <v>188</v>
      </c>
    </row>
    <row r="1034" spans="1:12">
      <c r="A1034" s="2" t="s">
        <v>2215</v>
      </c>
      <c r="B1034" s="2" t="s">
        <v>2216</v>
      </c>
      <c r="C1034" s="2" t="s">
        <v>4367</v>
      </c>
      <c r="D1034" s="2" t="s">
        <v>2212</v>
      </c>
      <c r="E1034" s="2" t="s">
        <v>183</v>
      </c>
      <c r="F1034" s="2">
        <v>2009</v>
      </c>
      <c r="G1034" s="2" t="s">
        <v>184</v>
      </c>
      <c r="H1034" s="2" t="s">
        <v>4368</v>
      </c>
      <c r="I1034" s="2" t="s">
        <v>237</v>
      </c>
      <c r="J1034" s="2" t="s">
        <v>291</v>
      </c>
      <c r="K1034" s="2" t="s">
        <v>188</v>
      </c>
    </row>
    <row r="1035" spans="1:12">
      <c r="A1035" s="2" t="s">
        <v>2215</v>
      </c>
      <c r="B1035" s="2" t="s">
        <v>2216</v>
      </c>
      <c r="C1035" s="2" t="s">
        <v>4369</v>
      </c>
      <c r="D1035" s="2" t="s">
        <v>2212</v>
      </c>
      <c r="E1035" s="2" t="s">
        <v>223</v>
      </c>
      <c r="F1035" s="2">
        <v>1989</v>
      </c>
      <c r="G1035" s="2" t="s">
        <v>184</v>
      </c>
      <c r="H1035" s="2" t="s">
        <v>4370</v>
      </c>
      <c r="I1035" s="2" t="s">
        <v>225</v>
      </c>
      <c r="J1035" s="2" t="s">
        <v>270</v>
      </c>
      <c r="K1035" s="2" t="s">
        <v>187</v>
      </c>
      <c r="L1035" s="2" t="s">
        <v>4371</v>
      </c>
    </row>
    <row r="1036" spans="1:12">
      <c r="A1036" s="2" t="s">
        <v>2249</v>
      </c>
      <c r="B1036" s="2" t="s">
        <v>2249</v>
      </c>
      <c r="C1036" s="2" t="s">
        <v>4372</v>
      </c>
      <c r="D1036" s="2" t="s">
        <v>2247</v>
      </c>
      <c r="E1036" s="2" t="s">
        <v>183</v>
      </c>
      <c r="F1036" s="2">
        <v>1979</v>
      </c>
      <c r="G1036" s="2" t="s">
        <v>834</v>
      </c>
      <c r="H1036" s="2" t="s">
        <v>4373</v>
      </c>
      <c r="I1036" s="2" t="s">
        <v>225</v>
      </c>
      <c r="J1036" s="2" t="s">
        <v>270</v>
      </c>
      <c r="K1036" s="2" t="s">
        <v>187</v>
      </c>
      <c r="L1036" s="2" t="s">
        <v>4374</v>
      </c>
    </row>
    <row r="1037" spans="1:12">
      <c r="A1037" s="2" t="s">
        <v>2249</v>
      </c>
      <c r="B1037" s="2" t="s">
        <v>2249</v>
      </c>
      <c r="C1037" s="2" t="s">
        <v>4375</v>
      </c>
      <c r="D1037" s="2" t="s">
        <v>2247</v>
      </c>
      <c r="E1037" s="2" t="s">
        <v>223</v>
      </c>
      <c r="F1037" s="2">
        <v>2008</v>
      </c>
      <c r="G1037" s="2" t="s">
        <v>834</v>
      </c>
      <c r="H1037" s="2" t="s">
        <v>4376</v>
      </c>
      <c r="I1037" s="2" t="s">
        <v>237</v>
      </c>
      <c r="J1037" s="2" t="s">
        <v>291</v>
      </c>
      <c r="K1037" s="2" t="s">
        <v>188</v>
      </c>
    </row>
    <row r="1038" spans="1:12">
      <c r="A1038" s="2" t="s">
        <v>2280</v>
      </c>
      <c r="B1038" s="2" t="s">
        <v>2281</v>
      </c>
      <c r="C1038" s="2" t="s">
        <v>4377</v>
      </c>
      <c r="D1038" s="2" t="s">
        <v>2277</v>
      </c>
      <c r="E1038" s="2" t="s">
        <v>183</v>
      </c>
      <c r="F1038" s="2">
        <v>2001</v>
      </c>
      <c r="G1038" s="2" t="s">
        <v>834</v>
      </c>
      <c r="H1038" s="2" t="s">
        <v>4378</v>
      </c>
      <c r="I1038" s="2" t="s">
        <v>237</v>
      </c>
      <c r="J1038" s="2" t="s">
        <v>226</v>
      </c>
      <c r="K1038" s="2" t="s">
        <v>188</v>
      </c>
    </row>
    <row r="1039" spans="1:12">
      <c r="A1039" s="2" t="s">
        <v>2280</v>
      </c>
      <c r="B1039" s="2" t="s">
        <v>2281</v>
      </c>
      <c r="C1039" s="2" t="s">
        <v>4379</v>
      </c>
      <c r="D1039" s="2" t="s">
        <v>2277</v>
      </c>
      <c r="E1039" s="2" t="s">
        <v>223</v>
      </c>
      <c r="F1039" s="2">
        <v>1964</v>
      </c>
      <c r="G1039" s="2" t="s">
        <v>834</v>
      </c>
      <c r="H1039" s="2" t="s">
        <v>4380</v>
      </c>
      <c r="I1039" s="2" t="s">
        <v>225</v>
      </c>
      <c r="J1039" s="2" t="s">
        <v>603</v>
      </c>
      <c r="K1039" s="2" t="s">
        <v>187</v>
      </c>
      <c r="L1039" s="2" t="s">
        <v>4381</v>
      </c>
    </row>
    <row r="1040" spans="1:12">
      <c r="A1040" s="2" t="s">
        <v>2303</v>
      </c>
      <c r="B1040" s="2" t="s">
        <v>2304</v>
      </c>
      <c r="C1040" s="2" t="s">
        <v>4382</v>
      </c>
      <c r="D1040" s="2" t="s">
        <v>2300</v>
      </c>
      <c r="E1040" s="2" t="s">
        <v>223</v>
      </c>
      <c r="F1040" s="2">
        <v>1977</v>
      </c>
      <c r="G1040" s="2" t="s">
        <v>834</v>
      </c>
      <c r="H1040" s="2" t="s">
        <v>4383</v>
      </c>
      <c r="I1040" s="2" t="s">
        <v>225</v>
      </c>
      <c r="J1040" s="2" t="s">
        <v>270</v>
      </c>
      <c r="K1040" s="2" t="s">
        <v>187</v>
      </c>
      <c r="L1040" s="2" t="s">
        <v>4384</v>
      </c>
    </row>
    <row r="1041" spans="1:12">
      <c r="A1041" s="2" t="s">
        <v>2303</v>
      </c>
      <c r="B1041" s="2" t="s">
        <v>2304</v>
      </c>
      <c r="C1041" s="2" t="s">
        <v>4385</v>
      </c>
      <c r="D1041" s="2" t="s">
        <v>2300</v>
      </c>
      <c r="E1041" s="2" t="s">
        <v>223</v>
      </c>
      <c r="F1041" s="2">
        <v>2002</v>
      </c>
      <c r="G1041" s="2" t="s">
        <v>834</v>
      </c>
      <c r="H1041" s="2" t="s">
        <v>4386</v>
      </c>
      <c r="I1041" s="2" t="s">
        <v>237</v>
      </c>
      <c r="J1041" s="2" t="s">
        <v>186</v>
      </c>
      <c r="K1041" s="2" t="s">
        <v>188</v>
      </c>
    </row>
    <row r="1042" spans="1:12">
      <c r="A1042" s="2" t="s">
        <v>2303</v>
      </c>
      <c r="B1042" s="2" t="s">
        <v>2304</v>
      </c>
      <c r="C1042" s="2" t="s">
        <v>4387</v>
      </c>
      <c r="D1042" s="2" t="s">
        <v>2300</v>
      </c>
      <c r="E1042" s="2" t="s">
        <v>183</v>
      </c>
      <c r="F1042" s="2">
        <v>2012</v>
      </c>
      <c r="G1042" s="2" t="s">
        <v>834</v>
      </c>
      <c r="H1042" s="2" t="s">
        <v>4388</v>
      </c>
      <c r="I1042" s="2" t="s">
        <v>237</v>
      </c>
      <c r="J1042" s="2" t="s">
        <v>291</v>
      </c>
      <c r="K1042" s="2" t="s">
        <v>188</v>
      </c>
    </row>
    <row r="1043" spans="1:12">
      <c r="A1043" s="2" t="s">
        <v>2344</v>
      </c>
      <c r="B1043" s="2" t="s">
        <v>2344</v>
      </c>
      <c r="C1043" s="2" t="s">
        <v>4389</v>
      </c>
      <c r="D1043" s="2" t="s">
        <v>2341</v>
      </c>
      <c r="E1043" s="2" t="s">
        <v>223</v>
      </c>
      <c r="F1043" s="2">
        <v>1981</v>
      </c>
      <c r="G1043" s="2" t="s">
        <v>834</v>
      </c>
      <c r="H1043" s="2" t="s">
        <v>4390</v>
      </c>
      <c r="I1043" s="2" t="s">
        <v>225</v>
      </c>
      <c r="J1043" s="2" t="s">
        <v>270</v>
      </c>
      <c r="K1043" s="2" t="s">
        <v>187</v>
      </c>
      <c r="L1043" s="2" t="s">
        <v>4371</v>
      </c>
    </row>
    <row r="1044" spans="1:12">
      <c r="A1044" s="2" t="s">
        <v>2344</v>
      </c>
      <c r="B1044" s="2" t="s">
        <v>2344</v>
      </c>
      <c r="C1044" s="2" t="s">
        <v>4391</v>
      </c>
      <c r="D1044" s="2" t="s">
        <v>2341</v>
      </c>
      <c r="E1044" s="2" t="s">
        <v>223</v>
      </c>
      <c r="F1044" s="2">
        <v>2010</v>
      </c>
      <c r="G1044" s="2" t="s">
        <v>834</v>
      </c>
      <c r="H1044" s="2" t="s">
        <v>4392</v>
      </c>
      <c r="I1044" s="2" t="s">
        <v>237</v>
      </c>
      <c r="J1044" s="2" t="s">
        <v>186</v>
      </c>
      <c r="K1044" s="2" t="s">
        <v>188</v>
      </c>
    </row>
    <row r="1045" spans="1:12">
      <c r="A1045" s="2" t="s">
        <v>2344</v>
      </c>
      <c r="B1045" s="2" t="s">
        <v>2344</v>
      </c>
      <c r="C1045" s="2" t="s">
        <v>4393</v>
      </c>
      <c r="D1045" s="2" t="s">
        <v>2341</v>
      </c>
      <c r="E1045" s="2" t="s">
        <v>183</v>
      </c>
      <c r="F1045" s="2">
        <v>2013</v>
      </c>
      <c r="G1045" s="2" t="s">
        <v>834</v>
      </c>
      <c r="H1045" s="2" t="s">
        <v>4394</v>
      </c>
      <c r="I1045" s="2" t="s">
        <v>237</v>
      </c>
      <c r="J1045" s="2" t="s">
        <v>291</v>
      </c>
      <c r="K1045" s="2" t="s">
        <v>188</v>
      </c>
    </row>
    <row r="1046" spans="1:12">
      <c r="A1046" s="2" t="s">
        <v>2420</v>
      </c>
      <c r="B1046" s="2" t="s">
        <v>2420</v>
      </c>
      <c r="C1046" s="2" t="s">
        <v>4395</v>
      </c>
      <c r="D1046" s="2" t="s">
        <v>2417</v>
      </c>
      <c r="E1046" s="2" t="s">
        <v>223</v>
      </c>
      <c r="F1046" s="2">
        <v>2017</v>
      </c>
      <c r="G1046" s="2" t="s">
        <v>834</v>
      </c>
      <c r="H1046" s="2" t="s">
        <v>4396</v>
      </c>
      <c r="I1046" s="2" t="s">
        <v>237</v>
      </c>
      <c r="J1046" s="2" t="s">
        <v>291</v>
      </c>
      <c r="K1046" s="2" t="s">
        <v>188</v>
      </c>
    </row>
    <row r="1047" spans="1:12">
      <c r="A1047" s="2" t="s">
        <v>2420</v>
      </c>
      <c r="B1047" s="2" t="s">
        <v>2420</v>
      </c>
      <c r="C1047" s="2" t="s">
        <v>4397</v>
      </c>
      <c r="D1047" s="2" t="s">
        <v>2417</v>
      </c>
      <c r="E1047" s="2" t="s">
        <v>223</v>
      </c>
      <c r="F1047" s="2">
        <v>2011</v>
      </c>
      <c r="G1047" s="2" t="s">
        <v>834</v>
      </c>
      <c r="H1047" s="2" t="s">
        <v>4398</v>
      </c>
      <c r="I1047" s="2" t="s">
        <v>237</v>
      </c>
      <c r="J1047" s="2" t="s">
        <v>291</v>
      </c>
      <c r="K1047" s="2" t="s">
        <v>188</v>
      </c>
    </row>
    <row r="1048" spans="1:12">
      <c r="A1048" s="2" t="s">
        <v>2420</v>
      </c>
      <c r="B1048" s="2" t="s">
        <v>2420</v>
      </c>
      <c r="C1048" s="2" t="s">
        <v>4399</v>
      </c>
      <c r="D1048" s="2" t="s">
        <v>2417</v>
      </c>
      <c r="E1048" s="2" t="s">
        <v>183</v>
      </c>
      <c r="F1048" s="2">
        <v>1991</v>
      </c>
      <c r="G1048" s="2" t="s">
        <v>834</v>
      </c>
      <c r="H1048" s="2" t="s">
        <v>4400</v>
      </c>
      <c r="I1048" s="2" t="s">
        <v>225</v>
      </c>
      <c r="J1048" s="2" t="s">
        <v>186</v>
      </c>
      <c r="K1048" s="2" t="s">
        <v>187</v>
      </c>
      <c r="L1048" s="2" t="s">
        <v>4401</v>
      </c>
    </row>
    <row r="1049" spans="1:12">
      <c r="A1049" s="2" t="s">
        <v>2436</v>
      </c>
      <c r="B1049" s="2" t="s">
        <v>2437</v>
      </c>
      <c r="C1049" s="2" t="s">
        <v>4402</v>
      </c>
      <c r="D1049" s="2" t="s">
        <v>2434</v>
      </c>
      <c r="E1049" s="2" t="s">
        <v>223</v>
      </c>
      <c r="F1049" s="2">
        <v>2024</v>
      </c>
      <c r="G1049" s="2" t="s">
        <v>834</v>
      </c>
      <c r="H1049" s="2" t="s">
        <v>4403</v>
      </c>
      <c r="I1049" s="2" t="s">
        <v>237</v>
      </c>
      <c r="J1049" s="2" t="s">
        <v>291</v>
      </c>
      <c r="K1049" s="2" t="s">
        <v>188</v>
      </c>
    </row>
    <row r="1050" spans="1:12">
      <c r="A1050" s="2" t="s">
        <v>2436</v>
      </c>
      <c r="B1050" s="2" t="s">
        <v>2437</v>
      </c>
      <c r="C1050" s="2" t="s">
        <v>4404</v>
      </c>
      <c r="D1050" s="2" t="s">
        <v>2434</v>
      </c>
      <c r="E1050" s="2" t="s">
        <v>223</v>
      </c>
      <c r="F1050" s="2">
        <v>1997</v>
      </c>
      <c r="G1050" s="2" t="s">
        <v>834</v>
      </c>
      <c r="H1050" s="2" t="s">
        <v>4405</v>
      </c>
      <c r="I1050" s="2" t="s">
        <v>225</v>
      </c>
      <c r="J1050" s="2" t="s">
        <v>186</v>
      </c>
      <c r="K1050" s="2" t="s">
        <v>187</v>
      </c>
      <c r="L1050" s="2" t="s">
        <v>4406</v>
      </c>
    </row>
    <row r="1051" spans="1:12">
      <c r="A1051" s="2" t="s">
        <v>2396</v>
      </c>
      <c r="B1051" s="2" t="s">
        <v>2396</v>
      </c>
      <c r="C1051" s="2" t="s">
        <v>4407</v>
      </c>
      <c r="D1051" s="2" t="s">
        <v>2394</v>
      </c>
      <c r="E1051" s="2" t="s">
        <v>223</v>
      </c>
      <c r="F1051" s="2">
        <v>1997</v>
      </c>
      <c r="G1051" s="2" t="s">
        <v>834</v>
      </c>
      <c r="H1051" s="2" t="s">
        <v>4408</v>
      </c>
      <c r="I1051" s="2" t="s">
        <v>225</v>
      </c>
      <c r="J1051" s="2" t="s">
        <v>186</v>
      </c>
      <c r="K1051" s="2" t="s">
        <v>187</v>
      </c>
      <c r="L1051" s="2" t="s">
        <v>3247</v>
      </c>
    </row>
    <row r="1052" spans="1:12">
      <c r="A1052" s="2" t="s">
        <v>2396</v>
      </c>
      <c r="B1052" s="2" t="s">
        <v>2396</v>
      </c>
      <c r="C1052" s="2" t="s">
        <v>4409</v>
      </c>
      <c r="D1052" s="2" t="s">
        <v>2394</v>
      </c>
      <c r="E1052" s="2" t="s">
        <v>223</v>
      </c>
      <c r="F1052" s="2">
        <v>2016</v>
      </c>
      <c r="G1052" s="2" t="s">
        <v>834</v>
      </c>
      <c r="H1052" s="2" t="s">
        <v>4410</v>
      </c>
      <c r="I1052" s="2" t="s">
        <v>237</v>
      </c>
      <c r="J1052" s="2" t="s">
        <v>291</v>
      </c>
      <c r="K1052" s="2" t="s">
        <v>188</v>
      </c>
    </row>
    <row r="1053" spans="1:12">
      <c r="A1053" s="2" t="s">
        <v>2409</v>
      </c>
      <c r="B1053" s="2" t="s">
        <v>2410</v>
      </c>
      <c r="C1053" s="2" t="s">
        <v>4411</v>
      </c>
      <c r="D1053" s="2" t="s">
        <v>2406</v>
      </c>
      <c r="E1053" s="2" t="s">
        <v>183</v>
      </c>
      <c r="F1053" s="2">
        <v>1992</v>
      </c>
      <c r="G1053" s="2" t="s">
        <v>834</v>
      </c>
      <c r="H1053" s="2" t="s">
        <v>4412</v>
      </c>
      <c r="I1053" s="2" t="s">
        <v>185</v>
      </c>
      <c r="J1053" s="2" t="s">
        <v>270</v>
      </c>
      <c r="K1053" s="2" t="s">
        <v>187</v>
      </c>
      <c r="L1053" s="2" t="s">
        <v>2598</v>
      </c>
    </row>
    <row r="1054" spans="1:12">
      <c r="A1054" s="2" t="s">
        <v>2409</v>
      </c>
      <c r="B1054" s="2" t="s">
        <v>2410</v>
      </c>
      <c r="C1054" s="2" t="s">
        <v>4413</v>
      </c>
      <c r="D1054" s="2" t="s">
        <v>2406</v>
      </c>
      <c r="E1054" s="2" t="s">
        <v>183</v>
      </c>
      <c r="F1054" s="2">
        <v>2016</v>
      </c>
      <c r="G1054" s="2" t="s">
        <v>834</v>
      </c>
      <c r="H1054" s="2" t="s">
        <v>4414</v>
      </c>
      <c r="I1054" s="2" t="s">
        <v>237</v>
      </c>
      <c r="J1054" s="2" t="s">
        <v>291</v>
      </c>
      <c r="K1054" s="2" t="s">
        <v>188</v>
      </c>
    </row>
    <row r="1055" spans="1:12">
      <c r="A1055" s="2" t="s">
        <v>2409</v>
      </c>
      <c r="B1055" s="2" t="s">
        <v>2410</v>
      </c>
      <c r="C1055" s="2" t="s">
        <v>4415</v>
      </c>
      <c r="D1055" s="2" t="s">
        <v>2406</v>
      </c>
      <c r="E1055" s="2" t="s">
        <v>183</v>
      </c>
      <c r="F1055" s="2">
        <v>2010</v>
      </c>
      <c r="G1055" s="2" t="s">
        <v>834</v>
      </c>
      <c r="H1055" s="2" t="s">
        <v>4416</v>
      </c>
      <c r="I1055" s="2" t="s">
        <v>237</v>
      </c>
      <c r="J1055" s="2" t="s">
        <v>186</v>
      </c>
      <c r="K1055" s="2" t="s">
        <v>188</v>
      </c>
    </row>
    <row r="1056" spans="1:12">
      <c r="A1056" s="2" t="s">
        <v>2091</v>
      </c>
      <c r="B1056" s="2" t="s">
        <v>2092</v>
      </c>
      <c r="C1056" s="2" t="s">
        <v>4417</v>
      </c>
      <c r="D1056" s="2" t="s">
        <v>2090</v>
      </c>
      <c r="E1056" s="2" t="s">
        <v>183</v>
      </c>
      <c r="F1056" s="2">
        <v>1995</v>
      </c>
      <c r="G1056" s="2" t="s">
        <v>224</v>
      </c>
      <c r="H1056" s="2" t="s">
        <v>2092</v>
      </c>
      <c r="I1056" s="2" t="s">
        <v>185</v>
      </c>
      <c r="J1056" s="2" t="s">
        <v>226</v>
      </c>
      <c r="K1056" s="2" t="s">
        <v>187</v>
      </c>
      <c r="L1056" s="2" t="s">
        <v>2579</v>
      </c>
    </row>
    <row r="1057" spans="1:12">
      <c r="A1057" s="2" t="s">
        <v>2064</v>
      </c>
      <c r="B1057" s="2" t="s">
        <v>2065</v>
      </c>
      <c r="C1057" s="2" t="s">
        <v>4418</v>
      </c>
      <c r="D1057" s="2" t="s">
        <v>2063</v>
      </c>
      <c r="E1057" s="2" t="s">
        <v>183</v>
      </c>
      <c r="F1057" s="2">
        <v>1959</v>
      </c>
      <c r="G1057" s="2" t="s">
        <v>224</v>
      </c>
      <c r="H1057" s="2" t="s">
        <v>2065</v>
      </c>
      <c r="I1057" s="2" t="s">
        <v>185</v>
      </c>
      <c r="J1057" s="2" t="s">
        <v>186</v>
      </c>
      <c r="K1057" s="2" t="s">
        <v>187</v>
      </c>
      <c r="L1057" s="2" t="s">
        <v>2598</v>
      </c>
    </row>
    <row r="1058" spans="1:12">
      <c r="A1058" s="2" t="s">
        <v>1420</v>
      </c>
      <c r="B1058" s="2" t="s">
        <v>1420</v>
      </c>
      <c r="C1058" s="2" t="s">
        <v>4419</v>
      </c>
      <c r="D1058" s="2" t="s">
        <v>1418</v>
      </c>
      <c r="E1058" s="2" t="s">
        <v>183</v>
      </c>
      <c r="F1058" s="2">
        <v>1985</v>
      </c>
      <c r="G1058" s="2" t="s">
        <v>184</v>
      </c>
      <c r="H1058" s="2" t="s">
        <v>1420</v>
      </c>
      <c r="I1058" s="2" t="s">
        <v>185</v>
      </c>
      <c r="J1058" s="2" t="s">
        <v>270</v>
      </c>
      <c r="K1058" s="2" t="s">
        <v>187</v>
      </c>
      <c r="L1058" s="2" t="s">
        <v>2572</v>
      </c>
    </row>
    <row r="1059" spans="1:12">
      <c r="A1059" s="2" t="s">
        <v>506</v>
      </c>
      <c r="B1059" s="2" t="s">
        <v>506</v>
      </c>
      <c r="C1059" s="2" t="s">
        <v>4420</v>
      </c>
      <c r="D1059" s="2" t="s">
        <v>503</v>
      </c>
      <c r="E1059" s="2" t="s">
        <v>183</v>
      </c>
      <c r="F1059" s="2">
        <v>1992</v>
      </c>
      <c r="G1059" s="2" t="s">
        <v>184</v>
      </c>
      <c r="H1059" s="2" t="s">
        <v>506</v>
      </c>
      <c r="I1059" s="2" t="s">
        <v>185</v>
      </c>
      <c r="J1059" s="2" t="s">
        <v>186</v>
      </c>
      <c r="K1059" s="2" t="s">
        <v>187</v>
      </c>
      <c r="L1059" s="2" t="s">
        <v>2572</v>
      </c>
    </row>
    <row r="1060" spans="1:12">
      <c r="A1060" s="2" t="s">
        <v>1805</v>
      </c>
      <c r="B1060" s="2" t="s">
        <v>1806</v>
      </c>
      <c r="C1060" s="2" t="s">
        <v>4421</v>
      </c>
      <c r="D1060" s="2" t="s">
        <v>1803</v>
      </c>
      <c r="E1060" s="2" t="s">
        <v>223</v>
      </c>
      <c r="F1060" s="2">
        <v>1986</v>
      </c>
      <c r="G1060" s="2" t="s">
        <v>224</v>
      </c>
      <c r="H1060" s="2" t="s">
        <v>4422</v>
      </c>
      <c r="I1060" s="2" t="s">
        <v>225</v>
      </c>
      <c r="J1060" s="2" t="s">
        <v>226</v>
      </c>
      <c r="K1060" s="2" t="s">
        <v>187</v>
      </c>
      <c r="L1060" s="2" t="s">
        <v>2632</v>
      </c>
    </row>
    <row r="1061" spans="1:12">
      <c r="A1061" s="2" t="s">
        <v>1420</v>
      </c>
      <c r="B1061" s="2" t="s">
        <v>1420</v>
      </c>
      <c r="C1061" s="2" t="s">
        <v>4423</v>
      </c>
      <c r="D1061" s="2" t="s">
        <v>1418</v>
      </c>
      <c r="E1061" s="2" t="s">
        <v>223</v>
      </c>
      <c r="F1061" s="2">
        <v>1986</v>
      </c>
      <c r="G1061" s="2" t="s">
        <v>184</v>
      </c>
      <c r="H1061" s="2" t="s">
        <v>4424</v>
      </c>
      <c r="I1061" s="2" t="s">
        <v>225</v>
      </c>
      <c r="J1061" s="2" t="s">
        <v>270</v>
      </c>
      <c r="K1061" s="2" t="s">
        <v>187</v>
      </c>
      <c r="L1061" s="2" t="s">
        <v>4425</v>
      </c>
    </row>
    <row r="1062" spans="1:12">
      <c r="A1062" s="2" t="s">
        <v>1420</v>
      </c>
      <c r="B1062" s="2" t="s">
        <v>1420</v>
      </c>
      <c r="C1062" s="2" t="s">
        <v>4426</v>
      </c>
      <c r="D1062" s="2" t="s">
        <v>1418</v>
      </c>
      <c r="E1062" s="2" t="s">
        <v>223</v>
      </c>
      <c r="F1062" s="2">
        <v>2007</v>
      </c>
      <c r="G1062" s="2" t="s">
        <v>184</v>
      </c>
      <c r="H1062" s="2" t="s">
        <v>4427</v>
      </c>
      <c r="I1062" s="2" t="s">
        <v>237</v>
      </c>
      <c r="J1062" s="2" t="s">
        <v>226</v>
      </c>
      <c r="K1062" s="2" t="s">
        <v>188</v>
      </c>
    </row>
    <row r="1063" spans="1:12">
      <c r="A1063" s="2" t="s">
        <v>1420</v>
      </c>
      <c r="B1063" s="2" t="s">
        <v>1420</v>
      </c>
      <c r="C1063" s="2" t="s">
        <v>4428</v>
      </c>
      <c r="D1063" s="2" t="s">
        <v>1418</v>
      </c>
      <c r="E1063" s="2" t="s">
        <v>183</v>
      </c>
      <c r="F1063" s="2">
        <v>2009</v>
      </c>
      <c r="G1063" s="2" t="s">
        <v>184</v>
      </c>
      <c r="H1063" s="2" t="s">
        <v>4429</v>
      </c>
      <c r="I1063" s="2" t="s">
        <v>237</v>
      </c>
      <c r="J1063" s="2" t="s">
        <v>186</v>
      </c>
      <c r="K1063" s="2" t="s">
        <v>188</v>
      </c>
    </row>
    <row r="1064" spans="1:12">
      <c r="A1064" s="2" t="s">
        <v>1420</v>
      </c>
      <c r="B1064" s="2" t="s">
        <v>1420</v>
      </c>
      <c r="C1064" s="2" t="s">
        <v>4430</v>
      </c>
      <c r="D1064" s="2" t="s">
        <v>1418</v>
      </c>
      <c r="E1064" s="2" t="s">
        <v>183</v>
      </c>
      <c r="F1064" s="2">
        <v>2013</v>
      </c>
      <c r="G1064" s="2" t="s">
        <v>184</v>
      </c>
      <c r="H1064" s="2" t="s">
        <v>4431</v>
      </c>
      <c r="I1064" s="2" t="s">
        <v>237</v>
      </c>
      <c r="J1064" s="2" t="s">
        <v>291</v>
      </c>
      <c r="K1064" s="2" t="s">
        <v>188</v>
      </c>
    </row>
    <row r="1065" spans="1:12">
      <c r="A1065" s="2" t="s">
        <v>833</v>
      </c>
      <c r="B1065" s="2" t="s">
        <v>833</v>
      </c>
      <c r="C1065" s="2" t="s">
        <v>4432</v>
      </c>
      <c r="D1065" s="2" t="s">
        <v>829</v>
      </c>
      <c r="E1065" s="2" t="s">
        <v>183</v>
      </c>
      <c r="F1065" s="2">
        <v>1996</v>
      </c>
      <c r="G1065" s="2" t="s">
        <v>834</v>
      </c>
      <c r="H1065" s="2" t="s">
        <v>833</v>
      </c>
      <c r="I1065" s="2" t="s">
        <v>185</v>
      </c>
      <c r="J1065" s="2" t="s">
        <v>186</v>
      </c>
      <c r="K1065" s="2" t="s">
        <v>187</v>
      </c>
      <c r="L1065" s="2" t="s">
        <v>2572</v>
      </c>
    </row>
    <row r="1066" spans="1:12">
      <c r="A1066" s="2" t="s">
        <v>855</v>
      </c>
      <c r="B1066" s="2" t="s">
        <v>856</v>
      </c>
      <c r="C1066" s="2" t="s">
        <v>4433</v>
      </c>
      <c r="D1066" s="2" t="s">
        <v>852</v>
      </c>
      <c r="E1066" s="2" t="s">
        <v>223</v>
      </c>
      <c r="F1066" s="2">
        <v>2005</v>
      </c>
      <c r="G1066" s="2" t="s">
        <v>834</v>
      </c>
      <c r="H1066" s="2" t="s">
        <v>855</v>
      </c>
      <c r="I1066" s="2" t="s">
        <v>291</v>
      </c>
      <c r="J1066" s="2" t="s">
        <v>186</v>
      </c>
      <c r="K1066" s="2" t="s">
        <v>187</v>
      </c>
      <c r="L1066" s="2" t="s">
        <v>3094</v>
      </c>
    </row>
    <row r="1067" spans="1:12">
      <c r="A1067" s="2" t="s">
        <v>881</v>
      </c>
      <c r="B1067" s="2" t="s">
        <v>882</v>
      </c>
      <c r="C1067" s="2" t="s">
        <v>4434</v>
      </c>
      <c r="D1067" s="2" t="s">
        <v>879</v>
      </c>
      <c r="E1067" s="2" t="s">
        <v>223</v>
      </c>
      <c r="F1067" s="2">
        <v>1981</v>
      </c>
      <c r="G1067" s="2" t="s">
        <v>224</v>
      </c>
      <c r="H1067" s="2" t="s">
        <v>881</v>
      </c>
      <c r="I1067" s="2" t="s">
        <v>225</v>
      </c>
      <c r="J1067" s="2" t="s">
        <v>186</v>
      </c>
      <c r="K1067" s="2" t="s">
        <v>187</v>
      </c>
      <c r="L1067" s="2" t="s">
        <v>4435</v>
      </c>
    </row>
    <row r="1068" spans="1:12">
      <c r="A1068" s="2" t="s">
        <v>907</v>
      </c>
      <c r="B1068" s="2" t="s">
        <v>908</v>
      </c>
      <c r="C1068" s="2" t="s">
        <v>4436</v>
      </c>
      <c r="D1068" s="2" t="s">
        <v>905</v>
      </c>
      <c r="E1068" s="2" t="s">
        <v>183</v>
      </c>
      <c r="F1068" s="2">
        <v>1985</v>
      </c>
      <c r="G1068" s="2" t="s">
        <v>224</v>
      </c>
      <c r="H1068" s="2" t="s">
        <v>4437</v>
      </c>
      <c r="I1068" s="2" t="s">
        <v>185</v>
      </c>
      <c r="J1068" s="2" t="s">
        <v>186</v>
      </c>
      <c r="K1068" s="2" t="s">
        <v>187</v>
      </c>
      <c r="L1068" s="2" t="s">
        <v>2598</v>
      </c>
    </row>
    <row r="1069" spans="1:12">
      <c r="A1069" s="2" t="s">
        <v>956</v>
      </c>
      <c r="B1069" s="2" t="s">
        <v>956</v>
      </c>
      <c r="C1069" s="2" t="s">
        <v>4438</v>
      </c>
      <c r="D1069" s="2" t="s">
        <v>954</v>
      </c>
      <c r="E1069" s="2" t="s">
        <v>183</v>
      </c>
      <c r="F1069" s="2">
        <v>1990</v>
      </c>
      <c r="G1069" s="2" t="s">
        <v>834</v>
      </c>
      <c r="H1069" s="2" t="s">
        <v>956</v>
      </c>
      <c r="I1069" s="2" t="s">
        <v>185</v>
      </c>
      <c r="J1069" s="2" t="s">
        <v>270</v>
      </c>
      <c r="K1069" s="2" t="s">
        <v>187</v>
      </c>
      <c r="L1069" s="2" t="s">
        <v>2572</v>
      </c>
    </row>
    <row r="1070" spans="1:12">
      <c r="A1070" s="2" t="s">
        <v>999</v>
      </c>
      <c r="B1070" s="2" t="s">
        <v>999</v>
      </c>
      <c r="C1070" s="2" t="s">
        <v>4439</v>
      </c>
      <c r="D1070" s="2" t="s">
        <v>996</v>
      </c>
      <c r="E1070" s="2" t="s">
        <v>183</v>
      </c>
      <c r="F1070" s="2">
        <v>1993</v>
      </c>
      <c r="G1070" s="2" t="s">
        <v>834</v>
      </c>
      <c r="H1070" s="2" t="s">
        <v>999</v>
      </c>
      <c r="I1070" s="2" t="s">
        <v>185</v>
      </c>
      <c r="J1070" s="2" t="s">
        <v>186</v>
      </c>
      <c r="K1070" s="2" t="s">
        <v>187</v>
      </c>
      <c r="L1070" s="2" t="s">
        <v>2572</v>
      </c>
    </row>
    <row r="1071" spans="1:12">
      <c r="A1071" s="2" t="s">
        <v>1029</v>
      </c>
      <c r="B1071" s="2" t="s">
        <v>1030</v>
      </c>
      <c r="C1071" s="2" t="s">
        <v>4440</v>
      </c>
      <c r="D1071" s="2" t="s">
        <v>1026</v>
      </c>
      <c r="E1071" s="2" t="s">
        <v>183</v>
      </c>
      <c r="F1071" s="2">
        <v>1971</v>
      </c>
      <c r="G1071" s="2" t="s">
        <v>224</v>
      </c>
      <c r="H1071" s="2" t="s">
        <v>1029</v>
      </c>
      <c r="I1071" s="2" t="s">
        <v>185</v>
      </c>
      <c r="J1071" s="2" t="s">
        <v>226</v>
      </c>
      <c r="K1071" s="2" t="s">
        <v>187</v>
      </c>
      <c r="L1071" s="2" t="s">
        <v>2598</v>
      </c>
    </row>
    <row r="1072" spans="1:12">
      <c r="A1072" s="2" t="s">
        <v>1226</v>
      </c>
      <c r="B1072" s="2" t="s">
        <v>1227</v>
      </c>
      <c r="C1072" s="2" t="s">
        <v>4441</v>
      </c>
      <c r="D1072" s="2" t="s">
        <v>1224</v>
      </c>
      <c r="E1072" s="2" t="s">
        <v>223</v>
      </c>
      <c r="F1072" s="2">
        <v>1990</v>
      </c>
      <c r="G1072" s="2" t="s">
        <v>184</v>
      </c>
      <c r="H1072" s="2" t="s">
        <v>1226</v>
      </c>
      <c r="I1072" s="2" t="s">
        <v>225</v>
      </c>
      <c r="J1072" s="2" t="s">
        <v>270</v>
      </c>
      <c r="K1072" s="2" t="s">
        <v>187</v>
      </c>
      <c r="L1072" s="2" t="s">
        <v>2632</v>
      </c>
    </row>
    <row r="1073" spans="1:12">
      <c r="A1073" s="2" t="s">
        <v>1236</v>
      </c>
      <c r="B1073" s="2" t="s">
        <v>1237</v>
      </c>
      <c r="C1073" s="2" t="s">
        <v>4442</v>
      </c>
      <c r="D1073" s="2" t="s">
        <v>1233</v>
      </c>
      <c r="E1073" s="2" t="s">
        <v>223</v>
      </c>
      <c r="F1073" s="2">
        <v>1988</v>
      </c>
      <c r="G1073" s="2" t="s">
        <v>184</v>
      </c>
      <c r="H1073" s="2" t="s">
        <v>1236</v>
      </c>
      <c r="I1073" s="2" t="s">
        <v>225</v>
      </c>
      <c r="J1073" s="2" t="s">
        <v>186</v>
      </c>
      <c r="K1073" s="2" t="s">
        <v>187</v>
      </c>
      <c r="L1073" s="2" t="s">
        <v>2632</v>
      </c>
    </row>
    <row r="1074" spans="1:12">
      <c r="A1074" s="2" t="s">
        <v>1255</v>
      </c>
      <c r="B1074" s="2" t="s">
        <v>1256</v>
      </c>
      <c r="C1074" s="2" t="s">
        <v>4443</v>
      </c>
      <c r="D1074" s="2" t="s">
        <v>1252</v>
      </c>
      <c r="E1074" s="2" t="s">
        <v>223</v>
      </c>
      <c r="F1074" s="2">
        <v>2003</v>
      </c>
      <c r="G1074" s="2" t="s">
        <v>184</v>
      </c>
      <c r="H1074" s="2" t="s">
        <v>1255</v>
      </c>
      <c r="I1074" s="2" t="s">
        <v>225</v>
      </c>
      <c r="J1074" s="2" t="s">
        <v>226</v>
      </c>
      <c r="K1074" s="2" t="s">
        <v>187</v>
      </c>
      <c r="L1074" s="2" t="s">
        <v>4444</v>
      </c>
    </row>
    <row r="1075" spans="1:12">
      <c r="A1075" s="2" t="s">
        <v>1287</v>
      </c>
      <c r="B1075" s="2" t="s">
        <v>1288</v>
      </c>
      <c r="C1075" s="2" t="s">
        <v>4445</v>
      </c>
      <c r="D1075" s="2" t="s">
        <v>1285</v>
      </c>
      <c r="E1075" s="2" t="s">
        <v>223</v>
      </c>
      <c r="F1075" s="2">
        <v>1996</v>
      </c>
      <c r="G1075" s="2" t="s">
        <v>184</v>
      </c>
      <c r="H1075" s="2" t="s">
        <v>1287</v>
      </c>
      <c r="I1075" s="2" t="s">
        <v>225</v>
      </c>
      <c r="J1075" s="2" t="s">
        <v>270</v>
      </c>
      <c r="K1075" s="2" t="s">
        <v>187</v>
      </c>
      <c r="L1075" s="2" t="s">
        <v>2632</v>
      </c>
    </row>
    <row r="1076" spans="1:12">
      <c r="A1076" s="2" t="s">
        <v>1312</v>
      </c>
      <c r="B1076" s="2" t="s">
        <v>1312</v>
      </c>
      <c r="C1076" s="2" t="s">
        <v>4446</v>
      </c>
      <c r="D1076" s="2" t="s">
        <v>1310</v>
      </c>
      <c r="E1076" s="2" t="s">
        <v>183</v>
      </c>
      <c r="F1076" s="2">
        <v>1987</v>
      </c>
      <c r="G1076" s="2" t="s">
        <v>184</v>
      </c>
      <c r="H1076" s="2" t="s">
        <v>1312</v>
      </c>
      <c r="I1076" s="2" t="s">
        <v>185</v>
      </c>
      <c r="J1076" s="2" t="s">
        <v>186</v>
      </c>
      <c r="K1076" s="2" t="s">
        <v>187</v>
      </c>
      <c r="L1076" s="2" t="s">
        <v>2572</v>
      </c>
    </row>
    <row r="1077" spans="1:12">
      <c r="A1077" s="2" t="s">
        <v>1338</v>
      </c>
      <c r="B1077" s="2" t="s">
        <v>1339</v>
      </c>
      <c r="C1077" s="2" t="s">
        <v>4447</v>
      </c>
      <c r="D1077" s="2" t="s">
        <v>1336</v>
      </c>
      <c r="E1077" s="2" t="s">
        <v>183</v>
      </c>
      <c r="F1077" s="2">
        <v>1985</v>
      </c>
      <c r="G1077" s="2" t="s">
        <v>184</v>
      </c>
      <c r="H1077" s="2" t="s">
        <v>1339</v>
      </c>
      <c r="I1077" s="2" t="s">
        <v>185</v>
      </c>
      <c r="J1077" s="2" t="s">
        <v>226</v>
      </c>
      <c r="K1077" s="2" t="s">
        <v>187</v>
      </c>
      <c r="L1077" s="2" t="s">
        <v>2572</v>
      </c>
    </row>
    <row r="1078" spans="1:12">
      <c r="A1078" s="2" t="s">
        <v>1376</v>
      </c>
      <c r="B1078" s="2" t="s">
        <v>1376</v>
      </c>
      <c r="C1078" s="2" t="s">
        <v>4448</v>
      </c>
      <c r="D1078" s="2" t="s">
        <v>1374</v>
      </c>
      <c r="E1078" s="2" t="s">
        <v>183</v>
      </c>
      <c r="F1078" s="2">
        <v>1975</v>
      </c>
      <c r="G1078" s="2" t="s">
        <v>184</v>
      </c>
      <c r="H1078" s="2" t="s">
        <v>1376</v>
      </c>
      <c r="I1078" s="2" t="s">
        <v>185</v>
      </c>
      <c r="J1078" s="2" t="s">
        <v>270</v>
      </c>
      <c r="K1078" s="2" t="s">
        <v>187</v>
      </c>
      <c r="L1078" s="2" t="s">
        <v>2576</v>
      </c>
    </row>
    <row r="1079" spans="1:12">
      <c r="A1079" s="2" t="s">
        <v>1438</v>
      </c>
      <c r="B1079" s="2" t="s">
        <v>1438</v>
      </c>
      <c r="C1079" s="2" t="s">
        <v>4449</v>
      </c>
      <c r="D1079" s="2" t="s">
        <v>1435</v>
      </c>
      <c r="E1079" s="2" t="s">
        <v>183</v>
      </c>
      <c r="F1079" s="2">
        <v>1976</v>
      </c>
      <c r="G1079" s="2" t="s">
        <v>184</v>
      </c>
      <c r="H1079" s="2" t="s">
        <v>1438</v>
      </c>
      <c r="I1079" s="2" t="s">
        <v>185</v>
      </c>
      <c r="J1079" s="2" t="s">
        <v>603</v>
      </c>
      <c r="K1079" s="2" t="s">
        <v>187</v>
      </c>
      <c r="L1079" s="2" t="s">
        <v>2576</v>
      </c>
    </row>
    <row r="1080" spans="1:12">
      <c r="A1080" s="2" t="s">
        <v>1463</v>
      </c>
      <c r="B1080" s="2" t="s">
        <v>1464</v>
      </c>
      <c r="C1080" s="2" t="s">
        <v>4450</v>
      </c>
      <c r="D1080" s="2" t="s">
        <v>1461</v>
      </c>
      <c r="E1080" s="2" t="s">
        <v>223</v>
      </c>
      <c r="F1080" s="2">
        <v>2004</v>
      </c>
      <c r="G1080" s="2" t="s">
        <v>184</v>
      </c>
      <c r="H1080" s="2" t="s">
        <v>1463</v>
      </c>
      <c r="I1080" s="2" t="s">
        <v>237</v>
      </c>
      <c r="J1080" s="2" t="s">
        <v>270</v>
      </c>
      <c r="K1080" s="2" t="s">
        <v>187</v>
      </c>
      <c r="L1080" s="2" t="s">
        <v>4451</v>
      </c>
    </row>
    <row r="1081" spans="1:12">
      <c r="A1081" s="2" t="s">
        <v>922</v>
      </c>
      <c r="B1081" s="2" t="s">
        <v>922</v>
      </c>
      <c r="C1081" s="2" t="s">
        <v>4452</v>
      </c>
      <c r="D1081" s="2" t="s">
        <v>1594</v>
      </c>
      <c r="E1081" s="2" t="s">
        <v>183</v>
      </c>
      <c r="F1081" s="2">
        <v>1984</v>
      </c>
      <c r="G1081" s="2" t="s">
        <v>184</v>
      </c>
      <c r="H1081" s="2" t="s">
        <v>922</v>
      </c>
      <c r="I1081" s="2" t="s">
        <v>185</v>
      </c>
      <c r="J1081" s="2" t="s">
        <v>270</v>
      </c>
      <c r="K1081" s="2" t="s">
        <v>187</v>
      </c>
      <c r="L1081" s="2" t="s">
        <v>4453</v>
      </c>
    </row>
    <row r="1082" spans="1:12">
      <c r="A1082" s="2" t="s">
        <v>1601</v>
      </c>
      <c r="B1082" s="2" t="s">
        <v>1601</v>
      </c>
      <c r="C1082" s="2" t="s">
        <v>4454</v>
      </c>
      <c r="D1082" s="2" t="s">
        <v>1599</v>
      </c>
      <c r="E1082" s="2" t="s">
        <v>183</v>
      </c>
      <c r="F1082" s="2">
        <v>1990</v>
      </c>
      <c r="G1082" s="2" t="s">
        <v>184</v>
      </c>
      <c r="H1082" s="2" t="s">
        <v>1601</v>
      </c>
      <c r="I1082" s="2" t="s">
        <v>185</v>
      </c>
      <c r="J1082" s="2" t="s">
        <v>186</v>
      </c>
      <c r="K1082" s="2" t="s">
        <v>187</v>
      </c>
      <c r="L1082" s="2" t="s">
        <v>4455</v>
      </c>
    </row>
    <row r="1083" spans="1:12">
      <c r="A1083" s="2" t="s">
        <v>1607</v>
      </c>
      <c r="B1083" s="2" t="s">
        <v>1608</v>
      </c>
      <c r="C1083" s="2" t="s">
        <v>4456</v>
      </c>
      <c r="D1083" s="2" t="s">
        <v>1605</v>
      </c>
      <c r="E1083" s="2" t="s">
        <v>183</v>
      </c>
      <c r="F1083" s="2">
        <v>2001</v>
      </c>
      <c r="G1083" s="2" t="s">
        <v>184</v>
      </c>
      <c r="H1083" s="2" t="s">
        <v>1607</v>
      </c>
      <c r="I1083" s="2" t="s">
        <v>237</v>
      </c>
      <c r="J1083" s="2" t="s">
        <v>270</v>
      </c>
      <c r="K1083" s="2" t="s">
        <v>187</v>
      </c>
      <c r="L1083" s="2" t="s">
        <v>2927</v>
      </c>
    </row>
    <row r="1084" spans="1:12">
      <c r="A1084" s="2" t="s">
        <v>1627</v>
      </c>
      <c r="B1084" s="2" t="s">
        <v>1627</v>
      </c>
      <c r="C1084" s="2" t="s">
        <v>4457</v>
      </c>
      <c r="D1084" s="2" t="s">
        <v>1625</v>
      </c>
      <c r="E1084" s="2" t="s">
        <v>183</v>
      </c>
      <c r="F1084" s="2">
        <v>1965</v>
      </c>
      <c r="G1084" s="2" t="s">
        <v>184</v>
      </c>
      <c r="H1084" s="2" t="s">
        <v>1627</v>
      </c>
      <c r="I1084" s="2" t="s">
        <v>185</v>
      </c>
      <c r="J1084" s="2" t="s">
        <v>270</v>
      </c>
      <c r="K1084" s="2" t="s">
        <v>187</v>
      </c>
      <c r="L1084" s="2" t="s">
        <v>4458</v>
      </c>
    </row>
    <row r="1085" spans="1:12">
      <c r="A1085" s="2" t="s">
        <v>1651</v>
      </c>
      <c r="B1085" s="2" t="s">
        <v>1652</v>
      </c>
      <c r="C1085" s="2" t="s">
        <v>4459</v>
      </c>
      <c r="D1085" s="2" t="s">
        <v>1647</v>
      </c>
      <c r="E1085" s="2" t="s">
        <v>223</v>
      </c>
      <c r="F1085" s="2">
        <v>1969</v>
      </c>
      <c r="G1085" s="2" t="s">
        <v>224</v>
      </c>
      <c r="H1085" s="2" t="s">
        <v>1651</v>
      </c>
      <c r="I1085" s="2" t="s">
        <v>185</v>
      </c>
      <c r="J1085" s="2" t="s">
        <v>226</v>
      </c>
      <c r="K1085" s="2" t="s">
        <v>187</v>
      </c>
      <c r="L1085" s="2" t="s">
        <v>4460</v>
      </c>
    </row>
    <row r="1086" spans="1:12">
      <c r="A1086" s="2" t="s">
        <v>1684</v>
      </c>
      <c r="B1086" s="2" t="s">
        <v>1685</v>
      </c>
      <c r="C1086" s="2" t="s">
        <v>4461</v>
      </c>
      <c r="D1086" s="2" t="s">
        <v>1682</v>
      </c>
      <c r="E1086" s="2" t="s">
        <v>223</v>
      </c>
      <c r="F1086" s="2">
        <v>1971</v>
      </c>
      <c r="G1086" s="2" t="s">
        <v>224</v>
      </c>
      <c r="H1086" s="2" t="s">
        <v>1684</v>
      </c>
      <c r="I1086" s="2" t="s">
        <v>225</v>
      </c>
      <c r="J1086" s="2" t="s">
        <v>226</v>
      </c>
      <c r="K1086" s="2" t="s">
        <v>187</v>
      </c>
      <c r="L1086" s="2" t="s">
        <v>4462</v>
      </c>
    </row>
    <row r="1087" spans="1:12">
      <c r="A1087" s="2" t="s">
        <v>1755</v>
      </c>
      <c r="B1087" s="2" t="s">
        <v>1756</v>
      </c>
      <c r="C1087" s="2" t="s">
        <v>4463</v>
      </c>
      <c r="D1087" s="2" t="s">
        <v>1753</v>
      </c>
      <c r="E1087" s="2" t="s">
        <v>223</v>
      </c>
      <c r="F1087" s="2">
        <v>1983</v>
      </c>
      <c r="G1087" s="2" t="s">
        <v>224</v>
      </c>
      <c r="H1087" s="2" t="s">
        <v>1755</v>
      </c>
      <c r="I1087" s="2" t="s">
        <v>225</v>
      </c>
      <c r="J1087" s="2" t="s">
        <v>186</v>
      </c>
      <c r="K1087" s="2" t="s">
        <v>187</v>
      </c>
      <c r="L1087" s="2" t="s">
        <v>2572</v>
      </c>
    </row>
    <row r="1088" spans="1:12">
      <c r="A1088" s="2" t="s">
        <v>1785</v>
      </c>
      <c r="B1088" s="2" t="s">
        <v>1675</v>
      </c>
      <c r="C1088" s="2" t="s">
        <v>4464</v>
      </c>
      <c r="D1088" s="2" t="s">
        <v>1783</v>
      </c>
      <c r="E1088" s="2" t="s">
        <v>223</v>
      </c>
      <c r="F1088" s="2">
        <v>1978</v>
      </c>
      <c r="G1088" s="2" t="s">
        <v>224</v>
      </c>
      <c r="H1088" s="2" t="s">
        <v>1785</v>
      </c>
      <c r="I1088" s="2" t="s">
        <v>225</v>
      </c>
      <c r="J1088" s="2" t="s">
        <v>186</v>
      </c>
      <c r="K1088" s="2" t="s">
        <v>187</v>
      </c>
      <c r="L1088" s="2" t="s">
        <v>2632</v>
      </c>
    </row>
    <row r="1089" spans="1:12">
      <c r="A1089" s="2" t="s">
        <v>1819</v>
      </c>
      <c r="B1089" s="2" t="s">
        <v>1820</v>
      </c>
      <c r="C1089" s="2" t="s">
        <v>4465</v>
      </c>
      <c r="D1089" s="2" t="s">
        <v>1817</v>
      </c>
      <c r="E1089" s="2" t="s">
        <v>183</v>
      </c>
      <c r="F1089" s="2">
        <v>1973</v>
      </c>
      <c r="G1089" s="2" t="s">
        <v>224</v>
      </c>
      <c r="H1089" s="2" t="s">
        <v>1819</v>
      </c>
      <c r="I1089" s="2" t="s">
        <v>185</v>
      </c>
      <c r="J1089" s="2" t="s">
        <v>226</v>
      </c>
      <c r="K1089" s="2" t="s">
        <v>187</v>
      </c>
      <c r="L1089" s="2" t="s">
        <v>2572</v>
      </c>
    </row>
    <row r="1090" spans="1:12">
      <c r="A1090" s="2" t="s">
        <v>1864</v>
      </c>
      <c r="B1090" s="2" t="s">
        <v>1865</v>
      </c>
      <c r="C1090" s="2" t="s">
        <v>4466</v>
      </c>
      <c r="D1090" s="2" t="s">
        <v>1862</v>
      </c>
      <c r="E1090" s="2" t="s">
        <v>223</v>
      </c>
      <c r="F1090" s="2">
        <v>1991</v>
      </c>
      <c r="G1090" s="2" t="s">
        <v>224</v>
      </c>
      <c r="H1090" s="2" t="s">
        <v>1864</v>
      </c>
      <c r="I1090" s="2" t="s">
        <v>185</v>
      </c>
      <c r="J1090" s="2" t="s">
        <v>226</v>
      </c>
      <c r="K1090" s="2" t="s">
        <v>187</v>
      </c>
      <c r="L1090" s="2" t="s">
        <v>2632</v>
      </c>
    </row>
    <row r="1091" spans="1:12">
      <c r="A1091" s="2" t="s">
        <v>1883</v>
      </c>
      <c r="B1091" s="2" t="s">
        <v>1884</v>
      </c>
      <c r="C1091" s="2" t="s">
        <v>4467</v>
      </c>
      <c r="D1091" s="2" t="s">
        <v>1881</v>
      </c>
      <c r="E1091" s="2" t="s">
        <v>223</v>
      </c>
      <c r="F1091" s="2">
        <v>1990</v>
      </c>
      <c r="G1091" s="2" t="s">
        <v>224</v>
      </c>
      <c r="H1091" s="2" t="s">
        <v>1883</v>
      </c>
      <c r="I1091" s="2" t="s">
        <v>225</v>
      </c>
      <c r="J1091" s="2" t="s">
        <v>270</v>
      </c>
      <c r="K1091" s="2" t="s">
        <v>187</v>
      </c>
      <c r="L1091" s="2" t="s">
        <v>4458</v>
      </c>
    </row>
    <row r="1092" spans="1:12">
      <c r="A1092" s="2" t="s">
        <v>1919</v>
      </c>
      <c r="B1092" s="2" t="s">
        <v>1920</v>
      </c>
      <c r="C1092" s="2" t="s">
        <v>4468</v>
      </c>
      <c r="D1092" s="2" t="s">
        <v>1917</v>
      </c>
      <c r="E1092" s="2" t="s">
        <v>223</v>
      </c>
      <c r="F1092" s="2">
        <v>1984</v>
      </c>
      <c r="G1092" s="2" t="s">
        <v>224</v>
      </c>
      <c r="H1092" s="2" t="s">
        <v>1919</v>
      </c>
      <c r="I1092" s="2" t="s">
        <v>225</v>
      </c>
      <c r="J1092" s="2" t="s">
        <v>186</v>
      </c>
      <c r="K1092" s="2" t="s">
        <v>187</v>
      </c>
      <c r="L1092" s="2" t="s">
        <v>2632</v>
      </c>
    </row>
    <row r="1093" spans="1:12">
      <c r="A1093" s="2" t="s">
        <v>1937</v>
      </c>
      <c r="B1093" s="2" t="s">
        <v>1938</v>
      </c>
      <c r="C1093" s="2" t="s">
        <v>4469</v>
      </c>
      <c r="D1093" s="2" t="s">
        <v>1935</v>
      </c>
      <c r="E1093" s="2" t="s">
        <v>223</v>
      </c>
      <c r="F1093" s="2">
        <v>1983</v>
      </c>
      <c r="G1093" s="2" t="s">
        <v>224</v>
      </c>
      <c r="H1093" s="2" t="s">
        <v>1937</v>
      </c>
      <c r="I1093" s="2" t="s">
        <v>225</v>
      </c>
      <c r="J1093" s="2" t="s">
        <v>186</v>
      </c>
      <c r="K1093" s="2" t="s">
        <v>187</v>
      </c>
      <c r="L1093" s="2" t="s">
        <v>4444</v>
      </c>
    </row>
    <row r="1094" spans="1:12">
      <c r="A1094" s="2" t="s">
        <v>482</v>
      </c>
      <c r="B1094" s="2" t="s">
        <v>483</v>
      </c>
      <c r="C1094" s="2" t="s">
        <v>4470</v>
      </c>
      <c r="D1094" s="2" t="s">
        <v>478</v>
      </c>
      <c r="E1094" s="2" t="s">
        <v>183</v>
      </c>
      <c r="F1094" s="2">
        <v>1995</v>
      </c>
      <c r="G1094" s="2" t="s">
        <v>184</v>
      </c>
      <c r="H1094" s="2" t="s">
        <v>482</v>
      </c>
      <c r="I1094" s="2" t="s">
        <v>237</v>
      </c>
      <c r="J1094" s="2" t="s">
        <v>270</v>
      </c>
      <c r="K1094" s="2" t="s">
        <v>187</v>
      </c>
      <c r="L1094" s="2" t="s">
        <v>3007</v>
      </c>
    </row>
    <row r="1095" spans="1:12">
      <c r="A1095" s="2" t="s">
        <v>548</v>
      </c>
      <c r="B1095" s="2" t="s">
        <v>549</v>
      </c>
      <c r="C1095" s="2" t="s">
        <v>4471</v>
      </c>
      <c r="D1095" s="2" t="s">
        <v>546</v>
      </c>
      <c r="E1095" s="2" t="s">
        <v>183</v>
      </c>
      <c r="F1095" s="2">
        <v>1985</v>
      </c>
      <c r="G1095" s="2" t="s">
        <v>184</v>
      </c>
      <c r="H1095" s="2" t="s">
        <v>548</v>
      </c>
      <c r="I1095" s="2" t="s">
        <v>237</v>
      </c>
      <c r="J1095" s="2" t="s">
        <v>186</v>
      </c>
      <c r="K1095" s="2" t="s">
        <v>187</v>
      </c>
      <c r="L1095" s="2" t="s">
        <v>2572</v>
      </c>
    </row>
    <row r="1096" spans="1:12">
      <c r="A1096" s="2" t="s">
        <v>575</v>
      </c>
      <c r="B1096" s="2" t="s">
        <v>576</v>
      </c>
      <c r="C1096" s="2" t="s">
        <v>4472</v>
      </c>
      <c r="D1096" s="2" t="s">
        <v>573</v>
      </c>
      <c r="E1096" s="2" t="s">
        <v>223</v>
      </c>
      <c r="F1096" s="2">
        <v>1982</v>
      </c>
      <c r="G1096" s="2" t="s">
        <v>184</v>
      </c>
      <c r="H1096" s="2" t="s">
        <v>575</v>
      </c>
      <c r="I1096" s="2" t="s">
        <v>225</v>
      </c>
      <c r="J1096" s="2" t="s">
        <v>270</v>
      </c>
      <c r="K1096" s="2" t="s">
        <v>187</v>
      </c>
      <c r="L1096" s="2" t="s">
        <v>2632</v>
      </c>
    </row>
    <row r="1097" spans="1:12">
      <c r="A1097" s="2" t="s">
        <v>601</v>
      </c>
      <c r="B1097" s="2" t="s">
        <v>602</v>
      </c>
      <c r="C1097" s="2" t="s">
        <v>4473</v>
      </c>
      <c r="D1097" s="2" t="s">
        <v>599</v>
      </c>
      <c r="E1097" s="2" t="s">
        <v>183</v>
      </c>
      <c r="F1097" s="2">
        <v>1967</v>
      </c>
      <c r="G1097" s="2" t="s">
        <v>184</v>
      </c>
      <c r="H1097" s="2" t="s">
        <v>601</v>
      </c>
      <c r="I1097" s="2" t="s">
        <v>185</v>
      </c>
      <c r="J1097" s="2" t="s">
        <v>603</v>
      </c>
      <c r="K1097" s="2" t="s">
        <v>188</v>
      </c>
    </row>
    <row r="1098" spans="1:12">
      <c r="A1098" s="2" t="s">
        <v>386</v>
      </c>
      <c r="B1098" s="2" t="s">
        <v>610</v>
      </c>
      <c r="C1098" s="2" t="s">
        <v>4474</v>
      </c>
      <c r="D1098" s="2" t="s">
        <v>608</v>
      </c>
      <c r="E1098" s="2" t="s">
        <v>223</v>
      </c>
      <c r="F1098" s="2">
        <v>1991</v>
      </c>
      <c r="G1098" s="2" t="s">
        <v>184</v>
      </c>
      <c r="H1098" s="2" t="s">
        <v>386</v>
      </c>
      <c r="I1098" s="2" t="s">
        <v>225</v>
      </c>
      <c r="J1098" s="2" t="s">
        <v>270</v>
      </c>
      <c r="K1098" s="2" t="s">
        <v>187</v>
      </c>
      <c r="L1098" s="2" t="s">
        <v>2632</v>
      </c>
    </row>
    <row r="1099" spans="1:12">
      <c r="A1099" s="2" t="s">
        <v>702</v>
      </c>
      <c r="B1099" s="2" t="s">
        <v>703</v>
      </c>
      <c r="C1099" s="2" t="s">
        <v>4475</v>
      </c>
      <c r="D1099" s="2" t="s">
        <v>699</v>
      </c>
      <c r="E1099" s="2" t="s">
        <v>183</v>
      </c>
      <c r="F1099" s="2">
        <v>1999</v>
      </c>
      <c r="G1099" s="2" t="s">
        <v>184</v>
      </c>
      <c r="H1099" s="2" t="s">
        <v>702</v>
      </c>
      <c r="I1099" s="2" t="s">
        <v>237</v>
      </c>
      <c r="J1099" s="2" t="s">
        <v>226</v>
      </c>
      <c r="K1099" s="2" t="s">
        <v>187</v>
      </c>
      <c r="L1099" s="2" t="s">
        <v>2749</v>
      </c>
    </row>
    <row r="1100" spans="1:12">
      <c r="A1100" s="2" t="s">
        <v>737</v>
      </c>
      <c r="B1100" s="2" t="s">
        <v>738</v>
      </c>
      <c r="C1100" s="2" t="s">
        <v>4476</v>
      </c>
      <c r="D1100" s="2" t="s">
        <v>734</v>
      </c>
      <c r="E1100" s="2" t="s">
        <v>223</v>
      </c>
      <c r="F1100" s="2">
        <v>1973</v>
      </c>
      <c r="G1100" s="2" t="s">
        <v>184</v>
      </c>
      <c r="H1100" s="2" t="s">
        <v>737</v>
      </c>
      <c r="I1100" s="2" t="s">
        <v>237</v>
      </c>
      <c r="J1100" s="2" t="s">
        <v>739</v>
      </c>
      <c r="K1100" s="2" t="s">
        <v>188</v>
      </c>
    </row>
    <row r="1101" spans="1:12">
      <c r="A1101" s="2" t="s">
        <v>756</v>
      </c>
      <c r="B1101" s="2" t="s">
        <v>756</v>
      </c>
      <c r="C1101" s="2" t="s">
        <v>4477</v>
      </c>
      <c r="D1101" s="2" t="s">
        <v>753</v>
      </c>
      <c r="E1101" s="2" t="s">
        <v>183</v>
      </c>
      <c r="F1101" s="2">
        <v>1964</v>
      </c>
      <c r="G1101" s="2" t="s">
        <v>184</v>
      </c>
      <c r="H1101" s="2" t="s">
        <v>756</v>
      </c>
      <c r="I1101" s="2" t="s">
        <v>185</v>
      </c>
      <c r="J1101" s="2" t="s">
        <v>226</v>
      </c>
      <c r="K1101" s="2" t="s">
        <v>187</v>
      </c>
      <c r="L1101" s="2" t="s">
        <v>2572</v>
      </c>
    </row>
    <row r="1102" spans="1:12">
      <c r="A1102" s="2" t="s">
        <v>1984</v>
      </c>
      <c r="B1102" s="2" t="s">
        <v>1985</v>
      </c>
      <c r="C1102" s="2" t="s">
        <v>4478</v>
      </c>
      <c r="D1102" s="2" t="s">
        <v>1981</v>
      </c>
      <c r="E1102" s="2" t="s">
        <v>223</v>
      </c>
      <c r="F1102" s="2">
        <v>1991</v>
      </c>
      <c r="G1102" s="2" t="s">
        <v>224</v>
      </c>
      <c r="H1102" s="2" t="s">
        <v>1984</v>
      </c>
      <c r="I1102" s="2" t="s">
        <v>225</v>
      </c>
      <c r="J1102" s="2" t="s">
        <v>186</v>
      </c>
      <c r="K1102" s="2" t="s">
        <v>187</v>
      </c>
      <c r="L1102" s="2" t="s">
        <v>4479</v>
      </c>
    </row>
    <row r="1103" spans="1:12">
      <c r="A1103" s="2" t="s">
        <v>2006</v>
      </c>
      <c r="B1103" s="2" t="s">
        <v>2007</v>
      </c>
      <c r="C1103" s="2" t="s">
        <v>4480</v>
      </c>
      <c r="D1103" s="2" t="s">
        <v>2004</v>
      </c>
      <c r="E1103" s="2" t="s">
        <v>223</v>
      </c>
      <c r="F1103" s="2">
        <v>1977</v>
      </c>
      <c r="G1103" s="2" t="s">
        <v>224</v>
      </c>
      <c r="H1103" s="2" t="s">
        <v>2006</v>
      </c>
      <c r="I1103" s="2" t="s">
        <v>225</v>
      </c>
      <c r="J1103" s="2" t="s">
        <v>270</v>
      </c>
      <c r="K1103" s="2" t="s">
        <v>187</v>
      </c>
      <c r="L1103" s="2" t="s">
        <v>4481</v>
      </c>
    </row>
    <row r="1104" spans="1:12">
      <c r="A1104" s="2" t="s">
        <v>2023</v>
      </c>
      <c r="B1104" s="2" t="s">
        <v>2024</v>
      </c>
      <c r="C1104" s="2" t="s">
        <v>4482</v>
      </c>
      <c r="D1104" s="2" t="s">
        <v>2021</v>
      </c>
      <c r="E1104" s="2" t="s">
        <v>223</v>
      </c>
      <c r="F1104" s="2">
        <v>1978</v>
      </c>
      <c r="G1104" s="2" t="s">
        <v>224</v>
      </c>
      <c r="H1104" s="2" t="s">
        <v>2023</v>
      </c>
      <c r="I1104" s="2" t="s">
        <v>225</v>
      </c>
      <c r="J1104" s="2" t="s">
        <v>270</v>
      </c>
      <c r="K1104" s="2" t="s">
        <v>187</v>
      </c>
      <c r="L1104" s="2" t="s">
        <v>2632</v>
      </c>
    </row>
    <row r="1105" spans="1:12">
      <c r="A1105" s="2" t="s">
        <v>2052</v>
      </c>
      <c r="B1105" s="2" t="s">
        <v>2052</v>
      </c>
      <c r="C1105" s="2" t="s">
        <v>4483</v>
      </c>
      <c r="D1105" s="2" t="s">
        <v>2049</v>
      </c>
      <c r="E1105" s="2" t="s">
        <v>183</v>
      </c>
      <c r="F1105" s="2">
        <v>1993</v>
      </c>
      <c r="G1105" s="2" t="s">
        <v>224</v>
      </c>
      <c r="H1105" s="2" t="s">
        <v>2052</v>
      </c>
      <c r="I1105" s="2" t="s">
        <v>185</v>
      </c>
      <c r="J1105" s="2" t="s">
        <v>226</v>
      </c>
      <c r="K1105" s="2" t="s">
        <v>187</v>
      </c>
      <c r="L1105" s="2" t="s">
        <v>2632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420"/>
  <sheetViews>
    <sheetView workbookViewId="0"/>
  </sheetViews>
  <sheetFormatPr defaultColWidth="12.6640625" defaultRowHeight="15.75" customHeight="1"/>
  <cols>
    <col min="1" max="2" width="16.21875" customWidth="1"/>
    <col min="3" max="3" width="21.21875" customWidth="1"/>
    <col min="4" max="4" width="23.44140625" customWidth="1"/>
    <col min="5" max="5" width="49.88671875" customWidth="1"/>
    <col min="6" max="6" width="34.109375" customWidth="1"/>
    <col min="7" max="7" width="3.77734375" customWidth="1"/>
    <col min="8" max="8" width="20.77734375" customWidth="1"/>
  </cols>
  <sheetData>
    <row r="1" spans="1:8" ht="13.2">
      <c r="A1" s="1" t="s">
        <v>2566</v>
      </c>
      <c r="B1" s="1" t="s">
        <v>10</v>
      </c>
      <c r="C1" s="1" t="s">
        <v>0</v>
      </c>
      <c r="D1" s="1" t="s">
        <v>4484</v>
      </c>
      <c r="E1" s="1" t="s">
        <v>4485</v>
      </c>
      <c r="F1" s="1" t="s">
        <v>2567</v>
      </c>
      <c r="G1" s="1" t="s">
        <v>4486</v>
      </c>
      <c r="H1" s="1" t="s">
        <v>4487</v>
      </c>
    </row>
    <row r="2" spans="1:8" ht="75" customHeight="1">
      <c r="A2" s="2" t="s">
        <v>731</v>
      </c>
      <c r="B2" s="2" t="s">
        <v>731</v>
      </c>
      <c r="C2" s="2" t="s">
        <v>728</v>
      </c>
      <c r="D2" s="2" t="s">
        <v>2596</v>
      </c>
      <c r="E2" s="2" t="s">
        <v>4488</v>
      </c>
      <c r="F2" s="2" t="s">
        <v>4489</v>
      </c>
      <c r="G2" s="2" t="e">
        <f ca="1">_xludf.IMAGE("https://drive.google.com/uc?export=view&amp;id=1q5jv7gRaDHFXQbk2y1raC5aJkFoPKty-", 1)</f>
        <v>#NAME?</v>
      </c>
    </row>
    <row r="3" spans="1:8" ht="75" customHeight="1">
      <c r="A3" s="2" t="s">
        <v>436</v>
      </c>
      <c r="B3" s="2" t="s">
        <v>437</v>
      </c>
      <c r="C3" s="2" t="s">
        <v>434</v>
      </c>
      <c r="D3" s="2" t="s">
        <v>4490</v>
      </c>
      <c r="E3" s="2" t="s">
        <v>4491</v>
      </c>
      <c r="F3" s="2" t="s">
        <v>4492</v>
      </c>
      <c r="G3" s="2" t="e">
        <f ca="1">_xludf.IMAGE("https://drive.google.com/uc?export=view&amp;id=1R3B4cjJmRynxUWQIvhx9t8q6OkECwVz3", 1)</f>
        <v>#NAME?</v>
      </c>
      <c r="H3" s="2" t="s">
        <v>4493</v>
      </c>
    </row>
    <row r="4" spans="1:8" ht="75" customHeight="1">
      <c r="A4" s="2" t="s">
        <v>566</v>
      </c>
      <c r="B4" s="2" t="s">
        <v>566</v>
      </c>
      <c r="C4" s="2" t="s">
        <v>563</v>
      </c>
      <c r="D4" s="2" t="s">
        <v>2657</v>
      </c>
      <c r="E4" s="2" t="s">
        <v>4494</v>
      </c>
      <c r="F4" s="2" t="s">
        <v>4495</v>
      </c>
      <c r="G4" s="2" t="e">
        <f ca="1">_xludf.IMAGE("https://drive.google.com/uc?export=view&amp;id=1W1f6L_HkADrZnCe16LDdhHkvv499SJb3", 1)</f>
        <v>#NAME?</v>
      </c>
    </row>
    <row r="5" spans="1:8" ht="75" customHeight="1">
      <c r="A5" s="2" t="s">
        <v>601</v>
      </c>
      <c r="B5" s="2" t="s">
        <v>602</v>
      </c>
      <c r="C5" s="2" t="s">
        <v>599</v>
      </c>
      <c r="D5" s="2" t="s">
        <v>4496</v>
      </c>
      <c r="E5" s="2" t="s">
        <v>4497</v>
      </c>
      <c r="F5" s="2" t="s">
        <v>4498</v>
      </c>
      <c r="G5" s="2" t="e">
        <f ca="1">_xludf.IMAGE("https://drive.google.com/uc?export=view&amp;id=1Dw2I-z_ogPZwofIGV4l1i3Jb5BTKvbrs", 1)</f>
        <v>#NAME?</v>
      </c>
    </row>
    <row r="6" spans="1:8" ht="75" customHeight="1">
      <c r="A6" s="2" t="s">
        <v>181</v>
      </c>
      <c r="B6" s="2" t="s">
        <v>181</v>
      </c>
      <c r="C6" s="2" t="s">
        <v>176</v>
      </c>
      <c r="D6" s="2" t="s">
        <v>4499</v>
      </c>
      <c r="E6" s="2" t="s">
        <v>4500</v>
      </c>
      <c r="F6" s="2" t="s">
        <v>4501</v>
      </c>
      <c r="G6" s="2" t="e">
        <f ca="1">_xludf.IMAGE("https://drive.google.com/uc?export=view&amp;id=1sQoniO2njiGdyJDegK_jxedIz54pckEc", 1)</f>
        <v>#NAME?</v>
      </c>
      <c r="H6" s="2" t="s">
        <v>181</v>
      </c>
    </row>
    <row r="7" spans="1:8" ht="75" customHeight="1">
      <c r="A7" s="2" t="s">
        <v>534</v>
      </c>
      <c r="B7" s="2" t="s">
        <v>534</v>
      </c>
      <c r="C7" s="2" t="s">
        <v>531</v>
      </c>
      <c r="D7" s="2" t="s">
        <v>2599</v>
      </c>
      <c r="E7" s="2" t="s">
        <v>4502</v>
      </c>
      <c r="F7" s="2" t="s">
        <v>4503</v>
      </c>
      <c r="G7" s="2" t="e">
        <f ca="1">_xludf.IMAGE("https://drive.google.com/uc?export=view&amp;id=1ucVgl0ZuAhrTcQim-1SxVw58N3f2-sW1", 1)</f>
        <v>#NAME?</v>
      </c>
    </row>
    <row r="8" spans="1:8" ht="75" customHeight="1">
      <c r="A8" s="2" t="s">
        <v>628</v>
      </c>
      <c r="B8" s="2" t="s">
        <v>629</v>
      </c>
      <c r="C8" s="2" t="s">
        <v>626</v>
      </c>
      <c r="D8" s="2" t="s">
        <v>4504</v>
      </c>
      <c r="E8" s="2" t="s">
        <v>4505</v>
      </c>
      <c r="F8" s="2" t="s">
        <v>4506</v>
      </c>
      <c r="G8" s="2" t="e">
        <f ca="1">_xludf.IMAGE("https://drive.google.com/uc?export=view&amp;id=1JcUrj5EfakVNMwGS9A259TZCuMY3MHX1", 1)</f>
        <v>#NAME?</v>
      </c>
      <c r="H8" s="2" t="s">
        <v>628</v>
      </c>
    </row>
    <row r="9" spans="1:8" ht="75" customHeight="1">
      <c r="A9" s="2" t="s">
        <v>295</v>
      </c>
      <c r="B9" s="2" t="s">
        <v>185</v>
      </c>
      <c r="C9" s="2" t="s">
        <v>292</v>
      </c>
      <c r="D9" s="2" t="s">
        <v>2628</v>
      </c>
      <c r="E9" s="2" t="s">
        <v>4507</v>
      </c>
      <c r="F9" s="2" t="s">
        <v>4508</v>
      </c>
      <c r="G9" s="2" t="e">
        <f ca="1">_xludf.IMAGE("https://drive.google.com/uc?export=view&amp;id=1JzCB4xTEJHrTs-lG2PBtaFOkuBf8P3lz", 1)</f>
        <v>#NAME?</v>
      </c>
      <c r="H9" s="2" t="s">
        <v>4509</v>
      </c>
    </row>
    <row r="10" spans="1:8" ht="75" customHeight="1">
      <c r="A10" s="2" t="s">
        <v>400</v>
      </c>
      <c r="B10" s="2" t="s">
        <v>400</v>
      </c>
      <c r="C10" s="2" t="s">
        <v>396</v>
      </c>
      <c r="D10" s="2" t="s">
        <v>2571</v>
      </c>
      <c r="E10" s="2" t="s">
        <v>4510</v>
      </c>
      <c r="F10" s="2" t="s">
        <v>4511</v>
      </c>
      <c r="G10" s="2" t="e">
        <f ca="1">_xludf.IMAGE("https://drive.google.com/uc?export=view&amp;id=1DlxdqrizNIb8kUHVIjldfXWlAlkXaVrQ", 1)</f>
        <v>#NAME?</v>
      </c>
      <c r="H10" s="2" t="s">
        <v>3716</v>
      </c>
    </row>
    <row r="11" spans="1:8" ht="75" customHeight="1">
      <c r="A11" s="2" t="s">
        <v>307</v>
      </c>
      <c r="B11" s="2" t="s">
        <v>185</v>
      </c>
      <c r="C11" s="2" t="s">
        <v>305</v>
      </c>
      <c r="D11" s="2" t="s">
        <v>2702</v>
      </c>
      <c r="E11" s="2" t="s">
        <v>4512</v>
      </c>
      <c r="F11" s="2" t="s">
        <v>4513</v>
      </c>
      <c r="G11" s="2" t="e">
        <f ca="1">_xludf.IMAGE("https://drive.google.com/uc?export=view&amp;id=1uIK5lI_VJvH60pymMKq_FWw-KuyT2Y3F", 1)</f>
        <v>#NAME?</v>
      </c>
      <c r="H11" s="2" t="s">
        <v>307</v>
      </c>
    </row>
    <row r="12" spans="1:8" ht="75" customHeight="1">
      <c r="A12" s="2" t="s">
        <v>316</v>
      </c>
      <c r="B12" s="2" t="s">
        <v>317</v>
      </c>
      <c r="C12" s="2" t="s">
        <v>315</v>
      </c>
      <c r="D12" s="2" t="s">
        <v>4514</v>
      </c>
      <c r="E12" s="2" t="s">
        <v>4515</v>
      </c>
      <c r="F12" s="2" t="s">
        <v>4516</v>
      </c>
      <c r="G12" s="2" t="e">
        <f ca="1">_xludf.IMAGE("https://drive.google.com/uc?export=view&amp;id=1Ee6KtFiJ9VA6IkZMkUwTnNrpQzvVRo2f", 1)</f>
        <v>#NAME?</v>
      </c>
      <c r="H12" s="2" t="s">
        <v>317</v>
      </c>
    </row>
    <row r="13" spans="1:8" ht="75" customHeight="1">
      <c r="A13" s="2" t="s">
        <v>548</v>
      </c>
      <c r="B13" s="2" t="s">
        <v>549</v>
      </c>
      <c r="C13" s="2" t="s">
        <v>546</v>
      </c>
      <c r="D13" s="2" t="s">
        <v>4517</v>
      </c>
      <c r="E13" s="2" t="s">
        <v>4518</v>
      </c>
      <c r="F13" s="2" t="s">
        <v>4519</v>
      </c>
      <c r="G13" s="2" t="e">
        <f ca="1">_xludf.IMAGE("https://drive.google.com/uc?export=view&amp;id=1fGFphh88e0UEz9oH4s4Wd6b1qog7KCUl", 1)</f>
        <v>#NAME?</v>
      </c>
      <c r="H13" s="2" t="s">
        <v>4520</v>
      </c>
    </row>
    <row r="14" spans="1:8" ht="75" customHeight="1">
      <c r="A14" s="2" t="s">
        <v>407</v>
      </c>
      <c r="B14" s="2" t="s">
        <v>409</v>
      </c>
      <c r="C14" s="2" t="s">
        <v>406</v>
      </c>
      <c r="D14" s="2" t="s">
        <v>2573</v>
      </c>
      <c r="E14" s="2" t="s">
        <v>4521</v>
      </c>
      <c r="F14" s="2" t="s">
        <v>4522</v>
      </c>
      <c r="G14" s="2" t="e">
        <f ca="1">_xludf.IMAGE("https://drive.google.com/uc?export=view&amp;id=1RZR8cZ0BMTxlc-yrHaOLvX7xj-uR28I3", 1)</f>
        <v>#NAME?</v>
      </c>
      <c r="H14" s="2" t="s">
        <v>3716</v>
      </c>
    </row>
    <row r="15" spans="1:8" ht="75" customHeight="1">
      <c r="A15" s="2" t="s">
        <v>559</v>
      </c>
      <c r="B15" s="2" t="s">
        <v>560</v>
      </c>
      <c r="C15" s="2" t="s">
        <v>557</v>
      </c>
      <c r="D15" s="2" t="s">
        <v>2606</v>
      </c>
      <c r="E15" s="2" t="s">
        <v>4523</v>
      </c>
      <c r="F15" s="2" t="s">
        <v>4524</v>
      </c>
      <c r="G15" s="2" t="e">
        <f ca="1">_xludf.IMAGE("https://drive.google.com/uc?export=view&amp;id=1P-6u63ivdzogxL9ixR6PEq2BLo2SXo7s", 1)</f>
        <v>#NAME?</v>
      </c>
    </row>
    <row r="16" spans="1:8" ht="75" customHeight="1">
      <c r="A16" s="2" t="s">
        <v>322</v>
      </c>
      <c r="B16" s="2" t="s">
        <v>323</v>
      </c>
      <c r="C16" s="2" t="s">
        <v>320</v>
      </c>
      <c r="D16" s="2" t="s">
        <v>2630</v>
      </c>
      <c r="E16" s="2" t="s">
        <v>4525</v>
      </c>
      <c r="F16" s="2" t="s">
        <v>4526</v>
      </c>
      <c r="G16" s="2" t="e">
        <f ca="1">_xludf.IMAGE("https://drive.google.com/uc?export=view&amp;id=1ovmNRgyY_bSobER_ax6QkeFXPfGW2Baw", 1)</f>
        <v>#NAME?</v>
      </c>
      <c r="H16" s="2" t="s">
        <v>4527</v>
      </c>
    </row>
    <row r="17" spans="1:8" ht="75" customHeight="1">
      <c r="A17" s="2" t="s">
        <v>417</v>
      </c>
      <c r="B17" s="2" t="s">
        <v>418</v>
      </c>
      <c r="C17" s="2" t="s">
        <v>415</v>
      </c>
      <c r="D17" s="2" t="s">
        <v>4528</v>
      </c>
      <c r="E17" s="2" t="s">
        <v>4529</v>
      </c>
      <c r="F17" s="2" t="s">
        <v>4530</v>
      </c>
      <c r="G17" s="2" t="e">
        <f ca="1">_xludf.IMAGE("https://drive.google.com/uc?export=view&amp;id=1cTgi4Wi1JYtU8HTNfQHrQumgZz5CsVVo", 1)</f>
        <v>#NAME?</v>
      </c>
    </row>
    <row r="18" spans="1:8" ht="75" customHeight="1">
      <c r="A18" s="2" t="s">
        <v>622</v>
      </c>
      <c r="B18" s="2" t="s">
        <v>622</v>
      </c>
      <c r="C18" s="2" t="s">
        <v>620</v>
      </c>
      <c r="D18" s="2" t="s">
        <v>4531</v>
      </c>
      <c r="E18" s="2" t="s">
        <v>4532</v>
      </c>
      <c r="F18" s="2" t="s">
        <v>4533</v>
      </c>
      <c r="G18" s="2" t="e">
        <f ca="1">_xludf.IMAGE("https://drive.google.com/uc?export=view&amp;id=17xzEHB9WC-a_Fs-3lD9qkcNKbVrhO7lV", 1)</f>
        <v>#NAME?</v>
      </c>
      <c r="H18" s="2" t="s">
        <v>622</v>
      </c>
    </row>
    <row r="19" spans="1:8" ht="75" customHeight="1">
      <c r="A19" s="2" t="s">
        <v>330</v>
      </c>
      <c r="B19" s="2" t="s">
        <v>331</v>
      </c>
      <c r="C19" s="2" t="s">
        <v>328</v>
      </c>
      <c r="D19" s="2" t="s">
        <v>4534</v>
      </c>
      <c r="E19" s="2" t="s">
        <v>4535</v>
      </c>
      <c r="F19" s="2" t="s">
        <v>4536</v>
      </c>
      <c r="G19" s="2" t="e">
        <f ca="1">_xludf.IMAGE("https://drive.google.com/uc?export=view&amp;id=13_fbCXACkBMuhM4DkV-SzlqpXq3rRGiQ", 1)</f>
        <v>#NAME?</v>
      </c>
      <c r="H19" s="2" t="s">
        <v>330</v>
      </c>
    </row>
    <row r="20" spans="1:8" ht="75" customHeight="1">
      <c r="A20" s="2" t="s">
        <v>221</v>
      </c>
      <c r="B20" s="2" t="s">
        <v>222</v>
      </c>
      <c r="C20" s="2" t="s">
        <v>220</v>
      </c>
      <c r="D20" s="2" t="s">
        <v>4537</v>
      </c>
      <c r="E20" s="2" t="s">
        <v>4538</v>
      </c>
      <c r="F20" s="2" t="s">
        <v>4539</v>
      </c>
      <c r="G20" s="2" t="e">
        <f ca="1">_xludf.IMAGE("https://drive.google.com/uc?export=view&amp;id=1ogN_2OCprdGMMT5dazd6NeoJNhLYlthK", 1)</f>
        <v>#NAME?</v>
      </c>
    </row>
    <row r="21" spans="1:8" ht="75" customHeight="1">
      <c r="A21" s="2" t="s">
        <v>543</v>
      </c>
      <c r="B21" s="2" t="s">
        <v>543</v>
      </c>
      <c r="C21" s="2" t="s">
        <v>541</v>
      </c>
      <c r="D21" s="2" t="s">
        <v>2608</v>
      </c>
      <c r="E21" s="2" t="s">
        <v>4540</v>
      </c>
      <c r="F21" s="2" t="s">
        <v>4541</v>
      </c>
      <c r="G21" s="2" t="e">
        <f ca="1">_xludf.IMAGE("https://drive.google.com/uc?export=view&amp;id=15zyxi_CBWChj0ctFmD9WxFbNoau0-HrI", 1)</f>
        <v>#NAME?</v>
      </c>
    </row>
    <row r="22" spans="1:8" ht="75" customHeight="1">
      <c r="A22" s="2" t="s">
        <v>575</v>
      </c>
      <c r="B22" s="2" t="s">
        <v>576</v>
      </c>
      <c r="C22" s="2" t="s">
        <v>573</v>
      </c>
      <c r="D22" s="2" t="s">
        <v>4542</v>
      </c>
      <c r="E22" s="2" t="s">
        <v>4543</v>
      </c>
      <c r="F22" s="2" t="s">
        <v>4544</v>
      </c>
      <c r="G22" s="2" t="e">
        <f ca="1">_xludf.IMAGE("https://drive.google.com/uc?export=view&amp;id=1xc1p1edEAdLjhu22e7CEyooNtffglf1z", 1)</f>
        <v>#NAME?</v>
      </c>
    </row>
    <row r="23" spans="1:8" ht="75" customHeight="1">
      <c r="A23" s="2" t="s">
        <v>585</v>
      </c>
      <c r="B23" s="2" t="s">
        <v>585</v>
      </c>
      <c r="C23" s="2" t="s">
        <v>583</v>
      </c>
      <c r="D23" s="2" t="s">
        <v>2609</v>
      </c>
      <c r="E23" s="2" t="s">
        <v>4545</v>
      </c>
      <c r="F23" s="2" t="s">
        <v>4546</v>
      </c>
      <c r="G23" s="2" t="e">
        <f ca="1">_xludf.IMAGE("https://drive.google.com/uc?export=view&amp;id=1owTSswyIpR4B3kuHD5MOUw5Y8ZybnG6n", 1)</f>
        <v>#NAME?</v>
      </c>
    </row>
    <row r="24" spans="1:8" ht="75" customHeight="1">
      <c r="A24" s="2" t="s">
        <v>636</v>
      </c>
      <c r="B24" s="2" t="s">
        <v>637</v>
      </c>
      <c r="C24" s="2" t="s">
        <v>634</v>
      </c>
      <c r="D24" s="2" t="s">
        <v>4547</v>
      </c>
      <c r="E24" s="2" t="s">
        <v>4548</v>
      </c>
      <c r="F24" s="2" t="s">
        <v>4549</v>
      </c>
      <c r="G24" s="2" t="e">
        <f ca="1">_xludf.IMAGE("https://drive.google.com/uc?export=view&amp;id=1p0PoA6m_KPZdW6fhniWEe4cVczDmkXCD", 1)</f>
        <v>#NAME?</v>
      </c>
      <c r="H24" s="2" t="s">
        <v>4550</v>
      </c>
    </row>
    <row r="25" spans="1:8" ht="75" customHeight="1">
      <c r="A25" s="2" t="s">
        <v>446</v>
      </c>
      <c r="B25" s="2" t="s">
        <v>447</v>
      </c>
      <c r="C25" s="2" t="s">
        <v>443</v>
      </c>
      <c r="D25" s="2" t="s">
        <v>2575</v>
      </c>
      <c r="E25" s="2" t="s">
        <v>4551</v>
      </c>
      <c r="F25" s="2" t="s">
        <v>4552</v>
      </c>
      <c r="G25" s="2" t="e">
        <f ca="1">_xludf.IMAGE("https://drive.google.com/uc?export=view&amp;id=1bdg5t4d3gBZ8YRgyqKbt8N5K5MzrPESr", 1)</f>
        <v>#NAME?</v>
      </c>
    </row>
    <row r="26" spans="1:8" ht="75" customHeight="1">
      <c r="A26" s="2" t="s">
        <v>338</v>
      </c>
      <c r="B26" s="2" t="s">
        <v>338</v>
      </c>
      <c r="C26" s="2" t="s">
        <v>337</v>
      </c>
      <c r="D26" s="2" t="s">
        <v>2633</v>
      </c>
      <c r="E26" s="2" t="s">
        <v>4553</v>
      </c>
      <c r="F26" s="2" t="s">
        <v>4554</v>
      </c>
      <c r="G26" s="2" t="e">
        <f ca="1">_xludf.IMAGE("https://drive.google.com/uc?export=view&amp;id=1wf87tawXu4gE3hl5YrEb0M6MzNSq_0yb", 1)</f>
        <v>#NAME?</v>
      </c>
      <c r="H26" s="2" t="s">
        <v>338</v>
      </c>
    </row>
    <row r="27" spans="1:8" ht="75" customHeight="1">
      <c r="A27" s="2" t="s">
        <v>345</v>
      </c>
      <c r="B27" s="2" t="s">
        <v>345</v>
      </c>
      <c r="C27" s="2" t="s">
        <v>344</v>
      </c>
      <c r="D27" s="2" t="s">
        <v>4555</v>
      </c>
      <c r="E27" s="2" t="s">
        <v>4556</v>
      </c>
      <c r="F27" s="2" t="s">
        <v>4557</v>
      </c>
      <c r="G27" s="2" t="e">
        <f ca="1">_xludf.IMAGE("https://drive.google.com/uc?export=view&amp;id=1YSyi_L6H4yVU6CNhGldFaPh--MVoxr4M", 1)</f>
        <v>#NAME?</v>
      </c>
      <c r="H27" s="2" t="s">
        <v>345</v>
      </c>
    </row>
    <row r="28" spans="1:8" ht="75" customHeight="1">
      <c r="A28" s="2" t="s">
        <v>457</v>
      </c>
      <c r="B28" s="2" t="s">
        <v>457</v>
      </c>
      <c r="C28" s="2" t="s">
        <v>454</v>
      </c>
      <c r="D28" s="2" t="s">
        <v>2577</v>
      </c>
      <c r="E28" s="2" t="s">
        <v>4558</v>
      </c>
      <c r="F28" s="2" t="s">
        <v>4559</v>
      </c>
      <c r="G28" s="2" t="e">
        <f ca="1">_xludf.IMAGE("https://drive.google.com/uc?export=view&amp;id=1NUt5Jj4JiZvqRpQRAq4VaFDuvbiNUSai", 1)</f>
        <v>#NAME?</v>
      </c>
      <c r="H28" s="2" t="s">
        <v>4493</v>
      </c>
    </row>
    <row r="29" spans="1:8" ht="75" customHeight="1">
      <c r="A29" s="2" t="s">
        <v>592</v>
      </c>
      <c r="B29" s="2" t="s">
        <v>593</v>
      </c>
      <c r="C29" s="2" t="s">
        <v>588</v>
      </c>
      <c r="D29" s="2" t="s">
        <v>4560</v>
      </c>
      <c r="E29" s="2" t="s">
        <v>4561</v>
      </c>
      <c r="F29" s="2" t="s">
        <v>4562</v>
      </c>
      <c r="G29" s="2" t="e">
        <f ca="1">_xludf.IMAGE("https://drive.google.com/uc?export=view&amp;id=1txKvjpBmL50B7NZ8BjcMOxxnvmJpmql8", 1)</f>
        <v>#NAME?</v>
      </c>
      <c r="H29" s="2" t="s">
        <v>4563</v>
      </c>
    </row>
    <row r="30" spans="1:8" ht="75" customHeight="1">
      <c r="A30" s="2" t="s">
        <v>350</v>
      </c>
      <c r="B30" s="2" t="s">
        <v>351</v>
      </c>
      <c r="C30" s="2" t="s">
        <v>349</v>
      </c>
      <c r="D30" s="2" t="s">
        <v>2636</v>
      </c>
      <c r="E30" s="2" t="s">
        <v>4564</v>
      </c>
      <c r="F30" s="2" t="s">
        <v>4565</v>
      </c>
      <c r="G30" s="2" t="e">
        <f ca="1">_xludf.IMAGE("https://drive.google.com/uc?export=view&amp;id=1E3hOTebnxSSd9hqBCDMGNf1pC_PzJ-re", 1)</f>
        <v>#NAME?</v>
      </c>
      <c r="H30" s="2" t="s">
        <v>4566</v>
      </c>
    </row>
    <row r="31" spans="1:8" ht="75" customHeight="1">
      <c r="E31" s="2" t="s">
        <v>4567</v>
      </c>
      <c r="F31" s="2" t="s">
        <v>4568</v>
      </c>
      <c r="G31" s="2" t="e">
        <f ca="1">_xludf.IMAGE("https://drive.google.com/uc?export=view&amp;id=Không tìm thấy file", 1)</f>
        <v>#NAME?</v>
      </c>
      <c r="H31" s="2" t="s">
        <v>629</v>
      </c>
    </row>
    <row r="32" spans="1:8" ht="75" customHeight="1">
      <c r="A32" s="2" t="s">
        <v>474</v>
      </c>
      <c r="B32" s="2" t="s">
        <v>475</v>
      </c>
      <c r="C32" s="2" t="s">
        <v>472</v>
      </c>
      <c r="D32" s="2" t="s">
        <v>2610</v>
      </c>
      <c r="E32" s="2" t="s">
        <v>4569</v>
      </c>
      <c r="F32" s="2" t="s">
        <v>4570</v>
      </c>
      <c r="G32" s="2" t="e">
        <f ca="1">_xludf.IMAGE("https://drive.google.com/uc?export=view&amp;id=1GO7mcD0GmigNUMY5ql1IYw4jepMeQ9-Z", 1)</f>
        <v>#NAME?</v>
      </c>
    </row>
    <row r="33" spans="1:8" ht="75" customHeight="1">
      <c r="A33" s="2" t="s">
        <v>779</v>
      </c>
      <c r="B33" s="2" t="s">
        <v>780</v>
      </c>
      <c r="C33" s="2" t="s">
        <v>776</v>
      </c>
      <c r="D33" s="2" t="s">
        <v>4571</v>
      </c>
      <c r="E33" s="2" t="s">
        <v>4572</v>
      </c>
      <c r="F33" s="2" t="s">
        <v>4573</v>
      </c>
      <c r="G33" s="2" t="e">
        <f ca="1">_xludf.IMAGE("https://drive.google.com/uc?export=view&amp;id=1K82mVXdV1DuY1UmpwfauxlS0WR49wgAi", 1)</f>
        <v>#NAME?</v>
      </c>
      <c r="H33" s="2" t="s">
        <v>279</v>
      </c>
    </row>
    <row r="34" spans="1:8" ht="75" customHeight="1">
      <c r="A34" s="2" t="s">
        <v>356</v>
      </c>
      <c r="B34" s="2" t="s">
        <v>356</v>
      </c>
      <c r="C34" s="2" t="s">
        <v>355</v>
      </c>
      <c r="D34" s="2" t="s">
        <v>2637</v>
      </c>
      <c r="E34" s="2" t="s">
        <v>4574</v>
      </c>
      <c r="F34" s="2" t="s">
        <v>4575</v>
      </c>
      <c r="G34" s="2" t="e">
        <f ca="1">_xludf.IMAGE("https://drive.google.com/uc?export=view&amp;id=19fgdCRAQbNgW3rWHpk9pBoUOW3-Fd89f", 1)</f>
        <v>#NAME?</v>
      </c>
      <c r="H34" s="2" t="s">
        <v>356</v>
      </c>
    </row>
    <row r="35" spans="1:8" ht="75" customHeight="1">
      <c r="A35" s="2" t="s">
        <v>235</v>
      </c>
      <c r="B35" s="2" t="s">
        <v>236</v>
      </c>
      <c r="C35" s="2" t="s">
        <v>234</v>
      </c>
      <c r="D35" s="2" t="s">
        <v>4576</v>
      </c>
      <c r="E35" s="2" t="s">
        <v>4577</v>
      </c>
      <c r="F35" s="2" t="s">
        <v>4578</v>
      </c>
      <c r="G35" s="2" t="e">
        <f ca="1">_xludf.IMAGE("https://drive.google.com/uc?export=view&amp;id=1mB8nK7LiMqHviLc-S8p5INdnSYyccIHO", 1)</f>
        <v>#NAME?</v>
      </c>
    </row>
    <row r="36" spans="1:8" ht="75" customHeight="1">
      <c r="A36" s="2" t="s">
        <v>493</v>
      </c>
      <c r="B36" s="2" t="s">
        <v>493</v>
      </c>
      <c r="C36" s="2" t="s">
        <v>491</v>
      </c>
      <c r="D36" s="2" t="s">
        <v>4579</v>
      </c>
      <c r="E36" s="2" t="s">
        <v>4580</v>
      </c>
      <c r="F36" s="2" t="s">
        <v>4581</v>
      </c>
      <c r="G36" s="2" t="e">
        <f ca="1">_xludf.IMAGE("https://drive.google.com/uc?export=view&amp;id=1LKH9cvAW5EY8otipdAQnj4_27x-A292y", 1)</f>
        <v>#NAME?</v>
      </c>
    </row>
    <row r="37" spans="1:8" ht="75" customHeight="1">
      <c r="A37" s="2" t="s">
        <v>386</v>
      </c>
      <c r="B37" s="2" t="s">
        <v>610</v>
      </c>
      <c r="C37" s="2" t="s">
        <v>608</v>
      </c>
      <c r="D37" s="2" t="s">
        <v>4582</v>
      </c>
      <c r="E37" s="2" t="s">
        <v>4583</v>
      </c>
      <c r="F37" s="2" t="s">
        <v>4584</v>
      </c>
      <c r="G37" s="2" t="e">
        <f ca="1">_xludf.IMAGE("https://drive.google.com/uc?export=view&amp;id=1XuTw2_lRUyeb7VGTm9gxIfVd8FAaTk4C", 1)</f>
        <v>#NAME?</v>
      </c>
    </row>
    <row r="38" spans="1:8" ht="75" customHeight="1">
      <c r="A38" s="2" t="s">
        <v>785</v>
      </c>
      <c r="B38" s="2" t="s">
        <v>785</v>
      </c>
      <c r="C38" s="2" t="s">
        <v>783</v>
      </c>
      <c r="D38" s="2" t="s">
        <v>4585</v>
      </c>
      <c r="E38" s="2" t="s">
        <v>4586</v>
      </c>
      <c r="F38" s="2" t="s">
        <v>4587</v>
      </c>
      <c r="G38" s="2" t="e">
        <f ca="1">_xludf.IMAGE("https://drive.google.com/uc?export=view&amp;id=1e3IIgIKIXifYq3V5WW-4Ibb4qS_ElN8K", 1)</f>
        <v>#NAME?</v>
      </c>
      <c r="H38" s="2" t="s">
        <v>185</v>
      </c>
    </row>
    <row r="39" spans="1:8" ht="75" customHeight="1">
      <c r="A39" s="2" t="s">
        <v>360</v>
      </c>
      <c r="B39" s="2" t="s">
        <v>361</v>
      </c>
      <c r="C39" s="2" t="s">
        <v>359</v>
      </c>
      <c r="D39" s="2" t="s">
        <v>2639</v>
      </c>
      <c r="E39" s="2" t="s">
        <v>4588</v>
      </c>
      <c r="F39" s="2" t="s">
        <v>4589</v>
      </c>
      <c r="G39" s="2" t="e">
        <f ca="1">_xludf.IMAGE("https://drive.google.com/uc?export=view&amp;id=10TVOhz9Iaw9pZ_3axiNAEL2Mmhj1bxyV", 1)</f>
        <v>#NAME?</v>
      </c>
      <c r="H39" s="2" t="s">
        <v>360</v>
      </c>
    </row>
    <row r="40" spans="1:8" ht="75" customHeight="1">
      <c r="A40" s="2" t="s">
        <v>501</v>
      </c>
      <c r="B40" s="2" t="s">
        <v>501</v>
      </c>
      <c r="C40" s="2" t="s">
        <v>499</v>
      </c>
      <c r="D40" s="2" t="s">
        <v>2613</v>
      </c>
      <c r="E40" s="2" t="s">
        <v>4590</v>
      </c>
      <c r="F40" s="2" t="s">
        <v>4591</v>
      </c>
      <c r="G40" s="2" t="e">
        <f ca="1">_xludf.IMAGE("https://drive.google.com/uc?export=view&amp;id=1dvfBkCeKmt-_HMI8zIu898jH1RNqtQ3g", 1)</f>
        <v>#NAME?</v>
      </c>
    </row>
    <row r="41" spans="1:8" ht="75" customHeight="1">
      <c r="A41" s="2" t="s">
        <v>245</v>
      </c>
      <c r="B41" s="2" t="s">
        <v>246</v>
      </c>
      <c r="C41" s="2" t="s">
        <v>244</v>
      </c>
      <c r="D41" s="2" t="s">
        <v>4592</v>
      </c>
      <c r="E41" s="2" t="s">
        <v>4593</v>
      </c>
      <c r="F41" s="2" t="s">
        <v>4594</v>
      </c>
      <c r="G41" s="2" t="e">
        <f ca="1">_xludf.IMAGE("https://drive.google.com/uc?export=view&amp;id=1KGoVj2r5BqVu0SWDZ9ywzr5M2f7p5yM1", 1)</f>
        <v>#NAME?</v>
      </c>
    </row>
    <row r="42" spans="1:8" ht="75" customHeight="1">
      <c r="A42" s="2" t="s">
        <v>501</v>
      </c>
      <c r="B42" s="2" t="s">
        <v>501</v>
      </c>
      <c r="C42" s="2" t="s">
        <v>499</v>
      </c>
      <c r="D42" s="2" t="s">
        <v>4595</v>
      </c>
      <c r="E42" s="2" t="s">
        <v>4596</v>
      </c>
      <c r="F42" s="2" t="s">
        <v>4597</v>
      </c>
      <c r="G42" s="2" t="e">
        <f ca="1">_xludf.IMAGE("https://drive.google.com/uc?export=view&amp;id=1KDldV2jSbcDwOxundqUtpGaAnNAMaFw5", 1)</f>
        <v>#NAME?</v>
      </c>
    </row>
    <row r="43" spans="1:8" ht="75" customHeight="1">
      <c r="A43" s="2" t="s">
        <v>519</v>
      </c>
      <c r="B43" s="2" t="s">
        <v>520</v>
      </c>
      <c r="C43" s="2" t="s">
        <v>517</v>
      </c>
      <c r="D43" s="2" t="s">
        <v>4598</v>
      </c>
      <c r="E43" s="2" t="s">
        <v>4599</v>
      </c>
      <c r="F43" s="2" t="s">
        <v>4600</v>
      </c>
      <c r="G43" s="2" t="e">
        <f ca="1">_xludf.IMAGE("https://drive.google.com/uc?export=view&amp;id=1bkGRJAXEl9I28d5Hj_VG9qquFn_ufhlP", 1)</f>
        <v>#NAME?</v>
      </c>
    </row>
    <row r="44" spans="1:8" ht="75" customHeight="1">
      <c r="A44" s="2" t="s">
        <v>252</v>
      </c>
      <c r="B44" s="2" t="s">
        <v>252</v>
      </c>
      <c r="C44" s="2" t="s">
        <v>251</v>
      </c>
      <c r="D44" s="2" t="s">
        <v>4601</v>
      </c>
      <c r="E44" s="2" t="s">
        <v>4602</v>
      </c>
      <c r="F44" s="2" t="s">
        <v>4603</v>
      </c>
      <c r="G44" s="2" t="e">
        <f ca="1">_xludf.IMAGE("https://drive.google.com/uc?export=view&amp;id=1axLSJqzKHqrKw9sIVBLLFMBPim_0HtOl", 1)</f>
        <v>#NAME?</v>
      </c>
    </row>
    <row r="45" spans="1:8" ht="75" customHeight="1">
      <c r="A45" s="2" t="s">
        <v>657</v>
      </c>
      <c r="B45" s="2" t="s">
        <v>657</v>
      </c>
      <c r="C45" s="2" t="s">
        <v>655</v>
      </c>
      <c r="D45" s="2" t="s">
        <v>4604</v>
      </c>
      <c r="E45" s="2" t="s">
        <v>4605</v>
      </c>
      <c r="F45" s="2" t="s">
        <v>4606</v>
      </c>
      <c r="G45" s="2" t="e">
        <f ca="1">_xludf.IMAGE("https://drive.google.com/uc?export=view&amp;id=1QUL0B8DafYFC1XGeM8vkKvI4Bc5r79OZ", 1)</f>
        <v>#NAME?</v>
      </c>
      <c r="H45" s="2" t="s">
        <v>185</v>
      </c>
    </row>
    <row r="46" spans="1:8" ht="75" customHeight="1">
      <c r="A46" s="2" t="s">
        <v>465</v>
      </c>
      <c r="B46" s="2" t="s">
        <v>465</v>
      </c>
      <c r="C46" s="2" t="s">
        <v>463</v>
      </c>
      <c r="D46" s="2" t="s">
        <v>4607</v>
      </c>
      <c r="E46" s="2" t="s">
        <v>4608</v>
      </c>
      <c r="F46" s="2" t="s">
        <v>4609</v>
      </c>
      <c r="G46" s="2" t="e">
        <f ca="1">_xludf.IMAGE("https://drive.google.com/uc?export=view&amp;id=1N8gL6hXg4PvGK7-3XODgaMF2NLFdTMB9", 1)</f>
        <v>#NAME?</v>
      </c>
    </row>
    <row r="47" spans="1:8" ht="75" customHeight="1">
      <c r="A47" s="2" t="s">
        <v>365</v>
      </c>
      <c r="B47" s="2" t="s">
        <v>365</v>
      </c>
      <c r="C47" s="2" t="s">
        <v>364</v>
      </c>
      <c r="D47" s="2" t="s">
        <v>4610</v>
      </c>
      <c r="E47" s="2" t="s">
        <v>4611</v>
      </c>
      <c r="F47" s="2" t="s">
        <v>4612</v>
      </c>
      <c r="G47" s="2" t="e">
        <f ca="1">_xludf.IMAGE("https://drive.google.com/uc?export=view&amp;id=1WXs71MGEqnAxrVHKLxqu2pl26YhHFjKm", 1)</f>
        <v>#NAME?</v>
      </c>
      <c r="H47" s="2" t="s">
        <v>365</v>
      </c>
    </row>
    <row r="48" spans="1:8" ht="75" customHeight="1">
      <c r="A48" s="2" t="s">
        <v>258</v>
      </c>
      <c r="B48" s="2" t="s">
        <v>259</v>
      </c>
      <c r="C48" s="2" t="s">
        <v>257</v>
      </c>
      <c r="D48" s="2" t="s">
        <v>4613</v>
      </c>
      <c r="E48" s="2" t="s">
        <v>4614</v>
      </c>
      <c r="F48" s="2" t="s">
        <v>4615</v>
      </c>
      <c r="G48" s="2" t="e">
        <f ca="1">_xludf.IMAGE("https://drive.google.com/uc?export=view&amp;id=1JiFeHxs_mlvWGbZ2LTnV5Q6gRDiJEtEG", 1)</f>
        <v>#NAME?</v>
      </c>
    </row>
    <row r="49" spans="1:8" ht="75" customHeight="1">
      <c r="A49" s="2" t="s">
        <v>525</v>
      </c>
      <c r="B49" s="2" t="s">
        <v>525</v>
      </c>
      <c r="C49" s="2" t="s">
        <v>523</v>
      </c>
      <c r="D49" s="2" t="s">
        <v>2578</v>
      </c>
      <c r="E49" s="2" t="s">
        <v>4616</v>
      </c>
      <c r="F49" s="2" t="s">
        <v>4617</v>
      </c>
      <c r="G49" s="2" t="e">
        <f ca="1">_xludf.IMAGE("https://drive.google.com/uc?export=view&amp;id=1KuCsps7njnJILgHx0B1CqSjJ9eIUN_7v", 1)</f>
        <v>#NAME?</v>
      </c>
      <c r="H49" s="2" t="s">
        <v>4618</v>
      </c>
    </row>
    <row r="50" spans="1:8" ht="75" customHeight="1">
      <c r="A50" s="2" t="s">
        <v>370</v>
      </c>
      <c r="B50" s="2" t="s">
        <v>371</v>
      </c>
      <c r="C50" s="2" t="s">
        <v>368</v>
      </c>
      <c r="D50" s="2" t="s">
        <v>2640</v>
      </c>
      <c r="E50" s="2" t="s">
        <v>4619</v>
      </c>
      <c r="F50" s="2" t="s">
        <v>4620</v>
      </c>
      <c r="G50" s="2" t="e">
        <f ca="1">_xludf.IMAGE("https://drive.google.com/uc?export=view&amp;id=11xFSUQmMQnqlXNQ163JMmhsERd7QlFhH", 1)</f>
        <v>#NAME?</v>
      </c>
      <c r="H50" s="2" t="s">
        <v>370</v>
      </c>
    </row>
    <row r="51" spans="1:8" ht="75" customHeight="1">
      <c r="A51" s="2" t="s">
        <v>642</v>
      </c>
      <c r="B51" s="2" t="s">
        <v>643</v>
      </c>
      <c r="C51" s="2" t="s">
        <v>639</v>
      </c>
      <c r="D51" s="2" t="s">
        <v>4621</v>
      </c>
      <c r="E51" s="2" t="s">
        <v>4622</v>
      </c>
      <c r="F51" s="2" t="s">
        <v>4623</v>
      </c>
      <c r="G51" s="2" t="e">
        <f ca="1">_xludf.IMAGE("https://drive.google.com/uc?export=view&amp;id=1GrvCzZlZ3Dgx96_CRrthpicVr52kKhXs", 1)</f>
        <v>#NAME?</v>
      </c>
      <c r="H51" s="2" t="s">
        <v>237</v>
      </c>
    </row>
    <row r="52" spans="1:8" ht="75" customHeight="1">
      <c r="A52" s="2" t="s">
        <v>427</v>
      </c>
      <c r="B52" s="2" t="s">
        <v>428</v>
      </c>
      <c r="C52" s="2" t="s">
        <v>423</v>
      </c>
      <c r="D52" s="2" t="s">
        <v>2614</v>
      </c>
      <c r="E52" s="2" t="s">
        <v>4624</v>
      </c>
      <c r="F52" s="2" t="s">
        <v>4625</v>
      </c>
      <c r="G52" s="2" t="e">
        <f ca="1">_xludf.IMAGE("https://drive.google.com/uc?export=view&amp;id=1QqHujUKR6JQwadj6_KRIRXQ5O_IT6sNu", 1)</f>
        <v>#NAME?</v>
      </c>
    </row>
    <row r="53" spans="1:8" ht="75" customHeight="1">
      <c r="A53" s="2" t="s">
        <v>265</v>
      </c>
      <c r="B53" s="2" t="s">
        <v>265</v>
      </c>
      <c r="C53" s="2" t="s">
        <v>264</v>
      </c>
      <c r="D53" s="2" t="s">
        <v>4626</v>
      </c>
      <c r="E53" s="2" t="s">
        <v>4627</v>
      </c>
      <c r="F53" s="2" t="s">
        <v>4628</v>
      </c>
      <c r="G53" s="2" t="e">
        <f ca="1">_xludf.IMAGE("https://drive.google.com/uc?export=view&amp;id=1uRc3jroOK327hLIgNlxKqaIoZBEbrsRU", 1)</f>
        <v>#NAME?</v>
      </c>
    </row>
    <row r="54" spans="1:8" ht="75" customHeight="1">
      <c r="A54" s="2" t="s">
        <v>506</v>
      </c>
      <c r="B54" s="2" t="s">
        <v>506</v>
      </c>
      <c r="C54" s="2" t="s">
        <v>503</v>
      </c>
      <c r="D54" s="2" t="s">
        <v>4629</v>
      </c>
      <c r="E54" s="2" t="s">
        <v>4630</v>
      </c>
      <c r="F54" s="2" t="s">
        <v>4631</v>
      </c>
      <c r="G54" s="2" t="e">
        <f ca="1">_xludf.IMAGE("https://drive.google.com/uc?export=view&amp;id=1sJ_l94_Ng4B0uDGfTsmv2NwTF2A10UzE", 1)</f>
        <v>#NAME?</v>
      </c>
      <c r="H54" s="2" t="s">
        <v>4632</v>
      </c>
    </row>
    <row r="55" spans="1:8" ht="75" customHeight="1">
      <c r="A55" s="2" t="s">
        <v>482</v>
      </c>
      <c r="B55" s="2" t="s">
        <v>483</v>
      </c>
      <c r="C55" s="2" t="s">
        <v>478</v>
      </c>
      <c r="D55" s="2" t="s">
        <v>4633</v>
      </c>
      <c r="E55" s="2" t="s">
        <v>4634</v>
      </c>
      <c r="F55" s="2" t="s">
        <v>4635</v>
      </c>
      <c r="G55" s="2" t="e">
        <f ca="1">_xludf.IMAGE("https://drive.google.com/uc?export=view&amp;id=1F94gekTeoUs4jUtVaeekOnc6Wa0LXmov", 1)</f>
        <v>#NAME?</v>
      </c>
      <c r="H55" s="2" t="s">
        <v>482</v>
      </c>
    </row>
    <row r="56" spans="1:8" ht="75" customHeight="1">
      <c r="A56" s="2" t="s">
        <v>650</v>
      </c>
      <c r="B56" s="2" t="s">
        <v>643</v>
      </c>
      <c r="C56" s="2" t="s">
        <v>648</v>
      </c>
      <c r="D56" s="2" t="s">
        <v>4636</v>
      </c>
      <c r="E56" s="2" t="s">
        <v>4637</v>
      </c>
      <c r="F56" s="2" t="s">
        <v>4638</v>
      </c>
      <c r="G56" s="2" t="e">
        <f ca="1">_xludf.IMAGE("https://drive.google.com/uc?export=view&amp;id=1WOqOjAph0CbeOuXCsMytDH2R2hCgCFj7", 1)</f>
        <v>#NAME?</v>
      </c>
      <c r="H56" s="2" t="s">
        <v>4563</v>
      </c>
    </row>
    <row r="57" spans="1:8" ht="75" customHeight="1">
      <c r="A57" s="2" t="s">
        <v>267</v>
      </c>
      <c r="B57" s="2" t="s">
        <v>268</v>
      </c>
      <c r="C57" s="2" t="s">
        <v>266</v>
      </c>
      <c r="D57" s="2" t="s">
        <v>4639</v>
      </c>
      <c r="E57" s="2" t="s">
        <v>4640</v>
      </c>
      <c r="F57" s="2" t="s">
        <v>4641</v>
      </c>
      <c r="G57" s="2" t="e">
        <f ca="1">_xludf.IMAGE("https://drive.google.com/uc?export=view&amp;id=1UWkzEbrSors9R0n4CWpC9GWtE4s0mIX8", 1)</f>
        <v>#NAME?</v>
      </c>
    </row>
    <row r="58" spans="1:8" ht="75" customHeight="1">
      <c r="A58" s="2" t="s">
        <v>684</v>
      </c>
      <c r="B58" s="2" t="s">
        <v>684</v>
      </c>
      <c r="C58" s="2" t="s">
        <v>682</v>
      </c>
      <c r="D58" s="2" t="s">
        <v>4642</v>
      </c>
      <c r="E58" s="2" t="s">
        <v>4643</v>
      </c>
      <c r="F58" s="2" t="s">
        <v>4644</v>
      </c>
      <c r="G58" s="2" t="e">
        <f ca="1">_xludf.IMAGE("https://drive.google.com/uc?export=view&amp;id=1rP01WwWTPwbAkQeZj1kWDWT6YL4sstTZ", 1)</f>
        <v>#NAME?</v>
      </c>
    </row>
    <row r="59" spans="1:8" ht="75" customHeight="1">
      <c r="A59" s="2" t="s">
        <v>774</v>
      </c>
      <c r="B59" s="2" t="s">
        <v>774</v>
      </c>
      <c r="C59" s="2" t="s">
        <v>771</v>
      </c>
      <c r="D59" s="2" t="s">
        <v>2615</v>
      </c>
      <c r="E59" s="2" t="s">
        <v>4645</v>
      </c>
      <c r="F59" s="2" t="s">
        <v>4646</v>
      </c>
      <c r="G59" s="2" t="e">
        <f ca="1">_xludf.IMAGE("https://drive.google.com/uc?export=view&amp;id=1f_L2eWV7eiGVEEHIm3rsSZ8qVVTDt5uU", 1)</f>
        <v>#NAME?</v>
      </c>
    </row>
    <row r="60" spans="1:8" ht="75" customHeight="1">
      <c r="A60" s="2" t="s">
        <v>377</v>
      </c>
      <c r="B60" s="2" t="s">
        <v>378</v>
      </c>
      <c r="C60" s="2" t="s">
        <v>375</v>
      </c>
      <c r="D60" s="2" t="s">
        <v>2641</v>
      </c>
      <c r="E60" s="2" t="s">
        <v>4647</v>
      </c>
      <c r="F60" s="2" t="s">
        <v>4648</v>
      </c>
      <c r="G60" s="2" t="e">
        <f ca="1">_xludf.IMAGE("https://drive.google.com/uc?export=view&amp;id=1LJJgpy_2wrg9hGNqsEuYBIsGv_mhxKRb", 1)</f>
        <v>#NAME?</v>
      </c>
      <c r="H60" s="2" t="s">
        <v>377</v>
      </c>
    </row>
    <row r="61" spans="1:8" ht="75" customHeight="1">
      <c r="A61" s="2" t="s">
        <v>278</v>
      </c>
      <c r="B61" s="2" t="s">
        <v>278</v>
      </c>
      <c r="C61" s="2" t="s">
        <v>277</v>
      </c>
      <c r="D61" s="2" t="s">
        <v>4649</v>
      </c>
      <c r="E61" s="2" t="s">
        <v>4650</v>
      </c>
      <c r="F61" s="2" t="s">
        <v>4651</v>
      </c>
      <c r="G61" s="2" t="e">
        <f ca="1">_xludf.IMAGE("https://drive.google.com/uc?export=view&amp;id=1eVKzpyJEyl5yFYEcSaTm15YZvlQmR7Lj", 1)</f>
        <v>#NAME?</v>
      </c>
      <c r="H61" s="2" t="s">
        <v>185</v>
      </c>
    </row>
    <row r="62" spans="1:8" ht="75" customHeight="1">
      <c r="A62" s="2" t="s">
        <v>764</v>
      </c>
      <c r="B62" s="2" t="s">
        <v>765</v>
      </c>
      <c r="C62" s="2" t="s">
        <v>761</v>
      </c>
      <c r="D62" s="2" t="s">
        <v>4652</v>
      </c>
      <c r="E62" s="2" t="s">
        <v>4653</v>
      </c>
      <c r="F62" s="2" t="s">
        <v>4654</v>
      </c>
      <c r="G62" s="2" t="e">
        <f ca="1">_xludf.IMAGE("https://drive.google.com/uc?export=view&amp;id=11FGFsQSACPKCD8o4Z5OI9p3u8uKnXdLg", 1)</f>
        <v>#NAME?</v>
      </c>
      <c r="H62" s="2" t="s">
        <v>279</v>
      </c>
    </row>
    <row r="63" spans="1:8" ht="75" customHeight="1">
      <c r="A63" s="2" t="s">
        <v>756</v>
      </c>
      <c r="B63" s="2" t="s">
        <v>756</v>
      </c>
      <c r="C63" s="2" t="s">
        <v>753</v>
      </c>
      <c r="D63" s="2" t="s">
        <v>4655</v>
      </c>
      <c r="E63" s="2" t="s">
        <v>4656</v>
      </c>
      <c r="F63" s="2" t="s">
        <v>4657</v>
      </c>
      <c r="G63" s="2" t="e">
        <f ca="1">_xludf.IMAGE("https://drive.google.com/uc?export=view&amp;id=19BpOcjRoIz_K-26vEd27fMFa4DYevQll", 1)</f>
        <v>#NAME?</v>
      </c>
    </row>
    <row r="64" spans="1:8" ht="75" customHeight="1">
      <c r="A64" s="2" t="s">
        <v>666</v>
      </c>
      <c r="B64" s="2" t="s">
        <v>667</v>
      </c>
      <c r="C64" s="2" t="s">
        <v>663</v>
      </c>
      <c r="D64" s="2" t="s">
        <v>2580</v>
      </c>
      <c r="E64" s="2" t="s">
        <v>4658</v>
      </c>
      <c r="F64" s="2" t="s">
        <v>4659</v>
      </c>
      <c r="G64" s="2" t="e">
        <f ca="1">_xludf.IMAGE("https://drive.google.com/uc?export=view&amp;id=1Q6vTscAmXhjXzD_jqIR2P6BtJ-_RQWoD", 1)</f>
        <v>#NAME?</v>
      </c>
    </row>
    <row r="65" spans="1:8" ht="75" customHeight="1">
      <c r="A65" s="2" t="s">
        <v>676</v>
      </c>
      <c r="B65" s="2" t="s">
        <v>677</v>
      </c>
      <c r="C65" s="2" t="s">
        <v>674</v>
      </c>
      <c r="D65" s="2" t="s">
        <v>4660</v>
      </c>
      <c r="E65" s="2" t="s">
        <v>4661</v>
      </c>
      <c r="F65" s="2" t="s">
        <v>4662</v>
      </c>
      <c r="G65" s="2" t="e">
        <f ca="1">_xludf.IMAGE("https://drive.google.com/uc?export=view&amp;id=1bp1P9XVh3QR0KSMLnGeRYgJ7bBCbGDow", 1)</f>
        <v>#NAME?</v>
      </c>
    </row>
    <row r="66" spans="1:8" ht="75" customHeight="1">
      <c r="A66" s="2" t="s">
        <v>695</v>
      </c>
      <c r="B66" s="2" t="s">
        <v>224</v>
      </c>
      <c r="C66" s="2" t="s">
        <v>693</v>
      </c>
      <c r="D66" s="2" t="s">
        <v>2581</v>
      </c>
      <c r="E66" s="2" t="s">
        <v>4663</v>
      </c>
      <c r="F66" s="2" t="s">
        <v>4664</v>
      </c>
      <c r="G66" s="2" t="e">
        <f ca="1">_xludf.IMAGE("https://drive.google.com/uc?export=view&amp;id=1WpQsYfWZrJwgubhZA-yv8VbsOJf3w9hN", 1)</f>
        <v>#NAME?</v>
      </c>
    </row>
    <row r="67" spans="1:8" ht="75" customHeight="1">
      <c r="A67" s="2" t="s">
        <v>702</v>
      </c>
      <c r="B67" s="2" t="s">
        <v>703</v>
      </c>
      <c r="C67" s="2" t="s">
        <v>699</v>
      </c>
      <c r="D67" s="2" t="s">
        <v>4665</v>
      </c>
      <c r="E67" s="2" t="s">
        <v>4666</v>
      </c>
      <c r="F67" s="2" t="s">
        <v>4667</v>
      </c>
      <c r="G67" s="2" t="e">
        <f ca="1">_xludf.IMAGE("https://drive.google.com/uc?export=view&amp;id=1GOJ2C6d-NGT17KkcJ9fVdS4zXgcfpSE9", 1)</f>
        <v>#NAME?</v>
      </c>
    </row>
    <row r="68" spans="1:8" ht="75" customHeight="1">
      <c r="A68" s="2" t="s">
        <v>284</v>
      </c>
      <c r="B68" s="2" t="s">
        <v>284</v>
      </c>
      <c r="C68" s="2" t="s">
        <v>283</v>
      </c>
      <c r="D68" s="2" t="s">
        <v>4668</v>
      </c>
      <c r="E68" s="2" t="s">
        <v>4669</v>
      </c>
      <c r="F68" s="2" t="s">
        <v>4670</v>
      </c>
      <c r="G68" s="2" t="e">
        <f ca="1">_xludf.IMAGE("https://drive.google.com/uc?export=view&amp;id=1urRXDqGSTTxRpAF3qKbeYUd5IVS8zyzd", 1)</f>
        <v>#NAME?</v>
      </c>
    </row>
    <row r="69" spans="1:8" ht="75" customHeight="1">
      <c r="A69" s="2" t="s">
        <v>713</v>
      </c>
      <c r="B69" s="2" t="s">
        <v>714</v>
      </c>
      <c r="C69" s="2" t="s">
        <v>710</v>
      </c>
      <c r="D69" s="2" t="s">
        <v>2616</v>
      </c>
      <c r="E69" s="2" t="s">
        <v>4671</v>
      </c>
      <c r="F69" s="2" t="s">
        <v>4672</v>
      </c>
      <c r="G69" s="2" t="e">
        <f ca="1">_xludf.IMAGE("https://drive.google.com/uc?export=view&amp;id=1i0djEnlTivjJTesUNWDHjo7nukx3Oscg", 1)</f>
        <v>#NAME?</v>
      </c>
    </row>
    <row r="70" spans="1:8" ht="75" customHeight="1">
      <c r="A70" s="2" t="s">
        <v>386</v>
      </c>
      <c r="B70" s="2" t="s">
        <v>387</v>
      </c>
      <c r="C70" s="2" t="s">
        <v>384</v>
      </c>
      <c r="D70" s="2" t="s">
        <v>2642</v>
      </c>
      <c r="E70" s="2" t="s">
        <v>4673</v>
      </c>
      <c r="F70" s="2" t="s">
        <v>4674</v>
      </c>
      <c r="G70" s="2" t="e">
        <f ca="1">_xludf.IMAGE("https://drive.google.com/uc?export=view&amp;id=1cfpycltpZgj-x8EOSMEMi-U-d2yvnvzn", 1)</f>
        <v>#NAME?</v>
      </c>
      <c r="H70" s="2" t="s">
        <v>386</v>
      </c>
    </row>
    <row r="71" spans="1:8" ht="75" customHeight="1">
      <c r="A71" s="2" t="s">
        <v>718</v>
      </c>
      <c r="B71" s="2" t="s">
        <v>719</v>
      </c>
      <c r="C71" s="2" t="s">
        <v>715</v>
      </c>
      <c r="D71" s="2" t="s">
        <v>4675</v>
      </c>
      <c r="E71" s="2" t="s">
        <v>4676</v>
      </c>
      <c r="F71" s="2" t="s">
        <v>4677</v>
      </c>
      <c r="G71" s="2" t="e">
        <f ca="1">_xludf.IMAGE("https://drive.google.com/uc?export=view&amp;id=1IfSfbQVZ6GENMrVOiuL8QFl_e3MR8Dsr", 1)</f>
        <v>#NAME?</v>
      </c>
      <c r="H71" s="2" t="s">
        <v>237</v>
      </c>
    </row>
    <row r="72" spans="1:8" ht="75" customHeight="1">
      <c r="A72" s="2" t="s">
        <v>737</v>
      </c>
      <c r="B72" s="2" t="s">
        <v>738</v>
      </c>
      <c r="C72" s="2" t="s">
        <v>734</v>
      </c>
      <c r="D72" s="2" t="s">
        <v>4678</v>
      </c>
      <c r="E72" s="2" t="s">
        <v>4679</v>
      </c>
      <c r="F72" s="2" t="s">
        <v>4680</v>
      </c>
      <c r="G72" s="2" t="e">
        <f ca="1">_xludf.IMAGE("https://drive.google.com/uc?export=view&amp;id=1_pqGvA5HQANydHw2xxqIDn86ci7ojp_i", 1)</f>
        <v>#NAME?</v>
      </c>
    </row>
    <row r="73" spans="1:8" ht="75" customHeight="1">
      <c r="A73" s="2" t="s">
        <v>747</v>
      </c>
      <c r="B73" s="2" t="s">
        <v>748</v>
      </c>
      <c r="C73" s="2" t="s">
        <v>745</v>
      </c>
      <c r="D73" s="2" t="s">
        <v>2582</v>
      </c>
      <c r="E73" s="2" t="s">
        <v>4681</v>
      </c>
      <c r="F73" s="2" t="s">
        <v>4682</v>
      </c>
      <c r="G73" s="2" t="e">
        <f ca="1">_xludf.IMAGE("https://drive.google.com/uc?export=view&amp;id=1HbhWrN1x2IcwsOwdONJWfE1XR0drPFbs", 1)</f>
        <v>#NAME?</v>
      </c>
    </row>
    <row r="74" spans="1:8" ht="75" customHeight="1">
      <c r="A74" s="2" t="s">
        <v>559</v>
      </c>
      <c r="B74" s="2" t="s">
        <v>560</v>
      </c>
      <c r="C74" s="2" t="s">
        <v>557</v>
      </c>
      <c r="D74" s="2" t="s">
        <v>4683</v>
      </c>
      <c r="E74" s="2" t="s">
        <v>4684</v>
      </c>
      <c r="F74" s="2" t="s">
        <v>4568</v>
      </c>
      <c r="G74" s="2" t="e">
        <f ca="1">_xludf.IMAGE("https://drive.google.com/uc?export=view&amp;id=Không tìm thấy file", 1)</f>
        <v>#NAME?</v>
      </c>
    </row>
    <row r="75" spans="1:8" ht="75" customHeight="1">
      <c r="A75" s="2" t="s">
        <v>793</v>
      </c>
      <c r="B75" s="2" t="s">
        <v>794</v>
      </c>
      <c r="C75" s="2" t="s">
        <v>789</v>
      </c>
      <c r="D75" s="2" t="s">
        <v>2624</v>
      </c>
      <c r="E75" s="2" t="s">
        <v>4685</v>
      </c>
      <c r="F75" s="2" t="s">
        <v>4686</v>
      </c>
      <c r="G75" s="2" t="e">
        <f ca="1">_xludf.IMAGE("https://drive.google.com/uc?export=view&amp;id=1-TcAQ0sQXU3edJroVQFdUt1srZXZCNKE", 1)</f>
        <v>#NAME?</v>
      </c>
    </row>
    <row r="76" spans="1:8" ht="75" customHeight="1">
      <c r="C76" s="2" t="s">
        <v>4687</v>
      </c>
      <c r="D76" s="2" t="s">
        <v>4688</v>
      </c>
      <c r="E76" s="2" t="s">
        <v>4689</v>
      </c>
      <c r="F76" s="2" t="s">
        <v>4690</v>
      </c>
      <c r="G76" s="2" t="e">
        <f ca="1">_xludf.IMAGE("https://drive.google.com/uc?export=view&amp;id=17pkVsM62bKtkWDh5XXiIYIzSVRGwt3Xl", 1)</f>
        <v>#NAME?</v>
      </c>
    </row>
    <row r="77" spans="1:8" ht="75" customHeight="1">
      <c r="A77" s="2" t="s">
        <v>802</v>
      </c>
      <c r="B77" s="2" t="s">
        <v>802</v>
      </c>
      <c r="C77" s="2" t="s">
        <v>799</v>
      </c>
      <c r="D77" s="2" t="s">
        <v>2583</v>
      </c>
      <c r="E77" s="2" t="s">
        <v>4691</v>
      </c>
      <c r="F77" s="2" t="s">
        <v>4692</v>
      </c>
      <c r="G77" s="2" t="e">
        <f ca="1">_xludf.IMAGE("https://drive.google.com/uc?export=view&amp;id=1h-C0XGnIdSV_hJIOloTiZqF60qlv_2UG", 1)</f>
        <v>#NAME?</v>
      </c>
    </row>
    <row r="78" spans="1:8" ht="75" customHeight="1">
      <c r="A78" s="2" t="s">
        <v>809</v>
      </c>
      <c r="B78" s="2" t="s">
        <v>810</v>
      </c>
      <c r="C78" s="2" t="s">
        <v>808</v>
      </c>
      <c r="D78" s="2" t="s">
        <v>4693</v>
      </c>
      <c r="E78" s="2" t="s">
        <v>4694</v>
      </c>
      <c r="F78" s="2" t="s">
        <v>4695</v>
      </c>
      <c r="G78" s="2" t="e">
        <f ca="1">_xludf.IMAGE("https://drive.google.com/uc?export=view&amp;id=1xg3PTLqDPBL4vhVoA9oXfUCURFFld0te", 1)</f>
        <v>#NAME?</v>
      </c>
      <c r="H78" s="2" t="s">
        <v>809</v>
      </c>
    </row>
    <row r="79" spans="1:8" ht="75" customHeight="1">
      <c r="A79" s="2" t="s">
        <v>814</v>
      </c>
      <c r="B79" s="2" t="s">
        <v>815</v>
      </c>
      <c r="C79" s="2" t="s">
        <v>813</v>
      </c>
      <c r="D79" s="2" t="s">
        <v>4696</v>
      </c>
      <c r="E79" s="2" t="s">
        <v>4697</v>
      </c>
      <c r="F79" s="2" t="s">
        <v>4698</v>
      </c>
      <c r="G79" s="2" t="e">
        <f ca="1">_xludf.IMAGE("https://drive.google.com/uc?export=view&amp;id=1eOykfIzuw6hIRZ774O90snpc3C7AGKlU", 1)</f>
        <v>#NAME?</v>
      </c>
      <c r="H79" s="2" t="s">
        <v>814</v>
      </c>
    </row>
    <row r="80" spans="1:8" ht="75" customHeight="1">
      <c r="A80" s="2" t="s">
        <v>823</v>
      </c>
      <c r="B80" s="2" t="s">
        <v>823</v>
      </c>
      <c r="C80" s="2" t="s">
        <v>820</v>
      </c>
      <c r="D80" s="2" t="s">
        <v>2584</v>
      </c>
      <c r="E80" s="2" t="s">
        <v>4699</v>
      </c>
      <c r="F80" s="2" t="s">
        <v>4700</v>
      </c>
      <c r="G80" s="2" t="e">
        <f ca="1">_xludf.IMAGE("https://drive.google.com/uc?export=view&amp;id=1b9Kl0wpXPdqO5VSZrs6JR6ZnuX6cWPZB", 1)</f>
        <v>#NAME?</v>
      </c>
    </row>
    <row r="81" spans="1:8" ht="75" customHeight="1">
      <c r="A81" s="2" t="s">
        <v>833</v>
      </c>
      <c r="B81" s="2" t="s">
        <v>833</v>
      </c>
      <c r="C81" s="2" t="s">
        <v>829</v>
      </c>
      <c r="D81" s="2" t="s">
        <v>4701</v>
      </c>
      <c r="E81" s="2" t="s">
        <v>4702</v>
      </c>
      <c r="F81" s="2" t="s">
        <v>4703</v>
      </c>
      <c r="G81" s="2" t="e">
        <f ca="1">_xludf.IMAGE("https://drive.google.com/uc?export=view&amp;id=1awCNnid105xVpXEGGb4CUkaV1Hp402Cf", 1)</f>
        <v>#NAME?</v>
      </c>
      <c r="H81" s="2" t="s">
        <v>833</v>
      </c>
    </row>
    <row r="82" spans="1:8" ht="75" customHeight="1">
      <c r="A82" s="2" t="s">
        <v>842</v>
      </c>
      <c r="B82" s="2" t="s">
        <v>843</v>
      </c>
      <c r="C82" s="2" t="s">
        <v>839</v>
      </c>
      <c r="D82" s="2" t="s">
        <v>4704</v>
      </c>
      <c r="E82" s="2" t="s">
        <v>4705</v>
      </c>
      <c r="F82" s="2" t="s">
        <v>4706</v>
      </c>
      <c r="G82" s="2" t="e">
        <f ca="1">_xludf.IMAGE("https://drive.google.com/uc?export=view&amp;id=1ZX241tU0QhW5gtybvfDbPdsJzbrjFFMz", 1)</f>
        <v>#NAME?</v>
      </c>
      <c r="H82" s="2" t="s">
        <v>4550</v>
      </c>
    </row>
    <row r="83" spans="1:8" ht="75" customHeight="1">
      <c r="A83" s="2" t="s">
        <v>850</v>
      </c>
      <c r="B83" s="2" t="s">
        <v>850</v>
      </c>
      <c r="C83" s="2" t="s">
        <v>848</v>
      </c>
      <c r="D83" s="2" t="s">
        <v>4707</v>
      </c>
      <c r="E83" s="2" t="s">
        <v>4708</v>
      </c>
      <c r="F83" s="2" t="s">
        <v>4709</v>
      </c>
      <c r="G83" s="2" t="e">
        <f ca="1">_xludf.IMAGE("https://drive.google.com/uc?export=view&amp;id=1ffuLkDI3KoBKc54oxHQGPLZSVO4kcZD7", 1)</f>
        <v>#NAME?</v>
      </c>
    </row>
    <row r="84" spans="1:8" ht="75" customHeight="1">
      <c r="A84" s="2" t="s">
        <v>855</v>
      </c>
      <c r="B84" s="2" t="s">
        <v>856</v>
      </c>
      <c r="C84" s="2" t="s">
        <v>852</v>
      </c>
      <c r="D84" s="2" t="s">
        <v>4710</v>
      </c>
      <c r="E84" s="2" t="s">
        <v>4711</v>
      </c>
      <c r="F84" s="2" t="s">
        <v>4712</v>
      </c>
      <c r="G84" s="2" t="e">
        <f ca="1">_xludf.IMAGE("https://drive.google.com/uc?export=view&amp;id=1sr4BZyJq6jU38-qLS1AnYaXShtf0nujX", 1)</f>
        <v>#NAME?</v>
      </c>
      <c r="H84" s="2" t="s">
        <v>855</v>
      </c>
    </row>
    <row r="85" spans="1:8" ht="75" customHeight="1">
      <c r="A85" s="2" t="s">
        <v>862</v>
      </c>
      <c r="B85" s="2" t="s">
        <v>863</v>
      </c>
      <c r="C85" s="2" t="s">
        <v>861</v>
      </c>
      <c r="D85" s="2" t="s">
        <v>2646</v>
      </c>
      <c r="E85" s="2" t="s">
        <v>4713</v>
      </c>
      <c r="F85" s="2" t="s">
        <v>4714</v>
      </c>
      <c r="G85" s="2" t="e">
        <f ca="1">_xludf.IMAGE("https://drive.google.com/uc?export=view&amp;id=1Py4M6zx2uuOVBLlcqb49l5cY0CzjzIVK", 1)</f>
        <v>#NAME?</v>
      </c>
      <c r="H85" s="2" t="s">
        <v>4715</v>
      </c>
    </row>
    <row r="86" spans="1:8" ht="75" customHeight="1">
      <c r="A86" s="2" t="s">
        <v>657</v>
      </c>
      <c r="B86" s="2" t="s">
        <v>657</v>
      </c>
      <c r="C86" s="2" t="s">
        <v>867</v>
      </c>
      <c r="D86" s="2" t="s">
        <v>2625</v>
      </c>
      <c r="E86" s="2" t="s">
        <v>4716</v>
      </c>
      <c r="F86" s="2" t="s">
        <v>4717</v>
      </c>
      <c r="G86" s="2" t="e">
        <f ca="1">_xludf.IMAGE("https://drive.google.com/uc?export=view&amp;id=1SExPWL8ateIrTdxljbwjIEH4NujmdJMo", 1)</f>
        <v>#NAME?</v>
      </c>
    </row>
    <row r="87" spans="1:8" ht="75" customHeight="1">
      <c r="A87" s="2" t="s">
        <v>876</v>
      </c>
      <c r="B87" s="2" t="s">
        <v>876</v>
      </c>
      <c r="C87" s="2" t="s">
        <v>873</v>
      </c>
      <c r="D87" s="2" t="s">
        <v>4718</v>
      </c>
      <c r="E87" s="2" t="s">
        <v>4719</v>
      </c>
      <c r="F87" s="2" t="s">
        <v>4720</v>
      </c>
      <c r="G87" s="2" t="e">
        <f ca="1">_xludf.IMAGE("https://drive.google.com/uc?export=view&amp;id=15rLXnIolkYL9pDPTHS7DZb0aZ-HwfwgL", 1)</f>
        <v>#NAME?</v>
      </c>
      <c r="H87" s="2" t="s">
        <v>185</v>
      </c>
    </row>
    <row r="88" spans="1:8" ht="75" customHeight="1">
      <c r="A88" s="2" t="s">
        <v>881</v>
      </c>
      <c r="B88" s="2" t="s">
        <v>882</v>
      </c>
      <c r="C88" s="2" t="s">
        <v>879</v>
      </c>
      <c r="D88" s="2" t="s">
        <v>4721</v>
      </c>
      <c r="E88" s="2" t="s">
        <v>4722</v>
      </c>
      <c r="F88" s="2" t="s">
        <v>4723</v>
      </c>
      <c r="G88" s="2" t="e">
        <f ca="1">_xludf.IMAGE("https://drive.google.com/uc?export=view&amp;id=1WM7icwpWAjflKXb3QSiBB8mTCC6Jgukt", 1)</f>
        <v>#NAME?</v>
      </c>
      <c r="H88" s="2" t="s">
        <v>4724</v>
      </c>
    </row>
    <row r="89" spans="1:8" ht="75" customHeight="1">
      <c r="A89" s="2" t="s">
        <v>887</v>
      </c>
      <c r="B89" s="2" t="s">
        <v>888</v>
      </c>
      <c r="C89" s="2" t="s">
        <v>886</v>
      </c>
      <c r="D89" s="2" t="s">
        <v>4725</v>
      </c>
      <c r="E89" s="2" t="s">
        <v>4726</v>
      </c>
      <c r="F89" s="2" t="s">
        <v>4727</v>
      </c>
      <c r="G89" s="2" t="e">
        <f ca="1">_xludf.IMAGE("https://drive.google.com/uc?export=view&amp;id=1zup9Qo-4YyIDNUUDdAC2YKUkC_rAGPLR", 1)</f>
        <v>#NAME?</v>
      </c>
    </row>
    <row r="90" spans="1:8" ht="75" customHeight="1">
      <c r="A90" s="2" t="s">
        <v>890</v>
      </c>
      <c r="B90" s="2" t="s">
        <v>891</v>
      </c>
      <c r="C90" s="2" t="s">
        <v>889</v>
      </c>
      <c r="D90" s="2" t="s">
        <v>4728</v>
      </c>
      <c r="E90" s="2" t="s">
        <v>4729</v>
      </c>
      <c r="F90" s="2" t="s">
        <v>4730</v>
      </c>
      <c r="G90" s="2" t="e">
        <f ca="1">_xludf.IMAGE("https://drive.google.com/uc?export=view&amp;id=11K2bNdAZ-_cnU8XJaVXTzIMK5dqWh0MU", 1)</f>
        <v>#NAME?</v>
      </c>
    </row>
    <row r="91" spans="1:8" ht="75" customHeight="1">
      <c r="A91" s="2" t="s">
        <v>894</v>
      </c>
      <c r="B91" s="2" t="s">
        <v>895</v>
      </c>
      <c r="C91" s="2" t="s">
        <v>892</v>
      </c>
      <c r="D91" s="2" t="s">
        <v>4731</v>
      </c>
      <c r="E91" s="2" t="s">
        <v>4732</v>
      </c>
      <c r="F91" s="2" t="s">
        <v>4733</v>
      </c>
      <c r="G91" s="2" t="e">
        <f ca="1">_xludf.IMAGE("https://drive.google.com/uc?export=view&amp;id=1yUgK6d96GMCwPAP08GhR2D32Za7xrp4k", 1)</f>
        <v>#NAME?</v>
      </c>
      <c r="H91" s="2" t="s">
        <v>4734</v>
      </c>
    </row>
    <row r="92" spans="1:8" ht="75" customHeight="1">
      <c r="A92" s="2" t="s">
        <v>901</v>
      </c>
      <c r="B92" s="2" t="s">
        <v>902</v>
      </c>
      <c r="C92" s="2" t="s">
        <v>900</v>
      </c>
      <c r="D92" s="2" t="s">
        <v>2648</v>
      </c>
      <c r="E92" s="2" t="s">
        <v>4735</v>
      </c>
      <c r="F92" s="2" t="s">
        <v>4736</v>
      </c>
      <c r="G92" s="2" t="e">
        <f ca="1">_xludf.IMAGE("https://drive.google.com/uc?export=view&amp;id=1pmXj0csL97GlrDZErSvmvW3bIsXe-JSw", 1)</f>
        <v>#NAME?</v>
      </c>
    </row>
    <row r="93" spans="1:8" ht="75" customHeight="1">
      <c r="A93" s="2" t="s">
        <v>907</v>
      </c>
      <c r="B93" s="2" t="s">
        <v>908</v>
      </c>
      <c r="C93" s="2" t="s">
        <v>905</v>
      </c>
      <c r="D93" s="2" t="s">
        <v>4737</v>
      </c>
      <c r="E93" s="2" t="s">
        <v>4738</v>
      </c>
      <c r="F93" s="2" t="s">
        <v>4739</v>
      </c>
      <c r="G93" s="2" t="e">
        <f ca="1">_xludf.IMAGE("https://drive.google.com/uc?export=view&amp;id=1FtRIzGxiDek9DK-T5dMa64eUDi0g88K2", 1)</f>
        <v>#NAME?</v>
      </c>
      <c r="H93" s="2" t="s">
        <v>908</v>
      </c>
    </row>
    <row r="94" spans="1:8" ht="75" customHeight="1">
      <c r="A94" s="2" t="s">
        <v>916</v>
      </c>
      <c r="B94" s="2" t="s">
        <v>917</v>
      </c>
      <c r="C94" s="2" t="s">
        <v>914</v>
      </c>
      <c r="D94" s="2" t="s">
        <v>4740</v>
      </c>
      <c r="E94" s="2" t="s">
        <v>4741</v>
      </c>
      <c r="F94" s="2" t="s">
        <v>4742</v>
      </c>
      <c r="G94" s="2" t="e">
        <f ca="1">_xludf.IMAGE("https://drive.google.com/uc?export=view&amp;id=1ZD8xk0as3Z_N_ObFuvNrYnASyGbSbX_G", 1)</f>
        <v>#NAME?</v>
      </c>
    </row>
    <row r="95" spans="1:8" ht="75" customHeight="1">
      <c r="A95" s="2" t="s">
        <v>921</v>
      </c>
      <c r="B95" s="2" t="s">
        <v>922</v>
      </c>
      <c r="C95" s="2" t="s">
        <v>919</v>
      </c>
      <c r="D95" s="2" t="s">
        <v>2586</v>
      </c>
      <c r="E95" s="2" t="s">
        <v>4743</v>
      </c>
      <c r="F95" s="2" t="s">
        <v>4744</v>
      </c>
      <c r="G95" s="2" t="e">
        <f ca="1">_xludf.IMAGE("https://drive.google.com/uc?export=view&amp;id=1ifoALxvc8cjtVAuBeOAFtmcN09bQIvbX", 1)</f>
        <v>#NAME?</v>
      </c>
    </row>
    <row r="96" spans="1:8" ht="75" customHeight="1">
      <c r="A96" s="2" t="s">
        <v>928</v>
      </c>
      <c r="B96" s="2" t="s">
        <v>928</v>
      </c>
      <c r="C96" s="2" t="s">
        <v>927</v>
      </c>
      <c r="D96" s="2" t="s">
        <v>4745</v>
      </c>
      <c r="E96" s="2" t="s">
        <v>4746</v>
      </c>
      <c r="F96" s="2" t="s">
        <v>4747</v>
      </c>
      <c r="G96" s="2" t="e">
        <f ca="1">_xludf.IMAGE("https://drive.google.com/uc?export=view&amp;id=1xF4ucZH4H1sU7EO98E6kgoh-RWji8BJO", 1)</f>
        <v>#NAME?</v>
      </c>
      <c r="H96" s="2" t="s">
        <v>928</v>
      </c>
    </row>
    <row r="97" spans="1:8" ht="75" customHeight="1">
      <c r="A97" s="2" t="s">
        <v>933</v>
      </c>
      <c r="B97" s="2" t="s">
        <v>934</v>
      </c>
      <c r="C97" s="2" t="s">
        <v>931</v>
      </c>
      <c r="D97" s="2" t="s">
        <v>4748</v>
      </c>
      <c r="E97" s="2" t="s">
        <v>4749</v>
      </c>
      <c r="F97" s="2" t="s">
        <v>4750</v>
      </c>
      <c r="G97" s="2" t="e">
        <f ca="1">_xludf.IMAGE("https://drive.google.com/uc?export=view&amp;id=1SE5jlbzhMgmXb7yOnQBxblWKYA83NuFb", 1)</f>
        <v>#NAME?</v>
      </c>
    </row>
    <row r="98" spans="1:8" ht="75" customHeight="1">
      <c r="A98" s="2" t="s">
        <v>938</v>
      </c>
      <c r="B98" s="2" t="s">
        <v>939</v>
      </c>
      <c r="C98" s="2" t="s">
        <v>936</v>
      </c>
      <c r="D98" s="2" t="s">
        <v>2587</v>
      </c>
      <c r="E98" s="2" t="s">
        <v>4751</v>
      </c>
      <c r="F98" s="2" t="s">
        <v>4752</v>
      </c>
      <c r="G98" s="2" t="e">
        <f ca="1">_xludf.IMAGE("https://drive.google.com/uc?export=view&amp;id=1_N9-WKlaUsi7GfinLnEDdQule3uFfeFH", 1)</f>
        <v>#NAME?</v>
      </c>
    </row>
    <row r="99" spans="1:8" ht="75" customHeight="1">
      <c r="A99" s="2" t="s">
        <v>944</v>
      </c>
      <c r="B99" s="2" t="s">
        <v>944</v>
      </c>
      <c r="C99" s="2" t="s">
        <v>943</v>
      </c>
      <c r="D99" s="2" t="s">
        <v>4753</v>
      </c>
      <c r="E99" s="2" t="s">
        <v>4754</v>
      </c>
      <c r="F99" s="2" t="s">
        <v>4755</v>
      </c>
      <c r="G99" s="2" t="e">
        <f ca="1">_xludf.IMAGE("https://drive.google.com/uc?export=view&amp;id=1SqUa0X_2FRRSRmu4jgZOslETOMndYwuC", 1)</f>
        <v>#NAME?</v>
      </c>
    </row>
    <row r="100" spans="1:8" ht="75" customHeight="1">
      <c r="A100" s="2" t="s">
        <v>947</v>
      </c>
      <c r="B100" s="2" t="s">
        <v>947</v>
      </c>
      <c r="C100" s="2" t="s">
        <v>945</v>
      </c>
      <c r="D100" s="2" t="s">
        <v>4756</v>
      </c>
      <c r="E100" s="2" t="s">
        <v>4757</v>
      </c>
      <c r="F100" s="2" t="s">
        <v>4758</v>
      </c>
      <c r="G100" s="2" t="e">
        <f ca="1">_xludf.IMAGE("https://drive.google.com/uc?export=view&amp;id=1bMF2VOfLBvx6BmjTQ6HiZnjVnVXtrOAZ", 1)</f>
        <v>#NAME?</v>
      </c>
      <c r="H100" s="2" t="s">
        <v>185</v>
      </c>
    </row>
    <row r="101" spans="1:8" ht="75" customHeight="1">
      <c r="A101" s="2" t="s">
        <v>953</v>
      </c>
      <c r="B101" s="2" t="s">
        <v>953</v>
      </c>
      <c r="C101" s="2" t="s">
        <v>952</v>
      </c>
      <c r="D101" s="2" t="s">
        <v>4759</v>
      </c>
      <c r="E101" s="2" t="s">
        <v>4760</v>
      </c>
      <c r="F101" s="2" t="s">
        <v>4761</v>
      </c>
      <c r="G101" s="2" t="e">
        <f ca="1">_xludf.IMAGE("https://drive.google.com/uc?export=view&amp;id=1Yg9dOAKgoosorhiwUe5hoHdLA2BPZ1yH", 1)</f>
        <v>#NAME?</v>
      </c>
    </row>
    <row r="102" spans="1:8" ht="75" customHeight="1">
      <c r="A102" s="2" t="s">
        <v>956</v>
      </c>
      <c r="B102" s="2" t="s">
        <v>956</v>
      </c>
      <c r="C102" s="2" t="s">
        <v>954</v>
      </c>
      <c r="D102" s="2" t="s">
        <v>4762</v>
      </c>
      <c r="E102" s="2" t="s">
        <v>4763</v>
      </c>
      <c r="F102" s="2" t="s">
        <v>4764</v>
      </c>
      <c r="G102" s="2" t="e">
        <f ca="1">_xludf.IMAGE("https://drive.google.com/uc?export=view&amp;id=1wLci1d1oBcX4x79DoqeQzyd2__Q5Anhq", 1)</f>
        <v>#NAME?</v>
      </c>
      <c r="H102" s="2" t="s">
        <v>4765</v>
      </c>
    </row>
    <row r="103" spans="1:8" ht="75" customHeight="1">
      <c r="A103" s="2" t="s">
        <v>964</v>
      </c>
      <c r="B103" s="2" t="s">
        <v>965</v>
      </c>
      <c r="C103" s="2" t="s">
        <v>962</v>
      </c>
      <c r="D103" s="2" t="s">
        <v>4766</v>
      </c>
      <c r="E103" s="2" t="s">
        <v>4767</v>
      </c>
      <c r="F103" s="2" t="s">
        <v>4768</v>
      </c>
      <c r="G103" s="2" t="e">
        <f ca="1">_xludf.IMAGE("https://drive.google.com/uc?export=view&amp;id=1tPAxDEbyeYAf4i88ZgTgKNESDeBTqwSX", 1)</f>
        <v>#NAME?</v>
      </c>
    </row>
    <row r="104" spans="1:8" ht="75" customHeight="1">
      <c r="A104" s="2" t="s">
        <v>971</v>
      </c>
      <c r="B104" s="2" t="s">
        <v>972</v>
      </c>
      <c r="C104" s="2" t="s">
        <v>968</v>
      </c>
      <c r="D104" s="2" t="s">
        <v>2588</v>
      </c>
      <c r="E104" s="2" t="s">
        <v>4769</v>
      </c>
      <c r="F104" s="2" t="s">
        <v>4770</v>
      </c>
      <c r="G104" s="2" t="e">
        <f ca="1">_xludf.IMAGE("https://drive.google.com/uc?export=view&amp;id=17xeofEHzfskoKIToZYeZ6N3OauqYr90Q", 1)</f>
        <v>#NAME?</v>
      </c>
    </row>
    <row r="105" spans="1:8" ht="75" customHeight="1">
      <c r="A105" s="2" t="s">
        <v>979</v>
      </c>
      <c r="B105" s="2" t="s">
        <v>980</v>
      </c>
      <c r="C105" s="2" t="s">
        <v>978</v>
      </c>
      <c r="D105" s="2" t="s">
        <v>2649</v>
      </c>
      <c r="E105" s="2" t="s">
        <v>4771</v>
      </c>
      <c r="F105" s="2" t="s">
        <v>4772</v>
      </c>
      <c r="G105" s="2" t="e">
        <f ca="1">_xludf.IMAGE("https://drive.google.com/uc?export=view&amp;id=1uA7mQ-39YH9YcYCYaB3Zr_Wtqqni0HaQ", 1)</f>
        <v>#NAME?</v>
      </c>
      <c r="H105" s="2" t="s">
        <v>979</v>
      </c>
    </row>
    <row r="106" spans="1:8" ht="75" customHeight="1">
      <c r="A106" s="2" t="s">
        <v>984</v>
      </c>
      <c r="B106" s="2" t="s">
        <v>984</v>
      </c>
      <c r="C106" s="2" t="s">
        <v>982</v>
      </c>
      <c r="D106" s="2" t="s">
        <v>4773</v>
      </c>
      <c r="E106" s="2" t="s">
        <v>4774</v>
      </c>
      <c r="F106" s="2" t="s">
        <v>4775</v>
      </c>
      <c r="G106" s="2" t="e">
        <f ca="1">_xludf.IMAGE("https://drive.google.com/uc?export=view&amp;id=1krbCDyo67mmAGmaOqhSZHGt1Lz_nIeMe", 1)</f>
        <v>#NAME?</v>
      </c>
      <c r="H106" s="2" t="s">
        <v>185</v>
      </c>
    </row>
    <row r="107" spans="1:8" ht="75" customHeight="1">
      <c r="C107" s="2" t="s">
        <v>4776</v>
      </c>
      <c r="D107" s="2" t="s">
        <v>4777</v>
      </c>
      <c r="E107" s="2" t="s">
        <v>4778</v>
      </c>
      <c r="F107" s="2" t="s">
        <v>4779</v>
      </c>
      <c r="G107" s="2" t="e">
        <f ca="1">_xludf.IMAGE("https://drive.google.com/uc?export=view&amp;id=1gIFh3ByFbCzh2VWE0JYeAPr3KNo2DhQ4", 1)</f>
        <v>#NAME?</v>
      </c>
    </row>
    <row r="108" spans="1:8" ht="75" customHeight="1">
      <c r="A108" s="2" t="s">
        <v>994</v>
      </c>
      <c r="B108" s="2" t="s">
        <v>994</v>
      </c>
      <c r="C108" s="2" t="s">
        <v>992</v>
      </c>
      <c r="D108" s="2" t="s">
        <v>4780</v>
      </c>
      <c r="E108" s="2" t="s">
        <v>4781</v>
      </c>
      <c r="F108" s="2" t="s">
        <v>4782</v>
      </c>
      <c r="G108" s="2" t="e">
        <f ca="1">_xludf.IMAGE("https://drive.google.com/uc?export=view&amp;id=10yeUkoE2vKlte-VXHh0fH9pYgMbpUDRV", 1)</f>
        <v>#NAME?</v>
      </c>
    </row>
    <row r="109" spans="1:8" ht="75" customHeight="1">
      <c r="A109" s="2" t="s">
        <v>999</v>
      </c>
      <c r="B109" s="2" t="s">
        <v>999</v>
      </c>
      <c r="C109" s="2" t="s">
        <v>996</v>
      </c>
      <c r="D109" s="2" t="s">
        <v>4783</v>
      </c>
      <c r="E109" s="2" t="s">
        <v>4784</v>
      </c>
      <c r="F109" s="2" t="s">
        <v>4785</v>
      </c>
      <c r="G109" s="2" t="e">
        <f ca="1">_xludf.IMAGE("https://drive.google.com/uc?export=view&amp;id=1AlAFGCnP078EqYaPwvs6kCX-rwGZsfWV", 1)</f>
        <v>#NAME?</v>
      </c>
      <c r="H109" s="2" t="s">
        <v>999</v>
      </c>
    </row>
    <row r="110" spans="1:8" ht="75" customHeight="1">
      <c r="A110" s="2" t="s">
        <v>1006</v>
      </c>
      <c r="B110" s="2" t="s">
        <v>1006</v>
      </c>
      <c r="C110" s="2" t="s">
        <v>1004</v>
      </c>
      <c r="D110" s="2" t="s">
        <v>2590</v>
      </c>
      <c r="E110" s="2" t="s">
        <v>4786</v>
      </c>
      <c r="F110" s="2" t="s">
        <v>4787</v>
      </c>
      <c r="G110" s="2" t="e">
        <f ca="1">_xludf.IMAGE("https://drive.google.com/uc?export=view&amp;id=1ZP9OaesCP7LMWhQiU8oFBe7sgvYihQj0", 1)</f>
        <v>#NAME?</v>
      </c>
    </row>
    <row r="111" spans="1:8" ht="75" customHeight="1">
      <c r="A111" s="2" t="s">
        <v>1013</v>
      </c>
      <c r="B111" s="2" t="s">
        <v>1013</v>
      </c>
      <c r="C111" s="2" t="s">
        <v>1012</v>
      </c>
      <c r="D111" s="2" t="s">
        <v>2651</v>
      </c>
      <c r="E111" s="2" t="s">
        <v>4788</v>
      </c>
      <c r="F111" s="2" t="s">
        <v>4789</v>
      </c>
      <c r="G111" s="2" t="e">
        <f ca="1">_xludf.IMAGE("https://drive.google.com/uc?export=view&amp;id=1ajb8QYkn0M9kNO_2BDOH2kh9kkVu0j7G", 1)</f>
        <v>#NAME?</v>
      </c>
      <c r="H111" s="2" t="s">
        <v>1013</v>
      </c>
    </row>
    <row r="112" spans="1:8" ht="75" customHeight="1">
      <c r="A112" s="2" t="s">
        <v>1018</v>
      </c>
      <c r="B112" s="2" t="s">
        <v>1019</v>
      </c>
      <c r="C112" s="2" t="s">
        <v>1016</v>
      </c>
      <c r="D112" s="2" t="s">
        <v>2591</v>
      </c>
      <c r="E112" s="2" t="s">
        <v>4790</v>
      </c>
      <c r="F112" s="2" t="s">
        <v>4791</v>
      </c>
      <c r="G112" s="2" t="e">
        <f ca="1">_xludf.IMAGE("https://drive.google.com/uc?export=view&amp;id=1o954Gop0bJGW5VmV95YjhZJqQCbTZNoO", 1)</f>
        <v>#NAME?</v>
      </c>
      <c r="H112" s="2" t="s">
        <v>1018</v>
      </c>
    </row>
    <row r="113" spans="1:8" ht="75" customHeight="1">
      <c r="A113" s="2" t="s">
        <v>1024</v>
      </c>
      <c r="B113" s="2" t="s">
        <v>1025</v>
      </c>
      <c r="C113" s="2" t="s">
        <v>1023</v>
      </c>
      <c r="D113" s="2" t="s">
        <v>4792</v>
      </c>
      <c r="E113" s="2" t="s">
        <v>4793</v>
      </c>
      <c r="F113" s="2" t="s">
        <v>4794</v>
      </c>
      <c r="G113" s="2" t="e">
        <f ca="1">_xludf.IMAGE("https://drive.google.com/uc?export=view&amp;id=1A_ZTS7Kheei-XPfbASjEeZWNYrhNE8oh", 1)</f>
        <v>#NAME?</v>
      </c>
    </row>
    <row r="114" spans="1:8" ht="75" customHeight="1">
      <c r="A114" s="2" t="s">
        <v>1029</v>
      </c>
      <c r="B114" s="2" t="s">
        <v>1030</v>
      </c>
      <c r="C114" s="2" t="s">
        <v>1026</v>
      </c>
      <c r="D114" s="2" t="s">
        <v>4795</v>
      </c>
      <c r="E114" s="2" t="s">
        <v>4796</v>
      </c>
      <c r="F114" s="2" t="s">
        <v>4797</v>
      </c>
      <c r="G114" s="2" t="e">
        <f ca="1">_xludf.IMAGE("https://drive.google.com/uc?export=view&amp;id=1iDcZsgy-tQAtwVinBZFvz3UhWDX3v_cN", 1)</f>
        <v>#NAME?</v>
      </c>
      <c r="H114" s="2" t="s">
        <v>1030</v>
      </c>
    </row>
    <row r="115" spans="1:8" ht="75" customHeight="1">
      <c r="A115" s="2" t="s">
        <v>1037</v>
      </c>
      <c r="B115" s="2" t="s">
        <v>1038</v>
      </c>
      <c r="C115" s="2" t="s">
        <v>1035</v>
      </c>
      <c r="D115" s="2" t="s">
        <v>4798</v>
      </c>
      <c r="E115" s="2" t="s">
        <v>4799</v>
      </c>
      <c r="F115" s="2" t="s">
        <v>4800</v>
      </c>
      <c r="G115" s="2" t="e">
        <f ca="1">_xludf.IMAGE("https://drive.google.com/uc?export=view&amp;id=1THTl0dILDGVPiXKMjjPD2X9qg5wdYK-c", 1)</f>
        <v>#NAME?</v>
      </c>
    </row>
    <row r="116" spans="1:8" ht="75" customHeight="1">
      <c r="A116" s="2" t="s">
        <v>1043</v>
      </c>
      <c r="B116" s="2" t="s">
        <v>1043</v>
      </c>
      <c r="C116" s="2" t="s">
        <v>1042</v>
      </c>
      <c r="D116" s="2" t="s">
        <v>4801</v>
      </c>
      <c r="E116" s="2" t="s">
        <v>4802</v>
      </c>
      <c r="F116" s="2" t="s">
        <v>4803</v>
      </c>
      <c r="G116" s="2" t="e">
        <f ca="1">_xludf.IMAGE("https://drive.google.com/uc?export=view&amp;id=1ECIt8JQIRtrUxE4lCOa5oiAyMVcEYsm6", 1)</f>
        <v>#NAME?</v>
      </c>
    </row>
    <row r="117" spans="1:8" ht="75" customHeight="1">
      <c r="A117" s="2" t="s">
        <v>1046</v>
      </c>
      <c r="B117" s="2" t="s">
        <v>1046</v>
      </c>
      <c r="C117" s="2" t="s">
        <v>1044</v>
      </c>
      <c r="D117" s="2" t="s">
        <v>2592</v>
      </c>
      <c r="E117" s="2" t="s">
        <v>4804</v>
      </c>
      <c r="F117" s="2" t="s">
        <v>4805</v>
      </c>
      <c r="G117" s="2" t="e">
        <f ca="1">_xludf.IMAGE("https://drive.google.com/uc?export=view&amp;id=1h-sUgVLjX3IKidw6DMt9E00JURaKqwaY", 1)</f>
        <v>#NAME?</v>
      </c>
    </row>
    <row r="118" spans="1:8" ht="75" customHeight="1">
      <c r="A118" s="2" t="s">
        <v>1056</v>
      </c>
      <c r="B118" s="2" t="s">
        <v>1056</v>
      </c>
      <c r="C118" s="2" t="s">
        <v>1054</v>
      </c>
      <c r="D118" s="2" t="s">
        <v>4806</v>
      </c>
      <c r="E118" s="2" t="s">
        <v>4807</v>
      </c>
      <c r="F118" s="2" t="s">
        <v>4808</v>
      </c>
      <c r="G118" s="2" t="e">
        <f ca="1">_xludf.IMAGE("https://drive.google.com/uc?export=view&amp;id=1O-Bagcuj0WQXZw-VzUcIMqx8tSF6bRJO", 1)</f>
        <v>#NAME?</v>
      </c>
      <c r="H118" s="2" t="s">
        <v>185</v>
      </c>
    </row>
    <row r="119" spans="1:8" ht="75" customHeight="1">
      <c r="A119" s="2" t="s">
        <v>1052</v>
      </c>
      <c r="B119" s="2" t="s">
        <v>1052</v>
      </c>
      <c r="C119" s="2" t="s">
        <v>1051</v>
      </c>
      <c r="D119" s="2" t="s">
        <v>2652</v>
      </c>
      <c r="E119" s="2" t="s">
        <v>4809</v>
      </c>
      <c r="F119" s="2" t="s">
        <v>4810</v>
      </c>
      <c r="G119" s="2" t="e">
        <f ca="1">_xludf.IMAGE("https://drive.google.com/uc?export=view&amp;id=1YB28GWhIX2U7uN8B5vTUY-3QnVGL4ENe", 1)</f>
        <v>#NAME?</v>
      </c>
      <c r="H119" s="2" t="s">
        <v>1052</v>
      </c>
    </row>
    <row r="120" spans="1:8" ht="75" customHeight="1">
      <c r="A120" s="2" t="s">
        <v>1064</v>
      </c>
      <c r="B120" s="2" t="s">
        <v>1064</v>
      </c>
      <c r="C120" s="2" t="s">
        <v>1062</v>
      </c>
      <c r="D120" s="2" t="s">
        <v>2593</v>
      </c>
      <c r="E120" s="2" t="s">
        <v>4811</v>
      </c>
      <c r="F120" s="2" t="s">
        <v>4812</v>
      </c>
      <c r="G120" s="2" t="e">
        <f ca="1">_xludf.IMAGE("https://drive.google.com/uc?export=view&amp;id=1vehPZXOj988M9mMTRisXx4LRgATcsCJY", 1)</f>
        <v>#NAME?</v>
      </c>
    </row>
    <row r="121" spans="1:8" ht="75" customHeight="1">
      <c r="A121" s="2" t="s">
        <v>1070</v>
      </c>
      <c r="B121" s="2" t="s">
        <v>1070</v>
      </c>
      <c r="C121" s="2" t="s">
        <v>1069</v>
      </c>
      <c r="D121" s="2" t="s">
        <v>2653</v>
      </c>
      <c r="E121" s="2" t="s">
        <v>4813</v>
      </c>
      <c r="F121" s="2" t="s">
        <v>4814</v>
      </c>
      <c r="G121" s="2" t="e">
        <f ca="1">_xludf.IMAGE("https://drive.google.com/uc?export=view&amp;id=1IP0wXkr5tKS72HdDTOhIZ_h5yZskeUcb", 1)</f>
        <v>#NAME?</v>
      </c>
      <c r="H121" s="2" t="s">
        <v>1070</v>
      </c>
    </row>
    <row r="122" spans="1:8" ht="75" customHeight="1">
      <c r="A122" s="2" t="s">
        <v>1073</v>
      </c>
      <c r="B122" s="2" t="s">
        <v>1073</v>
      </c>
      <c r="C122" s="2" t="s">
        <v>1072</v>
      </c>
      <c r="D122" s="2" t="s">
        <v>2594</v>
      </c>
      <c r="E122" s="2" t="s">
        <v>4815</v>
      </c>
      <c r="F122" s="2" t="s">
        <v>4816</v>
      </c>
      <c r="G122" s="2" t="e">
        <f ca="1">_xludf.IMAGE("https://drive.google.com/uc?export=view&amp;id=1YBJA0TtANYB2VBQxcQq-qZ1dL9DBNSE5", 1)</f>
        <v>#NAME?</v>
      </c>
    </row>
    <row r="123" spans="1:8" ht="75" customHeight="1">
      <c r="A123" s="2" t="s">
        <v>1079</v>
      </c>
      <c r="B123" s="2" t="s">
        <v>1079</v>
      </c>
      <c r="C123" s="2" t="s">
        <v>1077</v>
      </c>
      <c r="D123" s="2" t="s">
        <v>4817</v>
      </c>
      <c r="E123" s="2" t="s">
        <v>4818</v>
      </c>
      <c r="F123" s="2" t="s">
        <v>4819</v>
      </c>
      <c r="G123" s="2" t="e">
        <f ca="1">_xludf.IMAGE("https://drive.google.com/uc?export=view&amp;id=1Hzlre66mk_Kv9d6aMIDUSy2yfpDHzJTN", 1)</f>
        <v>#NAME?</v>
      </c>
    </row>
    <row r="124" spans="1:8" ht="75" customHeight="1">
      <c r="A124" s="2" t="s">
        <v>1084</v>
      </c>
      <c r="B124" s="2" t="s">
        <v>1084</v>
      </c>
      <c r="C124" s="2" t="s">
        <v>1082</v>
      </c>
      <c r="D124" s="2" t="s">
        <v>2595</v>
      </c>
      <c r="E124" s="2" t="s">
        <v>4820</v>
      </c>
      <c r="F124" s="2" t="s">
        <v>4821</v>
      </c>
      <c r="G124" s="2" t="e">
        <f ca="1">_xludf.IMAGE("https://drive.google.com/uc?export=view&amp;id=1NykkEl10oq-r-6rZZDqqTP5T_ZKW8gpc", 1)</f>
        <v>#NAME?</v>
      </c>
    </row>
    <row r="125" spans="1:8" ht="75" customHeight="1">
      <c r="A125" s="2" t="s">
        <v>1090</v>
      </c>
      <c r="B125" s="2" t="s">
        <v>1090</v>
      </c>
      <c r="C125" s="2" t="s">
        <v>1089</v>
      </c>
      <c r="D125" s="2" t="s">
        <v>2655</v>
      </c>
      <c r="E125" s="2" t="s">
        <v>4822</v>
      </c>
      <c r="F125" s="2" t="s">
        <v>4823</v>
      </c>
      <c r="G125" s="2" t="e">
        <f ca="1">_xludf.IMAGE("https://drive.google.com/uc?export=view&amp;id=1OoKgCEj79RSooc93Syzh7eNtpnB7sc6b", 1)</f>
        <v>#NAME?</v>
      </c>
      <c r="H125" s="2" t="s">
        <v>1090</v>
      </c>
    </row>
    <row r="126" spans="1:8" ht="75" customHeight="1">
      <c r="A126" s="2" t="s">
        <v>1096</v>
      </c>
      <c r="B126" s="2" t="s">
        <v>1096</v>
      </c>
      <c r="C126" s="2" t="s">
        <v>1093</v>
      </c>
      <c r="D126" s="2" t="s">
        <v>4824</v>
      </c>
      <c r="E126" s="2" t="s">
        <v>4825</v>
      </c>
      <c r="F126" s="2" t="s">
        <v>4826</v>
      </c>
      <c r="G126" s="2" t="e">
        <f ca="1">_xludf.IMAGE("https://drive.google.com/uc?export=view&amp;id=1cZPJXF8hiEEVEJg7chtgeZotiXQ7f9jA", 1)</f>
        <v>#NAME?</v>
      </c>
      <c r="H126" s="2" t="s">
        <v>185</v>
      </c>
    </row>
    <row r="127" spans="1:8" ht="75" customHeight="1">
      <c r="A127" s="2" t="s">
        <v>1096</v>
      </c>
      <c r="B127" s="2" t="s">
        <v>1096</v>
      </c>
      <c r="C127" s="2" t="s">
        <v>1093</v>
      </c>
      <c r="D127" s="2" t="s">
        <v>4824</v>
      </c>
      <c r="E127" s="2" t="s">
        <v>4827</v>
      </c>
      <c r="F127" s="2" t="s">
        <v>4828</v>
      </c>
      <c r="G127" s="2" t="e">
        <f ca="1">_xludf.IMAGE("https://drive.google.com/uc?export=view&amp;id=15DCA5u_cB5Cma1cUC8Ll_Zpy-ADq3G0F", 1)</f>
        <v>#NAME?</v>
      </c>
      <c r="H127" s="2" t="s">
        <v>185</v>
      </c>
    </row>
    <row r="128" spans="1:8" ht="75" customHeight="1">
      <c r="A128" s="2" t="s">
        <v>1106</v>
      </c>
      <c r="B128" s="2" t="s">
        <v>1107</v>
      </c>
      <c r="C128" s="2" t="s">
        <v>1104</v>
      </c>
      <c r="D128" s="2" t="s">
        <v>2626</v>
      </c>
      <c r="E128" s="2" t="s">
        <v>4829</v>
      </c>
      <c r="F128" s="2" t="s">
        <v>4830</v>
      </c>
      <c r="G128" s="2" t="e">
        <f ca="1">_xludf.IMAGE("https://drive.google.com/uc?export=view&amp;id=1D7hNMZV8eJFsPDw6ObeFZdJUKE_34AY7", 1)</f>
        <v>#NAME?</v>
      </c>
    </row>
    <row r="129" spans="1:8" ht="75" customHeight="1">
      <c r="A129" s="2" t="s">
        <v>1114</v>
      </c>
      <c r="B129" s="2" t="s">
        <v>1114</v>
      </c>
      <c r="C129" s="2" t="s">
        <v>1111</v>
      </c>
      <c r="D129" s="2" t="s">
        <v>4831</v>
      </c>
      <c r="E129" s="2" t="s">
        <v>4832</v>
      </c>
      <c r="F129" s="2" t="s">
        <v>4833</v>
      </c>
      <c r="G129" s="2" t="e">
        <f ca="1">_xludf.IMAGE("https://drive.google.com/uc?export=view&amp;id=1OeHNMWKKWpFwR4sfj2hGfVzVOFcau_Ib", 1)</f>
        <v>#NAME?</v>
      </c>
      <c r="H129" s="2" t="s">
        <v>185</v>
      </c>
    </row>
    <row r="130" spans="1:8" ht="75" customHeight="1">
      <c r="A130" s="2" t="s">
        <v>1119</v>
      </c>
      <c r="B130" s="2" t="s">
        <v>1119</v>
      </c>
      <c r="C130" s="2" t="s">
        <v>1117</v>
      </c>
      <c r="D130" s="2" t="s">
        <v>4834</v>
      </c>
      <c r="E130" s="2" t="s">
        <v>4835</v>
      </c>
      <c r="F130" s="2" t="s">
        <v>4836</v>
      </c>
      <c r="G130" s="2" t="e">
        <f ca="1">_xludf.IMAGE("https://drive.google.com/uc?export=view&amp;id=1ZnEQV8zdSZZRfjKtnZDT12jaB8YSjse1", 1)</f>
        <v>#NAME?</v>
      </c>
      <c r="H130" s="2" t="s">
        <v>185</v>
      </c>
    </row>
    <row r="131" spans="1:8" ht="75" customHeight="1">
      <c r="A131" s="2" t="s">
        <v>1124</v>
      </c>
      <c r="B131" s="2" t="s">
        <v>1125</v>
      </c>
      <c r="C131" s="2" t="s">
        <v>1122</v>
      </c>
      <c r="D131" s="2" t="s">
        <v>4837</v>
      </c>
      <c r="E131" s="2" t="s">
        <v>4838</v>
      </c>
      <c r="F131" s="2" t="s">
        <v>4839</v>
      </c>
      <c r="G131" s="2" t="e">
        <f ca="1">_xludf.IMAGE("https://drive.google.com/uc?export=view&amp;id=16bFHzOyj4VMVJRO1Yqh3R2ncE0LVM3UL", 1)</f>
        <v>#NAME?</v>
      </c>
      <c r="H131" s="2" t="s">
        <v>4840</v>
      </c>
    </row>
    <row r="132" spans="1:8" ht="75" customHeight="1">
      <c r="C132" s="2" t="s">
        <v>4841</v>
      </c>
      <c r="D132" s="2" t="s">
        <v>4842</v>
      </c>
      <c r="E132" s="2" t="s">
        <v>4843</v>
      </c>
      <c r="F132" s="2" t="s">
        <v>4844</v>
      </c>
      <c r="G132" s="2" t="e">
        <f ca="1">_xludf.IMAGE("https://drive.google.com/uc?export=view&amp;id=1TxZMTMEBcmMLze9Te8uIdST31Lc8zl6L", 1)</f>
        <v>#NAME?</v>
      </c>
      <c r="H132" s="2" t="s">
        <v>4840</v>
      </c>
    </row>
    <row r="133" spans="1:8" ht="75" customHeight="1">
      <c r="A133" s="2" t="s">
        <v>1129</v>
      </c>
      <c r="B133" s="2" t="s">
        <v>1129</v>
      </c>
      <c r="C133" s="2" t="s">
        <v>1128</v>
      </c>
      <c r="D133" s="2" t="s">
        <v>4845</v>
      </c>
      <c r="E133" s="2" t="s">
        <v>4846</v>
      </c>
      <c r="F133" s="2" t="s">
        <v>4847</v>
      </c>
      <c r="G133" s="2" t="e">
        <f ca="1">_xludf.IMAGE("https://drive.google.com/uc?export=view&amp;id=1pu0yK7qqXuqMgnmoHSVwWDliliWCWFL-", 1)</f>
        <v>#NAME?</v>
      </c>
    </row>
    <row r="134" spans="1:8" ht="75" customHeight="1">
      <c r="A134" s="2" t="s">
        <v>1133</v>
      </c>
      <c r="B134" s="2" t="s">
        <v>1134</v>
      </c>
      <c r="C134" s="2" t="s">
        <v>1131</v>
      </c>
      <c r="D134" s="2" t="s">
        <v>4848</v>
      </c>
      <c r="E134" s="2" t="s">
        <v>4849</v>
      </c>
      <c r="F134" s="2" t="s">
        <v>4850</v>
      </c>
      <c r="G134" s="2" t="e">
        <f ca="1">_xludf.IMAGE("https://drive.google.com/uc?export=view&amp;id=1NON2KMyZg6oI605ftk_1m-7p9WtA0VAx", 1)</f>
        <v>#NAME?</v>
      </c>
      <c r="H134" s="2" t="s">
        <v>279</v>
      </c>
    </row>
    <row r="135" spans="1:8" ht="75" customHeight="1">
      <c r="A135" s="2" t="s">
        <v>1138</v>
      </c>
      <c r="B135" s="2" t="s">
        <v>1138</v>
      </c>
      <c r="C135" s="2" t="s">
        <v>1137</v>
      </c>
      <c r="D135" s="2" t="s">
        <v>4851</v>
      </c>
      <c r="E135" s="2" t="s">
        <v>4852</v>
      </c>
      <c r="F135" s="2" t="s">
        <v>4853</v>
      </c>
      <c r="G135" s="2" t="e">
        <f ca="1">_xludf.IMAGE("https://drive.google.com/uc?export=view&amp;id=1wEQw4qFZDiCr_8-xyQwoOvyHPqIhv6sC", 1)</f>
        <v>#NAME?</v>
      </c>
    </row>
    <row r="136" spans="1:8" ht="75" customHeight="1">
      <c r="A136" s="2" t="s">
        <v>1142</v>
      </c>
      <c r="B136" s="2" t="s">
        <v>1143</v>
      </c>
      <c r="C136" s="2" t="s">
        <v>1139</v>
      </c>
      <c r="D136" s="2" t="s">
        <v>4854</v>
      </c>
      <c r="E136" s="2" t="s">
        <v>4855</v>
      </c>
      <c r="F136" s="2" t="s">
        <v>4856</v>
      </c>
      <c r="G136" s="2" t="e">
        <f ca="1">_xludf.IMAGE("https://drive.google.com/uc?export=view&amp;id=12M9SW3Mbe4g59EhyEW3gvGW51oGOokYk", 1)</f>
        <v>#NAME?</v>
      </c>
      <c r="H136" s="2" t="s">
        <v>185</v>
      </c>
    </row>
    <row r="137" spans="1:8" ht="75" customHeight="1">
      <c r="A137" s="2" t="s">
        <v>1150</v>
      </c>
      <c r="B137" s="2" t="s">
        <v>1150</v>
      </c>
      <c r="C137" s="2" t="s">
        <v>1148</v>
      </c>
      <c r="D137" s="2" t="s">
        <v>4857</v>
      </c>
      <c r="E137" s="2" t="s">
        <v>4858</v>
      </c>
      <c r="F137" s="2" t="s">
        <v>4859</v>
      </c>
      <c r="G137" s="2" t="e">
        <f ca="1">_xludf.IMAGE("https://drive.google.com/uc?export=view&amp;id=1B5K7NKE614hoE95gj6g4LbZ56Mgv9ZMi", 1)</f>
        <v>#NAME?</v>
      </c>
      <c r="H137" s="2" t="s">
        <v>185</v>
      </c>
    </row>
    <row r="138" spans="1:8" ht="75" customHeight="1">
      <c r="A138" s="2" t="s">
        <v>1155</v>
      </c>
      <c r="B138" s="2" t="s">
        <v>1155</v>
      </c>
      <c r="C138" s="2" t="s">
        <v>1154</v>
      </c>
      <c r="D138" s="2" t="s">
        <v>4860</v>
      </c>
      <c r="E138" s="2" t="s">
        <v>4861</v>
      </c>
      <c r="F138" s="2" t="s">
        <v>4862</v>
      </c>
      <c r="G138" s="2" t="e">
        <f ca="1">_xludf.IMAGE("https://drive.google.com/uc?export=view&amp;id=16GOR_p9-jKAddh_7TWwDP6i-i_T2f9N8", 1)</f>
        <v>#NAME?</v>
      </c>
    </row>
    <row r="139" spans="1:8" ht="75" customHeight="1">
      <c r="A139" s="2" t="s">
        <v>1157</v>
      </c>
      <c r="B139" s="2" t="s">
        <v>1157</v>
      </c>
      <c r="C139" s="2" t="s">
        <v>1156</v>
      </c>
      <c r="D139" s="2" t="s">
        <v>4863</v>
      </c>
      <c r="E139" s="2" t="s">
        <v>4864</v>
      </c>
      <c r="F139" s="2" t="s">
        <v>4865</v>
      </c>
      <c r="G139" s="2" t="e">
        <f ca="1">_xludf.IMAGE("https://drive.google.com/uc?export=view&amp;id=1RczIZ1oG6-1USynmbY42cgxm-iQ0JN1F", 1)</f>
        <v>#NAME?</v>
      </c>
    </row>
    <row r="140" spans="1:8" ht="75" customHeight="1">
      <c r="A140" s="2" t="s">
        <v>1161</v>
      </c>
      <c r="B140" s="2" t="s">
        <v>1162</v>
      </c>
      <c r="C140" s="2" t="s">
        <v>1158</v>
      </c>
      <c r="D140" s="2" t="s">
        <v>2617</v>
      </c>
      <c r="E140" s="2" t="s">
        <v>4866</v>
      </c>
      <c r="F140" s="2" t="s">
        <v>4867</v>
      </c>
      <c r="G140" s="2" t="e">
        <f ca="1">_xludf.IMAGE("https://drive.google.com/uc?export=view&amp;id=1iXggcIoXfg2N-q5R4l15NGaqPlARlXI_", 1)</f>
        <v>#NAME?</v>
      </c>
    </row>
    <row r="141" spans="1:8" ht="75" customHeight="1">
      <c r="A141" s="2" t="s">
        <v>1169</v>
      </c>
      <c r="B141" s="2" t="s">
        <v>1170</v>
      </c>
      <c r="C141" s="2" t="s">
        <v>1168</v>
      </c>
      <c r="D141" s="2" t="s">
        <v>2644</v>
      </c>
      <c r="E141" s="2" t="s">
        <v>4868</v>
      </c>
      <c r="F141" s="2" t="s">
        <v>4869</v>
      </c>
      <c r="G141" s="2" t="e">
        <f ca="1">_xludf.IMAGE("https://drive.google.com/uc?export=view&amp;id=1sUNB_qdZpbIF3A78cpmrzGi4G5qUl84x", 1)</f>
        <v>#NAME?</v>
      </c>
      <c r="H141" s="2" t="s">
        <v>1169</v>
      </c>
    </row>
    <row r="142" spans="1:8" ht="75" customHeight="1">
      <c r="A142" s="2" t="s">
        <v>1175</v>
      </c>
      <c r="B142" s="2" t="s">
        <v>1176</v>
      </c>
      <c r="C142" s="2" t="s">
        <v>1173</v>
      </c>
      <c r="D142" s="2" t="s">
        <v>4870</v>
      </c>
      <c r="E142" s="2" t="s">
        <v>4871</v>
      </c>
      <c r="F142" s="2" t="s">
        <v>4872</v>
      </c>
      <c r="G142" s="2" t="e">
        <f ca="1">_xludf.IMAGE("https://drive.google.com/uc?export=view&amp;id=1YwUR8PydeGCUXWYgPD5-R8vZMZDwvbuu", 1)</f>
        <v>#NAME?</v>
      </c>
    </row>
    <row r="143" spans="1:8" ht="75" customHeight="1">
      <c r="C143" s="2" t="s">
        <v>4873</v>
      </c>
      <c r="D143" s="2" t="s">
        <v>4874</v>
      </c>
      <c r="E143" s="2" t="s">
        <v>4875</v>
      </c>
      <c r="F143" s="2" t="s">
        <v>4876</v>
      </c>
      <c r="G143" s="2" t="e">
        <f ca="1">_xludf.IMAGE("https://drive.google.com/uc?export=view&amp;id=16fbg2P6ykWHxH8iQbtRY51wxRdWT3Uql", 1)</f>
        <v>#NAME?</v>
      </c>
    </row>
    <row r="144" spans="1:8" ht="75" customHeight="1">
      <c r="C144" s="2" t="s">
        <v>4877</v>
      </c>
      <c r="D144" s="2" t="s">
        <v>4878</v>
      </c>
      <c r="E144" s="2" t="s">
        <v>4879</v>
      </c>
      <c r="F144" s="2" t="s">
        <v>4880</v>
      </c>
      <c r="G144" s="2" t="e">
        <f ca="1">_xludf.IMAGE("https://drive.google.com/uc?export=view&amp;id=1DWy_Qg_ry-vsmLmRRjqyK6mJhCmImnDC", 1)</f>
        <v>#NAME?</v>
      </c>
    </row>
    <row r="145" spans="1:8" ht="75" customHeight="1">
      <c r="A145" s="2" t="s">
        <v>1180</v>
      </c>
      <c r="B145" s="2" t="s">
        <v>1181</v>
      </c>
      <c r="C145" s="2" t="s">
        <v>1178</v>
      </c>
      <c r="D145" s="2" t="s">
        <v>2620</v>
      </c>
      <c r="E145" s="2" t="s">
        <v>4881</v>
      </c>
      <c r="F145" s="2" t="s">
        <v>4882</v>
      </c>
      <c r="G145" s="2" t="e">
        <f ca="1">_xludf.IMAGE("https://drive.google.com/uc?export=view&amp;id=1j8HvCbtVcr-QnUmyu73JzcCFhI_Xy63z", 1)</f>
        <v>#NAME?</v>
      </c>
    </row>
    <row r="146" spans="1:8" ht="75" customHeight="1">
      <c r="A146" s="2" t="s">
        <v>1186</v>
      </c>
      <c r="B146" s="2" t="s">
        <v>1186</v>
      </c>
      <c r="C146" s="2" t="s">
        <v>1185</v>
      </c>
      <c r="D146" s="2" t="s">
        <v>4883</v>
      </c>
      <c r="E146" s="2" t="s">
        <v>4884</v>
      </c>
      <c r="F146" s="2" t="s">
        <v>4885</v>
      </c>
      <c r="G146" s="2" t="e">
        <f ca="1">_xludf.IMAGE("https://drive.google.com/uc?export=view&amp;id=1PU-X_E9SkYu4xW7UmTlonCAdfQj-XV7j", 1)</f>
        <v>#NAME?</v>
      </c>
      <c r="H146" s="2" t="s">
        <v>1186</v>
      </c>
    </row>
    <row r="147" spans="1:8" ht="75" customHeight="1">
      <c r="A147" s="2" t="s">
        <v>1192</v>
      </c>
      <c r="B147" s="2" t="s">
        <v>1192</v>
      </c>
      <c r="C147" s="2" t="s">
        <v>1190</v>
      </c>
      <c r="D147" s="2" t="s">
        <v>2622</v>
      </c>
      <c r="E147" s="2" t="s">
        <v>4886</v>
      </c>
      <c r="F147" s="2" t="s">
        <v>4887</v>
      </c>
      <c r="G147" s="2" t="e">
        <f ca="1">_xludf.IMAGE("https://drive.google.com/uc?export=view&amp;id=1znqiq7H-arHz838tPhagLJ9Qmf2nBWuz", 1)</f>
        <v>#NAME?</v>
      </c>
    </row>
    <row r="148" spans="1:8" ht="75" customHeight="1">
      <c r="A148" s="2" t="s">
        <v>1194</v>
      </c>
      <c r="B148" s="2" t="s">
        <v>1195</v>
      </c>
      <c r="C148" s="2" t="s">
        <v>1193</v>
      </c>
      <c r="D148" s="2" t="s">
        <v>2645</v>
      </c>
      <c r="E148" s="2" t="s">
        <v>4888</v>
      </c>
      <c r="F148" s="2" t="s">
        <v>4889</v>
      </c>
      <c r="G148" s="2" t="e">
        <f ca="1">_xludf.IMAGE("https://drive.google.com/uc?export=view&amp;id=19ATeAL82zWL5M88splff0V2XtZnq_7a1", 1)</f>
        <v>#NAME?</v>
      </c>
      <c r="H148" s="2" t="s">
        <v>1195</v>
      </c>
    </row>
    <row r="149" spans="1:8" ht="75" customHeight="1">
      <c r="A149" s="2" t="s">
        <v>1194</v>
      </c>
      <c r="B149" s="2" t="s">
        <v>1195</v>
      </c>
      <c r="C149" s="2" t="s">
        <v>1193</v>
      </c>
      <c r="D149" s="2" t="s">
        <v>4890</v>
      </c>
      <c r="E149" s="2" t="s">
        <v>4891</v>
      </c>
      <c r="F149" s="2" t="s">
        <v>4892</v>
      </c>
      <c r="G149" s="2" t="e">
        <f ca="1">_xludf.IMAGE("https://drive.google.com/uc?export=view&amp;id=1D8W1094mvD7OPeKRWf6S-66K9DeEYgnI", 1)</f>
        <v>#NAME?</v>
      </c>
    </row>
    <row r="150" spans="1:8" ht="75" customHeight="1">
      <c r="A150" s="2" t="s">
        <v>1198</v>
      </c>
      <c r="B150" s="2" t="s">
        <v>1199</v>
      </c>
      <c r="C150" s="2" t="s">
        <v>1197</v>
      </c>
      <c r="D150" s="2" t="s">
        <v>4893</v>
      </c>
      <c r="E150" s="2" t="s">
        <v>4894</v>
      </c>
      <c r="F150" s="2" t="s">
        <v>4895</v>
      </c>
      <c r="G150" s="2" t="e">
        <f ca="1">_xludf.IMAGE("https://drive.google.com/uc?export=view&amp;id=1N5QasLM5mtV8RSNQ_4u1ycKwTbIsZYAK", 1)</f>
        <v>#NAME?</v>
      </c>
      <c r="H150" s="2" t="s">
        <v>1198</v>
      </c>
    </row>
    <row r="151" spans="1:8" ht="75" customHeight="1">
      <c r="A151" s="2" t="s">
        <v>1203</v>
      </c>
      <c r="B151" s="2" t="s">
        <v>1203</v>
      </c>
      <c r="C151" s="2" t="s">
        <v>1201</v>
      </c>
      <c r="D151" s="2" t="s">
        <v>2623</v>
      </c>
      <c r="E151" s="2" t="s">
        <v>4896</v>
      </c>
      <c r="F151" s="2" t="s">
        <v>4897</v>
      </c>
      <c r="G151" s="2" t="e">
        <f ca="1">_xludf.IMAGE("https://drive.google.com/uc?export=view&amp;id=1SBrsvNFVL-AQVXbr86Qe2we37ZPvc6oS", 1)</f>
        <v>#NAME?</v>
      </c>
    </row>
    <row r="152" spans="1:8" ht="75" customHeight="1">
      <c r="C152" s="2" t="s">
        <v>4898</v>
      </c>
      <c r="D152" s="2" t="s">
        <v>4899</v>
      </c>
      <c r="E152" s="2" t="s">
        <v>4900</v>
      </c>
      <c r="F152" s="2" t="s">
        <v>4901</v>
      </c>
      <c r="G152" s="2" t="e">
        <f ca="1">_xludf.IMAGE("https://drive.google.com/uc?export=view&amp;id=1wRk6pJje9xZPCT0roSU9GeUJh0_QNVbR", 1)</f>
        <v>#NAME?</v>
      </c>
    </row>
    <row r="153" spans="1:8" ht="75" customHeight="1">
      <c r="A153" s="2" t="s">
        <v>1208</v>
      </c>
      <c r="B153" s="2" t="s">
        <v>1209</v>
      </c>
      <c r="C153" s="2" t="s">
        <v>1205</v>
      </c>
      <c r="D153" s="2" t="s">
        <v>4902</v>
      </c>
      <c r="E153" s="2" t="s">
        <v>4903</v>
      </c>
      <c r="F153" s="2" t="s">
        <v>4904</v>
      </c>
      <c r="G153" s="2" t="e">
        <f ca="1">_xludf.IMAGE("https://drive.google.com/uc?export=view&amp;id=1n_y8LRSD5eqgp4L-gryy6_HwL1PpXg4n", 1)</f>
        <v>#NAME?</v>
      </c>
    </row>
    <row r="154" spans="1:8" ht="75" customHeight="1">
      <c r="A154" s="2" t="s">
        <v>1213</v>
      </c>
      <c r="B154" s="2" t="s">
        <v>1213</v>
      </c>
      <c r="C154" s="2" t="s">
        <v>1210</v>
      </c>
      <c r="D154" s="2" t="s">
        <v>4905</v>
      </c>
      <c r="E154" s="2" t="s">
        <v>4906</v>
      </c>
      <c r="F154" s="2" t="s">
        <v>4907</v>
      </c>
      <c r="G154" s="2" t="e">
        <f ca="1">_xludf.IMAGE("https://drive.google.com/uc?export=view&amp;id=1g6LN5qZ7Nz2W76my1oVex71zrZReXxMs", 1)</f>
        <v>#NAME?</v>
      </c>
      <c r="H154" s="2" t="s">
        <v>185</v>
      </c>
    </row>
    <row r="155" spans="1:8" ht="75" customHeight="1">
      <c r="A155" s="2" t="s">
        <v>1220</v>
      </c>
      <c r="B155" s="2" t="s">
        <v>1220</v>
      </c>
      <c r="C155" s="2" t="s">
        <v>1217</v>
      </c>
      <c r="D155" s="2" t="s">
        <v>4908</v>
      </c>
      <c r="E155" s="2" t="s">
        <v>4909</v>
      </c>
      <c r="F155" s="2" t="s">
        <v>4910</v>
      </c>
      <c r="G155" s="2" t="e">
        <f ca="1">_xludf.IMAGE("https://drive.google.com/uc?export=view&amp;id=1GUIJOrsceLroIU6PqcE11Y54toC77vBq", 1)</f>
        <v>#NAME?</v>
      </c>
      <c r="H155" s="2" t="s">
        <v>185</v>
      </c>
    </row>
    <row r="156" spans="1:8" ht="75" customHeight="1">
      <c r="A156" s="2" t="s">
        <v>1226</v>
      </c>
      <c r="B156" s="2" t="s">
        <v>1227</v>
      </c>
      <c r="C156" s="2" t="s">
        <v>1224</v>
      </c>
      <c r="D156" s="2" t="s">
        <v>4911</v>
      </c>
      <c r="E156" s="2" t="s">
        <v>4912</v>
      </c>
      <c r="F156" s="2" t="s">
        <v>4913</v>
      </c>
      <c r="G156" s="2" t="e">
        <f ca="1">_xludf.IMAGE("https://drive.google.com/uc?export=view&amp;id=1JVaYJL0JZeMNW_guJiVak-uoj2scvgSW", 1)</f>
        <v>#NAME?</v>
      </c>
    </row>
    <row r="157" spans="1:8" ht="75" customHeight="1">
      <c r="A157" s="2" t="s">
        <v>1236</v>
      </c>
      <c r="B157" s="2" t="s">
        <v>1237</v>
      </c>
      <c r="C157" s="2" t="s">
        <v>1233</v>
      </c>
      <c r="D157" s="2" t="s">
        <v>4914</v>
      </c>
      <c r="E157" s="2" t="s">
        <v>4915</v>
      </c>
      <c r="F157" s="2" t="s">
        <v>4916</v>
      </c>
      <c r="G157" s="2" t="e">
        <f ca="1">_xludf.IMAGE("https://drive.google.com/uc?export=view&amp;id=1qgR4wWj7aSKHDAkFJ5CmvbQsW0AZH1Ll", 1)</f>
        <v>#NAME?</v>
      </c>
      <c r="H157" s="2" t="s">
        <v>1236</v>
      </c>
    </row>
    <row r="158" spans="1:8" ht="75" customHeight="1">
      <c r="A158" s="2" t="s">
        <v>1242</v>
      </c>
      <c r="B158" s="2" t="s">
        <v>1242</v>
      </c>
      <c r="C158" s="2" t="s">
        <v>1240</v>
      </c>
      <c r="D158" s="2" t="s">
        <v>4917</v>
      </c>
      <c r="E158" s="2" t="s">
        <v>4918</v>
      </c>
      <c r="F158" s="2" t="s">
        <v>4919</v>
      </c>
      <c r="G158" s="2" t="e">
        <f ca="1">_xludf.IMAGE("https://drive.google.com/uc?export=view&amp;id=1Ku0vRgFeRrYKS9lB7FGN7WmEqG_sj5J0", 1)</f>
        <v>#NAME?</v>
      </c>
      <c r="H158" s="2" t="s">
        <v>185</v>
      </c>
    </row>
    <row r="159" spans="1:8" ht="75" customHeight="1">
      <c r="A159" s="2" t="s">
        <v>1247</v>
      </c>
      <c r="B159" s="2" t="s">
        <v>1248</v>
      </c>
      <c r="C159" s="2" t="s">
        <v>1245</v>
      </c>
      <c r="D159" s="2" t="s">
        <v>4920</v>
      </c>
      <c r="E159" s="2" t="s">
        <v>4921</v>
      </c>
      <c r="F159" s="2" t="s">
        <v>4922</v>
      </c>
      <c r="G159" s="2" t="e">
        <f ca="1">_xludf.IMAGE("https://drive.google.com/uc?export=view&amp;id=1_mJGl6hpxIVp6O7Cg4NxU3oWdQaDFRo9", 1)</f>
        <v>#NAME?</v>
      </c>
      <c r="H159" s="2" t="s">
        <v>1247</v>
      </c>
    </row>
    <row r="160" spans="1:8" ht="75" customHeight="1">
      <c r="A160" s="2" t="s">
        <v>1251</v>
      </c>
      <c r="B160" s="2" t="s">
        <v>1251</v>
      </c>
      <c r="C160" s="2" t="s">
        <v>1250</v>
      </c>
      <c r="D160" s="2" t="s">
        <v>4923</v>
      </c>
      <c r="E160" s="2" t="s">
        <v>4924</v>
      </c>
      <c r="F160" s="2" t="s">
        <v>4925</v>
      </c>
      <c r="G160" s="2" t="e">
        <f ca="1">_xludf.IMAGE("https://drive.google.com/uc?export=view&amp;id=1-Ov_ADaRwl5MwBE1l5L99lR5xqkfUnjr", 1)</f>
        <v>#NAME?</v>
      </c>
    </row>
    <row r="161" spans="1:8" ht="75" customHeight="1">
      <c r="A161" s="2" t="s">
        <v>1255</v>
      </c>
      <c r="B161" s="2" t="s">
        <v>1256</v>
      </c>
      <c r="C161" s="2" t="s">
        <v>1252</v>
      </c>
      <c r="D161" s="2" t="s">
        <v>4926</v>
      </c>
      <c r="E161" s="2" t="s">
        <v>4927</v>
      </c>
      <c r="F161" s="2" t="s">
        <v>4928</v>
      </c>
      <c r="G161" s="2" t="e">
        <f ca="1">_xludf.IMAGE("https://drive.google.com/uc?export=view&amp;id=106kDBWrKRZnHV7LHjlqnWrcR4X-j5771", 1)</f>
        <v>#NAME?</v>
      </c>
      <c r="H161" s="2" t="s">
        <v>1255</v>
      </c>
    </row>
    <row r="162" spans="1:8" ht="75" customHeight="1">
      <c r="A162" s="2" t="s">
        <v>1264</v>
      </c>
      <c r="B162" s="2" t="s">
        <v>1264</v>
      </c>
      <c r="C162" s="2" t="s">
        <v>1261</v>
      </c>
      <c r="D162" s="2" t="s">
        <v>4929</v>
      </c>
      <c r="E162" s="2" t="s">
        <v>4930</v>
      </c>
      <c r="F162" s="2" t="s">
        <v>4931</v>
      </c>
      <c r="G162" s="2" t="e">
        <f ca="1">_xludf.IMAGE("https://drive.google.com/uc?export=view&amp;id=16q3vx-O7ymM9C6ap_XxIojZUtwhqSfB0", 1)</f>
        <v>#NAME?</v>
      </c>
    </row>
    <row r="163" spans="1:8" ht="75" customHeight="1">
      <c r="A163" s="2" t="s">
        <v>1271</v>
      </c>
      <c r="B163" s="2" t="s">
        <v>1272</v>
      </c>
      <c r="C163" s="2" t="s">
        <v>1270</v>
      </c>
      <c r="D163" s="2" t="s">
        <v>4932</v>
      </c>
      <c r="E163" s="2" t="s">
        <v>4933</v>
      </c>
      <c r="F163" s="2" t="s">
        <v>4934</v>
      </c>
      <c r="G163" s="2" t="e">
        <f ca="1">_xludf.IMAGE("https://drive.google.com/uc?export=view&amp;id=1N3d8JO2Rt7FZH08pVIn9cRrFr2BU6J_F", 1)</f>
        <v>#NAME?</v>
      </c>
      <c r="H163" s="2" t="s">
        <v>1271</v>
      </c>
    </row>
    <row r="164" spans="1:8" ht="75" customHeight="1">
      <c r="A164" s="2" t="s">
        <v>1279</v>
      </c>
      <c r="B164" s="2" t="s">
        <v>1279</v>
      </c>
      <c r="C164" s="2" t="s">
        <v>1276</v>
      </c>
      <c r="D164" s="2" t="s">
        <v>4935</v>
      </c>
      <c r="E164" s="2" t="s">
        <v>4936</v>
      </c>
      <c r="F164" s="2" t="s">
        <v>4937</v>
      </c>
      <c r="G164" s="2" t="e">
        <f ca="1">_xludf.IMAGE("https://drive.google.com/uc?export=view&amp;id=18HeELiYuKEYp4XVFX3Q0dUckEJjpiZgA", 1)</f>
        <v>#NAME?</v>
      </c>
    </row>
    <row r="165" spans="1:8" ht="75" customHeight="1">
      <c r="A165" s="2" t="s">
        <v>1287</v>
      </c>
      <c r="B165" s="2" t="s">
        <v>1288</v>
      </c>
      <c r="C165" s="2" t="s">
        <v>1285</v>
      </c>
      <c r="D165" s="2" t="s">
        <v>4938</v>
      </c>
      <c r="E165" s="2" t="s">
        <v>4939</v>
      </c>
      <c r="F165" s="2" t="s">
        <v>4940</v>
      </c>
      <c r="G165" s="2" t="e">
        <f ca="1">_xludf.IMAGE("https://drive.google.com/uc?export=view&amp;id=1k7C4pOxDMJmViohTQodHByRC5mvwzKR2", 1)</f>
        <v>#NAME?</v>
      </c>
    </row>
    <row r="166" spans="1:8" ht="75" customHeight="1">
      <c r="A166" s="2" t="s">
        <v>1295</v>
      </c>
      <c r="B166" s="2" t="s">
        <v>1296</v>
      </c>
      <c r="C166" s="2" t="s">
        <v>1293</v>
      </c>
      <c r="D166" s="2" t="s">
        <v>4941</v>
      </c>
      <c r="E166" s="2" t="s">
        <v>4942</v>
      </c>
      <c r="F166" s="2" t="s">
        <v>4943</v>
      </c>
      <c r="G166" s="2" t="e">
        <f ca="1">_xludf.IMAGE("https://drive.google.com/uc?export=view&amp;id=159wXgWiOLG84JR0U4DkTfd022puHtOdm", 1)</f>
        <v>#NAME?</v>
      </c>
      <c r="H166" s="2" t="s">
        <v>279</v>
      </c>
    </row>
    <row r="167" spans="1:8" ht="75" customHeight="1">
      <c r="A167" s="2" t="s">
        <v>1298</v>
      </c>
      <c r="B167" s="2" t="s">
        <v>1298</v>
      </c>
      <c r="C167" s="2" t="s">
        <v>1297</v>
      </c>
      <c r="D167" s="2" t="s">
        <v>4944</v>
      </c>
      <c r="E167" s="2" t="s">
        <v>4945</v>
      </c>
      <c r="F167" s="2" t="s">
        <v>4946</v>
      </c>
      <c r="G167" s="2" t="e">
        <f ca="1">_xludf.IMAGE("https://drive.google.com/uc?export=view&amp;id=1AHs_L3zGqkN3gDMYtjTwVMxq9h7N35gi", 1)</f>
        <v>#NAME?</v>
      </c>
    </row>
    <row r="168" spans="1:8" ht="75" customHeight="1">
      <c r="A168" s="2" t="s">
        <v>1300</v>
      </c>
      <c r="B168" s="2" t="s">
        <v>1300</v>
      </c>
      <c r="C168" s="2" t="s">
        <v>1299</v>
      </c>
      <c r="D168" s="2" t="s">
        <v>4947</v>
      </c>
      <c r="E168" s="2" t="s">
        <v>4948</v>
      </c>
      <c r="F168" s="2" t="s">
        <v>4949</v>
      </c>
      <c r="G168" s="2" t="e">
        <f ca="1">_xludf.IMAGE("https://drive.google.com/uc?export=view&amp;id=1ElvsHellRheetWWGsaOzqqmIj1HM7v-g", 1)</f>
        <v>#NAME?</v>
      </c>
    </row>
    <row r="169" spans="1:8" ht="75" customHeight="1">
      <c r="A169" s="2" t="s">
        <v>1307</v>
      </c>
      <c r="B169" s="2" t="s">
        <v>1307</v>
      </c>
      <c r="C169" s="2" t="s">
        <v>1306</v>
      </c>
      <c r="D169" s="2" t="s">
        <v>4950</v>
      </c>
      <c r="E169" s="2" t="s">
        <v>4951</v>
      </c>
      <c r="F169" s="2" t="s">
        <v>4952</v>
      </c>
      <c r="G169" s="2" t="e">
        <f ca="1">_xludf.IMAGE("https://drive.google.com/uc?export=view&amp;id=1iSMg2M5yC0WND_rT2ADtkKVzfzwBIGaJ", 1)</f>
        <v>#NAME?</v>
      </c>
      <c r="H169" s="2" t="s">
        <v>1307</v>
      </c>
    </row>
    <row r="170" spans="1:8" ht="75" customHeight="1">
      <c r="A170" s="2" t="s">
        <v>1312</v>
      </c>
      <c r="B170" s="2" t="s">
        <v>1312</v>
      </c>
      <c r="C170" s="2" t="s">
        <v>1310</v>
      </c>
      <c r="D170" s="2" t="s">
        <v>4953</v>
      </c>
      <c r="E170" s="2" t="s">
        <v>4954</v>
      </c>
      <c r="F170" s="2" t="s">
        <v>4955</v>
      </c>
      <c r="G170" s="2" t="e">
        <f ca="1">_xludf.IMAGE("https://drive.google.com/uc?export=view&amp;id=1cySMU9w5SBGsyT4ev_raJe9iJXHtqE5X", 1)</f>
        <v>#NAME?</v>
      </c>
    </row>
    <row r="171" spans="1:8" ht="75" customHeight="1">
      <c r="A171" s="2" t="s">
        <v>1319</v>
      </c>
      <c r="B171" s="2" t="s">
        <v>1320</v>
      </c>
      <c r="C171" s="2" t="s">
        <v>1317</v>
      </c>
      <c r="D171" s="2" t="s">
        <v>4956</v>
      </c>
      <c r="E171" s="2" t="s">
        <v>4957</v>
      </c>
      <c r="F171" s="2" t="s">
        <v>4958</v>
      </c>
      <c r="G171" s="2" t="e">
        <f ca="1">_xludf.IMAGE("https://drive.google.com/uc?export=view&amp;id=1oJvoDeWk-th5Pm3bCMPwzDY8_ZNo7tPG", 1)</f>
        <v>#NAME?</v>
      </c>
      <c r="H171" s="2" t="s">
        <v>279</v>
      </c>
    </row>
    <row r="172" spans="1:8" ht="75" customHeight="1">
      <c r="A172" s="2" t="s">
        <v>1324</v>
      </c>
      <c r="B172" s="2" t="s">
        <v>1324</v>
      </c>
      <c r="C172" s="2" t="s">
        <v>1322</v>
      </c>
      <c r="D172" s="2" t="s">
        <v>4959</v>
      </c>
      <c r="E172" s="2" t="s">
        <v>4960</v>
      </c>
      <c r="F172" s="2" t="s">
        <v>4961</v>
      </c>
      <c r="G172" s="2" t="e">
        <f ca="1">_xludf.IMAGE("https://drive.google.com/uc?export=view&amp;id=1YUdJWwx9nJQOw6sB85fsUal1_2CWw_0I", 1)</f>
        <v>#NAME?</v>
      </c>
    </row>
    <row r="173" spans="1:8" ht="75" customHeight="1">
      <c r="A173" s="2" t="s">
        <v>1338</v>
      </c>
      <c r="B173" s="2" t="s">
        <v>1339</v>
      </c>
      <c r="C173" s="2" t="s">
        <v>1336</v>
      </c>
      <c r="D173" s="2" t="s">
        <v>4962</v>
      </c>
      <c r="E173" s="2" t="s">
        <v>4963</v>
      </c>
      <c r="F173" s="2" t="s">
        <v>4964</v>
      </c>
      <c r="G173" s="2" t="e">
        <f ca="1">_xludf.IMAGE("https://drive.google.com/uc?export=view&amp;id=13jcKn7M9rK83rzYRZ5VJLnIys8QgLI_4", 1)</f>
        <v>#NAME?</v>
      </c>
      <c r="H173" s="2" t="s">
        <v>1339</v>
      </c>
    </row>
    <row r="174" spans="1:8" ht="75" customHeight="1">
      <c r="A174" s="2" t="s">
        <v>1346</v>
      </c>
      <c r="B174" s="2" t="s">
        <v>1347</v>
      </c>
      <c r="C174" s="2" t="s">
        <v>1344</v>
      </c>
      <c r="D174" s="2" t="s">
        <v>4965</v>
      </c>
      <c r="E174" s="2" t="s">
        <v>4966</v>
      </c>
      <c r="F174" s="2" t="s">
        <v>4967</v>
      </c>
      <c r="G174" s="2" t="e">
        <f ca="1">_xludf.IMAGE("https://drive.google.com/uc?export=view&amp;id=1tp-eB3YAVPNczsrtNyu29OvZcV9NPKuL", 1)</f>
        <v>#NAME?</v>
      </c>
    </row>
    <row r="175" spans="1:8" ht="75" customHeight="1">
      <c r="A175" s="2" t="s">
        <v>1332</v>
      </c>
      <c r="B175" s="2" t="s">
        <v>1333</v>
      </c>
      <c r="C175" s="2" t="s">
        <v>1331</v>
      </c>
      <c r="D175" s="2" t="s">
        <v>4968</v>
      </c>
      <c r="E175" s="2" t="s">
        <v>4969</v>
      </c>
      <c r="F175" s="2" t="s">
        <v>4970</v>
      </c>
      <c r="G175" s="2" t="e">
        <f ca="1">_xludf.IMAGE("https://drive.google.com/uc?export=view&amp;id=1befU5JVClbdjvzmfUH9BmDo9yxq1cSjp", 1)</f>
        <v>#NAME?</v>
      </c>
      <c r="H175" s="2" t="s">
        <v>4971</v>
      </c>
    </row>
    <row r="176" spans="1:8" ht="75" customHeight="1">
      <c r="A176" s="2" t="s">
        <v>1352</v>
      </c>
      <c r="B176" s="2" t="s">
        <v>1353</v>
      </c>
      <c r="C176" s="2" t="s">
        <v>1351</v>
      </c>
      <c r="D176" s="2" t="s">
        <v>4972</v>
      </c>
      <c r="E176" s="2" t="s">
        <v>4973</v>
      </c>
      <c r="F176" s="2" t="s">
        <v>4974</v>
      </c>
      <c r="G176" s="2" t="e">
        <f ca="1">_xludf.IMAGE("https://drive.google.com/uc?export=view&amp;id=1J_fl_A7N0-FPIRVRMewgx3Y0_onCZyJd", 1)</f>
        <v>#NAME?</v>
      </c>
    </row>
    <row r="177" spans="1:8" ht="75" customHeight="1">
      <c r="A177" s="2" t="s">
        <v>1355</v>
      </c>
      <c r="B177" s="2" t="s">
        <v>1356</v>
      </c>
      <c r="C177" s="2" t="s">
        <v>1354</v>
      </c>
      <c r="D177" s="2" t="s">
        <v>4975</v>
      </c>
      <c r="E177" s="2" t="s">
        <v>4976</v>
      </c>
      <c r="F177" s="2" t="s">
        <v>4977</v>
      </c>
      <c r="G177" s="2" t="e">
        <f ca="1">_xludf.IMAGE("https://drive.google.com/uc?export=view&amp;id=11FDzskdbUjlZQhP573zaWJFcOADKlC2B", 1)</f>
        <v>#NAME?</v>
      </c>
    </row>
    <row r="178" spans="1:8" ht="75" customHeight="1">
      <c r="A178" s="2" t="s">
        <v>1364</v>
      </c>
      <c r="B178" s="2" t="s">
        <v>1365</v>
      </c>
      <c r="C178" s="2" t="s">
        <v>1361</v>
      </c>
      <c r="D178" s="2" t="s">
        <v>4978</v>
      </c>
      <c r="E178" s="2" t="s">
        <v>4979</v>
      </c>
      <c r="F178" s="2" t="s">
        <v>4980</v>
      </c>
      <c r="G178" s="2" t="e">
        <f ca="1">_xludf.IMAGE("https://drive.google.com/uc?export=view&amp;id=1lAItC_C3P_4rw6tw6fsjMRO7Xj1uziLi", 1)</f>
        <v>#NAME?</v>
      </c>
      <c r="H178" s="2" t="s">
        <v>279</v>
      </c>
    </row>
    <row r="179" spans="1:8" ht="75" customHeight="1">
      <c r="A179" s="2" t="s">
        <v>1368</v>
      </c>
      <c r="B179" s="2" t="s">
        <v>1369</v>
      </c>
      <c r="C179" s="2" t="s">
        <v>1367</v>
      </c>
      <c r="D179" s="2" t="s">
        <v>4981</v>
      </c>
      <c r="E179" s="2" t="s">
        <v>4982</v>
      </c>
      <c r="F179" s="2" t="s">
        <v>4983</v>
      </c>
      <c r="G179" s="2" t="e">
        <f ca="1">_xludf.IMAGE("https://drive.google.com/uc?export=view&amp;id=1eF_uzkLMl7-I-O8zzTKheoQsLUizLrIh", 1)</f>
        <v>#NAME?</v>
      </c>
      <c r="H179" s="2" t="s">
        <v>1368</v>
      </c>
    </row>
    <row r="180" spans="1:8" ht="75" customHeight="1">
      <c r="A180" s="2" t="s">
        <v>1372</v>
      </c>
      <c r="B180" s="2" t="s">
        <v>1372</v>
      </c>
      <c r="C180" s="2" t="s">
        <v>1371</v>
      </c>
      <c r="D180" s="2" t="s">
        <v>4984</v>
      </c>
      <c r="E180" s="2" t="s">
        <v>4985</v>
      </c>
      <c r="F180" s="2" t="s">
        <v>4986</v>
      </c>
      <c r="G180" s="2" t="e">
        <f ca="1">_xludf.IMAGE("https://drive.google.com/uc?export=view&amp;id=1G4johvotXeVMEb2VLZdSr1bkLzqJJuwi", 1)</f>
        <v>#NAME?</v>
      </c>
    </row>
    <row r="181" spans="1:8" ht="75" customHeight="1">
      <c r="A181" s="2" t="s">
        <v>1376</v>
      </c>
      <c r="B181" s="2" t="s">
        <v>1376</v>
      </c>
      <c r="C181" s="2" t="s">
        <v>1374</v>
      </c>
      <c r="D181" s="2" t="s">
        <v>4987</v>
      </c>
      <c r="E181" s="2" t="s">
        <v>4988</v>
      </c>
      <c r="F181" s="2" t="s">
        <v>4989</v>
      </c>
      <c r="G181" s="2" t="e">
        <f ca="1">_xludf.IMAGE("https://drive.google.com/uc?export=view&amp;id=1_L7RDAAu_wcn8fkcyN7WRHNSiXhv1RHp", 1)</f>
        <v>#NAME?</v>
      </c>
      <c r="H181" s="2" t="s">
        <v>1376</v>
      </c>
    </row>
    <row r="182" spans="1:8" ht="75" customHeight="1">
      <c r="A182" s="2" t="s">
        <v>1386</v>
      </c>
      <c r="B182" s="2" t="s">
        <v>1387</v>
      </c>
      <c r="C182" s="2" t="s">
        <v>1383</v>
      </c>
      <c r="D182" s="2" t="s">
        <v>4990</v>
      </c>
      <c r="E182" s="2" t="s">
        <v>4991</v>
      </c>
      <c r="F182" s="2" t="s">
        <v>4992</v>
      </c>
      <c r="G182" s="2" t="e">
        <f ca="1">_xludf.IMAGE("https://drive.google.com/uc?export=view&amp;id=1fd_EDwuz37JjUbQrgsTxTxDxUsKeW0f1", 1)</f>
        <v>#NAME?</v>
      </c>
      <c r="H182" s="2" t="s">
        <v>279</v>
      </c>
    </row>
    <row r="183" spans="1:8" ht="75" customHeight="1">
      <c r="A183" s="2" t="s">
        <v>436</v>
      </c>
      <c r="B183" s="2" t="s">
        <v>1390</v>
      </c>
      <c r="C183" s="2" t="s">
        <v>1389</v>
      </c>
      <c r="D183" s="2" t="s">
        <v>4993</v>
      </c>
      <c r="E183" s="2" t="s">
        <v>4994</v>
      </c>
      <c r="F183" s="2" t="s">
        <v>4995</v>
      </c>
      <c r="G183" s="2" t="e">
        <f ca="1">_xludf.IMAGE("https://drive.google.com/uc?export=view&amp;id=1Tr2cHNThYKpv_TZBdiCw48qhWhVR2veN", 1)</f>
        <v>#NAME?</v>
      </c>
    </row>
    <row r="184" spans="1:8" ht="75" customHeight="1">
      <c r="A184" s="2" t="s">
        <v>1393</v>
      </c>
      <c r="B184" s="2" t="s">
        <v>1393</v>
      </c>
      <c r="C184" s="2" t="s">
        <v>1392</v>
      </c>
      <c r="D184" s="2" t="s">
        <v>4996</v>
      </c>
      <c r="E184" s="2" t="s">
        <v>4997</v>
      </c>
      <c r="F184" s="2" t="s">
        <v>4998</v>
      </c>
      <c r="G184" s="2" t="e">
        <f ca="1">_xludf.IMAGE("https://drive.google.com/uc?export=view&amp;id=1r02Spxzdn8sALzpoYYfnGbQgBTz7ino2", 1)</f>
        <v>#NAME?</v>
      </c>
      <c r="H184" s="2" t="s">
        <v>1393</v>
      </c>
    </row>
    <row r="185" spans="1:8" ht="75" customHeight="1">
      <c r="A185" s="2" t="s">
        <v>1398</v>
      </c>
      <c r="B185" s="2" t="s">
        <v>1398</v>
      </c>
      <c r="C185" s="2" t="s">
        <v>1396</v>
      </c>
      <c r="D185" s="2" t="s">
        <v>4999</v>
      </c>
      <c r="E185" s="2" t="s">
        <v>5000</v>
      </c>
      <c r="F185" s="2" t="s">
        <v>5001</v>
      </c>
      <c r="G185" s="2" t="e">
        <f ca="1">_xludf.IMAGE("https://drive.google.com/uc?export=view&amp;id=1pDWuvrOKGZpuuoY6Xh7Ho-VsGa7wxgZb", 1)</f>
        <v>#NAME?</v>
      </c>
    </row>
    <row r="186" spans="1:8" ht="75" customHeight="1">
      <c r="A186" s="2" t="s">
        <v>1406</v>
      </c>
      <c r="B186" s="2" t="s">
        <v>1406</v>
      </c>
      <c r="C186" s="2" t="s">
        <v>1404</v>
      </c>
      <c r="D186" s="2" t="s">
        <v>5002</v>
      </c>
      <c r="E186" s="2" t="s">
        <v>5003</v>
      </c>
      <c r="F186" s="2" t="s">
        <v>5004</v>
      </c>
      <c r="G186" s="2" t="e">
        <f ca="1">_xludf.IMAGE("https://drive.google.com/uc?export=view&amp;id=1y4DSYRfKL9C2ds_VIYfvJ1IU9pizWfsY", 1)</f>
        <v>#NAME?</v>
      </c>
    </row>
    <row r="187" spans="1:8" ht="75" customHeight="1">
      <c r="A187" s="2" t="s">
        <v>1411</v>
      </c>
      <c r="B187" s="2" t="s">
        <v>1412</v>
      </c>
      <c r="C187" s="2" t="s">
        <v>1409</v>
      </c>
      <c r="D187" s="2" t="s">
        <v>5005</v>
      </c>
      <c r="E187" s="2" t="s">
        <v>5006</v>
      </c>
      <c r="F187" s="2" t="s">
        <v>5007</v>
      </c>
      <c r="G187" s="2" t="e">
        <f ca="1">_xludf.IMAGE("https://drive.google.com/uc?export=view&amp;id=1lwYuGiGaombjBgDwPJwZkBaKOKKR3mFw", 1)</f>
        <v>#NAME?</v>
      </c>
    </row>
    <row r="188" spans="1:8" ht="75" customHeight="1">
      <c r="A188" s="2" t="s">
        <v>1420</v>
      </c>
      <c r="B188" s="2" t="s">
        <v>1420</v>
      </c>
      <c r="C188" s="2" t="s">
        <v>1418</v>
      </c>
      <c r="D188" s="2" t="s">
        <v>5008</v>
      </c>
      <c r="E188" s="2" t="s">
        <v>5009</v>
      </c>
      <c r="F188" s="2" t="s">
        <v>5010</v>
      </c>
      <c r="G188" s="2" t="e">
        <f ca="1">_xludf.IMAGE("https://drive.google.com/uc?export=view&amp;id=1Tjs-7R1Wh5zmMLp2J3gOGp47MUF-_OYx", 1)</f>
        <v>#NAME?</v>
      </c>
      <c r="H188" s="2" t="s">
        <v>1420</v>
      </c>
    </row>
    <row r="189" spans="1:8" ht="75" customHeight="1">
      <c r="A189" s="2" t="s">
        <v>1426</v>
      </c>
      <c r="B189" s="2" t="s">
        <v>1427</v>
      </c>
      <c r="C189" s="2" t="s">
        <v>1424</v>
      </c>
      <c r="D189" s="2" t="s">
        <v>5011</v>
      </c>
      <c r="E189" s="2" t="s">
        <v>5012</v>
      </c>
      <c r="F189" s="2" t="s">
        <v>5013</v>
      </c>
      <c r="G189" s="2" t="e">
        <f ca="1">_xludf.IMAGE("https://drive.google.com/uc?export=view&amp;id=1AHJlO0BiYR3_0C1V8-TWVmx3_wfv_Pkp", 1)</f>
        <v>#NAME?</v>
      </c>
      <c r="H189" s="2" t="s">
        <v>237</v>
      </c>
    </row>
    <row r="190" spans="1:8" ht="75" customHeight="1">
      <c r="A190" s="2" t="s">
        <v>1431</v>
      </c>
      <c r="B190" s="2" t="s">
        <v>1431</v>
      </c>
      <c r="C190" s="2" t="s">
        <v>1430</v>
      </c>
      <c r="D190" s="2" t="s">
        <v>5014</v>
      </c>
      <c r="E190" s="2" t="s">
        <v>5015</v>
      </c>
      <c r="F190" s="2" t="s">
        <v>5016</v>
      </c>
      <c r="G190" s="2" t="e">
        <f ca="1">_xludf.IMAGE("https://drive.google.com/uc?export=view&amp;id=1le-1SbnyIFYZ8_8WkzAfSI5uIgNWyehN", 1)</f>
        <v>#NAME?</v>
      </c>
    </row>
    <row r="191" spans="1:8" ht="75" customHeight="1">
      <c r="A191" s="2" t="s">
        <v>1434</v>
      </c>
      <c r="B191" s="2" t="s">
        <v>1434</v>
      </c>
      <c r="C191" s="2" t="s">
        <v>1433</v>
      </c>
      <c r="D191" s="2" t="s">
        <v>5017</v>
      </c>
      <c r="E191" s="2" t="s">
        <v>5018</v>
      </c>
      <c r="F191" s="2" t="s">
        <v>5019</v>
      </c>
      <c r="G191" s="2" t="e">
        <f ca="1">_xludf.IMAGE("https://drive.google.com/uc?export=view&amp;id=11Hb9urXcYK5SPO24B3N1nUTymG0gitY3", 1)</f>
        <v>#NAME?</v>
      </c>
    </row>
    <row r="192" spans="1:8" ht="75" customHeight="1">
      <c r="A192" s="2" t="s">
        <v>1438</v>
      </c>
      <c r="B192" s="2" t="s">
        <v>1438</v>
      </c>
      <c r="C192" s="2" t="s">
        <v>1435</v>
      </c>
      <c r="D192" s="2" t="s">
        <v>5020</v>
      </c>
      <c r="E192" s="2" t="s">
        <v>5021</v>
      </c>
      <c r="F192" s="2" t="s">
        <v>5022</v>
      </c>
      <c r="G192" s="2" t="e">
        <f ca="1">_xludf.IMAGE("https://drive.google.com/uc?export=view&amp;id=1xGzpDDeLVUixD6w6YSPqm8sXvaz_kot5", 1)</f>
        <v>#NAME?</v>
      </c>
      <c r="H192" s="2" t="s">
        <v>1438</v>
      </c>
    </row>
    <row r="193" spans="1:8" ht="75" customHeight="1">
      <c r="A193" s="2" t="s">
        <v>1445</v>
      </c>
      <c r="B193" s="2" t="s">
        <v>1446</v>
      </c>
      <c r="C193" s="2" t="s">
        <v>1443</v>
      </c>
      <c r="D193" s="2" t="s">
        <v>5023</v>
      </c>
      <c r="E193" s="2" t="s">
        <v>5024</v>
      </c>
      <c r="F193" s="2" t="s">
        <v>5025</v>
      </c>
      <c r="G193" s="2" t="e">
        <f ca="1">_xludf.IMAGE("https://drive.google.com/uc?export=view&amp;id=15B4hcZ_efny-Gc_y8uKRH-3ijMASCAQk", 1)</f>
        <v>#NAME?</v>
      </c>
    </row>
    <row r="194" spans="1:8" ht="75" customHeight="1">
      <c r="A194" s="2" t="s">
        <v>1456</v>
      </c>
      <c r="B194" s="2" t="s">
        <v>1456</v>
      </c>
      <c r="C194" s="2" t="s">
        <v>1455</v>
      </c>
      <c r="D194" s="2" t="s">
        <v>5026</v>
      </c>
      <c r="E194" s="2" t="s">
        <v>5027</v>
      </c>
      <c r="F194" s="2" t="s">
        <v>5028</v>
      </c>
      <c r="G194" s="2" t="e">
        <f ca="1">_xludf.IMAGE("https://drive.google.com/uc?export=view&amp;id=1m5NhKBP24FRcg1pahPJkbx-rj3mB52Pb", 1)</f>
        <v>#NAME?</v>
      </c>
    </row>
    <row r="195" spans="1:8" ht="75" customHeight="1">
      <c r="A195" s="2" t="s">
        <v>1451</v>
      </c>
      <c r="B195" s="2" t="s">
        <v>1452</v>
      </c>
      <c r="C195" s="2" t="s">
        <v>1449</v>
      </c>
      <c r="D195" s="2" t="s">
        <v>5029</v>
      </c>
      <c r="E195" s="2" t="s">
        <v>5030</v>
      </c>
      <c r="F195" s="2" t="s">
        <v>5031</v>
      </c>
      <c r="G195" s="2" t="e">
        <f ca="1">_xludf.IMAGE("https://drive.google.com/uc?export=view&amp;id=1DQLfB9vBnzAdTQjJxo4Yr9ZTblsxBtQs", 1)</f>
        <v>#NAME?</v>
      </c>
      <c r="H195" s="2" t="s">
        <v>237</v>
      </c>
    </row>
    <row r="196" spans="1:8" ht="75" customHeight="1">
      <c r="A196" s="2" t="s">
        <v>1459</v>
      </c>
      <c r="B196" s="2" t="s">
        <v>1459</v>
      </c>
      <c r="C196" s="2" t="s">
        <v>1457</v>
      </c>
      <c r="D196" s="2" t="s">
        <v>5032</v>
      </c>
      <c r="E196" s="2" t="s">
        <v>5033</v>
      </c>
      <c r="F196" s="2" t="s">
        <v>5034</v>
      </c>
      <c r="G196" s="2" t="e">
        <f ca="1">_xludf.IMAGE("https://drive.google.com/uc?export=view&amp;id=1ztuMwQ4dmDeA3-7BZxItfJ7lM0G6x1zC", 1)</f>
        <v>#NAME?</v>
      </c>
      <c r="H196" s="2" t="s">
        <v>1459</v>
      </c>
    </row>
    <row r="197" spans="1:8" ht="75" customHeight="1">
      <c r="A197" s="2" t="s">
        <v>1445</v>
      </c>
      <c r="B197" s="2" t="s">
        <v>1446</v>
      </c>
      <c r="C197" s="2" t="s">
        <v>1443</v>
      </c>
      <c r="D197" s="2" t="s">
        <v>5035</v>
      </c>
      <c r="E197" s="2" t="s">
        <v>5036</v>
      </c>
      <c r="F197" s="2" t="s">
        <v>5037</v>
      </c>
      <c r="G197" s="2" t="e">
        <f ca="1">_xludf.IMAGE("https://drive.google.com/uc?export=view&amp;id=1yQrgipwXoaTzl22YlwXa77sok8K3AMHM", 1)</f>
        <v>#NAME?</v>
      </c>
    </row>
    <row r="198" spans="1:8" ht="75" customHeight="1">
      <c r="A198" s="2" t="s">
        <v>1463</v>
      </c>
      <c r="B198" s="2" t="s">
        <v>1464</v>
      </c>
      <c r="C198" s="2" t="s">
        <v>1461</v>
      </c>
      <c r="D198" s="2" t="s">
        <v>5038</v>
      </c>
      <c r="E198" s="2" t="s">
        <v>5039</v>
      </c>
      <c r="F198" s="2" t="s">
        <v>5040</v>
      </c>
      <c r="G198" s="2" t="e">
        <f ca="1">_xludf.IMAGE("https://drive.google.com/uc?export=view&amp;id=1h_mXbLliMQ8EQopITMfwsNeulTLLkNPo", 1)</f>
        <v>#NAME?</v>
      </c>
      <c r="H198" s="2" t="s">
        <v>1463</v>
      </c>
    </row>
    <row r="199" spans="1:8" ht="75" customHeight="1">
      <c r="A199" s="2" t="s">
        <v>1471</v>
      </c>
      <c r="B199" s="2" t="s">
        <v>1472</v>
      </c>
      <c r="C199" s="2" t="s">
        <v>1469</v>
      </c>
      <c r="D199" s="2" t="s">
        <v>5041</v>
      </c>
      <c r="E199" s="2" t="s">
        <v>5042</v>
      </c>
      <c r="F199" s="2" t="s">
        <v>5043</v>
      </c>
      <c r="G199" s="2" t="e">
        <f ca="1">_xludf.IMAGE("https://drive.google.com/uc?export=view&amp;id=1_1xxT43XCSsZIFeUXbNU9sAw7BDTaEZy", 1)</f>
        <v>#NAME?</v>
      </c>
      <c r="H199" s="2" t="s">
        <v>279</v>
      </c>
    </row>
    <row r="200" spans="1:8" ht="75" customHeight="1">
      <c r="A200" s="2" t="s">
        <v>1477</v>
      </c>
      <c r="B200" s="2" t="s">
        <v>1477</v>
      </c>
      <c r="C200" s="2" t="s">
        <v>1476</v>
      </c>
      <c r="D200" s="2" t="s">
        <v>5044</v>
      </c>
      <c r="E200" s="2" t="s">
        <v>5045</v>
      </c>
      <c r="F200" s="2" t="s">
        <v>5046</v>
      </c>
      <c r="G200" s="2" t="e">
        <f ca="1">_xludf.IMAGE("https://drive.google.com/uc?export=view&amp;id=1gI6mZb3oA8lwj0_Rk8vPv8xrmZqSblyo", 1)</f>
        <v>#NAME?</v>
      </c>
    </row>
    <row r="201" spans="1:8" ht="75" customHeight="1">
      <c r="A201" s="2" t="s">
        <v>1481</v>
      </c>
      <c r="B201" s="2" t="s">
        <v>1482</v>
      </c>
      <c r="C201" s="2" t="s">
        <v>1479</v>
      </c>
      <c r="D201" s="2" t="s">
        <v>5047</v>
      </c>
      <c r="E201" s="2" t="s">
        <v>5048</v>
      </c>
      <c r="F201" s="2" t="s">
        <v>5049</v>
      </c>
      <c r="G201" s="2" t="e">
        <f ca="1">_xludf.IMAGE("https://drive.google.com/uc?export=view&amp;id=1GjqwfCBOHRaSch2i1ZJcvSfQDgWu_tVj", 1)</f>
        <v>#NAME?</v>
      </c>
      <c r="H201" s="2" t="s">
        <v>279</v>
      </c>
    </row>
    <row r="202" spans="1:8" ht="75" customHeight="1">
      <c r="A202" s="2" t="s">
        <v>1486</v>
      </c>
      <c r="B202" s="2" t="s">
        <v>1487</v>
      </c>
      <c r="C202" s="2" t="s">
        <v>1485</v>
      </c>
      <c r="D202" s="2" t="s">
        <v>5050</v>
      </c>
      <c r="E202" s="2" t="s">
        <v>5051</v>
      </c>
      <c r="F202" s="2" t="s">
        <v>5052</v>
      </c>
      <c r="G202" s="2" t="e">
        <f ca="1">_xludf.IMAGE("https://drive.google.com/uc?export=view&amp;id=1B1NCPrcJ26nzdLuZhh98wi4BQizBDFda", 1)</f>
        <v>#NAME?</v>
      </c>
    </row>
    <row r="203" spans="1:8" ht="75" customHeight="1">
      <c r="A203" s="2" t="s">
        <v>1490</v>
      </c>
      <c r="B203" s="2" t="s">
        <v>1490</v>
      </c>
      <c r="C203" s="2" t="s">
        <v>1488</v>
      </c>
      <c r="D203" s="2" t="s">
        <v>5053</v>
      </c>
      <c r="E203" s="2" t="s">
        <v>5054</v>
      </c>
      <c r="F203" s="2" t="s">
        <v>5055</v>
      </c>
      <c r="G203" s="2" t="e">
        <f ca="1">_xludf.IMAGE("https://drive.google.com/uc?export=view&amp;id=1rQ7YUpWPJ0QPsCZRnYPm876WspFo2zOn", 1)</f>
        <v>#NAME?</v>
      </c>
      <c r="H203" s="2" t="s">
        <v>185</v>
      </c>
    </row>
    <row r="204" spans="1:8" ht="75" customHeight="1">
      <c r="A204" s="2" t="s">
        <v>1495</v>
      </c>
      <c r="B204" s="2" t="s">
        <v>1495</v>
      </c>
      <c r="C204" s="2" t="s">
        <v>1493</v>
      </c>
      <c r="D204" s="2" t="s">
        <v>5056</v>
      </c>
      <c r="E204" s="2" t="s">
        <v>5057</v>
      </c>
      <c r="F204" s="2" t="s">
        <v>5058</v>
      </c>
      <c r="G204" s="2" t="e">
        <f ca="1">_xludf.IMAGE("https://drive.google.com/uc?export=view&amp;id=1rt8s9uE73QWC-3wewtrHTDP9_-y9Utfc", 1)</f>
        <v>#NAME?</v>
      </c>
      <c r="H204" s="2" t="s">
        <v>185</v>
      </c>
    </row>
    <row r="205" spans="1:8" ht="75" customHeight="1">
      <c r="A205" s="2" t="s">
        <v>1501</v>
      </c>
      <c r="B205" s="2" t="s">
        <v>1502</v>
      </c>
      <c r="C205" s="2" t="s">
        <v>1499</v>
      </c>
      <c r="D205" s="2" t="s">
        <v>5059</v>
      </c>
      <c r="E205" s="2" t="s">
        <v>5060</v>
      </c>
      <c r="F205" s="2" t="s">
        <v>5061</v>
      </c>
      <c r="G205" s="2" t="e">
        <f ca="1">_xludf.IMAGE("https://drive.google.com/uc?export=view&amp;id=1EppO8oB4aU74igviug1rgeMAJDwqF-3_", 1)</f>
        <v>#NAME?</v>
      </c>
      <c r="H205" s="2" t="s">
        <v>279</v>
      </c>
    </row>
    <row r="206" spans="1:8" ht="75" customHeight="1">
      <c r="A206" s="2" t="s">
        <v>1507</v>
      </c>
      <c r="B206" s="2" t="s">
        <v>1507</v>
      </c>
      <c r="C206" s="2" t="s">
        <v>1505</v>
      </c>
      <c r="D206" s="2" t="s">
        <v>5062</v>
      </c>
      <c r="E206" s="2" t="s">
        <v>5063</v>
      </c>
      <c r="F206" s="2" t="s">
        <v>5064</v>
      </c>
      <c r="G206" s="2" t="e">
        <f ca="1">_xludf.IMAGE("https://drive.google.com/uc?export=view&amp;id=1PUlEmBK6hVWEkOpvIzdyVJbAtdrgdLtn", 1)</f>
        <v>#NAME?</v>
      </c>
    </row>
    <row r="207" spans="1:8" ht="75" customHeight="1">
      <c r="A207" s="2" t="s">
        <v>1511</v>
      </c>
      <c r="B207" s="2" t="s">
        <v>1511</v>
      </c>
      <c r="C207" s="2" t="s">
        <v>1510</v>
      </c>
      <c r="D207" s="2" t="s">
        <v>5065</v>
      </c>
      <c r="E207" s="2" t="s">
        <v>5066</v>
      </c>
      <c r="F207" s="2" t="s">
        <v>5067</v>
      </c>
      <c r="G207" s="2" t="e">
        <f ca="1">_xludf.IMAGE("https://drive.google.com/uc?export=view&amp;id=14jSKxc-60YdNC7K8VMTCehraMKraaF5r", 1)</f>
        <v>#NAME?</v>
      </c>
      <c r="H207" s="2" t="s">
        <v>1511</v>
      </c>
    </row>
    <row r="208" spans="1:8" ht="75" customHeight="1">
      <c r="A208" s="2" t="s">
        <v>1516</v>
      </c>
      <c r="B208" s="2" t="s">
        <v>1517</v>
      </c>
      <c r="C208" s="2" t="s">
        <v>1514</v>
      </c>
      <c r="D208" s="2" t="s">
        <v>5068</v>
      </c>
      <c r="E208" s="2" t="s">
        <v>5069</v>
      </c>
      <c r="F208" s="2" t="s">
        <v>5070</v>
      </c>
      <c r="G208" s="2" t="e">
        <f ca="1">_xludf.IMAGE("https://drive.google.com/uc?export=view&amp;id=1J-yLzPT-E41ogJfs8oiqH1mK1HMoqgr4", 1)</f>
        <v>#NAME?</v>
      </c>
    </row>
    <row r="209" spans="1:8" ht="75" customHeight="1">
      <c r="A209" s="2" t="s">
        <v>1522</v>
      </c>
      <c r="B209" s="2" t="s">
        <v>1522</v>
      </c>
      <c r="C209" s="2" t="s">
        <v>1520</v>
      </c>
      <c r="D209" s="2" t="s">
        <v>5071</v>
      </c>
      <c r="E209" s="2" t="s">
        <v>5072</v>
      </c>
      <c r="F209" s="2" t="s">
        <v>5073</v>
      </c>
      <c r="G209" s="2" t="e">
        <f ca="1">_xludf.IMAGE("https://drive.google.com/uc?export=view&amp;id=1e1RIwAZUvfjh5PmiSI-8jpFagraL6UV_", 1)</f>
        <v>#NAME?</v>
      </c>
    </row>
    <row r="210" spans="1:8" ht="75" customHeight="1">
      <c r="A210" s="2" t="s">
        <v>1522</v>
      </c>
      <c r="B210" s="2" t="s">
        <v>1522</v>
      </c>
      <c r="C210" s="2" t="s">
        <v>1520</v>
      </c>
      <c r="D210" s="2" t="s">
        <v>5071</v>
      </c>
      <c r="E210" s="2" t="s">
        <v>5074</v>
      </c>
      <c r="F210" s="2" t="s">
        <v>5075</v>
      </c>
      <c r="G210" s="2" t="e">
        <f ca="1">_xludf.IMAGE("https://drive.google.com/uc?export=view&amp;id=1iwvMA2k7N7jOZGUADThqxrvh1Bos2adi", 1)</f>
        <v>#NAME?</v>
      </c>
    </row>
    <row r="211" spans="1:8" ht="75" customHeight="1">
      <c r="A211" s="2" t="s">
        <v>427</v>
      </c>
      <c r="B211" s="2" t="s">
        <v>427</v>
      </c>
      <c r="C211" s="2" t="s">
        <v>1526</v>
      </c>
      <c r="D211" s="2" t="s">
        <v>5076</v>
      </c>
      <c r="E211" s="2" t="s">
        <v>5077</v>
      </c>
      <c r="F211" s="2" t="s">
        <v>5078</v>
      </c>
      <c r="G211" s="2" t="e">
        <f ca="1">_xludf.IMAGE("https://drive.google.com/uc?export=view&amp;id=1yN3yh5UIb9GEZse67k7V_IGMzTIDVrnS", 1)</f>
        <v>#NAME?</v>
      </c>
    </row>
    <row r="212" spans="1:8" ht="75" customHeight="1">
      <c r="A212" s="2" t="s">
        <v>1531</v>
      </c>
      <c r="B212" s="2" t="s">
        <v>1532</v>
      </c>
      <c r="C212" s="2" t="s">
        <v>1530</v>
      </c>
      <c r="D212" s="2" t="s">
        <v>5079</v>
      </c>
      <c r="E212" s="2" t="s">
        <v>5080</v>
      </c>
      <c r="F212" s="2" t="s">
        <v>5081</v>
      </c>
      <c r="G212" s="2" t="e">
        <f ca="1">_xludf.IMAGE("https://drive.google.com/uc?export=view&amp;id=1qtxc0qfCjBHQjFzS5SbxxxbrHvWnEEZZ", 1)</f>
        <v>#NAME?</v>
      </c>
      <c r="H212" s="2" t="s">
        <v>1531</v>
      </c>
    </row>
    <row r="213" spans="1:8" ht="75" customHeight="1">
      <c r="A213" s="2" t="s">
        <v>1537</v>
      </c>
      <c r="B213" s="2" t="s">
        <v>1537</v>
      </c>
      <c r="C213" s="2" t="s">
        <v>1535</v>
      </c>
      <c r="D213" s="2" t="s">
        <v>5082</v>
      </c>
      <c r="E213" s="2" t="s">
        <v>5083</v>
      </c>
      <c r="F213" s="2" t="s">
        <v>5084</v>
      </c>
      <c r="G213" s="2" t="e">
        <f ca="1">_xludf.IMAGE("https://drive.google.com/uc?export=view&amp;id=1vjoAXWhuZkJgn-JStghM-8x_3WHFiU3N", 1)</f>
        <v>#NAME?</v>
      </c>
    </row>
    <row r="214" spans="1:8" ht="75" customHeight="1">
      <c r="A214" s="2" t="s">
        <v>1540</v>
      </c>
      <c r="B214" s="2" t="s">
        <v>1540</v>
      </c>
      <c r="C214" s="2" t="s">
        <v>1539</v>
      </c>
      <c r="D214" s="2" t="s">
        <v>5085</v>
      </c>
      <c r="E214" s="2" t="s">
        <v>5086</v>
      </c>
      <c r="F214" s="2" t="s">
        <v>5087</v>
      </c>
      <c r="G214" s="2" t="e">
        <f ca="1">_xludf.IMAGE("https://drive.google.com/uc?export=view&amp;id=1QJJXEnMCbcUPg3Ls4Cs7fMIrSvtkhAcI", 1)</f>
        <v>#NAME?</v>
      </c>
    </row>
    <row r="215" spans="1:8" ht="75" customHeight="1">
      <c r="A215" s="2" t="s">
        <v>1544</v>
      </c>
      <c r="B215" s="2" t="s">
        <v>1544</v>
      </c>
      <c r="C215" s="2" t="s">
        <v>1542</v>
      </c>
      <c r="D215" s="2" t="s">
        <v>5088</v>
      </c>
      <c r="E215" s="2" t="s">
        <v>5089</v>
      </c>
      <c r="F215" s="2" t="s">
        <v>5090</v>
      </c>
      <c r="G215" s="2" t="e">
        <f ca="1">_xludf.IMAGE("https://drive.google.com/uc?export=view&amp;id=1Qca95DyYkknCOMcrbGEUHXAET38e5eCn", 1)</f>
        <v>#NAME?</v>
      </c>
      <c r="H215" s="2" t="s">
        <v>1544</v>
      </c>
    </row>
    <row r="216" spans="1:8" ht="75" customHeight="1">
      <c r="A216" s="2" t="s">
        <v>1549</v>
      </c>
      <c r="B216" s="2" t="s">
        <v>1549</v>
      </c>
      <c r="C216" s="2" t="s">
        <v>1547</v>
      </c>
      <c r="D216" s="2" t="s">
        <v>5091</v>
      </c>
      <c r="E216" s="2" t="s">
        <v>5092</v>
      </c>
      <c r="F216" s="2" t="s">
        <v>5093</v>
      </c>
      <c r="G216" s="2" t="e">
        <f ca="1">_xludf.IMAGE("https://drive.google.com/uc?export=view&amp;id=1dpGwAQxqNYIS3YfrSYDiSc6NCI29IJPq", 1)</f>
        <v>#NAME?</v>
      </c>
      <c r="H216" s="2" t="s">
        <v>185</v>
      </c>
    </row>
    <row r="217" spans="1:8" ht="75" customHeight="1">
      <c r="A217" s="2" t="s">
        <v>1553</v>
      </c>
      <c r="B217" s="2" t="s">
        <v>1553</v>
      </c>
      <c r="C217" s="2" t="s">
        <v>1552</v>
      </c>
      <c r="D217" s="2" t="s">
        <v>5094</v>
      </c>
      <c r="E217" s="2" t="s">
        <v>5095</v>
      </c>
      <c r="F217" s="2" t="s">
        <v>5096</v>
      </c>
      <c r="G217" s="2" t="e">
        <f ca="1">_xludf.IMAGE("https://drive.google.com/uc?export=view&amp;id=1BBztkE9945WnxaPtlrDwOQALckwy_p-l", 1)</f>
        <v>#NAME?</v>
      </c>
    </row>
    <row r="218" spans="1:8" ht="75" customHeight="1">
      <c r="A218" s="2" t="s">
        <v>1556</v>
      </c>
      <c r="B218" s="2" t="s">
        <v>1556</v>
      </c>
      <c r="C218" s="2" t="s">
        <v>1554</v>
      </c>
      <c r="D218" s="2" t="s">
        <v>5097</v>
      </c>
      <c r="E218" s="2" t="s">
        <v>5098</v>
      </c>
      <c r="F218" s="2" t="s">
        <v>5099</v>
      </c>
      <c r="G218" s="2" t="e">
        <f ca="1">_xludf.IMAGE("https://drive.google.com/uc?export=view&amp;id=1aO_3i-HF2juMziEPv7nPOwrdpCsEOICE", 1)</f>
        <v>#NAME?</v>
      </c>
    </row>
    <row r="219" spans="1:8" ht="75" customHeight="1">
      <c r="A219" s="2" t="s">
        <v>1563</v>
      </c>
      <c r="B219" s="2" t="s">
        <v>1563</v>
      </c>
      <c r="C219" s="2" t="s">
        <v>1562</v>
      </c>
      <c r="D219" s="2" t="s">
        <v>5100</v>
      </c>
      <c r="E219" s="2" t="s">
        <v>5101</v>
      </c>
      <c r="F219" s="2" t="s">
        <v>5102</v>
      </c>
      <c r="G219" s="2" t="e">
        <f ca="1">_xludf.IMAGE("https://drive.google.com/uc?export=view&amp;id=1WGu0OoaQH9v3dXzNhkGEPzW-OZJ_MvvZ", 1)</f>
        <v>#NAME?</v>
      </c>
    </row>
    <row r="220" spans="1:8" ht="75" customHeight="1">
      <c r="A220" s="2" t="s">
        <v>1567</v>
      </c>
      <c r="B220" s="2" t="s">
        <v>1568</v>
      </c>
      <c r="C220" s="2" t="s">
        <v>1565</v>
      </c>
      <c r="D220" s="2" t="s">
        <v>5103</v>
      </c>
      <c r="E220" s="2" t="s">
        <v>5104</v>
      </c>
      <c r="F220" s="2" t="s">
        <v>5105</v>
      </c>
      <c r="G220" s="2" t="e">
        <f ca="1">_xludf.IMAGE("https://drive.google.com/uc?export=view&amp;id=15RiMb4IiTGYa4kn_CyLcRPKZOykzAoTV", 1)</f>
        <v>#NAME?</v>
      </c>
      <c r="H220" s="2" t="s">
        <v>1567</v>
      </c>
    </row>
    <row r="221" spans="1:8" ht="75" customHeight="1">
      <c r="A221" s="2" t="s">
        <v>1572</v>
      </c>
      <c r="B221" s="2" t="s">
        <v>1573</v>
      </c>
      <c r="C221" s="2" t="s">
        <v>1570</v>
      </c>
      <c r="D221" s="2" t="s">
        <v>5106</v>
      </c>
      <c r="E221" s="2" t="s">
        <v>5107</v>
      </c>
      <c r="F221" s="2" t="s">
        <v>5108</v>
      </c>
      <c r="G221" s="2" t="e">
        <f ca="1">_xludf.IMAGE("https://drive.google.com/uc?export=view&amp;id=1FUxqemUgapABPihoUPF1jVBpRwlvkYPS", 1)</f>
        <v>#NAME?</v>
      </c>
      <c r="H221" s="2" t="s">
        <v>279</v>
      </c>
    </row>
    <row r="222" spans="1:8" ht="75" customHeight="1">
      <c r="A222" s="2" t="s">
        <v>1579</v>
      </c>
      <c r="B222" s="2" t="s">
        <v>1579</v>
      </c>
      <c r="C222" s="2" t="s">
        <v>1577</v>
      </c>
      <c r="D222" s="2" t="s">
        <v>5109</v>
      </c>
      <c r="E222" s="2" t="s">
        <v>5110</v>
      </c>
      <c r="F222" s="2" t="s">
        <v>5111</v>
      </c>
      <c r="G222" s="2" t="e">
        <f ca="1">_xludf.IMAGE("https://drive.google.com/uc?export=view&amp;id=1pIhdbqgHyDaQCPByp5TWXPKT_FuEX6wc", 1)</f>
        <v>#NAME?</v>
      </c>
    </row>
    <row r="223" spans="1:8" ht="75" customHeight="1">
      <c r="A223" s="2" t="s">
        <v>1586</v>
      </c>
      <c r="B223" s="2" t="s">
        <v>1586</v>
      </c>
      <c r="C223" s="2" t="s">
        <v>1585</v>
      </c>
      <c r="D223" s="2" t="s">
        <v>5112</v>
      </c>
      <c r="E223" s="2" t="s">
        <v>5113</v>
      </c>
      <c r="F223" s="2" t="s">
        <v>5114</v>
      </c>
      <c r="G223" s="2" t="e">
        <f ca="1">_xludf.IMAGE("https://drive.google.com/uc?export=view&amp;id=1aJolFo_b-j-X9ZM3dd-pEK1SB_M6lsrL", 1)</f>
        <v>#NAME?</v>
      </c>
    </row>
    <row r="224" spans="1:8" ht="75" customHeight="1">
      <c r="A224" s="2" t="s">
        <v>1588</v>
      </c>
      <c r="B224" s="2" t="s">
        <v>1588</v>
      </c>
      <c r="C224" s="2" t="s">
        <v>1587</v>
      </c>
      <c r="D224" s="2" t="s">
        <v>5115</v>
      </c>
      <c r="E224" s="2" t="s">
        <v>5116</v>
      </c>
      <c r="F224" s="2" t="s">
        <v>5117</v>
      </c>
      <c r="G224" s="2" t="e">
        <f ca="1">_xludf.IMAGE("https://drive.google.com/uc?export=view&amp;id=1wR2cCDCH2fQzXLwaLMP5qKNATx9TxvoD", 1)</f>
        <v>#NAME?</v>
      </c>
      <c r="H224" s="2" t="s">
        <v>1588</v>
      </c>
    </row>
    <row r="225" spans="1:8" ht="75" customHeight="1">
      <c r="A225" s="2" t="s">
        <v>1591</v>
      </c>
      <c r="B225" s="2" t="s">
        <v>1591</v>
      </c>
      <c r="C225" s="2" t="s">
        <v>1589</v>
      </c>
      <c r="D225" s="2" t="s">
        <v>5118</v>
      </c>
      <c r="E225" s="2" t="s">
        <v>5119</v>
      </c>
      <c r="F225" s="2" t="s">
        <v>5120</v>
      </c>
      <c r="G225" s="2" t="e">
        <f ca="1">_xludf.IMAGE("https://drive.google.com/uc?export=view&amp;id=1T6nH_rLCsnfAygeE21qZdu-0_moZArLz", 1)</f>
        <v>#NAME?</v>
      </c>
      <c r="H225" s="2" t="s">
        <v>185</v>
      </c>
    </row>
    <row r="226" spans="1:8" ht="75" customHeight="1">
      <c r="A226" s="2" t="s">
        <v>922</v>
      </c>
      <c r="B226" s="2" t="s">
        <v>922</v>
      </c>
      <c r="C226" s="2" t="s">
        <v>1594</v>
      </c>
      <c r="D226" s="2" t="s">
        <v>5121</v>
      </c>
      <c r="E226" s="2" t="s">
        <v>5122</v>
      </c>
      <c r="F226" s="2" t="s">
        <v>5123</v>
      </c>
      <c r="G226" s="2" t="e">
        <f ca="1">_xludf.IMAGE("https://drive.google.com/uc?export=view&amp;id=1D7HVXhZhcNvVKMJfDi4HWYlQ_MZXjWvE", 1)</f>
        <v>#NAME?</v>
      </c>
      <c r="H226" s="2" t="s">
        <v>922</v>
      </c>
    </row>
    <row r="227" spans="1:8" ht="75" customHeight="1">
      <c r="A227" s="2" t="s">
        <v>1601</v>
      </c>
      <c r="B227" s="2" t="s">
        <v>1601</v>
      </c>
      <c r="C227" s="2" t="s">
        <v>1599</v>
      </c>
      <c r="D227" s="2" t="s">
        <v>5124</v>
      </c>
      <c r="E227" s="2" t="s">
        <v>5125</v>
      </c>
      <c r="F227" s="2" t="s">
        <v>5126</v>
      </c>
      <c r="G227" s="2" t="e">
        <f ca="1">_xludf.IMAGE("https://drive.google.com/uc?export=view&amp;id=14E2ySObkpfeOpsAIiJRnZNxlkkIHboyh", 1)</f>
        <v>#NAME?</v>
      </c>
      <c r="H227" s="2" t="s">
        <v>1601</v>
      </c>
    </row>
    <row r="228" spans="1:8" ht="75" customHeight="1">
      <c r="A228" s="2" t="s">
        <v>1607</v>
      </c>
      <c r="B228" s="2" t="s">
        <v>1608</v>
      </c>
      <c r="C228" s="2" t="s">
        <v>1605</v>
      </c>
      <c r="D228" s="2" t="s">
        <v>5127</v>
      </c>
      <c r="E228" s="2" t="s">
        <v>5128</v>
      </c>
      <c r="F228" s="2" t="s">
        <v>5129</v>
      </c>
      <c r="G228" s="2" t="e">
        <f ca="1">_xludf.IMAGE("https://drive.google.com/uc?export=view&amp;id=13esTlnN-13Tv9_v_TcBQnszMSbkq_W6Y", 1)</f>
        <v>#NAME?</v>
      </c>
      <c r="H228" s="2" t="s">
        <v>5130</v>
      </c>
    </row>
    <row r="229" spans="1:8" ht="75" customHeight="1">
      <c r="C229" s="2" t="s">
        <v>5131</v>
      </c>
      <c r="D229" s="2" t="s">
        <v>5132</v>
      </c>
      <c r="E229" s="2" t="s">
        <v>5133</v>
      </c>
      <c r="F229" s="2" t="s">
        <v>5134</v>
      </c>
      <c r="G229" s="2" t="e">
        <f ca="1">_xludf.IMAGE("https://drive.google.com/uc?export=view&amp;id=1e-9-GyAxlxDHDGb60zemTtVIWAE_q5bH", 1)</f>
        <v>#NAME?</v>
      </c>
      <c r="H229" s="2" t="s">
        <v>5135</v>
      </c>
    </row>
    <row r="230" spans="1:8" ht="75" customHeight="1">
      <c r="A230" s="2" t="s">
        <v>1616</v>
      </c>
      <c r="B230" s="2" t="s">
        <v>1617</v>
      </c>
      <c r="C230" s="2" t="s">
        <v>1613</v>
      </c>
      <c r="D230" s="2" t="s">
        <v>5136</v>
      </c>
      <c r="E230" s="2" t="s">
        <v>5137</v>
      </c>
      <c r="F230" s="2" t="s">
        <v>5138</v>
      </c>
      <c r="G230" s="2" t="e">
        <f ca="1">_xludf.IMAGE("https://drive.google.com/uc?export=view&amp;id=1AyeMRlhOm8AC5TlR3c5-pjLxXNlFsvG2", 1)</f>
        <v>#NAME?</v>
      </c>
    </row>
    <row r="231" spans="1:8" ht="75" customHeight="1">
      <c r="A231" s="2" t="s">
        <v>1622</v>
      </c>
      <c r="B231" s="2" t="s">
        <v>1623</v>
      </c>
      <c r="C231" s="2" t="s">
        <v>1620</v>
      </c>
      <c r="D231" s="2" t="s">
        <v>5139</v>
      </c>
      <c r="E231" s="2" t="s">
        <v>5140</v>
      </c>
      <c r="F231" s="2" t="s">
        <v>5141</v>
      </c>
      <c r="G231" s="2" t="e">
        <f ca="1">_xludf.IMAGE("https://drive.google.com/uc?export=view&amp;id=1OsSkN7aOwxJCV3gL308y6IbVOGhLZ9Gy", 1)</f>
        <v>#NAME?</v>
      </c>
    </row>
    <row r="232" spans="1:8" ht="75" customHeight="1"/>
    <row r="233" spans="1:8" ht="75" customHeight="1">
      <c r="A233" s="2" t="s">
        <v>1627</v>
      </c>
      <c r="B233" s="2" t="s">
        <v>1627</v>
      </c>
      <c r="C233" s="2" t="s">
        <v>1625</v>
      </c>
      <c r="D233" s="2" t="s">
        <v>5142</v>
      </c>
      <c r="E233" s="2" t="s">
        <v>5143</v>
      </c>
      <c r="F233" s="2" t="s">
        <v>5144</v>
      </c>
      <c r="G233" s="2" t="e">
        <f ca="1">_xludf.IMAGE("https://drive.google.com/uc?export=view&amp;id=1hgTEyvt7A_DjN8t0phMlR6PCX3Mjpdfk", 1)</f>
        <v>#NAME?</v>
      </c>
      <c r="H233" s="2" t="s">
        <v>1627</v>
      </c>
    </row>
    <row r="234" spans="1:8" ht="75" customHeight="1">
      <c r="A234" s="2" t="s">
        <v>1633</v>
      </c>
      <c r="B234" s="2" t="s">
        <v>1633</v>
      </c>
      <c r="C234" s="2" t="s">
        <v>1632</v>
      </c>
      <c r="D234" s="2" t="s">
        <v>5145</v>
      </c>
      <c r="E234" s="2" t="s">
        <v>5146</v>
      </c>
      <c r="F234" s="2" t="s">
        <v>5147</v>
      </c>
      <c r="G234" s="2" t="e">
        <f ca="1">_xludf.IMAGE("https://drive.google.com/uc?export=view&amp;id=1LL_Jb02RpZfTPVuENTq3gYAefuTTDI8W", 1)</f>
        <v>#NAME?</v>
      </c>
      <c r="H234" s="2" t="s">
        <v>1633</v>
      </c>
    </row>
    <row r="235" spans="1:8" ht="75" customHeight="1">
      <c r="A235" s="2" t="s">
        <v>1636</v>
      </c>
      <c r="B235" s="2" t="s">
        <v>1353</v>
      </c>
      <c r="C235" s="2" t="s">
        <v>1634</v>
      </c>
      <c r="D235" s="2" t="s">
        <v>5148</v>
      </c>
      <c r="E235" s="2" t="s">
        <v>5149</v>
      </c>
      <c r="F235" s="2" t="s">
        <v>5150</v>
      </c>
      <c r="G235" s="2" t="e">
        <f ca="1">_xludf.IMAGE("https://drive.google.com/uc?export=view&amp;id=1LUgY7VziywFqIwT_QtyVrhJxOHrtvPYT", 1)</f>
        <v>#NAME?</v>
      </c>
    </row>
    <row r="236" spans="1:8" ht="75" customHeight="1">
      <c r="A236" s="2" t="s">
        <v>1641</v>
      </c>
      <c r="B236" s="2" t="s">
        <v>1642</v>
      </c>
      <c r="C236" s="2" t="s">
        <v>1640</v>
      </c>
      <c r="D236" s="2" t="s">
        <v>5151</v>
      </c>
      <c r="E236" s="2" t="s">
        <v>5152</v>
      </c>
      <c r="F236" s="2" t="s">
        <v>5153</v>
      </c>
      <c r="G236" s="2" t="e">
        <f ca="1">_xludf.IMAGE("https://drive.google.com/uc?export=view&amp;id=1XEryuadI6_WYGEPHdxG8Y8M0hVt43bUq", 1)</f>
        <v>#NAME?</v>
      </c>
      <c r="H236" s="2" t="s">
        <v>1641</v>
      </c>
    </row>
    <row r="237" spans="1:8" ht="75" customHeight="1">
      <c r="A237" s="2" t="s">
        <v>1644</v>
      </c>
      <c r="B237" s="2" t="s">
        <v>1645</v>
      </c>
      <c r="C237" s="2" t="s">
        <v>1643</v>
      </c>
      <c r="D237" s="2" t="s">
        <v>5154</v>
      </c>
      <c r="E237" s="2" t="s">
        <v>5155</v>
      </c>
      <c r="F237" s="2" t="s">
        <v>5156</v>
      </c>
      <c r="G237" s="2" t="e">
        <f ca="1">_xludf.IMAGE("https://drive.google.com/uc?export=view&amp;id=1mqKFQHkrxBa0znBw_kQVLG_D9q3pvw1P", 1)</f>
        <v>#NAME?</v>
      </c>
    </row>
    <row r="238" spans="1:8" ht="75" customHeight="1">
      <c r="A238" s="2" t="s">
        <v>1651</v>
      </c>
      <c r="B238" s="2" t="s">
        <v>1652</v>
      </c>
      <c r="C238" s="2" t="s">
        <v>1647</v>
      </c>
      <c r="D238" s="2" t="s">
        <v>5157</v>
      </c>
      <c r="E238" s="2" t="s">
        <v>5158</v>
      </c>
      <c r="F238" s="2" t="s">
        <v>5159</v>
      </c>
      <c r="G238" s="2" t="e">
        <f ca="1">_xludf.IMAGE("https://drive.google.com/uc?export=view&amp;id=1NuRqWN5ayYcYmk8FmCOEGnlB-qKE2_Pp", 1)</f>
        <v>#NAME?</v>
      </c>
      <c r="H238" s="2" t="s">
        <v>1652</v>
      </c>
    </row>
    <row r="239" spans="1:8" ht="75" customHeight="1">
      <c r="A239" s="2" t="s">
        <v>1660</v>
      </c>
      <c r="B239" s="2" t="s">
        <v>1660</v>
      </c>
      <c r="C239" s="2" t="s">
        <v>1658</v>
      </c>
      <c r="D239" s="2" t="s">
        <v>5160</v>
      </c>
      <c r="E239" s="2" t="s">
        <v>5161</v>
      </c>
      <c r="F239" s="2" t="s">
        <v>5162</v>
      </c>
      <c r="G239" s="2" t="e">
        <f ca="1">_xludf.IMAGE("https://drive.google.com/uc?export=view&amp;id=1m474HSp0Kgyw2rRCxfEo6myM00jfI4NJ", 1)</f>
        <v>#NAME?</v>
      </c>
      <c r="H239" s="2" t="s">
        <v>1660</v>
      </c>
    </row>
    <row r="240" spans="1:8" ht="75" customHeight="1">
      <c r="A240" s="2" t="s">
        <v>1662</v>
      </c>
      <c r="B240" s="2" t="s">
        <v>1662</v>
      </c>
      <c r="C240" s="2" t="s">
        <v>1661</v>
      </c>
      <c r="D240" s="2" t="s">
        <v>5163</v>
      </c>
      <c r="E240" s="2" t="s">
        <v>5164</v>
      </c>
      <c r="F240" s="2" t="s">
        <v>5165</v>
      </c>
      <c r="G240" s="2" t="e">
        <f ca="1">_xludf.IMAGE("https://drive.google.com/uc?export=view&amp;id=1bWbzbucCk2lVjUCX84BtNzAUYWfZTqZx", 1)</f>
        <v>#NAME?</v>
      </c>
      <c r="H240" s="2" t="s">
        <v>1662</v>
      </c>
    </row>
    <row r="241" spans="1:8" ht="75" customHeight="1">
      <c r="A241" s="2" t="s">
        <v>1664</v>
      </c>
      <c r="B241" s="2" t="s">
        <v>1664</v>
      </c>
      <c r="C241" s="2" t="s">
        <v>1663</v>
      </c>
      <c r="D241" s="2" t="s">
        <v>5166</v>
      </c>
      <c r="E241" s="2" t="s">
        <v>5167</v>
      </c>
      <c r="F241" s="2" t="s">
        <v>5168</v>
      </c>
      <c r="G241" s="2" t="e">
        <f ca="1">_xludf.IMAGE("https://drive.google.com/uc?export=view&amp;id=1IWujTccs91geuTixAloTc73EPnVrgXl1", 1)</f>
        <v>#NAME?</v>
      </c>
    </row>
    <row r="242" spans="1:8" ht="75" customHeight="1">
      <c r="A242" s="2" t="s">
        <v>1669</v>
      </c>
      <c r="B242" s="2" t="s">
        <v>1669</v>
      </c>
      <c r="C242" s="2" t="s">
        <v>1666</v>
      </c>
      <c r="D242" s="2" t="s">
        <v>5169</v>
      </c>
      <c r="E242" s="2" t="s">
        <v>5170</v>
      </c>
      <c r="F242" s="2" t="s">
        <v>5171</v>
      </c>
      <c r="G242" s="2" t="e">
        <f ca="1">_xludf.IMAGE("https://drive.google.com/uc?export=view&amp;id=1eumGtzBllpXrSaA6R9qjLmyivpsOT18t", 1)</f>
        <v>#NAME?</v>
      </c>
    </row>
    <row r="243" spans="1:8" ht="75" customHeight="1">
      <c r="A243" s="2" t="s">
        <v>1675</v>
      </c>
      <c r="B243" s="2" t="s">
        <v>1675</v>
      </c>
      <c r="C243" s="2" t="s">
        <v>1672</v>
      </c>
      <c r="D243" s="2" t="s">
        <v>5172</v>
      </c>
      <c r="E243" s="2" t="s">
        <v>5173</v>
      </c>
      <c r="F243" s="2" t="s">
        <v>5174</v>
      </c>
      <c r="G243" s="2" t="e">
        <f ca="1">_xludf.IMAGE("https://drive.google.com/uc?export=view&amp;id=1Xhc83flK3HRgz4wzDKZxkfGH-m27B43M", 1)</f>
        <v>#NAME?</v>
      </c>
      <c r="H243" s="2" t="s">
        <v>185</v>
      </c>
    </row>
    <row r="244" spans="1:8" ht="75" customHeight="1">
      <c r="A244" s="2" t="s">
        <v>1680</v>
      </c>
      <c r="B244" s="2" t="s">
        <v>1681</v>
      </c>
      <c r="C244" s="2" t="s">
        <v>1679</v>
      </c>
      <c r="D244" s="2" t="s">
        <v>5175</v>
      </c>
      <c r="E244" s="2" t="s">
        <v>5176</v>
      </c>
      <c r="F244" s="2" t="s">
        <v>5177</v>
      </c>
      <c r="G244" s="2" t="e">
        <f ca="1">_xludf.IMAGE("https://drive.google.com/uc?export=view&amp;id=1dpms4hXLCslfAdOqPYqrWgMtyfwlbaDk", 1)</f>
        <v>#NAME?</v>
      </c>
      <c r="H244" s="2" t="s">
        <v>1680</v>
      </c>
    </row>
    <row r="245" spans="1:8" ht="75" customHeight="1">
      <c r="A245" s="2" t="s">
        <v>1684</v>
      </c>
      <c r="B245" s="2" t="s">
        <v>1685</v>
      </c>
      <c r="C245" s="2" t="s">
        <v>1682</v>
      </c>
      <c r="D245" s="2" t="s">
        <v>5178</v>
      </c>
      <c r="E245" s="2" t="s">
        <v>5179</v>
      </c>
      <c r="F245" s="2" t="s">
        <v>5180</v>
      </c>
      <c r="G245" s="2" t="e">
        <f ca="1">_xludf.IMAGE("https://drive.google.com/uc?export=view&amp;id=14BfD0M21gBmO5rjpfl64vN1XMlOxJu5C", 1)</f>
        <v>#NAME?</v>
      </c>
      <c r="H245" s="2" t="s">
        <v>5181</v>
      </c>
    </row>
    <row r="246" spans="1:8" ht="75" customHeight="1">
      <c r="A246" s="2" t="s">
        <v>1692</v>
      </c>
      <c r="B246" s="2" t="s">
        <v>1693</v>
      </c>
      <c r="C246" s="2" t="s">
        <v>1691</v>
      </c>
      <c r="D246" s="2" t="s">
        <v>5182</v>
      </c>
      <c r="E246" s="2" t="s">
        <v>5183</v>
      </c>
      <c r="F246" s="2" t="s">
        <v>5184</v>
      </c>
      <c r="G246" s="2" t="e">
        <f ca="1">_xludf.IMAGE("https://drive.google.com/uc?export=view&amp;id=1xbdYyP4tds45MtF70nLsVi_9alXHWjh0", 1)</f>
        <v>#NAME?</v>
      </c>
    </row>
    <row r="247" spans="1:8" ht="75" customHeight="1">
      <c r="A247" s="2" t="s">
        <v>1695</v>
      </c>
      <c r="B247" s="2" t="s">
        <v>1696</v>
      </c>
      <c r="C247" s="2" t="s">
        <v>1694</v>
      </c>
      <c r="D247" s="2" t="s">
        <v>5185</v>
      </c>
      <c r="E247" s="2" t="s">
        <v>5186</v>
      </c>
      <c r="F247" s="2" t="s">
        <v>5187</v>
      </c>
      <c r="G247" s="2" t="e">
        <f ca="1">_xludf.IMAGE("https://drive.google.com/uc?export=view&amp;id=17FzXTQUlpQnKh00tMYMJ7wNsOBaygSCP", 1)</f>
        <v>#NAME?</v>
      </c>
    </row>
    <row r="248" spans="1:8" ht="75" customHeight="1">
      <c r="A248" s="2" t="s">
        <v>1698</v>
      </c>
      <c r="B248" s="2" t="s">
        <v>1698</v>
      </c>
      <c r="C248" s="2" t="s">
        <v>1697</v>
      </c>
      <c r="D248" s="2" t="s">
        <v>5188</v>
      </c>
      <c r="E248" s="2" t="s">
        <v>5189</v>
      </c>
      <c r="F248" s="2" t="s">
        <v>5190</v>
      </c>
      <c r="G248" s="2" t="e">
        <f ca="1">_xludf.IMAGE("https://drive.google.com/uc?export=view&amp;id=1yQeC5n4Xc-TjaLa7a2omFJxkv-RElfjO", 1)</f>
        <v>#NAME?</v>
      </c>
      <c r="H248" s="2" t="s">
        <v>1698</v>
      </c>
    </row>
    <row r="249" spans="1:8" ht="75" customHeight="1">
      <c r="A249" s="2" t="s">
        <v>1702</v>
      </c>
      <c r="B249" s="2" t="s">
        <v>1702</v>
      </c>
      <c r="C249" s="2" t="s">
        <v>1700</v>
      </c>
      <c r="D249" s="2" t="s">
        <v>5191</v>
      </c>
      <c r="E249" s="2" t="s">
        <v>5192</v>
      </c>
      <c r="F249" s="2" t="s">
        <v>5193</v>
      </c>
      <c r="G249" s="2" t="e">
        <f ca="1">_xludf.IMAGE("https://drive.google.com/uc?export=view&amp;id=1Hh9lvwybBaadMBvBhP1CHonmAlEMuwH_", 1)</f>
        <v>#NAME?</v>
      </c>
      <c r="H249" s="2" t="s">
        <v>185</v>
      </c>
    </row>
    <row r="250" spans="1:8" ht="75" customHeight="1">
      <c r="A250" s="2" t="s">
        <v>1708</v>
      </c>
      <c r="B250" s="2" t="s">
        <v>1709</v>
      </c>
      <c r="C250" s="2" t="s">
        <v>1707</v>
      </c>
      <c r="D250" s="2" t="s">
        <v>5194</v>
      </c>
      <c r="E250" s="2" t="s">
        <v>5195</v>
      </c>
      <c r="F250" s="2" t="s">
        <v>5196</v>
      </c>
      <c r="G250" s="2" t="e">
        <f ca="1">_xludf.IMAGE("https://drive.google.com/uc?export=view&amp;id=1sAPDVQahja_sDrXjfKDEwGq-VTdXJEXK", 1)</f>
        <v>#NAME?</v>
      </c>
      <c r="H250" s="2" t="s">
        <v>1708</v>
      </c>
    </row>
    <row r="251" spans="1:8" ht="75" customHeight="1">
      <c r="A251" s="2" t="s">
        <v>1713</v>
      </c>
      <c r="B251" s="2" t="s">
        <v>1714</v>
      </c>
      <c r="C251" s="2" t="s">
        <v>1711</v>
      </c>
      <c r="D251" s="2" t="s">
        <v>5197</v>
      </c>
      <c r="E251" s="2" t="s">
        <v>5198</v>
      </c>
      <c r="F251" s="2" t="s">
        <v>5199</v>
      </c>
      <c r="G251" s="2" t="e">
        <f ca="1">_xludf.IMAGE("https://drive.google.com/uc?export=view&amp;id=1VQBWVnPIo9lJ7kszorMji9AIevkvY7Oh", 1)</f>
        <v>#NAME?</v>
      </c>
      <c r="H251" s="2" t="s">
        <v>5200</v>
      </c>
    </row>
    <row r="252" spans="1:8" ht="75" customHeight="1">
      <c r="A252" s="2" t="s">
        <v>1722</v>
      </c>
      <c r="B252" s="2" t="s">
        <v>1722</v>
      </c>
      <c r="C252" s="2" t="s">
        <v>1720</v>
      </c>
      <c r="D252" s="2" t="s">
        <v>5201</v>
      </c>
      <c r="E252" s="2" t="s">
        <v>5202</v>
      </c>
      <c r="F252" s="2" t="s">
        <v>5203</v>
      </c>
      <c r="G252" s="2" t="e">
        <f ca="1">_xludf.IMAGE("https://drive.google.com/uc?export=view&amp;id=1nfJfzssu46kPDSBVl7V5XflYLxYPVr7n", 1)</f>
        <v>#NAME?</v>
      </c>
    </row>
    <row r="253" spans="1:8" ht="75" customHeight="1">
      <c r="A253" s="2" t="s">
        <v>1726</v>
      </c>
      <c r="B253" s="2" t="s">
        <v>1726</v>
      </c>
      <c r="C253" s="2" t="s">
        <v>1725</v>
      </c>
      <c r="D253" s="2" t="s">
        <v>5204</v>
      </c>
      <c r="E253" s="2" t="s">
        <v>5205</v>
      </c>
      <c r="F253" s="2" t="s">
        <v>5206</v>
      </c>
      <c r="G253" s="2" t="e">
        <f ca="1">_xludf.IMAGE("https://drive.google.com/uc?export=view&amp;id=1W4U7p5ym9VGaRUAZ9sMGV1-81YQHthCw", 1)</f>
        <v>#NAME?</v>
      </c>
      <c r="H253" s="2" t="s">
        <v>1726</v>
      </c>
    </row>
    <row r="254" spans="1:8" ht="75" customHeight="1">
      <c r="A254" s="2" t="s">
        <v>1728</v>
      </c>
      <c r="B254" s="2" t="s">
        <v>1728</v>
      </c>
      <c r="C254" s="2" t="s">
        <v>1727</v>
      </c>
      <c r="D254" s="2" t="s">
        <v>5207</v>
      </c>
      <c r="E254" s="2" t="s">
        <v>5208</v>
      </c>
      <c r="F254" s="2" t="s">
        <v>5209</v>
      </c>
      <c r="G254" s="2" t="e">
        <f ca="1">_xludf.IMAGE("https://drive.google.com/uc?export=view&amp;id=19-idp5wMSh3iVnC3AbfjEI65jq4HLLGW", 1)</f>
        <v>#NAME?</v>
      </c>
    </row>
    <row r="255" spans="1:8" ht="75" customHeight="1">
      <c r="A255" s="2" t="s">
        <v>1732</v>
      </c>
      <c r="B255" s="2" t="s">
        <v>1732</v>
      </c>
      <c r="C255" s="2" t="s">
        <v>1729</v>
      </c>
      <c r="D255" s="2" t="s">
        <v>5210</v>
      </c>
      <c r="E255" s="2" t="s">
        <v>5211</v>
      </c>
      <c r="F255" s="2" t="s">
        <v>5212</v>
      </c>
      <c r="G255" s="2" t="e">
        <f ca="1">_xludf.IMAGE("https://drive.google.com/uc?export=view&amp;id=113zGEeF3KXwDKkT_qi49j131wGzKcQTx", 1)</f>
        <v>#NAME?</v>
      </c>
    </row>
    <row r="256" spans="1:8" ht="75" customHeight="1">
      <c r="A256" s="2" t="s">
        <v>1739</v>
      </c>
      <c r="B256" s="2" t="s">
        <v>1739</v>
      </c>
      <c r="C256" s="2" t="s">
        <v>1737</v>
      </c>
      <c r="D256" s="2" t="s">
        <v>5213</v>
      </c>
      <c r="E256" s="2" t="s">
        <v>5214</v>
      </c>
      <c r="F256" s="2" t="s">
        <v>5215</v>
      </c>
      <c r="G256" s="2" t="e">
        <f ca="1">_xludf.IMAGE("https://drive.google.com/uc?export=view&amp;id=1vWnRHFElhWLpTy8pcb4Oq6C6YmDRTQ46", 1)</f>
        <v>#NAME?</v>
      </c>
    </row>
    <row r="257" spans="1:8" ht="75" customHeight="1">
      <c r="A257" s="2" t="s">
        <v>1747</v>
      </c>
      <c r="B257" s="2" t="s">
        <v>1748</v>
      </c>
      <c r="C257" s="2" t="s">
        <v>1745</v>
      </c>
      <c r="D257" s="2" t="s">
        <v>5216</v>
      </c>
      <c r="E257" s="2" t="s">
        <v>5217</v>
      </c>
      <c r="F257" s="2" t="s">
        <v>5218</v>
      </c>
      <c r="G257" s="2" t="e">
        <f ca="1">_xludf.IMAGE("https://drive.google.com/uc?export=view&amp;id=1j3ycvkw45SVdJJlYOUQkJAgAQoQP368N", 1)</f>
        <v>#NAME?</v>
      </c>
      <c r="H257" s="2" t="s">
        <v>4550</v>
      </c>
    </row>
    <row r="258" spans="1:8" ht="75" customHeight="1">
      <c r="A258" s="2" t="s">
        <v>1755</v>
      </c>
      <c r="B258" s="2" t="s">
        <v>1756</v>
      </c>
      <c r="C258" s="2" t="s">
        <v>1753</v>
      </c>
      <c r="D258" s="2" t="s">
        <v>5219</v>
      </c>
      <c r="E258" s="2" t="s">
        <v>5220</v>
      </c>
      <c r="F258" s="2" t="s">
        <v>5221</v>
      </c>
      <c r="G258" s="2" t="e">
        <f ca="1">_xludf.IMAGE("https://drive.google.com/uc?export=view&amp;id=13_IQYfSea7lFlBsfMQzq2dvt_e6rQ-nj", 1)</f>
        <v>#NAME?</v>
      </c>
      <c r="H258" s="2" t="s">
        <v>1756</v>
      </c>
    </row>
    <row r="259" spans="1:8" ht="75" customHeight="1">
      <c r="A259" s="2" t="s">
        <v>1764</v>
      </c>
      <c r="B259" s="2" t="s">
        <v>1764</v>
      </c>
      <c r="C259" s="2" t="s">
        <v>1762</v>
      </c>
      <c r="D259" s="2" t="s">
        <v>5222</v>
      </c>
      <c r="E259" s="2" t="s">
        <v>5223</v>
      </c>
      <c r="F259" s="2" t="s">
        <v>5224</v>
      </c>
      <c r="G259" s="2" t="e">
        <f ca="1">_xludf.IMAGE("https://drive.google.com/uc?export=view&amp;id=1eU-4wp-zXYLpIzzhDS94FKJw4R51qEK8", 1)</f>
        <v>#NAME?</v>
      </c>
    </row>
    <row r="260" spans="1:8" ht="75" customHeight="1">
      <c r="A260" s="2" t="s">
        <v>1768</v>
      </c>
      <c r="B260" s="2" t="s">
        <v>1768</v>
      </c>
      <c r="C260" s="2" t="s">
        <v>1767</v>
      </c>
      <c r="D260" s="2" t="s">
        <v>5225</v>
      </c>
      <c r="E260" s="2" t="s">
        <v>5226</v>
      </c>
      <c r="F260" s="2" t="s">
        <v>5227</v>
      </c>
      <c r="G260" s="2" t="e">
        <f ca="1">_xludf.IMAGE("https://drive.google.com/uc?export=view&amp;id=1teE335529JNAfNljWfMZ10u3qkd4mdHa", 1)</f>
        <v>#NAME?</v>
      </c>
      <c r="H260" s="2" t="s">
        <v>1768</v>
      </c>
    </row>
    <row r="261" spans="1:8" ht="75" customHeight="1">
      <c r="A261" s="2" t="s">
        <v>1770</v>
      </c>
      <c r="B261" s="2" t="s">
        <v>1771</v>
      </c>
      <c r="C261" s="2" t="s">
        <v>1769</v>
      </c>
      <c r="D261" s="2" t="s">
        <v>5228</v>
      </c>
      <c r="E261" s="2" t="s">
        <v>5229</v>
      </c>
      <c r="F261" s="2" t="s">
        <v>5230</v>
      </c>
      <c r="G261" s="2" t="e">
        <f ca="1">_xludf.IMAGE("https://drive.google.com/uc?export=view&amp;id=1yVAITBYFHy_SzqGmjGUCHvHYKIi0YNOF", 1)</f>
        <v>#NAME?</v>
      </c>
    </row>
    <row r="262" spans="1:8" ht="75" customHeight="1">
      <c r="A262" s="2" t="s">
        <v>1774</v>
      </c>
      <c r="B262" s="2" t="s">
        <v>1774</v>
      </c>
      <c r="C262" s="2" t="s">
        <v>1773</v>
      </c>
      <c r="D262" s="2" t="s">
        <v>5231</v>
      </c>
      <c r="E262" s="2" t="s">
        <v>5232</v>
      </c>
      <c r="F262" s="2" t="s">
        <v>5233</v>
      </c>
      <c r="G262" s="2" t="e">
        <f ca="1">_xludf.IMAGE("https://drive.google.com/uc?export=view&amp;id=11wpdCnTbT0dX_dD4oASLRe6MDFBwa_hb", 1)</f>
        <v>#NAME?</v>
      </c>
      <c r="H262" s="2" t="s">
        <v>1774</v>
      </c>
    </row>
    <row r="263" spans="1:8" ht="75" customHeight="1">
      <c r="A263" s="2" t="s">
        <v>1777</v>
      </c>
      <c r="B263" s="2" t="s">
        <v>1778</v>
      </c>
      <c r="C263" s="2" t="s">
        <v>1775</v>
      </c>
      <c r="D263" s="2" t="s">
        <v>5234</v>
      </c>
      <c r="E263" s="2" t="s">
        <v>5235</v>
      </c>
      <c r="F263" s="2" t="s">
        <v>5236</v>
      </c>
      <c r="G263" s="2" t="e">
        <f ca="1">_xludf.IMAGE("https://drive.google.com/uc?export=view&amp;id=1sUB6vZ6f69tVcRyfDDHEym0ya5gEtEoE", 1)</f>
        <v>#NAME?</v>
      </c>
    </row>
    <row r="264" spans="1:8" ht="75" customHeight="1">
      <c r="A264" s="2" t="s">
        <v>1785</v>
      </c>
      <c r="B264" s="2" t="s">
        <v>1675</v>
      </c>
      <c r="C264" s="2" t="s">
        <v>1783</v>
      </c>
      <c r="D264" s="2" t="s">
        <v>5237</v>
      </c>
      <c r="E264" s="2" t="s">
        <v>5238</v>
      </c>
      <c r="F264" s="2" t="s">
        <v>5239</v>
      </c>
      <c r="G264" s="2" t="e">
        <f ca="1">_xludf.IMAGE("https://drive.google.com/uc?export=view&amp;id=1asBwDQELntCFqjWmW9VyTLphjux2iV84", 1)</f>
        <v>#NAME?</v>
      </c>
      <c r="H264" s="2" t="s">
        <v>5240</v>
      </c>
    </row>
    <row r="265" spans="1:8" ht="75" customHeight="1">
      <c r="A265" s="2" t="s">
        <v>1793</v>
      </c>
      <c r="B265" s="2" t="s">
        <v>1794</v>
      </c>
      <c r="C265" s="2" t="s">
        <v>1792</v>
      </c>
      <c r="D265" s="2" t="s">
        <v>5241</v>
      </c>
      <c r="E265" s="2" t="s">
        <v>5242</v>
      </c>
      <c r="F265" s="2" t="s">
        <v>5243</v>
      </c>
      <c r="G265" s="2" t="e">
        <f ca="1">_xludf.IMAGE("https://drive.google.com/uc?export=view&amp;id=1FfmFKCAB8bMV5Azm9NzdGJ_drS5o7mhr", 1)</f>
        <v>#NAME?</v>
      </c>
    </row>
    <row r="266" spans="1:8" ht="75" customHeight="1">
      <c r="A266" s="2" t="s">
        <v>1714</v>
      </c>
      <c r="B266" s="2" t="s">
        <v>1714</v>
      </c>
      <c r="C266" s="2" t="s">
        <v>1795</v>
      </c>
      <c r="D266" s="2" t="s">
        <v>5244</v>
      </c>
      <c r="E266" s="2" t="s">
        <v>5245</v>
      </c>
      <c r="F266" s="2" t="s">
        <v>5246</v>
      </c>
      <c r="G266" s="2" t="e">
        <f ca="1">_xludf.IMAGE("https://drive.google.com/uc?export=view&amp;id=1DYY7Sq3dj0FuO7EKUuEgrah34IFY6Chs", 1)</f>
        <v>#NAME?</v>
      </c>
    </row>
    <row r="267" spans="1:8" ht="75" customHeight="1">
      <c r="A267" s="2" t="s">
        <v>1801</v>
      </c>
      <c r="B267" s="2" t="s">
        <v>1801</v>
      </c>
      <c r="C267" s="2" t="s">
        <v>1799</v>
      </c>
      <c r="D267" s="2" t="s">
        <v>5247</v>
      </c>
      <c r="E267" s="2" t="s">
        <v>5248</v>
      </c>
      <c r="F267" s="2" t="s">
        <v>5249</v>
      </c>
      <c r="G267" s="2" t="e">
        <f ca="1">_xludf.IMAGE("https://drive.google.com/uc?export=view&amp;id=1sNJkY-7FgQc3AdiJ0dn1lUd68FLnJSqc", 1)</f>
        <v>#NAME?</v>
      </c>
      <c r="H267" s="2" t="s">
        <v>185</v>
      </c>
    </row>
    <row r="268" spans="1:8" ht="75" customHeight="1">
      <c r="A268" s="2" t="s">
        <v>1805</v>
      </c>
      <c r="B268" s="2" t="s">
        <v>1806</v>
      </c>
      <c r="C268" s="2" t="s">
        <v>1803</v>
      </c>
      <c r="D268" s="2" t="s">
        <v>5250</v>
      </c>
      <c r="E268" s="2" t="s">
        <v>5251</v>
      </c>
      <c r="F268" s="2" t="s">
        <v>5252</v>
      </c>
      <c r="G268" s="2" t="e">
        <f ca="1">_xludf.IMAGE("https://drive.google.com/uc?export=view&amp;id=1XtKxvn7KKb9uk5mSOr0dsJw0yDJrek2C", 1)</f>
        <v>#NAME?</v>
      </c>
      <c r="H268" s="2" t="s">
        <v>5253</v>
      </c>
    </row>
    <row r="269" spans="1:8" ht="75" customHeight="1">
      <c r="A269" s="2" t="s">
        <v>1814</v>
      </c>
      <c r="B269" s="2" t="s">
        <v>1815</v>
      </c>
      <c r="C269" s="2" t="s">
        <v>1813</v>
      </c>
      <c r="D269" s="2" t="s">
        <v>5254</v>
      </c>
      <c r="E269" s="2" t="s">
        <v>5255</v>
      </c>
      <c r="F269" s="2" t="s">
        <v>5256</v>
      </c>
      <c r="G269" s="2" t="e">
        <f ca="1">_xludf.IMAGE("https://drive.google.com/uc?export=view&amp;id=1Nlu-zJa4tGarlPNyKiJszE33uA_WazL8", 1)</f>
        <v>#NAME?</v>
      </c>
      <c r="H269" s="2" t="s">
        <v>1814</v>
      </c>
    </row>
    <row r="270" spans="1:8" ht="75" customHeight="1">
      <c r="A270" s="2" t="s">
        <v>1819</v>
      </c>
      <c r="B270" s="2" t="s">
        <v>1820</v>
      </c>
      <c r="C270" s="2" t="s">
        <v>1817</v>
      </c>
      <c r="D270" s="2" t="s">
        <v>5257</v>
      </c>
      <c r="E270" s="2" t="s">
        <v>5258</v>
      </c>
      <c r="F270" s="2" t="s">
        <v>5259</v>
      </c>
      <c r="G270" s="2" t="e">
        <f ca="1">_xludf.IMAGE("https://drive.google.com/uc?export=view&amp;id=1yRi-XUf-9QCU1-B2nm4bWF4-6nssFdvz", 1)</f>
        <v>#NAME?</v>
      </c>
      <c r="H270" s="2" t="s">
        <v>1820</v>
      </c>
    </row>
    <row r="271" spans="1:8" ht="75" customHeight="1">
      <c r="A271" s="2" t="s">
        <v>1828</v>
      </c>
      <c r="B271" s="2" t="s">
        <v>1828</v>
      </c>
      <c r="C271" s="2" t="s">
        <v>1826</v>
      </c>
      <c r="D271" s="2" t="s">
        <v>5260</v>
      </c>
      <c r="E271" s="2" t="s">
        <v>5261</v>
      </c>
      <c r="F271" s="2" t="s">
        <v>5262</v>
      </c>
      <c r="G271" s="2" t="e">
        <f ca="1">_xludf.IMAGE("https://drive.google.com/uc?export=view&amp;id=1BzxMVn_PObDaiPPwqpHhEg9BXMLBd4ET", 1)</f>
        <v>#NAME?</v>
      </c>
    </row>
    <row r="272" spans="1:8" ht="75" customHeight="1">
      <c r="A272" s="2" t="s">
        <v>1835</v>
      </c>
      <c r="B272" s="2" t="s">
        <v>1835</v>
      </c>
      <c r="C272" s="2" t="s">
        <v>1833</v>
      </c>
      <c r="D272" s="2" t="s">
        <v>5263</v>
      </c>
      <c r="E272" s="2" t="s">
        <v>5264</v>
      </c>
      <c r="F272" s="2" t="s">
        <v>5265</v>
      </c>
      <c r="G272" s="2" t="e">
        <f ca="1">_xludf.IMAGE("https://drive.google.com/uc?export=view&amp;id=1CYiDNC6GDL6Csc4ygwjNTdd5dUzFp2GY", 1)</f>
        <v>#NAME?</v>
      </c>
      <c r="H272" s="2" t="s">
        <v>5266</v>
      </c>
    </row>
    <row r="273" spans="1:8" ht="75" customHeight="1">
      <c r="A273" s="2" t="s">
        <v>1839</v>
      </c>
      <c r="B273" s="2" t="s">
        <v>1840</v>
      </c>
      <c r="C273" s="2" t="s">
        <v>1838</v>
      </c>
      <c r="D273" s="2" t="s">
        <v>5267</v>
      </c>
      <c r="E273" s="2" t="s">
        <v>5268</v>
      </c>
      <c r="F273" s="2" t="s">
        <v>5269</v>
      </c>
      <c r="G273" s="2" t="e">
        <f ca="1">_xludf.IMAGE("https://drive.google.com/uc?export=view&amp;id=1Rk6Zid9oDeO-r9ooZPwthgKetieiP-5m", 1)</f>
        <v>#NAME?</v>
      </c>
    </row>
    <row r="274" spans="1:8" ht="75" customHeight="1">
      <c r="A274" s="2" t="s">
        <v>1842</v>
      </c>
      <c r="B274" s="2" t="s">
        <v>1843</v>
      </c>
      <c r="C274" s="2" t="s">
        <v>1841</v>
      </c>
      <c r="D274" s="2" t="s">
        <v>5270</v>
      </c>
      <c r="E274" s="2" t="s">
        <v>5271</v>
      </c>
      <c r="F274" s="2" t="s">
        <v>5272</v>
      </c>
      <c r="G274" s="2" t="e">
        <f ca="1">_xludf.IMAGE("https://drive.google.com/uc?export=view&amp;id=1cFHL2nW9vrOh2VOz36JfX-PT77lvu44z", 1)</f>
        <v>#NAME?</v>
      </c>
      <c r="H274" s="2" t="s">
        <v>1842</v>
      </c>
    </row>
    <row r="275" spans="1:8" ht="75" customHeight="1">
      <c r="A275" s="2" t="s">
        <v>1846</v>
      </c>
      <c r="B275" s="2" t="s">
        <v>1846</v>
      </c>
      <c r="C275" s="2" t="s">
        <v>1844</v>
      </c>
      <c r="D275" s="2" t="s">
        <v>5273</v>
      </c>
      <c r="E275" s="2" t="s">
        <v>5274</v>
      </c>
      <c r="F275" s="2" t="s">
        <v>5275</v>
      </c>
      <c r="G275" s="2" t="e">
        <f ca="1">_xludf.IMAGE("https://drive.google.com/uc?export=view&amp;id=1SIgy47wO2UT_reIDjpGwZ3W02kJh8RHG", 1)</f>
        <v>#NAME?</v>
      </c>
    </row>
    <row r="276" spans="1:8" ht="75" customHeight="1">
      <c r="A276" s="2" t="s">
        <v>1850</v>
      </c>
      <c r="B276" s="2" t="s">
        <v>1851</v>
      </c>
      <c r="C276" s="2" t="s">
        <v>1848</v>
      </c>
      <c r="D276" s="2" t="s">
        <v>5276</v>
      </c>
      <c r="E276" s="2" t="s">
        <v>5277</v>
      </c>
      <c r="F276" s="2" t="s">
        <v>5278</v>
      </c>
      <c r="G276" s="2" t="e">
        <f ca="1">_xludf.IMAGE("https://drive.google.com/uc?export=view&amp;id=1QbSa8DekQzD7B4gUE2Z-tFPQfHPIvnVY", 1)</f>
        <v>#NAME?</v>
      </c>
      <c r="H276" s="2" t="s">
        <v>279</v>
      </c>
    </row>
    <row r="277" spans="1:8" ht="75" customHeight="1">
      <c r="A277" s="2" t="s">
        <v>1855</v>
      </c>
      <c r="B277" s="2" t="s">
        <v>1856</v>
      </c>
      <c r="C277" s="2" t="s">
        <v>1852</v>
      </c>
      <c r="D277" s="2" t="s">
        <v>5279</v>
      </c>
      <c r="E277" s="2" t="s">
        <v>5280</v>
      </c>
      <c r="F277" s="2" t="s">
        <v>5281</v>
      </c>
      <c r="G277" s="2" t="e">
        <f ca="1">_xludf.IMAGE("https://drive.google.com/uc?export=view&amp;id=1ipKO7RVO9uU9PRnD1Yu8XMTarHPPIsW3", 1)</f>
        <v>#NAME?</v>
      </c>
    </row>
    <row r="278" spans="1:8" ht="75" customHeight="1">
      <c r="A278" s="2" t="s">
        <v>1864</v>
      </c>
      <c r="B278" s="2" t="s">
        <v>1865</v>
      </c>
      <c r="C278" s="2" t="s">
        <v>1862</v>
      </c>
      <c r="D278" s="2" t="s">
        <v>5282</v>
      </c>
      <c r="E278" s="2" t="s">
        <v>5283</v>
      </c>
      <c r="F278" s="2" t="s">
        <v>5284</v>
      </c>
      <c r="G278" s="2" t="e">
        <f ca="1">_xludf.IMAGE("https://drive.google.com/uc?export=view&amp;id=1ZVChQqECkazIYojYX9p26vQTm1nkPRgH", 1)</f>
        <v>#NAME?</v>
      </c>
      <c r="H278" s="2" t="s">
        <v>5285</v>
      </c>
    </row>
    <row r="279" spans="1:8" ht="75" customHeight="1">
      <c r="A279" s="2" t="s">
        <v>1872</v>
      </c>
      <c r="B279" s="2" t="s">
        <v>1873</v>
      </c>
      <c r="C279" s="2" t="s">
        <v>1871</v>
      </c>
      <c r="D279" s="2" t="s">
        <v>5286</v>
      </c>
      <c r="E279" s="2" t="s">
        <v>5287</v>
      </c>
      <c r="F279" s="2" t="s">
        <v>5288</v>
      </c>
      <c r="G279" s="2" t="e">
        <f ca="1">_xludf.IMAGE("https://drive.google.com/uc?export=view&amp;id=1W6YNwGAjmqt4HDvB_YzpF1sC9n5gWWL8", 1)</f>
        <v>#NAME?</v>
      </c>
    </row>
    <row r="280" spans="1:8" ht="75" customHeight="1">
      <c r="A280" s="2" t="s">
        <v>1875</v>
      </c>
      <c r="B280" s="2" t="s">
        <v>1876</v>
      </c>
      <c r="C280" s="2" t="s">
        <v>1874</v>
      </c>
      <c r="D280" s="2" t="s">
        <v>5289</v>
      </c>
      <c r="E280" s="2" t="s">
        <v>5290</v>
      </c>
      <c r="F280" s="2" t="s">
        <v>5291</v>
      </c>
      <c r="G280" s="2" t="e">
        <f ca="1">_xludf.IMAGE("https://drive.google.com/uc?export=view&amp;id=1tTuanDJh6gq7mjiJBkLleZGS8v_UyK4y", 1)</f>
        <v>#NAME?</v>
      </c>
      <c r="H280" s="2" t="s">
        <v>1875</v>
      </c>
    </row>
    <row r="281" spans="1:8" ht="75" customHeight="1">
      <c r="A281" s="2" t="s">
        <v>1879</v>
      </c>
      <c r="B281" s="2" t="s">
        <v>1880</v>
      </c>
      <c r="C281" s="2" t="s">
        <v>1877</v>
      </c>
      <c r="D281" s="2" t="s">
        <v>5292</v>
      </c>
      <c r="E281" s="2" t="s">
        <v>5293</v>
      </c>
      <c r="F281" s="2" t="s">
        <v>5294</v>
      </c>
      <c r="G281" s="2" t="e">
        <f ca="1">_xludf.IMAGE("https://drive.google.com/uc?export=view&amp;id=1ns-lOaRMSsFzt3UfW2Td3xcFEm8HXMQn", 1)</f>
        <v>#NAME?</v>
      </c>
    </row>
    <row r="282" spans="1:8" ht="75" customHeight="1">
      <c r="A282" s="2" t="s">
        <v>1883</v>
      </c>
      <c r="B282" s="2" t="s">
        <v>1884</v>
      </c>
      <c r="C282" s="2" t="s">
        <v>1881</v>
      </c>
      <c r="D282" s="2" t="s">
        <v>5295</v>
      </c>
      <c r="E282" s="2" t="s">
        <v>5296</v>
      </c>
      <c r="F282" s="2" t="s">
        <v>5297</v>
      </c>
      <c r="G282" s="2" t="e">
        <f ca="1">_xludf.IMAGE("https://drive.google.com/uc?export=view&amp;id=18bimLSA2ibhq1E65XtU5oWp5ngcQGf0F", 1)</f>
        <v>#NAME?</v>
      </c>
      <c r="H282" s="2" t="s">
        <v>5253</v>
      </c>
    </row>
    <row r="283" spans="1:8" ht="75" customHeight="1">
      <c r="A283" s="2" t="s">
        <v>1892</v>
      </c>
      <c r="B283" s="2" t="s">
        <v>1893</v>
      </c>
      <c r="C283" s="2" t="s">
        <v>1890</v>
      </c>
      <c r="D283" s="2" t="s">
        <v>5298</v>
      </c>
      <c r="E283" s="2" t="s">
        <v>5299</v>
      </c>
      <c r="F283" s="2" t="s">
        <v>5300</v>
      </c>
      <c r="G283" s="2" t="e">
        <f ca="1">_xludf.IMAGE("https://drive.google.com/uc?export=view&amp;id=1lBldrNIWYXnAXWNnKFlxJFWXhSFF16K6", 1)</f>
        <v>#NAME?</v>
      </c>
    </row>
    <row r="284" spans="1:8" ht="75" customHeight="1">
      <c r="A284" s="2" t="s">
        <v>1900</v>
      </c>
      <c r="B284" s="2" t="s">
        <v>1901</v>
      </c>
      <c r="C284" s="2" t="s">
        <v>1899</v>
      </c>
      <c r="D284" s="2" t="s">
        <v>5301</v>
      </c>
      <c r="E284" s="2" t="s">
        <v>5302</v>
      </c>
      <c r="F284" s="2" t="s">
        <v>5303</v>
      </c>
      <c r="G284" s="2" t="e">
        <f ca="1">_xludf.IMAGE("https://drive.google.com/uc?export=view&amp;id=1sVHabOlVfmlpHzQGZKHIfmgDLHHf4TqA", 1)</f>
        <v>#NAME?</v>
      </c>
    </row>
    <row r="285" spans="1:8" ht="75" customHeight="1">
      <c r="A285" s="2" t="s">
        <v>1903</v>
      </c>
      <c r="B285" s="2" t="s">
        <v>1904</v>
      </c>
      <c r="C285" s="2" t="s">
        <v>1902</v>
      </c>
      <c r="D285" s="2" t="s">
        <v>5304</v>
      </c>
      <c r="E285" s="2" t="s">
        <v>5305</v>
      </c>
      <c r="F285" s="2" t="s">
        <v>5306</v>
      </c>
      <c r="G285" s="2" t="e">
        <f ca="1">_xludf.IMAGE("https://drive.google.com/uc?export=view&amp;id=1uGZET019KFG2aHDhDsuCuVSPZiCAd3mg", 1)</f>
        <v>#NAME?</v>
      </c>
      <c r="H285" s="2" t="s">
        <v>1903</v>
      </c>
    </row>
    <row r="286" spans="1:8" ht="75" customHeight="1">
      <c r="A286" s="2" t="s">
        <v>1908</v>
      </c>
      <c r="B286" s="2" t="s">
        <v>1909</v>
      </c>
      <c r="C286" s="2" t="s">
        <v>1906</v>
      </c>
      <c r="D286" s="2" t="s">
        <v>5307</v>
      </c>
      <c r="E286" s="2" t="s">
        <v>5308</v>
      </c>
      <c r="F286" s="2" t="s">
        <v>5309</v>
      </c>
      <c r="G286" s="2" t="e">
        <f ca="1">_xludf.IMAGE("https://drive.google.com/uc?export=view&amp;id=1TGDNQgva_5pqYukW28v065jDS8yq2q17", 1)</f>
        <v>#NAME?</v>
      </c>
    </row>
    <row r="287" spans="1:8" ht="75" customHeight="1">
      <c r="A287" s="2" t="s">
        <v>1914</v>
      </c>
      <c r="B287" s="2" t="s">
        <v>1915</v>
      </c>
      <c r="C287" s="2" t="s">
        <v>1912</v>
      </c>
      <c r="D287" s="2" t="s">
        <v>5310</v>
      </c>
      <c r="E287" s="2" t="s">
        <v>5311</v>
      </c>
      <c r="F287" s="2" t="s">
        <v>5312</v>
      </c>
      <c r="G287" s="2" t="e">
        <f ca="1">_xludf.IMAGE("https://drive.google.com/uc?export=view&amp;id=1ZYXu1-EzlWD6QoQhoIWPyje5kc_eTh7b", 1)</f>
        <v>#NAME?</v>
      </c>
      <c r="H287" s="2" t="s">
        <v>4550</v>
      </c>
    </row>
    <row r="288" spans="1:8" ht="75" customHeight="1">
      <c r="A288" s="2" t="s">
        <v>1919</v>
      </c>
      <c r="B288" s="2" t="s">
        <v>1920</v>
      </c>
      <c r="C288" s="2" t="s">
        <v>1917</v>
      </c>
      <c r="D288" s="2" t="s">
        <v>5313</v>
      </c>
      <c r="E288" s="2" t="s">
        <v>5314</v>
      </c>
      <c r="F288" s="2" t="s">
        <v>5315</v>
      </c>
      <c r="G288" s="2" t="e">
        <f ca="1">_xludf.IMAGE("https://drive.google.com/uc?export=view&amp;id=1DpLIkWDNVdywWfFzjnGldEk7VhxJn1V9", 1)</f>
        <v>#NAME?</v>
      </c>
      <c r="H288" s="2" t="s">
        <v>5316</v>
      </c>
    </row>
    <row r="289" spans="1:8" ht="75" customHeight="1">
      <c r="A289" s="2" t="s">
        <v>1926</v>
      </c>
      <c r="B289" s="2" t="s">
        <v>1926</v>
      </c>
      <c r="C289" s="2" t="s">
        <v>1925</v>
      </c>
      <c r="D289" s="2" t="s">
        <v>5317</v>
      </c>
      <c r="E289" s="2" t="s">
        <v>5318</v>
      </c>
      <c r="F289" s="2" t="s">
        <v>5319</v>
      </c>
      <c r="G289" s="2" t="e">
        <f ca="1">_xludf.IMAGE("https://drive.google.com/uc?export=view&amp;id=1xo1e2WHIGZRSSmrEnMSXjaFzHcWkkvkG", 1)</f>
        <v>#NAME?</v>
      </c>
    </row>
    <row r="290" spans="1:8" ht="75" customHeight="1">
      <c r="A290" s="2" t="s">
        <v>1928</v>
      </c>
      <c r="B290" s="2" t="s">
        <v>1929</v>
      </c>
      <c r="C290" s="2" t="s">
        <v>1927</v>
      </c>
      <c r="D290" s="2" t="s">
        <v>5320</v>
      </c>
      <c r="E290" s="2" t="s">
        <v>5321</v>
      </c>
      <c r="F290" s="2" t="s">
        <v>5322</v>
      </c>
      <c r="G290" s="2" t="e">
        <f ca="1">_xludf.IMAGE("https://drive.google.com/uc?export=view&amp;id=1RcHo9cdPfJlFx9r052GuyvnqzjRHVaAO", 1)</f>
        <v>#NAME?</v>
      </c>
    </row>
    <row r="291" spans="1:8" ht="75" customHeight="1">
      <c r="A291" s="2" t="s">
        <v>1933</v>
      </c>
      <c r="B291" s="2" t="s">
        <v>1934</v>
      </c>
      <c r="C291" s="2" t="s">
        <v>1932</v>
      </c>
      <c r="D291" s="2" t="s">
        <v>5323</v>
      </c>
      <c r="E291" s="2" t="s">
        <v>5324</v>
      </c>
      <c r="F291" s="2" t="s">
        <v>5325</v>
      </c>
      <c r="G291" s="2" t="e">
        <f ca="1">_xludf.IMAGE("https://drive.google.com/uc?export=view&amp;id=1HD2E4o5IBXA2997FeoHX5jG-emSCbUcq", 1)</f>
        <v>#NAME?</v>
      </c>
      <c r="H291" s="2" t="s">
        <v>1933</v>
      </c>
    </row>
    <row r="292" spans="1:8" ht="75" customHeight="1">
      <c r="A292" s="2" t="s">
        <v>1937</v>
      </c>
      <c r="B292" s="2" t="s">
        <v>1938</v>
      </c>
      <c r="C292" s="2" t="s">
        <v>1935</v>
      </c>
      <c r="D292" s="2" t="s">
        <v>5326</v>
      </c>
      <c r="E292" s="2" t="s">
        <v>5327</v>
      </c>
      <c r="F292" s="2" t="s">
        <v>5328</v>
      </c>
      <c r="G292" s="2" t="e">
        <f ca="1">_xludf.IMAGE("https://drive.google.com/uc?export=view&amp;id=1RaXWnb_NX3nMGMH-_-1wt2D6MvTUF_GH", 1)</f>
        <v>#NAME?</v>
      </c>
      <c r="H292" s="2" t="s">
        <v>5329</v>
      </c>
    </row>
    <row r="293" spans="1:8" ht="75" customHeight="1">
      <c r="A293" s="2" t="s">
        <v>1945</v>
      </c>
      <c r="B293" s="2" t="s">
        <v>1945</v>
      </c>
      <c r="C293" s="2" t="s">
        <v>1944</v>
      </c>
      <c r="D293" s="2" t="s">
        <v>5330</v>
      </c>
      <c r="E293" s="2" t="s">
        <v>5331</v>
      </c>
      <c r="F293" s="2" t="s">
        <v>5332</v>
      </c>
      <c r="G293" s="2" t="e">
        <f ca="1">_xludf.IMAGE("https://drive.google.com/uc?export=view&amp;id=1cKcWYA6Ha3iIwSIA0kjewG5ctFUnFhiS", 1)</f>
        <v>#NAME?</v>
      </c>
    </row>
    <row r="294" spans="1:8" ht="75" customHeight="1">
      <c r="A294" s="2" t="s">
        <v>1953</v>
      </c>
      <c r="B294" s="2" t="s">
        <v>1954</v>
      </c>
      <c r="C294" s="2" t="s">
        <v>1951</v>
      </c>
      <c r="D294" s="2" t="s">
        <v>5333</v>
      </c>
      <c r="E294" s="2" t="s">
        <v>5334</v>
      </c>
      <c r="F294" s="2" t="s">
        <v>5335</v>
      </c>
      <c r="G294" s="2" t="e">
        <f ca="1">_xludf.IMAGE("https://drive.google.com/uc?export=view&amp;id=1eBXQkzN8cM_aEyeqGO9ZJiEtedGz4yO5", 1)</f>
        <v>#NAME?</v>
      </c>
      <c r="H294" s="2" t="s">
        <v>279</v>
      </c>
    </row>
    <row r="295" spans="1:8" ht="75" customHeight="1">
      <c r="A295" s="2" t="s">
        <v>1957</v>
      </c>
      <c r="B295" s="2" t="s">
        <v>1957</v>
      </c>
      <c r="C295" s="2" t="s">
        <v>1956</v>
      </c>
      <c r="D295" s="2" t="s">
        <v>5336</v>
      </c>
      <c r="E295" s="2" t="s">
        <v>5337</v>
      </c>
      <c r="F295" s="2" t="s">
        <v>5338</v>
      </c>
      <c r="G295" s="2" t="e">
        <f ca="1">_xludf.IMAGE("https://drive.google.com/uc?export=view&amp;id=16CAAe5NIO56x8EYfoyHrHj0F7oJPoAvb", 1)</f>
        <v>#NAME?</v>
      </c>
    </row>
    <row r="296" spans="1:8" ht="75" customHeight="1">
      <c r="A296" s="2" t="s">
        <v>1961</v>
      </c>
      <c r="B296" s="2" t="s">
        <v>1961</v>
      </c>
      <c r="C296" s="2" t="s">
        <v>1959</v>
      </c>
      <c r="D296" s="2" t="s">
        <v>5339</v>
      </c>
      <c r="E296" s="2" t="s">
        <v>5340</v>
      </c>
      <c r="F296" s="2" t="s">
        <v>5341</v>
      </c>
      <c r="G296" s="2" t="e">
        <f ca="1">_xludf.IMAGE("https://drive.google.com/uc?export=view&amp;id=1ciLIkRPzaEhaJ-TLACzkS79UVJwqpBCx", 1)</f>
        <v>#NAME?</v>
      </c>
    </row>
    <row r="297" spans="1:8" ht="75" customHeight="1">
      <c r="A297" s="2" t="s">
        <v>1967</v>
      </c>
      <c r="B297" s="2" t="s">
        <v>1967</v>
      </c>
      <c r="C297" s="2" t="s">
        <v>1963</v>
      </c>
      <c r="D297" s="2" t="s">
        <v>5342</v>
      </c>
      <c r="E297" s="2" t="s">
        <v>5343</v>
      </c>
      <c r="F297" s="2" t="s">
        <v>5344</v>
      </c>
      <c r="G297" s="2" t="e">
        <f ca="1">_xludf.IMAGE("https://drive.google.com/uc?export=view&amp;id=115iJjLaezIZ07DH0JfSYwVjLDTcdj-A0", 1)</f>
        <v>#NAME?</v>
      </c>
    </row>
    <row r="298" spans="1:8" ht="75" customHeight="1">
      <c r="A298" s="2" t="s">
        <v>1973</v>
      </c>
      <c r="B298" s="2" t="s">
        <v>1974</v>
      </c>
      <c r="C298" s="2" t="s">
        <v>1971</v>
      </c>
      <c r="D298" s="2" t="s">
        <v>5345</v>
      </c>
      <c r="E298" s="2" t="s">
        <v>5346</v>
      </c>
      <c r="F298" s="2" t="s">
        <v>5347</v>
      </c>
      <c r="G298" s="2" t="e">
        <f ca="1">_xludf.IMAGE("https://drive.google.com/uc?export=view&amp;id=1GG6Q5IIVfk2MFNEoU7Jcs7PiF_2TyKlk", 1)</f>
        <v>#NAME?</v>
      </c>
    </row>
    <row r="299" spans="1:8" ht="75" customHeight="1">
      <c r="A299" s="2" t="s">
        <v>1984</v>
      </c>
      <c r="B299" s="2" t="s">
        <v>1985</v>
      </c>
      <c r="C299" s="2" t="s">
        <v>1981</v>
      </c>
      <c r="D299" s="2" t="s">
        <v>5348</v>
      </c>
      <c r="E299" s="2" t="s">
        <v>5349</v>
      </c>
      <c r="F299" s="2" t="s">
        <v>5350</v>
      </c>
      <c r="G299" s="2" t="e">
        <f ca="1">_xludf.IMAGE("https://drive.google.com/uc?export=view&amp;id=1z6YOmb1-z7eoftV6NG5ACZ9wNMwm3bWk", 1)</f>
        <v>#NAME?</v>
      </c>
      <c r="H299" s="2" t="s">
        <v>5351</v>
      </c>
    </row>
    <row r="300" spans="1:8" ht="75" customHeight="1">
      <c r="A300" s="2" t="s">
        <v>1991</v>
      </c>
      <c r="B300" s="2" t="s">
        <v>1992</v>
      </c>
      <c r="C300" s="2" t="s">
        <v>1989</v>
      </c>
      <c r="D300" s="2" t="s">
        <v>5352</v>
      </c>
      <c r="E300" s="2" t="s">
        <v>5353</v>
      </c>
      <c r="F300" s="2" t="s">
        <v>5354</v>
      </c>
      <c r="G300" s="2" t="e">
        <f ca="1">_xludf.IMAGE("https://drive.google.com/uc?export=view&amp;id=1jDt4QzJjOqDS4AhxThNDIi_acw7usVSa", 1)</f>
        <v>#NAME?</v>
      </c>
      <c r="H300" s="2" t="s">
        <v>1991</v>
      </c>
    </row>
    <row r="301" spans="1:8" ht="75" customHeight="1">
      <c r="A301" s="2" t="s">
        <v>1997</v>
      </c>
      <c r="B301" s="2" t="s">
        <v>1997</v>
      </c>
      <c r="C301" s="2" t="s">
        <v>1994</v>
      </c>
      <c r="D301" s="2" t="s">
        <v>5355</v>
      </c>
      <c r="E301" s="2" t="s">
        <v>5356</v>
      </c>
      <c r="F301" s="2" t="s">
        <v>5357</v>
      </c>
      <c r="G301" s="2" t="e">
        <f ca="1">_xludf.IMAGE("https://drive.google.com/uc?export=view&amp;id=1cTpkm33aa6QkNC8_m0AwJ1wbiNBGlAVE", 1)</f>
        <v>#NAME?</v>
      </c>
      <c r="H301" s="2" t="s">
        <v>185</v>
      </c>
    </row>
    <row r="302" spans="1:8" ht="75" customHeight="1">
      <c r="A302" s="2" t="s">
        <v>2002</v>
      </c>
      <c r="B302" s="2" t="s">
        <v>2003</v>
      </c>
      <c r="C302" s="2" t="s">
        <v>2000</v>
      </c>
      <c r="D302" s="2" t="s">
        <v>5358</v>
      </c>
      <c r="E302" s="2" t="s">
        <v>5359</v>
      </c>
      <c r="F302" s="2" t="s">
        <v>5360</v>
      </c>
      <c r="G302" s="2" t="e">
        <f ca="1">_xludf.IMAGE("https://drive.google.com/uc?export=view&amp;id=1xC3PYGnuWGQvKOLNt9bsrT9047UIH1i9", 1)</f>
        <v>#NAME?</v>
      </c>
    </row>
    <row r="303" spans="1:8" ht="75" customHeight="1">
      <c r="A303" s="2" t="s">
        <v>2006</v>
      </c>
      <c r="B303" s="2" t="s">
        <v>2007</v>
      </c>
      <c r="C303" s="2" t="s">
        <v>2004</v>
      </c>
      <c r="D303" s="2" t="s">
        <v>5361</v>
      </c>
      <c r="E303" s="2" t="s">
        <v>5362</v>
      </c>
      <c r="F303" s="2" t="s">
        <v>5363</v>
      </c>
      <c r="G303" s="2" t="e">
        <f ca="1">_xludf.IMAGE("https://drive.google.com/uc?export=view&amp;id=1M9crd55z_noguIutJdEyZobIEnloLRtx", 1)</f>
        <v>#NAME?</v>
      </c>
      <c r="H303" s="2" t="s">
        <v>5364</v>
      </c>
    </row>
    <row r="304" spans="1:8" ht="75" customHeight="1">
      <c r="A304" s="2" t="s">
        <v>2013</v>
      </c>
      <c r="B304" s="2" t="s">
        <v>1856</v>
      </c>
      <c r="C304" s="2" t="s">
        <v>2011</v>
      </c>
      <c r="D304" s="2" t="s">
        <v>5365</v>
      </c>
      <c r="E304" s="2" t="s">
        <v>5366</v>
      </c>
      <c r="F304" s="2" t="s">
        <v>5367</v>
      </c>
      <c r="G304" s="2" t="e">
        <f ca="1">_xludf.IMAGE("https://drive.google.com/uc?export=view&amp;id=1s-V6iKudezRGvjXC6l1Z9IQYNB23XnG1", 1)</f>
        <v>#NAME?</v>
      </c>
    </row>
    <row r="305" spans="1:8" ht="75" customHeight="1">
      <c r="A305" s="2" t="s">
        <v>2016</v>
      </c>
      <c r="B305" s="2" t="s">
        <v>2017</v>
      </c>
      <c r="C305" s="2" t="s">
        <v>2014</v>
      </c>
      <c r="D305" s="2" t="s">
        <v>5368</v>
      </c>
      <c r="E305" s="2" t="s">
        <v>5369</v>
      </c>
      <c r="F305" s="2" t="s">
        <v>5370</v>
      </c>
      <c r="G305" s="2" t="e">
        <f ca="1">_xludf.IMAGE("https://drive.google.com/uc?export=view&amp;id=1nqWHMLTjrbqIFlABgHGZE_PkZNeh-hPO", 1)</f>
        <v>#NAME?</v>
      </c>
    </row>
    <row r="306" spans="1:8" ht="75" customHeight="1">
      <c r="A306" s="2" t="s">
        <v>2023</v>
      </c>
      <c r="B306" s="2" t="s">
        <v>2024</v>
      </c>
      <c r="C306" s="2" t="s">
        <v>2021</v>
      </c>
      <c r="D306" s="2" t="s">
        <v>5371</v>
      </c>
      <c r="E306" s="2" t="s">
        <v>5372</v>
      </c>
      <c r="F306" s="2" t="s">
        <v>5373</v>
      </c>
      <c r="G306" s="2" t="e">
        <f ca="1">_xludf.IMAGE("https://drive.google.com/uc?export=view&amp;id=1t6SZiHum_JZAxzhUXzigbekriuQHhw9z", 1)</f>
        <v>#NAME?</v>
      </c>
      <c r="H306" s="2" t="s">
        <v>2023</v>
      </c>
    </row>
    <row r="307" spans="1:8" ht="75" customHeight="1">
      <c r="A307" s="2" t="s">
        <v>2031</v>
      </c>
      <c r="B307" s="2" t="s">
        <v>2032</v>
      </c>
      <c r="C307" s="2" t="s">
        <v>2030</v>
      </c>
      <c r="D307" s="2" t="s">
        <v>5374</v>
      </c>
      <c r="E307" s="2" t="s">
        <v>5375</v>
      </c>
      <c r="F307" s="2" t="s">
        <v>5376</v>
      </c>
      <c r="G307" s="2" t="e">
        <f ca="1">_xludf.IMAGE("https://drive.google.com/uc?export=view&amp;id=1KxwBBD7JQsxBQ7wqyHEpIcPXTnzf5kU-", 1)</f>
        <v>#NAME?</v>
      </c>
      <c r="H307" s="2" t="s">
        <v>2031</v>
      </c>
    </row>
    <row r="308" spans="1:8" ht="75" customHeight="1">
      <c r="A308" s="2" t="s">
        <v>2034</v>
      </c>
      <c r="B308" s="2" t="s">
        <v>2035</v>
      </c>
      <c r="C308" s="2" t="s">
        <v>2033</v>
      </c>
      <c r="D308" s="2" t="s">
        <v>5377</v>
      </c>
      <c r="E308" s="2" t="s">
        <v>5378</v>
      </c>
      <c r="F308" s="2" t="s">
        <v>5379</v>
      </c>
      <c r="G308" s="2" t="e">
        <f ca="1">_xludf.IMAGE("https://drive.google.com/uc?export=view&amp;id=1NgpodUvA6ajXOWEHVOJ3qyaWbxTQHnXY", 1)</f>
        <v>#NAME?</v>
      </c>
    </row>
    <row r="309" spans="1:8" ht="75" customHeight="1">
      <c r="A309" s="2" t="s">
        <v>2038</v>
      </c>
      <c r="B309" s="2" t="s">
        <v>2038</v>
      </c>
      <c r="C309" s="2" t="s">
        <v>2036</v>
      </c>
      <c r="D309" s="2" t="s">
        <v>5380</v>
      </c>
      <c r="E309" s="2" t="s">
        <v>5381</v>
      </c>
      <c r="F309" s="2" t="s">
        <v>5382</v>
      </c>
      <c r="G309" s="2" t="e">
        <f ca="1">_xludf.IMAGE("https://drive.google.com/uc?export=view&amp;id=1FCzsBiB-ZWhqfoEMNIwBBUSYQPEuXLmQ", 1)</f>
        <v>#NAME?</v>
      </c>
      <c r="H309" s="2" t="s">
        <v>4550</v>
      </c>
    </row>
    <row r="310" spans="1:8" ht="75" customHeight="1">
      <c r="A310" s="2" t="s">
        <v>1967</v>
      </c>
      <c r="B310" s="2" t="s">
        <v>1967</v>
      </c>
      <c r="C310" s="2" t="s">
        <v>2042</v>
      </c>
      <c r="D310" s="2" t="s">
        <v>5383</v>
      </c>
      <c r="E310" s="2" t="s">
        <v>5384</v>
      </c>
      <c r="F310" s="2" t="s">
        <v>5385</v>
      </c>
      <c r="G310" s="2" t="e">
        <f ca="1">_xludf.IMAGE("https://drive.google.com/uc?export=view&amp;id=1vOluIXjE5NRarNF_hEn2X5CwkSbwGCox", 1)</f>
        <v>#NAME?</v>
      </c>
    </row>
    <row r="311" spans="1:8" ht="75" customHeight="1">
      <c r="A311" s="2" t="s">
        <v>2052</v>
      </c>
      <c r="B311" s="2" t="s">
        <v>2052</v>
      </c>
      <c r="C311" s="2" t="s">
        <v>2049</v>
      </c>
      <c r="D311" s="2" t="s">
        <v>5386</v>
      </c>
      <c r="E311" s="2" t="s">
        <v>5387</v>
      </c>
      <c r="F311" s="2" t="s">
        <v>5388</v>
      </c>
      <c r="G311" s="2" t="e">
        <f ca="1">_xludf.IMAGE("https://drive.google.com/uc?export=view&amp;id=1uKuaUnkT11jgC49v4uzIMvwdrbMgKkXl", 1)</f>
        <v>#NAME?</v>
      </c>
      <c r="H311" s="2" t="s">
        <v>2052</v>
      </c>
    </row>
    <row r="312" spans="1:8" ht="75" customHeight="1">
      <c r="A312" s="2" t="s">
        <v>2059</v>
      </c>
      <c r="B312" s="2" t="s">
        <v>2059</v>
      </c>
      <c r="C312" s="2" t="s">
        <v>2056</v>
      </c>
      <c r="D312" s="2" t="s">
        <v>5389</v>
      </c>
      <c r="E312" s="2" t="s">
        <v>5390</v>
      </c>
      <c r="F312" s="2" t="s">
        <v>5391</v>
      </c>
      <c r="G312" s="2" t="e">
        <f ca="1">_xludf.IMAGE("https://drive.google.com/uc?export=view&amp;id=1BgAdzePN691VfqR9bWUskVfdLgIN2e02", 1)</f>
        <v>#NAME?</v>
      </c>
    </row>
    <row r="313" spans="1:8" ht="75" customHeight="1">
      <c r="A313" s="2" t="s">
        <v>2064</v>
      </c>
      <c r="B313" s="2" t="s">
        <v>2065</v>
      </c>
      <c r="C313" s="2" t="s">
        <v>2063</v>
      </c>
      <c r="D313" s="2" t="s">
        <v>5392</v>
      </c>
      <c r="E313" s="2" t="s">
        <v>5393</v>
      </c>
      <c r="F313" s="2" t="s">
        <v>5394</v>
      </c>
      <c r="G313" s="2" t="e">
        <f ca="1">_xludf.IMAGE("https://drive.google.com/uc?export=view&amp;id=1EwXtl0JyWDJTgANNurhTTBSRU64YsD9j", 1)</f>
        <v>#NAME?</v>
      </c>
    </row>
    <row r="314" spans="1:8" ht="75" customHeight="1">
      <c r="A314" s="2" t="s">
        <v>2071</v>
      </c>
      <c r="B314" s="2" t="s">
        <v>2071</v>
      </c>
      <c r="C314" s="2" t="s">
        <v>2068</v>
      </c>
      <c r="D314" s="2" t="s">
        <v>5395</v>
      </c>
      <c r="E314" s="2" t="s">
        <v>5396</v>
      </c>
      <c r="F314" s="2" t="s">
        <v>5397</v>
      </c>
      <c r="G314" s="2" t="e">
        <f ca="1">_xludf.IMAGE("https://drive.google.com/uc?export=view&amp;id=1RSujvN2nviM9BlVczG5LM2wyFPl4sjoz", 1)</f>
        <v>#NAME?</v>
      </c>
    </row>
    <row r="315" spans="1:8" ht="75" customHeight="1">
      <c r="A315" s="2" t="s">
        <v>2074</v>
      </c>
      <c r="B315" s="2" t="s">
        <v>2074</v>
      </c>
      <c r="C315" s="2" t="s">
        <v>2073</v>
      </c>
      <c r="D315" s="2" t="s">
        <v>5398</v>
      </c>
      <c r="E315" s="2" t="s">
        <v>5399</v>
      </c>
      <c r="F315" s="2" t="s">
        <v>5400</v>
      </c>
      <c r="G315" s="2" t="e">
        <f ca="1">_xludf.IMAGE("https://drive.google.com/uc?export=view&amp;id=1L6BfnIGccqiF-jnYg1WXVmwhRi2XhV-Z", 1)</f>
        <v>#NAME?</v>
      </c>
    </row>
    <row r="316" spans="1:8" ht="75" customHeight="1">
      <c r="A316" s="2" t="s">
        <v>2077</v>
      </c>
      <c r="B316" s="2" t="s">
        <v>2077</v>
      </c>
      <c r="C316" s="2" t="s">
        <v>2075</v>
      </c>
      <c r="D316" s="2" t="s">
        <v>5401</v>
      </c>
      <c r="E316" s="2" t="s">
        <v>5402</v>
      </c>
      <c r="F316" s="2" t="s">
        <v>5403</v>
      </c>
      <c r="G316" s="2" t="e">
        <f ca="1">_xludf.IMAGE("https://drive.google.com/uc?export=view&amp;id=1oUfibuF2wZiR7IxmDZcaOQSbJQ_cNy4v", 1)</f>
        <v>#NAME?</v>
      </c>
      <c r="H316" s="2" t="s">
        <v>4550</v>
      </c>
    </row>
    <row r="317" spans="1:8" ht="75" customHeight="1">
      <c r="A317" s="2" t="s">
        <v>2080</v>
      </c>
      <c r="B317" s="2" t="s">
        <v>2081</v>
      </c>
      <c r="C317" s="2" t="s">
        <v>2079</v>
      </c>
      <c r="D317" s="2" t="s">
        <v>5404</v>
      </c>
      <c r="E317" s="2" t="s">
        <v>5405</v>
      </c>
      <c r="F317" s="2" t="s">
        <v>5406</v>
      </c>
      <c r="G317" s="2" t="e">
        <f ca="1">_xludf.IMAGE("https://drive.google.com/uc?export=view&amp;id=1DZYaPjbFy6EJG8WtrBVmjy1nJqHQG1Qw", 1)</f>
        <v>#NAME?</v>
      </c>
      <c r="H317" s="2" t="s">
        <v>2080</v>
      </c>
    </row>
    <row r="318" spans="1:8" ht="75" customHeight="1">
      <c r="A318" s="2" t="s">
        <v>2084</v>
      </c>
      <c r="B318" s="2" t="s">
        <v>2084</v>
      </c>
      <c r="C318" s="2" t="s">
        <v>2083</v>
      </c>
      <c r="D318" s="2" t="s">
        <v>5407</v>
      </c>
      <c r="E318" s="2" t="s">
        <v>5408</v>
      </c>
      <c r="F318" s="2" t="s">
        <v>5409</v>
      </c>
      <c r="G318" s="2" t="e">
        <f ca="1">_xludf.IMAGE("https://drive.google.com/uc?export=view&amp;id=1CcJIB_Y8bFkqCPLBnEzvtVRvJp_JIULZ", 1)</f>
        <v>#NAME?</v>
      </c>
    </row>
    <row r="319" spans="1:8" ht="75" customHeight="1">
      <c r="A319" s="2" t="s">
        <v>2088</v>
      </c>
      <c r="B319" s="2" t="s">
        <v>2088</v>
      </c>
      <c r="C319" s="2" t="s">
        <v>2086</v>
      </c>
      <c r="D319" s="2" t="s">
        <v>2659</v>
      </c>
      <c r="E319" s="2" t="s">
        <v>5410</v>
      </c>
      <c r="F319" s="2" t="s">
        <v>5411</v>
      </c>
      <c r="G319" s="2" t="e">
        <f ca="1">_xludf.IMAGE("https://drive.google.com/uc?export=view&amp;id=1w3ulEMBxq3Ijt_XI2Q4tw3XJHbPOSioB", 1)</f>
        <v>#NAME?</v>
      </c>
    </row>
    <row r="320" spans="1:8" ht="75" customHeight="1">
      <c r="A320" s="2" t="s">
        <v>2091</v>
      </c>
      <c r="B320" s="2" t="s">
        <v>2092</v>
      </c>
      <c r="C320" s="2" t="s">
        <v>2090</v>
      </c>
      <c r="D320" s="2" t="s">
        <v>5412</v>
      </c>
      <c r="E320" s="2" t="s">
        <v>5413</v>
      </c>
      <c r="F320" s="2" t="s">
        <v>5414</v>
      </c>
      <c r="G320" s="2" t="e">
        <f ca="1">_xludf.IMAGE("https://drive.google.com/uc?export=view&amp;id=1_vWUxygox7XJ3ogvVSM8nklVMnho8ahi", 1)</f>
        <v>#NAME?</v>
      </c>
      <c r="H320" s="2" t="s">
        <v>2091</v>
      </c>
    </row>
    <row r="321" spans="1:8" ht="75" customHeight="1">
      <c r="A321" s="2" t="s">
        <v>1739</v>
      </c>
      <c r="B321" s="2" t="s">
        <v>2096</v>
      </c>
      <c r="C321" s="2" t="s">
        <v>2094</v>
      </c>
      <c r="D321" s="2" t="s">
        <v>5415</v>
      </c>
      <c r="E321" s="2" t="s">
        <v>5416</v>
      </c>
      <c r="F321" s="2" t="s">
        <v>5417</v>
      </c>
      <c r="G321" s="2" t="e">
        <f ca="1">_xludf.IMAGE("https://drive.google.com/uc?export=view&amp;id=1_-30DMuNQKtOGbavFxcB39Wya6c80nTc", 1)</f>
        <v>#NAME?</v>
      </c>
      <c r="H321" s="2" t="s">
        <v>1739</v>
      </c>
    </row>
    <row r="322" spans="1:8" ht="75" customHeight="1">
      <c r="A322" s="2" t="s">
        <v>2103</v>
      </c>
      <c r="B322" s="2" t="s">
        <v>2104</v>
      </c>
      <c r="C322" s="2" t="s">
        <v>2101</v>
      </c>
      <c r="D322" s="2" t="s">
        <v>5418</v>
      </c>
      <c r="E322" s="2" t="s">
        <v>5419</v>
      </c>
      <c r="F322" s="2" t="s">
        <v>5420</v>
      </c>
      <c r="G322" s="2" t="e">
        <f ca="1">_xludf.IMAGE("https://drive.google.com/uc?export=view&amp;id=1zIoJrnFIPX6kZhGgVomelezXWbybbinO", 1)</f>
        <v>#NAME?</v>
      </c>
      <c r="H322" s="2" t="s">
        <v>4550</v>
      </c>
    </row>
    <row r="323" spans="1:8" ht="75" customHeight="1">
      <c r="A323" s="2" t="s">
        <v>2109</v>
      </c>
      <c r="B323" s="2" t="s">
        <v>2109</v>
      </c>
      <c r="C323" s="2" t="s">
        <v>2106</v>
      </c>
      <c r="D323" s="2" t="s">
        <v>5421</v>
      </c>
      <c r="E323" s="2" t="s">
        <v>5422</v>
      </c>
      <c r="F323" s="2" t="s">
        <v>5423</v>
      </c>
      <c r="G323" s="2" t="e">
        <f ca="1">_xludf.IMAGE("https://drive.google.com/uc?export=view&amp;id=1vZIYbE2Kq48XLfnp95BDo2BMt4GbEbUP", 1)</f>
        <v>#NAME?</v>
      </c>
      <c r="H323" s="2" t="s">
        <v>5424</v>
      </c>
    </row>
    <row r="324" spans="1:8" ht="75" customHeight="1">
      <c r="A324" s="2" t="s">
        <v>2115</v>
      </c>
      <c r="B324" s="2" t="s">
        <v>2115</v>
      </c>
      <c r="C324" s="2" t="s">
        <v>2114</v>
      </c>
      <c r="D324" s="2" t="s">
        <v>5425</v>
      </c>
      <c r="E324" s="2" t="s">
        <v>5426</v>
      </c>
      <c r="F324" s="2" t="s">
        <v>5427</v>
      </c>
      <c r="G324" s="2" t="e">
        <f ca="1">_xludf.IMAGE("https://drive.google.com/uc?export=view&amp;id=1cj1NloIYGD-Qn2wTPoPrOYTHpBiEoCQz", 1)</f>
        <v>#NAME?</v>
      </c>
    </row>
    <row r="325" spans="1:8" ht="75" customHeight="1">
      <c r="A325" s="2" t="s">
        <v>2118</v>
      </c>
      <c r="B325" s="2" t="s">
        <v>2118</v>
      </c>
      <c r="C325" s="2" t="s">
        <v>2116</v>
      </c>
      <c r="D325" s="2" t="s">
        <v>5428</v>
      </c>
      <c r="E325" s="2" t="s">
        <v>5429</v>
      </c>
      <c r="F325" s="2" t="s">
        <v>5430</v>
      </c>
      <c r="G325" s="2" t="e">
        <f ca="1">_xludf.IMAGE("https://drive.google.com/uc?export=view&amp;id=1HFr1RhWVgLtHvsv2Gt2AxEqogqJ7BgEv", 1)</f>
        <v>#NAME?</v>
      </c>
      <c r="H325" s="2" t="s">
        <v>185</v>
      </c>
    </row>
    <row r="326" spans="1:8" ht="75" customHeight="1">
      <c r="A326" s="2" t="s">
        <v>2121</v>
      </c>
      <c r="B326" s="2" t="s">
        <v>2122</v>
      </c>
      <c r="C326" s="2" t="s">
        <v>2120</v>
      </c>
      <c r="D326" s="2" t="s">
        <v>5431</v>
      </c>
      <c r="E326" s="2" t="s">
        <v>5432</v>
      </c>
      <c r="F326" s="2" t="s">
        <v>5433</v>
      </c>
      <c r="G326" s="2" t="e">
        <f ca="1">_xludf.IMAGE("https://drive.google.com/uc?export=view&amp;id=1z3aH5T2u6ff-OKX0EyRh9vx3xNxV5yFP", 1)</f>
        <v>#NAME?</v>
      </c>
      <c r="H326" s="2" t="s">
        <v>2121</v>
      </c>
    </row>
    <row r="327" spans="1:8" ht="75" customHeight="1">
      <c r="A327" s="2" t="s">
        <v>2125</v>
      </c>
      <c r="B327" s="2" t="s">
        <v>2125</v>
      </c>
      <c r="C327" s="2" t="s">
        <v>2124</v>
      </c>
      <c r="D327" s="2" t="s">
        <v>5434</v>
      </c>
      <c r="E327" s="2" t="s">
        <v>5435</v>
      </c>
      <c r="F327" s="2" t="s">
        <v>5436</v>
      </c>
      <c r="G327" s="2" t="e">
        <f ca="1">_xludf.IMAGE("https://drive.google.com/uc?export=view&amp;id=1Ir0EN4z25Ci-PfQAdjJpO6xVgF0eCSgQ", 1)</f>
        <v>#NAME?</v>
      </c>
    </row>
    <row r="328" spans="1:8" ht="75" customHeight="1">
      <c r="A328" s="2" t="s">
        <v>2128</v>
      </c>
      <c r="B328" s="2" t="s">
        <v>2129</v>
      </c>
      <c r="C328" s="2" t="s">
        <v>2126</v>
      </c>
      <c r="D328" s="2" t="s">
        <v>5437</v>
      </c>
      <c r="E328" s="2" t="s">
        <v>5438</v>
      </c>
      <c r="F328" s="2" t="s">
        <v>5439</v>
      </c>
      <c r="G328" s="2" t="e">
        <f ca="1">_xludf.IMAGE("https://drive.google.com/uc?export=view&amp;id=1ilLlZdLM-uxH0vSUEayooOoars1NvjUu", 1)</f>
        <v>#NAME?</v>
      </c>
      <c r="H328" s="2" t="s">
        <v>2128</v>
      </c>
    </row>
    <row r="329" spans="1:8" ht="75" customHeight="1">
      <c r="A329" s="2" t="s">
        <v>2136</v>
      </c>
      <c r="B329" s="2" t="s">
        <v>2136</v>
      </c>
      <c r="C329" s="2" t="s">
        <v>2135</v>
      </c>
      <c r="D329" s="2" t="s">
        <v>5440</v>
      </c>
      <c r="E329" s="2" t="s">
        <v>5441</v>
      </c>
      <c r="F329" s="2" t="s">
        <v>5442</v>
      </c>
      <c r="G329" s="2" t="e">
        <f ca="1">_xludf.IMAGE("https://drive.google.com/uc?export=view&amp;id=1fbrhquuyFp8heACszIBHTgVODtIAlB71", 1)</f>
        <v>#NAME?</v>
      </c>
    </row>
    <row r="330" spans="1:8" ht="75" customHeight="1">
      <c r="A330" s="2" t="s">
        <v>2138</v>
      </c>
      <c r="B330" s="2" t="s">
        <v>2138</v>
      </c>
      <c r="C330" s="2" t="s">
        <v>2137</v>
      </c>
      <c r="D330" s="2" t="s">
        <v>5443</v>
      </c>
      <c r="E330" s="2" t="s">
        <v>5444</v>
      </c>
      <c r="F330" s="2" t="s">
        <v>5445</v>
      </c>
      <c r="G330" s="2" t="e">
        <f ca="1">_xludf.IMAGE("https://drive.google.com/uc?export=view&amp;id=13B32yspj_cKkpfbuxi7sjq6kPaxoBe1u", 1)</f>
        <v>#NAME?</v>
      </c>
    </row>
    <row r="331" spans="1:8" ht="75" customHeight="1">
      <c r="A331" s="2" t="s">
        <v>2143</v>
      </c>
      <c r="B331" s="2" t="s">
        <v>2144</v>
      </c>
      <c r="C331" s="2" t="s">
        <v>2141</v>
      </c>
      <c r="D331" s="2" t="s">
        <v>5446</v>
      </c>
      <c r="E331" s="2" t="s">
        <v>5447</v>
      </c>
      <c r="F331" s="2" t="s">
        <v>5448</v>
      </c>
      <c r="G331" s="2" t="e">
        <f ca="1">_xludf.IMAGE("https://drive.google.com/uc?export=view&amp;id=1BNEc5B7vW98x0KnvXL7AEUmaP9hydpH3", 1)</f>
        <v>#NAME?</v>
      </c>
      <c r="H331" s="2" t="s">
        <v>5449</v>
      </c>
    </row>
    <row r="332" spans="1:8" ht="75" customHeight="1">
      <c r="A332" s="2" t="s">
        <v>2149</v>
      </c>
      <c r="B332" s="2" t="s">
        <v>2150</v>
      </c>
      <c r="C332" s="2" t="s">
        <v>2148</v>
      </c>
      <c r="D332" s="2" t="s">
        <v>5450</v>
      </c>
      <c r="E332" s="2" t="s">
        <v>5451</v>
      </c>
      <c r="F332" s="2" t="s">
        <v>5452</v>
      </c>
      <c r="G332" s="2" t="e">
        <f ca="1">_xludf.IMAGE("https://drive.google.com/uc?export=view&amp;id=17R-SNAhcvUB23ciKe6Rvi3nrzw5B_Pos", 1)</f>
        <v>#NAME?</v>
      </c>
    </row>
    <row r="333" spans="1:8" ht="75" customHeight="1">
      <c r="A333" s="2" t="s">
        <v>2154</v>
      </c>
      <c r="B333" s="2" t="s">
        <v>2154</v>
      </c>
      <c r="C333" s="2" t="s">
        <v>2152</v>
      </c>
      <c r="D333" s="2" t="s">
        <v>5453</v>
      </c>
      <c r="E333" s="2" t="s">
        <v>5454</v>
      </c>
      <c r="F333" s="2" t="s">
        <v>5455</v>
      </c>
      <c r="G333" s="2" t="e">
        <f ca="1">_xludf.IMAGE("https://drive.google.com/uc?export=view&amp;id=1gdR2qNR5MbA7qcvGQkBTtfN9BVi8I-vF", 1)</f>
        <v>#NAME?</v>
      </c>
      <c r="H333" s="2" t="s">
        <v>185</v>
      </c>
    </row>
    <row r="334" spans="1:8" ht="75" customHeight="1">
      <c r="A334" s="2" t="s">
        <v>2160</v>
      </c>
      <c r="B334" s="2" t="s">
        <v>2161</v>
      </c>
      <c r="C334" s="2" t="s">
        <v>2157</v>
      </c>
      <c r="D334" s="2" t="s">
        <v>5456</v>
      </c>
      <c r="E334" s="2" t="s">
        <v>5457</v>
      </c>
      <c r="F334" s="2" t="s">
        <v>5458</v>
      </c>
      <c r="G334" s="2" t="e">
        <f ca="1">_xludf.IMAGE("https://drive.google.com/uc?export=view&amp;id=1nEJbLYv1B7kM6TA9h4zuv2LA29j1aWbc", 1)</f>
        <v>#NAME?</v>
      </c>
      <c r="H334" s="2" t="s">
        <v>5459</v>
      </c>
    </row>
    <row r="335" spans="1:8" ht="75" customHeight="1">
      <c r="A335" s="2" t="s">
        <v>2165</v>
      </c>
      <c r="B335" s="2" t="s">
        <v>2165</v>
      </c>
      <c r="C335" s="2" t="s">
        <v>2164</v>
      </c>
      <c r="D335" s="2" t="s">
        <v>5460</v>
      </c>
      <c r="E335" s="2" t="s">
        <v>5461</v>
      </c>
      <c r="F335" s="2" t="s">
        <v>5462</v>
      </c>
      <c r="G335" s="2" t="e">
        <f ca="1">_xludf.IMAGE("https://drive.google.com/uc?export=view&amp;id=1wxKhOsDPSdSP3DQDhGheroURUEYjxC7H", 1)</f>
        <v>#NAME?</v>
      </c>
    </row>
    <row r="336" spans="1:8" ht="75" customHeight="1">
      <c r="A336" s="2" t="s">
        <v>2168</v>
      </c>
      <c r="B336" s="2" t="s">
        <v>2168</v>
      </c>
      <c r="C336" s="2" t="s">
        <v>2166</v>
      </c>
      <c r="D336" s="2" t="s">
        <v>5463</v>
      </c>
      <c r="E336" s="2" t="s">
        <v>5464</v>
      </c>
      <c r="F336" s="2" t="s">
        <v>5465</v>
      </c>
      <c r="G336" s="2" t="e">
        <f ca="1">_xludf.IMAGE("https://drive.google.com/uc?export=view&amp;id=14wy8SXT0p5MQTqGw6NuSZxqR-hZadjwD", 1)</f>
        <v>#NAME?</v>
      </c>
      <c r="H336" s="2" t="s">
        <v>4550</v>
      </c>
    </row>
    <row r="337" spans="1:8" ht="75" customHeight="1">
      <c r="A337" s="2" t="s">
        <v>2174</v>
      </c>
      <c r="B337" s="2" t="s">
        <v>2174</v>
      </c>
      <c r="C337" s="2" t="s">
        <v>2171</v>
      </c>
      <c r="D337" s="2" t="s">
        <v>5466</v>
      </c>
      <c r="E337" s="2" t="s">
        <v>5467</v>
      </c>
      <c r="F337" s="2" t="s">
        <v>5468</v>
      </c>
      <c r="G337" s="2" t="e">
        <f ca="1">_xludf.IMAGE("https://drive.google.com/uc?export=view&amp;id=16JXVYe_QWzM_MT_KSCTVFrHgCJxumWn8", 1)</f>
        <v>#NAME?</v>
      </c>
    </row>
    <row r="338" spans="1:8" ht="75" customHeight="1">
      <c r="A338" s="2" t="s">
        <v>2182</v>
      </c>
      <c r="B338" s="2" t="s">
        <v>2182</v>
      </c>
      <c r="C338" s="2" t="s">
        <v>2179</v>
      </c>
      <c r="D338" s="2" t="s">
        <v>5469</v>
      </c>
      <c r="E338" s="2" t="s">
        <v>5470</v>
      </c>
      <c r="F338" s="2" t="s">
        <v>5471</v>
      </c>
      <c r="G338" s="2" t="e">
        <f ca="1">_xludf.IMAGE("https://drive.google.com/uc?export=view&amp;id=1PzeFtRhzQSIv0Bw0JGK-ftUJo_iiLaQ0", 1)</f>
        <v>#NAME?</v>
      </c>
      <c r="H338" s="2" t="s">
        <v>2182</v>
      </c>
    </row>
    <row r="339" spans="1:8" ht="75" customHeight="1">
      <c r="A339" s="2" t="s">
        <v>2190</v>
      </c>
      <c r="B339" s="2" t="s">
        <v>2190</v>
      </c>
      <c r="C339" s="2" t="s">
        <v>2189</v>
      </c>
      <c r="D339" s="2" t="s">
        <v>5472</v>
      </c>
      <c r="E339" s="2" t="s">
        <v>5473</v>
      </c>
      <c r="F339" s="2" t="s">
        <v>5474</v>
      </c>
      <c r="G339" s="2" t="e">
        <f ca="1">_xludf.IMAGE("https://drive.google.com/uc?export=view&amp;id=1OajbdoWJa-gzRwkDnLMnw6Mi366N-hyI", 1)</f>
        <v>#NAME?</v>
      </c>
    </row>
    <row r="340" spans="1:8" ht="75" customHeight="1">
      <c r="A340" s="2" t="s">
        <v>2193</v>
      </c>
      <c r="B340" s="2" t="s">
        <v>2193</v>
      </c>
      <c r="C340" s="2" t="s">
        <v>2191</v>
      </c>
      <c r="D340" s="2" t="s">
        <v>5475</v>
      </c>
      <c r="E340" s="2" t="s">
        <v>5476</v>
      </c>
      <c r="F340" s="2" t="s">
        <v>5477</v>
      </c>
      <c r="G340" s="2" t="e">
        <f ca="1">_xludf.IMAGE("https://drive.google.com/uc?export=view&amp;id=1MQA81PlWczzBUMf1bkW-f0oyDlj7tAXV", 1)</f>
        <v>#NAME?</v>
      </c>
      <c r="H340" s="2" t="s">
        <v>185</v>
      </c>
    </row>
    <row r="341" spans="1:8" ht="75" customHeight="1">
      <c r="A341" s="2" t="s">
        <v>2198</v>
      </c>
      <c r="B341" s="2" t="s">
        <v>2198</v>
      </c>
      <c r="C341" s="2" t="s">
        <v>2195</v>
      </c>
      <c r="D341" s="2" t="s">
        <v>5478</v>
      </c>
      <c r="E341" s="2" t="s">
        <v>5479</v>
      </c>
      <c r="F341" s="2" t="s">
        <v>5480</v>
      </c>
      <c r="G341" s="2" t="e">
        <f ca="1">_xludf.IMAGE("https://drive.google.com/uc?export=view&amp;id=1SOjxoiR2xPcjfELioATG7Lgqgt-LNzvm", 1)</f>
        <v>#NAME?</v>
      </c>
    </row>
    <row r="342" spans="1:8" ht="75" customHeight="1">
      <c r="A342" s="2" t="s">
        <v>2206</v>
      </c>
      <c r="B342" s="2" t="s">
        <v>2206</v>
      </c>
      <c r="C342" s="2" t="s">
        <v>2203</v>
      </c>
      <c r="D342" s="2" t="s">
        <v>5481</v>
      </c>
      <c r="E342" s="2" t="s">
        <v>5482</v>
      </c>
      <c r="F342" s="2" t="s">
        <v>5483</v>
      </c>
      <c r="G342" s="2" t="e">
        <f ca="1">_xludf.IMAGE("https://drive.google.com/uc?export=view&amp;id=1IfbKaKzgAlwust278AC9ChZ1Qcn__Q5O", 1)</f>
        <v>#NAME?</v>
      </c>
    </row>
    <row r="343" spans="1:8" ht="75" customHeight="1">
      <c r="A343" s="2" t="s">
        <v>2206</v>
      </c>
      <c r="B343" s="2" t="s">
        <v>2206</v>
      </c>
      <c r="C343" s="2" t="s">
        <v>2203</v>
      </c>
      <c r="D343" s="2" t="s">
        <v>5484</v>
      </c>
      <c r="E343" s="2" t="s">
        <v>5485</v>
      </c>
      <c r="F343" s="2" t="s">
        <v>5486</v>
      </c>
      <c r="G343" s="2" t="e">
        <f ca="1">_xludf.IMAGE("https://drive.google.com/uc?export=view&amp;id=1HNDSvRpTT9fHyP-YN0sS6dpBbjxxvy88", 1)</f>
        <v>#NAME?</v>
      </c>
    </row>
    <row r="344" spans="1:8" ht="75" customHeight="1">
      <c r="A344" s="2" t="s">
        <v>2210</v>
      </c>
      <c r="B344" s="2" t="s">
        <v>2210</v>
      </c>
      <c r="C344" s="2" t="s">
        <v>2209</v>
      </c>
      <c r="D344" s="2" t="s">
        <v>5487</v>
      </c>
      <c r="E344" s="2" t="s">
        <v>5488</v>
      </c>
      <c r="F344" s="2" t="s">
        <v>5489</v>
      </c>
      <c r="G344" s="2" t="e">
        <f ca="1">_xludf.IMAGE("https://drive.google.com/uc?export=view&amp;id=1uk9nTIgjGbTP0tJL5G6DmNG7ta9q_GnX", 1)</f>
        <v>#NAME?</v>
      </c>
      <c r="H344" s="2" t="s">
        <v>2210</v>
      </c>
    </row>
    <row r="345" spans="1:8" ht="75" customHeight="1">
      <c r="A345" s="2" t="s">
        <v>2215</v>
      </c>
      <c r="B345" s="2" t="s">
        <v>2216</v>
      </c>
      <c r="C345" s="2" t="s">
        <v>2212</v>
      </c>
      <c r="D345" s="2" t="s">
        <v>5490</v>
      </c>
      <c r="E345" s="2" t="s">
        <v>5491</v>
      </c>
      <c r="F345" s="2" t="s">
        <v>5492</v>
      </c>
      <c r="G345" s="2" t="e">
        <f ca="1">_xludf.IMAGE("https://drive.google.com/uc?export=view&amp;id=1RExUY0qqm_IYXVg8cGWP4UUytysxV_wG", 1)</f>
        <v>#NAME?</v>
      </c>
      <c r="H345" s="2" t="s">
        <v>5493</v>
      </c>
    </row>
    <row r="346" spans="1:8" ht="75" customHeight="1">
      <c r="A346" s="2" t="s">
        <v>2224</v>
      </c>
      <c r="B346" s="2" t="s">
        <v>2225</v>
      </c>
      <c r="C346" s="2" t="s">
        <v>2222</v>
      </c>
      <c r="D346" s="2" t="s">
        <v>5494</v>
      </c>
      <c r="E346" s="2" t="s">
        <v>5495</v>
      </c>
      <c r="F346" s="2" t="s">
        <v>5496</v>
      </c>
      <c r="G346" s="2" t="e">
        <f ca="1">_xludf.IMAGE("https://drive.google.com/uc?export=view&amp;id=1o1ZLM0tVQdCi9xCiamMz9if-PKPpV1_L", 1)</f>
        <v>#NAME?</v>
      </c>
      <c r="H346" s="2" t="s">
        <v>4550</v>
      </c>
    </row>
    <row r="347" spans="1:8" ht="75" customHeight="1">
      <c r="A347" s="2" t="s">
        <v>2227</v>
      </c>
      <c r="B347" s="2" t="s">
        <v>2227</v>
      </c>
      <c r="C347" s="2" t="s">
        <v>2226</v>
      </c>
      <c r="D347" s="2" t="s">
        <v>5497</v>
      </c>
      <c r="E347" s="2" t="s">
        <v>5498</v>
      </c>
      <c r="F347" s="2" t="s">
        <v>5499</v>
      </c>
      <c r="G347" s="2" t="e">
        <f ca="1">_xludf.IMAGE("https://drive.google.com/uc?export=view&amp;id=1uvzq9gJo7kgQG0_e9kd3vwX7c6xSkA6B", 1)</f>
        <v>#NAME?</v>
      </c>
    </row>
    <row r="348" spans="1:8" ht="75" customHeight="1">
      <c r="A348" s="2" t="s">
        <v>2229</v>
      </c>
      <c r="B348" s="2" t="s">
        <v>2230</v>
      </c>
      <c r="C348" s="2" t="s">
        <v>2228</v>
      </c>
      <c r="D348" s="2" t="s">
        <v>5500</v>
      </c>
      <c r="E348" s="2" t="s">
        <v>5501</v>
      </c>
      <c r="F348" s="2" t="s">
        <v>5502</v>
      </c>
      <c r="G348" s="2" t="e">
        <f ca="1">_xludf.IMAGE("https://drive.google.com/uc?export=view&amp;id=1-VTk0KRhP8eMQeIQH0-86yI8Vc2M_G5q", 1)</f>
        <v>#NAME?</v>
      </c>
      <c r="H348" s="2" t="s">
        <v>2230</v>
      </c>
    </row>
    <row r="349" spans="1:8" ht="75" customHeight="1">
      <c r="A349" s="2" t="s">
        <v>2233</v>
      </c>
      <c r="B349" s="2" t="s">
        <v>2233</v>
      </c>
      <c r="C349" s="2" t="s">
        <v>2232</v>
      </c>
      <c r="D349" s="2" t="s">
        <v>5503</v>
      </c>
      <c r="E349" s="2" t="s">
        <v>5504</v>
      </c>
      <c r="F349" s="2" t="s">
        <v>5505</v>
      </c>
      <c r="G349" s="2" t="e">
        <f ca="1">_xludf.IMAGE("https://drive.google.com/uc?export=view&amp;id=1oHGGOdNOCNVLpG64qk7mya5y3tEan1yc", 1)</f>
        <v>#NAME?</v>
      </c>
    </row>
    <row r="350" spans="1:8" ht="75" customHeight="1">
      <c r="A350" s="2" t="s">
        <v>2236</v>
      </c>
      <c r="B350" s="2" t="s">
        <v>2236</v>
      </c>
      <c r="C350" s="2" t="s">
        <v>2234</v>
      </c>
      <c r="D350" s="2" t="s">
        <v>5506</v>
      </c>
      <c r="E350" s="2" t="s">
        <v>5507</v>
      </c>
      <c r="F350" s="2" t="s">
        <v>5508</v>
      </c>
      <c r="G350" s="2" t="e">
        <f ca="1">_xludf.IMAGE("https://drive.google.com/uc?export=view&amp;id=1xYRN_VzE1ge-zfSy-FDSQEQilx0voFdn", 1)</f>
        <v>#NAME?</v>
      </c>
    </row>
    <row r="351" spans="1:8" ht="75" customHeight="1">
      <c r="A351" s="2" t="s">
        <v>2243</v>
      </c>
      <c r="B351" s="2" t="s">
        <v>2243</v>
      </c>
      <c r="C351" s="2" t="s">
        <v>2241</v>
      </c>
      <c r="D351" s="2" t="s">
        <v>2663</v>
      </c>
      <c r="E351" s="2" t="s">
        <v>5509</v>
      </c>
      <c r="F351" s="2" t="s">
        <v>5510</v>
      </c>
      <c r="G351" s="2" t="e">
        <f ca="1">_xludf.IMAGE("https://drive.google.com/uc?export=view&amp;id=1aGloT2p9W3KYt2ZFRd4PtARolz6mMIk0", 1)</f>
        <v>#NAME?</v>
      </c>
    </row>
    <row r="352" spans="1:8" ht="75" customHeight="1">
      <c r="A352" s="2" t="s">
        <v>2243</v>
      </c>
      <c r="B352" s="2" t="s">
        <v>2243</v>
      </c>
      <c r="C352" s="2" t="s">
        <v>2241</v>
      </c>
      <c r="D352" s="2" t="s">
        <v>2664</v>
      </c>
      <c r="E352" s="2" t="s">
        <v>5511</v>
      </c>
      <c r="F352" s="2" t="s">
        <v>5512</v>
      </c>
      <c r="G352" s="2" t="e">
        <f ca="1">_xludf.IMAGE("https://drive.google.com/uc?export=view&amp;id=1ulaHgYwZOJE8BVGYuUukhYe3ZWxpraqv", 1)</f>
        <v>#NAME?</v>
      </c>
    </row>
    <row r="353" spans="1:8" ht="75" customHeight="1">
      <c r="A353" s="2" t="s">
        <v>2249</v>
      </c>
      <c r="B353" s="2" t="s">
        <v>2249</v>
      </c>
      <c r="C353" s="2" t="s">
        <v>2247</v>
      </c>
      <c r="D353" s="2" t="s">
        <v>5513</v>
      </c>
      <c r="E353" s="2" t="s">
        <v>5514</v>
      </c>
      <c r="F353" s="2" t="s">
        <v>5515</v>
      </c>
      <c r="G353" s="2" t="e">
        <f ca="1">_xludf.IMAGE("https://drive.google.com/uc?export=view&amp;id=1k2V_zfDpiwrc1IRiO9n0yvLOV-n7ry9y", 1)</f>
        <v>#NAME?</v>
      </c>
      <c r="H353" s="2" t="s">
        <v>5516</v>
      </c>
    </row>
    <row r="354" spans="1:8" ht="75" customHeight="1">
      <c r="A354" s="2" t="s">
        <v>2256</v>
      </c>
      <c r="B354" s="2" t="s">
        <v>2257</v>
      </c>
      <c r="C354" s="2" t="s">
        <v>2254</v>
      </c>
      <c r="D354" s="2" t="s">
        <v>5517</v>
      </c>
      <c r="E354" s="2" t="s">
        <v>5518</v>
      </c>
      <c r="F354" s="2" t="s">
        <v>5519</v>
      </c>
      <c r="G354" s="2" t="e">
        <f ca="1">_xludf.IMAGE("https://drive.google.com/uc?export=view&amp;id=1NSpXZ_OJ6YkP4aE7U8jgqG1u6RmM-hHr", 1)</f>
        <v>#NAME?</v>
      </c>
      <c r="H354" s="2" t="s">
        <v>4550</v>
      </c>
    </row>
    <row r="355" spans="1:8" ht="75" customHeight="1">
      <c r="A355" s="2" t="s">
        <v>2261</v>
      </c>
      <c r="B355" s="2" t="s">
        <v>2261</v>
      </c>
      <c r="C355" s="2" t="s">
        <v>2260</v>
      </c>
      <c r="D355" s="2" t="s">
        <v>5520</v>
      </c>
      <c r="E355" s="2" t="s">
        <v>5521</v>
      </c>
      <c r="F355" s="2" t="s">
        <v>5522</v>
      </c>
      <c r="G355" s="2" t="e">
        <f ca="1">_xludf.IMAGE("https://drive.google.com/uc?export=view&amp;id=1dv9zpnOl7Gor3C9wmlsIy4mF912Ce-S_", 1)</f>
        <v>#NAME?</v>
      </c>
    </row>
    <row r="356" spans="1:8" ht="75" customHeight="1">
      <c r="A356" s="2" t="s">
        <v>2265</v>
      </c>
      <c r="B356" s="2" t="s">
        <v>2266</v>
      </c>
      <c r="C356" s="2" t="s">
        <v>2263</v>
      </c>
      <c r="D356" s="2" t="s">
        <v>5523</v>
      </c>
      <c r="E356" s="2" t="s">
        <v>5524</v>
      </c>
      <c r="F356" s="2" t="s">
        <v>5525</v>
      </c>
      <c r="G356" s="2" t="e">
        <f ca="1">_xludf.IMAGE("https://drive.google.com/uc?export=view&amp;id=1PbJHuP_e_07FI2niah8kKE6ft6dzUgHt", 1)</f>
        <v>#NAME?</v>
      </c>
    </row>
    <row r="357" spans="1:8" ht="75" customHeight="1">
      <c r="A357" s="2" t="s">
        <v>2275</v>
      </c>
      <c r="B357" s="2" t="s">
        <v>2275</v>
      </c>
      <c r="C357" s="2" t="s">
        <v>2271</v>
      </c>
      <c r="D357" s="2" t="s">
        <v>2669</v>
      </c>
      <c r="E357" s="2" t="s">
        <v>5526</v>
      </c>
      <c r="F357" s="2" t="s">
        <v>5527</v>
      </c>
      <c r="G357" s="2" t="e">
        <f ca="1">_xludf.IMAGE("https://drive.google.com/uc?export=view&amp;id=1cknQzkNg5n_qaqQ1zm364gyTKwhjld_G", 1)</f>
        <v>#NAME?</v>
      </c>
    </row>
    <row r="358" spans="1:8" ht="75" customHeight="1">
      <c r="A358" s="2" t="s">
        <v>2280</v>
      </c>
      <c r="B358" s="2" t="s">
        <v>2281</v>
      </c>
      <c r="C358" s="2" t="s">
        <v>2277</v>
      </c>
      <c r="D358" s="2" t="s">
        <v>5528</v>
      </c>
      <c r="E358" s="2" t="s">
        <v>5529</v>
      </c>
      <c r="F358" s="2" t="s">
        <v>5530</v>
      </c>
      <c r="G358" s="2" t="e">
        <f ca="1">_xludf.IMAGE("https://drive.google.com/uc?export=view&amp;id=1Kwg9QS1tmqy7auj7SuUzvcBsvYZdRbWi", 1)</f>
        <v>#NAME?</v>
      </c>
      <c r="H358" s="2" t="s">
        <v>5531</v>
      </c>
    </row>
    <row r="359" spans="1:8" ht="75" customHeight="1">
      <c r="A359" s="2" t="s">
        <v>2288</v>
      </c>
      <c r="B359" s="2" t="s">
        <v>2289</v>
      </c>
      <c r="C359" s="2" t="s">
        <v>2285</v>
      </c>
      <c r="D359" s="2" t="s">
        <v>5532</v>
      </c>
      <c r="E359" s="2" t="s">
        <v>5533</v>
      </c>
      <c r="F359" s="2" t="s">
        <v>5534</v>
      </c>
      <c r="G359" s="2" t="e">
        <f ca="1">_xludf.IMAGE("https://drive.google.com/uc?export=view&amp;id=1DUb2GWUPlr-y91pabpoIJpDc5Bu_B4qy", 1)</f>
        <v>#NAME?</v>
      </c>
    </row>
    <row r="360" spans="1:8" ht="75" customHeight="1">
      <c r="A360" s="2" t="s">
        <v>2295</v>
      </c>
      <c r="B360" s="2" t="s">
        <v>2295</v>
      </c>
      <c r="C360" s="2" t="s">
        <v>2293</v>
      </c>
      <c r="D360" s="2" t="s">
        <v>5535</v>
      </c>
      <c r="E360" s="2" t="s">
        <v>5536</v>
      </c>
      <c r="F360" s="2" t="s">
        <v>5537</v>
      </c>
      <c r="G360" s="2" t="e">
        <f ca="1">_xludf.IMAGE("https://drive.google.com/uc?export=view&amp;id=1TVeD1ldGYQx6kUtTqMCbeeXcsoq5fcO2", 1)</f>
        <v>#NAME?</v>
      </c>
    </row>
    <row r="361" spans="1:8" ht="75" customHeight="1">
      <c r="A361" s="2" t="s">
        <v>2299</v>
      </c>
      <c r="B361" s="2" t="s">
        <v>2299</v>
      </c>
      <c r="C361" s="2" t="s">
        <v>2296</v>
      </c>
      <c r="D361" s="2" t="s">
        <v>5538</v>
      </c>
      <c r="E361" s="2" t="s">
        <v>5539</v>
      </c>
      <c r="F361" s="2" t="s">
        <v>5540</v>
      </c>
      <c r="G361" s="2" t="e">
        <f ca="1">_xludf.IMAGE("https://drive.google.com/uc?export=view&amp;id=1n49-dmVNHyXkSaFUUFyWorVu-2iDZxtZ", 1)</f>
        <v>#NAME?</v>
      </c>
      <c r="H361" s="2" t="s">
        <v>185</v>
      </c>
    </row>
    <row r="362" spans="1:8" ht="75" customHeight="1">
      <c r="A362" s="2" t="s">
        <v>2309</v>
      </c>
      <c r="B362" s="2" t="s">
        <v>2309</v>
      </c>
      <c r="C362" s="2" t="s">
        <v>2306</v>
      </c>
      <c r="D362" s="2" t="s">
        <v>5541</v>
      </c>
      <c r="E362" s="2" t="s">
        <v>5542</v>
      </c>
      <c r="F362" s="2" t="s">
        <v>5543</v>
      </c>
      <c r="G362" s="2" t="e">
        <f ca="1">_xludf.IMAGE("https://drive.google.com/uc?export=view&amp;id=13beTb4c0YyORG7ndm_IWVIvNRv0oatBT", 1)</f>
        <v>#NAME?</v>
      </c>
    </row>
    <row r="363" spans="1:8" ht="75" customHeight="1">
      <c r="A363" s="2" t="s">
        <v>2303</v>
      </c>
      <c r="B363" s="2" t="s">
        <v>2304</v>
      </c>
      <c r="C363" s="2" t="s">
        <v>2300</v>
      </c>
      <c r="D363" s="2" t="s">
        <v>5544</v>
      </c>
      <c r="E363" s="2" t="s">
        <v>5545</v>
      </c>
      <c r="F363" s="2" t="s">
        <v>5546</v>
      </c>
      <c r="G363" s="2" t="e">
        <f ca="1">_xludf.IMAGE("https://drive.google.com/uc?export=view&amp;id=1eQizO-tlSaPNfNQRwAvmxp75y0nPfDj6", 1)</f>
        <v>#NAME?</v>
      </c>
      <c r="H363" s="2" t="s">
        <v>5547</v>
      </c>
    </row>
    <row r="364" spans="1:8" ht="75" customHeight="1">
      <c r="A364" s="2" t="s">
        <v>2315</v>
      </c>
      <c r="B364" s="2" t="s">
        <v>2316</v>
      </c>
      <c r="C364" s="2" t="s">
        <v>2313</v>
      </c>
      <c r="D364" s="2" t="s">
        <v>5548</v>
      </c>
      <c r="E364" s="2" t="s">
        <v>5549</v>
      </c>
      <c r="F364" s="2" t="s">
        <v>5550</v>
      </c>
      <c r="G364" s="2" t="e">
        <f ca="1">_xludf.IMAGE("https://drive.google.com/uc?export=view&amp;id=1QpSbxmG3gajhyVicy-9hyooWM8Cn4L7W", 1)</f>
        <v>#NAME?</v>
      </c>
      <c r="H364" s="2" t="s">
        <v>2315</v>
      </c>
    </row>
    <row r="365" spans="1:8" ht="75" customHeight="1">
      <c r="A365" s="2" t="s">
        <v>2320</v>
      </c>
      <c r="B365" s="2" t="s">
        <v>2321</v>
      </c>
      <c r="C365" s="2" t="s">
        <v>2319</v>
      </c>
      <c r="D365" s="2" t="s">
        <v>5551</v>
      </c>
      <c r="E365" s="2" t="s">
        <v>5552</v>
      </c>
      <c r="F365" s="2" t="s">
        <v>5553</v>
      </c>
      <c r="G365" s="2" t="e">
        <f ca="1">_xludf.IMAGE("https://drive.google.com/uc?export=view&amp;id=1bfcVsJ5i1PyriPiNhczNa0dDSg1Z44A9", 1)</f>
        <v>#NAME?</v>
      </c>
    </row>
    <row r="366" spans="1:8" ht="75" customHeight="1">
      <c r="A366" s="2" t="s">
        <v>2323</v>
      </c>
      <c r="B366" s="2" t="s">
        <v>2324</v>
      </c>
      <c r="C366" s="2" t="s">
        <v>2322</v>
      </c>
      <c r="D366" s="2" t="s">
        <v>5554</v>
      </c>
      <c r="E366" s="2" t="s">
        <v>5555</v>
      </c>
      <c r="F366" s="2" t="s">
        <v>5556</v>
      </c>
      <c r="G366" s="2" t="e">
        <f ca="1">_xludf.IMAGE("https://drive.google.com/uc?export=view&amp;id=1jfwhpFdxicqH4wRuHZ7zzKLbNx7fvj5W", 1)</f>
        <v>#NAME?</v>
      </c>
    </row>
    <row r="367" spans="1:8" ht="75" customHeight="1">
      <c r="A367" s="2" t="s">
        <v>2326</v>
      </c>
      <c r="B367" s="2" t="s">
        <v>2327</v>
      </c>
      <c r="C367" s="2" t="s">
        <v>2325</v>
      </c>
      <c r="D367" s="2" t="s">
        <v>5557</v>
      </c>
      <c r="E367" s="2" t="s">
        <v>5558</v>
      </c>
      <c r="F367" s="2" t="s">
        <v>5559</v>
      </c>
      <c r="G367" s="2" t="e">
        <f ca="1">_xludf.IMAGE("https://drive.google.com/uc?export=view&amp;id=1aWxpE5mUrBpAx0z85PAuQtp7QWHFj1a2", 1)</f>
        <v>#NAME?</v>
      </c>
    </row>
    <row r="368" spans="1:8" ht="75" customHeight="1">
      <c r="A368" s="2" t="s">
        <v>2326</v>
      </c>
      <c r="B368" s="2" t="s">
        <v>2327</v>
      </c>
      <c r="C368" s="2" t="s">
        <v>2325</v>
      </c>
      <c r="D368" s="2" t="s">
        <v>5560</v>
      </c>
      <c r="E368" s="2" t="s">
        <v>5561</v>
      </c>
      <c r="F368" s="2" t="s">
        <v>5562</v>
      </c>
      <c r="G368" s="2" t="e">
        <f ca="1">_xludf.IMAGE("https://drive.google.com/uc?export=view&amp;id=1U4gn0tmeCHGskIfqukqjPVRwuvhRl8bP", 1)</f>
        <v>#NAME?</v>
      </c>
    </row>
    <row r="369" spans="1:8" ht="75" customHeight="1">
      <c r="A369" s="2" t="s">
        <v>2331</v>
      </c>
      <c r="B369" s="2" t="s">
        <v>2331</v>
      </c>
      <c r="C369" s="2" t="s">
        <v>2329</v>
      </c>
      <c r="D369" s="2" t="s">
        <v>5563</v>
      </c>
      <c r="E369" s="2" t="s">
        <v>5564</v>
      </c>
      <c r="F369" s="2" t="s">
        <v>5565</v>
      </c>
      <c r="G369" s="2" t="e">
        <f ca="1">_xludf.IMAGE("https://drive.google.com/uc?export=view&amp;id=1SCz0dOxzYBTjFwCVI153tEkpMONU1C8Q", 1)</f>
        <v>#NAME?</v>
      </c>
      <c r="H369" s="2" t="s">
        <v>185</v>
      </c>
    </row>
    <row r="370" spans="1:8" ht="75" customHeight="1">
      <c r="A370" s="2" t="s">
        <v>2337</v>
      </c>
      <c r="B370" s="2" t="s">
        <v>2337</v>
      </c>
      <c r="C370" s="2" t="s">
        <v>2334</v>
      </c>
      <c r="D370" s="2" t="s">
        <v>5566</v>
      </c>
      <c r="E370" s="2" t="s">
        <v>5567</v>
      </c>
      <c r="F370" s="2" t="s">
        <v>5568</v>
      </c>
      <c r="G370" s="2" t="e">
        <f ca="1">_xludf.IMAGE("https://drive.google.com/uc?export=view&amp;id=1wWmoEG01QF37rUmYn5BvN2QzLvkMwQ98", 1)</f>
        <v>#NAME?</v>
      </c>
    </row>
    <row r="371" spans="1:8" ht="75" customHeight="1">
      <c r="A371" s="2" t="s">
        <v>2344</v>
      </c>
      <c r="B371" s="2" t="s">
        <v>2344</v>
      </c>
      <c r="C371" s="2" t="s">
        <v>2341</v>
      </c>
      <c r="D371" s="2" t="s">
        <v>5569</v>
      </c>
      <c r="E371" s="2" t="s">
        <v>5570</v>
      </c>
      <c r="F371" s="2" t="s">
        <v>5571</v>
      </c>
      <c r="G371" s="2" t="e">
        <f ca="1">_xludf.IMAGE("https://drive.google.com/uc?export=view&amp;id=1aP9NCFpvMTSLcRLYAAgCygR0MgtcUjIf", 1)</f>
        <v>#NAME?</v>
      </c>
      <c r="H371" s="2" t="s">
        <v>5572</v>
      </c>
    </row>
    <row r="372" spans="1:8" ht="75" customHeight="1">
      <c r="A372" s="2" t="s">
        <v>2349</v>
      </c>
      <c r="B372" s="2" t="s">
        <v>2349</v>
      </c>
      <c r="C372" s="2" t="s">
        <v>2347</v>
      </c>
      <c r="D372" s="2" t="s">
        <v>5573</v>
      </c>
      <c r="E372" s="2" t="s">
        <v>5574</v>
      </c>
      <c r="F372" s="2" t="s">
        <v>5575</v>
      </c>
      <c r="G372" s="2" t="e">
        <f ca="1">_xludf.IMAGE("https://drive.google.com/uc?export=view&amp;id=1K3175fnrbsaSWBTKmAoViSnbYkV2Xq63", 1)</f>
        <v>#NAME?</v>
      </c>
    </row>
    <row r="373" spans="1:8" ht="75" customHeight="1">
      <c r="A373" s="2" t="s">
        <v>2353</v>
      </c>
      <c r="B373" s="2" t="s">
        <v>2353</v>
      </c>
      <c r="C373" s="2" t="s">
        <v>2351</v>
      </c>
      <c r="D373" s="2" t="s">
        <v>5576</v>
      </c>
      <c r="E373" s="2" t="s">
        <v>5577</v>
      </c>
      <c r="F373" s="2" t="s">
        <v>5578</v>
      </c>
      <c r="G373" s="2" t="e">
        <f ca="1">_xludf.IMAGE("https://drive.google.com/uc?export=view&amp;id=1l6Pd4Ftl8owP36uQmPF3Zpa1g9c_-9RD", 1)</f>
        <v>#NAME?</v>
      </c>
      <c r="H373" s="2" t="s">
        <v>2353</v>
      </c>
    </row>
    <row r="374" spans="1:8" ht="75" customHeight="1">
      <c r="A374" s="2" t="s">
        <v>2355</v>
      </c>
      <c r="B374" s="2" t="s">
        <v>2355</v>
      </c>
      <c r="C374" s="2" t="s">
        <v>2354</v>
      </c>
      <c r="D374" s="2" t="s">
        <v>5579</v>
      </c>
      <c r="E374" s="2" t="s">
        <v>5580</v>
      </c>
      <c r="F374" s="2" t="s">
        <v>5581</v>
      </c>
      <c r="G374" s="2" t="e">
        <f ca="1">_xludf.IMAGE("https://drive.google.com/uc?export=view&amp;id=13KRWzZDpCUDFEBr05dXvJz8L5Sp_7m3T", 1)</f>
        <v>#NAME?</v>
      </c>
    </row>
    <row r="375" spans="1:8" ht="75" customHeight="1">
      <c r="A375" s="2" t="s">
        <v>2360</v>
      </c>
      <c r="B375" s="2" t="s">
        <v>2361</v>
      </c>
      <c r="C375" s="2" t="s">
        <v>2358</v>
      </c>
      <c r="D375" s="2" t="s">
        <v>2671</v>
      </c>
      <c r="E375" s="2" t="s">
        <v>5582</v>
      </c>
      <c r="F375" s="2" t="s">
        <v>5583</v>
      </c>
      <c r="G375" s="2" t="e">
        <f ca="1">_xludf.IMAGE("https://drive.google.com/uc?export=view&amp;id=1ujQ-jWCclgsiwPLtnGhtTZrZyJ9-Gq7c", 1)</f>
        <v>#NAME?</v>
      </c>
    </row>
    <row r="376" spans="1:8" ht="75" customHeight="1">
      <c r="A376" s="2" t="s">
        <v>2366</v>
      </c>
      <c r="B376" s="2" t="s">
        <v>2366</v>
      </c>
      <c r="C376" s="2" t="s">
        <v>2364</v>
      </c>
      <c r="D376" s="2" t="s">
        <v>5584</v>
      </c>
      <c r="E376" s="2" t="s">
        <v>5585</v>
      </c>
      <c r="F376" s="2" t="s">
        <v>5586</v>
      </c>
      <c r="G376" s="2" t="e">
        <f ca="1">_xludf.IMAGE("https://drive.google.com/uc?export=view&amp;id=14X8QFojRhE7lTBO8u3WnISqGo45NZNzM", 1)</f>
        <v>#NAME?</v>
      </c>
    </row>
    <row r="377" spans="1:8" ht="75" customHeight="1">
      <c r="A377" s="2" t="s">
        <v>2372</v>
      </c>
      <c r="B377" s="2" t="s">
        <v>2373</v>
      </c>
      <c r="C377" s="2" t="s">
        <v>2369</v>
      </c>
      <c r="D377" s="2" t="s">
        <v>2672</v>
      </c>
      <c r="E377" s="2" t="s">
        <v>5587</v>
      </c>
      <c r="F377" s="2" t="s">
        <v>5588</v>
      </c>
      <c r="G377" s="2" t="e">
        <f ca="1">_xludf.IMAGE("https://drive.google.com/uc?export=view&amp;id=1fLYADzihIaIr3YpdMO6CnPc5IjmmyI_b", 1)</f>
        <v>#NAME?</v>
      </c>
    </row>
    <row r="378" spans="1:8" ht="75" customHeight="1">
      <c r="A378" s="2" t="s">
        <v>2381</v>
      </c>
      <c r="B378" s="2" t="s">
        <v>2382</v>
      </c>
      <c r="C378" s="2" t="s">
        <v>2378</v>
      </c>
      <c r="D378" s="2" t="s">
        <v>5589</v>
      </c>
      <c r="E378" s="2" t="s">
        <v>5590</v>
      </c>
      <c r="F378" s="2" t="s">
        <v>5591</v>
      </c>
      <c r="G378" s="2" t="e">
        <f ca="1">_xludf.IMAGE("https://drive.google.com/uc?export=view&amp;id=1nCNYNXAUYmEvwz_2Hj4Cjb3I6obYOy56", 1)</f>
        <v>#NAME?</v>
      </c>
      <c r="H378" s="2" t="s">
        <v>4550</v>
      </c>
    </row>
    <row r="379" spans="1:8" ht="75" customHeight="1">
      <c r="A379" s="2" t="s">
        <v>2386</v>
      </c>
      <c r="B379" s="2" t="s">
        <v>2387</v>
      </c>
      <c r="C379" s="2" t="s">
        <v>2385</v>
      </c>
      <c r="D379" s="2" t="s">
        <v>5592</v>
      </c>
      <c r="E379" s="2" t="s">
        <v>5593</v>
      </c>
      <c r="F379" s="2" t="s">
        <v>5594</v>
      </c>
      <c r="G379" s="2" t="e">
        <f ca="1">_xludf.IMAGE("https://drive.google.com/uc?export=view&amp;id=1I8vA8F-fRt2vz73LjnFCwH-ShTES9QnF", 1)</f>
        <v>#NAME?</v>
      </c>
    </row>
    <row r="380" spans="1:8" ht="75" customHeight="1">
      <c r="A380" s="2" t="s">
        <v>2389</v>
      </c>
      <c r="B380" s="2" t="s">
        <v>2389</v>
      </c>
      <c r="C380" s="2" t="s">
        <v>2388</v>
      </c>
      <c r="D380" s="2" t="s">
        <v>5595</v>
      </c>
      <c r="E380" s="2" t="s">
        <v>5596</v>
      </c>
      <c r="F380" s="2" t="s">
        <v>5597</v>
      </c>
      <c r="G380" s="2" t="e">
        <f ca="1">_xludf.IMAGE("https://drive.google.com/uc?export=view&amp;id=1tNhViTPxmwe6N3682IjWcocGgEiNcd4Y", 1)</f>
        <v>#NAME?</v>
      </c>
    </row>
    <row r="381" spans="1:8" ht="75" customHeight="1">
      <c r="A381" s="2" t="s">
        <v>2392</v>
      </c>
      <c r="B381" s="2" t="s">
        <v>2393</v>
      </c>
      <c r="C381" s="2" t="s">
        <v>2391</v>
      </c>
      <c r="D381" s="2" t="s">
        <v>5598</v>
      </c>
      <c r="E381" s="2" t="s">
        <v>5599</v>
      </c>
      <c r="F381" s="2" t="s">
        <v>5600</v>
      </c>
      <c r="G381" s="2" t="e">
        <f ca="1">_xludf.IMAGE("https://drive.google.com/uc?export=view&amp;id=1w87xnJ-qxu-4OHraRKjfdtnA8vK9PGzV", 1)</f>
        <v>#NAME?</v>
      </c>
    </row>
    <row r="382" spans="1:8" ht="75" customHeight="1">
      <c r="A382" s="2" t="s">
        <v>2396</v>
      </c>
      <c r="B382" s="2" t="s">
        <v>2396</v>
      </c>
      <c r="C382" s="2" t="s">
        <v>2394</v>
      </c>
      <c r="D382" s="2" t="s">
        <v>5601</v>
      </c>
      <c r="E382" s="2" t="s">
        <v>5602</v>
      </c>
      <c r="F382" s="2" t="s">
        <v>5603</v>
      </c>
      <c r="G382" s="2" t="e">
        <f ca="1">_xludf.IMAGE("https://drive.google.com/uc?export=view&amp;id=1fiP4H9Ij_Z4jwx5o1-qwAMRjNQKcpE_N", 1)</f>
        <v>#NAME?</v>
      </c>
      <c r="H382" s="2" t="s">
        <v>2803</v>
      </c>
    </row>
    <row r="383" spans="1:8" ht="75" customHeight="1">
      <c r="A383" s="2" t="s">
        <v>2401</v>
      </c>
      <c r="B383" s="2" t="s">
        <v>2401</v>
      </c>
      <c r="C383" s="2" t="s">
        <v>2399</v>
      </c>
      <c r="D383" s="2" t="s">
        <v>5604</v>
      </c>
      <c r="E383" s="2" t="s">
        <v>5605</v>
      </c>
      <c r="F383" s="2" t="s">
        <v>5606</v>
      </c>
      <c r="G383" s="2" t="e">
        <f ca="1">_xludf.IMAGE("https://drive.google.com/uc?export=view&amp;id=1ZXVv_oTgJREoz-uFaiVFWXfEXPIJ5tPc", 1)</f>
        <v>#NAME?</v>
      </c>
    </row>
    <row r="384" spans="1:8" ht="75" customHeight="1">
      <c r="A384" s="2" t="s">
        <v>2409</v>
      </c>
      <c r="B384" s="2" t="s">
        <v>2410</v>
      </c>
      <c r="C384" s="2" t="s">
        <v>2406</v>
      </c>
      <c r="D384" s="2" t="s">
        <v>5607</v>
      </c>
      <c r="E384" s="2" t="s">
        <v>5608</v>
      </c>
      <c r="F384" s="2" t="s">
        <v>5609</v>
      </c>
      <c r="G384" s="2" t="e">
        <f ca="1">_xludf.IMAGE("https://drive.google.com/uc?export=view&amp;id=1mGXXCBKnpWkww_EEyNGg3ge-HdAOrUXr", 1)</f>
        <v>#NAME?</v>
      </c>
      <c r="H384" s="2" t="s">
        <v>5610</v>
      </c>
    </row>
    <row r="385" spans="1:8" ht="75" customHeight="1">
      <c r="A385" s="2" t="s">
        <v>2415</v>
      </c>
      <c r="B385" s="2" t="s">
        <v>2415</v>
      </c>
      <c r="C385" s="2" t="s">
        <v>2413</v>
      </c>
      <c r="D385" s="2" t="s">
        <v>5611</v>
      </c>
      <c r="E385" s="2" t="s">
        <v>5612</v>
      </c>
      <c r="F385" s="2" t="s">
        <v>5613</v>
      </c>
      <c r="G385" s="2" t="e">
        <f ca="1">_xludf.IMAGE("https://drive.google.com/uc?export=view&amp;id=1S3oMj_JOx9dMO1A1gJINjh2HP2AHUvSV", 1)</f>
        <v>#NAME?</v>
      </c>
      <c r="H385" s="2" t="s">
        <v>185</v>
      </c>
    </row>
    <row r="386" spans="1:8" ht="75" customHeight="1">
      <c r="A386" s="2" t="s">
        <v>2420</v>
      </c>
      <c r="B386" s="2" t="s">
        <v>2420</v>
      </c>
      <c r="C386" s="2" t="s">
        <v>2417</v>
      </c>
      <c r="D386" s="2" t="s">
        <v>5614</v>
      </c>
      <c r="E386" s="2" t="s">
        <v>5615</v>
      </c>
      <c r="F386" s="2" t="s">
        <v>5616</v>
      </c>
      <c r="G386" s="2" t="e">
        <f ca="1">_xludf.IMAGE("https://drive.google.com/uc?export=view&amp;id=1MdEFOkf13F87i6jqiuC1lLOqHDRI753r", 1)</f>
        <v>#NAME?</v>
      </c>
      <c r="H386" s="2" t="s">
        <v>5617</v>
      </c>
    </row>
    <row r="387" spans="1:8" ht="75" customHeight="1">
      <c r="A387" s="2" t="s">
        <v>2426</v>
      </c>
      <c r="B387" s="2" t="s">
        <v>2428</v>
      </c>
      <c r="C387" s="2" t="s">
        <v>2425</v>
      </c>
      <c r="D387" s="2" t="s">
        <v>5618</v>
      </c>
      <c r="E387" s="2" t="s">
        <v>5619</v>
      </c>
      <c r="F387" s="2" t="s">
        <v>5620</v>
      </c>
      <c r="G387" s="2" t="e">
        <f ca="1">_xludf.IMAGE("https://drive.google.com/uc?export=view&amp;id=11OyJFPhCHRQOXKcZvI77mDNW06qxNkv4", 1)</f>
        <v>#NAME?</v>
      </c>
    </row>
    <row r="388" spans="1:8" ht="75" customHeight="1">
      <c r="A388" s="2" t="s">
        <v>2431</v>
      </c>
      <c r="B388" s="2" t="s">
        <v>2431</v>
      </c>
      <c r="C388" s="2" t="s">
        <v>2429</v>
      </c>
      <c r="D388" s="2" t="s">
        <v>5621</v>
      </c>
      <c r="E388" s="2" t="s">
        <v>5622</v>
      </c>
      <c r="F388" s="2" t="s">
        <v>5623</v>
      </c>
      <c r="G388" s="2" t="e">
        <f ca="1">_xludf.IMAGE("https://drive.google.com/uc?export=view&amp;id=1gfB6GCYVIzd8_kRig9ThZTbjqsl8lg3S", 1)</f>
        <v>#NAME?</v>
      </c>
      <c r="H388" s="2" t="s">
        <v>185</v>
      </c>
    </row>
    <row r="389" spans="1:8" ht="75" customHeight="1">
      <c r="A389" s="2" t="s">
        <v>2436</v>
      </c>
      <c r="B389" s="2" t="s">
        <v>2437</v>
      </c>
      <c r="C389" s="2" t="s">
        <v>2434</v>
      </c>
      <c r="D389" s="2" t="s">
        <v>5624</v>
      </c>
      <c r="E389" s="2" t="s">
        <v>5625</v>
      </c>
      <c r="F389" s="2" t="s">
        <v>5626</v>
      </c>
      <c r="G389" s="2" t="e">
        <f ca="1">_xludf.IMAGE("https://drive.google.com/uc?export=view&amp;id=15oVNuL04CoEtzehOq5SEbM_Qtcr6xhc7", 1)</f>
        <v>#NAME?</v>
      </c>
      <c r="H389" s="2" t="s">
        <v>5627</v>
      </c>
    </row>
    <row r="390" spans="1:8" ht="75" customHeight="1">
      <c r="A390" s="2" t="s">
        <v>2442</v>
      </c>
      <c r="B390" s="2" t="s">
        <v>2442</v>
      </c>
      <c r="C390" s="2" t="s">
        <v>2441</v>
      </c>
      <c r="D390" s="2" t="s">
        <v>5628</v>
      </c>
      <c r="E390" s="2" t="s">
        <v>5629</v>
      </c>
      <c r="F390" s="2" t="s">
        <v>5630</v>
      </c>
      <c r="G390" s="2" t="e">
        <f ca="1">_xludf.IMAGE("https://drive.google.com/uc?export=view&amp;id=1rsj16JItKXo2uR6hPq8ADDNJ1atZmL9w", 1)</f>
        <v>#NAME?</v>
      </c>
      <c r="H390" s="2" t="s">
        <v>2442</v>
      </c>
    </row>
    <row r="391" spans="1:8" ht="75" customHeight="1">
      <c r="A391" s="2" t="s">
        <v>2447</v>
      </c>
      <c r="B391" s="2" t="s">
        <v>2448</v>
      </c>
      <c r="C391" s="2" t="s">
        <v>2444</v>
      </c>
      <c r="D391" s="2" t="s">
        <v>5631</v>
      </c>
      <c r="E391" s="2" t="s">
        <v>5632</v>
      </c>
      <c r="F391" s="2" t="s">
        <v>5633</v>
      </c>
      <c r="G391" s="2" t="e">
        <f ca="1">_xludf.IMAGE("https://drive.google.com/uc?export=view&amp;id=1VmS2Gl4MceA75EQiDHaBW2xRNhmgqyLh", 1)</f>
        <v>#NAME?</v>
      </c>
      <c r="H391" s="2" t="s">
        <v>5634</v>
      </c>
    </row>
    <row r="392" spans="1:8" ht="75" customHeight="1">
      <c r="A392" s="2" t="s">
        <v>2453</v>
      </c>
      <c r="B392" s="2" t="s">
        <v>2453</v>
      </c>
      <c r="C392" s="2" t="s">
        <v>2451</v>
      </c>
      <c r="D392" s="2" t="s">
        <v>5635</v>
      </c>
      <c r="E392" s="2" t="s">
        <v>5636</v>
      </c>
      <c r="F392" s="2" t="s">
        <v>5637</v>
      </c>
      <c r="G392" s="2" t="e">
        <f ca="1">_xludf.IMAGE("https://drive.google.com/uc?export=view&amp;id=1vPS5ZRgRk2bW4N48H04R_A8K5vzb9r_I", 1)</f>
        <v>#NAME?</v>
      </c>
      <c r="H392" s="2" t="s">
        <v>185</v>
      </c>
    </row>
    <row r="393" spans="1:8" ht="75" customHeight="1">
      <c r="A393" s="2" t="s">
        <v>2456</v>
      </c>
      <c r="B393" s="2" t="s">
        <v>1693</v>
      </c>
      <c r="C393" s="2" t="s">
        <v>2455</v>
      </c>
      <c r="D393" s="2" t="s">
        <v>5638</v>
      </c>
      <c r="E393" s="2" t="s">
        <v>5639</v>
      </c>
      <c r="F393" s="2" t="s">
        <v>5640</v>
      </c>
      <c r="G393" s="2" t="e">
        <f ca="1">_xludf.IMAGE("https://drive.google.com/uc?export=view&amp;id=1lxPjM_NwZUJUDU7XSuWSYIILtWRzJg7b", 1)</f>
        <v>#NAME?</v>
      </c>
    </row>
    <row r="394" spans="1:8" ht="75" customHeight="1">
      <c r="A394" s="2" t="s">
        <v>2459</v>
      </c>
      <c r="B394" s="2" t="s">
        <v>2459</v>
      </c>
      <c r="C394" s="2" t="s">
        <v>2458</v>
      </c>
      <c r="D394" s="2" t="s">
        <v>5641</v>
      </c>
      <c r="E394" s="2" t="s">
        <v>5642</v>
      </c>
      <c r="F394" s="2" t="s">
        <v>5643</v>
      </c>
      <c r="G394" s="2" t="e">
        <f ca="1">_xludf.IMAGE("https://drive.google.com/uc?export=view&amp;id=1w-QBljbtEDbDKD68xxp_voB9QFkjyUeA", 1)</f>
        <v>#NAME?</v>
      </c>
      <c r="H394" s="2" t="s">
        <v>2459</v>
      </c>
    </row>
    <row r="395" spans="1:8" ht="75" customHeight="1">
      <c r="A395" s="2" t="s">
        <v>2464</v>
      </c>
      <c r="B395" s="2" t="s">
        <v>2464</v>
      </c>
      <c r="C395" s="2" t="s">
        <v>2461</v>
      </c>
      <c r="D395" s="2" t="s">
        <v>5644</v>
      </c>
      <c r="E395" s="2" t="s">
        <v>5645</v>
      </c>
      <c r="F395" s="2" t="s">
        <v>5646</v>
      </c>
      <c r="G395" s="2" t="e">
        <f ca="1">_xludf.IMAGE("https://drive.google.com/uc?export=view&amp;id=1m_sUsVEoctz_ab5Tpznz9VTC0ODRB7XR", 1)</f>
        <v>#NAME?</v>
      </c>
      <c r="H395" s="2" t="s">
        <v>185</v>
      </c>
    </row>
    <row r="396" spans="1:8" ht="75" customHeight="1">
      <c r="A396" s="2" t="s">
        <v>2467</v>
      </c>
      <c r="B396" s="2" t="s">
        <v>2468</v>
      </c>
      <c r="C396" s="2" t="s">
        <v>2466</v>
      </c>
      <c r="D396" s="2" t="s">
        <v>2677</v>
      </c>
      <c r="E396" s="2" t="s">
        <v>5647</v>
      </c>
      <c r="F396" s="2" t="s">
        <v>5648</v>
      </c>
      <c r="G396" s="2" t="e">
        <f ca="1">_xludf.IMAGE("https://drive.google.com/uc?export=view&amp;id=1nC_gK-FDz8xUsmIk2tcIlYs8MwDdztip", 1)</f>
        <v>#NAME?</v>
      </c>
      <c r="H396" s="2" t="s">
        <v>2467</v>
      </c>
    </row>
    <row r="397" spans="1:8" ht="75" customHeight="1">
      <c r="A397" s="2" t="s">
        <v>2472</v>
      </c>
      <c r="B397" s="2" t="s">
        <v>2473</v>
      </c>
      <c r="C397" s="2" t="s">
        <v>2470</v>
      </c>
      <c r="D397" s="2" t="s">
        <v>2679</v>
      </c>
      <c r="E397" s="2" t="s">
        <v>5649</v>
      </c>
      <c r="F397" s="2" t="s">
        <v>5650</v>
      </c>
      <c r="G397" s="2" t="e">
        <f ca="1">_xludf.IMAGE("https://drive.google.com/uc?export=view&amp;id=1N1triV70foRCNJ2CDI9rJMSZaKdfMF6h", 1)</f>
        <v>#NAME?</v>
      </c>
    </row>
    <row r="398" spans="1:8" ht="75" customHeight="1">
      <c r="A398" s="2" t="s">
        <v>1785</v>
      </c>
      <c r="B398" s="2" t="s">
        <v>2476</v>
      </c>
      <c r="C398" s="2" t="s">
        <v>2475</v>
      </c>
      <c r="D398" s="2" t="s">
        <v>5651</v>
      </c>
      <c r="E398" s="2" t="s">
        <v>5652</v>
      </c>
      <c r="F398" s="2" t="s">
        <v>5653</v>
      </c>
      <c r="G398" s="2" t="e">
        <f ca="1">_xludf.IMAGE("https://drive.google.com/uc?export=view&amp;id=1fX4h9FiBgLZrO2IptXlFUQxFxxcp_Ca8", 1)</f>
        <v>#NAME?</v>
      </c>
      <c r="H398" s="2" t="s">
        <v>1785</v>
      </c>
    </row>
    <row r="399" spans="1:8" ht="75" customHeight="1">
      <c r="A399" s="2" t="s">
        <v>2481</v>
      </c>
      <c r="B399" s="2" t="s">
        <v>2481</v>
      </c>
      <c r="C399" s="2" t="s">
        <v>2479</v>
      </c>
      <c r="D399" s="2" t="s">
        <v>5654</v>
      </c>
      <c r="E399" s="2" t="s">
        <v>5655</v>
      </c>
      <c r="F399" s="2" t="s">
        <v>5656</v>
      </c>
      <c r="G399" s="2" t="e">
        <f ca="1">_xludf.IMAGE("https://drive.google.com/uc?export=view&amp;id=1-cMptKjtxfcWlTjKhue2oNkg_EJ8imVV", 1)</f>
        <v>#NAME?</v>
      </c>
    </row>
    <row r="400" spans="1:8" ht="75" customHeight="1">
      <c r="A400" s="2" t="s">
        <v>2488</v>
      </c>
      <c r="B400" s="2" t="s">
        <v>2488</v>
      </c>
      <c r="C400" s="2" t="s">
        <v>2486</v>
      </c>
      <c r="D400" s="2" t="s">
        <v>5657</v>
      </c>
      <c r="E400" s="2" t="s">
        <v>5658</v>
      </c>
      <c r="F400" s="2" t="s">
        <v>5659</v>
      </c>
      <c r="G400" s="2" t="e">
        <f ca="1">_xludf.IMAGE("https://drive.google.com/uc?export=view&amp;id=1hyBxNY7pqWI9e9QoL_TAJdK8tOA1UJyy", 1)</f>
        <v>#NAME?</v>
      </c>
    </row>
    <row r="401" spans="1:8" ht="75" customHeight="1">
      <c r="A401" s="2" t="s">
        <v>2492</v>
      </c>
      <c r="B401" s="2" t="s">
        <v>2493</v>
      </c>
      <c r="C401" s="2" t="s">
        <v>2490</v>
      </c>
      <c r="D401" s="2" t="s">
        <v>5660</v>
      </c>
      <c r="E401" s="2" t="s">
        <v>5661</v>
      </c>
      <c r="F401" s="2" t="s">
        <v>5662</v>
      </c>
      <c r="G401" s="2" t="e">
        <f ca="1">_xludf.IMAGE("https://drive.google.com/uc?export=view&amp;id=1iCftrkR2JV7B_FLpF6nAeSE_toyga-PV", 1)</f>
        <v>#NAME?</v>
      </c>
    </row>
    <row r="402" spans="1:8" ht="75" customHeight="1">
      <c r="A402" s="2" t="s">
        <v>1933</v>
      </c>
      <c r="B402" s="2" t="s">
        <v>2499</v>
      </c>
      <c r="C402" s="2" t="s">
        <v>2497</v>
      </c>
      <c r="D402" s="2" t="s">
        <v>5663</v>
      </c>
      <c r="E402" s="2" t="s">
        <v>5664</v>
      </c>
      <c r="F402" s="2" t="s">
        <v>5665</v>
      </c>
      <c r="G402" s="2" t="e">
        <f ca="1">_xludf.IMAGE("https://drive.google.com/uc?export=view&amp;id=1BEkKbBRQ_4gbGy_trJ6NvgTID9rUGvAE", 1)</f>
        <v>#NAME?</v>
      </c>
    </row>
    <row r="403" spans="1:8" ht="75" customHeight="1">
      <c r="A403" s="2" t="s">
        <v>2502</v>
      </c>
      <c r="B403" s="2" t="s">
        <v>2502</v>
      </c>
      <c r="C403" s="2" t="s">
        <v>2501</v>
      </c>
      <c r="D403" s="2" t="s">
        <v>5666</v>
      </c>
      <c r="E403" s="2" t="s">
        <v>5667</v>
      </c>
      <c r="F403" s="2" t="s">
        <v>5668</v>
      </c>
      <c r="G403" s="2" t="e">
        <f ca="1">_xludf.IMAGE("https://drive.google.com/uc?export=view&amp;id=1LZK_eY9Pz7KB1vnqUtCkBrvvUah8clJH", 1)</f>
        <v>#NAME?</v>
      </c>
    </row>
    <row r="404" spans="1:8" ht="75" customHeight="1">
      <c r="A404" s="2" t="s">
        <v>2506</v>
      </c>
      <c r="B404" s="2" t="s">
        <v>2506</v>
      </c>
      <c r="C404" s="2" t="s">
        <v>2504</v>
      </c>
      <c r="D404" s="2" t="s">
        <v>5669</v>
      </c>
      <c r="E404" s="2" t="s">
        <v>5670</v>
      </c>
      <c r="F404" s="2" t="s">
        <v>5671</v>
      </c>
      <c r="G404" s="2" t="e">
        <f ca="1">_xludf.IMAGE("https://drive.google.com/uc?export=view&amp;id=1vByjYk3tQtjgC0y37gJD5ZyaVyEbg5Rs", 1)</f>
        <v>#NAME?</v>
      </c>
      <c r="H404" s="2" t="s">
        <v>2506</v>
      </c>
    </row>
    <row r="405" spans="1:8" ht="75" customHeight="1">
      <c r="A405" s="2" t="s">
        <v>2510</v>
      </c>
      <c r="B405" s="2" t="s">
        <v>2510</v>
      </c>
      <c r="C405" s="2" t="s">
        <v>2509</v>
      </c>
      <c r="D405" s="2" t="s">
        <v>5672</v>
      </c>
      <c r="E405" s="2" t="s">
        <v>5673</v>
      </c>
      <c r="F405" s="2" t="s">
        <v>5674</v>
      </c>
      <c r="G405" s="2" t="e">
        <f ca="1">_xludf.IMAGE("https://drive.google.com/uc?export=view&amp;id=1esiM85_-75T873jMb87UeIRsh0zTCCiw", 1)</f>
        <v>#NAME?</v>
      </c>
      <c r="H405" s="2" t="s">
        <v>2510</v>
      </c>
    </row>
    <row r="406" spans="1:8" ht="75" customHeight="1">
      <c r="A406" s="2" t="s">
        <v>2514</v>
      </c>
      <c r="B406" s="2" t="s">
        <v>2514</v>
      </c>
      <c r="C406" s="2" t="s">
        <v>2512</v>
      </c>
      <c r="D406" s="2" t="s">
        <v>5675</v>
      </c>
      <c r="E406" s="2" t="s">
        <v>5676</v>
      </c>
      <c r="F406" s="2" t="s">
        <v>5677</v>
      </c>
      <c r="G406" s="2" t="e">
        <f ca="1">_xludf.IMAGE("https://drive.google.com/uc?export=view&amp;id=1mp0x0ZATISPXfT3QjJXFnre7khy2zpnk", 1)</f>
        <v>#NAME?</v>
      </c>
    </row>
    <row r="407" spans="1:8" ht="75" customHeight="1">
      <c r="A407" s="2" t="s">
        <v>2520</v>
      </c>
      <c r="B407" s="2" t="s">
        <v>2520</v>
      </c>
      <c r="C407" s="2" t="s">
        <v>2518</v>
      </c>
      <c r="D407" s="2" t="s">
        <v>5678</v>
      </c>
      <c r="E407" s="2" t="s">
        <v>5679</v>
      </c>
      <c r="F407" s="2" t="s">
        <v>5680</v>
      </c>
      <c r="G407" s="2" t="e">
        <f ca="1">_xludf.IMAGE("https://drive.google.com/uc?export=view&amp;id=1TMOsDS6RK_BRA-jlv77jCBwqrgkAHWcj", 1)</f>
        <v>#NAME?</v>
      </c>
      <c r="H407" s="2" t="s">
        <v>185</v>
      </c>
    </row>
    <row r="408" spans="1:8" ht="75" customHeight="1">
      <c r="A408" s="2" t="s">
        <v>2525</v>
      </c>
      <c r="B408" s="2" t="s">
        <v>2525</v>
      </c>
      <c r="C408" s="2" t="s">
        <v>2523</v>
      </c>
      <c r="D408" s="2" t="s">
        <v>2685</v>
      </c>
      <c r="E408" s="2" t="s">
        <v>5681</v>
      </c>
      <c r="F408" s="2" t="s">
        <v>5682</v>
      </c>
      <c r="G408" s="2" t="e">
        <f ca="1">_xludf.IMAGE("https://drive.google.com/uc?export=view&amp;id=19cplanqIuRHAxm3qKQjSXhDKFmAt0xt7", 1)</f>
        <v>#NAME?</v>
      </c>
    </row>
    <row r="409" spans="1:8" ht="75" customHeight="1">
      <c r="A409" s="2" t="s">
        <v>2525</v>
      </c>
      <c r="B409" s="2" t="s">
        <v>2525</v>
      </c>
      <c r="C409" s="2" t="s">
        <v>2523</v>
      </c>
      <c r="D409" s="2" t="s">
        <v>2682</v>
      </c>
      <c r="E409" s="2" t="s">
        <v>5683</v>
      </c>
      <c r="F409" s="2" t="s">
        <v>5684</v>
      </c>
      <c r="G409" s="2" t="e">
        <f ca="1">_xludf.IMAGE("https://drive.google.com/uc?export=view&amp;id=1qi6O5XgV1pAJNli9uYQIVjqKNRHJNr32", 1)</f>
        <v>#NAME?</v>
      </c>
    </row>
    <row r="410" spans="1:8" ht="75" customHeight="1">
      <c r="A410" s="2" t="s">
        <v>2529</v>
      </c>
      <c r="B410" s="2" t="s">
        <v>2529</v>
      </c>
      <c r="C410" s="2" t="s">
        <v>2528</v>
      </c>
      <c r="D410" s="2" t="s">
        <v>5685</v>
      </c>
      <c r="E410" s="2" t="s">
        <v>5686</v>
      </c>
      <c r="F410" s="2" t="s">
        <v>5687</v>
      </c>
      <c r="G410" s="2" t="e">
        <f ca="1">_xludf.IMAGE("https://drive.google.com/uc?export=view&amp;id=11LHe_sF7mOFNUPJtCYJyeEQGG8ya2c9Y", 1)</f>
        <v>#NAME?</v>
      </c>
    </row>
    <row r="411" spans="1:8" ht="75" customHeight="1">
      <c r="A411" s="2" t="s">
        <v>2532</v>
      </c>
      <c r="B411" s="2" t="s">
        <v>2532</v>
      </c>
      <c r="C411" s="2" t="s">
        <v>2530</v>
      </c>
      <c r="D411" s="2" t="s">
        <v>5688</v>
      </c>
      <c r="E411" s="2" t="s">
        <v>5689</v>
      </c>
      <c r="F411" s="2" t="s">
        <v>5690</v>
      </c>
      <c r="G411" s="2" t="e">
        <f ca="1">_xludf.IMAGE("https://drive.google.com/uc?export=view&amp;id=1AM6ZMA-5HFeTDHHRALniVDHCQsFaGB37", 1)</f>
        <v>#NAME?</v>
      </c>
    </row>
    <row r="412" spans="1:8" ht="75" customHeight="1">
      <c r="A412" s="2" t="s">
        <v>2538</v>
      </c>
      <c r="B412" s="2" t="s">
        <v>2538</v>
      </c>
      <c r="C412" s="2" t="s">
        <v>2536</v>
      </c>
      <c r="D412" s="2" t="s">
        <v>5691</v>
      </c>
      <c r="E412" s="2" t="s">
        <v>5692</v>
      </c>
      <c r="F412" s="2" t="s">
        <v>5693</v>
      </c>
      <c r="G412" s="2" t="e">
        <f ca="1">_xludf.IMAGE("https://drive.google.com/uc?export=view&amp;id=1hIzN9VFkC4GjxZaJp0w2XTPjUJYA_hHc", 1)</f>
        <v>#NAME?</v>
      </c>
      <c r="H412" s="2" t="s">
        <v>185</v>
      </c>
    </row>
    <row r="413" spans="1:8" ht="75" customHeight="1">
      <c r="A413" s="2" t="s">
        <v>2542</v>
      </c>
      <c r="B413" s="2" t="s">
        <v>2542</v>
      </c>
      <c r="C413" s="2" t="s">
        <v>2540</v>
      </c>
      <c r="D413" s="2" t="s">
        <v>5694</v>
      </c>
      <c r="E413" s="2" t="s">
        <v>5695</v>
      </c>
      <c r="F413" s="2" t="s">
        <v>5696</v>
      </c>
      <c r="G413" s="2" t="e">
        <f ca="1">_xludf.IMAGE("https://drive.google.com/uc?export=view&amp;id=1eUzmALbYNHcnaowwlaf2__wUD1IhwY3D", 1)</f>
        <v>#NAME?</v>
      </c>
      <c r="H413" s="2" t="s">
        <v>185</v>
      </c>
    </row>
    <row r="414" spans="1:8" ht="75" customHeight="1">
      <c r="A414" s="2" t="s">
        <v>2546</v>
      </c>
      <c r="B414" s="2" t="s">
        <v>2546</v>
      </c>
      <c r="C414" s="2" t="s">
        <v>2544</v>
      </c>
      <c r="D414" s="2" t="s">
        <v>5697</v>
      </c>
      <c r="E414" s="2" t="s">
        <v>5698</v>
      </c>
      <c r="F414" s="2" t="s">
        <v>5699</v>
      </c>
      <c r="G414" s="2" t="e">
        <f ca="1">_xludf.IMAGE("https://drive.google.com/uc?export=view&amp;id=181_IesjHh8KEgIU66jlAbafsF1nAES9H", 1)</f>
        <v>#NAME?</v>
      </c>
      <c r="H414" s="2" t="s">
        <v>185</v>
      </c>
    </row>
    <row r="415" spans="1:8" ht="75" customHeight="1">
      <c r="A415" s="2" t="s">
        <v>2549</v>
      </c>
      <c r="B415" s="2" t="s">
        <v>2549</v>
      </c>
      <c r="C415" s="2" t="s">
        <v>2547</v>
      </c>
      <c r="D415" s="2" t="s">
        <v>2687</v>
      </c>
      <c r="E415" s="2" t="s">
        <v>5700</v>
      </c>
      <c r="F415" s="2" t="s">
        <v>5701</v>
      </c>
      <c r="G415" s="2" t="e">
        <f ca="1">_xludf.IMAGE("https://drive.google.com/uc?export=view&amp;id=1hXYVRKKqETnB1i-zT76IAq9B182AuhXq", 1)</f>
        <v>#NAME?</v>
      </c>
    </row>
    <row r="416" spans="1:8" ht="75" customHeight="1">
      <c r="A416" s="2" t="s">
        <v>2555</v>
      </c>
      <c r="B416" s="2" t="s">
        <v>2556</v>
      </c>
      <c r="C416" s="2" t="s">
        <v>2554</v>
      </c>
      <c r="D416" s="2" t="s">
        <v>5702</v>
      </c>
      <c r="E416" s="2" t="s">
        <v>5703</v>
      </c>
      <c r="F416" s="2" t="s">
        <v>5704</v>
      </c>
      <c r="G416" s="2" t="e">
        <f ca="1">_xludf.IMAGE("https://drive.google.com/uc?export=view&amp;id=14ECj9lVFacoQxh-_Zinv6FytdS0EuSJ1", 1)</f>
        <v>#NAME?</v>
      </c>
    </row>
    <row r="417" spans="1:8" ht="75" customHeight="1">
      <c r="A417" s="2" t="s">
        <v>2560</v>
      </c>
      <c r="B417" s="2" t="s">
        <v>2560</v>
      </c>
      <c r="C417" s="2" t="s">
        <v>2557</v>
      </c>
      <c r="D417" s="2" t="s">
        <v>5705</v>
      </c>
      <c r="E417" s="2" t="s">
        <v>5706</v>
      </c>
      <c r="F417" s="2" t="s">
        <v>5707</v>
      </c>
      <c r="G417" s="2" t="e">
        <f ca="1">_xludf.IMAGE("https://drive.google.com/uc?export=view&amp;id=11yEB-fECUSx3njfK5CtkEpOdHrS4dKNq", 1)</f>
        <v>#NAME?</v>
      </c>
    </row>
    <row r="418" spans="1:8" ht="75" customHeight="1">
      <c r="A418" s="2" t="s">
        <v>2381</v>
      </c>
      <c r="B418" s="2" t="s">
        <v>2381</v>
      </c>
      <c r="C418" s="2" t="s">
        <v>2565</v>
      </c>
      <c r="D418" s="2" t="s">
        <v>2694</v>
      </c>
      <c r="E418" s="2" t="s">
        <v>5708</v>
      </c>
      <c r="F418" s="2" t="s">
        <v>5709</v>
      </c>
      <c r="G418" s="2" t="e">
        <f ca="1">_xludf.IMAGE("https://drive.google.com/uc?export=view&amp;id=1ZcnkBgN4uVjOoZa0CzAtC7uw17XZ631F", 1)</f>
        <v>#NAME?</v>
      </c>
    </row>
    <row r="419" spans="1:8" ht="75" customHeight="1">
      <c r="A419" s="2" t="s">
        <v>601</v>
      </c>
      <c r="B419" s="2" t="s">
        <v>602</v>
      </c>
      <c r="C419" s="2" t="s">
        <v>599</v>
      </c>
      <c r="D419" s="2" t="s">
        <v>5710</v>
      </c>
    </row>
    <row r="420" spans="1:8" ht="75" customHeight="1">
      <c r="A420" s="2" t="s">
        <v>386</v>
      </c>
      <c r="B420" s="2" t="s">
        <v>610</v>
      </c>
      <c r="C420" s="2" t="s">
        <v>608</v>
      </c>
      <c r="D420" s="2" t="s">
        <v>5711</v>
      </c>
      <c r="H420" s="2" t="s">
        <v>5712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V912"/>
  <sheetViews>
    <sheetView workbookViewId="0"/>
  </sheetViews>
  <sheetFormatPr defaultColWidth="12.6640625" defaultRowHeight="15.75" customHeight="1"/>
  <cols>
    <col min="1" max="2" width="16.21875" customWidth="1"/>
  </cols>
  <sheetData>
    <row r="1" spans="1:22">
      <c r="A1" s="1" t="s">
        <v>2566</v>
      </c>
      <c r="B1" s="1" t="s">
        <v>10</v>
      </c>
      <c r="C1" s="1" t="s">
        <v>45</v>
      </c>
      <c r="D1" s="1" t="s">
        <v>0</v>
      </c>
      <c r="E1" s="1" t="s">
        <v>5713</v>
      </c>
      <c r="F1" s="1" t="s">
        <v>5714</v>
      </c>
      <c r="G1" s="1" t="s">
        <v>5715</v>
      </c>
      <c r="H1" s="1" t="s">
        <v>5716</v>
      </c>
      <c r="I1" s="1" t="s">
        <v>5717</v>
      </c>
      <c r="J1" s="1" t="s">
        <v>5718</v>
      </c>
      <c r="K1" s="1" t="s">
        <v>5719</v>
      </c>
      <c r="L1" s="1" t="s">
        <v>5720</v>
      </c>
      <c r="M1" s="1" t="s">
        <v>5721</v>
      </c>
      <c r="N1" s="1" t="s">
        <v>5722</v>
      </c>
      <c r="O1" s="1" t="s">
        <v>5723</v>
      </c>
      <c r="P1" s="1"/>
      <c r="Q1" s="1" t="s">
        <v>5724</v>
      </c>
      <c r="R1" s="1" t="s">
        <v>5725</v>
      </c>
      <c r="S1" s="1" t="s">
        <v>5726</v>
      </c>
      <c r="T1" s="1" t="s">
        <v>5727</v>
      </c>
      <c r="U1" s="1" t="s">
        <v>5728</v>
      </c>
      <c r="V1" s="1" t="s">
        <v>5729</v>
      </c>
    </row>
    <row r="2" spans="1:22">
      <c r="A2" s="2" t="s">
        <v>525</v>
      </c>
      <c r="B2" s="2" t="s">
        <v>525</v>
      </c>
      <c r="D2" s="2" t="s">
        <v>523</v>
      </c>
      <c r="E2" s="2" t="s">
        <v>5730</v>
      </c>
      <c r="F2" s="2" t="s">
        <v>5731</v>
      </c>
      <c r="G2" s="2">
        <v>0.27</v>
      </c>
      <c r="I2" s="2">
        <v>200</v>
      </c>
      <c r="J2" s="2" t="s">
        <v>187</v>
      </c>
      <c r="K2" s="2" t="s">
        <v>5732</v>
      </c>
      <c r="L2" s="2" t="s">
        <v>5733</v>
      </c>
      <c r="M2" s="2">
        <v>0</v>
      </c>
      <c r="N2" s="2">
        <v>0</v>
      </c>
      <c r="O2" s="2" t="s">
        <v>5734</v>
      </c>
      <c r="Q2" s="2">
        <v>2010</v>
      </c>
      <c r="R2" s="2">
        <v>2024</v>
      </c>
      <c r="S2" s="2" t="s">
        <v>5735</v>
      </c>
      <c r="U2" s="2">
        <v>15</v>
      </c>
      <c r="V2" s="2" t="s">
        <v>188</v>
      </c>
    </row>
    <row r="3" spans="1:22">
      <c r="A3" s="2" t="s">
        <v>525</v>
      </c>
      <c r="B3" s="2" t="s">
        <v>525</v>
      </c>
      <c r="D3" s="2" t="s">
        <v>523</v>
      </c>
      <c r="E3" s="2" t="s">
        <v>2578</v>
      </c>
      <c r="F3" s="2" t="s">
        <v>5736</v>
      </c>
      <c r="G3" s="2">
        <v>0.2</v>
      </c>
      <c r="I3" s="2">
        <v>198</v>
      </c>
      <c r="J3" s="2" t="s">
        <v>188</v>
      </c>
      <c r="M3" s="2">
        <v>0.2</v>
      </c>
      <c r="N3" s="2">
        <v>2</v>
      </c>
      <c r="O3" s="2" t="s">
        <v>5737</v>
      </c>
      <c r="Q3" s="2">
        <v>2010</v>
      </c>
      <c r="R3" s="2">
        <v>2010</v>
      </c>
      <c r="S3" s="2" t="s">
        <v>5738</v>
      </c>
      <c r="U3" s="2">
        <v>15</v>
      </c>
      <c r="V3" s="2" t="s">
        <v>187</v>
      </c>
    </row>
    <row r="4" spans="1:22">
      <c r="A4" s="2" t="s">
        <v>427</v>
      </c>
      <c r="B4" s="2" t="s">
        <v>428</v>
      </c>
      <c r="D4" s="2" t="s">
        <v>423</v>
      </c>
      <c r="E4" s="2" t="s">
        <v>2614</v>
      </c>
      <c r="F4" s="2">
        <v>1</v>
      </c>
      <c r="G4" s="2">
        <v>0.9</v>
      </c>
      <c r="H4" s="2">
        <v>0</v>
      </c>
      <c r="I4" s="2">
        <v>900</v>
      </c>
      <c r="J4" s="2" t="s">
        <v>188</v>
      </c>
      <c r="M4" s="2">
        <v>0.9</v>
      </c>
      <c r="N4" s="2">
        <v>2</v>
      </c>
      <c r="O4" s="2" t="s">
        <v>5734</v>
      </c>
      <c r="Q4" s="2">
        <v>2014</v>
      </c>
      <c r="R4" s="2">
        <v>2014</v>
      </c>
      <c r="S4" s="2" t="s">
        <v>5739</v>
      </c>
      <c r="U4" s="2">
        <v>5</v>
      </c>
      <c r="V4" s="2" t="s">
        <v>188</v>
      </c>
    </row>
    <row r="5" spans="1:22">
      <c r="A5" s="2" t="s">
        <v>534</v>
      </c>
      <c r="B5" s="2" t="s">
        <v>534</v>
      </c>
      <c r="D5" s="2" t="s">
        <v>531</v>
      </c>
      <c r="E5" s="2" t="s">
        <v>2599</v>
      </c>
      <c r="F5" s="2">
        <v>1</v>
      </c>
      <c r="G5" s="2">
        <v>0.4</v>
      </c>
      <c r="H5" s="3">
        <v>0.61254629629547708</v>
      </c>
      <c r="I5" s="2">
        <v>400</v>
      </c>
      <c r="J5" s="2" t="s">
        <v>188</v>
      </c>
      <c r="M5" s="2">
        <v>0.4</v>
      </c>
      <c r="N5" s="2">
        <v>1.6</v>
      </c>
      <c r="O5" s="2" t="s">
        <v>5737</v>
      </c>
      <c r="Q5" s="2">
        <v>1995</v>
      </c>
      <c r="R5" s="2">
        <v>2010</v>
      </c>
      <c r="S5" s="2" t="s">
        <v>5735</v>
      </c>
      <c r="U5" s="2">
        <v>2</v>
      </c>
      <c r="V5" s="2" t="s">
        <v>188</v>
      </c>
    </row>
    <row r="6" spans="1:22">
      <c r="A6" s="2" t="s">
        <v>534</v>
      </c>
      <c r="B6" s="2" t="s">
        <v>534</v>
      </c>
      <c r="D6" s="2" t="s">
        <v>531</v>
      </c>
      <c r="E6" s="2" t="s">
        <v>2602</v>
      </c>
      <c r="F6" s="2">
        <v>2</v>
      </c>
      <c r="G6" s="2">
        <v>0.4</v>
      </c>
      <c r="H6" s="3">
        <v>0.61254629629547708</v>
      </c>
      <c r="I6" s="2">
        <v>400</v>
      </c>
      <c r="J6" s="2" t="s">
        <v>188</v>
      </c>
      <c r="M6" s="2">
        <v>0.4</v>
      </c>
      <c r="N6" s="2">
        <v>1.5</v>
      </c>
      <c r="O6" s="2" t="s">
        <v>5737</v>
      </c>
      <c r="Q6" s="2">
        <v>1995</v>
      </c>
      <c r="R6" s="2">
        <v>2012</v>
      </c>
      <c r="S6" s="2" t="s">
        <v>5735</v>
      </c>
      <c r="U6" s="2">
        <v>2</v>
      </c>
      <c r="V6" s="2" t="s">
        <v>188</v>
      </c>
    </row>
    <row r="7" spans="1:22">
      <c r="A7" s="2" t="s">
        <v>534</v>
      </c>
      <c r="B7" s="2" t="s">
        <v>534</v>
      </c>
      <c r="D7" s="2" t="s">
        <v>531</v>
      </c>
      <c r="E7" s="2" t="s">
        <v>5740</v>
      </c>
      <c r="F7" s="2">
        <v>3</v>
      </c>
      <c r="G7" s="2">
        <v>0.2</v>
      </c>
      <c r="H7" s="3">
        <v>0.61254629629547708</v>
      </c>
      <c r="I7" s="2">
        <v>200</v>
      </c>
      <c r="J7" s="2" t="s">
        <v>188</v>
      </c>
      <c r="M7" s="2">
        <v>0.2</v>
      </c>
      <c r="N7" s="2">
        <v>0.4</v>
      </c>
      <c r="O7" s="2" t="s">
        <v>5734</v>
      </c>
      <c r="Q7" s="2">
        <v>2010</v>
      </c>
      <c r="R7" s="2">
        <v>2010</v>
      </c>
      <c r="S7" s="2" t="s">
        <v>5738</v>
      </c>
      <c r="U7" s="2">
        <v>4</v>
      </c>
      <c r="V7" s="2" t="s">
        <v>188</v>
      </c>
    </row>
    <row r="8" spans="1:22">
      <c r="A8" s="2" t="s">
        <v>1064</v>
      </c>
      <c r="B8" s="2" t="s">
        <v>1064</v>
      </c>
      <c r="D8" s="2" t="s">
        <v>1062</v>
      </c>
      <c r="E8" s="2" t="s">
        <v>2593</v>
      </c>
      <c r="F8" s="2" t="s">
        <v>5731</v>
      </c>
      <c r="G8" s="2">
        <v>0.18</v>
      </c>
      <c r="I8" s="2">
        <v>180</v>
      </c>
      <c r="J8" s="2" t="s">
        <v>188</v>
      </c>
      <c r="M8" s="2">
        <v>0.18</v>
      </c>
      <c r="N8" s="2">
        <v>0.5</v>
      </c>
      <c r="O8" s="2" t="s">
        <v>5734</v>
      </c>
      <c r="Q8" s="2">
        <v>2015</v>
      </c>
      <c r="R8" s="2">
        <v>2015</v>
      </c>
      <c r="S8" s="2" t="s">
        <v>5735</v>
      </c>
      <c r="U8" s="2">
        <v>1</v>
      </c>
      <c r="V8" s="2" t="s">
        <v>188</v>
      </c>
    </row>
    <row r="9" spans="1:22">
      <c r="A9" s="2" t="s">
        <v>1073</v>
      </c>
      <c r="B9" s="2" t="s">
        <v>1073</v>
      </c>
      <c r="D9" s="2" t="s">
        <v>1072</v>
      </c>
      <c r="E9" s="2" t="s">
        <v>2594</v>
      </c>
      <c r="F9" s="2" t="s">
        <v>5741</v>
      </c>
      <c r="G9" s="2">
        <v>0.6</v>
      </c>
      <c r="I9" s="2">
        <v>600</v>
      </c>
      <c r="J9" s="2" t="s">
        <v>188</v>
      </c>
      <c r="M9" s="2">
        <v>0.6</v>
      </c>
      <c r="N9" s="2">
        <v>1.5</v>
      </c>
      <c r="O9" s="2" t="s">
        <v>5737</v>
      </c>
      <c r="Q9" s="2">
        <v>2018</v>
      </c>
      <c r="R9" s="2">
        <v>2018</v>
      </c>
      <c r="S9" s="2" t="s">
        <v>5738</v>
      </c>
      <c r="U9" s="2">
        <v>10</v>
      </c>
      <c r="V9" s="2" t="s">
        <v>187</v>
      </c>
    </row>
    <row r="10" spans="1:22">
      <c r="A10" s="2" t="s">
        <v>2243</v>
      </c>
      <c r="B10" s="2" t="s">
        <v>2243</v>
      </c>
      <c r="D10" s="2" t="s">
        <v>2241</v>
      </c>
      <c r="E10" s="2" t="s">
        <v>2664</v>
      </c>
      <c r="F10" s="2">
        <v>3</v>
      </c>
      <c r="G10" s="2">
        <v>0.8</v>
      </c>
      <c r="H10" s="2">
        <v>0</v>
      </c>
      <c r="I10" s="2">
        <v>800</v>
      </c>
      <c r="J10" s="2" t="s">
        <v>187</v>
      </c>
      <c r="K10" s="2" t="s">
        <v>1523</v>
      </c>
      <c r="M10" s="2">
        <v>0.8</v>
      </c>
      <c r="N10" s="2">
        <v>3.5</v>
      </c>
      <c r="O10" s="2" t="s">
        <v>5737</v>
      </c>
      <c r="Q10" s="2">
        <v>1999</v>
      </c>
      <c r="R10" s="2">
        <v>2016</v>
      </c>
      <c r="S10" s="2" t="s">
        <v>5735</v>
      </c>
      <c r="U10" s="2">
        <v>3</v>
      </c>
      <c r="V10" s="2" t="s">
        <v>187</v>
      </c>
    </row>
    <row r="11" spans="1:22">
      <c r="A11" s="2" t="s">
        <v>2243</v>
      </c>
      <c r="B11" s="2" t="s">
        <v>2243</v>
      </c>
      <c r="D11" s="2" t="s">
        <v>2241</v>
      </c>
      <c r="E11" s="2" t="s">
        <v>2663</v>
      </c>
      <c r="F11" s="2">
        <v>1</v>
      </c>
      <c r="G11" s="2">
        <v>0.9</v>
      </c>
      <c r="H11" s="2">
        <v>0</v>
      </c>
      <c r="I11" s="2">
        <v>1000</v>
      </c>
      <c r="J11" s="2" t="s">
        <v>187</v>
      </c>
      <c r="K11" s="2" t="s">
        <v>308</v>
      </c>
      <c r="M11" s="2">
        <v>0</v>
      </c>
      <c r="N11" s="2">
        <v>0</v>
      </c>
      <c r="O11" s="2" t="s">
        <v>5737</v>
      </c>
      <c r="Q11" s="2">
        <v>1999</v>
      </c>
      <c r="R11" s="2">
        <v>2025</v>
      </c>
      <c r="S11" s="2" t="s">
        <v>5738</v>
      </c>
      <c r="U11" s="2">
        <v>3</v>
      </c>
      <c r="V11" s="2" t="s">
        <v>187</v>
      </c>
    </row>
    <row r="12" spans="1:22">
      <c r="A12" s="2" t="s">
        <v>2275</v>
      </c>
      <c r="B12" s="2" t="s">
        <v>2275</v>
      </c>
      <c r="D12" s="2" t="s">
        <v>2271</v>
      </c>
      <c r="E12" s="2" t="s">
        <v>2667</v>
      </c>
      <c r="F12" s="2">
        <v>2</v>
      </c>
      <c r="G12" s="2">
        <v>0.2</v>
      </c>
      <c r="H12" s="2">
        <v>0</v>
      </c>
      <c r="I12" s="2">
        <v>200</v>
      </c>
      <c r="J12" s="2" t="s">
        <v>188</v>
      </c>
      <c r="M12" s="2">
        <v>0.2</v>
      </c>
      <c r="N12" s="2">
        <v>0.4</v>
      </c>
      <c r="O12" s="2" t="s">
        <v>5734</v>
      </c>
      <c r="Q12" s="2">
        <v>2016</v>
      </c>
      <c r="R12" s="2">
        <v>2016</v>
      </c>
      <c r="S12" s="2" t="s">
        <v>5738</v>
      </c>
      <c r="U12" s="2">
        <v>30</v>
      </c>
      <c r="V12" s="2" t="s">
        <v>188</v>
      </c>
    </row>
    <row r="13" spans="1:22">
      <c r="A13" s="2" t="s">
        <v>2275</v>
      </c>
      <c r="B13" s="2" t="s">
        <v>2275</v>
      </c>
      <c r="D13" s="2" t="s">
        <v>2271</v>
      </c>
      <c r="E13" s="2" t="s">
        <v>2669</v>
      </c>
      <c r="F13" s="2">
        <v>1</v>
      </c>
      <c r="G13" s="2">
        <v>0.4</v>
      </c>
      <c r="H13" s="2">
        <v>0</v>
      </c>
      <c r="I13" s="2">
        <v>400</v>
      </c>
      <c r="J13" s="2" t="s">
        <v>187</v>
      </c>
      <c r="K13" s="2" t="s">
        <v>308</v>
      </c>
      <c r="M13" s="2">
        <v>0.4</v>
      </c>
      <c r="N13" s="2">
        <v>0.8</v>
      </c>
      <c r="O13" s="2" t="s">
        <v>5734</v>
      </c>
      <c r="Q13" s="2">
        <v>2003</v>
      </c>
      <c r="R13" s="2">
        <v>2020</v>
      </c>
      <c r="S13" s="2" t="s">
        <v>5735</v>
      </c>
      <c r="U13" s="2">
        <v>30</v>
      </c>
      <c r="V13" s="2" t="s">
        <v>188</v>
      </c>
    </row>
    <row r="14" spans="1:22">
      <c r="A14" s="2" t="s">
        <v>2372</v>
      </c>
      <c r="B14" s="2" t="s">
        <v>2373</v>
      </c>
      <c r="D14" s="2" t="s">
        <v>2369</v>
      </c>
      <c r="E14" s="2" t="s">
        <v>2675</v>
      </c>
      <c r="F14" s="2">
        <v>2</v>
      </c>
      <c r="G14" s="2">
        <v>0.4</v>
      </c>
      <c r="H14" s="2">
        <v>0</v>
      </c>
      <c r="I14" s="2">
        <v>400</v>
      </c>
      <c r="J14" s="2" t="s">
        <v>188</v>
      </c>
      <c r="M14" s="2">
        <v>0.4</v>
      </c>
      <c r="N14" s="2">
        <v>0.6</v>
      </c>
      <c r="O14" s="2" t="s">
        <v>5734</v>
      </c>
      <c r="Q14" s="2">
        <v>1995</v>
      </c>
      <c r="R14" s="2">
        <v>2018</v>
      </c>
      <c r="S14" s="2" t="s">
        <v>5735</v>
      </c>
      <c r="U14" s="2">
        <v>30</v>
      </c>
      <c r="V14" s="2" t="s">
        <v>188</v>
      </c>
    </row>
    <row r="15" spans="1:22">
      <c r="A15" s="2" t="s">
        <v>2372</v>
      </c>
      <c r="B15" s="2" t="s">
        <v>2373</v>
      </c>
      <c r="D15" s="2" t="s">
        <v>2369</v>
      </c>
      <c r="E15" s="2" t="s">
        <v>2672</v>
      </c>
      <c r="F15" s="2">
        <v>1</v>
      </c>
      <c r="G15" s="2">
        <v>0.3</v>
      </c>
      <c r="H15" s="2">
        <v>0</v>
      </c>
      <c r="I15" s="2">
        <v>300</v>
      </c>
      <c r="J15" s="2" t="s">
        <v>188</v>
      </c>
      <c r="M15" s="2">
        <v>0.3</v>
      </c>
      <c r="N15" s="2">
        <v>0.4</v>
      </c>
      <c r="O15" s="2" t="s">
        <v>5734</v>
      </c>
      <c r="Q15" s="2">
        <v>1995</v>
      </c>
      <c r="R15" s="2">
        <v>8</v>
      </c>
      <c r="S15" s="2" t="s">
        <v>5735</v>
      </c>
      <c r="U15" s="2">
        <v>30</v>
      </c>
      <c r="V15" s="2" t="s">
        <v>188</v>
      </c>
    </row>
    <row r="16" spans="1:22">
      <c r="A16" s="2" t="s">
        <v>2525</v>
      </c>
      <c r="B16" s="2" t="s">
        <v>2525</v>
      </c>
      <c r="D16" s="2" t="s">
        <v>2523</v>
      </c>
      <c r="E16" s="2" t="s">
        <v>2682</v>
      </c>
      <c r="F16" s="2">
        <v>2</v>
      </c>
      <c r="G16" s="2">
        <v>2</v>
      </c>
      <c r="H16" s="2">
        <v>0</v>
      </c>
      <c r="I16" s="2">
        <v>2000</v>
      </c>
      <c r="J16" s="2" t="s">
        <v>187</v>
      </c>
      <c r="K16" s="2" t="s">
        <v>308</v>
      </c>
      <c r="M16" s="2">
        <v>0</v>
      </c>
      <c r="N16" s="2">
        <v>0</v>
      </c>
      <c r="O16" s="2" t="s">
        <v>5737</v>
      </c>
      <c r="Q16" s="2">
        <v>2024</v>
      </c>
      <c r="R16" s="2">
        <v>2024</v>
      </c>
      <c r="S16" s="2" t="s">
        <v>5742</v>
      </c>
      <c r="U16" s="2">
        <v>25</v>
      </c>
      <c r="V16" s="2" t="s">
        <v>187</v>
      </c>
    </row>
    <row r="17" spans="1:22">
      <c r="A17" s="2" t="s">
        <v>2525</v>
      </c>
      <c r="B17" s="2" t="s">
        <v>2525</v>
      </c>
      <c r="D17" s="2" t="s">
        <v>2523</v>
      </c>
      <c r="E17" s="2" t="s">
        <v>2685</v>
      </c>
      <c r="F17" s="2">
        <v>1</v>
      </c>
      <c r="G17" s="2">
        <v>2</v>
      </c>
      <c r="H17" s="2">
        <v>0</v>
      </c>
      <c r="I17" s="2">
        <v>2000</v>
      </c>
      <c r="J17" s="2" t="s">
        <v>188</v>
      </c>
      <c r="M17" s="2">
        <v>2</v>
      </c>
      <c r="N17" s="2">
        <v>8</v>
      </c>
      <c r="O17" s="2" t="s">
        <v>5737</v>
      </c>
      <c r="Q17" s="2">
        <v>2007</v>
      </c>
      <c r="R17" s="2">
        <v>2007</v>
      </c>
      <c r="S17" s="2" t="s">
        <v>5742</v>
      </c>
      <c r="U17" s="2">
        <v>25</v>
      </c>
      <c r="V17" s="2" t="s">
        <v>187</v>
      </c>
    </row>
    <row r="18" spans="1:22">
      <c r="A18" s="2" t="s">
        <v>2549</v>
      </c>
      <c r="B18" s="2" t="s">
        <v>2549</v>
      </c>
      <c r="D18" s="2" t="s">
        <v>2547</v>
      </c>
      <c r="E18" s="2" t="s">
        <v>2687</v>
      </c>
      <c r="F18" s="2">
        <v>1</v>
      </c>
      <c r="G18" s="2">
        <v>0.4</v>
      </c>
      <c r="H18" s="2">
        <v>0</v>
      </c>
      <c r="I18" s="2">
        <v>400</v>
      </c>
      <c r="J18" s="2" t="s">
        <v>187</v>
      </c>
      <c r="K18" s="2" t="s">
        <v>308</v>
      </c>
      <c r="M18" s="2">
        <v>0.4</v>
      </c>
      <c r="N18" s="2">
        <v>0.8</v>
      </c>
      <c r="O18" s="2" t="s">
        <v>5737</v>
      </c>
      <c r="Q18" s="2">
        <v>1999</v>
      </c>
      <c r="R18" s="2">
        <v>1999</v>
      </c>
      <c r="S18" s="2" t="s">
        <v>5738</v>
      </c>
      <c r="U18" s="2">
        <v>30</v>
      </c>
      <c r="V18" s="2" t="s">
        <v>187</v>
      </c>
    </row>
    <row r="19" spans="1:22">
      <c r="A19" s="2" t="s">
        <v>2549</v>
      </c>
      <c r="B19" s="2" t="s">
        <v>2549</v>
      </c>
      <c r="D19" s="2" t="s">
        <v>2547</v>
      </c>
      <c r="E19" s="2" t="s">
        <v>2690</v>
      </c>
      <c r="F19" s="2">
        <v>2</v>
      </c>
      <c r="G19" s="2">
        <v>0.9</v>
      </c>
      <c r="H19" s="2">
        <v>0</v>
      </c>
      <c r="I19" s="2">
        <v>900</v>
      </c>
      <c r="J19" s="2" t="s">
        <v>187</v>
      </c>
      <c r="K19" s="2" t="s">
        <v>308</v>
      </c>
      <c r="M19" s="2">
        <v>0.9</v>
      </c>
      <c r="N19" s="2">
        <v>1.8</v>
      </c>
      <c r="O19" s="2" t="s">
        <v>5737</v>
      </c>
      <c r="Q19" s="2">
        <v>2000</v>
      </c>
      <c r="R19" s="2">
        <v>2000</v>
      </c>
      <c r="S19" s="2" t="s">
        <v>5738</v>
      </c>
      <c r="U19" s="2">
        <v>30</v>
      </c>
      <c r="V19" s="2" t="s">
        <v>187</v>
      </c>
    </row>
    <row r="20" spans="1:22">
      <c r="A20" s="2" t="s">
        <v>2381</v>
      </c>
      <c r="B20" s="2" t="s">
        <v>2381</v>
      </c>
      <c r="D20" s="2" t="s">
        <v>2565</v>
      </c>
      <c r="E20" s="2" t="s">
        <v>2694</v>
      </c>
      <c r="F20" s="2" t="s">
        <v>5731</v>
      </c>
      <c r="G20" s="2">
        <v>0.5</v>
      </c>
      <c r="I20" s="2">
        <v>500</v>
      </c>
      <c r="J20" s="2" t="s">
        <v>188</v>
      </c>
      <c r="M20" s="2">
        <v>0.5</v>
      </c>
      <c r="N20" s="2">
        <v>1.5</v>
      </c>
      <c r="O20" s="2" t="s">
        <v>5737</v>
      </c>
      <c r="Q20" s="2">
        <v>2005</v>
      </c>
      <c r="R20" s="2">
        <v>2005</v>
      </c>
      <c r="S20" s="2" t="s">
        <v>5738</v>
      </c>
      <c r="U20" s="2">
        <v>15</v>
      </c>
      <c r="V20" s="2" t="s">
        <v>187</v>
      </c>
    </row>
    <row r="21" spans="1:22">
      <c r="A21" s="2" t="s">
        <v>2381</v>
      </c>
      <c r="B21" s="2" t="s">
        <v>2381</v>
      </c>
      <c r="D21" s="2" t="s">
        <v>2565</v>
      </c>
      <c r="E21" s="2" t="s">
        <v>2698</v>
      </c>
      <c r="F21" s="2" t="s">
        <v>5743</v>
      </c>
      <c r="G21" s="2">
        <v>0.35</v>
      </c>
      <c r="I21" s="2">
        <v>350</v>
      </c>
      <c r="J21" s="2" t="s">
        <v>188</v>
      </c>
      <c r="M21" s="2">
        <v>0.35</v>
      </c>
      <c r="N21" s="2">
        <v>1</v>
      </c>
      <c r="O21" s="2" t="s">
        <v>5734</v>
      </c>
      <c r="Q21" s="2">
        <v>2005</v>
      </c>
      <c r="R21" s="2">
        <v>2005</v>
      </c>
      <c r="S21" s="2" t="s">
        <v>5738</v>
      </c>
      <c r="U21" s="2">
        <v>10</v>
      </c>
      <c r="V21" s="2" t="s">
        <v>188</v>
      </c>
    </row>
    <row r="22" spans="1:22">
      <c r="A22" s="2" t="s">
        <v>295</v>
      </c>
      <c r="B22" s="2" t="s">
        <v>185</v>
      </c>
      <c r="D22" s="2" t="s">
        <v>292</v>
      </c>
      <c r="E22" s="2" t="s">
        <v>2628</v>
      </c>
      <c r="G22" s="2">
        <v>0.5</v>
      </c>
      <c r="H22" s="2">
        <v>0</v>
      </c>
      <c r="I22" s="2">
        <v>500</v>
      </c>
      <c r="J22" s="2" t="s">
        <v>188</v>
      </c>
      <c r="M22" s="2">
        <v>0.5</v>
      </c>
      <c r="N22" s="2">
        <v>1.2</v>
      </c>
      <c r="O22" s="2" t="s">
        <v>5737</v>
      </c>
      <c r="Q22" s="2">
        <v>1996</v>
      </c>
      <c r="R22" s="2">
        <v>2013</v>
      </c>
      <c r="S22" s="2" t="s">
        <v>5735</v>
      </c>
      <c r="V22" s="2" t="s">
        <v>187</v>
      </c>
    </row>
    <row r="23" spans="1:22">
      <c r="A23" s="2" t="s">
        <v>295</v>
      </c>
      <c r="B23" s="2" t="s">
        <v>185</v>
      </c>
      <c r="D23" s="2" t="s">
        <v>292</v>
      </c>
      <c r="E23" s="2" t="s">
        <v>5744</v>
      </c>
      <c r="F23" s="2" t="s">
        <v>5745</v>
      </c>
      <c r="G23" s="2">
        <v>0.2</v>
      </c>
      <c r="I23" s="2">
        <v>200</v>
      </c>
      <c r="J23" s="2" t="s">
        <v>188</v>
      </c>
      <c r="M23" s="2">
        <v>0.2</v>
      </c>
      <c r="N23" s="2">
        <v>0.8</v>
      </c>
      <c r="O23" s="2" t="s">
        <v>5737</v>
      </c>
      <c r="Q23" s="2">
        <v>2013</v>
      </c>
      <c r="R23" s="2">
        <v>2013</v>
      </c>
      <c r="S23" s="2" t="s">
        <v>5735</v>
      </c>
      <c r="V23" s="2" t="s">
        <v>188</v>
      </c>
    </row>
    <row r="24" spans="1:22">
      <c r="A24" s="2" t="s">
        <v>295</v>
      </c>
      <c r="B24" s="2" t="s">
        <v>185</v>
      </c>
      <c r="D24" s="2" t="s">
        <v>292</v>
      </c>
      <c r="E24" s="2" t="s">
        <v>2700</v>
      </c>
      <c r="F24" s="2" t="s">
        <v>5745</v>
      </c>
      <c r="G24" s="2">
        <v>0.2</v>
      </c>
      <c r="I24" s="2">
        <v>200</v>
      </c>
      <c r="J24" s="2" t="s">
        <v>188</v>
      </c>
      <c r="M24" s="2">
        <v>0.2</v>
      </c>
      <c r="N24" s="2">
        <v>1</v>
      </c>
      <c r="O24" s="2" t="s">
        <v>5737</v>
      </c>
      <c r="Q24" s="2">
        <v>1996</v>
      </c>
      <c r="R24" s="2">
        <v>2014</v>
      </c>
      <c r="S24" s="2" t="s">
        <v>5735</v>
      </c>
      <c r="V24" s="2" t="s">
        <v>187</v>
      </c>
    </row>
    <row r="25" spans="1:22">
      <c r="A25" s="2" t="s">
        <v>307</v>
      </c>
      <c r="B25" s="2" t="s">
        <v>185</v>
      </c>
      <c r="D25" s="2" t="s">
        <v>305</v>
      </c>
      <c r="E25" s="2" t="s">
        <v>5746</v>
      </c>
      <c r="F25" s="2" t="s">
        <v>5747</v>
      </c>
      <c r="G25" s="2">
        <v>0.1</v>
      </c>
      <c r="I25" s="2">
        <v>100</v>
      </c>
      <c r="J25" s="2" t="s">
        <v>187</v>
      </c>
      <c r="K25" s="2" t="s">
        <v>308</v>
      </c>
      <c r="M25" s="2">
        <v>0.1</v>
      </c>
      <c r="O25" s="2" t="s">
        <v>5737</v>
      </c>
      <c r="Q25" s="2">
        <v>2013</v>
      </c>
      <c r="S25" s="2" t="s">
        <v>5735</v>
      </c>
      <c r="V25" s="2" t="s">
        <v>187</v>
      </c>
    </row>
    <row r="26" spans="1:22">
      <c r="A26" s="2" t="s">
        <v>307</v>
      </c>
      <c r="B26" s="2" t="s">
        <v>185</v>
      </c>
      <c r="D26" s="2" t="s">
        <v>305</v>
      </c>
      <c r="E26" s="2" t="s">
        <v>2702</v>
      </c>
      <c r="F26" s="2" t="s">
        <v>5745</v>
      </c>
      <c r="G26" s="2">
        <v>0.2</v>
      </c>
      <c r="I26" s="2">
        <v>200</v>
      </c>
      <c r="J26" s="2" t="s">
        <v>187</v>
      </c>
      <c r="K26" s="2" t="s">
        <v>308</v>
      </c>
      <c r="M26" s="2">
        <v>0.2</v>
      </c>
      <c r="N26" s="2">
        <v>0.8</v>
      </c>
      <c r="O26" s="2" t="s">
        <v>5737</v>
      </c>
      <c r="Q26" s="2">
        <v>1996</v>
      </c>
      <c r="R26" s="2">
        <v>2013</v>
      </c>
      <c r="S26" s="2" t="s">
        <v>5735</v>
      </c>
      <c r="V26" s="2" t="s">
        <v>187</v>
      </c>
    </row>
    <row r="27" spans="1:22">
      <c r="A27" s="2" t="s">
        <v>316</v>
      </c>
      <c r="B27" s="2" t="s">
        <v>317</v>
      </c>
      <c r="D27" s="2" t="s">
        <v>315</v>
      </c>
      <c r="E27" s="2" t="s">
        <v>5748</v>
      </c>
      <c r="F27" s="2" t="s">
        <v>5749</v>
      </c>
      <c r="G27" s="2">
        <v>0.2</v>
      </c>
      <c r="I27" s="2">
        <v>200</v>
      </c>
      <c r="J27" s="2" t="s">
        <v>187</v>
      </c>
      <c r="K27" s="2" t="s">
        <v>308</v>
      </c>
      <c r="M27" s="2">
        <v>0.2</v>
      </c>
      <c r="N27" s="2">
        <v>0.81</v>
      </c>
      <c r="O27" s="2" t="s">
        <v>5734</v>
      </c>
      <c r="Q27" s="2">
        <v>2013</v>
      </c>
      <c r="R27" s="2">
        <v>2013</v>
      </c>
      <c r="S27" s="2" t="s">
        <v>5750</v>
      </c>
      <c r="V27" s="2" t="s">
        <v>187</v>
      </c>
    </row>
    <row r="28" spans="1:22">
      <c r="A28" s="2" t="s">
        <v>316</v>
      </c>
      <c r="B28" s="2" t="s">
        <v>317</v>
      </c>
      <c r="D28" s="2" t="s">
        <v>315</v>
      </c>
      <c r="E28" s="2" t="s">
        <v>4514</v>
      </c>
      <c r="F28" s="2" t="s">
        <v>5751</v>
      </c>
      <c r="G28" s="2">
        <v>0.5</v>
      </c>
      <c r="I28" s="2">
        <v>500</v>
      </c>
      <c r="J28" s="2" t="s">
        <v>188</v>
      </c>
      <c r="M28" s="2">
        <v>0.5</v>
      </c>
      <c r="N28" s="2">
        <v>1.5</v>
      </c>
      <c r="O28" s="2" t="s">
        <v>5737</v>
      </c>
      <c r="R28" s="2">
        <v>1996</v>
      </c>
      <c r="S28" s="2" t="s">
        <v>5735</v>
      </c>
      <c r="V28" s="2" t="s">
        <v>187</v>
      </c>
    </row>
    <row r="29" spans="1:22">
      <c r="A29" s="2" t="s">
        <v>316</v>
      </c>
      <c r="B29" s="2" t="s">
        <v>317</v>
      </c>
      <c r="D29" s="2" t="s">
        <v>315</v>
      </c>
      <c r="E29" s="2" t="s">
        <v>5752</v>
      </c>
      <c r="F29" s="2" t="s">
        <v>5753</v>
      </c>
      <c r="G29" s="2">
        <v>0.3</v>
      </c>
      <c r="I29" s="2">
        <v>300</v>
      </c>
      <c r="J29" s="2" t="s">
        <v>187</v>
      </c>
      <c r="K29" s="2" t="s">
        <v>308</v>
      </c>
      <c r="M29" s="2">
        <v>0.3</v>
      </c>
      <c r="N29" s="2">
        <v>1</v>
      </c>
      <c r="O29" s="2" t="s">
        <v>5737</v>
      </c>
      <c r="R29" s="2">
        <v>2010</v>
      </c>
      <c r="S29" s="2" t="s">
        <v>5750</v>
      </c>
    </row>
    <row r="30" spans="1:22">
      <c r="A30" s="2" t="s">
        <v>316</v>
      </c>
      <c r="B30" s="2" t="s">
        <v>317</v>
      </c>
      <c r="D30" s="2" t="s">
        <v>315</v>
      </c>
      <c r="E30" s="2" t="s">
        <v>5754</v>
      </c>
      <c r="F30" s="2" t="s">
        <v>5745</v>
      </c>
      <c r="G30" s="2">
        <v>0.2</v>
      </c>
      <c r="I30" s="2">
        <v>200</v>
      </c>
      <c r="J30" s="2" t="s">
        <v>188</v>
      </c>
      <c r="M30" s="2">
        <v>0.2</v>
      </c>
      <c r="N30" s="2">
        <v>0.82</v>
      </c>
      <c r="O30" s="2" t="s">
        <v>5734</v>
      </c>
      <c r="Q30" s="2">
        <v>2016</v>
      </c>
      <c r="R30" s="2">
        <v>2016</v>
      </c>
      <c r="S30" s="2" t="s">
        <v>5739</v>
      </c>
      <c r="V30" s="2" t="s">
        <v>188</v>
      </c>
    </row>
    <row r="31" spans="1:22">
      <c r="A31" s="2" t="s">
        <v>802</v>
      </c>
      <c r="B31" s="2" t="s">
        <v>802</v>
      </c>
      <c r="D31" s="2" t="s">
        <v>799</v>
      </c>
      <c r="E31" s="2" t="s">
        <v>5755</v>
      </c>
      <c r="F31" s="2" t="s">
        <v>5736</v>
      </c>
      <c r="G31" s="2">
        <v>0.3</v>
      </c>
      <c r="I31" s="2">
        <v>300</v>
      </c>
      <c r="J31" s="2" t="s">
        <v>188</v>
      </c>
      <c r="M31" s="2">
        <v>0.3</v>
      </c>
      <c r="N31" s="2">
        <v>0.5</v>
      </c>
      <c r="O31" s="2" t="s">
        <v>5734</v>
      </c>
      <c r="Q31" s="2">
        <v>2012</v>
      </c>
      <c r="R31" s="2">
        <v>2012</v>
      </c>
      <c r="S31" s="2" t="s">
        <v>5738</v>
      </c>
      <c r="U31" s="2">
        <v>30</v>
      </c>
      <c r="V31" s="2" t="s">
        <v>188</v>
      </c>
    </row>
    <row r="32" spans="1:22">
      <c r="A32" s="2" t="s">
        <v>802</v>
      </c>
      <c r="B32" s="2" t="s">
        <v>802</v>
      </c>
      <c r="D32" s="2" t="s">
        <v>799</v>
      </c>
      <c r="E32" s="2" t="s">
        <v>5756</v>
      </c>
      <c r="F32" s="2" t="s">
        <v>5731</v>
      </c>
      <c r="G32" s="2">
        <v>0.4</v>
      </c>
      <c r="I32" s="2">
        <v>400</v>
      </c>
      <c r="J32" s="2" t="s">
        <v>188</v>
      </c>
      <c r="M32" s="2">
        <v>0.4</v>
      </c>
      <c r="N32" s="2">
        <v>0.7</v>
      </c>
      <c r="O32" s="2" t="s">
        <v>5734</v>
      </c>
      <c r="Q32" s="2">
        <v>2018</v>
      </c>
      <c r="R32" s="2">
        <v>2018</v>
      </c>
      <c r="S32" s="2" t="s">
        <v>5738</v>
      </c>
      <c r="U32" s="2">
        <v>30</v>
      </c>
      <c r="V32" s="2" t="s">
        <v>188</v>
      </c>
    </row>
    <row r="33" spans="1:22">
      <c r="A33" s="2" t="s">
        <v>802</v>
      </c>
      <c r="B33" s="2" t="s">
        <v>802</v>
      </c>
      <c r="D33" s="2" t="s">
        <v>799</v>
      </c>
      <c r="E33" s="2" t="s">
        <v>5757</v>
      </c>
      <c r="F33" s="2" t="s">
        <v>5758</v>
      </c>
      <c r="G33" s="2">
        <v>0.2</v>
      </c>
      <c r="I33" s="2">
        <v>200</v>
      </c>
      <c r="J33" s="2" t="s">
        <v>188</v>
      </c>
      <c r="M33" s="2">
        <v>0.2</v>
      </c>
      <c r="N33" s="2">
        <v>0.3</v>
      </c>
      <c r="O33" s="2" t="s">
        <v>5734</v>
      </c>
      <c r="Q33" s="2">
        <v>2015</v>
      </c>
      <c r="R33" s="2">
        <v>2015</v>
      </c>
      <c r="S33" s="2" t="s">
        <v>5738</v>
      </c>
      <c r="U33" s="2">
        <v>30</v>
      </c>
      <c r="V33" s="2" t="s">
        <v>188</v>
      </c>
    </row>
    <row r="34" spans="1:22">
      <c r="A34" s="2" t="s">
        <v>802</v>
      </c>
      <c r="B34" s="2" t="s">
        <v>802</v>
      </c>
      <c r="D34" s="2" t="s">
        <v>799</v>
      </c>
      <c r="E34" s="2" t="s">
        <v>5759</v>
      </c>
      <c r="F34" s="2" t="s">
        <v>5743</v>
      </c>
      <c r="G34" s="2">
        <v>0.2</v>
      </c>
      <c r="I34" s="2">
        <v>200</v>
      </c>
      <c r="J34" s="2" t="s">
        <v>188</v>
      </c>
      <c r="M34" s="2">
        <v>0.2</v>
      </c>
      <c r="N34" s="2">
        <v>0.5</v>
      </c>
      <c r="O34" s="2" t="s">
        <v>5734</v>
      </c>
      <c r="Q34" s="2">
        <v>2013</v>
      </c>
      <c r="R34" s="2">
        <v>2013</v>
      </c>
      <c r="S34" s="2" t="s">
        <v>5738</v>
      </c>
      <c r="U34" s="2">
        <v>30</v>
      </c>
      <c r="V34" s="2" t="s">
        <v>188</v>
      </c>
    </row>
    <row r="35" spans="1:22">
      <c r="A35" s="2" t="s">
        <v>338</v>
      </c>
      <c r="B35" s="2" t="s">
        <v>338</v>
      </c>
      <c r="D35" s="2" t="s">
        <v>337</v>
      </c>
      <c r="E35" s="2" t="s">
        <v>5760</v>
      </c>
      <c r="G35" s="2">
        <v>0.5</v>
      </c>
      <c r="I35" s="2">
        <v>500</v>
      </c>
      <c r="J35" s="2" t="s">
        <v>188</v>
      </c>
      <c r="M35" s="2">
        <v>0.5</v>
      </c>
      <c r="N35" s="2">
        <v>1</v>
      </c>
      <c r="O35" s="2" t="s">
        <v>5734</v>
      </c>
      <c r="R35" s="2">
        <v>2022</v>
      </c>
      <c r="S35" s="2" t="s">
        <v>5739</v>
      </c>
      <c r="V35" s="2" t="s">
        <v>187</v>
      </c>
    </row>
    <row r="36" spans="1:22">
      <c r="A36" s="2" t="s">
        <v>338</v>
      </c>
      <c r="B36" s="2" t="s">
        <v>338</v>
      </c>
      <c r="D36" s="2" t="s">
        <v>337</v>
      </c>
      <c r="E36" s="2" t="s">
        <v>5761</v>
      </c>
      <c r="G36" s="2">
        <v>0.7</v>
      </c>
      <c r="I36" s="2">
        <v>700</v>
      </c>
      <c r="J36" s="2" t="s">
        <v>187</v>
      </c>
      <c r="K36" s="2" t="s">
        <v>308</v>
      </c>
      <c r="M36" s="2">
        <v>0.7</v>
      </c>
      <c r="N36" s="2">
        <v>2</v>
      </c>
      <c r="O36" s="2" t="s">
        <v>5737</v>
      </c>
      <c r="R36" s="2">
        <v>2016</v>
      </c>
      <c r="S36" s="2" t="s">
        <v>5735</v>
      </c>
      <c r="V36" s="2" t="s">
        <v>187</v>
      </c>
    </row>
    <row r="37" spans="1:22">
      <c r="A37" s="2" t="s">
        <v>345</v>
      </c>
      <c r="B37" s="2" t="s">
        <v>345</v>
      </c>
      <c r="D37" s="2" t="s">
        <v>344</v>
      </c>
      <c r="E37" s="2" t="s">
        <v>5762</v>
      </c>
      <c r="G37" s="2">
        <v>1.5</v>
      </c>
      <c r="I37" s="2">
        <v>1500</v>
      </c>
      <c r="J37" s="2" t="s">
        <v>187</v>
      </c>
      <c r="K37" s="2" t="s">
        <v>308</v>
      </c>
      <c r="M37" s="2">
        <v>0.5</v>
      </c>
      <c r="N37" s="2">
        <v>2</v>
      </c>
      <c r="O37" s="2" t="s">
        <v>5734</v>
      </c>
      <c r="Q37" s="2">
        <v>2023</v>
      </c>
      <c r="S37" s="2" t="s">
        <v>5735</v>
      </c>
      <c r="V37" s="2" t="s">
        <v>187</v>
      </c>
    </row>
    <row r="38" spans="1:22">
      <c r="A38" s="2" t="s">
        <v>345</v>
      </c>
      <c r="B38" s="2" t="s">
        <v>345</v>
      </c>
      <c r="D38" s="2" t="s">
        <v>344</v>
      </c>
      <c r="E38" s="2" t="s">
        <v>5763</v>
      </c>
      <c r="G38" s="2">
        <v>3.5</v>
      </c>
      <c r="I38" s="2">
        <v>3500</v>
      </c>
      <c r="J38" s="2" t="s">
        <v>187</v>
      </c>
      <c r="K38" s="2" t="s">
        <v>1523</v>
      </c>
      <c r="M38" s="2">
        <v>3.5</v>
      </c>
      <c r="N38" s="2">
        <v>10</v>
      </c>
      <c r="O38" s="2" t="s">
        <v>5737</v>
      </c>
      <c r="Q38" s="2">
        <v>1998</v>
      </c>
      <c r="R38" s="2">
        <v>2014</v>
      </c>
      <c r="S38" s="2" t="s">
        <v>5735</v>
      </c>
      <c r="V38" s="2" t="s">
        <v>187</v>
      </c>
    </row>
    <row r="39" spans="1:22">
      <c r="A39" s="2" t="s">
        <v>350</v>
      </c>
      <c r="B39" s="2" t="s">
        <v>351</v>
      </c>
      <c r="D39" s="2" t="s">
        <v>349</v>
      </c>
      <c r="E39" s="2" t="s">
        <v>5764</v>
      </c>
      <c r="G39" s="2">
        <v>0.1</v>
      </c>
      <c r="I39" s="2">
        <v>100</v>
      </c>
      <c r="J39" s="2" t="s">
        <v>187</v>
      </c>
      <c r="K39" s="2" t="s">
        <v>1523</v>
      </c>
      <c r="M39" s="2">
        <v>0.1</v>
      </c>
      <c r="N39" s="2">
        <v>0.75</v>
      </c>
      <c r="O39" s="2" t="s">
        <v>5737</v>
      </c>
      <c r="R39" s="2">
        <v>2022</v>
      </c>
      <c r="S39" s="2" t="s">
        <v>5735</v>
      </c>
      <c r="V39" s="2" t="s">
        <v>187</v>
      </c>
    </row>
    <row r="40" spans="1:22">
      <c r="A40" s="2" t="s">
        <v>350</v>
      </c>
      <c r="B40" s="2" t="s">
        <v>351</v>
      </c>
      <c r="D40" s="2" t="s">
        <v>349</v>
      </c>
      <c r="E40" s="2" t="s">
        <v>5765</v>
      </c>
      <c r="G40" s="2">
        <v>0.4</v>
      </c>
      <c r="I40" s="2">
        <v>400</v>
      </c>
      <c r="J40" s="2" t="s">
        <v>187</v>
      </c>
      <c r="K40" s="2" t="s">
        <v>5766</v>
      </c>
      <c r="M40" s="2">
        <v>0.4</v>
      </c>
      <c r="N40" s="2">
        <v>1.5</v>
      </c>
      <c r="O40" s="2" t="s">
        <v>5737</v>
      </c>
      <c r="Q40" s="2">
        <v>2010</v>
      </c>
      <c r="S40" s="2" t="s">
        <v>5735</v>
      </c>
      <c r="V40" s="2" t="s">
        <v>187</v>
      </c>
    </row>
    <row r="41" spans="1:22">
      <c r="A41" s="2" t="s">
        <v>350</v>
      </c>
      <c r="B41" s="2" t="s">
        <v>351</v>
      </c>
      <c r="D41" s="2" t="s">
        <v>349</v>
      </c>
      <c r="E41" s="2" t="s">
        <v>5767</v>
      </c>
      <c r="G41" s="2">
        <v>0.2</v>
      </c>
      <c r="I41" s="2">
        <v>200</v>
      </c>
      <c r="J41" s="2" t="s">
        <v>187</v>
      </c>
      <c r="K41" s="2" t="s">
        <v>1523</v>
      </c>
      <c r="N41" s="2">
        <v>0.2</v>
      </c>
      <c r="O41" s="2" t="s">
        <v>5737</v>
      </c>
      <c r="Q41" s="2">
        <v>2018</v>
      </c>
      <c r="S41" s="2" t="s">
        <v>5735</v>
      </c>
      <c r="U41" s="2">
        <v>50</v>
      </c>
      <c r="V41" s="2" t="s">
        <v>187</v>
      </c>
    </row>
    <row r="42" spans="1:22">
      <c r="A42" s="2" t="s">
        <v>350</v>
      </c>
      <c r="B42" s="2" t="s">
        <v>351</v>
      </c>
      <c r="D42" s="2" t="s">
        <v>349</v>
      </c>
      <c r="E42" s="2" t="s">
        <v>5768</v>
      </c>
      <c r="G42" s="2">
        <v>0.1</v>
      </c>
      <c r="I42" s="2">
        <v>100</v>
      </c>
      <c r="J42" s="2" t="s">
        <v>188</v>
      </c>
      <c r="M42" s="2">
        <v>0.1</v>
      </c>
      <c r="N42" s="2">
        <v>0.75</v>
      </c>
      <c r="O42" s="2" t="s">
        <v>5737</v>
      </c>
      <c r="R42" s="2">
        <v>2018</v>
      </c>
      <c r="S42" s="2" t="s">
        <v>5735</v>
      </c>
      <c r="V42" s="2" t="s">
        <v>187</v>
      </c>
    </row>
    <row r="43" spans="1:22">
      <c r="A43" s="2" t="s">
        <v>823</v>
      </c>
      <c r="B43" s="2" t="s">
        <v>823</v>
      </c>
      <c r="D43" s="2" t="s">
        <v>820</v>
      </c>
      <c r="E43" s="2" t="s">
        <v>5769</v>
      </c>
      <c r="F43" s="2" t="s">
        <v>5736</v>
      </c>
      <c r="G43" s="2">
        <v>0.2</v>
      </c>
      <c r="I43" s="2">
        <v>200</v>
      </c>
      <c r="J43" s="2" t="s">
        <v>188</v>
      </c>
      <c r="M43" s="2">
        <v>0</v>
      </c>
      <c r="N43" s="2">
        <v>0</v>
      </c>
      <c r="O43" s="2" t="s">
        <v>5734</v>
      </c>
      <c r="Q43" s="2">
        <v>2024</v>
      </c>
      <c r="R43" s="2">
        <v>2024</v>
      </c>
      <c r="S43" s="2" t="s">
        <v>5735</v>
      </c>
      <c r="U43" s="2">
        <v>30</v>
      </c>
      <c r="V43" s="2" t="s">
        <v>188</v>
      </c>
    </row>
    <row r="44" spans="1:22">
      <c r="A44" s="2" t="s">
        <v>823</v>
      </c>
      <c r="B44" s="2" t="s">
        <v>823</v>
      </c>
      <c r="D44" s="2" t="s">
        <v>820</v>
      </c>
      <c r="E44" s="2" t="s">
        <v>5770</v>
      </c>
      <c r="F44" s="2" t="s">
        <v>5731</v>
      </c>
      <c r="G44" s="2">
        <v>1</v>
      </c>
      <c r="I44" s="2">
        <v>1100</v>
      </c>
      <c r="J44" s="2" t="s">
        <v>187</v>
      </c>
      <c r="K44" s="2" t="s">
        <v>1523</v>
      </c>
      <c r="M44" s="2">
        <v>0</v>
      </c>
      <c r="N44" s="2">
        <v>0</v>
      </c>
      <c r="O44" s="2" t="s">
        <v>5737</v>
      </c>
      <c r="Q44" s="2">
        <v>2024</v>
      </c>
      <c r="R44" s="2">
        <v>2024</v>
      </c>
      <c r="S44" s="2" t="s">
        <v>5771</v>
      </c>
      <c r="U44" s="2">
        <v>20</v>
      </c>
      <c r="V44" s="2" t="s">
        <v>187</v>
      </c>
    </row>
    <row r="45" spans="1:22">
      <c r="A45" s="2" t="s">
        <v>921</v>
      </c>
      <c r="B45" s="2" t="s">
        <v>922</v>
      </c>
      <c r="D45" s="2" t="s">
        <v>919</v>
      </c>
      <c r="E45" s="2" t="s">
        <v>5772</v>
      </c>
      <c r="F45" s="2" t="s">
        <v>5731</v>
      </c>
      <c r="G45" s="2">
        <v>0.4</v>
      </c>
      <c r="I45" s="2">
        <v>500</v>
      </c>
      <c r="J45" s="2" t="s">
        <v>187</v>
      </c>
      <c r="K45" s="2" t="s">
        <v>5773</v>
      </c>
      <c r="M45" s="2">
        <v>0.4</v>
      </c>
      <c r="N45" s="2">
        <v>1</v>
      </c>
      <c r="O45" s="2" t="s">
        <v>5737</v>
      </c>
      <c r="Q45" s="2">
        <v>1999</v>
      </c>
      <c r="R45" s="2">
        <v>1999</v>
      </c>
      <c r="S45" s="2" t="s">
        <v>5738</v>
      </c>
      <c r="U45" s="2">
        <v>20</v>
      </c>
      <c r="V45" s="2" t="s">
        <v>187</v>
      </c>
    </row>
    <row r="46" spans="1:22">
      <c r="A46" s="2" t="s">
        <v>921</v>
      </c>
      <c r="B46" s="2" t="s">
        <v>922</v>
      </c>
      <c r="D46" s="2" t="s">
        <v>919</v>
      </c>
      <c r="E46" s="2" t="s">
        <v>5774</v>
      </c>
      <c r="F46" s="2" t="s">
        <v>5758</v>
      </c>
      <c r="G46" s="2">
        <v>0.2</v>
      </c>
      <c r="I46" s="2">
        <v>200</v>
      </c>
      <c r="J46" s="2" t="s">
        <v>188</v>
      </c>
      <c r="M46" s="2">
        <v>0.2</v>
      </c>
      <c r="N46" s="2">
        <v>0.6</v>
      </c>
      <c r="O46" s="2" t="s">
        <v>5737</v>
      </c>
      <c r="Q46" s="2">
        <v>2014</v>
      </c>
      <c r="R46" s="2">
        <v>2014</v>
      </c>
      <c r="S46" s="2" t="s">
        <v>5738</v>
      </c>
      <c r="U46" s="2">
        <v>10</v>
      </c>
      <c r="V46" s="2" t="s">
        <v>187</v>
      </c>
    </row>
    <row r="47" spans="1:22">
      <c r="A47" s="2" t="s">
        <v>921</v>
      </c>
      <c r="B47" s="2" t="s">
        <v>922</v>
      </c>
      <c r="D47" s="2" t="s">
        <v>919</v>
      </c>
      <c r="E47" s="2" t="s">
        <v>5775</v>
      </c>
      <c r="F47" s="2" t="s">
        <v>5731</v>
      </c>
      <c r="G47" s="2">
        <v>0.2</v>
      </c>
      <c r="I47" s="2">
        <v>200</v>
      </c>
      <c r="J47" s="2" t="s">
        <v>188</v>
      </c>
      <c r="M47" s="2">
        <v>0.2</v>
      </c>
      <c r="N47" s="2">
        <v>0.8</v>
      </c>
      <c r="O47" s="2" t="s">
        <v>5737</v>
      </c>
      <c r="Q47" s="2">
        <v>2015</v>
      </c>
      <c r="R47" s="2">
        <v>2015</v>
      </c>
      <c r="S47" s="2" t="s">
        <v>5742</v>
      </c>
      <c r="U47" s="2">
        <v>20</v>
      </c>
      <c r="V47" s="2" t="s">
        <v>187</v>
      </c>
    </row>
    <row r="48" spans="1:22">
      <c r="A48" s="2" t="s">
        <v>921</v>
      </c>
      <c r="B48" s="2" t="s">
        <v>922</v>
      </c>
      <c r="D48" s="2" t="s">
        <v>919</v>
      </c>
      <c r="E48" s="2" t="s">
        <v>5776</v>
      </c>
      <c r="F48" s="2" t="s">
        <v>5743</v>
      </c>
      <c r="G48" s="2">
        <v>0.2</v>
      </c>
      <c r="I48" s="2">
        <v>200</v>
      </c>
      <c r="J48" s="2" t="s">
        <v>188</v>
      </c>
      <c r="M48" s="2">
        <v>0.2</v>
      </c>
      <c r="N48" s="2">
        <v>0.6</v>
      </c>
      <c r="O48" s="2" t="s">
        <v>5737</v>
      </c>
      <c r="Q48" s="2">
        <v>2014</v>
      </c>
      <c r="R48" s="2">
        <v>2014</v>
      </c>
      <c r="S48" s="2" t="s">
        <v>5735</v>
      </c>
      <c r="U48" s="2">
        <v>10</v>
      </c>
      <c r="V48" s="2" t="s">
        <v>187</v>
      </c>
    </row>
    <row r="49" spans="1:22">
      <c r="A49" s="2" t="s">
        <v>938</v>
      </c>
      <c r="B49" s="2" t="s">
        <v>939</v>
      </c>
      <c r="D49" s="2" t="s">
        <v>936</v>
      </c>
      <c r="E49" s="2" t="s">
        <v>5777</v>
      </c>
      <c r="F49" s="2" t="s">
        <v>5736</v>
      </c>
      <c r="G49" s="2">
        <v>0.4</v>
      </c>
      <c r="I49" s="2">
        <v>400</v>
      </c>
      <c r="J49" s="2" t="s">
        <v>188</v>
      </c>
      <c r="M49" s="2">
        <v>0.4</v>
      </c>
      <c r="N49" s="2">
        <v>1.9</v>
      </c>
      <c r="O49" s="2" t="s">
        <v>5734</v>
      </c>
      <c r="Q49" s="2">
        <v>2008</v>
      </c>
      <c r="R49" s="2">
        <v>2008</v>
      </c>
      <c r="S49" s="2" t="s">
        <v>5738</v>
      </c>
      <c r="U49" s="2">
        <v>30</v>
      </c>
      <c r="V49" s="2" t="s">
        <v>188</v>
      </c>
    </row>
    <row r="50" spans="1:22">
      <c r="A50" s="2" t="s">
        <v>938</v>
      </c>
      <c r="B50" s="2" t="s">
        <v>939</v>
      </c>
      <c r="D50" s="2" t="s">
        <v>936</v>
      </c>
      <c r="E50" s="2" t="s">
        <v>5778</v>
      </c>
      <c r="F50" s="2" t="s">
        <v>5731</v>
      </c>
      <c r="G50" s="2">
        <v>0.5</v>
      </c>
      <c r="I50" s="2">
        <v>480</v>
      </c>
      <c r="J50" s="2" t="s">
        <v>187</v>
      </c>
      <c r="K50" s="2" t="s">
        <v>308</v>
      </c>
      <c r="M50" s="2">
        <v>0.5</v>
      </c>
      <c r="N50" s="2">
        <v>2.1</v>
      </c>
      <c r="O50" s="2" t="s">
        <v>5734</v>
      </c>
      <c r="Q50" s="2">
        <v>2007</v>
      </c>
      <c r="R50" s="2">
        <v>2008</v>
      </c>
      <c r="S50" s="2" t="s">
        <v>5738</v>
      </c>
      <c r="U50" s="2">
        <v>30</v>
      </c>
      <c r="V50" s="2" t="s">
        <v>188</v>
      </c>
    </row>
    <row r="51" spans="1:22">
      <c r="A51" s="2" t="s">
        <v>356</v>
      </c>
      <c r="B51" s="2" t="s">
        <v>356</v>
      </c>
      <c r="D51" s="2" t="s">
        <v>355</v>
      </c>
      <c r="E51" s="2" t="s">
        <v>5779</v>
      </c>
      <c r="G51" s="2">
        <v>0.5</v>
      </c>
      <c r="I51" s="2">
        <v>500</v>
      </c>
      <c r="J51" s="2" t="s">
        <v>188</v>
      </c>
      <c r="M51" s="2">
        <v>0.5</v>
      </c>
      <c r="N51" s="2">
        <v>0.3</v>
      </c>
      <c r="O51" s="2" t="s">
        <v>5737</v>
      </c>
      <c r="S51" s="2" t="s">
        <v>5735</v>
      </c>
      <c r="V51" s="2" t="s">
        <v>187</v>
      </c>
    </row>
    <row r="52" spans="1:22">
      <c r="A52" s="2" t="s">
        <v>356</v>
      </c>
      <c r="B52" s="2" t="s">
        <v>356</v>
      </c>
      <c r="D52" s="2" t="s">
        <v>355</v>
      </c>
      <c r="E52" s="2" t="s">
        <v>5780</v>
      </c>
      <c r="G52" s="2">
        <v>0.6</v>
      </c>
      <c r="I52" s="2">
        <v>600</v>
      </c>
      <c r="J52" s="2" t="s">
        <v>188</v>
      </c>
      <c r="M52" s="2">
        <v>0.6</v>
      </c>
      <c r="N52" s="2">
        <v>0.6</v>
      </c>
      <c r="O52" s="2" t="s">
        <v>5737</v>
      </c>
      <c r="Q52" s="2">
        <v>2020</v>
      </c>
      <c r="S52" s="2" t="s">
        <v>5750</v>
      </c>
      <c r="V52" s="2" t="s">
        <v>188</v>
      </c>
    </row>
    <row r="53" spans="1:22">
      <c r="A53" s="2" t="s">
        <v>356</v>
      </c>
      <c r="B53" s="2" t="s">
        <v>356</v>
      </c>
      <c r="D53" s="2" t="s">
        <v>355</v>
      </c>
      <c r="E53" s="2" t="s">
        <v>5781</v>
      </c>
      <c r="G53" s="2">
        <v>0.5</v>
      </c>
      <c r="I53" s="2">
        <v>500</v>
      </c>
      <c r="J53" s="2" t="s">
        <v>187</v>
      </c>
      <c r="K53" s="2" t="s">
        <v>1523</v>
      </c>
      <c r="O53" s="2" t="s">
        <v>5734</v>
      </c>
      <c r="Q53" s="2">
        <v>2024</v>
      </c>
      <c r="S53" s="2" t="s">
        <v>5739</v>
      </c>
      <c r="V53" s="2" t="s">
        <v>188</v>
      </c>
    </row>
    <row r="54" spans="1:22">
      <c r="A54" s="2" t="s">
        <v>356</v>
      </c>
      <c r="B54" s="2" t="s">
        <v>356</v>
      </c>
      <c r="D54" s="2" t="s">
        <v>355</v>
      </c>
      <c r="E54" s="2" t="s">
        <v>5782</v>
      </c>
      <c r="G54" s="2">
        <v>0.6</v>
      </c>
      <c r="I54" s="2">
        <v>600</v>
      </c>
      <c r="J54" s="2" t="s">
        <v>188</v>
      </c>
      <c r="M54" s="2">
        <v>0.6</v>
      </c>
      <c r="N54" s="2">
        <v>0.3</v>
      </c>
      <c r="O54" s="2" t="s">
        <v>5737</v>
      </c>
      <c r="S54" s="2" t="s">
        <v>5735</v>
      </c>
      <c r="V54" s="2" t="s">
        <v>187</v>
      </c>
    </row>
    <row r="55" spans="1:22">
      <c r="A55" s="2" t="s">
        <v>2549</v>
      </c>
      <c r="B55" s="2" t="s">
        <v>2549</v>
      </c>
      <c r="D55" s="2" t="s">
        <v>2547</v>
      </c>
      <c r="E55" s="2" t="s">
        <v>5783</v>
      </c>
      <c r="F55" s="2">
        <v>3</v>
      </c>
      <c r="G55" s="2">
        <v>0.3</v>
      </c>
      <c r="H55" s="2">
        <v>0</v>
      </c>
      <c r="I55" s="2">
        <v>300</v>
      </c>
      <c r="J55" s="2" t="s">
        <v>187</v>
      </c>
      <c r="K55" s="2" t="s">
        <v>308</v>
      </c>
      <c r="M55" s="2">
        <v>0.3</v>
      </c>
      <c r="N55" s="2">
        <v>0.6</v>
      </c>
      <c r="O55" s="2" t="s">
        <v>5737</v>
      </c>
      <c r="Q55" s="2">
        <v>2000</v>
      </c>
      <c r="R55" s="2">
        <v>2000</v>
      </c>
      <c r="S55" s="2" t="s">
        <v>5738</v>
      </c>
      <c r="U55" s="2">
        <v>30</v>
      </c>
      <c r="V55" s="2" t="s">
        <v>187</v>
      </c>
    </row>
    <row r="56" spans="1:22">
      <c r="A56" s="2" t="s">
        <v>360</v>
      </c>
      <c r="B56" s="2" t="s">
        <v>361</v>
      </c>
      <c r="D56" s="2" t="s">
        <v>359</v>
      </c>
      <c r="E56" s="2" t="s">
        <v>5784</v>
      </c>
      <c r="G56" s="2">
        <v>0.2</v>
      </c>
      <c r="I56" s="2">
        <v>200</v>
      </c>
      <c r="J56" s="2" t="s">
        <v>187</v>
      </c>
      <c r="K56" s="2" t="s">
        <v>1523</v>
      </c>
      <c r="M56" s="2">
        <v>0.2</v>
      </c>
      <c r="N56" s="2">
        <v>0.3</v>
      </c>
      <c r="O56" s="2" t="s">
        <v>5734</v>
      </c>
      <c r="Q56" s="2">
        <v>2023</v>
      </c>
      <c r="S56" s="2" t="s">
        <v>5739</v>
      </c>
      <c r="V56" s="2" t="s">
        <v>187</v>
      </c>
    </row>
    <row r="57" spans="1:22">
      <c r="A57" s="2" t="s">
        <v>360</v>
      </c>
      <c r="B57" s="2" t="s">
        <v>361</v>
      </c>
      <c r="D57" s="2" t="s">
        <v>359</v>
      </c>
      <c r="E57" s="2" t="s">
        <v>5785</v>
      </c>
      <c r="G57" s="2">
        <v>0.5</v>
      </c>
      <c r="I57" s="2">
        <v>500</v>
      </c>
      <c r="J57" s="2" t="s">
        <v>188</v>
      </c>
      <c r="M57" s="2">
        <v>0.5</v>
      </c>
      <c r="N57" s="2">
        <v>2.2000000000000002</v>
      </c>
      <c r="O57" s="2" t="s">
        <v>5734</v>
      </c>
      <c r="Q57" s="2">
        <v>2007</v>
      </c>
      <c r="S57" s="2" t="s">
        <v>5735</v>
      </c>
      <c r="V57" s="2" t="s">
        <v>188</v>
      </c>
    </row>
    <row r="58" spans="1:22">
      <c r="A58" s="2" t="s">
        <v>365</v>
      </c>
      <c r="B58" s="2" t="s">
        <v>365</v>
      </c>
      <c r="D58" s="2" t="s">
        <v>364</v>
      </c>
      <c r="E58" s="2" t="s">
        <v>5786</v>
      </c>
      <c r="G58" s="2">
        <v>1</v>
      </c>
      <c r="I58" s="2">
        <v>1000</v>
      </c>
      <c r="J58" s="2" t="s">
        <v>187</v>
      </c>
      <c r="K58" s="2" t="s">
        <v>308</v>
      </c>
      <c r="M58" s="2">
        <v>1</v>
      </c>
      <c r="N58" s="2">
        <v>4</v>
      </c>
      <c r="O58" s="2" t="s">
        <v>5737</v>
      </c>
      <c r="Q58" s="2">
        <v>1997</v>
      </c>
      <c r="S58" s="2" t="s">
        <v>5735</v>
      </c>
      <c r="V58" s="2" t="s">
        <v>187</v>
      </c>
    </row>
    <row r="59" spans="1:22">
      <c r="A59" s="2" t="s">
        <v>365</v>
      </c>
      <c r="B59" s="2" t="s">
        <v>365</v>
      </c>
      <c r="D59" s="2" t="s">
        <v>364</v>
      </c>
      <c r="E59" s="2" t="s">
        <v>5787</v>
      </c>
      <c r="G59" s="2">
        <v>0.8</v>
      </c>
      <c r="I59" s="2">
        <v>800</v>
      </c>
      <c r="J59" s="2" t="s">
        <v>187</v>
      </c>
      <c r="K59" s="2" t="s">
        <v>308</v>
      </c>
      <c r="M59" s="2">
        <v>0.8</v>
      </c>
      <c r="N59" s="2">
        <v>3</v>
      </c>
      <c r="O59" s="2" t="s">
        <v>5734</v>
      </c>
      <c r="Q59" s="2">
        <v>2013</v>
      </c>
      <c r="S59" s="2" t="s">
        <v>5735</v>
      </c>
      <c r="V59" s="2" t="s">
        <v>188</v>
      </c>
    </row>
    <row r="60" spans="1:22">
      <c r="A60" s="2" t="s">
        <v>1933</v>
      </c>
      <c r="B60" s="2" t="s">
        <v>2499</v>
      </c>
      <c r="D60" s="2" t="s">
        <v>2497</v>
      </c>
      <c r="E60" s="2" t="s">
        <v>5788</v>
      </c>
      <c r="F60" s="2">
        <v>1</v>
      </c>
      <c r="G60" s="2">
        <v>1.2</v>
      </c>
      <c r="H60" s="2">
        <v>0</v>
      </c>
      <c r="I60" s="2">
        <v>1300</v>
      </c>
      <c r="J60" s="2" t="s">
        <v>187</v>
      </c>
      <c r="K60" s="2" t="s">
        <v>308</v>
      </c>
      <c r="M60" s="2">
        <v>1.2</v>
      </c>
      <c r="N60" s="2">
        <v>4</v>
      </c>
      <c r="O60" s="2" t="s">
        <v>5737</v>
      </c>
      <c r="Q60" s="2">
        <v>2020</v>
      </c>
      <c r="R60" s="2">
        <v>2020</v>
      </c>
      <c r="S60" s="2" t="s">
        <v>5742</v>
      </c>
      <c r="U60" s="2">
        <v>35</v>
      </c>
      <c r="V60" s="2" t="s">
        <v>187</v>
      </c>
    </row>
    <row r="61" spans="1:22">
      <c r="A61" s="2" t="s">
        <v>2488</v>
      </c>
      <c r="B61" s="2" t="s">
        <v>2488</v>
      </c>
      <c r="D61" s="2" t="s">
        <v>2486</v>
      </c>
      <c r="E61" s="2" t="s">
        <v>5789</v>
      </c>
      <c r="F61" s="2">
        <v>1</v>
      </c>
      <c r="G61" s="2">
        <v>1</v>
      </c>
      <c r="H61" s="2">
        <v>0</v>
      </c>
      <c r="I61" s="2">
        <v>1000</v>
      </c>
      <c r="J61" s="2" t="s">
        <v>187</v>
      </c>
      <c r="K61" s="2" t="s">
        <v>1523</v>
      </c>
      <c r="M61" s="2">
        <v>1</v>
      </c>
      <c r="N61" s="2">
        <v>3</v>
      </c>
      <c r="O61" s="2" t="s">
        <v>5737</v>
      </c>
      <c r="Q61" s="2">
        <v>2000</v>
      </c>
      <c r="R61" s="2">
        <v>2000</v>
      </c>
      <c r="S61" s="2" t="s">
        <v>5738</v>
      </c>
      <c r="U61" s="2">
        <v>35</v>
      </c>
      <c r="V61" s="2" t="s">
        <v>187</v>
      </c>
    </row>
    <row r="62" spans="1:22">
      <c r="A62" s="2" t="s">
        <v>370</v>
      </c>
      <c r="B62" s="2" t="s">
        <v>371</v>
      </c>
      <c r="D62" s="2" t="s">
        <v>368</v>
      </c>
      <c r="E62" s="2" t="s">
        <v>5790</v>
      </c>
      <c r="G62" s="2">
        <v>0.5</v>
      </c>
      <c r="I62" s="2">
        <v>500</v>
      </c>
      <c r="J62" s="2" t="s">
        <v>187</v>
      </c>
      <c r="K62" s="2" t="s">
        <v>5791</v>
      </c>
      <c r="M62" s="2">
        <v>0.5</v>
      </c>
      <c r="N62" s="2">
        <v>1.7</v>
      </c>
      <c r="O62" s="2" t="s">
        <v>5737</v>
      </c>
      <c r="Q62" s="2">
        <v>2013</v>
      </c>
      <c r="S62" s="2" t="s">
        <v>5735</v>
      </c>
      <c r="V62" s="2" t="s">
        <v>187</v>
      </c>
    </row>
    <row r="63" spans="1:22">
      <c r="A63" s="2" t="s">
        <v>370</v>
      </c>
      <c r="B63" s="2" t="s">
        <v>371</v>
      </c>
      <c r="D63" s="2" t="s">
        <v>368</v>
      </c>
      <c r="E63" s="2" t="s">
        <v>5792</v>
      </c>
      <c r="G63" s="2">
        <v>1.5</v>
      </c>
      <c r="I63" s="2">
        <v>1500</v>
      </c>
      <c r="J63" s="2" t="s">
        <v>188</v>
      </c>
      <c r="M63" s="2">
        <v>1.5</v>
      </c>
      <c r="N63" s="2">
        <v>3.6</v>
      </c>
      <c r="O63" s="2" t="s">
        <v>5734</v>
      </c>
      <c r="Q63" s="2">
        <v>2021</v>
      </c>
      <c r="S63" s="2" t="s">
        <v>5739</v>
      </c>
      <c r="V63" s="2" t="s">
        <v>188</v>
      </c>
    </row>
    <row r="64" spans="1:22">
      <c r="A64" s="2" t="s">
        <v>370</v>
      </c>
      <c r="B64" s="2" t="s">
        <v>371</v>
      </c>
      <c r="D64" s="2" t="s">
        <v>368</v>
      </c>
      <c r="E64" s="2" t="s">
        <v>5793</v>
      </c>
      <c r="G64" s="2">
        <v>1</v>
      </c>
      <c r="I64" s="2">
        <v>1000</v>
      </c>
      <c r="J64" s="2" t="s">
        <v>187</v>
      </c>
      <c r="K64" s="2" t="s">
        <v>5794</v>
      </c>
      <c r="M64" s="2">
        <v>1</v>
      </c>
      <c r="N64" s="2">
        <v>5</v>
      </c>
      <c r="O64" s="2" t="s">
        <v>5737</v>
      </c>
      <c r="S64" s="2" t="s">
        <v>5735</v>
      </c>
      <c r="V64" s="2" t="s">
        <v>188</v>
      </c>
    </row>
    <row r="65" spans="1:22">
      <c r="A65" s="2" t="s">
        <v>377</v>
      </c>
      <c r="B65" s="2" t="s">
        <v>378</v>
      </c>
      <c r="D65" s="2" t="s">
        <v>375</v>
      </c>
      <c r="E65" s="2" t="s">
        <v>5795</v>
      </c>
      <c r="G65" s="2">
        <v>1</v>
      </c>
      <c r="I65" s="2">
        <v>1000</v>
      </c>
      <c r="J65" s="2" t="s">
        <v>187</v>
      </c>
      <c r="K65" s="2" t="s">
        <v>1523</v>
      </c>
      <c r="M65" s="2">
        <v>1</v>
      </c>
      <c r="N65" s="2">
        <v>3</v>
      </c>
      <c r="O65" s="2" t="s">
        <v>5734</v>
      </c>
      <c r="Q65" s="2">
        <v>2023</v>
      </c>
      <c r="S65" s="2" t="s">
        <v>5739</v>
      </c>
      <c r="V65" s="2" t="s">
        <v>188</v>
      </c>
    </row>
    <row r="66" spans="1:22">
      <c r="A66" s="2" t="s">
        <v>377</v>
      </c>
      <c r="B66" s="2" t="s">
        <v>378</v>
      </c>
      <c r="D66" s="2" t="s">
        <v>375</v>
      </c>
      <c r="E66" s="2" t="s">
        <v>5796</v>
      </c>
      <c r="G66" s="2">
        <v>2</v>
      </c>
      <c r="I66" s="2">
        <v>2000</v>
      </c>
      <c r="J66" s="2" t="s">
        <v>187</v>
      </c>
      <c r="K66" s="2" t="s">
        <v>5797</v>
      </c>
      <c r="M66" s="2">
        <v>2</v>
      </c>
      <c r="N66" s="2">
        <v>8</v>
      </c>
      <c r="O66" s="2" t="s">
        <v>5737</v>
      </c>
      <c r="Q66" s="2">
        <v>1997</v>
      </c>
      <c r="S66" s="2" t="s">
        <v>5735</v>
      </c>
      <c r="V66" s="2" t="s">
        <v>187</v>
      </c>
    </row>
    <row r="67" spans="1:22">
      <c r="A67" s="2" t="s">
        <v>377</v>
      </c>
      <c r="B67" s="2" t="s">
        <v>378</v>
      </c>
      <c r="D67" s="2" t="s">
        <v>375</v>
      </c>
      <c r="E67" s="2" t="s">
        <v>5798</v>
      </c>
      <c r="G67" s="2">
        <v>1</v>
      </c>
      <c r="I67" s="2">
        <v>1000</v>
      </c>
      <c r="J67" s="2" t="s">
        <v>187</v>
      </c>
      <c r="K67" s="2" t="s">
        <v>5794</v>
      </c>
      <c r="M67" s="2">
        <v>1</v>
      </c>
      <c r="N67" s="2">
        <v>5</v>
      </c>
      <c r="O67" s="2" t="s">
        <v>5737</v>
      </c>
      <c r="Q67" s="2">
        <v>2013</v>
      </c>
      <c r="S67" s="2" t="s">
        <v>5735</v>
      </c>
    </row>
    <row r="68" spans="1:22">
      <c r="A68" s="2" t="s">
        <v>386</v>
      </c>
      <c r="B68" s="2" t="s">
        <v>387</v>
      </c>
      <c r="D68" s="2" t="s">
        <v>384</v>
      </c>
      <c r="E68" s="2" t="s">
        <v>5799</v>
      </c>
      <c r="G68" s="2">
        <v>1.3</v>
      </c>
      <c r="I68" s="2">
        <v>1300</v>
      </c>
      <c r="J68" s="2" t="s">
        <v>187</v>
      </c>
      <c r="K68" s="2" t="s">
        <v>5800</v>
      </c>
      <c r="M68" s="2">
        <v>1.3</v>
      </c>
      <c r="N68" s="2">
        <v>5</v>
      </c>
      <c r="O68" s="2" t="s">
        <v>5737</v>
      </c>
      <c r="R68" s="2">
        <v>2007</v>
      </c>
      <c r="S68" s="2" t="s">
        <v>5735</v>
      </c>
      <c r="V68" s="2" t="s">
        <v>187</v>
      </c>
    </row>
    <row r="69" spans="1:22">
      <c r="A69" s="2" t="s">
        <v>809</v>
      </c>
      <c r="B69" s="2" t="s">
        <v>810</v>
      </c>
      <c r="D69" s="2" t="s">
        <v>808</v>
      </c>
      <c r="E69" s="2" t="s">
        <v>5801</v>
      </c>
      <c r="G69" s="2">
        <v>1</v>
      </c>
      <c r="I69" s="2">
        <v>1000</v>
      </c>
      <c r="J69" s="2" t="s">
        <v>187</v>
      </c>
      <c r="K69" s="2" t="s">
        <v>5797</v>
      </c>
      <c r="M69" s="2">
        <v>1</v>
      </c>
      <c r="N69" s="2">
        <v>1.8</v>
      </c>
      <c r="O69" s="2" t="s">
        <v>5737</v>
      </c>
      <c r="Q69" s="2">
        <v>2013</v>
      </c>
      <c r="S69" s="2" t="s">
        <v>5735</v>
      </c>
      <c r="V69" s="2" t="s">
        <v>187</v>
      </c>
    </row>
    <row r="70" spans="1:22">
      <c r="A70" s="2" t="s">
        <v>809</v>
      </c>
      <c r="B70" s="2" t="s">
        <v>810</v>
      </c>
      <c r="D70" s="2" t="s">
        <v>808</v>
      </c>
      <c r="E70" s="2" t="s">
        <v>5802</v>
      </c>
      <c r="G70" s="2">
        <v>0.5</v>
      </c>
      <c r="I70" s="2">
        <v>500</v>
      </c>
      <c r="J70" s="2" t="s">
        <v>187</v>
      </c>
      <c r="K70" s="2" t="s">
        <v>5797</v>
      </c>
      <c r="M70" s="2">
        <v>0.5</v>
      </c>
      <c r="N70" s="2">
        <v>1</v>
      </c>
      <c r="O70" s="2" t="s">
        <v>5737</v>
      </c>
      <c r="Q70" s="2">
        <v>2015</v>
      </c>
      <c r="S70" s="2" t="s">
        <v>5735</v>
      </c>
      <c r="V70" s="2" t="s">
        <v>187</v>
      </c>
    </row>
    <row r="71" spans="1:22">
      <c r="A71" s="2" t="s">
        <v>809</v>
      </c>
      <c r="B71" s="2" t="s">
        <v>810</v>
      </c>
      <c r="D71" s="2" t="s">
        <v>808</v>
      </c>
      <c r="E71" s="2" t="s">
        <v>5803</v>
      </c>
      <c r="G71" s="2">
        <v>0.5</v>
      </c>
      <c r="I71" s="2">
        <v>500</v>
      </c>
      <c r="J71" s="2" t="s">
        <v>187</v>
      </c>
      <c r="K71" s="2" t="s">
        <v>308</v>
      </c>
      <c r="M71" s="2">
        <v>0.5</v>
      </c>
      <c r="N71" s="2">
        <v>0.4</v>
      </c>
      <c r="O71" s="2" t="s">
        <v>5734</v>
      </c>
      <c r="R71" s="2">
        <v>2024</v>
      </c>
      <c r="S71" s="2" t="s">
        <v>5739</v>
      </c>
      <c r="V71" s="2" t="s">
        <v>188</v>
      </c>
    </row>
    <row r="72" spans="1:22">
      <c r="A72" s="2" t="s">
        <v>814</v>
      </c>
      <c r="B72" s="2" t="s">
        <v>815</v>
      </c>
      <c r="D72" s="2" t="s">
        <v>813</v>
      </c>
      <c r="E72" s="2" t="s">
        <v>5804</v>
      </c>
      <c r="G72" s="2">
        <v>0.3</v>
      </c>
      <c r="I72" s="2">
        <v>300</v>
      </c>
      <c r="J72" s="2" t="s">
        <v>187</v>
      </c>
      <c r="K72" s="2" t="s">
        <v>5797</v>
      </c>
      <c r="M72" s="2">
        <v>0.3</v>
      </c>
      <c r="N72" s="2">
        <v>1</v>
      </c>
      <c r="O72" s="2" t="s">
        <v>5737</v>
      </c>
      <c r="S72" s="2" t="s">
        <v>5735</v>
      </c>
      <c r="V72" s="2" t="s">
        <v>187</v>
      </c>
    </row>
    <row r="73" spans="1:22">
      <c r="A73" s="2" t="s">
        <v>814</v>
      </c>
      <c r="B73" s="2" t="s">
        <v>815</v>
      </c>
      <c r="D73" s="2" t="s">
        <v>813</v>
      </c>
      <c r="E73" s="2" t="s">
        <v>5805</v>
      </c>
      <c r="G73" s="2">
        <v>0.2</v>
      </c>
      <c r="I73" s="2">
        <v>200</v>
      </c>
      <c r="J73" s="2" t="s">
        <v>187</v>
      </c>
      <c r="K73" s="2" t="s">
        <v>1523</v>
      </c>
      <c r="M73" s="2">
        <v>0.2</v>
      </c>
      <c r="N73" s="2">
        <v>0.5</v>
      </c>
      <c r="O73" s="2" t="s">
        <v>5734</v>
      </c>
      <c r="S73" s="2" t="s">
        <v>5739</v>
      </c>
      <c r="V73" s="2" t="s">
        <v>188</v>
      </c>
    </row>
    <row r="74" spans="1:22">
      <c r="A74" s="2" t="s">
        <v>814</v>
      </c>
      <c r="B74" s="2" t="s">
        <v>815</v>
      </c>
      <c r="D74" s="2" t="s">
        <v>813</v>
      </c>
      <c r="E74" s="2" t="s">
        <v>5806</v>
      </c>
      <c r="G74" s="2">
        <v>0.5</v>
      </c>
      <c r="I74" s="2">
        <v>500</v>
      </c>
      <c r="J74" s="2" t="s">
        <v>187</v>
      </c>
      <c r="K74" s="2" t="s">
        <v>5797</v>
      </c>
      <c r="M74" s="2">
        <v>0.5</v>
      </c>
      <c r="N74" s="2">
        <v>1.5</v>
      </c>
      <c r="O74" s="2" t="s">
        <v>5737</v>
      </c>
      <c r="R74" s="2">
        <v>2000</v>
      </c>
      <c r="S74" s="2" t="s">
        <v>5735</v>
      </c>
      <c r="V74" s="2" t="s">
        <v>187</v>
      </c>
    </row>
    <row r="75" spans="1:22">
      <c r="A75" s="2" t="s">
        <v>284</v>
      </c>
      <c r="B75" s="2" t="s">
        <v>284</v>
      </c>
      <c r="D75" s="2" t="s">
        <v>283</v>
      </c>
      <c r="E75" s="2" t="s">
        <v>5807</v>
      </c>
      <c r="F75" s="2">
        <v>2</v>
      </c>
      <c r="G75" s="2">
        <v>0.1</v>
      </c>
      <c r="I75" s="2">
        <v>300</v>
      </c>
      <c r="J75" s="2" t="s">
        <v>188</v>
      </c>
      <c r="M75" s="2">
        <v>0</v>
      </c>
      <c r="N75" s="2">
        <v>0</v>
      </c>
      <c r="O75" s="2" t="s">
        <v>5737</v>
      </c>
      <c r="Q75" s="2">
        <v>2025</v>
      </c>
      <c r="S75" s="2" t="s">
        <v>5735</v>
      </c>
      <c r="U75" s="2">
        <v>25</v>
      </c>
      <c r="V75" s="2" t="s">
        <v>187</v>
      </c>
    </row>
    <row r="76" spans="1:22">
      <c r="A76" s="2" t="s">
        <v>284</v>
      </c>
      <c r="B76" s="2" t="s">
        <v>284</v>
      </c>
      <c r="D76" s="2" t="s">
        <v>283</v>
      </c>
      <c r="E76" s="2" t="s">
        <v>5808</v>
      </c>
      <c r="F76" s="2">
        <v>1</v>
      </c>
      <c r="G76" s="2">
        <v>0.4</v>
      </c>
      <c r="I76" s="2">
        <v>400</v>
      </c>
      <c r="J76" s="2" t="s">
        <v>188</v>
      </c>
      <c r="M76" s="2">
        <v>0.4</v>
      </c>
      <c r="N76" s="2">
        <v>1.7</v>
      </c>
      <c r="O76" s="2" t="s">
        <v>5734</v>
      </c>
      <c r="Q76" s="2">
        <v>2019</v>
      </c>
      <c r="R76" s="2">
        <v>2019</v>
      </c>
      <c r="S76" s="2" t="s">
        <v>5738</v>
      </c>
      <c r="U76" s="2">
        <v>25</v>
      </c>
      <c r="V76" s="2" t="s">
        <v>188</v>
      </c>
    </row>
    <row r="77" spans="1:22">
      <c r="A77" s="2" t="s">
        <v>592</v>
      </c>
      <c r="B77" s="2" t="s">
        <v>593</v>
      </c>
      <c r="D77" s="2" t="s">
        <v>588</v>
      </c>
      <c r="E77" s="2" t="s">
        <v>5809</v>
      </c>
      <c r="F77" s="2">
        <v>2</v>
      </c>
      <c r="G77" s="2">
        <v>0.4</v>
      </c>
      <c r="H77" s="2">
        <v>0</v>
      </c>
      <c r="I77" s="2">
        <v>420</v>
      </c>
      <c r="J77" s="2" t="s">
        <v>187</v>
      </c>
      <c r="K77" s="2" t="s">
        <v>1523</v>
      </c>
      <c r="M77" s="2">
        <v>0.4</v>
      </c>
      <c r="N77" s="2">
        <v>1.1000000000000001</v>
      </c>
      <c r="O77" s="2" t="s">
        <v>5737</v>
      </c>
      <c r="Q77" s="2">
        <v>1998</v>
      </c>
      <c r="R77" s="2">
        <v>2019</v>
      </c>
      <c r="S77" s="2" t="s">
        <v>288</v>
      </c>
      <c r="T77" s="2" t="s">
        <v>5810</v>
      </c>
      <c r="U77" s="2">
        <v>25</v>
      </c>
      <c r="V77" s="2" t="s">
        <v>187</v>
      </c>
    </row>
    <row r="78" spans="1:22">
      <c r="A78" s="2" t="s">
        <v>592</v>
      </c>
      <c r="B78" s="2" t="s">
        <v>593</v>
      </c>
      <c r="D78" s="2" t="s">
        <v>588</v>
      </c>
      <c r="E78" s="2" t="s">
        <v>5811</v>
      </c>
      <c r="F78" s="2">
        <v>1</v>
      </c>
      <c r="G78" s="2">
        <v>2.1</v>
      </c>
      <c r="H78" s="2">
        <v>0</v>
      </c>
      <c r="I78" s="2">
        <v>2300</v>
      </c>
      <c r="J78" s="2" t="s">
        <v>187</v>
      </c>
      <c r="K78" s="2" t="s">
        <v>1523</v>
      </c>
      <c r="M78" s="2">
        <v>2.1</v>
      </c>
      <c r="N78" s="2">
        <v>8.5</v>
      </c>
      <c r="O78" s="2" t="s">
        <v>5737</v>
      </c>
      <c r="Q78" s="2">
        <v>2001</v>
      </c>
      <c r="R78" s="2">
        <v>2023</v>
      </c>
      <c r="S78" s="2" t="s">
        <v>288</v>
      </c>
      <c r="T78" s="2" t="s">
        <v>5810</v>
      </c>
      <c r="U78" s="2">
        <v>15</v>
      </c>
      <c r="V78" s="2" t="s">
        <v>187</v>
      </c>
    </row>
    <row r="79" spans="1:22">
      <c r="A79" s="2" t="s">
        <v>971</v>
      </c>
      <c r="B79" s="2" t="s">
        <v>972</v>
      </c>
      <c r="D79" s="2" t="s">
        <v>968</v>
      </c>
      <c r="E79" s="2" t="s">
        <v>5812</v>
      </c>
      <c r="F79" s="2" t="s">
        <v>5743</v>
      </c>
      <c r="G79" s="2">
        <v>0.4</v>
      </c>
      <c r="I79" s="2">
        <v>400</v>
      </c>
      <c r="J79" s="2" t="s">
        <v>188</v>
      </c>
      <c r="M79" s="2">
        <v>0.4</v>
      </c>
      <c r="N79" s="2">
        <v>0.8</v>
      </c>
      <c r="O79" s="2" t="s">
        <v>5734</v>
      </c>
      <c r="Q79" s="2">
        <v>2015</v>
      </c>
      <c r="R79" s="2">
        <v>2015</v>
      </c>
      <c r="S79" s="2" t="s">
        <v>5738</v>
      </c>
      <c r="U79" s="2">
        <v>1</v>
      </c>
      <c r="V79" s="2" t="s">
        <v>188</v>
      </c>
    </row>
    <row r="80" spans="1:22">
      <c r="A80" s="2" t="s">
        <v>971</v>
      </c>
      <c r="B80" s="2" t="s">
        <v>972</v>
      </c>
      <c r="D80" s="2" t="s">
        <v>968</v>
      </c>
      <c r="E80" s="2" t="s">
        <v>5813</v>
      </c>
      <c r="F80" s="2" t="s">
        <v>5736</v>
      </c>
      <c r="G80" s="2">
        <v>0.3</v>
      </c>
      <c r="I80" s="2">
        <v>300</v>
      </c>
      <c r="J80" s="2" t="s">
        <v>188</v>
      </c>
      <c r="M80" s="2">
        <v>0.3</v>
      </c>
      <c r="N80" s="2">
        <v>0.5</v>
      </c>
      <c r="O80" s="2" t="s">
        <v>5737</v>
      </c>
      <c r="Q80" s="2">
        <v>2018</v>
      </c>
      <c r="R80" s="2">
        <v>2018</v>
      </c>
      <c r="S80" s="2" t="s">
        <v>5738</v>
      </c>
      <c r="U80" s="2">
        <v>2</v>
      </c>
      <c r="V80" s="2" t="s">
        <v>188</v>
      </c>
    </row>
    <row r="81" spans="1:22">
      <c r="A81" s="2" t="s">
        <v>971</v>
      </c>
      <c r="B81" s="2" t="s">
        <v>972</v>
      </c>
      <c r="D81" s="2" t="s">
        <v>968</v>
      </c>
      <c r="E81" s="2" t="s">
        <v>5814</v>
      </c>
      <c r="F81" s="2" t="s">
        <v>5731</v>
      </c>
      <c r="G81" s="2">
        <v>0.6</v>
      </c>
      <c r="I81" s="2">
        <v>600</v>
      </c>
      <c r="J81" s="2" t="s">
        <v>188</v>
      </c>
      <c r="M81" s="2">
        <v>0.6</v>
      </c>
      <c r="N81" s="2">
        <v>1.4</v>
      </c>
      <c r="O81" s="2" t="s">
        <v>5734</v>
      </c>
      <c r="Q81" s="2">
        <v>2017</v>
      </c>
      <c r="R81" s="2">
        <v>2017</v>
      </c>
      <c r="S81" s="2" t="s">
        <v>5738</v>
      </c>
      <c r="U81" s="2">
        <v>5</v>
      </c>
      <c r="V81" s="2" t="s">
        <v>188</v>
      </c>
    </row>
    <row r="82" spans="1:22">
      <c r="A82" s="2" t="s">
        <v>971</v>
      </c>
      <c r="B82" s="2" t="s">
        <v>972</v>
      </c>
      <c r="D82" s="2" t="s">
        <v>968</v>
      </c>
      <c r="E82" s="2" t="s">
        <v>5815</v>
      </c>
      <c r="F82" s="2" t="s">
        <v>5816</v>
      </c>
      <c r="G82" s="2">
        <v>0.2</v>
      </c>
      <c r="I82" s="2">
        <v>200</v>
      </c>
      <c r="J82" s="2" t="s">
        <v>188</v>
      </c>
      <c r="M82" s="2">
        <v>0.2</v>
      </c>
      <c r="N82" s="2">
        <v>0.4</v>
      </c>
      <c r="O82" s="2" t="s">
        <v>5734</v>
      </c>
      <c r="Q82" s="2">
        <v>2016</v>
      </c>
      <c r="R82" s="2">
        <v>2016</v>
      </c>
      <c r="S82" s="2" t="s">
        <v>5738</v>
      </c>
      <c r="U82" s="2">
        <v>2</v>
      </c>
      <c r="V82" s="2" t="s">
        <v>188</v>
      </c>
    </row>
    <row r="83" spans="1:22">
      <c r="A83" s="2" t="s">
        <v>971</v>
      </c>
      <c r="B83" s="2" t="s">
        <v>972</v>
      </c>
      <c r="D83" s="2" t="s">
        <v>968</v>
      </c>
      <c r="E83" s="2" t="s">
        <v>5817</v>
      </c>
      <c r="F83" s="2" t="s">
        <v>5758</v>
      </c>
      <c r="G83" s="2">
        <v>0.4</v>
      </c>
      <c r="I83" s="2">
        <v>400</v>
      </c>
      <c r="J83" s="2" t="s">
        <v>188</v>
      </c>
      <c r="M83" s="2">
        <v>0.4</v>
      </c>
      <c r="N83" s="2">
        <v>0.9</v>
      </c>
      <c r="O83" s="2" t="s">
        <v>5734</v>
      </c>
      <c r="Q83" s="2">
        <v>2015</v>
      </c>
      <c r="R83" s="2">
        <v>2015</v>
      </c>
      <c r="S83" s="2" t="s">
        <v>5739</v>
      </c>
      <c r="U83" s="2">
        <v>1</v>
      </c>
      <c r="V83" s="2" t="s">
        <v>188</v>
      </c>
    </row>
    <row r="84" spans="1:22">
      <c r="A84" s="2" t="s">
        <v>1006</v>
      </c>
      <c r="B84" s="2" t="s">
        <v>1006</v>
      </c>
      <c r="D84" s="2" t="s">
        <v>1004</v>
      </c>
      <c r="E84" s="2" t="s">
        <v>5818</v>
      </c>
      <c r="F84" s="2" t="s">
        <v>5731</v>
      </c>
      <c r="G84" s="2">
        <v>0.3</v>
      </c>
      <c r="I84" s="2">
        <v>300</v>
      </c>
      <c r="J84" s="2" t="s">
        <v>188</v>
      </c>
      <c r="M84" s="2">
        <v>0.3</v>
      </c>
      <c r="N84" s="2">
        <v>0.4</v>
      </c>
      <c r="O84" s="2" t="s">
        <v>5734</v>
      </c>
      <c r="Q84" s="2">
        <v>2016</v>
      </c>
      <c r="R84" s="2">
        <v>2016</v>
      </c>
      <c r="S84" s="2" t="s">
        <v>5738</v>
      </c>
      <c r="U84" s="2">
        <v>4</v>
      </c>
      <c r="V84" s="2" t="s">
        <v>188</v>
      </c>
    </row>
    <row r="85" spans="1:22">
      <c r="A85" s="2" t="s">
        <v>862</v>
      </c>
      <c r="B85" s="2" t="s">
        <v>863</v>
      </c>
      <c r="D85" s="2" t="s">
        <v>861</v>
      </c>
      <c r="E85" s="2" t="s">
        <v>5819</v>
      </c>
      <c r="G85" s="2">
        <v>0.5</v>
      </c>
      <c r="I85" s="2">
        <v>500</v>
      </c>
      <c r="J85" s="2" t="s">
        <v>187</v>
      </c>
      <c r="K85" s="2" t="s">
        <v>5797</v>
      </c>
      <c r="M85" s="2">
        <v>0.5</v>
      </c>
      <c r="N85" s="2">
        <v>0.8</v>
      </c>
      <c r="O85" s="2" t="s">
        <v>5737</v>
      </c>
      <c r="S85" s="2" t="s">
        <v>5735</v>
      </c>
      <c r="V85" s="2" t="s">
        <v>187</v>
      </c>
    </row>
    <row r="86" spans="1:22">
      <c r="A86" s="2" t="s">
        <v>862</v>
      </c>
      <c r="B86" s="2" t="s">
        <v>863</v>
      </c>
      <c r="D86" s="2" t="s">
        <v>861</v>
      </c>
      <c r="E86" s="2" t="s">
        <v>5820</v>
      </c>
      <c r="G86" s="2">
        <v>0.3</v>
      </c>
      <c r="I86" s="2">
        <v>300</v>
      </c>
      <c r="J86" s="2" t="s">
        <v>187</v>
      </c>
      <c r="M86" s="2">
        <v>0.3</v>
      </c>
      <c r="N86" s="2">
        <v>0.4</v>
      </c>
      <c r="Q86" s="2">
        <v>2022</v>
      </c>
      <c r="S86" s="2" t="s">
        <v>5739</v>
      </c>
    </row>
    <row r="87" spans="1:22">
      <c r="A87" s="2" t="s">
        <v>1006</v>
      </c>
      <c r="B87" s="2" t="s">
        <v>1006</v>
      </c>
      <c r="D87" s="2" t="s">
        <v>1004</v>
      </c>
      <c r="E87" s="2" t="s">
        <v>5821</v>
      </c>
      <c r="F87" s="2" t="s">
        <v>5736</v>
      </c>
      <c r="G87" s="2">
        <v>0.4</v>
      </c>
      <c r="I87" s="2">
        <v>400</v>
      </c>
      <c r="J87" s="2" t="s">
        <v>188</v>
      </c>
      <c r="M87" s="2">
        <v>0.4</v>
      </c>
      <c r="N87" s="2">
        <v>0.6</v>
      </c>
      <c r="O87" s="2" t="s">
        <v>5734</v>
      </c>
      <c r="Q87" s="2">
        <v>2016</v>
      </c>
      <c r="R87" s="2">
        <v>2016</v>
      </c>
      <c r="S87" s="2" t="s">
        <v>5738</v>
      </c>
      <c r="U87" s="2">
        <v>4</v>
      </c>
      <c r="V87" s="2" t="s">
        <v>188</v>
      </c>
    </row>
    <row r="88" spans="1:22">
      <c r="A88" s="2" t="s">
        <v>862</v>
      </c>
      <c r="B88" s="2" t="s">
        <v>863</v>
      </c>
      <c r="D88" s="2" t="s">
        <v>861</v>
      </c>
      <c r="E88" s="2" t="s">
        <v>5822</v>
      </c>
      <c r="G88" s="2">
        <v>0.2</v>
      </c>
      <c r="I88" s="2">
        <v>200</v>
      </c>
      <c r="J88" s="2" t="s">
        <v>187</v>
      </c>
      <c r="K88" s="2" t="s">
        <v>5797</v>
      </c>
      <c r="M88" s="2">
        <v>0.2</v>
      </c>
      <c r="N88" s="2">
        <v>0.2</v>
      </c>
      <c r="O88" s="2" t="s">
        <v>5734</v>
      </c>
      <c r="Q88" s="2">
        <v>2024</v>
      </c>
      <c r="S88" s="2" t="s">
        <v>5739</v>
      </c>
      <c r="V88" s="2" t="s">
        <v>188</v>
      </c>
    </row>
    <row r="89" spans="1:22">
      <c r="A89" s="2" t="s">
        <v>622</v>
      </c>
      <c r="B89" s="2" t="s">
        <v>622</v>
      </c>
      <c r="D89" s="2" t="s">
        <v>620</v>
      </c>
      <c r="E89" s="2" t="s">
        <v>5823</v>
      </c>
      <c r="F89" s="2">
        <v>3</v>
      </c>
      <c r="G89" s="2">
        <v>0.2</v>
      </c>
      <c r="H89" s="2">
        <v>0</v>
      </c>
      <c r="I89" s="2">
        <v>300</v>
      </c>
      <c r="J89" s="2" t="s">
        <v>188</v>
      </c>
      <c r="M89" s="2">
        <v>0.2</v>
      </c>
      <c r="N89" s="2">
        <v>0.2</v>
      </c>
      <c r="O89" s="2" t="s">
        <v>5737</v>
      </c>
      <c r="Q89" s="2">
        <v>1984</v>
      </c>
      <c r="R89" s="2">
        <v>2023</v>
      </c>
      <c r="S89" s="2" t="s">
        <v>288</v>
      </c>
      <c r="T89" s="2" t="s">
        <v>5810</v>
      </c>
      <c r="U89" s="2">
        <v>25</v>
      </c>
      <c r="V89" s="2" t="s">
        <v>188</v>
      </c>
    </row>
    <row r="90" spans="1:22">
      <c r="A90" s="2" t="s">
        <v>622</v>
      </c>
      <c r="B90" s="2" t="s">
        <v>622</v>
      </c>
      <c r="D90" s="2" t="s">
        <v>620</v>
      </c>
      <c r="E90" s="2" t="s">
        <v>5824</v>
      </c>
      <c r="F90" s="2">
        <v>2</v>
      </c>
      <c r="G90" s="2">
        <v>1</v>
      </c>
      <c r="H90" s="2">
        <v>0</v>
      </c>
      <c r="I90" s="2">
        <v>1200</v>
      </c>
      <c r="J90" s="2" t="s">
        <v>187</v>
      </c>
      <c r="K90" s="2" t="s">
        <v>1523</v>
      </c>
      <c r="M90" s="2">
        <v>1</v>
      </c>
      <c r="N90" s="2">
        <v>1</v>
      </c>
      <c r="O90" s="2" t="s">
        <v>5737</v>
      </c>
      <c r="Q90" s="2">
        <v>1984</v>
      </c>
      <c r="R90" s="2">
        <v>2023</v>
      </c>
      <c r="S90" s="2" t="s">
        <v>288</v>
      </c>
      <c r="T90" s="2" t="s">
        <v>5825</v>
      </c>
      <c r="U90" s="2">
        <v>25</v>
      </c>
      <c r="V90" s="2" t="s">
        <v>188</v>
      </c>
    </row>
    <row r="91" spans="1:22">
      <c r="A91" s="2" t="s">
        <v>622</v>
      </c>
      <c r="B91" s="2" t="s">
        <v>622</v>
      </c>
      <c r="D91" s="2" t="s">
        <v>620</v>
      </c>
      <c r="E91" s="2" t="s">
        <v>5826</v>
      </c>
      <c r="F91" s="2">
        <v>1</v>
      </c>
      <c r="G91" s="2">
        <v>0.8</v>
      </c>
      <c r="H91" s="2">
        <v>0</v>
      </c>
      <c r="I91" s="2">
        <v>800</v>
      </c>
      <c r="J91" s="2" t="s">
        <v>188</v>
      </c>
      <c r="M91" s="2">
        <v>0.8</v>
      </c>
      <c r="N91" s="2">
        <v>1</v>
      </c>
      <c r="O91" s="2" t="s">
        <v>5734</v>
      </c>
      <c r="Q91" s="2">
        <v>1990</v>
      </c>
      <c r="R91" s="2">
        <v>2010</v>
      </c>
      <c r="S91" s="2" t="s">
        <v>288</v>
      </c>
      <c r="T91" s="2" t="s">
        <v>5827</v>
      </c>
      <c r="U91" s="2">
        <v>25</v>
      </c>
      <c r="V91" s="2" t="s">
        <v>188</v>
      </c>
    </row>
    <row r="92" spans="1:22">
      <c r="A92" s="2" t="s">
        <v>901</v>
      </c>
      <c r="B92" s="2" t="s">
        <v>902</v>
      </c>
      <c r="D92" s="2" t="s">
        <v>900</v>
      </c>
      <c r="E92" s="2" t="s">
        <v>5828</v>
      </c>
      <c r="G92" s="2">
        <v>0.3</v>
      </c>
      <c r="I92" s="2">
        <v>350</v>
      </c>
      <c r="J92" s="2" t="s">
        <v>187</v>
      </c>
      <c r="K92" s="2" t="s">
        <v>5797</v>
      </c>
      <c r="M92" s="2">
        <v>0.3</v>
      </c>
      <c r="O92" s="2" t="s">
        <v>5734</v>
      </c>
      <c r="S92" s="2" t="s">
        <v>5739</v>
      </c>
      <c r="V92" s="2" t="s">
        <v>188</v>
      </c>
    </row>
    <row r="93" spans="1:22">
      <c r="A93" s="2" t="s">
        <v>901</v>
      </c>
      <c r="B93" s="2" t="s">
        <v>902</v>
      </c>
      <c r="D93" s="2" t="s">
        <v>900</v>
      </c>
      <c r="E93" s="2" t="s">
        <v>5829</v>
      </c>
      <c r="G93" s="2">
        <v>0.5</v>
      </c>
      <c r="I93" s="2">
        <v>500</v>
      </c>
      <c r="J93" s="2" t="s">
        <v>187</v>
      </c>
      <c r="K93" s="2" t="s">
        <v>5797</v>
      </c>
      <c r="M93" s="2">
        <v>0.5</v>
      </c>
      <c r="N93" s="2">
        <v>1</v>
      </c>
      <c r="O93" s="2" t="s">
        <v>5737</v>
      </c>
      <c r="S93" s="2" t="s">
        <v>5735</v>
      </c>
    </row>
    <row r="94" spans="1:22">
      <c r="A94" s="2" t="s">
        <v>901</v>
      </c>
      <c r="B94" s="2" t="s">
        <v>902</v>
      </c>
      <c r="D94" s="2" t="s">
        <v>900</v>
      </c>
      <c r="E94" s="2" t="s">
        <v>5830</v>
      </c>
      <c r="G94" s="2">
        <v>1</v>
      </c>
      <c r="I94" s="2">
        <v>1000</v>
      </c>
      <c r="J94" s="2" t="s">
        <v>187</v>
      </c>
      <c r="K94" s="2" t="s">
        <v>5797</v>
      </c>
      <c r="M94" s="2">
        <v>1</v>
      </c>
      <c r="N94" s="2">
        <v>2.5</v>
      </c>
      <c r="O94" s="2" t="s">
        <v>5737</v>
      </c>
      <c r="S94" s="2" t="s">
        <v>5735</v>
      </c>
      <c r="V94" s="2" t="s">
        <v>187</v>
      </c>
    </row>
    <row r="95" spans="1:22">
      <c r="A95" s="2" t="s">
        <v>1018</v>
      </c>
      <c r="B95" s="2" t="s">
        <v>1019</v>
      </c>
      <c r="D95" s="2" t="s">
        <v>1016</v>
      </c>
      <c r="E95" s="2" t="s">
        <v>5831</v>
      </c>
      <c r="F95" s="2" t="s">
        <v>5743</v>
      </c>
      <c r="G95" s="2">
        <v>0.3</v>
      </c>
      <c r="I95" s="2">
        <v>300</v>
      </c>
      <c r="J95" s="2" t="s">
        <v>187</v>
      </c>
      <c r="K95" s="2" t="s">
        <v>1523</v>
      </c>
      <c r="M95" s="2">
        <v>0.3</v>
      </c>
      <c r="N95" s="2">
        <v>1.1000000000000001</v>
      </c>
      <c r="O95" s="2" t="s">
        <v>5737</v>
      </c>
      <c r="Q95" s="2">
        <v>2002</v>
      </c>
      <c r="R95" s="2">
        <v>2002</v>
      </c>
      <c r="S95" s="2" t="s">
        <v>5738</v>
      </c>
      <c r="U95" s="2">
        <v>4</v>
      </c>
      <c r="V95" s="2" t="s">
        <v>187</v>
      </c>
    </row>
    <row r="96" spans="1:22">
      <c r="A96" s="2" t="s">
        <v>1018</v>
      </c>
      <c r="B96" s="2" t="s">
        <v>1019</v>
      </c>
      <c r="D96" s="2" t="s">
        <v>1016</v>
      </c>
      <c r="E96" s="2" t="s">
        <v>5832</v>
      </c>
      <c r="F96" s="2" t="s">
        <v>5731</v>
      </c>
      <c r="G96" s="2">
        <v>0.2</v>
      </c>
      <c r="I96" s="2">
        <v>200</v>
      </c>
      <c r="J96" s="2" t="s">
        <v>188</v>
      </c>
      <c r="M96" s="2">
        <v>0.2</v>
      </c>
      <c r="N96" s="2">
        <v>0.6</v>
      </c>
      <c r="O96" s="2" t="s">
        <v>5737</v>
      </c>
      <c r="Q96" s="2">
        <v>2001</v>
      </c>
      <c r="R96" s="2">
        <v>2001</v>
      </c>
      <c r="S96" s="2" t="s">
        <v>5738</v>
      </c>
      <c r="U96" s="2">
        <v>3</v>
      </c>
      <c r="V96" s="2" t="s">
        <v>187</v>
      </c>
    </row>
    <row r="97" spans="1:22">
      <c r="A97" s="2" t="s">
        <v>1018</v>
      </c>
      <c r="B97" s="2" t="s">
        <v>1019</v>
      </c>
      <c r="D97" s="2" t="s">
        <v>1016</v>
      </c>
      <c r="E97" s="2" t="s">
        <v>5833</v>
      </c>
      <c r="F97" s="2" t="s">
        <v>5736</v>
      </c>
      <c r="G97" s="2">
        <v>0.4</v>
      </c>
      <c r="I97" s="2">
        <v>400</v>
      </c>
      <c r="J97" s="2" t="s">
        <v>188</v>
      </c>
      <c r="M97" s="2">
        <v>0.4</v>
      </c>
      <c r="N97" s="2">
        <v>1.3</v>
      </c>
      <c r="O97" s="2" t="s">
        <v>5737</v>
      </c>
      <c r="Q97" s="2">
        <v>2000</v>
      </c>
      <c r="R97" s="2">
        <v>2000</v>
      </c>
      <c r="S97" s="2" t="s">
        <v>5738</v>
      </c>
      <c r="U97" s="2">
        <v>4</v>
      </c>
      <c r="V97" s="2" t="s">
        <v>187</v>
      </c>
    </row>
    <row r="98" spans="1:22">
      <c r="A98" s="2" t="s">
        <v>1018</v>
      </c>
      <c r="B98" s="2" t="s">
        <v>1019</v>
      </c>
      <c r="D98" s="2" t="s">
        <v>1016</v>
      </c>
      <c r="E98" s="2" t="s">
        <v>5834</v>
      </c>
      <c r="F98" s="2" t="s">
        <v>5758</v>
      </c>
      <c r="G98" s="2">
        <v>0.3</v>
      </c>
      <c r="I98" s="2">
        <v>300</v>
      </c>
      <c r="J98" s="2" t="s">
        <v>188</v>
      </c>
      <c r="M98" s="2">
        <v>0.3</v>
      </c>
      <c r="N98" s="2">
        <v>1</v>
      </c>
      <c r="O98" s="2" t="s">
        <v>5737</v>
      </c>
      <c r="Q98" s="2">
        <v>2002</v>
      </c>
      <c r="R98" s="2">
        <v>2002</v>
      </c>
      <c r="S98" s="2" t="s">
        <v>5738</v>
      </c>
      <c r="U98" s="2">
        <v>3</v>
      </c>
      <c r="V98" s="2" t="s">
        <v>187</v>
      </c>
    </row>
    <row r="99" spans="1:22">
      <c r="A99" s="2" t="s">
        <v>928</v>
      </c>
      <c r="B99" s="2" t="s">
        <v>928</v>
      </c>
      <c r="D99" s="2" t="s">
        <v>927</v>
      </c>
      <c r="E99" s="2" t="s">
        <v>5835</v>
      </c>
      <c r="G99" s="2">
        <v>0.4</v>
      </c>
      <c r="I99" s="2">
        <v>400</v>
      </c>
      <c r="J99" s="2" t="s">
        <v>187</v>
      </c>
      <c r="K99" s="2" t="s">
        <v>5797</v>
      </c>
      <c r="M99" s="2">
        <v>0.4</v>
      </c>
      <c r="N99" s="2">
        <v>0.2</v>
      </c>
      <c r="O99" s="2" t="s">
        <v>5734</v>
      </c>
      <c r="Q99" s="2">
        <v>2023</v>
      </c>
      <c r="S99" s="2" t="s">
        <v>5739</v>
      </c>
      <c r="V99" s="2" t="s">
        <v>188</v>
      </c>
    </row>
    <row r="100" spans="1:22">
      <c r="A100" s="2" t="s">
        <v>928</v>
      </c>
      <c r="B100" s="2" t="s">
        <v>928</v>
      </c>
      <c r="D100" s="2" t="s">
        <v>927</v>
      </c>
      <c r="E100" s="2" t="s">
        <v>5836</v>
      </c>
      <c r="G100" s="2">
        <v>0.6</v>
      </c>
      <c r="I100" s="2">
        <v>600</v>
      </c>
      <c r="J100" s="2" t="s">
        <v>187</v>
      </c>
      <c r="K100" s="2" t="s">
        <v>5797</v>
      </c>
      <c r="M100" s="2">
        <v>0.6</v>
      </c>
      <c r="N100" s="2">
        <v>2</v>
      </c>
      <c r="O100" s="2" t="s">
        <v>5737</v>
      </c>
      <c r="S100" s="2" t="s">
        <v>5735</v>
      </c>
      <c r="V100" s="2" t="s">
        <v>187</v>
      </c>
    </row>
    <row r="101" spans="1:22">
      <c r="A101" s="2" t="s">
        <v>628</v>
      </c>
      <c r="B101" s="2" t="s">
        <v>629</v>
      </c>
      <c r="D101" s="2" t="s">
        <v>626</v>
      </c>
      <c r="E101" s="2" t="s">
        <v>5837</v>
      </c>
      <c r="F101" s="2">
        <v>2</v>
      </c>
      <c r="G101" s="2">
        <v>1</v>
      </c>
      <c r="H101" s="2">
        <v>0</v>
      </c>
      <c r="I101" s="2">
        <v>1000</v>
      </c>
      <c r="J101" s="2" t="s">
        <v>188</v>
      </c>
      <c r="M101" s="2">
        <v>1</v>
      </c>
      <c r="N101" s="2">
        <v>2.8</v>
      </c>
      <c r="O101" s="2" t="s">
        <v>5734</v>
      </c>
      <c r="Q101" s="2">
        <v>2016</v>
      </c>
      <c r="R101" s="2">
        <v>2016</v>
      </c>
      <c r="S101" s="2" t="s">
        <v>5742</v>
      </c>
      <c r="U101" s="2">
        <v>30</v>
      </c>
      <c r="V101" s="2" t="s">
        <v>188</v>
      </c>
    </row>
    <row r="102" spans="1:22">
      <c r="A102" s="2" t="s">
        <v>628</v>
      </c>
      <c r="B102" s="2" t="s">
        <v>629</v>
      </c>
      <c r="D102" s="2" t="s">
        <v>626</v>
      </c>
      <c r="E102" s="2" t="s">
        <v>5838</v>
      </c>
      <c r="F102" s="2">
        <v>1</v>
      </c>
      <c r="G102" s="2">
        <v>0.3</v>
      </c>
      <c r="H102" s="2">
        <v>0</v>
      </c>
      <c r="I102" s="2">
        <v>330</v>
      </c>
      <c r="J102" s="2" t="s">
        <v>188</v>
      </c>
      <c r="M102" s="2">
        <v>0.3</v>
      </c>
      <c r="N102" s="2">
        <v>0.2</v>
      </c>
      <c r="O102" s="2" t="s">
        <v>5734</v>
      </c>
      <c r="Q102" s="2">
        <v>2013</v>
      </c>
      <c r="R102" s="2">
        <v>2013</v>
      </c>
      <c r="S102" s="2" t="s">
        <v>288</v>
      </c>
      <c r="T102" s="2" t="s">
        <v>5839</v>
      </c>
      <c r="U102" s="2">
        <v>30</v>
      </c>
      <c r="V102" s="2" t="s">
        <v>188</v>
      </c>
    </row>
    <row r="103" spans="1:22">
      <c r="A103" s="2" t="s">
        <v>979</v>
      </c>
      <c r="B103" s="2" t="s">
        <v>980</v>
      </c>
      <c r="D103" s="2" t="s">
        <v>978</v>
      </c>
      <c r="E103" s="2" t="s">
        <v>5840</v>
      </c>
      <c r="G103" s="2">
        <v>0.1</v>
      </c>
      <c r="I103" s="2">
        <v>100</v>
      </c>
      <c r="J103" s="2" t="s">
        <v>187</v>
      </c>
      <c r="K103" s="2" t="s">
        <v>5797</v>
      </c>
      <c r="M103" s="2">
        <v>0.1</v>
      </c>
      <c r="N103" s="2">
        <v>0.2</v>
      </c>
      <c r="O103" s="2" t="s">
        <v>5734</v>
      </c>
      <c r="Q103" s="2">
        <v>2019</v>
      </c>
      <c r="S103" s="2" t="s">
        <v>5735</v>
      </c>
      <c r="V103" s="2" t="s">
        <v>188</v>
      </c>
    </row>
    <row r="104" spans="1:22">
      <c r="A104" s="2" t="s">
        <v>979</v>
      </c>
      <c r="B104" s="2" t="s">
        <v>980</v>
      </c>
      <c r="D104" s="2" t="s">
        <v>978</v>
      </c>
      <c r="E104" s="2" t="s">
        <v>5841</v>
      </c>
      <c r="G104" s="2">
        <v>0.2</v>
      </c>
      <c r="I104" s="2">
        <v>200</v>
      </c>
      <c r="J104" s="2" t="s">
        <v>187</v>
      </c>
      <c r="K104" s="2" t="s">
        <v>5797</v>
      </c>
      <c r="O104" s="2" t="s">
        <v>5737</v>
      </c>
      <c r="Q104" s="2">
        <v>2007</v>
      </c>
      <c r="R104" s="2">
        <v>2019</v>
      </c>
      <c r="S104" s="2" t="s">
        <v>5735</v>
      </c>
      <c r="V104" s="2" t="s">
        <v>187</v>
      </c>
    </row>
    <row r="105" spans="1:22">
      <c r="A105" s="2" t="s">
        <v>979</v>
      </c>
      <c r="B105" s="2" t="s">
        <v>980</v>
      </c>
      <c r="D105" s="2" t="s">
        <v>978</v>
      </c>
      <c r="E105" s="2" t="s">
        <v>5842</v>
      </c>
      <c r="G105" s="2">
        <v>0.3</v>
      </c>
      <c r="I105" s="2">
        <v>300</v>
      </c>
      <c r="J105" s="2" t="s">
        <v>187</v>
      </c>
      <c r="K105" s="2" t="s">
        <v>5843</v>
      </c>
      <c r="M105" s="2">
        <v>0.3</v>
      </c>
      <c r="N105" s="2">
        <v>0.3</v>
      </c>
      <c r="O105" s="2" t="s">
        <v>5734</v>
      </c>
      <c r="Q105" s="2">
        <v>2023</v>
      </c>
      <c r="S105" s="2" t="s">
        <v>5739</v>
      </c>
      <c r="V105" s="2" t="s">
        <v>188</v>
      </c>
    </row>
    <row r="106" spans="1:22">
      <c r="A106" s="2" t="s">
        <v>979</v>
      </c>
      <c r="B106" s="2" t="s">
        <v>980</v>
      </c>
      <c r="D106" s="2" t="s">
        <v>978</v>
      </c>
      <c r="E106" s="2" t="s">
        <v>5844</v>
      </c>
      <c r="G106" s="2">
        <v>0.2</v>
      </c>
      <c r="I106" s="2">
        <v>200</v>
      </c>
      <c r="J106" s="2" t="s">
        <v>187</v>
      </c>
      <c r="K106" s="2" t="s">
        <v>5797</v>
      </c>
      <c r="M106" s="2">
        <v>0.2</v>
      </c>
      <c r="N106" s="2">
        <v>0.4</v>
      </c>
      <c r="O106" s="2" t="s">
        <v>5737</v>
      </c>
      <c r="R106" s="2">
        <v>2013</v>
      </c>
      <c r="S106" s="2" t="s">
        <v>5735</v>
      </c>
      <c r="V106" s="2" t="s">
        <v>187</v>
      </c>
    </row>
    <row r="107" spans="1:22">
      <c r="A107" s="2" t="s">
        <v>636</v>
      </c>
      <c r="B107" s="2" t="s">
        <v>637</v>
      </c>
      <c r="D107" s="2" t="s">
        <v>634</v>
      </c>
      <c r="E107" s="2" t="s">
        <v>5845</v>
      </c>
      <c r="F107" s="2">
        <v>1</v>
      </c>
      <c r="G107" s="2">
        <v>0.7</v>
      </c>
      <c r="H107" s="2">
        <v>0</v>
      </c>
      <c r="I107" s="2">
        <v>700</v>
      </c>
      <c r="J107" s="2" t="s">
        <v>188</v>
      </c>
      <c r="K107" s="2" t="s">
        <v>5766</v>
      </c>
      <c r="M107" s="2">
        <v>0.7</v>
      </c>
      <c r="N107" s="2">
        <v>2.2000000000000002</v>
      </c>
      <c r="O107" s="2" t="s">
        <v>5737</v>
      </c>
      <c r="Q107" s="2">
        <v>2012</v>
      </c>
      <c r="R107" s="2">
        <v>2012</v>
      </c>
      <c r="S107" s="2" t="s">
        <v>5739</v>
      </c>
      <c r="U107" s="2">
        <v>30</v>
      </c>
      <c r="V107" s="2" t="s">
        <v>188</v>
      </c>
    </row>
    <row r="108" spans="1:22">
      <c r="A108" s="2" t="s">
        <v>1046</v>
      </c>
      <c r="B108" s="2" t="s">
        <v>1046</v>
      </c>
      <c r="D108" s="2" t="s">
        <v>1044</v>
      </c>
      <c r="E108" s="2" t="s">
        <v>5846</v>
      </c>
      <c r="F108" s="2" t="s">
        <v>5743</v>
      </c>
      <c r="G108" s="2">
        <v>0.3</v>
      </c>
      <c r="I108" s="2">
        <v>300</v>
      </c>
      <c r="J108" s="2" t="s">
        <v>188</v>
      </c>
      <c r="M108" s="2">
        <v>0.3</v>
      </c>
      <c r="N108" s="2">
        <v>1</v>
      </c>
      <c r="O108" s="2" t="s">
        <v>5734</v>
      </c>
      <c r="Q108" s="2">
        <v>2014</v>
      </c>
      <c r="R108" s="2">
        <v>2014</v>
      </c>
      <c r="S108" s="2" t="s">
        <v>5738</v>
      </c>
      <c r="U108" s="2">
        <v>5</v>
      </c>
      <c r="V108" s="2" t="s">
        <v>187</v>
      </c>
    </row>
    <row r="109" spans="1:22">
      <c r="A109" s="2" t="s">
        <v>1046</v>
      </c>
      <c r="B109" s="2" t="s">
        <v>1046</v>
      </c>
      <c r="D109" s="2" t="s">
        <v>1044</v>
      </c>
      <c r="E109" s="2" t="s">
        <v>5847</v>
      </c>
      <c r="F109" s="2" t="s">
        <v>5736</v>
      </c>
      <c r="G109" s="2">
        <v>0.2</v>
      </c>
      <c r="I109" s="2">
        <v>200</v>
      </c>
      <c r="J109" s="2" t="s">
        <v>188</v>
      </c>
      <c r="M109" s="2">
        <v>0.2</v>
      </c>
      <c r="N109" s="2">
        <v>0.7</v>
      </c>
      <c r="O109" s="2" t="s">
        <v>5734</v>
      </c>
      <c r="Q109" s="2">
        <v>2016</v>
      </c>
      <c r="R109" s="2">
        <v>2016</v>
      </c>
      <c r="S109" s="2" t="s">
        <v>5738</v>
      </c>
      <c r="U109" s="2">
        <v>4</v>
      </c>
      <c r="V109" s="2" t="s">
        <v>187</v>
      </c>
    </row>
    <row r="110" spans="1:22">
      <c r="A110" s="2" t="s">
        <v>1046</v>
      </c>
      <c r="B110" s="2" t="s">
        <v>1046</v>
      </c>
      <c r="D110" s="2" t="s">
        <v>1044</v>
      </c>
      <c r="E110" s="2" t="s">
        <v>5848</v>
      </c>
      <c r="F110" s="2" t="s">
        <v>5731</v>
      </c>
      <c r="G110" s="2">
        <v>0.1</v>
      </c>
      <c r="I110" s="2">
        <v>100</v>
      </c>
      <c r="J110" s="2" t="s">
        <v>188</v>
      </c>
      <c r="M110" s="2">
        <v>0.1</v>
      </c>
      <c r="N110" s="2">
        <v>0.3</v>
      </c>
      <c r="O110" s="2" t="s">
        <v>5734</v>
      </c>
      <c r="Q110" s="2">
        <v>2015</v>
      </c>
      <c r="R110" s="2">
        <v>2015</v>
      </c>
      <c r="S110" s="2" t="s">
        <v>5738</v>
      </c>
      <c r="U110" s="2">
        <v>3</v>
      </c>
      <c r="V110" s="2" t="s">
        <v>187</v>
      </c>
    </row>
    <row r="111" spans="1:22">
      <c r="A111" s="2" t="s">
        <v>642</v>
      </c>
      <c r="B111" s="2" t="s">
        <v>643</v>
      </c>
      <c r="D111" s="2" t="s">
        <v>639</v>
      </c>
      <c r="E111" s="2" t="s">
        <v>5849</v>
      </c>
      <c r="F111" s="2">
        <v>3</v>
      </c>
      <c r="G111" s="2">
        <v>0.5</v>
      </c>
      <c r="H111" s="2">
        <v>0</v>
      </c>
      <c r="I111" s="2">
        <v>550</v>
      </c>
      <c r="J111" s="2" t="s">
        <v>188</v>
      </c>
      <c r="M111" s="2">
        <v>0.5</v>
      </c>
      <c r="N111" s="2">
        <v>2.2000000000000002</v>
      </c>
      <c r="O111" s="2" t="s">
        <v>5737</v>
      </c>
      <c r="Q111" s="2">
        <v>2000</v>
      </c>
      <c r="R111" s="2">
        <v>2000</v>
      </c>
      <c r="S111" s="2" t="s">
        <v>288</v>
      </c>
      <c r="T111" s="2" t="s">
        <v>5810</v>
      </c>
      <c r="U111" s="2">
        <v>25</v>
      </c>
      <c r="V111" s="2" t="s">
        <v>187</v>
      </c>
    </row>
    <row r="112" spans="1:22">
      <c r="A112" s="2" t="s">
        <v>642</v>
      </c>
      <c r="B112" s="2" t="s">
        <v>643</v>
      </c>
      <c r="D112" s="2" t="s">
        <v>639</v>
      </c>
      <c r="E112" s="2" t="s">
        <v>5850</v>
      </c>
      <c r="F112" s="2">
        <v>4</v>
      </c>
      <c r="G112" s="2">
        <v>0.4</v>
      </c>
      <c r="H112" s="2">
        <v>0</v>
      </c>
      <c r="I112" s="2">
        <v>400</v>
      </c>
      <c r="J112" s="2" t="s">
        <v>188</v>
      </c>
      <c r="M112" s="2">
        <v>0.4</v>
      </c>
      <c r="N112" s="2">
        <v>1.7</v>
      </c>
      <c r="O112" s="2" t="s">
        <v>5734</v>
      </c>
      <c r="Q112" s="2">
        <v>2010</v>
      </c>
      <c r="R112" s="2">
        <v>2010</v>
      </c>
      <c r="S112" s="2" t="s">
        <v>5742</v>
      </c>
      <c r="U112" s="2">
        <v>25</v>
      </c>
      <c r="V112" s="2" t="s">
        <v>188</v>
      </c>
    </row>
    <row r="113" spans="1:22">
      <c r="A113" s="2" t="s">
        <v>642</v>
      </c>
      <c r="B113" s="2" t="s">
        <v>643</v>
      </c>
      <c r="D113" s="2" t="s">
        <v>639</v>
      </c>
      <c r="E113" s="2" t="s">
        <v>5851</v>
      </c>
      <c r="F113" s="2">
        <v>1</v>
      </c>
      <c r="G113" s="2">
        <v>0.35</v>
      </c>
      <c r="H113" s="2">
        <v>0</v>
      </c>
      <c r="I113" s="2">
        <v>370</v>
      </c>
      <c r="J113" s="2" t="s">
        <v>188</v>
      </c>
      <c r="M113" s="2">
        <v>0.35</v>
      </c>
      <c r="N113" s="2">
        <v>1.1000000000000001</v>
      </c>
      <c r="O113" s="2" t="s">
        <v>5737</v>
      </c>
      <c r="Q113" s="2">
        <v>2007</v>
      </c>
      <c r="R113" s="2">
        <v>2007</v>
      </c>
      <c r="S113" s="2" t="s">
        <v>288</v>
      </c>
      <c r="T113" s="2" t="s">
        <v>5810</v>
      </c>
      <c r="U113" s="2">
        <v>30</v>
      </c>
      <c r="V113" s="2" t="s">
        <v>187</v>
      </c>
    </row>
    <row r="114" spans="1:22">
      <c r="A114" s="2" t="s">
        <v>642</v>
      </c>
      <c r="B114" s="2" t="s">
        <v>643</v>
      </c>
      <c r="D114" s="2" t="s">
        <v>639</v>
      </c>
      <c r="E114" s="2" t="s">
        <v>5852</v>
      </c>
      <c r="F114" s="2">
        <v>2</v>
      </c>
      <c r="G114" s="2">
        <v>0.3</v>
      </c>
      <c r="H114" s="2">
        <v>0</v>
      </c>
      <c r="I114" s="2">
        <v>340</v>
      </c>
      <c r="J114" s="2" t="s">
        <v>188</v>
      </c>
      <c r="M114" s="2">
        <v>0.3</v>
      </c>
      <c r="N114" s="2">
        <v>1</v>
      </c>
      <c r="O114" s="2" t="s">
        <v>5734</v>
      </c>
      <c r="Q114" s="2">
        <v>2000</v>
      </c>
      <c r="R114" s="2">
        <v>2000</v>
      </c>
      <c r="S114" s="2" t="s">
        <v>5735</v>
      </c>
      <c r="U114" s="2">
        <v>30</v>
      </c>
      <c r="V114" s="2" t="s">
        <v>188</v>
      </c>
    </row>
    <row r="115" spans="1:22">
      <c r="A115" s="2" t="s">
        <v>650</v>
      </c>
      <c r="B115" s="2" t="s">
        <v>643</v>
      </c>
      <c r="D115" s="2" t="s">
        <v>648</v>
      </c>
      <c r="E115" s="2" t="s">
        <v>5853</v>
      </c>
      <c r="F115" s="2">
        <v>2</v>
      </c>
      <c r="G115" s="2">
        <v>0.2</v>
      </c>
      <c r="H115" s="2">
        <v>0</v>
      </c>
      <c r="I115" s="2">
        <v>200</v>
      </c>
      <c r="J115" s="2" t="s">
        <v>188</v>
      </c>
      <c r="M115" s="2">
        <v>0.2</v>
      </c>
      <c r="N115" s="2">
        <v>0.6</v>
      </c>
      <c r="O115" s="2" t="s">
        <v>5737</v>
      </c>
      <c r="Q115" s="2">
        <v>2016</v>
      </c>
      <c r="R115" s="2">
        <v>2016</v>
      </c>
      <c r="S115" s="2" t="s">
        <v>288</v>
      </c>
      <c r="T115" s="2" t="s">
        <v>308</v>
      </c>
      <c r="U115" s="2">
        <v>30</v>
      </c>
      <c r="V115" s="2" t="s">
        <v>187</v>
      </c>
    </row>
    <row r="116" spans="1:22">
      <c r="A116" s="2" t="s">
        <v>650</v>
      </c>
      <c r="B116" s="2" t="s">
        <v>643</v>
      </c>
      <c r="D116" s="2" t="s">
        <v>648</v>
      </c>
      <c r="E116" s="2" t="s">
        <v>5854</v>
      </c>
      <c r="F116" s="2">
        <v>1</v>
      </c>
      <c r="G116" s="2">
        <v>0.8</v>
      </c>
      <c r="H116" s="2">
        <v>0</v>
      </c>
      <c r="I116" s="2">
        <v>800</v>
      </c>
      <c r="J116" s="2" t="s">
        <v>187</v>
      </c>
      <c r="K116" s="2" t="s">
        <v>1523</v>
      </c>
      <c r="M116" s="2">
        <v>0.8</v>
      </c>
      <c r="N116" s="2">
        <v>3</v>
      </c>
      <c r="O116" s="2" t="s">
        <v>5737</v>
      </c>
      <c r="Q116" s="2">
        <v>2020</v>
      </c>
      <c r="R116" s="2">
        <v>2020</v>
      </c>
      <c r="S116" s="2" t="s">
        <v>288</v>
      </c>
      <c r="T116" s="2" t="s">
        <v>308</v>
      </c>
      <c r="U116" s="2">
        <v>30</v>
      </c>
      <c r="V116" s="2" t="s">
        <v>187</v>
      </c>
    </row>
    <row r="117" spans="1:22">
      <c r="A117" s="2" t="s">
        <v>1084</v>
      </c>
      <c r="B117" s="2" t="s">
        <v>1084</v>
      </c>
      <c r="D117" s="2" t="s">
        <v>1082</v>
      </c>
      <c r="E117" s="2" t="s">
        <v>5855</v>
      </c>
      <c r="F117" s="2" t="s">
        <v>5731</v>
      </c>
      <c r="G117" s="2">
        <v>0.4</v>
      </c>
      <c r="I117" s="2">
        <v>400</v>
      </c>
      <c r="J117" s="2" t="s">
        <v>188</v>
      </c>
      <c r="M117" s="2">
        <v>0.4</v>
      </c>
      <c r="N117" s="2">
        <v>1.5</v>
      </c>
      <c r="O117" s="2" t="s">
        <v>5734</v>
      </c>
      <c r="Q117" s="2">
        <v>2015</v>
      </c>
      <c r="R117" s="2">
        <v>2015</v>
      </c>
      <c r="S117" s="2" t="s">
        <v>5738</v>
      </c>
      <c r="U117" s="2">
        <v>5</v>
      </c>
      <c r="V117" s="2" t="s">
        <v>187</v>
      </c>
    </row>
    <row r="118" spans="1:22">
      <c r="A118" s="2" t="s">
        <v>1279</v>
      </c>
      <c r="B118" s="2" t="s">
        <v>1279</v>
      </c>
      <c r="D118" s="2" t="s">
        <v>1276</v>
      </c>
      <c r="E118" s="2" t="s">
        <v>5856</v>
      </c>
      <c r="F118" s="2" t="s">
        <v>5758</v>
      </c>
      <c r="G118" s="2">
        <v>0.2</v>
      </c>
      <c r="I118" s="2">
        <v>200</v>
      </c>
      <c r="J118" s="2" t="s">
        <v>188</v>
      </c>
      <c r="M118" s="2">
        <v>0.2</v>
      </c>
      <c r="N118" s="2">
        <v>0.4</v>
      </c>
      <c r="O118" s="2" t="s">
        <v>5737</v>
      </c>
      <c r="Q118" s="2">
        <v>2009</v>
      </c>
      <c r="R118" s="2">
        <v>2009</v>
      </c>
      <c r="S118" s="2" t="s">
        <v>5738</v>
      </c>
      <c r="U118" s="2">
        <v>20</v>
      </c>
      <c r="V118" s="2" t="s">
        <v>187</v>
      </c>
    </row>
    <row r="119" spans="1:22">
      <c r="A119" s="2" t="s">
        <v>1279</v>
      </c>
      <c r="B119" s="2" t="s">
        <v>1279</v>
      </c>
      <c r="D119" s="2" t="s">
        <v>1276</v>
      </c>
      <c r="E119" s="2" t="s">
        <v>5857</v>
      </c>
      <c r="F119" s="2" t="s">
        <v>5743</v>
      </c>
      <c r="G119" s="2">
        <v>0.3</v>
      </c>
      <c r="I119" s="2">
        <v>300</v>
      </c>
      <c r="J119" s="2" t="s">
        <v>187</v>
      </c>
      <c r="K119" s="2" t="s">
        <v>5766</v>
      </c>
      <c r="L119" s="2" t="s">
        <v>5733</v>
      </c>
      <c r="M119" s="2">
        <v>0.3</v>
      </c>
      <c r="N119" s="2">
        <v>0.6</v>
      </c>
      <c r="O119" s="2" t="s">
        <v>5737</v>
      </c>
      <c r="Q119" s="2">
        <v>2009</v>
      </c>
      <c r="R119" s="2">
        <v>2009</v>
      </c>
      <c r="S119" s="2" t="s">
        <v>5738</v>
      </c>
      <c r="U119" s="2">
        <v>20</v>
      </c>
      <c r="V119" s="2" t="s">
        <v>187</v>
      </c>
    </row>
    <row r="120" spans="1:22">
      <c r="A120" s="2" t="s">
        <v>1279</v>
      </c>
      <c r="B120" s="2" t="s">
        <v>1279</v>
      </c>
      <c r="D120" s="2" t="s">
        <v>1276</v>
      </c>
      <c r="E120" s="2" t="s">
        <v>5858</v>
      </c>
      <c r="F120" s="2" t="s">
        <v>5736</v>
      </c>
      <c r="G120" s="2">
        <v>0.5</v>
      </c>
      <c r="I120" s="2">
        <v>500</v>
      </c>
      <c r="J120" s="2" t="s">
        <v>188</v>
      </c>
      <c r="M120" s="2">
        <v>0.5</v>
      </c>
      <c r="N120" s="2">
        <v>2</v>
      </c>
      <c r="O120" s="2" t="s">
        <v>5737</v>
      </c>
      <c r="Q120" s="2">
        <v>2008</v>
      </c>
      <c r="R120" s="2">
        <v>2008</v>
      </c>
      <c r="S120" s="2" t="s">
        <v>5738</v>
      </c>
      <c r="U120" s="2">
        <v>20</v>
      </c>
      <c r="V120" s="2" t="s">
        <v>187</v>
      </c>
    </row>
    <row r="121" spans="1:22">
      <c r="A121" s="2" t="s">
        <v>1279</v>
      </c>
      <c r="B121" s="2" t="s">
        <v>1279</v>
      </c>
      <c r="D121" s="2" t="s">
        <v>1276</v>
      </c>
      <c r="E121" s="2" t="s">
        <v>5859</v>
      </c>
      <c r="F121" s="2" t="s">
        <v>5731</v>
      </c>
      <c r="G121" s="2">
        <v>3</v>
      </c>
      <c r="I121" s="2">
        <v>3000</v>
      </c>
      <c r="J121" s="2" t="s">
        <v>187</v>
      </c>
      <c r="K121" s="2" t="s">
        <v>5766</v>
      </c>
      <c r="L121" s="2" t="s">
        <v>5733</v>
      </c>
      <c r="M121" s="2">
        <v>3</v>
      </c>
      <c r="N121" s="2">
        <v>12</v>
      </c>
      <c r="O121" s="2" t="s">
        <v>5737</v>
      </c>
      <c r="Q121" s="2">
        <v>2007</v>
      </c>
      <c r="R121" s="2">
        <v>2007</v>
      </c>
      <c r="S121" s="2" t="s">
        <v>5738</v>
      </c>
      <c r="U121" s="2">
        <v>20</v>
      </c>
      <c r="V121" s="2" t="s">
        <v>187</v>
      </c>
    </row>
    <row r="122" spans="1:22">
      <c r="A122" s="2" t="s">
        <v>1324</v>
      </c>
      <c r="B122" s="2" t="s">
        <v>1324</v>
      </c>
      <c r="D122" s="2" t="s">
        <v>1322</v>
      </c>
      <c r="E122" s="2" t="s">
        <v>5860</v>
      </c>
      <c r="F122" s="2" t="s">
        <v>5758</v>
      </c>
      <c r="G122" s="2">
        <v>0.5</v>
      </c>
      <c r="I122" s="2">
        <v>500</v>
      </c>
      <c r="J122" s="2" t="s">
        <v>188</v>
      </c>
      <c r="M122" s="2">
        <v>0.5</v>
      </c>
      <c r="N122" s="2">
        <v>2.8</v>
      </c>
      <c r="O122" s="2" t="s">
        <v>5737</v>
      </c>
      <c r="Q122" s="2">
        <v>2000</v>
      </c>
      <c r="R122" s="2">
        <v>2000</v>
      </c>
      <c r="S122" s="2" t="s">
        <v>5738</v>
      </c>
      <c r="U122" s="2">
        <v>7</v>
      </c>
      <c r="V122" s="2" t="s">
        <v>187</v>
      </c>
    </row>
    <row r="123" spans="1:22">
      <c r="A123" s="2" t="s">
        <v>1324</v>
      </c>
      <c r="B123" s="2" t="s">
        <v>1324</v>
      </c>
      <c r="D123" s="2" t="s">
        <v>1322</v>
      </c>
      <c r="E123" s="2" t="s">
        <v>5861</v>
      </c>
      <c r="F123" s="2" t="s">
        <v>5743</v>
      </c>
      <c r="G123" s="2">
        <v>0.6</v>
      </c>
      <c r="I123" s="2">
        <v>600</v>
      </c>
      <c r="J123" s="2" t="s">
        <v>188</v>
      </c>
      <c r="M123" s="2">
        <v>0.6</v>
      </c>
      <c r="N123" s="2">
        <v>3.2</v>
      </c>
      <c r="O123" s="2" t="s">
        <v>5737</v>
      </c>
      <c r="Q123" s="2">
        <v>2000</v>
      </c>
      <c r="R123" s="2">
        <v>2000</v>
      </c>
      <c r="S123" s="2" t="s">
        <v>5738</v>
      </c>
      <c r="U123" s="2">
        <v>7</v>
      </c>
      <c r="V123" s="2" t="s">
        <v>187</v>
      </c>
    </row>
    <row r="124" spans="1:22">
      <c r="A124" s="2" t="s">
        <v>1324</v>
      </c>
      <c r="B124" s="2" t="s">
        <v>1324</v>
      </c>
      <c r="D124" s="2" t="s">
        <v>1322</v>
      </c>
      <c r="E124" s="2" t="s">
        <v>5862</v>
      </c>
      <c r="F124" s="2" t="s">
        <v>5736</v>
      </c>
      <c r="G124" s="2">
        <v>0.8</v>
      </c>
      <c r="I124" s="2">
        <v>800</v>
      </c>
      <c r="J124" s="2" t="s">
        <v>188</v>
      </c>
      <c r="M124" s="2">
        <v>0.8</v>
      </c>
      <c r="N124" s="2">
        <v>4</v>
      </c>
      <c r="O124" s="2" t="s">
        <v>5737</v>
      </c>
      <c r="Q124" s="2">
        <v>1999</v>
      </c>
      <c r="R124" s="2">
        <v>1999</v>
      </c>
      <c r="S124" s="2" t="s">
        <v>5738</v>
      </c>
      <c r="U124" s="2">
        <v>5</v>
      </c>
      <c r="V124" s="2" t="s">
        <v>187</v>
      </c>
    </row>
    <row r="125" spans="1:22">
      <c r="A125" s="2" t="s">
        <v>1324</v>
      </c>
      <c r="B125" s="2" t="s">
        <v>1324</v>
      </c>
      <c r="D125" s="2" t="s">
        <v>1322</v>
      </c>
      <c r="E125" s="2" t="s">
        <v>5863</v>
      </c>
      <c r="F125" s="2" t="s">
        <v>5731</v>
      </c>
      <c r="G125" s="2">
        <v>1.7</v>
      </c>
      <c r="I125" s="2">
        <v>1700</v>
      </c>
      <c r="J125" s="2" t="s">
        <v>188</v>
      </c>
      <c r="M125" s="2">
        <v>1.7</v>
      </c>
      <c r="N125" s="2">
        <v>9</v>
      </c>
      <c r="O125" s="2" t="s">
        <v>5737</v>
      </c>
      <c r="Q125" s="2">
        <v>1998</v>
      </c>
      <c r="R125" s="2">
        <v>1998</v>
      </c>
      <c r="S125" s="2" t="s">
        <v>5738</v>
      </c>
      <c r="U125" s="2">
        <v>5</v>
      </c>
      <c r="V125" s="2" t="s">
        <v>187</v>
      </c>
    </row>
    <row r="126" spans="1:22">
      <c r="A126" s="2" t="s">
        <v>1324</v>
      </c>
      <c r="B126" s="2" t="s">
        <v>1324</v>
      </c>
      <c r="D126" s="2" t="s">
        <v>1322</v>
      </c>
      <c r="E126" s="2" t="s">
        <v>5864</v>
      </c>
      <c r="F126" s="2" t="s">
        <v>5816</v>
      </c>
      <c r="G126" s="2">
        <v>0.3</v>
      </c>
      <c r="I126" s="2">
        <v>300</v>
      </c>
      <c r="J126" s="2" t="s">
        <v>188</v>
      </c>
      <c r="M126" s="2">
        <v>0.3</v>
      </c>
      <c r="N126" s="2">
        <v>1</v>
      </c>
      <c r="O126" s="2" t="s">
        <v>5737</v>
      </c>
      <c r="Q126" s="2">
        <v>2001</v>
      </c>
      <c r="R126" s="2">
        <v>2001</v>
      </c>
      <c r="S126" s="2" t="s">
        <v>5738</v>
      </c>
      <c r="U126" s="2">
        <v>6</v>
      </c>
      <c r="V126" s="2" t="s">
        <v>187</v>
      </c>
    </row>
    <row r="127" spans="1:22">
      <c r="A127" s="2" t="s">
        <v>1355</v>
      </c>
      <c r="B127" s="2" t="s">
        <v>1356</v>
      </c>
      <c r="D127" s="2" t="s">
        <v>1354</v>
      </c>
      <c r="E127" s="2" t="s">
        <v>5865</v>
      </c>
      <c r="F127" s="2" t="s">
        <v>5743</v>
      </c>
      <c r="G127" s="2">
        <v>0.5</v>
      </c>
      <c r="I127" s="2">
        <v>500</v>
      </c>
      <c r="J127" s="2" t="s">
        <v>188</v>
      </c>
      <c r="M127" s="2">
        <v>0.5</v>
      </c>
      <c r="N127" s="2">
        <v>2.5</v>
      </c>
      <c r="O127" s="2" t="s">
        <v>5737</v>
      </c>
      <c r="Q127" s="2">
        <v>2015</v>
      </c>
      <c r="R127" s="2">
        <v>2015</v>
      </c>
      <c r="S127" s="2" t="s">
        <v>5738</v>
      </c>
      <c r="U127" s="2">
        <v>10</v>
      </c>
      <c r="V127" s="2" t="s">
        <v>187</v>
      </c>
    </row>
    <row r="128" spans="1:22">
      <c r="A128" s="2" t="s">
        <v>1355</v>
      </c>
      <c r="B128" s="2" t="s">
        <v>1356</v>
      </c>
      <c r="D128" s="2" t="s">
        <v>1354</v>
      </c>
      <c r="E128" s="2" t="s">
        <v>5866</v>
      </c>
      <c r="F128" s="2" t="s">
        <v>5731</v>
      </c>
      <c r="G128" s="2">
        <v>0.8</v>
      </c>
      <c r="I128" s="2">
        <v>800</v>
      </c>
      <c r="J128" s="2" t="s">
        <v>187</v>
      </c>
      <c r="K128" s="2" t="s">
        <v>5766</v>
      </c>
      <c r="L128" s="2" t="s">
        <v>5867</v>
      </c>
      <c r="M128" s="2">
        <v>0.8</v>
      </c>
      <c r="N128" s="2">
        <v>2.5</v>
      </c>
      <c r="O128" s="2" t="s">
        <v>5737</v>
      </c>
      <c r="Q128" s="2">
        <v>2015</v>
      </c>
      <c r="R128" s="2">
        <v>2015</v>
      </c>
      <c r="S128" s="2" t="s">
        <v>5738</v>
      </c>
      <c r="U128" s="2">
        <v>10</v>
      </c>
      <c r="V128" s="2" t="s">
        <v>187</v>
      </c>
    </row>
    <row r="129" spans="1:22">
      <c r="A129" s="2" t="s">
        <v>1355</v>
      </c>
      <c r="B129" s="2" t="s">
        <v>1356</v>
      </c>
      <c r="D129" s="2" t="s">
        <v>1354</v>
      </c>
      <c r="E129" s="2" t="s">
        <v>5868</v>
      </c>
      <c r="F129" s="2" t="s">
        <v>5736</v>
      </c>
      <c r="G129" s="2">
        <v>0.8</v>
      </c>
      <c r="I129" s="2">
        <v>800</v>
      </c>
      <c r="J129" s="2" t="s">
        <v>188</v>
      </c>
      <c r="M129" s="2">
        <v>0.8</v>
      </c>
      <c r="N129" s="2">
        <v>2.8</v>
      </c>
      <c r="O129" s="2" t="s">
        <v>5737</v>
      </c>
      <c r="Q129" s="2">
        <v>2016</v>
      </c>
      <c r="R129" s="2">
        <v>2016</v>
      </c>
      <c r="S129" s="2" t="s">
        <v>5738</v>
      </c>
      <c r="U129" s="2">
        <v>11</v>
      </c>
      <c r="V129" s="2" t="s">
        <v>187</v>
      </c>
    </row>
    <row r="130" spans="1:22">
      <c r="A130" s="2" t="s">
        <v>1355</v>
      </c>
      <c r="B130" s="2" t="s">
        <v>1356</v>
      </c>
      <c r="D130" s="2" t="s">
        <v>1354</v>
      </c>
      <c r="E130" s="2" t="s">
        <v>5869</v>
      </c>
      <c r="F130" s="2" t="s">
        <v>5758</v>
      </c>
      <c r="G130" s="2">
        <v>0.8</v>
      </c>
      <c r="I130" s="2">
        <v>800</v>
      </c>
      <c r="J130" s="2" t="s">
        <v>188</v>
      </c>
      <c r="M130" s="2">
        <v>0.8</v>
      </c>
      <c r="N130" s="2">
        <v>2.2000000000000002</v>
      </c>
      <c r="O130" s="2" t="s">
        <v>5737</v>
      </c>
      <c r="Q130" s="2">
        <v>2022</v>
      </c>
      <c r="R130" s="2">
        <v>2022</v>
      </c>
      <c r="S130" s="2" t="s">
        <v>5738</v>
      </c>
      <c r="U130" s="2">
        <v>10</v>
      </c>
      <c r="V130" s="2" t="s">
        <v>187</v>
      </c>
    </row>
    <row r="131" spans="1:22">
      <c r="A131" s="2" t="s">
        <v>1398</v>
      </c>
      <c r="B131" s="2" t="s">
        <v>1398</v>
      </c>
      <c r="D131" s="2" t="s">
        <v>1396</v>
      </c>
      <c r="E131" s="2" t="s">
        <v>5870</v>
      </c>
      <c r="F131" s="2" t="s">
        <v>5731</v>
      </c>
      <c r="G131" s="2">
        <v>4</v>
      </c>
      <c r="I131" s="2">
        <v>4000</v>
      </c>
      <c r="J131" s="2" t="s">
        <v>187</v>
      </c>
      <c r="K131" s="2" t="s">
        <v>5766</v>
      </c>
      <c r="L131" s="2" t="s">
        <v>1545</v>
      </c>
      <c r="M131" s="2">
        <v>4</v>
      </c>
      <c r="N131" s="2">
        <v>16</v>
      </c>
      <c r="O131" s="2" t="s">
        <v>5737</v>
      </c>
      <c r="Q131" s="2">
        <v>1999</v>
      </c>
      <c r="R131" s="2">
        <v>2018</v>
      </c>
      <c r="S131" s="2" t="s">
        <v>5735</v>
      </c>
      <c r="U131" s="2">
        <v>10</v>
      </c>
      <c r="V131" s="2" t="s">
        <v>187</v>
      </c>
    </row>
    <row r="132" spans="1:22">
      <c r="A132" s="2" t="s">
        <v>1411</v>
      </c>
      <c r="B132" s="2" t="s">
        <v>1412</v>
      </c>
      <c r="D132" s="2" t="s">
        <v>1409</v>
      </c>
      <c r="E132" s="2" t="s">
        <v>5871</v>
      </c>
      <c r="F132" s="2" t="s">
        <v>5731</v>
      </c>
      <c r="G132" s="2">
        <v>0.5</v>
      </c>
      <c r="I132" s="2">
        <v>500</v>
      </c>
      <c r="J132" s="2" t="s">
        <v>187</v>
      </c>
      <c r="K132" s="2" t="s">
        <v>308</v>
      </c>
      <c r="M132" s="2">
        <v>0.5</v>
      </c>
      <c r="N132" s="2">
        <v>2</v>
      </c>
      <c r="O132" s="2" t="s">
        <v>5737</v>
      </c>
      <c r="Q132" s="2">
        <v>2019</v>
      </c>
      <c r="R132" s="2">
        <v>2019</v>
      </c>
      <c r="S132" s="2" t="s">
        <v>5738</v>
      </c>
      <c r="U132" s="2">
        <v>15</v>
      </c>
      <c r="V132" s="2" t="s">
        <v>187</v>
      </c>
    </row>
    <row r="133" spans="1:22">
      <c r="A133" s="2" t="s">
        <v>2472</v>
      </c>
      <c r="B133" s="2" t="s">
        <v>2473</v>
      </c>
      <c r="D133" s="2" t="s">
        <v>2470</v>
      </c>
      <c r="E133" s="2" t="s">
        <v>5872</v>
      </c>
      <c r="F133" s="2">
        <v>1</v>
      </c>
      <c r="G133" s="2">
        <v>1</v>
      </c>
      <c r="H133" s="2">
        <v>0</v>
      </c>
      <c r="I133" s="2">
        <v>1000</v>
      </c>
      <c r="J133" s="2" t="s">
        <v>188</v>
      </c>
      <c r="M133" s="2">
        <v>1</v>
      </c>
      <c r="N133" s="2">
        <v>5</v>
      </c>
      <c r="O133" s="2" t="s">
        <v>5737</v>
      </c>
      <c r="Q133" s="2">
        <v>1999</v>
      </c>
      <c r="R133" s="2">
        <v>1999</v>
      </c>
      <c r="S133" s="2" t="s">
        <v>5738</v>
      </c>
      <c r="U133" s="2">
        <v>48</v>
      </c>
      <c r="V133" s="2" t="s">
        <v>187</v>
      </c>
    </row>
    <row r="134" spans="1:22">
      <c r="A134" s="2" t="s">
        <v>2472</v>
      </c>
      <c r="B134" s="2" t="s">
        <v>2473</v>
      </c>
      <c r="D134" s="2" t="s">
        <v>2470</v>
      </c>
      <c r="E134" s="2" t="s">
        <v>5873</v>
      </c>
      <c r="F134" s="2">
        <v>3</v>
      </c>
      <c r="G134" s="2">
        <v>0.8</v>
      </c>
      <c r="H134" s="2">
        <v>0</v>
      </c>
      <c r="I134" s="2">
        <v>800</v>
      </c>
      <c r="J134" s="2" t="s">
        <v>187</v>
      </c>
      <c r="K134" s="2" t="s">
        <v>1523</v>
      </c>
      <c r="M134" s="2">
        <v>0</v>
      </c>
      <c r="N134" s="2">
        <v>0</v>
      </c>
      <c r="O134" s="2" t="s">
        <v>5737</v>
      </c>
      <c r="Q134" s="2">
        <v>2024</v>
      </c>
      <c r="R134" s="2">
        <v>2024</v>
      </c>
      <c r="S134" s="2" t="s">
        <v>5742</v>
      </c>
      <c r="U134" s="2">
        <v>48</v>
      </c>
      <c r="V134" s="2" t="s">
        <v>187</v>
      </c>
    </row>
    <row r="135" spans="1:22">
      <c r="A135" s="2" t="s">
        <v>2472</v>
      </c>
      <c r="B135" s="2" t="s">
        <v>2473</v>
      </c>
      <c r="D135" s="2" t="s">
        <v>2470</v>
      </c>
      <c r="E135" s="2" t="s">
        <v>5874</v>
      </c>
      <c r="F135" s="2">
        <v>2</v>
      </c>
      <c r="G135" s="2">
        <v>1.2</v>
      </c>
      <c r="H135" s="2">
        <v>0</v>
      </c>
      <c r="I135" s="2">
        <v>1200</v>
      </c>
      <c r="J135" s="2" t="s">
        <v>187</v>
      </c>
      <c r="K135" s="2" t="s">
        <v>1523</v>
      </c>
      <c r="M135" s="2">
        <v>0</v>
      </c>
      <c r="N135" s="2">
        <v>0</v>
      </c>
      <c r="O135" s="2" t="s">
        <v>5737</v>
      </c>
      <c r="Q135" s="2">
        <v>2025</v>
      </c>
      <c r="R135" s="2">
        <v>2025</v>
      </c>
      <c r="S135" s="2" t="s">
        <v>5742</v>
      </c>
      <c r="U135" s="2">
        <v>48</v>
      </c>
      <c r="V135" s="2" t="s">
        <v>187</v>
      </c>
    </row>
    <row r="136" spans="1:22">
      <c r="A136" s="2" t="s">
        <v>1516</v>
      </c>
      <c r="B136" s="2" t="s">
        <v>1517</v>
      </c>
      <c r="D136" s="2" t="s">
        <v>1514</v>
      </c>
      <c r="E136" s="2" t="s">
        <v>5875</v>
      </c>
      <c r="F136" s="2" t="s">
        <v>5731</v>
      </c>
      <c r="G136" s="2">
        <v>0.6</v>
      </c>
      <c r="I136" s="2">
        <v>600</v>
      </c>
      <c r="J136" s="2" t="s">
        <v>188</v>
      </c>
      <c r="M136" s="2">
        <v>0.6</v>
      </c>
      <c r="N136" s="2">
        <v>2.5</v>
      </c>
      <c r="O136" s="2" t="s">
        <v>5734</v>
      </c>
      <c r="Q136" s="2">
        <v>1998</v>
      </c>
      <c r="R136" s="2">
        <v>1998</v>
      </c>
      <c r="S136" s="2" t="s">
        <v>5738</v>
      </c>
      <c r="U136" s="2">
        <v>15</v>
      </c>
      <c r="V136" s="2" t="s">
        <v>188</v>
      </c>
    </row>
    <row r="137" spans="1:22">
      <c r="A137" s="2" t="s">
        <v>1556</v>
      </c>
      <c r="B137" s="2" t="s">
        <v>1556</v>
      </c>
      <c r="D137" s="2" t="s">
        <v>1554</v>
      </c>
      <c r="E137" s="2" t="s">
        <v>5876</v>
      </c>
      <c r="F137" s="2" t="s">
        <v>5736</v>
      </c>
      <c r="G137" s="2">
        <v>0.5</v>
      </c>
      <c r="I137" s="2">
        <v>500</v>
      </c>
      <c r="J137" s="2" t="s">
        <v>187</v>
      </c>
      <c r="K137" s="2" t="s">
        <v>5766</v>
      </c>
      <c r="L137" s="2" t="s">
        <v>1471</v>
      </c>
      <c r="M137" s="2">
        <v>0.5</v>
      </c>
      <c r="N137" s="2">
        <v>3.5</v>
      </c>
      <c r="O137" s="2" t="s">
        <v>5737</v>
      </c>
      <c r="Q137" s="2">
        <v>1995</v>
      </c>
      <c r="R137" s="2">
        <v>1995</v>
      </c>
      <c r="S137" s="2" t="s">
        <v>5738</v>
      </c>
      <c r="U137" s="2">
        <v>15</v>
      </c>
      <c r="V137" s="2" t="s">
        <v>187</v>
      </c>
    </row>
    <row r="138" spans="1:22">
      <c r="A138" s="2" t="s">
        <v>1556</v>
      </c>
      <c r="B138" s="2" t="s">
        <v>1556</v>
      </c>
      <c r="D138" s="2" t="s">
        <v>1554</v>
      </c>
      <c r="E138" s="2" t="s">
        <v>5877</v>
      </c>
      <c r="F138" s="2" t="s">
        <v>5731</v>
      </c>
      <c r="G138" s="2">
        <v>0.8</v>
      </c>
      <c r="I138" s="2">
        <v>800</v>
      </c>
      <c r="J138" s="2" t="s">
        <v>187</v>
      </c>
      <c r="K138" s="2" t="s">
        <v>5766</v>
      </c>
      <c r="L138" s="2" t="s">
        <v>5878</v>
      </c>
      <c r="M138" s="2">
        <v>0.8</v>
      </c>
      <c r="N138" s="2">
        <v>4.5</v>
      </c>
      <c r="O138" s="2" t="s">
        <v>5737</v>
      </c>
      <c r="Q138" s="2">
        <v>1995</v>
      </c>
      <c r="R138" s="2">
        <v>1995</v>
      </c>
      <c r="S138" s="2" t="s">
        <v>5738</v>
      </c>
      <c r="U138" s="2">
        <v>15</v>
      </c>
      <c r="V138" s="2" t="s">
        <v>187</v>
      </c>
    </row>
    <row r="139" spans="1:22">
      <c r="A139" s="2" t="s">
        <v>2360</v>
      </c>
      <c r="B139" s="2" t="s">
        <v>2361</v>
      </c>
      <c r="D139" s="2" t="s">
        <v>2358</v>
      </c>
      <c r="E139" s="2" t="s">
        <v>5879</v>
      </c>
      <c r="F139" s="2">
        <v>1</v>
      </c>
      <c r="G139" s="2">
        <v>0.4</v>
      </c>
      <c r="H139" s="2">
        <v>0</v>
      </c>
      <c r="I139" s="2">
        <v>400</v>
      </c>
      <c r="J139" s="2" t="s">
        <v>188</v>
      </c>
      <c r="M139" s="2">
        <v>0.4</v>
      </c>
      <c r="N139" s="2">
        <v>0.7</v>
      </c>
      <c r="O139" s="2" t="s">
        <v>5734</v>
      </c>
      <c r="Q139" s="2">
        <v>1998</v>
      </c>
      <c r="R139" s="2">
        <v>1998</v>
      </c>
      <c r="S139" s="2" t="s">
        <v>5738</v>
      </c>
      <c r="U139" s="2">
        <v>35</v>
      </c>
      <c r="V139" s="2" t="s">
        <v>188</v>
      </c>
    </row>
    <row r="140" spans="1:22">
      <c r="A140" s="2" t="s">
        <v>1579</v>
      </c>
      <c r="B140" s="2" t="s">
        <v>1579</v>
      </c>
      <c r="D140" s="2" t="s">
        <v>1577</v>
      </c>
      <c r="E140" s="2" t="s">
        <v>5880</v>
      </c>
      <c r="F140" s="2" t="s">
        <v>5881</v>
      </c>
      <c r="G140" s="2">
        <v>0.5</v>
      </c>
      <c r="I140" s="2">
        <v>500</v>
      </c>
      <c r="J140" s="2" t="s">
        <v>188</v>
      </c>
      <c r="M140" s="2">
        <v>0.5</v>
      </c>
      <c r="N140" s="2">
        <v>1</v>
      </c>
      <c r="O140" s="2" t="s">
        <v>5737</v>
      </c>
      <c r="Q140" s="2">
        <v>2000</v>
      </c>
      <c r="R140" s="2">
        <v>2000</v>
      </c>
      <c r="S140" s="2" t="s">
        <v>5738</v>
      </c>
      <c r="U140" s="2">
        <v>16</v>
      </c>
      <c r="V140" s="2" t="s">
        <v>187</v>
      </c>
    </row>
    <row r="141" spans="1:22">
      <c r="A141" s="2" t="s">
        <v>1579</v>
      </c>
      <c r="B141" s="2" t="s">
        <v>1579</v>
      </c>
      <c r="D141" s="2" t="s">
        <v>1577</v>
      </c>
      <c r="E141" s="2" t="s">
        <v>5882</v>
      </c>
      <c r="F141" s="2" t="s">
        <v>5736</v>
      </c>
      <c r="G141" s="2">
        <v>1</v>
      </c>
      <c r="I141" s="2">
        <v>1000</v>
      </c>
      <c r="J141" s="2" t="s">
        <v>187</v>
      </c>
      <c r="K141" s="2" t="s">
        <v>5766</v>
      </c>
      <c r="L141" s="2" t="s">
        <v>5867</v>
      </c>
      <c r="M141" s="2">
        <v>1</v>
      </c>
      <c r="N141" s="2">
        <v>3</v>
      </c>
      <c r="O141" s="2" t="s">
        <v>5737</v>
      </c>
      <c r="Q141" s="2">
        <v>1999</v>
      </c>
      <c r="R141" s="2">
        <v>1999</v>
      </c>
      <c r="S141" s="2" t="s">
        <v>5738</v>
      </c>
      <c r="U141" s="2">
        <v>15</v>
      </c>
      <c r="V141" s="2" t="s">
        <v>187</v>
      </c>
    </row>
    <row r="142" spans="1:22">
      <c r="A142" s="2" t="s">
        <v>1579</v>
      </c>
      <c r="B142" s="2" t="s">
        <v>1579</v>
      </c>
      <c r="D142" s="2" t="s">
        <v>1577</v>
      </c>
      <c r="E142" s="2" t="s">
        <v>5883</v>
      </c>
      <c r="F142" s="2" t="s">
        <v>5731</v>
      </c>
      <c r="G142" s="2">
        <v>1.5</v>
      </c>
      <c r="I142" s="2">
        <v>1500</v>
      </c>
      <c r="J142" s="2" t="s">
        <v>187</v>
      </c>
      <c r="K142" s="2" t="s">
        <v>5766</v>
      </c>
      <c r="L142" s="2" t="s">
        <v>5884</v>
      </c>
      <c r="M142" s="2">
        <v>1.5</v>
      </c>
      <c r="N142" s="2">
        <v>4</v>
      </c>
      <c r="O142" s="2" t="s">
        <v>5737</v>
      </c>
      <c r="Q142" s="2">
        <v>1999</v>
      </c>
      <c r="R142" s="2">
        <v>1999</v>
      </c>
      <c r="S142" s="2" t="s">
        <v>5738</v>
      </c>
      <c r="U142" s="2">
        <v>15</v>
      </c>
      <c r="V142" s="2" t="s">
        <v>187</v>
      </c>
    </row>
    <row r="143" spans="1:22">
      <c r="A143" s="2" t="s">
        <v>1013</v>
      </c>
      <c r="B143" s="2" t="s">
        <v>1013</v>
      </c>
      <c r="D143" s="2" t="s">
        <v>1012</v>
      </c>
      <c r="E143" s="2" t="s">
        <v>5885</v>
      </c>
      <c r="F143" s="2" t="s">
        <v>5886</v>
      </c>
      <c r="G143" s="2">
        <v>0.2</v>
      </c>
      <c r="I143" s="2">
        <v>200</v>
      </c>
      <c r="J143" s="2" t="s">
        <v>187</v>
      </c>
      <c r="K143" s="2" t="s">
        <v>5800</v>
      </c>
      <c r="M143" s="2">
        <v>0.2</v>
      </c>
      <c r="N143" s="2">
        <v>0.7</v>
      </c>
      <c r="O143" s="2" t="s">
        <v>5737</v>
      </c>
      <c r="Q143" s="2">
        <v>2019</v>
      </c>
      <c r="S143" s="2" t="s">
        <v>5735</v>
      </c>
      <c r="V143" s="2" t="s">
        <v>187</v>
      </c>
    </row>
    <row r="144" spans="1:22">
      <c r="A144" s="2" t="s">
        <v>2349</v>
      </c>
      <c r="B144" s="2" t="s">
        <v>2349</v>
      </c>
      <c r="D144" s="2" t="s">
        <v>2347</v>
      </c>
      <c r="E144" s="2" t="s">
        <v>5887</v>
      </c>
      <c r="F144" s="2">
        <v>1</v>
      </c>
      <c r="G144" s="2">
        <v>0.45</v>
      </c>
      <c r="H144" s="2">
        <v>0</v>
      </c>
      <c r="I144" s="2">
        <v>500</v>
      </c>
      <c r="J144" s="2" t="s">
        <v>188</v>
      </c>
      <c r="M144" s="2">
        <v>0.45</v>
      </c>
      <c r="N144" s="2">
        <v>1.5</v>
      </c>
      <c r="O144" s="2" t="s">
        <v>5737</v>
      </c>
      <c r="Q144" s="2">
        <v>1995</v>
      </c>
      <c r="R144" s="2">
        <v>2013</v>
      </c>
      <c r="S144" s="2" t="s">
        <v>5735</v>
      </c>
      <c r="U144" s="2">
        <v>40</v>
      </c>
      <c r="V144" s="2" t="s">
        <v>187</v>
      </c>
    </row>
    <row r="145" spans="1:22">
      <c r="A145" s="2" t="s">
        <v>1616</v>
      </c>
      <c r="B145" s="2" t="s">
        <v>1617</v>
      </c>
      <c r="D145" s="2" t="s">
        <v>1613</v>
      </c>
      <c r="E145" s="2" t="s">
        <v>5888</v>
      </c>
      <c r="F145" s="2" t="s">
        <v>5736</v>
      </c>
      <c r="G145" s="2">
        <v>0.5</v>
      </c>
      <c r="I145" s="2">
        <v>500</v>
      </c>
      <c r="J145" s="2" t="s">
        <v>188</v>
      </c>
      <c r="M145" s="2">
        <v>0.5</v>
      </c>
      <c r="N145" s="2">
        <v>0.5</v>
      </c>
      <c r="O145" s="2" t="s">
        <v>5734</v>
      </c>
      <c r="Q145" s="2">
        <v>2019</v>
      </c>
      <c r="R145" s="2">
        <v>2019</v>
      </c>
      <c r="S145" s="2" t="s">
        <v>5738</v>
      </c>
      <c r="U145" s="2">
        <v>3</v>
      </c>
      <c r="V145" s="2" t="s">
        <v>188</v>
      </c>
    </row>
    <row r="146" spans="1:22">
      <c r="A146" s="2" t="s">
        <v>1616</v>
      </c>
      <c r="B146" s="2" t="s">
        <v>1617</v>
      </c>
      <c r="D146" s="2" t="s">
        <v>1613</v>
      </c>
      <c r="E146" s="2" t="s">
        <v>5889</v>
      </c>
      <c r="F146" s="2" t="s">
        <v>5731</v>
      </c>
      <c r="G146" s="2">
        <v>0.5</v>
      </c>
      <c r="I146" s="2">
        <v>500</v>
      </c>
      <c r="J146" s="2" t="s">
        <v>188</v>
      </c>
      <c r="M146" s="2">
        <v>0.5</v>
      </c>
      <c r="N146" s="2">
        <v>0.7</v>
      </c>
      <c r="O146" s="2" t="s">
        <v>5734</v>
      </c>
      <c r="Q146" s="2">
        <v>2017</v>
      </c>
      <c r="R146" s="2">
        <v>2017</v>
      </c>
      <c r="S146" s="2" t="s">
        <v>5738</v>
      </c>
      <c r="U146" s="2">
        <v>4</v>
      </c>
      <c r="V146" s="2" t="s">
        <v>188</v>
      </c>
    </row>
    <row r="147" spans="1:22">
      <c r="A147" s="2" t="s">
        <v>1052</v>
      </c>
      <c r="B147" s="2" t="s">
        <v>1052</v>
      </c>
      <c r="D147" s="2" t="s">
        <v>1051</v>
      </c>
      <c r="E147" s="2" t="s">
        <v>5890</v>
      </c>
      <c r="G147" s="2">
        <v>0.35</v>
      </c>
      <c r="I147" s="2">
        <v>300</v>
      </c>
      <c r="J147" s="2" t="s">
        <v>187</v>
      </c>
      <c r="K147" s="2" t="s">
        <v>5797</v>
      </c>
      <c r="M147" s="2">
        <v>0.35</v>
      </c>
      <c r="N147" s="2">
        <v>1</v>
      </c>
      <c r="O147" s="2" t="s">
        <v>5734</v>
      </c>
      <c r="Q147" s="2">
        <v>2014</v>
      </c>
      <c r="S147" s="2" t="s">
        <v>5735</v>
      </c>
      <c r="V147" s="2" t="s">
        <v>188</v>
      </c>
    </row>
    <row r="148" spans="1:22">
      <c r="A148" s="2" t="s">
        <v>1052</v>
      </c>
      <c r="B148" s="2" t="s">
        <v>1052</v>
      </c>
      <c r="D148" s="2" t="s">
        <v>1051</v>
      </c>
      <c r="E148" s="2" t="s">
        <v>5891</v>
      </c>
      <c r="G148" s="2">
        <v>0.4</v>
      </c>
      <c r="I148" s="2">
        <v>300</v>
      </c>
      <c r="J148" s="2" t="s">
        <v>187</v>
      </c>
      <c r="K148" s="2" t="s">
        <v>5800</v>
      </c>
      <c r="L148" s="2" t="s">
        <v>2469</v>
      </c>
      <c r="M148" s="2">
        <v>0.4</v>
      </c>
      <c r="N148" s="2">
        <v>1.3</v>
      </c>
      <c r="O148" s="2" t="s">
        <v>5737</v>
      </c>
      <c r="Q148" s="2">
        <v>2000</v>
      </c>
      <c r="S148" s="2" t="s">
        <v>5735</v>
      </c>
      <c r="V148" s="2" t="s">
        <v>187</v>
      </c>
    </row>
    <row r="149" spans="1:22">
      <c r="A149" s="2" t="s">
        <v>1052</v>
      </c>
      <c r="B149" s="2" t="s">
        <v>1052</v>
      </c>
      <c r="D149" s="2" t="s">
        <v>1051</v>
      </c>
      <c r="E149" s="2" t="s">
        <v>5892</v>
      </c>
      <c r="G149" s="2">
        <v>0.15</v>
      </c>
      <c r="I149" s="2">
        <v>150</v>
      </c>
      <c r="J149" s="2" t="s">
        <v>187</v>
      </c>
      <c r="K149" s="2" t="s">
        <v>5800</v>
      </c>
      <c r="L149" s="2" t="s">
        <v>2469</v>
      </c>
      <c r="M149" s="2">
        <v>0.5</v>
      </c>
      <c r="N149" s="2">
        <v>0.25</v>
      </c>
      <c r="O149" s="2" t="s">
        <v>5734</v>
      </c>
      <c r="Q149" s="2">
        <v>2023</v>
      </c>
      <c r="S149" s="2" t="s">
        <v>5739</v>
      </c>
      <c r="V149" s="2" t="s">
        <v>188</v>
      </c>
    </row>
    <row r="150" spans="1:22">
      <c r="A150" s="2" t="s">
        <v>2275</v>
      </c>
      <c r="B150" s="2" t="s">
        <v>2275</v>
      </c>
      <c r="D150" s="2" t="s">
        <v>2271</v>
      </c>
      <c r="E150" s="2" t="s">
        <v>5893</v>
      </c>
      <c r="F150" s="2">
        <v>3</v>
      </c>
      <c r="G150" s="2">
        <v>0.2</v>
      </c>
      <c r="H150" s="2">
        <v>0</v>
      </c>
      <c r="I150" s="2">
        <v>200</v>
      </c>
      <c r="J150" s="2" t="s">
        <v>187</v>
      </c>
      <c r="K150" s="2" t="s">
        <v>308</v>
      </c>
      <c r="M150" s="2">
        <v>0.2</v>
      </c>
      <c r="N150" s="2">
        <v>0.4</v>
      </c>
      <c r="O150" s="2" t="s">
        <v>5734</v>
      </c>
      <c r="Q150" s="2">
        <v>2003</v>
      </c>
      <c r="R150" s="2">
        <v>2016</v>
      </c>
      <c r="S150" s="2" t="s">
        <v>5735</v>
      </c>
      <c r="U150" s="2">
        <v>30</v>
      </c>
      <c r="V150" s="2" t="s">
        <v>188</v>
      </c>
    </row>
    <row r="151" spans="1:22">
      <c r="A151" s="2" t="s">
        <v>2275</v>
      </c>
      <c r="B151" s="2" t="s">
        <v>2275</v>
      </c>
      <c r="D151" s="2" t="s">
        <v>2271</v>
      </c>
      <c r="E151" s="2" t="s">
        <v>5894</v>
      </c>
      <c r="F151" s="2">
        <v>4</v>
      </c>
      <c r="G151" s="2">
        <v>0.2</v>
      </c>
      <c r="H151" s="2">
        <v>0</v>
      </c>
      <c r="I151" s="2">
        <v>200</v>
      </c>
      <c r="J151" s="2" t="s">
        <v>188</v>
      </c>
      <c r="M151" s="2">
        <v>0.2</v>
      </c>
      <c r="N151" s="2">
        <v>0.4</v>
      </c>
      <c r="O151" s="2" t="s">
        <v>5734</v>
      </c>
      <c r="Q151" s="2">
        <v>2003</v>
      </c>
      <c r="R151" s="2">
        <v>2016</v>
      </c>
      <c r="S151" s="2" t="s">
        <v>5735</v>
      </c>
      <c r="U151" s="2">
        <v>30</v>
      </c>
      <c r="V151" s="2" t="s">
        <v>188</v>
      </c>
    </row>
    <row r="152" spans="1:22">
      <c r="A152" s="2" t="s">
        <v>1636</v>
      </c>
      <c r="B152" s="2" t="s">
        <v>1353</v>
      </c>
      <c r="D152" s="2" t="s">
        <v>1634</v>
      </c>
      <c r="E152" s="2" t="s">
        <v>5895</v>
      </c>
      <c r="F152" s="2" t="s">
        <v>5758</v>
      </c>
      <c r="G152" s="2">
        <v>0.4</v>
      </c>
      <c r="I152" s="2">
        <v>400</v>
      </c>
      <c r="J152" s="2" t="s">
        <v>188</v>
      </c>
      <c r="M152" s="2">
        <v>0.4</v>
      </c>
      <c r="N152" s="2">
        <v>0.6</v>
      </c>
      <c r="O152" s="2" t="s">
        <v>5734</v>
      </c>
      <c r="Q152" s="2">
        <v>1996</v>
      </c>
      <c r="R152" s="2">
        <v>2017</v>
      </c>
      <c r="S152" s="2" t="s">
        <v>5735</v>
      </c>
      <c r="U152" s="2">
        <v>14</v>
      </c>
      <c r="V152" s="2" t="s">
        <v>188</v>
      </c>
    </row>
    <row r="153" spans="1:22">
      <c r="A153" s="2" t="s">
        <v>1636</v>
      </c>
      <c r="B153" s="2" t="s">
        <v>1353</v>
      </c>
      <c r="D153" s="2" t="s">
        <v>1634</v>
      </c>
      <c r="E153" s="2" t="s">
        <v>5896</v>
      </c>
      <c r="F153" s="2" t="s">
        <v>5736</v>
      </c>
      <c r="G153" s="2">
        <v>0.4</v>
      </c>
      <c r="I153" s="2">
        <v>400</v>
      </c>
      <c r="J153" s="2" t="s">
        <v>188</v>
      </c>
      <c r="M153" s="2">
        <v>0.4</v>
      </c>
      <c r="N153" s="2">
        <v>0.8</v>
      </c>
      <c r="O153" s="2" t="s">
        <v>5734</v>
      </c>
      <c r="Q153" s="2">
        <v>1995</v>
      </c>
      <c r="R153" s="2">
        <v>1995</v>
      </c>
      <c r="S153" s="2" t="s">
        <v>5738</v>
      </c>
      <c r="U153" s="2">
        <v>15</v>
      </c>
      <c r="V153" s="2" t="s">
        <v>188</v>
      </c>
    </row>
    <row r="154" spans="1:22">
      <c r="A154" s="2" t="s">
        <v>1636</v>
      </c>
      <c r="B154" s="2" t="s">
        <v>1353</v>
      </c>
      <c r="D154" s="2" t="s">
        <v>1634</v>
      </c>
      <c r="E154" s="2" t="s">
        <v>5897</v>
      </c>
      <c r="F154" s="2" t="s">
        <v>5731</v>
      </c>
      <c r="G154" s="2">
        <v>1</v>
      </c>
      <c r="I154" s="2">
        <v>1000</v>
      </c>
      <c r="J154" s="2" t="s">
        <v>188</v>
      </c>
      <c r="M154" s="2">
        <v>1</v>
      </c>
      <c r="N154" s="2">
        <v>1.5</v>
      </c>
      <c r="O154" s="2" t="s">
        <v>5734</v>
      </c>
      <c r="Q154" s="2">
        <v>1995</v>
      </c>
      <c r="R154" s="2">
        <v>2016</v>
      </c>
      <c r="S154" s="2" t="s">
        <v>5735</v>
      </c>
      <c r="U154" s="2">
        <v>10</v>
      </c>
      <c r="V154" s="2" t="s">
        <v>188</v>
      </c>
    </row>
    <row r="155" spans="1:22">
      <c r="A155" s="2" t="s">
        <v>1636</v>
      </c>
      <c r="B155" s="2" t="s">
        <v>1353</v>
      </c>
      <c r="D155" s="2" t="s">
        <v>1634</v>
      </c>
      <c r="E155" s="2" t="s">
        <v>5898</v>
      </c>
      <c r="F155" s="2" t="s">
        <v>5743</v>
      </c>
      <c r="G155" s="2">
        <v>0.3</v>
      </c>
      <c r="I155" s="2">
        <v>300</v>
      </c>
      <c r="J155" s="2" t="s">
        <v>188</v>
      </c>
      <c r="M155" s="2">
        <v>0.3</v>
      </c>
      <c r="N155" s="2">
        <v>0.6</v>
      </c>
      <c r="O155" s="2" t="s">
        <v>5734</v>
      </c>
      <c r="Q155" s="2">
        <v>1999</v>
      </c>
      <c r="R155" s="2">
        <v>2016</v>
      </c>
      <c r="S155" s="2" t="s">
        <v>5735</v>
      </c>
      <c r="U155" s="2">
        <v>14</v>
      </c>
      <c r="V155" s="2" t="s">
        <v>188</v>
      </c>
    </row>
    <row r="156" spans="1:22">
      <c r="A156" s="2" t="s">
        <v>1070</v>
      </c>
      <c r="B156" s="2" t="s">
        <v>1070</v>
      </c>
      <c r="D156" s="2" t="s">
        <v>1069</v>
      </c>
      <c r="E156" s="2" t="s">
        <v>5899</v>
      </c>
      <c r="G156" s="2">
        <v>0.5</v>
      </c>
      <c r="I156" s="2">
        <v>500</v>
      </c>
      <c r="J156" s="2" t="s">
        <v>187</v>
      </c>
      <c r="K156" s="2" t="s">
        <v>5843</v>
      </c>
      <c r="L156" s="2" t="s">
        <v>5733</v>
      </c>
      <c r="M156" s="2">
        <v>0.5</v>
      </c>
      <c r="N156" s="2">
        <v>1.5</v>
      </c>
      <c r="O156" s="2" t="s">
        <v>5737</v>
      </c>
      <c r="Q156" s="2">
        <v>2017</v>
      </c>
      <c r="S156" s="2" t="s">
        <v>5735</v>
      </c>
      <c r="V156" s="2" t="s">
        <v>187</v>
      </c>
    </row>
    <row r="157" spans="1:22">
      <c r="A157" s="2" t="s">
        <v>1090</v>
      </c>
      <c r="B157" s="2" t="s">
        <v>1090</v>
      </c>
      <c r="D157" s="2" t="s">
        <v>1089</v>
      </c>
      <c r="E157" s="2" t="s">
        <v>5900</v>
      </c>
      <c r="G157" s="2">
        <v>1</v>
      </c>
      <c r="I157" s="2">
        <v>1000</v>
      </c>
      <c r="J157" s="2" t="s">
        <v>187</v>
      </c>
      <c r="K157" s="2" t="s">
        <v>5843</v>
      </c>
      <c r="L157" s="2" t="s">
        <v>5733</v>
      </c>
      <c r="M157" s="2">
        <v>1</v>
      </c>
      <c r="N157" s="2">
        <v>2.5</v>
      </c>
      <c r="O157" s="2" t="s">
        <v>5734</v>
      </c>
      <c r="Q157" s="2">
        <v>1997</v>
      </c>
      <c r="R157" s="2">
        <v>2016</v>
      </c>
      <c r="S157" s="2" t="s">
        <v>5735</v>
      </c>
      <c r="V157" s="2" t="s">
        <v>187</v>
      </c>
    </row>
    <row r="158" spans="1:22">
      <c r="A158" s="2" t="s">
        <v>2243</v>
      </c>
      <c r="B158" s="2" t="s">
        <v>2243</v>
      </c>
      <c r="D158" s="2" t="s">
        <v>2241</v>
      </c>
      <c r="E158" s="2" t="s">
        <v>5901</v>
      </c>
      <c r="F158" s="2">
        <v>2</v>
      </c>
      <c r="G158" s="2">
        <v>0.3</v>
      </c>
      <c r="H158" s="2">
        <v>0</v>
      </c>
      <c r="I158" s="2">
        <v>300</v>
      </c>
      <c r="J158" s="2" t="s">
        <v>187</v>
      </c>
      <c r="K158" s="2" t="s">
        <v>5797</v>
      </c>
      <c r="M158" s="2">
        <v>0.3</v>
      </c>
      <c r="N158" s="2">
        <v>1.5</v>
      </c>
      <c r="O158" s="2" t="s">
        <v>5737</v>
      </c>
      <c r="Q158" s="2">
        <v>1999</v>
      </c>
      <c r="R158" s="2">
        <v>2018</v>
      </c>
      <c r="S158" s="2" t="s">
        <v>5735</v>
      </c>
      <c r="U158" s="2">
        <v>4</v>
      </c>
      <c r="V158" s="2" t="s">
        <v>187</v>
      </c>
    </row>
    <row r="159" spans="1:22">
      <c r="A159" s="2" t="s">
        <v>1732</v>
      </c>
      <c r="B159" s="2" t="s">
        <v>1732</v>
      </c>
      <c r="D159" s="2" t="s">
        <v>1729</v>
      </c>
      <c r="E159" s="2" t="s">
        <v>5902</v>
      </c>
      <c r="F159" s="2" t="s">
        <v>5743</v>
      </c>
      <c r="G159" s="2">
        <v>0.38</v>
      </c>
      <c r="I159" s="2">
        <v>380</v>
      </c>
      <c r="J159" s="2" t="s">
        <v>188</v>
      </c>
      <c r="M159" s="2">
        <v>0.38</v>
      </c>
      <c r="N159" s="2">
        <v>0.8</v>
      </c>
      <c r="O159" s="2" t="s">
        <v>5903</v>
      </c>
      <c r="Q159" s="2">
        <v>1999</v>
      </c>
      <c r="R159" s="2">
        <v>1999</v>
      </c>
      <c r="S159" s="2" t="s">
        <v>5738</v>
      </c>
      <c r="U159" s="2">
        <v>17</v>
      </c>
      <c r="V159" s="2" t="s">
        <v>187</v>
      </c>
    </row>
    <row r="160" spans="1:22">
      <c r="A160" s="2" t="s">
        <v>1732</v>
      </c>
      <c r="B160" s="2" t="s">
        <v>1732</v>
      </c>
      <c r="D160" s="2" t="s">
        <v>1729</v>
      </c>
      <c r="E160" s="2" t="s">
        <v>5904</v>
      </c>
      <c r="F160" s="2" t="s">
        <v>5731</v>
      </c>
      <c r="G160" s="2">
        <v>1.2</v>
      </c>
      <c r="I160" s="2">
        <v>1250</v>
      </c>
      <c r="J160" s="2" t="s">
        <v>187</v>
      </c>
      <c r="K160" s="2" t="s">
        <v>5766</v>
      </c>
      <c r="L160" s="2" t="s">
        <v>5733</v>
      </c>
      <c r="M160" s="2">
        <v>1.2</v>
      </c>
      <c r="N160" s="2">
        <v>3</v>
      </c>
      <c r="O160" s="2" t="s">
        <v>5737</v>
      </c>
      <c r="Q160" s="2">
        <v>2010</v>
      </c>
      <c r="R160" s="2">
        <v>2010</v>
      </c>
      <c r="S160" s="2" t="s">
        <v>5738</v>
      </c>
      <c r="U160" s="2">
        <v>20</v>
      </c>
      <c r="V160" s="2" t="s">
        <v>187</v>
      </c>
    </row>
    <row r="161" spans="1:22">
      <c r="A161" s="2" t="s">
        <v>1732</v>
      </c>
      <c r="B161" s="2" t="s">
        <v>1732</v>
      </c>
      <c r="D161" s="2" t="s">
        <v>1729</v>
      </c>
      <c r="E161" s="2" t="s">
        <v>5905</v>
      </c>
      <c r="F161" s="2" t="s">
        <v>5736</v>
      </c>
      <c r="G161" s="2">
        <v>0.43</v>
      </c>
      <c r="I161" s="2">
        <v>430</v>
      </c>
      <c r="J161" s="2" t="s">
        <v>188</v>
      </c>
      <c r="M161" s="2">
        <v>0.43</v>
      </c>
      <c r="N161" s="2">
        <v>1.2</v>
      </c>
      <c r="O161" s="2" t="s">
        <v>5903</v>
      </c>
      <c r="Q161" s="2">
        <v>1999</v>
      </c>
      <c r="R161" s="2">
        <v>1999</v>
      </c>
      <c r="S161" s="2" t="s">
        <v>5738</v>
      </c>
      <c r="U161" s="2">
        <v>15</v>
      </c>
      <c r="V161" s="2" t="s">
        <v>187</v>
      </c>
    </row>
    <row r="162" spans="1:22">
      <c r="A162" s="2" t="s">
        <v>1169</v>
      </c>
      <c r="B162" s="2" t="s">
        <v>1170</v>
      </c>
      <c r="D162" s="2" t="s">
        <v>1168</v>
      </c>
      <c r="E162" s="2" t="s">
        <v>5906</v>
      </c>
      <c r="G162" s="2">
        <v>0.2</v>
      </c>
      <c r="I162" s="2">
        <v>200</v>
      </c>
      <c r="J162" s="2" t="s">
        <v>187</v>
      </c>
      <c r="K162" s="2" t="s">
        <v>5843</v>
      </c>
      <c r="L162" s="2" t="s">
        <v>5733</v>
      </c>
      <c r="M162" s="2">
        <v>0.2</v>
      </c>
      <c r="N162" s="2">
        <v>0.4</v>
      </c>
      <c r="O162" s="2" t="s">
        <v>5737</v>
      </c>
      <c r="Q162" s="2">
        <v>2012</v>
      </c>
      <c r="S162" s="2" t="s">
        <v>5735</v>
      </c>
      <c r="V162" s="2" t="s">
        <v>187</v>
      </c>
    </row>
    <row r="163" spans="1:22">
      <c r="A163" s="2" t="s">
        <v>1169</v>
      </c>
      <c r="B163" s="2" t="s">
        <v>1170</v>
      </c>
      <c r="D163" s="2" t="s">
        <v>1168</v>
      </c>
      <c r="E163" s="2" t="s">
        <v>5907</v>
      </c>
      <c r="G163" s="2">
        <v>0.5</v>
      </c>
      <c r="I163" s="2">
        <v>500</v>
      </c>
      <c r="J163" s="2" t="s">
        <v>187</v>
      </c>
      <c r="K163" s="2" t="s">
        <v>5843</v>
      </c>
      <c r="L163" s="2" t="s">
        <v>5733</v>
      </c>
      <c r="M163" s="2">
        <v>0.5</v>
      </c>
      <c r="N163" s="2">
        <v>1.2</v>
      </c>
      <c r="O163" s="2" t="s">
        <v>5737</v>
      </c>
      <c r="Q163" s="2">
        <v>2013</v>
      </c>
      <c r="S163" s="2" t="s">
        <v>5735</v>
      </c>
      <c r="V163" s="2" t="s">
        <v>187</v>
      </c>
    </row>
    <row r="164" spans="1:22">
      <c r="A164" s="2" t="s">
        <v>1169</v>
      </c>
      <c r="B164" s="2" t="s">
        <v>1170</v>
      </c>
      <c r="D164" s="2" t="s">
        <v>1168</v>
      </c>
      <c r="E164" s="2" t="s">
        <v>5908</v>
      </c>
      <c r="G164" s="2">
        <v>0.2</v>
      </c>
      <c r="I164" s="2">
        <v>200</v>
      </c>
      <c r="J164" s="2" t="s">
        <v>187</v>
      </c>
      <c r="K164" s="2" t="s">
        <v>5843</v>
      </c>
      <c r="L164" s="2" t="s">
        <v>2469</v>
      </c>
      <c r="O164" s="2" t="s">
        <v>5734</v>
      </c>
      <c r="Q164" s="2">
        <v>2021</v>
      </c>
      <c r="S164" s="2" t="s">
        <v>5739</v>
      </c>
      <c r="V164" s="2" t="s">
        <v>188</v>
      </c>
    </row>
    <row r="165" spans="1:22">
      <c r="A165" s="2" t="s">
        <v>1169</v>
      </c>
      <c r="B165" s="2" t="s">
        <v>1170</v>
      </c>
      <c r="D165" s="2" t="s">
        <v>1168</v>
      </c>
      <c r="E165" s="2" t="s">
        <v>5909</v>
      </c>
      <c r="G165" s="2">
        <v>0.25</v>
      </c>
      <c r="I165" s="2">
        <v>250</v>
      </c>
      <c r="J165" s="2" t="s">
        <v>187</v>
      </c>
      <c r="K165" s="2" t="s">
        <v>5843</v>
      </c>
      <c r="L165" s="2" t="s">
        <v>5733</v>
      </c>
      <c r="M165" s="2">
        <v>0.25</v>
      </c>
      <c r="N165" s="2">
        <v>0.5</v>
      </c>
      <c r="O165" s="2" t="s">
        <v>5734</v>
      </c>
      <c r="Q165" s="2">
        <v>2023</v>
      </c>
      <c r="S165" s="2" t="s">
        <v>5750</v>
      </c>
      <c r="V165" s="2" t="s">
        <v>188</v>
      </c>
    </row>
    <row r="166" spans="1:22">
      <c r="A166" s="2" t="s">
        <v>1169</v>
      </c>
      <c r="B166" s="2" t="s">
        <v>1170</v>
      </c>
      <c r="D166" s="2" t="s">
        <v>1168</v>
      </c>
      <c r="E166" s="2" t="s">
        <v>5910</v>
      </c>
      <c r="G166" s="2">
        <v>0.15</v>
      </c>
      <c r="I166" s="2">
        <v>150</v>
      </c>
      <c r="J166" s="2" t="s">
        <v>187</v>
      </c>
      <c r="K166" s="2" t="s">
        <v>308</v>
      </c>
      <c r="M166" s="2">
        <v>0.15</v>
      </c>
      <c r="N166" s="2">
        <v>0.3</v>
      </c>
      <c r="O166" s="2" t="s">
        <v>5734</v>
      </c>
      <c r="Q166" s="2">
        <v>2022</v>
      </c>
      <c r="S166" s="2" t="s">
        <v>5735</v>
      </c>
      <c r="V166" s="2" t="s">
        <v>187</v>
      </c>
    </row>
    <row r="167" spans="1:22">
      <c r="A167" s="2" t="s">
        <v>1169</v>
      </c>
      <c r="B167" s="2" t="s">
        <v>1170</v>
      </c>
      <c r="D167" s="2" t="s">
        <v>1168</v>
      </c>
      <c r="E167" s="2" t="s">
        <v>5911</v>
      </c>
      <c r="G167" s="2">
        <v>0.2</v>
      </c>
      <c r="I167" s="2">
        <v>200</v>
      </c>
      <c r="J167" s="2" t="s">
        <v>187</v>
      </c>
      <c r="K167" s="2" t="s">
        <v>5797</v>
      </c>
      <c r="M167" s="2">
        <v>0.2</v>
      </c>
      <c r="N167" s="2">
        <v>0.4</v>
      </c>
      <c r="O167" s="2" t="s">
        <v>5737</v>
      </c>
      <c r="Q167" s="2">
        <v>2013</v>
      </c>
      <c r="S167" s="2" t="s">
        <v>5735</v>
      </c>
      <c r="V167" s="2" t="s">
        <v>187</v>
      </c>
    </row>
    <row r="168" spans="1:22">
      <c r="A168" s="2" t="s">
        <v>2206</v>
      </c>
      <c r="B168" s="2" t="s">
        <v>2206</v>
      </c>
      <c r="D168" s="2" t="s">
        <v>2203</v>
      </c>
      <c r="E168" s="2" t="s">
        <v>5912</v>
      </c>
      <c r="F168" s="2">
        <v>1</v>
      </c>
      <c r="G168" s="2">
        <v>1</v>
      </c>
      <c r="H168" s="2">
        <v>0</v>
      </c>
      <c r="I168" s="2">
        <v>1000</v>
      </c>
      <c r="J168" s="2" t="s">
        <v>187</v>
      </c>
      <c r="K168" s="2" t="s">
        <v>5797</v>
      </c>
      <c r="M168" s="2">
        <v>1</v>
      </c>
      <c r="N168" s="2">
        <v>4</v>
      </c>
      <c r="O168" s="2" t="s">
        <v>5737</v>
      </c>
      <c r="Q168" s="2">
        <v>1994</v>
      </c>
      <c r="R168" s="2">
        <v>2015</v>
      </c>
      <c r="S168" s="2" t="s">
        <v>5735</v>
      </c>
      <c r="U168" s="2">
        <v>3</v>
      </c>
      <c r="V168" s="2" t="s">
        <v>187</v>
      </c>
    </row>
    <row r="169" spans="1:22">
      <c r="A169" s="2" t="s">
        <v>2206</v>
      </c>
      <c r="B169" s="2" t="s">
        <v>2206</v>
      </c>
      <c r="D169" s="2" t="s">
        <v>2203</v>
      </c>
      <c r="E169" s="2" t="s">
        <v>5913</v>
      </c>
      <c r="F169" s="2">
        <v>2</v>
      </c>
      <c r="G169" s="2">
        <v>3.5</v>
      </c>
      <c r="H169" s="2">
        <v>0</v>
      </c>
      <c r="I169" s="2">
        <v>3500</v>
      </c>
      <c r="J169" s="2" t="s">
        <v>187</v>
      </c>
      <c r="K169" s="2" t="s">
        <v>5797</v>
      </c>
      <c r="M169" s="2">
        <v>3.5</v>
      </c>
      <c r="N169" s="2">
        <v>6</v>
      </c>
      <c r="O169" s="2" t="s">
        <v>5737</v>
      </c>
      <c r="Q169" s="2">
        <v>1998</v>
      </c>
      <c r="R169" s="2">
        <v>1998</v>
      </c>
      <c r="S169" s="2" t="s">
        <v>5738</v>
      </c>
      <c r="U169" s="2">
        <v>3</v>
      </c>
      <c r="V169" s="2" t="s">
        <v>187</v>
      </c>
    </row>
    <row r="170" spans="1:22">
      <c r="A170" s="2" t="s">
        <v>1186</v>
      </c>
      <c r="B170" s="2" t="s">
        <v>1186</v>
      </c>
      <c r="D170" s="2" t="s">
        <v>1185</v>
      </c>
      <c r="E170" s="2" t="s">
        <v>5914</v>
      </c>
      <c r="G170" s="2">
        <v>25</v>
      </c>
      <c r="I170" s="2">
        <v>250</v>
      </c>
      <c r="J170" s="2" t="s">
        <v>187</v>
      </c>
      <c r="K170" s="2" t="s">
        <v>5800</v>
      </c>
      <c r="L170" s="2" t="s">
        <v>5733</v>
      </c>
      <c r="M170" s="2">
        <v>0.25</v>
      </c>
      <c r="N170" s="2">
        <v>0.6</v>
      </c>
      <c r="O170" s="2" t="s">
        <v>5737</v>
      </c>
      <c r="Q170" s="2">
        <v>1997</v>
      </c>
      <c r="R170" s="2">
        <v>2014</v>
      </c>
      <c r="S170" s="2" t="s">
        <v>5735</v>
      </c>
      <c r="V170" s="2" t="s">
        <v>187</v>
      </c>
    </row>
    <row r="171" spans="1:22">
      <c r="A171" s="2" t="s">
        <v>1739</v>
      </c>
      <c r="B171" s="2" t="s">
        <v>1739</v>
      </c>
      <c r="D171" s="2" t="s">
        <v>1737</v>
      </c>
      <c r="E171" s="2" t="s">
        <v>5915</v>
      </c>
      <c r="F171" s="2" t="s">
        <v>5736</v>
      </c>
      <c r="G171" s="2">
        <v>0.4</v>
      </c>
      <c r="I171" s="2">
        <v>400</v>
      </c>
      <c r="J171" s="2" t="s">
        <v>188</v>
      </c>
      <c r="M171" s="2">
        <v>0.4</v>
      </c>
      <c r="N171" s="2">
        <v>1.5</v>
      </c>
      <c r="O171" s="2" t="s">
        <v>5903</v>
      </c>
      <c r="Q171" s="2">
        <v>1997</v>
      </c>
      <c r="R171" s="2">
        <v>1997</v>
      </c>
      <c r="S171" s="2" t="s">
        <v>5738</v>
      </c>
      <c r="U171" s="2">
        <v>15</v>
      </c>
      <c r="V171" s="2" t="s">
        <v>187</v>
      </c>
    </row>
    <row r="172" spans="1:22">
      <c r="A172" s="2" t="s">
        <v>1739</v>
      </c>
      <c r="B172" s="2" t="s">
        <v>1739</v>
      </c>
      <c r="D172" s="2" t="s">
        <v>1737</v>
      </c>
      <c r="E172" s="2" t="s">
        <v>5916</v>
      </c>
      <c r="F172" s="2" t="s">
        <v>5731</v>
      </c>
      <c r="G172" s="2">
        <v>0.6</v>
      </c>
      <c r="I172" s="2">
        <v>600</v>
      </c>
      <c r="J172" s="2" t="s">
        <v>188</v>
      </c>
      <c r="M172" s="2">
        <v>0.6</v>
      </c>
      <c r="N172" s="2">
        <v>2.5</v>
      </c>
      <c r="O172" s="2" t="s">
        <v>5903</v>
      </c>
      <c r="Q172" s="2">
        <v>1997</v>
      </c>
      <c r="R172" s="2">
        <v>1997</v>
      </c>
      <c r="S172" s="2" t="s">
        <v>5738</v>
      </c>
      <c r="U172" s="2">
        <v>15</v>
      </c>
      <c r="V172" s="2" t="s">
        <v>187</v>
      </c>
    </row>
    <row r="173" spans="1:22">
      <c r="A173" s="2" t="s">
        <v>2088</v>
      </c>
      <c r="B173" s="2" t="s">
        <v>2088</v>
      </c>
      <c r="D173" s="2" t="s">
        <v>2086</v>
      </c>
      <c r="E173" s="2" t="s">
        <v>5917</v>
      </c>
      <c r="F173" s="2">
        <v>1</v>
      </c>
      <c r="G173" s="2">
        <v>0.5</v>
      </c>
      <c r="H173" s="2">
        <v>0</v>
      </c>
      <c r="I173" s="2">
        <v>450</v>
      </c>
      <c r="J173" s="2" t="s">
        <v>187</v>
      </c>
      <c r="K173" s="2" t="s">
        <v>5918</v>
      </c>
      <c r="L173" s="2" t="s">
        <v>5919</v>
      </c>
      <c r="M173" s="2">
        <v>0.5</v>
      </c>
      <c r="N173" s="2">
        <v>2.2000000000000002</v>
      </c>
      <c r="O173" s="2" t="s">
        <v>5737</v>
      </c>
      <c r="Q173" s="2">
        <v>1994</v>
      </c>
      <c r="R173" s="2">
        <v>2020</v>
      </c>
      <c r="S173" s="2" t="s">
        <v>5735</v>
      </c>
      <c r="U173" s="2">
        <v>4</v>
      </c>
      <c r="V173" s="2" t="s">
        <v>187</v>
      </c>
    </row>
    <row r="174" spans="1:22">
      <c r="A174" s="2" t="s">
        <v>1194</v>
      </c>
      <c r="B174" s="2" t="s">
        <v>1195</v>
      </c>
      <c r="D174" s="2" t="s">
        <v>1193</v>
      </c>
      <c r="E174" s="2" t="s">
        <v>5920</v>
      </c>
      <c r="G174" s="2">
        <v>1</v>
      </c>
      <c r="I174" s="2">
        <v>950</v>
      </c>
      <c r="J174" s="2" t="s">
        <v>187</v>
      </c>
      <c r="K174" s="2" t="s">
        <v>5843</v>
      </c>
      <c r="L174" s="2" t="s">
        <v>5733</v>
      </c>
      <c r="M174" s="2">
        <v>1</v>
      </c>
      <c r="N174" s="2">
        <v>4</v>
      </c>
      <c r="O174" s="2" t="s">
        <v>5737</v>
      </c>
      <c r="Q174" s="2">
        <v>2007</v>
      </c>
      <c r="S174" s="2" t="s">
        <v>5735</v>
      </c>
      <c r="V174" s="2" t="s">
        <v>187</v>
      </c>
    </row>
    <row r="175" spans="1:22">
      <c r="A175" s="2" t="s">
        <v>1194</v>
      </c>
      <c r="B175" s="2" t="s">
        <v>1195</v>
      </c>
      <c r="D175" s="2" t="s">
        <v>1193</v>
      </c>
      <c r="E175" s="2" t="s">
        <v>5921</v>
      </c>
      <c r="G175" s="2">
        <v>1.5</v>
      </c>
      <c r="I175" s="2">
        <v>1400</v>
      </c>
      <c r="J175" s="2" t="s">
        <v>187</v>
      </c>
      <c r="K175" s="2" t="s">
        <v>5843</v>
      </c>
      <c r="L175" s="2" t="s">
        <v>5733</v>
      </c>
      <c r="M175" s="2">
        <v>1.5</v>
      </c>
      <c r="N175" s="2">
        <v>6</v>
      </c>
      <c r="O175" s="2" t="s">
        <v>5734</v>
      </c>
      <c r="Q175" s="2">
        <v>2014</v>
      </c>
      <c r="S175" s="2" t="s">
        <v>5735</v>
      </c>
      <c r="V175" s="2" t="s">
        <v>187</v>
      </c>
    </row>
    <row r="176" spans="1:22">
      <c r="A176" s="2" t="s">
        <v>1198</v>
      </c>
      <c r="B176" s="2" t="s">
        <v>1199</v>
      </c>
      <c r="D176" s="2" t="s">
        <v>1197</v>
      </c>
      <c r="E176" s="2" t="s">
        <v>5922</v>
      </c>
      <c r="G176" s="2">
        <v>1</v>
      </c>
      <c r="I176" s="2">
        <v>1000</v>
      </c>
      <c r="J176" s="2" t="s">
        <v>187</v>
      </c>
      <c r="K176" s="2" t="s">
        <v>5800</v>
      </c>
      <c r="L176" s="2" t="s">
        <v>5733</v>
      </c>
      <c r="M176" s="2">
        <v>1</v>
      </c>
      <c r="N176" s="2">
        <v>3.5</v>
      </c>
      <c r="O176" s="2" t="s">
        <v>5737</v>
      </c>
      <c r="Q176" s="2">
        <v>2019</v>
      </c>
      <c r="S176" s="2" t="s">
        <v>5735</v>
      </c>
      <c r="V176" s="2" t="s">
        <v>187</v>
      </c>
    </row>
    <row r="177" spans="1:22">
      <c r="A177" s="2" t="s">
        <v>1198</v>
      </c>
      <c r="B177" s="2" t="s">
        <v>1199</v>
      </c>
      <c r="D177" s="2" t="s">
        <v>1197</v>
      </c>
      <c r="E177" s="2" t="s">
        <v>5923</v>
      </c>
      <c r="G177" s="2">
        <v>1</v>
      </c>
      <c r="I177" s="2">
        <v>1000</v>
      </c>
      <c r="J177" s="2" t="s">
        <v>187</v>
      </c>
      <c r="K177" s="2" t="s">
        <v>5843</v>
      </c>
      <c r="L177" s="2" t="s">
        <v>5733</v>
      </c>
      <c r="M177" s="2">
        <v>1</v>
      </c>
      <c r="N177" s="2">
        <v>0.8</v>
      </c>
      <c r="O177" s="2" t="s">
        <v>5734</v>
      </c>
      <c r="Q177" s="2">
        <v>2023</v>
      </c>
      <c r="S177" s="2" t="s">
        <v>5739</v>
      </c>
      <c r="V177" s="2" t="s">
        <v>188</v>
      </c>
    </row>
    <row r="178" spans="1:22">
      <c r="A178" s="2" t="s">
        <v>1777</v>
      </c>
      <c r="B178" s="2" t="s">
        <v>1778</v>
      </c>
      <c r="D178" s="2" t="s">
        <v>1775</v>
      </c>
      <c r="E178" s="2" t="s">
        <v>5924</v>
      </c>
      <c r="F178" s="2" t="s">
        <v>5731</v>
      </c>
      <c r="G178" s="2">
        <v>1.5</v>
      </c>
      <c r="I178" s="2">
        <v>1600</v>
      </c>
      <c r="J178" s="2" t="s">
        <v>187</v>
      </c>
      <c r="K178" s="2" t="s">
        <v>5766</v>
      </c>
      <c r="L178" s="2" t="s">
        <v>5925</v>
      </c>
      <c r="M178" s="2">
        <v>1.5</v>
      </c>
      <c r="N178" s="2">
        <v>8</v>
      </c>
      <c r="O178" s="2" t="s">
        <v>5737</v>
      </c>
      <c r="Q178" s="2">
        <v>1998</v>
      </c>
      <c r="R178" s="2">
        <v>1998</v>
      </c>
      <c r="S178" s="2" t="s">
        <v>5738</v>
      </c>
      <c r="U178" s="2">
        <v>16</v>
      </c>
      <c r="V178" s="2" t="s">
        <v>187</v>
      </c>
    </row>
    <row r="179" spans="1:22">
      <c r="A179" s="2" t="s">
        <v>1777</v>
      </c>
      <c r="B179" s="2" t="s">
        <v>1778</v>
      </c>
      <c r="D179" s="2" t="s">
        <v>1775</v>
      </c>
      <c r="E179" s="2" t="s">
        <v>5926</v>
      </c>
      <c r="F179" s="2" t="s">
        <v>5736</v>
      </c>
      <c r="G179" s="2">
        <v>1.3</v>
      </c>
      <c r="I179" s="2">
        <v>1300</v>
      </c>
      <c r="J179" s="2" t="s">
        <v>187</v>
      </c>
      <c r="K179" s="2" t="s">
        <v>5766</v>
      </c>
      <c r="L179" s="2" t="s">
        <v>5733</v>
      </c>
      <c r="M179" s="2">
        <v>1.3</v>
      </c>
      <c r="N179" s="2">
        <v>5</v>
      </c>
      <c r="O179" s="2" t="s">
        <v>5737</v>
      </c>
      <c r="Q179" s="2">
        <v>1998</v>
      </c>
      <c r="R179" s="2">
        <v>1998</v>
      </c>
      <c r="S179" s="2" t="s">
        <v>5738</v>
      </c>
      <c r="U179" s="2">
        <v>15</v>
      </c>
      <c r="V179" s="2" t="s">
        <v>187</v>
      </c>
    </row>
    <row r="180" spans="1:22">
      <c r="A180" s="2" t="s">
        <v>1777</v>
      </c>
      <c r="B180" s="2" t="s">
        <v>1778</v>
      </c>
      <c r="D180" s="2" t="s">
        <v>1775</v>
      </c>
      <c r="E180" s="2" t="s">
        <v>5927</v>
      </c>
      <c r="F180" s="2" t="s">
        <v>5743</v>
      </c>
      <c r="G180" s="2">
        <v>0.4</v>
      </c>
      <c r="I180" s="2">
        <v>400</v>
      </c>
      <c r="J180" s="2" t="s">
        <v>187</v>
      </c>
      <c r="K180" s="2" t="s">
        <v>308</v>
      </c>
      <c r="O180" s="2" t="s">
        <v>5737</v>
      </c>
      <c r="Q180" s="2">
        <v>1998</v>
      </c>
      <c r="R180" s="2">
        <v>2023</v>
      </c>
      <c r="S180" s="2" t="s">
        <v>5735</v>
      </c>
      <c r="U180" s="2">
        <v>15</v>
      </c>
      <c r="V180" s="2" t="s">
        <v>187</v>
      </c>
    </row>
    <row r="181" spans="1:22">
      <c r="A181" s="2" t="s">
        <v>1828</v>
      </c>
      <c r="B181" s="2" t="s">
        <v>1828</v>
      </c>
      <c r="D181" s="2" t="s">
        <v>1826</v>
      </c>
      <c r="E181" s="2" t="s">
        <v>5928</v>
      </c>
      <c r="F181" s="2" t="s">
        <v>5816</v>
      </c>
      <c r="G181" s="2">
        <v>0.7</v>
      </c>
      <c r="I181" s="2">
        <v>700</v>
      </c>
      <c r="J181" s="2" t="s">
        <v>188</v>
      </c>
      <c r="M181" s="2">
        <v>0.7</v>
      </c>
      <c r="N181" s="2">
        <v>3</v>
      </c>
      <c r="O181" s="2" t="s">
        <v>5734</v>
      </c>
      <c r="Q181" s="2">
        <v>1998</v>
      </c>
      <c r="R181" s="2">
        <v>1998</v>
      </c>
      <c r="S181" s="2" t="s">
        <v>5738</v>
      </c>
      <c r="U181" s="2">
        <v>15</v>
      </c>
      <c r="V181" s="2" t="s">
        <v>188</v>
      </c>
    </row>
    <row r="182" spans="1:22">
      <c r="A182" s="2" t="s">
        <v>1828</v>
      </c>
      <c r="B182" s="2" t="s">
        <v>1828</v>
      </c>
      <c r="D182" s="2" t="s">
        <v>1826</v>
      </c>
      <c r="E182" s="2" t="s">
        <v>5929</v>
      </c>
      <c r="F182" s="2" t="s">
        <v>5731</v>
      </c>
      <c r="G182" s="2">
        <v>0.4</v>
      </c>
      <c r="I182" s="2">
        <v>400</v>
      </c>
      <c r="J182" s="2" t="s">
        <v>188</v>
      </c>
      <c r="M182" s="2">
        <v>0.4</v>
      </c>
      <c r="N182" s="2">
        <v>2</v>
      </c>
      <c r="O182" s="2" t="s">
        <v>5734</v>
      </c>
      <c r="Q182" s="2">
        <v>1007</v>
      </c>
      <c r="R182" s="2">
        <v>2015</v>
      </c>
      <c r="S182" s="2" t="s">
        <v>5735</v>
      </c>
      <c r="U182" s="2">
        <v>14</v>
      </c>
      <c r="V182" s="2" t="s">
        <v>188</v>
      </c>
    </row>
    <row r="183" spans="1:22">
      <c r="A183" s="2" t="s">
        <v>1828</v>
      </c>
      <c r="B183" s="2" t="s">
        <v>1828</v>
      </c>
      <c r="D183" s="2" t="s">
        <v>1826</v>
      </c>
      <c r="E183" s="2" t="s">
        <v>5930</v>
      </c>
      <c r="F183" s="2" t="s">
        <v>5731</v>
      </c>
      <c r="G183" s="2">
        <v>0.3</v>
      </c>
      <c r="I183" s="2">
        <v>300</v>
      </c>
      <c r="J183" s="2" t="s">
        <v>187</v>
      </c>
      <c r="K183" s="2" t="s">
        <v>5766</v>
      </c>
      <c r="L183" s="2" t="s">
        <v>5733</v>
      </c>
      <c r="M183" s="2">
        <v>0.3</v>
      </c>
      <c r="N183" s="2">
        <v>1</v>
      </c>
      <c r="O183" s="2" t="s">
        <v>5734</v>
      </c>
      <c r="Q183" s="2">
        <v>1996</v>
      </c>
      <c r="R183" s="2">
        <v>1996</v>
      </c>
      <c r="S183" s="2" t="s">
        <v>5738</v>
      </c>
      <c r="U183" s="2">
        <v>13</v>
      </c>
      <c r="V183" s="2" t="s">
        <v>188</v>
      </c>
    </row>
    <row r="184" spans="1:22">
      <c r="A184" s="2" t="s">
        <v>1828</v>
      </c>
      <c r="B184" s="2" t="s">
        <v>1828</v>
      </c>
      <c r="D184" s="2" t="s">
        <v>1826</v>
      </c>
      <c r="E184" s="2" t="s">
        <v>5931</v>
      </c>
      <c r="F184" s="2" t="s">
        <v>5743</v>
      </c>
      <c r="G184" s="2">
        <v>0.8</v>
      </c>
      <c r="I184" s="2">
        <v>800</v>
      </c>
      <c r="J184" s="2" t="s">
        <v>188</v>
      </c>
      <c r="M184" s="2">
        <v>0.8</v>
      </c>
      <c r="N184" s="2">
        <v>4.5</v>
      </c>
      <c r="O184" s="2" t="s">
        <v>5734</v>
      </c>
      <c r="Q184" s="2">
        <v>1997</v>
      </c>
      <c r="R184" s="2">
        <v>1997</v>
      </c>
      <c r="S184" s="2" t="s">
        <v>5738</v>
      </c>
      <c r="U184" s="2">
        <v>13</v>
      </c>
      <c r="V184" s="2" t="s">
        <v>188</v>
      </c>
    </row>
    <row r="185" spans="1:22">
      <c r="A185" s="2" t="s">
        <v>1828</v>
      </c>
      <c r="B185" s="2" t="s">
        <v>1828</v>
      </c>
      <c r="D185" s="2" t="s">
        <v>1826</v>
      </c>
      <c r="E185" s="2" t="s">
        <v>5932</v>
      </c>
      <c r="F185" s="2" t="s">
        <v>5758</v>
      </c>
      <c r="G185" s="2">
        <v>1</v>
      </c>
      <c r="I185" s="2">
        <v>1000</v>
      </c>
      <c r="J185" s="2" t="s">
        <v>188</v>
      </c>
      <c r="M185" s="2">
        <v>1</v>
      </c>
      <c r="N185" s="2">
        <v>4.5</v>
      </c>
      <c r="O185" s="2" t="s">
        <v>5734</v>
      </c>
      <c r="Q185" s="2">
        <v>1998</v>
      </c>
      <c r="R185" s="2">
        <v>1998</v>
      </c>
      <c r="S185" s="2" t="s">
        <v>5738</v>
      </c>
      <c r="U185" s="2">
        <v>15</v>
      </c>
      <c r="V185" s="2" t="s">
        <v>188</v>
      </c>
    </row>
    <row r="186" spans="1:22">
      <c r="A186" s="2" t="s">
        <v>1855</v>
      </c>
      <c r="B186" s="2" t="s">
        <v>1856</v>
      </c>
      <c r="D186" s="2" t="s">
        <v>1852</v>
      </c>
      <c r="E186" s="2" t="s">
        <v>5933</v>
      </c>
      <c r="F186" s="2" t="s">
        <v>5736</v>
      </c>
      <c r="G186" s="2">
        <v>0.8</v>
      </c>
      <c r="I186" s="2">
        <v>800</v>
      </c>
      <c r="J186" s="2" t="s">
        <v>187</v>
      </c>
      <c r="K186" s="2" t="s">
        <v>308</v>
      </c>
      <c r="M186" s="2">
        <v>0.8</v>
      </c>
      <c r="N186" s="2">
        <v>2</v>
      </c>
      <c r="O186" s="2" t="s">
        <v>5903</v>
      </c>
      <c r="Q186" s="2">
        <v>2007</v>
      </c>
      <c r="R186" s="2">
        <v>2007</v>
      </c>
      <c r="S186" s="2" t="s">
        <v>5738</v>
      </c>
      <c r="U186" s="2">
        <v>17</v>
      </c>
      <c r="V186" s="2" t="s">
        <v>187</v>
      </c>
    </row>
    <row r="187" spans="1:22">
      <c r="A187" s="2" t="s">
        <v>1855</v>
      </c>
      <c r="B187" s="2" t="s">
        <v>1856</v>
      </c>
      <c r="D187" s="2" t="s">
        <v>1852</v>
      </c>
      <c r="E187" s="2" t="s">
        <v>5934</v>
      </c>
      <c r="F187" s="2" t="s">
        <v>5731</v>
      </c>
      <c r="G187" s="2">
        <v>1.2</v>
      </c>
      <c r="I187" s="2">
        <v>1200</v>
      </c>
      <c r="J187" s="2" t="s">
        <v>187</v>
      </c>
      <c r="K187" s="2" t="s">
        <v>5766</v>
      </c>
      <c r="L187" s="2" t="s">
        <v>5935</v>
      </c>
      <c r="M187" s="2">
        <v>1.2</v>
      </c>
      <c r="N187" s="2">
        <v>8</v>
      </c>
      <c r="O187" s="2" t="s">
        <v>5737</v>
      </c>
      <c r="Q187" s="2">
        <v>2006</v>
      </c>
      <c r="R187" s="2">
        <v>2006</v>
      </c>
      <c r="S187" s="2" t="s">
        <v>5738</v>
      </c>
      <c r="U187" s="2">
        <v>15</v>
      </c>
      <c r="V187" s="2" t="s">
        <v>187</v>
      </c>
    </row>
    <row r="188" spans="1:22">
      <c r="A188" s="2" t="s">
        <v>1892</v>
      </c>
      <c r="B188" s="2" t="s">
        <v>1893</v>
      </c>
      <c r="D188" s="2" t="s">
        <v>1890</v>
      </c>
      <c r="E188" s="2" t="s">
        <v>5936</v>
      </c>
      <c r="F188" s="2" t="s">
        <v>5743</v>
      </c>
      <c r="G188" s="2">
        <v>0.6</v>
      </c>
      <c r="I188" s="2">
        <v>600</v>
      </c>
      <c r="J188" s="2" t="s">
        <v>187</v>
      </c>
      <c r="K188" s="2" t="s">
        <v>5766</v>
      </c>
      <c r="L188" s="2" t="s">
        <v>5937</v>
      </c>
      <c r="M188" s="2">
        <v>0.6</v>
      </c>
      <c r="N188" s="2">
        <v>1.5</v>
      </c>
      <c r="O188" s="2" t="s">
        <v>5737</v>
      </c>
      <c r="Q188" s="2">
        <v>1999</v>
      </c>
      <c r="R188" s="2">
        <v>1999</v>
      </c>
      <c r="S188" s="2" t="s">
        <v>5738</v>
      </c>
      <c r="U188" s="2">
        <v>17</v>
      </c>
      <c r="V188" s="2" t="s">
        <v>187</v>
      </c>
    </row>
    <row r="189" spans="1:22">
      <c r="A189" s="2" t="s">
        <v>1892</v>
      </c>
      <c r="B189" s="2" t="s">
        <v>1893</v>
      </c>
      <c r="D189" s="2" t="s">
        <v>1890</v>
      </c>
      <c r="E189" s="2" t="s">
        <v>5938</v>
      </c>
      <c r="F189" s="2" t="s">
        <v>5731</v>
      </c>
      <c r="G189" s="2">
        <v>1.4</v>
      </c>
      <c r="I189" s="2">
        <v>1400</v>
      </c>
      <c r="J189" s="2" t="s">
        <v>187</v>
      </c>
      <c r="K189" s="2" t="s">
        <v>5766</v>
      </c>
      <c r="L189" s="2" t="s">
        <v>5733</v>
      </c>
      <c r="M189" s="2">
        <v>1.4</v>
      </c>
      <c r="N189" s="2">
        <v>5</v>
      </c>
      <c r="O189" s="2" t="s">
        <v>5737</v>
      </c>
      <c r="Q189" s="2">
        <v>2000</v>
      </c>
      <c r="R189" s="2">
        <v>2000</v>
      </c>
      <c r="S189" s="2" t="s">
        <v>5738</v>
      </c>
      <c r="U189" s="2">
        <v>17</v>
      </c>
      <c r="V189" s="2" t="s">
        <v>187</v>
      </c>
    </row>
    <row r="190" spans="1:22">
      <c r="A190" s="2" t="s">
        <v>1892</v>
      </c>
      <c r="B190" s="2" t="s">
        <v>1893</v>
      </c>
      <c r="D190" s="2" t="s">
        <v>1890</v>
      </c>
      <c r="E190" s="2" t="s">
        <v>5939</v>
      </c>
      <c r="F190" s="2" t="s">
        <v>5736</v>
      </c>
      <c r="G190" s="2">
        <v>1.3</v>
      </c>
      <c r="I190" s="2">
        <v>1300</v>
      </c>
      <c r="J190" s="2" t="s">
        <v>188</v>
      </c>
      <c r="M190" s="2">
        <v>1.3</v>
      </c>
      <c r="N190" s="2">
        <v>4.5</v>
      </c>
      <c r="O190" s="2" t="s">
        <v>5903</v>
      </c>
      <c r="Q190" s="2">
        <v>2009</v>
      </c>
      <c r="R190" s="2">
        <v>2018</v>
      </c>
      <c r="S190" s="2" t="s">
        <v>5735</v>
      </c>
      <c r="U190" s="2">
        <v>16</v>
      </c>
      <c r="V190" s="2" t="s">
        <v>187</v>
      </c>
    </row>
    <row r="191" spans="1:22">
      <c r="A191" s="2" t="s">
        <v>1945</v>
      </c>
      <c r="B191" s="2" t="s">
        <v>1945</v>
      </c>
      <c r="D191" s="2" t="s">
        <v>1944</v>
      </c>
      <c r="E191" s="2" t="s">
        <v>5940</v>
      </c>
      <c r="F191" s="2">
        <v>1</v>
      </c>
      <c r="G191" s="2">
        <v>1</v>
      </c>
      <c r="I191" s="2">
        <v>1000</v>
      </c>
      <c r="J191" s="2" t="s">
        <v>188</v>
      </c>
      <c r="M191" s="2">
        <v>1</v>
      </c>
      <c r="N191" s="2">
        <v>4</v>
      </c>
      <c r="O191" s="2" t="s">
        <v>5903</v>
      </c>
      <c r="Q191" s="2">
        <v>1996</v>
      </c>
      <c r="R191" s="2">
        <v>1996</v>
      </c>
      <c r="S191" s="2" t="s">
        <v>5738</v>
      </c>
      <c r="U191" s="2">
        <v>17</v>
      </c>
      <c r="V191" s="2" t="s">
        <v>187</v>
      </c>
    </row>
    <row r="192" spans="1:22">
      <c r="A192" s="2" t="s">
        <v>1945</v>
      </c>
      <c r="B192" s="2" t="s">
        <v>1945</v>
      </c>
      <c r="D192" s="2" t="s">
        <v>1944</v>
      </c>
      <c r="E192" s="2" t="s">
        <v>5941</v>
      </c>
      <c r="F192" s="2" t="s">
        <v>5731</v>
      </c>
      <c r="G192" s="2">
        <v>1</v>
      </c>
      <c r="I192" s="2">
        <v>1000</v>
      </c>
      <c r="J192" s="2" t="s">
        <v>188</v>
      </c>
      <c r="M192" s="2">
        <v>1</v>
      </c>
      <c r="N192" s="2">
        <v>2</v>
      </c>
      <c r="O192" s="2" t="s">
        <v>5737</v>
      </c>
      <c r="Q192" s="2">
        <v>1995</v>
      </c>
      <c r="R192" s="2">
        <v>2023</v>
      </c>
      <c r="S192" s="2" t="s">
        <v>5735</v>
      </c>
      <c r="U192" s="2">
        <v>30</v>
      </c>
      <c r="V192" s="2" t="s">
        <v>187</v>
      </c>
    </row>
    <row r="193" spans="1:22">
      <c r="A193" s="2" t="s">
        <v>1945</v>
      </c>
      <c r="B193" s="2" t="s">
        <v>1945</v>
      </c>
      <c r="D193" s="2" t="s">
        <v>1944</v>
      </c>
      <c r="E193" s="2" t="s">
        <v>5942</v>
      </c>
      <c r="F193" s="2" t="s">
        <v>5736</v>
      </c>
      <c r="G193" s="2">
        <v>0.4</v>
      </c>
      <c r="I193" s="2">
        <v>400</v>
      </c>
      <c r="J193" s="2" t="s">
        <v>188</v>
      </c>
      <c r="M193" s="2">
        <v>0.4</v>
      </c>
      <c r="N193" s="2">
        <v>3</v>
      </c>
      <c r="O193" s="2" t="s">
        <v>5737</v>
      </c>
      <c r="Q193" s="2">
        <v>1996</v>
      </c>
      <c r="R193" s="2">
        <v>1996</v>
      </c>
      <c r="S193" s="2" t="s">
        <v>5738</v>
      </c>
      <c r="U193" s="2">
        <v>27</v>
      </c>
      <c r="V193" s="2" t="s">
        <v>187</v>
      </c>
    </row>
    <row r="194" spans="1:22">
      <c r="A194" s="2" t="s">
        <v>400</v>
      </c>
      <c r="B194" s="2" t="s">
        <v>400</v>
      </c>
      <c r="D194" s="2" t="s">
        <v>396</v>
      </c>
      <c r="E194" s="2" t="s">
        <v>5943</v>
      </c>
      <c r="F194" s="2" t="s">
        <v>5731</v>
      </c>
      <c r="G194" s="2">
        <v>0.25</v>
      </c>
      <c r="I194" s="2">
        <v>250</v>
      </c>
      <c r="J194" s="2" t="s">
        <v>187</v>
      </c>
      <c r="K194" s="2" t="s">
        <v>5766</v>
      </c>
      <c r="L194" s="2" t="s">
        <v>5733</v>
      </c>
      <c r="M194" s="2">
        <v>0.25</v>
      </c>
      <c r="N194" s="2">
        <v>0.35</v>
      </c>
      <c r="O194" s="2" t="s">
        <v>5737</v>
      </c>
      <c r="Q194" s="2">
        <v>2014</v>
      </c>
      <c r="R194" s="2">
        <v>2014</v>
      </c>
      <c r="S194" s="2" t="s">
        <v>5738</v>
      </c>
      <c r="U194" s="2">
        <v>20</v>
      </c>
      <c r="V194" s="2" t="s">
        <v>187</v>
      </c>
    </row>
    <row r="195" spans="1:22">
      <c r="A195" s="2" t="s">
        <v>400</v>
      </c>
      <c r="B195" s="2" t="s">
        <v>400</v>
      </c>
      <c r="D195" s="2" t="s">
        <v>396</v>
      </c>
      <c r="E195" s="2" t="s">
        <v>5944</v>
      </c>
      <c r="F195" s="2" t="s">
        <v>5743</v>
      </c>
      <c r="G195" s="2">
        <v>0.1</v>
      </c>
      <c r="I195" s="2">
        <v>100</v>
      </c>
      <c r="J195" s="2" t="s">
        <v>188</v>
      </c>
      <c r="M195" s="2">
        <v>0.1</v>
      </c>
      <c r="N195" s="2">
        <v>0.1</v>
      </c>
      <c r="O195" s="2" t="s">
        <v>5734</v>
      </c>
      <c r="Q195" s="2">
        <v>2014</v>
      </c>
      <c r="R195" s="2">
        <v>2014</v>
      </c>
      <c r="S195" s="2" t="s">
        <v>5738</v>
      </c>
      <c r="U195" s="2">
        <v>22</v>
      </c>
      <c r="V195" s="2" t="s">
        <v>188</v>
      </c>
    </row>
    <row r="196" spans="1:22">
      <c r="A196" s="2" t="s">
        <v>400</v>
      </c>
      <c r="B196" s="2" t="s">
        <v>400</v>
      </c>
      <c r="D196" s="2" t="s">
        <v>396</v>
      </c>
      <c r="E196" s="2" t="s">
        <v>5945</v>
      </c>
      <c r="F196" s="2" t="s">
        <v>5736</v>
      </c>
      <c r="G196" s="2">
        <v>0.1</v>
      </c>
      <c r="I196" s="2">
        <v>100</v>
      </c>
      <c r="J196" s="2" t="s">
        <v>188</v>
      </c>
      <c r="M196" s="2">
        <v>0.1</v>
      </c>
      <c r="N196" s="2">
        <v>0.15</v>
      </c>
      <c r="O196" s="2" t="s">
        <v>5737</v>
      </c>
      <c r="Q196" s="2">
        <v>2013</v>
      </c>
      <c r="R196" s="2">
        <v>2013</v>
      </c>
      <c r="S196" s="2" t="s">
        <v>5738</v>
      </c>
      <c r="U196" s="2">
        <v>20</v>
      </c>
      <c r="V196" s="2" t="s">
        <v>187</v>
      </c>
    </row>
    <row r="197" spans="1:22">
      <c r="A197" s="2" t="s">
        <v>400</v>
      </c>
      <c r="B197" s="2" t="s">
        <v>400</v>
      </c>
      <c r="D197" s="2" t="s">
        <v>396</v>
      </c>
      <c r="E197" s="2" t="s">
        <v>5946</v>
      </c>
      <c r="F197" s="2" t="s">
        <v>5758</v>
      </c>
      <c r="G197" s="2">
        <v>0.45</v>
      </c>
      <c r="I197" s="2">
        <v>450</v>
      </c>
      <c r="J197" s="2" t="s">
        <v>188</v>
      </c>
      <c r="M197" s="2">
        <v>0.45</v>
      </c>
      <c r="N197" s="2">
        <v>0.6</v>
      </c>
      <c r="O197" s="2" t="s">
        <v>5734</v>
      </c>
      <c r="Q197" s="2">
        <v>2015</v>
      </c>
      <c r="R197" s="2">
        <v>2015</v>
      </c>
      <c r="S197" s="2" t="s">
        <v>5738</v>
      </c>
      <c r="U197" s="2">
        <v>20</v>
      </c>
      <c r="V197" s="2" t="s">
        <v>188</v>
      </c>
    </row>
    <row r="198" spans="1:22">
      <c r="A198" s="2" t="s">
        <v>407</v>
      </c>
      <c r="B198" s="2" t="s">
        <v>409</v>
      </c>
      <c r="D198" s="2" t="s">
        <v>406</v>
      </c>
      <c r="E198" s="2" t="s">
        <v>5947</v>
      </c>
      <c r="F198" s="2" t="s">
        <v>5736</v>
      </c>
      <c r="G198" s="2">
        <v>0.3</v>
      </c>
      <c r="I198" s="2">
        <v>300</v>
      </c>
      <c r="J198" s="2" t="s">
        <v>188</v>
      </c>
      <c r="M198" s="2">
        <v>0.3</v>
      </c>
      <c r="N198" s="2">
        <v>1</v>
      </c>
      <c r="O198" s="2" t="s">
        <v>5737</v>
      </c>
      <c r="Q198" s="2">
        <v>2016</v>
      </c>
      <c r="R198" s="2">
        <v>2016</v>
      </c>
      <c r="S198" s="2" t="s">
        <v>5738</v>
      </c>
      <c r="U198" s="2">
        <v>20</v>
      </c>
      <c r="V198" s="2" t="s">
        <v>187</v>
      </c>
    </row>
    <row r="199" spans="1:22">
      <c r="A199" s="2" t="s">
        <v>407</v>
      </c>
      <c r="B199" s="2" t="s">
        <v>409</v>
      </c>
      <c r="D199" s="2" t="s">
        <v>406</v>
      </c>
      <c r="E199" s="2" t="s">
        <v>5948</v>
      </c>
      <c r="F199" s="2" t="s">
        <v>5743</v>
      </c>
      <c r="G199" s="2">
        <v>0.1</v>
      </c>
      <c r="I199" s="2">
        <v>100</v>
      </c>
      <c r="J199" s="2" t="s">
        <v>188</v>
      </c>
      <c r="M199" s="2">
        <v>0.1</v>
      </c>
      <c r="N199" s="2">
        <v>0.5</v>
      </c>
      <c r="O199" s="2" t="s">
        <v>5737</v>
      </c>
      <c r="U199" s="2">
        <v>17</v>
      </c>
      <c r="V199" s="2" t="s">
        <v>187</v>
      </c>
    </row>
    <row r="200" spans="1:22">
      <c r="A200" s="2" t="s">
        <v>407</v>
      </c>
      <c r="B200" s="2" t="s">
        <v>409</v>
      </c>
      <c r="D200" s="2" t="s">
        <v>406</v>
      </c>
      <c r="E200" s="2" t="s">
        <v>5949</v>
      </c>
      <c r="F200" s="2" t="s">
        <v>5731</v>
      </c>
      <c r="G200" s="2">
        <v>0.4</v>
      </c>
      <c r="I200" s="2">
        <v>400</v>
      </c>
      <c r="J200" s="2" t="s">
        <v>188</v>
      </c>
      <c r="M200" s="2">
        <v>0.4</v>
      </c>
      <c r="N200" s="2">
        <v>1.5</v>
      </c>
      <c r="O200" s="2" t="s">
        <v>5737</v>
      </c>
      <c r="Q200" s="2">
        <v>2015</v>
      </c>
      <c r="R200" s="2">
        <v>2015</v>
      </c>
      <c r="S200" s="2" t="s">
        <v>5738</v>
      </c>
      <c r="U200" s="2">
        <v>20</v>
      </c>
      <c r="V200" s="2" t="s">
        <v>187</v>
      </c>
    </row>
    <row r="201" spans="1:22">
      <c r="A201" s="2" t="s">
        <v>417</v>
      </c>
      <c r="B201" s="2" t="s">
        <v>418</v>
      </c>
      <c r="D201" s="2" t="s">
        <v>415</v>
      </c>
      <c r="E201" s="2" t="s">
        <v>5950</v>
      </c>
      <c r="F201" s="2" t="s">
        <v>5816</v>
      </c>
      <c r="G201" s="2">
        <v>0.11</v>
      </c>
      <c r="I201" s="2">
        <v>114</v>
      </c>
      <c r="J201" s="2" t="s">
        <v>188</v>
      </c>
      <c r="M201" s="2">
        <v>0.11</v>
      </c>
      <c r="N201" s="2">
        <v>0.5</v>
      </c>
      <c r="O201" s="2" t="s">
        <v>5737</v>
      </c>
      <c r="Q201" s="2">
        <v>2006</v>
      </c>
      <c r="R201" s="2">
        <v>2006</v>
      </c>
      <c r="S201" s="2" t="s">
        <v>5738</v>
      </c>
      <c r="U201" s="2">
        <v>19</v>
      </c>
      <c r="V201" s="2" t="s">
        <v>187</v>
      </c>
    </row>
    <row r="202" spans="1:22">
      <c r="A202" s="2" t="s">
        <v>417</v>
      </c>
      <c r="B202" s="2" t="s">
        <v>418</v>
      </c>
      <c r="D202" s="2" t="s">
        <v>415</v>
      </c>
      <c r="E202" s="2" t="s">
        <v>5951</v>
      </c>
      <c r="F202" s="2" t="s">
        <v>5731</v>
      </c>
      <c r="G202" s="2">
        <v>0.35</v>
      </c>
      <c r="I202" s="2">
        <v>350</v>
      </c>
      <c r="J202" s="2" t="s">
        <v>187</v>
      </c>
      <c r="K202" s="2" t="s">
        <v>5919</v>
      </c>
      <c r="M202" s="2">
        <v>0.35</v>
      </c>
      <c r="N202" s="2">
        <v>1.5</v>
      </c>
      <c r="O202" s="2" t="s">
        <v>5737</v>
      </c>
      <c r="Q202" s="2">
        <v>2005</v>
      </c>
      <c r="R202" s="2">
        <v>2005</v>
      </c>
      <c r="S202" s="2" t="s">
        <v>5742</v>
      </c>
      <c r="U202" s="2">
        <v>20</v>
      </c>
      <c r="V202" s="2" t="s">
        <v>187</v>
      </c>
    </row>
    <row r="203" spans="1:22">
      <c r="A203" s="2" t="s">
        <v>417</v>
      </c>
      <c r="B203" s="2" t="s">
        <v>418</v>
      </c>
      <c r="D203" s="2" t="s">
        <v>415</v>
      </c>
      <c r="E203" s="2" t="s">
        <v>5952</v>
      </c>
      <c r="F203" s="2" t="s">
        <v>5743</v>
      </c>
      <c r="G203" s="2">
        <v>0.12</v>
      </c>
      <c r="I203" s="2">
        <v>120</v>
      </c>
      <c r="J203" s="2" t="s">
        <v>188</v>
      </c>
      <c r="M203" s="2">
        <v>0.12</v>
      </c>
      <c r="N203" s="2">
        <v>0.4</v>
      </c>
      <c r="O203" s="2" t="s">
        <v>5737</v>
      </c>
      <c r="Q203" s="2">
        <v>2014</v>
      </c>
      <c r="R203" s="2">
        <v>2014</v>
      </c>
      <c r="S203" s="2" t="s">
        <v>5738</v>
      </c>
      <c r="U203" s="2">
        <v>21</v>
      </c>
      <c r="V203" s="2" t="s">
        <v>187</v>
      </c>
    </row>
    <row r="204" spans="1:22">
      <c r="A204" s="2" t="s">
        <v>417</v>
      </c>
      <c r="B204" s="2" t="s">
        <v>418</v>
      </c>
      <c r="D204" s="2" t="s">
        <v>415</v>
      </c>
      <c r="E204" s="2" t="s">
        <v>5953</v>
      </c>
      <c r="F204" s="2" t="s">
        <v>5758</v>
      </c>
      <c r="G204" s="2">
        <v>0.21</v>
      </c>
      <c r="I204" s="2">
        <v>210</v>
      </c>
      <c r="J204" s="2" t="s">
        <v>188</v>
      </c>
      <c r="M204" s="2">
        <v>0.21</v>
      </c>
      <c r="O204" s="2" t="s">
        <v>5737</v>
      </c>
      <c r="Q204" s="2">
        <v>2022</v>
      </c>
      <c r="R204" s="2">
        <v>2022</v>
      </c>
      <c r="S204" s="2" t="s">
        <v>5738</v>
      </c>
      <c r="U204" s="2">
        <v>18</v>
      </c>
      <c r="V204" s="2" t="s">
        <v>187</v>
      </c>
    </row>
    <row r="205" spans="1:22">
      <c r="A205" s="2" t="s">
        <v>417</v>
      </c>
      <c r="B205" s="2" t="s">
        <v>418</v>
      </c>
      <c r="D205" s="2" t="s">
        <v>415</v>
      </c>
      <c r="E205" s="2" t="s">
        <v>5954</v>
      </c>
      <c r="F205" s="2" t="s">
        <v>5736</v>
      </c>
      <c r="G205" s="2">
        <v>0.16</v>
      </c>
      <c r="I205" s="2">
        <v>160</v>
      </c>
      <c r="J205" s="2" t="s">
        <v>188</v>
      </c>
      <c r="M205" s="2">
        <v>0.16</v>
      </c>
      <c r="N205" s="2">
        <v>0.6</v>
      </c>
      <c r="O205" s="2" t="s">
        <v>5737</v>
      </c>
      <c r="Q205" s="2">
        <v>2013</v>
      </c>
      <c r="R205" s="2">
        <v>2013</v>
      </c>
      <c r="S205" s="2" t="s">
        <v>5738</v>
      </c>
      <c r="U205" s="2">
        <v>20</v>
      </c>
      <c r="V205" s="2" t="s">
        <v>187</v>
      </c>
    </row>
    <row r="206" spans="1:22">
      <c r="A206" s="2" t="s">
        <v>417</v>
      </c>
      <c r="B206" s="2" t="s">
        <v>418</v>
      </c>
      <c r="D206" s="2" t="s">
        <v>415</v>
      </c>
      <c r="E206" s="2" t="s">
        <v>5955</v>
      </c>
      <c r="F206" s="2" t="s">
        <v>5956</v>
      </c>
      <c r="G206" s="2">
        <v>0.22</v>
      </c>
      <c r="I206" s="2">
        <v>220</v>
      </c>
      <c r="J206" s="2" t="s">
        <v>188</v>
      </c>
      <c r="M206" s="2">
        <v>0.22</v>
      </c>
      <c r="N206" s="2">
        <v>1</v>
      </c>
      <c r="O206" s="2" t="s">
        <v>5737</v>
      </c>
      <c r="Q206" s="2">
        <v>2006</v>
      </c>
      <c r="R206" s="2">
        <v>2006</v>
      </c>
      <c r="S206" s="2" t="s">
        <v>5738</v>
      </c>
      <c r="U206" s="2">
        <v>21</v>
      </c>
      <c r="V206" s="2" t="s">
        <v>187</v>
      </c>
    </row>
    <row r="207" spans="1:22">
      <c r="A207" s="2" t="s">
        <v>436</v>
      </c>
      <c r="B207" s="2" t="s">
        <v>437</v>
      </c>
      <c r="D207" s="2" t="s">
        <v>434</v>
      </c>
      <c r="E207" s="2" t="s">
        <v>5957</v>
      </c>
      <c r="F207" s="2" t="s">
        <v>5956</v>
      </c>
      <c r="G207" s="2">
        <v>0.13</v>
      </c>
      <c r="I207" s="2">
        <v>1300</v>
      </c>
      <c r="J207" s="2" t="s">
        <v>188</v>
      </c>
      <c r="M207" s="2">
        <v>0.13</v>
      </c>
      <c r="N207" s="2">
        <v>0.5</v>
      </c>
      <c r="O207" s="2" t="s">
        <v>5734</v>
      </c>
      <c r="Q207" s="2">
        <v>2016</v>
      </c>
      <c r="R207" s="2">
        <v>2016</v>
      </c>
      <c r="S207" s="2" t="s">
        <v>5738</v>
      </c>
      <c r="U207" s="2">
        <v>19</v>
      </c>
      <c r="V207" s="2" t="s">
        <v>188</v>
      </c>
    </row>
    <row r="208" spans="1:22">
      <c r="A208" s="2" t="s">
        <v>436</v>
      </c>
      <c r="B208" s="2" t="s">
        <v>437</v>
      </c>
      <c r="D208" s="2" t="s">
        <v>434</v>
      </c>
      <c r="E208" s="2" t="s">
        <v>5958</v>
      </c>
      <c r="F208" s="2" t="s">
        <v>5743</v>
      </c>
      <c r="G208" s="2">
        <v>0.1</v>
      </c>
      <c r="I208" s="2">
        <v>100</v>
      </c>
      <c r="J208" s="2" t="s">
        <v>188</v>
      </c>
      <c r="M208" s="2">
        <v>0.1</v>
      </c>
      <c r="N208" s="2">
        <v>0.5</v>
      </c>
      <c r="O208" s="2" t="s">
        <v>5737</v>
      </c>
      <c r="Q208" s="2">
        <v>2012</v>
      </c>
      <c r="R208" s="2">
        <v>2012</v>
      </c>
      <c r="S208" s="2" t="s">
        <v>5738</v>
      </c>
      <c r="U208" s="2">
        <v>20</v>
      </c>
      <c r="V208" s="2" t="s">
        <v>187</v>
      </c>
    </row>
    <row r="209" spans="1:22">
      <c r="A209" s="2" t="s">
        <v>436</v>
      </c>
      <c r="B209" s="2" t="s">
        <v>437</v>
      </c>
      <c r="D209" s="2" t="s">
        <v>434</v>
      </c>
      <c r="E209" s="2" t="s">
        <v>5959</v>
      </c>
      <c r="F209" s="2" t="s">
        <v>5758</v>
      </c>
      <c r="G209" s="2">
        <v>0.14000000000000001</v>
      </c>
      <c r="I209" s="2">
        <v>140</v>
      </c>
      <c r="J209" s="2" t="s">
        <v>188</v>
      </c>
      <c r="M209" s="2">
        <v>0.14000000000000001</v>
      </c>
      <c r="N209" s="2">
        <v>0.4</v>
      </c>
      <c r="O209" s="2" t="s">
        <v>5737</v>
      </c>
      <c r="Q209" s="2">
        <v>2015</v>
      </c>
      <c r="R209" s="2">
        <v>2015</v>
      </c>
      <c r="S209" s="2" t="s">
        <v>5738</v>
      </c>
      <c r="U209" s="2">
        <v>20</v>
      </c>
      <c r="V209" s="2" t="s">
        <v>187</v>
      </c>
    </row>
    <row r="210" spans="1:22">
      <c r="A210" s="2" t="s">
        <v>436</v>
      </c>
      <c r="B210" s="2" t="s">
        <v>437</v>
      </c>
      <c r="D210" s="2" t="s">
        <v>434</v>
      </c>
      <c r="E210" s="2" t="s">
        <v>5960</v>
      </c>
      <c r="F210" s="2" t="s">
        <v>5731</v>
      </c>
      <c r="G210" s="2">
        <v>0.2</v>
      </c>
      <c r="I210" s="2">
        <v>200</v>
      </c>
      <c r="J210" s="2" t="s">
        <v>188</v>
      </c>
      <c r="M210" s="2">
        <v>0.2</v>
      </c>
      <c r="N210" s="2">
        <v>0.7</v>
      </c>
      <c r="O210" s="2" t="s">
        <v>5737</v>
      </c>
      <c r="Q210" s="2">
        <v>2012</v>
      </c>
      <c r="R210" s="2">
        <v>2012</v>
      </c>
      <c r="S210" s="2" t="s">
        <v>5738</v>
      </c>
      <c r="U210" s="2">
        <v>20</v>
      </c>
      <c r="V210" s="2" t="s">
        <v>187</v>
      </c>
    </row>
    <row r="211" spans="1:22">
      <c r="A211" s="2" t="s">
        <v>436</v>
      </c>
      <c r="B211" s="2" t="s">
        <v>437</v>
      </c>
      <c r="D211" s="2" t="s">
        <v>434</v>
      </c>
      <c r="E211" s="2" t="s">
        <v>5961</v>
      </c>
      <c r="F211" s="2" t="s">
        <v>5736</v>
      </c>
      <c r="G211" s="2">
        <v>0.1</v>
      </c>
      <c r="I211" s="2">
        <v>100</v>
      </c>
      <c r="J211" s="2" t="s">
        <v>188</v>
      </c>
      <c r="M211" s="2">
        <v>0.1</v>
      </c>
      <c r="N211" s="2">
        <v>0.4</v>
      </c>
      <c r="O211" s="2" t="s">
        <v>5737</v>
      </c>
      <c r="Q211" s="2">
        <v>2013</v>
      </c>
      <c r="R211" s="2">
        <v>2013</v>
      </c>
      <c r="S211" s="2" t="s">
        <v>5738</v>
      </c>
      <c r="U211" s="2">
        <v>23</v>
      </c>
      <c r="V211" s="2" t="s">
        <v>187</v>
      </c>
    </row>
    <row r="212" spans="1:22">
      <c r="A212" s="2" t="s">
        <v>436</v>
      </c>
      <c r="B212" s="2" t="s">
        <v>437</v>
      </c>
      <c r="D212" s="2" t="s">
        <v>434</v>
      </c>
      <c r="E212" s="2" t="s">
        <v>5962</v>
      </c>
      <c r="F212" s="2" t="s">
        <v>5816</v>
      </c>
      <c r="G212" s="2">
        <v>0.14000000000000001</v>
      </c>
      <c r="I212" s="2">
        <v>140</v>
      </c>
      <c r="J212" s="2" t="s">
        <v>188</v>
      </c>
      <c r="M212" s="2">
        <v>0.14000000000000001</v>
      </c>
      <c r="N212" s="2">
        <v>0.5</v>
      </c>
      <c r="O212" s="2" t="s">
        <v>5737</v>
      </c>
      <c r="Q212" s="2">
        <v>2014</v>
      </c>
      <c r="R212" s="2">
        <v>2014</v>
      </c>
      <c r="U212" s="2">
        <v>20</v>
      </c>
      <c r="V212" s="2" t="s">
        <v>187</v>
      </c>
    </row>
    <row r="213" spans="1:22">
      <c r="A213" s="2" t="s">
        <v>446</v>
      </c>
      <c r="B213" s="2" t="s">
        <v>447</v>
      </c>
      <c r="D213" s="2" t="s">
        <v>443</v>
      </c>
      <c r="E213" s="2" t="s">
        <v>5963</v>
      </c>
      <c r="F213" s="2" t="s">
        <v>5731</v>
      </c>
      <c r="G213" s="2">
        <v>0.1</v>
      </c>
      <c r="I213" s="2">
        <v>100</v>
      </c>
      <c r="J213" s="2" t="s">
        <v>188</v>
      </c>
      <c r="M213" s="2">
        <v>0.1</v>
      </c>
      <c r="N213" s="2">
        <v>0.3</v>
      </c>
      <c r="O213" s="2" t="s">
        <v>5737</v>
      </c>
      <c r="Q213" s="2">
        <v>2017</v>
      </c>
      <c r="R213" s="2">
        <v>2017</v>
      </c>
      <c r="S213" s="2" t="s">
        <v>5738</v>
      </c>
      <c r="U213" s="2">
        <v>23</v>
      </c>
      <c r="V213" s="2" t="s">
        <v>187</v>
      </c>
    </row>
    <row r="214" spans="1:22">
      <c r="A214" s="2" t="s">
        <v>446</v>
      </c>
      <c r="B214" s="2" t="s">
        <v>447</v>
      </c>
      <c r="D214" s="2" t="s">
        <v>443</v>
      </c>
      <c r="E214" s="2" t="s">
        <v>5964</v>
      </c>
      <c r="F214" s="2" t="s">
        <v>5758</v>
      </c>
      <c r="G214" s="2">
        <v>0.7</v>
      </c>
      <c r="I214" s="2">
        <v>700</v>
      </c>
      <c r="J214" s="2" t="s">
        <v>188</v>
      </c>
      <c r="M214" s="2">
        <v>0.7</v>
      </c>
      <c r="N214" s="2">
        <v>1</v>
      </c>
      <c r="O214" s="2" t="s">
        <v>5737</v>
      </c>
      <c r="Q214" s="2">
        <v>2019</v>
      </c>
      <c r="R214" s="2">
        <v>2019</v>
      </c>
      <c r="S214" s="2" t="s">
        <v>5738</v>
      </c>
      <c r="U214" s="2">
        <v>20</v>
      </c>
      <c r="V214" s="2" t="s">
        <v>187</v>
      </c>
    </row>
    <row r="215" spans="1:22">
      <c r="A215" s="2" t="s">
        <v>446</v>
      </c>
      <c r="B215" s="2" t="s">
        <v>447</v>
      </c>
      <c r="D215" s="2" t="s">
        <v>443</v>
      </c>
      <c r="E215" s="2" t="s">
        <v>5965</v>
      </c>
      <c r="F215" s="2" t="s">
        <v>5736</v>
      </c>
      <c r="G215" s="2">
        <v>1</v>
      </c>
      <c r="I215" s="2">
        <v>1000</v>
      </c>
      <c r="J215" s="2" t="s">
        <v>188</v>
      </c>
      <c r="M215" s="2">
        <v>1</v>
      </c>
      <c r="N215" s="2">
        <v>1.5</v>
      </c>
      <c r="O215" s="2" t="s">
        <v>5737</v>
      </c>
      <c r="Q215" s="2">
        <v>2017</v>
      </c>
      <c r="R215" s="2">
        <v>2017</v>
      </c>
      <c r="S215" s="2" t="s">
        <v>5738</v>
      </c>
      <c r="U215" s="2">
        <v>20</v>
      </c>
      <c r="V215" s="2" t="s">
        <v>187</v>
      </c>
    </row>
    <row r="216" spans="1:22">
      <c r="A216" s="2" t="s">
        <v>446</v>
      </c>
      <c r="B216" s="2" t="s">
        <v>447</v>
      </c>
      <c r="D216" s="2" t="s">
        <v>443</v>
      </c>
      <c r="E216" s="2" t="s">
        <v>5966</v>
      </c>
      <c r="F216" s="2" t="s">
        <v>5743</v>
      </c>
      <c r="G216" s="2">
        <v>0.1</v>
      </c>
      <c r="I216" s="2">
        <v>100</v>
      </c>
      <c r="J216" s="2" t="s">
        <v>188</v>
      </c>
      <c r="M216" s="2">
        <v>0.1</v>
      </c>
      <c r="N216" s="2">
        <v>0.2</v>
      </c>
      <c r="O216" s="2" t="s">
        <v>5734</v>
      </c>
      <c r="Q216" s="2">
        <v>2018</v>
      </c>
      <c r="R216" s="2">
        <v>2018</v>
      </c>
      <c r="S216" s="2" t="s">
        <v>5738</v>
      </c>
      <c r="U216" s="2">
        <v>20</v>
      </c>
      <c r="V216" s="2" t="s">
        <v>188</v>
      </c>
    </row>
    <row r="217" spans="1:22">
      <c r="A217" s="2" t="s">
        <v>457</v>
      </c>
      <c r="B217" s="2" t="s">
        <v>457</v>
      </c>
      <c r="D217" s="2" t="s">
        <v>454</v>
      </c>
      <c r="E217" s="2" t="s">
        <v>5967</v>
      </c>
      <c r="F217" s="2" t="s">
        <v>5758</v>
      </c>
      <c r="G217" s="2">
        <v>0.1</v>
      </c>
      <c r="I217" s="2">
        <v>100</v>
      </c>
      <c r="J217" s="2" t="s">
        <v>188</v>
      </c>
      <c r="M217" s="2">
        <v>0.1</v>
      </c>
      <c r="N217" s="2">
        <v>0.3</v>
      </c>
      <c r="O217" s="2" t="s">
        <v>5737</v>
      </c>
      <c r="Q217" s="2">
        <v>2017</v>
      </c>
      <c r="R217" s="2">
        <v>2017</v>
      </c>
      <c r="S217" s="2" t="s">
        <v>5738</v>
      </c>
      <c r="U217" s="2">
        <v>21</v>
      </c>
      <c r="V217" s="2" t="s">
        <v>187</v>
      </c>
    </row>
    <row r="218" spans="1:22">
      <c r="A218" s="2" t="s">
        <v>457</v>
      </c>
      <c r="B218" s="2" t="s">
        <v>457</v>
      </c>
      <c r="D218" s="2" t="s">
        <v>454</v>
      </c>
      <c r="E218" s="2" t="s">
        <v>5968</v>
      </c>
      <c r="F218" s="2" t="s">
        <v>5736</v>
      </c>
      <c r="G218" s="2">
        <v>0.2</v>
      </c>
      <c r="I218" s="2">
        <v>200</v>
      </c>
      <c r="J218" s="2" t="s">
        <v>188</v>
      </c>
      <c r="M218" s="2">
        <v>0.2</v>
      </c>
      <c r="N218" s="2">
        <v>0.5</v>
      </c>
      <c r="O218" s="2" t="s">
        <v>5737</v>
      </c>
      <c r="Q218" s="2">
        <v>2016</v>
      </c>
      <c r="R218" s="2">
        <v>2016</v>
      </c>
      <c r="S218" s="2" t="s">
        <v>5969</v>
      </c>
      <c r="U218" s="2">
        <v>20</v>
      </c>
      <c r="V218" s="2" t="s">
        <v>187</v>
      </c>
    </row>
    <row r="219" spans="1:22">
      <c r="A219" s="2" t="s">
        <v>457</v>
      </c>
      <c r="B219" s="2" t="s">
        <v>457</v>
      </c>
      <c r="D219" s="2" t="s">
        <v>454</v>
      </c>
      <c r="E219" s="2" t="s">
        <v>5970</v>
      </c>
      <c r="F219" s="2" t="s">
        <v>5731</v>
      </c>
      <c r="G219" s="2">
        <v>0.5</v>
      </c>
      <c r="I219" s="2">
        <v>500</v>
      </c>
      <c r="J219" s="2" t="s">
        <v>188</v>
      </c>
      <c r="M219" s="2">
        <v>0.5</v>
      </c>
      <c r="N219" s="2">
        <v>1.3</v>
      </c>
      <c r="O219" s="2" t="s">
        <v>5737</v>
      </c>
      <c r="Q219" s="2">
        <v>2015</v>
      </c>
      <c r="R219" s="2">
        <v>2015</v>
      </c>
      <c r="S219" s="2" t="s">
        <v>5738</v>
      </c>
      <c r="U219" s="2">
        <v>25</v>
      </c>
      <c r="V219" s="2" t="s">
        <v>187</v>
      </c>
    </row>
    <row r="220" spans="1:22">
      <c r="A220" s="2" t="s">
        <v>457</v>
      </c>
      <c r="B220" s="2" t="s">
        <v>457</v>
      </c>
      <c r="D220" s="2" t="s">
        <v>454</v>
      </c>
      <c r="E220" s="2" t="s">
        <v>5971</v>
      </c>
      <c r="F220" s="2" t="s">
        <v>5816</v>
      </c>
      <c r="G220" s="2">
        <v>0.2</v>
      </c>
      <c r="I220" s="2">
        <v>200</v>
      </c>
      <c r="J220" s="2" t="s">
        <v>187</v>
      </c>
      <c r="K220" s="2" t="s">
        <v>5766</v>
      </c>
      <c r="L220" s="2" t="s">
        <v>5733</v>
      </c>
      <c r="O220" s="2" t="s">
        <v>5737</v>
      </c>
      <c r="Q220" s="2">
        <v>2024</v>
      </c>
      <c r="R220" s="2">
        <v>2024</v>
      </c>
      <c r="S220" s="2" t="s">
        <v>5738</v>
      </c>
      <c r="U220" s="2">
        <v>21</v>
      </c>
      <c r="V220" s="2" t="s">
        <v>187</v>
      </c>
    </row>
    <row r="221" spans="1:22">
      <c r="A221" s="2" t="s">
        <v>457</v>
      </c>
      <c r="B221" s="2" t="s">
        <v>457</v>
      </c>
      <c r="D221" s="2" t="s">
        <v>454</v>
      </c>
      <c r="E221" s="2" t="s">
        <v>5972</v>
      </c>
      <c r="F221" s="2" t="s">
        <v>5743</v>
      </c>
      <c r="G221" s="2">
        <v>0.15</v>
      </c>
      <c r="I221" s="2">
        <v>150</v>
      </c>
      <c r="J221" s="2" t="s">
        <v>187</v>
      </c>
      <c r="K221" s="2" t="s">
        <v>5919</v>
      </c>
      <c r="M221" s="2">
        <v>0.15</v>
      </c>
      <c r="N221" s="2">
        <v>0.4</v>
      </c>
      <c r="O221" s="2" t="s">
        <v>5737</v>
      </c>
      <c r="Q221" s="2">
        <v>2017</v>
      </c>
      <c r="R221" s="2">
        <v>2017</v>
      </c>
      <c r="S221" s="2" t="s">
        <v>5738</v>
      </c>
      <c r="U221" s="2">
        <v>21</v>
      </c>
      <c r="V221" s="2" t="s">
        <v>187</v>
      </c>
    </row>
    <row r="222" spans="1:22">
      <c r="A222" s="2" t="s">
        <v>525</v>
      </c>
      <c r="B222" s="2" t="s">
        <v>525</v>
      </c>
      <c r="D222" s="2" t="s">
        <v>523</v>
      </c>
      <c r="E222" s="2" t="s">
        <v>5973</v>
      </c>
      <c r="F222" s="2" t="s">
        <v>5743</v>
      </c>
      <c r="G222" s="2">
        <v>1.8</v>
      </c>
      <c r="I222" s="2">
        <v>2000</v>
      </c>
      <c r="J222" s="2" t="s">
        <v>187</v>
      </c>
      <c r="K222" s="2" t="s">
        <v>5766</v>
      </c>
      <c r="L222" s="2" t="s">
        <v>5733</v>
      </c>
      <c r="M222" s="2">
        <v>1.8</v>
      </c>
      <c r="N222" s="2">
        <v>10</v>
      </c>
      <c r="O222" s="2" t="s">
        <v>5737</v>
      </c>
      <c r="Q222" s="2">
        <v>2015</v>
      </c>
      <c r="R222" s="2">
        <v>2015</v>
      </c>
      <c r="S222" s="2" t="s">
        <v>5738</v>
      </c>
      <c r="U222" s="2">
        <v>20</v>
      </c>
      <c r="V222" s="2" t="s">
        <v>187</v>
      </c>
    </row>
    <row r="223" spans="1:22">
      <c r="A223" s="2" t="s">
        <v>666</v>
      </c>
      <c r="B223" s="2" t="s">
        <v>667</v>
      </c>
      <c r="D223" s="2" t="s">
        <v>663</v>
      </c>
      <c r="E223" s="2" t="s">
        <v>5974</v>
      </c>
      <c r="F223" s="2" t="s">
        <v>5736</v>
      </c>
      <c r="G223" s="2">
        <v>1</v>
      </c>
      <c r="I223" s="2">
        <v>1100</v>
      </c>
      <c r="J223" s="2" t="s">
        <v>187</v>
      </c>
      <c r="K223" s="2" t="s">
        <v>5766</v>
      </c>
      <c r="L223" s="2" t="s">
        <v>5733</v>
      </c>
      <c r="M223" s="2">
        <v>1</v>
      </c>
      <c r="N223" s="2">
        <v>2</v>
      </c>
      <c r="O223" s="2" t="s">
        <v>5737</v>
      </c>
      <c r="Q223" s="2">
        <v>2001</v>
      </c>
      <c r="R223" s="2">
        <v>2001</v>
      </c>
      <c r="S223" s="2" t="s">
        <v>5738</v>
      </c>
      <c r="U223" s="2">
        <v>20</v>
      </c>
      <c r="V223" s="2" t="s">
        <v>187</v>
      </c>
    </row>
    <row r="224" spans="1:22">
      <c r="A224" s="2" t="s">
        <v>666</v>
      </c>
      <c r="B224" s="2" t="s">
        <v>667</v>
      </c>
      <c r="D224" s="2" t="s">
        <v>663</v>
      </c>
      <c r="E224" s="2" t="s">
        <v>5975</v>
      </c>
      <c r="F224" s="2" t="s">
        <v>5731</v>
      </c>
      <c r="G224" s="2">
        <v>1</v>
      </c>
      <c r="I224" s="2">
        <v>1100</v>
      </c>
      <c r="J224" s="2" t="s">
        <v>188</v>
      </c>
      <c r="M224" s="2">
        <v>1</v>
      </c>
      <c r="N224" s="2">
        <v>2</v>
      </c>
      <c r="O224" s="2" t="s">
        <v>5737</v>
      </c>
      <c r="Q224" s="2">
        <v>2000</v>
      </c>
      <c r="R224" s="2">
        <v>2000</v>
      </c>
      <c r="S224" s="2" t="s">
        <v>5738</v>
      </c>
      <c r="U224" s="2">
        <v>21</v>
      </c>
      <c r="V224" s="2" t="s">
        <v>187</v>
      </c>
    </row>
    <row r="225" spans="1:22">
      <c r="A225" s="2" t="s">
        <v>666</v>
      </c>
      <c r="B225" s="2" t="s">
        <v>667</v>
      </c>
      <c r="D225" s="2" t="s">
        <v>663</v>
      </c>
      <c r="E225" s="2" t="s">
        <v>5976</v>
      </c>
      <c r="F225" s="2" t="s">
        <v>5743</v>
      </c>
      <c r="G225" s="2">
        <v>1</v>
      </c>
      <c r="I225" s="2">
        <v>1000</v>
      </c>
      <c r="J225" s="2" t="s">
        <v>187</v>
      </c>
      <c r="K225" s="2" t="s">
        <v>5766</v>
      </c>
      <c r="L225" s="2" t="s">
        <v>5733</v>
      </c>
      <c r="M225" s="2">
        <v>1</v>
      </c>
      <c r="N225" s="2">
        <v>2</v>
      </c>
      <c r="O225" s="2" t="s">
        <v>5737</v>
      </c>
      <c r="Q225" s="2">
        <v>2000</v>
      </c>
      <c r="R225" s="2">
        <v>2000</v>
      </c>
      <c r="S225" s="2" t="s">
        <v>5738</v>
      </c>
      <c r="U225" s="2">
        <v>20</v>
      </c>
      <c r="V225" s="2" t="s">
        <v>188</v>
      </c>
    </row>
    <row r="226" spans="1:22">
      <c r="A226" s="2" t="s">
        <v>676</v>
      </c>
      <c r="B226" s="2" t="s">
        <v>677</v>
      </c>
      <c r="D226" s="2" t="s">
        <v>674</v>
      </c>
      <c r="E226" s="2" t="s">
        <v>5977</v>
      </c>
      <c r="F226" s="2" t="s">
        <v>5731</v>
      </c>
      <c r="G226" s="2">
        <v>1</v>
      </c>
      <c r="I226" s="2">
        <v>1000</v>
      </c>
      <c r="J226" s="2" t="s">
        <v>188</v>
      </c>
      <c r="M226" s="2">
        <v>0.3</v>
      </c>
      <c r="N226" s="2">
        <v>1.2</v>
      </c>
      <c r="O226" s="2" t="s">
        <v>5737</v>
      </c>
      <c r="Q226" s="2">
        <v>2016</v>
      </c>
      <c r="R226" s="2">
        <v>2023</v>
      </c>
      <c r="S226" s="2" t="s">
        <v>5738</v>
      </c>
      <c r="U226" s="2">
        <v>20</v>
      </c>
      <c r="V226" s="2" t="s">
        <v>187</v>
      </c>
    </row>
    <row r="227" spans="1:22">
      <c r="A227" s="2" t="s">
        <v>676</v>
      </c>
      <c r="B227" s="2" t="s">
        <v>677</v>
      </c>
      <c r="D227" s="2" t="s">
        <v>674</v>
      </c>
      <c r="E227" s="2" t="s">
        <v>5978</v>
      </c>
      <c r="F227" s="2" t="s">
        <v>5736</v>
      </c>
      <c r="G227" s="2">
        <v>0.5</v>
      </c>
      <c r="I227" s="2">
        <v>500</v>
      </c>
      <c r="J227" s="2" t="s">
        <v>187</v>
      </c>
      <c r="K227" s="2" t="s">
        <v>5766</v>
      </c>
      <c r="L227" s="2" t="s">
        <v>5733</v>
      </c>
      <c r="O227" s="2" t="s">
        <v>5737</v>
      </c>
      <c r="Q227" s="2">
        <v>2016</v>
      </c>
      <c r="R227" s="2">
        <v>2014</v>
      </c>
      <c r="S227" s="2" t="s">
        <v>5735</v>
      </c>
      <c r="U227" s="2">
        <v>20</v>
      </c>
      <c r="V227" s="2" t="s">
        <v>187</v>
      </c>
    </row>
    <row r="228" spans="1:22">
      <c r="A228" s="2" t="s">
        <v>684</v>
      </c>
      <c r="B228" s="2" t="s">
        <v>684</v>
      </c>
      <c r="D228" s="2" t="s">
        <v>682</v>
      </c>
      <c r="E228" s="2" t="s">
        <v>5979</v>
      </c>
      <c r="F228" s="2" t="s">
        <v>5731</v>
      </c>
      <c r="G228" s="2">
        <v>0.53</v>
      </c>
      <c r="I228" s="2">
        <v>600</v>
      </c>
      <c r="J228" s="2" t="s">
        <v>188</v>
      </c>
      <c r="M228" s="2">
        <v>0.53</v>
      </c>
      <c r="N228" s="2">
        <v>2</v>
      </c>
      <c r="O228" s="2" t="s">
        <v>5737</v>
      </c>
      <c r="Q228" s="2">
        <v>2006</v>
      </c>
      <c r="R228" s="2">
        <v>2006</v>
      </c>
      <c r="S228" s="2" t="s">
        <v>5738</v>
      </c>
      <c r="U228" s="2">
        <v>20</v>
      </c>
      <c r="V228" s="2" t="s">
        <v>187</v>
      </c>
    </row>
    <row r="229" spans="1:22">
      <c r="A229" s="2" t="s">
        <v>684</v>
      </c>
      <c r="B229" s="2" t="s">
        <v>684</v>
      </c>
      <c r="D229" s="2" t="s">
        <v>682</v>
      </c>
      <c r="E229" s="2" t="s">
        <v>5980</v>
      </c>
      <c r="F229" s="2" t="s">
        <v>5736</v>
      </c>
      <c r="G229" s="2">
        <v>0.62</v>
      </c>
      <c r="I229" s="2">
        <v>700</v>
      </c>
      <c r="J229" s="2" t="s">
        <v>188</v>
      </c>
      <c r="M229" s="2">
        <v>0.62</v>
      </c>
      <c r="N229" s="2">
        <v>3</v>
      </c>
      <c r="O229" s="2" t="s">
        <v>5737</v>
      </c>
      <c r="Q229" s="2">
        <v>2013</v>
      </c>
      <c r="R229" s="2">
        <v>2013</v>
      </c>
      <c r="S229" s="2" t="s">
        <v>5738</v>
      </c>
      <c r="U229" s="2">
        <v>20</v>
      </c>
      <c r="V229" s="2" t="s">
        <v>187</v>
      </c>
    </row>
    <row r="230" spans="1:22">
      <c r="A230" s="2" t="s">
        <v>657</v>
      </c>
      <c r="B230" s="2" t="s">
        <v>657</v>
      </c>
      <c r="D230" s="2" t="s">
        <v>655</v>
      </c>
      <c r="E230" s="2" t="s">
        <v>5981</v>
      </c>
      <c r="F230" s="2">
        <v>2</v>
      </c>
      <c r="G230" s="2">
        <v>0.8</v>
      </c>
      <c r="H230" s="2">
        <v>0</v>
      </c>
      <c r="I230" s="2">
        <v>800</v>
      </c>
      <c r="J230" s="2" t="s">
        <v>188</v>
      </c>
      <c r="M230" s="2">
        <v>0.8</v>
      </c>
      <c r="N230" s="2">
        <v>2</v>
      </c>
      <c r="O230" s="2" t="s">
        <v>5734</v>
      </c>
      <c r="Q230" s="2">
        <v>2009</v>
      </c>
      <c r="R230" s="2">
        <v>2009</v>
      </c>
      <c r="S230" s="2" t="s">
        <v>5739</v>
      </c>
      <c r="U230" s="2">
        <v>35</v>
      </c>
      <c r="V230" s="2" t="s">
        <v>188</v>
      </c>
    </row>
    <row r="231" spans="1:22">
      <c r="A231" s="2" t="s">
        <v>657</v>
      </c>
      <c r="B231" s="2" t="s">
        <v>657</v>
      </c>
      <c r="D231" s="2" t="s">
        <v>655</v>
      </c>
      <c r="E231" s="2" t="s">
        <v>5982</v>
      </c>
      <c r="F231" s="2">
        <v>3</v>
      </c>
      <c r="G231" s="2">
        <v>0.5</v>
      </c>
      <c r="H231" s="2">
        <v>0</v>
      </c>
      <c r="I231" s="2">
        <v>500</v>
      </c>
      <c r="J231" s="2" t="s">
        <v>188</v>
      </c>
      <c r="M231" s="2">
        <v>0.5</v>
      </c>
      <c r="N231" s="2">
        <v>1</v>
      </c>
      <c r="O231" s="2" t="s">
        <v>5734</v>
      </c>
      <c r="Q231" s="2">
        <v>2016</v>
      </c>
      <c r="R231" s="2">
        <v>2016</v>
      </c>
      <c r="S231" s="2" t="s">
        <v>5739</v>
      </c>
      <c r="U231" s="2">
        <v>30</v>
      </c>
      <c r="V231" s="2" t="s">
        <v>188</v>
      </c>
    </row>
    <row r="232" spans="1:22">
      <c r="A232" s="2" t="s">
        <v>657</v>
      </c>
      <c r="B232" s="2" t="s">
        <v>657</v>
      </c>
      <c r="D232" s="2" t="s">
        <v>655</v>
      </c>
      <c r="E232" s="2" t="s">
        <v>5983</v>
      </c>
      <c r="F232" s="2">
        <v>4</v>
      </c>
      <c r="G232" s="2">
        <v>0.5</v>
      </c>
      <c r="H232" s="2">
        <v>0</v>
      </c>
      <c r="I232" s="2">
        <v>500</v>
      </c>
      <c r="J232" s="2" t="s">
        <v>188</v>
      </c>
      <c r="M232" s="2">
        <v>0.5</v>
      </c>
      <c r="N232" s="2">
        <v>1</v>
      </c>
      <c r="O232" s="2" t="s">
        <v>5734</v>
      </c>
      <c r="Q232" s="2">
        <v>2018</v>
      </c>
      <c r="R232" s="2">
        <v>2018</v>
      </c>
      <c r="S232" s="2" t="s">
        <v>5739</v>
      </c>
      <c r="U232" s="2">
        <v>25</v>
      </c>
      <c r="V232" s="2" t="s">
        <v>188</v>
      </c>
    </row>
    <row r="233" spans="1:22">
      <c r="A233" s="2" t="s">
        <v>657</v>
      </c>
      <c r="B233" s="2" t="s">
        <v>657</v>
      </c>
      <c r="D233" s="2" t="s">
        <v>655</v>
      </c>
      <c r="E233" s="2" t="s">
        <v>5984</v>
      </c>
      <c r="F233" s="2">
        <v>1</v>
      </c>
      <c r="G233" s="2">
        <v>1.5</v>
      </c>
      <c r="H233" s="2">
        <v>0</v>
      </c>
      <c r="I233" s="2">
        <v>2000</v>
      </c>
      <c r="J233" s="2" t="s">
        <v>188</v>
      </c>
      <c r="M233" s="2">
        <v>1.5</v>
      </c>
      <c r="N233" s="2">
        <v>4</v>
      </c>
      <c r="O233" s="2" t="s">
        <v>5737</v>
      </c>
      <c r="Q233" s="2">
        <v>2000</v>
      </c>
      <c r="R233" s="2">
        <v>2000</v>
      </c>
      <c r="S233" s="2" t="s">
        <v>5985</v>
      </c>
      <c r="U233" s="2">
        <v>15</v>
      </c>
      <c r="V233" s="2" t="s">
        <v>188</v>
      </c>
    </row>
    <row r="234" spans="1:22">
      <c r="A234" s="2" t="s">
        <v>718</v>
      </c>
      <c r="B234" s="2" t="s">
        <v>719</v>
      </c>
      <c r="D234" s="2" t="s">
        <v>715</v>
      </c>
      <c r="E234" s="2" t="s">
        <v>5986</v>
      </c>
      <c r="F234" s="2">
        <v>1</v>
      </c>
      <c r="G234" s="2">
        <v>0.4</v>
      </c>
      <c r="H234" s="2">
        <v>0</v>
      </c>
      <c r="I234" s="2">
        <v>400</v>
      </c>
      <c r="J234" s="2" t="s">
        <v>188</v>
      </c>
      <c r="M234" s="2">
        <v>0.4</v>
      </c>
      <c r="N234" s="2">
        <v>1.3</v>
      </c>
      <c r="O234" s="2" t="s">
        <v>5734</v>
      </c>
      <c r="Q234" s="2">
        <v>2014</v>
      </c>
      <c r="R234" s="2">
        <v>2014</v>
      </c>
      <c r="S234" s="2" t="s">
        <v>5739</v>
      </c>
      <c r="U234" s="2">
        <v>30</v>
      </c>
      <c r="V234" s="2" t="s">
        <v>188</v>
      </c>
    </row>
    <row r="235" spans="1:22">
      <c r="A235" s="2" t="s">
        <v>764</v>
      </c>
      <c r="B235" s="2" t="s">
        <v>765</v>
      </c>
      <c r="D235" s="2" t="s">
        <v>761</v>
      </c>
      <c r="E235" s="2" t="s">
        <v>5987</v>
      </c>
      <c r="F235" s="2">
        <v>1</v>
      </c>
      <c r="G235" s="2">
        <v>0.5</v>
      </c>
      <c r="I235" s="2">
        <v>500</v>
      </c>
      <c r="J235" s="2" t="s">
        <v>188</v>
      </c>
      <c r="M235" s="2">
        <v>0.5</v>
      </c>
      <c r="N235" s="2">
        <v>2</v>
      </c>
      <c r="O235" s="2" t="s">
        <v>5737</v>
      </c>
      <c r="Q235" s="2">
        <v>2008</v>
      </c>
      <c r="R235" s="2">
        <v>2008</v>
      </c>
      <c r="S235" s="2" t="s">
        <v>288</v>
      </c>
      <c r="T235" s="2" t="s">
        <v>5825</v>
      </c>
      <c r="U235" s="2">
        <v>25</v>
      </c>
      <c r="V235" s="2" t="s">
        <v>188</v>
      </c>
    </row>
    <row r="236" spans="1:22">
      <c r="A236" s="2" t="s">
        <v>779</v>
      </c>
      <c r="B236" s="2" t="s">
        <v>780</v>
      </c>
      <c r="D236" s="2" t="s">
        <v>776</v>
      </c>
      <c r="E236" s="2" t="s">
        <v>5988</v>
      </c>
      <c r="F236" s="2">
        <v>1</v>
      </c>
      <c r="G236" s="2">
        <v>0.4</v>
      </c>
      <c r="H236" s="2">
        <v>0</v>
      </c>
      <c r="I236" s="2">
        <v>410</v>
      </c>
      <c r="J236" s="2" t="s">
        <v>188</v>
      </c>
      <c r="M236" s="2">
        <v>0.4</v>
      </c>
      <c r="N236" s="2">
        <v>1</v>
      </c>
      <c r="O236" s="2" t="s">
        <v>5734</v>
      </c>
      <c r="Q236" s="2">
        <v>2002</v>
      </c>
      <c r="R236" s="2">
        <v>2002</v>
      </c>
      <c r="S236" s="2" t="s">
        <v>5739</v>
      </c>
      <c r="U236" s="2">
        <v>30</v>
      </c>
      <c r="V236" s="2" t="s">
        <v>188</v>
      </c>
    </row>
    <row r="237" spans="1:22">
      <c r="A237" s="2" t="s">
        <v>695</v>
      </c>
      <c r="B237" s="2" t="s">
        <v>224</v>
      </c>
      <c r="D237" s="2" t="s">
        <v>693</v>
      </c>
      <c r="E237" s="2" t="s">
        <v>5989</v>
      </c>
      <c r="F237" s="2" t="s">
        <v>5731</v>
      </c>
      <c r="G237" s="2">
        <v>0.2</v>
      </c>
      <c r="I237" s="2">
        <v>250</v>
      </c>
      <c r="J237" s="2" t="s">
        <v>187</v>
      </c>
      <c r="K237" s="2" t="s">
        <v>5766</v>
      </c>
      <c r="L237" s="2" t="s">
        <v>5733</v>
      </c>
      <c r="M237" s="2">
        <v>0.2</v>
      </c>
      <c r="N237" s="2">
        <v>0.5</v>
      </c>
      <c r="O237" s="2" t="s">
        <v>5734</v>
      </c>
      <c r="Q237" s="2">
        <v>2016</v>
      </c>
      <c r="R237" s="2">
        <v>2016</v>
      </c>
      <c r="S237" s="2" t="s">
        <v>5738</v>
      </c>
      <c r="U237" s="2">
        <v>20</v>
      </c>
      <c r="V237" s="2" t="s">
        <v>188</v>
      </c>
    </row>
    <row r="238" spans="1:22">
      <c r="A238" s="2" t="s">
        <v>695</v>
      </c>
      <c r="B238" s="2" t="s">
        <v>224</v>
      </c>
      <c r="D238" s="2" t="s">
        <v>693</v>
      </c>
      <c r="E238" s="2" t="s">
        <v>5990</v>
      </c>
      <c r="F238" s="2" t="s">
        <v>5736</v>
      </c>
      <c r="G238" s="2">
        <v>0.2</v>
      </c>
      <c r="I238" s="2">
        <v>250</v>
      </c>
      <c r="J238" s="2" t="s">
        <v>188</v>
      </c>
      <c r="M238" s="2">
        <v>0.2</v>
      </c>
      <c r="N238" s="2">
        <v>0.5</v>
      </c>
      <c r="O238" s="2" t="s">
        <v>5734</v>
      </c>
      <c r="Q238" s="2">
        <v>2017</v>
      </c>
      <c r="R238" s="2">
        <v>2017</v>
      </c>
      <c r="S238" s="2" t="s">
        <v>5738</v>
      </c>
      <c r="U238" s="2">
        <v>20</v>
      </c>
      <c r="V238" s="2" t="s">
        <v>188</v>
      </c>
    </row>
    <row r="239" spans="1:22">
      <c r="A239" s="2" t="s">
        <v>278</v>
      </c>
      <c r="B239" s="2" t="s">
        <v>278</v>
      </c>
      <c r="D239" s="2" t="s">
        <v>277</v>
      </c>
      <c r="E239" s="2" t="s">
        <v>5991</v>
      </c>
      <c r="F239" s="2" t="s">
        <v>5992</v>
      </c>
      <c r="G239" s="2">
        <v>0.25</v>
      </c>
      <c r="I239" s="2">
        <v>250</v>
      </c>
      <c r="J239" s="2" t="s">
        <v>188</v>
      </c>
      <c r="M239" s="2">
        <v>0.25</v>
      </c>
      <c r="N239" s="2">
        <v>1</v>
      </c>
      <c r="O239" s="2" t="s">
        <v>5734</v>
      </c>
      <c r="Q239" s="2">
        <v>2015</v>
      </c>
      <c r="R239" s="2">
        <v>2015</v>
      </c>
      <c r="S239" s="2" t="s">
        <v>5771</v>
      </c>
      <c r="U239" s="2">
        <v>35</v>
      </c>
      <c r="V239" s="2" t="s">
        <v>188</v>
      </c>
    </row>
    <row r="240" spans="1:22">
      <c r="A240" s="2" t="s">
        <v>278</v>
      </c>
      <c r="B240" s="2" t="s">
        <v>278</v>
      </c>
      <c r="D240" s="2" t="s">
        <v>277</v>
      </c>
      <c r="E240" s="2" t="s">
        <v>5993</v>
      </c>
      <c r="F240" s="2" t="s">
        <v>5994</v>
      </c>
      <c r="G240" s="2">
        <v>0.45</v>
      </c>
      <c r="I240" s="2">
        <v>420</v>
      </c>
      <c r="J240" s="2" t="s">
        <v>188</v>
      </c>
      <c r="M240" s="2">
        <v>0.45</v>
      </c>
      <c r="N240" s="2">
        <v>2</v>
      </c>
      <c r="O240" s="2" t="s">
        <v>5734</v>
      </c>
      <c r="Q240" s="2">
        <v>2015</v>
      </c>
      <c r="R240" s="2">
        <v>2015</v>
      </c>
      <c r="S240" s="2" t="s">
        <v>5735</v>
      </c>
      <c r="U240" s="2">
        <v>35</v>
      </c>
      <c r="V240" s="2" t="s">
        <v>188</v>
      </c>
    </row>
    <row r="241" spans="1:22">
      <c r="A241" s="2" t="s">
        <v>267</v>
      </c>
      <c r="B241" s="2" t="s">
        <v>268</v>
      </c>
      <c r="D241" s="2" t="s">
        <v>266</v>
      </c>
      <c r="E241" s="2" t="s">
        <v>5995</v>
      </c>
      <c r="F241" s="2">
        <v>1</v>
      </c>
      <c r="G241" s="2">
        <v>0.5</v>
      </c>
      <c r="I241" s="2">
        <v>500</v>
      </c>
      <c r="J241" s="2" t="s">
        <v>187</v>
      </c>
      <c r="K241" s="2" t="s">
        <v>1523</v>
      </c>
      <c r="M241" s="2">
        <v>0.5</v>
      </c>
      <c r="N241" s="2">
        <v>2</v>
      </c>
      <c r="O241" s="2" t="s">
        <v>5737</v>
      </c>
      <c r="Q241" s="2">
        <v>2019</v>
      </c>
      <c r="R241" s="2">
        <v>2019</v>
      </c>
      <c r="S241" s="2" t="s">
        <v>5771</v>
      </c>
      <c r="U241" s="2">
        <v>15</v>
      </c>
      <c r="V241" s="2" t="s">
        <v>188</v>
      </c>
    </row>
    <row r="242" spans="1:22">
      <c r="A242" s="2" t="s">
        <v>785</v>
      </c>
      <c r="B242" s="2" t="s">
        <v>785</v>
      </c>
      <c r="D242" s="2" t="s">
        <v>783</v>
      </c>
      <c r="E242" s="2" t="s">
        <v>5996</v>
      </c>
      <c r="F242" s="2">
        <v>1</v>
      </c>
      <c r="G242" s="2">
        <v>0.2</v>
      </c>
      <c r="H242" s="2">
        <v>0</v>
      </c>
      <c r="I242" s="2">
        <v>220</v>
      </c>
      <c r="J242" s="2" t="s">
        <v>188</v>
      </c>
      <c r="M242" s="2">
        <v>0.2</v>
      </c>
      <c r="N242" s="2">
        <v>1.1000000000000001</v>
      </c>
      <c r="O242" s="2" t="s">
        <v>5734</v>
      </c>
      <c r="Q242" s="2">
        <v>2021</v>
      </c>
      <c r="R242" s="2">
        <v>2021</v>
      </c>
      <c r="S242" s="2" t="s">
        <v>5742</v>
      </c>
      <c r="U242" s="2">
        <v>25</v>
      </c>
      <c r="V242" s="2" t="s">
        <v>188</v>
      </c>
    </row>
    <row r="243" spans="1:22">
      <c r="A243" s="2" t="s">
        <v>747</v>
      </c>
      <c r="B243" s="2" t="s">
        <v>748</v>
      </c>
      <c r="D243" s="2" t="s">
        <v>745</v>
      </c>
      <c r="E243" s="2" t="s">
        <v>5997</v>
      </c>
      <c r="F243" s="2" t="s">
        <v>5743</v>
      </c>
      <c r="G243" s="2">
        <v>0.12</v>
      </c>
      <c r="I243" s="2">
        <v>100</v>
      </c>
      <c r="J243" s="2" t="s">
        <v>188</v>
      </c>
      <c r="M243" s="2">
        <v>0.12</v>
      </c>
      <c r="N243" s="2">
        <v>0.6</v>
      </c>
      <c r="O243" s="2" t="s">
        <v>5734</v>
      </c>
      <c r="Q243" s="2">
        <v>2016</v>
      </c>
      <c r="R243" s="2">
        <v>2016</v>
      </c>
      <c r="S243" s="2" t="s">
        <v>5738</v>
      </c>
      <c r="U243" s="2">
        <v>21</v>
      </c>
      <c r="V243" s="2" t="s">
        <v>188</v>
      </c>
    </row>
    <row r="244" spans="1:22">
      <c r="A244" s="2" t="s">
        <v>747</v>
      </c>
      <c r="B244" s="2" t="s">
        <v>748</v>
      </c>
      <c r="D244" s="2" t="s">
        <v>745</v>
      </c>
      <c r="E244" s="2" t="s">
        <v>5998</v>
      </c>
      <c r="F244" s="2" t="s">
        <v>5736</v>
      </c>
      <c r="G244" s="2">
        <v>0.2</v>
      </c>
      <c r="I244" s="2">
        <v>210</v>
      </c>
      <c r="J244" s="2" t="s">
        <v>187</v>
      </c>
      <c r="K244" s="2" t="s">
        <v>5919</v>
      </c>
      <c r="M244" s="2">
        <v>0.2</v>
      </c>
      <c r="N244" s="2">
        <v>1</v>
      </c>
      <c r="O244" s="2" t="s">
        <v>5734</v>
      </c>
      <c r="Q244" s="2">
        <v>2016</v>
      </c>
      <c r="R244" s="2">
        <v>2016</v>
      </c>
      <c r="S244" s="2" t="s">
        <v>5738</v>
      </c>
      <c r="U244" s="2">
        <v>21</v>
      </c>
      <c r="V244" s="2" t="s">
        <v>188</v>
      </c>
    </row>
    <row r="245" spans="1:22">
      <c r="A245" s="2" t="s">
        <v>747</v>
      </c>
      <c r="B245" s="2" t="s">
        <v>748</v>
      </c>
      <c r="D245" s="2" t="s">
        <v>745</v>
      </c>
      <c r="E245" s="2" t="s">
        <v>5999</v>
      </c>
      <c r="F245" s="2" t="s">
        <v>5731</v>
      </c>
      <c r="G245" s="2">
        <v>0.4</v>
      </c>
      <c r="I245" s="2">
        <v>450</v>
      </c>
      <c r="J245" s="2" t="s">
        <v>188</v>
      </c>
      <c r="M245" s="2">
        <v>0.4</v>
      </c>
      <c r="N245" s="2">
        <v>1.9</v>
      </c>
      <c r="O245" s="2" t="s">
        <v>5737</v>
      </c>
      <c r="Q245" s="2">
        <v>2015</v>
      </c>
      <c r="R245" s="2">
        <v>2015</v>
      </c>
      <c r="S245" s="2" t="s">
        <v>5738</v>
      </c>
      <c r="U245" s="2">
        <v>23</v>
      </c>
      <c r="V245" s="2" t="s">
        <v>187</v>
      </c>
    </row>
    <row r="246" spans="1:22">
      <c r="A246" s="2" t="s">
        <v>265</v>
      </c>
      <c r="B246" s="2" t="s">
        <v>265</v>
      </c>
      <c r="D246" s="2" t="s">
        <v>264</v>
      </c>
      <c r="E246" s="2" t="s">
        <v>6000</v>
      </c>
      <c r="F246" s="2">
        <v>2</v>
      </c>
      <c r="G246" s="2">
        <v>0.5</v>
      </c>
      <c r="I246" s="2">
        <v>520</v>
      </c>
      <c r="J246" s="2" t="s">
        <v>188</v>
      </c>
      <c r="M246" s="2">
        <v>0.5</v>
      </c>
      <c r="N246" s="2">
        <v>2.4</v>
      </c>
      <c r="O246" s="2" t="s">
        <v>5737</v>
      </c>
      <c r="Q246" s="2">
        <v>2006</v>
      </c>
      <c r="R246" s="2">
        <v>2006</v>
      </c>
      <c r="S246" s="2" t="s">
        <v>5738</v>
      </c>
      <c r="U246" s="2">
        <v>20</v>
      </c>
      <c r="V246" s="2" t="s">
        <v>188</v>
      </c>
    </row>
    <row r="247" spans="1:22">
      <c r="A247" s="2" t="s">
        <v>265</v>
      </c>
      <c r="B247" s="2" t="s">
        <v>265</v>
      </c>
      <c r="D247" s="2" t="s">
        <v>264</v>
      </c>
      <c r="E247" s="2" t="s">
        <v>6001</v>
      </c>
      <c r="F247" s="2">
        <v>1</v>
      </c>
      <c r="G247" s="2">
        <v>0.34</v>
      </c>
      <c r="I247" s="2">
        <v>300</v>
      </c>
      <c r="J247" s="2" t="s">
        <v>188</v>
      </c>
      <c r="M247" s="2">
        <v>0.34</v>
      </c>
      <c r="N247" s="2">
        <v>1.6</v>
      </c>
      <c r="O247" s="2" t="s">
        <v>5737</v>
      </c>
      <c r="Q247" s="2">
        <v>2022</v>
      </c>
      <c r="R247" s="2">
        <v>2022</v>
      </c>
      <c r="S247" s="2" t="s">
        <v>5735</v>
      </c>
      <c r="U247" s="2">
        <v>3</v>
      </c>
      <c r="V247" s="2" t="s">
        <v>188</v>
      </c>
    </row>
    <row r="248" spans="1:22">
      <c r="A248" s="2" t="s">
        <v>265</v>
      </c>
      <c r="B248" s="2" t="s">
        <v>265</v>
      </c>
      <c r="D248" s="2" t="s">
        <v>264</v>
      </c>
      <c r="E248" s="2" t="s">
        <v>6002</v>
      </c>
      <c r="F248" s="2">
        <v>4</v>
      </c>
      <c r="G248" s="2">
        <v>0.8</v>
      </c>
      <c r="I248" s="2">
        <v>900</v>
      </c>
      <c r="J248" s="2" t="s">
        <v>188</v>
      </c>
      <c r="O248" s="2" t="s">
        <v>5737</v>
      </c>
      <c r="Q248" s="2">
        <v>2006</v>
      </c>
      <c r="R248" s="2">
        <v>2025</v>
      </c>
      <c r="V248" s="2" t="s">
        <v>188</v>
      </c>
    </row>
    <row r="249" spans="1:22">
      <c r="A249" s="2" t="s">
        <v>265</v>
      </c>
      <c r="B249" s="2" t="s">
        <v>265</v>
      </c>
      <c r="D249" s="2" t="s">
        <v>264</v>
      </c>
      <c r="E249" s="2" t="s">
        <v>6003</v>
      </c>
      <c r="F249" s="2">
        <v>3</v>
      </c>
      <c r="G249" s="2">
        <v>0.2</v>
      </c>
      <c r="I249" s="2">
        <v>200</v>
      </c>
      <c r="J249" s="2" t="s">
        <v>188</v>
      </c>
      <c r="M249" s="2">
        <v>0.2</v>
      </c>
      <c r="N249" s="2">
        <v>0.5</v>
      </c>
      <c r="O249" s="2" t="s">
        <v>5737</v>
      </c>
      <c r="Q249" s="2">
        <v>2006</v>
      </c>
      <c r="R249" s="2">
        <v>2006</v>
      </c>
      <c r="S249" s="2" t="s">
        <v>5738</v>
      </c>
      <c r="U249" s="2">
        <v>4</v>
      </c>
      <c r="V249" s="2" t="s">
        <v>188</v>
      </c>
    </row>
    <row r="250" spans="1:22">
      <c r="A250" s="2" t="s">
        <v>1247</v>
      </c>
      <c r="B250" s="2" t="s">
        <v>1248</v>
      </c>
      <c r="D250" s="2" t="s">
        <v>1245</v>
      </c>
      <c r="E250" s="2" t="s">
        <v>6004</v>
      </c>
      <c r="G250" s="2">
        <v>1.9</v>
      </c>
      <c r="I250" s="2">
        <v>1700</v>
      </c>
      <c r="J250" s="2" t="s">
        <v>187</v>
      </c>
      <c r="K250" s="2" t="s">
        <v>5843</v>
      </c>
      <c r="L250" s="2" t="s">
        <v>5733</v>
      </c>
      <c r="M250" s="2">
        <v>1.9</v>
      </c>
      <c r="N250" s="2">
        <v>9.5</v>
      </c>
      <c r="O250" s="2" t="s">
        <v>5737</v>
      </c>
      <c r="Q250" s="2">
        <v>1995</v>
      </c>
      <c r="S250" s="2" t="s">
        <v>5735</v>
      </c>
      <c r="V250" s="2" t="s">
        <v>187</v>
      </c>
    </row>
    <row r="251" spans="1:22">
      <c r="A251" s="2" t="s">
        <v>842</v>
      </c>
      <c r="B251" s="2" t="s">
        <v>843</v>
      </c>
      <c r="D251" s="2" t="s">
        <v>839</v>
      </c>
      <c r="E251" s="2" t="s">
        <v>6005</v>
      </c>
      <c r="F251" s="2">
        <v>1</v>
      </c>
      <c r="G251" s="2">
        <v>1</v>
      </c>
      <c r="H251" s="2">
        <v>0</v>
      </c>
      <c r="I251" s="2">
        <v>1100</v>
      </c>
      <c r="J251" s="2" t="s">
        <v>187</v>
      </c>
      <c r="K251" s="2" t="s">
        <v>308</v>
      </c>
      <c r="M251" s="2">
        <v>1</v>
      </c>
      <c r="N251" s="2">
        <v>3.5</v>
      </c>
      <c r="O251" s="2" t="s">
        <v>5734</v>
      </c>
      <c r="Q251" s="2">
        <v>1994</v>
      </c>
      <c r="R251" s="2">
        <v>1994</v>
      </c>
      <c r="S251" s="2" t="s">
        <v>5739</v>
      </c>
      <c r="U251" s="2">
        <v>15</v>
      </c>
      <c r="V251" s="2" t="s">
        <v>188</v>
      </c>
    </row>
    <row r="252" spans="1:22">
      <c r="A252" s="2" t="s">
        <v>258</v>
      </c>
      <c r="B252" s="2" t="s">
        <v>259</v>
      </c>
      <c r="D252" s="2" t="s">
        <v>257</v>
      </c>
      <c r="E252" s="2" t="s">
        <v>6006</v>
      </c>
      <c r="F252" s="2">
        <v>1</v>
      </c>
      <c r="G252" s="2">
        <v>0.45</v>
      </c>
      <c r="I252" s="2">
        <v>400</v>
      </c>
      <c r="J252" s="2" t="s">
        <v>188</v>
      </c>
      <c r="M252" s="2">
        <v>0.45</v>
      </c>
      <c r="N252" s="2">
        <v>1.6</v>
      </c>
      <c r="O252" s="2" t="s">
        <v>5737</v>
      </c>
      <c r="Q252" s="2">
        <v>2016</v>
      </c>
      <c r="R252" s="2">
        <v>2016</v>
      </c>
      <c r="S252" s="2" t="s">
        <v>5739</v>
      </c>
      <c r="U252" s="2">
        <v>10</v>
      </c>
      <c r="V252" s="2" t="s">
        <v>188</v>
      </c>
    </row>
    <row r="253" spans="1:22">
      <c r="A253" s="2" t="s">
        <v>1271</v>
      </c>
      <c r="B253" s="2" t="s">
        <v>1272</v>
      </c>
      <c r="D253" s="2" t="s">
        <v>1270</v>
      </c>
      <c r="E253" s="2" t="s">
        <v>6007</v>
      </c>
      <c r="G253" s="2">
        <v>1.2</v>
      </c>
      <c r="I253" s="2">
        <v>100</v>
      </c>
      <c r="J253" s="2" t="s">
        <v>187</v>
      </c>
      <c r="K253" s="2" t="s">
        <v>5800</v>
      </c>
      <c r="L253" s="2" t="s">
        <v>6008</v>
      </c>
      <c r="M253" s="2">
        <v>1.2</v>
      </c>
      <c r="N253" s="2">
        <v>3</v>
      </c>
      <c r="O253" s="2" t="s">
        <v>5737</v>
      </c>
      <c r="Q253" s="2">
        <v>1996</v>
      </c>
      <c r="R253" s="2">
        <v>2017</v>
      </c>
      <c r="S253" s="2" t="s">
        <v>5735</v>
      </c>
      <c r="V253" s="2" t="s">
        <v>187</v>
      </c>
    </row>
    <row r="254" spans="1:22">
      <c r="A254" s="2" t="s">
        <v>252</v>
      </c>
      <c r="B254" s="2" t="s">
        <v>252</v>
      </c>
      <c r="D254" s="2" t="s">
        <v>251</v>
      </c>
      <c r="E254" s="2" t="s">
        <v>6009</v>
      </c>
      <c r="F254" s="2">
        <v>2</v>
      </c>
      <c r="G254" s="2">
        <v>0.4</v>
      </c>
      <c r="I254" s="2">
        <v>430</v>
      </c>
      <c r="J254" s="2" t="s">
        <v>188</v>
      </c>
      <c r="M254" s="2">
        <v>0.4</v>
      </c>
      <c r="N254" s="2">
        <v>1.5</v>
      </c>
      <c r="O254" s="2" t="s">
        <v>5734</v>
      </c>
      <c r="Q254" s="2">
        <v>2020</v>
      </c>
      <c r="R254" s="2">
        <v>2020</v>
      </c>
      <c r="S254" s="2" t="s">
        <v>5735</v>
      </c>
      <c r="U254" s="2">
        <v>50</v>
      </c>
      <c r="V254" s="2" t="s">
        <v>188</v>
      </c>
    </row>
    <row r="255" spans="1:22">
      <c r="A255" s="2" t="s">
        <v>252</v>
      </c>
      <c r="B255" s="2" t="s">
        <v>252</v>
      </c>
      <c r="D255" s="2" t="s">
        <v>251</v>
      </c>
      <c r="E255" s="2" t="s">
        <v>6010</v>
      </c>
      <c r="F255" s="2">
        <v>1</v>
      </c>
      <c r="G255" s="2">
        <v>0.4</v>
      </c>
      <c r="I255" s="2">
        <v>430</v>
      </c>
      <c r="J255" s="2" t="s">
        <v>187</v>
      </c>
      <c r="K255" s="2" t="s">
        <v>308</v>
      </c>
      <c r="M255" s="2">
        <v>0.4</v>
      </c>
      <c r="N255" s="2">
        <v>1.5</v>
      </c>
      <c r="O255" s="2" t="s">
        <v>5737</v>
      </c>
      <c r="Q255" s="2">
        <v>2006</v>
      </c>
      <c r="R255" s="2">
        <v>2006</v>
      </c>
      <c r="S255" s="2" t="s">
        <v>5738</v>
      </c>
      <c r="U255" s="2">
        <v>20</v>
      </c>
      <c r="V255" s="2" t="s">
        <v>188</v>
      </c>
    </row>
    <row r="256" spans="1:22">
      <c r="A256" s="2" t="s">
        <v>1307</v>
      </c>
      <c r="B256" s="2" t="s">
        <v>1307</v>
      </c>
      <c r="D256" s="2" t="s">
        <v>1306</v>
      </c>
      <c r="E256" s="2" t="s">
        <v>6011</v>
      </c>
      <c r="G256" s="2">
        <v>0.5</v>
      </c>
      <c r="I256" s="2">
        <v>500</v>
      </c>
      <c r="J256" s="2" t="s">
        <v>187</v>
      </c>
      <c r="K256" s="2" t="s">
        <v>6012</v>
      </c>
      <c r="L256" s="2" t="s">
        <v>5733</v>
      </c>
      <c r="M256" s="2">
        <v>0.5</v>
      </c>
      <c r="N256" s="2">
        <v>2.2999999999999998</v>
      </c>
      <c r="O256" s="2" t="s">
        <v>5737</v>
      </c>
      <c r="Q256" s="2">
        <v>1995</v>
      </c>
      <c r="R256" s="2">
        <v>2015</v>
      </c>
      <c r="S256" s="2" t="s">
        <v>5735</v>
      </c>
      <c r="V256" s="2" t="s">
        <v>187</v>
      </c>
    </row>
    <row r="257" spans="1:22">
      <c r="A257" s="2" t="s">
        <v>876</v>
      </c>
      <c r="B257" s="2" t="s">
        <v>876</v>
      </c>
      <c r="D257" s="2" t="s">
        <v>873</v>
      </c>
      <c r="E257" s="2" t="s">
        <v>6013</v>
      </c>
      <c r="F257" s="2">
        <v>3</v>
      </c>
      <c r="G257" s="2">
        <v>0.4</v>
      </c>
      <c r="H257" s="2">
        <v>0</v>
      </c>
      <c r="I257" s="2">
        <v>370</v>
      </c>
      <c r="J257" s="2" t="s">
        <v>188</v>
      </c>
      <c r="M257" s="2">
        <v>0</v>
      </c>
      <c r="N257" s="2">
        <v>0</v>
      </c>
      <c r="O257" s="2" t="s">
        <v>5734</v>
      </c>
      <c r="Q257" s="2">
        <v>2024</v>
      </c>
      <c r="R257" s="2">
        <v>2024</v>
      </c>
      <c r="S257" s="2" t="s">
        <v>5739</v>
      </c>
      <c r="U257" s="2">
        <v>5</v>
      </c>
      <c r="V257" s="2" t="s">
        <v>188</v>
      </c>
    </row>
    <row r="258" spans="1:22">
      <c r="A258" s="2" t="s">
        <v>876</v>
      </c>
      <c r="B258" s="2" t="s">
        <v>876</v>
      </c>
      <c r="D258" s="2" t="s">
        <v>873</v>
      </c>
      <c r="E258" s="2" t="s">
        <v>6014</v>
      </c>
      <c r="F258" s="2">
        <v>1</v>
      </c>
      <c r="G258" s="2">
        <v>0.2</v>
      </c>
      <c r="H258" s="2">
        <v>0</v>
      </c>
      <c r="I258" s="2">
        <v>240</v>
      </c>
      <c r="J258" s="2" t="s">
        <v>188</v>
      </c>
      <c r="M258" s="2">
        <v>0.2</v>
      </c>
      <c r="N258" s="2">
        <v>0.3</v>
      </c>
      <c r="O258" s="2" t="s">
        <v>5737</v>
      </c>
      <c r="Q258" s="2">
        <v>2023</v>
      </c>
      <c r="R258" s="2">
        <v>2023</v>
      </c>
      <c r="S258" s="2" t="s">
        <v>5739</v>
      </c>
      <c r="U258" s="2">
        <v>20</v>
      </c>
      <c r="V258" s="2" t="s">
        <v>188</v>
      </c>
    </row>
    <row r="259" spans="1:22">
      <c r="A259" s="2" t="s">
        <v>876</v>
      </c>
      <c r="B259" s="2" t="s">
        <v>876</v>
      </c>
      <c r="D259" s="2" t="s">
        <v>873</v>
      </c>
      <c r="E259" s="2" t="s">
        <v>6015</v>
      </c>
      <c r="F259" s="2">
        <v>2</v>
      </c>
      <c r="G259" s="2">
        <v>0.4</v>
      </c>
      <c r="H259" s="2">
        <v>0</v>
      </c>
      <c r="I259" s="2">
        <v>460</v>
      </c>
      <c r="J259" s="2" t="s">
        <v>188</v>
      </c>
      <c r="M259" s="2">
        <v>0.4</v>
      </c>
      <c r="N259" s="2">
        <v>0.7</v>
      </c>
      <c r="O259" s="2" t="s">
        <v>5737</v>
      </c>
      <c r="Q259" s="2">
        <v>2020</v>
      </c>
      <c r="R259" s="2">
        <v>2020</v>
      </c>
      <c r="S259" s="2" t="s">
        <v>5739</v>
      </c>
      <c r="U259" s="2">
        <v>25</v>
      </c>
      <c r="V259" s="2" t="s">
        <v>188</v>
      </c>
    </row>
    <row r="260" spans="1:22">
      <c r="A260" s="2" t="s">
        <v>221</v>
      </c>
      <c r="B260" s="2" t="s">
        <v>222</v>
      </c>
      <c r="D260" s="2" t="s">
        <v>220</v>
      </c>
      <c r="E260" s="2" t="s">
        <v>6016</v>
      </c>
      <c r="F260" s="2">
        <v>2</v>
      </c>
      <c r="G260" s="2">
        <v>0.5</v>
      </c>
      <c r="I260" s="2">
        <v>500</v>
      </c>
      <c r="J260" s="2" t="s">
        <v>188</v>
      </c>
      <c r="M260" s="2">
        <v>0.5</v>
      </c>
      <c r="N260" s="2">
        <v>2</v>
      </c>
      <c r="O260" s="2" t="s">
        <v>5737</v>
      </c>
      <c r="Q260" s="2">
        <v>2009</v>
      </c>
      <c r="R260" s="2">
        <v>2009</v>
      </c>
      <c r="S260" s="2" t="s">
        <v>5738</v>
      </c>
      <c r="U260" s="2">
        <v>5</v>
      </c>
      <c r="V260" s="2" t="s">
        <v>187</v>
      </c>
    </row>
    <row r="261" spans="1:22">
      <c r="A261" s="2" t="s">
        <v>221</v>
      </c>
      <c r="B261" s="2" t="s">
        <v>222</v>
      </c>
      <c r="D261" s="2" t="s">
        <v>220</v>
      </c>
      <c r="E261" s="2" t="s">
        <v>6017</v>
      </c>
      <c r="F261" s="2">
        <v>1</v>
      </c>
      <c r="G261" s="2">
        <v>0.5</v>
      </c>
      <c r="I261" s="2">
        <v>500</v>
      </c>
      <c r="J261" s="2" t="s">
        <v>187</v>
      </c>
      <c r="K261" s="2" t="s">
        <v>308</v>
      </c>
      <c r="M261" s="2">
        <v>0.5</v>
      </c>
      <c r="N261" s="2">
        <v>2</v>
      </c>
      <c r="O261" s="2" t="s">
        <v>5737</v>
      </c>
      <c r="Q261" s="2">
        <v>2009</v>
      </c>
      <c r="R261" s="2">
        <v>2009</v>
      </c>
      <c r="S261" s="2" t="s">
        <v>5738</v>
      </c>
      <c r="U261" s="2">
        <v>5</v>
      </c>
      <c r="V261" s="2" t="s">
        <v>187</v>
      </c>
    </row>
    <row r="262" spans="1:22">
      <c r="A262" s="2" t="s">
        <v>894</v>
      </c>
      <c r="B262" s="2" t="s">
        <v>895</v>
      </c>
      <c r="D262" s="2" t="s">
        <v>892</v>
      </c>
      <c r="E262" s="2" t="s">
        <v>6018</v>
      </c>
      <c r="F262" s="2">
        <v>1</v>
      </c>
      <c r="G262" s="2">
        <v>0.5</v>
      </c>
      <c r="H262" s="2">
        <v>0</v>
      </c>
      <c r="I262" s="2">
        <v>500</v>
      </c>
      <c r="J262" s="2" t="s">
        <v>188</v>
      </c>
      <c r="M262" s="2">
        <v>0.5</v>
      </c>
      <c r="N262" s="2">
        <v>1</v>
      </c>
      <c r="O262" s="2" t="s">
        <v>5737</v>
      </c>
      <c r="Q262" s="2">
        <v>2017</v>
      </c>
      <c r="R262" s="2">
        <v>2017</v>
      </c>
      <c r="S262" s="2" t="s">
        <v>5735</v>
      </c>
      <c r="U262" s="2">
        <v>20</v>
      </c>
      <c r="V262" s="2" t="s">
        <v>188</v>
      </c>
    </row>
    <row r="263" spans="1:22">
      <c r="A263" s="2" t="s">
        <v>894</v>
      </c>
      <c r="B263" s="2" t="s">
        <v>895</v>
      </c>
      <c r="D263" s="2" t="s">
        <v>892</v>
      </c>
      <c r="E263" s="2" t="s">
        <v>6019</v>
      </c>
      <c r="F263" s="2">
        <v>2</v>
      </c>
      <c r="G263" s="2">
        <v>0.5</v>
      </c>
      <c r="H263" s="2">
        <v>0</v>
      </c>
      <c r="I263" s="2">
        <v>500</v>
      </c>
      <c r="J263" s="2" t="s">
        <v>188</v>
      </c>
      <c r="M263" s="2">
        <v>0.5</v>
      </c>
      <c r="N263" s="2">
        <v>1</v>
      </c>
      <c r="O263" s="2" t="s">
        <v>5737</v>
      </c>
      <c r="Q263" s="2">
        <v>2017</v>
      </c>
      <c r="R263" s="2">
        <v>2017</v>
      </c>
      <c r="S263" s="2" t="s">
        <v>5735</v>
      </c>
      <c r="U263" s="2">
        <v>20</v>
      </c>
      <c r="V263" s="2" t="s">
        <v>188</v>
      </c>
    </row>
    <row r="264" spans="1:22">
      <c r="A264" s="2" t="s">
        <v>1332</v>
      </c>
      <c r="B264" s="2" t="s">
        <v>1333</v>
      </c>
      <c r="D264" s="2" t="s">
        <v>1331</v>
      </c>
      <c r="E264" s="2" t="s">
        <v>6020</v>
      </c>
      <c r="G264" s="2">
        <v>1</v>
      </c>
      <c r="I264" s="2">
        <v>1000</v>
      </c>
      <c r="J264" s="2" t="s">
        <v>187</v>
      </c>
      <c r="K264" s="2" t="s">
        <v>6021</v>
      </c>
      <c r="L264" s="2" t="s">
        <v>6022</v>
      </c>
      <c r="M264" s="2">
        <v>1</v>
      </c>
      <c r="N264" s="2">
        <v>5</v>
      </c>
      <c r="O264" s="2" t="s">
        <v>5737</v>
      </c>
      <c r="Q264" s="2">
        <v>1995</v>
      </c>
      <c r="R264" s="2">
        <v>2017</v>
      </c>
      <c r="S264" s="2" t="s">
        <v>5735</v>
      </c>
      <c r="V264" s="2" t="s">
        <v>187</v>
      </c>
    </row>
    <row r="265" spans="1:22">
      <c r="A265" s="2" t="s">
        <v>245</v>
      </c>
      <c r="B265" s="2" t="s">
        <v>246</v>
      </c>
      <c r="D265" s="2" t="s">
        <v>244</v>
      </c>
      <c r="E265" s="2" t="s">
        <v>6023</v>
      </c>
      <c r="F265" s="2">
        <v>1</v>
      </c>
      <c r="G265" s="2">
        <v>0.9</v>
      </c>
      <c r="I265" s="2">
        <v>900</v>
      </c>
      <c r="J265" s="2" t="s">
        <v>188</v>
      </c>
      <c r="M265" s="2">
        <v>0.9</v>
      </c>
      <c r="N265" s="2">
        <v>4</v>
      </c>
      <c r="O265" s="2" t="s">
        <v>5737</v>
      </c>
      <c r="Q265" s="2">
        <v>2021</v>
      </c>
      <c r="R265" s="2">
        <v>2021</v>
      </c>
      <c r="S265" s="2" t="s">
        <v>5735</v>
      </c>
      <c r="V265" s="2" t="s">
        <v>187</v>
      </c>
    </row>
    <row r="266" spans="1:22">
      <c r="A266" s="2" t="s">
        <v>245</v>
      </c>
      <c r="B266" s="2" t="s">
        <v>246</v>
      </c>
      <c r="D266" s="2" t="s">
        <v>244</v>
      </c>
      <c r="E266" s="2" t="s">
        <v>6024</v>
      </c>
      <c r="F266" s="2">
        <v>3</v>
      </c>
      <c r="G266" s="2">
        <v>0.15</v>
      </c>
      <c r="I266" s="2">
        <v>150</v>
      </c>
      <c r="J266" s="2" t="s">
        <v>188</v>
      </c>
      <c r="M266" s="2">
        <v>0.15</v>
      </c>
      <c r="N266" s="2">
        <v>1</v>
      </c>
      <c r="O266" s="2" t="s">
        <v>5737</v>
      </c>
      <c r="Q266" s="2">
        <v>2020</v>
      </c>
      <c r="R266" s="2">
        <v>2020</v>
      </c>
      <c r="S266" s="2" t="s">
        <v>5735</v>
      </c>
      <c r="U266" s="2">
        <v>10</v>
      </c>
      <c r="V266" s="2" t="s">
        <v>187</v>
      </c>
    </row>
    <row r="267" spans="1:22">
      <c r="A267" s="2" t="s">
        <v>245</v>
      </c>
      <c r="B267" s="2" t="s">
        <v>246</v>
      </c>
      <c r="D267" s="2" t="s">
        <v>244</v>
      </c>
      <c r="E267" s="2" t="s">
        <v>6025</v>
      </c>
      <c r="F267" s="2">
        <v>4</v>
      </c>
      <c r="G267" s="2">
        <v>0.7</v>
      </c>
      <c r="I267" s="2">
        <v>700</v>
      </c>
      <c r="J267" s="2" t="s">
        <v>188</v>
      </c>
      <c r="M267" s="2">
        <v>0.7</v>
      </c>
      <c r="N267" s="2">
        <v>3</v>
      </c>
      <c r="O267" s="2" t="s">
        <v>5737</v>
      </c>
      <c r="Q267" s="2">
        <v>2020</v>
      </c>
      <c r="R267" s="2">
        <v>2020</v>
      </c>
      <c r="S267" s="2" t="s">
        <v>5735</v>
      </c>
      <c r="U267" s="2">
        <v>10</v>
      </c>
      <c r="V267" s="2" t="s">
        <v>187</v>
      </c>
    </row>
    <row r="268" spans="1:22">
      <c r="A268" s="2" t="s">
        <v>245</v>
      </c>
      <c r="B268" s="2" t="s">
        <v>246</v>
      </c>
      <c r="D268" s="2" t="s">
        <v>244</v>
      </c>
      <c r="E268" s="2" t="s">
        <v>6026</v>
      </c>
      <c r="F268" s="2">
        <v>2</v>
      </c>
      <c r="G268" s="2">
        <v>2.2000000000000002</v>
      </c>
      <c r="I268" s="2">
        <v>2200</v>
      </c>
      <c r="J268" s="2" t="s">
        <v>188</v>
      </c>
      <c r="M268" s="2">
        <v>0.5</v>
      </c>
      <c r="N268" s="2">
        <v>1.1000000000000001</v>
      </c>
      <c r="Q268" s="2">
        <v>2023</v>
      </c>
      <c r="R268" s="2">
        <v>2023</v>
      </c>
      <c r="S268" s="2" t="s">
        <v>5735</v>
      </c>
      <c r="U268" s="2">
        <v>10</v>
      </c>
      <c r="V268" s="2" t="s">
        <v>187</v>
      </c>
    </row>
    <row r="269" spans="1:22">
      <c r="A269" s="2" t="s">
        <v>947</v>
      </c>
      <c r="B269" s="2" t="s">
        <v>947</v>
      </c>
      <c r="D269" s="2" t="s">
        <v>945</v>
      </c>
      <c r="E269" s="2" t="s">
        <v>6027</v>
      </c>
      <c r="F269" s="2">
        <v>1</v>
      </c>
      <c r="G269" s="2">
        <v>1.1000000000000001</v>
      </c>
      <c r="H269" s="2">
        <v>0</v>
      </c>
      <c r="I269" s="2">
        <v>1300</v>
      </c>
      <c r="J269" s="2" t="s">
        <v>188</v>
      </c>
      <c r="M269" s="2">
        <v>0.7</v>
      </c>
      <c r="N269" s="2">
        <v>1.2</v>
      </c>
      <c r="O269" s="2" t="s">
        <v>5734</v>
      </c>
      <c r="Q269" s="2">
        <v>2015</v>
      </c>
      <c r="R269" s="2">
        <v>2025</v>
      </c>
      <c r="S269" s="2" t="s">
        <v>6028</v>
      </c>
      <c r="T269" s="2" t="s">
        <v>6029</v>
      </c>
      <c r="U269" s="2">
        <v>6</v>
      </c>
      <c r="V269" s="2" t="s">
        <v>188</v>
      </c>
    </row>
    <row r="270" spans="1:22">
      <c r="A270" s="2" t="s">
        <v>1973</v>
      </c>
      <c r="B270" s="2" t="s">
        <v>1974</v>
      </c>
      <c r="D270" s="2" t="s">
        <v>1971</v>
      </c>
      <c r="E270" s="2" t="s">
        <v>6030</v>
      </c>
      <c r="F270" s="2" t="s">
        <v>5731</v>
      </c>
      <c r="G270" s="2">
        <v>0.5</v>
      </c>
      <c r="I270" s="2">
        <v>500</v>
      </c>
      <c r="J270" s="2" t="s">
        <v>187</v>
      </c>
      <c r="K270" s="2" t="s">
        <v>5843</v>
      </c>
      <c r="L270" s="2" t="s">
        <v>6031</v>
      </c>
      <c r="M270" s="2">
        <v>0.5</v>
      </c>
      <c r="N270" s="2">
        <v>1.1000000000000001</v>
      </c>
      <c r="O270" s="2" t="s">
        <v>5737</v>
      </c>
      <c r="Q270" s="2">
        <v>2001</v>
      </c>
      <c r="R270" s="2">
        <v>2019</v>
      </c>
      <c r="S270" s="2" t="s">
        <v>5735</v>
      </c>
      <c r="U270" s="2">
        <v>4</v>
      </c>
      <c r="V270" s="2" t="s">
        <v>187</v>
      </c>
    </row>
    <row r="271" spans="1:22">
      <c r="A271" s="2" t="s">
        <v>1368</v>
      </c>
      <c r="B271" s="2" t="s">
        <v>1369</v>
      </c>
      <c r="D271" s="2" t="s">
        <v>1367</v>
      </c>
      <c r="E271" s="2" t="s">
        <v>6032</v>
      </c>
      <c r="G271" s="2">
        <v>0.6</v>
      </c>
      <c r="I271" s="2">
        <v>600</v>
      </c>
      <c r="J271" s="2" t="s">
        <v>187</v>
      </c>
      <c r="K271" s="2" t="s">
        <v>5843</v>
      </c>
      <c r="L271" s="2" t="s">
        <v>6033</v>
      </c>
      <c r="M271" s="2">
        <v>0.6</v>
      </c>
      <c r="N271" s="2">
        <v>3</v>
      </c>
      <c r="O271" s="2" t="s">
        <v>5737</v>
      </c>
      <c r="Q271" s="2">
        <v>2010</v>
      </c>
      <c r="S271" s="2" t="s">
        <v>5735</v>
      </c>
      <c r="V271" s="2" t="s">
        <v>187</v>
      </c>
    </row>
    <row r="272" spans="1:22">
      <c r="A272" s="2" t="s">
        <v>1368</v>
      </c>
      <c r="B272" s="2" t="s">
        <v>1369</v>
      </c>
      <c r="D272" s="2" t="s">
        <v>1367</v>
      </c>
      <c r="E272" s="2" t="s">
        <v>6034</v>
      </c>
      <c r="G272" s="2">
        <v>0.5</v>
      </c>
      <c r="J272" s="2" t="s">
        <v>187</v>
      </c>
      <c r="K272" s="2" t="s">
        <v>6021</v>
      </c>
      <c r="L272" s="2" t="s">
        <v>6035</v>
      </c>
      <c r="M272" s="2">
        <v>0.5</v>
      </c>
      <c r="O272" s="2" t="s">
        <v>5737</v>
      </c>
      <c r="S272" s="2" t="s">
        <v>5742</v>
      </c>
      <c r="V272" s="2" t="s">
        <v>187</v>
      </c>
    </row>
    <row r="273" spans="1:22">
      <c r="A273" s="2" t="s">
        <v>1967</v>
      </c>
      <c r="B273" s="2" t="s">
        <v>1967</v>
      </c>
      <c r="D273" s="2" t="s">
        <v>2042</v>
      </c>
      <c r="E273" s="2" t="s">
        <v>6036</v>
      </c>
      <c r="F273" s="2" t="s">
        <v>5731</v>
      </c>
      <c r="G273" s="2">
        <v>0.6</v>
      </c>
      <c r="I273" s="2">
        <v>600</v>
      </c>
      <c r="J273" s="2" t="s">
        <v>188</v>
      </c>
      <c r="M273" s="2">
        <v>0.6</v>
      </c>
      <c r="N273" s="2">
        <v>3</v>
      </c>
      <c r="O273" s="2" t="s">
        <v>5737</v>
      </c>
      <c r="Q273" s="2">
        <v>2007</v>
      </c>
      <c r="R273" s="2">
        <v>2007</v>
      </c>
      <c r="S273" s="2" t="s">
        <v>5738</v>
      </c>
      <c r="U273" s="2">
        <v>10</v>
      </c>
      <c r="V273" s="2" t="s">
        <v>187</v>
      </c>
    </row>
    <row r="274" spans="1:22">
      <c r="A274" s="2" t="s">
        <v>235</v>
      </c>
      <c r="B274" s="2" t="s">
        <v>236</v>
      </c>
      <c r="D274" s="2" t="s">
        <v>234</v>
      </c>
      <c r="E274" s="2" t="s">
        <v>6037</v>
      </c>
      <c r="F274" s="2">
        <v>1</v>
      </c>
      <c r="G274" s="2">
        <v>0.8</v>
      </c>
      <c r="I274" s="2">
        <v>800</v>
      </c>
      <c r="J274" s="2" t="s">
        <v>188</v>
      </c>
      <c r="M274" s="2">
        <v>0.8</v>
      </c>
      <c r="N274" s="2">
        <v>0.7</v>
      </c>
      <c r="O274" s="2" t="s">
        <v>5737</v>
      </c>
      <c r="Q274" s="2">
        <v>2006</v>
      </c>
      <c r="R274" s="2">
        <v>2006</v>
      </c>
      <c r="S274" s="2" t="s">
        <v>5738</v>
      </c>
      <c r="U274" s="2">
        <v>6</v>
      </c>
      <c r="V274" s="2" t="s">
        <v>188</v>
      </c>
    </row>
    <row r="275" spans="1:22">
      <c r="A275" s="2" t="s">
        <v>235</v>
      </c>
      <c r="B275" s="2" t="s">
        <v>236</v>
      </c>
      <c r="D275" s="2" t="s">
        <v>234</v>
      </c>
      <c r="E275" s="2" t="s">
        <v>6038</v>
      </c>
      <c r="F275" s="2">
        <v>5</v>
      </c>
      <c r="G275" s="2">
        <v>0.25</v>
      </c>
      <c r="I275" s="2">
        <v>250</v>
      </c>
      <c r="J275" s="2" t="s">
        <v>188</v>
      </c>
      <c r="M275" s="2">
        <v>0.25</v>
      </c>
      <c r="N275" s="2">
        <v>0.3</v>
      </c>
      <c r="O275" s="2" t="s">
        <v>5734</v>
      </c>
      <c r="Q275" s="2">
        <v>2006</v>
      </c>
      <c r="R275" s="2">
        <v>2006</v>
      </c>
      <c r="S275" s="2" t="s">
        <v>5738</v>
      </c>
      <c r="U275" s="2">
        <v>10</v>
      </c>
      <c r="V275" s="2" t="s">
        <v>187</v>
      </c>
    </row>
    <row r="276" spans="1:22">
      <c r="A276" s="2" t="s">
        <v>235</v>
      </c>
      <c r="B276" s="2" t="s">
        <v>236</v>
      </c>
      <c r="D276" s="2" t="s">
        <v>234</v>
      </c>
      <c r="E276" s="2" t="s">
        <v>6039</v>
      </c>
      <c r="F276" s="2">
        <v>2</v>
      </c>
      <c r="G276" s="2">
        <v>0.8</v>
      </c>
      <c r="I276" s="2">
        <v>800</v>
      </c>
      <c r="J276" s="2" t="s">
        <v>187</v>
      </c>
      <c r="K276" s="2" t="s">
        <v>5766</v>
      </c>
      <c r="L276" s="2" t="s">
        <v>6040</v>
      </c>
      <c r="M276" s="2">
        <v>0.8</v>
      </c>
      <c r="N276" s="2">
        <v>0.4</v>
      </c>
      <c r="O276" s="2" t="s">
        <v>5734</v>
      </c>
      <c r="Q276" s="2">
        <v>2023</v>
      </c>
      <c r="R276" s="2">
        <v>2023</v>
      </c>
      <c r="S276" s="2" t="s">
        <v>5735</v>
      </c>
    </row>
    <row r="277" spans="1:22">
      <c r="A277" s="2" t="s">
        <v>235</v>
      </c>
      <c r="B277" s="2" t="s">
        <v>236</v>
      </c>
      <c r="D277" s="2" t="s">
        <v>234</v>
      </c>
      <c r="E277" s="2" t="s">
        <v>6041</v>
      </c>
      <c r="F277" s="2">
        <v>3</v>
      </c>
      <c r="G277" s="2">
        <v>0.15</v>
      </c>
      <c r="I277" s="2">
        <v>150</v>
      </c>
      <c r="J277" s="2" t="s">
        <v>188</v>
      </c>
      <c r="M277" s="2">
        <v>0.15</v>
      </c>
      <c r="N277" s="2">
        <v>0.2</v>
      </c>
      <c r="O277" s="2" t="s">
        <v>5737</v>
      </c>
      <c r="Q277" s="2">
        <v>2006</v>
      </c>
      <c r="R277" s="2">
        <v>2006</v>
      </c>
      <c r="S277" s="2" t="s">
        <v>5738</v>
      </c>
      <c r="U277" s="2">
        <v>8</v>
      </c>
      <c r="V277" s="2" t="s">
        <v>187</v>
      </c>
    </row>
    <row r="278" spans="1:22">
      <c r="A278" s="2" t="s">
        <v>235</v>
      </c>
      <c r="B278" s="2" t="s">
        <v>236</v>
      </c>
      <c r="D278" s="2" t="s">
        <v>234</v>
      </c>
      <c r="E278" s="2" t="s">
        <v>6042</v>
      </c>
      <c r="F278" s="2">
        <v>4</v>
      </c>
      <c r="G278" s="2">
        <v>0.4</v>
      </c>
      <c r="I278" s="2">
        <v>400</v>
      </c>
      <c r="J278" s="2" t="s">
        <v>188</v>
      </c>
      <c r="M278" s="2">
        <v>0.4</v>
      </c>
      <c r="N278" s="2">
        <v>0.4</v>
      </c>
      <c r="O278" s="2" t="s">
        <v>5734</v>
      </c>
      <c r="Q278" s="2">
        <v>2010</v>
      </c>
      <c r="R278" s="2">
        <v>2010</v>
      </c>
      <c r="S278" s="2" t="s">
        <v>5735</v>
      </c>
      <c r="U278" s="2">
        <v>10</v>
      </c>
      <c r="V278" s="2" t="s">
        <v>187</v>
      </c>
    </row>
    <row r="279" spans="1:22">
      <c r="A279" s="2" t="s">
        <v>1393</v>
      </c>
      <c r="B279" s="2" t="s">
        <v>1393</v>
      </c>
      <c r="D279" s="2" t="s">
        <v>1392</v>
      </c>
      <c r="E279" s="2" t="s">
        <v>6043</v>
      </c>
      <c r="G279" s="2">
        <v>0.5</v>
      </c>
      <c r="I279" s="2">
        <v>500</v>
      </c>
      <c r="J279" s="2" t="s">
        <v>187</v>
      </c>
      <c r="K279" s="2" t="s">
        <v>6012</v>
      </c>
      <c r="L279" s="2" t="s">
        <v>5937</v>
      </c>
      <c r="M279" s="2">
        <v>0.5</v>
      </c>
      <c r="N279" s="2">
        <v>2.5</v>
      </c>
      <c r="O279" s="2" t="s">
        <v>5734</v>
      </c>
      <c r="S279" s="2" t="s">
        <v>5735</v>
      </c>
      <c r="V279" s="2" t="s">
        <v>187</v>
      </c>
    </row>
    <row r="280" spans="1:22">
      <c r="A280" s="2" t="s">
        <v>1393</v>
      </c>
      <c r="B280" s="2" t="s">
        <v>1393</v>
      </c>
      <c r="D280" s="2" t="s">
        <v>1392</v>
      </c>
      <c r="E280" s="2" t="s">
        <v>6044</v>
      </c>
      <c r="G280" s="2">
        <v>0.5</v>
      </c>
      <c r="I280" s="2">
        <v>400</v>
      </c>
      <c r="J280" s="2" t="s">
        <v>187</v>
      </c>
      <c r="K280" s="2" t="s">
        <v>6012</v>
      </c>
      <c r="L280" s="2" t="s">
        <v>6045</v>
      </c>
      <c r="M280" s="2">
        <v>0.5</v>
      </c>
      <c r="N280" s="2">
        <v>2</v>
      </c>
      <c r="O280" s="2" t="s">
        <v>5734</v>
      </c>
      <c r="S280" s="2" t="s">
        <v>5735</v>
      </c>
      <c r="V280" s="2" t="s">
        <v>187</v>
      </c>
    </row>
    <row r="281" spans="1:22">
      <c r="A281" s="2" t="s">
        <v>1393</v>
      </c>
      <c r="B281" s="2" t="s">
        <v>1393</v>
      </c>
      <c r="D281" s="2" t="s">
        <v>1392</v>
      </c>
      <c r="E281" s="2" t="s">
        <v>6046</v>
      </c>
      <c r="G281" s="2">
        <v>1</v>
      </c>
      <c r="I281" s="2">
        <v>1000</v>
      </c>
      <c r="J281" s="2" t="s">
        <v>187</v>
      </c>
      <c r="K281" s="2" t="s">
        <v>6012</v>
      </c>
      <c r="L281" s="2" t="s">
        <v>6045</v>
      </c>
      <c r="M281" s="2">
        <v>1</v>
      </c>
      <c r="N281" s="2">
        <v>5</v>
      </c>
      <c r="O281" s="2" t="s">
        <v>5737</v>
      </c>
      <c r="Q281" s="2">
        <v>2010</v>
      </c>
      <c r="S281" s="2" t="s">
        <v>5735</v>
      </c>
      <c r="V281" s="2" t="s">
        <v>187</v>
      </c>
    </row>
    <row r="282" spans="1:22">
      <c r="A282" s="2" t="s">
        <v>1459</v>
      </c>
      <c r="B282" s="2" t="s">
        <v>1459</v>
      </c>
      <c r="D282" s="2" t="s">
        <v>1457</v>
      </c>
      <c r="E282" s="2" t="s">
        <v>6047</v>
      </c>
      <c r="F282" s="2" t="s">
        <v>6048</v>
      </c>
      <c r="G282" s="2">
        <v>3</v>
      </c>
      <c r="I282" s="2">
        <v>3000</v>
      </c>
      <c r="J282" s="2" t="s">
        <v>187</v>
      </c>
      <c r="K282" s="2" t="s">
        <v>5843</v>
      </c>
      <c r="L282" s="2" t="s">
        <v>6045</v>
      </c>
      <c r="M282" s="2">
        <v>3</v>
      </c>
      <c r="N282" s="2">
        <v>8</v>
      </c>
      <c r="O282" s="2" t="s">
        <v>5737</v>
      </c>
      <c r="Q282" s="2">
        <v>2010</v>
      </c>
      <c r="S282" s="2" t="s">
        <v>5735</v>
      </c>
      <c r="V282" s="2" t="s">
        <v>187</v>
      </c>
    </row>
    <row r="283" spans="1:22">
      <c r="A283" s="2" t="s">
        <v>1459</v>
      </c>
      <c r="B283" s="2" t="s">
        <v>1459</v>
      </c>
      <c r="D283" s="2" t="s">
        <v>1457</v>
      </c>
      <c r="E283" s="2" t="s">
        <v>6049</v>
      </c>
      <c r="G283" s="2">
        <v>1</v>
      </c>
      <c r="I283" s="2">
        <v>800</v>
      </c>
      <c r="J283" s="2" t="s">
        <v>187</v>
      </c>
      <c r="K283" s="2" t="s">
        <v>5843</v>
      </c>
      <c r="L283" s="2" t="s">
        <v>5937</v>
      </c>
      <c r="M283" s="2">
        <v>1</v>
      </c>
      <c r="N283" s="2">
        <v>2</v>
      </c>
      <c r="O283" s="2" t="s">
        <v>5737</v>
      </c>
      <c r="Q283" s="2">
        <v>2015</v>
      </c>
      <c r="S283" s="2" t="s">
        <v>5735</v>
      </c>
      <c r="V283" s="2" t="s">
        <v>187</v>
      </c>
    </row>
    <row r="284" spans="1:22">
      <c r="A284" s="2" t="s">
        <v>181</v>
      </c>
      <c r="B284" s="2" t="s">
        <v>181</v>
      </c>
      <c r="D284" s="2" t="s">
        <v>176</v>
      </c>
      <c r="E284" s="2" t="s">
        <v>6050</v>
      </c>
      <c r="F284" s="2">
        <v>1</v>
      </c>
      <c r="G284" s="2">
        <v>0.15</v>
      </c>
      <c r="I284" s="2">
        <v>160</v>
      </c>
      <c r="J284" s="2" t="s">
        <v>188</v>
      </c>
      <c r="M284" s="2">
        <v>0.15</v>
      </c>
      <c r="N284" s="2">
        <v>0.25</v>
      </c>
      <c r="O284" s="2" t="s">
        <v>5737</v>
      </c>
      <c r="Q284" s="2">
        <v>2011</v>
      </c>
      <c r="R284" s="2">
        <v>2011</v>
      </c>
      <c r="U284" s="2">
        <v>10</v>
      </c>
      <c r="V284" s="2" t="s">
        <v>187</v>
      </c>
    </row>
    <row r="285" spans="1:22">
      <c r="A285" s="2" t="s">
        <v>181</v>
      </c>
      <c r="B285" s="2" t="s">
        <v>181</v>
      </c>
      <c r="D285" s="2" t="s">
        <v>176</v>
      </c>
      <c r="E285" s="2" t="s">
        <v>6051</v>
      </c>
      <c r="F285" s="2">
        <v>2</v>
      </c>
      <c r="G285" s="2">
        <v>0.45</v>
      </c>
      <c r="I285" s="2">
        <v>460</v>
      </c>
      <c r="J285" s="2" t="s">
        <v>188</v>
      </c>
      <c r="M285" s="2">
        <v>0.46</v>
      </c>
      <c r="N285" s="2">
        <v>0.75</v>
      </c>
      <c r="O285" s="2" t="s">
        <v>5737</v>
      </c>
      <c r="Q285" s="2">
        <v>2014</v>
      </c>
      <c r="R285" s="2">
        <v>2014</v>
      </c>
      <c r="S285" s="2" t="s">
        <v>5735</v>
      </c>
      <c r="U285" s="2">
        <v>10</v>
      </c>
      <c r="V285" s="2" t="s">
        <v>187</v>
      </c>
    </row>
    <row r="286" spans="1:22">
      <c r="A286" s="2" t="s">
        <v>1739</v>
      </c>
      <c r="B286" s="2" t="s">
        <v>2096</v>
      </c>
      <c r="D286" s="2" t="s">
        <v>2094</v>
      </c>
      <c r="E286" s="2" t="s">
        <v>6052</v>
      </c>
      <c r="F286" s="2" t="s">
        <v>5736</v>
      </c>
      <c r="G286" s="2">
        <v>0.4</v>
      </c>
      <c r="I286" s="2">
        <v>400</v>
      </c>
      <c r="J286" s="2" t="s">
        <v>187</v>
      </c>
      <c r="K286" s="2" t="s">
        <v>5766</v>
      </c>
      <c r="L286" s="2" t="s">
        <v>6053</v>
      </c>
      <c r="M286" s="2">
        <v>0.4</v>
      </c>
      <c r="N286" s="2">
        <v>1.2</v>
      </c>
      <c r="O286" s="2" t="s">
        <v>5737</v>
      </c>
      <c r="Q286" s="2">
        <v>2001</v>
      </c>
      <c r="R286" s="2">
        <v>2001</v>
      </c>
      <c r="S286" s="2" t="s">
        <v>5738</v>
      </c>
      <c r="U286" s="2">
        <v>1</v>
      </c>
      <c r="V286" s="2" t="s">
        <v>187</v>
      </c>
    </row>
    <row r="287" spans="1:22">
      <c r="A287" s="2" t="s">
        <v>1739</v>
      </c>
      <c r="B287" s="2" t="s">
        <v>2096</v>
      </c>
      <c r="D287" s="2" t="s">
        <v>2094</v>
      </c>
      <c r="E287" s="2" t="s">
        <v>6054</v>
      </c>
      <c r="F287" s="2" t="s">
        <v>5731</v>
      </c>
      <c r="G287" s="2">
        <v>0.37</v>
      </c>
      <c r="I287" s="2">
        <v>370</v>
      </c>
      <c r="J287" s="2" t="s">
        <v>187</v>
      </c>
      <c r="K287" s="2" t="s">
        <v>5843</v>
      </c>
      <c r="L287" s="2" t="s">
        <v>6055</v>
      </c>
      <c r="M287" s="2">
        <v>0.37</v>
      </c>
      <c r="N287" s="2">
        <v>0.8</v>
      </c>
      <c r="O287" s="2" t="s">
        <v>5737</v>
      </c>
      <c r="Q287" s="2">
        <v>2000</v>
      </c>
      <c r="R287" s="2">
        <v>2000</v>
      </c>
      <c r="S287" s="2" t="s">
        <v>5738</v>
      </c>
      <c r="U287" s="2">
        <v>6</v>
      </c>
      <c r="V287" s="2" t="s">
        <v>187</v>
      </c>
    </row>
    <row r="288" spans="1:22">
      <c r="A288" s="2" t="s">
        <v>1739</v>
      </c>
      <c r="B288" s="2" t="s">
        <v>2096</v>
      </c>
      <c r="D288" s="2" t="s">
        <v>2094</v>
      </c>
      <c r="E288" s="2" t="s">
        <v>6056</v>
      </c>
      <c r="F288" s="2" t="s">
        <v>5743</v>
      </c>
      <c r="G288" s="2">
        <v>0.5</v>
      </c>
      <c r="I288" s="2">
        <v>500</v>
      </c>
      <c r="J288" s="2" t="s">
        <v>187</v>
      </c>
      <c r="K288" s="2" t="s">
        <v>5766</v>
      </c>
      <c r="L288" s="2" t="s">
        <v>6057</v>
      </c>
      <c r="M288" s="2">
        <v>0.5</v>
      </c>
      <c r="N288" s="2">
        <v>2</v>
      </c>
      <c r="O288" s="2" t="s">
        <v>5734</v>
      </c>
      <c r="Q288" s="2">
        <v>2001</v>
      </c>
      <c r="R288" s="2">
        <v>2001</v>
      </c>
      <c r="S288" s="2" t="s">
        <v>5738</v>
      </c>
      <c r="U288" s="2">
        <v>4</v>
      </c>
      <c r="V288" s="2" t="s">
        <v>188</v>
      </c>
    </row>
    <row r="289" spans="1:22">
      <c r="A289" s="2" t="s">
        <v>1511</v>
      </c>
      <c r="B289" s="2" t="s">
        <v>1511</v>
      </c>
      <c r="D289" s="2" t="s">
        <v>1510</v>
      </c>
      <c r="E289" s="2" t="s">
        <v>6058</v>
      </c>
      <c r="G289" s="2">
        <v>1.3</v>
      </c>
      <c r="I289" s="2">
        <v>1100</v>
      </c>
      <c r="J289" s="2" t="s">
        <v>187</v>
      </c>
      <c r="K289" s="2" t="s">
        <v>5800</v>
      </c>
      <c r="L289" s="2" t="s">
        <v>5937</v>
      </c>
      <c r="M289" s="2">
        <v>1.3</v>
      </c>
      <c r="N289" s="2">
        <v>5</v>
      </c>
      <c r="O289" s="2" t="s">
        <v>5737</v>
      </c>
      <c r="Q289" s="2">
        <v>2010</v>
      </c>
      <c r="R289" s="2">
        <v>2019</v>
      </c>
      <c r="S289" s="2" t="s">
        <v>5735</v>
      </c>
      <c r="V289" s="2" t="s">
        <v>187</v>
      </c>
    </row>
    <row r="290" spans="1:22">
      <c r="A290" s="2" t="s">
        <v>1531</v>
      </c>
      <c r="B290" s="2" t="s">
        <v>1532</v>
      </c>
      <c r="D290" s="2" t="s">
        <v>1530</v>
      </c>
      <c r="E290" s="2" t="s">
        <v>6059</v>
      </c>
      <c r="G290" s="2">
        <v>0.5</v>
      </c>
      <c r="I290" s="2">
        <v>400</v>
      </c>
      <c r="J290" s="2" t="s">
        <v>187</v>
      </c>
      <c r="K290" s="2" t="s">
        <v>5800</v>
      </c>
      <c r="L290" s="2" t="s">
        <v>5937</v>
      </c>
      <c r="M290" s="2">
        <v>0.5</v>
      </c>
      <c r="N290" s="2">
        <v>2</v>
      </c>
      <c r="O290" s="2" t="s">
        <v>5737</v>
      </c>
      <c r="R290" s="2">
        <v>2010</v>
      </c>
      <c r="S290" s="2" t="s">
        <v>5735</v>
      </c>
      <c r="V290" s="2" t="s">
        <v>187</v>
      </c>
    </row>
    <row r="291" spans="1:22">
      <c r="A291" s="2" t="s">
        <v>1531</v>
      </c>
      <c r="B291" s="2" t="s">
        <v>1532</v>
      </c>
      <c r="D291" s="2" t="s">
        <v>1530</v>
      </c>
      <c r="E291" s="2" t="s">
        <v>6060</v>
      </c>
      <c r="G291" s="2">
        <v>1</v>
      </c>
      <c r="I291" s="2">
        <v>1000</v>
      </c>
      <c r="J291" s="2" t="s">
        <v>187</v>
      </c>
      <c r="K291" s="2" t="s">
        <v>5800</v>
      </c>
      <c r="L291" s="2" t="s">
        <v>2211</v>
      </c>
      <c r="M291" s="2">
        <v>1</v>
      </c>
      <c r="N291" s="2">
        <v>3.5</v>
      </c>
      <c r="O291" s="2" t="s">
        <v>5737</v>
      </c>
      <c r="S291" s="2" t="s">
        <v>5735</v>
      </c>
      <c r="V291" s="2" t="s">
        <v>187</v>
      </c>
    </row>
    <row r="292" spans="1:22">
      <c r="A292" s="2" t="s">
        <v>2174</v>
      </c>
      <c r="B292" s="2" t="s">
        <v>2174</v>
      </c>
      <c r="D292" s="2" t="s">
        <v>2171</v>
      </c>
      <c r="E292" s="2" t="s">
        <v>6061</v>
      </c>
      <c r="F292" s="2" t="s">
        <v>5736</v>
      </c>
      <c r="G292" s="2">
        <v>0.7</v>
      </c>
      <c r="I292" s="2">
        <v>750</v>
      </c>
      <c r="J292" s="2" t="s">
        <v>187</v>
      </c>
      <c r="K292" s="2" t="s">
        <v>5766</v>
      </c>
      <c r="L292" s="2" t="s">
        <v>6057</v>
      </c>
      <c r="M292" s="2">
        <v>0.7</v>
      </c>
      <c r="N292" s="2">
        <v>2.5</v>
      </c>
      <c r="O292" s="2" t="s">
        <v>5737</v>
      </c>
      <c r="Q292" s="2">
        <v>1996</v>
      </c>
      <c r="R292" s="2">
        <v>1996</v>
      </c>
      <c r="S292" s="2" t="s">
        <v>5738</v>
      </c>
      <c r="U292" s="2">
        <v>3</v>
      </c>
      <c r="V292" s="2" t="s">
        <v>187</v>
      </c>
    </row>
    <row r="293" spans="1:22">
      <c r="A293" s="2" t="s">
        <v>2174</v>
      </c>
      <c r="B293" s="2" t="s">
        <v>2174</v>
      </c>
      <c r="D293" s="2" t="s">
        <v>2171</v>
      </c>
      <c r="E293" s="2" t="s">
        <v>6062</v>
      </c>
      <c r="F293" s="2" t="s">
        <v>5731</v>
      </c>
      <c r="G293" s="2">
        <v>1</v>
      </c>
      <c r="I293" s="2">
        <v>1100</v>
      </c>
      <c r="J293" s="2" t="s">
        <v>187</v>
      </c>
      <c r="K293" s="2" t="s">
        <v>5766</v>
      </c>
      <c r="L293" s="2" t="s">
        <v>1512</v>
      </c>
      <c r="M293" s="2">
        <v>1</v>
      </c>
      <c r="N293" s="2">
        <v>4</v>
      </c>
      <c r="O293" s="2" t="s">
        <v>5903</v>
      </c>
      <c r="Q293" s="2">
        <v>1997</v>
      </c>
      <c r="R293" s="2">
        <v>1997</v>
      </c>
      <c r="S293" s="2" t="s">
        <v>5738</v>
      </c>
      <c r="U293" s="2">
        <v>3</v>
      </c>
      <c r="V293" s="2" t="s">
        <v>187</v>
      </c>
    </row>
    <row r="294" spans="1:22">
      <c r="A294" s="2" t="s">
        <v>2174</v>
      </c>
      <c r="B294" s="2" t="s">
        <v>2174</v>
      </c>
      <c r="D294" s="2" t="s">
        <v>2171</v>
      </c>
      <c r="E294" s="2" t="s">
        <v>6063</v>
      </c>
      <c r="F294" s="2" t="s">
        <v>5743</v>
      </c>
      <c r="G294" s="2">
        <v>0.5</v>
      </c>
      <c r="I294" s="2">
        <v>500</v>
      </c>
      <c r="J294" s="2" t="s">
        <v>187</v>
      </c>
      <c r="K294" s="2" t="s">
        <v>5766</v>
      </c>
      <c r="L294" s="2" t="s">
        <v>6057</v>
      </c>
      <c r="M294" s="2">
        <v>0.5</v>
      </c>
      <c r="N294" s="2">
        <v>2.5</v>
      </c>
      <c r="O294" s="2" t="s">
        <v>5737</v>
      </c>
      <c r="Q294" s="2">
        <v>1997</v>
      </c>
      <c r="R294" s="2">
        <v>1997</v>
      </c>
      <c r="S294" s="2" t="s">
        <v>5738</v>
      </c>
      <c r="U294" s="2">
        <v>1</v>
      </c>
      <c r="V294" s="2" t="s">
        <v>187</v>
      </c>
    </row>
    <row r="295" spans="1:22">
      <c r="A295" s="2" t="s">
        <v>1544</v>
      </c>
      <c r="B295" s="2" t="s">
        <v>1544</v>
      </c>
      <c r="D295" s="2" t="s">
        <v>1542</v>
      </c>
      <c r="E295" s="2" t="s">
        <v>6064</v>
      </c>
      <c r="G295" s="2">
        <v>1.1000000000000001</v>
      </c>
      <c r="I295" s="2">
        <v>1000</v>
      </c>
      <c r="J295" s="2" t="s">
        <v>187</v>
      </c>
      <c r="K295" s="2" t="s">
        <v>5843</v>
      </c>
      <c r="L295" s="2" t="s">
        <v>5733</v>
      </c>
      <c r="M295" s="2">
        <v>1.1000000000000001</v>
      </c>
      <c r="N295" s="2">
        <v>4.5</v>
      </c>
      <c r="O295" s="2" t="s">
        <v>5737</v>
      </c>
      <c r="Q295" s="2">
        <v>1996</v>
      </c>
      <c r="S295" s="2" t="s">
        <v>5735</v>
      </c>
      <c r="V295" s="2" t="s">
        <v>187</v>
      </c>
    </row>
    <row r="296" spans="1:22">
      <c r="A296" s="2" t="s">
        <v>1567</v>
      </c>
      <c r="B296" s="2" t="s">
        <v>1568</v>
      </c>
      <c r="D296" s="2" t="s">
        <v>1565</v>
      </c>
      <c r="E296" s="2" t="s">
        <v>6065</v>
      </c>
      <c r="G296" s="2">
        <v>1.5</v>
      </c>
      <c r="I296" s="2">
        <v>1000</v>
      </c>
      <c r="J296" s="2" t="s">
        <v>187</v>
      </c>
      <c r="K296" s="2" t="s">
        <v>5843</v>
      </c>
      <c r="L296" s="2" t="s">
        <v>6066</v>
      </c>
      <c r="M296" s="2">
        <v>1.5</v>
      </c>
      <c r="N296" s="2">
        <v>4</v>
      </c>
      <c r="O296" s="2" t="s">
        <v>5737</v>
      </c>
      <c r="Q296" s="2">
        <v>2010</v>
      </c>
      <c r="S296" s="2" t="s">
        <v>5735</v>
      </c>
      <c r="V296" s="2" t="s">
        <v>187</v>
      </c>
    </row>
    <row r="297" spans="1:22">
      <c r="A297" s="2" t="s">
        <v>1588</v>
      </c>
      <c r="B297" s="2" t="s">
        <v>1588</v>
      </c>
      <c r="D297" s="2" t="s">
        <v>1587</v>
      </c>
      <c r="E297" s="2" t="s">
        <v>6067</v>
      </c>
      <c r="G297" s="2">
        <v>0.5</v>
      </c>
      <c r="I297" s="2">
        <v>400</v>
      </c>
      <c r="J297" s="2" t="s">
        <v>187</v>
      </c>
      <c r="K297" s="2" t="s">
        <v>5800</v>
      </c>
      <c r="L297" s="2" t="s">
        <v>6045</v>
      </c>
      <c r="N297" s="2">
        <v>2</v>
      </c>
      <c r="O297" s="2" t="s">
        <v>5737</v>
      </c>
      <c r="S297" s="2" t="s">
        <v>5735</v>
      </c>
      <c r="V297" s="2" t="s">
        <v>187</v>
      </c>
    </row>
    <row r="298" spans="1:22">
      <c r="A298" s="2" t="s">
        <v>1588</v>
      </c>
      <c r="B298" s="2" t="s">
        <v>1588</v>
      </c>
      <c r="D298" s="2" t="s">
        <v>1587</v>
      </c>
      <c r="E298" s="2" t="s">
        <v>6068</v>
      </c>
      <c r="G298" s="2">
        <v>0.6</v>
      </c>
      <c r="I298" s="2">
        <v>600</v>
      </c>
      <c r="J298" s="2" t="s">
        <v>187</v>
      </c>
      <c r="K298" s="2" t="s">
        <v>5800</v>
      </c>
      <c r="L298" s="2" t="s">
        <v>5733</v>
      </c>
      <c r="M298" s="2">
        <v>0.6</v>
      </c>
      <c r="N298" s="2">
        <v>3</v>
      </c>
      <c r="O298" s="2" t="s">
        <v>5737</v>
      </c>
      <c r="Q298" s="2">
        <v>2010</v>
      </c>
      <c r="S298" s="2" t="s">
        <v>5735</v>
      </c>
      <c r="V298" s="2" t="s">
        <v>187</v>
      </c>
    </row>
    <row r="299" spans="1:22">
      <c r="A299" s="2" t="s">
        <v>1633</v>
      </c>
      <c r="B299" s="2" t="s">
        <v>1633</v>
      </c>
      <c r="D299" s="2" t="s">
        <v>1632</v>
      </c>
      <c r="E299" s="2" t="s">
        <v>6069</v>
      </c>
      <c r="G299" s="2">
        <v>1.5</v>
      </c>
      <c r="I299" s="2">
        <v>1500</v>
      </c>
      <c r="J299" s="2" t="s">
        <v>187</v>
      </c>
      <c r="K299" s="2" t="s">
        <v>5800</v>
      </c>
      <c r="L299" s="2" t="s">
        <v>5937</v>
      </c>
      <c r="M299" s="2">
        <v>1.5</v>
      </c>
      <c r="N299" s="2">
        <v>5</v>
      </c>
      <c r="Q299" s="2">
        <v>2000</v>
      </c>
      <c r="R299" s="2">
        <v>2010</v>
      </c>
      <c r="S299" s="2" t="s">
        <v>5735</v>
      </c>
      <c r="V299" s="2" t="s">
        <v>187</v>
      </c>
    </row>
    <row r="300" spans="1:22">
      <c r="A300" s="2" t="s">
        <v>1641</v>
      </c>
      <c r="B300" s="2" t="s">
        <v>1642</v>
      </c>
      <c r="D300" s="2" t="s">
        <v>1640</v>
      </c>
      <c r="E300" s="2" t="s">
        <v>6070</v>
      </c>
      <c r="G300" s="2">
        <v>1</v>
      </c>
      <c r="I300" s="2">
        <v>100</v>
      </c>
      <c r="J300" s="2" t="s">
        <v>187</v>
      </c>
      <c r="K300" s="2" t="s">
        <v>5800</v>
      </c>
      <c r="L300" s="2" t="s">
        <v>5733</v>
      </c>
      <c r="M300" s="2">
        <v>1</v>
      </c>
      <c r="N300" s="2">
        <v>5</v>
      </c>
      <c r="O300" s="2" t="s">
        <v>5737</v>
      </c>
      <c r="S300" s="2" t="s">
        <v>5735</v>
      </c>
      <c r="V300" s="2" t="s">
        <v>187</v>
      </c>
    </row>
    <row r="301" spans="1:22">
      <c r="A301" s="2" t="s">
        <v>1641</v>
      </c>
      <c r="B301" s="2" t="s">
        <v>1642</v>
      </c>
      <c r="D301" s="2" t="s">
        <v>1640</v>
      </c>
      <c r="E301" s="2" t="s">
        <v>6071</v>
      </c>
      <c r="G301" s="2">
        <v>0.5</v>
      </c>
      <c r="I301" s="2">
        <v>400</v>
      </c>
      <c r="J301" s="2" t="s">
        <v>187</v>
      </c>
      <c r="K301" s="2" t="s">
        <v>5800</v>
      </c>
      <c r="L301" s="2" t="s">
        <v>6033</v>
      </c>
      <c r="M301" s="2">
        <v>0.5</v>
      </c>
      <c r="N301" s="2">
        <v>2.5</v>
      </c>
      <c r="O301" s="2" t="s">
        <v>5734</v>
      </c>
      <c r="S301" s="2" t="s">
        <v>5750</v>
      </c>
      <c r="V301" s="2" t="s">
        <v>187</v>
      </c>
    </row>
    <row r="302" spans="1:22">
      <c r="A302" s="2" t="s">
        <v>1644</v>
      </c>
      <c r="B302" s="2" t="s">
        <v>1645</v>
      </c>
      <c r="D302" s="2" t="s">
        <v>1643</v>
      </c>
      <c r="E302" s="2" t="s">
        <v>6072</v>
      </c>
      <c r="G302" s="2">
        <v>1</v>
      </c>
      <c r="I302" s="2">
        <v>1000</v>
      </c>
      <c r="J302" s="2" t="s">
        <v>187</v>
      </c>
      <c r="K302" s="2" t="s">
        <v>5800</v>
      </c>
      <c r="L302" s="2" t="s">
        <v>6033</v>
      </c>
      <c r="M302" s="2">
        <v>1</v>
      </c>
      <c r="N302" s="2">
        <v>2.5</v>
      </c>
      <c r="O302" s="2" t="s">
        <v>5737</v>
      </c>
      <c r="Q302" s="2">
        <v>1995</v>
      </c>
      <c r="R302" s="2">
        <v>2017</v>
      </c>
      <c r="S302" s="2" t="s">
        <v>5735</v>
      </c>
      <c r="V302" s="2" t="s">
        <v>187</v>
      </c>
    </row>
    <row r="303" spans="1:22">
      <c r="A303" s="2" t="s">
        <v>1660</v>
      </c>
      <c r="B303" s="2" t="s">
        <v>1660</v>
      </c>
      <c r="D303" s="2" t="s">
        <v>1658</v>
      </c>
      <c r="E303" s="2" t="s">
        <v>6073</v>
      </c>
      <c r="G303" s="2">
        <v>2.2999999999999998</v>
      </c>
      <c r="I303" s="2">
        <v>2300</v>
      </c>
      <c r="J303" s="2" t="s">
        <v>187</v>
      </c>
      <c r="K303" s="2" t="s">
        <v>5800</v>
      </c>
      <c r="L303" s="2" t="s">
        <v>6022</v>
      </c>
      <c r="M303" s="2">
        <v>2.2999999999999998</v>
      </c>
      <c r="N303" s="2">
        <v>13</v>
      </c>
      <c r="O303" s="2" t="s">
        <v>5737</v>
      </c>
      <c r="Q303" s="2">
        <v>1997</v>
      </c>
      <c r="R303" s="2">
        <v>2017</v>
      </c>
      <c r="S303" s="2" t="s">
        <v>5735</v>
      </c>
      <c r="V303" s="2" t="s">
        <v>187</v>
      </c>
    </row>
    <row r="304" spans="1:22">
      <c r="A304" s="2" t="s">
        <v>1662</v>
      </c>
      <c r="B304" s="2" t="s">
        <v>1662</v>
      </c>
      <c r="D304" s="2" t="s">
        <v>1661</v>
      </c>
      <c r="E304" s="2" t="s">
        <v>6074</v>
      </c>
      <c r="G304" s="2">
        <v>2</v>
      </c>
      <c r="I304" s="2">
        <v>2000</v>
      </c>
      <c r="J304" s="2" t="s">
        <v>187</v>
      </c>
      <c r="K304" s="2" t="s">
        <v>308</v>
      </c>
      <c r="M304" s="2">
        <v>2</v>
      </c>
      <c r="N304" s="2">
        <v>10</v>
      </c>
      <c r="O304" s="2" t="s">
        <v>5737</v>
      </c>
      <c r="Q304" s="2">
        <v>2006</v>
      </c>
      <c r="R304" s="2">
        <v>2015</v>
      </c>
      <c r="S304" s="2" t="s">
        <v>5735</v>
      </c>
      <c r="V304" s="2" t="s">
        <v>187</v>
      </c>
    </row>
    <row r="305" spans="1:22">
      <c r="A305" s="2" t="s">
        <v>1662</v>
      </c>
      <c r="B305" s="2" t="s">
        <v>1662</v>
      </c>
      <c r="D305" s="2" t="s">
        <v>1661</v>
      </c>
      <c r="E305" s="2" t="s">
        <v>6075</v>
      </c>
      <c r="G305" s="2">
        <v>1</v>
      </c>
      <c r="I305" s="2">
        <v>1000</v>
      </c>
      <c r="J305" s="2" t="s">
        <v>187</v>
      </c>
      <c r="K305" s="2" t="s">
        <v>5843</v>
      </c>
      <c r="L305" s="2" t="s">
        <v>5733</v>
      </c>
      <c r="M305" s="2">
        <v>1</v>
      </c>
      <c r="N305" s="2">
        <v>5</v>
      </c>
      <c r="O305" s="2" t="s">
        <v>5734</v>
      </c>
      <c r="Q305" s="2">
        <v>2015</v>
      </c>
      <c r="S305" s="2" t="s">
        <v>5735</v>
      </c>
      <c r="V305" s="2" t="s">
        <v>187</v>
      </c>
    </row>
    <row r="306" spans="1:22">
      <c r="A306" s="2" t="s">
        <v>1662</v>
      </c>
      <c r="B306" s="2" t="s">
        <v>1662</v>
      </c>
      <c r="D306" s="2" t="s">
        <v>1661</v>
      </c>
      <c r="E306" s="2" t="s">
        <v>6076</v>
      </c>
      <c r="G306" s="2">
        <v>1</v>
      </c>
      <c r="I306" s="2">
        <v>1000</v>
      </c>
      <c r="J306" s="2" t="s">
        <v>187</v>
      </c>
      <c r="K306" s="2" t="s">
        <v>308</v>
      </c>
      <c r="M306" s="2">
        <v>1</v>
      </c>
      <c r="N306" s="2">
        <v>5</v>
      </c>
      <c r="O306" s="2" t="s">
        <v>5737</v>
      </c>
      <c r="Q306" s="2">
        <v>2010</v>
      </c>
      <c r="S306" s="2" t="s">
        <v>5735</v>
      </c>
      <c r="V306" s="2" t="s">
        <v>187</v>
      </c>
    </row>
    <row r="307" spans="1:22">
      <c r="A307" s="2" t="s">
        <v>1680</v>
      </c>
      <c r="B307" s="2" t="s">
        <v>1681</v>
      </c>
      <c r="D307" s="2" t="s">
        <v>1679</v>
      </c>
      <c r="E307" s="2" t="s">
        <v>6077</v>
      </c>
      <c r="G307" s="2">
        <v>2</v>
      </c>
      <c r="I307" s="2">
        <v>2000</v>
      </c>
      <c r="J307" s="2" t="s">
        <v>187</v>
      </c>
      <c r="K307" s="2" t="s">
        <v>5800</v>
      </c>
      <c r="L307" s="2" t="s">
        <v>6078</v>
      </c>
      <c r="M307" s="2">
        <v>2</v>
      </c>
      <c r="N307" s="2">
        <v>6</v>
      </c>
      <c r="O307" s="2" t="s">
        <v>5737</v>
      </c>
      <c r="S307" s="2" t="s">
        <v>5735</v>
      </c>
      <c r="V307" s="2" t="s">
        <v>187</v>
      </c>
    </row>
    <row r="308" spans="1:22">
      <c r="A308" s="2" t="s">
        <v>1698</v>
      </c>
      <c r="B308" s="2" t="s">
        <v>1698</v>
      </c>
      <c r="D308" s="2" t="s">
        <v>1697</v>
      </c>
      <c r="E308" s="2" t="s">
        <v>6079</v>
      </c>
      <c r="G308" s="2">
        <v>1.5</v>
      </c>
      <c r="I308" s="2">
        <v>1500</v>
      </c>
      <c r="J308" s="2" t="s">
        <v>187</v>
      </c>
      <c r="K308" s="2" t="s">
        <v>308</v>
      </c>
      <c r="M308" s="2">
        <v>1.5</v>
      </c>
      <c r="N308" s="2">
        <v>6</v>
      </c>
      <c r="O308" s="2" t="s">
        <v>5737</v>
      </c>
      <c r="Q308" s="2">
        <v>1998</v>
      </c>
      <c r="S308" s="2" t="s">
        <v>5735</v>
      </c>
      <c r="V308" s="2" t="s">
        <v>187</v>
      </c>
    </row>
    <row r="309" spans="1:22">
      <c r="A309" s="2" t="s">
        <v>1708</v>
      </c>
      <c r="B309" s="2" t="s">
        <v>1709</v>
      </c>
      <c r="D309" s="2" t="s">
        <v>1707</v>
      </c>
      <c r="E309" s="2" t="s">
        <v>6080</v>
      </c>
      <c r="G309" s="2">
        <v>2</v>
      </c>
      <c r="I309" s="2">
        <v>2000</v>
      </c>
      <c r="J309" s="2" t="s">
        <v>187</v>
      </c>
      <c r="K309" s="2" t="s">
        <v>308</v>
      </c>
      <c r="M309" s="2">
        <v>2</v>
      </c>
      <c r="N309" s="2">
        <v>6</v>
      </c>
      <c r="O309" s="2" t="s">
        <v>5737</v>
      </c>
      <c r="Q309" s="2">
        <v>1998</v>
      </c>
      <c r="S309" s="2" t="s">
        <v>5735</v>
      </c>
      <c r="V309" s="2" t="s">
        <v>187</v>
      </c>
    </row>
    <row r="310" spans="1:22">
      <c r="A310" s="2" t="s">
        <v>1708</v>
      </c>
      <c r="B310" s="2" t="s">
        <v>1709</v>
      </c>
      <c r="D310" s="2" t="s">
        <v>1707</v>
      </c>
      <c r="E310" s="2" t="s">
        <v>6081</v>
      </c>
      <c r="G310" s="2">
        <v>0.5</v>
      </c>
      <c r="I310" s="2">
        <v>500</v>
      </c>
      <c r="J310" s="2" t="s">
        <v>187</v>
      </c>
      <c r="K310" s="2" t="s">
        <v>308</v>
      </c>
      <c r="O310" s="2" t="s">
        <v>5734</v>
      </c>
      <c r="Q310" s="2">
        <v>2024</v>
      </c>
      <c r="S310" s="2" t="s">
        <v>5750</v>
      </c>
      <c r="V310" s="2" t="s">
        <v>187</v>
      </c>
    </row>
    <row r="311" spans="1:22">
      <c r="A311" s="2" t="s">
        <v>1708</v>
      </c>
      <c r="B311" s="2" t="s">
        <v>1709</v>
      </c>
      <c r="D311" s="2" t="s">
        <v>1707</v>
      </c>
      <c r="E311" s="2" t="s">
        <v>6082</v>
      </c>
      <c r="G311" s="2">
        <v>0.2</v>
      </c>
      <c r="I311" s="2">
        <v>100</v>
      </c>
      <c r="J311" s="2" t="s">
        <v>187</v>
      </c>
      <c r="K311" s="2" t="s">
        <v>5800</v>
      </c>
      <c r="L311" s="2" t="s">
        <v>6083</v>
      </c>
      <c r="M311" s="2">
        <v>0.1</v>
      </c>
      <c r="N311" s="2">
        <v>0.7</v>
      </c>
      <c r="O311" s="2" t="s">
        <v>5737</v>
      </c>
      <c r="Q311" s="2">
        <v>1998</v>
      </c>
      <c r="S311" s="2" t="s">
        <v>5735</v>
      </c>
      <c r="V311" s="2" t="s">
        <v>187</v>
      </c>
    </row>
    <row r="312" spans="1:22">
      <c r="A312" s="2" t="s">
        <v>1726</v>
      </c>
      <c r="B312" s="2" t="s">
        <v>1726</v>
      </c>
      <c r="D312" s="2" t="s">
        <v>1725</v>
      </c>
      <c r="E312" s="2" t="s">
        <v>6084</v>
      </c>
      <c r="G312" s="2">
        <v>1</v>
      </c>
      <c r="I312" s="2">
        <v>900</v>
      </c>
      <c r="J312" s="2" t="s">
        <v>187</v>
      </c>
      <c r="K312" s="2" t="s">
        <v>308</v>
      </c>
      <c r="M312" s="2">
        <v>1</v>
      </c>
      <c r="N312" s="2">
        <v>4</v>
      </c>
      <c r="Q312" s="2">
        <v>2014</v>
      </c>
      <c r="S312" s="2" t="s">
        <v>5735</v>
      </c>
      <c r="V312" s="2" t="s">
        <v>187</v>
      </c>
    </row>
    <row r="313" spans="1:22">
      <c r="A313" s="2" t="s">
        <v>1726</v>
      </c>
      <c r="B313" s="2" t="s">
        <v>1726</v>
      </c>
      <c r="D313" s="2" t="s">
        <v>1725</v>
      </c>
      <c r="E313" s="2" t="s">
        <v>6085</v>
      </c>
      <c r="G313" s="2">
        <v>1</v>
      </c>
      <c r="I313" s="2">
        <v>1000</v>
      </c>
      <c r="J313" s="2" t="s">
        <v>187</v>
      </c>
      <c r="K313" s="2" t="s">
        <v>308</v>
      </c>
      <c r="M313" s="2">
        <v>1</v>
      </c>
      <c r="N313" s="2">
        <v>5</v>
      </c>
      <c r="O313" s="2" t="s">
        <v>5737</v>
      </c>
      <c r="Q313" s="2">
        <v>2006</v>
      </c>
      <c r="S313" s="2" t="s">
        <v>5735</v>
      </c>
      <c r="V313" s="2" t="s">
        <v>187</v>
      </c>
    </row>
    <row r="314" spans="1:22">
      <c r="A314" s="2" t="s">
        <v>1768</v>
      </c>
      <c r="B314" s="2" t="s">
        <v>1768</v>
      </c>
      <c r="D314" s="2" t="s">
        <v>1767</v>
      </c>
      <c r="E314" s="2" t="s">
        <v>6086</v>
      </c>
      <c r="G314" s="2">
        <v>1</v>
      </c>
      <c r="I314" s="2">
        <v>1000</v>
      </c>
      <c r="J314" s="2" t="s">
        <v>187</v>
      </c>
      <c r="K314" s="2" t="s">
        <v>308</v>
      </c>
      <c r="M314" s="2">
        <v>1</v>
      </c>
      <c r="N314" s="2">
        <v>5</v>
      </c>
      <c r="O314" s="2" t="s">
        <v>5737</v>
      </c>
      <c r="Q314" s="2">
        <v>1997</v>
      </c>
      <c r="S314" s="2" t="s">
        <v>5735</v>
      </c>
      <c r="V314" s="2" t="s">
        <v>187</v>
      </c>
    </row>
    <row r="315" spans="1:22">
      <c r="A315" s="2" t="s">
        <v>1768</v>
      </c>
      <c r="B315" s="2" t="s">
        <v>1768</v>
      </c>
      <c r="D315" s="2" t="s">
        <v>1767</v>
      </c>
      <c r="E315" s="2" t="s">
        <v>6087</v>
      </c>
      <c r="G315" s="2">
        <v>1</v>
      </c>
      <c r="I315" s="2">
        <v>1000</v>
      </c>
      <c r="J315" s="2" t="s">
        <v>187</v>
      </c>
      <c r="K315" s="2" t="s">
        <v>308</v>
      </c>
      <c r="M315" s="2">
        <v>1</v>
      </c>
      <c r="N315" s="2">
        <v>4</v>
      </c>
      <c r="O315" s="2" t="s">
        <v>5903</v>
      </c>
      <c r="Q315" s="2">
        <v>1997</v>
      </c>
      <c r="S315" s="2" t="s">
        <v>5735</v>
      </c>
      <c r="V315" s="2" t="s">
        <v>187</v>
      </c>
    </row>
    <row r="316" spans="1:22">
      <c r="A316" s="2" t="s">
        <v>1774</v>
      </c>
      <c r="B316" s="2" t="s">
        <v>1774</v>
      </c>
      <c r="D316" s="2" t="s">
        <v>1773</v>
      </c>
      <c r="E316" s="2" t="s">
        <v>6088</v>
      </c>
      <c r="G316" s="2">
        <v>1.5</v>
      </c>
      <c r="I316" s="2">
        <v>1500</v>
      </c>
      <c r="J316" s="2" t="s">
        <v>188</v>
      </c>
      <c r="M316" s="2">
        <v>1.5</v>
      </c>
      <c r="N316" s="2">
        <v>6</v>
      </c>
      <c r="O316" s="2" t="s">
        <v>5737</v>
      </c>
      <c r="Q316" s="2">
        <v>1997</v>
      </c>
      <c r="S316" s="2" t="s">
        <v>5735</v>
      </c>
      <c r="V316" s="2" t="s">
        <v>187</v>
      </c>
    </row>
    <row r="317" spans="1:22">
      <c r="A317" s="2" t="s">
        <v>1814</v>
      </c>
      <c r="B317" s="2" t="s">
        <v>1815</v>
      </c>
      <c r="D317" s="2" t="s">
        <v>1813</v>
      </c>
      <c r="E317" s="2" t="s">
        <v>6089</v>
      </c>
      <c r="G317" s="2">
        <v>0.5</v>
      </c>
      <c r="I317" s="2">
        <v>500</v>
      </c>
      <c r="J317" s="2" t="s">
        <v>188</v>
      </c>
      <c r="M317" s="2">
        <v>0.5</v>
      </c>
      <c r="N317" s="2">
        <v>2.5</v>
      </c>
      <c r="O317" s="2" t="s">
        <v>5903</v>
      </c>
      <c r="Q317" s="2">
        <v>1997</v>
      </c>
      <c r="S317" s="2" t="s">
        <v>5735</v>
      </c>
      <c r="V317" s="2" t="s">
        <v>187</v>
      </c>
    </row>
    <row r="318" spans="1:22">
      <c r="A318" s="2" t="s">
        <v>1814</v>
      </c>
      <c r="B318" s="2" t="s">
        <v>1815</v>
      </c>
      <c r="D318" s="2" t="s">
        <v>1813</v>
      </c>
      <c r="E318" s="2" t="s">
        <v>6090</v>
      </c>
      <c r="G318" s="2">
        <v>1.5</v>
      </c>
      <c r="I318" s="2">
        <v>1500</v>
      </c>
      <c r="J318" s="2" t="s">
        <v>187</v>
      </c>
      <c r="K318" s="2" t="s">
        <v>308</v>
      </c>
      <c r="M318" s="2">
        <v>1.5</v>
      </c>
      <c r="N318" s="2">
        <v>7</v>
      </c>
      <c r="O318" s="2" t="s">
        <v>5737</v>
      </c>
      <c r="Q318" s="2">
        <v>1997</v>
      </c>
      <c r="S318" s="2" t="s">
        <v>5735</v>
      </c>
      <c r="V318" s="2" t="s">
        <v>187</v>
      </c>
    </row>
    <row r="319" spans="1:22">
      <c r="A319" s="2" t="s">
        <v>1842</v>
      </c>
      <c r="B319" s="2" t="s">
        <v>1843</v>
      </c>
      <c r="D319" s="2" t="s">
        <v>1841</v>
      </c>
      <c r="E319" s="2" t="s">
        <v>6091</v>
      </c>
      <c r="G319" s="2">
        <v>1</v>
      </c>
      <c r="I319" s="2">
        <v>100</v>
      </c>
      <c r="J319" s="2" t="s">
        <v>187</v>
      </c>
      <c r="K319" s="2" t="s">
        <v>308</v>
      </c>
      <c r="M319" s="2">
        <v>1</v>
      </c>
      <c r="N319" s="2">
        <v>5</v>
      </c>
      <c r="O319" s="2" t="s">
        <v>5737</v>
      </c>
      <c r="Q319" s="2">
        <v>1998</v>
      </c>
      <c r="S319" s="2" t="s">
        <v>5735</v>
      </c>
      <c r="V319" s="2" t="s">
        <v>187</v>
      </c>
    </row>
    <row r="320" spans="1:22">
      <c r="A320" s="2" t="s">
        <v>1842</v>
      </c>
      <c r="B320" s="2" t="s">
        <v>1843</v>
      </c>
      <c r="D320" s="2" t="s">
        <v>1841</v>
      </c>
      <c r="E320" s="2" t="s">
        <v>6092</v>
      </c>
      <c r="G320" s="2">
        <v>1</v>
      </c>
      <c r="I320" s="2">
        <v>1000</v>
      </c>
      <c r="J320" s="2" t="s">
        <v>187</v>
      </c>
      <c r="K320" s="2" t="s">
        <v>308</v>
      </c>
      <c r="M320" s="2">
        <v>1</v>
      </c>
      <c r="N320" s="2">
        <v>4</v>
      </c>
      <c r="O320" s="2" t="s">
        <v>5903</v>
      </c>
      <c r="Q320" s="2">
        <v>1998</v>
      </c>
      <c r="R320" s="2">
        <v>2018</v>
      </c>
      <c r="S320" s="2" t="s">
        <v>5735</v>
      </c>
      <c r="V320" s="2" t="s">
        <v>187</v>
      </c>
    </row>
    <row r="321" spans="1:22">
      <c r="A321" s="2" t="s">
        <v>1842</v>
      </c>
      <c r="B321" s="2" t="s">
        <v>1843</v>
      </c>
      <c r="D321" s="2" t="s">
        <v>1841</v>
      </c>
      <c r="E321" s="2" t="s">
        <v>6093</v>
      </c>
      <c r="G321" s="2">
        <v>1</v>
      </c>
      <c r="I321" s="2">
        <v>100</v>
      </c>
      <c r="J321" s="2" t="s">
        <v>187</v>
      </c>
      <c r="K321" s="2" t="s">
        <v>308</v>
      </c>
      <c r="M321" s="2">
        <v>1</v>
      </c>
      <c r="N321" s="2">
        <v>5</v>
      </c>
      <c r="O321" s="2" t="s">
        <v>5737</v>
      </c>
      <c r="S321" s="2" t="s">
        <v>5735</v>
      </c>
      <c r="V321" s="2" t="s">
        <v>187</v>
      </c>
    </row>
    <row r="322" spans="1:22">
      <c r="A322" s="2" t="s">
        <v>1842</v>
      </c>
      <c r="B322" s="2" t="s">
        <v>1843</v>
      </c>
      <c r="D322" s="2" t="s">
        <v>1841</v>
      </c>
      <c r="E322" s="2" t="s">
        <v>6094</v>
      </c>
      <c r="G322" s="2">
        <v>0.5</v>
      </c>
      <c r="I322" s="2">
        <v>500</v>
      </c>
      <c r="J322" s="2" t="s">
        <v>187</v>
      </c>
      <c r="K322" s="2" t="s">
        <v>308</v>
      </c>
      <c r="M322" s="2">
        <v>0.5</v>
      </c>
      <c r="N322" s="2">
        <v>2.5</v>
      </c>
      <c r="O322" s="2" t="s">
        <v>5903</v>
      </c>
      <c r="Q322" s="2">
        <v>1998</v>
      </c>
      <c r="R322" s="2">
        <v>2015</v>
      </c>
      <c r="S322" s="2" t="s">
        <v>5735</v>
      </c>
      <c r="V322" s="2" t="s">
        <v>187</v>
      </c>
    </row>
    <row r="323" spans="1:22">
      <c r="A323" s="2" t="s">
        <v>1875</v>
      </c>
      <c r="B323" s="2" t="s">
        <v>1876</v>
      </c>
      <c r="D323" s="2" t="s">
        <v>1874</v>
      </c>
      <c r="E323" s="2" t="s">
        <v>6095</v>
      </c>
      <c r="G323" s="2">
        <v>0.5</v>
      </c>
      <c r="I323" s="2">
        <v>500</v>
      </c>
      <c r="J323" s="2" t="s">
        <v>187</v>
      </c>
      <c r="K323" s="2" t="s">
        <v>308</v>
      </c>
      <c r="M323" s="2">
        <v>0.5</v>
      </c>
      <c r="N323" s="2">
        <v>2.5</v>
      </c>
      <c r="O323" s="2" t="s">
        <v>5903</v>
      </c>
      <c r="Q323" s="2">
        <v>1997</v>
      </c>
      <c r="R323" s="2">
        <v>2009</v>
      </c>
      <c r="S323" s="2" t="s">
        <v>5735</v>
      </c>
      <c r="V323" s="2" t="s">
        <v>187</v>
      </c>
    </row>
    <row r="324" spans="1:22">
      <c r="A324" s="2" t="s">
        <v>1875</v>
      </c>
      <c r="B324" s="2" t="s">
        <v>1876</v>
      </c>
      <c r="D324" s="2" t="s">
        <v>1874</v>
      </c>
      <c r="E324" s="2" t="s">
        <v>6096</v>
      </c>
      <c r="G324" s="2">
        <v>1.5</v>
      </c>
      <c r="I324" s="2">
        <v>1500</v>
      </c>
      <c r="J324" s="2" t="s">
        <v>187</v>
      </c>
      <c r="K324" s="2" t="s">
        <v>5843</v>
      </c>
      <c r="L324" s="2" t="s">
        <v>6078</v>
      </c>
      <c r="M324" s="2">
        <v>1.5</v>
      </c>
      <c r="N324" s="2">
        <v>7.5</v>
      </c>
      <c r="O324" s="2" t="s">
        <v>5737</v>
      </c>
      <c r="Q324" s="2">
        <v>2005</v>
      </c>
      <c r="S324" s="2" t="s">
        <v>5735</v>
      </c>
      <c r="V324" s="2" t="s">
        <v>187</v>
      </c>
    </row>
    <row r="325" spans="1:22">
      <c r="A325" s="2" t="s">
        <v>1903</v>
      </c>
      <c r="B325" s="2" t="s">
        <v>1904</v>
      </c>
      <c r="D325" s="2" t="s">
        <v>1902</v>
      </c>
      <c r="E325" s="2" t="s">
        <v>6097</v>
      </c>
      <c r="G325" s="2">
        <v>2</v>
      </c>
      <c r="I325" s="2">
        <v>2000</v>
      </c>
      <c r="J325" s="2" t="s">
        <v>187</v>
      </c>
      <c r="K325" s="2" t="s">
        <v>308</v>
      </c>
      <c r="N325" s="2">
        <v>10</v>
      </c>
      <c r="O325" s="2" t="s">
        <v>5737</v>
      </c>
      <c r="S325" s="2" t="s">
        <v>5735</v>
      </c>
      <c r="V325" s="2" t="s">
        <v>187</v>
      </c>
    </row>
    <row r="326" spans="1:22">
      <c r="A326" s="2" t="s">
        <v>1933</v>
      </c>
      <c r="B326" s="2" t="s">
        <v>1934</v>
      </c>
      <c r="D326" s="2" t="s">
        <v>1932</v>
      </c>
      <c r="E326" s="2" t="s">
        <v>6098</v>
      </c>
      <c r="G326" s="2">
        <v>0.5</v>
      </c>
      <c r="I326" s="2">
        <v>500</v>
      </c>
      <c r="J326" s="2" t="s">
        <v>187</v>
      </c>
      <c r="K326" s="2" t="s">
        <v>308</v>
      </c>
      <c r="M326" s="2">
        <v>0.5</v>
      </c>
      <c r="N326" s="2">
        <v>2.5</v>
      </c>
      <c r="O326" s="2" t="s">
        <v>5903</v>
      </c>
      <c r="Q326" s="2">
        <v>1995</v>
      </c>
      <c r="R326" s="2">
        <v>2017</v>
      </c>
      <c r="S326" s="2" t="s">
        <v>5735</v>
      </c>
      <c r="V326" s="2" t="s">
        <v>187</v>
      </c>
    </row>
    <row r="327" spans="1:22">
      <c r="A327" s="2" t="s">
        <v>1933</v>
      </c>
      <c r="B327" s="2" t="s">
        <v>1934</v>
      </c>
      <c r="D327" s="2" t="s">
        <v>1932</v>
      </c>
      <c r="E327" s="2" t="s">
        <v>6099</v>
      </c>
      <c r="G327" s="2">
        <v>1.5</v>
      </c>
      <c r="I327" s="2">
        <v>1500</v>
      </c>
      <c r="J327" s="2" t="s">
        <v>187</v>
      </c>
      <c r="K327" s="2" t="s">
        <v>5843</v>
      </c>
      <c r="L327" s="2" t="s">
        <v>5733</v>
      </c>
      <c r="M327" s="2">
        <v>1.5</v>
      </c>
      <c r="N327" s="2">
        <v>7.5</v>
      </c>
      <c r="O327" s="2" t="s">
        <v>5737</v>
      </c>
      <c r="Q327" s="2">
        <v>2005</v>
      </c>
      <c r="S327" s="2" t="s">
        <v>5735</v>
      </c>
      <c r="V327" s="2" t="s">
        <v>187</v>
      </c>
    </row>
    <row r="328" spans="1:22">
      <c r="A328" s="2" t="s">
        <v>1991</v>
      </c>
      <c r="B328" s="2" t="s">
        <v>1992</v>
      </c>
      <c r="D328" s="2" t="s">
        <v>1989</v>
      </c>
      <c r="E328" s="2" t="s">
        <v>6100</v>
      </c>
      <c r="G328" s="2">
        <v>0.5</v>
      </c>
      <c r="I328" s="2">
        <v>400</v>
      </c>
      <c r="J328" s="2" t="s">
        <v>187</v>
      </c>
      <c r="K328" s="2" t="s">
        <v>5800</v>
      </c>
      <c r="L328" s="2" t="s">
        <v>2093</v>
      </c>
      <c r="M328" s="2">
        <v>0.5</v>
      </c>
      <c r="N328" s="2">
        <v>1</v>
      </c>
      <c r="O328" s="2" t="s">
        <v>5734</v>
      </c>
      <c r="Q328" s="2">
        <v>2024</v>
      </c>
      <c r="S328" s="2" t="s">
        <v>5739</v>
      </c>
      <c r="V328" s="2" t="s">
        <v>187</v>
      </c>
    </row>
    <row r="329" spans="1:22">
      <c r="A329" s="2" t="s">
        <v>1991</v>
      </c>
      <c r="B329" s="2" t="s">
        <v>1992</v>
      </c>
      <c r="D329" s="2" t="s">
        <v>1989</v>
      </c>
      <c r="E329" s="2" t="s">
        <v>6101</v>
      </c>
      <c r="G329" s="2">
        <v>1.8</v>
      </c>
      <c r="I329" s="2">
        <v>1700</v>
      </c>
      <c r="J329" s="2" t="s">
        <v>187</v>
      </c>
      <c r="K329" s="2" t="s">
        <v>5800</v>
      </c>
      <c r="L329" s="2" t="s">
        <v>6102</v>
      </c>
      <c r="M329" s="2">
        <v>1.8</v>
      </c>
      <c r="N329" s="2">
        <v>9</v>
      </c>
      <c r="O329" s="2" t="s">
        <v>5737</v>
      </c>
      <c r="Q329" s="2">
        <v>2007</v>
      </c>
      <c r="S329" s="2" t="s">
        <v>5735</v>
      </c>
      <c r="V329" s="2" t="s">
        <v>187</v>
      </c>
    </row>
    <row r="330" spans="1:22">
      <c r="A330" s="2" t="s">
        <v>2031</v>
      </c>
      <c r="B330" s="2" t="s">
        <v>2032</v>
      </c>
      <c r="D330" s="2" t="s">
        <v>2030</v>
      </c>
      <c r="E330" s="2" t="s">
        <v>6103</v>
      </c>
      <c r="G330" s="2">
        <v>1.5</v>
      </c>
      <c r="I330" s="2">
        <v>1500</v>
      </c>
      <c r="J330" s="2" t="s">
        <v>187</v>
      </c>
      <c r="K330" s="2" t="s">
        <v>5843</v>
      </c>
      <c r="L330" s="2" t="s">
        <v>5733</v>
      </c>
      <c r="M330" s="2">
        <v>1.5</v>
      </c>
      <c r="N330" s="2">
        <v>7</v>
      </c>
      <c r="O330" s="2" t="s">
        <v>5737</v>
      </c>
      <c r="Q330" s="2">
        <v>1999</v>
      </c>
      <c r="R330" s="2">
        <v>2022</v>
      </c>
      <c r="S330" s="2" t="s">
        <v>5735</v>
      </c>
      <c r="V330" s="2" t="s">
        <v>187</v>
      </c>
    </row>
    <row r="331" spans="1:22">
      <c r="A331" s="2" t="s">
        <v>2198</v>
      </c>
      <c r="B331" s="2" t="s">
        <v>2198</v>
      </c>
      <c r="D331" s="2" t="s">
        <v>2195</v>
      </c>
      <c r="E331" s="2" t="s">
        <v>6104</v>
      </c>
      <c r="F331" s="2" t="s">
        <v>5736</v>
      </c>
      <c r="G331" s="2">
        <v>0.6</v>
      </c>
      <c r="I331" s="2">
        <v>600</v>
      </c>
      <c r="J331" s="2" t="s">
        <v>188</v>
      </c>
      <c r="M331" s="2">
        <v>0.6</v>
      </c>
      <c r="N331" s="2">
        <v>2</v>
      </c>
      <c r="O331" s="2" t="s">
        <v>5737</v>
      </c>
      <c r="Q331" s="2">
        <v>1996</v>
      </c>
      <c r="R331" s="2">
        <v>1996</v>
      </c>
      <c r="S331" s="2" t="s">
        <v>5738</v>
      </c>
      <c r="U331" s="2">
        <v>20</v>
      </c>
      <c r="V331" s="2" t="s">
        <v>187</v>
      </c>
    </row>
    <row r="332" spans="1:22">
      <c r="A332" s="2" t="s">
        <v>2198</v>
      </c>
      <c r="B332" s="2" t="s">
        <v>2198</v>
      </c>
      <c r="D332" s="2" t="s">
        <v>2195</v>
      </c>
      <c r="E332" s="2" t="s">
        <v>6105</v>
      </c>
      <c r="F332" s="2" t="s">
        <v>5743</v>
      </c>
      <c r="G332" s="2">
        <v>0.35</v>
      </c>
      <c r="I332" s="2">
        <v>350</v>
      </c>
      <c r="J332" s="2" t="s">
        <v>188</v>
      </c>
      <c r="M332" s="2">
        <v>0.35</v>
      </c>
      <c r="N332" s="2">
        <v>1.5</v>
      </c>
      <c r="O332" s="2" t="s">
        <v>5737</v>
      </c>
      <c r="Q332" s="2">
        <v>1996</v>
      </c>
      <c r="R332" s="2">
        <v>1996</v>
      </c>
      <c r="S332" s="2" t="s">
        <v>5738</v>
      </c>
      <c r="U332" s="2">
        <v>20</v>
      </c>
      <c r="V332" s="2" t="s">
        <v>187</v>
      </c>
    </row>
    <row r="333" spans="1:22">
      <c r="A333" s="2" t="s">
        <v>2198</v>
      </c>
      <c r="B333" s="2" t="s">
        <v>2198</v>
      </c>
      <c r="D333" s="2" t="s">
        <v>2195</v>
      </c>
      <c r="E333" s="2" t="s">
        <v>6106</v>
      </c>
      <c r="F333" s="2" t="s">
        <v>5731</v>
      </c>
      <c r="G333" s="2">
        <v>0.96</v>
      </c>
      <c r="I333" s="2">
        <v>960</v>
      </c>
      <c r="J333" s="2" t="s">
        <v>187</v>
      </c>
      <c r="K333" s="2" t="s">
        <v>5843</v>
      </c>
      <c r="L333" s="2" t="s">
        <v>5733</v>
      </c>
      <c r="M333" s="2">
        <v>0.96</v>
      </c>
      <c r="N333" s="2">
        <v>3</v>
      </c>
      <c r="O333" s="2" t="s">
        <v>5737</v>
      </c>
      <c r="Q333" s="2">
        <v>1996</v>
      </c>
      <c r="R333" s="2">
        <v>1996</v>
      </c>
      <c r="S333" s="2" t="s">
        <v>5738</v>
      </c>
      <c r="U333" s="2">
        <v>18</v>
      </c>
      <c r="V333" s="2" t="s">
        <v>187</v>
      </c>
    </row>
    <row r="334" spans="1:22">
      <c r="A334" s="2" t="s">
        <v>2064</v>
      </c>
      <c r="B334" s="2" t="s">
        <v>2065</v>
      </c>
      <c r="D334" s="2" t="s">
        <v>2063</v>
      </c>
      <c r="E334" s="2" t="s">
        <v>6107</v>
      </c>
      <c r="F334" s="2" t="s">
        <v>6108</v>
      </c>
      <c r="G334" s="2">
        <v>0.4</v>
      </c>
      <c r="I334" s="2">
        <v>300</v>
      </c>
      <c r="J334" s="2" t="s">
        <v>187</v>
      </c>
      <c r="K334" s="2" t="s">
        <v>5843</v>
      </c>
      <c r="L334" s="2" t="s">
        <v>6102</v>
      </c>
      <c r="M334" s="2">
        <v>0.5</v>
      </c>
      <c r="N334" s="2">
        <v>0.4</v>
      </c>
      <c r="O334" s="2" t="s">
        <v>5737</v>
      </c>
      <c r="Q334" s="2">
        <v>2023</v>
      </c>
      <c r="S334" s="2" t="s">
        <v>5739</v>
      </c>
      <c r="V334" s="2" t="s">
        <v>187</v>
      </c>
    </row>
    <row r="335" spans="1:22">
      <c r="A335" s="2" t="s">
        <v>2064</v>
      </c>
      <c r="B335" s="2" t="s">
        <v>2065</v>
      </c>
      <c r="D335" s="2" t="s">
        <v>2063</v>
      </c>
      <c r="E335" s="2" t="s">
        <v>6109</v>
      </c>
      <c r="G335" s="2">
        <v>1.5</v>
      </c>
      <c r="I335" s="2">
        <v>900</v>
      </c>
      <c r="J335" s="2" t="s">
        <v>187</v>
      </c>
      <c r="K335" s="2" t="s">
        <v>5800</v>
      </c>
      <c r="L335" s="2" t="s">
        <v>5733</v>
      </c>
      <c r="M335" s="2">
        <v>1.3</v>
      </c>
      <c r="N335" s="2">
        <v>4.5999999999999996</v>
      </c>
      <c r="O335" s="2" t="s">
        <v>5737</v>
      </c>
      <c r="Q335" s="2">
        <v>2019</v>
      </c>
      <c r="S335" s="2" t="s">
        <v>5735</v>
      </c>
      <c r="V335" s="2" t="s">
        <v>187</v>
      </c>
    </row>
    <row r="336" spans="1:22">
      <c r="A336" s="2" t="s">
        <v>2080</v>
      </c>
      <c r="B336" s="2" t="s">
        <v>2081</v>
      </c>
      <c r="D336" s="2" t="s">
        <v>2079</v>
      </c>
      <c r="E336" s="2" t="s">
        <v>6110</v>
      </c>
      <c r="G336" s="2">
        <v>2.5</v>
      </c>
      <c r="I336" s="2">
        <v>2500</v>
      </c>
      <c r="J336" s="2" t="s">
        <v>187</v>
      </c>
      <c r="K336" s="2" t="s">
        <v>5843</v>
      </c>
      <c r="L336" s="2" t="s">
        <v>5733</v>
      </c>
      <c r="M336" s="2">
        <v>2.5</v>
      </c>
      <c r="N336" s="2">
        <v>3.5</v>
      </c>
      <c r="O336" s="2" t="s">
        <v>5737</v>
      </c>
      <c r="Q336" s="2">
        <v>2019</v>
      </c>
      <c r="S336" s="2" t="s">
        <v>5735</v>
      </c>
      <c r="V336" s="2" t="s">
        <v>187</v>
      </c>
    </row>
    <row r="337" spans="1:22">
      <c r="A337" s="2" t="s">
        <v>2080</v>
      </c>
      <c r="B337" s="2" t="s">
        <v>2081</v>
      </c>
      <c r="D337" s="2" t="s">
        <v>2079</v>
      </c>
      <c r="E337" s="2" t="s">
        <v>6111</v>
      </c>
      <c r="G337" s="2">
        <v>1</v>
      </c>
      <c r="I337" s="2">
        <v>1000</v>
      </c>
      <c r="J337" s="2" t="s">
        <v>187</v>
      </c>
      <c r="K337" s="2" t="s">
        <v>5766</v>
      </c>
      <c r="L337" s="2" t="s">
        <v>2469</v>
      </c>
      <c r="O337" s="2" t="s">
        <v>5734</v>
      </c>
      <c r="Q337" s="2">
        <v>2025</v>
      </c>
      <c r="S337" s="2" t="s">
        <v>5739</v>
      </c>
      <c r="V337" s="2" t="s">
        <v>187</v>
      </c>
    </row>
    <row r="338" spans="1:22">
      <c r="A338" s="2" t="s">
        <v>2236</v>
      </c>
      <c r="B338" s="2" t="s">
        <v>2236</v>
      </c>
      <c r="D338" s="2" t="s">
        <v>2234</v>
      </c>
      <c r="E338" s="2" t="s">
        <v>6112</v>
      </c>
      <c r="F338" s="2" t="s">
        <v>5736</v>
      </c>
      <c r="G338" s="2">
        <v>0.8</v>
      </c>
      <c r="I338" s="2">
        <v>800</v>
      </c>
      <c r="J338" s="2" t="s">
        <v>187</v>
      </c>
      <c r="K338" s="2" t="s">
        <v>5766</v>
      </c>
      <c r="L338" s="2" t="s">
        <v>6113</v>
      </c>
      <c r="N338" s="2">
        <v>0</v>
      </c>
      <c r="O338" s="2" t="s">
        <v>5737</v>
      </c>
      <c r="Q338" s="2">
        <v>1998</v>
      </c>
      <c r="R338" s="2">
        <v>2025</v>
      </c>
      <c r="S338" s="2" t="s">
        <v>5735</v>
      </c>
      <c r="U338" s="2">
        <v>2</v>
      </c>
      <c r="V338" s="2" t="s">
        <v>187</v>
      </c>
    </row>
    <row r="339" spans="1:22">
      <c r="A339" s="2" t="s">
        <v>2236</v>
      </c>
      <c r="B339" s="2" t="s">
        <v>2236</v>
      </c>
      <c r="D339" s="2" t="s">
        <v>2234</v>
      </c>
      <c r="E339" s="2" t="s">
        <v>6114</v>
      </c>
      <c r="F339" s="2" t="s">
        <v>5731</v>
      </c>
      <c r="G339" s="2">
        <v>1</v>
      </c>
      <c r="I339" s="2">
        <v>1100</v>
      </c>
      <c r="J339" s="2" t="s">
        <v>187</v>
      </c>
      <c r="K339" s="2" t="s">
        <v>5766</v>
      </c>
      <c r="L339" s="2" t="s">
        <v>1187</v>
      </c>
      <c r="M339" s="2">
        <v>1</v>
      </c>
      <c r="N339" s="2">
        <v>3</v>
      </c>
      <c r="O339" s="2" t="s">
        <v>5737</v>
      </c>
      <c r="Q339" s="2">
        <v>1997</v>
      </c>
      <c r="R339" s="2">
        <v>2023</v>
      </c>
      <c r="S339" s="2" t="s">
        <v>5735</v>
      </c>
      <c r="U339" s="2">
        <v>2</v>
      </c>
      <c r="V339" s="2" t="s">
        <v>187</v>
      </c>
    </row>
    <row r="340" spans="1:22">
      <c r="A340" s="2" t="s">
        <v>2091</v>
      </c>
      <c r="B340" s="2" t="s">
        <v>2092</v>
      </c>
      <c r="D340" s="2" t="s">
        <v>2090</v>
      </c>
      <c r="E340" s="2" t="s">
        <v>6115</v>
      </c>
      <c r="F340" s="2" t="s">
        <v>6116</v>
      </c>
      <c r="G340" s="2">
        <v>1</v>
      </c>
      <c r="I340" s="2">
        <v>1000</v>
      </c>
      <c r="J340" s="2" t="s">
        <v>187</v>
      </c>
      <c r="K340" s="2" t="s">
        <v>5843</v>
      </c>
      <c r="L340" s="2" t="s">
        <v>5733</v>
      </c>
      <c r="M340" s="2">
        <v>1</v>
      </c>
      <c r="N340" s="2">
        <v>3.5</v>
      </c>
      <c r="O340" s="2" t="s">
        <v>5737</v>
      </c>
      <c r="Q340" s="2">
        <v>2016</v>
      </c>
      <c r="S340" s="2" t="s">
        <v>5735</v>
      </c>
      <c r="V340" s="2" t="s">
        <v>187</v>
      </c>
    </row>
    <row r="341" spans="1:22">
      <c r="A341" s="2" t="s">
        <v>2091</v>
      </c>
      <c r="B341" s="2" t="s">
        <v>2092</v>
      </c>
      <c r="D341" s="2" t="s">
        <v>2090</v>
      </c>
      <c r="E341" s="2" t="s">
        <v>6117</v>
      </c>
      <c r="F341" s="2" t="s">
        <v>6118</v>
      </c>
      <c r="G341" s="2">
        <v>1</v>
      </c>
      <c r="I341" s="2">
        <v>1000</v>
      </c>
      <c r="J341" s="2" t="s">
        <v>187</v>
      </c>
      <c r="K341" s="2" t="s">
        <v>5766</v>
      </c>
      <c r="L341" s="2" t="s">
        <v>2469</v>
      </c>
      <c r="O341" s="2" t="s">
        <v>5734</v>
      </c>
      <c r="Q341" s="2">
        <v>2025</v>
      </c>
      <c r="S341" s="2" t="s">
        <v>5739</v>
      </c>
      <c r="V341" s="2" t="s">
        <v>187</v>
      </c>
    </row>
    <row r="342" spans="1:22">
      <c r="A342" s="2" t="s">
        <v>2121</v>
      </c>
      <c r="B342" s="2" t="s">
        <v>2122</v>
      </c>
      <c r="D342" s="2" t="s">
        <v>2120</v>
      </c>
      <c r="E342" s="2" t="s">
        <v>6119</v>
      </c>
      <c r="G342" s="2">
        <v>1.2</v>
      </c>
      <c r="I342" s="2">
        <v>1000</v>
      </c>
      <c r="J342" s="2" t="s">
        <v>187</v>
      </c>
      <c r="K342" s="2" t="s">
        <v>6021</v>
      </c>
      <c r="L342" s="2" t="s">
        <v>6120</v>
      </c>
      <c r="M342" s="2">
        <v>1.2</v>
      </c>
      <c r="N342" s="2">
        <v>3</v>
      </c>
      <c r="O342" s="2" t="s">
        <v>5737</v>
      </c>
      <c r="R342" s="2">
        <v>1996</v>
      </c>
      <c r="S342" s="2" t="s">
        <v>5735</v>
      </c>
      <c r="V342" s="2" t="s">
        <v>187</v>
      </c>
    </row>
    <row r="343" spans="1:22">
      <c r="A343" s="2" t="s">
        <v>2121</v>
      </c>
      <c r="B343" s="2" t="s">
        <v>2122</v>
      </c>
      <c r="D343" s="2" t="s">
        <v>2120</v>
      </c>
      <c r="E343" s="2" t="s">
        <v>6121</v>
      </c>
      <c r="G343" s="2">
        <v>1</v>
      </c>
      <c r="I343" s="2">
        <v>1000</v>
      </c>
      <c r="J343" s="2" t="s">
        <v>187</v>
      </c>
      <c r="K343" s="2" t="s">
        <v>6021</v>
      </c>
      <c r="L343" s="2" t="s">
        <v>6122</v>
      </c>
      <c r="M343" s="2">
        <v>1</v>
      </c>
      <c r="N343" s="2">
        <v>3</v>
      </c>
      <c r="O343" s="2" t="s">
        <v>5734</v>
      </c>
      <c r="Q343" s="2">
        <v>2021</v>
      </c>
      <c r="S343" s="2" t="s">
        <v>5735</v>
      </c>
      <c r="V343" s="2" t="s">
        <v>187</v>
      </c>
    </row>
    <row r="344" spans="1:22">
      <c r="A344" s="2" t="s">
        <v>2210</v>
      </c>
      <c r="B344" s="2" t="s">
        <v>2210</v>
      </c>
      <c r="D344" s="2" t="s">
        <v>2209</v>
      </c>
      <c r="E344" s="2" t="s">
        <v>6123</v>
      </c>
      <c r="G344" s="2">
        <v>1</v>
      </c>
      <c r="I344" s="2">
        <v>1000</v>
      </c>
      <c r="J344" s="2" t="s">
        <v>187</v>
      </c>
      <c r="K344" s="2" t="s">
        <v>5843</v>
      </c>
      <c r="L344" s="2" t="s">
        <v>6033</v>
      </c>
      <c r="M344" s="2">
        <v>1</v>
      </c>
      <c r="N344" s="2">
        <v>3.5</v>
      </c>
      <c r="O344" s="2" t="s">
        <v>5737</v>
      </c>
      <c r="Q344" s="2">
        <v>2000</v>
      </c>
      <c r="S344" s="2" t="s">
        <v>5735</v>
      </c>
      <c r="V344" s="2" t="s">
        <v>187</v>
      </c>
    </row>
    <row r="345" spans="1:22">
      <c r="A345" s="2" t="s">
        <v>2229</v>
      </c>
      <c r="B345" s="2" t="s">
        <v>2230</v>
      </c>
      <c r="D345" s="2" t="s">
        <v>2228</v>
      </c>
      <c r="E345" s="2" t="s">
        <v>6124</v>
      </c>
      <c r="G345" s="2">
        <v>4</v>
      </c>
      <c r="I345" s="2">
        <v>3200</v>
      </c>
      <c r="J345" s="2" t="s">
        <v>187</v>
      </c>
      <c r="K345" s="2" t="s">
        <v>6021</v>
      </c>
      <c r="L345" s="2" t="s">
        <v>6045</v>
      </c>
      <c r="M345" s="2">
        <v>4</v>
      </c>
      <c r="N345" s="2">
        <v>12</v>
      </c>
      <c r="O345" s="2" t="s">
        <v>5737</v>
      </c>
      <c r="Q345" s="2">
        <v>1995</v>
      </c>
      <c r="R345" s="2">
        <v>2022</v>
      </c>
      <c r="S345" s="2" t="s">
        <v>5735</v>
      </c>
      <c r="V345" s="2" t="s">
        <v>187</v>
      </c>
    </row>
    <row r="346" spans="1:22">
      <c r="A346" s="2" t="s">
        <v>2315</v>
      </c>
      <c r="B346" s="2" t="s">
        <v>2316</v>
      </c>
      <c r="D346" s="2" t="s">
        <v>2313</v>
      </c>
      <c r="E346" s="2" t="s">
        <v>6125</v>
      </c>
      <c r="G346" s="2">
        <v>0.8</v>
      </c>
      <c r="I346" s="2">
        <v>800</v>
      </c>
      <c r="J346" s="2" t="s">
        <v>188</v>
      </c>
      <c r="M346" s="2">
        <v>0.8</v>
      </c>
      <c r="N346" s="2">
        <v>2</v>
      </c>
      <c r="O346" s="2" t="s">
        <v>5737</v>
      </c>
      <c r="S346" s="2" t="s">
        <v>5735</v>
      </c>
      <c r="V346" s="2" t="s">
        <v>187</v>
      </c>
    </row>
    <row r="347" spans="1:22">
      <c r="A347" s="2" t="s">
        <v>2265</v>
      </c>
      <c r="B347" s="2" t="s">
        <v>2266</v>
      </c>
      <c r="D347" s="2" t="s">
        <v>2263</v>
      </c>
      <c r="E347" s="2" t="s">
        <v>6126</v>
      </c>
      <c r="F347" s="2" t="s">
        <v>5731</v>
      </c>
      <c r="G347" s="2">
        <v>1</v>
      </c>
      <c r="I347" s="2">
        <v>1100</v>
      </c>
      <c r="J347" s="2" t="s">
        <v>187</v>
      </c>
      <c r="K347" s="2" t="s">
        <v>5766</v>
      </c>
      <c r="L347" s="2" t="s">
        <v>5733</v>
      </c>
      <c r="M347" s="2">
        <v>1</v>
      </c>
      <c r="N347" s="2">
        <v>3</v>
      </c>
      <c r="O347" s="2" t="s">
        <v>5737</v>
      </c>
      <c r="Q347" s="2">
        <v>1996</v>
      </c>
      <c r="R347" s="2">
        <v>1996</v>
      </c>
      <c r="S347" s="2" t="s">
        <v>5738</v>
      </c>
      <c r="U347" s="2">
        <v>5</v>
      </c>
      <c r="V347" s="2" t="s">
        <v>187</v>
      </c>
    </row>
    <row r="348" spans="1:22">
      <c r="A348" s="2" t="s">
        <v>2265</v>
      </c>
      <c r="B348" s="2" t="s">
        <v>2266</v>
      </c>
      <c r="D348" s="2" t="s">
        <v>2263</v>
      </c>
      <c r="E348" s="2" t="s">
        <v>6127</v>
      </c>
      <c r="F348" s="2" t="s">
        <v>5736</v>
      </c>
      <c r="G348" s="2">
        <v>1</v>
      </c>
      <c r="I348" s="2">
        <v>1100</v>
      </c>
      <c r="J348" s="2" t="s">
        <v>187</v>
      </c>
      <c r="K348" s="2" t="s">
        <v>5766</v>
      </c>
      <c r="L348" s="2" t="s">
        <v>1187</v>
      </c>
      <c r="M348" s="2">
        <v>1</v>
      </c>
      <c r="N348" s="2">
        <v>3</v>
      </c>
      <c r="O348" s="2" t="s">
        <v>5737</v>
      </c>
      <c r="Q348" s="2">
        <v>1996</v>
      </c>
      <c r="R348" s="2">
        <v>1996</v>
      </c>
      <c r="S348" s="2" t="s">
        <v>5738</v>
      </c>
      <c r="U348" s="2">
        <v>5</v>
      </c>
      <c r="V348" s="2" t="s">
        <v>187</v>
      </c>
    </row>
    <row r="349" spans="1:22">
      <c r="A349" s="2" t="s">
        <v>2326</v>
      </c>
      <c r="B349" s="2" t="s">
        <v>2327</v>
      </c>
      <c r="D349" s="2" t="s">
        <v>2325</v>
      </c>
      <c r="E349" s="2" t="s">
        <v>6128</v>
      </c>
      <c r="G349" s="2">
        <v>0.8</v>
      </c>
      <c r="I349" s="2">
        <v>600</v>
      </c>
      <c r="J349" s="2" t="s">
        <v>187</v>
      </c>
      <c r="K349" s="2" t="s">
        <v>308</v>
      </c>
      <c r="M349" s="2">
        <v>0.8</v>
      </c>
      <c r="N349" s="2">
        <v>2</v>
      </c>
      <c r="O349" s="2" t="s">
        <v>5737</v>
      </c>
      <c r="Q349" s="2">
        <v>2016</v>
      </c>
      <c r="S349" s="2" t="s">
        <v>5735</v>
      </c>
      <c r="V349" s="2" t="s">
        <v>187</v>
      </c>
    </row>
    <row r="350" spans="1:22">
      <c r="A350" s="2" t="s">
        <v>2353</v>
      </c>
      <c r="B350" s="2" t="s">
        <v>2353</v>
      </c>
      <c r="D350" s="2" t="s">
        <v>2351</v>
      </c>
      <c r="E350" s="2" t="s">
        <v>6129</v>
      </c>
      <c r="G350" s="2">
        <v>1</v>
      </c>
      <c r="I350" s="2">
        <v>1000</v>
      </c>
      <c r="J350" s="2" t="s">
        <v>187</v>
      </c>
      <c r="K350" s="2" t="s">
        <v>308</v>
      </c>
      <c r="M350" s="2">
        <v>1</v>
      </c>
      <c r="N350" s="2">
        <v>0.9</v>
      </c>
      <c r="O350" s="2" t="s">
        <v>5737</v>
      </c>
      <c r="Q350" s="2">
        <v>2021</v>
      </c>
      <c r="S350" s="2" t="s">
        <v>5735</v>
      </c>
      <c r="V350" s="2" t="s">
        <v>187</v>
      </c>
    </row>
    <row r="351" spans="1:22">
      <c r="A351" s="2" t="s">
        <v>2288</v>
      </c>
      <c r="B351" s="2" t="s">
        <v>2289</v>
      </c>
      <c r="D351" s="2" t="s">
        <v>2285</v>
      </c>
      <c r="E351" s="2" t="s">
        <v>6130</v>
      </c>
      <c r="F351" s="2" t="s">
        <v>5736</v>
      </c>
      <c r="G351" s="2">
        <v>0.4</v>
      </c>
      <c r="I351" s="2">
        <v>400</v>
      </c>
      <c r="J351" s="2" t="s">
        <v>188</v>
      </c>
      <c r="M351" s="2">
        <v>0.4</v>
      </c>
      <c r="N351" s="2">
        <v>1.2</v>
      </c>
      <c r="O351" s="2" t="s">
        <v>5734</v>
      </c>
      <c r="Q351" s="2">
        <v>2014</v>
      </c>
      <c r="R351" s="2">
        <v>2019</v>
      </c>
      <c r="S351" s="2" t="s">
        <v>5735</v>
      </c>
      <c r="U351" s="2">
        <v>6</v>
      </c>
      <c r="V351" s="2" t="s">
        <v>188</v>
      </c>
    </row>
    <row r="352" spans="1:22">
      <c r="A352" s="2" t="s">
        <v>2288</v>
      </c>
      <c r="B352" s="2" t="s">
        <v>2289</v>
      </c>
      <c r="D352" s="2" t="s">
        <v>2285</v>
      </c>
      <c r="E352" s="2" t="s">
        <v>6131</v>
      </c>
      <c r="F352" s="2" t="s">
        <v>5731</v>
      </c>
      <c r="G352" s="2">
        <v>0.8</v>
      </c>
      <c r="I352" s="2">
        <v>800</v>
      </c>
      <c r="J352" s="2" t="s">
        <v>187</v>
      </c>
      <c r="K352" s="2" t="s">
        <v>5766</v>
      </c>
      <c r="L352" s="2" t="s">
        <v>5733</v>
      </c>
      <c r="M352" s="2">
        <v>0.8</v>
      </c>
      <c r="N352" s="2">
        <v>2.5</v>
      </c>
      <c r="O352" s="2" t="s">
        <v>5737</v>
      </c>
      <c r="Q352" s="2">
        <v>2013</v>
      </c>
      <c r="R352" s="2">
        <v>2013</v>
      </c>
      <c r="S352" s="2" t="s">
        <v>5738</v>
      </c>
      <c r="U352" s="2">
        <v>7</v>
      </c>
      <c r="V352" s="2" t="s">
        <v>187</v>
      </c>
    </row>
    <row r="353" spans="1:22">
      <c r="A353" s="2" t="s">
        <v>2288</v>
      </c>
      <c r="B353" s="2" t="s">
        <v>2289</v>
      </c>
      <c r="D353" s="2" t="s">
        <v>2285</v>
      </c>
      <c r="E353" s="2" t="s">
        <v>6132</v>
      </c>
      <c r="F353" s="2" t="s">
        <v>5743</v>
      </c>
      <c r="G353" s="2">
        <v>0.4</v>
      </c>
      <c r="I353" s="2">
        <v>400</v>
      </c>
      <c r="J353" s="2" t="s">
        <v>188</v>
      </c>
      <c r="M353" s="2">
        <v>0.4</v>
      </c>
      <c r="N353" s="2">
        <v>1</v>
      </c>
      <c r="O353" s="2" t="s">
        <v>5734</v>
      </c>
      <c r="Q353" s="2">
        <v>2013</v>
      </c>
      <c r="R353" s="2">
        <v>2019</v>
      </c>
      <c r="S353" s="2" t="s">
        <v>5735</v>
      </c>
      <c r="U353" s="2">
        <v>5</v>
      </c>
      <c r="V353" s="2" t="s">
        <v>188</v>
      </c>
    </row>
    <row r="354" spans="1:22">
      <c r="A354" s="2" t="s">
        <v>2389</v>
      </c>
      <c r="B354" s="2" t="s">
        <v>2389</v>
      </c>
      <c r="D354" s="2" t="s">
        <v>2388</v>
      </c>
      <c r="E354" s="2" t="s">
        <v>6133</v>
      </c>
      <c r="G354" s="2">
        <v>1</v>
      </c>
      <c r="I354" s="2">
        <v>1000</v>
      </c>
      <c r="J354" s="2" t="s">
        <v>187</v>
      </c>
      <c r="K354" s="2" t="s">
        <v>308</v>
      </c>
      <c r="M354" s="2">
        <v>1</v>
      </c>
      <c r="N354" s="2">
        <v>1</v>
      </c>
      <c r="O354" s="2" t="s">
        <v>5737</v>
      </c>
      <c r="Q354" s="2">
        <v>2010</v>
      </c>
      <c r="S354" s="2" t="s">
        <v>5969</v>
      </c>
      <c r="V354" s="2" t="s">
        <v>187</v>
      </c>
    </row>
    <row r="355" spans="1:22">
      <c r="A355" s="2" t="s">
        <v>2309</v>
      </c>
      <c r="B355" s="2" t="s">
        <v>2309</v>
      </c>
      <c r="D355" s="2" t="s">
        <v>2306</v>
      </c>
      <c r="E355" s="2" t="s">
        <v>6134</v>
      </c>
      <c r="F355" s="2" t="s">
        <v>5736</v>
      </c>
      <c r="G355" s="2">
        <v>0.3</v>
      </c>
      <c r="I355" s="2">
        <v>300</v>
      </c>
      <c r="J355" s="2" t="s">
        <v>188</v>
      </c>
      <c r="O355" s="2" t="s">
        <v>5734</v>
      </c>
      <c r="Q355" s="2">
        <v>2017</v>
      </c>
      <c r="R355" s="2">
        <v>2025</v>
      </c>
      <c r="S355" s="2" t="s">
        <v>5735</v>
      </c>
      <c r="U355" s="2">
        <v>5</v>
      </c>
      <c r="V355" s="2" t="s">
        <v>188</v>
      </c>
    </row>
    <row r="356" spans="1:22">
      <c r="A356" s="2" t="s">
        <v>2309</v>
      </c>
      <c r="B356" s="2" t="s">
        <v>2309</v>
      </c>
      <c r="D356" s="2" t="s">
        <v>2306</v>
      </c>
      <c r="E356" s="2" t="s">
        <v>6135</v>
      </c>
      <c r="F356" s="2" t="s">
        <v>5731</v>
      </c>
      <c r="G356" s="2">
        <v>0.5</v>
      </c>
      <c r="I356" s="2">
        <v>500</v>
      </c>
      <c r="J356" s="2" t="s">
        <v>188</v>
      </c>
      <c r="M356" s="2">
        <v>0.5</v>
      </c>
      <c r="N356" s="2">
        <v>1.5</v>
      </c>
      <c r="O356" s="2" t="s">
        <v>5734</v>
      </c>
      <c r="Q356" s="2">
        <v>2017</v>
      </c>
      <c r="R356" s="2">
        <v>2017</v>
      </c>
      <c r="S356" s="2" t="s">
        <v>5738</v>
      </c>
      <c r="U356" s="2">
        <v>12</v>
      </c>
      <c r="V356" s="2" t="s">
        <v>188</v>
      </c>
    </row>
    <row r="357" spans="1:22">
      <c r="A357" s="2" t="s">
        <v>2442</v>
      </c>
      <c r="B357" s="2" t="s">
        <v>2442</v>
      </c>
      <c r="D357" s="2" t="s">
        <v>2441</v>
      </c>
      <c r="E357" s="2" t="s">
        <v>6136</v>
      </c>
      <c r="G357" s="2">
        <v>0.6</v>
      </c>
      <c r="I357" s="2">
        <v>500</v>
      </c>
      <c r="J357" s="2" t="s">
        <v>187</v>
      </c>
      <c r="K357" s="2" t="s">
        <v>5843</v>
      </c>
      <c r="L357" s="2" t="s">
        <v>5937</v>
      </c>
      <c r="M357" s="2">
        <v>0.6</v>
      </c>
      <c r="N357" s="2">
        <v>2.5</v>
      </c>
      <c r="O357" s="2" t="s">
        <v>5737</v>
      </c>
      <c r="Q357" s="2">
        <v>2012</v>
      </c>
      <c r="R357" s="2">
        <v>2017</v>
      </c>
      <c r="S357" s="2" t="s">
        <v>5735</v>
      </c>
      <c r="V357" s="2" t="s">
        <v>187</v>
      </c>
    </row>
    <row r="358" spans="1:22">
      <c r="A358" s="2" t="s">
        <v>2459</v>
      </c>
      <c r="B358" s="2" t="s">
        <v>2459</v>
      </c>
      <c r="D358" s="2" t="s">
        <v>2458</v>
      </c>
      <c r="E358" s="2" t="s">
        <v>6137</v>
      </c>
      <c r="G358" s="2">
        <v>2</v>
      </c>
      <c r="I358" s="2">
        <v>2000</v>
      </c>
      <c r="J358" s="2" t="s">
        <v>187</v>
      </c>
      <c r="K358" s="2" t="s">
        <v>5843</v>
      </c>
      <c r="L358" s="2" t="s">
        <v>5937</v>
      </c>
      <c r="M358" s="2">
        <v>2</v>
      </c>
      <c r="N358" s="2">
        <v>10</v>
      </c>
      <c r="O358" s="2" t="s">
        <v>5737</v>
      </c>
      <c r="S358" s="2" t="s">
        <v>5735</v>
      </c>
      <c r="V358" s="2" t="s">
        <v>187</v>
      </c>
    </row>
    <row r="359" spans="1:22">
      <c r="A359" s="2" t="s">
        <v>2337</v>
      </c>
      <c r="B359" s="2" t="s">
        <v>2337</v>
      </c>
      <c r="D359" s="2" t="s">
        <v>2334</v>
      </c>
      <c r="E359" s="2" t="s">
        <v>6138</v>
      </c>
      <c r="F359" s="2" t="s">
        <v>5736</v>
      </c>
      <c r="G359" s="2">
        <v>0.2</v>
      </c>
      <c r="I359" s="2">
        <v>200</v>
      </c>
      <c r="J359" s="2" t="s">
        <v>188</v>
      </c>
      <c r="M359" s="2">
        <v>0.2</v>
      </c>
      <c r="N359" s="2">
        <v>0.4</v>
      </c>
      <c r="O359" s="2" t="s">
        <v>5737</v>
      </c>
      <c r="Q359" s="2">
        <v>2018</v>
      </c>
      <c r="R359" s="2">
        <v>2018</v>
      </c>
      <c r="S359" s="2" t="s">
        <v>5738</v>
      </c>
      <c r="U359" s="2">
        <v>6</v>
      </c>
      <c r="V359" s="2" t="s">
        <v>188</v>
      </c>
    </row>
    <row r="360" spans="1:22">
      <c r="A360" s="2" t="s">
        <v>2337</v>
      </c>
      <c r="B360" s="2" t="s">
        <v>2337</v>
      </c>
      <c r="D360" s="2" t="s">
        <v>2334</v>
      </c>
      <c r="E360" s="2" t="s">
        <v>6139</v>
      </c>
      <c r="F360" s="2" t="s">
        <v>5731</v>
      </c>
      <c r="G360" s="2">
        <v>0.3</v>
      </c>
      <c r="I360" s="2">
        <v>300</v>
      </c>
      <c r="J360" s="2" t="s">
        <v>188</v>
      </c>
      <c r="M360" s="2">
        <v>0.3</v>
      </c>
      <c r="N360" s="2">
        <v>0.6</v>
      </c>
      <c r="O360" s="2" t="s">
        <v>5737</v>
      </c>
      <c r="Q360" s="2">
        <v>2018</v>
      </c>
      <c r="R360" s="2">
        <v>2018</v>
      </c>
      <c r="S360" s="2" t="s">
        <v>5738</v>
      </c>
      <c r="U360" s="2">
        <v>6</v>
      </c>
      <c r="V360" s="2" t="s">
        <v>187</v>
      </c>
    </row>
    <row r="361" spans="1:22">
      <c r="A361" s="2" t="s">
        <v>2337</v>
      </c>
      <c r="B361" s="2" t="s">
        <v>2337</v>
      </c>
      <c r="D361" s="2" t="s">
        <v>2334</v>
      </c>
      <c r="E361" s="2" t="s">
        <v>6140</v>
      </c>
      <c r="F361" s="2" t="s">
        <v>5758</v>
      </c>
      <c r="G361" s="2">
        <v>0.2</v>
      </c>
      <c r="I361" s="2">
        <v>200</v>
      </c>
      <c r="J361" s="2" t="s">
        <v>188</v>
      </c>
      <c r="M361" s="2">
        <v>0.2</v>
      </c>
      <c r="N361" s="2">
        <v>0.4</v>
      </c>
      <c r="O361" s="2" t="s">
        <v>5737</v>
      </c>
      <c r="Q361" s="2">
        <v>2020</v>
      </c>
      <c r="R361" s="2">
        <v>2020</v>
      </c>
      <c r="S361" s="2" t="s">
        <v>5738</v>
      </c>
      <c r="U361" s="2">
        <v>5</v>
      </c>
      <c r="V361" s="2" t="s">
        <v>188</v>
      </c>
    </row>
    <row r="362" spans="1:22">
      <c r="A362" s="2" t="s">
        <v>2337</v>
      </c>
      <c r="B362" s="2" t="s">
        <v>2337</v>
      </c>
      <c r="D362" s="2" t="s">
        <v>2334</v>
      </c>
      <c r="E362" s="2" t="s">
        <v>6141</v>
      </c>
      <c r="F362" s="2" t="s">
        <v>5743</v>
      </c>
      <c r="G362" s="2">
        <v>0.3</v>
      </c>
      <c r="I362" s="2">
        <v>300</v>
      </c>
      <c r="J362" s="2" t="s">
        <v>188</v>
      </c>
      <c r="M362" s="2">
        <v>0.3</v>
      </c>
      <c r="N362" s="2">
        <v>0.6</v>
      </c>
      <c r="O362" s="2" t="s">
        <v>5737</v>
      </c>
      <c r="Q362" s="2">
        <v>2019</v>
      </c>
      <c r="R362" s="2">
        <v>2019</v>
      </c>
      <c r="S362" s="2" t="s">
        <v>5738</v>
      </c>
      <c r="U362" s="2">
        <v>6</v>
      </c>
      <c r="V362" s="2" t="s">
        <v>187</v>
      </c>
    </row>
    <row r="363" spans="1:22">
      <c r="A363" s="2" t="s">
        <v>2467</v>
      </c>
      <c r="B363" s="2" t="s">
        <v>2468</v>
      </c>
      <c r="D363" s="2" t="s">
        <v>2466</v>
      </c>
      <c r="E363" s="2" t="s">
        <v>6142</v>
      </c>
      <c r="G363" s="2">
        <v>1</v>
      </c>
      <c r="I363" s="2">
        <v>1000</v>
      </c>
      <c r="J363" s="2" t="s">
        <v>187</v>
      </c>
      <c r="K363" s="2" t="s">
        <v>5843</v>
      </c>
      <c r="L363" s="2" t="s">
        <v>5733</v>
      </c>
      <c r="M363" s="2">
        <v>1</v>
      </c>
      <c r="N363" s="2">
        <v>3.5</v>
      </c>
      <c r="O363" s="2" t="s">
        <v>5737</v>
      </c>
      <c r="R363" s="2">
        <v>2012</v>
      </c>
      <c r="S363" s="2" t="s">
        <v>5735</v>
      </c>
      <c r="V363" s="2" t="s">
        <v>187</v>
      </c>
    </row>
    <row r="364" spans="1:22">
      <c r="A364" s="2" t="s">
        <v>2467</v>
      </c>
      <c r="B364" s="2" t="s">
        <v>2468</v>
      </c>
      <c r="D364" s="2" t="s">
        <v>2466</v>
      </c>
      <c r="E364" s="2" t="s">
        <v>6143</v>
      </c>
      <c r="G364" s="2">
        <v>0.5</v>
      </c>
      <c r="I364" s="2">
        <v>500</v>
      </c>
      <c r="J364" s="2" t="s">
        <v>187</v>
      </c>
      <c r="K364" s="2" t="s">
        <v>5843</v>
      </c>
      <c r="L364" s="2" t="s">
        <v>6144</v>
      </c>
      <c r="M364" s="2">
        <v>0.5</v>
      </c>
      <c r="N364" s="2">
        <v>1.5</v>
      </c>
      <c r="O364" s="2" t="s">
        <v>5734</v>
      </c>
      <c r="Q364" s="2">
        <v>2014</v>
      </c>
      <c r="S364" s="2" t="s">
        <v>5739</v>
      </c>
      <c r="V364" s="2" t="s">
        <v>187</v>
      </c>
    </row>
    <row r="365" spans="1:22">
      <c r="A365" s="2" t="s">
        <v>1785</v>
      </c>
      <c r="B365" s="2" t="s">
        <v>2476</v>
      </c>
      <c r="D365" s="2" t="s">
        <v>2475</v>
      </c>
      <c r="E365" s="2" t="s">
        <v>6145</v>
      </c>
      <c r="G365" s="2">
        <v>1.5</v>
      </c>
      <c r="I365" s="2">
        <v>1500</v>
      </c>
      <c r="J365" s="2" t="s">
        <v>187</v>
      </c>
      <c r="K365" s="2" t="s">
        <v>5843</v>
      </c>
      <c r="L365" s="2" t="s">
        <v>5937</v>
      </c>
      <c r="M365" s="2">
        <v>1.5</v>
      </c>
      <c r="N365" s="2">
        <v>4.5</v>
      </c>
      <c r="O365" s="2" t="s">
        <v>5737</v>
      </c>
      <c r="R365" s="2">
        <v>2012</v>
      </c>
      <c r="S365" s="2" t="s">
        <v>5735</v>
      </c>
      <c r="V365" s="2" t="s">
        <v>187</v>
      </c>
    </row>
    <row r="366" spans="1:22">
      <c r="A366" s="2" t="s">
        <v>2502</v>
      </c>
      <c r="B366" s="2" t="s">
        <v>2502</v>
      </c>
      <c r="D366" s="2" t="s">
        <v>2501</v>
      </c>
      <c r="E366" s="2" t="s">
        <v>6146</v>
      </c>
      <c r="G366" s="2">
        <v>2.5</v>
      </c>
      <c r="I366" s="2">
        <v>2500</v>
      </c>
      <c r="J366" s="2" t="s">
        <v>187</v>
      </c>
      <c r="K366" s="2" t="s">
        <v>6012</v>
      </c>
      <c r="L366" s="2" t="s">
        <v>6147</v>
      </c>
      <c r="M366" s="2">
        <v>2.5</v>
      </c>
      <c r="N366" s="2">
        <v>13</v>
      </c>
      <c r="O366" s="2" t="s">
        <v>5737</v>
      </c>
      <c r="Q366" s="2">
        <v>2013</v>
      </c>
      <c r="S366" s="2" t="s">
        <v>5735</v>
      </c>
      <c r="V366" s="2" t="s">
        <v>187</v>
      </c>
    </row>
    <row r="367" spans="1:22">
      <c r="A367" s="2" t="s">
        <v>2502</v>
      </c>
      <c r="B367" s="2" t="s">
        <v>2502</v>
      </c>
      <c r="D367" s="2" t="s">
        <v>2501</v>
      </c>
      <c r="E367" s="2" t="s">
        <v>6148</v>
      </c>
      <c r="G367" s="2">
        <v>1</v>
      </c>
      <c r="I367" s="2">
        <v>1000</v>
      </c>
      <c r="J367" s="2" t="s">
        <v>187</v>
      </c>
      <c r="K367" s="2" t="s">
        <v>5766</v>
      </c>
      <c r="L367" s="2" t="s">
        <v>6149</v>
      </c>
      <c r="O367" s="2" t="s">
        <v>5734</v>
      </c>
      <c r="Q367" s="2">
        <v>2024</v>
      </c>
      <c r="S367" s="2" t="s">
        <v>5739</v>
      </c>
      <c r="V367" s="2" t="s">
        <v>187</v>
      </c>
    </row>
    <row r="368" spans="1:22">
      <c r="A368" s="2" t="s">
        <v>2506</v>
      </c>
      <c r="B368" s="2" t="s">
        <v>2506</v>
      </c>
      <c r="D368" s="2" t="s">
        <v>2504</v>
      </c>
      <c r="E368" s="2" t="s">
        <v>6150</v>
      </c>
      <c r="G368" s="2">
        <v>2.5</v>
      </c>
      <c r="I368" s="2">
        <v>800</v>
      </c>
      <c r="J368" s="2" t="s">
        <v>187</v>
      </c>
      <c r="K368" s="2" t="s">
        <v>6012</v>
      </c>
      <c r="L368" s="2" t="s">
        <v>6151</v>
      </c>
      <c r="M368" s="2">
        <v>2.5</v>
      </c>
      <c r="N368" s="2">
        <v>8</v>
      </c>
      <c r="O368" s="2" t="s">
        <v>5737</v>
      </c>
      <c r="Q368" s="2">
        <v>2017</v>
      </c>
      <c r="S368" s="2" t="s">
        <v>5735</v>
      </c>
      <c r="V368" s="2" t="s">
        <v>187</v>
      </c>
    </row>
    <row r="369" spans="1:22">
      <c r="A369" s="2" t="s">
        <v>2506</v>
      </c>
      <c r="B369" s="2" t="s">
        <v>2506</v>
      </c>
      <c r="D369" s="2" t="s">
        <v>2504</v>
      </c>
      <c r="E369" s="2" t="s">
        <v>6152</v>
      </c>
      <c r="G369" s="2">
        <v>1</v>
      </c>
      <c r="I369" s="2">
        <v>600</v>
      </c>
      <c r="J369" s="2" t="s">
        <v>187</v>
      </c>
      <c r="K369" s="2" t="s">
        <v>6012</v>
      </c>
      <c r="L369" s="2" t="s">
        <v>6153</v>
      </c>
      <c r="O369" s="2" t="s">
        <v>5734</v>
      </c>
      <c r="Q369" s="2">
        <v>2025</v>
      </c>
      <c r="S369" s="2" t="s">
        <v>5738</v>
      </c>
      <c r="V369" s="2" t="s">
        <v>187</v>
      </c>
    </row>
    <row r="370" spans="1:22">
      <c r="A370" s="2" t="s">
        <v>2510</v>
      </c>
      <c r="B370" s="2" t="s">
        <v>2510</v>
      </c>
      <c r="D370" s="2" t="s">
        <v>2509</v>
      </c>
      <c r="E370" s="2" t="s">
        <v>6154</v>
      </c>
      <c r="G370" s="2">
        <v>1</v>
      </c>
      <c r="I370" s="2">
        <v>1000</v>
      </c>
      <c r="J370" s="2" t="s">
        <v>187</v>
      </c>
      <c r="K370" s="2" t="s">
        <v>5766</v>
      </c>
      <c r="L370" s="2" t="s">
        <v>6155</v>
      </c>
      <c r="M370" s="2">
        <v>1</v>
      </c>
      <c r="N370" s="2">
        <v>1</v>
      </c>
      <c r="O370" s="2" t="s">
        <v>5734</v>
      </c>
      <c r="Q370" s="2">
        <v>2024</v>
      </c>
      <c r="S370" s="2" t="s">
        <v>5738</v>
      </c>
      <c r="V370" s="2" t="s">
        <v>187</v>
      </c>
    </row>
    <row r="371" spans="1:22">
      <c r="A371" s="2" t="s">
        <v>2510</v>
      </c>
      <c r="B371" s="2" t="s">
        <v>2510</v>
      </c>
      <c r="D371" s="2" t="s">
        <v>2509</v>
      </c>
      <c r="E371" s="2" t="s">
        <v>6156</v>
      </c>
      <c r="G371" s="2">
        <v>2</v>
      </c>
      <c r="I371" s="2">
        <v>800</v>
      </c>
      <c r="J371" s="2" t="s">
        <v>187</v>
      </c>
      <c r="K371" s="2" t="s">
        <v>6012</v>
      </c>
      <c r="L371" s="2" t="s">
        <v>6157</v>
      </c>
      <c r="M371" s="2">
        <v>2</v>
      </c>
      <c r="N371" s="2">
        <v>7</v>
      </c>
      <c r="O371" s="2" t="s">
        <v>5737</v>
      </c>
      <c r="Q371" s="2">
        <v>2017</v>
      </c>
      <c r="S371" s="2" t="s">
        <v>5735</v>
      </c>
      <c r="V371" s="2" t="s">
        <v>187</v>
      </c>
    </row>
    <row r="372" spans="1:22">
      <c r="A372" s="2" t="s">
        <v>2366</v>
      </c>
      <c r="B372" s="2" t="s">
        <v>2366</v>
      </c>
      <c r="D372" s="2" t="s">
        <v>2364</v>
      </c>
      <c r="E372" s="2" t="s">
        <v>6158</v>
      </c>
      <c r="F372" s="2" t="s">
        <v>5731</v>
      </c>
      <c r="G372" s="2">
        <v>0.5</v>
      </c>
      <c r="I372" s="2">
        <v>500</v>
      </c>
      <c r="J372" s="2" t="s">
        <v>188</v>
      </c>
      <c r="M372" s="2">
        <v>0.5</v>
      </c>
      <c r="N372" s="2">
        <v>1</v>
      </c>
      <c r="O372" s="2" t="s">
        <v>5734</v>
      </c>
      <c r="Q372" s="2">
        <v>2016</v>
      </c>
      <c r="R372" s="2">
        <v>2016</v>
      </c>
      <c r="S372" s="2" t="s">
        <v>5738</v>
      </c>
      <c r="U372" s="2">
        <v>5</v>
      </c>
      <c r="V372" s="2" t="s">
        <v>188</v>
      </c>
    </row>
    <row r="373" spans="1:22">
      <c r="A373" s="2" t="s">
        <v>2401</v>
      </c>
      <c r="B373" s="2" t="s">
        <v>2401</v>
      </c>
      <c r="D373" s="2" t="s">
        <v>2399</v>
      </c>
      <c r="E373" s="2" t="s">
        <v>6159</v>
      </c>
      <c r="F373" s="2" t="s">
        <v>5731</v>
      </c>
      <c r="G373" s="2">
        <v>0.3</v>
      </c>
      <c r="I373" s="2">
        <v>300</v>
      </c>
      <c r="J373" s="2" t="s">
        <v>188</v>
      </c>
      <c r="M373" s="2">
        <v>0.3</v>
      </c>
      <c r="N373" s="2">
        <v>0.5</v>
      </c>
      <c r="O373" s="2" t="s">
        <v>5734</v>
      </c>
      <c r="Q373" s="2">
        <v>2019</v>
      </c>
      <c r="R373" s="2">
        <v>2019</v>
      </c>
      <c r="S373" s="2" t="s">
        <v>5738</v>
      </c>
      <c r="U373" s="2">
        <v>7</v>
      </c>
      <c r="V373" s="2" t="s">
        <v>188</v>
      </c>
    </row>
    <row r="374" spans="1:22">
      <c r="A374" s="2" t="s">
        <v>2401</v>
      </c>
      <c r="B374" s="2" t="s">
        <v>2401</v>
      </c>
      <c r="D374" s="2" t="s">
        <v>2399</v>
      </c>
      <c r="E374" s="2" t="s">
        <v>6160</v>
      </c>
      <c r="F374" s="2" t="s">
        <v>5736</v>
      </c>
      <c r="G374" s="2">
        <v>0.2</v>
      </c>
      <c r="I374" s="2">
        <v>200</v>
      </c>
      <c r="J374" s="2" t="s">
        <v>188</v>
      </c>
      <c r="M374" s="2">
        <v>0.2</v>
      </c>
      <c r="N374" s="2">
        <v>0.4</v>
      </c>
      <c r="O374" s="2" t="s">
        <v>5734</v>
      </c>
      <c r="Q374" s="2">
        <v>2019</v>
      </c>
      <c r="R374" s="2">
        <v>2019</v>
      </c>
      <c r="S374" s="2" t="s">
        <v>5738</v>
      </c>
      <c r="U374" s="2">
        <v>5</v>
      </c>
      <c r="V374" s="2" t="s">
        <v>188</v>
      </c>
    </row>
    <row r="375" spans="1:22">
      <c r="A375" s="2" t="s">
        <v>2447</v>
      </c>
      <c r="B375" s="2" t="s">
        <v>2448</v>
      </c>
      <c r="D375" s="2" t="s">
        <v>2444</v>
      </c>
      <c r="E375" s="2" t="s">
        <v>6161</v>
      </c>
      <c r="F375" s="2" t="s">
        <v>5731</v>
      </c>
      <c r="G375" s="2">
        <v>0.9</v>
      </c>
      <c r="I375" s="2">
        <v>900</v>
      </c>
      <c r="J375" s="2" t="s">
        <v>188</v>
      </c>
      <c r="M375" s="2">
        <v>0.9</v>
      </c>
      <c r="N375" s="2">
        <v>3</v>
      </c>
      <c r="O375" s="2" t="s">
        <v>5737</v>
      </c>
      <c r="Q375" s="2">
        <v>2000</v>
      </c>
      <c r="R375" s="2">
        <v>2000</v>
      </c>
      <c r="S375" s="2" t="s">
        <v>5738</v>
      </c>
      <c r="U375" s="2">
        <v>15</v>
      </c>
      <c r="V375" s="2" t="s">
        <v>187</v>
      </c>
    </row>
    <row r="376" spans="1:22">
      <c r="A376" s="2" t="s">
        <v>2481</v>
      </c>
      <c r="B376" s="2" t="s">
        <v>2481</v>
      </c>
      <c r="D376" s="2" t="s">
        <v>2479</v>
      </c>
      <c r="E376" s="2" t="s">
        <v>6162</v>
      </c>
      <c r="F376" s="2" t="s">
        <v>5731</v>
      </c>
      <c r="G376" s="2">
        <v>0.8</v>
      </c>
      <c r="I376" s="2">
        <v>800</v>
      </c>
      <c r="J376" s="2" t="s">
        <v>187</v>
      </c>
      <c r="K376" s="2" t="s">
        <v>5766</v>
      </c>
      <c r="L376" s="2" t="s">
        <v>5733</v>
      </c>
      <c r="M376" s="2">
        <v>0.8</v>
      </c>
      <c r="N376" s="2">
        <v>2</v>
      </c>
      <c r="O376" s="2" t="s">
        <v>5737</v>
      </c>
      <c r="Q376" s="2">
        <v>2021</v>
      </c>
      <c r="R376" s="2">
        <v>2021</v>
      </c>
      <c r="S376" s="2" t="s">
        <v>5738</v>
      </c>
      <c r="U376" s="2">
        <v>10</v>
      </c>
      <c r="V376" s="2" t="s">
        <v>187</v>
      </c>
    </row>
    <row r="377" spans="1:22">
      <c r="A377" s="2" t="s">
        <v>2481</v>
      </c>
      <c r="B377" s="2" t="s">
        <v>2481</v>
      </c>
      <c r="D377" s="2" t="s">
        <v>2479</v>
      </c>
      <c r="E377" s="2" t="s">
        <v>6163</v>
      </c>
      <c r="F377" s="2" t="s">
        <v>5743</v>
      </c>
      <c r="G377" s="2">
        <v>1.2</v>
      </c>
      <c r="I377" s="2">
        <v>1300</v>
      </c>
      <c r="J377" s="2" t="s">
        <v>187</v>
      </c>
      <c r="K377" s="2" t="s">
        <v>5766</v>
      </c>
      <c r="L377" s="2" t="s">
        <v>5733</v>
      </c>
      <c r="M377" s="2">
        <v>1.2</v>
      </c>
      <c r="N377" s="2">
        <v>4</v>
      </c>
      <c r="O377" s="2" t="s">
        <v>5737</v>
      </c>
      <c r="Q377" s="2">
        <v>2021</v>
      </c>
      <c r="R377" s="2">
        <v>2021</v>
      </c>
      <c r="S377" s="2" t="s">
        <v>5738</v>
      </c>
      <c r="U377" s="2">
        <v>7</v>
      </c>
      <c r="V377" s="2" t="s">
        <v>187</v>
      </c>
    </row>
    <row r="378" spans="1:22">
      <c r="A378" s="2" t="s">
        <v>2481</v>
      </c>
      <c r="B378" s="2" t="s">
        <v>2481</v>
      </c>
      <c r="D378" s="2" t="s">
        <v>2479</v>
      </c>
      <c r="E378" s="2" t="s">
        <v>6164</v>
      </c>
      <c r="F378" s="2" t="s">
        <v>5736</v>
      </c>
      <c r="G378" s="2">
        <v>1</v>
      </c>
      <c r="I378" s="2">
        <v>1100</v>
      </c>
      <c r="J378" s="2" t="s">
        <v>187</v>
      </c>
      <c r="K378" s="2" t="s">
        <v>5766</v>
      </c>
      <c r="L378" s="2" t="s">
        <v>5733</v>
      </c>
      <c r="M378" s="2">
        <v>1</v>
      </c>
      <c r="N378" s="2">
        <v>4</v>
      </c>
      <c r="O378" s="2" t="s">
        <v>5737</v>
      </c>
      <c r="Q378" s="2">
        <v>2021</v>
      </c>
      <c r="R378" s="2">
        <v>2021</v>
      </c>
      <c r="S378" s="2" t="s">
        <v>5738</v>
      </c>
      <c r="U378" s="2">
        <v>8</v>
      </c>
      <c r="V378" s="2" t="s">
        <v>187</v>
      </c>
    </row>
    <row r="379" spans="1:22">
      <c r="A379" s="2" t="s">
        <v>2481</v>
      </c>
      <c r="B379" s="2" t="s">
        <v>2481</v>
      </c>
      <c r="D379" s="2" t="s">
        <v>2479</v>
      </c>
      <c r="E379" s="2" t="s">
        <v>6165</v>
      </c>
      <c r="F379" s="2" t="s">
        <v>5758</v>
      </c>
      <c r="G379" s="2">
        <v>0.4</v>
      </c>
      <c r="I379" s="2">
        <v>400</v>
      </c>
      <c r="J379" s="2" t="s">
        <v>188</v>
      </c>
      <c r="M379" s="2">
        <v>0.4</v>
      </c>
      <c r="N379" s="2">
        <v>1</v>
      </c>
      <c r="O379" s="2" t="s">
        <v>5734</v>
      </c>
      <c r="Q379" s="2">
        <v>2022</v>
      </c>
      <c r="R379" s="2">
        <v>2022</v>
      </c>
      <c r="U379" s="2">
        <v>6</v>
      </c>
      <c r="V379" s="2" t="s">
        <v>188</v>
      </c>
    </row>
    <row r="380" spans="1:22">
      <c r="A380" s="2" t="s">
        <v>2492</v>
      </c>
      <c r="B380" s="2" t="s">
        <v>2493</v>
      </c>
      <c r="D380" s="2" t="s">
        <v>2490</v>
      </c>
      <c r="E380" s="2" t="s">
        <v>6166</v>
      </c>
      <c r="F380" s="2" t="s">
        <v>5731</v>
      </c>
      <c r="G380" s="2">
        <v>0.7</v>
      </c>
      <c r="I380" s="2">
        <v>500</v>
      </c>
      <c r="J380" s="2" t="s">
        <v>187</v>
      </c>
      <c r="K380" s="2" t="s">
        <v>5766</v>
      </c>
      <c r="L380" s="2" t="s">
        <v>5733</v>
      </c>
      <c r="M380" s="2">
        <v>0.7</v>
      </c>
      <c r="N380" s="2">
        <v>2.4</v>
      </c>
      <c r="O380" s="2" t="s">
        <v>5737</v>
      </c>
      <c r="Q380" s="2">
        <v>1999</v>
      </c>
      <c r="R380" s="2">
        <v>1999</v>
      </c>
      <c r="S380" s="2" t="s">
        <v>5738</v>
      </c>
      <c r="U380" s="2">
        <v>10</v>
      </c>
      <c r="V380" s="2" t="s">
        <v>187</v>
      </c>
    </row>
    <row r="381" spans="1:22">
      <c r="A381" s="2" t="s">
        <v>2514</v>
      </c>
      <c r="B381" s="2" t="s">
        <v>2514</v>
      </c>
      <c r="D381" s="2" t="s">
        <v>2512</v>
      </c>
      <c r="E381" s="2" t="s">
        <v>6167</v>
      </c>
      <c r="F381" s="2" t="s">
        <v>5731</v>
      </c>
      <c r="G381" s="2">
        <v>2</v>
      </c>
      <c r="I381" s="2">
        <v>2000</v>
      </c>
      <c r="J381" s="2" t="s">
        <v>187</v>
      </c>
      <c r="K381" s="2" t="s">
        <v>5766</v>
      </c>
      <c r="L381" s="2" t="s">
        <v>6168</v>
      </c>
      <c r="M381" s="2">
        <v>2</v>
      </c>
      <c r="N381" s="2">
        <v>4</v>
      </c>
      <c r="O381" s="2" t="s">
        <v>5737</v>
      </c>
      <c r="Q381" s="2">
        <v>2019</v>
      </c>
      <c r="R381" s="2">
        <v>2019</v>
      </c>
      <c r="S381" s="2" t="s">
        <v>5738</v>
      </c>
      <c r="U381" s="2">
        <v>15</v>
      </c>
      <c r="V381" s="2" t="s">
        <v>187</v>
      </c>
    </row>
    <row r="382" spans="1:22">
      <c r="A382" s="2" t="s">
        <v>2532</v>
      </c>
      <c r="B382" s="2" t="s">
        <v>2532</v>
      </c>
      <c r="D382" s="2" t="s">
        <v>2530</v>
      </c>
      <c r="E382" s="2" t="s">
        <v>6169</v>
      </c>
      <c r="F382" s="2" t="s">
        <v>5731</v>
      </c>
      <c r="G382" s="2">
        <v>0.85</v>
      </c>
      <c r="I382" s="2">
        <v>850</v>
      </c>
      <c r="J382" s="2" t="s">
        <v>187</v>
      </c>
      <c r="K382" s="2" t="s">
        <v>5766</v>
      </c>
      <c r="L382" s="2" t="s">
        <v>1187</v>
      </c>
      <c r="M382" s="2">
        <v>0.85</v>
      </c>
      <c r="N382" s="2">
        <v>3.5</v>
      </c>
      <c r="O382" s="2" t="s">
        <v>5737</v>
      </c>
      <c r="Q382" s="2">
        <v>2019</v>
      </c>
      <c r="R382" s="2">
        <v>2019</v>
      </c>
      <c r="S382" s="2" t="s">
        <v>5738</v>
      </c>
      <c r="U382" s="2">
        <v>13</v>
      </c>
      <c r="V382" s="2" t="s">
        <v>187</v>
      </c>
    </row>
    <row r="383" spans="1:22">
      <c r="A383" s="2" t="s">
        <v>2560</v>
      </c>
      <c r="B383" s="2" t="s">
        <v>2560</v>
      </c>
      <c r="D383" s="2" t="s">
        <v>2557</v>
      </c>
      <c r="E383" s="2" t="s">
        <v>6170</v>
      </c>
      <c r="F383" s="2" t="s">
        <v>5731</v>
      </c>
      <c r="G383" s="2">
        <v>0.3</v>
      </c>
      <c r="I383" s="2">
        <v>300</v>
      </c>
      <c r="J383" s="2" t="s">
        <v>187</v>
      </c>
      <c r="K383" s="2" t="s">
        <v>308</v>
      </c>
      <c r="M383" s="2">
        <v>0.3</v>
      </c>
      <c r="N383" s="2">
        <v>1</v>
      </c>
      <c r="O383" s="2" t="s">
        <v>5734</v>
      </c>
      <c r="Q383" s="2">
        <v>2018</v>
      </c>
      <c r="R383" s="2">
        <v>2018</v>
      </c>
      <c r="S383" s="2" t="s">
        <v>5738</v>
      </c>
      <c r="U383" s="2">
        <v>14</v>
      </c>
      <c r="V383" s="2" t="s">
        <v>188</v>
      </c>
    </row>
    <row r="384" spans="1:22">
      <c r="A384" s="2" t="s">
        <v>322</v>
      </c>
      <c r="B384" s="2" t="s">
        <v>323</v>
      </c>
      <c r="D384" s="2" t="s">
        <v>320</v>
      </c>
      <c r="E384" s="2" t="s">
        <v>6171</v>
      </c>
      <c r="G384" s="2">
        <v>1</v>
      </c>
      <c r="I384" s="2">
        <v>1000</v>
      </c>
      <c r="J384" s="2" t="s">
        <v>187</v>
      </c>
      <c r="K384" s="2" t="s">
        <v>308</v>
      </c>
      <c r="M384" s="2">
        <v>1</v>
      </c>
      <c r="N384" s="2">
        <v>3</v>
      </c>
      <c r="O384" s="2" t="s">
        <v>5737</v>
      </c>
      <c r="Q384" s="2">
        <v>2010</v>
      </c>
      <c r="S384" s="2" t="s">
        <v>5735</v>
      </c>
      <c r="V384" s="2" t="s">
        <v>187</v>
      </c>
    </row>
    <row r="385" spans="1:22">
      <c r="A385" s="2" t="s">
        <v>330</v>
      </c>
      <c r="B385" s="2" t="s">
        <v>331</v>
      </c>
      <c r="D385" s="2" t="s">
        <v>328</v>
      </c>
      <c r="E385" s="2" t="s">
        <v>6172</v>
      </c>
      <c r="G385" s="2">
        <v>0.4</v>
      </c>
      <c r="I385" s="2">
        <v>400</v>
      </c>
      <c r="J385" s="2" t="s">
        <v>187</v>
      </c>
      <c r="K385" s="2" t="s">
        <v>308</v>
      </c>
      <c r="M385" s="2">
        <v>0.4</v>
      </c>
      <c r="N385" s="2">
        <v>0.2</v>
      </c>
      <c r="O385" s="2" t="s">
        <v>5737</v>
      </c>
      <c r="Q385" s="2">
        <v>2007</v>
      </c>
      <c r="S385" s="2" t="s">
        <v>5735</v>
      </c>
      <c r="V385" s="2" t="s">
        <v>187</v>
      </c>
    </row>
    <row r="386" spans="1:22">
      <c r="A386" s="2" t="s">
        <v>984</v>
      </c>
      <c r="B386" s="2" t="s">
        <v>984</v>
      </c>
      <c r="D386" s="2" t="s">
        <v>982</v>
      </c>
      <c r="E386" s="2" t="s">
        <v>6173</v>
      </c>
      <c r="F386" s="2">
        <v>1</v>
      </c>
      <c r="G386" s="2">
        <v>0.25</v>
      </c>
      <c r="H386" s="2">
        <v>0</v>
      </c>
      <c r="I386" s="2">
        <v>200</v>
      </c>
      <c r="J386" s="2" t="s">
        <v>188</v>
      </c>
      <c r="M386" s="2">
        <v>0.25</v>
      </c>
      <c r="N386" s="2">
        <v>0.4</v>
      </c>
      <c r="O386" s="2" t="s">
        <v>5734</v>
      </c>
      <c r="Q386" s="2">
        <v>1996</v>
      </c>
      <c r="R386" s="2">
        <v>1996</v>
      </c>
      <c r="S386" s="2" t="s">
        <v>5735</v>
      </c>
      <c r="U386" s="2">
        <v>10</v>
      </c>
      <c r="V386" s="2" t="s">
        <v>188</v>
      </c>
    </row>
    <row r="387" spans="1:22">
      <c r="A387" s="2" t="s">
        <v>2071</v>
      </c>
      <c r="B387" s="2" t="s">
        <v>2071</v>
      </c>
      <c r="D387" s="2" t="s">
        <v>2068</v>
      </c>
      <c r="E387" s="2" t="s">
        <v>6174</v>
      </c>
      <c r="F387" s="2">
        <v>1</v>
      </c>
      <c r="G387" s="2">
        <v>0.5</v>
      </c>
      <c r="H387" s="2">
        <v>0</v>
      </c>
      <c r="I387" s="2">
        <v>500</v>
      </c>
      <c r="J387" s="2" t="s">
        <v>188</v>
      </c>
      <c r="M387" s="2">
        <v>0.5</v>
      </c>
      <c r="N387" s="2">
        <v>1.4</v>
      </c>
      <c r="O387" s="2" t="s">
        <v>5737</v>
      </c>
      <c r="Q387" s="2">
        <v>1998</v>
      </c>
      <c r="R387" s="2">
        <v>1998</v>
      </c>
      <c r="S387" s="2" t="s">
        <v>5738</v>
      </c>
      <c r="U387" s="2">
        <v>5</v>
      </c>
      <c r="V387" s="2" t="s">
        <v>188</v>
      </c>
    </row>
    <row r="388" spans="1:22">
      <c r="A388" s="2" t="s">
        <v>1056</v>
      </c>
      <c r="B388" s="2" t="s">
        <v>1056</v>
      </c>
      <c r="D388" s="2" t="s">
        <v>1054</v>
      </c>
      <c r="E388" s="2" t="s">
        <v>6175</v>
      </c>
      <c r="F388" s="2">
        <v>2</v>
      </c>
      <c r="G388" s="2">
        <v>0.35</v>
      </c>
      <c r="H388" s="2">
        <v>0</v>
      </c>
      <c r="I388" s="2">
        <v>400</v>
      </c>
      <c r="J388" s="2" t="s">
        <v>187</v>
      </c>
      <c r="K388" s="2" t="s">
        <v>1523</v>
      </c>
      <c r="M388" s="2">
        <v>0.35</v>
      </c>
      <c r="N388" s="2">
        <v>1</v>
      </c>
      <c r="O388" s="2" t="s">
        <v>5737</v>
      </c>
      <c r="Q388" s="2">
        <v>2023</v>
      </c>
      <c r="R388" s="2">
        <v>2023</v>
      </c>
      <c r="S388" s="2" t="s">
        <v>5735</v>
      </c>
      <c r="U388" s="2">
        <v>20</v>
      </c>
      <c r="V388" s="2" t="s">
        <v>188</v>
      </c>
    </row>
    <row r="389" spans="1:22">
      <c r="A389" s="2" t="s">
        <v>1056</v>
      </c>
      <c r="B389" s="2" t="s">
        <v>1056</v>
      </c>
      <c r="D389" s="2" t="s">
        <v>1054</v>
      </c>
      <c r="E389" s="2" t="s">
        <v>6176</v>
      </c>
      <c r="F389" s="2">
        <v>3</v>
      </c>
      <c r="G389" s="2">
        <v>0.15</v>
      </c>
      <c r="H389" s="2">
        <v>0</v>
      </c>
      <c r="I389" s="2">
        <v>220</v>
      </c>
      <c r="J389" s="2" t="s">
        <v>187</v>
      </c>
      <c r="K389" s="2" t="s">
        <v>308</v>
      </c>
      <c r="M389" s="2">
        <v>0</v>
      </c>
      <c r="N389" s="2">
        <v>0</v>
      </c>
      <c r="O389" s="2" t="s">
        <v>5734</v>
      </c>
      <c r="Q389" s="2">
        <v>2025</v>
      </c>
      <c r="R389" s="2">
        <v>2025</v>
      </c>
      <c r="S389" s="2" t="s">
        <v>288</v>
      </c>
      <c r="T389" s="2" t="s">
        <v>308</v>
      </c>
      <c r="U389" s="2">
        <v>10</v>
      </c>
      <c r="V389" s="2" t="s">
        <v>188</v>
      </c>
    </row>
    <row r="390" spans="1:22">
      <c r="A390" s="2" t="s">
        <v>1056</v>
      </c>
      <c r="B390" s="2" t="s">
        <v>1056</v>
      </c>
      <c r="D390" s="2" t="s">
        <v>1054</v>
      </c>
      <c r="E390" s="2" t="s">
        <v>6177</v>
      </c>
      <c r="F390" s="2">
        <v>1</v>
      </c>
      <c r="G390" s="2">
        <v>1</v>
      </c>
      <c r="H390" s="2">
        <v>0</v>
      </c>
      <c r="I390" s="2">
        <v>1000</v>
      </c>
      <c r="J390" s="2" t="s">
        <v>188</v>
      </c>
      <c r="M390" s="2">
        <v>1</v>
      </c>
      <c r="N390" s="2">
        <v>5</v>
      </c>
      <c r="O390" s="2" t="s">
        <v>5737</v>
      </c>
      <c r="Q390" s="2">
        <v>2017</v>
      </c>
      <c r="R390" s="2">
        <v>2017</v>
      </c>
      <c r="S390" s="2" t="s">
        <v>5742</v>
      </c>
      <c r="U390" s="2">
        <v>25</v>
      </c>
      <c r="V390" s="2" t="s">
        <v>188</v>
      </c>
    </row>
    <row r="391" spans="1:22">
      <c r="A391" s="2" t="s">
        <v>2059</v>
      </c>
      <c r="B391" s="2" t="s">
        <v>2059</v>
      </c>
      <c r="D391" s="2" t="s">
        <v>2056</v>
      </c>
      <c r="E391" s="2" t="s">
        <v>6178</v>
      </c>
      <c r="F391" s="2">
        <v>1</v>
      </c>
      <c r="G391" s="2">
        <v>0.7</v>
      </c>
      <c r="H391" s="2">
        <v>0</v>
      </c>
      <c r="I391" s="2">
        <v>700</v>
      </c>
      <c r="J391" s="2" t="s">
        <v>187</v>
      </c>
      <c r="K391" s="2" t="s">
        <v>1523</v>
      </c>
      <c r="M391" s="2">
        <v>0</v>
      </c>
      <c r="N391" s="2">
        <v>0</v>
      </c>
      <c r="O391" s="2" t="s">
        <v>5737</v>
      </c>
      <c r="Q391" s="2">
        <v>1995</v>
      </c>
      <c r="R391" s="2">
        <v>2025</v>
      </c>
      <c r="S391" s="2" t="s">
        <v>5735</v>
      </c>
      <c r="U391" s="2">
        <v>5</v>
      </c>
      <c r="V391" s="2" t="s">
        <v>188</v>
      </c>
    </row>
    <row r="392" spans="1:22">
      <c r="A392" s="2" t="s">
        <v>2059</v>
      </c>
      <c r="B392" s="2" t="s">
        <v>2059</v>
      </c>
      <c r="D392" s="2" t="s">
        <v>2056</v>
      </c>
      <c r="E392" s="2" t="s">
        <v>6179</v>
      </c>
      <c r="F392" s="2">
        <v>3</v>
      </c>
      <c r="G392" s="2">
        <v>0.5</v>
      </c>
      <c r="H392" s="2">
        <v>0</v>
      </c>
      <c r="I392" s="2">
        <v>500</v>
      </c>
      <c r="J392" s="2" t="s">
        <v>187</v>
      </c>
      <c r="K392" s="2" t="s">
        <v>308</v>
      </c>
      <c r="M392" s="2">
        <v>0</v>
      </c>
      <c r="N392" s="2">
        <v>0</v>
      </c>
      <c r="O392" s="2" t="s">
        <v>5737</v>
      </c>
      <c r="Q392" s="2">
        <v>1995</v>
      </c>
      <c r="R392" s="2">
        <v>2024</v>
      </c>
      <c r="S392" s="2" t="s">
        <v>5735</v>
      </c>
      <c r="U392" s="2">
        <v>5</v>
      </c>
      <c r="V392" s="2" t="s">
        <v>188</v>
      </c>
    </row>
    <row r="393" spans="1:22">
      <c r="A393" s="2" t="s">
        <v>2059</v>
      </c>
      <c r="B393" s="2" t="s">
        <v>2059</v>
      </c>
      <c r="D393" s="2" t="s">
        <v>2056</v>
      </c>
      <c r="E393" s="2" t="s">
        <v>6180</v>
      </c>
      <c r="F393" s="2">
        <v>2</v>
      </c>
      <c r="G393" s="2">
        <v>1.2</v>
      </c>
      <c r="H393" s="2">
        <v>0</v>
      </c>
      <c r="I393" s="2">
        <v>1200</v>
      </c>
      <c r="J393" s="2" t="s">
        <v>187</v>
      </c>
      <c r="K393" s="2" t="s">
        <v>308</v>
      </c>
      <c r="M393" s="2">
        <v>0</v>
      </c>
      <c r="N393" s="2">
        <v>0</v>
      </c>
      <c r="O393" s="2" t="s">
        <v>5737</v>
      </c>
      <c r="Q393" s="2">
        <v>1995</v>
      </c>
      <c r="R393" s="2">
        <v>2024</v>
      </c>
      <c r="S393" s="2" t="s">
        <v>5735</v>
      </c>
      <c r="U393" s="2">
        <v>5</v>
      </c>
      <c r="V393" s="2" t="s">
        <v>188</v>
      </c>
    </row>
    <row r="394" spans="1:22">
      <c r="A394" s="2" t="s">
        <v>2016</v>
      </c>
      <c r="B394" s="2" t="s">
        <v>2017</v>
      </c>
      <c r="D394" s="2" t="s">
        <v>2014</v>
      </c>
      <c r="E394" s="2" t="s">
        <v>6181</v>
      </c>
      <c r="F394" s="2">
        <v>2</v>
      </c>
      <c r="G394" s="2">
        <v>0.7</v>
      </c>
      <c r="H394" s="2">
        <v>0</v>
      </c>
      <c r="I394" s="2">
        <v>700</v>
      </c>
      <c r="J394" s="2" t="s">
        <v>187</v>
      </c>
      <c r="K394" s="2" t="s">
        <v>5797</v>
      </c>
      <c r="M394" s="2">
        <v>0</v>
      </c>
      <c r="N394" s="2">
        <v>0</v>
      </c>
      <c r="O394" s="2" t="s">
        <v>5737</v>
      </c>
      <c r="Q394" s="2">
        <v>1985</v>
      </c>
      <c r="R394" s="2">
        <v>2023</v>
      </c>
      <c r="S394" s="2" t="s">
        <v>5735</v>
      </c>
      <c r="U394" s="2">
        <v>10</v>
      </c>
      <c r="V394" s="2" t="s">
        <v>188</v>
      </c>
    </row>
    <row r="395" spans="1:22">
      <c r="A395" s="2" t="s">
        <v>2016</v>
      </c>
      <c r="B395" s="2" t="s">
        <v>2017</v>
      </c>
      <c r="D395" s="2" t="s">
        <v>2014</v>
      </c>
      <c r="E395" s="2" t="s">
        <v>6182</v>
      </c>
      <c r="F395" s="2">
        <v>1</v>
      </c>
      <c r="G395" s="2">
        <v>0.4</v>
      </c>
      <c r="H395" s="2">
        <v>0</v>
      </c>
      <c r="I395" s="2">
        <v>400</v>
      </c>
      <c r="J395" s="2" t="s">
        <v>187</v>
      </c>
      <c r="K395" s="2" t="s">
        <v>5797</v>
      </c>
      <c r="M395" s="2">
        <v>0.4</v>
      </c>
      <c r="N395" s="2">
        <v>1.3</v>
      </c>
      <c r="O395" s="2" t="s">
        <v>5737</v>
      </c>
      <c r="Q395" s="2">
        <v>1985</v>
      </c>
      <c r="R395" s="2">
        <v>2020</v>
      </c>
      <c r="S395" s="2" t="s">
        <v>5735</v>
      </c>
      <c r="U395" s="2">
        <v>10</v>
      </c>
      <c r="V395" s="2" t="s">
        <v>188</v>
      </c>
    </row>
    <row r="396" spans="1:22">
      <c r="A396" s="2" t="s">
        <v>850</v>
      </c>
      <c r="B396" s="2" t="s">
        <v>850</v>
      </c>
      <c r="D396" s="2" t="s">
        <v>848</v>
      </c>
      <c r="E396" s="2" t="s">
        <v>6183</v>
      </c>
      <c r="F396" s="2">
        <v>1</v>
      </c>
      <c r="G396" s="2">
        <v>0.3</v>
      </c>
      <c r="I396" s="2">
        <v>200</v>
      </c>
      <c r="J396" s="2" t="s">
        <v>188</v>
      </c>
      <c r="M396" s="2">
        <v>0.3</v>
      </c>
      <c r="N396" s="2">
        <v>0.4</v>
      </c>
      <c r="O396" s="2" t="s">
        <v>5737</v>
      </c>
      <c r="Q396" s="2">
        <v>1993</v>
      </c>
      <c r="R396" s="2">
        <v>1993</v>
      </c>
      <c r="S396" s="2" t="s">
        <v>5738</v>
      </c>
      <c r="U396" s="2">
        <v>4</v>
      </c>
      <c r="V396" s="2" t="s">
        <v>188</v>
      </c>
    </row>
    <row r="397" spans="1:22">
      <c r="A397" s="2" t="s">
        <v>850</v>
      </c>
      <c r="B397" s="2" t="s">
        <v>850</v>
      </c>
      <c r="D397" s="2" t="s">
        <v>848</v>
      </c>
      <c r="E397" s="2" t="s">
        <v>6184</v>
      </c>
      <c r="F397" s="2">
        <v>2</v>
      </c>
      <c r="G397" s="2">
        <v>0.4</v>
      </c>
      <c r="I397" s="2">
        <v>300</v>
      </c>
      <c r="J397" s="2" t="s">
        <v>188</v>
      </c>
      <c r="M397" s="2">
        <v>0.4</v>
      </c>
      <c r="N397" s="2">
        <v>0.6</v>
      </c>
      <c r="O397" s="2" t="s">
        <v>5737</v>
      </c>
      <c r="Q397" s="2">
        <v>1993</v>
      </c>
      <c r="R397" s="2">
        <v>2019</v>
      </c>
      <c r="S397" s="2" t="s">
        <v>5735</v>
      </c>
      <c r="U397" s="2">
        <v>5</v>
      </c>
      <c r="V397" s="2" t="s">
        <v>188</v>
      </c>
    </row>
    <row r="398" spans="1:22">
      <c r="A398" s="2" t="s">
        <v>1967</v>
      </c>
      <c r="B398" s="2" t="s">
        <v>1967</v>
      </c>
      <c r="D398" s="2" t="s">
        <v>1963</v>
      </c>
      <c r="E398" s="2" t="s">
        <v>6185</v>
      </c>
      <c r="F398" s="2">
        <v>1</v>
      </c>
      <c r="G398" s="2">
        <v>0.5</v>
      </c>
      <c r="H398" s="2">
        <v>0</v>
      </c>
      <c r="I398" s="2">
        <v>500</v>
      </c>
      <c r="J398" s="2" t="s">
        <v>188</v>
      </c>
      <c r="M398" s="2">
        <v>0</v>
      </c>
      <c r="N398" s="2">
        <v>0</v>
      </c>
      <c r="O398" s="2" t="s">
        <v>5737</v>
      </c>
      <c r="Q398" s="2">
        <v>1993</v>
      </c>
      <c r="R398" s="2">
        <v>2025</v>
      </c>
      <c r="S398" s="2" t="s">
        <v>5735</v>
      </c>
      <c r="U398" s="2">
        <v>10</v>
      </c>
      <c r="V398" s="2" t="s">
        <v>188</v>
      </c>
    </row>
    <row r="399" spans="1:22">
      <c r="A399" s="2" t="s">
        <v>1967</v>
      </c>
      <c r="B399" s="2" t="s">
        <v>1967</v>
      </c>
      <c r="D399" s="2" t="s">
        <v>1963</v>
      </c>
      <c r="E399" s="2" t="s">
        <v>6186</v>
      </c>
      <c r="F399" s="2">
        <v>3</v>
      </c>
      <c r="G399" s="2">
        <v>0.5</v>
      </c>
      <c r="H399" s="2">
        <v>0</v>
      </c>
      <c r="I399" s="2">
        <v>500</v>
      </c>
      <c r="J399" s="2" t="s">
        <v>188</v>
      </c>
      <c r="M399" s="2">
        <v>0.5</v>
      </c>
      <c r="N399" s="2">
        <v>2.2999999999999998</v>
      </c>
      <c r="O399" s="2" t="s">
        <v>5737</v>
      </c>
      <c r="Q399" s="2">
        <v>1993</v>
      </c>
      <c r="R399" s="2">
        <v>2010</v>
      </c>
      <c r="S399" s="2" t="s">
        <v>5735</v>
      </c>
      <c r="U399" s="2">
        <v>10</v>
      </c>
      <c r="V399" s="2" t="s">
        <v>188</v>
      </c>
    </row>
    <row r="400" spans="1:22">
      <c r="A400" s="2" t="s">
        <v>1967</v>
      </c>
      <c r="B400" s="2" t="s">
        <v>1967</v>
      </c>
      <c r="D400" s="2" t="s">
        <v>1963</v>
      </c>
      <c r="E400" s="2" t="s">
        <v>6187</v>
      </c>
      <c r="F400" s="2">
        <v>2</v>
      </c>
      <c r="G400" s="2">
        <v>0.5</v>
      </c>
      <c r="H400" s="2">
        <v>0</v>
      </c>
      <c r="I400" s="2">
        <v>500</v>
      </c>
      <c r="J400" s="2" t="s">
        <v>188</v>
      </c>
      <c r="M400" s="2">
        <v>0.5</v>
      </c>
      <c r="N400" s="2">
        <v>1.7</v>
      </c>
      <c r="O400" s="2" t="s">
        <v>5737</v>
      </c>
      <c r="Q400" s="2">
        <v>1995</v>
      </c>
      <c r="R400" s="2">
        <v>1995</v>
      </c>
      <c r="S400" s="2" t="s">
        <v>5738</v>
      </c>
      <c r="U400" s="2">
        <v>7</v>
      </c>
      <c r="V400" s="2" t="s">
        <v>188</v>
      </c>
    </row>
    <row r="401" spans="1:22">
      <c r="A401" s="2" t="s">
        <v>887</v>
      </c>
      <c r="B401" s="2" t="s">
        <v>888</v>
      </c>
      <c r="D401" s="2" t="s">
        <v>886</v>
      </c>
      <c r="E401" s="2" t="s">
        <v>6188</v>
      </c>
      <c r="F401" s="2">
        <v>2</v>
      </c>
      <c r="G401" s="2">
        <v>2</v>
      </c>
      <c r="I401" s="2">
        <v>2200</v>
      </c>
      <c r="J401" s="2" t="s">
        <v>187</v>
      </c>
      <c r="K401" s="2" t="s">
        <v>5773</v>
      </c>
      <c r="M401" s="2">
        <v>2</v>
      </c>
      <c r="N401" s="2">
        <v>5</v>
      </c>
      <c r="O401" s="2" t="s">
        <v>5737</v>
      </c>
      <c r="Q401" s="2">
        <v>2000</v>
      </c>
      <c r="R401" s="2">
        <v>2000</v>
      </c>
      <c r="S401" s="2" t="s">
        <v>5738</v>
      </c>
      <c r="U401" s="2">
        <v>5</v>
      </c>
      <c r="V401" s="2" t="s">
        <v>187</v>
      </c>
    </row>
    <row r="402" spans="1:22">
      <c r="A402" s="2" t="s">
        <v>887</v>
      </c>
      <c r="B402" s="2" t="s">
        <v>888</v>
      </c>
      <c r="D402" s="2" t="s">
        <v>886</v>
      </c>
      <c r="E402" s="2" t="s">
        <v>6189</v>
      </c>
      <c r="F402" s="2">
        <v>1</v>
      </c>
      <c r="G402" s="2">
        <v>1</v>
      </c>
      <c r="I402" s="2">
        <v>1000</v>
      </c>
      <c r="J402" s="2" t="s">
        <v>187</v>
      </c>
      <c r="K402" s="2" t="s">
        <v>5773</v>
      </c>
      <c r="M402" s="2">
        <v>1</v>
      </c>
      <c r="N402" s="2">
        <v>3</v>
      </c>
      <c r="O402" s="2" t="s">
        <v>5737</v>
      </c>
      <c r="Q402" s="2">
        <v>2000</v>
      </c>
      <c r="R402" s="2">
        <v>2000</v>
      </c>
      <c r="S402" s="2" t="s">
        <v>5738</v>
      </c>
      <c r="U402" s="2">
        <v>5</v>
      </c>
      <c r="V402" s="2" t="s">
        <v>187</v>
      </c>
    </row>
    <row r="403" spans="1:22">
      <c r="A403" s="2" t="s">
        <v>890</v>
      </c>
      <c r="B403" s="2" t="s">
        <v>891</v>
      </c>
      <c r="D403" s="2" t="s">
        <v>889</v>
      </c>
      <c r="E403" s="2" t="s">
        <v>6190</v>
      </c>
      <c r="F403" s="2">
        <v>2</v>
      </c>
      <c r="G403" s="2">
        <v>0.4</v>
      </c>
      <c r="I403" s="2">
        <v>520</v>
      </c>
      <c r="J403" s="2" t="s">
        <v>188</v>
      </c>
      <c r="M403" s="2">
        <v>0.4</v>
      </c>
      <c r="N403" s="2">
        <v>1.1000000000000001</v>
      </c>
      <c r="O403" s="2" t="s">
        <v>5737</v>
      </c>
      <c r="Q403" s="2">
        <v>2000</v>
      </c>
      <c r="R403" s="2">
        <v>2000</v>
      </c>
      <c r="S403" s="2" t="s">
        <v>5735</v>
      </c>
      <c r="U403" s="2">
        <v>5</v>
      </c>
      <c r="V403" s="2" t="s">
        <v>188</v>
      </c>
    </row>
    <row r="404" spans="1:22">
      <c r="A404" s="2" t="s">
        <v>890</v>
      </c>
      <c r="B404" s="2" t="s">
        <v>891</v>
      </c>
      <c r="D404" s="2" t="s">
        <v>889</v>
      </c>
      <c r="E404" s="2" t="s">
        <v>6191</v>
      </c>
      <c r="F404" s="2">
        <v>3</v>
      </c>
      <c r="G404" s="2">
        <v>0.6</v>
      </c>
      <c r="I404" s="2">
        <v>680</v>
      </c>
      <c r="J404" s="2" t="s">
        <v>187</v>
      </c>
      <c r="K404" s="2" t="s">
        <v>1523</v>
      </c>
      <c r="M404" s="2">
        <v>0.6</v>
      </c>
      <c r="N404" s="2">
        <v>1.3</v>
      </c>
      <c r="O404" s="2" t="s">
        <v>5737</v>
      </c>
      <c r="Q404" s="2">
        <v>2019</v>
      </c>
      <c r="R404" s="2">
        <v>2019</v>
      </c>
      <c r="S404" s="2" t="s">
        <v>288</v>
      </c>
      <c r="T404" s="2" t="s">
        <v>308</v>
      </c>
      <c r="U404" s="2">
        <v>5</v>
      </c>
      <c r="V404" s="2" t="s">
        <v>188</v>
      </c>
    </row>
    <row r="405" spans="1:22">
      <c r="A405" s="2" t="s">
        <v>890</v>
      </c>
      <c r="B405" s="2" t="s">
        <v>891</v>
      </c>
      <c r="D405" s="2" t="s">
        <v>889</v>
      </c>
      <c r="E405" s="2" t="s">
        <v>6192</v>
      </c>
      <c r="F405" s="2">
        <v>1</v>
      </c>
      <c r="G405" s="2">
        <v>0.4</v>
      </c>
      <c r="I405" s="2">
        <v>520</v>
      </c>
      <c r="J405" s="2" t="s">
        <v>188</v>
      </c>
      <c r="M405" s="2">
        <v>0.5</v>
      </c>
      <c r="N405" s="2">
        <v>1.1000000000000001</v>
      </c>
      <c r="O405" s="2" t="s">
        <v>5737</v>
      </c>
      <c r="Q405" s="2">
        <v>2000</v>
      </c>
      <c r="R405" s="2">
        <v>2000</v>
      </c>
      <c r="S405" s="2" t="s">
        <v>5735</v>
      </c>
      <c r="U405" s="2">
        <v>5</v>
      </c>
      <c r="V405" s="2" t="s">
        <v>187</v>
      </c>
    </row>
    <row r="406" spans="1:22">
      <c r="A406" s="2" t="s">
        <v>1961</v>
      </c>
      <c r="B406" s="2" t="s">
        <v>1961</v>
      </c>
      <c r="D406" s="2" t="s">
        <v>1959</v>
      </c>
      <c r="E406" s="2" t="s">
        <v>6193</v>
      </c>
      <c r="F406" s="2">
        <v>3</v>
      </c>
      <c r="G406" s="2">
        <v>0.4</v>
      </c>
      <c r="H406" s="2">
        <v>0</v>
      </c>
      <c r="I406" s="2">
        <v>400</v>
      </c>
      <c r="J406" s="2" t="s">
        <v>188</v>
      </c>
      <c r="M406" s="2">
        <v>0.4</v>
      </c>
      <c r="N406" s="2">
        <v>1</v>
      </c>
      <c r="O406" s="2" t="s">
        <v>5737</v>
      </c>
      <c r="Q406" s="2">
        <v>1995</v>
      </c>
      <c r="R406" s="2">
        <v>1995</v>
      </c>
      <c r="S406" s="2" t="s">
        <v>5738</v>
      </c>
      <c r="U406" s="2">
        <v>7</v>
      </c>
      <c r="V406" s="2" t="s">
        <v>188</v>
      </c>
    </row>
    <row r="407" spans="1:22">
      <c r="A407" s="2" t="s">
        <v>1961</v>
      </c>
      <c r="B407" s="2" t="s">
        <v>1961</v>
      </c>
      <c r="D407" s="2" t="s">
        <v>1959</v>
      </c>
      <c r="E407" s="2" t="s">
        <v>6194</v>
      </c>
      <c r="F407" s="2">
        <v>1</v>
      </c>
      <c r="G407" s="2">
        <v>0.4</v>
      </c>
      <c r="H407" s="2">
        <v>0</v>
      </c>
      <c r="I407" s="2">
        <v>400</v>
      </c>
      <c r="J407" s="2" t="s">
        <v>188</v>
      </c>
      <c r="M407" s="2">
        <v>0.4</v>
      </c>
      <c r="N407" s="2">
        <v>1</v>
      </c>
      <c r="O407" s="2" t="s">
        <v>5737</v>
      </c>
      <c r="Q407" s="2">
        <v>1995</v>
      </c>
      <c r="R407" s="2">
        <v>1995</v>
      </c>
      <c r="S407" s="2" t="s">
        <v>5738</v>
      </c>
      <c r="U407" s="2">
        <v>10</v>
      </c>
      <c r="V407" s="2" t="s">
        <v>188</v>
      </c>
    </row>
    <row r="408" spans="1:22">
      <c r="A408" s="2" t="s">
        <v>1961</v>
      </c>
      <c r="B408" s="2" t="s">
        <v>1961</v>
      </c>
      <c r="D408" s="2" t="s">
        <v>1959</v>
      </c>
      <c r="E408" s="2" t="s">
        <v>6195</v>
      </c>
      <c r="F408" s="2">
        <v>2</v>
      </c>
      <c r="G408" s="2">
        <v>0.2</v>
      </c>
      <c r="H408" s="2">
        <v>0</v>
      </c>
      <c r="I408" s="2">
        <v>200</v>
      </c>
      <c r="J408" s="2" t="s">
        <v>188</v>
      </c>
      <c r="M408" s="2">
        <v>0.2</v>
      </c>
      <c r="N408" s="2">
        <v>0.6</v>
      </c>
      <c r="O408" s="2" t="s">
        <v>5737</v>
      </c>
      <c r="Q408" s="2">
        <v>1995</v>
      </c>
      <c r="R408" s="2">
        <v>1995</v>
      </c>
      <c r="S408" s="2" t="s">
        <v>5738</v>
      </c>
      <c r="U408" s="2">
        <v>10</v>
      </c>
      <c r="V408" s="2" t="s">
        <v>188</v>
      </c>
    </row>
    <row r="409" spans="1:22">
      <c r="A409" s="2" t="s">
        <v>1096</v>
      </c>
      <c r="B409" s="2" t="s">
        <v>1096</v>
      </c>
      <c r="D409" s="2" t="s">
        <v>1093</v>
      </c>
      <c r="E409" s="2" t="s">
        <v>6196</v>
      </c>
      <c r="F409" s="2">
        <v>2</v>
      </c>
      <c r="G409" s="2">
        <v>0.5</v>
      </c>
      <c r="H409" s="2">
        <v>0</v>
      </c>
      <c r="I409" s="2">
        <v>500</v>
      </c>
      <c r="J409" s="2" t="s">
        <v>188</v>
      </c>
      <c r="M409" s="2">
        <v>0.5</v>
      </c>
      <c r="N409" s="2">
        <v>0.8</v>
      </c>
      <c r="O409" s="2" t="s">
        <v>5737</v>
      </c>
      <c r="Q409" s="2">
        <v>2016</v>
      </c>
      <c r="R409" s="2">
        <v>2016</v>
      </c>
      <c r="S409" s="2" t="s">
        <v>5735</v>
      </c>
      <c r="U409" s="2">
        <v>25</v>
      </c>
      <c r="V409" s="2" t="s">
        <v>188</v>
      </c>
    </row>
    <row r="410" spans="1:22">
      <c r="A410" s="2" t="s">
        <v>1096</v>
      </c>
      <c r="B410" s="2" t="s">
        <v>1096</v>
      </c>
      <c r="D410" s="2" t="s">
        <v>1093</v>
      </c>
      <c r="E410" s="2" t="s">
        <v>6197</v>
      </c>
      <c r="F410" s="2">
        <v>3</v>
      </c>
      <c r="G410" s="2">
        <v>0.8</v>
      </c>
      <c r="H410" s="2">
        <v>0</v>
      </c>
      <c r="I410" s="2">
        <v>800</v>
      </c>
      <c r="J410" s="2" t="s">
        <v>188</v>
      </c>
      <c r="M410" s="2">
        <v>0.8</v>
      </c>
      <c r="N410" s="2">
        <v>1.3</v>
      </c>
      <c r="O410" s="2" t="s">
        <v>5737</v>
      </c>
      <c r="Q410" s="2">
        <v>2000</v>
      </c>
      <c r="R410" s="2">
        <v>2000</v>
      </c>
      <c r="S410" s="2" t="s">
        <v>5735</v>
      </c>
      <c r="U410" s="2">
        <v>20</v>
      </c>
      <c r="V410" s="2" t="s">
        <v>188</v>
      </c>
    </row>
    <row r="411" spans="1:22">
      <c r="A411" s="2" t="s">
        <v>1096</v>
      </c>
      <c r="B411" s="2" t="s">
        <v>1096</v>
      </c>
      <c r="D411" s="2" t="s">
        <v>1093</v>
      </c>
      <c r="E411" s="2" t="s">
        <v>6198</v>
      </c>
      <c r="F411" s="2">
        <v>4</v>
      </c>
      <c r="G411" s="2">
        <v>0.7</v>
      </c>
      <c r="H411" s="2">
        <v>0</v>
      </c>
      <c r="I411" s="2">
        <v>700</v>
      </c>
      <c r="J411" s="2" t="s">
        <v>188</v>
      </c>
      <c r="M411" s="2">
        <v>0.7</v>
      </c>
      <c r="N411" s="2">
        <v>1.2</v>
      </c>
      <c r="O411" s="2" t="s">
        <v>5737</v>
      </c>
      <c r="Q411" s="2">
        <v>2000</v>
      </c>
      <c r="R411" s="2">
        <v>2000</v>
      </c>
      <c r="S411" s="2" t="s">
        <v>5735</v>
      </c>
      <c r="U411" s="2">
        <v>20</v>
      </c>
      <c r="V411" s="2" t="s">
        <v>188</v>
      </c>
    </row>
    <row r="412" spans="1:22">
      <c r="A412" s="2" t="s">
        <v>1096</v>
      </c>
      <c r="B412" s="2" t="s">
        <v>1096</v>
      </c>
      <c r="D412" s="2" t="s">
        <v>1093</v>
      </c>
      <c r="E412" s="2" t="s">
        <v>6199</v>
      </c>
      <c r="F412" s="2">
        <v>1</v>
      </c>
      <c r="G412" s="2">
        <v>0.7</v>
      </c>
      <c r="H412" s="2">
        <v>0</v>
      </c>
      <c r="I412" s="2">
        <v>700</v>
      </c>
      <c r="J412" s="2" t="s">
        <v>188</v>
      </c>
      <c r="M412" s="2">
        <v>0.7</v>
      </c>
      <c r="N412" s="2">
        <v>1.2</v>
      </c>
      <c r="O412" s="2" t="s">
        <v>5734</v>
      </c>
      <c r="Q412" s="2">
        <v>2000</v>
      </c>
      <c r="R412" s="2">
        <v>2000</v>
      </c>
      <c r="S412" s="2" t="s">
        <v>5735</v>
      </c>
      <c r="U412" s="2">
        <v>25</v>
      </c>
      <c r="V412" s="2" t="s">
        <v>188</v>
      </c>
    </row>
    <row r="413" spans="1:22">
      <c r="A413" s="2" t="s">
        <v>944</v>
      </c>
      <c r="B413" s="2" t="s">
        <v>944</v>
      </c>
      <c r="D413" s="2" t="s">
        <v>943</v>
      </c>
      <c r="E413" s="2" t="s">
        <v>6200</v>
      </c>
      <c r="F413" s="2">
        <v>1</v>
      </c>
      <c r="G413" s="2">
        <v>0.2</v>
      </c>
      <c r="I413" s="2">
        <v>350</v>
      </c>
      <c r="J413" s="2" t="s">
        <v>188</v>
      </c>
      <c r="M413" s="2">
        <v>0.2</v>
      </c>
      <c r="N413" s="2">
        <v>0.5</v>
      </c>
      <c r="O413" s="2" t="s">
        <v>5734</v>
      </c>
      <c r="Q413" s="2">
        <v>2007</v>
      </c>
      <c r="R413" s="2">
        <v>2007</v>
      </c>
      <c r="S413" s="2" t="s">
        <v>5738</v>
      </c>
      <c r="U413" s="2">
        <v>5</v>
      </c>
      <c r="V413" s="2" t="s">
        <v>188</v>
      </c>
    </row>
    <row r="414" spans="1:22">
      <c r="A414" s="2" t="s">
        <v>1669</v>
      </c>
      <c r="B414" s="2" t="s">
        <v>1669</v>
      </c>
      <c r="D414" s="2" t="s">
        <v>1666</v>
      </c>
      <c r="E414" s="2" t="s">
        <v>6201</v>
      </c>
      <c r="F414" s="2">
        <v>2</v>
      </c>
      <c r="G414" s="2">
        <v>1.8</v>
      </c>
      <c r="H414" s="2">
        <v>0</v>
      </c>
      <c r="I414" s="2">
        <v>1800</v>
      </c>
      <c r="J414" s="2" t="s">
        <v>187</v>
      </c>
      <c r="K414" s="2" t="s">
        <v>1523</v>
      </c>
      <c r="M414" s="2">
        <v>1.8</v>
      </c>
      <c r="N414" s="2">
        <v>5.5</v>
      </c>
      <c r="O414" s="2" t="s">
        <v>5903</v>
      </c>
      <c r="Q414" s="2">
        <v>1994</v>
      </c>
      <c r="R414" s="2">
        <v>2011</v>
      </c>
      <c r="S414" s="2" t="s">
        <v>5735</v>
      </c>
      <c r="U414" s="2">
        <v>20</v>
      </c>
      <c r="V414" s="2" t="s">
        <v>188</v>
      </c>
    </row>
    <row r="415" spans="1:22">
      <c r="A415" s="2" t="s">
        <v>1669</v>
      </c>
      <c r="B415" s="2" t="s">
        <v>1669</v>
      </c>
      <c r="D415" s="2" t="s">
        <v>1666</v>
      </c>
      <c r="E415" s="2" t="s">
        <v>6202</v>
      </c>
      <c r="F415" s="2">
        <v>1</v>
      </c>
      <c r="G415" s="2">
        <v>2</v>
      </c>
      <c r="H415" s="2">
        <v>0</v>
      </c>
      <c r="I415" s="2">
        <v>2000</v>
      </c>
      <c r="J415" s="2" t="s">
        <v>187</v>
      </c>
      <c r="K415" s="2" t="s">
        <v>1523</v>
      </c>
      <c r="M415" s="2">
        <v>2</v>
      </c>
      <c r="N415" s="2">
        <v>7.8</v>
      </c>
      <c r="O415" s="2" t="s">
        <v>5737</v>
      </c>
      <c r="Q415" s="2">
        <v>1994</v>
      </c>
      <c r="R415" s="2">
        <v>2007</v>
      </c>
      <c r="S415" s="2" t="s">
        <v>5735</v>
      </c>
      <c r="U415" s="2">
        <v>20</v>
      </c>
      <c r="V415" s="2" t="s">
        <v>188</v>
      </c>
    </row>
    <row r="416" spans="1:22">
      <c r="A416" s="2" t="s">
        <v>1114</v>
      </c>
      <c r="B416" s="2" t="s">
        <v>1114</v>
      </c>
      <c r="D416" s="2" t="s">
        <v>1111</v>
      </c>
      <c r="E416" s="2" t="s">
        <v>6203</v>
      </c>
      <c r="F416" s="2">
        <v>1</v>
      </c>
      <c r="G416" s="2">
        <v>3</v>
      </c>
      <c r="H416" s="2">
        <v>0</v>
      </c>
      <c r="I416" s="2">
        <v>3000</v>
      </c>
      <c r="J416" s="2" t="s">
        <v>188</v>
      </c>
      <c r="M416" s="2">
        <v>3</v>
      </c>
      <c r="N416" s="2">
        <v>10</v>
      </c>
      <c r="O416" s="2" t="s">
        <v>5737</v>
      </c>
      <c r="Q416" s="2">
        <v>2020</v>
      </c>
      <c r="R416" s="2">
        <v>2020</v>
      </c>
      <c r="S416" s="2" t="s">
        <v>5735</v>
      </c>
      <c r="U416" s="2">
        <v>30</v>
      </c>
      <c r="V416" s="2" t="s">
        <v>188</v>
      </c>
    </row>
    <row r="417" spans="1:22">
      <c r="A417" s="2" t="s">
        <v>1138</v>
      </c>
      <c r="B417" s="2" t="s">
        <v>1138</v>
      </c>
      <c r="D417" s="2" t="s">
        <v>1137</v>
      </c>
      <c r="E417" s="2" t="s">
        <v>6204</v>
      </c>
      <c r="F417" s="2">
        <v>1</v>
      </c>
      <c r="G417" s="2">
        <v>0.7</v>
      </c>
      <c r="I417" s="2">
        <v>700</v>
      </c>
      <c r="K417" s="2" t="s">
        <v>5773</v>
      </c>
      <c r="M417" s="2">
        <v>0.7</v>
      </c>
      <c r="N417" s="2">
        <v>2.2000000000000002</v>
      </c>
      <c r="O417" s="2" t="s">
        <v>5737</v>
      </c>
      <c r="Q417" s="2">
        <v>2010</v>
      </c>
      <c r="R417" s="2">
        <v>2010</v>
      </c>
      <c r="S417" s="2" t="s">
        <v>5738</v>
      </c>
      <c r="U417" s="2">
        <v>8</v>
      </c>
      <c r="V417" s="2" t="s">
        <v>188</v>
      </c>
    </row>
    <row r="418" spans="1:22">
      <c r="A418" s="2" t="s">
        <v>1119</v>
      </c>
      <c r="B418" s="2" t="s">
        <v>1119</v>
      </c>
      <c r="D418" s="2" t="s">
        <v>1117</v>
      </c>
      <c r="E418" s="2" t="s">
        <v>6205</v>
      </c>
      <c r="F418" s="2">
        <v>1</v>
      </c>
      <c r="G418" s="2">
        <v>1</v>
      </c>
      <c r="H418" s="2">
        <v>0</v>
      </c>
      <c r="I418" s="2">
        <v>1000</v>
      </c>
      <c r="J418" s="2" t="s">
        <v>188</v>
      </c>
      <c r="M418" s="2">
        <v>1</v>
      </c>
      <c r="N418" s="2">
        <v>4</v>
      </c>
      <c r="O418" s="2" t="s">
        <v>5737</v>
      </c>
      <c r="Q418" s="2">
        <v>2000</v>
      </c>
      <c r="R418" s="2">
        <v>2000</v>
      </c>
      <c r="S418" s="2" t="s">
        <v>5739</v>
      </c>
      <c r="U418" s="2">
        <v>30</v>
      </c>
      <c r="V418" s="2" t="s">
        <v>188</v>
      </c>
    </row>
    <row r="419" spans="1:22">
      <c r="A419" s="2" t="s">
        <v>1119</v>
      </c>
      <c r="B419" s="2" t="s">
        <v>1119</v>
      </c>
      <c r="D419" s="2" t="s">
        <v>1117</v>
      </c>
      <c r="E419" s="2" t="s">
        <v>6206</v>
      </c>
      <c r="F419" s="2">
        <v>2</v>
      </c>
      <c r="G419" s="2">
        <v>1</v>
      </c>
      <c r="H419" s="2">
        <v>0</v>
      </c>
      <c r="I419" s="2">
        <v>1000</v>
      </c>
      <c r="J419" s="2" t="s">
        <v>188</v>
      </c>
      <c r="M419" s="2">
        <v>1</v>
      </c>
      <c r="N419" s="2">
        <v>3.5</v>
      </c>
      <c r="O419" s="2" t="s">
        <v>5734</v>
      </c>
      <c r="Q419" s="2">
        <v>2000</v>
      </c>
      <c r="R419" s="2">
        <v>2000</v>
      </c>
      <c r="S419" s="2" t="s">
        <v>5739</v>
      </c>
      <c r="U419" s="2">
        <v>20</v>
      </c>
      <c r="V419" s="2" t="s">
        <v>188</v>
      </c>
    </row>
    <row r="420" spans="1:22">
      <c r="A420" s="2" t="s">
        <v>1157</v>
      </c>
      <c r="B420" s="2" t="s">
        <v>1157</v>
      </c>
      <c r="D420" s="2" t="s">
        <v>1156</v>
      </c>
      <c r="E420" s="2" t="s">
        <v>6207</v>
      </c>
      <c r="F420" s="2">
        <v>1</v>
      </c>
      <c r="G420" s="2">
        <v>0.15</v>
      </c>
      <c r="I420" s="2">
        <v>150</v>
      </c>
      <c r="J420" s="2" t="s">
        <v>187</v>
      </c>
      <c r="K420" s="2" t="s">
        <v>308</v>
      </c>
      <c r="M420" s="2">
        <v>0.15</v>
      </c>
      <c r="N420" s="2">
        <v>0.35</v>
      </c>
      <c r="O420" s="2" t="s">
        <v>5737</v>
      </c>
      <c r="Q420" s="2">
        <v>1999</v>
      </c>
      <c r="R420" s="2">
        <v>1999</v>
      </c>
      <c r="S420" s="2" t="s">
        <v>5735</v>
      </c>
      <c r="U420" s="2">
        <v>7</v>
      </c>
      <c r="V420" s="2" t="s">
        <v>188</v>
      </c>
    </row>
    <row r="421" spans="1:22">
      <c r="A421" s="2" t="s">
        <v>1157</v>
      </c>
      <c r="B421" s="2" t="s">
        <v>1157</v>
      </c>
      <c r="D421" s="2" t="s">
        <v>1156</v>
      </c>
      <c r="E421" s="2" t="s">
        <v>6208</v>
      </c>
      <c r="F421" s="2">
        <v>2</v>
      </c>
      <c r="G421" s="2">
        <v>0.15</v>
      </c>
      <c r="I421" s="2">
        <v>150</v>
      </c>
      <c r="J421" s="2" t="s">
        <v>187</v>
      </c>
      <c r="K421" s="2" t="s">
        <v>308</v>
      </c>
      <c r="O421" s="2" t="s">
        <v>5737</v>
      </c>
      <c r="Q421" s="2">
        <v>2025</v>
      </c>
      <c r="R421" s="2">
        <v>2025</v>
      </c>
      <c r="S421" s="2" t="s">
        <v>288</v>
      </c>
      <c r="T421" s="2" t="s">
        <v>6209</v>
      </c>
      <c r="U421" s="2">
        <v>8</v>
      </c>
      <c r="V421" s="2" t="s">
        <v>188</v>
      </c>
    </row>
    <row r="422" spans="1:22">
      <c r="A422" s="2" t="s">
        <v>1695</v>
      </c>
      <c r="B422" s="2" t="s">
        <v>1696</v>
      </c>
      <c r="D422" s="2" t="s">
        <v>1694</v>
      </c>
      <c r="E422" s="2" t="s">
        <v>6210</v>
      </c>
      <c r="F422" s="2">
        <v>2</v>
      </c>
      <c r="G422" s="2">
        <v>0.7</v>
      </c>
      <c r="H422" s="2">
        <v>0</v>
      </c>
      <c r="I422" s="2">
        <v>700</v>
      </c>
      <c r="J422" s="2" t="s">
        <v>188</v>
      </c>
      <c r="M422" s="2">
        <v>0.7</v>
      </c>
      <c r="N422" s="2">
        <v>2.4</v>
      </c>
      <c r="O422" s="2" t="s">
        <v>5903</v>
      </c>
      <c r="Q422" s="2">
        <v>1997</v>
      </c>
      <c r="R422" s="2">
        <v>1997</v>
      </c>
      <c r="S422" s="2" t="s">
        <v>5738</v>
      </c>
      <c r="U422" s="2">
        <v>20</v>
      </c>
      <c r="V422" s="2" t="s">
        <v>188</v>
      </c>
    </row>
    <row r="423" spans="1:22">
      <c r="A423" s="2" t="s">
        <v>1695</v>
      </c>
      <c r="B423" s="2" t="s">
        <v>1696</v>
      </c>
      <c r="D423" s="2" t="s">
        <v>1694</v>
      </c>
      <c r="E423" s="2" t="s">
        <v>6211</v>
      </c>
      <c r="F423" s="2">
        <v>1</v>
      </c>
      <c r="G423" s="2">
        <v>0.8</v>
      </c>
      <c r="H423" s="2">
        <v>0</v>
      </c>
      <c r="I423" s="2">
        <v>800</v>
      </c>
      <c r="J423" s="2" t="s">
        <v>188</v>
      </c>
      <c r="M423" s="2">
        <v>0.8</v>
      </c>
      <c r="N423" s="2">
        <v>3</v>
      </c>
      <c r="O423" s="2" t="s">
        <v>5734</v>
      </c>
      <c r="Q423" s="2">
        <v>1997</v>
      </c>
      <c r="R423" s="2">
        <v>1997</v>
      </c>
      <c r="S423" s="2" t="s">
        <v>5738</v>
      </c>
      <c r="U423" s="2">
        <v>20</v>
      </c>
      <c r="V423" s="2" t="s">
        <v>188</v>
      </c>
    </row>
    <row r="424" spans="1:22">
      <c r="A424" s="2" t="s">
        <v>1155</v>
      </c>
      <c r="B424" s="2" t="s">
        <v>1155</v>
      </c>
      <c r="D424" s="2" t="s">
        <v>1154</v>
      </c>
      <c r="E424" s="2" t="s">
        <v>6212</v>
      </c>
      <c r="F424" s="2">
        <v>1</v>
      </c>
      <c r="G424" s="2">
        <v>0.4</v>
      </c>
      <c r="I424" s="2">
        <v>420</v>
      </c>
      <c r="J424" s="2" t="s">
        <v>188</v>
      </c>
      <c r="M424" s="2">
        <v>0.4</v>
      </c>
      <c r="N424" s="2">
        <v>1.3</v>
      </c>
      <c r="O424" s="2" t="s">
        <v>5737</v>
      </c>
      <c r="Q424" s="2">
        <v>1994</v>
      </c>
      <c r="R424" s="2">
        <v>2012</v>
      </c>
      <c r="S424" s="2" t="s">
        <v>5735</v>
      </c>
      <c r="U424" s="2">
        <v>8</v>
      </c>
      <c r="V424" s="2" t="s">
        <v>188</v>
      </c>
    </row>
    <row r="425" spans="1:22">
      <c r="A425" s="2" t="s">
        <v>1124</v>
      </c>
      <c r="B425" s="2" t="s">
        <v>1125</v>
      </c>
      <c r="D425" s="2" t="s">
        <v>1122</v>
      </c>
      <c r="E425" s="2" t="s">
        <v>6213</v>
      </c>
      <c r="F425" s="2">
        <v>1</v>
      </c>
      <c r="G425" s="2">
        <v>1</v>
      </c>
      <c r="H425" s="2">
        <v>0</v>
      </c>
      <c r="I425" s="2">
        <v>1000</v>
      </c>
      <c r="J425" s="2" t="s">
        <v>188</v>
      </c>
      <c r="M425" s="2">
        <v>1</v>
      </c>
      <c r="N425" s="2">
        <v>2.5</v>
      </c>
      <c r="O425" s="2" t="s">
        <v>5737</v>
      </c>
      <c r="Q425" s="2">
        <v>2015</v>
      </c>
      <c r="R425" s="2">
        <v>2015</v>
      </c>
      <c r="S425" s="2" t="s">
        <v>5739</v>
      </c>
      <c r="U425" s="2">
        <v>25</v>
      </c>
      <c r="V425" s="2" t="s">
        <v>188</v>
      </c>
    </row>
    <row r="426" spans="1:22">
      <c r="A426" s="2" t="s">
        <v>1129</v>
      </c>
      <c r="B426" s="2" t="s">
        <v>1129</v>
      </c>
      <c r="D426" s="2" t="s">
        <v>1128</v>
      </c>
      <c r="E426" s="2" t="s">
        <v>6214</v>
      </c>
      <c r="F426" s="2">
        <v>1</v>
      </c>
      <c r="G426" s="2">
        <v>2.2000000000000002</v>
      </c>
      <c r="I426" s="2">
        <v>1800</v>
      </c>
      <c r="J426" s="2" t="s">
        <v>187</v>
      </c>
      <c r="K426" s="2" t="s">
        <v>308</v>
      </c>
      <c r="M426" s="2">
        <v>2.2000000000000002</v>
      </c>
      <c r="N426" s="2">
        <v>4.5999999999999996</v>
      </c>
      <c r="O426" s="2" t="s">
        <v>5737</v>
      </c>
      <c r="Q426" s="2">
        <v>2016</v>
      </c>
      <c r="R426" s="2">
        <v>2016</v>
      </c>
      <c r="S426" s="2" t="s">
        <v>5735</v>
      </c>
      <c r="U426" s="2">
        <v>9</v>
      </c>
      <c r="V426" s="2" t="s">
        <v>188</v>
      </c>
    </row>
    <row r="427" spans="1:22">
      <c r="A427" s="2" t="s">
        <v>1722</v>
      </c>
      <c r="B427" s="2" t="s">
        <v>1722</v>
      </c>
      <c r="D427" s="2" t="s">
        <v>1720</v>
      </c>
      <c r="E427" s="2" t="s">
        <v>6215</v>
      </c>
      <c r="F427" s="2">
        <v>1</v>
      </c>
      <c r="G427" s="2">
        <v>0.5</v>
      </c>
      <c r="H427" s="2">
        <v>0</v>
      </c>
      <c r="I427" s="2">
        <v>500</v>
      </c>
      <c r="J427" s="2" t="s">
        <v>188</v>
      </c>
      <c r="M427" s="2">
        <v>0.5</v>
      </c>
      <c r="N427" s="2">
        <v>1</v>
      </c>
      <c r="O427" s="2" t="s">
        <v>5737</v>
      </c>
      <c r="Q427" s="2">
        <v>1995</v>
      </c>
      <c r="R427" s="2">
        <v>2005</v>
      </c>
      <c r="S427" s="2" t="s">
        <v>5735</v>
      </c>
      <c r="U427" s="2">
        <v>25</v>
      </c>
      <c r="V427" s="2" t="s">
        <v>188</v>
      </c>
    </row>
    <row r="428" spans="1:22">
      <c r="A428" s="2" t="s">
        <v>1722</v>
      </c>
      <c r="B428" s="2" t="s">
        <v>1722</v>
      </c>
      <c r="D428" s="2" t="s">
        <v>1720</v>
      </c>
      <c r="E428" s="2" t="s">
        <v>6216</v>
      </c>
      <c r="F428" s="2">
        <v>2</v>
      </c>
      <c r="G428" s="2">
        <v>0.9</v>
      </c>
      <c r="H428" s="2">
        <v>0</v>
      </c>
      <c r="I428" s="2">
        <v>900</v>
      </c>
      <c r="J428" s="2" t="s">
        <v>188</v>
      </c>
      <c r="M428" s="2">
        <v>0.9</v>
      </c>
      <c r="N428" s="2">
        <v>4</v>
      </c>
      <c r="O428" s="2" t="s">
        <v>5903</v>
      </c>
      <c r="Q428" s="2">
        <v>1997</v>
      </c>
      <c r="R428" s="2">
        <v>1997</v>
      </c>
      <c r="S428" s="2" t="s">
        <v>5738</v>
      </c>
      <c r="U428" s="2">
        <v>25</v>
      </c>
      <c r="V428" s="2" t="s">
        <v>188</v>
      </c>
    </row>
    <row r="429" spans="1:22">
      <c r="A429" s="2" t="s">
        <v>1133</v>
      </c>
      <c r="B429" s="2" t="s">
        <v>1134</v>
      </c>
      <c r="D429" s="2" t="s">
        <v>1131</v>
      </c>
      <c r="E429" s="2" t="s">
        <v>6217</v>
      </c>
      <c r="F429" s="2">
        <v>1</v>
      </c>
      <c r="G429" s="2">
        <v>1</v>
      </c>
      <c r="H429" s="2">
        <v>0</v>
      </c>
      <c r="I429" s="2">
        <v>1000</v>
      </c>
      <c r="J429" s="2" t="s">
        <v>187</v>
      </c>
      <c r="K429" s="2" t="s">
        <v>308</v>
      </c>
      <c r="M429" s="2">
        <v>1</v>
      </c>
      <c r="N429" s="2">
        <v>3</v>
      </c>
      <c r="O429" s="2" t="s">
        <v>5737</v>
      </c>
      <c r="Q429" s="2">
        <v>2010</v>
      </c>
      <c r="R429" s="2">
        <v>2010</v>
      </c>
      <c r="S429" s="2" t="s">
        <v>5735</v>
      </c>
      <c r="U429" s="2">
        <v>20</v>
      </c>
      <c r="V429" s="2" t="s">
        <v>188</v>
      </c>
    </row>
    <row r="430" spans="1:22">
      <c r="A430" s="2" t="s">
        <v>1024</v>
      </c>
      <c r="B430" s="2" t="s">
        <v>1025</v>
      </c>
      <c r="D430" s="2" t="s">
        <v>1023</v>
      </c>
      <c r="E430" s="2" t="s">
        <v>6218</v>
      </c>
      <c r="F430" s="2">
        <v>1</v>
      </c>
      <c r="G430" s="2">
        <v>0.32</v>
      </c>
      <c r="I430" s="2">
        <v>320</v>
      </c>
      <c r="J430" s="2" t="s">
        <v>188</v>
      </c>
      <c r="M430" s="2">
        <v>0.32</v>
      </c>
      <c r="N430" s="2">
        <v>0.65</v>
      </c>
      <c r="O430" s="2" t="s">
        <v>5737</v>
      </c>
      <c r="Q430" s="2">
        <v>2017</v>
      </c>
      <c r="R430" s="2">
        <v>2017</v>
      </c>
      <c r="S430" s="2" t="s">
        <v>5735</v>
      </c>
      <c r="U430" s="2">
        <v>6</v>
      </c>
      <c r="V430" s="2" t="s">
        <v>188</v>
      </c>
    </row>
    <row r="431" spans="1:22">
      <c r="A431" s="2" t="s">
        <v>1024</v>
      </c>
      <c r="B431" s="2" t="s">
        <v>1025</v>
      </c>
      <c r="D431" s="2" t="s">
        <v>1023</v>
      </c>
      <c r="E431" s="2" t="s">
        <v>6219</v>
      </c>
      <c r="F431" s="2">
        <v>2</v>
      </c>
      <c r="G431" s="2">
        <v>0.28000000000000003</v>
      </c>
      <c r="I431" s="2">
        <v>280</v>
      </c>
      <c r="J431" s="2" t="s">
        <v>188</v>
      </c>
      <c r="M431" s="2">
        <v>0.28000000000000003</v>
      </c>
      <c r="N431" s="2">
        <v>0.45</v>
      </c>
      <c r="O431" s="2" t="s">
        <v>5737</v>
      </c>
      <c r="Q431" s="2">
        <v>2017</v>
      </c>
      <c r="R431" s="2">
        <v>2017</v>
      </c>
      <c r="S431" s="2" t="s">
        <v>288</v>
      </c>
      <c r="T431" s="2" t="s">
        <v>6220</v>
      </c>
      <c r="U431" s="2">
        <v>7</v>
      </c>
      <c r="V431" s="2" t="s">
        <v>188</v>
      </c>
    </row>
    <row r="432" spans="1:22">
      <c r="A432" s="2" t="s">
        <v>1024</v>
      </c>
      <c r="B432" s="2" t="s">
        <v>1025</v>
      </c>
      <c r="D432" s="2" t="s">
        <v>1023</v>
      </c>
      <c r="E432" s="2" t="s">
        <v>6221</v>
      </c>
      <c r="F432" s="2">
        <v>4</v>
      </c>
      <c r="G432" s="2">
        <v>0.24</v>
      </c>
      <c r="I432" s="2">
        <v>240</v>
      </c>
      <c r="J432" s="2" t="s">
        <v>188</v>
      </c>
      <c r="M432" s="2">
        <v>0.24</v>
      </c>
      <c r="N432" s="2">
        <v>0.4</v>
      </c>
      <c r="O432" s="2" t="s">
        <v>5734</v>
      </c>
      <c r="Q432" s="2">
        <v>2022</v>
      </c>
      <c r="R432" s="2">
        <v>2022</v>
      </c>
      <c r="S432" s="2" t="s">
        <v>5735</v>
      </c>
      <c r="U432" s="2">
        <v>7</v>
      </c>
      <c r="V432" s="2" t="s">
        <v>188</v>
      </c>
    </row>
    <row r="433" spans="1:22">
      <c r="A433" s="2" t="s">
        <v>1024</v>
      </c>
      <c r="B433" s="2" t="s">
        <v>1025</v>
      </c>
      <c r="D433" s="2" t="s">
        <v>1023</v>
      </c>
      <c r="E433" s="2" t="s">
        <v>6222</v>
      </c>
      <c r="F433" s="2">
        <v>3</v>
      </c>
      <c r="G433" s="2">
        <v>0.2</v>
      </c>
      <c r="I433" s="2">
        <v>200</v>
      </c>
      <c r="J433" s="2" t="s">
        <v>188</v>
      </c>
      <c r="M433" s="2">
        <v>0.2</v>
      </c>
      <c r="N433" s="2">
        <v>0.3</v>
      </c>
      <c r="O433" s="2" t="s">
        <v>5737</v>
      </c>
      <c r="Q433" s="2">
        <v>2023</v>
      </c>
      <c r="R433" s="2">
        <v>2023</v>
      </c>
      <c r="S433" s="2" t="s">
        <v>288</v>
      </c>
      <c r="T433" s="2" t="s">
        <v>308</v>
      </c>
      <c r="U433" s="2">
        <v>7</v>
      </c>
      <c r="V433" s="2" t="s">
        <v>188</v>
      </c>
    </row>
    <row r="434" spans="1:22">
      <c r="A434" s="2" t="s">
        <v>1142</v>
      </c>
      <c r="B434" s="2" t="s">
        <v>1143</v>
      </c>
      <c r="D434" s="2" t="s">
        <v>1139</v>
      </c>
      <c r="E434" s="2" t="s">
        <v>6223</v>
      </c>
      <c r="F434" s="2">
        <v>1</v>
      </c>
      <c r="G434" s="2">
        <v>0.7</v>
      </c>
      <c r="H434" s="2">
        <v>0</v>
      </c>
      <c r="I434" s="2">
        <v>700</v>
      </c>
      <c r="J434" s="2" t="s">
        <v>188</v>
      </c>
      <c r="M434" s="2">
        <v>0.7</v>
      </c>
      <c r="N434" s="2">
        <v>2</v>
      </c>
      <c r="O434" s="2" t="s">
        <v>5737</v>
      </c>
      <c r="Q434" s="2">
        <v>2005</v>
      </c>
      <c r="R434" s="2">
        <v>2005</v>
      </c>
      <c r="S434" s="2" t="s">
        <v>5739</v>
      </c>
      <c r="U434" s="2">
        <v>20</v>
      </c>
      <c r="V434" s="2" t="s">
        <v>188</v>
      </c>
    </row>
    <row r="435" spans="1:22">
      <c r="A435" s="2" t="s">
        <v>1764</v>
      </c>
      <c r="B435" s="2" t="s">
        <v>1764</v>
      </c>
      <c r="D435" s="2" t="s">
        <v>1762</v>
      </c>
      <c r="E435" s="2" t="s">
        <v>6224</v>
      </c>
      <c r="F435" s="2">
        <v>1</v>
      </c>
      <c r="G435" s="2">
        <v>1</v>
      </c>
      <c r="H435" s="2">
        <v>0</v>
      </c>
      <c r="I435" s="2">
        <v>1000</v>
      </c>
      <c r="J435" s="2" t="s">
        <v>188</v>
      </c>
      <c r="M435" s="2">
        <v>1</v>
      </c>
      <c r="N435" s="2">
        <v>4</v>
      </c>
      <c r="O435" s="2" t="s">
        <v>5903</v>
      </c>
      <c r="Q435" s="2">
        <v>1997</v>
      </c>
      <c r="R435" s="2">
        <v>1997</v>
      </c>
      <c r="S435" s="2" t="s">
        <v>5742</v>
      </c>
      <c r="U435" s="2">
        <v>18</v>
      </c>
      <c r="V435" s="2" t="s">
        <v>188</v>
      </c>
    </row>
    <row r="436" spans="1:22">
      <c r="A436" s="2" t="s">
        <v>953</v>
      </c>
      <c r="B436" s="2" t="s">
        <v>953</v>
      </c>
      <c r="D436" s="2" t="s">
        <v>952</v>
      </c>
      <c r="E436" s="2" t="s">
        <v>6225</v>
      </c>
      <c r="F436" s="2">
        <v>2</v>
      </c>
      <c r="G436" s="2">
        <v>0.1</v>
      </c>
      <c r="I436" s="2">
        <v>120</v>
      </c>
      <c r="J436" s="2" t="s">
        <v>188</v>
      </c>
      <c r="M436" s="2">
        <v>0.1</v>
      </c>
      <c r="N436" s="2">
        <v>0.1</v>
      </c>
      <c r="O436" s="2" t="s">
        <v>5734</v>
      </c>
      <c r="Q436" s="2">
        <v>1996</v>
      </c>
      <c r="R436" s="2">
        <v>1996</v>
      </c>
      <c r="S436" s="2" t="s">
        <v>5738</v>
      </c>
      <c r="U436" s="2">
        <v>7</v>
      </c>
      <c r="V436" s="2" t="s">
        <v>188</v>
      </c>
    </row>
    <row r="437" spans="1:22">
      <c r="A437" s="2" t="s">
        <v>953</v>
      </c>
      <c r="B437" s="2" t="s">
        <v>953</v>
      </c>
      <c r="D437" s="2" t="s">
        <v>952</v>
      </c>
      <c r="E437" s="2" t="s">
        <v>6226</v>
      </c>
      <c r="F437" s="2">
        <v>4</v>
      </c>
      <c r="G437" s="2">
        <v>0.1</v>
      </c>
      <c r="I437" s="2">
        <v>120</v>
      </c>
      <c r="J437" s="2" t="s">
        <v>188</v>
      </c>
      <c r="M437" s="2">
        <v>0.1</v>
      </c>
      <c r="N437" s="2">
        <v>0.1</v>
      </c>
      <c r="O437" s="2" t="s">
        <v>5734</v>
      </c>
      <c r="Q437" s="2">
        <v>1996</v>
      </c>
      <c r="R437" s="2">
        <v>1996</v>
      </c>
      <c r="S437" s="2" t="s">
        <v>5738</v>
      </c>
      <c r="U437" s="2">
        <v>7</v>
      </c>
      <c r="V437" s="2" t="s">
        <v>188</v>
      </c>
    </row>
    <row r="438" spans="1:22">
      <c r="A438" s="2" t="s">
        <v>953</v>
      </c>
      <c r="B438" s="2" t="s">
        <v>953</v>
      </c>
      <c r="D438" s="2" t="s">
        <v>952</v>
      </c>
      <c r="E438" s="2" t="s">
        <v>6227</v>
      </c>
      <c r="F438" s="2">
        <v>1</v>
      </c>
      <c r="G438" s="2">
        <v>0.3</v>
      </c>
      <c r="I438" s="2">
        <v>300</v>
      </c>
      <c r="J438" s="2" t="s">
        <v>188</v>
      </c>
      <c r="M438" s="2">
        <v>0.3</v>
      </c>
      <c r="N438" s="2">
        <v>0.4</v>
      </c>
      <c r="O438" s="2" t="s">
        <v>5737</v>
      </c>
      <c r="Q438" s="2">
        <v>2018</v>
      </c>
      <c r="R438" s="2">
        <v>2018</v>
      </c>
      <c r="S438" s="2" t="s">
        <v>6228</v>
      </c>
      <c r="T438" s="2" t="s">
        <v>6220</v>
      </c>
      <c r="U438" s="2">
        <v>8</v>
      </c>
      <c r="V438" s="2" t="s">
        <v>188</v>
      </c>
    </row>
    <row r="439" spans="1:22">
      <c r="A439" s="2" t="s">
        <v>953</v>
      </c>
      <c r="B439" s="2" t="s">
        <v>953</v>
      </c>
      <c r="D439" s="2" t="s">
        <v>952</v>
      </c>
      <c r="E439" s="2" t="s">
        <v>6229</v>
      </c>
      <c r="F439" s="2">
        <v>3</v>
      </c>
      <c r="G439" s="2">
        <v>0.1</v>
      </c>
      <c r="I439" s="2">
        <v>120</v>
      </c>
      <c r="J439" s="2" t="s">
        <v>188</v>
      </c>
      <c r="M439" s="2">
        <v>0.1</v>
      </c>
      <c r="N439" s="2">
        <v>0.1</v>
      </c>
      <c r="O439" s="2" t="s">
        <v>5734</v>
      </c>
      <c r="Q439" s="2">
        <v>1996</v>
      </c>
      <c r="R439" s="2">
        <v>1996</v>
      </c>
      <c r="S439" s="2" t="s">
        <v>5738</v>
      </c>
      <c r="U439" s="2">
        <v>7</v>
      </c>
      <c r="V439" s="2" t="s">
        <v>188</v>
      </c>
    </row>
    <row r="440" spans="1:22">
      <c r="A440" s="2" t="s">
        <v>1150</v>
      </c>
      <c r="B440" s="2" t="s">
        <v>1150</v>
      </c>
      <c r="D440" s="2" t="s">
        <v>1148</v>
      </c>
      <c r="E440" s="2" t="s">
        <v>6230</v>
      </c>
      <c r="F440" s="2">
        <v>1</v>
      </c>
      <c r="G440" s="2">
        <v>0.5</v>
      </c>
      <c r="H440" s="2">
        <v>0</v>
      </c>
      <c r="I440" s="2">
        <v>500</v>
      </c>
      <c r="J440" s="2" t="s">
        <v>187</v>
      </c>
      <c r="K440" s="2" t="s">
        <v>1523</v>
      </c>
      <c r="M440" s="2">
        <v>0.5</v>
      </c>
      <c r="N440" s="2">
        <v>1.2</v>
      </c>
      <c r="O440" s="2" t="s">
        <v>5737</v>
      </c>
      <c r="Q440" s="2">
        <v>1996</v>
      </c>
      <c r="R440" s="2">
        <v>1996</v>
      </c>
      <c r="S440" s="2" t="s">
        <v>288</v>
      </c>
      <c r="T440" s="2" t="s">
        <v>308</v>
      </c>
      <c r="U440" s="2">
        <v>25</v>
      </c>
      <c r="V440" s="2" t="s">
        <v>188</v>
      </c>
    </row>
    <row r="441" spans="1:22">
      <c r="A441" s="2" t="s">
        <v>1043</v>
      </c>
      <c r="B441" s="2" t="s">
        <v>1043</v>
      </c>
      <c r="D441" s="2" t="s">
        <v>1042</v>
      </c>
      <c r="E441" s="2" t="s">
        <v>6231</v>
      </c>
      <c r="F441" s="2">
        <v>5</v>
      </c>
      <c r="G441" s="2">
        <v>0.2</v>
      </c>
      <c r="I441" s="2">
        <v>220</v>
      </c>
      <c r="J441" s="2" t="s">
        <v>188</v>
      </c>
      <c r="M441" s="2">
        <v>0.2</v>
      </c>
      <c r="N441" s="2">
        <v>0.2</v>
      </c>
      <c r="O441" s="2" t="s">
        <v>5734</v>
      </c>
      <c r="Q441" s="2">
        <v>1993</v>
      </c>
      <c r="R441" s="2">
        <v>2017</v>
      </c>
      <c r="S441" s="2" t="s">
        <v>5735</v>
      </c>
      <c r="U441" s="2">
        <v>10</v>
      </c>
      <c r="V441" s="2" t="s">
        <v>188</v>
      </c>
    </row>
    <row r="442" spans="1:22">
      <c r="A442" s="2" t="s">
        <v>1043</v>
      </c>
      <c r="B442" s="2" t="s">
        <v>1043</v>
      </c>
      <c r="D442" s="2" t="s">
        <v>1042</v>
      </c>
      <c r="E442" s="2" t="s">
        <v>6232</v>
      </c>
      <c r="F442" s="2">
        <v>2</v>
      </c>
      <c r="G442" s="2">
        <v>0.4</v>
      </c>
      <c r="I442" s="2">
        <v>400</v>
      </c>
      <c r="J442" s="2" t="s">
        <v>188</v>
      </c>
      <c r="M442" s="2">
        <v>0.4</v>
      </c>
      <c r="N442" s="2">
        <v>0.4</v>
      </c>
      <c r="O442" s="2" t="s">
        <v>5734</v>
      </c>
      <c r="Q442" s="2">
        <v>1993</v>
      </c>
      <c r="R442" s="2">
        <v>1993</v>
      </c>
      <c r="S442" s="2" t="s">
        <v>5738</v>
      </c>
      <c r="U442" s="2">
        <v>10</v>
      </c>
      <c r="V442" s="2" t="s">
        <v>188</v>
      </c>
    </row>
    <row r="443" spans="1:22">
      <c r="A443" s="2" t="s">
        <v>1043</v>
      </c>
      <c r="B443" s="2" t="s">
        <v>1043</v>
      </c>
      <c r="D443" s="2" t="s">
        <v>1042</v>
      </c>
      <c r="E443" s="2" t="s">
        <v>6233</v>
      </c>
      <c r="F443" s="2">
        <v>3</v>
      </c>
      <c r="G443" s="2">
        <v>0.4</v>
      </c>
      <c r="I443" s="2">
        <v>400</v>
      </c>
      <c r="J443" s="2" t="s">
        <v>188</v>
      </c>
      <c r="M443" s="2">
        <v>0.4</v>
      </c>
      <c r="N443" s="2">
        <v>0.4</v>
      </c>
      <c r="O443" s="2" t="s">
        <v>5734</v>
      </c>
      <c r="Q443" s="2">
        <v>1993</v>
      </c>
      <c r="R443" s="2">
        <v>2017</v>
      </c>
      <c r="S443" s="2" t="s">
        <v>5735</v>
      </c>
      <c r="U443" s="2">
        <v>10</v>
      </c>
      <c r="V443" s="2" t="s">
        <v>188</v>
      </c>
    </row>
    <row r="444" spans="1:22">
      <c r="A444" s="2" t="s">
        <v>1043</v>
      </c>
      <c r="B444" s="2" t="s">
        <v>1043</v>
      </c>
      <c r="D444" s="2" t="s">
        <v>1042</v>
      </c>
      <c r="E444" s="2" t="s">
        <v>6234</v>
      </c>
      <c r="F444" s="2">
        <v>4</v>
      </c>
      <c r="G444" s="2">
        <v>0.6</v>
      </c>
      <c r="I444" s="2">
        <v>600</v>
      </c>
      <c r="J444" s="2" t="s">
        <v>188</v>
      </c>
      <c r="M444" s="2">
        <v>0.6</v>
      </c>
      <c r="N444" s="2">
        <v>0.6</v>
      </c>
      <c r="O444" s="2" t="s">
        <v>5734</v>
      </c>
      <c r="Q444" s="2">
        <v>1993</v>
      </c>
      <c r="R444" s="2">
        <v>2017</v>
      </c>
      <c r="S444" s="2" t="s">
        <v>5735</v>
      </c>
      <c r="U444" s="2">
        <v>10</v>
      </c>
      <c r="V444" s="2" t="s">
        <v>188</v>
      </c>
    </row>
    <row r="445" spans="1:22">
      <c r="A445" s="2" t="s">
        <v>1043</v>
      </c>
      <c r="B445" s="2" t="s">
        <v>1043</v>
      </c>
      <c r="D445" s="2" t="s">
        <v>1042</v>
      </c>
      <c r="E445" s="2" t="s">
        <v>6235</v>
      </c>
      <c r="F445" s="2">
        <v>1</v>
      </c>
      <c r="G445" s="2">
        <v>0.4</v>
      </c>
      <c r="I445" s="2">
        <v>410</v>
      </c>
      <c r="J445" s="2" t="s">
        <v>188</v>
      </c>
      <c r="M445" s="2">
        <v>0.4</v>
      </c>
      <c r="N445" s="2">
        <v>0.4</v>
      </c>
      <c r="O445" s="2" t="s">
        <v>5737</v>
      </c>
      <c r="Q445" s="2">
        <v>2017</v>
      </c>
      <c r="R445" s="2">
        <v>2017</v>
      </c>
      <c r="S445" s="2" t="s">
        <v>6228</v>
      </c>
      <c r="T445" s="2" t="s">
        <v>6220</v>
      </c>
      <c r="U445" s="2">
        <v>10</v>
      </c>
      <c r="V445" s="2" t="s">
        <v>188</v>
      </c>
    </row>
    <row r="446" spans="1:22">
      <c r="A446" s="2" t="s">
        <v>1213</v>
      </c>
      <c r="B446" s="2" t="s">
        <v>1213</v>
      </c>
      <c r="D446" s="2" t="s">
        <v>1210</v>
      </c>
      <c r="E446" s="2" t="s">
        <v>6236</v>
      </c>
      <c r="F446" s="2">
        <v>1</v>
      </c>
      <c r="G446" s="2">
        <v>0.3</v>
      </c>
      <c r="H446" s="2">
        <v>0</v>
      </c>
      <c r="I446" s="2">
        <v>300</v>
      </c>
      <c r="J446" s="2" t="s">
        <v>188</v>
      </c>
      <c r="M446" s="2">
        <v>0.3</v>
      </c>
      <c r="N446" s="2">
        <v>0.6</v>
      </c>
      <c r="O446" s="2" t="s">
        <v>5737</v>
      </c>
      <c r="Q446" s="2">
        <v>2010</v>
      </c>
      <c r="R446" s="2">
        <v>2010</v>
      </c>
      <c r="S446" s="2" t="s">
        <v>288</v>
      </c>
      <c r="T446" s="2" t="s">
        <v>5810</v>
      </c>
      <c r="U446" s="2">
        <v>20</v>
      </c>
      <c r="V446" s="2" t="s">
        <v>188</v>
      </c>
    </row>
    <row r="447" spans="1:22">
      <c r="A447" s="2" t="s">
        <v>1714</v>
      </c>
      <c r="B447" s="2" t="s">
        <v>1714</v>
      </c>
      <c r="D447" s="2" t="s">
        <v>1795</v>
      </c>
      <c r="E447" s="2" t="s">
        <v>6237</v>
      </c>
      <c r="F447" s="2">
        <v>3</v>
      </c>
      <c r="G447" s="2">
        <v>0.8</v>
      </c>
      <c r="H447" s="2">
        <v>0</v>
      </c>
      <c r="I447" s="2">
        <v>800</v>
      </c>
      <c r="J447" s="2" t="s">
        <v>187</v>
      </c>
      <c r="K447" s="2" t="s">
        <v>5919</v>
      </c>
      <c r="M447" s="2">
        <v>0.8</v>
      </c>
      <c r="N447" s="2">
        <v>2.5</v>
      </c>
      <c r="O447" s="2" t="s">
        <v>5737</v>
      </c>
      <c r="Q447" s="2">
        <v>1997</v>
      </c>
      <c r="R447" s="2">
        <v>2022</v>
      </c>
      <c r="S447" s="2" t="s">
        <v>5735</v>
      </c>
      <c r="U447" s="2">
        <v>30</v>
      </c>
      <c r="V447" s="2" t="s">
        <v>188</v>
      </c>
    </row>
    <row r="448" spans="1:22">
      <c r="A448" s="2" t="s">
        <v>1714</v>
      </c>
      <c r="B448" s="2" t="s">
        <v>1714</v>
      </c>
      <c r="D448" s="2" t="s">
        <v>1795</v>
      </c>
      <c r="E448" s="2" t="s">
        <v>6238</v>
      </c>
      <c r="F448" s="2">
        <v>4</v>
      </c>
      <c r="G448" s="2">
        <v>0.9</v>
      </c>
      <c r="H448" s="2">
        <v>0</v>
      </c>
      <c r="I448" s="2">
        <v>900</v>
      </c>
      <c r="J448" s="2" t="s">
        <v>188</v>
      </c>
      <c r="M448" s="2">
        <v>0.9</v>
      </c>
      <c r="N448" s="2">
        <v>5</v>
      </c>
      <c r="O448" s="2" t="s">
        <v>5737</v>
      </c>
      <c r="Q448" s="2">
        <v>1997</v>
      </c>
      <c r="R448" s="2">
        <v>1997</v>
      </c>
      <c r="S448" s="2" t="s">
        <v>5738</v>
      </c>
      <c r="U448" s="2">
        <v>25</v>
      </c>
      <c r="V448" s="2" t="s">
        <v>188</v>
      </c>
    </row>
    <row r="449" spans="1:22">
      <c r="A449" s="2" t="s">
        <v>1714</v>
      </c>
      <c r="B449" s="2" t="s">
        <v>1714</v>
      </c>
      <c r="D449" s="2" t="s">
        <v>1795</v>
      </c>
      <c r="E449" s="2" t="s">
        <v>6239</v>
      </c>
      <c r="F449" s="2">
        <v>1</v>
      </c>
      <c r="G449" s="2">
        <v>0.8</v>
      </c>
      <c r="H449" s="2">
        <v>0</v>
      </c>
      <c r="I449" s="2">
        <v>800</v>
      </c>
      <c r="J449" s="2" t="s">
        <v>188</v>
      </c>
      <c r="M449" s="2">
        <v>0.8</v>
      </c>
      <c r="N449" s="2">
        <v>4</v>
      </c>
      <c r="O449" s="2" t="s">
        <v>5903</v>
      </c>
      <c r="Q449" s="2">
        <v>2006</v>
      </c>
      <c r="R449" s="2">
        <v>2006</v>
      </c>
      <c r="S449" s="2" t="s">
        <v>5742</v>
      </c>
      <c r="U449" s="2">
        <v>25</v>
      </c>
      <c r="V449" s="2" t="s">
        <v>188</v>
      </c>
    </row>
    <row r="450" spans="1:22">
      <c r="A450" s="2" t="s">
        <v>1714</v>
      </c>
      <c r="B450" s="2" t="s">
        <v>1714</v>
      </c>
      <c r="D450" s="2" t="s">
        <v>1795</v>
      </c>
      <c r="E450" s="2" t="s">
        <v>6240</v>
      </c>
      <c r="F450" s="2">
        <v>5</v>
      </c>
      <c r="G450" s="2">
        <v>0.55000000000000004</v>
      </c>
      <c r="H450" s="2">
        <v>0</v>
      </c>
      <c r="I450" s="2">
        <v>500</v>
      </c>
      <c r="J450" s="2" t="s">
        <v>187</v>
      </c>
      <c r="K450" s="2" t="s">
        <v>6241</v>
      </c>
      <c r="M450" s="2">
        <v>0.55000000000000004</v>
      </c>
      <c r="N450" s="2">
        <v>3</v>
      </c>
      <c r="O450" s="2" t="s">
        <v>5737</v>
      </c>
      <c r="Q450" s="2">
        <v>2000</v>
      </c>
      <c r="R450" s="2">
        <v>2000</v>
      </c>
      <c r="S450" s="2" t="s">
        <v>5738</v>
      </c>
      <c r="U450" s="2">
        <v>25</v>
      </c>
      <c r="V450" s="2" t="s">
        <v>188</v>
      </c>
    </row>
    <row r="451" spans="1:22">
      <c r="A451" s="2" t="s">
        <v>1714</v>
      </c>
      <c r="B451" s="2" t="s">
        <v>1714</v>
      </c>
      <c r="D451" s="2" t="s">
        <v>1795</v>
      </c>
      <c r="E451" s="2" t="s">
        <v>6242</v>
      </c>
      <c r="F451" s="2">
        <v>2</v>
      </c>
      <c r="G451" s="2">
        <v>1.1000000000000001</v>
      </c>
      <c r="H451" s="2">
        <v>0</v>
      </c>
      <c r="I451" s="2">
        <v>1100</v>
      </c>
      <c r="J451" s="2" t="s">
        <v>187</v>
      </c>
      <c r="K451" s="2" t="s">
        <v>1523</v>
      </c>
      <c r="M451" s="2">
        <v>1.1000000000000001</v>
      </c>
      <c r="N451" s="2">
        <v>4.5</v>
      </c>
      <c r="O451" s="2" t="s">
        <v>5737</v>
      </c>
      <c r="Q451" s="2">
        <v>1997</v>
      </c>
      <c r="R451" s="2">
        <v>1997</v>
      </c>
      <c r="S451" s="2" t="s">
        <v>5738</v>
      </c>
      <c r="U451" s="2">
        <v>30</v>
      </c>
      <c r="V451" s="2" t="s">
        <v>188</v>
      </c>
    </row>
    <row r="452" spans="1:22">
      <c r="A452" s="2" t="s">
        <v>1586</v>
      </c>
      <c r="B452" s="2" t="s">
        <v>1586</v>
      </c>
      <c r="D452" s="2" t="s">
        <v>1585</v>
      </c>
      <c r="E452" s="2" t="s">
        <v>6243</v>
      </c>
      <c r="F452" s="2">
        <v>1</v>
      </c>
      <c r="G452" s="2">
        <v>1</v>
      </c>
      <c r="I452" s="2">
        <v>1000</v>
      </c>
      <c r="J452" s="2" t="s">
        <v>188</v>
      </c>
      <c r="M452" s="2">
        <v>1</v>
      </c>
      <c r="N452" s="2">
        <v>1.4</v>
      </c>
      <c r="O452" s="2" t="s">
        <v>5737</v>
      </c>
      <c r="Q452" s="2">
        <v>2015</v>
      </c>
      <c r="R452" s="2">
        <v>2015</v>
      </c>
      <c r="S452" s="2" t="s">
        <v>5735</v>
      </c>
      <c r="U452" s="2">
        <v>9</v>
      </c>
      <c r="V452" s="2" t="s">
        <v>188</v>
      </c>
    </row>
    <row r="453" spans="1:22">
      <c r="A453" s="2" t="s">
        <v>1586</v>
      </c>
      <c r="B453" s="2" t="s">
        <v>1586</v>
      </c>
      <c r="D453" s="2" t="s">
        <v>1585</v>
      </c>
      <c r="E453" s="2" t="s">
        <v>6244</v>
      </c>
      <c r="F453" s="2">
        <v>2</v>
      </c>
      <c r="G453" s="2">
        <v>0.5</v>
      </c>
      <c r="I453" s="2">
        <v>500</v>
      </c>
      <c r="J453" s="2" t="s">
        <v>188</v>
      </c>
      <c r="M453" s="2">
        <v>0.5</v>
      </c>
      <c r="N453" s="2">
        <v>0.7</v>
      </c>
      <c r="O453" s="2" t="s">
        <v>5734</v>
      </c>
      <c r="Q453" s="2">
        <v>2013</v>
      </c>
      <c r="R453" s="2">
        <v>2013</v>
      </c>
      <c r="S453" s="2" t="s">
        <v>5735</v>
      </c>
      <c r="U453" s="2">
        <v>10</v>
      </c>
      <c r="V453" s="2" t="s">
        <v>188</v>
      </c>
    </row>
    <row r="454" spans="1:22">
      <c r="A454" s="2" t="s">
        <v>1586</v>
      </c>
      <c r="B454" s="2" t="s">
        <v>1586</v>
      </c>
      <c r="D454" s="2" t="s">
        <v>1585</v>
      </c>
      <c r="E454" s="2" t="s">
        <v>6245</v>
      </c>
      <c r="F454" s="2">
        <v>3</v>
      </c>
      <c r="G454" s="2">
        <v>0.2</v>
      </c>
      <c r="I454" s="2">
        <v>200</v>
      </c>
      <c r="J454" s="2" t="s">
        <v>188</v>
      </c>
      <c r="M454" s="2">
        <v>0.2</v>
      </c>
      <c r="N454" s="2">
        <v>0.7</v>
      </c>
      <c r="O454" s="2" t="s">
        <v>5734</v>
      </c>
      <c r="Q454" s="2">
        <v>2013</v>
      </c>
      <c r="R454" s="2">
        <v>2013</v>
      </c>
      <c r="S454" s="2" t="s">
        <v>5735</v>
      </c>
      <c r="U454" s="2">
        <v>10</v>
      </c>
      <c r="V454" s="2" t="s">
        <v>188</v>
      </c>
    </row>
    <row r="455" spans="1:22">
      <c r="A455" s="2" t="s">
        <v>1220</v>
      </c>
      <c r="B455" s="2" t="s">
        <v>1220</v>
      </c>
      <c r="D455" s="2" t="s">
        <v>1217</v>
      </c>
      <c r="E455" s="2" t="s">
        <v>6246</v>
      </c>
      <c r="F455" s="2">
        <v>2</v>
      </c>
      <c r="G455" s="2">
        <v>0.4</v>
      </c>
      <c r="H455" s="2">
        <v>0</v>
      </c>
      <c r="I455" s="2">
        <v>400</v>
      </c>
      <c r="J455" s="2" t="s">
        <v>188</v>
      </c>
      <c r="M455" s="2">
        <v>0.4</v>
      </c>
      <c r="N455" s="2">
        <v>0.5</v>
      </c>
      <c r="O455" s="2" t="s">
        <v>5737</v>
      </c>
      <c r="Q455" s="2">
        <v>2019</v>
      </c>
      <c r="R455" s="2">
        <v>2019</v>
      </c>
      <c r="S455" s="2" t="s">
        <v>288</v>
      </c>
      <c r="T455" s="2" t="s">
        <v>5810</v>
      </c>
      <c r="U455" s="2">
        <v>20</v>
      </c>
      <c r="V455" s="2" t="s">
        <v>188</v>
      </c>
    </row>
    <row r="456" spans="1:22">
      <c r="A456" s="2" t="s">
        <v>1220</v>
      </c>
      <c r="B456" s="2" t="s">
        <v>1220</v>
      </c>
      <c r="D456" s="2" t="s">
        <v>1217</v>
      </c>
      <c r="E456" s="2" t="s">
        <v>6247</v>
      </c>
      <c r="F456" s="2">
        <v>1</v>
      </c>
      <c r="G456" s="2">
        <v>0.5</v>
      </c>
      <c r="H456" s="2">
        <v>0</v>
      </c>
      <c r="I456" s="2">
        <v>500</v>
      </c>
      <c r="J456" s="2" t="s">
        <v>188</v>
      </c>
      <c r="M456" s="2">
        <v>0.5</v>
      </c>
      <c r="N456" s="2">
        <v>0.8</v>
      </c>
      <c r="O456" s="2" t="s">
        <v>5737</v>
      </c>
      <c r="Q456" s="2">
        <v>2008</v>
      </c>
      <c r="R456" s="2">
        <v>2008</v>
      </c>
      <c r="S456" s="2" t="s">
        <v>288</v>
      </c>
      <c r="T456" s="2" t="s">
        <v>6248</v>
      </c>
      <c r="U456" s="2">
        <v>30</v>
      </c>
      <c r="V456" s="2" t="s">
        <v>188</v>
      </c>
    </row>
    <row r="457" spans="1:22">
      <c r="A457" s="2" t="s">
        <v>1220</v>
      </c>
      <c r="B457" s="2" t="s">
        <v>1220</v>
      </c>
      <c r="D457" s="2" t="s">
        <v>1217</v>
      </c>
      <c r="E457" s="2" t="s">
        <v>6249</v>
      </c>
      <c r="F457" s="2">
        <v>3</v>
      </c>
      <c r="G457" s="2">
        <v>0.3</v>
      </c>
      <c r="H457" s="2">
        <v>0</v>
      </c>
      <c r="I457" s="2">
        <v>300</v>
      </c>
      <c r="J457" s="2" t="s">
        <v>188</v>
      </c>
      <c r="M457" s="2">
        <v>0.3</v>
      </c>
      <c r="N457" s="2">
        <v>0.2</v>
      </c>
      <c r="O457" s="2" t="s">
        <v>5737</v>
      </c>
      <c r="Q457" s="2">
        <v>2024</v>
      </c>
      <c r="R457" s="2">
        <v>2024</v>
      </c>
      <c r="S457" s="2" t="s">
        <v>5742</v>
      </c>
      <c r="U457" s="2">
        <v>10</v>
      </c>
      <c r="V457" s="2" t="s">
        <v>188</v>
      </c>
    </row>
    <row r="458" spans="1:22">
      <c r="A458" s="2" t="s">
        <v>1846</v>
      </c>
      <c r="B458" s="2" t="s">
        <v>1846</v>
      </c>
      <c r="D458" s="2" t="s">
        <v>1844</v>
      </c>
      <c r="E458" s="2" t="s">
        <v>6250</v>
      </c>
      <c r="F458" s="2">
        <v>1</v>
      </c>
      <c r="G458" s="2">
        <v>1.1499999999999999</v>
      </c>
      <c r="H458" s="2">
        <v>0</v>
      </c>
      <c r="I458" s="2">
        <v>1000</v>
      </c>
      <c r="J458" s="2" t="s">
        <v>187</v>
      </c>
      <c r="K458" s="2" t="s">
        <v>1523</v>
      </c>
      <c r="M458" s="2">
        <v>1.1499999999999999</v>
      </c>
      <c r="N458" s="2">
        <v>4.8</v>
      </c>
      <c r="O458" s="2" t="s">
        <v>5737</v>
      </c>
      <c r="Q458" s="2">
        <v>1995</v>
      </c>
      <c r="R458" s="2">
        <v>2019</v>
      </c>
      <c r="S458" s="2" t="s">
        <v>5735</v>
      </c>
      <c r="U458" s="2">
        <v>50</v>
      </c>
      <c r="V458" s="2" t="s">
        <v>188</v>
      </c>
    </row>
    <row r="459" spans="1:22">
      <c r="A459" s="2" t="s">
        <v>1563</v>
      </c>
      <c r="B459" s="2" t="s">
        <v>1563</v>
      </c>
      <c r="D459" s="2" t="s">
        <v>1562</v>
      </c>
      <c r="E459" s="2" t="s">
        <v>6251</v>
      </c>
      <c r="F459" s="2">
        <v>1</v>
      </c>
      <c r="G459" s="2">
        <v>1.5</v>
      </c>
      <c r="I459" s="2">
        <v>1400</v>
      </c>
      <c r="J459" s="2" t="s">
        <v>188</v>
      </c>
      <c r="M459" s="2">
        <v>1.5</v>
      </c>
      <c r="N459" s="2">
        <v>2.2000000000000002</v>
      </c>
      <c r="O459" s="2" t="s">
        <v>5737</v>
      </c>
      <c r="Q459" s="2">
        <v>2021</v>
      </c>
      <c r="R459" s="2">
        <v>2021</v>
      </c>
      <c r="S459" s="2" t="s">
        <v>5738</v>
      </c>
      <c r="U459" s="2">
        <v>10</v>
      </c>
      <c r="V459" s="2" t="s">
        <v>187</v>
      </c>
    </row>
    <row r="460" spans="1:22">
      <c r="A460" s="2" t="s">
        <v>1242</v>
      </c>
      <c r="B460" s="2" t="s">
        <v>1242</v>
      </c>
      <c r="D460" s="2" t="s">
        <v>1240</v>
      </c>
      <c r="E460" s="2" t="s">
        <v>6252</v>
      </c>
      <c r="F460" s="2">
        <v>1</v>
      </c>
      <c r="G460" s="2">
        <v>0.6</v>
      </c>
      <c r="H460" s="2">
        <v>0</v>
      </c>
      <c r="I460" s="2">
        <v>600</v>
      </c>
      <c r="J460" s="2" t="s">
        <v>188</v>
      </c>
      <c r="M460" s="2">
        <v>0.6</v>
      </c>
      <c r="N460" s="2">
        <v>0.7</v>
      </c>
      <c r="O460" s="2" t="s">
        <v>5734</v>
      </c>
      <c r="Q460" s="2">
        <v>2017</v>
      </c>
      <c r="R460" s="2">
        <v>2017</v>
      </c>
      <c r="S460" s="2" t="s">
        <v>288</v>
      </c>
      <c r="T460" s="2" t="s">
        <v>5810</v>
      </c>
      <c r="U460" s="2">
        <v>30</v>
      </c>
      <c r="V460" s="2" t="s">
        <v>188</v>
      </c>
    </row>
    <row r="461" spans="1:22">
      <c r="A461" s="2" t="s">
        <v>1242</v>
      </c>
      <c r="B461" s="2" t="s">
        <v>1242</v>
      </c>
      <c r="D461" s="2" t="s">
        <v>1240</v>
      </c>
      <c r="E461" s="2" t="s">
        <v>6253</v>
      </c>
      <c r="F461" s="2">
        <v>2</v>
      </c>
      <c r="G461" s="2">
        <v>0.5</v>
      </c>
      <c r="H461" s="2">
        <v>0</v>
      </c>
      <c r="I461" s="2">
        <v>500</v>
      </c>
      <c r="J461" s="2" t="s">
        <v>188</v>
      </c>
      <c r="M461" s="2">
        <v>0.5</v>
      </c>
      <c r="N461" s="2">
        <v>0.5</v>
      </c>
      <c r="O461" s="2" t="s">
        <v>5734</v>
      </c>
      <c r="Q461" s="2">
        <v>2024</v>
      </c>
      <c r="R461" s="2">
        <v>2024</v>
      </c>
      <c r="S461" s="2" t="s">
        <v>288</v>
      </c>
      <c r="T461" s="2" t="s">
        <v>5810</v>
      </c>
      <c r="U461" s="2">
        <v>20</v>
      </c>
      <c r="V461" s="2" t="s">
        <v>188</v>
      </c>
    </row>
    <row r="462" spans="1:22">
      <c r="A462" s="2" t="s">
        <v>1295</v>
      </c>
      <c r="B462" s="2" t="s">
        <v>1296</v>
      </c>
      <c r="D462" s="2" t="s">
        <v>1293</v>
      </c>
      <c r="E462" s="2" t="s">
        <v>6254</v>
      </c>
      <c r="F462" s="2">
        <v>3</v>
      </c>
      <c r="G462" s="2">
        <v>0.4</v>
      </c>
      <c r="H462" s="2">
        <v>0</v>
      </c>
      <c r="I462" s="2">
        <v>400</v>
      </c>
      <c r="J462" s="2" t="s">
        <v>188</v>
      </c>
      <c r="M462" s="2">
        <v>0.4</v>
      </c>
      <c r="N462" s="2">
        <v>0.5</v>
      </c>
      <c r="O462" s="2" t="s">
        <v>5734</v>
      </c>
      <c r="Q462" s="2">
        <v>2019</v>
      </c>
      <c r="R462" s="2">
        <v>2019</v>
      </c>
      <c r="S462" s="2" t="s">
        <v>288</v>
      </c>
      <c r="T462" s="2" t="s">
        <v>5810</v>
      </c>
      <c r="U462" s="2">
        <v>14</v>
      </c>
      <c r="V462" s="2" t="s">
        <v>188</v>
      </c>
    </row>
    <row r="463" spans="1:22">
      <c r="A463" s="2" t="s">
        <v>1295</v>
      </c>
      <c r="B463" s="2" t="s">
        <v>1296</v>
      </c>
      <c r="D463" s="2" t="s">
        <v>1293</v>
      </c>
      <c r="E463" s="2" t="s">
        <v>6255</v>
      </c>
      <c r="F463" s="2">
        <v>1</v>
      </c>
      <c r="G463" s="2">
        <v>0.4</v>
      </c>
      <c r="H463" s="2">
        <v>0</v>
      </c>
      <c r="I463" s="2">
        <v>400</v>
      </c>
      <c r="J463" s="2" t="s">
        <v>188</v>
      </c>
      <c r="M463" s="2">
        <v>0.4</v>
      </c>
      <c r="N463" s="2">
        <v>0.5</v>
      </c>
      <c r="O463" s="2" t="s">
        <v>5737</v>
      </c>
      <c r="Q463" s="2">
        <v>2016</v>
      </c>
      <c r="R463" s="2">
        <v>2016</v>
      </c>
      <c r="S463" s="2" t="s">
        <v>5742</v>
      </c>
      <c r="U463" s="2">
        <v>15</v>
      </c>
      <c r="V463" s="2" t="s">
        <v>188</v>
      </c>
    </row>
    <row r="464" spans="1:22">
      <c r="A464" s="2" t="s">
        <v>1295</v>
      </c>
      <c r="B464" s="2" t="s">
        <v>1296</v>
      </c>
      <c r="D464" s="2" t="s">
        <v>1293</v>
      </c>
      <c r="E464" s="2" t="s">
        <v>6256</v>
      </c>
      <c r="F464" s="2">
        <v>2</v>
      </c>
      <c r="G464" s="2">
        <v>0.2</v>
      </c>
      <c r="H464" s="2">
        <v>0</v>
      </c>
      <c r="I464" s="2">
        <v>200</v>
      </c>
      <c r="J464" s="2" t="s">
        <v>188</v>
      </c>
      <c r="M464" s="2">
        <v>0.2</v>
      </c>
      <c r="N464" s="2">
        <v>0.3</v>
      </c>
      <c r="O464" s="2" t="s">
        <v>5737</v>
      </c>
      <c r="Q464" s="2">
        <v>2016</v>
      </c>
      <c r="R464" s="2">
        <v>2016</v>
      </c>
      <c r="S464" s="2" t="s">
        <v>5742</v>
      </c>
      <c r="U464" s="2">
        <v>30</v>
      </c>
      <c r="V464" s="2" t="s">
        <v>188</v>
      </c>
    </row>
    <row r="465" spans="1:22">
      <c r="A465" s="2" t="s">
        <v>1879</v>
      </c>
      <c r="B465" s="2" t="s">
        <v>1880</v>
      </c>
      <c r="D465" s="2" t="s">
        <v>1877</v>
      </c>
      <c r="E465" s="2" t="s">
        <v>6257</v>
      </c>
      <c r="F465" s="2">
        <v>4</v>
      </c>
      <c r="G465" s="2">
        <v>0.5</v>
      </c>
      <c r="H465" s="2">
        <v>0</v>
      </c>
      <c r="I465" s="2">
        <v>500</v>
      </c>
      <c r="J465" s="2" t="s">
        <v>188</v>
      </c>
      <c r="M465" s="2">
        <v>0.5</v>
      </c>
      <c r="N465" s="2">
        <v>2.2999999999999998</v>
      </c>
      <c r="O465" s="2" t="s">
        <v>6258</v>
      </c>
      <c r="Q465" s="2">
        <v>1999</v>
      </c>
      <c r="R465" s="2">
        <v>1999</v>
      </c>
      <c r="S465" s="2" t="s">
        <v>5738</v>
      </c>
      <c r="U465" s="2">
        <v>40</v>
      </c>
      <c r="V465" s="2" t="s">
        <v>188</v>
      </c>
    </row>
    <row r="466" spans="1:22">
      <c r="A466" s="2" t="s">
        <v>1879</v>
      </c>
      <c r="B466" s="2" t="s">
        <v>1880</v>
      </c>
      <c r="D466" s="2" t="s">
        <v>1877</v>
      </c>
      <c r="E466" s="2" t="s">
        <v>6259</v>
      </c>
      <c r="F466" s="2">
        <v>1</v>
      </c>
      <c r="G466" s="2">
        <v>1.2</v>
      </c>
      <c r="H466" s="2">
        <v>0</v>
      </c>
      <c r="I466" s="2">
        <v>1200</v>
      </c>
      <c r="J466" s="2" t="s">
        <v>188</v>
      </c>
      <c r="M466" s="2">
        <v>1.2</v>
      </c>
      <c r="N466" s="2">
        <v>5.3</v>
      </c>
      <c r="O466" s="2" t="s">
        <v>5737</v>
      </c>
      <c r="Q466" s="2">
        <v>2005</v>
      </c>
      <c r="R466" s="2">
        <v>2005</v>
      </c>
      <c r="S466" s="2" t="s">
        <v>5738</v>
      </c>
      <c r="U466" s="2">
        <v>40</v>
      </c>
      <c r="V466" s="2" t="s">
        <v>188</v>
      </c>
    </row>
    <row r="467" spans="1:22">
      <c r="A467" s="2" t="s">
        <v>1879</v>
      </c>
      <c r="B467" s="2" t="s">
        <v>1880</v>
      </c>
      <c r="D467" s="2" t="s">
        <v>1877</v>
      </c>
      <c r="E467" s="2" t="s">
        <v>6260</v>
      </c>
      <c r="F467" s="2">
        <v>2</v>
      </c>
      <c r="G467" s="2">
        <v>1.3</v>
      </c>
      <c r="H467" s="2">
        <v>0</v>
      </c>
      <c r="I467" s="2">
        <v>1300</v>
      </c>
      <c r="J467" s="2" t="s">
        <v>188</v>
      </c>
      <c r="M467" s="2">
        <v>1.3</v>
      </c>
      <c r="N467" s="2">
        <v>3.5</v>
      </c>
      <c r="O467" s="2" t="s">
        <v>5737</v>
      </c>
      <c r="Q467" s="2">
        <v>1995</v>
      </c>
      <c r="R467" s="2">
        <v>1995</v>
      </c>
      <c r="S467" s="2" t="s">
        <v>5738</v>
      </c>
      <c r="U467" s="2">
        <v>35</v>
      </c>
      <c r="V467" s="2" t="s">
        <v>188</v>
      </c>
    </row>
    <row r="468" spans="1:22">
      <c r="A468" s="2" t="s">
        <v>1879</v>
      </c>
      <c r="B468" s="2" t="s">
        <v>1880</v>
      </c>
      <c r="D468" s="2" t="s">
        <v>1877</v>
      </c>
      <c r="E468" s="2" t="s">
        <v>6261</v>
      </c>
      <c r="F468" s="2">
        <v>3</v>
      </c>
      <c r="G468" s="2">
        <v>0.8</v>
      </c>
      <c r="H468" s="2">
        <v>0</v>
      </c>
      <c r="I468" s="2">
        <v>800</v>
      </c>
      <c r="J468" s="2" t="s">
        <v>187</v>
      </c>
      <c r="K468" s="2" t="s">
        <v>308</v>
      </c>
      <c r="M468" s="2">
        <v>0.8</v>
      </c>
      <c r="N468" s="2">
        <v>2.5</v>
      </c>
      <c r="O468" s="2" t="s">
        <v>6258</v>
      </c>
      <c r="Q468" s="2">
        <v>1995</v>
      </c>
      <c r="R468" s="2">
        <v>2014</v>
      </c>
      <c r="S468" s="2" t="s">
        <v>5735</v>
      </c>
      <c r="U468" s="2">
        <v>40</v>
      </c>
      <c r="V468" s="2" t="s">
        <v>188</v>
      </c>
    </row>
    <row r="469" spans="1:22">
      <c r="A469" s="2" t="s">
        <v>1908</v>
      </c>
      <c r="B469" s="2" t="s">
        <v>1909</v>
      </c>
      <c r="D469" s="2" t="s">
        <v>1906</v>
      </c>
      <c r="E469" s="2" t="s">
        <v>6262</v>
      </c>
      <c r="F469" s="2">
        <v>3</v>
      </c>
      <c r="G469" s="2">
        <v>0.3</v>
      </c>
      <c r="H469" s="2">
        <v>0</v>
      </c>
      <c r="I469" s="2">
        <v>300</v>
      </c>
      <c r="J469" s="2" t="s">
        <v>187</v>
      </c>
      <c r="K469" s="2" t="s">
        <v>308</v>
      </c>
      <c r="M469" s="2">
        <v>0.3</v>
      </c>
      <c r="N469" s="2">
        <v>2</v>
      </c>
      <c r="O469" s="2" t="s">
        <v>5737</v>
      </c>
      <c r="Q469" s="2">
        <v>1994</v>
      </c>
      <c r="R469" s="2">
        <v>1994</v>
      </c>
      <c r="S469" s="2" t="s">
        <v>5738</v>
      </c>
      <c r="U469" s="2">
        <v>40</v>
      </c>
      <c r="V469" s="2" t="s">
        <v>188</v>
      </c>
    </row>
    <row r="470" spans="1:22">
      <c r="A470" s="2" t="s">
        <v>1908</v>
      </c>
      <c r="B470" s="2" t="s">
        <v>1909</v>
      </c>
      <c r="D470" s="2" t="s">
        <v>1906</v>
      </c>
      <c r="E470" s="2" t="s">
        <v>6263</v>
      </c>
      <c r="F470" s="2">
        <v>1</v>
      </c>
      <c r="G470" s="2">
        <v>1.2</v>
      </c>
      <c r="H470" s="2">
        <v>0</v>
      </c>
      <c r="I470" s="2">
        <v>1200</v>
      </c>
      <c r="J470" s="2" t="s">
        <v>187</v>
      </c>
      <c r="K470" s="2" t="s">
        <v>308</v>
      </c>
      <c r="M470" s="2">
        <v>1.2</v>
      </c>
      <c r="N470" s="2">
        <v>5.5</v>
      </c>
      <c r="O470" s="2" t="s">
        <v>5737</v>
      </c>
      <c r="Q470" s="2">
        <v>2000</v>
      </c>
      <c r="R470" s="2">
        <v>2000</v>
      </c>
      <c r="S470" s="2" t="s">
        <v>5738</v>
      </c>
      <c r="U470" s="2">
        <v>40</v>
      </c>
      <c r="V470" s="2" t="s">
        <v>188</v>
      </c>
    </row>
    <row r="471" spans="1:22">
      <c r="A471" s="2" t="s">
        <v>1908</v>
      </c>
      <c r="B471" s="2" t="s">
        <v>1909</v>
      </c>
      <c r="D471" s="2" t="s">
        <v>1906</v>
      </c>
      <c r="E471" s="2" t="s">
        <v>6264</v>
      </c>
      <c r="F471" s="2">
        <v>2</v>
      </c>
      <c r="G471" s="2">
        <v>1</v>
      </c>
      <c r="H471" s="2">
        <v>0</v>
      </c>
      <c r="I471" s="2">
        <v>1000</v>
      </c>
      <c r="J471" s="2" t="s">
        <v>187</v>
      </c>
      <c r="K471" s="2" t="s">
        <v>308</v>
      </c>
      <c r="M471" s="2">
        <v>1</v>
      </c>
      <c r="N471" s="2">
        <v>4.5</v>
      </c>
      <c r="O471" s="2" t="s">
        <v>5737</v>
      </c>
      <c r="Q471" s="2">
        <v>2000</v>
      </c>
      <c r="R471" s="2">
        <v>2000</v>
      </c>
      <c r="S471" s="2" t="s">
        <v>5738</v>
      </c>
      <c r="U471" s="2">
        <v>40</v>
      </c>
      <c r="V471" s="2" t="s">
        <v>188</v>
      </c>
    </row>
    <row r="472" spans="1:22">
      <c r="A472" s="2" t="s">
        <v>1928</v>
      </c>
      <c r="B472" s="2" t="s">
        <v>1929</v>
      </c>
      <c r="D472" s="2" t="s">
        <v>1927</v>
      </c>
      <c r="E472" s="2" t="s">
        <v>6265</v>
      </c>
      <c r="F472" s="2">
        <v>1</v>
      </c>
      <c r="G472" s="2">
        <v>1</v>
      </c>
      <c r="H472" s="2">
        <v>0</v>
      </c>
      <c r="I472" s="2">
        <v>1000</v>
      </c>
      <c r="J472" s="2" t="s">
        <v>188</v>
      </c>
      <c r="M472" s="2">
        <v>1</v>
      </c>
      <c r="N472" s="2">
        <v>5</v>
      </c>
      <c r="O472" s="2" t="s">
        <v>5737</v>
      </c>
      <c r="Q472" s="2">
        <v>1998</v>
      </c>
      <c r="R472" s="2">
        <v>1998</v>
      </c>
      <c r="S472" s="2" t="s">
        <v>5738</v>
      </c>
      <c r="U472" s="2">
        <v>27</v>
      </c>
      <c r="V472" s="2" t="s">
        <v>188</v>
      </c>
    </row>
    <row r="473" spans="1:22">
      <c r="A473" s="2" t="s">
        <v>1928</v>
      </c>
      <c r="B473" s="2" t="s">
        <v>1929</v>
      </c>
      <c r="D473" s="2" t="s">
        <v>1927</v>
      </c>
      <c r="E473" s="2" t="s">
        <v>6266</v>
      </c>
      <c r="F473" s="2">
        <v>2</v>
      </c>
      <c r="G473" s="2">
        <v>0.5</v>
      </c>
      <c r="H473" s="2">
        <v>0</v>
      </c>
      <c r="I473" s="2">
        <v>500</v>
      </c>
      <c r="J473" s="2" t="s">
        <v>188</v>
      </c>
      <c r="M473" s="2">
        <v>0.5</v>
      </c>
      <c r="N473" s="2">
        <v>3</v>
      </c>
      <c r="O473" s="2" t="s">
        <v>5737</v>
      </c>
      <c r="Q473" s="2">
        <v>1995</v>
      </c>
      <c r="R473" s="2">
        <v>2019</v>
      </c>
      <c r="S473" s="2" t="s">
        <v>5735</v>
      </c>
      <c r="U473" s="2">
        <v>30</v>
      </c>
      <c r="V473" s="2" t="s">
        <v>188</v>
      </c>
    </row>
    <row r="474" spans="1:22">
      <c r="A474" s="2" t="s">
        <v>1540</v>
      </c>
      <c r="B474" s="2" t="s">
        <v>1540</v>
      </c>
      <c r="D474" s="2" t="s">
        <v>1539</v>
      </c>
      <c r="E474" s="2" t="s">
        <v>6267</v>
      </c>
      <c r="F474" s="2">
        <v>2</v>
      </c>
      <c r="G474" s="2">
        <v>0.2</v>
      </c>
      <c r="I474" s="2">
        <v>200</v>
      </c>
      <c r="J474" s="2" t="s">
        <v>188</v>
      </c>
      <c r="M474" s="2">
        <v>0.2</v>
      </c>
      <c r="N474" s="2">
        <v>0.18</v>
      </c>
      <c r="O474" s="2" t="s">
        <v>5734</v>
      </c>
      <c r="Q474" s="2">
        <v>2019</v>
      </c>
      <c r="S474" s="2" t="s">
        <v>5739</v>
      </c>
      <c r="U474" s="2">
        <v>20</v>
      </c>
      <c r="V474" s="2" t="s">
        <v>188</v>
      </c>
    </row>
    <row r="475" spans="1:22">
      <c r="A475" s="2" t="s">
        <v>1540</v>
      </c>
      <c r="B475" s="2" t="s">
        <v>1540</v>
      </c>
      <c r="D475" s="2" t="s">
        <v>1539</v>
      </c>
      <c r="E475" s="2" t="s">
        <v>6268</v>
      </c>
      <c r="F475" s="2">
        <v>1</v>
      </c>
      <c r="G475" s="2">
        <v>0.3</v>
      </c>
      <c r="I475" s="2">
        <v>300</v>
      </c>
      <c r="J475" s="2" t="s">
        <v>188</v>
      </c>
      <c r="M475" s="2">
        <v>0.3</v>
      </c>
      <c r="N475" s="2">
        <v>0.18</v>
      </c>
      <c r="O475" s="2" t="s">
        <v>5734</v>
      </c>
      <c r="Q475" s="2">
        <v>2019</v>
      </c>
      <c r="R475" s="2">
        <v>2019</v>
      </c>
      <c r="S475" s="2" t="s">
        <v>5738</v>
      </c>
      <c r="U475" s="2">
        <v>20</v>
      </c>
      <c r="V475" s="2" t="s">
        <v>188</v>
      </c>
    </row>
    <row r="476" spans="1:22">
      <c r="A476" s="2" t="s">
        <v>427</v>
      </c>
      <c r="B476" s="2" t="s">
        <v>427</v>
      </c>
      <c r="D476" s="2" t="s">
        <v>1526</v>
      </c>
      <c r="E476" s="2" t="s">
        <v>6269</v>
      </c>
      <c r="F476" s="2">
        <v>2</v>
      </c>
      <c r="G476" s="2">
        <v>0.5</v>
      </c>
      <c r="I476" s="2">
        <v>500</v>
      </c>
      <c r="J476" s="2" t="s">
        <v>188</v>
      </c>
      <c r="M476" s="2">
        <v>0.5</v>
      </c>
      <c r="N476" s="2">
        <v>1.8</v>
      </c>
      <c r="O476" s="2" t="s">
        <v>5737</v>
      </c>
      <c r="Q476" s="2">
        <v>2015</v>
      </c>
      <c r="R476" s="2">
        <v>2015</v>
      </c>
      <c r="S476" s="2" t="s">
        <v>5735</v>
      </c>
      <c r="U476" s="2">
        <v>10</v>
      </c>
      <c r="V476" s="2" t="s">
        <v>187</v>
      </c>
    </row>
    <row r="477" spans="1:22">
      <c r="A477" s="2" t="s">
        <v>427</v>
      </c>
      <c r="B477" s="2" t="s">
        <v>427</v>
      </c>
      <c r="D477" s="2" t="s">
        <v>1526</v>
      </c>
      <c r="E477" s="2" t="s">
        <v>6270</v>
      </c>
      <c r="F477" s="2">
        <v>1</v>
      </c>
      <c r="G477" s="2">
        <v>0.5</v>
      </c>
      <c r="I477" s="2">
        <v>500</v>
      </c>
      <c r="J477" s="2" t="s">
        <v>188</v>
      </c>
      <c r="M477" s="2">
        <v>0.5</v>
      </c>
      <c r="N477" s="2">
        <v>1.8</v>
      </c>
      <c r="O477" s="2" t="s">
        <v>5737</v>
      </c>
      <c r="Q477" s="2">
        <v>2009</v>
      </c>
      <c r="R477" s="2">
        <v>2009</v>
      </c>
      <c r="S477" s="2" t="s">
        <v>5738</v>
      </c>
      <c r="U477" s="2">
        <v>10</v>
      </c>
      <c r="V477" s="2" t="s">
        <v>187</v>
      </c>
    </row>
    <row r="478" spans="1:22">
      <c r="A478" s="2" t="s">
        <v>427</v>
      </c>
      <c r="B478" s="2" t="s">
        <v>427</v>
      </c>
      <c r="D478" s="2" t="s">
        <v>1526</v>
      </c>
      <c r="E478" s="2" t="s">
        <v>6271</v>
      </c>
      <c r="F478" s="2">
        <v>3</v>
      </c>
      <c r="G478" s="2">
        <v>1</v>
      </c>
      <c r="I478" s="2">
        <v>1000</v>
      </c>
      <c r="J478" s="2" t="s">
        <v>188</v>
      </c>
      <c r="M478" s="2">
        <v>1</v>
      </c>
      <c r="N478" s="2">
        <v>0.1</v>
      </c>
      <c r="O478" s="2" t="s">
        <v>5737</v>
      </c>
      <c r="Q478" s="2">
        <v>2009</v>
      </c>
      <c r="R478" s="2">
        <v>2023</v>
      </c>
      <c r="S478" s="2" t="s">
        <v>5735</v>
      </c>
      <c r="U478" s="2">
        <v>10</v>
      </c>
      <c r="V478" s="2" t="s">
        <v>187</v>
      </c>
    </row>
    <row r="479" spans="1:22">
      <c r="A479" s="2" t="s">
        <v>1486</v>
      </c>
      <c r="B479" s="2" t="s">
        <v>1487</v>
      </c>
      <c r="D479" s="2" t="s">
        <v>1485</v>
      </c>
      <c r="E479" s="2" t="s">
        <v>6272</v>
      </c>
      <c r="F479" s="2">
        <v>1</v>
      </c>
      <c r="G479" s="2">
        <v>0.3</v>
      </c>
      <c r="I479" s="2">
        <v>300</v>
      </c>
      <c r="J479" s="2" t="s">
        <v>188</v>
      </c>
      <c r="M479" s="2">
        <v>0.3</v>
      </c>
      <c r="N479" s="2">
        <v>0.6</v>
      </c>
      <c r="O479" s="2" t="s">
        <v>5737</v>
      </c>
      <c r="Q479" s="2">
        <v>2015</v>
      </c>
      <c r="R479" s="2">
        <v>2015</v>
      </c>
      <c r="S479" s="2" t="s">
        <v>5738</v>
      </c>
      <c r="U479" s="2">
        <v>10</v>
      </c>
      <c r="V479" s="2" t="s">
        <v>188</v>
      </c>
    </row>
    <row r="480" spans="1:22">
      <c r="A480" s="2" t="s">
        <v>1486</v>
      </c>
      <c r="B480" s="2" t="s">
        <v>1487</v>
      </c>
      <c r="D480" s="2" t="s">
        <v>1485</v>
      </c>
      <c r="E480" s="2" t="s">
        <v>6273</v>
      </c>
      <c r="F480" s="2">
        <v>2</v>
      </c>
      <c r="G480" s="2">
        <v>0.3</v>
      </c>
      <c r="I480" s="2">
        <v>300</v>
      </c>
      <c r="J480" s="2" t="s">
        <v>188</v>
      </c>
      <c r="M480" s="2">
        <v>0</v>
      </c>
      <c r="N480" s="2">
        <v>0</v>
      </c>
      <c r="O480" s="2" t="s">
        <v>5737</v>
      </c>
      <c r="Q480" s="2">
        <v>2025</v>
      </c>
      <c r="R480" s="2">
        <v>2025</v>
      </c>
      <c r="S480" s="2" t="s">
        <v>5735</v>
      </c>
      <c r="U480" s="2">
        <v>10</v>
      </c>
      <c r="V480" s="2" t="s">
        <v>188</v>
      </c>
    </row>
    <row r="481" spans="1:22">
      <c r="A481" s="2" t="s">
        <v>1319</v>
      </c>
      <c r="B481" s="2" t="s">
        <v>1320</v>
      </c>
      <c r="D481" s="2" t="s">
        <v>1317</v>
      </c>
      <c r="E481" s="2" t="s">
        <v>6274</v>
      </c>
      <c r="F481" s="2">
        <v>2</v>
      </c>
      <c r="G481" s="2">
        <v>0.2</v>
      </c>
      <c r="H481" s="2">
        <v>0</v>
      </c>
      <c r="I481" s="2">
        <v>270</v>
      </c>
      <c r="J481" s="2" t="s">
        <v>188</v>
      </c>
      <c r="M481" s="2">
        <v>0</v>
      </c>
      <c r="N481" s="2">
        <v>0</v>
      </c>
      <c r="O481" s="2" t="s">
        <v>5734</v>
      </c>
      <c r="Q481" s="2">
        <v>2025</v>
      </c>
      <c r="R481" s="2">
        <v>2025</v>
      </c>
      <c r="S481" s="2" t="s">
        <v>5738</v>
      </c>
      <c r="U481" s="2">
        <v>15</v>
      </c>
      <c r="V481" s="2" t="s">
        <v>188</v>
      </c>
    </row>
    <row r="482" spans="1:22">
      <c r="A482" s="2" t="s">
        <v>1319</v>
      </c>
      <c r="B482" s="2" t="s">
        <v>1320</v>
      </c>
      <c r="D482" s="2" t="s">
        <v>1317</v>
      </c>
      <c r="E482" s="2" t="s">
        <v>6275</v>
      </c>
      <c r="F482" s="2">
        <v>3</v>
      </c>
      <c r="G482" s="2">
        <v>0.4</v>
      </c>
      <c r="H482" s="2">
        <v>0</v>
      </c>
      <c r="I482" s="2">
        <v>400</v>
      </c>
      <c r="J482" s="2" t="s">
        <v>188</v>
      </c>
      <c r="M482" s="2">
        <v>0</v>
      </c>
      <c r="N482" s="2">
        <v>0</v>
      </c>
      <c r="O482" s="2" t="s">
        <v>5734</v>
      </c>
      <c r="Q482" s="2">
        <v>2025</v>
      </c>
      <c r="R482" s="2">
        <v>2025</v>
      </c>
      <c r="S482" s="2" t="s">
        <v>5738</v>
      </c>
      <c r="U482" s="2">
        <v>30</v>
      </c>
      <c r="V482" s="2" t="s">
        <v>188</v>
      </c>
    </row>
    <row r="483" spans="1:22">
      <c r="A483" s="2" t="s">
        <v>1319</v>
      </c>
      <c r="B483" s="2" t="s">
        <v>1320</v>
      </c>
      <c r="D483" s="2" t="s">
        <v>1317</v>
      </c>
      <c r="E483" s="2" t="s">
        <v>6276</v>
      </c>
      <c r="F483" s="2">
        <v>1</v>
      </c>
      <c r="G483" s="2">
        <v>0.4</v>
      </c>
      <c r="H483" s="2">
        <v>0</v>
      </c>
      <c r="I483" s="2">
        <v>400</v>
      </c>
      <c r="J483" s="2" t="s">
        <v>188</v>
      </c>
      <c r="M483" s="2">
        <v>0.4</v>
      </c>
      <c r="N483" s="2">
        <v>0.7</v>
      </c>
      <c r="O483" s="2" t="s">
        <v>5734</v>
      </c>
      <c r="Q483" s="2">
        <v>2019</v>
      </c>
      <c r="R483" s="2">
        <v>2019</v>
      </c>
      <c r="S483" s="2" t="s">
        <v>5738</v>
      </c>
      <c r="U483" s="2">
        <v>5</v>
      </c>
      <c r="V483" s="2" t="s">
        <v>188</v>
      </c>
    </row>
    <row r="484" spans="1:22">
      <c r="A484" s="2" t="s">
        <v>1477</v>
      </c>
      <c r="B484" s="2" t="s">
        <v>1477</v>
      </c>
      <c r="D484" s="2" t="s">
        <v>1476</v>
      </c>
      <c r="E484" s="2" t="s">
        <v>6277</v>
      </c>
      <c r="F484" s="2">
        <v>1</v>
      </c>
      <c r="G484" s="2">
        <v>1</v>
      </c>
      <c r="I484" s="2">
        <v>1000</v>
      </c>
      <c r="J484" s="2" t="s">
        <v>188</v>
      </c>
      <c r="M484" s="2">
        <v>1</v>
      </c>
      <c r="N484" s="2">
        <v>2.9</v>
      </c>
      <c r="O484" s="2" t="s">
        <v>5737</v>
      </c>
      <c r="Q484" s="2">
        <v>2012</v>
      </c>
      <c r="R484" s="2">
        <v>2012</v>
      </c>
      <c r="S484" s="2" t="s">
        <v>5735</v>
      </c>
      <c r="U484" s="2">
        <v>10</v>
      </c>
      <c r="V484" s="2" t="s">
        <v>188</v>
      </c>
    </row>
    <row r="485" spans="1:22">
      <c r="A485" s="2" t="s">
        <v>1477</v>
      </c>
      <c r="B485" s="2" t="s">
        <v>1477</v>
      </c>
      <c r="D485" s="2" t="s">
        <v>1476</v>
      </c>
      <c r="E485" s="2" t="s">
        <v>6278</v>
      </c>
      <c r="F485" s="2">
        <v>2</v>
      </c>
      <c r="G485" s="2">
        <v>0.6</v>
      </c>
      <c r="I485" s="2">
        <v>500</v>
      </c>
      <c r="J485" s="2" t="s">
        <v>188</v>
      </c>
      <c r="M485" s="2">
        <v>0.6</v>
      </c>
      <c r="N485" s="2">
        <v>1</v>
      </c>
      <c r="O485" s="2" t="s">
        <v>5734</v>
      </c>
      <c r="Q485" s="2">
        <v>2017</v>
      </c>
      <c r="R485" s="2">
        <v>2017</v>
      </c>
      <c r="S485" s="2" t="s">
        <v>5735</v>
      </c>
      <c r="U485" s="2">
        <v>10</v>
      </c>
      <c r="V485" s="2" t="s">
        <v>188</v>
      </c>
    </row>
    <row r="486" spans="1:22">
      <c r="A486" s="2" t="s">
        <v>1456</v>
      </c>
      <c r="B486" s="2" t="s">
        <v>1456</v>
      </c>
      <c r="D486" s="2" t="s">
        <v>1455</v>
      </c>
      <c r="E486" s="2" t="s">
        <v>6279</v>
      </c>
      <c r="F486" s="2">
        <v>1</v>
      </c>
      <c r="G486" s="2">
        <v>0.3</v>
      </c>
      <c r="I486" s="2">
        <v>300</v>
      </c>
      <c r="J486" s="2" t="s">
        <v>188</v>
      </c>
      <c r="M486" s="2">
        <v>0.3</v>
      </c>
      <c r="N486" s="2">
        <v>0.36</v>
      </c>
      <c r="O486" s="2" t="s">
        <v>5737</v>
      </c>
      <c r="Q486" s="2">
        <v>1996</v>
      </c>
      <c r="R486" s="2">
        <v>1996</v>
      </c>
      <c r="S486" s="2" t="s">
        <v>5738</v>
      </c>
      <c r="U486" s="2">
        <v>10</v>
      </c>
      <c r="V486" s="2" t="s">
        <v>188</v>
      </c>
    </row>
    <row r="487" spans="1:22">
      <c r="A487" s="2" t="s">
        <v>1456</v>
      </c>
      <c r="B487" s="2" t="s">
        <v>1456</v>
      </c>
      <c r="D487" s="2" t="s">
        <v>1455</v>
      </c>
      <c r="E487" s="2" t="s">
        <v>6280</v>
      </c>
      <c r="F487" s="2">
        <v>2</v>
      </c>
      <c r="G487" s="2">
        <v>0.1</v>
      </c>
      <c r="I487" s="2">
        <v>100</v>
      </c>
      <c r="J487" s="2" t="s">
        <v>188</v>
      </c>
      <c r="M487" s="2">
        <v>0.1</v>
      </c>
      <c r="N487" s="2">
        <v>0.15</v>
      </c>
      <c r="O487" s="2" t="s">
        <v>5737</v>
      </c>
      <c r="Q487" s="2">
        <v>2016</v>
      </c>
      <c r="R487" s="2">
        <v>2016</v>
      </c>
      <c r="S487" s="2" t="s">
        <v>5738</v>
      </c>
      <c r="U487" s="2">
        <v>10</v>
      </c>
      <c r="V487" s="2" t="s">
        <v>188</v>
      </c>
    </row>
    <row r="488" spans="1:22">
      <c r="A488" s="2" t="s">
        <v>1434</v>
      </c>
      <c r="B488" s="2" t="s">
        <v>1434</v>
      </c>
      <c r="D488" s="2" t="s">
        <v>1433</v>
      </c>
      <c r="E488" s="2" t="s">
        <v>6281</v>
      </c>
      <c r="F488" s="2">
        <v>3</v>
      </c>
      <c r="G488" s="2">
        <v>0.2</v>
      </c>
      <c r="I488" s="2">
        <v>170</v>
      </c>
      <c r="J488" s="2" t="s">
        <v>188</v>
      </c>
      <c r="M488" s="2">
        <v>0.2</v>
      </c>
      <c r="N488" s="2">
        <v>0.48</v>
      </c>
      <c r="O488" s="2" t="s">
        <v>5737</v>
      </c>
      <c r="Q488" s="2">
        <v>2015</v>
      </c>
      <c r="R488" s="2">
        <v>2015</v>
      </c>
      <c r="S488" s="2" t="s">
        <v>5738</v>
      </c>
      <c r="U488" s="2">
        <v>11</v>
      </c>
      <c r="V488" s="2" t="s">
        <v>188</v>
      </c>
    </row>
    <row r="489" spans="1:22">
      <c r="A489" s="2" t="s">
        <v>1434</v>
      </c>
      <c r="B489" s="2" t="s">
        <v>1434</v>
      </c>
      <c r="D489" s="2" t="s">
        <v>1433</v>
      </c>
      <c r="E489" s="2" t="s">
        <v>6282</v>
      </c>
      <c r="F489" s="2">
        <v>1</v>
      </c>
      <c r="G489" s="2">
        <v>0.4</v>
      </c>
      <c r="I489" s="2">
        <v>450</v>
      </c>
      <c r="J489" s="2" t="s">
        <v>187</v>
      </c>
      <c r="K489" s="2" t="s">
        <v>308</v>
      </c>
      <c r="M489" s="2">
        <v>0.4</v>
      </c>
      <c r="N489" s="2">
        <v>0.55000000000000004</v>
      </c>
      <c r="O489" s="2" t="s">
        <v>5737</v>
      </c>
      <c r="Q489" s="2">
        <v>2015</v>
      </c>
      <c r="R489" s="2">
        <v>2015</v>
      </c>
      <c r="S489" s="2" t="s">
        <v>5735</v>
      </c>
      <c r="U489" s="2">
        <v>11</v>
      </c>
      <c r="V489" s="2" t="s">
        <v>188</v>
      </c>
    </row>
    <row r="490" spans="1:22">
      <c r="A490" s="2" t="s">
        <v>1434</v>
      </c>
      <c r="B490" s="2" t="s">
        <v>1434</v>
      </c>
      <c r="D490" s="2" t="s">
        <v>1433</v>
      </c>
      <c r="E490" s="2" t="s">
        <v>6283</v>
      </c>
      <c r="F490" s="2">
        <v>4</v>
      </c>
      <c r="G490" s="2">
        <v>0.8</v>
      </c>
      <c r="I490" s="2">
        <v>900</v>
      </c>
      <c r="J490" s="2" t="s">
        <v>188</v>
      </c>
      <c r="M490" s="2">
        <v>0.3</v>
      </c>
      <c r="N490" s="2">
        <v>0.6</v>
      </c>
      <c r="O490" s="2" t="s">
        <v>5737</v>
      </c>
      <c r="Q490" s="2">
        <v>2015</v>
      </c>
      <c r="R490" s="2">
        <v>2024</v>
      </c>
      <c r="S490" s="2" t="s">
        <v>5735</v>
      </c>
      <c r="U490" s="2">
        <v>11</v>
      </c>
      <c r="V490" s="2" t="s">
        <v>188</v>
      </c>
    </row>
    <row r="491" spans="1:22">
      <c r="A491" s="2" t="s">
        <v>1434</v>
      </c>
      <c r="B491" s="2" t="s">
        <v>1434</v>
      </c>
      <c r="D491" s="2" t="s">
        <v>1433</v>
      </c>
      <c r="E491" s="2" t="s">
        <v>6284</v>
      </c>
      <c r="F491" s="2">
        <v>2</v>
      </c>
      <c r="G491" s="2">
        <v>0.6</v>
      </c>
      <c r="I491" s="2">
        <v>700</v>
      </c>
      <c r="J491" s="2" t="s">
        <v>187</v>
      </c>
      <c r="K491" s="2" t="s">
        <v>308</v>
      </c>
      <c r="M491" s="2">
        <v>0.6</v>
      </c>
      <c r="N491" s="2">
        <v>0.73</v>
      </c>
      <c r="O491" s="2" t="s">
        <v>5737</v>
      </c>
      <c r="Q491" s="2">
        <v>2015</v>
      </c>
      <c r="R491" s="2">
        <v>2015</v>
      </c>
      <c r="S491" s="2" t="s">
        <v>5735</v>
      </c>
      <c r="U491" s="2">
        <v>11</v>
      </c>
      <c r="V491" s="2" t="s">
        <v>188</v>
      </c>
    </row>
    <row r="492" spans="1:22">
      <c r="A492" s="2" t="s">
        <v>1364</v>
      </c>
      <c r="B492" s="2" t="s">
        <v>1365</v>
      </c>
      <c r="D492" s="2" t="s">
        <v>1361</v>
      </c>
      <c r="E492" s="2" t="s">
        <v>6285</v>
      </c>
      <c r="F492" s="2">
        <v>1</v>
      </c>
      <c r="G492" s="2">
        <v>0.4</v>
      </c>
      <c r="H492" s="2">
        <v>0</v>
      </c>
      <c r="I492" s="2">
        <v>400</v>
      </c>
      <c r="J492" s="2" t="s">
        <v>188</v>
      </c>
      <c r="M492" s="2">
        <v>0.4</v>
      </c>
      <c r="N492" s="2">
        <v>0.6</v>
      </c>
      <c r="O492" s="2" t="s">
        <v>5734</v>
      </c>
      <c r="Q492" s="2">
        <v>2020</v>
      </c>
      <c r="R492" s="2">
        <v>2020</v>
      </c>
      <c r="S492" s="2" t="s">
        <v>5738</v>
      </c>
      <c r="U492" s="2">
        <v>10</v>
      </c>
      <c r="V492" s="2" t="s">
        <v>188</v>
      </c>
    </row>
    <row r="493" spans="1:22">
      <c r="A493" s="2" t="s">
        <v>1364</v>
      </c>
      <c r="B493" s="2" t="s">
        <v>1365</v>
      </c>
      <c r="D493" s="2" t="s">
        <v>1361</v>
      </c>
      <c r="E493" s="2" t="s">
        <v>6286</v>
      </c>
      <c r="F493" s="2">
        <v>2</v>
      </c>
      <c r="G493" s="2">
        <v>0.15</v>
      </c>
      <c r="H493" s="2">
        <v>0</v>
      </c>
      <c r="I493" s="2">
        <v>150</v>
      </c>
      <c r="J493" s="2" t="s">
        <v>188</v>
      </c>
      <c r="M493" s="2">
        <v>0</v>
      </c>
      <c r="N493" s="2">
        <v>0</v>
      </c>
      <c r="O493" s="2" t="s">
        <v>5737</v>
      </c>
      <c r="Q493" s="2">
        <v>2024</v>
      </c>
      <c r="R493" s="2">
        <v>2024</v>
      </c>
      <c r="S493" s="2" t="s">
        <v>5738</v>
      </c>
      <c r="U493" s="2">
        <v>15</v>
      </c>
      <c r="V493" s="2" t="s">
        <v>188</v>
      </c>
    </row>
    <row r="494" spans="1:22">
      <c r="A494" s="2" t="s">
        <v>436</v>
      </c>
      <c r="B494" s="2" t="s">
        <v>1390</v>
      </c>
      <c r="D494" s="2" t="s">
        <v>1389</v>
      </c>
      <c r="E494" s="2" t="s">
        <v>6287</v>
      </c>
      <c r="F494" s="2">
        <v>3</v>
      </c>
      <c r="G494" s="2">
        <v>0.6</v>
      </c>
      <c r="I494" s="2">
        <v>600</v>
      </c>
      <c r="J494" s="2" t="s">
        <v>188</v>
      </c>
      <c r="M494" s="2">
        <v>0.6</v>
      </c>
      <c r="N494" s="2">
        <v>0.8</v>
      </c>
      <c r="O494" s="2" t="s">
        <v>5737</v>
      </c>
      <c r="Q494" s="2">
        <v>2022</v>
      </c>
      <c r="R494" s="2">
        <v>2022</v>
      </c>
      <c r="U494" s="2">
        <v>11</v>
      </c>
    </row>
    <row r="495" spans="1:22">
      <c r="A495" s="2" t="s">
        <v>436</v>
      </c>
      <c r="B495" s="2" t="s">
        <v>1390</v>
      </c>
      <c r="D495" s="2" t="s">
        <v>1389</v>
      </c>
      <c r="E495" s="2" t="s">
        <v>6288</v>
      </c>
      <c r="F495" s="2">
        <v>1</v>
      </c>
      <c r="G495" s="2">
        <v>0.4</v>
      </c>
      <c r="I495" s="2">
        <v>400</v>
      </c>
      <c r="J495" s="2" t="s">
        <v>187</v>
      </c>
      <c r="K495" s="2" t="s">
        <v>5766</v>
      </c>
      <c r="L495" s="2" t="s">
        <v>5867</v>
      </c>
      <c r="M495" s="2">
        <v>0.4</v>
      </c>
      <c r="N495" s="2">
        <v>0.4</v>
      </c>
      <c r="O495" s="2" t="s">
        <v>5734</v>
      </c>
      <c r="Q495" s="2">
        <v>2011</v>
      </c>
      <c r="R495" s="2">
        <v>2011</v>
      </c>
      <c r="S495" s="2" t="s">
        <v>5738</v>
      </c>
      <c r="U495" s="2">
        <v>10</v>
      </c>
      <c r="V495" s="2" t="s">
        <v>188</v>
      </c>
    </row>
    <row r="496" spans="1:22">
      <c r="A496" s="2" t="s">
        <v>436</v>
      </c>
      <c r="B496" s="2" t="s">
        <v>1390</v>
      </c>
      <c r="D496" s="2" t="s">
        <v>1389</v>
      </c>
      <c r="E496" s="2" t="s">
        <v>6289</v>
      </c>
      <c r="F496" s="2">
        <v>2</v>
      </c>
      <c r="G496" s="2">
        <v>0.55000000000000004</v>
      </c>
      <c r="I496" s="2">
        <v>550</v>
      </c>
      <c r="J496" s="2" t="s">
        <v>188</v>
      </c>
      <c r="M496" s="2">
        <v>0.55000000000000004</v>
      </c>
      <c r="N496" s="2">
        <v>0.7</v>
      </c>
      <c r="O496" s="2" t="s">
        <v>5737</v>
      </c>
      <c r="Q496" s="2">
        <v>2020</v>
      </c>
      <c r="R496" s="2">
        <v>2020</v>
      </c>
      <c r="S496" s="2" t="s">
        <v>5735</v>
      </c>
      <c r="U496" s="2">
        <v>11</v>
      </c>
      <c r="V496" s="2" t="s">
        <v>188</v>
      </c>
    </row>
    <row r="497" spans="1:22">
      <c r="A497" s="2" t="s">
        <v>1386</v>
      </c>
      <c r="B497" s="2" t="s">
        <v>1387</v>
      </c>
      <c r="D497" s="2" t="s">
        <v>1383</v>
      </c>
      <c r="E497" s="2" t="s">
        <v>6290</v>
      </c>
      <c r="F497" s="2">
        <v>2</v>
      </c>
      <c r="G497" s="2">
        <v>0.1</v>
      </c>
      <c r="H497" s="2">
        <v>0</v>
      </c>
      <c r="I497" s="2">
        <v>100</v>
      </c>
      <c r="J497" s="2" t="s">
        <v>188</v>
      </c>
      <c r="M497" s="2">
        <v>0.1</v>
      </c>
      <c r="N497" s="2">
        <v>0.2</v>
      </c>
      <c r="O497" s="2" t="s">
        <v>5737</v>
      </c>
      <c r="Q497" s="2">
        <v>2018</v>
      </c>
      <c r="R497" s="2">
        <v>2018</v>
      </c>
      <c r="S497" s="2" t="s">
        <v>5738</v>
      </c>
      <c r="U497" s="2">
        <v>25</v>
      </c>
      <c r="V497" s="2" t="s">
        <v>188</v>
      </c>
    </row>
    <row r="498" spans="1:22">
      <c r="A498" s="2" t="s">
        <v>1386</v>
      </c>
      <c r="B498" s="2" t="s">
        <v>1387</v>
      </c>
      <c r="D498" s="2" t="s">
        <v>1383</v>
      </c>
      <c r="E498" s="2" t="s">
        <v>6291</v>
      </c>
      <c r="F498" s="2">
        <v>1</v>
      </c>
      <c r="G498" s="2">
        <v>0.3</v>
      </c>
      <c r="H498" s="2">
        <v>0</v>
      </c>
      <c r="I498" s="2">
        <v>300</v>
      </c>
      <c r="J498" s="2" t="s">
        <v>188</v>
      </c>
      <c r="M498" s="2">
        <v>0.3</v>
      </c>
      <c r="N498" s="2">
        <v>0.5</v>
      </c>
      <c r="O498" s="2" t="s">
        <v>5734</v>
      </c>
      <c r="Q498" s="2">
        <v>2022</v>
      </c>
      <c r="R498" s="2">
        <v>2022</v>
      </c>
      <c r="S498" s="2" t="s">
        <v>5738</v>
      </c>
      <c r="U498" s="2">
        <v>20</v>
      </c>
      <c r="V498" s="2" t="s">
        <v>188</v>
      </c>
    </row>
    <row r="499" spans="1:22">
      <c r="A499" s="2" t="s">
        <v>1426</v>
      </c>
      <c r="B499" s="2" t="s">
        <v>1427</v>
      </c>
      <c r="D499" s="2" t="s">
        <v>1424</v>
      </c>
      <c r="E499" s="2" t="s">
        <v>6292</v>
      </c>
      <c r="F499" s="2">
        <v>2</v>
      </c>
      <c r="G499" s="2">
        <v>0.2</v>
      </c>
      <c r="H499" s="2">
        <v>0</v>
      </c>
      <c r="I499" s="2">
        <v>250</v>
      </c>
      <c r="J499" s="2" t="s">
        <v>188</v>
      </c>
      <c r="O499" s="2" t="s">
        <v>5737</v>
      </c>
      <c r="Q499" s="2">
        <v>2024</v>
      </c>
      <c r="R499" s="2">
        <v>2024</v>
      </c>
      <c r="S499" s="2" t="s">
        <v>5738</v>
      </c>
      <c r="U499" s="2">
        <v>20</v>
      </c>
      <c r="V499" s="2" t="s">
        <v>188</v>
      </c>
    </row>
    <row r="500" spans="1:22">
      <c r="A500" s="2" t="s">
        <v>1426</v>
      </c>
      <c r="B500" s="2" t="s">
        <v>1427</v>
      </c>
      <c r="D500" s="2" t="s">
        <v>1424</v>
      </c>
      <c r="E500" s="2" t="s">
        <v>6293</v>
      </c>
      <c r="F500" s="2">
        <v>3</v>
      </c>
      <c r="G500" s="2">
        <v>0.3</v>
      </c>
      <c r="H500" s="2">
        <v>0</v>
      </c>
      <c r="I500" s="2">
        <v>300</v>
      </c>
      <c r="J500" s="2" t="s">
        <v>188</v>
      </c>
      <c r="M500" s="2">
        <v>0.3</v>
      </c>
      <c r="N500" s="2">
        <v>0.5</v>
      </c>
      <c r="O500" s="2" t="s">
        <v>5737</v>
      </c>
      <c r="Q500" s="2">
        <v>2023</v>
      </c>
      <c r="R500" s="2">
        <v>2023</v>
      </c>
      <c r="S500" s="2" t="s">
        <v>5738</v>
      </c>
      <c r="U500" s="2">
        <v>26</v>
      </c>
      <c r="V500" s="2" t="s">
        <v>188</v>
      </c>
    </row>
    <row r="501" spans="1:22">
      <c r="A501" s="2" t="s">
        <v>1426</v>
      </c>
      <c r="B501" s="2" t="s">
        <v>1427</v>
      </c>
      <c r="D501" s="2" t="s">
        <v>1424</v>
      </c>
      <c r="E501" s="2" t="s">
        <v>6294</v>
      </c>
      <c r="F501" s="2">
        <v>1</v>
      </c>
      <c r="G501" s="2">
        <v>0.9</v>
      </c>
      <c r="H501" s="2">
        <v>0</v>
      </c>
      <c r="I501" s="2">
        <v>900</v>
      </c>
      <c r="J501" s="2" t="s">
        <v>188</v>
      </c>
      <c r="M501" s="2">
        <v>0.9</v>
      </c>
      <c r="N501" s="2">
        <v>1</v>
      </c>
      <c r="O501" s="2" t="s">
        <v>5737</v>
      </c>
      <c r="Q501" s="2">
        <v>2018</v>
      </c>
      <c r="R501" s="2">
        <v>2018</v>
      </c>
      <c r="S501" s="2" t="s">
        <v>5738</v>
      </c>
      <c r="U501" s="2">
        <v>26</v>
      </c>
      <c r="V501" s="2" t="s">
        <v>188</v>
      </c>
    </row>
    <row r="502" spans="1:22">
      <c r="A502" s="2" t="s">
        <v>1352</v>
      </c>
      <c r="B502" s="2" t="s">
        <v>1353</v>
      </c>
      <c r="D502" s="2" t="s">
        <v>1351</v>
      </c>
      <c r="E502" s="2" t="s">
        <v>6295</v>
      </c>
      <c r="F502" s="2">
        <v>2</v>
      </c>
      <c r="G502" s="2">
        <v>0.2</v>
      </c>
      <c r="I502" s="2">
        <v>200</v>
      </c>
      <c r="J502" s="2" t="s">
        <v>188</v>
      </c>
      <c r="M502" s="2">
        <v>0.2</v>
      </c>
      <c r="N502" s="2">
        <v>0.6</v>
      </c>
      <c r="O502" s="2" t="s">
        <v>5737</v>
      </c>
      <c r="Q502" s="2">
        <v>2008</v>
      </c>
      <c r="R502" s="2">
        <v>2008</v>
      </c>
      <c r="U502" s="2">
        <v>11</v>
      </c>
      <c r="V502" s="2" t="s">
        <v>188</v>
      </c>
    </row>
    <row r="503" spans="1:22">
      <c r="A503" s="2" t="s">
        <v>1352</v>
      </c>
      <c r="B503" s="2" t="s">
        <v>1353</v>
      </c>
      <c r="D503" s="2" t="s">
        <v>1351</v>
      </c>
      <c r="E503" s="2" t="s">
        <v>6296</v>
      </c>
      <c r="F503" s="2">
        <v>3</v>
      </c>
      <c r="G503" s="2">
        <v>0.3</v>
      </c>
      <c r="I503" s="2">
        <v>300</v>
      </c>
      <c r="J503" s="2" t="s">
        <v>188</v>
      </c>
      <c r="M503" s="2">
        <v>0.3</v>
      </c>
      <c r="N503" s="2">
        <v>0.7</v>
      </c>
      <c r="O503" s="2" t="s">
        <v>5737</v>
      </c>
      <c r="Q503" s="2">
        <v>2008</v>
      </c>
      <c r="R503" s="2">
        <v>2008</v>
      </c>
      <c r="S503" s="2" t="s">
        <v>5738</v>
      </c>
      <c r="U503" s="2">
        <v>11</v>
      </c>
      <c r="V503" s="2" t="s">
        <v>188</v>
      </c>
    </row>
    <row r="504" spans="1:22">
      <c r="A504" s="2" t="s">
        <v>1352</v>
      </c>
      <c r="B504" s="2" t="s">
        <v>1353</v>
      </c>
      <c r="D504" s="2" t="s">
        <v>1351</v>
      </c>
      <c r="E504" s="2" t="s">
        <v>6297</v>
      </c>
      <c r="F504" s="2">
        <v>1</v>
      </c>
      <c r="G504" s="2">
        <v>0.4</v>
      </c>
      <c r="I504" s="2">
        <v>450</v>
      </c>
      <c r="J504" s="2" t="s">
        <v>188</v>
      </c>
      <c r="M504" s="2">
        <v>0</v>
      </c>
      <c r="N504" s="2">
        <v>0</v>
      </c>
      <c r="O504" s="2" t="s">
        <v>5737</v>
      </c>
      <c r="Q504" s="2">
        <v>2024</v>
      </c>
      <c r="R504" s="2">
        <v>2024</v>
      </c>
      <c r="S504" s="2" t="s">
        <v>5738</v>
      </c>
      <c r="U504" s="2">
        <v>15</v>
      </c>
      <c r="V504" s="2" t="s">
        <v>188</v>
      </c>
    </row>
    <row r="505" spans="1:22">
      <c r="A505" s="2" t="s">
        <v>1352</v>
      </c>
      <c r="B505" s="2" t="s">
        <v>1353</v>
      </c>
      <c r="D505" s="2" t="s">
        <v>1351</v>
      </c>
      <c r="E505" s="2" t="s">
        <v>6298</v>
      </c>
      <c r="F505" s="2">
        <v>4</v>
      </c>
      <c r="G505" s="2">
        <v>0.5</v>
      </c>
      <c r="I505" s="2">
        <v>500</v>
      </c>
      <c r="J505" s="2" t="s">
        <v>188</v>
      </c>
      <c r="M505" s="2">
        <v>0.5</v>
      </c>
      <c r="N505" s="2">
        <v>1.3</v>
      </c>
      <c r="Q505" s="2">
        <v>2008</v>
      </c>
      <c r="R505" s="2">
        <v>2008</v>
      </c>
      <c r="S505" s="2" t="s">
        <v>5738</v>
      </c>
      <c r="U505" s="2">
        <v>11</v>
      </c>
      <c r="V505" s="2" t="s">
        <v>188</v>
      </c>
    </row>
    <row r="506" spans="1:22">
      <c r="A506" s="2" t="s">
        <v>1451</v>
      </c>
      <c r="B506" s="2" t="s">
        <v>1452</v>
      </c>
      <c r="D506" s="2" t="s">
        <v>1449</v>
      </c>
      <c r="E506" s="2" t="s">
        <v>6299</v>
      </c>
      <c r="F506" s="2">
        <v>1</v>
      </c>
      <c r="G506" s="2">
        <v>1</v>
      </c>
      <c r="H506" s="2">
        <v>0</v>
      </c>
      <c r="I506" s="2">
        <v>1000</v>
      </c>
      <c r="J506" s="2" t="s">
        <v>188</v>
      </c>
      <c r="M506" s="2">
        <v>1</v>
      </c>
      <c r="N506" s="2">
        <v>1.2</v>
      </c>
      <c r="O506" s="2" t="s">
        <v>5734</v>
      </c>
      <c r="Q506" s="2">
        <v>2022</v>
      </c>
      <c r="R506" s="2">
        <v>2022</v>
      </c>
      <c r="S506" s="2" t="s">
        <v>5738</v>
      </c>
      <c r="U506" s="2">
        <v>5</v>
      </c>
      <c r="V506" s="2" t="s">
        <v>188</v>
      </c>
    </row>
    <row r="507" spans="1:22">
      <c r="A507" s="2" t="s">
        <v>1451</v>
      </c>
      <c r="B507" s="2" t="s">
        <v>1452</v>
      </c>
      <c r="D507" s="2" t="s">
        <v>1449</v>
      </c>
      <c r="E507" s="2" t="s">
        <v>6300</v>
      </c>
      <c r="F507" s="2">
        <v>2</v>
      </c>
      <c r="G507" s="2">
        <v>0.5</v>
      </c>
      <c r="H507" s="2">
        <v>0</v>
      </c>
      <c r="I507" s="2">
        <v>500</v>
      </c>
      <c r="J507" s="2" t="s">
        <v>188</v>
      </c>
      <c r="M507" s="2">
        <v>0.5</v>
      </c>
      <c r="N507" s="2">
        <v>0.6</v>
      </c>
      <c r="O507" s="2" t="s">
        <v>5734</v>
      </c>
      <c r="Q507" s="2">
        <v>2019</v>
      </c>
      <c r="R507" s="2">
        <v>2019</v>
      </c>
      <c r="S507" s="2" t="s">
        <v>5738</v>
      </c>
      <c r="U507" s="2">
        <v>5</v>
      </c>
      <c r="V507" s="2" t="s">
        <v>188</v>
      </c>
    </row>
    <row r="508" spans="1:22">
      <c r="A508" s="2" t="s">
        <v>1298</v>
      </c>
      <c r="B508" s="2" t="s">
        <v>1298</v>
      </c>
      <c r="D508" s="2" t="s">
        <v>1297</v>
      </c>
      <c r="E508" s="2" t="s">
        <v>6301</v>
      </c>
      <c r="F508" s="2">
        <v>2</v>
      </c>
      <c r="G508" s="2">
        <v>1</v>
      </c>
      <c r="I508" s="2">
        <v>1000</v>
      </c>
      <c r="J508" s="2" t="s">
        <v>187</v>
      </c>
      <c r="K508" s="2" t="s">
        <v>5766</v>
      </c>
      <c r="L508" s="2" t="s">
        <v>5867</v>
      </c>
      <c r="M508" s="2">
        <v>1</v>
      </c>
      <c r="N508" s="2">
        <v>1.5</v>
      </c>
      <c r="O508" s="2" t="s">
        <v>5737</v>
      </c>
      <c r="Q508" s="2">
        <v>2009</v>
      </c>
      <c r="R508" s="2">
        <v>2009</v>
      </c>
      <c r="S508" s="2" t="s">
        <v>5738</v>
      </c>
      <c r="U508" s="2">
        <v>11</v>
      </c>
      <c r="V508" s="2" t="s">
        <v>187</v>
      </c>
    </row>
    <row r="509" spans="1:22">
      <c r="A509" s="2" t="s">
        <v>1298</v>
      </c>
      <c r="B509" s="2" t="s">
        <v>1298</v>
      </c>
      <c r="D509" s="2" t="s">
        <v>1297</v>
      </c>
      <c r="E509" s="2" t="s">
        <v>6302</v>
      </c>
      <c r="F509" s="2">
        <v>3</v>
      </c>
      <c r="G509" s="2">
        <v>1</v>
      </c>
      <c r="I509" s="2">
        <v>1000</v>
      </c>
      <c r="J509" s="2" t="s">
        <v>188</v>
      </c>
      <c r="M509" s="2">
        <v>1</v>
      </c>
      <c r="N509" s="2">
        <v>0.48</v>
      </c>
      <c r="O509" s="2" t="s">
        <v>5734</v>
      </c>
      <c r="Q509" s="2">
        <v>2022</v>
      </c>
      <c r="R509" s="2">
        <v>2022</v>
      </c>
      <c r="U509" s="2">
        <v>11</v>
      </c>
      <c r="V509" s="2" t="s">
        <v>188</v>
      </c>
    </row>
    <row r="510" spans="1:22">
      <c r="A510" s="2" t="s">
        <v>1298</v>
      </c>
      <c r="B510" s="2" t="s">
        <v>1298</v>
      </c>
      <c r="D510" s="2" t="s">
        <v>1297</v>
      </c>
      <c r="E510" s="2" t="s">
        <v>6303</v>
      </c>
      <c r="F510" s="2">
        <v>4</v>
      </c>
      <c r="G510" s="2">
        <v>0.2</v>
      </c>
      <c r="I510" s="2">
        <v>200</v>
      </c>
      <c r="J510" s="2" t="s">
        <v>188</v>
      </c>
      <c r="M510" s="2">
        <v>0.2</v>
      </c>
      <c r="N510" s="2">
        <v>0.15</v>
      </c>
      <c r="O510" s="2" t="s">
        <v>5734</v>
      </c>
      <c r="Q510" s="2">
        <v>2021</v>
      </c>
      <c r="R510" s="2">
        <v>2021</v>
      </c>
      <c r="S510" s="2" t="s">
        <v>5771</v>
      </c>
      <c r="U510" s="2">
        <v>10</v>
      </c>
      <c r="V510" s="2" t="s">
        <v>188</v>
      </c>
    </row>
    <row r="511" spans="1:22">
      <c r="A511" s="2" t="s">
        <v>1298</v>
      </c>
      <c r="B511" s="2" t="s">
        <v>1298</v>
      </c>
      <c r="D511" s="2" t="s">
        <v>1297</v>
      </c>
      <c r="E511" s="2" t="s">
        <v>6304</v>
      </c>
      <c r="F511" s="2">
        <v>1</v>
      </c>
      <c r="G511" s="2">
        <v>0.4</v>
      </c>
      <c r="I511" s="2">
        <v>460</v>
      </c>
      <c r="J511" s="2" t="s">
        <v>188</v>
      </c>
      <c r="M511" s="2">
        <v>0.4</v>
      </c>
      <c r="N511" s="2">
        <v>1.1000000000000001</v>
      </c>
      <c r="O511" s="2" t="s">
        <v>5737</v>
      </c>
      <c r="Q511" s="2">
        <v>2008</v>
      </c>
      <c r="R511" s="2">
        <v>2008</v>
      </c>
      <c r="S511" s="2" t="s">
        <v>5738</v>
      </c>
      <c r="U511" s="2">
        <v>10</v>
      </c>
      <c r="V511" s="2" t="s">
        <v>187</v>
      </c>
    </row>
    <row r="512" spans="1:22">
      <c r="A512" s="2" t="s">
        <v>731</v>
      </c>
      <c r="B512" s="2" t="s">
        <v>731</v>
      </c>
      <c r="D512" s="2" t="s">
        <v>728</v>
      </c>
      <c r="E512" s="2" t="s">
        <v>6305</v>
      </c>
      <c r="F512" s="2">
        <v>2</v>
      </c>
      <c r="G512" s="2">
        <v>0.3</v>
      </c>
      <c r="H512" s="2">
        <v>0</v>
      </c>
      <c r="I512" s="2">
        <v>360</v>
      </c>
      <c r="J512" s="2" t="s">
        <v>188</v>
      </c>
      <c r="M512" s="2">
        <v>0.3</v>
      </c>
      <c r="N512" s="2">
        <v>1</v>
      </c>
      <c r="O512" s="2" t="s">
        <v>5734</v>
      </c>
      <c r="Q512" s="2">
        <v>1995</v>
      </c>
      <c r="R512" s="2">
        <v>2013</v>
      </c>
      <c r="S512" s="2" t="s">
        <v>5735</v>
      </c>
      <c r="U512" s="2">
        <v>30</v>
      </c>
      <c r="V512" s="2" t="s">
        <v>188</v>
      </c>
    </row>
    <row r="513" spans="1:22">
      <c r="A513" s="2" t="s">
        <v>731</v>
      </c>
      <c r="B513" s="2" t="s">
        <v>731</v>
      </c>
      <c r="D513" s="2" t="s">
        <v>728</v>
      </c>
      <c r="E513" s="2" t="s">
        <v>6306</v>
      </c>
      <c r="F513" s="2">
        <v>1</v>
      </c>
      <c r="G513" s="2">
        <v>0.4</v>
      </c>
      <c r="H513" s="2">
        <v>0</v>
      </c>
      <c r="I513" s="2">
        <v>500</v>
      </c>
      <c r="J513" s="2" t="s">
        <v>187</v>
      </c>
      <c r="K513" s="2" t="s">
        <v>1523</v>
      </c>
      <c r="M513" s="2">
        <v>0.4</v>
      </c>
      <c r="N513" s="2">
        <v>1.5</v>
      </c>
      <c r="O513" s="2" t="s">
        <v>5734</v>
      </c>
      <c r="Q513" s="2">
        <v>1995</v>
      </c>
      <c r="R513" s="2">
        <v>2017</v>
      </c>
      <c r="S513" s="2" t="s">
        <v>5735</v>
      </c>
      <c r="U513" s="2">
        <v>30</v>
      </c>
      <c r="V513" s="2" t="s">
        <v>188</v>
      </c>
    </row>
    <row r="514" spans="1:22">
      <c r="A514" s="2" t="s">
        <v>731</v>
      </c>
      <c r="B514" s="2" t="s">
        <v>731</v>
      </c>
      <c r="D514" s="2" t="s">
        <v>728</v>
      </c>
      <c r="E514" s="2" t="s">
        <v>6307</v>
      </c>
      <c r="F514" s="2">
        <v>3</v>
      </c>
      <c r="G514" s="2">
        <v>0.2</v>
      </c>
      <c r="H514" s="2">
        <v>0</v>
      </c>
      <c r="I514" s="2">
        <v>240</v>
      </c>
      <c r="J514" s="2" t="s">
        <v>188</v>
      </c>
      <c r="M514" s="2">
        <v>0.2</v>
      </c>
      <c r="N514" s="2">
        <v>1</v>
      </c>
      <c r="O514" s="2" t="s">
        <v>5734</v>
      </c>
      <c r="Q514" s="2">
        <v>1995</v>
      </c>
      <c r="R514" s="2">
        <v>2010</v>
      </c>
      <c r="S514" s="2" t="s">
        <v>5735</v>
      </c>
      <c r="U514" s="2">
        <v>30</v>
      </c>
      <c r="V514" s="2" t="s">
        <v>188</v>
      </c>
    </row>
    <row r="515" spans="1:22">
      <c r="A515" s="2" t="s">
        <v>1471</v>
      </c>
      <c r="B515" s="2" t="s">
        <v>1472</v>
      </c>
      <c r="D515" s="2" t="s">
        <v>1469</v>
      </c>
      <c r="E515" s="2" t="s">
        <v>6308</v>
      </c>
      <c r="F515" s="2">
        <v>1</v>
      </c>
      <c r="G515" s="2">
        <v>0.8</v>
      </c>
      <c r="H515" s="2">
        <v>0</v>
      </c>
      <c r="I515" s="2">
        <v>800</v>
      </c>
      <c r="J515" s="2" t="s">
        <v>188</v>
      </c>
      <c r="M515" s="2">
        <v>0.8</v>
      </c>
      <c r="N515" s="2">
        <v>1.3</v>
      </c>
      <c r="O515" s="2" t="s">
        <v>5737</v>
      </c>
      <c r="Q515" s="2">
        <v>2009</v>
      </c>
      <c r="R515" s="2">
        <v>2009</v>
      </c>
      <c r="S515" s="2" t="s">
        <v>5738</v>
      </c>
      <c r="U515" s="2">
        <v>15</v>
      </c>
      <c r="V515" s="2" t="s">
        <v>188</v>
      </c>
    </row>
    <row r="516" spans="1:22">
      <c r="A516" s="2" t="s">
        <v>1471</v>
      </c>
      <c r="B516" s="2" t="s">
        <v>1472</v>
      </c>
      <c r="D516" s="2" t="s">
        <v>1469</v>
      </c>
      <c r="E516" s="2" t="s">
        <v>6309</v>
      </c>
      <c r="F516" s="2">
        <v>2</v>
      </c>
      <c r="G516" s="2">
        <v>0.5</v>
      </c>
      <c r="H516" s="2">
        <v>0</v>
      </c>
      <c r="I516" s="2">
        <v>500</v>
      </c>
      <c r="J516" s="2" t="s">
        <v>188</v>
      </c>
      <c r="M516" s="2">
        <v>0.5</v>
      </c>
      <c r="N516" s="2">
        <v>0.8</v>
      </c>
      <c r="O516" s="2" t="s">
        <v>5737</v>
      </c>
      <c r="Q516" s="2">
        <v>2016</v>
      </c>
      <c r="R516" s="2">
        <v>2016</v>
      </c>
      <c r="S516" s="2" t="s">
        <v>5738</v>
      </c>
      <c r="U516" s="2">
        <v>20</v>
      </c>
      <c r="V516" s="2" t="s">
        <v>188</v>
      </c>
    </row>
    <row r="517" spans="1:22">
      <c r="A517" s="2" t="s">
        <v>1251</v>
      </c>
      <c r="B517" s="2" t="s">
        <v>1251</v>
      </c>
      <c r="D517" s="2" t="s">
        <v>1250</v>
      </c>
      <c r="E517" s="2" t="s">
        <v>6310</v>
      </c>
      <c r="F517" s="2">
        <v>2</v>
      </c>
      <c r="G517" s="2">
        <v>0.2</v>
      </c>
      <c r="I517" s="2">
        <v>200</v>
      </c>
      <c r="J517" s="2" t="s">
        <v>187</v>
      </c>
      <c r="K517" s="2" t="s">
        <v>5766</v>
      </c>
      <c r="L517" s="2" t="s">
        <v>6311</v>
      </c>
      <c r="M517" s="2">
        <v>0.2</v>
      </c>
      <c r="N517" s="2">
        <v>0.4</v>
      </c>
      <c r="O517" s="2" t="s">
        <v>5737</v>
      </c>
      <c r="Q517" s="2">
        <v>2018</v>
      </c>
      <c r="R517" s="2">
        <v>2018</v>
      </c>
      <c r="S517" s="2" t="s">
        <v>5738</v>
      </c>
      <c r="U517" s="2">
        <v>10</v>
      </c>
      <c r="V517" s="2" t="s">
        <v>188</v>
      </c>
    </row>
    <row r="518" spans="1:22">
      <c r="A518" s="2" t="s">
        <v>1251</v>
      </c>
      <c r="B518" s="2" t="s">
        <v>1251</v>
      </c>
      <c r="D518" s="2" t="s">
        <v>1250</v>
      </c>
      <c r="E518" s="2" t="s">
        <v>6312</v>
      </c>
      <c r="F518" s="2">
        <v>3</v>
      </c>
      <c r="G518" s="2">
        <v>0.45</v>
      </c>
      <c r="I518" s="2">
        <v>860</v>
      </c>
      <c r="J518" s="2" t="s">
        <v>188</v>
      </c>
      <c r="M518" s="2">
        <v>0</v>
      </c>
      <c r="N518" s="2">
        <v>0</v>
      </c>
      <c r="O518" s="2" t="s">
        <v>5737</v>
      </c>
      <c r="Q518" s="2">
        <v>2025</v>
      </c>
      <c r="R518" s="2">
        <v>2025</v>
      </c>
      <c r="S518" s="2" t="s">
        <v>5735</v>
      </c>
      <c r="U518" s="2">
        <v>10</v>
      </c>
      <c r="V518" s="2" t="s">
        <v>188</v>
      </c>
    </row>
    <row r="519" spans="1:22">
      <c r="A519" s="2" t="s">
        <v>1251</v>
      </c>
      <c r="B519" s="2" t="s">
        <v>1251</v>
      </c>
      <c r="D519" s="2" t="s">
        <v>1250</v>
      </c>
      <c r="E519" s="2" t="s">
        <v>6313</v>
      </c>
      <c r="F519" s="2">
        <v>1</v>
      </c>
      <c r="G519" s="2">
        <v>0.5</v>
      </c>
      <c r="I519" s="2">
        <v>500</v>
      </c>
      <c r="J519" s="2" t="s">
        <v>187</v>
      </c>
      <c r="K519" s="2" t="s">
        <v>5766</v>
      </c>
      <c r="L519" s="2" t="s">
        <v>6311</v>
      </c>
      <c r="M519" s="2">
        <v>0.5</v>
      </c>
      <c r="N519" s="2">
        <v>1.1000000000000001</v>
      </c>
      <c r="O519" s="2" t="s">
        <v>5737</v>
      </c>
      <c r="Q519" s="2">
        <v>2018</v>
      </c>
      <c r="R519" s="2">
        <v>2018</v>
      </c>
      <c r="S519" s="2" t="s">
        <v>5738</v>
      </c>
      <c r="U519" s="2">
        <v>10</v>
      </c>
      <c r="V519" s="2" t="s">
        <v>188</v>
      </c>
    </row>
    <row r="520" spans="1:22">
      <c r="A520" s="2" t="s">
        <v>1481</v>
      </c>
      <c r="B520" s="2" t="s">
        <v>1482</v>
      </c>
      <c r="D520" s="2" t="s">
        <v>1479</v>
      </c>
      <c r="E520" s="2" t="s">
        <v>6314</v>
      </c>
      <c r="F520" s="2">
        <v>1</v>
      </c>
      <c r="G520" s="2">
        <v>0.4</v>
      </c>
      <c r="H520" s="2">
        <v>0</v>
      </c>
      <c r="I520" s="2">
        <v>400</v>
      </c>
      <c r="J520" s="2" t="s">
        <v>188</v>
      </c>
      <c r="M520" s="2">
        <v>0.4</v>
      </c>
      <c r="N520" s="2">
        <v>1</v>
      </c>
      <c r="O520" s="2" t="s">
        <v>5734</v>
      </c>
      <c r="Q520" s="2">
        <v>2017</v>
      </c>
      <c r="R520" s="2">
        <v>2017</v>
      </c>
      <c r="S520" s="2" t="s">
        <v>5738</v>
      </c>
      <c r="U520" s="2">
        <v>30</v>
      </c>
      <c r="V520" s="2" t="s">
        <v>188</v>
      </c>
    </row>
    <row r="521" spans="1:22">
      <c r="A521" s="2" t="s">
        <v>1481</v>
      </c>
      <c r="B521" s="2" t="s">
        <v>1482</v>
      </c>
      <c r="D521" s="2" t="s">
        <v>1479</v>
      </c>
      <c r="E521" s="2" t="s">
        <v>6315</v>
      </c>
      <c r="F521" s="2">
        <v>2</v>
      </c>
      <c r="G521" s="2">
        <v>0.2</v>
      </c>
      <c r="H521" s="2">
        <v>0</v>
      </c>
      <c r="I521" s="2">
        <v>200</v>
      </c>
      <c r="J521" s="2" t="s">
        <v>188</v>
      </c>
      <c r="M521" s="2">
        <v>0.2</v>
      </c>
      <c r="N521" s="2">
        <v>0.5</v>
      </c>
      <c r="O521" s="2" t="s">
        <v>5734</v>
      </c>
      <c r="Q521" s="2">
        <v>2023</v>
      </c>
      <c r="R521" s="2">
        <v>2023</v>
      </c>
      <c r="S521" s="2" t="s">
        <v>5738</v>
      </c>
      <c r="U521" s="2">
        <v>25</v>
      </c>
      <c r="V521" s="2" t="s">
        <v>188</v>
      </c>
    </row>
    <row r="522" spans="1:22">
      <c r="A522" s="2" t="s">
        <v>1208</v>
      </c>
      <c r="B522" s="2" t="s">
        <v>1209</v>
      </c>
      <c r="D522" s="2" t="s">
        <v>1205</v>
      </c>
      <c r="E522" s="2" t="s">
        <v>6316</v>
      </c>
      <c r="F522" s="2">
        <v>3</v>
      </c>
      <c r="G522" s="2">
        <v>1.7</v>
      </c>
      <c r="I522" s="2">
        <v>1800</v>
      </c>
      <c r="J522" s="2" t="s">
        <v>188</v>
      </c>
      <c r="M522" s="2">
        <v>1</v>
      </c>
      <c r="N522" s="2">
        <v>1.2</v>
      </c>
      <c r="O522" s="2" t="s">
        <v>5737</v>
      </c>
      <c r="Q522" s="2">
        <v>2009</v>
      </c>
      <c r="R522" s="2">
        <v>2025</v>
      </c>
      <c r="S522" s="2" t="s">
        <v>5735</v>
      </c>
      <c r="U522" s="2">
        <v>25</v>
      </c>
      <c r="V522" s="2" t="s">
        <v>187</v>
      </c>
    </row>
    <row r="523" spans="1:22">
      <c r="A523" s="2" t="s">
        <v>1208</v>
      </c>
      <c r="B523" s="2" t="s">
        <v>1209</v>
      </c>
      <c r="D523" s="2" t="s">
        <v>1205</v>
      </c>
      <c r="E523" s="2" t="s">
        <v>6317</v>
      </c>
      <c r="F523" s="2">
        <v>1</v>
      </c>
      <c r="G523" s="2">
        <v>0.9</v>
      </c>
      <c r="I523" s="2">
        <v>1000</v>
      </c>
      <c r="J523" s="2" t="s">
        <v>187</v>
      </c>
      <c r="K523" s="2" t="s">
        <v>5773</v>
      </c>
      <c r="M523" s="2">
        <v>0.9</v>
      </c>
      <c r="N523" s="2">
        <v>1.5</v>
      </c>
      <c r="O523" s="2" t="s">
        <v>5737</v>
      </c>
      <c r="Q523" s="2">
        <v>2009</v>
      </c>
      <c r="R523" s="2">
        <v>2009</v>
      </c>
      <c r="S523" s="2" t="s">
        <v>5738</v>
      </c>
      <c r="U523" s="2">
        <v>25</v>
      </c>
      <c r="V523" s="2" t="s">
        <v>187</v>
      </c>
    </row>
    <row r="524" spans="1:22">
      <c r="A524" s="2" t="s">
        <v>1208</v>
      </c>
      <c r="B524" s="2" t="s">
        <v>1209</v>
      </c>
      <c r="D524" s="2" t="s">
        <v>1205</v>
      </c>
      <c r="E524" s="2" t="s">
        <v>6318</v>
      </c>
      <c r="F524" s="2">
        <v>2</v>
      </c>
      <c r="G524" s="2">
        <v>2</v>
      </c>
      <c r="I524" s="2">
        <v>1800</v>
      </c>
      <c r="J524" s="2" t="s">
        <v>188</v>
      </c>
      <c r="M524" s="2">
        <v>0</v>
      </c>
      <c r="N524" s="2">
        <v>0</v>
      </c>
      <c r="O524" s="2" t="s">
        <v>5737</v>
      </c>
      <c r="Q524" s="2">
        <v>2024</v>
      </c>
      <c r="R524" s="2">
        <v>2024</v>
      </c>
      <c r="S524" s="2" t="s">
        <v>5738</v>
      </c>
      <c r="U524" s="2">
        <v>4</v>
      </c>
      <c r="V524" s="2" t="s">
        <v>188</v>
      </c>
    </row>
    <row r="525" spans="1:22">
      <c r="A525" s="2" t="s">
        <v>559</v>
      </c>
      <c r="B525" s="2" t="s">
        <v>560</v>
      </c>
      <c r="D525" s="2" t="s">
        <v>557</v>
      </c>
      <c r="E525" s="2" t="s">
        <v>6319</v>
      </c>
      <c r="F525" s="2">
        <v>1</v>
      </c>
      <c r="G525" s="2">
        <v>0.5</v>
      </c>
      <c r="H525" s="2">
        <v>0</v>
      </c>
      <c r="I525" s="2">
        <v>600</v>
      </c>
      <c r="J525" s="2" t="s">
        <v>188</v>
      </c>
      <c r="M525" s="2">
        <v>0.5</v>
      </c>
      <c r="N525" s="2">
        <v>1</v>
      </c>
      <c r="O525" s="2" t="s">
        <v>5737</v>
      </c>
      <c r="Q525" s="2">
        <v>2006</v>
      </c>
      <c r="R525" s="2">
        <v>2006</v>
      </c>
      <c r="S525" s="2" t="s">
        <v>5739</v>
      </c>
      <c r="U525" s="2">
        <v>30</v>
      </c>
      <c r="V525" s="2" t="s">
        <v>188</v>
      </c>
    </row>
    <row r="526" spans="1:22">
      <c r="A526" s="2" t="s">
        <v>1957</v>
      </c>
      <c r="B526" s="2" t="s">
        <v>1957</v>
      </c>
      <c r="D526" s="2" t="s">
        <v>1956</v>
      </c>
      <c r="E526" s="2" t="s">
        <v>6320</v>
      </c>
      <c r="F526" s="2">
        <v>2</v>
      </c>
      <c r="G526" s="2">
        <v>0.6</v>
      </c>
      <c r="I526" s="2">
        <v>600</v>
      </c>
      <c r="J526" s="2" t="s">
        <v>188</v>
      </c>
      <c r="M526" s="2">
        <v>0.6</v>
      </c>
      <c r="N526" s="2">
        <v>2.9</v>
      </c>
      <c r="Q526" s="2">
        <v>2000</v>
      </c>
      <c r="R526" s="2">
        <v>2000</v>
      </c>
      <c r="S526" s="2" t="s">
        <v>5735</v>
      </c>
      <c r="U526" s="2">
        <v>20</v>
      </c>
      <c r="V526" s="2" t="s">
        <v>187</v>
      </c>
    </row>
    <row r="527" spans="1:22">
      <c r="A527" s="2" t="s">
        <v>1957</v>
      </c>
      <c r="B527" s="2" t="s">
        <v>1957</v>
      </c>
      <c r="D527" s="2" t="s">
        <v>1956</v>
      </c>
      <c r="E527" s="2" t="s">
        <v>6321</v>
      </c>
      <c r="F527" s="2">
        <v>1</v>
      </c>
      <c r="G527" s="2">
        <v>0.8</v>
      </c>
      <c r="I527" s="2">
        <v>700</v>
      </c>
      <c r="J527" s="2" t="s">
        <v>188</v>
      </c>
      <c r="M527" s="2">
        <v>0.8</v>
      </c>
      <c r="N527" s="2">
        <v>1</v>
      </c>
      <c r="O527" s="2" t="s">
        <v>5737</v>
      </c>
      <c r="Q527" s="2">
        <v>1995</v>
      </c>
      <c r="R527" s="2">
        <v>2023</v>
      </c>
      <c r="S527" s="2" t="s">
        <v>5735</v>
      </c>
      <c r="U527" s="2">
        <v>20</v>
      </c>
      <c r="V527" s="2" t="s">
        <v>187</v>
      </c>
    </row>
    <row r="528" spans="1:22">
      <c r="A528" s="2" t="s">
        <v>1957</v>
      </c>
      <c r="B528" s="2" t="s">
        <v>1957</v>
      </c>
      <c r="D528" s="2" t="s">
        <v>1956</v>
      </c>
      <c r="E528" s="2" t="s">
        <v>6322</v>
      </c>
      <c r="F528" s="2">
        <v>3</v>
      </c>
      <c r="G528" s="2">
        <v>0.4</v>
      </c>
      <c r="I528" s="2">
        <v>400</v>
      </c>
      <c r="J528" s="2" t="s">
        <v>188</v>
      </c>
      <c r="M528" s="2">
        <v>0.4</v>
      </c>
      <c r="N528" s="2">
        <v>0.9</v>
      </c>
      <c r="O528" s="2" t="s">
        <v>5903</v>
      </c>
      <c r="Q528" s="2">
        <v>2000</v>
      </c>
      <c r="R528" s="2">
        <v>2000</v>
      </c>
      <c r="S528" s="2" t="s">
        <v>5735</v>
      </c>
      <c r="U528" s="2">
        <v>20</v>
      </c>
      <c r="V528" s="2" t="s">
        <v>187</v>
      </c>
    </row>
    <row r="529" spans="1:22">
      <c r="A529" s="2" t="s">
        <v>543</v>
      </c>
      <c r="B529" s="2" t="s">
        <v>543</v>
      </c>
      <c r="D529" s="2" t="s">
        <v>541</v>
      </c>
      <c r="E529" s="2" t="s">
        <v>6323</v>
      </c>
      <c r="F529" s="2">
        <v>1</v>
      </c>
      <c r="G529" s="2">
        <v>0.33</v>
      </c>
      <c r="H529" s="2">
        <v>0</v>
      </c>
      <c r="I529" s="2">
        <v>400</v>
      </c>
      <c r="J529" s="2" t="s">
        <v>187</v>
      </c>
      <c r="K529" s="2" t="s">
        <v>1523</v>
      </c>
      <c r="M529" s="2">
        <v>0.33</v>
      </c>
      <c r="N529" s="2">
        <v>1.2</v>
      </c>
      <c r="O529" s="2" t="s">
        <v>5737</v>
      </c>
      <c r="Q529" s="2">
        <v>2014</v>
      </c>
      <c r="R529" s="2">
        <v>2014</v>
      </c>
      <c r="S529" s="2" t="s">
        <v>5739</v>
      </c>
      <c r="U529" s="2">
        <v>8</v>
      </c>
      <c r="V529" s="2" t="s">
        <v>188</v>
      </c>
    </row>
    <row r="530" spans="1:22">
      <c r="A530" s="2" t="s">
        <v>543</v>
      </c>
      <c r="B530" s="2" t="s">
        <v>543</v>
      </c>
      <c r="D530" s="2" t="s">
        <v>541</v>
      </c>
      <c r="E530" s="2" t="s">
        <v>6324</v>
      </c>
      <c r="F530" s="2">
        <v>2</v>
      </c>
      <c r="G530" s="2">
        <v>0.2</v>
      </c>
      <c r="H530" s="2">
        <v>0</v>
      </c>
      <c r="I530" s="2">
        <v>200</v>
      </c>
      <c r="J530" s="2" t="s">
        <v>187</v>
      </c>
      <c r="K530" s="2" t="s">
        <v>1523</v>
      </c>
      <c r="M530" s="2">
        <v>0.2</v>
      </c>
      <c r="N530" s="2">
        <v>0.8</v>
      </c>
      <c r="O530" s="2" t="s">
        <v>5737</v>
      </c>
      <c r="Q530" s="2">
        <v>2014</v>
      </c>
      <c r="R530" s="2">
        <v>2014</v>
      </c>
      <c r="S530" s="2" t="s">
        <v>5739</v>
      </c>
      <c r="U530" s="2">
        <v>8</v>
      </c>
      <c r="V530" s="2" t="s">
        <v>188</v>
      </c>
    </row>
    <row r="531" spans="1:22">
      <c r="A531" s="2" t="s">
        <v>1490</v>
      </c>
      <c r="B531" s="2" t="s">
        <v>1490</v>
      </c>
      <c r="D531" s="2" t="s">
        <v>1488</v>
      </c>
      <c r="E531" s="2" t="s">
        <v>6325</v>
      </c>
      <c r="F531" s="2">
        <v>1</v>
      </c>
      <c r="G531" s="2">
        <v>0.7</v>
      </c>
      <c r="H531" s="2">
        <v>0</v>
      </c>
      <c r="I531" s="2">
        <v>700</v>
      </c>
      <c r="J531" s="2" t="s">
        <v>188</v>
      </c>
      <c r="M531" s="2">
        <v>0.7</v>
      </c>
      <c r="N531" s="2">
        <v>0.6</v>
      </c>
      <c r="O531" s="2" t="s">
        <v>5737</v>
      </c>
      <c r="Q531" s="2">
        <v>2012</v>
      </c>
      <c r="R531" s="2">
        <v>2012</v>
      </c>
      <c r="S531" s="2" t="s">
        <v>5742</v>
      </c>
      <c r="U531" s="2">
        <v>25</v>
      </c>
      <c r="V531" s="2" t="s">
        <v>188</v>
      </c>
    </row>
    <row r="532" spans="1:22">
      <c r="A532" s="2" t="s">
        <v>1926</v>
      </c>
      <c r="B532" s="2" t="s">
        <v>1926</v>
      </c>
      <c r="D532" s="2" t="s">
        <v>1925</v>
      </c>
      <c r="E532" s="2" t="s">
        <v>6326</v>
      </c>
      <c r="F532" s="2">
        <v>2</v>
      </c>
      <c r="G532" s="2">
        <v>1.2</v>
      </c>
      <c r="I532" s="2">
        <v>1300</v>
      </c>
      <c r="J532" s="2" t="s">
        <v>188</v>
      </c>
      <c r="M532" s="2">
        <v>1.2</v>
      </c>
      <c r="N532" s="2">
        <v>4.8</v>
      </c>
      <c r="O532" s="2" t="s">
        <v>5734</v>
      </c>
      <c r="Q532" s="2">
        <v>1997</v>
      </c>
      <c r="R532" s="2">
        <v>1997</v>
      </c>
      <c r="S532" s="2" t="s">
        <v>5735</v>
      </c>
      <c r="U532" s="2">
        <v>20</v>
      </c>
      <c r="V532" s="2" t="s">
        <v>187</v>
      </c>
    </row>
    <row r="533" spans="1:22">
      <c r="A533" s="2" t="s">
        <v>1926</v>
      </c>
      <c r="B533" s="2" t="s">
        <v>1926</v>
      </c>
      <c r="D533" s="2" t="s">
        <v>1925</v>
      </c>
      <c r="E533" s="2" t="s">
        <v>6327</v>
      </c>
      <c r="F533" s="2">
        <v>1</v>
      </c>
      <c r="G533" s="2">
        <v>0.2</v>
      </c>
      <c r="I533" s="2">
        <v>250</v>
      </c>
      <c r="J533" s="2" t="s">
        <v>188</v>
      </c>
      <c r="M533" s="2">
        <v>0.2</v>
      </c>
      <c r="N533" s="2">
        <v>0.73</v>
      </c>
      <c r="O533" s="2" t="s">
        <v>5734</v>
      </c>
      <c r="Q533" s="2">
        <v>2009</v>
      </c>
      <c r="R533" s="2">
        <v>2009</v>
      </c>
      <c r="S533" s="2" t="s">
        <v>5735</v>
      </c>
      <c r="U533" s="2">
        <v>20</v>
      </c>
      <c r="V533" s="2" t="s">
        <v>187</v>
      </c>
    </row>
    <row r="534" spans="1:22">
      <c r="A534" s="2" t="s">
        <v>1495</v>
      </c>
      <c r="B534" s="2" t="s">
        <v>1495</v>
      </c>
      <c r="D534" s="2" t="s">
        <v>1493</v>
      </c>
      <c r="E534" s="2" t="s">
        <v>6328</v>
      </c>
      <c r="F534" s="2">
        <v>2</v>
      </c>
      <c r="G534" s="2">
        <v>0.3</v>
      </c>
      <c r="H534" s="2">
        <v>0</v>
      </c>
      <c r="I534" s="2">
        <v>300</v>
      </c>
      <c r="J534" s="2" t="s">
        <v>188</v>
      </c>
      <c r="M534" s="2">
        <v>0.3</v>
      </c>
      <c r="N534" s="2">
        <v>0.3</v>
      </c>
      <c r="O534" s="2" t="s">
        <v>5737</v>
      </c>
      <c r="Q534" s="2">
        <v>2009</v>
      </c>
      <c r="R534" s="2">
        <v>2009</v>
      </c>
      <c r="S534" s="2" t="s">
        <v>5738</v>
      </c>
      <c r="U534" s="2">
        <v>1</v>
      </c>
      <c r="V534" s="2" t="s">
        <v>188</v>
      </c>
    </row>
    <row r="535" spans="1:22">
      <c r="A535" s="2" t="s">
        <v>1495</v>
      </c>
      <c r="B535" s="2" t="s">
        <v>1495</v>
      </c>
      <c r="D535" s="2" t="s">
        <v>1493</v>
      </c>
      <c r="E535" s="2" t="s">
        <v>6329</v>
      </c>
      <c r="F535" s="2">
        <v>1</v>
      </c>
      <c r="G535" s="2">
        <v>0.5</v>
      </c>
      <c r="H535" s="2">
        <v>0</v>
      </c>
      <c r="I535" s="2">
        <v>500</v>
      </c>
      <c r="J535" s="2" t="s">
        <v>188</v>
      </c>
      <c r="M535" s="2">
        <v>0.5</v>
      </c>
      <c r="N535" s="2">
        <v>0.7</v>
      </c>
      <c r="O535" s="2" t="s">
        <v>5737</v>
      </c>
      <c r="Q535" s="2">
        <v>2009</v>
      </c>
      <c r="R535" s="2">
        <v>2009</v>
      </c>
      <c r="S535" s="2" t="s">
        <v>5738</v>
      </c>
      <c r="U535" s="2">
        <v>1</v>
      </c>
      <c r="V535" s="2" t="s">
        <v>188</v>
      </c>
    </row>
    <row r="536" spans="1:22">
      <c r="A536" s="2" t="s">
        <v>585</v>
      </c>
      <c r="B536" s="2" t="s">
        <v>585</v>
      </c>
      <c r="D536" s="2" t="s">
        <v>583</v>
      </c>
      <c r="E536" s="2" t="s">
        <v>6330</v>
      </c>
      <c r="F536" s="2">
        <v>2</v>
      </c>
      <c r="G536" s="2">
        <v>0.4</v>
      </c>
      <c r="H536" s="2">
        <v>0</v>
      </c>
      <c r="I536" s="2">
        <v>400</v>
      </c>
      <c r="J536" s="2" t="s">
        <v>187</v>
      </c>
      <c r="K536" s="2" t="s">
        <v>1523</v>
      </c>
      <c r="M536" s="2">
        <v>0.4</v>
      </c>
      <c r="N536" s="2">
        <v>1</v>
      </c>
      <c r="O536" s="2" t="s">
        <v>5737</v>
      </c>
      <c r="Q536" s="2">
        <v>2010</v>
      </c>
      <c r="R536" s="2">
        <v>2010</v>
      </c>
      <c r="S536" s="2" t="s">
        <v>5738</v>
      </c>
      <c r="U536" s="2">
        <v>10</v>
      </c>
      <c r="V536" s="2" t="s">
        <v>188</v>
      </c>
    </row>
    <row r="537" spans="1:22">
      <c r="A537" s="2" t="s">
        <v>585</v>
      </c>
      <c r="B537" s="2" t="s">
        <v>585</v>
      </c>
      <c r="D537" s="2" t="s">
        <v>583</v>
      </c>
      <c r="E537" s="2" t="s">
        <v>6331</v>
      </c>
      <c r="F537" s="2">
        <v>1</v>
      </c>
      <c r="G537" s="2">
        <v>0.7</v>
      </c>
      <c r="H537" s="2">
        <v>0</v>
      </c>
      <c r="I537" s="2">
        <v>700</v>
      </c>
      <c r="J537" s="2" t="s">
        <v>188</v>
      </c>
      <c r="M537" s="2">
        <v>0.7</v>
      </c>
      <c r="N537" s="2">
        <v>2</v>
      </c>
      <c r="O537" s="2" t="s">
        <v>5734</v>
      </c>
      <c r="Q537" s="2">
        <v>2012</v>
      </c>
      <c r="R537" s="2">
        <v>1995</v>
      </c>
      <c r="S537" s="2" t="s">
        <v>5735</v>
      </c>
      <c r="U537" s="2">
        <v>10</v>
      </c>
      <c r="V537" s="2" t="s">
        <v>188</v>
      </c>
    </row>
    <row r="538" spans="1:22">
      <c r="A538" s="2" t="s">
        <v>585</v>
      </c>
      <c r="B538" s="2" t="s">
        <v>585</v>
      </c>
      <c r="D538" s="2" t="s">
        <v>583</v>
      </c>
      <c r="E538" s="2" t="s">
        <v>6332</v>
      </c>
      <c r="F538" s="2">
        <v>3</v>
      </c>
      <c r="G538" s="2">
        <v>0.4</v>
      </c>
      <c r="H538" s="2">
        <v>0</v>
      </c>
      <c r="I538" s="2">
        <v>400</v>
      </c>
      <c r="J538" s="2" t="s">
        <v>188</v>
      </c>
      <c r="M538" s="2">
        <v>0.4</v>
      </c>
      <c r="N538" s="2">
        <v>1</v>
      </c>
      <c r="O538" s="2" t="s">
        <v>5734</v>
      </c>
      <c r="Q538" s="2">
        <v>2012</v>
      </c>
      <c r="R538" s="2">
        <v>2012</v>
      </c>
      <c r="S538" s="2" t="s">
        <v>5738</v>
      </c>
      <c r="U538" s="2">
        <v>10</v>
      </c>
      <c r="V538" s="2" t="s">
        <v>188</v>
      </c>
    </row>
    <row r="539" spans="1:22">
      <c r="A539" s="2" t="s">
        <v>1900</v>
      </c>
      <c r="B539" s="2" t="s">
        <v>1901</v>
      </c>
      <c r="D539" s="2" t="s">
        <v>1899</v>
      </c>
      <c r="E539" s="2" t="s">
        <v>6333</v>
      </c>
      <c r="F539" s="2">
        <v>1</v>
      </c>
      <c r="G539" s="2">
        <v>1</v>
      </c>
      <c r="I539" s="2">
        <v>600</v>
      </c>
      <c r="J539" s="2" t="s">
        <v>188</v>
      </c>
      <c r="M539" s="2">
        <v>1</v>
      </c>
      <c r="N539" s="2">
        <v>3.2</v>
      </c>
      <c r="O539" s="2" t="s">
        <v>5737</v>
      </c>
      <c r="Q539" s="2">
        <v>1995</v>
      </c>
      <c r="R539" s="2">
        <v>1995</v>
      </c>
      <c r="S539" s="2" t="s">
        <v>5738</v>
      </c>
      <c r="U539" s="2">
        <v>20</v>
      </c>
      <c r="V539" s="2" t="s">
        <v>187</v>
      </c>
    </row>
    <row r="540" spans="1:22">
      <c r="A540" s="2" t="s">
        <v>585</v>
      </c>
      <c r="B540" s="2" t="s">
        <v>585</v>
      </c>
      <c r="D540" s="2" t="s">
        <v>583</v>
      </c>
      <c r="E540" s="2" t="s">
        <v>6334</v>
      </c>
      <c r="F540" s="2">
        <v>4</v>
      </c>
      <c r="G540" s="2">
        <v>0.5</v>
      </c>
      <c r="H540" s="2">
        <v>0</v>
      </c>
      <c r="I540" s="2">
        <v>500</v>
      </c>
      <c r="J540" s="2" t="s">
        <v>188</v>
      </c>
      <c r="M540" s="2">
        <v>0.5</v>
      </c>
      <c r="N540" s="2">
        <v>1</v>
      </c>
      <c r="O540" s="2" t="s">
        <v>5734</v>
      </c>
      <c r="Q540" s="2">
        <v>1995</v>
      </c>
      <c r="R540" s="2">
        <v>2018</v>
      </c>
      <c r="S540" s="2" t="s">
        <v>5735</v>
      </c>
      <c r="U540" s="2">
        <v>10</v>
      </c>
      <c r="V540" s="2" t="s">
        <v>188</v>
      </c>
    </row>
    <row r="541" spans="1:22">
      <c r="A541" s="2" t="s">
        <v>1900</v>
      </c>
      <c r="B541" s="2" t="s">
        <v>1901</v>
      </c>
      <c r="D541" s="2" t="s">
        <v>1899</v>
      </c>
      <c r="E541" s="2" t="s">
        <v>6335</v>
      </c>
      <c r="F541" s="2">
        <v>3</v>
      </c>
      <c r="G541" s="2">
        <v>0.6</v>
      </c>
      <c r="I541" s="2">
        <v>600</v>
      </c>
      <c r="J541" s="2" t="s">
        <v>188</v>
      </c>
      <c r="M541" s="2">
        <v>0.6</v>
      </c>
      <c r="N541" s="2">
        <v>3.2</v>
      </c>
      <c r="O541" s="2" t="s">
        <v>5737</v>
      </c>
      <c r="Q541" s="2">
        <v>2013</v>
      </c>
      <c r="R541" s="2">
        <v>2013</v>
      </c>
      <c r="S541" s="2" t="s">
        <v>5735</v>
      </c>
      <c r="U541" s="2">
        <v>20</v>
      </c>
      <c r="V541" s="2" t="s">
        <v>187</v>
      </c>
    </row>
    <row r="542" spans="1:22">
      <c r="A542" s="2" t="s">
        <v>1900</v>
      </c>
      <c r="B542" s="2" t="s">
        <v>1901</v>
      </c>
      <c r="D542" s="2" t="s">
        <v>1899</v>
      </c>
      <c r="E542" s="2" t="s">
        <v>6336</v>
      </c>
      <c r="F542" s="2">
        <v>2</v>
      </c>
      <c r="G542" s="2">
        <v>1</v>
      </c>
      <c r="I542" s="2">
        <v>1000</v>
      </c>
      <c r="J542" s="2" t="s">
        <v>188</v>
      </c>
      <c r="M542" s="2">
        <v>1</v>
      </c>
      <c r="N542" s="2">
        <v>6.3</v>
      </c>
      <c r="O542" s="2" t="s">
        <v>5737</v>
      </c>
      <c r="Q542" s="2">
        <v>2009</v>
      </c>
      <c r="R542" s="2">
        <v>2009</v>
      </c>
      <c r="S542" s="2" t="s">
        <v>5735</v>
      </c>
      <c r="U542" s="2">
        <v>20</v>
      </c>
      <c r="V542" s="2" t="s">
        <v>187</v>
      </c>
    </row>
    <row r="543" spans="1:22">
      <c r="A543" s="2" t="s">
        <v>1501</v>
      </c>
      <c r="B543" s="2" t="s">
        <v>1502</v>
      </c>
      <c r="D543" s="2" t="s">
        <v>1499</v>
      </c>
      <c r="E543" s="2" t="s">
        <v>6337</v>
      </c>
      <c r="F543" s="2">
        <v>2</v>
      </c>
      <c r="G543" s="2">
        <v>0.3</v>
      </c>
      <c r="H543" s="2">
        <v>0</v>
      </c>
      <c r="I543" s="2">
        <v>300</v>
      </c>
      <c r="J543" s="2" t="s">
        <v>188</v>
      </c>
      <c r="M543" s="2">
        <v>0.3</v>
      </c>
      <c r="N543" s="2">
        <v>0.5</v>
      </c>
      <c r="O543" s="2" t="s">
        <v>5734</v>
      </c>
      <c r="Q543" s="2">
        <v>2020</v>
      </c>
      <c r="R543" s="2">
        <v>2020</v>
      </c>
      <c r="S543" s="2" t="s">
        <v>5738</v>
      </c>
      <c r="U543" s="2">
        <v>25</v>
      </c>
      <c r="V543" s="2" t="s">
        <v>188</v>
      </c>
    </row>
    <row r="544" spans="1:22">
      <c r="A544" s="2" t="s">
        <v>1501</v>
      </c>
      <c r="B544" s="2" t="s">
        <v>1502</v>
      </c>
      <c r="D544" s="2" t="s">
        <v>1499</v>
      </c>
      <c r="E544" s="2" t="s">
        <v>6338</v>
      </c>
      <c r="F544" s="2">
        <v>1</v>
      </c>
      <c r="G544" s="2">
        <v>0.5</v>
      </c>
      <c r="I544" s="2">
        <v>550</v>
      </c>
      <c r="J544" s="2" t="s">
        <v>188</v>
      </c>
      <c r="M544" s="2">
        <v>0.5</v>
      </c>
      <c r="N544" s="2">
        <v>1.3</v>
      </c>
      <c r="O544" s="2" t="s">
        <v>5734</v>
      </c>
      <c r="Q544" s="2">
        <v>2018</v>
      </c>
      <c r="R544" s="2">
        <v>2018</v>
      </c>
      <c r="S544" s="2" t="s">
        <v>5738</v>
      </c>
      <c r="U544" s="2">
        <v>25</v>
      </c>
      <c r="V544" s="2" t="s">
        <v>188</v>
      </c>
    </row>
    <row r="545" spans="1:22">
      <c r="A545" s="2" t="s">
        <v>1872</v>
      </c>
      <c r="B545" s="2" t="s">
        <v>1873</v>
      </c>
      <c r="D545" s="2" t="s">
        <v>1871</v>
      </c>
      <c r="E545" s="2" t="s">
        <v>6339</v>
      </c>
      <c r="F545" s="2">
        <v>2</v>
      </c>
      <c r="G545" s="2">
        <v>0.4</v>
      </c>
      <c r="I545" s="2">
        <v>400</v>
      </c>
      <c r="J545" s="2" t="s">
        <v>187</v>
      </c>
      <c r="K545" s="2" t="s">
        <v>5766</v>
      </c>
      <c r="L545" s="2" t="s">
        <v>6340</v>
      </c>
      <c r="M545" s="2">
        <v>0.4</v>
      </c>
      <c r="N545" s="2">
        <v>2.4</v>
      </c>
      <c r="O545" s="2" t="s">
        <v>5737</v>
      </c>
      <c r="Q545" s="2">
        <v>2007</v>
      </c>
      <c r="R545" s="2">
        <v>2007</v>
      </c>
      <c r="S545" s="2" t="s">
        <v>5735</v>
      </c>
      <c r="U545" s="2">
        <v>20</v>
      </c>
      <c r="V545" s="2" t="s">
        <v>187</v>
      </c>
    </row>
    <row r="546" spans="1:22">
      <c r="A546" s="2" t="s">
        <v>1872</v>
      </c>
      <c r="B546" s="2" t="s">
        <v>1873</v>
      </c>
      <c r="D546" s="2" t="s">
        <v>1871</v>
      </c>
      <c r="E546" s="2" t="s">
        <v>6341</v>
      </c>
      <c r="F546" s="2">
        <v>1</v>
      </c>
      <c r="G546" s="2">
        <v>1.2</v>
      </c>
      <c r="I546" s="2">
        <v>1200</v>
      </c>
      <c r="J546" s="2" t="s">
        <v>187</v>
      </c>
      <c r="K546" s="2" t="s">
        <v>5766</v>
      </c>
      <c r="L546" s="2" t="s">
        <v>6342</v>
      </c>
      <c r="M546" s="2">
        <v>1.2</v>
      </c>
      <c r="N546" s="2">
        <v>5.8</v>
      </c>
      <c r="O546" s="2" t="s">
        <v>5737</v>
      </c>
      <c r="Q546" s="2">
        <v>1999</v>
      </c>
      <c r="R546" s="2">
        <v>1999</v>
      </c>
      <c r="S546" s="2" t="s">
        <v>5735</v>
      </c>
      <c r="U546" s="2">
        <v>20</v>
      </c>
      <c r="V546" s="2" t="s">
        <v>187</v>
      </c>
    </row>
    <row r="547" spans="1:22">
      <c r="A547" s="2" t="s">
        <v>1872</v>
      </c>
      <c r="B547" s="2" t="s">
        <v>1873</v>
      </c>
      <c r="D547" s="2" t="s">
        <v>1871</v>
      </c>
      <c r="E547" s="2" t="s">
        <v>6343</v>
      </c>
      <c r="F547" s="2">
        <v>3</v>
      </c>
      <c r="G547" s="2">
        <v>0.4</v>
      </c>
      <c r="I547" s="2">
        <v>400</v>
      </c>
      <c r="J547" s="2" t="s">
        <v>188</v>
      </c>
      <c r="M547" s="2">
        <v>0.4</v>
      </c>
      <c r="N547" s="2">
        <v>1</v>
      </c>
      <c r="O547" s="2" t="s">
        <v>5737</v>
      </c>
      <c r="Q547" s="2">
        <v>2022</v>
      </c>
      <c r="R547" s="2">
        <v>2022</v>
      </c>
      <c r="S547" s="2" t="s">
        <v>5735</v>
      </c>
      <c r="U547" s="2">
        <v>20</v>
      </c>
      <c r="V547" s="2" t="s">
        <v>187</v>
      </c>
    </row>
    <row r="548" spans="1:22">
      <c r="A548" s="2" t="s">
        <v>1549</v>
      </c>
      <c r="B548" s="2" t="s">
        <v>1549</v>
      </c>
      <c r="D548" s="2" t="s">
        <v>1547</v>
      </c>
      <c r="E548" s="2" t="s">
        <v>6344</v>
      </c>
      <c r="F548" s="2">
        <v>1</v>
      </c>
      <c r="G548" s="2">
        <v>0.1</v>
      </c>
      <c r="H548" s="2">
        <v>0</v>
      </c>
      <c r="I548" s="2">
        <v>100</v>
      </c>
      <c r="J548" s="2" t="s">
        <v>188</v>
      </c>
      <c r="M548" s="2">
        <v>0.1</v>
      </c>
      <c r="N548" s="2">
        <v>0.2</v>
      </c>
      <c r="O548" s="2" t="s">
        <v>5737</v>
      </c>
      <c r="Q548" s="2">
        <v>2017</v>
      </c>
      <c r="R548" s="2">
        <v>2017</v>
      </c>
      <c r="S548" s="2" t="s">
        <v>5738</v>
      </c>
      <c r="U548" s="2">
        <v>20</v>
      </c>
      <c r="V548" s="2" t="s">
        <v>188</v>
      </c>
    </row>
    <row r="549" spans="1:22">
      <c r="A549" s="2" t="s">
        <v>1549</v>
      </c>
      <c r="B549" s="2" t="s">
        <v>1549</v>
      </c>
      <c r="D549" s="2" t="s">
        <v>1547</v>
      </c>
      <c r="E549" s="2" t="s">
        <v>6345</v>
      </c>
      <c r="F549" s="2">
        <v>2</v>
      </c>
      <c r="G549" s="2">
        <v>0.6</v>
      </c>
      <c r="H549" s="2">
        <v>0</v>
      </c>
      <c r="I549" s="2">
        <v>600</v>
      </c>
      <c r="J549" s="2" t="s">
        <v>188</v>
      </c>
      <c r="M549" s="2">
        <v>0.6</v>
      </c>
      <c r="N549" s="2">
        <v>1</v>
      </c>
      <c r="O549" s="2" t="s">
        <v>5737</v>
      </c>
      <c r="Q549" s="2">
        <v>2017</v>
      </c>
      <c r="R549" s="2">
        <v>2017</v>
      </c>
      <c r="S549" s="2" t="s">
        <v>5738</v>
      </c>
      <c r="U549" s="2">
        <v>25</v>
      </c>
      <c r="V549" s="2" t="s">
        <v>188</v>
      </c>
    </row>
    <row r="550" spans="1:22">
      <c r="A550" s="2" t="s">
        <v>1839</v>
      </c>
      <c r="B550" s="2" t="s">
        <v>1840</v>
      </c>
      <c r="D550" s="2" t="s">
        <v>1838</v>
      </c>
      <c r="E550" s="2" t="s">
        <v>6346</v>
      </c>
      <c r="F550" s="2">
        <v>2</v>
      </c>
      <c r="G550" s="2">
        <v>1</v>
      </c>
      <c r="I550" s="2">
        <v>1000</v>
      </c>
      <c r="J550" s="2" t="s">
        <v>188</v>
      </c>
      <c r="M550" s="2">
        <v>1</v>
      </c>
      <c r="N550" s="2">
        <v>5.6</v>
      </c>
      <c r="O550" s="2" t="s">
        <v>5737</v>
      </c>
      <c r="Q550" s="2">
        <v>2013</v>
      </c>
      <c r="R550" s="2">
        <v>2013</v>
      </c>
      <c r="S550" s="2" t="s">
        <v>5735</v>
      </c>
      <c r="U550" s="2">
        <v>20</v>
      </c>
      <c r="V550" s="2" t="s">
        <v>187</v>
      </c>
    </row>
    <row r="551" spans="1:22">
      <c r="A551" s="2" t="s">
        <v>1839</v>
      </c>
      <c r="B551" s="2" t="s">
        <v>1840</v>
      </c>
      <c r="D551" s="2" t="s">
        <v>1838</v>
      </c>
      <c r="E551" s="2" t="s">
        <v>6347</v>
      </c>
      <c r="F551" s="2">
        <v>1</v>
      </c>
      <c r="G551" s="2">
        <v>1</v>
      </c>
      <c r="I551" s="2">
        <v>1000</v>
      </c>
      <c r="J551" s="2" t="s">
        <v>188</v>
      </c>
      <c r="M551" s="2">
        <v>1</v>
      </c>
      <c r="N551" s="2">
        <v>4.3899999999999997</v>
      </c>
      <c r="O551" s="2" t="s">
        <v>5903</v>
      </c>
      <c r="Q551" s="2">
        <v>1999</v>
      </c>
      <c r="R551" s="2">
        <v>1999</v>
      </c>
      <c r="S551" s="2" t="s">
        <v>5735</v>
      </c>
      <c r="U551" s="2">
        <v>20</v>
      </c>
      <c r="V551" s="2" t="s">
        <v>187</v>
      </c>
    </row>
    <row r="552" spans="1:22">
      <c r="A552" s="2" t="s">
        <v>1572</v>
      </c>
      <c r="B552" s="2" t="s">
        <v>1573</v>
      </c>
      <c r="D552" s="2" t="s">
        <v>1570</v>
      </c>
      <c r="E552" s="2" t="s">
        <v>6348</v>
      </c>
      <c r="F552" s="2">
        <v>3</v>
      </c>
      <c r="G552" s="2">
        <v>0.2</v>
      </c>
      <c r="I552" s="2">
        <v>200</v>
      </c>
      <c r="J552" s="2" t="s">
        <v>188</v>
      </c>
      <c r="M552" s="2">
        <v>0.2</v>
      </c>
      <c r="N552" s="2">
        <v>0.2</v>
      </c>
      <c r="O552" s="2" t="s">
        <v>5734</v>
      </c>
      <c r="Q552" s="2">
        <v>2020</v>
      </c>
      <c r="R552" s="2">
        <v>2020</v>
      </c>
      <c r="S552" s="2" t="s">
        <v>5738</v>
      </c>
      <c r="U552" s="2">
        <v>30</v>
      </c>
      <c r="V552" s="2" t="s">
        <v>188</v>
      </c>
    </row>
    <row r="553" spans="1:22">
      <c r="A553" s="2" t="s">
        <v>1572</v>
      </c>
      <c r="B553" s="2" t="s">
        <v>1573</v>
      </c>
      <c r="D553" s="2" t="s">
        <v>1570</v>
      </c>
      <c r="E553" s="2" t="s">
        <v>6349</v>
      </c>
      <c r="F553" s="2">
        <v>2</v>
      </c>
      <c r="G553" s="2">
        <v>0.6</v>
      </c>
      <c r="H553" s="2">
        <v>0</v>
      </c>
      <c r="I553" s="2">
        <v>600</v>
      </c>
      <c r="J553" s="2" t="s">
        <v>188</v>
      </c>
      <c r="M553" s="2">
        <v>0</v>
      </c>
      <c r="N553" s="2">
        <v>0</v>
      </c>
      <c r="O553" s="2" t="s">
        <v>5734</v>
      </c>
      <c r="Q553" s="2">
        <v>2025</v>
      </c>
      <c r="R553" s="2">
        <v>2025</v>
      </c>
      <c r="S553" s="2" t="s">
        <v>5738</v>
      </c>
      <c r="U553" s="2">
        <v>30</v>
      </c>
      <c r="V553" s="2" t="s">
        <v>188</v>
      </c>
    </row>
    <row r="554" spans="1:22">
      <c r="A554" s="2" t="s">
        <v>1572</v>
      </c>
      <c r="B554" s="2" t="s">
        <v>1573</v>
      </c>
      <c r="D554" s="2" t="s">
        <v>1570</v>
      </c>
      <c r="E554" s="2" t="s">
        <v>6350</v>
      </c>
      <c r="F554" s="2">
        <v>1</v>
      </c>
      <c r="G554" s="2">
        <v>0.3</v>
      </c>
      <c r="H554" s="2">
        <v>0</v>
      </c>
      <c r="I554" s="2">
        <v>300</v>
      </c>
      <c r="J554" s="2" t="s">
        <v>188</v>
      </c>
      <c r="M554" s="2">
        <v>0.3</v>
      </c>
      <c r="N554" s="2">
        <v>1</v>
      </c>
      <c r="O554" s="2" t="s">
        <v>5734</v>
      </c>
      <c r="Q554" s="2">
        <v>2012</v>
      </c>
      <c r="R554" s="2">
        <v>2012</v>
      </c>
      <c r="S554" s="2" t="s">
        <v>5735</v>
      </c>
      <c r="U554" s="2">
        <v>20</v>
      </c>
      <c r="V554" s="2" t="s">
        <v>188</v>
      </c>
    </row>
    <row r="555" spans="1:22">
      <c r="A555" s="2" t="s">
        <v>474</v>
      </c>
      <c r="B555" s="2" t="s">
        <v>475</v>
      </c>
      <c r="D555" s="2" t="s">
        <v>472</v>
      </c>
      <c r="E555" s="2" t="s">
        <v>6351</v>
      </c>
      <c r="F555" s="2">
        <v>4</v>
      </c>
      <c r="G555" s="2">
        <v>0.55000000000000004</v>
      </c>
      <c r="H555" s="2">
        <v>0</v>
      </c>
      <c r="I555" s="2">
        <v>500</v>
      </c>
      <c r="J555" s="2" t="s">
        <v>187</v>
      </c>
      <c r="K555" s="2" t="s">
        <v>5797</v>
      </c>
      <c r="M555" s="2">
        <v>0.55000000000000004</v>
      </c>
      <c r="N555" s="2">
        <v>2</v>
      </c>
      <c r="O555" s="2" t="s">
        <v>5737</v>
      </c>
      <c r="Q555" s="2">
        <v>2014</v>
      </c>
      <c r="R555" s="2">
        <v>2014</v>
      </c>
      <c r="S555" s="2" t="s">
        <v>5969</v>
      </c>
      <c r="U555" s="2">
        <v>35</v>
      </c>
      <c r="V555" s="2" t="s">
        <v>188</v>
      </c>
    </row>
    <row r="556" spans="1:22">
      <c r="A556" s="2" t="s">
        <v>474</v>
      </c>
      <c r="B556" s="2" t="s">
        <v>475</v>
      </c>
      <c r="D556" s="2" t="s">
        <v>472</v>
      </c>
      <c r="E556" s="2" t="s">
        <v>6352</v>
      </c>
      <c r="F556" s="2">
        <v>5</v>
      </c>
      <c r="G556" s="2">
        <v>0.22</v>
      </c>
      <c r="H556" s="2">
        <v>0</v>
      </c>
      <c r="I556" s="2">
        <v>200</v>
      </c>
      <c r="J556" s="2" t="s">
        <v>188</v>
      </c>
      <c r="M556" s="2">
        <v>0.22</v>
      </c>
      <c r="N556" s="2">
        <v>1</v>
      </c>
      <c r="O556" s="2" t="s">
        <v>5737</v>
      </c>
      <c r="Q556" s="2">
        <v>2013</v>
      </c>
      <c r="R556" s="2">
        <v>2013</v>
      </c>
      <c r="S556" s="2" t="s">
        <v>5738</v>
      </c>
      <c r="U556" s="2">
        <v>35</v>
      </c>
      <c r="V556" s="2" t="s">
        <v>188</v>
      </c>
    </row>
    <row r="557" spans="1:22">
      <c r="A557" s="2" t="s">
        <v>474</v>
      </c>
      <c r="B557" s="2" t="s">
        <v>475</v>
      </c>
      <c r="D557" s="2" t="s">
        <v>472</v>
      </c>
      <c r="E557" s="2" t="s">
        <v>6353</v>
      </c>
      <c r="F557" s="2">
        <v>7</v>
      </c>
      <c r="G557" s="2">
        <v>0.22</v>
      </c>
      <c r="H557" s="2">
        <v>0</v>
      </c>
      <c r="I557" s="2">
        <v>200</v>
      </c>
      <c r="J557" s="2" t="s">
        <v>188</v>
      </c>
      <c r="M557" s="2">
        <v>0.22</v>
      </c>
      <c r="N557" s="2">
        <v>1</v>
      </c>
      <c r="O557" s="2" t="s">
        <v>5737</v>
      </c>
      <c r="Q557" s="2">
        <v>2015</v>
      </c>
      <c r="R557" s="2">
        <v>2015</v>
      </c>
      <c r="S557" s="2" t="s">
        <v>5738</v>
      </c>
      <c r="U557" s="2">
        <v>40</v>
      </c>
      <c r="V557" s="2" t="s">
        <v>188</v>
      </c>
    </row>
    <row r="558" spans="1:22">
      <c r="A558" s="2" t="s">
        <v>474</v>
      </c>
      <c r="B558" s="2" t="s">
        <v>475</v>
      </c>
      <c r="D558" s="2" t="s">
        <v>472</v>
      </c>
      <c r="E558" s="2" t="s">
        <v>6354</v>
      </c>
      <c r="F558" s="2">
        <v>2</v>
      </c>
      <c r="G558" s="2">
        <v>0.45</v>
      </c>
      <c r="H558" s="2">
        <v>0</v>
      </c>
      <c r="I558" s="2">
        <v>500</v>
      </c>
      <c r="J558" s="2" t="s">
        <v>188</v>
      </c>
      <c r="M558" s="2">
        <v>0.45</v>
      </c>
      <c r="N558" s="2">
        <v>1.5</v>
      </c>
      <c r="O558" s="2" t="s">
        <v>5734</v>
      </c>
      <c r="Q558" s="2">
        <v>2014</v>
      </c>
      <c r="R558" s="2">
        <v>2014</v>
      </c>
      <c r="S558" s="2" t="s">
        <v>5738</v>
      </c>
      <c r="U558" s="2">
        <v>35</v>
      </c>
      <c r="V558" s="2" t="s">
        <v>188</v>
      </c>
    </row>
    <row r="559" spans="1:22">
      <c r="A559" s="2" t="s">
        <v>474</v>
      </c>
      <c r="B559" s="2" t="s">
        <v>475</v>
      </c>
      <c r="D559" s="2" t="s">
        <v>472</v>
      </c>
      <c r="E559" s="2" t="s">
        <v>6355</v>
      </c>
      <c r="F559" s="2">
        <v>8</v>
      </c>
      <c r="G559" s="2">
        <v>0.18</v>
      </c>
      <c r="H559" s="2">
        <v>0</v>
      </c>
      <c r="I559" s="2">
        <v>200</v>
      </c>
      <c r="J559" s="2" t="s">
        <v>188</v>
      </c>
      <c r="M559" s="2">
        <v>0.18</v>
      </c>
      <c r="N559" s="2">
        <v>1</v>
      </c>
      <c r="O559" s="2" t="s">
        <v>5737</v>
      </c>
      <c r="Q559" s="2">
        <v>1995</v>
      </c>
      <c r="R559" s="2">
        <v>2019</v>
      </c>
      <c r="S559" s="2" t="s">
        <v>5735</v>
      </c>
      <c r="U559" s="2">
        <v>40</v>
      </c>
      <c r="V559" s="2" t="s">
        <v>188</v>
      </c>
    </row>
    <row r="560" spans="1:22">
      <c r="A560" s="2" t="s">
        <v>474</v>
      </c>
      <c r="B560" s="2" t="s">
        <v>475</v>
      </c>
      <c r="D560" s="2" t="s">
        <v>472</v>
      </c>
      <c r="E560" s="2" t="s">
        <v>6356</v>
      </c>
      <c r="F560" s="2">
        <v>3</v>
      </c>
      <c r="G560" s="2">
        <v>0.45</v>
      </c>
      <c r="H560" s="2">
        <v>0</v>
      </c>
      <c r="I560" s="2">
        <v>500</v>
      </c>
      <c r="J560" s="2" t="s">
        <v>188</v>
      </c>
      <c r="M560" s="2">
        <v>0.45</v>
      </c>
      <c r="N560" s="2">
        <v>1.5</v>
      </c>
      <c r="O560" s="2" t="s">
        <v>5734</v>
      </c>
      <c r="Q560" s="2">
        <v>2012</v>
      </c>
      <c r="R560" s="2">
        <v>2012</v>
      </c>
      <c r="S560" s="2" t="s">
        <v>5738</v>
      </c>
      <c r="U560" s="2">
        <v>35</v>
      </c>
      <c r="V560" s="2" t="s">
        <v>188</v>
      </c>
    </row>
    <row r="561" spans="1:22">
      <c r="A561" s="2" t="s">
        <v>474</v>
      </c>
      <c r="B561" s="2" t="s">
        <v>475</v>
      </c>
      <c r="D561" s="2" t="s">
        <v>472</v>
      </c>
      <c r="E561" s="2" t="s">
        <v>6357</v>
      </c>
      <c r="F561" s="2">
        <v>6</v>
      </c>
      <c r="G561" s="2">
        <v>0.3</v>
      </c>
      <c r="H561" s="2">
        <v>0</v>
      </c>
      <c r="I561" s="2">
        <v>300</v>
      </c>
      <c r="J561" s="2" t="s">
        <v>188</v>
      </c>
      <c r="M561" s="2">
        <v>0.3</v>
      </c>
      <c r="N561" s="2">
        <v>1.5</v>
      </c>
      <c r="O561" s="2" t="s">
        <v>5737</v>
      </c>
      <c r="Q561" s="2">
        <v>1995</v>
      </c>
      <c r="R561" s="2">
        <v>2018</v>
      </c>
      <c r="S561" s="2" t="s">
        <v>5735</v>
      </c>
      <c r="U561" s="2">
        <v>40</v>
      </c>
      <c r="V561" s="2" t="s">
        <v>188</v>
      </c>
    </row>
    <row r="562" spans="1:22">
      <c r="A562" s="2" t="s">
        <v>1793</v>
      </c>
      <c r="B562" s="2" t="s">
        <v>1794</v>
      </c>
      <c r="D562" s="2" t="s">
        <v>1792</v>
      </c>
      <c r="E562" s="2" t="s">
        <v>6358</v>
      </c>
      <c r="F562" s="2">
        <v>1</v>
      </c>
      <c r="G562" s="2">
        <v>1.2</v>
      </c>
      <c r="I562" s="2">
        <v>1300</v>
      </c>
      <c r="J562" s="2" t="s">
        <v>188</v>
      </c>
      <c r="M562" s="2">
        <v>1.2</v>
      </c>
      <c r="N562" s="2">
        <v>3.6</v>
      </c>
      <c r="O562" s="2" t="s">
        <v>5734</v>
      </c>
      <c r="Q562" s="2">
        <v>1999</v>
      </c>
      <c r="R562" s="2">
        <v>1999</v>
      </c>
      <c r="S562" s="2" t="s">
        <v>5738</v>
      </c>
      <c r="U562" s="2">
        <v>20</v>
      </c>
      <c r="V562" s="2" t="s">
        <v>187</v>
      </c>
    </row>
    <row r="563" spans="1:22">
      <c r="A563" s="2" t="s">
        <v>474</v>
      </c>
      <c r="B563" s="2" t="s">
        <v>475</v>
      </c>
      <c r="D563" s="2" t="s">
        <v>472</v>
      </c>
      <c r="E563" s="2" t="s">
        <v>6359</v>
      </c>
      <c r="F563" s="2">
        <v>1</v>
      </c>
      <c r="G563" s="2">
        <v>1.1000000000000001</v>
      </c>
      <c r="H563" s="2">
        <v>0</v>
      </c>
      <c r="I563" s="2">
        <v>1100</v>
      </c>
      <c r="J563" s="2" t="s">
        <v>188</v>
      </c>
      <c r="M563" s="2">
        <v>1.1000000000000001</v>
      </c>
      <c r="N563" s="2">
        <v>3.5</v>
      </c>
      <c r="O563" s="2" t="s">
        <v>5737</v>
      </c>
      <c r="Q563" s="2">
        <v>2003</v>
      </c>
      <c r="R563" s="2">
        <v>2003</v>
      </c>
      <c r="S563" s="2" t="s">
        <v>5739</v>
      </c>
      <c r="U563" s="2">
        <v>40</v>
      </c>
      <c r="V563" s="2" t="s">
        <v>188</v>
      </c>
    </row>
    <row r="564" spans="1:22">
      <c r="A564" s="2" t="s">
        <v>1591</v>
      </c>
      <c r="B564" s="2" t="s">
        <v>1591</v>
      </c>
      <c r="D564" s="2" t="s">
        <v>1589</v>
      </c>
      <c r="E564" s="2" t="s">
        <v>6360</v>
      </c>
      <c r="F564" s="2">
        <v>1</v>
      </c>
      <c r="G564" s="2">
        <v>0.8</v>
      </c>
      <c r="H564" s="2">
        <v>0</v>
      </c>
      <c r="I564" s="2">
        <v>800</v>
      </c>
      <c r="J564" s="2" t="s">
        <v>188</v>
      </c>
      <c r="M564" s="2">
        <v>0.8</v>
      </c>
      <c r="N564" s="2">
        <v>1.6</v>
      </c>
      <c r="O564" s="2" t="s">
        <v>5734</v>
      </c>
      <c r="Q564" s="2">
        <v>2017</v>
      </c>
      <c r="R564" s="2">
        <v>2017</v>
      </c>
      <c r="S564" s="2" t="s">
        <v>5738</v>
      </c>
      <c r="U564" s="2">
        <v>15</v>
      </c>
      <c r="V564" s="2" t="s">
        <v>188</v>
      </c>
    </row>
    <row r="565" spans="1:22">
      <c r="A565" s="2" t="s">
        <v>1591</v>
      </c>
      <c r="B565" s="2" t="s">
        <v>1591</v>
      </c>
      <c r="D565" s="2" t="s">
        <v>1589</v>
      </c>
      <c r="E565" s="2" t="s">
        <v>6361</v>
      </c>
      <c r="F565" s="2">
        <v>3</v>
      </c>
      <c r="G565" s="2">
        <v>0.2</v>
      </c>
      <c r="I565" s="2">
        <v>200</v>
      </c>
      <c r="J565" s="2" t="s">
        <v>188</v>
      </c>
      <c r="O565" s="2" t="s">
        <v>5734</v>
      </c>
      <c r="Q565" s="2">
        <v>2025</v>
      </c>
      <c r="R565" s="2">
        <v>2025</v>
      </c>
      <c r="S565" s="2" t="s">
        <v>5735</v>
      </c>
      <c r="U565" s="2">
        <v>20</v>
      </c>
      <c r="V565" s="2" t="s">
        <v>188</v>
      </c>
    </row>
    <row r="566" spans="1:22">
      <c r="A566" s="2" t="s">
        <v>1591</v>
      </c>
      <c r="B566" s="2" t="s">
        <v>1591</v>
      </c>
      <c r="D566" s="2" t="s">
        <v>1589</v>
      </c>
      <c r="E566" s="2" t="s">
        <v>6362</v>
      </c>
      <c r="F566" s="2">
        <v>4</v>
      </c>
      <c r="G566" s="2">
        <v>0.2</v>
      </c>
      <c r="I566" s="2">
        <v>200</v>
      </c>
      <c r="J566" s="2" t="s">
        <v>188</v>
      </c>
      <c r="M566" s="2">
        <v>0.2</v>
      </c>
      <c r="N566" s="2">
        <v>0.6</v>
      </c>
      <c r="O566" s="2" t="s">
        <v>5734</v>
      </c>
      <c r="Q566" s="2">
        <v>2017</v>
      </c>
      <c r="R566" s="2">
        <v>2017</v>
      </c>
      <c r="S566" s="2" t="s">
        <v>5738</v>
      </c>
      <c r="U566" s="2">
        <v>20</v>
      </c>
      <c r="V566" s="2" t="s">
        <v>188</v>
      </c>
    </row>
    <row r="567" spans="1:22">
      <c r="A567" s="2" t="s">
        <v>1591</v>
      </c>
      <c r="B567" s="2" t="s">
        <v>1591</v>
      </c>
      <c r="D567" s="2" t="s">
        <v>1589</v>
      </c>
      <c r="E567" s="2" t="s">
        <v>6363</v>
      </c>
      <c r="F567" s="2">
        <v>2</v>
      </c>
      <c r="G567" s="2">
        <v>0.6</v>
      </c>
      <c r="I567" s="2">
        <v>600</v>
      </c>
      <c r="J567" s="2" t="s">
        <v>188</v>
      </c>
      <c r="M567" s="2">
        <v>0.6</v>
      </c>
      <c r="N567" s="2">
        <v>1.2</v>
      </c>
      <c r="O567" s="2" t="s">
        <v>5734</v>
      </c>
      <c r="Q567" s="2">
        <v>2016</v>
      </c>
      <c r="R567" s="2">
        <v>2016</v>
      </c>
      <c r="S567" s="2" t="s">
        <v>5738</v>
      </c>
      <c r="U567" s="2">
        <v>30</v>
      </c>
      <c r="V567" s="2" t="s">
        <v>188</v>
      </c>
    </row>
    <row r="568" spans="1:22">
      <c r="A568" s="2" t="s">
        <v>1728</v>
      </c>
      <c r="B568" s="2" t="s">
        <v>1728</v>
      </c>
      <c r="D568" s="2" t="s">
        <v>1727</v>
      </c>
      <c r="E568" s="2" t="s">
        <v>6364</v>
      </c>
      <c r="F568" s="2">
        <v>1</v>
      </c>
      <c r="G568" s="2">
        <v>1.2</v>
      </c>
      <c r="I568" s="2">
        <v>1200</v>
      </c>
      <c r="J568" s="2" t="s">
        <v>188</v>
      </c>
      <c r="M568" s="2">
        <v>1.2</v>
      </c>
      <c r="N568" s="2">
        <v>2.4</v>
      </c>
      <c r="O568" s="2" t="s">
        <v>5737</v>
      </c>
      <c r="Q568" s="2">
        <v>1997</v>
      </c>
      <c r="R568" s="2">
        <v>1997</v>
      </c>
      <c r="S568" s="2" t="s">
        <v>5735</v>
      </c>
      <c r="U568" s="2">
        <v>20</v>
      </c>
      <c r="V568" s="2" t="s">
        <v>187</v>
      </c>
    </row>
    <row r="569" spans="1:22">
      <c r="A569" s="2" t="s">
        <v>493</v>
      </c>
      <c r="B569" s="2" t="s">
        <v>493</v>
      </c>
      <c r="D569" s="2" t="s">
        <v>491</v>
      </c>
      <c r="E569" s="2" t="s">
        <v>6365</v>
      </c>
      <c r="F569" s="2">
        <v>1</v>
      </c>
      <c r="G569" s="2">
        <v>0.9</v>
      </c>
      <c r="H569" s="2">
        <v>0</v>
      </c>
      <c r="I569" s="2">
        <v>900</v>
      </c>
      <c r="J569" s="2" t="s">
        <v>188</v>
      </c>
      <c r="M569" s="2">
        <v>0.9</v>
      </c>
      <c r="N569" s="2">
        <v>2.5</v>
      </c>
      <c r="O569" s="2" t="s">
        <v>5734</v>
      </c>
      <c r="Q569" s="2">
        <v>1998</v>
      </c>
      <c r="R569" s="2">
        <v>1998</v>
      </c>
      <c r="S569" s="2" t="s">
        <v>5969</v>
      </c>
      <c r="U569" s="2">
        <v>30</v>
      </c>
      <c r="V569" s="2" t="s">
        <v>188</v>
      </c>
    </row>
    <row r="570" spans="1:22">
      <c r="A570" s="2" t="s">
        <v>1770</v>
      </c>
      <c r="B570" s="2" t="s">
        <v>1771</v>
      </c>
      <c r="D570" s="2" t="s">
        <v>1769</v>
      </c>
      <c r="E570" s="2" t="s">
        <v>6366</v>
      </c>
      <c r="F570" s="2">
        <v>1</v>
      </c>
      <c r="G570" s="2">
        <v>1</v>
      </c>
      <c r="I570" s="2">
        <v>975</v>
      </c>
      <c r="J570" s="2" t="s">
        <v>188</v>
      </c>
      <c r="M570" s="2">
        <v>1</v>
      </c>
      <c r="N570" s="2">
        <v>3.4</v>
      </c>
      <c r="O570" s="2" t="s">
        <v>5737</v>
      </c>
      <c r="Q570" s="2">
        <v>1998</v>
      </c>
      <c r="R570" s="2">
        <v>2021</v>
      </c>
      <c r="S570" s="2" t="s">
        <v>5735</v>
      </c>
      <c r="U570" s="2">
        <v>20</v>
      </c>
      <c r="V570" s="2" t="s">
        <v>187</v>
      </c>
    </row>
    <row r="571" spans="1:22">
      <c r="A571" s="2" t="s">
        <v>1675</v>
      </c>
      <c r="B571" s="2" t="s">
        <v>1675</v>
      </c>
      <c r="D571" s="2" t="s">
        <v>1672</v>
      </c>
      <c r="E571" s="2" t="s">
        <v>6367</v>
      </c>
      <c r="F571" s="2">
        <v>1</v>
      </c>
      <c r="G571" s="2">
        <v>0.8</v>
      </c>
      <c r="I571" s="2">
        <v>890</v>
      </c>
      <c r="J571" s="2" t="s">
        <v>188</v>
      </c>
      <c r="M571" s="2">
        <v>0.8</v>
      </c>
      <c r="N571" s="2">
        <v>4</v>
      </c>
      <c r="O571" s="2" t="s">
        <v>5734</v>
      </c>
      <c r="Q571" s="2">
        <v>1997</v>
      </c>
      <c r="R571" s="2">
        <v>1997</v>
      </c>
      <c r="S571" s="2" t="s">
        <v>5739</v>
      </c>
      <c r="U571" s="2">
        <v>20</v>
      </c>
      <c r="V571" s="2" t="s">
        <v>188</v>
      </c>
    </row>
    <row r="572" spans="1:22">
      <c r="A572" s="2" t="s">
        <v>1675</v>
      </c>
      <c r="B572" s="2" t="s">
        <v>1675</v>
      </c>
      <c r="D572" s="2" t="s">
        <v>1672</v>
      </c>
      <c r="E572" s="2" t="s">
        <v>6368</v>
      </c>
      <c r="F572" s="2">
        <v>3</v>
      </c>
      <c r="G572" s="2">
        <v>0.8</v>
      </c>
      <c r="I572" s="2">
        <v>815</v>
      </c>
      <c r="J572" s="2" t="s">
        <v>188</v>
      </c>
      <c r="M572" s="2">
        <v>0.8</v>
      </c>
      <c r="N572" s="2">
        <v>3</v>
      </c>
      <c r="O572" s="2" t="s">
        <v>5734</v>
      </c>
      <c r="Q572" s="2">
        <v>1997</v>
      </c>
      <c r="R572" s="2">
        <v>1997</v>
      </c>
      <c r="S572" s="2" t="s">
        <v>5739</v>
      </c>
      <c r="U572" s="2">
        <v>30</v>
      </c>
      <c r="V572" s="2" t="s">
        <v>188</v>
      </c>
    </row>
    <row r="573" spans="1:22">
      <c r="A573" s="2" t="s">
        <v>1675</v>
      </c>
      <c r="B573" s="2" t="s">
        <v>1675</v>
      </c>
      <c r="D573" s="2" t="s">
        <v>1672</v>
      </c>
      <c r="E573" s="2" t="s">
        <v>6369</v>
      </c>
      <c r="F573" s="2">
        <v>2</v>
      </c>
      <c r="G573" s="2">
        <v>0.8</v>
      </c>
      <c r="I573" s="2">
        <v>890</v>
      </c>
      <c r="J573" s="2" t="s">
        <v>188</v>
      </c>
      <c r="M573" s="2">
        <v>0.8</v>
      </c>
      <c r="N573" s="2">
        <v>3.5</v>
      </c>
      <c r="O573" s="2" t="s">
        <v>5734</v>
      </c>
      <c r="Q573" s="2">
        <v>1997</v>
      </c>
      <c r="R573" s="2">
        <v>1997</v>
      </c>
      <c r="S573" s="2" t="s">
        <v>5739</v>
      </c>
      <c r="U573" s="2">
        <v>30</v>
      </c>
      <c r="V573" s="2" t="s">
        <v>188</v>
      </c>
    </row>
    <row r="574" spans="1:22">
      <c r="A574" s="2" t="s">
        <v>501</v>
      </c>
      <c r="B574" s="2" t="s">
        <v>501</v>
      </c>
      <c r="D574" s="2" t="s">
        <v>499</v>
      </c>
      <c r="E574" s="2" t="s">
        <v>6370</v>
      </c>
      <c r="F574" s="2">
        <v>3</v>
      </c>
      <c r="G574" s="2">
        <v>0.22</v>
      </c>
      <c r="H574" s="2">
        <v>0</v>
      </c>
      <c r="I574" s="2">
        <v>200</v>
      </c>
      <c r="J574" s="2" t="s">
        <v>188</v>
      </c>
      <c r="M574" s="2">
        <v>0.22</v>
      </c>
      <c r="N574" s="2">
        <v>0.5</v>
      </c>
      <c r="O574" s="2" t="s">
        <v>5734</v>
      </c>
      <c r="Q574" s="2">
        <v>2005</v>
      </c>
      <c r="R574" s="2">
        <v>2005</v>
      </c>
      <c r="S574" s="2" t="s">
        <v>5738</v>
      </c>
      <c r="U574" s="2">
        <v>30</v>
      </c>
      <c r="V574" s="2" t="s">
        <v>188</v>
      </c>
    </row>
    <row r="575" spans="1:22">
      <c r="A575" s="2" t="s">
        <v>501</v>
      </c>
      <c r="B575" s="2" t="s">
        <v>501</v>
      </c>
      <c r="D575" s="2" t="s">
        <v>499</v>
      </c>
      <c r="E575" s="2" t="s">
        <v>6371</v>
      </c>
      <c r="F575" s="2">
        <v>2</v>
      </c>
      <c r="G575" s="2">
        <v>0.27</v>
      </c>
      <c r="H575" s="2">
        <v>0</v>
      </c>
      <c r="I575" s="2">
        <v>300</v>
      </c>
      <c r="J575" s="2" t="s">
        <v>188</v>
      </c>
      <c r="M575" s="2">
        <v>0.27</v>
      </c>
      <c r="N575" s="2">
        <v>1</v>
      </c>
      <c r="O575" s="2" t="s">
        <v>5737</v>
      </c>
      <c r="Q575" s="2">
        <v>2005</v>
      </c>
      <c r="R575" s="2">
        <v>2005</v>
      </c>
      <c r="S575" s="2" t="s">
        <v>5739</v>
      </c>
      <c r="U575" s="2">
        <v>30</v>
      </c>
      <c r="V575" s="2" t="s">
        <v>188</v>
      </c>
    </row>
    <row r="576" spans="1:22">
      <c r="A576" s="2" t="s">
        <v>501</v>
      </c>
      <c r="B576" s="2" t="s">
        <v>501</v>
      </c>
      <c r="D576" s="2" t="s">
        <v>499</v>
      </c>
      <c r="E576" s="2" t="s">
        <v>6372</v>
      </c>
      <c r="F576" s="2">
        <v>1</v>
      </c>
      <c r="G576" s="2">
        <v>0.4</v>
      </c>
      <c r="H576" s="2">
        <v>0</v>
      </c>
      <c r="I576" s="2">
        <v>400</v>
      </c>
      <c r="J576" s="2" t="s">
        <v>188</v>
      </c>
      <c r="M576" s="2">
        <v>0.4</v>
      </c>
      <c r="N576" s="2">
        <v>1.5</v>
      </c>
      <c r="O576" s="2" t="s">
        <v>5737</v>
      </c>
      <c r="Q576" s="2">
        <v>2005</v>
      </c>
      <c r="R576" s="2">
        <v>2005</v>
      </c>
      <c r="S576" s="2" t="s">
        <v>5738</v>
      </c>
      <c r="U576" s="2">
        <v>30</v>
      </c>
      <c r="V576" s="2" t="s">
        <v>188</v>
      </c>
    </row>
    <row r="577" spans="1:22">
      <c r="A577" s="2" t="s">
        <v>1692</v>
      </c>
      <c r="B577" s="2" t="s">
        <v>1693</v>
      </c>
      <c r="D577" s="2" t="s">
        <v>1691</v>
      </c>
      <c r="E577" s="2" t="s">
        <v>6373</v>
      </c>
      <c r="F577" s="2">
        <v>3</v>
      </c>
      <c r="G577" s="2">
        <v>1</v>
      </c>
      <c r="I577" s="2">
        <v>1100</v>
      </c>
      <c r="J577" s="2" t="s">
        <v>188</v>
      </c>
      <c r="M577" s="2">
        <v>1</v>
      </c>
      <c r="N577" s="2">
        <v>4</v>
      </c>
      <c r="O577" s="2" t="s">
        <v>5737</v>
      </c>
      <c r="Q577" s="2">
        <v>1998</v>
      </c>
      <c r="R577" s="2">
        <v>1998</v>
      </c>
      <c r="S577" s="2" t="s">
        <v>5735</v>
      </c>
      <c r="U577" s="2">
        <v>20</v>
      </c>
      <c r="V577" s="2" t="s">
        <v>187</v>
      </c>
    </row>
    <row r="578" spans="1:22">
      <c r="A578" s="2" t="s">
        <v>1692</v>
      </c>
      <c r="B578" s="2" t="s">
        <v>1693</v>
      </c>
      <c r="D578" s="2" t="s">
        <v>1691</v>
      </c>
      <c r="E578" s="2" t="s">
        <v>6374</v>
      </c>
      <c r="F578" s="2">
        <v>1</v>
      </c>
      <c r="G578" s="2">
        <v>0.3</v>
      </c>
      <c r="I578" s="2">
        <v>420</v>
      </c>
      <c r="J578" s="2" t="s">
        <v>188</v>
      </c>
      <c r="M578" s="2">
        <v>0.3</v>
      </c>
      <c r="N578" s="2">
        <v>1.2</v>
      </c>
      <c r="O578" s="2" t="s">
        <v>5737</v>
      </c>
      <c r="Q578" s="2">
        <v>1998</v>
      </c>
      <c r="R578" s="2">
        <v>1998</v>
      </c>
      <c r="S578" s="2" t="s">
        <v>5735</v>
      </c>
      <c r="U578" s="2">
        <v>20</v>
      </c>
      <c r="V578" s="2" t="s">
        <v>187</v>
      </c>
    </row>
    <row r="579" spans="1:22">
      <c r="A579" s="2" t="s">
        <v>1692</v>
      </c>
      <c r="B579" s="2" t="s">
        <v>1693</v>
      </c>
      <c r="D579" s="2" t="s">
        <v>1691</v>
      </c>
      <c r="E579" s="2" t="s">
        <v>6375</v>
      </c>
      <c r="F579" s="2">
        <v>2</v>
      </c>
      <c r="G579" s="2">
        <v>0.7</v>
      </c>
      <c r="I579" s="2">
        <v>800</v>
      </c>
      <c r="J579" s="2" t="s">
        <v>188</v>
      </c>
      <c r="M579" s="2">
        <v>0.7</v>
      </c>
      <c r="N579" s="2">
        <v>2.6</v>
      </c>
      <c r="O579" s="2" t="s">
        <v>5737</v>
      </c>
      <c r="Q579" s="2">
        <v>1998</v>
      </c>
      <c r="R579" s="2">
        <v>1998</v>
      </c>
      <c r="S579" s="2" t="s">
        <v>5735</v>
      </c>
      <c r="U579" s="2">
        <v>20</v>
      </c>
      <c r="V579" s="2" t="s">
        <v>187</v>
      </c>
    </row>
    <row r="580" spans="1:22">
      <c r="A580" s="2" t="s">
        <v>1702</v>
      </c>
      <c r="B580" s="2" t="s">
        <v>1702</v>
      </c>
      <c r="D580" s="2" t="s">
        <v>1700</v>
      </c>
      <c r="E580" s="2" t="s">
        <v>6376</v>
      </c>
      <c r="F580" s="2">
        <v>1</v>
      </c>
      <c r="G580" s="2">
        <v>1.7</v>
      </c>
      <c r="H580" s="2">
        <v>0</v>
      </c>
      <c r="I580" s="2">
        <v>1700</v>
      </c>
      <c r="J580" s="2" t="s">
        <v>188</v>
      </c>
      <c r="M580" s="2">
        <v>1.7</v>
      </c>
      <c r="N580" s="2">
        <v>5.5</v>
      </c>
      <c r="O580" s="2" t="s">
        <v>5734</v>
      </c>
      <c r="Q580" s="2">
        <v>1997</v>
      </c>
      <c r="R580" s="2">
        <v>1997</v>
      </c>
      <c r="S580" s="2" t="s">
        <v>5739</v>
      </c>
      <c r="U580" s="2">
        <v>25</v>
      </c>
      <c r="V580" s="2" t="s">
        <v>188</v>
      </c>
    </row>
    <row r="581" spans="1:22">
      <c r="A581" s="2" t="s">
        <v>1664</v>
      </c>
      <c r="B581" s="2" t="s">
        <v>1664</v>
      </c>
      <c r="D581" s="2" t="s">
        <v>1663</v>
      </c>
      <c r="E581" s="2" t="s">
        <v>6377</v>
      </c>
      <c r="F581" s="2">
        <v>1</v>
      </c>
      <c r="G581" s="2">
        <v>0.8</v>
      </c>
      <c r="I581" s="2">
        <v>925</v>
      </c>
      <c r="J581" s="2" t="s">
        <v>188</v>
      </c>
      <c r="M581" s="2">
        <v>0.8</v>
      </c>
      <c r="N581" s="2">
        <v>3.8</v>
      </c>
      <c r="O581" s="2" t="s">
        <v>5737</v>
      </c>
      <c r="Q581" s="2">
        <v>1997</v>
      </c>
      <c r="R581" s="2">
        <v>1997</v>
      </c>
      <c r="S581" s="2" t="s">
        <v>5735</v>
      </c>
      <c r="U581" s="2">
        <v>20</v>
      </c>
      <c r="V581" s="2" t="s">
        <v>187</v>
      </c>
    </row>
    <row r="582" spans="1:22">
      <c r="A582" s="2" t="s">
        <v>1664</v>
      </c>
      <c r="B582" s="2" t="s">
        <v>1664</v>
      </c>
      <c r="D582" s="2" t="s">
        <v>1663</v>
      </c>
      <c r="E582" s="2" t="s">
        <v>6378</v>
      </c>
      <c r="F582" s="2">
        <v>2</v>
      </c>
      <c r="G582" s="2">
        <v>0.75</v>
      </c>
      <c r="I582" s="2">
        <v>700</v>
      </c>
      <c r="J582" s="2" t="s">
        <v>188</v>
      </c>
      <c r="M582" s="2">
        <v>0.75</v>
      </c>
      <c r="N582" s="2">
        <v>3</v>
      </c>
      <c r="O582" s="2" t="s">
        <v>5737</v>
      </c>
      <c r="Q582" s="2">
        <v>1997</v>
      </c>
      <c r="R582" s="2">
        <v>1997</v>
      </c>
      <c r="S582" s="2" t="s">
        <v>5735</v>
      </c>
      <c r="U582" s="2">
        <v>20</v>
      </c>
      <c r="V582" s="2" t="s">
        <v>187</v>
      </c>
    </row>
    <row r="583" spans="1:22">
      <c r="A583" s="2" t="s">
        <v>1747</v>
      </c>
      <c r="B583" s="2" t="s">
        <v>1748</v>
      </c>
      <c r="D583" s="2" t="s">
        <v>1745</v>
      </c>
      <c r="E583" s="2" t="s">
        <v>6379</v>
      </c>
      <c r="F583" s="2">
        <v>2</v>
      </c>
      <c r="G583" s="2">
        <v>0.5</v>
      </c>
      <c r="I583" s="2">
        <v>500</v>
      </c>
      <c r="J583" s="2" t="s">
        <v>188</v>
      </c>
      <c r="M583" s="2">
        <v>0.5</v>
      </c>
      <c r="N583" s="2">
        <v>2</v>
      </c>
      <c r="O583" s="2" t="s">
        <v>5734</v>
      </c>
      <c r="Q583" s="2">
        <v>2000</v>
      </c>
      <c r="R583" s="2">
        <v>2000</v>
      </c>
      <c r="S583" s="2" t="s">
        <v>5985</v>
      </c>
      <c r="U583" s="2">
        <v>15</v>
      </c>
      <c r="V583" s="2" t="s">
        <v>188</v>
      </c>
    </row>
    <row r="584" spans="1:22">
      <c r="A584" s="2" t="s">
        <v>1747</v>
      </c>
      <c r="B584" s="2" t="s">
        <v>1748</v>
      </c>
      <c r="D584" s="2" t="s">
        <v>1745</v>
      </c>
      <c r="E584" s="2" t="s">
        <v>6380</v>
      </c>
      <c r="F584" s="2">
        <v>1</v>
      </c>
      <c r="G584" s="2">
        <v>1</v>
      </c>
      <c r="I584" s="2">
        <v>1000</v>
      </c>
      <c r="J584" s="2" t="s">
        <v>188</v>
      </c>
      <c r="M584" s="2">
        <v>1</v>
      </c>
      <c r="N584" s="2">
        <v>4</v>
      </c>
      <c r="O584" s="2" t="s">
        <v>5734</v>
      </c>
      <c r="Q584" s="2">
        <v>1998</v>
      </c>
      <c r="R584" s="2">
        <v>1998</v>
      </c>
      <c r="S584" s="2" t="s">
        <v>5985</v>
      </c>
      <c r="U584" s="2">
        <v>15</v>
      </c>
      <c r="V584" s="2" t="s">
        <v>188</v>
      </c>
    </row>
    <row r="585" spans="1:22">
      <c r="A585" s="2" t="s">
        <v>1801</v>
      </c>
      <c r="B585" s="2" t="s">
        <v>1801</v>
      </c>
      <c r="D585" s="2" t="s">
        <v>1799</v>
      </c>
      <c r="E585" s="2" t="s">
        <v>6381</v>
      </c>
      <c r="F585" s="2">
        <v>1</v>
      </c>
      <c r="G585" s="2">
        <v>1.2</v>
      </c>
      <c r="I585" s="2">
        <v>1300</v>
      </c>
      <c r="J585" s="2" t="s">
        <v>188</v>
      </c>
      <c r="M585" s="2">
        <v>1.2</v>
      </c>
      <c r="N585" s="2">
        <v>4</v>
      </c>
      <c r="O585" s="2" t="s">
        <v>5734</v>
      </c>
      <c r="Q585" s="2">
        <v>1998</v>
      </c>
      <c r="R585" s="2">
        <v>1998</v>
      </c>
      <c r="S585" s="2" t="s">
        <v>5739</v>
      </c>
      <c r="U585" s="2">
        <v>15</v>
      </c>
      <c r="V585" s="2" t="s">
        <v>188</v>
      </c>
    </row>
    <row r="586" spans="1:22">
      <c r="A586" s="2" t="s">
        <v>2381</v>
      </c>
      <c r="B586" s="2" t="s">
        <v>2381</v>
      </c>
      <c r="D586" s="2" t="s">
        <v>2565</v>
      </c>
      <c r="E586" s="2" t="s">
        <v>6382</v>
      </c>
      <c r="F586" s="2" t="s">
        <v>5736</v>
      </c>
      <c r="G586" s="2">
        <v>0.35</v>
      </c>
      <c r="I586" s="2">
        <v>350</v>
      </c>
      <c r="J586" s="2" t="s">
        <v>188</v>
      </c>
      <c r="M586" s="2">
        <v>0.35</v>
      </c>
      <c r="N586" s="2">
        <v>1</v>
      </c>
      <c r="O586" s="2" t="s">
        <v>5737</v>
      </c>
      <c r="Q586" s="2">
        <v>2005</v>
      </c>
      <c r="R586" s="2">
        <v>2005</v>
      </c>
      <c r="S586" s="2" t="s">
        <v>5738</v>
      </c>
      <c r="U586" s="2">
        <v>10</v>
      </c>
      <c r="V586" s="2" t="s">
        <v>187</v>
      </c>
    </row>
    <row r="587" spans="1:22">
      <c r="A587" s="2" t="s">
        <v>1835</v>
      </c>
      <c r="B587" s="2" t="s">
        <v>1835</v>
      </c>
      <c r="D587" s="2" t="s">
        <v>1833</v>
      </c>
      <c r="E587" s="2" t="s">
        <v>6383</v>
      </c>
      <c r="F587" s="2">
        <v>1</v>
      </c>
      <c r="G587" s="2">
        <v>0.8</v>
      </c>
      <c r="I587" s="2">
        <v>800</v>
      </c>
      <c r="J587" s="2" t="s">
        <v>188</v>
      </c>
      <c r="M587" s="2">
        <v>0.8</v>
      </c>
      <c r="N587" s="2">
        <v>3.3</v>
      </c>
      <c r="O587" s="2" t="s">
        <v>5734</v>
      </c>
      <c r="Q587" s="2">
        <v>1997</v>
      </c>
      <c r="R587" s="2">
        <v>1997</v>
      </c>
      <c r="S587" s="2" t="s">
        <v>5985</v>
      </c>
      <c r="U587" s="2">
        <v>15</v>
      </c>
      <c r="V587" s="2" t="s">
        <v>188</v>
      </c>
    </row>
    <row r="588" spans="1:22">
      <c r="A588" s="2" t="s">
        <v>1835</v>
      </c>
      <c r="B588" s="2" t="s">
        <v>1835</v>
      </c>
      <c r="D588" s="2" t="s">
        <v>1833</v>
      </c>
      <c r="E588" s="2" t="s">
        <v>6384</v>
      </c>
      <c r="F588" s="2">
        <v>2</v>
      </c>
      <c r="G588" s="2">
        <v>1.2</v>
      </c>
      <c r="I588" s="2">
        <v>1200</v>
      </c>
      <c r="J588" s="2" t="s">
        <v>188</v>
      </c>
      <c r="M588" s="2">
        <v>1.2</v>
      </c>
      <c r="N588" s="2">
        <v>5</v>
      </c>
      <c r="O588" s="2" t="s">
        <v>5734</v>
      </c>
      <c r="Q588" s="2">
        <v>1997</v>
      </c>
      <c r="R588" s="2">
        <v>1997</v>
      </c>
      <c r="S588" s="2" t="s">
        <v>5985</v>
      </c>
      <c r="U588" s="2">
        <v>15</v>
      </c>
      <c r="V588" s="2" t="s">
        <v>188</v>
      </c>
    </row>
    <row r="589" spans="1:22">
      <c r="A589" s="2" t="s">
        <v>2261</v>
      </c>
      <c r="B589" s="2" t="s">
        <v>2261</v>
      </c>
      <c r="D589" s="2" t="s">
        <v>2260</v>
      </c>
      <c r="E589" s="2" t="s">
        <v>6385</v>
      </c>
      <c r="F589" s="2">
        <v>1</v>
      </c>
      <c r="G589" s="2">
        <v>0.5</v>
      </c>
      <c r="I589" s="2">
        <v>500</v>
      </c>
      <c r="J589" s="2" t="s">
        <v>188</v>
      </c>
      <c r="M589" s="2">
        <v>0.5</v>
      </c>
      <c r="N589" s="2">
        <v>0.8</v>
      </c>
      <c r="O589" s="2" t="s">
        <v>5737</v>
      </c>
      <c r="Q589" s="2">
        <v>2007</v>
      </c>
      <c r="R589" s="2">
        <v>2007</v>
      </c>
      <c r="S589" s="2" t="s">
        <v>5738</v>
      </c>
      <c r="U589" s="2">
        <v>10</v>
      </c>
      <c r="V589" s="2" t="s">
        <v>188</v>
      </c>
    </row>
    <row r="590" spans="1:22">
      <c r="A590" s="2" t="s">
        <v>1850</v>
      </c>
      <c r="B590" s="2" t="s">
        <v>1851</v>
      </c>
      <c r="D590" s="2" t="s">
        <v>1848</v>
      </c>
      <c r="E590" s="2" t="s">
        <v>6386</v>
      </c>
      <c r="F590" s="2">
        <v>1</v>
      </c>
      <c r="G590" s="2">
        <v>0.7</v>
      </c>
      <c r="I590" s="2">
        <v>1000</v>
      </c>
      <c r="J590" s="2" t="s">
        <v>188</v>
      </c>
      <c r="M590" s="2">
        <v>0.7</v>
      </c>
      <c r="N590" s="2">
        <v>5</v>
      </c>
      <c r="O590" s="2" t="s">
        <v>5737</v>
      </c>
      <c r="Q590" s="2">
        <v>1999</v>
      </c>
      <c r="R590" s="2">
        <v>1999</v>
      </c>
      <c r="S590" s="2" t="s">
        <v>5735</v>
      </c>
      <c r="U590" s="2">
        <v>15</v>
      </c>
      <c r="V590" s="2" t="s">
        <v>188</v>
      </c>
    </row>
    <row r="591" spans="1:22">
      <c r="A591" s="2" t="s">
        <v>1850</v>
      </c>
      <c r="B591" s="2" t="s">
        <v>1851</v>
      </c>
      <c r="D591" s="2" t="s">
        <v>1848</v>
      </c>
      <c r="E591" s="2" t="s">
        <v>6387</v>
      </c>
      <c r="F591" s="2">
        <v>3</v>
      </c>
      <c r="G591" s="2">
        <v>0.2</v>
      </c>
      <c r="I591" s="2">
        <v>200</v>
      </c>
      <c r="J591" s="2" t="s">
        <v>187</v>
      </c>
      <c r="K591" s="2" t="s">
        <v>1523</v>
      </c>
      <c r="M591" s="2">
        <v>0.2</v>
      </c>
      <c r="N591" s="2">
        <v>1</v>
      </c>
      <c r="O591" s="2" t="s">
        <v>5737</v>
      </c>
      <c r="Q591" s="2">
        <v>2007</v>
      </c>
      <c r="R591" s="2">
        <v>2017</v>
      </c>
      <c r="S591" s="2" t="s">
        <v>5738</v>
      </c>
      <c r="U591" s="2">
        <v>20</v>
      </c>
      <c r="V591" s="2" t="s">
        <v>188</v>
      </c>
    </row>
    <row r="592" spans="1:22">
      <c r="A592" s="2" t="s">
        <v>1850</v>
      </c>
      <c r="B592" s="2" t="s">
        <v>1851</v>
      </c>
      <c r="D592" s="2" t="s">
        <v>1848</v>
      </c>
      <c r="E592" s="2" t="s">
        <v>6388</v>
      </c>
      <c r="F592" s="2">
        <v>2</v>
      </c>
      <c r="G592" s="2">
        <v>0.6</v>
      </c>
      <c r="I592" s="2">
        <v>600</v>
      </c>
      <c r="J592" s="2" t="s">
        <v>187</v>
      </c>
      <c r="K592" s="2" t="s">
        <v>308</v>
      </c>
      <c r="M592" s="2">
        <v>0.6</v>
      </c>
      <c r="N592" s="2">
        <v>3</v>
      </c>
      <c r="O592" s="2" t="s">
        <v>5737</v>
      </c>
      <c r="Q592" s="2">
        <v>2000</v>
      </c>
      <c r="R592" s="2">
        <v>2019</v>
      </c>
      <c r="S592" s="2" t="s">
        <v>5735</v>
      </c>
      <c r="U592" s="2">
        <v>20</v>
      </c>
      <c r="V592" s="2" t="s">
        <v>188</v>
      </c>
    </row>
    <row r="593" spans="1:22">
      <c r="A593" s="2" t="s">
        <v>2233</v>
      </c>
      <c r="B593" s="2" t="s">
        <v>2233</v>
      </c>
      <c r="D593" s="2" t="s">
        <v>2232</v>
      </c>
      <c r="E593" s="2" t="s">
        <v>6389</v>
      </c>
      <c r="F593" s="2">
        <v>1</v>
      </c>
      <c r="G593" s="2">
        <v>0.5</v>
      </c>
      <c r="I593" s="2">
        <v>500</v>
      </c>
      <c r="J593" s="2" t="s">
        <v>188</v>
      </c>
      <c r="M593" s="2">
        <v>0.5</v>
      </c>
      <c r="N593" s="2">
        <v>0.97</v>
      </c>
      <c r="O593" s="2" t="s">
        <v>5734</v>
      </c>
      <c r="Q593" s="2">
        <v>2010</v>
      </c>
      <c r="R593" s="2">
        <v>2010</v>
      </c>
      <c r="S593" s="2" t="s">
        <v>5738</v>
      </c>
      <c r="U593" s="2">
        <v>10</v>
      </c>
      <c r="V593" s="2" t="s">
        <v>188</v>
      </c>
    </row>
    <row r="594" spans="1:22">
      <c r="A594" s="2" t="s">
        <v>2233</v>
      </c>
      <c r="B594" s="2" t="s">
        <v>2233</v>
      </c>
      <c r="D594" s="2" t="s">
        <v>2232</v>
      </c>
      <c r="E594" s="2" t="s">
        <v>6390</v>
      </c>
      <c r="F594" s="2">
        <v>3</v>
      </c>
      <c r="G594" s="2">
        <v>0.2</v>
      </c>
      <c r="I594" s="2">
        <v>200</v>
      </c>
      <c r="J594" s="2" t="s">
        <v>188</v>
      </c>
      <c r="M594" s="2">
        <v>0.2</v>
      </c>
      <c r="N594" s="2">
        <v>0.24</v>
      </c>
      <c r="O594" s="2" t="s">
        <v>5734</v>
      </c>
      <c r="Q594" s="2">
        <v>2011</v>
      </c>
      <c r="R594" s="2">
        <v>2011</v>
      </c>
      <c r="S594" s="2" t="s">
        <v>5735</v>
      </c>
      <c r="U594" s="2">
        <v>10</v>
      </c>
      <c r="V594" s="2" t="s">
        <v>188</v>
      </c>
    </row>
    <row r="595" spans="1:22">
      <c r="A595" s="2" t="s">
        <v>2233</v>
      </c>
      <c r="B595" s="2" t="s">
        <v>2233</v>
      </c>
      <c r="D595" s="2" t="s">
        <v>2232</v>
      </c>
      <c r="E595" s="2" t="s">
        <v>6391</v>
      </c>
      <c r="F595" s="2">
        <v>2</v>
      </c>
      <c r="G595" s="2">
        <v>0.2</v>
      </c>
      <c r="I595" s="2">
        <v>200</v>
      </c>
      <c r="J595" s="2" t="s">
        <v>188</v>
      </c>
      <c r="M595" s="2">
        <v>0.2</v>
      </c>
      <c r="N595" s="2">
        <v>0.12</v>
      </c>
      <c r="O595" s="2" t="s">
        <v>5734</v>
      </c>
      <c r="Q595" s="2">
        <v>2022</v>
      </c>
      <c r="R595" s="2">
        <v>2022</v>
      </c>
      <c r="S595" s="2" t="s">
        <v>5738</v>
      </c>
      <c r="U595" s="2">
        <v>10</v>
      </c>
      <c r="V595" s="2" t="s">
        <v>188</v>
      </c>
    </row>
    <row r="596" spans="1:22">
      <c r="A596" s="2" t="s">
        <v>1914</v>
      </c>
      <c r="B596" s="2" t="s">
        <v>1915</v>
      </c>
      <c r="D596" s="2" t="s">
        <v>1912</v>
      </c>
      <c r="E596" s="2" t="s">
        <v>6392</v>
      </c>
      <c r="F596" s="2">
        <v>6</v>
      </c>
      <c r="G596" s="2">
        <v>0.2</v>
      </c>
      <c r="I596" s="2">
        <v>200</v>
      </c>
      <c r="J596" s="2" t="s">
        <v>187</v>
      </c>
      <c r="K596" s="2" t="s">
        <v>308</v>
      </c>
      <c r="M596" s="2">
        <v>0.2</v>
      </c>
      <c r="N596" s="2">
        <v>0.5</v>
      </c>
      <c r="O596" s="2" t="s">
        <v>5737</v>
      </c>
      <c r="Q596" s="2">
        <v>2023</v>
      </c>
      <c r="R596" s="2">
        <v>2023</v>
      </c>
      <c r="S596" s="2" t="s">
        <v>288</v>
      </c>
      <c r="T596" s="2" t="s">
        <v>308</v>
      </c>
      <c r="U596" s="2">
        <v>25</v>
      </c>
      <c r="V596" s="2" t="s">
        <v>188</v>
      </c>
    </row>
    <row r="597" spans="1:22">
      <c r="A597" s="2" t="s">
        <v>1914</v>
      </c>
      <c r="B597" s="2" t="s">
        <v>1915</v>
      </c>
      <c r="D597" s="2" t="s">
        <v>1912</v>
      </c>
      <c r="E597" s="2" t="s">
        <v>6393</v>
      </c>
      <c r="F597" s="2">
        <v>3</v>
      </c>
      <c r="G597" s="2">
        <v>0.6</v>
      </c>
      <c r="I597" s="2">
        <v>600</v>
      </c>
      <c r="J597" s="2" t="s">
        <v>188</v>
      </c>
      <c r="M597" s="2">
        <v>0.6</v>
      </c>
      <c r="N597" s="2">
        <v>3</v>
      </c>
      <c r="O597" s="2" t="s">
        <v>5737</v>
      </c>
      <c r="Q597" s="2">
        <v>200</v>
      </c>
      <c r="R597" s="2">
        <v>2000</v>
      </c>
      <c r="S597" s="2" t="s">
        <v>5739</v>
      </c>
      <c r="U597" s="2">
        <v>30</v>
      </c>
      <c r="V597" s="2" t="s">
        <v>188</v>
      </c>
    </row>
    <row r="598" spans="1:22">
      <c r="A598" s="2" t="s">
        <v>1914</v>
      </c>
      <c r="B598" s="2" t="s">
        <v>1915</v>
      </c>
      <c r="D598" s="2" t="s">
        <v>1912</v>
      </c>
      <c r="E598" s="2" t="s">
        <v>6394</v>
      </c>
      <c r="F598" s="2">
        <v>5</v>
      </c>
      <c r="G598" s="2">
        <v>0.4</v>
      </c>
      <c r="I598" s="2">
        <v>400</v>
      </c>
      <c r="J598" s="2" t="s">
        <v>187</v>
      </c>
      <c r="K598" s="2" t="s">
        <v>308</v>
      </c>
      <c r="M598" s="2">
        <v>0.4</v>
      </c>
      <c r="N598" s="2">
        <v>1</v>
      </c>
      <c r="O598" s="2" t="s">
        <v>5737</v>
      </c>
      <c r="Q598" s="2">
        <v>2023</v>
      </c>
      <c r="R598" s="2">
        <v>2023</v>
      </c>
      <c r="S598" s="2" t="s">
        <v>288</v>
      </c>
      <c r="T598" s="2" t="s">
        <v>308</v>
      </c>
      <c r="U598" s="2">
        <v>30</v>
      </c>
      <c r="V598" s="2" t="s">
        <v>188</v>
      </c>
    </row>
    <row r="599" spans="1:22">
      <c r="A599" s="2" t="s">
        <v>1914</v>
      </c>
      <c r="B599" s="2" t="s">
        <v>1915</v>
      </c>
      <c r="D599" s="2" t="s">
        <v>1912</v>
      </c>
      <c r="E599" s="2" t="s">
        <v>6395</v>
      </c>
      <c r="F599" s="2">
        <v>2</v>
      </c>
      <c r="G599" s="2">
        <v>1.2</v>
      </c>
      <c r="I599" s="2">
        <v>1200</v>
      </c>
      <c r="J599" s="2" t="s">
        <v>188</v>
      </c>
      <c r="M599" s="2">
        <v>1.2</v>
      </c>
      <c r="N599" s="2">
        <v>5</v>
      </c>
      <c r="O599" s="2" t="s">
        <v>5737</v>
      </c>
      <c r="Q599" s="2">
        <v>1995</v>
      </c>
      <c r="R599" s="2">
        <v>1995</v>
      </c>
      <c r="S599" s="2" t="s">
        <v>5985</v>
      </c>
      <c r="U599" s="2">
        <v>25</v>
      </c>
      <c r="V599" s="2" t="s">
        <v>188</v>
      </c>
    </row>
    <row r="600" spans="1:22">
      <c r="A600" s="2" t="s">
        <v>1914</v>
      </c>
      <c r="B600" s="2" t="s">
        <v>1915</v>
      </c>
      <c r="D600" s="2" t="s">
        <v>1912</v>
      </c>
      <c r="E600" s="2" t="s">
        <v>6396</v>
      </c>
      <c r="F600" s="2">
        <v>4</v>
      </c>
      <c r="G600" s="2">
        <v>1.6</v>
      </c>
      <c r="I600" s="2">
        <v>1600</v>
      </c>
      <c r="J600" s="2" t="s">
        <v>188</v>
      </c>
      <c r="M600" s="2">
        <v>1.6</v>
      </c>
      <c r="N600" s="2">
        <v>6</v>
      </c>
      <c r="O600" s="2" t="s">
        <v>5737</v>
      </c>
      <c r="Q600" s="2">
        <v>1998</v>
      </c>
      <c r="R600" s="2">
        <v>1998</v>
      </c>
      <c r="S600" s="2" t="s">
        <v>5739</v>
      </c>
      <c r="U600" s="2">
        <v>30</v>
      </c>
      <c r="V600" s="2" t="s">
        <v>188</v>
      </c>
    </row>
    <row r="601" spans="1:22">
      <c r="A601" s="2" t="s">
        <v>1914</v>
      </c>
      <c r="B601" s="2" t="s">
        <v>1915</v>
      </c>
      <c r="D601" s="2" t="s">
        <v>1912</v>
      </c>
      <c r="E601" s="2" t="s">
        <v>6397</v>
      </c>
      <c r="F601" s="2">
        <v>1</v>
      </c>
      <c r="G601" s="2">
        <v>1</v>
      </c>
      <c r="I601" s="2">
        <v>1000</v>
      </c>
      <c r="J601" s="2" t="s">
        <v>188</v>
      </c>
      <c r="M601" s="2">
        <v>1</v>
      </c>
      <c r="N601" s="2">
        <v>5</v>
      </c>
      <c r="O601" s="2" t="s">
        <v>5737</v>
      </c>
      <c r="Q601" s="2">
        <v>1995</v>
      </c>
      <c r="R601" s="2">
        <v>1995</v>
      </c>
      <c r="S601" s="2" t="s">
        <v>5985</v>
      </c>
      <c r="U601" s="2">
        <v>30</v>
      </c>
      <c r="V601" s="2" t="s">
        <v>188</v>
      </c>
    </row>
    <row r="602" spans="1:22">
      <c r="A602" s="2" t="s">
        <v>1953</v>
      </c>
      <c r="B602" s="2" t="s">
        <v>1954</v>
      </c>
      <c r="D602" s="2" t="s">
        <v>1951</v>
      </c>
      <c r="E602" s="2" t="s">
        <v>6398</v>
      </c>
      <c r="F602" s="2">
        <v>2</v>
      </c>
      <c r="G602" s="2">
        <v>0.2</v>
      </c>
      <c r="I602" s="2">
        <v>200</v>
      </c>
      <c r="J602" s="2" t="s">
        <v>188</v>
      </c>
      <c r="M602" s="2">
        <v>0.2</v>
      </c>
      <c r="N602" s="2">
        <v>0.7</v>
      </c>
      <c r="O602" s="2" t="s">
        <v>5737</v>
      </c>
      <c r="Q602" s="2">
        <v>2000</v>
      </c>
      <c r="R602" s="2">
        <v>2000</v>
      </c>
      <c r="S602" s="2" t="s">
        <v>5739</v>
      </c>
      <c r="U602" s="2">
        <v>25</v>
      </c>
      <c r="V602" s="2" t="s">
        <v>188</v>
      </c>
    </row>
    <row r="603" spans="1:22">
      <c r="A603" s="2" t="s">
        <v>1953</v>
      </c>
      <c r="B603" s="2" t="s">
        <v>1954</v>
      </c>
      <c r="D603" s="2" t="s">
        <v>1951</v>
      </c>
      <c r="E603" s="2" t="s">
        <v>6399</v>
      </c>
      <c r="F603" s="2">
        <v>3</v>
      </c>
      <c r="G603" s="2">
        <v>0.5</v>
      </c>
      <c r="I603" s="2">
        <v>500</v>
      </c>
      <c r="J603" s="2" t="s">
        <v>188</v>
      </c>
      <c r="M603" s="2">
        <v>0.5</v>
      </c>
      <c r="N603" s="2">
        <v>3</v>
      </c>
      <c r="O603" s="2" t="s">
        <v>5737</v>
      </c>
      <c r="Q603" s="2">
        <v>2007</v>
      </c>
      <c r="R603" s="2">
        <v>2007</v>
      </c>
      <c r="S603" s="2" t="s">
        <v>5739</v>
      </c>
      <c r="U603" s="2">
        <v>30</v>
      </c>
      <c r="V603" s="2" t="s">
        <v>188</v>
      </c>
    </row>
    <row r="604" spans="1:22">
      <c r="A604" s="2" t="s">
        <v>1953</v>
      </c>
      <c r="B604" s="2" t="s">
        <v>1954</v>
      </c>
      <c r="D604" s="2" t="s">
        <v>1951</v>
      </c>
      <c r="E604" s="2" t="s">
        <v>6400</v>
      </c>
      <c r="F604" s="2">
        <v>1</v>
      </c>
      <c r="G604" s="2">
        <v>0.5</v>
      </c>
      <c r="I604" s="2">
        <v>350</v>
      </c>
      <c r="J604" s="2" t="s">
        <v>187</v>
      </c>
      <c r="K604" s="2" t="s">
        <v>1523</v>
      </c>
      <c r="M604" s="2">
        <v>0.5</v>
      </c>
      <c r="N604" s="2">
        <v>1</v>
      </c>
      <c r="O604" s="2" t="s">
        <v>5737</v>
      </c>
      <c r="Q604" s="2">
        <v>1995</v>
      </c>
      <c r="R604" s="2">
        <v>1995</v>
      </c>
      <c r="S604" s="2" t="s">
        <v>5739</v>
      </c>
      <c r="U604" s="2">
        <v>30</v>
      </c>
      <c r="V604" s="2" t="s">
        <v>188</v>
      </c>
    </row>
    <row r="605" spans="1:22">
      <c r="A605" s="2" t="s">
        <v>519</v>
      </c>
      <c r="B605" s="2" t="s">
        <v>520</v>
      </c>
      <c r="D605" s="2" t="s">
        <v>517</v>
      </c>
      <c r="E605" s="2" t="s">
        <v>6401</v>
      </c>
      <c r="F605" s="2">
        <v>2</v>
      </c>
      <c r="G605" s="2">
        <v>0.4</v>
      </c>
      <c r="H605" s="2">
        <v>0</v>
      </c>
      <c r="I605" s="2">
        <v>400</v>
      </c>
      <c r="J605" s="2" t="s">
        <v>187</v>
      </c>
      <c r="K605" s="2" t="s">
        <v>308</v>
      </c>
      <c r="M605" s="2">
        <v>0.04</v>
      </c>
      <c r="N605" s="2">
        <v>1.5</v>
      </c>
      <c r="O605" s="2" t="s">
        <v>5737</v>
      </c>
      <c r="Q605" s="2">
        <v>2017</v>
      </c>
      <c r="R605" s="2">
        <v>2017</v>
      </c>
      <c r="S605" s="2" t="s">
        <v>5738</v>
      </c>
      <c r="U605" s="2">
        <v>30</v>
      </c>
      <c r="V605" s="2" t="s">
        <v>188</v>
      </c>
    </row>
    <row r="606" spans="1:22">
      <c r="A606" s="2" t="s">
        <v>519</v>
      </c>
      <c r="B606" s="2" t="s">
        <v>520</v>
      </c>
      <c r="D606" s="2" t="s">
        <v>517</v>
      </c>
      <c r="E606" s="2" t="s">
        <v>6402</v>
      </c>
      <c r="F606" s="2">
        <v>1</v>
      </c>
      <c r="G606" s="2">
        <v>0.4</v>
      </c>
      <c r="H606" s="2">
        <v>0</v>
      </c>
      <c r="I606" s="2">
        <v>400</v>
      </c>
      <c r="J606" s="2" t="s">
        <v>187</v>
      </c>
      <c r="K606" s="2" t="s">
        <v>308</v>
      </c>
      <c r="M606" s="2">
        <v>0.4</v>
      </c>
      <c r="N606" s="2">
        <v>1.5</v>
      </c>
      <c r="O606" s="2" t="s">
        <v>5737</v>
      </c>
      <c r="Q606" s="2">
        <v>2019</v>
      </c>
      <c r="R606" s="2">
        <v>2019</v>
      </c>
      <c r="S606" s="2" t="s">
        <v>5738</v>
      </c>
      <c r="U606" s="2">
        <v>30</v>
      </c>
      <c r="V606" s="2" t="s">
        <v>188</v>
      </c>
    </row>
    <row r="607" spans="1:22">
      <c r="A607" s="2" t="s">
        <v>465</v>
      </c>
      <c r="B607" s="2" t="s">
        <v>465</v>
      </c>
      <c r="D607" s="2" t="s">
        <v>463</v>
      </c>
      <c r="E607" s="2" t="s">
        <v>6403</v>
      </c>
      <c r="F607" s="2">
        <v>4</v>
      </c>
      <c r="G607" s="2">
        <v>0.3</v>
      </c>
      <c r="H607" s="2">
        <v>0</v>
      </c>
      <c r="I607" s="2">
        <v>300</v>
      </c>
      <c r="J607" s="2" t="s">
        <v>187</v>
      </c>
      <c r="K607" s="2" t="s">
        <v>5797</v>
      </c>
      <c r="M607" s="2">
        <v>0.3</v>
      </c>
      <c r="N607" s="2">
        <v>1.3</v>
      </c>
      <c r="O607" s="2" t="s">
        <v>5734</v>
      </c>
      <c r="Q607" s="2">
        <v>2003</v>
      </c>
      <c r="R607" s="2">
        <v>2003</v>
      </c>
      <c r="S607" s="2" t="s">
        <v>5739</v>
      </c>
      <c r="U607" s="2">
        <v>50</v>
      </c>
      <c r="V607" s="2" t="s">
        <v>188</v>
      </c>
    </row>
    <row r="608" spans="1:22">
      <c r="A608" s="2" t="s">
        <v>465</v>
      </c>
      <c r="B608" s="2" t="s">
        <v>465</v>
      </c>
      <c r="D608" s="2" t="s">
        <v>463</v>
      </c>
      <c r="E608" s="2" t="s">
        <v>6404</v>
      </c>
      <c r="F608" s="2">
        <v>2</v>
      </c>
      <c r="G608" s="2">
        <v>0.1</v>
      </c>
      <c r="H608" s="2">
        <v>0</v>
      </c>
      <c r="I608" s="2">
        <v>100</v>
      </c>
      <c r="J608" s="2" t="s">
        <v>188</v>
      </c>
      <c r="M608" s="2">
        <v>0.1</v>
      </c>
      <c r="N608" s="2">
        <v>0.4</v>
      </c>
      <c r="O608" s="2" t="s">
        <v>5734</v>
      </c>
      <c r="Q608" s="2">
        <v>2005</v>
      </c>
      <c r="R608" s="2">
        <v>2005</v>
      </c>
      <c r="S608" s="2" t="s">
        <v>5739</v>
      </c>
      <c r="U608" s="2">
        <v>45</v>
      </c>
      <c r="V608" s="2" t="s">
        <v>188</v>
      </c>
    </row>
    <row r="609" spans="1:22">
      <c r="A609" s="2" t="s">
        <v>465</v>
      </c>
      <c r="B609" s="2" t="s">
        <v>465</v>
      </c>
      <c r="D609" s="2" t="s">
        <v>463</v>
      </c>
      <c r="E609" s="2" t="s">
        <v>6405</v>
      </c>
      <c r="F609" s="2">
        <v>6</v>
      </c>
      <c r="G609" s="2">
        <v>0.3</v>
      </c>
      <c r="H609" s="2">
        <v>0</v>
      </c>
      <c r="I609" s="2">
        <v>300</v>
      </c>
      <c r="J609" s="2" t="s">
        <v>187</v>
      </c>
      <c r="K609" s="2" t="s">
        <v>5797</v>
      </c>
      <c r="M609" s="2">
        <v>0</v>
      </c>
      <c r="N609" s="2">
        <v>0</v>
      </c>
      <c r="O609" s="2" t="s">
        <v>5734</v>
      </c>
      <c r="Q609" s="2">
        <v>2000</v>
      </c>
      <c r="R609" s="2">
        <v>2024</v>
      </c>
      <c r="S609" s="2" t="s">
        <v>5735</v>
      </c>
      <c r="U609" s="2">
        <v>45</v>
      </c>
      <c r="V609" s="2" t="s">
        <v>188</v>
      </c>
    </row>
    <row r="610" spans="1:22">
      <c r="A610" s="2" t="s">
        <v>465</v>
      </c>
      <c r="B610" s="2" t="s">
        <v>465</v>
      </c>
      <c r="D610" s="2" t="s">
        <v>463</v>
      </c>
      <c r="E610" s="2" t="s">
        <v>6406</v>
      </c>
      <c r="F610" s="2">
        <v>3</v>
      </c>
      <c r="G610" s="2">
        <v>0.3</v>
      </c>
      <c r="H610" s="2">
        <v>0</v>
      </c>
      <c r="I610" s="2">
        <v>300</v>
      </c>
      <c r="J610" s="2" t="s">
        <v>187</v>
      </c>
      <c r="K610" s="2" t="s">
        <v>1523</v>
      </c>
      <c r="M610" s="2">
        <v>0.3</v>
      </c>
      <c r="N610" s="2">
        <v>1.3</v>
      </c>
      <c r="O610" s="2" t="s">
        <v>5734</v>
      </c>
      <c r="Q610" s="2">
        <v>2005</v>
      </c>
      <c r="R610" s="2">
        <v>2005</v>
      </c>
      <c r="S610" s="2" t="s">
        <v>5738</v>
      </c>
      <c r="U610" s="2">
        <v>45</v>
      </c>
      <c r="V610" s="2" t="s">
        <v>188</v>
      </c>
    </row>
    <row r="611" spans="1:22">
      <c r="A611" s="2" t="s">
        <v>465</v>
      </c>
      <c r="B611" s="2" t="s">
        <v>465</v>
      </c>
      <c r="D611" s="2" t="s">
        <v>463</v>
      </c>
      <c r="E611" s="2" t="s">
        <v>6407</v>
      </c>
      <c r="F611" s="2">
        <v>5</v>
      </c>
      <c r="G611" s="2">
        <v>0.3</v>
      </c>
      <c r="H611" s="2">
        <v>0</v>
      </c>
      <c r="I611" s="2">
        <v>300</v>
      </c>
      <c r="J611" s="2" t="s">
        <v>188</v>
      </c>
      <c r="M611" s="2">
        <v>0</v>
      </c>
      <c r="N611" s="2">
        <v>0</v>
      </c>
      <c r="O611" s="2" t="s">
        <v>5734</v>
      </c>
      <c r="Q611" s="2">
        <v>2000</v>
      </c>
      <c r="R611" s="2">
        <v>2025</v>
      </c>
      <c r="S611" s="2" t="s">
        <v>5735</v>
      </c>
      <c r="U611" s="2">
        <v>45</v>
      </c>
      <c r="V611" s="2" t="s">
        <v>188</v>
      </c>
    </row>
    <row r="612" spans="1:22">
      <c r="A612" s="2" t="s">
        <v>465</v>
      </c>
      <c r="B612" s="2" t="s">
        <v>465</v>
      </c>
      <c r="D612" s="2" t="s">
        <v>463</v>
      </c>
      <c r="E612" s="2" t="s">
        <v>6408</v>
      </c>
      <c r="F612" s="2">
        <v>1</v>
      </c>
      <c r="G612" s="2">
        <v>0.2</v>
      </c>
      <c r="H612" s="2">
        <v>0</v>
      </c>
      <c r="I612" s="2">
        <v>200</v>
      </c>
      <c r="J612" s="2" t="s">
        <v>187</v>
      </c>
      <c r="K612" s="2" t="s">
        <v>308</v>
      </c>
      <c r="M612" s="2">
        <v>0.2</v>
      </c>
      <c r="N612" s="2">
        <v>0.8</v>
      </c>
      <c r="O612" s="2" t="s">
        <v>5734</v>
      </c>
      <c r="Q612" s="2">
        <v>2000</v>
      </c>
      <c r="R612" s="2">
        <v>2000</v>
      </c>
      <c r="S612" s="2" t="s">
        <v>5738</v>
      </c>
      <c r="U612" s="2">
        <v>50</v>
      </c>
      <c r="V612" s="2" t="s">
        <v>188</v>
      </c>
    </row>
    <row r="613" spans="1:22">
      <c r="A613" s="2" t="s">
        <v>774</v>
      </c>
      <c r="B613" s="2" t="s">
        <v>774</v>
      </c>
      <c r="D613" s="2" t="s">
        <v>771</v>
      </c>
      <c r="E613" s="2" t="s">
        <v>6409</v>
      </c>
      <c r="F613" s="2">
        <v>3</v>
      </c>
      <c r="G613" s="2">
        <v>0.1</v>
      </c>
      <c r="H613" s="2">
        <v>0</v>
      </c>
      <c r="I613" s="2">
        <v>100</v>
      </c>
      <c r="J613" s="2" t="s">
        <v>188</v>
      </c>
      <c r="M613" s="2">
        <v>0.1</v>
      </c>
      <c r="N613" s="2">
        <v>0.3</v>
      </c>
      <c r="O613" s="2" t="s">
        <v>5737</v>
      </c>
      <c r="Q613" s="2">
        <v>1995</v>
      </c>
      <c r="R613" s="2">
        <v>2013</v>
      </c>
      <c r="S613" s="2" t="s">
        <v>5735</v>
      </c>
      <c r="U613" s="2">
        <v>40</v>
      </c>
      <c r="V613" s="2" t="s">
        <v>188</v>
      </c>
    </row>
    <row r="614" spans="1:22">
      <c r="A614" s="2" t="s">
        <v>774</v>
      </c>
      <c r="B614" s="2" t="s">
        <v>774</v>
      </c>
      <c r="D614" s="2" t="s">
        <v>771</v>
      </c>
      <c r="E614" s="2" t="s">
        <v>6410</v>
      </c>
      <c r="F614" s="2">
        <v>2</v>
      </c>
      <c r="G614" s="2">
        <v>0.1</v>
      </c>
      <c r="H614" s="2">
        <v>0</v>
      </c>
      <c r="I614" s="2">
        <v>100</v>
      </c>
      <c r="J614" s="2" t="s">
        <v>188</v>
      </c>
      <c r="M614" s="2">
        <v>0.1</v>
      </c>
      <c r="N614" s="2">
        <v>0.4</v>
      </c>
      <c r="O614" s="2" t="s">
        <v>5737</v>
      </c>
      <c r="Q614" s="2">
        <v>2013</v>
      </c>
      <c r="R614" s="2">
        <v>2013</v>
      </c>
      <c r="S614" s="2" t="s">
        <v>5738</v>
      </c>
      <c r="U614" s="2">
        <v>40</v>
      </c>
      <c r="V614" s="2" t="s">
        <v>188</v>
      </c>
    </row>
    <row r="615" spans="1:22">
      <c r="A615" s="2" t="s">
        <v>774</v>
      </c>
      <c r="B615" s="2" t="s">
        <v>774</v>
      </c>
      <c r="D615" s="2" t="s">
        <v>771</v>
      </c>
      <c r="E615" s="2" t="s">
        <v>6411</v>
      </c>
      <c r="F615" s="2">
        <v>1</v>
      </c>
      <c r="G615" s="2">
        <v>0.1</v>
      </c>
      <c r="H615" s="2">
        <v>0</v>
      </c>
      <c r="I615" s="2">
        <v>100</v>
      </c>
      <c r="J615" s="2" t="s">
        <v>188</v>
      </c>
      <c r="M615" s="2">
        <v>0.1</v>
      </c>
      <c r="N615" s="2">
        <v>0.3</v>
      </c>
      <c r="O615" s="2" t="s">
        <v>5737</v>
      </c>
      <c r="Q615" s="2">
        <v>1995</v>
      </c>
      <c r="R615" s="2">
        <v>2013</v>
      </c>
      <c r="S615" s="2" t="s">
        <v>5735</v>
      </c>
      <c r="U615" s="2">
        <v>40</v>
      </c>
      <c r="V615" s="2" t="s">
        <v>188</v>
      </c>
    </row>
    <row r="616" spans="1:22">
      <c r="A616" s="2" t="s">
        <v>713</v>
      </c>
      <c r="B616" s="2" t="s">
        <v>714</v>
      </c>
      <c r="D616" s="2" t="s">
        <v>710</v>
      </c>
      <c r="E616" s="2" t="s">
        <v>6412</v>
      </c>
      <c r="F616" s="2">
        <v>1</v>
      </c>
      <c r="G616" s="2">
        <v>0.3</v>
      </c>
      <c r="H616" s="2">
        <v>0</v>
      </c>
      <c r="I616" s="2">
        <v>320</v>
      </c>
      <c r="J616" s="2" t="s">
        <v>187</v>
      </c>
      <c r="K616" s="2" t="s">
        <v>1523</v>
      </c>
      <c r="M616" s="2">
        <v>0.3</v>
      </c>
      <c r="N616" s="2">
        <v>1.3</v>
      </c>
      <c r="O616" s="2" t="s">
        <v>5734</v>
      </c>
      <c r="Q616" s="2">
        <v>2000</v>
      </c>
      <c r="R616" s="2">
        <v>2017</v>
      </c>
      <c r="S616" s="2" t="s">
        <v>5735</v>
      </c>
      <c r="U616" s="2">
        <v>7</v>
      </c>
      <c r="V616" s="2" t="s">
        <v>188</v>
      </c>
    </row>
    <row r="617" spans="1:22">
      <c r="A617" s="2" t="s">
        <v>1997</v>
      </c>
      <c r="B617" s="2" t="s">
        <v>1997</v>
      </c>
      <c r="D617" s="2" t="s">
        <v>1994</v>
      </c>
      <c r="E617" s="2" t="s">
        <v>6413</v>
      </c>
      <c r="F617" s="2">
        <v>2</v>
      </c>
      <c r="G617" s="2">
        <v>0.2</v>
      </c>
      <c r="I617" s="2">
        <v>200</v>
      </c>
      <c r="J617" s="2" t="s">
        <v>188</v>
      </c>
      <c r="M617" s="2">
        <v>0.2</v>
      </c>
      <c r="N617" s="2">
        <v>1</v>
      </c>
      <c r="O617" s="2" t="s">
        <v>5737</v>
      </c>
      <c r="Q617" s="2">
        <v>1995</v>
      </c>
      <c r="R617" s="2">
        <v>2018</v>
      </c>
      <c r="S617" s="2" t="s">
        <v>5735</v>
      </c>
      <c r="U617" s="2">
        <v>6</v>
      </c>
      <c r="V617" s="2" t="s">
        <v>188</v>
      </c>
    </row>
    <row r="618" spans="1:22">
      <c r="A618" s="2" t="s">
        <v>1997</v>
      </c>
      <c r="B618" s="2" t="s">
        <v>1997</v>
      </c>
      <c r="D618" s="2" t="s">
        <v>1994</v>
      </c>
      <c r="E618" s="2" t="s">
        <v>6414</v>
      </c>
      <c r="F618" s="2">
        <v>1</v>
      </c>
      <c r="G618" s="2">
        <v>1.2</v>
      </c>
      <c r="I618" s="2">
        <v>1200</v>
      </c>
      <c r="J618" s="2" t="s">
        <v>188</v>
      </c>
      <c r="M618" s="2">
        <v>1.2</v>
      </c>
      <c r="N618" s="2">
        <v>4</v>
      </c>
      <c r="O618" s="2" t="s">
        <v>5737</v>
      </c>
      <c r="Q618" s="2">
        <v>2006</v>
      </c>
      <c r="R618" s="2">
        <v>2006</v>
      </c>
      <c r="S618" s="2" t="s">
        <v>5739</v>
      </c>
      <c r="U618" s="2">
        <v>3</v>
      </c>
      <c r="V618" s="2" t="s">
        <v>188</v>
      </c>
    </row>
    <row r="619" spans="1:22">
      <c r="A619" s="2" t="s">
        <v>793</v>
      </c>
      <c r="B619" s="2" t="s">
        <v>794</v>
      </c>
      <c r="D619" s="2" t="s">
        <v>789</v>
      </c>
      <c r="E619" s="2" t="s">
        <v>6415</v>
      </c>
      <c r="F619" s="2">
        <v>2</v>
      </c>
      <c r="G619" s="2">
        <v>0.3</v>
      </c>
      <c r="H619" s="2">
        <v>0</v>
      </c>
      <c r="I619" s="2">
        <v>300</v>
      </c>
      <c r="J619" s="2" t="s">
        <v>188</v>
      </c>
      <c r="M619" s="2">
        <v>0</v>
      </c>
      <c r="N619" s="2">
        <v>0</v>
      </c>
      <c r="O619" s="2" t="s">
        <v>5734</v>
      </c>
      <c r="Q619" s="2">
        <v>1995</v>
      </c>
      <c r="R619" s="2">
        <v>2025</v>
      </c>
      <c r="S619" s="2" t="s">
        <v>5735</v>
      </c>
      <c r="U619" s="2">
        <v>10</v>
      </c>
      <c r="V619" s="2" t="s">
        <v>188</v>
      </c>
    </row>
    <row r="620" spans="1:22">
      <c r="A620" s="2" t="s">
        <v>793</v>
      </c>
      <c r="B620" s="2" t="s">
        <v>794</v>
      </c>
      <c r="D620" s="2" t="s">
        <v>789</v>
      </c>
      <c r="E620" s="2" t="s">
        <v>6416</v>
      </c>
      <c r="F620" s="2">
        <v>1</v>
      </c>
      <c r="G620" s="2">
        <v>1.5</v>
      </c>
      <c r="H620" s="2">
        <v>0</v>
      </c>
      <c r="I620" s="2">
        <v>1500</v>
      </c>
      <c r="J620" s="2" t="s">
        <v>188</v>
      </c>
      <c r="M620" s="2">
        <v>1.5</v>
      </c>
      <c r="N620" s="2">
        <v>4</v>
      </c>
      <c r="O620" s="2" t="s">
        <v>5737</v>
      </c>
      <c r="R620" s="2">
        <v>2010</v>
      </c>
      <c r="S620" s="2" t="s">
        <v>5738</v>
      </c>
      <c r="U620" s="2">
        <v>10</v>
      </c>
      <c r="V620" s="2" t="s">
        <v>188</v>
      </c>
    </row>
    <row r="621" spans="1:22">
      <c r="A621" s="2" t="s">
        <v>793</v>
      </c>
      <c r="B621" s="2" t="s">
        <v>794</v>
      </c>
      <c r="D621" s="2" t="s">
        <v>789</v>
      </c>
      <c r="E621" s="2" t="s">
        <v>6417</v>
      </c>
      <c r="F621" s="2">
        <v>3</v>
      </c>
      <c r="G621" s="2">
        <v>0.2</v>
      </c>
      <c r="H621" s="2">
        <v>0</v>
      </c>
      <c r="I621" s="2">
        <v>200</v>
      </c>
      <c r="J621" s="2" t="s">
        <v>188</v>
      </c>
      <c r="M621" s="2">
        <v>0</v>
      </c>
      <c r="N621" s="2">
        <v>0</v>
      </c>
      <c r="O621" s="2" t="s">
        <v>5737</v>
      </c>
      <c r="Q621" s="2">
        <v>1995</v>
      </c>
      <c r="R621" s="2">
        <v>2024</v>
      </c>
      <c r="S621" s="2" t="s">
        <v>5735</v>
      </c>
      <c r="U621" s="2">
        <v>10</v>
      </c>
      <c r="V621" s="2" t="s">
        <v>188</v>
      </c>
    </row>
    <row r="622" spans="1:22">
      <c r="A622" s="2" t="s">
        <v>2038</v>
      </c>
      <c r="B622" s="2" t="s">
        <v>2038</v>
      </c>
      <c r="D622" s="2" t="s">
        <v>2036</v>
      </c>
      <c r="E622" s="2" t="s">
        <v>6418</v>
      </c>
      <c r="F622" s="2">
        <v>1</v>
      </c>
      <c r="G622" s="2">
        <v>1</v>
      </c>
      <c r="I622" s="2">
        <v>1000</v>
      </c>
      <c r="J622" s="2" t="s">
        <v>188</v>
      </c>
      <c r="M622" s="2">
        <v>1</v>
      </c>
      <c r="N622" s="2">
        <v>4</v>
      </c>
      <c r="O622" s="2" t="s">
        <v>5737</v>
      </c>
      <c r="Q622" s="2">
        <v>2000</v>
      </c>
      <c r="R622" s="2">
        <v>2000</v>
      </c>
      <c r="S622" s="2" t="s">
        <v>5985</v>
      </c>
      <c r="U622" s="2">
        <v>6</v>
      </c>
      <c r="V622" s="2" t="s">
        <v>188</v>
      </c>
    </row>
    <row r="623" spans="1:22">
      <c r="A623" s="2" t="s">
        <v>2038</v>
      </c>
      <c r="B623" s="2" t="s">
        <v>2038</v>
      </c>
      <c r="D623" s="2" t="s">
        <v>2036</v>
      </c>
      <c r="E623" s="2" t="s">
        <v>6419</v>
      </c>
      <c r="F623" s="2">
        <v>2</v>
      </c>
      <c r="G623" s="2">
        <v>0.3</v>
      </c>
      <c r="I623" s="2">
        <v>300</v>
      </c>
      <c r="J623" s="2" t="s">
        <v>188</v>
      </c>
      <c r="M623" s="2">
        <v>0.3</v>
      </c>
      <c r="N623" s="2">
        <v>0.7</v>
      </c>
      <c r="O623" s="2" t="s">
        <v>5737</v>
      </c>
      <c r="Q623" s="2">
        <v>2006</v>
      </c>
      <c r="R623" s="2">
        <v>2006</v>
      </c>
      <c r="S623" s="2" t="s">
        <v>5985</v>
      </c>
      <c r="U623" s="2">
        <v>8</v>
      </c>
      <c r="V623" s="2" t="s">
        <v>188</v>
      </c>
    </row>
    <row r="624" spans="1:22">
      <c r="A624" s="2" t="s">
        <v>2077</v>
      </c>
      <c r="B624" s="2" t="s">
        <v>2077</v>
      </c>
      <c r="D624" s="2" t="s">
        <v>2075</v>
      </c>
      <c r="E624" s="2" t="s">
        <v>6420</v>
      </c>
      <c r="F624" s="2">
        <v>1</v>
      </c>
      <c r="G624" s="2">
        <v>0.9</v>
      </c>
      <c r="I624" s="2">
        <v>1200</v>
      </c>
      <c r="J624" s="2" t="s">
        <v>187</v>
      </c>
      <c r="K624" s="2" t="s">
        <v>308</v>
      </c>
      <c r="M624" s="2">
        <v>0.9</v>
      </c>
      <c r="N624" s="2">
        <v>1.3</v>
      </c>
      <c r="O624" s="2" t="s">
        <v>5737</v>
      </c>
      <c r="Q624" s="2">
        <v>2000</v>
      </c>
      <c r="R624" s="2">
        <v>2023</v>
      </c>
      <c r="S624" s="2" t="s">
        <v>5739</v>
      </c>
      <c r="U624" s="2">
        <v>10</v>
      </c>
      <c r="V624" s="2" t="s">
        <v>188</v>
      </c>
    </row>
    <row r="625" spans="1:22">
      <c r="A625" s="2" t="s">
        <v>2103</v>
      </c>
      <c r="B625" s="2" t="s">
        <v>2104</v>
      </c>
      <c r="D625" s="2" t="s">
        <v>2101</v>
      </c>
      <c r="E625" s="2" t="s">
        <v>6421</v>
      </c>
      <c r="F625" s="2">
        <v>1</v>
      </c>
      <c r="G625" s="2">
        <v>1.4</v>
      </c>
      <c r="I625" s="2">
        <v>1400</v>
      </c>
      <c r="J625" s="2" t="s">
        <v>187</v>
      </c>
      <c r="K625" s="2" t="s">
        <v>5797</v>
      </c>
      <c r="M625" s="2">
        <v>1.4</v>
      </c>
      <c r="N625" s="2">
        <v>3</v>
      </c>
      <c r="O625" s="2" t="s">
        <v>5737</v>
      </c>
      <c r="Q625" s="2">
        <v>1999</v>
      </c>
      <c r="R625" s="2">
        <v>2021</v>
      </c>
      <c r="S625" s="2" t="s">
        <v>5739</v>
      </c>
      <c r="U625" s="2">
        <v>10</v>
      </c>
      <c r="V625" s="2" t="s">
        <v>188</v>
      </c>
    </row>
    <row r="626" spans="1:22">
      <c r="A626" s="2" t="s">
        <v>2103</v>
      </c>
      <c r="B626" s="2" t="s">
        <v>2104</v>
      </c>
      <c r="D626" s="2" t="s">
        <v>2101</v>
      </c>
      <c r="E626" s="2" t="s">
        <v>6422</v>
      </c>
      <c r="F626" s="2">
        <v>2</v>
      </c>
      <c r="G626" s="2">
        <v>0.2</v>
      </c>
      <c r="I626" s="2">
        <v>250</v>
      </c>
      <c r="J626" s="2" t="s">
        <v>188</v>
      </c>
      <c r="M626" s="2">
        <v>0.2</v>
      </c>
      <c r="N626" s="2">
        <v>0.5</v>
      </c>
      <c r="O626" s="2" t="s">
        <v>5734</v>
      </c>
      <c r="Q626" s="2">
        <v>2003</v>
      </c>
      <c r="R626" s="2">
        <v>2003</v>
      </c>
      <c r="S626" s="2" t="s">
        <v>5738</v>
      </c>
      <c r="U626" s="2">
        <v>5</v>
      </c>
      <c r="V626" s="2" t="s">
        <v>187</v>
      </c>
    </row>
    <row r="627" spans="1:22">
      <c r="A627" s="2" t="s">
        <v>657</v>
      </c>
      <c r="B627" s="2" t="s">
        <v>657</v>
      </c>
      <c r="D627" s="2" t="s">
        <v>867</v>
      </c>
      <c r="E627" s="2" t="s">
        <v>6423</v>
      </c>
      <c r="F627" s="2">
        <v>4</v>
      </c>
      <c r="G627" s="2">
        <v>0.5</v>
      </c>
      <c r="H627" s="2">
        <v>0</v>
      </c>
      <c r="I627" s="2">
        <v>500</v>
      </c>
      <c r="J627" s="2" t="s">
        <v>188</v>
      </c>
      <c r="M627" s="2">
        <v>0.5</v>
      </c>
      <c r="N627" s="2">
        <v>0.7</v>
      </c>
      <c r="O627" s="2" t="s">
        <v>5734</v>
      </c>
      <c r="Q627" s="2">
        <v>2016</v>
      </c>
      <c r="R627" s="2">
        <v>2016</v>
      </c>
      <c r="S627" s="2" t="s">
        <v>5742</v>
      </c>
      <c r="U627" s="2">
        <v>17</v>
      </c>
      <c r="V627" s="2" t="s">
        <v>188</v>
      </c>
    </row>
    <row r="628" spans="1:22">
      <c r="A628" s="2" t="s">
        <v>657</v>
      </c>
      <c r="B628" s="2" t="s">
        <v>657</v>
      </c>
      <c r="D628" s="2" t="s">
        <v>867</v>
      </c>
      <c r="E628" s="2" t="s">
        <v>6424</v>
      </c>
      <c r="F628" s="2">
        <v>3</v>
      </c>
      <c r="G628" s="2">
        <v>0.4</v>
      </c>
      <c r="H628" s="2">
        <v>0</v>
      </c>
      <c r="I628" s="2">
        <v>400</v>
      </c>
      <c r="J628" s="2" t="s">
        <v>188</v>
      </c>
      <c r="M628" s="2">
        <v>0.4</v>
      </c>
      <c r="N628" s="2">
        <v>0.5</v>
      </c>
      <c r="O628" s="2" t="s">
        <v>5734</v>
      </c>
      <c r="Q628" s="2">
        <v>2016</v>
      </c>
      <c r="R628" s="2">
        <v>2016</v>
      </c>
      <c r="S628" s="2" t="s">
        <v>5742</v>
      </c>
      <c r="U628" s="2">
        <v>17</v>
      </c>
      <c r="V628" s="2" t="s">
        <v>188</v>
      </c>
    </row>
    <row r="629" spans="1:22">
      <c r="A629" s="2" t="s">
        <v>657</v>
      </c>
      <c r="B629" s="2" t="s">
        <v>657</v>
      </c>
      <c r="D629" s="2" t="s">
        <v>867</v>
      </c>
      <c r="E629" s="2" t="s">
        <v>6425</v>
      </c>
      <c r="F629" s="2">
        <v>2</v>
      </c>
      <c r="G629" s="2">
        <v>0.4</v>
      </c>
      <c r="H629" s="2">
        <v>0</v>
      </c>
      <c r="I629" s="2">
        <v>400</v>
      </c>
      <c r="J629" s="2" t="s">
        <v>188</v>
      </c>
      <c r="M629" s="2">
        <v>0.4</v>
      </c>
      <c r="N629" s="2">
        <v>0.6</v>
      </c>
      <c r="O629" s="2" t="s">
        <v>5737</v>
      </c>
      <c r="Q629" s="2">
        <v>2005</v>
      </c>
      <c r="R629" s="2">
        <v>2005</v>
      </c>
      <c r="S629" s="2" t="s">
        <v>5742</v>
      </c>
      <c r="U629" s="2">
        <v>15</v>
      </c>
      <c r="V629" s="2" t="s">
        <v>188</v>
      </c>
    </row>
    <row r="630" spans="1:22">
      <c r="A630" s="2" t="s">
        <v>657</v>
      </c>
      <c r="B630" s="2" t="s">
        <v>657</v>
      </c>
      <c r="D630" s="2" t="s">
        <v>867</v>
      </c>
      <c r="E630" s="2" t="s">
        <v>6426</v>
      </c>
      <c r="F630" s="2">
        <v>1</v>
      </c>
      <c r="G630" s="2">
        <v>0.7</v>
      </c>
      <c r="H630" s="2">
        <v>0</v>
      </c>
      <c r="I630" s="2">
        <v>700</v>
      </c>
      <c r="J630" s="2" t="s">
        <v>188</v>
      </c>
      <c r="M630" s="2">
        <v>0.7</v>
      </c>
      <c r="N630" s="2">
        <v>1.2</v>
      </c>
      <c r="O630" s="2" t="s">
        <v>5734</v>
      </c>
      <c r="Q630" s="2">
        <v>2006</v>
      </c>
      <c r="R630" s="2">
        <v>2006</v>
      </c>
      <c r="S630" s="2" t="s">
        <v>5742</v>
      </c>
      <c r="U630" s="2">
        <v>16</v>
      </c>
      <c r="V630" s="2" t="s">
        <v>188</v>
      </c>
    </row>
    <row r="631" spans="1:22">
      <c r="A631" s="2" t="s">
        <v>2118</v>
      </c>
      <c r="B631" s="2" t="s">
        <v>2118</v>
      </c>
      <c r="D631" s="2" t="s">
        <v>2116</v>
      </c>
      <c r="E631" s="2" t="s">
        <v>6427</v>
      </c>
      <c r="F631" s="2">
        <v>2</v>
      </c>
      <c r="G631" s="2">
        <v>0.2</v>
      </c>
      <c r="I631" s="2">
        <v>200</v>
      </c>
      <c r="J631" s="2" t="s">
        <v>187</v>
      </c>
      <c r="K631" s="2" t="s">
        <v>308</v>
      </c>
      <c r="O631" s="2" t="s">
        <v>5737</v>
      </c>
      <c r="Q631" s="2">
        <v>2025</v>
      </c>
      <c r="R631" s="2">
        <v>2025</v>
      </c>
      <c r="S631" s="2" t="s">
        <v>5735</v>
      </c>
      <c r="U631" s="2">
        <v>5</v>
      </c>
      <c r="V631" s="2" t="s">
        <v>188</v>
      </c>
    </row>
    <row r="632" spans="1:22">
      <c r="A632" s="2" t="s">
        <v>2118</v>
      </c>
      <c r="B632" s="2" t="s">
        <v>2118</v>
      </c>
      <c r="D632" s="2" t="s">
        <v>2116</v>
      </c>
      <c r="E632" s="2" t="s">
        <v>6428</v>
      </c>
      <c r="F632" s="2">
        <v>1</v>
      </c>
      <c r="G632" s="2">
        <v>1</v>
      </c>
      <c r="I632" s="2">
        <v>1000</v>
      </c>
      <c r="J632" s="2" t="s">
        <v>187</v>
      </c>
      <c r="K632" s="2" t="s">
        <v>308</v>
      </c>
      <c r="M632" s="2">
        <v>1</v>
      </c>
      <c r="N632" s="2">
        <v>1.5</v>
      </c>
      <c r="O632" s="2" t="s">
        <v>5737</v>
      </c>
      <c r="Q632" s="2">
        <v>1995</v>
      </c>
      <c r="R632" s="2">
        <v>2021</v>
      </c>
      <c r="S632" s="2" t="s">
        <v>288</v>
      </c>
      <c r="T632" s="2" t="s">
        <v>6429</v>
      </c>
      <c r="U632" s="2">
        <v>7</v>
      </c>
      <c r="V632" s="2" t="s">
        <v>188</v>
      </c>
    </row>
    <row r="633" spans="1:22">
      <c r="A633" s="2" t="s">
        <v>2154</v>
      </c>
      <c r="B633" s="2" t="s">
        <v>2154</v>
      </c>
      <c r="D633" s="2" t="s">
        <v>2152</v>
      </c>
      <c r="E633" s="2" t="s">
        <v>6430</v>
      </c>
      <c r="F633" s="2">
        <v>1</v>
      </c>
      <c r="G633" s="2">
        <v>1.5</v>
      </c>
      <c r="I633" s="2">
        <v>1500</v>
      </c>
      <c r="J633" s="2" t="s">
        <v>188</v>
      </c>
      <c r="M633" s="2">
        <v>1.5</v>
      </c>
      <c r="N633" s="2">
        <v>2.5</v>
      </c>
      <c r="O633" s="2" t="s">
        <v>5734</v>
      </c>
      <c r="Q633" s="2">
        <v>1995</v>
      </c>
      <c r="R633" s="2">
        <v>2023</v>
      </c>
      <c r="S633" s="2" t="s">
        <v>6431</v>
      </c>
      <c r="T633" s="2" t="s">
        <v>6432</v>
      </c>
      <c r="U633" s="2">
        <v>5</v>
      </c>
      <c r="V633" s="2" t="s">
        <v>188</v>
      </c>
    </row>
    <row r="634" spans="1:22">
      <c r="A634" s="2" t="s">
        <v>916</v>
      </c>
      <c r="B634" s="2" t="s">
        <v>917</v>
      </c>
      <c r="D634" s="2" t="s">
        <v>914</v>
      </c>
      <c r="E634" s="2" t="s">
        <v>6433</v>
      </c>
      <c r="F634" s="2">
        <v>1</v>
      </c>
      <c r="G634" s="2">
        <v>0.3</v>
      </c>
      <c r="H634" s="2">
        <v>0</v>
      </c>
      <c r="I634" s="2">
        <v>300</v>
      </c>
      <c r="J634" s="2" t="s">
        <v>187</v>
      </c>
      <c r="K634" s="2" t="s">
        <v>1523</v>
      </c>
      <c r="M634" s="2">
        <v>0.3</v>
      </c>
      <c r="N634" s="2">
        <v>0.7</v>
      </c>
      <c r="O634" s="2" t="s">
        <v>5737</v>
      </c>
      <c r="Q634" s="2">
        <v>1995</v>
      </c>
      <c r="R634" s="2">
        <v>2011</v>
      </c>
      <c r="S634" s="2" t="s">
        <v>5735</v>
      </c>
      <c r="U634" s="2">
        <v>20</v>
      </c>
      <c r="V634" s="2" t="s">
        <v>188</v>
      </c>
    </row>
    <row r="635" spans="1:22">
      <c r="A635" s="2" t="s">
        <v>916</v>
      </c>
      <c r="B635" s="2" t="s">
        <v>917</v>
      </c>
      <c r="D635" s="2" t="s">
        <v>914</v>
      </c>
      <c r="E635" s="2" t="s">
        <v>6434</v>
      </c>
      <c r="F635" s="2">
        <v>3</v>
      </c>
      <c r="G635" s="2">
        <v>0.1</v>
      </c>
      <c r="H635" s="2">
        <v>0</v>
      </c>
      <c r="I635" s="2">
        <v>100</v>
      </c>
      <c r="J635" s="2" t="s">
        <v>188</v>
      </c>
      <c r="M635" s="2">
        <v>0.1</v>
      </c>
      <c r="N635" s="2">
        <v>0.4</v>
      </c>
      <c r="O635" s="2" t="s">
        <v>5737</v>
      </c>
      <c r="Q635" s="2">
        <v>2011</v>
      </c>
      <c r="R635" s="2">
        <v>2011</v>
      </c>
      <c r="S635" s="2" t="s">
        <v>5738</v>
      </c>
      <c r="U635" s="2">
        <v>20</v>
      </c>
      <c r="V635" s="2" t="s">
        <v>188</v>
      </c>
    </row>
    <row r="636" spans="1:22">
      <c r="A636" s="2" t="s">
        <v>916</v>
      </c>
      <c r="B636" s="2" t="s">
        <v>917</v>
      </c>
      <c r="D636" s="2" t="s">
        <v>914</v>
      </c>
      <c r="E636" s="2" t="s">
        <v>6435</v>
      </c>
      <c r="F636" s="2">
        <v>2</v>
      </c>
      <c r="G636" s="2">
        <v>0.3</v>
      </c>
      <c r="H636" s="2">
        <v>0</v>
      </c>
      <c r="I636" s="2">
        <v>300</v>
      </c>
      <c r="J636" s="2" t="s">
        <v>187</v>
      </c>
      <c r="K636" s="2" t="s">
        <v>1523</v>
      </c>
      <c r="M636" s="2">
        <v>0.3</v>
      </c>
      <c r="N636" s="2">
        <v>0.7</v>
      </c>
      <c r="O636" s="2" t="s">
        <v>5737</v>
      </c>
      <c r="Q636" s="2">
        <v>1995</v>
      </c>
      <c r="R636" s="2">
        <v>2011</v>
      </c>
      <c r="S636" s="2" t="s">
        <v>5735</v>
      </c>
      <c r="U636" s="2">
        <v>20</v>
      </c>
      <c r="V636" s="2" t="s">
        <v>188</v>
      </c>
    </row>
    <row r="637" spans="1:22">
      <c r="A637" s="2" t="s">
        <v>2168</v>
      </c>
      <c r="B637" s="2" t="s">
        <v>2168</v>
      </c>
      <c r="D637" s="2" t="s">
        <v>2166</v>
      </c>
      <c r="E637" s="2" t="s">
        <v>6436</v>
      </c>
      <c r="F637" s="2">
        <v>4</v>
      </c>
      <c r="G637" s="2">
        <v>0.7</v>
      </c>
      <c r="I637" s="2">
        <v>770</v>
      </c>
      <c r="J637" s="2" t="s">
        <v>187</v>
      </c>
      <c r="K637" s="2" t="s">
        <v>308</v>
      </c>
      <c r="M637" s="2">
        <v>0.7</v>
      </c>
      <c r="N637" s="2">
        <v>2.5</v>
      </c>
      <c r="O637" s="2" t="s">
        <v>5734</v>
      </c>
      <c r="Q637" s="2">
        <v>2000</v>
      </c>
      <c r="R637" s="2">
        <v>2000</v>
      </c>
      <c r="S637" s="2" t="s">
        <v>5739</v>
      </c>
      <c r="U637" s="2">
        <v>3</v>
      </c>
      <c r="V637" s="2" t="s">
        <v>188</v>
      </c>
    </row>
    <row r="638" spans="1:22">
      <c r="A638" s="2" t="s">
        <v>2168</v>
      </c>
      <c r="B638" s="2" t="s">
        <v>2168</v>
      </c>
      <c r="D638" s="2" t="s">
        <v>2166</v>
      </c>
      <c r="E638" s="2" t="s">
        <v>6437</v>
      </c>
      <c r="F638" s="2">
        <v>2</v>
      </c>
      <c r="G638" s="2">
        <v>0.4</v>
      </c>
      <c r="I638" s="2">
        <v>440</v>
      </c>
      <c r="J638" s="2" t="s">
        <v>188</v>
      </c>
      <c r="M638" s="2">
        <v>0.4</v>
      </c>
      <c r="N638" s="2">
        <v>1.8</v>
      </c>
      <c r="O638" s="2" t="s">
        <v>5737</v>
      </c>
      <c r="Q638" s="2">
        <v>2000</v>
      </c>
      <c r="R638" s="2">
        <v>2000</v>
      </c>
      <c r="S638" s="2" t="s">
        <v>5739</v>
      </c>
      <c r="U638" s="2">
        <v>1</v>
      </c>
      <c r="V638" s="2" t="s">
        <v>188</v>
      </c>
    </row>
    <row r="639" spans="1:22">
      <c r="A639" s="2" t="s">
        <v>2168</v>
      </c>
      <c r="B639" s="2" t="s">
        <v>2168</v>
      </c>
      <c r="D639" s="2" t="s">
        <v>2166</v>
      </c>
      <c r="E639" s="2" t="s">
        <v>6438</v>
      </c>
      <c r="F639" s="2">
        <v>3</v>
      </c>
      <c r="G639" s="2">
        <v>0.14000000000000001</v>
      </c>
      <c r="I639" s="2">
        <v>150</v>
      </c>
      <c r="J639" s="2" t="s">
        <v>188</v>
      </c>
      <c r="M639" s="2">
        <v>0.15</v>
      </c>
      <c r="N639" s="2">
        <v>0.8</v>
      </c>
      <c r="O639" s="2" t="s">
        <v>5734</v>
      </c>
      <c r="Q639" s="2">
        <v>1999</v>
      </c>
      <c r="R639" s="2">
        <v>1999</v>
      </c>
      <c r="S639" s="2" t="s">
        <v>5739</v>
      </c>
      <c r="U639" s="2">
        <v>2</v>
      </c>
      <c r="V639" s="2" t="s">
        <v>188</v>
      </c>
    </row>
    <row r="640" spans="1:22">
      <c r="A640" s="2" t="s">
        <v>2168</v>
      </c>
      <c r="B640" s="2" t="s">
        <v>2168</v>
      </c>
      <c r="D640" s="2" t="s">
        <v>2166</v>
      </c>
      <c r="E640" s="2" t="s">
        <v>6439</v>
      </c>
      <c r="F640" s="2">
        <v>1</v>
      </c>
      <c r="G640" s="2">
        <v>1</v>
      </c>
      <c r="I640" s="2">
        <v>1100</v>
      </c>
      <c r="J640" s="2" t="s">
        <v>188</v>
      </c>
      <c r="M640" s="2">
        <v>0</v>
      </c>
      <c r="N640" s="2">
        <v>0</v>
      </c>
      <c r="O640" s="2" t="s">
        <v>6258</v>
      </c>
      <c r="Q640" s="2">
        <v>1995</v>
      </c>
      <c r="R640" s="2">
        <v>2025</v>
      </c>
      <c r="S640" s="2" t="s">
        <v>288</v>
      </c>
      <c r="T640" s="2" t="s">
        <v>6440</v>
      </c>
      <c r="U640" s="2">
        <v>1</v>
      </c>
      <c r="V640" s="2" t="s">
        <v>187</v>
      </c>
    </row>
    <row r="641" spans="1:22">
      <c r="A641" s="2" t="s">
        <v>2193</v>
      </c>
      <c r="B641" s="2" t="s">
        <v>2193</v>
      </c>
      <c r="D641" s="2" t="s">
        <v>2191</v>
      </c>
      <c r="E641" s="2" t="s">
        <v>6441</v>
      </c>
      <c r="F641" s="2">
        <v>1</v>
      </c>
      <c r="G641" s="2">
        <v>0.3</v>
      </c>
      <c r="I641" s="2">
        <v>300</v>
      </c>
      <c r="J641" s="2" t="s">
        <v>188</v>
      </c>
      <c r="M641" s="2">
        <v>0.3</v>
      </c>
      <c r="N641" s="2">
        <v>0.6</v>
      </c>
      <c r="O641" s="2" t="s">
        <v>5737</v>
      </c>
      <c r="Q641" s="2">
        <v>2009</v>
      </c>
      <c r="R641" s="2">
        <v>2019</v>
      </c>
      <c r="S641" s="2" t="s">
        <v>5739</v>
      </c>
      <c r="U641" s="2">
        <v>15</v>
      </c>
      <c r="V641" s="2" t="s">
        <v>188</v>
      </c>
    </row>
    <row r="642" spans="1:22">
      <c r="A642" s="2" t="s">
        <v>2193</v>
      </c>
      <c r="B642" s="2" t="s">
        <v>2193</v>
      </c>
      <c r="D642" s="2" t="s">
        <v>2191</v>
      </c>
      <c r="E642" s="2" t="s">
        <v>6442</v>
      </c>
      <c r="F642" s="2">
        <v>2</v>
      </c>
      <c r="G642" s="2">
        <v>0.7</v>
      </c>
      <c r="I642" s="2">
        <v>750</v>
      </c>
      <c r="J642" s="2" t="s">
        <v>187</v>
      </c>
      <c r="K642" s="2" t="s">
        <v>308</v>
      </c>
      <c r="M642" s="2">
        <v>0</v>
      </c>
      <c r="N642" s="2">
        <v>0</v>
      </c>
      <c r="O642" s="2" t="s">
        <v>5737</v>
      </c>
      <c r="Q642" s="2">
        <v>2004</v>
      </c>
      <c r="R642" s="2">
        <v>2025</v>
      </c>
      <c r="S642" s="2" t="s">
        <v>5739</v>
      </c>
      <c r="U642" s="2">
        <v>3</v>
      </c>
      <c r="V642" s="2" t="s">
        <v>188</v>
      </c>
    </row>
    <row r="643" spans="1:22">
      <c r="A643" s="2" t="s">
        <v>2193</v>
      </c>
      <c r="B643" s="2" t="s">
        <v>2193</v>
      </c>
      <c r="D643" s="2" t="s">
        <v>2191</v>
      </c>
      <c r="E643" s="2" t="s">
        <v>6443</v>
      </c>
      <c r="F643" s="2">
        <v>3</v>
      </c>
      <c r="G643" s="2">
        <v>1</v>
      </c>
      <c r="I643" s="2">
        <v>1000</v>
      </c>
      <c r="J643" s="2" t="s">
        <v>187</v>
      </c>
      <c r="K643" s="2" t="s">
        <v>308</v>
      </c>
      <c r="O643" s="2" t="s">
        <v>6258</v>
      </c>
      <c r="Q643" s="2">
        <v>2005</v>
      </c>
      <c r="R643" s="2">
        <v>2025</v>
      </c>
      <c r="S643" s="2" t="s">
        <v>5738</v>
      </c>
      <c r="U643" s="2">
        <v>4</v>
      </c>
      <c r="V643" s="2" t="s">
        <v>188</v>
      </c>
    </row>
    <row r="644" spans="1:22">
      <c r="A644" s="2" t="s">
        <v>2224</v>
      </c>
      <c r="B644" s="2" t="s">
        <v>2225</v>
      </c>
      <c r="D644" s="2" t="s">
        <v>2222</v>
      </c>
      <c r="E644" s="2" t="s">
        <v>6444</v>
      </c>
      <c r="F644" s="2">
        <v>2</v>
      </c>
      <c r="G644" s="2">
        <v>0.3</v>
      </c>
      <c r="I644" s="2">
        <v>300</v>
      </c>
      <c r="J644" s="2" t="s">
        <v>188</v>
      </c>
      <c r="M644" s="2">
        <v>0.3</v>
      </c>
      <c r="N644" s="2">
        <v>0.5</v>
      </c>
      <c r="O644" s="2" t="s">
        <v>6258</v>
      </c>
      <c r="Q644" s="2">
        <v>2018</v>
      </c>
      <c r="R644" s="2">
        <v>2018</v>
      </c>
      <c r="S644" s="2" t="s">
        <v>5739</v>
      </c>
      <c r="U644" s="2">
        <v>1</v>
      </c>
      <c r="V644" s="2" t="s">
        <v>188</v>
      </c>
    </row>
    <row r="645" spans="1:22">
      <c r="A645" s="2" t="s">
        <v>2224</v>
      </c>
      <c r="B645" s="2" t="s">
        <v>2225</v>
      </c>
      <c r="D645" s="2" t="s">
        <v>2222</v>
      </c>
      <c r="E645" s="2" t="s">
        <v>6445</v>
      </c>
      <c r="F645" s="2">
        <v>1</v>
      </c>
      <c r="G645" s="2">
        <v>1</v>
      </c>
      <c r="I645" s="2">
        <v>1000</v>
      </c>
      <c r="J645" s="2" t="s">
        <v>187</v>
      </c>
      <c r="K645" s="2" t="s">
        <v>5794</v>
      </c>
      <c r="M645" s="2">
        <v>1</v>
      </c>
      <c r="N645" s="2">
        <v>2</v>
      </c>
      <c r="O645" s="2" t="s">
        <v>5737</v>
      </c>
      <c r="Q645" s="2">
        <v>1998</v>
      </c>
      <c r="R645" s="2">
        <v>2020</v>
      </c>
      <c r="S645" s="2" t="s">
        <v>288</v>
      </c>
      <c r="T645" s="2" t="s">
        <v>6446</v>
      </c>
      <c r="U645" s="2">
        <v>1</v>
      </c>
      <c r="V645" s="2" t="s">
        <v>188</v>
      </c>
    </row>
    <row r="646" spans="1:22">
      <c r="A646" s="2" t="s">
        <v>2256</v>
      </c>
      <c r="B646" s="2" t="s">
        <v>2257</v>
      </c>
      <c r="D646" s="2" t="s">
        <v>2254</v>
      </c>
      <c r="E646" s="2" t="s">
        <v>6447</v>
      </c>
      <c r="F646" s="2">
        <v>1</v>
      </c>
      <c r="G646" s="2">
        <v>0.3</v>
      </c>
      <c r="I646" s="2">
        <v>310</v>
      </c>
      <c r="J646" s="2" t="s">
        <v>188</v>
      </c>
      <c r="M646" s="2">
        <v>0.3</v>
      </c>
      <c r="N646" s="2">
        <v>0.5</v>
      </c>
      <c r="O646" s="2" t="s">
        <v>5734</v>
      </c>
      <c r="Q646" s="2">
        <v>2017</v>
      </c>
      <c r="R646" s="2">
        <v>2017</v>
      </c>
      <c r="S646" s="2" t="s">
        <v>5735</v>
      </c>
      <c r="U646" s="2">
        <v>10</v>
      </c>
      <c r="V646" s="2" t="s">
        <v>188</v>
      </c>
    </row>
    <row r="647" spans="1:22">
      <c r="A647" s="2" t="s">
        <v>2256</v>
      </c>
      <c r="B647" s="2" t="s">
        <v>2257</v>
      </c>
      <c r="D647" s="2" t="s">
        <v>2254</v>
      </c>
      <c r="E647" s="2" t="s">
        <v>6448</v>
      </c>
      <c r="F647" s="2">
        <v>2</v>
      </c>
      <c r="G647" s="2">
        <v>0.3</v>
      </c>
      <c r="I647" s="2">
        <v>310</v>
      </c>
      <c r="J647" s="2" t="s">
        <v>188</v>
      </c>
      <c r="M647" s="2">
        <v>0.3</v>
      </c>
      <c r="N647" s="2">
        <v>0.7</v>
      </c>
      <c r="O647" s="2" t="s">
        <v>5734</v>
      </c>
      <c r="Q647" s="2">
        <v>2017</v>
      </c>
      <c r="R647" s="2">
        <v>2017</v>
      </c>
      <c r="S647" s="2" t="s">
        <v>5735</v>
      </c>
      <c r="U647" s="2">
        <v>10</v>
      </c>
      <c r="V647" s="2" t="s">
        <v>188</v>
      </c>
    </row>
    <row r="648" spans="1:22">
      <c r="A648" s="2" t="s">
        <v>2256</v>
      </c>
      <c r="B648" s="2" t="s">
        <v>2257</v>
      </c>
      <c r="D648" s="2" t="s">
        <v>2254</v>
      </c>
      <c r="E648" s="2" t="s">
        <v>6449</v>
      </c>
      <c r="F648" s="2">
        <v>3</v>
      </c>
      <c r="G648" s="2">
        <v>0.3</v>
      </c>
      <c r="I648" s="2">
        <v>300</v>
      </c>
      <c r="J648" s="2" t="s">
        <v>188</v>
      </c>
      <c r="M648" s="2">
        <v>0.3</v>
      </c>
      <c r="N648" s="2">
        <v>0.8</v>
      </c>
      <c r="O648" s="2" t="s">
        <v>5734</v>
      </c>
      <c r="Q648" s="2">
        <v>2017</v>
      </c>
      <c r="R648" s="2">
        <v>2017</v>
      </c>
      <c r="S648" s="2" t="s">
        <v>5735</v>
      </c>
      <c r="U648" s="2">
        <v>8</v>
      </c>
      <c r="V648" s="2" t="s">
        <v>188</v>
      </c>
    </row>
    <row r="649" spans="1:22">
      <c r="A649" s="2" t="s">
        <v>933</v>
      </c>
      <c r="B649" s="2" t="s">
        <v>934</v>
      </c>
      <c r="D649" s="2" t="s">
        <v>931</v>
      </c>
      <c r="E649" s="2" t="s">
        <v>6450</v>
      </c>
      <c r="F649" s="2">
        <v>1</v>
      </c>
      <c r="G649" s="2">
        <v>0.3</v>
      </c>
      <c r="H649" s="2">
        <v>0</v>
      </c>
      <c r="I649" s="2">
        <v>300</v>
      </c>
      <c r="J649" s="2" t="s">
        <v>188</v>
      </c>
      <c r="M649" s="2">
        <v>0.3</v>
      </c>
      <c r="N649" s="2">
        <v>1.2</v>
      </c>
      <c r="O649" s="2" t="s">
        <v>5734</v>
      </c>
      <c r="Q649" s="2">
        <v>1998</v>
      </c>
      <c r="R649" s="2">
        <v>1998</v>
      </c>
      <c r="S649" s="2" t="s">
        <v>5739</v>
      </c>
      <c r="U649" s="2">
        <v>30</v>
      </c>
      <c r="V649" s="2" t="s">
        <v>188</v>
      </c>
    </row>
    <row r="650" spans="1:22">
      <c r="A650" s="2" t="s">
        <v>933</v>
      </c>
      <c r="B650" s="2" t="s">
        <v>934</v>
      </c>
      <c r="D650" s="2" t="s">
        <v>931</v>
      </c>
      <c r="E650" s="2" t="s">
        <v>6451</v>
      </c>
      <c r="F650" s="2">
        <v>2</v>
      </c>
      <c r="G650" s="2">
        <v>0.4</v>
      </c>
      <c r="H650" s="2">
        <v>0</v>
      </c>
      <c r="I650" s="2">
        <v>300</v>
      </c>
      <c r="J650" s="2" t="s">
        <v>187</v>
      </c>
      <c r="K650" s="2" t="s">
        <v>5797</v>
      </c>
      <c r="M650" s="2">
        <v>0.4</v>
      </c>
      <c r="N650" s="2">
        <v>2</v>
      </c>
      <c r="O650" s="2" t="s">
        <v>5734</v>
      </c>
      <c r="Q650" s="2">
        <v>2010</v>
      </c>
      <c r="R650" s="2">
        <v>2010</v>
      </c>
      <c r="S650" s="2" t="s">
        <v>5742</v>
      </c>
      <c r="U650" s="2">
        <v>30</v>
      </c>
      <c r="V650" s="2" t="s">
        <v>188</v>
      </c>
    </row>
    <row r="651" spans="1:22">
      <c r="A651" s="2" t="s">
        <v>933</v>
      </c>
      <c r="B651" s="2" t="s">
        <v>934</v>
      </c>
      <c r="D651" s="2" t="s">
        <v>931</v>
      </c>
      <c r="E651" s="2" t="s">
        <v>6452</v>
      </c>
      <c r="F651" s="2">
        <v>5</v>
      </c>
      <c r="G651" s="2">
        <v>0.1</v>
      </c>
      <c r="H651" s="2">
        <v>0</v>
      </c>
      <c r="I651" s="2">
        <v>100</v>
      </c>
      <c r="J651" s="2" t="s">
        <v>188</v>
      </c>
      <c r="M651" s="2">
        <v>0.1</v>
      </c>
      <c r="N651" s="2">
        <v>0.3</v>
      </c>
      <c r="O651" s="2" t="s">
        <v>5734</v>
      </c>
      <c r="Q651" s="2">
        <v>2010</v>
      </c>
      <c r="R651" s="2">
        <v>2010</v>
      </c>
      <c r="S651" s="2" t="s">
        <v>5742</v>
      </c>
      <c r="U651" s="2">
        <v>30</v>
      </c>
      <c r="V651" s="2" t="s">
        <v>188</v>
      </c>
    </row>
    <row r="652" spans="1:22">
      <c r="A652" s="2" t="s">
        <v>933</v>
      </c>
      <c r="B652" s="2" t="s">
        <v>934</v>
      </c>
      <c r="D652" s="2" t="s">
        <v>931</v>
      </c>
      <c r="E652" s="2" t="s">
        <v>6453</v>
      </c>
      <c r="F652" s="2">
        <v>4</v>
      </c>
      <c r="G652" s="2">
        <v>0.1</v>
      </c>
      <c r="H652" s="2">
        <v>0</v>
      </c>
      <c r="I652" s="2">
        <v>100</v>
      </c>
      <c r="J652" s="2" t="s">
        <v>188</v>
      </c>
      <c r="M652" s="2">
        <v>0.1</v>
      </c>
      <c r="N652" s="2">
        <v>0.3</v>
      </c>
      <c r="O652" s="2" t="s">
        <v>5734</v>
      </c>
      <c r="Q652" s="2">
        <v>2010</v>
      </c>
      <c r="R652" s="2">
        <v>2010</v>
      </c>
      <c r="S652" s="2" t="s">
        <v>5738</v>
      </c>
      <c r="U652" s="2">
        <v>30</v>
      </c>
      <c r="V652" s="2" t="s">
        <v>188</v>
      </c>
    </row>
    <row r="653" spans="1:22">
      <c r="A653" s="2" t="s">
        <v>933</v>
      </c>
      <c r="B653" s="2" t="s">
        <v>934</v>
      </c>
      <c r="D653" s="2" t="s">
        <v>931</v>
      </c>
      <c r="E653" s="2" t="s">
        <v>6454</v>
      </c>
      <c r="F653" s="2">
        <v>3</v>
      </c>
      <c r="G653" s="2">
        <v>0.3</v>
      </c>
      <c r="H653" s="2">
        <v>0</v>
      </c>
      <c r="I653" s="2">
        <v>300</v>
      </c>
      <c r="J653" s="2" t="s">
        <v>187</v>
      </c>
      <c r="K653" s="2" t="s">
        <v>1523</v>
      </c>
      <c r="M653" s="2">
        <v>0.3</v>
      </c>
      <c r="N653" s="2">
        <v>1.2</v>
      </c>
      <c r="O653" s="2" t="s">
        <v>5734</v>
      </c>
      <c r="Q653" s="2">
        <v>1998</v>
      </c>
      <c r="R653" s="2">
        <v>2010</v>
      </c>
      <c r="S653" s="2" t="s">
        <v>5735</v>
      </c>
      <c r="U653" s="2">
        <v>27</v>
      </c>
      <c r="V653" s="2" t="s">
        <v>188</v>
      </c>
    </row>
    <row r="654" spans="1:22">
      <c r="A654" s="2" t="s">
        <v>964</v>
      </c>
      <c r="B654" s="2" t="s">
        <v>965</v>
      </c>
      <c r="D654" s="2" t="s">
        <v>962</v>
      </c>
      <c r="E654" s="2" t="s">
        <v>6455</v>
      </c>
      <c r="F654" s="2">
        <v>1</v>
      </c>
      <c r="G654" s="2">
        <v>1</v>
      </c>
      <c r="H654" s="2">
        <v>0</v>
      </c>
      <c r="I654" s="2">
        <v>1100</v>
      </c>
      <c r="J654" s="2" t="s">
        <v>188</v>
      </c>
      <c r="M654" s="2">
        <v>1</v>
      </c>
      <c r="N654" s="2">
        <v>1.1000000000000001</v>
      </c>
      <c r="O654" s="2" t="s">
        <v>5737</v>
      </c>
      <c r="Q654" s="2">
        <v>2016</v>
      </c>
      <c r="R654" s="2">
        <v>2016</v>
      </c>
      <c r="S654" s="2" t="s">
        <v>5738</v>
      </c>
      <c r="U654" s="2">
        <v>25</v>
      </c>
      <c r="V654" s="2" t="s">
        <v>188</v>
      </c>
    </row>
    <row r="655" spans="1:22">
      <c r="A655" s="2" t="s">
        <v>994</v>
      </c>
      <c r="B655" s="2" t="s">
        <v>994</v>
      </c>
      <c r="D655" s="2" t="s">
        <v>992</v>
      </c>
      <c r="E655" s="2" t="s">
        <v>6456</v>
      </c>
      <c r="F655" s="2">
        <v>2</v>
      </c>
      <c r="G655" s="2">
        <v>0.3</v>
      </c>
      <c r="H655" s="2">
        <v>0</v>
      </c>
      <c r="I655" s="2">
        <v>300</v>
      </c>
      <c r="J655" s="2" t="s">
        <v>188</v>
      </c>
      <c r="M655" s="2">
        <v>0.3</v>
      </c>
      <c r="N655" s="2">
        <v>0.4</v>
      </c>
      <c r="O655" s="2" t="s">
        <v>5734</v>
      </c>
      <c r="Q655" s="2">
        <v>2014</v>
      </c>
      <c r="R655" s="2">
        <v>2014</v>
      </c>
      <c r="S655" s="2" t="s">
        <v>5738</v>
      </c>
      <c r="U655" s="2">
        <v>3</v>
      </c>
      <c r="V655" s="2" t="s">
        <v>188</v>
      </c>
    </row>
    <row r="656" spans="1:22">
      <c r="A656" s="2" t="s">
        <v>994</v>
      </c>
      <c r="B656" s="2" t="s">
        <v>994</v>
      </c>
      <c r="D656" s="2" t="s">
        <v>992</v>
      </c>
      <c r="E656" s="2" t="s">
        <v>6457</v>
      </c>
      <c r="F656" s="2">
        <v>1</v>
      </c>
      <c r="G656" s="2">
        <v>0.4</v>
      </c>
      <c r="H656" s="2">
        <v>0</v>
      </c>
      <c r="I656" s="2">
        <v>400</v>
      </c>
      <c r="J656" s="2" t="s">
        <v>188</v>
      </c>
      <c r="M656" s="2">
        <v>0.4</v>
      </c>
      <c r="N656" s="2">
        <v>0.6</v>
      </c>
      <c r="O656" s="2" t="s">
        <v>5737</v>
      </c>
      <c r="Q656" s="2">
        <v>2014</v>
      </c>
      <c r="R656" s="2">
        <v>2014</v>
      </c>
      <c r="S656" s="2" t="s">
        <v>5738</v>
      </c>
      <c r="U656" s="2">
        <v>2</v>
      </c>
      <c r="V656" s="2" t="s">
        <v>188</v>
      </c>
    </row>
    <row r="657" spans="1:22">
      <c r="A657" s="2" t="s">
        <v>1037</v>
      </c>
      <c r="B657" s="2" t="s">
        <v>1038</v>
      </c>
      <c r="D657" s="2" t="s">
        <v>1035</v>
      </c>
      <c r="E657" s="2" t="s">
        <v>6458</v>
      </c>
      <c r="F657" s="2">
        <v>1</v>
      </c>
      <c r="G657" s="2">
        <v>0.4</v>
      </c>
      <c r="H657" s="2">
        <v>0</v>
      </c>
      <c r="I657" s="2">
        <v>400</v>
      </c>
      <c r="J657" s="2" t="s">
        <v>188</v>
      </c>
      <c r="M657" s="2">
        <v>0.4</v>
      </c>
      <c r="N657" s="2">
        <v>1.1000000000000001</v>
      </c>
      <c r="O657" s="2" t="s">
        <v>5737</v>
      </c>
      <c r="Q657" s="2">
        <v>2014</v>
      </c>
      <c r="R657" s="2">
        <v>2014</v>
      </c>
      <c r="S657" s="2" t="s">
        <v>5738</v>
      </c>
      <c r="U657" s="2">
        <v>0.3</v>
      </c>
      <c r="V657" s="2" t="s">
        <v>188</v>
      </c>
    </row>
    <row r="658" spans="1:22">
      <c r="A658" s="2" t="s">
        <v>1037</v>
      </c>
      <c r="B658" s="2" t="s">
        <v>1038</v>
      </c>
      <c r="D658" s="2" t="s">
        <v>1035</v>
      </c>
      <c r="E658" s="2" t="s">
        <v>6459</v>
      </c>
      <c r="F658" s="2">
        <v>2</v>
      </c>
      <c r="G658" s="2">
        <v>0.3</v>
      </c>
      <c r="H658" s="2">
        <v>0</v>
      </c>
      <c r="I658" s="2">
        <v>300</v>
      </c>
      <c r="J658" s="2" t="s">
        <v>188</v>
      </c>
      <c r="M658" s="2">
        <v>0.3</v>
      </c>
      <c r="N658" s="2">
        <v>0.9</v>
      </c>
      <c r="O658" s="2" t="s">
        <v>5737</v>
      </c>
      <c r="Q658" s="2">
        <v>2014</v>
      </c>
      <c r="R658" s="2">
        <v>2014</v>
      </c>
      <c r="S658" s="2" t="s">
        <v>5738</v>
      </c>
      <c r="U658" s="2">
        <v>1</v>
      </c>
      <c r="V658" s="2" t="s">
        <v>188</v>
      </c>
    </row>
    <row r="659" spans="1:22">
      <c r="A659" s="2" t="s">
        <v>1079</v>
      </c>
      <c r="B659" s="2" t="s">
        <v>1079</v>
      </c>
      <c r="D659" s="2" t="s">
        <v>1077</v>
      </c>
      <c r="E659" s="2" t="s">
        <v>6460</v>
      </c>
      <c r="F659" s="2">
        <v>1</v>
      </c>
      <c r="G659" s="2">
        <v>0.3</v>
      </c>
      <c r="H659" s="2">
        <v>0</v>
      </c>
      <c r="I659" s="2">
        <v>300</v>
      </c>
      <c r="J659" s="2" t="s">
        <v>188</v>
      </c>
      <c r="M659" s="2">
        <v>0.3</v>
      </c>
      <c r="N659" s="2">
        <v>0.5</v>
      </c>
      <c r="O659" s="2" t="s">
        <v>5737</v>
      </c>
      <c r="Q659" s="2">
        <v>1995</v>
      </c>
      <c r="R659" s="2">
        <v>2017</v>
      </c>
      <c r="S659" s="2" t="s">
        <v>5735</v>
      </c>
      <c r="U659" s="2">
        <v>30</v>
      </c>
      <c r="V659" s="2" t="s">
        <v>188</v>
      </c>
    </row>
    <row r="660" spans="1:22">
      <c r="A660" s="2" t="s">
        <v>2299</v>
      </c>
      <c r="B660" s="2" t="s">
        <v>2299</v>
      </c>
      <c r="D660" s="2" t="s">
        <v>2296</v>
      </c>
      <c r="E660" s="2" t="s">
        <v>6461</v>
      </c>
      <c r="F660" s="2">
        <v>1</v>
      </c>
      <c r="G660" s="2">
        <v>0.3</v>
      </c>
      <c r="I660" s="2">
        <v>300</v>
      </c>
      <c r="J660" s="2" t="s">
        <v>188</v>
      </c>
      <c r="M660" s="2">
        <v>0.3</v>
      </c>
      <c r="N660" s="2">
        <v>0.2</v>
      </c>
      <c r="O660" s="2" t="s">
        <v>5737</v>
      </c>
      <c r="Q660" s="2">
        <v>2012</v>
      </c>
      <c r="R660" s="2">
        <v>2012</v>
      </c>
      <c r="S660" s="2" t="s">
        <v>5739</v>
      </c>
      <c r="U660" s="2">
        <v>25</v>
      </c>
      <c r="V660" s="2" t="s">
        <v>188</v>
      </c>
    </row>
    <row r="661" spans="1:22">
      <c r="A661" s="2" t="s">
        <v>2299</v>
      </c>
      <c r="B661" s="2" t="s">
        <v>2299</v>
      </c>
      <c r="D661" s="2" t="s">
        <v>2296</v>
      </c>
      <c r="E661" s="2" t="s">
        <v>6462</v>
      </c>
      <c r="F661" s="2">
        <v>2</v>
      </c>
      <c r="G661" s="2">
        <v>1</v>
      </c>
      <c r="I661" s="2">
        <v>1000</v>
      </c>
      <c r="J661" s="2" t="s">
        <v>188</v>
      </c>
      <c r="M661" s="2">
        <v>1</v>
      </c>
      <c r="N661" s="2">
        <v>2.2999999999999998</v>
      </c>
      <c r="O661" s="2" t="s">
        <v>5734</v>
      </c>
      <c r="Q661" s="2">
        <v>2000</v>
      </c>
      <c r="R661" s="2">
        <v>2018</v>
      </c>
      <c r="S661" s="2" t="s">
        <v>5739</v>
      </c>
      <c r="U661" s="2">
        <v>30</v>
      </c>
      <c r="V661" s="2" t="s">
        <v>188</v>
      </c>
    </row>
    <row r="662" spans="1:22">
      <c r="A662" s="2" t="s">
        <v>1106</v>
      </c>
      <c r="B662" s="2" t="s">
        <v>1107</v>
      </c>
      <c r="D662" s="2" t="s">
        <v>1104</v>
      </c>
      <c r="E662" s="2" t="s">
        <v>6463</v>
      </c>
      <c r="F662" s="2">
        <v>4</v>
      </c>
      <c r="G662" s="2">
        <v>0.1</v>
      </c>
      <c r="H662" s="2">
        <v>0</v>
      </c>
      <c r="I662" s="2">
        <v>100</v>
      </c>
      <c r="J662" s="2" t="s">
        <v>188</v>
      </c>
      <c r="M662" s="2">
        <v>0.1</v>
      </c>
      <c r="N662" s="2">
        <v>0.3</v>
      </c>
      <c r="O662" s="2" t="s">
        <v>5737</v>
      </c>
      <c r="Q662" s="2">
        <v>2014</v>
      </c>
      <c r="R662" s="2">
        <v>2014</v>
      </c>
      <c r="S662" s="2" t="s">
        <v>5742</v>
      </c>
      <c r="U662" s="2">
        <v>30</v>
      </c>
      <c r="V662" s="2" t="s">
        <v>188</v>
      </c>
    </row>
    <row r="663" spans="1:22">
      <c r="A663" s="2" t="s">
        <v>1106</v>
      </c>
      <c r="B663" s="2" t="s">
        <v>1107</v>
      </c>
      <c r="D663" s="2" t="s">
        <v>1104</v>
      </c>
      <c r="E663" s="2" t="s">
        <v>6464</v>
      </c>
      <c r="F663" s="2">
        <v>2</v>
      </c>
      <c r="G663" s="2">
        <v>0.2</v>
      </c>
      <c r="H663" s="2">
        <v>0</v>
      </c>
      <c r="I663" s="2">
        <v>200</v>
      </c>
      <c r="J663" s="2" t="s">
        <v>188</v>
      </c>
      <c r="M663" s="2">
        <v>0.2</v>
      </c>
      <c r="N663" s="2">
        <v>0.5</v>
      </c>
      <c r="O663" s="2" t="s">
        <v>5737</v>
      </c>
      <c r="Q663" s="2">
        <v>2014</v>
      </c>
      <c r="R663" s="2">
        <v>2014</v>
      </c>
      <c r="S663" s="2" t="s">
        <v>5742</v>
      </c>
      <c r="U663" s="2">
        <v>35</v>
      </c>
      <c r="V663" s="2" t="s">
        <v>188</v>
      </c>
    </row>
    <row r="664" spans="1:22">
      <c r="A664" s="2" t="s">
        <v>1106</v>
      </c>
      <c r="B664" s="2" t="s">
        <v>1107</v>
      </c>
      <c r="D664" s="2" t="s">
        <v>1104</v>
      </c>
      <c r="E664" s="2" t="s">
        <v>6465</v>
      </c>
      <c r="F664" s="2">
        <v>3</v>
      </c>
      <c r="G664" s="2">
        <v>0.2</v>
      </c>
      <c r="H664" s="2">
        <v>0</v>
      </c>
      <c r="I664" s="2">
        <v>200</v>
      </c>
      <c r="J664" s="2" t="s">
        <v>188</v>
      </c>
      <c r="M664" s="2">
        <v>0.2</v>
      </c>
      <c r="N664" s="2">
        <v>0.5</v>
      </c>
      <c r="O664" s="2" t="s">
        <v>5737</v>
      </c>
      <c r="Q664" s="2">
        <v>2014</v>
      </c>
      <c r="R664" s="2">
        <v>2014</v>
      </c>
      <c r="S664" s="2" t="s">
        <v>5742</v>
      </c>
      <c r="U664" s="2">
        <v>35</v>
      </c>
      <c r="V664" s="2" t="s">
        <v>188</v>
      </c>
    </row>
    <row r="665" spans="1:22">
      <c r="A665" s="2" t="s">
        <v>1106</v>
      </c>
      <c r="B665" s="2" t="s">
        <v>1107</v>
      </c>
      <c r="D665" s="2" t="s">
        <v>1104</v>
      </c>
      <c r="E665" s="2" t="s">
        <v>6466</v>
      </c>
      <c r="F665" s="2">
        <v>1</v>
      </c>
      <c r="G665" s="2">
        <v>0.2</v>
      </c>
      <c r="H665" s="2">
        <v>0</v>
      </c>
      <c r="I665" s="2">
        <v>200</v>
      </c>
      <c r="J665" s="2" t="s">
        <v>188</v>
      </c>
      <c r="M665" s="2">
        <v>0.2</v>
      </c>
      <c r="N665" s="2">
        <v>0.5</v>
      </c>
      <c r="O665" s="2" t="s">
        <v>5737</v>
      </c>
      <c r="Q665" s="2">
        <v>2014</v>
      </c>
      <c r="R665" s="2">
        <v>2014</v>
      </c>
      <c r="S665" s="2" t="s">
        <v>5742</v>
      </c>
      <c r="U665" s="2">
        <v>35</v>
      </c>
      <c r="V665" s="2" t="s">
        <v>188</v>
      </c>
    </row>
    <row r="666" spans="1:22">
      <c r="A666" s="2" t="s">
        <v>2331</v>
      </c>
      <c r="B666" s="2" t="s">
        <v>2331</v>
      </c>
      <c r="D666" s="2" t="s">
        <v>2329</v>
      </c>
      <c r="E666" s="2" t="s">
        <v>6467</v>
      </c>
      <c r="F666" s="2">
        <v>1</v>
      </c>
      <c r="G666" s="2">
        <v>0.45</v>
      </c>
      <c r="I666" s="2">
        <v>470</v>
      </c>
      <c r="J666" s="2" t="s">
        <v>188</v>
      </c>
      <c r="M666" s="2">
        <v>0.45</v>
      </c>
      <c r="N666" s="2">
        <v>1.6</v>
      </c>
      <c r="O666" s="2" t="s">
        <v>5734</v>
      </c>
      <c r="Q666" s="2">
        <v>2014</v>
      </c>
      <c r="R666" s="2">
        <v>2014</v>
      </c>
      <c r="S666" s="2" t="s">
        <v>5742</v>
      </c>
      <c r="U666" s="2">
        <v>30</v>
      </c>
      <c r="V666" s="2" t="s">
        <v>188</v>
      </c>
    </row>
    <row r="667" spans="1:22">
      <c r="A667" s="2" t="s">
        <v>1161</v>
      </c>
      <c r="B667" s="2" t="s">
        <v>1162</v>
      </c>
      <c r="D667" s="2" t="s">
        <v>1158</v>
      </c>
      <c r="E667" s="2" t="s">
        <v>6468</v>
      </c>
      <c r="F667" s="2">
        <v>2</v>
      </c>
      <c r="G667" s="2">
        <v>0.2</v>
      </c>
      <c r="H667" s="2">
        <v>0</v>
      </c>
      <c r="I667" s="2">
        <v>200</v>
      </c>
      <c r="J667" s="2" t="s">
        <v>188</v>
      </c>
      <c r="M667" s="2">
        <v>0.2</v>
      </c>
      <c r="N667" s="2">
        <v>0.6</v>
      </c>
      <c r="O667" s="2" t="s">
        <v>5737</v>
      </c>
      <c r="Q667" s="2">
        <v>2003</v>
      </c>
      <c r="R667" s="2">
        <v>2003</v>
      </c>
      <c r="S667" s="2" t="s">
        <v>5739</v>
      </c>
      <c r="U667" s="2">
        <v>30</v>
      </c>
      <c r="V667" s="2" t="s">
        <v>188</v>
      </c>
    </row>
    <row r="668" spans="1:22">
      <c r="A668" s="2" t="s">
        <v>1161</v>
      </c>
      <c r="B668" s="2" t="s">
        <v>1162</v>
      </c>
      <c r="D668" s="2" t="s">
        <v>1158</v>
      </c>
      <c r="E668" s="2" t="s">
        <v>6469</v>
      </c>
      <c r="F668" s="2">
        <v>1</v>
      </c>
      <c r="G668" s="2">
        <v>0.2</v>
      </c>
      <c r="H668" s="2">
        <v>0</v>
      </c>
      <c r="I668" s="2">
        <v>200</v>
      </c>
      <c r="J668" s="2" t="s">
        <v>188</v>
      </c>
      <c r="M668" s="2">
        <v>0.2</v>
      </c>
      <c r="N668" s="2">
        <v>0.5</v>
      </c>
      <c r="O668" s="2" t="s">
        <v>5737</v>
      </c>
      <c r="Q668" s="2">
        <v>2003</v>
      </c>
      <c r="R668" s="2">
        <v>2003</v>
      </c>
      <c r="S668" s="2" t="s">
        <v>5739</v>
      </c>
      <c r="U668" s="2">
        <v>25</v>
      </c>
      <c r="V668" s="2" t="s">
        <v>188</v>
      </c>
    </row>
    <row r="669" spans="1:22">
      <c r="A669" s="2" t="s">
        <v>2381</v>
      </c>
      <c r="B669" s="2" t="s">
        <v>2382</v>
      </c>
      <c r="D669" s="2" t="s">
        <v>2378</v>
      </c>
      <c r="E669" s="2" t="s">
        <v>6470</v>
      </c>
      <c r="F669" s="2">
        <v>1</v>
      </c>
      <c r="G669" s="2">
        <v>0.5</v>
      </c>
      <c r="I669" s="2">
        <v>500</v>
      </c>
      <c r="J669" s="2" t="s">
        <v>188</v>
      </c>
      <c r="M669" s="2">
        <v>1</v>
      </c>
      <c r="N669" s="2">
        <v>1</v>
      </c>
      <c r="O669" s="2" t="s">
        <v>5734</v>
      </c>
      <c r="Q669" s="2">
        <v>2010</v>
      </c>
      <c r="R669" s="2">
        <v>2010</v>
      </c>
      <c r="S669" s="2" t="s">
        <v>288</v>
      </c>
      <c r="T669" s="2" t="s">
        <v>6471</v>
      </c>
      <c r="U669" s="2">
        <v>30</v>
      </c>
      <c r="V669" s="2" t="s">
        <v>188</v>
      </c>
    </row>
    <row r="670" spans="1:22">
      <c r="A670" s="2" t="s">
        <v>1161</v>
      </c>
      <c r="B670" s="2" t="s">
        <v>1162</v>
      </c>
      <c r="D670" s="2" t="s">
        <v>1158</v>
      </c>
      <c r="E670" s="2" t="s">
        <v>6472</v>
      </c>
      <c r="F670" s="2">
        <v>4</v>
      </c>
      <c r="G670" s="2">
        <v>0.1</v>
      </c>
      <c r="H670" s="2">
        <v>0</v>
      </c>
      <c r="I670" s="2">
        <v>100</v>
      </c>
      <c r="J670" s="2" t="s">
        <v>188</v>
      </c>
      <c r="M670" s="2">
        <v>0.1</v>
      </c>
      <c r="N670" s="2">
        <v>0.3</v>
      </c>
      <c r="O670" s="2" t="s">
        <v>5737</v>
      </c>
      <c r="Q670" s="2">
        <v>2020</v>
      </c>
      <c r="R670" s="2">
        <v>2020</v>
      </c>
      <c r="S670" s="2" t="s">
        <v>5735</v>
      </c>
      <c r="U670" s="2">
        <v>30</v>
      </c>
      <c r="V670" s="2" t="s">
        <v>188</v>
      </c>
    </row>
    <row r="671" spans="1:22">
      <c r="A671" s="2" t="s">
        <v>1161</v>
      </c>
      <c r="B671" s="2" t="s">
        <v>1162</v>
      </c>
      <c r="D671" s="2" t="s">
        <v>1158</v>
      </c>
      <c r="E671" s="2" t="s">
        <v>6473</v>
      </c>
      <c r="F671" s="2">
        <v>3</v>
      </c>
      <c r="G671" s="2">
        <v>0.2</v>
      </c>
      <c r="H671" s="2">
        <v>0</v>
      </c>
      <c r="I671" s="2">
        <v>200</v>
      </c>
      <c r="J671" s="2" t="s">
        <v>188</v>
      </c>
      <c r="M671" s="2">
        <v>0.2</v>
      </c>
      <c r="N671" s="2">
        <v>0.6</v>
      </c>
      <c r="O671" s="2" t="s">
        <v>5737</v>
      </c>
      <c r="Q671" s="2">
        <v>2003</v>
      </c>
      <c r="R671" s="2">
        <v>2003</v>
      </c>
      <c r="S671" s="2" t="s">
        <v>5739</v>
      </c>
      <c r="U671" s="2">
        <v>30</v>
      </c>
      <c r="V671" s="2" t="s">
        <v>188</v>
      </c>
    </row>
    <row r="672" spans="1:22">
      <c r="A672" s="2" t="s">
        <v>2415</v>
      </c>
      <c r="B672" s="2" t="s">
        <v>2415</v>
      </c>
      <c r="D672" s="2" t="s">
        <v>2413</v>
      </c>
      <c r="E672" s="2" t="s">
        <v>6474</v>
      </c>
      <c r="F672" s="2">
        <v>1</v>
      </c>
      <c r="G672" s="2">
        <v>1</v>
      </c>
      <c r="I672" s="2">
        <v>1000</v>
      </c>
      <c r="J672" s="2" t="s">
        <v>188</v>
      </c>
      <c r="M672" s="2">
        <v>1</v>
      </c>
      <c r="N672" s="2">
        <v>2</v>
      </c>
      <c r="O672" s="2" t="s">
        <v>5734</v>
      </c>
      <c r="Q672" s="2">
        <v>2002</v>
      </c>
      <c r="R672" s="2">
        <v>2002</v>
      </c>
      <c r="S672" s="2" t="s">
        <v>5739</v>
      </c>
      <c r="U672" s="2">
        <v>30</v>
      </c>
      <c r="V672" s="2" t="s">
        <v>188</v>
      </c>
    </row>
    <row r="673" spans="1:22">
      <c r="A673" s="2" t="s">
        <v>2431</v>
      </c>
      <c r="B673" s="2" t="s">
        <v>2431</v>
      </c>
      <c r="D673" s="2" t="s">
        <v>2429</v>
      </c>
      <c r="E673" s="2" t="s">
        <v>6475</v>
      </c>
      <c r="F673" s="2">
        <v>1</v>
      </c>
      <c r="G673" s="2">
        <v>0.6</v>
      </c>
      <c r="I673" s="2">
        <v>600</v>
      </c>
      <c r="J673" s="2" t="s">
        <v>188</v>
      </c>
      <c r="M673" s="2">
        <v>2008</v>
      </c>
      <c r="N673" s="2">
        <v>1</v>
      </c>
      <c r="O673" s="2" t="s">
        <v>5734</v>
      </c>
      <c r="Q673" s="2">
        <v>2008</v>
      </c>
      <c r="R673" s="2">
        <v>2008</v>
      </c>
      <c r="S673" s="2" t="s">
        <v>288</v>
      </c>
      <c r="T673" s="2" t="s">
        <v>6476</v>
      </c>
      <c r="U673" s="2">
        <v>20</v>
      </c>
      <c r="V673" s="2" t="s">
        <v>188</v>
      </c>
    </row>
    <row r="674" spans="1:22">
      <c r="A674" s="2" t="s">
        <v>2453</v>
      </c>
      <c r="B674" s="2" t="s">
        <v>2453</v>
      </c>
      <c r="D674" s="2" t="s">
        <v>2451</v>
      </c>
      <c r="E674" s="2" t="s">
        <v>6477</v>
      </c>
      <c r="F674" s="2">
        <v>2</v>
      </c>
      <c r="G674" s="2">
        <v>0.25</v>
      </c>
      <c r="I674" s="2">
        <v>260</v>
      </c>
      <c r="J674" s="2" t="s">
        <v>188</v>
      </c>
      <c r="M674" s="2">
        <v>0.25</v>
      </c>
      <c r="N674" s="2">
        <v>0.3</v>
      </c>
      <c r="O674" s="2" t="s">
        <v>5734</v>
      </c>
      <c r="Q674" s="2">
        <v>2018</v>
      </c>
      <c r="R674" s="2">
        <v>2024</v>
      </c>
      <c r="S674" s="2" t="s">
        <v>5735</v>
      </c>
      <c r="U674" s="2">
        <v>25</v>
      </c>
      <c r="V674" s="2" t="s">
        <v>188</v>
      </c>
    </row>
    <row r="675" spans="1:22">
      <c r="A675" s="2" t="s">
        <v>2453</v>
      </c>
      <c r="B675" s="2" t="s">
        <v>2453</v>
      </c>
      <c r="D675" s="2" t="s">
        <v>2451</v>
      </c>
      <c r="E675" s="2" t="s">
        <v>6478</v>
      </c>
      <c r="F675" s="2">
        <v>1</v>
      </c>
      <c r="G675" s="2">
        <v>0.3</v>
      </c>
      <c r="I675" s="2">
        <v>350</v>
      </c>
      <c r="J675" s="2" t="s">
        <v>188</v>
      </c>
      <c r="M675" s="2">
        <v>0.3</v>
      </c>
      <c r="N675" s="2">
        <v>0.5</v>
      </c>
      <c r="O675" s="2" t="s">
        <v>5737</v>
      </c>
      <c r="Q675" s="2">
        <v>2018</v>
      </c>
      <c r="R675" s="2">
        <v>2018</v>
      </c>
      <c r="S675" s="2" t="s">
        <v>288</v>
      </c>
      <c r="T675" s="2" t="s">
        <v>6479</v>
      </c>
      <c r="U675" s="2">
        <v>25</v>
      </c>
      <c r="V675" s="2" t="s">
        <v>188</v>
      </c>
    </row>
    <row r="676" spans="1:22">
      <c r="A676" s="2" t="s">
        <v>2464</v>
      </c>
      <c r="B676" s="2" t="s">
        <v>2464</v>
      </c>
      <c r="D676" s="2" t="s">
        <v>2461</v>
      </c>
      <c r="E676" s="2" t="s">
        <v>6480</v>
      </c>
      <c r="F676" s="2">
        <v>1</v>
      </c>
      <c r="G676" s="2">
        <v>0.6</v>
      </c>
      <c r="I676" s="2">
        <v>600</v>
      </c>
      <c r="J676" s="2" t="s">
        <v>187</v>
      </c>
      <c r="K676" s="2" t="s">
        <v>1523</v>
      </c>
      <c r="M676" s="2">
        <v>0.6</v>
      </c>
      <c r="N676" s="2">
        <v>2</v>
      </c>
      <c r="O676" s="2" t="s">
        <v>5737</v>
      </c>
      <c r="Q676" s="2">
        <v>2015</v>
      </c>
      <c r="R676" s="2">
        <v>2023</v>
      </c>
      <c r="S676" s="2" t="s">
        <v>288</v>
      </c>
      <c r="T676" s="2" t="s">
        <v>6481</v>
      </c>
      <c r="U676" s="2">
        <v>30</v>
      </c>
      <c r="V676" s="2" t="s">
        <v>188</v>
      </c>
    </row>
    <row r="677" spans="1:22">
      <c r="A677" s="2" t="s">
        <v>1175</v>
      </c>
      <c r="B677" s="2" t="s">
        <v>1176</v>
      </c>
      <c r="D677" s="2" t="s">
        <v>1173</v>
      </c>
      <c r="E677" s="2" t="s">
        <v>6482</v>
      </c>
      <c r="F677" s="2">
        <v>1</v>
      </c>
      <c r="G677" s="2">
        <v>0.1</v>
      </c>
      <c r="H677" s="2">
        <v>0</v>
      </c>
      <c r="I677" s="2">
        <v>100</v>
      </c>
      <c r="J677" s="2" t="s">
        <v>188</v>
      </c>
      <c r="M677" s="2">
        <v>0.1</v>
      </c>
      <c r="N677" s="2">
        <v>0.4</v>
      </c>
      <c r="O677" s="2" t="s">
        <v>5737</v>
      </c>
      <c r="Q677" s="2">
        <v>1995</v>
      </c>
      <c r="R677" s="2">
        <v>2022</v>
      </c>
      <c r="S677" s="2" t="s">
        <v>5735</v>
      </c>
      <c r="U677" s="2">
        <v>30</v>
      </c>
      <c r="V677" s="2" t="s">
        <v>188</v>
      </c>
    </row>
    <row r="678" spans="1:22">
      <c r="A678" s="2" t="s">
        <v>1175</v>
      </c>
      <c r="B678" s="2" t="s">
        <v>1176</v>
      </c>
      <c r="D678" s="2" t="s">
        <v>1173</v>
      </c>
      <c r="E678" s="2" t="s">
        <v>6483</v>
      </c>
      <c r="F678" s="2">
        <v>2</v>
      </c>
      <c r="G678" s="2">
        <v>0.1</v>
      </c>
      <c r="H678" s="2">
        <v>0</v>
      </c>
      <c r="I678" s="2">
        <v>100</v>
      </c>
      <c r="J678" s="2" t="s">
        <v>188</v>
      </c>
      <c r="M678" s="2">
        <v>0.1</v>
      </c>
      <c r="N678" s="2">
        <v>0.3</v>
      </c>
      <c r="O678" s="2" t="s">
        <v>5737</v>
      </c>
      <c r="Q678" s="2">
        <v>1994</v>
      </c>
      <c r="R678" s="2">
        <v>2022</v>
      </c>
      <c r="S678" s="2" t="s">
        <v>5735</v>
      </c>
      <c r="U678" s="2">
        <v>30</v>
      </c>
      <c r="V678" s="2" t="s">
        <v>188</v>
      </c>
    </row>
    <row r="679" spans="1:22">
      <c r="A679" s="2" t="s">
        <v>1175</v>
      </c>
      <c r="B679" s="2" t="s">
        <v>1176</v>
      </c>
      <c r="D679" s="2" t="s">
        <v>1173</v>
      </c>
      <c r="E679" s="2" t="s">
        <v>6484</v>
      </c>
      <c r="F679" s="2">
        <v>3</v>
      </c>
      <c r="G679" s="2">
        <v>0.1</v>
      </c>
      <c r="H679" s="2">
        <v>0</v>
      </c>
      <c r="I679" s="2">
        <v>100</v>
      </c>
      <c r="J679" s="2" t="s">
        <v>188</v>
      </c>
      <c r="M679" s="2">
        <v>0.1</v>
      </c>
      <c r="N679" s="2">
        <v>0.4</v>
      </c>
      <c r="O679" s="2" t="s">
        <v>5737</v>
      </c>
      <c r="Q679" s="2">
        <v>1995</v>
      </c>
      <c r="R679" s="2">
        <v>2022</v>
      </c>
      <c r="S679" s="2" t="s">
        <v>5735</v>
      </c>
      <c r="U679" s="2">
        <v>30</v>
      </c>
      <c r="V679" s="2" t="s">
        <v>188</v>
      </c>
    </row>
    <row r="680" spans="1:22">
      <c r="A680" s="2" t="s">
        <v>1175</v>
      </c>
      <c r="B680" s="2" t="s">
        <v>1176</v>
      </c>
      <c r="D680" s="2" t="s">
        <v>1173</v>
      </c>
      <c r="E680" s="2" t="s">
        <v>6485</v>
      </c>
      <c r="F680" s="2">
        <v>4</v>
      </c>
      <c r="G680" s="2">
        <v>0.1</v>
      </c>
      <c r="H680" s="2">
        <v>0</v>
      </c>
      <c r="I680" s="2">
        <v>100</v>
      </c>
      <c r="J680" s="2" t="s">
        <v>188</v>
      </c>
      <c r="M680" s="2">
        <v>0.1</v>
      </c>
      <c r="N680" s="2">
        <v>0.4</v>
      </c>
      <c r="O680" s="2" t="s">
        <v>5737</v>
      </c>
      <c r="Q680" s="2">
        <v>1995</v>
      </c>
      <c r="R680" s="2">
        <v>2022</v>
      </c>
      <c r="S680" s="2" t="s">
        <v>5735</v>
      </c>
      <c r="U680" s="2">
        <v>30</v>
      </c>
      <c r="V680" s="2" t="s">
        <v>188</v>
      </c>
    </row>
    <row r="681" spans="1:22">
      <c r="A681" s="2" t="s">
        <v>2520</v>
      </c>
      <c r="B681" s="2" t="s">
        <v>2520</v>
      </c>
      <c r="D681" s="2" t="s">
        <v>2518</v>
      </c>
      <c r="E681" s="2" t="s">
        <v>6486</v>
      </c>
      <c r="F681" s="2">
        <v>1</v>
      </c>
      <c r="G681" s="2">
        <v>1</v>
      </c>
      <c r="I681" s="2">
        <v>1000</v>
      </c>
      <c r="J681" s="2" t="s">
        <v>188</v>
      </c>
      <c r="M681" s="2">
        <v>1</v>
      </c>
      <c r="N681" s="2">
        <v>1.5</v>
      </c>
      <c r="O681" s="2" t="s">
        <v>5734</v>
      </c>
      <c r="Q681" s="2">
        <v>2012</v>
      </c>
      <c r="R681" s="2">
        <v>2012</v>
      </c>
      <c r="S681" s="2" t="s">
        <v>5739</v>
      </c>
      <c r="U681" s="2">
        <v>1</v>
      </c>
      <c r="V681" s="2" t="s">
        <v>188</v>
      </c>
    </row>
    <row r="682" spans="1:22">
      <c r="A682" s="2" t="s">
        <v>1180</v>
      </c>
      <c r="B682" s="2" t="s">
        <v>1181</v>
      </c>
      <c r="D682" s="2" t="s">
        <v>1178</v>
      </c>
      <c r="E682" s="2" t="s">
        <v>6487</v>
      </c>
      <c r="F682" s="2">
        <v>1</v>
      </c>
      <c r="G682" s="2">
        <v>0.6</v>
      </c>
      <c r="H682" s="2">
        <v>0</v>
      </c>
      <c r="I682" s="2">
        <v>600</v>
      </c>
      <c r="J682" s="2" t="s">
        <v>187</v>
      </c>
      <c r="K682" s="2" t="s">
        <v>6488</v>
      </c>
      <c r="M682" s="2">
        <v>0.6</v>
      </c>
      <c r="N682" s="2">
        <v>2.2999999999999998</v>
      </c>
      <c r="O682" s="2" t="s">
        <v>5737</v>
      </c>
      <c r="Q682" s="2">
        <v>2011</v>
      </c>
      <c r="R682" s="2">
        <v>2011</v>
      </c>
      <c r="S682" s="2" t="s">
        <v>5969</v>
      </c>
      <c r="U682" s="2">
        <v>30</v>
      </c>
      <c r="V682" s="2" t="s">
        <v>188</v>
      </c>
    </row>
    <row r="683" spans="1:22">
      <c r="A683" s="2" t="s">
        <v>1180</v>
      </c>
      <c r="B683" s="2" t="s">
        <v>1181</v>
      </c>
      <c r="D683" s="2" t="s">
        <v>1178</v>
      </c>
      <c r="E683" s="2" t="s">
        <v>6489</v>
      </c>
      <c r="F683" s="2">
        <v>4</v>
      </c>
      <c r="G683" s="2">
        <v>0.1</v>
      </c>
      <c r="H683" s="2">
        <v>0</v>
      </c>
      <c r="I683" s="2">
        <v>100</v>
      </c>
      <c r="J683" s="2" t="s">
        <v>188</v>
      </c>
      <c r="M683" s="2">
        <v>0.1</v>
      </c>
      <c r="N683" s="2">
        <v>0.4</v>
      </c>
      <c r="O683" s="2" t="s">
        <v>5737</v>
      </c>
      <c r="Q683" s="2">
        <v>2012</v>
      </c>
      <c r="R683" s="2">
        <v>2012</v>
      </c>
      <c r="S683" s="2" t="s">
        <v>5738</v>
      </c>
      <c r="U683" s="2">
        <v>30</v>
      </c>
      <c r="V683" s="2" t="s">
        <v>188</v>
      </c>
    </row>
    <row r="684" spans="1:22">
      <c r="A684" s="2" t="s">
        <v>1180</v>
      </c>
      <c r="B684" s="2" t="s">
        <v>1181</v>
      </c>
      <c r="D684" s="2" t="s">
        <v>1178</v>
      </c>
      <c r="E684" s="2" t="s">
        <v>6490</v>
      </c>
      <c r="F684" s="2">
        <v>3</v>
      </c>
      <c r="G684" s="2">
        <v>0.4</v>
      </c>
      <c r="H684" s="2">
        <v>0</v>
      </c>
      <c r="I684" s="2">
        <v>400</v>
      </c>
      <c r="J684" s="2" t="s">
        <v>187</v>
      </c>
      <c r="K684" s="2" t="s">
        <v>6488</v>
      </c>
      <c r="M684" s="2">
        <v>0.4</v>
      </c>
      <c r="N684" s="2">
        <v>1.5</v>
      </c>
      <c r="O684" s="2" t="s">
        <v>5737</v>
      </c>
      <c r="Q684" s="2">
        <v>2012</v>
      </c>
      <c r="R684" s="2">
        <v>2012</v>
      </c>
      <c r="S684" s="2" t="s">
        <v>5969</v>
      </c>
      <c r="U684" s="2">
        <v>30</v>
      </c>
      <c r="V684" s="2" t="s">
        <v>188</v>
      </c>
    </row>
    <row r="685" spans="1:22">
      <c r="A685" s="2" t="s">
        <v>1180</v>
      </c>
      <c r="B685" s="2" t="s">
        <v>1181</v>
      </c>
      <c r="D685" s="2" t="s">
        <v>1178</v>
      </c>
      <c r="E685" s="2" t="s">
        <v>6491</v>
      </c>
      <c r="F685" s="2">
        <v>2</v>
      </c>
      <c r="G685" s="2">
        <v>0.3</v>
      </c>
      <c r="H685" s="2">
        <v>0</v>
      </c>
      <c r="I685" s="2">
        <v>300</v>
      </c>
      <c r="J685" s="2" t="s">
        <v>187</v>
      </c>
      <c r="K685" s="2" t="s">
        <v>6488</v>
      </c>
      <c r="M685" s="2">
        <v>0.3</v>
      </c>
      <c r="N685" s="2">
        <v>1</v>
      </c>
      <c r="O685" s="2" t="s">
        <v>5737</v>
      </c>
      <c r="Q685" s="2">
        <v>2012</v>
      </c>
      <c r="R685" s="2">
        <v>2012</v>
      </c>
      <c r="S685" s="2" t="s">
        <v>5738</v>
      </c>
      <c r="U685" s="2">
        <v>30</v>
      </c>
      <c r="V685" s="2" t="s">
        <v>188</v>
      </c>
    </row>
    <row r="686" spans="1:22">
      <c r="A686" s="2" t="s">
        <v>1192</v>
      </c>
      <c r="B686" s="2" t="s">
        <v>1192</v>
      </c>
      <c r="D686" s="2" t="s">
        <v>1190</v>
      </c>
      <c r="E686" s="2" t="s">
        <v>6492</v>
      </c>
      <c r="F686" s="2">
        <v>1</v>
      </c>
      <c r="G686" s="2">
        <v>0.4</v>
      </c>
      <c r="H686" s="2">
        <v>0</v>
      </c>
      <c r="I686" s="2">
        <v>400</v>
      </c>
      <c r="J686" s="2" t="s">
        <v>187</v>
      </c>
      <c r="K686" s="2" t="s">
        <v>308</v>
      </c>
      <c r="M686" s="2">
        <v>0.4</v>
      </c>
      <c r="N686" s="2">
        <v>0.8</v>
      </c>
      <c r="O686" s="2" t="s">
        <v>5737</v>
      </c>
      <c r="Q686" s="2">
        <v>1995</v>
      </c>
      <c r="R686" s="2">
        <v>1995</v>
      </c>
      <c r="S686" s="2" t="s">
        <v>5738</v>
      </c>
      <c r="U686" s="2">
        <v>30</v>
      </c>
      <c r="V686" s="2" t="s">
        <v>188</v>
      </c>
    </row>
    <row r="687" spans="1:22">
      <c r="A687" s="2" t="s">
        <v>1203</v>
      </c>
      <c r="B687" s="2" t="s">
        <v>1203</v>
      </c>
      <c r="D687" s="2" t="s">
        <v>1201</v>
      </c>
      <c r="E687" s="2" t="s">
        <v>6493</v>
      </c>
      <c r="F687" s="2">
        <v>1</v>
      </c>
      <c r="G687" s="2">
        <v>0.5</v>
      </c>
      <c r="H687" s="2">
        <v>0</v>
      </c>
      <c r="I687" s="2">
        <v>500</v>
      </c>
      <c r="J687" s="2" t="s">
        <v>188</v>
      </c>
      <c r="M687" s="2">
        <v>0</v>
      </c>
      <c r="O687" s="2" t="s">
        <v>5737</v>
      </c>
      <c r="Q687" s="2">
        <v>2012</v>
      </c>
      <c r="R687" s="2">
        <v>2025</v>
      </c>
      <c r="S687" s="2" t="s">
        <v>5735</v>
      </c>
      <c r="U687" s="2">
        <v>30</v>
      </c>
      <c r="V687" s="2" t="s">
        <v>188</v>
      </c>
    </row>
    <row r="688" spans="1:22">
      <c r="A688" s="2" t="s">
        <v>1203</v>
      </c>
      <c r="B688" s="2" t="s">
        <v>1203</v>
      </c>
      <c r="D688" s="2" t="s">
        <v>1201</v>
      </c>
      <c r="E688" s="2" t="s">
        <v>6494</v>
      </c>
      <c r="F688" s="2">
        <v>5</v>
      </c>
      <c r="G688" s="2">
        <v>0.3</v>
      </c>
      <c r="H688" s="2">
        <v>0</v>
      </c>
      <c r="I688" s="2">
        <v>300</v>
      </c>
      <c r="J688" s="2" t="s">
        <v>188</v>
      </c>
      <c r="M688" s="2">
        <v>0.3</v>
      </c>
      <c r="N688" s="2">
        <v>1.6</v>
      </c>
      <c r="O688" s="2" t="s">
        <v>5737</v>
      </c>
      <c r="Q688" s="2">
        <v>2015</v>
      </c>
      <c r="R688" s="2">
        <v>2015</v>
      </c>
      <c r="S688" s="2" t="s">
        <v>5738</v>
      </c>
      <c r="U688" s="2">
        <v>30</v>
      </c>
      <c r="V688" s="2" t="s">
        <v>188</v>
      </c>
    </row>
    <row r="689" spans="1:22">
      <c r="A689" s="2" t="s">
        <v>1203</v>
      </c>
      <c r="B689" s="2" t="s">
        <v>1203</v>
      </c>
      <c r="D689" s="2" t="s">
        <v>1201</v>
      </c>
      <c r="E689" s="2" t="s">
        <v>6495</v>
      </c>
      <c r="F689" s="2">
        <v>4</v>
      </c>
      <c r="G689" s="2">
        <v>0.2</v>
      </c>
      <c r="H689" s="2">
        <v>0</v>
      </c>
      <c r="I689" s="2">
        <v>200</v>
      </c>
      <c r="J689" s="2" t="s">
        <v>188</v>
      </c>
      <c r="M689" s="2">
        <v>0.2</v>
      </c>
      <c r="N689" s="2">
        <v>0.8</v>
      </c>
      <c r="O689" s="2" t="s">
        <v>5737</v>
      </c>
      <c r="Q689" s="2">
        <v>2012</v>
      </c>
      <c r="R689" s="2">
        <v>2012</v>
      </c>
      <c r="S689" s="2" t="s">
        <v>5969</v>
      </c>
      <c r="U689" s="2">
        <v>30</v>
      </c>
      <c r="V689" s="2" t="s">
        <v>188</v>
      </c>
    </row>
    <row r="690" spans="1:22">
      <c r="A690" s="2" t="s">
        <v>1203</v>
      </c>
      <c r="B690" s="2" t="s">
        <v>1203</v>
      </c>
      <c r="D690" s="2" t="s">
        <v>1201</v>
      </c>
      <c r="E690" s="2" t="s">
        <v>6496</v>
      </c>
      <c r="F690" s="2">
        <v>2</v>
      </c>
      <c r="G690" s="2">
        <v>0.2</v>
      </c>
      <c r="H690" s="2">
        <v>0</v>
      </c>
      <c r="I690" s="2">
        <v>200</v>
      </c>
      <c r="J690" s="2" t="s">
        <v>188</v>
      </c>
      <c r="M690" s="2">
        <v>0.2</v>
      </c>
      <c r="N690" s="2">
        <v>0.8</v>
      </c>
      <c r="O690" s="2" t="s">
        <v>5737</v>
      </c>
      <c r="Q690" s="2">
        <v>2012</v>
      </c>
      <c r="R690" s="2">
        <v>2012</v>
      </c>
      <c r="S690" s="2" t="s">
        <v>5738</v>
      </c>
      <c r="U690" s="2">
        <v>30</v>
      </c>
      <c r="V690" s="2" t="s">
        <v>188</v>
      </c>
    </row>
    <row r="691" spans="1:22">
      <c r="A691" s="2" t="s">
        <v>1203</v>
      </c>
      <c r="B691" s="2" t="s">
        <v>1203</v>
      </c>
      <c r="D691" s="2" t="s">
        <v>1201</v>
      </c>
      <c r="E691" s="2" t="s">
        <v>6497</v>
      </c>
      <c r="F691" s="2">
        <v>3</v>
      </c>
      <c r="G691" s="2">
        <v>0.15</v>
      </c>
      <c r="H691" s="2">
        <v>0</v>
      </c>
      <c r="I691" s="2">
        <v>150</v>
      </c>
      <c r="J691" s="2" t="s">
        <v>188</v>
      </c>
      <c r="M691" s="2">
        <v>0.15</v>
      </c>
      <c r="N691" s="2">
        <v>0.6</v>
      </c>
      <c r="O691" s="2" t="s">
        <v>5737</v>
      </c>
      <c r="Q691" s="2">
        <v>2012</v>
      </c>
      <c r="R691" s="2">
        <v>2012</v>
      </c>
      <c r="S691" s="2" t="s">
        <v>5738</v>
      </c>
      <c r="U691" s="2">
        <v>30</v>
      </c>
      <c r="V691" s="2" t="s">
        <v>188</v>
      </c>
    </row>
    <row r="692" spans="1:22">
      <c r="A692" s="2" t="s">
        <v>2538</v>
      </c>
      <c r="B692" s="2" t="s">
        <v>2538</v>
      </c>
      <c r="D692" s="2" t="s">
        <v>2536</v>
      </c>
      <c r="E692" s="2" t="s">
        <v>6498</v>
      </c>
      <c r="F692" s="2">
        <v>1</v>
      </c>
      <c r="G692" s="2">
        <v>0.5</v>
      </c>
      <c r="I692" s="2">
        <v>500</v>
      </c>
      <c r="J692" s="2" t="s">
        <v>188</v>
      </c>
      <c r="M692" s="2">
        <v>0.2</v>
      </c>
      <c r="N692" s="2">
        <v>0.4</v>
      </c>
      <c r="O692" s="2" t="s">
        <v>5734</v>
      </c>
      <c r="Q692" s="2">
        <v>2013</v>
      </c>
      <c r="R692" s="2">
        <v>2013</v>
      </c>
      <c r="S692" s="2" t="s">
        <v>5739</v>
      </c>
      <c r="U692" s="2">
        <v>6</v>
      </c>
      <c r="V692" s="2" t="s">
        <v>188</v>
      </c>
    </row>
    <row r="693" spans="1:22">
      <c r="A693" s="2" t="s">
        <v>2542</v>
      </c>
      <c r="B693" s="2" t="s">
        <v>2542</v>
      </c>
      <c r="D693" s="2" t="s">
        <v>2540</v>
      </c>
      <c r="E693" s="2" t="s">
        <v>6499</v>
      </c>
      <c r="F693" s="2">
        <v>1</v>
      </c>
      <c r="G693" s="2">
        <v>0.22</v>
      </c>
      <c r="I693" s="2">
        <v>250</v>
      </c>
      <c r="J693" s="2" t="s">
        <v>188</v>
      </c>
      <c r="M693" s="2">
        <v>0.22</v>
      </c>
      <c r="N693" s="2">
        <v>0.3</v>
      </c>
      <c r="O693" s="2" t="s">
        <v>5734</v>
      </c>
      <c r="Q693" s="2">
        <v>2018</v>
      </c>
      <c r="R693" s="2">
        <v>2018</v>
      </c>
      <c r="S693" s="2" t="s">
        <v>5739</v>
      </c>
      <c r="U693" s="2">
        <v>30</v>
      </c>
      <c r="V693" s="2" t="s">
        <v>188</v>
      </c>
    </row>
    <row r="694" spans="1:22">
      <c r="A694" s="2" t="s">
        <v>2546</v>
      </c>
      <c r="B694" s="2" t="s">
        <v>2546</v>
      </c>
      <c r="D694" s="2" t="s">
        <v>2544</v>
      </c>
      <c r="E694" s="2" t="s">
        <v>6500</v>
      </c>
      <c r="F694" s="2">
        <v>1</v>
      </c>
      <c r="G694" s="2">
        <v>1</v>
      </c>
      <c r="I694" s="2">
        <v>1000</v>
      </c>
      <c r="J694" s="2" t="s">
        <v>188</v>
      </c>
      <c r="M694" s="2">
        <v>1</v>
      </c>
      <c r="N694" s="2">
        <v>1.5</v>
      </c>
      <c r="O694" s="2" t="s">
        <v>5734</v>
      </c>
      <c r="Q694" s="2">
        <v>2013</v>
      </c>
      <c r="R694" s="2">
        <v>2013</v>
      </c>
      <c r="S694" s="2" t="s">
        <v>5739</v>
      </c>
      <c r="U694" s="2">
        <v>25</v>
      </c>
      <c r="V694" s="2" t="s">
        <v>188</v>
      </c>
    </row>
    <row r="695" spans="1:22">
      <c r="A695" s="2" t="s">
        <v>1264</v>
      </c>
      <c r="B695" s="2" t="s">
        <v>1264</v>
      </c>
      <c r="D695" s="2" t="s">
        <v>1261</v>
      </c>
      <c r="E695" s="2" t="s">
        <v>6501</v>
      </c>
      <c r="F695" s="2">
        <v>1</v>
      </c>
      <c r="G695" s="2">
        <v>2.5</v>
      </c>
      <c r="H695" s="2">
        <v>0</v>
      </c>
      <c r="I695" s="2">
        <v>2500</v>
      </c>
      <c r="J695" s="2" t="s">
        <v>187</v>
      </c>
      <c r="K695" s="2" t="s">
        <v>6488</v>
      </c>
      <c r="M695" s="2">
        <v>2.5</v>
      </c>
      <c r="N695" s="2">
        <v>9</v>
      </c>
      <c r="O695" s="2" t="s">
        <v>5737</v>
      </c>
      <c r="Q695" s="2">
        <v>2003</v>
      </c>
      <c r="R695" s="2">
        <v>2003</v>
      </c>
      <c r="S695" s="2" t="s">
        <v>5739</v>
      </c>
      <c r="U695" s="2">
        <v>20</v>
      </c>
      <c r="V695" s="2" t="s">
        <v>188</v>
      </c>
    </row>
    <row r="696" spans="1:22">
      <c r="A696" s="2" t="s">
        <v>1264</v>
      </c>
      <c r="B696" s="2" t="s">
        <v>1264</v>
      </c>
      <c r="D696" s="2" t="s">
        <v>1261</v>
      </c>
      <c r="E696" s="2" t="s">
        <v>6502</v>
      </c>
      <c r="F696" s="2">
        <v>3</v>
      </c>
      <c r="G696" s="2">
        <v>0.3</v>
      </c>
      <c r="H696" s="2">
        <v>0</v>
      </c>
      <c r="I696" s="2">
        <v>300</v>
      </c>
      <c r="J696" s="2" t="s">
        <v>187</v>
      </c>
      <c r="K696" s="2" t="s">
        <v>5773</v>
      </c>
      <c r="M696" s="2">
        <v>0.3</v>
      </c>
      <c r="N696" s="2">
        <v>1</v>
      </c>
      <c r="O696" s="2" t="s">
        <v>5737</v>
      </c>
      <c r="Q696" s="2">
        <v>1995</v>
      </c>
      <c r="R696" s="2">
        <v>2020</v>
      </c>
      <c r="S696" s="2" t="s">
        <v>5735</v>
      </c>
      <c r="U696" s="2">
        <v>20</v>
      </c>
      <c r="V696" s="2" t="s">
        <v>188</v>
      </c>
    </row>
    <row r="697" spans="1:22">
      <c r="A697" s="2" t="s">
        <v>1264</v>
      </c>
      <c r="B697" s="2" t="s">
        <v>1264</v>
      </c>
      <c r="D697" s="2" t="s">
        <v>1261</v>
      </c>
      <c r="E697" s="2" t="s">
        <v>6503</v>
      </c>
      <c r="F697" s="2">
        <v>2</v>
      </c>
      <c r="G697" s="2">
        <v>1.2</v>
      </c>
      <c r="H697" s="2">
        <v>0</v>
      </c>
      <c r="I697" s="2">
        <v>1200</v>
      </c>
      <c r="J697" s="2" t="s">
        <v>187</v>
      </c>
      <c r="K697" s="2" t="s">
        <v>6488</v>
      </c>
      <c r="M697" s="2">
        <v>1.2</v>
      </c>
      <c r="N697" s="2">
        <v>4</v>
      </c>
      <c r="O697" s="2" t="s">
        <v>5737</v>
      </c>
      <c r="Q697" s="2">
        <v>1995</v>
      </c>
      <c r="R697" s="2">
        <v>2009</v>
      </c>
      <c r="S697" s="2" t="s">
        <v>5735</v>
      </c>
      <c r="U697" s="2">
        <v>20</v>
      </c>
      <c r="V697" s="2" t="s">
        <v>188</v>
      </c>
    </row>
    <row r="698" spans="1:22">
      <c r="A698" s="2" t="s">
        <v>482</v>
      </c>
      <c r="B698" s="2" t="s">
        <v>483</v>
      </c>
      <c r="D698" s="2" t="s">
        <v>478</v>
      </c>
      <c r="E698" s="2" t="s">
        <v>6504</v>
      </c>
      <c r="F698" s="2">
        <v>1</v>
      </c>
      <c r="G698" s="2">
        <v>1</v>
      </c>
      <c r="H698" s="2">
        <v>0</v>
      </c>
      <c r="I698" s="2">
        <v>1100</v>
      </c>
      <c r="J698" s="2" t="s">
        <v>188</v>
      </c>
      <c r="M698" s="2">
        <v>1</v>
      </c>
      <c r="N698" s="2">
        <v>3</v>
      </c>
      <c r="O698" s="2" t="s">
        <v>5737</v>
      </c>
      <c r="Q698" s="2">
        <v>2014</v>
      </c>
      <c r="R698" s="2">
        <v>2014</v>
      </c>
      <c r="S698" s="2" t="s">
        <v>5738</v>
      </c>
      <c r="U698" s="2">
        <v>20</v>
      </c>
      <c r="V698" s="2" t="s">
        <v>187</v>
      </c>
    </row>
    <row r="699" spans="1:22">
      <c r="A699" s="2" t="s">
        <v>2227</v>
      </c>
      <c r="B699" s="2" t="s">
        <v>2227</v>
      </c>
      <c r="D699" s="2" t="s">
        <v>2226</v>
      </c>
      <c r="E699" s="2" t="s">
        <v>6505</v>
      </c>
      <c r="F699" s="2">
        <v>4</v>
      </c>
      <c r="G699" s="2">
        <v>0.2</v>
      </c>
      <c r="H699" s="2">
        <v>0</v>
      </c>
      <c r="I699" s="2">
        <v>200</v>
      </c>
      <c r="J699" s="2" t="s">
        <v>188</v>
      </c>
      <c r="K699" s="2" t="s">
        <v>5766</v>
      </c>
      <c r="L699" s="2" t="s">
        <v>188</v>
      </c>
      <c r="M699" s="2">
        <v>0.2</v>
      </c>
      <c r="N699" s="2">
        <v>0.3</v>
      </c>
      <c r="O699" s="2" t="s">
        <v>5737</v>
      </c>
      <c r="Q699" s="2">
        <v>2017</v>
      </c>
      <c r="R699" s="2">
        <v>2017</v>
      </c>
      <c r="S699" s="2" t="s">
        <v>5735</v>
      </c>
      <c r="U699" s="2">
        <v>10</v>
      </c>
      <c r="V699" s="2" t="s">
        <v>188</v>
      </c>
    </row>
    <row r="700" spans="1:22">
      <c r="A700" s="2" t="s">
        <v>2227</v>
      </c>
      <c r="B700" s="2" t="s">
        <v>2227</v>
      </c>
      <c r="D700" s="2" t="s">
        <v>2226</v>
      </c>
      <c r="E700" s="2" t="s">
        <v>6506</v>
      </c>
      <c r="F700" s="2">
        <v>5</v>
      </c>
      <c r="G700" s="2">
        <v>0.1</v>
      </c>
      <c r="H700" s="2">
        <v>0</v>
      </c>
      <c r="I700" s="2">
        <v>100</v>
      </c>
      <c r="J700" s="2" t="s">
        <v>188</v>
      </c>
      <c r="K700" s="2" t="s">
        <v>5766</v>
      </c>
      <c r="L700" s="2" t="s">
        <v>188</v>
      </c>
      <c r="M700" s="2">
        <v>0</v>
      </c>
      <c r="N700" s="2">
        <v>0</v>
      </c>
      <c r="O700" s="2" t="s">
        <v>5737</v>
      </c>
      <c r="Q700" s="2">
        <v>2012</v>
      </c>
      <c r="R700" s="2">
        <v>2025</v>
      </c>
      <c r="S700" s="2" t="s">
        <v>5735</v>
      </c>
      <c r="U700" s="2">
        <v>10</v>
      </c>
      <c r="V700" s="2" t="s">
        <v>188</v>
      </c>
    </row>
    <row r="701" spans="1:22">
      <c r="A701" s="2" t="s">
        <v>2227</v>
      </c>
      <c r="B701" s="2" t="s">
        <v>2227</v>
      </c>
      <c r="D701" s="2" t="s">
        <v>2226</v>
      </c>
      <c r="E701" s="2" t="s">
        <v>6507</v>
      </c>
      <c r="F701" s="2">
        <v>2</v>
      </c>
      <c r="G701" s="2">
        <v>0.48</v>
      </c>
      <c r="H701" s="2">
        <v>0</v>
      </c>
      <c r="I701" s="2">
        <v>480</v>
      </c>
      <c r="J701" s="2" t="s">
        <v>188</v>
      </c>
      <c r="K701" s="2" t="s">
        <v>5766</v>
      </c>
      <c r="L701" s="2" t="s">
        <v>188</v>
      </c>
      <c r="M701" s="2">
        <v>0.48</v>
      </c>
      <c r="N701" s="2">
        <v>1.3</v>
      </c>
      <c r="O701" s="2" t="s">
        <v>5734</v>
      </c>
      <c r="Q701" s="2">
        <v>2012</v>
      </c>
      <c r="R701" s="2">
        <v>2012</v>
      </c>
      <c r="S701" s="2" t="s">
        <v>5738</v>
      </c>
      <c r="U701" s="2">
        <v>10</v>
      </c>
      <c r="V701" s="2" t="s">
        <v>188</v>
      </c>
    </row>
    <row r="702" spans="1:22">
      <c r="A702" s="2" t="s">
        <v>2227</v>
      </c>
      <c r="B702" s="2" t="s">
        <v>2227</v>
      </c>
      <c r="D702" s="2" t="s">
        <v>2226</v>
      </c>
      <c r="E702" s="2" t="s">
        <v>6508</v>
      </c>
      <c r="F702" s="2">
        <v>1</v>
      </c>
      <c r="G702" s="2">
        <v>0.3</v>
      </c>
      <c r="H702" s="2">
        <v>0</v>
      </c>
      <c r="I702" s="2">
        <v>330</v>
      </c>
      <c r="J702" s="2" t="s">
        <v>188</v>
      </c>
      <c r="K702" s="2" t="s">
        <v>5766</v>
      </c>
      <c r="L702" s="2" t="s">
        <v>188</v>
      </c>
      <c r="M702" s="2">
        <v>0.3</v>
      </c>
      <c r="N702" s="2">
        <v>0.5</v>
      </c>
      <c r="O702" s="2" t="s">
        <v>5734</v>
      </c>
      <c r="Q702" s="2">
        <v>2021</v>
      </c>
      <c r="R702" s="2">
        <v>2021</v>
      </c>
      <c r="S702" s="2" t="s">
        <v>5735</v>
      </c>
      <c r="U702" s="2">
        <v>10</v>
      </c>
      <c r="V702" s="2" t="s">
        <v>188</v>
      </c>
    </row>
    <row r="703" spans="1:22">
      <c r="A703" s="2" t="s">
        <v>2227</v>
      </c>
      <c r="B703" s="2" t="s">
        <v>2227</v>
      </c>
      <c r="D703" s="2" t="s">
        <v>2226</v>
      </c>
      <c r="E703" s="2" t="s">
        <v>6509</v>
      </c>
      <c r="F703" s="2">
        <v>3</v>
      </c>
      <c r="G703" s="2">
        <v>0.3</v>
      </c>
      <c r="H703" s="2">
        <v>0</v>
      </c>
      <c r="I703" s="2">
        <v>320</v>
      </c>
      <c r="J703" s="2" t="s">
        <v>188</v>
      </c>
      <c r="K703" s="2" t="s">
        <v>5766</v>
      </c>
      <c r="L703" s="2" t="s">
        <v>188</v>
      </c>
      <c r="M703" s="2">
        <v>0.3</v>
      </c>
      <c r="N703" s="2">
        <v>0.5</v>
      </c>
      <c r="O703" s="2" t="s">
        <v>5734</v>
      </c>
      <c r="Q703" s="2">
        <v>2012</v>
      </c>
      <c r="R703" s="2">
        <v>2022</v>
      </c>
      <c r="S703" s="2" t="s">
        <v>5735</v>
      </c>
      <c r="U703" s="2">
        <v>10</v>
      </c>
      <c r="V703" s="2" t="s">
        <v>188</v>
      </c>
    </row>
    <row r="704" spans="1:22">
      <c r="A704" s="2" t="s">
        <v>2190</v>
      </c>
      <c r="B704" s="2" t="s">
        <v>2190</v>
      </c>
      <c r="D704" s="2" t="s">
        <v>2189</v>
      </c>
      <c r="E704" s="2" t="s">
        <v>6510</v>
      </c>
      <c r="F704" s="2">
        <v>1</v>
      </c>
      <c r="G704" s="2">
        <v>0.24</v>
      </c>
      <c r="H704" s="2">
        <v>0</v>
      </c>
      <c r="I704" s="2">
        <v>150</v>
      </c>
      <c r="J704" s="2" t="s">
        <v>188</v>
      </c>
      <c r="K704" s="2" t="s">
        <v>5766</v>
      </c>
      <c r="L704" s="2" t="s">
        <v>188</v>
      </c>
      <c r="M704" s="2">
        <v>0.24</v>
      </c>
      <c r="N704" s="2">
        <v>0.24</v>
      </c>
      <c r="O704" s="2" t="s">
        <v>5737</v>
      </c>
      <c r="Q704" s="2">
        <v>2020</v>
      </c>
      <c r="R704" s="2">
        <v>2024</v>
      </c>
      <c r="S704" s="2" t="s">
        <v>5735</v>
      </c>
      <c r="U704" s="2">
        <v>10</v>
      </c>
      <c r="V704" s="2" t="s">
        <v>188</v>
      </c>
    </row>
    <row r="705" spans="1:22">
      <c r="A705" s="2" t="s">
        <v>1300</v>
      </c>
      <c r="B705" s="2" t="s">
        <v>1300</v>
      </c>
      <c r="D705" s="2" t="s">
        <v>1299</v>
      </c>
      <c r="E705" s="2" t="s">
        <v>6511</v>
      </c>
      <c r="F705" s="2">
        <v>1</v>
      </c>
      <c r="G705" s="2">
        <v>3</v>
      </c>
      <c r="H705" s="2">
        <v>0</v>
      </c>
      <c r="I705" s="2">
        <v>3000</v>
      </c>
      <c r="J705" s="2" t="s">
        <v>187</v>
      </c>
      <c r="K705" s="2" t="s">
        <v>6241</v>
      </c>
      <c r="M705" s="2">
        <v>3</v>
      </c>
      <c r="N705" s="2">
        <v>12</v>
      </c>
      <c r="O705" s="2" t="s">
        <v>5737</v>
      </c>
      <c r="Q705" s="2">
        <v>1995</v>
      </c>
      <c r="R705" s="2">
        <v>1995</v>
      </c>
      <c r="S705" s="2" t="s">
        <v>5738</v>
      </c>
      <c r="U705" s="2">
        <v>8</v>
      </c>
      <c r="V705" s="2" t="s">
        <v>188</v>
      </c>
    </row>
    <row r="706" spans="1:22">
      <c r="A706" s="2" t="s">
        <v>2165</v>
      </c>
      <c r="B706" s="2" t="s">
        <v>2165</v>
      </c>
      <c r="D706" s="2" t="s">
        <v>2164</v>
      </c>
      <c r="E706" s="2" t="s">
        <v>6512</v>
      </c>
      <c r="F706" s="2">
        <v>3</v>
      </c>
      <c r="G706" s="2">
        <v>0.1</v>
      </c>
      <c r="I706" s="2">
        <v>120</v>
      </c>
      <c r="J706" s="2" t="s">
        <v>188</v>
      </c>
      <c r="M706" s="2">
        <v>0.1</v>
      </c>
      <c r="N706" s="2">
        <v>0.2</v>
      </c>
      <c r="O706" s="2" t="s">
        <v>5737</v>
      </c>
      <c r="Q706" s="2">
        <v>2018</v>
      </c>
      <c r="R706" s="2">
        <v>2018</v>
      </c>
      <c r="S706" s="2" t="s">
        <v>5735</v>
      </c>
      <c r="U706" s="2">
        <v>15</v>
      </c>
      <c r="V706" s="2" t="s">
        <v>187</v>
      </c>
    </row>
    <row r="707" spans="1:22">
      <c r="A707" s="2" t="s">
        <v>2165</v>
      </c>
      <c r="B707" s="2" t="s">
        <v>2165</v>
      </c>
      <c r="D707" s="2" t="s">
        <v>2164</v>
      </c>
      <c r="E707" s="2" t="s">
        <v>6513</v>
      </c>
      <c r="F707" s="2">
        <v>1</v>
      </c>
      <c r="G707" s="2">
        <v>0.8</v>
      </c>
      <c r="I707" s="2">
        <v>950</v>
      </c>
      <c r="J707" s="2" t="s">
        <v>187</v>
      </c>
      <c r="K707" s="2" t="s">
        <v>5766</v>
      </c>
      <c r="L707" s="2" t="s">
        <v>5867</v>
      </c>
      <c r="M707" s="2">
        <v>0</v>
      </c>
      <c r="N707" s="2">
        <v>0</v>
      </c>
      <c r="O707" s="2" t="s">
        <v>5737</v>
      </c>
      <c r="Q707" s="2">
        <v>2018</v>
      </c>
      <c r="R707" s="2">
        <v>2024</v>
      </c>
      <c r="S707" s="2" t="s">
        <v>5735</v>
      </c>
      <c r="U707" s="2">
        <v>15</v>
      </c>
      <c r="V707" s="2" t="s">
        <v>187</v>
      </c>
    </row>
    <row r="708" spans="1:22">
      <c r="A708" s="2" t="s">
        <v>2165</v>
      </c>
      <c r="B708" s="2" t="s">
        <v>2165</v>
      </c>
      <c r="D708" s="2" t="s">
        <v>2164</v>
      </c>
      <c r="E708" s="2" t="s">
        <v>6514</v>
      </c>
      <c r="F708" s="2">
        <v>2</v>
      </c>
      <c r="G708" s="2">
        <v>0.6</v>
      </c>
      <c r="H708" s="2">
        <v>0</v>
      </c>
      <c r="I708" s="2">
        <v>600</v>
      </c>
      <c r="J708" s="2" t="s">
        <v>187</v>
      </c>
      <c r="K708" s="2" t="s">
        <v>308</v>
      </c>
      <c r="M708" s="2">
        <v>0.6</v>
      </c>
      <c r="N708" s="2">
        <v>1.4</v>
      </c>
      <c r="O708" s="2" t="s">
        <v>5737</v>
      </c>
      <c r="Q708" s="2">
        <v>2018</v>
      </c>
      <c r="R708" s="2">
        <v>2018</v>
      </c>
      <c r="S708" s="2" t="s">
        <v>5735</v>
      </c>
      <c r="U708" s="2">
        <v>15</v>
      </c>
      <c r="V708" s="2" t="s">
        <v>187</v>
      </c>
    </row>
    <row r="709" spans="1:22">
      <c r="A709" s="2" t="s">
        <v>1346</v>
      </c>
      <c r="B709" s="2" t="s">
        <v>1347</v>
      </c>
      <c r="D709" s="2" t="s">
        <v>1344</v>
      </c>
      <c r="E709" s="2" t="s">
        <v>6515</v>
      </c>
      <c r="F709" s="2">
        <v>2</v>
      </c>
      <c r="G709" s="2">
        <v>0.5</v>
      </c>
      <c r="H709" s="2">
        <v>0</v>
      </c>
      <c r="I709" s="2">
        <v>500</v>
      </c>
      <c r="J709" s="2" t="s">
        <v>187</v>
      </c>
      <c r="K709" s="2" t="s">
        <v>1523</v>
      </c>
      <c r="M709" s="2">
        <v>0</v>
      </c>
      <c r="N709" s="2">
        <v>0</v>
      </c>
      <c r="O709" s="2" t="s">
        <v>5734</v>
      </c>
      <c r="Q709" s="2">
        <v>1995</v>
      </c>
      <c r="R709" s="2">
        <v>2024</v>
      </c>
      <c r="S709" s="2" t="s">
        <v>5735</v>
      </c>
      <c r="U709" s="2">
        <v>30</v>
      </c>
      <c r="V709" s="2" t="s">
        <v>188</v>
      </c>
    </row>
    <row r="710" spans="1:22">
      <c r="A710" s="2" t="s">
        <v>1346</v>
      </c>
      <c r="B710" s="2" t="s">
        <v>1347</v>
      </c>
      <c r="D710" s="2" t="s">
        <v>1344</v>
      </c>
      <c r="E710" s="2" t="s">
        <v>6516</v>
      </c>
      <c r="F710" s="2">
        <v>1</v>
      </c>
      <c r="G710" s="2">
        <v>2</v>
      </c>
      <c r="H710" s="2">
        <v>0</v>
      </c>
      <c r="I710" s="2">
        <v>1800</v>
      </c>
      <c r="J710" s="2" t="s">
        <v>187</v>
      </c>
      <c r="K710" s="2" t="s">
        <v>1523</v>
      </c>
      <c r="M710" s="2">
        <v>2</v>
      </c>
      <c r="N710" s="2">
        <v>12</v>
      </c>
      <c r="O710" s="2" t="s">
        <v>5737</v>
      </c>
      <c r="Q710" s="2">
        <v>1995</v>
      </c>
      <c r="R710" s="2">
        <v>2012</v>
      </c>
      <c r="S710" s="2" t="s">
        <v>5735</v>
      </c>
      <c r="U710" s="2">
        <v>30</v>
      </c>
      <c r="V710" s="2" t="s">
        <v>188</v>
      </c>
    </row>
    <row r="711" spans="1:22">
      <c r="A711" s="2" t="s">
        <v>2149</v>
      </c>
      <c r="B711" s="2" t="s">
        <v>2150</v>
      </c>
      <c r="D711" s="2" t="s">
        <v>2148</v>
      </c>
      <c r="E711" s="2" t="s">
        <v>6517</v>
      </c>
      <c r="F711" s="2">
        <v>3</v>
      </c>
      <c r="G711" s="2">
        <v>0.25</v>
      </c>
      <c r="I711" s="2">
        <v>220</v>
      </c>
      <c r="J711" s="2" t="s">
        <v>188</v>
      </c>
      <c r="M711" s="2">
        <v>0</v>
      </c>
      <c r="N711" s="2">
        <v>0</v>
      </c>
      <c r="O711" s="2" t="s">
        <v>5737</v>
      </c>
      <c r="Q711" s="2">
        <v>2007</v>
      </c>
      <c r="R711" s="2">
        <v>2024</v>
      </c>
      <c r="S711" s="2" t="s">
        <v>5735</v>
      </c>
      <c r="U711" s="2">
        <v>15</v>
      </c>
      <c r="V711" s="2" t="s">
        <v>188</v>
      </c>
    </row>
    <row r="712" spans="1:22">
      <c r="A712" s="2" t="s">
        <v>2149</v>
      </c>
      <c r="B712" s="2" t="s">
        <v>2150</v>
      </c>
      <c r="D712" s="2" t="s">
        <v>2148</v>
      </c>
      <c r="E712" s="2" t="s">
        <v>6518</v>
      </c>
      <c r="F712" s="2">
        <v>2</v>
      </c>
      <c r="G712" s="2">
        <v>0.3</v>
      </c>
      <c r="I712" s="2">
        <v>300</v>
      </c>
      <c r="J712" s="2" t="s">
        <v>188</v>
      </c>
      <c r="M712" s="2">
        <v>0</v>
      </c>
      <c r="N712" s="2">
        <v>0</v>
      </c>
      <c r="O712" s="2" t="s">
        <v>5737</v>
      </c>
      <c r="Q712" s="2">
        <v>2007</v>
      </c>
      <c r="R712" s="2">
        <v>2024</v>
      </c>
      <c r="S712" s="2" t="s">
        <v>5735</v>
      </c>
      <c r="U712" s="2">
        <v>15</v>
      </c>
      <c r="V712" s="2" t="s">
        <v>188</v>
      </c>
    </row>
    <row r="713" spans="1:22">
      <c r="A713" s="2" t="s">
        <v>2149</v>
      </c>
      <c r="B713" s="2" t="s">
        <v>2150</v>
      </c>
      <c r="D713" s="2" t="s">
        <v>2148</v>
      </c>
      <c r="E713" s="2" t="s">
        <v>6519</v>
      </c>
      <c r="F713" s="2">
        <v>1</v>
      </c>
      <c r="G713" s="2">
        <v>0.45</v>
      </c>
      <c r="I713" s="2">
        <v>700</v>
      </c>
      <c r="J713" s="2" t="s">
        <v>188</v>
      </c>
      <c r="M713" s="2">
        <v>0</v>
      </c>
      <c r="N713" s="2">
        <v>0</v>
      </c>
      <c r="O713" s="2" t="s">
        <v>5737</v>
      </c>
      <c r="Q713" s="2">
        <v>2007</v>
      </c>
      <c r="R713" s="2">
        <v>2025</v>
      </c>
      <c r="S713" s="2" t="s">
        <v>5735</v>
      </c>
      <c r="U713" s="2">
        <v>15</v>
      </c>
      <c r="V713" s="2" t="s">
        <v>188</v>
      </c>
    </row>
    <row r="714" spans="1:22">
      <c r="A714" s="2" t="s">
        <v>1372</v>
      </c>
      <c r="B714" s="2" t="s">
        <v>1372</v>
      </c>
      <c r="D714" s="2" t="s">
        <v>1371</v>
      </c>
      <c r="E714" s="2" t="s">
        <v>6520</v>
      </c>
      <c r="F714" s="2">
        <v>1</v>
      </c>
      <c r="G714" s="2">
        <v>1</v>
      </c>
      <c r="H714" s="2">
        <v>0</v>
      </c>
      <c r="I714" s="2">
        <v>1000</v>
      </c>
      <c r="J714" s="2" t="s">
        <v>187</v>
      </c>
      <c r="K714" s="2" t="s">
        <v>1523</v>
      </c>
      <c r="M714" s="2">
        <v>1</v>
      </c>
      <c r="N714" s="2">
        <v>4</v>
      </c>
      <c r="O714" s="2" t="s">
        <v>5737</v>
      </c>
      <c r="Q714" s="2">
        <v>1995</v>
      </c>
      <c r="R714" s="2">
        <v>2015</v>
      </c>
      <c r="S714" s="2" t="s">
        <v>5735</v>
      </c>
      <c r="U714" s="2">
        <v>20</v>
      </c>
      <c r="V714" s="2" t="s">
        <v>188</v>
      </c>
    </row>
    <row r="715" spans="1:22">
      <c r="A715" s="2" t="s">
        <v>1372</v>
      </c>
      <c r="B715" s="2" t="s">
        <v>1372</v>
      </c>
      <c r="D715" s="2" t="s">
        <v>1371</v>
      </c>
      <c r="E715" s="2" t="s">
        <v>6521</v>
      </c>
      <c r="F715" s="2">
        <v>2</v>
      </c>
      <c r="G715" s="2">
        <v>0.5</v>
      </c>
      <c r="H715" s="2">
        <v>0</v>
      </c>
      <c r="I715" s="2">
        <v>500</v>
      </c>
      <c r="J715" s="2" t="s">
        <v>188</v>
      </c>
      <c r="M715" s="2">
        <v>0.5</v>
      </c>
      <c r="N715" s="2">
        <v>1.5</v>
      </c>
      <c r="O715" s="2" t="s">
        <v>5737</v>
      </c>
      <c r="Q715" s="2">
        <v>1995</v>
      </c>
      <c r="R715" s="2">
        <v>2019</v>
      </c>
      <c r="S715" s="2" t="s">
        <v>5735</v>
      </c>
      <c r="U715" s="2">
        <v>20</v>
      </c>
      <c r="V715" s="2" t="s">
        <v>188</v>
      </c>
    </row>
    <row r="716" spans="1:22">
      <c r="A716" s="2" t="s">
        <v>1372</v>
      </c>
      <c r="B716" s="2" t="s">
        <v>1372</v>
      </c>
      <c r="D716" s="2" t="s">
        <v>1371</v>
      </c>
      <c r="E716" s="2" t="s">
        <v>6522</v>
      </c>
      <c r="F716" s="2">
        <v>5</v>
      </c>
      <c r="G716" s="2">
        <v>0.6</v>
      </c>
      <c r="H716" s="2">
        <v>0</v>
      </c>
      <c r="I716" s="2">
        <v>600</v>
      </c>
      <c r="J716" s="2" t="s">
        <v>188</v>
      </c>
      <c r="M716" s="2">
        <v>0</v>
      </c>
      <c r="N716" s="2">
        <v>0</v>
      </c>
      <c r="O716" s="2" t="s">
        <v>5737</v>
      </c>
      <c r="Q716" s="2">
        <v>1995</v>
      </c>
      <c r="R716" s="2">
        <v>2025</v>
      </c>
      <c r="S716" s="2" t="s">
        <v>5735</v>
      </c>
      <c r="U716" s="2">
        <v>20</v>
      </c>
      <c r="V716" s="2" t="s">
        <v>188</v>
      </c>
    </row>
    <row r="717" spans="1:22">
      <c r="A717" s="2" t="s">
        <v>1372</v>
      </c>
      <c r="B717" s="2" t="s">
        <v>1372</v>
      </c>
      <c r="D717" s="2" t="s">
        <v>1371</v>
      </c>
      <c r="E717" s="2" t="s">
        <v>6523</v>
      </c>
      <c r="F717" s="2">
        <v>3</v>
      </c>
      <c r="G717" s="2">
        <v>0.4</v>
      </c>
      <c r="H717" s="2">
        <v>0</v>
      </c>
      <c r="I717" s="2">
        <v>400</v>
      </c>
      <c r="J717" s="2" t="s">
        <v>188</v>
      </c>
      <c r="M717" s="2">
        <v>0.4</v>
      </c>
      <c r="N717" s="2">
        <v>1.2</v>
      </c>
      <c r="O717" s="2" t="s">
        <v>5737</v>
      </c>
      <c r="Q717" s="2">
        <v>1995</v>
      </c>
      <c r="R717" s="2">
        <v>2010</v>
      </c>
      <c r="S717" s="2" t="s">
        <v>5735</v>
      </c>
      <c r="U717" s="2">
        <v>20</v>
      </c>
      <c r="V717" s="2" t="s">
        <v>188</v>
      </c>
    </row>
    <row r="718" spans="1:22">
      <c r="A718" s="2" t="s">
        <v>1372</v>
      </c>
      <c r="B718" s="2" t="s">
        <v>1372</v>
      </c>
      <c r="D718" s="2" t="s">
        <v>1371</v>
      </c>
      <c r="E718" s="2" t="s">
        <v>6524</v>
      </c>
      <c r="F718" s="2">
        <v>4</v>
      </c>
      <c r="G718" s="2">
        <v>0.5</v>
      </c>
      <c r="H718" s="2">
        <v>0</v>
      </c>
      <c r="I718" s="2">
        <v>500</v>
      </c>
      <c r="J718" s="2" t="s">
        <v>188</v>
      </c>
      <c r="M718" s="2">
        <v>0.5</v>
      </c>
      <c r="N718" s="2">
        <v>1.3</v>
      </c>
      <c r="O718" s="2" t="s">
        <v>5737</v>
      </c>
      <c r="Q718" s="2">
        <v>1995</v>
      </c>
      <c r="R718" s="2">
        <v>2019</v>
      </c>
      <c r="S718" s="2" t="s">
        <v>5735</v>
      </c>
      <c r="U718" s="2">
        <v>22</v>
      </c>
      <c r="V718" s="2" t="s">
        <v>188</v>
      </c>
    </row>
    <row r="719" spans="1:22">
      <c r="A719" s="2" t="s">
        <v>2138</v>
      </c>
      <c r="B719" s="2" t="s">
        <v>2138</v>
      </c>
      <c r="D719" s="2" t="s">
        <v>2137</v>
      </c>
      <c r="E719" s="2" t="s">
        <v>6525</v>
      </c>
      <c r="F719" s="2">
        <v>1</v>
      </c>
      <c r="G719" s="2">
        <v>0.8</v>
      </c>
      <c r="I719" s="2">
        <v>850</v>
      </c>
      <c r="J719" s="2" t="s">
        <v>187</v>
      </c>
      <c r="K719" s="2" t="s">
        <v>5766</v>
      </c>
      <c r="L719" s="2" t="s">
        <v>5867</v>
      </c>
      <c r="M719" s="2">
        <v>0.8</v>
      </c>
      <c r="N719" s="2">
        <v>3.2</v>
      </c>
      <c r="O719" s="2" t="s">
        <v>5737</v>
      </c>
      <c r="Q719" s="2">
        <v>1995</v>
      </c>
      <c r="R719" s="2">
        <v>2022</v>
      </c>
      <c r="S719" s="2" t="s">
        <v>5735</v>
      </c>
      <c r="U719" s="2">
        <v>15</v>
      </c>
      <c r="V719" s="2" t="s">
        <v>187</v>
      </c>
    </row>
    <row r="720" spans="1:22">
      <c r="A720" s="2" t="s">
        <v>2138</v>
      </c>
      <c r="B720" s="2" t="s">
        <v>2138</v>
      </c>
      <c r="D720" s="2" t="s">
        <v>2137</v>
      </c>
      <c r="E720" s="2" t="s">
        <v>6526</v>
      </c>
      <c r="F720" s="2">
        <v>2</v>
      </c>
      <c r="G720" s="2">
        <v>0.6</v>
      </c>
      <c r="I720" s="2">
        <v>400</v>
      </c>
      <c r="J720" s="2" t="s">
        <v>188</v>
      </c>
      <c r="M720" s="2">
        <v>0.6</v>
      </c>
      <c r="N720" s="2">
        <v>1.5</v>
      </c>
      <c r="O720" s="2" t="s">
        <v>5737</v>
      </c>
      <c r="Q720" s="2">
        <v>2008</v>
      </c>
      <c r="R720" s="2">
        <v>2008</v>
      </c>
      <c r="S720" s="2" t="s">
        <v>5738</v>
      </c>
      <c r="U720" s="2">
        <v>15</v>
      </c>
      <c r="V720" s="2" t="s">
        <v>187</v>
      </c>
    </row>
    <row r="721" spans="1:22">
      <c r="A721" s="2" t="s">
        <v>1406</v>
      </c>
      <c r="B721" s="2" t="s">
        <v>1406</v>
      </c>
      <c r="D721" s="2" t="s">
        <v>1404</v>
      </c>
      <c r="E721" s="2" t="s">
        <v>6527</v>
      </c>
      <c r="F721" s="2">
        <v>3</v>
      </c>
      <c r="G721" s="2">
        <v>0.2</v>
      </c>
      <c r="H721" s="2">
        <v>0</v>
      </c>
      <c r="I721" s="2">
        <v>200</v>
      </c>
      <c r="J721" s="2" t="s">
        <v>188</v>
      </c>
      <c r="M721" s="2">
        <v>0.2</v>
      </c>
      <c r="N721" s="2">
        <v>1</v>
      </c>
      <c r="O721" s="2" t="s">
        <v>5737</v>
      </c>
      <c r="Q721" s="2">
        <v>2009</v>
      </c>
      <c r="R721" s="2">
        <v>2009</v>
      </c>
      <c r="S721" s="2" t="s">
        <v>5738</v>
      </c>
      <c r="U721" s="2">
        <v>20</v>
      </c>
      <c r="V721" s="2" t="s">
        <v>188</v>
      </c>
    </row>
    <row r="722" spans="1:22">
      <c r="A722" s="2" t="s">
        <v>2136</v>
      </c>
      <c r="B722" s="2" t="s">
        <v>2136</v>
      </c>
      <c r="D722" s="2" t="s">
        <v>2135</v>
      </c>
      <c r="E722" s="2" t="s">
        <v>6528</v>
      </c>
      <c r="F722" s="2">
        <v>1</v>
      </c>
      <c r="G722" s="2">
        <v>0.15</v>
      </c>
      <c r="I722" s="2">
        <v>100</v>
      </c>
      <c r="J722" s="2" t="s">
        <v>188</v>
      </c>
      <c r="M722" s="2">
        <v>0.15</v>
      </c>
      <c r="N722" s="2">
        <v>0.9</v>
      </c>
      <c r="O722" s="2" t="s">
        <v>5737</v>
      </c>
      <c r="Q722" s="2">
        <v>1996</v>
      </c>
      <c r="R722" s="2">
        <v>2018</v>
      </c>
      <c r="S722" s="2" t="s">
        <v>5735</v>
      </c>
      <c r="U722" s="2">
        <v>15</v>
      </c>
      <c r="V722" s="2" t="s">
        <v>187</v>
      </c>
    </row>
    <row r="723" spans="1:22">
      <c r="A723" s="2" t="s">
        <v>1406</v>
      </c>
      <c r="B723" s="2" t="s">
        <v>1406</v>
      </c>
      <c r="D723" s="2" t="s">
        <v>1404</v>
      </c>
      <c r="E723" s="2" t="s">
        <v>6529</v>
      </c>
      <c r="F723" s="2">
        <v>1</v>
      </c>
      <c r="G723" s="2">
        <v>0.7</v>
      </c>
      <c r="H723" s="2">
        <v>0</v>
      </c>
      <c r="I723" s="2">
        <v>700</v>
      </c>
      <c r="J723" s="2" t="s">
        <v>188</v>
      </c>
      <c r="M723" s="2">
        <v>0.7</v>
      </c>
      <c r="N723" s="2">
        <v>4.5</v>
      </c>
      <c r="O723" s="2" t="s">
        <v>5737</v>
      </c>
      <c r="Q723" s="2">
        <v>2003</v>
      </c>
      <c r="R723" s="2">
        <v>2018</v>
      </c>
      <c r="S723" s="2" t="s">
        <v>5735</v>
      </c>
      <c r="U723" s="2">
        <v>20</v>
      </c>
      <c r="V723" s="2" t="s">
        <v>188</v>
      </c>
    </row>
    <row r="724" spans="1:22">
      <c r="A724" s="2" t="s">
        <v>2136</v>
      </c>
      <c r="B724" s="2" t="s">
        <v>2136</v>
      </c>
      <c r="D724" s="2" t="s">
        <v>2135</v>
      </c>
      <c r="E724" s="2" t="s">
        <v>6530</v>
      </c>
      <c r="F724" s="2">
        <v>2</v>
      </c>
      <c r="G724" s="2">
        <v>0.6</v>
      </c>
      <c r="I724" s="2">
        <v>800</v>
      </c>
      <c r="J724" s="2" t="s">
        <v>188</v>
      </c>
      <c r="M724" s="2">
        <v>0.6</v>
      </c>
      <c r="N724" s="2">
        <v>3.9</v>
      </c>
      <c r="O724" s="2" t="s">
        <v>5737</v>
      </c>
      <c r="Q724" s="2">
        <v>2010</v>
      </c>
      <c r="R724" s="2">
        <v>2010</v>
      </c>
      <c r="S724" s="2" t="s">
        <v>5738</v>
      </c>
      <c r="U724" s="2">
        <v>15</v>
      </c>
      <c r="V724" s="2" t="s">
        <v>187</v>
      </c>
    </row>
    <row r="725" spans="1:22">
      <c r="A725" s="2" t="s">
        <v>1406</v>
      </c>
      <c r="B725" s="2" t="s">
        <v>1406</v>
      </c>
      <c r="D725" s="2" t="s">
        <v>1404</v>
      </c>
      <c r="E725" s="2" t="s">
        <v>6531</v>
      </c>
      <c r="F725" s="2">
        <v>2</v>
      </c>
      <c r="G725" s="2">
        <v>0.3</v>
      </c>
      <c r="H725" s="2">
        <v>0</v>
      </c>
      <c r="I725" s="2">
        <v>300</v>
      </c>
      <c r="J725" s="2" t="s">
        <v>188</v>
      </c>
      <c r="M725" s="2">
        <v>0.3</v>
      </c>
      <c r="N725" s="2">
        <v>1.3</v>
      </c>
      <c r="O725" s="2" t="s">
        <v>5737</v>
      </c>
      <c r="Q725" s="2">
        <v>2003</v>
      </c>
      <c r="R725" s="2">
        <v>2018</v>
      </c>
      <c r="S725" s="2" t="s">
        <v>5735</v>
      </c>
      <c r="U725" s="2">
        <v>20</v>
      </c>
      <c r="V725" s="2" t="s">
        <v>188</v>
      </c>
    </row>
    <row r="726" spans="1:22">
      <c r="A726" s="2" t="s">
        <v>2136</v>
      </c>
      <c r="B726" s="2" t="s">
        <v>2136</v>
      </c>
      <c r="D726" s="2" t="s">
        <v>2135</v>
      </c>
      <c r="E726" s="2" t="s">
        <v>6532</v>
      </c>
      <c r="F726" s="2">
        <v>3</v>
      </c>
      <c r="G726" s="2">
        <v>0.6</v>
      </c>
      <c r="I726" s="2">
        <v>800</v>
      </c>
      <c r="J726" s="2" t="s">
        <v>188</v>
      </c>
      <c r="M726" s="2">
        <v>0.6</v>
      </c>
      <c r="N726" s="2">
        <v>3.9</v>
      </c>
      <c r="O726" s="2" t="s">
        <v>5737</v>
      </c>
      <c r="Q726" s="2">
        <v>2010</v>
      </c>
      <c r="R726" s="2">
        <v>2010</v>
      </c>
      <c r="S726" s="2" t="s">
        <v>5735</v>
      </c>
      <c r="U726" s="2">
        <v>15</v>
      </c>
      <c r="V726" s="2" t="s">
        <v>187</v>
      </c>
    </row>
    <row r="727" spans="1:22">
      <c r="A727" s="2" t="s">
        <v>2136</v>
      </c>
      <c r="B727" s="2" t="s">
        <v>2136</v>
      </c>
      <c r="D727" s="2" t="s">
        <v>2135</v>
      </c>
      <c r="E727" s="2" t="s">
        <v>6533</v>
      </c>
      <c r="F727" s="2">
        <v>4</v>
      </c>
      <c r="G727" s="2">
        <v>0.65</v>
      </c>
      <c r="I727" s="2">
        <v>700</v>
      </c>
      <c r="J727" s="2" t="s">
        <v>188</v>
      </c>
      <c r="M727" s="2">
        <v>0.65</v>
      </c>
      <c r="N727" s="2">
        <v>3.3</v>
      </c>
      <c r="O727" s="2" t="s">
        <v>5737</v>
      </c>
      <c r="Q727" s="2">
        <v>2010</v>
      </c>
      <c r="R727" s="2">
        <v>2010</v>
      </c>
      <c r="S727" s="2" t="s">
        <v>5735</v>
      </c>
      <c r="U727" s="2">
        <v>15</v>
      </c>
      <c r="V727" s="2" t="s">
        <v>187</v>
      </c>
    </row>
    <row r="728" spans="1:22">
      <c r="A728" s="2" t="s">
        <v>2125</v>
      </c>
      <c r="B728" s="2" t="s">
        <v>2125</v>
      </c>
      <c r="D728" s="2" t="s">
        <v>2124</v>
      </c>
      <c r="E728" s="2" t="s">
        <v>6534</v>
      </c>
      <c r="F728" s="2">
        <v>2</v>
      </c>
      <c r="G728" s="2">
        <v>0.3</v>
      </c>
      <c r="I728" s="2">
        <v>400</v>
      </c>
      <c r="J728" s="2" t="s">
        <v>187</v>
      </c>
      <c r="K728" s="2" t="s">
        <v>1523</v>
      </c>
      <c r="M728" s="2">
        <v>0</v>
      </c>
      <c r="N728" s="2">
        <v>0</v>
      </c>
      <c r="O728" s="2" t="s">
        <v>5737</v>
      </c>
      <c r="Q728" s="2">
        <v>2025</v>
      </c>
      <c r="R728" s="2">
        <v>2025</v>
      </c>
      <c r="S728" s="2" t="s">
        <v>5738</v>
      </c>
      <c r="U728" s="2">
        <v>15</v>
      </c>
      <c r="V728" s="2" t="s">
        <v>187</v>
      </c>
    </row>
    <row r="729" spans="1:22">
      <c r="A729" s="2" t="s">
        <v>2125</v>
      </c>
      <c r="B729" s="2" t="s">
        <v>2125</v>
      </c>
      <c r="D729" s="2" t="s">
        <v>2124</v>
      </c>
      <c r="E729" s="2" t="s">
        <v>6535</v>
      </c>
      <c r="F729" s="2">
        <v>3</v>
      </c>
      <c r="G729" s="2">
        <v>0.5</v>
      </c>
      <c r="I729" s="2">
        <v>600</v>
      </c>
      <c r="J729" s="2" t="s">
        <v>187</v>
      </c>
      <c r="K729" s="2" t="s">
        <v>1523</v>
      </c>
      <c r="M729" s="2">
        <v>0.5</v>
      </c>
      <c r="N729" s="2">
        <v>1.9</v>
      </c>
      <c r="O729" s="2" t="s">
        <v>5737</v>
      </c>
      <c r="Q729" s="2">
        <v>1998</v>
      </c>
      <c r="R729" s="2">
        <v>2022</v>
      </c>
      <c r="S729" s="2" t="s">
        <v>5735</v>
      </c>
      <c r="U729" s="2">
        <v>15</v>
      </c>
      <c r="V729" s="2" t="s">
        <v>187</v>
      </c>
    </row>
    <row r="730" spans="1:22">
      <c r="A730" s="2" t="s">
        <v>2125</v>
      </c>
      <c r="B730" s="2" t="s">
        <v>2125</v>
      </c>
      <c r="D730" s="2" t="s">
        <v>2124</v>
      </c>
      <c r="E730" s="2" t="s">
        <v>6536</v>
      </c>
      <c r="F730" s="2">
        <v>1</v>
      </c>
      <c r="G730" s="2">
        <v>1</v>
      </c>
      <c r="I730" s="2">
        <v>600</v>
      </c>
      <c r="J730" s="2" t="s">
        <v>187</v>
      </c>
      <c r="K730" s="2" t="s">
        <v>5843</v>
      </c>
      <c r="L730" s="2" t="s">
        <v>5867</v>
      </c>
      <c r="M730" s="2">
        <v>1</v>
      </c>
      <c r="N730" s="2">
        <v>4.0999999999999996</v>
      </c>
      <c r="O730" s="2" t="s">
        <v>5737</v>
      </c>
      <c r="Q730" s="2">
        <v>1998</v>
      </c>
      <c r="R730" s="2">
        <v>1998</v>
      </c>
      <c r="S730" s="2" t="s">
        <v>5738</v>
      </c>
      <c r="U730" s="2">
        <v>15</v>
      </c>
      <c r="V730" s="2" t="s">
        <v>187</v>
      </c>
    </row>
    <row r="731" spans="1:22">
      <c r="A731" s="2" t="s">
        <v>1431</v>
      </c>
      <c r="B731" s="2" t="s">
        <v>1431</v>
      </c>
      <c r="D731" s="2" t="s">
        <v>1430</v>
      </c>
      <c r="E731" s="2" t="s">
        <v>6537</v>
      </c>
      <c r="F731" s="2">
        <v>1</v>
      </c>
      <c r="G731" s="2">
        <v>1</v>
      </c>
      <c r="H731" s="2">
        <v>0</v>
      </c>
      <c r="I731" s="2">
        <v>1000</v>
      </c>
      <c r="J731" s="2" t="s">
        <v>188</v>
      </c>
      <c r="M731" s="2">
        <v>1</v>
      </c>
      <c r="N731" s="2">
        <v>4.5</v>
      </c>
      <c r="O731" s="2" t="s">
        <v>5737</v>
      </c>
      <c r="Q731" s="2">
        <v>1995</v>
      </c>
      <c r="R731" s="2">
        <v>2010</v>
      </c>
      <c r="S731" s="2" t="s">
        <v>5735</v>
      </c>
      <c r="U731" s="2">
        <v>20</v>
      </c>
      <c r="V731" s="2" t="s">
        <v>188</v>
      </c>
    </row>
    <row r="732" spans="1:22">
      <c r="A732" s="2" t="s">
        <v>2115</v>
      </c>
      <c r="B732" s="2" t="s">
        <v>2115</v>
      </c>
      <c r="D732" s="2" t="s">
        <v>2114</v>
      </c>
      <c r="E732" s="2" t="s">
        <v>6538</v>
      </c>
      <c r="F732" s="2">
        <v>1</v>
      </c>
      <c r="G732" s="2">
        <v>0.5</v>
      </c>
      <c r="I732" s="2">
        <v>500</v>
      </c>
      <c r="J732" s="2" t="s">
        <v>188</v>
      </c>
      <c r="M732" s="2">
        <v>0</v>
      </c>
      <c r="N732" s="2">
        <v>0</v>
      </c>
      <c r="O732" s="2" t="s">
        <v>5737</v>
      </c>
      <c r="Q732" s="2">
        <v>1997</v>
      </c>
      <c r="R732" s="2">
        <v>2024</v>
      </c>
      <c r="S732" s="2" t="s">
        <v>5735</v>
      </c>
      <c r="U732" s="2">
        <v>15</v>
      </c>
      <c r="V732" s="2" t="s">
        <v>188</v>
      </c>
    </row>
    <row r="733" spans="1:22">
      <c r="A733" s="2" t="s">
        <v>2084</v>
      </c>
      <c r="B733" s="2" t="s">
        <v>2084</v>
      </c>
      <c r="D733" s="2" t="s">
        <v>2083</v>
      </c>
      <c r="E733" s="2" t="s">
        <v>6539</v>
      </c>
      <c r="F733" s="2">
        <v>2</v>
      </c>
      <c r="G733" s="2">
        <v>0.5</v>
      </c>
      <c r="I733" s="2">
        <v>550</v>
      </c>
      <c r="J733" s="2" t="s">
        <v>187</v>
      </c>
      <c r="K733" s="2" t="s">
        <v>308</v>
      </c>
      <c r="M733" s="2">
        <v>0</v>
      </c>
      <c r="N733" s="2">
        <v>0</v>
      </c>
      <c r="O733" s="2" t="s">
        <v>5737</v>
      </c>
      <c r="Q733" s="2">
        <v>2024</v>
      </c>
      <c r="R733" s="2">
        <v>2024</v>
      </c>
      <c r="S733" s="2" t="s">
        <v>5738</v>
      </c>
      <c r="U733" s="2">
        <v>15</v>
      </c>
      <c r="V733" s="2" t="s">
        <v>187</v>
      </c>
    </row>
    <row r="734" spans="1:22">
      <c r="A734" s="2" t="s">
        <v>2084</v>
      </c>
      <c r="B734" s="2" t="s">
        <v>2084</v>
      </c>
      <c r="D734" s="2" t="s">
        <v>2083</v>
      </c>
      <c r="E734" s="2" t="s">
        <v>6540</v>
      </c>
      <c r="F734" s="2">
        <v>4</v>
      </c>
      <c r="G734" s="2">
        <v>1.5</v>
      </c>
      <c r="I734" s="2">
        <v>3000</v>
      </c>
      <c r="J734" s="2" t="s">
        <v>188</v>
      </c>
      <c r="M734" s="2">
        <v>0</v>
      </c>
      <c r="N734" s="2">
        <v>0</v>
      </c>
      <c r="O734" s="2" t="s">
        <v>5737</v>
      </c>
      <c r="Q734" s="2">
        <v>2024</v>
      </c>
      <c r="R734" s="2">
        <v>2024</v>
      </c>
      <c r="S734" s="2" t="s">
        <v>5738</v>
      </c>
      <c r="U734" s="2">
        <v>15</v>
      </c>
      <c r="V734" s="2" t="s">
        <v>187</v>
      </c>
    </row>
    <row r="735" spans="1:22">
      <c r="A735" s="2" t="s">
        <v>2084</v>
      </c>
      <c r="B735" s="2" t="s">
        <v>2084</v>
      </c>
      <c r="D735" s="2" t="s">
        <v>2083</v>
      </c>
      <c r="E735" s="2" t="s">
        <v>6541</v>
      </c>
      <c r="F735" s="2">
        <v>1</v>
      </c>
      <c r="G735" s="2">
        <v>0.5</v>
      </c>
      <c r="I735" s="2">
        <v>550</v>
      </c>
      <c r="J735" s="2" t="s">
        <v>187</v>
      </c>
      <c r="K735" s="2" t="s">
        <v>5766</v>
      </c>
      <c r="L735" s="2" t="s">
        <v>5867</v>
      </c>
      <c r="M735" s="2">
        <v>0.6</v>
      </c>
      <c r="N735" s="2">
        <v>2.2000000000000002</v>
      </c>
      <c r="O735" s="2" t="s">
        <v>5737</v>
      </c>
      <c r="Q735" s="2">
        <v>2015</v>
      </c>
      <c r="R735" s="2">
        <v>2015</v>
      </c>
      <c r="S735" s="2" t="s">
        <v>5735</v>
      </c>
      <c r="U735" s="2">
        <v>15</v>
      </c>
      <c r="V735" s="2" t="s">
        <v>187</v>
      </c>
    </row>
    <row r="736" spans="1:22">
      <c r="A736" s="2" t="s">
        <v>2084</v>
      </c>
      <c r="B736" s="2" t="s">
        <v>2084</v>
      </c>
      <c r="D736" s="2" t="s">
        <v>2083</v>
      </c>
      <c r="E736" s="2" t="s">
        <v>6542</v>
      </c>
      <c r="F736" s="2">
        <v>3</v>
      </c>
      <c r="G736" s="2">
        <v>0.5</v>
      </c>
      <c r="I736" s="2">
        <v>550</v>
      </c>
      <c r="J736" s="2" t="s">
        <v>188</v>
      </c>
      <c r="M736" s="2">
        <v>0</v>
      </c>
      <c r="N736" s="2">
        <v>0</v>
      </c>
      <c r="O736" s="2" t="s">
        <v>5737</v>
      </c>
      <c r="Q736" s="2">
        <v>2024</v>
      </c>
      <c r="R736" s="2">
        <v>2024</v>
      </c>
      <c r="S736" s="2" t="s">
        <v>5738</v>
      </c>
      <c r="U736" s="2">
        <v>15</v>
      </c>
      <c r="V736" s="2" t="s">
        <v>187</v>
      </c>
    </row>
    <row r="737" spans="1:22">
      <c r="A737" s="2" t="s">
        <v>2084</v>
      </c>
      <c r="B737" s="2" t="s">
        <v>2084</v>
      </c>
      <c r="D737" s="2" t="s">
        <v>2083</v>
      </c>
      <c r="E737" s="2" t="s">
        <v>6543</v>
      </c>
      <c r="F737" s="2">
        <v>5</v>
      </c>
      <c r="G737" s="2">
        <v>1</v>
      </c>
      <c r="I737" s="2">
        <v>1080</v>
      </c>
      <c r="J737" s="2" t="s">
        <v>188</v>
      </c>
      <c r="M737" s="2">
        <v>1</v>
      </c>
      <c r="N737" s="2">
        <v>4.4000000000000004</v>
      </c>
      <c r="O737" s="2" t="s">
        <v>5903</v>
      </c>
      <c r="Q737" s="2">
        <v>2016</v>
      </c>
      <c r="R737" s="2">
        <v>2016</v>
      </c>
      <c r="S737" s="2" t="s">
        <v>5735</v>
      </c>
      <c r="U737" s="2">
        <v>15</v>
      </c>
      <c r="V737" s="2" t="s">
        <v>187</v>
      </c>
    </row>
    <row r="738" spans="1:22">
      <c r="A738" s="2" t="s">
        <v>1445</v>
      </c>
      <c r="B738" s="2" t="s">
        <v>1446</v>
      </c>
      <c r="D738" s="2" t="s">
        <v>1443</v>
      </c>
      <c r="E738" s="2" t="s">
        <v>6544</v>
      </c>
      <c r="F738" s="2">
        <v>1</v>
      </c>
      <c r="G738" s="2">
        <v>1.5</v>
      </c>
      <c r="H738" s="2">
        <v>0</v>
      </c>
      <c r="I738" s="2">
        <v>1300</v>
      </c>
      <c r="J738" s="2" t="s">
        <v>187</v>
      </c>
      <c r="K738" s="2" t="s">
        <v>308</v>
      </c>
      <c r="M738" s="2">
        <v>1.5</v>
      </c>
      <c r="N738" s="2">
        <v>7</v>
      </c>
      <c r="O738" s="2" t="s">
        <v>5737</v>
      </c>
      <c r="Q738" s="2">
        <v>1995</v>
      </c>
      <c r="R738" s="2">
        <v>1995</v>
      </c>
      <c r="S738" s="2" t="s">
        <v>5738</v>
      </c>
      <c r="U738" s="2">
        <v>30</v>
      </c>
      <c r="V738" s="2" t="s">
        <v>188</v>
      </c>
    </row>
    <row r="739" spans="1:22">
      <c r="A739" s="2" t="s">
        <v>2074</v>
      </c>
      <c r="B739" s="2" t="s">
        <v>2074</v>
      </c>
      <c r="D739" s="2" t="s">
        <v>2073</v>
      </c>
      <c r="E739" s="2" t="s">
        <v>6545</v>
      </c>
      <c r="F739" s="2">
        <v>1</v>
      </c>
      <c r="G739" s="2">
        <v>0.3</v>
      </c>
      <c r="I739" s="2">
        <v>600</v>
      </c>
      <c r="J739" s="2" t="s">
        <v>188</v>
      </c>
      <c r="M739" s="2">
        <v>0.3</v>
      </c>
      <c r="N739" s="2">
        <v>2.6</v>
      </c>
      <c r="O739" s="2" t="s">
        <v>5737</v>
      </c>
      <c r="Q739" s="2">
        <v>1996</v>
      </c>
      <c r="R739" s="2">
        <v>1996</v>
      </c>
      <c r="S739" s="2" t="s">
        <v>5738</v>
      </c>
      <c r="U739" s="2">
        <v>15</v>
      </c>
      <c r="V739" s="2" t="s">
        <v>188</v>
      </c>
    </row>
    <row r="740" spans="1:22">
      <c r="A740" s="2" t="s">
        <v>2013</v>
      </c>
      <c r="B740" s="2" t="s">
        <v>1856</v>
      </c>
      <c r="D740" s="2" t="s">
        <v>2011</v>
      </c>
      <c r="E740" s="2" t="s">
        <v>6546</v>
      </c>
      <c r="F740" s="2">
        <v>4</v>
      </c>
      <c r="G740" s="2">
        <v>0.7</v>
      </c>
      <c r="I740" s="2">
        <v>650</v>
      </c>
      <c r="J740" s="2" t="s">
        <v>188</v>
      </c>
      <c r="M740" s="2">
        <v>0.7</v>
      </c>
      <c r="N740" s="2">
        <v>3.6</v>
      </c>
      <c r="O740" s="2" t="s">
        <v>5737</v>
      </c>
      <c r="S740" s="2" t="s">
        <v>5735</v>
      </c>
      <c r="U740" s="2">
        <v>15</v>
      </c>
      <c r="V740" s="2" t="s">
        <v>187</v>
      </c>
    </row>
    <row r="741" spans="1:22">
      <c r="A741" s="2" t="s">
        <v>2013</v>
      </c>
      <c r="B741" s="2" t="s">
        <v>1856</v>
      </c>
      <c r="D741" s="2" t="s">
        <v>2011</v>
      </c>
      <c r="E741" s="2" t="s">
        <v>6547</v>
      </c>
      <c r="F741" s="2">
        <v>3</v>
      </c>
      <c r="G741" s="2">
        <v>0.52</v>
      </c>
      <c r="I741" s="2">
        <v>500</v>
      </c>
      <c r="J741" s="2" t="s">
        <v>188</v>
      </c>
      <c r="M741" s="2">
        <v>0.52</v>
      </c>
      <c r="N741" s="2">
        <v>2.4</v>
      </c>
      <c r="O741" s="2" t="s">
        <v>5737</v>
      </c>
      <c r="Q741" s="2">
        <v>1999</v>
      </c>
      <c r="R741" s="2">
        <v>1999</v>
      </c>
      <c r="S741" s="2" t="s">
        <v>5735</v>
      </c>
      <c r="U741" s="2">
        <v>10</v>
      </c>
      <c r="V741" s="2" t="s">
        <v>187</v>
      </c>
    </row>
    <row r="742" spans="1:22">
      <c r="A742" s="2" t="s">
        <v>2013</v>
      </c>
      <c r="B742" s="2" t="s">
        <v>1856</v>
      </c>
      <c r="D742" s="2" t="s">
        <v>2011</v>
      </c>
      <c r="E742" s="2" t="s">
        <v>6548</v>
      </c>
      <c r="F742" s="2">
        <v>2</v>
      </c>
      <c r="G742" s="2">
        <v>0.86</v>
      </c>
      <c r="I742" s="2">
        <v>900</v>
      </c>
      <c r="J742" s="2" t="s">
        <v>188</v>
      </c>
      <c r="M742" s="2">
        <v>0.86</v>
      </c>
      <c r="N742" s="2">
        <v>4.3</v>
      </c>
      <c r="O742" s="2" t="s">
        <v>5737</v>
      </c>
      <c r="Q742" s="2">
        <v>1999</v>
      </c>
      <c r="R742" s="2">
        <v>1999</v>
      </c>
      <c r="U742" s="2">
        <v>10</v>
      </c>
      <c r="V742" s="2" t="s">
        <v>187</v>
      </c>
    </row>
    <row r="743" spans="1:22">
      <c r="A743" s="2" t="s">
        <v>2013</v>
      </c>
      <c r="B743" s="2" t="s">
        <v>1856</v>
      </c>
      <c r="D743" s="2" t="s">
        <v>2011</v>
      </c>
      <c r="E743" s="2" t="s">
        <v>6549</v>
      </c>
      <c r="F743" s="2">
        <v>1</v>
      </c>
      <c r="G743" s="2">
        <v>0.6</v>
      </c>
      <c r="I743" s="2">
        <v>600</v>
      </c>
      <c r="J743" s="2" t="s">
        <v>188</v>
      </c>
      <c r="M743" s="2">
        <v>0.6</v>
      </c>
      <c r="N743" s="2">
        <v>2</v>
      </c>
      <c r="O743" s="2" t="s">
        <v>5737</v>
      </c>
      <c r="Q743" s="2">
        <v>1995</v>
      </c>
      <c r="R743" s="2">
        <v>1995</v>
      </c>
      <c r="S743" s="2" t="s">
        <v>5735</v>
      </c>
      <c r="U743" s="2">
        <v>15</v>
      </c>
      <c r="V743" s="2" t="s">
        <v>187</v>
      </c>
    </row>
    <row r="744" spans="1:22">
      <c r="A744" s="2" t="s">
        <v>1507</v>
      </c>
      <c r="B744" s="2" t="s">
        <v>1507</v>
      </c>
      <c r="D744" s="2" t="s">
        <v>1505</v>
      </c>
      <c r="E744" s="2" t="s">
        <v>6550</v>
      </c>
      <c r="F744" s="2">
        <v>1</v>
      </c>
      <c r="G744" s="2">
        <v>1.2</v>
      </c>
      <c r="H744" s="2">
        <v>0</v>
      </c>
      <c r="I744" s="2">
        <v>1200</v>
      </c>
      <c r="J744" s="2" t="s">
        <v>187</v>
      </c>
      <c r="K744" s="2" t="s">
        <v>1523</v>
      </c>
      <c r="M744" s="2">
        <v>1.2</v>
      </c>
      <c r="N744" s="2">
        <v>5.3</v>
      </c>
      <c r="O744" s="2" t="s">
        <v>5737</v>
      </c>
      <c r="Q744" s="2">
        <v>1995</v>
      </c>
      <c r="R744" s="2">
        <v>1995</v>
      </c>
      <c r="S744" s="2" t="s">
        <v>5738</v>
      </c>
      <c r="U744" s="2">
        <v>8</v>
      </c>
      <c r="V744" s="2" t="s">
        <v>188</v>
      </c>
    </row>
    <row r="745" spans="1:22">
      <c r="A745" s="2" t="s">
        <v>2002</v>
      </c>
      <c r="B745" s="2" t="s">
        <v>2003</v>
      </c>
      <c r="D745" s="2" t="s">
        <v>2000</v>
      </c>
      <c r="E745" s="2" t="s">
        <v>6551</v>
      </c>
      <c r="F745" s="2">
        <v>1</v>
      </c>
      <c r="G745" s="2">
        <v>0.7</v>
      </c>
      <c r="I745" s="2">
        <v>700</v>
      </c>
      <c r="J745" s="2" t="s">
        <v>188</v>
      </c>
      <c r="M745" s="2">
        <v>0.7</v>
      </c>
      <c r="N745" s="2">
        <v>2.7</v>
      </c>
      <c r="O745" s="2" t="s">
        <v>5737</v>
      </c>
      <c r="Q745" s="2">
        <v>1995</v>
      </c>
      <c r="R745" s="2">
        <v>1995</v>
      </c>
      <c r="S745" s="2" t="s">
        <v>5735</v>
      </c>
      <c r="U745" s="2">
        <v>15</v>
      </c>
      <c r="V745" s="2" t="s">
        <v>187</v>
      </c>
    </row>
    <row r="746" spans="1:22">
      <c r="A746" s="2" t="s">
        <v>506</v>
      </c>
      <c r="B746" s="2" t="s">
        <v>506</v>
      </c>
      <c r="D746" s="2" t="s">
        <v>503</v>
      </c>
      <c r="E746" s="2" t="s">
        <v>6552</v>
      </c>
      <c r="F746" s="2">
        <v>1</v>
      </c>
      <c r="G746" s="2">
        <v>0.5</v>
      </c>
      <c r="H746" s="2">
        <v>0</v>
      </c>
      <c r="I746" s="2">
        <v>550</v>
      </c>
      <c r="J746" s="2" t="s">
        <v>188</v>
      </c>
      <c r="M746" s="2">
        <v>0.5</v>
      </c>
      <c r="N746" s="2">
        <v>1.5</v>
      </c>
      <c r="O746" s="2" t="s">
        <v>5734</v>
      </c>
      <c r="Q746" s="2">
        <v>2012</v>
      </c>
      <c r="R746" s="2">
        <v>2012</v>
      </c>
      <c r="S746" s="2" t="s">
        <v>5742</v>
      </c>
      <c r="T746" s="2" t="s">
        <v>6553</v>
      </c>
      <c r="U746" s="2">
        <v>20</v>
      </c>
      <c r="V746" s="2" t="s">
        <v>187</v>
      </c>
    </row>
    <row r="747" spans="1:22">
      <c r="A747" s="2" t="s">
        <v>506</v>
      </c>
      <c r="B747" s="2" t="s">
        <v>506</v>
      </c>
      <c r="D747" s="2" t="s">
        <v>503</v>
      </c>
      <c r="E747" s="2" t="s">
        <v>6554</v>
      </c>
      <c r="F747" s="2">
        <v>2</v>
      </c>
      <c r="G747" s="2">
        <v>0.5</v>
      </c>
      <c r="H747" s="2">
        <v>0</v>
      </c>
      <c r="I747" s="2">
        <v>550</v>
      </c>
      <c r="J747" s="2" t="s">
        <v>188</v>
      </c>
      <c r="M747" s="2">
        <v>0.5</v>
      </c>
      <c r="N747" s="2">
        <v>1.5</v>
      </c>
      <c r="O747" s="2" t="s">
        <v>5734</v>
      </c>
      <c r="Q747" s="2">
        <v>2013</v>
      </c>
      <c r="R747" s="2">
        <v>2013</v>
      </c>
      <c r="S747" s="2" t="s">
        <v>5738</v>
      </c>
      <c r="U747" s="2">
        <v>20</v>
      </c>
      <c r="V747" s="2" t="s">
        <v>187</v>
      </c>
    </row>
    <row r="748" spans="1:22">
      <c r="A748" s="2" t="s">
        <v>2002</v>
      </c>
      <c r="B748" s="2" t="s">
        <v>2003</v>
      </c>
      <c r="D748" s="2" t="s">
        <v>2000</v>
      </c>
      <c r="E748" s="2" t="s">
        <v>6555</v>
      </c>
      <c r="F748" s="2">
        <v>3</v>
      </c>
      <c r="G748" s="2">
        <v>0.5</v>
      </c>
      <c r="I748" s="2">
        <v>500</v>
      </c>
      <c r="J748" s="2" t="s">
        <v>188</v>
      </c>
      <c r="M748" s="2">
        <v>0.5</v>
      </c>
      <c r="N748" s="2">
        <v>1.9</v>
      </c>
      <c r="O748" s="2" t="s">
        <v>5737</v>
      </c>
      <c r="Q748" s="2">
        <v>1998</v>
      </c>
      <c r="S748" s="2" t="s">
        <v>5735</v>
      </c>
      <c r="U748" s="2">
        <v>15</v>
      </c>
      <c r="V748" s="2" t="s">
        <v>187</v>
      </c>
    </row>
    <row r="749" spans="1:22">
      <c r="A749" s="2" t="s">
        <v>2002</v>
      </c>
      <c r="B749" s="2" t="s">
        <v>2003</v>
      </c>
      <c r="D749" s="2" t="s">
        <v>2000</v>
      </c>
      <c r="E749" s="2" t="s">
        <v>6556</v>
      </c>
      <c r="F749" s="2">
        <v>4</v>
      </c>
      <c r="G749" s="2">
        <v>0.5</v>
      </c>
      <c r="I749" s="2">
        <v>500</v>
      </c>
      <c r="J749" s="2" t="s">
        <v>188</v>
      </c>
      <c r="M749" s="2">
        <v>0.5</v>
      </c>
      <c r="N749" s="2">
        <v>1.9</v>
      </c>
      <c r="O749" s="2" t="s">
        <v>5737</v>
      </c>
      <c r="Q749" s="2">
        <v>1999</v>
      </c>
      <c r="R749" s="2">
        <v>1999</v>
      </c>
      <c r="S749" s="2" t="s">
        <v>5735</v>
      </c>
      <c r="U749" s="2">
        <v>15</v>
      </c>
      <c r="V749" s="2" t="s">
        <v>187</v>
      </c>
    </row>
    <row r="750" spans="1:22">
      <c r="A750" s="2" t="s">
        <v>2002</v>
      </c>
      <c r="B750" s="2" t="s">
        <v>2003</v>
      </c>
      <c r="D750" s="2" t="s">
        <v>2000</v>
      </c>
      <c r="E750" s="2" t="s">
        <v>6557</v>
      </c>
      <c r="F750" s="2">
        <v>5</v>
      </c>
      <c r="G750" s="2">
        <v>0.5</v>
      </c>
      <c r="I750" s="2">
        <v>500</v>
      </c>
      <c r="J750" s="2" t="s">
        <v>188</v>
      </c>
      <c r="M750" s="2">
        <v>0.5</v>
      </c>
      <c r="N750" s="2">
        <v>1.9</v>
      </c>
      <c r="O750" s="2" t="s">
        <v>5737</v>
      </c>
      <c r="Q750" s="2">
        <v>1999</v>
      </c>
      <c r="R750" s="2">
        <v>1999</v>
      </c>
      <c r="S750" s="2" t="s">
        <v>5735</v>
      </c>
      <c r="U750" s="2">
        <v>15</v>
      </c>
      <c r="V750" s="2" t="s">
        <v>187</v>
      </c>
    </row>
    <row r="751" spans="1:22">
      <c r="A751" s="2" t="s">
        <v>2002</v>
      </c>
      <c r="B751" s="2" t="s">
        <v>2003</v>
      </c>
      <c r="D751" s="2" t="s">
        <v>2000</v>
      </c>
      <c r="E751" s="2" t="s">
        <v>6558</v>
      </c>
      <c r="F751" s="2">
        <v>2</v>
      </c>
      <c r="G751" s="2">
        <v>0.9</v>
      </c>
      <c r="I751" s="2">
        <v>1000</v>
      </c>
      <c r="J751" s="2" t="s">
        <v>188</v>
      </c>
      <c r="M751" s="2">
        <v>0.9</v>
      </c>
      <c r="N751" s="2">
        <v>3.6</v>
      </c>
      <c r="O751" s="2" t="s">
        <v>5737</v>
      </c>
      <c r="Q751" s="2">
        <v>1999</v>
      </c>
      <c r="R751" s="2">
        <v>1999</v>
      </c>
      <c r="S751" s="2" t="s">
        <v>5735</v>
      </c>
      <c r="U751" s="2">
        <v>15</v>
      </c>
      <c r="V751" s="2" t="s">
        <v>187</v>
      </c>
    </row>
    <row r="752" spans="1:22">
      <c r="A752" s="2" t="s">
        <v>2034</v>
      </c>
      <c r="B752" s="2" t="s">
        <v>2035</v>
      </c>
      <c r="D752" s="2" t="s">
        <v>2033</v>
      </c>
      <c r="E752" s="2" t="s">
        <v>6559</v>
      </c>
      <c r="F752" s="2">
        <v>1</v>
      </c>
      <c r="G752" s="2">
        <v>0.82</v>
      </c>
      <c r="I752" s="2">
        <v>800</v>
      </c>
      <c r="J752" s="2" t="s">
        <v>188</v>
      </c>
      <c r="M752" s="2">
        <v>0.82</v>
      </c>
      <c r="N752" s="2">
        <v>1.5</v>
      </c>
      <c r="O752" s="2" t="s">
        <v>5737</v>
      </c>
      <c r="Q752" s="2">
        <v>2010</v>
      </c>
      <c r="R752" s="2">
        <v>2023</v>
      </c>
      <c r="S752" s="2" t="s">
        <v>5735</v>
      </c>
      <c r="U752" s="2">
        <v>15</v>
      </c>
      <c r="V752" s="2" t="s">
        <v>187</v>
      </c>
    </row>
    <row r="753" spans="1:22">
      <c r="A753" s="2" t="s">
        <v>2034</v>
      </c>
      <c r="B753" s="2" t="s">
        <v>2035</v>
      </c>
      <c r="D753" s="2" t="s">
        <v>2033</v>
      </c>
      <c r="E753" s="2" t="s">
        <v>6560</v>
      </c>
      <c r="F753" s="2">
        <v>2</v>
      </c>
      <c r="G753" s="2">
        <v>0.68</v>
      </c>
      <c r="I753" s="2">
        <v>700</v>
      </c>
      <c r="J753" s="2" t="s">
        <v>188</v>
      </c>
      <c r="M753" s="2">
        <v>0.68</v>
      </c>
      <c r="N753" s="2">
        <v>3.9</v>
      </c>
      <c r="O753" s="2" t="s">
        <v>5737</v>
      </c>
      <c r="Q753" s="2">
        <v>2010</v>
      </c>
      <c r="R753" s="2">
        <v>2010</v>
      </c>
      <c r="S753" s="2" t="s">
        <v>5735</v>
      </c>
      <c r="U753" s="2">
        <v>15</v>
      </c>
      <c r="V753" s="2" t="s">
        <v>187</v>
      </c>
    </row>
    <row r="754" spans="1:22">
      <c r="A754" s="2" t="s">
        <v>2555</v>
      </c>
      <c r="B754" s="2" t="s">
        <v>2556</v>
      </c>
      <c r="D754" s="2" t="s">
        <v>2554</v>
      </c>
      <c r="E754" s="2" t="s">
        <v>6561</v>
      </c>
      <c r="F754" s="2">
        <v>1</v>
      </c>
      <c r="G754" s="2">
        <v>0.8</v>
      </c>
      <c r="I754" s="2">
        <v>800</v>
      </c>
      <c r="J754" s="2" t="s">
        <v>188</v>
      </c>
      <c r="M754" s="2">
        <v>0.8</v>
      </c>
      <c r="N754" s="2">
        <v>0.4</v>
      </c>
      <c r="O754" s="2" t="s">
        <v>5734</v>
      </c>
      <c r="Q754" s="2">
        <v>2004</v>
      </c>
      <c r="R754" s="2">
        <v>2004</v>
      </c>
      <c r="S754" s="2" t="s">
        <v>5771</v>
      </c>
      <c r="U754" s="2">
        <v>15</v>
      </c>
      <c r="V754" s="2" t="s">
        <v>188</v>
      </c>
    </row>
    <row r="755" spans="1:22">
      <c r="A755" s="2" t="s">
        <v>2529</v>
      </c>
      <c r="B755" s="2" t="s">
        <v>2529</v>
      </c>
      <c r="D755" s="2" t="s">
        <v>2528</v>
      </c>
      <c r="E755" s="2" t="s">
        <v>6562</v>
      </c>
      <c r="F755" s="2">
        <v>4</v>
      </c>
      <c r="G755" s="2">
        <v>0.4</v>
      </c>
      <c r="I755" s="2">
        <v>600</v>
      </c>
      <c r="J755" s="2" t="s">
        <v>188</v>
      </c>
      <c r="M755" s="2">
        <v>0.4</v>
      </c>
      <c r="N755" s="2">
        <v>0.6</v>
      </c>
      <c r="O755" s="2" t="s">
        <v>5734</v>
      </c>
      <c r="Q755" s="2">
        <v>2006</v>
      </c>
      <c r="R755" s="2">
        <v>2023</v>
      </c>
      <c r="S755" s="2" t="s">
        <v>5735</v>
      </c>
      <c r="U755" s="2">
        <v>10</v>
      </c>
      <c r="V755" s="2" t="s">
        <v>188</v>
      </c>
    </row>
    <row r="756" spans="1:22">
      <c r="A756" s="2" t="s">
        <v>2529</v>
      </c>
      <c r="B756" s="2" t="s">
        <v>2529</v>
      </c>
      <c r="D756" s="2" t="s">
        <v>2528</v>
      </c>
      <c r="E756" s="2" t="s">
        <v>6563</v>
      </c>
      <c r="F756" s="2">
        <v>3</v>
      </c>
      <c r="G756" s="2">
        <v>0.4</v>
      </c>
      <c r="I756" s="2">
        <v>400</v>
      </c>
      <c r="J756" s="2" t="s">
        <v>188</v>
      </c>
      <c r="M756" s="2">
        <v>0.4</v>
      </c>
      <c r="N756" s="2">
        <v>0.6</v>
      </c>
      <c r="O756" s="2" t="s">
        <v>5734</v>
      </c>
      <c r="Q756" s="2">
        <v>2006</v>
      </c>
      <c r="R756" s="2">
        <v>2006</v>
      </c>
      <c r="S756" s="2" t="s">
        <v>5738</v>
      </c>
      <c r="U756" s="2">
        <v>12</v>
      </c>
      <c r="V756" s="2" t="s">
        <v>188</v>
      </c>
    </row>
    <row r="757" spans="1:22">
      <c r="A757" s="2" t="s">
        <v>2529</v>
      </c>
      <c r="B757" s="2" t="s">
        <v>2529</v>
      </c>
      <c r="D757" s="2" t="s">
        <v>2528</v>
      </c>
      <c r="E757" s="2" t="s">
        <v>6564</v>
      </c>
      <c r="F757" s="2">
        <v>1</v>
      </c>
      <c r="G757" s="2">
        <v>0.3</v>
      </c>
      <c r="I757" s="2">
        <v>300</v>
      </c>
      <c r="J757" s="2" t="s">
        <v>188</v>
      </c>
      <c r="M757" s="2">
        <v>0.3</v>
      </c>
      <c r="N757" s="2">
        <v>0.3</v>
      </c>
      <c r="O757" s="2" t="s">
        <v>5734</v>
      </c>
      <c r="Q757" s="2">
        <v>2006</v>
      </c>
      <c r="R757" s="2">
        <v>2006</v>
      </c>
      <c r="S757" s="2" t="s">
        <v>5738</v>
      </c>
      <c r="U757" s="2">
        <v>10</v>
      </c>
      <c r="V757" s="2" t="s">
        <v>188</v>
      </c>
    </row>
    <row r="758" spans="1:22">
      <c r="A758" s="2" t="s">
        <v>2529</v>
      </c>
      <c r="B758" s="2" t="s">
        <v>2529</v>
      </c>
      <c r="D758" s="2" t="s">
        <v>2528</v>
      </c>
      <c r="E758" s="2" t="s">
        <v>6565</v>
      </c>
      <c r="F758" s="2">
        <v>2</v>
      </c>
      <c r="G758" s="2">
        <v>0.4</v>
      </c>
      <c r="I758" s="2">
        <v>700</v>
      </c>
      <c r="J758" s="2" t="s">
        <v>188</v>
      </c>
      <c r="M758" s="2">
        <v>0.7</v>
      </c>
      <c r="N758" s="2">
        <v>1</v>
      </c>
      <c r="O758" s="2" t="s">
        <v>5734</v>
      </c>
      <c r="Q758" s="2">
        <v>2006</v>
      </c>
      <c r="R758" s="2">
        <v>2006</v>
      </c>
      <c r="S758" s="2" t="s">
        <v>5738</v>
      </c>
      <c r="U758" s="2">
        <v>12</v>
      </c>
      <c r="V758" s="2" t="s">
        <v>188</v>
      </c>
    </row>
    <row r="759" spans="1:22">
      <c r="A759" s="2" t="s">
        <v>1522</v>
      </c>
      <c r="B759" s="2" t="s">
        <v>1522</v>
      </c>
      <c r="D759" s="2" t="s">
        <v>1520</v>
      </c>
      <c r="E759" s="2" t="s">
        <v>6566</v>
      </c>
      <c r="F759" s="2">
        <v>1</v>
      </c>
      <c r="G759" s="2">
        <v>1</v>
      </c>
      <c r="H759" s="2">
        <v>0</v>
      </c>
      <c r="I759" s="2">
        <v>1000</v>
      </c>
      <c r="J759" s="2" t="s">
        <v>187</v>
      </c>
      <c r="K759" s="2" t="s">
        <v>6488</v>
      </c>
      <c r="M759" s="2">
        <v>1</v>
      </c>
      <c r="N759" s="2">
        <v>5.8</v>
      </c>
      <c r="O759" s="2" t="s">
        <v>5737</v>
      </c>
      <c r="Q759" s="2">
        <v>1996</v>
      </c>
      <c r="R759" s="2">
        <v>1996</v>
      </c>
      <c r="S759" s="2" t="s">
        <v>6567</v>
      </c>
      <c r="U759" s="2">
        <v>20</v>
      </c>
      <c r="V759" s="2" t="s">
        <v>188</v>
      </c>
    </row>
    <row r="760" spans="1:22">
      <c r="A760" s="2" t="s">
        <v>2456</v>
      </c>
      <c r="B760" s="2" t="s">
        <v>1693</v>
      </c>
      <c r="D760" s="2" t="s">
        <v>2455</v>
      </c>
      <c r="E760" s="2" t="s">
        <v>6568</v>
      </c>
      <c r="F760" s="2">
        <v>1</v>
      </c>
      <c r="G760" s="2">
        <v>0.7</v>
      </c>
      <c r="I760" s="2">
        <v>700</v>
      </c>
      <c r="J760" s="2" t="s">
        <v>188</v>
      </c>
      <c r="M760" s="2">
        <v>0.7</v>
      </c>
      <c r="N760" s="2">
        <v>3.8</v>
      </c>
      <c r="O760" s="2" t="s">
        <v>5737</v>
      </c>
      <c r="Q760" s="2">
        <v>2005</v>
      </c>
      <c r="R760" s="2">
        <v>2005</v>
      </c>
      <c r="S760" s="2" t="s">
        <v>5771</v>
      </c>
      <c r="U760" s="2">
        <v>20</v>
      </c>
      <c r="V760" s="2" t="s">
        <v>188</v>
      </c>
    </row>
    <row r="761" spans="1:22">
      <c r="A761" s="2" t="s">
        <v>548</v>
      </c>
      <c r="B761" s="2" t="s">
        <v>549</v>
      </c>
      <c r="D761" s="2" t="s">
        <v>546</v>
      </c>
      <c r="E761" s="2" t="s">
        <v>6569</v>
      </c>
      <c r="F761" s="2">
        <v>3</v>
      </c>
      <c r="G761" s="2">
        <v>0.7</v>
      </c>
      <c r="H761" s="2">
        <v>0</v>
      </c>
      <c r="I761" s="2">
        <v>770</v>
      </c>
      <c r="J761" s="2" t="s">
        <v>188</v>
      </c>
      <c r="M761" s="2">
        <v>0.7</v>
      </c>
      <c r="N761" s="2">
        <v>3</v>
      </c>
      <c r="O761" s="2" t="s">
        <v>5737</v>
      </c>
      <c r="Q761" s="2">
        <v>2020</v>
      </c>
      <c r="R761" s="2">
        <v>2020</v>
      </c>
      <c r="S761" s="2" t="s">
        <v>5735</v>
      </c>
      <c r="U761" s="2">
        <v>20</v>
      </c>
      <c r="V761" s="2" t="s">
        <v>187</v>
      </c>
    </row>
    <row r="762" spans="1:22">
      <c r="A762" s="2" t="s">
        <v>548</v>
      </c>
      <c r="B762" s="2" t="s">
        <v>549</v>
      </c>
      <c r="D762" s="2" t="s">
        <v>546</v>
      </c>
      <c r="E762" s="2" t="s">
        <v>6570</v>
      </c>
      <c r="F762" s="2">
        <v>2</v>
      </c>
      <c r="G762" s="2">
        <v>0.2</v>
      </c>
      <c r="H762" s="2">
        <v>0</v>
      </c>
      <c r="I762" s="2">
        <v>220</v>
      </c>
      <c r="J762" s="2" t="s">
        <v>188</v>
      </c>
      <c r="M762" s="2">
        <v>0.2</v>
      </c>
      <c r="N762" s="2">
        <v>0.7</v>
      </c>
      <c r="O762" s="2" t="s">
        <v>5737</v>
      </c>
      <c r="Q762" s="2">
        <v>2019</v>
      </c>
      <c r="R762" s="2">
        <v>2019</v>
      </c>
      <c r="S762" s="2" t="s">
        <v>5742</v>
      </c>
      <c r="U762" s="2">
        <v>20</v>
      </c>
      <c r="V762" s="2" t="s">
        <v>187</v>
      </c>
    </row>
    <row r="763" spans="1:22">
      <c r="A763" s="2" t="s">
        <v>548</v>
      </c>
      <c r="B763" s="2" t="s">
        <v>549</v>
      </c>
      <c r="D763" s="2" t="s">
        <v>546</v>
      </c>
      <c r="E763" s="2" t="s">
        <v>6571</v>
      </c>
      <c r="F763" s="2">
        <v>4</v>
      </c>
      <c r="G763" s="2">
        <v>0.3</v>
      </c>
      <c r="H763" s="2">
        <v>0</v>
      </c>
      <c r="I763" s="2">
        <v>330</v>
      </c>
      <c r="J763" s="2" t="s">
        <v>188</v>
      </c>
      <c r="M763" s="2">
        <v>0</v>
      </c>
      <c r="N763" s="2">
        <v>0</v>
      </c>
      <c r="O763" s="2" t="s">
        <v>5737</v>
      </c>
      <c r="Q763" s="2">
        <v>2019</v>
      </c>
      <c r="R763" s="2">
        <v>2024</v>
      </c>
      <c r="S763" s="2" t="s">
        <v>5735</v>
      </c>
      <c r="U763" s="2">
        <v>20</v>
      </c>
      <c r="V763" s="2" t="s">
        <v>187</v>
      </c>
    </row>
    <row r="764" spans="1:22">
      <c r="A764" s="2" t="s">
        <v>548</v>
      </c>
      <c r="B764" s="2" t="s">
        <v>549</v>
      </c>
      <c r="D764" s="2" t="s">
        <v>546</v>
      </c>
      <c r="E764" s="2" t="s">
        <v>6572</v>
      </c>
      <c r="F764" s="2">
        <v>1</v>
      </c>
      <c r="G764" s="2">
        <v>0.5</v>
      </c>
      <c r="H764" s="2">
        <v>0</v>
      </c>
      <c r="I764" s="2">
        <v>500</v>
      </c>
      <c r="J764" s="2" t="s">
        <v>188</v>
      </c>
      <c r="M764" s="2">
        <v>0.5</v>
      </c>
      <c r="N764" s="2">
        <v>1.3</v>
      </c>
      <c r="O764" s="2" t="s">
        <v>5737</v>
      </c>
      <c r="Q764" s="2">
        <v>2015</v>
      </c>
      <c r="R764" s="2">
        <v>2015</v>
      </c>
      <c r="S764" s="2" t="s">
        <v>5738</v>
      </c>
      <c r="U764" s="2">
        <v>20</v>
      </c>
      <c r="V764" s="2" t="s">
        <v>187</v>
      </c>
    </row>
    <row r="765" spans="1:22">
      <c r="A765" s="2" t="s">
        <v>2426</v>
      </c>
      <c r="B765" s="2" t="s">
        <v>2428</v>
      </c>
      <c r="D765" s="2" t="s">
        <v>2425</v>
      </c>
      <c r="E765" s="2" t="s">
        <v>6573</v>
      </c>
      <c r="F765" s="2">
        <v>1</v>
      </c>
      <c r="G765" s="2">
        <v>0.4</v>
      </c>
      <c r="I765" s="2">
        <v>400</v>
      </c>
      <c r="J765" s="2" t="s">
        <v>188</v>
      </c>
      <c r="M765" s="2">
        <v>0.4</v>
      </c>
      <c r="N765" s="2">
        <v>0.45</v>
      </c>
      <c r="O765" s="2" t="s">
        <v>5734</v>
      </c>
      <c r="Q765" s="2">
        <v>2015</v>
      </c>
      <c r="R765" s="2">
        <v>2015</v>
      </c>
      <c r="S765" s="2" t="s">
        <v>5735</v>
      </c>
      <c r="U765" s="2">
        <v>15</v>
      </c>
      <c r="V765" s="2" t="s">
        <v>188</v>
      </c>
    </row>
    <row r="766" spans="1:22">
      <c r="A766" s="2" t="s">
        <v>1537</v>
      </c>
      <c r="B766" s="2" t="s">
        <v>1537</v>
      </c>
      <c r="D766" s="2" t="s">
        <v>1535</v>
      </c>
      <c r="E766" s="2" t="s">
        <v>6574</v>
      </c>
      <c r="F766" s="2">
        <v>1</v>
      </c>
      <c r="G766" s="2">
        <v>1.2</v>
      </c>
      <c r="H766" s="2">
        <v>0</v>
      </c>
      <c r="I766" s="2">
        <v>1200</v>
      </c>
      <c r="J766" s="2" t="s">
        <v>187</v>
      </c>
      <c r="K766" s="2" t="s">
        <v>1523</v>
      </c>
      <c r="M766" s="2">
        <v>1.2</v>
      </c>
      <c r="N766" s="2">
        <v>4</v>
      </c>
      <c r="O766" s="2" t="s">
        <v>5737</v>
      </c>
      <c r="Q766" s="2">
        <v>1994</v>
      </c>
      <c r="R766" s="2">
        <v>2000</v>
      </c>
      <c r="S766" s="2" t="s">
        <v>6567</v>
      </c>
      <c r="U766" s="2">
        <v>10</v>
      </c>
      <c r="V766" s="2" t="s">
        <v>188</v>
      </c>
    </row>
    <row r="767" spans="1:22">
      <c r="A767" s="2" t="s">
        <v>2392</v>
      </c>
      <c r="B767" s="2" t="s">
        <v>2393</v>
      </c>
      <c r="D767" s="2" t="s">
        <v>2391</v>
      </c>
      <c r="E767" s="2" t="s">
        <v>6575</v>
      </c>
      <c r="F767" s="2">
        <v>2</v>
      </c>
      <c r="G767" s="2">
        <v>0.1</v>
      </c>
      <c r="I767" s="2">
        <v>180</v>
      </c>
      <c r="J767" s="2" t="s">
        <v>188</v>
      </c>
      <c r="M767" s="2">
        <v>0.1</v>
      </c>
      <c r="N767" s="2">
        <v>0.2</v>
      </c>
      <c r="O767" s="2" t="s">
        <v>5737</v>
      </c>
      <c r="Q767" s="2">
        <v>2015</v>
      </c>
      <c r="R767" s="2">
        <v>2015</v>
      </c>
      <c r="S767" s="2" t="s">
        <v>5735</v>
      </c>
      <c r="U767" s="2">
        <v>15</v>
      </c>
      <c r="V767" s="2" t="s">
        <v>188</v>
      </c>
    </row>
    <row r="768" spans="1:22">
      <c r="A768" s="2" t="s">
        <v>2392</v>
      </c>
      <c r="B768" s="2" t="s">
        <v>2393</v>
      </c>
      <c r="D768" s="2" t="s">
        <v>2391</v>
      </c>
      <c r="E768" s="2" t="s">
        <v>6576</v>
      </c>
      <c r="F768" s="2">
        <v>1</v>
      </c>
      <c r="G768" s="2">
        <v>0.2</v>
      </c>
      <c r="I768" s="2">
        <v>200</v>
      </c>
      <c r="J768" s="2" t="s">
        <v>188</v>
      </c>
      <c r="M768" s="2">
        <v>0.2</v>
      </c>
      <c r="N768" s="2">
        <v>0.4</v>
      </c>
      <c r="O768" s="2" t="s">
        <v>5737</v>
      </c>
      <c r="Q768" s="2">
        <v>2015</v>
      </c>
      <c r="R768" s="2">
        <v>2015</v>
      </c>
      <c r="S768" s="2" t="s">
        <v>5735</v>
      </c>
      <c r="U768" s="2">
        <v>15</v>
      </c>
      <c r="V768" s="2" t="s">
        <v>188</v>
      </c>
    </row>
    <row r="769" spans="1:22">
      <c r="A769" s="2" t="s">
        <v>1553</v>
      </c>
      <c r="B769" s="2" t="s">
        <v>1553</v>
      </c>
      <c r="D769" s="2" t="s">
        <v>1552</v>
      </c>
      <c r="E769" s="2" t="s">
        <v>6577</v>
      </c>
      <c r="F769" s="2">
        <v>3</v>
      </c>
      <c r="G769" s="2">
        <v>1.2</v>
      </c>
      <c r="H769" s="2">
        <v>0</v>
      </c>
      <c r="I769" s="2">
        <v>1100</v>
      </c>
      <c r="J769" s="2" t="s">
        <v>187</v>
      </c>
      <c r="K769" s="2" t="s">
        <v>1523</v>
      </c>
      <c r="M769" s="2">
        <v>1.2</v>
      </c>
      <c r="N769" s="2">
        <v>2.5</v>
      </c>
      <c r="O769" s="2" t="s">
        <v>5737</v>
      </c>
      <c r="Q769" s="2">
        <v>1994</v>
      </c>
      <c r="R769" s="2">
        <v>2010</v>
      </c>
      <c r="S769" s="2" t="s">
        <v>5735</v>
      </c>
      <c r="U769" s="2">
        <v>20</v>
      </c>
      <c r="V769" s="2" t="s">
        <v>188</v>
      </c>
    </row>
    <row r="770" spans="1:22">
      <c r="A770" s="2" t="s">
        <v>1553</v>
      </c>
      <c r="B770" s="2" t="s">
        <v>1553</v>
      </c>
      <c r="D770" s="2" t="s">
        <v>1552</v>
      </c>
      <c r="E770" s="2" t="s">
        <v>6578</v>
      </c>
      <c r="F770" s="2">
        <v>2</v>
      </c>
      <c r="G770" s="2">
        <v>1.2</v>
      </c>
      <c r="H770" s="2">
        <v>0</v>
      </c>
      <c r="I770" s="2">
        <v>1200</v>
      </c>
      <c r="J770" s="2" t="s">
        <v>188</v>
      </c>
      <c r="M770" s="2">
        <v>1.2</v>
      </c>
      <c r="N770" s="2">
        <v>3.5</v>
      </c>
      <c r="O770" s="2" t="s">
        <v>5737</v>
      </c>
      <c r="Q770" s="2">
        <v>1994</v>
      </c>
      <c r="R770" s="2">
        <v>2009</v>
      </c>
      <c r="S770" s="2" t="s">
        <v>5735</v>
      </c>
      <c r="U770" s="2">
        <v>20</v>
      </c>
      <c r="V770" s="2" t="s">
        <v>188</v>
      </c>
    </row>
    <row r="771" spans="1:22">
      <c r="A771" s="2" t="s">
        <v>1553</v>
      </c>
      <c r="B771" s="2" t="s">
        <v>1553</v>
      </c>
      <c r="D771" s="2" t="s">
        <v>1552</v>
      </c>
      <c r="E771" s="2" t="s">
        <v>6579</v>
      </c>
      <c r="F771" s="2">
        <v>1</v>
      </c>
      <c r="G771" s="2">
        <v>0.7</v>
      </c>
      <c r="H771" s="2">
        <v>0</v>
      </c>
      <c r="I771" s="2">
        <v>700</v>
      </c>
      <c r="J771" s="2" t="s">
        <v>188</v>
      </c>
      <c r="M771" s="2">
        <v>0.7</v>
      </c>
      <c r="N771" s="2">
        <v>2</v>
      </c>
      <c r="O771" s="2" t="s">
        <v>5737</v>
      </c>
      <c r="Q771" s="2">
        <v>1994</v>
      </c>
      <c r="R771" s="2">
        <v>2010</v>
      </c>
      <c r="S771" s="2" t="s">
        <v>5735</v>
      </c>
      <c r="U771" s="2">
        <v>20</v>
      </c>
      <c r="V771" s="2" t="s">
        <v>188</v>
      </c>
    </row>
    <row r="772" spans="1:22">
      <c r="A772" s="2" t="s">
        <v>2386</v>
      </c>
      <c r="B772" s="2" t="s">
        <v>2387</v>
      </c>
      <c r="D772" s="2" t="s">
        <v>2385</v>
      </c>
      <c r="E772" s="2" t="s">
        <v>6580</v>
      </c>
      <c r="F772" s="2">
        <v>2</v>
      </c>
      <c r="G772" s="2">
        <v>0.4</v>
      </c>
      <c r="I772" s="2">
        <v>400</v>
      </c>
      <c r="J772" s="2" t="s">
        <v>188</v>
      </c>
      <c r="M772" s="2">
        <v>0.4</v>
      </c>
      <c r="N772" s="2">
        <v>1.9</v>
      </c>
      <c r="O772" s="2" t="s">
        <v>5737</v>
      </c>
      <c r="Q772" s="2">
        <v>2015</v>
      </c>
      <c r="R772" s="2">
        <v>2015</v>
      </c>
      <c r="S772" s="2" t="s">
        <v>5735</v>
      </c>
      <c r="U772" s="2">
        <v>10</v>
      </c>
      <c r="V772" s="2" t="s">
        <v>188</v>
      </c>
    </row>
    <row r="773" spans="1:22">
      <c r="A773" s="2" t="s">
        <v>2386</v>
      </c>
      <c r="B773" s="2" t="s">
        <v>2387</v>
      </c>
      <c r="D773" s="2" t="s">
        <v>2385</v>
      </c>
      <c r="E773" s="2" t="s">
        <v>6581</v>
      </c>
      <c r="F773" s="2">
        <v>3</v>
      </c>
      <c r="G773" s="2">
        <v>0.1</v>
      </c>
      <c r="I773" s="2">
        <v>150</v>
      </c>
      <c r="J773" s="2" t="s">
        <v>188</v>
      </c>
      <c r="M773" s="2">
        <v>0.1</v>
      </c>
      <c r="N773" s="2">
        <v>0.4</v>
      </c>
      <c r="O773" s="2" t="s">
        <v>5737</v>
      </c>
      <c r="Q773" s="2">
        <v>2015</v>
      </c>
      <c r="R773" s="2">
        <v>2015</v>
      </c>
      <c r="U773" s="2">
        <v>10</v>
      </c>
      <c r="V773" s="2" t="s">
        <v>188</v>
      </c>
    </row>
    <row r="774" spans="1:22">
      <c r="A774" s="2" t="s">
        <v>2386</v>
      </c>
      <c r="B774" s="2" t="s">
        <v>2387</v>
      </c>
      <c r="D774" s="2" t="s">
        <v>2385</v>
      </c>
      <c r="E774" s="2" t="s">
        <v>6582</v>
      </c>
      <c r="F774" s="2">
        <v>1</v>
      </c>
      <c r="G774" s="2">
        <v>0.2</v>
      </c>
      <c r="I774" s="2">
        <v>200</v>
      </c>
      <c r="J774" s="2" t="s">
        <v>188</v>
      </c>
      <c r="M774" s="2">
        <v>0</v>
      </c>
      <c r="N774" s="2">
        <v>0</v>
      </c>
      <c r="O774" s="2" t="s">
        <v>5737</v>
      </c>
      <c r="Q774" s="2">
        <v>2015</v>
      </c>
      <c r="R774" s="2">
        <v>2024</v>
      </c>
      <c r="S774" s="2" t="s">
        <v>5735</v>
      </c>
      <c r="U774" s="2">
        <v>10</v>
      </c>
      <c r="V774" s="2" t="s">
        <v>188</v>
      </c>
    </row>
    <row r="775" spans="1:22">
      <c r="A775" s="2" t="s">
        <v>2386</v>
      </c>
      <c r="B775" s="2" t="s">
        <v>2387</v>
      </c>
      <c r="D775" s="2" t="s">
        <v>2385</v>
      </c>
      <c r="E775" s="2" t="s">
        <v>6583</v>
      </c>
      <c r="F775" s="2">
        <v>4</v>
      </c>
      <c r="G775" s="2">
        <v>0.3</v>
      </c>
      <c r="I775" s="2">
        <v>350</v>
      </c>
      <c r="J775" s="2" t="s">
        <v>188</v>
      </c>
      <c r="M775" s="2">
        <v>0.3</v>
      </c>
      <c r="N775" s="2">
        <v>0.9</v>
      </c>
      <c r="O775" s="2" t="s">
        <v>5734</v>
      </c>
      <c r="Q775" s="2">
        <v>2015</v>
      </c>
      <c r="R775" s="2">
        <v>2015</v>
      </c>
      <c r="S775" s="2" t="s">
        <v>5735</v>
      </c>
      <c r="U775" s="2">
        <v>10</v>
      </c>
      <c r="V775" s="2" t="s">
        <v>188</v>
      </c>
    </row>
    <row r="776" spans="1:22">
      <c r="A776" s="2" t="s">
        <v>1622</v>
      </c>
      <c r="B776" s="2" t="s">
        <v>1623</v>
      </c>
      <c r="D776" s="2" t="s">
        <v>1620</v>
      </c>
      <c r="E776" s="2" t="s">
        <v>6584</v>
      </c>
      <c r="F776" s="2">
        <v>1</v>
      </c>
      <c r="G776" s="2">
        <v>1.2</v>
      </c>
      <c r="H776" s="2">
        <v>0</v>
      </c>
      <c r="I776" s="2">
        <v>1300</v>
      </c>
      <c r="J776" s="2" t="s">
        <v>188</v>
      </c>
      <c r="M776" s="2">
        <v>1.2</v>
      </c>
      <c r="N776" s="2">
        <v>3</v>
      </c>
      <c r="O776" s="2" t="s">
        <v>5737</v>
      </c>
      <c r="Q776" s="2">
        <v>1995</v>
      </c>
      <c r="R776" s="2">
        <v>1995</v>
      </c>
      <c r="S776" s="2" t="s">
        <v>5969</v>
      </c>
      <c r="U776" s="2">
        <v>20</v>
      </c>
      <c r="V776" s="2" t="s">
        <v>188</v>
      </c>
    </row>
    <row r="777" spans="1:22">
      <c r="A777" s="2" t="s">
        <v>2355</v>
      </c>
      <c r="B777" s="2" t="s">
        <v>2355</v>
      </c>
      <c r="D777" s="2" t="s">
        <v>2354</v>
      </c>
      <c r="E777" s="2" t="s">
        <v>6585</v>
      </c>
      <c r="F777" s="2">
        <v>1</v>
      </c>
      <c r="G777" s="2">
        <v>0.6</v>
      </c>
      <c r="I777" s="2">
        <v>600</v>
      </c>
      <c r="J777" s="2" t="s">
        <v>188</v>
      </c>
      <c r="M777" s="2">
        <v>0.6</v>
      </c>
      <c r="N777" s="2">
        <v>1</v>
      </c>
      <c r="O777" s="2" t="s">
        <v>5737</v>
      </c>
      <c r="Q777" s="2">
        <v>2020</v>
      </c>
      <c r="R777" s="2">
        <v>2020</v>
      </c>
      <c r="S777" s="2" t="s">
        <v>5735</v>
      </c>
      <c r="U777" s="2">
        <v>10</v>
      </c>
      <c r="V777" s="2" t="s">
        <v>188</v>
      </c>
    </row>
    <row r="778" spans="1:22">
      <c r="A778" s="2" t="s">
        <v>2323</v>
      </c>
      <c r="B778" s="2" t="s">
        <v>2324</v>
      </c>
      <c r="D778" s="2" t="s">
        <v>2322</v>
      </c>
      <c r="E778" s="2" t="s">
        <v>6586</v>
      </c>
      <c r="F778" s="2">
        <v>1</v>
      </c>
      <c r="G778" s="2">
        <v>0.4</v>
      </c>
      <c r="I778" s="2">
        <v>400</v>
      </c>
      <c r="J778" s="2" t="s">
        <v>188</v>
      </c>
      <c r="M778" s="2">
        <v>0.4</v>
      </c>
      <c r="N778" s="2">
        <v>0.6</v>
      </c>
      <c r="O778" s="2" t="s">
        <v>5737</v>
      </c>
      <c r="Q778" s="2">
        <v>2015</v>
      </c>
      <c r="R778" s="2">
        <v>2015</v>
      </c>
      <c r="S778" s="2" t="s">
        <v>5735</v>
      </c>
      <c r="U778" s="2">
        <v>10</v>
      </c>
      <c r="V778" s="2" t="s">
        <v>188</v>
      </c>
    </row>
    <row r="779" spans="1:22">
      <c r="A779" s="2" t="s">
        <v>2323</v>
      </c>
      <c r="B779" s="2" t="s">
        <v>2324</v>
      </c>
      <c r="D779" s="2" t="s">
        <v>2322</v>
      </c>
      <c r="E779" s="2" t="s">
        <v>6587</v>
      </c>
      <c r="F779" s="2">
        <v>2</v>
      </c>
      <c r="G779" s="2">
        <v>0.2</v>
      </c>
      <c r="I779" s="2">
        <v>250</v>
      </c>
      <c r="J779" s="2" t="s">
        <v>188</v>
      </c>
      <c r="M779" s="2">
        <v>0.2</v>
      </c>
      <c r="N779" s="2">
        <v>0.4</v>
      </c>
      <c r="O779" s="2" t="s">
        <v>5737</v>
      </c>
      <c r="Q779" s="2">
        <v>2015</v>
      </c>
      <c r="R779" s="2">
        <v>2015</v>
      </c>
      <c r="S779" s="2" t="s">
        <v>5735</v>
      </c>
      <c r="U779" s="2">
        <v>10</v>
      </c>
      <c r="V779" s="2" t="s">
        <v>188</v>
      </c>
    </row>
    <row r="780" spans="1:22">
      <c r="A780" s="2" t="s">
        <v>2323</v>
      </c>
      <c r="B780" s="2" t="s">
        <v>2324</v>
      </c>
      <c r="D780" s="2" t="s">
        <v>2322</v>
      </c>
      <c r="E780" s="2" t="s">
        <v>6588</v>
      </c>
      <c r="F780" s="2">
        <v>3</v>
      </c>
      <c r="G780" s="2">
        <v>0.1</v>
      </c>
      <c r="I780" s="2">
        <v>150</v>
      </c>
      <c r="J780" s="2" t="s">
        <v>188</v>
      </c>
      <c r="M780" s="2">
        <v>0.1</v>
      </c>
      <c r="N780" s="2">
        <v>0.2</v>
      </c>
      <c r="O780" s="2" t="s">
        <v>5734</v>
      </c>
      <c r="Q780" s="2">
        <v>2015</v>
      </c>
      <c r="R780" s="2">
        <v>2015</v>
      </c>
      <c r="S780" s="2" t="s">
        <v>5735</v>
      </c>
      <c r="U780" s="2">
        <v>10</v>
      </c>
      <c r="V780" s="2" t="s">
        <v>188</v>
      </c>
    </row>
    <row r="781" spans="1:22">
      <c r="A781" s="2" t="s">
        <v>2320</v>
      </c>
      <c r="B781" s="2" t="s">
        <v>2321</v>
      </c>
      <c r="D781" s="2" t="s">
        <v>2319</v>
      </c>
      <c r="E781" s="2" t="s">
        <v>6589</v>
      </c>
      <c r="F781" s="2">
        <v>1</v>
      </c>
      <c r="G781" s="2">
        <v>0.4</v>
      </c>
      <c r="I781" s="2">
        <v>400</v>
      </c>
      <c r="J781" s="2" t="s">
        <v>188</v>
      </c>
      <c r="M781" s="2">
        <v>0.4</v>
      </c>
      <c r="N781" s="2">
        <v>0.73</v>
      </c>
      <c r="O781" s="2" t="s">
        <v>5734</v>
      </c>
      <c r="Q781" s="2">
        <v>2011</v>
      </c>
      <c r="R781" s="2">
        <v>2011</v>
      </c>
      <c r="S781" s="2" t="s">
        <v>5735</v>
      </c>
      <c r="U781" s="2">
        <v>10</v>
      </c>
      <c r="V781" s="2" t="s">
        <v>188</v>
      </c>
    </row>
    <row r="782" spans="1:22">
      <c r="A782" s="2" t="s">
        <v>2320</v>
      </c>
      <c r="B782" s="2" t="s">
        <v>2321</v>
      </c>
      <c r="D782" s="2" t="s">
        <v>2319</v>
      </c>
      <c r="E782" s="2" t="s">
        <v>6590</v>
      </c>
      <c r="F782" s="2">
        <v>2</v>
      </c>
      <c r="G782" s="2">
        <v>0.2</v>
      </c>
      <c r="I782" s="2">
        <v>200</v>
      </c>
      <c r="J782" s="2" t="s">
        <v>188</v>
      </c>
      <c r="M782" s="2">
        <v>0.2</v>
      </c>
      <c r="N782" s="2">
        <v>0.3</v>
      </c>
      <c r="O782" s="2" t="s">
        <v>5734</v>
      </c>
      <c r="Q782" s="2">
        <v>2011</v>
      </c>
      <c r="R782" s="2">
        <v>2011</v>
      </c>
      <c r="U782" s="2">
        <v>10</v>
      </c>
      <c r="V782" s="2" t="s">
        <v>188</v>
      </c>
    </row>
    <row r="783" spans="1:22">
      <c r="A783" s="2" t="s">
        <v>2295</v>
      </c>
      <c r="B783" s="2" t="s">
        <v>2295</v>
      </c>
      <c r="D783" s="2" t="s">
        <v>2293</v>
      </c>
      <c r="E783" s="2" t="s">
        <v>6591</v>
      </c>
      <c r="F783" s="2">
        <v>2</v>
      </c>
      <c r="G783" s="2">
        <v>0.65</v>
      </c>
      <c r="I783" s="2">
        <v>650</v>
      </c>
      <c r="J783" s="2" t="s">
        <v>188</v>
      </c>
      <c r="M783" s="2">
        <v>0.65</v>
      </c>
      <c r="N783" s="2">
        <v>1</v>
      </c>
      <c r="O783" s="2" t="s">
        <v>5737</v>
      </c>
      <c r="Q783" s="2">
        <v>2009</v>
      </c>
      <c r="R783" s="2">
        <v>2009</v>
      </c>
      <c r="S783" s="2" t="s">
        <v>5735</v>
      </c>
      <c r="U783" s="2">
        <v>13</v>
      </c>
      <c r="V783" s="2" t="s">
        <v>188</v>
      </c>
    </row>
    <row r="784" spans="1:22">
      <c r="A784" s="2" t="s">
        <v>2295</v>
      </c>
      <c r="B784" s="2" t="s">
        <v>2295</v>
      </c>
      <c r="D784" s="2" t="s">
        <v>2293</v>
      </c>
      <c r="E784" s="2" t="s">
        <v>6592</v>
      </c>
      <c r="F784" s="2">
        <v>4</v>
      </c>
      <c r="G784" s="2">
        <v>0.3</v>
      </c>
      <c r="I784" s="2">
        <v>350</v>
      </c>
      <c r="J784" s="2" t="s">
        <v>188</v>
      </c>
      <c r="M784" s="2">
        <v>0.3</v>
      </c>
      <c r="N784" s="2">
        <v>1</v>
      </c>
      <c r="O784" s="2" t="s">
        <v>5737</v>
      </c>
      <c r="U784" s="2">
        <v>12</v>
      </c>
      <c r="V784" s="2" t="s">
        <v>188</v>
      </c>
    </row>
    <row r="785" spans="1:22">
      <c r="A785" s="2" t="s">
        <v>2295</v>
      </c>
      <c r="B785" s="2" t="s">
        <v>2295</v>
      </c>
      <c r="D785" s="2" t="s">
        <v>2293</v>
      </c>
      <c r="E785" s="2" t="s">
        <v>6593</v>
      </c>
      <c r="F785" s="2">
        <v>3</v>
      </c>
      <c r="G785" s="2">
        <v>0.4</v>
      </c>
      <c r="I785" s="2">
        <v>420</v>
      </c>
      <c r="J785" s="2" t="s">
        <v>187</v>
      </c>
      <c r="K785" s="2" t="s">
        <v>5766</v>
      </c>
      <c r="L785" s="2" t="s">
        <v>5867</v>
      </c>
      <c r="M785" s="2">
        <v>0.4</v>
      </c>
      <c r="N785" s="2">
        <v>1</v>
      </c>
      <c r="O785" s="2" t="s">
        <v>5737</v>
      </c>
      <c r="Q785" s="2">
        <v>2010</v>
      </c>
      <c r="R785" s="2">
        <v>2010</v>
      </c>
      <c r="S785" s="2" t="s">
        <v>5735</v>
      </c>
      <c r="U785" s="2">
        <v>13</v>
      </c>
      <c r="V785" s="2" t="s">
        <v>188</v>
      </c>
    </row>
    <row r="786" spans="1:22">
      <c r="A786" s="2" t="s">
        <v>2295</v>
      </c>
      <c r="B786" s="2" t="s">
        <v>2295</v>
      </c>
      <c r="D786" s="2" t="s">
        <v>2293</v>
      </c>
      <c r="E786" s="2" t="s">
        <v>6594</v>
      </c>
      <c r="F786" s="2">
        <v>1</v>
      </c>
      <c r="G786" s="2">
        <v>1.1000000000000001</v>
      </c>
      <c r="I786" s="2">
        <v>1200</v>
      </c>
      <c r="J786" s="2" t="s">
        <v>187</v>
      </c>
      <c r="K786" s="2" t="s">
        <v>1523</v>
      </c>
      <c r="M786" s="2">
        <v>1.1000000000000001</v>
      </c>
      <c r="N786" s="2">
        <v>3.3</v>
      </c>
      <c r="O786" s="2" t="s">
        <v>5734</v>
      </c>
      <c r="Q786" s="2">
        <v>2008</v>
      </c>
      <c r="R786" s="2">
        <v>2008</v>
      </c>
      <c r="U786" s="2">
        <v>13</v>
      </c>
      <c r="V786" s="2" t="s">
        <v>188</v>
      </c>
    </row>
    <row r="787" spans="1:22">
      <c r="A787" s="2" t="s">
        <v>566</v>
      </c>
      <c r="B787" s="2" t="s">
        <v>566</v>
      </c>
      <c r="D787" s="2" t="s">
        <v>563</v>
      </c>
      <c r="E787" s="2" t="s">
        <v>6595</v>
      </c>
      <c r="F787" s="2">
        <v>1</v>
      </c>
      <c r="G787" s="2">
        <v>0.7</v>
      </c>
      <c r="H787" s="2">
        <v>0</v>
      </c>
      <c r="I787" s="2">
        <v>770</v>
      </c>
      <c r="J787" s="2" t="s">
        <v>187</v>
      </c>
      <c r="K787" s="2" t="s">
        <v>1523</v>
      </c>
      <c r="M787" s="2">
        <v>0.7</v>
      </c>
      <c r="N787" s="2">
        <v>3</v>
      </c>
      <c r="O787" s="2" t="s">
        <v>5737</v>
      </c>
      <c r="Q787" s="2">
        <v>2007</v>
      </c>
      <c r="R787" s="2">
        <v>2007</v>
      </c>
      <c r="S787" s="2" t="s">
        <v>288</v>
      </c>
      <c r="T787" s="2" t="s">
        <v>6596</v>
      </c>
      <c r="U787" s="2">
        <v>10</v>
      </c>
      <c r="V787" s="2" t="s">
        <v>187</v>
      </c>
    </row>
    <row r="788" spans="1:22">
      <c r="A788" s="2" t="s">
        <v>566</v>
      </c>
      <c r="B788" s="2" t="s">
        <v>566</v>
      </c>
      <c r="D788" s="2" t="s">
        <v>563</v>
      </c>
      <c r="E788" s="2" t="s">
        <v>6597</v>
      </c>
      <c r="F788" s="2">
        <v>2</v>
      </c>
      <c r="G788" s="2">
        <v>0.3</v>
      </c>
      <c r="H788" s="2">
        <v>0</v>
      </c>
      <c r="I788" s="2">
        <v>300</v>
      </c>
      <c r="J788" s="2" t="s">
        <v>188</v>
      </c>
      <c r="M788" s="2">
        <v>0.3</v>
      </c>
      <c r="N788" s="2">
        <v>0.5</v>
      </c>
      <c r="O788" s="2" t="s">
        <v>5737</v>
      </c>
      <c r="Q788" s="2">
        <v>2002</v>
      </c>
      <c r="R788" s="2">
        <v>2002</v>
      </c>
      <c r="S788" s="2" t="s">
        <v>5735</v>
      </c>
      <c r="U788" s="2">
        <v>10</v>
      </c>
      <c r="V788" s="2" t="s">
        <v>187</v>
      </c>
    </row>
    <row r="789" spans="1:22">
      <c r="A789" s="2" t="s">
        <v>575</v>
      </c>
      <c r="B789" s="2" t="s">
        <v>576</v>
      </c>
      <c r="D789" s="2" t="s">
        <v>573</v>
      </c>
      <c r="E789" s="2" t="s">
        <v>6598</v>
      </c>
      <c r="F789" s="2">
        <v>1</v>
      </c>
      <c r="G789" s="2">
        <v>0.7</v>
      </c>
      <c r="H789" s="2">
        <v>0</v>
      </c>
      <c r="I789" s="2">
        <v>770</v>
      </c>
      <c r="J789" s="2" t="s">
        <v>187</v>
      </c>
      <c r="K789" s="2" t="s">
        <v>1523</v>
      </c>
      <c r="M789" s="2">
        <v>0.7</v>
      </c>
      <c r="N789" s="2">
        <v>2.5</v>
      </c>
      <c r="O789" s="2" t="s">
        <v>5737</v>
      </c>
      <c r="Q789" s="2">
        <v>2009</v>
      </c>
      <c r="R789" s="2">
        <v>2009</v>
      </c>
      <c r="S789" s="2" t="s">
        <v>5738</v>
      </c>
      <c r="U789" s="2">
        <v>10</v>
      </c>
      <c r="V789" s="2" t="s">
        <v>187</v>
      </c>
    </row>
    <row r="790" spans="1:22">
      <c r="A790" s="2" t="s">
        <v>575</v>
      </c>
      <c r="B790" s="2" t="s">
        <v>576</v>
      </c>
      <c r="D790" s="2" t="s">
        <v>573</v>
      </c>
      <c r="E790" s="2" t="s">
        <v>6599</v>
      </c>
      <c r="F790" s="2">
        <v>3</v>
      </c>
      <c r="G790" s="2">
        <v>0.3</v>
      </c>
      <c r="H790" s="2">
        <v>0.3</v>
      </c>
      <c r="I790" s="2">
        <v>330</v>
      </c>
      <c r="J790" s="2" t="s">
        <v>187</v>
      </c>
      <c r="K790" s="2" t="s">
        <v>1523</v>
      </c>
      <c r="M790" s="2">
        <v>0.3</v>
      </c>
      <c r="N790" s="2">
        <v>1.7</v>
      </c>
      <c r="O790" s="2" t="s">
        <v>5737</v>
      </c>
      <c r="Q790" s="2">
        <v>2019</v>
      </c>
      <c r="R790" s="2">
        <v>2019</v>
      </c>
      <c r="S790" s="2" t="s">
        <v>5735</v>
      </c>
      <c r="U790" s="2">
        <v>10</v>
      </c>
      <c r="V790" s="2" t="s">
        <v>187</v>
      </c>
    </row>
    <row r="791" spans="1:22">
      <c r="A791" s="2" t="s">
        <v>575</v>
      </c>
      <c r="B791" s="2" t="s">
        <v>576</v>
      </c>
      <c r="D791" s="2" t="s">
        <v>573</v>
      </c>
      <c r="E791" s="2" t="s">
        <v>6600</v>
      </c>
      <c r="F791" s="2">
        <v>2</v>
      </c>
      <c r="G791" s="2">
        <v>0.5</v>
      </c>
      <c r="H791" s="2">
        <v>0</v>
      </c>
      <c r="I791" s="2">
        <v>550</v>
      </c>
      <c r="J791" s="2" t="s">
        <v>187</v>
      </c>
      <c r="K791" s="2" t="s">
        <v>1523</v>
      </c>
      <c r="M791" s="2">
        <v>0.5</v>
      </c>
      <c r="N791" s="2">
        <v>1.8</v>
      </c>
      <c r="O791" s="2" t="s">
        <v>5737</v>
      </c>
      <c r="Q791" s="2">
        <v>2013</v>
      </c>
      <c r="R791" s="2">
        <v>2012</v>
      </c>
      <c r="S791" s="2" t="s">
        <v>5738</v>
      </c>
      <c r="U791" s="2">
        <v>10</v>
      </c>
      <c r="V791" s="2" t="s">
        <v>187</v>
      </c>
    </row>
    <row r="792" spans="1:22">
      <c r="A792" s="2" t="s">
        <v>601</v>
      </c>
      <c r="B792" s="2" t="s">
        <v>602</v>
      </c>
      <c r="D792" s="2" t="s">
        <v>599</v>
      </c>
      <c r="E792" s="2" t="s">
        <v>6601</v>
      </c>
      <c r="F792" s="2">
        <v>1</v>
      </c>
      <c r="G792" s="2">
        <v>0.8</v>
      </c>
      <c r="H792" s="2">
        <v>0</v>
      </c>
      <c r="I792" s="2">
        <v>880</v>
      </c>
      <c r="J792" s="2" t="s">
        <v>188</v>
      </c>
      <c r="M792" s="2">
        <v>0.8</v>
      </c>
      <c r="N792" s="2">
        <v>1</v>
      </c>
      <c r="O792" s="2" t="s">
        <v>5737</v>
      </c>
      <c r="Q792" s="2">
        <v>2021</v>
      </c>
      <c r="R792" s="2">
        <v>2021</v>
      </c>
      <c r="S792" s="2" t="s">
        <v>5742</v>
      </c>
      <c r="U792" s="2">
        <v>10</v>
      </c>
      <c r="V792" s="2" t="s">
        <v>187</v>
      </c>
    </row>
    <row r="793" spans="1:22">
      <c r="A793" s="2" t="s">
        <v>386</v>
      </c>
      <c r="B793" s="2" t="s">
        <v>610</v>
      </c>
      <c r="D793" s="2" t="s">
        <v>608</v>
      </c>
      <c r="E793" s="2" t="s">
        <v>6602</v>
      </c>
      <c r="F793" s="2">
        <v>2</v>
      </c>
      <c r="G793" s="2">
        <v>0.25</v>
      </c>
      <c r="H793" s="2">
        <v>0</v>
      </c>
      <c r="I793" s="2">
        <v>260</v>
      </c>
      <c r="J793" s="2" t="s">
        <v>188</v>
      </c>
      <c r="M793" s="2">
        <v>0.25</v>
      </c>
      <c r="N793" s="2">
        <v>1.8</v>
      </c>
      <c r="O793" s="2" t="s">
        <v>5737</v>
      </c>
      <c r="Q793" s="2">
        <v>2019</v>
      </c>
      <c r="R793" s="2">
        <v>2019</v>
      </c>
      <c r="S793" s="2" t="s">
        <v>5735</v>
      </c>
      <c r="U793" s="2">
        <v>10</v>
      </c>
      <c r="V793" s="2" t="s">
        <v>187</v>
      </c>
    </row>
    <row r="794" spans="1:22">
      <c r="A794" s="2" t="s">
        <v>386</v>
      </c>
      <c r="B794" s="2" t="s">
        <v>610</v>
      </c>
      <c r="D794" s="2" t="s">
        <v>608</v>
      </c>
      <c r="E794" s="2" t="s">
        <v>6603</v>
      </c>
      <c r="F794" s="2">
        <v>3</v>
      </c>
      <c r="G794" s="2">
        <v>0.45</v>
      </c>
      <c r="H794" s="2">
        <v>0</v>
      </c>
      <c r="I794" s="2">
        <v>470</v>
      </c>
      <c r="J794" s="2" t="s">
        <v>188</v>
      </c>
      <c r="M794" s="2">
        <v>0.45</v>
      </c>
      <c r="N794" s="2">
        <v>1.2</v>
      </c>
      <c r="O794" s="2" t="s">
        <v>5737</v>
      </c>
      <c r="Q794" s="2">
        <v>2021</v>
      </c>
      <c r="R794" s="2">
        <v>2021</v>
      </c>
      <c r="S794" s="2" t="s">
        <v>5735</v>
      </c>
      <c r="U794" s="2">
        <v>10</v>
      </c>
      <c r="V794" s="2" t="s">
        <v>187</v>
      </c>
    </row>
    <row r="795" spans="1:22">
      <c r="A795" s="2" t="s">
        <v>386</v>
      </c>
      <c r="B795" s="2" t="s">
        <v>610</v>
      </c>
      <c r="D795" s="2" t="s">
        <v>608</v>
      </c>
      <c r="E795" s="2" t="s">
        <v>6604</v>
      </c>
      <c r="F795" s="2">
        <v>1</v>
      </c>
      <c r="G795" s="2">
        <v>0.5</v>
      </c>
      <c r="H795" s="2">
        <v>0</v>
      </c>
      <c r="I795" s="2">
        <v>500</v>
      </c>
      <c r="J795" s="2" t="s">
        <v>188</v>
      </c>
      <c r="M795" s="2">
        <v>0.5</v>
      </c>
      <c r="N795" s="2">
        <v>2.4</v>
      </c>
      <c r="O795" s="2" t="s">
        <v>5737</v>
      </c>
      <c r="Q795" s="2">
        <v>2010</v>
      </c>
      <c r="R795" s="2">
        <v>2010</v>
      </c>
      <c r="S795" s="2" t="s">
        <v>5738</v>
      </c>
      <c r="U795" s="2">
        <v>10</v>
      </c>
      <c r="V795" s="2" t="s">
        <v>187</v>
      </c>
    </row>
    <row r="796" spans="1:22">
      <c r="A796" s="2" t="s">
        <v>702</v>
      </c>
      <c r="B796" s="2" t="s">
        <v>703</v>
      </c>
      <c r="D796" s="2" t="s">
        <v>699</v>
      </c>
      <c r="E796" s="2" t="s">
        <v>6605</v>
      </c>
      <c r="F796" s="2">
        <v>1</v>
      </c>
      <c r="G796" s="2">
        <v>0.5</v>
      </c>
      <c r="H796" s="2">
        <v>0.5</v>
      </c>
      <c r="I796" s="2">
        <v>550</v>
      </c>
      <c r="J796" s="2" t="s">
        <v>188</v>
      </c>
      <c r="M796" s="2">
        <v>0.5</v>
      </c>
      <c r="N796" s="2">
        <v>2.2999999999999998</v>
      </c>
      <c r="O796" s="2" t="s">
        <v>5737</v>
      </c>
      <c r="Q796" s="2">
        <v>2015</v>
      </c>
      <c r="R796" s="2">
        <v>2015</v>
      </c>
      <c r="S796" s="2" t="s">
        <v>5735</v>
      </c>
      <c r="U796" s="2">
        <v>10</v>
      </c>
      <c r="V796" s="2" t="s">
        <v>187</v>
      </c>
    </row>
    <row r="797" spans="1:22">
      <c r="A797" s="2" t="s">
        <v>756</v>
      </c>
      <c r="B797" s="2" t="s">
        <v>756</v>
      </c>
      <c r="D797" s="2" t="s">
        <v>753</v>
      </c>
      <c r="E797" s="2" t="s">
        <v>6606</v>
      </c>
      <c r="F797" s="2">
        <v>2</v>
      </c>
      <c r="G797" s="2">
        <v>0.5</v>
      </c>
      <c r="H797" s="2">
        <v>0</v>
      </c>
      <c r="I797" s="2">
        <v>550</v>
      </c>
      <c r="J797" s="2" t="s">
        <v>188</v>
      </c>
      <c r="M797" s="2">
        <v>0.5</v>
      </c>
      <c r="N797" s="2">
        <v>1.5</v>
      </c>
      <c r="O797" s="2" t="s">
        <v>5737</v>
      </c>
      <c r="Q797" s="2">
        <v>2008</v>
      </c>
      <c r="R797" s="2">
        <v>2008</v>
      </c>
      <c r="S797" s="2" t="s">
        <v>5738</v>
      </c>
      <c r="U797" s="2">
        <v>10</v>
      </c>
      <c r="V797" s="2" t="s">
        <v>187</v>
      </c>
    </row>
    <row r="798" spans="1:22">
      <c r="A798" s="2" t="s">
        <v>756</v>
      </c>
      <c r="B798" s="2" t="s">
        <v>756</v>
      </c>
      <c r="D798" s="2" t="s">
        <v>753</v>
      </c>
      <c r="E798" s="2" t="s">
        <v>6607</v>
      </c>
      <c r="F798" s="2">
        <v>1</v>
      </c>
      <c r="G798" s="2">
        <v>0.5</v>
      </c>
      <c r="H798" s="2">
        <v>0</v>
      </c>
      <c r="I798" s="2">
        <v>550</v>
      </c>
      <c r="J798" s="2" t="s">
        <v>188</v>
      </c>
      <c r="M798" s="2">
        <v>0.5</v>
      </c>
      <c r="N798" s="2">
        <v>1.5</v>
      </c>
      <c r="O798" s="2" t="s">
        <v>5737</v>
      </c>
      <c r="Q798" s="2">
        <v>2008</v>
      </c>
      <c r="R798" s="2">
        <v>2008</v>
      </c>
      <c r="S798" s="2" t="s">
        <v>5738</v>
      </c>
      <c r="U798" s="2">
        <v>10</v>
      </c>
      <c r="V798" s="2" t="s">
        <v>187</v>
      </c>
    </row>
    <row r="799" spans="1:22">
      <c r="A799" s="2" t="s">
        <v>737</v>
      </c>
      <c r="B799" s="2" t="s">
        <v>738</v>
      </c>
      <c r="D799" s="2" t="s">
        <v>734</v>
      </c>
      <c r="E799" s="2" t="s">
        <v>6608</v>
      </c>
      <c r="F799" s="2">
        <v>1</v>
      </c>
      <c r="G799" s="2">
        <v>1.1000000000000001</v>
      </c>
      <c r="H799" s="2">
        <v>0</v>
      </c>
      <c r="I799" s="2">
        <v>1200</v>
      </c>
      <c r="J799" s="2" t="s">
        <v>188</v>
      </c>
      <c r="M799" s="2">
        <v>1.1000000000000001</v>
      </c>
      <c r="N799" s="2">
        <v>3.2</v>
      </c>
      <c r="O799" s="2" t="s">
        <v>5737</v>
      </c>
      <c r="Q799" s="2">
        <v>2017</v>
      </c>
      <c r="R799" s="2">
        <v>2017</v>
      </c>
      <c r="S799" s="2" t="s">
        <v>5738</v>
      </c>
      <c r="U799" s="2">
        <v>10</v>
      </c>
      <c r="V799" s="2" t="s">
        <v>187</v>
      </c>
    </row>
    <row r="800" spans="1:22">
      <c r="A800" s="2" t="s">
        <v>737</v>
      </c>
      <c r="B800" s="2" t="s">
        <v>738</v>
      </c>
      <c r="D800" s="2" t="s">
        <v>734</v>
      </c>
      <c r="E800" s="2" t="s">
        <v>6609</v>
      </c>
      <c r="F800" s="2">
        <v>2</v>
      </c>
      <c r="G800" s="2">
        <v>1</v>
      </c>
      <c r="H800" s="2">
        <v>0</v>
      </c>
      <c r="I800" s="2">
        <v>1100</v>
      </c>
      <c r="J800" s="2" t="s">
        <v>188</v>
      </c>
      <c r="M800" s="2">
        <v>1</v>
      </c>
      <c r="N800" s="2">
        <v>2.8</v>
      </c>
      <c r="O800" s="2" t="s">
        <v>5734</v>
      </c>
      <c r="Q800" s="2">
        <v>2019</v>
      </c>
      <c r="R800" s="2">
        <v>2019</v>
      </c>
      <c r="S800" s="2" t="s">
        <v>5738</v>
      </c>
      <c r="U800" s="2">
        <v>10</v>
      </c>
      <c r="V800" s="2" t="s">
        <v>187</v>
      </c>
    </row>
    <row r="801" spans="1:22">
      <c r="A801" s="2" t="s">
        <v>833</v>
      </c>
      <c r="B801" s="2" t="s">
        <v>833</v>
      </c>
      <c r="D801" s="2" t="s">
        <v>829</v>
      </c>
      <c r="E801" s="2" t="s">
        <v>6610</v>
      </c>
      <c r="F801" s="2">
        <v>2</v>
      </c>
      <c r="G801" s="2">
        <v>0.4</v>
      </c>
      <c r="H801" s="2">
        <v>0</v>
      </c>
      <c r="I801" s="2">
        <v>440</v>
      </c>
      <c r="J801" s="2" t="s">
        <v>188</v>
      </c>
      <c r="M801" s="2">
        <v>0.4</v>
      </c>
      <c r="O801" s="2" t="s">
        <v>5737</v>
      </c>
      <c r="Q801" s="2">
        <v>1998</v>
      </c>
      <c r="R801" s="2">
        <v>2020</v>
      </c>
      <c r="S801" s="2" t="s">
        <v>5735</v>
      </c>
      <c r="U801" s="2">
        <v>2</v>
      </c>
      <c r="V801" s="2" t="s">
        <v>187</v>
      </c>
    </row>
    <row r="802" spans="1:22">
      <c r="A802" s="2" t="s">
        <v>833</v>
      </c>
      <c r="B802" s="2" t="s">
        <v>833</v>
      </c>
      <c r="D802" s="2" t="s">
        <v>829</v>
      </c>
      <c r="E802" s="2" t="s">
        <v>6611</v>
      </c>
      <c r="F802" s="2">
        <v>1</v>
      </c>
      <c r="G802" s="2">
        <v>0.3</v>
      </c>
      <c r="H802" s="2">
        <v>0</v>
      </c>
      <c r="I802" s="2">
        <v>330</v>
      </c>
      <c r="J802" s="2" t="s">
        <v>188</v>
      </c>
      <c r="M802" s="2">
        <v>0.3</v>
      </c>
      <c r="N802" s="2">
        <v>0.7</v>
      </c>
      <c r="O802" s="2" t="s">
        <v>5737</v>
      </c>
      <c r="Q802" s="2">
        <v>2018</v>
      </c>
      <c r="R802" s="2">
        <v>2018</v>
      </c>
      <c r="S802" s="2" t="s">
        <v>5738</v>
      </c>
      <c r="U802" s="2">
        <v>2</v>
      </c>
      <c r="V802" s="2" t="s">
        <v>187</v>
      </c>
    </row>
    <row r="803" spans="1:22">
      <c r="A803" s="2" t="s">
        <v>855</v>
      </c>
      <c r="B803" s="2" t="s">
        <v>856</v>
      </c>
      <c r="D803" s="2" t="s">
        <v>852</v>
      </c>
      <c r="E803" s="2" t="s">
        <v>6612</v>
      </c>
      <c r="F803" s="2">
        <v>1</v>
      </c>
      <c r="G803" s="2">
        <v>0.6</v>
      </c>
      <c r="H803" s="2">
        <v>0</v>
      </c>
      <c r="I803" s="2">
        <v>650</v>
      </c>
      <c r="J803" s="2" t="s">
        <v>188</v>
      </c>
      <c r="M803" s="2">
        <v>0.6</v>
      </c>
      <c r="N803" s="2">
        <v>0.85</v>
      </c>
      <c r="O803" s="2" t="s">
        <v>5734</v>
      </c>
      <c r="Q803" s="2">
        <v>2021</v>
      </c>
      <c r="R803" s="2">
        <v>2021</v>
      </c>
      <c r="S803" s="2" t="s">
        <v>5742</v>
      </c>
      <c r="U803" s="2">
        <v>1</v>
      </c>
      <c r="V803" s="2" t="s">
        <v>188</v>
      </c>
    </row>
    <row r="804" spans="1:22">
      <c r="A804" s="2" t="s">
        <v>881</v>
      </c>
      <c r="B804" s="2" t="s">
        <v>882</v>
      </c>
      <c r="D804" s="2" t="s">
        <v>879</v>
      </c>
      <c r="E804" s="2" t="s">
        <v>6613</v>
      </c>
      <c r="F804" s="2">
        <v>1</v>
      </c>
      <c r="G804" s="2">
        <v>0.65</v>
      </c>
      <c r="H804" s="2">
        <v>0</v>
      </c>
      <c r="I804" s="2">
        <v>700</v>
      </c>
      <c r="J804" s="2" t="s">
        <v>187</v>
      </c>
      <c r="K804" s="2" t="s">
        <v>1523</v>
      </c>
      <c r="M804" s="2">
        <v>0.65</v>
      </c>
      <c r="N804" s="2">
        <v>3</v>
      </c>
      <c r="O804" s="2" t="s">
        <v>5734</v>
      </c>
      <c r="Q804" s="2">
        <v>2009</v>
      </c>
      <c r="R804" s="2">
        <v>2009</v>
      </c>
      <c r="S804" s="2" t="s">
        <v>5738</v>
      </c>
      <c r="U804" s="2">
        <v>10</v>
      </c>
      <c r="V804" s="2" t="s">
        <v>188</v>
      </c>
    </row>
    <row r="805" spans="1:22">
      <c r="A805" s="2" t="s">
        <v>907</v>
      </c>
      <c r="B805" s="2" t="s">
        <v>908</v>
      </c>
      <c r="D805" s="2" t="s">
        <v>905</v>
      </c>
      <c r="E805" s="2" t="s">
        <v>6614</v>
      </c>
      <c r="F805" s="2">
        <v>4</v>
      </c>
      <c r="G805" s="2">
        <v>0.3</v>
      </c>
      <c r="H805" s="2">
        <v>0</v>
      </c>
      <c r="I805" s="2">
        <v>330</v>
      </c>
      <c r="J805" s="2" t="s">
        <v>188</v>
      </c>
      <c r="M805" s="2">
        <v>0</v>
      </c>
      <c r="N805" s="2">
        <v>0</v>
      </c>
      <c r="O805" s="2" t="s">
        <v>5737</v>
      </c>
      <c r="Q805" s="2">
        <v>2024</v>
      </c>
      <c r="R805" s="2">
        <v>2024</v>
      </c>
      <c r="S805" s="2" t="s">
        <v>5735</v>
      </c>
      <c r="U805" s="2">
        <v>3</v>
      </c>
      <c r="V805" s="2" t="s">
        <v>187</v>
      </c>
    </row>
    <row r="806" spans="1:22">
      <c r="A806" s="2" t="s">
        <v>907</v>
      </c>
      <c r="B806" s="2" t="s">
        <v>908</v>
      </c>
      <c r="D806" s="2" t="s">
        <v>905</v>
      </c>
      <c r="E806" s="2" t="s">
        <v>6615</v>
      </c>
      <c r="F806" s="2">
        <v>3</v>
      </c>
      <c r="G806" s="2">
        <v>0.6</v>
      </c>
      <c r="H806" s="2">
        <v>0</v>
      </c>
      <c r="I806" s="2">
        <v>660</v>
      </c>
      <c r="J806" s="2" t="s">
        <v>188</v>
      </c>
      <c r="M806" s="2">
        <v>0.6</v>
      </c>
      <c r="N806" s="2">
        <v>3.6</v>
      </c>
      <c r="O806" s="2" t="s">
        <v>5737</v>
      </c>
      <c r="Q806" s="2">
        <v>2013</v>
      </c>
      <c r="R806" s="2">
        <v>2013</v>
      </c>
      <c r="S806" s="2" t="s">
        <v>5738</v>
      </c>
      <c r="U806" s="2">
        <v>3</v>
      </c>
      <c r="V806" s="2" t="s">
        <v>187</v>
      </c>
    </row>
    <row r="807" spans="1:22">
      <c r="A807" s="2" t="s">
        <v>907</v>
      </c>
      <c r="B807" s="2" t="s">
        <v>908</v>
      </c>
      <c r="D807" s="2" t="s">
        <v>905</v>
      </c>
      <c r="E807" s="2" t="s">
        <v>6616</v>
      </c>
      <c r="F807" s="2">
        <v>1</v>
      </c>
      <c r="G807" s="2">
        <v>0.6</v>
      </c>
      <c r="I807" s="2">
        <v>660</v>
      </c>
      <c r="J807" s="2" t="s">
        <v>188</v>
      </c>
      <c r="M807" s="2">
        <v>0.6</v>
      </c>
      <c r="N807" s="2">
        <v>2.9</v>
      </c>
      <c r="O807" s="2" t="s">
        <v>5737</v>
      </c>
      <c r="Q807" s="2">
        <v>2015</v>
      </c>
      <c r="R807" s="2">
        <v>2015</v>
      </c>
      <c r="S807" s="2" t="s">
        <v>5738</v>
      </c>
      <c r="U807" s="2">
        <v>3</v>
      </c>
      <c r="V807" s="2" t="s">
        <v>187</v>
      </c>
    </row>
    <row r="808" spans="1:22">
      <c r="A808" s="2" t="s">
        <v>907</v>
      </c>
      <c r="B808" s="2" t="s">
        <v>908</v>
      </c>
      <c r="D808" s="2" t="s">
        <v>905</v>
      </c>
      <c r="E808" s="2" t="s">
        <v>6617</v>
      </c>
      <c r="F808" s="2">
        <v>2</v>
      </c>
      <c r="G808" s="2">
        <v>1.5</v>
      </c>
      <c r="H808" s="2">
        <v>0</v>
      </c>
      <c r="I808" s="2">
        <v>1650</v>
      </c>
      <c r="J808" s="2" t="s">
        <v>188</v>
      </c>
      <c r="M808" s="2">
        <v>1.5</v>
      </c>
      <c r="N808" s="2">
        <v>6.5</v>
      </c>
      <c r="O808" s="2" t="s">
        <v>5737</v>
      </c>
      <c r="Q808" s="2">
        <v>2015</v>
      </c>
      <c r="R808" s="2">
        <v>2015</v>
      </c>
      <c r="S808" s="2" t="s">
        <v>5739</v>
      </c>
      <c r="U808" s="2">
        <v>3</v>
      </c>
      <c r="V808" s="2" t="s">
        <v>187</v>
      </c>
    </row>
    <row r="809" spans="1:22">
      <c r="A809" s="2" t="s">
        <v>956</v>
      </c>
      <c r="B809" s="2" t="s">
        <v>956</v>
      </c>
      <c r="D809" s="2" t="s">
        <v>954</v>
      </c>
      <c r="E809" s="2" t="s">
        <v>6618</v>
      </c>
      <c r="F809" s="2">
        <v>1</v>
      </c>
      <c r="G809" s="2">
        <v>0.3</v>
      </c>
      <c r="H809" s="2">
        <v>0</v>
      </c>
      <c r="I809" s="2">
        <v>330</v>
      </c>
      <c r="J809" s="2" t="s">
        <v>188</v>
      </c>
      <c r="M809" s="2">
        <v>0.3</v>
      </c>
      <c r="N809" s="2">
        <v>1</v>
      </c>
      <c r="O809" s="2" t="s">
        <v>5734</v>
      </c>
      <c r="Q809" s="2">
        <v>2018</v>
      </c>
      <c r="R809" s="2">
        <v>2018</v>
      </c>
      <c r="S809" s="2" t="s">
        <v>5742</v>
      </c>
      <c r="U809" s="2">
        <v>1</v>
      </c>
      <c r="V809" s="2" t="s">
        <v>188</v>
      </c>
    </row>
    <row r="810" spans="1:22">
      <c r="A810" s="2" t="s">
        <v>999</v>
      </c>
      <c r="B810" s="2" t="s">
        <v>999</v>
      </c>
      <c r="D810" s="2" t="s">
        <v>996</v>
      </c>
      <c r="E810" s="2" t="s">
        <v>6619</v>
      </c>
      <c r="F810" s="2">
        <v>2</v>
      </c>
      <c r="G810" s="2">
        <v>0.4</v>
      </c>
      <c r="H810" s="2">
        <v>0</v>
      </c>
      <c r="I810" s="2">
        <v>440</v>
      </c>
      <c r="J810" s="2" t="s">
        <v>187</v>
      </c>
      <c r="K810" s="2" t="s">
        <v>1523</v>
      </c>
      <c r="M810" s="2">
        <v>0.4</v>
      </c>
      <c r="N810" s="2">
        <v>1.5</v>
      </c>
      <c r="O810" s="2" t="s">
        <v>5734</v>
      </c>
      <c r="Q810" s="2">
        <v>2015</v>
      </c>
      <c r="R810" s="2">
        <v>2015</v>
      </c>
      <c r="S810" s="2" t="s">
        <v>5742</v>
      </c>
      <c r="U810" s="2">
        <v>1</v>
      </c>
      <c r="V810" s="2" t="s">
        <v>188</v>
      </c>
    </row>
    <row r="811" spans="1:22">
      <c r="A811" s="2" t="s">
        <v>999</v>
      </c>
      <c r="B811" s="2" t="s">
        <v>999</v>
      </c>
      <c r="D811" s="2" t="s">
        <v>996</v>
      </c>
      <c r="E811" s="2" t="s">
        <v>6620</v>
      </c>
      <c r="F811" s="2">
        <v>1</v>
      </c>
      <c r="G811" s="2">
        <v>0.35</v>
      </c>
      <c r="H811" s="2">
        <v>0</v>
      </c>
      <c r="I811" s="2">
        <v>330</v>
      </c>
      <c r="J811" s="2" t="s">
        <v>188</v>
      </c>
      <c r="M811" s="2">
        <v>0.35</v>
      </c>
      <c r="N811" s="2">
        <v>1.3</v>
      </c>
      <c r="O811" s="2" t="s">
        <v>5734</v>
      </c>
      <c r="Q811" s="2">
        <v>2015</v>
      </c>
      <c r="R811" s="2">
        <v>2015</v>
      </c>
      <c r="S811" s="2" t="s">
        <v>5742</v>
      </c>
      <c r="U811" s="2">
        <v>1</v>
      </c>
      <c r="V811" s="2" t="s">
        <v>188</v>
      </c>
    </row>
    <row r="812" spans="1:22">
      <c r="A812" s="2" t="s">
        <v>1029</v>
      </c>
      <c r="B812" s="2" t="s">
        <v>1030</v>
      </c>
      <c r="D812" s="2" t="s">
        <v>1026</v>
      </c>
      <c r="E812" s="2" t="s">
        <v>6621</v>
      </c>
      <c r="F812" s="2">
        <v>1</v>
      </c>
      <c r="G812" s="2">
        <v>1.6</v>
      </c>
      <c r="H812" s="2">
        <v>0</v>
      </c>
      <c r="I812" s="2">
        <v>1600</v>
      </c>
      <c r="J812" s="2" t="s">
        <v>188</v>
      </c>
      <c r="M812" s="2">
        <v>1.6</v>
      </c>
      <c r="N812" s="2">
        <v>6.5</v>
      </c>
      <c r="O812" s="2" t="s">
        <v>5737</v>
      </c>
      <c r="Q812" s="2">
        <v>2012</v>
      </c>
      <c r="R812" s="2">
        <v>2012</v>
      </c>
      <c r="S812" s="2" t="s">
        <v>5742</v>
      </c>
      <c r="U812" s="2">
        <v>3</v>
      </c>
      <c r="V812" s="2" t="s">
        <v>187</v>
      </c>
    </row>
    <row r="813" spans="1:22">
      <c r="A813" s="2" t="s">
        <v>1226</v>
      </c>
      <c r="B813" s="2" t="s">
        <v>1227</v>
      </c>
      <c r="D813" s="2" t="s">
        <v>1224</v>
      </c>
      <c r="E813" s="2" t="s">
        <v>6622</v>
      </c>
      <c r="F813" s="2">
        <v>1</v>
      </c>
      <c r="G813" s="2">
        <v>0.2</v>
      </c>
      <c r="H813" s="2">
        <v>0</v>
      </c>
      <c r="I813" s="2">
        <v>200</v>
      </c>
      <c r="J813" s="2" t="s">
        <v>188</v>
      </c>
      <c r="M813" s="2">
        <v>0.2</v>
      </c>
      <c r="N813" s="2">
        <v>0.4</v>
      </c>
      <c r="O813" s="2" t="s">
        <v>5734</v>
      </c>
      <c r="Q813" s="2">
        <v>2016</v>
      </c>
      <c r="R813" s="2">
        <v>2016</v>
      </c>
      <c r="S813" s="2" t="s">
        <v>5738</v>
      </c>
      <c r="U813" s="2">
        <v>2</v>
      </c>
      <c r="V813" s="2" t="s">
        <v>188</v>
      </c>
    </row>
    <row r="814" spans="1:22">
      <c r="A814" s="2" t="s">
        <v>1226</v>
      </c>
      <c r="B814" s="2" t="s">
        <v>1227</v>
      </c>
      <c r="D814" s="2" t="s">
        <v>1224</v>
      </c>
      <c r="E814" s="2" t="s">
        <v>6623</v>
      </c>
      <c r="F814" s="2">
        <v>2</v>
      </c>
      <c r="G814" s="2">
        <v>0.8</v>
      </c>
      <c r="H814" s="2">
        <v>0</v>
      </c>
      <c r="I814" s="2">
        <v>800</v>
      </c>
      <c r="J814" s="2" t="s">
        <v>188</v>
      </c>
      <c r="M814" s="2">
        <v>0.8</v>
      </c>
      <c r="N814" s="2">
        <v>2.1</v>
      </c>
      <c r="O814" s="2" t="s">
        <v>5734</v>
      </c>
      <c r="Q814" s="2">
        <v>2019</v>
      </c>
      <c r="R814" s="2">
        <v>2019</v>
      </c>
      <c r="S814" s="2" t="s">
        <v>5738</v>
      </c>
      <c r="U814" s="2">
        <v>2</v>
      </c>
      <c r="V814" s="2" t="s">
        <v>188</v>
      </c>
    </row>
    <row r="815" spans="1:22">
      <c r="A815" s="2" t="s">
        <v>1236</v>
      </c>
      <c r="B815" s="2" t="s">
        <v>1237</v>
      </c>
      <c r="D815" s="2" t="s">
        <v>1233</v>
      </c>
      <c r="E815" s="2" t="s">
        <v>6624</v>
      </c>
      <c r="F815" s="2">
        <v>2</v>
      </c>
      <c r="G815" s="2">
        <v>0.5</v>
      </c>
      <c r="H815" s="2">
        <v>0</v>
      </c>
      <c r="I815" s="2">
        <v>500</v>
      </c>
      <c r="J815" s="2" t="s">
        <v>188</v>
      </c>
      <c r="M815" s="2">
        <v>0.5</v>
      </c>
      <c r="N815" s="2">
        <v>1</v>
      </c>
      <c r="O815" s="2" t="s">
        <v>5734</v>
      </c>
      <c r="Q815" s="2">
        <v>2009</v>
      </c>
      <c r="R815" s="2">
        <v>2009</v>
      </c>
      <c r="S815" s="2" t="s">
        <v>5738</v>
      </c>
      <c r="U815" s="2">
        <v>1</v>
      </c>
      <c r="V815" s="2" t="s">
        <v>188</v>
      </c>
    </row>
    <row r="816" spans="1:22">
      <c r="A816" s="2" t="s">
        <v>1236</v>
      </c>
      <c r="B816" s="2" t="s">
        <v>1237</v>
      </c>
      <c r="D816" s="2" t="s">
        <v>1233</v>
      </c>
      <c r="E816" s="2" t="s">
        <v>6625</v>
      </c>
      <c r="F816" s="2">
        <v>3</v>
      </c>
      <c r="G816" s="2">
        <v>0.6</v>
      </c>
      <c r="H816" s="2">
        <v>0</v>
      </c>
      <c r="I816" s="2">
        <v>660</v>
      </c>
      <c r="J816" s="2" t="s">
        <v>188</v>
      </c>
      <c r="M816" s="2">
        <v>0.6</v>
      </c>
      <c r="N816" s="2">
        <v>1.1000000000000001</v>
      </c>
      <c r="O816" s="2" t="s">
        <v>6626</v>
      </c>
      <c r="Q816" s="2">
        <v>2015</v>
      </c>
      <c r="R816" s="2">
        <v>2015</v>
      </c>
      <c r="S816" s="2" t="s">
        <v>5738</v>
      </c>
      <c r="U816" s="2">
        <v>2</v>
      </c>
      <c r="V816" s="2" t="s">
        <v>188</v>
      </c>
    </row>
    <row r="817" spans="1:22">
      <c r="A817" s="2" t="s">
        <v>1236</v>
      </c>
      <c r="B817" s="2" t="s">
        <v>1237</v>
      </c>
      <c r="D817" s="2" t="s">
        <v>1233</v>
      </c>
      <c r="E817" s="2" t="s">
        <v>6627</v>
      </c>
      <c r="F817" s="2">
        <v>1</v>
      </c>
      <c r="G817" s="2">
        <v>0.2</v>
      </c>
      <c r="H817" s="2">
        <v>0</v>
      </c>
      <c r="I817" s="2">
        <v>200</v>
      </c>
      <c r="J817" s="2" t="s">
        <v>188</v>
      </c>
      <c r="M817" s="2">
        <v>0</v>
      </c>
      <c r="N817" s="2">
        <v>0</v>
      </c>
      <c r="O817" s="2" t="s">
        <v>5734</v>
      </c>
      <c r="Q817" s="2">
        <v>2000</v>
      </c>
      <c r="R817" s="2">
        <v>2024</v>
      </c>
      <c r="S817" s="2" t="s">
        <v>5735</v>
      </c>
      <c r="U817" s="2">
        <v>3</v>
      </c>
      <c r="V817" s="2" t="s">
        <v>188</v>
      </c>
    </row>
    <row r="818" spans="1:22">
      <c r="A818" s="2" t="s">
        <v>1255</v>
      </c>
      <c r="B818" s="2" t="s">
        <v>1256</v>
      </c>
      <c r="D818" s="2" t="s">
        <v>1252</v>
      </c>
      <c r="E818" s="2" t="s">
        <v>6628</v>
      </c>
      <c r="F818" s="2">
        <v>1</v>
      </c>
      <c r="G818" s="2">
        <v>2</v>
      </c>
      <c r="H818" s="2">
        <v>0</v>
      </c>
      <c r="I818" s="2">
        <v>2200</v>
      </c>
      <c r="J818" s="2" t="s">
        <v>188</v>
      </c>
      <c r="M818" s="2">
        <v>2</v>
      </c>
      <c r="N818" s="2">
        <v>4</v>
      </c>
      <c r="O818" s="2" t="s">
        <v>5734</v>
      </c>
      <c r="Q818" s="2">
        <v>2015</v>
      </c>
      <c r="R818" s="2">
        <v>2015</v>
      </c>
      <c r="S818" s="2" t="s">
        <v>5738</v>
      </c>
      <c r="U818" s="2">
        <v>2</v>
      </c>
      <c r="V818" s="2" t="s">
        <v>188</v>
      </c>
    </row>
    <row r="819" spans="1:22">
      <c r="A819" s="2" t="s">
        <v>1255</v>
      </c>
      <c r="B819" s="2" t="s">
        <v>1256</v>
      </c>
      <c r="D819" s="2" t="s">
        <v>1252</v>
      </c>
      <c r="E819" s="2" t="s">
        <v>6629</v>
      </c>
      <c r="F819" s="2">
        <v>2</v>
      </c>
      <c r="G819" s="2">
        <v>1</v>
      </c>
      <c r="H819" s="2">
        <v>0</v>
      </c>
      <c r="I819" s="2">
        <v>1100</v>
      </c>
      <c r="J819" s="2" t="s">
        <v>188</v>
      </c>
      <c r="M819" s="2">
        <v>1</v>
      </c>
      <c r="N819" s="2">
        <v>1.2</v>
      </c>
      <c r="O819" s="2" t="s">
        <v>5734</v>
      </c>
      <c r="Q819" s="2">
        <v>2015</v>
      </c>
      <c r="R819" s="2">
        <v>2015</v>
      </c>
      <c r="S819" s="2" t="s">
        <v>5738</v>
      </c>
      <c r="U819" s="2">
        <v>2</v>
      </c>
      <c r="V819" s="2" t="s">
        <v>188</v>
      </c>
    </row>
    <row r="820" spans="1:22">
      <c r="A820" s="2" t="s">
        <v>1287</v>
      </c>
      <c r="B820" s="2" t="s">
        <v>1288</v>
      </c>
      <c r="D820" s="2" t="s">
        <v>1285</v>
      </c>
      <c r="E820" s="2" t="s">
        <v>6630</v>
      </c>
      <c r="F820" s="2">
        <v>2</v>
      </c>
      <c r="G820" s="2">
        <v>0.2</v>
      </c>
      <c r="H820" s="2">
        <v>0</v>
      </c>
      <c r="I820" s="2">
        <v>220</v>
      </c>
      <c r="J820" s="2" t="s">
        <v>188</v>
      </c>
      <c r="M820" s="2">
        <v>0.2</v>
      </c>
      <c r="N820" s="2">
        <v>0.7</v>
      </c>
      <c r="O820" s="2" t="s">
        <v>5734</v>
      </c>
      <c r="Q820" s="2">
        <v>2010</v>
      </c>
      <c r="R820" s="2">
        <v>2010</v>
      </c>
      <c r="S820" s="2" t="s">
        <v>5738</v>
      </c>
      <c r="U820" s="2">
        <v>2</v>
      </c>
      <c r="V820" s="2" t="s">
        <v>188</v>
      </c>
    </row>
    <row r="821" spans="1:22">
      <c r="A821" s="2" t="s">
        <v>1287</v>
      </c>
      <c r="B821" s="2" t="s">
        <v>1288</v>
      </c>
      <c r="D821" s="2" t="s">
        <v>1285</v>
      </c>
      <c r="E821" s="2" t="s">
        <v>6631</v>
      </c>
      <c r="F821" s="2">
        <v>3</v>
      </c>
      <c r="G821" s="2">
        <v>0.2</v>
      </c>
      <c r="H821" s="2">
        <v>0</v>
      </c>
      <c r="I821" s="2">
        <v>220</v>
      </c>
      <c r="J821" s="2" t="s">
        <v>188</v>
      </c>
      <c r="M821" s="2">
        <v>0</v>
      </c>
      <c r="N821" s="2">
        <v>0</v>
      </c>
      <c r="O821" s="2" t="s">
        <v>5734</v>
      </c>
      <c r="Q821" s="2">
        <v>2024</v>
      </c>
      <c r="R821" s="2">
        <v>2024</v>
      </c>
      <c r="S821" s="2" t="s">
        <v>5738</v>
      </c>
      <c r="U821" s="2">
        <v>1</v>
      </c>
      <c r="V821" s="2" t="s">
        <v>188</v>
      </c>
    </row>
    <row r="822" spans="1:22">
      <c r="A822" s="2" t="s">
        <v>1287</v>
      </c>
      <c r="B822" s="2" t="s">
        <v>1288</v>
      </c>
      <c r="D822" s="2" t="s">
        <v>1285</v>
      </c>
      <c r="E822" s="2" t="s">
        <v>6632</v>
      </c>
      <c r="F822" s="2">
        <v>1</v>
      </c>
      <c r="G822" s="2">
        <v>1.1000000000000001</v>
      </c>
      <c r="H822" s="2">
        <v>0</v>
      </c>
      <c r="I822" s="2">
        <v>1100</v>
      </c>
      <c r="J822" s="2" t="s">
        <v>188</v>
      </c>
      <c r="M822" s="2">
        <v>0.5</v>
      </c>
      <c r="N822" s="2">
        <v>0.8</v>
      </c>
      <c r="O822" s="2" t="s">
        <v>5734</v>
      </c>
      <c r="Q822" s="2">
        <v>2014</v>
      </c>
      <c r="R822" s="2">
        <v>2014</v>
      </c>
      <c r="S822" s="2" t="s">
        <v>5738</v>
      </c>
      <c r="U822" s="2">
        <v>1</v>
      </c>
      <c r="V822" s="2" t="s">
        <v>188</v>
      </c>
    </row>
    <row r="823" spans="1:22">
      <c r="A823" s="2" t="s">
        <v>1312</v>
      </c>
      <c r="B823" s="2" t="s">
        <v>1312</v>
      </c>
      <c r="D823" s="2" t="s">
        <v>1310</v>
      </c>
      <c r="E823" s="2" t="s">
        <v>6633</v>
      </c>
      <c r="F823" s="2">
        <v>3</v>
      </c>
      <c r="G823" s="2">
        <v>0.5</v>
      </c>
      <c r="H823" s="2">
        <v>0</v>
      </c>
      <c r="I823" s="2">
        <v>550</v>
      </c>
      <c r="J823" s="2" t="s">
        <v>187</v>
      </c>
      <c r="K823" s="2" t="s">
        <v>308</v>
      </c>
      <c r="M823" s="2">
        <v>0</v>
      </c>
      <c r="N823" s="2">
        <v>0</v>
      </c>
      <c r="O823" s="2" t="s">
        <v>5737</v>
      </c>
      <c r="Q823" s="2">
        <v>2024</v>
      </c>
      <c r="R823" s="2">
        <v>2024</v>
      </c>
      <c r="S823" s="2" t="s">
        <v>5735</v>
      </c>
      <c r="U823" s="2">
        <v>2</v>
      </c>
      <c r="V823" s="2" t="s">
        <v>187</v>
      </c>
    </row>
    <row r="824" spans="1:22">
      <c r="A824" s="2" t="s">
        <v>1312</v>
      </c>
      <c r="B824" s="2" t="s">
        <v>1312</v>
      </c>
      <c r="D824" s="2" t="s">
        <v>1310</v>
      </c>
      <c r="E824" s="2" t="s">
        <v>6634</v>
      </c>
      <c r="F824" s="2">
        <v>2</v>
      </c>
      <c r="G824" s="2">
        <v>0.5</v>
      </c>
      <c r="H824" s="2">
        <v>0</v>
      </c>
      <c r="I824" s="2">
        <v>550</v>
      </c>
      <c r="J824" s="2" t="s">
        <v>188</v>
      </c>
      <c r="M824" s="2">
        <v>0.5</v>
      </c>
      <c r="N824" s="2">
        <v>2</v>
      </c>
      <c r="O824" s="2" t="s">
        <v>5734</v>
      </c>
      <c r="Q824" s="2">
        <v>2008</v>
      </c>
      <c r="R824" s="2">
        <v>2008</v>
      </c>
      <c r="S824" s="2" t="s">
        <v>5738</v>
      </c>
      <c r="U824" s="2">
        <v>2</v>
      </c>
      <c r="V824" s="2" t="s">
        <v>187</v>
      </c>
    </row>
    <row r="825" spans="1:22">
      <c r="A825" s="2" t="s">
        <v>1312</v>
      </c>
      <c r="B825" s="2" t="s">
        <v>1312</v>
      </c>
      <c r="D825" s="2" t="s">
        <v>1310</v>
      </c>
      <c r="E825" s="2" t="s">
        <v>6635</v>
      </c>
      <c r="F825" s="2">
        <v>1</v>
      </c>
      <c r="G825" s="2">
        <v>2</v>
      </c>
      <c r="H825" s="2">
        <v>0</v>
      </c>
      <c r="I825" s="2">
        <v>2200</v>
      </c>
      <c r="J825" s="2" t="s">
        <v>188</v>
      </c>
      <c r="M825" s="2">
        <v>2</v>
      </c>
      <c r="N825" s="2">
        <v>5.5</v>
      </c>
      <c r="O825" s="2" t="s">
        <v>5737</v>
      </c>
      <c r="Q825" s="2">
        <v>2012</v>
      </c>
      <c r="R825" s="2">
        <v>2012</v>
      </c>
      <c r="S825" s="2" t="s">
        <v>5738</v>
      </c>
      <c r="U825" s="2">
        <v>2</v>
      </c>
      <c r="V825" s="2" t="s">
        <v>187</v>
      </c>
    </row>
    <row r="826" spans="1:22">
      <c r="A826" s="2" t="s">
        <v>1338</v>
      </c>
      <c r="B826" s="2" t="s">
        <v>1339</v>
      </c>
      <c r="D826" s="2" t="s">
        <v>1336</v>
      </c>
      <c r="E826" s="2" t="s">
        <v>6636</v>
      </c>
      <c r="F826" s="2">
        <v>4</v>
      </c>
      <c r="G826" s="2">
        <v>1</v>
      </c>
      <c r="H826" s="2">
        <v>0</v>
      </c>
      <c r="I826" s="2">
        <v>1100</v>
      </c>
      <c r="J826" s="2" t="s">
        <v>188</v>
      </c>
      <c r="M826" s="2">
        <v>1</v>
      </c>
      <c r="N826" s="2">
        <v>2.5</v>
      </c>
      <c r="O826" s="2" t="s">
        <v>5734</v>
      </c>
      <c r="Q826" s="2">
        <v>2019</v>
      </c>
      <c r="R826" s="2">
        <v>2019</v>
      </c>
      <c r="S826" s="2" t="s">
        <v>5738</v>
      </c>
      <c r="U826" s="2">
        <v>2</v>
      </c>
      <c r="V826" s="2" t="s">
        <v>187</v>
      </c>
    </row>
    <row r="827" spans="1:22">
      <c r="A827" s="2" t="s">
        <v>1338</v>
      </c>
      <c r="B827" s="2" t="s">
        <v>1339</v>
      </c>
      <c r="D827" s="2" t="s">
        <v>1336</v>
      </c>
      <c r="E827" s="2" t="s">
        <v>6637</v>
      </c>
      <c r="F827" s="2">
        <v>1</v>
      </c>
      <c r="G827" s="2">
        <v>0.5</v>
      </c>
      <c r="H827" s="2">
        <v>0</v>
      </c>
      <c r="I827" s="2">
        <v>550</v>
      </c>
      <c r="J827" s="2" t="s">
        <v>187</v>
      </c>
      <c r="K827" s="2" t="s">
        <v>1523</v>
      </c>
      <c r="M827" s="2">
        <v>0</v>
      </c>
      <c r="O827" s="2" t="s">
        <v>5734</v>
      </c>
      <c r="Q827" s="2">
        <v>2022</v>
      </c>
      <c r="R827" s="2">
        <v>2022</v>
      </c>
      <c r="S827" s="2" t="s">
        <v>5735</v>
      </c>
      <c r="U827" s="2">
        <v>2</v>
      </c>
      <c r="V827" s="2" t="s">
        <v>187</v>
      </c>
    </row>
    <row r="828" spans="1:22">
      <c r="A828" s="2" t="s">
        <v>1338</v>
      </c>
      <c r="B828" s="2" t="s">
        <v>1339</v>
      </c>
      <c r="D828" s="2" t="s">
        <v>1336</v>
      </c>
      <c r="E828" s="2" t="s">
        <v>6638</v>
      </c>
      <c r="F828" s="2">
        <v>2</v>
      </c>
      <c r="G828" s="2">
        <v>0.5</v>
      </c>
      <c r="H828" s="2">
        <v>0</v>
      </c>
      <c r="I828" s="2">
        <v>550</v>
      </c>
      <c r="J828" s="2" t="s">
        <v>188</v>
      </c>
      <c r="M828" s="2">
        <v>0.5</v>
      </c>
      <c r="N828" s="2">
        <v>0.7</v>
      </c>
      <c r="O828" s="2" t="s">
        <v>5737</v>
      </c>
      <c r="Q828" s="2">
        <v>2001</v>
      </c>
      <c r="R828" s="2">
        <v>2001</v>
      </c>
      <c r="S828" s="2" t="s">
        <v>5738</v>
      </c>
      <c r="U828" s="2">
        <v>2</v>
      </c>
      <c r="V828" s="2" t="s">
        <v>187</v>
      </c>
    </row>
    <row r="829" spans="1:22">
      <c r="A829" s="2" t="s">
        <v>1338</v>
      </c>
      <c r="B829" s="2" t="s">
        <v>1339</v>
      </c>
      <c r="D829" s="2" t="s">
        <v>1336</v>
      </c>
      <c r="E829" s="2" t="s">
        <v>6639</v>
      </c>
      <c r="F829" s="2">
        <v>3</v>
      </c>
      <c r="G829" s="2">
        <v>1</v>
      </c>
      <c r="H829" s="2">
        <v>0</v>
      </c>
      <c r="I829" s="2">
        <v>1100</v>
      </c>
      <c r="J829" s="2" t="s">
        <v>188</v>
      </c>
      <c r="M829" s="2">
        <v>1</v>
      </c>
      <c r="N829" s="2">
        <v>2.8</v>
      </c>
      <c r="O829" s="2" t="s">
        <v>5734</v>
      </c>
      <c r="Q829" s="2">
        <v>2018</v>
      </c>
      <c r="R829" s="2">
        <v>2018</v>
      </c>
      <c r="S829" s="2" t="s">
        <v>5738</v>
      </c>
      <c r="U829" s="2">
        <v>2</v>
      </c>
      <c r="V829" s="2" t="s">
        <v>187</v>
      </c>
    </row>
    <row r="830" spans="1:22">
      <c r="A830" s="2" t="s">
        <v>1376</v>
      </c>
      <c r="B830" s="2" t="s">
        <v>1376</v>
      </c>
      <c r="D830" s="2" t="s">
        <v>1374</v>
      </c>
      <c r="E830" s="2" t="s">
        <v>6640</v>
      </c>
      <c r="F830" s="2">
        <v>1</v>
      </c>
      <c r="G830" s="2">
        <v>0.5</v>
      </c>
      <c r="H830" s="2">
        <v>0</v>
      </c>
      <c r="I830" s="2">
        <v>550</v>
      </c>
      <c r="J830" s="2" t="s">
        <v>188</v>
      </c>
      <c r="M830" s="2">
        <v>0.5</v>
      </c>
      <c r="N830" s="2">
        <v>0.9</v>
      </c>
      <c r="O830" s="2" t="s">
        <v>5734</v>
      </c>
      <c r="Q830" s="2">
        <v>2010</v>
      </c>
      <c r="R830" s="2">
        <v>2010</v>
      </c>
      <c r="S830" s="2" t="s">
        <v>5738</v>
      </c>
      <c r="U830" s="2">
        <v>1</v>
      </c>
      <c r="V830" s="2" t="s">
        <v>187</v>
      </c>
    </row>
    <row r="831" spans="1:22">
      <c r="A831" s="2" t="s">
        <v>1376</v>
      </c>
      <c r="B831" s="2" t="s">
        <v>1376</v>
      </c>
      <c r="D831" s="2" t="s">
        <v>1374</v>
      </c>
      <c r="E831" s="2" t="s">
        <v>6641</v>
      </c>
      <c r="F831" s="2">
        <v>3</v>
      </c>
      <c r="G831" s="2">
        <v>0.5</v>
      </c>
      <c r="H831" s="2">
        <v>0</v>
      </c>
      <c r="I831" s="2">
        <v>550</v>
      </c>
      <c r="J831" s="2" t="s">
        <v>188</v>
      </c>
      <c r="M831" s="2">
        <v>0</v>
      </c>
      <c r="N831" s="2">
        <v>0</v>
      </c>
      <c r="O831" s="2" t="s">
        <v>5737</v>
      </c>
      <c r="Q831" s="2">
        <v>2005</v>
      </c>
      <c r="R831" s="2">
        <v>2022</v>
      </c>
      <c r="S831" s="2" t="s">
        <v>5735</v>
      </c>
      <c r="U831" s="2">
        <v>2</v>
      </c>
      <c r="V831" s="2" t="s">
        <v>187</v>
      </c>
    </row>
    <row r="832" spans="1:22">
      <c r="A832" s="2" t="s">
        <v>1376</v>
      </c>
      <c r="B832" s="2" t="s">
        <v>1376</v>
      </c>
      <c r="D832" s="2" t="s">
        <v>1374</v>
      </c>
      <c r="E832" s="2" t="s">
        <v>6642</v>
      </c>
      <c r="F832" s="2">
        <v>2</v>
      </c>
      <c r="G832" s="2">
        <v>0.8</v>
      </c>
      <c r="H832" s="2">
        <v>8</v>
      </c>
      <c r="I832" s="2">
        <v>880</v>
      </c>
      <c r="J832" s="2" t="s">
        <v>187</v>
      </c>
      <c r="K832" s="2" t="s">
        <v>1523</v>
      </c>
      <c r="M832" s="2">
        <v>0.8</v>
      </c>
      <c r="N832" s="2">
        <v>2.1</v>
      </c>
      <c r="O832" s="2" t="s">
        <v>5737</v>
      </c>
      <c r="Q832" s="2">
        <v>2015</v>
      </c>
      <c r="R832" s="2">
        <v>2015</v>
      </c>
      <c r="S832" s="2" t="s">
        <v>5738</v>
      </c>
      <c r="U832" s="2">
        <v>1</v>
      </c>
      <c r="V832" s="2" t="s">
        <v>187</v>
      </c>
    </row>
    <row r="833" spans="1:22">
      <c r="A833" s="2" t="s">
        <v>1607</v>
      </c>
      <c r="B833" s="2" t="s">
        <v>1608</v>
      </c>
      <c r="D833" s="2" t="s">
        <v>1605</v>
      </c>
      <c r="E833" s="2" t="s">
        <v>6643</v>
      </c>
      <c r="F833" s="2">
        <v>2</v>
      </c>
      <c r="G833" s="2">
        <v>0.23</v>
      </c>
      <c r="H833" s="2">
        <v>0</v>
      </c>
      <c r="I833" s="2">
        <v>250</v>
      </c>
      <c r="J833" s="2" t="s">
        <v>187</v>
      </c>
      <c r="K833" s="2" t="s">
        <v>1523</v>
      </c>
      <c r="M833" s="2">
        <v>0.23</v>
      </c>
      <c r="N833" s="2">
        <v>0.5</v>
      </c>
      <c r="O833" s="2" t="s">
        <v>5734</v>
      </c>
      <c r="Q833" s="2">
        <v>2010</v>
      </c>
      <c r="R833" s="2">
        <v>2010</v>
      </c>
      <c r="S833" s="2" t="s">
        <v>5739</v>
      </c>
      <c r="U833" s="2">
        <v>2</v>
      </c>
      <c r="V833" s="2" t="s">
        <v>187</v>
      </c>
    </row>
    <row r="834" spans="1:22">
      <c r="A834" s="2" t="s">
        <v>1607</v>
      </c>
      <c r="B834" s="2" t="s">
        <v>1608</v>
      </c>
      <c r="D834" s="2" t="s">
        <v>1605</v>
      </c>
      <c r="E834" s="2" t="s">
        <v>6644</v>
      </c>
      <c r="F834" s="2">
        <v>1</v>
      </c>
      <c r="G834" s="2">
        <v>0.45</v>
      </c>
      <c r="H834" s="2">
        <v>0</v>
      </c>
      <c r="I834" s="2">
        <v>480</v>
      </c>
      <c r="J834" s="2" t="s">
        <v>187</v>
      </c>
      <c r="K834" s="2" t="s">
        <v>1523</v>
      </c>
      <c r="M834" s="2">
        <v>0.45</v>
      </c>
      <c r="N834" s="2">
        <v>1.5</v>
      </c>
      <c r="O834" s="2" t="s">
        <v>5737</v>
      </c>
      <c r="Q834" s="2">
        <v>2017</v>
      </c>
      <c r="R834" s="2">
        <v>2017</v>
      </c>
      <c r="S834" s="2" t="s">
        <v>5742</v>
      </c>
      <c r="U834" s="2">
        <v>2</v>
      </c>
      <c r="V834" s="2" t="s">
        <v>187</v>
      </c>
    </row>
    <row r="835" spans="1:22">
      <c r="A835" s="2" t="s">
        <v>922</v>
      </c>
      <c r="B835" s="2" t="s">
        <v>922</v>
      </c>
      <c r="D835" s="2" t="s">
        <v>1594</v>
      </c>
      <c r="E835" s="2" t="s">
        <v>6645</v>
      </c>
      <c r="F835" s="2">
        <v>1</v>
      </c>
      <c r="G835" s="2">
        <v>0.8</v>
      </c>
      <c r="H835" s="2">
        <v>0</v>
      </c>
      <c r="I835" s="2">
        <v>880</v>
      </c>
      <c r="J835" s="2" t="s">
        <v>188</v>
      </c>
      <c r="M835" s="2">
        <v>0.8</v>
      </c>
      <c r="N835" s="2">
        <v>1.3</v>
      </c>
      <c r="O835" s="2" t="s">
        <v>5734</v>
      </c>
      <c r="Q835" s="2">
        <v>2009</v>
      </c>
      <c r="R835" s="2">
        <v>2009</v>
      </c>
      <c r="S835" s="2" t="s">
        <v>5738</v>
      </c>
      <c r="U835" s="2">
        <v>1</v>
      </c>
      <c r="V835" s="2" t="s">
        <v>187</v>
      </c>
    </row>
    <row r="836" spans="1:22">
      <c r="A836" s="2" t="s">
        <v>922</v>
      </c>
      <c r="B836" s="2" t="s">
        <v>922</v>
      </c>
      <c r="D836" s="2" t="s">
        <v>1594</v>
      </c>
      <c r="E836" s="2" t="s">
        <v>6646</v>
      </c>
      <c r="F836" s="2">
        <v>2</v>
      </c>
      <c r="G836" s="2">
        <v>0.8</v>
      </c>
      <c r="H836" s="2">
        <v>0</v>
      </c>
      <c r="I836" s="2">
        <v>880</v>
      </c>
      <c r="J836" s="2" t="s">
        <v>188</v>
      </c>
      <c r="M836" s="2">
        <v>0.8</v>
      </c>
      <c r="N836" s="2">
        <v>0.8</v>
      </c>
      <c r="O836" s="2" t="s">
        <v>5737</v>
      </c>
      <c r="Q836" s="2">
        <v>2012</v>
      </c>
      <c r="R836" s="2">
        <v>2012</v>
      </c>
      <c r="S836" s="2" t="s">
        <v>5742</v>
      </c>
      <c r="U836" s="2">
        <v>2</v>
      </c>
      <c r="V836" s="2" t="s">
        <v>187</v>
      </c>
    </row>
    <row r="837" spans="1:22">
      <c r="A837" s="2" t="s">
        <v>1601</v>
      </c>
      <c r="B837" s="2" t="s">
        <v>1601</v>
      </c>
      <c r="D837" s="2" t="s">
        <v>1599</v>
      </c>
      <c r="E837" s="2" t="s">
        <v>6647</v>
      </c>
      <c r="F837" s="2">
        <v>1</v>
      </c>
      <c r="G837" s="2">
        <v>0.5</v>
      </c>
      <c r="H837" s="2">
        <v>0</v>
      </c>
      <c r="I837" s="2">
        <v>550</v>
      </c>
      <c r="J837" s="2" t="s">
        <v>188</v>
      </c>
      <c r="M837" s="2">
        <v>0.5</v>
      </c>
      <c r="N837" s="2">
        <v>1.5</v>
      </c>
      <c r="O837" s="2" t="s">
        <v>5734</v>
      </c>
      <c r="Q837" s="2">
        <v>2017</v>
      </c>
      <c r="R837" s="2">
        <v>2017</v>
      </c>
      <c r="S837" s="2" t="s">
        <v>5738</v>
      </c>
      <c r="U837" s="2">
        <v>1</v>
      </c>
      <c r="V837" s="2" t="s">
        <v>188</v>
      </c>
    </row>
    <row r="838" spans="1:22">
      <c r="A838" s="2" t="s">
        <v>1601</v>
      </c>
      <c r="B838" s="2" t="s">
        <v>1601</v>
      </c>
      <c r="D838" s="2" t="s">
        <v>1599</v>
      </c>
      <c r="E838" s="2" t="s">
        <v>6648</v>
      </c>
      <c r="F838" s="2">
        <v>2</v>
      </c>
      <c r="G838" s="2">
        <v>0.5</v>
      </c>
      <c r="H838" s="2">
        <v>0</v>
      </c>
      <c r="I838" s="2">
        <v>550</v>
      </c>
      <c r="J838" s="2" t="s">
        <v>188</v>
      </c>
      <c r="M838" s="2">
        <v>0</v>
      </c>
      <c r="N838" s="2">
        <v>0</v>
      </c>
      <c r="O838" s="2" t="s">
        <v>5737</v>
      </c>
      <c r="Q838" s="2">
        <v>2007</v>
      </c>
      <c r="R838" s="2">
        <v>2024</v>
      </c>
      <c r="S838" s="2" t="s">
        <v>5735</v>
      </c>
      <c r="U838" s="2">
        <v>1</v>
      </c>
      <c r="V838" s="2" t="s">
        <v>187</v>
      </c>
    </row>
    <row r="839" spans="1:22">
      <c r="A839" s="2" t="s">
        <v>1463</v>
      </c>
      <c r="B839" s="2" t="s">
        <v>1464</v>
      </c>
      <c r="D839" s="2" t="s">
        <v>1461</v>
      </c>
      <c r="E839" s="2" t="s">
        <v>6649</v>
      </c>
      <c r="F839" s="2">
        <v>2</v>
      </c>
      <c r="G839" s="2">
        <v>2</v>
      </c>
      <c r="H839" s="2">
        <v>0</v>
      </c>
      <c r="I839" s="2">
        <v>2200</v>
      </c>
      <c r="J839" s="2" t="s">
        <v>188</v>
      </c>
      <c r="M839" s="2">
        <v>2</v>
      </c>
      <c r="N839" s="2">
        <v>2.2999999999999998</v>
      </c>
      <c r="O839" s="2" t="s">
        <v>5734</v>
      </c>
      <c r="Q839" s="2">
        <v>2014</v>
      </c>
      <c r="R839" s="2">
        <v>2014</v>
      </c>
      <c r="S839" s="2" t="s">
        <v>5738</v>
      </c>
      <c r="U839" s="2">
        <v>2</v>
      </c>
      <c r="V839" s="2" t="s">
        <v>187</v>
      </c>
    </row>
    <row r="840" spans="1:22">
      <c r="A840" s="2" t="s">
        <v>1463</v>
      </c>
      <c r="B840" s="2" t="s">
        <v>1464</v>
      </c>
      <c r="D840" s="2" t="s">
        <v>1461</v>
      </c>
      <c r="E840" s="2" t="s">
        <v>6650</v>
      </c>
      <c r="F840" s="2">
        <v>1</v>
      </c>
      <c r="G840" s="2">
        <v>2</v>
      </c>
      <c r="H840" s="2">
        <v>0</v>
      </c>
      <c r="I840" s="2">
        <v>2200</v>
      </c>
      <c r="J840" s="2" t="s">
        <v>188</v>
      </c>
      <c r="M840" s="2">
        <v>2</v>
      </c>
      <c r="N840" s="2">
        <v>2.2000000000000002</v>
      </c>
      <c r="O840" s="2" t="s">
        <v>5737</v>
      </c>
      <c r="Q840" s="2">
        <v>2017</v>
      </c>
      <c r="R840" s="2">
        <v>2017</v>
      </c>
      <c r="S840" s="2" t="s">
        <v>5738</v>
      </c>
      <c r="U840" s="2">
        <v>1</v>
      </c>
      <c r="V840" s="2" t="s">
        <v>187</v>
      </c>
    </row>
    <row r="841" spans="1:22">
      <c r="A841" s="2" t="s">
        <v>1438</v>
      </c>
      <c r="B841" s="2" t="s">
        <v>1438</v>
      </c>
      <c r="D841" s="2" t="s">
        <v>1435</v>
      </c>
      <c r="E841" s="2" t="s">
        <v>6651</v>
      </c>
      <c r="F841" s="2">
        <v>2</v>
      </c>
      <c r="G841" s="2">
        <v>1</v>
      </c>
      <c r="H841" s="2">
        <v>0</v>
      </c>
      <c r="I841" s="2">
        <v>1100</v>
      </c>
      <c r="J841" s="2" t="s">
        <v>188</v>
      </c>
      <c r="M841" s="2">
        <v>1</v>
      </c>
      <c r="N841" s="2">
        <v>0.5</v>
      </c>
      <c r="O841" s="2" t="s">
        <v>5737</v>
      </c>
      <c r="Q841" s="2">
        <v>1997</v>
      </c>
      <c r="R841" s="2">
        <v>2022</v>
      </c>
      <c r="S841" s="2" t="s">
        <v>5735</v>
      </c>
      <c r="U841" s="2">
        <v>2</v>
      </c>
      <c r="V841" s="2" t="s">
        <v>187</v>
      </c>
    </row>
    <row r="842" spans="1:22">
      <c r="A842" s="2" t="s">
        <v>1438</v>
      </c>
      <c r="B842" s="2" t="s">
        <v>1438</v>
      </c>
      <c r="D842" s="2" t="s">
        <v>1435</v>
      </c>
      <c r="E842" s="2" t="s">
        <v>6652</v>
      </c>
      <c r="F842" s="2">
        <v>1</v>
      </c>
      <c r="G842" s="2">
        <v>1</v>
      </c>
      <c r="H842" s="2">
        <v>0</v>
      </c>
      <c r="I842" s="2">
        <v>1100</v>
      </c>
      <c r="J842" s="2" t="s">
        <v>188</v>
      </c>
      <c r="M842" s="2">
        <v>0</v>
      </c>
      <c r="N842" s="2">
        <v>0</v>
      </c>
      <c r="O842" s="2" t="s">
        <v>5737</v>
      </c>
      <c r="Q842" s="2">
        <v>1997</v>
      </c>
      <c r="R842" s="2">
        <v>2023</v>
      </c>
      <c r="S842" s="2" t="s">
        <v>5735</v>
      </c>
      <c r="U842" s="2">
        <v>2</v>
      </c>
      <c r="V842" s="2" t="s">
        <v>187</v>
      </c>
    </row>
    <row r="843" spans="1:22">
      <c r="A843" s="2" t="s">
        <v>1438</v>
      </c>
      <c r="B843" s="2" t="s">
        <v>1438</v>
      </c>
      <c r="D843" s="2" t="s">
        <v>1435</v>
      </c>
      <c r="E843" s="2" t="s">
        <v>6653</v>
      </c>
      <c r="F843" s="2">
        <v>3</v>
      </c>
      <c r="G843" s="2">
        <v>2.5</v>
      </c>
      <c r="H843" s="2">
        <v>0</v>
      </c>
      <c r="I843" s="2">
        <v>2750</v>
      </c>
      <c r="J843" s="2" t="s">
        <v>188</v>
      </c>
      <c r="M843" s="2">
        <v>2.5</v>
      </c>
      <c r="N843" s="2">
        <v>5</v>
      </c>
      <c r="O843" s="2" t="s">
        <v>5734</v>
      </c>
      <c r="Q843" s="2">
        <v>2019</v>
      </c>
      <c r="R843" s="2">
        <v>2019</v>
      </c>
      <c r="S843" s="2" t="s">
        <v>5738</v>
      </c>
      <c r="U843" s="2">
        <v>2</v>
      </c>
      <c r="V843" s="2" t="s">
        <v>187</v>
      </c>
    </row>
    <row r="844" spans="1:22">
      <c r="A844" s="2" t="s">
        <v>1438</v>
      </c>
      <c r="B844" s="2" t="s">
        <v>1438</v>
      </c>
      <c r="D844" s="2" t="s">
        <v>1435</v>
      </c>
      <c r="E844" s="2" t="s">
        <v>6654</v>
      </c>
      <c r="F844" s="2">
        <v>4</v>
      </c>
      <c r="G844" s="2">
        <v>2.5</v>
      </c>
      <c r="H844" s="2">
        <v>0</v>
      </c>
      <c r="I844" s="2">
        <v>2700</v>
      </c>
      <c r="J844" s="2" t="s">
        <v>188</v>
      </c>
      <c r="M844" s="2">
        <v>2.5</v>
      </c>
      <c r="N844" s="2">
        <v>6</v>
      </c>
      <c r="O844" s="2" t="s">
        <v>5734</v>
      </c>
      <c r="Q844" s="2">
        <v>2020</v>
      </c>
      <c r="R844" s="2">
        <v>2020</v>
      </c>
      <c r="S844" s="2" t="s">
        <v>5738</v>
      </c>
      <c r="V844" s="2" t="s">
        <v>187</v>
      </c>
    </row>
    <row r="845" spans="1:22">
      <c r="A845" s="2" t="s">
        <v>1627</v>
      </c>
      <c r="B845" s="2" t="s">
        <v>1627</v>
      </c>
      <c r="D845" s="2" t="s">
        <v>1625</v>
      </c>
      <c r="E845" s="2" t="s">
        <v>6655</v>
      </c>
      <c r="F845" s="2">
        <v>3</v>
      </c>
      <c r="G845" s="2">
        <v>0.4</v>
      </c>
      <c r="H845" s="2">
        <v>0</v>
      </c>
      <c r="I845" s="2">
        <v>440</v>
      </c>
      <c r="J845" s="2" t="s">
        <v>188</v>
      </c>
      <c r="M845" s="2">
        <v>0.4</v>
      </c>
      <c r="N845" s="2">
        <v>1.8</v>
      </c>
      <c r="O845" s="2" t="s">
        <v>5737</v>
      </c>
      <c r="Q845" s="2">
        <v>2099</v>
      </c>
      <c r="R845" s="2">
        <v>2020</v>
      </c>
      <c r="S845" s="2" t="s">
        <v>5735</v>
      </c>
      <c r="U845" s="2">
        <v>1</v>
      </c>
      <c r="V845" s="2" t="s">
        <v>187</v>
      </c>
    </row>
    <row r="846" spans="1:22">
      <c r="A846" s="2" t="s">
        <v>1627</v>
      </c>
      <c r="B846" s="2" t="s">
        <v>1627</v>
      </c>
      <c r="D846" s="2" t="s">
        <v>1625</v>
      </c>
      <c r="E846" s="2" t="s">
        <v>6656</v>
      </c>
      <c r="F846" s="2">
        <v>1</v>
      </c>
      <c r="G846" s="2">
        <v>1</v>
      </c>
      <c r="H846" s="2">
        <v>0</v>
      </c>
      <c r="I846" s="2">
        <v>1100</v>
      </c>
      <c r="J846" s="2" t="s">
        <v>188</v>
      </c>
      <c r="M846" s="2">
        <v>1</v>
      </c>
      <c r="N846" s="2">
        <v>2.2000000000000002</v>
      </c>
      <c r="O846" s="2" t="s">
        <v>5737</v>
      </c>
      <c r="Q846" s="2">
        <v>2018</v>
      </c>
      <c r="R846" s="2">
        <v>2018</v>
      </c>
      <c r="S846" s="2" t="s">
        <v>5742</v>
      </c>
      <c r="U846" s="2">
        <v>1</v>
      </c>
      <c r="V846" s="2" t="s">
        <v>187</v>
      </c>
    </row>
    <row r="847" spans="1:22">
      <c r="A847" s="2" t="s">
        <v>1627</v>
      </c>
      <c r="B847" s="2" t="s">
        <v>1627</v>
      </c>
      <c r="D847" s="2" t="s">
        <v>1625</v>
      </c>
      <c r="E847" s="2" t="s">
        <v>6657</v>
      </c>
      <c r="F847" s="2">
        <v>2</v>
      </c>
      <c r="G847" s="2">
        <v>0.4</v>
      </c>
      <c r="H847" s="2">
        <v>0</v>
      </c>
      <c r="I847" s="2">
        <v>440</v>
      </c>
      <c r="J847" s="2" t="s">
        <v>188</v>
      </c>
      <c r="M847" s="2">
        <v>0</v>
      </c>
      <c r="O847" s="2" t="s">
        <v>5737</v>
      </c>
      <c r="Q847" s="2">
        <v>2023</v>
      </c>
      <c r="R847" s="2">
        <v>2023</v>
      </c>
      <c r="S847" s="2" t="s">
        <v>5735</v>
      </c>
      <c r="U847" s="2">
        <v>1</v>
      </c>
      <c r="V847" s="2" t="s">
        <v>187</v>
      </c>
    </row>
    <row r="848" spans="1:22">
      <c r="A848" s="2" t="s">
        <v>1651</v>
      </c>
      <c r="B848" s="2" t="s">
        <v>1652</v>
      </c>
      <c r="D848" s="2" t="s">
        <v>1647</v>
      </c>
      <c r="E848" s="2" t="s">
        <v>6658</v>
      </c>
      <c r="F848" s="2">
        <v>1</v>
      </c>
      <c r="G848" s="2">
        <v>1.4</v>
      </c>
      <c r="H848" s="2">
        <v>0</v>
      </c>
      <c r="I848" s="2">
        <v>1540</v>
      </c>
      <c r="J848" s="2" t="s">
        <v>187</v>
      </c>
      <c r="K848" s="2" t="s">
        <v>5773</v>
      </c>
      <c r="M848" s="2">
        <v>1.4</v>
      </c>
      <c r="N848" s="2">
        <v>4.5</v>
      </c>
      <c r="O848" s="2" t="s">
        <v>5734</v>
      </c>
      <c r="Q848" s="2">
        <v>1997</v>
      </c>
      <c r="R848" s="2">
        <v>1997</v>
      </c>
      <c r="S848" s="2" t="s">
        <v>5738</v>
      </c>
      <c r="U848" s="2">
        <v>12</v>
      </c>
      <c r="V848" s="2" t="s">
        <v>187</v>
      </c>
    </row>
    <row r="849" spans="1:22">
      <c r="A849" s="2" t="s">
        <v>1684</v>
      </c>
      <c r="B849" s="2" t="s">
        <v>1685</v>
      </c>
      <c r="D849" s="2" t="s">
        <v>1682</v>
      </c>
      <c r="E849" s="2" t="s">
        <v>6659</v>
      </c>
      <c r="F849" s="2">
        <v>2</v>
      </c>
      <c r="G849" s="2">
        <v>0.6</v>
      </c>
      <c r="H849" s="2">
        <v>0</v>
      </c>
      <c r="I849" s="2">
        <v>660</v>
      </c>
      <c r="J849" s="2" t="s">
        <v>187</v>
      </c>
      <c r="K849" s="2" t="s">
        <v>1523</v>
      </c>
      <c r="M849" s="2">
        <v>0.6</v>
      </c>
      <c r="N849" s="2">
        <v>3</v>
      </c>
      <c r="O849" s="2" t="s">
        <v>5903</v>
      </c>
      <c r="Q849" s="2">
        <v>2015</v>
      </c>
      <c r="R849" s="2">
        <v>2015</v>
      </c>
      <c r="S849" s="2" t="s">
        <v>5742</v>
      </c>
      <c r="U849" s="2">
        <v>10</v>
      </c>
      <c r="V849" s="2" t="s">
        <v>187</v>
      </c>
    </row>
    <row r="850" spans="1:22">
      <c r="A850" s="2" t="s">
        <v>1684</v>
      </c>
      <c r="B850" s="2" t="s">
        <v>1685</v>
      </c>
      <c r="D850" s="2" t="s">
        <v>1682</v>
      </c>
      <c r="E850" s="2" t="s">
        <v>6660</v>
      </c>
      <c r="F850" s="2">
        <v>1</v>
      </c>
      <c r="G850" s="2">
        <v>3.2</v>
      </c>
      <c r="H850" s="2">
        <v>0</v>
      </c>
      <c r="I850" s="2">
        <v>3520</v>
      </c>
      <c r="J850" s="2" t="s">
        <v>187</v>
      </c>
      <c r="K850" s="2" t="s">
        <v>5773</v>
      </c>
      <c r="M850" s="2">
        <v>3.2</v>
      </c>
      <c r="N850" s="2">
        <v>16</v>
      </c>
      <c r="O850" s="2" t="s">
        <v>5903</v>
      </c>
      <c r="Q850" s="2">
        <v>1998</v>
      </c>
      <c r="R850" s="2">
        <v>1998</v>
      </c>
      <c r="S850" s="2" t="s">
        <v>5985</v>
      </c>
      <c r="U850" s="2">
        <v>10</v>
      </c>
      <c r="V850" s="2" t="s">
        <v>187</v>
      </c>
    </row>
    <row r="851" spans="1:22">
      <c r="A851" s="2" t="s">
        <v>1684</v>
      </c>
      <c r="B851" s="2" t="s">
        <v>1685</v>
      </c>
      <c r="D851" s="2" t="s">
        <v>1682</v>
      </c>
      <c r="E851" s="2" t="s">
        <v>6661</v>
      </c>
      <c r="F851" s="2">
        <v>4</v>
      </c>
      <c r="G851" s="2">
        <v>0.3</v>
      </c>
      <c r="H851" s="2">
        <v>0</v>
      </c>
      <c r="I851" s="2">
        <v>330</v>
      </c>
      <c r="J851" s="2" t="s">
        <v>187</v>
      </c>
      <c r="K851" s="2" t="s">
        <v>1523</v>
      </c>
      <c r="M851" s="2">
        <v>0.3</v>
      </c>
      <c r="N851" s="2">
        <v>1.5</v>
      </c>
      <c r="O851" s="2" t="s">
        <v>6258</v>
      </c>
      <c r="Q851" s="2">
        <v>2019</v>
      </c>
      <c r="R851" s="2">
        <v>2019</v>
      </c>
      <c r="S851" s="2" t="s">
        <v>5738</v>
      </c>
      <c r="U851" s="2">
        <v>10</v>
      </c>
      <c r="V851" s="2" t="s">
        <v>188</v>
      </c>
    </row>
    <row r="852" spans="1:22">
      <c r="A852" s="2" t="s">
        <v>1684</v>
      </c>
      <c r="B852" s="2" t="s">
        <v>1685</v>
      </c>
      <c r="D852" s="2" t="s">
        <v>1682</v>
      </c>
      <c r="E852" s="2" t="s">
        <v>6662</v>
      </c>
      <c r="F852" s="2">
        <v>3</v>
      </c>
      <c r="G852" s="2">
        <v>0.3</v>
      </c>
      <c r="H852" s="2">
        <v>0</v>
      </c>
      <c r="I852" s="2">
        <v>330</v>
      </c>
      <c r="J852" s="2" t="s">
        <v>187</v>
      </c>
      <c r="K852" s="2" t="s">
        <v>5773</v>
      </c>
      <c r="M852" s="2">
        <v>0.3</v>
      </c>
      <c r="N852" s="2">
        <v>1.5</v>
      </c>
      <c r="O852" s="2" t="s">
        <v>6258</v>
      </c>
      <c r="Q852" s="2">
        <v>2007</v>
      </c>
      <c r="R852" s="2">
        <v>2007</v>
      </c>
      <c r="S852" s="2" t="s">
        <v>5739</v>
      </c>
      <c r="U852" s="2">
        <v>10</v>
      </c>
      <c r="V852" s="2" t="s">
        <v>187</v>
      </c>
    </row>
    <row r="853" spans="1:22">
      <c r="A853" s="2" t="s">
        <v>1713</v>
      </c>
      <c r="B853" s="2" t="s">
        <v>1714</v>
      </c>
      <c r="D853" s="2" t="s">
        <v>1711</v>
      </c>
      <c r="E853" s="2" t="s">
        <v>6663</v>
      </c>
      <c r="F853" s="2">
        <v>2</v>
      </c>
      <c r="G853" s="2">
        <v>1.4</v>
      </c>
      <c r="H853" s="2">
        <v>0</v>
      </c>
      <c r="I853" s="2">
        <v>1550</v>
      </c>
      <c r="J853" s="2" t="s">
        <v>187</v>
      </c>
      <c r="K853" s="2" t="s">
        <v>5773</v>
      </c>
      <c r="M853" s="2">
        <v>1.4</v>
      </c>
      <c r="N853" s="2">
        <v>2.5</v>
      </c>
      <c r="O853" s="2" t="s">
        <v>5737</v>
      </c>
      <c r="Q853" s="2">
        <v>2010</v>
      </c>
      <c r="R853" s="2">
        <v>2010</v>
      </c>
      <c r="S853" s="2" t="s">
        <v>5738</v>
      </c>
      <c r="U853" s="2">
        <v>10</v>
      </c>
      <c r="V853" s="2" t="s">
        <v>187</v>
      </c>
    </row>
    <row r="854" spans="1:22">
      <c r="A854" s="2" t="s">
        <v>1713</v>
      </c>
      <c r="B854" s="2" t="s">
        <v>1714</v>
      </c>
      <c r="D854" s="2" t="s">
        <v>1711</v>
      </c>
      <c r="E854" s="2" t="s">
        <v>6664</v>
      </c>
      <c r="F854" s="2">
        <v>3</v>
      </c>
      <c r="G854" s="2">
        <v>5.2</v>
      </c>
      <c r="H854" s="2">
        <v>0</v>
      </c>
      <c r="I854" s="2">
        <v>570</v>
      </c>
      <c r="J854" s="2" t="s">
        <v>187</v>
      </c>
      <c r="K854" s="2" t="s">
        <v>1523</v>
      </c>
      <c r="M854" s="2">
        <v>5.2</v>
      </c>
      <c r="N854" s="2">
        <v>1.5</v>
      </c>
      <c r="O854" s="2" t="s">
        <v>5737</v>
      </c>
      <c r="Q854" s="2">
        <v>2012</v>
      </c>
      <c r="R854" s="2">
        <v>2012</v>
      </c>
      <c r="S854" s="2" t="s">
        <v>5738</v>
      </c>
      <c r="U854" s="2">
        <v>10</v>
      </c>
      <c r="V854" s="2" t="s">
        <v>187</v>
      </c>
    </row>
    <row r="855" spans="1:22">
      <c r="A855" s="2" t="s">
        <v>1713</v>
      </c>
      <c r="B855" s="2" t="s">
        <v>1714</v>
      </c>
      <c r="D855" s="2" t="s">
        <v>1711</v>
      </c>
      <c r="E855" s="2" t="s">
        <v>6665</v>
      </c>
      <c r="F855" s="2">
        <v>1</v>
      </c>
      <c r="G855" s="2">
        <v>1.9</v>
      </c>
      <c r="H855" s="2">
        <v>0</v>
      </c>
      <c r="I855" s="2">
        <v>2000</v>
      </c>
      <c r="J855" s="2" t="s">
        <v>188</v>
      </c>
      <c r="K855" s="2" t="s">
        <v>5766</v>
      </c>
      <c r="L855" s="2" t="s">
        <v>6666</v>
      </c>
      <c r="M855" s="2">
        <v>1.9</v>
      </c>
      <c r="N855" s="2">
        <v>6</v>
      </c>
      <c r="O855" s="2" t="s">
        <v>5737</v>
      </c>
      <c r="Q855" s="2">
        <v>2012</v>
      </c>
      <c r="R855" s="2">
        <v>2012</v>
      </c>
      <c r="S855" s="2" t="s">
        <v>5738</v>
      </c>
      <c r="U855" s="2">
        <v>10</v>
      </c>
      <c r="V855" s="2" t="s">
        <v>187</v>
      </c>
    </row>
    <row r="856" spans="1:22">
      <c r="A856" s="2" t="s">
        <v>1713</v>
      </c>
      <c r="B856" s="2" t="s">
        <v>1714</v>
      </c>
      <c r="D856" s="2" t="s">
        <v>1711</v>
      </c>
      <c r="E856" s="2" t="s">
        <v>6667</v>
      </c>
      <c r="F856" s="2">
        <v>4</v>
      </c>
      <c r="G856" s="2">
        <v>1</v>
      </c>
      <c r="H856" s="2">
        <v>0</v>
      </c>
      <c r="I856" s="2">
        <v>1100</v>
      </c>
      <c r="J856" s="2" t="s">
        <v>187</v>
      </c>
      <c r="K856" s="2" t="s">
        <v>1523</v>
      </c>
      <c r="M856" s="2">
        <v>1</v>
      </c>
      <c r="N856" s="2">
        <v>3</v>
      </c>
      <c r="O856" s="2" t="s">
        <v>5903</v>
      </c>
      <c r="Q856" s="2">
        <v>2006</v>
      </c>
      <c r="R856" s="2">
        <v>2006</v>
      </c>
      <c r="S856" s="2" t="s">
        <v>5738</v>
      </c>
      <c r="U856" s="2">
        <v>10</v>
      </c>
      <c r="V856" s="2" t="s">
        <v>187</v>
      </c>
    </row>
    <row r="857" spans="1:22">
      <c r="A857" s="2" t="s">
        <v>1755</v>
      </c>
      <c r="B857" s="2" t="s">
        <v>1756</v>
      </c>
      <c r="D857" s="2" t="s">
        <v>1753</v>
      </c>
      <c r="E857" s="2" t="s">
        <v>6668</v>
      </c>
      <c r="F857" s="2">
        <v>1</v>
      </c>
      <c r="G857" s="2">
        <v>2</v>
      </c>
      <c r="H857" s="2">
        <v>0</v>
      </c>
      <c r="I857" s="2">
        <v>2200</v>
      </c>
      <c r="J857" s="2" t="s">
        <v>187</v>
      </c>
      <c r="K857" s="2" t="s">
        <v>1523</v>
      </c>
      <c r="M857" s="2">
        <v>2</v>
      </c>
      <c r="N857" s="2">
        <v>5.5</v>
      </c>
      <c r="O857" s="2" t="s">
        <v>5903</v>
      </c>
      <c r="Q857" s="2">
        <v>1997</v>
      </c>
      <c r="R857" s="2">
        <v>2009</v>
      </c>
      <c r="S857" s="2" t="s">
        <v>5738</v>
      </c>
      <c r="U857" s="2">
        <v>10</v>
      </c>
      <c r="V857" s="2" t="s">
        <v>187</v>
      </c>
    </row>
    <row r="858" spans="1:22">
      <c r="A858" s="2" t="s">
        <v>1785</v>
      </c>
      <c r="B858" s="2" t="s">
        <v>1675</v>
      </c>
      <c r="D858" s="2" t="s">
        <v>1783</v>
      </c>
      <c r="E858" s="2" t="s">
        <v>6669</v>
      </c>
      <c r="F858" s="2">
        <v>1</v>
      </c>
      <c r="G858" s="2">
        <v>1</v>
      </c>
      <c r="H858" s="2">
        <v>0</v>
      </c>
      <c r="I858" s="2">
        <v>1100</v>
      </c>
      <c r="J858" s="2" t="s">
        <v>187</v>
      </c>
      <c r="K858" s="2" t="s">
        <v>1523</v>
      </c>
      <c r="M858" s="2">
        <v>1</v>
      </c>
      <c r="N858" s="2">
        <v>4</v>
      </c>
      <c r="O858" s="2" t="s">
        <v>5737</v>
      </c>
      <c r="Q858" s="2">
        <v>1995</v>
      </c>
      <c r="R858" s="2">
        <v>2015</v>
      </c>
      <c r="S858" s="2" t="s">
        <v>5735</v>
      </c>
      <c r="U858" s="2">
        <v>10</v>
      </c>
      <c r="V858" s="2" t="s">
        <v>187</v>
      </c>
    </row>
    <row r="859" spans="1:22">
      <c r="A859" s="2" t="s">
        <v>1785</v>
      </c>
      <c r="B859" s="2" t="s">
        <v>1675</v>
      </c>
      <c r="D859" s="2" t="s">
        <v>1783</v>
      </c>
      <c r="E859" s="2" t="s">
        <v>6670</v>
      </c>
      <c r="F859" s="2">
        <v>2</v>
      </c>
      <c r="G859" s="2">
        <v>1</v>
      </c>
      <c r="H859" s="2">
        <v>0</v>
      </c>
      <c r="I859" s="2">
        <v>1100</v>
      </c>
      <c r="J859" s="2" t="s">
        <v>187</v>
      </c>
      <c r="K859" s="2" t="s">
        <v>6488</v>
      </c>
      <c r="M859" s="2">
        <v>1</v>
      </c>
      <c r="N859" s="2">
        <v>4</v>
      </c>
      <c r="O859" s="2" t="s">
        <v>5903</v>
      </c>
      <c r="Q859" s="2">
        <v>1997</v>
      </c>
      <c r="R859" s="2">
        <v>2016</v>
      </c>
      <c r="S859" s="2" t="s">
        <v>5735</v>
      </c>
      <c r="U859" s="2">
        <v>10</v>
      </c>
      <c r="V859" s="2" t="s">
        <v>187</v>
      </c>
    </row>
    <row r="860" spans="1:22">
      <c r="A860" s="2" t="s">
        <v>1805</v>
      </c>
      <c r="B860" s="2" t="s">
        <v>1806</v>
      </c>
      <c r="D860" s="2" t="s">
        <v>1803</v>
      </c>
      <c r="E860" s="2" t="s">
        <v>6671</v>
      </c>
      <c r="F860" s="2">
        <v>1</v>
      </c>
      <c r="G860" s="2">
        <v>1</v>
      </c>
      <c r="H860" s="2">
        <v>0</v>
      </c>
      <c r="I860" s="2">
        <v>1100</v>
      </c>
      <c r="J860" s="2" t="s">
        <v>187</v>
      </c>
      <c r="K860" s="2" t="s">
        <v>1523</v>
      </c>
      <c r="M860" s="2">
        <v>1</v>
      </c>
      <c r="N860" s="2">
        <v>2</v>
      </c>
      <c r="O860" s="2" t="s">
        <v>5903</v>
      </c>
      <c r="Q860" s="2">
        <v>1997</v>
      </c>
      <c r="R860" s="2">
        <v>2019</v>
      </c>
      <c r="S860" s="2" t="s">
        <v>5735</v>
      </c>
      <c r="U860" s="2">
        <v>10</v>
      </c>
      <c r="V860" s="2" t="s">
        <v>187</v>
      </c>
    </row>
    <row r="861" spans="1:22">
      <c r="A861" s="2" t="s">
        <v>1805</v>
      </c>
      <c r="B861" s="2" t="s">
        <v>1806</v>
      </c>
      <c r="D861" s="2" t="s">
        <v>1803</v>
      </c>
      <c r="E861" s="2" t="s">
        <v>6672</v>
      </c>
      <c r="F861" s="2">
        <v>3</v>
      </c>
      <c r="G861" s="2">
        <v>1</v>
      </c>
      <c r="H861" s="2">
        <v>0</v>
      </c>
      <c r="I861" s="2">
        <v>1100</v>
      </c>
      <c r="J861" s="2" t="s">
        <v>187</v>
      </c>
      <c r="K861" s="2" t="s">
        <v>1523</v>
      </c>
      <c r="M861" s="2">
        <v>1</v>
      </c>
      <c r="N861" s="2">
        <v>2</v>
      </c>
      <c r="O861" s="2" t="s">
        <v>5903</v>
      </c>
      <c r="Q861" s="2">
        <v>2018</v>
      </c>
      <c r="R861" s="2">
        <v>2018</v>
      </c>
      <c r="S861" s="2" t="s">
        <v>5738</v>
      </c>
      <c r="U861" s="2">
        <v>10</v>
      </c>
      <c r="V861" s="2" t="s">
        <v>187</v>
      </c>
    </row>
    <row r="862" spans="1:22">
      <c r="A862" s="2" t="s">
        <v>1805</v>
      </c>
      <c r="B862" s="2" t="s">
        <v>1806</v>
      </c>
      <c r="D862" s="2" t="s">
        <v>1803</v>
      </c>
      <c r="E862" s="2" t="s">
        <v>6673</v>
      </c>
      <c r="F862" s="2">
        <v>2</v>
      </c>
      <c r="G862" s="2">
        <v>2.5</v>
      </c>
      <c r="H862" s="2">
        <v>0</v>
      </c>
      <c r="I862" s="2">
        <v>2700</v>
      </c>
      <c r="J862" s="2" t="s">
        <v>187</v>
      </c>
      <c r="K862" s="2" t="s">
        <v>5773</v>
      </c>
      <c r="M862" s="2">
        <v>2.5</v>
      </c>
      <c r="N862" s="2">
        <v>4</v>
      </c>
      <c r="O862" s="2" t="s">
        <v>5903</v>
      </c>
      <c r="Q862" s="2">
        <v>2017</v>
      </c>
      <c r="R862" s="2">
        <v>1017</v>
      </c>
      <c r="S862" s="2" t="s">
        <v>5738</v>
      </c>
      <c r="U862" s="2">
        <v>10</v>
      </c>
      <c r="V862" s="2" t="s">
        <v>187</v>
      </c>
    </row>
    <row r="863" spans="1:22">
      <c r="A863" s="2" t="s">
        <v>1819</v>
      </c>
      <c r="B863" s="2" t="s">
        <v>1820</v>
      </c>
      <c r="D863" s="2" t="s">
        <v>1817</v>
      </c>
      <c r="E863" s="2" t="s">
        <v>6674</v>
      </c>
      <c r="F863" s="2">
        <v>5</v>
      </c>
      <c r="G863" s="2">
        <v>1</v>
      </c>
      <c r="H863" s="2">
        <v>0</v>
      </c>
      <c r="I863" s="2">
        <v>1100</v>
      </c>
      <c r="J863" s="2" t="s">
        <v>188</v>
      </c>
      <c r="M863" s="2">
        <v>1</v>
      </c>
      <c r="N863" s="2">
        <v>4.5</v>
      </c>
      <c r="O863" s="2" t="s">
        <v>5903</v>
      </c>
      <c r="Q863" s="2">
        <v>2001</v>
      </c>
      <c r="R863" s="2">
        <v>2020</v>
      </c>
      <c r="S863" s="2" t="s">
        <v>5735</v>
      </c>
      <c r="U863" s="2">
        <v>10</v>
      </c>
      <c r="V863" s="2" t="s">
        <v>188</v>
      </c>
    </row>
    <row r="864" spans="1:22">
      <c r="A864" s="2" t="s">
        <v>1819</v>
      </c>
      <c r="B864" s="2" t="s">
        <v>1820</v>
      </c>
      <c r="D864" s="2" t="s">
        <v>1817</v>
      </c>
      <c r="E864" s="2" t="s">
        <v>6675</v>
      </c>
      <c r="F864" s="2">
        <v>3</v>
      </c>
      <c r="G864" s="2">
        <v>0.4</v>
      </c>
      <c r="H864" s="2">
        <v>0</v>
      </c>
      <c r="I864" s="2">
        <v>440</v>
      </c>
      <c r="J864" s="2" t="s">
        <v>188</v>
      </c>
      <c r="M864" s="2">
        <v>0.4</v>
      </c>
      <c r="N864" s="2">
        <v>1.5</v>
      </c>
      <c r="O864" s="2" t="s">
        <v>5737</v>
      </c>
      <c r="Q864" s="2">
        <v>2021</v>
      </c>
      <c r="R864" s="2">
        <v>2012</v>
      </c>
      <c r="S864" s="2" t="s">
        <v>5735</v>
      </c>
      <c r="U864" s="2">
        <v>10</v>
      </c>
      <c r="V864" s="2" t="s">
        <v>187</v>
      </c>
    </row>
    <row r="865" spans="1:22">
      <c r="A865" s="2" t="s">
        <v>1819</v>
      </c>
      <c r="B865" s="2" t="s">
        <v>1820</v>
      </c>
      <c r="D865" s="2" t="s">
        <v>1817</v>
      </c>
      <c r="E865" s="2" t="s">
        <v>6676</v>
      </c>
      <c r="F865" s="2">
        <v>2</v>
      </c>
      <c r="G865" s="2">
        <v>1</v>
      </c>
      <c r="H865" s="2">
        <v>0</v>
      </c>
      <c r="I865" s="2">
        <v>1100</v>
      </c>
      <c r="J865" s="2" t="s">
        <v>187</v>
      </c>
      <c r="K865" s="2" t="s">
        <v>1523</v>
      </c>
      <c r="M865" s="2">
        <v>1</v>
      </c>
      <c r="N865" s="2">
        <v>3.5</v>
      </c>
      <c r="O865" s="2" t="s">
        <v>6258</v>
      </c>
      <c r="Q865" s="2">
        <v>2017</v>
      </c>
      <c r="R865" s="2">
        <v>2017</v>
      </c>
      <c r="S865" s="2" t="s">
        <v>5738</v>
      </c>
      <c r="U865" s="2">
        <v>10</v>
      </c>
      <c r="V865" s="2" t="s">
        <v>188</v>
      </c>
    </row>
    <row r="866" spans="1:22">
      <c r="A866" s="2" t="s">
        <v>1819</v>
      </c>
      <c r="B866" s="2" t="s">
        <v>1820</v>
      </c>
      <c r="D866" s="2" t="s">
        <v>1817</v>
      </c>
      <c r="E866" s="2" t="s">
        <v>6677</v>
      </c>
      <c r="F866" s="2">
        <v>1</v>
      </c>
      <c r="G866" s="2">
        <v>0.6</v>
      </c>
      <c r="H866" s="2">
        <v>0</v>
      </c>
      <c r="I866" s="2">
        <v>700</v>
      </c>
      <c r="J866" s="2" t="s">
        <v>187</v>
      </c>
      <c r="K866" s="2" t="s">
        <v>1523</v>
      </c>
      <c r="M866" s="2">
        <v>0.67</v>
      </c>
      <c r="N866" s="2">
        <v>2.5</v>
      </c>
      <c r="O866" s="2" t="s">
        <v>5737</v>
      </c>
      <c r="Q866" s="2">
        <v>1998</v>
      </c>
      <c r="R866" s="2">
        <v>2011</v>
      </c>
      <c r="S866" s="2" t="s">
        <v>5735</v>
      </c>
      <c r="U866" s="2">
        <v>10</v>
      </c>
      <c r="V866" s="2" t="s">
        <v>187</v>
      </c>
    </row>
    <row r="867" spans="1:22">
      <c r="A867" s="2" t="s">
        <v>1919</v>
      </c>
      <c r="B867" s="2" t="s">
        <v>1920</v>
      </c>
      <c r="D867" s="2" t="s">
        <v>1917</v>
      </c>
      <c r="E867" s="2" t="s">
        <v>6678</v>
      </c>
      <c r="F867" s="2">
        <v>2</v>
      </c>
      <c r="G867" s="2">
        <v>0.7</v>
      </c>
      <c r="H867" s="2">
        <v>0</v>
      </c>
      <c r="I867" s="2">
        <v>7700</v>
      </c>
      <c r="J867" s="2" t="s">
        <v>187</v>
      </c>
      <c r="K867" s="2" t="s">
        <v>1523</v>
      </c>
      <c r="M867" s="2">
        <v>0.7</v>
      </c>
      <c r="N867" s="2">
        <v>3.4</v>
      </c>
      <c r="O867" s="2" t="s">
        <v>5737</v>
      </c>
      <c r="Q867" s="2">
        <v>2006</v>
      </c>
      <c r="R867" s="2">
        <v>2006</v>
      </c>
      <c r="S867" s="2" t="s">
        <v>5738</v>
      </c>
      <c r="U867" s="2">
        <v>12</v>
      </c>
      <c r="V867" s="2" t="s">
        <v>187</v>
      </c>
    </row>
    <row r="868" spans="1:22">
      <c r="A868" s="2" t="s">
        <v>1919</v>
      </c>
      <c r="B868" s="2" t="s">
        <v>1920</v>
      </c>
      <c r="D868" s="2" t="s">
        <v>1917</v>
      </c>
      <c r="E868" s="2" t="s">
        <v>6679</v>
      </c>
      <c r="F868" s="2">
        <v>1</v>
      </c>
      <c r="G868" s="2">
        <v>0.8</v>
      </c>
      <c r="H868" s="2">
        <v>0</v>
      </c>
      <c r="I868" s="2">
        <v>880</v>
      </c>
      <c r="J868" s="2" t="s">
        <v>187</v>
      </c>
      <c r="K868" s="2" t="s">
        <v>1523</v>
      </c>
      <c r="M868" s="2">
        <v>0.8</v>
      </c>
      <c r="N868" s="2">
        <v>3.6</v>
      </c>
      <c r="O868" s="2" t="s">
        <v>5737</v>
      </c>
      <c r="Q868" s="2">
        <v>2000</v>
      </c>
      <c r="R868" s="2">
        <v>2019</v>
      </c>
      <c r="S868" s="2" t="s">
        <v>5735</v>
      </c>
      <c r="U868" s="2">
        <v>12</v>
      </c>
      <c r="V868" s="2" t="s">
        <v>187</v>
      </c>
    </row>
    <row r="869" spans="1:22">
      <c r="A869" s="2" t="s">
        <v>1864</v>
      </c>
      <c r="B869" s="2" t="s">
        <v>1865</v>
      </c>
      <c r="D869" s="2" t="s">
        <v>1862</v>
      </c>
      <c r="E869" s="2" t="s">
        <v>6680</v>
      </c>
      <c r="F869" s="2">
        <v>4</v>
      </c>
      <c r="G869" s="2">
        <v>0.4</v>
      </c>
      <c r="H869" s="2">
        <v>0</v>
      </c>
      <c r="I869" s="2">
        <v>440</v>
      </c>
      <c r="J869" s="2" t="s">
        <v>187</v>
      </c>
      <c r="K869" s="2" t="s">
        <v>1523</v>
      </c>
      <c r="M869" s="2">
        <v>0.4</v>
      </c>
      <c r="N869" s="2">
        <v>1.9</v>
      </c>
      <c r="O869" s="2" t="s">
        <v>5903</v>
      </c>
      <c r="Q869" s="2">
        <v>2009</v>
      </c>
      <c r="R869" s="2">
        <v>2009</v>
      </c>
      <c r="S869" s="2" t="s">
        <v>5738</v>
      </c>
      <c r="U869" s="2">
        <v>12</v>
      </c>
      <c r="V869" s="2" t="s">
        <v>187</v>
      </c>
    </row>
    <row r="870" spans="1:22">
      <c r="A870" s="2" t="s">
        <v>1864</v>
      </c>
      <c r="B870" s="2" t="s">
        <v>1865</v>
      </c>
      <c r="D870" s="2" t="s">
        <v>1862</v>
      </c>
      <c r="E870" s="2" t="s">
        <v>6681</v>
      </c>
      <c r="F870" s="2">
        <v>2</v>
      </c>
      <c r="G870" s="2">
        <v>0.42</v>
      </c>
      <c r="H870" s="2">
        <v>0</v>
      </c>
      <c r="I870" s="2">
        <v>460</v>
      </c>
      <c r="J870" s="2" t="s">
        <v>188</v>
      </c>
      <c r="M870" s="2">
        <v>0.42</v>
      </c>
      <c r="N870" s="2">
        <v>1.6</v>
      </c>
      <c r="O870" s="2" t="s">
        <v>5737</v>
      </c>
      <c r="Q870" s="2">
        <v>2007</v>
      </c>
      <c r="R870" s="2">
        <v>2007</v>
      </c>
      <c r="S870" s="2" t="s">
        <v>5738</v>
      </c>
      <c r="U870" s="2">
        <v>10</v>
      </c>
      <c r="V870" s="2" t="s">
        <v>187</v>
      </c>
    </row>
    <row r="871" spans="1:22">
      <c r="A871" s="2" t="s">
        <v>1864</v>
      </c>
      <c r="B871" s="2" t="s">
        <v>1865</v>
      </c>
      <c r="D871" s="2" t="s">
        <v>1862</v>
      </c>
      <c r="E871" s="2" t="s">
        <v>6682</v>
      </c>
      <c r="F871" s="2">
        <v>1</v>
      </c>
      <c r="G871" s="2">
        <v>0.9</v>
      </c>
      <c r="H871" s="2">
        <v>0</v>
      </c>
      <c r="I871" s="2">
        <v>1000</v>
      </c>
      <c r="J871" s="2" t="s">
        <v>188</v>
      </c>
      <c r="M871" s="2">
        <v>0.9</v>
      </c>
      <c r="N871" s="2">
        <v>3.5</v>
      </c>
      <c r="O871" s="2" t="s">
        <v>5737</v>
      </c>
      <c r="Q871" s="2">
        <v>2015</v>
      </c>
      <c r="R871" s="2">
        <v>1015</v>
      </c>
      <c r="S871" s="2" t="s">
        <v>5738</v>
      </c>
      <c r="U871" s="2">
        <v>12</v>
      </c>
      <c r="V871" s="2" t="s">
        <v>187</v>
      </c>
    </row>
    <row r="872" spans="1:22">
      <c r="A872" s="2" t="s">
        <v>1864</v>
      </c>
      <c r="B872" s="2" t="s">
        <v>1865</v>
      </c>
      <c r="D872" s="2" t="s">
        <v>1862</v>
      </c>
      <c r="E872" s="2" t="s">
        <v>6683</v>
      </c>
      <c r="F872" s="2">
        <v>3</v>
      </c>
      <c r="G872" s="2">
        <v>0.3</v>
      </c>
      <c r="H872" s="2">
        <v>0</v>
      </c>
      <c r="I872" s="2">
        <v>330</v>
      </c>
      <c r="J872" s="2" t="s">
        <v>188</v>
      </c>
      <c r="M872" s="2">
        <v>0.3</v>
      </c>
      <c r="N872" s="2">
        <v>1.5</v>
      </c>
      <c r="O872" s="2" t="s">
        <v>5737</v>
      </c>
      <c r="Q872" s="2">
        <v>2000</v>
      </c>
      <c r="R872" s="2">
        <v>2017</v>
      </c>
      <c r="S872" s="2" t="s">
        <v>5735</v>
      </c>
      <c r="U872" s="2">
        <v>12</v>
      </c>
      <c r="V872" s="2" t="s">
        <v>187</v>
      </c>
    </row>
    <row r="873" spans="1:22">
      <c r="A873" s="2" t="s">
        <v>1883</v>
      </c>
      <c r="B873" s="2" t="s">
        <v>1884</v>
      </c>
      <c r="D873" s="2" t="s">
        <v>1881</v>
      </c>
      <c r="E873" s="2" t="s">
        <v>6684</v>
      </c>
      <c r="F873" s="2">
        <v>4</v>
      </c>
      <c r="G873" s="2">
        <v>0.5</v>
      </c>
      <c r="H873" s="2">
        <v>0</v>
      </c>
      <c r="I873" s="2">
        <v>550</v>
      </c>
      <c r="J873" s="2" t="s">
        <v>188</v>
      </c>
      <c r="M873" s="2">
        <v>0.5</v>
      </c>
      <c r="N873" s="2">
        <v>2.5</v>
      </c>
      <c r="O873" s="2" t="s">
        <v>6258</v>
      </c>
      <c r="Q873" s="2">
        <v>2010</v>
      </c>
      <c r="R873" s="2">
        <v>2010</v>
      </c>
      <c r="S873" s="2" t="s">
        <v>5738</v>
      </c>
      <c r="V873" s="2" t="s">
        <v>188</v>
      </c>
    </row>
    <row r="874" spans="1:22">
      <c r="A874" s="2" t="s">
        <v>1883</v>
      </c>
      <c r="B874" s="2" t="s">
        <v>1884</v>
      </c>
      <c r="D874" s="2" t="s">
        <v>1881</v>
      </c>
      <c r="E874" s="2" t="s">
        <v>6685</v>
      </c>
      <c r="F874" s="2">
        <v>1</v>
      </c>
      <c r="G874" s="2">
        <v>0.9</v>
      </c>
      <c r="H874" s="2">
        <v>0</v>
      </c>
      <c r="I874" s="2">
        <v>1100</v>
      </c>
      <c r="J874" s="2" t="s">
        <v>188</v>
      </c>
      <c r="M874" s="2">
        <v>0.9</v>
      </c>
      <c r="N874" s="2">
        <v>4</v>
      </c>
      <c r="O874" s="2" t="s">
        <v>6258</v>
      </c>
      <c r="Q874" s="2">
        <v>2006</v>
      </c>
      <c r="R874" s="2">
        <v>1018</v>
      </c>
      <c r="S874" s="2" t="s">
        <v>5735</v>
      </c>
      <c r="U874" s="2">
        <v>12</v>
      </c>
      <c r="V874" s="2" t="s">
        <v>188</v>
      </c>
    </row>
    <row r="875" spans="1:22">
      <c r="A875" s="2" t="s">
        <v>1883</v>
      </c>
      <c r="B875" s="2" t="s">
        <v>1884</v>
      </c>
      <c r="D875" s="2" t="s">
        <v>1881</v>
      </c>
      <c r="E875" s="2" t="s">
        <v>6686</v>
      </c>
      <c r="F875" s="2">
        <v>3</v>
      </c>
      <c r="G875" s="2">
        <v>0.9</v>
      </c>
      <c r="H875" s="2">
        <v>0</v>
      </c>
      <c r="I875" s="2">
        <v>1000</v>
      </c>
      <c r="J875" s="2" t="s">
        <v>188</v>
      </c>
      <c r="M875" s="2">
        <v>0.9</v>
      </c>
      <c r="N875" s="2">
        <v>4</v>
      </c>
      <c r="O875" s="2" t="s">
        <v>5737</v>
      </c>
      <c r="Q875" s="2">
        <v>2011</v>
      </c>
      <c r="R875" s="2">
        <v>2011</v>
      </c>
      <c r="S875" s="2" t="s">
        <v>5738</v>
      </c>
      <c r="U875" s="2">
        <v>12</v>
      </c>
      <c r="V875" s="2" t="s">
        <v>187</v>
      </c>
    </row>
    <row r="876" spans="1:22">
      <c r="A876" s="2" t="s">
        <v>1883</v>
      </c>
      <c r="B876" s="2" t="s">
        <v>1884</v>
      </c>
      <c r="D876" s="2" t="s">
        <v>1881</v>
      </c>
      <c r="E876" s="2" t="s">
        <v>6687</v>
      </c>
      <c r="F876" s="2">
        <v>2</v>
      </c>
      <c r="G876" s="2">
        <v>0.7</v>
      </c>
      <c r="H876" s="2">
        <v>0</v>
      </c>
      <c r="I876" s="2">
        <v>770</v>
      </c>
      <c r="J876" s="2" t="s">
        <v>187</v>
      </c>
      <c r="K876" s="2" t="s">
        <v>1523</v>
      </c>
      <c r="M876" s="2">
        <v>0.7</v>
      </c>
      <c r="N876" s="2">
        <v>3.5</v>
      </c>
      <c r="O876" s="2" t="s">
        <v>6258</v>
      </c>
      <c r="Q876" s="2">
        <v>2008</v>
      </c>
      <c r="R876" s="2">
        <v>2008</v>
      </c>
      <c r="S876" s="2" t="s">
        <v>5738</v>
      </c>
      <c r="U876" s="2">
        <v>12</v>
      </c>
      <c r="V876" s="2" t="s">
        <v>188</v>
      </c>
    </row>
    <row r="877" spans="1:22">
      <c r="A877" s="2" t="s">
        <v>1937</v>
      </c>
      <c r="B877" s="2" t="s">
        <v>1938</v>
      </c>
      <c r="D877" s="2" t="s">
        <v>1935</v>
      </c>
      <c r="E877" s="2" t="s">
        <v>6688</v>
      </c>
      <c r="F877" s="2">
        <v>2</v>
      </c>
      <c r="G877" s="2">
        <v>1.5</v>
      </c>
      <c r="H877" s="2">
        <v>0</v>
      </c>
      <c r="I877" s="2">
        <v>1800</v>
      </c>
      <c r="J877" s="2" t="s">
        <v>187</v>
      </c>
      <c r="K877" s="2" t="s">
        <v>1523</v>
      </c>
      <c r="M877" s="2">
        <v>1.5</v>
      </c>
      <c r="N877" s="2">
        <v>9</v>
      </c>
      <c r="O877" s="2" t="s">
        <v>5737</v>
      </c>
      <c r="Q877" s="2">
        <v>1999</v>
      </c>
      <c r="R877" s="2">
        <v>2018</v>
      </c>
      <c r="S877" s="2" t="s">
        <v>5735</v>
      </c>
      <c r="U877" s="2">
        <v>12</v>
      </c>
      <c r="V877" s="2" t="s">
        <v>187</v>
      </c>
    </row>
    <row r="878" spans="1:22">
      <c r="A878" s="2" t="s">
        <v>1937</v>
      </c>
      <c r="B878" s="2" t="s">
        <v>1938</v>
      </c>
      <c r="D878" s="2" t="s">
        <v>1935</v>
      </c>
      <c r="E878" s="2" t="s">
        <v>6689</v>
      </c>
      <c r="F878" s="2">
        <v>3</v>
      </c>
      <c r="G878" s="2">
        <v>0.5</v>
      </c>
      <c r="H878" s="2">
        <v>0</v>
      </c>
      <c r="I878" s="2">
        <v>550</v>
      </c>
      <c r="J878" s="2" t="s">
        <v>188</v>
      </c>
      <c r="M878" s="2">
        <v>0.5</v>
      </c>
      <c r="N878" s="2">
        <v>2</v>
      </c>
      <c r="O878" s="2" t="s">
        <v>5737</v>
      </c>
      <c r="Q878" s="2">
        <v>1999</v>
      </c>
      <c r="R878" s="2">
        <v>2017</v>
      </c>
      <c r="S878" s="2" t="s">
        <v>5735</v>
      </c>
      <c r="U878" s="2">
        <v>20</v>
      </c>
      <c r="V878" s="2" t="s">
        <v>187</v>
      </c>
    </row>
    <row r="879" spans="1:22">
      <c r="A879" s="2" t="s">
        <v>1937</v>
      </c>
      <c r="B879" s="2" t="s">
        <v>1938</v>
      </c>
      <c r="D879" s="2" t="s">
        <v>1935</v>
      </c>
      <c r="E879" s="2" t="s">
        <v>6690</v>
      </c>
      <c r="F879" s="2">
        <v>1</v>
      </c>
      <c r="G879" s="2">
        <v>3</v>
      </c>
      <c r="H879" s="2">
        <v>0</v>
      </c>
      <c r="I879" s="2">
        <v>3300</v>
      </c>
      <c r="J879" s="2" t="s">
        <v>188</v>
      </c>
      <c r="M879" s="2">
        <v>3</v>
      </c>
      <c r="N879" s="2">
        <v>16</v>
      </c>
      <c r="O879" s="2" t="s">
        <v>5737</v>
      </c>
      <c r="Q879" s="2">
        <v>1998</v>
      </c>
      <c r="R879" s="2">
        <v>2015</v>
      </c>
      <c r="S879" s="2" t="s">
        <v>5735</v>
      </c>
      <c r="U879" s="2">
        <v>12</v>
      </c>
      <c r="V879" s="2" t="s">
        <v>187</v>
      </c>
    </row>
    <row r="880" spans="1:22">
      <c r="A880" s="2" t="s">
        <v>1984</v>
      </c>
      <c r="B880" s="2" t="s">
        <v>1985</v>
      </c>
      <c r="D880" s="2" t="s">
        <v>1981</v>
      </c>
      <c r="E880" s="2" t="s">
        <v>6691</v>
      </c>
      <c r="F880" s="2">
        <v>1</v>
      </c>
      <c r="G880" s="2">
        <v>0.7</v>
      </c>
      <c r="H880" s="2">
        <v>0</v>
      </c>
      <c r="J880" s="2" t="s">
        <v>188</v>
      </c>
      <c r="M880" s="2">
        <v>0.7</v>
      </c>
      <c r="N880" s="2">
        <v>2.8</v>
      </c>
      <c r="O880" s="2" t="s">
        <v>5737</v>
      </c>
      <c r="Q880" s="2">
        <v>2000</v>
      </c>
      <c r="R880" s="2">
        <v>2019</v>
      </c>
      <c r="S880" s="2" t="s">
        <v>5735</v>
      </c>
      <c r="U880" s="2">
        <v>2</v>
      </c>
      <c r="V880" s="2" t="s">
        <v>187</v>
      </c>
    </row>
    <row r="881" spans="1:22">
      <c r="A881" s="2" t="s">
        <v>2006</v>
      </c>
      <c r="B881" s="2" t="s">
        <v>2007</v>
      </c>
      <c r="D881" s="2" t="s">
        <v>2004</v>
      </c>
      <c r="E881" s="2" t="s">
        <v>6692</v>
      </c>
      <c r="F881" s="2">
        <v>2</v>
      </c>
      <c r="G881" s="2">
        <v>0.7</v>
      </c>
      <c r="H881" s="2">
        <v>0</v>
      </c>
      <c r="I881" s="2">
        <v>770</v>
      </c>
      <c r="J881" s="2" t="s">
        <v>187</v>
      </c>
      <c r="K881" s="2" t="s">
        <v>1523</v>
      </c>
      <c r="M881" s="2">
        <v>0.7</v>
      </c>
      <c r="N881" s="2">
        <v>2.8</v>
      </c>
      <c r="O881" s="2" t="s">
        <v>5737</v>
      </c>
      <c r="Q881" s="2">
        <v>1995</v>
      </c>
      <c r="R881" s="2">
        <v>2018</v>
      </c>
      <c r="S881" s="2" t="s">
        <v>5735</v>
      </c>
      <c r="U881" s="2">
        <v>2</v>
      </c>
      <c r="V881" s="2" t="s">
        <v>187</v>
      </c>
    </row>
    <row r="882" spans="1:22">
      <c r="A882" s="2" t="s">
        <v>2006</v>
      </c>
      <c r="B882" s="2" t="s">
        <v>2007</v>
      </c>
      <c r="D882" s="2" t="s">
        <v>2004</v>
      </c>
      <c r="E882" s="2" t="s">
        <v>6693</v>
      </c>
      <c r="F882" s="2">
        <v>3</v>
      </c>
      <c r="G882" s="2">
        <v>1.3</v>
      </c>
      <c r="H882" s="2">
        <v>0</v>
      </c>
      <c r="I882" s="2">
        <v>1500</v>
      </c>
      <c r="J882" s="2" t="s">
        <v>187</v>
      </c>
      <c r="K882" s="2" t="s">
        <v>5773</v>
      </c>
      <c r="M882" s="2">
        <v>1.3</v>
      </c>
      <c r="N882" s="2">
        <v>4.5999999999999996</v>
      </c>
      <c r="O882" s="2" t="s">
        <v>5737</v>
      </c>
      <c r="Q882" s="2">
        <v>1998</v>
      </c>
      <c r="R882" s="2">
        <v>2017</v>
      </c>
      <c r="S882" s="2" t="s">
        <v>5735</v>
      </c>
      <c r="U882" s="2">
        <v>2</v>
      </c>
      <c r="V882" s="2" t="s">
        <v>187</v>
      </c>
    </row>
    <row r="883" spans="1:22">
      <c r="A883" s="2" t="s">
        <v>2006</v>
      </c>
      <c r="B883" s="2" t="s">
        <v>2007</v>
      </c>
      <c r="D883" s="2" t="s">
        <v>2004</v>
      </c>
      <c r="E883" s="2" t="s">
        <v>6694</v>
      </c>
      <c r="F883" s="2">
        <v>1</v>
      </c>
      <c r="G883" s="2">
        <v>0.6</v>
      </c>
      <c r="H883" s="2">
        <v>0</v>
      </c>
      <c r="I883" s="2">
        <v>660</v>
      </c>
      <c r="J883" s="2" t="s">
        <v>187</v>
      </c>
      <c r="K883" s="2" t="s">
        <v>1523</v>
      </c>
      <c r="M883" s="2">
        <v>0.6</v>
      </c>
      <c r="N883" s="2">
        <v>2.6</v>
      </c>
      <c r="O883" s="2" t="s">
        <v>5737</v>
      </c>
      <c r="Q883" s="2">
        <v>1998</v>
      </c>
      <c r="R883" s="2">
        <v>2019</v>
      </c>
      <c r="S883" s="2" t="s">
        <v>5735</v>
      </c>
      <c r="U883" s="2">
        <v>2</v>
      </c>
      <c r="V883" s="2" t="s">
        <v>187</v>
      </c>
    </row>
    <row r="884" spans="1:22">
      <c r="A884" s="2" t="s">
        <v>2023</v>
      </c>
      <c r="B884" s="2" t="s">
        <v>2024</v>
      </c>
      <c r="D884" s="2" t="s">
        <v>2021</v>
      </c>
      <c r="E884" s="2" t="s">
        <v>6695</v>
      </c>
      <c r="F884" s="2">
        <v>1</v>
      </c>
      <c r="G884" s="2">
        <v>0.5</v>
      </c>
      <c r="H884" s="2">
        <v>0</v>
      </c>
      <c r="I884" s="2">
        <v>550</v>
      </c>
      <c r="J884" s="2" t="s">
        <v>188</v>
      </c>
      <c r="M884" s="2">
        <v>0.5</v>
      </c>
      <c r="N884" s="2">
        <v>2.4</v>
      </c>
      <c r="O884" s="2" t="s">
        <v>5737</v>
      </c>
      <c r="Q884" s="2">
        <v>1995</v>
      </c>
      <c r="R884" s="2">
        <v>2017</v>
      </c>
      <c r="S884" s="2" t="s">
        <v>5738</v>
      </c>
      <c r="U884" s="2">
        <v>2</v>
      </c>
      <c r="V884" s="2" t="s">
        <v>187</v>
      </c>
    </row>
    <row r="885" spans="1:22">
      <c r="A885" s="2" t="s">
        <v>2023</v>
      </c>
      <c r="B885" s="2" t="s">
        <v>2024</v>
      </c>
      <c r="D885" s="2" t="s">
        <v>2021</v>
      </c>
      <c r="E885" s="2" t="s">
        <v>6696</v>
      </c>
      <c r="F885" s="2">
        <v>3</v>
      </c>
      <c r="G885" s="2">
        <v>0.5</v>
      </c>
      <c r="H885" s="2">
        <v>0</v>
      </c>
      <c r="I885" s="2">
        <v>550</v>
      </c>
      <c r="J885" s="2" t="s">
        <v>187</v>
      </c>
      <c r="K885" s="2" t="s">
        <v>5773</v>
      </c>
      <c r="M885" s="2">
        <v>0.5</v>
      </c>
      <c r="N885" s="2">
        <v>2.8</v>
      </c>
      <c r="O885" s="2" t="s">
        <v>5737</v>
      </c>
      <c r="Q885" s="2">
        <v>1999</v>
      </c>
      <c r="R885" s="2">
        <v>2001</v>
      </c>
      <c r="S885" s="2" t="s">
        <v>5735</v>
      </c>
      <c r="U885" s="2">
        <v>2</v>
      </c>
      <c r="V885" s="2" t="s">
        <v>187</v>
      </c>
    </row>
    <row r="886" spans="1:22">
      <c r="A886" s="2" t="s">
        <v>2023</v>
      </c>
      <c r="B886" s="2" t="s">
        <v>2024</v>
      </c>
      <c r="D886" s="2" t="s">
        <v>2021</v>
      </c>
      <c r="E886" s="2" t="s">
        <v>6697</v>
      </c>
      <c r="F886" s="2">
        <v>2</v>
      </c>
      <c r="G886" s="2">
        <v>0.5</v>
      </c>
      <c r="H886" s="2">
        <v>0</v>
      </c>
      <c r="I886" s="2">
        <v>550</v>
      </c>
      <c r="J886" s="2" t="s">
        <v>188</v>
      </c>
      <c r="M886" s="2">
        <v>0.5</v>
      </c>
      <c r="N886" s="2">
        <v>2.8</v>
      </c>
      <c r="O886" s="2" t="s">
        <v>5737</v>
      </c>
      <c r="Q886" s="2">
        <v>1995</v>
      </c>
      <c r="R886" s="2">
        <v>2018</v>
      </c>
      <c r="S886" s="2" t="s">
        <v>5735</v>
      </c>
      <c r="U886" s="2">
        <v>2</v>
      </c>
      <c r="V886" s="2" t="s">
        <v>187</v>
      </c>
    </row>
    <row r="887" spans="1:22">
      <c r="A887" s="2" t="s">
        <v>2052</v>
      </c>
      <c r="B887" s="2" t="s">
        <v>2052</v>
      </c>
      <c r="D887" s="2" t="s">
        <v>2049</v>
      </c>
      <c r="E887" s="2" t="s">
        <v>6698</v>
      </c>
      <c r="F887" s="2">
        <v>1</v>
      </c>
      <c r="G887" s="2">
        <v>1.2</v>
      </c>
      <c r="H887" s="2">
        <v>0</v>
      </c>
      <c r="I887" s="2">
        <v>1300</v>
      </c>
      <c r="J887" s="2" t="s">
        <v>188</v>
      </c>
      <c r="M887" s="2">
        <v>1.2</v>
      </c>
      <c r="N887" s="2">
        <v>2.2999999999999998</v>
      </c>
      <c r="O887" s="2" t="s">
        <v>5737</v>
      </c>
      <c r="Q887" s="2">
        <v>1995</v>
      </c>
      <c r="R887" s="2">
        <v>2023</v>
      </c>
      <c r="S887" s="2" t="s">
        <v>5735</v>
      </c>
      <c r="U887" s="2">
        <v>2</v>
      </c>
      <c r="V887" s="2" t="s">
        <v>187</v>
      </c>
    </row>
    <row r="888" spans="1:22">
      <c r="A888" s="2" t="s">
        <v>2109</v>
      </c>
      <c r="B888" s="2" t="s">
        <v>2109</v>
      </c>
      <c r="D888" s="2" t="s">
        <v>2106</v>
      </c>
      <c r="E888" s="2" t="s">
        <v>6699</v>
      </c>
      <c r="F888" s="2">
        <v>1</v>
      </c>
      <c r="G888" s="2">
        <v>1</v>
      </c>
      <c r="H888" s="2">
        <v>0</v>
      </c>
      <c r="I888" s="2">
        <v>1100</v>
      </c>
      <c r="J888" s="2" t="s">
        <v>188</v>
      </c>
      <c r="M888" s="2">
        <v>1</v>
      </c>
      <c r="N888" s="2">
        <v>5</v>
      </c>
      <c r="O888" s="2" t="s">
        <v>5737</v>
      </c>
      <c r="Q888" s="2">
        <v>1998</v>
      </c>
      <c r="R888" s="2">
        <v>2004</v>
      </c>
      <c r="S888" s="2" t="s">
        <v>5735</v>
      </c>
      <c r="U888" s="2">
        <v>2</v>
      </c>
      <c r="V888" s="2" t="s">
        <v>187</v>
      </c>
    </row>
    <row r="889" spans="1:22">
      <c r="A889" s="2" t="s">
        <v>2128</v>
      </c>
      <c r="B889" s="2" t="s">
        <v>2129</v>
      </c>
      <c r="D889" s="2" t="s">
        <v>2126</v>
      </c>
      <c r="E889" s="2" t="s">
        <v>6700</v>
      </c>
      <c r="F889" s="2">
        <v>1</v>
      </c>
      <c r="G889" s="2">
        <v>1</v>
      </c>
      <c r="H889" s="2">
        <v>0</v>
      </c>
      <c r="I889" s="2">
        <v>1100</v>
      </c>
      <c r="J889" s="2" t="s">
        <v>188</v>
      </c>
      <c r="M889" s="2">
        <v>1</v>
      </c>
      <c r="N889" s="2">
        <v>5</v>
      </c>
      <c r="O889" s="2" t="s">
        <v>5737</v>
      </c>
      <c r="Q889" s="2">
        <v>2009</v>
      </c>
      <c r="R889" s="2">
        <v>2009</v>
      </c>
      <c r="S889" s="2" t="s">
        <v>5742</v>
      </c>
      <c r="U889" s="2">
        <v>1</v>
      </c>
      <c r="V889" s="2" t="s">
        <v>187</v>
      </c>
    </row>
    <row r="890" spans="1:22">
      <c r="A890" s="2" t="s">
        <v>2128</v>
      </c>
      <c r="B890" s="2" t="s">
        <v>2129</v>
      </c>
      <c r="D890" s="2" t="s">
        <v>2126</v>
      </c>
      <c r="E890" s="2" t="s">
        <v>6701</v>
      </c>
      <c r="F890" s="2">
        <v>2</v>
      </c>
      <c r="G890" s="2">
        <v>1</v>
      </c>
      <c r="H890" s="2">
        <v>0</v>
      </c>
      <c r="I890" s="2">
        <v>1100</v>
      </c>
      <c r="J890" s="2" t="s">
        <v>188</v>
      </c>
      <c r="M890" s="2">
        <v>1</v>
      </c>
      <c r="N890" s="2">
        <v>5</v>
      </c>
      <c r="O890" s="2" t="s">
        <v>5737</v>
      </c>
      <c r="Q890" s="2">
        <v>2013</v>
      </c>
      <c r="R890" s="2">
        <v>2013</v>
      </c>
      <c r="S890" s="2" t="s">
        <v>5738</v>
      </c>
      <c r="U890" s="2">
        <v>1</v>
      </c>
      <c r="V890" s="2" t="s">
        <v>187</v>
      </c>
    </row>
    <row r="891" spans="1:22">
      <c r="A891" s="2" t="s">
        <v>2143</v>
      </c>
      <c r="B891" s="2" t="s">
        <v>2144</v>
      </c>
      <c r="D891" s="2" t="s">
        <v>2141</v>
      </c>
      <c r="E891" s="2" t="s">
        <v>6702</v>
      </c>
      <c r="F891" s="2">
        <v>1</v>
      </c>
      <c r="G891" s="2">
        <v>0.85</v>
      </c>
      <c r="H891" s="2">
        <v>0</v>
      </c>
      <c r="I891" s="2">
        <v>900</v>
      </c>
      <c r="J891" s="2" t="s">
        <v>188</v>
      </c>
      <c r="M891" s="2">
        <v>0.85</v>
      </c>
      <c r="N891" s="2">
        <v>1</v>
      </c>
      <c r="O891" s="2" t="s">
        <v>5737</v>
      </c>
      <c r="Q891" s="2">
        <v>1995</v>
      </c>
      <c r="R891" s="2">
        <v>2023</v>
      </c>
      <c r="S891" s="2" t="s">
        <v>5735</v>
      </c>
      <c r="U891" s="2">
        <v>2</v>
      </c>
      <c r="V891" s="2" t="s">
        <v>187</v>
      </c>
    </row>
    <row r="892" spans="1:22">
      <c r="A892" s="2" t="s">
        <v>2160</v>
      </c>
      <c r="B892" s="2" t="s">
        <v>2161</v>
      </c>
      <c r="D892" s="2" t="s">
        <v>2157</v>
      </c>
      <c r="E892" s="2" t="s">
        <v>6703</v>
      </c>
      <c r="F892" s="2">
        <v>2</v>
      </c>
      <c r="G892" s="2">
        <v>1.4</v>
      </c>
      <c r="H892" s="2">
        <v>0</v>
      </c>
      <c r="I892" s="2">
        <v>1500</v>
      </c>
      <c r="J892" s="2" t="s">
        <v>188</v>
      </c>
      <c r="M892" s="2">
        <v>1.4</v>
      </c>
      <c r="N892" s="2">
        <v>5.5</v>
      </c>
      <c r="O892" s="2" t="s">
        <v>5734</v>
      </c>
      <c r="Q892" s="2">
        <v>1995</v>
      </c>
      <c r="R892" s="2">
        <v>2018</v>
      </c>
      <c r="S892" s="2" t="s">
        <v>5735</v>
      </c>
      <c r="U892" s="2">
        <v>2</v>
      </c>
      <c r="V892" s="2" t="s">
        <v>187</v>
      </c>
    </row>
    <row r="893" spans="1:22">
      <c r="A893" s="2" t="s">
        <v>2160</v>
      </c>
      <c r="B893" s="2" t="s">
        <v>2161</v>
      </c>
      <c r="D893" s="2" t="s">
        <v>2157</v>
      </c>
      <c r="E893" s="2" t="s">
        <v>6704</v>
      </c>
      <c r="F893" s="2">
        <v>1</v>
      </c>
      <c r="G893" s="2">
        <v>0.8</v>
      </c>
      <c r="H893" s="2">
        <v>0</v>
      </c>
      <c r="I893" s="2">
        <v>880</v>
      </c>
      <c r="J893" s="2" t="s">
        <v>188</v>
      </c>
      <c r="M893" s="2">
        <v>0</v>
      </c>
      <c r="N893" s="2">
        <v>0</v>
      </c>
      <c r="O893" s="2" t="s">
        <v>5737</v>
      </c>
      <c r="Q893" s="2">
        <v>1995</v>
      </c>
      <c r="R893" s="2">
        <v>2024</v>
      </c>
      <c r="S893" s="2" t="s">
        <v>5735</v>
      </c>
      <c r="U893" s="2">
        <v>1</v>
      </c>
      <c r="V893" s="2" t="s">
        <v>187</v>
      </c>
    </row>
    <row r="894" spans="1:22">
      <c r="A894" s="2" t="s">
        <v>2182</v>
      </c>
      <c r="B894" s="2" t="s">
        <v>2182</v>
      </c>
      <c r="D894" s="2" t="s">
        <v>2179</v>
      </c>
      <c r="E894" s="2" t="s">
        <v>6705</v>
      </c>
      <c r="F894" s="2">
        <v>2</v>
      </c>
      <c r="G894" s="2">
        <v>0.6</v>
      </c>
      <c r="H894" s="2">
        <v>0</v>
      </c>
      <c r="I894" s="2">
        <v>660</v>
      </c>
      <c r="J894" s="2" t="s">
        <v>188</v>
      </c>
      <c r="M894" s="2">
        <v>0</v>
      </c>
      <c r="N894" s="2">
        <v>0</v>
      </c>
      <c r="O894" s="2" t="s">
        <v>5734</v>
      </c>
      <c r="Q894" s="2">
        <v>1995</v>
      </c>
      <c r="R894" s="2">
        <v>2025</v>
      </c>
      <c r="S894" s="2" t="s">
        <v>5735</v>
      </c>
      <c r="U894" s="2">
        <v>2</v>
      </c>
      <c r="V894" s="2" t="s">
        <v>187</v>
      </c>
    </row>
    <row r="895" spans="1:22">
      <c r="A895" s="2" t="s">
        <v>2182</v>
      </c>
      <c r="B895" s="2" t="s">
        <v>2182</v>
      </c>
      <c r="D895" s="2" t="s">
        <v>2179</v>
      </c>
      <c r="E895" s="2" t="s">
        <v>6706</v>
      </c>
      <c r="F895" s="2">
        <v>1</v>
      </c>
      <c r="G895" s="2">
        <v>0.8</v>
      </c>
      <c r="H895" s="2">
        <v>0</v>
      </c>
      <c r="I895" s="2">
        <v>880</v>
      </c>
      <c r="J895" s="2" t="s">
        <v>188</v>
      </c>
      <c r="M895" s="2">
        <v>0</v>
      </c>
      <c r="N895" s="2">
        <v>0</v>
      </c>
      <c r="O895" s="2" t="s">
        <v>5737</v>
      </c>
      <c r="Q895" s="2">
        <v>1995</v>
      </c>
      <c r="R895" s="2">
        <v>2025</v>
      </c>
      <c r="S895" s="2" t="s">
        <v>5735</v>
      </c>
      <c r="U895" s="2">
        <v>2</v>
      </c>
      <c r="V895" s="2" t="s">
        <v>187</v>
      </c>
    </row>
    <row r="896" spans="1:22">
      <c r="A896" s="2" t="s">
        <v>2182</v>
      </c>
      <c r="B896" s="2" t="s">
        <v>2182</v>
      </c>
      <c r="D896" s="2" t="s">
        <v>2179</v>
      </c>
      <c r="E896" s="2" t="s">
        <v>6707</v>
      </c>
      <c r="F896" s="2">
        <v>3</v>
      </c>
      <c r="G896" s="2">
        <v>0.8</v>
      </c>
      <c r="H896" s="2">
        <v>0</v>
      </c>
      <c r="I896" s="2">
        <v>880</v>
      </c>
      <c r="J896" s="2" t="s">
        <v>188</v>
      </c>
      <c r="M896" s="2">
        <v>0.8</v>
      </c>
      <c r="N896" s="2">
        <v>1</v>
      </c>
      <c r="O896" s="2" t="s">
        <v>5734</v>
      </c>
      <c r="Q896" s="2">
        <v>2015</v>
      </c>
      <c r="R896" s="2">
        <v>2015</v>
      </c>
      <c r="S896" s="2" t="s">
        <v>5742</v>
      </c>
      <c r="U896" s="2">
        <v>2</v>
      </c>
      <c r="V896" s="2" t="s">
        <v>187</v>
      </c>
    </row>
    <row r="897" spans="1:22">
      <c r="A897" s="2" t="s">
        <v>2215</v>
      </c>
      <c r="B897" s="2" t="s">
        <v>2216</v>
      </c>
      <c r="D897" s="2" t="s">
        <v>2212</v>
      </c>
      <c r="E897" s="2" t="s">
        <v>6708</v>
      </c>
      <c r="F897" s="2">
        <v>2</v>
      </c>
      <c r="G897" s="2">
        <v>0.7</v>
      </c>
      <c r="H897" s="2">
        <v>0</v>
      </c>
      <c r="I897" s="2">
        <v>770</v>
      </c>
      <c r="M897" s="2">
        <v>0.7</v>
      </c>
      <c r="N897" s="2">
        <v>1.5</v>
      </c>
      <c r="O897" s="2" t="s">
        <v>5734</v>
      </c>
      <c r="Q897" s="2">
        <v>2016</v>
      </c>
      <c r="R897" s="2">
        <v>2016</v>
      </c>
      <c r="S897" s="2" t="s">
        <v>5742</v>
      </c>
      <c r="U897" s="2">
        <v>2</v>
      </c>
      <c r="V897" s="2" t="s">
        <v>187</v>
      </c>
    </row>
    <row r="898" spans="1:22">
      <c r="A898" s="2" t="s">
        <v>2215</v>
      </c>
      <c r="B898" s="2" t="s">
        <v>2216</v>
      </c>
      <c r="D898" s="2" t="s">
        <v>2212</v>
      </c>
      <c r="E898" s="2" t="s">
        <v>6709</v>
      </c>
      <c r="F898" s="2">
        <v>1</v>
      </c>
      <c r="G898" s="2">
        <v>0.4</v>
      </c>
      <c r="H898" s="2">
        <v>0</v>
      </c>
      <c r="I898" s="2">
        <v>440</v>
      </c>
      <c r="J898" s="2" t="s">
        <v>188</v>
      </c>
      <c r="M898" s="2">
        <v>0</v>
      </c>
      <c r="N898" s="2">
        <v>0</v>
      </c>
      <c r="O898" s="2" t="s">
        <v>5737</v>
      </c>
      <c r="Q898" s="2">
        <v>1995</v>
      </c>
      <c r="R898" s="2">
        <v>2024</v>
      </c>
      <c r="S898" s="2" t="s">
        <v>5735</v>
      </c>
      <c r="U898" s="2">
        <v>2</v>
      </c>
      <c r="V898" s="2" t="s">
        <v>187</v>
      </c>
    </row>
    <row r="899" spans="1:22">
      <c r="A899" s="2" t="s">
        <v>2249</v>
      </c>
      <c r="B899" s="2" t="s">
        <v>2249</v>
      </c>
      <c r="D899" s="2" t="s">
        <v>2247</v>
      </c>
      <c r="E899" s="2" t="s">
        <v>6710</v>
      </c>
      <c r="F899" s="2">
        <v>1</v>
      </c>
      <c r="G899" s="2">
        <v>0.5</v>
      </c>
      <c r="H899" s="2">
        <v>0</v>
      </c>
      <c r="I899" s="2">
        <v>770</v>
      </c>
      <c r="J899" s="2" t="s">
        <v>188</v>
      </c>
      <c r="M899" s="2">
        <v>0.7</v>
      </c>
      <c r="N899" s="2">
        <v>2.8</v>
      </c>
      <c r="O899" s="2" t="s">
        <v>5737</v>
      </c>
      <c r="Q899" s="2">
        <v>2008</v>
      </c>
      <c r="R899" s="2">
        <v>2008</v>
      </c>
      <c r="S899" s="2" t="s">
        <v>5735</v>
      </c>
      <c r="U899" s="2">
        <v>2</v>
      </c>
      <c r="V899" s="2" t="s">
        <v>187</v>
      </c>
    </row>
    <row r="900" spans="1:22">
      <c r="A900" s="2" t="s">
        <v>2249</v>
      </c>
      <c r="B900" s="2" t="s">
        <v>2249</v>
      </c>
      <c r="D900" s="2" t="s">
        <v>2247</v>
      </c>
      <c r="E900" s="2" t="s">
        <v>6711</v>
      </c>
      <c r="F900" s="2">
        <v>2</v>
      </c>
      <c r="G900" s="2">
        <v>0.2</v>
      </c>
      <c r="H900" s="2">
        <v>0</v>
      </c>
      <c r="I900" s="2">
        <v>220</v>
      </c>
      <c r="J900" s="2" t="s">
        <v>188</v>
      </c>
      <c r="M900" s="2">
        <v>0.2</v>
      </c>
      <c r="N900" s="2">
        <v>0.5</v>
      </c>
      <c r="O900" s="2" t="s">
        <v>5737</v>
      </c>
      <c r="Q900" s="2">
        <v>2008</v>
      </c>
      <c r="R900" s="2">
        <v>2008</v>
      </c>
      <c r="S900" s="2" t="s">
        <v>5735</v>
      </c>
      <c r="U900" s="2">
        <v>2</v>
      </c>
      <c r="V900" s="2" t="s">
        <v>187</v>
      </c>
    </row>
    <row r="901" spans="1:22">
      <c r="A901" s="2" t="s">
        <v>2280</v>
      </c>
      <c r="B901" s="2" t="s">
        <v>2281</v>
      </c>
      <c r="D901" s="2" t="s">
        <v>2277</v>
      </c>
      <c r="E901" s="2" t="s">
        <v>6712</v>
      </c>
      <c r="F901" s="2">
        <v>1</v>
      </c>
      <c r="G901" s="2">
        <v>0.8</v>
      </c>
      <c r="H901" s="2">
        <v>0</v>
      </c>
      <c r="I901" s="2">
        <v>880</v>
      </c>
      <c r="J901" s="2" t="s">
        <v>188</v>
      </c>
      <c r="M901" s="2">
        <v>0.8</v>
      </c>
      <c r="N901" s="2">
        <v>0.5</v>
      </c>
      <c r="O901" s="2" t="s">
        <v>5737</v>
      </c>
      <c r="Q901" s="2">
        <v>1995</v>
      </c>
      <c r="R901" s="2">
        <v>2021</v>
      </c>
      <c r="S901" s="2" t="s">
        <v>5735</v>
      </c>
      <c r="U901" s="2">
        <v>2</v>
      </c>
      <c r="V901" s="2" t="s">
        <v>187</v>
      </c>
    </row>
    <row r="902" spans="1:22">
      <c r="A902" s="2" t="s">
        <v>2303</v>
      </c>
      <c r="B902" s="2" t="s">
        <v>2304</v>
      </c>
      <c r="D902" s="2" t="s">
        <v>2300</v>
      </c>
      <c r="E902" s="2" t="s">
        <v>6713</v>
      </c>
      <c r="F902" s="2">
        <v>2</v>
      </c>
      <c r="G902" s="2">
        <v>0.4</v>
      </c>
      <c r="H902" s="2">
        <v>0</v>
      </c>
      <c r="I902" s="2">
        <v>440</v>
      </c>
      <c r="J902" s="2" t="s">
        <v>187</v>
      </c>
      <c r="K902" s="2" t="s">
        <v>308</v>
      </c>
      <c r="M902" s="2">
        <v>0.4</v>
      </c>
      <c r="N902" s="2">
        <v>1.5</v>
      </c>
      <c r="O902" s="2" t="s">
        <v>5737</v>
      </c>
      <c r="Q902" s="2">
        <v>2011</v>
      </c>
      <c r="R902" s="2">
        <v>2011</v>
      </c>
      <c r="S902" s="2" t="s">
        <v>5738</v>
      </c>
      <c r="U902" s="2">
        <v>2</v>
      </c>
      <c r="V902" s="2" t="s">
        <v>187</v>
      </c>
    </row>
    <row r="903" spans="1:22">
      <c r="A903" s="2" t="s">
        <v>2303</v>
      </c>
      <c r="B903" s="2" t="s">
        <v>2304</v>
      </c>
      <c r="D903" s="2" t="s">
        <v>2300</v>
      </c>
      <c r="E903" s="2" t="s">
        <v>6714</v>
      </c>
      <c r="F903" s="2">
        <v>1</v>
      </c>
      <c r="G903" s="2">
        <v>0.6</v>
      </c>
      <c r="H903" s="2">
        <v>0</v>
      </c>
      <c r="I903" s="2">
        <v>660</v>
      </c>
      <c r="J903" s="2" t="s">
        <v>188</v>
      </c>
      <c r="M903" s="2">
        <v>0.6</v>
      </c>
      <c r="N903" s="2">
        <v>2.5</v>
      </c>
      <c r="O903" s="2" t="s">
        <v>5737</v>
      </c>
      <c r="Q903" s="2">
        <v>2009</v>
      </c>
      <c r="R903" s="2">
        <v>2009</v>
      </c>
      <c r="S903" s="2" t="s">
        <v>5738</v>
      </c>
      <c r="U903" s="2">
        <v>2</v>
      </c>
      <c r="V903" s="2" t="s">
        <v>187</v>
      </c>
    </row>
    <row r="904" spans="1:22">
      <c r="A904" s="2" t="s">
        <v>2344</v>
      </c>
      <c r="B904" s="2" t="s">
        <v>2344</v>
      </c>
      <c r="D904" s="2" t="s">
        <v>2341</v>
      </c>
      <c r="E904" s="2" t="s">
        <v>6715</v>
      </c>
      <c r="F904" s="2">
        <v>1</v>
      </c>
      <c r="G904" s="2">
        <v>0.6</v>
      </c>
      <c r="H904" s="2">
        <v>0</v>
      </c>
      <c r="I904" s="2">
        <v>660</v>
      </c>
      <c r="J904" s="2" t="s">
        <v>188</v>
      </c>
      <c r="M904" s="2">
        <v>0.6</v>
      </c>
      <c r="N904" s="2">
        <v>1.7</v>
      </c>
      <c r="O904" s="2" t="s">
        <v>5903</v>
      </c>
      <c r="Q904" s="2">
        <v>2000</v>
      </c>
      <c r="R904" s="2">
        <v>2000</v>
      </c>
      <c r="S904" s="2" t="s">
        <v>5735</v>
      </c>
      <c r="U904" s="2">
        <v>2</v>
      </c>
      <c r="V904" s="2" t="s">
        <v>188</v>
      </c>
    </row>
    <row r="905" spans="1:22">
      <c r="A905" s="2" t="s">
        <v>2344</v>
      </c>
      <c r="B905" s="2" t="s">
        <v>2344</v>
      </c>
      <c r="D905" s="2" t="s">
        <v>2341</v>
      </c>
      <c r="E905" s="2" t="s">
        <v>6716</v>
      </c>
      <c r="F905" s="2">
        <v>2</v>
      </c>
      <c r="G905" s="2">
        <v>0.4</v>
      </c>
      <c r="H905" s="2">
        <v>0</v>
      </c>
      <c r="I905" s="2">
        <v>440</v>
      </c>
      <c r="J905" s="2" t="s">
        <v>188</v>
      </c>
      <c r="M905" s="2">
        <v>0.4</v>
      </c>
      <c r="N905" s="2">
        <v>0.6</v>
      </c>
      <c r="O905" s="2" t="s">
        <v>5903</v>
      </c>
      <c r="Q905" s="2">
        <v>2001</v>
      </c>
      <c r="R905" s="2">
        <v>2001</v>
      </c>
      <c r="S905" s="2" t="s">
        <v>5735</v>
      </c>
      <c r="U905" s="2">
        <v>2</v>
      </c>
      <c r="V905" s="2" t="s">
        <v>188</v>
      </c>
    </row>
    <row r="906" spans="1:22">
      <c r="A906" s="2" t="s">
        <v>2420</v>
      </c>
      <c r="B906" s="2" t="s">
        <v>2420</v>
      </c>
      <c r="D906" s="2" t="s">
        <v>2417</v>
      </c>
      <c r="E906" s="2" t="s">
        <v>6717</v>
      </c>
      <c r="F906" s="2">
        <v>2</v>
      </c>
      <c r="G906" s="2">
        <v>0.5</v>
      </c>
      <c r="H906" s="2">
        <v>0</v>
      </c>
      <c r="I906" s="2">
        <v>550</v>
      </c>
      <c r="J906" s="2" t="s">
        <v>188</v>
      </c>
      <c r="M906" s="2">
        <v>0.5</v>
      </c>
      <c r="N906" s="2">
        <v>1.3</v>
      </c>
      <c r="O906" s="2" t="s">
        <v>5737</v>
      </c>
      <c r="Q906" s="2">
        <v>2019</v>
      </c>
      <c r="R906" s="2">
        <v>2019</v>
      </c>
      <c r="S906" s="2" t="s">
        <v>5735</v>
      </c>
      <c r="U906" s="2">
        <v>2</v>
      </c>
      <c r="V906" s="2" t="s">
        <v>187</v>
      </c>
    </row>
    <row r="907" spans="1:22">
      <c r="A907" s="2" t="s">
        <v>2420</v>
      </c>
      <c r="B907" s="2" t="s">
        <v>2420</v>
      </c>
      <c r="D907" s="2" t="s">
        <v>2417</v>
      </c>
      <c r="E907" s="2" t="s">
        <v>6718</v>
      </c>
      <c r="F907" s="2">
        <v>1</v>
      </c>
      <c r="G907" s="2">
        <v>0.5</v>
      </c>
      <c r="H907" s="2">
        <v>0</v>
      </c>
      <c r="I907" s="2">
        <v>550</v>
      </c>
      <c r="J907" s="2" t="s">
        <v>188</v>
      </c>
      <c r="M907" s="2">
        <v>0.5</v>
      </c>
      <c r="N907" s="2">
        <v>0.9</v>
      </c>
      <c r="O907" s="2" t="s">
        <v>5737</v>
      </c>
      <c r="Q907" s="2">
        <v>2013</v>
      </c>
      <c r="R907" s="2">
        <v>2013</v>
      </c>
      <c r="S907" s="2" t="s">
        <v>5735</v>
      </c>
      <c r="U907" s="2">
        <v>2</v>
      </c>
      <c r="V907" s="2" t="s">
        <v>187</v>
      </c>
    </row>
    <row r="908" spans="1:22">
      <c r="A908" s="2" t="s">
        <v>2436</v>
      </c>
      <c r="B908" s="2" t="s">
        <v>2437</v>
      </c>
      <c r="D908" s="2" t="s">
        <v>2434</v>
      </c>
      <c r="E908" s="2" t="s">
        <v>6719</v>
      </c>
      <c r="F908" s="2">
        <v>2</v>
      </c>
      <c r="G908" s="2">
        <v>0.4</v>
      </c>
      <c r="H908" s="2">
        <v>0</v>
      </c>
      <c r="I908" s="2">
        <v>440</v>
      </c>
      <c r="J908" s="2" t="s">
        <v>188</v>
      </c>
      <c r="M908" s="2">
        <v>0.4</v>
      </c>
      <c r="N908" s="2">
        <v>0.4</v>
      </c>
      <c r="O908" s="2" t="s">
        <v>5737</v>
      </c>
      <c r="Q908" s="2">
        <v>2016</v>
      </c>
      <c r="R908" s="2">
        <v>2016</v>
      </c>
      <c r="S908" s="2" t="s">
        <v>5739</v>
      </c>
      <c r="U908" s="2">
        <v>2</v>
      </c>
      <c r="V908" s="2" t="s">
        <v>187</v>
      </c>
    </row>
    <row r="909" spans="1:22">
      <c r="A909" s="2" t="s">
        <v>2436</v>
      </c>
      <c r="B909" s="2" t="s">
        <v>2437</v>
      </c>
      <c r="D909" s="2" t="s">
        <v>2434</v>
      </c>
      <c r="E909" s="2" t="s">
        <v>6720</v>
      </c>
      <c r="F909" s="2">
        <v>1</v>
      </c>
      <c r="G909" s="2">
        <v>0.4</v>
      </c>
      <c r="H909" s="2">
        <v>0</v>
      </c>
      <c r="I909" s="2">
        <v>440</v>
      </c>
      <c r="J909" s="2" t="s">
        <v>188</v>
      </c>
      <c r="M909" s="2">
        <v>0.4</v>
      </c>
      <c r="N909" s="2">
        <v>0.7</v>
      </c>
      <c r="O909" s="2" t="s">
        <v>5737</v>
      </c>
      <c r="Q909" s="2">
        <v>2016</v>
      </c>
      <c r="R909" s="2">
        <v>2016</v>
      </c>
      <c r="S909" s="2" t="s">
        <v>5742</v>
      </c>
      <c r="U909" s="2">
        <v>2</v>
      </c>
      <c r="V909" s="2" t="s">
        <v>187</v>
      </c>
    </row>
    <row r="910" spans="1:22">
      <c r="A910" s="2" t="s">
        <v>2396</v>
      </c>
      <c r="B910" s="2" t="s">
        <v>2396</v>
      </c>
      <c r="D910" s="2" t="s">
        <v>2394</v>
      </c>
      <c r="E910" s="2" t="s">
        <v>6721</v>
      </c>
      <c r="F910" s="2">
        <v>1</v>
      </c>
      <c r="G910" s="2">
        <v>0.8</v>
      </c>
      <c r="H910" s="2">
        <v>0</v>
      </c>
      <c r="I910" s="2">
        <v>880</v>
      </c>
      <c r="J910" s="2" t="s">
        <v>188</v>
      </c>
      <c r="M910" s="2">
        <v>0.8</v>
      </c>
      <c r="N910" s="2">
        <v>0.7</v>
      </c>
      <c r="O910" s="2" t="s">
        <v>5737</v>
      </c>
      <c r="Q910" s="2">
        <v>2019</v>
      </c>
      <c r="R910" s="2">
        <v>2019</v>
      </c>
      <c r="S910" s="2" t="s">
        <v>5738</v>
      </c>
      <c r="U910" s="2">
        <v>4</v>
      </c>
      <c r="V910" s="2" t="s">
        <v>187</v>
      </c>
    </row>
    <row r="911" spans="1:22">
      <c r="A911" s="2" t="s">
        <v>2409</v>
      </c>
      <c r="B911" s="2" t="s">
        <v>2410</v>
      </c>
      <c r="D911" s="2" t="s">
        <v>2406</v>
      </c>
      <c r="E911" s="2" t="s">
        <v>6722</v>
      </c>
      <c r="F911" s="2">
        <v>1</v>
      </c>
      <c r="G911" s="2">
        <v>0.5</v>
      </c>
      <c r="H911" s="2">
        <v>0</v>
      </c>
      <c r="I911" s="2">
        <v>550</v>
      </c>
      <c r="J911" s="2" t="s">
        <v>188</v>
      </c>
      <c r="N911" s="2">
        <v>2.2000000000000002</v>
      </c>
      <c r="O911" s="2" t="s">
        <v>5737</v>
      </c>
      <c r="Q911" s="2">
        <v>2016</v>
      </c>
      <c r="R911" s="2">
        <v>2016</v>
      </c>
      <c r="S911" s="2" t="s">
        <v>5738</v>
      </c>
      <c r="U911" s="2">
        <v>2</v>
      </c>
      <c r="V911" s="2" t="s">
        <v>187</v>
      </c>
    </row>
    <row r="912" spans="1:22">
      <c r="A912" s="2" t="s">
        <v>1420</v>
      </c>
      <c r="B912" s="2" t="s">
        <v>1420</v>
      </c>
      <c r="D912" s="2" t="s">
        <v>1418</v>
      </c>
      <c r="E912" s="2" t="s">
        <v>6723</v>
      </c>
      <c r="F912" s="2">
        <v>1</v>
      </c>
      <c r="G912" s="2">
        <v>0.8</v>
      </c>
      <c r="H912" s="2">
        <v>0</v>
      </c>
      <c r="I912" s="2">
        <v>880</v>
      </c>
      <c r="J912" s="2" t="s">
        <v>188</v>
      </c>
      <c r="M912" s="2">
        <v>0.8</v>
      </c>
      <c r="N912" s="2">
        <v>0.5</v>
      </c>
      <c r="O912" s="2" t="s">
        <v>5734</v>
      </c>
      <c r="Q912" s="2">
        <v>1995</v>
      </c>
      <c r="R912" s="2">
        <v>2021</v>
      </c>
      <c r="S912" s="2" t="s">
        <v>5735</v>
      </c>
      <c r="U912" s="2">
        <v>2</v>
      </c>
      <c r="V912" s="2" t="s">
        <v>187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L216"/>
  <sheetViews>
    <sheetView workbookViewId="0"/>
  </sheetViews>
  <sheetFormatPr defaultColWidth="12.6640625" defaultRowHeight="15.75" customHeight="1"/>
  <cols>
    <col min="1" max="2" width="16.21875" customWidth="1"/>
  </cols>
  <sheetData>
    <row r="1" spans="1:12">
      <c r="A1" s="1" t="s">
        <v>2566</v>
      </c>
      <c r="B1" s="1" t="s">
        <v>10</v>
      </c>
      <c r="C1" s="1" t="s">
        <v>6724</v>
      </c>
      <c r="D1" s="1" t="s">
        <v>2567</v>
      </c>
      <c r="E1" s="1" t="s">
        <v>0</v>
      </c>
      <c r="F1" s="1" t="s">
        <v>6725</v>
      </c>
      <c r="G1" s="1" t="s">
        <v>6726</v>
      </c>
      <c r="H1" s="1" t="s">
        <v>6727</v>
      </c>
      <c r="I1" s="1" t="s">
        <v>6728</v>
      </c>
      <c r="J1" s="1" t="s">
        <v>6729</v>
      </c>
      <c r="K1" s="1" t="s">
        <v>6730</v>
      </c>
      <c r="L1" s="1" t="s">
        <v>6731</v>
      </c>
    </row>
    <row r="2" spans="1:12">
      <c r="A2" s="2" t="s">
        <v>525</v>
      </c>
      <c r="B2" s="2" t="s">
        <v>525</v>
      </c>
      <c r="C2" s="2" t="s">
        <v>1998</v>
      </c>
      <c r="D2" s="2" t="s">
        <v>6732</v>
      </c>
      <c r="E2" s="2" t="s">
        <v>523</v>
      </c>
      <c r="F2" s="2" t="s">
        <v>6733</v>
      </c>
      <c r="G2" s="2" t="s">
        <v>187</v>
      </c>
      <c r="H2" s="2" t="s">
        <v>6734</v>
      </c>
      <c r="I2" s="2" t="s">
        <v>6735</v>
      </c>
      <c r="J2" s="2" t="s">
        <v>187</v>
      </c>
      <c r="K2" s="2" t="s">
        <v>187</v>
      </c>
      <c r="L2" s="2" t="s">
        <v>6734</v>
      </c>
    </row>
    <row r="3" spans="1:12">
      <c r="A3" s="2" t="s">
        <v>534</v>
      </c>
      <c r="B3" s="2" t="s">
        <v>534</v>
      </c>
      <c r="C3" s="2" t="s">
        <v>6736</v>
      </c>
      <c r="D3" s="2" t="s">
        <v>6737</v>
      </c>
      <c r="E3" s="2" t="s">
        <v>531</v>
      </c>
      <c r="F3" s="2" t="s">
        <v>6738</v>
      </c>
      <c r="G3" s="2" t="s">
        <v>187</v>
      </c>
      <c r="H3" s="2" t="s">
        <v>6734</v>
      </c>
      <c r="I3" s="2" t="s">
        <v>6735</v>
      </c>
      <c r="J3" s="2" t="s">
        <v>187</v>
      </c>
      <c r="K3" s="2" t="s">
        <v>188</v>
      </c>
      <c r="L3" s="2" t="s">
        <v>6734</v>
      </c>
    </row>
    <row r="4" spans="1:12">
      <c r="A4" s="2" t="s">
        <v>2549</v>
      </c>
      <c r="B4" s="2" t="s">
        <v>2549</v>
      </c>
      <c r="C4" s="2" t="s">
        <v>6739</v>
      </c>
      <c r="D4" s="2" t="s">
        <v>6740</v>
      </c>
      <c r="E4" s="2" t="s">
        <v>2547</v>
      </c>
      <c r="G4" s="2" t="s">
        <v>187</v>
      </c>
      <c r="H4" s="2" t="s">
        <v>6741</v>
      </c>
      <c r="I4" s="2" t="s">
        <v>6735</v>
      </c>
      <c r="J4" s="2" t="s">
        <v>187</v>
      </c>
      <c r="K4" s="2" t="s">
        <v>188</v>
      </c>
      <c r="L4" s="2" t="s">
        <v>6741</v>
      </c>
    </row>
    <row r="5" spans="1:12">
      <c r="A5" s="2" t="s">
        <v>2459</v>
      </c>
      <c r="B5" s="2" t="s">
        <v>2459</v>
      </c>
      <c r="C5" s="2" t="s">
        <v>1998</v>
      </c>
      <c r="D5" s="2" t="s">
        <v>6742</v>
      </c>
      <c r="E5" s="2" t="s">
        <v>2458</v>
      </c>
      <c r="G5" s="2" t="s">
        <v>187</v>
      </c>
      <c r="H5" s="2" t="s">
        <v>6743</v>
      </c>
      <c r="I5" s="2" t="s">
        <v>6735</v>
      </c>
      <c r="J5" s="2" t="s">
        <v>187</v>
      </c>
      <c r="K5" s="2" t="s">
        <v>187</v>
      </c>
      <c r="L5" s="2" t="s">
        <v>6743</v>
      </c>
    </row>
    <row r="6" spans="1:12">
      <c r="A6" s="2" t="s">
        <v>350</v>
      </c>
      <c r="B6" s="2" t="s">
        <v>351</v>
      </c>
      <c r="C6" s="2" t="s">
        <v>6744</v>
      </c>
      <c r="D6" s="2" t="s">
        <v>6745</v>
      </c>
      <c r="E6" s="2" t="s">
        <v>349</v>
      </c>
      <c r="G6" s="2" t="s">
        <v>188</v>
      </c>
      <c r="I6" s="2" t="s">
        <v>6746</v>
      </c>
      <c r="J6" s="2" t="s">
        <v>187</v>
      </c>
      <c r="L6" s="2" t="s">
        <v>6743</v>
      </c>
    </row>
    <row r="7" spans="1:12">
      <c r="A7" s="2" t="s">
        <v>356</v>
      </c>
      <c r="B7" s="2" t="s">
        <v>356</v>
      </c>
      <c r="C7" s="2" t="s">
        <v>1998</v>
      </c>
      <c r="D7" s="2" t="s">
        <v>6747</v>
      </c>
      <c r="E7" s="2" t="s">
        <v>355</v>
      </c>
      <c r="G7" s="2" t="s">
        <v>187</v>
      </c>
      <c r="H7" s="2" t="s">
        <v>6748</v>
      </c>
      <c r="I7" s="2" t="s">
        <v>6735</v>
      </c>
      <c r="J7" s="2" t="s">
        <v>187</v>
      </c>
      <c r="K7" s="2" t="s">
        <v>187</v>
      </c>
      <c r="L7" s="2" t="s">
        <v>6748</v>
      </c>
    </row>
    <row r="8" spans="1:12">
      <c r="A8" s="2" t="s">
        <v>360</v>
      </c>
      <c r="B8" s="2" t="s">
        <v>361</v>
      </c>
      <c r="C8" s="2" t="s">
        <v>1998</v>
      </c>
      <c r="D8" s="2" t="s">
        <v>6749</v>
      </c>
      <c r="E8" s="2" t="s">
        <v>359</v>
      </c>
      <c r="G8" s="2" t="s">
        <v>187</v>
      </c>
      <c r="H8" s="2" t="s">
        <v>6748</v>
      </c>
      <c r="I8" s="2" t="s">
        <v>6735</v>
      </c>
      <c r="J8" s="2" t="s">
        <v>187</v>
      </c>
      <c r="K8" s="2" t="s">
        <v>188</v>
      </c>
      <c r="L8" s="2" t="s">
        <v>6748</v>
      </c>
    </row>
    <row r="9" spans="1:12">
      <c r="A9" s="2" t="s">
        <v>2525</v>
      </c>
      <c r="B9" s="2" t="s">
        <v>2525</v>
      </c>
      <c r="C9" s="2" t="s">
        <v>6739</v>
      </c>
      <c r="D9" s="2" t="s">
        <v>6750</v>
      </c>
      <c r="E9" s="2" t="s">
        <v>2523</v>
      </c>
      <c r="G9" s="2" t="s">
        <v>187</v>
      </c>
      <c r="H9" s="2" t="s">
        <v>6734</v>
      </c>
      <c r="I9" s="2" t="s">
        <v>6735</v>
      </c>
      <c r="J9" s="2" t="s">
        <v>187</v>
      </c>
      <c r="K9" s="2" t="s">
        <v>188</v>
      </c>
      <c r="L9" s="2" t="s">
        <v>6748</v>
      </c>
    </row>
    <row r="10" spans="1:12">
      <c r="A10" s="2" t="s">
        <v>1933</v>
      </c>
      <c r="B10" s="2" t="s">
        <v>2499</v>
      </c>
      <c r="C10" s="2" t="s">
        <v>6739</v>
      </c>
      <c r="D10" s="2" t="s">
        <v>6751</v>
      </c>
      <c r="E10" s="2" t="s">
        <v>2497</v>
      </c>
      <c r="G10" s="2" t="s">
        <v>187</v>
      </c>
      <c r="H10" s="2" t="s">
        <v>6748</v>
      </c>
      <c r="I10" s="2" t="s">
        <v>6746</v>
      </c>
      <c r="J10" s="2" t="s">
        <v>187</v>
      </c>
      <c r="K10" s="2" t="s">
        <v>188</v>
      </c>
      <c r="L10" s="2" t="s">
        <v>6748</v>
      </c>
    </row>
    <row r="11" spans="1:12">
      <c r="A11" s="2" t="s">
        <v>2488</v>
      </c>
      <c r="B11" s="2" t="s">
        <v>2488</v>
      </c>
      <c r="C11" s="2" t="s">
        <v>6739</v>
      </c>
      <c r="D11" s="2" t="s">
        <v>6752</v>
      </c>
      <c r="E11" s="2" t="s">
        <v>2486</v>
      </c>
      <c r="G11" s="2" t="s">
        <v>187</v>
      </c>
      <c r="H11" s="2" t="s">
        <v>6748</v>
      </c>
      <c r="I11" s="2" t="s">
        <v>6735</v>
      </c>
      <c r="J11" s="2" t="s">
        <v>187</v>
      </c>
      <c r="K11" s="2" t="s">
        <v>188</v>
      </c>
      <c r="L11" s="2" t="s">
        <v>6748</v>
      </c>
    </row>
    <row r="12" spans="1:12">
      <c r="A12" s="2" t="s">
        <v>377</v>
      </c>
      <c r="B12" s="2" t="s">
        <v>378</v>
      </c>
      <c r="C12" s="2" t="s">
        <v>1998</v>
      </c>
      <c r="D12" s="2" t="s">
        <v>6753</v>
      </c>
      <c r="E12" s="2" t="s">
        <v>375</v>
      </c>
      <c r="G12" s="2" t="s">
        <v>187</v>
      </c>
      <c r="H12" s="2" t="s">
        <v>6754</v>
      </c>
      <c r="I12" s="2" t="s">
        <v>6746</v>
      </c>
      <c r="J12" s="2" t="s">
        <v>187</v>
      </c>
      <c r="K12" s="2" t="s">
        <v>187</v>
      </c>
      <c r="L12" s="2" t="s">
        <v>6754</v>
      </c>
    </row>
    <row r="13" spans="1:12">
      <c r="A13" s="2" t="s">
        <v>928</v>
      </c>
      <c r="B13" s="2" t="s">
        <v>928</v>
      </c>
      <c r="C13" s="2" t="s">
        <v>1998</v>
      </c>
      <c r="D13" s="2" t="s">
        <v>6755</v>
      </c>
      <c r="E13" s="2" t="s">
        <v>927</v>
      </c>
      <c r="G13" s="2" t="s">
        <v>187</v>
      </c>
      <c r="H13" s="2" t="s">
        <v>6748</v>
      </c>
      <c r="I13" s="2" t="s">
        <v>6746</v>
      </c>
      <c r="J13" s="2" t="s">
        <v>187</v>
      </c>
      <c r="K13" s="2" t="s">
        <v>187</v>
      </c>
      <c r="L13" s="2" t="s">
        <v>6748</v>
      </c>
    </row>
    <row r="14" spans="1:12">
      <c r="A14" s="2" t="s">
        <v>2472</v>
      </c>
      <c r="B14" s="2" t="s">
        <v>2473</v>
      </c>
      <c r="C14" s="2" t="s">
        <v>6739</v>
      </c>
      <c r="D14" s="2" t="s">
        <v>6756</v>
      </c>
      <c r="E14" s="2" t="s">
        <v>2470</v>
      </c>
      <c r="G14" s="2" t="s">
        <v>187</v>
      </c>
      <c r="H14" s="2" t="s">
        <v>6748</v>
      </c>
      <c r="I14" s="2" t="s">
        <v>6735</v>
      </c>
      <c r="J14" s="2" t="s">
        <v>187</v>
      </c>
      <c r="K14" s="2" t="s">
        <v>188</v>
      </c>
      <c r="L14" s="2" t="s">
        <v>6748</v>
      </c>
    </row>
    <row r="15" spans="1:12">
      <c r="A15" s="2" t="s">
        <v>1052</v>
      </c>
      <c r="B15" s="2" t="s">
        <v>1052</v>
      </c>
      <c r="C15" s="2" t="s">
        <v>1998</v>
      </c>
      <c r="D15" s="2" t="s">
        <v>6757</v>
      </c>
      <c r="E15" s="2" t="s">
        <v>1051</v>
      </c>
      <c r="G15" s="2" t="s">
        <v>187</v>
      </c>
      <c r="H15" s="2" t="s">
        <v>6748</v>
      </c>
      <c r="I15" s="2" t="s">
        <v>6735</v>
      </c>
      <c r="J15" s="2" t="s">
        <v>187</v>
      </c>
      <c r="K15" s="2" t="s">
        <v>187</v>
      </c>
      <c r="L15" s="2" t="s">
        <v>6748</v>
      </c>
    </row>
    <row r="16" spans="1:12">
      <c r="A16" s="2" t="s">
        <v>2275</v>
      </c>
      <c r="B16" s="2" t="s">
        <v>2275</v>
      </c>
      <c r="C16" s="2" t="s">
        <v>6739</v>
      </c>
      <c r="D16" s="2" t="s">
        <v>6758</v>
      </c>
      <c r="E16" s="2" t="s">
        <v>2271</v>
      </c>
      <c r="G16" s="2" t="s">
        <v>187</v>
      </c>
      <c r="H16" s="2" t="s">
        <v>6734</v>
      </c>
      <c r="I16" s="2" t="s">
        <v>6735</v>
      </c>
      <c r="J16" s="2" t="s">
        <v>187</v>
      </c>
      <c r="K16" s="2" t="s">
        <v>188</v>
      </c>
      <c r="L16" s="2" t="s">
        <v>6748</v>
      </c>
    </row>
    <row r="17" spans="1:12">
      <c r="A17" s="2" t="s">
        <v>1070</v>
      </c>
      <c r="B17" s="2" t="s">
        <v>1070</v>
      </c>
      <c r="C17" s="2" t="s">
        <v>1998</v>
      </c>
      <c r="D17" s="2" t="s">
        <v>6759</v>
      </c>
      <c r="E17" s="2" t="s">
        <v>1069</v>
      </c>
      <c r="G17" s="2" t="s">
        <v>187</v>
      </c>
      <c r="H17" s="2" t="s">
        <v>6748</v>
      </c>
      <c r="I17" s="2" t="s">
        <v>6735</v>
      </c>
      <c r="J17" s="2" t="s">
        <v>187</v>
      </c>
      <c r="K17" s="2" t="s">
        <v>187</v>
      </c>
      <c r="L17" s="2" t="s">
        <v>6748</v>
      </c>
    </row>
    <row r="18" spans="1:12">
      <c r="A18" s="2" t="s">
        <v>1090</v>
      </c>
      <c r="B18" s="2" t="s">
        <v>1090</v>
      </c>
      <c r="C18" s="2" t="s">
        <v>1998</v>
      </c>
      <c r="D18" s="2" t="s">
        <v>6760</v>
      </c>
      <c r="E18" s="2" t="s">
        <v>1089</v>
      </c>
      <c r="G18" s="2" t="s">
        <v>187</v>
      </c>
      <c r="H18" s="2" t="s">
        <v>6748</v>
      </c>
      <c r="I18" s="2" t="s">
        <v>6746</v>
      </c>
      <c r="J18" s="2" t="s">
        <v>187</v>
      </c>
      <c r="K18" s="2" t="s">
        <v>187</v>
      </c>
      <c r="L18" s="2" t="s">
        <v>6748</v>
      </c>
    </row>
    <row r="19" spans="1:12">
      <c r="A19" s="2" t="s">
        <v>2243</v>
      </c>
      <c r="B19" s="2" t="s">
        <v>2243</v>
      </c>
      <c r="C19" s="2" t="s">
        <v>6739</v>
      </c>
      <c r="D19" s="2" t="s">
        <v>6761</v>
      </c>
      <c r="E19" s="2" t="s">
        <v>2241</v>
      </c>
      <c r="G19" s="2" t="s">
        <v>187</v>
      </c>
      <c r="H19" s="2" t="s">
        <v>6748</v>
      </c>
      <c r="I19" s="2" t="s">
        <v>6746</v>
      </c>
      <c r="J19" s="2" t="s">
        <v>187</v>
      </c>
      <c r="K19" s="2" t="s">
        <v>188</v>
      </c>
      <c r="L19" s="2" t="s">
        <v>6748</v>
      </c>
    </row>
    <row r="20" spans="1:12">
      <c r="A20" s="2" t="s">
        <v>2243</v>
      </c>
      <c r="B20" s="2" t="s">
        <v>2243</v>
      </c>
      <c r="C20" s="2" t="s">
        <v>1998</v>
      </c>
      <c r="D20" s="2" t="s">
        <v>6762</v>
      </c>
      <c r="E20" s="2" t="s">
        <v>2241</v>
      </c>
      <c r="G20" s="2" t="s">
        <v>187</v>
      </c>
      <c r="H20" s="2" t="s">
        <v>6741</v>
      </c>
      <c r="I20" s="2" t="s">
        <v>6735</v>
      </c>
      <c r="J20" s="2" t="s">
        <v>187</v>
      </c>
      <c r="K20" s="2" t="s">
        <v>187</v>
      </c>
      <c r="L20" s="2" t="s">
        <v>6748</v>
      </c>
    </row>
    <row r="21" spans="1:12">
      <c r="A21" s="2" t="s">
        <v>1169</v>
      </c>
      <c r="B21" s="2" t="s">
        <v>1170</v>
      </c>
      <c r="C21" s="2" t="s">
        <v>1998</v>
      </c>
      <c r="D21" s="2" t="s">
        <v>6763</v>
      </c>
      <c r="E21" s="2" t="s">
        <v>1168</v>
      </c>
      <c r="G21" s="2" t="s">
        <v>187</v>
      </c>
      <c r="H21" s="2" t="s">
        <v>6748</v>
      </c>
      <c r="I21" s="2" t="s">
        <v>6735</v>
      </c>
      <c r="J21" s="2" t="s">
        <v>187</v>
      </c>
      <c r="K21" s="2" t="s">
        <v>187</v>
      </c>
      <c r="L21" s="2" t="s">
        <v>6748</v>
      </c>
    </row>
    <row r="22" spans="1:12">
      <c r="A22" s="2" t="s">
        <v>2206</v>
      </c>
      <c r="B22" s="2" t="s">
        <v>2206</v>
      </c>
      <c r="C22" s="2" t="s">
        <v>6739</v>
      </c>
      <c r="D22" s="2" t="s">
        <v>6764</v>
      </c>
      <c r="E22" s="2" t="s">
        <v>2203</v>
      </c>
      <c r="G22" s="2" t="s">
        <v>187</v>
      </c>
      <c r="H22" s="2" t="s">
        <v>6748</v>
      </c>
      <c r="I22" s="2" t="s">
        <v>6746</v>
      </c>
      <c r="J22" s="2" t="s">
        <v>187</v>
      </c>
      <c r="K22" s="2" t="s">
        <v>188</v>
      </c>
      <c r="L22" s="2" t="s">
        <v>6748</v>
      </c>
    </row>
    <row r="23" spans="1:12">
      <c r="A23" s="2" t="s">
        <v>2206</v>
      </c>
      <c r="B23" s="2" t="s">
        <v>2206</v>
      </c>
      <c r="C23" s="2" t="s">
        <v>1998</v>
      </c>
      <c r="D23" s="2" t="s">
        <v>6765</v>
      </c>
      <c r="E23" s="2" t="s">
        <v>2203</v>
      </c>
      <c r="G23" s="2" t="s">
        <v>187</v>
      </c>
      <c r="H23" s="2" t="s">
        <v>6748</v>
      </c>
      <c r="I23" s="2" t="s">
        <v>6735</v>
      </c>
      <c r="J23" s="2" t="s">
        <v>187</v>
      </c>
      <c r="K23" s="2" t="s">
        <v>187</v>
      </c>
      <c r="L23" s="2" t="s">
        <v>6734</v>
      </c>
    </row>
    <row r="24" spans="1:12">
      <c r="A24" s="2" t="s">
        <v>2088</v>
      </c>
      <c r="B24" s="2" t="s">
        <v>2088</v>
      </c>
      <c r="C24" s="2" t="s">
        <v>6739</v>
      </c>
      <c r="D24" s="2" t="s">
        <v>6766</v>
      </c>
      <c r="E24" s="2" t="s">
        <v>2086</v>
      </c>
      <c r="G24" s="2" t="s">
        <v>187</v>
      </c>
      <c r="H24" s="2" t="s">
        <v>6767</v>
      </c>
      <c r="I24" s="2" t="s">
        <v>6735</v>
      </c>
      <c r="J24" s="2" t="s">
        <v>187</v>
      </c>
      <c r="K24" s="2" t="s">
        <v>188</v>
      </c>
      <c r="L24" s="2" t="s">
        <v>6741</v>
      </c>
    </row>
    <row r="25" spans="1:12">
      <c r="A25" s="2" t="s">
        <v>1194</v>
      </c>
      <c r="B25" s="2" t="s">
        <v>1195</v>
      </c>
      <c r="C25" s="2" t="s">
        <v>1998</v>
      </c>
      <c r="D25" s="2" t="s">
        <v>6768</v>
      </c>
      <c r="E25" s="2" t="s">
        <v>1193</v>
      </c>
      <c r="G25" s="2" t="s">
        <v>187</v>
      </c>
      <c r="H25" s="2" t="s">
        <v>6748</v>
      </c>
      <c r="I25" s="2" t="s">
        <v>6746</v>
      </c>
      <c r="J25" s="2" t="s">
        <v>187</v>
      </c>
      <c r="K25" s="2" t="s">
        <v>187</v>
      </c>
      <c r="L25" s="2" t="s">
        <v>6748</v>
      </c>
    </row>
    <row r="26" spans="1:12">
      <c r="A26" s="2" t="s">
        <v>1198</v>
      </c>
      <c r="B26" s="2" t="s">
        <v>1199</v>
      </c>
      <c r="C26" s="2" t="s">
        <v>1998</v>
      </c>
      <c r="D26" s="2" t="s">
        <v>6769</v>
      </c>
      <c r="E26" s="2" t="s">
        <v>1197</v>
      </c>
      <c r="G26" s="2" t="s">
        <v>187</v>
      </c>
      <c r="H26" s="2" t="s">
        <v>6748</v>
      </c>
      <c r="I26" s="2" t="s">
        <v>6746</v>
      </c>
      <c r="J26" s="2" t="s">
        <v>187</v>
      </c>
      <c r="K26" s="2" t="s">
        <v>187</v>
      </c>
      <c r="L26" s="2" t="s">
        <v>6748</v>
      </c>
    </row>
    <row r="27" spans="1:12">
      <c r="A27" s="2" t="s">
        <v>684</v>
      </c>
      <c r="B27" s="2" t="s">
        <v>684</v>
      </c>
      <c r="C27" s="2" t="s">
        <v>1998</v>
      </c>
      <c r="D27" s="2" t="s">
        <v>6770</v>
      </c>
      <c r="E27" s="2" t="s">
        <v>682</v>
      </c>
      <c r="G27" s="2" t="s">
        <v>187</v>
      </c>
      <c r="H27" s="2" t="s">
        <v>6748</v>
      </c>
      <c r="I27" s="2" t="s">
        <v>6735</v>
      </c>
      <c r="J27" s="2" t="s">
        <v>187</v>
      </c>
      <c r="K27" s="2" t="s">
        <v>187</v>
      </c>
      <c r="L27" s="2" t="s">
        <v>6748</v>
      </c>
    </row>
    <row r="28" spans="1:12">
      <c r="A28" s="2" t="s">
        <v>417</v>
      </c>
      <c r="B28" s="2" t="s">
        <v>418</v>
      </c>
      <c r="C28" s="2" t="s">
        <v>6771</v>
      </c>
      <c r="D28" s="2" t="s">
        <v>6772</v>
      </c>
      <c r="E28" s="2" t="s">
        <v>415</v>
      </c>
      <c r="G28" s="2" t="s">
        <v>187</v>
      </c>
      <c r="H28" s="2" t="s">
        <v>6734</v>
      </c>
      <c r="I28" s="2" t="s">
        <v>6735</v>
      </c>
      <c r="J28" s="2" t="s">
        <v>187</v>
      </c>
      <c r="K28" s="2" t="s">
        <v>188</v>
      </c>
      <c r="L28" s="2" t="s">
        <v>6773</v>
      </c>
    </row>
    <row r="29" spans="1:12">
      <c r="A29" s="2" t="s">
        <v>1777</v>
      </c>
      <c r="B29" s="2" t="s">
        <v>1778</v>
      </c>
      <c r="C29" s="2" t="s">
        <v>1998</v>
      </c>
      <c r="D29" s="2" t="s">
        <v>6774</v>
      </c>
      <c r="E29" s="2" t="s">
        <v>1775</v>
      </c>
      <c r="G29" s="2" t="s">
        <v>187</v>
      </c>
      <c r="H29" s="2" t="s">
        <v>6773</v>
      </c>
      <c r="I29" s="2" t="s">
        <v>6735</v>
      </c>
      <c r="J29" s="2" t="s">
        <v>187</v>
      </c>
      <c r="K29" s="2" t="s">
        <v>187</v>
      </c>
      <c r="L29" s="2" t="s">
        <v>6773</v>
      </c>
    </row>
    <row r="30" spans="1:12">
      <c r="A30" s="2" t="s">
        <v>1828</v>
      </c>
      <c r="B30" s="2" t="s">
        <v>1828</v>
      </c>
      <c r="C30" s="2" t="s">
        <v>1998</v>
      </c>
      <c r="D30" s="2" t="s">
        <v>6775</v>
      </c>
      <c r="E30" s="2" t="s">
        <v>1826</v>
      </c>
      <c r="G30" s="2" t="s">
        <v>187</v>
      </c>
      <c r="H30" s="2" t="s">
        <v>6773</v>
      </c>
      <c r="I30" s="2" t="s">
        <v>6735</v>
      </c>
      <c r="J30" s="2" t="s">
        <v>187</v>
      </c>
      <c r="K30" s="2" t="s">
        <v>187</v>
      </c>
      <c r="L30" s="2" t="s">
        <v>6773</v>
      </c>
    </row>
    <row r="31" spans="1:12">
      <c r="A31" s="2" t="s">
        <v>1855</v>
      </c>
      <c r="B31" s="2" t="s">
        <v>1856</v>
      </c>
      <c r="C31" s="2" t="s">
        <v>1998</v>
      </c>
      <c r="D31" s="2" t="s">
        <v>6776</v>
      </c>
      <c r="E31" s="2" t="s">
        <v>1852</v>
      </c>
      <c r="G31" s="2" t="s">
        <v>187</v>
      </c>
      <c r="H31" s="2" t="s">
        <v>6773</v>
      </c>
      <c r="I31" s="2" t="s">
        <v>6777</v>
      </c>
      <c r="J31" s="2" t="s">
        <v>187</v>
      </c>
      <c r="K31" s="2" t="s">
        <v>187</v>
      </c>
      <c r="L31" s="2" t="s">
        <v>6773</v>
      </c>
    </row>
    <row r="32" spans="1:12">
      <c r="A32" s="2" t="s">
        <v>1892</v>
      </c>
      <c r="B32" s="2" t="s">
        <v>1893</v>
      </c>
      <c r="C32" s="2" t="s">
        <v>1998</v>
      </c>
      <c r="D32" s="2" t="s">
        <v>6778</v>
      </c>
      <c r="E32" s="2" t="s">
        <v>1890</v>
      </c>
      <c r="G32" s="2" t="s">
        <v>187</v>
      </c>
      <c r="H32" s="2" t="s">
        <v>6779</v>
      </c>
      <c r="I32" s="2" t="s">
        <v>6777</v>
      </c>
      <c r="J32" s="2" t="s">
        <v>187</v>
      </c>
      <c r="K32" s="2" t="s">
        <v>187</v>
      </c>
      <c r="L32" s="2" t="s">
        <v>6779</v>
      </c>
    </row>
    <row r="33" spans="1:12">
      <c r="A33" s="2" t="s">
        <v>265</v>
      </c>
      <c r="B33" s="2" t="s">
        <v>265</v>
      </c>
      <c r="C33" s="2" t="s">
        <v>1998</v>
      </c>
      <c r="D33" s="2" t="s">
        <v>6780</v>
      </c>
      <c r="E33" s="2" t="s">
        <v>264</v>
      </c>
      <c r="G33" s="2" t="s">
        <v>187</v>
      </c>
      <c r="H33" s="2" t="s">
        <v>6748</v>
      </c>
      <c r="I33" s="2" t="s">
        <v>6735</v>
      </c>
      <c r="J33" s="2" t="s">
        <v>187</v>
      </c>
      <c r="K33" s="2" t="s">
        <v>187</v>
      </c>
      <c r="L33" s="2" t="s">
        <v>6748</v>
      </c>
    </row>
    <row r="34" spans="1:12">
      <c r="A34" s="2" t="s">
        <v>1945</v>
      </c>
      <c r="B34" s="2" t="s">
        <v>1945</v>
      </c>
      <c r="C34" s="2" t="s">
        <v>1998</v>
      </c>
      <c r="D34" s="2" t="s">
        <v>6781</v>
      </c>
      <c r="E34" s="2" t="s">
        <v>1944</v>
      </c>
      <c r="G34" s="2" t="s">
        <v>187</v>
      </c>
      <c r="H34" s="2" t="s">
        <v>6779</v>
      </c>
      <c r="I34" s="2" t="s">
        <v>6777</v>
      </c>
      <c r="J34" s="2" t="s">
        <v>187</v>
      </c>
      <c r="K34" s="2" t="s">
        <v>187</v>
      </c>
      <c r="L34" s="2" t="s">
        <v>6779</v>
      </c>
    </row>
    <row r="35" spans="1:12">
      <c r="A35" s="2" t="s">
        <v>1279</v>
      </c>
      <c r="B35" s="2" t="s">
        <v>1279</v>
      </c>
      <c r="C35" s="2" t="s">
        <v>1998</v>
      </c>
      <c r="D35" s="2" t="s">
        <v>6782</v>
      </c>
      <c r="E35" s="2" t="s">
        <v>1276</v>
      </c>
      <c r="G35" s="2" t="s">
        <v>187</v>
      </c>
      <c r="H35" s="2" t="s">
        <v>6779</v>
      </c>
      <c r="I35" s="2" t="s">
        <v>6777</v>
      </c>
      <c r="J35" s="2" t="s">
        <v>187</v>
      </c>
      <c r="K35" s="2" t="s">
        <v>187</v>
      </c>
      <c r="L35" s="2" t="s">
        <v>6779</v>
      </c>
    </row>
    <row r="36" spans="1:12">
      <c r="A36" s="2" t="s">
        <v>1247</v>
      </c>
      <c r="B36" s="2" t="s">
        <v>1248</v>
      </c>
      <c r="C36" s="2" t="s">
        <v>1998</v>
      </c>
      <c r="D36" s="2" t="s">
        <v>6783</v>
      </c>
      <c r="E36" s="2" t="s">
        <v>1245</v>
      </c>
      <c r="G36" s="2" t="s">
        <v>187</v>
      </c>
      <c r="H36" s="2" t="s">
        <v>6743</v>
      </c>
      <c r="I36" s="2" t="s">
        <v>6735</v>
      </c>
      <c r="J36" s="2" t="s">
        <v>187</v>
      </c>
      <c r="K36" s="2" t="s">
        <v>187</v>
      </c>
      <c r="L36" s="2" t="s">
        <v>6743</v>
      </c>
    </row>
    <row r="37" spans="1:12">
      <c r="A37" s="2" t="s">
        <v>1324</v>
      </c>
      <c r="B37" s="2" t="s">
        <v>1324</v>
      </c>
      <c r="C37" s="2" t="s">
        <v>1998</v>
      </c>
      <c r="D37" s="2" t="s">
        <v>6784</v>
      </c>
      <c r="E37" s="2" t="s">
        <v>1322</v>
      </c>
      <c r="G37" s="2" t="s">
        <v>187</v>
      </c>
      <c r="H37" s="2" t="s">
        <v>6779</v>
      </c>
      <c r="I37" s="2" t="s">
        <v>6777</v>
      </c>
      <c r="J37" s="2" t="s">
        <v>187</v>
      </c>
      <c r="K37" s="2" t="s">
        <v>187</v>
      </c>
      <c r="L37" s="2" t="s">
        <v>6779</v>
      </c>
    </row>
    <row r="38" spans="1:12">
      <c r="A38" s="2" t="s">
        <v>1355</v>
      </c>
      <c r="B38" s="2" t="s">
        <v>1356</v>
      </c>
      <c r="C38" s="2" t="s">
        <v>1998</v>
      </c>
      <c r="D38" s="2" t="s">
        <v>6785</v>
      </c>
      <c r="E38" s="2" t="s">
        <v>1354</v>
      </c>
      <c r="G38" s="2" t="s">
        <v>187</v>
      </c>
      <c r="H38" s="2" t="s">
        <v>6779</v>
      </c>
      <c r="I38" s="2" t="s">
        <v>6735</v>
      </c>
      <c r="J38" s="2" t="s">
        <v>187</v>
      </c>
      <c r="K38" s="2" t="s">
        <v>187</v>
      </c>
      <c r="L38" s="2" t="s">
        <v>6779</v>
      </c>
    </row>
    <row r="39" spans="1:12">
      <c r="A39" s="2" t="s">
        <v>1398</v>
      </c>
      <c r="B39" s="2" t="s">
        <v>1398</v>
      </c>
      <c r="C39" s="2" t="s">
        <v>1998</v>
      </c>
      <c r="D39" s="2" t="s">
        <v>6786</v>
      </c>
      <c r="E39" s="2" t="s">
        <v>1396</v>
      </c>
      <c r="G39" s="2" t="s">
        <v>187</v>
      </c>
      <c r="H39" s="2" t="s">
        <v>6779</v>
      </c>
      <c r="I39" s="2" t="s">
        <v>6777</v>
      </c>
      <c r="J39" s="2" t="s">
        <v>187</v>
      </c>
      <c r="K39" s="2" t="s">
        <v>187</v>
      </c>
      <c r="L39" s="2" t="s">
        <v>6779</v>
      </c>
    </row>
    <row r="40" spans="1:12">
      <c r="A40" s="2" t="s">
        <v>1556</v>
      </c>
      <c r="B40" s="2" t="s">
        <v>1556</v>
      </c>
      <c r="C40" s="2" t="s">
        <v>1998</v>
      </c>
      <c r="D40" s="2" t="s">
        <v>6787</v>
      </c>
      <c r="E40" s="2" t="s">
        <v>1554</v>
      </c>
      <c r="G40" s="2" t="s">
        <v>187</v>
      </c>
      <c r="H40" s="2" t="s">
        <v>6779</v>
      </c>
      <c r="I40" s="2" t="s">
        <v>6777</v>
      </c>
      <c r="J40" s="2" t="s">
        <v>187</v>
      </c>
      <c r="K40" s="2" t="s">
        <v>187</v>
      </c>
      <c r="L40" s="2" t="s">
        <v>6779</v>
      </c>
    </row>
    <row r="41" spans="1:12">
      <c r="A41" s="2" t="s">
        <v>1579</v>
      </c>
      <c r="B41" s="2" t="s">
        <v>1579</v>
      </c>
      <c r="C41" s="2" t="s">
        <v>1998</v>
      </c>
      <c r="D41" s="2" t="s">
        <v>6788</v>
      </c>
      <c r="E41" s="2" t="s">
        <v>1577</v>
      </c>
      <c r="G41" s="2" t="s">
        <v>187</v>
      </c>
      <c r="H41" s="2" t="s">
        <v>6779</v>
      </c>
      <c r="I41" s="2" t="s">
        <v>6777</v>
      </c>
      <c r="J41" s="2" t="s">
        <v>187</v>
      </c>
      <c r="K41" s="2" t="s">
        <v>187</v>
      </c>
      <c r="L41" s="2" t="s">
        <v>6779</v>
      </c>
    </row>
    <row r="42" spans="1:12">
      <c r="A42" s="2" t="s">
        <v>1271</v>
      </c>
      <c r="B42" s="2" t="s">
        <v>1272</v>
      </c>
      <c r="C42" s="2" t="s">
        <v>1998</v>
      </c>
      <c r="D42" s="2" t="s">
        <v>6789</v>
      </c>
      <c r="E42" s="2" t="s">
        <v>1270</v>
      </c>
      <c r="G42" s="2" t="s">
        <v>187</v>
      </c>
      <c r="H42" s="2" t="s">
        <v>6743</v>
      </c>
      <c r="I42" s="2" t="s">
        <v>6746</v>
      </c>
      <c r="J42" s="2" t="s">
        <v>187</v>
      </c>
      <c r="K42" s="2" t="s">
        <v>187</v>
      </c>
      <c r="L42" s="2" t="s">
        <v>6743</v>
      </c>
    </row>
    <row r="43" spans="1:12">
      <c r="A43" s="2" t="s">
        <v>252</v>
      </c>
      <c r="B43" s="2" t="s">
        <v>252</v>
      </c>
      <c r="C43" s="2" t="s">
        <v>1998</v>
      </c>
      <c r="D43" s="2" t="s">
        <v>6790</v>
      </c>
      <c r="E43" s="2" t="s">
        <v>251</v>
      </c>
      <c r="G43" s="2" t="s">
        <v>187</v>
      </c>
      <c r="H43" s="2" t="s">
        <v>6748</v>
      </c>
      <c r="I43" s="2" t="s">
        <v>6735</v>
      </c>
      <c r="J43" s="2" t="s">
        <v>187</v>
      </c>
      <c r="K43" s="2" t="s">
        <v>187</v>
      </c>
      <c r="L43" s="2" t="s">
        <v>6748</v>
      </c>
    </row>
    <row r="44" spans="1:12">
      <c r="A44" s="2" t="s">
        <v>1307</v>
      </c>
      <c r="B44" s="2" t="s">
        <v>1307</v>
      </c>
      <c r="C44" s="2" t="s">
        <v>1998</v>
      </c>
      <c r="D44" s="2" t="s">
        <v>6791</v>
      </c>
      <c r="E44" s="2" t="s">
        <v>1306</v>
      </c>
      <c r="G44" s="2" t="s">
        <v>187</v>
      </c>
      <c r="H44" s="2" t="s">
        <v>6754</v>
      </c>
      <c r="I44" s="2" t="s">
        <v>6746</v>
      </c>
      <c r="J44" s="2" t="s">
        <v>187</v>
      </c>
      <c r="K44" s="2" t="s">
        <v>187</v>
      </c>
      <c r="L44" s="2" t="s">
        <v>6754</v>
      </c>
    </row>
    <row r="45" spans="1:12">
      <c r="A45" s="2" t="s">
        <v>221</v>
      </c>
      <c r="B45" s="2" t="s">
        <v>222</v>
      </c>
      <c r="C45" s="2" t="s">
        <v>1998</v>
      </c>
      <c r="D45" s="2" t="s">
        <v>6792</v>
      </c>
      <c r="E45" s="2" t="s">
        <v>220</v>
      </c>
      <c r="G45" s="2" t="s">
        <v>187</v>
      </c>
      <c r="H45" s="2" t="s">
        <v>6734</v>
      </c>
      <c r="I45" s="2" t="s">
        <v>6735</v>
      </c>
      <c r="J45" s="2" t="s">
        <v>187</v>
      </c>
      <c r="K45" s="2" t="s">
        <v>187</v>
      </c>
      <c r="L45" s="2" t="s">
        <v>6734</v>
      </c>
    </row>
    <row r="46" spans="1:12">
      <c r="A46" s="2" t="s">
        <v>1332</v>
      </c>
      <c r="B46" s="2" t="s">
        <v>1333</v>
      </c>
      <c r="C46" s="2" t="s">
        <v>1998</v>
      </c>
      <c r="D46" s="2" t="s">
        <v>6793</v>
      </c>
      <c r="E46" s="2" t="s">
        <v>1331</v>
      </c>
      <c r="G46" s="2" t="s">
        <v>187</v>
      </c>
      <c r="H46" s="2" t="s">
        <v>6743</v>
      </c>
      <c r="I46" s="2" t="s">
        <v>6735</v>
      </c>
      <c r="J46" s="2" t="s">
        <v>187</v>
      </c>
      <c r="K46" s="2" t="s">
        <v>187</v>
      </c>
      <c r="L46" s="2" t="s">
        <v>6754</v>
      </c>
    </row>
    <row r="47" spans="1:12">
      <c r="A47" s="2" t="s">
        <v>245</v>
      </c>
      <c r="B47" s="2" t="s">
        <v>246</v>
      </c>
      <c r="C47" s="2" t="s">
        <v>1998</v>
      </c>
      <c r="D47" s="2" t="s">
        <v>6794</v>
      </c>
      <c r="E47" s="2" t="s">
        <v>244</v>
      </c>
      <c r="G47" s="2" t="s">
        <v>187</v>
      </c>
      <c r="H47" s="2" t="s">
        <v>6734</v>
      </c>
      <c r="I47" s="2" t="s">
        <v>6735</v>
      </c>
      <c r="J47" s="2" t="s">
        <v>187</v>
      </c>
      <c r="K47" s="2" t="s">
        <v>187</v>
      </c>
      <c r="L47" s="2" t="s">
        <v>6734</v>
      </c>
    </row>
    <row r="48" spans="1:12">
      <c r="A48" s="2" t="s">
        <v>1973</v>
      </c>
      <c r="B48" s="2" t="s">
        <v>1974</v>
      </c>
      <c r="C48" s="2" t="s">
        <v>1998</v>
      </c>
      <c r="D48" s="2" t="s">
        <v>6795</v>
      </c>
      <c r="E48" s="2" t="s">
        <v>1971</v>
      </c>
      <c r="G48" s="2" t="s">
        <v>187</v>
      </c>
      <c r="H48" s="2" t="s">
        <v>6743</v>
      </c>
      <c r="I48" s="2" t="s">
        <v>6777</v>
      </c>
      <c r="J48" s="2" t="s">
        <v>187</v>
      </c>
      <c r="K48" s="2" t="s">
        <v>187</v>
      </c>
      <c r="L48" s="2" t="s">
        <v>6743</v>
      </c>
    </row>
    <row r="49" spans="1:12">
      <c r="A49" s="2" t="s">
        <v>1368</v>
      </c>
      <c r="B49" s="2" t="s">
        <v>1369</v>
      </c>
      <c r="C49" s="2" t="s">
        <v>1998</v>
      </c>
      <c r="D49" s="2" t="s">
        <v>6796</v>
      </c>
      <c r="E49" s="2" t="s">
        <v>1367</v>
      </c>
      <c r="G49" s="2" t="s">
        <v>187</v>
      </c>
      <c r="H49" s="2" t="s">
        <v>6797</v>
      </c>
      <c r="I49" s="2" t="s">
        <v>6746</v>
      </c>
      <c r="J49" s="2" t="s">
        <v>187</v>
      </c>
      <c r="K49" s="2" t="s">
        <v>187</v>
      </c>
      <c r="L49" s="2" t="s">
        <v>6748</v>
      </c>
    </row>
    <row r="50" spans="1:12">
      <c r="A50" s="2" t="s">
        <v>235</v>
      </c>
      <c r="B50" s="2" t="s">
        <v>236</v>
      </c>
      <c r="C50" s="2" t="s">
        <v>1998</v>
      </c>
      <c r="D50" s="2" t="s">
        <v>6798</v>
      </c>
      <c r="E50" s="2" t="s">
        <v>234</v>
      </c>
      <c r="G50" s="2" t="s">
        <v>187</v>
      </c>
      <c r="H50" s="2" t="s">
        <v>6741</v>
      </c>
      <c r="I50" s="2" t="s">
        <v>6746</v>
      </c>
      <c r="J50" s="2" t="s">
        <v>187</v>
      </c>
      <c r="K50" s="2" t="s">
        <v>187</v>
      </c>
      <c r="L50" s="2" t="s">
        <v>6741</v>
      </c>
    </row>
    <row r="51" spans="1:12">
      <c r="A51" s="2" t="s">
        <v>1393</v>
      </c>
      <c r="B51" s="2" t="s">
        <v>1393</v>
      </c>
      <c r="C51" s="2" t="s">
        <v>1998</v>
      </c>
      <c r="D51" s="2" t="s">
        <v>6799</v>
      </c>
      <c r="E51" s="2" t="s">
        <v>1392</v>
      </c>
      <c r="G51" s="2" t="s">
        <v>187</v>
      </c>
      <c r="H51" s="2" t="s">
        <v>6743</v>
      </c>
      <c r="I51" s="2" t="s">
        <v>6746</v>
      </c>
      <c r="J51" s="2" t="s">
        <v>187</v>
      </c>
      <c r="K51" s="2" t="s">
        <v>187</v>
      </c>
      <c r="L51" s="2" t="s">
        <v>6743</v>
      </c>
    </row>
    <row r="52" spans="1:12">
      <c r="A52" s="2" t="s">
        <v>1459</v>
      </c>
      <c r="B52" s="2" t="s">
        <v>1459</v>
      </c>
      <c r="C52" s="2" t="s">
        <v>1998</v>
      </c>
      <c r="D52" s="2" t="s">
        <v>6800</v>
      </c>
      <c r="E52" s="2" t="s">
        <v>1457</v>
      </c>
      <c r="G52" s="2" t="s">
        <v>187</v>
      </c>
      <c r="H52" s="2" t="s">
        <v>6754</v>
      </c>
      <c r="I52" s="2" t="s">
        <v>6746</v>
      </c>
      <c r="J52" s="2" t="s">
        <v>187</v>
      </c>
      <c r="K52" s="2" t="s">
        <v>187</v>
      </c>
      <c r="L52" s="2" t="s">
        <v>6754</v>
      </c>
    </row>
    <row r="53" spans="1:12">
      <c r="A53" s="2" t="s">
        <v>181</v>
      </c>
      <c r="B53" s="2" t="s">
        <v>181</v>
      </c>
      <c r="C53" s="2" t="s">
        <v>1998</v>
      </c>
      <c r="D53" s="2" t="s">
        <v>6801</v>
      </c>
      <c r="E53" s="2" t="s">
        <v>176</v>
      </c>
      <c r="G53" s="2" t="s">
        <v>187</v>
      </c>
      <c r="H53" s="2" t="s">
        <v>6741</v>
      </c>
      <c r="I53" s="2" t="s">
        <v>6746</v>
      </c>
      <c r="J53" s="2" t="s">
        <v>187</v>
      </c>
      <c r="K53" s="2" t="s">
        <v>187</v>
      </c>
      <c r="L53" s="2" t="s">
        <v>6741</v>
      </c>
    </row>
    <row r="54" spans="1:12">
      <c r="A54" s="2" t="s">
        <v>1739</v>
      </c>
      <c r="B54" s="2" t="s">
        <v>2096</v>
      </c>
      <c r="C54" s="2" t="s">
        <v>1998</v>
      </c>
      <c r="D54" s="2" t="s">
        <v>6802</v>
      </c>
      <c r="E54" s="2" t="s">
        <v>2094</v>
      </c>
      <c r="G54" s="2" t="s">
        <v>187</v>
      </c>
      <c r="H54" s="2" t="s">
        <v>6743</v>
      </c>
      <c r="I54" s="2" t="s">
        <v>6777</v>
      </c>
      <c r="J54" s="2" t="s">
        <v>187</v>
      </c>
      <c r="K54" s="2" t="s">
        <v>187</v>
      </c>
      <c r="L54" s="2" t="s">
        <v>6743</v>
      </c>
    </row>
    <row r="55" spans="1:12">
      <c r="A55" s="2" t="s">
        <v>1511</v>
      </c>
      <c r="B55" s="2" t="s">
        <v>1511</v>
      </c>
      <c r="C55" s="2" t="s">
        <v>1998</v>
      </c>
      <c r="D55" s="2" t="s">
        <v>6803</v>
      </c>
      <c r="E55" s="2" t="s">
        <v>1510</v>
      </c>
      <c r="G55" s="2" t="s">
        <v>187</v>
      </c>
      <c r="H55" s="2" t="s">
        <v>6748</v>
      </c>
      <c r="I55" s="2" t="s">
        <v>6746</v>
      </c>
      <c r="J55" s="2" t="s">
        <v>187</v>
      </c>
      <c r="K55" s="2" t="s">
        <v>187</v>
      </c>
      <c r="L55" s="2" t="s">
        <v>6748</v>
      </c>
    </row>
    <row r="56" spans="1:12">
      <c r="A56" s="2" t="s">
        <v>1531</v>
      </c>
      <c r="B56" s="2" t="s">
        <v>1532</v>
      </c>
      <c r="C56" s="2" t="s">
        <v>1998</v>
      </c>
      <c r="D56" s="2" t="s">
        <v>6804</v>
      </c>
      <c r="E56" s="2" t="s">
        <v>1530</v>
      </c>
      <c r="G56" s="2" t="s">
        <v>187</v>
      </c>
      <c r="H56" s="2" t="s">
        <v>6754</v>
      </c>
      <c r="I56" s="2" t="s">
        <v>6746</v>
      </c>
      <c r="J56" s="2" t="s">
        <v>187</v>
      </c>
      <c r="K56" s="2" t="s">
        <v>187</v>
      </c>
      <c r="L56" s="2" t="s">
        <v>6754</v>
      </c>
    </row>
    <row r="57" spans="1:12">
      <c r="A57" s="2" t="s">
        <v>2174</v>
      </c>
      <c r="B57" s="2" t="s">
        <v>2174</v>
      </c>
      <c r="C57" s="2" t="s">
        <v>1998</v>
      </c>
      <c r="D57" s="2" t="s">
        <v>6805</v>
      </c>
      <c r="E57" s="2" t="s">
        <v>2171</v>
      </c>
      <c r="G57" s="2" t="s">
        <v>187</v>
      </c>
      <c r="H57" s="2" t="s">
        <v>6743</v>
      </c>
      <c r="I57" s="2" t="s">
        <v>6777</v>
      </c>
      <c r="J57" s="2" t="s">
        <v>187</v>
      </c>
      <c r="K57" s="2" t="s">
        <v>187</v>
      </c>
      <c r="L57" s="2" t="s">
        <v>6743</v>
      </c>
    </row>
    <row r="58" spans="1:12">
      <c r="A58" s="2" t="s">
        <v>1544</v>
      </c>
      <c r="B58" s="2" t="s">
        <v>1544</v>
      </c>
      <c r="C58" s="2" t="s">
        <v>1998</v>
      </c>
      <c r="D58" s="2" t="s">
        <v>6806</v>
      </c>
      <c r="E58" s="2" t="s">
        <v>1542</v>
      </c>
      <c r="G58" s="2" t="s">
        <v>187</v>
      </c>
      <c r="H58" s="2" t="s">
        <v>6743</v>
      </c>
      <c r="I58" s="2" t="s">
        <v>6746</v>
      </c>
      <c r="J58" s="2" t="s">
        <v>187</v>
      </c>
      <c r="K58" s="2" t="s">
        <v>187</v>
      </c>
      <c r="L58" s="2" t="s">
        <v>6743</v>
      </c>
    </row>
    <row r="59" spans="1:12">
      <c r="A59" s="2" t="s">
        <v>1567</v>
      </c>
      <c r="B59" s="2" t="s">
        <v>1568</v>
      </c>
      <c r="C59" s="2" t="s">
        <v>1998</v>
      </c>
      <c r="D59" s="2" t="s">
        <v>6807</v>
      </c>
      <c r="E59" s="2" t="s">
        <v>1565</v>
      </c>
      <c r="G59" s="2" t="s">
        <v>187</v>
      </c>
      <c r="H59" s="2" t="s">
        <v>6748</v>
      </c>
      <c r="I59" s="2" t="s">
        <v>6746</v>
      </c>
      <c r="J59" s="2" t="s">
        <v>187</v>
      </c>
      <c r="K59" s="2" t="s">
        <v>187</v>
      </c>
      <c r="L59" s="2" t="s">
        <v>6748</v>
      </c>
    </row>
    <row r="60" spans="1:12">
      <c r="A60" s="2" t="s">
        <v>1588</v>
      </c>
      <c r="B60" s="2" t="s">
        <v>1588</v>
      </c>
      <c r="C60" s="2" t="s">
        <v>1998</v>
      </c>
      <c r="D60" s="2" t="s">
        <v>6808</v>
      </c>
      <c r="E60" s="2" t="s">
        <v>1587</v>
      </c>
      <c r="G60" s="2" t="s">
        <v>187</v>
      </c>
      <c r="H60" s="2" t="s">
        <v>6743</v>
      </c>
      <c r="I60" s="2" t="s">
        <v>6746</v>
      </c>
      <c r="J60" s="2" t="s">
        <v>187</v>
      </c>
      <c r="K60" s="2" t="s">
        <v>187</v>
      </c>
      <c r="L60" s="2" t="s">
        <v>6743</v>
      </c>
    </row>
    <row r="61" spans="1:12">
      <c r="A61" s="2" t="s">
        <v>1633</v>
      </c>
      <c r="B61" s="2" t="s">
        <v>1633</v>
      </c>
      <c r="C61" s="2" t="s">
        <v>1998</v>
      </c>
      <c r="D61" s="2" t="s">
        <v>6809</v>
      </c>
      <c r="E61" s="2" t="s">
        <v>1632</v>
      </c>
      <c r="G61" s="2" t="s">
        <v>187</v>
      </c>
      <c r="H61" s="2" t="s">
        <v>6754</v>
      </c>
      <c r="I61" s="2" t="s">
        <v>6746</v>
      </c>
      <c r="J61" s="2" t="s">
        <v>187</v>
      </c>
      <c r="K61" s="2" t="s">
        <v>187</v>
      </c>
      <c r="L61" s="2" t="s">
        <v>6754</v>
      </c>
    </row>
    <row r="62" spans="1:12">
      <c r="A62" s="2" t="s">
        <v>1641</v>
      </c>
      <c r="B62" s="2" t="s">
        <v>1642</v>
      </c>
      <c r="C62" s="2" t="s">
        <v>1998</v>
      </c>
      <c r="D62" s="2" t="s">
        <v>6810</v>
      </c>
      <c r="E62" s="2" t="s">
        <v>1640</v>
      </c>
      <c r="G62" s="2" t="s">
        <v>187</v>
      </c>
      <c r="H62" s="2" t="s">
        <v>6748</v>
      </c>
      <c r="I62" s="2" t="s">
        <v>6746</v>
      </c>
      <c r="J62" s="2" t="s">
        <v>187</v>
      </c>
      <c r="K62" s="2" t="s">
        <v>187</v>
      </c>
      <c r="L62" s="2" t="s">
        <v>6748</v>
      </c>
    </row>
    <row r="63" spans="1:12">
      <c r="A63" s="2" t="s">
        <v>1644</v>
      </c>
      <c r="B63" s="2" t="s">
        <v>1645</v>
      </c>
      <c r="C63" s="2" t="s">
        <v>1998</v>
      </c>
      <c r="D63" s="2" t="s">
        <v>6811</v>
      </c>
      <c r="E63" s="2" t="s">
        <v>1643</v>
      </c>
      <c r="G63" s="2" t="s">
        <v>187</v>
      </c>
      <c r="H63" s="2" t="s">
        <v>6767</v>
      </c>
      <c r="I63" s="2" t="s">
        <v>6746</v>
      </c>
      <c r="J63" s="2" t="s">
        <v>187</v>
      </c>
      <c r="K63" s="2" t="s">
        <v>187</v>
      </c>
      <c r="L63" s="2" t="s">
        <v>6767</v>
      </c>
    </row>
    <row r="64" spans="1:12">
      <c r="A64" s="2" t="s">
        <v>1660</v>
      </c>
      <c r="B64" s="2" t="s">
        <v>1660</v>
      </c>
      <c r="C64" s="2" t="s">
        <v>1998</v>
      </c>
      <c r="D64" s="2" t="s">
        <v>6812</v>
      </c>
      <c r="E64" s="2" t="s">
        <v>1658</v>
      </c>
      <c r="G64" s="2" t="s">
        <v>187</v>
      </c>
      <c r="H64" s="2" t="s">
        <v>6748</v>
      </c>
      <c r="I64" s="2" t="s">
        <v>6746</v>
      </c>
      <c r="J64" s="2" t="s">
        <v>187</v>
      </c>
      <c r="K64" s="2" t="s">
        <v>187</v>
      </c>
      <c r="L64" s="2" t="s">
        <v>6748</v>
      </c>
    </row>
    <row r="65" spans="1:12">
      <c r="A65" s="2" t="s">
        <v>1662</v>
      </c>
      <c r="B65" s="2" t="s">
        <v>1662</v>
      </c>
      <c r="C65" s="2" t="s">
        <v>1998</v>
      </c>
      <c r="D65" s="2" t="s">
        <v>6813</v>
      </c>
      <c r="E65" s="2" t="s">
        <v>1661</v>
      </c>
      <c r="G65" s="2" t="s">
        <v>187</v>
      </c>
      <c r="H65" s="2" t="s">
        <v>6748</v>
      </c>
      <c r="I65" s="2" t="s">
        <v>6746</v>
      </c>
      <c r="J65" s="2" t="s">
        <v>187</v>
      </c>
      <c r="K65" s="2" t="s">
        <v>187</v>
      </c>
      <c r="L65" s="2" t="s">
        <v>6748</v>
      </c>
    </row>
    <row r="66" spans="1:12">
      <c r="A66" s="2" t="s">
        <v>1680</v>
      </c>
      <c r="B66" s="2" t="s">
        <v>1681</v>
      </c>
      <c r="C66" s="2" t="s">
        <v>1998</v>
      </c>
      <c r="D66" s="2" t="s">
        <v>6814</v>
      </c>
      <c r="E66" s="2" t="s">
        <v>1679</v>
      </c>
      <c r="G66" s="2" t="s">
        <v>187</v>
      </c>
      <c r="H66" s="2" t="s">
        <v>6748</v>
      </c>
      <c r="I66" s="2" t="s">
        <v>6746</v>
      </c>
      <c r="J66" s="2" t="s">
        <v>187</v>
      </c>
      <c r="K66" s="2" t="s">
        <v>187</v>
      </c>
      <c r="L66" s="2" t="s">
        <v>6748</v>
      </c>
    </row>
    <row r="67" spans="1:12">
      <c r="A67" s="2" t="s">
        <v>1698</v>
      </c>
      <c r="B67" s="2" t="s">
        <v>1698</v>
      </c>
      <c r="C67" s="2" t="s">
        <v>1998</v>
      </c>
      <c r="D67" s="2" t="s">
        <v>6815</v>
      </c>
      <c r="E67" s="2" t="s">
        <v>1697</v>
      </c>
      <c r="G67" s="2" t="s">
        <v>187</v>
      </c>
      <c r="H67" s="2" t="s">
        <v>6748</v>
      </c>
      <c r="I67" s="2" t="s">
        <v>6746</v>
      </c>
      <c r="J67" s="2" t="s">
        <v>187</v>
      </c>
      <c r="K67" s="2" t="s">
        <v>187</v>
      </c>
      <c r="L67" s="2" t="s">
        <v>6748</v>
      </c>
    </row>
    <row r="68" spans="1:12">
      <c r="A68" s="2" t="s">
        <v>1708</v>
      </c>
      <c r="B68" s="2" t="s">
        <v>1709</v>
      </c>
      <c r="C68" s="2" t="s">
        <v>1998</v>
      </c>
      <c r="D68" s="2" t="s">
        <v>6816</v>
      </c>
      <c r="E68" s="2" t="s">
        <v>1707</v>
      </c>
      <c r="G68" s="2" t="s">
        <v>187</v>
      </c>
      <c r="H68" s="2" t="s">
        <v>6748</v>
      </c>
      <c r="I68" s="2" t="s">
        <v>6746</v>
      </c>
      <c r="J68" s="2" t="s">
        <v>187</v>
      </c>
      <c r="K68" s="2" t="s">
        <v>187</v>
      </c>
      <c r="L68" s="2" t="s">
        <v>6748</v>
      </c>
    </row>
    <row r="69" spans="1:12">
      <c r="A69" s="2" t="s">
        <v>1726</v>
      </c>
      <c r="B69" s="2" t="s">
        <v>1726</v>
      </c>
      <c r="C69" s="2" t="s">
        <v>1998</v>
      </c>
      <c r="D69" s="2" t="s">
        <v>6817</v>
      </c>
      <c r="E69" s="2" t="s">
        <v>1725</v>
      </c>
      <c r="H69" s="2" t="s">
        <v>6748</v>
      </c>
      <c r="I69" s="2" t="s">
        <v>6746</v>
      </c>
      <c r="J69" s="2" t="s">
        <v>187</v>
      </c>
      <c r="K69" s="2" t="s">
        <v>187</v>
      </c>
      <c r="L69" s="2" t="s">
        <v>6748</v>
      </c>
    </row>
    <row r="70" spans="1:12">
      <c r="A70" s="2" t="s">
        <v>1768</v>
      </c>
      <c r="B70" s="2" t="s">
        <v>1768</v>
      </c>
      <c r="C70" s="2" t="s">
        <v>1998</v>
      </c>
      <c r="D70" s="2" t="s">
        <v>6818</v>
      </c>
      <c r="E70" s="2" t="s">
        <v>1767</v>
      </c>
      <c r="G70" s="2" t="s">
        <v>187</v>
      </c>
      <c r="H70" s="2" t="s">
        <v>6748</v>
      </c>
      <c r="I70" s="2" t="s">
        <v>6746</v>
      </c>
      <c r="J70" s="2" t="s">
        <v>187</v>
      </c>
      <c r="K70" s="2" t="s">
        <v>187</v>
      </c>
      <c r="L70" s="2" t="s">
        <v>6748</v>
      </c>
    </row>
    <row r="71" spans="1:12">
      <c r="A71" s="2" t="s">
        <v>1774</v>
      </c>
      <c r="B71" s="2" t="s">
        <v>1774</v>
      </c>
      <c r="C71" s="2" t="s">
        <v>1998</v>
      </c>
      <c r="D71" s="2" t="s">
        <v>6819</v>
      </c>
      <c r="E71" s="2" t="s">
        <v>1773</v>
      </c>
      <c r="G71" s="2" t="s">
        <v>187</v>
      </c>
      <c r="H71" s="2" t="s">
        <v>6734</v>
      </c>
      <c r="I71" s="2" t="s">
        <v>6746</v>
      </c>
      <c r="J71" s="2" t="s">
        <v>187</v>
      </c>
      <c r="K71" s="2" t="s">
        <v>187</v>
      </c>
      <c r="L71" s="2" t="s">
        <v>6734</v>
      </c>
    </row>
    <row r="72" spans="1:12">
      <c r="A72" s="2" t="s">
        <v>1814</v>
      </c>
      <c r="B72" s="2" t="s">
        <v>1815</v>
      </c>
      <c r="C72" s="2" t="s">
        <v>1998</v>
      </c>
      <c r="D72" s="2" t="s">
        <v>6820</v>
      </c>
      <c r="E72" s="2" t="s">
        <v>1813</v>
      </c>
      <c r="G72" s="2" t="s">
        <v>187</v>
      </c>
      <c r="H72" s="2" t="s">
        <v>6748</v>
      </c>
      <c r="I72" s="2" t="s">
        <v>6746</v>
      </c>
      <c r="J72" s="2" t="s">
        <v>187</v>
      </c>
      <c r="K72" s="2" t="s">
        <v>187</v>
      </c>
      <c r="L72" s="2" t="s">
        <v>6748</v>
      </c>
    </row>
    <row r="73" spans="1:12">
      <c r="A73" s="2" t="s">
        <v>1842</v>
      </c>
      <c r="B73" s="2" t="s">
        <v>1843</v>
      </c>
      <c r="C73" s="2" t="s">
        <v>1998</v>
      </c>
      <c r="D73" s="2" t="s">
        <v>6821</v>
      </c>
      <c r="E73" s="2" t="s">
        <v>1841</v>
      </c>
      <c r="G73" s="2" t="s">
        <v>187</v>
      </c>
      <c r="H73" s="2" t="s">
        <v>6748</v>
      </c>
      <c r="I73" s="2" t="s">
        <v>6746</v>
      </c>
      <c r="J73" s="2" t="s">
        <v>187</v>
      </c>
      <c r="K73" s="2" t="s">
        <v>187</v>
      </c>
      <c r="L73" s="2" t="s">
        <v>6748</v>
      </c>
    </row>
    <row r="74" spans="1:12">
      <c r="A74" s="2" t="s">
        <v>1875</v>
      </c>
      <c r="B74" s="2" t="s">
        <v>1876</v>
      </c>
      <c r="C74" s="2" t="s">
        <v>1998</v>
      </c>
      <c r="D74" s="2" t="s">
        <v>6822</v>
      </c>
      <c r="E74" s="2" t="s">
        <v>1874</v>
      </c>
      <c r="G74" s="2" t="s">
        <v>187</v>
      </c>
      <c r="H74" s="2" t="s">
        <v>6748</v>
      </c>
      <c r="I74" s="2" t="s">
        <v>6746</v>
      </c>
      <c r="J74" s="2" t="s">
        <v>187</v>
      </c>
      <c r="K74" s="2" t="s">
        <v>187</v>
      </c>
      <c r="L74" s="2" t="s">
        <v>6748</v>
      </c>
    </row>
    <row r="75" spans="1:12">
      <c r="A75" s="2" t="s">
        <v>1903</v>
      </c>
      <c r="B75" s="2" t="s">
        <v>1904</v>
      </c>
      <c r="C75" s="2" t="s">
        <v>1998</v>
      </c>
      <c r="D75" s="2" t="s">
        <v>6823</v>
      </c>
      <c r="E75" s="2" t="s">
        <v>1902</v>
      </c>
      <c r="G75" s="2" t="s">
        <v>187</v>
      </c>
      <c r="H75" s="2" t="s">
        <v>6748</v>
      </c>
      <c r="I75" s="2" t="s">
        <v>6746</v>
      </c>
      <c r="J75" s="2" t="s">
        <v>187</v>
      </c>
      <c r="K75" s="2" t="s">
        <v>187</v>
      </c>
      <c r="L75" s="2" t="s">
        <v>6748</v>
      </c>
    </row>
    <row r="76" spans="1:12">
      <c r="A76" s="2" t="s">
        <v>1933</v>
      </c>
      <c r="B76" s="2" t="s">
        <v>1934</v>
      </c>
      <c r="C76" s="2" t="s">
        <v>1998</v>
      </c>
      <c r="D76" s="2" t="s">
        <v>6824</v>
      </c>
      <c r="E76" s="2" t="s">
        <v>1932</v>
      </c>
      <c r="G76" s="2" t="s">
        <v>187</v>
      </c>
      <c r="H76" s="2" t="s">
        <v>6748</v>
      </c>
      <c r="I76" s="2" t="s">
        <v>6746</v>
      </c>
      <c r="J76" s="2" t="s">
        <v>187</v>
      </c>
      <c r="K76" s="2" t="s">
        <v>187</v>
      </c>
      <c r="L76" s="2" t="s">
        <v>6748</v>
      </c>
    </row>
    <row r="77" spans="1:12">
      <c r="A77" s="2" t="s">
        <v>1991</v>
      </c>
      <c r="B77" s="2" t="s">
        <v>1992</v>
      </c>
      <c r="C77" s="2" t="s">
        <v>1998</v>
      </c>
      <c r="D77" s="2" t="s">
        <v>6825</v>
      </c>
      <c r="E77" s="2" t="s">
        <v>1989</v>
      </c>
      <c r="G77" s="2" t="s">
        <v>187</v>
      </c>
      <c r="H77" s="2" t="s">
        <v>6748</v>
      </c>
      <c r="I77" s="2" t="s">
        <v>6746</v>
      </c>
      <c r="J77" s="2" t="s">
        <v>187</v>
      </c>
      <c r="K77" s="2" t="s">
        <v>187</v>
      </c>
      <c r="L77" s="2" t="s">
        <v>6748</v>
      </c>
    </row>
    <row r="78" spans="1:12">
      <c r="A78" s="2" t="s">
        <v>2031</v>
      </c>
      <c r="B78" s="2" t="s">
        <v>2032</v>
      </c>
      <c r="C78" s="2" t="s">
        <v>1998</v>
      </c>
      <c r="D78" s="2" t="s">
        <v>6826</v>
      </c>
      <c r="E78" s="2" t="s">
        <v>2030</v>
      </c>
      <c r="G78" s="2" t="s">
        <v>187</v>
      </c>
      <c r="H78" s="2" t="s">
        <v>6748</v>
      </c>
      <c r="I78" s="2" t="s">
        <v>6746</v>
      </c>
      <c r="J78" s="2" t="s">
        <v>187</v>
      </c>
      <c r="K78" s="2" t="s">
        <v>187</v>
      </c>
      <c r="L78" s="2" t="s">
        <v>6748</v>
      </c>
    </row>
    <row r="79" spans="1:12">
      <c r="A79" s="2" t="s">
        <v>2198</v>
      </c>
      <c r="B79" s="2" t="s">
        <v>2198</v>
      </c>
      <c r="C79" s="2" t="s">
        <v>1998</v>
      </c>
      <c r="D79" s="2" t="s">
        <v>6827</v>
      </c>
      <c r="E79" s="2" t="s">
        <v>2195</v>
      </c>
      <c r="G79" s="2" t="s">
        <v>187</v>
      </c>
      <c r="H79" s="2" t="s">
        <v>6773</v>
      </c>
      <c r="I79" s="2" t="s">
        <v>6777</v>
      </c>
      <c r="J79" s="2" t="s">
        <v>187</v>
      </c>
      <c r="K79" s="2" t="s">
        <v>187</v>
      </c>
      <c r="L79" s="2" t="s">
        <v>6773</v>
      </c>
    </row>
    <row r="80" spans="1:12">
      <c r="A80" s="2" t="s">
        <v>2064</v>
      </c>
      <c r="B80" s="2" t="s">
        <v>2065</v>
      </c>
      <c r="C80" s="2" t="s">
        <v>1998</v>
      </c>
      <c r="D80" s="2" t="s">
        <v>6828</v>
      </c>
      <c r="E80" s="2" t="s">
        <v>2063</v>
      </c>
      <c r="G80" s="2" t="s">
        <v>187</v>
      </c>
      <c r="H80" s="2" t="s">
        <v>6754</v>
      </c>
      <c r="I80" s="2" t="s">
        <v>6746</v>
      </c>
      <c r="J80" s="2" t="s">
        <v>187</v>
      </c>
      <c r="K80" s="2" t="s">
        <v>187</v>
      </c>
      <c r="L80" s="2" t="s">
        <v>6754</v>
      </c>
    </row>
    <row r="81" spans="1:12">
      <c r="A81" s="2" t="s">
        <v>2080</v>
      </c>
      <c r="B81" s="2" t="s">
        <v>2081</v>
      </c>
      <c r="C81" s="2" t="s">
        <v>1998</v>
      </c>
      <c r="D81" s="2" t="s">
        <v>6829</v>
      </c>
      <c r="E81" s="2" t="s">
        <v>2079</v>
      </c>
      <c r="G81" s="2" t="s">
        <v>187</v>
      </c>
      <c r="H81" s="2" t="s">
        <v>6748</v>
      </c>
      <c r="I81" s="2" t="s">
        <v>6746</v>
      </c>
      <c r="J81" s="2" t="s">
        <v>187</v>
      </c>
      <c r="K81" s="2" t="s">
        <v>187</v>
      </c>
      <c r="L81" s="2" t="s">
        <v>6748</v>
      </c>
    </row>
    <row r="82" spans="1:12">
      <c r="A82" s="2" t="s">
        <v>2236</v>
      </c>
      <c r="B82" s="2" t="s">
        <v>2236</v>
      </c>
      <c r="C82" s="2" t="s">
        <v>1998</v>
      </c>
      <c r="D82" s="2" t="s">
        <v>6830</v>
      </c>
      <c r="E82" s="2" t="s">
        <v>2234</v>
      </c>
      <c r="G82" s="2" t="s">
        <v>187</v>
      </c>
      <c r="H82" s="2" t="s">
        <v>6773</v>
      </c>
      <c r="I82" s="2" t="s">
        <v>6735</v>
      </c>
      <c r="J82" s="2" t="s">
        <v>187</v>
      </c>
      <c r="K82" s="2" t="s">
        <v>187</v>
      </c>
      <c r="L82" s="2" t="s">
        <v>6773</v>
      </c>
    </row>
    <row r="83" spans="1:12">
      <c r="A83" s="2" t="s">
        <v>2091</v>
      </c>
      <c r="B83" s="2" t="s">
        <v>2092</v>
      </c>
      <c r="C83" s="2" t="s">
        <v>1998</v>
      </c>
      <c r="D83" s="2" t="s">
        <v>6831</v>
      </c>
      <c r="E83" s="2" t="s">
        <v>2090</v>
      </c>
      <c r="G83" s="2" t="s">
        <v>187</v>
      </c>
      <c r="H83" s="2" t="s">
        <v>6748</v>
      </c>
      <c r="I83" s="2" t="s">
        <v>6746</v>
      </c>
      <c r="J83" s="2" t="s">
        <v>187</v>
      </c>
      <c r="K83" s="2" t="s">
        <v>187</v>
      </c>
      <c r="L83" s="2" t="s">
        <v>6748</v>
      </c>
    </row>
    <row r="84" spans="1:12">
      <c r="A84" s="2" t="s">
        <v>2121</v>
      </c>
      <c r="B84" s="2" t="s">
        <v>2122</v>
      </c>
      <c r="C84" s="2" t="s">
        <v>1998</v>
      </c>
      <c r="D84" s="2" t="s">
        <v>6832</v>
      </c>
      <c r="E84" s="2" t="s">
        <v>2120</v>
      </c>
      <c r="G84" s="2" t="s">
        <v>187</v>
      </c>
      <c r="H84" s="2" t="s">
        <v>6748</v>
      </c>
      <c r="I84" s="2" t="s">
        <v>6746</v>
      </c>
      <c r="J84" s="2" t="s">
        <v>187</v>
      </c>
      <c r="K84" s="2" t="s">
        <v>187</v>
      </c>
      <c r="L84" s="2" t="s">
        <v>6748</v>
      </c>
    </row>
    <row r="85" spans="1:12">
      <c r="A85" s="2" t="s">
        <v>2210</v>
      </c>
      <c r="B85" s="2" t="s">
        <v>2210</v>
      </c>
      <c r="C85" s="2" t="s">
        <v>1998</v>
      </c>
      <c r="D85" s="2" t="s">
        <v>6833</v>
      </c>
      <c r="E85" s="2" t="s">
        <v>2209</v>
      </c>
      <c r="G85" s="2" t="s">
        <v>187</v>
      </c>
      <c r="H85" s="2" t="s">
        <v>6748</v>
      </c>
      <c r="I85" s="2" t="s">
        <v>6746</v>
      </c>
      <c r="J85" s="2" t="s">
        <v>187</v>
      </c>
      <c r="K85" s="2" t="s">
        <v>187</v>
      </c>
      <c r="L85" s="2" t="s">
        <v>6748</v>
      </c>
    </row>
    <row r="86" spans="1:12">
      <c r="A86" s="2" t="s">
        <v>2229</v>
      </c>
      <c r="B86" s="2" t="s">
        <v>2230</v>
      </c>
      <c r="C86" s="2" t="s">
        <v>1998</v>
      </c>
      <c r="D86" s="2" t="s">
        <v>6834</v>
      </c>
      <c r="E86" s="2" t="s">
        <v>2228</v>
      </c>
      <c r="G86" s="2" t="s">
        <v>187</v>
      </c>
      <c r="H86" s="2" t="s">
        <v>6748</v>
      </c>
      <c r="I86" s="2" t="s">
        <v>6746</v>
      </c>
      <c r="J86" s="2" t="s">
        <v>187</v>
      </c>
      <c r="K86" s="2" t="s">
        <v>187</v>
      </c>
      <c r="L86" s="2" t="s">
        <v>6748</v>
      </c>
    </row>
    <row r="87" spans="1:12">
      <c r="A87" s="2" t="s">
        <v>2265</v>
      </c>
      <c r="B87" s="2" t="s">
        <v>2266</v>
      </c>
      <c r="C87" s="2" t="s">
        <v>1998</v>
      </c>
      <c r="D87" s="2" t="s">
        <v>6835</v>
      </c>
      <c r="E87" s="2" t="s">
        <v>2263</v>
      </c>
      <c r="G87" s="2" t="s">
        <v>187</v>
      </c>
      <c r="H87" s="2" t="s">
        <v>6773</v>
      </c>
      <c r="I87" s="2" t="s">
        <v>6777</v>
      </c>
      <c r="J87" s="2" t="s">
        <v>187</v>
      </c>
      <c r="K87" s="2" t="s">
        <v>187</v>
      </c>
      <c r="L87" s="2" t="s">
        <v>6773</v>
      </c>
    </row>
    <row r="88" spans="1:12">
      <c r="A88" s="2" t="s">
        <v>2467</v>
      </c>
      <c r="B88" s="2" t="s">
        <v>2468</v>
      </c>
      <c r="C88" s="2" t="s">
        <v>1998</v>
      </c>
      <c r="D88" s="2" t="s">
        <v>6836</v>
      </c>
      <c r="E88" s="2" t="s">
        <v>2466</v>
      </c>
      <c r="G88" s="2" t="s">
        <v>187</v>
      </c>
      <c r="H88" s="2" t="s">
        <v>6748</v>
      </c>
      <c r="I88" s="2" t="s">
        <v>6746</v>
      </c>
      <c r="J88" s="2" t="s">
        <v>187</v>
      </c>
      <c r="K88" s="2" t="s">
        <v>187</v>
      </c>
      <c r="L88" s="2" t="s">
        <v>6748</v>
      </c>
    </row>
    <row r="89" spans="1:12">
      <c r="A89" s="2" t="s">
        <v>2016</v>
      </c>
      <c r="B89" s="2" t="s">
        <v>2017</v>
      </c>
      <c r="C89" s="2" t="s">
        <v>1998</v>
      </c>
      <c r="D89" s="2" t="s">
        <v>6837</v>
      </c>
      <c r="E89" s="2" t="s">
        <v>2014</v>
      </c>
      <c r="G89" s="2" t="s">
        <v>187</v>
      </c>
      <c r="H89" s="2" t="s">
        <v>6734</v>
      </c>
      <c r="I89" s="2" t="s">
        <v>6735</v>
      </c>
      <c r="J89" s="2" t="s">
        <v>187</v>
      </c>
      <c r="K89" s="2" t="s">
        <v>187</v>
      </c>
      <c r="L89" s="2" t="s">
        <v>6748</v>
      </c>
    </row>
    <row r="90" spans="1:12">
      <c r="A90" s="2" t="s">
        <v>2016</v>
      </c>
      <c r="B90" s="2" t="s">
        <v>2017</v>
      </c>
      <c r="C90" s="2" t="s">
        <v>6739</v>
      </c>
      <c r="D90" s="2" t="s">
        <v>6838</v>
      </c>
      <c r="E90" s="2" t="s">
        <v>2014</v>
      </c>
      <c r="G90" s="2" t="s">
        <v>187</v>
      </c>
      <c r="H90" s="2" t="s">
        <v>6748</v>
      </c>
      <c r="I90" s="2" t="s">
        <v>6746</v>
      </c>
      <c r="J90" s="2" t="s">
        <v>187</v>
      </c>
      <c r="K90" s="2" t="s">
        <v>188</v>
      </c>
      <c r="L90" s="2" t="s">
        <v>6748</v>
      </c>
    </row>
    <row r="91" spans="1:12">
      <c r="A91" s="2" t="s">
        <v>850</v>
      </c>
      <c r="B91" s="2" t="s">
        <v>850</v>
      </c>
      <c r="C91" s="2" t="s">
        <v>1998</v>
      </c>
      <c r="D91" s="2" t="s">
        <v>6839</v>
      </c>
      <c r="E91" s="2" t="s">
        <v>848</v>
      </c>
      <c r="G91" s="2" t="s">
        <v>187</v>
      </c>
      <c r="H91" s="2" t="s">
        <v>6741</v>
      </c>
      <c r="I91" s="2" t="s">
        <v>6735</v>
      </c>
      <c r="J91" s="2" t="s">
        <v>187</v>
      </c>
      <c r="K91" s="2" t="s">
        <v>187</v>
      </c>
      <c r="L91" s="2" t="s">
        <v>6741</v>
      </c>
    </row>
    <row r="92" spans="1:12">
      <c r="A92" s="2" t="s">
        <v>1967</v>
      </c>
      <c r="B92" s="2" t="s">
        <v>1967</v>
      </c>
      <c r="C92" s="2" t="s">
        <v>1998</v>
      </c>
      <c r="D92" s="2" t="s">
        <v>6840</v>
      </c>
      <c r="E92" s="2" t="s">
        <v>1963</v>
      </c>
      <c r="G92" s="2" t="s">
        <v>187</v>
      </c>
      <c r="H92" s="2" t="s">
        <v>6734</v>
      </c>
      <c r="I92" s="2" t="s">
        <v>6777</v>
      </c>
      <c r="J92" s="2" t="s">
        <v>187</v>
      </c>
      <c r="K92" s="2" t="s">
        <v>187</v>
      </c>
      <c r="L92" s="2" t="s">
        <v>6748</v>
      </c>
    </row>
    <row r="93" spans="1:12">
      <c r="A93" s="2" t="s">
        <v>1961</v>
      </c>
      <c r="B93" s="2" t="s">
        <v>1961</v>
      </c>
      <c r="C93" s="2" t="s">
        <v>1998</v>
      </c>
      <c r="D93" s="2" t="s">
        <v>6841</v>
      </c>
      <c r="E93" s="2" t="s">
        <v>1959</v>
      </c>
      <c r="G93" s="2" t="s">
        <v>187</v>
      </c>
      <c r="H93" s="2" t="s">
        <v>6734</v>
      </c>
      <c r="I93" s="2" t="s">
        <v>6735</v>
      </c>
      <c r="J93" s="2" t="s">
        <v>187</v>
      </c>
      <c r="K93" s="2" t="s">
        <v>187</v>
      </c>
      <c r="L93" s="2" t="s">
        <v>6748</v>
      </c>
    </row>
    <row r="94" spans="1:12">
      <c r="A94" s="2" t="s">
        <v>944</v>
      </c>
      <c r="B94" s="2" t="s">
        <v>944</v>
      </c>
      <c r="C94" s="2" t="s">
        <v>6736</v>
      </c>
      <c r="D94" s="2" t="s">
        <v>6842</v>
      </c>
      <c r="E94" s="2" t="s">
        <v>943</v>
      </c>
      <c r="F94" s="2" t="s">
        <v>6843</v>
      </c>
      <c r="G94" s="2" t="s">
        <v>187</v>
      </c>
      <c r="H94" s="2" t="s">
        <v>6734</v>
      </c>
      <c r="I94" s="2" t="s">
        <v>6735</v>
      </c>
      <c r="J94" s="2" t="s">
        <v>187</v>
      </c>
      <c r="K94" s="2" t="s">
        <v>188</v>
      </c>
      <c r="L94" s="2" t="s">
        <v>6734</v>
      </c>
    </row>
    <row r="95" spans="1:12">
      <c r="A95" s="2" t="s">
        <v>1669</v>
      </c>
      <c r="B95" s="2" t="s">
        <v>1669</v>
      </c>
      <c r="C95" s="2" t="s">
        <v>6739</v>
      </c>
      <c r="D95" s="2" t="s">
        <v>6844</v>
      </c>
      <c r="E95" s="2" t="s">
        <v>1666</v>
      </c>
      <c r="G95" s="2" t="s">
        <v>187</v>
      </c>
      <c r="H95" s="2" t="s">
        <v>6748</v>
      </c>
      <c r="I95" s="2" t="s">
        <v>6746</v>
      </c>
      <c r="J95" s="2" t="s">
        <v>187</v>
      </c>
      <c r="K95" s="2" t="s">
        <v>188</v>
      </c>
      <c r="L95" s="2" t="s">
        <v>6748</v>
      </c>
    </row>
    <row r="96" spans="1:12">
      <c r="A96" s="2" t="s">
        <v>1695</v>
      </c>
      <c r="B96" s="2" t="s">
        <v>1696</v>
      </c>
      <c r="C96" s="2" t="s">
        <v>1998</v>
      </c>
      <c r="D96" s="2" t="s">
        <v>6845</v>
      </c>
      <c r="E96" s="2" t="s">
        <v>1694</v>
      </c>
      <c r="G96" s="2" t="s">
        <v>187</v>
      </c>
      <c r="H96" s="2" t="s">
        <v>6767</v>
      </c>
      <c r="I96" s="2" t="s">
        <v>6735</v>
      </c>
      <c r="J96" s="2" t="s">
        <v>187</v>
      </c>
      <c r="K96" s="2" t="s">
        <v>187</v>
      </c>
      <c r="L96" s="2" t="s">
        <v>6748</v>
      </c>
    </row>
    <row r="97" spans="1:12">
      <c r="A97" s="2" t="s">
        <v>1764</v>
      </c>
      <c r="B97" s="2" t="s">
        <v>1764</v>
      </c>
      <c r="C97" s="2" t="s">
        <v>1998</v>
      </c>
      <c r="D97" s="2" t="s">
        <v>6846</v>
      </c>
      <c r="E97" s="2" t="s">
        <v>1762</v>
      </c>
      <c r="G97" s="2" t="s">
        <v>187</v>
      </c>
      <c r="H97" s="2" t="s">
        <v>6734</v>
      </c>
      <c r="I97" s="2" t="s">
        <v>6777</v>
      </c>
      <c r="J97" s="2" t="s">
        <v>187</v>
      </c>
      <c r="K97" s="2" t="s">
        <v>187</v>
      </c>
      <c r="L97" s="2" t="s">
        <v>6734</v>
      </c>
    </row>
    <row r="98" spans="1:12">
      <c r="A98" s="2" t="s">
        <v>1714</v>
      </c>
      <c r="B98" s="2" t="s">
        <v>1714</v>
      </c>
      <c r="C98" s="2" t="s">
        <v>1998</v>
      </c>
      <c r="D98" s="2" t="s">
        <v>6847</v>
      </c>
      <c r="E98" s="2" t="s">
        <v>1795</v>
      </c>
      <c r="G98" s="2" t="s">
        <v>187</v>
      </c>
      <c r="H98" s="2" t="s">
        <v>6734</v>
      </c>
      <c r="I98" s="2" t="s">
        <v>6777</v>
      </c>
      <c r="J98" s="2" t="s">
        <v>187</v>
      </c>
      <c r="K98" s="2" t="s">
        <v>187</v>
      </c>
      <c r="L98" s="2" t="s">
        <v>6748</v>
      </c>
    </row>
    <row r="99" spans="1:12">
      <c r="A99" s="2" t="s">
        <v>1846</v>
      </c>
      <c r="B99" s="2" t="s">
        <v>1846</v>
      </c>
      <c r="C99" s="2" t="s">
        <v>1998</v>
      </c>
      <c r="D99" s="2" t="s">
        <v>6848</v>
      </c>
      <c r="E99" s="2" t="s">
        <v>1844</v>
      </c>
      <c r="G99" s="2" t="s">
        <v>187</v>
      </c>
      <c r="H99" s="2" t="s">
        <v>6734</v>
      </c>
      <c r="I99" s="2" t="s">
        <v>6777</v>
      </c>
      <c r="J99" s="2" t="s">
        <v>187</v>
      </c>
      <c r="K99" s="2" t="s">
        <v>187</v>
      </c>
      <c r="L99" s="2" t="s">
        <v>6748</v>
      </c>
    </row>
    <row r="100" spans="1:12">
      <c r="A100" s="2" t="s">
        <v>1563</v>
      </c>
      <c r="B100" s="2" t="s">
        <v>1563</v>
      </c>
      <c r="C100" s="2" t="s">
        <v>1998</v>
      </c>
      <c r="D100" s="2" t="s">
        <v>6849</v>
      </c>
      <c r="E100" s="2" t="s">
        <v>1562</v>
      </c>
      <c r="G100" s="2" t="s">
        <v>187</v>
      </c>
      <c r="H100" s="2" t="s">
        <v>6748</v>
      </c>
      <c r="I100" s="2" t="s">
        <v>6746</v>
      </c>
      <c r="J100" s="2" t="s">
        <v>187</v>
      </c>
      <c r="K100" s="2" t="s">
        <v>187</v>
      </c>
      <c r="L100" s="2" t="s">
        <v>6748</v>
      </c>
    </row>
    <row r="101" spans="1:12">
      <c r="A101" s="2" t="s">
        <v>1908</v>
      </c>
      <c r="B101" s="2" t="s">
        <v>1909</v>
      </c>
      <c r="C101" s="2" t="s">
        <v>1998</v>
      </c>
      <c r="D101" s="2" t="s">
        <v>6850</v>
      </c>
      <c r="E101" s="2" t="s">
        <v>1906</v>
      </c>
      <c r="G101" s="2" t="s">
        <v>187</v>
      </c>
      <c r="H101" s="2" t="s">
        <v>6734</v>
      </c>
      <c r="I101" s="2" t="s">
        <v>6777</v>
      </c>
      <c r="J101" s="2" t="s">
        <v>187</v>
      </c>
      <c r="K101" s="2" t="s">
        <v>187</v>
      </c>
      <c r="L101" s="2" t="s">
        <v>6748</v>
      </c>
    </row>
    <row r="102" spans="1:12">
      <c r="A102" s="2" t="s">
        <v>1928</v>
      </c>
      <c r="B102" s="2" t="s">
        <v>1929</v>
      </c>
      <c r="C102" s="2" t="s">
        <v>1998</v>
      </c>
      <c r="D102" s="2" t="s">
        <v>6851</v>
      </c>
      <c r="E102" s="2" t="s">
        <v>1927</v>
      </c>
      <c r="G102" s="2" t="s">
        <v>187</v>
      </c>
      <c r="H102" s="2" t="s">
        <v>6748</v>
      </c>
      <c r="I102" s="2" t="s">
        <v>6735</v>
      </c>
      <c r="J102" s="2" t="s">
        <v>187</v>
      </c>
      <c r="K102" s="2" t="s">
        <v>187</v>
      </c>
      <c r="L102" s="2" t="s">
        <v>6748</v>
      </c>
    </row>
    <row r="103" spans="1:12">
      <c r="A103" s="2" t="s">
        <v>1477</v>
      </c>
      <c r="B103" s="2" t="s">
        <v>1477</v>
      </c>
      <c r="C103" s="2" t="s">
        <v>1998</v>
      </c>
      <c r="D103" s="2" t="s">
        <v>6852</v>
      </c>
      <c r="E103" s="2" t="s">
        <v>1476</v>
      </c>
      <c r="G103" s="2" t="s">
        <v>187</v>
      </c>
      <c r="H103" s="2" t="s">
        <v>6734</v>
      </c>
      <c r="I103" s="2" t="s">
        <v>6746</v>
      </c>
      <c r="J103" s="2" t="s">
        <v>187</v>
      </c>
      <c r="K103" s="2" t="s">
        <v>187</v>
      </c>
      <c r="L103" s="2" t="s">
        <v>6734</v>
      </c>
    </row>
    <row r="104" spans="1:12">
      <c r="A104" s="2" t="s">
        <v>1208</v>
      </c>
      <c r="B104" s="2" t="s">
        <v>1209</v>
      </c>
      <c r="C104" s="2" t="s">
        <v>1998</v>
      </c>
      <c r="D104" s="2" t="s">
        <v>6853</v>
      </c>
      <c r="E104" s="2" t="s">
        <v>1205</v>
      </c>
      <c r="G104" s="2" t="s">
        <v>187</v>
      </c>
      <c r="H104" s="2" t="s">
        <v>6748</v>
      </c>
      <c r="I104" s="2" t="s">
        <v>6735</v>
      </c>
      <c r="J104" s="2" t="s">
        <v>187</v>
      </c>
      <c r="K104" s="2" t="s">
        <v>187</v>
      </c>
      <c r="L104" s="2" t="s">
        <v>6748</v>
      </c>
    </row>
    <row r="105" spans="1:12">
      <c r="A105" s="2" t="s">
        <v>1957</v>
      </c>
      <c r="B105" s="2" t="s">
        <v>1957</v>
      </c>
      <c r="C105" s="2" t="s">
        <v>1998</v>
      </c>
      <c r="D105" s="2" t="s">
        <v>6854</v>
      </c>
      <c r="E105" s="2" t="s">
        <v>1956</v>
      </c>
      <c r="G105" s="2" t="s">
        <v>187</v>
      </c>
      <c r="H105" s="2" t="s">
        <v>6734</v>
      </c>
      <c r="I105" s="2" t="s">
        <v>6746</v>
      </c>
      <c r="J105" s="2" t="s">
        <v>187</v>
      </c>
      <c r="K105" s="2" t="s">
        <v>187</v>
      </c>
      <c r="L105" s="2" t="s">
        <v>6734</v>
      </c>
    </row>
    <row r="106" spans="1:12">
      <c r="A106" s="2" t="s">
        <v>1926</v>
      </c>
      <c r="B106" s="2" t="s">
        <v>1926</v>
      </c>
      <c r="C106" s="2" t="s">
        <v>1998</v>
      </c>
      <c r="D106" s="2" t="s">
        <v>6855</v>
      </c>
      <c r="E106" s="2" t="s">
        <v>1925</v>
      </c>
      <c r="G106" s="2" t="s">
        <v>187</v>
      </c>
      <c r="H106" s="2" t="s">
        <v>6748</v>
      </c>
      <c r="I106" s="2" t="s">
        <v>6746</v>
      </c>
      <c r="J106" s="2" t="s">
        <v>187</v>
      </c>
      <c r="K106" s="2" t="s">
        <v>187</v>
      </c>
      <c r="L106" s="2" t="s">
        <v>6748</v>
      </c>
    </row>
    <row r="107" spans="1:12">
      <c r="A107" s="2" t="s">
        <v>1900</v>
      </c>
      <c r="B107" s="2" t="s">
        <v>1901</v>
      </c>
      <c r="C107" s="2" t="s">
        <v>1998</v>
      </c>
      <c r="D107" s="2" t="s">
        <v>6856</v>
      </c>
      <c r="E107" s="2" t="s">
        <v>1899</v>
      </c>
      <c r="G107" s="2" t="s">
        <v>187</v>
      </c>
      <c r="H107" s="2" t="s">
        <v>6748</v>
      </c>
      <c r="I107" s="2" t="s">
        <v>6746</v>
      </c>
      <c r="J107" s="2" t="s">
        <v>187</v>
      </c>
      <c r="K107" s="2" t="s">
        <v>187</v>
      </c>
      <c r="L107" s="2" t="s">
        <v>6748</v>
      </c>
    </row>
    <row r="108" spans="1:12">
      <c r="A108" s="2" t="s">
        <v>585</v>
      </c>
      <c r="B108" s="2" t="s">
        <v>585</v>
      </c>
      <c r="C108" s="2" t="s">
        <v>6739</v>
      </c>
      <c r="D108" s="2" t="s">
        <v>6857</v>
      </c>
      <c r="E108" s="2" t="s">
        <v>583</v>
      </c>
      <c r="G108" s="2" t="s">
        <v>187</v>
      </c>
      <c r="H108" s="2" t="s">
        <v>6748</v>
      </c>
      <c r="I108" s="2" t="s">
        <v>6735</v>
      </c>
      <c r="J108" s="2" t="s">
        <v>187</v>
      </c>
      <c r="K108" s="2" t="s">
        <v>188</v>
      </c>
      <c r="L108" s="2" t="s">
        <v>6748</v>
      </c>
    </row>
    <row r="109" spans="1:12">
      <c r="A109" s="2" t="s">
        <v>1872</v>
      </c>
      <c r="B109" s="2" t="s">
        <v>1873</v>
      </c>
      <c r="C109" s="2" t="s">
        <v>1998</v>
      </c>
      <c r="D109" s="2" t="s">
        <v>6858</v>
      </c>
      <c r="E109" s="2" t="s">
        <v>1871</v>
      </c>
      <c r="G109" s="2" t="s">
        <v>187</v>
      </c>
      <c r="H109" s="2" t="s">
        <v>6748</v>
      </c>
      <c r="I109" s="2" t="s">
        <v>6735</v>
      </c>
      <c r="J109" s="2" t="s">
        <v>187</v>
      </c>
      <c r="K109" s="2" t="s">
        <v>187</v>
      </c>
      <c r="L109" s="2" t="s">
        <v>6748</v>
      </c>
    </row>
    <row r="110" spans="1:12">
      <c r="A110" s="2" t="s">
        <v>1839</v>
      </c>
      <c r="B110" s="2" t="s">
        <v>1840</v>
      </c>
      <c r="C110" s="2" t="s">
        <v>1998</v>
      </c>
      <c r="D110" s="2" t="s">
        <v>6859</v>
      </c>
      <c r="E110" s="2" t="s">
        <v>1838</v>
      </c>
      <c r="G110" s="2" t="s">
        <v>187</v>
      </c>
      <c r="H110" s="2" t="s">
        <v>6741</v>
      </c>
      <c r="I110" s="2" t="s">
        <v>6735</v>
      </c>
      <c r="J110" s="2" t="s">
        <v>187</v>
      </c>
      <c r="K110" s="2" t="s">
        <v>187</v>
      </c>
      <c r="L110" s="2" t="s">
        <v>6741</v>
      </c>
    </row>
    <row r="111" spans="1:12">
      <c r="A111" s="2" t="s">
        <v>1728</v>
      </c>
      <c r="B111" s="2" t="s">
        <v>1728</v>
      </c>
      <c r="C111" s="2" t="s">
        <v>1998</v>
      </c>
      <c r="D111" s="2" t="s">
        <v>6860</v>
      </c>
      <c r="E111" s="2" t="s">
        <v>1727</v>
      </c>
      <c r="G111" s="2" t="s">
        <v>187</v>
      </c>
      <c r="H111" s="2" t="s">
        <v>6748</v>
      </c>
      <c r="I111" s="2" t="s">
        <v>6735</v>
      </c>
      <c r="J111" s="2" t="s">
        <v>187</v>
      </c>
      <c r="K111" s="2" t="s">
        <v>187</v>
      </c>
      <c r="L111" s="2" t="s">
        <v>6748</v>
      </c>
    </row>
    <row r="112" spans="1:12">
      <c r="A112" s="2" t="s">
        <v>1770</v>
      </c>
      <c r="B112" s="2" t="s">
        <v>1771</v>
      </c>
      <c r="C112" s="2" t="s">
        <v>1998</v>
      </c>
      <c r="D112" s="2" t="s">
        <v>6861</v>
      </c>
      <c r="E112" s="2" t="s">
        <v>1769</v>
      </c>
      <c r="G112" s="2" t="s">
        <v>187</v>
      </c>
      <c r="H112" s="2" t="s">
        <v>6748</v>
      </c>
      <c r="I112" s="2" t="s">
        <v>6735</v>
      </c>
      <c r="J112" s="2" t="s">
        <v>187</v>
      </c>
      <c r="K112" s="2" t="s">
        <v>187</v>
      </c>
      <c r="L112" s="2" t="s">
        <v>6748</v>
      </c>
    </row>
    <row r="113" spans="1:12">
      <c r="A113" s="2" t="s">
        <v>1692</v>
      </c>
      <c r="B113" s="2" t="s">
        <v>1693</v>
      </c>
      <c r="C113" s="2" t="s">
        <v>1998</v>
      </c>
      <c r="D113" s="2" t="s">
        <v>6862</v>
      </c>
      <c r="E113" s="2" t="s">
        <v>1691</v>
      </c>
      <c r="G113" s="2" t="s">
        <v>187</v>
      </c>
      <c r="H113" s="2" t="s">
        <v>6748</v>
      </c>
      <c r="I113" s="2" t="s">
        <v>6746</v>
      </c>
      <c r="J113" s="2" t="s">
        <v>187</v>
      </c>
      <c r="K113" s="2" t="s">
        <v>187</v>
      </c>
      <c r="L113" s="2" t="s">
        <v>6748</v>
      </c>
    </row>
    <row r="114" spans="1:12">
      <c r="A114" s="2" t="s">
        <v>1702</v>
      </c>
      <c r="B114" s="2" t="s">
        <v>1702</v>
      </c>
      <c r="C114" s="2" t="s">
        <v>6771</v>
      </c>
      <c r="D114" s="2" t="s">
        <v>6863</v>
      </c>
      <c r="E114" s="2" t="s">
        <v>1700</v>
      </c>
      <c r="G114" s="2" t="s">
        <v>187</v>
      </c>
      <c r="H114" s="2" t="s">
        <v>6741</v>
      </c>
      <c r="I114" s="2" t="s">
        <v>6735</v>
      </c>
      <c r="J114" s="2" t="s">
        <v>187</v>
      </c>
      <c r="K114" s="2" t="s">
        <v>187</v>
      </c>
      <c r="L114" s="2" t="s">
        <v>6741</v>
      </c>
    </row>
    <row r="115" spans="1:12">
      <c r="A115" s="2" t="s">
        <v>1675</v>
      </c>
      <c r="B115" s="2" t="s">
        <v>1675</v>
      </c>
      <c r="C115" s="2" t="s">
        <v>1998</v>
      </c>
      <c r="D115" s="2" t="s">
        <v>6864</v>
      </c>
      <c r="E115" s="2" t="s">
        <v>1672</v>
      </c>
      <c r="F115" s="2" t="s">
        <v>1998</v>
      </c>
      <c r="G115" s="2" t="s">
        <v>187</v>
      </c>
      <c r="H115" s="2" t="s">
        <v>6741</v>
      </c>
      <c r="I115" s="2" t="s">
        <v>6735</v>
      </c>
      <c r="J115" s="2" t="s">
        <v>187</v>
      </c>
      <c r="K115" s="2" t="s">
        <v>187</v>
      </c>
      <c r="L115" s="2" t="s">
        <v>6741</v>
      </c>
    </row>
    <row r="116" spans="1:12">
      <c r="A116" s="2" t="s">
        <v>1664</v>
      </c>
      <c r="B116" s="2" t="s">
        <v>1664</v>
      </c>
      <c r="C116" s="2" t="s">
        <v>1998</v>
      </c>
      <c r="D116" s="2" t="s">
        <v>6865</v>
      </c>
      <c r="E116" s="2" t="s">
        <v>1663</v>
      </c>
      <c r="G116" s="2" t="s">
        <v>187</v>
      </c>
      <c r="H116" s="2" t="s">
        <v>6767</v>
      </c>
      <c r="I116" s="2" t="s">
        <v>6735</v>
      </c>
      <c r="J116" s="2" t="s">
        <v>187</v>
      </c>
      <c r="K116" s="2" t="s">
        <v>187</v>
      </c>
      <c r="L116" s="2" t="s">
        <v>6767</v>
      </c>
    </row>
    <row r="117" spans="1:12">
      <c r="A117" s="2" t="s">
        <v>1801</v>
      </c>
      <c r="B117" s="2" t="s">
        <v>1801</v>
      </c>
      <c r="C117" s="2" t="s">
        <v>1998</v>
      </c>
      <c r="D117" s="2" t="s">
        <v>6866</v>
      </c>
      <c r="E117" s="2" t="s">
        <v>1799</v>
      </c>
      <c r="G117" s="2" t="s">
        <v>187</v>
      </c>
      <c r="H117" s="2" t="s">
        <v>6741</v>
      </c>
      <c r="I117" s="2" t="s">
        <v>6746</v>
      </c>
      <c r="J117" s="2" t="s">
        <v>187</v>
      </c>
      <c r="K117" s="2" t="s">
        <v>187</v>
      </c>
      <c r="L117" s="2" t="s">
        <v>6741</v>
      </c>
    </row>
    <row r="118" spans="1:12">
      <c r="A118" s="2" t="s">
        <v>2381</v>
      </c>
      <c r="B118" s="2" t="s">
        <v>2381</v>
      </c>
      <c r="C118" s="2" t="s">
        <v>1998</v>
      </c>
      <c r="D118" s="2" t="s">
        <v>6867</v>
      </c>
      <c r="E118" s="2" t="s">
        <v>2565</v>
      </c>
      <c r="G118" s="2" t="s">
        <v>187</v>
      </c>
      <c r="H118" s="2" t="s">
        <v>6748</v>
      </c>
      <c r="I118" s="2" t="s">
        <v>6746</v>
      </c>
      <c r="J118" s="2" t="s">
        <v>187</v>
      </c>
      <c r="K118" s="2" t="s">
        <v>187</v>
      </c>
      <c r="L118" s="2" t="s">
        <v>6748</v>
      </c>
    </row>
    <row r="119" spans="1:12">
      <c r="A119" s="2" t="s">
        <v>1835</v>
      </c>
      <c r="B119" s="2" t="s">
        <v>1835</v>
      </c>
      <c r="C119" s="2" t="s">
        <v>1998</v>
      </c>
      <c r="D119" s="2" t="s">
        <v>6868</v>
      </c>
      <c r="E119" s="2" t="s">
        <v>1833</v>
      </c>
      <c r="G119" s="2" t="s">
        <v>187</v>
      </c>
      <c r="H119" s="2" t="s">
        <v>6741</v>
      </c>
      <c r="I119" s="2" t="s">
        <v>6746</v>
      </c>
      <c r="J119" s="2" t="s">
        <v>187</v>
      </c>
      <c r="K119" s="2" t="s">
        <v>187</v>
      </c>
      <c r="L119" s="2" t="s">
        <v>6741</v>
      </c>
    </row>
    <row r="120" spans="1:12">
      <c r="A120" s="2" t="s">
        <v>1850</v>
      </c>
      <c r="B120" s="2" t="s">
        <v>1851</v>
      </c>
      <c r="C120" s="2" t="s">
        <v>1998</v>
      </c>
      <c r="D120" s="2" t="s">
        <v>6869</v>
      </c>
      <c r="E120" s="2" t="s">
        <v>1848</v>
      </c>
      <c r="G120" s="2" t="s">
        <v>187</v>
      </c>
      <c r="H120" s="2" t="s">
        <v>6741</v>
      </c>
      <c r="I120" s="2" t="s">
        <v>6746</v>
      </c>
      <c r="J120" s="2" t="s">
        <v>187</v>
      </c>
      <c r="K120" s="2" t="s">
        <v>187</v>
      </c>
      <c r="L120" s="2" t="s">
        <v>6741</v>
      </c>
    </row>
    <row r="121" spans="1:12">
      <c r="A121" s="2" t="s">
        <v>1914</v>
      </c>
      <c r="B121" s="2" t="s">
        <v>1915</v>
      </c>
      <c r="C121" s="2" t="s">
        <v>1998</v>
      </c>
      <c r="D121" s="2" t="s">
        <v>6870</v>
      </c>
      <c r="E121" s="2" t="s">
        <v>1912</v>
      </c>
      <c r="G121" s="2" t="s">
        <v>187</v>
      </c>
      <c r="H121" s="2" t="s">
        <v>6741</v>
      </c>
      <c r="I121" s="2" t="s">
        <v>6746</v>
      </c>
      <c r="J121" s="2" t="s">
        <v>187</v>
      </c>
      <c r="K121" s="2" t="s">
        <v>187</v>
      </c>
      <c r="L121" s="2" t="s">
        <v>6741</v>
      </c>
    </row>
    <row r="122" spans="1:12">
      <c r="A122" s="2" t="s">
        <v>1953</v>
      </c>
      <c r="B122" s="2" t="s">
        <v>1954</v>
      </c>
      <c r="C122" s="2" t="s">
        <v>1998</v>
      </c>
      <c r="D122" s="2" t="s">
        <v>6871</v>
      </c>
      <c r="E122" s="2" t="s">
        <v>1951</v>
      </c>
      <c r="G122" s="2" t="s">
        <v>187</v>
      </c>
      <c r="H122" s="2" t="s">
        <v>6741</v>
      </c>
      <c r="I122" s="2" t="s">
        <v>6735</v>
      </c>
      <c r="J122" s="2" t="s">
        <v>187</v>
      </c>
      <c r="K122" s="2" t="s">
        <v>187</v>
      </c>
      <c r="L122" s="2" t="s">
        <v>6741</v>
      </c>
    </row>
    <row r="123" spans="1:12">
      <c r="A123" s="2" t="s">
        <v>519</v>
      </c>
      <c r="B123" s="2" t="s">
        <v>520</v>
      </c>
      <c r="C123" s="2" t="s">
        <v>6739</v>
      </c>
      <c r="D123" s="2" t="s">
        <v>6872</v>
      </c>
      <c r="E123" s="2" t="s">
        <v>517</v>
      </c>
      <c r="G123" s="2" t="s">
        <v>187</v>
      </c>
      <c r="H123" s="2" t="s">
        <v>6748</v>
      </c>
      <c r="I123" s="2" t="s">
        <v>6746</v>
      </c>
      <c r="J123" s="2" t="s">
        <v>187</v>
      </c>
      <c r="K123" s="2" t="s">
        <v>188</v>
      </c>
      <c r="L123" s="2" t="s">
        <v>6748</v>
      </c>
    </row>
    <row r="124" spans="1:12">
      <c r="A124" s="2" t="s">
        <v>465</v>
      </c>
      <c r="B124" s="2" t="s">
        <v>465</v>
      </c>
      <c r="C124" s="2" t="s">
        <v>1998</v>
      </c>
      <c r="D124" s="2" t="s">
        <v>6873</v>
      </c>
      <c r="E124" s="2" t="s">
        <v>463</v>
      </c>
      <c r="G124" s="2" t="s">
        <v>187</v>
      </c>
      <c r="H124" s="2" t="s">
        <v>6734</v>
      </c>
      <c r="I124" s="2" t="s">
        <v>6735</v>
      </c>
      <c r="J124" s="2" t="s">
        <v>187</v>
      </c>
      <c r="K124" s="2" t="s">
        <v>187</v>
      </c>
      <c r="L124" s="2" t="s">
        <v>6748</v>
      </c>
    </row>
    <row r="125" spans="1:12">
      <c r="A125" s="2" t="s">
        <v>1997</v>
      </c>
      <c r="B125" s="2" t="s">
        <v>1997</v>
      </c>
      <c r="C125" s="2" t="s">
        <v>1998</v>
      </c>
      <c r="D125" s="2" t="s">
        <v>6874</v>
      </c>
      <c r="E125" s="2" t="s">
        <v>1994</v>
      </c>
      <c r="G125" s="2" t="s">
        <v>187</v>
      </c>
      <c r="H125" s="2" t="s">
        <v>6773</v>
      </c>
      <c r="I125" s="2" t="s">
        <v>6746</v>
      </c>
      <c r="J125" s="2" t="s">
        <v>187</v>
      </c>
      <c r="K125" s="2" t="s">
        <v>187</v>
      </c>
      <c r="L125" s="2" t="s">
        <v>6773</v>
      </c>
    </row>
    <row r="126" spans="1:12">
      <c r="A126" s="2" t="s">
        <v>793</v>
      </c>
      <c r="B126" s="2" t="s">
        <v>794</v>
      </c>
      <c r="C126" s="2" t="s">
        <v>1998</v>
      </c>
      <c r="D126" s="2" t="s">
        <v>6875</v>
      </c>
      <c r="E126" s="2" t="s">
        <v>789</v>
      </c>
      <c r="G126" s="2" t="s">
        <v>187</v>
      </c>
      <c r="H126" s="2" t="s">
        <v>6748</v>
      </c>
      <c r="I126" s="2" t="s">
        <v>6735</v>
      </c>
      <c r="J126" s="2" t="s">
        <v>187</v>
      </c>
      <c r="K126" s="2" t="s">
        <v>187</v>
      </c>
      <c r="L126" s="2" t="s">
        <v>6748</v>
      </c>
    </row>
    <row r="127" spans="1:12">
      <c r="A127" s="2" t="s">
        <v>2038</v>
      </c>
      <c r="B127" s="2" t="s">
        <v>2038</v>
      </c>
      <c r="C127" s="2" t="s">
        <v>1998</v>
      </c>
      <c r="D127" s="2" t="s">
        <v>6876</v>
      </c>
      <c r="E127" s="2" t="s">
        <v>2036</v>
      </c>
      <c r="G127" s="2" t="s">
        <v>187</v>
      </c>
      <c r="H127" s="2" t="s">
        <v>6741</v>
      </c>
      <c r="I127" s="2" t="s">
        <v>6735</v>
      </c>
      <c r="J127" s="2" t="s">
        <v>187</v>
      </c>
      <c r="K127" s="2" t="s">
        <v>187</v>
      </c>
      <c r="L127" s="2" t="s">
        <v>6741</v>
      </c>
    </row>
    <row r="128" spans="1:12">
      <c r="A128" s="2" t="s">
        <v>2077</v>
      </c>
      <c r="B128" s="2" t="s">
        <v>2077</v>
      </c>
      <c r="C128" s="2" t="s">
        <v>1998</v>
      </c>
      <c r="D128" s="2" t="s">
        <v>6877</v>
      </c>
      <c r="E128" s="2" t="s">
        <v>2075</v>
      </c>
      <c r="G128" s="2" t="s">
        <v>187</v>
      </c>
      <c r="H128" s="2" t="s">
        <v>6741</v>
      </c>
      <c r="I128" s="2" t="s">
        <v>6735</v>
      </c>
      <c r="J128" s="2" t="s">
        <v>187</v>
      </c>
      <c r="K128" s="2" t="s">
        <v>187</v>
      </c>
      <c r="L128" s="2" t="s">
        <v>6741</v>
      </c>
    </row>
    <row r="129" spans="1:12">
      <c r="A129" s="2" t="s">
        <v>2103</v>
      </c>
      <c r="B129" s="2" t="s">
        <v>2104</v>
      </c>
      <c r="C129" s="2" t="s">
        <v>1998</v>
      </c>
      <c r="D129" s="2" t="s">
        <v>6878</v>
      </c>
      <c r="E129" s="2" t="s">
        <v>2101</v>
      </c>
      <c r="G129" s="2" t="s">
        <v>187</v>
      </c>
      <c r="H129" s="2" t="s">
        <v>6741</v>
      </c>
      <c r="I129" s="2" t="s">
        <v>6735</v>
      </c>
      <c r="J129" s="2" t="s">
        <v>187</v>
      </c>
      <c r="K129" s="2" t="s">
        <v>187</v>
      </c>
      <c r="L129" s="2" t="s">
        <v>6741</v>
      </c>
    </row>
    <row r="130" spans="1:12">
      <c r="A130" s="2" t="s">
        <v>657</v>
      </c>
      <c r="B130" s="2" t="s">
        <v>657</v>
      </c>
      <c r="C130" s="2" t="s">
        <v>1998</v>
      </c>
      <c r="D130" s="2" t="s">
        <v>6879</v>
      </c>
      <c r="E130" s="2" t="s">
        <v>867</v>
      </c>
      <c r="G130" s="2" t="s">
        <v>187</v>
      </c>
      <c r="H130" s="2" t="s">
        <v>6734</v>
      </c>
      <c r="I130" s="2" t="s">
        <v>6777</v>
      </c>
      <c r="J130" s="2" t="s">
        <v>187</v>
      </c>
      <c r="K130" s="2" t="s">
        <v>187</v>
      </c>
      <c r="L130" s="2" t="s">
        <v>6748</v>
      </c>
    </row>
    <row r="131" spans="1:12">
      <c r="A131" s="2" t="s">
        <v>2118</v>
      </c>
      <c r="B131" s="2" t="s">
        <v>2118</v>
      </c>
      <c r="C131" s="2" t="s">
        <v>1998</v>
      </c>
      <c r="D131" s="2" t="s">
        <v>6880</v>
      </c>
      <c r="E131" s="2" t="s">
        <v>2116</v>
      </c>
      <c r="G131" s="2" t="s">
        <v>187</v>
      </c>
      <c r="H131" s="2" t="s">
        <v>6734</v>
      </c>
      <c r="I131" s="2" t="s">
        <v>6735</v>
      </c>
      <c r="J131" s="2" t="s">
        <v>187</v>
      </c>
      <c r="K131" s="2" t="s">
        <v>188</v>
      </c>
      <c r="L131" s="2" t="s">
        <v>6734</v>
      </c>
    </row>
    <row r="132" spans="1:12">
      <c r="A132" s="2" t="s">
        <v>2168</v>
      </c>
      <c r="B132" s="2" t="s">
        <v>2168</v>
      </c>
      <c r="C132" s="2" t="s">
        <v>1998</v>
      </c>
      <c r="D132" s="2" t="s">
        <v>6881</v>
      </c>
      <c r="E132" s="2" t="s">
        <v>2166</v>
      </c>
      <c r="G132" s="2" t="s">
        <v>187</v>
      </c>
      <c r="H132" s="2" t="s">
        <v>6767</v>
      </c>
      <c r="I132" s="2" t="s">
        <v>6746</v>
      </c>
      <c r="J132" s="2" t="s">
        <v>187</v>
      </c>
      <c r="K132" s="2" t="s">
        <v>187</v>
      </c>
      <c r="L132" s="2" t="s">
        <v>6767</v>
      </c>
    </row>
    <row r="133" spans="1:12">
      <c r="A133" s="2" t="s">
        <v>2193</v>
      </c>
      <c r="B133" s="2" t="s">
        <v>2193</v>
      </c>
      <c r="C133" s="2" t="s">
        <v>1998</v>
      </c>
      <c r="D133" s="2" t="s">
        <v>6882</v>
      </c>
      <c r="E133" s="2" t="s">
        <v>2191</v>
      </c>
      <c r="G133" s="2" t="s">
        <v>187</v>
      </c>
      <c r="H133" s="2" t="s">
        <v>6773</v>
      </c>
      <c r="I133" s="2" t="s">
        <v>6735</v>
      </c>
      <c r="J133" s="2" t="s">
        <v>187</v>
      </c>
      <c r="K133" s="2" t="s">
        <v>187</v>
      </c>
      <c r="L133" s="2" t="s">
        <v>6773</v>
      </c>
    </row>
    <row r="134" spans="1:12">
      <c r="A134" s="2" t="s">
        <v>2224</v>
      </c>
      <c r="B134" s="2" t="s">
        <v>2225</v>
      </c>
      <c r="C134" s="2" t="s">
        <v>1998</v>
      </c>
      <c r="D134" s="2" t="s">
        <v>6883</v>
      </c>
      <c r="E134" s="2" t="s">
        <v>2222</v>
      </c>
      <c r="G134" s="2" t="s">
        <v>187</v>
      </c>
      <c r="H134" s="2" t="s">
        <v>6741</v>
      </c>
      <c r="I134" s="2" t="s">
        <v>6746</v>
      </c>
      <c r="J134" s="2" t="s">
        <v>187</v>
      </c>
      <c r="K134" s="2" t="s">
        <v>187</v>
      </c>
      <c r="L134" s="2" t="s">
        <v>6741</v>
      </c>
    </row>
    <row r="135" spans="1:12">
      <c r="A135" s="2" t="s">
        <v>2299</v>
      </c>
      <c r="B135" s="2" t="s">
        <v>2299</v>
      </c>
      <c r="C135" s="2" t="s">
        <v>6884</v>
      </c>
      <c r="D135" s="2" t="s">
        <v>6885</v>
      </c>
      <c r="E135" s="2" t="s">
        <v>2296</v>
      </c>
      <c r="G135" s="2" t="s">
        <v>187</v>
      </c>
      <c r="H135" s="2" t="s">
        <v>6734</v>
      </c>
      <c r="I135" s="2" t="s">
        <v>6735</v>
      </c>
      <c r="J135" s="2" t="s">
        <v>187</v>
      </c>
      <c r="K135" s="2" t="s">
        <v>188</v>
      </c>
      <c r="L135" s="2" t="s">
        <v>6734</v>
      </c>
    </row>
    <row r="136" spans="1:12">
      <c r="A136" s="2" t="s">
        <v>1161</v>
      </c>
      <c r="B136" s="2" t="s">
        <v>1162</v>
      </c>
      <c r="C136" s="2" t="s">
        <v>1998</v>
      </c>
      <c r="D136" s="2" t="s">
        <v>6886</v>
      </c>
      <c r="E136" s="2" t="s">
        <v>1158</v>
      </c>
      <c r="G136" s="2" t="s">
        <v>187</v>
      </c>
      <c r="H136" s="2" t="s">
        <v>6734</v>
      </c>
      <c r="I136" s="2" t="s">
        <v>6777</v>
      </c>
      <c r="J136" s="2" t="s">
        <v>187</v>
      </c>
      <c r="K136" s="2" t="s">
        <v>187</v>
      </c>
      <c r="L136" s="2" t="s">
        <v>6748</v>
      </c>
    </row>
    <row r="137" spans="1:12">
      <c r="A137" s="2" t="s">
        <v>1175</v>
      </c>
      <c r="B137" s="2" t="s">
        <v>1176</v>
      </c>
      <c r="C137" s="2" t="s">
        <v>1998</v>
      </c>
      <c r="D137" s="2" t="s">
        <v>6887</v>
      </c>
      <c r="E137" s="2" t="s">
        <v>1173</v>
      </c>
      <c r="G137" s="2" t="s">
        <v>187</v>
      </c>
      <c r="H137" s="2" t="s">
        <v>6734</v>
      </c>
      <c r="I137" s="2" t="s">
        <v>6777</v>
      </c>
      <c r="J137" s="2" t="s">
        <v>187</v>
      </c>
      <c r="K137" s="2" t="s">
        <v>187</v>
      </c>
      <c r="L137" s="2" t="s">
        <v>6748</v>
      </c>
    </row>
    <row r="138" spans="1:12">
      <c r="A138" s="2" t="s">
        <v>1180</v>
      </c>
      <c r="B138" s="2" t="s">
        <v>1181</v>
      </c>
      <c r="C138" s="2" t="s">
        <v>1998</v>
      </c>
      <c r="D138" s="2" t="s">
        <v>6888</v>
      </c>
      <c r="E138" s="2" t="s">
        <v>1178</v>
      </c>
      <c r="G138" s="2" t="s">
        <v>187</v>
      </c>
      <c r="H138" s="2" t="s">
        <v>6748</v>
      </c>
      <c r="I138" s="2" t="s">
        <v>6735</v>
      </c>
      <c r="J138" s="2" t="s">
        <v>187</v>
      </c>
      <c r="K138" s="2" t="s">
        <v>187</v>
      </c>
      <c r="L138" s="2" t="s">
        <v>6748</v>
      </c>
    </row>
    <row r="139" spans="1:12">
      <c r="A139" s="2" t="s">
        <v>1264</v>
      </c>
      <c r="B139" s="2" t="s">
        <v>1264</v>
      </c>
      <c r="C139" s="2" t="s">
        <v>1998</v>
      </c>
      <c r="D139" s="2" t="s">
        <v>6889</v>
      </c>
      <c r="E139" s="2" t="s">
        <v>1261</v>
      </c>
      <c r="G139" s="2" t="s">
        <v>187</v>
      </c>
      <c r="H139" s="2" t="s">
        <v>6734</v>
      </c>
      <c r="I139" s="2" t="s">
        <v>6735</v>
      </c>
      <c r="J139" s="2" t="s">
        <v>187</v>
      </c>
      <c r="K139" s="2" t="s">
        <v>187</v>
      </c>
      <c r="L139" s="2" t="s">
        <v>6734</v>
      </c>
    </row>
    <row r="140" spans="1:12">
      <c r="A140" s="2" t="s">
        <v>1300</v>
      </c>
      <c r="B140" s="2" t="s">
        <v>1300</v>
      </c>
      <c r="C140" s="2" t="s">
        <v>1998</v>
      </c>
      <c r="D140" s="2" t="s">
        <v>6890</v>
      </c>
      <c r="E140" s="2" t="s">
        <v>1299</v>
      </c>
      <c r="G140" s="2" t="s">
        <v>187</v>
      </c>
      <c r="H140" s="2" t="s">
        <v>6734</v>
      </c>
      <c r="I140" s="2" t="s">
        <v>6735</v>
      </c>
      <c r="J140" s="2" t="s">
        <v>187</v>
      </c>
      <c r="K140" s="2" t="s">
        <v>187</v>
      </c>
      <c r="L140" s="2" t="s">
        <v>6748</v>
      </c>
    </row>
    <row r="141" spans="1:12">
      <c r="A141" s="2" t="s">
        <v>2165</v>
      </c>
      <c r="B141" s="2" t="s">
        <v>2165</v>
      </c>
      <c r="C141" s="2" t="s">
        <v>1998</v>
      </c>
      <c r="D141" s="2" t="s">
        <v>6891</v>
      </c>
      <c r="E141" s="2" t="s">
        <v>2164</v>
      </c>
      <c r="G141" s="2" t="s">
        <v>187</v>
      </c>
      <c r="H141" s="2" t="s">
        <v>6748</v>
      </c>
      <c r="I141" s="2" t="s">
        <v>6746</v>
      </c>
      <c r="J141" s="2" t="s">
        <v>187</v>
      </c>
      <c r="K141" s="2" t="s">
        <v>187</v>
      </c>
      <c r="L141" s="2" t="s">
        <v>6748</v>
      </c>
    </row>
    <row r="142" spans="1:12">
      <c r="A142" s="2" t="s">
        <v>1346</v>
      </c>
      <c r="B142" s="2" t="s">
        <v>1347</v>
      </c>
      <c r="C142" s="2" t="s">
        <v>1998</v>
      </c>
      <c r="D142" s="2" t="s">
        <v>6892</v>
      </c>
      <c r="E142" s="2" t="s">
        <v>1344</v>
      </c>
      <c r="G142" s="2" t="s">
        <v>187</v>
      </c>
      <c r="H142" s="2" t="s">
        <v>6748</v>
      </c>
      <c r="I142" s="2" t="s">
        <v>6735</v>
      </c>
      <c r="J142" s="2" t="s">
        <v>187</v>
      </c>
      <c r="K142" s="2" t="s">
        <v>187</v>
      </c>
      <c r="L142" s="2" t="s">
        <v>6748</v>
      </c>
    </row>
    <row r="143" spans="1:12">
      <c r="A143" s="2" t="s">
        <v>2138</v>
      </c>
      <c r="B143" s="2" t="s">
        <v>2138</v>
      </c>
      <c r="C143" s="2" t="s">
        <v>1998</v>
      </c>
      <c r="D143" s="2" t="s">
        <v>6893</v>
      </c>
      <c r="E143" s="2" t="s">
        <v>2137</v>
      </c>
      <c r="G143" s="2" t="s">
        <v>187</v>
      </c>
      <c r="H143" s="2" t="s">
        <v>6748</v>
      </c>
      <c r="I143" s="2" t="s">
        <v>6746</v>
      </c>
      <c r="J143" s="2" t="s">
        <v>187</v>
      </c>
      <c r="K143" s="2" t="s">
        <v>187</v>
      </c>
      <c r="L143" s="2" t="s">
        <v>6748</v>
      </c>
    </row>
    <row r="144" spans="1:12">
      <c r="A144" s="2" t="s">
        <v>2136</v>
      </c>
      <c r="B144" s="2" t="s">
        <v>2136</v>
      </c>
      <c r="C144" s="2" t="s">
        <v>1998</v>
      </c>
      <c r="D144" s="2" t="s">
        <v>6894</v>
      </c>
      <c r="E144" s="2" t="s">
        <v>2135</v>
      </c>
      <c r="G144" s="2" t="s">
        <v>187</v>
      </c>
      <c r="H144" s="2" t="s">
        <v>6748</v>
      </c>
      <c r="I144" s="2" t="s">
        <v>6746</v>
      </c>
      <c r="J144" s="2" t="s">
        <v>187</v>
      </c>
      <c r="K144" s="2" t="s">
        <v>187</v>
      </c>
      <c r="L144" s="2" t="s">
        <v>6748</v>
      </c>
    </row>
    <row r="145" spans="1:12">
      <c r="A145" s="2" t="s">
        <v>2125</v>
      </c>
      <c r="B145" s="2" t="s">
        <v>2125</v>
      </c>
      <c r="C145" s="2" t="s">
        <v>1998</v>
      </c>
      <c r="D145" s="2" t="s">
        <v>6895</v>
      </c>
      <c r="E145" s="2" t="s">
        <v>2124</v>
      </c>
      <c r="G145" s="2" t="s">
        <v>187</v>
      </c>
      <c r="H145" s="2" t="s">
        <v>6748</v>
      </c>
      <c r="I145" s="2" t="s">
        <v>6746</v>
      </c>
      <c r="J145" s="2" t="s">
        <v>187</v>
      </c>
      <c r="K145" s="2" t="s">
        <v>187</v>
      </c>
      <c r="L145" s="2" t="s">
        <v>6748</v>
      </c>
    </row>
    <row r="146" spans="1:12">
      <c r="A146" s="2" t="s">
        <v>1431</v>
      </c>
      <c r="B146" s="2" t="s">
        <v>1431</v>
      </c>
      <c r="C146" s="2" t="s">
        <v>1998</v>
      </c>
      <c r="D146" s="2" t="s">
        <v>6896</v>
      </c>
      <c r="E146" s="2" t="s">
        <v>1430</v>
      </c>
      <c r="G146" s="2" t="s">
        <v>187</v>
      </c>
      <c r="H146" s="2" t="s">
        <v>6767</v>
      </c>
      <c r="I146" s="2" t="s">
        <v>6735</v>
      </c>
      <c r="J146" s="2" t="s">
        <v>187</v>
      </c>
      <c r="K146" s="2" t="s">
        <v>187</v>
      </c>
      <c r="L146" s="2" t="s">
        <v>6767</v>
      </c>
    </row>
    <row r="147" spans="1:12">
      <c r="A147" s="2" t="s">
        <v>2084</v>
      </c>
      <c r="B147" s="2" t="s">
        <v>2084</v>
      </c>
      <c r="C147" s="2" t="s">
        <v>1998</v>
      </c>
      <c r="D147" s="2" t="s">
        <v>6897</v>
      </c>
      <c r="E147" s="2" t="s">
        <v>2083</v>
      </c>
      <c r="G147" s="2" t="s">
        <v>187</v>
      </c>
      <c r="H147" s="2" t="s">
        <v>6748</v>
      </c>
      <c r="I147" s="2" t="s">
        <v>6746</v>
      </c>
      <c r="J147" s="2" t="s">
        <v>187</v>
      </c>
      <c r="K147" s="2" t="s">
        <v>187</v>
      </c>
      <c r="L147" s="2" t="s">
        <v>6748</v>
      </c>
    </row>
    <row r="148" spans="1:12">
      <c r="A148" s="2" t="s">
        <v>1445</v>
      </c>
      <c r="B148" s="2" t="s">
        <v>1446</v>
      </c>
      <c r="C148" s="2" t="s">
        <v>1998</v>
      </c>
      <c r="D148" s="2" t="s">
        <v>6898</v>
      </c>
      <c r="E148" s="2" t="s">
        <v>1443</v>
      </c>
      <c r="G148" s="2" t="s">
        <v>187</v>
      </c>
      <c r="H148" s="2" t="s">
        <v>6748</v>
      </c>
      <c r="I148" s="2" t="s">
        <v>6746</v>
      </c>
      <c r="J148" s="2" t="s">
        <v>187</v>
      </c>
      <c r="K148" s="2" t="s">
        <v>187</v>
      </c>
      <c r="L148" s="2" t="s">
        <v>6748</v>
      </c>
    </row>
    <row r="149" spans="1:12">
      <c r="A149" s="2" t="s">
        <v>2074</v>
      </c>
      <c r="B149" s="2" t="s">
        <v>2074</v>
      </c>
      <c r="C149" s="2" t="s">
        <v>1998</v>
      </c>
      <c r="D149" s="2" t="s">
        <v>6899</v>
      </c>
      <c r="E149" s="2" t="s">
        <v>2073</v>
      </c>
      <c r="G149" s="2" t="s">
        <v>187</v>
      </c>
      <c r="H149" s="2" t="s">
        <v>6748</v>
      </c>
      <c r="I149" s="2" t="s">
        <v>6735</v>
      </c>
      <c r="J149" s="2" t="s">
        <v>187</v>
      </c>
      <c r="K149" s="2" t="s">
        <v>187</v>
      </c>
      <c r="L149" s="2" t="s">
        <v>6748</v>
      </c>
    </row>
    <row r="150" spans="1:12">
      <c r="A150" s="2" t="s">
        <v>2013</v>
      </c>
      <c r="B150" s="2" t="s">
        <v>1856</v>
      </c>
      <c r="C150" s="2" t="s">
        <v>1998</v>
      </c>
      <c r="D150" s="2" t="s">
        <v>6900</v>
      </c>
      <c r="E150" s="2" t="s">
        <v>2011</v>
      </c>
      <c r="G150" s="2" t="s">
        <v>187</v>
      </c>
      <c r="H150" s="2" t="s">
        <v>6748</v>
      </c>
      <c r="I150" s="2" t="s">
        <v>6746</v>
      </c>
      <c r="J150" s="2" t="s">
        <v>187</v>
      </c>
      <c r="K150" s="2" t="s">
        <v>187</v>
      </c>
      <c r="L150" s="2" t="s">
        <v>6748</v>
      </c>
    </row>
    <row r="151" spans="1:12">
      <c r="A151" s="2" t="s">
        <v>1507</v>
      </c>
      <c r="B151" s="2" t="s">
        <v>1507</v>
      </c>
      <c r="C151" s="2" t="s">
        <v>1998</v>
      </c>
      <c r="D151" s="2" t="s">
        <v>6901</v>
      </c>
      <c r="E151" s="2" t="s">
        <v>1505</v>
      </c>
      <c r="G151" s="2" t="s">
        <v>187</v>
      </c>
      <c r="H151" s="2" t="s">
        <v>6734</v>
      </c>
      <c r="I151" s="2" t="s">
        <v>6735</v>
      </c>
      <c r="J151" s="2" t="s">
        <v>187</v>
      </c>
      <c r="K151" s="2" t="s">
        <v>187</v>
      </c>
      <c r="L151" s="2" t="s">
        <v>6734</v>
      </c>
    </row>
    <row r="152" spans="1:12">
      <c r="A152" s="2" t="s">
        <v>2002</v>
      </c>
      <c r="B152" s="2" t="s">
        <v>2003</v>
      </c>
      <c r="C152" s="2" t="s">
        <v>1998</v>
      </c>
      <c r="D152" s="2" t="s">
        <v>6902</v>
      </c>
      <c r="E152" s="2" t="s">
        <v>2000</v>
      </c>
      <c r="G152" s="2" t="s">
        <v>187</v>
      </c>
      <c r="H152" s="2" t="s">
        <v>6748</v>
      </c>
      <c r="I152" s="2" t="s">
        <v>6746</v>
      </c>
      <c r="J152" s="2" t="s">
        <v>187</v>
      </c>
      <c r="K152" s="2" t="s">
        <v>187</v>
      </c>
      <c r="L152" s="2" t="s">
        <v>6748</v>
      </c>
    </row>
    <row r="153" spans="1:12">
      <c r="A153" s="2" t="s">
        <v>2034</v>
      </c>
      <c r="B153" s="2" t="s">
        <v>2035</v>
      </c>
      <c r="C153" s="2" t="s">
        <v>1998</v>
      </c>
      <c r="D153" s="2" t="s">
        <v>6903</v>
      </c>
      <c r="E153" s="2" t="s">
        <v>2033</v>
      </c>
      <c r="G153" s="2" t="s">
        <v>187</v>
      </c>
      <c r="H153" s="2" t="s">
        <v>6748</v>
      </c>
      <c r="I153" s="2" t="s">
        <v>6746</v>
      </c>
      <c r="J153" s="2" t="s">
        <v>187</v>
      </c>
      <c r="K153" s="2" t="s">
        <v>187</v>
      </c>
      <c r="L153" s="2" t="s">
        <v>6748</v>
      </c>
    </row>
    <row r="154" spans="1:12">
      <c r="A154" s="2" t="s">
        <v>1522</v>
      </c>
      <c r="B154" s="2" t="s">
        <v>1522</v>
      </c>
      <c r="C154" s="2" t="s">
        <v>1998</v>
      </c>
      <c r="D154" s="2" t="s">
        <v>6904</v>
      </c>
      <c r="E154" s="2" t="s">
        <v>1520</v>
      </c>
      <c r="G154" s="2" t="s">
        <v>187</v>
      </c>
      <c r="H154" s="2" t="s">
        <v>6734</v>
      </c>
      <c r="I154" s="2" t="s">
        <v>6735</v>
      </c>
      <c r="J154" s="2" t="s">
        <v>187</v>
      </c>
      <c r="K154" s="2" t="s">
        <v>187</v>
      </c>
      <c r="L154" s="2" t="s">
        <v>6734</v>
      </c>
    </row>
    <row r="155" spans="1:12">
      <c r="A155" s="2" t="s">
        <v>1312</v>
      </c>
      <c r="B155" s="2" t="s">
        <v>1312</v>
      </c>
      <c r="C155" s="2" t="s">
        <v>6736</v>
      </c>
      <c r="D155" s="2" t="s">
        <v>6905</v>
      </c>
      <c r="E155" s="2" t="s">
        <v>1310</v>
      </c>
      <c r="F155" s="2" t="s">
        <v>579</v>
      </c>
      <c r="G155" s="2" t="s">
        <v>187</v>
      </c>
      <c r="H155" s="2" t="s">
        <v>6734</v>
      </c>
      <c r="I155" s="2" t="s">
        <v>6735</v>
      </c>
      <c r="J155" s="2" t="s">
        <v>187</v>
      </c>
      <c r="K155" s="2" t="s">
        <v>187</v>
      </c>
      <c r="L155" s="2" t="s">
        <v>6734</v>
      </c>
    </row>
    <row r="156" spans="1:12">
      <c r="A156" s="2" t="s">
        <v>1338</v>
      </c>
      <c r="B156" s="2" t="s">
        <v>1339</v>
      </c>
      <c r="C156" s="2" t="s">
        <v>6736</v>
      </c>
      <c r="D156" s="2" t="s">
        <v>6906</v>
      </c>
      <c r="E156" s="2" t="s">
        <v>1336</v>
      </c>
      <c r="F156" s="2" t="s">
        <v>1998</v>
      </c>
      <c r="G156" s="2" t="s">
        <v>187</v>
      </c>
      <c r="H156" s="2" t="s">
        <v>6748</v>
      </c>
      <c r="I156" s="2" t="s">
        <v>6735</v>
      </c>
      <c r="J156" s="2" t="s">
        <v>187</v>
      </c>
      <c r="K156" s="2" t="s">
        <v>187</v>
      </c>
      <c r="L156" s="2" t="s">
        <v>6748</v>
      </c>
    </row>
    <row r="157" spans="1:12">
      <c r="A157" s="2" t="s">
        <v>1607</v>
      </c>
      <c r="B157" s="2" t="s">
        <v>1608</v>
      </c>
      <c r="C157" s="2" t="s">
        <v>1998</v>
      </c>
      <c r="D157" s="2" t="s">
        <v>6907</v>
      </c>
      <c r="E157" s="2" t="s">
        <v>1605</v>
      </c>
      <c r="F157" s="2" t="s">
        <v>6908</v>
      </c>
      <c r="G157" s="2" t="s">
        <v>187</v>
      </c>
      <c r="H157" s="2" t="s">
        <v>6773</v>
      </c>
      <c r="I157" s="2" t="s">
        <v>6735</v>
      </c>
      <c r="J157" s="2" t="s">
        <v>187</v>
      </c>
      <c r="K157" s="2" t="s">
        <v>187</v>
      </c>
      <c r="L157" s="2" t="s">
        <v>6773</v>
      </c>
    </row>
    <row r="158" spans="1:12">
      <c r="A158" s="2" t="s">
        <v>922</v>
      </c>
      <c r="B158" s="2" t="s">
        <v>922</v>
      </c>
      <c r="C158" s="2" t="s">
        <v>1998</v>
      </c>
      <c r="D158" s="2" t="s">
        <v>6909</v>
      </c>
      <c r="E158" s="2" t="s">
        <v>1594</v>
      </c>
      <c r="G158" s="2" t="s">
        <v>187</v>
      </c>
      <c r="H158" s="2" t="s">
        <v>6779</v>
      </c>
      <c r="I158" s="2" t="s">
        <v>6777</v>
      </c>
      <c r="J158" s="2" t="s">
        <v>187</v>
      </c>
      <c r="K158" s="2" t="s">
        <v>187</v>
      </c>
      <c r="L158" s="2" t="s">
        <v>6773</v>
      </c>
    </row>
    <row r="159" spans="1:12">
      <c r="A159" s="2" t="s">
        <v>1755</v>
      </c>
      <c r="B159" s="2" t="s">
        <v>1756</v>
      </c>
      <c r="C159" s="2" t="s">
        <v>6736</v>
      </c>
      <c r="D159" s="2" t="s">
        <v>6910</v>
      </c>
      <c r="E159" s="2" t="s">
        <v>1753</v>
      </c>
      <c r="F159" s="2" t="s">
        <v>6911</v>
      </c>
      <c r="G159" s="2" t="s">
        <v>187</v>
      </c>
      <c r="H159" s="2" t="s">
        <v>6912</v>
      </c>
      <c r="I159" s="2" t="s">
        <v>6735</v>
      </c>
      <c r="J159" s="2" t="s">
        <v>187</v>
      </c>
      <c r="K159" s="2" t="s">
        <v>187</v>
      </c>
      <c r="L159" s="2" t="s">
        <v>6912</v>
      </c>
    </row>
    <row r="160" spans="1:12">
      <c r="A160" s="2" t="s">
        <v>2160</v>
      </c>
      <c r="B160" s="2" t="s">
        <v>2161</v>
      </c>
      <c r="C160" s="2" t="s">
        <v>6736</v>
      </c>
      <c r="D160" s="2" t="s">
        <v>6913</v>
      </c>
      <c r="E160" s="2" t="s">
        <v>2157</v>
      </c>
      <c r="F160" s="2" t="s">
        <v>579</v>
      </c>
      <c r="G160" s="2" t="s">
        <v>187</v>
      </c>
      <c r="H160" s="2" t="s">
        <v>6748</v>
      </c>
      <c r="I160" s="2" t="s">
        <v>6735</v>
      </c>
      <c r="J160" s="2" t="s">
        <v>187</v>
      </c>
      <c r="K160" s="2" t="s">
        <v>187</v>
      </c>
      <c r="L160" s="2" t="s">
        <v>6748</v>
      </c>
    </row>
    <row r="161" spans="1:12">
      <c r="A161" s="2" t="s">
        <v>2280</v>
      </c>
      <c r="B161" s="2" t="s">
        <v>2281</v>
      </c>
      <c r="C161" s="2" t="s">
        <v>6736</v>
      </c>
      <c r="D161" s="2" t="s">
        <v>6914</v>
      </c>
      <c r="E161" s="2" t="s">
        <v>2277</v>
      </c>
      <c r="F161" s="2" t="s">
        <v>6915</v>
      </c>
      <c r="G161" s="2" t="s">
        <v>187</v>
      </c>
      <c r="H161" s="2" t="s">
        <v>6734</v>
      </c>
      <c r="I161" s="2" t="s">
        <v>6735</v>
      </c>
      <c r="J161" s="2" t="s">
        <v>187</v>
      </c>
      <c r="K161" s="2" t="s">
        <v>188</v>
      </c>
      <c r="L161" s="2" t="s">
        <v>6734</v>
      </c>
    </row>
    <row r="162" spans="1:12">
      <c r="A162" s="2" t="s">
        <v>2303</v>
      </c>
      <c r="B162" s="2" t="s">
        <v>2304</v>
      </c>
      <c r="C162" s="2" t="s">
        <v>1998</v>
      </c>
      <c r="D162" s="2" t="s">
        <v>6916</v>
      </c>
      <c r="E162" s="2" t="s">
        <v>2300</v>
      </c>
      <c r="G162" s="2" t="s">
        <v>188</v>
      </c>
      <c r="J162" s="2" t="s">
        <v>188</v>
      </c>
      <c r="K162" s="2" t="s">
        <v>188</v>
      </c>
    </row>
    <row r="163" spans="1:12">
      <c r="A163" s="2" t="s">
        <v>2344</v>
      </c>
      <c r="B163" s="2" t="s">
        <v>2344</v>
      </c>
      <c r="C163" s="2" t="s">
        <v>1998</v>
      </c>
      <c r="D163" s="2" t="s">
        <v>6917</v>
      </c>
      <c r="E163" s="2" t="s">
        <v>2341</v>
      </c>
      <c r="G163" s="2" t="s">
        <v>187</v>
      </c>
      <c r="H163" s="2" t="s">
        <v>6748</v>
      </c>
      <c r="I163" s="2" t="s">
        <v>6735</v>
      </c>
      <c r="J163" s="2" t="s">
        <v>187</v>
      </c>
      <c r="K163" s="2" t="s">
        <v>187</v>
      </c>
      <c r="L163" s="2" t="s">
        <v>6748</v>
      </c>
    </row>
    <row r="164" spans="1:12">
      <c r="A164" s="2" t="s">
        <v>2420</v>
      </c>
      <c r="B164" s="2" t="s">
        <v>2420</v>
      </c>
      <c r="C164" s="2" t="s">
        <v>6736</v>
      </c>
      <c r="D164" s="2" t="s">
        <v>6918</v>
      </c>
      <c r="E164" s="2" t="s">
        <v>2417</v>
      </c>
      <c r="F164" s="2" t="s">
        <v>579</v>
      </c>
      <c r="G164" s="2" t="s">
        <v>187</v>
      </c>
      <c r="H164" s="2" t="s">
        <v>6748</v>
      </c>
      <c r="I164" s="2" t="s">
        <v>6735</v>
      </c>
      <c r="J164" s="2" t="s">
        <v>187</v>
      </c>
      <c r="K164" s="2" t="s">
        <v>187</v>
      </c>
      <c r="L164" s="2" t="s">
        <v>6748</v>
      </c>
    </row>
    <row r="165" spans="1:12">
      <c r="A165" s="2" t="s">
        <v>2436</v>
      </c>
      <c r="B165" s="2" t="s">
        <v>2437</v>
      </c>
      <c r="C165" s="2" t="s">
        <v>6736</v>
      </c>
      <c r="D165" s="2" t="s">
        <v>6919</v>
      </c>
      <c r="E165" s="2" t="s">
        <v>2434</v>
      </c>
      <c r="F165" s="2" t="s">
        <v>579</v>
      </c>
      <c r="G165" s="2" t="s">
        <v>187</v>
      </c>
      <c r="H165" s="2" t="s">
        <v>6767</v>
      </c>
      <c r="I165" s="2" t="s">
        <v>6735</v>
      </c>
      <c r="J165" s="2" t="s">
        <v>187</v>
      </c>
      <c r="K165" s="2" t="s">
        <v>187</v>
      </c>
      <c r="L165" s="2" t="s">
        <v>6767</v>
      </c>
    </row>
    <row r="166" spans="1:12">
      <c r="A166" s="2" t="s">
        <v>566</v>
      </c>
      <c r="B166" s="2" t="s">
        <v>566</v>
      </c>
      <c r="C166" s="2" t="s">
        <v>1998</v>
      </c>
      <c r="D166" s="2" t="s">
        <v>6920</v>
      </c>
      <c r="E166" s="2" t="s">
        <v>563</v>
      </c>
      <c r="F166" s="2" t="s">
        <v>579</v>
      </c>
      <c r="G166" s="2" t="s">
        <v>187</v>
      </c>
      <c r="H166" s="2" t="s">
        <v>6743</v>
      </c>
      <c r="I166" s="2" t="s">
        <v>6735</v>
      </c>
      <c r="J166" s="2" t="s">
        <v>187</v>
      </c>
      <c r="K166" s="2" t="s">
        <v>187</v>
      </c>
      <c r="L166" s="2" t="s">
        <v>6743</v>
      </c>
    </row>
    <row r="167" spans="1:12">
      <c r="A167" s="2" t="s">
        <v>756</v>
      </c>
      <c r="B167" s="2" t="s">
        <v>756</v>
      </c>
      <c r="C167" s="2" t="s">
        <v>1998</v>
      </c>
      <c r="D167" s="2" t="s">
        <v>6921</v>
      </c>
      <c r="E167" s="2" t="s">
        <v>753</v>
      </c>
      <c r="G167" s="2" t="s">
        <v>188</v>
      </c>
      <c r="H167" s="2" t="s">
        <v>6754</v>
      </c>
      <c r="I167" s="2" t="s">
        <v>6735</v>
      </c>
      <c r="J167" s="2" t="s">
        <v>187</v>
      </c>
      <c r="K167" s="2" t="s">
        <v>187</v>
      </c>
      <c r="L167" s="2" t="s">
        <v>6754</v>
      </c>
    </row>
    <row r="168" spans="1:12">
      <c r="A168" s="2" t="s">
        <v>482</v>
      </c>
      <c r="B168" s="2" t="s">
        <v>483</v>
      </c>
      <c r="C168" s="2" t="s">
        <v>1998</v>
      </c>
      <c r="D168" s="2" t="s">
        <v>6922</v>
      </c>
      <c r="E168" s="2" t="s">
        <v>478</v>
      </c>
      <c r="F168" s="2" t="s">
        <v>579</v>
      </c>
      <c r="G168" s="2" t="s">
        <v>187</v>
      </c>
      <c r="H168" s="2" t="s">
        <v>6779</v>
      </c>
      <c r="I168" s="2" t="s">
        <v>6735</v>
      </c>
      <c r="J168" s="2" t="s">
        <v>187</v>
      </c>
      <c r="K168" s="2" t="s">
        <v>187</v>
      </c>
      <c r="L168" s="2" t="s">
        <v>6779</v>
      </c>
    </row>
    <row r="169" spans="1:12">
      <c r="A169" s="2" t="s">
        <v>316</v>
      </c>
      <c r="B169" s="2" t="s">
        <v>317</v>
      </c>
      <c r="C169" s="2" t="s">
        <v>1998</v>
      </c>
      <c r="D169" s="2" t="s">
        <v>6923</v>
      </c>
      <c r="E169" s="2" t="s">
        <v>315</v>
      </c>
      <c r="G169" s="2" t="s">
        <v>187</v>
      </c>
      <c r="H169" s="2" t="s">
        <v>6748</v>
      </c>
      <c r="I169" s="2" t="s">
        <v>6735</v>
      </c>
      <c r="J169" s="2" t="s">
        <v>187</v>
      </c>
      <c r="K169" s="2" t="s">
        <v>187</v>
      </c>
      <c r="L169" s="2" t="s">
        <v>6748</v>
      </c>
    </row>
    <row r="170" spans="1:12">
      <c r="A170" s="2" t="s">
        <v>345</v>
      </c>
      <c r="B170" s="2" t="s">
        <v>345</v>
      </c>
      <c r="C170" s="2" t="s">
        <v>1998</v>
      </c>
      <c r="D170" s="2" t="s">
        <v>6924</v>
      </c>
      <c r="E170" s="2" t="s">
        <v>344</v>
      </c>
      <c r="G170" s="2" t="s">
        <v>187</v>
      </c>
      <c r="H170" s="2" t="s">
        <v>6754</v>
      </c>
      <c r="I170" s="2" t="s">
        <v>6746</v>
      </c>
      <c r="J170" s="2" t="s">
        <v>187</v>
      </c>
      <c r="K170" s="2" t="s">
        <v>187</v>
      </c>
      <c r="L170" s="2" t="s">
        <v>6754</v>
      </c>
    </row>
    <row r="171" spans="1:12">
      <c r="A171" s="2" t="s">
        <v>506</v>
      </c>
      <c r="B171" s="2" t="s">
        <v>506</v>
      </c>
      <c r="C171" s="2" t="s">
        <v>1998</v>
      </c>
      <c r="D171" s="2" t="s">
        <v>6925</v>
      </c>
      <c r="E171" s="2" t="s">
        <v>503</v>
      </c>
      <c r="G171" s="2" t="s">
        <v>187</v>
      </c>
      <c r="H171" s="2" t="s">
        <v>6779</v>
      </c>
      <c r="I171" s="2" t="s">
        <v>6777</v>
      </c>
      <c r="J171" s="2" t="s">
        <v>187</v>
      </c>
      <c r="K171" s="2" t="s">
        <v>187</v>
      </c>
      <c r="L171" s="2" t="s">
        <v>6779</v>
      </c>
    </row>
    <row r="172" spans="1:12">
      <c r="A172" s="2" t="s">
        <v>833</v>
      </c>
      <c r="B172" s="2" t="s">
        <v>833</v>
      </c>
      <c r="C172" s="2" t="s">
        <v>1998</v>
      </c>
      <c r="D172" s="2" t="s">
        <v>6926</v>
      </c>
      <c r="E172" s="2" t="s">
        <v>829</v>
      </c>
      <c r="G172" s="2" t="s">
        <v>188</v>
      </c>
      <c r="H172" s="2" t="s">
        <v>6734</v>
      </c>
      <c r="I172" s="2" t="s">
        <v>6777</v>
      </c>
      <c r="J172" s="2" t="s">
        <v>188</v>
      </c>
      <c r="K172" s="2" t="s">
        <v>188</v>
      </c>
      <c r="L172" s="2" t="s">
        <v>6734</v>
      </c>
    </row>
    <row r="173" spans="1:12">
      <c r="A173" s="2" t="s">
        <v>855</v>
      </c>
      <c r="B173" s="2" t="s">
        <v>856</v>
      </c>
      <c r="C173" s="2" t="s">
        <v>1998</v>
      </c>
      <c r="D173" s="2" t="s">
        <v>6927</v>
      </c>
      <c r="E173" s="2" t="s">
        <v>852</v>
      </c>
      <c r="G173" s="2" t="s">
        <v>188</v>
      </c>
      <c r="H173" s="2" t="s">
        <v>6734</v>
      </c>
      <c r="I173" s="2" t="s">
        <v>6735</v>
      </c>
      <c r="J173" s="2" t="s">
        <v>188</v>
      </c>
      <c r="K173" s="2" t="s">
        <v>188</v>
      </c>
      <c r="L173" s="2" t="s">
        <v>6734</v>
      </c>
    </row>
    <row r="174" spans="1:12">
      <c r="A174" s="2" t="s">
        <v>881</v>
      </c>
      <c r="B174" s="2" t="s">
        <v>882</v>
      </c>
      <c r="C174" s="2" t="s">
        <v>1998</v>
      </c>
      <c r="D174" s="2" t="s">
        <v>6928</v>
      </c>
      <c r="E174" s="2" t="s">
        <v>879</v>
      </c>
      <c r="G174" s="2" t="s">
        <v>187</v>
      </c>
      <c r="H174" s="2" t="s">
        <v>6767</v>
      </c>
      <c r="I174" s="2" t="s">
        <v>6735</v>
      </c>
      <c r="J174" s="2" t="s">
        <v>187</v>
      </c>
      <c r="K174" s="2" t="s">
        <v>187</v>
      </c>
      <c r="L174" s="2" t="s">
        <v>6767</v>
      </c>
    </row>
    <row r="175" spans="1:12">
      <c r="A175" s="2" t="s">
        <v>907</v>
      </c>
      <c r="B175" s="2" t="s">
        <v>908</v>
      </c>
      <c r="C175" s="2" t="s">
        <v>1998</v>
      </c>
      <c r="D175" s="2" t="s">
        <v>6929</v>
      </c>
      <c r="E175" s="2" t="s">
        <v>905</v>
      </c>
      <c r="G175" s="2" t="s">
        <v>187</v>
      </c>
      <c r="H175" s="2" t="s">
        <v>6748</v>
      </c>
      <c r="I175" s="2" t="s">
        <v>6735</v>
      </c>
      <c r="J175" s="2" t="s">
        <v>187</v>
      </c>
      <c r="K175" s="2" t="s">
        <v>187</v>
      </c>
      <c r="L175" s="2" t="s">
        <v>6748</v>
      </c>
    </row>
    <row r="176" spans="1:12">
      <c r="A176" s="2" t="s">
        <v>956</v>
      </c>
      <c r="B176" s="2" t="s">
        <v>956</v>
      </c>
      <c r="C176" s="2" t="s">
        <v>1998</v>
      </c>
      <c r="D176" s="2" t="s">
        <v>6930</v>
      </c>
      <c r="E176" s="2" t="s">
        <v>954</v>
      </c>
      <c r="G176" s="2" t="s">
        <v>188</v>
      </c>
      <c r="H176" s="2" t="s">
        <v>6734</v>
      </c>
      <c r="I176" s="2" t="s">
        <v>6735</v>
      </c>
      <c r="J176" s="2" t="s">
        <v>188</v>
      </c>
      <c r="K176" s="2" t="s">
        <v>188</v>
      </c>
      <c r="L176" s="2" t="s">
        <v>6734</v>
      </c>
    </row>
    <row r="177" spans="1:12">
      <c r="A177" s="2" t="s">
        <v>999</v>
      </c>
      <c r="B177" s="2" t="s">
        <v>999</v>
      </c>
      <c r="C177" s="2" t="s">
        <v>1998</v>
      </c>
      <c r="D177" s="2" t="s">
        <v>6931</v>
      </c>
      <c r="E177" s="2" t="s">
        <v>996</v>
      </c>
      <c r="G177" s="2" t="s">
        <v>187</v>
      </c>
      <c r="H177" s="2" t="s">
        <v>6767</v>
      </c>
      <c r="I177" s="2" t="s">
        <v>6735</v>
      </c>
      <c r="J177" s="2" t="s">
        <v>188</v>
      </c>
      <c r="L177" s="2" t="s">
        <v>6767</v>
      </c>
    </row>
    <row r="178" spans="1:12">
      <c r="A178" s="2" t="s">
        <v>1029</v>
      </c>
      <c r="B178" s="2" t="s">
        <v>1030</v>
      </c>
      <c r="C178" s="2" t="s">
        <v>1998</v>
      </c>
      <c r="D178" s="2" t="s">
        <v>6932</v>
      </c>
      <c r="E178" s="2" t="s">
        <v>1026</v>
      </c>
      <c r="G178" s="2" t="s">
        <v>187</v>
      </c>
      <c r="H178" s="2" t="s">
        <v>6734</v>
      </c>
      <c r="I178" s="2" t="s">
        <v>6746</v>
      </c>
      <c r="J178" s="2" t="s">
        <v>187</v>
      </c>
      <c r="K178" s="2" t="s">
        <v>187</v>
      </c>
      <c r="L178" s="2" t="s">
        <v>6734</v>
      </c>
    </row>
    <row r="179" spans="1:12">
      <c r="A179" s="2" t="s">
        <v>1805</v>
      </c>
      <c r="B179" s="2" t="s">
        <v>1806</v>
      </c>
      <c r="C179" s="2" t="s">
        <v>1998</v>
      </c>
      <c r="D179" s="2" t="s">
        <v>6933</v>
      </c>
      <c r="E179" s="2" t="s">
        <v>1803</v>
      </c>
      <c r="F179" s="2" t="s">
        <v>579</v>
      </c>
      <c r="G179" s="2" t="s">
        <v>187</v>
      </c>
      <c r="H179" s="2" t="s">
        <v>6779</v>
      </c>
      <c r="I179" s="2" t="s">
        <v>6735</v>
      </c>
      <c r="J179" s="2" t="s">
        <v>187</v>
      </c>
      <c r="K179" s="2" t="s">
        <v>187</v>
      </c>
      <c r="L179" s="2" t="s">
        <v>6743</v>
      </c>
    </row>
    <row r="180" spans="1:12">
      <c r="A180" s="2" t="s">
        <v>2409</v>
      </c>
      <c r="B180" s="2" t="s">
        <v>2410</v>
      </c>
      <c r="C180" s="2" t="s">
        <v>6736</v>
      </c>
      <c r="D180" s="2" t="s">
        <v>6934</v>
      </c>
      <c r="E180" s="2" t="s">
        <v>2406</v>
      </c>
      <c r="F180" s="2" t="s">
        <v>579</v>
      </c>
      <c r="G180" s="2" t="s">
        <v>188</v>
      </c>
      <c r="J180" s="2" t="s">
        <v>188</v>
      </c>
      <c r="K180" s="2" t="s">
        <v>188</v>
      </c>
    </row>
    <row r="181" spans="1:12">
      <c r="A181" s="2" t="s">
        <v>1226</v>
      </c>
      <c r="B181" s="2" t="s">
        <v>1227</v>
      </c>
      <c r="C181" s="2" t="s">
        <v>1998</v>
      </c>
      <c r="D181" s="2" t="s">
        <v>6935</v>
      </c>
      <c r="E181" s="2" t="s">
        <v>1224</v>
      </c>
      <c r="G181" s="2" t="s">
        <v>188</v>
      </c>
      <c r="J181" s="2" t="s">
        <v>188</v>
      </c>
      <c r="K181" s="2" t="s">
        <v>188</v>
      </c>
    </row>
    <row r="182" spans="1:12">
      <c r="A182" s="2" t="s">
        <v>1236</v>
      </c>
      <c r="B182" s="2" t="s">
        <v>1237</v>
      </c>
      <c r="C182" s="2" t="s">
        <v>1998</v>
      </c>
      <c r="D182" s="2" t="s">
        <v>6936</v>
      </c>
      <c r="E182" s="2" t="s">
        <v>1233</v>
      </c>
      <c r="G182" s="2" t="s">
        <v>187</v>
      </c>
      <c r="H182" s="2" t="s">
        <v>6734</v>
      </c>
      <c r="I182" s="2" t="s">
        <v>6735</v>
      </c>
      <c r="J182" s="2" t="s">
        <v>187</v>
      </c>
      <c r="K182" s="2" t="s">
        <v>187</v>
      </c>
      <c r="L182" s="2" t="s">
        <v>6734</v>
      </c>
    </row>
    <row r="183" spans="1:12">
      <c r="A183" s="2" t="s">
        <v>1255</v>
      </c>
      <c r="B183" s="2" t="s">
        <v>1256</v>
      </c>
      <c r="C183" s="2" t="s">
        <v>1998</v>
      </c>
      <c r="D183" s="2" t="s">
        <v>6937</v>
      </c>
      <c r="E183" s="2" t="s">
        <v>1252</v>
      </c>
      <c r="G183" s="2" t="s">
        <v>187</v>
      </c>
      <c r="H183" s="2" t="s">
        <v>6734</v>
      </c>
      <c r="I183" s="2" t="s">
        <v>6735</v>
      </c>
      <c r="J183" s="2" t="s">
        <v>187</v>
      </c>
      <c r="K183" s="2" t="s">
        <v>187</v>
      </c>
      <c r="L183" s="2" t="s">
        <v>6734</v>
      </c>
    </row>
    <row r="184" spans="1:12">
      <c r="A184" s="2" t="s">
        <v>1287</v>
      </c>
      <c r="B184" s="2" t="s">
        <v>1288</v>
      </c>
      <c r="C184" s="2" t="s">
        <v>1998</v>
      </c>
      <c r="D184" s="2" t="s">
        <v>6938</v>
      </c>
      <c r="E184" s="2" t="s">
        <v>1285</v>
      </c>
      <c r="G184" s="2" t="s">
        <v>187</v>
      </c>
      <c r="H184" s="2" t="s">
        <v>6734</v>
      </c>
      <c r="I184" s="2" t="s">
        <v>6735</v>
      </c>
      <c r="J184" s="2" t="s">
        <v>187</v>
      </c>
      <c r="K184" s="2" t="s">
        <v>187</v>
      </c>
      <c r="L184" s="2" t="s">
        <v>6734</v>
      </c>
    </row>
    <row r="185" spans="1:12">
      <c r="A185" s="2" t="s">
        <v>1376</v>
      </c>
      <c r="B185" s="2" t="s">
        <v>1376</v>
      </c>
      <c r="C185" s="2" t="s">
        <v>1998</v>
      </c>
      <c r="D185" s="2" t="s">
        <v>6939</v>
      </c>
      <c r="E185" s="2" t="s">
        <v>1374</v>
      </c>
      <c r="G185" s="2" t="s">
        <v>187</v>
      </c>
      <c r="H185" s="2" t="s">
        <v>6734</v>
      </c>
      <c r="I185" s="2" t="s">
        <v>6735</v>
      </c>
      <c r="J185" s="2" t="s">
        <v>187</v>
      </c>
      <c r="K185" s="2" t="s">
        <v>187</v>
      </c>
      <c r="L185" s="2" t="s">
        <v>6734</v>
      </c>
    </row>
    <row r="186" spans="1:12">
      <c r="A186" s="2" t="s">
        <v>1420</v>
      </c>
      <c r="B186" s="2" t="s">
        <v>1420</v>
      </c>
      <c r="C186" s="2" t="s">
        <v>1998</v>
      </c>
      <c r="D186" s="2" t="s">
        <v>6940</v>
      </c>
      <c r="E186" s="2" t="s">
        <v>1418</v>
      </c>
      <c r="G186" s="2" t="s">
        <v>188</v>
      </c>
      <c r="J186" s="2" t="s">
        <v>188</v>
      </c>
      <c r="K186" s="2" t="s">
        <v>188</v>
      </c>
    </row>
    <row r="187" spans="1:12">
      <c r="A187" s="2" t="s">
        <v>1438</v>
      </c>
      <c r="B187" s="2" t="s">
        <v>1438</v>
      </c>
      <c r="C187" s="2" t="s">
        <v>1998</v>
      </c>
      <c r="D187" s="2" t="s">
        <v>6941</v>
      </c>
      <c r="E187" s="2" t="s">
        <v>1435</v>
      </c>
      <c r="G187" s="2" t="s">
        <v>187</v>
      </c>
      <c r="H187" s="2" t="s">
        <v>6748</v>
      </c>
      <c r="I187" s="2" t="s">
        <v>6735</v>
      </c>
      <c r="J187" s="2" t="s">
        <v>187</v>
      </c>
      <c r="K187" s="2" t="s">
        <v>187</v>
      </c>
      <c r="L187" s="2" t="s">
        <v>6748</v>
      </c>
    </row>
    <row r="188" spans="1:12">
      <c r="A188" s="2" t="s">
        <v>1463</v>
      </c>
      <c r="B188" s="2" t="s">
        <v>1464</v>
      </c>
      <c r="C188" s="2" t="s">
        <v>1998</v>
      </c>
      <c r="D188" s="2" t="s">
        <v>6942</v>
      </c>
      <c r="E188" s="2" t="s">
        <v>1461</v>
      </c>
      <c r="G188" s="2" t="s">
        <v>187</v>
      </c>
      <c r="H188" s="2" t="s">
        <v>6943</v>
      </c>
      <c r="I188" s="2" t="s">
        <v>6735</v>
      </c>
      <c r="J188" s="2" t="s">
        <v>187</v>
      </c>
      <c r="K188" s="2" t="s">
        <v>187</v>
      </c>
      <c r="L188" s="2" t="s">
        <v>6748</v>
      </c>
    </row>
    <row r="189" spans="1:12">
      <c r="A189" s="2" t="s">
        <v>1601</v>
      </c>
      <c r="B189" s="2" t="s">
        <v>1601</v>
      </c>
      <c r="C189" s="2" t="s">
        <v>1998</v>
      </c>
      <c r="D189" s="2" t="s">
        <v>6944</v>
      </c>
      <c r="E189" s="2" t="s">
        <v>1599</v>
      </c>
      <c r="F189" s="2" t="s">
        <v>1998</v>
      </c>
      <c r="G189" s="2" t="s">
        <v>187</v>
      </c>
      <c r="H189" s="2" t="s">
        <v>6754</v>
      </c>
      <c r="I189" s="2" t="s">
        <v>6777</v>
      </c>
      <c r="J189" s="2" t="s">
        <v>187</v>
      </c>
      <c r="K189" s="2" t="s">
        <v>187</v>
      </c>
      <c r="L189" s="2" t="s">
        <v>6754</v>
      </c>
    </row>
    <row r="190" spans="1:12">
      <c r="A190" s="2" t="s">
        <v>1627</v>
      </c>
      <c r="B190" s="2" t="s">
        <v>1627</v>
      </c>
      <c r="C190" s="2" t="s">
        <v>1998</v>
      </c>
      <c r="D190" s="2" t="s">
        <v>6945</v>
      </c>
      <c r="E190" s="2" t="s">
        <v>1625</v>
      </c>
      <c r="G190" s="2" t="s">
        <v>188</v>
      </c>
      <c r="H190" s="2" t="s">
        <v>6773</v>
      </c>
      <c r="I190" s="2" t="s">
        <v>6777</v>
      </c>
      <c r="J190" s="2" t="s">
        <v>187</v>
      </c>
      <c r="K190" s="2" t="s">
        <v>187</v>
      </c>
      <c r="L190" s="2" t="s">
        <v>6773</v>
      </c>
    </row>
    <row r="191" spans="1:12">
      <c r="A191" s="2" t="s">
        <v>1651</v>
      </c>
      <c r="B191" s="2" t="s">
        <v>1652</v>
      </c>
      <c r="C191" s="2" t="s">
        <v>1998</v>
      </c>
      <c r="D191" s="2" t="s">
        <v>6946</v>
      </c>
      <c r="E191" s="2" t="s">
        <v>1647</v>
      </c>
      <c r="F191" s="2" t="s">
        <v>6947</v>
      </c>
      <c r="G191" s="2" t="s">
        <v>187</v>
      </c>
      <c r="H191" s="2" t="s">
        <v>6754</v>
      </c>
      <c r="I191" s="2" t="s">
        <v>6735</v>
      </c>
      <c r="J191" s="2" t="s">
        <v>187</v>
      </c>
      <c r="K191" s="2" t="s">
        <v>187</v>
      </c>
      <c r="L191" s="2" t="s">
        <v>6754</v>
      </c>
    </row>
    <row r="192" spans="1:12">
      <c r="A192" s="2" t="s">
        <v>1684</v>
      </c>
      <c r="B192" s="2" t="s">
        <v>1685</v>
      </c>
      <c r="C192" s="2" t="s">
        <v>1998</v>
      </c>
      <c r="D192" s="2" t="s">
        <v>6948</v>
      </c>
      <c r="E192" s="2" t="s">
        <v>1682</v>
      </c>
      <c r="G192" s="2" t="s">
        <v>187</v>
      </c>
      <c r="H192" s="2" t="s">
        <v>6748</v>
      </c>
      <c r="I192" s="2" t="s">
        <v>6735</v>
      </c>
      <c r="J192" s="2" t="s">
        <v>187</v>
      </c>
      <c r="K192" s="2" t="s">
        <v>187</v>
      </c>
      <c r="L192" s="2" t="s">
        <v>6748</v>
      </c>
    </row>
    <row r="193" spans="1:12">
      <c r="A193" s="2" t="s">
        <v>1713</v>
      </c>
      <c r="B193" s="2" t="s">
        <v>1714</v>
      </c>
      <c r="C193" s="2" t="s">
        <v>1998</v>
      </c>
      <c r="D193" s="2" t="s">
        <v>6949</v>
      </c>
      <c r="E193" s="2" t="s">
        <v>1711</v>
      </c>
      <c r="G193" s="2" t="s">
        <v>187</v>
      </c>
      <c r="H193" s="2" t="s">
        <v>6748</v>
      </c>
      <c r="I193" s="2" t="s">
        <v>6735</v>
      </c>
      <c r="J193" s="2" t="s">
        <v>187</v>
      </c>
      <c r="K193" s="2" t="s">
        <v>187</v>
      </c>
      <c r="L193" s="2" t="s">
        <v>6748</v>
      </c>
    </row>
    <row r="194" spans="1:12">
      <c r="A194" s="2" t="s">
        <v>1785</v>
      </c>
      <c r="B194" s="2" t="s">
        <v>1675</v>
      </c>
      <c r="C194" s="2" t="s">
        <v>1998</v>
      </c>
      <c r="D194" s="2" t="s">
        <v>6950</v>
      </c>
      <c r="E194" s="2" t="s">
        <v>1783</v>
      </c>
      <c r="F194" s="2" t="s">
        <v>6951</v>
      </c>
      <c r="G194" s="2" t="s">
        <v>187</v>
      </c>
      <c r="H194" s="2" t="s">
        <v>6754</v>
      </c>
      <c r="I194" s="2" t="s">
        <v>6735</v>
      </c>
      <c r="J194" s="2" t="s">
        <v>187</v>
      </c>
      <c r="K194" s="2" t="s">
        <v>187</v>
      </c>
      <c r="L194" s="2" t="s">
        <v>6754</v>
      </c>
    </row>
    <row r="195" spans="1:12">
      <c r="A195" s="2" t="s">
        <v>1819</v>
      </c>
      <c r="B195" s="2" t="s">
        <v>1820</v>
      </c>
      <c r="C195" s="2" t="s">
        <v>1998</v>
      </c>
      <c r="D195" s="2" t="s">
        <v>6952</v>
      </c>
      <c r="E195" s="2" t="s">
        <v>1817</v>
      </c>
      <c r="G195" s="2" t="s">
        <v>187</v>
      </c>
      <c r="H195" s="2" t="s">
        <v>6779</v>
      </c>
      <c r="I195" s="2" t="s">
        <v>6735</v>
      </c>
      <c r="J195" s="2" t="s">
        <v>187</v>
      </c>
      <c r="K195" s="2" t="s">
        <v>187</v>
      </c>
      <c r="L195" s="2" t="s">
        <v>6779</v>
      </c>
    </row>
    <row r="196" spans="1:12">
      <c r="A196" s="2" t="s">
        <v>1864</v>
      </c>
      <c r="B196" s="2" t="s">
        <v>1865</v>
      </c>
      <c r="C196" s="2" t="s">
        <v>1998</v>
      </c>
      <c r="D196" s="2" t="s">
        <v>6953</v>
      </c>
      <c r="E196" s="2" t="s">
        <v>1862</v>
      </c>
      <c r="G196" s="2" t="s">
        <v>187</v>
      </c>
      <c r="H196" s="2" t="s">
        <v>6748</v>
      </c>
      <c r="I196" s="2" t="s">
        <v>6735</v>
      </c>
      <c r="J196" s="2" t="s">
        <v>187</v>
      </c>
      <c r="K196" s="2" t="s">
        <v>187</v>
      </c>
      <c r="L196" s="2" t="s">
        <v>6748</v>
      </c>
    </row>
    <row r="197" spans="1:12">
      <c r="A197" s="2" t="s">
        <v>1883</v>
      </c>
      <c r="B197" s="2" t="s">
        <v>1884</v>
      </c>
      <c r="C197" s="2" t="s">
        <v>1998</v>
      </c>
      <c r="D197" s="2" t="s">
        <v>6954</v>
      </c>
      <c r="E197" s="2" t="s">
        <v>1881</v>
      </c>
      <c r="G197" s="2" t="s">
        <v>187</v>
      </c>
      <c r="H197" s="2" t="s">
        <v>6748</v>
      </c>
      <c r="I197" s="2" t="s">
        <v>6735</v>
      </c>
      <c r="J197" s="2" t="s">
        <v>187</v>
      </c>
      <c r="K197" s="2" t="s">
        <v>187</v>
      </c>
      <c r="L197" s="2" t="s">
        <v>6748</v>
      </c>
    </row>
    <row r="198" spans="1:12">
      <c r="A198" s="2" t="s">
        <v>1919</v>
      </c>
      <c r="B198" s="2" t="s">
        <v>1920</v>
      </c>
      <c r="C198" s="2" t="s">
        <v>1998</v>
      </c>
      <c r="D198" s="2" t="s">
        <v>6955</v>
      </c>
      <c r="E198" s="2" t="s">
        <v>1917</v>
      </c>
      <c r="G198" s="2" t="s">
        <v>187</v>
      </c>
      <c r="H198" s="2" t="s">
        <v>6748</v>
      </c>
      <c r="I198" s="2" t="s">
        <v>6735</v>
      </c>
      <c r="J198" s="2" t="s">
        <v>187</v>
      </c>
      <c r="K198" s="2" t="s">
        <v>187</v>
      </c>
      <c r="L198" s="2" t="s">
        <v>6748</v>
      </c>
    </row>
    <row r="199" spans="1:12">
      <c r="A199" s="2" t="s">
        <v>1937</v>
      </c>
      <c r="B199" s="2" t="s">
        <v>1938</v>
      </c>
      <c r="C199" s="2" t="s">
        <v>1998</v>
      </c>
      <c r="D199" s="2" t="s">
        <v>6956</v>
      </c>
      <c r="E199" s="2" t="s">
        <v>1935</v>
      </c>
      <c r="G199" s="2" t="s">
        <v>187</v>
      </c>
      <c r="H199" s="2" t="s">
        <v>6748</v>
      </c>
      <c r="I199" s="2" t="s">
        <v>6735</v>
      </c>
      <c r="J199" s="2" t="s">
        <v>187</v>
      </c>
      <c r="K199" s="2" t="s">
        <v>187</v>
      </c>
      <c r="L199" s="2" t="s">
        <v>6748</v>
      </c>
    </row>
    <row r="200" spans="1:12">
      <c r="A200" s="2" t="s">
        <v>1984</v>
      </c>
      <c r="B200" s="2" t="s">
        <v>1985</v>
      </c>
      <c r="C200" s="2" t="s">
        <v>1998</v>
      </c>
      <c r="D200" s="2" t="s">
        <v>6957</v>
      </c>
      <c r="E200" s="2" t="s">
        <v>1981</v>
      </c>
      <c r="G200" s="2" t="s">
        <v>187</v>
      </c>
      <c r="H200" s="2" t="s">
        <v>6754</v>
      </c>
      <c r="I200" s="2" t="s">
        <v>6735</v>
      </c>
      <c r="J200" s="2" t="s">
        <v>187</v>
      </c>
      <c r="K200" s="2" t="s">
        <v>187</v>
      </c>
      <c r="L200" s="2" t="s">
        <v>6754</v>
      </c>
    </row>
    <row r="201" spans="1:12">
      <c r="A201" s="2" t="s">
        <v>2006</v>
      </c>
      <c r="B201" s="2" t="s">
        <v>2007</v>
      </c>
      <c r="C201" s="2" t="s">
        <v>1998</v>
      </c>
      <c r="D201" s="2" t="s">
        <v>6958</v>
      </c>
      <c r="E201" s="2" t="s">
        <v>2004</v>
      </c>
      <c r="F201" s="2" t="s">
        <v>1998</v>
      </c>
      <c r="G201" s="2" t="s">
        <v>187</v>
      </c>
      <c r="H201" s="2" t="s">
        <v>6748</v>
      </c>
      <c r="I201" s="2" t="s">
        <v>6735</v>
      </c>
      <c r="J201" s="2" t="s">
        <v>187</v>
      </c>
      <c r="K201" s="2" t="s">
        <v>187</v>
      </c>
      <c r="L201" s="2" t="s">
        <v>6748</v>
      </c>
    </row>
    <row r="202" spans="1:12">
      <c r="A202" s="2" t="s">
        <v>2023</v>
      </c>
      <c r="B202" s="2" t="s">
        <v>2024</v>
      </c>
      <c r="C202" s="2" t="s">
        <v>1998</v>
      </c>
      <c r="D202" s="2" t="s">
        <v>6959</v>
      </c>
      <c r="E202" s="2" t="s">
        <v>2021</v>
      </c>
      <c r="G202" s="2" t="s">
        <v>187</v>
      </c>
      <c r="H202" s="2" t="s">
        <v>6748</v>
      </c>
      <c r="I202" s="2" t="s">
        <v>6735</v>
      </c>
      <c r="J202" s="2" t="s">
        <v>187</v>
      </c>
      <c r="K202" s="2" t="s">
        <v>187</v>
      </c>
      <c r="L202" s="2" t="s">
        <v>6748</v>
      </c>
    </row>
    <row r="203" spans="1:12">
      <c r="A203" s="2" t="s">
        <v>2052</v>
      </c>
      <c r="B203" s="2" t="s">
        <v>2052</v>
      </c>
      <c r="C203" s="2" t="s">
        <v>1998</v>
      </c>
      <c r="D203" s="2" t="s">
        <v>6960</v>
      </c>
      <c r="E203" s="2" t="s">
        <v>2049</v>
      </c>
      <c r="G203" s="2" t="s">
        <v>187</v>
      </c>
      <c r="H203" s="2" t="s">
        <v>6748</v>
      </c>
      <c r="I203" s="2" t="s">
        <v>6735</v>
      </c>
      <c r="J203" s="2" t="s">
        <v>187</v>
      </c>
      <c r="K203" s="2" t="s">
        <v>187</v>
      </c>
      <c r="L203" s="2" t="s">
        <v>6748</v>
      </c>
    </row>
    <row r="204" spans="1:12">
      <c r="A204" s="2" t="s">
        <v>2109</v>
      </c>
      <c r="B204" s="2" t="s">
        <v>2109</v>
      </c>
      <c r="C204" s="2" t="s">
        <v>1998</v>
      </c>
      <c r="D204" s="2" t="s">
        <v>6961</v>
      </c>
      <c r="E204" s="2" t="s">
        <v>2106</v>
      </c>
      <c r="G204" s="2" t="s">
        <v>187</v>
      </c>
      <c r="H204" s="2" t="s">
        <v>6748</v>
      </c>
      <c r="I204" s="2" t="s">
        <v>6735</v>
      </c>
      <c r="J204" s="2" t="s">
        <v>187</v>
      </c>
      <c r="K204" s="2" t="s">
        <v>187</v>
      </c>
      <c r="L204" s="2" t="s">
        <v>6748</v>
      </c>
    </row>
    <row r="205" spans="1:12">
      <c r="A205" s="2" t="s">
        <v>2128</v>
      </c>
      <c r="B205" s="2" t="s">
        <v>2129</v>
      </c>
      <c r="C205" s="2" t="s">
        <v>1998</v>
      </c>
      <c r="D205" s="2" t="s">
        <v>6962</v>
      </c>
      <c r="E205" s="2" t="s">
        <v>2126</v>
      </c>
      <c r="G205" s="2" t="s">
        <v>187</v>
      </c>
      <c r="H205" s="2" t="s">
        <v>6748</v>
      </c>
      <c r="I205" s="2" t="s">
        <v>6735</v>
      </c>
      <c r="J205" s="2" t="s">
        <v>187</v>
      </c>
      <c r="K205" s="2" t="s">
        <v>187</v>
      </c>
      <c r="L205" s="2" t="s">
        <v>6748</v>
      </c>
    </row>
    <row r="206" spans="1:12">
      <c r="A206" s="2" t="s">
        <v>2143</v>
      </c>
      <c r="B206" s="2" t="s">
        <v>2144</v>
      </c>
      <c r="C206" s="2" t="s">
        <v>1998</v>
      </c>
      <c r="D206" s="2" t="s">
        <v>6963</v>
      </c>
      <c r="E206" s="2" t="s">
        <v>2141</v>
      </c>
      <c r="G206" s="2" t="s">
        <v>187</v>
      </c>
      <c r="H206" s="2" t="s">
        <v>6748</v>
      </c>
      <c r="I206" s="2" t="s">
        <v>6735</v>
      </c>
      <c r="J206" s="2" t="s">
        <v>187</v>
      </c>
      <c r="K206" s="2" t="s">
        <v>187</v>
      </c>
      <c r="L206" s="2" t="s">
        <v>6748</v>
      </c>
    </row>
    <row r="207" spans="1:12">
      <c r="A207" s="2" t="s">
        <v>2182</v>
      </c>
      <c r="B207" s="2" t="s">
        <v>2182</v>
      </c>
      <c r="C207" s="2" t="s">
        <v>1998</v>
      </c>
      <c r="D207" s="2" t="s">
        <v>6964</v>
      </c>
      <c r="E207" s="2" t="s">
        <v>2179</v>
      </c>
      <c r="G207" s="2" t="s">
        <v>187</v>
      </c>
      <c r="H207" s="2" t="s">
        <v>6748</v>
      </c>
      <c r="I207" s="2" t="s">
        <v>6735</v>
      </c>
      <c r="J207" s="2" t="s">
        <v>187</v>
      </c>
      <c r="K207" s="2" t="s">
        <v>187</v>
      </c>
      <c r="L207" s="2" t="s">
        <v>6748</v>
      </c>
    </row>
    <row r="208" spans="1:12">
      <c r="A208" s="2" t="s">
        <v>2215</v>
      </c>
      <c r="B208" s="2" t="s">
        <v>2216</v>
      </c>
      <c r="C208" s="2" t="s">
        <v>1998</v>
      </c>
      <c r="D208" s="2" t="s">
        <v>6965</v>
      </c>
      <c r="E208" s="2" t="s">
        <v>2212</v>
      </c>
      <c r="G208" s="2" t="s">
        <v>187</v>
      </c>
      <c r="H208" s="2" t="s">
        <v>6748</v>
      </c>
      <c r="I208" s="2" t="s">
        <v>6735</v>
      </c>
      <c r="J208" s="2" t="s">
        <v>187</v>
      </c>
      <c r="K208" s="2" t="s">
        <v>187</v>
      </c>
      <c r="L208" s="2" t="s">
        <v>6748</v>
      </c>
    </row>
    <row r="209" spans="1:12">
      <c r="A209" s="2" t="s">
        <v>2249</v>
      </c>
      <c r="B209" s="2" t="s">
        <v>2249</v>
      </c>
      <c r="C209" s="2" t="s">
        <v>1998</v>
      </c>
      <c r="D209" s="2" t="s">
        <v>6966</v>
      </c>
      <c r="E209" s="2" t="s">
        <v>2247</v>
      </c>
      <c r="G209" s="2" t="s">
        <v>187</v>
      </c>
      <c r="H209" s="2" t="s">
        <v>6748</v>
      </c>
      <c r="I209" s="2" t="s">
        <v>6735</v>
      </c>
      <c r="J209" s="2" t="s">
        <v>187</v>
      </c>
      <c r="K209" s="2" t="s">
        <v>187</v>
      </c>
      <c r="L209" s="2" t="s">
        <v>6748</v>
      </c>
    </row>
    <row r="210" spans="1:12">
      <c r="A210" s="2" t="s">
        <v>2396</v>
      </c>
      <c r="B210" s="2" t="s">
        <v>2396</v>
      </c>
      <c r="C210" s="2" t="s">
        <v>1998</v>
      </c>
      <c r="D210" s="2" t="s">
        <v>6967</v>
      </c>
      <c r="E210" s="2" t="s">
        <v>2394</v>
      </c>
      <c r="G210" s="2" t="s">
        <v>188</v>
      </c>
      <c r="J210" s="2" t="s">
        <v>188</v>
      </c>
      <c r="K210" s="2" t="s">
        <v>188</v>
      </c>
    </row>
    <row r="211" spans="1:12">
      <c r="A211" s="2" t="s">
        <v>737</v>
      </c>
      <c r="B211" s="2" t="s">
        <v>738</v>
      </c>
      <c r="C211" s="2" t="s">
        <v>1998</v>
      </c>
      <c r="D211" s="2" t="s">
        <v>6968</v>
      </c>
      <c r="E211" s="2" t="s">
        <v>734</v>
      </c>
      <c r="G211" s="2" t="s">
        <v>187</v>
      </c>
      <c r="H211" s="2" t="s">
        <v>6748</v>
      </c>
      <c r="I211" s="2" t="s">
        <v>6735</v>
      </c>
      <c r="J211" s="2" t="s">
        <v>187</v>
      </c>
      <c r="K211" s="2" t="s">
        <v>187</v>
      </c>
      <c r="L211" s="2" t="s">
        <v>6748</v>
      </c>
    </row>
    <row r="212" spans="1:12">
      <c r="A212" s="2" t="s">
        <v>702</v>
      </c>
      <c r="B212" s="2" t="s">
        <v>703</v>
      </c>
      <c r="C212" s="2" t="s">
        <v>1998</v>
      </c>
      <c r="D212" s="2" t="s">
        <v>6969</v>
      </c>
      <c r="E212" s="2" t="s">
        <v>699</v>
      </c>
      <c r="G212" s="2" t="s">
        <v>187</v>
      </c>
      <c r="H212" s="2" t="s">
        <v>6754</v>
      </c>
      <c r="I212" s="2" t="s">
        <v>6735</v>
      </c>
      <c r="J212" s="2" t="s">
        <v>187</v>
      </c>
      <c r="K212" s="2" t="s">
        <v>187</v>
      </c>
      <c r="L212" s="2" t="s">
        <v>6754</v>
      </c>
    </row>
    <row r="213" spans="1:12">
      <c r="A213" s="2" t="s">
        <v>386</v>
      </c>
      <c r="B213" s="2" t="s">
        <v>610</v>
      </c>
      <c r="C213" s="2" t="s">
        <v>1998</v>
      </c>
      <c r="D213" s="2" t="s">
        <v>6970</v>
      </c>
      <c r="E213" s="2" t="s">
        <v>608</v>
      </c>
      <c r="F213" s="2" t="s">
        <v>579</v>
      </c>
      <c r="G213" s="2" t="s">
        <v>187</v>
      </c>
      <c r="H213" s="2" t="s">
        <v>6748</v>
      </c>
      <c r="I213" s="2" t="s">
        <v>6735</v>
      </c>
      <c r="J213" s="2" t="s">
        <v>187</v>
      </c>
      <c r="K213" s="2" t="s">
        <v>187</v>
      </c>
      <c r="L213" s="2" t="s">
        <v>6748</v>
      </c>
    </row>
    <row r="214" spans="1:12">
      <c r="A214" s="2" t="s">
        <v>601</v>
      </c>
      <c r="B214" s="2" t="s">
        <v>602</v>
      </c>
      <c r="C214" s="2" t="s">
        <v>1998</v>
      </c>
      <c r="D214" s="2" t="s">
        <v>6971</v>
      </c>
      <c r="E214" s="2" t="s">
        <v>599</v>
      </c>
      <c r="G214" s="2" t="s">
        <v>187</v>
      </c>
      <c r="H214" s="2" t="s">
        <v>6743</v>
      </c>
      <c r="I214" s="2" t="s">
        <v>6735</v>
      </c>
      <c r="J214" s="2" t="s">
        <v>187</v>
      </c>
      <c r="K214" s="2" t="s">
        <v>187</v>
      </c>
      <c r="L214" s="2" t="s">
        <v>6743</v>
      </c>
    </row>
    <row r="215" spans="1:12">
      <c r="A215" s="2" t="s">
        <v>575</v>
      </c>
      <c r="B215" s="2" t="s">
        <v>576</v>
      </c>
      <c r="C215" s="2" t="s">
        <v>1998</v>
      </c>
      <c r="D215" s="2" t="s">
        <v>6972</v>
      </c>
      <c r="E215" s="2" t="s">
        <v>573</v>
      </c>
      <c r="G215" s="2" t="s">
        <v>187</v>
      </c>
      <c r="H215" s="2" t="s">
        <v>6748</v>
      </c>
      <c r="I215" s="2" t="s">
        <v>6735</v>
      </c>
      <c r="J215" s="2" t="s">
        <v>187</v>
      </c>
      <c r="K215" s="2" t="s">
        <v>187</v>
      </c>
      <c r="L215" s="2" t="s">
        <v>6748</v>
      </c>
    </row>
    <row r="216" spans="1:12">
      <c r="A216" s="2" t="s">
        <v>548</v>
      </c>
      <c r="B216" s="2" t="s">
        <v>549</v>
      </c>
      <c r="C216" s="2" t="s">
        <v>1998</v>
      </c>
      <c r="D216" s="2" t="s">
        <v>6973</v>
      </c>
      <c r="E216" s="2" t="s">
        <v>546</v>
      </c>
      <c r="G216" s="2" t="s">
        <v>187</v>
      </c>
      <c r="H216" s="2" t="s">
        <v>6734</v>
      </c>
      <c r="I216" s="2" t="s">
        <v>6735</v>
      </c>
      <c r="J216" s="2" t="s">
        <v>187</v>
      </c>
      <c r="K216" s="2" t="s">
        <v>187</v>
      </c>
      <c r="L216" s="2" t="s">
        <v>6734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Z1399"/>
  <sheetViews>
    <sheetView workbookViewId="0">
      <pane ySplit="1" topLeftCell="A2" activePane="bottomLeft" state="frozen"/>
      <selection pane="bottomLeft" activeCell="B3" sqref="B3"/>
    </sheetView>
  </sheetViews>
  <sheetFormatPr defaultColWidth="12.6640625" defaultRowHeight="15.75" customHeight="1"/>
  <cols>
    <col min="1" max="1" width="22.21875" customWidth="1"/>
    <col min="2" max="2" width="12.6640625" customWidth="1"/>
    <col min="3" max="3" width="31.21875" customWidth="1"/>
    <col min="4" max="4" width="16.21875" customWidth="1"/>
    <col min="5" max="5" width="18.6640625" customWidth="1"/>
    <col min="6" max="6" width="9.77734375" customWidth="1"/>
    <col min="7" max="7" width="11.6640625" customWidth="1"/>
    <col min="8" max="8" width="11.21875" customWidth="1"/>
    <col min="9" max="9" width="18.6640625" customWidth="1"/>
    <col min="10" max="10" width="15.88671875" customWidth="1"/>
    <col min="11" max="11" width="16.33203125" customWidth="1"/>
    <col min="12" max="12" width="16.88671875" customWidth="1"/>
    <col min="13" max="13" width="9.33203125" customWidth="1"/>
    <col min="14" max="14" width="13.21875" customWidth="1"/>
    <col min="15" max="15" width="8" customWidth="1"/>
    <col min="16" max="16" width="10.88671875" customWidth="1"/>
    <col min="17" max="17" width="12.21875" customWidth="1"/>
    <col min="18" max="18" width="18.33203125" customWidth="1"/>
    <col min="19" max="19" width="18" customWidth="1"/>
    <col min="20" max="20" width="18.77734375" customWidth="1"/>
    <col min="21" max="21" width="17.33203125" customWidth="1"/>
    <col min="22" max="22" width="15.109375" customWidth="1"/>
    <col min="23" max="23" width="19.88671875" customWidth="1"/>
    <col min="24" max="24" width="16.6640625" customWidth="1"/>
    <col min="25" max="25" width="18" customWidth="1"/>
    <col min="26" max="26" width="17.109375" customWidth="1"/>
    <col min="27" max="27" width="17.33203125" customWidth="1"/>
    <col min="28" max="28" width="14.109375" customWidth="1"/>
    <col min="29" max="29" width="9.21875" customWidth="1"/>
    <col min="30" max="30" width="19.77734375" customWidth="1"/>
    <col min="31" max="31" width="17.21875" customWidth="1"/>
    <col min="32" max="32" width="11" customWidth="1"/>
    <col min="33" max="33" width="12" customWidth="1"/>
    <col min="34" max="34" width="18.33203125" customWidth="1"/>
    <col min="35" max="35" width="23.88671875" customWidth="1"/>
    <col min="36" max="36" width="14.33203125" customWidth="1"/>
    <col min="37" max="37" width="18" customWidth="1"/>
    <col min="38" max="38" width="16.77734375" customWidth="1"/>
    <col min="39" max="40" width="17.6640625" customWidth="1"/>
    <col min="41" max="41" width="14.77734375" customWidth="1"/>
    <col min="42" max="42" width="12.88671875" customWidth="1"/>
    <col min="43" max="43" width="34.77734375" customWidth="1"/>
    <col min="44" max="44" width="18.21875" customWidth="1"/>
    <col min="45" max="45" width="14.6640625" customWidth="1"/>
    <col min="46" max="46" width="20.21875" customWidth="1"/>
    <col min="47" max="47" width="26.33203125" customWidth="1"/>
    <col min="48" max="48" width="19.21875" customWidth="1"/>
    <col min="49" max="49" width="22.6640625" customWidth="1"/>
    <col min="50" max="50" width="11.33203125" customWidth="1"/>
    <col min="51" max="51" width="28.44140625" customWidth="1"/>
    <col min="52" max="52" width="14" customWidth="1"/>
    <col min="53" max="53" width="14.44140625" customWidth="1"/>
    <col min="54" max="54" width="13.6640625" customWidth="1"/>
    <col min="55" max="55" width="20.44140625" customWidth="1"/>
    <col min="56" max="56" width="14.88671875" customWidth="1"/>
    <col min="57" max="57" width="26.88671875" customWidth="1"/>
    <col min="58" max="58" width="13.33203125" customWidth="1"/>
    <col min="59" max="59" width="18.109375" customWidth="1"/>
    <col min="60" max="60" width="18.44140625" customWidth="1"/>
    <col min="61" max="61" width="16.109375" customWidth="1"/>
    <col min="62" max="62" width="9.21875" customWidth="1"/>
    <col min="63" max="63" width="20.6640625" customWidth="1"/>
    <col min="64" max="64" width="12.88671875" customWidth="1"/>
    <col min="65" max="65" width="17.33203125" customWidth="1"/>
    <col min="66" max="66" width="18.21875" customWidth="1"/>
    <col min="67" max="67" width="18.6640625" customWidth="1"/>
    <col min="68" max="68" width="18.33203125" customWidth="1"/>
    <col min="69" max="69" width="17.77734375" customWidth="1"/>
    <col min="70" max="70" width="21.77734375" customWidth="1"/>
    <col min="71" max="71" width="20.109375" customWidth="1"/>
    <col min="72" max="72" width="19.88671875" customWidth="1"/>
    <col min="73" max="73" width="23.33203125" customWidth="1"/>
    <col min="74" max="74" width="19.44140625" customWidth="1"/>
    <col min="75" max="75" width="15.109375" customWidth="1"/>
    <col min="76" max="76" width="19.21875" customWidth="1"/>
    <col min="77" max="77" width="35.109375" customWidth="1"/>
    <col min="78" max="78" width="24.77734375" customWidth="1"/>
    <col min="79" max="79" width="19.88671875" customWidth="1"/>
    <col min="80" max="80" width="10.88671875" customWidth="1"/>
    <col min="81" max="81" width="27.109375" customWidth="1"/>
    <col min="82" max="82" width="21.77734375" customWidth="1"/>
    <col min="83" max="83" width="13.109375" customWidth="1"/>
    <col min="84" max="84" width="14.88671875" customWidth="1"/>
    <col min="85" max="85" width="21.109375" customWidth="1"/>
    <col min="86" max="86" width="17.6640625" customWidth="1"/>
    <col min="87" max="87" width="19.21875" customWidth="1"/>
    <col min="88" max="88" width="22.21875" customWidth="1"/>
    <col min="89" max="89" width="23.33203125" customWidth="1"/>
    <col min="90" max="90" width="19.77734375" customWidth="1"/>
    <col min="91" max="91" width="18.44140625" customWidth="1"/>
    <col min="92" max="92" width="18.33203125" customWidth="1"/>
    <col min="93" max="93" width="12.77734375" customWidth="1"/>
    <col min="94" max="94" width="13.88671875" customWidth="1"/>
    <col min="95" max="95" width="16.21875" customWidth="1"/>
    <col min="96" max="96" width="14.21875" customWidth="1"/>
    <col min="97" max="98" width="18.88671875" customWidth="1"/>
    <col min="99" max="99" width="13.21875" customWidth="1"/>
    <col min="100" max="101" width="15.33203125" customWidth="1"/>
    <col min="102" max="102" width="16.6640625" customWidth="1"/>
    <col min="103" max="103" width="18.33203125" customWidth="1"/>
    <col min="104" max="104" width="18.21875" customWidth="1"/>
    <col min="105" max="105" width="19.77734375" customWidth="1"/>
    <col min="106" max="106" width="19.21875" customWidth="1"/>
    <col min="107" max="107" width="19.6640625" customWidth="1"/>
    <col min="108" max="108" width="17.88671875" customWidth="1"/>
    <col min="109" max="109" width="20.77734375" customWidth="1"/>
    <col min="110" max="110" width="18.88671875" customWidth="1"/>
    <col min="111" max="111" width="15.33203125" customWidth="1"/>
    <col min="112" max="112" width="21" customWidth="1"/>
    <col min="113" max="113" width="18.88671875" customWidth="1"/>
    <col min="114" max="114" width="12.6640625" customWidth="1"/>
    <col min="115" max="115" width="33.77734375" customWidth="1"/>
    <col min="116" max="116" width="17" customWidth="1"/>
    <col min="117" max="117" width="20.21875" customWidth="1"/>
    <col min="118" max="118" width="15" customWidth="1"/>
    <col min="119" max="119" width="19.88671875" customWidth="1"/>
    <col min="120" max="120" width="18.109375" customWidth="1"/>
    <col min="121" max="121" width="19.6640625" customWidth="1"/>
    <col min="122" max="122" width="12.77734375" customWidth="1"/>
    <col min="123" max="123" width="15.33203125" customWidth="1"/>
    <col min="124" max="135" width="9.44140625" customWidth="1"/>
    <col min="136" max="136" width="18.21875" customWidth="1"/>
    <col min="137" max="137" width="36.109375" customWidth="1"/>
    <col min="138" max="138" width="21.77734375" customWidth="1"/>
    <col min="139" max="139" width="29.88671875" customWidth="1"/>
    <col min="140" max="140" width="19.33203125" customWidth="1"/>
    <col min="141" max="141" width="17.44140625" customWidth="1"/>
    <col min="142" max="142" width="17.33203125" customWidth="1"/>
    <col min="143" max="143" width="14.77734375" customWidth="1"/>
    <col min="144" max="144" width="18.6640625" customWidth="1"/>
    <col min="145" max="145" width="15.44140625" customWidth="1"/>
    <col min="146" max="146" width="17.6640625" customWidth="1"/>
    <col min="147" max="147" width="14" customWidth="1"/>
    <col min="148" max="148" width="21.44140625" customWidth="1"/>
    <col min="149" max="149" width="17.88671875" customWidth="1"/>
    <col min="150" max="150" width="12.21875" customWidth="1"/>
    <col min="151" max="151" width="21.6640625" customWidth="1"/>
    <col min="152" max="152" width="16.77734375" customWidth="1"/>
    <col min="153" max="153" width="26.109375" customWidth="1"/>
    <col min="154" max="154" width="18.33203125" customWidth="1"/>
    <col min="155" max="155" width="27.77734375" customWidth="1"/>
    <col min="156" max="156" width="12" customWidth="1"/>
    <col min="157" max="157" width="42.21875" customWidth="1"/>
    <col min="158" max="158" width="21.33203125" customWidth="1"/>
    <col min="159" max="159" width="18" customWidth="1"/>
    <col min="160" max="160" width="31.21875" customWidth="1"/>
    <col min="161" max="161" width="31.88671875" customWidth="1"/>
    <col min="162" max="162" width="12.77734375" customWidth="1"/>
    <col min="163" max="163" width="38" customWidth="1"/>
    <col min="164" max="164" width="20.88671875" customWidth="1"/>
    <col min="165" max="165" width="17.88671875" customWidth="1"/>
    <col min="166" max="166" width="19" customWidth="1"/>
    <col min="167" max="167" width="16.77734375" customWidth="1"/>
    <col min="168" max="168" width="13.109375" customWidth="1"/>
    <col min="169" max="169" width="18.44140625" customWidth="1"/>
    <col min="170" max="170" width="21.109375" customWidth="1"/>
    <col min="171" max="171" width="26.44140625" customWidth="1"/>
    <col min="172" max="172" width="13.33203125" customWidth="1"/>
    <col min="173" max="173" width="33.21875" customWidth="1"/>
    <col min="174" max="174" width="64" customWidth="1"/>
    <col min="175" max="175" width="16.77734375" customWidth="1"/>
    <col min="176" max="180" width="15.44140625" customWidth="1"/>
    <col min="181" max="181" width="39.44140625" customWidth="1"/>
    <col min="182" max="182" width="15.44140625" customWidth="1"/>
  </cols>
  <sheetData>
    <row r="1" spans="1:182">
      <c r="A1" s="7" t="s">
        <v>6974</v>
      </c>
      <c r="B1" s="8" t="s">
        <v>1</v>
      </c>
      <c r="C1" s="8" t="s">
        <v>2</v>
      </c>
      <c r="D1" s="7" t="s">
        <v>6975</v>
      </c>
      <c r="E1" s="7" t="s">
        <v>6976</v>
      </c>
      <c r="F1" s="7" t="s">
        <v>6977</v>
      </c>
      <c r="G1" s="7" t="s">
        <v>6978</v>
      </c>
      <c r="H1" s="7" t="s">
        <v>6979</v>
      </c>
      <c r="I1" s="7" t="s">
        <v>6980</v>
      </c>
      <c r="J1" s="7" t="s">
        <v>6981</v>
      </c>
      <c r="K1" s="7" t="s">
        <v>6982</v>
      </c>
      <c r="L1" s="7" t="s">
        <v>6983</v>
      </c>
      <c r="M1" s="7" t="s">
        <v>6984</v>
      </c>
      <c r="N1" s="7" t="s">
        <v>6985</v>
      </c>
      <c r="O1" s="7" t="s">
        <v>6986</v>
      </c>
      <c r="P1" s="7" t="s">
        <v>6987</v>
      </c>
      <c r="Q1" s="7" t="s">
        <v>6988</v>
      </c>
      <c r="R1" s="7" t="s">
        <v>6989</v>
      </c>
      <c r="S1" s="7" t="s">
        <v>6990</v>
      </c>
      <c r="T1" s="7" t="s">
        <v>6991</v>
      </c>
      <c r="U1" s="7" t="s">
        <v>6992</v>
      </c>
      <c r="V1" s="9" t="s">
        <v>21</v>
      </c>
      <c r="W1" s="9" t="s">
        <v>22</v>
      </c>
      <c r="X1" s="10" t="s">
        <v>6993</v>
      </c>
      <c r="Y1" s="11" t="s">
        <v>6994</v>
      </c>
      <c r="Z1" s="11" t="s">
        <v>6995</v>
      </c>
      <c r="AA1" s="11" t="s">
        <v>6996</v>
      </c>
      <c r="AB1" s="7" t="s">
        <v>6997</v>
      </c>
      <c r="AC1" s="7" t="s">
        <v>193</v>
      </c>
      <c r="AD1" s="7" t="s">
        <v>6998</v>
      </c>
      <c r="AE1" s="7" t="s">
        <v>6999</v>
      </c>
      <c r="AF1" s="7" t="s">
        <v>7000</v>
      </c>
      <c r="AG1" s="7" t="s">
        <v>7001</v>
      </c>
      <c r="AH1" s="7" t="s">
        <v>7002</v>
      </c>
      <c r="AI1" s="7" t="s">
        <v>7003</v>
      </c>
      <c r="AJ1" s="7" t="s">
        <v>7004</v>
      </c>
      <c r="AK1" s="7" t="s">
        <v>7005</v>
      </c>
      <c r="AL1" s="7" t="s">
        <v>7006</v>
      </c>
      <c r="AM1" s="7" t="s">
        <v>7007</v>
      </c>
      <c r="AN1" s="7" t="s">
        <v>7008</v>
      </c>
      <c r="AO1" s="7" t="s">
        <v>7009</v>
      </c>
      <c r="AP1" s="9" t="s">
        <v>41</v>
      </c>
      <c r="AQ1" s="9" t="s">
        <v>42</v>
      </c>
      <c r="AR1" s="11" t="s">
        <v>7010</v>
      </c>
      <c r="AS1" s="11" t="s">
        <v>7011</v>
      </c>
      <c r="AT1" s="11" t="s">
        <v>7012</v>
      </c>
      <c r="AU1" s="11" t="s">
        <v>7013</v>
      </c>
      <c r="AV1" s="11" t="s">
        <v>7014</v>
      </c>
      <c r="AW1" s="11" t="s">
        <v>7015</v>
      </c>
      <c r="AX1" s="9" t="s">
        <v>49</v>
      </c>
      <c r="AY1" s="9" t="s">
        <v>50</v>
      </c>
      <c r="AZ1" s="7" t="s">
        <v>7016</v>
      </c>
      <c r="BA1" s="7" t="s">
        <v>7017</v>
      </c>
      <c r="BB1" s="7" t="s">
        <v>7018</v>
      </c>
      <c r="BC1" s="7" t="s">
        <v>7019</v>
      </c>
      <c r="BD1" s="7" t="s">
        <v>7020</v>
      </c>
      <c r="BE1" s="11" t="s">
        <v>7021</v>
      </c>
      <c r="BF1" s="7" t="s">
        <v>7022</v>
      </c>
      <c r="BG1" s="7" t="s">
        <v>7023</v>
      </c>
      <c r="BH1" s="7" t="s">
        <v>7024</v>
      </c>
      <c r="BI1" s="7" t="s">
        <v>7025</v>
      </c>
      <c r="BJ1" s="9" t="s">
        <v>61</v>
      </c>
      <c r="BK1" s="9" t="s">
        <v>62</v>
      </c>
      <c r="BL1" s="7" t="s">
        <v>7026</v>
      </c>
      <c r="BM1" s="7" t="s">
        <v>7027</v>
      </c>
      <c r="BN1" s="7" t="s">
        <v>7028</v>
      </c>
      <c r="BO1" s="7" t="s">
        <v>7029</v>
      </c>
      <c r="BP1" s="7" t="s">
        <v>7030</v>
      </c>
      <c r="BQ1" s="7" t="s">
        <v>7031</v>
      </c>
      <c r="BR1" s="7" t="s">
        <v>7032</v>
      </c>
      <c r="BS1" s="7" t="s">
        <v>7033</v>
      </c>
      <c r="BT1" s="7" t="s">
        <v>7034</v>
      </c>
      <c r="BU1" s="7" t="s">
        <v>7035</v>
      </c>
      <c r="BV1" s="7" t="s">
        <v>7036</v>
      </c>
      <c r="BW1" s="7" t="s">
        <v>7037</v>
      </c>
      <c r="BX1" s="7" t="s">
        <v>7038</v>
      </c>
      <c r="BY1" s="7" t="s">
        <v>7039</v>
      </c>
      <c r="BZ1" s="7" t="s">
        <v>7040</v>
      </c>
      <c r="CA1" s="7" t="s">
        <v>7041</v>
      </c>
      <c r="CB1" s="9" t="s">
        <v>79</v>
      </c>
      <c r="CC1" s="9" t="s">
        <v>80</v>
      </c>
      <c r="CD1" s="7" t="s">
        <v>7042</v>
      </c>
      <c r="CE1" s="7" t="s">
        <v>7043</v>
      </c>
      <c r="CF1" s="7" t="s">
        <v>7044</v>
      </c>
      <c r="CG1" s="7" t="s">
        <v>7045</v>
      </c>
      <c r="CH1" s="12" t="s">
        <v>7046</v>
      </c>
      <c r="CI1" s="12" t="s">
        <v>7047</v>
      </c>
      <c r="CJ1" s="12" t="s">
        <v>7048</v>
      </c>
      <c r="CK1" s="12" t="s">
        <v>7049</v>
      </c>
      <c r="CL1" s="12" t="s">
        <v>7050</v>
      </c>
      <c r="CM1" s="12" t="s">
        <v>7051</v>
      </c>
      <c r="CN1" s="7" t="s">
        <v>7052</v>
      </c>
      <c r="CO1" s="13" t="s">
        <v>7053</v>
      </c>
      <c r="CP1" s="13" t="s">
        <v>7054</v>
      </c>
      <c r="CQ1" s="13" t="s">
        <v>7055</v>
      </c>
      <c r="CR1" s="7" t="s">
        <v>7056</v>
      </c>
      <c r="CS1" s="7" t="s">
        <v>7057</v>
      </c>
      <c r="CT1" s="7" t="s">
        <v>7058</v>
      </c>
      <c r="CU1" s="7" t="s">
        <v>7059</v>
      </c>
      <c r="CV1" s="7" t="s">
        <v>7060</v>
      </c>
      <c r="CW1" s="7" t="s">
        <v>7061</v>
      </c>
      <c r="CX1" s="7" t="s">
        <v>7062</v>
      </c>
      <c r="CY1" s="11" t="s">
        <v>7063</v>
      </c>
      <c r="CZ1" s="11" t="s">
        <v>7064</v>
      </c>
      <c r="DA1" s="11" t="s">
        <v>7065</v>
      </c>
      <c r="DB1" s="11" t="s">
        <v>7066</v>
      </c>
      <c r="DC1" s="11" t="s">
        <v>7067</v>
      </c>
      <c r="DD1" s="11" t="s">
        <v>7068</v>
      </c>
      <c r="DE1" s="11" t="s">
        <v>7069</v>
      </c>
      <c r="DF1" s="11" t="s">
        <v>7070</v>
      </c>
      <c r="DG1" s="11" t="s">
        <v>7071</v>
      </c>
      <c r="DH1" s="11" t="s">
        <v>7072</v>
      </c>
      <c r="DI1" s="11" t="s">
        <v>7073</v>
      </c>
      <c r="DJ1" s="9" t="s">
        <v>113</v>
      </c>
      <c r="DK1" s="9" t="s">
        <v>114</v>
      </c>
      <c r="DL1" s="7" t="s">
        <v>7074</v>
      </c>
      <c r="DM1" s="7" t="s">
        <v>7075</v>
      </c>
      <c r="DN1" s="11" t="s">
        <v>7076</v>
      </c>
      <c r="DO1" s="11" t="s">
        <v>7077</v>
      </c>
      <c r="DP1" s="7" t="s">
        <v>7078</v>
      </c>
      <c r="DQ1" s="7" t="s">
        <v>7079</v>
      </c>
      <c r="DR1" s="7" t="s">
        <v>7080</v>
      </c>
      <c r="DS1" s="7" t="s">
        <v>7081</v>
      </c>
      <c r="DT1" s="7" t="s">
        <v>7082</v>
      </c>
      <c r="DU1" s="7" t="s">
        <v>7083</v>
      </c>
      <c r="DV1" s="7" t="s">
        <v>7084</v>
      </c>
      <c r="DW1" s="7" t="s">
        <v>7085</v>
      </c>
      <c r="DX1" s="7" t="s">
        <v>7086</v>
      </c>
      <c r="DY1" s="7" t="s">
        <v>7087</v>
      </c>
      <c r="DZ1" s="7" t="s">
        <v>7088</v>
      </c>
      <c r="EA1" s="7" t="s">
        <v>7089</v>
      </c>
      <c r="EB1" s="7" t="s">
        <v>7090</v>
      </c>
      <c r="EC1" s="7" t="s">
        <v>7091</v>
      </c>
      <c r="ED1" s="7" t="s">
        <v>7092</v>
      </c>
      <c r="EE1" s="7" t="s">
        <v>7093</v>
      </c>
      <c r="EF1" s="7" t="s">
        <v>7094</v>
      </c>
      <c r="EG1" s="7" t="s">
        <v>7095</v>
      </c>
      <c r="EH1" s="7" t="s">
        <v>136</v>
      </c>
      <c r="EI1" s="14" t="s">
        <v>137</v>
      </c>
      <c r="EJ1" s="7" t="s">
        <v>7096</v>
      </c>
      <c r="EK1" s="7" t="s">
        <v>7097</v>
      </c>
      <c r="EL1" s="7" t="s">
        <v>7098</v>
      </c>
      <c r="EM1" s="7" t="s">
        <v>7099</v>
      </c>
      <c r="EN1" s="7" t="s">
        <v>7100</v>
      </c>
      <c r="EO1" s="7" t="s">
        <v>7101</v>
      </c>
      <c r="EP1" s="7" t="s">
        <v>7102</v>
      </c>
      <c r="EQ1" s="7" t="s">
        <v>7103</v>
      </c>
      <c r="ER1" s="7" t="s">
        <v>7104</v>
      </c>
      <c r="ES1" s="14" t="s">
        <v>7105</v>
      </c>
      <c r="ET1" s="7" t="s">
        <v>7106</v>
      </c>
      <c r="EU1" s="7" t="s">
        <v>7107</v>
      </c>
      <c r="EV1" s="7" t="s">
        <v>7108</v>
      </c>
      <c r="EW1" s="7" t="s">
        <v>7109</v>
      </c>
      <c r="EX1" s="7" t="s">
        <v>7110</v>
      </c>
      <c r="EY1" s="7" t="s">
        <v>7111</v>
      </c>
      <c r="EZ1" s="7" t="s">
        <v>7112</v>
      </c>
      <c r="FA1" s="7" t="s">
        <v>7113</v>
      </c>
      <c r="FB1" s="7" t="s">
        <v>7114</v>
      </c>
      <c r="FC1" s="7" t="s">
        <v>7115</v>
      </c>
      <c r="FD1" s="7" t="s">
        <v>7116</v>
      </c>
      <c r="FE1" s="7" t="s">
        <v>7117</v>
      </c>
      <c r="FF1" s="9" t="s">
        <v>156</v>
      </c>
      <c r="FG1" s="9" t="s">
        <v>157</v>
      </c>
      <c r="FH1" s="7" t="s">
        <v>7118</v>
      </c>
      <c r="FI1" s="7" t="s">
        <v>7119</v>
      </c>
      <c r="FJ1" s="7" t="s">
        <v>7120</v>
      </c>
      <c r="FK1" s="7" t="s">
        <v>7121</v>
      </c>
      <c r="FL1" s="7" t="s">
        <v>7122</v>
      </c>
      <c r="FM1" s="7" t="s">
        <v>7123</v>
      </c>
      <c r="FN1" s="7" t="s">
        <v>7124</v>
      </c>
      <c r="FO1" s="7" t="s">
        <v>7125</v>
      </c>
      <c r="FP1" s="9" t="s">
        <v>166</v>
      </c>
      <c r="FQ1" s="9" t="s">
        <v>167</v>
      </c>
      <c r="FR1" s="7" t="s">
        <v>7126</v>
      </c>
      <c r="FS1" s="7" t="s">
        <v>7127</v>
      </c>
      <c r="FT1" s="10" t="s">
        <v>7128</v>
      </c>
      <c r="FU1" s="10" t="s">
        <v>7129</v>
      </c>
      <c r="FV1" s="10" t="s">
        <v>7130</v>
      </c>
      <c r="FW1" s="10" t="s">
        <v>7131</v>
      </c>
      <c r="FX1" s="7" t="s">
        <v>7132</v>
      </c>
      <c r="FY1" s="7" t="s">
        <v>7133</v>
      </c>
      <c r="FZ1" s="7" t="s">
        <v>175</v>
      </c>
    </row>
    <row r="2" spans="1:182">
      <c r="A2" s="7" t="s">
        <v>176</v>
      </c>
      <c r="D2" s="15">
        <v>46030.387430555558</v>
      </c>
      <c r="E2" s="7" t="s">
        <v>177</v>
      </c>
      <c r="F2" s="7" t="s">
        <v>7134</v>
      </c>
      <c r="G2" s="7" t="s">
        <v>7135</v>
      </c>
      <c r="H2" s="2" t="s">
        <v>180</v>
      </c>
      <c r="I2" s="7" t="s">
        <v>181</v>
      </c>
      <c r="J2" s="16" t="s">
        <v>7136</v>
      </c>
      <c r="K2" s="7" t="s">
        <v>181</v>
      </c>
      <c r="L2" s="2" t="s">
        <v>7137</v>
      </c>
      <c r="M2" s="7" t="s">
        <v>7138</v>
      </c>
      <c r="N2" s="7">
        <v>1997</v>
      </c>
      <c r="O2" s="7" t="s">
        <v>7139</v>
      </c>
      <c r="P2" s="7" t="s">
        <v>7140</v>
      </c>
      <c r="Q2" s="7" t="s">
        <v>7141</v>
      </c>
      <c r="R2" s="2" t="s">
        <v>7142</v>
      </c>
      <c r="S2" s="2">
        <v>12</v>
      </c>
      <c r="T2" s="2" t="s">
        <v>7143</v>
      </c>
      <c r="U2" s="2" t="s">
        <v>7143</v>
      </c>
      <c r="Y2" s="2">
        <v>65</v>
      </c>
      <c r="Z2" s="17">
        <v>0.92310000000000003</v>
      </c>
      <c r="AA2" s="2">
        <v>60</v>
      </c>
      <c r="AB2" s="10">
        <v>60</v>
      </c>
      <c r="AC2" s="10">
        <v>60</v>
      </c>
      <c r="AD2" s="10">
        <v>100</v>
      </c>
      <c r="AE2" s="10">
        <v>40</v>
      </c>
      <c r="AF2" s="10" t="s">
        <v>7142</v>
      </c>
      <c r="AG2" s="10" t="s">
        <v>7143</v>
      </c>
      <c r="AH2" s="10" t="s">
        <v>7143</v>
      </c>
      <c r="AI2" s="10"/>
      <c r="AJ2" s="10" t="s">
        <v>7143</v>
      </c>
      <c r="AK2" s="10" t="s">
        <v>7143</v>
      </c>
      <c r="AL2" s="10" t="s">
        <v>7143</v>
      </c>
      <c r="AM2" s="10" t="s">
        <v>7142</v>
      </c>
      <c r="AN2" s="10" t="s">
        <v>7143</v>
      </c>
      <c r="AO2" s="10" t="s">
        <v>7143</v>
      </c>
      <c r="AQ2" s="18"/>
      <c r="AR2" s="7">
        <v>0.6</v>
      </c>
      <c r="AS2" s="7">
        <v>2</v>
      </c>
      <c r="AT2" s="7">
        <v>1</v>
      </c>
      <c r="AU2" s="2" t="s">
        <v>7144</v>
      </c>
      <c r="AV2" s="2" t="s">
        <v>7144</v>
      </c>
      <c r="AW2" s="2" t="s">
        <v>7143</v>
      </c>
      <c r="AZ2" s="2" t="s">
        <v>7145</v>
      </c>
      <c r="BB2" s="2" t="s">
        <v>7146</v>
      </c>
      <c r="BC2" s="2" t="s">
        <v>7147</v>
      </c>
      <c r="BD2" s="2" t="s">
        <v>7142</v>
      </c>
      <c r="BE2" s="2" t="s">
        <v>7142</v>
      </c>
      <c r="BF2" s="2" t="s">
        <v>7148</v>
      </c>
      <c r="BG2" s="2" t="s">
        <v>7149</v>
      </c>
      <c r="BH2" s="2" t="s">
        <v>7150</v>
      </c>
      <c r="BI2" s="2" t="s">
        <v>7151</v>
      </c>
      <c r="BL2" s="2" t="s">
        <v>7152</v>
      </c>
      <c r="BM2" s="2" t="s">
        <v>7153</v>
      </c>
      <c r="BN2" s="2" t="s">
        <v>7154</v>
      </c>
      <c r="BO2" s="2" t="s">
        <v>7155</v>
      </c>
      <c r="BQ2" s="2" t="s">
        <v>7156</v>
      </c>
      <c r="BT2" s="2" t="s">
        <v>7157</v>
      </c>
      <c r="BV2" s="2" t="s">
        <v>7158</v>
      </c>
      <c r="BX2" s="2" t="s">
        <v>7143</v>
      </c>
      <c r="BZ2" s="2" t="s">
        <v>7159</v>
      </c>
      <c r="CE2" s="7">
        <v>1</v>
      </c>
      <c r="CF2" s="2">
        <v>100</v>
      </c>
      <c r="CM2" s="2">
        <v>100</v>
      </c>
      <c r="CO2" s="2">
        <v>100</v>
      </c>
      <c r="CR2" s="2" t="s">
        <v>7160</v>
      </c>
      <c r="CT2" s="2" t="s">
        <v>7143</v>
      </c>
      <c r="CU2" s="2" t="s">
        <v>7161</v>
      </c>
      <c r="CW2" s="2" t="s">
        <v>7162</v>
      </c>
      <c r="CY2" s="11" t="s">
        <v>7163</v>
      </c>
      <c r="CZ2" s="11" t="s">
        <v>7163</v>
      </c>
      <c r="DA2" s="11" t="s">
        <v>7164</v>
      </c>
      <c r="DB2" s="11" t="s">
        <v>7164</v>
      </c>
      <c r="DC2" s="11" t="s">
        <v>7164</v>
      </c>
      <c r="DD2" s="11" t="s">
        <v>7164</v>
      </c>
      <c r="DE2" s="11" t="s">
        <v>7164</v>
      </c>
      <c r="DF2" s="11" t="s">
        <v>7164</v>
      </c>
      <c r="DG2" s="11" t="s">
        <v>7164</v>
      </c>
      <c r="DH2" s="11" t="s">
        <v>7164</v>
      </c>
      <c r="DI2" s="11" t="s">
        <v>7164</v>
      </c>
      <c r="DL2" s="2" t="s">
        <v>7142</v>
      </c>
      <c r="DM2" s="2" t="s">
        <v>7142</v>
      </c>
      <c r="DN2" s="2" t="s">
        <v>7142</v>
      </c>
      <c r="DO2" s="2" t="s">
        <v>7142</v>
      </c>
      <c r="DP2" s="2" t="s">
        <v>7165</v>
      </c>
      <c r="DQ2" s="2" t="s">
        <v>7166</v>
      </c>
      <c r="DT2" s="2" t="s">
        <v>7165</v>
      </c>
      <c r="DU2" s="2" t="s">
        <v>7165</v>
      </c>
      <c r="DV2" s="2" t="s">
        <v>7165</v>
      </c>
      <c r="DW2" s="2" t="s">
        <v>7165</v>
      </c>
      <c r="DX2" s="2" t="s">
        <v>7165</v>
      </c>
      <c r="DY2" s="2" t="s">
        <v>7165</v>
      </c>
      <c r="DZ2" s="2" t="s">
        <v>7165</v>
      </c>
      <c r="EA2" s="2" t="s">
        <v>7165</v>
      </c>
      <c r="EB2" s="2" t="s">
        <v>7165</v>
      </c>
      <c r="EF2" s="2" t="s">
        <v>7167</v>
      </c>
      <c r="EJ2" s="2" t="s">
        <v>7168</v>
      </c>
      <c r="EK2" s="2" t="s">
        <v>7142</v>
      </c>
      <c r="EL2" s="2" t="s">
        <v>7142</v>
      </c>
      <c r="EM2" s="2" t="s">
        <v>7169</v>
      </c>
      <c r="EN2" s="2" t="s">
        <v>7170</v>
      </c>
      <c r="ER2" s="18" t="s">
        <v>7142</v>
      </c>
      <c r="ET2" s="2" t="s">
        <v>7143</v>
      </c>
      <c r="EV2" s="2" t="s">
        <v>7142</v>
      </c>
      <c r="EW2" s="2" t="s">
        <v>7171</v>
      </c>
      <c r="EX2" s="2" t="s">
        <v>7143</v>
      </c>
      <c r="FC2" s="2" t="s">
        <v>7172</v>
      </c>
      <c r="FD2" s="2" t="s">
        <v>7143</v>
      </c>
      <c r="FH2" s="2" t="s">
        <v>7173</v>
      </c>
      <c r="FJ2" s="2" t="s">
        <v>7142</v>
      </c>
      <c r="FK2" s="2" t="s">
        <v>7165</v>
      </c>
      <c r="FL2" s="2" t="s">
        <v>7174</v>
      </c>
      <c r="FN2" s="2" t="s">
        <v>7175</v>
      </c>
      <c r="FT2" s="7" t="s">
        <v>7176</v>
      </c>
      <c r="FU2" s="7" t="s">
        <v>7176</v>
      </c>
      <c r="FV2" s="7" t="s">
        <v>7176</v>
      </c>
      <c r="FW2" s="7" t="s">
        <v>7176</v>
      </c>
      <c r="FX2" s="7"/>
      <c r="FY2" s="7"/>
      <c r="FZ2" s="16" t="s">
        <v>7177</v>
      </c>
    </row>
    <row r="3" spans="1:182">
      <c r="A3" s="7" t="s">
        <v>220</v>
      </c>
      <c r="D3" s="15">
        <v>46030.399756944447</v>
      </c>
      <c r="E3" s="7" t="s">
        <v>177</v>
      </c>
      <c r="F3" s="7" t="s">
        <v>7134</v>
      </c>
      <c r="G3" s="7" t="s">
        <v>7135</v>
      </c>
      <c r="H3" s="2" t="s">
        <v>180</v>
      </c>
      <c r="I3" s="7" t="s">
        <v>221</v>
      </c>
      <c r="J3" s="16" t="s">
        <v>7178</v>
      </c>
      <c r="K3" s="7" t="s">
        <v>222</v>
      </c>
      <c r="L3" s="2" t="s">
        <v>7137</v>
      </c>
      <c r="M3" s="2" t="s">
        <v>7179</v>
      </c>
      <c r="N3" s="7">
        <v>1962</v>
      </c>
      <c r="O3" s="7" t="s">
        <v>7180</v>
      </c>
      <c r="P3" s="2" t="s">
        <v>7181</v>
      </c>
      <c r="Q3" s="2" t="s">
        <v>7182</v>
      </c>
      <c r="R3" s="2" t="s">
        <v>7143</v>
      </c>
      <c r="S3" s="2">
        <v>17</v>
      </c>
      <c r="T3" s="2" t="s">
        <v>7143</v>
      </c>
      <c r="U3" s="2" t="s">
        <v>7143</v>
      </c>
      <c r="Y3" s="2">
        <v>285</v>
      </c>
      <c r="Z3" s="17">
        <v>0.87719999999999998</v>
      </c>
      <c r="AA3" s="2">
        <v>250</v>
      </c>
      <c r="AB3" s="2">
        <v>250</v>
      </c>
      <c r="AC3" s="7">
        <v>250</v>
      </c>
      <c r="AD3" s="2">
        <v>350</v>
      </c>
      <c r="AE3" s="2">
        <v>100</v>
      </c>
      <c r="AF3" s="2" t="s">
        <v>7143</v>
      </c>
      <c r="AG3" s="2" t="s">
        <v>7143</v>
      </c>
      <c r="AH3" s="2" t="s">
        <v>7143</v>
      </c>
      <c r="AJ3" s="2" t="s">
        <v>7143</v>
      </c>
      <c r="AK3" s="2" t="s">
        <v>7143</v>
      </c>
      <c r="AL3" s="2" t="s">
        <v>7143</v>
      </c>
      <c r="AM3" s="2" t="s">
        <v>7142</v>
      </c>
      <c r="AN3" s="2" t="s">
        <v>7142</v>
      </c>
      <c r="AO3" s="2" t="s">
        <v>7143</v>
      </c>
      <c r="AR3" s="7">
        <v>1</v>
      </c>
      <c r="AS3" s="7">
        <v>2</v>
      </c>
      <c r="AT3" s="7">
        <v>4</v>
      </c>
      <c r="AU3" s="2" t="s">
        <v>7168</v>
      </c>
      <c r="AV3" s="2" t="s">
        <v>7168</v>
      </c>
      <c r="AW3" s="2" t="s">
        <v>7143</v>
      </c>
      <c r="AZ3" s="2" t="s">
        <v>7145</v>
      </c>
      <c r="BB3" s="2" t="s">
        <v>7146</v>
      </c>
      <c r="BC3" s="2" t="s">
        <v>7147</v>
      </c>
      <c r="BD3" s="2" t="s">
        <v>7142</v>
      </c>
      <c r="BE3" s="2" t="s">
        <v>7142</v>
      </c>
      <c r="BF3" s="2" t="s">
        <v>7148</v>
      </c>
      <c r="BG3" s="2" t="s">
        <v>7149</v>
      </c>
      <c r="BH3" s="2" t="s">
        <v>7150</v>
      </c>
      <c r="BI3" s="2" t="s">
        <v>7151</v>
      </c>
      <c r="BL3" s="2" t="s">
        <v>7152</v>
      </c>
      <c r="BM3" s="2" t="s">
        <v>7153</v>
      </c>
      <c r="BN3" s="2" t="s">
        <v>7154</v>
      </c>
      <c r="BO3" s="2" t="s">
        <v>7155</v>
      </c>
      <c r="BQ3" s="2" t="s">
        <v>7183</v>
      </c>
      <c r="BS3" s="2" t="s">
        <v>7142</v>
      </c>
      <c r="BT3" s="2" t="s">
        <v>7157</v>
      </c>
      <c r="BV3" s="2" t="s">
        <v>7184</v>
      </c>
      <c r="BX3" s="2" t="s">
        <v>7143</v>
      </c>
      <c r="BZ3" s="2" t="s">
        <v>7159</v>
      </c>
      <c r="CE3" s="7">
        <v>4</v>
      </c>
      <c r="CF3" s="2">
        <v>350</v>
      </c>
      <c r="CK3" s="2">
        <v>100</v>
      </c>
      <c r="CO3" s="2">
        <v>100</v>
      </c>
      <c r="CR3" s="2" t="s">
        <v>7185</v>
      </c>
      <c r="CT3" s="2" t="s">
        <v>7143</v>
      </c>
      <c r="CU3" s="2" t="s">
        <v>7161</v>
      </c>
      <c r="CW3" s="2" t="s">
        <v>7162</v>
      </c>
      <c r="CY3" s="2" t="s">
        <v>7163</v>
      </c>
      <c r="CZ3" s="2" t="s">
        <v>7163</v>
      </c>
      <c r="DA3" s="2" t="s">
        <v>7164</v>
      </c>
      <c r="DB3" s="2" t="s">
        <v>7164</v>
      </c>
      <c r="DC3" s="2" t="s">
        <v>7164</v>
      </c>
      <c r="DD3" s="2" t="s">
        <v>7164</v>
      </c>
      <c r="DE3" s="2" t="s">
        <v>7164</v>
      </c>
      <c r="DF3" s="2" t="s">
        <v>7163</v>
      </c>
      <c r="DG3" s="2" t="s">
        <v>7164</v>
      </c>
      <c r="DH3" s="2" t="s">
        <v>7164</v>
      </c>
      <c r="DI3" s="2" t="s">
        <v>7164</v>
      </c>
      <c r="DL3" s="2" t="s">
        <v>7142</v>
      </c>
      <c r="DM3" s="2" t="s">
        <v>7142</v>
      </c>
      <c r="DN3" s="2" t="s">
        <v>7142</v>
      </c>
      <c r="DO3" s="2" t="s">
        <v>7142</v>
      </c>
      <c r="DP3" s="2" t="s">
        <v>7165</v>
      </c>
      <c r="DQ3" s="2" t="s">
        <v>7166</v>
      </c>
      <c r="DT3" s="2" t="s">
        <v>7165</v>
      </c>
      <c r="DU3" s="2" t="s">
        <v>7165</v>
      </c>
      <c r="DV3" s="2" t="s">
        <v>7165</v>
      </c>
      <c r="DW3" s="2" t="s">
        <v>7165</v>
      </c>
      <c r="DX3" s="2" t="s">
        <v>7165</v>
      </c>
      <c r="DY3" s="2" t="s">
        <v>7165</v>
      </c>
      <c r="DZ3" s="2" t="s">
        <v>7165</v>
      </c>
      <c r="EA3" s="2" t="s">
        <v>7165</v>
      </c>
      <c r="EB3" s="2" t="s">
        <v>7165</v>
      </c>
      <c r="EF3" s="2" t="s">
        <v>7167</v>
      </c>
      <c r="EJ3" s="2" t="s">
        <v>7168</v>
      </c>
      <c r="EK3" s="2" t="s">
        <v>7142</v>
      </c>
      <c r="EL3" s="2" t="s">
        <v>7143</v>
      </c>
      <c r="EN3" s="2" t="s">
        <v>7170</v>
      </c>
      <c r="EP3" s="2" t="s">
        <v>7186</v>
      </c>
      <c r="ER3" s="2" t="s">
        <v>7142</v>
      </c>
      <c r="ET3" s="2" t="s">
        <v>7143</v>
      </c>
      <c r="EV3" s="2" t="s">
        <v>7142</v>
      </c>
      <c r="EW3" s="2" t="s">
        <v>7171</v>
      </c>
      <c r="EX3" s="2" t="s">
        <v>7142</v>
      </c>
      <c r="EY3" s="2" t="s">
        <v>7171</v>
      </c>
      <c r="FC3" s="2" t="s">
        <v>7172</v>
      </c>
      <c r="FD3" s="2" t="s">
        <v>7143</v>
      </c>
      <c r="FH3" s="2" t="s">
        <v>7173</v>
      </c>
      <c r="FJ3" s="2" t="s">
        <v>7142</v>
      </c>
      <c r="FK3" s="2" t="s">
        <v>7165</v>
      </c>
      <c r="FL3" s="2" t="s">
        <v>7187</v>
      </c>
      <c r="FN3" s="2" t="s">
        <v>7188</v>
      </c>
      <c r="FS3" s="10"/>
      <c r="FT3" s="2" t="s">
        <v>7189</v>
      </c>
      <c r="FU3" s="2" t="s">
        <v>7189</v>
      </c>
      <c r="FV3" s="2" t="s">
        <v>7189</v>
      </c>
      <c r="FW3" s="2" t="s">
        <v>7189</v>
      </c>
      <c r="FZ3" s="19" t="s">
        <v>7190</v>
      </c>
    </row>
    <row r="4" spans="1:182">
      <c r="A4" s="7" t="s">
        <v>234</v>
      </c>
      <c r="D4" s="15">
        <v>46030.591840277775</v>
      </c>
      <c r="E4" s="7" t="s">
        <v>177</v>
      </c>
      <c r="F4" s="7" t="s">
        <v>7134</v>
      </c>
      <c r="G4" s="7" t="s">
        <v>7135</v>
      </c>
      <c r="H4" s="2" t="s">
        <v>180</v>
      </c>
      <c r="I4" s="7" t="s">
        <v>235</v>
      </c>
      <c r="J4" s="16" t="s">
        <v>7191</v>
      </c>
      <c r="K4" s="7" t="s">
        <v>236</v>
      </c>
      <c r="L4" s="2" t="s">
        <v>7137</v>
      </c>
      <c r="M4" s="7" t="s">
        <v>7179</v>
      </c>
      <c r="N4" s="7">
        <v>2001</v>
      </c>
      <c r="O4" s="7" t="s">
        <v>7139</v>
      </c>
      <c r="P4" s="7" t="s">
        <v>7192</v>
      </c>
      <c r="Q4" s="2" t="s">
        <v>7182</v>
      </c>
      <c r="R4" s="2" t="s">
        <v>7143</v>
      </c>
      <c r="S4" s="2">
        <v>20</v>
      </c>
      <c r="T4" s="2" t="s">
        <v>7143</v>
      </c>
      <c r="U4" s="2" t="s">
        <v>7143</v>
      </c>
      <c r="Y4" s="2">
        <v>140</v>
      </c>
      <c r="Z4" s="17">
        <v>1</v>
      </c>
      <c r="AA4" s="2">
        <v>140</v>
      </c>
      <c r="AB4" s="2">
        <v>140</v>
      </c>
      <c r="AC4" s="7">
        <v>140</v>
      </c>
      <c r="AD4" s="2">
        <v>190</v>
      </c>
      <c r="AE4" s="2">
        <v>50</v>
      </c>
      <c r="AF4" s="2" t="s">
        <v>7142</v>
      </c>
      <c r="AG4" s="2" t="s">
        <v>7143</v>
      </c>
      <c r="AH4" s="2" t="s">
        <v>7143</v>
      </c>
      <c r="AJ4" s="2" t="s">
        <v>7143</v>
      </c>
      <c r="AK4" s="2" t="s">
        <v>7142</v>
      </c>
      <c r="AL4" s="2" t="s">
        <v>7143</v>
      </c>
      <c r="AM4" s="2" t="s">
        <v>7143</v>
      </c>
      <c r="AN4" s="2" t="s">
        <v>7143</v>
      </c>
      <c r="AO4" s="2" t="s">
        <v>7143</v>
      </c>
      <c r="AR4" s="7">
        <v>2.4</v>
      </c>
      <c r="AS4" s="7">
        <v>5</v>
      </c>
      <c r="AT4" s="7">
        <v>2</v>
      </c>
      <c r="AU4" s="2" t="s">
        <v>7193</v>
      </c>
      <c r="AV4" s="2" t="s">
        <v>7193</v>
      </c>
      <c r="AW4" s="2" t="s">
        <v>7143</v>
      </c>
      <c r="AZ4" s="2" t="s">
        <v>7194</v>
      </c>
      <c r="BB4" s="2" t="s">
        <v>7146</v>
      </c>
      <c r="BC4" s="2" t="s">
        <v>7147</v>
      </c>
      <c r="BD4" s="2" t="s">
        <v>7143</v>
      </c>
      <c r="BE4" s="2" t="s">
        <v>7142</v>
      </c>
      <c r="BF4" s="2" t="s">
        <v>7148</v>
      </c>
      <c r="BG4" s="2" t="s">
        <v>7149</v>
      </c>
      <c r="BH4" s="2" t="s">
        <v>7150</v>
      </c>
      <c r="BI4" s="2" t="s">
        <v>7151</v>
      </c>
      <c r="BL4" s="2" t="s">
        <v>7195</v>
      </c>
      <c r="BO4" s="2" t="s">
        <v>7155</v>
      </c>
      <c r="BQ4" s="2" t="s">
        <v>7156</v>
      </c>
      <c r="BS4" s="2" t="s">
        <v>7142</v>
      </c>
      <c r="BT4" s="2" t="s">
        <v>7196</v>
      </c>
      <c r="BV4" s="2" t="s">
        <v>7197</v>
      </c>
      <c r="BX4" s="2" t="s">
        <v>7143</v>
      </c>
      <c r="BZ4" s="2" t="s">
        <v>7159</v>
      </c>
      <c r="CE4" s="7">
        <v>2</v>
      </c>
      <c r="CF4" s="2">
        <v>190</v>
      </c>
      <c r="CM4" s="2">
        <v>100</v>
      </c>
      <c r="CO4" s="2">
        <v>100</v>
      </c>
      <c r="CR4" s="2" t="s">
        <v>7160</v>
      </c>
      <c r="CT4" s="2" t="s">
        <v>7143</v>
      </c>
      <c r="CU4" s="2" t="s">
        <v>7161</v>
      </c>
      <c r="CW4" s="2" t="s">
        <v>7162</v>
      </c>
      <c r="CY4" s="2" t="s">
        <v>7163</v>
      </c>
      <c r="CZ4" s="2" t="s">
        <v>7163</v>
      </c>
      <c r="DA4" s="2" t="s">
        <v>7164</v>
      </c>
      <c r="DB4" s="2" t="s">
        <v>7164</v>
      </c>
      <c r="DC4" s="2" t="s">
        <v>7164</v>
      </c>
      <c r="DD4" s="2" t="s">
        <v>7164</v>
      </c>
      <c r="DE4" s="2" t="s">
        <v>7164</v>
      </c>
      <c r="DF4" s="2" t="s">
        <v>7164</v>
      </c>
      <c r="DG4" s="2" t="s">
        <v>7164</v>
      </c>
      <c r="DH4" s="2" t="s">
        <v>7164</v>
      </c>
      <c r="DI4" s="2" t="s">
        <v>7164</v>
      </c>
      <c r="DL4" s="2" t="s">
        <v>7142</v>
      </c>
      <c r="DM4" s="2" t="s">
        <v>7142</v>
      </c>
      <c r="DN4" s="2" t="s">
        <v>7142</v>
      </c>
      <c r="DO4" s="2" t="s">
        <v>7142</v>
      </c>
      <c r="DP4" s="2" t="s">
        <v>7165</v>
      </c>
      <c r="DQ4" s="2" t="s">
        <v>7166</v>
      </c>
      <c r="DT4" s="2" t="s">
        <v>7165</v>
      </c>
      <c r="DU4" s="2" t="s">
        <v>7165</v>
      </c>
      <c r="DV4" s="2" t="s">
        <v>7165</v>
      </c>
      <c r="DW4" s="2" t="s">
        <v>7165</v>
      </c>
      <c r="DX4" s="2" t="s">
        <v>7165</v>
      </c>
      <c r="DY4" s="2" t="s">
        <v>7165</v>
      </c>
      <c r="DZ4" s="2" t="s">
        <v>7165</v>
      </c>
      <c r="EA4" s="2" t="s">
        <v>7165</v>
      </c>
      <c r="EB4" s="2" t="s">
        <v>7165</v>
      </c>
      <c r="EF4" s="2" t="s">
        <v>7167</v>
      </c>
      <c r="EJ4" s="2" t="s">
        <v>7144</v>
      </c>
      <c r="EK4" s="2" t="s">
        <v>7142</v>
      </c>
      <c r="EL4" s="2" t="s">
        <v>7143</v>
      </c>
      <c r="EP4" s="18" t="s">
        <v>7186</v>
      </c>
      <c r="EQ4" s="18"/>
      <c r="ER4" s="18" t="s">
        <v>7142</v>
      </c>
      <c r="ET4" s="2" t="s">
        <v>7143</v>
      </c>
      <c r="EV4" s="2" t="s">
        <v>7142</v>
      </c>
      <c r="EW4" s="2" t="s">
        <v>7171</v>
      </c>
      <c r="EX4" s="2" t="s">
        <v>7142</v>
      </c>
      <c r="EY4" s="2" t="s">
        <v>7171</v>
      </c>
      <c r="FC4" s="2" t="s">
        <v>7172</v>
      </c>
      <c r="FD4" s="2" t="s">
        <v>7143</v>
      </c>
      <c r="FH4" s="2" t="s">
        <v>7173</v>
      </c>
      <c r="FJ4" s="2" t="s">
        <v>7142</v>
      </c>
      <c r="FK4" s="2" t="s">
        <v>7165</v>
      </c>
      <c r="FL4" s="2" t="s">
        <v>7198</v>
      </c>
      <c r="FN4" s="2" t="s">
        <v>7175</v>
      </c>
      <c r="FS4" s="10"/>
      <c r="FT4" s="2" t="s">
        <v>7189</v>
      </c>
      <c r="FU4" s="2" t="s">
        <v>7189</v>
      </c>
      <c r="FV4" s="2" t="s">
        <v>7189</v>
      </c>
      <c r="FW4" s="2" t="s">
        <v>7189</v>
      </c>
      <c r="FZ4" s="19" t="s">
        <v>7199</v>
      </c>
    </row>
    <row r="5" spans="1:182">
      <c r="A5" s="7" t="s">
        <v>244</v>
      </c>
      <c r="D5" s="15">
        <v>46030.60796296296</v>
      </c>
      <c r="E5" s="7" t="s">
        <v>177</v>
      </c>
      <c r="F5" s="7" t="s">
        <v>7134</v>
      </c>
      <c r="G5" s="7" t="s">
        <v>7135</v>
      </c>
      <c r="H5" s="2" t="s">
        <v>180</v>
      </c>
      <c r="I5" s="7" t="s">
        <v>245</v>
      </c>
      <c r="J5" s="16" t="s">
        <v>7200</v>
      </c>
      <c r="K5" s="7" t="s">
        <v>246</v>
      </c>
      <c r="L5" s="2" t="s">
        <v>7137</v>
      </c>
      <c r="M5" s="7" t="s">
        <v>7179</v>
      </c>
      <c r="N5" s="2">
        <v>1995</v>
      </c>
      <c r="O5" s="7" t="s">
        <v>7139</v>
      </c>
      <c r="P5" s="2" t="s">
        <v>7181</v>
      </c>
      <c r="Q5" s="2" t="s">
        <v>7182</v>
      </c>
      <c r="R5" s="2" t="s">
        <v>7143</v>
      </c>
      <c r="S5" s="2">
        <v>5</v>
      </c>
      <c r="T5" s="2" t="s">
        <v>7143</v>
      </c>
      <c r="U5" s="2" t="s">
        <v>7143</v>
      </c>
      <c r="Y5" s="2">
        <v>600</v>
      </c>
      <c r="Z5" s="17">
        <v>1</v>
      </c>
      <c r="AA5" s="2">
        <v>600</v>
      </c>
      <c r="AB5" s="2">
        <v>600</v>
      </c>
      <c r="AC5" s="7">
        <v>600</v>
      </c>
      <c r="AD5" s="2">
        <v>900</v>
      </c>
      <c r="AE5" s="2">
        <v>300</v>
      </c>
      <c r="AF5" s="2" t="s">
        <v>7143</v>
      </c>
      <c r="AG5" s="2" t="s">
        <v>7143</v>
      </c>
      <c r="AH5" s="2" t="s">
        <v>7143</v>
      </c>
      <c r="AJ5" s="2" t="s">
        <v>7143</v>
      </c>
      <c r="AK5" s="2" t="s">
        <v>7143</v>
      </c>
      <c r="AL5" s="2" t="s">
        <v>7143</v>
      </c>
      <c r="AM5" s="2" t="s">
        <v>7143</v>
      </c>
      <c r="AN5" s="2" t="s">
        <v>7143</v>
      </c>
      <c r="AO5" s="2" t="s">
        <v>7143</v>
      </c>
      <c r="AR5" s="7">
        <v>3.95</v>
      </c>
      <c r="AS5" s="7">
        <v>4</v>
      </c>
      <c r="AT5" s="7">
        <v>9.1</v>
      </c>
      <c r="AU5" s="2" t="s">
        <v>7144</v>
      </c>
      <c r="AV5" s="2" t="s">
        <v>7144</v>
      </c>
      <c r="AW5" s="2" t="s">
        <v>7143</v>
      </c>
      <c r="AZ5" s="2" t="s">
        <v>7201</v>
      </c>
      <c r="BB5" s="2" t="s">
        <v>7146</v>
      </c>
      <c r="BC5" s="2" t="s">
        <v>7147</v>
      </c>
      <c r="BD5" s="2" t="s">
        <v>7142</v>
      </c>
      <c r="BE5" s="2" t="s">
        <v>7142</v>
      </c>
      <c r="BF5" s="2" t="s">
        <v>7148</v>
      </c>
      <c r="BG5" s="2" t="s">
        <v>7149</v>
      </c>
      <c r="BH5" s="2" t="s">
        <v>7150</v>
      </c>
      <c r="BI5" s="2" t="s">
        <v>7151</v>
      </c>
      <c r="BL5" s="2" t="s">
        <v>7152</v>
      </c>
      <c r="BM5" s="2" t="s">
        <v>7153</v>
      </c>
      <c r="BN5" s="2" t="s">
        <v>7154</v>
      </c>
      <c r="BO5" s="2" t="s">
        <v>7155</v>
      </c>
      <c r="BQ5" s="2" t="s">
        <v>7156</v>
      </c>
      <c r="BT5" s="2" t="s">
        <v>7196</v>
      </c>
      <c r="BV5" s="2" t="s">
        <v>7202</v>
      </c>
      <c r="BX5" s="2" t="s">
        <v>7143</v>
      </c>
      <c r="BZ5" s="2" t="s">
        <v>7173</v>
      </c>
      <c r="CE5" s="7">
        <v>9.1</v>
      </c>
      <c r="CF5" s="2">
        <v>900</v>
      </c>
      <c r="CM5" s="2">
        <v>100</v>
      </c>
      <c r="CP5" s="2">
        <v>100</v>
      </c>
      <c r="CR5" s="2" t="s">
        <v>7160</v>
      </c>
      <c r="CT5" s="2" t="s">
        <v>7143</v>
      </c>
      <c r="CU5" s="2" t="s">
        <v>7203</v>
      </c>
      <c r="CW5" s="2" t="s">
        <v>7162</v>
      </c>
      <c r="CY5" s="2" t="s">
        <v>7163</v>
      </c>
      <c r="CZ5" s="2" t="s">
        <v>7163</v>
      </c>
      <c r="DA5" s="2" t="s">
        <v>7164</v>
      </c>
      <c r="DB5" s="2" t="s">
        <v>7164</v>
      </c>
      <c r="DC5" s="2" t="s">
        <v>7164</v>
      </c>
      <c r="DD5" s="2" t="s">
        <v>7164</v>
      </c>
      <c r="DE5" s="2" t="s">
        <v>7164</v>
      </c>
      <c r="DF5" s="2" t="s">
        <v>7163</v>
      </c>
      <c r="DG5" s="2" t="s">
        <v>7163</v>
      </c>
      <c r="DH5" s="2" t="s">
        <v>7163</v>
      </c>
      <c r="DI5" s="2" t="s">
        <v>7164</v>
      </c>
      <c r="DL5" s="2" t="s">
        <v>7142</v>
      </c>
      <c r="DM5" s="2" t="s">
        <v>7142</v>
      </c>
      <c r="DN5" s="2" t="s">
        <v>7142</v>
      </c>
      <c r="DO5" s="2" t="s">
        <v>7142</v>
      </c>
      <c r="DP5" s="2" t="s">
        <v>7165</v>
      </c>
      <c r="DQ5" s="2" t="s">
        <v>7166</v>
      </c>
      <c r="DT5" s="2" t="s">
        <v>7165</v>
      </c>
      <c r="DU5" s="2" t="s">
        <v>7165</v>
      </c>
      <c r="DV5" s="2" t="s">
        <v>7165</v>
      </c>
      <c r="DW5" s="2" t="s">
        <v>7165</v>
      </c>
      <c r="DX5" s="2" t="s">
        <v>7165</v>
      </c>
      <c r="DY5" s="2" t="s">
        <v>7165</v>
      </c>
      <c r="DZ5" s="2" t="s">
        <v>7165</v>
      </c>
      <c r="EA5" s="2" t="s">
        <v>7165</v>
      </c>
      <c r="EB5" s="2" t="s">
        <v>7165</v>
      </c>
      <c r="EF5" s="2" t="s">
        <v>7167</v>
      </c>
      <c r="EJ5" s="2" t="s">
        <v>7144</v>
      </c>
      <c r="EK5" s="2" t="s">
        <v>7142</v>
      </c>
      <c r="EL5" s="2" t="s">
        <v>7143</v>
      </c>
      <c r="EN5" s="2" t="s">
        <v>7170</v>
      </c>
      <c r="EP5" s="18" t="s">
        <v>7186</v>
      </c>
      <c r="EQ5" s="18"/>
      <c r="ER5" s="2" t="s">
        <v>7142</v>
      </c>
      <c r="ET5" s="2" t="s">
        <v>7143</v>
      </c>
      <c r="EV5" s="2" t="s">
        <v>7142</v>
      </c>
      <c r="EW5" s="2" t="s">
        <v>7171</v>
      </c>
      <c r="EX5" s="2" t="s">
        <v>7142</v>
      </c>
      <c r="EY5" s="2" t="s">
        <v>7204</v>
      </c>
      <c r="FC5" s="2" t="s">
        <v>7172</v>
      </c>
      <c r="FD5" s="2" t="s">
        <v>7143</v>
      </c>
      <c r="FH5" s="2" t="s">
        <v>7173</v>
      </c>
      <c r="FJ5" s="2" t="s">
        <v>7142</v>
      </c>
      <c r="FK5" s="2" t="s">
        <v>7165</v>
      </c>
      <c r="FL5" s="2" t="s">
        <v>7198</v>
      </c>
      <c r="FN5" s="2" t="s">
        <v>7205</v>
      </c>
      <c r="FS5" s="10"/>
      <c r="FT5" s="2" t="s">
        <v>7176</v>
      </c>
      <c r="FU5" s="2" t="s">
        <v>7176</v>
      </c>
      <c r="FV5" s="2" t="s">
        <v>7176</v>
      </c>
      <c r="FW5" s="2" t="s">
        <v>7176</v>
      </c>
      <c r="FZ5" s="19" t="s">
        <v>7206</v>
      </c>
    </row>
    <row r="6" spans="1:182">
      <c r="A6" s="7" t="s">
        <v>251</v>
      </c>
      <c r="D6" s="15">
        <v>46030.625706018516</v>
      </c>
      <c r="E6" s="7" t="s">
        <v>177</v>
      </c>
      <c r="F6" s="7" t="s">
        <v>7134</v>
      </c>
      <c r="G6" s="7" t="s">
        <v>7135</v>
      </c>
      <c r="H6" s="2" t="s">
        <v>180</v>
      </c>
      <c r="I6" s="7" t="s">
        <v>252</v>
      </c>
      <c r="J6" s="16" t="s">
        <v>7207</v>
      </c>
      <c r="K6" s="7" t="s">
        <v>252</v>
      </c>
      <c r="L6" s="2" t="s">
        <v>7137</v>
      </c>
      <c r="M6" s="7" t="s">
        <v>7138</v>
      </c>
      <c r="N6" s="7">
        <v>1989</v>
      </c>
      <c r="O6" s="7" t="s">
        <v>7139</v>
      </c>
      <c r="P6" s="7" t="s">
        <v>7140</v>
      </c>
      <c r="Q6" s="2" t="s">
        <v>7182</v>
      </c>
      <c r="R6" s="2" t="s">
        <v>7143</v>
      </c>
      <c r="S6" s="2">
        <v>17</v>
      </c>
      <c r="T6" s="2" t="s">
        <v>7143</v>
      </c>
      <c r="U6" s="2" t="s">
        <v>7143</v>
      </c>
      <c r="Y6" s="2">
        <v>200</v>
      </c>
      <c r="Z6" s="17">
        <v>0.85</v>
      </c>
      <c r="AA6" s="2">
        <v>170</v>
      </c>
      <c r="AB6" s="2">
        <v>170</v>
      </c>
      <c r="AC6" s="7">
        <v>170</v>
      </c>
      <c r="AD6" s="2">
        <v>270</v>
      </c>
      <c r="AE6" s="2">
        <v>100</v>
      </c>
      <c r="AF6" s="2" t="s">
        <v>7143</v>
      </c>
      <c r="AG6" s="2" t="s">
        <v>7143</v>
      </c>
      <c r="AH6" s="2" t="s">
        <v>7143</v>
      </c>
      <c r="AJ6" s="2" t="s">
        <v>7143</v>
      </c>
      <c r="AK6" s="2" t="s">
        <v>7143</v>
      </c>
      <c r="AL6" s="2" t="s">
        <v>7143</v>
      </c>
      <c r="AM6" s="2" t="s">
        <v>7142</v>
      </c>
      <c r="AO6" s="2" t="s">
        <v>7143</v>
      </c>
      <c r="AR6" s="7">
        <v>0.8</v>
      </c>
      <c r="AS6" s="7">
        <v>2</v>
      </c>
      <c r="AT6" s="7">
        <v>3</v>
      </c>
      <c r="AU6" s="2" t="s">
        <v>7144</v>
      </c>
      <c r="AV6" s="2" t="s">
        <v>7144</v>
      </c>
      <c r="AW6" s="2" t="s">
        <v>7143</v>
      </c>
      <c r="BC6" s="2" t="s">
        <v>7208</v>
      </c>
      <c r="BD6" s="2" t="s">
        <v>7143</v>
      </c>
      <c r="BE6" s="2" t="s">
        <v>7143</v>
      </c>
      <c r="BL6" s="2" t="s">
        <v>7152</v>
      </c>
      <c r="BM6" s="2" t="s">
        <v>7153</v>
      </c>
      <c r="BN6" s="2" t="s">
        <v>7154</v>
      </c>
      <c r="BO6" s="2" t="s">
        <v>7155</v>
      </c>
      <c r="BQ6" s="2" t="s">
        <v>7156</v>
      </c>
      <c r="BS6" s="2" t="s">
        <v>7142</v>
      </c>
      <c r="BT6" s="2" t="s">
        <v>7196</v>
      </c>
      <c r="BV6" s="2" t="s">
        <v>7209</v>
      </c>
      <c r="BX6" s="2" t="s">
        <v>7143</v>
      </c>
      <c r="BZ6" s="2" t="s">
        <v>7159</v>
      </c>
      <c r="CE6" s="7">
        <v>3</v>
      </c>
      <c r="CF6" s="2">
        <v>270</v>
      </c>
      <c r="CK6" s="2">
        <v>100</v>
      </c>
      <c r="CO6" s="2">
        <v>100</v>
      </c>
      <c r="CR6" s="2" t="s">
        <v>7185</v>
      </c>
      <c r="CT6" s="2" t="s">
        <v>7143</v>
      </c>
      <c r="CU6" s="2" t="s">
        <v>7161</v>
      </c>
      <c r="CW6" s="2" t="s">
        <v>7162</v>
      </c>
      <c r="CY6" s="2" t="s">
        <v>7164</v>
      </c>
      <c r="CZ6" s="2" t="s">
        <v>7164</v>
      </c>
      <c r="DA6" s="2" t="s">
        <v>7164</v>
      </c>
      <c r="DB6" s="2" t="s">
        <v>7164</v>
      </c>
      <c r="DE6" s="2" t="s">
        <v>7164</v>
      </c>
      <c r="DF6" s="2" t="s">
        <v>7164</v>
      </c>
      <c r="DL6" s="2" t="s">
        <v>7142</v>
      </c>
      <c r="DM6" s="2" t="s">
        <v>7142</v>
      </c>
      <c r="DN6" s="2" t="s">
        <v>7142</v>
      </c>
      <c r="DO6" s="2" t="s">
        <v>7142</v>
      </c>
      <c r="DP6" s="2" t="s">
        <v>7165</v>
      </c>
      <c r="DQ6" s="2" t="s">
        <v>7166</v>
      </c>
      <c r="DT6" s="2" t="s">
        <v>7165</v>
      </c>
      <c r="DU6" s="2" t="s">
        <v>7165</v>
      </c>
      <c r="DV6" s="2" t="s">
        <v>7165</v>
      </c>
      <c r="DX6" s="2" t="s">
        <v>7159</v>
      </c>
      <c r="DY6" s="2" t="s">
        <v>7159</v>
      </c>
      <c r="DZ6" s="2" t="s">
        <v>7159</v>
      </c>
      <c r="EA6" s="2" t="s">
        <v>7165</v>
      </c>
      <c r="EB6" s="2" t="s">
        <v>7159</v>
      </c>
      <c r="EF6" s="2" t="s">
        <v>7167</v>
      </c>
      <c r="EJ6" s="2" t="s">
        <v>7144</v>
      </c>
      <c r="EK6" s="2" t="s">
        <v>7142</v>
      </c>
      <c r="EL6" s="2" t="s">
        <v>7143</v>
      </c>
      <c r="EN6" s="2" t="s">
        <v>7210</v>
      </c>
      <c r="EP6" s="18" t="s">
        <v>7186</v>
      </c>
      <c r="EQ6" s="18"/>
      <c r="ER6" s="2" t="s">
        <v>7142</v>
      </c>
      <c r="ET6" s="2" t="s">
        <v>7143</v>
      </c>
      <c r="EV6" s="2" t="s">
        <v>7143</v>
      </c>
      <c r="EX6" s="2" t="s">
        <v>7143</v>
      </c>
      <c r="EZ6" s="2" t="s">
        <v>7143</v>
      </c>
      <c r="FC6" s="2" t="s">
        <v>7172</v>
      </c>
      <c r="FD6" s="2" t="s">
        <v>7143</v>
      </c>
      <c r="FH6" s="2" t="s">
        <v>7173</v>
      </c>
      <c r="FJ6" s="2" t="s">
        <v>7142</v>
      </c>
      <c r="FK6" s="2" t="s">
        <v>7165</v>
      </c>
      <c r="FL6" s="2" t="s">
        <v>7211</v>
      </c>
      <c r="FS6" s="10"/>
      <c r="FT6" s="2" t="s">
        <v>7189</v>
      </c>
      <c r="FU6" s="2" t="s">
        <v>7189</v>
      </c>
      <c r="FV6" s="2" t="s">
        <v>7189</v>
      </c>
      <c r="FW6" s="2" t="s">
        <v>7189</v>
      </c>
      <c r="FZ6" s="19" t="s">
        <v>7212</v>
      </c>
    </row>
    <row r="7" spans="1:182">
      <c r="A7" s="7" t="s">
        <v>257</v>
      </c>
      <c r="D7" s="15">
        <v>46030.65283564815</v>
      </c>
      <c r="E7" s="7" t="s">
        <v>177</v>
      </c>
      <c r="F7" s="7" t="s">
        <v>7134</v>
      </c>
      <c r="G7" s="7" t="s">
        <v>7135</v>
      </c>
      <c r="H7" s="2" t="s">
        <v>180</v>
      </c>
      <c r="I7" s="7" t="s">
        <v>258</v>
      </c>
      <c r="J7" s="16" t="s">
        <v>7213</v>
      </c>
      <c r="K7" s="7" t="s">
        <v>259</v>
      </c>
      <c r="L7" s="2" t="s">
        <v>7137</v>
      </c>
      <c r="M7" s="7" t="s">
        <v>7179</v>
      </c>
      <c r="N7" s="7">
        <v>1994</v>
      </c>
      <c r="O7" s="7" t="s">
        <v>7139</v>
      </c>
      <c r="P7" s="2" t="s">
        <v>7192</v>
      </c>
      <c r="Q7" s="2" t="s">
        <v>7141</v>
      </c>
      <c r="R7" s="2" t="s">
        <v>7143</v>
      </c>
      <c r="S7" s="2">
        <v>8</v>
      </c>
      <c r="T7" s="2" t="s">
        <v>7143</v>
      </c>
      <c r="U7" s="2" t="s">
        <v>7143</v>
      </c>
      <c r="Y7" s="2">
        <v>140</v>
      </c>
      <c r="Z7" s="17">
        <v>0.85709999999999997</v>
      </c>
      <c r="AA7" s="2">
        <v>120</v>
      </c>
      <c r="AB7" s="2">
        <v>120</v>
      </c>
      <c r="AC7" s="7">
        <v>120</v>
      </c>
      <c r="AD7" s="2">
        <v>150</v>
      </c>
      <c r="AE7" s="2">
        <v>30</v>
      </c>
      <c r="AF7" s="2" t="s">
        <v>7142</v>
      </c>
      <c r="AG7" s="2" t="s">
        <v>7143</v>
      </c>
      <c r="AH7" s="2" t="s">
        <v>7143</v>
      </c>
      <c r="AK7" s="2" t="s">
        <v>7143</v>
      </c>
      <c r="AL7" s="2" t="s">
        <v>7143</v>
      </c>
      <c r="AM7" s="2" t="s">
        <v>7142</v>
      </c>
      <c r="AN7" s="2" t="s">
        <v>7143</v>
      </c>
      <c r="AO7" s="2" t="s">
        <v>7143</v>
      </c>
      <c r="AR7" s="7">
        <v>0.45</v>
      </c>
      <c r="AS7" s="7">
        <v>1</v>
      </c>
      <c r="AT7" s="7">
        <v>1.6</v>
      </c>
      <c r="AU7" s="2" t="s">
        <v>7144</v>
      </c>
      <c r="AV7" s="2" t="s">
        <v>7144</v>
      </c>
      <c r="AW7" s="2" t="s">
        <v>7143</v>
      </c>
      <c r="AZ7" s="2" t="s">
        <v>7145</v>
      </c>
      <c r="BB7" s="2" t="s">
        <v>7214</v>
      </c>
      <c r="BC7" s="2" t="s">
        <v>7208</v>
      </c>
      <c r="BD7" s="2" t="s">
        <v>7143</v>
      </c>
      <c r="BE7" s="2" t="s">
        <v>7142</v>
      </c>
      <c r="BF7" s="2" t="s">
        <v>7148</v>
      </c>
      <c r="BG7" s="2" t="s">
        <v>7149</v>
      </c>
      <c r="BH7" s="2" t="s">
        <v>7150</v>
      </c>
      <c r="BI7" s="2" t="s">
        <v>7151</v>
      </c>
      <c r="BL7" s="2" t="s">
        <v>7195</v>
      </c>
      <c r="BO7" s="2" t="s">
        <v>7155</v>
      </c>
      <c r="BQ7" s="2" t="s">
        <v>7156</v>
      </c>
      <c r="BS7" s="2" t="s">
        <v>7143</v>
      </c>
      <c r="BT7" s="2" t="s">
        <v>7215</v>
      </c>
      <c r="BV7" s="2" t="s">
        <v>7209</v>
      </c>
      <c r="BX7" s="2" t="s">
        <v>7143</v>
      </c>
      <c r="BZ7" s="2" t="s">
        <v>7159</v>
      </c>
      <c r="CE7" s="7">
        <v>1.6</v>
      </c>
      <c r="CF7" s="2">
        <v>150</v>
      </c>
      <c r="CK7" s="2">
        <v>100</v>
      </c>
      <c r="CO7" s="2">
        <v>100</v>
      </c>
      <c r="CR7" s="2" t="s">
        <v>7216</v>
      </c>
      <c r="CT7" s="2" t="s">
        <v>7143</v>
      </c>
      <c r="CU7" s="2" t="s">
        <v>7161</v>
      </c>
      <c r="CW7" s="2" t="s">
        <v>7162</v>
      </c>
      <c r="CY7" s="2" t="s">
        <v>7164</v>
      </c>
      <c r="CZ7" s="2" t="s">
        <v>7164</v>
      </c>
      <c r="DA7" s="2" t="s">
        <v>7164</v>
      </c>
      <c r="DB7" s="2" t="s">
        <v>7164</v>
      </c>
      <c r="DC7" s="2" t="s">
        <v>7164</v>
      </c>
      <c r="DD7" s="2" t="s">
        <v>7164</v>
      </c>
      <c r="DE7" s="2" t="s">
        <v>7164</v>
      </c>
      <c r="DF7" s="2" t="s">
        <v>7164</v>
      </c>
      <c r="DG7" s="2" t="s">
        <v>7164</v>
      </c>
      <c r="DH7" s="2" t="s">
        <v>7164</v>
      </c>
      <c r="DI7" s="2" t="s">
        <v>7164</v>
      </c>
      <c r="DL7" s="2" t="s">
        <v>7143</v>
      </c>
      <c r="DM7" s="2" t="s">
        <v>7143</v>
      </c>
      <c r="DP7" s="2" t="s">
        <v>7173</v>
      </c>
      <c r="DT7" s="2" t="s">
        <v>7159</v>
      </c>
      <c r="DU7" s="2" t="s">
        <v>7159</v>
      </c>
      <c r="DV7" s="2" t="s">
        <v>7159</v>
      </c>
      <c r="DW7" s="2" t="s">
        <v>7159</v>
      </c>
      <c r="DX7" s="2" t="s">
        <v>7159</v>
      </c>
      <c r="DY7" s="2" t="s">
        <v>7159</v>
      </c>
      <c r="DZ7" s="2" t="s">
        <v>7159</v>
      </c>
      <c r="EA7" s="2" t="s">
        <v>7159</v>
      </c>
      <c r="EB7" s="2" t="s">
        <v>7159</v>
      </c>
      <c r="EJ7" s="2" t="s">
        <v>7217</v>
      </c>
      <c r="EK7" s="2" t="s">
        <v>7143</v>
      </c>
      <c r="EL7" s="2" t="s">
        <v>7143</v>
      </c>
      <c r="EP7" s="18"/>
      <c r="EQ7" s="18"/>
      <c r="ER7" s="2" t="s">
        <v>7143</v>
      </c>
      <c r="ET7" s="2" t="s">
        <v>7143</v>
      </c>
      <c r="EV7" s="2" t="s">
        <v>7143</v>
      </c>
      <c r="EX7" s="2" t="s">
        <v>7143</v>
      </c>
      <c r="FC7" s="2" t="s">
        <v>7218</v>
      </c>
      <c r="FD7" s="2" t="s">
        <v>7143</v>
      </c>
      <c r="FH7" s="2" t="s">
        <v>7173</v>
      </c>
      <c r="FJ7" s="2" t="s">
        <v>7142</v>
      </c>
      <c r="FK7" s="2" t="s">
        <v>7173</v>
      </c>
      <c r="FS7" s="10"/>
      <c r="FV7" s="2" t="s">
        <v>7189</v>
      </c>
      <c r="FW7" s="2" t="s">
        <v>7189</v>
      </c>
      <c r="FZ7" s="19" t="s">
        <v>7219</v>
      </c>
    </row>
    <row r="8" spans="1:182">
      <c r="A8" s="7" t="s">
        <v>264</v>
      </c>
      <c r="D8" s="15">
        <v>46030.692037037035</v>
      </c>
      <c r="E8" s="7" t="s">
        <v>177</v>
      </c>
      <c r="F8" s="7" t="s">
        <v>7134</v>
      </c>
      <c r="G8" s="7" t="s">
        <v>7135</v>
      </c>
      <c r="H8" s="2" t="s">
        <v>180</v>
      </c>
      <c r="I8" s="7" t="s">
        <v>265</v>
      </c>
      <c r="J8" s="16" t="s">
        <v>7220</v>
      </c>
      <c r="K8" s="7" t="s">
        <v>265</v>
      </c>
      <c r="L8" s="2" t="s">
        <v>7137</v>
      </c>
      <c r="M8" s="7" t="s">
        <v>7138</v>
      </c>
      <c r="N8" s="7">
        <v>1987</v>
      </c>
      <c r="O8" s="7" t="s">
        <v>7139</v>
      </c>
      <c r="P8" s="2" t="s">
        <v>7140</v>
      </c>
      <c r="Q8" s="2" t="s">
        <v>7141</v>
      </c>
      <c r="R8" s="2" t="s">
        <v>7143</v>
      </c>
      <c r="S8" s="2">
        <v>20</v>
      </c>
      <c r="T8" s="2" t="s">
        <v>7143</v>
      </c>
      <c r="U8" s="2" t="s">
        <v>7143</v>
      </c>
      <c r="Y8" s="2">
        <v>350</v>
      </c>
      <c r="Z8" s="17">
        <v>1</v>
      </c>
      <c r="AA8" s="2">
        <v>350</v>
      </c>
      <c r="AB8" s="2">
        <v>350</v>
      </c>
      <c r="AC8" s="7">
        <v>350</v>
      </c>
      <c r="AD8" s="2">
        <v>450</v>
      </c>
      <c r="AE8" s="2">
        <v>100</v>
      </c>
      <c r="AF8" s="2" t="s">
        <v>7142</v>
      </c>
      <c r="AG8" s="2" t="s">
        <v>7143</v>
      </c>
      <c r="AH8" s="2" t="s">
        <v>7143</v>
      </c>
      <c r="AJ8" s="2" t="s">
        <v>7143</v>
      </c>
      <c r="AK8" s="2" t="s">
        <v>7143</v>
      </c>
      <c r="AL8" s="2" t="s">
        <v>7143</v>
      </c>
      <c r="AM8" s="2" t="s">
        <v>7143</v>
      </c>
      <c r="AO8" s="2" t="s">
        <v>7143</v>
      </c>
      <c r="AR8" s="7">
        <v>1.84</v>
      </c>
      <c r="AS8" s="7">
        <v>4</v>
      </c>
      <c r="AT8" s="7">
        <v>4.5</v>
      </c>
      <c r="AU8" s="2" t="s">
        <v>7193</v>
      </c>
      <c r="AV8" s="2" t="s">
        <v>7193</v>
      </c>
      <c r="AW8" s="2" t="s">
        <v>7143</v>
      </c>
      <c r="AZ8" s="2" t="s">
        <v>7145</v>
      </c>
      <c r="BB8" s="2" t="s">
        <v>7214</v>
      </c>
      <c r="BC8" s="2" t="s">
        <v>7147</v>
      </c>
      <c r="BD8" s="2" t="s">
        <v>7142</v>
      </c>
      <c r="BE8" s="2" t="s">
        <v>7142</v>
      </c>
      <c r="BF8" s="2" t="s">
        <v>7148</v>
      </c>
      <c r="BG8" s="2" t="s">
        <v>7149</v>
      </c>
      <c r="BH8" s="2" t="s">
        <v>7150</v>
      </c>
      <c r="BI8" s="2" t="s">
        <v>7151</v>
      </c>
      <c r="BL8" s="2" t="s">
        <v>7152</v>
      </c>
      <c r="BM8" s="2" t="s">
        <v>7153</v>
      </c>
      <c r="BN8" s="2" t="s">
        <v>7154</v>
      </c>
      <c r="BO8" s="2" t="s">
        <v>7155</v>
      </c>
      <c r="BQ8" s="2" t="s">
        <v>7156</v>
      </c>
      <c r="BS8" s="2" t="s">
        <v>7142</v>
      </c>
      <c r="BT8" s="2" t="s">
        <v>7215</v>
      </c>
      <c r="BV8" s="2" t="s">
        <v>7202</v>
      </c>
      <c r="BX8" s="2" t="s">
        <v>7143</v>
      </c>
      <c r="BZ8" s="2" t="s">
        <v>7173</v>
      </c>
      <c r="CE8" s="7">
        <v>4.5</v>
      </c>
      <c r="CF8" s="2">
        <v>450</v>
      </c>
      <c r="CK8" s="2">
        <v>100</v>
      </c>
      <c r="CP8" s="2">
        <v>100</v>
      </c>
      <c r="CR8" s="2" t="s">
        <v>7160</v>
      </c>
      <c r="CT8" s="2" t="s">
        <v>7143</v>
      </c>
      <c r="CU8" s="2" t="s">
        <v>7161</v>
      </c>
      <c r="CW8" s="2" t="s">
        <v>7162</v>
      </c>
      <c r="CY8" s="2" t="s">
        <v>7163</v>
      </c>
      <c r="CZ8" s="2" t="s">
        <v>7164</v>
      </c>
      <c r="DA8" s="2" t="s">
        <v>7164</v>
      </c>
      <c r="DB8" s="2" t="s">
        <v>7164</v>
      </c>
      <c r="DC8" s="2" t="s">
        <v>7164</v>
      </c>
      <c r="DD8" s="2" t="s">
        <v>7164</v>
      </c>
      <c r="DE8" s="2" t="s">
        <v>7164</v>
      </c>
      <c r="DF8" s="2" t="s">
        <v>7164</v>
      </c>
      <c r="DG8" s="2" t="s">
        <v>7164</v>
      </c>
      <c r="DH8" s="2" t="s">
        <v>7164</v>
      </c>
      <c r="DI8" s="2" t="s">
        <v>7164</v>
      </c>
      <c r="DL8" s="2" t="s">
        <v>7142</v>
      </c>
      <c r="DM8" s="2" t="s">
        <v>7142</v>
      </c>
      <c r="DN8" s="2" t="s">
        <v>7142</v>
      </c>
      <c r="DO8" s="2" t="s">
        <v>7142</v>
      </c>
      <c r="DP8" s="2" t="s">
        <v>7165</v>
      </c>
      <c r="DQ8" s="2" t="s">
        <v>7166</v>
      </c>
      <c r="DT8" s="2" t="s">
        <v>7165</v>
      </c>
      <c r="DU8" s="2" t="s">
        <v>7165</v>
      </c>
      <c r="DV8" s="2" t="s">
        <v>7165</v>
      </c>
      <c r="DW8" s="2" t="s">
        <v>7165</v>
      </c>
      <c r="DX8" s="2" t="s">
        <v>7165</v>
      </c>
      <c r="DY8" s="2" t="s">
        <v>7165</v>
      </c>
      <c r="DZ8" s="2" t="s">
        <v>7165</v>
      </c>
      <c r="EA8" s="2" t="s">
        <v>7165</v>
      </c>
      <c r="EB8" s="2" t="s">
        <v>7165</v>
      </c>
      <c r="EF8" s="2" t="s">
        <v>7221</v>
      </c>
      <c r="EJ8" s="2" t="s">
        <v>7144</v>
      </c>
      <c r="EK8" s="2" t="s">
        <v>7142</v>
      </c>
      <c r="EL8" s="2" t="s">
        <v>7143</v>
      </c>
      <c r="EN8" s="2" t="s">
        <v>7170</v>
      </c>
      <c r="EP8" s="18" t="s">
        <v>7186</v>
      </c>
      <c r="EQ8" s="18"/>
      <c r="ER8" s="2" t="s">
        <v>7142</v>
      </c>
      <c r="ET8" s="2" t="s">
        <v>7143</v>
      </c>
      <c r="EV8" s="2" t="s">
        <v>7143</v>
      </c>
      <c r="FC8" s="2" t="s">
        <v>7172</v>
      </c>
      <c r="FD8" s="2" t="s">
        <v>7143</v>
      </c>
      <c r="FH8" s="2" t="s">
        <v>7173</v>
      </c>
      <c r="FJ8" s="2" t="s">
        <v>7142</v>
      </c>
      <c r="FS8" s="7"/>
      <c r="FT8" s="2" t="s">
        <v>7176</v>
      </c>
      <c r="FU8" s="2" t="s">
        <v>7176</v>
      </c>
      <c r="FV8" s="2" t="s">
        <v>7176</v>
      </c>
      <c r="FW8" s="2" t="s">
        <v>7176</v>
      </c>
      <c r="FZ8" s="19" t="s">
        <v>7222</v>
      </c>
    </row>
    <row r="9" spans="1:182">
      <c r="A9" s="7" t="s">
        <v>266</v>
      </c>
      <c r="D9" s="15">
        <v>46030.717916666668</v>
      </c>
      <c r="E9" s="7" t="s">
        <v>177</v>
      </c>
      <c r="F9" s="7" t="s">
        <v>7134</v>
      </c>
      <c r="G9" s="7" t="s">
        <v>7135</v>
      </c>
      <c r="H9" s="7" t="s">
        <v>180</v>
      </c>
      <c r="I9" s="7" t="s">
        <v>267</v>
      </c>
      <c r="J9" s="16" t="s">
        <v>7223</v>
      </c>
      <c r="K9" s="7" t="s">
        <v>268</v>
      </c>
      <c r="L9" s="2" t="s">
        <v>7224</v>
      </c>
      <c r="M9" s="7" t="s">
        <v>7179</v>
      </c>
      <c r="N9" s="7">
        <v>1975</v>
      </c>
      <c r="O9" s="7" t="s">
        <v>7139</v>
      </c>
      <c r="P9" s="2" t="s">
        <v>7181</v>
      </c>
      <c r="Q9" s="2" t="s">
        <v>7225</v>
      </c>
      <c r="R9" s="2" t="s">
        <v>7143</v>
      </c>
      <c r="S9" s="2">
        <v>7</v>
      </c>
      <c r="T9" s="2" t="s">
        <v>7143</v>
      </c>
      <c r="U9" s="2" t="s">
        <v>7143</v>
      </c>
      <c r="Y9" s="2">
        <v>180</v>
      </c>
      <c r="Z9" s="17">
        <v>0.72219999999999995</v>
      </c>
      <c r="AA9" s="2">
        <v>130</v>
      </c>
      <c r="AB9" s="2">
        <v>130</v>
      </c>
      <c r="AC9" s="7">
        <v>130</v>
      </c>
      <c r="AD9" s="2">
        <v>180</v>
      </c>
      <c r="AE9" s="2">
        <v>50</v>
      </c>
      <c r="AF9" s="2" t="s">
        <v>7142</v>
      </c>
      <c r="AG9" s="2" t="s">
        <v>7143</v>
      </c>
      <c r="AH9" s="2" t="s">
        <v>7143</v>
      </c>
      <c r="AJ9" s="2" t="s">
        <v>7143</v>
      </c>
      <c r="AK9" s="2" t="s">
        <v>7143</v>
      </c>
      <c r="AL9" s="2" t="s">
        <v>7143</v>
      </c>
      <c r="AM9" s="2" t="s">
        <v>7142</v>
      </c>
      <c r="AN9" s="2" t="s">
        <v>7143</v>
      </c>
      <c r="AO9" s="2" t="s">
        <v>7143</v>
      </c>
      <c r="AR9" s="7">
        <v>0.5</v>
      </c>
      <c r="AS9" s="7">
        <v>1</v>
      </c>
      <c r="AT9" s="7">
        <v>2</v>
      </c>
      <c r="AU9" s="2" t="s">
        <v>7144</v>
      </c>
      <c r="AV9" s="2" t="s">
        <v>7144</v>
      </c>
      <c r="AW9" s="2" t="s">
        <v>7143</v>
      </c>
      <c r="AZ9" s="2" t="s">
        <v>7226</v>
      </c>
      <c r="BA9" s="2" t="s">
        <v>272</v>
      </c>
      <c r="BC9" s="2" t="s">
        <v>7147</v>
      </c>
      <c r="BD9" s="2" t="s">
        <v>7143</v>
      </c>
      <c r="BE9" s="2" t="s">
        <v>7143</v>
      </c>
      <c r="BL9" s="2" t="s">
        <v>7195</v>
      </c>
      <c r="BO9" s="2" t="s">
        <v>7155</v>
      </c>
      <c r="BQ9" s="2" t="s">
        <v>7156</v>
      </c>
      <c r="BS9" s="2" t="s">
        <v>7142</v>
      </c>
      <c r="BT9" s="2" t="s">
        <v>7215</v>
      </c>
      <c r="BV9" s="2" t="s">
        <v>7158</v>
      </c>
      <c r="BX9" s="2" t="s">
        <v>7143</v>
      </c>
      <c r="BZ9" s="2" t="s">
        <v>7173</v>
      </c>
      <c r="CE9" s="7">
        <v>2</v>
      </c>
      <c r="CF9" s="2">
        <v>180</v>
      </c>
      <c r="CK9" s="2">
        <v>100</v>
      </c>
      <c r="CR9" s="2" t="s">
        <v>7160</v>
      </c>
      <c r="CT9" s="2" t="s">
        <v>7143</v>
      </c>
      <c r="CU9" s="2" t="s">
        <v>7161</v>
      </c>
      <c r="CW9" s="2" t="s">
        <v>7162</v>
      </c>
      <c r="CY9" s="2" t="s">
        <v>7227</v>
      </c>
      <c r="CZ9" s="2" t="s">
        <v>7227</v>
      </c>
      <c r="DA9" s="2" t="s">
        <v>7164</v>
      </c>
      <c r="DB9" s="2" t="s">
        <v>7164</v>
      </c>
      <c r="DC9" s="2" t="s">
        <v>7164</v>
      </c>
      <c r="DD9" s="2" t="s">
        <v>7164</v>
      </c>
      <c r="DE9" s="2" t="s">
        <v>7164</v>
      </c>
      <c r="DF9" s="2" t="s">
        <v>7164</v>
      </c>
      <c r="DG9" s="2" t="s">
        <v>7164</v>
      </c>
      <c r="DH9" s="2" t="s">
        <v>7164</v>
      </c>
      <c r="DI9" s="2" t="s">
        <v>7164</v>
      </c>
      <c r="DL9" s="2" t="s">
        <v>7143</v>
      </c>
      <c r="DM9" s="2" t="s">
        <v>7143</v>
      </c>
      <c r="DP9" s="2" t="s">
        <v>7173</v>
      </c>
      <c r="DT9" s="2" t="s">
        <v>7165</v>
      </c>
      <c r="DU9" s="2" t="s">
        <v>7159</v>
      </c>
      <c r="DV9" s="2" t="s">
        <v>7165</v>
      </c>
      <c r="DW9" s="2" t="s">
        <v>7159</v>
      </c>
      <c r="DX9" s="2" t="s">
        <v>7159</v>
      </c>
      <c r="DY9" s="2" t="s">
        <v>7165</v>
      </c>
      <c r="DZ9" s="2" t="s">
        <v>7159</v>
      </c>
      <c r="EA9" s="2" t="s">
        <v>7159</v>
      </c>
      <c r="EB9" s="2" t="s">
        <v>7165</v>
      </c>
      <c r="EF9" s="2" t="s">
        <v>7221</v>
      </c>
      <c r="EJ9" s="2" t="s">
        <v>7144</v>
      </c>
      <c r="EK9" s="2" t="s">
        <v>7142</v>
      </c>
      <c r="EL9" s="2" t="s">
        <v>7143</v>
      </c>
      <c r="EN9" s="2" t="s">
        <v>7170</v>
      </c>
      <c r="EP9" s="18" t="s">
        <v>7186</v>
      </c>
      <c r="EQ9" s="18"/>
      <c r="ER9" s="2" t="s">
        <v>7142</v>
      </c>
      <c r="ET9" s="2" t="s">
        <v>7143</v>
      </c>
      <c r="EV9" s="2" t="s">
        <v>7143</v>
      </c>
      <c r="EX9" s="2" t="s">
        <v>7143</v>
      </c>
      <c r="EZ9" s="2" t="s">
        <v>7143</v>
      </c>
      <c r="FC9" s="2" t="s">
        <v>7172</v>
      </c>
      <c r="FD9" s="2" t="s">
        <v>7143</v>
      </c>
      <c r="FH9" s="2" t="s">
        <v>7173</v>
      </c>
      <c r="FJ9" s="2" t="s">
        <v>7142</v>
      </c>
      <c r="FK9" s="2" t="s">
        <v>7165</v>
      </c>
      <c r="FL9" s="2" t="s">
        <v>7228</v>
      </c>
      <c r="FN9" s="2" t="s">
        <v>7229</v>
      </c>
      <c r="FR9" s="2" t="s">
        <v>276</v>
      </c>
      <c r="FS9" s="7"/>
      <c r="FT9" s="2" t="s">
        <v>7189</v>
      </c>
      <c r="FU9" s="2" t="s">
        <v>7189</v>
      </c>
      <c r="FV9" s="2" t="s">
        <v>7189</v>
      </c>
      <c r="FW9" s="2" t="s">
        <v>7189</v>
      </c>
      <c r="FZ9" s="19" t="s">
        <v>7230</v>
      </c>
    </row>
    <row r="10" spans="1:182">
      <c r="A10" s="7" t="s">
        <v>277</v>
      </c>
      <c r="D10" s="15">
        <v>46030.738587962966</v>
      </c>
      <c r="E10" s="7" t="s">
        <v>177</v>
      </c>
      <c r="F10" s="7" t="s">
        <v>7134</v>
      </c>
      <c r="G10" s="7" t="s">
        <v>7135</v>
      </c>
      <c r="H10" s="7" t="s">
        <v>180</v>
      </c>
      <c r="I10" s="7" t="s">
        <v>278</v>
      </c>
      <c r="J10" s="16" t="s">
        <v>7231</v>
      </c>
      <c r="K10" s="7" t="s">
        <v>278</v>
      </c>
      <c r="L10" s="2" t="s">
        <v>7137</v>
      </c>
      <c r="M10" s="7" t="s">
        <v>7179</v>
      </c>
      <c r="N10" s="7">
        <v>1998</v>
      </c>
      <c r="O10" s="7" t="s">
        <v>7139</v>
      </c>
      <c r="P10" s="7" t="s">
        <v>7140</v>
      </c>
      <c r="Q10" s="7" t="s">
        <v>7141</v>
      </c>
      <c r="R10" s="2" t="s">
        <v>7143</v>
      </c>
      <c r="S10" s="2">
        <v>10</v>
      </c>
      <c r="T10" s="2" t="s">
        <v>7143</v>
      </c>
      <c r="U10" s="2" t="s">
        <v>7143</v>
      </c>
      <c r="Y10" s="2">
        <v>217</v>
      </c>
      <c r="Z10" s="17">
        <v>0.9677</v>
      </c>
      <c r="AA10" s="2">
        <v>210</v>
      </c>
      <c r="AB10" s="2">
        <v>210</v>
      </c>
      <c r="AC10" s="7">
        <v>210</v>
      </c>
      <c r="AD10" s="2">
        <v>250</v>
      </c>
      <c r="AE10" s="2">
        <v>40</v>
      </c>
      <c r="AF10" s="2" t="s">
        <v>7142</v>
      </c>
      <c r="AG10" s="2" t="s">
        <v>7142</v>
      </c>
      <c r="AH10" s="2" t="s">
        <v>7143</v>
      </c>
      <c r="AJ10" s="2" t="s">
        <v>7143</v>
      </c>
      <c r="AK10" s="2" t="s">
        <v>7142</v>
      </c>
      <c r="AL10" s="2" t="s">
        <v>7143</v>
      </c>
      <c r="AM10" s="2" t="s">
        <v>7142</v>
      </c>
      <c r="AN10" s="2" t="s">
        <v>7143</v>
      </c>
      <c r="AO10" s="2" t="s">
        <v>7143</v>
      </c>
      <c r="AR10" s="7">
        <v>0.7</v>
      </c>
      <c r="AS10" s="7">
        <v>2</v>
      </c>
      <c r="AT10" s="7">
        <v>3</v>
      </c>
      <c r="AU10" s="2" t="s">
        <v>7144</v>
      </c>
      <c r="AV10" s="2" t="s">
        <v>7193</v>
      </c>
      <c r="AW10" s="2" t="s">
        <v>7143</v>
      </c>
      <c r="AZ10" s="2" t="s">
        <v>7145</v>
      </c>
      <c r="BB10" s="2" t="s">
        <v>7214</v>
      </c>
      <c r="BC10" s="2" t="s">
        <v>7208</v>
      </c>
      <c r="BD10" s="2" t="s">
        <v>7143</v>
      </c>
      <c r="BE10" s="2" t="s">
        <v>7142</v>
      </c>
      <c r="BF10" s="2" t="s">
        <v>7148</v>
      </c>
      <c r="BG10" s="2" t="s">
        <v>7232</v>
      </c>
      <c r="BH10" s="2" t="s">
        <v>7233</v>
      </c>
      <c r="BI10" s="2" t="s">
        <v>7151</v>
      </c>
      <c r="BL10" s="2" t="s">
        <v>7152</v>
      </c>
      <c r="BM10" s="2" t="s">
        <v>7153</v>
      </c>
      <c r="BN10" s="2" t="s">
        <v>7154</v>
      </c>
      <c r="BO10" s="2" t="s">
        <v>7155</v>
      </c>
      <c r="BQ10" s="2" t="s">
        <v>7183</v>
      </c>
      <c r="BS10" s="2" t="s">
        <v>7142</v>
      </c>
      <c r="BT10" s="2" t="s">
        <v>7196</v>
      </c>
      <c r="BV10" s="2" t="s">
        <v>7184</v>
      </c>
      <c r="BX10" s="2" t="s">
        <v>7143</v>
      </c>
      <c r="BZ10" s="2" t="s">
        <v>7159</v>
      </c>
      <c r="CE10" s="7">
        <v>3</v>
      </c>
      <c r="CF10" s="2">
        <v>250</v>
      </c>
      <c r="CK10" s="2">
        <v>100</v>
      </c>
      <c r="CO10" s="2">
        <v>100</v>
      </c>
      <c r="CR10" s="2" t="s">
        <v>7185</v>
      </c>
      <c r="CT10" s="2" t="s">
        <v>7143</v>
      </c>
      <c r="CU10" s="2" t="s">
        <v>7234</v>
      </c>
      <c r="CW10" s="2" t="s">
        <v>7162</v>
      </c>
      <c r="CY10" s="2" t="s">
        <v>7164</v>
      </c>
      <c r="CZ10" s="2" t="s">
        <v>7164</v>
      </c>
      <c r="DA10" s="2" t="s">
        <v>7164</v>
      </c>
      <c r="DB10" s="2" t="s">
        <v>7164</v>
      </c>
      <c r="DC10" s="2" t="s">
        <v>7164</v>
      </c>
      <c r="DD10" s="2" t="s">
        <v>7164</v>
      </c>
      <c r="DE10" s="2" t="s">
        <v>7164</v>
      </c>
      <c r="DF10" s="2" t="s">
        <v>7164</v>
      </c>
      <c r="DG10" s="2" t="s">
        <v>7164</v>
      </c>
      <c r="DH10" s="2" t="s">
        <v>7164</v>
      </c>
      <c r="DI10" s="2" t="s">
        <v>7164</v>
      </c>
      <c r="DL10" s="2" t="s">
        <v>7143</v>
      </c>
      <c r="DM10" s="2" t="s">
        <v>7143</v>
      </c>
      <c r="DP10" s="2" t="s">
        <v>7173</v>
      </c>
      <c r="DT10" s="2" t="s">
        <v>7159</v>
      </c>
      <c r="DU10" s="2" t="s">
        <v>7159</v>
      </c>
      <c r="DV10" s="2" t="s">
        <v>7159</v>
      </c>
      <c r="DW10" s="2" t="s">
        <v>7159</v>
      </c>
      <c r="DX10" s="2" t="s">
        <v>7159</v>
      </c>
      <c r="DY10" s="2" t="s">
        <v>7159</v>
      </c>
      <c r="DZ10" s="2" t="s">
        <v>7159</v>
      </c>
      <c r="EA10" s="2" t="s">
        <v>7159</v>
      </c>
      <c r="EB10" s="2" t="s">
        <v>7159</v>
      </c>
      <c r="EJ10" s="2" t="s">
        <v>7217</v>
      </c>
      <c r="EK10" s="2" t="s">
        <v>7143</v>
      </c>
      <c r="EL10" s="2" t="s">
        <v>7143</v>
      </c>
      <c r="EN10" s="2" t="s">
        <v>7210</v>
      </c>
      <c r="EP10" s="18" t="s">
        <v>7186</v>
      </c>
      <c r="EQ10" s="18"/>
      <c r="ET10" s="2" t="s">
        <v>7143</v>
      </c>
      <c r="EV10" s="2" t="s">
        <v>7143</v>
      </c>
      <c r="EX10" s="2" t="s">
        <v>7143</v>
      </c>
      <c r="EZ10" s="2" t="s">
        <v>7143</v>
      </c>
      <c r="FC10" s="2" t="s">
        <v>7218</v>
      </c>
      <c r="FD10" s="2" t="s">
        <v>7143</v>
      </c>
      <c r="FH10" s="2" t="s">
        <v>7173</v>
      </c>
      <c r="FJ10" s="2" t="s">
        <v>7142</v>
      </c>
      <c r="FK10" s="2" t="s">
        <v>7173</v>
      </c>
      <c r="FN10" s="2" t="s">
        <v>7235</v>
      </c>
      <c r="FS10" s="7"/>
      <c r="FT10" s="2" t="s">
        <v>7176</v>
      </c>
      <c r="FU10" s="2" t="s">
        <v>7176</v>
      </c>
      <c r="FV10" s="2" t="s">
        <v>7176</v>
      </c>
      <c r="FW10" s="2" t="s">
        <v>7176</v>
      </c>
      <c r="FZ10" s="19" t="s">
        <v>7236</v>
      </c>
    </row>
    <row r="11" spans="1:182">
      <c r="A11" s="7" t="s">
        <v>283</v>
      </c>
      <c r="D11" s="15">
        <v>46030.77034722222</v>
      </c>
      <c r="E11" s="7" t="s">
        <v>177</v>
      </c>
      <c r="F11" s="7" t="s">
        <v>7134</v>
      </c>
      <c r="G11" s="7" t="s">
        <v>7135</v>
      </c>
      <c r="H11" s="7" t="s">
        <v>180</v>
      </c>
      <c r="I11" s="7" t="s">
        <v>284</v>
      </c>
      <c r="J11" s="16" t="s">
        <v>7237</v>
      </c>
      <c r="K11" s="7" t="s">
        <v>284</v>
      </c>
      <c r="L11" s="2" t="s">
        <v>7137</v>
      </c>
      <c r="M11" s="7" t="s">
        <v>7179</v>
      </c>
      <c r="N11" s="2">
        <v>1979</v>
      </c>
      <c r="O11" s="7" t="s">
        <v>7139</v>
      </c>
      <c r="P11" s="7" t="s">
        <v>7140</v>
      </c>
      <c r="Q11" s="2" t="s">
        <v>7141</v>
      </c>
      <c r="R11" s="2" t="s">
        <v>7143</v>
      </c>
      <c r="S11" s="2">
        <v>10</v>
      </c>
      <c r="T11" s="2" t="s">
        <v>7143</v>
      </c>
      <c r="U11" s="2" t="s">
        <v>7143</v>
      </c>
      <c r="Y11" s="2">
        <v>170</v>
      </c>
      <c r="Z11" s="17">
        <v>0.76470000000000005</v>
      </c>
      <c r="AA11" s="2">
        <v>130</v>
      </c>
      <c r="AB11" s="2">
        <v>130</v>
      </c>
      <c r="AC11" s="7">
        <v>130</v>
      </c>
      <c r="AD11" s="2">
        <v>150</v>
      </c>
      <c r="AE11" s="2">
        <v>20</v>
      </c>
      <c r="AF11" s="2" t="s">
        <v>7143</v>
      </c>
      <c r="AG11" s="2" t="s">
        <v>7143</v>
      </c>
      <c r="AH11" s="2" t="s">
        <v>7143</v>
      </c>
      <c r="AJ11" s="2" t="s">
        <v>7143</v>
      </c>
      <c r="AK11" s="2" t="s">
        <v>7143</v>
      </c>
      <c r="AL11" s="2" t="s">
        <v>7143</v>
      </c>
      <c r="AM11" s="2" t="s">
        <v>7142</v>
      </c>
      <c r="AN11" s="2" t="s">
        <v>7143</v>
      </c>
      <c r="AO11" s="2" t="s">
        <v>7143</v>
      </c>
      <c r="AR11" s="7">
        <v>0.5</v>
      </c>
      <c r="AS11" s="7">
        <v>2</v>
      </c>
      <c r="AT11" s="7">
        <v>1.7</v>
      </c>
      <c r="AU11" s="2" t="s">
        <v>7193</v>
      </c>
      <c r="AV11" s="2" t="s">
        <v>7193</v>
      </c>
      <c r="AW11" s="2" t="s">
        <v>7143</v>
      </c>
      <c r="AZ11" s="2" t="s">
        <v>7226</v>
      </c>
      <c r="BA11" s="2" t="s">
        <v>285</v>
      </c>
      <c r="BC11" s="2" t="s">
        <v>7147</v>
      </c>
      <c r="BD11" s="2" t="s">
        <v>7143</v>
      </c>
      <c r="BE11" s="2" t="s">
        <v>7143</v>
      </c>
      <c r="BL11" s="2" t="s">
        <v>7195</v>
      </c>
      <c r="BO11" s="2" t="s">
        <v>7155</v>
      </c>
      <c r="BQ11" s="2" t="s">
        <v>7156</v>
      </c>
      <c r="BS11" s="2" t="s">
        <v>7142</v>
      </c>
      <c r="BT11" s="2" t="s">
        <v>7238</v>
      </c>
      <c r="BU11" s="2" t="s">
        <v>286</v>
      </c>
      <c r="BV11" s="2" t="s">
        <v>7239</v>
      </c>
      <c r="BX11" s="2" t="s">
        <v>7143</v>
      </c>
      <c r="BZ11" s="2" t="s">
        <v>7159</v>
      </c>
      <c r="CE11" s="7">
        <v>1.7</v>
      </c>
      <c r="CF11" s="2">
        <v>150</v>
      </c>
      <c r="CK11" s="2">
        <v>100</v>
      </c>
      <c r="CO11" s="2">
        <v>100</v>
      </c>
      <c r="CR11" s="2" t="s">
        <v>7160</v>
      </c>
      <c r="CT11" s="2" t="s">
        <v>7143</v>
      </c>
      <c r="CU11" s="2" t="s">
        <v>7234</v>
      </c>
      <c r="CW11" s="2" t="s">
        <v>7162</v>
      </c>
      <c r="CY11" s="2" t="s">
        <v>7164</v>
      </c>
      <c r="CZ11" s="2" t="s">
        <v>7164</v>
      </c>
      <c r="DA11" s="2" t="s">
        <v>7164</v>
      </c>
      <c r="DB11" s="2" t="s">
        <v>7164</v>
      </c>
      <c r="DC11" s="2" t="s">
        <v>7164</v>
      </c>
      <c r="DD11" s="2" t="s">
        <v>7164</v>
      </c>
      <c r="DE11" s="2" t="s">
        <v>7164</v>
      </c>
      <c r="DF11" s="2" t="s">
        <v>7164</v>
      </c>
      <c r="DG11" s="2" t="s">
        <v>7164</v>
      </c>
      <c r="DH11" s="2" t="s">
        <v>7164</v>
      </c>
      <c r="DI11" s="2" t="s">
        <v>7164</v>
      </c>
      <c r="DL11" s="2" t="s">
        <v>7143</v>
      </c>
      <c r="DM11" s="2" t="s">
        <v>7143</v>
      </c>
      <c r="DP11" s="2" t="s">
        <v>7159</v>
      </c>
      <c r="DT11" s="2" t="s">
        <v>7159</v>
      </c>
      <c r="DU11" s="2" t="s">
        <v>7159</v>
      </c>
      <c r="DV11" s="2" t="s">
        <v>7159</v>
      </c>
      <c r="DW11" s="2" t="s">
        <v>7159</v>
      </c>
      <c r="DX11" s="2" t="s">
        <v>7159</v>
      </c>
      <c r="DY11" s="2" t="s">
        <v>7159</v>
      </c>
      <c r="DZ11" s="2" t="s">
        <v>7159</v>
      </c>
      <c r="EA11" s="2" t="s">
        <v>7159</v>
      </c>
      <c r="EB11" s="2" t="s">
        <v>7159</v>
      </c>
      <c r="EC11" s="2" t="s">
        <v>7159</v>
      </c>
      <c r="ED11" s="2" t="s">
        <v>7159</v>
      </c>
      <c r="EJ11" s="2" t="s">
        <v>7193</v>
      </c>
      <c r="EK11" s="2" t="s">
        <v>7143</v>
      </c>
      <c r="EL11" s="2" t="s">
        <v>7143</v>
      </c>
      <c r="EN11" s="2" t="s">
        <v>7240</v>
      </c>
      <c r="EO11" s="2" t="s">
        <v>203</v>
      </c>
      <c r="EP11" s="2" t="s">
        <v>7241</v>
      </c>
      <c r="EQ11" s="2" t="s">
        <v>289</v>
      </c>
      <c r="ER11" s="2" t="s">
        <v>7143</v>
      </c>
      <c r="ET11" s="2" t="s">
        <v>7143</v>
      </c>
      <c r="EV11" s="2" t="s">
        <v>7143</v>
      </c>
      <c r="EX11" s="2" t="s">
        <v>7143</v>
      </c>
      <c r="EZ11" s="2" t="s">
        <v>7143</v>
      </c>
      <c r="FC11" s="2" t="s">
        <v>7218</v>
      </c>
      <c r="FD11" s="2" t="s">
        <v>7143</v>
      </c>
      <c r="FH11" s="2" t="s">
        <v>7173</v>
      </c>
      <c r="FJ11" s="2" t="s">
        <v>7143</v>
      </c>
      <c r="FK11" s="2" t="s">
        <v>7165</v>
      </c>
      <c r="FL11" s="2" t="s">
        <v>7242</v>
      </c>
      <c r="FN11" s="2" t="s">
        <v>7243</v>
      </c>
      <c r="FO11" s="2" t="s">
        <v>203</v>
      </c>
      <c r="FT11" s="2" t="s">
        <v>7189</v>
      </c>
      <c r="FV11" s="2" t="s">
        <v>7189</v>
      </c>
      <c r="FW11" s="2" t="s">
        <v>7189</v>
      </c>
      <c r="FX11" s="2" t="s">
        <v>7189</v>
      </c>
      <c r="FZ11" s="19" t="s">
        <v>7244</v>
      </c>
    </row>
    <row r="12" spans="1:182">
      <c r="A12" s="7" t="s">
        <v>292</v>
      </c>
      <c r="D12" s="15">
        <v>46030.38212962963</v>
      </c>
      <c r="E12" s="7" t="s">
        <v>177</v>
      </c>
      <c r="F12" s="7" t="s">
        <v>7245</v>
      </c>
      <c r="G12" s="7" t="s">
        <v>7135</v>
      </c>
      <c r="H12" s="7" t="s">
        <v>294</v>
      </c>
      <c r="I12" s="7" t="s">
        <v>295</v>
      </c>
      <c r="J12" s="19" t="s">
        <v>7246</v>
      </c>
      <c r="K12" s="7" t="s">
        <v>185</v>
      </c>
      <c r="L12" s="7" t="s">
        <v>7137</v>
      </c>
      <c r="M12" s="7" t="s">
        <v>7138</v>
      </c>
      <c r="N12" s="7">
        <v>1970</v>
      </c>
      <c r="O12" s="7" t="s">
        <v>7139</v>
      </c>
      <c r="P12" s="7" t="s">
        <v>7140</v>
      </c>
      <c r="Q12" s="7" t="s">
        <v>7225</v>
      </c>
      <c r="R12" s="7" t="s">
        <v>7143</v>
      </c>
      <c r="S12" s="7">
        <v>1996</v>
      </c>
      <c r="T12" s="2" t="s">
        <v>7143</v>
      </c>
      <c r="U12" s="2" t="s">
        <v>7143</v>
      </c>
      <c r="Y12" s="2">
        <v>350</v>
      </c>
      <c r="Z12" s="17">
        <v>1</v>
      </c>
      <c r="AA12" s="2">
        <v>350</v>
      </c>
      <c r="AB12" s="10">
        <v>350</v>
      </c>
      <c r="AC12" s="10">
        <v>250</v>
      </c>
      <c r="AD12" s="10">
        <v>300</v>
      </c>
      <c r="AE12" s="10">
        <v>50</v>
      </c>
      <c r="AF12" s="10" t="s">
        <v>7142</v>
      </c>
      <c r="AG12" s="10"/>
      <c r="AH12" s="10" t="s">
        <v>7143</v>
      </c>
      <c r="AI12" s="10"/>
      <c r="AJ12" s="10" t="s">
        <v>7143</v>
      </c>
      <c r="AK12" s="10" t="s">
        <v>7143</v>
      </c>
      <c r="AL12" s="10" t="s">
        <v>7143</v>
      </c>
      <c r="AM12" s="10" t="s">
        <v>7143</v>
      </c>
      <c r="AN12" s="10" t="s">
        <v>7143</v>
      </c>
      <c r="AO12" s="10" t="s">
        <v>7143</v>
      </c>
      <c r="AP12" s="10"/>
      <c r="AQ12" s="18"/>
      <c r="AR12" s="7">
        <v>0.9</v>
      </c>
      <c r="AS12" s="7">
        <v>3</v>
      </c>
      <c r="AT12" s="7">
        <v>3</v>
      </c>
      <c r="AU12" s="2" t="s">
        <v>7193</v>
      </c>
      <c r="AV12" s="2" t="s">
        <v>7193</v>
      </c>
      <c r="AW12" s="2" t="s">
        <v>7143</v>
      </c>
      <c r="AZ12" s="7" t="s">
        <v>7145</v>
      </c>
      <c r="BB12" s="7" t="s">
        <v>7146</v>
      </c>
      <c r="BC12" s="7" t="s">
        <v>7247</v>
      </c>
      <c r="BD12" s="7" t="s">
        <v>7142</v>
      </c>
      <c r="BE12" s="7" t="s">
        <v>7143</v>
      </c>
      <c r="BG12" s="7" t="s">
        <v>7149</v>
      </c>
      <c r="BH12" s="7" t="s">
        <v>7248</v>
      </c>
      <c r="BI12" s="7" t="s">
        <v>7151</v>
      </c>
      <c r="BL12" s="7" t="s">
        <v>7195</v>
      </c>
      <c r="BM12" s="2" t="s">
        <v>7153</v>
      </c>
      <c r="BN12" s="2" t="s">
        <v>7154</v>
      </c>
      <c r="BO12" s="7" t="s">
        <v>298</v>
      </c>
      <c r="BS12" s="2" t="s">
        <v>7142</v>
      </c>
      <c r="BT12" s="2" t="s">
        <v>7215</v>
      </c>
      <c r="BV12" s="2" t="s">
        <v>7239</v>
      </c>
      <c r="BX12" s="2" t="s">
        <v>7143</v>
      </c>
      <c r="BZ12" s="2" t="s">
        <v>7173</v>
      </c>
      <c r="CE12" s="7">
        <v>3</v>
      </c>
      <c r="CF12" s="2">
        <v>300</v>
      </c>
      <c r="CK12" s="2">
        <v>3</v>
      </c>
      <c r="CO12" s="2">
        <v>100</v>
      </c>
      <c r="CR12" s="2" t="s">
        <v>7160</v>
      </c>
      <c r="CT12" s="2" t="s">
        <v>7143</v>
      </c>
      <c r="CU12" s="2" t="s">
        <v>7161</v>
      </c>
      <c r="CW12" s="2" t="s">
        <v>7162</v>
      </c>
      <c r="CY12" s="2" t="s">
        <v>7249</v>
      </c>
      <c r="CZ12" s="2" t="s">
        <v>7249</v>
      </c>
      <c r="DA12" s="2" t="s">
        <v>7249</v>
      </c>
      <c r="DB12" s="2" t="s">
        <v>7250</v>
      </c>
      <c r="DC12" s="2" t="s">
        <v>7250</v>
      </c>
      <c r="DD12" s="2" t="s">
        <v>7251</v>
      </c>
      <c r="DE12" s="2" t="s">
        <v>7164</v>
      </c>
      <c r="DF12" s="2" t="s">
        <v>7164</v>
      </c>
      <c r="DG12" s="2" t="s">
        <v>7250</v>
      </c>
      <c r="DH12" s="2" t="s">
        <v>7250</v>
      </c>
      <c r="DI12" s="2" t="s">
        <v>7250</v>
      </c>
      <c r="DL12" s="2" t="s">
        <v>7143</v>
      </c>
      <c r="DM12" s="2" t="s">
        <v>7143</v>
      </c>
      <c r="DP12" s="2" t="s">
        <v>7159</v>
      </c>
      <c r="DT12" s="2" t="s">
        <v>7159</v>
      </c>
      <c r="DU12" s="2" t="s">
        <v>7159</v>
      </c>
      <c r="DV12" s="2" t="s">
        <v>7165</v>
      </c>
      <c r="DW12" s="2" t="s">
        <v>7165</v>
      </c>
      <c r="DX12" s="2" t="s">
        <v>7165</v>
      </c>
      <c r="DY12" s="2" t="s">
        <v>7165</v>
      </c>
      <c r="DZ12" s="2" t="s">
        <v>7159</v>
      </c>
      <c r="EA12" s="2" t="s">
        <v>7165</v>
      </c>
      <c r="EB12" s="2" t="s">
        <v>7159</v>
      </c>
      <c r="EC12" s="2" t="s">
        <v>7159</v>
      </c>
      <c r="ED12" s="2" t="s">
        <v>7159</v>
      </c>
      <c r="EF12" s="2" t="s">
        <v>7252</v>
      </c>
      <c r="EG12" s="2" t="s">
        <v>303</v>
      </c>
      <c r="EJ12" s="2" t="s">
        <v>7193</v>
      </c>
      <c r="EK12" s="2" t="s">
        <v>7143</v>
      </c>
      <c r="EL12" s="2" t="s">
        <v>7143</v>
      </c>
      <c r="EN12" s="2" t="s">
        <v>7170</v>
      </c>
      <c r="EP12" s="2" t="s">
        <v>7186</v>
      </c>
      <c r="ER12" s="2" t="s">
        <v>7142</v>
      </c>
      <c r="ET12" s="2" t="s">
        <v>7143</v>
      </c>
      <c r="EV12" s="2" t="s">
        <v>7143</v>
      </c>
      <c r="EX12" s="2" t="s">
        <v>7143</v>
      </c>
      <c r="FB12" s="10"/>
      <c r="FC12" s="10" t="s">
        <v>7172</v>
      </c>
      <c r="FD12" s="10" t="s">
        <v>7143</v>
      </c>
      <c r="FE12" s="10"/>
      <c r="FH12" s="2" t="s">
        <v>7173</v>
      </c>
      <c r="FJ12" s="2" t="s">
        <v>7142</v>
      </c>
      <c r="FK12" s="2" t="s">
        <v>7159</v>
      </c>
      <c r="FN12" s="2" t="s">
        <v>7253</v>
      </c>
      <c r="FT12" s="10" t="s">
        <v>7176</v>
      </c>
      <c r="FU12" s="10" t="s">
        <v>7189</v>
      </c>
      <c r="FV12" s="7" t="s">
        <v>7189</v>
      </c>
      <c r="FW12" s="10" t="s">
        <v>7189</v>
      </c>
      <c r="FX12" s="10"/>
      <c r="FY12" s="10"/>
      <c r="FZ12" s="20" t="s">
        <v>7254</v>
      </c>
    </row>
    <row r="13" spans="1:182">
      <c r="A13" s="7" t="s">
        <v>305</v>
      </c>
      <c r="D13" s="15">
        <v>46030.39267361111</v>
      </c>
      <c r="E13" s="7" t="s">
        <v>177</v>
      </c>
      <c r="F13" s="7" t="s">
        <v>7245</v>
      </c>
      <c r="G13" s="7" t="s">
        <v>7135</v>
      </c>
      <c r="H13" s="7" t="s">
        <v>306</v>
      </c>
      <c r="I13" s="7" t="s">
        <v>307</v>
      </c>
      <c r="J13" s="16" t="s">
        <v>7255</v>
      </c>
      <c r="K13" s="7" t="s">
        <v>185</v>
      </c>
      <c r="L13" s="2" t="s">
        <v>7137</v>
      </c>
      <c r="M13" s="7" t="s">
        <v>7138</v>
      </c>
      <c r="N13" s="7">
        <v>1956</v>
      </c>
      <c r="O13" s="7" t="s">
        <v>7139</v>
      </c>
      <c r="P13" s="2" t="s">
        <v>7140</v>
      </c>
      <c r="Q13" s="2" t="s">
        <v>7141</v>
      </c>
      <c r="R13" s="2" t="s">
        <v>7143</v>
      </c>
      <c r="S13" s="2">
        <v>1996</v>
      </c>
      <c r="T13" s="2" t="s">
        <v>7143</v>
      </c>
      <c r="U13" s="2" t="s">
        <v>7143</v>
      </c>
      <c r="Y13" s="2">
        <v>270</v>
      </c>
      <c r="Z13" s="17">
        <v>0.81479999999999997</v>
      </c>
      <c r="AA13" s="2">
        <v>220</v>
      </c>
      <c r="AB13" s="2">
        <v>200</v>
      </c>
      <c r="AC13" s="7">
        <v>80</v>
      </c>
      <c r="AD13" s="2">
        <v>100</v>
      </c>
      <c r="AE13" s="2">
        <v>20</v>
      </c>
      <c r="AF13" s="2" t="s">
        <v>7142</v>
      </c>
      <c r="AG13" s="2" t="s">
        <v>7142</v>
      </c>
      <c r="AH13" s="2" t="s">
        <v>7142</v>
      </c>
      <c r="AI13" s="2" t="s">
        <v>308</v>
      </c>
      <c r="AJ13" s="2" t="s">
        <v>7143</v>
      </c>
      <c r="AK13" s="2" t="s">
        <v>7143</v>
      </c>
      <c r="AL13" s="2" t="s">
        <v>7143</v>
      </c>
      <c r="AM13" s="2" t="s">
        <v>7142</v>
      </c>
      <c r="AN13" s="2" t="s">
        <v>7143</v>
      </c>
      <c r="AO13" s="2" t="s">
        <v>7143</v>
      </c>
      <c r="AP13" s="10"/>
      <c r="AQ13" s="18"/>
      <c r="AR13" s="7">
        <v>0.3</v>
      </c>
      <c r="AS13" s="7">
        <v>2</v>
      </c>
      <c r="AT13" s="7">
        <v>0.8</v>
      </c>
      <c r="AU13" s="2" t="s">
        <v>7193</v>
      </c>
      <c r="AV13" s="2" t="s">
        <v>7193</v>
      </c>
      <c r="AW13" s="2" t="s">
        <v>7143</v>
      </c>
      <c r="AZ13" s="2" t="s">
        <v>7145</v>
      </c>
      <c r="BB13" s="2" t="s">
        <v>7214</v>
      </c>
      <c r="BC13" s="2" t="s">
        <v>7208</v>
      </c>
      <c r="BD13" s="2" t="s">
        <v>7143</v>
      </c>
      <c r="BE13" s="2" t="s">
        <v>7142</v>
      </c>
      <c r="BF13" s="2" t="s">
        <v>7148</v>
      </c>
      <c r="BG13" s="2" t="s">
        <v>7149</v>
      </c>
      <c r="BH13" s="2" t="s">
        <v>7248</v>
      </c>
      <c r="BI13" s="2" t="s">
        <v>7151</v>
      </c>
      <c r="BL13" s="2" t="s">
        <v>7195</v>
      </c>
      <c r="BM13" s="2" t="s">
        <v>7153</v>
      </c>
      <c r="BN13" s="2" t="s">
        <v>7154</v>
      </c>
      <c r="BO13" s="2" t="s">
        <v>7155</v>
      </c>
      <c r="BQ13" s="2" t="s">
        <v>7256</v>
      </c>
      <c r="BS13" s="2" t="s">
        <v>7142</v>
      </c>
      <c r="BT13" s="2" t="s">
        <v>7215</v>
      </c>
      <c r="BV13" s="2" t="s">
        <v>7239</v>
      </c>
      <c r="BX13" s="2" t="s">
        <v>7142</v>
      </c>
      <c r="BY13" s="2" t="s">
        <v>310</v>
      </c>
      <c r="BZ13" s="2" t="s">
        <v>7165</v>
      </c>
      <c r="CA13" s="2" t="s">
        <v>311</v>
      </c>
      <c r="CE13" s="7">
        <v>0.8</v>
      </c>
      <c r="CK13" s="2">
        <v>100</v>
      </c>
      <c r="CO13" s="2">
        <v>100</v>
      </c>
      <c r="CR13" s="2" t="s">
        <v>7160</v>
      </c>
      <c r="CT13" s="2" t="s">
        <v>7143</v>
      </c>
      <c r="CU13" s="2" t="s">
        <v>7257</v>
      </c>
      <c r="CW13" s="2" t="s">
        <v>7162</v>
      </c>
      <c r="CY13" s="2" t="s">
        <v>7163</v>
      </c>
      <c r="CZ13" s="2" t="s">
        <v>7163</v>
      </c>
      <c r="DA13" s="2" t="s">
        <v>7163</v>
      </c>
      <c r="DB13" s="2" t="s">
        <v>7251</v>
      </c>
      <c r="DC13" s="2" t="s">
        <v>7164</v>
      </c>
      <c r="DD13" s="2" t="s">
        <v>7251</v>
      </c>
      <c r="DE13" s="2" t="s">
        <v>7163</v>
      </c>
      <c r="DF13" s="2" t="s">
        <v>7163</v>
      </c>
      <c r="DG13" s="2" t="s">
        <v>7249</v>
      </c>
      <c r="DH13" s="2" t="s">
        <v>7249</v>
      </c>
      <c r="DI13" s="2" t="s">
        <v>7249</v>
      </c>
      <c r="DL13" s="2" t="s">
        <v>7142</v>
      </c>
      <c r="DM13" s="2" t="s">
        <v>7142</v>
      </c>
      <c r="DN13" s="2" t="s">
        <v>7142</v>
      </c>
      <c r="DO13" s="2" t="s">
        <v>7142</v>
      </c>
      <c r="DP13" s="2" t="s">
        <v>7159</v>
      </c>
      <c r="DT13" s="2" t="s">
        <v>7165</v>
      </c>
      <c r="DU13" s="2" t="s">
        <v>7165</v>
      </c>
      <c r="DV13" s="2" t="s">
        <v>7165</v>
      </c>
      <c r="DW13" s="2" t="s">
        <v>7165</v>
      </c>
      <c r="DX13" s="2" t="s">
        <v>7165</v>
      </c>
      <c r="DY13" s="2" t="s">
        <v>7165</v>
      </c>
      <c r="DZ13" s="2" t="s">
        <v>7165</v>
      </c>
      <c r="EA13" s="2" t="s">
        <v>7165</v>
      </c>
      <c r="EB13" s="2" t="s">
        <v>7159</v>
      </c>
      <c r="EC13" s="2" t="s">
        <v>7159</v>
      </c>
      <c r="EF13" s="2" t="s">
        <v>7167</v>
      </c>
      <c r="EJ13" s="2" t="s">
        <v>7193</v>
      </c>
      <c r="EK13" s="2" t="s">
        <v>7142</v>
      </c>
      <c r="EL13" s="2" t="s">
        <v>7143</v>
      </c>
      <c r="EN13" s="2" t="s">
        <v>7170</v>
      </c>
      <c r="EP13" s="18" t="s">
        <v>7186</v>
      </c>
      <c r="EQ13" s="10"/>
      <c r="ER13" s="10" t="s">
        <v>7142</v>
      </c>
      <c r="ES13" s="10"/>
      <c r="ET13" s="10" t="s">
        <v>7143</v>
      </c>
      <c r="EU13" s="10"/>
      <c r="EV13" s="10" t="s">
        <v>7142</v>
      </c>
      <c r="EW13" s="10" t="s">
        <v>7204</v>
      </c>
      <c r="EX13" s="10" t="s">
        <v>7143</v>
      </c>
      <c r="EY13" s="10"/>
      <c r="EZ13" s="10"/>
      <c r="FA13" s="10"/>
      <c r="FB13" s="10"/>
      <c r="FC13" s="10" t="s">
        <v>7218</v>
      </c>
      <c r="FD13" s="10" t="s">
        <v>7143</v>
      </c>
      <c r="FE13" s="10"/>
      <c r="FH13" s="2" t="s">
        <v>7173</v>
      </c>
      <c r="FJ13" s="2" t="s">
        <v>7142</v>
      </c>
      <c r="FK13" s="2" t="s">
        <v>7159</v>
      </c>
      <c r="FN13" s="2" t="s">
        <v>7258</v>
      </c>
      <c r="FR13" s="16" t="s">
        <v>314</v>
      </c>
      <c r="FT13" s="10" t="s">
        <v>7176</v>
      </c>
      <c r="FU13" s="10" t="s">
        <v>7189</v>
      </c>
      <c r="FV13" s="10" t="s">
        <v>7189</v>
      </c>
      <c r="FW13" s="10" t="s">
        <v>7189</v>
      </c>
      <c r="FX13" s="10"/>
      <c r="FY13" s="10"/>
      <c r="FZ13" s="20" t="s">
        <v>7259</v>
      </c>
    </row>
    <row r="14" spans="1:182">
      <c r="A14" s="7" t="s">
        <v>315</v>
      </c>
      <c r="D14" s="15">
        <v>46030.394155092596</v>
      </c>
      <c r="E14" s="7" t="s">
        <v>177</v>
      </c>
      <c r="F14" s="7" t="s">
        <v>7245</v>
      </c>
      <c r="G14" s="7" t="s">
        <v>7135</v>
      </c>
      <c r="H14" s="7" t="s">
        <v>294</v>
      </c>
      <c r="I14" s="7" t="s">
        <v>316</v>
      </c>
      <c r="J14" s="19" t="s">
        <v>7255</v>
      </c>
      <c r="K14" s="7" t="s">
        <v>317</v>
      </c>
      <c r="L14" s="2" t="s">
        <v>7137</v>
      </c>
      <c r="M14" s="7" t="s">
        <v>7138</v>
      </c>
      <c r="N14" s="7">
        <v>1966</v>
      </c>
      <c r="O14" s="7" t="s">
        <v>7139</v>
      </c>
      <c r="P14" s="7" t="s">
        <v>7140</v>
      </c>
      <c r="Q14" s="7" t="s">
        <v>7225</v>
      </c>
      <c r="R14" s="2" t="s">
        <v>7143</v>
      </c>
      <c r="S14" s="2">
        <v>1996</v>
      </c>
      <c r="T14" s="2" t="s">
        <v>7143</v>
      </c>
      <c r="U14" s="2" t="s">
        <v>7143</v>
      </c>
      <c r="Y14" s="2">
        <v>370</v>
      </c>
      <c r="Z14" s="17">
        <v>0.94589999999999996</v>
      </c>
      <c r="AA14" s="2">
        <v>350</v>
      </c>
      <c r="AC14" s="7">
        <v>340</v>
      </c>
      <c r="AD14" s="2">
        <v>400</v>
      </c>
      <c r="AE14" s="2">
        <v>60</v>
      </c>
      <c r="AF14" s="2" t="s">
        <v>7142</v>
      </c>
      <c r="AG14" s="2" t="s">
        <v>7142</v>
      </c>
      <c r="AH14" s="2" t="s">
        <v>7142</v>
      </c>
      <c r="AI14" s="2" t="s">
        <v>318</v>
      </c>
      <c r="AJ14" s="2" t="s">
        <v>7143</v>
      </c>
      <c r="AK14" s="2" t="s">
        <v>7143</v>
      </c>
      <c r="AN14" s="2" t="s">
        <v>7143</v>
      </c>
      <c r="AO14" s="2" t="s">
        <v>7143</v>
      </c>
      <c r="AR14" s="7">
        <v>1.2</v>
      </c>
      <c r="AS14" s="7">
        <v>4</v>
      </c>
      <c r="AT14" s="7">
        <v>4.13</v>
      </c>
      <c r="AU14" s="2" t="s">
        <v>7193</v>
      </c>
      <c r="AV14" s="2" t="s">
        <v>7193</v>
      </c>
      <c r="AW14" s="2" t="s">
        <v>7143</v>
      </c>
      <c r="AZ14" s="2" t="s">
        <v>7145</v>
      </c>
      <c r="BB14" s="2" t="s">
        <v>7214</v>
      </c>
      <c r="BC14" s="2" t="s">
        <v>7147</v>
      </c>
      <c r="BD14" s="2" t="s">
        <v>7142</v>
      </c>
      <c r="BE14" s="2" t="s">
        <v>7142</v>
      </c>
      <c r="BF14" s="2" t="s">
        <v>7148</v>
      </c>
      <c r="BG14" s="2" t="s">
        <v>7149</v>
      </c>
      <c r="BH14" s="2" t="s">
        <v>7248</v>
      </c>
      <c r="BI14" s="2" t="s">
        <v>7151</v>
      </c>
      <c r="BL14" s="2" t="s">
        <v>7195</v>
      </c>
      <c r="BM14" s="2" t="s">
        <v>7153</v>
      </c>
      <c r="BN14" s="2" t="s">
        <v>7154</v>
      </c>
      <c r="BO14" s="2" t="s">
        <v>7155</v>
      </c>
      <c r="BS14" s="2" t="s">
        <v>7142</v>
      </c>
      <c r="BT14" s="2" t="s">
        <v>7215</v>
      </c>
      <c r="BV14" s="2" t="s">
        <v>7239</v>
      </c>
      <c r="BX14" s="2" t="s">
        <v>7143</v>
      </c>
      <c r="BZ14" s="2" t="s">
        <v>7159</v>
      </c>
      <c r="CE14" s="7">
        <v>4.13</v>
      </c>
      <c r="CF14" s="2">
        <v>410</v>
      </c>
      <c r="CK14" s="2">
        <v>100</v>
      </c>
      <c r="CO14" s="2">
        <v>100</v>
      </c>
      <c r="CR14" s="2" t="s">
        <v>7160</v>
      </c>
      <c r="CT14" s="2" t="s">
        <v>7143</v>
      </c>
      <c r="CU14" s="2" t="s">
        <v>7161</v>
      </c>
      <c r="CW14" s="2" t="s">
        <v>7162</v>
      </c>
      <c r="CY14" s="2" t="s">
        <v>7163</v>
      </c>
      <c r="CZ14" s="2" t="s">
        <v>7163</v>
      </c>
      <c r="DB14" s="2" t="s">
        <v>7163</v>
      </c>
      <c r="DC14" s="2" t="s">
        <v>7163</v>
      </c>
      <c r="DD14" s="2" t="s">
        <v>7249</v>
      </c>
      <c r="DE14" s="2" t="s">
        <v>7227</v>
      </c>
      <c r="DF14" s="2" t="s">
        <v>7227</v>
      </c>
      <c r="DG14" s="2" t="s">
        <v>7164</v>
      </c>
      <c r="DH14" s="2" t="s">
        <v>7164</v>
      </c>
      <c r="DI14" s="2" t="s">
        <v>7164</v>
      </c>
      <c r="DL14" s="2" t="s">
        <v>7142</v>
      </c>
      <c r="DM14" s="2" t="s">
        <v>7142</v>
      </c>
      <c r="DN14" s="2" t="s">
        <v>7142</v>
      </c>
      <c r="DO14" s="2" t="s">
        <v>7142</v>
      </c>
      <c r="DP14" s="2" t="s">
        <v>7165</v>
      </c>
      <c r="DQ14" s="2" t="s">
        <v>7166</v>
      </c>
      <c r="DT14" s="2" t="s">
        <v>7165</v>
      </c>
      <c r="DU14" s="2" t="s">
        <v>7165</v>
      </c>
      <c r="DV14" s="2" t="s">
        <v>7165</v>
      </c>
      <c r="DW14" s="2" t="s">
        <v>7165</v>
      </c>
      <c r="DX14" s="2" t="s">
        <v>7165</v>
      </c>
      <c r="DY14" s="2" t="s">
        <v>7165</v>
      </c>
      <c r="DZ14" s="2" t="s">
        <v>7165</v>
      </c>
      <c r="EA14" s="2" t="s">
        <v>7165</v>
      </c>
      <c r="EB14" s="2" t="s">
        <v>7165</v>
      </c>
      <c r="EC14" s="2" t="s">
        <v>7159</v>
      </c>
      <c r="ED14" s="2" t="s">
        <v>7159</v>
      </c>
      <c r="EF14" s="2" t="s">
        <v>7167</v>
      </c>
      <c r="EJ14" s="2" t="s">
        <v>7193</v>
      </c>
      <c r="EK14" s="2" t="s">
        <v>7142</v>
      </c>
      <c r="EL14" s="2" t="s">
        <v>7143</v>
      </c>
      <c r="EN14" s="2" t="s">
        <v>7170</v>
      </c>
      <c r="EP14" s="18" t="s">
        <v>7186</v>
      </c>
      <c r="EQ14" s="10"/>
      <c r="ER14" s="10" t="s">
        <v>7142</v>
      </c>
      <c r="ES14" s="10"/>
      <c r="ET14" s="10" t="s">
        <v>7143</v>
      </c>
      <c r="EU14" s="10"/>
      <c r="EV14" s="10" t="s">
        <v>7143</v>
      </c>
      <c r="EW14" s="10"/>
      <c r="EX14" s="10" t="s">
        <v>7143</v>
      </c>
      <c r="EY14" s="10"/>
      <c r="EZ14" s="10" t="s">
        <v>7143</v>
      </c>
      <c r="FA14" s="10"/>
      <c r="FC14" s="2" t="s">
        <v>7172</v>
      </c>
      <c r="FD14" s="2" t="s">
        <v>7143</v>
      </c>
      <c r="FH14" s="2" t="s">
        <v>7173</v>
      </c>
      <c r="FJ14" s="2" t="s">
        <v>7143</v>
      </c>
      <c r="FK14" s="2" t="s">
        <v>7165</v>
      </c>
      <c r="FL14" s="2" t="s">
        <v>7260</v>
      </c>
      <c r="FN14" s="2" t="s">
        <v>7253</v>
      </c>
      <c r="FT14" s="2" t="s">
        <v>7176</v>
      </c>
      <c r="FU14" s="2" t="s">
        <v>7189</v>
      </c>
      <c r="FV14" s="2" t="s">
        <v>7176</v>
      </c>
      <c r="FW14" s="2" t="s">
        <v>7176</v>
      </c>
      <c r="FZ14" s="19" t="s">
        <v>7261</v>
      </c>
    </row>
    <row r="15" spans="1:182">
      <c r="A15" s="7" t="s">
        <v>320</v>
      </c>
      <c r="D15" s="15">
        <v>46030.395532407405</v>
      </c>
      <c r="E15" s="7" t="s">
        <v>177</v>
      </c>
      <c r="F15" s="7" t="s">
        <v>7245</v>
      </c>
      <c r="G15" s="7" t="s">
        <v>7135</v>
      </c>
      <c r="H15" s="7" t="s">
        <v>321</v>
      </c>
      <c r="I15" s="7" t="s">
        <v>322</v>
      </c>
      <c r="J15" s="16" t="s">
        <v>7262</v>
      </c>
      <c r="K15" s="7" t="s">
        <v>323</v>
      </c>
      <c r="L15" s="2" t="s">
        <v>7224</v>
      </c>
      <c r="M15" s="7" t="s">
        <v>7138</v>
      </c>
      <c r="N15" s="7">
        <v>1981</v>
      </c>
      <c r="O15" s="7" t="s">
        <v>7139</v>
      </c>
      <c r="P15" s="7" t="s">
        <v>7140</v>
      </c>
      <c r="Q15" s="7" t="s">
        <v>7141</v>
      </c>
      <c r="R15" s="2" t="s">
        <v>7143</v>
      </c>
      <c r="S15" s="2">
        <v>2010</v>
      </c>
      <c r="T15" s="2" t="s">
        <v>7143</v>
      </c>
      <c r="U15" s="2" t="s">
        <v>7143</v>
      </c>
      <c r="Y15" s="2">
        <v>350</v>
      </c>
      <c r="Z15" s="17">
        <v>1</v>
      </c>
      <c r="AA15" s="2">
        <v>350</v>
      </c>
      <c r="AB15" s="2">
        <v>320</v>
      </c>
      <c r="AC15" s="7">
        <v>260</v>
      </c>
      <c r="AD15" s="2">
        <v>300</v>
      </c>
      <c r="AE15" s="2">
        <v>40</v>
      </c>
      <c r="AF15" s="2" t="s">
        <v>7142</v>
      </c>
      <c r="AG15" s="2" t="s">
        <v>7142</v>
      </c>
      <c r="AH15" s="2" t="s">
        <v>7142</v>
      </c>
      <c r="AI15" s="2" t="s">
        <v>308</v>
      </c>
      <c r="AJ15" s="2" t="s">
        <v>7143</v>
      </c>
      <c r="AK15" s="2" t="s">
        <v>7142</v>
      </c>
      <c r="AL15" s="2" t="s">
        <v>7143</v>
      </c>
      <c r="AM15" s="2" t="s">
        <v>7142</v>
      </c>
      <c r="AN15" s="2" t="s">
        <v>7143</v>
      </c>
      <c r="AO15" s="2" t="s">
        <v>7143</v>
      </c>
      <c r="AR15" s="7">
        <v>1</v>
      </c>
      <c r="AS15" s="7">
        <v>1</v>
      </c>
      <c r="AT15" s="7">
        <v>3</v>
      </c>
      <c r="AU15" s="2" t="s">
        <v>7193</v>
      </c>
      <c r="AV15" s="2" t="s">
        <v>7193</v>
      </c>
      <c r="AW15" s="2" t="s">
        <v>7143</v>
      </c>
      <c r="AZ15" s="2" t="s">
        <v>7145</v>
      </c>
      <c r="BB15" s="2" t="s">
        <v>7214</v>
      </c>
      <c r="BC15" s="2" t="s">
        <v>7208</v>
      </c>
      <c r="BD15" s="2" t="s">
        <v>7143</v>
      </c>
      <c r="BE15" s="2" t="s">
        <v>7142</v>
      </c>
      <c r="BF15" s="2" t="s">
        <v>7148</v>
      </c>
      <c r="BG15" s="2" t="s">
        <v>7149</v>
      </c>
      <c r="BH15" s="2" t="s">
        <v>7248</v>
      </c>
      <c r="BI15" s="2" t="s">
        <v>7151</v>
      </c>
      <c r="BL15" s="2" t="s">
        <v>7152</v>
      </c>
      <c r="BM15" s="2" t="s">
        <v>7153</v>
      </c>
      <c r="BN15" s="2" t="s">
        <v>7154</v>
      </c>
      <c r="BO15" s="2" t="s">
        <v>7155</v>
      </c>
      <c r="BQ15" s="2" t="s">
        <v>7256</v>
      </c>
      <c r="BS15" s="2" t="s">
        <v>7142</v>
      </c>
      <c r="BT15" s="2" t="s">
        <v>7263</v>
      </c>
      <c r="BV15" s="2" t="s">
        <v>7264</v>
      </c>
      <c r="BX15" s="2" t="s">
        <v>7142</v>
      </c>
      <c r="BY15" s="2" t="s">
        <v>326</v>
      </c>
      <c r="BZ15" s="2" t="s">
        <v>7159</v>
      </c>
      <c r="CE15" s="7">
        <v>3</v>
      </c>
      <c r="CF15" s="2">
        <v>300</v>
      </c>
      <c r="CK15" s="2">
        <v>100</v>
      </c>
      <c r="CO15" s="2">
        <v>100</v>
      </c>
      <c r="CR15" s="2" t="s">
        <v>7160</v>
      </c>
      <c r="CT15" s="2" t="s">
        <v>7143</v>
      </c>
      <c r="CU15" s="2" t="s">
        <v>7161</v>
      </c>
      <c r="CW15" s="2" t="s">
        <v>7162</v>
      </c>
      <c r="CY15" s="2" t="s">
        <v>7227</v>
      </c>
      <c r="CZ15" s="2" t="s">
        <v>7227</v>
      </c>
      <c r="DA15" s="2" t="s">
        <v>7249</v>
      </c>
      <c r="DB15" s="2" t="s">
        <v>7249</v>
      </c>
      <c r="DC15" s="2" t="s">
        <v>7250</v>
      </c>
      <c r="DD15" s="2" t="s">
        <v>7249</v>
      </c>
      <c r="DE15" s="2" t="s">
        <v>7250</v>
      </c>
      <c r="DF15" s="2" t="s">
        <v>7250</v>
      </c>
      <c r="DG15" s="2" t="s">
        <v>7250</v>
      </c>
      <c r="DH15" s="2" t="s">
        <v>7250</v>
      </c>
      <c r="DI15" s="2" t="s">
        <v>7250</v>
      </c>
      <c r="DL15" s="2" t="s">
        <v>7142</v>
      </c>
      <c r="DM15" s="2" t="s">
        <v>7142</v>
      </c>
      <c r="DN15" s="2" t="s">
        <v>7142</v>
      </c>
      <c r="DO15" s="2" t="s">
        <v>7142</v>
      </c>
      <c r="DP15" s="2" t="s">
        <v>7159</v>
      </c>
      <c r="DT15" s="2" t="s">
        <v>7165</v>
      </c>
      <c r="DU15" s="2" t="s">
        <v>7165</v>
      </c>
      <c r="DV15" s="2" t="s">
        <v>7165</v>
      </c>
      <c r="DW15" s="2" t="s">
        <v>7165</v>
      </c>
      <c r="DX15" s="2" t="s">
        <v>7165</v>
      </c>
      <c r="DY15" s="2" t="s">
        <v>7165</v>
      </c>
      <c r="DZ15" s="2" t="s">
        <v>7159</v>
      </c>
      <c r="EA15" s="2" t="s">
        <v>7165</v>
      </c>
      <c r="EB15" s="2" t="s">
        <v>7165</v>
      </c>
      <c r="EC15" s="2" t="s">
        <v>7159</v>
      </c>
      <c r="EF15" s="2" t="s">
        <v>7167</v>
      </c>
      <c r="EJ15" s="2" t="s">
        <v>7193</v>
      </c>
      <c r="EK15" s="2" t="s">
        <v>7142</v>
      </c>
      <c r="EL15" s="2" t="s">
        <v>7143</v>
      </c>
      <c r="EN15" s="2" t="s">
        <v>7170</v>
      </c>
      <c r="EP15" s="2" t="s">
        <v>7186</v>
      </c>
      <c r="ER15" s="2" t="s">
        <v>7142</v>
      </c>
      <c r="ET15" s="2" t="s">
        <v>7143</v>
      </c>
      <c r="EV15" s="2" t="s">
        <v>7143</v>
      </c>
      <c r="EX15" s="2" t="s">
        <v>7143</v>
      </c>
      <c r="FC15" s="2" t="s">
        <v>7172</v>
      </c>
      <c r="FD15" s="2" t="s">
        <v>7143</v>
      </c>
      <c r="FH15" s="2" t="s">
        <v>7173</v>
      </c>
      <c r="FJ15" s="2" t="s">
        <v>7143</v>
      </c>
      <c r="FK15" s="2" t="s">
        <v>7165</v>
      </c>
      <c r="FL15" s="2" t="s">
        <v>7265</v>
      </c>
      <c r="FN15" s="2" t="s">
        <v>7253</v>
      </c>
      <c r="FT15" s="2" t="s">
        <v>7176</v>
      </c>
      <c r="FU15" s="2" t="s">
        <v>7189</v>
      </c>
      <c r="FV15" s="2" t="s">
        <v>7176</v>
      </c>
      <c r="FW15" s="2" t="s">
        <v>7189</v>
      </c>
      <c r="FZ15" s="19" t="s">
        <v>7266</v>
      </c>
    </row>
    <row r="16" spans="1:182">
      <c r="A16" s="7" t="s">
        <v>328</v>
      </c>
      <c r="D16" s="15">
        <v>46030.422418981485</v>
      </c>
      <c r="E16" s="7" t="s">
        <v>177</v>
      </c>
      <c r="F16" s="7" t="s">
        <v>7245</v>
      </c>
      <c r="G16" s="7" t="s">
        <v>7135</v>
      </c>
      <c r="H16" s="7" t="s">
        <v>329</v>
      </c>
      <c r="I16" s="7" t="s">
        <v>330</v>
      </c>
      <c r="J16" s="19" t="s">
        <v>7267</v>
      </c>
      <c r="K16" s="7" t="s">
        <v>331</v>
      </c>
      <c r="L16" s="2" t="s">
        <v>7224</v>
      </c>
      <c r="M16" s="7" t="s">
        <v>7179</v>
      </c>
      <c r="N16" s="7">
        <v>1989</v>
      </c>
      <c r="O16" s="7" t="s">
        <v>7139</v>
      </c>
      <c r="P16" s="7" t="s">
        <v>7181</v>
      </c>
      <c r="Q16" s="7" t="s">
        <v>7225</v>
      </c>
      <c r="R16" s="2" t="s">
        <v>7143</v>
      </c>
      <c r="S16" s="2">
        <v>2016</v>
      </c>
      <c r="T16" s="2" t="s">
        <v>7143</v>
      </c>
      <c r="U16" s="2" t="s">
        <v>7143</v>
      </c>
      <c r="Y16" s="2">
        <v>310</v>
      </c>
      <c r="Z16" s="17">
        <v>0.80649999999999999</v>
      </c>
      <c r="AA16" s="2">
        <v>250</v>
      </c>
      <c r="AB16" s="2">
        <v>200</v>
      </c>
      <c r="AC16" s="7">
        <v>190</v>
      </c>
      <c r="AD16" s="2">
        <v>200</v>
      </c>
      <c r="AE16" s="2">
        <v>10</v>
      </c>
      <c r="AF16" s="2" t="s">
        <v>7142</v>
      </c>
      <c r="AG16" s="2" t="s">
        <v>7143</v>
      </c>
      <c r="AH16" s="2" t="s">
        <v>7142</v>
      </c>
      <c r="AI16" s="2" t="s">
        <v>308</v>
      </c>
      <c r="AJ16" s="2" t="s">
        <v>7143</v>
      </c>
      <c r="AK16" s="2" t="s">
        <v>7143</v>
      </c>
      <c r="AL16" s="2" t="s">
        <v>7143</v>
      </c>
      <c r="AM16" s="2" t="s">
        <v>7142</v>
      </c>
      <c r="AN16" s="2" t="s">
        <v>7143</v>
      </c>
      <c r="AO16" s="2" t="s">
        <v>7143</v>
      </c>
      <c r="AR16" s="7">
        <v>0.4</v>
      </c>
      <c r="AS16" s="7">
        <v>1</v>
      </c>
      <c r="AT16" s="7">
        <v>0.2</v>
      </c>
      <c r="AU16" s="2" t="s">
        <v>7217</v>
      </c>
      <c r="AV16" s="2" t="s">
        <v>7217</v>
      </c>
      <c r="AW16" s="2" t="s">
        <v>7143</v>
      </c>
      <c r="AZ16" s="2" t="s">
        <v>7145</v>
      </c>
      <c r="BB16" s="2" t="s">
        <v>7268</v>
      </c>
      <c r="BC16" s="2" t="s">
        <v>7208</v>
      </c>
      <c r="BD16" s="2" t="s">
        <v>7142</v>
      </c>
      <c r="BE16" s="2" t="s">
        <v>7142</v>
      </c>
      <c r="BF16" s="2" t="s">
        <v>7148</v>
      </c>
      <c r="BG16" s="2" t="s">
        <v>7149</v>
      </c>
      <c r="BH16" s="2" t="s">
        <v>7150</v>
      </c>
      <c r="BI16" s="2" t="s">
        <v>7269</v>
      </c>
      <c r="BL16" s="2" t="s">
        <v>7195</v>
      </c>
      <c r="BM16" s="2" t="s">
        <v>7153</v>
      </c>
      <c r="BN16" s="2" t="s">
        <v>7154</v>
      </c>
      <c r="BO16" s="2" t="s">
        <v>7155</v>
      </c>
      <c r="BP16" s="2" t="s">
        <v>7270</v>
      </c>
      <c r="BQ16" s="2" t="s">
        <v>7183</v>
      </c>
      <c r="BS16" s="2" t="s">
        <v>7143</v>
      </c>
      <c r="BT16" s="2" t="s">
        <v>7215</v>
      </c>
      <c r="BV16" s="2" t="s">
        <v>7239</v>
      </c>
      <c r="BX16" s="2" t="s">
        <v>7143</v>
      </c>
      <c r="BY16" s="2" t="s">
        <v>335</v>
      </c>
      <c r="BZ16" s="2" t="s">
        <v>7173</v>
      </c>
      <c r="CE16" s="7">
        <v>0.2</v>
      </c>
      <c r="CF16" s="2">
        <v>200</v>
      </c>
      <c r="CK16" s="2">
        <v>100</v>
      </c>
      <c r="CO16" s="2">
        <v>100</v>
      </c>
      <c r="CR16" s="2" t="s">
        <v>7160</v>
      </c>
      <c r="CT16" s="2" t="s">
        <v>7143</v>
      </c>
      <c r="CU16" s="2" t="s">
        <v>7234</v>
      </c>
      <c r="CW16" s="2" t="s">
        <v>7162</v>
      </c>
      <c r="CY16" s="2" t="s">
        <v>7227</v>
      </c>
      <c r="CZ16" s="2" t="s">
        <v>7249</v>
      </c>
      <c r="DA16" s="2" t="s">
        <v>7249</v>
      </c>
      <c r="DB16" s="2" t="s">
        <v>7249</v>
      </c>
      <c r="DC16" s="2" t="s">
        <v>7249</v>
      </c>
      <c r="DD16" s="2" t="s">
        <v>7249</v>
      </c>
      <c r="DE16" s="2" t="s">
        <v>7249</v>
      </c>
      <c r="DF16" s="2" t="s">
        <v>7250</v>
      </c>
      <c r="DG16" s="2" t="s">
        <v>7249</v>
      </c>
      <c r="DH16" s="2" t="s">
        <v>7249</v>
      </c>
      <c r="DI16" s="2" t="s">
        <v>7249</v>
      </c>
      <c r="DL16" s="2" t="s">
        <v>7143</v>
      </c>
      <c r="DM16" s="2" t="s">
        <v>7143</v>
      </c>
      <c r="DP16" s="2" t="s">
        <v>7159</v>
      </c>
      <c r="DT16" s="2" t="s">
        <v>7165</v>
      </c>
      <c r="DU16" s="2" t="s">
        <v>7165</v>
      </c>
      <c r="DV16" s="2" t="s">
        <v>7165</v>
      </c>
      <c r="DW16" s="2" t="s">
        <v>7165</v>
      </c>
      <c r="DX16" s="2" t="s">
        <v>7165</v>
      </c>
      <c r="DY16" s="2" t="s">
        <v>7159</v>
      </c>
      <c r="DZ16" s="2" t="s">
        <v>7159</v>
      </c>
      <c r="EA16" s="2" t="s">
        <v>7165</v>
      </c>
      <c r="EB16" s="2" t="s">
        <v>7165</v>
      </c>
      <c r="EC16" s="2" t="s">
        <v>7159</v>
      </c>
      <c r="EF16" s="2" t="s">
        <v>7252</v>
      </c>
      <c r="EG16" s="2" t="s">
        <v>336</v>
      </c>
      <c r="EJ16" s="2" t="s">
        <v>7217</v>
      </c>
      <c r="EK16" s="2" t="s">
        <v>7143</v>
      </c>
      <c r="EL16" s="2" t="s">
        <v>7143</v>
      </c>
      <c r="EN16" s="2" t="s">
        <v>7170</v>
      </c>
      <c r="EP16" s="2" t="s">
        <v>7186</v>
      </c>
      <c r="ER16" s="2" t="s">
        <v>7143</v>
      </c>
      <c r="ET16" s="2" t="s">
        <v>7143</v>
      </c>
      <c r="EV16" s="2" t="s">
        <v>7143</v>
      </c>
      <c r="EX16" s="2" t="s">
        <v>7143</v>
      </c>
      <c r="FC16" s="2" t="s">
        <v>7172</v>
      </c>
      <c r="FD16" s="2" t="s">
        <v>7143</v>
      </c>
      <c r="FH16" s="2" t="s">
        <v>7173</v>
      </c>
      <c r="FJ16" s="2" t="s">
        <v>7142</v>
      </c>
      <c r="FK16" s="2" t="s">
        <v>7165</v>
      </c>
      <c r="FL16" s="2" t="s">
        <v>7260</v>
      </c>
      <c r="FN16" s="2" t="s">
        <v>7243</v>
      </c>
      <c r="FO16" s="2" t="s">
        <v>203</v>
      </c>
      <c r="FT16" s="2" t="s">
        <v>7189</v>
      </c>
      <c r="FU16" s="2" t="s">
        <v>7189</v>
      </c>
      <c r="FV16" s="2" t="s">
        <v>7189</v>
      </c>
      <c r="FW16" s="2" t="s">
        <v>7189</v>
      </c>
      <c r="FZ16" s="19" t="s">
        <v>7271</v>
      </c>
    </row>
    <row r="17" spans="1:182">
      <c r="A17" s="7" t="s">
        <v>337</v>
      </c>
      <c r="D17" s="15">
        <v>46030.453576388885</v>
      </c>
      <c r="E17" s="7" t="s">
        <v>177</v>
      </c>
      <c r="F17" s="7" t="s">
        <v>7245</v>
      </c>
      <c r="G17" s="7" t="s">
        <v>7135</v>
      </c>
      <c r="H17" s="2" t="s">
        <v>294</v>
      </c>
      <c r="I17" s="7" t="s">
        <v>338</v>
      </c>
      <c r="J17" s="16" t="s">
        <v>7272</v>
      </c>
      <c r="K17" s="7" t="s">
        <v>338</v>
      </c>
      <c r="L17" s="7" t="s">
        <v>7137</v>
      </c>
      <c r="M17" s="7" t="s">
        <v>7138</v>
      </c>
      <c r="N17" s="7">
        <v>1989</v>
      </c>
      <c r="O17" s="7" t="s">
        <v>7139</v>
      </c>
      <c r="P17" s="7" t="s">
        <v>7140</v>
      </c>
      <c r="Q17" s="7" t="s">
        <v>7141</v>
      </c>
      <c r="R17" s="7" t="s">
        <v>7142</v>
      </c>
      <c r="S17" s="7">
        <v>2016</v>
      </c>
      <c r="T17" s="7" t="s">
        <v>7143</v>
      </c>
      <c r="U17" s="7" t="s">
        <v>7143</v>
      </c>
      <c r="Y17" s="2">
        <v>400</v>
      </c>
      <c r="Z17" s="17">
        <v>0.875</v>
      </c>
      <c r="AA17" s="2">
        <v>350</v>
      </c>
      <c r="AB17" s="2">
        <v>350</v>
      </c>
      <c r="AC17" s="7">
        <v>280</v>
      </c>
      <c r="AD17" s="2">
        <v>310</v>
      </c>
      <c r="AE17" s="7">
        <v>30</v>
      </c>
      <c r="AF17" s="2" t="s">
        <v>7142</v>
      </c>
      <c r="AG17" s="2" t="s">
        <v>7143</v>
      </c>
      <c r="AH17" s="7" t="s">
        <v>7142</v>
      </c>
      <c r="AI17" s="2" t="s">
        <v>308</v>
      </c>
      <c r="AJ17" s="2" t="s">
        <v>7143</v>
      </c>
      <c r="AK17" s="2" t="s">
        <v>7143</v>
      </c>
      <c r="AM17" s="7" t="s">
        <v>7142</v>
      </c>
      <c r="AN17" s="2" t="s">
        <v>7143</v>
      </c>
      <c r="AO17" s="7" t="s">
        <v>7143</v>
      </c>
      <c r="AR17" s="7">
        <v>1.2</v>
      </c>
      <c r="AS17" s="7">
        <v>2</v>
      </c>
      <c r="AT17" s="7">
        <v>3</v>
      </c>
      <c r="AU17" s="2" t="s">
        <v>7144</v>
      </c>
      <c r="AV17" s="2" t="s">
        <v>7144</v>
      </c>
      <c r="AW17" s="2" t="s">
        <v>7143</v>
      </c>
      <c r="AZ17" s="7" t="s">
        <v>7273</v>
      </c>
      <c r="BA17" s="7" t="s">
        <v>340</v>
      </c>
      <c r="BB17" s="2" t="s">
        <v>7214</v>
      </c>
      <c r="BC17" s="7" t="s">
        <v>7247</v>
      </c>
      <c r="BD17" s="7" t="s">
        <v>7143</v>
      </c>
      <c r="BE17" s="7" t="s">
        <v>7143</v>
      </c>
      <c r="BL17" s="7" t="s">
        <v>7152</v>
      </c>
      <c r="BM17" s="7" t="s">
        <v>7153</v>
      </c>
      <c r="BN17" s="7" t="s">
        <v>7154</v>
      </c>
      <c r="BO17" s="7" t="s">
        <v>7274</v>
      </c>
      <c r="BP17" s="7" t="s">
        <v>7275</v>
      </c>
      <c r="BS17" s="7" t="s">
        <v>7142</v>
      </c>
      <c r="BT17" s="7" t="s">
        <v>7215</v>
      </c>
      <c r="BV17" s="7" t="s">
        <v>7209</v>
      </c>
      <c r="BX17" s="7" t="s">
        <v>7143</v>
      </c>
      <c r="BY17" s="7" t="s">
        <v>188</v>
      </c>
      <c r="BZ17" s="2" t="s">
        <v>7159</v>
      </c>
      <c r="CE17" s="7">
        <v>3</v>
      </c>
      <c r="CK17" s="2">
        <v>100</v>
      </c>
      <c r="CM17" s="7"/>
      <c r="CO17" s="7">
        <v>100</v>
      </c>
      <c r="CR17" s="7" t="s">
        <v>7276</v>
      </c>
      <c r="CS17" s="7"/>
      <c r="CT17" s="7" t="s">
        <v>7142</v>
      </c>
      <c r="CU17" s="7" t="s">
        <v>7161</v>
      </c>
      <c r="CV17" s="7"/>
      <c r="CW17" s="7" t="s">
        <v>7162</v>
      </c>
      <c r="CY17" s="7" t="s">
        <v>7227</v>
      </c>
      <c r="CZ17" s="7" t="s">
        <v>7227</v>
      </c>
      <c r="DA17" s="2" t="s">
        <v>7163</v>
      </c>
      <c r="DB17" s="2" t="s">
        <v>7163</v>
      </c>
      <c r="DC17" s="2" t="s">
        <v>7164</v>
      </c>
      <c r="DD17" s="2" t="s">
        <v>7163</v>
      </c>
      <c r="DE17" s="2" t="s">
        <v>7164</v>
      </c>
      <c r="DG17" s="2" t="s">
        <v>7164</v>
      </c>
      <c r="DH17" s="2" t="s">
        <v>7164</v>
      </c>
      <c r="DI17" s="2" t="s">
        <v>7164</v>
      </c>
      <c r="DL17" s="2" t="s">
        <v>7142</v>
      </c>
      <c r="DM17" s="2" t="s">
        <v>7142</v>
      </c>
      <c r="DN17" s="2" t="s">
        <v>7142</v>
      </c>
      <c r="DO17" s="2" t="s">
        <v>7142</v>
      </c>
      <c r="DP17" s="2" t="s">
        <v>7165</v>
      </c>
      <c r="DQ17" s="2" t="s">
        <v>7166</v>
      </c>
      <c r="DT17" s="2" t="s">
        <v>7165</v>
      </c>
      <c r="DU17" s="2" t="s">
        <v>7165</v>
      </c>
      <c r="DV17" s="2" t="s">
        <v>7165</v>
      </c>
      <c r="DW17" s="2" t="s">
        <v>7165</v>
      </c>
      <c r="DX17" s="2" t="s">
        <v>7165</v>
      </c>
      <c r="DY17" s="2" t="s">
        <v>7165</v>
      </c>
      <c r="DZ17" s="2" t="s">
        <v>7165</v>
      </c>
      <c r="EA17" s="2" t="s">
        <v>7165</v>
      </c>
      <c r="EB17" s="2" t="s">
        <v>7159</v>
      </c>
      <c r="EC17" s="2" t="s">
        <v>7159</v>
      </c>
      <c r="EF17" s="2" t="s">
        <v>7167</v>
      </c>
      <c r="EJ17" s="7" t="s">
        <v>7193</v>
      </c>
      <c r="EK17" s="7" t="s">
        <v>7142</v>
      </c>
      <c r="EL17" s="7" t="s">
        <v>7143</v>
      </c>
      <c r="EN17" s="7" t="s">
        <v>7170</v>
      </c>
      <c r="EP17" s="2" t="s">
        <v>7186</v>
      </c>
      <c r="ER17" s="2" t="s">
        <v>7142</v>
      </c>
      <c r="ET17" s="2" t="s">
        <v>7143</v>
      </c>
      <c r="EV17" s="2" t="s">
        <v>7142</v>
      </c>
      <c r="EW17" s="2" t="s">
        <v>7204</v>
      </c>
      <c r="EX17" s="2" t="s">
        <v>7142</v>
      </c>
      <c r="EY17" s="2" t="s">
        <v>7204</v>
      </c>
      <c r="EZ17" s="2" t="s">
        <v>7143</v>
      </c>
      <c r="FC17" s="2" t="s">
        <v>7172</v>
      </c>
      <c r="FD17" s="2" t="s">
        <v>7143</v>
      </c>
      <c r="FH17" s="2" t="s">
        <v>7173</v>
      </c>
      <c r="FJ17" s="2" t="s">
        <v>7143</v>
      </c>
      <c r="FK17" s="2" t="s">
        <v>7159</v>
      </c>
      <c r="FN17" s="2" t="s">
        <v>7253</v>
      </c>
      <c r="FT17" s="2" t="s">
        <v>7176</v>
      </c>
      <c r="FU17" s="2" t="s">
        <v>7189</v>
      </c>
      <c r="FV17" s="2" t="s">
        <v>7176</v>
      </c>
      <c r="FW17" s="2" t="s">
        <v>7176</v>
      </c>
      <c r="FX17" s="2" t="s">
        <v>7176</v>
      </c>
      <c r="FZ17" s="19" t="s">
        <v>7277</v>
      </c>
    </row>
    <row r="18" spans="1:182">
      <c r="A18" s="7" t="s">
        <v>344</v>
      </c>
      <c r="D18" s="15">
        <v>46030.466284722221</v>
      </c>
      <c r="E18" s="7" t="s">
        <v>177</v>
      </c>
      <c r="F18" s="7" t="s">
        <v>7245</v>
      </c>
      <c r="G18" s="7" t="s">
        <v>7135</v>
      </c>
      <c r="H18" s="7" t="s">
        <v>306</v>
      </c>
      <c r="I18" s="7" t="s">
        <v>345</v>
      </c>
      <c r="J18" s="16" t="s">
        <v>7278</v>
      </c>
      <c r="K18" s="7" t="s">
        <v>345</v>
      </c>
      <c r="L18" s="2" t="s">
        <v>7137</v>
      </c>
      <c r="M18" s="7" t="s">
        <v>7138</v>
      </c>
      <c r="N18" s="7">
        <v>1958</v>
      </c>
      <c r="O18" s="7" t="s">
        <v>7139</v>
      </c>
      <c r="P18" s="7" t="s">
        <v>7140</v>
      </c>
      <c r="Q18" s="7" t="s">
        <v>7141</v>
      </c>
      <c r="R18" s="2" t="s">
        <v>7143</v>
      </c>
      <c r="S18" s="7">
        <v>1998</v>
      </c>
      <c r="T18" s="7" t="s">
        <v>7143</v>
      </c>
      <c r="U18" s="7" t="s">
        <v>7143</v>
      </c>
      <c r="Y18" s="2">
        <v>1300</v>
      </c>
      <c r="Z18" s="17">
        <v>0.84619999999999995</v>
      </c>
      <c r="AA18" s="2">
        <v>1100</v>
      </c>
      <c r="AC18" s="7">
        <v>1000</v>
      </c>
      <c r="AD18" s="2">
        <v>1200</v>
      </c>
      <c r="AE18" s="2">
        <v>200</v>
      </c>
      <c r="AF18" s="2" t="s">
        <v>7142</v>
      </c>
      <c r="AG18" s="2" t="s">
        <v>7142</v>
      </c>
      <c r="AH18" s="2" t="s">
        <v>7142</v>
      </c>
      <c r="AI18" s="2" t="s">
        <v>346</v>
      </c>
      <c r="AJ18" s="2" t="s">
        <v>7143</v>
      </c>
      <c r="AK18" s="2" t="s">
        <v>7143</v>
      </c>
      <c r="AL18" s="2" t="s">
        <v>7142</v>
      </c>
      <c r="AM18" s="7"/>
      <c r="AN18" s="2" t="s">
        <v>7143</v>
      </c>
      <c r="AO18" s="7" t="s">
        <v>7142</v>
      </c>
      <c r="AR18" s="7">
        <v>5</v>
      </c>
      <c r="AS18" s="7">
        <v>2</v>
      </c>
      <c r="AT18" s="7">
        <v>12</v>
      </c>
      <c r="AU18" s="2" t="s">
        <v>7168</v>
      </c>
      <c r="AV18" s="2" t="s">
        <v>7168</v>
      </c>
      <c r="AW18" s="2" t="s">
        <v>7143</v>
      </c>
      <c r="AZ18" s="7" t="s">
        <v>7145</v>
      </c>
      <c r="BB18" s="7" t="s">
        <v>7214</v>
      </c>
      <c r="BC18" s="2" t="s">
        <v>7147</v>
      </c>
      <c r="BD18" s="2" t="s">
        <v>7142</v>
      </c>
      <c r="BE18" s="2" t="s">
        <v>7143</v>
      </c>
      <c r="BI18" s="7" t="s">
        <v>7151</v>
      </c>
      <c r="BL18" s="7" t="s">
        <v>7152</v>
      </c>
      <c r="BM18" s="7" t="s">
        <v>7153</v>
      </c>
      <c r="BN18" s="7" t="s">
        <v>7154</v>
      </c>
      <c r="BO18" s="7" t="s">
        <v>7155</v>
      </c>
      <c r="BP18" s="7" t="s">
        <v>7275</v>
      </c>
      <c r="BQ18" s="2" t="s">
        <v>7256</v>
      </c>
      <c r="BS18" s="7" t="s">
        <v>7142</v>
      </c>
      <c r="BT18" s="7" t="s">
        <v>7157</v>
      </c>
      <c r="BV18" s="2" t="s">
        <v>7239</v>
      </c>
      <c r="BX18" s="7" t="s">
        <v>7143</v>
      </c>
      <c r="BY18" s="2" t="s">
        <v>347</v>
      </c>
      <c r="BZ18" s="2" t="s">
        <v>7159</v>
      </c>
      <c r="CE18" s="7">
        <v>12</v>
      </c>
      <c r="CF18" s="2">
        <v>1200</v>
      </c>
      <c r="CK18" s="2">
        <v>100</v>
      </c>
      <c r="CO18" s="2">
        <v>100</v>
      </c>
      <c r="CR18" s="7" t="s">
        <v>7276</v>
      </c>
      <c r="CS18" s="7"/>
      <c r="CT18" s="7" t="s">
        <v>7143</v>
      </c>
      <c r="CU18" s="7" t="s">
        <v>7161</v>
      </c>
      <c r="CV18" s="7"/>
      <c r="CW18" s="7" t="s">
        <v>7162</v>
      </c>
      <c r="CY18" s="2" t="s">
        <v>7163</v>
      </c>
      <c r="CZ18" s="2" t="s">
        <v>7163</v>
      </c>
      <c r="DA18" s="7" t="s">
        <v>7164</v>
      </c>
      <c r="DB18" s="7" t="s">
        <v>7227</v>
      </c>
      <c r="DC18" s="2" t="s">
        <v>7163</v>
      </c>
      <c r="DD18" s="2" t="s">
        <v>7163</v>
      </c>
      <c r="DE18" s="7" t="s">
        <v>7227</v>
      </c>
      <c r="DF18" s="2" t="s">
        <v>7164</v>
      </c>
      <c r="DG18" s="7" t="s">
        <v>7164</v>
      </c>
      <c r="DH18" s="2" t="s">
        <v>7164</v>
      </c>
      <c r="DI18" s="2" t="s">
        <v>7164</v>
      </c>
      <c r="DL18" s="7" t="s">
        <v>7142</v>
      </c>
      <c r="DM18" s="7" t="s">
        <v>7142</v>
      </c>
      <c r="DN18" s="7" t="s">
        <v>7142</v>
      </c>
      <c r="DO18" s="2" t="s">
        <v>7142</v>
      </c>
      <c r="DP18" s="7" t="s">
        <v>7165</v>
      </c>
      <c r="DQ18" s="2" t="s">
        <v>7166</v>
      </c>
      <c r="DS18" s="7" t="s">
        <v>7159</v>
      </c>
      <c r="DT18" s="2" t="s">
        <v>7165</v>
      </c>
      <c r="DU18" s="2" t="s">
        <v>7165</v>
      </c>
      <c r="DV18" s="2" t="s">
        <v>7165</v>
      </c>
      <c r="DW18" s="2" t="s">
        <v>7165</v>
      </c>
      <c r="DX18" s="2" t="s">
        <v>7165</v>
      </c>
      <c r="DY18" s="2" t="s">
        <v>7165</v>
      </c>
      <c r="DZ18" s="2" t="s">
        <v>7165</v>
      </c>
      <c r="EA18" s="2" t="s">
        <v>7165</v>
      </c>
      <c r="EB18" s="2" t="s">
        <v>7165</v>
      </c>
      <c r="EF18" s="7" t="s">
        <v>7221</v>
      </c>
      <c r="EG18" s="7" t="s">
        <v>348</v>
      </c>
      <c r="EJ18" s="7" t="s">
        <v>7193</v>
      </c>
      <c r="EK18" s="7" t="s">
        <v>7142</v>
      </c>
      <c r="EL18" s="7" t="s">
        <v>7142</v>
      </c>
      <c r="EM18" s="7" t="s">
        <v>7170</v>
      </c>
      <c r="EN18" s="7" t="s">
        <v>7170</v>
      </c>
      <c r="EP18" s="7" t="s">
        <v>7186</v>
      </c>
      <c r="ER18" s="2" t="s">
        <v>7142</v>
      </c>
      <c r="ET18" s="2" t="s">
        <v>7143</v>
      </c>
      <c r="EV18" s="2" t="s">
        <v>7142</v>
      </c>
      <c r="EW18" s="2" t="s">
        <v>7171</v>
      </c>
      <c r="EX18" s="2" t="s">
        <v>7142</v>
      </c>
      <c r="EY18" s="2" t="s">
        <v>7171</v>
      </c>
      <c r="EZ18" s="2" t="s">
        <v>7143</v>
      </c>
      <c r="FC18" s="2" t="s">
        <v>7172</v>
      </c>
      <c r="FD18" s="2" t="s">
        <v>7143</v>
      </c>
      <c r="FH18" s="7" t="s">
        <v>7173</v>
      </c>
      <c r="FJ18" s="2" t="s">
        <v>7143</v>
      </c>
      <c r="FK18" s="2" t="s">
        <v>7165</v>
      </c>
      <c r="FL18" s="2" t="s">
        <v>7260</v>
      </c>
      <c r="FN18" s="2" t="s">
        <v>7253</v>
      </c>
      <c r="FT18" s="2" t="s">
        <v>7176</v>
      </c>
      <c r="FU18" s="2" t="s">
        <v>7189</v>
      </c>
      <c r="FV18" s="2" t="s">
        <v>7176</v>
      </c>
      <c r="FW18" s="2" t="s">
        <v>7176</v>
      </c>
      <c r="FX18" s="2" t="s">
        <v>7176</v>
      </c>
      <c r="FZ18" s="19" t="s">
        <v>7279</v>
      </c>
    </row>
    <row r="19" spans="1:182">
      <c r="A19" s="7" t="s">
        <v>349</v>
      </c>
      <c r="D19" s="15">
        <v>46030.557280092595</v>
      </c>
      <c r="E19" s="7" t="s">
        <v>177</v>
      </c>
      <c r="F19" s="7" t="s">
        <v>7245</v>
      </c>
      <c r="G19" s="7" t="s">
        <v>7135</v>
      </c>
      <c r="H19" s="7" t="s">
        <v>294</v>
      </c>
      <c r="I19" s="7" t="s">
        <v>350</v>
      </c>
      <c r="J19" s="16" t="s">
        <v>7280</v>
      </c>
      <c r="K19" s="7" t="s">
        <v>351</v>
      </c>
      <c r="L19" s="7" t="s">
        <v>7281</v>
      </c>
      <c r="M19" s="7" t="s">
        <v>7179</v>
      </c>
      <c r="N19" s="7">
        <v>1991</v>
      </c>
      <c r="O19" s="7" t="s">
        <v>7139</v>
      </c>
      <c r="P19" s="7" t="s">
        <v>7181</v>
      </c>
      <c r="Q19" s="7" t="s">
        <v>7182</v>
      </c>
      <c r="R19" s="2" t="s">
        <v>7143</v>
      </c>
      <c r="S19" s="7">
        <v>2010</v>
      </c>
      <c r="T19" s="7" t="s">
        <v>7143</v>
      </c>
      <c r="U19" s="7" t="s">
        <v>7143</v>
      </c>
      <c r="Y19" s="2">
        <v>290</v>
      </c>
      <c r="Z19" s="17">
        <v>0.89659999999999995</v>
      </c>
      <c r="AA19" s="2">
        <v>260</v>
      </c>
      <c r="AB19" s="2">
        <v>260</v>
      </c>
      <c r="AC19" s="7">
        <v>240</v>
      </c>
      <c r="AD19" s="7">
        <v>280</v>
      </c>
      <c r="AE19" s="2">
        <v>40</v>
      </c>
      <c r="AF19" s="2" t="s">
        <v>7142</v>
      </c>
      <c r="AG19" s="2" t="s">
        <v>7142</v>
      </c>
      <c r="AH19" s="2" t="s">
        <v>7143</v>
      </c>
      <c r="AJ19" s="2" t="s">
        <v>7143</v>
      </c>
      <c r="AK19" s="2" t="s">
        <v>7143</v>
      </c>
      <c r="AL19" s="2" t="s">
        <v>7143</v>
      </c>
      <c r="AM19" s="2" t="s">
        <v>7142</v>
      </c>
      <c r="AN19" s="2" t="s">
        <v>7143</v>
      </c>
      <c r="AO19" s="7" t="s">
        <v>7143</v>
      </c>
      <c r="AR19" s="7">
        <v>0.8</v>
      </c>
      <c r="AS19" s="7">
        <v>4</v>
      </c>
      <c r="AT19" s="7">
        <v>3.2</v>
      </c>
      <c r="AU19" s="2" t="s">
        <v>7193</v>
      </c>
      <c r="AV19" s="2" t="s">
        <v>7193</v>
      </c>
      <c r="AW19" s="2" t="s">
        <v>7143</v>
      </c>
      <c r="AZ19" s="7" t="s">
        <v>7282</v>
      </c>
      <c r="BB19" s="2" t="s">
        <v>7214</v>
      </c>
      <c r="BC19" s="7" t="s">
        <v>7208</v>
      </c>
      <c r="BD19" s="2" t="s">
        <v>7143</v>
      </c>
      <c r="BE19" s="2" t="s">
        <v>7142</v>
      </c>
      <c r="BF19" s="2" t="s">
        <v>7148</v>
      </c>
      <c r="BG19" s="2" t="s">
        <v>7149</v>
      </c>
      <c r="BH19" s="7" t="s">
        <v>7150</v>
      </c>
      <c r="BI19" s="7" t="s">
        <v>7151</v>
      </c>
      <c r="BL19" s="7" t="s">
        <v>7195</v>
      </c>
      <c r="BM19" s="2" t="s">
        <v>7153</v>
      </c>
      <c r="BN19" s="2" t="s">
        <v>7154</v>
      </c>
      <c r="BO19" s="7" t="s">
        <v>298</v>
      </c>
      <c r="BP19" s="7" t="s">
        <v>7275</v>
      </c>
      <c r="BS19" s="7" t="s">
        <v>7142</v>
      </c>
      <c r="BT19" s="7" t="s">
        <v>7196</v>
      </c>
      <c r="BV19" s="7" t="s">
        <v>7239</v>
      </c>
      <c r="BX19" s="7" t="s">
        <v>7143</v>
      </c>
      <c r="BZ19" s="2" t="s">
        <v>7159</v>
      </c>
      <c r="CE19" s="7">
        <v>3.2</v>
      </c>
      <c r="CF19" s="2">
        <v>310</v>
      </c>
      <c r="CK19" s="2">
        <v>100</v>
      </c>
      <c r="CO19" s="2">
        <v>100</v>
      </c>
      <c r="CR19" s="2" t="s">
        <v>7160</v>
      </c>
      <c r="CT19" s="2" t="s">
        <v>7143</v>
      </c>
      <c r="CU19" s="2" t="s">
        <v>7161</v>
      </c>
      <c r="CW19" s="2" t="s">
        <v>7162</v>
      </c>
      <c r="CY19" s="2" t="s">
        <v>7163</v>
      </c>
      <c r="CZ19" s="2" t="s">
        <v>7250</v>
      </c>
      <c r="DA19" s="2" t="s">
        <v>7250</v>
      </c>
      <c r="DB19" s="2" t="s">
        <v>7249</v>
      </c>
      <c r="DC19" s="2" t="s">
        <v>7250</v>
      </c>
      <c r="DD19" s="2" t="s">
        <v>7249</v>
      </c>
      <c r="DE19" s="2" t="s">
        <v>7249</v>
      </c>
      <c r="DF19" s="2" t="s">
        <v>7249</v>
      </c>
      <c r="DG19" s="2" t="s">
        <v>7249</v>
      </c>
      <c r="DH19" s="2" t="s">
        <v>7249</v>
      </c>
      <c r="DI19" s="2" t="s">
        <v>7249</v>
      </c>
      <c r="DL19" s="2" t="s">
        <v>7142</v>
      </c>
      <c r="DM19" s="2" t="s">
        <v>7143</v>
      </c>
      <c r="DP19" s="2" t="s">
        <v>7159</v>
      </c>
      <c r="DT19" s="2" t="s">
        <v>7165</v>
      </c>
      <c r="DU19" s="2" t="s">
        <v>7165</v>
      </c>
      <c r="DV19" s="2" t="s">
        <v>7165</v>
      </c>
      <c r="DW19" s="2" t="s">
        <v>7165</v>
      </c>
      <c r="DX19" s="2" t="s">
        <v>7159</v>
      </c>
      <c r="DY19" s="2" t="s">
        <v>7159</v>
      </c>
      <c r="DZ19" s="2" t="s">
        <v>7159</v>
      </c>
      <c r="EA19" s="2" t="s">
        <v>7159</v>
      </c>
      <c r="EB19" s="2" t="s">
        <v>7159</v>
      </c>
      <c r="EC19" s="2" t="s">
        <v>7159</v>
      </c>
      <c r="ED19" s="2" t="s">
        <v>7159</v>
      </c>
      <c r="EF19" s="2" t="s">
        <v>7221</v>
      </c>
      <c r="EJ19" s="7" t="s">
        <v>7193</v>
      </c>
      <c r="EK19" s="2" t="s">
        <v>7143</v>
      </c>
      <c r="EL19" s="2" t="s">
        <v>7143</v>
      </c>
      <c r="EN19" s="2" t="s">
        <v>7170</v>
      </c>
      <c r="EP19" s="2" t="s">
        <v>7186</v>
      </c>
      <c r="ER19" s="2" t="s">
        <v>7143</v>
      </c>
      <c r="ET19" s="2" t="s">
        <v>7143</v>
      </c>
      <c r="EV19" s="2" t="s">
        <v>7143</v>
      </c>
      <c r="EX19" s="2" t="s">
        <v>7143</v>
      </c>
      <c r="EZ19" s="2" t="s">
        <v>7143</v>
      </c>
      <c r="FC19" s="2" t="s">
        <v>7172</v>
      </c>
      <c r="FD19" s="2" t="s">
        <v>7143</v>
      </c>
      <c r="FH19" s="2" t="s">
        <v>7173</v>
      </c>
      <c r="FJ19" s="2" t="s">
        <v>7143</v>
      </c>
      <c r="FK19" s="2" t="s">
        <v>7165</v>
      </c>
      <c r="FL19" s="2" t="s">
        <v>7260</v>
      </c>
      <c r="FN19" s="2" t="s">
        <v>7283</v>
      </c>
      <c r="FT19" s="2" t="s">
        <v>7189</v>
      </c>
      <c r="FU19" s="2" t="s">
        <v>7189</v>
      </c>
      <c r="FV19" s="2" t="s">
        <v>7189</v>
      </c>
      <c r="FW19" s="2" t="s">
        <v>7189</v>
      </c>
      <c r="FZ19" s="19" t="s">
        <v>7284</v>
      </c>
    </row>
    <row r="20" spans="1:182">
      <c r="A20" s="7" t="s">
        <v>355</v>
      </c>
      <c r="D20" s="15">
        <v>46030.568009259259</v>
      </c>
      <c r="E20" s="7" t="s">
        <v>177</v>
      </c>
      <c r="F20" s="7" t="s">
        <v>7245</v>
      </c>
      <c r="G20" s="7" t="s">
        <v>7135</v>
      </c>
      <c r="H20" s="7" t="s">
        <v>294</v>
      </c>
      <c r="I20" s="7" t="s">
        <v>356</v>
      </c>
      <c r="J20" s="19" t="s">
        <v>7285</v>
      </c>
      <c r="K20" s="7" t="s">
        <v>356</v>
      </c>
      <c r="L20" s="7" t="s">
        <v>7281</v>
      </c>
      <c r="M20" s="7" t="s">
        <v>7138</v>
      </c>
      <c r="N20" s="7">
        <v>1988</v>
      </c>
      <c r="O20" s="7" t="s">
        <v>7139</v>
      </c>
      <c r="P20" s="7" t="s">
        <v>7140</v>
      </c>
      <c r="Q20" s="7" t="s">
        <v>7141</v>
      </c>
      <c r="R20" s="7" t="s">
        <v>7143</v>
      </c>
      <c r="S20" s="2">
        <v>2019</v>
      </c>
      <c r="T20" s="7" t="s">
        <v>7143</v>
      </c>
      <c r="U20" s="7" t="s">
        <v>7143</v>
      </c>
      <c r="Y20" s="2">
        <v>200</v>
      </c>
      <c r="Z20" s="17">
        <v>1</v>
      </c>
      <c r="AA20" s="2">
        <v>200</v>
      </c>
      <c r="AB20" s="2">
        <v>180</v>
      </c>
      <c r="AC20" s="7">
        <v>80</v>
      </c>
      <c r="AD20" s="2">
        <v>120</v>
      </c>
      <c r="AE20" s="2">
        <v>40</v>
      </c>
      <c r="AF20" s="2" t="s">
        <v>7142</v>
      </c>
      <c r="AG20" s="2" t="s">
        <v>7143</v>
      </c>
      <c r="AH20" s="7" t="s">
        <v>7143</v>
      </c>
      <c r="AJ20" s="2" t="s">
        <v>7143</v>
      </c>
      <c r="AK20" s="2" t="s">
        <v>7143</v>
      </c>
      <c r="AL20" s="7" t="s">
        <v>7143</v>
      </c>
      <c r="AM20" s="7" t="s">
        <v>7142</v>
      </c>
      <c r="AN20" s="7" t="s">
        <v>7142</v>
      </c>
      <c r="AO20" s="7" t="s">
        <v>7142</v>
      </c>
      <c r="AR20" s="7">
        <v>2.2000000000000002</v>
      </c>
      <c r="AS20" s="7">
        <v>4</v>
      </c>
      <c r="AT20" s="7">
        <v>1.2</v>
      </c>
      <c r="AU20" s="2" t="s">
        <v>7193</v>
      </c>
      <c r="AV20" s="2" t="s">
        <v>7193</v>
      </c>
      <c r="AW20" s="2" t="s">
        <v>7143</v>
      </c>
      <c r="AZ20" s="2" t="s">
        <v>7286</v>
      </c>
      <c r="BB20" s="2" t="s">
        <v>7146</v>
      </c>
      <c r="BC20" s="2" t="s">
        <v>7208</v>
      </c>
      <c r="BD20" s="2" t="s">
        <v>7143</v>
      </c>
      <c r="BE20" s="2" t="s">
        <v>7143</v>
      </c>
      <c r="BL20" s="7" t="s">
        <v>7195</v>
      </c>
      <c r="BM20" s="2" t="s">
        <v>7153</v>
      </c>
      <c r="BN20" s="7" t="s">
        <v>7154</v>
      </c>
      <c r="BO20" s="7" t="s">
        <v>7155</v>
      </c>
      <c r="BP20" s="7" t="s">
        <v>7275</v>
      </c>
      <c r="BQ20" s="2" t="s">
        <v>7256</v>
      </c>
      <c r="BS20" s="2" t="s">
        <v>7142</v>
      </c>
      <c r="BT20" s="7" t="s">
        <v>7215</v>
      </c>
      <c r="BV20" s="7" t="s">
        <v>7287</v>
      </c>
      <c r="BX20" s="2" t="s">
        <v>7143</v>
      </c>
      <c r="BZ20" s="2" t="s">
        <v>7159</v>
      </c>
      <c r="CE20" s="7">
        <v>1.2</v>
      </c>
      <c r="CF20" s="2">
        <v>118</v>
      </c>
      <c r="CK20" s="2">
        <v>100</v>
      </c>
      <c r="CO20" s="2">
        <v>100</v>
      </c>
      <c r="CR20" s="2" t="s">
        <v>7160</v>
      </c>
      <c r="CT20" s="2" t="s">
        <v>7143</v>
      </c>
      <c r="CU20" s="2" t="s">
        <v>7161</v>
      </c>
      <c r="CW20" s="2" t="s">
        <v>7162</v>
      </c>
      <c r="CY20" s="2" t="s">
        <v>7163</v>
      </c>
      <c r="CZ20" s="2" t="s">
        <v>7163</v>
      </c>
      <c r="DA20" s="2" t="s">
        <v>7163</v>
      </c>
      <c r="DB20" s="2" t="s">
        <v>7163</v>
      </c>
      <c r="DC20" s="2" t="s">
        <v>7163</v>
      </c>
      <c r="DD20" s="2" t="s">
        <v>7163</v>
      </c>
      <c r="DE20" s="2" t="s">
        <v>7164</v>
      </c>
      <c r="DF20" s="7" t="s">
        <v>7163</v>
      </c>
      <c r="DG20" s="7" t="s">
        <v>7163</v>
      </c>
      <c r="DH20" s="7" t="s">
        <v>7227</v>
      </c>
      <c r="DI20" s="2" t="s">
        <v>7250</v>
      </c>
      <c r="DL20" s="7" t="s">
        <v>7142</v>
      </c>
      <c r="DM20" s="7" t="s">
        <v>7142</v>
      </c>
      <c r="DN20" s="2" t="s">
        <v>7142</v>
      </c>
      <c r="DO20" s="2" t="s">
        <v>7142</v>
      </c>
      <c r="DP20" s="2" t="s">
        <v>7165</v>
      </c>
      <c r="DQ20" s="2" t="s">
        <v>7166</v>
      </c>
      <c r="DT20" s="2" t="s">
        <v>7165</v>
      </c>
      <c r="DU20" s="2" t="s">
        <v>7165</v>
      </c>
      <c r="DV20" s="2" t="s">
        <v>7165</v>
      </c>
      <c r="DW20" s="2" t="s">
        <v>7165</v>
      </c>
      <c r="DX20" s="2" t="s">
        <v>7165</v>
      </c>
      <c r="DY20" s="2" t="s">
        <v>7165</v>
      </c>
      <c r="DZ20" s="2" t="s">
        <v>7159</v>
      </c>
      <c r="EA20" s="2" t="s">
        <v>7159</v>
      </c>
      <c r="EB20" s="2" t="s">
        <v>7165</v>
      </c>
      <c r="EC20" s="2" t="s">
        <v>7159</v>
      </c>
      <c r="EF20" s="2" t="s">
        <v>7221</v>
      </c>
      <c r="EJ20" s="7" t="s">
        <v>7193</v>
      </c>
      <c r="EK20" s="2" t="s">
        <v>7142</v>
      </c>
      <c r="EL20" s="2" t="s">
        <v>7143</v>
      </c>
      <c r="EN20" s="2" t="s">
        <v>7170</v>
      </c>
      <c r="EP20" s="2" t="s">
        <v>7186</v>
      </c>
      <c r="ER20" s="2" t="s">
        <v>7142</v>
      </c>
      <c r="ET20" s="2" t="s">
        <v>7142</v>
      </c>
      <c r="EU20" s="2" t="s">
        <v>7204</v>
      </c>
      <c r="EV20" s="2" t="s">
        <v>7142</v>
      </c>
      <c r="EW20" s="2" t="s">
        <v>7204</v>
      </c>
      <c r="EX20" s="2" t="s">
        <v>7143</v>
      </c>
      <c r="EZ20" s="2" t="s">
        <v>7143</v>
      </c>
      <c r="FC20" s="2" t="s">
        <v>7218</v>
      </c>
      <c r="FD20" s="2" t="s">
        <v>7143</v>
      </c>
      <c r="FH20" s="2" t="s">
        <v>7173</v>
      </c>
      <c r="FJ20" s="2" t="s">
        <v>7143</v>
      </c>
      <c r="FK20" s="2" t="s">
        <v>7165</v>
      </c>
      <c r="FL20" s="2" t="s">
        <v>7260</v>
      </c>
      <c r="FN20" s="2" t="s">
        <v>7253</v>
      </c>
      <c r="FT20" s="2" t="s">
        <v>7189</v>
      </c>
      <c r="FU20" s="2" t="s">
        <v>7189</v>
      </c>
      <c r="FV20" s="2" t="s">
        <v>7189</v>
      </c>
      <c r="FW20" s="2" t="s">
        <v>7189</v>
      </c>
      <c r="FX20" s="2"/>
      <c r="FZ20" s="19" t="s">
        <v>7288</v>
      </c>
    </row>
    <row r="21" spans="1:182">
      <c r="A21" s="7" t="s">
        <v>359</v>
      </c>
      <c r="D21" s="15">
        <v>46030.592812499999</v>
      </c>
      <c r="E21" s="7" t="s">
        <v>177</v>
      </c>
      <c r="F21" s="7" t="s">
        <v>7245</v>
      </c>
      <c r="G21" s="7" t="s">
        <v>7135</v>
      </c>
      <c r="H21" s="7" t="s">
        <v>294</v>
      </c>
      <c r="I21" s="7" t="s">
        <v>360</v>
      </c>
      <c r="J21" s="16" t="s">
        <v>7289</v>
      </c>
      <c r="K21" s="7" t="s">
        <v>361</v>
      </c>
      <c r="L21" s="7" t="s">
        <v>7137</v>
      </c>
      <c r="M21" s="7" t="s">
        <v>7138</v>
      </c>
      <c r="N21" s="7">
        <v>1981</v>
      </c>
      <c r="O21" s="7" t="s">
        <v>7139</v>
      </c>
      <c r="P21" s="7" t="s">
        <v>7181</v>
      </c>
      <c r="Q21" s="7" t="s">
        <v>7225</v>
      </c>
      <c r="R21" s="7" t="s">
        <v>7143</v>
      </c>
      <c r="S21" s="7">
        <v>2007</v>
      </c>
      <c r="T21" s="7" t="s">
        <v>7143</v>
      </c>
      <c r="U21" s="7" t="s">
        <v>7143</v>
      </c>
      <c r="Y21" s="2">
        <v>400</v>
      </c>
      <c r="Z21" s="17">
        <v>0.82499999999999996</v>
      </c>
      <c r="AA21" s="2">
        <v>330</v>
      </c>
      <c r="AB21" s="2">
        <v>300</v>
      </c>
      <c r="AC21" s="7">
        <v>210</v>
      </c>
      <c r="AD21" s="2">
        <v>250</v>
      </c>
      <c r="AE21" s="2">
        <v>40</v>
      </c>
      <c r="AF21" s="2" t="s">
        <v>7142</v>
      </c>
      <c r="AG21" s="2" t="s">
        <v>7142</v>
      </c>
      <c r="AH21" s="2" t="s">
        <v>7142</v>
      </c>
      <c r="AI21" s="2" t="s">
        <v>308</v>
      </c>
      <c r="AJ21" s="2" t="s">
        <v>7143</v>
      </c>
      <c r="AK21" s="2" t="s">
        <v>7143</v>
      </c>
      <c r="AL21" s="2" t="s">
        <v>7143</v>
      </c>
      <c r="AM21" s="2" t="s">
        <v>7142</v>
      </c>
      <c r="AN21" s="2" t="s">
        <v>7143</v>
      </c>
      <c r="AO21" s="2" t="s">
        <v>7143</v>
      </c>
      <c r="AR21" s="7">
        <v>0.7</v>
      </c>
      <c r="AS21" s="7">
        <v>2</v>
      </c>
      <c r="AT21" s="7">
        <v>2.5</v>
      </c>
      <c r="AU21" s="2" t="s">
        <v>7193</v>
      </c>
      <c r="AV21" s="7" t="s">
        <v>7193</v>
      </c>
      <c r="AW21" s="7" t="s">
        <v>7143</v>
      </c>
      <c r="AZ21" s="7" t="s">
        <v>7145</v>
      </c>
      <c r="BB21" s="7" t="s">
        <v>7146</v>
      </c>
      <c r="BC21" s="2" t="s">
        <v>7208</v>
      </c>
      <c r="BD21" s="2" t="s">
        <v>7143</v>
      </c>
      <c r="BE21" s="2" t="s">
        <v>7142</v>
      </c>
      <c r="BF21" s="2" t="s">
        <v>7148</v>
      </c>
      <c r="BG21" s="7" t="s">
        <v>7232</v>
      </c>
      <c r="BH21" s="7" t="s">
        <v>7150</v>
      </c>
      <c r="BI21" s="7" t="s">
        <v>7151</v>
      </c>
      <c r="BL21" s="7" t="s">
        <v>7195</v>
      </c>
      <c r="BM21" s="2" t="s">
        <v>7153</v>
      </c>
      <c r="BN21" s="7" t="s">
        <v>7154</v>
      </c>
      <c r="BO21" s="7" t="s">
        <v>7155</v>
      </c>
      <c r="BP21" s="7" t="s">
        <v>7275</v>
      </c>
      <c r="BQ21" s="2" t="s">
        <v>7256</v>
      </c>
      <c r="BS21" s="7" t="s">
        <v>7143</v>
      </c>
      <c r="BT21" s="7" t="s">
        <v>7215</v>
      </c>
      <c r="BV21" s="7" t="s">
        <v>7290</v>
      </c>
      <c r="BX21" s="7" t="s">
        <v>7143</v>
      </c>
      <c r="BY21" s="7" t="s">
        <v>363</v>
      </c>
      <c r="BZ21" s="2" t="s">
        <v>7159</v>
      </c>
      <c r="CE21" s="7">
        <v>2.5</v>
      </c>
      <c r="CK21" s="7">
        <v>100</v>
      </c>
      <c r="CO21" s="7">
        <v>100</v>
      </c>
      <c r="CR21" s="7" t="s">
        <v>7160</v>
      </c>
      <c r="CS21" s="7"/>
      <c r="CT21" s="7" t="s">
        <v>7143</v>
      </c>
      <c r="CU21" s="7" t="s">
        <v>7161</v>
      </c>
      <c r="CW21" s="2" t="s">
        <v>7162</v>
      </c>
      <c r="CY21" s="2" t="s">
        <v>7163</v>
      </c>
      <c r="CZ21" s="2" t="s">
        <v>7164</v>
      </c>
      <c r="DA21" s="2" t="s">
        <v>7164</v>
      </c>
      <c r="DB21" s="2" t="s">
        <v>7164</v>
      </c>
      <c r="DC21" s="2" t="s">
        <v>7250</v>
      </c>
      <c r="DD21" s="2" t="s">
        <v>7251</v>
      </c>
      <c r="DE21" s="2" t="s">
        <v>7250</v>
      </c>
      <c r="DF21" s="2" t="s">
        <v>7250</v>
      </c>
      <c r="DG21" s="7" t="s">
        <v>7249</v>
      </c>
      <c r="DH21" s="2" t="s">
        <v>7164</v>
      </c>
      <c r="DI21" s="2" t="s">
        <v>7164</v>
      </c>
      <c r="DL21" s="7" t="s">
        <v>7143</v>
      </c>
      <c r="DM21" s="7" t="s">
        <v>7143</v>
      </c>
      <c r="DP21" s="7" t="s">
        <v>7159</v>
      </c>
      <c r="DS21" s="7" t="s">
        <v>7159</v>
      </c>
      <c r="DT21" s="2" t="s">
        <v>7165</v>
      </c>
      <c r="DU21" s="2" t="s">
        <v>7165</v>
      </c>
      <c r="DV21" s="2" t="s">
        <v>7165</v>
      </c>
      <c r="DW21" s="2" t="s">
        <v>7165</v>
      </c>
      <c r="DX21" s="2" t="s">
        <v>7165</v>
      </c>
      <c r="DY21" s="2" t="s">
        <v>7165</v>
      </c>
      <c r="DZ21" s="2" t="s">
        <v>7159</v>
      </c>
      <c r="EA21" s="2" t="s">
        <v>7159</v>
      </c>
      <c r="EB21" s="2" t="s">
        <v>7159</v>
      </c>
      <c r="EC21" s="2" t="s">
        <v>7159</v>
      </c>
      <c r="EF21" s="2" t="s">
        <v>7221</v>
      </c>
      <c r="EJ21" s="7" t="s">
        <v>7193</v>
      </c>
      <c r="EK21" s="7" t="s">
        <v>7142</v>
      </c>
      <c r="EL21" s="7" t="s">
        <v>7143</v>
      </c>
      <c r="EN21" s="7" t="s">
        <v>7170</v>
      </c>
      <c r="EP21" s="2" t="s">
        <v>7186</v>
      </c>
      <c r="ER21" s="7" t="s">
        <v>7142</v>
      </c>
      <c r="ET21" s="7" t="s">
        <v>7143</v>
      </c>
      <c r="EV21" s="2" t="s">
        <v>7143</v>
      </c>
      <c r="EX21" s="2" t="s">
        <v>7143</v>
      </c>
      <c r="FC21" s="2" t="s">
        <v>7172</v>
      </c>
      <c r="FD21" s="2" t="s">
        <v>7143</v>
      </c>
      <c r="FH21" s="2" t="s">
        <v>7173</v>
      </c>
      <c r="FJ21" s="2" t="s">
        <v>7143</v>
      </c>
      <c r="FK21" s="2" t="s">
        <v>7165</v>
      </c>
      <c r="FL21" s="2" t="s">
        <v>7260</v>
      </c>
      <c r="FN21" s="2" t="s">
        <v>7253</v>
      </c>
      <c r="FT21" s="7" t="s">
        <v>7176</v>
      </c>
      <c r="FU21" s="2" t="s">
        <v>7189</v>
      </c>
      <c r="FV21" s="7" t="s">
        <v>7189</v>
      </c>
      <c r="FW21" s="7" t="s">
        <v>7176</v>
      </c>
      <c r="FZ21" s="19" t="s">
        <v>7291</v>
      </c>
    </row>
    <row r="22" spans="1:182">
      <c r="A22" s="7" t="s">
        <v>364</v>
      </c>
      <c r="D22" s="15">
        <v>46030.637662037036</v>
      </c>
      <c r="E22" s="7" t="s">
        <v>177</v>
      </c>
      <c r="F22" s="7" t="s">
        <v>7245</v>
      </c>
      <c r="G22" s="7" t="s">
        <v>7135</v>
      </c>
      <c r="H22" s="7" t="s">
        <v>294</v>
      </c>
      <c r="I22" s="7" t="s">
        <v>365</v>
      </c>
      <c r="J22" s="16" t="s">
        <v>7292</v>
      </c>
      <c r="K22" s="7" t="s">
        <v>365</v>
      </c>
      <c r="L22" s="7" t="s">
        <v>7281</v>
      </c>
      <c r="M22" s="7" t="s">
        <v>7138</v>
      </c>
      <c r="N22" s="7">
        <v>1954</v>
      </c>
      <c r="O22" s="7" t="s">
        <v>7139</v>
      </c>
      <c r="P22" s="7" t="s">
        <v>7140</v>
      </c>
      <c r="Q22" s="7" t="s">
        <v>7141</v>
      </c>
      <c r="R22" s="7" t="s">
        <v>7143</v>
      </c>
      <c r="S22" s="7">
        <v>1997</v>
      </c>
      <c r="T22" s="7" t="s">
        <v>7143</v>
      </c>
      <c r="U22" s="7" t="s">
        <v>7143</v>
      </c>
      <c r="Y22" s="2">
        <v>800</v>
      </c>
      <c r="Z22" s="17">
        <v>0.875</v>
      </c>
      <c r="AA22" s="2">
        <v>700</v>
      </c>
      <c r="AC22" s="7">
        <v>630</v>
      </c>
      <c r="AD22" s="2">
        <v>700</v>
      </c>
      <c r="AE22" s="2">
        <v>70</v>
      </c>
      <c r="AF22" s="2" t="s">
        <v>7142</v>
      </c>
      <c r="AG22" s="2" t="s">
        <v>7143</v>
      </c>
      <c r="AH22" s="2" t="s">
        <v>7142</v>
      </c>
      <c r="AI22" s="2" t="s">
        <v>308</v>
      </c>
      <c r="AJ22" s="2" t="s">
        <v>7143</v>
      </c>
      <c r="AK22" s="2" t="s">
        <v>7143</v>
      </c>
      <c r="AL22" s="2" t="s">
        <v>7143</v>
      </c>
      <c r="AM22" s="2" t="s">
        <v>7142</v>
      </c>
      <c r="AN22" s="2" t="s">
        <v>7143</v>
      </c>
      <c r="AO22" s="2" t="s">
        <v>7143</v>
      </c>
      <c r="AR22" s="7">
        <v>1.8</v>
      </c>
      <c r="AS22" s="7">
        <v>2</v>
      </c>
      <c r="AT22" s="7">
        <v>7</v>
      </c>
      <c r="AU22" s="7" t="s">
        <v>7144</v>
      </c>
      <c r="AV22" s="7" t="s">
        <v>7193</v>
      </c>
      <c r="AW22" s="7" t="s">
        <v>7143</v>
      </c>
      <c r="AZ22" s="2" t="s">
        <v>7145</v>
      </c>
      <c r="BB22" s="2" t="s">
        <v>7214</v>
      </c>
      <c r="BC22" s="2" t="s">
        <v>7147</v>
      </c>
      <c r="BD22" s="2" t="s">
        <v>7143</v>
      </c>
      <c r="BE22" s="7" t="s">
        <v>7142</v>
      </c>
      <c r="BF22" s="7" t="s">
        <v>7148</v>
      </c>
      <c r="BG22" s="2" t="s">
        <v>7149</v>
      </c>
      <c r="BH22" s="7" t="s">
        <v>7248</v>
      </c>
      <c r="BI22" s="7" t="s">
        <v>7151</v>
      </c>
      <c r="BL22" s="7" t="s">
        <v>7152</v>
      </c>
      <c r="BM22" s="7" t="s">
        <v>7153</v>
      </c>
      <c r="BN22" s="7" t="s">
        <v>7154</v>
      </c>
      <c r="BO22" s="7" t="s">
        <v>7155</v>
      </c>
      <c r="BP22" s="7" t="s">
        <v>7275</v>
      </c>
      <c r="BQ22" s="2" t="s">
        <v>7183</v>
      </c>
      <c r="BS22" s="7" t="s">
        <v>7142</v>
      </c>
      <c r="BT22" s="7" t="s">
        <v>7157</v>
      </c>
      <c r="BV22" s="2" t="s">
        <v>7264</v>
      </c>
      <c r="BX22" s="2" t="s">
        <v>7142</v>
      </c>
      <c r="BY22" s="2" t="s">
        <v>366</v>
      </c>
      <c r="BZ22" s="2" t="s">
        <v>7159</v>
      </c>
      <c r="CE22" s="7">
        <v>7</v>
      </c>
      <c r="CK22" s="2">
        <v>100</v>
      </c>
      <c r="CO22" s="2">
        <v>100</v>
      </c>
      <c r="CR22" s="2" t="s">
        <v>7160</v>
      </c>
      <c r="CT22" s="2" t="s">
        <v>7143</v>
      </c>
      <c r="CU22" s="7" t="s">
        <v>7161</v>
      </c>
      <c r="CV22" s="7"/>
      <c r="CW22" s="7" t="s">
        <v>7162</v>
      </c>
      <c r="CY22" s="2" t="s">
        <v>7163</v>
      </c>
      <c r="CZ22" s="7" t="s">
        <v>7227</v>
      </c>
      <c r="DA22" s="7" t="s">
        <v>7227</v>
      </c>
      <c r="DB22" s="2" t="s">
        <v>7250</v>
      </c>
      <c r="DC22" s="2" t="s">
        <v>7250</v>
      </c>
      <c r="DD22" s="2" t="s">
        <v>7251</v>
      </c>
      <c r="DE22" s="2" t="s">
        <v>7164</v>
      </c>
      <c r="DF22" s="2" t="s">
        <v>7164</v>
      </c>
      <c r="DG22" s="2" t="s">
        <v>7164</v>
      </c>
      <c r="DH22" s="2" t="s">
        <v>7251</v>
      </c>
      <c r="DI22" s="2" t="s">
        <v>7251</v>
      </c>
      <c r="DL22" s="7" t="s">
        <v>7142</v>
      </c>
      <c r="DM22" s="7" t="s">
        <v>7143</v>
      </c>
      <c r="DP22" s="7" t="s">
        <v>7159</v>
      </c>
      <c r="DT22" s="2" t="s">
        <v>7159</v>
      </c>
      <c r="DU22" s="2" t="s">
        <v>7159</v>
      </c>
      <c r="DV22" s="2" t="s">
        <v>7159</v>
      </c>
      <c r="DW22" s="2" t="s">
        <v>7159</v>
      </c>
      <c r="DX22" s="2" t="s">
        <v>7159</v>
      </c>
      <c r="DY22" s="2" t="s">
        <v>7159</v>
      </c>
      <c r="DZ22" s="2" t="s">
        <v>7159</v>
      </c>
      <c r="EA22" s="2" t="s">
        <v>7159</v>
      </c>
      <c r="EB22" s="2" t="s">
        <v>7159</v>
      </c>
      <c r="EC22" s="2" t="s">
        <v>7159</v>
      </c>
      <c r="EF22" s="2" t="s">
        <v>7167</v>
      </c>
      <c r="EJ22" s="7" t="s">
        <v>7193</v>
      </c>
      <c r="EL22" s="7" t="s">
        <v>7143</v>
      </c>
      <c r="EN22" s="7" t="s">
        <v>7170</v>
      </c>
      <c r="EP22" s="7" t="s">
        <v>7186</v>
      </c>
      <c r="ER22" s="2" t="s">
        <v>7142</v>
      </c>
      <c r="ET22" s="7" t="s">
        <v>7143</v>
      </c>
      <c r="EV22" s="7" t="s">
        <v>7143</v>
      </c>
      <c r="EX22" s="2" t="s">
        <v>7143</v>
      </c>
      <c r="EZ22" s="2" t="s">
        <v>7143</v>
      </c>
      <c r="FC22" s="7" t="s">
        <v>7172</v>
      </c>
      <c r="FD22" s="7" t="s">
        <v>7143</v>
      </c>
      <c r="FH22" s="7" t="s">
        <v>7173</v>
      </c>
      <c r="FJ22" s="7" t="s">
        <v>7143</v>
      </c>
      <c r="FK22" s="7" t="s">
        <v>7165</v>
      </c>
      <c r="FL22" s="7" t="s">
        <v>7260</v>
      </c>
      <c r="FN22" s="7" t="s">
        <v>7293</v>
      </c>
      <c r="FT22" s="2" t="s">
        <v>7176</v>
      </c>
      <c r="FU22" s="2" t="s">
        <v>7189</v>
      </c>
      <c r="FV22" s="2" t="s">
        <v>7189</v>
      </c>
      <c r="FW22" s="2" t="s">
        <v>7176</v>
      </c>
      <c r="FZ22" s="19" t="s">
        <v>7294</v>
      </c>
    </row>
    <row r="23" spans="1:182">
      <c r="A23" s="7" t="s">
        <v>368</v>
      </c>
      <c r="D23" s="15">
        <v>46030.660486111112</v>
      </c>
      <c r="E23" s="7" t="s">
        <v>177</v>
      </c>
      <c r="F23" s="7" t="s">
        <v>7245</v>
      </c>
      <c r="G23" s="7" t="s">
        <v>7135</v>
      </c>
      <c r="H23" s="7" t="s">
        <v>369</v>
      </c>
      <c r="I23" s="7" t="s">
        <v>370</v>
      </c>
      <c r="J23" s="16" t="s">
        <v>7295</v>
      </c>
      <c r="K23" s="7" t="s">
        <v>371</v>
      </c>
      <c r="L23" s="7" t="s">
        <v>7281</v>
      </c>
      <c r="M23" s="7" t="s">
        <v>7138</v>
      </c>
      <c r="N23" s="7">
        <v>1983</v>
      </c>
      <c r="O23" s="7" t="s">
        <v>7139</v>
      </c>
      <c r="P23" s="7" t="s">
        <v>7181</v>
      </c>
      <c r="Q23" s="7" t="s">
        <v>7141</v>
      </c>
      <c r="R23" s="7" t="s">
        <v>7143</v>
      </c>
      <c r="S23" s="7">
        <v>2003</v>
      </c>
      <c r="T23" s="7" t="s">
        <v>7143</v>
      </c>
      <c r="U23" s="7" t="s">
        <v>7143</v>
      </c>
      <c r="Y23" s="2">
        <v>1400</v>
      </c>
      <c r="Z23" s="17">
        <v>0.85709999999999997</v>
      </c>
      <c r="AA23" s="2">
        <v>1200</v>
      </c>
      <c r="AC23" s="7">
        <v>850</v>
      </c>
      <c r="AD23" s="2">
        <v>1000</v>
      </c>
      <c r="AE23" s="7">
        <v>150</v>
      </c>
      <c r="AF23" s="2" t="s">
        <v>7142</v>
      </c>
      <c r="AG23" s="2" t="s">
        <v>7142</v>
      </c>
      <c r="AH23" s="2" t="s">
        <v>7142</v>
      </c>
      <c r="AI23" s="2" t="s">
        <v>372</v>
      </c>
      <c r="AJ23" s="2" t="s">
        <v>7143</v>
      </c>
      <c r="AK23" s="2" t="s">
        <v>7143</v>
      </c>
      <c r="AL23" s="7" t="s">
        <v>7143</v>
      </c>
      <c r="AM23" s="7" t="s">
        <v>7142</v>
      </c>
      <c r="AN23" s="2" t="s">
        <v>7143</v>
      </c>
      <c r="AO23" s="2" t="s">
        <v>7143</v>
      </c>
      <c r="AR23" s="7">
        <v>3</v>
      </c>
      <c r="AS23" s="7">
        <v>3</v>
      </c>
      <c r="AT23" s="7">
        <v>10.3</v>
      </c>
      <c r="AU23" s="7" t="s">
        <v>7144</v>
      </c>
      <c r="AV23" s="7" t="s">
        <v>7144</v>
      </c>
      <c r="AW23" s="2" t="s">
        <v>7143</v>
      </c>
      <c r="AZ23" s="2" t="s">
        <v>7145</v>
      </c>
      <c r="BB23" s="7" t="s">
        <v>7214</v>
      </c>
      <c r="BC23" s="2" t="s">
        <v>7147</v>
      </c>
      <c r="BD23" s="2" t="s">
        <v>7143</v>
      </c>
      <c r="BE23" s="2" t="s">
        <v>7142</v>
      </c>
      <c r="BF23" s="2" t="s">
        <v>7148</v>
      </c>
      <c r="BG23" s="2" t="s">
        <v>7149</v>
      </c>
      <c r="BH23" s="7" t="s">
        <v>7150</v>
      </c>
      <c r="BI23" s="7" t="s">
        <v>7151</v>
      </c>
      <c r="BL23" s="7" t="s">
        <v>7152</v>
      </c>
      <c r="BM23" s="7" t="s">
        <v>7153</v>
      </c>
      <c r="BN23" s="7" t="s">
        <v>7154</v>
      </c>
      <c r="BO23" s="7" t="s">
        <v>7155</v>
      </c>
      <c r="BP23" s="7" t="s">
        <v>7275</v>
      </c>
      <c r="BS23" s="7" t="s">
        <v>7142</v>
      </c>
      <c r="BT23" s="7" t="s">
        <v>7196</v>
      </c>
      <c r="BV23" s="7" t="s">
        <v>7296</v>
      </c>
      <c r="BX23" s="7" t="s">
        <v>7143</v>
      </c>
      <c r="BY23" s="2" t="s">
        <v>374</v>
      </c>
      <c r="BZ23" s="2" t="s">
        <v>7159</v>
      </c>
      <c r="CE23" s="7">
        <v>10.3</v>
      </c>
      <c r="CK23" s="2">
        <v>100</v>
      </c>
      <c r="CO23" s="2">
        <v>100</v>
      </c>
      <c r="CR23" s="7" t="s">
        <v>7160</v>
      </c>
      <c r="CS23" s="7"/>
      <c r="CT23" s="7" t="s">
        <v>7143</v>
      </c>
      <c r="CU23" s="7" t="s">
        <v>7161</v>
      </c>
      <c r="CV23" s="7"/>
      <c r="CW23" s="7" t="s">
        <v>7162</v>
      </c>
      <c r="CY23" s="2" t="s">
        <v>7163</v>
      </c>
      <c r="CZ23" s="2" t="s">
        <v>7163</v>
      </c>
      <c r="DA23" s="2" t="s">
        <v>7164</v>
      </c>
      <c r="DB23" s="2" t="s">
        <v>7164</v>
      </c>
      <c r="DC23" s="2" t="s">
        <v>7164</v>
      </c>
      <c r="DD23" s="2" t="s">
        <v>7164</v>
      </c>
      <c r="DE23" s="2" t="s">
        <v>7250</v>
      </c>
      <c r="DF23" s="2" t="s">
        <v>7250</v>
      </c>
      <c r="DG23" s="2" t="s">
        <v>7250</v>
      </c>
      <c r="DH23" s="2" t="s">
        <v>7250</v>
      </c>
      <c r="DI23" s="2" t="s">
        <v>7250</v>
      </c>
      <c r="DL23" s="2" t="s">
        <v>7142</v>
      </c>
      <c r="DM23" s="7" t="s">
        <v>7143</v>
      </c>
      <c r="DP23" s="2" t="s">
        <v>7159</v>
      </c>
      <c r="DT23" s="2" t="s">
        <v>7165</v>
      </c>
      <c r="DU23" s="2" t="s">
        <v>7165</v>
      </c>
      <c r="DV23" s="2" t="s">
        <v>7165</v>
      </c>
      <c r="DW23" s="2" t="s">
        <v>7165</v>
      </c>
      <c r="DX23" s="2" t="s">
        <v>7165</v>
      </c>
      <c r="DY23" s="2" t="s">
        <v>7165</v>
      </c>
      <c r="DZ23" s="2" t="s">
        <v>7159</v>
      </c>
      <c r="EA23" s="2" t="s">
        <v>7159</v>
      </c>
      <c r="EB23" s="2" t="s">
        <v>7159</v>
      </c>
      <c r="EC23" s="2" t="s">
        <v>7159</v>
      </c>
      <c r="EF23" s="2" t="s">
        <v>7221</v>
      </c>
      <c r="EJ23" s="7" t="s">
        <v>7193</v>
      </c>
      <c r="EK23" s="7" t="s">
        <v>7142</v>
      </c>
      <c r="EL23" s="2" t="s">
        <v>7143</v>
      </c>
      <c r="EN23" s="7" t="s">
        <v>7170</v>
      </c>
      <c r="EP23" s="7" t="s">
        <v>7186</v>
      </c>
      <c r="ER23" s="2" t="s">
        <v>7142</v>
      </c>
      <c r="ET23" s="7" t="s">
        <v>7143</v>
      </c>
      <c r="EV23" s="7" t="s">
        <v>7143</v>
      </c>
      <c r="EX23" s="7" t="s">
        <v>7143</v>
      </c>
      <c r="FC23" s="2" t="s">
        <v>7172</v>
      </c>
      <c r="FD23" s="2" t="s">
        <v>7143</v>
      </c>
      <c r="FH23" s="2" t="s">
        <v>7173</v>
      </c>
      <c r="FJ23" s="2" t="s">
        <v>7142</v>
      </c>
      <c r="FK23" s="2" t="s">
        <v>7165</v>
      </c>
      <c r="FL23" s="2" t="s">
        <v>7260</v>
      </c>
      <c r="FN23" s="2" t="s">
        <v>7283</v>
      </c>
      <c r="FT23" s="2" t="s">
        <v>7176</v>
      </c>
      <c r="FU23" s="2" t="s">
        <v>7189</v>
      </c>
      <c r="FV23" s="2" t="s">
        <v>7189</v>
      </c>
      <c r="FW23" s="2" t="s">
        <v>7189</v>
      </c>
      <c r="FZ23" s="19" t="s">
        <v>7297</v>
      </c>
    </row>
    <row r="24" spans="1:182">
      <c r="A24" s="7" t="s">
        <v>375</v>
      </c>
      <c r="D24" s="15">
        <v>46030.728067129632</v>
      </c>
      <c r="E24" s="7" t="s">
        <v>177</v>
      </c>
      <c r="F24" s="7" t="s">
        <v>7245</v>
      </c>
      <c r="G24" s="7" t="s">
        <v>7135</v>
      </c>
      <c r="H24" s="7" t="s">
        <v>376</v>
      </c>
      <c r="I24" s="7" t="s">
        <v>377</v>
      </c>
      <c r="J24" s="16" t="s">
        <v>7298</v>
      </c>
      <c r="K24" s="7" t="s">
        <v>378</v>
      </c>
      <c r="L24" s="7" t="s">
        <v>7137</v>
      </c>
      <c r="M24" s="7" t="s">
        <v>7138</v>
      </c>
      <c r="N24" s="7">
        <v>1975</v>
      </c>
      <c r="O24" s="7" t="s">
        <v>7139</v>
      </c>
      <c r="P24" s="7" t="s">
        <v>7140</v>
      </c>
      <c r="Q24" s="7" t="s">
        <v>7141</v>
      </c>
      <c r="R24" s="2" t="s">
        <v>7143</v>
      </c>
      <c r="S24" s="7">
        <v>1996</v>
      </c>
      <c r="T24" s="7" t="s">
        <v>7143</v>
      </c>
      <c r="U24" s="7" t="s">
        <v>7143</v>
      </c>
      <c r="Y24" s="2">
        <v>1700</v>
      </c>
      <c r="Z24" s="17">
        <v>0.88239999999999996</v>
      </c>
      <c r="AA24" s="2">
        <v>1500</v>
      </c>
      <c r="AB24" s="2">
        <v>1700</v>
      </c>
      <c r="AC24" s="7">
        <v>1300</v>
      </c>
      <c r="AD24" s="2">
        <v>1500</v>
      </c>
      <c r="AE24" s="2">
        <v>200</v>
      </c>
      <c r="AF24" s="2" t="s">
        <v>7143</v>
      </c>
      <c r="AG24" s="2" t="s">
        <v>7142</v>
      </c>
      <c r="AH24" s="2" t="s">
        <v>7142</v>
      </c>
      <c r="AI24" s="2" t="s">
        <v>379</v>
      </c>
      <c r="AJ24" s="2" t="s">
        <v>7143</v>
      </c>
      <c r="AK24" s="2" t="s">
        <v>7143</v>
      </c>
      <c r="AL24" s="2" t="s">
        <v>7143</v>
      </c>
      <c r="AM24" s="2" t="s">
        <v>7142</v>
      </c>
      <c r="AN24" s="2" t="s">
        <v>7142</v>
      </c>
      <c r="AO24" s="2" t="s">
        <v>7143</v>
      </c>
      <c r="AR24" s="7">
        <v>4</v>
      </c>
      <c r="AS24" s="7">
        <v>3</v>
      </c>
      <c r="AT24" s="7">
        <v>16</v>
      </c>
      <c r="AU24" s="2" t="s">
        <v>7193</v>
      </c>
      <c r="AV24" s="2" t="s">
        <v>7144</v>
      </c>
      <c r="AW24" s="2" t="s">
        <v>7143</v>
      </c>
      <c r="AZ24" s="7" t="s">
        <v>7299</v>
      </c>
      <c r="BB24" s="7" t="s">
        <v>7214</v>
      </c>
      <c r="BC24" s="7" t="s">
        <v>7247</v>
      </c>
      <c r="BD24" s="7" t="s">
        <v>7142</v>
      </c>
      <c r="BE24" s="7" t="s">
        <v>7142</v>
      </c>
      <c r="BF24" s="7" t="s">
        <v>7148</v>
      </c>
      <c r="BG24" s="7" t="s">
        <v>7232</v>
      </c>
      <c r="BH24" s="7" t="s">
        <v>7150</v>
      </c>
      <c r="BI24" s="7" t="s">
        <v>7151</v>
      </c>
      <c r="BL24" s="7" t="s">
        <v>7152</v>
      </c>
      <c r="BM24" s="7" t="s">
        <v>7153</v>
      </c>
      <c r="BN24" s="7" t="s">
        <v>7154</v>
      </c>
      <c r="BO24" s="7" t="s">
        <v>7155</v>
      </c>
      <c r="BP24" s="7" t="s">
        <v>7275</v>
      </c>
      <c r="BQ24" s="2" t="s">
        <v>7256</v>
      </c>
      <c r="BS24" s="2" t="s">
        <v>7142</v>
      </c>
      <c r="BT24" s="7" t="s">
        <v>7196</v>
      </c>
      <c r="BV24" s="2" t="s">
        <v>7287</v>
      </c>
      <c r="BX24" s="2" t="s">
        <v>7142</v>
      </c>
      <c r="BY24" s="2" t="s">
        <v>381</v>
      </c>
      <c r="BZ24" s="2" t="s">
        <v>7159</v>
      </c>
      <c r="CE24" s="7">
        <v>16</v>
      </c>
      <c r="CK24" s="2">
        <v>100</v>
      </c>
      <c r="CO24" s="2">
        <v>100</v>
      </c>
      <c r="CR24" s="7" t="s">
        <v>7160</v>
      </c>
      <c r="CS24" s="7"/>
      <c r="CT24" s="7" t="s">
        <v>7143</v>
      </c>
      <c r="CU24" s="7" t="s">
        <v>7161</v>
      </c>
      <c r="CV24" s="7"/>
      <c r="CW24" s="7" t="s">
        <v>7162</v>
      </c>
      <c r="CY24" s="2" t="s">
        <v>7163</v>
      </c>
      <c r="CZ24" s="2" t="s">
        <v>7163</v>
      </c>
      <c r="DA24" s="2" t="s">
        <v>7163</v>
      </c>
      <c r="DB24" s="2" t="s">
        <v>7163</v>
      </c>
      <c r="DC24" s="2" t="s">
        <v>7163</v>
      </c>
      <c r="DD24" s="2" t="s">
        <v>7163</v>
      </c>
      <c r="DE24" s="2" t="s">
        <v>7164</v>
      </c>
      <c r="DF24" s="2" t="s">
        <v>7163</v>
      </c>
      <c r="DG24" s="2" t="s">
        <v>7163</v>
      </c>
      <c r="DH24" s="2" t="s">
        <v>7163</v>
      </c>
      <c r="DI24" s="2" t="s">
        <v>7163</v>
      </c>
      <c r="DL24" s="7" t="s">
        <v>7142</v>
      </c>
      <c r="DM24" s="7" t="s">
        <v>7142</v>
      </c>
      <c r="DN24" s="7" t="s">
        <v>7142</v>
      </c>
      <c r="DO24" s="7" t="s">
        <v>7142</v>
      </c>
      <c r="DP24" s="2" t="s">
        <v>7165</v>
      </c>
      <c r="DQ24" s="2" t="s">
        <v>7166</v>
      </c>
      <c r="DT24" s="2" t="s">
        <v>7165</v>
      </c>
      <c r="DU24" s="2" t="s">
        <v>7165</v>
      </c>
      <c r="DV24" s="2" t="s">
        <v>7165</v>
      </c>
      <c r="DW24" s="2" t="s">
        <v>7165</v>
      </c>
      <c r="DX24" s="2" t="s">
        <v>7165</v>
      </c>
      <c r="DY24" s="2" t="s">
        <v>7165</v>
      </c>
      <c r="DZ24" s="2" t="s">
        <v>7165</v>
      </c>
      <c r="EA24" s="2" t="s">
        <v>7165</v>
      </c>
      <c r="EB24" s="2" t="s">
        <v>7165</v>
      </c>
      <c r="EF24" s="2" t="s">
        <v>7167</v>
      </c>
      <c r="EJ24" s="7" t="s">
        <v>7144</v>
      </c>
      <c r="EK24" s="7" t="s">
        <v>7142</v>
      </c>
      <c r="EL24" s="7" t="s">
        <v>7142</v>
      </c>
      <c r="EM24" s="7" t="s">
        <v>7300</v>
      </c>
      <c r="EN24" s="7" t="s">
        <v>7170</v>
      </c>
      <c r="EP24" s="2" t="s">
        <v>7186</v>
      </c>
      <c r="ER24" s="2" t="s">
        <v>7142</v>
      </c>
      <c r="ET24" s="2" t="s">
        <v>7143</v>
      </c>
      <c r="EV24" s="2" t="s">
        <v>7142</v>
      </c>
      <c r="EW24" s="2" t="s">
        <v>7204</v>
      </c>
      <c r="EX24" s="2" t="s">
        <v>7143</v>
      </c>
      <c r="EZ24" s="7" t="s">
        <v>7142</v>
      </c>
      <c r="FA24" s="7" t="s">
        <v>383</v>
      </c>
      <c r="FB24" s="2" t="s">
        <v>7204</v>
      </c>
      <c r="FC24" s="2" t="s">
        <v>7218</v>
      </c>
      <c r="FD24" s="2" t="s">
        <v>7143</v>
      </c>
      <c r="FH24" s="2" t="s">
        <v>7173</v>
      </c>
      <c r="FJ24" s="2" t="s">
        <v>7142</v>
      </c>
      <c r="FK24" s="2" t="s">
        <v>7165</v>
      </c>
      <c r="FL24" s="2" t="s">
        <v>7260</v>
      </c>
      <c r="FN24" s="2" t="s">
        <v>7253</v>
      </c>
      <c r="FT24" s="2" t="s">
        <v>7176</v>
      </c>
      <c r="FU24" s="2" t="s">
        <v>7189</v>
      </c>
      <c r="FV24" s="2" t="s">
        <v>7189</v>
      </c>
      <c r="FW24" s="2" t="s">
        <v>7189</v>
      </c>
      <c r="FZ24" s="19" t="s">
        <v>7301</v>
      </c>
    </row>
    <row r="25" spans="1:182">
      <c r="A25" s="7" t="s">
        <v>384</v>
      </c>
      <c r="D25" s="15">
        <v>46030.765046296299</v>
      </c>
      <c r="E25" s="7" t="s">
        <v>177</v>
      </c>
      <c r="F25" s="7" t="s">
        <v>7245</v>
      </c>
      <c r="G25" s="7" t="s">
        <v>7135</v>
      </c>
      <c r="H25" s="7" t="s">
        <v>385</v>
      </c>
      <c r="I25" s="7" t="s">
        <v>386</v>
      </c>
      <c r="J25" s="16" t="s">
        <v>7302</v>
      </c>
      <c r="K25" s="7" t="s">
        <v>387</v>
      </c>
      <c r="L25" s="7" t="s">
        <v>7281</v>
      </c>
      <c r="M25" s="7" t="s">
        <v>7179</v>
      </c>
      <c r="N25" s="7">
        <v>1995</v>
      </c>
      <c r="O25" s="7" t="s">
        <v>7139</v>
      </c>
      <c r="P25" s="7" t="s">
        <v>7192</v>
      </c>
      <c r="Q25" s="7" t="s">
        <v>7182</v>
      </c>
      <c r="R25" s="7" t="s">
        <v>7143</v>
      </c>
      <c r="S25" s="7">
        <v>2007</v>
      </c>
      <c r="T25" s="7" t="s">
        <v>7143</v>
      </c>
      <c r="U25" s="7" t="s">
        <v>7143</v>
      </c>
      <c r="Z25" s="17">
        <v>0</v>
      </c>
      <c r="AA25" s="2">
        <v>600</v>
      </c>
      <c r="AB25" s="2">
        <v>600</v>
      </c>
      <c r="AC25" s="7">
        <v>430</v>
      </c>
      <c r="AD25" s="2">
        <v>500</v>
      </c>
      <c r="AE25" s="2">
        <v>70</v>
      </c>
      <c r="AF25" s="2" t="s">
        <v>7142</v>
      </c>
      <c r="AG25" s="2" t="s">
        <v>7142</v>
      </c>
      <c r="AH25" s="2" t="s">
        <v>7142</v>
      </c>
      <c r="AI25" s="2" t="s">
        <v>7303</v>
      </c>
      <c r="AJ25" s="2" t="s">
        <v>7143</v>
      </c>
      <c r="AK25" s="2" t="s">
        <v>7143</v>
      </c>
      <c r="AL25" s="2" t="s">
        <v>7143</v>
      </c>
      <c r="AM25" s="2" t="s">
        <v>7143</v>
      </c>
      <c r="AN25" s="2" t="s">
        <v>7143</v>
      </c>
      <c r="AO25" s="2" t="s">
        <v>7143</v>
      </c>
      <c r="AR25" s="7">
        <v>1.3</v>
      </c>
      <c r="AS25" s="7">
        <v>1</v>
      </c>
      <c r="AT25" s="7">
        <v>5</v>
      </c>
      <c r="AU25" s="2" t="s">
        <v>7144</v>
      </c>
      <c r="AV25" s="7" t="s">
        <v>7144</v>
      </c>
      <c r="AW25" s="2" t="s">
        <v>7143</v>
      </c>
      <c r="AZ25" s="2" t="s">
        <v>7286</v>
      </c>
      <c r="BB25" s="2" t="s">
        <v>7214</v>
      </c>
      <c r="BC25" s="2" t="s">
        <v>7208</v>
      </c>
      <c r="BD25" s="2" t="s">
        <v>7143</v>
      </c>
      <c r="BE25" s="2" t="s">
        <v>7143</v>
      </c>
      <c r="BG25" s="7" t="s">
        <v>7232</v>
      </c>
      <c r="BL25" s="7" t="s">
        <v>7152</v>
      </c>
      <c r="BM25" s="7" t="s">
        <v>7153</v>
      </c>
      <c r="BN25" s="2" t="s">
        <v>7154</v>
      </c>
      <c r="BO25" s="2" t="s">
        <v>7155</v>
      </c>
      <c r="BQ25" s="2" t="s">
        <v>7256</v>
      </c>
      <c r="BS25" s="2" t="s">
        <v>7143</v>
      </c>
      <c r="BT25" s="7" t="s">
        <v>7215</v>
      </c>
      <c r="BV25" s="2" t="s">
        <v>7304</v>
      </c>
      <c r="BX25" s="2" t="s">
        <v>7143</v>
      </c>
      <c r="BY25" s="2" t="s">
        <v>390</v>
      </c>
      <c r="BZ25" s="2" t="s">
        <v>7165</v>
      </c>
      <c r="CA25" s="2" t="s">
        <v>7305</v>
      </c>
      <c r="CE25" s="7">
        <v>5</v>
      </c>
      <c r="CK25" s="2">
        <v>100</v>
      </c>
      <c r="CO25" s="2">
        <v>100</v>
      </c>
      <c r="CR25" s="2" t="s">
        <v>7160</v>
      </c>
      <c r="CT25" s="2" t="s">
        <v>7143</v>
      </c>
      <c r="CU25" s="2" t="s">
        <v>7257</v>
      </c>
      <c r="CW25" s="2" t="s">
        <v>7162</v>
      </c>
      <c r="CY25" s="2" t="s">
        <v>7249</v>
      </c>
      <c r="CZ25" s="2" t="s">
        <v>7249</v>
      </c>
      <c r="DA25" s="2" t="s">
        <v>7250</v>
      </c>
      <c r="DB25" s="2" t="s">
        <v>7251</v>
      </c>
      <c r="DC25" s="2" t="s">
        <v>7164</v>
      </c>
      <c r="DD25" s="2" t="s">
        <v>7251</v>
      </c>
      <c r="DE25" s="2" t="s">
        <v>7250</v>
      </c>
      <c r="DF25" s="2" t="s">
        <v>7250</v>
      </c>
      <c r="DG25" s="2" t="s">
        <v>7250</v>
      </c>
      <c r="DH25" s="2" t="s">
        <v>7250</v>
      </c>
      <c r="DI25" s="2" t="s">
        <v>7250</v>
      </c>
      <c r="DL25" s="7" t="s">
        <v>7143</v>
      </c>
      <c r="DM25" s="2" t="s">
        <v>7143</v>
      </c>
      <c r="DP25" s="2" t="s">
        <v>7159</v>
      </c>
      <c r="DT25" s="2" t="s">
        <v>7165</v>
      </c>
      <c r="DU25" s="2" t="s">
        <v>7165</v>
      </c>
      <c r="DV25" s="2" t="s">
        <v>7165</v>
      </c>
      <c r="DW25" s="2" t="s">
        <v>7165</v>
      </c>
      <c r="DX25" s="2" t="s">
        <v>7165</v>
      </c>
      <c r="DY25" s="2" t="s">
        <v>7159</v>
      </c>
      <c r="DZ25" s="2" t="s">
        <v>7159</v>
      </c>
      <c r="EA25" s="2" t="s">
        <v>7165</v>
      </c>
      <c r="EB25" s="2" t="s">
        <v>7165</v>
      </c>
      <c r="EF25" s="2" t="s">
        <v>7167</v>
      </c>
      <c r="EJ25" s="2" t="s">
        <v>7168</v>
      </c>
      <c r="EK25" s="2" t="s">
        <v>7142</v>
      </c>
      <c r="EL25" s="2" t="s">
        <v>7142</v>
      </c>
      <c r="EM25" s="2" t="s">
        <v>7306</v>
      </c>
      <c r="EN25" s="2" t="s">
        <v>7307</v>
      </c>
      <c r="EP25" s="2" t="s">
        <v>7308</v>
      </c>
      <c r="ET25" s="2" t="s">
        <v>7143</v>
      </c>
      <c r="EV25" s="2" t="s">
        <v>7142</v>
      </c>
      <c r="EW25" s="2" t="s">
        <v>7171</v>
      </c>
      <c r="EX25" s="2" t="s">
        <v>7142</v>
      </c>
      <c r="EY25" s="2" t="s">
        <v>7171</v>
      </c>
      <c r="FC25" s="2" t="s">
        <v>7309</v>
      </c>
      <c r="FD25" s="2" t="s">
        <v>7142</v>
      </c>
      <c r="FE25" s="2" t="s">
        <v>7171</v>
      </c>
      <c r="FH25" s="2" t="s">
        <v>7173</v>
      </c>
      <c r="FJ25" s="2" t="s">
        <v>7142</v>
      </c>
      <c r="FK25" s="2" t="s">
        <v>7173</v>
      </c>
      <c r="FN25" s="2" t="s">
        <v>7253</v>
      </c>
      <c r="FT25" s="2" t="s">
        <v>7176</v>
      </c>
      <c r="FU25" s="2" t="s">
        <v>7189</v>
      </c>
      <c r="FV25" s="2" t="s">
        <v>7176</v>
      </c>
      <c r="FW25" s="2" t="s">
        <v>7189</v>
      </c>
      <c r="FZ25" s="19" t="s">
        <v>7310</v>
      </c>
    </row>
    <row r="26" spans="1:182">
      <c r="A26" s="7" t="s">
        <v>396</v>
      </c>
      <c r="D26" s="15">
        <v>46030.390983796293</v>
      </c>
      <c r="E26" s="7" t="s">
        <v>397</v>
      </c>
      <c r="F26" s="7" t="s">
        <v>7311</v>
      </c>
      <c r="G26" s="7" t="s">
        <v>7135</v>
      </c>
      <c r="H26" s="7" t="s">
        <v>399</v>
      </c>
      <c r="I26" s="7" t="s">
        <v>400</v>
      </c>
      <c r="J26" s="16" t="s">
        <v>7312</v>
      </c>
      <c r="K26" s="7" t="s">
        <v>400</v>
      </c>
      <c r="L26" s="7" t="s">
        <v>7224</v>
      </c>
      <c r="M26" s="7" t="s">
        <v>7138</v>
      </c>
      <c r="N26" s="7">
        <v>1988</v>
      </c>
      <c r="O26" s="7" t="s">
        <v>7139</v>
      </c>
      <c r="P26" s="7" t="s">
        <v>7140</v>
      </c>
      <c r="Q26" s="7" t="s">
        <v>7141</v>
      </c>
      <c r="R26" s="2" t="s">
        <v>7143</v>
      </c>
      <c r="S26" s="2">
        <v>12</v>
      </c>
      <c r="T26" s="2" t="s">
        <v>7143</v>
      </c>
      <c r="U26" s="2" t="s">
        <v>7143</v>
      </c>
      <c r="Y26" s="7">
        <v>135</v>
      </c>
      <c r="Z26" s="17">
        <v>0.70369999999999999</v>
      </c>
      <c r="AA26" s="7">
        <v>95</v>
      </c>
      <c r="AB26" s="10">
        <v>95</v>
      </c>
      <c r="AC26" s="10">
        <v>95</v>
      </c>
      <c r="AD26" s="10">
        <v>120</v>
      </c>
      <c r="AE26" s="10">
        <v>25</v>
      </c>
      <c r="AF26" s="10" t="s">
        <v>7143</v>
      </c>
      <c r="AG26" s="10" t="s">
        <v>7143</v>
      </c>
      <c r="AH26" s="10" t="s">
        <v>7143</v>
      </c>
      <c r="AI26" s="10"/>
      <c r="AJ26" s="10" t="s">
        <v>7143</v>
      </c>
      <c r="AK26" s="10" t="s">
        <v>7143</v>
      </c>
      <c r="AL26" s="10" t="s">
        <v>7143</v>
      </c>
      <c r="AM26" s="10" t="s">
        <v>7142</v>
      </c>
      <c r="AN26" s="10" t="s">
        <v>7143</v>
      </c>
      <c r="AO26" s="10" t="s">
        <v>7143</v>
      </c>
      <c r="AP26" s="10"/>
      <c r="AQ26" s="18"/>
      <c r="AR26" s="7">
        <v>0.9</v>
      </c>
      <c r="AS26" s="7">
        <v>4</v>
      </c>
      <c r="AT26" s="7">
        <v>1.2</v>
      </c>
      <c r="AU26" s="2" t="s">
        <v>7193</v>
      </c>
      <c r="AV26" s="2" t="s">
        <v>7193</v>
      </c>
      <c r="AW26" s="2" t="s">
        <v>7143</v>
      </c>
      <c r="BC26" s="2" t="s">
        <v>7147</v>
      </c>
      <c r="BD26" s="2" t="s">
        <v>7143</v>
      </c>
      <c r="BE26" s="2" t="s">
        <v>7143</v>
      </c>
      <c r="BL26" s="2" t="s">
        <v>7195</v>
      </c>
      <c r="BO26" s="2" t="s">
        <v>7274</v>
      </c>
      <c r="BP26" s="2" t="s">
        <v>7275</v>
      </c>
      <c r="BS26" s="2" t="s">
        <v>7142</v>
      </c>
      <c r="BT26" s="2" t="s">
        <v>7215</v>
      </c>
      <c r="BV26" s="2" t="s">
        <v>7313</v>
      </c>
      <c r="BX26" s="2" t="s">
        <v>7143</v>
      </c>
      <c r="BY26" s="2" t="s">
        <v>402</v>
      </c>
      <c r="BZ26" s="2" t="s">
        <v>7159</v>
      </c>
      <c r="CE26" s="7">
        <v>1.2</v>
      </c>
      <c r="CF26" s="2">
        <v>120</v>
      </c>
      <c r="CK26" s="2">
        <v>100</v>
      </c>
      <c r="CP26" s="2">
        <v>100</v>
      </c>
      <c r="CR26" s="2" t="s">
        <v>7160</v>
      </c>
      <c r="CT26" s="2" t="s">
        <v>7143</v>
      </c>
      <c r="CU26" s="2" t="s">
        <v>7161</v>
      </c>
      <c r="CW26" s="2" t="s">
        <v>7162</v>
      </c>
      <c r="CY26" s="2" t="s">
        <v>7250</v>
      </c>
      <c r="CZ26" s="2" t="s">
        <v>7250</v>
      </c>
      <c r="DA26" s="2" t="s">
        <v>7250</v>
      </c>
      <c r="DB26" s="2" t="s">
        <v>7250</v>
      </c>
      <c r="DC26" s="2" t="s">
        <v>7250</v>
      </c>
      <c r="DD26" s="2" t="s">
        <v>7250</v>
      </c>
      <c r="DE26" s="2" t="s">
        <v>7250</v>
      </c>
      <c r="DF26" s="2" t="s">
        <v>7250</v>
      </c>
      <c r="DG26" s="2" t="s">
        <v>7250</v>
      </c>
      <c r="DH26" s="2" t="s">
        <v>7250</v>
      </c>
      <c r="DI26" s="2" t="s">
        <v>7250</v>
      </c>
      <c r="DL26" s="2" t="s">
        <v>7143</v>
      </c>
      <c r="DM26" s="2" t="s">
        <v>7143</v>
      </c>
      <c r="DP26" s="2" t="s">
        <v>7159</v>
      </c>
      <c r="DT26" s="2" t="s">
        <v>7159</v>
      </c>
      <c r="DU26" s="2" t="s">
        <v>7159</v>
      </c>
      <c r="DV26" s="2" t="s">
        <v>7159</v>
      </c>
      <c r="DW26" s="2" t="s">
        <v>7159</v>
      </c>
      <c r="DX26" s="2" t="s">
        <v>7159</v>
      </c>
      <c r="DY26" s="2" t="s">
        <v>7159</v>
      </c>
      <c r="DZ26" s="2" t="s">
        <v>7159</v>
      </c>
      <c r="EA26" s="2" t="s">
        <v>7159</v>
      </c>
      <c r="EB26" s="2" t="s">
        <v>7159</v>
      </c>
      <c r="EC26" s="2" t="s">
        <v>7159</v>
      </c>
      <c r="EF26" s="2" t="s">
        <v>7252</v>
      </c>
      <c r="EG26" s="2" t="s">
        <v>403</v>
      </c>
      <c r="EJ26" s="2" t="s">
        <v>7193</v>
      </c>
      <c r="EK26" s="2" t="s">
        <v>7143</v>
      </c>
      <c r="EL26" s="2" t="s">
        <v>7143</v>
      </c>
      <c r="EN26" s="2" t="s">
        <v>7210</v>
      </c>
      <c r="EP26" s="18" t="s">
        <v>7186</v>
      </c>
      <c r="EQ26" s="18"/>
      <c r="ER26" s="18" t="s">
        <v>7143</v>
      </c>
      <c r="ES26" s="18"/>
      <c r="ET26" s="18" t="s">
        <v>7143</v>
      </c>
      <c r="EU26" s="18"/>
      <c r="EV26" s="18" t="s">
        <v>7143</v>
      </c>
      <c r="EW26" s="18"/>
      <c r="EX26" s="18" t="s">
        <v>7143</v>
      </c>
      <c r="EY26" s="18"/>
      <c r="EZ26" s="18" t="s">
        <v>7143</v>
      </c>
      <c r="FA26" s="18"/>
      <c r="FB26" s="10"/>
      <c r="FC26" s="10" t="s">
        <v>7172</v>
      </c>
      <c r="FD26" s="10" t="s">
        <v>7143</v>
      </c>
      <c r="FE26" s="10"/>
      <c r="FH26" s="2" t="s">
        <v>7173</v>
      </c>
      <c r="FJ26" s="2" t="s">
        <v>7143</v>
      </c>
      <c r="FK26" s="2" t="s">
        <v>7159</v>
      </c>
      <c r="FR26" s="7" t="s">
        <v>404</v>
      </c>
      <c r="FT26" s="10" t="s">
        <v>7189</v>
      </c>
      <c r="FU26" s="10" t="s">
        <v>7189</v>
      </c>
      <c r="FV26" s="10" t="s">
        <v>7189</v>
      </c>
      <c r="FW26" s="10" t="s">
        <v>7189</v>
      </c>
      <c r="FX26" s="10" t="s">
        <v>7189</v>
      </c>
      <c r="FY26" s="10" t="s">
        <v>405</v>
      </c>
      <c r="FZ26" s="20" t="s">
        <v>7314</v>
      </c>
    </row>
    <row r="27" spans="1:182">
      <c r="A27" s="7" t="s">
        <v>406</v>
      </c>
      <c r="D27" s="15">
        <v>46030.405428240738</v>
      </c>
      <c r="E27" s="7" t="s">
        <v>397</v>
      </c>
      <c r="F27" s="7" t="s">
        <v>7311</v>
      </c>
      <c r="G27" s="7" t="s">
        <v>7135</v>
      </c>
      <c r="H27" s="7" t="s">
        <v>399</v>
      </c>
      <c r="I27" s="7" t="s">
        <v>407</v>
      </c>
      <c r="J27" s="2" t="s">
        <v>408</v>
      </c>
      <c r="K27" s="7" t="s">
        <v>409</v>
      </c>
      <c r="L27" s="2" t="s">
        <v>7137</v>
      </c>
      <c r="M27" s="7" t="s">
        <v>7179</v>
      </c>
      <c r="N27" s="7">
        <v>1976</v>
      </c>
      <c r="O27" s="7" t="s">
        <v>7139</v>
      </c>
      <c r="P27" s="7" t="s">
        <v>7181</v>
      </c>
      <c r="Q27" s="7" t="s">
        <v>7225</v>
      </c>
      <c r="R27" s="2" t="s">
        <v>7143</v>
      </c>
      <c r="S27" s="2">
        <v>20</v>
      </c>
      <c r="T27" s="2" t="s">
        <v>7143</v>
      </c>
      <c r="U27" s="2" t="s">
        <v>7143</v>
      </c>
      <c r="Y27" s="2">
        <v>280</v>
      </c>
      <c r="Z27" s="17">
        <v>0.96430000000000005</v>
      </c>
      <c r="AA27" s="2">
        <v>270</v>
      </c>
      <c r="AB27" s="2">
        <v>270</v>
      </c>
      <c r="AC27" s="7">
        <v>270</v>
      </c>
      <c r="AD27" s="2">
        <v>300</v>
      </c>
      <c r="AE27" s="2">
        <v>30</v>
      </c>
      <c r="AF27" s="2" t="s">
        <v>7143</v>
      </c>
      <c r="AG27" s="2" t="s">
        <v>7143</v>
      </c>
      <c r="AH27" s="2" t="s">
        <v>7143</v>
      </c>
      <c r="AJ27" s="2" t="s">
        <v>7143</v>
      </c>
      <c r="AK27" s="2" t="s">
        <v>7143</v>
      </c>
      <c r="AL27" s="2" t="s">
        <v>7143</v>
      </c>
      <c r="AM27" s="2" t="s">
        <v>7142</v>
      </c>
      <c r="AN27" s="2" t="s">
        <v>7143</v>
      </c>
      <c r="AO27" s="2" t="s">
        <v>7143</v>
      </c>
      <c r="AR27" s="7">
        <v>0.8</v>
      </c>
      <c r="AS27" s="7">
        <v>3</v>
      </c>
      <c r="AT27" s="7">
        <v>3</v>
      </c>
      <c r="AU27" s="2" t="s">
        <v>7193</v>
      </c>
      <c r="AV27" s="2" t="s">
        <v>7193</v>
      </c>
      <c r="AW27" s="2" t="s">
        <v>7143</v>
      </c>
      <c r="BC27" s="2" t="s">
        <v>7147</v>
      </c>
      <c r="BD27" s="2" t="s">
        <v>7143</v>
      </c>
      <c r="BE27" s="2" t="s">
        <v>7143</v>
      </c>
      <c r="BL27" s="2" t="s">
        <v>7195</v>
      </c>
      <c r="BO27" s="2" t="s">
        <v>7274</v>
      </c>
      <c r="BP27" s="2" t="s">
        <v>7275</v>
      </c>
      <c r="BS27" s="2" t="s">
        <v>7142</v>
      </c>
      <c r="BT27" s="2" t="s">
        <v>7315</v>
      </c>
      <c r="BV27" s="2" t="s">
        <v>7202</v>
      </c>
      <c r="BX27" s="2" t="s">
        <v>7143</v>
      </c>
      <c r="BY27" s="2" t="s">
        <v>411</v>
      </c>
      <c r="BZ27" s="2" t="s">
        <v>7159</v>
      </c>
      <c r="CE27" s="7">
        <v>3</v>
      </c>
      <c r="CF27" s="2">
        <v>300</v>
      </c>
      <c r="CK27" s="2">
        <v>20</v>
      </c>
      <c r="CM27" s="2">
        <v>80</v>
      </c>
      <c r="CP27" s="2">
        <v>100</v>
      </c>
      <c r="CR27" s="2" t="s">
        <v>7160</v>
      </c>
      <c r="CT27" s="2" t="s">
        <v>7143</v>
      </c>
      <c r="CU27" s="2" t="s">
        <v>7161</v>
      </c>
      <c r="CW27" s="2" t="s">
        <v>7162</v>
      </c>
      <c r="CY27" s="2" t="s">
        <v>7163</v>
      </c>
      <c r="CZ27" s="2" t="s">
        <v>7250</v>
      </c>
      <c r="DA27" s="2" t="s">
        <v>7250</v>
      </c>
      <c r="DB27" s="2" t="s">
        <v>7250</v>
      </c>
      <c r="DC27" s="2" t="s">
        <v>7250</v>
      </c>
      <c r="DD27" s="2" t="s">
        <v>7250</v>
      </c>
      <c r="DE27" s="2" t="s">
        <v>7250</v>
      </c>
      <c r="DF27" s="2" t="s">
        <v>7250</v>
      </c>
      <c r="DG27" s="2" t="s">
        <v>7250</v>
      </c>
      <c r="DH27" s="2" t="s">
        <v>7250</v>
      </c>
      <c r="DI27" s="2" t="s">
        <v>7250</v>
      </c>
      <c r="DL27" s="2" t="s">
        <v>7143</v>
      </c>
      <c r="DM27" s="2" t="s">
        <v>7143</v>
      </c>
      <c r="DP27" s="2" t="s">
        <v>7173</v>
      </c>
      <c r="DT27" s="2" t="s">
        <v>7159</v>
      </c>
      <c r="DU27" s="2" t="s">
        <v>7159</v>
      </c>
      <c r="DV27" s="2" t="s">
        <v>7159</v>
      </c>
      <c r="DW27" s="2" t="s">
        <v>7159</v>
      </c>
      <c r="DX27" s="2" t="s">
        <v>7159</v>
      </c>
      <c r="DY27" s="2" t="s">
        <v>7159</v>
      </c>
      <c r="DZ27" s="2" t="s">
        <v>7159</v>
      </c>
      <c r="EA27" s="2" t="s">
        <v>7159</v>
      </c>
      <c r="EB27" s="2" t="s">
        <v>7159</v>
      </c>
      <c r="EC27" s="2" t="s">
        <v>7159</v>
      </c>
      <c r="EF27" s="2" t="s">
        <v>7252</v>
      </c>
      <c r="EG27" s="2" t="s">
        <v>412</v>
      </c>
      <c r="EJ27" s="2" t="s">
        <v>7217</v>
      </c>
      <c r="EK27" s="2" t="s">
        <v>7143</v>
      </c>
      <c r="EL27" s="2" t="s">
        <v>7143</v>
      </c>
      <c r="EN27" s="2" t="s">
        <v>7170</v>
      </c>
      <c r="EP27" s="2" t="s">
        <v>7186</v>
      </c>
      <c r="ER27" s="2" t="s">
        <v>7143</v>
      </c>
      <c r="ET27" s="2" t="s">
        <v>7143</v>
      </c>
      <c r="EV27" s="2" t="s">
        <v>7143</v>
      </c>
      <c r="EX27" s="2" t="s">
        <v>7143</v>
      </c>
      <c r="EZ27" s="2" t="s">
        <v>7143</v>
      </c>
      <c r="FC27" s="2" t="s">
        <v>7172</v>
      </c>
      <c r="FD27" s="2" t="s">
        <v>7143</v>
      </c>
      <c r="FH27" s="2" t="s">
        <v>7173</v>
      </c>
      <c r="FJ27" s="2" t="s">
        <v>7143</v>
      </c>
      <c r="FK27" s="2" t="s">
        <v>7159</v>
      </c>
      <c r="FR27" s="2" t="s">
        <v>413</v>
      </c>
      <c r="FT27" s="2" t="s">
        <v>7189</v>
      </c>
      <c r="FU27" s="2" t="s">
        <v>7189</v>
      </c>
      <c r="FV27" s="2" t="s">
        <v>7176</v>
      </c>
      <c r="FW27" s="2" t="s">
        <v>7176</v>
      </c>
      <c r="FX27" s="2" t="s">
        <v>7189</v>
      </c>
      <c r="FY27" s="2" t="s">
        <v>414</v>
      </c>
      <c r="FZ27" s="19" t="s">
        <v>7316</v>
      </c>
    </row>
    <row r="28" spans="1:182">
      <c r="A28" s="7" t="s">
        <v>415</v>
      </c>
      <c r="D28" s="15">
        <v>46030.415844907409</v>
      </c>
      <c r="E28" s="7" t="s">
        <v>416</v>
      </c>
      <c r="F28" s="7" t="s">
        <v>7311</v>
      </c>
      <c r="G28" s="7" t="s">
        <v>7135</v>
      </c>
      <c r="H28" s="7" t="s">
        <v>399</v>
      </c>
      <c r="I28" s="7" t="s">
        <v>417</v>
      </c>
      <c r="J28" s="16" t="s">
        <v>7317</v>
      </c>
      <c r="K28" s="7" t="s">
        <v>418</v>
      </c>
      <c r="L28" s="2" t="s">
        <v>7137</v>
      </c>
      <c r="M28" s="7" t="s">
        <v>7179</v>
      </c>
      <c r="N28" s="7">
        <v>1990</v>
      </c>
      <c r="O28" s="7" t="s">
        <v>7139</v>
      </c>
      <c r="P28" s="2" t="s">
        <v>7181</v>
      </c>
      <c r="Q28" s="2" t="s">
        <v>7182</v>
      </c>
      <c r="R28" s="2" t="s">
        <v>7143</v>
      </c>
      <c r="S28" s="2">
        <v>20</v>
      </c>
      <c r="T28" s="2" t="s">
        <v>7143</v>
      </c>
      <c r="U28" s="2" t="s">
        <v>7143</v>
      </c>
      <c r="Y28" s="2">
        <v>356</v>
      </c>
      <c r="Z28" s="17">
        <v>0.98309999999999997</v>
      </c>
      <c r="AA28" s="2">
        <v>350</v>
      </c>
      <c r="AB28" s="2">
        <v>350</v>
      </c>
      <c r="AC28" s="7">
        <v>350</v>
      </c>
      <c r="AD28" s="2">
        <v>410</v>
      </c>
      <c r="AE28" s="2">
        <v>60</v>
      </c>
      <c r="AF28" s="2" t="s">
        <v>7143</v>
      </c>
      <c r="AG28" s="2" t="s">
        <v>7143</v>
      </c>
      <c r="AH28" s="2" t="s">
        <v>7143</v>
      </c>
      <c r="AJ28" s="2" t="s">
        <v>7143</v>
      </c>
      <c r="AK28" s="2" t="s">
        <v>7143</v>
      </c>
      <c r="AL28" s="2" t="s">
        <v>7143</v>
      </c>
      <c r="AM28" s="2" t="s">
        <v>7142</v>
      </c>
      <c r="AN28" s="2" t="s">
        <v>7143</v>
      </c>
      <c r="AO28" s="2" t="s">
        <v>7143</v>
      </c>
      <c r="AR28" s="7">
        <v>1.17</v>
      </c>
      <c r="AS28" s="7">
        <v>6</v>
      </c>
      <c r="AT28" s="7">
        <v>4</v>
      </c>
      <c r="AU28" s="2" t="s">
        <v>7193</v>
      </c>
      <c r="AV28" s="2" t="s">
        <v>7193</v>
      </c>
      <c r="AW28" s="2" t="s">
        <v>7143</v>
      </c>
      <c r="AZ28" s="2" t="s">
        <v>7194</v>
      </c>
      <c r="BB28" s="2" t="s">
        <v>7214</v>
      </c>
      <c r="BC28" s="2" t="s">
        <v>7147</v>
      </c>
      <c r="BD28" s="2" t="s">
        <v>7143</v>
      </c>
      <c r="BE28" s="2" t="s">
        <v>7142</v>
      </c>
      <c r="BF28" s="2" t="s">
        <v>7148</v>
      </c>
      <c r="BG28" s="2" t="s">
        <v>7149</v>
      </c>
      <c r="BH28" s="2" t="s">
        <v>7150</v>
      </c>
      <c r="BI28" s="2" t="s">
        <v>7151</v>
      </c>
      <c r="BL28" s="2" t="s">
        <v>7152</v>
      </c>
      <c r="BM28" s="2" t="s">
        <v>7153</v>
      </c>
      <c r="BN28" s="2" t="s">
        <v>7154</v>
      </c>
      <c r="BO28" s="2" t="s">
        <v>7274</v>
      </c>
      <c r="BP28" s="2" t="s">
        <v>7275</v>
      </c>
      <c r="BS28" s="2" t="s">
        <v>7142</v>
      </c>
      <c r="BT28" s="2" t="s">
        <v>7315</v>
      </c>
      <c r="BV28" s="2" t="s">
        <v>7202</v>
      </c>
      <c r="BX28" s="2" t="s">
        <v>7143</v>
      </c>
      <c r="BY28" s="2" t="s">
        <v>419</v>
      </c>
      <c r="BZ28" s="2" t="s">
        <v>7159</v>
      </c>
      <c r="CE28" s="7">
        <v>4</v>
      </c>
      <c r="CF28" s="2">
        <v>410</v>
      </c>
      <c r="CM28" s="2">
        <v>100</v>
      </c>
      <c r="CP28" s="2">
        <v>100</v>
      </c>
      <c r="CR28" s="2" t="s">
        <v>7160</v>
      </c>
      <c r="CT28" s="2" t="s">
        <v>7143</v>
      </c>
      <c r="CU28" s="2" t="s">
        <v>7161</v>
      </c>
      <c r="CW28" s="2" t="s">
        <v>7162</v>
      </c>
      <c r="CY28" s="2" t="s">
        <v>7163</v>
      </c>
      <c r="CZ28" s="2" t="s">
        <v>7163</v>
      </c>
      <c r="DA28" s="2" t="s">
        <v>7250</v>
      </c>
      <c r="DB28" s="2" t="s">
        <v>7250</v>
      </c>
      <c r="DC28" s="2" t="s">
        <v>7250</v>
      </c>
      <c r="DD28" s="2" t="s">
        <v>7250</v>
      </c>
      <c r="DE28" s="2" t="s">
        <v>7250</v>
      </c>
      <c r="DF28" s="2" t="s">
        <v>7250</v>
      </c>
      <c r="DG28" s="2" t="s">
        <v>7250</v>
      </c>
      <c r="DH28" s="2" t="s">
        <v>7250</v>
      </c>
      <c r="DI28" s="2" t="s">
        <v>7250</v>
      </c>
      <c r="DL28" s="2" t="s">
        <v>7143</v>
      </c>
      <c r="DM28" s="2" t="s">
        <v>7143</v>
      </c>
      <c r="DP28" s="2" t="s">
        <v>7173</v>
      </c>
      <c r="DT28" s="2" t="s">
        <v>7159</v>
      </c>
      <c r="DU28" s="2" t="s">
        <v>7159</v>
      </c>
      <c r="DV28" s="2" t="s">
        <v>7159</v>
      </c>
      <c r="DW28" s="2" t="s">
        <v>7159</v>
      </c>
      <c r="DX28" s="2" t="s">
        <v>7159</v>
      </c>
      <c r="DY28" s="2" t="s">
        <v>7159</v>
      </c>
      <c r="DZ28" s="2" t="s">
        <v>7159</v>
      </c>
      <c r="EA28" s="2" t="s">
        <v>7159</v>
      </c>
      <c r="EB28" s="2" t="s">
        <v>7159</v>
      </c>
      <c r="EC28" s="2" t="s">
        <v>7159</v>
      </c>
      <c r="EF28" s="2" t="s">
        <v>7252</v>
      </c>
      <c r="EG28" s="2" t="s">
        <v>420</v>
      </c>
      <c r="EJ28" s="2" t="s">
        <v>7193</v>
      </c>
      <c r="EK28" s="2" t="s">
        <v>7142</v>
      </c>
      <c r="EL28" s="2" t="s">
        <v>7143</v>
      </c>
      <c r="EN28" s="2" t="s">
        <v>7170</v>
      </c>
      <c r="EP28" s="2" t="s">
        <v>7186</v>
      </c>
      <c r="ER28" s="2" t="s">
        <v>7142</v>
      </c>
      <c r="ET28" s="2" t="s">
        <v>7143</v>
      </c>
      <c r="EV28" s="2" t="s">
        <v>7143</v>
      </c>
      <c r="EX28" s="2" t="s">
        <v>7142</v>
      </c>
      <c r="EY28" s="2" t="s">
        <v>7204</v>
      </c>
      <c r="EZ28" s="2" t="s">
        <v>7143</v>
      </c>
      <c r="FC28" s="2" t="s">
        <v>7172</v>
      </c>
      <c r="FD28" s="2" t="s">
        <v>7143</v>
      </c>
      <c r="FH28" s="2" t="s">
        <v>7173</v>
      </c>
      <c r="FJ28" s="2" t="s">
        <v>7143</v>
      </c>
      <c r="FK28" s="2" t="s">
        <v>7159</v>
      </c>
      <c r="FR28" s="2" t="s">
        <v>421</v>
      </c>
      <c r="FT28" s="2" t="s">
        <v>7189</v>
      </c>
      <c r="FU28" s="2" t="s">
        <v>7189</v>
      </c>
      <c r="FV28" s="2" t="s">
        <v>7176</v>
      </c>
      <c r="FW28" s="2" t="s">
        <v>7176</v>
      </c>
      <c r="FX28" s="2" t="s">
        <v>7189</v>
      </c>
      <c r="FY28" s="2" t="s">
        <v>422</v>
      </c>
      <c r="FZ28" s="19" t="s">
        <v>7318</v>
      </c>
    </row>
    <row r="29" spans="1:182">
      <c r="A29" s="7" t="s">
        <v>423</v>
      </c>
      <c r="D29" s="15">
        <v>46030.672673611109</v>
      </c>
      <c r="E29" s="7" t="s">
        <v>424</v>
      </c>
      <c r="F29" s="7" t="s">
        <v>7319</v>
      </c>
      <c r="G29" s="7" t="s">
        <v>7135</v>
      </c>
      <c r="H29" s="7" t="s">
        <v>426</v>
      </c>
      <c r="I29" s="7" t="s">
        <v>427</v>
      </c>
      <c r="J29" s="16" t="s">
        <v>7320</v>
      </c>
      <c r="K29" s="7" t="s">
        <v>428</v>
      </c>
      <c r="L29" s="7" t="s">
        <v>7224</v>
      </c>
      <c r="M29" s="7" t="s">
        <v>7179</v>
      </c>
      <c r="N29" s="7">
        <v>1990</v>
      </c>
      <c r="O29" s="7" t="s">
        <v>7139</v>
      </c>
      <c r="P29" s="7" t="s">
        <v>7181</v>
      </c>
      <c r="Q29" s="7" t="s">
        <v>7225</v>
      </c>
      <c r="R29" s="7" t="s">
        <v>7143</v>
      </c>
      <c r="S29" s="7">
        <v>11</v>
      </c>
      <c r="T29" s="7" t="s">
        <v>7143</v>
      </c>
      <c r="U29" s="7" t="s">
        <v>7143</v>
      </c>
      <c r="Y29" s="2">
        <v>165</v>
      </c>
      <c r="Z29" s="17">
        <v>1</v>
      </c>
      <c r="AA29" s="2">
        <v>165</v>
      </c>
      <c r="AB29" s="2">
        <v>165</v>
      </c>
      <c r="AC29" s="7">
        <v>160</v>
      </c>
      <c r="AD29" s="7">
        <v>200</v>
      </c>
      <c r="AE29" s="7">
        <v>40</v>
      </c>
      <c r="AF29" s="7" t="s">
        <v>7142</v>
      </c>
      <c r="AG29" s="7" t="s">
        <v>7143</v>
      </c>
      <c r="AH29" s="7" t="s">
        <v>7143</v>
      </c>
      <c r="AJ29" s="7" t="s">
        <v>7143</v>
      </c>
      <c r="AK29" s="7" t="s">
        <v>7143</v>
      </c>
      <c r="AL29" s="7" t="s">
        <v>7143</v>
      </c>
      <c r="AM29" s="7" t="s">
        <v>7143</v>
      </c>
      <c r="AN29" s="7" t="s">
        <v>7143</v>
      </c>
      <c r="AO29" s="7" t="s">
        <v>7143</v>
      </c>
      <c r="AR29" s="7">
        <v>0.9</v>
      </c>
      <c r="AS29" s="7">
        <v>1</v>
      </c>
      <c r="AT29" s="7">
        <v>2</v>
      </c>
      <c r="AU29" s="7" t="s">
        <v>7217</v>
      </c>
      <c r="AV29" s="7" t="s">
        <v>7193</v>
      </c>
      <c r="AW29" s="7" t="s">
        <v>7143</v>
      </c>
      <c r="AZ29" s="2" t="s">
        <v>7145</v>
      </c>
      <c r="BB29" s="2" t="s">
        <v>7268</v>
      </c>
      <c r="BC29" s="2" t="s">
        <v>7247</v>
      </c>
      <c r="BD29" s="2" t="s">
        <v>7142</v>
      </c>
      <c r="BE29" s="2" t="s">
        <v>7142</v>
      </c>
      <c r="BF29" s="2" t="s">
        <v>7148</v>
      </c>
      <c r="BG29" s="2" t="s">
        <v>7149</v>
      </c>
      <c r="BH29" s="2" t="s">
        <v>7233</v>
      </c>
      <c r="BI29" s="2" t="s">
        <v>7269</v>
      </c>
      <c r="BL29" s="2" t="s">
        <v>7195</v>
      </c>
      <c r="BO29" s="2" t="s">
        <v>7274</v>
      </c>
      <c r="BP29" s="2" t="s">
        <v>7275</v>
      </c>
      <c r="BS29" s="2" t="s">
        <v>7143</v>
      </c>
      <c r="BT29" s="2" t="s">
        <v>7238</v>
      </c>
      <c r="BU29" s="2" t="s">
        <v>429</v>
      </c>
      <c r="BV29" s="2" t="s">
        <v>7197</v>
      </c>
      <c r="BX29" s="2" t="s">
        <v>7143</v>
      </c>
      <c r="BZ29" s="2" t="s">
        <v>7173</v>
      </c>
      <c r="CE29" s="7">
        <v>2</v>
      </c>
      <c r="CF29" s="2">
        <v>200</v>
      </c>
      <c r="CK29" s="2">
        <v>100</v>
      </c>
      <c r="CO29" s="2">
        <v>100</v>
      </c>
      <c r="CR29" s="2" t="s">
        <v>7160</v>
      </c>
      <c r="CT29" s="2" t="s">
        <v>7143</v>
      </c>
      <c r="CU29" s="2" t="s">
        <v>7161</v>
      </c>
      <c r="CW29" s="2" t="s">
        <v>7162</v>
      </c>
      <c r="CY29" s="2" t="s">
        <v>7250</v>
      </c>
      <c r="CZ29" s="2" t="s">
        <v>7250</v>
      </c>
      <c r="DA29" s="2" t="s">
        <v>7250</v>
      </c>
      <c r="DB29" s="2" t="s">
        <v>7250</v>
      </c>
      <c r="DC29" s="2" t="s">
        <v>7250</v>
      </c>
      <c r="DD29" s="2" t="s">
        <v>7321</v>
      </c>
      <c r="DE29" s="2" t="s">
        <v>7250</v>
      </c>
      <c r="DF29" s="2" t="s">
        <v>7250</v>
      </c>
      <c r="DG29" s="2" t="s">
        <v>7250</v>
      </c>
      <c r="DH29" s="2" t="s">
        <v>7250</v>
      </c>
      <c r="DI29" s="2" t="s">
        <v>7250</v>
      </c>
      <c r="DL29" s="2" t="s">
        <v>7143</v>
      </c>
      <c r="DM29" s="2" t="s">
        <v>7143</v>
      </c>
      <c r="DP29" s="2" t="s">
        <v>7173</v>
      </c>
      <c r="DT29" s="2" t="s">
        <v>7159</v>
      </c>
      <c r="DU29" s="2" t="s">
        <v>7159</v>
      </c>
      <c r="DV29" s="2" t="s">
        <v>7159</v>
      </c>
      <c r="DW29" s="2" t="s">
        <v>7159</v>
      </c>
      <c r="DX29" s="2" t="s">
        <v>7159</v>
      </c>
      <c r="DY29" s="2" t="s">
        <v>7159</v>
      </c>
      <c r="DZ29" s="2" t="s">
        <v>7159</v>
      </c>
      <c r="EA29" s="2" t="s">
        <v>7159</v>
      </c>
      <c r="EB29" s="2" t="s">
        <v>7159</v>
      </c>
      <c r="EC29" s="2" t="s">
        <v>7159</v>
      </c>
      <c r="EF29" s="2" t="s">
        <v>7252</v>
      </c>
      <c r="EG29" s="2" t="s">
        <v>431</v>
      </c>
      <c r="EJ29" s="2" t="s">
        <v>7217</v>
      </c>
      <c r="EK29" s="2" t="s">
        <v>7143</v>
      </c>
      <c r="EL29" s="2" t="s">
        <v>7143</v>
      </c>
      <c r="EN29" s="2" t="s">
        <v>7210</v>
      </c>
      <c r="EP29" s="2" t="s">
        <v>7186</v>
      </c>
      <c r="ER29" s="2" t="s">
        <v>7143</v>
      </c>
      <c r="ET29" s="2" t="s">
        <v>7143</v>
      </c>
      <c r="EV29" s="2" t="s">
        <v>7143</v>
      </c>
      <c r="EX29" s="2" t="s">
        <v>7143</v>
      </c>
      <c r="EZ29" s="2" t="s">
        <v>7143</v>
      </c>
      <c r="FC29" s="2" t="s">
        <v>7218</v>
      </c>
      <c r="FD29" s="2" t="s">
        <v>7143</v>
      </c>
      <c r="FH29" s="2" t="s">
        <v>7173</v>
      </c>
      <c r="FJ29" s="2" t="s">
        <v>7143</v>
      </c>
      <c r="FK29" s="2" t="s">
        <v>7173</v>
      </c>
      <c r="FN29" s="2" t="s">
        <v>7322</v>
      </c>
      <c r="FR29" s="2" t="s">
        <v>433</v>
      </c>
      <c r="FT29" s="2" t="s">
        <v>7176</v>
      </c>
      <c r="FU29" s="2" t="s">
        <v>7176</v>
      </c>
      <c r="FV29" s="2" t="s">
        <v>7176</v>
      </c>
      <c r="FW29" s="2" t="s">
        <v>7189</v>
      </c>
    </row>
    <row r="30" spans="1:182">
      <c r="A30" s="7" t="s">
        <v>434</v>
      </c>
      <c r="D30" s="15">
        <v>46030.353206018517</v>
      </c>
      <c r="E30" s="7" t="s">
        <v>435</v>
      </c>
      <c r="F30" s="7" t="s">
        <v>7311</v>
      </c>
      <c r="G30" s="7" t="s">
        <v>7135</v>
      </c>
      <c r="H30" s="7" t="s">
        <v>399</v>
      </c>
      <c r="I30" s="7" t="s">
        <v>436</v>
      </c>
      <c r="J30" s="16" t="s">
        <v>7323</v>
      </c>
      <c r="K30" s="7" t="s">
        <v>437</v>
      </c>
      <c r="L30" s="2" t="s">
        <v>7137</v>
      </c>
      <c r="M30" s="7" t="s">
        <v>7138</v>
      </c>
      <c r="N30" s="7">
        <v>1968</v>
      </c>
      <c r="O30" s="7" t="s">
        <v>7139</v>
      </c>
      <c r="P30" s="7" t="s">
        <v>7192</v>
      </c>
      <c r="Q30" s="7" t="s">
        <v>7141</v>
      </c>
      <c r="R30" s="2" t="s">
        <v>7143</v>
      </c>
      <c r="S30" s="2">
        <v>13</v>
      </c>
      <c r="T30" s="2" t="s">
        <v>7143</v>
      </c>
      <c r="U30" s="2" t="s">
        <v>7143</v>
      </c>
      <c r="Y30" s="2">
        <v>320</v>
      </c>
      <c r="Z30" s="17">
        <v>0.96879999999999999</v>
      </c>
      <c r="AA30" s="11">
        <v>310</v>
      </c>
      <c r="AB30" s="2">
        <v>310</v>
      </c>
      <c r="AC30" s="7">
        <v>310</v>
      </c>
      <c r="AD30" s="2">
        <v>350</v>
      </c>
      <c r="AE30" s="2">
        <v>40</v>
      </c>
      <c r="AF30" s="2" t="s">
        <v>7143</v>
      </c>
      <c r="AG30" s="2" t="s">
        <v>7143</v>
      </c>
      <c r="AH30" s="2" t="s">
        <v>7143</v>
      </c>
      <c r="AJ30" s="2" t="s">
        <v>7143</v>
      </c>
      <c r="AK30" s="2" t="s">
        <v>7143</v>
      </c>
      <c r="AL30" s="2" t="s">
        <v>7143</v>
      </c>
      <c r="AM30" s="2" t="s">
        <v>7142</v>
      </c>
      <c r="AN30" s="2" t="s">
        <v>7143</v>
      </c>
      <c r="AO30" s="2" t="s">
        <v>7143</v>
      </c>
      <c r="AR30" s="7">
        <v>0.81</v>
      </c>
      <c r="AS30" s="7">
        <v>6</v>
      </c>
      <c r="AT30" s="7">
        <v>3</v>
      </c>
      <c r="AU30" s="2" t="s">
        <v>7193</v>
      </c>
      <c r="AV30" s="2" t="s">
        <v>7193</v>
      </c>
      <c r="AW30" s="2" t="s">
        <v>7143</v>
      </c>
      <c r="AZ30" s="2" t="s">
        <v>7201</v>
      </c>
      <c r="BB30" s="2" t="s">
        <v>7214</v>
      </c>
      <c r="BC30" s="2" t="s">
        <v>7247</v>
      </c>
      <c r="BD30" s="2" t="s">
        <v>7142</v>
      </c>
      <c r="BE30" s="2" t="s">
        <v>7142</v>
      </c>
      <c r="BF30" s="2" t="s">
        <v>7148</v>
      </c>
      <c r="BG30" s="2" t="s">
        <v>7149</v>
      </c>
      <c r="BH30" s="2" t="s">
        <v>7233</v>
      </c>
      <c r="BI30" s="2" t="s">
        <v>7151</v>
      </c>
      <c r="BL30" s="2" t="s">
        <v>7195</v>
      </c>
      <c r="BO30" s="2" t="s">
        <v>7155</v>
      </c>
      <c r="BQ30" s="2" t="s">
        <v>7156</v>
      </c>
      <c r="BS30" s="2" t="s">
        <v>7142</v>
      </c>
      <c r="BT30" s="2" t="s">
        <v>7215</v>
      </c>
      <c r="BV30" s="2" t="s">
        <v>7202</v>
      </c>
      <c r="BX30" s="2" t="s">
        <v>7143</v>
      </c>
      <c r="BY30" s="2" t="s">
        <v>438</v>
      </c>
      <c r="BZ30" s="2" t="s">
        <v>7159</v>
      </c>
      <c r="CE30" s="7">
        <v>3</v>
      </c>
      <c r="CF30" s="2">
        <v>340</v>
      </c>
      <c r="CK30" s="2">
        <v>100</v>
      </c>
      <c r="CP30" s="2">
        <v>100</v>
      </c>
      <c r="CR30" s="2" t="s">
        <v>7160</v>
      </c>
      <c r="CT30" s="2" t="s">
        <v>7143</v>
      </c>
      <c r="CU30" s="2" t="s">
        <v>7161</v>
      </c>
      <c r="CW30" s="2" t="s">
        <v>7162</v>
      </c>
      <c r="CY30" s="2" t="s">
        <v>7250</v>
      </c>
      <c r="CZ30" s="2" t="s">
        <v>7250</v>
      </c>
      <c r="DA30" s="2" t="s">
        <v>7250</v>
      </c>
      <c r="DB30" s="2" t="s">
        <v>7250</v>
      </c>
      <c r="DC30" s="2" t="s">
        <v>7250</v>
      </c>
      <c r="DD30" s="2" t="s">
        <v>7163</v>
      </c>
      <c r="DE30" s="2" t="s">
        <v>7250</v>
      </c>
      <c r="DF30" s="2" t="s">
        <v>7250</v>
      </c>
      <c r="DG30" s="2" t="s">
        <v>7250</v>
      </c>
      <c r="DH30" s="2" t="s">
        <v>7250</v>
      </c>
      <c r="DI30" s="2" t="s">
        <v>7250</v>
      </c>
      <c r="DL30" s="2" t="s">
        <v>7143</v>
      </c>
      <c r="DM30" s="2" t="s">
        <v>7143</v>
      </c>
      <c r="DP30" s="2" t="s">
        <v>7159</v>
      </c>
      <c r="DT30" s="2" t="s">
        <v>7159</v>
      </c>
      <c r="DU30" s="2" t="s">
        <v>7159</v>
      </c>
      <c r="DV30" s="2" t="s">
        <v>7159</v>
      </c>
      <c r="DW30" s="2" t="s">
        <v>7159</v>
      </c>
      <c r="DX30" s="2" t="s">
        <v>7159</v>
      </c>
      <c r="DY30" s="2" t="s">
        <v>7159</v>
      </c>
      <c r="DZ30" s="2" t="s">
        <v>7159</v>
      </c>
      <c r="EA30" s="2" t="s">
        <v>7159</v>
      </c>
      <c r="EB30" s="2" t="s">
        <v>7159</v>
      </c>
      <c r="EC30" s="2" t="s">
        <v>7159</v>
      </c>
      <c r="ED30" s="2" t="s">
        <v>7159</v>
      </c>
      <c r="EE30" s="2" t="s">
        <v>439</v>
      </c>
      <c r="EF30" s="2" t="s">
        <v>7252</v>
      </c>
      <c r="EG30" s="2" t="s">
        <v>440</v>
      </c>
      <c r="EJ30" s="2" t="s">
        <v>7193</v>
      </c>
      <c r="EK30" s="2" t="s">
        <v>7143</v>
      </c>
      <c r="EL30" s="2" t="s">
        <v>7143</v>
      </c>
      <c r="EN30" s="2" t="s">
        <v>7170</v>
      </c>
      <c r="EP30" s="2" t="s">
        <v>7186</v>
      </c>
      <c r="ER30" s="2" t="s">
        <v>7143</v>
      </c>
      <c r="ET30" s="2" t="s">
        <v>7143</v>
      </c>
      <c r="EV30" s="2" t="s">
        <v>7143</v>
      </c>
      <c r="EX30" s="2" t="s">
        <v>7143</v>
      </c>
      <c r="EZ30" s="2" t="s">
        <v>7143</v>
      </c>
      <c r="FC30" s="2" t="s">
        <v>7172</v>
      </c>
      <c r="FD30" s="2" t="s">
        <v>7143</v>
      </c>
      <c r="FH30" s="2" t="s">
        <v>7173</v>
      </c>
      <c r="FJ30" s="2" t="s">
        <v>7143</v>
      </c>
      <c r="FK30" s="2" t="s">
        <v>7159</v>
      </c>
      <c r="FN30" s="2" t="s">
        <v>7322</v>
      </c>
      <c r="FR30" s="7" t="s">
        <v>441</v>
      </c>
      <c r="FT30" s="2" t="s">
        <v>7189</v>
      </c>
      <c r="FU30" s="2" t="s">
        <v>7189</v>
      </c>
      <c r="FV30" s="2" t="s">
        <v>7176</v>
      </c>
      <c r="FW30" s="2" t="s">
        <v>7176</v>
      </c>
      <c r="FX30" s="2" t="s">
        <v>7189</v>
      </c>
      <c r="FY30" s="2" t="s">
        <v>442</v>
      </c>
      <c r="FZ30" s="19" t="s">
        <v>7324</v>
      </c>
    </row>
    <row r="31" spans="1:182">
      <c r="A31" s="7" t="s">
        <v>443</v>
      </c>
      <c r="D31" s="15">
        <v>46030.456875000003</v>
      </c>
      <c r="E31" s="7" t="s">
        <v>444</v>
      </c>
      <c r="F31" s="7" t="s">
        <v>7311</v>
      </c>
      <c r="G31" s="7" t="s">
        <v>7135</v>
      </c>
      <c r="H31" s="7" t="s">
        <v>445</v>
      </c>
      <c r="I31" s="7" t="s">
        <v>446</v>
      </c>
      <c r="J31" s="16" t="s">
        <v>7325</v>
      </c>
      <c r="K31" s="7" t="s">
        <v>447</v>
      </c>
      <c r="L31" s="7" t="s">
        <v>7137</v>
      </c>
      <c r="M31" s="7" t="s">
        <v>7138</v>
      </c>
      <c r="N31" s="7">
        <v>1963</v>
      </c>
      <c r="O31" s="7" t="s">
        <v>7139</v>
      </c>
      <c r="P31" s="7" t="s">
        <v>7140</v>
      </c>
      <c r="Q31" s="7" t="s">
        <v>7141</v>
      </c>
      <c r="R31" s="7" t="s">
        <v>7143</v>
      </c>
      <c r="S31" s="7">
        <v>8</v>
      </c>
      <c r="T31" s="7" t="s">
        <v>7143</v>
      </c>
      <c r="U31" s="7" t="s">
        <v>7143</v>
      </c>
      <c r="Y31" s="2">
        <v>260</v>
      </c>
      <c r="Z31" s="17">
        <v>1</v>
      </c>
      <c r="AA31" s="2">
        <v>260</v>
      </c>
      <c r="AB31" s="2">
        <v>260</v>
      </c>
      <c r="AC31" s="7">
        <v>260</v>
      </c>
      <c r="AD31" s="2">
        <v>300</v>
      </c>
      <c r="AE31" s="2">
        <v>40</v>
      </c>
      <c r="AF31" s="2" t="s">
        <v>7143</v>
      </c>
      <c r="AG31" s="2" t="s">
        <v>7143</v>
      </c>
      <c r="AH31" s="2" t="s">
        <v>7143</v>
      </c>
      <c r="AJ31" s="2" t="s">
        <v>7143</v>
      </c>
      <c r="AK31" s="2" t="s">
        <v>7143</v>
      </c>
      <c r="AL31" s="2" t="s">
        <v>7143</v>
      </c>
      <c r="AM31" s="2" t="s">
        <v>7143</v>
      </c>
      <c r="AN31" s="2" t="s">
        <v>7143</v>
      </c>
      <c r="AO31" s="2" t="s">
        <v>7143</v>
      </c>
      <c r="AR31" s="7">
        <v>1.9</v>
      </c>
      <c r="AS31" s="7">
        <v>4</v>
      </c>
      <c r="AT31" s="7">
        <v>3</v>
      </c>
      <c r="AU31" s="2" t="s">
        <v>7193</v>
      </c>
      <c r="AV31" s="2" t="s">
        <v>7193</v>
      </c>
      <c r="AW31" s="2" t="s">
        <v>7143</v>
      </c>
      <c r="AZ31" s="2" t="s">
        <v>7145</v>
      </c>
      <c r="BB31" s="2" t="s">
        <v>7214</v>
      </c>
      <c r="BC31" s="2" t="s">
        <v>7247</v>
      </c>
      <c r="BD31" s="2" t="s">
        <v>7142</v>
      </c>
      <c r="BE31" s="2" t="s">
        <v>7142</v>
      </c>
      <c r="BF31" s="2" t="s">
        <v>7148</v>
      </c>
      <c r="BG31" s="2" t="s">
        <v>7149</v>
      </c>
      <c r="BH31" s="2" t="s">
        <v>7233</v>
      </c>
      <c r="BI31" s="2" t="s">
        <v>7326</v>
      </c>
      <c r="BL31" s="2" t="s">
        <v>7152</v>
      </c>
      <c r="BM31" s="2" t="s">
        <v>7153</v>
      </c>
      <c r="BN31" s="2" t="s">
        <v>7154</v>
      </c>
      <c r="BO31" s="2" t="s">
        <v>7155</v>
      </c>
      <c r="BP31" s="2" t="s">
        <v>7327</v>
      </c>
      <c r="BQ31" s="2" t="s">
        <v>7156</v>
      </c>
      <c r="BS31" s="2" t="s">
        <v>7142</v>
      </c>
      <c r="BT31" s="2" t="s">
        <v>7157</v>
      </c>
      <c r="BV31" s="2" t="s">
        <v>7202</v>
      </c>
      <c r="BX31" s="2" t="s">
        <v>7142</v>
      </c>
      <c r="BY31" s="2" t="s">
        <v>450</v>
      </c>
      <c r="BZ31" s="2" t="s">
        <v>7159</v>
      </c>
      <c r="CE31" s="7">
        <v>3</v>
      </c>
      <c r="CF31" s="2">
        <v>300</v>
      </c>
      <c r="CK31" s="2">
        <v>100</v>
      </c>
      <c r="CP31" s="2">
        <v>100</v>
      </c>
      <c r="CR31" s="2" t="s">
        <v>7160</v>
      </c>
      <c r="CT31" s="2" t="s">
        <v>7143</v>
      </c>
      <c r="CU31" s="2" t="s">
        <v>7161</v>
      </c>
      <c r="CW31" s="2" t="s">
        <v>7162</v>
      </c>
      <c r="CY31" s="2" t="s">
        <v>7250</v>
      </c>
      <c r="CZ31" s="2" t="s">
        <v>7250</v>
      </c>
      <c r="DA31" s="2" t="s">
        <v>7250</v>
      </c>
      <c r="DB31" s="2" t="s">
        <v>7250</v>
      </c>
      <c r="DC31" s="2" t="s">
        <v>7250</v>
      </c>
      <c r="DD31" s="2" t="s">
        <v>7250</v>
      </c>
      <c r="DE31" s="2" t="s">
        <v>7250</v>
      </c>
      <c r="DF31" s="2" t="s">
        <v>7250</v>
      </c>
      <c r="DG31" s="2" t="s">
        <v>7250</v>
      </c>
      <c r="DH31" s="2" t="s">
        <v>7250</v>
      </c>
      <c r="DI31" s="2" t="s">
        <v>7250</v>
      </c>
      <c r="DL31" s="2" t="s">
        <v>7143</v>
      </c>
      <c r="DM31" s="2" t="s">
        <v>7143</v>
      </c>
      <c r="DP31" s="2" t="s">
        <v>7159</v>
      </c>
      <c r="DT31" s="2" t="s">
        <v>7159</v>
      </c>
      <c r="DU31" s="2" t="s">
        <v>7159</v>
      </c>
      <c r="DV31" s="2" t="s">
        <v>7159</v>
      </c>
      <c r="DW31" s="2" t="s">
        <v>7159</v>
      </c>
      <c r="DX31" s="2" t="s">
        <v>7159</v>
      </c>
      <c r="DY31" s="2" t="s">
        <v>7159</v>
      </c>
      <c r="DZ31" s="2" t="s">
        <v>7159</v>
      </c>
      <c r="EA31" s="2" t="s">
        <v>7159</v>
      </c>
      <c r="EB31" s="2" t="s">
        <v>7159</v>
      </c>
      <c r="EC31" s="2" t="s">
        <v>7159</v>
      </c>
      <c r="ED31" s="2" t="s">
        <v>7159</v>
      </c>
      <c r="EE31" s="2" t="s">
        <v>439</v>
      </c>
      <c r="EF31" s="2" t="s">
        <v>7252</v>
      </c>
      <c r="EG31" s="2" t="s">
        <v>451</v>
      </c>
      <c r="EJ31" s="2" t="s">
        <v>7193</v>
      </c>
      <c r="EK31" s="2" t="s">
        <v>7143</v>
      </c>
      <c r="EL31" s="2" t="s">
        <v>7143</v>
      </c>
      <c r="EN31" s="2" t="s">
        <v>7210</v>
      </c>
      <c r="EP31" s="2" t="s">
        <v>7186</v>
      </c>
      <c r="ER31" s="2" t="s">
        <v>7143</v>
      </c>
      <c r="ET31" s="2" t="s">
        <v>7143</v>
      </c>
      <c r="EV31" s="2" t="s">
        <v>7143</v>
      </c>
      <c r="EX31" s="2" t="s">
        <v>7143</v>
      </c>
      <c r="EZ31" s="2" t="s">
        <v>7143</v>
      </c>
      <c r="FC31" s="2" t="s">
        <v>7172</v>
      </c>
      <c r="FD31" s="2" t="s">
        <v>7143</v>
      </c>
      <c r="FH31" s="2" t="s">
        <v>7173</v>
      </c>
      <c r="FJ31" s="2" t="s">
        <v>7143</v>
      </c>
      <c r="FK31" s="2" t="s">
        <v>7159</v>
      </c>
      <c r="FR31" s="2" t="s">
        <v>452</v>
      </c>
      <c r="FT31" s="2" t="s">
        <v>7189</v>
      </c>
      <c r="FU31" s="2" t="s">
        <v>7189</v>
      </c>
      <c r="FV31" s="2" t="s">
        <v>7176</v>
      </c>
      <c r="FW31" s="2" t="s">
        <v>7176</v>
      </c>
      <c r="FX31" s="2" t="s">
        <v>7176</v>
      </c>
      <c r="FY31" s="2" t="s">
        <v>453</v>
      </c>
      <c r="FZ31" s="19" t="s">
        <v>7328</v>
      </c>
    </row>
    <row r="32" spans="1:182">
      <c r="A32" s="7" t="s">
        <v>454</v>
      </c>
      <c r="D32" s="15">
        <v>46030.462847222225</v>
      </c>
      <c r="E32" s="7" t="s">
        <v>455</v>
      </c>
      <c r="F32" s="7" t="s">
        <v>7311</v>
      </c>
      <c r="G32" s="7" t="s">
        <v>7135</v>
      </c>
      <c r="H32" s="7" t="s">
        <v>456</v>
      </c>
      <c r="I32" s="7" t="s">
        <v>457</v>
      </c>
      <c r="J32" s="16" t="s">
        <v>7329</v>
      </c>
      <c r="K32" s="7" t="s">
        <v>457</v>
      </c>
      <c r="L32" s="7" t="s">
        <v>7137</v>
      </c>
      <c r="M32" s="7" t="s">
        <v>7138</v>
      </c>
      <c r="N32" s="7">
        <v>1967</v>
      </c>
      <c r="O32" s="7" t="s">
        <v>7139</v>
      </c>
      <c r="P32" s="7" t="s">
        <v>7140</v>
      </c>
      <c r="Q32" s="7" t="s">
        <v>7225</v>
      </c>
      <c r="R32" s="7" t="s">
        <v>7143</v>
      </c>
      <c r="S32" s="7">
        <v>10</v>
      </c>
      <c r="T32" s="7" t="s">
        <v>7143</v>
      </c>
      <c r="U32" s="7" t="s">
        <v>7143</v>
      </c>
      <c r="Y32" s="2">
        <v>220</v>
      </c>
      <c r="Z32" s="17">
        <v>1</v>
      </c>
      <c r="AA32" s="2">
        <v>220</v>
      </c>
      <c r="AB32" s="2">
        <v>220</v>
      </c>
      <c r="AC32" s="7">
        <v>220</v>
      </c>
      <c r="AD32" s="2">
        <v>250</v>
      </c>
      <c r="AE32" s="2">
        <v>30</v>
      </c>
      <c r="AF32" s="2" t="s">
        <v>7143</v>
      </c>
      <c r="AG32" s="2" t="s">
        <v>7143</v>
      </c>
      <c r="AH32" s="2" t="s">
        <v>7143</v>
      </c>
      <c r="AJ32" s="2" t="s">
        <v>7143</v>
      </c>
      <c r="AK32" s="2" t="s">
        <v>7143</v>
      </c>
      <c r="AL32" s="2" t="s">
        <v>7143</v>
      </c>
      <c r="AM32" s="2" t="s">
        <v>7143</v>
      </c>
      <c r="AN32" s="2" t="s">
        <v>7143</v>
      </c>
      <c r="AO32" s="2" t="s">
        <v>7143</v>
      </c>
      <c r="AR32" s="7">
        <v>1.1499999999999999</v>
      </c>
      <c r="AS32" s="7">
        <v>5</v>
      </c>
      <c r="AT32" s="7">
        <v>2.5</v>
      </c>
      <c r="AU32" s="2" t="s">
        <v>7193</v>
      </c>
      <c r="AV32" s="2" t="s">
        <v>7193</v>
      </c>
      <c r="AW32" s="2" t="s">
        <v>7143</v>
      </c>
      <c r="BC32" s="2" t="s">
        <v>7147</v>
      </c>
      <c r="BD32" s="2" t="s">
        <v>7143</v>
      </c>
      <c r="BE32" s="2" t="s">
        <v>7143</v>
      </c>
      <c r="BL32" s="2" t="s">
        <v>7195</v>
      </c>
      <c r="BO32" s="2" t="s">
        <v>7155</v>
      </c>
      <c r="BQ32" s="2" t="s">
        <v>7156</v>
      </c>
      <c r="BS32" s="2" t="s">
        <v>7142</v>
      </c>
      <c r="BT32" s="2" t="s">
        <v>7215</v>
      </c>
      <c r="BV32" s="2" t="s">
        <v>7330</v>
      </c>
      <c r="BX32" s="2" t="s">
        <v>7143</v>
      </c>
      <c r="BY32" s="2" t="s">
        <v>459</v>
      </c>
      <c r="BZ32" s="2" t="s">
        <v>7159</v>
      </c>
      <c r="CE32" s="7">
        <v>2.5</v>
      </c>
      <c r="CF32" s="2">
        <v>250</v>
      </c>
      <c r="CK32" s="2">
        <v>100</v>
      </c>
      <c r="CP32" s="2">
        <v>100</v>
      </c>
      <c r="CR32" s="2" t="s">
        <v>7160</v>
      </c>
      <c r="CT32" s="2" t="s">
        <v>7143</v>
      </c>
      <c r="CU32" s="2" t="s">
        <v>7161</v>
      </c>
      <c r="CW32" s="2" t="s">
        <v>7162</v>
      </c>
      <c r="CY32" s="2" t="s">
        <v>7250</v>
      </c>
      <c r="CZ32" s="2" t="s">
        <v>7250</v>
      </c>
      <c r="DA32" s="2" t="s">
        <v>7250</v>
      </c>
      <c r="DB32" s="2" t="s">
        <v>7250</v>
      </c>
      <c r="DC32" s="2" t="s">
        <v>7250</v>
      </c>
      <c r="DD32" s="2" t="s">
        <v>7250</v>
      </c>
      <c r="DE32" s="2" t="s">
        <v>7250</v>
      </c>
      <c r="DF32" s="2" t="s">
        <v>7250</v>
      </c>
      <c r="DG32" s="2" t="s">
        <v>7250</v>
      </c>
      <c r="DH32" s="2" t="s">
        <v>7250</v>
      </c>
      <c r="DI32" s="2" t="s">
        <v>7250</v>
      </c>
      <c r="DL32" s="2" t="s">
        <v>7143</v>
      </c>
      <c r="DM32" s="2" t="s">
        <v>7143</v>
      </c>
      <c r="DP32" s="2" t="s">
        <v>7159</v>
      </c>
      <c r="DT32" s="2" t="s">
        <v>7159</v>
      </c>
      <c r="DU32" s="2" t="s">
        <v>7159</v>
      </c>
      <c r="DV32" s="2" t="s">
        <v>7159</v>
      </c>
      <c r="DW32" s="2" t="s">
        <v>7159</v>
      </c>
      <c r="DX32" s="2" t="s">
        <v>7159</v>
      </c>
      <c r="DY32" s="2" t="s">
        <v>7159</v>
      </c>
      <c r="DZ32" s="2" t="s">
        <v>7159</v>
      </c>
      <c r="EA32" s="2" t="s">
        <v>7159</v>
      </c>
      <c r="EB32" s="2" t="s">
        <v>7159</v>
      </c>
      <c r="EC32" s="2" t="s">
        <v>7159</v>
      </c>
      <c r="ED32" s="2" t="s">
        <v>7159</v>
      </c>
      <c r="EE32" s="2" t="s">
        <v>439</v>
      </c>
      <c r="EF32" s="2" t="s">
        <v>7252</v>
      </c>
      <c r="EG32" s="2" t="s">
        <v>460</v>
      </c>
      <c r="EJ32" s="2" t="s">
        <v>7193</v>
      </c>
      <c r="EK32" s="2" t="s">
        <v>7143</v>
      </c>
      <c r="EL32" s="2" t="s">
        <v>7143</v>
      </c>
      <c r="EN32" s="2" t="s">
        <v>7170</v>
      </c>
      <c r="EP32" s="2" t="s">
        <v>7186</v>
      </c>
      <c r="ER32" s="2" t="s">
        <v>7143</v>
      </c>
      <c r="ET32" s="2" t="s">
        <v>7143</v>
      </c>
      <c r="EV32" s="2" t="s">
        <v>7143</v>
      </c>
      <c r="EX32" s="2" t="s">
        <v>7143</v>
      </c>
      <c r="EZ32" s="2" t="s">
        <v>7143</v>
      </c>
      <c r="FC32" s="2" t="s">
        <v>7172</v>
      </c>
      <c r="FD32" s="2" t="s">
        <v>7143</v>
      </c>
      <c r="FH32" s="2" t="s">
        <v>7173</v>
      </c>
      <c r="FJ32" s="2" t="s">
        <v>7143</v>
      </c>
      <c r="FK32" s="2" t="s">
        <v>7159</v>
      </c>
      <c r="FR32" s="2" t="s">
        <v>461</v>
      </c>
      <c r="FT32" s="2" t="s">
        <v>7189</v>
      </c>
      <c r="FU32" s="2" t="s">
        <v>7189</v>
      </c>
      <c r="FV32" s="2" t="s">
        <v>7176</v>
      </c>
      <c r="FW32" s="2" t="s">
        <v>7176</v>
      </c>
      <c r="FX32" s="2" t="s">
        <v>7176</v>
      </c>
      <c r="FY32" s="2" t="s">
        <v>462</v>
      </c>
      <c r="FZ32" s="19" t="s">
        <v>7331</v>
      </c>
    </row>
    <row r="33" spans="1:182">
      <c r="A33" s="7" t="s">
        <v>463</v>
      </c>
      <c r="D33" s="15">
        <v>46030.647141203706</v>
      </c>
      <c r="E33" s="7" t="s">
        <v>464</v>
      </c>
      <c r="F33" s="7" t="s">
        <v>7319</v>
      </c>
      <c r="G33" s="7" t="s">
        <v>7135</v>
      </c>
      <c r="H33" s="7" t="s">
        <v>426</v>
      </c>
      <c r="I33" s="7" t="s">
        <v>465</v>
      </c>
      <c r="J33" s="16" t="s">
        <v>7332</v>
      </c>
      <c r="K33" s="7" t="s">
        <v>465</v>
      </c>
      <c r="L33" s="2" t="s">
        <v>7137</v>
      </c>
      <c r="M33" s="7" t="s">
        <v>7138</v>
      </c>
      <c r="N33" s="7">
        <v>1976</v>
      </c>
      <c r="O33" s="7" t="s">
        <v>7139</v>
      </c>
      <c r="P33" s="7" t="s">
        <v>7140</v>
      </c>
      <c r="Q33" s="7" t="s">
        <v>7141</v>
      </c>
      <c r="R33" s="2" t="s">
        <v>7143</v>
      </c>
      <c r="S33" s="2">
        <v>30</v>
      </c>
      <c r="T33" s="2" t="s">
        <v>7143</v>
      </c>
      <c r="U33" s="2" t="s">
        <v>7143</v>
      </c>
      <c r="Y33" s="2">
        <v>440</v>
      </c>
      <c r="Z33" s="17">
        <v>0.93179999999999996</v>
      </c>
      <c r="AA33" s="2">
        <v>410</v>
      </c>
      <c r="AB33" s="2">
        <v>390</v>
      </c>
      <c r="AC33" s="7">
        <v>300</v>
      </c>
      <c r="AD33" s="2">
        <v>380</v>
      </c>
      <c r="AE33" s="2">
        <v>80</v>
      </c>
      <c r="AF33" s="2" t="s">
        <v>7142</v>
      </c>
      <c r="AG33" s="2" t="s">
        <v>7143</v>
      </c>
      <c r="AH33" s="2" t="s">
        <v>7142</v>
      </c>
      <c r="AI33" s="2" t="s">
        <v>308</v>
      </c>
      <c r="AJ33" s="2" t="s">
        <v>7143</v>
      </c>
      <c r="AK33" s="2" t="s">
        <v>7142</v>
      </c>
      <c r="AL33" s="2" t="s">
        <v>7143</v>
      </c>
      <c r="AM33" s="2" t="s">
        <v>7142</v>
      </c>
      <c r="AN33" s="2" t="s">
        <v>7143</v>
      </c>
      <c r="AO33" s="2" t="s">
        <v>7143</v>
      </c>
      <c r="AR33" s="7">
        <v>1.5</v>
      </c>
      <c r="AS33" s="7">
        <v>6</v>
      </c>
      <c r="AT33" s="7">
        <v>3.8</v>
      </c>
      <c r="AU33" s="2" t="s">
        <v>7193</v>
      </c>
      <c r="AV33" s="2" t="s">
        <v>7193</v>
      </c>
      <c r="AW33" s="2" t="s">
        <v>7143</v>
      </c>
      <c r="AZ33" s="2" t="s">
        <v>7286</v>
      </c>
      <c r="BB33" s="2" t="s">
        <v>7214</v>
      </c>
      <c r="BC33" s="2" t="s">
        <v>7147</v>
      </c>
      <c r="BD33" s="2" t="s">
        <v>7143</v>
      </c>
      <c r="BE33" s="2" t="s">
        <v>7143</v>
      </c>
      <c r="BL33" s="2" t="s">
        <v>7195</v>
      </c>
      <c r="BO33" s="2" t="s">
        <v>7274</v>
      </c>
      <c r="BP33" s="2" t="s">
        <v>7275</v>
      </c>
      <c r="BS33" s="2" t="s">
        <v>7142</v>
      </c>
      <c r="BT33" s="2" t="s">
        <v>7238</v>
      </c>
      <c r="BU33" s="2" t="s">
        <v>466</v>
      </c>
      <c r="BV33" s="2" t="s">
        <v>7202</v>
      </c>
      <c r="BX33" s="2" t="s">
        <v>7143</v>
      </c>
      <c r="BZ33" s="2" t="s">
        <v>7173</v>
      </c>
      <c r="CE33" s="7">
        <v>3.8</v>
      </c>
      <c r="CF33" s="2">
        <v>380</v>
      </c>
      <c r="CM33" s="2">
        <v>100</v>
      </c>
      <c r="CO33" s="2">
        <v>100</v>
      </c>
      <c r="CR33" s="2" t="s">
        <v>7276</v>
      </c>
      <c r="CT33" s="2" t="s">
        <v>7143</v>
      </c>
      <c r="CU33" s="2" t="s">
        <v>7161</v>
      </c>
      <c r="CW33" s="2" t="s">
        <v>7162</v>
      </c>
      <c r="CY33" s="2" t="s">
        <v>7163</v>
      </c>
      <c r="CZ33" s="2" t="s">
        <v>7163</v>
      </c>
      <c r="DA33" s="2" t="s">
        <v>7250</v>
      </c>
      <c r="DB33" s="2" t="s">
        <v>7250</v>
      </c>
      <c r="DC33" s="2" t="s">
        <v>7250</v>
      </c>
      <c r="DD33" s="2" t="s">
        <v>7250</v>
      </c>
      <c r="DE33" s="2" t="s">
        <v>7250</v>
      </c>
      <c r="DF33" s="2" t="s">
        <v>7250</v>
      </c>
      <c r="DG33" s="2" t="s">
        <v>7250</v>
      </c>
      <c r="DH33" s="2" t="s">
        <v>7250</v>
      </c>
      <c r="DI33" s="2" t="s">
        <v>7250</v>
      </c>
      <c r="DL33" s="2" t="s">
        <v>7142</v>
      </c>
      <c r="DM33" s="2" t="s">
        <v>7142</v>
      </c>
      <c r="DN33" s="2" t="s">
        <v>7142</v>
      </c>
      <c r="DO33" s="2" t="s">
        <v>7142</v>
      </c>
      <c r="DP33" s="2" t="s">
        <v>7165</v>
      </c>
      <c r="DQ33" s="2" t="s">
        <v>7333</v>
      </c>
      <c r="DR33" s="2" t="s">
        <v>468</v>
      </c>
      <c r="DT33" s="2" t="s">
        <v>7165</v>
      </c>
      <c r="DU33" s="2" t="s">
        <v>7165</v>
      </c>
      <c r="DV33" s="2" t="s">
        <v>7165</v>
      </c>
      <c r="DW33" s="2" t="s">
        <v>7165</v>
      </c>
      <c r="DX33" s="2" t="s">
        <v>7165</v>
      </c>
      <c r="DZ33" s="2" t="s">
        <v>7159</v>
      </c>
      <c r="EA33" s="2" t="s">
        <v>7165</v>
      </c>
      <c r="EB33" s="2" t="s">
        <v>7165</v>
      </c>
      <c r="EC33" s="2" t="s">
        <v>7173</v>
      </c>
      <c r="EF33" s="2" t="s">
        <v>7167</v>
      </c>
      <c r="EJ33" s="2" t="s">
        <v>7193</v>
      </c>
      <c r="EK33" s="2" t="s">
        <v>7142</v>
      </c>
      <c r="EL33" s="2" t="s">
        <v>7143</v>
      </c>
      <c r="EN33" s="2" t="s">
        <v>7210</v>
      </c>
      <c r="EP33" s="2" t="s">
        <v>7186</v>
      </c>
      <c r="ER33" s="2" t="s">
        <v>7142</v>
      </c>
      <c r="ET33" s="2" t="s">
        <v>7143</v>
      </c>
      <c r="EV33" s="2" t="s">
        <v>7142</v>
      </c>
      <c r="EW33" s="2" t="s">
        <v>7171</v>
      </c>
      <c r="EX33" s="2" t="s">
        <v>7143</v>
      </c>
      <c r="EZ33" s="2" t="s">
        <v>7143</v>
      </c>
      <c r="FC33" s="2" t="s">
        <v>7218</v>
      </c>
      <c r="FD33" s="2" t="s">
        <v>7143</v>
      </c>
      <c r="FH33" s="2" t="s">
        <v>7173</v>
      </c>
      <c r="FJ33" s="2" t="s">
        <v>7143</v>
      </c>
      <c r="FK33" s="2" t="s">
        <v>7165</v>
      </c>
      <c r="FL33" s="2" t="s">
        <v>7242</v>
      </c>
      <c r="FN33" s="2" t="s">
        <v>7334</v>
      </c>
      <c r="FO33" s="2" t="s">
        <v>470</v>
      </c>
      <c r="FR33" s="2" t="s">
        <v>471</v>
      </c>
      <c r="FT33" s="2" t="s">
        <v>7176</v>
      </c>
      <c r="FU33" s="2" t="s">
        <v>7189</v>
      </c>
      <c r="FV33" s="2" t="s">
        <v>7189</v>
      </c>
      <c r="FW33" s="2" t="s">
        <v>7189</v>
      </c>
      <c r="FZ33" s="19" t="s">
        <v>7335</v>
      </c>
    </row>
    <row r="34" spans="1:182">
      <c r="A34" s="7" t="s">
        <v>472</v>
      </c>
      <c r="D34" s="15">
        <v>46030.554571759261</v>
      </c>
      <c r="E34" s="7" t="s">
        <v>473</v>
      </c>
      <c r="F34" s="7" t="s">
        <v>7319</v>
      </c>
      <c r="G34" s="7" t="s">
        <v>7135</v>
      </c>
      <c r="H34" s="7" t="s">
        <v>426</v>
      </c>
      <c r="I34" s="7" t="s">
        <v>474</v>
      </c>
      <c r="J34" s="19" t="s">
        <v>7336</v>
      </c>
      <c r="K34" s="7" t="s">
        <v>475</v>
      </c>
      <c r="L34" s="2" t="s">
        <v>7281</v>
      </c>
      <c r="M34" s="7" t="s">
        <v>7179</v>
      </c>
      <c r="N34" s="7">
        <v>1991</v>
      </c>
      <c r="O34" s="7" t="s">
        <v>7139</v>
      </c>
      <c r="P34" s="7" t="s">
        <v>7192</v>
      </c>
      <c r="Q34" s="7" t="s">
        <v>7141</v>
      </c>
      <c r="R34" s="7" t="s">
        <v>7143</v>
      </c>
      <c r="S34" s="2">
        <v>23</v>
      </c>
      <c r="T34" s="2" t="s">
        <v>7143</v>
      </c>
      <c r="U34" s="2" t="s">
        <v>7143</v>
      </c>
      <c r="Y34" s="2">
        <v>980</v>
      </c>
      <c r="Z34" s="17">
        <v>1</v>
      </c>
      <c r="AA34" s="2">
        <v>980</v>
      </c>
      <c r="AB34" s="2">
        <v>950</v>
      </c>
      <c r="AC34" s="7">
        <v>950</v>
      </c>
      <c r="AD34" s="2">
        <v>1300</v>
      </c>
      <c r="AE34" s="2">
        <v>350</v>
      </c>
      <c r="AF34" s="2" t="s">
        <v>7143</v>
      </c>
      <c r="AG34" s="2" t="s">
        <v>7143</v>
      </c>
      <c r="AH34" s="2" t="s">
        <v>7143</v>
      </c>
      <c r="AJ34" s="2" t="s">
        <v>7143</v>
      </c>
      <c r="AK34" s="2" t="s">
        <v>7142</v>
      </c>
      <c r="AL34" s="2" t="s">
        <v>7143</v>
      </c>
      <c r="AM34" s="2" t="s">
        <v>7143</v>
      </c>
      <c r="AN34" s="2" t="s">
        <v>7143</v>
      </c>
      <c r="AO34" s="2" t="s">
        <v>7143</v>
      </c>
      <c r="AR34" s="7">
        <v>3.47</v>
      </c>
      <c r="AS34" s="7">
        <v>8</v>
      </c>
      <c r="AT34" s="7">
        <v>13</v>
      </c>
      <c r="AU34" s="2" t="s">
        <v>7193</v>
      </c>
      <c r="AV34" s="2" t="s">
        <v>7193</v>
      </c>
      <c r="AW34" s="2" t="s">
        <v>7143</v>
      </c>
      <c r="AZ34" s="2" t="s">
        <v>7337</v>
      </c>
      <c r="BB34" s="2" t="s">
        <v>7214</v>
      </c>
      <c r="BC34" s="2" t="s">
        <v>7247</v>
      </c>
      <c r="BD34" s="2" t="s">
        <v>7142</v>
      </c>
      <c r="BE34" s="2" t="s">
        <v>7142</v>
      </c>
      <c r="BF34" s="2" t="s">
        <v>7148</v>
      </c>
      <c r="BG34" s="2" t="s">
        <v>7149</v>
      </c>
      <c r="BH34" s="2" t="s">
        <v>7248</v>
      </c>
      <c r="BI34" s="2" t="s">
        <v>7269</v>
      </c>
      <c r="BL34" s="2" t="s">
        <v>7152</v>
      </c>
      <c r="BM34" s="2" t="s">
        <v>7153</v>
      </c>
      <c r="BN34" s="2" t="s">
        <v>7154</v>
      </c>
      <c r="BO34" s="2" t="s">
        <v>7155</v>
      </c>
      <c r="BQ34" s="2" t="s">
        <v>7183</v>
      </c>
      <c r="BS34" s="2" t="s">
        <v>7142</v>
      </c>
      <c r="BT34" s="2" t="s">
        <v>7238</v>
      </c>
      <c r="BU34" s="2" t="s">
        <v>477</v>
      </c>
      <c r="BV34" s="2" t="s">
        <v>7313</v>
      </c>
      <c r="BX34" s="2" t="s">
        <v>7143</v>
      </c>
      <c r="BZ34" s="2" t="s">
        <v>7173</v>
      </c>
      <c r="CE34" s="7">
        <v>13</v>
      </c>
      <c r="CF34" s="2">
        <v>1300</v>
      </c>
      <c r="CM34" s="2">
        <v>100</v>
      </c>
      <c r="CO34" s="2">
        <v>100</v>
      </c>
      <c r="CR34" s="2" t="s">
        <v>7276</v>
      </c>
      <c r="CT34" s="2" t="s">
        <v>7143</v>
      </c>
      <c r="CU34" s="2" t="s">
        <v>7161</v>
      </c>
      <c r="CW34" s="2" t="s">
        <v>7162</v>
      </c>
      <c r="CY34" s="2" t="s">
        <v>7163</v>
      </c>
      <c r="CZ34" s="2" t="s">
        <v>7163</v>
      </c>
      <c r="DA34" s="2" t="s">
        <v>7250</v>
      </c>
      <c r="DB34" s="2" t="s">
        <v>7250</v>
      </c>
      <c r="DC34" s="2" t="s">
        <v>7321</v>
      </c>
      <c r="DD34" s="2" t="s">
        <v>7321</v>
      </c>
      <c r="DE34" s="2" t="s">
        <v>7250</v>
      </c>
      <c r="DF34" s="2" t="s">
        <v>7250</v>
      </c>
      <c r="DG34" s="2" t="s">
        <v>7321</v>
      </c>
      <c r="DH34" s="2" t="s">
        <v>7321</v>
      </c>
      <c r="DI34" s="2" t="s">
        <v>7321</v>
      </c>
      <c r="DL34" s="2" t="s">
        <v>7143</v>
      </c>
      <c r="DM34" s="2" t="s">
        <v>7143</v>
      </c>
      <c r="DP34" s="2" t="s">
        <v>7159</v>
      </c>
      <c r="DT34" s="2" t="s">
        <v>7159</v>
      </c>
      <c r="DU34" s="2" t="s">
        <v>7159</v>
      </c>
      <c r="DV34" s="2" t="s">
        <v>7159</v>
      </c>
      <c r="DW34" s="2" t="s">
        <v>7159</v>
      </c>
      <c r="DX34" s="2" t="s">
        <v>7159</v>
      </c>
      <c r="DY34" s="2" t="s">
        <v>7159</v>
      </c>
      <c r="DZ34" s="2" t="s">
        <v>7159</v>
      </c>
      <c r="EA34" s="2" t="s">
        <v>7159</v>
      </c>
      <c r="EB34" s="2" t="s">
        <v>7159</v>
      </c>
      <c r="EC34" s="2" t="s">
        <v>7159</v>
      </c>
      <c r="EF34" s="2" t="s">
        <v>7252</v>
      </c>
      <c r="EG34" s="2" t="s">
        <v>431</v>
      </c>
      <c r="EJ34" s="2" t="s">
        <v>7217</v>
      </c>
      <c r="EK34" s="2" t="s">
        <v>7143</v>
      </c>
      <c r="EL34" s="2" t="s">
        <v>7143</v>
      </c>
      <c r="EN34" s="2" t="s">
        <v>7170</v>
      </c>
      <c r="EP34" s="2" t="s">
        <v>7186</v>
      </c>
      <c r="ER34" s="2" t="s">
        <v>7143</v>
      </c>
      <c r="ET34" s="2" t="s">
        <v>7143</v>
      </c>
      <c r="EV34" s="2" t="s">
        <v>7143</v>
      </c>
      <c r="EX34" s="2" t="s">
        <v>7143</v>
      </c>
      <c r="EZ34" s="2" t="s">
        <v>7143</v>
      </c>
      <c r="FC34" s="2" t="s">
        <v>7218</v>
      </c>
      <c r="FD34" s="2" t="s">
        <v>7143</v>
      </c>
      <c r="FH34" s="2" t="s">
        <v>7173</v>
      </c>
      <c r="FJ34" s="2" t="s">
        <v>7143</v>
      </c>
      <c r="FK34" s="2" t="s">
        <v>7173</v>
      </c>
      <c r="FR34" s="2" t="s">
        <v>433</v>
      </c>
      <c r="FT34" s="2" t="s">
        <v>7176</v>
      </c>
      <c r="FU34" s="2" t="s">
        <v>7176</v>
      </c>
      <c r="FV34" s="2" t="s">
        <v>7176</v>
      </c>
      <c r="FW34" s="2" t="s">
        <v>7176</v>
      </c>
      <c r="FZ34" s="19" t="s">
        <v>7338</v>
      </c>
    </row>
    <row r="35" spans="1:182">
      <c r="A35" s="7" t="s">
        <v>478</v>
      </c>
      <c r="D35" s="15">
        <v>46030.704340277778</v>
      </c>
      <c r="E35" s="7" t="s">
        <v>479</v>
      </c>
      <c r="F35" s="7" t="s">
        <v>7339</v>
      </c>
      <c r="G35" s="7" t="s">
        <v>7135</v>
      </c>
      <c r="H35" s="7" t="s">
        <v>481</v>
      </c>
      <c r="I35" s="7" t="s">
        <v>482</v>
      </c>
      <c r="J35" s="16" t="s">
        <v>7340</v>
      </c>
      <c r="K35" s="7" t="s">
        <v>483</v>
      </c>
      <c r="L35" s="2" t="s">
        <v>7137</v>
      </c>
      <c r="M35" s="7" t="s">
        <v>7138</v>
      </c>
      <c r="N35" s="7">
        <v>1995</v>
      </c>
      <c r="O35" s="7" t="s">
        <v>7139</v>
      </c>
      <c r="P35" s="2" t="s">
        <v>7192</v>
      </c>
      <c r="Q35" s="2" t="s">
        <v>7225</v>
      </c>
      <c r="R35" s="2" t="s">
        <v>7143</v>
      </c>
      <c r="S35" s="2">
        <v>11</v>
      </c>
      <c r="T35" s="2" t="s">
        <v>7143</v>
      </c>
      <c r="U35" s="2" t="s">
        <v>7143</v>
      </c>
      <c r="Y35" s="2">
        <v>290</v>
      </c>
      <c r="Z35" s="17">
        <v>0.83450000000000002</v>
      </c>
      <c r="AA35" s="2">
        <v>242</v>
      </c>
      <c r="AB35" s="2">
        <v>242</v>
      </c>
      <c r="AC35" s="7">
        <v>242</v>
      </c>
      <c r="AD35" s="2">
        <v>295</v>
      </c>
      <c r="AE35" s="2">
        <v>53</v>
      </c>
      <c r="AF35" s="2" t="s">
        <v>7143</v>
      </c>
      <c r="AG35" s="2" t="s">
        <v>7143</v>
      </c>
      <c r="AH35" s="2" t="s">
        <v>7143</v>
      </c>
      <c r="AJ35" s="2" t="s">
        <v>7143</v>
      </c>
      <c r="AK35" s="2" t="s">
        <v>7143</v>
      </c>
      <c r="AL35" s="2" t="s">
        <v>7143</v>
      </c>
      <c r="AM35" s="2" t="s">
        <v>7142</v>
      </c>
      <c r="AN35" s="2" t="s">
        <v>7143</v>
      </c>
      <c r="AO35" s="2" t="s">
        <v>7143</v>
      </c>
      <c r="AR35" s="7">
        <v>1</v>
      </c>
      <c r="AS35" s="7">
        <v>1</v>
      </c>
      <c r="AT35" s="7">
        <v>3</v>
      </c>
      <c r="AU35" s="2" t="s">
        <v>7193</v>
      </c>
      <c r="AV35" s="2" t="s">
        <v>7193</v>
      </c>
      <c r="AW35" s="2" t="s">
        <v>7143</v>
      </c>
      <c r="AZ35" s="2" t="s">
        <v>7299</v>
      </c>
      <c r="BB35" s="2" t="s">
        <v>7214</v>
      </c>
      <c r="BC35" s="2" t="s">
        <v>7247</v>
      </c>
      <c r="BD35" s="2" t="s">
        <v>7142</v>
      </c>
      <c r="BE35" s="2" t="s">
        <v>7142</v>
      </c>
      <c r="BF35" s="2" t="s">
        <v>7148</v>
      </c>
      <c r="BG35" s="2" t="s">
        <v>7149</v>
      </c>
      <c r="BH35" s="2" t="s">
        <v>7150</v>
      </c>
      <c r="BI35" s="2" t="s">
        <v>7151</v>
      </c>
      <c r="BL35" s="2" t="s">
        <v>7152</v>
      </c>
      <c r="BM35" s="2" t="s">
        <v>7153</v>
      </c>
      <c r="BN35" s="2" t="s">
        <v>7154</v>
      </c>
      <c r="BO35" s="2" t="s">
        <v>7155</v>
      </c>
      <c r="BQ35" s="2" t="s">
        <v>7183</v>
      </c>
      <c r="BS35" s="2" t="s">
        <v>7143</v>
      </c>
      <c r="BT35" s="2" t="s">
        <v>7341</v>
      </c>
      <c r="BV35" s="2" t="s">
        <v>7342</v>
      </c>
      <c r="BX35" s="2" t="s">
        <v>7142</v>
      </c>
      <c r="BY35" s="2" t="s">
        <v>486</v>
      </c>
      <c r="BZ35" s="2" t="s">
        <v>7159</v>
      </c>
      <c r="CE35" s="7">
        <v>3</v>
      </c>
      <c r="CF35" s="2">
        <v>295</v>
      </c>
      <c r="CH35" s="2">
        <v>0</v>
      </c>
      <c r="CI35" s="2">
        <v>0</v>
      </c>
      <c r="CJ35" s="2">
        <v>0</v>
      </c>
      <c r="CK35" s="2">
        <v>100</v>
      </c>
      <c r="CL35" s="2">
        <v>0</v>
      </c>
      <c r="CM35" s="2">
        <v>0</v>
      </c>
      <c r="CO35" s="2">
        <v>100</v>
      </c>
      <c r="CP35" s="2">
        <v>0</v>
      </c>
      <c r="CQ35" s="2">
        <v>0</v>
      </c>
      <c r="CR35" s="2" t="s">
        <v>7160</v>
      </c>
      <c r="CT35" s="2" t="s">
        <v>7143</v>
      </c>
      <c r="CU35" s="2" t="s">
        <v>7161</v>
      </c>
      <c r="CW35" s="2" t="s">
        <v>7162</v>
      </c>
      <c r="CY35" s="2" t="s">
        <v>7163</v>
      </c>
      <c r="CZ35" s="2" t="s">
        <v>7163</v>
      </c>
      <c r="DA35" s="2" t="s">
        <v>7250</v>
      </c>
      <c r="DB35" s="2" t="s">
        <v>7250</v>
      </c>
      <c r="DC35" s="2" t="s">
        <v>7249</v>
      </c>
      <c r="DD35" s="2" t="s">
        <v>7249</v>
      </c>
      <c r="DE35" s="2" t="s">
        <v>7250</v>
      </c>
      <c r="DF35" s="2" t="s">
        <v>7250</v>
      </c>
      <c r="DG35" s="2" t="s">
        <v>7227</v>
      </c>
      <c r="DH35" s="2" t="s">
        <v>7163</v>
      </c>
      <c r="DI35" s="2" t="s">
        <v>7163</v>
      </c>
      <c r="DL35" s="2" t="s">
        <v>7142</v>
      </c>
      <c r="DM35" s="2" t="s">
        <v>7142</v>
      </c>
      <c r="DN35" s="2" t="s">
        <v>7142</v>
      </c>
      <c r="DO35" s="2" t="s">
        <v>7143</v>
      </c>
      <c r="DP35" s="2" t="s">
        <v>7165</v>
      </c>
      <c r="DQ35" s="2" t="s">
        <v>7166</v>
      </c>
      <c r="DT35" s="2" t="s">
        <v>7165</v>
      </c>
      <c r="DU35" s="2" t="s">
        <v>7165</v>
      </c>
      <c r="DV35" s="2" t="s">
        <v>7165</v>
      </c>
      <c r="DW35" s="2" t="s">
        <v>7165</v>
      </c>
      <c r="DX35" s="2" t="s">
        <v>7165</v>
      </c>
      <c r="DY35" s="2" t="s">
        <v>7159</v>
      </c>
      <c r="DZ35" s="2" t="s">
        <v>7159</v>
      </c>
      <c r="EA35" s="2" t="s">
        <v>7159</v>
      </c>
      <c r="EB35" s="2" t="s">
        <v>7159</v>
      </c>
      <c r="EC35" s="2" t="s">
        <v>7159</v>
      </c>
      <c r="ED35" s="2" t="s">
        <v>7159</v>
      </c>
      <c r="EE35" s="19" t="s">
        <v>7343</v>
      </c>
      <c r="EF35" s="2" t="s">
        <v>7252</v>
      </c>
      <c r="EG35" s="2" t="s">
        <v>487</v>
      </c>
      <c r="EJ35" s="2" t="s">
        <v>7193</v>
      </c>
      <c r="EK35" s="2" t="s">
        <v>7142</v>
      </c>
      <c r="EL35" s="2" t="s">
        <v>7143</v>
      </c>
      <c r="EN35" s="2" t="s">
        <v>7210</v>
      </c>
      <c r="EP35" s="2" t="s">
        <v>7186</v>
      </c>
      <c r="ER35" s="2" t="s">
        <v>7142</v>
      </c>
      <c r="ET35" s="2" t="s">
        <v>7143</v>
      </c>
      <c r="EV35" s="2" t="s">
        <v>7142</v>
      </c>
      <c r="EW35" s="2" t="s">
        <v>7171</v>
      </c>
      <c r="EX35" s="2" t="s">
        <v>7143</v>
      </c>
      <c r="EZ35" s="2" t="s">
        <v>7143</v>
      </c>
      <c r="FC35" s="2" t="s">
        <v>7172</v>
      </c>
      <c r="FD35" s="2" t="s">
        <v>7143</v>
      </c>
      <c r="FH35" s="2" t="s">
        <v>7173</v>
      </c>
      <c r="FJ35" s="2" t="s">
        <v>7143</v>
      </c>
      <c r="FK35" s="2" t="s">
        <v>7173</v>
      </c>
      <c r="FN35" s="2" t="s">
        <v>7344</v>
      </c>
      <c r="FR35" s="2" t="s">
        <v>489</v>
      </c>
      <c r="FT35" s="2" t="s">
        <v>7189</v>
      </c>
      <c r="FU35" s="2" t="s">
        <v>7189</v>
      </c>
      <c r="FV35" s="2" t="s">
        <v>7176</v>
      </c>
      <c r="FW35" s="2" t="s">
        <v>7189</v>
      </c>
      <c r="FX35" s="2" t="s">
        <v>7345</v>
      </c>
      <c r="FZ35" s="19" t="s">
        <v>7346</v>
      </c>
    </row>
    <row r="36" spans="1:182">
      <c r="A36" s="7" t="s">
        <v>491</v>
      </c>
      <c r="D36" s="15">
        <v>46030.590150462966</v>
      </c>
      <c r="E36" s="7" t="s">
        <v>492</v>
      </c>
      <c r="F36" s="7" t="s">
        <v>7319</v>
      </c>
      <c r="G36" s="7" t="s">
        <v>7135</v>
      </c>
      <c r="H36" s="7" t="s">
        <v>426</v>
      </c>
      <c r="I36" s="7" t="s">
        <v>493</v>
      </c>
      <c r="J36" s="16" t="s">
        <v>7347</v>
      </c>
      <c r="K36" s="7" t="s">
        <v>493</v>
      </c>
      <c r="L36" s="2" t="s">
        <v>7137</v>
      </c>
      <c r="M36" s="7" t="s">
        <v>7138</v>
      </c>
      <c r="N36" s="7">
        <v>1974</v>
      </c>
      <c r="O36" s="7" t="s">
        <v>7139</v>
      </c>
      <c r="P36" s="7" t="s">
        <v>7140</v>
      </c>
      <c r="Q36" s="7" t="s">
        <v>7225</v>
      </c>
      <c r="R36" s="2" t="s">
        <v>7143</v>
      </c>
      <c r="S36" s="2">
        <v>27</v>
      </c>
      <c r="T36" s="2" t="s">
        <v>7143</v>
      </c>
      <c r="U36" s="2" t="s">
        <v>7143</v>
      </c>
      <c r="Y36" s="2">
        <v>250</v>
      </c>
      <c r="Z36" s="17">
        <v>1</v>
      </c>
      <c r="AA36" s="2">
        <v>250</v>
      </c>
      <c r="AB36" s="2">
        <v>220</v>
      </c>
      <c r="AC36" s="7">
        <v>210</v>
      </c>
      <c r="AD36" s="2">
        <v>250</v>
      </c>
      <c r="AE36" s="2">
        <v>40</v>
      </c>
      <c r="AF36" s="2" t="s">
        <v>7142</v>
      </c>
      <c r="AG36" s="2" t="s">
        <v>7143</v>
      </c>
      <c r="AH36" s="2" t="s">
        <v>7143</v>
      </c>
      <c r="AJ36" s="2" t="s">
        <v>7143</v>
      </c>
      <c r="AK36" s="2" t="s">
        <v>7142</v>
      </c>
      <c r="AL36" s="2" t="s">
        <v>7143</v>
      </c>
      <c r="AM36" s="2" t="s">
        <v>7143</v>
      </c>
      <c r="AN36" s="2" t="s">
        <v>7143</v>
      </c>
      <c r="AO36" s="2" t="s">
        <v>7143</v>
      </c>
      <c r="AR36" s="7">
        <v>0.9</v>
      </c>
      <c r="AS36" s="7">
        <v>1</v>
      </c>
      <c r="AT36" s="7">
        <v>2.5</v>
      </c>
      <c r="AU36" s="2" t="s">
        <v>7217</v>
      </c>
      <c r="AV36" s="2" t="s">
        <v>7217</v>
      </c>
      <c r="AW36" s="2" t="s">
        <v>7143</v>
      </c>
      <c r="AZ36" s="2" t="s">
        <v>7286</v>
      </c>
      <c r="BB36" s="2" t="s">
        <v>7214</v>
      </c>
      <c r="BC36" s="2" t="s">
        <v>7147</v>
      </c>
      <c r="BD36" s="2" t="s">
        <v>7143</v>
      </c>
      <c r="BE36" s="2" t="s">
        <v>7143</v>
      </c>
      <c r="BL36" s="2" t="s">
        <v>7195</v>
      </c>
      <c r="BO36" s="2" t="s">
        <v>7155</v>
      </c>
      <c r="BQ36" s="2" t="s">
        <v>7156</v>
      </c>
      <c r="BS36" s="2" t="s">
        <v>7142</v>
      </c>
      <c r="BT36" s="2" t="s">
        <v>7238</v>
      </c>
      <c r="BU36" s="2" t="s">
        <v>494</v>
      </c>
      <c r="BV36" s="2" t="s">
        <v>7348</v>
      </c>
      <c r="BX36" s="2" t="s">
        <v>7143</v>
      </c>
      <c r="BZ36" s="2" t="s">
        <v>7173</v>
      </c>
      <c r="CE36" s="7">
        <v>2.5</v>
      </c>
      <c r="CF36" s="2">
        <v>250</v>
      </c>
      <c r="CK36" s="2">
        <v>50</v>
      </c>
      <c r="CM36" s="2">
        <v>50</v>
      </c>
      <c r="CO36" s="2">
        <v>100</v>
      </c>
      <c r="CR36" s="2" t="s">
        <v>7160</v>
      </c>
      <c r="CT36" s="2" t="s">
        <v>7143</v>
      </c>
      <c r="CU36" s="2" t="s">
        <v>7161</v>
      </c>
      <c r="CW36" s="2" t="s">
        <v>7162</v>
      </c>
      <c r="CY36" s="2" t="s">
        <v>7250</v>
      </c>
      <c r="CZ36" s="2" t="s">
        <v>7250</v>
      </c>
      <c r="DA36" s="2" t="s">
        <v>7250</v>
      </c>
      <c r="DB36" s="2" t="s">
        <v>7250</v>
      </c>
      <c r="DC36" s="2" t="s">
        <v>7321</v>
      </c>
      <c r="DD36" s="2" t="s">
        <v>7321</v>
      </c>
      <c r="DE36" s="2" t="s">
        <v>7250</v>
      </c>
      <c r="DF36" s="2" t="s">
        <v>7321</v>
      </c>
      <c r="DG36" s="2" t="s">
        <v>7250</v>
      </c>
      <c r="DH36" s="2" t="s">
        <v>7321</v>
      </c>
      <c r="DI36" s="2" t="s">
        <v>7321</v>
      </c>
      <c r="DL36" s="2" t="s">
        <v>7143</v>
      </c>
      <c r="DM36" s="2" t="s">
        <v>7143</v>
      </c>
      <c r="DP36" s="2" t="s">
        <v>7173</v>
      </c>
      <c r="DT36" s="2" t="s">
        <v>7159</v>
      </c>
      <c r="DU36" s="2" t="s">
        <v>7159</v>
      </c>
      <c r="DV36" s="2" t="s">
        <v>7159</v>
      </c>
      <c r="DW36" s="2" t="s">
        <v>7159</v>
      </c>
      <c r="DX36" s="2" t="s">
        <v>7159</v>
      </c>
      <c r="DY36" s="2" t="s">
        <v>7159</v>
      </c>
      <c r="DZ36" s="2" t="s">
        <v>7159</v>
      </c>
      <c r="EA36" s="2" t="s">
        <v>7159</v>
      </c>
      <c r="EB36" s="2" t="s">
        <v>7159</v>
      </c>
      <c r="EC36" s="2" t="s">
        <v>7159</v>
      </c>
      <c r="EF36" s="2" t="s">
        <v>7349</v>
      </c>
      <c r="EG36" s="2" t="s">
        <v>497</v>
      </c>
      <c r="EJ36" s="2" t="s">
        <v>7217</v>
      </c>
      <c r="EK36" s="2" t="s">
        <v>7143</v>
      </c>
      <c r="EL36" s="2" t="s">
        <v>7143</v>
      </c>
      <c r="EN36" s="2" t="s">
        <v>7210</v>
      </c>
      <c r="EP36" s="2" t="s">
        <v>7186</v>
      </c>
      <c r="ER36" s="2" t="s">
        <v>7143</v>
      </c>
      <c r="ET36" s="2" t="s">
        <v>7143</v>
      </c>
      <c r="EV36" s="2" t="s">
        <v>7143</v>
      </c>
      <c r="EX36" s="2" t="s">
        <v>7143</v>
      </c>
      <c r="EZ36" s="2" t="s">
        <v>7143</v>
      </c>
      <c r="FC36" s="2" t="s">
        <v>7309</v>
      </c>
      <c r="FD36" s="2" t="s">
        <v>7143</v>
      </c>
      <c r="FH36" s="2" t="s">
        <v>7173</v>
      </c>
      <c r="FJ36" s="2" t="s">
        <v>7143</v>
      </c>
      <c r="FK36" s="2" t="s">
        <v>7159</v>
      </c>
      <c r="FR36" s="2" t="s">
        <v>498</v>
      </c>
      <c r="FT36" s="2" t="s">
        <v>7176</v>
      </c>
      <c r="FU36" s="2" t="s">
        <v>7189</v>
      </c>
      <c r="FV36" s="2" t="s">
        <v>7176</v>
      </c>
      <c r="FW36" s="2" t="s">
        <v>7189</v>
      </c>
      <c r="FZ36" s="19" t="s">
        <v>7350</v>
      </c>
    </row>
    <row r="37" spans="1:182">
      <c r="A37" s="7" t="s">
        <v>499</v>
      </c>
      <c r="D37" s="15">
        <v>46030.606527777774</v>
      </c>
      <c r="E37" s="7" t="s">
        <v>500</v>
      </c>
      <c r="F37" s="7" t="s">
        <v>7319</v>
      </c>
      <c r="G37" s="7" t="s">
        <v>7135</v>
      </c>
      <c r="H37" s="7" t="s">
        <v>426</v>
      </c>
      <c r="I37" s="7" t="s">
        <v>501</v>
      </c>
      <c r="J37" s="16" t="s">
        <v>7351</v>
      </c>
      <c r="K37" s="7" t="s">
        <v>501</v>
      </c>
      <c r="L37" s="7" t="s">
        <v>7137</v>
      </c>
      <c r="M37" s="7" t="s">
        <v>7138</v>
      </c>
      <c r="N37" s="7">
        <v>1976</v>
      </c>
      <c r="O37" s="7" t="s">
        <v>7139</v>
      </c>
      <c r="P37" s="7" t="s">
        <v>7140</v>
      </c>
      <c r="Q37" s="7" t="s">
        <v>7225</v>
      </c>
      <c r="R37" s="7" t="s">
        <v>7143</v>
      </c>
      <c r="S37" s="7">
        <v>20</v>
      </c>
      <c r="T37" s="7" t="s">
        <v>7143</v>
      </c>
      <c r="U37" s="7" t="s">
        <v>7143</v>
      </c>
      <c r="Y37" s="2">
        <v>270</v>
      </c>
      <c r="Z37" s="17">
        <v>1</v>
      </c>
      <c r="AA37" s="2">
        <v>270</v>
      </c>
      <c r="AB37" s="2">
        <v>270</v>
      </c>
      <c r="AC37" s="7">
        <v>260</v>
      </c>
      <c r="AD37" s="2">
        <v>300</v>
      </c>
      <c r="AE37" s="2">
        <v>40</v>
      </c>
      <c r="AF37" s="2" t="s">
        <v>7142</v>
      </c>
      <c r="AG37" s="2" t="s">
        <v>7143</v>
      </c>
      <c r="AH37" s="2" t="s">
        <v>7143</v>
      </c>
      <c r="AJ37" s="2" t="s">
        <v>7143</v>
      </c>
      <c r="AK37" s="2" t="s">
        <v>7143</v>
      </c>
      <c r="AL37" s="2" t="s">
        <v>7143</v>
      </c>
      <c r="AM37" s="2" t="s">
        <v>7143</v>
      </c>
      <c r="AN37" s="2" t="s">
        <v>7143</v>
      </c>
      <c r="AO37" s="2" t="s">
        <v>7143</v>
      </c>
      <c r="AR37" s="7">
        <v>0.89</v>
      </c>
      <c r="AS37" s="7">
        <v>3</v>
      </c>
      <c r="AT37" s="7">
        <v>3</v>
      </c>
      <c r="AU37" s="2" t="s">
        <v>7193</v>
      </c>
      <c r="AV37" s="2" t="s">
        <v>7193</v>
      </c>
      <c r="AW37" s="2" t="s">
        <v>7143</v>
      </c>
      <c r="AZ37" s="2" t="s">
        <v>7145</v>
      </c>
      <c r="BB37" s="2" t="s">
        <v>7214</v>
      </c>
      <c r="BC37" s="2" t="s">
        <v>7247</v>
      </c>
      <c r="BD37" s="2" t="s">
        <v>7142</v>
      </c>
      <c r="BE37" s="2" t="s">
        <v>7142</v>
      </c>
      <c r="BF37" s="2" t="s">
        <v>7148</v>
      </c>
      <c r="BG37" s="2" t="s">
        <v>7149</v>
      </c>
      <c r="BH37" s="2" t="s">
        <v>7150</v>
      </c>
      <c r="BI37" s="2" t="s">
        <v>7269</v>
      </c>
      <c r="BL37" s="2" t="s">
        <v>7195</v>
      </c>
      <c r="BO37" s="2" t="s">
        <v>7274</v>
      </c>
      <c r="BP37" s="2" t="s">
        <v>7275</v>
      </c>
      <c r="BS37" s="2" t="s">
        <v>7142</v>
      </c>
      <c r="BT37" s="2" t="s">
        <v>7238</v>
      </c>
      <c r="BU37" s="2" t="s">
        <v>342</v>
      </c>
      <c r="BV37" s="2" t="s">
        <v>7352</v>
      </c>
      <c r="BX37" s="2" t="s">
        <v>7143</v>
      </c>
      <c r="BZ37" s="2" t="s">
        <v>7173</v>
      </c>
      <c r="CE37" s="7">
        <v>3</v>
      </c>
      <c r="CF37" s="2">
        <v>300</v>
      </c>
      <c r="CM37" s="2">
        <v>100</v>
      </c>
      <c r="CO37" s="2">
        <v>100</v>
      </c>
      <c r="CR37" s="2" t="s">
        <v>7160</v>
      </c>
      <c r="CT37" s="2" t="s">
        <v>7143</v>
      </c>
      <c r="CU37" s="2" t="s">
        <v>7161</v>
      </c>
      <c r="CW37" s="2" t="s">
        <v>7162</v>
      </c>
      <c r="CY37" s="2" t="s">
        <v>7163</v>
      </c>
      <c r="CZ37" s="2" t="s">
        <v>7163</v>
      </c>
      <c r="DA37" s="2" t="s">
        <v>7250</v>
      </c>
      <c r="DB37" s="2" t="s">
        <v>7250</v>
      </c>
      <c r="DC37" s="2" t="s">
        <v>7250</v>
      </c>
      <c r="DD37" s="2" t="s">
        <v>7250</v>
      </c>
      <c r="DE37" s="2" t="s">
        <v>7250</v>
      </c>
      <c r="DF37" s="2" t="s">
        <v>7250</v>
      </c>
      <c r="DG37" s="2" t="s">
        <v>7250</v>
      </c>
      <c r="DH37" s="2" t="s">
        <v>7250</v>
      </c>
      <c r="DI37" s="2" t="s">
        <v>7250</v>
      </c>
      <c r="DL37" s="2" t="s">
        <v>7143</v>
      </c>
      <c r="DM37" s="2" t="s">
        <v>7143</v>
      </c>
      <c r="DP37" s="2" t="s">
        <v>7159</v>
      </c>
      <c r="DT37" s="2" t="s">
        <v>7159</v>
      </c>
      <c r="DU37" s="2" t="s">
        <v>7159</v>
      </c>
      <c r="DV37" s="2" t="s">
        <v>7159</v>
      </c>
      <c r="DW37" s="2" t="s">
        <v>7159</v>
      </c>
      <c r="DX37" s="2" t="s">
        <v>7159</v>
      </c>
      <c r="DY37" s="2" t="s">
        <v>7159</v>
      </c>
      <c r="DZ37" s="2" t="s">
        <v>7159</v>
      </c>
      <c r="EA37" s="2" t="s">
        <v>7159</v>
      </c>
      <c r="EB37" s="2" t="s">
        <v>7159</v>
      </c>
      <c r="EC37" s="2" t="s">
        <v>7159</v>
      </c>
      <c r="EF37" s="2" t="s">
        <v>7349</v>
      </c>
      <c r="EG37" s="2" t="s">
        <v>431</v>
      </c>
      <c r="EJ37" s="2" t="s">
        <v>7217</v>
      </c>
      <c r="EK37" s="2" t="s">
        <v>7143</v>
      </c>
      <c r="EL37" s="2" t="s">
        <v>7143</v>
      </c>
      <c r="EN37" s="2" t="s">
        <v>7210</v>
      </c>
      <c r="EP37" s="2" t="s">
        <v>7186</v>
      </c>
      <c r="ER37" s="2" t="s">
        <v>7143</v>
      </c>
      <c r="ET37" s="2" t="s">
        <v>7143</v>
      </c>
      <c r="EV37" s="2" t="s">
        <v>7143</v>
      </c>
      <c r="EX37" s="2" t="s">
        <v>7143</v>
      </c>
      <c r="EZ37" s="2" t="s">
        <v>7143</v>
      </c>
      <c r="FC37" s="2" t="s">
        <v>7218</v>
      </c>
      <c r="FD37" s="2" t="s">
        <v>7143</v>
      </c>
      <c r="FH37" s="2" t="s">
        <v>7173</v>
      </c>
      <c r="FJ37" s="2" t="s">
        <v>7143</v>
      </c>
      <c r="FK37" s="2" t="s">
        <v>7173</v>
      </c>
      <c r="FR37" s="2" t="s">
        <v>433</v>
      </c>
      <c r="FT37" s="2" t="s">
        <v>7176</v>
      </c>
      <c r="FU37" s="2" t="s">
        <v>7189</v>
      </c>
      <c r="FV37" s="2" t="s">
        <v>7189</v>
      </c>
      <c r="FW37" s="2" t="s">
        <v>7189</v>
      </c>
      <c r="FZ37" s="19" t="s">
        <v>7353</v>
      </c>
    </row>
    <row r="38" spans="1:182">
      <c r="A38" s="7" t="s">
        <v>503</v>
      </c>
      <c r="D38" s="15">
        <v>46030.692719907405</v>
      </c>
      <c r="E38" s="7" t="s">
        <v>504</v>
      </c>
      <c r="F38" s="7" t="s">
        <v>7339</v>
      </c>
      <c r="G38" s="7" t="s">
        <v>7135</v>
      </c>
      <c r="H38" s="7" t="s">
        <v>505</v>
      </c>
      <c r="I38" s="7" t="s">
        <v>506</v>
      </c>
      <c r="J38" s="16" t="s">
        <v>7354</v>
      </c>
      <c r="K38" s="7" t="s">
        <v>506</v>
      </c>
      <c r="L38" s="2" t="s">
        <v>7137</v>
      </c>
      <c r="M38" s="7" t="s">
        <v>7138</v>
      </c>
      <c r="N38" s="2">
        <v>1992</v>
      </c>
      <c r="O38" s="7" t="s">
        <v>7139</v>
      </c>
      <c r="P38" s="2" t="s">
        <v>7140</v>
      </c>
      <c r="Q38" s="2" t="s">
        <v>7141</v>
      </c>
      <c r="R38" s="2" t="s">
        <v>7143</v>
      </c>
      <c r="S38" s="2">
        <v>14</v>
      </c>
      <c r="T38" s="2" t="s">
        <v>7143</v>
      </c>
      <c r="U38" s="2" t="s">
        <v>7143</v>
      </c>
      <c r="Y38" s="2">
        <v>250</v>
      </c>
      <c r="Z38" s="17">
        <v>0.94</v>
      </c>
      <c r="AA38" s="2">
        <v>235</v>
      </c>
      <c r="AB38" s="2">
        <v>235</v>
      </c>
      <c r="AC38" s="7">
        <v>235</v>
      </c>
      <c r="AD38" s="2">
        <v>295</v>
      </c>
      <c r="AE38" s="2">
        <v>60</v>
      </c>
      <c r="AF38" s="2" t="s">
        <v>7143</v>
      </c>
      <c r="AG38" s="2" t="s">
        <v>7143</v>
      </c>
      <c r="AH38" s="2" t="s">
        <v>7143</v>
      </c>
      <c r="AJ38" s="2" t="s">
        <v>7143</v>
      </c>
      <c r="AK38" s="2" t="s">
        <v>7143</v>
      </c>
      <c r="AL38" s="2" t="s">
        <v>7143</v>
      </c>
      <c r="AM38" s="2" t="s">
        <v>7142</v>
      </c>
      <c r="AN38" s="2" t="s">
        <v>7143</v>
      </c>
      <c r="AO38" s="2" t="s">
        <v>7143</v>
      </c>
      <c r="AR38" s="7">
        <v>1</v>
      </c>
      <c r="AS38" s="7">
        <v>2</v>
      </c>
      <c r="AT38" s="7">
        <v>3</v>
      </c>
      <c r="AU38" s="2" t="s">
        <v>7193</v>
      </c>
      <c r="AV38" s="2" t="s">
        <v>7193</v>
      </c>
      <c r="AW38" s="2" t="s">
        <v>7143</v>
      </c>
      <c r="AZ38" s="2" t="s">
        <v>7145</v>
      </c>
      <c r="BB38" s="2" t="s">
        <v>7214</v>
      </c>
      <c r="BC38" s="2" t="s">
        <v>7247</v>
      </c>
      <c r="BD38" s="2" t="s">
        <v>7142</v>
      </c>
      <c r="BE38" s="2" t="s">
        <v>7142</v>
      </c>
      <c r="BF38" s="2" t="s">
        <v>7148</v>
      </c>
      <c r="BG38" s="2" t="s">
        <v>7149</v>
      </c>
      <c r="BH38" s="2" t="s">
        <v>7150</v>
      </c>
      <c r="BI38" s="2" t="s">
        <v>7151</v>
      </c>
      <c r="BL38" s="2" t="s">
        <v>7152</v>
      </c>
      <c r="BM38" s="2" t="s">
        <v>7355</v>
      </c>
      <c r="BN38" s="2" t="s">
        <v>7154</v>
      </c>
      <c r="BO38" s="2" t="s">
        <v>7155</v>
      </c>
      <c r="BQ38" s="2" t="s">
        <v>7256</v>
      </c>
      <c r="BS38" s="2" t="s">
        <v>7143</v>
      </c>
      <c r="BT38" s="2" t="s">
        <v>7341</v>
      </c>
      <c r="BV38" s="2" t="s">
        <v>7356</v>
      </c>
      <c r="BX38" s="2" t="s">
        <v>7142</v>
      </c>
      <c r="BY38" s="2" t="s">
        <v>509</v>
      </c>
      <c r="BZ38" s="2" t="s">
        <v>7165</v>
      </c>
      <c r="CA38" s="2" t="s">
        <v>510</v>
      </c>
      <c r="CE38" s="7">
        <v>3</v>
      </c>
      <c r="CF38" s="2">
        <v>295</v>
      </c>
      <c r="CM38" s="2">
        <v>100</v>
      </c>
      <c r="CO38" s="2">
        <v>100</v>
      </c>
      <c r="CP38" s="2">
        <v>0</v>
      </c>
      <c r="CQ38" s="2">
        <v>0</v>
      </c>
      <c r="CR38" s="2" t="s">
        <v>7357</v>
      </c>
      <c r="CT38" s="2" t="s">
        <v>7143</v>
      </c>
      <c r="CU38" s="2" t="s">
        <v>7161</v>
      </c>
      <c r="CW38" s="2" t="s">
        <v>7162</v>
      </c>
      <c r="CY38" s="2" t="s">
        <v>7358</v>
      </c>
      <c r="CZ38" s="2" t="s">
        <v>7358</v>
      </c>
      <c r="DA38" s="2" t="s">
        <v>7250</v>
      </c>
      <c r="DB38" s="2" t="s">
        <v>7250</v>
      </c>
      <c r="DC38" s="2" t="s">
        <v>7250</v>
      </c>
      <c r="DD38" s="2" t="s">
        <v>7250</v>
      </c>
      <c r="DE38" s="2" t="s">
        <v>7250</v>
      </c>
      <c r="DF38" s="2" t="s">
        <v>7358</v>
      </c>
      <c r="DG38" s="2" t="s">
        <v>7358</v>
      </c>
      <c r="DH38" s="2" t="s">
        <v>7358</v>
      </c>
      <c r="DI38" s="2" t="s">
        <v>7250</v>
      </c>
      <c r="DL38" s="2" t="s">
        <v>7142</v>
      </c>
      <c r="DM38" s="2" t="s">
        <v>7142</v>
      </c>
      <c r="DN38" s="2" t="s">
        <v>7142</v>
      </c>
      <c r="DO38" s="2" t="s">
        <v>7142</v>
      </c>
      <c r="DP38" s="2" t="s">
        <v>7165</v>
      </c>
      <c r="DQ38" s="2" t="s">
        <v>7333</v>
      </c>
      <c r="DR38" s="2" t="s">
        <v>7359</v>
      </c>
      <c r="DT38" s="2" t="s">
        <v>7165</v>
      </c>
      <c r="DU38" s="2" t="s">
        <v>7165</v>
      </c>
      <c r="DV38" s="2" t="s">
        <v>7159</v>
      </c>
      <c r="DW38" s="2" t="s">
        <v>7159</v>
      </c>
      <c r="DX38" s="2" t="s">
        <v>7165</v>
      </c>
      <c r="DY38" s="2" t="s">
        <v>7159</v>
      </c>
      <c r="DZ38" s="2" t="s">
        <v>7159</v>
      </c>
      <c r="EA38" s="2" t="s">
        <v>7159</v>
      </c>
      <c r="EB38" s="2" t="s">
        <v>7165</v>
      </c>
      <c r="EC38" s="2" t="s">
        <v>7159</v>
      </c>
      <c r="ED38" s="2" t="s">
        <v>7159</v>
      </c>
      <c r="EF38" s="2" t="s">
        <v>7221</v>
      </c>
      <c r="EG38" s="2" t="s">
        <v>514</v>
      </c>
      <c r="EJ38" s="2" t="s">
        <v>7193</v>
      </c>
      <c r="EK38" s="2" t="s">
        <v>7142</v>
      </c>
      <c r="EL38" s="2" t="s">
        <v>7143</v>
      </c>
      <c r="EN38" s="2" t="s">
        <v>7210</v>
      </c>
      <c r="EP38" s="2" t="s">
        <v>7186</v>
      </c>
      <c r="ER38" s="2" t="s">
        <v>7142</v>
      </c>
      <c r="ET38" s="2" t="s">
        <v>7143</v>
      </c>
      <c r="EV38" s="2" t="s">
        <v>7142</v>
      </c>
      <c r="EW38" s="2" t="s">
        <v>7171</v>
      </c>
      <c r="EX38" s="2" t="s">
        <v>7143</v>
      </c>
      <c r="EZ38" s="2" t="s">
        <v>7143</v>
      </c>
      <c r="FC38" s="2" t="s">
        <v>7309</v>
      </c>
      <c r="FD38" s="2" t="s">
        <v>7143</v>
      </c>
      <c r="FH38" s="2" t="s">
        <v>7173</v>
      </c>
      <c r="FJ38" s="2" t="s">
        <v>7143</v>
      </c>
      <c r="FK38" s="2" t="s">
        <v>7173</v>
      </c>
      <c r="FN38" s="2" t="s">
        <v>7344</v>
      </c>
      <c r="FR38" s="2" t="s">
        <v>515</v>
      </c>
      <c r="FT38" s="2" t="s">
        <v>7176</v>
      </c>
      <c r="FU38" s="2" t="s">
        <v>7189</v>
      </c>
      <c r="FV38" s="2" t="s">
        <v>7189</v>
      </c>
      <c r="FW38" s="2" t="s">
        <v>7189</v>
      </c>
      <c r="FX38" s="2" t="s">
        <v>7189</v>
      </c>
      <c r="FY38" s="2" t="s">
        <v>516</v>
      </c>
      <c r="FZ38" s="19" t="s">
        <v>7360</v>
      </c>
    </row>
    <row r="39" spans="1:182">
      <c r="A39" s="7" t="s">
        <v>517</v>
      </c>
      <c r="D39" s="15">
        <v>46030.615312499998</v>
      </c>
      <c r="E39" s="7" t="s">
        <v>518</v>
      </c>
      <c r="F39" s="7" t="s">
        <v>7319</v>
      </c>
      <c r="G39" s="7" t="s">
        <v>7135</v>
      </c>
      <c r="H39" s="7" t="s">
        <v>426</v>
      </c>
      <c r="I39" s="7" t="s">
        <v>519</v>
      </c>
      <c r="J39" s="16" t="s">
        <v>7361</v>
      </c>
      <c r="K39" s="7" t="s">
        <v>520</v>
      </c>
      <c r="L39" s="2" t="s">
        <v>7137</v>
      </c>
      <c r="M39" s="7" t="s">
        <v>7179</v>
      </c>
      <c r="N39" s="7">
        <v>1978</v>
      </c>
      <c r="O39" s="7" t="s">
        <v>7139</v>
      </c>
      <c r="P39" s="7" t="s">
        <v>7181</v>
      </c>
      <c r="Q39" s="7" t="s">
        <v>7141</v>
      </c>
      <c r="R39" s="2" t="s">
        <v>7143</v>
      </c>
      <c r="S39" s="2">
        <v>8</v>
      </c>
      <c r="T39" s="2" t="s">
        <v>7143</v>
      </c>
      <c r="U39" s="2" t="s">
        <v>7143</v>
      </c>
      <c r="Y39" s="2">
        <v>290</v>
      </c>
      <c r="Z39" s="17">
        <v>1</v>
      </c>
      <c r="AA39" s="2">
        <v>290</v>
      </c>
      <c r="AB39" s="2">
        <v>260</v>
      </c>
      <c r="AC39" s="7">
        <v>230</v>
      </c>
      <c r="AD39" s="2">
        <v>300</v>
      </c>
      <c r="AE39" s="2">
        <v>70</v>
      </c>
      <c r="AF39" s="2" t="s">
        <v>7142</v>
      </c>
      <c r="AG39" s="2" t="s">
        <v>7143</v>
      </c>
      <c r="AH39" s="2" t="s">
        <v>7142</v>
      </c>
      <c r="AI39" s="2" t="s">
        <v>308</v>
      </c>
      <c r="AJ39" s="2" t="s">
        <v>7143</v>
      </c>
      <c r="AK39" s="2" t="s">
        <v>7142</v>
      </c>
      <c r="AL39" s="2" t="s">
        <v>7143</v>
      </c>
      <c r="AM39" s="2" t="s">
        <v>7143</v>
      </c>
      <c r="AN39" s="2" t="s">
        <v>7143</v>
      </c>
      <c r="AO39" s="2" t="s">
        <v>7143</v>
      </c>
      <c r="AR39" s="7">
        <v>0.8</v>
      </c>
      <c r="AS39" s="7">
        <v>2</v>
      </c>
      <c r="AT39" s="7">
        <v>3</v>
      </c>
      <c r="AU39" s="2" t="s">
        <v>7217</v>
      </c>
      <c r="AV39" s="2" t="s">
        <v>7217</v>
      </c>
      <c r="AW39" s="2" t="s">
        <v>7143</v>
      </c>
      <c r="AZ39" s="2" t="s">
        <v>7145</v>
      </c>
      <c r="BB39" s="2" t="s">
        <v>7214</v>
      </c>
      <c r="BC39" s="2" t="s">
        <v>7247</v>
      </c>
      <c r="BD39" s="2" t="s">
        <v>7142</v>
      </c>
      <c r="BE39" s="2" t="s">
        <v>7142</v>
      </c>
      <c r="BF39" s="2" t="s">
        <v>7148</v>
      </c>
      <c r="BG39" s="2" t="s">
        <v>7149</v>
      </c>
      <c r="BH39" s="2" t="s">
        <v>7150</v>
      </c>
      <c r="BI39" s="2" t="s">
        <v>7269</v>
      </c>
      <c r="BL39" s="2" t="s">
        <v>7195</v>
      </c>
      <c r="BO39" s="2" t="s">
        <v>7274</v>
      </c>
      <c r="BP39" s="2" t="s">
        <v>7275</v>
      </c>
      <c r="BS39" s="2" t="s">
        <v>7143</v>
      </c>
      <c r="BT39" s="2" t="s">
        <v>7362</v>
      </c>
      <c r="BV39" s="2" t="s">
        <v>7363</v>
      </c>
      <c r="BX39" s="2" t="s">
        <v>7143</v>
      </c>
      <c r="BZ39" s="2" t="s">
        <v>7173</v>
      </c>
      <c r="CE39" s="7">
        <v>3</v>
      </c>
      <c r="CF39" s="2">
        <v>300</v>
      </c>
      <c r="CK39" s="2">
        <v>100</v>
      </c>
      <c r="CO39" s="2">
        <v>100</v>
      </c>
      <c r="CR39" s="2" t="s">
        <v>7160</v>
      </c>
      <c r="CT39" s="2" t="s">
        <v>7143</v>
      </c>
      <c r="CU39" s="2" t="s">
        <v>7161</v>
      </c>
      <c r="CW39" s="2" t="s">
        <v>7162</v>
      </c>
      <c r="CY39" s="2" t="s">
        <v>7250</v>
      </c>
      <c r="CZ39" s="2" t="s">
        <v>7250</v>
      </c>
      <c r="DA39" s="2" t="s">
        <v>7250</v>
      </c>
      <c r="DB39" s="2" t="s">
        <v>7250</v>
      </c>
      <c r="DC39" s="2" t="s">
        <v>7321</v>
      </c>
      <c r="DD39" s="2" t="s">
        <v>7321</v>
      </c>
      <c r="DE39" s="2" t="s">
        <v>7250</v>
      </c>
      <c r="DF39" s="2" t="s">
        <v>7321</v>
      </c>
      <c r="DG39" s="2" t="s">
        <v>7321</v>
      </c>
      <c r="DH39" s="2" t="s">
        <v>7321</v>
      </c>
      <c r="DI39" s="2" t="s">
        <v>7321</v>
      </c>
      <c r="DL39" s="2" t="s">
        <v>7143</v>
      </c>
      <c r="DM39" s="2" t="s">
        <v>7143</v>
      </c>
      <c r="DP39" s="2" t="s">
        <v>7159</v>
      </c>
      <c r="DT39" s="2" t="s">
        <v>7159</v>
      </c>
      <c r="DU39" s="2" t="s">
        <v>7159</v>
      </c>
      <c r="DV39" s="2" t="s">
        <v>7159</v>
      </c>
      <c r="DW39" s="2" t="s">
        <v>7159</v>
      </c>
      <c r="DX39" s="2" t="s">
        <v>7159</v>
      </c>
      <c r="DY39" s="2" t="s">
        <v>7159</v>
      </c>
      <c r="DZ39" s="2" t="s">
        <v>7159</v>
      </c>
      <c r="EA39" s="2" t="s">
        <v>7159</v>
      </c>
      <c r="EB39" s="2" t="s">
        <v>7159</v>
      </c>
      <c r="EC39" s="2" t="s">
        <v>7159</v>
      </c>
      <c r="EF39" s="2" t="s">
        <v>7252</v>
      </c>
      <c r="EG39" s="2" t="s">
        <v>431</v>
      </c>
      <c r="EJ39" s="2" t="s">
        <v>7217</v>
      </c>
      <c r="EK39" s="2" t="s">
        <v>7143</v>
      </c>
      <c r="EL39" s="2" t="s">
        <v>7143</v>
      </c>
      <c r="EN39" s="2" t="s">
        <v>7210</v>
      </c>
      <c r="EP39" s="2" t="s">
        <v>7186</v>
      </c>
      <c r="ER39" s="2" t="s">
        <v>7143</v>
      </c>
      <c r="ET39" s="2" t="s">
        <v>7143</v>
      </c>
      <c r="EV39" s="2" t="s">
        <v>7143</v>
      </c>
      <c r="EX39" s="2" t="s">
        <v>7143</v>
      </c>
      <c r="EZ39" s="2" t="s">
        <v>7143</v>
      </c>
      <c r="FC39" s="2" t="s">
        <v>7309</v>
      </c>
      <c r="FD39" s="2" t="s">
        <v>7143</v>
      </c>
      <c r="FH39" s="2" t="s">
        <v>7173</v>
      </c>
      <c r="FJ39" s="2" t="s">
        <v>7143</v>
      </c>
      <c r="FK39" s="2" t="s">
        <v>7173</v>
      </c>
      <c r="FR39" s="2" t="s">
        <v>433</v>
      </c>
      <c r="FT39" s="2" t="s">
        <v>7189</v>
      </c>
      <c r="FU39" s="2" t="s">
        <v>7176</v>
      </c>
      <c r="FV39" s="2" t="s">
        <v>7176</v>
      </c>
      <c r="FW39" s="2" t="s">
        <v>7176</v>
      </c>
      <c r="FZ39" s="19" t="s">
        <v>7364</v>
      </c>
    </row>
    <row r="40" spans="1:182">
      <c r="A40" s="7" t="s">
        <v>523</v>
      </c>
      <c r="D40" s="15">
        <v>46030.617939814816</v>
      </c>
      <c r="E40" s="7" t="s">
        <v>524</v>
      </c>
      <c r="F40" s="7" t="s">
        <v>7311</v>
      </c>
      <c r="G40" s="7" t="s">
        <v>7135</v>
      </c>
      <c r="H40" s="7" t="s">
        <v>399</v>
      </c>
      <c r="I40" s="7" t="s">
        <v>525</v>
      </c>
      <c r="J40" s="16" t="s">
        <v>7365</v>
      </c>
      <c r="K40" s="7" t="s">
        <v>525</v>
      </c>
      <c r="L40" s="7" t="s">
        <v>7281</v>
      </c>
      <c r="M40" s="7" t="s">
        <v>7138</v>
      </c>
      <c r="N40" s="7">
        <v>1973</v>
      </c>
      <c r="O40" s="7" t="s">
        <v>7139</v>
      </c>
      <c r="P40" s="7" t="s">
        <v>7140</v>
      </c>
      <c r="Q40" s="7" t="s">
        <v>7141</v>
      </c>
      <c r="R40" s="7" t="s">
        <v>7143</v>
      </c>
      <c r="S40" s="7">
        <v>15</v>
      </c>
      <c r="T40" s="7" t="s">
        <v>7143</v>
      </c>
      <c r="U40" s="7" t="s">
        <v>7143</v>
      </c>
      <c r="Y40" s="7">
        <v>1000</v>
      </c>
      <c r="Z40" s="17">
        <v>1</v>
      </c>
      <c r="AA40" s="7">
        <v>1000</v>
      </c>
      <c r="AB40" s="7">
        <v>1000</v>
      </c>
      <c r="AC40" s="7">
        <v>1000</v>
      </c>
      <c r="AD40" s="7">
        <v>1200</v>
      </c>
      <c r="AE40" s="7">
        <v>200</v>
      </c>
      <c r="AF40" s="7" t="s">
        <v>7143</v>
      </c>
      <c r="AG40" s="7" t="s">
        <v>7143</v>
      </c>
      <c r="AH40" s="7" t="s">
        <v>7143</v>
      </c>
      <c r="AJ40" s="7" t="s">
        <v>7143</v>
      </c>
      <c r="AK40" s="7" t="s">
        <v>7143</v>
      </c>
      <c r="AL40" s="7" t="s">
        <v>7143</v>
      </c>
      <c r="AM40" s="7" t="s">
        <v>7143</v>
      </c>
      <c r="AN40" s="7" t="s">
        <v>7143</v>
      </c>
      <c r="AO40" s="7" t="s">
        <v>7143</v>
      </c>
      <c r="AR40" s="7">
        <v>2.27</v>
      </c>
      <c r="AS40" s="7">
        <v>3</v>
      </c>
      <c r="AT40" s="7">
        <v>12</v>
      </c>
      <c r="AU40" s="7" t="s">
        <v>7193</v>
      </c>
      <c r="AV40" s="7" t="s">
        <v>7193</v>
      </c>
      <c r="AW40" s="7" t="s">
        <v>7143</v>
      </c>
      <c r="BC40" s="2" t="s">
        <v>7147</v>
      </c>
      <c r="BD40" s="2" t="s">
        <v>7143</v>
      </c>
      <c r="BE40" s="2" t="s">
        <v>7143</v>
      </c>
      <c r="BL40" s="7" t="s">
        <v>7152</v>
      </c>
      <c r="BM40" s="7" t="s">
        <v>7153</v>
      </c>
      <c r="BN40" s="7" t="s">
        <v>7154</v>
      </c>
      <c r="BO40" s="7" t="s">
        <v>7155</v>
      </c>
      <c r="BQ40" s="2" t="s">
        <v>7156</v>
      </c>
      <c r="BS40" s="2" t="s">
        <v>7142</v>
      </c>
      <c r="BT40" s="2" t="s">
        <v>7215</v>
      </c>
      <c r="BV40" s="2" t="s">
        <v>7352</v>
      </c>
      <c r="BX40" s="2" t="s">
        <v>7143</v>
      </c>
      <c r="BY40" s="2" t="s">
        <v>526</v>
      </c>
      <c r="BZ40" s="2" t="s">
        <v>7159</v>
      </c>
      <c r="CE40" s="7">
        <v>12</v>
      </c>
      <c r="CF40" s="7">
        <v>1200</v>
      </c>
      <c r="CK40" s="7">
        <v>100</v>
      </c>
      <c r="CP40" s="7">
        <v>100</v>
      </c>
      <c r="CR40" s="7" t="s">
        <v>7276</v>
      </c>
      <c r="CS40" s="7"/>
      <c r="CT40" s="7" t="s">
        <v>7143</v>
      </c>
      <c r="CU40" s="7" t="s">
        <v>7161</v>
      </c>
      <c r="CV40" s="7"/>
      <c r="CW40" s="7" t="s">
        <v>7162</v>
      </c>
      <c r="CY40" s="7" t="s">
        <v>7163</v>
      </c>
      <c r="CZ40" s="7" t="s">
        <v>7163</v>
      </c>
      <c r="DA40" s="7" t="s">
        <v>7164</v>
      </c>
      <c r="DB40" s="7" t="s">
        <v>7164</v>
      </c>
      <c r="DC40" s="7" t="s">
        <v>7250</v>
      </c>
      <c r="DD40" s="2" t="s">
        <v>7249</v>
      </c>
      <c r="DE40" s="7" t="s">
        <v>7250</v>
      </c>
      <c r="DF40" s="7" t="s">
        <v>7250</v>
      </c>
      <c r="DG40" s="7" t="s">
        <v>7250</v>
      </c>
      <c r="DH40" s="7" t="s">
        <v>7250</v>
      </c>
      <c r="DI40" s="7" t="s">
        <v>7250</v>
      </c>
      <c r="DL40" s="7" t="s">
        <v>7142</v>
      </c>
      <c r="DM40" s="7" t="s">
        <v>7142</v>
      </c>
      <c r="DN40" s="2" t="s">
        <v>7142</v>
      </c>
      <c r="DO40" s="2" t="s">
        <v>7142</v>
      </c>
      <c r="DP40" s="7" t="s">
        <v>7165</v>
      </c>
      <c r="DQ40" s="2" t="s">
        <v>7333</v>
      </c>
      <c r="DR40" s="2" t="s">
        <v>527</v>
      </c>
      <c r="DS40" s="7" t="s">
        <v>7159</v>
      </c>
      <c r="DT40" s="2" t="s">
        <v>7165</v>
      </c>
      <c r="DU40" s="2" t="s">
        <v>7165</v>
      </c>
      <c r="DV40" s="2" t="s">
        <v>7165</v>
      </c>
      <c r="DW40" s="2" t="s">
        <v>7165</v>
      </c>
      <c r="DX40" s="2" t="s">
        <v>7165</v>
      </c>
      <c r="DY40" s="2" t="s">
        <v>7165</v>
      </c>
      <c r="DZ40" s="2" t="s">
        <v>7165</v>
      </c>
      <c r="EA40" s="2" t="s">
        <v>7165</v>
      </c>
      <c r="EB40" s="2" t="s">
        <v>7165</v>
      </c>
      <c r="EF40" s="7" t="s">
        <v>7252</v>
      </c>
      <c r="EG40" s="7" t="s">
        <v>528</v>
      </c>
      <c r="EJ40" s="7" t="s">
        <v>7193</v>
      </c>
      <c r="EK40" s="7" t="s">
        <v>7142</v>
      </c>
      <c r="EL40" s="7" t="s">
        <v>7143</v>
      </c>
      <c r="EN40" s="7" t="s">
        <v>7170</v>
      </c>
      <c r="EP40" s="7" t="s">
        <v>7186</v>
      </c>
      <c r="ER40" s="7" t="s">
        <v>7143</v>
      </c>
      <c r="ET40" s="7" t="s">
        <v>7143</v>
      </c>
      <c r="EV40" s="7" t="s">
        <v>7142</v>
      </c>
      <c r="EW40" s="2" t="s">
        <v>7204</v>
      </c>
      <c r="EX40" s="7" t="s">
        <v>7143</v>
      </c>
      <c r="EZ40" s="7" t="s">
        <v>7143</v>
      </c>
      <c r="FC40" s="7" t="s">
        <v>7172</v>
      </c>
      <c r="FD40" s="7" t="s">
        <v>7143</v>
      </c>
      <c r="FH40" s="7" t="s">
        <v>7173</v>
      </c>
      <c r="FJ40" s="7" t="s">
        <v>7142</v>
      </c>
      <c r="FK40" s="7" t="s">
        <v>7165</v>
      </c>
      <c r="FL40" s="2" t="s">
        <v>7260</v>
      </c>
      <c r="FN40" s="2" t="s">
        <v>7322</v>
      </c>
      <c r="FR40" s="7" t="s">
        <v>529</v>
      </c>
      <c r="FT40" s="7" t="s">
        <v>7176</v>
      </c>
      <c r="FU40" s="7" t="s">
        <v>7176</v>
      </c>
      <c r="FV40" s="7" t="s">
        <v>7189</v>
      </c>
      <c r="FW40" s="7" t="s">
        <v>7176</v>
      </c>
      <c r="FX40" s="2" t="s">
        <v>7189</v>
      </c>
      <c r="FY40" s="2" t="s">
        <v>530</v>
      </c>
      <c r="FZ40" s="19" t="s">
        <v>7366</v>
      </c>
    </row>
    <row r="41" spans="1:182">
      <c r="A41" s="7" t="s">
        <v>531</v>
      </c>
      <c r="D41" s="15">
        <v>46030.372743055559</v>
      </c>
      <c r="E41" s="7" t="s">
        <v>532</v>
      </c>
      <c r="F41" s="7" t="s">
        <v>7319</v>
      </c>
      <c r="G41" s="7" t="s">
        <v>7135</v>
      </c>
      <c r="H41" s="7" t="s">
        <v>533</v>
      </c>
      <c r="I41" s="7" t="s">
        <v>534</v>
      </c>
      <c r="J41" s="16" t="s">
        <v>7367</v>
      </c>
      <c r="K41" s="7" t="s">
        <v>534</v>
      </c>
      <c r="L41" s="7" t="s">
        <v>7224</v>
      </c>
      <c r="M41" s="7" t="s">
        <v>7138</v>
      </c>
      <c r="N41" s="7">
        <v>1974</v>
      </c>
      <c r="O41" s="7" t="s">
        <v>7139</v>
      </c>
      <c r="P41" s="7" t="s">
        <v>7140</v>
      </c>
      <c r="Q41" s="7" t="s">
        <v>7141</v>
      </c>
      <c r="R41" s="7" t="s">
        <v>7143</v>
      </c>
      <c r="S41" s="7">
        <v>15</v>
      </c>
      <c r="T41" s="7" t="s">
        <v>7143</v>
      </c>
      <c r="U41" s="7" t="s">
        <v>7143</v>
      </c>
      <c r="Y41" s="7">
        <v>325</v>
      </c>
      <c r="Z41" s="17">
        <v>0.92310000000000003</v>
      </c>
      <c r="AA41" s="7">
        <v>300</v>
      </c>
      <c r="AB41" s="10">
        <v>300</v>
      </c>
      <c r="AC41" s="10">
        <v>290</v>
      </c>
      <c r="AD41" s="10">
        <v>350</v>
      </c>
      <c r="AE41" s="10">
        <v>60</v>
      </c>
      <c r="AF41" s="10" t="s">
        <v>7142</v>
      </c>
      <c r="AG41" s="10" t="s">
        <v>7143</v>
      </c>
      <c r="AH41" s="10" t="s">
        <v>7143</v>
      </c>
      <c r="AI41" s="10"/>
      <c r="AJ41" s="10" t="s">
        <v>7143</v>
      </c>
      <c r="AK41" s="10" t="s">
        <v>7143</v>
      </c>
      <c r="AL41" s="10" t="s">
        <v>7143</v>
      </c>
      <c r="AM41" s="10" t="s">
        <v>7142</v>
      </c>
      <c r="AN41" s="10" t="s">
        <v>7143</v>
      </c>
      <c r="AO41" s="10" t="s">
        <v>7143</v>
      </c>
      <c r="AP41" s="10"/>
      <c r="AQ41" s="18"/>
      <c r="AR41" s="7">
        <v>1</v>
      </c>
      <c r="AS41" s="7">
        <v>3</v>
      </c>
      <c r="AT41" s="7">
        <v>3.5</v>
      </c>
      <c r="AU41" s="7" t="s">
        <v>7193</v>
      </c>
      <c r="AV41" s="7" t="s">
        <v>7193</v>
      </c>
      <c r="AW41" s="7" t="s">
        <v>7143</v>
      </c>
      <c r="AZ41" s="7" t="s">
        <v>7286</v>
      </c>
      <c r="BB41" s="2" t="s">
        <v>7214</v>
      </c>
      <c r="BC41" s="7" t="s">
        <v>7147</v>
      </c>
      <c r="BD41" s="7" t="s">
        <v>7143</v>
      </c>
      <c r="BE41" s="7" t="s">
        <v>7143</v>
      </c>
      <c r="BL41" s="7" t="s">
        <v>7152</v>
      </c>
      <c r="BM41" s="7" t="s">
        <v>7153</v>
      </c>
      <c r="BN41" s="7" t="s">
        <v>7154</v>
      </c>
      <c r="BO41" s="7" t="s">
        <v>7274</v>
      </c>
      <c r="BP41" s="2" t="s">
        <v>7275</v>
      </c>
      <c r="BQ41" s="7" t="s">
        <v>7183</v>
      </c>
      <c r="BS41" s="7" t="s">
        <v>7143</v>
      </c>
      <c r="BT41" s="7" t="s">
        <v>7215</v>
      </c>
      <c r="BV41" s="7" t="s">
        <v>7363</v>
      </c>
      <c r="BX41" s="7" t="s">
        <v>7143</v>
      </c>
      <c r="BY41" s="7" t="s">
        <v>535</v>
      </c>
      <c r="BZ41" s="7" t="s">
        <v>7173</v>
      </c>
      <c r="CE41" s="7">
        <v>3.5</v>
      </c>
      <c r="CF41" s="7">
        <v>350</v>
      </c>
      <c r="CK41" s="7">
        <v>100</v>
      </c>
      <c r="CO41" s="7">
        <v>100</v>
      </c>
      <c r="CR41" s="7" t="s">
        <v>7160</v>
      </c>
      <c r="CS41" s="7"/>
      <c r="CT41" s="7" t="s">
        <v>7143</v>
      </c>
      <c r="CU41" s="7" t="s">
        <v>7161</v>
      </c>
      <c r="CV41" s="7"/>
      <c r="CW41" s="7" t="s">
        <v>7162</v>
      </c>
      <c r="CY41" s="2" t="s">
        <v>7250</v>
      </c>
      <c r="CZ41" s="2" t="s">
        <v>7250</v>
      </c>
      <c r="DA41" s="2" t="s">
        <v>7250</v>
      </c>
      <c r="DB41" s="2" t="s">
        <v>7250</v>
      </c>
      <c r="DC41" s="2" t="s">
        <v>7321</v>
      </c>
      <c r="DD41" s="2" t="s">
        <v>7321</v>
      </c>
      <c r="DE41" s="2" t="s">
        <v>7250</v>
      </c>
      <c r="DF41" s="2" t="s">
        <v>7250</v>
      </c>
      <c r="DG41" s="2" t="s">
        <v>7250</v>
      </c>
      <c r="DH41" s="2" t="s">
        <v>7250</v>
      </c>
      <c r="DI41" s="2" t="s">
        <v>7321</v>
      </c>
      <c r="DL41" s="7" t="s">
        <v>7143</v>
      </c>
      <c r="DM41" s="7" t="s">
        <v>7143</v>
      </c>
      <c r="DP41" s="7" t="s">
        <v>7159</v>
      </c>
      <c r="DS41" s="7" t="s">
        <v>7159</v>
      </c>
      <c r="DT41" s="2" t="s">
        <v>7159</v>
      </c>
      <c r="DU41" s="2" t="s">
        <v>7159</v>
      </c>
      <c r="DV41" s="2" t="s">
        <v>7159</v>
      </c>
      <c r="DW41" s="2" t="s">
        <v>7159</v>
      </c>
      <c r="DX41" s="2" t="s">
        <v>7159</v>
      </c>
      <c r="DY41" s="2" t="s">
        <v>7159</v>
      </c>
      <c r="DZ41" s="2" t="s">
        <v>7159</v>
      </c>
      <c r="EA41" s="2" t="s">
        <v>7159</v>
      </c>
      <c r="EB41" s="2" t="s">
        <v>7159</v>
      </c>
      <c r="EC41" s="2" t="s">
        <v>7159</v>
      </c>
      <c r="EF41" s="7" t="s">
        <v>7252</v>
      </c>
      <c r="EG41" s="7" t="s">
        <v>536</v>
      </c>
      <c r="EJ41" s="7" t="s">
        <v>7217</v>
      </c>
      <c r="EK41" s="7" t="s">
        <v>7143</v>
      </c>
      <c r="EL41" s="7" t="s">
        <v>7143</v>
      </c>
      <c r="EN41" s="7" t="s">
        <v>7170</v>
      </c>
      <c r="EP41" s="7" t="s">
        <v>7186</v>
      </c>
      <c r="ER41" s="18" t="s">
        <v>7142</v>
      </c>
      <c r="ET41" s="7" t="s">
        <v>7143</v>
      </c>
      <c r="EV41" s="7" t="s">
        <v>7143</v>
      </c>
      <c r="EX41" s="7" t="s">
        <v>7143</v>
      </c>
      <c r="EZ41" s="7" t="s">
        <v>7142</v>
      </c>
      <c r="FA41" s="7" t="s">
        <v>537</v>
      </c>
      <c r="FB41" s="7" t="s">
        <v>7171</v>
      </c>
      <c r="FC41" s="7" t="s">
        <v>7218</v>
      </c>
      <c r="FD41" s="7" t="s">
        <v>7143</v>
      </c>
      <c r="FH41" s="7" t="s">
        <v>7173</v>
      </c>
      <c r="FI41" s="21">
        <v>1.3888888888888889E-3</v>
      </c>
      <c r="FJ41" s="7" t="s">
        <v>7143</v>
      </c>
      <c r="FK41" s="7" t="s">
        <v>7173</v>
      </c>
      <c r="FN41" s="7" t="s">
        <v>7243</v>
      </c>
      <c r="FO41" s="7" t="s">
        <v>538</v>
      </c>
      <c r="FR41" s="7" t="s">
        <v>539</v>
      </c>
      <c r="FT41" s="7" t="s">
        <v>7176</v>
      </c>
      <c r="FU41" s="7" t="s">
        <v>7176</v>
      </c>
      <c r="FV41" s="7" t="s">
        <v>7176</v>
      </c>
      <c r="FW41" s="7" t="s">
        <v>7189</v>
      </c>
      <c r="FX41" s="7" t="s">
        <v>7189</v>
      </c>
      <c r="FY41" s="7" t="s">
        <v>540</v>
      </c>
      <c r="FZ41" s="16" t="s">
        <v>7368</v>
      </c>
    </row>
    <row r="42" spans="1:182">
      <c r="A42" s="7" t="s">
        <v>541</v>
      </c>
      <c r="D42" s="15">
        <v>46030.423831018517</v>
      </c>
      <c r="E42" s="7" t="s">
        <v>542</v>
      </c>
      <c r="F42" s="7" t="s">
        <v>7319</v>
      </c>
      <c r="G42" s="7" t="s">
        <v>7135</v>
      </c>
      <c r="H42" s="7" t="s">
        <v>481</v>
      </c>
      <c r="I42" s="7" t="s">
        <v>543</v>
      </c>
      <c r="J42" s="16" t="s">
        <v>7369</v>
      </c>
      <c r="K42" s="7" t="s">
        <v>543</v>
      </c>
      <c r="L42" s="7" t="s">
        <v>7137</v>
      </c>
      <c r="M42" s="7" t="s">
        <v>7138</v>
      </c>
      <c r="N42" s="7">
        <v>1987</v>
      </c>
      <c r="O42" s="7" t="s">
        <v>7139</v>
      </c>
      <c r="P42" s="2" t="s">
        <v>7140</v>
      </c>
      <c r="Q42" s="7" t="s">
        <v>7225</v>
      </c>
      <c r="R42" s="7" t="s">
        <v>7143</v>
      </c>
      <c r="S42" s="2">
        <v>12</v>
      </c>
      <c r="T42" s="7" t="s">
        <v>7143</v>
      </c>
      <c r="U42" s="7" t="s">
        <v>7143</v>
      </c>
      <c r="Y42" s="2">
        <v>230</v>
      </c>
      <c r="Z42" s="17">
        <v>1</v>
      </c>
      <c r="AA42" s="2">
        <v>230</v>
      </c>
      <c r="AB42" s="2">
        <v>190</v>
      </c>
      <c r="AC42" s="7">
        <v>170</v>
      </c>
      <c r="AD42" s="2">
        <v>200</v>
      </c>
      <c r="AE42" s="2">
        <v>30</v>
      </c>
      <c r="AF42" s="2" t="s">
        <v>7143</v>
      </c>
      <c r="AG42" s="2" t="s">
        <v>7142</v>
      </c>
      <c r="AH42" s="2" t="s">
        <v>7143</v>
      </c>
      <c r="AJ42" s="2" t="s">
        <v>7143</v>
      </c>
      <c r="AK42" s="7" t="s">
        <v>7142</v>
      </c>
      <c r="AL42" s="2" t="s">
        <v>7143</v>
      </c>
      <c r="AM42" s="2" t="s">
        <v>7143</v>
      </c>
      <c r="AN42" s="2" t="s">
        <v>7143</v>
      </c>
      <c r="AO42" s="2" t="s">
        <v>7143</v>
      </c>
      <c r="AR42" s="7">
        <v>0.53</v>
      </c>
      <c r="AS42" s="7">
        <v>2</v>
      </c>
      <c r="AT42" s="7">
        <v>2</v>
      </c>
      <c r="AU42" s="2" t="s">
        <v>7193</v>
      </c>
      <c r="AV42" s="2" t="s">
        <v>7217</v>
      </c>
      <c r="AW42" s="7" t="s">
        <v>7143</v>
      </c>
      <c r="AZ42" s="2" t="s">
        <v>7145</v>
      </c>
      <c r="BB42" s="2" t="s">
        <v>7214</v>
      </c>
      <c r="BC42" s="2" t="s">
        <v>7247</v>
      </c>
      <c r="BD42" s="2" t="s">
        <v>7142</v>
      </c>
      <c r="BE42" s="2" t="s">
        <v>7142</v>
      </c>
      <c r="BF42" s="2" t="s">
        <v>7148</v>
      </c>
      <c r="BG42" s="2" t="s">
        <v>7149</v>
      </c>
      <c r="BH42" s="2" t="s">
        <v>7150</v>
      </c>
      <c r="BI42" s="2" t="s">
        <v>7269</v>
      </c>
      <c r="BL42" s="2" t="s">
        <v>7195</v>
      </c>
      <c r="BO42" s="2" t="s">
        <v>7274</v>
      </c>
      <c r="BP42" s="2" t="s">
        <v>7275</v>
      </c>
      <c r="BS42" s="2" t="s">
        <v>7143</v>
      </c>
      <c r="BT42" s="2" t="s">
        <v>7238</v>
      </c>
      <c r="BU42" s="2" t="s">
        <v>544</v>
      </c>
      <c r="BV42" s="2" t="s">
        <v>7313</v>
      </c>
      <c r="BX42" s="2" t="s">
        <v>7143</v>
      </c>
      <c r="BZ42" s="2" t="s">
        <v>7173</v>
      </c>
      <c r="CE42" s="7">
        <v>2</v>
      </c>
      <c r="CF42" s="2">
        <v>200</v>
      </c>
      <c r="CK42" s="2">
        <v>100</v>
      </c>
      <c r="CO42" s="2">
        <v>100</v>
      </c>
      <c r="CR42" s="2" t="s">
        <v>7276</v>
      </c>
      <c r="CT42" s="2" t="s">
        <v>7143</v>
      </c>
      <c r="CU42" s="2" t="s">
        <v>7161</v>
      </c>
      <c r="CW42" s="2" t="s">
        <v>7162</v>
      </c>
      <c r="CY42" s="2" t="s">
        <v>7163</v>
      </c>
      <c r="CZ42" s="2" t="s">
        <v>7163</v>
      </c>
      <c r="DA42" s="2" t="s">
        <v>7250</v>
      </c>
      <c r="DB42" s="2" t="s">
        <v>7250</v>
      </c>
      <c r="DC42" s="2" t="s">
        <v>7250</v>
      </c>
      <c r="DD42" s="2" t="s">
        <v>7321</v>
      </c>
      <c r="DE42" s="2" t="s">
        <v>7250</v>
      </c>
      <c r="DF42" s="2" t="s">
        <v>7250</v>
      </c>
      <c r="DG42" s="2" t="s">
        <v>7250</v>
      </c>
      <c r="DH42" s="2" t="s">
        <v>7321</v>
      </c>
      <c r="DI42" s="2" t="s">
        <v>7321</v>
      </c>
      <c r="DL42" s="2" t="s">
        <v>7143</v>
      </c>
      <c r="DM42" s="2" t="s">
        <v>7143</v>
      </c>
      <c r="DP42" s="2" t="s">
        <v>7173</v>
      </c>
      <c r="DT42" s="2" t="s">
        <v>7159</v>
      </c>
      <c r="DU42" s="2" t="s">
        <v>7159</v>
      </c>
      <c r="DV42" s="2" t="s">
        <v>7159</v>
      </c>
      <c r="DW42" s="2" t="s">
        <v>7159</v>
      </c>
      <c r="DX42" s="2" t="s">
        <v>7159</v>
      </c>
      <c r="DY42" s="2" t="s">
        <v>7159</v>
      </c>
      <c r="DZ42" s="2" t="s">
        <v>7159</v>
      </c>
      <c r="EA42" s="2" t="s">
        <v>7159</v>
      </c>
      <c r="EB42" s="2" t="s">
        <v>7159</v>
      </c>
      <c r="EC42" s="2" t="s">
        <v>7159</v>
      </c>
      <c r="EF42" s="2" t="s">
        <v>7252</v>
      </c>
      <c r="EG42" s="2" t="s">
        <v>431</v>
      </c>
      <c r="EJ42" s="2" t="s">
        <v>7217</v>
      </c>
      <c r="EK42" s="2" t="s">
        <v>7143</v>
      </c>
      <c r="EL42" s="2" t="s">
        <v>7143</v>
      </c>
      <c r="EN42" s="2" t="s">
        <v>7210</v>
      </c>
      <c r="EP42" s="2" t="s">
        <v>7186</v>
      </c>
      <c r="ER42" s="2" t="s">
        <v>7142</v>
      </c>
      <c r="ET42" s="2" t="s">
        <v>7143</v>
      </c>
      <c r="EV42" s="2" t="s">
        <v>7143</v>
      </c>
      <c r="EX42" s="2" t="s">
        <v>7143</v>
      </c>
      <c r="EZ42" s="2" t="s">
        <v>7143</v>
      </c>
      <c r="FC42" s="2" t="s">
        <v>7218</v>
      </c>
      <c r="FD42" s="2" t="s">
        <v>7143</v>
      </c>
      <c r="FH42" s="2" t="s">
        <v>7173</v>
      </c>
      <c r="FJ42" s="2" t="s">
        <v>7143</v>
      </c>
      <c r="FK42" s="2" t="s">
        <v>7173</v>
      </c>
      <c r="FR42" s="2" t="s">
        <v>545</v>
      </c>
      <c r="FT42" s="2" t="s">
        <v>7189</v>
      </c>
      <c r="FU42" s="2" t="s">
        <v>7189</v>
      </c>
      <c r="FV42" s="2" t="s">
        <v>7176</v>
      </c>
      <c r="FW42" s="2" t="s">
        <v>7176</v>
      </c>
      <c r="FZ42" s="19" t="s">
        <v>7370</v>
      </c>
    </row>
    <row r="43" spans="1:182">
      <c r="A43" s="7" t="s">
        <v>546</v>
      </c>
      <c r="D43" s="15">
        <v>46030.403599537036</v>
      </c>
      <c r="E43" s="7" t="s">
        <v>547</v>
      </c>
      <c r="F43" s="7" t="s">
        <v>7339</v>
      </c>
      <c r="G43" s="7" t="s">
        <v>7135</v>
      </c>
      <c r="H43" s="7" t="s">
        <v>505</v>
      </c>
      <c r="I43" s="7" t="s">
        <v>548</v>
      </c>
      <c r="J43" s="16" t="s">
        <v>7371</v>
      </c>
      <c r="K43" s="7" t="s">
        <v>549</v>
      </c>
      <c r="L43" s="2" t="s">
        <v>7137</v>
      </c>
      <c r="M43" s="7" t="s">
        <v>7138</v>
      </c>
      <c r="N43" s="7">
        <v>1985</v>
      </c>
      <c r="O43" s="7" t="s">
        <v>7139</v>
      </c>
      <c r="P43" s="2" t="s">
        <v>7192</v>
      </c>
      <c r="Q43" s="2" t="s">
        <v>7141</v>
      </c>
      <c r="R43" s="2" t="s">
        <v>7143</v>
      </c>
      <c r="S43" s="2">
        <v>11</v>
      </c>
      <c r="T43" s="2" t="s">
        <v>7143</v>
      </c>
      <c r="U43" s="2" t="s">
        <v>7143</v>
      </c>
      <c r="Y43" s="2">
        <v>389</v>
      </c>
      <c r="Z43" s="17">
        <v>1</v>
      </c>
      <c r="AA43" s="2">
        <v>389</v>
      </c>
      <c r="AB43" s="2">
        <v>389</v>
      </c>
      <c r="AC43" s="7">
        <v>377</v>
      </c>
      <c r="AD43" s="2">
        <v>495</v>
      </c>
      <c r="AE43" s="2">
        <v>118</v>
      </c>
      <c r="AF43" s="2" t="s">
        <v>7143</v>
      </c>
      <c r="AG43" s="2" t="s">
        <v>7143</v>
      </c>
      <c r="AH43" s="2" t="s">
        <v>7143</v>
      </c>
      <c r="AJ43" s="2" t="s">
        <v>7143</v>
      </c>
      <c r="AK43" s="2" t="s">
        <v>7143</v>
      </c>
      <c r="AL43" s="2" t="s">
        <v>7143</v>
      </c>
      <c r="AM43" s="2" t="s">
        <v>7143</v>
      </c>
      <c r="AN43" s="2" t="s">
        <v>7143</v>
      </c>
      <c r="AO43" s="2" t="s">
        <v>7143</v>
      </c>
      <c r="AR43" s="7">
        <v>1.7</v>
      </c>
      <c r="AS43" s="7">
        <v>4</v>
      </c>
      <c r="AT43" s="7">
        <v>5</v>
      </c>
      <c r="AU43" s="2" t="s">
        <v>7193</v>
      </c>
      <c r="AV43" s="2" t="s">
        <v>7193</v>
      </c>
      <c r="AW43" s="2" t="s">
        <v>7143</v>
      </c>
      <c r="AZ43" s="2" t="s">
        <v>7145</v>
      </c>
      <c r="BB43" s="2" t="s">
        <v>7214</v>
      </c>
      <c r="BC43" s="2" t="s">
        <v>7247</v>
      </c>
      <c r="BD43" s="2" t="s">
        <v>7142</v>
      </c>
      <c r="BE43" s="2" t="s">
        <v>7142</v>
      </c>
      <c r="BF43" s="2" t="s">
        <v>7148</v>
      </c>
      <c r="BG43" s="2" t="s">
        <v>7149</v>
      </c>
      <c r="BH43" s="2" t="s">
        <v>7150</v>
      </c>
      <c r="BI43" s="2" t="s">
        <v>7151</v>
      </c>
      <c r="BL43" s="2" t="s">
        <v>7152</v>
      </c>
      <c r="BM43" s="2" t="s">
        <v>7153</v>
      </c>
      <c r="BN43" s="2" t="s">
        <v>7154</v>
      </c>
      <c r="BO43" s="2" t="s">
        <v>7155</v>
      </c>
      <c r="BQ43" s="2" t="s">
        <v>7372</v>
      </c>
      <c r="BR43" s="2" t="s">
        <v>551</v>
      </c>
      <c r="BS43" s="2" t="s">
        <v>7142</v>
      </c>
      <c r="BT43" s="2" t="s">
        <v>7341</v>
      </c>
      <c r="BV43" s="2" t="s">
        <v>7197</v>
      </c>
      <c r="BX43" s="2" t="s">
        <v>7142</v>
      </c>
      <c r="BY43" s="2" t="s">
        <v>552</v>
      </c>
      <c r="BZ43" s="2" t="s">
        <v>7165</v>
      </c>
      <c r="CA43" s="2" t="s">
        <v>553</v>
      </c>
      <c r="CE43" s="7">
        <v>5</v>
      </c>
      <c r="CF43" s="2">
        <v>495</v>
      </c>
      <c r="CK43" s="2">
        <v>100</v>
      </c>
      <c r="CO43" s="2">
        <v>100</v>
      </c>
      <c r="CR43" s="2" t="s">
        <v>7357</v>
      </c>
      <c r="CT43" s="2" t="s">
        <v>7143</v>
      </c>
      <c r="CU43" s="2" t="s">
        <v>7161</v>
      </c>
      <c r="CW43" s="2" t="s">
        <v>7162</v>
      </c>
      <c r="CY43" s="2" t="s">
        <v>7227</v>
      </c>
      <c r="CZ43" s="2" t="s">
        <v>7227</v>
      </c>
      <c r="DA43" s="2" t="s">
        <v>7249</v>
      </c>
      <c r="DB43" s="2" t="s">
        <v>7249</v>
      </c>
      <c r="DC43" s="2" t="s">
        <v>7249</v>
      </c>
      <c r="DD43" s="2" t="s">
        <v>7249</v>
      </c>
      <c r="DE43" s="2" t="s">
        <v>7249</v>
      </c>
      <c r="DF43" s="2" t="s">
        <v>7227</v>
      </c>
      <c r="DG43" s="2" t="s">
        <v>7227</v>
      </c>
      <c r="DH43" s="2" t="s">
        <v>7227</v>
      </c>
      <c r="DI43" s="2" t="s">
        <v>7227</v>
      </c>
      <c r="DL43" s="2" t="s">
        <v>7142</v>
      </c>
      <c r="DM43" s="2" t="s">
        <v>7142</v>
      </c>
      <c r="DN43" s="2" t="s">
        <v>7142</v>
      </c>
      <c r="DO43" s="2" t="s">
        <v>7142</v>
      </c>
      <c r="DP43" s="2" t="s">
        <v>7165</v>
      </c>
      <c r="DQ43" s="2" t="s">
        <v>7373</v>
      </c>
      <c r="DT43" s="2" t="s">
        <v>7165</v>
      </c>
      <c r="DU43" s="2" t="s">
        <v>7165</v>
      </c>
      <c r="DV43" s="2" t="s">
        <v>7165</v>
      </c>
      <c r="DW43" s="2" t="s">
        <v>7165</v>
      </c>
      <c r="DX43" s="2" t="s">
        <v>7165</v>
      </c>
      <c r="DY43" s="2" t="s">
        <v>7159</v>
      </c>
      <c r="DZ43" s="2" t="s">
        <v>7159</v>
      </c>
      <c r="EA43" s="2" t="s">
        <v>7165</v>
      </c>
      <c r="EB43" s="2" t="s">
        <v>7165</v>
      </c>
      <c r="EC43" s="2" t="s">
        <v>7173</v>
      </c>
      <c r="ED43" s="2" t="s">
        <v>7159</v>
      </c>
      <c r="EF43" s="2" t="s">
        <v>7221</v>
      </c>
      <c r="EG43" s="2" t="s">
        <v>555</v>
      </c>
      <c r="EJ43" s="2" t="s">
        <v>7193</v>
      </c>
      <c r="EK43" s="2" t="s">
        <v>7142</v>
      </c>
      <c r="EL43" s="2" t="s">
        <v>7143</v>
      </c>
      <c r="EN43" s="2" t="s">
        <v>7170</v>
      </c>
      <c r="EP43" s="2" t="s">
        <v>7186</v>
      </c>
      <c r="ER43" s="2" t="s">
        <v>7142</v>
      </c>
      <c r="ET43" s="2" t="s">
        <v>7143</v>
      </c>
      <c r="EV43" s="2" t="s">
        <v>7142</v>
      </c>
      <c r="EW43" s="2" t="s">
        <v>7171</v>
      </c>
      <c r="EX43" s="2" t="s">
        <v>7143</v>
      </c>
      <c r="EZ43" s="2" t="s">
        <v>7143</v>
      </c>
      <c r="FC43" s="2" t="s">
        <v>7218</v>
      </c>
      <c r="FD43" s="2" t="s">
        <v>7143</v>
      </c>
      <c r="FH43" s="2" t="s">
        <v>7173</v>
      </c>
      <c r="FJ43" s="2" t="s">
        <v>7143</v>
      </c>
      <c r="FK43" s="2" t="s">
        <v>7159</v>
      </c>
      <c r="FN43" s="2" t="s">
        <v>7344</v>
      </c>
      <c r="FR43" s="2" t="s">
        <v>556</v>
      </c>
      <c r="FT43" s="2" t="s">
        <v>7345</v>
      </c>
      <c r="FU43" s="2" t="s">
        <v>7189</v>
      </c>
      <c r="FV43" s="2" t="s">
        <v>7189</v>
      </c>
      <c r="FW43" s="2" t="s">
        <v>7189</v>
      </c>
      <c r="FZ43" s="19" t="s">
        <v>7374</v>
      </c>
    </row>
    <row r="44" spans="1:182">
      <c r="A44" s="7" t="s">
        <v>557</v>
      </c>
      <c r="D44" s="15">
        <v>46030.407025462962</v>
      </c>
      <c r="E44" s="7" t="s">
        <v>558</v>
      </c>
      <c r="F44" s="7" t="s">
        <v>7319</v>
      </c>
      <c r="G44" s="7" t="s">
        <v>7135</v>
      </c>
      <c r="H44" s="7" t="s">
        <v>481</v>
      </c>
      <c r="I44" s="7" t="s">
        <v>559</v>
      </c>
      <c r="J44" s="16" t="s">
        <v>7375</v>
      </c>
      <c r="K44" s="7" t="s">
        <v>560</v>
      </c>
      <c r="L44" s="7" t="s">
        <v>7137</v>
      </c>
      <c r="M44" s="7" t="s">
        <v>7179</v>
      </c>
      <c r="N44" s="7">
        <v>1969</v>
      </c>
      <c r="O44" s="7" t="s">
        <v>7139</v>
      </c>
      <c r="P44" s="7" t="s">
        <v>7181</v>
      </c>
      <c r="Q44" s="7" t="s">
        <v>7225</v>
      </c>
      <c r="R44" s="7" t="s">
        <v>7143</v>
      </c>
      <c r="S44" s="2">
        <v>20</v>
      </c>
      <c r="T44" s="7" t="s">
        <v>7143</v>
      </c>
      <c r="U44" s="7" t="s">
        <v>7143</v>
      </c>
      <c r="Y44" s="2">
        <v>80</v>
      </c>
      <c r="Z44" s="17">
        <v>1</v>
      </c>
      <c r="AA44" s="2">
        <v>80</v>
      </c>
      <c r="AB44" s="2">
        <v>80</v>
      </c>
      <c r="AC44" s="7">
        <v>70</v>
      </c>
      <c r="AD44" s="2">
        <v>110</v>
      </c>
      <c r="AE44" s="2">
        <v>40</v>
      </c>
      <c r="AF44" s="2" t="s">
        <v>7142</v>
      </c>
      <c r="AG44" s="2" t="s">
        <v>7143</v>
      </c>
      <c r="AH44" s="2" t="s">
        <v>7143</v>
      </c>
      <c r="AJ44" s="2" t="s">
        <v>7143</v>
      </c>
      <c r="AK44" s="2" t="s">
        <v>7143</v>
      </c>
      <c r="AL44" s="2" t="s">
        <v>7143</v>
      </c>
      <c r="AM44" s="2" t="s">
        <v>7143</v>
      </c>
      <c r="AN44" s="2" t="s">
        <v>7143</v>
      </c>
      <c r="AO44" s="2" t="s">
        <v>7143</v>
      </c>
      <c r="AR44" s="7">
        <v>0.5</v>
      </c>
      <c r="AS44" s="7">
        <v>1</v>
      </c>
      <c r="AT44" s="7">
        <v>1</v>
      </c>
      <c r="AU44" s="2" t="s">
        <v>7217</v>
      </c>
      <c r="AV44" s="2" t="s">
        <v>7217</v>
      </c>
      <c r="AW44" s="2" t="s">
        <v>7143</v>
      </c>
      <c r="AZ44" s="2" t="s">
        <v>7376</v>
      </c>
      <c r="BB44" s="2" t="s">
        <v>7146</v>
      </c>
      <c r="BC44" s="2" t="s">
        <v>7247</v>
      </c>
      <c r="BD44" s="2" t="s">
        <v>7143</v>
      </c>
      <c r="BE44" s="2" t="s">
        <v>7142</v>
      </c>
      <c r="BF44" s="2" t="s">
        <v>7148</v>
      </c>
      <c r="BG44" s="2" t="s">
        <v>7149</v>
      </c>
      <c r="BH44" s="2" t="s">
        <v>7248</v>
      </c>
      <c r="BI44" s="2" t="s">
        <v>7151</v>
      </c>
      <c r="BL44" s="2" t="s">
        <v>7195</v>
      </c>
      <c r="BO44" s="2" t="s">
        <v>7274</v>
      </c>
      <c r="BP44" s="2" t="s">
        <v>7275</v>
      </c>
      <c r="BS44" s="2" t="s">
        <v>7143</v>
      </c>
      <c r="BT44" s="2" t="s">
        <v>7362</v>
      </c>
      <c r="BV44" s="2" t="s">
        <v>7348</v>
      </c>
      <c r="BX44" s="2" t="s">
        <v>7143</v>
      </c>
      <c r="BZ44" s="2" t="s">
        <v>7173</v>
      </c>
      <c r="CE44" s="7">
        <v>1</v>
      </c>
      <c r="CF44" s="2">
        <v>110</v>
      </c>
      <c r="CK44" s="2">
        <v>100</v>
      </c>
      <c r="CO44" s="2">
        <v>100</v>
      </c>
      <c r="CR44" s="2" t="s">
        <v>7276</v>
      </c>
      <c r="CT44" s="2" t="s">
        <v>7143</v>
      </c>
      <c r="CU44" s="2" t="s">
        <v>7161</v>
      </c>
      <c r="CW44" s="2" t="s">
        <v>7162</v>
      </c>
      <c r="CY44" s="2" t="s">
        <v>7250</v>
      </c>
      <c r="CZ44" s="2" t="s">
        <v>7250</v>
      </c>
      <c r="DA44" s="2" t="s">
        <v>7250</v>
      </c>
      <c r="DB44" s="2" t="s">
        <v>7250</v>
      </c>
      <c r="DC44" s="2" t="s">
        <v>7250</v>
      </c>
      <c r="DD44" s="2" t="s">
        <v>7321</v>
      </c>
      <c r="DE44" s="2" t="s">
        <v>7250</v>
      </c>
      <c r="DF44" s="2" t="s">
        <v>7250</v>
      </c>
      <c r="DG44" s="2" t="s">
        <v>7250</v>
      </c>
      <c r="DH44" s="2" t="s">
        <v>7250</v>
      </c>
      <c r="DI44" s="2" t="s">
        <v>7250</v>
      </c>
      <c r="DL44" s="2" t="s">
        <v>7143</v>
      </c>
      <c r="DM44" s="2" t="s">
        <v>7143</v>
      </c>
      <c r="DP44" s="2" t="s">
        <v>7159</v>
      </c>
      <c r="DT44" s="2" t="s">
        <v>7159</v>
      </c>
      <c r="DU44" s="2" t="s">
        <v>7159</v>
      </c>
      <c r="DV44" s="2" t="s">
        <v>7159</v>
      </c>
      <c r="DW44" s="2" t="s">
        <v>7159</v>
      </c>
      <c r="DX44" s="2" t="s">
        <v>7159</v>
      </c>
      <c r="DY44" s="2" t="s">
        <v>7159</v>
      </c>
      <c r="DZ44" s="2" t="s">
        <v>7159</v>
      </c>
      <c r="EA44" s="2" t="s">
        <v>7159</v>
      </c>
      <c r="EB44" s="2" t="s">
        <v>7159</v>
      </c>
      <c r="EC44" s="2" t="s">
        <v>7159</v>
      </c>
      <c r="EF44" s="2" t="s">
        <v>7252</v>
      </c>
      <c r="EG44" s="2" t="s">
        <v>431</v>
      </c>
      <c r="EJ44" s="2" t="s">
        <v>7217</v>
      </c>
      <c r="EK44" s="2" t="s">
        <v>7143</v>
      </c>
      <c r="EL44" s="2" t="s">
        <v>7143</v>
      </c>
      <c r="EN44" s="2" t="s">
        <v>7210</v>
      </c>
      <c r="EP44" s="2" t="s">
        <v>7186</v>
      </c>
      <c r="ER44" s="2" t="s">
        <v>7143</v>
      </c>
      <c r="ET44" s="2" t="s">
        <v>7143</v>
      </c>
      <c r="EV44" s="2" t="s">
        <v>7143</v>
      </c>
      <c r="EX44" s="2" t="s">
        <v>7143</v>
      </c>
      <c r="EZ44" s="2" t="s">
        <v>7143</v>
      </c>
      <c r="FC44" s="2" t="s">
        <v>7309</v>
      </c>
      <c r="FD44" s="2" t="s">
        <v>7143</v>
      </c>
      <c r="FH44" s="2" t="s">
        <v>7173</v>
      </c>
      <c r="FJ44" s="2" t="s">
        <v>7143</v>
      </c>
      <c r="FK44" s="2" t="s">
        <v>7173</v>
      </c>
      <c r="FR44" s="2" t="s">
        <v>562</v>
      </c>
      <c r="FT44" s="2" t="s">
        <v>7176</v>
      </c>
      <c r="FU44" s="2" t="s">
        <v>7189</v>
      </c>
      <c r="FV44" s="2" t="s">
        <v>7176</v>
      </c>
      <c r="FW44" s="2" t="s">
        <v>7189</v>
      </c>
      <c r="FZ44" s="19" t="s">
        <v>7377</v>
      </c>
    </row>
    <row r="45" spans="1:182">
      <c r="A45" s="7" t="s">
        <v>563</v>
      </c>
      <c r="D45" s="15">
        <v>46030.368576388886</v>
      </c>
      <c r="E45" s="7" t="s">
        <v>564</v>
      </c>
      <c r="F45" s="7" t="s">
        <v>7339</v>
      </c>
      <c r="G45" s="7" t="s">
        <v>7135</v>
      </c>
      <c r="H45" s="7" t="s">
        <v>565</v>
      </c>
      <c r="I45" s="7" t="s">
        <v>566</v>
      </c>
      <c r="J45" s="16" t="s">
        <v>7378</v>
      </c>
      <c r="K45" s="7" t="s">
        <v>566</v>
      </c>
      <c r="L45" s="7" t="s">
        <v>7137</v>
      </c>
      <c r="M45" s="7" t="s">
        <v>7138</v>
      </c>
      <c r="N45" s="7">
        <v>1964</v>
      </c>
      <c r="O45" s="7" t="s">
        <v>7139</v>
      </c>
      <c r="P45" s="7" t="s">
        <v>7140</v>
      </c>
      <c r="Q45" s="2" t="s">
        <v>7141</v>
      </c>
      <c r="R45" s="7" t="s">
        <v>7143</v>
      </c>
      <c r="S45" s="2">
        <v>23</v>
      </c>
      <c r="T45" s="7" t="s">
        <v>7143</v>
      </c>
      <c r="U45" s="7" t="s">
        <v>7143</v>
      </c>
      <c r="Y45" s="2">
        <v>312</v>
      </c>
      <c r="Z45" s="17">
        <v>0.98080000000000001</v>
      </c>
      <c r="AA45" s="2">
        <v>306</v>
      </c>
      <c r="AB45" s="2">
        <v>353</v>
      </c>
      <c r="AC45" s="7">
        <v>276</v>
      </c>
      <c r="AD45" s="2">
        <v>347</v>
      </c>
      <c r="AE45" s="2">
        <v>71</v>
      </c>
      <c r="AF45" s="2" t="s">
        <v>7143</v>
      </c>
      <c r="AG45" s="2" t="s">
        <v>7143</v>
      </c>
      <c r="AH45" s="2" t="s">
        <v>7143</v>
      </c>
      <c r="AJ45" s="2" t="s">
        <v>7143</v>
      </c>
      <c r="AK45" s="2" t="s">
        <v>7142</v>
      </c>
      <c r="AL45" s="2" t="s">
        <v>7143</v>
      </c>
      <c r="AM45" s="2" t="s">
        <v>7142</v>
      </c>
      <c r="AN45" s="2" t="s">
        <v>7143</v>
      </c>
      <c r="AO45" s="2" t="s">
        <v>7143</v>
      </c>
      <c r="AR45" s="7">
        <v>1</v>
      </c>
      <c r="AS45" s="7">
        <v>2</v>
      </c>
      <c r="AT45" s="7">
        <v>3.5</v>
      </c>
      <c r="AU45" s="2" t="s">
        <v>7193</v>
      </c>
      <c r="AV45" s="2" t="s">
        <v>7193</v>
      </c>
      <c r="AW45" s="2" t="s">
        <v>7143</v>
      </c>
      <c r="AZ45" s="2" t="s">
        <v>7145</v>
      </c>
      <c r="BB45" s="2" t="s">
        <v>7214</v>
      </c>
      <c r="BC45" s="2" t="s">
        <v>7147</v>
      </c>
      <c r="BD45" s="2" t="s">
        <v>7143</v>
      </c>
      <c r="BE45" s="2" t="s">
        <v>7142</v>
      </c>
      <c r="BF45" s="2" t="s">
        <v>7148</v>
      </c>
      <c r="BG45" s="2" t="s">
        <v>7149</v>
      </c>
      <c r="BH45" s="2" t="s">
        <v>7233</v>
      </c>
      <c r="BI45" s="2" t="s">
        <v>7151</v>
      </c>
      <c r="BL45" s="2" t="s">
        <v>7152</v>
      </c>
      <c r="BM45" s="2" t="s">
        <v>7153</v>
      </c>
      <c r="BN45" s="2" t="s">
        <v>7154</v>
      </c>
      <c r="BO45" s="2" t="s">
        <v>7155</v>
      </c>
      <c r="BQ45" s="2" t="s">
        <v>7183</v>
      </c>
      <c r="BS45" s="2" t="s">
        <v>7142</v>
      </c>
      <c r="BT45" s="2" t="s">
        <v>7341</v>
      </c>
      <c r="BV45" s="2" t="s">
        <v>7379</v>
      </c>
      <c r="BX45" s="2" t="s">
        <v>7142</v>
      </c>
      <c r="BY45" s="2" t="s">
        <v>568</v>
      </c>
      <c r="BZ45" s="2" t="s">
        <v>7173</v>
      </c>
      <c r="CE45" s="7">
        <v>3.5</v>
      </c>
      <c r="CF45" s="2">
        <v>347</v>
      </c>
      <c r="CM45" s="2">
        <v>100</v>
      </c>
      <c r="CO45" s="2">
        <v>100</v>
      </c>
      <c r="CP45" s="2">
        <v>0</v>
      </c>
      <c r="CQ45" s="2">
        <v>0</v>
      </c>
      <c r="CR45" s="2" t="s">
        <v>7160</v>
      </c>
      <c r="CT45" s="2" t="s">
        <v>7143</v>
      </c>
      <c r="CU45" s="2" t="s">
        <v>7161</v>
      </c>
      <c r="CW45" s="2" t="s">
        <v>7162</v>
      </c>
      <c r="CY45" s="2" t="s">
        <v>7163</v>
      </c>
      <c r="CZ45" s="2" t="s">
        <v>7163</v>
      </c>
      <c r="DA45" s="2" t="s">
        <v>7163</v>
      </c>
      <c r="DB45" s="2" t="s">
        <v>7321</v>
      </c>
      <c r="DC45" s="2" t="s">
        <v>7321</v>
      </c>
      <c r="DD45" s="2" t="s">
        <v>7250</v>
      </c>
      <c r="DE45" s="2" t="s">
        <v>7250</v>
      </c>
      <c r="DF45" s="2" t="s">
        <v>7250</v>
      </c>
      <c r="DG45" s="2" t="s">
        <v>7227</v>
      </c>
      <c r="DH45" s="2" t="s">
        <v>7163</v>
      </c>
      <c r="DI45" s="2" t="s">
        <v>7163</v>
      </c>
      <c r="DL45" s="2" t="s">
        <v>7142</v>
      </c>
      <c r="DM45" s="2" t="s">
        <v>7142</v>
      </c>
      <c r="DN45" s="2" t="s">
        <v>7142</v>
      </c>
      <c r="DO45" s="2" t="s">
        <v>7142</v>
      </c>
      <c r="DP45" s="2" t="s">
        <v>7165</v>
      </c>
      <c r="DQ45" s="2" t="s">
        <v>7333</v>
      </c>
      <c r="DR45" s="2" t="s">
        <v>569</v>
      </c>
      <c r="DT45" s="2" t="s">
        <v>7165</v>
      </c>
      <c r="DU45" s="2" t="s">
        <v>7173</v>
      </c>
      <c r="DV45" s="2" t="s">
        <v>7173</v>
      </c>
      <c r="DW45" s="2" t="s">
        <v>7165</v>
      </c>
      <c r="DX45" s="2" t="s">
        <v>7165</v>
      </c>
      <c r="DY45" s="2" t="s">
        <v>7173</v>
      </c>
      <c r="DZ45" s="2" t="s">
        <v>7173</v>
      </c>
      <c r="EA45" s="2" t="s">
        <v>7173</v>
      </c>
      <c r="EB45" s="2" t="s">
        <v>7165</v>
      </c>
      <c r="ED45" s="2" t="s">
        <v>7165</v>
      </c>
      <c r="EE45" s="2" t="s">
        <v>570</v>
      </c>
      <c r="EF45" s="2" t="s">
        <v>7221</v>
      </c>
      <c r="EG45" s="2" t="s">
        <v>7380</v>
      </c>
      <c r="EJ45" s="2" t="s">
        <v>7193</v>
      </c>
      <c r="EK45" s="2" t="s">
        <v>7143</v>
      </c>
      <c r="EL45" s="2" t="s">
        <v>7143</v>
      </c>
      <c r="EN45" s="2" t="s">
        <v>7170</v>
      </c>
      <c r="EP45" s="2" t="s">
        <v>7186</v>
      </c>
      <c r="ER45" s="2" t="s">
        <v>7142</v>
      </c>
      <c r="ET45" s="2" t="s">
        <v>7143</v>
      </c>
      <c r="EV45" s="2" t="s">
        <v>7142</v>
      </c>
      <c r="EW45" s="2" t="s">
        <v>7171</v>
      </c>
      <c r="EX45" s="2" t="s">
        <v>7143</v>
      </c>
      <c r="EZ45" s="2" t="s">
        <v>7143</v>
      </c>
      <c r="FC45" s="2" t="s">
        <v>7218</v>
      </c>
      <c r="FD45" s="2" t="s">
        <v>7143</v>
      </c>
      <c r="FH45" s="2" t="s">
        <v>7173</v>
      </c>
      <c r="FJ45" s="2" t="s">
        <v>7143</v>
      </c>
      <c r="FK45" s="2" t="s">
        <v>7173</v>
      </c>
      <c r="FN45" s="2" t="s">
        <v>7344</v>
      </c>
      <c r="FR45" s="2" t="s">
        <v>572</v>
      </c>
      <c r="FT45" s="2" t="s">
        <v>7189</v>
      </c>
      <c r="FU45" s="2" t="s">
        <v>7189</v>
      </c>
      <c r="FV45" s="2" t="s">
        <v>7189</v>
      </c>
      <c r="FW45" s="2" t="s">
        <v>7189</v>
      </c>
      <c r="FZ45" s="19" t="s">
        <v>7381</v>
      </c>
    </row>
    <row r="46" spans="1:182">
      <c r="A46" s="7" t="s">
        <v>573</v>
      </c>
      <c r="D46" s="15">
        <v>46030.431539351855</v>
      </c>
      <c r="E46" s="7" t="s">
        <v>574</v>
      </c>
      <c r="F46" s="7" t="s">
        <v>7339</v>
      </c>
      <c r="G46" s="7" t="s">
        <v>7135</v>
      </c>
      <c r="H46" s="7" t="s">
        <v>565</v>
      </c>
      <c r="I46" s="7" t="s">
        <v>575</v>
      </c>
      <c r="J46" s="16" t="s">
        <v>7382</v>
      </c>
      <c r="K46" s="7" t="s">
        <v>576</v>
      </c>
      <c r="L46" s="2" t="s">
        <v>7137</v>
      </c>
      <c r="M46" s="7" t="s">
        <v>7179</v>
      </c>
      <c r="N46" s="7">
        <v>1982</v>
      </c>
      <c r="O46" s="7" t="s">
        <v>7139</v>
      </c>
      <c r="P46" s="2" t="s">
        <v>7181</v>
      </c>
      <c r="Q46" s="2" t="s">
        <v>7225</v>
      </c>
      <c r="R46" s="2" t="s">
        <v>7143</v>
      </c>
      <c r="S46" s="2">
        <v>17</v>
      </c>
      <c r="T46" s="2" t="s">
        <v>7143</v>
      </c>
      <c r="U46" s="2" t="s">
        <v>7143</v>
      </c>
      <c r="Y46" s="2">
        <v>584</v>
      </c>
      <c r="Z46" s="17">
        <v>1</v>
      </c>
      <c r="AA46" s="2">
        <v>584</v>
      </c>
      <c r="AB46" s="2">
        <v>524</v>
      </c>
      <c r="AC46" s="7">
        <v>524</v>
      </c>
      <c r="AD46" s="2">
        <v>594</v>
      </c>
      <c r="AE46" s="2">
        <v>70</v>
      </c>
      <c r="AF46" s="2" t="s">
        <v>7143</v>
      </c>
      <c r="AG46" s="2" t="s">
        <v>7143</v>
      </c>
      <c r="AH46" s="2" t="s">
        <v>7143</v>
      </c>
      <c r="AJ46" s="2" t="s">
        <v>7143</v>
      </c>
      <c r="AK46" s="2" t="s">
        <v>7142</v>
      </c>
      <c r="AL46" s="2" t="s">
        <v>7143</v>
      </c>
      <c r="AM46" s="2" t="s">
        <v>7143</v>
      </c>
      <c r="AN46" s="2" t="s">
        <v>7143</v>
      </c>
      <c r="AO46" s="2" t="s">
        <v>7143</v>
      </c>
      <c r="AR46" s="7">
        <v>1.5</v>
      </c>
      <c r="AS46" s="7">
        <v>3</v>
      </c>
      <c r="AT46" s="7">
        <v>6</v>
      </c>
      <c r="AV46" s="2" t="s">
        <v>7193</v>
      </c>
      <c r="AW46" s="2" t="s">
        <v>7143</v>
      </c>
      <c r="AZ46" s="2" t="s">
        <v>7145</v>
      </c>
      <c r="BB46" s="2" t="s">
        <v>7214</v>
      </c>
      <c r="BC46" s="2" t="s">
        <v>7247</v>
      </c>
      <c r="BD46" s="2" t="s">
        <v>7142</v>
      </c>
      <c r="BE46" s="2" t="s">
        <v>7142</v>
      </c>
      <c r="BF46" s="2" t="s">
        <v>7148</v>
      </c>
      <c r="BG46" s="2" t="s">
        <v>7149</v>
      </c>
      <c r="BH46" s="2" t="s">
        <v>7150</v>
      </c>
      <c r="BI46" s="2" t="s">
        <v>7151</v>
      </c>
      <c r="BL46" s="2" t="s">
        <v>7152</v>
      </c>
      <c r="BM46" s="2" t="s">
        <v>7153</v>
      </c>
      <c r="BN46" s="2" t="s">
        <v>7154</v>
      </c>
      <c r="BO46" s="2" t="s">
        <v>7155</v>
      </c>
      <c r="BQ46" s="2" t="s">
        <v>7183</v>
      </c>
      <c r="BS46" s="2" t="s">
        <v>7142</v>
      </c>
      <c r="BT46" s="2" t="s">
        <v>7341</v>
      </c>
      <c r="BV46" s="2" t="s">
        <v>7348</v>
      </c>
      <c r="BX46" s="2" t="s">
        <v>7142</v>
      </c>
      <c r="BY46" s="2" t="s">
        <v>577</v>
      </c>
      <c r="BZ46" s="2" t="s">
        <v>7173</v>
      </c>
      <c r="CE46" s="7">
        <v>6</v>
      </c>
      <c r="CF46" s="2">
        <v>594</v>
      </c>
      <c r="CM46" s="2">
        <v>100</v>
      </c>
      <c r="CO46" s="2">
        <v>100</v>
      </c>
      <c r="CP46" s="2">
        <v>0</v>
      </c>
      <c r="CQ46" s="2">
        <v>0</v>
      </c>
      <c r="CR46" s="2" t="s">
        <v>7276</v>
      </c>
      <c r="CT46" s="2" t="s">
        <v>7143</v>
      </c>
      <c r="CU46" s="2" t="s">
        <v>7383</v>
      </c>
      <c r="CW46" s="2" t="s">
        <v>7162</v>
      </c>
      <c r="CY46" s="2" t="s">
        <v>7163</v>
      </c>
      <c r="CZ46" s="2" t="s">
        <v>7227</v>
      </c>
      <c r="DA46" s="2" t="s">
        <v>7250</v>
      </c>
      <c r="DB46" s="2" t="s">
        <v>7250</v>
      </c>
      <c r="DC46" s="2" t="s">
        <v>7321</v>
      </c>
      <c r="DD46" s="2" t="s">
        <v>7321</v>
      </c>
      <c r="DE46" s="2" t="s">
        <v>7250</v>
      </c>
      <c r="DF46" s="2" t="s">
        <v>7163</v>
      </c>
      <c r="DG46" s="2" t="s">
        <v>7227</v>
      </c>
      <c r="DH46" s="2" t="s">
        <v>7163</v>
      </c>
      <c r="DI46" s="2" t="s">
        <v>7227</v>
      </c>
      <c r="DL46" s="2" t="s">
        <v>7142</v>
      </c>
      <c r="DM46" s="2" t="s">
        <v>7142</v>
      </c>
      <c r="DN46" s="2" t="s">
        <v>7142</v>
      </c>
      <c r="DO46" s="2" t="s">
        <v>7142</v>
      </c>
      <c r="DP46" s="2" t="s">
        <v>7165</v>
      </c>
      <c r="DQ46" s="2" t="s">
        <v>7333</v>
      </c>
      <c r="DR46" s="2" t="s">
        <v>579</v>
      </c>
      <c r="DT46" s="2" t="s">
        <v>7165</v>
      </c>
      <c r="DU46" s="2" t="s">
        <v>7165</v>
      </c>
      <c r="DV46" s="2" t="s">
        <v>7173</v>
      </c>
      <c r="DW46" s="2" t="s">
        <v>7165</v>
      </c>
      <c r="DX46" s="2" t="s">
        <v>7165</v>
      </c>
      <c r="DY46" s="2" t="s">
        <v>7159</v>
      </c>
      <c r="DZ46" s="2" t="s">
        <v>7159</v>
      </c>
      <c r="EA46" s="2" t="s">
        <v>7159</v>
      </c>
      <c r="EB46" s="2" t="s">
        <v>7165</v>
      </c>
      <c r="EC46" s="2" t="s">
        <v>7159</v>
      </c>
      <c r="ED46" s="2" t="s">
        <v>7159</v>
      </c>
      <c r="EF46" s="2" t="s">
        <v>7221</v>
      </c>
      <c r="EG46" s="2" t="s">
        <v>7384</v>
      </c>
      <c r="EJ46" s="2" t="s">
        <v>7193</v>
      </c>
      <c r="EK46" s="2" t="s">
        <v>7142</v>
      </c>
      <c r="EL46" s="2" t="s">
        <v>7143</v>
      </c>
      <c r="EN46" s="2" t="s">
        <v>7170</v>
      </c>
      <c r="EP46" s="2" t="s">
        <v>7186</v>
      </c>
      <c r="ER46" s="2" t="s">
        <v>7142</v>
      </c>
      <c r="ET46" s="2" t="s">
        <v>7143</v>
      </c>
      <c r="EV46" s="2" t="s">
        <v>7143</v>
      </c>
      <c r="EX46" s="2" t="s">
        <v>7142</v>
      </c>
      <c r="EY46" s="2" t="s">
        <v>7171</v>
      </c>
      <c r="EZ46" s="2" t="s">
        <v>7143</v>
      </c>
      <c r="FC46" s="2" t="s">
        <v>7218</v>
      </c>
      <c r="FD46" s="2" t="s">
        <v>7143</v>
      </c>
      <c r="FH46" s="2" t="s">
        <v>7173</v>
      </c>
      <c r="FJ46" s="2" t="s">
        <v>7143</v>
      </c>
      <c r="FK46" s="2" t="s">
        <v>7173</v>
      </c>
      <c r="FN46" s="2" t="s">
        <v>7344</v>
      </c>
      <c r="FR46" s="2" t="s">
        <v>581</v>
      </c>
      <c r="FT46" s="2" t="s">
        <v>7189</v>
      </c>
      <c r="FU46" s="2" t="s">
        <v>7189</v>
      </c>
      <c r="FV46" s="2" t="s">
        <v>7189</v>
      </c>
      <c r="FW46" s="2" t="s">
        <v>7189</v>
      </c>
      <c r="FY46" s="2" t="s">
        <v>582</v>
      </c>
      <c r="FZ46" s="19" t="s">
        <v>7385</v>
      </c>
    </row>
    <row r="47" spans="1:182">
      <c r="A47" s="7" t="s">
        <v>583</v>
      </c>
      <c r="D47" s="15">
        <v>46030.438587962963</v>
      </c>
      <c r="E47" s="7" t="s">
        <v>584</v>
      </c>
      <c r="F47" s="7" t="s">
        <v>7319</v>
      </c>
      <c r="G47" s="7" t="s">
        <v>7135</v>
      </c>
      <c r="H47" s="7" t="s">
        <v>533</v>
      </c>
      <c r="I47" s="7" t="s">
        <v>585</v>
      </c>
      <c r="J47" s="16" t="s">
        <v>7386</v>
      </c>
      <c r="K47" s="7" t="s">
        <v>585</v>
      </c>
      <c r="L47" s="7" t="s">
        <v>7137</v>
      </c>
      <c r="M47" s="7" t="s">
        <v>7138</v>
      </c>
      <c r="N47" s="7">
        <v>1973</v>
      </c>
      <c r="O47" s="7" t="s">
        <v>7139</v>
      </c>
      <c r="P47" s="7" t="s">
        <v>7140</v>
      </c>
      <c r="Q47" s="7" t="s">
        <v>7225</v>
      </c>
      <c r="R47" s="7" t="s">
        <v>7143</v>
      </c>
      <c r="S47" s="2">
        <v>15</v>
      </c>
      <c r="T47" s="7" t="s">
        <v>7143</v>
      </c>
      <c r="U47" s="7" t="s">
        <v>7143</v>
      </c>
      <c r="Z47" s="17">
        <v>0</v>
      </c>
      <c r="AC47" s="7">
        <v>0</v>
      </c>
      <c r="AR47" s="7">
        <v>2</v>
      </c>
      <c r="AS47" s="7">
        <v>4</v>
      </c>
      <c r="AT47" s="7">
        <v>5</v>
      </c>
      <c r="AU47" s="2" t="s">
        <v>7193</v>
      </c>
      <c r="AV47" s="2" t="s">
        <v>7193</v>
      </c>
      <c r="AW47" s="2" t="s">
        <v>7143</v>
      </c>
      <c r="AZ47" s="2" t="s">
        <v>7145</v>
      </c>
      <c r="BB47" s="2" t="s">
        <v>7268</v>
      </c>
      <c r="BC47" s="2" t="s">
        <v>7208</v>
      </c>
      <c r="BD47" s="2" t="s">
        <v>7143</v>
      </c>
      <c r="BE47" s="2" t="s">
        <v>7142</v>
      </c>
      <c r="BF47" s="2" t="s">
        <v>7148</v>
      </c>
      <c r="BG47" s="2" t="s">
        <v>7149</v>
      </c>
      <c r="BH47" s="2" t="s">
        <v>7150</v>
      </c>
      <c r="BI47" s="2" t="s">
        <v>7269</v>
      </c>
      <c r="BL47" s="2" t="s">
        <v>7195</v>
      </c>
      <c r="BO47" s="2" t="s">
        <v>7274</v>
      </c>
      <c r="BP47" s="2" t="s">
        <v>7275</v>
      </c>
      <c r="BS47" s="2" t="s">
        <v>7142</v>
      </c>
      <c r="BT47" s="2" t="s">
        <v>7238</v>
      </c>
      <c r="BU47" s="2" t="s">
        <v>586</v>
      </c>
      <c r="BV47" s="2" t="s">
        <v>7387</v>
      </c>
      <c r="BX47" s="2" t="s">
        <v>7143</v>
      </c>
      <c r="BZ47" s="2" t="s">
        <v>7173</v>
      </c>
      <c r="CE47" s="7">
        <v>5</v>
      </c>
      <c r="CF47" s="2">
        <v>500</v>
      </c>
      <c r="CK47" s="2">
        <v>100</v>
      </c>
      <c r="CO47" s="2">
        <v>100</v>
      </c>
      <c r="CR47" s="2" t="s">
        <v>7160</v>
      </c>
      <c r="CT47" s="2" t="s">
        <v>7143</v>
      </c>
      <c r="CU47" s="2" t="s">
        <v>7161</v>
      </c>
      <c r="CW47" s="2" t="s">
        <v>7162</v>
      </c>
      <c r="CY47" s="2" t="s">
        <v>7250</v>
      </c>
      <c r="CZ47" s="2" t="s">
        <v>7250</v>
      </c>
      <c r="DA47" s="2" t="s">
        <v>7250</v>
      </c>
      <c r="DB47" s="2" t="s">
        <v>7250</v>
      </c>
      <c r="DC47" s="2" t="s">
        <v>7321</v>
      </c>
      <c r="DD47" s="2" t="s">
        <v>7321</v>
      </c>
      <c r="DE47" s="2" t="s">
        <v>7250</v>
      </c>
      <c r="DF47" s="2" t="s">
        <v>7250</v>
      </c>
      <c r="DG47" s="2" t="s">
        <v>7250</v>
      </c>
      <c r="DH47" s="2" t="s">
        <v>7250</v>
      </c>
      <c r="DI47" s="2" t="s">
        <v>7321</v>
      </c>
      <c r="DL47" s="2" t="s">
        <v>7143</v>
      </c>
      <c r="DM47" s="2" t="s">
        <v>7143</v>
      </c>
      <c r="DP47" s="2" t="s">
        <v>7159</v>
      </c>
      <c r="DT47" s="2" t="s">
        <v>7159</v>
      </c>
      <c r="DU47" s="2" t="s">
        <v>7159</v>
      </c>
      <c r="DV47" s="2" t="s">
        <v>7159</v>
      </c>
      <c r="DW47" s="2" t="s">
        <v>7159</v>
      </c>
      <c r="DX47" s="2" t="s">
        <v>7159</v>
      </c>
      <c r="DY47" s="2" t="s">
        <v>7159</v>
      </c>
      <c r="DZ47" s="2" t="s">
        <v>7159</v>
      </c>
      <c r="EA47" s="2" t="s">
        <v>7159</v>
      </c>
      <c r="EB47" s="2" t="s">
        <v>7159</v>
      </c>
      <c r="EC47" s="2" t="s">
        <v>7159</v>
      </c>
      <c r="EF47" s="2" t="s">
        <v>7349</v>
      </c>
      <c r="EG47" s="2" t="s">
        <v>431</v>
      </c>
      <c r="EJ47" s="2" t="s">
        <v>7217</v>
      </c>
      <c r="EK47" s="2" t="s">
        <v>7143</v>
      </c>
      <c r="EL47" s="2" t="s">
        <v>7143</v>
      </c>
      <c r="EN47" s="2" t="s">
        <v>7170</v>
      </c>
      <c r="EP47" s="2" t="s">
        <v>7186</v>
      </c>
      <c r="ER47" s="2" t="s">
        <v>7143</v>
      </c>
      <c r="ET47" s="2" t="s">
        <v>7143</v>
      </c>
      <c r="EV47" s="2" t="s">
        <v>7143</v>
      </c>
      <c r="EX47" s="2" t="s">
        <v>7143</v>
      </c>
      <c r="EZ47" s="2" t="s">
        <v>7143</v>
      </c>
      <c r="FC47" s="2" t="s">
        <v>7309</v>
      </c>
      <c r="FD47" s="2" t="s">
        <v>7143</v>
      </c>
      <c r="FH47" s="2" t="s">
        <v>7173</v>
      </c>
      <c r="FJ47" s="2" t="s">
        <v>7143</v>
      </c>
      <c r="FK47" s="2" t="s">
        <v>7173</v>
      </c>
      <c r="FR47" s="2" t="s">
        <v>433</v>
      </c>
      <c r="FT47" s="2" t="s">
        <v>7176</v>
      </c>
      <c r="FU47" s="2" t="s">
        <v>7189</v>
      </c>
      <c r="FV47" s="2" t="s">
        <v>7176</v>
      </c>
      <c r="FW47" s="2" t="s">
        <v>7176</v>
      </c>
      <c r="FZ47" s="19" t="s">
        <v>7388</v>
      </c>
    </row>
    <row r="48" spans="1:182">
      <c r="A48" s="7" t="s">
        <v>588</v>
      </c>
      <c r="D48" s="15">
        <v>46030.462430555555</v>
      </c>
      <c r="E48" s="7" t="s">
        <v>589</v>
      </c>
      <c r="F48" s="7" t="s">
        <v>7389</v>
      </c>
      <c r="G48" s="7" t="s">
        <v>7135</v>
      </c>
      <c r="H48" s="7" t="s">
        <v>591</v>
      </c>
      <c r="I48" s="7" t="s">
        <v>592</v>
      </c>
      <c r="J48" s="16" t="s">
        <v>7390</v>
      </c>
      <c r="K48" s="7" t="s">
        <v>593</v>
      </c>
      <c r="L48" s="2" t="s">
        <v>7137</v>
      </c>
      <c r="M48" s="7" t="s">
        <v>7179</v>
      </c>
      <c r="N48" s="7">
        <v>1978</v>
      </c>
      <c r="O48" s="7" t="s">
        <v>7139</v>
      </c>
      <c r="P48" s="2" t="s">
        <v>7181</v>
      </c>
      <c r="Q48" s="2" t="s">
        <v>7225</v>
      </c>
      <c r="R48" s="2" t="s">
        <v>7143</v>
      </c>
      <c r="S48" s="2">
        <v>12</v>
      </c>
      <c r="T48" s="2" t="s">
        <v>7143</v>
      </c>
      <c r="U48" s="2" t="s">
        <v>7143</v>
      </c>
      <c r="Y48" s="2">
        <v>830</v>
      </c>
      <c r="Z48" s="17">
        <v>0.98799999999999999</v>
      </c>
      <c r="AA48" s="2">
        <v>820</v>
      </c>
      <c r="AB48" s="2">
        <v>820</v>
      </c>
      <c r="AC48" s="7">
        <v>820</v>
      </c>
      <c r="AD48" s="2">
        <v>950</v>
      </c>
      <c r="AE48" s="2">
        <v>130</v>
      </c>
      <c r="AF48" s="2" t="s">
        <v>7142</v>
      </c>
      <c r="AG48" s="2" t="s">
        <v>7142</v>
      </c>
      <c r="AH48" s="2" t="s">
        <v>7143</v>
      </c>
      <c r="AJ48" s="2" t="s">
        <v>7143</v>
      </c>
      <c r="AK48" s="2" t="s">
        <v>7142</v>
      </c>
      <c r="AL48" s="2" t="s">
        <v>7143</v>
      </c>
      <c r="AM48" s="2" t="s">
        <v>7143</v>
      </c>
      <c r="AN48" s="2" t="s">
        <v>7143</v>
      </c>
      <c r="AO48" s="2" t="s">
        <v>7143</v>
      </c>
      <c r="AR48" s="7">
        <v>2.5</v>
      </c>
      <c r="AS48" s="7">
        <v>2</v>
      </c>
      <c r="AT48" s="7">
        <v>9.6</v>
      </c>
      <c r="AU48" s="2" t="s">
        <v>7193</v>
      </c>
      <c r="AV48" s="2" t="s">
        <v>7193</v>
      </c>
      <c r="AW48" s="2" t="s">
        <v>7143</v>
      </c>
      <c r="AZ48" s="2" t="s">
        <v>7145</v>
      </c>
      <c r="BB48" s="2" t="s">
        <v>7214</v>
      </c>
      <c r="BC48" s="2" t="s">
        <v>7147</v>
      </c>
      <c r="BD48" s="2" t="s">
        <v>7142</v>
      </c>
      <c r="BE48" s="2" t="s">
        <v>7142</v>
      </c>
      <c r="BF48" s="2" t="s">
        <v>7148</v>
      </c>
      <c r="BG48" s="2" t="s">
        <v>7149</v>
      </c>
      <c r="BH48" s="2" t="s">
        <v>7248</v>
      </c>
      <c r="BI48" s="2" t="s">
        <v>7151</v>
      </c>
      <c r="BL48" s="2" t="s">
        <v>7152</v>
      </c>
      <c r="BM48" s="2" t="s">
        <v>7355</v>
      </c>
      <c r="BN48" s="2" t="s">
        <v>7154</v>
      </c>
      <c r="BO48" s="2" t="s">
        <v>7155</v>
      </c>
      <c r="BQ48" s="2" t="s">
        <v>7183</v>
      </c>
      <c r="BS48" s="2" t="s">
        <v>7142</v>
      </c>
      <c r="BT48" s="2" t="s">
        <v>7391</v>
      </c>
      <c r="BV48" s="2" t="s">
        <v>7197</v>
      </c>
      <c r="BX48" s="2" t="s">
        <v>7142</v>
      </c>
      <c r="BY48" s="2" t="s">
        <v>595</v>
      </c>
      <c r="BZ48" s="2" t="s">
        <v>7159</v>
      </c>
      <c r="CE48" s="7">
        <v>9.6</v>
      </c>
      <c r="CF48" s="2">
        <v>950</v>
      </c>
      <c r="CM48" s="2">
        <v>100</v>
      </c>
      <c r="CO48" s="2">
        <v>100</v>
      </c>
      <c r="CR48" s="2" t="s">
        <v>7160</v>
      </c>
      <c r="CT48" s="2" t="s">
        <v>7143</v>
      </c>
      <c r="CU48" s="2" t="s">
        <v>7161</v>
      </c>
      <c r="CW48" s="2" t="s">
        <v>7162</v>
      </c>
      <c r="CY48" s="2" t="s">
        <v>7163</v>
      </c>
      <c r="CZ48" s="2" t="s">
        <v>7250</v>
      </c>
      <c r="DA48" s="2" t="s">
        <v>7250</v>
      </c>
      <c r="DB48" s="2" t="s">
        <v>7250</v>
      </c>
      <c r="DC48" s="2" t="s">
        <v>7250</v>
      </c>
      <c r="DD48" s="2" t="s">
        <v>7250</v>
      </c>
      <c r="DE48" s="2" t="s">
        <v>7250</v>
      </c>
      <c r="DF48" s="2" t="s">
        <v>7250</v>
      </c>
      <c r="DG48" s="2" t="s">
        <v>7250</v>
      </c>
      <c r="DH48" s="2" t="s">
        <v>7250</v>
      </c>
      <c r="DI48" s="2" t="s">
        <v>7250</v>
      </c>
      <c r="DL48" s="2" t="s">
        <v>7143</v>
      </c>
      <c r="DM48" s="2" t="s">
        <v>7143</v>
      </c>
      <c r="DP48" s="2" t="s">
        <v>7159</v>
      </c>
      <c r="DT48" s="2" t="s">
        <v>7165</v>
      </c>
      <c r="DU48" s="2" t="s">
        <v>7165</v>
      </c>
      <c r="DV48" s="2" t="s">
        <v>7165</v>
      </c>
      <c r="DW48" s="2" t="s">
        <v>7165</v>
      </c>
      <c r="DX48" s="2" t="s">
        <v>7165</v>
      </c>
      <c r="DY48" s="2" t="s">
        <v>7159</v>
      </c>
      <c r="DZ48" s="2" t="s">
        <v>7159</v>
      </c>
      <c r="EA48" s="2" t="s">
        <v>7159</v>
      </c>
      <c r="EB48" s="2" t="s">
        <v>7165</v>
      </c>
      <c r="EC48" s="2" t="s">
        <v>7173</v>
      </c>
      <c r="EF48" s="2" t="s">
        <v>7252</v>
      </c>
      <c r="EG48" s="2" t="s">
        <v>596</v>
      </c>
      <c r="EJ48" s="2" t="s">
        <v>7193</v>
      </c>
      <c r="EK48" s="2" t="s">
        <v>7142</v>
      </c>
      <c r="EL48" s="2" t="s">
        <v>7142</v>
      </c>
      <c r="EM48" s="2" t="s">
        <v>7392</v>
      </c>
      <c r="EN48" s="2" t="s">
        <v>7210</v>
      </c>
      <c r="EP48" s="2" t="s">
        <v>7186</v>
      </c>
      <c r="ER48" s="2" t="s">
        <v>7143</v>
      </c>
      <c r="ET48" s="2" t="s">
        <v>7143</v>
      </c>
      <c r="EV48" s="2" t="s">
        <v>7143</v>
      </c>
      <c r="EX48" s="2" t="s">
        <v>7143</v>
      </c>
      <c r="EZ48" s="2" t="s">
        <v>7143</v>
      </c>
      <c r="FC48" s="2" t="s">
        <v>7218</v>
      </c>
      <c r="FD48" s="2" t="s">
        <v>7143</v>
      </c>
      <c r="FH48" s="2" t="s">
        <v>7173</v>
      </c>
      <c r="FJ48" s="2" t="s">
        <v>7142</v>
      </c>
      <c r="FK48" s="2" t="s">
        <v>7173</v>
      </c>
      <c r="FN48" s="2" t="s">
        <v>7175</v>
      </c>
      <c r="FR48" s="2" t="s">
        <v>598</v>
      </c>
      <c r="FT48" s="2" t="s">
        <v>7345</v>
      </c>
      <c r="FU48" s="2" t="s">
        <v>7189</v>
      </c>
      <c r="FV48" s="2" t="s">
        <v>7176</v>
      </c>
      <c r="FW48" s="2" t="s">
        <v>7189</v>
      </c>
      <c r="FZ48" s="19" t="s">
        <v>7393</v>
      </c>
    </row>
    <row r="49" spans="1:182">
      <c r="A49" s="7" t="s">
        <v>599</v>
      </c>
      <c r="D49" s="15">
        <v>46030.384340277778</v>
      </c>
      <c r="E49" s="7" t="s">
        <v>600</v>
      </c>
      <c r="F49" s="7" t="s">
        <v>7339</v>
      </c>
      <c r="G49" s="7" t="s">
        <v>7135</v>
      </c>
      <c r="H49" s="7" t="s">
        <v>505</v>
      </c>
      <c r="I49" s="7" t="s">
        <v>601</v>
      </c>
      <c r="J49" s="16" t="s">
        <v>7394</v>
      </c>
      <c r="K49" s="7" t="s">
        <v>602</v>
      </c>
      <c r="L49" s="2" t="s">
        <v>7137</v>
      </c>
      <c r="M49" s="7" t="s">
        <v>7138</v>
      </c>
      <c r="N49" s="7">
        <v>1967</v>
      </c>
      <c r="O49" s="7" t="s">
        <v>7139</v>
      </c>
      <c r="P49" s="2" t="s">
        <v>7140</v>
      </c>
      <c r="Q49" s="2" t="s">
        <v>7395</v>
      </c>
      <c r="R49" s="2" t="s">
        <v>7143</v>
      </c>
      <c r="S49" s="2">
        <v>4</v>
      </c>
      <c r="T49" s="2" t="s">
        <v>7143</v>
      </c>
      <c r="U49" s="2" t="s">
        <v>7142</v>
      </c>
      <c r="Y49" s="2">
        <v>109</v>
      </c>
      <c r="Z49" s="17">
        <v>0.8165</v>
      </c>
      <c r="AA49" s="2">
        <v>89</v>
      </c>
      <c r="AB49" s="2">
        <v>49</v>
      </c>
      <c r="AC49" s="7">
        <v>49</v>
      </c>
      <c r="AD49" s="2">
        <v>99</v>
      </c>
      <c r="AE49" s="2">
        <v>50</v>
      </c>
      <c r="AF49" s="2" t="s">
        <v>7143</v>
      </c>
      <c r="AG49" s="2" t="s">
        <v>7143</v>
      </c>
      <c r="AH49" s="2" t="s">
        <v>7143</v>
      </c>
      <c r="AJ49" s="2" t="s">
        <v>7143</v>
      </c>
      <c r="AK49" s="2" t="s">
        <v>7142</v>
      </c>
      <c r="AM49" s="2" t="s">
        <v>7142</v>
      </c>
      <c r="AN49" s="2" t="s">
        <v>7143</v>
      </c>
      <c r="AO49" s="2" t="s">
        <v>7143</v>
      </c>
      <c r="AP49" s="18"/>
      <c r="AQ49" s="18"/>
      <c r="AR49" s="7">
        <v>0.8</v>
      </c>
      <c r="AS49" s="7">
        <v>1</v>
      </c>
      <c r="AT49" s="7">
        <v>1</v>
      </c>
      <c r="AU49" s="2" t="s">
        <v>7217</v>
      </c>
      <c r="AV49" s="2" t="s">
        <v>7217</v>
      </c>
      <c r="AW49" s="2" t="s">
        <v>7143</v>
      </c>
      <c r="AZ49" s="2" t="s">
        <v>7145</v>
      </c>
      <c r="BB49" s="2" t="s">
        <v>7214</v>
      </c>
      <c r="BC49" s="2" t="s">
        <v>7247</v>
      </c>
      <c r="BD49" s="2" t="s">
        <v>7142</v>
      </c>
      <c r="BE49" s="2" t="s">
        <v>7142</v>
      </c>
      <c r="BF49" s="2" t="s">
        <v>7148</v>
      </c>
      <c r="BG49" s="2" t="s">
        <v>7149</v>
      </c>
      <c r="BH49" s="2" t="s">
        <v>7233</v>
      </c>
      <c r="BI49" s="2" t="s">
        <v>7396</v>
      </c>
      <c r="BL49" s="2" t="s">
        <v>7195</v>
      </c>
      <c r="BO49" s="2" t="s">
        <v>7155</v>
      </c>
      <c r="BQ49" s="2" t="s">
        <v>7183</v>
      </c>
      <c r="BS49" s="2" t="s">
        <v>7143</v>
      </c>
      <c r="BT49" s="2" t="s">
        <v>7215</v>
      </c>
      <c r="BV49" s="2" t="s">
        <v>7397</v>
      </c>
      <c r="BX49" s="2" t="s">
        <v>7142</v>
      </c>
      <c r="BY49" s="2" t="s">
        <v>605</v>
      </c>
      <c r="BZ49" s="2" t="s">
        <v>7173</v>
      </c>
      <c r="CE49" s="7">
        <v>1</v>
      </c>
      <c r="CH49" s="2">
        <v>0</v>
      </c>
      <c r="CI49" s="2">
        <v>0</v>
      </c>
      <c r="CJ49" s="2">
        <v>0</v>
      </c>
      <c r="CK49" s="2">
        <v>100</v>
      </c>
      <c r="CL49" s="2">
        <v>0</v>
      </c>
      <c r="CO49" s="2">
        <v>100</v>
      </c>
      <c r="CR49" s="2" t="s">
        <v>7276</v>
      </c>
      <c r="CT49" s="2" t="s">
        <v>7143</v>
      </c>
      <c r="CU49" s="2" t="s">
        <v>7161</v>
      </c>
      <c r="CW49" s="2" t="s">
        <v>7162</v>
      </c>
      <c r="CY49" s="2" t="s">
        <v>7163</v>
      </c>
      <c r="CZ49" s="2" t="s">
        <v>7163</v>
      </c>
      <c r="DA49" s="2" t="s">
        <v>7250</v>
      </c>
      <c r="DB49" s="2" t="s">
        <v>7321</v>
      </c>
      <c r="DC49" s="2" t="s">
        <v>7321</v>
      </c>
      <c r="DD49" s="2" t="s">
        <v>7321</v>
      </c>
      <c r="DE49" s="2" t="s">
        <v>7250</v>
      </c>
      <c r="DF49" s="2" t="s">
        <v>7250</v>
      </c>
      <c r="DG49" s="2" t="s">
        <v>7321</v>
      </c>
      <c r="DH49" s="2" t="s">
        <v>7163</v>
      </c>
      <c r="DI49" s="2" t="s">
        <v>7163</v>
      </c>
      <c r="DL49" s="2" t="s">
        <v>7142</v>
      </c>
      <c r="DM49" s="2" t="s">
        <v>7142</v>
      </c>
      <c r="DN49" s="11" t="s">
        <v>7142</v>
      </c>
      <c r="DO49" s="11" t="s">
        <v>7142</v>
      </c>
      <c r="DP49" s="11" t="s">
        <v>7165</v>
      </c>
      <c r="DQ49" s="2" t="s">
        <v>7166</v>
      </c>
      <c r="DT49" s="2" t="s">
        <v>7165</v>
      </c>
      <c r="DU49" s="2" t="s">
        <v>7165</v>
      </c>
      <c r="DV49" s="2" t="s">
        <v>7165</v>
      </c>
      <c r="DW49" s="2" t="s">
        <v>7165</v>
      </c>
      <c r="DX49" s="2" t="s">
        <v>7165</v>
      </c>
      <c r="DY49" s="2" t="s">
        <v>7165</v>
      </c>
      <c r="DZ49" s="2" t="s">
        <v>7159</v>
      </c>
      <c r="EA49" s="2" t="s">
        <v>7159</v>
      </c>
      <c r="EB49" s="2" t="s">
        <v>7165</v>
      </c>
      <c r="EF49" s="2" t="s">
        <v>7252</v>
      </c>
      <c r="EG49" s="2" t="s">
        <v>606</v>
      </c>
      <c r="EJ49" s="2" t="s">
        <v>7193</v>
      </c>
      <c r="EK49" s="2" t="s">
        <v>7142</v>
      </c>
      <c r="EL49" s="2" t="s">
        <v>7143</v>
      </c>
      <c r="EN49" s="2" t="s">
        <v>7170</v>
      </c>
      <c r="EP49" s="2" t="s">
        <v>7186</v>
      </c>
      <c r="ER49" s="18" t="s">
        <v>7142</v>
      </c>
      <c r="ET49" s="2" t="s">
        <v>7143</v>
      </c>
      <c r="EV49" s="2" t="s">
        <v>7142</v>
      </c>
      <c r="EW49" s="2" t="s">
        <v>7171</v>
      </c>
      <c r="EX49" s="2" t="s">
        <v>7143</v>
      </c>
      <c r="EZ49" s="2" t="s">
        <v>7143</v>
      </c>
      <c r="FC49" s="2" t="s">
        <v>7218</v>
      </c>
      <c r="FD49" s="2" t="s">
        <v>7143</v>
      </c>
      <c r="FH49" s="2" t="s">
        <v>7173</v>
      </c>
      <c r="FJ49" s="2" t="s">
        <v>7143</v>
      </c>
      <c r="FK49" s="2" t="s">
        <v>7173</v>
      </c>
      <c r="FN49" s="2" t="s">
        <v>7344</v>
      </c>
      <c r="FR49" s="2" t="s">
        <v>607</v>
      </c>
      <c r="FT49" s="2" t="s">
        <v>7345</v>
      </c>
      <c r="FU49" s="2" t="s">
        <v>7189</v>
      </c>
      <c r="FV49" s="2" t="s">
        <v>7189</v>
      </c>
      <c r="FW49" s="2" t="s">
        <v>7189</v>
      </c>
      <c r="FZ49" s="19" t="s">
        <v>7398</v>
      </c>
    </row>
    <row r="50" spans="1:182">
      <c r="A50" s="7" t="s">
        <v>608</v>
      </c>
      <c r="D50" s="15">
        <v>46030.574201388888</v>
      </c>
      <c r="E50" s="7" t="s">
        <v>609</v>
      </c>
      <c r="F50" s="7" t="s">
        <v>7339</v>
      </c>
      <c r="G50" s="7" t="s">
        <v>7135</v>
      </c>
      <c r="H50" s="7" t="s">
        <v>481</v>
      </c>
      <c r="I50" s="7" t="s">
        <v>386</v>
      </c>
      <c r="J50" s="16" t="s">
        <v>7399</v>
      </c>
      <c r="K50" s="7" t="s">
        <v>610</v>
      </c>
      <c r="L50" s="2" t="s">
        <v>7137</v>
      </c>
      <c r="M50" s="7" t="s">
        <v>7179</v>
      </c>
      <c r="N50" s="7">
        <v>1991</v>
      </c>
      <c r="O50" s="7" t="s">
        <v>7139</v>
      </c>
      <c r="P50" s="2" t="s">
        <v>7181</v>
      </c>
      <c r="Q50" s="2" t="s">
        <v>7141</v>
      </c>
      <c r="R50" s="2" t="s">
        <v>7143</v>
      </c>
      <c r="S50" s="2">
        <v>16</v>
      </c>
      <c r="T50" s="2" t="s">
        <v>7143</v>
      </c>
      <c r="U50" s="2" t="s">
        <v>7143</v>
      </c>
      <c r="Y50" s="2">
        <v>356</v>
      </c>
      <c r="Z50" s="17">
        <v>1</v>
      </c>
      <c r="AA50" s="2">
        <v>356</v>
      </c>
      <c r="AB50" s="2">
        <v>355</v>
      </c>
      <c r="AC50" s="7">
        <v>356</v>
      </c>
      <c r="AD50" s="2">
        <v>436</v>
      </c>
      <c r="AE50" s="2">
        <v>80</v>
      </c>
      <c r="AF50" s="2" t="s">
        <v>7143</v>
      </c>
      <c r="AG50" s="2" t="s">
        <v>7143</v>
      </c>
      <c r="AH50" s="2" t="s">
        <v>7143</v>
      </c>
      <c r="AJ50" s="2" t="s">
        <v>7143</v>
      </c>
      <c r="AK50" s="2" t="s">
        <v>7143</v>
      </c>
      <c r="AL50" s="2" t="s">
        <v>7143</v>
      </c>
      <c r="AM50" s="2" t="s">
        <v>7143</v>
      </c>
      <c r="AN50" s="2" t="s">
        <v>7143</v>
      </c>
      <c r="AO50" s="2" t="s">
        <v>7143</v>
      </c>
      <c r="AR50" s="7">
        <v>1.2</v>
      </c>
      <c r="AS50" s="7">
        <v>3</v>
      </c>
      <c r="AT50" s="7">
        <v>5.4</v>
      </c>
      <c r="AU50" s="2" t="s">
        <v>7193</v>
      </c>
      <c r="AV50" s="2" t="s">
        <v>7193</v>
      </c>
      <c r="AW50" s="2" t="s">
        <v>7143</v>
      </c>
      <c r="AZ50" s="2" t="s">
        <v>7286</v>
      </c>
      <c r="BB50" s="2" t="s">
        <v>7146</v>
      </c>
      <c r="BC50" s="2" t="s">
        <v>7147</v>
      </c>
      <c r="BD50" s="2" t="s">
        <v>7143</v>
      </c>
      <c r="BE50" s="2" t="s">
        <v>7142</v>
      </c>
      <c r="BF50" s="2" t="s">
        <v>7148</v>
      </c>
      <c r="BG50" s="2" t="s">
        <v>7149</v>
      </c>
      <c r="BH50" s="2" t="s">
        <v>7150</v>
      </c>
      <c r="BI50" s="2" t="s">
        <v>7151</v>
      </c>
      <c r="BL50" s="2" t="s">
        <v>7152</v>
      </c>
      <c r="BM50" s="2" t="s">
        <v>7153</v>
      </c>
      <c r="BN50" s="2" t="s">
        <v>7154</v>
      </c>
      <c r="BO50" s="2" t="s">
        <v>7155</v>
      </c>
      <c r="BQ50" s="2" t="s">
        <v>7183</v>
      </c>
      <c r="BS50" s="2" t="s">
        <v>7142</v>
      </c>
      <c r="BT50" s="2" t="s">
        <v>7400</v>
      </c>
      <c r="BV50" s="2" t="s">
        <v>7348</v>
      </c>
      <c r="BX50" s="2" t="s">
        <v>7142</v>
      </c>
      <c r="BY50" s="2" t="s">
        <v>612</v>
      </c>
      <c r="BZ50" s="2" t="s">
        <v>7165</v>
      </c>
      <c r="CA50" s="2" t="s">
        <v>7401</v>
      </c>
      <c r="CE50" s="7">
        <v>5.4</v>
      </c>
      <c r="CF50" s="2">
        <v>436</v>
      </c>
      <c r="CK50" s="2">
        <v>100</v>
      </c>
      <c r="CO50" s="2">
        <v>100</v>
      </c>
      <c r="CR50" s="2" t="s">
        <v>7160</v>
      </c>
      <c r="CT50" s="2" t="s">
        <v>7143</v>
      </c>
      <c r="CU50" s="2" t="s">
        <v>7161</v>
      </c>
      <c r="CW50" s="2" t="s">
        <v>7162</v>
      </c>
      <c r="CY50" s="2" t="s">
        <v>7227</v>
      </c>
      <c r="CZ50" s="2" t="s">
        <v>7227</v>
      </c>
      <c r="DA50" s="2" t="s">
        <v>7249</v>
      </c>
      <c r="DB50" s="2" t="s">
        <v>7250</v>
      </c>
      <c r="DC50" s="2" t="s">
        <v>7249</v>
      </c>
      <c r="DD50" s="2" t="s">
        <v>7250</v>
      </c>
      <c r="DE50" s="2" t="s">
        <v>7250</v>
      </c>
      <c r="DF50" s="2" t="s">
        <v>7249</v>
      </c>
      <c r="DG50" s="2" t="s">
        <v>7227</v>
      </c>
      <c r="DH50" s="2" t="s">
        <v>7227</v>
      </c>
      <c r="DI50" s="2" t="s">
        <v>7227</v>
      </c>
      <c r="DL50" s="2" t="s">
        <v>7142</v>
      </c>
      <c r="DM50" s="2" t="s">
        <v>7142</v>
      </c>
      <c r="DN50" s="2" t="s">
        <v>7142</v>
      </c>
      <c r="DO50" s="2" t="s">
        <v>7142</v>
      </c>
      <c r="DP50" s="2" t="s">
        <v>7165</v>
      </c>
      <c r="DQ50" s="2" t="s">
        <v>7333</v>
      </c>
      <c r="DR50" s="2" t="s">
        <v>614</v>
      </c>
      <c r="DT50" s="2" t="s">
        <v>7165</v>
      </c>
      <c r="DU50" s="2" t="s">
        <v>7165</v>
      </c>
      <c r="DV50" s="2" t="s">
        <v>7159</v>
      </c>
      <c r="DW50" s="2" t="s">
        <v>7165</v>
      </c>
      <c r="DX50" s="2" t="s">
        <v>7165</v>
      </c>
      <c r="DY50" s="2" t="s">
        <v>7159</v>
      </c>
      <c r="DZ50" s="2" t="s">
        <v>7159</v>
      </c>
      <c r="EA50" s="2" t="s">
        <v>7165</v>
      </c>
      <c r="EB50" s="2" t="s">
        <v>7165</v>
      </c>
      <c r="EC50" s="2" t="s">
        <v>7159</v>
      </c>
      <c r="ED50" s="2" t="s">
        <v>7159</v>
      </c>
      <c r="EF50" s="2" t="s">
        <v>7221</v>
      </c>
      <c r="EG50" s="2" t="s">
        <v>615</v>
      </c>
      <c r="EJ50" s="2" t="s">
        <v>7193</v>
      </c>
      <c r="EK50" s="2" t="s">
        <v>7142</v>
      </c>
      <c r="EL50" s="2" t="s">
        <v>7143</v>
      </c>
      <c r="EN50" s="2" t="s">
        <v>7170</v>
      </c>
      <c r="EP50" s="2" t="s">
        <v>7186</v>
      </c>
      <c r="ER50" s="2" t="s">
        <v>7142</v>
      </c>
      <c r="ET50" s="2" t="s">
        <v>7143</v>
      </c>
      <c r="EV50" s="2" t="s">
        <v>7142</v>
      </c>
      <c r="EW50" s="2" t="s">
        <v>7171</v>
      </c>
      <c r="EX50" s="2" t="s">
        <v>7143</v>
      </c>
      <c r="EZ50" s="2" t="s">
        <v>7143</v>
      </c>
      <c r="FC50" s="2" t="s">
        <v>7218</v>
      </c>
      <c r="FD50" s="2" t="s">
        <v>7143</v>
      </c>
      <c r="FH50" s="2" t="s">
        <v>7173</v>
      </c>
      <c r="FJ50" s="2" t="s">
        <v>7143</v>
      </c>
      <c r="FK50" s="2" t="s">
        <v>7165</v>
      </c>
      <c r="FL50" s="2" t="s">
        <v>7402</v>
      </c>
      <c r="FM50" s="2" t="s">
        <v>617</v>
      </c>
      <c r="FN50" s="2" t="s">
        <v>7344</v>
      </c>
      <c r="FR50" s="2" t="s">
        <v>618</v>
      </c>
      <c r="FT50" s="2" t="s">
        <v>7189</v>
      </c>
      <c r="FU50" s="2" t="s">
        <v>7189</v>
      </c>
      <c r="FV50" s="2" t="s">
        <v>7189</v>
      </c>
      <c r="FW50" s="2" t="s">
        <v>7189</v>
      </c>
      <c r="FX50" s="2" t="s">
        <v>7189</v>
      </c>
      <c r="FY50" s="2" t="s">
        <v>619</v>
      </c>
      <c r="FZ50" s="19" t="s">
        <v>7403</v>
      </c>
    </row>
    <row r="51" spans="1:182">
      <c r="A51" s="7" t="s">
        <v>620</v>
      </c>
      <c r="D51" s="15">
        <v>46030.417881944442</v>
      </c>
      <c r="E51" s="7" t="s">
        <v>621</v>
      </c>
      <c r="F51" s="7" t="s">
        <v>7389</v>
      </c>
      <c r="G51" s="7" t="s">
        <v>7135</v>
      </c>
      <c r="H51" s="7" t="s">
        <v>591</v>
      </c>
      <c r="I51" s="7" t="s">
        <v>622</v>
      </c>
      <c r="J51" s="16" t="s">
        <v>7404</v>
      </c>
      <c r="K51" s="7" t="s">
        <v>622</v>
      </c>
      <c r="L51" s="2" t="s">
        <v>7137</v>
      </c>
      <c r="M51" s="7" t="s">
        <v>7138</v>
      </c>
      <c r="N51" s="7">
        <v>1965</v>
      </c>
      <c r="O51" s="7" t="s">
        <v>7139</v>
      </c>
      <c r="P51" s="2" t="s">
        <v>7140</v>
      </c>
      <c r="Q51" s="2" t="s">
        <v>7141</v>
      </c>
      <c r="R51" s="2" t="s">
        <v>7143</v>
      </c>
      <c r="S51" s="2">
        <v>40</v>
      </c>
      <c r="T51" s="2" t="s">
        <v>7143</v>
      </c>
      <c r="U51" s="2" t="s">
        <v>7143</v>
      </c>
      <c r="Y51" s="2">
        <v>150</v>
      </c>
      <c r="Z51" s="17">
        <v>1</v>
      </c>
      <c r="AA51" s="2">
        <v>150</v>
      </c>
      <c r="AB51" s="2">
        <v>150</v>
      </c>
      <c r="AC51" s="7">
        <v>150</v>
      </c>
      <c r="AD51" s="2">
        <v>220</v>
      </c>
      <c r="AE51" s="2">
        <v>70</v>
      </c>
      <c r="AF51" s="2" t="s">
        <v>7143</v>
      </c>
      <c r="AG51" s="2" t="s">
        <v>7143</v>
      </c>
      <c r="AH51" s="2" t="s">
        <v>7143</v>
      </c>
      <c r="AJ51" s="2" t="s">
        <v>7143</v>
      </c>
      <c r="AK51" s="2" t="s">
        <v>7143</v>
      </c>
      <c r="AL51" s="2" t="s">
        <v>7143</v>
      </c>
      <c r="AM51" s="2" t="s">
        <v>7143</v>
      </c>
      <c r="AN51" s="2" t="s">
        <v>7143</v>
      </c>
      <c r="AO51" s="2" t="s">
        <v>7143</v>
      </c>
      <c r="AR51" s="7">
        <v>2</v>
      </c>
      <c r="AS51" s="7">
        <v>3</v>
      </c>
      <c r="AT51" s="7">
        <v>2.2000000000000002</v>
      </c>
      <c r="AU51" s="2" t="s">
        <v>7217</v>
      </c>
      <c r="AV51" s="2" t="s">
        <v>7193</v>
      </c>
      <c r="AW51" s="2" t="s">
        <v>7143</v>
      </c>
      <c r="AZ51" s="2" t="s">
        <v>7145</v>
      </c>
      <c r="BB51" s="2" t="s">
        <v>7214</v>
      </c>
      <c r="BC51" s="2" t="s">
        <v>7208</v>
      </c>
      <c r="BD51" s="2" t="s">
        <v>7143</v>
      </c>
      <c r="BE51" s="2" t="s">
        <v>7142</v>
      </c>
      <c r="BF51" s="2" t="s">
        <v>7148</v>
      </c>
      <c r="BG51" s="2" t="s">
        <v>7149</v>
      </c>
      <c r="BH51" s="2" t="s">
        <v>7233</v>
      </c>
      <c r="BI51" s="2" t="s">
        <v>7151</v>
      </c>
      <c r="BL51" s="2" t="s">
        <v>7195</v>
      </c>
      <c r="BO51" s="2" t="s">
        <v>7155</v>
      </c>
      <c r="BQ51" s="2" t="s">
        <v>7183</v>
      </c>
      <c r="BS51" s="2" t="s">
        <v>7143</v>
      </c>
      <c r="BT51" s="2" t="s">
        <v>7263</v>
      </c>
      <c r="BV51" s="2" t="s">
        <v>7197</v>
      </c>
      <c r="BX51" s="2" t="s">
        <v>7143</v>
      </c>
      <c r="BZ51" s="2" t="s">
        <v>7173</v>
      </c>
      <c r="CE51" s="7">
        <v>2.2000000000000002</v>
      </c>
      <c r="CF51" s="2">
        <v>200</v>
      </c>
      <c r="CK51" s="2">
        <v>70</v>
      </c>
      <c r="CM51" s="2">
        <v>30</v>
      </c>
      <c r="CP51" s="2">
        <v>100</v>
      </c>
      <c r="CR51" s="2" t="s">
        <v>7160</v>
      </c>
      <c r="CT51" s="2" t="s">
        <v>7143</v>
      </c>
      <c r="CU51" s="2" t="s">
        <v>7161</v>
      </c>
      <c r="CW51" s="2" t="s">
        <v>7162</v>
      </c>
      <c r="CY51" s="2" t="s">
        <v>7163</v>
      </c>
      <c r="CZ51" s="2" t="s">
        <v>7250</v>
      </c>
      <c r="DA51" s="2" t="s">
        <v>7250</v>
      </c>
      <c r="DB51" s="2" t="s">
        <v>7250</v>
      </c>
      <c r="DC51" s="2" t="s">
        <v>7250</v>
      </c>
      <c r="DD51" s="2" t="s">
        <v>7250</v>
      </c>
      <c r="DE51" s="2" t="s">
        <v>7250</v>
      </c>
      <c r="DF51" s="2" t="s">
        <v>7250</v>
      </c>
      <c r="DG51" s="2" t="s">
        <v>7250</v>
      </c>
      <c r="DH51" s="2" t="s">
        <v>7250</v>
      </c>
      <c r="DI51" s="2" t="s">
        <v>7250</v>
      </c>
      <c r="DL51" s="2" t="s">
        <v>7143</v>
      </c>
      <c r="DM51" s="2" t="s">
        <v>7143</v>
      </c>
      <c r="DP51" s="2" t="s">
        <v>7159</v>
      </c>
      <c r="DT51" s="2" t="s">
        <v>7165</v>
      </c>
      <c r="DU51" s="2" t="s">
        <v>7165</v>
      </c>
      <c r="DV51" s="2" t="s">
        <v>7165</v>
      </c>
      <c r="DW51" s="2" t="s">
        <v>7159</v>
      </c>
      <c r="DX51" s="2" t="s">
        <v>7165</v>
      </c>
      <c r="DY51" s="2" t="s">
        <v>7165</v>
      </c>
      <c r="DZ51" s="2" t="s">
        <v>7159</v>
      </c>
      <c r="EA51" s="2" t="s">
        <v>7159</v>
      </c>
      <c r="EB51" s="2" t="s">
        <v>7159</v>
      </c>
      <c r="EC51" s="2" t="s">
        <v>7159</v>
      </c>
      <c r="EF51" s="2" t="s">
        <v>7221</v>
      </c>
      <c r="EG51" s="2" t="s">
        <v>623</v>
      </c>
      <c r="EJ51" s="2" t="s">
        <v>7217</v>
      </c>
      <c r="EK51" s="2" t="s">
        <v>7143</v>
      </c>
      <c r="EL51" s="2" t="s">
        <v>7143</v>
      </c>
      <c r="EN51" s="2" t="s">
        <v>7210</v>
      </c>
      <c r="EP51" s="2" t="s">
        <v>7186</v>
      </c>
      <c r="ER51" s="2" t="s">
        <v>7143</v>
      </c>
      <c r="ET51" s="2" t="s">
        <v>7143</v>
      </c>
      <c r="EV51" s="2" t="s">
        <v>7143</v>
      </c>
      <c r="EX51" s="2" t="s">
        <v>7143</v>
      </c>
      <c r="EZ51" s="2" t="s">
        <v>7143</v>
      </c>
      <c r="FC51" s="2" t="s">
        <v>7172</v>
      </c>
      <c r="FD51" s="2" t="s">
        <v>7143</v>
      </c>
      <c r="FH51" s="2" t="s">
        <v>7173</v>
      </c>
      <c r="FJ51" s="2" t="s">
        <v>7142</v>
      </c>
      <c r="FK51" s="2" t="s">
        <v>7173</v>
      </c>
      <c r="FN51" s="2" t="s">
        <v>7243</v>
      </c>
      <c r="FO51" s="2" t="s">
        <v>624</v>
      </c>
      <c r="FR51" s="2" t="s">
        <v>625</v>
      </c>
      <c r="FT51" s="2" t="s">
        <v>7189</v>
      </c>
      <c r="FU51" s="2" t="s">
        <v>7189</v>
      </c>
      <c r="FV51" s="2" t="s">
        <v>7189</v>
      </c>
      <c r="FW51" s="2" t="s">
        <v>7189</v>
      </c>
      <c r="FZ51" s="19" t="s">
        <v>7405</v>
      </c>
    </row>
    <row r="52" spans="1:182">
      <c r="A52" s="7" t="s">
        <v>626</v>
      </c>
      <c r="D52" s="15">
        <v>46030.377083333333</v>
      </c>
      <c r="E52" s="7" t="s">
        <v>627</v>
      </c>
      <c r="F52" s="7" t="s">
        <v>7389</v>
      </c>
      <c r="G52" s="7" t="s">
        <v>7135</v>
      </c>
      <c r="H52" s="7" t="s">
        <v>591</v>
      </c>
      <c r="I52" s="7" t="s">
        <v>628</v>
      </c>
      <c r="J52" s="16" t="s">
        <v>7406</v>
      </c>
      <c r="K52" s="7" t="s">
        <v>629</v>
      </c>
      <c r="L52" s="2" t="s">
        <v>7137</v>
      </c>
      <c r="M52" s="7" t="s">
        <v>7179</v>
      </c>
      <c r="N52" s="7">
        <v>1969</v>
      </c>
      <c r="O52" s="7" t="s">
        <v>7139</v>
      </c>
      <c r="P52" s="7" t="s">
        <v>7181</v>
      </c>
      <c r="Q52" s="7" t="s">
        <v>7225</v>
      </c>
      <c r="R52" s="2" t="s">
        <v>7143</v>
      </c>
      <c r="S52" s="2">
        <v>20</v>
      </c>
      <c r="T52" s="2" t="s">
        <v>7143</v>
      </c>
      <c r="U52" s="2" t="s">
        <v>7143</v>
      </c>
      <c r="Y52" s="2">
        <v>230</v>
      </c>
      <c r="Z52" s="17">
        <v>1</v>
      </c>
      <c r="AA52" s="2">
        <v>230</v>
      </c>
      <c r="AB52" s="18">
        <v>230</v>
      </c>
      <c r="AC52" s="18">
        <v>230</v>
      </c>
      <c r="AD52" s="18">
        <v>300</v>
      </c>
      <c r="AE52" s="18">
        <v>70</v>
      </c>
      <c r="AF52" s="18" t="s">
        <v>7143</v>
      </c>
      <c r="AG52" s="18" t="s">
        <v>7143</v>
      </c>
      <c r="AH52" s="18" t="s">
        <v>7143</v>
      </c>
      <c r="AI52" s="18"/>
      <c r="AJ52" s="18" t="s">
        <v>7143</v>
      </c>
      <c r="AK52" s="18" t="s">
        <v>7143</v>
      </c>
      <c r="AL52" s="18" t="s">
        <v>7143</v>
      </c>
      <c r="AM52" s="18" t="s">
        <v>7143</v>
      </c>
      <c r="AN52" s="18" t="s">
        <v>7143</v>
      </c>
      <c r="AO52" s="18" t="s">
        <v>7143</v>
      </c>
      <c r="AR52" s="11">
        <v>1.3</v>
      </c>
      <c r="AS52" s="11">
        <v>2</v>
      </c>
      <c r="AT52" s="7">
        <v>3</v>
      </c>
      <c r="AU52" s="2" t="s">
        <v>7217</v>
      </c>
      <c r="AV52" s="2" t="s">
        <v>7193</v>
      </c>
      <c r="AW52" s="2" t="s">
        <v>7143</v>
      </c>
      <c r="AZ52" s="2" t="s">
        <v>7337</v>
      </c>
      <c r="BB52" s="2" t="s">
        <v>7214</v>
      </c>
      <c r="BC52" s="2" t="s">
        <v>7247</v>
      </c>
      <c r="BD52" s="2" t="s">
        <v>7143</v>
      </c>
      <c r="BE52" s="11" t="s">
        <v>7142</v>
      </c>
      <c r="BF52" s="2" t="s">
        <v>7148</v>
      </c>
      <c r="BG52" s="2" t="s">
        <v>7232</v>
      </c>
      <c r="BH52" s="2" t="s">
        <v>7233</v>
      </c>
      <c r="BI52" s="2" t="s">
        <v>7151</v>
      </c>
      <c r="BL52" s="2" t="s">
        <v>7195</v>
      </c>
      <c r="BO52" s="2" t="s">
        <v>7155</v>
      </c>
      <c r="BQ52" s="2" t="s">
        <v>7183</v>
      </c>
      <c r="BS52" s="2" t="s">
        <v>7143</v>
      </c>
      <c r="BT52" s="2" t="s">
        <v>7362</v>
      </c>
      <c r="BV52" s="2" t="s">
        <v>7407</v>
      </c>
      <c r="BX52" s="2" t="s">
        <v>7142</v>
      </c>
      <c r="BY52" s="2" t="s">
        <v>631</v>
      </c>
      <c r="BZ52" s="2" t="s">
        <v>7159</v>
      </c>
      <c r="CE52" s="7">
        <v>3</v>
      </c>
      <c r="CF52" s="2">
        <v>300</v>
      </c>
      <c r="CK52" s="2">
        <v>100</v>
      </c>
      <c r="CO52" s="2">
        <v>100</v>
      </c>
      <c r="CR52" s="2" t="s">
        <v>7160</v>
      </c>
      <c r="CT52" s="2" t="s">
        <v>7143</v>
      </c>
      <c r="CU52" s="2" t="s">
        <v>7161</v>
      </c>
      <c r="CW52" s="2" t="s">
        <v>7162</v>
      </c>
      <c r="CY52" s="2" t="s">
        <v>7163</v>
      </c>
      <c r="CZ52" s="2" t="s">
        <v>7250</v>
      </c>
      <c r="DA52" s="2" t="s">
        <v>7250</v>
      </c>
      <c r="DB52" s="2" t="s">
        <v>7250</v>
      </c>
      <c r="DC52" s="2" t="s">
        <v>7321</v>
      </c>
      <c r="DD52" s="2" t="s">
        <v>7250</v>
      </c>
      <c r="DE52" s="2" t="s">
        <v>7250</v>
      </c>
      <c r="DF52" s="2" t="s">
        <v>7250</v>
      </c>
      <c r="DG52" s="2" t="s">
        <v>7250</v>
      </c>
      <c r="DH52" s="2" t="s">
        <v>7250</v>
      </c>
      <c r="DI52" s="2" t="s">
        <v>7250</v>
      </c>
      <c r="DL52" s="2" t="s">
        <v>7143</v>
      </c>
      <c r="DM52" s="2" t="s">
        <v>7143</v>
      </c>
      <c r="DN52" s="11"/>
      <c r="DO52" s="11"/>
      <c r="DP52" s="11" t="s">
        <v>7173</v>
      </c>
      <c r="DT52" s="2" t="s">
        <v>7159</v>
      </c>
      <c r="DU52" s="2" t="s">
        <v>7159</v>
      </c>
      <c r="DV52" s="2" t="s">
        <v>7159</v>
      </c>
      <c r="DW52" s="2" t="s">
        <v>7159</v>
      </c>
      <c r="DX52" s="2" t="s">
        <v>7159</v>
      </c>
      <c r="DY52" s="2" t="s">
        <v>7159</v>
      </c>
      <c r="DZ52" s="2" t="s">
        <v>7159</v>
      </c>
      <c r="EA52" s="2" t="s">
        <v>7159</v>
      </c>
      <c r="EB52" s="2" t="s">
        <v>7159</v>
      </c>
      <c r="EC52" s="2" t="s">
        <v>7159</v>
      </c>
      <c r="EF52" s="2" t="s">
        <v>7349</v>
      </c>
      <c r="EG52" s="2" t="s">
        <v>632</v>
      </c>
      <c r="EJ52" s="2" t="s">
        <v>7217</v>
      </c>
      <c r="EK52" s="2" t="s">
        <v>7143</v>
      </c>
      <c r="EL52" s="2" t="s">
        <v>7143</v>
      </c>
      <c r="EN52" s="2" t="s">
        <v>7210</v>
      </c>
      <c r="EP52" s="2" t="s">
        <v>7186</v>
      </c>
      <c r="ER52" s="2" t="s">
        <v>7143</v>
      </c>
      <c r="ET52" s="2" t="s">
        <v>7143</v>
      </c>
      <c r="EV52" s="2" t="s">
        <v>7143</v>
      </c>
      <c r="EX52" s="2" t="s">
        <v>7143</v>
      </c>
      <c r="EZ52" s="2" t="s">
        <v>7143</v>
      </c>
      <c r="FC52" s="2" t="s">
        <v>7172</v>
      </c>
      <c r="FD52" s="2" t="s">
        <v>7143</v>
      </c>
      <c r="FH52" s="2" t="s">
        <v>7173</v>
      </c>
      <c r="FJ52" s="2" t="s">
        <v>7143</v>
      </c>
      <c r="FK52" s="2" t="s">
        <v>7173</v>
      </c>
      <c r="FN52" s="2" t="s">
        <v>7322</v>
      </c>
      <c r="FR52" s="2" t="s">
        <v>633</v>
      </c>
      <c r="FT52" s="2" t="s">
        <v>7176</v>
      </c>
      <c r="FU52" s="2" t="s">
        <v>7176</v>
      </c>
      <c r="FV52" s="2" t="s">
        <v>7189</v>
      </c>
      <c r="FW52" s="2" t="s">
        <v>7189</v>
      </c>
      <c r="FZ52" s="19" t="s">
        <v>7408</v>
      </c>
    </row>
    <row r="53" spans="1:182">
      <c r="A53" s="7" t="s">
        <v>634</v>
      </c>
      <c r="D53" s="15">
        <v>46030.444513888891</v>
      </c>
      <c r="E53" s="7" t="s">
        <v>635</v>
      </c>
      <c r="F53" s="7" t="s">
        <v>7389</v>
      </c>
      <c r="G53" s="7" t="s">
        <v>7135</v>
      </c>
      <c r="H53" s="7" t="s">
        <v>591</v>
      </c>
      <c r="I53" s="7" t="s">
        <v>636</v>
      </c>
      <c r="J53" s="16" t="s">
        <v>7409</v>
      </c>
      <c r="K53" s="7" t="s">
        <v>637</v>
      </c>
      <c r="L53" s="2" t="s">
        <v>7137</v>
      </c>
      <c r="M53" s="7" t="s">
        <v>7179</v>
      </c>
      <c r="N53" s="7">
        <v>1974</v>
      </c>
      <c r="O53" s="7" t="s">
        <v>7139</v>
      </c>
      <c r="P53" s="2" t="s">
        <v>7181</v>
      </c>
      <c r="Q53" s="2" t="s">
        <v>7395</v>
      </c>
      <c r="R53" s="2" t="s">
        <v>7143</v>
      </c>
      <c r="S53" s="2">
        <v>13</v>
      </c>
      <c r="T53" s="2" t="s">
        <v>7143</v>
      </c>
      <c r="U53" s="2" t="s">
        <v>7143</v>
      </c>
      <c r="Y53" s="2">
        <v>152</v>
      </c>
      <c r="Z53" s="17">
        <v>1</v>
      </c>
      <c r="AA53" s="2">
        <v>152</v>
      </c>
      <c r="AB53" s="2">
        <v>152</v>
      </c>
      <c r="AC53" s="7">
        <v>152</v>
      </c>
      <c r="AD53" s="2">
        <v>242</v>
      </c>
      <c r="AE53" s="2">
        <v>90</v>
      </c>
      <c r="AF53" s="2" t="s">
        <v>7143</v>
      </c>
      <c r="AG53" s="2" t="s">
        <v>7143</v>
      </c>
      <c r="AH53" s="2" t="s">
        <v>7143</v>
      </c>
      <c r="AJ53" s="2" t="s">
        <v>7143</v>
      </c>
      <c r="AK53" s="2" t="s">
        <v>7143</v>
      </c>
      <c r="AL53" s="2" t="s">
        <v>7143</v>
      </c>
      <c r="AM53" s="2" t="s">
        <v>7143</v>
      </c>
      <c r="AN53" s="2" t="s">
        <v>7143</v>
      </c>
      <c r="AO53" s="2" t="s">
        <v>7143</v>
      </c>
      <c r="AR53" s="7">
        <v>0.7</v>
      </c>
      <c r="AS53" s="7">
        <v>1</v>
      </c>
      <c r="AT53" s="7">
        <v>2.2000000000000002</v>
      </c>
      <c r="AU53" s="2" t="s">
        <v>7217</v>
      </c>
      <c r="AV53" s="2" t="s">
        <v>7217</v>
      </c>
      <c r="AW53" s="2" t="s">
        <v>7143</v>
      </c>
      <c r="AZ53" s="2" t="s">
        <v>7145</v>
      </c>
      <c r="BB53" s="2" t="s">
        <v>7214</v>
      </c>
      <c r="BC53" s="2" t="s">
        <v>7208</v>
      </c>
      <c r="BD53" s="2" t="s">
        <v>7143</v>
      </c>
      <c r="BE53" s="2" t="s">
        <v>7142</v>
      </c>
      <c r="BF53" s="2" t="s">
        <v>7148</v>
      </c>
      <c r="BG53" s="2" t="s">
        <v>7149</v>
      </c>
      <c r="BH53" s="2" t="s">
        <v>7150</v>
      </c>
      <c r="BI53" s="2" t="s">
        <v>7326</v>
      </c>
      <c r="BL53" s="2" t="s">
        <v>7195</v>
      </c>
      <c r="BO53" s="2" t="s">
        <v>7274</v>
      </c>
      <c r="BP53" s="2" t="s">
        <v>7270</v>
      </c>
      <c r="BS53" s="2" t="s">
        <v>7143</v>
      </c>
      <c r="BT53" s="2" t="s">
        <v>7157</v>
      </c>
      <c r="BV53" s="2" t="s">
        <v>7184</v>
      </c>
      <c r="BX53" s="2" t="s">
        <v>7143</v>
      </c>
      <c r="BZ53" s="2" t="s">
        <v>7159</v>
      </c>
      <c r="CE53" s="7">
        <v>2.2000000000000002</v>
      </c>
      <c r="CF53" s="2">
        <v>242</v>
      </c>
      <c r="CK53" s="2">
        <v>100</v>
      </c>
      <c r="CO53" s="2">
        <v>100</v>
      </c>
      <c r="CR53" s="2" t="s">
        <v>7160</v>
      </c>
      <c r="CT53" s="2" t="s">
        <v>7143</v>
      </c>
      <c r="CU53" s="2" t="s">
        <v>7161</v>
      </c>
      <c r="CW53" s="2" t="s">
        <v>7162</v>
      </c>
      <c r="CY53" s="2" t="s">
        <v>7163</v>
      </c>
      <c r="CZ53" s="2" t="s">
        <v>7321</v>
      </c>
      <c r="DA53" s="2" t="s">
        <v>7321</v>
      </c>
      <c r="DB53" s="2" t="s">
        <v>7250</v>
      </c>
      <c r="DC53" s="2" t="s">
        <v>7250</v>
      </c>
      <c r="DD53" s="2" t="s">
        <v>7250</v>
      </c>
      <c r="DE53" s="2" t="s">
        <v>7250</v>
      </c>
      <c r="DF53" s="2" t="s">
        <v>7250</v>
      </c>
      <c r="DG53" s="2" t="s">
        <v>7321</v>
      </c>
      <c r="DH53" s="2" t="s">
        <v>7321</v>
      </c>
      <c r="DI53" s="2" t="s">
        <v>7321</v>
      </c>
      <c r="DL53" s="2" t="s">
        <v>7142</v>
      </c>
      <c r="DM53" s="2" t="s">
        <v>7142</v>
      </c>
      <c r="DN53" s="2" t="s">
        <v>7143</v>
      </c>
      <c r="DO53" s="2" t="s">
        <v>7142</v>
      </c>
      <c r="DP53" s="2" t="s">
        <v>7173</v>
      </c>
      <c r="DT53" s="2" t="s">
        <v>7165</v>
      </c>
      <c r="DU53" s="2" t="s">
        <v>7159</v>
      </c>
      <c r="DV53" s="2" t="s">
        <v>7165</v>
      </c>
      <c r="DW53" s="2" t="s">
        <v>7159</v>
      </c>
      <c r="DX53" s="2" t="s">
        <v>7165</v>
      </c>
      <c r="DY53" s="2" t="s">
        <v>7159</v>
      </c>
      <c r="DZ53" s="2" t="s">
        <v>7159</v>
      </c>
      <c r="EA53" s="2" t="s">
        <v>7159</v>
      </c>
      <c r="EB53" s="2" t="s">
        <v>7165</v>
      </c>
      <c r="EC53" s="2" t="s">
        <v>7173</v>
      </c>
      <c r="EF53" s="2" t="s">
        <v>7221</v>
      </c>
      <c r="EG53" s="2" t="s">
        <v>421</v>
      </c>
      <c r="EJ53" s="2" t="s">
        <v>7217</v>
      </c>
      <c r="EK53" s="2" t="s">
        <v>7143</v>
      </c>
      <c r="EL53" s="2" t="s">
        <v>7143</v>
      </c>
      <c r="EN53" s="2" t="s">
        <v>7210</v>
      </c>
      <c r="EP53" s="2" t="s">
        <v>7186</v>
      </c>
      <c r="ER53" s="2" t="s">
        <v>7143</v>
      </c>
      <c r="ET53" s="2" t="s">
        <v>7143</v>
      </c>
      <c r="EV53" s="2" t="s">
        <v>7143</v>
      </c>
      <c r="EX53" s="2" t="s">
        <v>7143</v>
      </c>
      <c r="EZ53" s="2" t="s">
        <v>7143</v>
      </c>
      <c r="FC53" s="2" t="s">
        <v>7172</v>
      </c>
      <c r="FD53" s="2" t="s">
        <v>7143</v>
      </c>
      <c r="FH53" s="2" t="s">
        <v>7173</v>
      </c>
      <c r="FJ53" s="2" t="s">
        <v>7143</v>
      </c>
      <c r="FK53" s="2" t="s">
        <v>7159</v>
      </c>
      <c r="FN53" s="2" t="s">
        <v>7243</v>
      </c>
      <c r="FO53" s="2" t="s">
        <v>203</v>
      </c>
      <c r="FR53" s="2" t="s">
        <v>638</v>
      </c>
      <c r="FT53" s="2" t="s">
        <v>7189</v>
      </c>
      <c r="FU53" s="2" t="s">
        <v>7189</v>
      </c>
      <c r="FV53" s="2" t="s">
        <v>7189</v>
      </c>
      <c r="FW53" s="2" t="s">
        <v>7189</v>
      </c>
      <c r="FZ53" s="19" t="s">
        <v>7410</v>
      </c>
    </row>
    <row r="54" spans="1:182">
      <c r="A54" s="7" t="s">
        <v>639</v>
      </c>
      <c r="D54" s="15">
        <v>46030.667581018519</v>
      </c>
      <c r="E54" s="7" t="s">
        <v>640</v>
      </c>
      <c r="F54" s="7" t="s">
        <v>7389</v>
      </c>
      <c r="G54" s="7" t="s">
        <v>7135</v>
      </c>
      <c r="H54" s="7" t="s">
        <v>641</v>
      </c>
      <c r="I54" s="7" t="s">
        <v>642</v>
      </c>
      <c r="J54" s="16" t="s">
        <v>7411</v>
      </c>
      <c r="K54" s="7" t="s">
        <v>643</v>
      </c>
      <c r="L54" s="2" t="s">
        <v>7137</v>
      </c>
      <c r="M54" s="7" t="s">
        <v>7179</v>
      </c>
      <c r="N54" s="7">
        <v>1979</v>
      </c>
      <c r="O54" s="7" t="s">
        <v>7139</v>
      </c>
      <c r="P54" s="7" t="s">
        <v>7192</v>
      </c>
      <c r="Q54" s="2" t="s">
        <v>7182</v>
      </c>
      <c r="R54" s="2" t="s">
        <v>7143</v>
      </c>
      <c r="S54" s="2">
        <v>20</v>
      </c>
      <c r="T54" s="2" t="s">
        <v>7143</v>
      </c>
      <c r="U54" s="2" t="s">
        <v>7143</v>
      </c>
      <c r="Y54" s="2">
        <v>540</v>
      </c>
      <c r="Z54" s="17">
        <v>0.96299999999999997</v>
      </c>
      <c r="AA54" s="2">
        <v>520</v>
      </c>
      <c r="AB54" s="2">
        <v>520</v>
      </c>
      <c r="AC54" s="7">
        <v>520</v>
      </c>
      <c r="AD54" s="2">
        <v>720</v>
      </c>
      <c r="AE54" s="2">
        <v>200</v>
      </c>
      <c r="AF54" s="2" t="s">
        <v>7143</v>
      </c>
      <c r="AG54" s="2" t="s">
        <v>7142</v>
      </c>
      <c r="AH54" s="2" t="s">
        <v>7143</v>
      </c>
      <c r="AJ54" s="2" t="s">
        <v>7143</v>
      </c>
      <c r="AK54" s="2" t="s">
        <v>7143</v>
      </c>
      <c r="AL54" s="2" t="s">
        <v>7143</v>
      </c>
      <c r="AM54" s="2" t="s">
        <v>7143</v>
      </c>
      <c r="AN54" s="2" t="s">
        <v>7143</v>
      </c>
      <c r="AO54" s="2" t="s">
        <v>7143</v>
      </c>
      <c r="AR54" s="7">
        <v>1.55</v>
      </c>
      <c r="AS54" s="7">
        <v>4</v>
      </c>
      <c r="AT54" s="7">
        <v>6</v>
      </c>
      <c r="AU54" s="2" t="s">
        <v>7144</v>
      </c>
      <c r="AV54" s="2" t="s">
        <v>7144</v>
      </c>
      <c r="AW54" s="2" t="s">
        <v>7143</v>
      </c>
      <c r="AZ54" s="2" t="s">
        <v>7145</v>
      </c>
      <c r="BB54" s="2" t="s">
        <v>7214</v>
      </c>
      <c r="BC54" s="2" t="s">
        <v>7247</v>
      </c>
      <c r="BD54" s="2" t="s">
        <v>7142</v>
      </c>
      <c r="BE54" s="2" t="s">
        <v>7142</v>
      </c>
      <c r="BF54" s="2" t="s">
        <v>7148</v>
      </c>
      <c r="BG54" s="2" t="s">
        <v>7149</v>
      </c>
      <c r="BH54" s="2" t="s">
        <v>7150</v>
      </c>
      <c r="BI54" s="2" t="s">
        <v>7269</v>
      </c>
      <c r="BL54" s="2" t="s">
        <v>7152</v>
      </c>
      <c r="BM54" s="2" t="s">
        <v>7355</v>
      </c>
      <c r="BN54" s="2" t="s">
        <v>7154</v>
      </c>
      <c r="BO54" s="2" t="s">
        <v>7274</v>
      </c>
      <c r="BP54" s="2" t="s">
        <v>7270</v>
      </c>
      <c r="BS54" s="2" t="s">
        <v>7143</v>
      </c>
      <c r="BT54" s="2" t="s">
        <v>7412</v>
      </c>
      <c r="BV54" s="2" t="s">
        <v>7197</v>
      </c>
      <c r="BX54" s="2" t="s">
        <v>7143</v>
      </c>
      <c r="BZ54" s="2" t="s">
        <v>7159</v>
      </c>
      <c r="CE54" s="7">
        <v>6</v>
      </c>
      <c r="CF54" s="2">
        <v>720</v>
      </c>
      <c r="CK54" s="2">
        <v>100</v>
      </c>
      <c r="CO54" s="2">
        <v>100</v>
      </c>
      <c r="CR54" s="2" t="s">
        <v>7160</v>
      </c>
      <c r="CT54" s="2" t="s">
        <v>7142</v>
      </c>
      <c r="CU54" s="2" t="s">
        <v>7161</v>
      </c>
      <c r="CW54" s="2" t="s">
        <v>7162</v>
      </c>
      <c r="CY54" s="2" t="s">
        <v>7163</v>
      </c>
      <c r="CZ54" s="2" t="s">
        <v>7250</v>
      </c>
      <c r="DA54" s="2" t="s">
        <v>7250</v>
      </c>
      <c r="DB54" s="2" t="s">
        <v>7250</v>
      </c>
      <c r="DC54" s="2" t="s">
        <v>7321</v>
      </c>
      <c r="DD54" s="2" t="s">
        <v>7321</v>
      </c>
      <c r="DE54" s="2" t="s">
        <v>7250</v>
      </c>
      <c r="DF54" s="2" t="s">
        <v>7250</v>
      </c>
      <c r="DG54" s="2" t="s">
        <v>7250</v>
      </c>
      <c r="DH54" s="2" t="s">
        <v>7250</v>
      </c>
      <c r="DI54" s="2" t="s">
        <v>7321</v>
      </c>
      <c r="DL54" s="2" t="s">
        <v>7143</v>
      </c>
      <c r="DM54" s="2" t="s">
        <v>7143</v>
      </c>
      <c r="DP54" s="2" t="s">
        <v>7159</v>
      </c>
      <c r="DT54" s="2" t="s">
        <v>7165</v>
      </c>
      <c r="DU54" s="2" t="s">
        <v>7159</v>
      </c>
      <c r="DV54" s="2" t="s">
        <v>7165</v>
      </c>
      <c r="DW54" s="2" t="s">
        <v>7165</v>
      </c>
      <c r="DX54" s="2" t="s">
        <v>7165</v>
      </c>
      <c r="DY54" s="2" t="s">
        <v>7159</v>
      </c>
      <c r="DZ54" s="2" t="s">
        <v>7159</v>
      </c>
      <c r="EA54" s="2" t="s">
        <v>7159</v>
      </c>
      <c r="EB54" s="2" t="s">
        <v>7165</v>
      </c>
      <c r="EC54" s="2" t="s">
        <v>7173</v>
      </c>
      <c r="EF54" s="2" t="s">
        <v>7221</v>
      </c>
      <c r="EG54" s="2" t="s">
        <v>645</v>
      </c>
      <c r="EJ54" s="2" t="s">
        <v>7217</v>
      </c>
      <c r="EK54" s="2" t="s">
        <v>7143</v>
      </c>
      <c r="EL54" s="2" t="s">
        <v>7143</v>
      </c>
      <c r="EN54" s="2" t="s">
        <v>7210</v>
      </c>
      <c r="EP54" s="2" t="s">
        <v>7186</v>
      </c>
      <c r="ER54" s="2" t="s">
        <v>7143</v>
      </c>
      <c r="ET54" s="2" t="s">
        <v>7143</v>
      </c>
      <c r="EV54" s="2" t="s">
        <v>7143</v>
      </c>
      <c r="EX54" s="2" t="s">
        <v>7143</v>
      </c>
      <c r="EZ54" s="2" t="s">
        <v>7143</v>
      </c>
      <c r="FC54" s="2" t="s">
        <v>7218</v>
      </c>
      <c r="FD54" s="2" t="s">
        <v>7143</v>
      </c>
      <c r="FH54" s="2" t="s">
        <v>7173</v>
      </c>
      <c r="FJ54" s="2" t="s">
        <v>7142</v>
      </c>
      <c r="FK54" s="2" t="s">
        <v>7159</v>
      </c>
      <c r="FN54" s="2" t="s">
        <v>7413</v>
      </c>
      <c r="FR54" s="2" t="s">
        <v>647</v>
      </c>
      <c r="FT54" s="2" t="s">
        <v>7176</v>
      </c>
      <c r="FU54" s="2" t="s">
        <v>7176</v>
      </c>
      <c r="FV54" s="2" t="s">
        <v>7176</v>
      </c>
      <c r="FW54" s="2" t="s">
        <v>7189</v>
      </c>
      <c r="FZ54" s="19" t="s">
        <v>7414</v>
      </c>
    </row>
    <row r="55" spans="1:182">
      <c r="A55" s="7" t="s">
        <v>648</v>
      </c>
      <c r="D55" s="15">
        <v>46030.693576388891</v>
      </c>
      <c r="E55" s="7" t="s">
        <v>649</v>
      </c>
      <c r="F55" s="7" t="s">
        <v>7389</v>
      </c>
      <c r="G55" s="7" t="s">
        <v>7135</v>
      </c>
      <c r="H55" s="7" t="s">
        <v>641</v>
      </c>
      <c r="I55" s="7" t="s">
        <v>650</v>
      </c>
      <c r="J55" s="16" t="s">
        <v>7415</v>
      </c>
      <c r="K55" s="7" t="s">
        <v>643</v>
      </c>
      <c r="L55" s="2" t="s">
        <v>7137</v>
      </c>
      <c r="M55" s="7" t="s">
        <v>7179</v>
      </c>
      <c r="N55" s="7">
        <v>1968</v>
      </c>
      <c r="O55" s="2" t="s">
        <v>7139</v>
      </c>
      <c r="P55" s="2" t="s">
        <v>7181</v>
      </c>
      <c r="Q55" s="2" t="s">
        <v>7225</v>
      </c>
      <c r="R55" s="2" t="s">
        <v>7143</v>
      </c>
      <c r="S55" s="2">
        <v>30</v>
      </c>
      <c r="T55" s="2" t="s">
        <v>7143</v>
      </c>
      <c r="U55" s="2" t="s">
        <v>7142</v>
      </c>
      <c r="Y55" s="2">
        <v>405</v>
      </c>
      <c r="Z55" s="17">
        <v>0.96299999999999997</v>
      </c>
      <c r="AA55" s="2">
        <v>390</v>
      </c>
      <c r="AB55" s="2">
        <v>390</v>
      </c>
      <c r="AC55" s="7">
        <v>390</v>
      </c>
      <c r="AD55" s="2">
        <v>500</v>
      </c>
      <c r="AE55" s="2">
        <v>110</v>
      </c>
      <c r="AF55" s="2" t="s">
        <v>7143</v>
      </c>
      <c r="AG55" s="2" t="s">
        <v>7142</v>
      </c>
      <c r="AH55" s="2" t="s">
        <v>7143</v>
      </c>
      <c r="AJ55" s="2" t="s">
        <v>7143</v>
      </c>
      <c r="AK55" s="2" t="s">
        <v>7143</v>
      </c>
      <c r="AL55" s="2" t="s">
        <v>7143</v>
      </c>
      <c r="AM55" s="2" t="s">
        <v>7143</v>
      </c>
      <c r="AN55" s="2" t="s">
        <v>7143</v>
      </c>
      <c r="AO55" s="2" t="s">
        <v>7143</v>
      </c>
      <c r="AR55" s="7">
        <v>1</v>
      </c>
      <c r="AS55" s="7">
        <v>2</v>
      </c>
      <c r="AT55" s="7">
        <v>3.6</v>
      </c>
      <c r="AU55" s="2" t="s">
        <v>7144</v>
      </c>
      <c r="AV55" s="2" t="s">
        <v>7144</v>
      </c>
      <c r="AW55" s="2" t="s">
        <v>7143</v>
      </c>
      <c r="AZ55" s="2" t="s">
        <v>7145</v>
      </c>
      <c r="BB55" s="2" t="s">
        <v>7268</v>
      </c>
      <c r="BC55" s="2" t="s">
        <v>7247</v>
      </c>
      <c r="BD55" s="2" t="s">
        <v>7142</v>
      </c>
      <c r="BE55" s="2" t="s">
        <v>7142</v>
      </c>
      <c r="BF55" s="2" t="s">
        <v>7148</v>
      </c>
      <c r="BG55" s="2" t="s">
        <v>7149</v>
      </c>
      <c r="BH55" s="2" t="s">
        <v>7150</v>
      </c>
      <c r="BI55" s="2" t="s">
        <v>7269</v>
      </c>
      <c r="BL55" s="2" t="s">
        <v>7152</v>
      </c>
      <c r="BM55" s="2" t="s">
        <v>7355</v>
      </c>
      <c r="BN55" s="2" t="s">
        <v>7154</v>
      </c>
      <c r="BO55" s="2" t="s">
        <v>7155</v>
      </c>
      <c r="BQ55" s="2" t="s">
        <v>7183</v>
      </c>
      <c r="BS55" s="2" t="s">
        <v>7142</v>
      </c>
      <c r="BT55" s="2" t="s">
        <v>7416</v>
      </c>
      <c r="BV55" s="2" t="s">
        <v>7197</v>
      </c>
      <c r="BX55" s="2" t="s">
        <v>7142</v>
      </c>
      <c r="BY55" s="2" t="s">
        <v>652</v>
      </c>
      <c r="BZ55" s="2" t="s">
        <v>7159</v>
      </c>
      <c r="CE55" s="7">
        <v>3.6</v>
      </c>
      <c r="CF55" s="2">
        <v>500</v>
      </c>
      <c r="CM55" s="2">
        <v>100</v>
      </c>
      <c r="CO55" s="2">
        <v>100</v>
      </c>
      <c r="CR55" s="2" t="s">
        <v>7160</v>
      </c>
      <c r="CT55" s="2" t="s">
        <v>7143</v>
      </c>
      <c r="CU55" s="2" t="s">
        <v>7161</v>
      </c>
      <c r="CW55" s="2" t="s">
        <v>7162</v>
      </c>
      <c r="CY55" s="2" t="s">
        <v>7163</v>
      </c>
      <c r="CZ55" s="2" t="s">
        <v>7250</v>
      </c>
      <c r="DA55" s="2" t="s">
        <v>7250</v>
      </c>
      <c r="DB55" s="2" t="s">
        <v>7250</v>
      </c>
      <c r="DC55" s="2" t="s">
        <v>7321</v>
      </c>
      <c r="DD55" s="2" t="s">
        <v>7163</v>
      </c>
      <c r="DE55" s="2" t="s">
        <v>7250</v>
      </c>
      <c r="DF55" s="2" t="s">
        <v>7250</v>
      </c>
      <c r="DG55" s="2" t="s">
        <v>7250</v>
      </c>
      <c r="DH55" s="2" t="s">
        <v>7250</v>
      </c>
      <c r="DI55" s="2" t="s">
        <v>7250</v>
      </c>
      <c r="DL55" s="2" t="s">
        <v>7143</v>
      </c>
      <c r="DM55" s="2" t="s">
        <v>7143</v>
      </c>
      <c r="DP55" s="2" t="s">
        <v>7159</v>
      </c>
      <c r="DT55" s="2" t="s">
        <v>7165</v>
      </c>
      <c r="DU55" s="2" t="s">
        <v>7159</v>
      </c>
      <c r="DV55" s="2" t="s">
        <v>7165</v>
      </c>
      <c r="DW55" s="2" t="s">
        <v>7165</v>
      </c>
      <c r="DX55" s="2" t="s">
        <v>7165</v>
      </c>
      <c r="DY55" s="2" t="s">
        <v>7159</v>
      </c>
      <c r="DZ55" s="2" t="s">
        <v>7159</v>
      </c>
      <c r="EA55" s="2" t="s">
        <v>7159</v>
      </c>
      <c r="EB55" s="2" t="s">
        <v>7165</v>
      </c>
      <c r="EC55" s="2" t="s">
        <v>7173</v>
      </c>
      <c r="EF55" s="2" t="s">
        <v>7252</v>
      </c>
      <c r="EG55" s="2" t="s">
        <v>421</v>
      </c>
      <c r="EJ55" s="2" t="s">
        <v>7144</v>
      </c>
      <c r="EK55" s="2" t="s">
        <v>7142</v>
      </c>
      <c r="EL55" s="2" t="s">
        <v>7143</v>
      </c>
      <c r="EN55" s="2" t="s">
        <v>7210</v>
      </c>
      <c r="EP55" s="2" t="s">
        <v>7186</v>
      </c>
      <c r="ER55" s="2" t="s">
        <v>7143</v>
      </c>
      <c r="ET55" s="2" t="s">
        <v>7143</v>
      </c>
      <c r="EV55" s="2" t="s">
        <v>7143</v>
      </c>
      <c r="EX55" s="2" t="s">
        <v>7143</v>
      </c>
      <c r="EZ55" s="2" t="s">
        <v>7143</v>
      </c>
      <c r="FC55" s="2" t="s">
        <v>7218</v>
      </c>
      <c r="FD55" s="2" t="s">
        <v>7143</v>
      </c>
      <c r="FH55" s="2" t="s">
        <v>7173</v>
      </c>
      <c r="FJ55" s="2" t="s">
        <v>7142</v>
      </c>
      <c r="FK55" s="2" t="s">
        <v>7173</v>
      </c>
      <c r="FN55" s="2" t="s">
        <v>7417</v>
      </c>
      <c r="FR55" s="2" t="s">
        <v>654</v>
      </c>
      <c r="FT55" s="2" t="s">
        <v>7189</v>
      </c>
      <c r="FU55" s="2" t="s">
        <v>7176</v>
      </c>
      <c r="FV55" s="2" t="s">
        <v>7176</v>
      </c>
      <c r="FW55" s="2" t="s">
        <v>7189</v>
      </c>
      <c r="FZ55" s="19" t="s">
        <v>7418</v>
      </c>
    </row>
    <row r="56" spans="1:182">
      <c r="A56" s="7" t="s">
        <v>655</v>
      </c>
      <c r="D56" s="15">
        <v>46030.639768518522</v>
      </c>
      <c r="E56" s="7" t="s">
        <v>656</v>
      </c>
      <c r="F56" s="7" t="s">
        <v>7389</v>
      </c>
      <c r="G56" s="7" t="s">
        <v>7135</v>
      </c>
      <c r="H56" s="7" t="s">
        <v>591</v>
      </c>
      <c r="I56" s="7" t="s">
        <v>657</v>
      </c>
      <c r="J56" s="16" t="s">
        <v>7419</v>
      </c>
      <c r="K56" s="7" t="s">
        <v>657</v>
      </c>
      <c r="L56" s="2" t="s">
        <v>7137</v>
      </c>
      <c r="M56" s="7" t="s">
        <v>7138</v>
      </c>
      <c r="N56" s="7">
        <v>1981</v>
      </c>
      <c r="O56" s="7" t="s">
        <v>7139</v>
      </c>
      <c r="P56" s="7" t="s">
        <v>7140</v>
      </c>
      <c r="Q56" s="2" t="s">
        <v>7141</v>
      </c>
      <c r="R56" s="2" t="s">
        <v>7143</v>
      </c>
      <c r="S56" s="2">
        <v>30</v>
      </c>
      <c r="T56" s="2" t="s">
        <v>7143</v>
      </c>
      <c r="U56" s="2" t="s">
        <v>7143</v>
      </c>
      <c r="Y56" s="2">
        <v>840</v>
      </c>
      <c r="Z56" s="17">
        <v>0.96430000000000005</v>
      </c>
      <c r="AA56" s="2">
        <v>810</v>
      </c>
      <c r="AB56" s="2">
        <v>810</v>
      </c>
      <c r="AC56" s="7">
        <v>810</v>
      </c>
      <c r="AD56" s="2">
        <v>960</v>
      </c>
      <c r="AE56" s="2">
        <v>150</v>
      </c>
      <c r="AF56" s="2" t="s">
        <v>7143</v>
      </c>
      <c r="AG56" s="2" t="s">
        <v>7142</v>
      </c>
      <c r="AH56" s="2" t="s">
        <v>7143</v>
      </c>
      <c r="AJ56" s="2" t="s">
        <v>7143</v>
      </c>
      <c r="AK56" s="2" t="s">
        <v>7143</v>
      </c>
      <c r="AL56" s="2" t="s">
        <v>7143</v>
      </c>
      <c r="AM56" s="2" t="s">
        <v>7143</v>
      </c>
      <c r="AN56" s="2" t="s">
        <v>7143</v>
      </c>
      <c r="AO56" s="2" t="s">
        <v>7143</v>
      </c>
      <c r="AR56" s="7">
        <v>3.3</v>
      </c>
      <c r="AS56" s="7">
        <v>4</v>
      </c>
      <c r="AT56" s="7">
        <v>8</v>
      </c>
      <c r="AU56" s="2" t="s">
        <v>7193</v>
      </c>
      <c r="AV56" s="2" t="s">
        <v>7144</v>
      </c>
      <c r="AW56" s="2" t="s">
        <v>7143</v>
      </c>
      <c r="AZ56" s="2" t="s">
        <v>7145</v>
      </c>
      <c r="BB56" s="2" t="s">
        <v>7268</v>
      </c>
      <c r="BC56" s="2" t="s">
        <v>7208</v>
      </c>
      <c r="BD56" s="2" t="s">
        <v>7142</v>
      </c>
      <c r="BE56" s="2" t="s">
        <v>7142</v>
      </c>
      <c r="BF56" s="2" t="s">
        <v>7148</v>
      </c>
      <c r="BG56" s="2" t="s">
        <v>7149</v>
      </c>
      <c r="BH56" s="2" t="s">
        <v>7150</v>
      </c>
      <c r="BI56" s="2" t="s">
        <v>7151</v>
      </c>
      <c r="BL56" s="2" t="s">
        <v>7152</v>
      </c>
      <c r="BM56" s="2" t="s">
        <v>7355</v>
      </c>
      <c r="BN56" s="2" t="s">
        <v>7154</v>
      </c>
      <c r="BO56" s="2" t="s">
        <v>7155</v>
      </c>
      <c r="BQ56" s="2" t="s">
        <v>7183</v>
      </c>
      <c r="BS56" s="2" t="s">
        <v>7142</v>
      </c>
      <c r="BT56" s="2" t="s">
        <v>7420</v>
      </c>
      <c r="BV56" s="2" t="s">
        <v>7197</v>
      </c>
      <c r="BX56" s="2" t="s">
        <v>7142</v>
      </c>
      <c r="BY56" s="2" t="s">
        <v>659</v>
      </c>
      <c r="BZ56" s="2" t="s">
        <v>7159</v>
      </c>
      <c r="CE56" s="7">
        <v>8</v>
      </c>
      <c r="CF56" s="2">
        <v>960</v>
      </c>
      <c r="CM56" s="2">
        <v>100</v>
      </c>
      <c r="CO56" s="2">
        <v>100</v>
      </c>
      <c r="CR56" s="2" t="s">
        <v>7160</v>
      </c>
      <c r="CT56" s="2" t="s">
        <v>7143</v>
      </c>
      <c r="CU56" s="2" t="s">
        <v>7161</v>
      </c>
      <c r="CW56" s="2" t="s">
        <v>7162</v>
      </c>
      <c r="CY56" s="2" t="s">
        <v>7163</v>
      </c>
      <c r="CZ56" s="2" t="s">
        <v>7250</v>
      </c>
      <c r="DA56" s="2" t="s">
        <v>7250</v>
      </c>
      <c r="DB56" s="2" t="s">
        <v>7250</v>
      </c>
      <c r="DC56" s="2" t="s">
        <v>7321</v>
      </c>
      <c r="DD56" s="2" t="s">
        <v>7250</v>
      </c>
      <c r="DE56" s="2" t="s">
        <v>7250</v>
      </c>
      <c r="DF56" s="2" t="s">
        <v>7250</v>
      </c>
      <c r="DG56" s="2" t="s">
        <v>7250</v>
      </c>
      <c r="DH56" s="2" t="s">
        <v>7250</v>
      </c>
      <c r="DI56" s="2" t="s">
        <v>7250</v>
      </c>
      <c r="DL56" s="2" t="s">
        <v>7143</v>
      </c>
      <c r="DM56" s="2" t="s">
        <v>7142</v>
      </c>
      <c r="DN56" s="2" t="s">
        <v>7143</v>
      </c>
      <c r="DO56" s="2" t="s">
        <v>7142</v>
      </c>
      <c r="DP56" s="2" t="s">
        <v>7159</v>
      </c>
      <c r="DT56" s="2" t="s">
        <v>7159</v>
      </c>
      <c r="DU56" s="2" t="s">
        <v>7159</v>
      </c>
      <c r="DV56" s="2" t="s">
        <v>7159</v>
      </c>
      <c r="DW56" s="2" t="s">
        <v>7159</v>
      </c>
      <c r="DX56" s="2" t="s">
        <v>7159</v>
      </c>
      <c r="DY56" s="2" t="s">
        <v>7159</v>
      </c>
      <c r="DZ56" s="2" t="s">
        <v>7159</v>
      </c>
      <c r="EA56" s="2" t="s">
        <v>7159</v>
      </c>
      <c r="EB56" s="2" t="s">
        <v>7159</v>
      </c>
      <c r="EC56" s="2" t="s">
        <v>7159</v>
      </c>
      <c r="EF56" s="2" t="s">
        <v>7221</v>
      </c>
      <c r="EG56" s="2" t="s">
        <v>660</v>
      </c>
      <c r="EJ56" s="2" t="s">
        <v>7217</v>
      </c>
      <c r="EK56" s="2" t="s">
        <v>7143</v>
      </c>
      <c r="EL56" s="2" t="s">
        <v>7143</v>
      </c>
      <c r="EN56" s="2" t="s">
        <v>7210</v>
      </c>
      <c r="EP56" s="2" t="s">
        <v>7186</v>
      </c>
      <c r="ER56" s="2" t="s">
        <v>7143</v>
      </c>
      <c r="ET56" s="2" t="s">
        <v>7143</v>
      </c>
      <c r="EV56" s="2" t="s">
        <v>7143</v>
      </c>
      <c r="EX56" s="2" t="s">
        <v>7143</v>
      </c>
      <c r="EZ56" s="2" t="s">
        <v>7143</v>
      </c>
      <c r="FC56" s="2" t="s">
        <v>7218</v>
      </c>
      <c r="FD56" s="2" t="s">
        <v>7143</v>
      </c>
      <c r="FH56" s="2" t="s">
        <v>7173</v>
      </c>
      <c r="FJ56" s="2" t="s">
        <v>7142</v>
      </c>
      <c r="FK56" s="2" t="s">
        <v>7173</v>
      </c>
      <c r="FN56" s="2" t="s">
        <v>7421</v>
      </c>
      <c r="FR56" s="2" t="s">
        <v>662</v>
      </c>
      <c r="FT56" s="2" t="s">
        <v>7176</v>
      </c>
      <c r="FU56" s="2" t="s">
        <v>7189</v>
      </c>
      <c r="FV56" s="2" t="s">
        <v>7189</v>
      </c>
      <c r="FW56" s="2" t="s">
        <v>7189</v>
      </c>
      <c r="FZ56" s="19" t="s">
        <v>7422</v>
      </c>
    </row>
    <row r="57" spans="1:182">
      <c r="A57" s="7" t="s">
        <v>663</v>
      </c>
      <c r="D57" s="15">
        <v>46030.723634259259</v>
      </c>
      <c r="E57" s="7" t="s">
        <v>664</v>
      </c>
      <c r="F57" s="7" t="s">
        <v>7311</v>
      </c>
      <c r="G57" s="7" t="s">
        <v>7135</v>
      </c>
      <c r="H57" s="7" t="s">
        <v>665</v>
      </c>
      <c r="I57" s="7" t="s">
        <v>666</v>
      </c>
      <c r="J57" s="16" t="s">
        <v>7423</v>
      </c>
      <c r="K57" s="7" t="s">
        <v>667</v>
      </c>
      <c r="L57" s="7" t="s">
        <v>7137</v>
      </c>
      <c r="M57" s="7" t="s">
        <v>7179</v>
      </c>
      <c r="N57" s="7">
        <v>1980</v>
      </c>
      <c r="O57" s="7" t="s">
        <v>7139</v>
      </c>
      <c r="P57" s="7" t="s">
        <v>7181</v>
      </c>
      <c r="Q57" s="7" t="s">
        <v>7141</v>
      </c>
      <c r="R57" s="7" t="s">
        <v>7143</v>
      </c>
      <c r="S57" s="7">
        <v>25</v>
      </c>
      <c r="T57" s="7" t="s">
        <v>7143</v>
      </c>
      <c r="U57" s="7" t="s">
        <v>7143</v>
      </c>
      <c r="Y57" s="7">
        <v>630</v>
      </c>
      <c r="Z57" s="17">
        <v>0.84130000000000005</v>
      </c>
      <c r="AA57" s="7">
        <v>530</v>
      </c>
      <c r="AB57" s="7">
        <v>530</v>
      </c>
      <c r="AC57" s="7">
        <v>530</v>
      </c>
      <c r="AD57" s="7">
        <v>600</v>
      </c>
      <c r="AE57" s="7">
        <v>70</v>
      </c>
      <c r="AF57" s="7" t="s">
        <v>7143</v>
      </c>
      <c r="AG57" s="7" t="s">
        <v>7143</v>
      </c>
      <c r="AH57" s="7" t="s">
        <v>7143</v>
      </c>
      <c r="AJ57" s="7" t="s">
        <v>7143</v>
      </c>
      <c r="AK57" s="7" t="s">
        <v>7142</v>
      </c>
      <c r="AL57" s="7" t="s">
        <v>7142</v>
      </c>
      <c r="AM57" s="7" t="s">
        <v>7143</v>
      </c>
      <c r="AN57" s="7" t="s">
        <v>7143</v>
      </c>
      <c r="AO57" s="7" t="s">
        <v>7143</v>
      </c>
      <c r="AR57" s="7">
        <v>3</v>
      </c>
      <c r="AS57" s="7">
        <v>3</v>
      </c>
      <c r="AT57" s="7">
        <v>6</v>
      </c>
      <c r="AU57" s="7" t="s">
        <v>7193</v>
      </c>
      <c r="AV57" s="7" t="s">
        <v>7193</v>
      </c>
      <c r="AW57" s="7" t="s">
        <v>7143</v>
      </c>
      <c r="AZ57" s="7" t="s">
        <v>7145</v>
      </c>
      <c r="BB57" s="7" t="s">
        <v>7214</v>
      </c>
      <c r="BC57" s="7" t="s">
        <v>7147</v>
      </c>
      <c r="BD57" s="7" t="s">
        <v>7142</v>
      </c>
      <c r="BE57" s="7" t="s">
        <v>7142</v>
      </c>
      <c r="BF57" s="7" t="s">
        <v>7148</v>
      </c>
      <c r="BG57" s="7" t="s">
        <v>7149</v>
      </c>
      <c r="BH57" s="7" t="s">
        <v>7150</v>
      </c>
      <c r="BI57" s="7" t="s">
        <v>7326</v>
      </c>
      <c r="BL57" s="7" t="s">
        <v>7152</v>
      </c>
      <c r="BM57" s="7" t="s">
        <v>7153</v>
      </c>
      <c r="BN57" s="7" t="s">
        <v>7154</v>
      </c>
      <c r="BO57" s="7" t="s">
        <v>7155</v>
      </c>
      <c r="BQ57" s="7" t="s">
        <v>7156</v>
      </c>
      <c r="BS57" s="7" t="s">
        <v>7142</v>
      </c>
      <c r="BT57" s="7" t="s">
        <v>7196</v>
      </c>
      <c r="BV57" s="7" t="s">
        <v>7352</v>
      </c>
      <c r="BX57" s="7" t="s">
        <v>7143</v>
      </c>
      <c r="BY57" s="7" t="s">
        <v>668</v>
      </c>
      <c r="BZ57" s="2" t="s">
        <v>7159</v>
      </c>
      <c r="CE57" s="7">
        <v>6</v>
      </c>
      <c r="CF57" s="2">
        <v>600</v>
      </c>
      <c r="CK57" s="2">
        <v>100</v>
      </c>
      <c r="CP57" s="2">
        <v>100</v>
      </c>
      <c r="CR57" s="2" t="s">
        <v>7160</v>
      </c>
      <c r="CT57" s="2" t="s">
        <v>7143</v>
      </c>
      <c r="CU57" s="2" t="s">
        <v>7234</v>
      </c>
      <c r="CW57" s="2" t="s">
        <v>7162</v>
      </c>
      <c r="CY57" s="2" t="s">
        <v>7163</v>
      </c>
      <c r="CZ57" s="2" t="s">
        <v>7250</v>
      </c>
      <c r="DA57" s="2" t="s">
        <v>7250</v>
      </c>
      <c r="DB57" s="2" t="s">
        <v>7250</v>
      </c>
      <c r="DC57" s="2" t="s">
        <v>7250</v>
      </c>
      <c r="DD57" s="2" t="s">
        <v>7250</v>
      </c>
      <c r="DE57" s="2" t="s">
        <v>7250</v>
      </c>
      <c r="DF57" s="2" t="s">
        <v>7250</v>
      </c>
      <c r="DG57" s="2" t="s">
        <v>7250</v>
      </c>
      <c r="DH57" s="2" t="s">
        <v>7250</v>
      </c>
      <c r="DI57" s="2" t="s">
        <v>7250</v>
      </c>
      <c r="DL57" s="7" t="s">
        <v>7143</v>
      </c>
      <c r="DM57" s="7" t="s">
        <v>7143</v>
      </c>
      <c r="DP57" s="7" t="s">
        <v>7159</v>
      </c>
      <c r="DS57" s="7" t="s">
        <v>7159</v>
      </c>
      <c r="DT57" s="2" t="s">
        <v>7159</v>
      </c>
      <c r="DU57" s="2" t="s">
        <v>7159</v>
      </c>
      <c r="DV57" s="2" t="s">
        <v>7159</v>
      </c>
      <c r="DW57" s="2" t="s">
        <v>7159</v>
      </c>
      <c r="DX57" s="2" t="s">
        <v>7159</v>
      </c>
      <c r="DY57" s="2" t="s">
        <v>7159</v>
      </c>
      <c r="DZ57" s="2" t="s">
        <v>7159</v>
      </c>
      <c r="EA57" s="2" t="s">
        <v>7159</v>
      </c>
      <c r="EB57" s="2" t="s">
        <v>7159</v>
      </c>
      <c r="EC57" s="2" t="s">
        <v>7159</v>
      </c>
      <c r="ED57" s="2" t="s">
        <v>7159</v>
      </c>
      <c r="EE57" s="2" t="s">
        <v>669</v>
      </c>
      <c r="EF57" s="7" t="s">
        <v>7349</v>
      </c>
      <c r="EG57" s="7" t="s">
        <v>670</v>
      </c>
      <c r="EJ57" s="7" t="s">
        <v>7217</v>
      </c>
      <c r="EK57" s="7" t="s">
        <v>7143</v>
      </c>
      <c r="EL57" s="7" t="s">
        <v>7142</v>
      </c>
      <c r="EM57" s="7" t="s">
        <v>7392</v>
      </c>
      <c r="EN57" s="7" t="s">
        <v>7170</v>
      </c>
      <c r="EP57" s="2" t="s">
        <v>7186</v>
      </c>
      <c r="ER57" s="2" t="s">
        <v>7143</v>
      </c>
      <c r="ET57" s="2" t="s">
        <v>7143</v>
      </c>
      <c r="EV57" s="2" t="s">
        <v>7143</v>
      </c>
      <c r="EX57" s="2" t="s">
        <v>7143</v>
      </c>
      <c r="EZ57" s="2" t="s">
        <v>7143</v>
      </c>
      <c r="FC57" s="2" t="s">
        <v>7218</v>
      </c>
      <c r="FD57" s="2" t="s">
        <v>7143</v>
      </c>
      <c r="FH57" s="2" t="s">
        <v>7173</v>
      </c>
      <c r="FJ57" s="2" t="s">
        <v>7143</v>
      </c>
      <c r="FK57" s="2" t="s">
        <v>7159</v>
      </c>
      <c r="FN57" s="2" t="s">
        <v>7243</v>
      </c>
      <c r="FO57" s="2" t="s">
        <v>671</v>
      </c>
      <c r="FR57" s="2" t="s">
        <v>672</v>
      </c>
      <c r="FT57" s="2" t="s">
        <v>7189</v>
      </c>
      <c r="FU57" s="2" t="s">
        <v>7189</v>
      </c>
      <c r="FV57" s="2" t="s">
        <v>7176</v>
      </c>
      <c r="FW57" s="2" t="s">
        <v>7176</v>
      </c>
      <c r="FX57" s="2" t="s">
        <v>7176</v>
      </c>
      <c r="FY57" s="2" t="s">
        <v>673</v>
      </c>
      <c r="FZ57" s="19" t="s">
        <v>7424</v>
      </c>
    </row>
    <row r="58" spans="1:182">
      <c r="A58" s="7" t="s">
        <v>674</v>
      </c>
      <c r="D58" s="15">
        <v>46030.746192129627</v>
      </c>
      <c r="E58" s="7" t="s">
        <v>675</v>
      </c>
      <c r="F58" s="7" t="s">
        <v>7311</v>
      </c>
      <c r="G58" s="7" t="s">
        <v>7135</v>
      </c>
      <c r="H58" s="7" t="s">
        <v>665</v>
      </c>
      <c r="I58" s="7" t="s">
        <v>676</v>
      </c>
      <c r="J58" s="16" t="s">
        <v>7425</v>
      </c>
      <c r="K58" s="7" t="s">
        <v>677</v>
      </c>
      <c r="L58" s="2" t="s">
        <v>7137</v>
      </c>
      <c r="M58" s="7" t="s">
        <v>7179</v>
      </c>
      <c r="N58" s="7">
        <v>2001</v>
      </c>
      <c r="O58" s="2" t="s">
        <v>7139</v>
      </c>
      <c r="P58" s="2" t="s">
        <v>7181</v>
      </c>
      <c r="Q58" s="2" t="s">
        <v>7182</v>
      </c>
      <c r="R58" s="2" t="s">
        <v>7143</v>
      </c>
      <c r="S58" s="2">
        <v>9</v>
      </c>
      <c r="T58" s="2" t="s">
        <v>7143</v>
      </c>
      <c r="U58" s="2" t="s">
        <v>7143</v>
      </c>
      <c r="Y58" s="2">
        <v>100</v>
      </c>
      <c r="Z58" s="17">
        <v>1</v>
      </c>
      <c r="AA58" s="2">
        <v>100</v>
      </c>
      <c r="AB58" s="2">
        <v>100</v>
      </c>
      <c r="AC58" s="7">
        <v>100</v>
      </c>
      <c r="AD58" s="2">
        <v>120</v>
      </c>
      <c r="AE58" s="2">
        <v>20</v>
      </c>
      <c r="AF58" s="2" t="s">
        <v>7143</v>
      </c>
      <c r="AG58" s="2" t="s">
        <v>7143</v>
      </c>
      <c r="AH58" s="2" t="s">
        <v>7143</v>
      </c>
      <c r="AJ58" s="2" t="s">
        <v>7143</v>
      </c>
      <c r="AK58" s="2" t="s">
        <v>7143</v>
      </c>
      <c r="AL58" s="2" t="s">
        <v>7143</v>
      </c>
      <c r="AM58" s="2" t="s">
        <v>7143</v>
      </c>
      <c r="AN58" s="2" t="s">
        <v>7143</v>
      </c>
      <c r="AO58" s="2" t="s">
        <v>7143</v>
      </c>
      <c r="AR58" s="7">
        <v>1.5</v>
      </c>
      <c r="AS58" s="7">
        <v>2</v>
      </c>
      <c r="AT58" s="7">
        <v>1.2</v>
      </c>
      <c r="AU58" s="2" t="s">
        <v>7193</v>
      </c>
      <c r="AV58" s="2" t="s">
        <v>7193</v>
      </c>
      <c r="AW58" s="2" t="s">
        <v>7143</v>
      </c>
      <c r="BC58" s="2" t="s">
        <v>7147</v>
      </c>
      <c r="BD58" s="2" t="s">
        <v>7143</v>
      </c>
      <c r="BE58" s="2" t="s">
        <v>7143</v>
      </c>
      <c r="BL58" s="2" t="s">
        <v>7195</v>
      </c>
      <c r="BO58" s="2" t="s">
        <v>7155</v>
      </c>
      <c r="BQ58" s="2" t="s">
        <v>7156</v>
      </c>
      <c r="BS58" s="2" t="s">
        <v>7142</v>
      </c>
      <c r="BT58" s="2" t="s">
        <v>7215</v>
      </c>
      <c r="BV58" s="2" t="s">
        <v>7352</v>
      </c>
      <c r="BX58" s="2" t="s">
        <v>7143</v>
      </c>
      <c r="BY58" s="2" t="s">
        <v>678</v>
      </c>
      <c r="BZ58" s="2" t="s">
        <v>7159</v>
      </c>
      <c r="CE58" s="7">
        <v>1.2</v>
      </c>
      <c r="CF58" s="2">
        <v>120</v>
      </c>
      <c r="CK58" s="2">
        <v>100</v>
      </c>
      <c r="CP58" s="2">
        <v>100</v>
      </c>
      <c r="CR58" s="2" t="s">
        <v>7160</v>
      </c>
      <c r="CT58" s="2" t="s">
        <v>7143</v>
      </c>
      <c r="CU58" s="2" t="s">
        <v>7161</v>
      </c>
      <c r="CW58" s="2" t="s">
        <v>7162</v>
      </c>
      <c r="CY58" s="2" t="s">
        <v>7250</v>
      </c>
      <c r="CZ58" s="2" t="s">
        <v>7250</v>
      </c>
      <c r="DA58" s="2" t="s">
        <v>7250</v>
      </c>
      <c r="DB58" s="2" t="s">
        <v>7250</v>
      </c>
      <c r="DC58" s="2" t="s">
        <v>7250</v>
      </c>
      <c r="DD58" s="2" t="s">
        <v>7250</v>
      </c>
      <c r="DE58" s="2" t="s">
        <v>7250</v>
      </c>
      <c r="DF58" s="2" t="s">
        <v>7250</v>
      </c>
      <c r="DG58" s="2" t="s">
        <v>7250</v>
      </c>
      <c r="DH58" s="2" t="s">
        <v>7250</v>
      </c>
      <c r="DI58" s="2" t="s">
        <v>7250</v>
      </c>
      <c r="DL58" s="2" t="s">
        <v>7143</v>
      </c>
      <c r="DM58" s="2" t="s">
        <v>7143</v>
      </c>
      <c r="DP58" s="2" t="s">
        <v>7159</v>
      </c>
      <c r="DT58" s="2" t="s">
        <v>7159</v>
      </c>
      <c r="DU58" s="2" t="s">
        <v>7159</v>
      </c>
      <c r="DV58" s="2" t="s">
        <v>7159</v>
      </c>
      <c r="DW58" s="2" t="s">
        <v>7159</v>
      </c>
      <c r="DX58" s="2" t="s">
        <v>7159</v>
      </c>
      <c r="DY58" s="2" t="s">
        <v>7159</v>
      </c>
      <c r="DZ58" s="2" t="s">
        <v>7159</v>
      </c>
      <c r="EA58" s="2" t="s">
        <v>7159</v>
      </c>
      <c r="EB58" s="2" t="s">
        <v>7159</v>
      </c>
      <c r="EC58" s="2" t="s">
        <v>7159</v>
      </c>
      <c r="EF58" s="2" t="s">
        <v>7252</v>
      </c>
      <c r="EG58" s="2" t="s">
        <v>679</v>
      </c>
      <c r="EJ58" s="2" t="s">
        <v>7217</v>
      </c>
      <c r="EK58" s="2" t="s">
        <v>7143</v>
      </c>
      <c r="EL58" s="2" t="s">
        <v>7143</v>
      </c>
      <c r="EN58" s="2" t="s">
        <v>7170</v>
      </c>
      <c r="EP58" s="2" t="s">
        <v>7186</v>
      </c>
      <c r="ER58" s="2" t="s">
        <v>7143</v>
      </c>
      <c r="ET58" s="2" t="s">
        <v>7143</v>
      </c>
      <c r="EV58" s="2" t="s">
        <v>7143</v>
      </c>
      <c r="EX58" s="2" t="s">
        <v>7143</v>
      </c>
      <c r="EZ58" s="2" t="s">
        <v>7143</v>
      </c>
      <c r="FC58" s="2" t="s">
        <v>7218</v>
      </c>
      <c r="FD58" s="2" t="s">
        <v>7143</v>
      </c>
      <c r="FH58" s="2" t="s">
        <v>7173</v>
      </c>
      <c r="FJ58" s="2" t="s">
        <v>7143</v>
      </c>
      <c r="FK58" s="2" t="s">
        <v>7159</v>
      </c>
      <c r="FN58" s="2" t="s">
        <v>7322</v>
      </c>
      <c r="FR58" s="2" t="s">
        <v>680</v>
      </c>
      <c r="FT58" s="2" t="s">
        <v>7189</v>
      </c>
      <c r="FU58" s="2" t="s">
        <v>7189</v>
      </c>
      <c r="FV58" s="2" t="s">
        <v>7176</v>
      </c>
      <c r="FW58" s="2" t="s">
        <v>7176</v>
      </c>
      <c r="FX58" s="2" t="s">
        <v>7176</v>
      </c>
      <c r="FY58" s="2" t="s">
        <v>681</v>
      </c>
      <c r="FZ58" s="19" t="s">
        <v>7426</v>
      </c>
    </row>
    <row r="59" spans="1:182">
      <c r="A59" s="7" t="s">
        <v>682</v>
      </c>
      <c r="D59" s="15">
        <v>46030.722349537034</v>
      </c>
      <c r="E59" s="7" t="s">
        <v>683</v>
      </c>
      <c r="F59" s="7" t="s">
        <v>7311</v>
      </c>
      <c r="G59" s="7" t="s">
        <v>7135</v>
      </c>
      <c r="H59" s="7" t="s">
        <v>399</v>
      </c>
      <c r="I59" s="7" t="s">
        <v>684</v>
      </c>
      <c r="J59" s="16" t="s">
        <v>7427</v>
      </c>
      <c r="K59" s="7" t="s">
        <v>684</v>
      </c>
      <c r="L59" s="2" t="s">
        <v>7137</v>
      </c>
      <c r="M59" s="7" t="s">
        <v>7138</v>
      </c>
      <c r="N59" s="7">
        <v>1975</v>
      </c>
      <c r="O59" s="7" t="s">
        <v>7180</v>
      </c>
      <c r="P59" s="2" t="s">
        <v>7140</v>
      </c>
      <c r="Q59" s="2" t="s">
        <v>7428</v>
      </c>
      <c r="R59" s="2" t="s">
        <v>7143</v>
      </c>
      <c r="S59" s="2">
        <v>19</v>
      </c>
      <c r="T59" s="2" t="s">
        <v>7143</v>
      </c>
      <c r="U59" s="2" t="s">
        <v>7143</v>
      </c>
      <c r="Y59" s="2">
        <v>772</v>
      </c>
      <c r="Z59" s="17">
        <v>0.5181</v>
      </c>
      <c r="AA59" s="2">
        <v>400</v>
      </c>
      <c r="AB59" s="2">
        <v>400</v>
      </c>
      <c r="AC59" s="7">
        <v>400</v>
      </c>
      <c r="AD59" s="2">
        <v>500</v>
      </c>
      <c r="AE59" s="2">
        <v>100</v>
      </c>
      <c r="AF59" s="2" t="s">
        <v>7143</v>
      </c>
      <c r="AG59" s="2" t="s">
        <v>7143</v>
      </c>
      <c r="AH59" s="2" t="s">
        <v>7143</v>
      </c>
      <c r="AJ59" s="2" t="s">
        <v>7143</v>
      </c>
      <c r="AK59" s="2" t="s">
        <v>7143</v>
      </c>
      <c r="AL59" s="2" t="s">
        <v>7142</v>
      </c>
      <c r="AM59" s="2" t="s">
        <v>7143</v>
      </c>
      <c r="AN59" s="2" t="s">
        <v>7143</v>
      </c>
      <c r="AO59" s="2" t="s">
        <v>7143</v>
      </c>
      <c r="AR59" s="7">
        <v>1.1499999999999999</v>
      </c>
      <c r="AS59" s="7">
        <v>2</v>
      </c>
      <c r="AT59" s="7">
        <v>5</v>
      </c>
      <c r="AU59" s="2" t="s">
        <v>7144</v>
      </c>
      <c r="AV59" s="2" t="s">
        <v>7144</v>
      </c>
      <c r="AW59" s="2" t="s">
        <v>7143</v>
      </c>
      <c r="BC59" s="2" t="s">
        <v>7147</v>
      </c>
      <c r="BD59" s="2" t="s">
        <v>7143</v>
      </c>
      <c r="BE59" s="2" t="s">
        <v>7143</v>
      </c>
      <c r="BL59" s="2" t="s">
        <v>7152</v>
      </c>
      <c r="BM59" s="2" t="s">
        <v>7153</v>
      </c>
      <c r="BN59" s="2" t="s">
        <v>7154</v>
      </c>
      <c r="BO59" s="2" t="s">
        <v>7155</v>
      </c>
      <c r="BQ59" s="2" t="s">
        <v>7183</v>
      </c>
      <c r="BS59" s="2" t="s">
        <v>7142</v>
      </c>
      <c r="BT59" s="2" t="s">
        <v>7362</v>
      </c>
      <c r="BV59" s="2" t="s">
        <v>7429</v>
      </c>
      <c r="BX59" s="2" t="s">
        <v>7142</v>
      </c>
      <c r="BY59" s="2" t="s">
        <v>687</v>
      </c>
      <c r="BZ59" s="2" t="s">
        <v>7159</v>
      </c>
      <c r="CE59" s="7">
        <v>5</v>
      </c>
      <c r="CF59" s="2">
        <v>500</v>
      </c>
      <c r="CK59" s="2">
        <v>100</v>
      </c>
      <c r="CP59" s="2">
        <v>100</v>
      </c>
      <c r="CR59" s="2" t="s">
        <v>7160</v>
      </c>
      <c r="CT59" s="2" t="s">
        <v>7143</v>
      </c>
      <c r="CU59" s="2" t="s">
        <v>7161</v>
      </c>
      <c r="CW59" s="2" t="s">
        <v>7162</v>
      </c>
      <c r="CY59" s="2" t="s">
        <v>7163</v>
      </c>
      <c r="CZ59" s="2" t="s">
        <v>7250</v>
      </c>
      <c r="DA59" s="2" t="s">
        <v>7163</v>
      </c>
      <c r="DB59" s="2" t="s">
        <v>7163</v>
      </c>
      <c r="DC59" s="2" t="s">
        <v>7250</v>
      </c>
      <c r="DD59" s="2" t="s">
        <v>7250</v>
      </c>
      <c r="DE59" s="2" t="s">
        <v>7250</v>
      </c>
      <c r="DF59" s="2" t="s">
        <v>7163</v>
      </c>
      <c r="DG59" s="2" t="s">
        <v>7163</v>
      </c>
      <c r="DH59" s="2" t="s">
        <v>7163</v>
      </c>
      <c r="DI59" s="2" t="s">
        <v>7163</v>
      </c>
      <c r="DL59" s="2" t="s">
        <v>7142</v>
      </c>
      <c r="DM59" s="2" t="s">
        <v>7142</v>
      </c>
      <c r="DN59" s="2" t="s">
        <v>7142</v>
      </c>
      <c r="DO59" s="2" t="s">
        <v>7142</v>
      </c>
      <c r="DP59" s="2" t="s">
        <v>7165</v>
      </c>
      <c r="DQ59" s="2" t="s">
        <v>7333</v>
      </c>
      <c r="DR59" s="2" t="s">
        <v>688</v>
      </c>
      <c r="DT59" s="2" t="s">
        <v>7165</v>
      </c>
      <c r="DU59" s="2" t="s">
        <v>7165</v>
      </c>
      <c r="DV59" s="2" t="s">
        <v>7165</v>
      </c>
      <c r="DW59" s="2" t="s">
        <v>7165</v>
      </c>
      <c r="DX59" s="2" t="s">
        <v>7165</v>
      </c>
      <c r="DY59" s="2" t="s">
        <v>7165</v>
      </c>
      <c r="DZ59" s="2" t="s">
        <v>7165</v>
      </c>
      <c r="EA59" s="2" t="s">
        <v>7165</v>
      </c>
      <c r="EB59" s="2" t="s">
        <v>7165</v>
      </c>
      <c r="EC59" s="2" t="s">
        <v>7173</v>
      </c>
      <c r="EF59" s="2" t="s">
        <v>7221</v>
      </c>
      <c r="EG59" s="2" t="s">
        <v>689</v>
      </c>
      <c r="EJ59" s="2" t="s">
        <v>7168</v>
      </c>
      <c r="EK59" s="2" t="s">
        <v>7142</v>
      </c>
      <c r="EL59" s="2" t="s">
        <v>7142</v>
      </c>
      <c r="EM59" s="2" t="s">
        <v>7430</v>
      </c>
      <c r="EN59" s="2" t="s">
        <v>7170</v>
      </c>
      <c r="EP59" s="2" t="s">
        <v>7186</v>
      </c>
      <c r="ER59" s="2" t="s">
        <v>7142</v>
      </c>
      <c r="ET59" s="2" t="s">
        <v>7143</v>
      </c>
      <c r="EV59" s="2" t="s">
        <v>7143</v>
      </c>
      <c r="EX59" s="2" t="s">
        <v>7143</v>
      </c>
      <c r="EZ59" s="2" t="s">
        <v>7143</v>
      </c>
      <c r="FC59" s="2" t="s">
        <v>7172</v>
      </c>
      <c r="FD59" s="2" t="s">
        <v>7143</v>
      </c>
      <c r="FH59" s="2" t="s">
        <v>7173</v>
      </c>
      <c r="FJ59" s="2" t="s">
        <v>7143</v>
      </c>
      <c r="FK59" s="2" t="s">
        <v>7165</v>
      </c>
      <c r="FL59" s="2" t="s">
        <v>7260</v>
      </c>
      <c r="FN59" s="2" t="s">
        <v>7322</v>
      </c>
      <c r="FR59" s="2" t="s">
        <v>691</v>
      </c>
      <c r="FT59" s="2" t="s">
        <v>7189</v>
      </c>
      <c r="FU59" s="2" t="s">
        <v>7176</v>
      </c>
      <c r="FV59" s="2" t="s">
        <v>7176</v>
      </c>
      <c r="FW59" s="2" t="s">
        <v>7176</v>
      </c>
      <c r="FX59" s="2" t="s">
        <v>7189</v>
      </c>
      <c r="FY59" s="2" t="s">
        <v>692</v>
      </c>
      <c r="FZ59" s="19" t="s">
        <v>7431</v>
      </c>
    </row>
    <row r="60" spans="1:182">
      <c r="A60" s="7" t="s">
        <v>693</v>
      </c>
      <c r="D60" s="15">
        <v>46030.754664351851</v>
      </c>
      <c r="E60" s="7" t="s">
        <v>694</v>
      </c>
      <c r="F60" s="7" t="s">
        <v>7311</v>
      </c>
      <c r="G60" s="7" t="s">
        <v>7135</v>
      </c>
      <c r="H60" s="7" t="s">
        <v>665</v>
      </c>
      <c r="I60" s="7" t="s">
        <v>695</v>
      </c>
      <c r="J60" s="16" t="s">
        <v>7432</v>
      </c>
      <c r="K60" s="7" t="s">
        <v>224</v>
      </c>
      <c r="L60" s="7" t="s">
        <v>7137</v>
      </c>
      <c r="M60" s="7" t="s">
        <v>7179</v>
      </c>
      <c r="N60" s="7">
        <v>1998</v>
      </c>
      <c r="O60" s="7" t="s">
        <v>7139</v>
      </c>
      <c r="P60" s="7" t="s">
        <v>7181</v>
      </c>
      <c r="Q60" s="7" t="s">
        <v>7141</v>
      </c>
      <c r="R60" s="7" t="s">
        <v>7143</v>
      </c>
      <c r="S60" s="7">
        <v>10</v>
      </c>
      <c r="T60" s="7" t="s">
        <v>7143</v>
      </c>
      <c r="U60" s="7" t="s">
        <v>7143</v>
      </c>
      <c r="Y60" s="7">
        <v>115</v>
      </c>
      <c r="Z60" s="17">
        <v>0.69569999999999999</v>
      </c>
      <c r="AA60" s="7">
        <v>80</v>
      </c>
      <c r="AB60" s="7">
        <v>80</v>
      </c>
      <c r="AC60" s="7">
        <v>80</v>
      </c>
      <c r="AD60" s="7">
        <v>100</v>
      </c>
      <c r="AE60" s="7">
        <v>20</v>
      </c>
      <c r="AF60" s="2" t="s">
        <v>7143</v>
      </c>
      <c r="AG60" s="2" t="s">
        <v>7143</v>
      </c>
      <c r="AH60" s="2" t="s">
        <v>7143</v>
      </c>
      <c r="AJ60" s="2" t="s">
        <v>7143</v>
      </c>
      <c r="AK60" s="2" t="s">
        <v>7143</v>
      </c>
      <c r="AL60" s="7" t="s">
        <v>7142</v>
      </c>
      <c r="AM60" s="7" t="s">
        <v>7143</v>
      </c>
      <c r="AN60" s="7" t="s">
        <v>7143</v>
      </c>
      <c r="AO60" s="7" t="s">
        <v>7143</v>
      </c>
      <c r="AR60" s="7">
        <v>0.4</v>
      </c>
      <c r="AS60" s="7">
        <v>2</v>
      </c>
      <c r="AT60" s="7">
        <v>1</v>
      </c>
      <c r="AU60" s="2" t="s">
        <v>7144</v>
      </c>
      <c r="AV60" s="2" t="s">
        <v>7144</v>
      </c>
      <c r="AW60" s="2" t="s">
        <v>7143</v>
      </c>
      <c r="AZ60" s="7" t="s">
        <v>7145</v>
      </c>
      <c r="BB60" s="7" t="s">
        <v>7214</v>
      </c>
      <c r="BC60" s="7" t="s">
        <v>7147</v>
      </c>
      <c r="BD60" s="7" t="s">
        <v>7142</v>
      </c>
      <c r="BE60" s="7" t="s">
        <v>7142</v>
      </c>
      <c r="BF60" s="7" t="s">
        <v>7148</v>
      </c>
      <c r="BG60" s="7" t="s">
        <v>7149</v>
      </c>
      <c r="BH60" s="7" t="s">
        <v>7150</v>
      </c>
      <c r="BI60" s="7" t="s">
        <v>7326</v>
      </c>
      <c r="BL60" s="7" t="s">
        <v>7195</v>
      </c>
      <c r="BO60" s="7" t="s">
        <v>7155</v>
      </c>
      <c r="BQ60" s="7" t="s">
        <v>7156</v>
      </c>
      <c r="BS60" s="7" t="s">
        <v>7142</v>
      </c>
      <c r="BT60" s="7" t="s">
        <v>7157</v>
      </c>
      <c r="BV60" s="2" t="s">
        <v>7387</v>
      </c>
      <c r="BX60" s="2" t="s">
        <v>7143</v>
      </c>
      <c r="BY60" s="2" t="s">
        <v>696</v>
      </c>
      <c r="BZ60" s="2" t="s">
        <v>7159</v>
      </c>
      <c r="CE60" s="7">
        <v>1</v>
      </c>
      <c r="CF60" s="2">
        <v>100</v>
      </c>
      <c r="CK60" s="7">
        <v>100</v>
      </c>
      <c r="CP60" s="2">
        <v>100</v>
      </c>
      <c r="CR60" s="2" t="s">
        <v>7160</v>
      </c>
      <c r="CT60" s="2" t="s">
        <v>7143</v>
      </c>
      <c r="CU60" s="2" t="s">
        <v>7161</v>
      </c>
      <c r="CW60" s="2" t="s">
        <v>7162</v>
      </c>
      <c r="CY60" s="2" t="s">
        <v>7250</v>
      </c>
      <c r="CZ60" s="2" t="s">
        <v>7250</v>
      </c>
      <c r="DA60" s="2" t="s">
        <v>7250</v>
      </c>
      <c r="DB60" s="2" t="s">
        <v>7250</v>
      </c>
      <c r="DC60" s="2" t="s">
        <v>7250</v>
      </c>
      <c r="DD60" s="2" t="s">
        <v>7250</v>
      </c>
      <c r="DE60" s="2" t="s">
        <v>7250</v>
      </c>
      <c r="DF60" s="2" t="s">
        <v>7250</v>
      </c>
      <c r="DG60" s="2" t="s">
        <v>7250</v>
      </c>
      <c r="DH60" s="2" t="s">
        <v>7250</v>
      </c>
      <c r="DI60" s="2" t="s">
        <v>7250</v>
      </c>
      <c r="DL60" s="2" t="s">
        <v>7143</v>
      </c>
      <c r="DM60" s="2" t="s">
        <v>7143</v>
      </c>
      <c r="DP60" s="2" t="s">
        <v>7159</v>
      </c>
      <c r="DT60" s="2" t="s">
        <v>7159</v>
      </c>
      <c r="DU60" s="2" t="s">
        <v>7159</v>
      </c>
      <c r="DV60" s="2" t="s">
        <v>7159</v>
      </c>
      <c r="DW60" s="2" t="s">
        <v>7159</v>
      </c>
      <c r="DX60" s="2" t="s">
        <v>7159</v>
      </c>
      <c r="DY60" s="2" t="s">
        <v>7159</v>
      </c>
      <c r="DZ60" s="2" t="s">
        <v>7159</v>
      </c>
      <c r="EA60" s="2" t="s">
        <v>7159</v>
      </c>
      <c r="EB60" s="2" t="s">
        <v>7159</v>
      </c>
      <c r="EC60" s="2" t="s">
        <v>7159</v>
      </c>
      <c r="EF60" s="2" t="s">
        <v>7252</v>
      </c>
      <c r="EG60" s="2" t="s">
        <v>697</v>
      </c>
      <c r="EJ60" s="2" t="s">
        <v>7217</v>
      </c>
      <c r="EK60" s="2" t="s">
        <v>7143</v>
      </c>
      <c r="EL60" s="2" t="s">
        <v>7143</v>
      </c>
      <c r="EN60" s="2" t="s">
        <v>7170</v>
      </c>
      <c r="EP60" s="2" t="s">
        <v>7186</v>
      </c>
      <c r="ER60" s="2" t="s">
        <v>7143</v>
      </c>
      <c r="ET60" s="2" t="s">
        <v>7143</v>
      </c>
      <c r="EV60" s="2" t="s">
        <v>7143</v>
      </c>
      <c r="EX60" s="2" t="s">
        <v>7143</v>
      </c>
      <c r="EZ60" s="2" t="s">
        <v>7143</v>
      </c>
      <c r="FC60" s="2" t="s">
        <v>7172</v>
      </c>
      <c r="FD60" s="2" t="s">
        <v>7143</v>
      </c>
      <c r="FH60" s="2" t="s">
        <v>7173</v>
      </c>
      <c r="FJ60" s="2" t="s">
        <v>7143</v>
      </c>
      <c r="FK60" s="2" t="s">
        <v>7159</v>
      </c>
      <c r="FR60" s="2" t="s">
        <v>672</v>
      </c>
      <c r="FT60" s="2" t="s">
        <v>7189</v>
      </c>
      <c r="FU60" s="2" t="s">
        <v>7189</v>
      </c>
      <c r="FV60" s="2" t="s">
        <v>7176</v>
      </c>
      <c r="FW60" s="2" t="s">
        <v>7176</v>
      </c>
      <c r="FX60" s="2" t="s">
        <v>7176</v>
      </c>
      <c r="FY60" s="2" t="s">
        <v>698</v>
      </c>
      <c r="FZ60" s="19" t="s">
        <v>7433</v>
      </c>
    </row>
    <row r="61" spans="1:182">
      <c r="A61" s="7" t="s">
        <v>699</v>
      </c>
      <c r="D61" s="15">
        <v>46030.768807870372</v>
      </c>
      <c r="E61" s="7" t="s">
        <v>700</v>
      </c>
      <c r="F61" s="7" t="s">
        <v>7339</v>
      </c>
      <c r="G61" s="7" t="s">
        <v>7135</v>
      </c>
      <c r="H61" s="7" t="s">
        <v>701</v>
      </c>
      <c r="I61" s="7" t="s">
        <v>702</v>
      </c>
      <c r="J61" s="16" t="s">
        <v>7434</v>
      </c>
      <c r="K61" s="7" t="s">
        <v>703</v>
      </c>
      <c r="L61" s="2" t="s">
        <v>7137</v>
      </c>
      <c r="M61" s="7" t="s">
        <v>7138</v>
      </c>
      <c r="N61" s="7">
        <v>1999</v>
      </c>
      <c r="O61" s="7" t="s">
        <v>7139</v>
      </c>
      <c r="P61" s="2" t="s">
        <v>7192</v>
      </c>
      <c r="Q61" s="2" t="s">
        <v>7182</v>
      </c>
      <c r="R61" s="2" t="s">
        <v>7143</v>
      </c>
      <c r="S61" s="2">
        <v>10</v>
      </c>
      <c r="T61" s="2" t="s">
        <v>7143</v>
      </c>
      <c r="U61" s="2" t="s">
        <v>7143</v>
      </c>
      <c r="Y61" s="2">
        <v>326</v>
      </c>
      <c r="Z61" s="17">
        <v>1</v>
      </c>
      <c r="AA61" s="2">
        <v>326</v>
      </c>
      <c r="AB61" s="2">
        <v>212</v>
      </c>
      <c r="AC61" s="7">
        <v>197</v>
      </c>
      <c r="AD61" s="2">
        <v>227</v>
      </c>
      <c r="AE61" s="2">
        <v>30</v>
      </c>
      <c r="AF61" s="2" t="s">
        <v>7143</v>
      </c>
      <c r="AG61" s="2" t="s">
        <v>7143</v>
      </c>
      <c r="AH61" s="2" t="s">
        <v>7143</v>
      </c>
      <c r="AJ61" s="2" t="s">
        <v>7143</v>
      </c>
      <c r="AK61" s="2" t="s">
        <v>7143</v>
      </c>
      <c r="AL61" s="2" t="s">
        <v>7143</v>
      </c>
      <c r="AM61" s="2" t="s">
        <v>7142</v>
      </c>
      <c r="AN61" s="2" t="s">
        <v>7143</v>
      </c>
      <c r="AO61" s="2" t="s">
        <v>7143</v>
      </c>
      <c r="AR61" s="7">
        <v>0.5</v>
      </c>
      <c r="AS61" s="7">
        <v>1</v>
      </c>
      <c r="AT61" s="7">
        <v>2.2999999999999998</v>
      </c>
      <c r="AU61" s="2" t="s">
        <v>7193</v>
      </c>
      <c r="AV61" s="2" t="s">
        <v>7193</v>
      </c>
      <c r="AW61" s="2" t="s">
        <v>7143</v>
      </c>
      <c r="BC61" s="2" t="s">
        <v>7147</v>
      </c>
      <c r="BD61" s="2" t="s">
        <v>7142</v>
      </c>
      <c r="BE61" s="2" t="s">
        <v>7143</v>
      </c>
      <c r="BL61" s="2" t="s">
        <v>7195</v>
      </c>
      <c r="BO61" s="2" t="s">
        <v>7155</v>
      </c>
      <c r="BQ61" s="2" t="s">
        <v>7183</v>
      </c>
      <c r="BS61" s="2" t="s">
        <v>7142</v>
      </c>
      <c r="BT61" s="2" t="s">
        <v>7341</v>
      </c>
      <c r="BV61" s="2" t="s">
        <v>7435</v>
      </c>
      <c r="BX61" s="2" t="s">
        <v>7142</v>
      </c>
      <c r="BY61" s="2" t="s">
        <v>705</v>
      </c>
      <c r="BZ61" s="2" t="s">
        <v>7173</v>
      </c>
      <c r="CE61" s="7">
        <v>2.2999999999999998</v>
      </c>
      <c r="CF61" s="2">
        <v>227</v>
      </c>
      <c r="CM61" s="2">
        <v>100</v>
      </c>
      <c r="CO61" s="2">
        <v>100</v>
      </c>
      <c r="CP61" s="2">
        <v>0</v>
      </c>
      <c r="CR61" s="2" t="s">
        <v>7276</v>
      </c>
      <c r="CT61" s="2" t="s">
        <v>7143</v>
      </c>
      <c r="CU61" s="2" t="s">
        <v>7161</v>
      </c>
      <c r="CW61" s="2" t="s">
        <v>7162</v>
      </c>
      <c r="CY61" s="2" t="s">
        <v>7163</v>
      </c>
      <c r="CZ61" s="2" t="s">
        <v>7163</v>
      </c>
      <c r="DA61" s="2" t="s">
        <v>7250</v>
      </c>
      <c r="DB61" s="2" t="s">
        <v>7250</v>
      </c>
      <c r="DC61" s="2" t="s">
        <v>7321</v>
      </c>
      <c r="DD61" s="2" t="s">
        <v>7250</v>
      </c>
      <c r="DE61" s="2" t="s">
        <v>7163</v>
      </c>
      <c r="DF61" s="2" t="s">
        <v>7163</v>
      </c>
      <c r="DG61" s="2" t="s">
        <v>7163</v>
      </c>
      <c r="DH61" s="2" t="s">
        <v>7163</v>
      </c>
      <c r="DI61" s="2" t="s">
        <v>7250</v>
      </c>
      <c r="DL61" s="2" t="s">
        <v>7142</v>
      </c>
      <c r="DM61" s="2" t="s">
        <v>7142</v>
      </c>
      <c r="DN61" s="2" t="s">
        <v>7142</v>
      </c>
      <c r="DO61" s="2" t="s">
        <v>7142</v>
      </c>
      <c r="DP61" s="2" t="s">
        <v>7165</v>
      </c>
      <c r="DQ61" s="2" t="s">
        <v>7333</v>
      </c>
      <c r="DR61" s="2" t="s">
        <v>706</v>
      </c>
      <c r="DT61" s="2" t="s">
        <v>7165</v>
      </c>
      <c r="DU61" s="2" t="s">
        <v>7165</v>
      </c>
      <c r="DV61" s="2" t="s">
        <v>7165</v>
      </c>
      <c r="DW61" s="2" t="s">
        <v>7165</v>
      </c>
      <c r="DX61" s="2" t="s">
        <v>7165</v>
      </c>
      <c r="DY61" s="2" t="s">
        <v>7165</v>
      </c>
      <c r="DZ61" s="2" t="s">
        <v>7159</v>
      </c>
      <c r="EA61" s="2" t="s">
        <v>7165</v>
      </c>
      <c r="EB61" s="2" t="s">
        <v>7165</v>
      </c>
      <c r="EC61" s="2" t="s">
        <v>7159</v>
      </c>
      <c r="ED61" s="2" t="s">
        <v>7159</v>
      </c>
      <c r="EF61" s="2" t="s">
        <v>7221</v>
      </c>
      <c r="EG61" s="2" t="s">
        <v>707</v>
      </c>
      <c r="EJ61" s="2" t="s">
        <v>7193</v>
      </c>
      <c r="EK61" s="2" t="s">
        <v>7142</v>
      </c>
      <c r="EL61" s="2" t="s">
        <v>7143</v>
      </c>
      <c r="EN61" s="2" t="s">
        <v>7170</v>
      </c>
      <c r="EP61" s="2" t="s">
        <v>7186</v>
      </c>
      <c r="ER61" s="2" t="s">
        <v>7142</v>
      </c>
      <c r="ET61" s="2" t="s">
        <v>7143</v>
      </c>
      <c r="EV61" s="2" t="s">
        <v>7142</v>
      </c>
      <c r="EW61" s="2" t="s">
        <v>7171</v>
      </c>
      <c r="EX61" s="2" t="s">
        <v>7143</v>
      </c>
      <c r="EZ61" s="2" t="s">
        <v>7143</v>
      </c>
      <c r="FC61" s="2" t="s">
        <v>7218</v>
      </c>
      <c r="FD61" s="2" t="s">
        <v>7143</v>
      </c>
      <c r="FH61" s="2" t="s">
        <v>7173</v>
      </c>
      <c r="FJ61" s="2" t="s">
        <v>7143</v>
      </c>
      <c r="FK61" s="2" t="s">
        <v>7173</v>
      </c>
      <c r="FN61" s="2" t="s">
        <v>7344</v>
      </c>
      <c r="FR61" s="2" t="s">
        <v>708</v>
      </c>
      <c r="FT61" s="2" t="s">
        <v>7189</v>
      </c>
      <c r="FU61" s="2" t="s">
        <v>7189</v>
      </c>
      <c r="FV61" s="2" t="s">
        <v>7189</v>
      </c>
      <c r="FW61" s="2" t="s">
        <v>7189</v>
      </c>
      <c r="FX61" s="2" t="s">
        <v>7189</v>
      </c>
      <c r="FY61" s="2" t="s">
        <v>709</v>
      </c>
      <c r="FZ61" s="19" t="s">
        <v>7436</v>
      </c>
    </row>
    <row r="62" spans="1:182">
      <c r="A62" s="7" t="s">
        <v>710</v>
      </c>
      <c r="D62" s="15">
        <v>46030.769583333335</v>
      </c>
      <c r="E62" s="7" t="s">
        <v>711</v>
      </c>
      <c r="F62" s="7" t="s">
        <v>7319</v>
      </c>
      <c r="G62" s="7" t="s">
        <v>7135</v>
      </c>
      <c r="H62" s="7" t="s">
        <v>712</v>
      </c>
      <c r="I62" s="7" t="s">
        <v>713</v>
      </c>
      <c r="J62" s="16" t="s">
        <v>7437</v>
      </c>
      <c r="K62" s="7" t="s">
        <v>714</v>
      </c>
      <c r="L62" s="7" t="s">
        <v>7224</v>
      </c>
      <c r="M62" s="7" t="s">
        <v>7138</v>
      </c>
      <c r="N62" s="7">
        <v>2007</v>
      </c>
      <c r="O62" s="7" t="s">
        <v>7139</v>
      </c>
      <c r="P62" s="7" t="s">
        <v>7192</v>
      </c>
      <c r="Q62" s="7" t="s">
        <v>7141</v>
      </c>
      <c r="R62" s="7" t="s">
        <v>7143</v>
      </c>
      <c r="S62" s="7">
        <v>25</v>
      </c>
      <c r="T62" s="7" t="s">
        <v>7143</v>
      </c>
      <c r="U62" s="7" t="s">
        <v>7143</v>
      </c>
      <c r="Y62" s="2">
        <v>150</v>
      </c>
      <c r="Z62" s="17">
        <v>0.86670000000000003</v>
      </c>
      <c r="AA62" s="2">
        <v>130</v>
      </c>
      <c r="AB62" s="2">
        <v>125</v>
      </c>
      <c r="AC62" s="7">
        <v>115</v>
      </c>
      <c r="AD62" s="2">
        <v>130</v>
      </c>
      <c r="AE62" s="2">
        <v>15</v>
      </c>
      <c r="AF62" s="2" t="s">
        <v>7142</v>
      </c>
      <c r="AG62" s="2" t="s">
        <v>7143</v>
      </c>
      <c r="AH62" s="2" t="s">
        <v>7143</v>
      </c>
      <c r="AJ62" s="2" t="s">
        <v>7143</v>
      </c>
      <c r="AK62" s="2" t="s">
        <v>7142</v>
      </c>
      <c r="AL62" s="2" t="s">
        <v>7143</v>
      </c>
      <c r="AM62" s="2" t="s">
        <v>7142</v>
      </c>
      <c r="AN62" s="2" t="s">
        <v>7143</v>
      </c>
      <c r="AO62" s="2" t="s">
        <v>7143</v>
      </c>
      <c r="AR62" s="7">
        <v>0.3</v>
      </c>
      <c r="AS62" s="7">
        <v>1</v>
      </c>
      <c r="AT62" s="7">
        <v>1.3</v>
      </c>
      <c r="AU62" s="2" t="s">
        <v>7217</v>
      </c>
      <c r="AV62" s="2" t="s">
        <v>7217</v>
      </c>
      <c r="AW62" s="2" t="s">
        <v>7143</v>
      </c>
      <c r="AZ62" s="2" t="s">
        <v>7286</v>
      </c>
      <c r="BB62" s="2" t="s">
        <v>7214</v>
      </c>
      <c r="BC62" s="2" t="s">
        <v>7208</v>
      </c>
      <c r="BD62" s="2" t="s">
        <v>7143</v>
      </c>
      <c r="BE62" s="2" t="s">
        <v>7143</v>
      </c>
      <c r="BL62" s="2" t="s">
        <v>7195</v>
      </c>
      <c r="BO62" s="2" t="s">
        <v>7274</v>
      </c>
      <c r="BP62" s="2" t="s">
        <v>7275</v>
      </c>
      <c r="BS62" s="2" t="s">
        <v>7143</v>
      </c>
      <c r="BT62" s="2" t="s">
        <v>7238</v>
      </c>
      <c r="BU62" s="2" t="s">
        <v>544</v>
      </c>
      <c r="BV62" s="2" t="s">
        <v>7407</v>
      </c>
      <c r="BX62" s="2" t="s">
        <v>7143</v>
      </c>
      <c r="BZ62" s="2" t="s">
        <v>7173</v>
      </c>
      <c r="CE62" s="7">
        <v>1.3</v>
      </c>
      <c r="CF62" s="2">
        <v>130</v>
      </c>
      <c r="CK62" s="2">
        <v>100</v>
      </c>
      <c r="CO62" s="2">
        <v>100</v>
      </c>
      <c r="CR62" s="2" t="s">
        <v>7276</v>
      </c>
      <c r="CT62" s="2" t="s">
        <v>7143</v>
      </c>
      <c r="CU62" s="2" t="s">
        <v>7161</v>
      </c>
      <c r="CW62" s="2" t="s">
        <v>7162</v>
      </c>
      <c r="CY62" s="2" t="s">
        <v>7250</v>
      </c>
      <c r="CZ62" s="2" t="s">
        <v>7250</v>
      </c>
      <c r="DA62" s="2" t="s">
        <v>7250</v>
      </c>
      <c r="DB62" s="2" t="s">
        <v>7250</v>
      </c>
      <c r="DC62" s="2" t="s">
        <v>7321</v>
      </c>
      <c r="DD62" s="2" t="s">
        <v>7321</v>
      </c>
      <c r="DE62" s="2" t="s">
        <v>7250</v>
      </c>
      <c r="DF62" s="2" t="s">
        <v>7321</v>
      </c>
      <c r="DG62" s="2" t="s">
        <v>7321</v>
      </c>
      <c r="DH62" s="2" t="s">
        <v>7321</v>
      </c>
      <c r="DI62" s="2" t="s">
        <v>7321</v>
      </c>
      <c r="DL62" s="2" t="s">
        <v>7143</v>
      </c>
      <c r="DM62" s="2" t="s">
        <v>7143</v>
      </c>
      <c r="DP62" s="2" t="s">
        <v>7173</v>
      </c>
      <c r="DT62" s="2" t="s">
        <v>7159</v>
      </c>
      <c r="DU62" s="2" t="s">
        <v>7159</v>
      </c>
      <c r="DV62" s="2" t="s">
        <v>7159</v>
      </c>
      <c r="DW62" s="2" t="s">
        <v>7159</v>
      </c>
      <c r="DX62" s="2" t="s">
        <v>7159</v>
      </c>
      <c r="DY62" s="2" t="s">
        <v>7159</v>
      </c>
      <c r="DZ62" s="2" t="s">
        <v>7159</v>
      </c>
      <c r="EA62" s="2" t="s">
        <v>7159</v>
      </c>
      <c r="EB62" s="2" t="s">
        <v>7159</v>
      </c>
      <c r="EC62" s="2" t="s">
        <v>7159</v>
      </c>
      <c r="EF62" s="2" t="s">
        <v>7252</v>
      </c>
      <c r="EG62" s="2" t="s">
        <v>431</v>
      </c>
      <c r="EJ62" s="2" t="s">
        <v>7217</v>
      </c>
      <c r="EK62" s="2" t="s">
        <v>7143</v>
      </c>
      <c r="EL62" s="2" t="s">
        <v>7143</v>
      </c>
      <c r="EN62" s="2" t="s">
        <v>7210</v>
      </c>
      <c r="EP62" s="2" t="s">
        <v>7186</v>
      </c>
      <c r="ER62" s="2" t="s">
        <v>7143</v>
      </c>
      <c r="ET62" s="2" t="s">
        <v>7143</v>
      </c>
      <c r="EV62" s="2" t="s">
        <v>7143</v>
      </c>
      <c r="EX62" s="2" t="s">
        <v>7143</v>
      </c>
      <c r="EZ62" s="2" t="s">
        <v>7143</v>
      </c>
      <c r="FC62" s="2" t="s">
        <v>7218</v>
      </c>
      <c r="FD62" s="2" t="s">
        <v>7143</v>
      </c>
      <c r="FH62" s="2" t="s">
        <v>7173</v>
      </c>
      <c r="FJ62" s="2" t="s">
        <v>7143</v>
      </c>
      <c r="FK62" s="2" t="s">
        <v>7173</v>
      </c>
      <c r="FR62" s="2" t="s">
        <v>433</v>
      </c>
      <c r="FT62" s="2" t="s">
        <v>7176</v>
      </c>
      <c r="FU62" s="2" t="s">
        <v>7176</v>
      </c>
      <c r="FV62" s="2" t="s">
        <v>7189</v>
      </c>
      <c r="FW62" s="2" t="s">
        <v>7189</v>
      </c>
      <c r="FZ62" s="19" t="s">
        <v>7438</v>
      </c>
    </row>
    <row r="63" spans="1:182">
      <c r="A63" s="7" t="s">
        <v>715</v>
      </c>
      <c r="D63" s="15">
        <v>46030.783715277779</v>
      </c>
      <c r="E63" s="7" t="s">
        <v>716</v>
      </c>
      <c r="F63" s="7" t="s">
        <v>7389</v>
      </c>
      <c r="G63" s="7" t="s">
        <v>7135</v>
      </c>
      <c r="H63" s="7" t="s">
        <v>717</v>
      </c>
      <c r="I63" s="7" t="s">
        <v>718</v>
      </c>
      <c r="J63" s="16" t="s">
        <v>7439</v>
      </c>
      <c r="K63" s="7" t="s">
        <v>719</v>
      </c>
      <c r="L63" s="2" t="s">
        <v>7137</v>
      </c>
      <c r="M63" s="7" t="s">
        <v>7179</v>
      </c>
      <c r="N63" s="7">
        <v>1952</v>
      </c>
      <c r="O63" s="7" t="s">
        <v>7139</v>
      </c>
      <c r="P63" s="7" t="s">
        <v>7192</v>
      </c>
      <c r="Q63" s="2" t="s">
        <v>7182</v>
      </c>
      <c r="R63" s="2" t="s">
        <v>7143</v>
      </c>
      <c r="S63" s="2">
        <v>15</v>
      </c>
      <c r="T63" s="2" t="s">
        <v>7143</v>
      </c>
      <c r="U63" s="2" t="s">
        <v>7143</v>
      </c>
      <c r="Y63" s="2">
        <v>120</v>
      </c>
      <c r="Z63" s="17">
        <v>1</v>
      </c>
      <c r="AA63" s="2">
        <v>120</v>
      </c>
      <c r="AB63" s="2">
        <v>120</v>
      </c>
      <c r="AC63" s="7">
        <v>120</v>
      </c>
      <c r="AD63" s="2">
        <v>160</v>
      </c>
      <c r="AE63" s="2">
        <v>40</v>
      </c>
      <c r="AF63" s="2" t="s">
        <v>7143</v>
      </c>
      <c r="AG63" s="2" t="s">
        <v>7143</v>
      </c>
      <c r="AH63" s="2" t="s">
        <v>7143</v>
      </c>
      <c r="AJ63" s="2" t="s">
        <v>7143</v>
      </c>
      <c r="AK63" s="2" t="s">
        <v>7143</v>
      </c>
      <c r="AL63" s="2" t="s">
        <v>7143</v>
      </c>
      <c r="AM63" s="2" t="s">
        <v>7143</v>
      </c>
      <c r="AN63" s="2" t="s">
        <v>7143</v>
      </c>
      <c r="AO63" s="2" t="s">
        <v>7143</v>
      </c>
      <c r="AR63" s="7">
        <v>0.4</v>
      </c>
      <c r="AS63" s="7">
        <v>1</v>
      </c>
      <c r="AT63" s="7">
        <v>1.3</v>
      </c>
      <c r="AU63" s="2" t="s">
        <v>7193</v>
      </c>
      <c r="AV63" s="2" t="s">
        <v>7144</v>
      </c>
      <c r="AW63" s="2" t="s">
        <v>7143</v>
      </c>
      <c r="AZ63" s="2" t="s">
        <v>7337</v>
      </c>
      <c r="BB63" s="2" t="s">
        <v>7440</v>
      </c>
      <c r="BC63" s="2" t="s">
        <v>7247</v>
      </c>
      <c r="BD63" s="2" t="s">
        <v>7142</v>
      </c>
      <c r="BE63" s="2" t="s">
        <v>7142</v>
      </c>
      <c r="BF63" s="2" t="s">
        <v>7148</v>
      </c>
      <c r="BG63" s="2" t="s">
        <v>7441</v>
      </c>
      <c r="BH63" s="2" t="s">
        <v>7248</v>
      </c>
      <c r="BI63" s="2" t="s">
        <v>7396</v>
      </c>
      <c r="BL63" s="2" t="s">
        <v>7442</v>
      </c>
      <c r="BM63" s="2" t="s">
        <v>7153</v>
      </c>
      <c r="BN63" s="2" t="s">
        <v>7154</v>
      </c>
      <c r="BO63" s="2" t="s">
        <v>7274</v>
      </c>
      <c r="BP63" s="2" t="s">
        <v>7327</v>
      </c>
      <c r="BS63" s="2" t="s">
        <v>7142</v>
      </c>
      <c r="BT63" s="2" t="s">
        <v>7443</v>
      </c>
      <c r="BV63" s="2" t="s">
        <v>7444</v>
      </c>
      <c r="BW63" s="2" t="s">
        <v>724</v>
      </c>
      <c r="BX63" s="2" t="s">
        <v>7142</v>
      </c>
      <c r="BY63" s="2" t="s">
        <v>631</v>
      </c>
      <c r="BZ63" s="2" t="s">
        <v>7159</v>
      </c>
      <c r="CE63" s="7">
        <v>1.3</v>
      </c>
      <c r="CF63" s="2">
        <v>160</v>
      </c>
      <c r="CK63" s="2">
        <v>100</v>
      </c>
      <c r="CO63" s="2">
        <v>100</v>
      </c>
      <c r="CR63" s="2" t="s">
        <v>7160</v>
      </c>
      <c r="CT63" s="2" t="s">
        <v>7142</v>
      </c>
      <c r="CU63" s="2" t="s">
        <v>7161</v>
      </c>
      <c r="CW63" s="2" t="s">
        <v>7445</v>
      </c>
      <c r="CY63" s="2" t="s">
        <v>7250</v>
      </c>
      <c r="CZ63" s="2" t="s">
        <v>7250</v>
      </c>
      <c r="DA63" s="2" t="s">
        <v>7250</v>
      </c>
      <c r="DB63" s="2" t="s">
        <v>7250</v>
      </c>
      <c r="DC63" s="2" t="s">
        <v>7250</v>
      </c>
      <c r="DD63" s="2" t="s">
        <v>7250</v>
      </c>
      <c r="DE63" s="2" t="s">
        <v>7250</v>
      </c>
      <c r="DF63" s="2" t="s">
        <v>7250</v>
      </c>
      <c r="DG63" s="2" t="s">
        <v>7250</v>
      </c>
      <c r="DH63" s="2" t="s">
        <v>7321</v>
      </c>
      <c r="DI63" s="2" t="s">
        <v>7250</v>
      </c>
      <c r="DL63" s="2" t="s">
        <v>7143</v>
      </c>
      <c r="DM63" s="2" t="s">
        <v>7143</v>
      </c>
      <c r="DP63" s="2" t="s">
        <v>7173</v>
      </c>
      <c r="DT63" s="2" t="s">
        <v>7165</v>
      </c>
      <c r="DU63" s="2" t="s">
        <v>7165</v>
      </c>
      <c r="DV63" s="2" t="s">
        <v>7165</v>
      </c>
      <c r="DW63" s="2" t="s">
        <v>7173</v>
      </c>
      <c r="DX63" s="2" t="s">
        <v>7165</v>
      </c>
      <c r="DY63" s="2" t="s">
        <v>7173</v>
      </c>
      <c r="DZ63" s="2" t="s">
        <v>7173</v>
      </c>
      <c r="EA63" s="2" t="s">
        <v>7173</v>
      </c>
      <c r="EB63" s="2" t="s">
        <v>7173</v>
      </c>
      <c r="EC63" s="2" t="s">
        <v>7173</v>
      </c>
      <c r="EF63" s="2" t="s">
        <v>7221</v>
      </c>
      <c r="EG63" s="2" t="s">
        <v>726</v>
      </c>
      <c r="EJ63" s="2" t="s">
        <v>7217</v>
      </c>
      <c r="EK63" s="2" t="s">
        <v>7143</v>
      </c>
      <c r="EL63" s="2" t="s">
        <v>7143</v>
      </c>
      <c r="EN63" s="2" t="s">
        <v>7210</v>
      </c>
      <c r="EP63" s="2" t="s">
        <v>7186</v>
      </c>
      <c r="ER63" s="2" t="s">
        <v>7143</v>
      </c>
      <c r="ET63" s="2" t="s">
        <v>7143</v>
      </c>
      <c r="EV63" s="2" t="s">
        <v>7143</v>
      </c>
      <c r="EX63" s="2" t="s">
        <v>7143</v>
      </c>
      <c r="EZ63" s="2" t="s">
        <v>7143</v>
      </c>
      <c r="FC63" s="2" t="s">
        <v>7218</v>
      </c>
      <c r="FD63" s="2" t="s">
        <v>7143</v>
      </c>
      <c r="FH63" s="2" t="s">
        <v>7173</v>
      </c>
      <c r="FJ63" s="2" t="s">
        <v>7143</v>
      </c>
      <c r="FK63" s="2" t="s">
        <v>7173</v>
      </c>
      <c r="FN63" s="2" t="s">
        <v>7322</v>
      </c>
      <c r="FR63" s="2" t="s">
        <v>727</v>
      </c>
      <c r="FT63" s="2" t="s">
        <v>7176</v>
      </c>
      <c r="FU63" s="2" t="s">
        <v>7189</v>
      </c>
      <c r="FV63" s="2" t="s">
        <v>7176</v>
      </c>
      <c r="FW63" s="2" t="s">
        <v>7189</v>
      </c>
      <c r="FZ63" s="19" t="s">
        <v>7446</v>
      </c>
    </row>
    <row r="64" spans="1:182">
      <c r="A64" s="7" t="s">
        <v>728</v>
      </c>
      <c r="D64" s="15">
        <v>46030.342118055552</v>
      </c>
      <c r="E64" s="7" t="s">
        <v>729</v>
      </c>
      <c r="F64" s="7" t="s">
        <v>7319</v>
      </c>
      <c r="G64" s="7" t="s">
        <v>7135</v>
      </c>
      <c r="H64" s="7" t="s">
        <v>730</v>
      </c>
      <c r="I64" s="7" t="s">
        <v>731</v>
      </c>
      <c r="J64" s="16" t="s">
        <v>7447</v>
      </c>
      <c r="K64" s="7" t="s">
        <v>731</v>
      </c>
      <c r="L64" s="7" t="s">
        <v>7137</v>
      </c>
      <c r="M64" s="7" t="s">
        <v>7138</v>
      </c>
      <c r="N64" s="7">
        <v>1995</v>
      </c>
      <c r="O64" s="7" t="s">
        <v>7139</v>
      </c>
      <c r="P64" s="7" t="s">
        <v>7140</v>
      </c>
      <c r="Q64" s="7" t="s">
        <v>7182</v>
      </c>
      <c r="R64" s="7" t="s">
        <v>7143</v>
      </c>
      <c r="S64" s="7">
        <v>13</v>
      </c>
      <c r="T64" s="7" t="s">
        <v>7143</v>
      </c>
      <c r="U64" s="7" t="s">
        <v>7143</v>
      </c>
      <c r="Y64" s="7">
        <v>325</v>
      </c>
      <c r="Z64" s="17">
        <v>0.95379999999999998</v>
      </c>
      <c r="AA64" s="7">
        <v>310</v>
      </c>
      <c r="AB64" s="7">
        <v>310</v>
      </c>
      <c r="AC64" s="7">
        <v>310</v>
      </c>
      <c r="AD64" s="7">
        <v>350</v>
      </c>
      <c r="AE64" s="7">
        <v>40</v>
      </c>
      <c r="AF64" s="7" t="s">
        <v>7143</v>
      </c>
      <c r="AG64" s="7" t="s">
        <v>7143</v>
      </c>
      <c r="AH64" s="7" t="s">
        <v>7143</v>
      </c>
      <c r="AJ64" s="7" t="s">
        <v>7143</v>
      </c>
      <c r="AK64" s="7" t="s">
        <v>7143</v>
      </c>
      <c r="AL64" s="7" t="s">
        <v>7142</v>
      </c>
      <c r="AM64" s="7" t="s">
        <v>7143</v>
      </c>
      <c r="AN64" s="7" t="s">
        <v>7143</v>
      </c>
      <c r="AO64" s="7" t="s">
        <v>7143</v>
      </c>
      <c r="AR64" s="7">
        <v>0.9</v>
      </c>
      <c r="AS64" s="7">
        <v>3</v>
      </c>
      <c r="AT64" s="7">
        <v>3.5</v>
      </c>
      <c r="AU64" s="7" t="s">
        <v>7193</v>
      </c>
      <c r="AV64" s="7" t="s">
        <v>7193</v>
      </c>
      <c r="AW64" s="7" t="s">
        <v>7143</v>
      </c>
      <c r="AZ64" s="7" t="s">
        <v>7282</v>
      </c>
      <c r="BB64" s="7" t="s">
        <v>7268</v>
      </c>
      <c r="BC64" s="7" t="s">
        <v>7147</v>
      </c>
      <c r="BD64" s="7" t="s">
        <v>7143</v>
      </c>
      <c r="BE64" s="7" t="s">
        <v>7143</v>
      </c>
      <c r="BF64" s="7"/>
      <c r="BG64" s="7"/>
      <c r="BH64" s="7"/>
      <c r="BI64" s="7"/>
      <c r="BL64" s="7" t="s">
        <v>7152</v>
      </c>
      <c r="BM64" s="7" t="s">
        <v>7153</v>
      </c>
      <c r="BN64" s="7" t="s">
        <v>7154</v>
      </c>
      <c r="BO64" s="7" t="s">
        <v>7155</v>
      </c>
      <c r="BP64" s="7"/>
      <c r="BQ64" s="2" t="s">
        <v>7156</v>
      </c>
      <c r="BS64" s="7" t="s">
        <v>7142</v>
      </c>
      <c r="BT64" s="7" t="s">
        <v>7238</v>
      </c>
      <c r="BU64" s="7" t="s">
        <v>429</v>
      </c>
      <c r="BV64" s="7" t="s">
        <v>7363</v>
      </c>
      <c r="BX64" s="7" t="s">
        <v>7143</v>
      </c>
      <c r="BZ64" s="7" t="s">
        <v>7159</v>
      </c>
      <c r="CE64" s="7">
        <v>3.5</v>
      </c>
      <c r="CF64" s="2">
        <v>350</v>
      </c>
      <c r="CK64" s="2">
        <v>100</v>
      </c>
      <c r="CO64" s="2">
        <v>100</v>
      </c>
      <c r="CR64" s="2" t="s">
        <v>7276</v>
      </c>
      <c r="CT64" s="2" t="s">
        <v>7143</v>
      </c>
      <c r="CU64" s="2" t="s">
        <v>7161</v>
      </c>
      <c r="CW64" s="2" t="s">
        <v>7162</v>
      </c>
      <c r="CY64" s="2" t="s">
        <v>7250</v>
      </c>
      <c r="CZ64" s="2" t="s">
        <v>7250</v>
      </c>
      <c r="DA64" s="2" t="s">
        <v>7250</v>
      </c>
      <c r="DB64" s="2" t="s">
        <v>7250</v>
      </c>
      <c r="DC64" s="2" t="s">
        <v>7250</v>
      </c>
      <c r="DD64" s="2" t="s">
        <v>7321</v>
      </c>
      <c r="DE64" s="2" t="s">
        <v>7250</v>
      </c>
      <c r="DF64" s="2" t="s">
        <v>7250</v>
      </c>
      <c r="DG64" s="2" t="s">
        <v>7250</v>
      </c>
      <c r="DH64" s="2" t="s">
        <v>7250</v>
      </c>
      <c r="DI64" s="2" t="s">
        <v>7250</v>
      </c>
      <c r="DL64" s="2" t="s">
        <v>7143</v>
      </c>
      <c r="DM64" s="2" t="s">
        <v>7143</v>
      </c>
      <c r="DP64" s="2" t="s">
        <v>7173</v>
      </c>
      <c r="DT64" s="2" t="s">
        <v>7159</v>
      </c>
      <c r="DU64" s="2" t="s">
        <v>7159</v>
      </c>
      <c r="DV64" s="2" t="s">
        <v>7159</v>
      </c>
      <c r="DW64" s="2" t="s">
        <v>7159</v>
      </c>
      <c r="DX64" s="2" t="s">
        <v>7159</v>
      </c>
      <c r="DY64" s="2" t="s">
        <v>7159</v>
      </c>
      <c r="DZ64" s="2" t="s">
        <v>7159</v>
      </c>
      <c r="EA64" s="2" t="s">
        <v>7159</v>
      </c>
      <c r="EB64" s="2" t="s">
        <v>7159</v>
      </c>
      <c r="EC64" s="2" t="s">
        <v>7159</v>
      </c>
      <c r="EF64" s="2" t="s">
        <v>7252</v>
      </c>
      <c r="EG64" s="2" t="s">
        <v>431</v>
      </c>
      <c r="EJ64" s="7" t="s">
        <v>7193</v>
      </c>
      <c r="EK64" s="7" t="s">
        <v>7143</v>
      </c>
      <c r="EL64" s="7" t="s">
        <v>7143</v>
      </c>
      <c r="EN64" s="7" t="s">
        <v>7210</v>
      </c>
      <c r="EP64" s="7" t="s">
        <v>7186</v>
      </c>
      <c r="ER64" s="7" t="s">
        <v>7143</v>
      </c>
      <c r="ET64" s="7" t="s">
        <v>7143</v>
      </c>
      <c r="EV64" s="7" t="s">
        <v>7143</v>
      </c>
      <c r="EX64" s="7" t="s">
        <v>7143</v>
      </c>
      <c r="EZ64" s="7" t="s">
        <v>7143</v>
      </c>
      <c r="FC64" s="7" t="s">
        <v>7218</v>
      </c>
      <c r="FD64" s="7" t="s">
        <v>7143</v>
      </c>
      <c r="FH64" s="7" t="s">
        <v>7173</v>
      </c>
      <c r="FJ64" s="7" t="s">
        <v>7143</v>
      </c>
      <c r="FK64" s="7" t="s">
        <v>7173</v>
      </c>
      <c r="FN64" s="7" t="s">
        <v>7258</v>
      </c>
      <c r="FR64" s="7" t="s">
        <v>732</v>
      </c>
      <c r="FT64" s="7" t="s">
        <v>7176</v>
      </c>
      <c r="FU64" s="7" t="s">
        <v>7176</v>
      </c>
      <c r="FV64" s="7" t="s">
        <v>7176</v>
      </c>
      <c r="FW64" s="7" t="s">
        <v>7189</v>
      </c>
      <c r="FX64" s="7"/>
      <c r="FY64" s="7" t="s">
        <v>733</v>
      </c>
      <c r="FZ64" s="19" t="s">
        <v>7448</v>
      </c>
    </row>
    <row r="65" spans="1:182">
      <c r="A65" s="7" t="s">
        <v>734</v>
      </c>
      <c r="D65" s="15">
        <v>46030.787905092591</v>
      </c>
      <c r="E65" s="7" t="s">
        <v>735</v>
      </c>
      <c r="F65" s="7" t="s">
        <v>7339</v>
      </c>
      <c r="G65" s="7" t="s">
        <v>7135</v>
      </c>
      <c r="H65" s="7" t="s">
        <v>736</v>
      </c>
      <c r="I65" s="7" t="s">
        <v>737</v>
      </c>
      <c r="J65" s="16" t="s">
        <v>7449</v>
      </c>
      <c r="K65" s="7" t="s">
        <v>738</v>
      </c>
      <c r="L65" s="2" t="s">
        <v>7137</v>
      </c>
      <c r="M65" s="2" t="s">
        <v>7179</v>
      </c>
      <c r="N65" s="7">
        <v>1973</v>
      </c>
      <c r="O65" s="7" t="s">
        <v>7139</v>
      </c>
      <c r="P65" s="2" t="s">
        <v>7192</v>
      </c>
      <c r="Q65" s="2" t="s">
        <v>7450</v>
      </c>
      <c r="R65" s="2" t="s">
        <v>7143</v>
      </c>
      <c r="S65" s="2">
        <v>15</v>
      </c>
      <c r="T65" s="2" t="s">
        <v>7143</v>
      </c>
      <c r="U65" s="2" t="s">
        <v>7143</v>
      </c>
      <c r="Y65" s="2">
        <v>654</v>
      </c>
      <c r="Z65" s="17">
        <v>0.7248</v>
      </c>
      <c r="AA65" s="2">
        <v>474</v>
      </c>
      <c r="AB65" s="2">
        <v>474</v>
      </c>
      <c r="AC65" s="7">
        <v>474</v>
      </c>
      <c r="AD65" s="2">
        <v>594</v>
      </c>
      <c r="AE65" s="2">
        <v>120</v>
      </c>
      <c r="AF65" s="2" t="s">
        <v>7143</v>
      </c>
      <c r="AG65" s="2" t="s">
        <v>7143</v>
      </c>
      <c r="AH65" s="2" t="s">
        <v>7143</v>
      </c>
      <c r="AJ65" s="2" t="s">
        <v>7143</v>
      </c>
      <c r="AK65" s="2" t="s">
        <v>7143</v>
      </c>
      <c r="AL65" s="2" t="s">
        <v>7142</v>
      </c>
      <c r="AM65" s="2" t="s">
        <v>7143</v>
      </c>
      <c r="AN65" s="2" t="s">
        <v>7143</v>
      </c>
      <c r="AO65" s="2" t="s">
        <v>7143</v>
      </c>
      <c r="AR65" s="7">
        <v>2.1</v>
      </c>
      <c r="AS65" s="7">
        <v>2</v>
      </c>
      <c r="AT65" s="7">
        <v>6</v>
      </c>
      <c r="AU65" s="2" t="s">
        <v>7193</v>
      </c>
      <c r="AV65" s="2" t="s">
        <v>7193</v>
      </c>
      <c r="AW65" s="2" t="s">
        <v>7143</v>
      </c>
      <c r="BC65" s="2" t="s">
        <v>7147</v>
      </c>
      <c r="BD65" s="2" t="s">
        <v>7142</v>
      </c>
      <c r="BE65" s="2" t="s">
        <v>7143</v>
      </c>
      <c r="BL65" s="2" t="s">
        <v>7152</v>
      </c>
      <c r="BM65" s="2" t="s">
        <v>7355</v>
      </c>
      <c r="BN65" s="2" t="s">
        <v>7154</v>
      </c>
      <c r="BO65" s="2" t="s">
        <v>7155</v>
      </c>
      <c r="BQ65" s="2" t="s">
        <v>7183</v>
      </c>
      <c r="BS65" s="2" t="s">
        <v>7142</v>
      </c>
      <c r="BT65" s="2" t="s">
        <v>7416</v>
      </c>
      <c r="BV65" s="2" t="s">
        <v>7197</v>
      </c>
      <c r="BX65" s="2" t="s">
        <v>7142</v>
      </c>
      <c r="BY65" s="2" t="s">
        <v>740</v>
      </c>
      <c r="BZ65" s="2" t="s">
        <v>7165</v>
      </c>
      <c r="CA65" s="2" t="s">
        <v>741</v>
      </c>
      <c r="CE65" s="7">
        <v>6</v>
      </c>
      <c r="CF65" s="2">
        <v>594</v>
      </c>
      <c r="CM65" s="2">
        <v>100</v>
      </c>
      <c r="CO65" s="2">
        <v>100</v>
      </c>
      <c r="CR65" s="2" t="s">
        <v>7276</v>
      </c>
      <c r="CT65" s="2" t="s">
        <v>7143</v>
      </c>
      <c r="CU65" s="2" t="s">
        <v>7383</v>
      </c>
      <c r="CW65" s="2" t="s">
        <v>7162</v>
      </c>
      <c r="CY65" s="2" t="s">
        <v>7163</v>
      </c>
      <c r="CZ65" s="2" t="s">
        <v>7163</v>
      </c>
      <c r="DA65" s="2" t="s">
        <v>7163</v>
      </c>
      <c r="DB65" s="2" t="s">
        <v>7163</v>
      </c>
      <c r="DC65" s="2" t="s">
        <v>7321</v>
      </c>
      <c r="DD65" s="2" t="s">
        <v>7321</v>
      </c>
      <c r="DE65" s="2" t="s">
        <v>7250</v>
      </c>
      <c r="DF65" s="2" t="s">
        <v>7163</v>
      </c>
      <c r="DG65" s="2" t="s">
        <v>7227</v>
      </c>
      <c r="DH65" s="2" t="s">
        <v>7163</v>
      </c>
      <c r="DI65" s="2" t="s">
        <v>7163</v>
      </c>
      <c r="DL65" s="2" t="s">
        <v>7142</v>
      </c>
      <c r="DM65" s="2" t="s">
        <v>7142</v>
      </c>
      <c r="DN65" s="2" t="s">
        <v>7142</v>
      </c>
      <c r="DO65" s="2" t="s">
        <v>7142</v>
      </c>
      <c r="DP65" s="2" t="s">
        <v>7165</v>
      </c>
      <c r="DQ65" s="2" t="s">
        <v>7333</v>
      </c>
      <c r="DR65" s="2" t="s">
        <v>742</v>
      </c>
      <c r="DT65" s="2" t="s">
        <v>7165</v>
      </c>
      <c r="DU65" s="2" t="s">
        <v>7165</v>
      </c>
      <c r="DV65" s="2" t="s">
        <v>7165</v>
      </c>
      <c r="DW65" s="2" t="s">
        <v>7165</v>
      </c>
      <c r="DX65" s="2" t="s">
        <v>7165</v>
      </c>
      <c r="DY65" s="2" t="s">
        <v>7159</v>
      </c>
      <c r="DZ65" s="2" t="s">
        <v>7159</v>
      </c>
      <c r="EA65" s="2" t="s">
        <v>7165</v>
      </c>
      <c r="EB65" s="2" t="s">
        <v>7165</v>
      </c>
      <c r="EC65" s="2" t="s">
        <v>7159</v>
      </c>
      <c r="ED65" s="2" t="s">
        <v>7159</v>
      </c>
      <c r="EF65" s="2" t="s">
        <v>7221</v>
      </c>
      <c r="EG65" s="2" t="s">
        <v>743</v>
      </c>
      <c r="EJ65" s="2" t="s">
        <v>7193</v>
      </c>
      <c r="EK65" s="2" t="s">
        <v>7142</v>
      </c>
      <c r="EL65" s="2" t="s">
        <v>7143</v>
      </c>
      <c r="EN65" s="2" t="s">
        <v>7170</v>
      </c>
      <c r="EP65" s="2" t="s">
        <v>7186</v>
      </c>
      <c r="ER65" s="2" t="s">
        <v>7142</v>
      </c>
      <c r="ET65" s="2" t="s">
        <v>7143</v>
      </c>
      <c r="EV65" s="2" t="s">
        <v>7142</v>
      </c>
      <c r="EW65" s="2" t="s">
        <v>7171</v>
      </c>
      <c r="EX65" s="2" t="s">
        <v>7143</v>
      </c>
      <c r="EZ65" s="2" t="s">
        <v>7143</v>
      </c>
      <c r="FC65" s="2" t="s">
        <v>7218</v>
      </c>
      <c r="FD65" s="2" t="s">
        <v>7143</v>
      </c>
      <c r="FH65" s="2" t="s">
        <v>7173</v>
      </c>
      <c r="FJ65" s="2" t="s">
        <v>7143</v>
      </c>
      <c r="FK65" s="2" t="s">
        <v>7173</v>
      </c>
      <c r="FN65" s="2" t="s">
        <v>7344</v>
      </c>
      <c r="FR65" s="2" t="s">
        <v>744</v>
      </c>
      <c r="FT65" s="2" t="s">
        <v>7189</v>
      </c>
      <c r="FU65" s="2" t="s">
        <v>7189</v>
      </c>
      <c r="FV65" s="2" t="s">
        <v>7189</v>
      </c>
      <c r="FW65" s="2" t="s">
        <v>7189</v>
      </c>
      <c r="FZ65" s="19" t="s">
        <v>7451</v>
      </c>
    </row>
    <row r="66" spans="1:182">
      <c r="A66" s="7" t="s">
        <v>745</v>
      </c>
      <c r="D66" s="15">
        <v>46030.791655092595</v>
      </c>
      <c r="E66" s="7" t="s">
        <v>746</v>
      </c>
      <c r="F66" s="7" t="s">
        <v>7311</v>
      </c>
      <c r="G66" s="7" t="s">
        <v>7135</v>
      </c>
      <c r="H66" s="7" t="s">
        <v>665</v>
      </c>
      <c r="I66" s="7" t="s">
        <v>747</v>
      </c>
      <c r="J66" s="19" t="s">
        <v>7452</v>
      </c>
      <c r="K66" s="7" t="s">
        <v>748</v>
      </c>
      <c r="L66" s="7" t="s">
        <v>7137</v>
      </c>
      <c r="M66" s="7" t="s">
        <v>7138</v>
      </c>
      <c r="N66" s="7">
        <v>1990</v>
      </c>
      <c r="O66" s="7" t="s">
        <v>7139</v>
      </c>
      <c r="P66" s="7" t="s">
        <v>7192</v>
      </c>
      <c r="Q66" s="7" t="s">
        <v>7182</v>
      </c>
      <c r="R66" s="7" t="s">
        <v>7143</v>
      </c>
      <c r="S66" s="7">
        <v>10</v>
      </c>
      <c r="T66" s="7" t="s">
        <v>7143</v>
      </c>
      <c r="U66" s="7" t="s">
        <v>7143</v>
      </c>
      <c r="Y66" s="2">
        <v>300</v>
      </c>
      <c r="Z66" s="17">
        <v>1</v>
      </c>
      <c r="AA66" s="2">
        <v>300</v>
      </c>
      <c r="AB66" s="2">
        <v>300</v>
      </c>
      <c r="AC66" s="7">
        <v>300</v>
      </c>
      <c r="AD66" s="2">
        <v>350</v>
      </c>
      <c r="AE66" s="2">
        <v>50</v>
      </c>
      <c r="AF66" s="2" t="s">
        <v>7143</v>
      </c>
      <c r="AG66" s="2" t="s">
        <v>7143</v>
      </c>
      <c r="AH66" s="2" t="s">
        <v>7143</v>
      </c>
      <c r="AJ66" s="2" t="s">
        <v>7143</v>
      </c>
      <c r="AK66" s="2" t="s">
        <v>7143</v>
      </c>
      <c r="AL66" s="2" t="s">
        <v>7143</v>
      </c>
      <c r="AM66" s="2" t="s">
        <v>7143</v>
      </c>
      <c r="AN66" s="2" t="s">
        <v>7143</v>
      </c>
      <c r="AO66" s="2" t="s">
        <v>7143</v>
      </c>
      <c r="AR66" s="7">
        <v>0.72</v>
      </c>
      <c r="AS66" s="7">
        <v>3</v>
      </c>
      <c r="AT66" s="7">
        <v>3.5</v>
      </c>
      <c r="AU66" s="2" t="s">
        <v>7193</v>
      </c>
      <c r="AV66" s="2" t="s">
        <v>7193</v>
      </c>
      <c r="AW66" s="2" t="s">
        <v>7143</v>
      </c>
      <c r="BC66" s="2" t="s">
        <v>7147</v>
      </c>
      <c r="BD66" s="2" t="s">
        <v>7143</v>
      </c>
      <c r="BE66" s="2" t="s">
        <v>7143</v>
      </c>
      <c r="BL66" s="2" t="s">
        <v>7195</v>
      </c>
      <c r="BO66" s="2" t="s">
        <v>7155</v>
      </c>
      <c r="BQ66" s="2" t="s">
        <v>7156</v>
      </c>
      <c r="BS66" s="2" t="s">
        <v>7142</v>
      </c>
      <c r="BT66" s="2" t="s">
        <v>7315</v>
      </c>
      <c r="BV66" s="2" t="s">
        <v>7330</v>
      </c>
      <c r="BX66" s="2" t="s">
        <v>7143</v>
      </c>
      <c r="BY66" s="2" t="s">
        <v>749</v>
      </c>
      <c r="BZ66" s="2" t="s">
        <v>7159</v>
      </c>
      <c r="CE66" s="7">
        <v>3.5</v>
      </c>
      <c r="CF66" s="2">
        <v>350</v>
      </c>
      <c r="CK66" s="2">
        <v>100</v>
      </c>
      <c r="CP66" s="2">
        <v>100</v>
      </c>
      <c r="CR66" s="2" t="s">
        <v>7160</v>
      </c>
      <c r="CT66" s="2" t="s">
        <v>7143</v>
      </c>
      <c r="CU66" s="2" t="s">
        <v>7161</v>
      </c>
      <c r="CW66" s="2" t="s">
        <v>7162</v>
      </c>
      <c r="CY66" s="2" t="s">
        <v>7250</v>
      </c>
      <c r="CZ66" s="2" t="s">
        <v>7250</v>
      </c>
      <c r="DA66" s="2" t="s">
        <v>7250</v>
      </c>
      <c r="DB66" s="2" t="s">
        <v>7250</v>
      </c>
      <c r="DC66" s="2" t="s">
        <v>7250</v>
      </c>
      <c r="DD66" s="2" t="s">
        <v>7250</v>
      </c>
      <c r="DE66" s="2" t="s">
        <v>7250</v>
      </c>
      <c r="DF66" s="2" t="s">
        <v>7250</v>
      </c>
      <c r="DG66" s="2" t="s">
        <v>7250</v>
      </c>
      <c r="DH66" s="2" t="s">
        <v>7250</v>
      </c>
      <c r="DI66" s="2" t="s">
        <v>7250</v>
      </c>
      <c r="DL66" s="2" t="s">
        <v>7143</v>
      </c>
      <c r="DM66" s="2" t="s">
        <v>7143</v>
      </c>
      <c r="DP66" s="2" t="s">
        <v>7159</v>
      </c>
      <c r="DT66" s="2" t="s">
        <v>7159</v>
      </c>
      <c r="DU66" s="2" t="s">
        <v>7159</v>
      </c>
      <c r="DV66" s="2" t="s">
        <v>7159</v>
      </c>
      <c r="DW66" s="2" t="s">
        <v>7159</v>
      </c>
      <c r="DX66" s="2" t="s">
        <v>7159</v>
      </c>
      <c r="DY66" s="2" t="s">
        <v>7159</v>
      </c>
      <c r="DZ66" s="2" t="s">
        <v>7159</v>
      </c>
      <c r="EA66" s="2" t="s">
        <v>7159</v>
      </c>
      <c r="EB66" s="2" t="s">
        <v>7159</v>
      </c>
      <c r="EC66" s="2" t="s">
        <v>7159</v>
      </c>
      <c r="EF66" s="2" t="s">
        <v>7252</v>
      </c>
      <c r="EG66" s="2" t="s">
        <v>750</v>
      </c>
      <c r="EJ66" s="2" t="s">
        <v>7193</v>
      </c>
      <c r="EK66" s="2" t="s">
        <v>7143</v>
      </c>
      <c r="EL66" s="2" t="s">
        <v>7143</v>
      </c>
      <c r="EN66" s="2" t="s">
        <v>7170</v>
      </c>
      <c r="EP66" s="2" t="s">
        <v>7186</v>
      </c>
      <c r="ER66" s="2" t="s">
        <v>7143</v>
      </c>
      <c r="ET66" s="2" t="s">
        <v>7143</v>
      </c>
      <c r="EV66" s="2" t="s">
        <v>7143</v>
      </c>
      <c r="EX66" s="2" t="s">
        <v>7143</v>
      </c>
      <c r="EZ66" s="2" t="s">
        <v>7143</v>
      </c>
      <c r="FC66" s="2" t="s">
        <v>7172</v>
      </c>
      <c r="FD66" s="2" t="s">
        <v>7143</v>
      </c>
      <c r="FH66" s="2" t="s">
        <v>7173</v>
      </c>
      <c r="FJ66" s="2" t="s">
        <v>7143</v>
      </c>
      <c r="FK66" s="2" t="s">
        <v>7159</v>
      </c>
      <c r="FN66" s="2" t="s">
        <v>7322</v>
      </c>
      <c r="FR66" s="2" t="s">
        <v>751</v>
      </c>
      <c r="FT66" s="2" t="s">
        <v>7189</v>
      </c>
      <c r="FU66" s="2" t="s">
        <v>7189</v>
      </c>
      <c r="FV66" s="2" t="s">
        <v>7176</v>
      </c>
      <c r="FW66" s="2" t="s">
        <v>7176</v>
      </c>
      <c r="FX66" s="2" t="s">
        <v>7176</v>
      </c>
      <c r="FY66" s="2" t="s">
        <v>752</v>
      </c>
      <c r="FZ66" s="19" t="s">
        <v>7453</v>
      </c>
    </row>
    <row r="67" spans="1:182">
      <c r="A67" s="7" t="s">
        <v>753</v>
      </c>
      <c r="D67" s="15">
        <v>46030.744803240741</v>
      </c>
      <c r="E67" s="7" t="s">
        <v>754</v>
      </c>
      <c r="F67" s="7" t="s">
        <v>7339</v>
      </c>
      <c r="G67" s="7" t="s">
        <v>7135</v>
      </c>
      <c r="H67" s="7" t="s">
        <v>755</v>
      </c>
      <c r="I67" s="7" t="s">
        <v>756</v>
      </c>
      <c r="J67" s="19" t="s">
        <v>7343</v>
      </c>
      <c r="K67" s="7" t="s">
        <v>756</v>
      </c>
      <c r="L67" s="2" t="s">
        <v>7137</v>
      </c>
      <c r="M67" s="7" t="s">
        <v>7138</v>
      </c>
      <c r="N67" s="7">
        <v>1964</v>
      </c>
      <c r="O67" s="7" t="s">
        <v>7139</v>
      </c>
      <c r="P67" s="2" t="s">
        <v>7140</v>
      </c>
      <c r="Q67" s="2" t="s">
        <v>7182</v>
      </c>
      <c r="R67" s="2" t="s">
        <v>7143</v>
      </c>
      <c r="S67" s="2">
        <v>18</v>
      </c>
      <c r="T67" s="2" t="s">
        <v>7143</v>
      </c>
      <c r="U67" s="2" t="s">
        <v>7143</v>
      </c>
      <c r="Y67" s="2">
        <v>278</v>
      </c>
      <c r="Z67" s="17">
        <v>1</v>
      </c>
      <c r="AA67" s="2">
        <v>278</v>
      </c>
      <c r="AB67" s="2">
        <v>228</v>
      </c>
      <c r="AC67" s="7">
        <v>228</v>
      </c>
      <c r="AD67" s="2">
        <v>297</v>
      </c>
      <c r="AE67" s="2">
        <v>69</v>
      </c>
      <c r="AF67" s="2" t="s">
        <v>7143</v>
      </c>
      <c r="AG67" s="2" t="s">
        <v>7143</v>
      </c>
      <c r="AH67" s="2" t="s">
        <v>7143</v>
      </c>
      <c r="AJ67" s="2" t="s">
        <v>7143</v>
      </c>
      <c r="AK67" s="2" t="s">
        <v>7142</v>
      </c>
      <c r="AL67" s="2" t="s">
        <v>7143</v>
      </c>
      <c r="AM67" s="2" t="s">
        <v>7143</v>
      </c>
      <c r="AN67" s="2" t="s">
        <v>7143</v>
      </c>
      <c r="AO67" s="2" t="s">
        <v>7143</v>
      </c>
      <c r="AR67" s="7">
        <v>1</v>
      </c>
      <c r="AS67" s="7">
        <v>2</v>
      </c>
      <c r="AT67" s="7">
        <v>3</v>
      </c>
      <c r="AU67" s="2" t="s">
        <v>7193</v>
      </c>
      <c r="AV67" s="2" t="s">
        <v>7217</v>
      </c>
      <c r="AW67" s="2" t="s">
        <v>7143</v>
      </c>
      <c r="AZ67" s="2" t="s">
        <v>7299</v>
      </c>
      <c r="BB67" s="2" t="s">
        <v>7214</v>
      </c>
      <c r="BC67" s="2" t="s">
        <v>7247</v>
      </c>
      <c r="BD67" s="2" t="s">
        <v>7143</v>
      </c>
      <c r="BE67" s="2" t="s">
        <v>7142</v>
      </c>
      <c r="BF67" s="2" t="s">
        <v>7148</v>
      </c>
      <c r="BG67" s="2" t="s">
        <v>7149</v>
      </c>
      <c r="BH67" s="2" t="s">
        <v>7150</v>
      </c>
      <c r="BI67" s="2" t="s">
        <v>7151</v>
      </c>
      <c r="BL67" s="2" t="s">
        <v>7152</v>
      </c>
      <c r="BM67" s="2" t="s">
        <v>7153</v>
      </c>
      <c r="BN67" s="2" t="s">
        <v>7154</v>
      </c>
      <c r="BO67" s="2" t="s">
        <v>7155</v>
      </c>
      <c r="BQ67" s="2" t="s">
        <v>7183</v>
      </c>
      <c r="BS67" s="2" t="s">
        <v>7142</v>
      </c>
      <c r="BT67" s="2" t="s">
        <v>7341</v>
      </c>
      <c r="BV67" s="2" t="s">
        <v>7407</v>
      </c>
      <c r="BX67" s="2" t="s">
        <v>7142</v>
      </c>
      <c r="BY67" s="2" t="s">
        <v>757</v>
      </c>
      <c r="BZ67" s="2" t="s">
        <v>7173</v>
      </c>
      <c r="CE67" s="7">
        <v>3</v>
      </c>
      <c r="CF67" s="2">
        <v>297</v>
      </c>
      <c r="CK67" s="2">
        <v>100</v>
      </c>
      <c r="CO67" s="2">
        <v>100</v>
      </c>
      <c r="CR67" s="2" t="s">
        <v>7276</v>
      </c>
      <c r="CT67" s="2" t="s">
        <v>7143</v>
      </c>
      <c r="CU67" s="2" t="s">
        <v>7454</v>
      </c>
      <c r="CW67" s="2" t="s">
        <v>7162</v>
      </c>
      <c r="CY67" s="2" t="s">
        <v>7321</v>
      </c>
      <c r="CZ67" s="2" t="s">
        <v>7321</v>
      </c>
      <c r="DA67" s="2" t="s">
        <v>7321</v>
      </c>
      <c r="DB67" s="2" t="s">
        <v>7321</v>
      </c>
      <c r="DC67" s="2" t="s">
        <v>7321</v>
      </c>
      <c r="DD67" s="2" t="s">
        <v>7321</v>
      </c>
      <c r="DE67" s="2" t="s">
        <v>7321</v>
      </c>
      <c r="DF67" s="2" t="s">
        <v>7321</v>
      </c>
      <c r="DG67" s="2" t="s">
        <v>7321</v>
      </c>
      <c r="DH67" s="2" t="s">
        <v>7321</v>
      </c>
      <c r="DI67" s="2" t="s">
        <v>7321</v>
      </c>
      <c r="DL67" s="2" t="s">
        <v>7142</v>
      </c>
      <c r="DM67" s="2" t="s">
        <v>7142</v>
      </c>
      <c r="DN67" s="2" t="s">
        <v>7142</v>
      </c>
      <c r="DO67" s="2" t="s">
        <v>7142</v>
      </c>
      <c r="DP67" s="2" t="s">
        <v>7165</v>
      </c>
      <c r="DT67" s="2" t="s">
        <v>7159</v>
      </c>
      <c r="DU67" s="2" t="s">
        <v>7159</v>
      </c>
      <c r="DV67" s="2" t="s">
        <v>7159</v>
      </c>
      <c r="DW67" s="2" t="s">
        <v>7159</v>
      </c>
      <c r="DX67" s="2" t="s">
        <v>7159</v>
      </c>
      <c r="DY67" s="2" t="s">
        <v>7159</v>
      </c>
      <c r="DZ67" s="2" t="s">
        <v>7159</v>
      </c>
      <c r="EA67" s="2" t="s">
        <v>7159</v>
      </c>
      <c r="EB67" s="2" t="s">
        <v>7159</v>
      </c>
      <c r="EC67" s="2" t="s">
        <v>7159</v>
      </c>
      <c r="ED67" s="2" t="s">
        <v>7159</v>
      </c>
      <c r="EF67" s="2" t="s">
        <v>7252</v>
      </c>
      <c r="EG67" s="2" t="s">
        <v>759</v>
      </c>
      <c r="EJ67" s="2" t="s">
        <v>7193</v>
      </c>
      <c r="EK67" s="2" t="s">
        <v>7143</v>
      </c>
      <c r="EL67" s="2" t="s">
        <v>7143</v>
      </c>
      <c r="EN67" s="2" t="s">
        <v>7392</v>
      </c>
      <c r="EP67" s="2" t="s">
        <v>7186</v>
      </c>
      <c r="ER67" s="2" t="s">
        <v>7143</v>
      </c>
      <c r="ET67" s="2" t="s">
        <v>7143</v>
      </c>
      <c r="EV67" s="2" t="s">
        <v>7143</v>
      </c>
      <c r="EX67" s="2" t="s">
        <v>7143</v>
      </c>
      <c r="EZ67" s="2" t="s">
        <v>7143</v>
      </c>
      <c r="FC67" s="2" t="s">
        <v>7218</v>
      </c>
      <c r="FD67" s="2" t="s">
        <v>7143</v>
      </c>
      <c r="FH67" s="2" t="s">
        <v>7173</v>
      </c>
      <c r="FJ67" s="2" t="s">
        <v>7143</v>
      </c>
      <c r="FK67" s="2" t="s">
        <v>7173</v>
      </c>
      <c r="FN67" s="2" t="s">
        <v>7344</v>
      </c>
      <c r="FR67" s="2" t="s">
        <v>760</v>
      </c>
      <c r="FT67" s="2" t="s">
        <v>7189</v>
      </c>
      <c r="FU67" s="2" t="s">
        <v>7189</v>
      </c>
      <c r="FV67" s="2" t="s">
        <v>7189</v>
      </c>
      <c r="FX67" s="2" t="s">
        <v>7345</v>
      </c>
      <c r="FZ67" s="19" t="s">
        <v>7455</v>
      </c>
    </row>
    <row r="68" spans="1:182">
      <c r="A68" s="7" t="s">
        <v>761</v>
      </c>
      <c r="D68" s="15">
        <v>46030.740983796299</v>
      </c>
      <c r="E68" s="7" t="s">
        <v>762</v>
      </c>
      <c r="F68" s="7" t="s">
        <v>7389</v>
      </c>
      <c r="G68" s="7" t="s">
        <v>7135</v>
      </c>
      <c r="H68" s="7" t="s">
        <v>763</v>
      </c>
      <c r="I68" s="7" t="s">
        <v>764</v>
      </c>
      <c r="J68" s="16" t="s">
        <v>7456</v>
      </c>
      <c r="K68" s="7" t="s">
        <v>765</v>
      </c>
      <c r="L68" s="2" t="s">
        <v>7137</v>
      </c>
      <c r="M68" s="7" t="s">
        <v>7179</v>
      </c>
      <c r="N68" s="7">
        <v>1996</v>
      </c>
      <c r="O68" s="7" t="s">
        <v>7139</v>
      </c>
      <c r="P68" s="2" t="s">
        <v>7181</v>
      </c>
      <c r="Q68" s="2" t="s">
        <v>7225</v>
      </c>
      <c r="R68" s="2" t="s">
        <v>7143</v>
      </c>
      <c r="S68" s="2">
        <v>17</v>
      </c>
      <c r="T68" s="2" t="s">
        <v>7143</v>
      </c>
      <c r="U68" s="2" t="s">
        <v>7143</v>
      </c>
      <c r="Y68" s="2">
        <v>160</v>
      </c>
      <c r="Z68" s="17">
        <v>1</v>
      </c>
      <c r="AA68" s="2">
        <v>160</v>
      </c>
      <c r="AB68" s="2">
        <v>160</v>
      </c>
      <c r="AC68" s="7">
        <v>160</v>
      </c>
      <c r="AD68" s="2">
        <v>200</v>
      </c>
      <c r="AE68" s="2">
        <v>40</v>
      </c>
      <c r="AF68" s="2" t="s">
        <v>7143</v>
      </c>
      <c r="AG68" s="2" t="s">
        <v>7143</v>
      </c>
      <c r="AH68" s="2" t="s">
        <v>7143</v>
      </c>
      <c r="AJ68" s="2" t="s">
        <v>7143</v>
      </c>
      <c r="AK68" s="2" t="s">
        <v>7143</v>
      </c>
      <c r="AL68" s="2" t="s">
        <v>7143</v>
      </c>
      <c r="AM68" s="2" t="s">
        <v>7143</v>
      </c>
      <c r="AN68" s="2" t="s">
        <v>7143</v>
      </c>
      <c r="AO68" s="2" t="s">
        <v>7143</v>
      </c>
      <c r="AR68" s="7">
        <v>0.5</v>
      </c>
      <c r="AS68" s="7">
        <v>1</v>
      </c>
      <c r="AT68" s="7">
        <v>2</v>
      </c>
      <c r="AU68" s="2" t="s">
        <v>7217</v>
      </c>
      <c r="AV68" s="2" t="s">
        <v>7217</v>
      </c>
      <c r="AW68" s="2" t="s">
        <v>7143</v>
      </c>
      <c r="AZ68" s="2" t="s">
        <v>7337</v>
      </c>
      <c r="BB68" s="2" t="s">
        <v>7214</v>
      </c>
      <c r="BC68" s="2" t="s">
        <v>7247</v>
      </c>
      <c r="BD68" s="2" t="s">
        <v>7142</v>
      </c>
      <c r="BE68" s="2" t="s">
        <v>7142</v>
      </c>
      <c r="BF68" s="2" t="s">
        <v>7148</v>
      </c>
      <c r="BG68" s="2" t="s">
        <v>7149</v>
      </c>
      <c r="BH68" s="2" t="s">
        <v>7150</v>
      </c>
      <c r="BI68" s="2" t="s">
        <v>7151</v>
      </c>
      <c r="BL68" s="2" t="s">
        <v>7152</v>
      </c>
      <c r="BM68" s="2" t="s">
        <v>7355</v>
      </c>
      <c r="BN68" s="2" t="s">
        <v>7154</v>
      </c>
      <c r="BO68" s="2" t="s">
        <v>7155</v>
      </c>
      <c r="BQ68" s="2" t="s">
        <v>7183</v>
      </c>
      <c r="BS68" s="2" t="s">
        <v>7142</v>
      </c>
      <c r="BT68" s="2" t="s">
        <v>7416</v>
      </c>
      <c r="BV68" s="2" t="s">
        <v>7197</v>
      </c>
      <c r="BX68" s="2" t="s">
        <v>7142</v>
      </c>
      <c r="BY68" s="2" t="s">
        <v>766</v>
      </c>
      <c r="BZ68" s="2" t="s">
        <v>7159</v>
      </c>
      <c r="CE68" s="7">
        <v>2</v>
      </c>
      <c r="CF68" s="2">
        <v>200</v>
      </c>
      <c r="CM68" s="2">
        <v>100</v>
      </c>
      <c r="CO68" s="2">
        <v>100</v>
      </c>
      <c r="CR68" s="2" t="s">
        <v>7276</v>
      </c>
      <c r="CT68" s="2" t="s">
        <v>7143</v>
      </c>
      <c r="CU68" s="2" t="s">
        <v>7161</v>
      </c>
      <c r="CW68" s="2" t="s">
        <v>7162</v>
      </c>
      <c r="CY68" s="2" t="s">
        <v>7163</v>
      </c>
      <c r="CZ68" s="2" t="s">
        <v>7250</v>
      </c>
      <c r="DA68" s="2" t="s">
        <v>7250</v>
      </c>
      <c r="DB68" s="2" t="s">
        <v>7250</v>
      </c>
      <c r="DC68" s="2" t="s">
        <v>7321</v>
      </c>
      <c r="DD68" s="2" t="s">
        <v>7321</v>
      </c>
      <c r="DE68" s="2" t="s">
        <v>7250</v>
      </c>
      <c r="DF68" s="2" t="s">
        <v>7250</v>
      </c>
      <c r="DG68" s="2" t="s">
        <v>7250</v>
      </c>
      <c r="DH68" s="2" t="s">
        <v>7250</v>
      </c>
      <c r="DI68" s="2" t="s">
        <v>7321</v>
      </c>
      <c r="DL68" s="2" t="s">
        <v>7143</v>
      </c>
      <c r="DM68" s="2" t="s">
        <v>7142</v>
      </c>
      <c r="DN68" s="2" t="s">
        <v>7143</v>
      </c>
      <c r="DO68" s="2" t="s">
        <v>7142</v>
      </c>
      <c r="DP68" s="2" t="s">
        <v>7159</v>
      </c>
      <c r="DT68" s="2" t="s">
        <v>7165</v>
      </c>
      <c r="DU68" s="2" t="s">
        <v>7159</v>
      </c>
      <c r="DV68" s="2" t="s">
        <v>7165</v>
      </c>
      <c r="DW68" s="2" t="s">
        <v>7165</v>
      </c>
      <c r="DX68" s="2" t="s">
        <v>7159</v>
      </c>
      <c r="DY68" s="2" t="s">
        <v>7159</v>
      </c>
      <c r="DZ68" s="2" t="s">
        <v>7159</v>
      </c>
      <c r="EA68" s="2" t="s">
        <v>7159</v>
      </c>
      <c r="EB68" s="2" t="s">
        <v>7165</v>
      </c>
      <c r="EC68" s="2" t="s">
        <v>7173</v>
      </c>
      <c r="EF68" s="2" t="s">
        <v>7457</v>
      </c>
      <c r="EG68" s="2" t="s">
        <v>768</v>
      </c>
      <c r="EJ68" s="2" t="s">
        <v>7217</v>
      </c>
      <c r="EK68" s="2" t="s">
        <v>7143</v>
      </c>
      <c r="EL68" s="2" t="s">
        <v>7143</v>
      </c>
      <c r="EN68" s="2" t="s">
        <v>7210</v>
      </c>
      <c r="EP68" s="2" t="s">
        <v>7186</v>
      </c>
      <c r="ER68" s="2" t="s">
        <v>7143</v>
      </c>
      <c r="ET68" s="2" t="s">
        <v>7143</v>
      </c>
      <c r="EV68" s="2" t="s">
        <v>7143</v>
      </c>
      <c r="EX68" s="2" t="s">
        <v>7143</v>
      </c>
      <c r="EZ68" s="2" t="s">
        <v>7143</v>
      </c>
      <c r="FC68" s="2" t="s">
        <v>7218</v>
      </c>
      <c r="FD68" s="2" t="s">
        <v>7143</v>
      </c>
      <c r="FH68" s="2" t="s">
        <v>7173</v>
      </c>
      <c r="FJ68" s="2" t="s">
        <v>7143</v>
      </c>
      <c r="FK68" s="2" t="s">
        <v>7165</v>
      </c>
      <c r="FL68" s="2" t="s">
        <v>7260</v>
      </c>
      <c r="FN68" s="2" t="s">
        <v>7458</v>
      </c>
      <c r="FR68" s="2" t="s">
        <v>770</v>
      </c>
      <c r="FT68" s="2" t="s">
        <v>7176</v>
      </c>
      <c r="FU68" s="2" t="s">
        <v>7176</v>
      </c>
      <c r="FV68" s="2" t="s">
        <v>7176</v>
      </c>
      <c r="FW68" s="2" t="s">
        <v>7189</v>
      </c>
      <c r="FZ68" s="19" t="s">
        <v>7459</v>
      </c>
    </row>
    <row r="69" spans="1:182">
      <c r="A69" s="7" t="s">
        <v>771</v>
      </c>
      <c r="D69" s="15">
        <v>46030.726550925923</v>
      </c>
      <c r="E69" s="7" t="s">
        <v>772</v>
      </c>
      <c r="F69" s="7" t="s">
        <v>7319</v>
      </c>
      <c r="G69" s="7" t="s">
        <v>7135</v>
      </c>
      <c r="H69" s="7" t="s">
        <v>773</v>
      </c>
      <c r="I69" s="7" t="s">
        <v>774</v>
      </c>
      <c r="J69" s="7"/>
      <c r="K69" s="7" t="s">
        <v>774</v>
      </c>
      <c r="L69" s="7" t="s">
        <v>7137</v>
      </c>
      <c r="M69" s="7" t="s">
        <v>7179</v>
      </c>
      <c r="N69" s="7">
        <v>1964</v>
      </c>
      <c r="O69" s="7" t="s">
        <v>7139</v>
      </c>
      <c r="P69" s="7" t="s">
        <v>7140</v>
      </c>
      <c r="Q69" s="7" t="s">
        <v>7225</v>
      </c>
      <c r="R69" s="7" t="s">
        <v>7143</v>
      </c>
      <c r="S69" s="2">
        <v>30</v>
      </c>
      <c r="T69" s="2" t="s">
        <v>7143</v>
      </c>
      <c r="U69" s="7" t="s">
        <v>7143</v>
      </c>
      <c r="Y69" s="2">
        <v>90</v>
      </c>
      <c r="Z69" s="17">
        <v>1</v>
      </c>
      <c r="AA69" s="2">
        <v>90</v>
      </c>
      <c r="AB69" s="2">
        <v>80</v>
      </c>
      <c r="AC69" s="7">
        <v>75</v>
      </c>
      <c r="AD69" s="2">
        <v>100</v>
      </c>
      <c r="AE69" s="2">
        <v>25</v>
      </c>
      <c r="AF69" s="2" t="s">
        <v>7142</v>
      </c>
      <c r="AG69" s="2" t="s">
        <v>7143</v>
      </c>
      <c r="AH69" s="2" t="s">
        <v>7143</v>
      </c>
      <c r="AJ69" s="2" t="s">
        <v>7143</v>
      </c>
      <c r="AK69" s="2" t="s">
        <v>7142</v>
      </c>
      <c r="AL69" s="2" t="s">
        <v>7143</v>
      </c>
      <c r="AM69" s="2" t="s">
        <v>7143</v>
      </c>
      <c r="AN69" s="2" t="s">
        <v>7143</v>
      </c>
      <c r="AO69" s="2" t="s">
        <v>7143</v>
      </c>
      <c r="AR69" s="7">
        <v>0.3</v>
      </c>
      <c r="AS69" s="7">
        <v>3</v>
      </c>
      <c r="AT69" s="7">
        <v>1</v>
      </c>
      <c r="AU69" s="2" t="s">
        <v>7217</v>
      </c>
      <c r="AV69" s="2" t="s">
        <v>7217</v>
      </c>
      <c r="AW69" s="2" t="s">
        <v>7143</v>
      </c>
      <c r="AZ69" s="2" t="s">
        <v>7286</v>
      </c>
      <c r="BB69" s="2" t="s">
        <v>7214</v>
      </c>
      <c r="BC69" s="2" t="s">
        <v>7208</v>
      </c>
      <c r="BD69" s="2" t="s">
        <v>7143</v>
      </c>
      <c r="BE69" s="2" t="s">
        <v>7143</v>
      </c>
      <c r="BL69" s="2" t="s">
        <v>7195</v>
      </c>
      <c r="BO69" s="2" t="s">
        <v>7274</v>
      </c>
      <c r="BP69" s="2" t="s">
        <v>7275</v>
      </c>
      <c r="BS69" s="2" t="s">
        <v>7143</v>
      </c>
      <c r="BT69" s="2" t="s">
        <v>7362</v>
      </c>
      <c r="BV69" s="2" t="s">
        <v>7184</v>
      </c>
      <c r="BX69" s="2" t="s">
        <v>7143</v>
      </c>
      <c r="BZ69" s="2" t="s">
        <v>7173</v>
      </c>
      <c r="CE69" s="7">
        <v>1</v>
      </c>
      <c r="CF69" s="2">
        <v>100</v>
      </c>
      <c r="CK69" s="2">
        <v>100</v>
      </c>
      <c r="CO69" s="2">
        <v>100</v>
      </c>
      <c r="CR69" s="2" t="s">
        <v>7160</v>
      </c>
      <c r="CT69" s="2" t="s">
        <v>7143</v>
      </c>
      <c r="CU69" s="2" t="s">
        <v>7161</v>
      </c>
      <c r="CW69" s="2" t="s">
        <v>7162</v>
      </c>
      <c r="CY69" s="2" t="s">
        <v>7250</v>
      </c>
      <c r="CZ69" s="2" t="s">
        <v>7250</v>
      </c>
      <c r="DA69" s="2" t="s">
        <v>7250</v>
      </c>
      <c r="DB69" s="2" t="s">
        <v>7250</v>
      </c>
      <c r="DC69" s="2" t="s">
        <v>7321</v>
      </c>
      <c r="DD69" s="2" t="s">
        <v>7321</v>
      </c>
      <c r="DE69" s="2" t="s">
        <v>7250</v>
      </c>
      <c r="DF69" s="2" t="s">
        <v>7321</v>
      </c>
      <c r="DG69" s="2" t="s">
        <v>7321</v>
      </c>
      <c r="DH69" s="2" t="s">
        <v>7321</v>
      </c>
      <c r="DI69" s="2" t="s">
        <v>7321</v>
      </c>
      <c r="DL69" s="2" t="s">
        <v>7143</v>
      </c>
      <c r="DM69" s="2" t="s">
        <v>7143</v>
      </c>
      <c r="DP69" s="2" t="s">
        <v>7173</v>
      </c>
      <c r="DT69" s="2" t="s">
        <v>7159</v>
      </c>
      <c r="DU69" s="2" t="s">
        <v>7159</v>
      </c>
      <c r="DV69" s="2" t="s">
        <v>7159</v>
      </c>
      <c r="DW69" s="2" t="s">
        <v>7159</v>
      </c>
      <c r="DX69" s="2" t="s">
        <v>7159</v>
      </c>
      <c r="DY69" s="2" t="s">
        <v>7159</v>
      </c>
      <c r="DZ69" s="2" t="s">
        <v>7159</v>
      </c>
      <c r="EA69" s="2" t="s">
        <v>7159</v>
      </c>
      <c r="EB69" s="2" t="s">
        <v>7159</v>
      </c>
      <c r="EC69" s="2" t="s">
        <v>7159</v>
      </c>
      <c r="EF69" s="2" t="s">
        <v>7349</v>
      </c>
      <c r="EG69" s="2" t="s">
        <v>431</v>
      </c>
      <c r="EJ69" s="2" t="s">
        <v>7217</v>
      </c>
      <c r="EK69" s="2" t="s">
        <v>7143</v>
      </c>
      <c r="EL69" s="2" t="s">
        <v>7143</v>
      </c>
      <c r="EN69" s="2" t="s">
        <v>7210</v>
      </c>
      <c r="EP69" s="2" t="s">
        <v>7186</v>
      </c>
      <c r="ER69" s="2" t="s">
        <v>7143</v>
      </c>
      <c r="ET69" s="2" t="s">
        <v>7143</v>
      </c>
      <c r="EV69" s="2" t="s">
        <v>7143</v>
      </c>
      <c r="EX69" s="2" t="s">
        <v>7143</v>
      </c>
      <c r="EZ69" s="2" t="s">
        <v>7143</v>
      </c>
      <c r="FC69" s="2" t="s">
        <v>7309</v>
      </c>
      <c r="FD69" s="2" t="s">
        <v>7143</v>
      </c>
      <c r="FH69" s="2" t="s">
        <v>7173</v>
      </c>
      <c r="FJ69" s="2" t="s">
        <v>7143</v>
      </c>
      <c r="FK69" s="2" t="s">
        <v>7173</v>
      </c>
      <c r="FR69" s="2" t="s">
        <v>775</v>
      </c>
      <c r="FT69" s="2" t="s">
        <v>7176</v>
      </c>
      <c r="FU69" s="2" t="s">
        <v>7189</v>
      </c>
      <c r="FV69" s="2" t="s">
        <v>7189</v>
      </c>
      <c r="FW69" s="2" t="s">
        <v>7189</v>
      </c>
      <c r="FZ69" s="19" t="s">
        <v>7460</v>
      </c>
    </row>
    <row r="70" spans="1:182">
      <c r="A70" s="7" t="s">
        <v>776</v>
      </c>
      <c r="D70" s="15">
        <v>46030.573611111111</v>
      </c>
      <c r="E70" s="7" t="s">
        <v>777</v>
      </c>
      <c r="F70" s="7" t="s">
        <v>7389</v>
      </c>
      <c r="G70" s="7" t="s">
        <v>7135</v>
      </c>
      <c r="H70" s="7" t="s">
        <v>778</v>
      </c>
      <c r="I70" s="7" t="s">
        <v>779</v>
      </c>
      <c r="J70" s="16" t="s">
        <v>7461</v>
      </c>
      <c r="K70" s="7" t="s">
        <v>780</v>
      </c>
      <c r="L70" s="7" t="s">
        <v>7137</v>
      </c>
      <c r="M70" s="7" t="s">
        <v>7179</v>
      </c>
      <c r="N70" s="7">
        <v>1984</v>
      </c>
      <c r="O70" s="7" t="s">
        <v>7139</v>
      </c>
      <c r="P70" s="7" t="s">
        <v>7181</v>
      </c>
      <c r="Q70" s="7" t="s">
        <v>7395</v>
      </c>
      <c r="R70" s="2" t="s">
        <v>7143</v>
      </c>
      <c r="S70" s="2">
        <v>23</v>
      </c>
      <c r="T70" s="2" t="s">
        <v>7143</v>
      </c>
      <c r="U70" s="2" t="s">
        <v>7143</v>
      </c>
      <c r="Y70" s="2">
        <v>70</v>
      </c>
      <c r="Z70" s="17">
        <v>1</v>
      </c>
      <c r="AA70" s="2">
        <v>70</v>
      </c>
      <c r="AB70" s="2">
        <v>70</v>
      </c>
      <c r="AC70" s="7">
        <v>70</v>
      </c>
      <c r="AD70" s="2">
        <v>110</v>
      </c>
      <c r="AE70" s="2">
        <v>40</v>
      </c>
      <c r="AF70" s="2" t="s">
        <v>7143</v>
      </c>
      <c r="AG70" s="2" t="s">
        <v>7143</v>
      </c>
      <c r="AH70" s="2" t="s">
        <v>7143</v>
      </c>
      <c r="AJ70" s="2" t="s">
        <v>7143</v>
      </c>
      <c r="AK70" s="2" t="s">
        <v>7143</v>
      </c>
      <c r="AL70" s="2" t="s">
        <v>7143</v>
      </c>
      <c r="AM70" s="2" t="s">
        <v>7143</v>
      </c>
      <c r="AN70" s="2" t="s">
        <v>7143</v>
      </c>
      <c r="AO70" s="2" t="s">
        <v>7143</v>
      </c>
      <c r="AR70" s="7">
        <v>0.4</v>
      </c>
      <c r="AS70" s="7">
        <v>1</v>
      </c>
      <c r="AT70" s="7">
        <v>1</v>
      </c>
      <c r="AU70" s="2" t="s">
        <v>7217</v>
      </c>
      <c r="AV70" s="2" t="s">
        <v>7217</v>
      </c>
      <c r="AW70" s="2" t="s">
        <v>7143</v>
      </c>
      <c r="AZ70" s="2" t="s">
        <v>7145</v>
      </c>
      <c r="BB70" s="2" t="s">
        <v>7214</v>
      </c>
      <c r="BC70" s="2" t="s">
        <v>7208</v>
      </c>
      <c r="BD70" s="2" t="s">
        <v>7143</v>
      </c>
      <c r="BE70" s="2" t="s">
        <v>7142</v>
      </c>
      <c r="BF70" s="2" t="s">
        <v>7148</v>
      </c>
      <c r="BG70" s="2" t="s">
        <v>7149</v>
      </c>
      <c r="BH70" s="2" t="s">
        <v>7248</v>
      </c>
      <c r="BI70" s="2" t="s">
        <v>7151</v>
      </c>
      <c r="BL70" s="2" t="s">
        <v>7195</v>
      </c>
      <c r="BO70" s="2" t="s">
        <v>7274</v>
      </c>
      <c r="BP70" s="2" t="s">
        <v>7275</v>
      </c>
      <c r="BS70" s="2" t="s">
        <v>7143</v>
      </c>
      <c r="BT70" s="2" t="s">
        <v>7443</v>
      </c>
      <c r="BV70" s="2" t="s">
        <v>7304</v>
      </c>
      <c r="BX70" s="2" t="s">
        <v>7143</v>
      </c>
      <c r="BZ70" s="2" t="s">
        <v>7159</v>
      </c>
      <c r="CE70" s="7">
        <v>1</v>
      </c>
      <c r="CF70" s="2">
        <v>110</v>
      </c>
      <c r="CK70" s="2">
        <v>100</v>
      </c>
      <c r="CO70" s="2">
        <v>100</v>
      </c>
      <c r="CR70" s="2" t="s">
        <v>7276</v>
      </c>
      <c r="CT70" s="2" t="s">
        <v>7143</v>
      </c>
      <c r="CU70" s="2" t="s">
        <v>7161</v>
      </c>
      <c r="CW70" s="2" t="s">
        <v>7162</v>
      </c>
      <c r="CY70" s="2" t="s">
        <v>7250</v>
      </c>
      <c r="CZ70" s="2" t="s">
        <v>7250</v>
      </c>
      <c r="DA70" s="2" t="s">
        <v>7250</v>
      </c>
      <c r="DB70" s="2" t="s">
        <v>7250</v>
      </c>
      <c r="DC70" s="2" t="s">
        <v>7321</v>
      </c>
      <c r="DD70" s="2" t="s">
        <v>7250</v>
      </c>
      <c r="DE70" s="2" t="s">
        <v>7250</v>
      </c>
      <c r="DF70" s="2" t="s">
        <v>7250</v>
      </c>
      <c r="DG70" s="2" t="s">
        <v>7250</v>
      </c>
      <c r="DH70" s="2" t="s">
        <v>7321</v>
      </c>
      <c r="DI70" s="2" t="s">
        <v>7321</v>
      </c>
      <c r="DL70" s="2" t="s">
        <v>7143</v>
      </c>
      <c r="DM70" s="2" t="s">
        <v>7143</v>
      </c>
      <c r="DP70" s="2" t="s">
        <v>7173</v>
      </c>
      <c r="DT70" s="2" t="s">
        <v>7159</v>
      </c>
      <c r="DU70" s="2" t="s">
        <v>7159</v>
      </c>
      <c r="DV70" s="2" t="s">
        <v>7159</v>
      </c>
      <c r="DW70" s="2" t="s">
        <v>7159</v>
      </c>
      <c r="DX70" s="2" t="s">
        <v>7159</v>
      </c>
      <c r="DY70" s="2" t="s">
        <v>7159</v>
      </c>
      <c r="DZ70" s="2" t="s">
        <v>7159</v>
      </c>
      <c r="EA70" s="2" t="s">
        <v>7159</v>
      </c>
      <c r="EB70" s="2" t="s">
        <v>7159</v>
      </c>
      <c r="EC70" s="2" t="s">
        <v>7159</v>
      </c>
      <c r="EF70" s="2" t="s">
        <v>7221</v>
      </c>
      <c r="EG70" s="2" t="s">
        <v>781</v>
      </c>
      <c r="EJ70" s="2" t="s">
        <v>7217</v>
      </c>
      <c r="EK70" s="2" t="s">
        <v>7143</v>
      </c>
      <c r="EL70" s="2" t="s">
        <v>7143</v>
      </c>
      <c r="EN70" s="2" t="s">
        <v>7170</v>
      </c>
      <c r="EP70" s="2" t="s">
        <v>7186</v>
      </c>
      <c r="ER70" s="2" t="s">
        <v>7143</v>
      </c>
      <c r="ET70" s="2" t="s">
        <v>7143</v>
      </c>
      <c r="EV70" s="2" t="s">
        <v>7143</v>
      </c>
      <c r="EX70" s="2" t="s">
        <v>7143</v>
      </c>
      <c r="EZ70" s="2" t="s">
        <v>7143</v>
      </c>
      <c r="FC70" s="2" t="s">
        <v>7218</v>
      </c>
      <c r="FD70" s="2" t="s">
        <v>7143</v>
      </c>
      <c r="FH70" s="2" t="s">
        <v>7173</v>
      </c>
      <c r="FJ70" s="2" t="s">
        <v>7143</v>
      </c>
      <c r="FK70" s="2" t="s">
        <v>7173</v>
      </c>
      <c r="FN70" s="2" t="s">
        <v>7322</v>
      </c>
      <c r="FR70" s="2" t="s">
        <v>782</v>
      </c>
      <c r="FT70" s="2" t="s">
        <v>7189</v>
      </c>
      <c r="FU70" s="2" t="s">
        <v>7189</v>
      </c>
      <c r="FV70" s="2" t="s">
        <v>7176</v>
      </c>
      <c r="FW70" s="2" t="s">
        <v>7189</v>
      </c>
      <c r="FZ70" s="19" t="s">
        <v>7462</v>
      </c>
    </row>
    <row r="71" spans="1:182">
      <c r="A71" s="7" t="s">
        <v>783</v>
      </c>
      <c r="D71" s="15">
        <v>46030.598564814813</v>
      </c>
      <c r="E71" s="7" t="s">
        <v>784</v>
      </c>
      <c r="F71" s="7" t="s">
        <v>7389</v>
      </c>
      <c r="G71" s="7" t="s">
        <v>7135</v>
      </c>
      <c r="H71" s="7" t="s">
        <v>778</v>
      </c>
      <c r="I71" s="7" t="s">
        <v>785</v>
      </c>
      <c r="J71" s="16" t="s">
        <v>7463</v>
      </c>
      <c r="K71" s="7" t="s">
        <v>785</v>
      </c>
      <c r="L71" s="2" t="s">
        <v>7137</v>
      </c>
      <c r="M71" s="7" t="s">
        <v>7138</v>
      </c>
      <c r="N71" s="7">
        <v>1995</v>
      </c>
      <c r="O71" s="7" t="s">
        <v>7139</v>
      </c>
      <c r="P71" s="2" t="s">
        <v>7140</v>
      </c>
      <c r="Q71" s="2" t="s">
        <v>7141</v>
      </c>
      <c r="R71" s="2" t="s">
        <v>7143</v>
      </c>
      <c r="S71" s="2">
        <v>13</v>
      </c>
      <c r="T71" s="2" t="s">
        <v>7143</v>
      </c>
      <c r="U71" s="2" t="s">
        <v>7143</v>
      </c>
      <c r="Y71" s="2">
        <v>105</v>
      </c>
      <c r="Z71" s="17">
        <v>1</v>
      </c>
      <c r="AA71" s="2">
        <v>105</v>
      </c>
      <c r="AB71" s="2">
        <v>105</v>
      </c>
      <c r="AC71" s="7">
        <v>105</v>
      </c>
      <c r="AD71" s="2">
        <v>120</v>
      </c>
      <c r="AE71" s="2">
        <v>15</v>
      </c>
      <c r="AF71" s="2" t="s">
        <v>7143</v>
      </c>
      <c r="AG71" s="2" t="s">
        <v>7143</v>
      </c>
      <c r="AH71" s="2" t="s">
        <v>7143</v>
      </c>
      <c r="AJ71" s="2" t="s">
        <v>7143</v>
      </c>
      <c r="AK71" s="2" t="s">
        <v>7143</v>
      </c>
      <c r="AL71" s="2" t="s">
        <v>7143</v>
      </c>
      <c r="AM71" s="2" t="s">
        <v>7143</v>
      </c>
      <c r="AN71" s="2" t="s">
        <v>7143</v>
      </c>
      <c r="AO71" s="2" t="s">
        <v>7143</v>
      </c>
      <c r="AR71" s="7">
        <v>0.2</v>
      </c>
      <c r="AS71" s="7">
        <v>1</v>
      </c>
      <c r="AT71" s="7">
        <v>1.1000000000000001</v>
      </c>
      <c r="AU71" s="2" t="s">
        <v>7217</v>
      </c>
      <c r="AV71" s="2" t="s">
        <v>7217</v>
      </c>
      <c r="AW71" s="2" t="s">
        <v>7143</v>
      </c>
      <c r="AZ71" s="2" t="s">
        <v>7145</v>
      </c>
      <c r="BB71" s="2" t="s">
        <v>7268</v>
      </c>
      <c r="BC71" s="2" t="s">
        <v>7208</v>
      </c>
      <c r="BD71" s="2" t="s">
        <v>7143</v>
      </c>
      <c r="BE71" s="2" t="s">
        <v>7143</v>
      </c>
      <c r="BL71" s="2" t="s">
        <v>7195</v>
      </c>
      <c r="BO71" s="2" t="s">
        <v>7155</v>
      </c>
      <c r="BQ71" s="2" t="s">
        <v>7183</v>
      </c>
      <c r="BS71" s="2" t="s">
        <v>7142</v>
      </c>
      <c r="BT71" s="2" t="s">
        <v>7416</v>
      </c>
      <c r="BV71" s="2" t="s">
        <v>7348</v>
      </c>
      <c r="BX71" s="2" t="s">
        <v>7142</v>
      </c>
      <c r="BY71" s="2" t="s">
        <v>786</v>
      </c>
      <c r="BZ71" s="2" t="s">
        <v>7173</v>
      </c>
      <c r="CE71" s="7">
        <v>1.1000000000000001</v>
      </c>
      <c r="CF71" s="2">
        <v>120</v>
      </c>
      <c r="CK71" s="2">
        <v>100</v>
      </c>
      <c r="CO71" s="2">
        <v>100</v>
      </c>
      <c r="CR71" s="2" t="s">
        <v>7160</v>
      </c>
      <c r="CT71" s="2" t="s">
        <v>7143</v>
      </c>
      <c r="CU71" s="2" t="s">
        <v>7161</v>
      </c>
      <c r="CW71" s="2" t="s">
        <v>7162</v>
      </c>
      <c r="CY71" s="2" t="s">
        <v>7250</v>
      </c>
      <c r="CZ71" s="2" t="s">
        <v>7250</v>
      </c>
      <c r="DA71" s="2" t="s">
        <v>7250</v>
      </c>
      <c r="DB71" s="2" t="s">
        <v>7250</v>
      </c>
      <c r="DC71" s="2" t="s">
        <v>7250</v>
      </c>
      <c r="DD71" s="2" t="s">
        <v>7250</v>
      </c>
      <c r="DE71" s="2" t="s">
        <v>7250</v>
      </c>
      <c r="DF71" s="2" t="s">
        <v>7250</v>
      </c>
      <c r="DG71" s="2" t="s">
        <v>7250</v>
      </c>
      <c r="DH71" s="2" t="s">
        <v>7250</v>
      </c>
      <c r="DI71" s="2" t="s">
        <v>7250</v>
      </c>
      <c r="DL71" s="2" t="s">
        <v>7143</v>
      </c>
      <c r="DM71" s="2" t="s">
        <v>7143</v>
      </c>
      <c r="DP71" s="2" t="s">
        <v>7173</v>
      </c>
      <c r="DT71" s="2" t="s">
        <v>7159</v>
      </c>
      <c r="DU71" s="2" t="s">
        <v>7159</v>
      </c>
      <c r="DV71" s="2" t="s">
        <v>7159</v>
      </c>
      <c r="DW71" s="2" t="s">
        <v>7159</v>
      </c>
      <c r="DX71" s="2" t="s">
        <v>7159</v>
      </c>
      <c r="DY71" s="2" t="s">
        <v>7159</v>
      </c>
      <c r="DZ71" s="2" t="s">
        <v>7159</v>
      </c>
      <c r="EA71" s="2" t="s">
        <v>7159</v>
      </c>
      <c r="EB71" s="2" t="s">
        <v>7159</v>
      </c>
      <c r="EC71" s="2" t="s">
        <v>7159</v>
      </c>
      <c r="ED71" s="2" t="s">
        <v>7159</v>
      </c>
      <c r="EF71" s="2" t="s">
        <v>7221</v>
      </c>
      <c r="EG71" s="2" t="s">
        <v>787</v>
      </c>
      <c r="EJ71" s="2" t="s">
        <v>7217</v>
      </c>
      <c r="EK71" s="2" t="s">
        <v>7143</v>
      </c>
      <c r="EL71" s="2" t="s">
        <v>7143</v>
      </c>
      <c r="EN71" s="2" t="s">
        <v>7170</v>
      </c>
      <c r="EP71" s="2" t="s">
        <v>7186</v>
      </c>
      <c r="ER71" s="2" t="s">
        <v>7143</v>
      </c>
      <c r="ET71" s="2" t="s">
        <v>7143</v>
      </c>
      <c r="EV71" s="2" t="s">
        <v>7143</v>
      </c>
      <c r="EX71" s="2" t="s">
        <v>7143</v>
      </c>
      <c r="EZ71" s="2" t="s">
        <v>7143</v>
      </c>
      <c r="FC71" s="2" t="s">
        <v>7218</v>
      </c>
      <c r="FD71" s="2" t="s">
        <v>7143</v>
      </c>
      <c r="FH71" s="2" t="s">
        <v>7173</v>
      </c>
      <c r="FJ71" s="2" t="s">
        <v>7143</v>
      </c>
      <c r="FK71" s="2" t="s">
        <v>7173</v>
      </c>
      <c r="FN71" s="2" t="s">
        <v>7322</v>
      </c>
      <c r="FR71" s="2" t="s">
        <v>788</v>
      </c>
      <c r="FT71" s="2" t="s">
        <v>7189</v>
      </c>
      <c r="FU71" s="2" t="s">
        <v>7189</v>
      </c>
      <c r="FV71" s="2" t="s">
        <v>7189</v>
      </c>
      <c r="FW71" s="2" t="s">
        <v>7189</v>
      </c>
      <c r="FZ71" s="19" t="s">
        <v>7464</v>
      </c>
    </row>
    <row r="72" spans="1:182">
      <c r="A72" s="7" t="s">
        <v>789</v>
      </c>
      <c r="D72" s="7" t="s">
        <v>7465</v>
      </c>
      <c r="E72" s="7" t="s">
        <v>790</v>
      </c>
      <c r="F72" s="7" t="s">
        <v>7319</v>
      </c>
      <c r="G72" s="7" t="s">
        <v>7466</v>
      </c>
      <c r="H72" s="7" t="s">
        <v>792</v>
      </c>
      <c r="I72" s="7" t="s">
        <v>793</v>
      </c>
      <c r="J72" s="16" t="s">
        <v>7467</v>
      </c>
      <c r="K72" s="7" t="s">
        <v>794</v>
      </c>
      <c r="L72" s="7" t="s">
        <v>7137</v>
      </c>
      <c r="M72" s="7" t="s">
        <v>7179</v>
      </c>
      <c r="N72" s="7">
        <v>1991</v>
      </c>
      <c r="O72" s="7" t="s">
        <v>7139</v>
      </c>
      <c r="P72" s="7" t="s">
        <v>7181</v>
      </c>
      <c r="Q72" s="7" t="s">
        <v>7225</v>
      </c>
      <c r="R72" s="7" t="s">
        <v>7143</v>
      </c>
      <c r="S72" s="7">
        <v>15</v>
      </c>
      <c r="T72" s="7" t="s">
        <v>7143</v>
      </c>
      <c r="U72" s="7" t="s">
        <v>7143</v>
      </c>
      <c r="Y72" s="2">
        <v>350</v>
      </c>
      <c r="Z72" s="17">
        <v>0.94289999999999996</v>
      </c>
      <c r="AA72" s="2">
        <v>330</v>
      </c>
      <c r="AB72" s="2">
        <v>320</v>
      </c>
      <c r="AC72" s="7">
        <v>310</v>
      </c>
      <c r="AD72" s="2">
        <v>400</v>
      </c>
      <c r="AE72" s="2">
        <v>90</v>
      </c>
      <c r="AF72" s="7" t="s">
        <v>7142</v>
      </c>
      <c r="AG72" s="7" t="s">
        <v>7143</v>
      </c>
      <c r="AH72" s="7" t="s">
        <v>7143</v>
      </c>
      <c r="AJ72" s="7" t="s">
        <v>7143</v>
      </c>
      <c r="AK72" s="7" t="s">
        <v>7142</v>
      </c>
      <c r="AL72" s="7" t="s">
        <v>7142</v>
      </c>
      <c r="AM72" s="7" t="s">
        <v>7142</v>
      </c>
      <c r="AN72" s="7" t="s">
        <v>7143</v>
      </c>
      <c r="AO72" s="7" t="s">
        <v>7143</v>
      </c>
      <c r="AR72" s="7">
        <v>2</v>
      </c>
      <c r="AS72" s="7">
        <v>3</v>
      </c>
      <c r="AT72" s="7">
        <v>4</v>
      </c>
      <c r="AU72" s="2" t="s">
        <v>7144</v>
      </c>
      <c r="AV72" s="2" t="s">
        <v>7144</v>
      </c>
      <c r="AW72" s="2" t="s">
        <v>7143</v>
      </c>
      <c r="AZ72" s="2" t="s">
        <v>7286</v>
      </c>
      <c r="BC72" s="2" t="s">
        <v>7208</v>
      </c>
      <c r="BD72" s="2" t="s">
        <v>7143</v>
      </c>
      <c r="BE72" s="2" t="s">
        <v>7143</v>
      </c>
      <c r="BL72" s="7" t="s">
        <v>7195</v>
      </c>
      <c r="BM72" s="7"/>
      <c r="BN72" s="7"/>
      <c r="BO72" s="7" t="s">
        <v>7155</v>
      </c>
      <c r="BQ72" s="7" t="s">
        <v>7156</v>
      </c>
      <c r="BS72" s="7" t="s">
        <v>7142</v>
      </c>
      <c r="BT72" s="7" t="s">
        <v>7238</v>
      </c>
      <c r="BU72" s="7" t="s">
        <v>795</v>
      </c>
      <c r="BV72" s="2" t="s">
        <v>7407</v>
      </c>
      <c r="BX72" s="7" t="s">
        <v>7143</v>
      </c>
      <c r="BZ72" s="7" t="s">
        <v>7159</v>
      </c>
      <c r="CE72" s="7">
        <v>4</v>
      </c>
      <c r="CF72" s="2">
        <v>400</v>
      </c>
      <c r="CM72" s="2">
        <v>100</v>
      </c>
      <c r="CO72" s="2">
        <v>100</v>
      </c>
      <c r="CR72" s="2" t="s">
        <v>7160</v>
      </c>
      <c r="CT72" s="2" t="s">
        <v>7143</v>
      </c>
      <c r="CU72" s="2" t="s">
        <v>7161</v>
      </c>
      <c r="CW72" s="2" t="s">
        <v>7162</v>
      </c>
      <c r="CY72" s="2" t="s">
        <v>7163</v>
      </c>
      <c r="CZ72" s="2" t="s">
        <v>7163</v>
      </c>
      <c r="DA72" s="2" t="s">
        <v>7250</v>
      </c>
      <c r="DB72" s="2" t="s">
        <v>7250</v>
      </c>
      <c r="DC72" s="2" t="s">
        <v>7250</v>
      </c>
      <c r="DD72" s="2" t="s">
        <v>7321</v>
      </c>
      <c r="DE72" s="2" t="s">
        <v>7250</v>
      </c>
      <c r="DF72" s="2" t="s">
        <v>7163</v>
      </c>
      <c r="DG72" s="2" t="s">
        <v>7163</v>
      </c>
      <c r="DH72" s="2" t="s">
        <v>7250</v>
      </c>
      <c r="DI72" s="2" t="s">
        <v>7250</v>
      </c>
      <c r="DL72" s="2" t="s">
        <v>7142</v>
      </c>
      <c r="DM72" s="2" t="s">
        <v>7142</v>
      </c>
      <c r="DN72" s="2" t="s">
        <v>7142</v>
      </c>
      <c r="DO72" s="2" t="s">
        <v>7142</v>
      </c>
      <c r="DP72" s="2" t="s">
        <v>7165</v>
      </c>
      <c r="DQ72" s="2" t="s">
        <v>7333</v>
      </c>
      <c r="DR72" s="2" t="s">
        <v>796</v>
      </c>
      <c r="DT72" s="2" t="s">
        <v>7165</v>
      </c>
      <c r="DU72" s="2" t="s">
        <v>7165</v>
      </c>
      <c r="DV72" s="2" t="s">
        <v>7165</v>
      </c>
      <c r="DW72" s="2" t="s">
        <v>7165</v>
      </c>
      <c r="DX72" s="2" t="s">
        <v>7165</v>
      </c>
      <c r="DY72" s="2" t="s">
        <v>7165</v>
      </c>
      <c r="DZ72" s="2" t="s">
        <v>7165</v>
      </c>
      <c r="EA72" s="2" t="s">
        <v>7165</v>
      </c>
      <c r="EB72" s="2" t="s">
        <v>7165</v>
      </c>
      <c r="EC72" s="2" t="s">
        <v>7173</v>
      </c>
      <c r="EF72" s="2" t="s">
        <v>7252</v>
      </c>
      <c r="EG72" s="2" t="s">
        <v>797</v>
      </c>
      <c r="EJ72" s="2" t="s">
        <v>7217</v>
      </c>
      <c r="EK72" s="2" t="s">
        <v>7143</v>
      </c>
      <c r="EL72" s="2" t="s">
        <v>7143</v>
      </c>
      <c r="EN72" s="2" t="s">
        <v>7170</v>
      </c>
      <c r="EP72" s="2" t="s">
        <v>7186</v>
      </c>
      <c r="ER72" s="2" t="s">
        <v>7143</v>
      </c>
      <c r="ET72" s="2" t="s">
        <v>7143</v>
      </c>
      <c r="EV72" s="2" t="s">
        <v>7142</v>
      </c>
      <c r="EW72" s="2" t="s">
        <v>7204</v>
      </c>
      <c r="EX72" s="2" t="s">
        <v>7143</v>
      </c>
      <c r="EZ72" s="2" t="s">
        <v>7143</v>
      </c>
      <c r="FC72" s="2" t="s">
        <v>7218</v>
      </c>
      <c r="FD72" s="2" t="s">
        <v>7143</v>
      </c>
      <c r="FH72" s="2" t="s">
        <v>7173</v>
      </c>
      <c r="FJ72" s="2" t="s">
        <v>7143</v>
      </c>
      <c r="FK72" s="2" t="s">
        <v>7173</v>
      </c>
      <c r="FR72" s="2" t="s">
        <v>798</v>
      </c>
      <c r="FT72" s="2" t="s">
        <v>7176</v>
      </c>
      <c r="FU72" s="2" t="s">
        <v>7189</v>
      </c>
      <c r="FV72" s="2" t="s">
        <v>7176</v>
      </c>
      <c r="FW72" s="2" t="s">
        <v>7176</v>
      </c>
      <c r="FZ72" s="19" t="s">
        <v>7468</v>
      </c>
    </row>
    <row r="73" spans="1:182">
      <c r="A73" s="7" t="s">
        <v>799</v>
      </c>
      <c r="D73" s="7" t="s">
        <v>7469</v>
      </c>
      <c r="E73" s="7" t="s">
        <v>800</v>
      </c>
      <c r="F73" s="7" t="s">
        <v>7311</v>
      </c>
      <c r="G73" s="7" t="s">
        <v>7466</v>
      </c>
      <c r="H73" s="7" t="s">
        <v>801</v>
      </c>
      <c r="I73" s="7" t="s">
        <v>802</v>
      </c>
      <c r="J73" s="16" t="s">
        <v>7470</v>
      </c>
      <c r="K73" s="7" t="s">
        <v>802</v>
      </c>
      <c r="L73" s="7" t="s">
        <v>7471</v>
      </c>
      <c r="M73" s="7" t="s">
        <v>7138</v>
      </c>
      <c r="N73" s="7">
        <v>2001</v>
      </c>
      <c r="O73" s="7" t="s">
        <v>7139</v>
      </c>
      <c r="P73" s="7" t="s">
        <v>7140</v>
      </c>
      <c r="Q73" s="7" t="s">
        <v>7141</v>
      </c>
      <c r="R73" s="7" t="s">
        <v>7143</v>
      </c>
      <c r="S73" s="7">
        <v>8</v>
      </c>
      <c r="T73" s="7" t="s">
        <v>7143</v>
      </c>
      <c r="U73" s="7" t="s">
        <v>7143</v>
      </c>
      <c r="Y73" s="2">
        <v>182</v>
      </c>
      <c r="Z73" s="17">
        <v>1</v>
      </c>
      <c r="AA73" s="2">
        <v>182</v>
      </c>
      <c r="AB73" s="2">
        <v>182</v>
      </c>
      <c r="AC73" s="7">
        <v>182</v>
      </c>
      <c r="AD73" s="2">
        <v>200</v>
      </c>
      <c r="AE73" s="2">
        <v>18</v>
      </c>
      <c r="AF73" s="2" t="s">
        <v>7143</v>
      </c>
      <c r="AG73" s="2" t="s">
        <v>7143</v>
      </c>
      <c r="AH73" s="2" t="s">
        <v>7143</v>
      </c>
      <c r="AJ73" s="2" t="s">
        <v>7143</v>
      </c>
      <c r="AK73" s="2" t="s">
        <v>7143</v>
      </c>
      <c r="AL73" s="2" t="s">
        <v>7143</v>
      </c>
      <c r="AM73" s="2" t="s">
        <v>7143</v>
      </c>
      <c r="AN73" s="2" t="s">
        <v>7143</v>
      </c>
      <c r="AO73" s="2" t="s">
        <v>7143</v>
      </c>
      <c r="AR73" s="7">
        <v>1.1000000000000001</v>
      </c>
      <c r="AS73" s="7">
        <v>4</v>
      </c>
      <c r="AT73" s="7">
        <v>2</v>
      </c>
      <c r="AU73" s="2" t="s">
        <v>7193</v>
      </c>
      <c r="AV73" s="2" t="s">
        <v>7193</v>
      </c>
      <c r="AW73" s="2" t="s">
        <v>7143</v>
      </c>
      <c r="BC73" s="2" t="s">
        <v>7147</v>
      </c>
      <c r="BD73" s="2" t="s">
        <v>7143</v>
      </c>
      <c r="BE73" s="2" t="s">
        <v>7143</v>
      </c>
      <c r="BL73" s="2" t="s">
        <v>7195</v>
      </c>
      <c r="BO73" s="2" t="s">
        <v>7274</v>
      </c>
      <c r="BP73" s="2" t="s">
        <v>7275</v>
      </c>
      <c r="BS73" s="2" t="s">
        <v>7142</v>
      </c>
      <c r="BT73" s="2" t="s">
        <v>7362</v>
      </c>
      <c r="BV73" s="2" t="s">
        <v>7202</v>
      </c>
      <c r="BX73" s="2" t="s">
        <v>7143</v>
      </c>
      <c r="BY73" s="2" t="s">
        <v>804</v>
      </c>
      <c r="BZ73" s="2" t="s">
        <v>7159</v>
      </c>
      <c r="CE73" s="7">
        <v>2</v>
      </c>
      <c r="CF73" s="2">
        <v>200</v>
      </c>
      <c r="CK73" s="2">
        <v>100</v>
      </c>
      <c r="CP73" s="2">
        <v>100</v>
      </c>
      <c r="CR73" s="2" t="s">
        <v>7160</v>
      </c>
      <c r="CT73" s="2" t="s">
        <v>7143</v>
      </c>
      <c r="CU73" s="2" t="s">
        <v>7161</v>
      </c>
      <c r="CW73" s="2" t="s">
        <v>7162</v>
      </c>
      <c r="CY73" s="2" t="s">
        <v>7250</v>
      </c>
      <c r="CZ73" s="2" t="s">
        <v>7250</v>
      </c>
      <c r="DA73" s="2" t="s">
        <v>7250</v>
      </c>
      <c r="DB73" s="2" t="s">
        <v>7250</v>
      </c>
      <c r="DC73" s="2" t="s">
        <v>7250</v>
      </c>
      <c r="DD73" s="2" t="s">
        <v>7250</v>
      </c>
      <c r="DE73" s="2" t="s">
        <v>7250</v>
      </c>
      <c r="DF73" s="2" t="s">
        <v>7250</v>
      </c>
      <c r="DG73" s="2" t="s">
        <v>7250</v>
      </c>
      <c r="DH73" s="2" t="s">
        <v>7250</v>
      </c>
      <c r="DI73" s="2" t="s">
        <v>7250</v>
      </c>
      <c r="DL73" s="2" t="s">
        <v>7143</v>
      </c>
      <c r="DM73" s="2" t="s">
        <v>7143</v>
      </c>
      <c r="DP73" s="2" t="s">
        <v>7159</v>
      </c>
      <c r="DT73" s="2" t="s">
        <v>7159</v>
      </c>
      <c r="DU73" s="2" t="s">
        <v>7159</v>
      </c>
      <c r="DV73" s="2" t="s">
        <v>7159</v>
      </c>
      <c r="DW73" s="2" t="s">
        <v>7159</v>
      </c>
      <c r="DX73" s="2" t="s">
        <v>7159</v>
      </c>
      <c r="DY73" s="2" t="s">
        <v>7159</v>
      </c>
      <c r="DZ73" s="2" t="s">
        <v>7159</v>
      </c>
      <c r="EA73" s="2" t="s">
        <v>7159</v>
      </c>
      <c r="EB73" s="2" t="s">
        <v>7159</v>
      </c>
      <c r="EC73" s="2" t="s">
        <v>7159</v>
      </c>
      <c r="ED73" s="2" t="s">
        <v>7159</v>
      </c>
      <c r="EE73" s="2" t="s">
        <v>203</v>
      </c>
      <c r="EF73" s="2" t="s">
        <v>7252</v>
      </c>
      <c r="EG73" s="2" t="s">
        <v>805</v>
      </c>
      <c r="EJ73" s="2" t="s">
        <v>7193</v>
      </c>
      <c r="EK73" s="2" t="s">
        <v>7143</v>
      </c>
      <c r="EL73" s="2" t="s">
        <v>7143</v>
      </c>
      <c r="EN73" s="2" t="s">
        <v>7170</v>
      </c>
      <c r="EP73" s="2" t="s">
        <v>7186</v>
      </c>
      <c r="ER73" s="2" t="s">
        <v>7143</v>
      </c>
      <c r="ET73" s="2" t="s">
        <v>7143</v>
      </c>
      <c r="EV73" s="2" t="s">
        <v>7143</v>
      </c>
      <c r="EX73" s="2" t="s">
        <v>7143</v>
      </c>
      <c r="EZ73" s="2" t="s">
        <v>7143</v>
      </c>
      <c r="FC73" s="2" t="s">
        <v>7172</v>
      </c>
      <c r="FD73" s="2" t="s">
        <v>7143</v>
      </c>
      <c r="FH73" s="2" t="s">
        <v>7173</v>
      </c>
      <c r="FJ73" s="2" t="s">
        <v>7143</v>
      </c>
      <c r="FK73" s="2" t="s">
        <v>7159</v>
      </c>
      <c r="FR73" s="2" t="s">
        <v>806</v>
      </c>
      <c r="FT73" s="2" t="s">
        <v>7189</v>
      </c>
      <c r="FU73" s="2" t="s">
        <v>7189</v>
      </c>
      <c r="FV73" s="2" t="s">
        <v>7189</v>
      </c>
      <c r="FW73" s="2" t="s">
        <v>7189</v>
      </c>
      <c r="FX73" s="2" t="s">
        <v>7189</v>
      </c>
      <c r="FY73" s="2" t="s">
        <v>807</v>
      </c>
      <c r="FZ73" s="19" t="s">
        <v>7472</v>
      </c>
    </row>
    <row r="74" spans="1:182">
      <c r="A74" s="7" t="s">
        <v>808</v>
      </c>
      <c r="D74" s="7" t="s">
        <v>7473</v>
      </c>
      <c r="E74" s="7" t="s">
        <v>177</v>
      </c>
      <c r="F74" s="7" t="s">
        <v>7245</v>
      </c>
      <c r="G74" s="7" t="s">
        <v>7466</v>
      </c>
      <c r="H74" s="7" t="s">
        <v>792</v>
      </c>
      <c r="I74" s="7" t="s">
        <v>809</v>
      </c>
      <c r="J74" s="16" t="s">
        <v>7474</v>
      </c>
      <c r="K74" s="7" t="s">
        <v>810</v>
      </c>
      <c r="L74" s="7" t="s">
        <v>7137</v>
      </c>
      <c r="M74" s="7" t="s">
        <v>7138</v>
      </c>
      <c r="N74" s="7">
        <v>1998</v>
      </c>
      <c r="O74" s="7" t="s">
        <v>7139</v>
      </c>
      <c r="P74" s="7" t="s">
        <v>7192</v>
      </c>
      <c r="Q74" s="7" t="s">
        <v>7141</v>
      </c>
      <c r="R74" s="7" t="s">
        <v>7143</v>
      </c>
      <c r="S74" s="7">
        <v>2010</v>
      </c>
      <c r="T74" s="7" t="s">
        <v>7143</v>
      </c>
      <c r="U74" s="7" t="s">
        <v>7143</v>
      </c>
      <c r="Y74" s="2">
        <v>450</v>
      </c>
      <c r="Z74" s="17">
        <v>0.93330000000000002</v>
      </c>
      <c r="AA74" s="2">
        <v>420</v>
      </c>
      <c r="AB74" s="2">
        <v>420</v>
      </c>
      <c r="AC74" s="7">
        <v>310</v>
      </c>
      <c r="AD74" s="2">
        <v>350</v>
      </c>
      <c r="AE74" s="2">
        <v>40</v>
      </c>
      <c r="AF74" s="2" t="s">
        <v>7142</v>
      </c>
      <c r="AG74" s="2" t="s">
        <v>7142</v>
      </c>
      <c r="AH74" s="2" t="s">
        <v>7142</v>
      </c>
      <c r="AI74" s="2" t="s">
        <v>308</v>
      </c>
      <c r="AJ74" s="2" t="s">
        <v>7143</v>
      </c>
      <c r="AK74" s="2" t="s">
        <v>7143</v>
      </c>
      <c r="AL74" s="2" t="s">
        <v>7143</v>
      </c>
      <c r="AM74" s="2" t="s">
        <v>7142</v>
      </c>
      <c r="AN74" s="2" t="s">
        <v>7143</v>
      </c>
      <c r="AO74" s="2" t="s">
        <v>7143</v>
      </c>
      <c r="AR74" s="7">
        <v>2</v>
      </c>
      <c r="AS74" s="7">
        <v>3</v>
      </c>
      <c r="AT74" s="7">
        <v>3.2</v>
      </c>
      <c r="AU74" s="2" t="s">
        <v>7193</v>
      </c>
      <c r="AV74" s="2" t="s">
        <v>7193</v>
      </c>
      <c r="AW74" s="2" t="s">
        <v>7143</v>
      </c>
      <c r="AZ74" s="7" t="s">
        <v>7475</v>
      </c>
      <c r="BB74" s="7" t="s">
        <v>7214</v>
      </c>
      <c r="BC74" s="7" t="s">
        <v>7208</v>
      </c>
      <c r="BD74" s="7" t="s">
        <v>7143</v>
      </c>
      <c r="BE74" s="7" t="s">
        <v>7142</v>
      </c>
      <c r="BF74" s="7" t="s">
        <v>7148</v>
      </c>
      <c r="BG74" s="7" t="s">
        <v>7232</v>
      </c>
      <c r="BH74" s="2" t="s">
        <v>7150</v>
      </c>
      <c r="BI74" s="2" t="s">
        <v>7151</v>
      </c>
      <c r="BL74" s="7" t="s">
        <v>7195</v>
      </c>
      <c r="BM74" s="7" t="s">
        <v>7153</v>
      </c>
      <c r="BN74" s="2" t="s">
        <v>7154</v>
      </c>
      <c r="BO74" s="7" t="s">
        <v>7155</v>
      </c>
      <c r="BQ74" s="7" t="s">
        <v>7156</v>
      </c>
      <c r="BS74" s="2" t="s">
        <v>7143</v>
      </c>
      <c r="BT74" s="2" t="s">
        <v>7215</v>
      </c>
      <c r="BV74" s="2" t="s">
        <v>7476</v>
      </c>
      <c r="BX74" s="2" t="s">
        <v>7142</v>
      </c>
      <c r="BY74" s="2" t="s">
        <v>326</v>
      </c>
      <c r="BZ74" s="2" t="s">
        <v>7159</v>
      </c>
      <c r="CE74" s="7">
        <v>3.2</v>
      </c>
      <c r="CK74" s="2">
        <v>100</v>
      </c>
      <c r="CO74" s="2">
        <v>100</v>
      </c>
      <c r="CR74" s="7" t="s">
        <v>7160</v>
      </c>
      <c r="CS74" s="7"/>
      <c r="CT74" s="7" t="s">
        <v>7143</v>
      </c>
      <c r="CU74" s="7" t="s">
        <v>7161</v>
      </c>
      <c r="CV74" s="7"/>
      <c r="CW74" s="7" t="s">
        <v>7162</v>
      </c>
      <c r="CY74" s="7" t="s">
        <v>7163</v>
      </c>
      <c r="CZ74" s="7" t="s">
        <v>7249</v>
      </c>
      <c r="DA74" s="7" t="s">
        <v>7227</v>
      </c>
      <c r="DB74" s="2" t="s">
        <v>7249</v>
      </c>
      <c r="DC74" s="7" t="s">
        <v>7164</v>
      </c>
      <c r="DD74" s="7" t="s">
        <v>7164</v>
      </c>
      <c r="DE74" s="7" t="s">
        <v>7164</v>
      </c>
      <c r="DF74" s="2" t="s">
        <v>7164</v>
      </c>
      <c r="DG74" s="2" t="s">
        <v>7164</v>
      </c>
      <c r="DH74" s="2" t="s">
        <v>7164</v>
      </c>
      <c r="DI74" s="2" t="s">
        <v>7164</v>
      </c>
      <c r="DL74" s="7" t="s">
        <v>7143</v>
      </c>
      <c r="DM74" s="2" t="s">
        <v>7143</v>
      </c>
      <c r="DP74" s="2" t="s">
        <v>7159</v>
      </c>
      <c r="DT74" s="2" t="s">
        <v>7165</v>
      </c>
      <c r="DU74" s="2" t="s">
        <v>7165</v>
      </c>
      <c r="DV74" s="2" t="s">
        <v>7165</v>
      </c>
      <c r="DW74" s="2" t="s">
        <v>7165</v>
      </c>
      <c r="DX74" s="2" t="s">
        <v>7165</v>
      </c>
      <c r="DY74" s="2" t="s">
        <v>7159</v>
      </c>
      <c r="DZ74" s="2" t="s">
        <v>7159</v>
      </c>
      <c r="EA74" s="2" t="s">
        <v>7159</v>
      </c>
      <c r="EB74" s="2" t="s">
        <v>7159</v>
      </c>
      <c r="EC74" s="2" t="s">
        <v>7159</v>
      </c>
      <c r="EF74" s="2" t="s">
        <v>7167</v>
      </c>
      <c r="EJ74" s="2" t="s">
        <v>7193</v>
      </c>
      <c r="EK74" s="7" t="s">
        <v>7143</v>
      </c>
      <c r="EL74" s="7" t="s">
        <v>7143</v>
      </c>
      <c r="EN74" s="7" t="s">
        <v>7170</v>
      </c>
      <c r="EP74" s="7" t="s">
        <v>7186</v>
      </c>
      <c r="ER74" s="2" t="s">
        <v>7143</v>
      </c>
      <c r="ET74" s="2" t="s">
        <v>7143</v>
      </c>
      <c r="EV74" s="2" t="s">
        <v>7143</v>
      </c>
      <c r="EX74" s="2" t="s">
        <v>7143</v>
      </c>
      <c r="EZ74" s="2" t="s">
        <v>7143</v>
      </c>
      <c r="FC74" s="2" t="s">
        <v>7172</v>
      </c>
      <c r="FD74" s="2" t="s">
        <v>7143</v>
      </c>
      <c r="FH74" s="7" t="s">
        <v>7173</v>
      </c>
      <c r="FJ74" s="7" t="s">
        <v>7142</v>
      </c>
      <c r="FK74" s="2" t="s">
        <v>7159</v>
      </c>
      <c r="FN74" s="2" t="s">
        <v>7283</v>
      </c>
      <c r="FT74" s="2" t="s">
        <v>7176</v>
      </c>
      <c r="FU74" s="2" t="s">
        <v>7189</v>
      </c>
      <c r="FV74" s="2" t="s">
        <v>7189</v>
      </c>
      <c r="FW74" s="2" t="s">
        <v>7189</v>
      </c>
      <c r="FZ74" s="19" t="s">
        <v>7477</v>
      </c>
    </row>
    <row r="75" spans="1:182">
      <c r="A75" s="7" t="s">
        <v>813</v>
      </c>
      <c r="D75" s="7" t="s">
        <v>7478</v>
      </c>
      <c r="E75" s="7" t="s">
        <v>177</v>
      </c>
      <c r="F75" s="7" t="s">
        <v>7245</v>
      </c>
      <c r="G75" s="7" t="s">
        <v>7466</v>
      </c>
      <c r="H75" s="7" t="s">
        <v>792</v>
      </c>
      <c r="I75" s="7" t="s">
        <v>814</v>
      </c>
      <c r="J75" s="16" t="s">
        <v>7479</v>
      </c>
      <c r="K75" s="7" t="s">
        <v>815</v>
      </c>
      <c r="L75" s="7" t="s">
        <v>7224</v>
      </c>
      <c r="M75" s="7" t="s">
        <v>7138</v>
      </c>
      <c r="N75" s="7">
        <v>2000</v>
      </c>
      <c r="O75" s="7" t="s">
        <v>7480</v>
      </c>
      <c r="P75" s="7" t="s">
        <v>7140</v>
      </c>
      <c r="Q75" s="7" t="s">
        <v>7141</v>
      </c>
      <c r="R75" s="7" t="s">
        <v>7143</v>
      </c>
      <c r="S75" s="7">
        <v>2010</v>
      </c>
      <c r="T75" s="7" t="s">
        <v>7143</v>
      </c>
      <c r="U75" s="7" t="s">
        <v>7143</v>
      </c>
      <c r="Y75" s="2">
        <v>400</v>
      </c>
      <c r="Z75" s="17">
        <v>0.875</v>
      </c>
      <c r="AA75" s="2">
        <v>350</v>
      </c>
      <c r="AB75" s="2">
        <v>350</v>
      </c>
      <c r="AC75" s="7">
        <v>260</v>
      </c>
      <c r="AD75" s="2">
        <v>300</v>
      </c>
      <c r="AE75" s="2">
        <v>40</v>
      </c>
      <c r="AF75" s="2" t="s">
        <v>7142</v>
      </c>
      <c r="AG75" s="2" t="s">
        <v>7142</v>
      </c>
      <c r="AH75" s="2" t="s">
        <v>7142</v>
      </c>
      <c r="AI75" s="2" t="s">
        <v>308</v>
      </c>
      <c r="AJ75" s="2" t="s">
        <v>7143</v>
      </c>
      <c r="AK75" s="2" t="s">
        <v>7143</v>
      </c>
      <c r="AL75" s="2" t="s">
        <v>7143</v>
      </c>
      <c r="AM75" s="2" t="s">
        <v>7142</v>
      </c>
      <c r="AN75" s="2" t="s">
        <v>7143</v>
      </c>
      <c r="AO75" s="2" t="s">
        <v>7143</v>
      </c>
      <c r="AR75" s="7">
        <v>1</v>
      </c>
      <c r="AS75" s="7">
        <v>3</v>
      </c>
      <c r="AT75" s="7">
        <v>3</v>
      </c>
      <c r="AU75" s="2" t="s">
        <v>7193</v>
      </c>
      <c r="AV75" s="2" t="s">
        <v>7193</v>
      </c>
      <c r="AW75" s="7" t="s">
        <v>7143</v>
      </c>
      <c r="AZ75" s="7" t="s">
        <v>7145</v>
      </c>
      <c r="BB75" s="7" t="s">
        <v>7214</v>
      </c>
      <c r="BC75" s="7" t="s">
        <v>7208</v>
      </c>
      <c r="BD75" s="2" t="s">
        <v>7143</v>
      </c>
      <c r="BE75" s="2" t="s">
        <v>7142</v>
      </c>
      <c r="BF75" s="2" t="s">
        <v>7148</v>
      </c>
      <c r="BG75" s="2" t="s">
        <v>7149</v>
      </c>
      <c r="BH75" s="2" t="s">
        <v>7150</v>
      </c>
      <c r="BI75" s="2" t="s">
        <v>7151</v>
      </c>
      <c r="BL75" s="7" t="s">
        <v>7195</v>
      </c>
      <c r="BM75" s="7" t="s">
        <v>7355</v>
      </c>
      <c r="BN75" s="7" t="s">
        <v>7154</v>
      </c>
      <c r="BO75" s="7" t="s">
        <v>7155</v>
      </c>
      <c r="BQ75" s="7" t="s">
        <v>7256</v>
      </c>
      <c r="BS75" s="7" t="s">
        <v>7142</v>
      </c>
      <c r="BT75" s="2" t="s">
        <v>7157</v>
      </c>
      <c r="BV75" s="7" t="s">
        <v>7444</v>
      </c>
      <c r="BW75" s="7" t="s">
        <v>817</v>
      </c>
      <c r="BX75" s="7" t="s">
        <v>7142</v>
      </c>
      <c r="BY75" s="7" t="s">
        <v>818</v>
      </c>
      <c r="BZ75" s="7" t="s">
        <v>7173</v>
      </c>
      <c r="CE75" s="7">
        <v>3</v>
      </c>
      <c r="CK75" s="2">
        <v>100</v>
      </c>
      <c r="CO75" s="2">
        <v>100</v>
      </c>
      <c r="CR75" s="2" t="s">
        <v>7160</v>
      </c>
      <c r="CT75" s="2" t="s">
        <v>7143</v>
      </c>
      <c r="CU75" s="2" t="s">
        <v>7161</v>
      </c>
      <c r="CW75" s="2" t="s">
        <v>7162</v>
      </c>
      <c r="CY75" s="7" t="s">
        <v>7250</v>
      </c>
      <c r="CZ75" s="2" t="s">
        <v>7250</v>
      </c>
      <c r="DA75" s="2" t="s">
        <v>7164</v>
      </c>
      <c r="DB75" s="2" t="s">
        <v>7250</v>
      </c>
      <c r="DC75" s="2" t="s">
        <v>7250</v>
      </c>
      <c r="DD75" s="2" t="s">
        <v>7251</v>
      </c>
      <c r="DE75" s="2" t="s">
        <v>7250</v>
      </c>
      <c r="DF75" s="2" t="s">
        <v>7164</v>
      </c>
      <c r="DG75" s="2" t="s">
        <v>7164</v>
      </c>
      <c r="DH75" s="2" t="s">
        <v>7163</v>
      </c>
      <c r="DI75" s="2" t="s">
        <v>7164</v>
      </c>
      <c r="DL75" s="7" t="s">
        <v>7143</v>
      </c>
      <c r="DM75" s="7" t="s">
        <v>7143</v>
      </c>
      <c r="DP75" s="7" t="s">
        <v>7159</v>
      </c>
      <c r="DT75" s="2" t="s">
        <v>7165</v>
      </c>
      <c r="DU75" s="2" t="s">
        <v>7165</v>
      </c>
      <c r="DV75" s="2" t="s">
        <v>7165</v>
      </c>
      <c r="DW75" s="2" t="s">
        <v>7165</v>
      </c>
      <c r="DX75" s="2" t="s">
        <v>7165</v>
      </c>
      <c r="DY75" s="2" t="s">
        <v>7165</v>
      </c>
      <c r="DZ75" s="2" t="s">
        <v>7159</v>
      </c>
      <c r="EA75" s="2" t="s">
        <v>7159</v>
      </c>
      <c r="EB75" s="2" t="s">
        <v>7159</v>
      </c>
      <c r="EF75" s="2" t="s">
        <v>7221</v>
      </c>
      <c r="EJ75" s="7" t="s">
        <v>7193</v>
      </c>
      <c r="EK75" s="7" t="s">
        <v>7142</v>
      </c>
      <c r="EL75" s="7" t="s">
        <v>7143</v>
      </c>
      <c r="EN75" s="7" t="s">
        <v>7170</v>
      </c>
      <c r="EP75" s="7" t="s">
        <v>7186</v>
      </c>
      <c r="ER75" s="2" t="s">
        <v>7142</v>
      </c>
      <c r="ET75" s="2" t="s">
        <v>7143</v>
      </c>
      <c r="EV75" s="2" t="s">
        <v>7143</v>
      </c>
      <c r="EX75" s="2" t="s">
        <v>7143</v>
      </c>
      <c r="EZ75" s="2" t="s">
        <v>7143</v>
      </c>
      <c r="FC75" s="2" t="s">
        <v>7172</v>
      </c>
      <c r="FD75" s="2" t="s">
        <v>7143</v>
      </c>
      <c r="FH75" s="7" t="s">
        <v>7173</v>
      </c>
      <c r="FJ75" s="2" t="s">
        <v>7142</v>
      </c>
      <c r="FK75" s="2" t="s">
        <v>7159</v>
      </c>
      <c r="FN75" s="2" t="s">
        <v>7481</v>
      </c>
      <c r="FT75" s="2" t="s">
        <v>7176</v>
      </c>
      <c r="FU75" s="2" t="s">
        <v>7189</v>
      </c>
      <c r="FV75" s="2" t="s">
        <v>7189</v>
      </c>
      <c r="FW75" s="2" t="s">
        <v>7189</v>
      </c>
      <c r="FZ75" s="19" t="s">
        <v>7482</v>
      </c>
    </row>
    <row r="76" spans="1:182">
      <c r="A76" s="7" t="s">
        <v>820</v>
      </c>
      <c r="D76" s="7" t="s">
        <v>7483</v>
      </c>
      <c r="E76" s="7" t="s">
        <v>821</v>
      </c>
      <c r="F76" s="7" t="s">
        <v>7311</v>
      </c>
      <c r="G76" s="7" t="s">
        <v>7466</v>
      </c>
      <c r="H76" s="7" t="s">
        <v>822</v>
      </c>
      <c r="I76" s="7" t="s">
        <v>823</v>
      </c>
      <c r="J76" s="16" t="s">
        <v>7484</v>
      </c>
      <c r="K76" s="7" t="s">
        <v>823</v>
      </c>
      <c r="L76" s="7" t="s">
        <v>7471</v>
      </c>
      <c r="M76" s="7" t="s">
        <v>7138</v>
      </c>
      <c r="N76" s="7">
        <v>2000</v>
      </c>
      <c r="O76" s="7" t="s">
        <v>7139</v>
      </c>
      <c r="P76" s="7" t="s">
        <v>7140</v>
      </c>
      <c r="Q76" s="7" t="s">
        <v>7182</v>
      </c>
      <c r="R76" s="7" t="s">
        <v>7143</v>
      </c>
      <c r="S76" s="7">
        <v>2</v>
      </c>
      <c r="T76" s="7" t="s">
        <v>7143</v>
      </c>
      <c r="U76" s="7" t="s">
        <v>7142</v>
      </c>
      <c r="Y76" s="2">
        <v>40</v>
      </c>
      <c r="Z76" s="7" t="s">
        <v>7485</v>
      </c>
      <c r="AA76" s="2">
        <v>0</v>
      </c>
      <c r="AB76" s="2">
        <v>0</v>
      </c>
      <c r="AC76" s="7">
        <v>-30</v>
      </c>
      <c r="AD76" s="2">
        <v>0</v>
      </c>
      <c r="AE76" s="2">
        <v>30</v>
      </c>
      <c r="AF76" s="2" t="s">
        <v>7143</v>
      </c>
      <c r="AG76" s="2" t="s">
        <v>7143</v>
      </c>
      <c r="AH76" s="2" t="s">
        <v>7143</v>
      </c>
      <c r="AJ76" s="2" t="s">
        <v>7143</v>
      </c>
      <c r="AK76" s="2" t="s">
        <v>7143</v>
      </c>
      <c r="AL76" s="2" t="s">
        <v>7143</v>
      </c>
      <c r="AM76" s="2" t="s">
        <v>7142</v>
      </c>
      <c r="AN76" s="2" t="s">
        <v>7143</v>
      </c>
      <c r="AO76" s="2" t="s">
        <v>7143</v>
      </c>
      <c r="AR76" s="7">
        <v>1.2</v>
      </c>
      <c r="AS76" s="7">
        <v>2</v>
      </c>
      <c r="AT76" s="21">
        <v>0</v>
      </c>
      <c r="AU76" s="2" t="s">
        <v>7193</v>
      </c>
      <c r="AV76" s="2" t="s">
        <v>7193</v>
      </c>
      <c r="AW76" s="2" t="s">
        <v>7143</v>
      </c>
      <c r="AZ76" s="2" t="s">
        <v>7145</v>
      </c>
      <c r="BB76" s="2" t="s">
        <v>7214</v>
      </c>
      <c r="BC76" s="2" t="s">
        <v>7247</v>
      </c>
      <c r="BD76" s="2" t="s">
        <v>7142</v>
      </c>
      <c r="BE76" s="2" t="s">
        <v>7142</v>
      </c>
      <c r="BF76" s="2" t="s">
        <v>7148</v>
      </c>
      <c r="BG76" s="2" t="s">
        <v>7149</v>
      </c>
      <c r="BH76" s="2" t="s">
        <v>7233</v>
      </c>
      <c r="BI76" s="2" t="s">
        <v>7151</v>
      </c>
      <c r="BL76" s="2" t="s">
        <v>7195</v>
      </c>
      <c r="BO76" s="2" t="s">
        <v>7155</v>
      </c>
      <c r="BQ76" s="2" t="s">
        <v>7156</v>
      </c>
      <c r="BS76" s="2" t="s">
        <v>7142</v>
      </c>
      <c r="BT76" s="2" t="s">
        <v>7157</v>
      </c>
      <c r="BV76" s="2" t="s">
        <v>7202</v>
      </c>
      <c r="BX76" s="2" t="s">
        <v>7143</v>
      </c>
      <c r="BY76" s="2" t="s">
        <v>824</v>
      </c>
      <c r="BZ76" s="2" t="s">
        <v>7159</v>
      </c>
      <c r="CE76" s="21">
        <v>0</v>
      </c>
      <c r="CF76" s="2">
        <v>0</v>
      </c>
      <c r="CY76" s="2" t="s">
        <v>7250</v>
      </c>
      <c r="CZ76" s="2" t="s">
        <v>7250</v>
      </c>
      <c r="DA76" s="2" t="s">
        <v>7250</v>
      </c>
      <c r="DB76" s="2" t="s">
        <v>7250</v>
      </c>
      <c r="DC76" s="2" t="s">
        <v>7249</v>
      </c>
      <c r="DD76" s="2" t="s">
        <v>7250</v>
      </c>
      <c r="DE76" s="2" t="s">
        <v>7250</v>
      </c>
      <c r="DF76" s="2" t="s">
        <v>7250</v>
      </c>
      <c r="DG76" s="2" t="s">
        <v>7250</v>
      </c>
      <c r="DH76" s="2" t="s">
        <v>7250</v>
      </c>
      <c r="DI76" s="2" t="s">
        <v>7250</v>
      </c>
      <c r="DL76" s="2" t="s">
        <v>7143</v>
      </c>
      <c r="DM76" s="2" t="s">
        <v>7143</v>
      </c>
      <c r="DP76" s="2" t="s">
        <v>7159</v>
      </c>
      <c r="DT76" s="2" t="s">
        <v>7159</v>
      </c>
      <c r="DU76" s="2" t="s">
        <v>7159</v>
      </c>
      <c r="DV76" s="2" t="s">
        <v>7159</v>
      </c>
      <c r="DW76" s="2" t="s">
        <v>7159</v>
      </c>
      <c r="DX76" s="2" t="s">
        <v>7159</v>
      </c>
      <c r="DY76" s="2" t="s">
        <v>7159</v>
      </c>
      <c r="DZ76" s="2" t="s">
        <v>7159</v>
      </c>
      <c r="EA76" s="2" t="s">
        <v>7159</v>
      </c>
      <c r="EB76" s="2" t="s">
        <v>7159</v>
      </c>
      <c r="EC76" s="2" t="s">
        <v>7159</v>
      </c>
      <c r="ED76" s="2" t="s">
        <v>7159</v>
      </c>
      <c r="EE76" s="2" t="s">
        <v>825</v>
      </c>
      <c r="EF76" s="2" t="s">
        <v>7252</v>
      </c>
      <c r="EG76" s="2" t="s">
        <v>826</v>
      </c>
      <c r="EJ76" s="2" t="s">
        <v>7193</v>
      </c>
      <c r="EK76" s="2" t="s">
        <v>7143</v>
      </c>
      <c r="EL76" s="2" t="s">
        <v>7143</v>
      </c>
      <c r="EN76" s="2" t="s">
        <v>7170</v>
      </c>
      <c r="EP76" s="2" t="s">
        <v>7186</v>
      </c>
      <c r="ER76" s="2" t="s">
        <v>7143</v>
      </c>
      <c r="ET76" s="2" t="s">
        <v>7143</v>
      </c>
      <c r="EV76" s="2" t="s">
        <v>7143</v>
      </c>
      <c r="EX76" s="2" t="s">
        <v>7143</v>
      </c>
      <c r="EZ76" s="2" t="s">
        <v>7143</v>
      </c>
      <c r="FC76" s="2" t="s">
        <v>7172</v>
      </c>
      <c r="FD76" s="2" t="s">
        <v>7143</v>
      </c>
      <c r="FH76" s="2" t="s">
        <v>7173</v>
      </c>
      <c r="FJ76" s="2" t="s">
        <v>7143</v>
      </c>
      <c r="FK76" s="2" t="s">
        <v>7173</v>
      </c>
      <c r="FR76" s="2" t="s">
        <v>827</v>
      </c>
      <c r="FT76" s="2" t="s">
        <v>7176</v>
      </c>
      <c r="FU76" s="2" t="s">
        <v>7189</v>
      </c>
      <c r="FV76" s="2" t="s">
        <v>7176</v>
      </c>
      <c r="FW76" s="2" t="s">
        <v>7176</v>
      </c>
      <c r="FX76" s="2" t="s">
        <v>7189</v>
      </c>
      <c r="FY76" s="2" t="s">
        <v>828</v>
      </c>
      <c r="FZ76" s="19" t="s">
        <v>7486</v>
      </c>
    </row>
    <row r="77" spans="1:182">
      <c r="A77" s="7" t="s">
        <v>829</v>
      </c>
      <c r="D77" s="7" t="s">
        <v>7487</v>
      </c>
      <c r="E77" s="7" t="s">
        <v>830</v>
      </c>
      <c r="F77" s="7" t="s">
        <v>7339</v>
      </c>
      <c r="G77" s="7" t="s">
        <v>7488</v>
      </c>
      <c r="H77" s="7" t="s">
        <v>832</v>
      </c>
      <c r="I77" s="7" t="s">
        <v>833</v>
      </c>
      <c r="J77" s="16" t="s">
        <v>7489</v>
      </c>
      <c r="K77" s="7" t="s">
        <v>833</v>
      </c>
      <c r="L77" s="2" t="s">
        <v>7137</v>
      </c>
      <c r="M77" s="7" t="s">
        <v>7138</v>
      </c>
      <c r="N77" s="7">
        <v>1996</v>
      </c>
      <c r="O77" s="7" t="s">
        <v>7490</v>
      </c>
      <c r="P77" s="2" t="s">
        <v>7140</v>
      </c>
      <c r="Q77" s="2" t="s">
        <v>7141</v>
      </c>
      <c r="R77" s="2" t="s">
        <v>7143</v>
      </c>
      <c r="S77" s="2">
        <v>10</v>
      </c>
      <c r="T77" s="2" t="s">
        <v>7143</v>
      </c>
      <c r="U77" s="2" t="s">
        <v>7143</v>
      </c>
      <c r="Y77" s="2">
        <v>150</v>
      </c>
      <c r="Z77" s="17">
        <v>0.66669999999999996</v>
      </c>
      <c r="AA77" s="2">
        <v>100</v>
      </c>
      <c r="AB77" s="2">
        <v>100</v>
      </c>
      <c r="AC77" s="7">
        <v>100</v>
      </c>
      <c r="AD77" s="2">
        <v>147</v>
      </c>
      <c r="AE77" s="2">
        <v>47</v>
      </c>
      <c r="AF77" s="2" t="s">
        <v>7143</v>
      </c>
      <c r="AG77" s="2" t="s">
        <v>7143</v>
      </c>
      <c r="AH77" s="2" t="s">
        <v>7143</v>
      </c>
      <c r="AJ77" s="2" t="s">
        <v>7143</v>
      </c>
      <c r="AK77" s="2" t="s">
        <v>7143</v>
      </c>
      <c r="AL77" s="2" t="s">
        <v>7143</v>
      </c>
      <c r="AM77" s="2" t="s">
        <v>7143</v>
      </c>
      <c r="AN77" s="2" t="s">
        <v>7143</v>
      </c>
      <c r="AO77" s="2" t="s">
        <v>7142</v>
      </c>
      <c r="AR77" s="7">
        <v>0.7</v>
      </c>
      <c r="AS77" s="7">
        <v>2</v>
      </c>
      <c r="AT77" s="7">
        <v>0.7</v>
      </c>
      <c r="AU77" s="2" t="s">
        <v>7193</v>
      </c>
      <c r="AV77" s="2" t="s">
        <v>7193</v>
      </c>
      <c r="AW77" s="2" t="s">
        <v>7143</v>
      </c>
      <c r="AZ77" s="2" t="s">
        <v>7299</v>
      </c>
      <c r="BB77" s="2" t="s">
        <v>7214</v>
      </c>
      <c r="BC77" s="2" t="s">
        <v>7247</v>
      </c>
      <c r="BD77" s="2" t="s">
        <v>7143</v>
      </c>
      <c r="BE77" s="2" t="s">
        <v>7142</v>
      </c>
      <c r="BF77" s="2" t="s">
        <v>7148</v>
      </c>
      <c r="BG77" s="2" t="s">
        <v>7149</v>
      </c>
      <c r="BH77" s="2" t="s">
        <v>7150</v>
      </c>
      <c r="BI77" s="2" t="s">
        <v>7151</v>
      </c>
      <c r="BL77" s="2" t="s">
        <v>7195</v>
      </c>
      <c r="BO77" s="2" t="s">
        <v>7155</v>
      </c>
      <c r="BQ77" s="2" t="s">
        <v>7183</v>
      </c>
      <c r="BS77" s="2" t="s">
        <v>7143</v>
      </c>
      <c r="BT77" s="2" t="s">
        <v>7341</v>
      </c>
      <c r="BV77" s="2" t="s">
        <v>7304</v>
      </c>
      <c r="BX77" s="2" t="s">
        <v>7142</v>
      </c>
      <c r="BY77" s="2" t="s">
        <v>835</v>
      </c>
      <c r="BZ77" s="2" t="s">
        <v>7173</v>
      </c>
      <c r="CE77" s="7">
        <v>0.7</v>
      </c>
      <c r="CF77" s="2">
        <v>147</v>
      </c>
      <c r="CK77" s="2">
        <v>100</v>
      </c>
      <c r="CO77" s="2">
        <v>100</v>
      </c>
      <c r="CR77" s="2" t="s">
        <v>7160</v>
      </c>
      <c r="CT77" s="2" t="s">
        <v>7143</v>
      </c>
      <c r="CU77" s="2" t="s">
        <v>7454</v>
      </c>
      <c r="CW77" s="2" t="s">
        <v>7162</v>
      </c>
      <c r="CY77" s="2" t="s">
        <v>7250</v>
      </c>
      <c r="CZ77" s="2" t="s">
        <v>7249</v>
      </c>
      <c r="DA77" s="2" t="s">
        <v>7250</v>
      </c>
      <c r="DB77" s="2" t="s">
        <v>7250</v>
      </c>
      <c r="DC77" s="2" t="s">
        <v>7321</v>
      </c>
      <c r="DD77" s="2" t="s">
        <v>7321</v>
      </c>
      <c r="DE77" s="2" t="s">
        <v>7250</v>
      </c>
      <c r="DF77" s="2" t="s">
        <v>7250</v>
      </c>
      <c r="DG77" s="2" t="s">
        <v>7250</v>
      </c>
      <c r="DH77" s="2" t="s">
        <v>7250</v>
      </c>
      <c r="DI77" s="2" t="s">
        <v>7250</v>
      </c>
      <c r="DL77" s="2" t="s">
        <v>7142</v>
      </c>
      <c r="DM77" s="2" t="s">
        <v>7142</v>
      </c>
      <c r="DN77" s="2" t="s">
        <v>7142</v>
      </c>
      <c r="DO77" s="2" t="s">
        <v>7142</v>
      </c>
      <c r="DP77" s="2" t="s">
        <v>7173</v>
      </c>
      <c r="DT77" s="2" t="s">
        <v>7159</v>
      </c>
      <c r="DU77" s="2" t="s">
        <v>7159</v>
      </c>
      <c r="DV77" s="2" t="s">
        <v>7159</v>
      </c>
      <c r="DW77" s="2" t="s">
        <v>7159</v>
      </c>
      <c r="DX77" s="2" t="s">
        <v>7159</v>
      </c>
      <c r="DY77" s="2" t="s">
        <v>7159</v>
      </c>
      <c r="DZ77" s="2" t="s">
        <v>7159</v>
      </c>
      <c r="EA77" s="2" t="s">
        <v>7159</v>
      </c>
      <c r="EB77" s="2" t="s">
        <v>7159</v>
      </c>
      <c r="EC77" s="2" t="s">
        <v>7159</v>
      </c>
      <c r="EF77" s="2" t="s">
        <v>7252</v>
      </c>
      <c r="EG77" s="2" t="s">
        <v>7491</v>
      </c>
      <c r="EJ77" s="2" t="s">
        <v>7217</v>
      </c>
      <c r="EK77" s="2" t="s">
        <v>7143</v>
      </c>
      <c r="EL77" s="2" t="s">
        <v>7143</v>
      </c>
      <c r="EN77" s="2" t="s">
        <v>7170</v>
      </c>
      <c r="EP77" s="2" t="s">
        <v>7186</v>
      </c>
      <c r="ER77" s="2" t="s">
        <v>7143</v>
      </c>
      <c r="ET77" s="2" t="s">
        <v>7143</v>
      </c>
      <c r="EV77" s="2" t="s">
        <v>7143</v>
      </c>
      <c r="EX77" s="2" t="s">
        <v>7143</v>
      </c>
      <c r="EZ77" s="2" t="s">
        <v>7143</v>
      </c>
      <c r="FC77" s="2" t="s">
        <v>7172</v>
      </c>
      <c r="FD77" s="2" t="s">
        <v>7143</v>
      </c>
      <c r="FH77" s="2" t="s">
        <v>7173</v>
      </c>
      <c r="FJ77" s="2" t="s">
        <v>7143</v>
      </c>
      <c r="FK77" s="2" t="s">
        <v>7173</v>
      </c>
      <c r="FN77" s="2" t="s">
        <v>7344</v>
      </c>
      <c r="FR77" s="2" t="s">
        <v>837</v>
      </c>
      <c r="FT77" s="2" t="s">
        <v>7189</v>
      </c>
      <c r="FU77" s="2" t="s">
        <v>7345</v>
      </c>
      <c r="FV77" s="2" t="s">
        <v>7189</v>
      </c>
      <c r="FW77" s="2" t="s">
        <v>7189</v>
      </c>
      <c r="FX77" s="2" t="s">
        <v>7189</v>
      </c>
      <c r="FY77" s="2" t="s">
        <v>838</v>
      </c>
      <c r="FZ77" s="19" t="s">
        <v>7492</v>
      </c>
    </row>
    <row r="78" spans="1:182">
      <c r="A78" s="7" t="s">
        <v>839</v>
      </c>
      <c r="D78" s="7" t="s">
        <v>7493</v>
      </c>
      <c r="E78" s="7" t="s">
        <v>840</v>
      </c>
      <c r="F78" s="7" t="s">
        <v>7389</v>
      </c>
      <c r="G78" s="7" t="s">
        <v>7488</v>
      </c>
      <c r="H78" s="7" t="s">
        <v>841</v>
      </c>
      <c r="I78" s="7" t="s">
        <v>842</v>
      </c>
      <c r="J78" s="16" t="s">
        <v>7494</v>
      </c>
      <c r="K78" s="7" t="s">
        <v>843</v>
      </c>
      <c r="L78" s="2" t="s">
        <v>7137</v>
      </c>
      <c r="M78" s="7" t="s">
        <v>7179</v>
      </c>
      <c r="N78" s="7">
        <v>1969</v>
      </c>
      <c r="O78" s="7" t="s">
        <v>7180</v>
      </c>
      <c r="P78" s="7" t="s">
        <v>7181</v>
      </c>
      <c r="Q78" s="2" t="s">
        <v>7141</v>
      </c>
      <c r="R78" s="2" t="s">
        <v>7143</v>
      </c>
      <c r="S78" s="2">
        <v>30</v>
      </c>
      <c r="T78" s="2" t="s">
        <v>7143</v>
      </c>
      <c r="U78" s="2" t="s">
        <v>7143</v>
      </c>
      <c r="Y78" s="2">
        <v>350</v>
      </c>
      <c r="Z78" s="17">
        <v>0.85709999999999997</v>
      </c>
      <c r="AA78" s="2">
        <v>300</v>
      </c>
      <c r="AB78" s="2">
        <v>300</v>
      </c>
      <c r="AC78" s="7">
        <v>300</v>
      </c>
      <c r="AD78" s="2">
        <v>350</v>
      </c>
      <c r="AE78" s="2">
        <v>50</v>
      </c>
      <c r="AF78" s="2" t="s">
        <v>7143</v>
      </c>
      <c r="AG78" s="2" t="s">
        <v>7143</v>
      </c>
      <c r="AH78" s="2" t="s">
        <v>7142</v>
      </c>
      <c r="AI78" s="2" t="s">
        <v>308</v>
      </c>
      <c r="AJ78" s="2" t="s">
        <v>7143</v>
      </c>
      <c r="AK78" s="2" t="s">
        <v>7143</v>
      </c>
      <c r="AL78" s="2" t="s">
        <v>7143</v>
      </c>
      <c r="AM78" s="2" t="s">
        <v>7143</v>
      </c>
      <c r="AN78" s="2" t="s">
        <v>7143</v>
      </c>
      <c r="AO78" s="2" t="s">
        <v>7143</v>
      </c>
      <c r="AR78" s="7">
        <v>1</v>
      </c>
      <c r="AS78" s="7">
        <v>1</v>
      </c>
      <c r="AT78" s="7">
        <v>3.5</v>
      </c>
      <c r="AU78" s="2" t="s">
        <v>7217</v>
      </c>
      <c r="AV78" s="2" t="s">
        <v>7144</v>
      </c>
      <c r="AW78" s="2" t="s">
        <v>7143</v>
      </c>
      <c r="AZ78" s="2" t="s">
        <v>7286</v>
      </c>
      <c r="BB78" s="2" t="s">
        <v>7214</v>
      </c>
      <c r="BC78" s="2" t="s">
        <v>7147</v>
      </c>
      <c r="BD78" s="2" t="s">
        <v>7143</v>
      </c>
      <c r="BE78" s="2" t="s">
        <v>7142</v>
      </c>
      <c r="BF78" s="2" t="s">
        <v>7148</v>
      </c>
      <c r="BG78" s="2" t="s">
        <v>7149</v>
      </c>
      <c r="BH78" s="2" t="s">
        <v>7248</v>
      </c>
      <c r="BI78" s="2" t="s">
        <v>7151</v>
      </c>
      <c r="BL78" s="2" t="s">
        <v>7195</v>
      </c>
      <c r="BO78" s="2" t="s">
        <v>7155</v>
      </c>
      <c r="BQ78" s="2" t="s">
        <v>7183</v>
      </c>
      <c r="BS78" s="2" t="s">
        <v>7142</v>
      </c>
      <c r="BT78" s="2" t="s">
        <v>7495</v>
      </c>
      <c r="BU78" s="2" t="s">
        <v>845</v>
      </c>
      <c r="BV78" s="2" t="s">
        <v>7197</v>
      </c>
      <c r="BX78" s="2" t="s">
        <v>7143</v>
      </c>
      <c r="BZ78" s="2" t="s">
        <v>7173</v>
      </c>
      <c r="CE78" s="7">
        <v>3.5</v>
      </c>
      <c r="CF78" s="2">
        <v>350</v>
      </c>
      <c r="CK78" s="2">
        <v>100</v>
      </c>
      <c r="CO78" s="2">
        <v>100</v>
      </c>
      <c r="CR78" s="2" t="s">
        <v>7276</v>
      </c>
      <c r="CT78" s="2" t="s">
        <v>7143</v>
      </c>
      <c r="CU78" s="2" t="s">
        <v>7383</v>
      </c>
      <c r="CW78" s="2" t="s">
        <v>7162</v>
      </c>
      <c r="CY78" s="2" t="s">
        <v>7250</v>
      </c>
      <c r="CZ78" s="2" t="s">
        <v>7250</v>
      </c>
      <c r="DA78" s="2" t="s">
        <v>7250</v>
      </c>
      <c r="DB78" s="2" t="s">
        <v>7250</v>
      </c>
      <c r="DC78" s="2" t="s">
        <v>7321</v>
      </c>
      <c r="DD78" s="2" t="s">
        <v>7321</v>
      </c>
      <c r="DE78" s="2" t="s">
        <v>7250</v>
      </c>
      <c r="DF78" s="2" t="s">
        <v>7250</v>
      </c>
      <c r="DG78" s="2" t="s">
        <v>7250</v>
      </c>
      <c r="DH78" s="2" t="s">
        <v>7250</v>
      </c>
      <c r="DI78" s="2" t="s">
        <v>7321</v>
      </c>
      <c r="DL78" s="2" t="s">
        <v>7142</v>
      </c>
      <c r="DM78" s="2" t="s">
        <v>7143</v>
      </c>
      <c r="DP78" s="2" t="s">
        <v>7173</v>
      </c>
      <c r="DT78" s="2" t="s">
        <v>7165</v>
      </c>
      <c r="DU78" s="2" t="s">
        <v>7165</v>
      </c>
      <c r="DV78" s="2" t="s">
        <v>7165</v>
      </c>
      <c r="DW78" s="2" t="s">
        <v>7165</v>
      </c>
      <c r="DX78" s="2" t="s">
        <v>7165</v>
      </c>
      <c r="DY78" s="2" t="s">
        <v>7165</v>
      </c>
      <c r="DZ78" s="2" t="s">
        <v>7159</v>
      </c>
      <c r="EA78" s="2" t="s">
        <v>7159</v>
      </c>
      <c r="EB78" s="2" t="s">
        <v>7159</v>
      </c>
      <c r="EC78" s="2" t="s">
        <v>7173</v>
      </c>
      <c r="EF78" s="2" t="s">
        <v>7221</v>
      </c>
      <c r="EG78" s="2" t="s">
        <v>846</v>
      </c>
      <c r="EJ78" s="2" t="s">
        <v>7144</v>
      </c>
      <c r="EK78" s="2" t="s">
        <v>7143</v>
      </c>
      <c r="EL78" s="2" t="s">
        <v>7143</v>
      </c>
      <c r="EN78" s="2" t="s">
        <v>7210</v>
      </c>
      <c r="EP78" s="2" t="s">
        <v>7186</v>
      </c>
      <c r="ER78" s="2" t="s">
        <v>7143</v>
      </c>
      <c r="ET78" s="2" t="s">
        <v>7143</v>
      </c>
      <c r="EV78" s="2" t="s">
        <v>7143</v>
      </c>
      <c r="EX78" s="2" t="s">
        <v>7143</v>
      </c>
      <c r="EZ78" s="2" t="s">
        <v>7143</v>
      </c>
      <c r="FC78" s="2" t="s">
        <v>7218</v>
      </c>
      <c r="FD78" s="2" t="s">
        <v>7143</v>
      </c>
      <c r="FH78" s="2" t="s">
        <v>7173</v>
      </c>
      <c r="FJ78" s="2" t="s">
        <v>7142</v>
      </c>
      <c r="FK78" s="2" t="s">
        <v>7159</v>
      </c>
      <c r="FN78" s="2" t="s">
        <v>7458</v>
      </c>
      <c r="FR78" s="2" t="s">
        <v>847</v>
      </c>
      <c r="FT78" s="2" t="s">
        <v>7176</v>
      </c>
      <c r="FU78" s="2" t="s">
        <v>7176</v>
      </c>
      <c r="FV78" s="2" t="s">
        <v>7176</v>
      </c>
      <c r="FW78" s="2" t="s">
        <v>7176</v>
      </c>
      <c r="FZ78" s="19" t="s">
        <v>7496</v>
      </c>
    </row>
    <row r="79" spans="1:182">
      <c r="A79" s="7" t="s">
        <v>848</v>
      </c>
      <c r="D79" s="7" t="s">
        <v>7497</v>
      </c>
      <c r="E79" s="7" t="s">
        <v>177</v>
      </c>
      <c r="F79" s="7" t="s">
        <v>7134</v>
      </c>
      <c r="G79" s="7" t="s">
        <v>7488</v>
      </c>
      <c r="H79" s="7" t="s">
        <v>849</v>
      </c>
      <c r="I79" s="7" t="s">
        <v>850</v>
      </c>
      <c r="J79" s="16" t="s">
        <v>7498</v>
      </c>
      <c r="K79" s="7" t="s">
        <v>850</v>
      </c>
      <c r="L79" s="2" t="s">
        <v>7137</v>
      </c>
      <c r="M79" s="7" t="s">
        <v>7179</v>
      </c>
      <c r="N79" s="7">
        <v>1989</v>
      </c>
      <c r="O79" s="7" t="s">
        <v>7180</v>
      </c>
      <c r="P79" s="2" t="s">
        <v>7140</v>
      </c>
      <c r="Q79" s="2" t="s">
        <v>7141</v>
      </c>
      <c r="R79" s="2" t="s">
        <v>7143</v>
      </c>
      <c r="S79" s="2">
        <v>23</v>
      </c>
      <c r="T79" s="2" t="s">
        <v>7143</v>
      </c>
      <c r="U79" s="2" t="s">
        <v>7143</v>
      </c>
      <c r="Y79" s="2">
        <v>60</v>
      </c>
      <c r="Z79" s="17">
        <v>0.83330000000000004</v>
      </c>
      <c r="AA79" s="2">
        <v>50</v>
      </c>
      <c r="AB79" s="2">
        <v>50</v>
      </c>
      <c r="AC79" s="7">
        <v>50</v>
      </c>
      <c r="AD79" s="2">
        <v>100</v>
      </c>
      <c r="AE79" s="2">
        <v>50</v>
      </c>
      <c r="AF79" s="2" t="s">
        <v>7143</v>
      </c>
      <c r="AG79" s="2" t="s">
        <v>7143</v>
      </c>
      <c r="AH79" s="2" t="s">
        <v>7143</v>
      </c>
      <c r="AJ79" s="2" t="s">
        <v>7143</v>
      </c>
      <c r="AK79" s="2" t="s">
        <v>7143</v>
      </c>
      <c r="AL79" s="2" t="s">
        <v>7143</v>
      </c>
      <c r="AM79" s="2" t="s">
        <v>7142</v>
      </c>
      <c r="AN79" s="2" t="s">
        <v>7143</v>
      </c>
      <c r="AO79" s="2" t="s">
        <v>7143</v>
      </c>
      <c r="AR79" s="7">
        <v>0.7</v>
      </c>
      <c r="AS79" s="7">
        <v>2</v>
      </c>
      <c r="AT79" s="7">
        <v>1</v>
      </c>
      <c r="AU79" s="2" t="s">
        <v>7144</v>
      </c>
      <c r="AV79" s="2" t="s">
        <v>7144</v>
      </c>
      <c r="AW79" s="2" t="s">
        <v>7143</v>
      </c>
      <c r="AZ79" s="2" t="s">
        <v>7299</v>
      </c>
      <c r="BB79" s="2" t="s">
        <v>7214</v>
      </c>
      <c r="BC79" s="2" t="s">
        <v>7247</v>
      </c>
      <c r="BD79" s="2" t="s">
        <v>7142</v>
      </c>
      <c r="BE79" s="2" t="s">
        <v>7142</v>
      </c>
      <c r="BF79" s="2" t="s">
        <v>7148</v>
      </c>
      <c r="BG79" s="2" t="s">
        <v>7232</v>
      </c>
      <c r="BH79" s="2" t="s">
        <v>7150</v>
      </c>
      <c r="BI79" s="2" t="s">
        <v>7151</v>
      </c>
      <c r="BL79" s="2" t="s">
        <v>7195</v>
      </c>
      <c r="BO79" s="2" t="s">
        <v>7155</v>
      </c>
      <c r="BQ79" s="2" t="s">
        <v>7183</v>
      </c>
      <c r="BS79" s="2" t="s">
        <v>7142</v>
      </c>
      <c r="BT79" s="2" t="s">
        <v>7157</v>
      </c>
      <c r="BV79" s="2" t="s">
        <v>7352</v>
      </c>
      <c r="BX79" s="2" t="s">
        <v>7143</v>
      </c>
      <c r="BZ79" s="2" t="s">
        <v>7159</v>
      </c>
      <c r="CE79" s="7">
        <v>1</v>
      </c>
      <c r="CF79" s="2">
        <v>100</v>
      </c>
      <c r="CK79" s="2">
        <v>100</v>
      </c>
      <c r="CO79" s="2">
        <v>100</v>
      </c>
      <c r="CR79" s="2" t="s">
        <v>7160</v>
      </c>
      <c r="CT79" s="2" t="s">
        <v>7143</v>
      </c>
      <c r="CU79" s="2" t="s">
        <v>7161</v>
      </c>
      <c r="CW79" s="2" t="s">
        <v>7162</v>
      </c>
      <c r="CY79" s="2" t="s">
        <v>7163</v>
      </c>
      <c r="CZ79" s="2" t="s">
        <v>7163</v>
      </c>
      <c r="DA79" s="2" t="s">
        <v>7164</v>
      </c>
      <c r="DB79" s="2" t="s">
        <v>7164</v>
      </c>
      <c r="DE79" s="2" t="s">
        <v>7164</v>
      </c>
      <c r="DF79" s="2" t="s">
        <v>7163</v>
      </c>
      <c r="DG79" s="2" t="s">
        <v>7164</v>
      </c>
      <c r="DH79" s="2" t="s">
        <v>7164</v>
      </c>
      <c r="DI79" s="2" t="s">
        <v>7164</v>
      </c>
      <c r="DL79" s="2" t="s">
        <v>7142</v>
      </c>
      <c r="DM79" s="2" t="s">
        <v>7142</v>
      </c>
      <c r="DN79" s="2" t="s">
        <v>7142</v>
      </c>
      <c r="DO79" s="2" t="s">
        <v>7142</v>
      </c>
      <c r="DP79" s="2" t="s">
        <v>7165</v>
      </c>
      <c r="DQ79" s="2" t="s">
        <v>7166</v>
      </c>
      <c r="DT79" s="2" t="s">
        <v>7165</v>
      </c>
      <c r="DU79" s="2" t="s">
        <v>7165</v>
      </c>
      <c r="DV79" s="2" t="s">
        <v>7165</v>
      </c>
      <c r="DW79" s="2" t="s">
        <v>7165</v>
      </c>
      <c r="DX79" s="2" t="s">
        <v>7165</v>
      </c>
      <c r="DY79" s="2" t="s">
        <v>7165</v>
      </c>
      <c r="DZ79" s="2" t="s">
        <v>7165</v>
      </c>
      <c r="EA79" s="2" t="s">
        <v>7165</v>
      </c>
      <c r="EB79" s="2" t="s">
        <v>7165</v>
      </c>
      <c r="EF79" s="2" t="s">
        <v>7167</v>
      </c>
      <c r="EJ79" s="2" t="s">
        <v>7144</v>
      </c>
      <c r="EK79" s="2" t="s">
        <v>7142</v>
      </c>
      <c r="EL79" s="2" t="s">
        <v>7143</v>
      </c>
      <c r="EN79" s="2" t="s">
        <v>7170</v>
      </c>
      <c r="EP79" s="2" t="s">
        <v>7186</v>
      </c>
      <c r="ER79" s="2" t="s">
        <v>7142</v>
      </c>
      <c r="ET79" s="2" t="s">
        <v>7143</v>
      </c>
      <c r="EV79" s="2" t="s">
        <v>7142</v>
      </c>
      <c r="EW79" s="2" t="s">
        <v>7171</v>
      </c>
      <c r="EX79" s="2" t="s">
        <v>7143</v>
      </c>
      <c r="FD79" s="2" t="s">
        <v>7143</v>
      </c>
      <c r="FH79" s="2" t="s">
        <v>7173</v>
      </c>
      <c r="FJ79" s="2" t="s">
        <v>7142</v>
      </c>
      <c r="FK79" s="2" t="s">
        <v>7165</v>
      </c>
      <c r="FL79" s="2" t="s">
        <v>7187</v>
      </c>
      <c r="FN79" s="2" t="s">
        <v>7499</v>
      </c>
      <c r="FT79" s="2" t="s">
        <v>7189</v>
      </c>
      <c r="FU79" s="2" t="s">
        <v>7189</v>
      </c>
      <c r="FV79" s="2" t="s">
        <v>7189</v>
      </c>
      <c r="FW79" s="2" t="s">
        <v>7189</v>
      </c>
      <c r="FZ79" s="19" t="s">
        <v>7500</v>
      </c>
    </row>
    <row r="80" spans="1:182">
      <c r="A80" s="7" t="s">
        <v>852</v>
      </c>
      <c r="D80" s="7" t="s">
        <v>7501</v>
      </c>
      <c r="E80" s="7" t="s">
        <v>853</v>
      </c>
      <c r="F80" s="7" t="s">
        <v>7339</v>
      </c>
      <c r="G80" s="7" t="s">
        <v>7488</v>
      </c>
      <c r="H80" s="7" t="s">
        <v>854</v>
      </c>
      <c r="I80" s="7" t="s">
        <v>855</v>
      </c>
      <c r="J80" s="16" t="s">
        <v>7502</v>
      </c>
      <c r="K80" s="7" t="s">
        <v>856</v>
      </c>
      <c r="L80" s="2" t="s">
        <v>7137</v>
      </c>
      <c r="M80" s="7" t="s">
        <v>7179</v>
      </c>
      <c r="N80" s="7">
        <v>2005</v>
      </c>
      <c r="O80" s="7" t="s">
        <v>7490</v>
      </c>
      <c r="P80" s="2" t="s">
        <v>7503</v>
      </c>
      <c r="Q80" s="2" t="s">
        <v>7141</v>
      </c>
      <c r="R80" s="2" t="s">
        <v>7143</v>
      </c>
      <c r="S80" s="2">
        <v>4</v>
      </c>
      <c r="T80" s="2" t="s">
        <v>7143</v>
      </c>
      <c r="U80" s="2" t="s">
        <v>7142</v>
      </c>
      <c r="Y80" s="2">
        <v>132</v>
      </c>
      <c r="Z80" s="17">
        <v>0.84850000000000003</v>
      </c>
      <c r="AA80" s="2">
        <v>112</v>
      </c>
      <c r="AB80" s="2">
        <v>84</v>
      </c>
      <c r="AC80" s="7">
        <v>72</v>
      </c>
      <c r="AD80" s="2">
        <v>87</v>
      </c>
      <c r="AE80" s="2">
        <v>15</v>
      </c>
      <c r="AF80" s="2" t="s">
        <v>7142</v>
      </c>
      <c r="AG80" s="2" t="s">
        <v>7143</v>
      </c>
      <c r="AH80" s="2" t="s">
        <v>7143</v>
      </c>
      <c r="AJ80" s="2" t="s">
        <v>7143</v>
      </c>
      <c r="AK80" s="2" t="s">
        <v>7142</v>
      </c>
      <c r="AL80" s="2" t="s">
        <v>7143</v>
      </c>
      <c r="AM80" s="2" t="s">
        <v>7142</v>
      </c>
      <c r="AN80" s="2" t="s">
        <v>7143</v>
      </c>
      <c r="AO80" s="2" t="s">
        <v>7143</v>
      </c>
      <c r="AR80" s="7">
        <v>0.6</v>
      </c>
      <c r="AS80" s="7">
        <v>1</v>
      </c>
      <c r="AT80" s="7">
        <v>0.85</v>
      </c>
      <c r="AU80" s="2" t="s">
        <v>7193</v>
      </c>
      <c r="AV80" s="2" t="s">
        <v>7193</v>
      </c>
      <c r="AW80" s="2" t="s">
        <v>7143</v>
      </c>
      <c r="AZ80" s="2" t="s">
        <v>7145</v>
      </c>
      <c r="BB80" s="2" t="s">
        <v>7268</v>
      </c>
      <c r="BC80" s="2" t="s">
        <v>7247</v>
      </c>
      <c r="BD80" s="2" t="s">
        <v>7143</v>
      </c>
      <c r="BE80" s="2" t="s">
        <v>7142</v>
      </c>
      <c r="BF80" s="2" t="s">
        <v>7148</v>
      </c>
      <c r="BG80" s="2" t="s">
        <v>7441</v>
      </c>
      <c r="BH80" s="2" t="s">
        <v>7233</v>
      </c>
      <c r="BI80" s="2" t="s">
        <v>7396</v>
      </c>
      <c r="BL80" s="2" t="s">
        <v>7195</v>
      </c>
      <c r="BO80" s="2" t="s">
        <v>7155</v>
      </c>
      <c r="BQ80" s="2" t="s">
        <v>7183</v>
      </c>
      <c r="BS80" s="2" t="s">
        <v>7142</v>
      </c>
      <c r="BT80" s="2" t="s">
        <v>7341</v>
      </c>
      <c r="BV80" s="2" t="s">
        <v>7304</v>
      </c>
      <c r="BX80" s="2" t="s">
        <v>7142</v>
      </c>
      <c r="BY80" s="2" t="s">
        <v>857</v>
      </c>
      <c r="BZ80" s="2" t="s">
        <v>7173</v>
      </c>
      <c r="CE80" s="7">
        <v>0.85</v>
      </c>
      <c r="CF80" s="2">
        <v>84</v>
      </c>
      <c r="CK80" s="2">
        <v>100</v>
      </c>
      <c r="CO80" s="2">
        <v>100</v>
      </c>
      <c r="CR80" s="2" t="s">
        <v>7276</v>
      </c>
      <c r="CT80" s="2" t="s">
        <v>7143</v>
      </c>
      <c r="CU80" s="2" t="s">
        <v>7454</v>
      </c>
      <c r="CW80" s="2" t="s">
        <v>7162</v>
      </c>
      <c r="CY80" s="2" t="s">
        <v>7250</v>
      </c>
      <c r="CZ80" s="2" t="s">
        <v>7250</v>
      </c>
      <c r="DA80" s="2" t="s">
        <v>7250</v>
      </c>
      <c r="DB80" s="2" t="s">
        <v>7250</v>
      </c>
      <c r="DC80" s="2" t="s">
        <v>7321</v>
      </c>
      <c r="DD80" s="2" t="s">
        <v>7250</v>
      </c>
      <c r="DE80" s="2" t="s">
        <v>7250</v>
      </c>
      <c r="DF80" s="2" t="s">
        <v>7250</v>
      </c>
      <c r="DG80" s="2" t="s">
        <v>7250</v>
      </c>
      <c r="DH80" s="2" t="s">
        <v>7250</v>
      </c>
      <c r="DI80" s="2" t="s">
        <v>7250</v>
      </c>
      <c r="DL80" s="2" t="s">
        <v>7142</v>
      </c>
      <c r="DM80" s="2" t="s">
        <v>7142</v>
      </c>
      <c r="DN80" s="2" t="s">
        <v>7142</v>
      </c>
      <c r="DO80" s="2" t="s">
        <v>7142</v>
      </c>
      <c r="DP80" s="2" t="s">
        <v>7165</v>
      </c>
      <c r="DQ80" s="2" t="s">
        <v>7333</v>
      </c>
      <c r="DR80" s="2" t="s">
        <v>858</v>
      </c>
      <c r="DT80" s="2" t="s">
        <v>7165</v>
      </c>
      <c r="DU80" s="2" t="s">
        <v>7165</v>
      </c>
      <c r="DV80" s="2" t="s">
        <v>7165</v>
      </c>
      <c r="DW80" s="2" t="s">
        <v>7165</v>
      </c>
      <c r="DX80" s="2" t="s">
        <v>7165</v>
      </c>
      <c r="DY80" s="2" t="s">
        <v>7159</v>
      </c>
      <c r="DZ80" s="2" t="s">
        <v>7159</v>
      </c>
      <c r="EA80" s="2" t="s">
        <v>7159</v>
      </c>
      <c r="EB80" s="2" t="s">
        <v>7159</v>
      </c>
      <c r="EC80" s="2" t="s">
        <v>7159</v>
      </c>
      <c r="ED80" s="2" t="s">
        <v>7159</v>
      </c>
      <c r="EF80" s="2" t="s">
        <v>7349</v>
      </c>
      <c r="EG80" s="2" t="s">
        <v>859</v>
      </c>
      <c r="EJ80" s="2" t="s">
        <v>7217</v>
      </c>
      <c r="EK80" s="2" t="s">
        <v>7143</v>
      </c>
      <c r="EL80" s="2" t="s">
        <v>7143</v>
      </c>
      <c r="EN80" s="2" t="s">
        <v>7170</v>
      </c>
      <c r="EP80" s="2" t="s">
        <v>7186</v>
      </c>
      <c r="ER80" s="2" t="s">
        <v>7143</v>
      </c>
      <c r="ET80" s="2" t="s">
        <v>7143</v>
      </c>
      <c r="EV80" s="2" t="s">
        <v>7142</v>
      </c>
      <c r="EW80" s="2" t="s">
        <v>7204</v>
      </c>
      <c r="EX80" s="2" t="s">
        <v>7143</v>
      </c>
      <c r="EZ80" s="2" t="s">
        <v>7143</v>
      </c>
      <c r="FC80" s="2" t="s">
        <v>7218</v>
      </c>
      <c r="FD80" s="2" t="s">
        <v>7143</v>
      </c>
      <c r="FH80" s="2" t="s">
        <v>7173</v>
      </c>
      <c r="FJ80" s="2" t="s">
        <v>7143</v>
      </c>
      <c r="FK80" s="2" t="s">
        <v>7173</v>
      </c>
      <c r="FN80" s="2" t="s">
        <v>7344</v>
      </c>
      <c r="FR80" s="2" t="s">
        <v>860</v>
      </c>
      <c r="FT80" s="2" t="s">
        <v>7189</v>
      </c>
      <c r="FU80" s="2" t="s">
        <v>7189</v>
      </c>
      <c r="FV80" s="2" t="s">
        <v>7189</v>
      </c>
      <c r="FW80" s="2" t="s">
        <v>7189</v>
      </c>
      <c r="FZ80" s="19" t="s">
        <v>7504</v>
      </c>
    </row>
    <row r="81" spans="1:182">
      <c r="A81" s="7" t="s">
        <v>861</v>
      </c>
      <c r="D81" s="7" t="s">
        <v>7505</v>
      </c>
      <c r="E81" s="7" t="s">
        <v>177</v>
      </c>
      <c r="F81" s="7" t="s">
        <v>7245</v>
      </c>
      <c r="G81" s="7" t="s">
        <v>7466</v>
      </c>
      <c r="H81" s="7" t="s">
        <v>792</v>
      </c>
      <c r="I81" s="7" t="s">
        <v>862</v>
      </c>
      <c r="J81" s="19" t="s">
        <v>7267</v>
      </c>
      <c r="K81" s="7" t="s">
        <v>863</v>
      </c>
      <c r="L81" s="7" t="s">
        <v>7137</v>
      </c>
      <c r="M81" s="7" t="s">
        <v>7138</v>
      </c>
      <c r="N81" s="7">
        <v>1999</v>
      </c>
      <c r="O81" s="7" t="s">
        <v>7139</v>
      </c>
      <c r="P81" s="7" t="s">
        <v>7192</v>
      </c>
      <c r="Q81" s="7" t="s">
        <v>7141</v>
      </c>
      <c r="R81" s="7" t="s">
        <v>7143</v>
      </c>
      <c r="S81" s="7">
        <v>2022</v>
      </c>
      <c r="T81" s="7" t="s">
        <v>7143</v>
      </c>
      <c r="U81" s="7" t="s">
        <v>7143</v>
      </c>
      <c r="Y81" s="2">
        <v>300</v>
      </c>
      <c r="Z81" s="17">
        <v>0.76670000000000005</v>
      </c>
      <c r="AA81" s="2">
        <v>230</v>
      </c>
      <c r="AB81" s="2">
        <v>230</v>
      </c>
      <c r="AC81" s="7">
        <v>170</v>
      </c>
      <c r="AD81" s="2">
        <v>200</v>
      </c>
      <c r="AE81" s="2">
        <v>30</v>
      </c>
      <c r="AF81" s="7" t="s">
        <v>7142</v>
      </c>
      <c r="AG81" s="2" t="s">
        <v>7142</v>
      </c>
      <c r="AH81" s="7" t="s">
        <v>7143</v>
      </c>
      <c r="AJ81" s="7" t="s">
        <v>7143</v>
      </c>
      <c r="AK81" s="7" t="s">
        <v>7142</v>
      </c>
      <c r="AL81" s="2" t="s">
        <v>7143</v>
      </c>
      <c r="AM81" s="7" t="s">
        <v>7142</v>
      </c>
      <c r="AN81" s="2" t="s">
        <v>7143</v>
      </c>
      <c r="AO81" s="2" t="s">
        <v>7143</v>
      </c>
      <c r="AR81" s="7">
        <v>1</v>
      </c>
      <c r="AS81" s="7">
        <v>3</v>
      </c>
      <c r="AT81" s="7">
        <v>1.4</v>
      </c>
      <c r="AU81" s="2" t="s">
        <v>7193</v>
      </c>
      <c r="AV81" s="7" t="s">
        <v>7193</v>
      </c>
      <c r="AW81" s="7" t="s">
        <v>7143</v>
      </c>
      <c r="AZ81" s="7" t="s">
        <v>7145</v>
      </c>
      <c r="BB81" s="7" t="s">
        <v>7214</v>
      </c>
      <c r="BC81" s="7" t="s">
        <v>7147</v>
      </c>
      <c r="BD81" s="2" t="s">
        <v>7143</v>
      </c>
      <c r="BE81" s="7" t="s">
        <v>7142</v>
      </c>
      <c r="BF81" s="7" t="s">
        <v>7148</v>
      </c>
      <c r="BG81" s="7" t="s">
        <v>7232</v>
      </c>
      <c r="BH81" s="7" t="s">
        <v>7233</v>
      </c>
      <c r="BI81" s="7" t="s">
        <v>7151</v>
      </c>
      <c r="BL81" s="7" t="s">
        <v>7152</v>
      </c>
      <c r="BM81" s="7" t="s">
        <v>7355</v>
      </c>
      <c r="BN81" s="7" t="s">
        <v>7154</v>
      </c>
      <c r="BO81" s="2" t="s">
        <v>7155</v>
      </c>
      <c r="BQ81" s="2" t="s">
        <v>7256</v>
      </c>
      <c r="BS81" s="2" t="s">
        <v>7142</v>
      </c>
      <c r="BT81" s="2" t="s">
        <v>7215</v>
      </c>
      <c r="BV81" s="2" t="s">
        <v>7506</v>
      </c>
      <c r="BW81" s="2" t="s">
        <v>817</v>
      </c>
      <c r="BX81" s="2" t="s">
        <v>7143</v>
      </c>
      <c r="BY81" s="2" t="s">
        <v>865</v>
      </c>
      <c r="BZ81" s="2" t="s">
        <v>7159</v>
      </c>
      <c r="CE81" s="7">
        <v>1.4</v>
      </c>
      <c r="CK81" s="2">
        <v>100</v>
      </c>
      <c r="CO81" s="2">
        <v>100</v>
      </c>
      <c r="CR81" s="7" t="s">
        <v>7276</v>
      </c>
      <c r="CS81" s="7"/>
      <c r="CT81" s="7" t="s">
        <v>7143</v>
      </c>
      <c r="CU81" s="7" t="s">
        <v>7161</v>
      </c>
      <c r="CV81" s="7"/>
      <c r="CW81" s="7" t="s">
        <v>7162</v>
      </c>
      <c r="CY81" s="7" t="s">
        <v>7163</v>
      </c>
      <c r="CZ81" s="7" t="s">
        <v>7163</v>
      </c>
      <c r="DA81" s="7" t="s">
        <v>7163</v>
      </c>
      <c r="DB81" s="7" t="s">
        <v>7227</v>
      </c>
      <c r="DC81" s="7" t="s">
        <v>7507</v>
      </c>
      <c r="DD81" s="2" t="s">
        <v>7251</v>
      </c>
      <c r="DE81" s="2" t="s">
        <v>7250</v>
      </c>
      <c r="DF81" s="2" t="s">
        <v>7250</v>
      </c>
      <c r="DG81" s="2" t="s">
        <v>7164</v>
      </c>
      <c r="DH81" s="2" t="s">
        <v>7250</v>
      </c>
      <c r="DI81" s="2" t="s">
        <v>7250</v>
      </c>
      <c r="DL81" s="7" t="s">
        <v>7143</v>
      </c>
      <c r="DM81" s="7" t="s">
        <v>7143</v>
      </c>
      <c r="DP81" s="7" t="s">
        <v>7173</v>
      </c>
      <c r="DT81" s="2" t="s">
        <v>7165</v>
      </c>
      <c r="DU81" s="2" t="s">
        <v>7165</v>
      </c>
      <c r="DV81" s="2" t="s">
        <v>7165</v>
      </c>
      <c r="DW81" s="2" t="s">
        <v>7165</v>
      </c>
      <c r="DX81" s="2" t="s">
        <v>7159</v>
      </c>
      <c r="DY81" s="2" t="s">
        <v>7159</v>
      </c>
      <c r="DZ81" s="2" t="s">
        <v>7159</v>
      </c>
      <c r="EA81" s="2" t="s">
        <v>7159</v>
      </c>
      <c r="EB81" s="2" t="s">
        <v>7165</v>
      </c>
      <c r="EC81" s="2" t="s">
        <v>7159</v>
      </c>
      <c r="ED81" s="2" t="s">
        <v>7159</v>
      </c>
      <c r="EF81" s="2" t="s">
        <v>7167</v>
      </c>
      <c r="EJ81" s="7" t="s">
        <v>7193</v>
      </c>
      <c r="EK81" s="7" t="s">
        <v>7142</v>
      </c>
      <c r="EL81" s="7" t="s">
        <v>7143</v>
      </c>
      <c r="EN81" s="7" t="s">
        <v>7170</v>
      </c>
      <c r="EP81" s="7" t="s">
        <v>7186</v>
      </c>
      <c r="ER81" s="2" t="s">
        <v>7143</v>
      </c>
      <c r="ET81" s="7" t="s">
        <v>7143</v>
      </c>
      <c r="EV81" s="2" t="s">
        <v>7143</v>
      </c>
      <c r="EX81" s="2" t="s">
        <v>7143</v>
      </c>
      <c r="EZ81" s="2" t="s">
        <v>7143</v>
      </c>
      <c r="FC81" s="2" t="s">
        <v>7172</v>
      </c>
      <c r="FD81" s="2" t="s">
        <v>7143</v>
      </c>
      <c r="FH81" s="7" t="s">
        <v>7173</v>
      </c>
      <c r="FJ81" s="2" t="s">
        <v>7142</v>
      </c>
      <c r="FK81" s="2" t="s">
        <v>7159</v>
      </c>
      <c r="FN81" s="2" t="s">
        <v>7283</v>
      </c>
      <c r="FT81" s="2" t="s">
        <v>7176</v>
      </c>
      <c r="FU81" s="2" t="s">
        <v>7176</v>
      </c>
      <c r="FV81" s="2" t="s">
        <v>7176</v>
      </c>
      <c r="FW81" s="2" t="s">
        <v>7189</v>
      </c>
      <c r="FZ81" s="19" t="s">
        <v>7508</v>
      </c>
    </row>
    <row r="82" spans="1:182">
      <c r="A82" s="7" t="s">
        <v>867</v>
      </c>
      <c r="D82" s="7" t="s">
        <v>7509</v>
      </c>
      <c r="E82" s="7" t="s">
        <v>868</v>
      </c>
      <c r="F82" s="7" t="s">
        <v>7319</v>
      </c>
      <c r="G82" s="7" t="s">
        <v>7466</v>
      </c>
      <c r="H82" s="7" t="s">
        <v>869</v>
      </c>
      <c r="I82" s="7" t="s">
        <v>657</v>
      </c>
      <c r="J82" s="16" t="s">
        <v>7510</v>
      </c>
      <c r="K82" s="7" t="s">
        <v>657</v>
      </c>
      <c r="L82" s="7" t="s">
        <v>7137</v>
      </c>
      <c r="M82" s="7" t="s">
        <v>7138</v>
      </c>
      <c r="N82" s="7">
        <v>1979</v>
      </c>
      <c r="O82" s="7" t="s">
        <v>7139</v>
      </c>
      <c r="P82" s="2" t="s">
        <v>7140</v>
      </c>
      <c r="Q82" s="7" t="s">
        <v>7141</v>
      </c>
      <c r="R82" s="2" t="s">
        <v>7143</v>
      </c>
      <c r="S82" s="2">
        <v>20</v>
      </c>
      <c r="T82" s="2" t="s">
        <v>7143</v>
      </c>
      <c r="U82" s="2" t="s">
        <v>7143</v>
      </c>
      <c r="Y82" s="2">
        <v>290</v>
      </c>
      <c r="Z82" s="17">
        <v>1</v>
      </c>
      <c r="AA82" s="2">
        <v>290</v>
      </c>
      <c r="AB82" s="2">
        <v>265</v>
      </c>
      <c r="AC82" s="7">
        <v>255</v>
      </c>
      <c r="AD82" s="2">
        <v>300</v>
      </c>
      <c r="AE82" s="2">
        <v>45</v>
      </c>
      <c r="AF82" s="2" t="s">
        <v>7142</v>
      </c>
      <c r="AG82" s="2" t="s">
        <v>7143</v>
      </c>
      <c r="AH82" s="2" t="s">
        <v>7143</v>
      </c>
      <c r="AJ82" s="2" t="s">
        <v>7143</v>
      </c>
      <c r="AK82" s="2" t="s">
        <v>7142</v>
      </c>
      <c r="AL82" s="2" t="s">
        <v>7143</v>
      </c>
      <c r="AM82" s="2" t="s">
        <v>7143</v>
      </c>
      <c r="AN82" s="2" t="s">
        <v>7143</v>
      </c>
      <c r="AO82" s="2" t="s">
        <v>7143</v>
      </c>
      <c r="AR82" s="7">
        <v>2</v>
      </c>
      <c r="AS82" s="7">
        <v>4</v>
      </c>
      <c r="AT82" s="7">
        <v>3</v>
      </c>
      <c r="AU82" s="2" t="s">
        <v>7193</v>
      </c>
      <c r="AV82" s="2" t="s">
        <v>7217</v>
      </c>
      <c r="AW82" s="2" t="s">
        <v>7143</v>
      </c>
      <c r="AZ82" s="2" t="s">
        <v>7337</v>
      </c>
      <c r="BB82" s="2" t="s">
        <v>7268</v>
      </c>
      <c r="BC82" s="2" t="s">
        <v>7247</v>
      </c>
      <c r="BD82" s="2" t="s">
        <v>7142</v>
      </c>
      <c r="BE82" s="2" t="s">
        <v>7142</v>
      </c>
      <c r="BF82" s="2" t="s">
        <v>7148</v>
      </c>
      <c r="BG82" s="2" t="s">
        <v>7149</v>
      </c>
      <c r="BH82" s="2" t="s">
        <v>7233</v>
      </c>
      <c r="BI82" s="2" t="s">
        <v>7269</v>
      </c>
      <c r="BL82" s="2" t="s">
        <v>7152</v>
      </c>
      <c r="BM82" s="2" t="s">
        <v>7153</v>
      </c>
      <c r="BN82" s="2" t="s">
        <v>7154</v>
      </c>
      <c r="BO82" s="2" t="s">
        <v>7274</v>
      </c>
      <c r="BP82" s="2" t="s">
        <v>7511</v>
      </c>
      <c r="BS82" s="2" t="s">
        <v>7142</v>
      </c>
      <c r="BT82" s="2" t="s">
        <v>7362</v>
      </c>
      <c r="BV82" s="2" t="s">
        <v>7407</v>
      </c>
      <c r="BX82" s="2" t="s">
        <v>7143</v>
      </c>
      <c r="BZ82" s="2" t="s">
        <v>7173</v>
      </c>
      <c r="CE82" s="7">
        <v>3</v>
      </c>
      <c r="CF82" s="2">
        <v>300</v>
      </c>
      <c r="CK82" s="2">
        <v>50</v>
      </c>
      <c r="CM82" s="2">
        <v>50</v>
      </c>
      <c r="CO82" s="2">
        <v>100</v>
      </c>
      <c r="CR82" s="2" t="s">
        <v>7160</v>
      </c>
      <c r="CT82" s="2" t="s">
        <v>7143</v>
      </c>
      <c r="CU82" s="2" t="s">
        <v>7161</v>
      </c>
      <c r="CW82" s="2" t="s">
        <v>7162</v>
      </c>
      <c r="CY82" s="2" t="s">
        <v>7163</v>
      </c>
      <c r="CZ82" s="2" t="s">
        <v>7163</v>
      </c>
      <c r="DA82" s="2" t="s">
        <v>7321</v>
      </c>
      <c r="DB82" s="2" t="s">
        <v>7250</v>
      </c>
      <c r="DC82" s="2" t="s">
        <v>7250</v>
      </c>
      <c r="DD82" s="2" t="s">
        <v>7321</v>
      </c>
      <c r="DE82" s="2" t="s">
        <v>7250</v>
      </c>
      <c r="DF82" s="2" t="s">
        <v>7163</v>
      </c>
      <c r="DG82" s="2" t="s">
        <v>7163</v>
      </c>
      <c r="DH82" s="2" t="s">
        <v>7250</v>
      </c>
      <c r="DI82" s="2" t="s">
        <v>7250</v>
      </c>
      <c r="DL82" s="2" t="s">
        <v>7142</v>
      </c>
      <c r="DM82" s="2" t="s">
        <v>7143</v>
      </c>
      <c r="DO82" s="2" t="s">
        <v>7143</v>
      </c>
      <c r="DP82" s="2" t="s">
        <v>7165</v>
      </c>
      <c r="DQ82" s="2" t="s">
        <v>7333</v>
      </c>
      <c r="DR82" s="2" t="s">
        <v>871</v>
      </c>
      <c r="DT82" s="2" t="s">
        <v>7165</v>
      </c>
      <c r="DU82" s="2" t="s">
        <v>7165</v>
      </c>
      <c r="DV82" s="2" t="s">
        <v>7165</v>
      </c>
      <c r="DW82" s="2" t="s">
        <v>7165</v>
      </c>
      <c r="DX82" s="2" t="s">
        <v>7165</v>
      </c>
      <c r="DY82" s="2" t="s">
        <v>7165</v>
      </c>
      <c r="DZ82" s="2" t="s">
        <v>7165</v>
      </c>
      <c r="EA82" s="2" t="s">
        <v>7165</v>
      </c>
      <c r="EB82" s="2" t="s">
        <v>7165</v>
      </c>
      <c r="EC82" s="2" t="s">
        <v>7173</v>
      </c>
      <c r="EF82" s="2" t="s">
        <v>7221</v>
      </c>
      <c r="EJ82" s="2" t="s">
        <v>7193</v>
      </c>
      <c r="EK82" s="2" t="s">
        <v>7142</v>
      </c>
      <c r="EL82" s="2" t="s">
        <v>7143</v>
      </c>
      <c r="EN82" s="2" t="s">
        <v>7170</v>
      </c>
      <c r="EP82" s="2" t="s">
        <v>7186</v>
      </c>
      <c r="ER82" s="2" t="s">
        <v>7142</v>
      </c>
      <c r="ET82" s="2" t="s">
        <v>7143</v>
      </c>
      <c r="EV82" s="2" t="s">
        <v>7142</v>
      </c>
      <c r="EW82" s="2" t="s">
        <v>7204</v>
      </c>
      <c r="EX82" s="2" t="s">
        <v>7143</v>
      </c>
      <c r="EZ82" s="2" t="s">
        <v>7143</v>
      </c>
      <c r="FC82" s="2" t="s">
        <v>7309</v>
      </c>
      <c r="FD82" s="2" t="s">
        <v>7143</v>
      </c>
      <c r="FH82" s="2" t="s">
        <v>7173</v>
      </c>
      <c r="FJ82" s="2" t="s">
        <v>7143</v>
      </c>
      <c r="FK82" s="2" t="s">
        <v>7173</v>
      </c>
      <c r="FR82" s="2" t="s">
        <v>872</v>
      </c>
      <c r="FT82" s="2" t="s">
        <v>7176</v>
      </c>
      <c r="FU82" s="2" t="s">
        <v>7189</v>
      </c>
      <c r="FV82" s="2" t="s">
        <v>7189</v>
      </c>
      <c r="FW82" s="2" t="s">
        <v>7189</v>
      </c>
      <c r="FZ82" s="19" t="s">
        <v>7512</v>
      </c>
    </row>
    <row r="83" spans="1:182">
      <c r="A83" s="7" t="s">
        <v>873</v>
      </c>
      <c r="D83" s="7" t="s">
        <v>7513</v>
      </c>
      <c r="E83" s="7" t="s">
        <v>874</v>
      </c>
      <c r="F83" s="7" t="s">
        <v>7389</v>
      </c>
      <c r="G83" s="7" t="s">
        <v>7488</v>
      </c>
      <c r="H83" s="7" t="s">
        <v>875</v>
      </c>
      <c r="I83" s="7" t="s">
        <v>876</v>
      </c>
      <c r="J83" s="16" t="s">
        <v>7514</v>
      </c>
      <c r="K83" s="7" t="s">
        <v>876</v>
      </c>
      <c r="L83" s="2" t="s">
        <v>7137</v>
      </c>
      <c r="M83" s="7" t="s">
        <v>7138</v>
      </c>
      <c r="N83" s="7">
        <v>1988</v>
      </c>
      <c r="O83" s="7" t="s">
        <v>7180</v>
      </c>
      <c r="P83" s="7" t="s">
        <v>7140</v>
      </c>
      <c r="Q83" s="2" t="s">
        <v>7428</v>
      </c>
      <c r="R83" s="2" t="s">
        <v>7143</v>
      </c>
      <c r="S83" s="2">
        <v>5</v>
      </c>
      <c r="T83" s="2" t="s">
        <v>7143</v>
      </c>
      <c r="U83" s="2" t="s">
        <v>7143</v>
      </c>
      <c r="Y83" s="2">
        <v>80</v>
      </c>
      <c r="Z83" s="17">
        <v>1</v>
      </c>
      <c r="AA83" s="2">
        <v>80</v>
      </c>
      <c r="AB83" s="2">
        <v>80</v>
      </c>
      <c r="AC83" s="7">
        <v>80</v>
      </c>
      <c r="AD83" s="2">
        <v>120</v>
      </c>
      <c r="AE83" s="2">
        <v>40</v>
      </c>
      <c r="AF83" s="2" t="s">
        <v>7143</v>
      </c>
      <c r="AG83" s="2" t="s">
        <v>7143</v>
      </c>
      <c r="AH83" s="2" t="s">
        <v>7143</v>
      </c>
      <c r="AJ83" s="2" t="s">
        <v>7143</v>
      </c>
      <c r="AK83" s="2" t="s">
        <v>7143</v>
      </c>
      <c r="AL83" s="2" t="s">
        <v>7143</v>
      </c>
      <c r="AM83" s="2" t="s">
        <v>7143</v>
      </c>
      <c r="AN83" s="2" t="s">
        <v>7143</v>
      </c>
      <c r="AO83" s="2" t="s">
        <v>7143</v>
      </c>
      <c r="AR83" s="7">
        <v>1</v>
      </c>
      <c r="AS83" s="7">
        <v>3</v>
      </c>
      <c r="AT83" s="7">
        <v>1</v>
      </c>
      <c r="AU83" s="2" t="s">
        <v>7144</v>
      </c>
      <c r="AV83" s="2" t="s">
        <v>7144</v>
      </c>
      <c r="AW83" s="2" t="s">
        <v>7143</v>
      </c>
      <c r="AZ83" s="2" t="s">
        <v>7145</v>
      </c>
      <c r="BB83" s="2" t="s">
        <v>7214</v>
      </c>
      <c r="BC83" s="2" t="s">
        <v>7147</v>
      </c>
      <c r="BD83" s="2" t="s">
        <v>7142</v>
      </c>
      <c r="BE83" s="2" t="s">
        <v>7143</v>
      </c>
      <c r="BL83" s="2" t="s">
        <v>7195</v>
      </c>
      <c r="BO83" s="2" t="s">
        <v>7155</v>
      </c>
      <c r="BQ83" s="2" t="s">
        <v>7183</v>
      </c>
      <c r="BS83" s="2" t="s">
        <v>7142</v>
      </c>
      <c r="BT83" s="2" t="s">
        <v>7215</v>
      </c>
      <c r="BV83" s="2" t="s">
        <v>7407</v>
      </c>
      <c r="BX83" s="2" t="s">
        <v>7142</v>
      </c>
      <c r="BY83" s="2" t="s">
        <v>877</v>
      </c>
      <c r="BZ83" s="2" t="s">
        <v>7159</v>
      </c>
      <c r="CE83" s="7">
        <v>1</v>
      </c>
      <c r="CF83" s="2">
        <v>120</v>
      </c>
      <c r="CK83" s="2">
        <v>100</v>
      </c>
      <c r="CO83" s="2">
        <v>100</v>
      </c>
      <c r="CR83" s="2" t="s">
        <v>7160</v>
      </c>
      <c r="CT83" s="2" t="s">
        <v>7143</v>
      </c>
      <c r="CU83" s="2" t="s">
        <v>7383</v>
      </c>
      <c r="CW83" s="2" t="s">
        <v>7162</v>
      </c>
      <c r="CY83" s="2" t="s">
        <v>7163</v>
      </c>
      <c r="CZ83" s="2" t="s">
        <v>7250</v>
      </c>
      <c r="DA83" s="2" t="s">
        <v>7250</v>
      </c>
      <c r="DB83" s="2" t="s">
        <v>7321</v>
      </c>
      <c r="DC83" s="2" t="s">
        <v>7250</v>
      </c>
      <c r="DD83" s="2" t="s">
        <v>7250</v>
      </c>
      <c r="DE83" s="2" t="s">
        <v>7250</v>
      </c>
      <c r="DF83" s="2" t="s">
        <v>7250</v>
      </c>
      <c r="DG83" s="2" t="s">
        <v>7250</v>
      </c>
      <c r="DH83" s="2" t="s">
        <v>7250</v>
      </c>
      <c r="DI83" s="2" t="s">
        <v>7250</v>
      </c>
      <c r="DL83" s="2" t="s">
        <v>7142</v>
      </c>
      <c r="DM83" s="2" t="s">
        <v>7143</v>
      </c>
      <c r="DP83" s="2" t="s">
        <v>7173</v>
      </c>
      <c r="DT83" s="2" t="s">
        <v>7165</v>
      </c>
      <c r="DU83" s="2" t="s">
        <v>7165</v>
      </c>
      <c r="DV83" s="2" t="s">
        <v>7165</v>
      </c>
      <c r="DW83" s="2" t="s">
        <v>7165</v>
      </c>
      <c r="DX83" s="2" t="s">
        <v>7165</v>
      </c>
      <c r="DY83" s="2" t="s">
        <v>7165</v>
      </c>
      <c r="DZ83" s="2" t="s">
        <v>7165</v>
      </c>
      <c r="EA83" s="2" t="s">
        <v>7165</v>
      </c>
      <c r="EB83" s="2" t="s">
        <v>7165</v>
      </c>
      <c r="EC83" s="2" t="s">
        <v>7173</v>
      </c>
      <c r="EF83" s="2" t="s">
        <v>7457</v>
      </c>
      <c r="EG83" s="2" t="s">
        <v>421</v>
      </c>
      <c r="EJ83" s="2" t="s">
        <v>7144</v>
      </c>
      <c r="EK83" s="2" t="s">
        <v>7143</v>
      </c>
      <c r="EL83" s="2" t="s">
        <v>7143</v>
      </c>
      <c r="EN83" s="2" t="s">
        <v>7210</v>
      </c>
      <c r="EP83" s="2" t="s">
        <v>7186</v>
      </c>
      <c r="ER83" s="2" t="s">
        <v>7143</v>
      </c>
      <c r="ET83" s="2" t="s">
        <v>7143</v>
      </c>
      <c r="EV83" s="2" t="s">
        <v>7143</v>
      </c>
      <c r="EX83" s="2" t="s">
        <v>7143</v>
      </c>
      <c r="EZ83" s="2" t="s">
        <v>7143</v>
      </c>
      <c r="FC83" s="2" t="s">
        <v>7172</v>
      </c>
      <c r="FD83" s="2" t="s">
        <v>7143</v>
      </c>
      <c r="FH83" s="2" t="s">
        <v>7173</v>
      </c>
      <c r="FJ83" s="2" t="s">
        <v>7142</v>
      </c>
      <c r="FK83" s="2" t="s">
        <v>7173</v>
      </c>
      <c r="FN83" s="2" t="s">
        <v>7322</v>
      </c>
      <c r="FR83" s="2" t="s">
        <v>878</v>
      </c>
      <c r="FT83" s="2" t="s">
        <v>7345</v>
      </c>
      <c r="FU83" s="2" t="s">
        <v>7176</v>
      </c>
      <c r="FV83" s="2" t="s">
        <v>7176</v>
      </c>
      <c r="FW83" s="2" t="s">
        <v>7176</v>
      </c>
      <c r="FZ83" s="19" t="s">
        <v>7515</v>
      </c>
    </row>
    <row r="84" spans="1:182">
      <c r="A84" s="7" t="s">
        <v>879</v>
      </c>
      <c r="D84" s="7" t="s">
        <v>7516</v>
      </c>
      <c r="E84" s="7" t="s">
        <v>880</v>
      </c>
      <c r="F84" s="7" t="s">
        <v>7339</v>
      </c>
      <c r="G84" s="7" t="s">
        <v>7488</v>
      </c>
      <c r="H84" s="7" t="s">
        <v>854</v>
      </c>
      <c r="I84" s="7" t="s">
        <v>881</v>
      </c>
      <c r="J84" s="16" t="s">
        <v>7517</v>
      </c>
      <c r="K84" s="7" t="s">
        <v>882</v>
      </c>
      <c r="L84" s="2" t="s">
        <v>7137</v>
      </c>
      <c r="M84" s="7" t="s">
        <v>7179</v>
      </c>
      <c r="N84" s="7">
        <v>1981</v>
      </c>
      <c r="O84" s="7" t="s">
        <v>7180</v>
      </c>
      <c r="P84" s="7" t="s">
        <v>7181</v>
      </c>
      <c r="Q84" s="2" t="s">
        <v>7141</v>
      </c>
      <c r="R84" s="2" t="s">
        <v>7143</v>
      </c>
      <c r="S84" s="2">
        <v>17</v>
      </c>
      <c r="T84" s="2" t="s">
        <v>7143</v>
      </c>
      <c r="U84" s="2" t="s">
        <v>7143</v>
      </c>
      <c r="Y84" s="2">
        <v>507</v>
      </c>
      <c r="Z84" s="17">
        <v>1</v>
      </c>
      <c r="AA84" s="2">
        <v>507</v>
      </c>
      <c r="AB84" s="2">
        <v>257</v>
      </c>
      <c r="AC84" s="7">
        <v>257</v>
      </c>
      <c r="AD84" s="2">
        <v>297</v>
      </c>
      <c r="AE84" s="2">
        <v>40</v>
      </c>
      <c r="AF84" s="2" t="s">
        <v>7143</v>
      </c>
      <c r="AG84" s="2" t="s">
        <v>7143</v>
      </c>
      <c r="AH84" s="2" t="s">
        <v>7143</v>
      </c>
      <c r="AJ84" s="2" t="s">
        <v>7143</v>
      </c>
      <c r="AK84" s="2" t="s">
        <v>7142</v>
      </c>
      <c r="AL84" s="2" t="s">
        <v>7143</v>
      </c>
      <c r="AM84" s="2" t="s">
        <v>7143</v>
      </c>
      <c r="AN84" s="2" t="s">
        <v>7143</v>
      </c>
      <c r="AO84" s="2" t="s">
        <v>7143</v>
      </c>
      <c r="AR84" s="7">
        <v>0.65</v>
      </c>
      <c r="AS84" s="7">
        <v>1</v>
      </c>
      <c r="AT84" s="7">
        <v>3</v>
      </c>
      <c r="AU84" s="2" t="s">
        <v>7144</v>
      </c>
      <c r="AV84" s="2" t="s">
        <v>7144</v>
      </c>
      <c r="AW84" s="2" t="s">
        <v>7143</v>
      </c>
      <c r="AZ84" s="2" t="s">
        <v>7145</v>
      </c>
      <c r="BB84" s="2" t="s">
        <v>7214</v>
      </c>
      <c r="BC84" s="2" t="s">
        <v>7247</v>
      </c>
      <c r="BD84" s="2" t="s">
        <v>7142</v>
      </c>
      <c r="BE84" s="2" t="s">
        <v>7142</v>
      </c>
      <c r="BF84" s="2" t="s">
        <v>7148</v>
      </c>
      <c r="BG84" s="2" t="s">
        <v>7149</v>
      </c>
      <c r="BH84" s="2" t="s">
        <v>7248</v>
      </c>
      <c r="BI84" s="2" t="s">
        <v>7151</v>
      </c>
      <c r="BL84" s="2" t="s">
        <v>7195</v>
      </c>
      <c r="BO84" s="2" t="s">
        <v>7155</v>
      </c>
      <c r="BQ84" s="2" t="s">
        <v>7183</v>
      </c>
      <c r="BS84" s="2" t="s">
        <v>7142</v>
      </c>
      <c r="BT84" s="2" t="s">
        <v>7341</v>
      </c>
      <c r="BV84" s="2" t="s">
        <v>7407</v>
      </c>
      <c r="BX84" s="2" t="s">
        <v>7142</v>
      </c>
      <c r="BY84" s="2" t="s">
        <v>883</v>
      </c>
      <c r="BZ84" s="2" t="s">
        <v>7165</v>
      </c>
      <c r="CA84" s="2" t="s">
        <v>884</v>
      </c>
      <c r="CE84" s="7">
        <v>3</v>
      </c>
      <c r="CF84" s="2">
        <v>297</v>
      </c>
      <c r="CM84" s="2">
        <v>100</v>
      </c>
      <c r="CO84" s="2">
        <v>100</v>
      </c>
      <c r="CR84" s="2" t="s">
        <v>7160</v>
      </c>
      <c r="CT84" s="2" t="s">
        <v>7143</v>
      </c>
      <c r="CU84" s="2" t="s">
        <v>7161</v>
      </c>
      <c r="CW84" s="2" t="s">
        <v>7162</v>
      </c>
      <c r="CY84" s="2" t="s">
        <v>7163</v>
      </c>
      <c r="CZ84" s="2" t="s">
        <v>7163</v>
      </c>
      <c r="DA84" s="2" t="s">
        <v>7250</v>
      </c>
      <c r="DB84" s="2" t="s">
        <v>7250</v>
      </c>
      <c r="DC84" s="2" t="s">
        <v>7250</v>
      </c>
      <c r="DD84" s="2" t="s">
        <v>7250</v>
      </c>
      <c r="DE84" s="2" t="s">
        <v>7250</v>
      </c>
      <c r="DF84" s="2" t="s">
        <v>7163</v>
      </c>
      <c r="DG84" s="2" t="s">
        <v>7163</v>
      </c>
      <c r="DH84" s="2" t="s">
        <v>7163</v>
      </c>
      <c r="DI84" s="2" t="s">
        <v>7250</v>
      </c>
      <c r="DL84" s="2" t="s">
        <v>7142</v>
      </c>
      <c r="DM84" s="2" t="s">
        <v>7142</v>
      </c>
      <c r="DN84" s="2" t="s">
        <v>7142</v>
      </c>
      <c r="DO84" s="2" t="s">
        <v>7142</v>
      </c>
      <c r="DP84" s="2" t="s">
        <v>7165</v>
      </c>
      <c r="DQ84" s="2" t="s">
        <v>7166</v>
      </c>
      <c r="DT84" s="2" t="s">
        <v>7165</v>
      </c>
      <c r="DU84" s="2" t="s">
        <v>7165</v>
      </c>
      <c r="DV84" s="2" t="s">
        <v>7165</v>
      </c>
      <c r="DW84" s="2" t="s">
        <v>7165</v>
      </c>
      <c r="DX84" s="2" t="s">
        <v>7165</v>
      </c>
      <c r="DY84" s="2" t="s">
        <v>7165</v>
      </c>
      <c r="DZ84" s="2" t="s">
        <v>7159</v>
      </c>
      <c r="EA84" s="2" t="s">
        <v>7165</v>
      </c>
      <c r="EB84" s="2" t="s">
        <v>7165</v>
      </c>
      <c r="EC84" s="2" t="s">
        <v>7173</v>
      </c>
      <c r="EF84" s="2" t="s">
        <v>7221</v>
      </c>
      <c r="EG84" s="2" t="s">
        <v>885</v>
      </c>
      <c r="EJ84" s="2" t="s">
        <v>7144</v>
      </c>
      <c r="EK84" s="2" t="s">
        <v>7142</v>
      </c>
      <c r="EL84" s="2" t="s">
        <v>7143</v>
      </c>
      <c r="EN84" s="2" t="s">
        <v>7170</v>
      </c>
      <c r="EP84" s="2" t="s">
        <v>7186</v>
      </c>
      <c r="ER84" s="2" t="s">
        <v>7142</v>
      </c>
      <c r="ET84" s="2" t="s">
        <v>7143</v>
      </c>
      <c r="EV84" s="2" t="s">
        <v>7142</v>
      </c>
      <c r="EW84" s="2" t="s">
        <v>7171</v>
      </c>
      <c r="EX84" s="2" t="s">
        <v>7143</v>
      </c>
      <c r="EZ84" s="2" t="s">
        <v>7143</v>
      </c>
      <c r="FC84" s="2" t="s">
        <v>7218</v>
      </c>
      <c r="FD84" s="2" t="s">
        <v>7143</v>
      </c>
      <c r="FH84" s="2" t="s">
        <v>7173</v>
      </c>
      <c r="FJ84" s="2" t="s">
        <v>7143</v>
      </c>
      <c r="FK84" s="2" t="s">
        <v>7173</v>
      </c>
      <c r="FN84" s="2" t="s">
        <v>7344</v>
      </c>
      <c r="FR84" s="2" t="s">
        <v>885</v>
      </c>
      <c r="FT84" s="2" t="s">
        <v>7189</v>
      </c>
      <c r="FU84" s="2" t="s">
        <v>7189</v>
      </c>
      <c r="FV84" s="2" t="s">
        <v>7189</v>
      </c>
      <c r="FW84" s="2" t="s">
        <v>7189</v>
      </c>
      <c r="FZ84" s="19" t="s">
        <v>7518</v>
      </c>
    </row>
    <row r="85" spans="1:182">
      <c r="A85" s="7" t="s">
        <v>886</v>
      </c>
      <c r="D85" s="7" t="s">
        <v>7519</v>
      </c>
      <c r="E85" s="7" t="s">
        <v>177</v>
      </c>
      <c r="F85" s="7" t="s">
        <v>7134</v>
      </c>
      <c r="G85" s="7" t="s">
        <v>7488</v>
      </c>
      <c r="H85" s="2" t="s">
        <v>849</v>
      </c>
      <c r="I85" s="7" t="s">
        <v>887</v>
      </c>
      <c r="J85" s="16" t="s">
        <v>7520</v>
      </c>
      <c r="K85" s="7" t="s">
        <v>888</v>
      </c>
      <c r="L85" s="2" t="s">
        <v>7137</v>
      </c>
      <c r="M85" s="7" t="s">
        <v>7179</v>
      </c>
      <c r="N85" s="7">
        <v>1983</v>
      </c>
      <c r="O85" s="7" t="s">
        <v>7180</v>
      </c>
      <c r="P85" s="2" t="s">
        <v>7181</v>
      </c>
      <c r="Q85" s="2" t="s">
        <v>7141</v>
      </c>
      <c r="R85" s="2" t="s">
        <v>7143</v>
      </c>
      <c r="S85" s="2">
        <v>26</v>
      </c>
      <c r="T85" s="2" t="s">
        <v>7143</v>
      </c>
      <c r="U85" s="2" t="s">
        <v>7143</v>
      </c>
      <c r="Y85" s="2">
        <v>600</v>
      </c>
      <c r="Z85" s="17">
        <v>0.91669999999999996</v>
      </c>
      <c r="AA85" s="2">
        <v>550</v>
      </c>
      <c r="AB85" s="2">
        <v>550</v>
      </c>
      <c r="AC85" s="7">
        <v>550</v>
      </c>
      <c r="AD85" s="2">
        <v>700</v>
      </c>
      <c r="AE85" s="2">
        <v>150</v>
      </c>
      <c r="AF85" s="2" t="s">
        <v>7143</v>
      </c>
      <c r="AG85" s="2" t="s">
        <v>7143</v>
      </c>
      <c r="AH85" s="2" t="s">
        <v>7143</v>
      </c>
      <c r="AJ85" s="2" t="s">
        <v>7143</v>
      </c>
      <c r="AK85" s="2" t="s">
        <v>7143</v>
      </c>
      <c r="AL85" s="2" t="s">
        <v>7143</v>
      </c>
      <c r="AM85" s="2" t="s">
        <v>7143</v>
      </c>
      <c r="AN85" s="2" t="s">
        <v>7142</v>
      </c>
      <c r="AO85" s="2" t="s">
        <v>7143</v>
      </c>
      <c r="AR85" s="7">
        <v>3</v>
      </c>
      <c r="AS85" s="7">
        <v>2</v>
      </c>
      <c r="AT85" s="7">
        <v>8</v>
      </c>
      <c r="AU85" s="2" t="s">
        <v>7144</v>
      </c>
      <c r="AV85" s="2" t="s">
        <v>7144</v>
      </c>
      <c r="AW85" s="2" t="s">
        <v>7143</v>
      </c>
      <c r="BC85" s="2" t="s">
        <v>7147</v>
      </c>
      <c r="BD85" s="2" t="s">
        <v>7143</v>
      </c>
      <c r="BE85" s="2" t="s">
        <v>7143</v>
      </c>
      <c r="BL85" s="2" t="s">
        <v>7152</v>
      </c>
      <c r="BM85" s="2" t="s">
        <v>7153</v>
      </c>
      <c r="BN85" s="2" t="s">
        <v>7154</v>
      </c>
      <c r="BO85" s="2" t="s">
        <v>7155</v>
      </c>
      <c r="BQ85" s="2" t="s">
        <v>7156</v>
      </c>
      <c r="BS85" s="2" t="s">
        <v>7142</v>
      </c>
      <c r="BT85" s="2" t="s">
        <v>7157</v>
      </c>
      <c r="BV85" s="2" t="s">
        <v>7352</v>
      </c>
      <c r="BX85" s="2" t="s">
        <v>7143</v>
      </c>
      <c r="BZ85" s="2" t="s">
        <v>7173</v>
      </c>
      <c r="CE85" s="7">
        <v>8</v>
      </c>
      <c r="CF85" s="2">
        <v>700</v>
      </c>
      <c r="CK85" s="2">
        <v>100</v>
      </c>
      <c r="CO85" s="2">
        <v>100</v>
      </c>
      <c r="CR85" s="2" t="s">
        <v>7160</v>
      </c>
      <c r="CT85" s="2" t="s">
        <v>7143</v>
      </c>
      <c r="CU85" s="2" t="s">
        <v>7161</v>
      </c>
      <c r="CW85" s="2" t="s">
        <v>7162</v>
      </c>
      <c r="CY85" s="2" t="s">
        <v>7163</v>
      </c>
      <c r="CZ85" s="2" t="s">
        <v>7163</v>
      </c>
      <c r="DA85" s="2" t="s">
        <v>7164</v>
      </c>
      <c r="DB85" s="2" t="s">
        <v>7164</v>
      </c>
      <c r="DC85" s="2" t="s">
        <v>7164</v>
      </c>
      <c r="DD85" s="2" t="s">
        <v>7164</v>
      </c>
      <c r="DE85" s="2" t="s">
        <v>7164</v>
      </c>
      <c r="DF85" s="2" t="s">
        <v>7164</v>
      </c>
      <c r="DG85" s="2" t="s">
        <v>7164</v>
      </c>
      <c r="DH85" s="2" t="s">
        <v>7164</v>
      </c>
      <c r="DI85" s="2" t="s">
        <v>7164</v>
      </c>
      <c r="DL85" s="2" t="s">
        <v>7142</v>
      </c>
      <c r="DM85" s="2" t="s">
        <v>7142</v>
      </c>
      <c r="DN85" s="2" t="s">
        <v>7142</v>
      </c>
      <c r="DO85" s="2" t="s">
        <v>7142</v>
      </c>
      <c r="DP85" s="2" t="s">
        <v>7165</v>
      </c>
      <c r="DQ85" s="2" t="s">
        <v>7166</v>
      </c>
      <c r="DT85" s="2" t="s">
        <v>7165</v>
      </c>
      <c r="DU85" s="2" t="s">
        <v>7165</v>
      </c>
      <c r="DV85" s="2" t="s">
        <v>7165</v>
      </c>
      <c r="DW85" s="2" t="s">
        <v>7165</v>
      </c>
      <c r="DX85" s="2" t="s">
        <v>7165</v>
      </c>
      <c r="DY85" s="2" t="s">
        <v>7165</v>
      </c>
      <c r="DZ85" s="2" t="s">
        <v>7165</v>
      </c>
      <c r="EA85" s="2" t="s">
        <v>7165</v>
      </c>
      <c r="EB85" s="2" t="s">
        <v>7165</v>
      </c>
      <c r="EF85" s="2" t="s">
        <v>7167</v>
      </c>
      <c r="FH85" s="2" t="s">
        <v>7173</v>
      </c>
      <c r="FJ85" s="2" t="s">
        <v>7142</v>
      </c>
      <c r="FK85" s="2" t="s">
        <v>7165</v>
      </c>
      <c r="FL85" s="2" t="s">
        <v>7402</v>
      </c>
      <c r="FN85" s="2" t="s">
        <v>7344</v>
      </c>
      <c r="FT85" s="2" t="s">
        <v>7176</v>
      </c>
      <c r="FU85" s="2" t="s">
        <v>7176</v>
      </c>
      <c r="FV85" s="2" t="s">
        <v>7176</v>
      </c>
      <c r="FW85" s="2" t="s">
        <v>7176</v>
      </c>
      <c r="FZ85" s="19" t="s">
        <v>7521</v>
      </c>
    </row>
    <row r="86" spans="1:182">
      <c r="A86" s="7" t="s">
        <v>889</v>
      </c>
      <c r="D86" s="7" t="s">
        <v>7522</v>
      </c>
      <c r="E86" s="7" t="s">
        <v>177</v>
      </c>
      <c r="F86" s="7" t="s">
        <v>7134</v>
      </c>
      <c r="G86" s="7" t="s">
        <v>7488</v>
      </c>
      <c r="H86" s="2" t="s">
        <v>849</v>
      </c>
      <c r="I86" s="7" t="s">
        <v>890</v>
      </c>
      <c r="J86" s="16" t="s">
        <v>7523</v>
      </c>
      <c r="K86" s="7" t="s">
        <v>891</v>
      </c>
      <c r="L86" s="2" t="s">
        <v>7137</v>
      </c>
      <c r="M86" s="7" t="s">
        <v>7179</v>
      </c>
      <c r="N86" s="7">
        <v>1965</v>
      </c>
      <c r="O86" s="7" t="s">
        <v>7180</v>
      </c>
      <c r="P86" s="7" t="s">
        <v>7181</v>
      </c>
      <c r="Q86" s="2" t="s">
        <v>7141</v>
      </c>
      <c r="R86" s="2" t="s">
        <v>7143</v>
      </c>
      <c r="S86" s="2">
        <v>15</v>
      </c>
      <c r="T86" s="2" t="s">
        <v>7143</v>
      </c>
      <c r="U86" s="2" t="s">
        <v>7143</v>
      </c>
      <c r="Y86" s="2">
        <v>350</v>
      </c>
      <c r="Z86" s="17">
        <v>1</v>
      </c>
      <c r="AA86" s="2">
        <v>350</v>
      </c>
      <c r="AB86" s="2">
        <v>230</v>
      </c>
      <c r="AC86" s="7">
        <v>230</v>
      </c>
      <c r="AD86" s="2">
        <v>350</v>
      </c>
      <c r="AE86" s="2">
        <v>120</v>
      </c>
      <c r="AF86" s="2" t="s">
        <v>7143</v>
      </c>
      <c r="AG86" s="2" t="s">
        <v>7143</v>
      </c>
      <c r="AH86" s="2" t="s">
        <v>7143</v>
      </c>
      <c r="AJ86" s="2" t="s">
        <v>7142</v>
      </c>
      <c r="AK86" s="2" t="s">
        <v>7142</v>
      </c>
      <c r="AL86" s="2" t="s">
        <v>7143</v>
      </c>
      <c r="AM86" s="2" t="s">
        <v>7143</v>
      </c>
      <c r="AN86" s="2" t="s">
        <v>7143</v>
      </c>
      <c r="AO86" s="2" t="s">
        <v>7143</v>
      </c>
      <c r="AR86" s="7">
        <v>1.4</v>
      </c>
      <c r="AS86" s="7">
        <v>3</v>
      </c>
      <c r="AT86" s="7">
        <v>3.5</v>
      </c>
      <c r="AU86" s="2" t="s">
        <v>7144</v>
      </c>
      <c r="AV86" s="2" t="s">
        <v>7144</v>
      </c>
      <c r="AW86" s="2" t="s">
        <v>7143</v>
      </c>
      <c r="BC86" s="2" t="s">
        <v>7147</v>
      </c>
      <c r="BD86" s="2" t="s">
        <v>7143</v>
      </c>
      <c r="BE86" s="2" t="s">
        <v>7143</v>
      </c>
      <c r="BL86" s="2" t="s">
        <v>7152</v>
      </c>
      <c r="BM86" s="2" t="s">
        <v>7153</v>
      </c>
      <c r="BN86" s="2" t="s">
        <v>7154</v>
      </c>
      <c r="BO86" s="2" t="s">
        <v>7155</v>
      </c>
      <c r="BQ86" s="2" t="s">
        <v>7156</v>
      </c>
      <c r="BS86" s="2" t="s">
        <v>7142</v>
      </c>
      <c r="BT86" s="2" t="s">
        <v>7215</v>
      </c>
      <c r="BV86" s="2" t="s">
        <v>7352</v>
      </c>
      <c r="BX86" s="2" t="s">
        <v>7143</v>
      </c>
      <c r="BZ86" s="2" t="s">
        <v>7159</v>
      </c>
      <c r="CE86" s="7">
        <v>3.5</v>
      </c>
      <c r="CF86" s="2">
        <v>350</v>
      </c>
      <c r="CK86" s="2">
        <v>100</v>
      </c>
      <c r="CO86" s="2">
        <v>100</v>
      </c>
      <c r="CR86" s="2" t="s">
        <v>7160</v>
      </c>
      <c r="CT86" s="2" t="s">
        <v>7143</v>
      </c>
      <c r="CU86" s="2" t="s">
        <v>7161</v>
      </c>
      <c r="CW86" s="2" t="s">
        <v>7162</v>
      </c>
      <c r="CY86" s="2" t="s">
        <v>7163</v>
      </c>
      <c r="CZ86" s="2" t="s">
        <v>7164</v>
      </c>
      <c r="DA86" s="2" t="s">
        <v>7164</v>
      </c>
      <c r="DE86" s="2" t="s">
        <v>7164</v>
      </c>
      <c r="DF86" s="2" t="s">
        <v>7163</v>
      </c>
      <c r="DG86" s="2" t="s">
        <v>7164</v>
      </c>
      <c r="DI86" s="2" t="s">
        <v>7164</v>
      </c>
      <c r="DL86" s="2" t="s">
        <v>7142</v>
      </c>
      <c r="DM86" s="2" t="s">
        <v>7142</v>
      </c>
      <c r="DN86" s="2" t="s">
        <v>7142</v>
      </c>
      <c r="DO86" s="2" t="s">
        <v>7142</v>
      </c>
      <c r="DP86" s="2" t="s">
        <v>7165</v>
      </c>
      <c r="DQ86" s="2" t="s">
        <v>7166</v>
      </c>
      <c r="DT86" s="2" t="s">
        <v>7165</v>
      </c>
      <c r="DU86" s="2" t="s">
        <v>7165</v>
      </c>
      <c r="DV86" s="2" t="s">
        <v>7165</v>
      </c>
      <c r="DW86" s="2" t="s">
        <v>7165</v>
      </c>
      <c r="DX86" s="2" t="s">
        <v>7165</v>
      </c>
      <c r="DY86" s="2" t="s">
        <v>7165</v>
      </c>
      <c r="DZ86" s="2" t="s">
        <v>7165</v>
      </c>
      <c r="EA86" s="2" t="s">
        <v>7165</v>
      </c>
      <c r="EB86" s="2" t="s">
        <v>7165</v>
      </c>
      <c r="EF86" s="2" t="s">
        <v>7167</v>
      </c>
      <c r="FH86" s="2" t="s">
        <v>7173</v>
      </c>
      <c r="FJ86" s="2" t="s">
        <v>7142</v>
      </c>
      <c r="FK86" s="2" t="s">
        <v>7165</v>
      </c>
      <c r="FL86" s="2" t="s">
        <v>7402</v>
      </c>
      <c r="FN86" s="2" t="s">
        <v>7499</v>
      </c>
      <c r="FT86" s="2" t="s">
        <v>7176</v>
      </c>
      <c r="FU86" s="2" t="s">
        <v>7176</v>
      </c>
      <c r="FV86" s="2" t="s">
        <v>7176</v>
      </c>
      <c r="FW86" s="2" t="s">
        <v>7176</v>
      </c>
      <c r="FZ86" s="19" t="s">
        <v>7524</v>
      </c>
    </row>
    <row r="87" spans="1:182">
      <c r="A87" s="7" t="s">
        <v>892</v>
      </c>
      <c r="D87" s="7" t="s">
        <v>7525</v>
      </c>
      <c r="E87" s="7" t="s">
        <v>893</v>
      </c>
      <c r="F87" s="7" t="s">
        <v>7389</v>
      </c>
      <c r="G87" s="7" t="s">
        <v>7135</v>
      </c>
      <c r="H87" s="2" t="s">
        <v>763</v>
      </c>
      <c r="I87" s="7" t="s">
        <v>894</v>
      </c>
      <c r="J87" s="16" t="s">
        <v>7526</v>
      </c>
      <c r="K87" s="7" t="s">
        <v>895</v>
      </c>
      <c r="L87" s="2" t="s">
        <v>7137</v>
      </c>
      <c r="M87" s="7" t="s">
        <v>7179</v>
      </c>
      <c r="N87" s="7">
        <v>1975</v>
      </c>
      <c r="O87" s="7" t="s">
        <v>7139</v>
      </c>
      <c r="P87" s="2" t="s">
        <v>7503</v>
      </c>
      <c r="Q87" s="2" t="s">
        <v>7225</v>
      </c>
      <c r="R87" s="2" t="s">
        <v>7143</v>
      </c>
      <c r="S87" s="2">
        <v>25</v>
      </c>
      <c r="T87" s="2" t="s">
        <v>7143</v>
      </c>
      <c r="U87" s="2" t="s">
        <v>7143</v>
      </c>
      <c r="Y87" s="2">
        <v>160</v>
      </c>
      <c r="Z87" s="17">
        <v>1</v>
      </c>
      <c r="AA87" s="2">
        <v>160</v>
      </c>
      <c r="AB87" s="2">
        <v>160</v>
      </c>
      <c r="AC87" s="7">
        <v>160</v>
      </c>
      <c r="AD87" s="2">
        <v>210</v>
      </c>
      <c r="AE87" s="2">
        <v>50</v>
      </c>
      <c r="AF87" s="2" t="s">
        <v>7143</v>
      </c>
      <c r="AG87" s="2" t="s">
        <v>7143</v>
      </c>
      <c r="AH87" s="2" t="s">
        <v>7143</v>
      </c>
      <c r="AJ87" s="2" t="s">
        <v>7143</v>
      </c>
      <c r="AK87" s="2" t="s">
        <v>7143</v>
      </c>
      <c r="AL87" s="2" t="s">
        <v>7143</v>
      </c>
      <c r="AM87" s="2" t="s">
        <v>7143</v>
      </c>
      <c r="AN87" s="2" t="s">
        <v>7143</v>
      </c>
      <c r="AO87" s="2" t="s">
        <v>7143</v>
      </c>
      <c r="AR87" s="7">
        <v>1</v>
      </c>
      <c r="AS87" s="7">
        <v>2</v>
      </c>
      <c r="AT87" s="7">
        <v>2</v>
      </c>
      <c r="AU87" s="2" t="s">
        <v>7217</v>
      </c>
      <c r="AV87" s="2" t="s">
        <v>7193</v>
      </c>
      <c r="AW87" s="2" t="s">
        <v>7143</v>
      </c>
      <c r="AZ87" s="2" t="s">
        <v>7145</v>
      </c>
      <c r="BB87" s="2" t="s">
        <v>7214</v>
      </c>
      <c r="BC87" s="2" t="s">
        <v>7147</v>
      </c>
      <c r="BD87" s="2" t="s">
        <v>7143</v>
      </c>
      <c r="BE87" s="2" t="s">
        <v>7143</v>
      </c>
      <c r="BF87" s="2" t="s">
        <v>7148</v>
      </c>
      <c r="BL87" s="2" t="s">
        <v>7152</v>
      </c>
      <c r="BM87" s="2" t="s">
        <v>7355</v>
      </c>
      <c r="BN87" s="2" t="s">
        <v>7527</v>
      </c>
      <c r="BO87" s="2" t="s">
        <v>7274</v>
      </c>
      <c r="BP87" s="2" t="s">
        <v>7275</v>
      </c>
      <c r="BS87" s="2" t="s">
        <v>7143</v>
      </c>
      <c r="BT87" s="2" t="s">
        <v>7196</v>
      </c>
      <c r="BV87" s="2" t="s">
        <v>7184</v>
      </c>
      <c r="BX87" s="2" t="s">
        <v>7142</v>
      </c>
      <c r="BY87" s="2" t="s">
        <v>897</v>
      </c>
      <c r="BZ87" s="2" t="s">
        <v>7173</v>
      </c>
      <c r="CE87" s="7">
        <v>2</v>
      </c>
      <c r="CF87" s="2">
        <v>210</v>
      </c>
      <c r="CM87" s="2">
        <v>100</v>
      </c>
      <c r="CO87" s="2">
        <v>100</v>
      </c>
      <c r="CR87" s="2" t="s">
        <v>7160</v>
      </c>
      <c r="CT87" s="2" t="s">
        <v>7143</v>
      </c>
      <c r="CU87" s="2" t="s">
        <v>7161</v>
      </c>
      <c r="CW87" s="2" t="s">
        <v>7162</v>
      </c>
      <c r="CY87" s="2" t="s">
        <v>7163</v>
      </c>
      <c r="CZ87" s="2" t="s">
        <v>7250</v>
      </c>
      <c r="DA87" s="2" t="s">
        <v>7250</v>
      </c>
      <c r="DB87" s="2" t="s">
        <v>7250</v>
      </c>
      <c r="DC87" s="2" t="s">
        <v>7250</v>
      </c>
      <c r="DD87" s="2" t="s">
        <v>7250</v>
      </c>
      <c r="DE87" s="2" t="s">
        <v>7250</v>
      </c>
      <c r="DF87" s="2" t="s">
        <v>7250</v>
      </c>
      <c r="DG87" s="2" t="s">
        <v>7250</v>
      </c>
      <c r="DH87" s="2" t="s">
        <v>7250</v>
      </c>
      <c r="DI87" s="2" t="s">
        <v>7250</v>
      </c>
      <c r="DL87" s="2" t="s">
        <v>7143</v>
      </c>
      <c r="DM87" s="2" t="s">
        <v>7142</v>
      </c>
      <c r="DN87" s="2" t="s">
        <v>7142</v>
      </c>
      <c r="DO87" s="2" t="s">
        <v>7142</v>
      </c>
      <c r="DP87" s="2" t="s">
        <v>7159</v>
      </c>
      <c r="DT87" s="2" t="s">
        <v>7159</v>
      </c>
      <c r="DU87" s="2" t="s">
        <v>7159</v>
      </c>
      <c r="DV87" s="2" t="s">
        <v>7159</v>
      </c>
      <c r="DW87" s="2" t="s">
        <v>7159</v>
      </c>
      <c r="DX87" s="2" t="s">
        <v>7159</v>
      </c>
      <c r="DY87" s="2" t="s">
        <v>7159</v>
      </c>
      <c r="DZ87" s="2" t="s">
        <v>7159</v>
      </c>
      <c r="EA87" s="2" t="s">
        <v>7159</v>
      </c>
      <c r="EB87" s="2" t="s">
        <v>7159</v>
      </c>
      <c r="EC87" s="2" t="s">
        <v>7159</v>
      </c>
      <c r="EF87" s="2" t="s">
        <v>7221</v>
      </c>
      <c r="EG87" s="2" t="s">
        <v>898</v>
      </c>
      <c r="EJ87" s="2" t="s">
        <v>7144</v>
      </c>
      <c r="EK87" s="2" t="s">
        <v>7142</v>
      </c>
      <c r="EL87" s="2" t="s">
        <v>7143</v>
      </c>
      <c r="EN87" s="2" t="s">
        <v>7170</v>
      </c>
      <c r="EP87" s="2" t="s">
        <v>7186</v>
      </c>
      <c r="ER87" s="2" t="s">
        <v>7143</v>
      </c>
      <c r="ET87" s="2" t="s">
        <v>7143</v>
      </c>
      <c r="EV87" s="2" t="s">
        <v>7143</v>
      </c>
      <c r="EX87" s="2" t="s">
        <v>7143</v>
      </c>
      <c r="EZ87" s="2" t="s">
        <v>7143</v>
      </c>
      <c r="FC87" s="2" t="s">
        <v>7218</v>
      </c>
      <c r="FD87" s="2" t="s">
        <v>7143</v>
      </c>
      <c r="FH87" s="2" t="s">
        <v>7173</v>
      </c>
      <c r="FJ87" s="2" t="s">
        <v>7143</v>
      </c>
      <c r="FK87" s="2" t="s">
        <v>7159</v>
      </c>
      <c r="FN87" s="2" t="s">
        <v>7458</v>
      </c>
      <c r="FR87" s="2" t="s">
        <v>899</v>
      </c>
      <c r="FT87" s="2" t="s">
        <v>7189</v>
      </c>
      <c r="FU87" s="2" t="s">
        <v>7176</v>
      </c>
      <c r="FV87" s="2" t="s">
        <v>7189</v>
      </c>
      <c r="FW87" s="2" t="s">
        <v>7189</v>
      </c>
      <c r="FZ87" s="19" t="s">
        <v>7528</v>
      </c>
    </row>
    <row r="88" spans="1:182">
      <c r="A88" s="7" t="s">
        <v>900</v>
      </c>
      <c r="D88" s="7" t="s">
        <v>7529</v>
      </c>
      <c r="E88" s="7" t="s">
        <v>177</v>
      </c>
      <c r="F88" s="7" t="s">
        <v>7245</v>
      </c>
      <c r="G88" s="7" t="s">
        <v>7466</v>
      </c>
      <c r="H88" s="7" t="s">
        <v>792</v>
      </c>
      <c r="I88" s="7" t="s">
        <v>901</v>
      </c>
      <c r="J88" s="16" t="s">
        <v>7530</v>
      </c>
      <c r="K88" s="7" t="s">
        <v>902</v>
      </c>
      <c r="L88" s="7" t="s">
        <v>7281</v>
      </c>
      <c r="M88" s="7" t="s">
        <v>7138</v>
      </c>
      <c r="N88" s="7">
        <v>1998</v>
      </c>
      <c r="O88" s="7" t="s">
        <v>7139</v>
      </c>
      <c r="P88" s="7" t="s">
        <v>7192</v>
      </c>
      <c r="Q88" s="7" t="s">
        <v>7141</v>
      </c>
      <c r="R88" s="7" t="s">
        <v>7143</v>
      </c>
      <c r="S88" s="7">
        <v>2007</v>
      </c>
      <c r="T88" s="7" t="s">
        <v>7142</v>
      </c>
      <c r="U88" s="7" t="s">
        <v>7142</v>
      </c>
      <c r="Y88" s="2">
        <v>500</v>
      </c>
      <c r="Z88" s="17">
        <v>0.95</v>
      </c>
      <c r="AA88" s="2">
        <v>475</v>
      </c>
      <c r="AB88" s="2">
        <v>460</v>
      </c>
      <c r="AC88" s="7">
        <v>360</v>
      </c>
      <c r="AD88" s="2">
        <v>430</v>
      </c>
      <c r="AE88" s="2">
        <v>70</v>
      </c>
      <c r="AF88" s="2" t="s">
        <v>7142</v>
      </c>
      <c r="AG88" s="2" t="s">
        <v>7142</v>
      </c>
      <c r="AH88" s="2" t="s">
        <v>7142</v>
      </c>
      <c r="AI88" s="2" t="s">
        <v>308</v>
      </c>
      <c r="AJ88" s="2" t="s">
        <v>7143</v>
      </c>
      <c r="AK88" s="2" t="s">
        <v>7143</v>
      </c>
      <c r="AL88" s="2" t="s">
        <v>7143</v>
      </c>
      <c r="AM88" s="7" t="s">
        <v>7142</v>
      </c>
      <c r="AN88" s="2" t="s">
        <v>7143</v>
      </c>
      <c r="AO88" s="2" t="s">
        <v>7143</v>
      </c>
      <c r="AR88" s="7">
        <v>1.8</v>
      </c>
      <c r="AS88" s="7">
        <v>3</v>
      </c>
      <c r="AT88" s="7">
        <v>3.5</v>
      </c>
      <c r="AU88" s="7" t="s">
        <v>7193</v>
      </c>
      <c r="AV88" s="7" t="s">
        <v>7193</v>
      </c>
      <c r="AW88" s="7" t="s">
        <v>7143</v>
      </c>
      <c r="AZ88" s="2" t="s">
        <v>7286</v>
      </c>
      <c r="BB88" s="7" t="s">
        <v>7440</v>
      </c>
      <c r="BC88" s="7" t="s">
        <v>7208</v>
      </c>
      <c r="BD88" s="2" t="s">
        <v>7143</v>
      </c>
      <c r="BE88" s="2" t="s">
        <v>7143</v>
      </c>
      <c r="BL88" s="7" t="s">
        <v>7152</v>
      </c>
      <c r="BM88" s="7" t="s">
        <v>7153</v>
      </c>
      <c r="BN88" s="7" t="s">
        <v>7154</v>
      </c>
      <c r="BO88" s="7" t="s">
        <v>7155</v>
      </c>
      <c r="BQ88" s="7" t="s">
        <v>7256</v>
      </c>
      <c r="BS88" s="2" t="s">
        <v>7143</v>
      </c>
      <c r="BT88" s="2" t="s">
        <v>7157</v>
      </c>
      <c r="BV88" s="2" t="s">
        <v>7506</v>
      </c>
      <c r="BW88" s="2" t="s">
        <v>903</v>
      </c>
      <c r="BX88" s="7" t="s">
        <v>7142</v>
      </c>
      <c r="BY88" s="7" t="s">
        <v>7531</v>
      </c>
      <c r="BZ88" s="7" t="s">
        <v>7159</v>
      </c>
      <c r="CE88" s="7">
        <v>3.5</v>
      </c>
      <c r="CK88" s="2">
        <v>100</v>
      </c>
      <c r="CO88" s="2">
        <v>100</v>
      </c>
      <c r="CR88" s="2" t="s">
        <v>7160</v>
      </c>
      <c r="CT88" s="2" t="s">
        <v>7143</v>
      </c>
      <c r="CU88" s="2" t="s">
        <v>7234</v>
      </c>
      <c r="CW88" s="2" t="s">
        <v>7162</v>
      </c>
      <c r="CY88" s="7" t="s">
        <v>7163</v>
      </c>
      <c r="CZ88" s="7" t="s">
        <v>7163</v>
      </c>
      <c r="DA88" s="2" t="s">
        <v>7250</v>
      </c>
      <c r="DB88" s="7" t="s">
        <v>7227</v>
      </c>
      <c r="DC88" s="7" t="s">
        <v>7250</v>
      </c>
      <c r="DD88" s="7" t="s">
        <v>7321</v>
      </c>
      <c r="DE88" s="2" t="s">
        <v>7250</v>
      </c>
      <c r="DF88" s="2" t="s">
        <v>7250</v>
      </c>
      <c r="DG88" s="2" t="s">
        <v>7164</v>
      </c>
      <c r="DH88" s="2" t="s">
        <v>7164</v>
      </c>
      <c r="DI88" s="2" t="s">
        <v>7164</v>
      </c>
      <c r="DL88" s="7" t="s">
        <v>7143</v>
      </c>
      <c r="DM88" s="2" t="s">
        <v>7143</v>
      </c>
      <c r="DP88" s="7" t="s">
        <v>7173</v>
      </c>
      <c r="DS88" s="7" t="s">
        <v>7165</v>
      </c>
      <c r="DT88" s="7" t="s">
        <v>7165</v>
      </c>
      <c r="DU88" s="7" t="s">
        <v>7165</v>
      </c>
      <c r="DV88" s="7" t="s">
        <v>7165</v>
      </c>
      <c r="DW88" s="7" t="s">
        <v>7165</v>
      </c>
      <c r="DX88" s="7" t="s">
        <v>7159</v>
      </c>
      <c r="DY88" s="7" t="s">
        <v>7159</v>
      </c>
      <c r="DZ88" s="7" t="s">
        <v>7159</v>
      </c>
      <c r="EA88" s="7" t="s">
        <v>7165</v>
      </c>
      <c r="EB88" s="7" t="s">
        <v>7165</v>
      </c>
      <c r="EC88" s="7" t="s">
        <v>7159</v>
      </c>
      <c r="ED88" s="7" t="s">
        <v>7159</v>
      </c>
      <c r="EE88" s="7"/>
      <c r="EF88" s="7" t="s">
        <v>7167</v>
      </c>
      <c r="EJ88" s="7" t="s">
        <v>7193</v>
      </c>
      <c r="EK88" s="7" t="s">
        <v>7142</v>
      </c>
      <c r="EL88" s="7" t="s">
        <v>7143</v>
      </c>
      <c r="EN88" s="7" t="s">
        <v>7170</v>
      </c>
      <c r="EP88" s="7" t="s">
        <v>7186</v>
      </c>
      <c r="ER88" s="2" t="s">
        <v>7142</v>
      </c>
      <c r="ET88" s="2" t="s">
        <v>7143</v>
      </c>
      <c r="EV88" s="2" t="s">
        <v>7143</v>
      </c>
      <c r="EX88" s="2" t="s">
        <v>7143</v>
      </c>
      <c r="EZ88" s="2" t="s">
        <v>7143</v>
      </c>
      <c r="FC88" s="2" t="s">
        <v>7172</v>
      </c>
      <c r="FD88" s="2" t="s">
        <v>7143</v>
      </c>
      <c r="FH88" s="7" t="s">
        <v>7173</v>
      </c>
      <c r="FJ88" s="7" t="s">
        <v>7143</v>
      </c>
      <c r="FK88" s="2" t="s">
        <v>7159</v>
      </c>
      <c r="FN88" s="2" t="s">
        <v>7481</v>
      </c>
      <c r="FT88" s="2" t="s">
        <v>7176</v>
      </c>
      <c r="FU88" s="2" t="s">
        <v>7189</v>
      </c>
      <c r="FV88" s="2" t="s">
        <v>7176</v>
      </c>
      <c r="FW88" s="2" t="s">
        <v>7189</v>
      </c>
      <c r="FZ88" s="19" t="s">
        <v>7532</v>
      </c>
    </row>
    <row r="89" spans="1:182">
      <c r="A89" s="7" t="s">
        <v>905</v>
      </c>
      <c r="D89" s="7" t="s">
        <v>7533</v>
      </c>
      <c r="E89" s="7" t="s">
        <v>906</v>
      </c>
      <c r="F89" s="7" t="s">
        <v>7339</v>
      </c>
      <c r="G89" s="7" t="s">
        <v>7488</v>
      </c>
      <c r="H89" s="7" t="s">
        <v>841</v>
      </c>
      <c r="I89" s="7" t="s">
        <v>907</v>
      </c>
      <c r="J89" s="16" t="s">
        <v>7534</v>
      </c>
      <c r="K89" s="7" t="s">
        <v>908</v>
      </c>
      <c r="L89" s="2" t="s">
        <v>7137</v>
      </c>
      <c r="M89" s="7" t="s">
        <v>7138</v>
      </c>
      <c r="N89" s="7">
        <v>1985</v>
      </c>
      <c r="O89" s="7" t="s">
        <v>7180</v>
      </c>
      <c r="P89" s="2" t="s">
        <v>7140</v>
      </c>
      <c r="Q89" s="2" t="s">
        <v>7141</v>
      </c>
      <c r="R89" s="2" t="s">
        <v>7143</v>
      </c>
      <c r="S89" s="2">
        <v>14</v>
      </c>
      <c r="T89" s="2" t="s">
        <v>7143</v>
      </c>
      <c r="U89" s="2" t="s">
        <v>7143</v>
      </c>
      <c r="Y89" s="2">
        <v>1090</v>
      </c>
      <c r="Z89" s="17">
        <v>1</v>
      </c>
      <c r="AA89" s="2">
        <v>1090</v>
      </c>
      <c r="AB89" s="2">
        <v>1090</v>
      </c>
      <c r="AC89" s="7">
        <v>1090</v>
      </c>
      <c r="AD89" s="2">
        <v>1300</v>
      </c>
      <c r="AE89" s="2">
        <v>210</v>
      </c>
      <c r="AF89" s="2" t="s">
        <v>7143</v>
      </c>
      <c r="AG89" s="2" t="s">
        <v>7143</v>
      </c>
      <c r="AH89" s="2" t="s">
        <v>7143</v>
      </c>
      <c r="AJ89" s="2" t="s">
        <v>7143</v>
      </c>
      <c r="AK89" s="2" t="s">
        <v>7143</v>
      </c>
      <c r="AL89" s="2" t="s">
        <v>7143</v>
      </c>
      <c r="AM89" s="2" t="s">
        <v>7143</v>
      </c>
      <c r="AN89" s="2" t="s">
        <v>7143</v>
      </c>
      <c r="AO89" s="2" t="s">
        <v>7143</v>
      </c>
      <c r="AR89" s="7">
        <v>3</v>
      </c>
      <c r="AS89" s="7">
        <v>4</v>
      </c>
      <c r="AT89" s="7">
        <v>13</v>
      </c>
      <c r="AU89" s="2" t="s">
        <v>7193</v>
      </c>
      <c r="AV89" s="2" t="s">
        <v>7193</v>
      </c>
      <c r="AW89" s="2" t="s">
        <v>7143</v>
      </c>
      <c r="AZ89" s="2" t="s">
        <v>7145</v>
      </c>
      <c r="BB89" s="2" t="s">
        <v>7214</v>
      </c>
      <c r="BC89" s="2" t="s">
        <v>7247</v>
      </c>
      <c r="BD89" s="2" t="s">
        <v>7142</v>
      </c>
      <c r="BE89" s="2" t="s">
        <v>7142</v>
      </c>
      <c r="BF89" s="2" t="s">
        <v>7148</v>
      </c>
      <c r="BG89" s="2" t="s">
        <v>7149</v>
      </c>
      <c r="BH89" s="2" t="s">
        <v>7248</v>
      </c>
      <c r="BI89" s="2" t="s">
        <v>7151</v>
      </c>
      <c r="BL89" s="2" t="s">
        <v>7152</v>
      </c>
      <c r="BM89" s="2" t="s">
        <v>7355</v>
      </c>
      <c r="BN89" s="2" t="s">
        <v>7154</v>
      </c>
      <c r="BO89" s="2" t="s">
        <v>7155</v>
      </c>
      <c r="BQ89" s="2" t="s">
        <v>7183</v>
      </c>
      <c r="BS89" s="2" t="s">
        <v>7142</v>
      </c>
      <c r="BT89" s="2" t="s">
        <v>7535</v>
      </c>
      <c r="BV89" s="2" t="s">
        <v>7407</v>
      </c>
      <c r="BX89" s="2" t="s">
        <v>7142</v>
      </c>
      <c r="BY89" s="2" t="s">
        <v>910</v>
      </c>
      <c r="BZ89" s="2" t="s">
        <v>7165</v>
      </c>
      <c r="CA89" s="2" t="s">
        <v>911</v>
      </c>
      <c r="CE89" s="7">
        <v>13</v>
      </c>
      <c r="CF89" s="2">
        <v>1300</v>
      </c>
      <c r="CM89" s="2">
        <v>100</v>
      </c>
      <c r="CO89" s="2">
        <v>100</v>
      </c>
      <c r="CR89" s="2" t="s">
        <v>7276</v>
      </c>
      <c r="CT89" s="2" t="s">
        <v>7143</v>
      </c>
      <c r="CU89" s="2" t="s">
        <v>7203</v>
      </c>
      <c r="CW89" s="2" t="s">
        <v>7162</v>
      </c>
      <c r="CY89" s="2" t="s">
        <v>7163</v>
      </c>
      <c r="CZ89" s="2" t="s">
        <v>7163</v>
      </c>
      <c r="DA89" s="2" t="s">
        <v>7250</v>
      </c>
      <c r="DB89" s="2" t="s">
        <v>7163</v>
      </c>
      <c r="DC89" s="2" t="s">
        <v>7250</v>
      </c>
      <c r="DD89" s="2" t="s">
        <v>7250</v>
      </c>
      <c r="DE89" s="2" t="s">
        <v>7250</v>
      </c>
      <c r="DF89" s="2" t="s">
        <v>7163</v>
      </c>
      <c r="DG89" s="2" t="s">
        <v>7163</v>
      </c>
      <c r="DH89" s="2" t="s">
        <v>7163</v>
      </c>
      <c r="DI89" s="2" t="s">
        <v>7250</v>
      </c>
      <c r="DL89" s="2" t="s">
        <v>7142</v>
      </c>
      <c r="DM89" s="2" t="s">
        <v>7142</v>
      </c>
      <c r="DN89" s="2" t="s">
        <v>7142</v>
      </c>
      <c r="DO89" s="2" t="s">
        <v>7142</v>
      </c>
      <c r="DP89" s="2" t="s">
        <v>7165</v>
      </c>
      <c r="DQ89" s="2" t="s">
        <v>7166</v>
      </c>
      <c r="DT89" s="2" t="s">
        <v>7165</v>
      </c>
      <c r="DU89" s="2" t="s">
        <v>7165</v>
      </c>
      <c r="DV89" s="2" t="s">
        <v>7165</v>
      </c>
      <c r="DW89" s="2" t="s">
        <v>7165</v>
      </c>
      <c r="DX89" s="2" t="s">
        <v>7165</v>
      </c>
      <c r="DY89" s="2" t="s">
        <v>7165</v>
      </c>
      <c r="DZ89" s="2" t="s">
        <v>7159</v>
      </c>
      <c r="EA89" s="2" t="s">
        <v>7165</v>
      </c>
      <c r="EB89" s="2" t="s">
        <v>7165</v>
      </c>
      <c r="EC89" s="2" t="s">
        <v>7173</v>
      </c>
      <c r="EF89" s="2" t="s">
        <v>7221</v>
      </c>
      <c r="EG89" s="2" t="s">
        <v>912</v>
      </c>
      <c r="EJ89" s="2" t="s">
        <v>7217</v>
      </c>
      <c r="EK89" s="2" t="s">
        <v>7142</v>
      </c>
      <c r="EL89" s="2" t="s">
        <v>7143</v>
      </c>
      <c r="EN89" s="2" t="s">
        <v>7170</v>
      </c>
      <c r="EP89" s="2" t="s">
        <v>7186</v>
      </c>
      <c r="ER89" s="2" t="s">
        <v>7142</v>
      </c>
      <c r="ET89" s="2" t="s">
        <v>7143</v>
      </c>
      <c r="EV89" s="2" t="s">
        <v>7142</v>
      </c>
      <c r="EW89" s="2" t="s">
        <v>7171</v>
      </c>
      <c r="EX89" s="2" t="s">
        <v>7143</v>
      </c>
      <c r="EZ89" s="2" t="s">
        <v>7143</v>
      </c>
      <c r="FC89" s="2" t="s">
        <v>7218</v>
      </c>
      <c r="FD89" s="2" t="s">
        <v>7143</v>
      </c>
      <c r="FH89" s="2" t="s">
        <v>7173</v>
      </c>
      <c r="FJ89" s="2" t="s">
        <v>7143</v>
      </c>
      <c r="FK89" s="2" t="s">
        <v>7165</v>
      </c>
      <c r="FL89" s="2" t="s">
        <v>7402</v>
      </c>
      <c r="FN89" s="2" t="s">
        <v>7344</v>
      </c>
      <c r="FR89" s="2" t="s">
        <v>913</v>
      </c>
      <c r="FT89" s="2" t="s">
        <v>7189</v>
      </c>
      <c r="FU89" s="2" t="s">
        <v>7189</v>
      </c>
      <c r="FV89" s="2" t="s">
        <v>7189</v>
      </c>
      <c r="FW89" s="2" t="s">
        <v>7189</v>
      </c>
      <c r="FZ89" s="19" t="s">
        <v>7536</v>
      </c>
    </row>
    <row r="90" spans="1:182">
      <c r="A90" s="7" t="s">
        <v>914</v>
      </c>
      <c r="D90" s="7" t="s">
        <v>7537</v>
      </c>
      <c r="E90" s="7" t="s">
        <v>915</v>
      </c>
      <c r="F90" s="7" t="s">
        <v>7319</v>
      </c>
      <c r="G90" s="7" t="s">
        <v>7466</v>
      </c>
      <c r="H90" s="7" t="s">
        <v>792</v>
      </c>
      <c r="I90" s="7" t="s">
        <v>916</v>
      </c>
      <c r="J90" s="16" t="s">
        <v>7538</v>
      </c>
      <c r="K90" s="7" t="s">
        <v>917</v>
      </c>
      <c r="L90" s="2" t="s">
        <v>7137</v>
      </c>
      <c r="M90" s="7" t="s">
        <v>7138</v>
      </c>
      <c r="N90" s="7">
        <v>2000</v>
      </c>
      <c r="O90" s="7" t="s">
        <v>7139</v>
      </c>
      <c r="P90" s="7" t="s">
        <v>7192</v>
      </c>
      <c r="Q90" s="2" t="s">
        <v>7141</v>
      </c>
      <c r="R90" s="2" t="s">
        <v>7143</v>
      </c>
      <c r="S90" s="2">
        <v>15</v>
      </c>
      <c r="T90" s="2" t="s">
        <v>7143</v>
      </c>
      <c r="U90" s="2" t="s">
        <v>7143</v>
      </c>
      <c r="Y90" s="2">
        <v>200</v>
      </c>
      <c r="Z90" s="17">
        <v>0.875</v>
      </c>
      <c r="AA90" s="2">
        <v>175</v>
      </c>
      <c r="AB90" s="2">
        <v>160</v>
      </c>
      <c r="AC90" s="7">
        <v>150</v>
      </c>
      <c r="AD90" s="2">
        <v>180</v>
      </c>
      <c r="AE90" s="2">
        <v>30</v>
      </c>
      <c r="AF90" s="2" t="s">
        <v>7142</v>
      </c>
      <c r="AG90" s="2" t="s">
        <v>7143</v>
      </c>
      <c r="AH90" s="2" t="s">
        <v>7143</v>
      </c>
      <c r="AJ90" s="2" t="s">
        <v>7143</v>
      </c>
      <c r="AK90" s="2" t="s">
        <v>7142</v>
      </c>
      <c r="AL90" s="2" t="s">
        <v>7143</v>
      </c>
      <c r="AM90" s="2" t="s">
        <v>7142</v>
      </c>
      <c r="AN90" s="2" t="s">
        <v>7143</v>
      </c>
      <c r="AO90" s="2" t="s">
        <v>7143</v>
      </c>
      <c r="AR90" s="7">
        <v>0.7</v>
      </c>
      <c r="AS90" s="7">
        <v>3</v>
      </c>
      <c r="AT90" s="7">
        <v>1.8</v>
      </c>
      <c r="AU90" s="2" t="s">
        <v>7217</v>
      </c>
      <c r="AV90" s="2" t="s">
        <v>7217</v>
      </c>
      <c r="AW90" s="2" t="s">
        <v>7143</v>
      </c>
      <c r="AZ90" s="2" t="s">
        <v>7286</v>
      </c>
      <c r="BC90" s="2" t="s">
        <v>7147</v>
      </c>
      <c r="BD90" s="2" t="s">
        <v>7143</v>
      </c>
      <c r="BE90" s="2" t="s">
        <v>7143</v>
      </c>
      <c r="BL90" s="2" t="s">
        <v>7195</v>
      </c>
      <c r="BO90" s="2" t="s">
        <v>7155</v>
      </c>
      <c r="BQ90" s="2" t="s">
        <v>7156</v>
      </c>
      <c r="BS90" s="2" t="s">
        <v>7142</v>
      </c>
      <c r="BT90" s="2" t="s">
        <v>7238</v>
      </c>
      <c r="BU90" s="2" t="s">
        <v>544</v>
      </c>
      <c r="BV90" s="2" t="s">
        <v>7348</v>
      </c>
      <c r="BX90" s="2" t="s">
        <v>7143</v>
      </c>
      <c r="BZ90" s="2" t="s">
        <v>7173</v>
      </c>
      <c r="CE90" s="7">
        <v>1.8</v>
      </c>
      <c r="CF90" s="2">
        <v>180</v>
      </c>
      <c r="CK90" s="2">
        <v>100</v>
      </c>
      <c r="CO90" s="2">
        <v>100</v>
      </c>
      <c r="CR90" s="2" t="s">
        <v>7160</v>
      </c>
      <c r="CT90" s="2" t="s">
        <v>7143</v>
      </c>
      <c r="CU90" s="2" t="s">
        <v>7161</v>
      </c>
      <c r="CW90" s="2" t="s">
        <v>7162</v>
      </c>
      <c r="CY90" s="2" t="s">
        <v>7250</v>
      </c>
      <c r="CZ90" s="2" t="s">
        <v>7250</v>
      </c>
      <c r="DA90" s="2" t="s">
        <v>7250</v>
      </c>
      <c r="DB90" s="2" t="s">
        <v>7250</v>
      </c>
      <c r="DC90" s="2" t="s">
        <v>7321</v>
      </c>
      <c r="DD90" s="2" t="s">
        <v>7321</v>
      </c>
      <c r="DE90" s="2" t="s">
        <v>7250</v>
      </c>
      <c r="DF90" s="2" t="s">
        <v>7250</v>
      </c>
      <c r="DG90" s="2" t="s">
        <v>7250</v>
      </c>
      <c r="DH90" s="2" t="s">
        <v>7250</v>
      </c>
      <c r="DI90" s="2" t="s">
        <v>7250</v>
      </c>
      <c r="DL90" s="2" t="s">
        <v>7143</v>
      </c>
      <c r="DM90" s="2" t="s">
        <v>7143</v>
      </c>
      <c r="DP90" s="2" t="s">
        <v>7173</v>
      </c>
      <c r="DT90" s="2" t="s">
        <v>7159</v>
      </c>
      <c r="DU90" s="2" t="s">
        <v>7159</v>
      </c>
      <c r="DV90" s="2" t="s">
        <v>7159</v>
      </c>
      <c r="DW90" s="2" t="s">
        <v>7159</v>
      </c>
      <c r="DX90" s="2" t="s">
        <v>7159</v>
      </c>
      <c r="DY90" s="2" t="s">
        <v>7159</v>
      </c>
      <c r="DZ90" s="2" t="s">
        <v>7159</v>
      </c>
      <c r="EA90" s="2" t="s">
        <v>7159</v>
      </c>
      <c r="EB90" s="2" t="s">
        <v>7159</v>
      </c>
      <c r="EC90" s="2" t="s">
        <v>7159</v>
      </c>
      <c r="EF90" s="2" t="s">
        <v>7252</v>
      </c>
      <c r="EG90" s="2" t="s">
        <v>431</v>
      </c>
      <c r="EJ90" s="2" t="s">
        <v>7217</v>
      </c>
      <c r="EK90" s="2" t="s">
        <v>7143</v>
      </c>
      <c r="EL90" s="2" t="s">
        <v>7143</v>
      </c>
      <c r="EN90" s="2" t="s">
        <v>7210</v>
      </c>
      <c r="EP90" s="2" t="s">
        <v>7186</v>
      </c>
      <c r="ER90" s="2" t="s">
        <v>7143</v>
      </c>
      <c r="ET90" s="2" t="s">
        <v>7143</v>
      </c>
      <c r="EV90" s="2" t="s">
        <v>7143</v>
      </c>
      <c r="EX90" s="2" t="s">
        <v>7143</v>
      </c>
      <c r="EZ90" s="2" t="s">
        <v>7143</v>
      </c>
      <c r="FC90" s="2" t="s">
        <v>7218</v>
      </c>
      <c r="FD90" s="2" t="s">
        <v>7143</v>
      </c>
      <c r="FH90" s="2" t="s">
        <v>7173</v>
      </c>
      <c r="FJ90" s="2" t="s">
        <v>7143</v>
      </c>
      <c r="FK90" s="2" t="s">
        <v>7173</v>
      </c>
      <c r="FR90" s="2" t="s">
        <v>918</v>
      </c>
      <c r="FT90" s="2" t="s">
        <v>7176</v>
      </c>
      <c r="FU90" s="2" t="s">
        <v>7189</v>
      </c>
      <c r="FV90" s="2" t="s">
        <v>7189</v>
      </c>
      <c r="FW90" s="2" t="s">
        <v>7189</v>
      </c>
      <c r="FZ90" s="19" t="s">
        <v>7539</v>
      </c>
    </row>
    <row r="91" spans="1:182">
      <c r="A91" s="7" t="s">
        <v>919</v>
      </c>
      <c r="D91" s="7" t="s">
        <v>7540</v>
      </c>
      <c r="E91" s="7" t="s">
        <v>920</v>
      </c>
      <c r="F91" s="7" t="s">
        <v>7311</v>
      </c>
      <c r="G91" s="7" t="s">
        <v>7466</v>
      </c>
      <c r="H91" s="7" t="s">
        <v>822</v>
      </c>
      <c r="I91" s="7" t="s">
        <v>921</v>
      </c>
      <c r="J91" s="19" t="s">
        <v>7541</v>
      </c>
      <c r="K91" s="7" t="s">
        <v>922</v>
      </c>
      <c r="L91" s="7" t="s">
        <v>7224</v>
      </c>
      <c r="M91" s="7" t="s">
        <v>7179</v>
      </c>
      <c r="N91" s="7">
        <v>1984</v>
      </c>
      <c r="O91" s="7" t="s">
        <v>7139</v>
      </c>
      <c r="P91" s="7" t="s">
        <v>7181</v>
      </c>
      <c r="Q91" s="7" t="s">
        <v>7225</v>
      </c>
      <c r="R91" s="7" t="s">
        <v>7143</v>
      </c>
      <c r="S91" s="7">
        <v>20</v>
      </c>
      <c r="T91" s="7" t="s">
        <v>7143</v>
      </c>
      <c r="U91" s="7" t="s">
        <v>7143</v>
      </c>
      <c r="Y91" s="7">
        <v>273</v>
      </c>
      <c r="Z91" s="17">
        <v>0.98899999999999999</v>
      </c>
      <c r="AA91" s="7">
        <v>270</v>
      </c>
      <c r="AB91" s="7">
        <v>270</v>
      </c>
      <c r="AC91" s="7">
        <v>270</v>
      </c>
      <c r="AD91" s="7">
        <v>300</v>
      </c>
      <c r="AE91" s="7">
        <v>30</v>
      </c>
      <c r="AF91" s="2" t="s">
        <v>7142</v>
      </c>
      <c r="AG91" s="2" t="s">
        <v>7142</v>
      </c>
      <c r="AH91" s="7" t="s">
        <v>7143</v>
      </c>
      <c r="AJ91" s="7" t="s">
        <v>7143</v>
      </c>
      <c r="AK91" s="7" t="s">
        <v>7143</v>
      </c>
      <c r="AL91" s="7" t="s">
        <v>7143</v>
      </c>
      <c r="AM91" s="7" t="s">
        <v>7142</v>
      </c>
      <c r="AN91" s="7" t="s">
        <v>7143</v>
      </c>
      <c r="AO91" s="7" t="s">
        <v>7143</v>
      </c>
      <c r="AR91" s="7">
        <v>1</v>
      </c>
      <c r="AS91" s="7">
        <v>4</v>
      </c>
      <c r="AT91" s="7">
        <v>3</v>
      </c>
      <c r="AU91" s="2" t="s">
        <v>7193</v>
      </c>
      <c r="AV91" s="2" t="s">
        <v>7193</v>
      </c>
      <c r="AW91" s="2" t="s">
        <v>7143</v>
      </c>
      <c r="AZ91" s="2" t="s">
        <v>7145</v>
      </c>
      <c r="BB91" s="2" t="s">
        <v>7214</v>
      </c>
      <c r="BC91" s="2" t="s">
        <v>7247</v>
      </c>
      <c r="BD91" s="2" t="s">
        <v>7142</v>
      </c>
      <c r="BE91" s="2" t="s">
        <v>7142</v>
      </c>
      <c r="BF91" s="2" t="s">
        <v>7148</v>
      </c>
      <c r="BG91" s="2" t="s">
        <v>7149</v>
      </c>
      <c r="BH91" s="2" t="s">
        <v>7233</v>
      </c>
      <c r="BI91" s="2" t="s">
        <v>7151</v>
      </c>
      <c r="BL91" s="2" t="s">
        <v>7195</v>
      </c>
      <c r="BO91" s="2" t="s">
        <v>7274</v>
      </c>
      <c r="BP91" s="2" t="s">
        <v>7275</v>
      </c>
      <c r="BS91" s="2" t="s">
        <v>7142</v>
      </c>
      <c r="BT91" s="2" t="s">
        <v>7315</v>
      </c>
      <c r="BV91" s="2" t="s">
        <v>7352</v>
      </c>
      <c r="BX91" s="2" t="s">
        <v>7143</v>
      </c>
      <c r="BY91" s="2" t="s">
        <v>923</v>
      </c>
      <c r="BZ91" s="2" t="s">
        <v>7159</v>
      </c>
      <c r="CE91" s="7">
        <v>3</v>
      </c>
      <c r="CF91" s="2">
        <v>300</v>
      </c>
      <c r="CK91" s="2">
        <v>100</v>
      </c>
      <c r="CP91" s="2">
        <v>100</v>
      </c>
      <c r="CR91" s="2" t="s">
        <v>7160</v>
      </c>
      <c r="CT91" s="2" t="s">
        <v>7143</v>
      </c>
      <c r="CU91" s="2" t="s">
        <v>7161</v>
      </c>
      <c r="CW91" s="2" t="s">
        <v>7162</v>
      </c>
      <c r="CY91" s="2" t="s">
        <v>7250</v>
      </c>
      <c r="CZ91" s="2" t="s">
        <v>7250</v>
      </c>
      <c r="DA91" s="2" t="s">
        <v>7250</v>
      </c>
      <c r="DB91" s="2" t="s">
        <v>7250</v>
      </c>
      <c r="DC91" s="2" t="s">
        <v>7250</v>
      </c>
      <c r="DD91" s="2" t="s">
        <v>7250</v>
      </c>
      <c r="DE91" s="2" t="s">
        <v>7250</v>
      </c>
      <c r="DF91" s="2" t="s">
        <v>7250</v>
      </c>
      <c r="DG91" s="2" t="s">
        <v>7250</v>
      </c>
      <c r="DH91" s="2" t="s">
        <v>7250</v>
      </c>
      <c r="DI91" s="2" t="s">
        <v>7250</v>
      </c>
      <c r="DL91" s="2" t="s">
        <v>7143</v>
      </c>
      <c r="DM91" s="2" t="s">
        <v>7143</v>
      </c>
      <c r="DP91" s="2" t="s">
        <v>7159</v>
      </c>
      <c r="DT91" s="2" t="s">
        <v>7159</v>
      </c>
      <c r="DU91" s="2" t="s">
        <v>7159</v>
      </c>
      <c r="DV91" s="2" t="s">
        <v>7165</v>
      </c>
      <c r="DW91" s="2" t="s">
        <v>7165</v>
      </c>
      <c r="DX91" s="2" t="s">
        <v>7165</v>
      </c>
      <c r="DY91" s="2" t="s">
        <v>7173</v>
      </c>
      <c r="DZ91" s="2" t="s">
        <v>7159</v>
      </c>
      <c r="EA91" s="2" t="s">
        <v>7165</v>
      </c>
      <c r="EB91" s="2" t="s">
        <v>7165</v>
      </c>
      <c r="EC91" s="2" t="s">
        <v>7165</v>
      </c>
      <c r="ED91" s="2" t="s">
        <v>7165</v>
      </c>
      <c r="EE91" s="2" t="s">
        <v>672</v>
      </c>
      <c r="EF91" s="2" t="s">
        <v>7252</v>
      </c>
      <c r="EG91" s="2" t="s">
        <v>924</v>
      </c>
      <c r="EJ91" s="2" t="s">
        <v>7217</v>
      </c>
      <c r="EK91" s="2" t="s">
        <v>7143</v>
      </c>
      <c r="EL91" s="2" t="s">
        <v>7143</v>
      </c>
      <c r="EN91" s="2" t="s">
        <v>7170</v>
      </c>
      <c r="EP91" s="2" t="s">
        <v>7186</v>
      </c>
      <c r="ER91" s="2" t="s">
        <v>7143</v>
      </c>
      <c r="ET91" s="2" t="s">
        <v>7143</v>
      </c>
      <c r="EV91" s="2" t="s">
        <v>7143</v>
      </c>
      <c r="EX91" s="2" t="s">
        <v>7143</v>
      </c>
      <c r="EZ91" s="2" t="s">
        <v>7143</v>
      </c>
      <c r="FC91" s="2" t="s">
        <v>7172</v>
      </c>
      <c r="FD91" s="2" t="s">
        <v>7143</v>
      </c>
      <c r="FH91" s="2" t="s">
        <v>7173</v>
      </c>
      <c r="FJ91" s="2" t="s">
        <v>7143</v>
      </c>
      <c r="FK91" s="2" t="s">
        <v>7159</v>
      </c>
      <c r="FR91" s="2" t="s">
        <v>925</v>
      </c>
      <c r="FT91" s="2" t="s">
        <v>7345</v>
      </c>
      <c r="FU91" s="2" t="s">
        <v>7189</v>
      </c>
      <c r="FV91" s="2" t="s">
        <v>7189</v>
      </c>
      <c r="FW91" s="2" t="s">
        <v>7176</v>
      </c>
      <c r="FX91" s="2" t="s">
        <v>7176</v>
      </c>
      <c r="FY91" s="2" t="s">
        <v>926</v>
      </c>
      <c r="FZ91" s="19" t="s">
        <v>7542</v>
      </c>
    </row>
    <row r="92" spans="1:182">
      <c r="A92" s="7" t="s">
        <v>927</v>
      </c>
      <c r="D92" s="7" t="s">
        <v>7543</v>
      </c>
      <c r="E92" s="7" t="s">
        <v>177</v>
      </c>
      <c r="F92" s="7" t="s">
        <v>7245</v>
      </c>
      <c r="G92" s="7" t="s">
        <v>7466</v>
      </c>
      <c r="H92" s="7" t="s">
        <v>792</v>
      </c>
      <c r="I92" s="7" t="s">
        <v>928</v>
      </c>
      <c r="J92" s="16" t="s">
        <v>7544</v>
      </c>
      <c r="K92" s="7" t="s">
        <v>928</v>
      </c>
      <c r="L92" s="2" t="s">
        <v>7224</v>
      </c>
      <c r="M92" s="7" t="s">
        <v>7138</v>
      </c>
      <c r="N92" s="7">
        <v>1988</v>
      </c>
      <c r="O92" s="7" t="s">
        <v>7139</v>
      </c>
      <c r="P92" s="7" t="s">
        <v>7140</v>
      </c>
      <c r="Q92" s="7" t="s">
        <v>7141</v>
      </c>
      <c r="R92" s="7" t="s">
        <v>7142</v>
      </c>
      <c r="S92" s="7">
        <v>2013</v>
      </c>
      <c r="T92" s="7" t="s">
        <v>7143</v>
      </c>
      <c r="U92" s="7" t="s">
        <v>7143</v>
      </c>
      <c r="Y92" s="2">
        <v>360</v>
      </c>
      <c r="Z92" s="17">
        <v>0.83330000000000004</v>
      </c>
      <c r="AA92" s="2">
        <v>300</v>
      </c>
      <c r="AC92" s="7">
        <v>170</v>
      </c>
      <c r="AD92" s="2">
        <v>200</v>
      </c>
      <c r="AE92" s="2">
        <v>30</v>
      </c>
      <c r="AF92" s="2" t="s">
        <v>7142</v>
      </c>
      <c r="AG92" s="2" t="s">
        <v>7142</v>
      </c>
      <c r="AH92" s="2" t="s">
        <v>7142</v>
      </c>
      <c r="AI92" s="2" t="s">
        <v>308</v>
      </c>
      <c r="AJ92" s="2" t="s">
        <v>7143</v>
      </c>
      <c r="AK92" s="2" t="s">
        <v>7143</v>
      </c>
      <c r="AL92" s="7" t="s">
        <v>7143</v>
      </c>
      <c r="AM92" s="7" t="s">
        <v>7142</v>
      </c>
      <c r="AN92" s="7" t="s">
        <v>7143</v>
      </c>
      <c r="AO92" s="7" t="s">
        <v>7143</v>
      </c>
      <c r="AR92" s="7">
        <v>1</v>
      </c>
      <c r="AS92" s="7">
        <v>2</v>
      </c>
      <c r="AT92" s="7">
        <v>2.2000000000000002</v>
      </c>
      <c r="AU92" s="7" t="s">
        <v>7193</v>
      </c>
      <c r="AV92" s="7" t="s">
        <v>7193</v>
      </c>
      <c r="AW92" s="7" t="s">
        <v>7143</v>
      </c>
      <c r="AZ92" s="7" t="s">
        <v>7545</v>
      </c>
      <c r="BB92" s="7" t="s">
        <v>7214</v>
      </c>
      <c r="BC92" s="2" t="s">
        <v>7208</v>
      </c>
      <c r="BD92" s="7" t="s">
        <v>7142</v>
      </c>
      <c r="BE92" s="2" t="s">
        <v>7143</v>
      </c>
      <c r="BG92" s="7" t="s">
        <v>7149</v>
      </c>
      <c r="BH92" s="7" t="s">
        <v>7150</v>
      </c>
      <c r="BI92" s="7" t="s">
        <v>7151</v>
      </c>
      <c r="BL92" s="7" t="s">
        <v>7195</v>
      </c>
      <c r="BM92" s="7" t="s">
        <v>7153</v>
      </c>
      <c r="BN92" s="2" t="s">
        <v>7154</v>
      </c>
      <c r="BO92" s="7" t="s">
        <v>7155</v>
      </c>
      <c r="BP92" s="7" t="s">
        <v>7275</v>
      </c>
      <c r="BQ92" s="2" t="s">
        <v>7256</v>
      </c>
      <c r="BS92" s="2" t="s">
        <v>7142</v>
      </c>
      <c r="BT92" s="7" t="s">
        <v>7157</v>
      </c>
      <c r="BV92" s="2" t="s">
        <v>7287</v>
      </c>
      <c r="BX92" s="7" t="s">
        <v>7142</v>
      </c>
      <c r="BY92" s="7" t="s">
        <v>930</v>
      </c>
      <c r="BZ92" s="2" t="s">
        <v>7159</v>
      </c>
      <c r="CE92" s="7">
        <v>2.2000000000000002</v>
      </c>
      <c r="CK92" s="2">
        <v>100</v>
      </c>
      <c r="CO92" s="2">
        <v>100</v>
      </c>
      <c r="CR92" s="2" t="s">
        <v>7160</v>
      </c>
      <c r="CT92" s="2" t="s">
        <v>7143</v>
      </c>
      <c r="CU92" s="2" t="s">
        <v>7234</v>
      </c>
      <c r="CW92" s="2" t="s">
        <v>7162</v>
      </c>
      <c r="CY92" s="2" t="s">
        <v>7163</v>
      </c>
      <c r="CZ92" s="2" t="s">
        <v>7163</v>
      </c>
      <c r="DA92" s="2" t="s">
        <v>7250</v>
      </c>
      <c r="DB92" s="2" t="s">
        <v>7164</v>
      </c>
      <c r="DC92" s="2" t="s">
        <v>7251</v>
      </c>
      <c r="DD92" s="2" t="s">
        <v>7251</v>
      </c>
      <c r="DE92" s="2" t="s">
        <v>7163</v>
      </c>
      <c r="DF92" s="2" t="s">
        <v>7163</v>
      </c>
      <c r="DG92" s="2" t="s">
        <v>7163</v>
      </c>
      <c r="DH92" s="2" t="s">
        <v>7163</v>
      </c>
      <c r="DI92" s="2" t="s">
        <v>7163</v>
      </c>
      <c r="DL92" s="7" t="s">
        <v>7142</v>
      </c>
      <c r="DM92" s="7" t="s">
        <v>7142</v>
      </c>
      <c r="DN92" s="2" t="s">
        <v>7142</v>
      </c>
      <c r="DO92" s="2" t="s">
        <v>7142</v>
      </c>
      <c r="DP92" s="2" t="s">
        <v>7165</v>
      </c>
      <c r="DQ92" s="2" t="s">
        <v>7166</v>
      </c>
      <c r="DS92" s="7" t="s">
        <v>7159</v>
      </c>
      <c r="DT92" s="2" t="s">
        <v>7165</v>
      </c>
      <c r="DU92" s="2" t="s">
        <v>7165</v>
      </c>
      <c r="DV92" s="2" t="s">
        <v>7165</v>
      </c>
      <c r="DW92" s="2" t="s">
        <v>7165</v>
      </c>
      <c r="DX92" s="2" t="s">
        <v>7159</v>
      </c>
      <c r="DY92" s="2" t="s">
        <v>7159</v>
      </c>
      <c r="DZ92" s="2" t="s">
        <v>7159</v>
      </c>
      <c r="EA92" s="2" t="s">
        <v>7165</v>
      </c>
      <c r="EB92" s="2" t="s">
        <v>7165</v>
      </c>
      <c r="EC92" s="2" t="s">
        <v>7159</v>
      </c>
      <c r="EF92" s="2" t="s">
        <v>7167</v>
      </c>
      <c r="EJ92" s="7" t="s">
        <v>7193</v>
      </c>
      <c r="EK92" s="7" t="s">
        <v>7142</v>
      </c>
      <c r="EL92" s="7" t="s">
        <v>7143</v>
      </c>
      <c r="EN92" s="7" t="s">
        <v>7170</v>
      </c>
      <c r="EP92" s="7" t="s">
        <v>7186</v>
      </c>
      <c r="ER92" s="7" t="s">
        <v>7143</v>
      </c>
      <c r="ET92" s="2" t="s">
        <v>7143</v>
      </c>
      <c r="EV92" s="2" t="s">
        <v>7142</v>
      </c>
      <c r="EW92" s="2" t="s">
        <v>7204</v>
      </c>
      <c r="EX92" s="2" t="s">
        <v>7142</v>
      </c>
      <c r="EY92" s="2" t="s">
        <v>7204</v>
      </c>
      <c r="EZ92" s="2" t="s">
        <v>7143</v>
      </c>
      <c r="FC92" s="2" t="s">
        <v>7172</v>
      </c>
      <c r="FD92" s="2" t="s">
        <v>7143</v>
      </c>
      <c r="FH92" s="7" t="s">
        <v>7173</v>
      </c>
      <c r="FJ92" s="7" t="s">
        <v>7142</v>
      </c>
      <c r="FK92" s="7" t="s">
        <v>7159</v>
      </c>
      <c r="FN92" s="2" t="s">
        <v>7283</v>
      </c>
      <c r="FT92" s="2" t="s">
        <v>7176</v>
      </c>
      <c r="FU92" s="2" t="s">
        <v>7189</v>
      </c>
      <c r="FV92" s="2" t="s">
        <v>7189</v>
      </c>
      <c r="FW92" s="2" t="s">
        <v>7189</v>
      </c>
      <c r="FZ92" s="19" t="s">
        <v>7546</v>
      </c>
    </row>
    <row r="93" spans="1:182">
      <c r="A93" s="7" t="s">
        <v>931</v>
      </c>
      <c r="D93" s="7" t="s">
        <v>7547</v>
      </c>
      <c r="E93" s="7" t="s">
        <v>932</v>
      </c>
      <c r="F93" s="7" t="s">
        <v>7319</v>
      </c>
      <c r="G93" s="7" t="s">
        <v>7466</v>
      </c>
      <c r="H93" s="7" t="s">
        <v>792</v>
      </c>
      <c r="I93" s="7" t="s">
        <v>933</v>
      </c>
      <c r="J93" s="19" t="s">
        <v>7548</v>
      </c>
      <c r="K93" s="7" t="s">
        <v>934</v>
      </c>
      <c r="L93" s="2" t="s">
        <v>7137</v>
      </c>
      <c r="M93" s="7" t="s">
        <v>7179</v>
      </c>
      <c r="N93" s="7">
        <v>1978</v>
      </c>
      <c r="O93" s="7" t="s">
        <v>7139</v>
      </c>
      <c r="P93" s="2" t="s">
        <v>7181</v>
      </c>
      <c r="Q93" s="7" t="s">
        <v>7225</v>
      </c>
      <c r="R93" s="2" t="s">
        <v>7143</v>
      </c>
      <c r="S93" s="2">
        <v>28</v>
      </c>
      <c r="T93" s="2" t="s">
        <v>7143</v>
      </c>
      <c r="U93" s="2" t="s">
        <v>7143</v>
      </c>
      <c r="Y93" s="2">
        <v>490</v>
      </c>
      <c r="Z93" s="17">
        <v>0.93879999999999997</v>
      </c>
      <c r="AA93" s="2">
        <v>460</v>
      </c>
      <c r="AB93" s="2">
        <v>440</v>
      </c>
      <c r="AC93" s="7">
        <v>430</v>
      </c>
      <c r="AD93" s="2">
        <v>500</v>
      </c>
      <c r="AE93" s="2">
        <v>70</v>
      </c>
      <c r="AF93" s="2" t="s">
        <v>7142</v>
      </c>
      <c r="AG93" s="2" t="s">
        <v>7143</v>
      </c>
      <c r="AH93" s="2" t="s">
        <v>7143</v>
      </c>
      <c r="AJ93" s="2" t="s">
        <v>7143</v>
      </c>
      <c r="AK93" s="2" t="s">
        <v>7142</v>
      </c>
      <c r="AL93" s="2" t="s">
        <v>7143</v>
      </c>
      <c r="AM93" s="2" t="s">
        <v>7142</v>
      </c>
      <c r="AN93" s="2" t="s">
        <v>7143</v>
      </c>
      <c r="AO93" s="2" t="s">
        <v>7143</v>
      </c>
      <c r="AR93" s="7">
        <v>1.2</v>
      </c>
      <c r="AS93" s="7">
        <v>5</v>
      </c>
      <c r="AT93" s="7">
        <v>5</v>
      </c>
      <c r="AU93" s="2" t="s">
        <v>7193</v>
      </c>
      <c r="AV93" s="2" t="s">
        <v>7193</v>
      </c>
      <c r="AW93" s="2" t="s">
        <v>7143</v>
      </c>
      <c r="AZ93" s="2" t="s">
        <v>7299</v>
      </c>
      <c r="BB93" s="2" t="s">
        <v>7214</v>
      </c>
      <c r="BC93" s="2" t="s">
        <v>7247</v>
      </c>
      <c r="BD93" s="2" t="s">
        <v>7142</v>
      </c>
      <c r="BE93" s="2" t="s">
        <v>7142</v>
      </c>
      <c r="BF93" s="2" t="s">
        <v>7148</v>
      </c>
      <c r="BG93" s="2" t="s">
        <v>7149</v>
      </c>
      <c r="BH93" s="2" t="s">
        <v>7233</v>
      </c>
      <c r="BI93" s="2" t="s">
        <v>7151</v>
      </c>
      <c r="BL93" s="2" t="s">
        <v>7152</v>
      </c>
      <c r="BM93" s="2" t="s">
        <v>7153</v>
      </c>
      <c r="BN93" s="2" t="s">
        <v>7154</v>
      </c>
      <c r="BO93" s="2" t="s">
        <v>7155</v>
      </c>
      <c r="BQ93" s="2" t="s">
        <v>7156</v>
      </c>
      <c r="BS93" s="2" t="s">
        <v>7142</v>
      </c>
      <c r="BT93" s="2" t="s">
        <v>7238</v>
      </c>
      <c r="BU93" s="2" t="s">
        <v>544</v>
      </c>
      <c r="BV93" s="2" t="s">
        <v>7197</v>
      </c>
      <c r="BX93" s="2" t="s">
        <v>7143</v>
      </c>
      <c r="BZ93" s="2" t="s">
        <v>7173</v>
      </c>
      <c r="CE93" s="7">
        <v>5</v>
      </c>
      <c r="CF93" s="2">
        <v>500</v>
      </c>
      <c r="CK93" s="2">
        <v>100</v>
      </c>
      <c r="CO93" s="2">
        <v>100</v>
      </c>
      <c r="CR93" s="2" t="s">
        <v>7276</v>
      </c>
      <c r="CT93" s="2" t="s">
        <v>7143</v>
      </c>
      <c r="CU93" s="2" t="s">
        <v>7161</v>
      </c>
      <c r="CW93" s="2" t="s">
        <v>7162</v>
      </c>
      <c r="CY93" s="2" t="s">
        <v>7163</v>
      </c>
      <c r="CZ93" s="2" t="s">
        <v>7163</v>
      </c>
      <c r="DA93" s="2" t="s">
        <v>7250</v>
      </c>
      <c r="DB93" s="2" t="s">
        <v>7250</v>
      </c>
      <c r="DC93" s="2" t="s">
        <v>7250</v>
      </c>
      <c r="DD93" s="2" t="s">
        <v>7321</v>
      </c>
      <c r="DE93" s="2" t="s">
        <v>7250</v>
      </c>
      <c r="DF93" s="2" t="s">
        <v>7250</v>
      </c>
      <c r="DG93" s="2" t="s">
        <v>7250</v>
      </c>
      <c r="DH93" s="2" t="s">
        <v>7250</v>
      </c>
      <c r="DI93" s="2" t="s">
        <v>7250</v>
      </c>
      <c r="DL93" s="2" t="s">
        <v>7143</v>
      </c>
      <c r="DM93" s="2" t="s">
        <v>7143</v>
      </c>
      <c r="DP93" s="2" t="s">
        <v>7173</v>
      </c>
      <c r="DT93" s="2" t="s">
        <v>7159</v>
      </c>
      <c r="DU93" s="2" t="s">
        <v>7159</v>
      </c>
      <c r="DV93" s="2" t="s">
        <v>7159</v>
      </c>
      <c r="DW93" s="2" t="s">
        <v>7159</v>
      </c>
      <c r="DX93" s="2" t="s">
        <v>7159</v>
      </c>
      <c r="DY93" s="2" t="s">
        <v>7159</v>
      </c>
      <c r="DZ93" s="2" t="s">
        <v>7159</v>
      </c>
      <c r="EA93" s="2" t="s">
        <v>7159</v>
      </c>
      <c r="EB93" s="2" t="s">
        <v>7159</v>
      </c>
      <c r="EC93" s="2" t="s">
        <v>7159</v>
      </c>
      <c r="EF93" s="2" t="s">
        <v>7252</v>
      </c>
      <c r="EG93" s="2" t="s">
        <v>935</v>
      </c>
      <c r="EJ93" s="2" t="s">
        <v>7217</v>
      </c>
      <c r="EK93" s="2" t="s">
        <v>7143</v>
      </c>
      <c r="EL93" s="2" t="s">
        <v>7143</v>
      </c>
      <c r="EN93" s="2" t="s">
        <v>7210</v>
      </c>
      <c r="EP93" s="2" t="s">
        <v>7186</v>
      </c>
      <c r="ER93" s="2" t="s">
        <v>7143</v>
      </c>
      <c r="ET93" s="2" t="s">
        <v>7143</v>
      </c>
      <c r="EV93" s="2" t="s">
        <v>7143</v>
      </c>
      <c r="EX93" s="2" t="s">
        <v>7143</v>
      </c>
      <c r="EZ93" s="2" t="s">
        <v>7143</v>
      </c>
      <c r="FC93" s="2" t="s">
        <v>7218</v>
      </c>
      <c r="FD93" s="2" t="s">
        <v>7143</v>
      </c>
      <c r="FH93" s="2" t="s">
        <v>7173</v>
      </c>
      <c r="FJ93" s="2" t="s">
        <v>7143</v>
      </c>
      <c r="FK93" s="2" t="s">
        <v>7173</v>
      </c>
      <c r="FR93" s="2" t="s">
        <v>545</v>
      </c>
      <c r="FT93" s="2" t="s">
        <v>7176</v>
      </c>
      <c r="FU93" s="2" t="s">
        <v>7176</v>
      </c>
      <c r="FV93" s="2" t="s">
        <v>7176</v>
      </c>
      <c r="FW93" s="2" t="s">
        <v>7176</v>
      </c>
      <c r="FZ93" s="19" t="s">
        <v>7549</v>
      </c>
    </row>
    <row r="94" spans="1:182">
      <c r="A94" s="7" t="s">
        <v>936</v>
      </c>
      <c r="D94" s="7" t="s">
        <v>7550</v>
      </c>
      <c r="E94" s="7" t="s">
        <v>937</v>
      </c>
      <c r="F94" s="7" t="s">
        <v>7311</v>
      </c>
      <c r="G94" s="7" t="s">
        <v>7466</v>
      </c>
      <c r="H94" s="7" t="s">
        <v>822</v>
      </c>
      <c r="I94" s="7" t="s">
        <v>938</v>
      </c>
      <c r="J94" s="16" t="s">
        <v>7551</v>
      </c>
      <c r="K94" s="7" t="s">
        <v>939</v>
      </c>
      <c r="L94" s="7" t="s">
        <v>7137</v>
      </c>
      <c r="M94" s="7" t="s">
        <v>7179</v>
      </c>
      <c r="N94" s="7">
        <v>2000</v>
      </c>
      <c r="O94" s="7" t="s">
        <v>7139</v>
      </c>
      <c r="P94" s="7" t="s">
        <v>7181</v>
      </c>
      <c r="Q94" s="7" t="s">
        <v>7182</v>
      </c>
      <c r="R94" s="7" t="s">
        <v>7143</v>
      </c>
      <c r="S94" s="7">
        <v>18</v>
      </c>
      <c r="T94" s="7" t="s">
        <v>7143</v>
      </c>
      <c r="U94" s="7" t="s">
        <v>7143</v>
      </c>
      <c r="Y94" s="2">
        <v>345</v>
      </c>
      <c r="Z94" s="17">
        <v>0.98550000000000004</v>
      </c>
      <c r="AA94" s="2">
        <v>340</v>
      </c>
      <c r="AB94" s="2">
        <v>340</v>
      </c>
      <c r="AC94" s="7">
        <v>340</v>
      </c>
      <c r="AD94" s="2">
        <v>390</v>
      </c>
      <c r="AE94" s="2">
        <v>50</v>
      </c>
      <c r="AF94" s="2" t="s">
        <v>7142</v>
      </c>
      <c r="AG94" s="2" t="s">
        <v>7142</v>
      </c>
      <c r="AH94" s="2" t="s">
        <v>7143</v>
      </c>
      <c r="AJ94" s="2" t="s">
        <v>7143</v>
      </c>
      <c r="AK94" s="2" t="s">
        <v>7143</v>
      </c>
      <c r="AL94" s="2" t="s">
        <v>7143</v>
      </c>
      <c r="AM94" s="2" t="s">
        <v>7142</v>
      </c>
      <c r="AN94" s="2" t="s">
        <v>7143</v>
      </c>
      <c r="AO94" s="2" t="s">
        <v>7143</v>
      </c>
      <c r="AR94" s="7">
        <v>0.9</v>
      </c>
      <c r="AS94" s="7">
        <v>2</v>
      </c>
      <c r="AT94" s="7">
        <v>4</v>
      </c>
      <c r="AU94" s="2" t="s">
        <v>7193</v>
      </c>
      <c r="AV94" s="2" t="s">
        <v>7193</v>
      </c>
      <c r="AW94" s="2" t="s">
        <v>7143</v>
      </c>
      <c r="BC94" s="2" t="s">
        <v>7147</v>
      </c>
      <c r="BD94" s="2" t="s">
        <v>7143</v>
      </c>
      <c r="BE94" s="2" t="s">
        <v>7143</v>
      </c>
      <c r="BL94" s="2" t="s">
        <v>7195</v>
      </c>
      <c r="BO94" s="2" t="s">
        <v>7155</v>
      </c>
      <c r="BQ94" s="2" t="s">
        <v>7183</v>
      </c>
      <c r="BS94" s="2" t="s">
        <v>7142</v>
      </c>
      <c r="BT94" s="2" t="s">
        <v>7215</v>
      </c>
      <c r="BV94" s="2" t="s">
        <v>7352</v>
      </c>
      <c r="BX94" s="2" t="s">
        <v>7143</v>
      </c>
      <c r="BY94" s="2" t="s">
        <v>940</v>
      </c>
      <c r="BZ94" s="2" t="s">
        <v>7159</v>
      </c>
      <c r="CE94" s="7">
        <v>4</v>
      </c>
      <c r="CF94" s="2">
        <v>390</v>
      </c>
      <c r="CK94" s="2">
        <v>100</v>
      </c>
      <c r="CR94" s="2" t="s">
        <v>7160</v>
      </c>
      <c r="CT94" s="2" t="s">
        <v>7143</v>
      </c>
      <c r="CU94" s="2" t="s">
        <v>7161</v>
      </c>
      <c r="CW94" s="2" t="s">
        <v>7162</v>
      </c>
      <c r="CY94" s="2" t="s">
        <v>7250</v>
      </c>
      <c r="CZ94" s="2" t="s">
        <v>7250</v>
      </c>
      <c r="DA94" s="2" t="s">
        <v>7250</v>
      </c>
      <c r="DB94" s="2" t="s">
        <v>7250</v>
      </c>
      <c r="DC94" s="2" t="s">
        <v>7250</v>
      </c>
      <c r="DD94" s="2" t="s">
        <v>7250</v>
      </c>
      <c r="DE94" s="2" t="s">
        <v>7250</v>
      </c>
      <c r="DF94" s="2" t="s">
        <v>7250</v>
      </c>
      <c r="DG94" s="2" t="s">
        <v>7250</v>
      </c>
      <c r="DH94" s="2" t="s">
        <v>7250</v>
      </c>
      <c r="DI94" s="2" t="s">
        <v>7250</v>
      </c>
      <c r="DL94" s="2" t="s">
        <v>7143</v>
      </c>
      <c r="DM94" s="2" t="s">
        <v>7143</v>
      </c>
      <c r="DP94" s="2" t="s">
        <v>7159</v>
      </c>
      <c r="DT94" s="2" t="s">
        <v>7159</v>
      </c>
      <c r="DU94" s="2" t="s">
        <v>7159</v>
      </c>
      <c r="DV94" s="2" t="s">
        <v>7159</v>
      </c>
      <c r="DW94" s="2" t="s">
        <v>7159</v>
      </c>
      <c r="DX94" s="2" t="s">
        <v>7159</v>
      </c>
      <c r="DY94" s="2" t="s">
        <v>7159</v>
      </c>
      <c r="DZ94" s="2" t="s">
        <v>7159</v>
      </c>
      <c r="EA94" s="2" t="s">
        <v>7159</v>
      </c>
      <c r="EB94" s="2" t="s">
        <v>7159</v>
      </c>
      <c r="EC94" s="2" t="s">
        <v>7159</v>
      </c>
      <c r="ED94" s="2" t="s">
        <v>7159</v>
      </c>
      <c r="EF94" s="2" t="s">
        <v>7252</v>
      </c>
      <c r="EG94" s="2" t="s">
        <v>941</v>
      </c>
      <c r="EJ94" s="2" t="s">
        <v>7193</v>
      </c>
      <c r="EK94" s="2" t="s">
        <v>7143</v>
      </c>
      <c r="EL94" s="2" t="s">
        <v>7143</v>
      </c>
      <c r="EN94" s="2" t="s">
        <v>7210</v>
      </c>
      <c r="EP94" s="2" t="s">
        <v>7186</v>
      </c>
      <c r="ER94" s="2" t="s">
        <v>7143</v>
      </c>
      <c r="ET94" s="2" t="s">
        <v>7143</v>
      </c>
      <c r="EV94" s="2" t="s">
        <v>7143</v>
      </c>
      <c r="EX94" s="2" t="s">
        <v>7143</v>
      </c>
      <c r="EZ94" s="2" t="s">
        <v>7143</v>
      </c>
      <c r="FC94" s="2" t="s">
        <v>7172</v>
      </c>
      <c r="FD94" s="2" t="s">
        <v>7143</v>
      </c>
      <c r="FH94" s="2" t="s">
        <v>7173</v>
      </c>
      <c r="FJ94" s="2" t="s">
        <v>7143</v>
      </c>
      <c r="FK94" s="2" t="s">
        <v>7173</v>
      </c>
      <c r="FR94" s="2" t="s">
        <v>203</v>
      </c>
      <c r="FT94" s="2" t="s">
        <v>7189</v>
      </c>
      <c r="FU94" s="2" t="s">
        <v>7189</v>
      </c>
      <c r="FV94" s="2" t="s">
        <v>7189</v>
      </c>
      <c r="FW94" s="2" t="s">
        <v>7189</v>
      </c>
      <c r="FX94" s="2" t="s">
        <v>7189</v>
      </c>
      <c r="FY94" s="2" t="s">
        <v>942</v>
      </c>
      <c r="FZ94" s="19" t="s">
        <v>7552</v>
      </c>
    </row>
    <row r="95" spans="1:182">
      <c r="A95" s="7" t="s">
        <v>943</v>
      </c>
      <c r="D95" s="7" t="s">
        <v>7553</v>
      </c>
      <c r="E95" s="7" t="s">
        <v>177</v>
      </c>
      <c r="F95" s="7" t="s">
        <v>7134</v>
      </c>
      <c r="G95" s="7" t="s">
        <v>7488</v>
      </c>
      <c r="H95" s="7" t="s">
        <v>849</v>
      </c>
      <c r="I95" s="7" t="s">
        <v>944</v>
      </c>
      <c r="J95" s="16" t="s">
        <v>7554</v>
      </c>
      <c r="K95" s="7" t="s">
        <v>944</v>
      </c>
      <c r="L95" s="2" t="s">
        <v>7224</v>
      </c>
      <c r="M95" s="7" t="s">
        <v>7138</v>
      </c>
      <c r="N95" s="7">
        <v>1988</v>
      </c>
      <c r="O95" s="7" t="s">
        <v>7139</v>
      </c>
      <c r="P95" s="2" t="s">
        <v>7140</v>
      </c>
      <c r="Q95" s="2" t="s">
        <v>7395</v>
      </c>
      <c r="R95" s="2" t="s">
        <v>7143</v>
      </c>
      <c r="S95" s="2">
        <v>19</v>
      </c>
      <c r="T95" s="2" t="s">
        <v>7143</v>
      </c>
      <c r="U95" s="2" t="s">
        <v>7143</v>
      </c>
      <c r="Y95" s="2">
        <v>53</v>
      </c>
      <c r="Z95" s="17">
        <v>0.90569999999999995</v>
      </c>
      <c r="AA95" s="2">
        <v>48</v>
      </c>
      <c r="AB95" s="2">
        <v>48</v>
      </c>
      <c r="AC95" s="7">
        <v>48</v>
      </c>
      <c r="AD95" s="2">
        <v>50</v>
      </c>
      <c r="AE95" s="2">
        <v>2</v>
      </c>
      <c r="AF95" s="2" t="s">
        <v>7142</v>
      </c>
      <c r="AG95" s="2" t="s">
        <v>7143</v>
      </c>
      <c r="AH95" s="2" t="s">
        <v>7143</v>
      </c>
      <c r="AJ95" s="2" t="s">
        <v>7143</v>
      </c>
      <c r="AK95" s="2" t="s">
        <v>7143</v>
      </c>
      <c r="AL95" s="2" t="s">
        <v>7143</v>
      </c>
      <c r="AM95" s="2" t="s">
        <v>7142</v>
      </c>
      <c r="AN95" s="2" t="s">
        <v>7143</v>
      </c>
      <c r="AO95" s="2" t="s">
        <v>7143</v>
      </c>
      <c r="AR95" s="7">
        <v>0.2</v>
      </c>
      <c r="AS95" s="7">
        <v>1</v>
      </c>
      <c r="AT95" s="7">
        <v>0.5</v>
      </c>
      <c r="AU95" s="2" t="s">
        <v>7217</v>
      </c>
      <c r="AV95" s="2" t="s">
        <v>7217</v>
      </c>
      <c r="AW95" s="2" t="s">
        <v>7143</v>
      </c>
      <c r="BL95" s="2" t="s">
        <v>7195</v>
      </c>
      <c r="BO95" s="2" t="s">
        <v>7155</v>
      </c>
      <c r="BQ95" s="2" t="s">
        <v>7156</v>
      </c>
      <c r="BS95" s="2" t="s">
        <v>7143</v>
      </c>
      <c r="BT95" s="2" t="s">
        <v>7215</v>
      </c>
      <c r="BV95" s="2" t="s">
        <v>7330</v>
      </c>
      <c r="BX95" s="2" t="s">
        <v>7143</v>
      </c>
      <c r="BZ95" s="2" t="s">
        <v>7159</v>
      </c>
      <c r="CE95" s="7">
        <v>0.5</v>
      </c>
      <c r="CF95" s="2">
        <v>50</v>
      </c>
      <c r="CK95" s="2">
        <v>100</v>
      </c>
      <c r="CO95" s="2">
        <v>100</v>
      </c>
      <c r="CR95" s="2" t="s">
        <v>7160</v>
      </c>
      <c r="CT95" s="2" t="s">
        <v>7143</v>
      </c>
      <c r="CU95" s="2" t="s">
        <v>7161</v>
      </c>
      <c r="CW95" s="2" t="s">
        <v>7162</v>
      </c>
      <c r="CY95" s="2" t="s">
        <v>7164</v>
      </c>
      <c r="CZ95" s="2" t="s">
        <v>7164</v>
      </c>
      <c r="DL95" s="2" t="s">
        <v>7143</v>
      </c>
      <c r="DM95" s="2" t="s">
        <v>7143</v>
      </c>
      <c r="DP95" s="2" t="s">
        <v>7159</v>
      </c>
      <c r="DT95" s="2" t="s">
        <v>7159</v>
      </c>
      <c r="DU95" s="2" t="s">
        <v>7159</v>
      </c>
      <c r="DV95" s="2" t="s">
        <v>7159</v>
      </c>
      <c r="DW95" s="2" t="s">
        <v>7159</v>
      </c>
      <c r="DX95" s="2" t="s">
        <v>7159</v>
      </c>
      <c r="DY95" s="2" t="s">
        <v>7159</v>
      </c>
      <c r="DZ95" s="2" t="s">
        <v>7159</v>
      </c>
      <c r="EA95" s="2" t="s">
        <v>7159</v>
      </c>
      <c r="EB95" s="2" t="s">
        <v>7159</v>
      </c>
      <c r="EJ95" s="2" t="s">
        <v>7217</v>
      </c>
      <c r="EK95" s="2" t="s">
        <v>7143</v>
      </c>
      <c r="EL95" s="2" t="s">
        <v>7143</v>
      </c>
      <c r="ER95" s="2" t="s">
        <v>7143</v>
      </c>
      <c r="ET95" s="2" t="s">
        <v>7143</v>
      </c>
      <c r="EV95" s="2" t="s">
        <v>7143</v>
      </c>
      <c r="EX95" s="2" t="s">
        <v>7143</v>
      </c>
      <c r="FC95" s="2" t="s">
        <v>7218</v>
      </c>
      <c r="FD95" s="2" t="s">
        <v>7143</v>
      </c>
      <c r="FH95" s="2" t="s">
        <v>7173</v>
      </c>
      <c r="FJ95" s="2" t="s">
        <v>7142</v>
      </c>
      <c r="FK95" s="2" t="s">
        <v>7173</v>
      </c>
      <c r="FT95" s="2" t="s">
        <v>7189</v>
      </c>
      <c r="FV95" s="2" t="s">
        <v>7189</v>
      </c>
      <c r="FZ95" s="19" t="s">
        <v>7555</v>
      </c>
    </row>
    <row r="96" spans="1:182">
      <c r="A96" s="7" t="s">
        <v>945</v>
      </c>
      <c r="D96" s="7" t="s">
        <v>7556</v>
      </c>
      <c r="E96" s="7" t="s">
        <v>946</v>
      </c>
      <c r="F96" s="7" t="s">
        <v>7389</v>
      </c>
      <c r="G96" s="7" t="s">
        <v>7488</v>
      </c>
      <c r="H96" s="2" t="s">
        <v>875</v>
      </c>
      <c r="I96" s="7" t="s">
        <v>947</v>
      </c>
      <c r="J96" s="16" t="s">
        <v>7557</v>
      </c>
      <c r="K96" s="7" t="s">
        <v>947</v>
      </c>
      <c r="L96" s="2" t="s">
        <v>7137</v>
      </c>
      <c r="M96" s="7" t="s">
        <v>7138</v>
      </c>
      <c r="N96" s="7">
        <v>1996</v>
      </c>
      <c r="O96" s="7" t="s">
        <v>7139</v>
      </c>
      <c r="P96" s="7" t="s">
        <v>7140</v>
      </c>
      <c r="Q96" s="2" t="s">
        <v>7141</v>
      </c>
      <c r="R96" s="2" t="s">
        <v>7143</v>
      </c>
      <c r="S96" s="2">
        <v>5</v>
      </c>
      <c r="T96" s="2" t="s">
        <v>7143</v>
      </c>
      <c r="U96" s="2" t="s">
        <v>7143</v>
      </c>
      <c r="Y96" s="2">
        <v>80</v>
      </c>
      <c r="Z96" s="17">
        <v>1</v>
      </c>
      <c r="AA96" s="2">
        <v>80</v>
      </c>
      <c r="AB96" s="2">
        <v>80</v>
      </c>
      <c r="AC96" s="7">
        <v>80</v>
      </c>
      <c r="AD96" s="2">
        <v>120</v>
      </c>
      <c r="AE96" s="2">
        <v>40</v>
      </c>
      <c r="AF96" s="2" t="s">
        <v>7143</v>
      </c>
      <c r="AG96" s="2" t="s">
        <v>7143</v>
      </c>
      <c r="AH96" s="2" t="s">
        <v>7143</v>
      </c>
      <c r="AJ96" s="2" t="s">
        <v>7143</v>
      </c>
      <c r="AK96" s="2" t="s">
        <v>7143</v>
      </c>
      <c r="AL96" s="2" t="s">
        <v>7143</v>
      </c>
      <c r="AM96" s="2" t="s">
        <v>7143</v>
      </c>
      <c r="AN96" s="2" t="s">
        <v>7143</v>
      </c>
      <c r="AO96" s="2" t="s">
        <v>7143</v>
      </c>
      <c r="AR96" s="7">
        <v>1.1000000000000001</v>
      </c>
      <c r="AS96" s="7">
        <v>1</v>
      </c>
      <c r="AT96" s="7">
        <v>1.2</v>
      </c>
      <c r="AU96" s="2" t="s">
        <v>7217</v>
      </c>
      <c r="AV96" s="2" t="s">
        <v>7193</v>
      </c>
      <c r="AW96" s="2" t="s">
        <v>7143</v>
      </c>
      <c r="AZ96" s="2" t="s">
        <v>7337</v>
      </c>
      <c r="BB96" s="2" t="s">
        <v>7214</v>
      </c>
      <c r="BC96" s="2" t="s">
        <v>7208</v>
      </c>
      <c r="BD96" s="2" t="s">
        <v>7143</v>
      </c>
      <c r="BE96" s="2" t="s">
        <v>7142</v>
      </c>
      <c r="BF96" s="2" t="s">
        <v>7148</v>
      </c>
      <c r="BG96" s="2" t="s">
        <v>7232</v>
      </c>
      <c r="BH96" s="2" t="s">
        <v>7150</v>
      </c>
      <c r="BI96" s="2" t="s">
        <v>7151</v>
      </c>
      <c r="BL96" s="2" t="s">
        <v>7152</v>
      </c>
      <c r="BM96" s="2" t="s">
        <v>7355</v>
      </c>
      <c r="BN96" s="2" t="s">
        <v>7154</v>
      </c>
      <c r="BO96" s="2" t="s">
        <v>7274</v>
      </c>
      <c r="BP96" s="2" t="s">
        <v>7558</v>
      </c>
      <c r="BS96" s="2" t="s">
        <v>7142</v>
      </c>
      <c r="BT96" s="2" t="s">
        <v>7362</v>
      </c>
      <c r="BV96" s="2" t="s">
        <v>7184</v>
      </c>
      <c r="BX96" s="2" t="s">
        <v>7143</v>
      </c>
      <c r="BZ96" s="2" t="s">
        <v>7173</v>
      </c>
      <c r="CE96" s="7">
        <v>1.2</v>
      </c>
      <c r="CF96" s="2">
        <v>120</v>
      </c>
      <c r="CK96" s="2">
        <v>100</v>
      </c>
      <c r="CO96" s="2">
        <v>100</v>
      </c>
      <c r="CR96" s="2" t="s">
        <v>7160</v>
      </c>
      <c r="CT96" s="2" t="s">
        <v>7142</v>
      </c>
      <c r="CU96" s="2" t="s">
        <v>7161</v>
      </c>
      <c r="CW96" s="2" t="s">
        <v>7162</v>
      </c>
      <c r="CY96" s="2" t="s">
        <v>7163</v>
      </c>
      <c r="CZ96" s="2" t="s">
        <v>7321</v>
      </c>
      <c r="DA96" s="2" t="s">
        <v>7250</v>
      </c>
      <c r="DB96" s="2" t="s">
        <v>7321</v>
      </c>
      <c r="DC96" s="2" t="s">
        <v>7321</v>
      </c>
      <c r="DD96" s="2" t="s">
        <v>7321</v>
      </c>
      <c r="DE96" s="2" t="s">
        <v>7250</v>
      </c>
      <c r="DF96" s="2" t="s">
        <v>7321</v>
      </c>
      <c r="DG96" s="2" t="s">
        <v>7321</v>
      </c>
      <c r="DH96" s="2" t="s">
        <v>7321</v>
      </c>
      <c r="DI96" s="2" t="s">
        <v>7321</v>
      </c>
      <c r="DL96" s="2" t="s">
        <v>7143</v>
      </c>
      <c r="DM96" s="2" t="s">
        <v>7143</v>
      </c>
      <c r="DP96" s="2" t="s">
        <v>7173</v>
      </c>
      <c r="DT96" s="2" t="s">
        <v>7165</v>
      </c>
      <c r="DU96" s="2" t="s">
        <v>7165</v>
      </c>
      <c r="DV96" s="2" t="s">
        <v>7165</v>
      </c>
      <c r="DW96" s="2" t="s">
        <v>7159</v>
      </c>
      <c r="DX96" s="2" t="s">
        <v>7165</v>
      </c>
      <c r="DY96" s="2" t="s">
        <v>7159</v>
      </c>
      <c r="DZ96" s="2" t="s">
        <v>7159</v>
      </c>
      <c r="EA96" s="2" t="s">
        <v>7159</v>
      </c>
      <c r="EB96" s="2" t="s">
        <v>7159</v>
      </c>
      <c r="EC96" s="2" t="s">
        <v>7173</v>
      </c>
      <c r="EF96" s="2" t="s">
        <v>7221</v>
      </c>
      <c r="EG96" s="2" t="s">
        <v>949</v>
      </c>
      <c r="EJ96" s="2" t="s">
        <v>7144</v>
      </c>
      <c r="EK96" s="2" t="s">
        <v>7143</v>
      </c>
      <c r="EL96" s="2" t="s">
        <v>7143</v>
      </c>
      <c r="EN96" s="2" t="s">
        <v>7210</v>
      </c>
      <c r="EP96" s="2" t="s">
        <v>7186</v>
      </c>
      <c r="ER96" s="2" t="s">
        <v>7143</v>
      </c>
      <c r="ET96" s="2" t="s">
        <v>7143</v>
      </c>
      <c r="EV96" s="2" t="s">
        <v>7143</v>
      </c>
      <c r="EX96" s="2" t="s">
        <v>7143</v>
      </c>
      <c r="EZ96" s="2" t="s">
        <v>7143</v>
      </c>
      <c r="FC96" s="2" t="s">
        <v>7218</v>
      </c>
      <c r="FD96" s="2" t="s">
        <v>7143</v>
      </c>
      <c r="FH96" s="2" t="s">
        <v>7173</v>
      </c>
      <c r="FJ96" s="2" t="s">
        <v>7143</v>
      </c>
      <c r="FK96" s="2" t="s">
        <v>7159</v>
      </c>
      <c r="FN96" s="2" t="s">
        <v>7559</v>
      </c>
      <c r="FR96" s="2" t="s">
        <v>951</v>
      </c>
      <c r="FT96" s="2" t="s">
        <v>7176</v>
      </c>
      <c r="FU96" s="2" t="s">
        <v>7189</v>
      </c>
      <c r="FV96" s="2" t="s">
        <v>7176</v>
      </c>
      <c r="FW96" s="2" t="s">
        <v>7189</v>
      </c>
      <c r="FZ96" s="19" t="s">
        <v>7560</v>
      </c>
    </row>
    <row r="97" spans="1:182">
      <c r="A97" s="7" t="s">
        <v>952</v>
      </c>
      <c r="D97" s="7" t="s">
        <v>7561</v>
      </c>
      <c r="E97" s="7" t="s">
        <v>177</v>
      </c>
      <c r="F97" s="7" t="s">
        <v>7134</v>
      </c>
      <c r="G97" s="7" t="s">
        <v>7488</v>
      </c>
      <c r="H97" s="7" t="s">
        <v>849</v>
      </c>
      <c r="I97" s="7" t="s">
        <v>953</v>
      </c>
      <c r="J97" s="16" t="s">
        <v>7562</v>
      </c>
      <c r="K97" s="7" t="s">
        <v>953</v>
      </c>
      <c r="L97" s="2" t="s">
        <v>7224</v>
      </c>
      <c r="M97" s="7" t="s">
        <v>7138</v>
      </c>
      <c r="N97" s="7">
        <v>1972</v>
      </c>
      <c r="O97" s="7" t="s">
        <v>7490</v>
      </c>
      <c r="P97" s="2" t="s">
        <v>7140</v>
      </c>
      <c r="Q97" s="2" t="s">
        <v>7225</v>
      </c>
      <c r="R97" s="2" t="s">
        <v>7143</v>
      </c>
      <c r="S97" s="2">
        <v>20</v>
      </c>
      <c r="T97" s="2" t="s">
        <v>7143</v>
      </c>
      <c r="U97" s="2" t="s">
        <v>7142</v>
      </c>
      <c r="Y97" s="2">
        <v>45</v>
      </c>
      <c r="Z97" s="17">
        <v>1</v>
      </c>
      <c r="AA97" s="2">
        <v>45</v>
      </c>
      <c r="AB97" s="2">
        <v>45</v>
      </c>
      <c r="AC97" s="7">
        <v>45</v>
      </c>
      <c r="AD97" s="2">
        <v>70</v>
      </c>
      <c r="AE97" s="2">
        <v>25</v>
      </c>
      <c r="AF97" s="2" t="s">
        <v>7142</v>
      </c>
      <c r="AG97" s="2" t="s">
        <v>7143</v>
      </c>
      <c r="AH97" s="2" t="s">
        <v>7143</v>
      </c>
      <c r="AJ97" s="2" t="s">
        <v>7143</v>
      </c>
      <c r="AK97" s="2" t="s">
        <v>7143</v>
      </c>
      <c r="AL97" s="2" t="s">
        <v>7143</v>
      </c>
      <c r="AM97" s="2" t="s">
        <v>7143</v>
      </c>
      <c r="AN97" s="2" t="s">
        <v>7143</v>
      </c>
      <c r="AO97" s="2" t="s">
        <v>7143</v>
      </c>
      <c r="AR97" s="7">
        <v>0.6</v>
      </c>
      <c r="AS97" s="7">
        <v>4</v>
      </c>
      <c r="AT97" s="7">
        <v>0.7</v>
      </c>
      <c r="AU97" s="2" t="s">
        <v>7193</v>
      </c>
      <c r="AV97" s="2" t="s">
        <v>7193</v>
      </c>
      <c r="AW97" s="2" t="s">
        <v>7143</v>
      </c>
      <c r="AZ97" s="2" t="s">
        <v>7145</v>
      </c>
      <c r="BB97" s="2" t="s">
        <v>7214</v>
      </c>
      <c r="BC97" s="2" t="s">
        <v>7147</v>
      </c>
      <c r="BD97" s="2" t="s">
        <v>7142</v>
      </c>
      <c r="BE97" s="2" t="s">
        <v>7142</v>
      </c>
      <c r="BF97" s="2" t="s">
        <v>7148</v>
      </c>
      <c r="BG97" s="2" t="s">
        <v>7149</v>
      </c>
      <c r="BH97" s="2" t="s">
        <v>7150</v>
      </c>
      <c r="BI97" s="2" t="s">
        <v>7151</v>
      </c>
      <c r="BL97" s="2" t="s">
        <v>7195</v>
      </c>
      <c r="BO97" s="2" t="s">
        <v>7155</v>
      </c>
      <c r="BQ97" s="2" t="s">
        <v>7156</v>
      </c>
      <c r="BS97" s="2" t="s">
        <v>7142</v>
      </c>
      <c r="BT97" s="2" t="s">
        <v>7157</v>
      </c>
      <c r="BV97" s="2" t="s">
        <v>7202</v>
      </c>
      <c r="BX97" s="2" t="s">
        <v>7143</v>
      </c>
      <c r="BZ97" s="2" t="s">
        <v>7159</v>
      </c>
      <c r="CE97" s="7">
        <v>0.7</v>
      </c>
      <c r="CF97" s="2">
        <v>70</v>
      </c>
      <c r="CK97" s="2">
        <v>100</v>
      </c>
      <c r="CO97" s="2">
        <v>100</v>
      </c>
      <c r="CR97" s="2" t="s">
        <v>7185</v>
      </c>
      <c r="CT97" s="2" t="s">
        <v>7143</v>
      </c>
      <c r="CU97" s="2" t="s">
        <v>7234</v>
      </c>
      <c r="CY97" s="2" t="s">
        <v>7164</v>
      </c>
      <c r="CZ97" s="2" t="s">
        <v>7164</v>
      </c>
      <c r="DA97" s="2" t="s">
        <v>7164</v>
      </c>
      <c r="DL97" s="2" t="s">
        <v>7143</v>
      </c>
      <c r="DM97" s="2" t="s">
        <v>7143</v>
      </c>
      <c r="DP97" s="2" t="s">
        <v>7159</v>
      </c>
      <c r="DT97" s="2" t="s">
        <v>7159</v>
      </c>
      <c r="DU97" s="2" t="s">
        <v>7159</v>
      </c>
      <c r="DV97" s="2" t="s">
        <v>7159</v>
      </c>
      <c r="DW97" s="2" t="s">
        <v>7159</v>
      </c>
      <c r="DX97" s="2" t="s">
        <v>7159</v>
      </c>
      <c r="DY97" s="2" t="s">
        <v>7159</v>
      </c>
      <c r="DZ97" s="2" t="s">
        <v>7159</v>
      </c>
      <c r="EA97" s="2" t="s">
        <v>7159</v>
      </c>
      <c r="EB97" s="2" t="s">
        <v>7159</v>
      </c>
      <c r="EJ97" s="2" t="s">
        <v>7193</v>
      </c>
      <c r="EK97" s="2" t="s">
        <v>7143</v>
      </c>
      <c r="EL97" s="2" t="s">
        <v>7143</v>
      </c>
      <c r="EN97" s="2" t="s">
        <v>7170</v>
      </c>
      <c r="EP97" s="2" t="s">
        <v>7186</v>
      </c>
      <c r="ER97" s="2" t="s">
        <v>7143</v>
      </c>
      <c r="ET97" s="2" t="s">
        <v>7143</v>
      </c>
      <c r="EV97" s="2" t="s">
        <v>7143</v>
      </c>
      <c r="EX97" s="2" t="s">
        <v>7143</v>
      </c>
      <c r="FC97" s="2" t="s">
        <v>7172</v>
      </c>
      <c r="FD97" s="2" t="s">
        <v>7143</v>
      </c>
      <c r="FH97" s="2" t="s">
        <v>7173</v>
      </c>
      <c r="FJ97" s="2" t="s">
        <v>7143</v>
      </c>
      <c r="FK97" s="2" t="s">
        <v>7173</v>
      </c>
      <c r="FT97" s="2" t="s">
        <v>7176</v>
      </c>
      <c r="FU97" s="2" t="s">
        <v>7189</v>
      </c>
      <c r="FV97" s="2" t="s">
        <v>7176</v>
      </c>
      <c r="FW97" s="2" t="s">
        <v>7189</v>
      </c>
      <c r="FZ97" s="19" t="s">
        <v>7563</v>
      </c>
    </row>
    <row r="98" spans="1:182">
      <c r="A98" s="7" t="s">
        <v>954</v>
      </c>
      <c r="D98" s="7" t="s">
        <v>7564</v>
      </c>
      <c r="E98" s="7" t="s">
        <v>955</v>
      </c>
      <c r="F98" s="7" t="s">
        <v>7339</v>
      </c>
      <c r="G98" s="7" t="s">
        <v>7488</v>
      </c>
      <c r="H98" s="7" t="s">
        <v>875</v>
      </c>
      <c r="I98" s="7" t="s">
        <v>956</v>
      </c>
      <c r="J98" s="16" t="s">
        <v>7565</v>
      </c>
      <c r="K98" s="7" t="s">
        <v>956</v>
      </c>
      <c r="L98" s="2" t="s">
        <v>7137</v>
      </c>
      <c r="M98" s="7" t="s">
        <v>7138</v>
      </c>
      <c r="N98" s="7">
        <v>1990</v>
      </c>
      <c r="O98" s="7" t="s">
        <v>7490</v>
      </c>
      <c r="P98" s="2" t="s">
        <v>7140</v>
      </c>
      <c r="Q98" s="2" t="s">
        <v>7225</v>
      </c>
      <c r="R98" s="2" t="s">
        <v>7143</v>
      </c>
      <c r="S98" s="2">
        <v>8</v>
      </c>
      <c r="T98" s="2" t="s">
        <v>7143</v>
      </c>
      <c r="U98" s="2" t="s">
        <v>7143</v>
      </c>
      <c r="Y98" s="2">
        <v>127</v>
      </c>
      <c r="Z98" s="17">
        <v>0.56689999999999996</v>
      </c>
      <c r="AA98" s="2">
        <v>72</v>
      </c>
      <c r="AB98" s="2">
        <v>72</v>
      </c>
      <c r="AC98" s="7">
        <v>72</v>
      </c>
      <c r="AD98" s="2">
        <v>90</v>
      </c>
      <c r="AE98" s="2">
        <v>18</v>
      </c>
      <c r="AF98" s="2" t="s">
        <v>7143</v>
      </c>
      <c r="AG98" s="2" t="s">
        <v>7143</v>
      </c>
      <c r="AH98" s="2" t="s">
        <v>7143</v>
      </c>
      <c r="AJ98" s="2" t="s">
        <v>7143</v>
      </c>
      <c r="AK98" s="2" t="s">
        <v>7143</v>
      </c>
      <c r="AL98" s="2" t="s">
        <v>7143</v>
      </c>
      <c r="AM98" s="2" t="s">
        <v>7142</v>
      </c>
      <c r="AN98" s="2" t="s">
        <v>7143</v>
      </c>
      <c r="AO98" s="2" t="s">
        <v>7142</v>
      </c>
      <c r="AR98" s="7">
        <v>0.3</v>
      </c>
      <c r="AS98" s="7">
        <v>1</v>
      </c>
      <c r="AT98" s="7">
        <v>1</v>
      </c>
      <c r="AU98" s="2" t="s">
        <v>7217</v>
      </c>
      <c r="AV98" s="2" t="s">
        <v>7217</v>
      </c>
      <c r="AW98" s="2" t="s">
        <v>7143</v>
      </c>
      <c r="AZ98" s="2" t="s">
        <v>7566</v>
      </c>
      <c r="BB98" s="2" t="s">
        <v>7214</v>
      </c>
      <c r="BC98" s="2" t="s">
        <v>7247</v>
      </c>
      <c r="BD98" s="2" t="s">
        <v>7142</v>
      </c>
      <c r="BE98" s="2" t="s">
        <v>7142</v>
      </c>
      <c r="BF98" s="2" t="s">
        <v>7148</v>
      </c>
      <c r="BG98" s="2" t="s">
        <v>7149</v>
      </c>
      <c r="BH98" s="2" t="s">
        <v>7233</v>
      </c>
      <c r="BI98" s="2" t="s">
        <v>7567</v>
      </c>
      <c r="BL98" s="2" t="s">
        <v>7195</v>
      </c>
      <c r="BO98" s="2" t="s">
        <v>7155</v>
      </c>
      <c r="BQ98" s="2" t="s">
        <v>7256</v>
      </c>
      <c r="BS98" s="2" t="s">
        <v>7142</v>
      </c>
      <c r="BT98" s="2" t="s">
        <v>7341</v>
      </c>
      <c r="BV98" s="2" t="s">
        <v>7407</v>
      </c>
      <c r="BX98" s="2" t="s">
        <v>7142</v>
      </c>
      <c r="BY98" s="2" t="s">
        <v>959</v>
      </c>
      <c r="BZ98" s="2" t="s">
        <v>7173</v>
      </c>
      <c r="CE98" s="7">
        <v>1</v>
      </c>
      <c r="CF98" s="2">
        <v>90</v>
      </c>
      <c r="CK98" s="2">
        <v>100</v>
      </c>
      <c r="CO98" s="2">
        <v>100</v>
      </c>
      <c r="CR98" s="2" t="s">
        <v>7276</v>
      </c>
      <c r="CT98" s="2" t="s">
        <v>7143</v>
      </c>
      <c r="CU98" s="2" t="s">
        <v>7454</v>
      </c>
      <c r="CW98" s="2" t="s">
        <v>7162</v>
      </c>
      <c r="CY98" s="2" t="s">
        <v>7250</v>
      </c>
      <c r="CZ98" s="2" t="s">
        <v>7250</v>
      </c>
      <c r="DA98" s="2" t="s">
        <v>7250</v>
      </c>
      <c r="DB98" s="2" t="s">
        <v>7250</v>
      </c>
      <c r="DC98" s="2" t="s">
        <v>7321</v>
      </c>
      <c r="DD98" s="2" t="s">
        <v>7250</v>
      </c>
      <c r="DE98" s="2" t="s">
        <v>7250</v>
      </c>
      <c r="DF98" s="2" t="s">
        <v>7163</v>
      </c>
      <c r="DG98" s="2" t="s">
        <v>7321</v>
      </c>
      <c r="DH98" s="2" t="s">
        <v>7321</v>
      </c>
      <c r="DI98" s="2" t="s">
        <v>7321</v>
      </c>
      <c r="DL98" s="2" t="s">
        <v>7142</v>
      </c>
      <c r="DM98" s="2" t="s">
        <v>7142</v>
      </c>
      <c r="DN98" s="2" t="s">
        <v>7142</v>
      </c>
      <c r="DO98" s="2" t="s">
        <v>7142</v>
      </c>
      <c r="DP98" s="2" t="s">
        <v>7165</v>
      </c>
      <c r="DQ98" s="2" t="s">
        <v>7166</v>
      </c>
      <c r="DT98" s="2" t="s">
        <v>7159</v>
      </c>
      <c r="DU98" s="2" t="s">
        <v>7159</v>
      </c>
      <c r="DV98" s="2" t="s">
        <v>7159</v>
      </c>
      <c r="DW98" s="2" t="s">
        <v>7159</v>
      </c>
      <c r="DX98" s="2" t="s">
        <v>7159</v>
      </c>
      <c r="DY98" s="2" t="s">
        <v>7159</v>
      </c>
      <c r="DZ98" s="2" t="s">
        <v>7159</v>
      </c>
      <c r="EA98" s="2" t="s">
        <v>7159</v>
      </c>
      <c r="EB98" s="2" t="s">
        <v>7159</v>
      </c>
      <c r="EC98" s="2" t="s">
        <v>7159</v>
      </c>
      <c r="EF98" s="2" t="s">
        <v>7349</v>
      </c>
      <c r="EG98" s="2" t="s">
        <v>960</v>
      </c>
      <c r="EJ98" s="2" t="s">
        <v>7193</v>
      </c>
      <c r="EK98" s="2" t="s">
        <v>7143</v>
      </c>
      <c r="EL98" s="2" t="s">
        <v>7143</v>
      </c>
      <c r="EN98" s="2" t="s">
        <v>7170</v>
      </c>
      <c r="EP98" s="2" t="s">
        <v>7186</v>
      </c>
      <c r="ER98" s="2" t="s">
        <v>7143</v>
      </c>
      <c r="ET98" s="2" t="s">
        <v>7143</v>
      </c>
      <c r="EV98" s="2" t="s">
        <v>7143</v>
      </c>
      <c r="EX98" s="2" t="s">
        <v>7143</v>
      </c>
      <c r="EZ98" s="2" t="s">
        <v>7143</v>
      </c>
      <c r="FC98" s="2" t="s">
        <v>7218</v>
      </c>
      <c r="FD98" s="2" t="s">
        <v>7143</v>
      </c>
      <c r="FH98" s="2" t="s">
        <v>7173</v>
      </c>
      <c r="FJ98" s="2" t="s">
        <v>7143</v>
      </c>
      <c r="FK98" s="2" t="s">
        <v>7173</v>
      </c>
      <c r="FN98" s="2" t="s">
        <v>7344</v>
      </c>
      <c r="FR98" s="2" t="s">
        <v>961</v>
      </c>
      <c r="FT98" s="2" t="s">
        <v>7189</v>
      </c>
      <c r="FU98" s="2" t="s">
        <v>7189</v>
      </c>
      <c r="FV98" s="2" t="s">
        <v>7189</v>
      </c>
      <c r="FW98" s="2" t="s">
        <v>7189</v>
      </c>
      <c r="FX98" s="2" t="s">
        <v>7189</v>
      </c>
      <c r="FZ98" s="19" t="s">
        <v>7568</v>
      </c>
    </row>
    <row r="99" spans="1:182">
      <c r="A99" s="7" t="s">
        <v>962</v>
      </c>
      <c r="D99" s="7" t="s">
        <v>7569</v>
      </c>
      <c r="E99" s="7" t="s">
        <v>963</v>
      </c>
      <c r="F99" s="7" t="s">
        <v>7319</v>
      </c>
      <c r="G99" s="7" t="s">
        <v>7466</v>
      </c>
      <c r="H99" s="7" t="s">
        <v>869</v>
      </c>
      <c r="I99" s="7" t="s">
        <v>964</v>
      </c>
      <c r="K99" s="7" t="s">
        <v>965</v>
      </c>
      <c r="L99" s="2" t="s">
        <v>7137</v>
      </c>
      <c r="M99" s="7" t="s">
        <v>7179</v>
      </c>
      <c r="N99" s="7">
        <v>1998</v>
      </c>
      <c r="O99" s="7" t="s">
        <v>7139</v>
      </c>
      <c r="P99" s="7" t="s">
        <v>7181</v>
      </c>
      <c r="Q99" s="7" t="s">
        <v>7225</v>
      </c>
      <c r="R99" s="2" t="s">
        <v>7143</v>
      </c>
      <c r="S99" s="2">
        <v>10</v>
      </c>
      <c r="T99" s="2" t="s">
        <v>7143</v>
      </c>
      <c r="U99" s="2" t="s">
        <v>7143</v>
      </c>
      <c r="Y99" s="2">
        <v>100</v>
      </c>
      <c r="Z99" s="17">
        <v>0.85</v>
      </c>
      <c r="AA99" s="2">
        <v>85</v>
      </c>
      <c r="AB99" s="2">
        <v>85</v>
      </c>
      <c r="AC99" s="7">
        <v>75</v>
      </c>
      <c r="AD99" s="2">
        <v>110</v>
      </c>
      <c r="AE99" s="2">
        <v>35</v>
      </c>
      <c r="AF99" s="2" t="s">
        <v>7142</v>
      </c>
      <c r="AG99" s="2" t="s">
        <v>7143</v>
      </c>
      <c r="AH99" s="2" t="s">
        <v>7143</v>
      </c>
      <c r="AJ99" s="2" t="s">
        <v>7143</v>
      </c>
      <c r="AK99" s="2" t="s">
        <v>7143</v>
      </c>
      <c r="AL99" s="2" t="s">
        <v>7143</v>
      </c>
      <c r="AM99" s="2" t="s">
        <v>7142</v>
      </c>
      <c r="AN99" s="2" t="s">
        <v>7143</v>
      </c>
      <c r="AO99" s="2" t="s">
        <v>7143</v>
      </c>
      <c r="AR99" s="7">
        <v>1</v>
      </c>
      <c r="AS99" s="7">
        <v>1</v>
      </c>
      <c r="AT99" s="7">
        <v>1.1000000000000001</v>
      </c>
      <c r="AU99" s="2" t="s">
        <v>7217</v>
      </c>
      <c r="AV99" s="2" t="s">
        <v>7217</v>
      </c>
      <c r="AW99" s="2" t="s">
        <v>7143</v>
      </c>
      <c r="AZ99" s="2" t="s">
        <v>7286</v>
      </c>
      <c r="BC99" s="2" t="s">
        <v>7208</v>
      </c>
      <c r="BD99" s="2" t="s">
        <v>7143</v>
      </c>
      <c r="BE99" s="2" t="s">
        <v>7143</v>
      </c>
      <c r="BL99" s="2" t="s">
        <v>7195</v>
      </c>
      <c r="BO99" s="2" t="s">
        <v>7155</v>
      </c>
      <c r="BQ99" s="2" t="s">
        <v>7183</v>
      </c>
      <c r="BS99" s="2" t="s">
        <v>7143</v>
      </c>
      <c r="BX99" s="2" t="s">
        <v>7143</v>
      </c>
      <c r="BZ99" s="2" t="s">
        <v>7173</v>
      </c>
      <c r="CE99" s="7">
        <v>1.1000000000000001</v>
      </c>
      <c r="CF99" s="2">
        <v>110</v>
      </c>
      <c r="CK99" s="2">
        <v>100</v>
      </c>
      <c r="CO99" s="2">
        <v>100</v>
      </c>
      <c r="CR99" s="2" t="s">
        <v>7160</v>
      </c>
      <c r="CT99" s="2" t="s">
        <v>7143</v>
      </c>
      <c r="CU99" s="2" t="s">
        <v>7161</v>
      </c>
      <c r="CW99" s="2" t="s">
        <v>7162</v>
      </c>
      <c r="CY99" s="2" t="s">
        <v>7163</v>
      </c>
      <c r="CZ99" s="2" t="s">
        <v>7163</v>
      </c>
      <c r="DA99" s="2" t="s">
        <v>7250</v>
      </c>
      <c r="DB99" s="2" t="s">
        <v>7250</v>
      </c>
      <c r="DC99" s="2" t="s">
        <v>7250</v>
      </c>
      <c r="DD99" s="2" t="s">
        <v>7250</v>
      </c>
      <c r="DE99" s="2" t="s">
        <v>7250</v>
      </c>
      <c r="DF99" s="2" t="s">
        <v>7250</v>
      </c>
      <c r="DG99" s="2" t="s">
        <v>7250</v>
      </c>
      <c r="DH99" s="2" t="s">
        <v>7321</v>
      </c>
      <c r="DI99" s="2" t="s">
        <v>7321</v>
      </c>
      <c r="DL99" s="2" t="s">
        <v>7143</v>
      </c>
      <c r="DM99" s="2" t="s">
        <v>7143</v>
      </c>
      <c r="DP99" s="2" t="s">
        <v>7173</v>
      </c>
      <c r="DT99" s="2" t="s">
        <v>7159</v>
      </c>
      <c r="DU99" s="2" t="s">
        <v>7159</v>
      </c>
      <c r="DV99" s="2" t="s">
        <v>7159</v>
      </c>
      <c r="DW99" s="2" t="s">
        <v>7159</v>
      </c>
      <c r="DX99" s="2" t="s">
        <v>7159</v>
      </c>
      <c r="DY99" s="2" t="s">
        <v>7159</v>
      </c>
      <c r="DZ99" s="2" t="s">
        <v>7159</v>
      </c>
      <c r="EA99" s="2" t="s">
        <v>7159</v>
      </c>
      <c r="EB99" s="2" t="s">
        <v>7159</v>
      </c>
      <c r="EC99" s="2" t="s">
        <v>7159</v>
      </c>
      <c r="EF99" s="2" t="s">
        <v>7349</v>
      </c>
      <c r="EG99" s="2" t="s">
        <v>966</v>
      </c>
      <c r="EJ99" s="2" t="s">
        <v>7217</v>
      </c>
      <c r="EK99" s="2" t="s">
        <v>7143</v>
      </c>
      <c r="EL99" s="2" t="s">
        <v>7143</v>
      </c>
      <c r="EN99" s="2" t="s">
        <v>7210</v>
      </c>
      <c r="EP99" s="2" t="s">
        <v>7186</v>
      </c>
      <c r="ER99" s="2" t="s">
        <v>7143</v>
      </c>
      <c r="ET99" s="2" t="s">
        <v>7143</v>
      </c>
      <c r="EV99" s="2" t="s">
        <v>7143</v>
      </c>
      <c r="EX99" s="2" t="s">
        <v>7143</v>
      </c>
      <c r="EZ99" s="2" t="s">
        <v>7143</v>
      </c>
      <c r="FC99" s="2" t="s">
        <v>7218</v>
      </c>
      <c r="FD99" s="2" t="s">
        <v>7143</v>
      </c>
      <c r="FH99" s="2" t="s">
        <v>7173</v>
      </c>
      <c r="FJ99" s="2" t="s">
        <v>7143</v>
      </c>
      <c r="FK99" s="2" t="s">
        <v>7173</v>
      </c>
      <c r="FR99" s="2" t="s">
        <v>967</v>
      </c>
      <c r="FT99" s="2" t="s">
        <v>7176</v>
      </c>
      <c r="FU99" s="2" t="s">
        <v>7189</v>
      </c>
      <c r="FV99" s="2" t="s">
        <v>7189</v>
      </c>
      <c r="FW99" s="2" t="s">
        <v>7176</v>
      </c>
      <c r="FZ99" s="19" t="s">
        <v>7570</v>
      </c>
    </row>
    <row r="100" spans="1:182">
      <c r="A100" s="7" t="s">
        <v>968</v>
      </c>
      <c r="D100" s="7" t="s">
        <v>7571</v>
      </c>
      <c r="E100" s="7" t="s">
        <v>969</v>
      </c>
      <c r="F100" s="7" t="s">
        <v>7311</v>
      </c>
      <c r="G100" s="7" t="s">
        <v>7466</v>
      </c>
      <c r="H100" s="7" t="s">
        <v>970</v>
      </c>
      <c r="I100" s="7" t="s">
        <v>971</v>
      </c>
      <c r="J100" s="16" t="s">
        <v>7572</v>
      </c>
      <c r="K100" s="7" t="s">
        <v>972</v>
      </c>
      <c r="L100" s="7" t="s">
        <v>7137</v>
      </c>
      <c r="M100" s="7" t="s">
        <v>7138</v>
      </c>
      <c r="N100" s="7">
        <v>2005</v>
      </c>
      <c r="O100" s="7" t="s">
        <v>7139</v>
      </c>
      <c r="P100" s="7" t="s">
        <v>7192</v>
      </c>
      <c r="Q100" s="7" t="s">
        <v>7141</v>
      </c>
      <c r="R100" s="7" t="s">
        <v>7143</v>
      </c>
      <c r="S100" s="7">
        <v>10</v>
      </c>
      <c r="T100" s="7" t="s">
        <v>7143</v>
      </c>
      <c r="U100" s="7" t="s">
        <v>7143</v>
      </c>
      <c r="Y100" s="2">
        <v>340</v>
      </c>
      <c r="Z100" s="17">
        <v>1</v>
      </c>
      <c r="AA100" s="2">
        <v>340</v>
      </c>
      <c r="AB100" s="2">
        <v>340</v>
      </c>
      <c r="AC100" s="7">
        <v>340</v>
      </c>
      <c r="AD100" s="2">
        <v>400</v>
      </c>
      <c r="AE100" s="2">
        <v>60</v>
      </c>
      <c r="AF100" s="2" t="s">
        <v>7143</v>
      </c>
      <c r="AG100" s="2" t="s">
        <v>7143</v>
      </c>
      <c r="AH100" s="2" t="s">
        <v>7143</v>
      </c>
      <c r="AJ100" s="2" t="s">
        <v>7143</v>
      </c>
      <c r="AK100" s="2" t="s">
        <v>7142</v>
      </c>
      <c r="AL100" s="2" t="s">
        <v>7143</v>
      </c>
      <c r="AM100" s="2" t="s">
        <v>7143</v>
      </c>
      <c r="AN100" s="2" t="s">
        <v>7143</v>
      </c>
      <c r="AO100" s="2" t="s">
        <v>7143</v>
      </c>
      <c r="AR100" s="7">
        <v>1.9</v>
      </c>
      <c r="AS100" s="7">
        <v>5</v>
      </c>
      <c r="AT100" s="7">
        <v>4</v>
      </c>
      <c r="AU100" s="7" t="s">
        <v>7193</v>
      </c>
      <c r="AV100" s="7" t="s">
        <v>7193</v>
      </c>
      <c r="AW100" s="7" t="s">
        <v>7143</v>
      </c>
      <c r="AZ100" s="2" t="s">
        <v>7573</v>
      </c>
      <c r="BB100" s="2" t="s">
        <v>7214</v>
      </c>
      <c r="BC100" s="2" t="s">
        <v>7147</v>
      </c>
      <c r="BD100" s="2" t="s">
        <v>7142</v>
      </c>
      <c r="BE100" s="2" t="s">
        <v>7142</v>
      </c>
      <c r="BF100" s="2" t="s">
        <v>7148</v>
      </c>
      <c r="BG100" s="2" t="s">
        <v>7149</v>
      </c>
      <c r="BH100" s="2" t="s">
        <v>7150</v>
      </c>
      <c r="BI100" s="2" t="s">
        <v>7151</v>
      </c>
      <c r="BL100" s="2" t="s">
        <v>7195</v>
      </c>
      <c r="BO100" s="2" t="s">
        <v>7155</v>
      </c>
      <c r="BQ100" s="2" t="s">
        <v>7156</v>
      </c>
      <c r="BS100" s="2" t="s">
        <v>7142</v>
      </c>
      <c r="BT100" s="2" t="s">
        <v>7412</v>
      </c>
      <c r="BV100" s="2" t="s">
        <v>7352</v>
      </c>
      <c r="BX100" s="2" t="s">
        <v>7143</v>
      </c>
      <c r="BY100" s="2" t="s">
        <v>696</v>
      </c>
      <c r="BZ100" s="2" t="s">
        <v>7159</v>
      </c>
      <c r="CE100" s="7">
        <v>4</v>
      </c>
      <c r="CF100" s="2">
        <v>400</v>
      </c>
      <c r="CK100" s="2">
        <v>100</v>
      </c>
      <c r="CP100" s="2">
        <v>100</v>
      </c>
      <c r="CR100" s="2" t="s">
        <v>7160</v>
      </c>
      <c r="CT100" s="2" t="s">
        <v>7143</v>
      </c>
      <c r="CU100" s="2" t="s">
        <v>7161</v>
      </c>
      <c r="CW100" s="2" t="s">
        <v>7162</v>
      </c>
      <c r="CY100" s="2" t="s">
        <v>7250</v>
      </c>
      <c r="CZ100" s="2" t="s">
        <v>7250</v>
      </c>
      <c r="DA100" s="2" t="s">
        <v>7250</v>
      </c>
      <c r="DB100" s="2" t="s">
        <v>7250</v>
      </c>
      <c r="DC100" s="2" t="s">
        <v>7250</v>
      </c>
      <c r="DD100" s="2" t="s">
        <v>7163</v>
      </c>
      <c r="DE100" s="2" t="s">
        <v>7250</v>
      </c>
      <c r="DF100" s="2" t="s">
        <v>7250</v>
      </c>
      <c r="DG100" s="2" t="s">
        <v>7250</v>
      </c>
      <c r="DH100" s="2" t="s">
        <v>7250</v>
      </c>
      <c r="DI100" s="2" t="s">
        <v>7250</v>
      </c>
      <c r="DL100" s="2" t="s">
        <v>7143</v>
      </c>
      <c r="DM100" s="2" t="s">
        <v>7143</v>
      </c>
      <c r="DP100" s="2" t="s">
        <v>7159</v>
      </c>
      <c r="DT100" s="2" t="s">
        <v>7159</v>
      </c>
      <c r="DU100" s="2" t="s">
        <v>7159</v>
      </c>
      <c r="DV100" s="2" t="s">
        <v>7159</v>
      </c>
      <c r="DW100" s="2" t="s">
        <v>7159</v>
      </c>
      <c r="DX100" s="2" t="s">
        <v>7159</v>
      </c>
      <c r="DY100" s="2" t="s">
        <v>7159</v>
      </c>
      <c r="DZ100" s="2" t="s">
        <v>7159</v>
      </c>
      <c r="EA100" s="2" t="s">
        <v>7159</v>
      </c>
      <c r="EB100" s="2" t="s">
        <v>7159</v>
      </c>
      <c r="EC100" s="2" t="s">
        <v>7159</v>
      </c>
      <c r="ED100" s="2" t="s">
        <v>7159</v>
      </c>
      <c r="EE100" s="2" t="s">
        <v>974</v>
      </c>
      <c r="EF100" s="2" t="s">
        <v>7252</v>
      </c>
      <c r="EG100" s="2" t="s">
        <v>975</v>
      </c>
      <c r="EJ100" s="2" t="s">
        <v>7193</v>
      </c>
      <c r="EK100" s="2" t="s">
        <v>7143</v>
      </c>
      <c r="EL100" s="2" t="s">
        <v>7143</v>
      </c>
      <c r="EN100" s="2" t="s">
        <v>7210</v>
      </c>
      <c r="EP100" s="2" t="s">
        <v>7186</v>
      </c>
      <c r="ER100" s="2" t="s">
        <v>7143</v>
      </c>
      <c r="ET100" s="2" t="s">
        <v>7143</v>
      </c>
      <c r="EV100" s="2" t="s">
        <v>7143</v>
      </c>
      <c r="EX100" s="2" t="s">
        <v>7143</v>
      </c>
      <c r="EZ100" s="2" t="s">
        <v>7143</v>
      </c>
      <c r="FC100" s="2" t="s">
        <v>7172</v>
      </c>
      <c r="FD100" s="2" t="s">
        <v>7143</v>
      </c>
      <c r="FH100" s="2" t="s">
        <v>7173</v>
      </c>
      <c r="FJ100" s="2" t="s">
        <v>7143</v>
      </c>
      <c r="FK100" s="2" t="s">
        <v>7159</v>
      </c>
      <c r="FR100" s="2" t="s">
        <v>976</v>
      </c>
      <c r="FT100" s="2" t="s">
        <v>7176</v>
      </c>
      <c r="FU100" s="2" t="s">
        <v>7189</v>
      </c>
      <c r="FV100" s="2" t="s">
        <v>7176</v>
      </c>
      <c r="FW100" s="2" t="s">
        <v>7176</v>
      </c>
      <c r="FX100" s="2" t="s">
        <v>7189</v>
      </c>
      <c r="FY100" s="2" t="s">
        <v>977</v>
      </c>
      <c r="FZ100" s="19" t="s">
        <v>7574</v>
      </c>
    </row>
    <row r="101" spans="1:182">
      <c r="A101" s="7" t="s">
        <v>978</v>
      </c>
      <c r="D101" s="7" t="s">
        <v>7575</v>
      </c>
      <c r="E101" s="7" t="s">
        <v>177</v>
      </c>
      <c r="F101" s="7" t="s">
        <v>7245</v>
      </c>
      <c r="G101" s="7" t="s">
        <v>7466</v>
      </c>
      <c r="H101" s="7" t="s">
        <v>792</v>
      </c>
      <c r="I101" s="7" t="s">
        <v>979</v>
      </c>
      <c r="J101" s="16" t="s">
        <v>7576</v>
      </c>
      <c r="K101" s="7" t="s">
        <v>980</v>
      </c>
      <c r="L101" s="7" t="s">
        <v>7137</v>
      </c>
      <c r="M101" s="7" t="s">
        <v>7179</v>
      </c>
      <c r="N101" s="7">
        <v>1994</v>
      </c>
      <c r="O101" s="7" t="s">
        <v>7139</v>
      </c>
      <c r="P101" s="7" t="s">
        <v>7181</v>
      </c>
      <c r="Q101" s="7" t="s">
        <v>7141</v>
      </c>
      <c r="R101" s="2" t="s">
        <v>7143</v>
      </c>
      <c r="S101" s="7">
        <v>2011</v>
      </c>
      <c r="T101" s="7" t="s">
        <v>7143</v>
      </c>
      <c r="U101" s="7" t="s">
        <v>7143</v>
      </c>
      <c r="Y101" s="2">
        <v>450</v>
      </c>
      <c r="Z101" s="17">
        <v>0.77780000000000005</v>
      </c>
      <c r="AA101" s="2">
        <v>350</v>
      </c>
      <c r="AB101" s="2">
        <v>200</v>
      </c>
      <c r="AC101" s="7">
        <v>90</v>
      </c>
      <c r="AD101" s="2">
        <v>120</v>
      </c>
      <c r="AE101" s="2">
        <v>30</v>
      </c>
      <c r="AF101" s="7" t="s">
        <v>7142</v>
      </c>
      <c r="AG101" s="2" t="s">
        <v>7142</v>
      </c>
      <c r="AH101" s="2" t="s">
        <v>7142</v>
      </c>
      <c r="AI101" s="2" t="s">
        <v>308</v>
      </c>
      <c r="AJ101" s="2" t="s">
        <v>7143</v>
      </c>
      <c r="AK101" s="2" t="s">
        <v>7142</v>
      </c>
      <c r="AL101" s="2" t="s">
        <v>7143</v>
      </c>
      <c r="AM101" s="2" t="s">
        <v>7142</v>
      </c>
      <c r="AN101" s="2" t="s">
        <v>7143</v>
      </c>
      <c r="AO101" s="2" t="s">
        <v>7143</v>
      </c>
      <c r="AR101" s="7">
        <v>0.8</v>
      </c>
      <c r="AS101" s="7">
        <v>4</v>
      </c>
      <c r="AT101" s="7">
        <v>0.9</v>
      </c>
      <c r="AU101" s="2" t="s">
        <v>7193</v>
      </c>
      <c r="AV101" s="7" t="s">
        <v>7217</v>
      </c>
      <c r="AW101" s="7" t="s">
        <v>7143</v>
      </c>
      <c r="AZ101" s="7" t="s">
        <v>7337</v>
      </c>
      <c r="BB101" s="7" t="s">
        <v>7214</v>
      </c>
      <c r="BC101" s="2" t="s">
        <v>7208</v>
      </c>
      <c r="BD101" s="2" t="s">
        <v>7143</v>
      </c>
      <c r="BE101" s="2" t="s">
        <v>7142</v>
      </c>
      <c r="BF101" s="2" t="s">
        <v>7148</v>
      </c>
      <c r="BG101" s="2" t="s">
        <v>7149</v>
      </c>
      <c r="BH101" s="2" t="s">
        <v>7150</v>
      </c>
      <c r="BI101" s="2" t="s">
        <v>7151</v>
      </c>
      <c r="BL101" s="7" t="s">
        <v>7195</v>
      </c>
      <c r="BM101" s="7" t="s">
        <v>7153</v>
      </c>
      <c r="BN101" s="7" t="s">
        <v>7154</v>
      </c>
      <c r="BO101" s="7" t="s">
        <v>7155</v>
      </c>
      <c r="BP101" s="7" t="s">
        <v>7275</v>
      </c>
      <c r="BQ101" s="2" t="s">
        <v>7156</v>
      </c>
      <c r="BS101" s="7" t="s">
        <v>7143</v>
      </c>
      <c r="BT101" s="7" t="s">
        <v>7215</v>
      </c>
      <c r="BV101" s="7" t="s">
        <v>7287</v>
      </c>
      <c r="BX101" s="7" t="s">
        <v>7142</v>
      </c>
      <c r="BY101" s="7" t="s">
        <v>981</v>
      </c>
      <c r="BZ101" s="2" t="s">
        <v>7173</v>
      </c>
      <c r="CE101" s="7">
        <v>0.9</v>
      </c>
      <c r="CK101" s="2">
        <v>100</v>
      </c>
      <c r="CO101" s="2">
        <v>100</v>
      </c>
      <c r="CR101" s="7" t="s">
        <v>7160</v>
      </c>
      <c r="CS101" s="7"/>
      <c r="CT101" s="7" t="s">
        <v>7143</v>
      </c>
      <c r="CU101" s="7" t="s">
        <v>7161</v>
      </c>
      <c r="CV101" s="7"/>
      <c r="CW101" s="7" t="s">
        <v>7162</v>
      </c>
      <c r="CY101" s="7" t="s">
        <v>7163</v>
      </c>
      <c r="CZ101" s="7" t="s">
        <v>7163</v>
      </c>
      <c r="DA101" s="2" t="s">
        <v>7164</v>
      </c>
      <c r="DB101" s="2" t="s">
        <v>7164</v>
      </c>
      <c r="DC101" s="2" t="s">
        <v>7164</v>
      </c>
      <c r="DD101" s="2" t="s">
        <v>7164</v>
      </c>
      <c r="DE101" s="2" t="s">
        <v>7163</v>
      </c>
      <c r="DF101" s="2" t="s">
        <v>7163</v>
      </c>
      <c r="DG101" s="2" t="s">
        <v>7164</v>
      </c>
      <c r="DH101" s="2" t="s">
        <v>7164</v>
      </c>
      <c r="DI101" s="2" t="s">
        <v>7164</v>
      </c>
      <c r="DL101" s="7" t="s">
        <v>7142</v>
      </c>
      <c r="DM101" s="7" t="s">
        <v>7143</v>
      </c>
      <c r="DP101" s="7" t="s">
        <v>7159</v>
      </c>
      <c r="DT101" s="2" t="s">
        <v>7165</v>
      </c>
      <c r="DU101" s="2" t="s">
        <v>7165</v>
      </c>
      <c r="DV101" s="2" t="s">
        <v>7165</v>
      </c>
      <c r="DW101" s="2" t="s">
        <v>7165</v>
      </c>
      <c r="DX101" s="2" t="s">
        <v>7165</v>
      </c>
      <c r="DY101" s="2" t="s">
        <v>7159</v>
      </c>
      <c r="DZ101" s="2" t="s">
        <v>7159</v>
      </c>
      <c r="EA101" s="2" t="s">
        <v>7159</v>
      </c>
      <c r="EB101" s="2" t="s">
        <v>7159</v>
      </c>
      <c r="EF101" s="7" t="s">
        <v>7167</v>
      </c>
      <c r="EJ101" s="7" t="s">
        <v>7217</v>
      </c>
      <c r="EK101" s="7" t="s">
        <v>7142</v>
      </c>
      <c r="EL101" s="7" t="s">
        <v>7143</v>
      </c>
      <c r="EN101" s="7" t="s">
        <v>7170</v>
      </c>
      <c r="EP101" s="7" t="s">
        <v>7186</v>
      </c>
      <c r="ER101" s="2" t="s">
        <v>7142</v>
      </c>
      <c r="ET101" s="2" t="s">
        <v>7143</v>
      </c>
      <c r="EV101" s="2" t="s">
        <v>7143</v>
      </c>
      <c r="EX101" s="2" t="s">
        <v>7143</v>
      </c>
      <c r="FC101" s="7" t="s">
        <v>7218</v>
      </c>
      <c r="FD101" s="7" t="s">
        <v>7143</v>
      </c>
      <c r="FH101" s="7" t="s">
        <v>7173</v>
      </c>
      <c r="FJ101" s="7" t="s">
        <v>7142</v>
      </c>
      <c r="FK101" s="7" t="s">
        <v>7159</v>
      </c>
      <c r="FN101" s="2" t="s">
        <v>7253</v>
      </c>
      <c r="FT101" s="2" t="s">
        <v>7176</v>
      </c>
      <c r="FU101" s="2" t="s">
        <v>7189</v>
      </c>
      <c r="FV101" s="2" t="s">
        <v>7176</v>
      </c>
      <c r="FW101" s="2" t="s">
        <v>7189</v>
      </c>
      <c r="FZ101" s="19" t="s">
        <v>7577</v>
      </c>
    </row>
    <row r="102" spans="1:182">
      <c r="A102" s="7" t="s">
        <v>982</v>
      </c>
      <c r="D102" s="7" t="s">
        <v>7578</v>
      </c>
      <c r="E102" s="7" t="s">
        <v>983</v>
      </c>
      <c r="F102" s="7" t="s">
        <v>7389</v>
      </c>
      <c r="G102" s="7" t="s">
        <v>7488</v>
      </c>
      <c r="H102" s="2" t="s">
        <v>875</v>
      </c>
      <c r="I102" s="7" t="s">
        <v>984</v>
      </c>
      <c r="J102" s="2" t="s">
        <v>985</v>
      </c>
      <c r="K102" s="7" t="s">
        <v>984</v>
      </c>
      <c r="L102" s="2" t="s">
        <v>7137</v>
      </c>
      <c r="M102" s="7" t="s">
        <v>7138</v>
      </c>
      <c r="N102" s="7">
        <v>1969</v>
      </c>
      <c r="O102" s="7" t="s">
        <v>7139</v>
      </c>
      <c r="P102" s="2" t="s">
        <v>7140</v>
      </c>
      <c r="Q102" s="2" t="s">
        <v>7579</v>
      </c>
      <c r="R102" s="2" t="s">
        <v>7143</v>
      </c>
      <c r="S102" s="2">
        <v>29</v>
      </c>
      <c r="T102" s="2" t="s">
        <v>7143</v>
      </c>
      <c r="U102" s="2" t="s">
        <v>7143</v>
      </c>
      <c r="Y102" s="2">
        <v>37</v>
      </c>
      <c r="Z102" s="17">
        <v>1</v>
      </c>
      <c r="AA102" s="2">
        <v>37</v>
      </c>
      <c r="AB102" s="2">
        <v>37</v>
      </c>
      <c r="AC102" s="7">
        <v>37</v>
      </c>
      <c r="AD102" s="2">
        <v>45</v>
      </c>
      <c r="AE102" s="2">
        <v>8</v>
      </c>
      <c r="AF102" s="2" t="s">
        <v>7143</v>
      </c>
      <c r="AG102" s="2" t="s">
        <v>7143</v>
      </c>
      <c r="AH102" s="2" t="s">
        <v>7143</v>
      </c>
      <c r="AJ102" s="2" t="s">
        <v>7143</v>
      </c>
      <c r="AK102" s="2" t="s">
        <v>7143</v>
      </c>
      <c r="AL102" s="2" t="s">
        <v>7143</v>
      </c>
      <c r="AM102" s="2" t="s">
        <v>7143</v>
      </c>
      <c r="AN102" s="2" t="s">
        <v>7143</v>
      </c>
      <c r="AO102" s="2" t="s">
        <v>7143</v>
      </c>
      <c r="AR102" s="7">
        <v>0.25</v>
      </c>
      <c r="AS102" s="7">
        <v>1</v>
      </c>
      <c r="AT102" s="7">
        <v>0.4</v>
      </c>
      <c r="AU102" s="2" t="s">
        <v>7217</v>
      </c>
      <c r="AV102" s="2" t="s">
        <v>7193</v>
      </c>
      <c r="AW102" s="2" t="s">
        <v>7143</v>
      </c>
      <c r="AZ102" s="2" t="s">
        <v>7286</v>
      </c>
      <c r="BB102" s="2" t="s">
        <v>7268</v>
      </c>
      <c r="BC102" s="2" t="s">
        <v>7147</v>
      </c>
      <c r="BD102" s="2" t="s">
        <v>7143</v>
      </c>
      <c r="BE102" s="2" t="s">
        <v>7143</v>
      </c>
      <c r="BL102" s="2" t="s">
        <v>7195</v>
      </c>
      <c r="BO102" s="2" t="s">
        <v>7274</v>
      </c>
      <c r="BP102" s="2" t="s">
        <v>7275</v>
      </c>
      <c r="BS102" s="2" t="s">
        <v>7143</v>
      </c>
      <c r="BT102" s="2" t="s">
        <v>7580</v>
      </c>
      <c r="BV102" s="2" t="s">
        <v>7581</v>
      </c>
      <c r="BX102" s="2" t="s">
        <v>7143</v>
      </c>
      <c r="BZ102" s="2" t="s">
        <v>7159</v>
      </c>
      <c r="CE102" s="7">
        <v>0.4</v>
      </c>
      <c r="CF102" s="2">
        <v>44</v>
      </c>
      <c r="CK102" s="2">
        <v>100</v>
      </c>
      <c r="CO102" s="2">
        <v>100</v>
      </c>
      <c r="CR102" s="2" t="s">
        <v>7160</v>
      </c>
      <c r="CT102" s="2" t="s">
        <v>7143</v>
      </c>
      <c r="CU102" s="2" t="s">
        <v>7161</v>
      </c>
      <c r="CW102" s="2" t="s">
        <v>7162</v>
      </c>
      <c r="CY102" s="2" t="s">
        <v>7358</v>
      </c>
      <c r="CZ102" s="2" t="s">
        <v>7582</v>
      </c>
      <c r="DA102" s="2" t="s">
        <v>7250</v>
      </c>
      <c r="DB102" s="2" t="s">
        <v>7250</v>
      </c>
      <c r="DC102" s="2" t="s">
        <v>7582</v>
      </c>
      <c r="DD102" s="2" t="s">
        <v>7582</v>
      </c>
      <c r="DE102" s="2" t="s">
        <v>7250</v>
      </c>
      <c r="DF102" s="2" t="s">
        <v>7250</v>
      </c>
      <c r="DG102" s="2" t="s">
        <v>7582</v>
      </c>
      <c r="DH102" s="2" t="s">
        <v>7582</v>
      </c>
      <c r="DI102" s="2" t="s">
        <v>7582</v>
      </c>
      <c r="DL102" s="2" t="s">
        <v>7143</v>
      </c>
      <c r="DM102" s="2" t="s">
        <v>7143</v>
      </c>
      <c r="DP102" s="2" t="s">
        <v>7159</v>
      </c>
      <c r="DT102" s="2" t="s">
        <v>7159</v>
      </c>
      <c r="DU102" s="2" t="s">
        <v>7159</v>
      </c>
      <c r="DV102" s="2" t="s">
        <v>7159</v>
      </c>
      <c r="DW102" s="2" t="s">
        <v>7159</v>
      </c>
      <c r="DX102" s="2" t="s">
        <v>7159</v>
      </c>
      <c r="DY102" s="2" t="s">
        <v>7159</v>
      </c>
      <c r="DZ102" s="2" t="s">
        <v>7159</v>
      </c>
      <c r="EA102" s="2" t="s">
        <v>7159</v>
      </c>
      <c r="EB102" s="2" t="s">
        <v>7159</v>
      </c>
      <c r="EC102" s="2" t="s">
        <v>7159</v>
      </c>
      <c r="EF102" s="2" t="s">
        <v>7252</v>
      </c>
      <c r="EG102" s="2" t="s">
        <v>989</v>
      </c>
      <c r="EJ102" s="2" t="s">
        <v>7217</v>
      </c>
      <c r="EK102" s="2" t="s">
        <v>7143</v>
      </c>
      <c r="EL102" s="2" t="s">
        <v>7143</v>
      </c>
      <c r="EN102" s="2" t="s">
        <v>7210</v>
      </c>
      <c r="EP102" s="2" t="s">
        <v>7186</v>
      </c>
      <c r="ER102" s="2" t="s">
        <v>7143</v>
      </c>
      <c r="ET102" s="2" t="s">
        <v>7143</v>
      </c>
      <c r="EV102" s="2" t="s">
        <v>7143</v>
      </c>
      <c r="EX102" s="2" t="s">
        <v>7143</v>
      </c>
      <c r="EZ102" s="2" t="s">
        <v>7143</v>
      </c>
      <c r="FC102" s="2" t="s">
        <v>7218</v>
      </c>
      <c r="FD102" s="2" t="s">
        <v>7143</v>
      </c>
      <c r="FH102" s="2" t="s">
        <v>7173</v>
      </c>
      <c r="FJ102" s="2" t="s">
        <v>7143</v>
      </c>
      <c r="FK102" s="2" t="s">
        <v>7159</v>
      </c>
      <c r="FN102" s="2" t="s">
        <v>7583</v>
      </c>
      <c r="FR102" s="2" t="s">
        <v>991</v>
      </c>
      <c r="FT102" s="2" t="s">
        <v>7189</v>
      </c>
      <c r="FU102" s="2" t="s">
        <v>7189</v>
      </c>
      <c r="FV102" s="2" t="s">
        <v>7176</v>
      </c>
      <c r="FW102" s="2" t="s">
        <v>7189</v>
      </c>
      <c r="FZ102" s="19" t="s">
        <v>7584</v>
      </c>
    </row>
    <row r="103" spans="1:182">
      <c r="A103" s="7" t="s">
        <v>992</v>
      </c>
      <c r="D103" s="7" t="s">
        <v>7585</v>
      </c>
      <c r="E103" s="7" t="s">
        <v>993</v>
      </c>
      <c r="F103" s="7" t="s">
        <v>7319</v>
      </c>
      <c r="G103" s="7" t="s">
        <v>7466</v>
      </c>
      <c r="H103" s="7" t="s">
        <v>792</v>
      </c>
      <c r="I103" s="7" t="s">
        <v>994</v>
      </c>
      <c r="J103" s="19" t="s">
        <v>7586</v>
      </c>
      <c r="K103" s="7" t="s">
        <v>994</v>
      </c>
      <c r="L103" s="2" t="s">
        <v>7137</v>
      </c>
      <c r="M103" s="7" t="s">
        <v>7138</v>
      </c>
      <c r="N103" s="7">
        <v>1989</v>
      </c>
      <c r="O103" s="2" t="s">
        <v>7139</v>
      </c>
      <c r="P103" s="2" t="s">
        <v>7140</v>
      </c>
      <c r="Q103" s="2" t="s">
        <v>7225</v>
      </c>
      <c r="R103" s="2" t="s">
        <v>7143</v>
      </c>
      <c r="S103" s="2">
        <v>12</v>
      </c>
      <c r="T103" s="2" t="s">
        <v>7143</v>
      </c>
      <c r="U103" s="2" t="s">
        <v>7143</v>
      </c>
      <c r="Y103" s="2">
        <v>140</v>
      </c>
      <c r="Z103" s="17">
        <v>0.78569999999999995</v>
      </c>
      <c r="AA103" s="2">
        <v>110</v>
      </c>
      <c r="AB103" s="2">
        <v>75</v>
      </c>
      <c r="AC103" s="7">
        <v>65</v>
      </c>
      <c r="AD103" s="2">
        <v>100</v>
      </c>
      <c r="AE103" s="2">
        <v>35</v>
      </c>
      <c r="AF103" s="2" t="s">
        <v>7142</v>
      </c>
      <c r="AG103" s="2" t="s">
        <v>7143</v>
      </c>
      <c r="AH103" s="2" t="s">
        <v>7143</v>
      </c>
      <c r="AJ103" s="2" t="s">
        <v>7143</v>
      </c>
      <c r="AK103" s="2" t="s">
        <v>7142</v>
      </c>
      <c r="AL103" s="2" t="s">
        <v>7143</v>
      </c>
      <c r="AM103" s="2" t="s">
        <v>7142</v>
      </c>
      <c r="AN103" s="2" t="s">
        <v>7143</v>
      </c>
      <c r="AO103" s="2" t="s">
        <v>7143</v>
      </c>
      <c r="AR103" s="7">
        <v>0.7</v>
      </c>
      <c r="AS103" s="7">
        <v>2</v>
      </c>
      <c r="AT103" s="7">
        <v>1</v>
      </c>
      <c r="AU103" s="2" t="s">
        <v>7193</v>
      </c>
      <c r="AV103" s="2" t="s">
        <v>7217</v>
      </c>
      <c r="AW103" s="2" t="s">
        <v>7143</v>
      </c>
      <c r="AZ103" s="2" t="s">
        <v>7145</v>
      </c>
      <c r="BB103" s="2" t="s">
        <v>7268</v>
      </c>
      <c r="BC103" s="2" t="s">
        <v>7247</v>
      </c>
      <c r="BD103" s="2" t="s">
        <v>7142</v>
      </c>
      <c r="BE103" s="2" t="s">
        <v>7142</v>
      </c>
      <c r="BF103" s="2" t="s">
        <v>7148</v>
      </c>
      <c r="BG103" s="2" t="s">
        <v>7149</v>
      </c>
      <c r="BH103" s="2" t="s">
        <v>7233</v>
      </c>
      <c r="BI103" s="2" t="s">
        <v>7269</v>
      </c>
      <c r="BL103" s="2" t="s">
        <v>7195</v>
      </c>
      <c r="BO103" s="2" t="s">
        <v>7155</v>
      </c>
      <c r="BQ103" s="2" t="s">
        <v>7156</v>
      </c>
      <c r="BS103" s="2" t="s">
        <v>7142</v>
      </c>
      <c r="BT103" s="2" t="s">
        <v>7238</v>
      </c>
      <c r="BU103" s="2" t="s">
        <v>544</v>
      </c>
      <c r="BV103" s="2" t="s">
        <v>7202</v>
      </c>
      <c r="BX103" s="2" t="s">
        <v>7143</v>
      </c>
      <c r="BZ103" s="2" t="s">
        <v>7173</v>
      </c>
      <c r="CE103" s="7">
        <v>1</v>
      </c>
      <c r="CF103" s="2">
        <v>100</v>
      </c>
      <c r="CK103" s="2">
        <v>100</v>
      </c>
      <c r="CO103" s="2">
        <v>100</v>
      </c>
      <c r="CR103" s="2" t="s">
        <v>7276</v>
      </c>
      <c r="CT103" s="2" t="s">
        <v>7143</v>
      </c>
      <c r="CU103" s="2" t="s">
        <v>7161</v>
      </c>
      <c r="CW103" s="2" t="s">
        <v>7162</v>
      </c>
      <c r="CY103" s="2" t="s">
        <v>7163</v>
      </c>
      <c r="CZ103" s="2" t="s">
        <v>7163</v>
      </c>
      <c r="DA103" s="2" t="s">
        <v>7250</v>
      </c>
      <c r="DB103" s="2" t="s">
        <v>7250</v>
      </c>
      <c r="DC103" s="2" t="s">
        <v>7250</v>
      </c>
      <c r="DD103" s="2" t="s">
        <v>7250</v>
      </c>
      <c r="DE103" s="2" t="s">
        <v>7250</v>
      </c>
      <c r="DF103" s="2" t="s">
        <v>7250</v>
      </c>
      <c r="DG103" s="2" t="s">
        <v>7250</v>
      </c>
      <c r="DH103" s="2" t="s">
        <v>7250</v>
      </c>
      <c r="DI103" s="2" t="s">
        <v>7250</v>
      </c>
      <c r="DL103" s="2" t="s">
        <v>7143</v>
      </c>
      <c r="DM103" s="2" t="s">
        <v>7143</v>
      </c>
      <c r="DP103" s="2" t="s">
        <v>7173</v>
      </c>
      <c r="DT103" s="2" t="s">
        <v>7159</v>
      </c>
      <c r="DU103" s="2" t="s">
        <v>7159</v>
      </c>
      <c r="DV103" s="2" t="s">
        <v>7159</v>
      </c>
      <c r="DW103" s="2" t="s">
        <v>7159</v>
      </c>
      <c r="DX103" s="2" t="s">
        <v>7159</v>
      </c>
      <c r="DY103" s="2" t="s">
        <v>7159</v>
      </c>
      <c r="DZ103" s="2" t="s">
        <v>7159</v>
      </c>
      <c r="EA103" s="2" t="s">
        <v>7159</v>
      </c>
      <c r="EB103" s="2" t="s">
        <v>7159</v>
      </c>
      <c r="EC103" s="2" t="s">
        <v>7159</v>
      </c>
      <c r="EF103" s="2" t="s">
        <v>7252</v>
      </c>
      <c r="EG103" s="2" t="s">
        <v>431</v>
      </c>
      <c r="EJ103" s="2" t="s">
        <v>7217</v>
      </c>
      <c r="EK103" s="2" t="s">
        <v>7143</v>
      </c>
      <c r="EL103" s="2" t="s">
        <v>7143</v>
      </c>
      <c r="EN103" s="2" t="s">
        <v>7210</v>
      </c>
      <c r="EP103" s="2" t="s">
        <v>7186</v>
      </c>
      <c r="ER103" s="2" t="s">
        <v>7143</v>
      </c>
      <c r="ET103" s="2" t="s">
        <v>7143</v>
      </c>
      <c r="EV103" s="2" t="s">
        <v>7143</v>
      </c>
      <c r="EX103" s="2" t="s">
        <v>7143</v>
      </c>
      <c r="EZ103" s="2" t="s">
        <v>7143</v>
      </c>
      <c r="FC103" s="2" t="s">
        <v>7218</v>
      </c>
      <c r="FD103" s="2" t="s">
        <v>7143</v>
      </c>
      <c r="FH103" s="2" t="s">
        <v>7173</v>
      </c>
      <c r="FJ103" s="2" t="s">
        <v>7143</v>
      </c>
      <c r="FK103" s="2" t="s">
        <v>7159</v>
      </c>
      <c r="FR103" s="2" t="s">
        <v>995</v>
      </c>
      <c r="FT103" s="2" t="s">
        <v>7176</v>
      </c>
      <c r="FU103" s="2" t="s">
        <v>7189</v>
      </c>
      <c r="FV103" s="2" t="s">
        <v>7189</v>
      </c>
      <c r="FW103" s="2" t="s">
        <v>7189</v>
      </c>
      <c r="FZ103" s="19" t="s">
        <v>7587</v>
      </c>
    </row>
    <row r="104" spans="1:182">
      <c r="A104" s="7" t="s">
        <v>996</v>
      </c>
      <c r="D104" s="7" t="s">
        <v>7588</v>
      </c>
      <c r="E104" s="7" t="s">
        <v>997</v>
      </c>
      <c r="F104" s="7" t="s">
        <v>7339</v>
      </c>
      <c r="G104" s="7" t="s">
        <v>7488</v>
      </c>
      <c r="H104" s="7" t="s">
        <v>998</v>
      </c>
      <c r="I104" s="7" t="s">
        <v>999</v>
      </c>
      <c r="J104" s="16" t="s">
        <v>7589</v>
      </c>
      <c r="K104" s="7" t="s">
        <v>999</v>
      </c>
      <c r="L104" s="2" t="s">
        <v>7137</v>
      </c>
      <c r="M104" s="7" t="s">
        <v>7138</v>
      </c>
      <c r="N104" s="7">
        <v>1993</v>
      </c>
      <c r="O104" s="7" t="s">
        <v>7490</v>
      </c>
      <c r="P104" s="7" t="s">
        <v>7140</v>
      </c>
      <c r="Q104" s="2" t="s">
        <v>7141</v>
      </c>
      <c r="R104" s="2" t="s">
        <v>7143</v>
      </c>
      <c r="S104" s="2">
        <v>9</v>
      </c>
      <c r="T104" s="2" t="s">
        <v>7143</v>
      </c>
      <c r="U104" s="2" t="s">
        <v>7143</v>
      </c>
      <c r="Y104" s="2">
        <v>257</v>
      </c>
      <c r="Z104" s="17">
        <v>0.88329999999999997</v>
      </c>
      <c r="AA104" s="2">
        <v>227</v>
      </c>
      <c r="AB104" s="2">
        <v>227</v>
      </c>
      <c r="AC104" s="7">
        <v>227</v>
      </c>
      <c r="AD104" s="2">
        <v>277</v>
      </c>
      <c r="AE104" s="2">
        <v>50</v>
      </c>
      <c r="AF104" s="2" t="s">
        <v>7143</v>
      </c>
      <c r="AG104" s="2" t="s">
        <v>7143</v>
      </c>
      <c r="AH104" s="2" t="s">
        <v>7143</v>
      </c>
      <c r="AJ104" s="2" t="s">
        <v>7143</v>
      </c>
      <c r="AK104" s="2" t="s">
        <v>7142</v>
      </c>
      <c r="AL104" s="2" t="s">
        <v>7143</v>
      </c>
      <c r="AM104" s="2" t="s">
        <v>7142</v>
      </c>
      <c r="AN104" s="2" t="s">
        <v>7143</v>
      </c>
      <c r="AO104" s="2" t="s">
        <v>7143</v>
      </c>
      <c r="AR104" s="7">
        <v>0.75</v>
      </c>
      <c r="AS104" s="7">
        <v>2</v>
      </c>
      <c r="AT104" s="7">
        <v>2.8</v>
      </c>
      <c r="AU104" s="2" t="s">
        <v>7193</v>
      </c>
      <c r="AV104" s="2" t="s">
        <v>7193</v>
      </c>
      <c r="AW104" s="2" t="s">
        <v>7143</v>
      </c>
      <c r="AZ104" s="2" t="s">
        <v>7145</v>
      </c>
      <c r="BB104" s="2" t="s">
        <v>7214</v>
      </c>
      <c r="BC104" s="2" t="s">
        <v>7247</v>
      </c>
      <c r="BD104" s="2" t="s">
        <v>7143</v>
      </c>
      <c r="BE104" s="2" t="s">
        <v>7142</v>
      </c>
      <c r="BF104" s="2" t="s">
        <v>7148</v>
      </c>
      <c r="BG104" s="2" t="s">
        <v>7149</v>
      </c>
      <c r="BH104" s="2" t="s">
        <v>7150</v>
      </c>
      <c r="BI104" s="2" t="s">
        <v>7151</v>
      </c>
      <c r="BL104" s="2" t="s">
        <v>7195</v>
      </c>
      <c r="BO104" s="2" t="s">
        <v>7155</v>
      </c>
      <c r="BQ104" s="2" t="s">
        <v>7183</v>
      </c>
      <c r="BS104" s="2" t="s">
        <v>7142</v>
      </c>
      <c r="BT104" s="2" t="s">
        <v>7341</v>
      </c>
      <c r="BV104" s="2" t="s">
        <v>7342</v>
      </c>
      <c r="BX104" s="2" t="s">
        <v>7142</v>
      </c>
      <c r="BY104" s="2" t="s">
        <v>1000</v>
      </c>
      <c r="BZ104" s="2" t="s">
        <v>7165</v>
      </c>
      <c r="CA104" s="2" t="s">
        <v>1001</v>
      </c>
      <c r="CE104" s="7">
        <v>2.8</v>
      </c>
      <c r="CF104" s="2">
        <v>277</v>
      </c>
      <c r="CK104" s="2">
        <v>100</v>
      </c>
      <c r="CO104" s="2">
        <v>100</v>
      </c>
      <c r="CR104" s="2" t="s">
        <v>7160</v>
      </c>
      <c r="CT104" s="2" t="s">
        <v>7143</v>
      </c>
      <c r="CU104" s="2" t="s">
        <v>7454</v>
      </c>
      <c r="CW104" s="2" t="s">
        <v>7162</v>
      </c>
      <c r="CY104" s="2" t="s">
        <v>7163</v>
      </c>
      <c r="CZ104" s="2" t="s">
        <v>7163</v>
      </c>
      <c r="DA104" s="2" t="s">
        <v>7250</v>
      </c>
      <c r="DB104" s="2" t="s">
        <v>7250</v>
      </c>
      <c r="DC104" s="2" t="s">
        <v>7250</v>
      </c>
      <c r="DD104" s="2" t="s">
        <v>7250</v>
      </c>
      <c r="DE104" s="2" t="s">
        <v>7250</v>
      </c>
      <c r="DF104" s="2" t="s">
        <v>7250</v>
      </c>
      <c r="DG104" s="2" t="s">
        <v>7227</v>
      </c>
      <c r="DH104" s="2" t="s">
        <v>7227</v>
      </c>
      <c r="DI104" s="2" t="s">
        <v>7250</v>
      </c>
      <c r="DL104" s="2" t="s">
        <v>7142</v>
      </c>
      <c r="DM104" s="2" t="s">
        <v>7142</v>
      </c>
      <c r="DN104" s="2" t="s">
        <v>7142</v>
      </c>
      <c r="DO104" s="2" t="s">
        <v>7142</v>
      </c>
      <c r="DP104" s="2" t="s">
        <v>7165</v>
      </c>
      <c r="DQ104" s="2" t="s">
        <v>7166</v>
      </c>
      <c r="DT104" s="2" t="s">
        <v>7165</v>
      </c>
      <c r="DU104" s="2" t="s">
        <v>7165</v>
      </c>
      <c r="DV104" s="2" t="s">
        <v>7165</v>
      </c>
      <c r="DW104" s="2" t="s">
        <v>7165</v>
      </c>
      <c r="DX104" s="2" t="s">
        <v>7165</v>
      </c>
      <c r="DY104" s="2" t="s">
        <v>7165</v>
      </c>
      <c r="DZ104" s="2" t="s">
        <v>7159</v>
      </c>
      <c r="EA104" s="2" t="s">
        <v>7165</v>
      </c>
      <c r="EB104" s="2" t="s">
        <v>7165</v>
      </c>
      <c r="EC104" s="2" t="s">
        <v>7159</v>
      </c>
      <c r="ED104" s="2" t="s">
        <v>7159</v>
      </c>
      <c r="EF104" s="2" t="s">
        <v>7252</v>
      </c>
      <c r="EG104" s="2" t="s">
        <v>1002</v>
      </c>
      <c r="EJ104" s="2" t="s">
        <v>7217</v>
      </c>
      <c r="EK104" s="2" t="s">
        <v>7143</v>
      </c>
      <c r="EL104" s="2" t="s">
        <v>7143</v>
      </c>
      <c r="EN104" s="2" t="s">
        <v>7170</v>
      </c>
      <c r="EP104" s="2" t="s">
        <v>7186</v>
      </c>
      <c r="ER104" s="2" t="s">
        <v>7143</v>
      </c>
      <c r="ET104" s="2" t="s">
        <v>7143</v>
      </c>
      <c r="EV104" s="2" t="s">
        <v>7143</v>
      </c>
      <c r="EX104" s="2" t="s">
        <v>7143</v>
      </c>
      <c r="EZ104" s="2" t="s">
        <v>7143</v>
      </c>
      <c r="FC104" s="2" t="s">
        <v>7309</v>
      </c>
      <c r="FD104" s="2" t="s">
        <v>7143</v>
      </c>
      <c r="FH104" s="2" t="s">
        <v>7173</v>
      </c>
      <c r="FJ104" s="2" t="s">
        <v>7143</v>
      </c>
      <c r="FK104" s="2" t="s">
        <v>7173</v>
      </c>
      <c r="FN104" s="2" t="s">
        <v>7344</v>
      </c>
      <c r="FR104" s="2" t="s">
        <v>1003</v>
      </c>
      <c r="FT104" s="2" t="s">
        <v>7189</v>
      </c>
      <c r="FU104" s="2" t="s">
        <v>7189</v>
      </c>
      <c r="FV104" s="2" t="s">
        <v>7189</v>
      </c>
      <c r="FW104" s="2" t="s">
        <v>7189</v>
      </c>
      <c r="FZ104" s="19" t="s">
        <v>7590</v>
      </c>
    </row>
    <row r="105" spans="1:182">
      <c r="A105" s="7" t="s">
        <v>1004</v>
      </c>
      <c r="D105" s="7" t="s">
        <v>7591</v>
      </c>
      <c r="E105" s="7" t="s">
        <v>1005</v>
      </c>
      <c r="F105" s="7" t="s">
        <v>7311</v>
      </c>
      <c r="G105" s="7" t="s">
        <v>7466</v>
      </c>
      <c r="H105" s="7" t="s">
        <v>970</v>
      </c>
      <c r="I105" s="7" t="s">
        <v>1006</v>
      </c>
      <c r="J105" s="19" t="s">
        <v>7592</v>
      </c>
      <c r="K105" s="7" t="s">
        <v>1006</v>
      </c>
      <c r="L105" s="7" t="s">
        <v>7224</v>
      </c>
      <c r="M105" s="7" t="s">
        <v>7138</v>
      </c>
      <c r="N105" s="7">
        <v>1978</v>
      </c>
      <c r="O105" s="7" t="s">
        <v>7139</v>
      </c>
      <c r="P105" s="7" t="s">
        <v>7140</v>
      </c>
      <c r="Q105" s="7" t="s">
        <v>7225</v>
      </c>
      <c r="R105" s="7" t="s">
        <v>7143</v>
      </c>
      <c r="S105" s="7">
        <v>10</v>
      </c>
      <c r="T105" s="7" t="s">
        <v>7143</v>
      </c>
      <c r="U105" s="7" t="s">
        <v>7143</v>
      </c>
      <c r="Y105" s="2">
        <v>225</v>
      </c>
      <c r="Z105" s="17">
        <v>0.82220000000000004</v>
      </c>
      <c r="AA105" s="2">
        <v>185</v>
      </c>
      <c r="AB105" s="2">
        <v>185</v>
      </c>
      <c r="AC105" s="7">
        <v>185</v>
      </c>
      <c r="AD105" s="2">
        <v>205</v>
      </c>
      <c r="AE105" s="2">
        <v>20</v>
      </c>
      <c r="AF105" s="2" t="s">
        <v>7143</v>
      </c>
      <c r="AG105" s="2" t="s">
        <v>7143</v>
      </c>
      <c r="AH105" s="2" t="s">
        <v>7143</v>
      </c>
      <c r="AJ105" s="2" t="s">
        <v>7143</v>
      </c>
      <c r="AK105" s="2" t="s">
        <v>7142</v>
      </c>
      <c r="AL105" s="2" t="s">
        <v>7143</v>
      </c>
      <c r="AM105" s="2" t="s">
        <v>7142</v>
      </c>
      <c r="AN105" s="2" t="s">
        <v>7143</v>
      </c>
      <c r="AO105" s="2" t="s">
        <v>7143</v>
      </c>
      <c r="AR105" s="7">
        <v>0.7</v>
      </c>
      <c r="AS105" s="7">
        <v>2</v>
      </c>
      <c r="AT105" s="7">
        <v>1</v>
      </c>
      <c r="AU105" s="2" t="s">
        <v>7193</v>
      </c>
      <c r="AV105" s="2" t="s">
        <v>7193</v>
      </c>
      <c r="AW105" s="2" t="s">
        <v>7143</v>
      </c>
      <c r="AZ105" s="2" t="s">
        <v>7145</v>
      </c>
      <c r="BB105" s="2" t="s">
        <v>7214</v>
      </c>
      <c r="BC105" s="2" t="s">
        <v>7247</v>
      </c>
      <c r="BD105" s="2" t="s">
        <v>7142</v>
      </c>
      <c r="BE105" s="2" t="s">
        <v>7142</v>
      </c>
      <c r="BF105" s="2" t="s">
        <v>7148</v>
      </c>
      <c r="BG105" s="2" t="s">
        <v>7149</v>
      </c>
      <c r="BH105" s="2" t="s">
        <v>7233</v>
      </c>
      <c r="BI105" s="2" t="s">
        <v>7151</v>
      </c>
      <c r="BL105" s="2" t="s">
        <v>7195</v>
      </c>
      <c r="BO105" s="2" t="s">
        <v>7274</v>
      </c>
      <c r="BP105" s="2" t="s">
        <v>7275</v>
      </c>
      <c r="BS105" s="2" t="s">
        <v>7142</v>
      </c>
      <c r="BT105" s="2" t="s">
        <v>7157</v>
      </c>
      <c r="BV105" s="2" t="s">
        <v>7202</v>
      </c>
      <c r="BX105" s="2" t="s">
        <v>7142</v>
      </c>
      <c r="BY105" s="2" t="s">
        <v>1007</v>
      </c>
      <c r="BZ105" s="2" t="s">
        <v>7173</v>
      </c>
      <c r="CE105" s="7">
        <v>1</v>
      </c>
      <c r="CF105" s="2">
        <v>205</v>
      </c>
      <c r="CK105" s="2">
        <v>100</v>
      </c>
      <c r="CP105" s="2">
        <v>100</v>
      </c>
      <c r="CR105" s="2" t="s">
        <v>7160</v>
      </c>
      <c r="CT105" s="2" t="s">
        <v>7143</v>
      </c>
      <c r="CU105" s="2" t="s">
        <v>7161</v>
      </c>
      <c r="CW105" s="2" t="s">
        <v>7162</v>
      </c>
      <c r="CY105" s="2" t="s">
        <v>7250</v>
      </c>
      <c r="CZ105" s="2" t="s">
        <v>7250</v>
      </c>
      <c r="DA105" s="2" t="s">
        <v>7250</v>
      </c>
      <c r="DB105" s="2" t="s">
        <v>7250</v>
      </c>
      <c r="DC105" s="2" t="s">
        <v>7250</v>
      </c>
      <c r="DD105" s="2" t="s">
        <v>7250</v>
      </c>
      <c r="DE105" s="2" t="s">
        <v>7250</v>
      </c>
      <c r="DF105" s="2" t="s">
        <v>7250</v>
      </c>
      <c r="DG105" s="2" t="s">
        <v>7250</v>
      </c>
      <c r="DH105" s="2" t="s">
        <v>7250</v>
      </c>
      <c r="DI105" s="2" t="s">
        <v>7250</v>
      </c>
      <c r="DL105" s="2" t="s">
        <v>7143</v>
      </c>
      <c r="DM105" s="2" t="s">
        <v>7143</v>
      </c>
      <c r="DP105" s="2" t="s">
        <v>7159</v>
      </c>
      <c r="DT105" s="2" t="s">
        <v>7159</v>
      </c>
      <c r="DU105" s="2" t="s">
        <v>7159</v>
      </c>
      <c r="DV105" s="2" t="s">
        <v>7159</v>
      </c>
      <c r="DW105" s="2" t="s">
        <v>7159</v>
      </c>
      <c r="DX105" s="2" t="s">
        <v>7159</v>
      </c>
      <c r="DY105" s="2" t="s">
        <v>7159</v>
      </c>
      <c r="DZ105" s="2" t="s">
        <v>7159</v>
      </c>
      <c r="EA105" s="2" t="s">
        <v>7159</v>
      </c>
      <c r="EB105" s="2" t="s">
        <v>7159</v>
      </c>
      <c r="EC105" s="2" t="s">
        <v>7159</v>
      </c>
      <c r="ED105" s="2" t="s">
        <v>7159</v>
      </c>
      <c r="EF105" s="2" t="s">
        <v>7252</v>
      </c>
      <c r="EG105" s="2" t="s">
        <v>1008</v>
      </c>
      <c r="EJ105" s="2" t="s">
        <v>7193</v>
      </c>
      <c r="EK105" s="2" t="s">
        <v>7143</v>
      </c>
      <c r="EL105" s="2" t="s">
        <v>7143</v>
      </c>
      <c r="EN105" s="2" t="s">
        <v>7170</v>
      </c>
      <c r="EP105" s="2" t="s">
        <v>7186</v>
      </c>
      <c r="ER105" s="2" t="s">
        <v>7143</v>
      </c>
      <c r="ET105" s="2" t="s">
        <v>7143</v>
      </c>
      <c r="EV105" s="2" t="s">
        <v>7143</v>
      </c>
      <c r="EX105" s="2" t="s">
        <v>7143</v>
      </c>
      <c r="EZ105" s="2" t="s">
        <v>7143</v>
      </c>
      <c r="FC105" s="2" t="s">
        <v>7172</v>
      </c>
      <c r="FD105" s="2" t="s">
        <v>7143</v>
      </c>
      <c r="FH105" s="2" t="s">
        <v>7173</v>
      </c>
      <c r="FJ105" s="2" t="s">
        <v>7143</v>
      </c>
      <c r="FK105" s="2" t="s">
        <v>7173</v>
      </c>
      <c r="FN105" s="2" t="s">
        <v>7243</v>
      </c>
      <c r="FO105" s="2" t="s">
        <v>1009</v>
      </c>
      <c r="FR105" s="2" t="s">
        <v>1010</v>
      </c>
      <c r="FT105" s="2" t="s">
        <v>7176</v>
      </c>
      <c r="FU105" s="2" t="s">
        <v>7189</v>
      </c>
      <c r="FV105" s="2" t="s">
        <v>7176</v>
      </c>
      <c r="FW105" s="2" t="s">
        <v>7176</v>
      </c>
      <c r="FX105" s="2" t="s">
        <v>7176</v>
      </c>
      <c r="FY105" s="2" t="s">
        <v>1011</v>
      </c>
      <c r="FZ105" s="19" t="s">
        <v>7593</v>
      </c>
    </row>
    <row r="106" spans="1:182">
      <c r="A106" s="7" t="s">
        <v>1012</v>
      </c>
      <c r="D106" s="7" t="s">
        <v>7594</v>
      </c>
      <c r="E106" s="7" t="s">
        <v>177</v>
      </c>
      <c r="F106" s="7" t="s">
        <v>7245</v>
      </c>
      <c r="G106" s="7" t="s">
        <v>7466</v>
      </c>
      <c r="H106" s="7" t="s">
        <v>792</v>
      </c>
      <c r="I106" s="7" t="s">
        <v>1013</v>
      </c>
      <c r="J106" s="16" t="s">
        <v>7595</v>
      </c>
      <c r="K106" s="7" t="s">
        <v>1013</v>
      </c>
      <c r="L106" s="7" t="s">
        <v>7224</v>
      </c>
      <c r="M106" s="7" t="s">
        <v>7138</v>
      </c>
      <c r="N106" s="7">
        <v>1999</v>
      </c>
      <c r="O106" s="7" t="s">
        <v>7139</v>
      </c>
      <c r="P106" s="7" t="s">
        <v>7140</v>
      </c>
      <c r="Q106" s="7" t="s">
        <v>7225</v>
      </c>
      <c r="R106" s="7" t="s">
        <v>7143</v>
      </c>
      <c r="S106" s="7">
        <v>2019</v>
      </c>
      <c r="T106" s="7" t="s">
        <v>7143</v>
      </c>
      <c r="U106" s="7" t="s">
        <v>7143</v>
      </c>
      <c r="Y106" s="2">
        <v>340</v>
      </c>
      <c r="Z106" s="17">
        <v>0.91180000000000005</v>
      </c>
      <c r="AA106" s="2">
        <v>310</v>
      </c>
      <c r="AB106" s="2">
        <v>300</v>
      </c>
      <c r="AC106" s="7">
        <v>225</v>
      </c>
      <c r="AD106" s="2">
        <v>250</v>
      </c>
      <c r="AE106" s="2">
        <v>25</v>
      </c>
      <c r="AF106" s="7" t="s">
        <v>7142</v>
      </c>
      <c r="AG106" s="2" t="s">
        <v>7142</v>
      </c>
      <c r="AH106" s="2" t="s">
        <v>7142</v>
      </c>
      <c r="AI106" s="2" t="s">
        <v>346</v>
      </c>
      <c r="AJ106" s="2" t="s">
        <v>7143</v>
      </c>
      <c r="AK106" s="2" t="s">
        <v>7142</v>
      </c>
      <c r="AM106" s="7" t="s">
        <v>7142</v>
      </c>
      <c r="AN106" s="2" t="s">
        <v>7143</v>
      </c>
      <c r="AO106" s="2" t="s">
        <v>7143</v>
      </c>
      <c r="AR106" s="7">
        <v>0.2</v>
      </c>
      <c r="AS106" s="7">
        <v>1</v>
      </c>
      <c r="AT106" s="7">
        <v>0.7</v>
      </c>
      <c r="AU106" s="2" t="s">
        <v>7193</v>
      </c>
      <c r="AV106" s="2" t="s">
        <v>7193</v>
      </c>
      <c r="AW106" s="2" t="s">
        <v>7143</v>
      </c>
      <c r="AZ106" s="7" t="s">
        <v>7145</v>
      </c>
      <c r="BB106" s="7" t="s">
        <v>7214</v>
      </c>
      <c r="BC106" s="7" t="s">
        <v>7208</v>
      </c>
      <c r="BD106" s="2" t="s">
        <v>7143</v>
      </c>
      <c r="BE106" s="2" t="s">
        <v>7142</v>
      </c>
      <c r="BF106" s="2" t="s">
        <v>7148</v>
      </c>
      <c r="BG106" s="7" t="s">
        <v>7149</v>
      </c>
      <c r="BH106" s="7" t="s">
        <v>7150</v>
      </c>
      <c r="BI106" s="7" t="s">
        <v>7151</v>
      </c>
      <c r="BL106" s="7" t="s">
        <v>7195</v>
      </c>
      <c r="BM106" s="7" t="s">
        <v>7355</v>
      </c>
      <c r="BN106" s="7" t="s">
        <v>7154</v>
      </c>
      <c r="BO106" s="7" t="s">
        <v>7155</v>
      </c>
      <c r="BQ106" s="7" t="s">
        <v>7183</v>
      </c>
      <c r="BS106" s="2" t="s">
        <v>7142</v>
      </c>
      <c r="BT106" s="2" t="s">
        <v>7215</v>
      </c>
      <c r="BV106" s="2" t="s">
        <v>7596</v>
      </c>
      <c r="BX106" s="7" t="s">
        <v>7142</v>
      </c>
      <c r="BY106" s="7" t="s">
        <v>326</v>
      </c>
      <c r="BZ106" s="2" t="s">
        <v>7165</v>
      </c>
      <c r="CA106" s="2" t="s">
        <v>1015</v>
      </c>
      <c r="CE106" s="7">
        <v>0.7</v>
      </c>
      <c r="CF106" s="2">
        <v>68</v>
      </c>
      <c r="CK106" s="2">
        <v>100</v>
      </c>
      <c r="CO106" s="2">
        <v>100</v>
      </c>
      <c r="CR106" s="2" t="s">
        <v>7160</v>
      </c>
      <c r="CT106" s="2" t="s">
        <v>7143</v>
      </c>
      <c r="CU106" s="2" t="s">
        <v>7161</v>
      </c>
      <c r="CW106" s="2" t="s">
        <v>7162</v>
      </c>
      <c r="CY106" s="2" t="s">
        <v>7250</v>
      </c>
      <c r="CZ106" s="2" t="s">
        <v>7250</v>
      </c>
      <c r="DA106" s="2" t="s">
        <v>7164</v>
      </c>
      <c r="DB106" s="2" t="s">
        <v>7250</v>
      </c>
      <c r="DC106" s="2" t="s">
        <v>7250</v>
      </c>
      <c r="DD106" s="2" t="s">
        <v>7250</v>
      </c>
      <c r="DE106" s="2" t="s">
        <v>7250</v>
      </c>
      <c r="DF106" s="2" t="s">
        <v>7250</v>
      </c>
      <c r="DG106" s="2" t="s">
        <v>7164</v>
      </c>
      <c r="DH106" s="2" t="s">
        <v>7164</v>
      </c>
      <c r="DI106" s="2" t="s">
        <v>7164</v>
      </c>
      <c r="DL106" s="7" t="s">
        <v>7143</v>
      </c>
      <c r="DM106" s="7" t="s">
        <v>7143</v>
      </c>
      <c r="DP106" s="2" t="s">
        <v>7159</v>
      </c>
      <c r="DT106" s="2" t="s">
        <v>7165</v>
      </c>
      <c r="DU106" s="2" t="s">
        <v>7165</v>
      </c>
      <c r="DV106" s="2" t="s">
        <v>7165</v>
      </c>
      <c r="DW106" s="2" t="s">
        <v>7165</v>
      </c>
      <c r="DX106" s="2" t="s">
        <v>7159</v>
      </c>
      <c r="DY106" s="2" t="s">
        <v>7159</v>
      </c>
      <c r="DZ106" s="2" t="s">
        <v>7159</v>
      </c>
      <c r="EA106" s="2" t="s">
        <v>7165</v>
      </c>
      <c r="EB106" s="2" t="s">
        <v>7159</v>
      </c>
      <c r="EC106" s="2" t="s">
        <v>7159</v>
      </c>
      <c r="ED106" s="2" t="s">
        <v>7159</v>
      </c>
      <c r="EJ106" s="7" t="s">
        <v>7217</v>
      </c>
      <c r="EK106" s="2" t="s">
        <v>7143</v>
      </c>
      <c r="EL106" s="7" t="s">
        <v>7143</v>
      </c>
      <c r="EN106" s="7" t="s">
        <v>7170</v>
      </c>
      <c r="EP106" s="7" t="s">
        <v>7186</v>
      </c>
      <c r="ER106" s="2" t="s">
        <v>7143</v>
      </c>
      <c r="ET106" s="2" t="s">
        <v>7143</v>
      </c>
      <c r="EV106" s="7" t="s">
        <v>7143</v>
      </c>
      <c r="EX106" s="2" t="s">
        <v>7143</v>
      </c>
      <c r="EZ106" s="2" t="s">
        <v>7143</v>
      </c>
      <c r="FC106" s="2" t="s">
        <v>7172</v>
      </c>
      <c r="FD106" s="2" t="s">
        <v>7143</v>
      </c>
      <c r="FH106" s="7" t="s">
        <v>7173</v>
      </c>
      <c r="FJ106" s="7" t="s">
        <v>7142</v>
      </c>
      <c r="FK106" s="2" t="s">
        <v>7159</v>
      </c>
      <c r="FN106" s="7" t="s">
        <v>7344</v>
      </c>
      <c r="FT106" s="2" t="s">
        <v>7189</v>
      </c>
      <c r="FU106" s="2" t="s">
        <v>7189</v>
      </c>
      <c r="FV106" s="2" t="s">
        <v>7189</v>
      </c>
      <c r="FW106" s="2" t="s">
        <v>7189</v>
      </c>
      <c r="FZ106" s="19" t="s">
        <v>7597</v>
      </c>
    </row>
    <row r="107" spans="1:182">
      <c r="A107" s="7" t="s">
        <v>1016</v>
      </c>
      <c r="D107" s="7" t="s">
        <v>7598</v>
      </c>
      <c r="E107" s="7" t="s">
        <v>1017</v>
      </c>
      <c r="F107" s="7" t="s">
        <v>7311</v>
      </c>
      <c r="G107" s="7" t="s">
        <v>7466</v>
      </c>
      <c r="H107" s="7" t="s">
        <v>822</v>
      </c>
      <c r="I107" s="7" t="s">
        <v>1018</v>
      </c>
      <c r="J107" s="16" t="s">
        <v>7599</v>
      </c>
      <c r="K107" s="7" t="s">
        <v>1019</v>
      </c>
      <c r="L107" s="7" t="s">
        <v>7137</v>
      </c>
      <c r="M107" s="2" t="s">
        <v>7179</v>
      </c>
      <c r="N107" s="7">
        <v>1972</v>
      </c>
      <c r="O107" s="7" t="s">
        <v>7139</v>
      </c>
      <c r="P107" s="7" t="s">
        <v>7181</v>
      </c>
      <c r="Q107" s="7" t="s">
        <v>7395</v>
      </c>
      <c r="R107" s="7" t="s">
        <v>7143</v>
      </c>
      <c r="S107" s="7">
        <v>24</v>
      </c>
      <c r="T107" s="7" t="s">
        <v>7143</v>
      </c>
      <c r="U107" s="7" t="s">
        <v>7143</v>
      </c>
      <c r="Y107" s="2">
        <v>365</v>
      </c>
      <c r="Z107" s="17">
        <v>1</v>
      </c>
      <c r="AA107" s="2">
        <v>365</v>
      </c>
      <c r="AB107" s="2">
        <v>365</v>
      </c>
      <c r="AC107" s="7">
        <v>365</v>
      </c>
      <c r="AD107" s="2">
        <v>400</v>
      </c>
      <c r="AE107" s="2">
        <v>35</v>
      </c>
      <c r="AF107" s="2" t="s">
        <v>7143</v>
      </c>
      <c r="AG107" s="2" t="s">
        <v>7143</v>
      </c>
      <c r="AH107" s="2" t="s">
        <v>7143</v>
      </c>
      <c r="AJ107" s="2" t="s">
        <v>7143</v>
      </c>
      <c r="AK107" s="2" t="s">
        <v>7143</v>
      </c>
      <c r="AL107" s="2" t="s">
        <v>7143</v>
      </c>
      <c r="AM107" s="2" t="s">
        <v>7143</v>
      </c>
      <c r="AN107" s="2" t="s">
        <v>7143</v>
      </c>
      <c r="AO107" s="2" t="s">
        <v>7143</v>
      </c>
      <c r="AR107" s="7">
        <v>1.2</v>
      </c>
      <c r="AS107" s="7">
        <v>4</v>
      </c>
      <c r="AT107" s="7">
        <v>4</v>
      </c>
      <c r="AU107" s="2" t="s">
        <v>7193</v>
      </c>
      <c r="AV107" s="2" t="s">
        <v>7193</v>
      </c>
      <c r="AW107" s="2" t="s">
        <v>7143</v>
      </c>
      <c r="BC107" s="2" t="s">
        <v>7147</v>
      </c>
      <c r="BD107" s="2" t="s">
        <v>7142</v>
      </c>
      <c r="BE107" s="2" t="s">
        <v>7143</v>
      </c>
      <c r="BL107" s="2" t="s">
        <v>7195</v>
      </c>
      <c r="BO107" s="2" t="s">
        <v>7274</v>
      </c>
      <c r="BP107" s="2" t="s">
        <v>7275</v>
      </c>
      <c r="BS107" s="2" t="s">
        <v>7142</v>
      </c>
      <c r="BT107" s="2" t="s">
        <v>7215</v>
      </c>
      <c r="BV107" s="2" t="s">
        <v>7202</v>
      </c>
      <c r="BX107" s="2" t="s">
        <v>7143</v>
      </c>
      <c r="BY107" s="2" t="s">
        <v>696</v>
      </c>
      <c r="BZ107" s="2" t="s">
        <v>7173</v>
      </c>
      <c r="CE107" s="7">
        <v>4</v>
      </c>
      <c r="CF107" s="2">
        <v>400</v>
      </c>
      <c r="CK107" s="2">
        <v>100</v>
      </c>
      <c r="CP107" s="2">
        <v>100</v>
      </c>
      <c r="CR107" s="2" t="s">
        <v>7160</v>
      </c>
      <c r="CT107" s="2" t="s">
        <v>7143</v>
      </c>
      <c r="CU107" s="2" t="s">
        <v>7161</v>
      </c>
      <c r="CW107" s="2" t="s">
        <v>7162</v>
      </c>
      <c r="CY107" s="2" t="s">
        <v>7250</v>
      </c>
      <c r="CZ107" s="2" t="s">
        <v>7250</v>
      </c>
      <c r="DA107" s="2" t="s">
        <v>7250</v>
      </c>
      <c r="DB107" s="2" t="s">
        <v>7250</v>
      </c>
      <c r="DC107" s="2" t="s">
        <v>7250</v>
      </c>
      <c r="DD107" s="2" t="s">
        <v>7250</v>
      </c>
      <c r="DE107" s="2" t="s">
        <v>7250</v>
      </c>
      <c r="DF107" s="2" t="s">
        <v>7250</v>
      </c>
      <c r="DG107" s="2" t="s">
        <v>7250</v>
      </c>
      <c r="DH107" s="2" t="s">
        <v>7250</v>
      </c>
      <c r="DI107" s="2" t="s">
        <v>7250</v>
      </c>
      <c r="DL107" s="2" t="s">
        <v>7143</v>
      </c>
      <c r="DM107" s="2" t="s">
        <v>7143</v>
      </c>
      <c r="DP107" s="2" t="s">
        <v>7159</v>
      </c>
      <c r="DT107" s="2" t="s">
        <v>7159</v>
      </c>
      <c r="DU107" s="2" t="s">
        <v>7159</v>
      </c>
      <c r="DV107" s="2" t="s">
        <v>7159</v>
      </c>
      <c r="DW107" s="2" t="s">
        <v>7159</v>
      </c>
      <c r="DX107" s="2" t="s">
        <v>7159</v>
      </c>
      <c r="DY107" s="2" t="s">
        <v>7159</v>
      </c>
      <c r="DZ107" s="2" t="s">
        <v>7159</v>
      </c>
      <c r="EA107" s="2" t="s">
        <v>7159</v>
      </c>
      <c r="EB107" s="2" t="s">
        <v>7159</v>
      </c>
      <c r="EC107" s="2" t="s">
        <v>7159</v>
      </c>
      <c r="ED107" s="2" t="s">
        <v>7159</v>
      </c>
      <c r="EF107" s="2" t="s">
        <v>7252</v>
      </c>
      <c r="EG107" s="2" t="s">
        <v>1020</v>
      </c>
      <c r="EJ107" s="2" t="s">
        <v>7217</v>
      </c>
      <c r="EK107" s="2" t="s">
        <v>7143</v>
      </c>
      <c r="EL107" s="2" t="s">
        <v>7143</v>
      </c>
      <c r="EN107" s="2" t="s">
        <v>7170</v>
      </c>
      <c r="EP107" s="2" t="s">
        <v>7186</v>
      </c>
      <c r="ER107" s="2" t="s">
        <v>7143</v>
      </c>
      <c r="ET107" s="2" t="s">
        <v>7143</v>
      </c>
      <c r="EV107" s="2" t="s">
        <v>7143</v>
      </c>
      <c r="EX107" s="2" t="s">
        <v>7143</v>
      </c>
      <c r="EZ107" s="2" t="s">
        <v>7143</v>
      </c>
      <c r="FC107" s="2" t="s">
        <v>7172</v>
      </c>
      <c r="FD107" s="2" t="s">
        <v>7143</v>
      </c>
      <c r="FH107" s="2" t="s">
        <v>7173</v>
      </c>
      <c r="FJ107" s="2" t="s">
        <v>7143</v>
      </c>
      <c r="FK107" s="2" t="s">
        <v>7159</v>
      </c>
      <c r="FR107" s="2" t="s">
        <v>1021</v>
      </c>
      <c r="FT107" s="2" t="s">
        <v>7189</v>
      </c>
      <c r="FU107" s="2" t="s">
        <v>7189</v>
      </c>
      <c r="FV107" s="2" t="s">
        <v>7189</v>
      </c>
      <c r="FW107" s="2" t="s">
        <v>7189</v>
      </c>
      <c r="FX107" s="2" t="s">
        <v>7189</v>
      </c>
      <c r="FY107" s="2" t="s">
        <v>1022</v>
      </c>
      <c r="FZ107" s="19" t="s">
        <v>7600</v>
      </c>
    </row>
    <row r="108" spans="1:182">
      <c r="A108" s="7" t="s">
        <v>1023</v>
      </c>
      <c r="D108" s="7" t="s">
        <v>7601</v>
      </c>
      <c r="E108" s="7" t="s">
        <v>177</v>
      </c>
      <c r="F108" s="7" t="s">
        <v>7134</v>
      </c>
      <c r="G108" s="7" t="s">
        <v>7488</v>
      </c>
      <c r="H108" s="7" t="s">
        <v>849</v>
      </c>
      <c r="I108" s="7" t="s">
        <v>1024</v>
      </c>
      <c r="J108" s="16" t="s">
        <v>7602</v>
      </c>
      <c r="K108" s="7" t="s">
        <v>1025</v>
      </c>
      <c r="L108" s="2" t="s">
        <v>7137</v>
      </c>
      <c r="M108" s="7" t="s">
        <v>7179</v>
      </c>
      <c r="N108" s="7">
        <v>1999</v>
      </c>
      <c r="O108" s="7" t="s">
        <v>7490</v>
      </c>
      <c r="P108" s="2" t="s">
        <v>7181</v>
      </c>
      <c r="Q108" s="2" t="s">
        <v>7141</v>
      </c>
      <c r="R108" s="2" t="s">
        <v>7143</v>
      </c>
      <c r="S108" s="2">
        <v>9</v>
      </c>
      <c r="T108" s="2" t="s">
        <v>7142</v>
      </c>
      <c r="U108" s="2" t="s">
        <v>7143</v>
      </c>
      <c r="Y108" s="2">
        <v>154</v>
      </c>
      <c r="Z108" s="17">
        <v>1</v>
      </c>
      <c r="AA108" s="2">
        <v>154</v>
      </c>
      <c r="AB108" s="2">
        <v>154</v>
      </c>
      <c r="AC108" s="7">
        <v>154</v>
      </c>
      <c r="AD108" s="2">
        <v>180</v>
      </c>
      <c r="AE108" s="2">
        <v>26</v>
      </c>
      <c r="AF108" s="2" t="s">
        <v>7142</v>
      </c>
      <c r="AG108" s="2" t="s">
        <v>7143</v>
      </c>
      <c r="AH108" s="2" t="s">
        <v>7143</v>
      </c>
      <c r="AJ108" s="2" t="s">
        <v>7143</v>
      </c>
      <c r="AK108" s="2" t="s">
        <v>7143</v>
      </c>
      <c r="AL108" s="2" t="s">
        <v>7143</v>
      </c>
      <c r="AM108" s="2" t="s">
        <v>7143</v>
      </c>
      <c r="AN108" s="2" t="s">
        <v>7143</v>
      </c>
      <c r="AO108" s="2" t="s">
        <v>7143</v>
      </c>
      <c r="AR108" s="7">
        <v>1.04</v>
      </c>
      <c r="AS108" s="7">
        <v>4</v>
      </c>
      <c r="AT108" s="7">
        <v>1.8</v>
      </c>
      <c r="AU108" s="2" t="s">
        <v>7193</v>
      </c>
      <c r="AV108" s="2" t="s">
        <v>7193</v>
      </c>
      <c r="AW108" s="2" t="s">
        <v>7143</v>
      </c>
      <c r="BC108" s="2" t="s">
        <v>7147</v>
      </c>
      <c r="BD108" s="2" t="s">
        <v>7143</v>
      </c>
      <c r="BE108" s="2" t="s">
        <v>7143</v>
      </c>
      <c r="BL108" s="2" t="s">
        <v>7195</v>
      </c>
      <c r="BO108" s="2" t="s">
        <v>7155</v>
      </c>
      <c r="BQ108" s="2" t="s">
        <v>7156</v>
      </c>
      <c r="BS108" s="2" t="s">
        <v>7142</v>
      </c>
      <c r="BT108" s="2" t="s">
        <v>7157</v>
      </c>
      <c r="BV108" s="2" t="s">
        <v>7202</v>
      </c>
      <c r="BX108" s="2" t="s">
        <v>7143</v>
      </c>
      <c r="BZ108" s="2" t="s">
        <v>7159</v>
      </c>
      <c r="CE108" s="7">
        <v>1.8</v>
      </c>
      <c r="CF108" s="2">
        <v>180</v>
      </c>
      <c r="CK108" s="2">
        <v>100</v>
      </c>
      <c r="CO108" s="2">
        <v>100</v>
      </c>
      <c r="CR108" s="2" t="s">
        <v>7160</v>
      </c>
      <c r="CT108" s="2" t="s">
        <v>7143</v>
      </c>
      <c r="CU108" s="2" t="s">
        <v>7234</v>
      </c>
      <c r="CW108" s="2" t="s">
        <v>7162</v>
      </c>
      <c r="CY108" s="2" t="s">
        <v>7164</v>
      </c>
      <c r="CZ108" s="2" t="s">
        <v>7164</v>
      </c>
      <c r="DB108" s="2" t="s">
        <v>7164</v>
      </c>
      <c r="DL108" s="2" t="s">
        <v>7143</v>
      </c>
      <c r="DM108" s="2" t="s">
        <v>7143</v>
      </c>
      <c r="DP108" s="2" t="s">
        <v>7173</v>
      </c>
      <c r="DT108" s="2" t="s">
        <v>7165</v>
      </c>
      <c r="DU108" s="2" t="s">
        <v>7159</v>
      </c>
      <c r="DV108" s="2" t="s">
        <v>7165</v>
      </c>
      <c r="DW108" s="2" t="s">
        <v>7165</v>
      </c>
      <c r="DX108" s="2" t="s">
        <v>7159</v>
      </c>
      <c r="DY108" s="2" t="s">
        <v>7159</v>
      </c>
      <c r="DZ108" s="2" t="s">
        <v>7159</v>
      </c>
      <c r="EA108" s="2" t="s">
        <v>7159</v>
      </c>
      <c r="EB108" s="2" t="s">
        <v>7159</v>
      </c>
      <c r="EJ108" s="2" t="s">
        <v>7193</v>
      </c>
      <c r="EK108" s="2" t="s">
        <v>7143</v>
      </c>
      <c r="EL108" s="2" t="s">
        <v>7143</v>
      </c>
      <c r="EN108" s="2" t="s">
        <v>7210</v>
      </c>
      <c r="EP108" s="2" t="s">
        <v>7186</v>
      </c>
      <c r="ER108" s="2" t="s">
        <v>7143</v>
      </c>
      <c r="ET108" s="2" t="s">
        <v>7143</v>
      </c>
      <c r="EV108" s="2" t="s">
        <v>7143</v>
      </c>
      <c r="EX108" s="2" t="s">
        <v>7143</v>
      </c>
      <c r="EZ108" s="2" t="s">
        <v>7143</v>
      </c>
      <c r="FC108" s="2" t="s">
        <v>7172</v>
      </c>
      <c r="FD108" s="2" t="s">
        <v>7143</v>
      </c>
      <c r="FH108" s="2" t="s">
        <v>7173</v>
      </c>
      <c r="FJ108" s="2" t="s">
        <v>7142</v>
      </c>
      <c r="FK108" s="2" t="s">
        <v>7173</v>
      </c>
      <c r="FT108" s="2" t="s">
        <v>7189</v>
      </c>
      <c r="FU108" s="2" t="s">
        <v>7189</v>
      </c>
      <c r="FV108" s="2" t="s">
        <v>7189</v>
      </c>
      <c r="FW108" s="2" t="s">
        <v>7189</v>
      </c>
      <c r="FZ108" s="19" t="s">
        <v>7603</v>
      </c>
    </row>
    <row r="109" spans="1:182">
      <c r="A109" s="7" t="s">
        <v>1026</v>
      </c>
      <c r="D109" s="7" t="s">
        <v>7604</v>
      </c>
      <c r="E109" s="7" t="s">
        <v>1027</v>
      </c>
      <c r="F109" s="7" t="s">
        <v>7339</v>
      </c>
      <c r="G109" s="7" t="s">
        <v>7488</v>
      </c>
      <c r="H109" s="7" t="s">
        <v>1028</v>
      </c>
      <c r="I109" s="7" t="s">
        <v>1029</v>
      </c>
      <c r="J109" s="16" t="s">
        <v>7605</v>
      </c>
      <c r="K109" s="7" t="s">
        <v>1030</v>
      </c>
      <c r="L109" s="2" t="s">
        <v>7137</v>
      </c>
      <c r="M109" s="7" t="s">
        <v>7138</v>
      </c>
      <c r="N109" s="7">
        <v>1971</v>
      </c>
      <c r="O109" s="7" t="s">
        <v>7180</v>
      </c>
      <c r="P109" s="2" t="s">
        <v>7140</v>
      </c>
      <c r="Q109" s="2" t="s">
        <v>7182</v>
      </c>
      <c r="R109" s="2" t="s">
        <v>7143</v>
      </c>
      <c r="S109" s="2">
        <v>14</v>
      </c>
      <c r="T109" s="2" t="s">
        <v>7143</v>
      </c>
      <c r="U109" s="2" t="s">
        <v>7143</v>
      </c>
      <c r="Y109" s="2">
        <v>482</v>
      </c>
      <c r="Z109" s="17">
        <v>1</v>
      </c>
      <c r="AA109" s="2">
        <v>482</v>
      </c>
      <c r="AB109" s="2">
        <v>482</v>
      </c>
      <c r="AC109" s="7">
        <v>482</v>
      </c>
      <c r="AD109" s="2">
        <v>594</v>
      </c>
      <c r="AE109" s="2">
        <v>112</v>
      </c>
      <c r="AF109" s="2" t="s">
        <v>7143</v>
      </c>
      <c r="AG109" s="2" t="s">
        <v>7143</v>
      </c>
      <c r="AH109" s="2" t="s">
        <v>7143</v>
      </c>
      <c r="AJ109" s="2" t="s">
        <v>7143</v>
      </c>
      <c r="AK109" s="2" t="s">
        <v>7143</v>
      </c>
      <c r="AL109" s="2" t="s">
        <v>7143</v>
      </c>
      <c r="AM109" s="2" t="s">
        <v>7143</v>
      </c>
      <c r="AN109" s="2" t="s">
        <v>7143</v>
      </c>
      <c r="AO109" s="2" t="s">
        <v>7143</v>
      </c>
      <c r="AR109" s="7">
        <v>1.6</v>
      </c>
      <c r="AS109" s="7">
        <v>1</v>
      </c>
      <c r="AT109" s="7">
        <v>6.5</v>
      </c>
      <c r="AU109" s="2" t="s">
        <v>7144</v>
      </c>
      <c r="AV109" s="2" t="s">
        <v>7144</v>
      </c>
      <c r="AW109" s="2" t="s">
        <v>7143</v>
      </c>
      <c r="BC109" s="2" t="s">
        <v>7147</v>
      </c>
      <c r="BD109" s="2" t="s">
        <v>7142</v>
      </c>
      <c r="BE109" s="2" t="s">
        <v>7143</v>
      </c>
      <c r="BL109" s="2" t="s">
        <v>7195</v>
      </c>
      <c r="BO109" s="2" t="s">
        <v>7155</v>
      </c>
      <c r="BQ109" s="2" t="s">
        <v>7183</v>
      </c>
      <c r="BS109" s="2" t="s">
        <v>7142</v>
      </c>
      <c r="BT109" s="2" t="s">
        <v>7341</v>
      </c>
      <c r="BV109" s="2" t="s">
        <v>7407</v>
      </c>
      <c r="BX109" s="2" t="s">
        <v>7142</v>
      </c>
      <c r="BY109" s="2" t="s">
        <v>7606</v>
      </c>
      <c r="BZ109" s="2" t="s">
        <v>7165</v>
      </c>
      <c r="CA109" s="2" t="s">
        <v>1032</v>
      </c>
      <c r="CE109" s="7">
        <v>6.5</v>
      </c>
      <c r="CF109" s="2">
        <v>594</v>
      </c>
      <c r="CM109" s="2">
        <v>100</v>
      </c>
      <c r="CO109" s="2">
        <v>100</v>
      </c>
      <c r="CR109" s="2" t="s">
        <v>7276</v>
      </c>
      <c r="CT109" s="2" t="s">
        <v>7143</v>
      </c>
      <c r="CU109" s="2" t="s">
        <v>7161</v>
      </c>
      <c r="CW109" s="2" t="s">
        <v>7162</v>
      </c>
      <c r="CY109" s="2" t="s">
        <v>7163</v>
      </c>
      <c r="CZ109" s="2" t="s">
        <v>7163</v>
      </c>
      <c r="DA109" s="2" t="s">
        <v>7250</v>
      </c>
      <c r="DB109" s="2" t="s">
        <v>7250</v>
      </c>
      <c r="DC109" s="2" t="s">
        <v>7250</v>
      </c>
      <c r="DD109" s="2" t="s">
        <v>7321</v>
      </c>
      <c r="DE109" s="2" t="s">
        <v>7250</v>
      </c>
      <c r="DF109" s="2" t="s">
        <v>7163</v>
      </c>
      <c r="DG109" s="2" t="s">
        <v>7163</v>
      </c>
      <c r="DH109" s="2" t="s">
        <v>7163</v>
      </c>
      <c r="DI109" s="2" t="s">
        <v>7163</v>
      </c>
      <c r="DL109" s="2" t="s">
        <v>7142</v>
      </c>
      <c r="DM109" s="2" t="s">
        <v>7142</v>
      </c>
      <c r="DN109" s="2" t="s">
        <v>7142</v>
      </c>
      <c r="DO109" s="2" t="s">
        <v>7142</v>
      </c>
      <c r="DP109" s="2" t="s">
        <v>7165</v>
      </c>
      <c r="DQ109" s="2" t="s">
        <v>7166</v>
      </c>
      <c r="DT109" s="2" t="s">
        <v>7165</v>
      </c>
      <c r="DU109" s="2" t="s">
        <v>7165</v>
      </c>
      <c r="DV109" s="2" t="s">
        <v>7165</v>
      </c>
      <c r="DW109" s="2" t="s">
        <v>7165</v>
      </c>
      <c r="DX109" s="2" t="s">
        <v>7165</v>
      </c>
      <c r="DY109" s="2" t="s">
        <v>7159</v>
      </c>
      <c r="DZ109" s="2" t="s">
        <v>7159</v>
      </c>
      <c r="EA109" s="2" t="s">
        <v>7165</v>
      </c>
      <c r="EB109" s="2" t="s">
        <v>7165</v>
      </c>
      <c r="EC109" s="2" t="s">
        <v>7159</v>
      </c>
      <c r="ED109" s="2" t="s">
        <v>7159</v>
      </c>
      <c r="EF109" s="2" t="s">
        <v>7221</v>
      </c>
      <c r="EG109" s="2" t="s">
        <v>1033</v>
      </c>
      <c r="EJ109" s="2" t="s">
        <v>7144</v>
      </c>
      <c r="EK109" s="2" t="s">
        <v>7142</v>
      </c>
      <c r="EL109" s="2" t="s">
        <v>7142</v>
      </c>
      <c r="EM109" s="2" t="s">
        <v>7170</v>
      </c>
      <c r="EN109" s="2" t="s">
        <v>7170</v>
      </c>
      <c r="EP109" s="2" t="s">
        <v>7186</v>
      </c>
      <c r="ER109" s="2" t="s">
        <v>7142</v>
      </c>
      <c r="ET109" s="2" t="s">
        <v>7142</v>
      </c>
      <c r="EU109" s="2" t="s">
        <v>7171</v>
      </c>
      <c r="EV109" s="2" t="s">
        <v>7142</v>
      </c>
      <c r="EW109" s="2" t="s">
        <v>7171</v>
      </c>
      <c r="EX109" s="2" t="s">
        <v>7143</v>
      </c>
      <c r="EZ109" s="2" t="s">
        <v>7143</v>
      </c>
      <c r="FC109" s="2" t="s">
        <v>7218</v>
      </c>
      <c r="FD109" s="2" t="s">
        <v>7143</v>
      </c>
      <c r="FH109" s="2" t="s">
        <v>7173</v>
      </c>
      <c r="FJ109" s="2" t="s">
        <v>7143</v>
      </c>
      <c r="FK109" s="2" t="s">
        <v>7165</v>
      </c>
      <c r="FL109" s="2" t="s">
        <v>7402</v>
      </c>
      <c r="FN109" s="2" t="s">
        <v>7344</v>
      </c>
      <c r="FR109" s="2" t="s">
        <v>1034</v>
      </c>
      <c r="FS109" s="10"/>
      <c r="FT109" s="2" t="s">
        <v>7189</v>
      </c>
      <c r="FU109" s="2" t="s">
        <v>7189</v>
      </c>
      <c r="FV109" s="2" t="s">
        <v>7189</v>
      </c>
      <c r="FW109" s="2" t="s">
        <v>7189</v>
      </c>
      <c r="FZ109" s="19" t="s">
        <v>7607</v>
      </c>
    </row>
    <row r="110" spans="1:182">
      <c r="A110" s="7" t="s">
        <v>1035</v>
      </c>
      <c r="D110" s="7" t="s">
        <v>7608</v>
      </c>
      <c r="E110" s="7" t="s">
        <v>1036</v>
      </c>
      <c r="F110" s="7" t="s">
        <v>7319</v>
      </c>
      <c r="G110" s="7" t="s">
        <v>7466</v>
      </c>
      <c r="H110" s="7" t="s">
        <v>792</v>
      </c>
      <c r="I110" s="7" t="s">
        <v>1037</v>
      </c>
      <c r="J110" s="19" t="s">
        <v>7609</v>
      </c>
      <c r="K110" s="7" t="s">
        <v>1038</v>
      </c>
      <c r="L110" s="2" t="s">
        <v>7137</v>
      </c>
      <c r="M110" s="7" t="s">
        <v>7179</v>
      </c>
      <c r="N110" s="7">
        <v>1998</v>
      </c>
      <c r="O110" s="7" t="s">
        <v>7139</v>
      </c>
      <c r="P110" s="2" t="s">
        <v>7181</v>
      </c>
      <c r="Q110" s="2" t="s">
        <v>7141</v>
      </c>
      <c r="R110" s="2" t="s">
        <v>7143</v>
      </c>
      <c r="S110" s="2">
        <v>12</v>
      </c>
      <c r="T110" s="2" t="s">
        <v>7143</v>
      </c>
      <c r="U110" s="2" t="s">
        <v>7143</v>
      </c>
      <c r="Y110" s="2">
        <v>200</v>
      </c>
      <c r="Z110" s="17">
        <v>0.9</v>
      </c>
      <c r="AA110" s="2">
        <v>180</v>
      </c>
      <c r="AB110" s="2">
        <v>163</v>
      </c>
      <c r="AC110" s="7">
        <v>153</v>
      </c>
      <c r="AD110" s="2">
        <v>200</v>
      </c>
      <c r="AE110" s="2">
        <v>47</v>
      </c>
      <c r="AF110" s="2" t="s">
        <v>7142</v>
      </c>
      <c r="AG110" s="2" t="s">
        <v>7143</v>
      </c>
      <c r="AH110" s="2" t="s">
        <v>7143</v>
      </c>
      <c r="AJ110" s="2" t="s">
        <v>7143</v>
      </c>
      <c r="AK110" s="2" t="s">
        <v>7142</v>
      </c>
      <c r="AL110" s="2" t="s">
        <v>7143</v>
      </c>
      <c r="AM110" s="2" t="s">
        <v>7142</v>
      </c>
      <c r="AN110" s="2" t="s">
        <v>7143</v>
      </c>
      <c r="AO110" s="2" t="s">
        <v>7143</v>
      </c>
      <c r="AR110" s="7">
        <v>0.7</v>
      </c>
      <c r="AS110" s="7">
        <v>2</v>
      </c>
      <c r="AT110" s="7">
        <v>2</v>
      </c>
      <c r="AU110" s="2" t="s">
        <v>7193</v>
      </c>
      <c r="AV110" s="2" t="s">
        <v>7193</v>
      </c>
      <c r="AW110" s="2" t="s">
        <v>7143</v>
      </c>
      <c r="AZ110" s="2" t="s">
        <v>7573</v>
      </c>
      <c r="BB110" s="2" t="s">
        <v>7214</v>
      </c>
      <c r="BC110" s="2" t="s">
        <v>7147</v>
      </c>
      <c r="BD110" s="2" t="s">
        <v>7143</v>
      </c>
      <c r="BE110" s="2" t="s">
        <v>7143</v>
      </c>
      <c r="BL110" s="2" t="s">
        <v>7195</v>
      </c>
      <c r="BO110" s="2" t="s">
        <v>7155</v>
      </c>
      <c r="BQ110" s="2" t="s">
        <v>7156</v>
      </c>
      <c r="BS110" s="2" t="s">
        <v>7142</v>
      </c>
      <c r="BT110" s="2" t="s">
        <v>7341</v>
      </c>
      <c r="BV110" s="2" t="s">
        <v>7209</v>
      </c>
      <c r="BX110" s="2" t="s">
        <v>7143</v>
      </c>
      <c r="BZ110" s="2" t="s">
        <v>7173</v>
      </c>
      <c r="CE110" s="7">
        <v>2</v>
      </c>
      <c r="CF110" s="2">
        <v>200</v>
      </c>
      <c r="CK110" s="2">
        <v>100</v>
      </c>
      <c r="CO110" s="2">
        <v>100</v>
      </c>
      <c r="CR110" s="2" t="s">
        <v>7276</v>
      </c>
      <c r="CT110" s="2" t="s">
        <v>7143</v>
      </c>
      <c r="CU110" s="2" t="s">
        <v>7161</v>
      </c>
      <c r="CW110" s="2" t="s">
        <v>7610</v>
      </c>
      <c r="CY110" s="2" t="s">
        <v>7250</v>
      </c>
      <c r="CZ110" s="2" t="s">
        <v>7250</v>
      </c>
      <c r="DA110" s="2" t="s">
        <v>7250</v>
      </c>
      <c r="DB110" s="2" t="s">
        <v>7250</v>
      </c>
      <c r="DC110" s="2" t="s">
        <v>7250</v>
      </c>
      <c r="DD110" s="2" t="s">
        <v>7321</v>
      </c>
      <c r="DE110" s="2" t="s">
        <v>7250</v>
      </c>
      <c r="DF110" s="2" t="s">
        <v>7250</v>
      </c>
      <c r="DG110" s="2" t="s">
        <v>7250</v>
      </c>
      <c r="DH110" s="2" t="s">
        <v>7250</v>
      </c>
      <c r="DI110" s="2" t="s">
        <v>7250</v>
      </c>
      <c r="DL110" s="2" t="s">
        <v>7143</v>
      </c>
      <c r="DM110" s="2" t="s">
        <v>7143</v>
      </c>
      <c r="DP110" s="2" t="s">
        <v>7159</v>
      </c>
      <c r="DT110" s="2" t="s">
        <v>7159</v>
      </c>
      <c r="DU110" s="2" t="s">
        <v>7159</v>
      </c>
      <c r="DV110" s="2" t="s">
        <v>7159</v>
      </c>
      <c r="DW110" s="2" t="s">
        <v>7159</v>
      </c>
      <c r="DX110" s="2" t="s">
        <v>7159</v>
      </c>
      <c r="DY110" s="2" t="s">
        <v>7159</v>
      </c>
      <c r="DZ110" s="2" t="s">
        <v>7159</v>
      </c>
      <c r="EA110" s="2" t="s">
        <v>7159</v>
      </c>
      <c r="EB110" s="2" t="s">
        <v>7159</v>
      </c>
      <c r="EC110" s="2" t="s">
        <v>7159</v>
      </c>
      <c r="EF110" s="2" t="s">
        <v>7252</v>
      </c>
      <c r="EG110" s="2" t="s">
        <v>1040</v>
      </c>
      <c r="EJ110" s="2" t="s">
        <v>7217</v>
      </c>
      <c r="EK110" s="2" t="s">
        <v>7143</v>
      </c>
      <c r="EL110" s="2" t="s">
        <v>7143</v>
      </c>
      <c r="EN110" s="2" t="s">
        <v>7210</v>
      </c>
      <c r="EP110" s="2" t="s">
        <v>7186</v>
      </c>
      <c r="ER110" s="2" t="s">
        <v>7143</v>
      </c>
      <c r="ET110" s="2" t="s">
        <v>7143</v>
      </c>
      <c r="EV110" s="2" t="s">
        <v>7143</v>
      </c>
      <c r="EX110" s="2" t="s">
        <v>7143</v>
      </c>
      <c r="EZ110" s="2" t="s">
        <v>7143</v>
      </c>
      <c r="FC110" s="2" t="s">
        <v>7218</v>
      </c>
      <c r="FD110" s="2" t="s">
        <v>7143</v>
      </c>
      <c r="FH110" s="2" t="s">
        <v>7173</v>
      </c>
      <c r="FJ110" s="2" t="s">
        <v>7143</v>
      </c>
      <c r="FK110" s="2" t="s">
        <v>7173</v>
      </c>
      <c r="FN110" s="2" t="s">
        <v>7253</v>
      </c>
      <c r="FR110" s="2" t="s">
        <v>1041</v>
      </c>
      <c r="FS110" s="10"/>
      <c r="FT110" s="2" t="s">
        <v>7176</v>
      </c>
      <c r="FU110" s="2" t="s">
        <v>7189</v>
      </c>
      <c r="FV110" s="2" t="s">
        <v>7189</v>
      </c>
      <c r="FW110" s="2" t="s">
        <v>7189</v>
      </c>
      <c r="FZ110" s="19" t="s">
        <v>7611</v>
      </c>
    </row>
    <row r="111" spans="1:182">
      <c r="A111" s="7" t="s">
        <v>1042</v>
      </c>
      <c r="D111" s="7" t="s">
        <v>7612</v>
      </c>
      <c r="E111" s="7" t="s">
        <v>177</v>
      </c>
      <c r="F111" s="7" t="s">
        <v>7134</v>
      </c>
      <c r="G111" s="7" t="s">
        <v>7488</v>
      </c>
      <c r="H111" s="7" t="s">
        <v>849</v>
      </c>
      <c r="I111" s="7" t="s">
        <v>1043</v>
      </c>
      <c r="J111" s="16" t="s">
        <v>7613</v>
      </c>
      <c r="K111" s="7" t="s">
        <v>1043</v>
      </c>
      <c r="L111" s="2" t="s">
        <v>7137</v>
      </c>
      <c r="M111" s="7" t="s">
        <v>7179</v>
      </c>
      <c r="N111" s="7">
        <v>1949</v>
      </c>
      <c r="O111" s="7" t="s">
        <v>7490</v>
      </c>
      <c r="P111" s="2" t="s">
        <v>7140</v>
      </c>
      <c r="Q111" s="2" t="s">
        <v>7225</v>
      </c>
      <c r="R111" s="2" t="s">
        <v>7143</v>
      </c>
      <c r="S111" s="2">
        <v>33</v>
      </c>
      <c r="T111" s="2" t="s">
        <v>7143</v>
      </c>
      <c r="U111" s="2" t="s">
        <v>7143</v>
      </c>
      <c r="Y111" s="2">
        <v>130</v>
      </c>
      <c r="Z111" s="17">
        <v>1</v>
      </c>
      <c r="AA111" s="2">
        <v>130</v>
      </c>
      <c r="AB111" s="2">
        <v>130</v>
      </c>
      <c r="AC111" s="7">
        <v>130</v>
      </c>
      <c r="AD111" s="2">
        <v>200</v>
      </c>
      <c r="AE111" s="2">
        <v>70</v>
      </c>
      <c r="AF111" s="2" t="s">
        <v>7142</v>
      </c>
      <c r="AG111" s="2" t="s">
        <v>7143</v>
      </c>
      <c r="AH111" s="2" t="s">
        <v>7143</v>
      </c>
      <c r="AJ111" s="2" t="s">
        <v>7143</v>
      </c>
      <c r="AK111" s="2" t="s">
        <v>7143</v>
      </c>
      <c r="AL111" s="2" t="s">
        <v>7143</v>
      </c>
      <c r="AM111" s="2" t="s">
        <v>7143</v>
      </c>
      <c r="AN111" s="2" t="s">
        <v>7143</v>
      </c>
      <c r="AO111" s="2" t="s">
        <v>7143</v>
      </c>
      <c r="AR111" s="7">
        <v>2</v>
      </c>
      <c r="AS111" s="7">
        <v>5</v>
      </c>
      <c r="AT111" s="7">
        <v>2</v>
      </c>
      <c r="AU111" s="2" t="s">
        <v>7193</v>
      </c>
      <c r="AV111" s="2" t="s">
        <v>7193</v>
      </c>
      <c r="AW111" s="2" t="s">
        <v>7143</v>
      </c>
      <c r="AZ111" s="2" t="s">
        <v>7145</v>
      </c>
      <c r="BB111" s="2" t="s">
        <v>7214</v>
      </c>
      <c r="BC111" s="2" t="s">
        <v>7147</v>
      </c>
      <c r="BD111" s="2" t="s">
        <v>7143</v>
      </c>
      <c r="BE111" s="2" t="s">
        <v>7142</v>
      </c>
      <c r="BF111" s="2" t="s">
        <v>7148</v>
      </c>
      <c r="BG111" s="2" t="s">
        <v>7149</v>
      </c>
      <c r="BH111" s="2" t="s">
        <v>7248</v>
      </c>
      <c r="BI111" s="2" t="s">
        <v>7151</v>
      </c>
      <c r="BL111" s="2" t="s">
        <v>7195</v>
      </c>
      <c r="BO111" s="2" t="s">
        <v>7155</v>
      </c>
      <c r="BQ111" s="2" t="s">
        <v>7156</v>
      </c>
      <c r="BS111" s="2" t="s">
        <v>7142</v>
      </c>
      <c r="BT111" s="2" t="s">
        <v>7157</v>
      </c>
      <c r="BV111" s="2" t="s">
        <v>7202</v>
      </c>
      <c r="BX111" s="2" t="s">
        <v>7143</v>
      </c>
      <c r="BZ111" s="2" t="s">
        <v>7159</v>
      </c>
      <c r="CE111" s="7">
        <v>2</v>
      </c>
      <c r="CF111" s="2">
        <v>200</v>
      </c>
      <c r="CK111" s="2">
        <v>100</v>
      </c>
      <c r="CO111" s="2">
        <v>100</v>
      </c>
      <c r="CR111" s="2" t="s">
        <v>7185</v>
      </c>
      <c r="CT111" s="2" t="s">
        <v>7143</v>
      </c>
      <c r="CU111" s="2" t="s">
        <v>7234</v>
      </c>
      <c r="CW111" s="2" t="s">
        <v>7162</v>
      </c>
      <c r="CY111" s="2" t="s">
        <v>7164</v>
      </c>
      <c r="CZ111" s="2" t="s">
        <v>7164</v>
      </c>
      <c r="DA111" s="2" t="s">
        <v>7164</v>
      </c>
      <c r="DB111" s="2" t="s">
        <v>7164</v>
      </c>
      <c r="DC111" s="2" t="s">
        <v>7164</v>
      </c>
      <c r="DD111" s="2" t="s">
        <v>7164</v>
      </c>
      <c r="DE111" s="2" t="s">
        <v>7164</v>
      </c>
      <c r="DF111" s="2" t="s">
        <v>7164</v>
      </c>
      <c r="DG111" s="2" t="s">
        <v>7164</v>
      </c>
      <c r="DH111" s="2" t="s">
        <v>7164</v>
      </c>
      <c r="DI111" s="2" t="s">
        <v>7164</v>
      </c>
      <c r="DL111" s="2" t="s">
        <v>7143</v>
      </c>
      <c r="DM111" s="2" t="s">
        <v>7143</v>
      </c>
      <c r="DP111" s="2" t="s">
        <v>7159</v>
      </c>
      <c r="DT111" s="2" t="s">
        <v>7159</v>
      </c>
      <c r="DU111" s="2" t="s">
        <v>7159</v>
      </c>
      <c r="DV111" s="2" t="s">
        <v>7159</v>
      </c>
      <c r="DW111" s="2" t="s">
        <v>7159</v>
      </c>
      <c r="DX111" s="2" t="s">
        <v>7159</v>
      </c>
      <c r="DY111" s="2" t="s">
        <v>7159</v>
      </c>
      <c r="DZ111" s="2" t="s">
        <v>7159</v>
      </c>
      <c r="EA111" s="2" t="s">
        <v>7159</v>
      </c>
      <c r="EB111" s="2" t="s">
        <v>7159</v>
      </c>
      <c r="EJ111" s="2" t="s">
        <v>7193</v>
      </c>
      <c r="EK111" s="2" t="s">
        <v>7143</v>
      </c>
      <c r="EL111" s="2" t="s">
        <v>7143</v>
      </c>
      <c r="EN111" s="2" t="s">
        <v>7210</v>
      </c>
      <c r="EP111" s="2" t="s">
        <v>7186</v>
      </c>
      <c r="ER111" s="2" t="s">
        <v>7143</v>
      </c>
      <c r="ET111" s="2" t="s">
        <v>7143</v>
      </c>
      <c r="EV111" s="2" t="s">
        <v>7143</v>
      </c>
      <c r="EX111" s="2" t="s">
        <v>7143</v>
      </c>
      <c r="EZ111" s="2" t="s">
        <v>7143</v>
      </c>
      <c r="FC111" s="2" t="s">
        <v>7172</v>
      </c>
      <c r="FD111" s="2" t="s">
        <v>7143</v>
      </c>
      <c r="FH111" s="2" t="s">
        <v>7173</v>
      </c>
      <c r="FJ111" s="2" t="s">
        <v>7142</v>
      </c>
      <c r="FK111" s="2" t="s">
        <v>7173</v>
      </c>
      <c r="FS111" s="10"/>
      <c r="FT111" s="2" t="s">
        <v>7176</v>
      </c>
      <c r="FU111" s="2" t="s">
        <v>7176</v>
      </c>
      <c r="FV111" s="2" t="s">
        <v>7176</v>
      </c>
      <c r="FW111" s="2" t="s">
        <v>7176</v>
      </c>
      <c r="FZ111" s="19" t="s">
        <v>7614</v>
      </c>
    </row>
    <row r="112" spans="1:182">
      <c r="A112" s="7" t="s">
        <v>1044</v>
      </c>
      <c r="D112" s="7" t="s">
        <v>7615</v>
      </c>
      <c r="E112" s="7" t="s">
        <v>1045</v>
      </c>
      <c r="F112" s="7" t="s">
        <v>7311</v>
      </c>
      <c r="G112" s="7" t="s">
        <v>7466</v>
      </c>
      <c r="H112" s="7" t="s">
        <v>822</v>
      </c>
      <c r="I112" s="7" t="s">
        <v>1046</v>
      </c>
      <c r="J112" s="16" t="s">
        <v>7616</v>
      </c>
      <c r="K112" s="7" t="s">
        <v>1046</v>
      </c>
      <c r="L112" s="7" t="s">
        <v>7137</v>
      </c>
      <c r="M112" s="7" t="s">
        <v>7138</v>
      </c>
      <c r="N112" s="7">
        <v>1994</v>
      </c>
      <c r="O112" s="7" t="s">
        <v>7139</v>
      </c>
      <c r="P112" s="7" t="s">
        <v>7140</v>
      </c>
      <c r="Q112" s="7" t="s">
        <v>7225</v>
      </c>
      <c r="R112" s="7" t="s">
        <v>7143</v>
      </c>
      <c r="S112" s="7">
        <v>10</v>
      </c>
      <c r="T112" s="7" t="s">
        <v>7143</v>
      </c>
      <c r="U112" s="7" t="s">
        <v>7143</v>
      </c>
      <c r="Y112" s="2">
        <v>170</v>
      </c>
      <c r="Z112" s="17">
        <v>0.94120000000000004</v>
      </c>
      <c r="AA112" s="2">
        <v>160</v>
      </c>
      <c r="AB112" s="2">
        <v>160</v>
      </c>
      <c r="AC112" s="7">
        <v>160</v>
      </c>
      <c r="AD112" s="2">
        <v>200</v>
      </c>
      <c r="AE112" s="2">
        <v>40</v>
      </c>
      <c r="AF112" s="2" t="s">
        <v>7143</v>
      </c>
      <c r="AG112" s="2" t="s">
        <v>7143</v>
      </c>
      <c r="AH112" s="2" t="s">
        <v>7143</v>
      </c>
      <c r="AJ112" s="2" t="s">
        <v>7143</v>
      </c>
      <c r="AK112" s="2" t="s">
        <v>7143</v>
      </c>
      <c r="AL112" s="2" t="s">
        <v>7143</v>
      </c>
      <c r="AM112" s="2" t="s">
        <v>7142</v>
      </c>
      <c r="AN112" s="2" t="s">
        <v>7143</v>
      </c>
      <c r="AO112" s="2" t="s">
        <v>7143</v>
      </c>
      <c r="AR112" s="7">
        <v>0.6</v>
      </c>
      <c r="AS112" s="7">
        <v>3</v>
      </c>
      <c r="AT112" s="7">
        <v>2</v>
      </c>
      <c r="AU112" s="2" t="s">
        <v>7193</v>
      </c>
      <c r="AV112" s="2" t="s">
        <v>7193</v>
      </c>
      <c r="AW112" s="2" t="s">
        <v>7143</v>
      </c>
      <c r="BC112" s="2" t="s">
        <v>7147</v>
      </c>
      <c r="BD112" s="2" t="s">
        <v>7143</v>
      </c>
      <c r="BE112" s="2" t="s">
        <v>7143</v>
      </c>
      <c r="BL112" s="2" t="s">
        <v>7195</v>
      </c>
      <c r="BO112" s="2" t="s">
        <v>7155</v>
      </c>
      <c r="BQ112" s="2" t="s">
        <v>7156</v>
      </c>
      <c r="BS112" s="2" t="s">
        <v>7142</v>
      </c>
      <c r="BT112" s="2" t="s">
        <v>7215</v>
      </c>
      <c r="BV112" s="2" t="s">
        <v>7202</v>
      </c>
      <c r="BX112" s="2" t="s">
        <v>7143</v>
      </c>
      <c r="BY112" s="2" t="s">
        <v>696</v>
      </c>
      <c r="BZ112" s="2" t="s">
        <v>7173</v>
      </c>
      <c r="CE112" s="7">
        <v>2</v>
      </c>
      <c r="CF112" s="2">
        <v>200</v>
      </c>
      <c r="CK112" s="2">
        <v>100</v>
      </c>
      <c r="CP112" s="2">
        <v>100</v>
      </c>
      <c r="CR112" s="2" t="s">
        <v>7160</v>
      </c>
      <c r="CT112" s="2" t="s">
        <v>7143</v>
      </c>
      <c r="CU112" s="2" t="s">
        <v>7161</v>
      </c>
      <c r="CW112" s="2" t="s">
        <v>7162</v>
      </c>
      <c r="CY112" s="2" t="s">
        <v>7250</v>
      </c>
      <c r="CZ112" s="2" t="s">
        <v>7250</v>
      </c>
      <c r="DA112" s="2" t="s">
        <v>7250</v>
      </c>
      <c r="DB112" s="2" t="s">
        <v>7250</v>
      </c>
      <c r="DC112" s="2" t="s">
        <v>7250</v>
      </c>
      <c r="DD112" s="2" t="s">
        <v>7250</v>
      </c>
      <c r="DE112" s="2" t="s">
        <v>7250</v>
      </c>
      <c r="DF112" s="2" t="s">
        <v>7250</v>
      </c>
      <c r="DG112" s="2" t="s">
        <v>7250</v>
      </c>
      <c r="DH112" s="2" t="s">
        <v>7250</v>
      </c>
      <c r="DI112" s="2" t="s">
        <v>7250</v>
      </c>
      <c r="DL112" s="2" t="s">
        <v>7143</v>
      </c>
      <c r="DM112" s="2" t="s">
        <v>7143</v>
      </c>
      <c r="DP112" s="2" t="s">
        <v>7159</v>
      </c>
      <c r="DT112" s="2" t="s">
        <v>7159</v>
      </c>
      <c r="DU112" s="2" t="s">
        <v>7159</v>
      </c>
      <c r="DV112" s="2" t="s">
        <v>7159</v>
      </c>
      <c r="DW112" s="2" t="s">
        <v>7159</v>
      </c>
      <c r="DX112" s="2" t="s">
        <v>7159</v>
      </c>
      <c r="DY112" s="2" t="s">
        <v>7159</v>
      </c>
      <c r="DZ112" s="2" t="s">
        <v>7159</v>
      </c>
      <c r="EA112" s="2" t="s">
        <v>7159</v>
      </c>
      <c r="EB112" s="2" t="s">
        <v>7159</v>
      </c>
      <c r="EC112" s="2" t="s">
        <v>7159</v>
      </c>
      <c r="ED112" s="2" t="s">
        <v>7159</v>
      </c>
      <c r="EE112" s="2" t="s">
        <v>1047</v>
      </c>
      <c r="EF112" s="2" t="s">
        <v>7349</v>
      </c>
      <c r="EG112" s="2" t="s">
        <v>1048</v>
      </c>
      <c r="EJ112" s="2" t="s">
        <v>7217</v>
      </c>
      <c r="EK112" s="2" t="s">
        <v>7143</v>
      </c>
      <c r="EL112" s="2" t="s">
        <v>7143</v>
      </c>
      <c r="EN112" s="2" t="s">
        <v>7170</v>
      </c>
      <c r="EP112" s="2" t="s">
        <v>7186</v>
      </c>
      <c r="ER112" s="2" t="s">
        <v>7143</v>
      </c>
      <c r="ET112" s="2" t="s">
        <v>7143</v>
      </c>
      <c r="EV112" s="2" t="s">
        <v>7143</v>
      </c>
      <c r="EX112" s="2" t="s">
        <v>7143</v>
      </c>
      <c r="EZ112" s="2" t="s">
        <v>7143</v>
      </c>
      <c r="FC112" s="2" t="s">
        <v>7172</v>
      </c>
      <c r="FD112" s="2" t="s">
        <v>7143</v>
      </c>
      <c r="FH112" s="2" t="s">
        <v>7173</v>
      </c>
      <c r="FJ112" s="2" t="s">
        <v>7143</v>
      </c>
      <c r="FK112" s="2" t="s">
        <v>7159</v>
      </c>
      <c r="FR112" s="2" t="s">
        <v>1049</v>
      </c>
      <c r="FS112" s="10"/>
      <c r="FT112" s="2" t="s">
        <v>7189</v>
      </c>
      <c r="FU112" s="2" t="s">
        <v>7189</v>
      </c>
      <c r="FV112" s="2" t="s">
        <v>7189</v>
      </c>
      <c r="FW112" s="2" t="s">
        <v>7189</v>
      </c>
      <c r="FX112" s="2" t="s">
        <v>7189</v>
      </c>
      <c r="FY112" s="2" t="s">
        <v>1050</v>
      </c>
      <c r="FZ112" s="19" t="s">
        <v>7617</v>
      </c>
    </row>
    <row r="113" spans="1:182">
      <c r="A113" s="7" t="s">
        <v>1051</v>
      </c>
      <c r="D113" s="7" t="s">
        <v>7618</v>
      </c>
      <c r="E113" s="7" t="s">
        <v>177</v>
      </c>
      <c r="F113" s="7" t="s">
        <v>7245</v>
      </c>
      <c r="G113" s="7" t="s">
        <v>7466</v>
      </c>
      <c r="H113" s="7" t="s">
        <v>792</v>
      </c>
      <c r="I113" s="7" t="s">
        <v>1052</v>
      </c>
      <c r="J113" s="16" t="s">
        <v>7619</v>
      </c>
      <c r="K113" s="7" t="s">
        <v>1052</v>
      </c>
      <c r="L113" s="7" t="s">
        <v>7224</v>
      </c>
      <c r="M113" s="7" t="s">
        <v>7138</v>
      </c>
      <c r="N113" s="7">
        <v>1987</v>
      </c>
      <c r="O113" s="7" t="s">
        <v>7139</v>
      </c>
      <c r="P113" s="7" t="s">
        <v>7140</v>
      </c>
      <c r="Q113" s="7" t="s">
        <v>7141</v>
      </c>
      <c r="R113" s="7" t="s">
        <v>7143</v>
      </c>
      <c r="S113" s="7">
        <v>2006</v>
      </c>
      <c r="T113" s="7" t="s">
        <v>7143</v>
      </c>
      <c r="U113" s="7" t="s">
        <v>7143</v>
      </c>
      <c r="Y113" s="2">
        <v>350</v>
      </c>
      <c r="Z113" s="17">
        <v>0.85709999999999997</v>
      </c>
      <c r="AA113" s="2">
        <v>300</v>
      </c>
      <c r="AB113" s="2">
        <v>300</v>
      </c>
      <c r="AC113" s="7">
        <v>200</v>
      </c>
      <c r="AD113" s="2">
        <v>250</v>
      </c>
      <c r="AE113" s="2">
        <v>50</v>
      </c>
      <c r="AF113" s="7" t="s">
        <v>7142</v>
      </c>
      <c r="AG113" s="2" t="s">
        <v>7142</v>
      </c>
      <c r="AH113" s="2" t="s">
        <v>7142</v>
      </c>
      <c r="AI113" s="2" t="s">
        <v>308</v>
      </c>
      <c r="AJ113" s="2" t="s">
        <v>7143</v>
      </c>
      <c r="AK113" s="2" t="s">
        <v>7143</v>
      </c>
      <c r="AL113" s="2" t="s">
        <v>7143</v>
      </c>
      <c r="AM113" s="2" t="s">
        <v>7142</v>
      </c>
      <c r="AN113" s="2" t="s">
        <v>7143</v>
      </c>
      <c r="AO113" s="2" t="s">
        <v>7143</v>
      </c>
      <c r="AR113" s="7">
        <v>0.9</v>
      </c>
      <c r="AS113" s="7">
        <v>3</v>
      </c>
      <c r="AT113" s="7">
        <v>2.5499999999999998</v>
      </c>
      <c r="AU113" s="7" t="s">
        <v>7144</v>
      </c>
      <c r="AV113" s="7" t="s">
        <v>7144</v>
      </c>
      <c r="AW113" s="7" t="s">
        <v>7143</v>
      </c>
      <c r="AZ113" s="7" t="s">
        <v>7376</v>
      </c>
      <c r="BB113" s="7" t="s">
        <v>7214</v>
      </c>
      <c r="BC113" s="7" t="s">
        <v>7208</v>
      </c>
      <c r="BD113" s="2" t="s">
        <v>7142</v>
      </c>
      <c r="BE113" s="7" t="s">
        <v>7142</v>
      </c>
      <c r="BF113" s="2" t="s">
        <v>7148</v>
      </c>
      <c r="BG113" s="2" t="s">
        <v>7149</v>
      </c>
      <c r="BH113" s="7" t="s">
        <v>7150</v>
      </c>
      <c r="BI113" s="7" t="s">
        <v>7151</v>
      </c>
      <c r="BL113" s="7" t="s">
        <v>7152</v>
      </c>
      <c r="BM113" s="7" t="s">
        <v>7153</v>
      </c>
      <c r="BN113" s="7" t="s">
        <v>7154</v>
      </c>
      <c r="BO113" s="2" t="s">
        <v>7155</v>
      </c>
      <c r="BQ113" s="2" t="s">
        <v>7183</v>
      </c>
      <c r="BS113" s="7" t="s">
        <v>7143</v>
      </c>
      <c r="BT113" s="7" t="s">
        <v>7157</v>
      </c>
      <c r="BV113" s="7" t="s">
        <v>7379</v>
      </c>
      <c r="BX113" s="7" t="s">
        <v>7142</v>
      </c>
      <c r="BY113" s="7" t="s">
        <v>326</v>
      </c>
      <c r="BZ113" s="2" t="s">
        <v>7159</v>
      </c>
      <c r="CE113" s="7">
        <v>2.5499999999999998</v>
      </c>
      <c r="CF113" s="2">
        <v>248</v>
      </c>
      <c r="CK113" s="2">
        <v>100</v>
      </c>
      <c r="CO113" s="2">
        <v>100</v>
      </c>
      <c r="CR113" s="2" t="s">
        <v>7160</v>
      </c>
      <c r="CT113" s="2" t="s">
        <v>7143</v>
      </c>
      <c r="CU113" s="2" t="s">
        <v>7234</v>
      </c>
      <c r="CW113" s="2" t="s">
        <v>7162</v>
      </c>
      <c r="CY113" s="2" t="s">
        <v>7163</v>
      </c>
      <c r="CZ113" s="2" t="s">
        <v>7227</v>
      </c>
      <c r="DA113" s="2" t="s">
        <v>7250</v>
      </c>
      <c r="DB113" s="2" t="s">
        <v>7164</v>
      </c>
      <c r="DC113" s="2" t="s">
        <v>7250</v>
      </c>
      <c r="DD113" s="2" t="s">
        <v>7251</v>
      </c>
      <c r="DE113" s="2" t="s">
        <v>7163</v>
      </c>
      <c r="DF113" s="2" t="s">
        <v>7163</v>
      </c>
      <c r="DG113" s="2" t="s">
        <v>7250</v>
      </c>
      <c r="DH113" s="2" t="s">
        <v>7250</v>
      </c>
      <c r="DI113" s="2" t="s">
        <v>7251</v>
      </c>
      <c r="DL113" s="7" t="s">
        <v>7142</v>
      </c>
      <c r="DM113" s="7" t="s">
        <v>7143</v>
      </c>
      <c r="DP113" s="7" t="s">
        <v>7159</v>
      </c>
      <c r="DS113" s="7" t="s">
        <v>7159</v>
      </c>
      <c r="DT113" s="2" t="s">
        <v>7165</v>
      </c>
      <c r="DU113" s="2" t="s">
        <v>7165</v>
      </c>
      <c r="DV113" s="2" t="s">
        <v>7165</v>
      </c>
      <c r="DW113" s="2" t="s">
        <v>7165</v>
      </c>
      <c r="DX113" s="2" t="s">
        <v>7159</v>
      </c>
      <c r="DY113" s="2" t="s">
        <v>7159</v>
      </c>
      <c r="DZ113" s="2" t="s">
        <v>7159</v>
      </c>
      <c r="EA113" s="2" t="s">
        <v>7159</v>
      </c>
      <c r="EB113" s="2" t="s">
        <v>7165</v>
      </c>
      <c r="EC113" s="2" t="s">
        <v>7159</v>
      </c>
      <c r="ED113" s="2" t="s">
        <v>7159</v>
      </c>
      <c r="EF113" s="7" t="s">
        <v>7167</v>
      </c>
      <c r="EJ113" s="2" t="s">
        <v>7193</v>
      </c>
      <c r="EK113" s="2" t="s">
        <v>7142</v>
      </c>
      <c r="EL113" s="2" t="s">
        <v>7143</v>
      </c>
      <c r="EN113" s="2" t="s">
        <v>7170</v>
      </c>
      <c r="EP113" s="2" t="s">
        <v>7186</v>
      </c>
      <c r="ER113" s="2" t="s">
        <v>7142</v>
      </c>
      <c r="ET113" s="2" t="s">
        <v>7143</v>
      </c>
      <c r="EV113" s="2" t="s">
        <v>7143</v>
      </c>
      <c r="EX113" s="2" t="s">
        <v>7143</v>
      </c>
      <c r="EZ113" s="2" t="s">
        <v>7143</v>
      </c>
      <c r="FC113" s="2" t="s">
        <v>7172</v>
      </c>
      <c r="FD113" s="2" t="s">
        <v>7143</v>
      </c>
      <c r="FH113" s="7" t="s">
        <v>7173</v>
      </c>
      <c r="FJ113" s="7" t="s">
        <v>7143</v>
      </c>
      <c r="FK113" s="7" t="s">
        <v>7165</v>
      </c>
      <c r="FL113" s="7" t="s">
        <v>7620</v>
      </c>
      <c r="FN113" s="2" t="s">
        <v>7235</v>
      </c>
      <c r="FS113" s="10"/>
      <c r="FT113" s="2" t="s">
        <v>7176</v>
      </c>
      <c r="FU113" s="2" t="s">
        <v>7176</v>
      </c>
      <c r="FV113" s="2" t="s">
        <v>7189</v>
      </c>
      <c r="FW113" s="2" t="s">
        <v>7189</v>
      </c>
      <c r="FZ113" s="19" t="s">
        <v>7621</v>
      </c>
    </row>
    <row r="114" spans="1:182">
      <c r="A114" s="7" t="s">
        <v>1054</v>
      </c>
      <c r="D114" s="7" t="s">
        <v>7622</v>
      </c>
      <c r="E114" s="7" t="s">
        <v>1055</v>
      </c>
      <c r="F114" s="7" t="s">
        <v>7389</v>
      </c>
      <c r="G114" s="7" t="s">
        <v>7488</v>
      </c>
      <c r="H114" s="2" t="s">
        <v>875</v>
      </c>
      <c r="I114" s="7" t="s">
        <v>1056</v>
      </c>
      <c r="J114" s="16" t="s">
        <v>7623</v>
      </c>
      <c r="K114" s="7" t="s">
        <v>1056</v>
      </c>
      <c r="L114" s="2" t="s">
        <v>7137</v>
      </c>
      <c r="M114" s="7" t="s">
        <v>7138</v>
      </c>
      <c r="N114" s="7">
        <v>1994</v>
      </c>
      <c r="O114" s="7" t="s">
        <v>7180</v>
      </c>
      <c r="P114" s="7" t="s">
        <v>7140</v>
      </c>
      <c r="Q114" s="2" t="s">
        <v>7182</v>
      </c>
      <c r="R114" s="2" t="s">
        <v>7143</v>
      </c>
      <c r="S114" s="2">
        <v>8</v>
      </c>
      <c r="T114" s="2" t="s">
        <v>7143</v>
      </c>
      <c r="U114" s="2" t="s">
        <v>7142</v>
      </c>
      <c r="Y114" s="2">
        <v>630</v>
      </c>
      <c r="Z114" s="17">
        <v>0.95240000000000002</v>
      </c>
      <c r="AA114" s="2">
        <v>600</v>
      </c>
      <c r="AB114" s="2">
        <v>600</v>
      </c>
      <c r="AC114" s="7">
        <v>600</v>
      </c>
      <c r="AD114" s="2">
        <v>700</v>
      </c>
      <c r="AE114" s="2">
        <v>100</v>
      </c>
      <c r="AF114" s="2" t="s">
        <v>7143</v>
      </c>
      <c r="AG114" s="2" t="s">
        <v>7142</v>
      </c>
      <c r="AH114" s="2" t="s">
        <v>7143</v>
      </c>
      <c r="AJ114" s="2" t="s">
        <v>7143</v>
      </c>
      <c r="AK114" s="2" t="s">
        <v>7143</v>
      </c>
      <c r="AL114" s="2" t="s">
        <v>7143</v>
      </c>
      <c r="AM114" s="2" t="s">
        <v>7143</v>
      </c>
      <c r="AN114" s="2" t="s">
        <v>7143</v>
      </c>
      <c r="AO114" s="2" t="s">
        <v>7143</v>
      </c>
      <c r="AR114" s="7">
        <v>1.5</v>
      </c>
      <c r="AS114" s="7">
        <v>3</v>
      </c>
      <c r="AT114" s="7">
        <v>6</v>
      </c>
      <c r="AU114" s="2" t="s">
        <v>7144</v>
      </c>
      <c r="AV114" s="2" t="s">
        <v>7144</v>
      </c>
      <c r="AW114" s="2" t="s">
        <v>7143</v>
      </c>
      <c r="AZ114" s="2" t="s">
        <v>7286</v>
      </c>
      <c r="BB114" s="2" t="s">
        <v>7146</v>
      </c>
      <c r="BC114" s="2" t="s">
        <v>7147</v>
      </c>
      <c r="BD114" s="2" t="s">
        <v>7143</v>
      </c>
      <c r="BE114" s="2" t="s">
        <v>7143</v>
      </c>
      <c r="BL114" s="2" t="s">
        <v>7152</v>
      </c>
      <c r="BM114" s="2" t="s">
        <v>7355</v>
      </c>
      <c r="BN114" s="2" t="s">
        <v>7154</v>
      </c>
      <c r="BO114" s="2" t="s">
        <v>7155</v>
      </c>
      <c r="BQ114" s="2" t="s">
        <v>7183</v>
      </c>
      <c r="BS114" s="2" t="s">
        <v>7142</v>
      </c>
      <c r="BT114" s="2" t="s">
        <v>7263</v>
      </c>
      <c r="BV114" s="2" t="s">
        <v>7624</v>
      </c>
      <c r="BX114" s="2" t="s">
        <v>7142</v>
      </c>
      <c r="BY114" s="2" t="s">
        <v>1058</v>
      </c>
      <c r="BZ114" s="2" t="s">
        <v>7173</v>
      </c>
      <c r="CE114" s="7">
        <v>6</v>
      </c>
      <c r="CF114" s="2">
        <v>700</v>
      </c>
      <c r="CM114" s="2">
        <v>100</v>
      </c>
      <c r="CO114" s="2">
        <v>100</v>
      </c>
      <c r="CR114" s="2" t="s">
        <v>7625</v>
      </c>
      <c r="CT114" s="2" t="s">
        <v>7143</v>
      </c>
      <c r="CU114" s="2" t="s">
        <v>7383</v>
      </c>
      <c r="CW114" s="2" t="s">
        <v>7162</v>
      </c>
      <c r="CY114" s="2" t="s">
        <v>7358</v>
      </c>
      <c r="CZ114" s="2" t="s">
        <v>7250</v>
      </c>
      <c r="DA114" s="2" t="s">
        <v>7250</v>
      </c>
      <c r="DB114" s="2" t="s">
        <v>7250</v>
      </c>
      <c r="DC114" s="2" t="s">
        <v>7250</v>
      </c>
      <c r="DD114" s="2" t="s">
        <v>7250</v>
      </c>
      <c r="DE114" s="2" t="s">
        <v>7250</v>
      </c>
      <c r="DF114" s="2" t="s">
        <v>7250</v>
      </c>
      <c r="DG114" s="2" t="s">
        <v>7250</v>
      </c>
      <c r="DH114" s="2" t="s">
        <v>7250</v>
      </c>
      <c r="DI114" s="2" t="s">
        <v>7250</v>
      </c>
      <c r="DL114" s="2" t="s">
        <v>7143</v>
      </c>
      <c r="DM114" s="2" t="s">
        <v>7143</v>
      </c>
      <c r="DP114" s="2" t="s">
        <v>7173</v>
      </c>
      <c r="DT114" s="2" t="s">
        <v>7159</v>
      </c>
      <c r="DU114" s="2" t="s">
        <v>7159</v>
      </c>
      <c r="DV114" s="2" t="s">
        <v>7159</v>
      </c>
      <c r="DW114" s="2" t="s">
        <v>7159</v>
      </c>
      <c r="DX114" s="2" t="s">
        <v>7159</v>
      </c>
      <c r="DY114" s="2" t="s">
        <v>7159</v>
      </c>
      <c r="DZ114" s="2" t="s">
        <v>7159</v>
      </c>
      <c r="EA114" s="2" t="s">
        <v>7159</v>
      </c>
      <c r="EB114" s="2" t="s">
        <v>7159</v>
      </c>
      <c r="EC114" s="2" t="s">
        <v>7159</v>
      </c>
      <c r="EF114" s="2" t="s">
        <v>7221</v>
      </c>
      <c r="EG114" s="2" t="s">
        <v>1060</v>
      </c>
      <c r="EJ114" s="2" t="s">
        <v>7193</v>
      </c>
      <c r="EK114" s="2" t="s">
        <v>7143</v>
      </c>
      <c r="EL114" s="2" t="s">
        <v>7143</v>
      </c>
      <c r="EN114" s="2" t="s">
        <v>7210</v>
      </c>
      <c r="EP114" s="2" t="s">
        <v>7186</v>
      </c>
      <c r="ER114" s="2" t="s">
        <v>7143</v>
      </c>
      <c r="ET114" s="2" t="s">
        <v>7143</v>
      </c>
      <c r="EV114" s="2" t="s">
        <v>7143</v>
      </c>
      <c r="EX114" s="2" t="s">
        <v>7143</v>
      </c>
      <c r="EZ114" s="2" t="s">
        <v>7143</v>
      </c>
      <c r="FC114" s="2" t="s">
        <v>7172</v>
      </c>
      <c r="FD114" s="2" t="s">
        <v>7143</v>
      </c>
      <c r="FH114" s="2" t="s">
        <v>7173</v>
      </c>
      <c r="FJ114" s="2" t="s">
        <v>7143</v>
      </c>
      <c r="FK114" s="2" t="s">
        <v>7173</v>
      </c>
      <c r="FN114" s="2" t="s">
        <v>7417</v>
      </c>
      <c r="FR114" s="2" t="s">
        <v>1061</v>
      </c>
      <c r="FS114" s="7"/>
      <c r="FT114" s="2" t="s">
        <v>7189</v>
      </c>
      <c r="FU114" s="2" t="s">
        <v>7176</v>
      </c>
      <c r="FV114" s="2" t="s">
        <v>7176</v>
      </c>
      <c r="FW114" s="2" t="s">
        <v>7189</v>
      </c>
      <c r="FZ114" s="19" t="s">
        <v>7626</v>
      </c>
    </row>
    <row r="115" spans="1:182">
      <c r="A115" s="7" t="s">
        <v>1062</v>
      </c>
      <c r="D115" s="7" t="s">
        <v>7627</v>
      </c>
      <c r="E115" s="7" t="s">
        <v>1045</v>
      </c>
      <c r="F115" s="7" t="s">
        <v>7311</v>
      </c>
      <c r="G115" s="7" t="s">
        <v>7466</v>
      </c>
      <c r="H115" s="7" t="s">
        <v>1063</v>
      </c>
      <c r="I115" s="7" t="s">
        <v>1064</v>
      </c>
      <c r="J115" s="19" t="s">
        <v>7628</v>
      </c>
      <c r="K115" s="7" t="s">
        <v>1064</v>
      </c>
      <c r="L115" s="7" t="s">
        <v>7137</v>
      </c>
      <c r="M115" s="7" t="s">
        <v>7138</v>
      </c>
      <c r="N115" s="7">
        <v>1987</v>
      </c>
      <c r="O115" s="7" t="s">
        <v>7139</v>
      </c>
      <c r="P115" s="7" t="s">
        <v>7140</v>
      </c>
      <c r="Q115" s="7" t="s">
        <v>7225</v>
      </c>
      <c r="R115" s="7" t="s">
        <v>7143</v>
      </c>
      <c r="S115" s="7">
        <v>10</v>
      </c>
      <c r="T115" s="7" t="s">
        <v>7143</v>
      </c>
      <c r="U115" s="7" t="s">
        <v>7143</v>
      </c>
      <c r="Y115" s="7">
        <v>65</v>
      </c>
      <c r="Z115" s="7" t="s">
        <v>7629</v>
      </c>
      <c r="AA115" s="7">
        <v>50</v>
      </c>
      <c r="AB115" s="2">
        <v>50</v>
      </c>
      <c r="AC115" s="7">
        <v>50</v>
      </c>
      <c r="AD115" s="7">
        <v>62</v>
      </c>
      <c r="AE115" s="7">
        <v>12</v>
      </c>
      <c r="AF115" s="2" t="s">
        <v>7143</v>
      </c>
      <c r="AG115" s="2" t="s">
        <v>7143</v>
      </c>
      <c r="AH115" s="7" t="s">
        <v>7143</v>
      </c>
      <c r="AJ115" s="7" t="s">
        <v>7143</v>
      </c>
      <c r="AK115" s="7" t="s">
        <v>7143</v>
      </c>
      <c r="AL115" s="7" t="s">
        <v>7143</v>
      </c>
      <c r="AM115" s="7" t="s">
        <v>7142</v>
      </c>
      <c r="AN115" s="7" t="s">
        <v>7143</v>
      </c>
      <c r="AO115" s="7" t="s">
        <v>7143</v>
      </c>
      <c r="AR115" s="7">
        <v>0.18</v>
      </c>
      <c r="AS115" s="7">
        <v>1</v>
      </c>
      <c r="AT115" s="7">
        <v>0.5</v>
      </c>
      <c r="AU115" s="7" t="s">
        <v>7193</v>
      </c>
      <c r="AV115" s="7" t="s">
        <v>7193</v>
      </c>
      <c r="AW115" s="7" t="s">
        <v>7143</v>
      </c>
      <c r="BC115" s="2" t="s">
        <v>7147</v>
      </c>
      <c r="BD115" s="2" t="s">
        <v>7143</v>
      </c>
      <c r="BE115" s="2" t="s">
        <v>7143</v>
      </c>
      <c r="BL115" s="7" t="s">
        <v>7195</v>
      </c>
      <c r="BO115" s="7" t="s">
        <v>7155</v>
      </c>
      <c r="BQ115" s="2" t="s">
        <v>7156</v>
      </c>
      <c r="BS115" s="2" t="s">
        <v>7142</v>
      </c>
      <c r="BT115" s="2" t="s">
        <v>7157</v>
      </c>
      <c r="BV115" s="2" t="s">
        <v>7202</v>
      </c>
      <c r="BX115" s="2" t="s">
        <v>7143</v>
      </c>
      <c r="BY115" s="2" t="s">
        <v>696</v>
      </c>
      <c r="BZ115" s="2" t="s">
        <v>7173</v>
      </c>
      <c r="CE115" s="7">
        <v>0.5</v>
      </c>
      <c r="CF115" s="2">
        <v>62</v>
      </c>
      <c r="CK115" s="7">
        <v>100</v>
      </c>
      <c r="CP115" s="7">
        <v>100</v>
      </c>
      <c r="CR115" s="7" t="s">
        <v>7276</v>
      </c>
      <c r="CT115" s="2" t="s">
        <v>7143</v>
      </c>
      <c r="CU115" s="7" t="s">
        <v>7161</v>
      </c>
      <c r="CV115" s="7"/>
      <c r="CW115" s="7" t="s">
        <v>7162</v>
      </c>
      <c r="CY115" s="2" t="s">
        <v>7250</v>
      </c>
      <c r="CZ115" s="2" t="s">
        <v>7250</v>
      </c>
      <c r="DA115" s="2" t="s">
        <v>7250</v>
      </c>
      <c r="DB115" s="2" t="s">
        <v>7250</v>
      </c>
      <c r="DC115" s="2" t="s">
        <v>7250</v>
      </c>
      <c r="DD115" s="2" t="s">
        <v>7250</v>
      </c>
      <c r="DE115" s="2" t="s">
        <v>7250</v>
      </c>
      <c r="DF115" s="2" t="s">
        <v>7250</v>
      </c>
      <c r="DG115" s="2" t="s">
        <v>7250</v>
      </c>
      <c r="DH115" s="2" t="s">
        <v>7250</v>
      </c>
      <c r="DI115" s="2" t="s">
        <v>7250</v>
      </c>
      <c r="DL115" s="2" t="s">
        <v>7143</v>
      </c>
      <c r="DM115" s="2" t="s">
        <v>7143</v>
      </c>
      <c r="DP115" s="2" t="s">
        <v>7159</v>
      </c>
      <c r="DT115" s="2" t="s">
        <v>7159</v>
      </c>
      <c r="DU115" s="2" t="s">
        <v>7159</v>
      </c>
      <c r="DV115" s="2" t="s">
        <v>7159</v>
      </c>
      <c r="DW115" s="2" t="s">
        <v>7159</v>
      </c>
      <c r="DX115" s="2" t="s">
        <v>7159</v>
      </c>
      <c r="DY115" s="2" t="s">
        <v>7159</v>
      </c>
      <c r="DZ115" s="2" t="s">
        <v>7159</v>
      </c>
      <c r="EA115" s="2" t="s">
        <v>7159</v>
      </c>
      <c r="EB115" s="2" t="s">
        <v>7159</v>
      </c>
      <c r="EC115" s="2" t="s">
        <v>7159</v>
      </c>
      <c r="ED115" s="2" t="s">
        <v>7159</v>
      </c>
      <c r="EE115" s="2" t="s">
        <v>1065</v>
      </c>
      <c r="EF115" s="2" t="s">
        <v>7252</v>
      </c>
      <c r="EG115" s="2" t="s">
        <v>1066</v>
      </c>
      <c r="EJ115" s="2" t="s">
        <v>7193</v>
      </c>
      <c r="EK115" s="2" t="s">
        <v>7143</v>
      </c>
      <c r="EL115" s="2" t="s">
        <v>7143</v>
      </c>
      <c r="EN115" s="2" t="s">
        <v>7210</v>
      </c>
      <c r="EP115" s="2" t="s">
        <v>7186</v>
      </c>
      <c r="ER115" s="2" t="s">
        <v>7143</v>
      </c>
      <c r="ET115" s="2" t="s">
        <v>7143</v>
      </c>
      <c r="EV115" s="2" t="s">
        <v>7143</v>
      </c>
      <c r="EX115" s="2" t="s">
        <v>7143</v>
      </c>
      <c r="EZ115" s="2" t="s">
        <v>7143</v>
      </c>
      <c r="FC115" s="2" t="s">
        <v>7172</v>
      </c>
      <c r="FD115" s="2" t="s">
        <v>7143</v>
      </c>
      <c r="FH115" s="2" t="s">
        <v>7173</v>
      </c>
      <c r="FJ115" s="2" t="s">
        <v>7143</v>
      </c>
      <c r="FK115" s="2" t="s">
        <v>7159</v>
      </c>
      <c r="FN115" s="2" t="s">
        <v>7322</v>
      </c>
      <c r="FR115" s="2" t="s">
        <v>1067</v>
      </c>
      <c r="FS115" s="7"/>
      <c r="FT115" s="2" t="s">
        <v>7189</v>
      </c>
      <c r="FU115" s="2" t="s">
        <v>7189</v>
      </c>
      <c r="FV115" s="2" t="s">
        <v>7189</v>
      </c>
      <c r="FW115" s="2" t="s">
        <v>7189</v>
      </c>
      <c r="FX115" s="2" t="s">
        <v>7189</v>
      </c>
      <c r="FY115" s="2" t="s">
        <v>1068</v>
      </c>
      <c r="FZ115" s="19" t="s">
        <v>7630</v>
      </c>
    </row>
    <row r="116" spans="1:182">
      <c r="A116" s="7" t="s">
        <v>1069</v>
      </c>
      <c r="D116" s="7" t="s">
        <v>7631</v>
      </c>
      <c r="E116" s="7" t="s">
        <v>177</v>
      </c>
      <c r="F116" s="7" t="s">
        <v>7245</v>
      </c>
      <c r="G116" s="7" t="s">
        <v>7466</v>
      </c>
      <c r="H116" s="7" t="s">
        <v>792</v>
      </c>
      <c r="I116" s="7" t="s">
        <v>1070</v>
      </c>
      <c r="J116" s="16" t="s">
        <v>7632</v>
      </c>
      <c r="K116" s="7" t="s">
        <v>1070</v>
      </c>
      <c r="L116" s="7" t="s">
        <v>7224</v>
      </c>
      <c r="M116" s="7" t="s">
        <v>7138</v>
      </c>
      <c r="N116" s="7">
        <v>2000</v>
      </c>
      <c r="O116" s="7" t="s">
        <v>7139</v>
      </c>
      <c r="P116" s="7" t="s">
        <v>7140</v>
      </c>
      <c r="Q116" s="7" t="s">
        <v>7141</v>
      </c>
      <c r="R116" s="2" t="s">
        <v>7143</v>
      </c>
      <c r="S116" s="7">
        <v>2007</v>
      </c>
      <c r="T116" s="7" t="s">
        <v>7143</v>
      </c>
      <c r="U116" s="7" t="s">
        <v>7143</v>
      </c>
      <c r="Y116" s="2">
        <v>250</v>
      </c>
      <c r="Z116" s="17">
        <v>0.8</v>
      </c>
      <c r="AA116" s="2">
        <v>200</v>
      </c>
      <c r="AB116" s="2">
        <v>200</v>
      </c>
      <c r="AC116" s="7">
        <v>130</v>
      </c>
      <c r="AD116" s="2">
        <v>150</v>
      </c>
      <c r="AE116" s="2">
        <v>20</v>
      </c>
      <c r="AF116" s="2" t="s">
        <v>7142</v>
      </c>
      <c r="AG116" s="2" t="s">
        <v>7142</v>
      </c>
      <c r="AH116" s="2" t="s">
        <v>7142</v>
      </c>
      <c r="AI116" s="2" t="s">
        <v>308</v>
      </c>
      <c r="AJ116" s="2" t="s">
        <v>7143</v>
      </c>
      <c r="AK116" s="2" t="s">
        <v>7142</v>
      </c>
      <c r="AL116" s="2" t="s">
        <v>7143</v>
      </c>
      <c r="AM116" s="2" t="s">
        <v>7142</v>
      </c>
      <c r="AN116" s="2" t="s">
        <v>7143</v>
      </c>
      <c r="AO116" s="2" t="s">
        <v>7143</v>
      </c>
      <c r="AR116" s="7">
        <v>0.5</v>
      </c>
      <c r="AS116" s="7">
        <v>1</v>
      </c>
      <c r="AT116" s="7">
        <v>1.5</v>
      </c>
      <c r="AU116" s="7" t="s">
        <v>7193</v>
      </c>
      <c r="AV116" s="7" t="s">
        <v>7193</v>
      </c>
      <c r="AW116" s="7" t="s">
        <v>7143</v>
      </c>
      <c r="AZ116" s="2" t="s">
        <v>7145</v>
      </c>
      <c r="BB116" s="2" t="s">
        <v>7214</v>
      </c>
      <c r="BC116" s="2" t="s">
        <v>7147</v>
      </c>
      <c r="BD116" s="2" t="s">
        <v>7142</v>
      </c>
      <c r="BE116" s="2" t="s">
        <v>7142</v>
      </c>
      <c r="BF116" s="2" t="s">
        <v>7148</v>
      </c>
      <c r="BG116" s="2" t="s">
        <v>7149</v>
      </c>
      <c r="BH116" s="2" t="s">
        <v>7248</v>
      </c>
      <c r="BI116" s="2" t="s">
        <v>7151</v>
      </c>
      <c r="BL116" s="7" t="s">
        <v>7195</v>
      </c>
      <c r="BM116" s="7" t="s">
        <v>7153</v>
      </c>
      <c r="BN116" s="7" t="s">
        <v>7154</v>
      </c>
      <c r="BO116" s="2" t="s">
        <v>7155</v>
      </c>
      <c r="BQ116" s="2" t="s">
        <v>7183</v>
      </c>
      <c r="BS116" s="2" t="s">
        <v>7142</v>
      </c>
      <c r="BT116" s="2" t="s">
        <v>7157</v>
      </c>
      <c r="BV116" s="2" t="s">
        <v>7348</v>
      </c>
      <c r="BX116" s="2" t="s">
        <v>7142</v>
      </c>
      <c r="BY116" s="2" t="s">
        <v>1071</v>
      </c>
      <c r="BZ116" s="2" t="s">
        <v>7159</v>
      </c>
      <c r="CE116" s="7">
        <v>1.5</v>
      </c>
      <c r="CF116" s="2">
        <v>147</v>
      </c>
      <c r="CK116" s="2">
        <v>100</v>
      </c>
      <c r="CO116" s="2">
        <v>100</v>
      </c>
      <c r="CR116" s="2" t="s">
        <v>7160</v>
      </c>
      <c r="CT116" s="2" t="s">
        <v>7143</v>
      </c>
      <c r="CU116" s="2" t="s">
        <v>7161</v>
      </c>
      <c r="CW116" s="2" t="s">
        <v>7162</v>
      </c>
      <c r="CY116" s="2" t="s">
        <v>7163</v>
      </c>
      <c r="CZ116" s="2" t="s">
        <v>7163</v>
      </c>
      <c r="DA116" s="2" t="s">
        <v>7164</v>
      </c>
      <c r="DB116" s="2" t="s">
        <v>7251</v>
      </c>
      <c r="DC116" s="2" t="s">
        <v>7250</v>
      </c>
      <c r="DD116" s="2" t="s">
        <v>7163</v>
      </c>
      <c r="DE116" s="2" t="s">
        <v>7163</v>
      </c>
      <c r="DF116" s="2" t="s">
        <v>7163</v>
      </c>
      <c r="DG116" s="2" t="s">
        <v>7163</v>
      </c>
      <c r="DH116" s="2" t="s">
        <v>7249</v>
      </c>
      <c r="DI116" s="2" t="s">
        <v>7249</v>
      </c>
      <c r="DL116" s="7" t="s">
        <v>7142</v>
      </c>
      <c r="DM116" s="2" t="s">
        <v>7142</v>
      </c>
      <c r="DN116" s="2" t="s">
        <v>7142</v>
      </c>
      <c r="DO116" s="2" t="s">
        <v>7142</v>
      </c>
      <c r="DP116" s="2" t="s">
        <v>7165</v>
      </c>
      <c r="DQ116" s="2" t="s">
        <v>7166</v>
      </c>
      <c r="DS116" s="7" t="s">
        <v>7165</v>
      </c>
      <c r="DT116" s="7" t="s">
        <v>7165</v>
      </c>
      <c r="DU116" s="7" t="s">
        <v>7165</v>
      </c>
      <c r="DV116" s="7" t="s">
        <v>7165</v>
      </c>
      <c r="DW116" s="7" t="s">
        <v>7165</v>
      </c>
      <c r="DX116" s="7" t="s">
        <v>7165</v>
      </c>
      <c r="DY116" s="7" t="s">
        <v>7165</v>
      </c>
      <c r="DZ116" s="7" t="s">
        <v>7159</v>
      </c>
      <c r="EA116" s="7" t="s">
        <v>7165</v>
      </c>
      <c r="EB116" s="7" t="s">
        <v>7165</v>
      </c>
      <c r="EC116" s="7" t="s">
        <v>7159</v>
      </c>
      <c r="ED116" s="7"/>
      <c r="EE116" s="7"/>
      <c r="EF116" s="7" t="s">
        <v>7167</v>
      </c>
      <c r="EJ116" s="7" t="s">
        <v>7193</v>
      </c>
      <c r="EK116" s="7" t="s">
        <v>7143</v>
      </c>
      <c r="EL116" s="2" t="s">
        <v>7143</v>
      </c>
      <c r="EN116" s="7" t="s">
        <v>7170</v>
      </c>
      <c r="EP116" s="7" t="s">
        <v>7186</v>
      </c>
      <c r="ER116" s="2" t="s">
        <v>7142</v>
      </c>
      <c r="ET116" s="7" t="s">
        <v>7143</v>
      </c>
      <c r="EV116" s="2" t="s">
        <v>7142</v>
      </c>
      <c r="EW116" s="2" t="s">
        <v>7204</v>
      </c>
      <c r="EX116" s="7" t="s">
        <v>7143</v>
      </c>
      <c r="FC116" s="2" t="s">
        <v>7172</v>
      </c>
      <c r="FD116" s="2" t="s">
        <v>7143</v>
      </c>
      <c r="FH116" s="7" t="s">
        <v>7173</v>
      </c>
      <c r="FJ116" s="7" t="s">
        <v>7142</v>
      </c>
      <c r="FK116" s="2" t="s">
        <v>7159</v>
      </c>
      <c r="FN116" s="2" t="s">
        <v>7253</v>
      </c>
      <c r="FS116" s="7"/>
      <c r="FT116" s="2" t="s">
        <v>7189</v>
      </c>
      <c r="FU116" s="2" t="s">
        <v>7189</v>
      </c>
      <c r="FV116" s="2" t="s">
        <v>7189</v>
      </c>
      <c r="FW116" s="2" t="s">
        <v>7189</v>
      </c>
      <c r="FZ116" s="19" t="s">
        <v>7633</v>
      </c>
    </row>
    <row r="117" spans="1:182">
      <c r="A117" s="7" t="s">
        <v>1072</v>
      </c>
      <c r="D117" s="7" t="s">
        <v>7634</v>
      </c>
      <c r="E117" s="7" t="s">
        <v>1045</v>
      </c>
      <c r="F117" s="7" t="s">
        <v>7311</v>
      </c>
      <c r="G117" s="7" t="s">
        <v>7466</v>
      </c>
      <c r="H117" s="7" t="s">
        <v>822</v>
      </c>
      <c r="I117" s="7" t="s">
        <v>1073</v>
      </c>
      <c r="J117" s="19" t="s">
        <v>7635</v>
      </c>
      <c r="K117" s="7" t="s">
        <v>1073</v>
      </c>
      <c r="L117" s="7" t="s">
        <v>7137</v>
      </c>
      <c r="M117" s="7" t="s">
        <v>7138</v>
      </c>
      <c r="N117" s="7">
        <v>1993</v>
      </c>
      <c r="O117" s="7" t="s">
        <v>7180</v>
      </c>
      <c r="P117" s="7" t="s">
        <v>7140</v>
      </c>
      <c r="Q117" s="7" t="s">
        <v>7141</v>
      </c>
      <c r="R117" s="7" t="s">
        <v>7143</v>
      </c>
      <c r="S117" s="7">
        <v>8</v>
      </c>
      <c r="T117" s="7" t="s">
        <v>7143</v>
      </c>
      <c r="U117" s="7" t="s">
        <v>7143</v>
      </c>
      <c r="Y117" s="7">
        <v>165</v>
      </c>
      <c r="Z117" s="7" t="s">
        <v>7636</v>
      </c>
      <c r="AA117" s="7">
        <v>125</v>
      </c>
      <c r="AB117" s="7">
        <v>125</v>
      </c>
      <c r="AC117" s="7">
        <v>125</v>
      </c>
      <c r="AD117" s="7">
        <v>150</v>
      </c>
      <c r="AE117" s="7">
        <v>25</v>
      </c>
      <c r="AF117" s="2" t="s">
        <v>7143</v>
      </c>
      <c r="AG117" s="2" t="s">
        <v>7143</v>
      </c>
      <c r="AH117" s="7" t="s">
        <v>7143</v>
      </c>
      <c r="AJ117" s="7" t="s">
        <v>7143</v>
      </c>
      <c r="AK117" s="7" t="s">
        <v>7143</v>
      </c>
      <c r="AL117" s="7" t="s">
        <v>7143</v>
      </c>
      <c r="AM117" s="7" t="s">
        <v>7142</v>
      </c>
      <c r="AN117" s="7" t="s">
        <v>7143</v>
      </c>
      <c r="AO117" s="7" t="s">
        <v>7143</v>
      </c>
      <c r="AR117" s="7">
        <v>0.6</v>
      </c>
      <c r="AS117" s="7">
        <v>1</v>
      </c>
      <c r="AT117" s="7">
        <v>1.5</v>
      </c>
      <c r="AU117" s="7" t="s">
        <v>7193</v>
      </c>
      <c r="AV117" s="7" t="s">
        <v>7193</v>
      </c>
      <c r="AW117" s="7" t="s">
        <v>7143</v>
      </c>
      <c r="BC117" s="2" t="s">
        <v>7147</v>
      </c>
      <c r="BD117" s="2" t="s">
        <v>7143</v>
      </c>
      <c r="BE117" s="2" t="s">
        <v>7143</v>
      </c>
      <c r="BL117" s="2" t="s">
        <v>7195</v>
      </c>
      <c r="BO117" s="2" t="s">
        <v>7155</v>
      </c>
      <c r="BQ117" s="2" t="s">
        <v>7156</v>
      </c>
      <c r="BS117" s="2" t="s">
        <v>7142</v>
      </c>
      <c r="BT117" s="2" t="s">
        <v>7215</v>
      </c>
      <c r="BV117" s="2" t="s">
        <v>7387</v>
      </c>
      <c r="BX117" s="2" t="s">
        <v>7143</v>
      </c>
      <c r="BY117" s="2" t="s">
        <v>940</v>
      </c>
      <c r="BZ117" s="2" t="s">
        <v>7173</v>
      </c>
      <c r="CE117" s="7">
        <v>1.5</v>
      </c>
      <c r="CF117" s="2">
        <v>150</v>
      </c>
      <c r="CK117" s="2">
        <v>100</v>
      </c>
      <c r="CP117" s="2">
        <v>100</v>
      </c>
      <c r="CR117" s="2" t="s">
        <v>7160</v>
      </c>
      <c r="CT117" s="2" t="s">
        <v>7143</v>
      </c>
      <c r="CU117" s="2" t="s">
        <v>7161</v>
      </c>
      <c r="CW117" s="2" t="s">
        <v>7162</v>
      </c>
      <c r="CY117" s="2" t="s">
        <v>7250</v>
      </c>
      <c r="CZ117" s="2" t="s">
        <v>7164</v>
      </c>
      <c r="DA117" s="2" t="s">
        <v>7250</v>
      </c>
      <c r="DB117" s="2" t="s">
        <v>7164</v>
      </c>
      <c r="DC117" s="2" t="s">
        <v>7164</v>
      </c>
      <c r="DD117" s="2" t="s">
        <v>7164</v>
      </c>
      <c r="DE117" s="2" t="s">
        <v>7164</v>
      </c>
      <c r="DF117" s="2" t="s">
        <v>7164</v>
      </c>
      <c r="DG117" s="2" t="s">
        <v>7250</v>
      </c>
      <c r="DH117" s="2" t="s">
        <v>7164</v>
      </c>
      <c r="DI117" s="2" t="s">
        <v>7164</v>
      </c>
      <c r="DL117" s="2" t="s">
        <v>7143</v>
      </c>
      <c r="DM117" s="2" t="s">
        <v>7143</v>
      </c>
      <c r="DP117" s="2" t="s">
        <v>7159</v>
      </c>
      <c r="DT117" s="2" t="s">
        <v>7165</v>
      </c>
      <c r="DU117" s="2" t="s">
        <v>7165</v>
      </c>
      <c r="DV117" s="2" t="s">
        <v>7165</v>
      </c>
      <c r="DW117" s="2" t="s">
        <v>7165</v>
      </c>
      <c r="DX117" s="2" t="s">
        <v>7165</v>
      </c>
      <c r="DY117" s="2" t="s">
        <v>7165</v>
      </c>
      <c r="DZ117" s="2" t="s">
        <v>7159</v>
      </c>
      <c r="EA117" s="2" t="s">
        <v>7165</v>
      </c>
      <c r="EB117" s="2" t="s">
        <v>7165</v>
      </c>
      <c r="EC117" s="2" t="s">
        <v>7159</v>
      </c>
      <c r="ED117" s="2" t="s">
        <v>7159</v>
      </c>
      <c r="EF117" s="2" t="s">
        <v>7252</v>
      </c>
      <c r="EG117" s="2" t="s">
        <v>1074</v>
      </c>
      <c r="EJ117" s="2" t="s">
        <v>7193</v>
      </c>
      <c r="EK117" s="2" t="s">
        <v>7143</v>
      </c>
      <c r="EL117" s="2" t="s">
        <v>7142</v>
      </c>
      <c r="EM117" s="2" t="s">
        <v>7430</v>
      </c>
      <c r="EN117" s="2" t="s">
        <v>7170</v>
      </c>
      <c r="EP117" s="2" t="s">
        <v>7186</v>
      </c>
      <c r="ER117" s="2" t="s">
        <v>7143</v>
      </c>
      <c r="ET117" s="2" t="s">
        <v>7143</v>
      </c>
      <c r="EV117" s="2" t="s">
        <v>7143</v>
      </c>
      <c r="EX117" s="2" t="s">
        <v>7143</v>
      </c>
      <c r="EZ117" s="2" t="s">
        <v>7143</v>
      </c>
      <c r="FC117" s="2" t="s">
        <v>7172</v>
      </c>
      <c r="FD117" s="2" t="s">
        <v>7143</v>
      </c>
      <c r="FH117" s="2" t="s">
        <v>7173</v>
      </c>
      <c r="FJ117" s="2" t="s">
        <v>7143</v>
      </c>
      <c r="FK117" s="2" t="s">
        <v>7159</v>
      </c>
      <c r="FR117" s="2" t="s">
        <v>1075</v>
      </c>
      <c r="FT117" s="7" t="s">
        <v>7189</v>
      </c>
      <c r="FU117" s="7" t="s">
        <v>7189</v>
      </c>
      <c r="FV117" s="7" t="s">
        <v>7189</v>
      </c>
      <c r="FW117" s="7" t="s">
        <v>7176</v>
      </c>
      <c r="FX117" s="7" t="s">
        <v>7189</v>
      </c>
      <c r="FY117" s="7" t="s">
        <v>1076</v>
      </c>
      <c r="FZ117" s="16" t="s">
        <v>7637</v>
      </c>
    </row>
    <row r="118" spans="1:182">
      <c r="A118" s="7" t="s">
        <v>1077</v>
      </c>
      <c r="D118" s="7" t="s">
        <v>7638</v>
      </c>
      <c r="E118" s="7" t="s">
        <v>1078</v>
      </c>
      <c r="F118" s="7" t="s">
        <v>7319</v>
      </c>
      <c r="G118" s="7" t="s">
        <v>7466</v>
      </c>
      <c r="H118" s="7" t="s">
        <v>792</v>
      </c>
      <c r="I118" s="7" t="s">
        <v>1079</v>
      </c>
      <c r="K118" s="7" t="s">
        <v>1079</v>
      </c>
      <c r="L118" s="2" t="s">
        <v>7471</v>
      </c>
      <c r="M118" s="7" t="s">
        <v>7138</v>
      </c>
      <c r="N118" s="7">
        <v>1955</v>
      </c>
      <c r="O118" s="7" t="s">
        <v>7139</v>
      </c>
      <c r="P118" s="2" t="s">
        <v>7140</v>
      </c>
      <c r="Q118" s="2" t="s">
        <v>7225</v>
      </c>
      <c r="R118" s="2" t="s">
        <v>7143</v>
      </c>
      <c r="S118" s="2">
        <v>31</v>
      </c>
      <c r="T118" s="2" t="s">
        <v>7143</v>
      </c>
      <c r="U118" s="2" t="s">
        <v>7143</v>
      </c>
      <c r="Y118" s="2">
        <v>50</v>
      </c>
      <c r="Z118" s="17">
        <v>1</v>
      </c>
      <c r="AA118" s="2">
        <v>50</v>
      </c>
      <c r="AB118" s="2">
        <v>50</v>
      </c>
      <c r="AC118" s="7">
        <v>40</v>
      </c>
      <c r="AD118" s="2">
        <v>50</v>
      </c>
      <c r="AE118" s="2">
        <v>10</v>
      </c>
      <c r="AF118" s="2" t="s">
        <v>7142</v>
      </c>
      <c r="AG118" s="2" t="s">
        <v>7143</v>
      </c>
      <c r="AH118" s="2" t="s">
        <v>7143</v>
      </c>
      <c r="AJ118" s="2" t="s">
        <v>7143</v>
      </c>
      <c r="AK118" s="2" t="s">
        <v>7143</v>
      </c>
      <c r="AL118" s="2" t="s">
        <v>7143</v>
      </c>
      <c r="AM118" s="2" t="s">
        <v>7143</v>
      </c>
      <c r="AN118" s="2" t="s">
        <v>7143</v>
      </c>
      <c r="AO118" s="2" t="s">
        <v>7143</v>
      </c>
      <c r="AR118" s="7">
        <v>0.3</v>
      </c>
      <c r="AS118" s="7">
        <v>1</v>
      </c>
      <c r="AT118" s="7">
        <v>0.5</v>
      </c>
      <c r="AU118" s="2" t="s">
        <v>7193</v>
      </c>
      <c r="AV118" s="2" t="s">
        <v>7193</v>
      </c>
      <c r="AW118" s="2" t="s">
        <v>7143</v>
      </c>
      <c r="AZ118" s="2" t="s">
        <v>7376</v>
      </c>
      <c r="BB118" s="2" t="s">
        <v>7146</v>
      </c>
      <c r="BC118" s="2" t="s">
        <v>7208</v>
      </c>
      <c r="BD118" s="2" t="s">
        <v>7143</v>
      </c>
      <c r="BE118" s="2" t="s">
        <v>7143</v>
      </c>
      <c r="BL118" s="2" t="s">
        <v>7195</v>
      </c>
      <c r="BO118" s="2" t="s">
        <v>7274</v>
      </c>
      <c r="BP118" s="2" t="s">
        <v>7275</v>
      </c>
      <c r="BS118" s="2" t="s">
        <v>7143</v>
      </c>
      <c r="BT118" s="2" t="s">
        <v>7215</v>
      </c>
      <c r="BV118" s="2" t="s">
        <v>7330</v>
      </c>
      <c r="BX118" s="2" t="s">
        <v>7143</v>
      </c>
      <c r="BZ118" s="2" t="s">
        <v>7173</v>
      </c>
      <c r="CE118" s="7">
        <v>0.5</v>
      </c>
      <c r="CF118" s="2">
        <v>50</v>
      </c>
      <c r="CK118" s="2">
        <v>100</v>
      </c>
      <c r="CO118" s="2">
        <v>100</v>
      </c>
      <c r="CR118" s="2" t="s">
        <v>7160</v>
      </c>
      <c r="CT118" s="2" t="s">
        <v>7143</v>
      </c>
      <c r="CU118" s="2" t="s">
        <v>7161</v>
      </c>
      <c r="CW118" s="2" t="s">
        <v>7162</v>
      </c>
      <c r="CY118" s="2" t="s">
        <v>7250</v>
      </c>
      <c r="CZ118" s="2" t="s">
        <v>7250</v>
      </c>
      <c r="DA118" s="2" t="s">
        <v>7250</v>
      </c>
      <c r="DB118" s="2" t="s">
        <v>7250</v>
      </c>
      <c r="DC118" s="2" t="s">
        <v>7321</v>
      </c>
      <c r="DD118" s="2" t="s">
        <v>7321</v>
      </c>
      <c r="DE118" s="2" t="s">
        <v>7250</v>
      </c>
      <c r="DF118" s="2" t="s">
        <v>7250</v>
      </c>
      <c r="DG118" s="2" t="s">
        <v>7250</v>
      </c>
      <c r="DH118" s="2" t="s">
        <v>7321</v>
      </c>
      <c r="DI118" s="2" t="s">
        <v>7639</v>
      </c>
      <c r="DL118" s="2" t="s">
        <v>7143</v>
      </c>
      <c r="DM118" s="2" t="s">
        <v>7143</v>
      </c>
      <c r="DP118" s="2" t="s">
        <v>7159</v>
      </c>
      <c r="DT118" s="2" t="s">
        <v>7159</v>
      </c>
      <c r="DU118" s="2" t="s">
        <v>7159</v>
      </c>
      <c r="DV118" s="2" t="s">
        <v>7159</v>
      </c>
      <c r="DW118" s="2" t="s">
        <v>7159</v>
      </c>
      <c r="DX118" s="2" t="s">
        <v>7159</v>
      </c>
      <c r="DY118" s="2" t="s">
        <v>7159</v>
      </c>
      <c r="DZ118" s="2" t="s">
        <v>7159</v>
      </c>
      <c r="EA118" s="2" t="s">
        <v>7159</v>
      </c>
      <c r="EB118" s="2" t="s">
        <v>7159</v>
      </c>
      <c r="EC118" s="2" t="s">
        <v>7159</v>
      </c>
      <c r="EF118" s="2" t="s">
        <v>7349</v>
      </c>
      <c r="EG118" s="2" t="s">
        <v>1081</v>
      </c>
      <c r="EJ118" s="2" t="s">
        <v>7217</v>
      </c>
      <c r="EK118" s="2" t="s">
        <v>7143</v>
      </c>
      <c r="EL118" s="2" t="s">
        <v>7143</v>
      </c>
      <c r="EN118" s="2" t="s">
        <v>7210</v>
      </c>
      <c r="EP118" s="2" t="s">
        <v>7186</v>
      </c>
      <c r="ER118" s="2" t="s">
        <v>7143</v>
      </c>
      <c r="ET118" s="2" t="s">
        <v>7143</v>
      </c>
      <c r="EV118" s="2" t="s">
        <v>7143</v>
      </c>
      <c r="EX118" s="2" t="s">
        <v>7143</v>
      </c>
      <c r="EZ118" s="2" t="s">
        <v>7143</v>
      </c>
      <c r="FC118" s="2" t="s">
        <v>7218</v>
      </c>
      <c r="FD118" s="2" t="s">
        <v>7143</v>
      </c>
      <c r="FH118" s="2" t="s">
        <v>7173</v>
      </c>
      <c r="FJ118" s="2" t="s">
        <v>7143</v>
      </c>
      <c r="FK118" s="2" t="s">
        <v>7173</v>
      </c>
      <c r="FR118" s="2" t="s">
        <v>545</v>
      </c>
      <c r="FT118" s="2" t="s">
        <v>7189</v>
      </c>
      <c r="FU118" s="2" t="s">
        <v>7189</v>
      </c>
      <c r="FV118" s="2" t="s">
        <v>7176</v>
      </c>
      <c r="FW118" s="2" t="s">
        <v>7176</v>
      </c>
      <c r="FZ118" s="19" t="s">
        <v>7640</v>
      </c>
    </row>
    <row r="119" spans="1:182">
      <c r="A119" s="7" t="s">
        <v>1082</v>
      </c>
      <c r="D119" s="7" t="s">
        <v>7641</v>
      </c>
      <c r="E119" s="7" t="s">
        <v>1083</v>
      </c>
      <c r="F119" s="7" t="s">
        <v>7311</v>
      </c>
      <c r="G119" s="7" t="s">
        <v>7466</v>
      </c>
      <c r="H119" s="7" t="s">
        <v>792</v>
      </c>
      <c r="I119" s="7" t="s">
        <v>1084</v>
      </c>
      <c r="J119" s="16" t="s">
        <v>7642</v>
      </c>
      <c r="K119" s="7" t="s">
        <v>1084</v>
      </c>
      <c r="L119" s="7" t="s">
        <v>7224</v>
      </c>
      <c r="M119" s="7" t="s">
        <v>7138</v>
      </c>
      <c r="N119" s="7">
        <v>1985</v>
      </c>
      <c r="O119" s="7" t="s">
        <v>7139</v>
      </c>
      <c r="P119" s="7" t="s">
        <v>7140</v>
      </c>
      <c r="Q119" s="7" t="s">
        <v>7225</v>
      </c>
      <c r="R119" s="7" t="s">
        <v>7143</v>
      </c>
      <c r="S119" s="7">
        <v>10</v>
      </c>
      <c r="T119" s="7" t="s">
        <v>7143</v>
      </c>
      <c r="U119" s="7" t="s">
        <v>7143</v>
      </c>
      <c r="Y119" s="2">
        <v>147</v>
      </c>
      <c r="Z119" s="17">
        <v>0.95240000000000002</v>
      </c>
      <c r="AA119" s="2">
        <v>140</v>
      </c>
      <c r="AB119" s="2">
        <v>140</v>
      </c>
      <c r="AC119" s="7">
        <v>140</v>
      </c>
      <c r="AD119" s="2">
        <v>150</v>
      </c>
      <c r="AE119" s="2">
        <v>10</v>
      </c>
      <c r="AF119" s="2" t="s">
        <v>7142</v>
      </c>
      <c r="AG119" s="2" t="s">
        <v>7143</v>
      </c>
      <c r="AH119" s="2" t="s">
        <v>7143</v>
      </c>
      <c r="AJ119" s="2" t="s">
        <v>7143</v>
      </c>
      <c r="AK119" s="2" t="s">
        <v>7143</v>
      </c>
      <c r="AL119" s="2" t="s">
        <v>7143</v>
      </c>
      <c r="AM119" s="2" t="s">
        <v>7142</v>
      </c>
      <c r="AN119" s="2" t="s">
        <v>7143</v>
      </c>
      <c r="AO119" s="2" t="s">
        <v>7143</v>
      </c>
      <c r="AR119" s="7">
        <v>0.4</v>
      </c>
      <c r="AS119" s="7">
        <v>1</v>
      </c>
      <c r="AT119" s="7">
        <v>1.5</v>
      </c>
      <c r="AU119" s="2" t="s">
        <v>7193</v>
      </c>
      <c r="AV119" s="2" t="s">
        <v>7193</v>
      </c>
      <c r="AW119" s="2" t="s">
        <v>7143</v>
      </c>
      <c r="BC119" s="2" t="s">
        <v>7147</v>
      </c>
      <c r="BD119" s="2" t="s">
        <v>7143</v>
      </c>
      <c r="BE119" s="2" t="s">
        <v>7143</v>
      </c>
      <c r="BL119" s="2" t="s">
        <v>7195</v>
      </c>
      <c r="BO119" s="2" t="s">
        <v>7274</v>
      </c>
      <c r="BP119" s="2" t="s">
        <v>7275</v>
      </c>
      <c r="BS119" s="2" t="s">
        <v>7142</v>
      </c>
      <c r="BT119" s="2" t="s">
        <v>7215</v>
      </c>
      <c r="BV119" s="2" t="s">
        <v>7202</v>
      </c>
      <c r="BX119" s="2" t="s">
        <v>7142</v>
      </c>
      <c r="BY119" s="2" t="s">
        <v>1085</v>
      </c>
      <c r="BZ119" s="2" t="s">
        <v>7173</v>
      </c>
      <c r="CE119" s="7">
        <v>1.5</v>
      </c>
      <c r="CF119" s="2">
        <v>150</v>
      </c>
      <c r="CK119" s="2">
        <v>100</v>
      </c>
      <c r="CP119" s="2">
        <v>100</v>
      </c>
      <c r="CR119" s="2" t="s">
        <v>7160</v>
      </c>
      <c r="CT119" s="2" t="s">
        <v>7143</v>
      </c>
      <c r="CU119" s="2" t="s">
        <v>7161</v>
      </c>
      <c r="CW119" s="2" t="s">
        <v>7162</v>
      </c>
      <c r="CY119" s="2" t="s">
        <v>7250</v>
      </c>
      <c r="CZ119" s="2" t="s">
        <v>7250</v>
      </c>
      <c r="DA119" s="2" t="s">
        <v>7250</v>
      </c>
      <c r="DB119" s="2" t="s">
        <v>7164</v>
      </c>
      <c r="DC119" s="2" t="s">
        <v>7250</v>
      </c>
      <c r="DD119" s="2" t="s">
        <v>7249</v>
      </c>
      <c r="DE119" s="2" t="s">
        <v>7250</v>
      </c>
      <c r="DF119" s="2" t="s">
        <v>7250</v>
      </c>
      <c r="DG119" s="2" t="s">
        <v>7250</v>
      </c>
      <c r="DH119" s="2" t="s">
        <v>7250</v>
      </c>
      <c r="DI119" s="2" t="s">
        <v>7250</v>
      </c>
      <c r="DL119" s="2" t="s">
        <v>7143</v>
      </c>
      <c r="DM119" s="2" t="s">
        <v>7143</v>
      </c>
      <c r="DP119" s="2" t="s">
        <v>7159</v>
      </c>
      <c r="DT119" s="2" t="s">
        <v>7159</v>
      </c>
      <c r="DU119" s="2" t="s">
        <v>7159</v>
      </c>
      <c r="DV119" s="2" t="s">
        <v>7159</v>
      </c>
      <c r="DW119" s="2" t="s">
        <v>7159</v>
      </c>
      <c r="DX119" s="2" t="s">
        <v>7159</v>
      </c>
      <c r="DY119" s="2" t="s">
        <v>7159</v>
      </c>
      <c r="DZ119" s="2" t="s">
        <v>7159</v>
      </c>
      <c r="EA119" s="2" t="s">
        <v>7159</v>
      </c>
      <c r="EB119" s="2" t="s">
        <v>7159</v>
      </c>
      <c r="EC119" s="2" t="s">
        <v>7159</v>
      </c>
      <c r="ED119" s="2" t="s">
        <v>7159</v>
      </c>
      <c r="EF119" s="2" t="s">
        <v>7252</v>
      </c>
      <c r="EG119" s="2" t="s">
        <v>1086</v>
      </c>
      <c r="EJ119" s="2" t="s">
        <v>7193</v>
      </c>
      <c r="EK119" s="2" t="s">
        <v>7143</v>
      </c>
      <c r="EL119" s="2" t="s">
        <v>7142</v>
      </c>
      <c r="EM119" s="2" t="s">
        <v>7300</v>
      </c>
      <c r="EN119" s="2" t="s">
        <v>7170</v>
      </c>
      <c r="EP119" s="2" t="s">
        <v>7186</v>
      </c>
      <c r="ER119" s="2" t="s">
        <v>7143</v>
      </c>
      <c r="ET119" s="2" t="s">
        <v>7143</v>
      </c>
      <c r="EV119" s="2" t="s">
        <v>7143</v>
      </c>
      <c r="EX119" s="2" t="s">
        <v>7143</v>
      </c>
      <c r="EZ119" s="2" t="s">
        <v>7143</v>
      </c>
      <c r="FC119" s="2" t="s">
        <v>7172</v>
      </c>
      <c r="FD119" s="2" t="s">
        <v>7143</v>
      </c>
      <c r="FH119" s="2" t="s">
        <v>7173</v>
      </c>
      <c r="FJ119" s="2" t="s">
        <v>7143</v>
      </c>
      <c r="FK119" s="2" t="s">
        <v>7159</v>
      </c>
      <c r="FR119" s="2" t="s">
        <v>1087</v>
      </c>
      <c r="FT119" s="2" t="s">
        <v>7189</v>
      </c>
      <c r="FU119" s="2" t="s">
        <v>7189</v>
      </c>
      <c r="FV119" s="2" t="s">
        <v>7189</v>
      </c>
      <c r="FW119" s="2" t="s">
        <v>7189</v>
      </c>
      <c r="FX119" s="2" t="s">
        <v>7189</v>
      </c>
      <c r="FY119" s="2" t="s">
        <v>1088</v>
      </c>
      <c r="FZ119" s="19" t="s">
        <v>7643</v>
      </c>
    </row>
    <row r="120" spans="1:182">
      <c r="A120" s="7" t="s">
        <v>1089</v>
      </c>
      <c r="D120" s="7" t="s">
        <v>7644</v>
      </c>
      <c r="E120" s="7" t="s">
        <v>177</v>
      </c>
      <c r="F120" s="7" t="s">
        <v>7245</v>
      </c>
      <c r="G120" s="7" t="s">
        <v>7466</v>
      </c>
      <c r="H120" s="7" t="s">
        <v>792</v>
      </c>
      <c r="I120" s="7" t="s">
        <v>1090</v>
      </c>
      <c r="J120" s="16" t="s">
        <v>7645</v>
      </c>
      <c r="K120" s="7" t="s">
        <v>1090</v>
      </c>
      <c r="L120" s="7" t="s">
        <v>7137</v>
      </c>
      <c r="M120" s="7" t="s">
        <v>7138</v>
      </c>
      <c r="N120" s="7">
        <v>1987</v>
      </c>
      <c r="O120" s="7" t="s">
        <v>7139</v>
      </c>
      <c r="P120" s="7" t="s">
        <v>7140</v>
      </c>
      <c r="Q120" s="7" t="s">
        <v>7141</v>
      </c>
      <c r="R120" s="2" t="s">
        <v>7143</v>
      </c>
      <c r="S120" s="7">
        <v>2012</v>
      </c>
      <c r="T120" s="7" t="s">
        <v>7143</v>
      </c>
      <c r="U120" s="7" t="s">
        <v>7143</v>
      </c>
      <c r="Y120" s="2">
        <v>350</v>
      </c>
      <c r="Z120" s="17">
        <v>0.85709999999999997</v>
      </c>
      <c r="AA120" s="2">
        <v>300</v>
      </c>
      <c r="AB120" s="2">
        <v>300</v>
      </c>
      <c r="AC120" s="7">
        <v>220</v>
      </c>
      <c r="AD120" s="2">
        <v>250</v>
      </c>
      <c r="AE120" s="2">
        <v>30</v>
      </c>
      <c r="AF120" s="2" t="s">
        <v>7142</v>
      </c>
      <c r="AG120" s="2" t="s">
        <v>7142</v>
      </c>
      <c r="AH120" s="2" t="s">
        <v>7142</v>
      </c>
      <c r="AI120" s="2" t="s">
        <v>308</v>
      </c>
      <c r="AJ120" s="2" t="s">
        <v>7143</v>
      </c>
      <c r="AK120" s="2" t="s">
        <v>7142</v>
      </c>
      <c r="AL120" s="2" t="s">
        <v>7143</v>
      </c>
      <c r="AM120" s="2" t="s">
        <v>7142</v>
      </c>
      <c r="AN120" s="2" t="s">
        <v>7143</v>
      </c>
      <c r="AO120" s="2" t="s">
        <v>7143</v>
      </c>
      <c r="AR120" s="7">
        <v>1</v>
      </c>
      <c r="AS120" s="7">
        <v>1</v>
      </c>
      <c r="AT120" s="7">
        <v>2.5</v>
      </c>
      <c r="AU120" s="2" t="s">
        <v>7193</v>
      </c>
      <c r="AV120" s="2" t="s">
        <v>7193</v>
      </c>
      <c r="AW120" s="2" t="s">
        <v>7143</v>
      </c>
      <c r="AZ120" s="7" t="s">
        <v>7376</v>
      </c>
      <c r="BB120" s="7" t="s">
        <v>7214</v>
      </c>
      <c r="BC120" s="7" t="s">
        <v>7208</v>
      </c>
      <c r="BD120" s="7" t="s">
        <v>7142</v>
      </c>
      <c r="BE120" s="7" t="s">
        <v>7142</v>
      </c>
      <c r="BF120" s="7" t="s">
        <v>7148</v>
      </c>
      <c r="BG120" s="7" t="s">
        <v>7232</v>
      </c>
      <c r="BH120" s="7" t="s">
        <v>7248</v>
      </c>
      <c r="BI120" s="7" t="s">
        <v>7151</v>
      </c>
      <c r="BL120" s="7" t="s">
        <v>7195</v>
      </c>
      <c r="BM120" s="7" t="s">
        <v>7153</v>
      </c>
      <c r="BN120" s="7" t="s">
        <v>7154</v>
      </c>
      <c r="BO120" s="7" t="s">
        <v>7155</v>
      </c>
      <c r="BP120" s="7" t="s">
        <v>7275</v>
      </c>
      <c r="BQ120" s="2" t="s">
        <v>7183</v>
      </c>
      <c r="BS120" s="2" t="s">
        <v>7142</v>
      </c>
      <c r="BT120" s="7" t="s">
        <v>7263</v>
      </c>
      <c r="BV120" s="2" t="s">
        <v>7387</v>
      </c>
      <c r="BX120" s="2" t="s">
        <v>7142</v>
      </c>
      <c r="BY120" s="2" t="s">
        <v>310</v>
      </c>
      <c r="BZ120" s="2" t="s">
        <v>7159</v>
      </c>
      <c r="CE120" s="7">
        <v>2.5</v>
      </c>
      <c r="CF120" s="2">
        <v>240</v>
      </c>
      <c r="CK120" s="2">
        <v>100</v>
      </c>
      <c r="CO120" s="2">
        <v>100</v>
      </c>
      <c r="CR120" s="2" t="s">
        <v>7160</v>
      </c>
      <c r="CU120" s="2" t="s">
        <v>7234</v>
      </c>
      <c r="CW120" s="2" t="s">
        <v>7162</v>
      </c>
      <c r="CY120" s="2" t="s">
        <v>7163</v>
      </c>
      <c r="CZ120" s="2" t="s">
        <v>7163</v>
      </c>
      <c r="DA120" s="2" t="s">
        <v>7250</v>
      </c>
      <c r="DB120" s="2" t="s">
        <v>7250</v>
      </c>
      <c r="DC120" s="2" t="s">
        <v>7250</v>
      </c>
      <c r="DD120" s="2" t="s">
        <v>7251</v>
      </c>
      <c r="DE120" s="2" t="s">
        <v>7250</v>
      </c>
      <c r="DF120" s="2" t="s">
        <v>7163</v>
      </c>
      <c r="DG120" s="2" t="s">
        <v>7163</v>
      </c>
      <c r="DH120" s="2" t="s">
        <v>7227</v>
      </c>
      <c r="DI120" s="2" t="s">
        <v>7164</v>
      </c>
      <c r="DL120" s="7" t="s">
        <v>7143</v>
      </c>
      <c r="DM120" s="2" t="s">
        <v>7142</v>
      </c>
      <c r="DN120" s="2" t="s">
        <v>7142</v>
      </c>
      <c r="DO120" s="2" t="s">
        <v>7142</v>
      </c>
      <c r="DP120" s="7" t="s">
        <v>7165</v>
      </c>
      <c r="DQ120" s="2" t="s">
        <v>7166</v>
      </c>
      <c r="DT120" s="2" t="s">
        <v>7165</v>
      </c>
      <c r="DU120" s="2" t="s">
        <v>7165</v>
      </c>
      <c r="DV120" s="2" t="s">
        <v>7165</v>
      </c>
      <c r="DW120" s="2" t="s">
        <v>7165</v>
      </c>
      <c r="DX120" s="2" t="s">
        <v>7165</v>
      </c>
      <c r="DY120" s="2" t="s">
        <v>7159</v>
      </c>
      <c r="DZ120" s="2" t="s">
        <v>7159</v>
      </c>
      <c r="EA120" s="2" t="s">
        <v>7165</v>
      </c>
      <c r="EB120" s="2" t="s">
        <v>7159</v>
      </c>
      <c r="EC120" s="2" t="s">
        <v>7159</v>
      </c>
      <c r="EF120" s="7" t="s">
        <v>7167</v>
      </c>
      <c r="EJ120" s="7" t="s">
        <v>7193</v>
      </c>
      <c r="EK120" s="7" t="s">
        <v>7142</v>
      </c>
      <c r="EL120" s="7" t="s">
        <v>7143</v>
      </c>
      <c r="EN120" s="7" t="s">
        <v>7170</v>
      </c>
      <c r="EP120" s="7" t="s">
        <v>7186</v>
      </c>
      <c r="ER120" s="2" t="s">
        <v>7142</v>
      </c>
      <c r="ET120" s="2" t="s">
        <v>7143</v>
      </c>
      <c r="EV120" s="2" t="s">
        <v>7143</v>
      </c>
      <c r="EX120" s="2" t="s">
        <v>7142</v>
      </c>
      <c r="EY120" s="2" t="s">
        <v>7204</v>
      </c>
      <c r="EZ120" s="2" t="s">
        <v>7143</v>
      </c>
      <c r="FC120" s="2" t="s">
        <v>7172</v>
      </c>
      <c r="FD120" s="2" t="s">
        <v>7143</v>
      </c>
      <c r="FH120" s="7" t="s">
        <v>7173</v>
      </c>
      <c r="FJ120" s="7" t="s">
        <v>7142</v>
      </c>
      <c r="FK120" s="7" t="s">
        <v>7159</v>
      </c>
      <c r="FN120" s="2" t="s">
        <v>7646</v>
      </c>
      <c r="FO120" s="2" t="s">
        <v>1092</v>
      </c>
      <c r="FT120" s="2" t="s">
        <v>7176</v>
      </c>
      <c r="FU120" s="2" t="s">
        <v>7189</v>
      </c>
      <c r="FV120" s="2" t="s">
        <v>7189</v>
      </c>
      <c r="FW120" s="2" t="s">
        <v>7189</v>
      </c>
      <c r="FZ120" s="19" t="s">
        <v>7647</v>
      </c>
    </row>
    <row r="121" spans="1:182">
      <c r="A121" s="7" t="s">
        <v>1093</v>
      </c>
      <c r="D121" s="7" t="s">
        <v>7648</v>
      </c>
      <c r="E121" s="7" t="s">
        <v>1094</v>
      </c>
      <c r="F121" s="7" t="s">
        <v>7389</v>
      </c>
      <c r="G121" s="7" t="s">
        <v>7488</v>
      </c>
      <c r="H121" s="7" t="s">
        <v>1095</v>
      </c>
      <c r="I121" s="7" t="s">
        <v>1096</v>
      </c>
      <c r="J121" s="16" t="s">
        <v>7649</v>
      </c>
      <c r="K121" s="7" t="s">
        <v>1096</v>
      </c>
      <c r="L121" s="2" t="s">
        <v>7137</v>
      </c>
      <c r="M121" s="7" t="s">
        <v>7138</v>
      </c>
      <c r="N121" s="7">
        <v>1991</v>
      </c>
      <c r="O121" s="7" t="s">
        <v>7180</v>
      </c>
      <c r="P121" s="2" t="s">
        <v>7140</v>
      </c>
      <c r="Q121" s="2" t="s">
        <v>7650</v>
      </c>
      <c r="R121" s="2" t="s">
        <v>7143</v>
      </c>
      <c r="S121" s="2">
        <v>20</v>
      </c>
      <c r="T121" s="2" t="s">
        <v>7143</v>
      </c>
      <c r="U121" s="2" t="s">
        <v>7143</v>
      </c>
      <c r="Y121" s="2">
        <v>500</v>
      </c>
      <c r="Z121" s="17">
        <v>1</v>
      </c>
      <c r="AA121" s="2">
        <v>500</v>
      </c>
      <c r="AB121" s="2">
        <v>500</v>
      </c>
      <c r="AC121" s="7">
        <v>500</v>
      </c>
      <c r="AD121" s="2">
        <v>600</v>
      </c>
      <c r="AE121" s="2">
        <v>100</v>
      </c>
      <c r="AF121" s="2" t="s">
        <v>7143</v>
      </c>
      <c r="AG121" s="2" t="s">
        <v>7143</v>
      </c>
      <c r="AH121" s="2" t="s">
        <v>7143</v>
      </c>
      <c r="AJ121" s="2" t="s">
        <v>7143</v>
      </c>
      <c r="AK121" s="2" t="s">
        <v>7143</v>
      </c>
      <c r="AL121" s="2" t="s">
        <v>7143</v>
      </c>
      <c r="AM121" s="2" t="s">
        <v>7143</v>
      </c>
      <c r="AN121" s="2" t="s">
        <v>7143</v>
      </c>
      <c r="AO121" s="2" t="s">
        <v>7143</v>
      </c>
      <c r="AR121" s="7">
        <v>2.7</v>
      </c>
      <c r="AS121" s="7">
        <v>4</v>
      </c>
      <c r="AT121" s="7">
        <v>4.5</v>
      </c>
      <c r="AU121" s="2" t="s">
        <v>7217</v>
      </c>
      <c r="AV121" s="2" t="s">
        <v>7193</v>
      </c>
      <c r="AW121" s="2" t="s">
        <v>7143</v>
      </c>
      <c r="AZ121" s="2" t="s">
        <v>7145</v>
      </c>
      <c r="BB121" s="2" t="s">
        <v>7214</v>
      </c>
      <c r="BC121" s="2" t="s">
        <v>7147</v>
      </c>
      <c r="BD121" s="2" t="s">
        <v>7143</v>
      </c>
      <c r="BE121" s="2" t="s">
        <v>7143</v>
      </c>
      <c r="BL121" s="2" t="s">
        <v>7152</v>
      </c>
      <c r="BM121" s="2" t="s">
        <v>7355</v>
      </c>
      <c r="BN121" s="2" t="s">
        <v>7154</v>
      </c>
      <c r="BO121" s="2" t="s">
        <v>7155</v>
      </c>
      <c r="BQ121" s="2" t="s">
        <v>7183</v>
      </c>
      <c r="BS121" s="2" t="s">
        <v>7142</v>
      </c>
      <c r="BT121" s="2" t="s">
        <v>7416</v>
      </c>
      <c r="BV121" s="2" t="s">
        <v>7624</v>
      </c>
      <c r="BX121" s="2" t="s">
        <v>7142</v>
      </c>
      <c r="BY121" s="2" t="s">
        <v>1098</v>
      </c>
      <c r="BZ121" s="2" t="s">
        <v>7173</v>
      </c>
      <c r="CE121" s="7">
        <v>4.5</v>
      </c>
      <c r="CF121" s="2">
        <v>600</v>
      </c>
      <c r="CK121" s="2">
        <v>100</v>
      </c>
      <c r="CO121" s="2">
        <v>100</v>
      </c>
      <c r="CR121" s="2" t="s">
        <v>7651</v>
      </c>
      <c r="CT121" s="2" t="s">
        <v>7143</v>
      </c>
      <c r="CU121" s="2" t="s">
        <v>7161</v>
      </c>
      <c r="CW121" s="2" t="s">
        <v>7162</v>
      </c>
      <c r="CY121" s="2" t="s">
        <v>7358</v>
      </c>
      <c r="CZ121" s="2" t="s">
        <v>7582</v>
      </c>
      <c r="DA121" s="2" t="s">
        <v>7250</v>
      </c>
      <c r="DB121" s="2" t="s">
        <v>7582</v>
      </c>
      <c r="DC121" s="2" t="s">
        <v>7250</v>
      </c>
      <c r="DD121" s="2" t="s">
        <v>7250</v>
      </c>
      <c r="DE121" s="2" t="s">
        <v>7250</v>
      </c>
      <c r="DF121" s="2" t="s">
        <v>7250</v>
      </c>
      <c r="DG121" s="2" t="s">
        <v>7582</v>
      </c>
      <c r="DH121" s="2" t="s">
        <v>7582</v>
      </c>
      <c r="DI121" s="2" t="s">
        <v>7582</v>
      </c>
      <c r="DL121" s="2" t="s">
        <v>7143</v>
      </c>
      <c r="DM121" s="2" t="s">
        <v>7143</v>
      </c>
      <c r="DP121" s="2" t="s">
        <v>7159</v>
      </c>
      <c r="DT121" s="2" t="s">
        <v>7159</v>
      </c>
      <c r="DU121" s="2" t="s">
        <v>7159</v>
      </c>
      <c r="DV121" s="2" t="s">
        <v>7159</v>
      </c>
      <c r="DW121" s="2" t="s">
        <v>7159</v>
      </c>
      <c r="DX121" s="2" t="s">
        <v>7159</v>
      </c>
      <c r="DY121" s="2" t="s">
        <v>7159</v>
      </c>
      <c r="DZ121" s="2" t="s">
        <v>7159</v>
      </c>
      <c r="EA121" s="2" t="s">
        <v>7159</v>
      </c>
      <c r="EB121" s="2" t="s">
        <v>7159</v>
      </c>
      <c r="EC121" s="2" t="s">
        <v>7159</v>
      </c>
      <c r="ED121" s="2" t="s">
        <v>7159</v>
      </c>
      <c r="EE121" s="2" t="s">
        <v>1100</v>
      </c>
      <c r="EF121" s="2" t="s">
        <v>7221</v>
      </c>
      <c r="EG121" s="2" t="s">
        <v>1101</v>
      </c>
      <c r="EJ121" s="2" t="s">
        <v>7144</v>
      </c>
      <c r="EK121" s="2" t="s">
        <v>7142</v>
      </c>
      <c r="EL121" s="2" t="s">
        <v>7143</v>
      </c>
      <c r="EN121" s="2" t="s">
        <v>7210</v>
      </c>
      <c r="EP121" s="2" t="s">
        <v>7186</v>
      </c>
      <c r="ER121" s="2" t="s">
        <v>7143</v>
      </c>
      <c r="ET121" s="2" t="s">
        <v>7143</v>
      </c>
      <c r="EV121" s="2" t="s">
        <v>7143</v>
      </c>
      <c r="EX121" s="2" t="s">
        <v>7143</v>
      </c>
      <c r="EZ121" s="2" t="s">
        <v>7143</v>
      </c>
      <c r="FC121" s="2" t="s">
        <v>7172</v>
      </c>
      <c r="FD121" s="2" t="s">
        <v>7143</v>
      </c>
      <c r="FH121" s="2" t="s">
        <v>7173</v>
      </c>
      <c r="FJ121" s="2" t="s">
        <v>7143</v>
      </c>
      <c r="FK121" s="2" t="s">
        <v>7165</v>
      </c>
      <c r="FL121" s="2" t="s">
        <v>7652</v>
      </c>
      <c r="FN121" s="2" t="s">
        <v>7322</v>
      </c>
      <c r="FR121" s="2" t="s">
        <v>1103</v>
      </c>
      <c r="FT121" s="2" t="s">
        <v>7189</v>
      </c>
      <c r="FU121" s="2" t="s">
        <v>7176</v>
      </c>
      <c r="FV121" s="2" t="s">
        <v>7176</v>
      </c>
      <c r="FW121" s="2" t="s">
        <v>7176</v>
      </c>
      <c r="FZ121" s="19" t="s">
        <v>7653</v>
      </c>
    </row>
    <row r="122" spans="1:182">
      <c r="A122" s="7" t="s">
        <v>1104</v>
      </c>
      <c r="D122" s="7" t="s">
        <v>7654</v>
      </c>
      <c r="E122" s="7" t="s">
        <v>1105</v>
      </c>
      <c r="F122" s="7" t="s">
        <v>7319</v>
      </c>
      <c r="G122" s="7" t="s">
        <v>7466</v>
      </c>
      <c r="H122" s="7" t="s">
        <v>792</v>
      </c>
      <c r="I122" s="7" t="s">
        <v>1106</v>
      </c>
      <c r="J122" s="16" t="s">
        <v>7655</v>
      </c>
      <c r="K122" s="7" t="s">
        <v>1107</v>
      </c>
      <c r="L122" s="7" t="s">
        <v>7137</v>
      </c>
      <c r="M122" s="7" t="s">
        <v>7179</v>
      </c>
      <c r="N122" s="7">
        <v>1999</v>
      </c>
      <c r="O122" s="7" t="s">
        <v>7139</v>
      </c>
      <c r="P122" s="7" t="s">
        <v>7181</v>
      </c>
      <c r="Q122" s="7" t="s">
        <v>7225</v>
      </c>
      <c r="R122" s="7" t="s">
        <v>7143</v>
      </c>
      <c r="S122" s="7">
        <v>12</v>
      </c>
      <c r="T122" s="7" t="s">
        <v>7143</v>
      </c>
      <c r="U122" s="7" t="s">
        <v>7143</v>
      </c>
      <c r="Y122" s="7">
        <v>230</v>
      </c>
      <c r="Z122" s="17">
        <v>0.82609999999999995</v>
      </c>
      <c r="AA122" s="7">
        <v>190</v>
      </c>
      <c r="AB122" s="7">
        <v>175</v>
      </c>
      <c r="AC122" s="7">
        <v>155</v>
      </c>
      <c r="AD122" s="7">
        <v>180</v>
      </c>
      <c r="AE122" s="7">
        <v>25</v>
      </c>
      <c r="AF122" s="7" t="s">
        <v>7142</v>
      </c>
      <c r="AG122" s="7" t="s">
        <v>7143</v>
      </c>
      <c r="AH122" s="7" t="s">
        <v>7143</v>
      </c>
      <c r="AJ122" s="7" t="s">
        <v>7143</v>
      </c>
      <c r="AK122" s="7" t="s">
        <v>7142</v>
      </c>
      <c r="AL122" s="7" t="s">
        <v>7143</v>
      </c>
      <c r="AM122" s="7" t="s">
        <v>7142</v>
      </c>
      <c r="AN122" s="7" t="s">
        <v>7143</v>
      </c>
      <c r="AO122" s="7" t="s">
        <v>7143</v>
      </c>
      <c r="AR122" s="7">
        <v>0.7</v>
      </c>
      <c r="AS122" s="7">
        <v>4</v>
      </c>
      <c r="AT122" s="7">
        <v>1.8</v>
      </c>
      <c r="AU122" s="7" t="s">
        <v>7193</v>
      </c>
      <c r="AV122" s="7" t="s">
        <v>7193</v>
      </c>
      <c r="AW122" s="7" t="s">
        <v>7143</v>
      </c>
      <c r="AZ122" s="7" t="s">
        <v>7286</v>
      </c>
      <c r="BB122" s="2" t="s">
        <v>7214</v>
      </c>
      <c r="BC122" s="7" t="s">
        <v>7147</v>
      </c>
      <c r="BD122" s="7" t="s">
        <v>7143</v>
      </c>
      <c r="BE122" s="7" t="s">
        <v>7143</v>
      </c>
      <c r="BL122" s="7" t="s">
        <v>7195</v>
      </c>
      <c r="BO122" s="7" t="s">
        <v>7274</v>
      </c>
      <c r="BP122" s="7" t="s">
        <v>7275</v>
      </c>
      <c r="BQ122" s="2" t="s">
        <v>7156</v>
      </c>
      <c r="BS122" s="7" t="s">
        <v>7143</v>
      </c>
      <c r="BT122" s="7" t="s">
        <v>7238</v>
      </c>
      <c r="BU122" s="7" t="s">
        <v>1108</v>
      </c>
      <c r="BV122" s="7" t="s">
        <v>7352</v>
      </c>
      <c r="BX122" s="7" t="s">
        <v>7143</v>
      </c>
      <c r="BZ122" s="7" t="s">
        <v>7173</v>
      </c>
      <c r="CE122" s="7">
        <v>1.8</v>
      </c>
      <c r="CF122" s="7">
        <v>180</v>
      </c>
      <c r="CK122" s="7">
        <v>100</v>
      </c>
      <c r="CO122" s="7">
        <v>100</v>
      </c>
      <c r="CR122" s="7" t="s">
        <v>7160</v>
      </c>
      <c r="CS122" s="7"/>
      <c r="CT122" s="7" t="s">
        <v>7143</v>
      </c>
      <c r="CU122" s="7" t="s">
        <v>7161</v>
      </c>
      <c r="CV122" s="7"/>
      <c r="CW122" s="7" t="s">
        <v>7162</v>
      </c>
      <c r="CY122" s="7" t="s">
        <v>7250</v>
      </c>
      <c r="CZ122" s="7" t="s">
        <v>7250</v>
      </c>
      <c r="DA122" s="7" t="s">
        <v>7249</v>
      </c>
      <c r="DB122" s="7" t="s">
        <v>7250</v>
      </c>
      <c r="DC122" s="7" t="s">
        <v>7321</v>
      </c>
      <c r="DD122" s="7" t="s">
        <v>7250</v>
      </c>
      <c r="DE122" s="7" t="s">
        <v>7250</v>
      </c>
      <c r="DF122" s="7" t="s">
        <v>7250</v>
      </c>
      <c r="DG122" s="7" t="s">
        <v>7250</v>
      </c>
      <c r="DH122" s="7" t="s">
        <v>7250</v>
      </c>
      <c r="DI122" s="7" t="s">
        <v>7250</v>
      </c>
      <c r="DL122" s="7" t="s">
        <v>7143</v>
      </c>
      <c r="DM122" s="7" t="s">
        <v>7143</v>
      </c>
      <c r="DP122" s="7" t="s">
        <v>7159</v>
      </c>
      <c r="DS122" s="7" t="s">
        <v>7159</v>
      </c>
      <c r="DT122" s="2" t="s">
        <v>7159</v>
      </c>
      <c r="DU122" s="2" t="s">
        <v>7159</v>
      </c>
      <c r="DV122" s="2" t="s">
        <v>7159</v>
      </c>
      <c r="DW122" s="2" t="s">
        <v>7159</v>
      </c>
      <c r="DX122" s="2" t="s">
        <v>7159</v>
      </c>
      <c r="DY122" s="2" t="s">
        <v>7159</v>
      </c>
      <c r="DZ122" s="2" t="s">
        <v>7159</v>
      </c>
      <c r="EA122" s="2" t="s">
        <v>7159</v>
      </c>
      <c r="EB122" s="2" t="s">
        <v>7159</v>
      </c>
      <c r="EC122" s="2" t="s">
        <v>7159</v>
      </c>
      <c r="EF122" s="7" t="s">
        <v>7252</v>
      </c>
      <c r="EG122" s="7" t="s">
        <v>1109</v>
      </c>
      <c r="EJ122" s="7" t="s">
        <v>7217</v>
      </c>
      <c r="EK122" s="7" t="s">
        <v>7143</v>
      </c>
      <c r="EL122" s="7" t="s">
        <v>7143</v>
      </c>
      <c r="EN122" s="7" t="s">
        <v>7170</v>
      </c>
      <c r="EP122" s="7" t="s">
        <v>7186</v>
      </c>
      <c r="ER122" s="7" t="s">
        <v>7143</v>
      </c>
      <c r="ET122" s="7" t="s">
        <v>7143</v>
      </c>
      <c r="EV122" s="7" t="s">
        <v>7143</v>
      </c>
      <c r="EX122" s="7" t="s">
        <v>7143</v>
      </c>
      <c r="EZ122" s="7" t="s">
        <v>7143</v>
      </c>
      <c r="FC122" s="7" t="s">
        <v>7218</v>
      </c>
      <c r="FD122" s="7" t="s">
        <v>7143</v>
      </c>
      <c r="FH122" s="7" t="s">
        <v>7173</v>
      </c>
      <c r="FJ122" s="7" t="s">
        <v>7143</v>
      </c>
      <c r="FK122" s="7" t="s">
        <v>7173</v>
      </c>
      <c r="FN122" s="7" t="s">
        <v>7322</v>
      </c>
      <c r="FR122" s="7" t="s">
        <v>1110</v>
      </c>
      <c r="FT122" s="7" t="s">
        <v>7176</v>
      </c>
      <c r="FU122" s="2" t="s">
        <v>7189</v>
      </c>
      <c r="FV122" s="2" t="s">
        <v>7189</v>
      </c>
      <c r="FW122" s="7" t="s">
        <v>7176</v>
      </c>
      <c r="FZ122" s="19" t="s">
        <v>7656</v>
      </c>
    </row>
    <row r="123" spans="1:182">
      <c r="A123" s="7" t="s">
        <v>1111</v>
      </c>
      <c r="D123" s="7" t="s">
        <v>7657</v>
      </c>
      <c r="E123" s="7" t="s">
        <v>1112</v>
      </c>
      <c r="F123" s="7" t="s">
        <v>7389</v>
      </c>
      <c r="G123" s="7" t="s">
        <v>7488</v>
      </c>
      <c r="H123" s="7" t="s">
        <v>1113</v>
      </c>
      <c r="I123" s="7" t="s">
        <v>1114</v>
      </c>
      <c r="J123" s="16" t="s">
        <v>7658</v>
      </c>
      <c r="K123" s="7" t="s">
        <v>1114</v>
      </c>
      <c r="L123" s="2" t="s">
        <v>7137</v>
      </c>
      <c r="M123" s="7" t="s">
        <v>7138</v>
      </c>
      <c r="N123" s="7">
        <v>1969</v>
      </c>
      <c r="O123" s="2" t="s">
        <v>7180</v>
      </c>
      <c r="P123" s="7" t="s">
        <v>7140</v>
      </c>
      <c r="Q123" s="2" t="s">
        <v>7141</v>
      </c>
      <c r="R123" s="2" t="s">
        <v>7143</v>
      </c>
      <c r="S123" s="2">
        <v>5</v>
      </c>
      <c r="T123" s="2" t="s">
        <v>7143</v>
      </c>
      <c r="U123" s="2" t="s">
        <v>7142</v>
      </c>
      <c r="Y123" s="2">
        <v>800</v>
      </c>
      <c r="Z123" s="17">
        <v>1</v>
      </c>
      <c r="AA123" s="2">
        <v>800</v>
      </c>
      <c r="AB123" s="2">
        <v>800</v>
      </c>
      <c r="AC123" s="7">
        <v>800</v>
      </c>
      <c r="AD123" s="2">
        <v>1200</v>
      </c>
      <c r="AE123" s="2">
        <v>400</v>
      </c>
      <c r="AF123" s="2" t="s">
        <v>7143</v>
      </c>
      <c r="AG123" s="2" t="s">
        <v>7143</v>
      </c>
      <c r="AH123" s="2" t="s">
        <v>7143</v>
      </c>
      <c r="AJ123" s="2" t="s">
        <v>7143</v>
      </c>
      <c r="AK123" s="2" t="s">
        <v>7143</v>
      </c>
      <c r="AL123" s="2" t="s">
        <v>7143</v>
      </c>
      <c r="AM123" s="2" t="s">
        <v>7143</v>
      </c>
      <c r="AN123" s="2" t="s">
        <v>7143</v>
      </c>
      <c r="AO123" s="2" t="s">
        <v>7143</v>
      </c>
      <c r="AR123" s="7">
        <v>3</v>
      </c>
      <c r="AS123" s="7">
        <v>1</v>
      </c>
      <c r="AT123" s="7">
        <v>10</v>
      </c>
      <c r="AU123" s="2" t="s">
        <v>7193</v>
      </c>
      <c r="AV123" s="2" t="s">
        <v>7144</v>
      </c>
      <c r="AW123" s="2" t="s">
        <v>7143</v>
      </c>
      <c r="AZ123" s="2" t="s">
        <v>7145</v>
      </c>
      <c r="BB123" s="2" t="s">
        <v>7214</v>
      </c>
      <c r="BC123" s="2" t="s">
        <v>7247</v>
      </c>
      <c r="BD123" s="2" t="s">
        <v>7143</v>
      </c>
      <c r="BE123" s="2" t="s">
        <v>7142</v>
      </c>
      <c r="BF123" s="2" t="s">
        <v>7148</v>
      </c>
      <c r="BG123" s="2" t="s">
        <v>7232</v>
      </c>
      <c r="BH123" s="2" t="s">
        <v>7248</v>
      </c>
      <c r="BI123" s="2" t="s">
        <v>7151</v>
      </c>
      <c r="BL123" s="2" t="s">
        <v>7152</v>
      </c>
      <c r="BM123" s="2" t="s">
        <v>7355</v>
      </c>
      <c r="BN123" s="2" t="s">
        <v>7154</v>
      </c>
      <c r="BO123" s="2" t="s">
        <v>7155</v>
      </c>
      <c r="BQ123" s="2" t="s">
        <v>7183</v>
      </c>
      <c r="BS123" s="2" t="s">
        <v>7142</v>
      </c>
      <c r="BT123" s="2" t="s">
        <v>7391</v>
      </c>
      <c r="BV123" s="2" t="s">
        <v>7624</v>
      </c>
      <c r="BX123" s="2" t="s">
        <v>7143</v>
      </c>
      <c r="BZ123" s="2" t="s">
        <v>7173</v>
      </c>
      <c r="CE123" s="7">
        <v>10</v>
      </c>
      <c r="CF123" s="2">
        <v>1200</v>
      </c>
      <c r="CK123" s="2">
        <v>100</v>
      </c>
      <c r="CO123" s="2">
        <v>100</v>
      </c>
      <c r="CR123" s="2" t="s">
        <v>7160</v>
      </c>
      <c r="CT123" s="2" t="s">
        <v>7143</v>
      </c>
      <c r="CU123" s="2" t="s">
        <v>7161</v>
      </c>
      <c r="CW123" s="2" t="s">
        <v>7162</v>
      </c>
      <c r="CY123" s="2" t="s">
        <v>7358</v>
      </c>
      <c r="CZ123" s="2" t="s">
        <v>7250</v>
      </c>
      <c r="DA123" s="2" t="s">
        <v>7250</v>
      </c>
      <c r="DB123" s="2" t="s">
        <v>7250</v>
      </c>
      <c r="DC123" s="2" t="s">
        <v>7582</v>
      </c>
      <c r="DD123" s="2" t="s">
        <v>7250</v>
      </c>
      <c r="DE123" s="2" t="s">
        <v>7250</v>
      </c>
      <c r="DF123" s="2" t="s">
        <v>7250</v>
      </c>
      <c r="DG123" s="2" t="s">
        <v>7582</v>
      </c>
      <c r="DH123" s="2" t="s">
        <v>7582</v>
      </c>
      <c r="DI123" s="2" t="s">
        <v>7582</v>
      </c>
      <c r="DL123" s="2" t="s">
        <v>7143</v>
      </c>
      <c r="DM123" s="2" t="s">
        <v>7143</v>
      </c>
      <c r="DP123" s="2" t="s">
        <v>7159</v>
      </c>
      <c r="DT123" s="2" t="s">
        <v>7165</v>
      </c>
      <c r="DU123" s="2" t="s">
        <v>7165</v>
      </c>
      <c r="DV123" s="2" t="s">
        <v>7165</v>
      </c>
      <c r="DW123" s="2" t="s">
        <v>7165</v>
      </c>
      <c r="DX123" s="2" t="s">
        <v>7165</v>
      </c>
      <c r="DY123" s="2" t="s">
        <v>7159</v>
      </c>
      <c r="DZ123" s="2" t="s">
        <v>7159</v>
      </c>
      <c r="EA123" s="2" t="s">
        <v>7159</v>
      </c>
      <c r="EB123" s="2" t="s">
        <v>7165</v>
      </c>
      <c r="EC123" s="2" t="s">
        <v>7173</v>
      </c>
      <c r="EF123" s="2" t="s">
        <v>7221</v>
      </c>
      <c r="EG123" s="2" t="s">
        <v>1115</v>
      </c>
      <c r="EJ123" s="2" t="s">
        <v>7217</v>
      </c>
      <c r="EK123" s="2" t="s">
        <v>7143</v>
      </c>
      <c r="EL123" s="2" t="s">
        <v>7143</v>
      </c>
      <c r="EN123" s="2" t="s">
        <v>7210</v>
      </c>
      <c r="EP123" s="2" t="s">
        <v>7186</v>
      </c>
      <c r="ER123" s="2" t="s">
        <v>7143</v>
      </c>
      <c r="ET123" s="2" t="s">
        <v>7143</v>
      </c>
      <c r="EV123" s="2" t="s">
        <v>7143</v>
      </c>
      <c r="EX123" s="2" t="s">
        <v>7143</v>
      </c>
      <c r="EZ123" s="2" t="s">
        <v>7143</v>
      </c>
      <c r="FC123" s="2" t="s">
        <v>7218</v>
      </c>
      <c r="FD123" s="2" t="s">
        <v>7143</v>
      </c>
      <c r="FH123" s="2" t="s">
        <v>7173</v>
      </c>
      <c r="FJ123" s="2" t="s">
        <v>7143</v>
      </c>
      <c r="FK123" s="2" t="s">
        <v>7159</v>
      </c>
      <c r="FN123" s="2" t="s">
        <v>7583</v>
      </c>
      <c r="FR123" s="2" t="s">
        <v>1116</v>
      </c>
      <c r="FT123" s="2" t="s">
        <v>7189</v>
      </c>
      <c r="FU123" s="2" t="s">
        <v>7176</v>
      </c>
      <c r="FV123" s="2" t="s">
        <v>7176</v>
      </c>
      <c r="FW123" s="2" t="s">
        <v>7189</v>
      </c>
      <c r="FZ123" s="19" t="s">
        <v>7659</v>
      </c>
    </row>
    <row r="124" spans="1:182">
      <c r="A124" s="7" t="s">
        <v>1117</v>
      </c>
      <c r="D124" s="7" t="s">
        <v>7660</v>
      </c>
      <c r="E124" s="7" t="s">
        <v>1118</v>
      </c>
      <c r="F124" s="7" t="s">
        <v>7389</v>
      </c>
      <c r="G124" s="7" t="s">
        <v>7488</v>
      </c>
      <c r="H124" s="7" t="s">
        <v>1095</v>
      </c>
      <c r="I124" s="7" t="s">
        <v>1119</v>
      </c>
      <c r="J124" s="16" t="s">
        <v>7661</v>
      </c>
      <c r="K124" s="7" t="s">
        <v>1119</v>
      </c>
      <c r="L124" s="2" t="s">
        <v>7137</v>
      </c>
      <c r="M124" s="7" t="s">
        <v>7138</v>
      </c>
      <c r="N124" s="7">
        <v>1989</v>
      </c>
      <c r="O124" s="7" t="s">
        <v>7180</v>
      </c>
      <c r="P124" s="2" t="s">
        <v>7140</v>
      </c>
      <c r="Q124" s="2" t="s">
        <v>7182</v>
      </c>
      <c r="R124" s="2" t="s">
        <v>7143</v>
      </c>
      <c r="S124" s="2">
        <v>25</v>
      </c>
      <c r="T124" s="2" t="s">
        <v>7143</v>
      </c>
      <c r="U124" s="2" t="s">
        <v>7143</v>
      </c>
      <c r="Y124" s="2">
        <v>750</v>
      </c>
      <c r="Z124" s="17">
        <v>1</v>
      </c>
      <c r="AA124" s="2">
        <v>750</v>
      </c>
      <c r="AB124" s="2">
        <v>750</v>
      </c>
      <c r="AC124" s="7">
        <v>750</v>
      </c>
      <c r="AD124" s="2">
        <v>900</v>
      </c>
      <c r="AE124" s="2">
        <v>150</v>
      </c>
      <c r="AF124" s="2" t="s">
        <v>7143</v>
      </c>
      <c r="AG124" s="2" t="s">
        <v>7143</v>
      </c>
      <c r="AH124" s="2" t="s">
        <v>7143</v>
      </c>
      <c r="AJ124" s="2" t="s">
        <v>7143</v>
      </c>
      <c r="AK124" s="2" t="s">
        <v>7143</v>
      </c>
      <c r="AL124" s="2" t="s">
        <v>7143</v>
      </c>
      <c r="AM124" s="2" t="s">
        <v>7143</v>
      </c>
      <c r="AN124" s="2" t="s">
        <v>7143</v>
      </c>
      <c r="AO124" s="2" t="s">
        <v>7143</v>
      </c>
      <c r="AR124" s="7">
        <v>2</v>
      </c>
      <c r="AS124" s="7">
        <v>2</v>
      </c>
      <c r="AT124" s="7">
        <v>7.5</v>
      </c>
      <c r="AU124" s="2" t="s">
        <v>7193</v>
      </c>
      <c r="AV124" s="2" t="s">
        <v>7144</v>
      </c>
      <c r="AW124" s="2" t="s">
        <v>7143</v>
      </c>
      <c r="AZ124" s="2" t="s">
        <v>7145</v>
      </c>
      <c r="BB124" s="2" t="s">
        <v>7146</v>
      </c>
      <c r="BC124" s="2" t="s">
        <v>7247</v>
      </c>
      <c r="BD124" s="2" t="s">
        <v>7143</v>
      </c>
      <c r="BE124" s="2" t="s">
        <v>7142</v>
      </c>
      <c r="BF124" s="2" t="s">
        <v>7148</v>
      </c>
      <c r="BG124" s="2" t="s">
        <v>7149</v>
      </c>
      <c r="BH124" s="2" t="s">
        <v>7248</v>
      </c>
      <c r="BI124" s="2" t="s">
        <v>7567</v>
      </c>
      <c r="BL124" s="2" t="s">
        <v>7152</v>
      </c>
      <c r="BM124" s="2" t="s">
        <v>7355</v>
      </c>
      <c r="BN124" s="2" t="s">
        <v>7154</v>
      </c>
      <c r="BO124" s="2" t="s">
        <v>7155</v>
      </c>
      <c r="BQ124" s="2" t="s">
        <v>7183</v>
      </c>
      <c r="BS124" s="2" t="s">
        <v>7142</v>
      </c>
      <c r="BT124" s="2" t="s">
        <v>7416</v>
      </c>
      <c r="BV124" s="2" t="s">
        <v>7624</v>
      </c>
      <c r="BX124" s="2" t="s">
        <v>7143</v>
      </c>
      <c r="BZ124" s="2" t="s">
        <v>7159</v>
      </c>
      <c r="CE124" s="7">
        <v>7.5</v>
      </c>
      <c r="CF124" s="2">
        <v>900</v>
      </c>
      <c r="CK124" s="2">
        <v>100</v>
      </c>
      <c r="CO124" s="2">
        <v>100</v>
      </c>
      <c r="CR124" s="2" t="s">
        <v>7160</v>
      </c>
      <c r="CT124" s="2" t="s">
        <v>7143</v>
      </c>
      <c r="CU124" s="2" t="s">
        <v>7161</v>
      </c>
      <c r="CW124" s="2" t="s">
        <v>7162</v>
      </c>
      <c r="CY124" s="2" t="s">
        <v>7358</v>
      </c>
      <c r="CZ124" s="2" t="s">
        <v>7582</v>
      </c>
      <c r="DA124" s="2" t="s">
        <v>7250</v>
      </c>
      <c r="DB124" s="2" t="s">
        <v>7250</v>
      </c>
      <c r="DC124" s="2" t="s">
        <v>7582</v>
      </c>
      <c r="DD124" s="2" t="s">
        <v>7250</v>
      </c>
      <c r="DE124" s="2" t="s">
        <v>7250</v>
      </c>
      <c r="DF124" s="2" t="s">
        <v>7250</v>
      </c>
      <c r="DG124" s="2" t="s">
        <v>7582</v>
      </c>
      <c r="DH124" s="2" t="s">
        <v>7582</v>
      </c>
      <c r="DI124" s="2" t="s">
        <v>7582</v>
      </c>
      <c r="DL124" s="2" t="s">
        <v>7142</v>
      </c>
      <c r="DM124" s="2" t="s">
        <v>7143</v>
      </c>
      <c r="DP124" s="2" t="s">
        <v>7159</v>
      </c>
      <c r="DT124" s="2" t="s">
        <v>7165</v>
      </c>
      <c r="DU124" s="2" t="s">
        <v>7165</v>
      </c>
      <c r="DV124" s="2" t="s">
        <v>7165</v>
      </c>
      <c r="DW124" s="2" t="s">
        <v>7165</v>
      </c>
      <c r="DX124" s="2" t="s">
        <v>7165</v>
      </c>
      <c r="DY124" s="2" t="s">
        <v>7159</v>
      </c>
      <c r="DZ124" s="2" t="s">
        <v>7159</v>
      </c>
      <c r="EA124" s="2" t="s">
        <v>7159</v>
      </c>
      <c r="EB124" s="2" t="s">
        <v>7159</v>
      </c>
      <c r="EC124" s="2" t="s">
        <v>7173</v>
      </c>
      <c r="EF124" s="2" t="s">
        <v>7221</v>
      </c>
      <c r="EG124" s="2" t="s">
        <v>1120</v>
      </c>
      <c r="EJ124" s="2" t="s">
        <v>7217</v>
      </c>
      <c r="EK124" s="2" t="s">
        <v>7143</v>
      </c>
      <c r="EL124" s="2" t="s">
        <v>7143</v>
      </c>
      <c r="EN124" s="2" t="s">
        <v>7210</v>
      </c>
      <c r="EP124" s="2" t="s">
        <v>7186</v>
      </c>
      <c r="ER124" s="2" t="s">
        <v>7143</v>
      </c>
      <c r="ET124" s="2" t="s">
        <v>7143</v>
      </c>
      <c r="EV124" s="2" t="s">
        <v>7143</v>
      </c>
      <c r="EX124" s="2" t="s">
        <v>7143</v>
      </c>
      <c r="EZ124" s="2" t="s">
        <v>7143</v>
      </c>
      <c r="FC124" s="2" t="s">
        <v>7218</v>
      </c>
      <c r="FD124" s="2" t="s">
        <v>7143</v>
      </c>
      <c r="FH124" s="2" t="s">
        <v>7173</v>
      </c>
      <c r="FJ124" s="2" t="s">
        <v>7143</v>
      </c>
      <c r="FK124" s="2" t="s">
        <v>7173</v>
      </c>
      <c r="FN124" s="2" t="s">
        <v>7322</v>
      </c>
      <c r="FR124" s="2" t="s">
        <v>1121</v>
      </c>
      <c r="FT124" s="2" t="s">
        <v>7189</v>
      </c>
      <c r="FU124" s="2" t="s">
        <v>7176</v>
      </c>
      <c r="FV124" s="2" t="s">
        <v>7176</v>
      </c>
      <c r="FW124" s="2" t="s">
        <v>7176</v>
      </c>
      <c r="FZ124" s="19" t="s">
        <v>7662</v>
      </c>
    </row>
    <row r="125" spans="1:182">
      <c r="A125" s="7" t="s">
        <v>1122</v>
      </c>
      <c r="D125" s="7" t="s">
        <v>7663</v>
      </c>
      <c r="E125" s="7" t="s">
        <v>1123</v>
      </c>
      <c r="F125" s="7" t="s">
        <v>7389</v>
      </c>
      <c r="G125" s="7" t="s">
        <v>7488</v>
      </c>
      <c r="H125" s="7" t="s">
        <v>875</v>
      </c>
      <c r="I125" s="7" t="s">
        <v>1124</v>
      </c>
      <c r="J125" s="16" t="s">
        <v>7664</v>
      </c>
      <c r="K125" s="7" t="s">
        <v>1125</v>
      </c>
      <c r="L125" s="2" t="s">
        <v>7137</v>
      </c>
      <c r="M125" s="7" t="s">
        <v>7138</v>
      </c>
      <c r="N125" s="7">
        <v>1977</v>
      </c>
      <c r="O125" s="7" t="s">
        <v>7490</v>
      </c>
      <c r="P125" s="7" t="s">
        <v>7192</v>
      </c>
      <c r="Q125" s="2" t="s">
        <v>7395</v>
      </c>
      <c r="R125" s="2" t="s">
        <v>7143</v>
      </c>
      <c r="S125" s="2">
        <v>26</v>
      </c>
      <c r="T125" s="2" t="s">
        <v>7143</v>
      </c>
      <c r="U125" s="2" t="s">
        <v>7143</v>
      </c>
      <c r="Y125" s="2">
        <v>210</v>
      </c>
      <c r="Z125" s="17">
        <v>1</v>
      </c>
      <c r="AA125" s="2">
        <v>210</v>
      </c>
      <c r="AB125" s="2">
        <v>210</v>
      </c>
      <c r="AC125" s="7">
        <v>210</v>
      </c>
      <c r="AD125" s="2">
        <v>280</v>
      </c>
      <c r="AE125" s="2">
        <v>70</v>
      </c>
      <c r="AF125" s="2" t="s">
        <v>7143</v>
      </c>
      <c r="AG125" s="2" t="s">
        <v>7143</v>
      </c>
      <c r="AH125" s="2" t="s">
        <v>7143</v>
      </c>
      <c r="AJ125" s="2" t="s">
        <v>7143</v>
      </c>
      <c r="AK125" s="2" t="s">
        <v>7143</v>
      </c>
      <c r="AL125" s="2" t="s">
        <v>7143</v>
      </c>
      <c r="AM125" s="2" t="s">
        <v>7143</v>
      </c>
      <c r="AN125" s="2" t="s">
        <v>7143</v>
      </c>
      <c r="AO125" s="2" t="s">
        <v>7143</v>
      </c>
      <c r="AR125" s="7">
        <v>1</v>
      </c>
      <c r="AS125" s="7">
        <v>1</v>
      </c>
      <c r="AT125" s="7">
        <v>2.5</v>
      </c>
      <c r="AU125" s="2" t="s">
        <v>7217</v>
      </c>
      <c r="AV125" s="2" t="s">
        <v>7193</v>
      </c>
      <c r="AW125" s="2" t="s">
        <v>7143</v>
      </c>
      <c r="AZ125" s="2" t="s">
        <v>7145</v>
      </c>
      <c r="BB125" s="2" t="s">
        <v>7214</v>
      </c>
      <c r="BC125" s="2" t="s">
        <v>7247</v>
      </c>
      <c r="BD125" s="2" t="s">
        <v>7143</v>
      </c>
      <c r="BE125" s="2" t="s">
        <v>7142</v>
      </c>
      <c r="BF125" s="2" t="s">
        <v>7148</v>
      </c>
      <c r="BG125" s="2" t="s">
        <v>7149</v>
      </c>
      <c r="BH125" s="2" t="s">
        <v>7150</v>
      </c>
      <c r="BI125" s="2" t="s">
        <v>7151</v>
      </c>
      <c r="BL125" s="2" t="s">
        <v>7195</v>
      </c>
      <c r="BO125" s="2" t="s">
        <v>7274</v>
      </c>
      <c r="BP125" s="2" t="s">
        <v>7275</v>
      </c>
      <c r="BS125" s="2" t="s">
        <v>7143</v>
      </c>
      <c r="BT125" s="2" t="s">
        <v>7665</v>
      </c>
      <c r="BV125" s="2" t="s">
        <v>7581</v>
      </c>
      <c r="BX125" s="2" t="s">
        <v>7143</v>
      </c>
      <c r="BZ125" s="2" t="s">
        <v>7173</v>
      </c>
      <c r="CE125" s="7">
        <v>2.5</v>
      </c>
      <c r="CF125" s="2">
        <v>280</v>
      </c>
      <c r="CK125" s="2">
        <v>100</v>
      </c>
      <c r="CO125" s="2">
        <v>100</v>
      </c>
      <c r="CR125" s="2" t="s">
        <v>7357</v>
      </c>
      <c r="CT125" s="2" t="s">
        <v>7143</v>
      </c>
      <c r="CU125" s="2" t="s">
        <v>7161</v>
      </c>
      <c r="CW125" s="2" t="s">
        <v>7162</v>
      </c>
      <c r="CY125" s="2" t="s">
        <v>7358</v>
      </c>
      <c r="CZ125" s="2" t="s">
        <v>7582</v>
      </c>
      <c r="DA125" s="2" t="s">
        <v>7250</v>
      </c>
      <c r="DB125" s="2" t="s">
        <v>7250</v>
      </c>
      <c r="DC125" s="2" t="s">
        <v>7582</v>
      </c>
      <c r="DD125" s="2" t="s">
        <v>7250</v>
      </c>
      <c r="DE125" s="2" t="s">
        <v>7250</v>
      </c>
      <c r="DF125" s="2" t="s">
        <v>7250</v>
      </c>
      <c r="DG125" s="2" t="s">
        <v>7250</v>
      </c>
      <c r="DH125" s="2" t="s">
        <v>7250</v>
      </c>
      <c r="DI125" s="2" t="s">
        <v>7250</v>
      </c>
      <c r="DL125" s="2" t="s">
        <v>7143</v>
      </c>
      <c r="DM125" s="2" t="s">
        <v>7143</v>
      </c>
      <c r="DP125" s="2" t="s">
        <v>7159</v>
      </c>
      <c r="DT125" s="2" t="s">
        <v>7165</v>
      </c>
      <c r="DU125" s="2" t="s">
        <v>7159</v>
      </c>
      <c r="DV125" s="2" t="s">
        <v>7159</v>
      </c>
      <c r="DW125" s="2" t="s">
        <v>7165</v>
      </c>
      <c r="DX125" s="2" t="s">
        <v>7159</v>
      </c>
      <c r="DY125" s="2" t="s">
        <v>7159</v>
      </c>
      <c r="DZ125" s="2" t="s">
        <v>7159</v>
      </c>
      <c r="EA125" s="2" t="s">
        <v>7159</v>
      </c>
      <c r="EB125" s="2" t="s">
        <v>7159</v>
      </c>
      <c r="EC125" s="2" t="s">
        <v>7173</v>
      </c>
      <c r="EF125" s="2" t="s">
        <v>7252</v>
      </c>
      <c r="EG125" s="2" t="s">
        <v>1127</v>
      </c>
      <c r="EJ125" s="2" t="s">
        <v>7217</v>
      </c>
      <c r="EK125" s="2" t="s">
        <v>7143</v>
      </c>
      <c r="EL125" s="2" t="s">
        <v>7143</v>
      </c>
      <c r="EN125" s="2" t="s">
        <v>7210</v>
      </c>
      <c r="EP125" s="2" t="s">
        <v>7186</v>
      </c>
      <c r="ER125" s="2" t="s">
        <v>7143</v>
      </c>
      <c r="ET125" s="2" t="s">
        <v>7143</v>
      </c>
      <c r="EV125" s="2" t="s">
        <v>7143</v>
      </c>
      <c r="EX125" s="2" t="s">
        <v>7143</v>
      </c>
      <c r="EZ125" s="2" t="s">
        <v>7143</v>
      </c>
      <c r="FC125" s="2" t="s">
        <v>7218</v>
      </c>
      <c r="FD125" s="2" t="s">
        <v>7143</v>
      </c>
      <c r="FH125" s="2" t="s">
        <v>7173</v>
      </c>
      <c r="FJ125" s="2" t="s">
        <v>7143</v>
      </c>
      <c r="FK125" s="2" t="s">
        <v>7159</v>
      </c>
      <c r="FN125" s="2" t="s">
        <v>7322</v>
      </c>
      <c r="FR125" s="2" t="s">
        <v>433</v>
      </c>
      <c r="FT125" s="2" t="s">
        <v>7176</v>
      </c>
      <c r="FU125" s="2" t="s">
        <v>7176</v>
      </c>
      <c r="FV125" s="2" t="s">
        <v>7176</v>
      </c>
      <c r="FW125" s="2" t="s">
        <v>7176</v>
      </c>
      <c r="FZ125" s="19" t="s">
        <v>7666</v>
      </c>
    </row>
    <row r="126" spans="1:182">
      <c r="A126" s="7" t="s">
        <v>1128</v>
      </c>
      <c r="D126" s="7" t="s">
        <v>7667</v>
      </c>
      <c r="E126" s="7" t="s">
        <v>177</v>
      </c>
      <c r="F126" s="7" t="s">
        <v>7134</v>
      </c>
      <c r="G126" s="7" t="s">
        <v>7488</v>
      </c>
      <c r="H126" s="7" t="s">
        <v>1095</v>
      </c>
      <c r="I126" s="7" t="s">
        <v>1129</v>
      </c>
      <c r="J126" s="16" t="s">
        <v>7668</v>
      </c>
      <c r="K126" s="7" t="s">
        <v>1129</v>
      </c>
      <c r="L126" s="2" t="s">
        <v>7137</v>
      </c>
      <c r="M126" s="7" t="s">
        <v>7138</v>
      </c>
      <c r="N126" s="7">
        <v>1988</v>
      </c>
      <c r="O126" s="7" t="s">
        <v>7180</v>
      </c>
      <c r="P126" s="2" t="s">
        <v>7140</v>
      </c>
      <c r="Q126" s="2" t="s">
        <v>7182</v>
      </c>
      <c r="R126" s="2" t="s">
        <v>7143</v>
      </c>
      <c r="S126" s="2">
        <v>10</v>
      </c>
      <c r="T126" s="2" t="s">
        <v>7143</v>
      </c>
      <c r="U126" s="2" t="s">
        <v>7143</v>
      </c>
      <c r="Y126" s="2">
        <v>320</v>
      </c>
      <c r="Z126" s="17">
        <v>0.90629999999999999</v>
      </c>
      <c r="AA126" s="2">
        <v>290</v>
      </c>
      <c r="AC126" s="7">
        <v>290</v>
      </c>
      <c r="AD126" s="2">
        <v>450</v>
      </c>
      <c r="AE126" s="2">
        <v>160</v>
      </c>
      <c r="AF126" s="2" t="s">
        <v>7143</v>
      </c>
      <c r="AG126" s="2" t="s">
        <v>7143</v>
      </c>
      <c r="AH126" s="2" t="s">
        <v>7143</v>
      </c>
      <c r="AJ126" s="2" t="s">
        <v>7143</v>
      </c>
      <c r="AK126" s="2" t="s">
        <v>7143</v>
      </c>
      <c r="AL126" s="2" t="s">
        <v>7143</v>
      </c>
      <c r="AM126" s="2" t="s">
        <v>7142</v>
      </c>
      <c r="AN126" s="2" t="s">
        <v>7143</v>
      </c>
      <c r="AO126" s="2" t="s">
        <v>7143</v>
      </c>
      <c r="AR126" s="7">
        <v>2.2000000000000002</v>
      </c>
      <c r="AS126" s="7">
        <v>1</v>
      </c>
      <c r="AT126" s="7">
        <v>4.5999999999999996</v>
      </c>
      <c r="AU126" s="2" t="s">
        <v>7144</v>
      </c>
      <c r="AV126" s="2" t="s">
        <v>7144</v>
      </c>
      <c r="AW126" s="2" t="s">
        <v>7143</v>
      </c>
      <c r="AZ126" s="2" t="s">
        <v>7226</v>
      </c>
      <c r="BA126" s="2" t="s">
        <v>1130</v>
      </c>
      <c r="BB126" s="2" t="s">
        <v>7214</v>
      </c>
      <c r="BC126" s="2" t="s">
        <v>7147</v>
      </c>
      <c r="BD126" s="2" t="s">
        <v>7142</v>
      </c>
      <c r="BE126" s="2" t="s">
        <v>7142</v>
      </c>
      <c r="BF126" s="2" t="s">
        <v>7148</v>
      </c>
      <c r="BG126" s="2" t="s">
        <v>7149</v>
      </c>
      <c r="BH126" s="2" t="s">
        <v>7248</v>
      </c>
      <c r="BI126" s="2" t="s">
        <v>7151</v>
      </c>
      <c r="BL126" s="2" t="s">
        <v>7152</v>
      </c>
      <c r="BM126" s="2" t="s">
        <v>7153</v>
      </c>
      <c r="BN126" s="2" t="s">
        <v>7154</v>
      </c>
      <c r="BO126" s="2" t="s">
        <v>7155</v>
      </c>
      <c r="BQ126" s="2" t="s">
        <v>7156</v>
      </c>
      <c r="BS126" s="2" t="s">
        <v>7142</v>
      </c>
      <c r="BT126" s="2" t="s">
        <v>7157</v>
      </c>
      <c r="BV126" s="2" t="s">
        <v>7202</v>
      </c>
      <c r="BX126" s="2" t="s">
        <v>7143</v>
      </c>
      <c r="BZ126" s="2" t="s">
        <v>7159</v>
      </c>
      <c r="CE126" s="7">
        <v>4.5999999999999996</v>
      </c>
      <c r="CF126" s="2">
        <v>450</v>
      </c>
      <c r="CK126" s="2">
        <v>100</v>
      </c>
      <c r="CO126" s="2">
        <v>100</v>
      </c>
      <c r="CR126" s="2" t="s">
        <v>7216</v>
      </c>
      <c r="CT126" s="2" t="s">
        <v>7143</v>
      </c>
      <c r="CU126" s="2" t="s">
        <v>7161</v>
      </c>
      <c r="CW126" s="2" t="s">
        <v>7162</v>
      </c>
      <c r="CY126" s="2" t="s">
        <v>7164</v>
      </c>
      <c r="CZ126" s="2" t="s">
        <v>7164</v>
      </c>
      <c r="DA126" s="2" t="s">
        <v>7164</v>
      </c>
      <c r="DB126" s="2" t="s">
        <v>7164</v>
      </c>
      <c r="DC126" s="2" t="s">
        <v>7164</v>
      </c>
      <c r="DD126" s="2" t="s">
        <v>7164</v>
      </c>
      <c r="DE126" s="2" t="s">
        <v>7164</v>
      </c>
      <c r="DF126" s="2" t="s">
        <v>7164</v>
      </c>
      <c r="DG126" s="2" t="s">
        <v>7164</v>
      </c>
      <c r="DH126" s="2" t="s">
        <v>7164</v>
      </c>
      <c r="DI126" s="2" t="s">
        <v>7164</v>
      </c>
      <c r="DL126" s="2" t="s">
        <v>7142</v>
      </c>
      <c r="DM126" s="2" t="s">
        <v>7143</v>
      </c>
      <c r="DN126" s="2" t="s">
        <v>7142</v>
      </c>
      <c r="DO126" s="2" t="s">
        <v>7142</v>
      </c>
      <c r="DP126" s="2" t="s">
        <v>7173</v>
      </c>
      <c r="EJ126" s="2" t="s">
        <v>7144</v>
      </c>
      <c r="EK126" s="2" t="s">
        <v>7143</v>
      </c>
      <c r="EL126" s="2" t="s">
        <v>7143</v>
      </c>
      <c r="EN126" s="2" t="s">
        <v>7210</v>
      </c>
      <c r="EP126" s="2" t="s">
        <v>7186</v>
      </c>
      <c r="ER126" s="2" t="s">
        <v>7143</v>
      </c>
      <c r="ET126" s="2" t="s">
        <v>7143</v>
      </c>
      <c r="EV126" s="2" t="s">
        <v>7143</v>
      </c>
      <c r="EX126" s="2" t="s">
        <v>7143</v>
      </c>
      <c r="FC126" s="2" t="s">
        <v>7172</v>
      </c>
      <c r="FD126" s="2" t="s">
        <v>7143</v>
      </c>
      <c r="FH126" s="2" t="s">
        <v>7173</v>
      </c>
      <c r="FJ126" s="2" t="s">
        <v>7142</v>
      </c>
      <c r="FK126" s="2" t="s">
        <v>7173</v>
      </c>
      <c r="FN126" s="2" t="s">
        <v>7258</v>
      </c>
      <c r="FT126" s="2" t="s">
        <v>7176</v>
      </c>
      <c r="FU126" s="2" t="s">
        <v>7176</v>
      </c>
      <c r="FV126" s="2" t="s">
        <v>7176</v>
      </c>
      <c r="FW126" s="2" t="s">
        <v>7176</v>
      </c>
      <c r="FZ126" s="19" t="s">
        <v>7669</v>
      </c>
    </row>
    <row r="127" spans="1:182">
      <c r="A127" s="7" t="s">
        <v>1131</v>
      </c>
      <c r="D127" s="7" t="s">
        <v>7670</v>
      </c>
      <c r="E127" s="7" t="s">
        <v>1132</v>
      </c>
      <c r="F127" s="7" t="s">
        <v>7389</v>
      </c>
      <c r="G127" s="7" t="s">
        <v>7488</v>
      </c>
      <c r="H127" s="7" t="s">
        <v>1113</v>
      </c>
      <c r="I127" s="7" t="s">
        <v>1133</v>
      </c>
      <c r="J127" s="16" t="s">
        <v>7671</v>
      </c>
      <c r="K127" s="7" t="s">
        <v>1134</v>
      </c>
      <c r="L127" s="2" t="s">
        <v>7137</v>
      </c>
      <c r="M127" s="7" t="s">
        <v>7179</v>
      </c>
      <c r="N127" s="7">
        <v>1985</v>
      </c>
      <c r="O127" s="7" t="s">
        <v>7180</v>
      </c>
      <c r="P127" s="2" t="s">
        <v>7181</v>
      </c>
      <c r="Q127" s="2" t="s">
        <v>7182</v>
      </c>
      <c r="R127" s="2" t="s">
        <v>7143</v>
      </c>
      <c r="S127" s="2">
        <v>25</v>
      </c>
      <c r="T127" s="2" t="s">
        <v>7143</v>
      </c>
      <c r="U127" s="2" t="s">
        <v>7143</v>
      </c>
      <c r="Y127" s="2">
        <v>430</v>
      </c>
      <c r="Z127" s="17">
        <v>0.81399999999999995</v>
      </c>
      <c r="AA127" s="2">
        <v>350</v>
      </c>
      <c r="AB127" s="2">
        <v>350</v>
      </c>
      <c r="AC127" s="7">
        <v>310</v>
      </c>
      <c r="AD127" s="2">
        <v>350</v>
      </c>
      <c r="AE127" s="2">
        <v>40</v>
      </c>
      <c r="AF127" s="2" t="s">
        <v>7143</v>
      </c>
      <c r="AG127" s="2" t="s">
        <v>7143</v>
      </c>
      <c r="AH127" s="2" t="s">
        <v>7143</v>
      </c>
      <c r="AJ127" s="2" t="s">
        <v>7143</v>
      </c>
      <c r="AK127" s="2" t="s">
        <v>7143</v>
      </c>
      <c r="AL127" s="2" t="s">
        <v>7142</v>
      </c>
      <c r="AM127" s="2" t="s">
        <v>7143</v>
      </c>
      <c r="AN127" s="2" t="s">
        <v>7143</v>
      </c>
      <c r="AO127" s="2" t="s">
        <v>7143</v>
      </c>
      <c r="AR127" s="7">
        <v>1</v>
      </c>
      <c r="AS127" s="7">
        <v>1</v>
      </c>
      <c r="AT127" s="7">
        <v>3</v>
      </c>
      <c r="AU127" s="2" t="s">
        <v>7193</v>
      </c>
      <c r="AV127" s="2" t="s">
        <v>7144</v>
      </c>
      <c r="AW127" s="2" t="s">
        <v>7143</v>
      </c>
      <c r="AZ127" s="2" t="s">
        <v>7145</v>
      </c>
      <c r="BB127" s="2" t="s">
        <v>7214</v>
      </c>
      <c r="BC127" s="2" t="s">
        <v>7147</v>
      </c>
      <c r="BD127" s="2" t="s">
        <v>7143</v>
      </c>
      <c r="BE127" s="2" t="s">
        <v>7142</v>
      </c>
      <c r="BF127" s="2" t="s">
        <v>7148</v>
      </c>
      <c r="BG127" s="2" t="s">
        <v>7149</v>
      </c>
      <c r="BH127" s="2" t="s">
        <v>7248</v>
      </c>
      <c r="BI127" s="2" t="s">
        <v>7151</v>
      </c>
      <c r="BL127" s="2" t="s">
        <v>7152</v>
      </c>
      <c r="BM127" s="2" t="s">
        <v>7355</v>
      </c>
      <c r="BN127" s="2" t="s">
        <v>7154</v>
      </c>
      <c r="BO127" s="2" t="s">
        <v>7155</v>
      </c>
      <c r="BQ127" s="2" t="s">
        <v>7183</v>
      </c>
      <c r="BS127" s="2" t="s">
        <v>7142</v>
      </c>
      <c r="BT127" s="2" t="s">
        <v>7416</v>
      </c>
      <c r="BV127" s="2" t="s">
        <v>7624</v>
      </c>
      <c r="BX127" s="2" t="s">
        <v>7142</v>
      </c>
      <c r="BY127" s="2" t="s">
        <v>1135</v>
      </c>
      <c r="BZ127" s="2" t="s">
        <v>7173</v>
      </c>
      <c r="CE127" s="7">
        <v>3</v>
      </c>
      <c r="CF127" s="2">
        <v>350</v>
      </c>
      <c r="CK127" s="2">
        <v>100</v>
      </c>
      <c r="CO127" s="2">
        <v>100</v>
      </c>
      <c r="CR127" s="2" t="s">
        <v>7160</v>
      </c>
      <c r="CT127" s="2" t="s">
        <v>7143</v>
      </c>
      <c r="CU127" s="2" t="s">
        <v>7161</v>
      </c>
      <c r="CW127" s="2" t="s">
        <v>7162</v>
      </c>
      <c r="CY127" s="2" t="s">
        <v>7358</v>
      </c>
      <c r="CZ127" s="2" t="s">
        <v>7582</v>
      </c>
      <c r="DA127" s="2" t="s">
        <v>7250</v>
      </c>
      <c r="DB127" s="2" t="s">
        <v>7582</v>
      </c>
      <c r="DC127" s="2" t="s">
        <v>7250</v>
      </c>
      <c r="DD127" s="2" t="s">
        <v>7250</v>
      </c>
      <c r="DE127" s="2" t="s">
        <v>7250</v>
      </c>
      <c r="DF127" s="2" t="s">
        <v>7250</v>
      </c>
      <c r="DG127" s="2" t="s">
        <v>7582</v>
      </c>
      <c r="DH127" s="2" t="s">
        <v>7582</v>
      </c>
      <c r="DI127" s="2" t="s">
        <v>7582</v>
      </c>
      <c r="DL127" s="2" t="s">
        <v>7143</v>
      </c>
      <c r="DM127" s="2" t="s">
        <v>7143</v>
      </c>
      <c r="DP127" s="2" t="s">
        <v>7159</v>
      </c>
      <c r="DT127" s="2" t="s">
        <v>7159</v>
      </c>
      <c r="DU127" s="2" t="s">
        <v>7159</v>
      </c>
      <c r="DV127" s="2" t="s">
        <v>7159</v>
      </c>
      <c r="DW127" s="2" t="s">
        <v>7159</v>
      </c>
      <c r="DX127" s="2" t="s">
        <v>7159</v>
      </c>
      <c r="DY127" s="2" t="s">
        <v>7159</v>
      </c>
      <c r="DZ127" s="2" t="s">
        <v>7159</v>
      </c>
      <c r="EA127" s="2" t="s">
        <v>7159</v>
      </c>
      <c r="EB127" s="2" t="s">
        <v>7159</v>
      </c>
      <c r="EC127" s="2" t="s">
        <v>7159</v>
      </c>
      <c r="EF127" s="2" t="s">
        <v>7221</v>
      </c>
      <c r="EG127" s="2" t="s">
        <v>1074</v>
      </c>
      <c r="EJ127" s="2" t="s">
        <v>7217</v>
      </c>
      <c r="EK127" s="2" t="s">
        <v>7143</v>
      </c>
      <c r="EL127" s="2" t="s">
        <v>7143</v>
      </c>
      <c r="EN127" s="2" t="s">
        <v>7210</v>
      </c>
      <c r="EP127" s="2" t="s">
        <v>7186</v>
      </c>
      <c r="ER127" s="2" t="s">
        <v>7143</v>
      </c>
      <c r="ET127" s="2" t="s">
        <v>7143</v>
      </c>
      <c r="EV127" s="2" t="s">
        <v>7143</v>
      </c>
      <c r="EX127" s="2" t="s">
        <v>7143</v>
      </c>
      <c r="EZ127" s="2" t="s">
        <v>7143</v>
      </c>
      <c r="FC127" s="2" t="s">
        <v>7218</v>
      </c>
      <c r="FD127" s="2" t="s">
        <v>7143</v>
      </c>
      <c r="FH127" s="2" t="s">
        <v>7173</v>
      </c>
      <c r="FJ127" s="2" t="s">
        <v>7143</v>
      </c>
      <c r="FK127" s="2" t="s">
        <v>7159</v>
      </c>
      <c r="FN127" s="2" t="s">
        <v>7322</v>
      </c>
      <c r="FR127" s="2" t="s">
        <v>1136</v>
      </c>
      <c r="FT127" s="2" t="s">
        <v>7189</v>
      </c>
      <c r="FU127" s="2" t="s">
        <v>7189</v>
      </c>
      <c r="FV127" s="2" t="s">
        <v>7189</v>
      </c>
      <c r="FW127" s="2" t="s">
        <v>7189</v>
      </c>
      <c r="FZ127" s="19" t="s">
        <v>7672</v>
      </c>
    </row>
    <row r="128" spans="1:182">
      <c r="A128" s="7" t="s">
        <v>1137</v>
      </c>
      <c r="D128" s="7" t="s">
        <v>7673</v>
      </c>
      <c r="E128" s="7" t="s">
        <v>177</v>
      </c>
      <c r="F128" s="7" t="s">
        <v>7134</v>
      </c>
      <c r="G128" s="7" t="s">
        <v>7488</v>
      </c>
      <c r="H128" s="2" t="s">
        <v>849</v>
      </c>
      <c r="I128" s="7" t="s">
        <v>1138</v>
      </c>
      <c r="J128" s="16" t="s">
        <v>7674</v>
      </c>
      <c r="K128" s="7" t="s">
        <v>1138</v>
      </c>
      <c r="L128" s="2" t="s">
        <v>7137</v>
      </c>
      <c r="M128" s="7" t="s">
        <v>7138</v>
      </c>
      <c r="N128" s="7">
        <v>1952</v>
      </c>
      <c r="O128" s="7" t="s">
        <v>7180</v>
      </c>
      <c r="P128" s="2" t="s">
        <v>7140</v>
      </c>
      <c r="Q128" s="2" t="s">
        <v>7141</v>
      </c>
      <c r="R128" s="2" t="s">
        <v>7143</v>
      </c>
      <c r="S128" s="2">
        <v>16</v>
      </c>
      <c r="T128" s="2" t="s">
        <v>7143</v>
      </c>
      <c r="U128" s="2" t="s">
        <v>7143</v>
      </c>
      <c r="Y128" s="2">
        <v>370</v>
      </c>
      <c r="Z128" s="17">
        <v>0.45950000000000002</v>
      </c>
      <c r="AA128" s="2">
        <v>170</v>
      </c>
      <c r="AB128" s="2">
        <v>170</v>
      </c>
      <c r="AC128" s="7">
        <v>170</v>
      </c>
      <c r="AD128" s="2">
        <v>220</v>
      </c>
      <c r="AE128" s="2">
        <v>50</v>
      </c>
      <c r="AF128" s="2" t="s">
        <v>7143</v>
      </c>
      <c r="AG128" s="2" t="s">
        <v>7143</v>
      </c>
      <c r="AH128" s="2" t="s">
        <v>7143</v>
      </c>
      <c r="AJ128" s="2" t="s">
        <v>7143</v>
      </c>
      <c r="AK128" s="2" t="s">
        <v>7143</v>
      </c>
      <c r="AL128" s="2" t="s">
        <v>7142</v>
      </c>
      <c r="AM128" s="2" t="s">
        <v>7143</v>
      </c>
      <c r="AN128" s="2" t="s">
        <v>7143</v>
      </c>
      <c r="AO128" s="2" t="s">
        <v>7143</v>
      </c>
      <c r="AR128" s="7">
        <v>0.7</v>
      </c>
      <c r="AS128" s="7">
        <v>1</v>
      </c>
      <c r="AT128" s="7">
        <v>2.2000000000000002</v>
      </c>
      <c r="AU128" s="2" t="s">
        <v>7144</v>
      </c>
      <c r="AV128" s="2" t="s">
        <v>7144</v>
      </c>
      <c r="AW128" s="2" t="s">
        <v>7143</v>
      </c>
      <c r="BC128" s="2" t="s">
        <v>7147</v>
      </c>
      <c r="BD128" s="2" t="s">
        <v>7143</v>
      </c>
      <c r="BE128" s="2" t="s">
        <v>7143</v>
      </c>
      <c r="BL128" s="2" t="s">
        <v>7195</v>
      </c>
      <c r="BO128" s="2" t="s">
        <v>7155</v>
      </c>
      <c r="BQ128" s="2" t="s">
        <v>7156</v>
      </c>
      <c r="BS128" s="2" t="s">
        <v>7142</v>
      </c>
      <c r="BT128" s="2" t="s">
        <v>7215</v>
      </c>
      <c r="BV128" s="2" t="s">
        <v>7184</v>
      </c>
      <c r="BX128" s="2" t="s">
        <v>7143</v>
      </c>
      <c r="BZ128" s="2" t="s">
        <v>7173</v>
      </c>
      <c r="CE128" s="7">
        <v>2.2000000000000002</v>
      </c>
      <c r="CF128" s="2">
        <v>220</v>
      </c>
      <c r="CK128" s="2">
        <v>100</v>
      </c>
      <c r="CO128" s="2">
        <v>100</v>
      </c>
      <c r="CR128" s="2" t="s">
        <v>7160</v>
      </c>
      <c r="CT128" s="2" t="s">
        <v>7143</v>
      </c>
      <c r="CU128" s="2" t="s">
        <v>7161</v>
      </c>
      <c r="CY128" s="2" t="s">
        <v>7164</v>
      </c>
      <c r="CZ128" s="2" t="s">
        <v>7164</v>
      </c>
      <c r="DA128" s="2" t="s">
        <v>7164</v>
      </c>
      <c r="DB128" s="2" t="s">
        <v>7164</v>
      </c>
      <c r="DC128" s="2" t="s">
        <v>7164</v>
      </c>
      <c r="DD128" s="2" t="s">
        <v>7164</v>
      </c>
      <c r="DE128" s="2" t="s">
        <v>7164</v>
      </c>
      <c r="DF128" s="2" t="s">
        <v>7164</v>
      </c>
      <c r="DG128" s="2" t="s">
        <v>7164</v>
      </c>
      <c r="DH128" s="2" t="s">
        <v>7164</v>
      </c>
      <c r="DI128" s="2" t="s">
        <v>7164</v>
      </c>
      <c r="DL128" s="2" t="s">
        <v>7142</v>
      </c>
      <c r="DM128" s="2" t="s">
        <v>7143</v>
      </c>
      <c r="DP128" s="2" t="s">
        <v>7173</v>
      </c>
      <c r="DT128" s="2" t="s">
        <v>7165</v>
      </c>
      <c r="DU128" s="2" t="s">
        <v>7165</v>
      </c>
      <c r="DV128" s="2" t="s">
        <v>7165</v>
      </c>
      <c r="DW128" s="2" t="s">
        <v>7165</v>
      </c>
      <c r="DX128" s="2" t="s">
        <v>7165</v>
      </c>
      <c r="DY128" s="2" t="s">
        <v>7165</v>
      </c>
      <c r="DZ128" s="2" t="s">
        <v>7165</v>
      </c>
      <c r="EA128" s="2" t="s">
        <v>7165</v>
      </c>
      <c r="EB128" s="2" t="s">
        <v>7165</v>
      </c>
      <c r="EF128" s="2" t="s">
        <v>7221</v>
      </c>
      <c r="FH128" s="2" t="s">
        <v>7173</v>
      </c>
      <c r="FJ128" s="2" t="s">
        <v>7142</v>
      </c>
      <c r="FK128" s="2" t="s">
        <v>7173</v>
      </c>
      <c r="FN128" s="2" t="s">
        <v>7499</v>
      </c>
      <c r="FU128" s="2" t="s">
        <v>7189</v>
      </c>
      <c r="FV128" s="2" t="s">
        <v>7189</v>
      </c>
      <c r="FW128" s="2" t="s">
        <v>7189</v>
      </c>
      <c r="FZ128" s="19" t="s">
        <v>7675</v>
      </c>
    </row>
    <row r="129" spans="1:182">
      <c r="A129" s="7" t="s">
        <v>1139</v>
      </c>
      <c r="D129" s="7" t="s">
        <v>7676</v>
      </c>
      <c r="E129" s="7" t="s">
        <v>1140</v>
      </c>
      <c r="F129" s="7" t="s">
        <v>7389</v>
      </c>
      <c r="G129" s="7" t="s">
        <v>7488</v>
      </c>
      <c r="H129" s="7" t="s">
        <v>1141</v>
      </c>
      <c r="I129" s="7" t="s">
        <v>1142</v>
      </c>
      <c r="J129" s="16" t="s">
        <v>7677</v>
      </c>
      <c r="K129" s="7" t="s">
        <v>1143</v>
      </c>
      <c r="L129" s="2" t="s">
        <v>7137</v>
      </c>
      <c r="M129" s="7" t="s">
        <v>7138</v>
      </c>
      <c r="N129" s="7">
        <v>1961</v>
      </c>
      <c r="O129" s="7" t="s">
        <v>7180</v>
      </c>
      <c r="P129" s="7" t="s">
        <v>7140</v>
      </c>
      <c r="Q129" s="2" t="s">
        <v>7141</v>
      </c>
      <c r="R129" s="2" t="s">
        <v>7143</v>
      </c>
      <c r="S129" s="2">
        <v>20</v>
      </c>
      <c r="T129" s="2" t="s">
        <v>7143</v>
      </c>
      <c r="U129" s="2" t="s">
        <v>7143</v>
      </c>
      <c r="Y129" s="2">
        <v>130</v>
      </c>
      <c r="Z129" s="17">
        <v>1</v>
      </c>
      <c r="AA129" s="2">
        <v>130</v>
      </c>
      <c r="AB129" s="2">
        <v>130</v>
      </c>
      <c r="AC129" s="7">
        <v>130</v>
      </c>
      <c r="AD129" s="2">
        <v>200</v>
      </c>
      <c r="AE129" s="2">
        <v>70</v>
      </c>
      <c r="AF129" s="2" t="s">
        <v>7143</v>
      </c>
      <c r="AG129" s="2" t="s">
        <v>7143</v>
      </c>
      <c r="AH129" s="2" t="s">
        <v>7143</v>
      </c>
      <c r="AJ129" s="2" t="s">
        <v>7143</v>
      </c>
      <c r="AK129" s="2" t="s">
        <v>7143</v>
      </c>
      <c r="AL129" s="2" t="s">
        <v>7143</v>
      </c>
      <c r="AM129" s="2" t="s">
        <v>7143</v>
      </c>
      <c r="AN129" s="2" t="s">
        <v>7143</v>
      </c>
      <c r="AO129" s="2" t="s">
        <v>7143</v>
      </c>
      <c r="AR129" s="7">
        <v>0.7</v>
      </c>
      <c r="AS129" s="7">
        <v>1</v>
      </c>
      <c r="AT129" s="7">
        <v>2</v>
      </c>
      <c r="AU129" s="2" t="s">
        <v>7193</v>
      </c>
      <c r="AV129" s="2" t="s">
        <v>7144</v>
      </c>
      <c r="AW129" s="2" t="s">
        <v>7143</v>
      </c>
      <c r="AZ129" s="2" t="s">
        <v>7226</v>
      </c>
      <c r="BA129" s="2" t="s">
        <v>1144</v>
      </c>
      <c r="BB129" s="2" t="s">
        <v>7214</v>
      </c>
      <c r="BC129" s="2" t="s">
        <v>7147</v>
      </c>
      <c r="BD129" s="2" t="s">
        <v>7143</v>
      </c>
      <c r="BE129" s="2" t="s">
        <v>7143</v>
      </c>
      <c r="BL129" s="2" t="s">
        <v>7152</v>
      </c>
      <c r="BM129" s="2" t="s">
        <v>7355</v>
      </c>
      <c r="BN129" s="2" t="s">
        <v>7154</v>
      </c>
      <c r="BO129" s="2" t="s">
        <v>7155</v>
      </c>
      <c r="BQ129" s="2" t="s">
        <v>7183</v>
      </c>
      <c r="BS129" s="2" t="s">
        <v>7142</v>
      </c>
      <c r="BT129" s="2" t="s">
        <v>7391</v>
      </c>
      <c r="BV129" s="2" t="s">
        <v>7624</v>
      </c>
      <c r="BX129" s="2" t="s">
        <v>7142</v>
      </c>
      <c r="BY129" s="2" t="s">
        <v>1145</v>
      </c>
      <c r="BZ129" s="2" t="s">
        <v>7173</v>
      </c>
      <c r="CE129" s="7">
        <v>2</v>
      </c>
      <c r="CF129" s="2">
        <v>200</v>
      </c>
      <c r="CK129" s="2">
        <v>100</v>
      </c>
      <c r="CO129" s="2">
        <v>100</v>
      </c>
      <c r="CR129" s="2" t="s">
        <v>7651</v>
      </c>
      <c r="CT129" s="2" t="s">
        <v>7143</v>
      </c>
      <c r="CU129" s="2" t="s">
        <v>7161</v>
      </c>
      <c r="CW129" s="2" t="s">
        <v>7162</v>
      </c>
      <c r="CY129" s="2" t="s">
        <v>7358</v>
      </c>
      <c r="CZ129" s="2" t="s">
        <v>7250</v>
      </c>
      <c r="DA129" s="2" t="s">
        <v>7250</v>
      </c>
      <c r="DB129" s="2" t="s">
        <v>7250</v>
      </c>
      <c r="DC129" s="2" t="s">
        <v>7582</v>
      </c>
      <c r="DD129" s="2" t="s">
        <v>7250</v>
      </c>
      <c r="DE129" s="2" t="s">
        <v>7250</v>
      </c>
      <c r="DF129" s="2" t="s">
        <v>7250</v>
      </c>
      <c r="DG129" s="2" t="s">
        <v>7250</v>
      </c>
      <c r="DH129" s="2" t="s">
        <v>7250</v>
      </c>
      <c r="DI129" s="2" t="s">
        <v>7250</v>
      </c>
      <c r="DL129" s="2" t="s">
        <v>7142</v>
      </c>
      <c r="DM129" s="2" t="s">
        <v>7142</v>
      </c>
      <c r="DN129" s="2" t="s">
        <v>7142</v>
      </c>
      <c r="DO129" s="2" t="s">
        <v>7142</v>
      </c>
      <c r="DP129" s="2" t="s">
        <v>7159</v>
      </c>
      <c r="DT129" s="2" t="s">
        <v>7165</v>
      </c>
      <c r="DU129" s="2" t="s">
        <v>7165</v>
      </c>
      <c r="DV129" s="2" t="s">
        <v>7165</v>
      </c>
      <c r="DW129" s="2" t="s">
        <v>7165</v>
      </c>
      <c r="DX129" s="2" t="s">
        <v>7165</v>
      </c>
      <c r="DY129" s="2" t="s">
        <v>7165</v>
      </c>
      <c r="DZ129" s="2" t="s">
        <v>7159</v>
      </c>
      <c r="EA129" s="2" t="s">
        <v>7159</v>
      </c>
      <c r="EB129" s="2" t="s">
        <v>7165</v>
      </c>
      <c r="EC129" s="2" t="s">
        <v>7173</v>
      </c>
      <c r="EF129" s="2" t="s">
        <v>7221</v>
      </c>
      <c r="EG129" s="2" t="s">
        <v>1146</v>
      </c>
      <c r="EJ129" s="2" t="s">
        <v>7144</v>
      </c>
      <c r="EK129" s="2" t="s">
        <v>7142</v>
      </c>
      <c r="EL129" s="2" t="s">
        <v>7143</v>
      </c>
      <c r="EN129" s="2" t="s">
        <v>7210</v>
      </c>
      <c r="EP129" s="2" t="s">
        <v>7186</v>
      </c>
      <c r="ER129" s="2" t="s">
        <v>7143</v>
      </c>
      <c r="ET129" s="2" t="s">
        <v>7143</v>
      </c>
      <c r="EV129" s="2" t="s">
        <v>7143</v>
      </c>
      <c r="EX129" s="2" t="s">
        <v>7143</v>
      </c>
      <c r="EZ129" s="2" t="s">
        <v>7143</v>
      </c>
      <c r="FC129" s="2" t="s">
        <v>7218</v>
      </c>
      <c r="FD129" s="2" t="s">
        <v>7143</v>
      </c>
      <c r="FH129" s="2" t="s">
        <v>7173</v>
      </c>
      <c r="FJ129" s="2" t="s">
        <v>7143</v>
      </c>
      <c r="FK129" s="2" t="s">
        <v>7173</v>
      </c>
      <c r="FN129" s="2" t="s">
        <v>7583</v>
      </c>
      <c r="FR129" s="2" t="s">
        <v>1147</v>
      </c>
      <c r="FT129" s="2" t="s">
        <v>7189</v>
      </c>
      <c r="FU129" s="2" t="s">
        <v>7189</v>
      </c>
      <c r="FV129" s="2" t="s">
        <v>7176</v>
      </c>
      <c r="FW129" s="2" t="s">
        <v>7189</v>
      </c>
      <c r="FZ129" s="19" t="s">
        <v>7678</v>
      </c>
    </row>
    <row r="130" spans="1:182">
      <c r="A130" s="7" t="s">
        <v>1148</v>
      </c>
      <c r="D130" s="7" t="s">
        <v>7679</v>
      </c>
      <c r="E130" s="7" t="s">
        <v>1149</v>
      </c>
      <c r="F130" s="7" t="s">
        <v>7389</v>
      </c>
      <c r="G130" s="7" t="s">
        <v>7488</v>
      </c>
      <c r="H130" s="7" t="s">
        <v>1113</v>
      </c>
      <c r="I130" s="7" t="s">
        <v>1150</v>
      </c>
      <c r="J130" s="16" t="s">
        <v>7680</v>
      </c>
      <c r="K130" s="7" t="s">
        <v>1150</v>
      </c>
      <c r="L130" s="2" t="s">
        <v>7137</v>
      </c>
      <c r="M130" s="7" t="s">
        <v>7179</v>
      </c>
      <c r="N130" s="7">
        <v>1962</v>
      </c>
      <c r="O130" s="7" t="s">
        <v>7180</v>
      </c>
      <c r="P130" s="7" t="s">
        <v>7140</v>
      </c>
      <c r="Q130" s="2" t="s">
        <v>7141</v>
      </c>
      <c r="R130" s="2" t="s">
        <v>7143</v>
      </c>
      <c r="S130" s="2">
        <v>25</v>
      </c>
      <c r="T130" s="2" t="s">
        <v>7143</v>
      </c>
      <c r="U130" s="2" t="s">
        <v>7143</v>
      </c>
      <c r="Y130" s="2">
        <v>60</v>
      </c>
      <c r="Z130" s="17">
        <v>1</v>
      </c>
      <c r="AA130" s="2">
        <v>60</v>
      </c>
      <c r="AB130" s="2">
        <v>60</v>
      </c>
      <c r="AC130" s="7">
        <v>60</v>
      </c>
      <c r="AD130" s="2">
        <v>100</v>
      </c>
      <c r="AE130" s="2">
        <v>40</v>
      </c>
      <c r="AF130" s="2" t="s">
        <v>7143</v>
      </c>
      <c r="AG130" s="2" t="s">
        <v>7143</v>
      </c>
      <c r="AH130" s="2" t="s">
        <v>7143</v>
      </c>
      <c r="AJ130" s="2" t="s">
        <v>7143</v>
      </c>
      <c r="AK130" s="2" t="s">
        <v>7143</v>
      </c>
      <c r="AL130" s="2" t="s">
        <v>7143</v>
      </c>
      <c r="AM130" s="2" t="s">
        <v>7143</v>
      </c>
      <c r="AN130" s="2" t="s">
        <v>7143</v>
      </c>
      <c r="AO130" s="2" t="s">
        <v>7143</v>
      </c>
      <c r="AR130" s="7">
        <v>0.5</v>
      </c>
      <c r="AS130" s="7">
        <v>1</v>
      </c>
      <c r="AT130" s="7">
        <v>1.2</v>
      </c>
      <c r="AU130" s="2" t="s">
        <v>7217</v>
      </c>
      <c r="AV130" s="2" t="s">
        <v>7193</v>
      </c>
      <c r="AW130" s="2" t="s">
        <v>7143</v>
      </c>
      <c r="AZ130" s="2" t="s">
        <v>7145</v>
      </c>
      <c r="BB130" s="2" t="s">
        <v>7214</v>
      </c>
      <c r="BC130" s="2" t="s">
        <v>7247</v>
      </c>
      <c r="BD130" s="2" t="s">
        <v>7143</v>
      </c>
      <c r="BE130" s="2" t="s">
        <v>7142</v>
      </c>
      <c r="BF130" s="2" t="s">
        <v>7148</v>
      </c>
      <c r="BG130" s="2" t="s">
        <v>7232</v>
      </c>
      <c r="BH130" s="2" t="s">
        <v>7248</v>
      </c>
      <c r="BI130" s="2" t="s">
        <v>7567</v>
      </c>
      <c r="BL130" s="2" t="s">
        <v>7195</v>
      </c>
      <c r="BO130" s="2" t="s">
        <v>7155</v>
      </c>
      <c r="BQ130" s="2" t="s">
        <v>7183</v>
      </c>
      <c r="BS130" s="2" t="s">
        <v>7142</v>
      </c>
      <c r="BT130" s="2" t="s">
        <v>7580</v>
      </c>
      <c r="BV130" s="2" t="s">
        <v>7624</v>
      </c>
      <c r="BX130" s="2" t="s">
        <v>7142</v>
      </c>
      <c r="BY130" s="2" t="s">
        <v>1151</v>
      </c>
      <c r="BZ130" s="2" t="s">
        <v>7173</v>
      </c>
      <c r="CE130" s="7">
        <v>1.2</v>
      </c>
      <c r="CF130" s="2">
        <v>100</v>
      </c>
      <c r="CK130" s="2">
        <v>100</v>
      </c>
      <c r="CO130" s="2">
        <v>100</v>
      </c>
      <c r="CR130" s="2" t="s">
        <v>7160</v>
      </c>
      <c r="CT130" s="2" t="s">
        <v>7142</v>
      </c>
      <c r="CU130" s="2" t="s">
        <v>7161</v>
      </c>
      <c r="CW130" s="2" t="s">
        <v>7162</v>
      </c>
      <c r="CY130" s="2" t="s">
        <v>7250</v>
      </c>
      <c r="CZ130" s="2" t="s">
        <v>7582</v>
      </c>
      <c r="DA130" s="2" t="s">
        <v>7250</v>
      </c>
      <c r="DB130" s="2" t="s">
        <v>7582</v>
      </c>
      <c r="DC130" s="2" t="s">
        <v>7582</v>
      </c>
      <c r="DD130" s="2" t="s">
        <v>7250</v>
      </c>
      <c r="DE130" s="2" t="s">
        <v>7250</v>
      </c>
      <c r="DF130" s="2" t="s">
        <v>7250</v>
      </c>
      <c r="DG130" s="2" t="s">
        <v>7582</v>
      </c>
      <c r="DH130" s="2" t="s">
        <v>7582</v>
      </c>
      <c r="DI130" s="2" t="s">
        <v>7582</v>
      </c>
      <c r="DL130" s="2" t="s">
        <v>7143</v>
      </c>
      <c r="DM130" s="2" t="s">
        <v>7143</v>
      </c>
      <c r="DP130" s="2" t="s">
        <v>7159</v>
      </c>
      <c r="DT130" s="2" t="s">
        <v>7159</v>
      </c>
      <c r="DU130" s="2" t="s">
        <v>7159</v>
      </c>
      <c r="DV130" s="2" t="s">
        <v>7159</v>
      </c>
      <c r="DW130" s="2" t="s">
        <v>7159</v>
      </c>
      <c r="DX130" s="2" t="s">
        <v>7159</v>
      </c>
      <c r="DY130" s="2" t="s">
        <v>7159</v>
      </c>
      <c r="DZ130" s="2" t="s">
        <v>7159</v>
      </c>
      <c r="EA130" s="2" t="s">
        <v>7159</v>
      </c>
      <c r="EB130" s="2" t="s">
        <v>7159</v>
      </c>
      <c r="EC130" s="2" t="s">
        <v>7159</v>
      </c>
      <c r="EF130" s="2" t="s">
        <v>7252</v>
      </c>
      <c r="EG130" s="2" t="s">
        <v>1152</v>
      </c>
      <c r="EJ130" s="2" t="s">
        <v>7217</v>
      </c>
      <c r="EK130" s="2" t="s">
        <v>7143</v>
      </c>
      <c r="EL130" s="2" t="s">
        <v>7143</v>
      </c>
      <c r="EN130" s="2" t="s">
        <v>7210</v>
      </c>
      <c r="EP130" s="2" t="s">
        <v>7186</v>
      </c>
      <c r="ER130" s="2" t="s">
        <v>7143</v>
      </c>
      <c r="ET130" s="2" t="s">
        <v>7143</v>
      </c>
      <c r="EV130" s="2" t="s">
        <v>7143</v>
      </c>
      <c r="EX130" s="2" t="s">
        <v>7143</v>
      </c>
      <c r="EZ130" s="2" t="s">
        <v>7143</v>
      </c>
      <c r="FC130" s="2" t="s">
        <v>7218</v>
      </c>
      <c r="FD130" s="2" t="s">
        <v>7143</v>
      </c>
      <c r="FH130" s="2" t="s">
        <v>7173</v>
      </c>
      <c r="FJ130" s="2" t="s">
        <v>7143</v>
      </c>
      <c r="FK130" s="2" t="s">
        <v>7173</v>
      </c>
      <c r="FN130" s="2" t="s">
        <v>7681</v>
      </c>
      <c r="FR130" s="2" t="s">
        <v>433</v>
      </c>
      <c r="FT130" s="2" t="s">
        <v>7189</v>
      </c>
      <c r="FU130" s="2" t="s">
        <v>7189</v>
      </c>
      <c r="FV130" s="2" t="s">
        <v>7189</v>
      </c>
      <c r="FW130" s="2" t="s">
        <v>7189</v>
      </c>
      <c r="FZ130" s="19" t="s">
        <v>7682</v>
      </c>
    </row>
    <row r="131" spans="1:182">
      <c r="A131" s="7" t="s">
        <v>1154</v>
      </c>
      <c r="D131" s="7" t="s">
        <v>7683</v>
      </c>
      <c r="E131" s="7" t="s">
        <v>177</v>
      </c>
      <c r="F131" s="7" t="s">
        <v>7134</v>
      </c>
      <c r="G131" s="7" t="s">
        <v>7488</v>
      </c>
      <c r="H131" s="2" t="s">
        <v>849</v>
      </c>
      <c r="I131" s="7" t="s">
        <v>1155</v>
      </c>
      <c r="J131" s="16" t="s">
        <v>7684</v>
      </c>
      <c r="K131" s="7" t="s">
        <v>1155</v>
      </c>
      <c r="L131" s="2" t="s">
        <v>7137</v>
      </c>
      <c r="M131" s="7" t="s">
        <v>7138</v>
      </c>
      <c r="N131" s="7">
        <v>1957</v>
      </c>
      <c r="O131" s="7" t="s">
        <v>7180</v>
      </c>
      <c r="P131" s="2" t="s">
        <v>7140</v>
      </c>
      <c r="Q131" s="2" t="s">
        <v>7182</v>
      </c>
      <c r="R131" s="2" t="s">
        <v>7143</v>
      </c>
      <c r="S131" s="2">
        <v>32</v>
      </c>
      <c r="T131" s="2" t="s">
        <v>7143</v>
      </c>
      <c r="U131" s="2" t="s">
        <v>7143</v>
      </c>
      <c r="Y131" s="2">
        <v>94</v>
      </c>
      <c r="Z131" s="17">
        <v>0.74470000000000003</v>
      </c>
      <c r="AA131" s="2">
        <v>70</v>
      </c>
      <c r="AB131" s="2">
        <v>70</v>
      </c>
      <c r="AC131" s="7">
        <v>70</v>
      </c>
      <c r="AD131" s="2">
        <v>120</v>
      </c>
      <c r="AE131" s="2">
        <v>50</v>
      </c>
      <c r="AF131" s="2" t="s">
        <v>7143</v>
      </c>
      <c r="AG131" s="2" t="s">
        <v>7143</v>
      </c>
      <c r="AH131" s="2" t="s">
        <v>7143</v>
      </c>
      <c r="AJ131" s="2" t="s">
        <v>7143</v>
      </c>
      <c r="AK131" s="2" t="s">
        <v>7143</v>
      </c>
      <c r="AL131" s="2" t="s">
        <v>7142</v>
      </c>
      <c r="AM131" s="2" t="s">
        <v>7143</v>
      </c>
      <c r="AN131" s="2" t="s">
        <v>7143</v>
      </c>
      <c r="AO131" s="2" t="s">
        <v>7143</v>
      </c>
      <c r="AR131" s="7">
        <v>0.4</v>
      </c>
      <c r="AS131" s="7">
        <v>1</v>
      </c>
      <c r="AT131" s="7">
        <v>1.3</v>
      </c>
      <c r="AU131" s="2" t="s">
        <v>7144</v>
      </c>
      <c r="AV131" s="2" t="s">
        <v>7144</v>
      </c>
      <c r="AW131" s="2" t="s">
        <v>7143</v>
      </c>
      <c r="BC131" s="2" t="s">
        <v>7147</v>
      </c>
      <c r="BD131" s="2" t="s">
        <v>7143</v>
      </c>
      <c r="BE131" s="2" t="s">
        <v>7143</v>
      </c>
      <c r="BL131" s="2" t="s">
        <v>7152</v>
      </c>
      <c r="BM131" s="2" t="s">
        <v>7153</v>
      </c>
      <c r="BN131" s="2" t="s">
        <v>7154</v>
      </c>
      <c r="BO131" s="2" t="s">
        <v>7155</v>
      </c>
      <c r="BQ131" s="2" t="s">
        <v>7156</v>
      </c>
      <c r="BS131" s="2" t="s">
        <v>7142</v>
      </c>
      <c r="BT131" s="2" t="s">
        <v>7215</v>
      </c>
      <c r="BV131" s="2" t="s">
        <v>7202</v>
      </c>
      <c r="BX131" s="2" t="s">
        <v>7143</v>
      </c>
      <c r="BZ131" s="2" t="s">
        <v>7173</v>
      </c>
      <c r="CE131" s="7">
        <v>1.3</v>
      </c>
      <c r="CF131" s="2">
        <v>120</v>
      </c>
      <c r="CK131" s="2">
        <v>100</v>
      </c>
      <c r="CO131" s="2">
        <v>100</v>
      </c>
      <c r="CR131" s="2" t="s">
        <v>7160</v>
      </c>
      <c r="CT131" s="2" t="s">
        <v>7143</v>
      </c>
      <c r="CU131" s="2" t="s">
        <v>7161</v>
      </c>
      <c r="CW131" s="2" t="s">
        <v>7162</v>
      </c>
      <c r="CY131" s="2" t="s">
        <v>7164</v>
      </c>
      <c r="CZ131" s="2" t="s">
        <v>7164</v>
      </c>
      <c r="DA131" s="2" t="s">
        <v>7164</v>
      </c>
      <c r="DB131" s="2" t="s">
        <v>7164</v>
      </c>
      <c r="DL131" s="2" t="s">
        <v>7142</v>
      </c>
      <c r="DM131" s="2" t="s">
        <v>7143</v>
      </c>
      <c r="DP131" s="2" t="s">
        <v>7173</v>
      </c>
      <c r="DT131" s="2" t="s">
        <v>7165</v>
      </c>
      <c r="DV131" s="2" t="s">
        <v>7165</v>
      </c>
      <c r="DW131" s="2" t="s">
        <v>7165</v>
      </c>
      <c r="EJ131" s="2" t="s">
        <v>7144</v>
      </c>
      <c r="EK131" s="2" t="s">
        <v>7143</v>
      </c>
      <c r="EL131" s="2" t="s">
        <v>7143</v>
      </c>
      <c r="EN131" s="2" t="s">
        <v>7392</v>
      </c>
      <c r="EP131" s="2" t="s">
        <v>7186</v>
      </c>
      <c r="ER131" s="2" t="s">
        <v>7143</v>
      </c>
      <c r="ET131" s="2" t="s">
        <v>7143</v>
      </c>
      <c r="EV131" s="2" t="s">
        <v>7143</v>
      </c>
      <c r="EX131" s="2" t="s">
        <v>7143</v>
      </c>
      <c r="EZ131" s="2" t="s">
        <v>7143</v>
      </c>
      <c r="FC131" s="2" t="s">
        <v>7172</v>
      </c>
      <c r="FD131" s="2" t="s">
        <v>7143</v>
      </c>
      <c r="FH131" s="2" t="s">
        <v>7173</v>
      </c>
      <c r="FJ131" s="2" t="s">
        <v>7142</v>
      </c>
      <c r="FK131" s="2" t="s">
        <v>7173</v>
      </c>
      <c r="FT131" s="2" t="s">
        <v>7189</v>
      </c>
      <c r="FU131" s="2" t="s">
        <v>7189</v>
      </c>
      <c r="FV131" s="2" t="s">
        <v>7189</v>
      </c>
      <c r="FW131" s="2" t="s">
        <v>7189</v>
      </c>
      <c r="FZ131" s="19" t="s">
        <v>7685</v>
      </c>
    </row>
    <row r="132" spans="1:182">
      <c r="A132" s="7" t="s">
        <v>1156</v>
      </c>
      <c r="D132" s="7" t="s">
        <v>7686</v>
      </c>
      <c r="E132" s="7" t="s">
        <v>177</v>
      </c>
      <c r="F132" s="7" t="s">
        <v>7134</v>
      </c>
      <c r="G132" s="7" t="s">
        <v>7488</v>
      </c>
      <c r="H132" s="2" t="s">
        <v>849</v>
      </c>
      <c r="I132" s="7" t="s">
        <v>1157</v>
      </c>
      <c r="J132" s="16" t="s">
        <v>7687</v>
      </c>
      <c r="K132" s="7" t="s">
        <v>1157</v>
      </c>
      <c r="L132" s="2" t="s">
        <v>7137</v>
      </c>
      <c r="M132" s="7" t="s">
        <v>7138</v>
      </c>
      <c r="N132" s="7">
        <v>1956</v>
      </c>
      <c r="O132" s="7" t="s">
        <v>7180</v>
      </c>
      <c r="P132" s="2" t="s">
        <v>7140</v>
      </c>
      <c r="Q132" s="2" t="s">
        <v>7141</v>
      </c>
      <c r="R132" s="2" t="s">
        <v>7143</v>
      </c>
      <c r="S132" s="2">
        <v>27</v>
      </c>
      <c r="T132" s="2" t="s">
        <v>7143</v>
      </c>
      <c r="U132" s="2" t="s">
        <v>7143</v>
      </c>
      <c r="Y132" s="2">
        <v>115</v>
      </c>
      <c r="Z132" s="17">
        <v>0.1739</v>
      </c>
      <c r="AA132" s="2">
        <v>20</v>
      </c>
      <c r="AB132" s="2">
        <v>20</v>
      </c>
      <c r="AC132" s="7">
        <v>20</v>
      </c>
      <c r="AD132" s="2">
        <v>35</v>
      </c>
      <c r="AE132" s="2">
        <v>15</v>
      </c>
      <c r="AF132" s="2" t="s">
        <v>7143</v>
      </c>
      <c r="AG132" s="2" t="s">
        <v>7143</v>
      </c>
      <c r="AH132" s="2" t="s">
        <v>7143</v>
      </c>
      <c r="AJ132" s="2" t="s">
        <v>7143</v>
      </c>
      <c r="AK132" s="2" t="s">
        <v>7143</v>
      </c>
      <c r="AL132" s="2" t="s">
        <v>7142</v>
      </c>
      <c r="AM132" s="2" t="s">
        <v>7143</v>
      </c>
      <c r="AN132" s="2" t="s">
        <v>7143</v>
      </c>
      <c r="AO132" s="2" t="s">
        <v>7143</v>
      </c>
      <c r="AR132" s="7">
        <v>0.3</v>
      </c>
      <c r="AS132" s="7">
        <v>2</v>
      </c>
      <c r="AT132" s="7">
        <v>0.35</v>
      </c>
      <c r="AU132" s="2" t="s">
        <v>7144</v>
      </c>
      <c r="AV132" s="2" t="s">
        <v>7144</v>
      </c>
      <c r="AW132" s="2" t="s">
        <v>7143</v>
      </c>
      <c r="BC132" s="2" t="s">
        <v>7147</v>
      </c>
      <c r="BD132" s="2" t="s">
        <v>7143</v>
      </c>
      <c r="BE132" s="2" t="s">
        <v>7143</v>
      </c>
      <c r="BL132" s="2" t="s">
        <v>7195</v>
      </c>
      <c r="BO132" s="2" t="s">
        <v>7155</v>
      </c>
      <c r="BQ132" s="2" t="s">
        <v>7156</v>
      </c>
      <c r="BS132" s="2" t="s">
        <v>7142</v>
      </c>
      <c r="BT132" s="2" t="s">
        <v>7215</v>
      </c>
      <c r="BV132" s="2" t="s">
        <v>7202</v>
      </c>
      <c r="BX132" s="2" t="s">
        <v>7143</v>
      </c>
      <c r="BZ132" s="2" t="s">
        <v>7159</v>
      </c>
      <c r="CE132" s="7">
        <v>0.35</v>
      </c>
      <c r="CF132" s="2">
        <v>35</v>
      </c>
      <c r="CK132" s="2">
        <v>100</v>
      </c>
      <c r="CO132" s="2">
        <v>100</v>
      </c>
      <c r="CR132" s="2" t="s">
        <v>7160</v>
      </c>
      <c r="CT132" s="2" t="s">
        <v>7143</v>
      </c>
      <c r="CU132" s="2" t="s">
        <v>7234</v>
      </c>
      <c r="CW132" s="2" t="s">
        <v>7162</v>
      </c>
      <c r="CY132" s="2" t="s">
        <v>7164</v>
      </c>
      <c r="CZ132" s="2" t="s">
        <v>7164</v>
      </c>
      <c r="DA132" s="2" t="s">
        <v>7164</v>
      </c>
      <c r="DB132" s="2" t="s">
        <v>7164</v>
      </c>
      <c r="DC132" s="2" t="s">
        <v>7164</v>
      </c>
      <c r="DD132" s="2" t="s">
        <v>7164</v>
      </c>
      <c r="DE132" s="2" t="s">
        <v>7164</v>
      </c>
      <c r="DF132" s="2" t="s">
        <v>7164</v>
      </c>
      <c r="DG132" s="2" t="s">
        <v>7164</v>
      </c>
      <c r="DH132" s="2" t="s">
        <v>7164</v>
      </c>
      <c r="DI132" s="2" t="s">
        <v>7164</v>
      </c>
      <c r="DL132" s="2" t="s">
        <v>7142</v>
      </c>
      <c r="DM132" s="2" t="s">
        <v>7143</v>
      </c>
      <c r="DP132" s="2" t="s">
        <v>7173</v>
      </c>
      <c r="DT132" s="2" t="s">
        <v>7165</v>
      </c>
      <c r="DU132" s="2" t="s">
        <v>7165</v>
      </c>
      <c r="DV132" s="2" t="s">
        <v>7165</v>
      </c>
      <c r="EB132" s="2" t="s">
        <v>7165</v>
      </c>
      <c r="FH132" s="2" t="s">
        <v>7173</v>
      </c>
      <c r="FJ132" s="2" t="s">
        <v>7142</v>
      </c>
      <c r="FK132" s="2" t="s">
        <v>7173</v>
      </c>
      <c r="FT132" s="2" t="s">
        <v>7189</v>
      </c>
      <c r="FU132" s="2" t="s">
        <v>7189</v>
      </c>
      <c r="FV132" s="2" t="s">
        <v>7189</v>
      </c>
      <c r="FW132" s="2" t="s">
        <v>7189</v>
      </c>
      <c r="FZ132" s="19" t="s">
        <v>7688</v>
      </c>
    </row>
    <row r="133" spans="1:182">
      <c r="A133" s="7" t="s">
        <v>1158</v>
      </c>
      <c r="D133" s="7" t="s">
        <v>7689</v>
      </c>
      <c r="E133" s="7" t="s">
        <v>1159</v>
      </c>
      <c r="F133" s="7" t="s">
        <v>7319</v>
      </c>
      <c r="G133" s="7" t="s">
        <v>7135</v>
      </c>
      <c r="H133" s="7" t="s">
        <v>1160</v>
      </c>
      <c r="I133" s="7" t="s">
        <v>1161</v>
      </c>
      <c r="J133" s="16" t="s">
        <v>7690</v>
      </c>
      <c r="K133" s="7" t="s">
        <v>1162</v>
      </c>
      <c r="L133" s="7" t="s">
        <v>7137</v>
      </c>
      <c r="M133" s="7" t="s">
        <v>7179</v>
      </c>
      <c r="N133" s="7">
        <v>1986</v>
      </c>
      <c r="O133" s="7" t="s">
        <v>7139</v>
      </c>
      <c r="P133" s="7" t="s">
        <v>7181</v>
      </c>
      <c r="Q133" s="7" t="s">
        <v>7141</v>
      </c>
      <c r="R133" s="7" t="s">
        <v>7143</v>
      </c>
      <c r="S133" s="7">
        <v>22</v>
      </c>
      <c r="T133" s="7" t="s">
        <v>7143</v>
      </c>
      <c r="U133" s="7" t="s">
        <v>7143</v>
      </c>
      <c r="Y133" s="2">
        <v>220</v>
      </c>
      <c r="Z133" s="17">
        <v>1</v>
      </c>
      <c r="AA133" s="2">
        <v>220</v>
      </c>
      <c r="AB133" s="2">
        <v>170</v>
      </c>
      <c r="AC133" s="7">
        <v>170</v>
      </c>
      <c r="AD133" s="2">
        <v>200</v>
      </c>
      <c r="AE133" s="2">
        <v>30</v>
      </c>
      <c r="AF133" s="7" t="s">
        <v>7143</v>
      </c>
      <c r="AG133" s="7" t="s">
        <v>7143</v>
      </c>
      <c r="AH133" s="7" t="s">
        <v>7143</v>
      </c>
      <c r="AJ133" s="7" t="s">
        <v>7143</v>
      </c>
      <c r="AK133" s="7" t="s">
        <v>7142</v>
      </c>
      <c r="AL133" s="2" t="s">
        <v>7143</v>
      </c>
      <c r="AM133" s="2" t="s">
        <v>7143</v>
      </c>
      <c r="AN133" s="2" t="s">
        <v>7143</v>
      </c>
      <c r="AO133" s="2" t="s">
        <v>7143</v>
      </c>
      <c r="AR133" s="7">
        <v>0.7</v>
      </c>
      <c r="AS133" s="7">
        <v>4</v>
      </c>
      <c r="AT133" s="7">
        <v>2</v>
      </c>
      <c r="AU133" s="2" t="s">
        <v>7193</v>
      </c>
      <c r="AV133" s="2" t="s">
        <v>7217</v>
      </c>
      <c r="AW133" s="2" t="s">
        <v>7143</v>
      </c>
      <c r="AZ133" s="2" t="s">
        <v>7337</v>
      </c>
      <c r="BB133" s="2" t="s">
        <v>7268</v>
      </c>
      <c r="BC133" s="2" t="s">
        <v>7247</v>
      </c>
      <c r="BD133" s="2" t="s">
        <v>7142</v>
      </c>
      <c r="BE133" s="2" t="s">
        <v>7142</v>
      </c>
      <c r="BF133" s="2" t="s">
        <v>7148</v>
      </c>
      <c r="BG133" s="2" t="s">
        <v>7149</v>
      </c>
      <c r="BH133" s="2" t="s">
        <v>7248</v>
      </c>
      <c r="BI133" s="2" t="s">
        <v>7269</v>
      </c>
      <c r="BL133" s="2" t="s">
        <v>7195</v>
      </c>
      <c r="BO133" s="2" t="s">
        <v>7155</v>
      </c>
      <c r="BQ133" s="2" t="s">
        <v>7183</v>
      </c>
      <c r="BS133" s="2" t="s">
        <v>7142</v>
      </c>
      <c r="BT133" s="2" t="s">
        <v>7238</v>
      </c>
      <c r="BU133" s="2" t="s">
        <v>1163</v>
      </c>
      <c r="BV133" s="2" t="s">
        <v>7330</v>
      </c>
      <c r="BX133" s="2" t="s">
        <v>7143</v>
      </c>
      <c r="BZ133" s="2" t="s">
        <v>7173</v>
      </c>
      <c r="CE133" s="7">
        <v>2</v>
      </c>
      <c r="CF133" s="2">
        <v>200</v>
      </c>
      <c r="CM133" s="2">
        <v>100</v>
      </c>
      <c r="CO133" s="2">
        <v>100</v>
      </c>
      <c r="CR133" s="2" t="s">
        <v>7160</v>
      </c>
      <c r="CT133" s="2" t="s">
        <v>7143</v>
      </c>
      <c r="CU133" s="2" t="s">
        <v>7161</v>
      </c>
      <c r="CW133" s="2" t="s">
        <v>7162</v>
      </c>
      <c r="CY133" s="2" t="s">
        <v>7163</v>
      </c>
      <c r="CZ133" s="2" t="s">
        <v>7163</v>
      </c>
      <c r="DA133" s="2" t="s">
        <v>7250</v>
      </c>
      <c r="DB133" s="2" t="s">
        <v>7250</v>
      </c>
      <c r="DC133" s="2" t="s">
        <v>7250</v>
      </c>
      <c r="DD133" s="2" t="s">
        <v>7321</v>
      </c>
      <c r="DE133" s="2" t="s">
        <v>7250</v>
      </c>
      <c r="DF133" s="2" t="s">
        <v>7163</v>
      </c>
      <c r="DG133" s="2" t="s">
        <v>7163</v>
      </c>
      <c r="DH133" s="2" t="s">
        <v>7250</v>
      </c>
      <c r="DI133" s="2" t="s">
        <v>7250</v>
      </c>
      <c r="DL133" s="2" t="s">
        <v>7142</v>
      </c>
      <c r="DM133" s="2" t="s">
        <v>7142</v>
      </c>
      <c r="DN133" s="2" t="s">
        <v>7142</v>
      </c>
      <c r="DO133" s="2" t="s">
        <v>7143</v>
      </c>
      <c r="DP133" s="2" t="s">
        <v>7165</v>
      </c>
      <c r="DQ133" s="2" t="s">
        <v>7333</v>
      </c>
      <c r="DR133" s="2" t="s">
        <v>1164</v>
      </c>
      <c r="DT133" s="2" t="s">
        <v>7165</v>
      </c>
      <c r="DU133" s="2" t="s">
        <v>7165</v>
      </c>
      <c r="DV133" s="2" t="s">
        <v>7165</v>
      </c>
      <c r="DW133" s="2" t="s">
        <v>7165</v>
      </c>
      <c r="DX133" s="2" t="s">
        <v>7165</v>
      </c>
      <c r="DY133" s="2" t="s">
        <v>7165</v>
      </c>
      <c r="DZ133" s="2" t="s">
        <v>7173</v>
      </c>
      <c r="EA133" s="2" t="s">
        <v>7165</v>
      </c>
      <c r="EB133" s="2" t="s">
        <v>7165</v>
      </c>
      <c r="EC133" s="2" t="s">
        <v>7173</v>
      </c>
      <c r="EF133" s="2" t="s">
        <v>7252</v>
      </c>
      <c r="EG133" s="2" t="s">
        <v>1165</v>
      </c>
      <c r="EJ133" s="2" t="s">
        <v>7217</v>
      </c>
      <c r="EK133" s="2" t="s">
        <v>7143</v>
      </c>
      <c r="EL133" s="2" t="s">
        <v>7143</v>
      </c>
      <c r="EN133" s="2" t="s">
        <v>7170</v>
      </c>
      <c r="EP133" s="2" t="s">
        <v>7186</v>
      </c>
      <c r="ER133" s="2" t="s">
        <v>7143</v>
      </c>
      <c r="ET133" s="2" t="s">
        <v>7143</v>
      </c>
      <c r="EV133" s="2" t="s">
        <v>7142</v>
      </c>
      <c r="EW133" s="2" t="s">
        <v>7204</v>
      </c>
      <c r="EX133" s="2" t="s">
        <v>7143</v>
      </c>
      <c r="EZ133" s="2" t="s">
        <v>7143</v>
      </c>
      <c r="FC133" s="2" t="s">
        <v>7218</v>
      </c>
      <c r="FD133" s="2" t="s">
        <v>7143</v>
      </c>
      <c r="FH133" s="2" t="s">
        <v>7173</v>
      </c>
      <c r="FJ133" s="2" t="s">
        <v>7143</v>
      </c>
      <c r="FK133" s="2" t="s">
        <v>7173</v>
      </c>
      <c r="FN133" s="2" t="s">
        <v>7243</v>
      </c>
      <c r="FO133" s="2" t="s">
        <v>1166</v>
      </c>
      <c r="FR133" s="2" t="s">
        <v>1167</v>
      </c>
      <c r="FT133" s="2" t="s">
        <v>7176</v>
      </c>
      <c r="FU133" s="2" t="s">
        <v>7176</v>
      </c>
      <c r="FV133" s="2" t="s">
        <v>7189</v>
      </c>
      <c r="FW133" s="2" t="s">
        <v>7189</v>
      </c>
      <c r="FZ133" s="19" t="s">
        <v>7691</v>
      </c>
    </row>
    <row r="134" spans="1:182">
      <c r="A134" s="7" t="s">
        <v>1168</v>
      </c>
      <c r="D134" s="7" t="s">
        <v>7692</v>
      </c>
      <c r="E134" s="7" t="s">
        <v>177</v>
      </c>
      <c r="F134" s="7" t="s">
        <v>7245</v>
      </c>
      <c r="G134" s="7" t="s">
        <v>7135</v>
      </c>
      <c r="H134" s="7" t="s">
        <v>1160</v>
      </c>
      <c r="I134" s="7" t="s">
        <v>1169</v>
      </c>
      <c r="J134" s="16" t="s">
        <v>7693</v>
      </c>
      <c r="K134" s="7" t="s">
        <v>1170</v>
      </c>
      <c r="L134" s="7" t="s">
        <v>7137</v>
      </c>
      <c r="M134" s="7" t="s">
        <v>7138</v>
      </c>
      <c r="N134" s="7">
        <v>1997</v>
      </c>
      <c r="O134" s="7" t="s">
        <v>7139</v>
      </c>
      <c r="P134" s="7" t="s">
        <v>7192</v>
      </c>
      <c r="Q134" s="7" t="s">
        <v>7141</v>
      </c>
      <c r="R134" s="7" t="s">
        <v>7143</v>
      </c>
      <c r="S134" s="7">
        <v>1997</v>
      </c>
      <c r="T134" s="7" t="s">
        <v>7143</v>
      </c>
      <c r="U134" s="7" t="s">
        <v>7143</v>
      </c>
      <c r="Y134" s="2">
        <v>480</v>
      </c>
      <c r="Z134" s="17">
        <v>0.9375</v>
      </c>
      <c r="AA134" s="2">
        <v>450</v>
      </c>
      <c r="AB134" s="2">
        <v>400</v>
      </c>
      <c r="AC134" s="7">
        <v>250</v>
      </c>
      <c r="AD134" s="2">
        <v>300</v>
      </c>
      <c r="AE134" s="2">
        <v>50</v>
      </c>
      <c r="AF134" s="7" t="s">
        <v>7142</v>
      </c>
      <c r="AG134" s="2" t="s">
        <v>7142</v>
      </c>
      <c r="AH134" s="2" t="s">
        <v>7142</v>
      </c>
      <c r="AI134" s="2" t="s">
        <v>346</v>
      </c>
      <c r="AJ134" s="2" t="s">
        <v>7143</v>
      </c>
      <c r="AK134" s="2" t="s">
        <v>7142</v>
      </c>
      <c r="AL134" s="2" t="s">
        <v>7143</v>
      </c>
      <c r="AM134" s="7" t="s">
        <v>7142</v>
      </c>
      <c r="AN134" s="2" t="s">
        <v>7143</v>
      </c>
      <c r="AO134" s="2" t="s">
        <v>7143</v>
      </c>
      <c r="AR134" s="7">
        <v>1.5</v>
      </c>
      <c r="AS134" s="7">
        <v>6</v>
      </c>
      <c r="AT134" s="7">
        <v>2.8</v>
      </c>
      <c r="AU134" s="7" t="s">
        <v>7193</v>
      </c>
      <c r="AV134" s="7" t="s">
        <v>7193</v>
      </c>
      <c r="AW134" s="7" t="s">
        <v>7143</v>
      </c>
      <c r="AZ134" s="7" t="s">
        <v>7145</v>
      </c>
      <c r="BB134" s="7" t="s">
        <v>7214</v>
      </c>
      <c r="BC134" s="7" t="s">
        <v>7247</v>
      </c>
      <c r="BD134" s="7" t="s">
        <v>7142</v>
      </c>
      <c r="BE134" s="7" t="s">
        <v>7142</v>
      </c>
      <c r="BF134" s="7" t="s">
        <v>7148</v>
      </c>
      <c r="BG134" s="2" t="s">
        <v>7149</v>
      </c>
      <c r="BH134" s="7" t="s">
        <v>7150</v>
      </c>
      <c r="BI134" s="7" t="s">
        <v>7151</v>
      </c>
      <c r="BL134" s="7" t="s">
        <v>7152</v>
      </c>
      <c r="BM134" s="7" t="s">
        <v>7153</v>
      </c>
      <c r="BN134" s="7" t="s">
        <v>7154</v>
      </c>
      <c r="BO134" s="7" t="s">
        <v>7155</v>
      </c>
      <c r="BP134" s="7" t="s">
        <v>7275</v>
      </c>
      <c r="BQ134" s="2" t="s">
        <v>7183</v>
      </c>
      <c r="BS134" s="7" t="s">
        <v>7143</v>
      </c>
      <c r="BT134" s="2" t="s">
        <v>7694</v>
      </c>
      <c r="BV134" s="2" t="s">
        <v>7287</v>
      </c>
      <c r="BX134" s="2" t="s">
        <v>7143</v>
      </c>
      <c r="BY134" s="2" t="s">
        <v>1172</v>
      </c>
      <c r="BZ134" s="2" t="s">
        <v>7159</v>
      </c>
      <c r="CE134" s="7">
        <v>2.8</v>
      </c>
      <c r="CK134" s="2">
        <v>100</v>
      </c>
      <c r="CO134" s="2">
        <v>100</v>
      </c>
      <c r="CR134" s="7" t="s">
        <v>7160</v>
      </c>
      <c r="CT134" s="2" t="s">
        <v>7143</v>
      </c>
      <c r="CU134" s="7" t="s">
        <v>7161</v>
      </c>
      <c r="CW134" s="2" t="s">
        <v>7162</v>
      </c>
      <c r="CY134" s="7" t="s">
        <v>7163</v>
      </c>
      <c r="CZ134" s="7" t="s">
        <v>7358</v>
      </c>
      <c r="DA134" s="7" t="s">
        <v>7164</v>
      </c>
      <c r="DB134" s="2" t="s">
        <v>7250</v>
      </c>
      <c r="DC134" s="7" t="s">
        <v>7249</v>
      </c>
      <c r="DD134" s="2" t="s">
        <v>7251</v>
      </c>
      <c r="DE134" s="2" t="s">
        <v>7250</v>
      </c>
      <c r="DF134" s="2" t="s">
        <v>7163</v>
      </c>
      <c r="DG134" s="2" t="s">
        <v>7164</v>
      </c>
      <c r="DH134" s="2" t="s">
        <v>7164</v>
      </c>
      <c r="DI134" s="2" t="s">
        <v>7251</v>
      </c>
      <c r="DL134" s="7" t="s">
        <v>7142</v>
      </c>
      <c r="DM134" s="7" t="s">
        <v>7142</v>
      </c>
      <c r="DN134" s="7" t="s">
        <v>7142</v>
      </c>
      <c r="DO134" s="7" t="s">
        <v>7142</v>
      </c>
      <c r="DP134" s="7" t="s">
        <v>7159</v>
      </c>
      <c r="DS134" s="7" t="s">
        <v>7165</v>
      </c>
      <c r="DT134" s="2" t="s">
        <v>7165</v>
      </c>
      <c r="DU134" s="2" t="s">
        <v>7165</v>
      </c>
      <c r="DV134" s="2" t="s">
        <v>7165</v>
      </c>
      <c r="DW134" s="2" t="s">
        <v>7165</v>
      </c>
      <c r="DX134" s="2" t="s">
        <v>7165</v>
      </c>
      <c r="DY134" s="2" t="s">
        <v>7159</v>
      </c>
      <c r="DZ134" s="2" t="s">
        <v>7159</v>
      </c>
      <c r="EA134" s="2" t="s">
        <v>7165</v>
      </c>
      <c r="EB134" s="2" t="s">
        <v>7165</v>
      </c>
      <c r="EC134" s="2" t="s">
        <v>7159</v>
      </c>
      <c r="EF134" s="2" t="s">
        <v>7167</v>
      </c>
      <c r="EJ134" s="2" t="s">
        <v>7193</v>
      </c>
      <c r="EK134" s="2" t="s">
        <v>7142</v>
      </c>
      <c r="EL134" s="2" t="s">
        <v>7143</v>
      </c>
      <c r="EN134" s="7" t="s">
        <v>7170</v>
      </c>
      <c r="EP134" s="7" t="s">
        <v>7186</v>
      </c>
      <c r="ER134" s="7" t="s">
        <v>7142</v>
      </c>
      <c r="ET134" s="7" t="s">
        <v>7143</v>
      </c>
      <c r="EV134" s="2" t="s">
        <v>7142</v>
      </c>
      <c r="EW134" s="2" t="s">
        <v>7204</v>
      </c>
      <c r="EX134" s="2" t="s">
        <v>7143</v>
      </c>
      <c r="EZ134" s="2" t="s">
        <v>7143</v>
      </c>
      <c r="FC134" s="2" t="s">
        <v>7172</v>
      </c>
      <c r="FD134" s="2" t="s">
        <v>7143</v>
      </c>
      <c r="FH134" s="7" t="s">
        <v>7173</v>
      </c>
      <c r="FJ134" s="7" t="s">
        <v>7143</v>
      </c>
      <c r="FK134" s="2" t="s">
        <v>7159</v>
      </c>
      <c r="FN134" s="2" t="s">
        <v>7253</v>
      </c>
      <c r="FT134" s="2" t="s">
        <v>7176</v>
      </c>
      <c r="FU134" s="2" t="s">
        <v>7189</v>
      </c>
      <c r="FV134" s="2" t="s">
        <v>7189</v>
      </c>
      <c r="FW134" s="2" t="s">
        <v>7189</v>
      </c>
      <c r="FZ134" s="19" t="s">
        <v>7695</v>
      </c>
    </row>
    <row r="135" spans="1:182">
      <c r="A135" s="7" t="s">
        <v>1173</v>
      </c>
      <c r="D135" s="7" t="s">
        <v>7696</v>
      </c>
      <c r="E135" s="7" t="s">
        <v>1174</v>
      </c>
      <c r="F135" s="7" t="s">
        <v>7319</v>
      </c>
      <c r="G135" s="7" t="s">
        <v>7135</v>
      </c>
      <c r="H135" s="7" t="s">
        <v>1160</v>
      </c>
      <c r="I135" s="7" t="s">
        <v>1175</v>
      </c>
      <c r="K135" s="7" t="s">
        <v>1176</v>
      </c>
      <c r="L135" s="7" t="s">
        <v>7137</v>
      </c>
      <c r="M135" s="7" t="s">
        <v>7138</v>
      </c>
      <c r="N135" s="7">
        <v>2000</v>
      </c>
      <c r="O135" s="7" t="s">
        <v>7139</v>
      </c>
      <c r="P135" s="7" t="s">
        <v>7192</v>
      </c>
      <c r="Q135" s="7" t="s">
        <v>7141</v>
      </c>
      <c r="R135" s="2" t="s">
        <v>7143</v>
      </c>
      <c r="S135" s="2">
        <v>32</v>
      </c>
      <c r="T135" s="2" t="s">
        <v>7143</v>
      </c>
      <c r="U135" s="2" t="s">
        <v>7143</v>
      </c>
      <c r="Y135" s="2">
        <v>180</v>
      </c>
      <c r="Z135" s="17">
        <v>0.83330000000000004</v>
      </c>
      <c r="AA135" s="2">
        <v>150</v>
      </c>
      <c r="AB135" s="2">
        <v>135</v>
      </c>
      <c r="AC135" s="7">
        <v>125</v>
      </c>
      <c r="AD135" s="2">
        <v>150</v>
      </c>
      <c r="AE135" s="2">
        <v>25</v>
      </c>
      <c r="AF135" s="2" t="s">
        <v>7142</v>
      </c>
      <c r="AG135" s="2" t="s">
        <v>7143</v>
      </c>
      <c r="AH135" s="2" t="s">
        <v>7143</v>
      </c>
      <c r="AJ135" s="2" t="s">
        <v>7143</v>
      </c>
      <c r="AK135" s="2" t="s">
        <v>7142</v>
      </c>
      <c r="AL135" s="2" t="s">
        <v>7143</v>
      </c>
      <c r="AM135" s="2" t="s">
        <v>7142</v>
      </c>
      <c r="AN135" s="2" t="s">
        <v>7143</v>
      </c>
      <c r="AO135" s="2" t="s">
        <v>7143</v>
      </c>
      <c r="AR135" s="7">
        <v>0.4</v>
      </c>
      <c r="AS135" s="7">
        <v>4</v>
      </c>
      <c r="AT135" s="7">
        <v>1.5</v>
      </c>
      <c r="AU135" s="2" t="s">
        <v>7193</v>
      </c>
      <c r="AV135" s="2" t="s">
        <v>7193</v>
      </c>
      <c r="AW135" s="2" t="s">
        <v>7143</v>
      </c>
      <c r="AZ135" s="2" t="s">
        <v>7337</v>
      </c>
      <c r="BB135" s="2" t="s">
        <v>7268</v>
      </c>
      <c r="BC135" s="2" t="s">
        <v>7247</v>
      </c>
      <c r="BD135" s="2" t="s">
        <v>7142</v>
      </c>
      <c r="BE135" s="2" t="s">
        <v>7142</v>
      </c>
      <c r="BF135" s="2" t="s">
        <v>7148</v>
      </c>
      <c r="BG135" s="2" t="s">
        <v>7149</v>
      </c>
      <c r="BH135" s="2" t="s">
        <v>7150</v>
      </c>
      <c r="BI135" s="2" t="s">
        <v>7269</v>
      </c>
      <c r="BL135" s="2" t="s">
        <v>7195</v>
      </c>
      <c r="BS135" s="2" t="s">
        <v>7142</v>
      </c>
      <c r="BT135" s="2" t="s">
        <v>7238</v>
      </c>
      <c r="BU135" s="2" t="s">
        <v>544</v>
      </c>
      <c r="BV135" s="2" t="s">
        <v>7352</v>
      </c>
      <c r="BX135" s="2" t="s">
        <v>7143</v>
      </c>
      <c r="BZ135" s="2" t="s">
        <v>7173</v>
      </c>
      <c r="CE135" s="7">
        <v>1.5</v>
      </c>
      <c r="CF135" s="2">
        <v>150</v>
      </c>
      <c r="CM135" s="2">
        <v>100</v>
      </c>
      <c r="CO135" s="2">
        <v>100</v>
      </c>
      <c r="CR135" s="2" t="s">
        <v>7276</v>
      </c>
      <c r="CT135" s="2" t="s">
        <v>7143</v>
      </c>
      <c r="CU135" s="2" t="s">
        <v>7161</v>
      </c>
      <c r="CW135" s="2" t="s">
        <v>7162</v>
      </c>
      <c r="CY135" s="2" t="s">
        <v>7163</v>
      </c>
      <c r="CZ135" s="2" t="s">
        <v>7163</v>
      </c>
      <c r="DA135" s="2" t="s">
        <v>7250</v>
      </c>
      <c r="DB135" s="2" t="s">
        <v>7250</v>
      </c>
      <c r="DC135" s="2" t="s">
        <v>7321</v>
      </c>
      <c r="DD135" s="2" t="s">
        <v>7321</v>
      </c>
      <c r="DE135" s="2" t="s">
        <v>7250</v>
      </c>
      <c r="DF135" s="2" t="s">
        <v>7163</v>
      </c>
      <c r="DG135" s="2" t="s">
        <v>7163</v>
      </c>
      <c r="DH135" s="2" t="s">
        <v>7321</v>
      </c>
      <c r="DI135" s="2" t="s">
        <v>7321</v>
      </c>
      <c r="DL135" s="2" t="s">
        <v>7142</v>
      </c>
      <c r="DM135" s="2" t="s">
        <v>7142</v>
      </c>
      <c r="DN135" s="2" t="s">
        <v>7142</v>
      </c>
      <c r="DO135" s="2" t="s">
        <v>7142</v>
      </c>
      <c r="DP135" s="2" t="s">
        <v>7165</v>
      </c>
      <c r="DQ135" s="2" t="s">
        <v>7333</v>
      </c>
      <c r="DR135" s="2" t="s">
        <v>1177</v>
      </c>
      <c r="DT135" s="2" t="s">
        <v>7165</v>
      </c>
      <c r="DU135" s="2" t="s">
        <v>7165</v>
      </c>
      <c r="DV135" s="2" t="s">
        <v>7165</v>
      </c>
      <c r="DW135" s="2" t="s">
        <v>7165</v>
      </c>
      <c r="DX135" s="2" t="s">
        <v>7165</v>
      </c>
      <c r="DY135" s="2" t="s">
        <v>7165</v>
      </c>
      <c r="DZ135" s="2" t="s">
        <v>7159</v>
      </c>
      <c r="EA135" s="2" t="s">
        <v>7165</v>
      </c>
      <c r="EB135" s="2" t="s">
        <v>7165</v>
      </c>
      <c r="EC135" s="2" t="s">
        <v>7173</v>
      </c>
      <c r="EF135" s="2" t="s">
        <v>7221</v>
      </c>
      <c r="EJ135" s="2" t="s">
        <v>7217</v>
      </c>
      <c r="EK135" s="2" t="s">
        <v>7143</v>
      </c>
      <c r="EL135" s="2" t="s">
        <v>7143</v>
      </c>
      <c r="EN135" s="2" t="s">
        <v>7170</v>
      </c>
      <c r="EP135" s="2" t="s">
        <v>7186</v>
      </c>
      <c r="ER135" s="2" t="s">
        <v>7143</v>
      </c>
      <c r="ET135" s="2" t="s">
        <v>7143</v>
      </c>
      <c r="EV135" s="2" t="s">
        <v>7142</v>
      </c>
      <c r="EW135" s="2" t="s">
        <v>7171</v>
      </c>
      <c r="EX135" s="2" t="s">
        <v>7143</v>
      </c>
      <c r="EZ135" s="2" t="s">
        <v>7143</v>
      </c>
      <c r="FC135" s="2" t="s">
        <v>7218</v>
      </c>
      <c r="FD135" s="2" t="s">
        <v>7143</v>
      </c>
      <c r="FH135" s="2" t="s">
        <v>7173</v>
      </c>
      <c r="FJ135" s="2" t="s">
        <v>7143</v>
      </c>
      <c r="FK135" s="2" t="s">
        <v>7173</v>
      </c>
      <c r="FR135" s="2" t="s">
        <v>433</v>
      </c>
      <c r="FT135" s="2" t="s">
        <v>7176</v>
      </c>
      <c r="FU135" s="2" t="s">
        <v>7176</v>
      </c>
      <c r="FV135" s="2" t="s">
        <v>7176</v>
      </c>
      <c r="FW135" s="2" t="s">
        <v>7176</v>
      </c>
      <c r="FZ135" s="19" t="s">
        <v>7697</v>
      </c>
    </row>
    <row r="136" spans="1:182">
      <c r="A136" s="7" t="s">
        <v>1178</v>
      </c>
      <c r="D136" s="7" t="s">
        <v>7698</v>
      </c>
      <c r="E136" s="7" t="s">
        <v>1179</v>
      </c>
      <c r="F136" s="7" t="s">
        <v>7319</v>
      </c>
      <c r="G136" s="7" t="s">
        <v>7135</v>
      </c>
      <c r="H136" s="7" t="s">
        <v>1160</v>
      </c>
      <c r="I136" s="7" t="s">
        <v>1180</v>
      </c>
      <c r="J136" s="16" t="s">
        <v>7699</v>
      </c>
      <c r="K136" s="7" t="s">
        <v>1181</v>
      </c>
      <c r="L136" s="7" t="s">
        <v>7137</v>
      </c>
      <c r="M136" s="7" t="s">
        <v>7179</v>
      </c>
      <c r="N136" s="7">
        <v>1991</v>
      </c>
      <c r="O136" s="7" t="s">
        <v>7139</v>
      </c>
      <c r="P136" s="7" t="s">
        <v>7181</v>
      </c>
      <c r="Q136" s="7" t="s">
        <v>7141</v>
      </c>
      <c r="R136" s="7" t="s">
        <v>7143</v>
      </c>
      <c r="S136" s="7">
        <v>14</v>
      </c>
      <c r="T136" s="7" t="s">
        <v>7143</v>
      </c>
      <c r="U136" s="7" t="s">
        <v>7143</v>
      </c>
      <c r="Y136" s="2">
        <v>490</v>
      </c>
      <c r="Z136" s="17">
        <v>0.93879999999999997</v>
      </c>
      <c r="AA136" s="2">
        <v>460</v>
      </c>
      <c r="AB136" s="2">
        <v>440</v>
      </c>
      <c r="AC136" s="7">
        <v>430</v>
      </c>
      <c r="AD136" s="2">
        <v>520</v>
      </c>
      <c r="AE136" s="2">
        <v>90</v>
      </c>
      <c r="AF136" s="2" t="s">
        <v>7142</v>
      </c>
      <c r="AG136" s="2" t="s">
        <v>7143</v>
      </c>
      <c r="AH136" s="2" t="s">
        <v>7143</v>
      </c>
      <c r="AJ136" s="2" t="s">
        <v>7143</v>
      </c>
      <c r="AK136" s="2" t="s">
        <v>7142</v>
      </c>
      <c r="AL136" s="2" t="s">
        <v>7143</v>
      </c>
      <c r="AM136" s="2" t="s">
        <v>7142</v>
      </c>
      <c r="AN136" s="2" t="s">
        <v>7143</v>
      </c>
      <c r="AO136" s="2" t="s">
        <v>7143</v>
      </c>
      <c r="AR136" s="7">
        <v>1.4</v>
      </c>
      <c r="AS136" s="7">
        <v>4</v>
      </c>
      <c r="AT136" s="7">
        <v>5.2</v>
      </c>
      <c r="AU136" s="2" t="s">
        <v>7193</v>
      </c>
      <c r="AV136" s="2" t="s">
        <v>7217</v>
      </c>
      <c r="AW136" s="2" t="s">
        <v>7143</v>
      </c>
      <c r="AZ136" s="2" t="s">
        <v>7145</v>
      </c>
      <c r="BB136" s="2" t="s">
        <v>7268</v>
      </c>
      <c r="BC136" s="2" t="s">
        <v>7247</v>
      </c>
      <c r="BD136" s="2" t="s">
        <v>7142</v>
      </c>
      <c r="BE136" s="2" t="s">
        <v>7142</v>
      </c>
      <c r="BF136" s="2" t="s">
        <v>7148</v>
      </c>
      <c r="BG136" s="2" t="s">
        <v>7149</v>
      </c>
      <c r="BH136" s="2" t="s">
        <v>7150</v>
      </c>
      <c r="BI136" s="2" t="s">
        <v>7269</v>
      </c>
      <c r="BL136" s="2" t="s">
        <v>7195</v>
      </c>
      <c r="BO136" s="2" t="s">
        <v>7155</v>
      </c>
      <c r="BQ136" s="2" t="s">
        <v>7156</v>
      </c>
      <c r="BS136" s="2" t="s">
        <v>7142</v>
      </c>
      <c r="BT136" s="2" t="s">
        <v>7238</v>
      </c>
      <c r="BU136" s="2" t="s">
        <v>845</v>
      </c>
      <c r="BV136" s="2" t="s">
        <v>7184</v>
      </c>
      <c r="BX136" s="2" t="s">
        <v>7143</v>
      </c>
      <c r="BZ136" s="2" t="s">
        <v>7173</v>
      </c>
      <c r="CE136" s="7">
        <v>5.2</v>
      </c>
      <c r="CF136" s="2">
        <v>520</v>
      </c>
      <c r="CM136" s="2">
        <v>100</v>
      </c>
      <c r="CO136" s="2">
        <v>100</v>
      </c>
      <c r="CR136" s="2" t="s">
        <v>7276</v>
      </c>
      <c r="CT136" s="2" t="s">
        <v>7143</v>
      </c>
      <c r="CU136" s="2" t="s">
        <v>7161</v>
      </c>
      <c r="CW136" s="2" t="s">
        <v>7162</v>
      </c>
      <c r="CY136" s="2" t="s">
        <v>7163</v>
      </c>
      <c r="CZ136" s="2" t="s">
        <v>7163</v>
      </c>
      <c r="DA136" s="2" t="s">
        <v>7250</v>
      </c>
      <c r="DB136" s="2" t="s">
        <v>7250</v>
      </c>
      <c r="DC136" s="2" t="s">
        <v>7321</v>
      </c>
      <c r="DD136" s="2" t="s">
        <v>7321</v>
      </c>
      <c r="DE136" s="2" t="s">
        <v>7250</v>
      </c>
      <c r="DF136" s="2" t="s">
        <v>7163</v>
      </c>
      <c r="DG136" s="2" t="s">
        <v>7163</v>
      </c>
      <c r="DH136" s="2" t="s">
        <v>7250</v>
      </c>
      <c r="DI136" s="2" t="s">
        <v>7250</v>
      </c>
      <c r="DL136" s="2" t="s">
        <v>7142</v>
      </c>
      <c r="DM136" s="2" t="s">
        <v>7142</v>
      </c>
      <c r="DN136" s="2" t="s">
        <v>7142</v>
      </c>
      <c r="DO136" s="2" t="s">
        <v>7142</v>
      </c>
      <c r="DP136" s="2" t="s">
        <v>7165</v>
      </c>
      <c r="DQ136" s="2" t="s">
        <v>7333</v>
      </c>
      <c r="DR136" s="2" t="s">
        <v>1182</v>
      </c>
      <c r="EJ136" s="2" t="s">
        <v>7193</v>
      </c>
      <c r="EK136" s="2" t="s">
        <v>7143</v>
      </c>
      <c r="EL136" s="2" t="s">
        <v>7143</v>
      </c>
      <c r="EN136" s="2" t="s">
        <v>7170</v>
      </c>
      <c r="EP136" s="2" t="s">
        <v>7186</v>
      </c>
      <c r="ER136" s="2" t="s">
        <v>7143</v>
      </c>
      <c r="ET136" s="2" t="s">
        <v>7143</v>
      </c>
      <c r="EV136" s="2" t="s">
        <v>7142</v>
      </c>
      <c r="EW136" s="2" t="s">
        <v>7700</v>
      </c>
      <c r="EX136" s="2" t="s">
        <v>7143</v>
      </c>
      <c r="EZ136" s="2" t="s">
        <v>7143</v>
      </c>
      <c r="FC136" s="2" t="s">
        <v>7172</v>
      </c>
      <c r="FD136" s="2" t="s">
        <v>7143</v>
      </c>
      <c r="FH136" s="2" t="s">
        <v>7173</v>
      </c>
      <c r="FJ136" s="2" t="s">
        <v>7143</v>
      </c>
      <c r="FK136" s="2" t="s">
        <v>7159</v>
      </c>
      <c r="FR136" s="2" t="s">
        <v>1184</v>
      </c>
      <c r="FT136" s="2" t="s">
        <v>7176</v>
      </c>
      <c r="FU136" s="2" t="s">
        <v>7189</v>
      </c>
      <c r="FV136" s="2" t="s">
        <v>7176</v>
      </c>
      <c r="FW136" s="2" t="s">
        <v>7189</v>
      </c>
      <c r="FZ136" s="19" t="s">
        <v>7701</v>
      </c>
    </row>
    <row r="137" spans="1:182">
      <c r="A137" s="7" t="s">
        <v>1185</v>
      </c>
      <c r="D137" s="7" t="s">
        <v>7702</v>
      </c>
      <c r="E137" s="7" t="s">
        <v>177</v>
      </c>
      <c r="F137" s="7" t="s">
        <v>7245</v>
      </c>
      <c r="G137" s="7" t="s">
        <v>7135</v>
      </c>
      <c r="H137" s="7" t="s">
        <v>1160</v>
      </c>
      <c r="I137" s="7" t="s">
        <v>1186</v>
      </c>
      <c r="J137" s="19" t="s">
        <v>7267</v>
      </c>
      <c r="K137" s="7" t="s">
        <v>1186</v>
      </c>
      <c r="L137" s="7" t="s">
        <v>7224</v>
      </c>
      <c r="M137" s="7" t="s">
        <v>7138</v>
      </c>
      <c r="N137" s="7">
        <v>1960</v>
      </c>
      <c r="O137" s="7" t="s">
        <v>7139</v>
      </c>
      <c r="P137" s="7" t="s">
        <v>7140</v>
      </c>
      <c r="Q137" s="7" t="s">
        <v>7225</v>
      </c>
      <c r="R137" s="2" t="s">
        <v>7143</v>
      </c>
      <c r="S137" s="7">
        <v>2020</v>
      </c>
      <c r="T137" s="7" t="s">
        <v>7143</v>
      </c>
      <c r="U137" s="7" t="s">
        <v>7143</v>
      </c>
      <c r="Y137" s="2">
        <v>150</v>
      </c>
      <c r="Z137" s="17">
        <v>0.66669999999999996</v>
      </c>
      <c r="AA137" s="2">
        <v>100</v>
      </c>
      <c r="AB137" s="2">
        <v>100</v>
      </c>
      <c r="AC137" s="7">
        <v>50</v>
      </c>
      <c r="AD137" s="2">
        <v>60</v>
      </c>
      <c r="AE137" s="2">
        <v>10</v>
      </c>
      <c r="AF137" s="7" t="s">
        <v>7142</v>
      </c>
      <c r="AG137" s="2" t="s">
        <v>7142</v>
      </c>
      <c r="AH137" s="2" t="s">
        <v>7142</v>
      </c>
      <c r="AI137" s="2" t="s">
        <v>1187</v>
      </c>
      <c r="AJ137" s="2" t="s">
        <v>7143</v>
      </c>
      <c r="AK137" s="2" t="s">
        <v>7142</v>
      </c>
      <c r="AL137" s="2" t="s">
        <v>7143</v>
      </c>
      <c r="AM137" s="2" t="s">
        <v>7142</v>
      </c>
      <c r="AN137" s="2" t="s">
        <v>7143</v>
      </c>
      <c r="AO137" s="2" t="s">
        <v>7143</v>
      </c>
      <c r="AR137" s="7">
        <v>25</v>
      </c>
      <c r="AS137" s="7">
        <v>1</v>
      </c>
      <c r="AT137" s="7">
        <v>0.6</v>
      </c>
      <c r="AU137" s="7" t="s">
        <v>7193</v>
      </c>
      <c r="AV137" s="2" t="s">
        <v>7193</v>
      </c>
      <c r="AW137" s="2" t="s">
        <v>7143</v>
      </c>
      <c r="AZ137" s="2" t="s">
        <v>7286</v>
      </c>
      <c r="BB137" s="2" t="s">
        <v>7440</v>
      </c>
      <c r="BC137" s="2" t="s">
        <v>7147</v>
      </c>
      <c r="BD137" s="2" t="s">
        <v>7143</v>
      </c>
      <c r="BE137" s="2" t="s">
        <v>7143</v>
      </c>
      <c r="BL137" s="7" t="s">
        <v>7195</v>
      </c>
      <c r="BM137" s="7" t="s">
        <v>7153</v>
      </c>
      <c r="BN137" s="2" t="s">
        <v>7703</v>
      </c>
      <c r="BO137" s="7" t="s">
        <v>7155</v>
      </c>
      <c r="BP137" s="7" t="s">
        <v>7275</v>
      </c>
      <c r="BQ137" s="2" t="s">
        <v>7256</v>
      </c>
      <c r="BS137" s="7" t="s">
        <v>7143</v>
      </c>
      <c r="BT137" s="7" t="s">
        <v>7694</v>
      </c>
      <c r="BV137" s="2" t="s">
        <v>7287</v>
      </c>
      <c r="BX137" s="2" t="s">
        <v>7143</v>
      </c>
      <c r="BY137" s="2" t="s">
        <v>1189</v>
      </c>
      <c r="BZ137" s="2" t="s">
        <v>7159</v>
      </c>
      <c r="CE137" s="7">
        <v>0.6</v>
      </c>
      <c r="CF137" s="2">
        <v>57</v>
      </c>
      <c r="CK137" s="2">
        <v>100</v>
      </c>
      <c r="CO137" s="2">
        <v>100</v>
      </c>
      <c r="CR137" s="2" t="s">
        <v>7160</v>
      </c>
      <c r="CT137" s="2" t="s">
        <v>7143</v>
      </c>
      <c r="CU137" s="7" t="s">
        <v>7161</v>
      </c>
      <c r="CV137" s="7"/>
      <c r="CW137" s="7" t="s">
        <v>7162</v>
      </c>
      <c r="CY137" s="7" t="s">
        <v>7251</v>
      </c>
      <c r="CZ137" s="7" t="s">
        <v>7249</v>
      </c>
      <c r="DA137" s="2" t="s">
        <v>7249</v>
      </c>
      <c r="DB137" s="2" t="s">
        <v>7227</v>
      </c>
      <c r="DC137" s="2" t="s">
        <v>7251</v>
      </c>
      <c r="DD137" s="7" t="s">
        <v>7251</v>
      </c>
      <c r="DE137" s="7" t="s">
        <v>7250</v>
      </c>
      <c r="DF137" s="7" t="s">
        <v>7250</v>
      </c>
      <c r="DG137" s="7" t="s">
        <v>7251</v>
      </c>
      <c r="DH137" s="2" t="s">
        <v>7251</v>
      </c>
      <c r="DI137" s="2" t="s">
        <v>7251</v>
      </c>
      <c r="DL137" s="7" t="s">
        <v>7143</v>
      </c>
      <c r="DM137" s="7" t="s">
        <v>7143</v>
      </c>
      <c r="DP137" s="2" t="s">
        <v>7159</v>
      </c>
      <c r="DS137" s="7" t="s">
        <v>7159</v>
      </c>
      <c r="DT137" s="2" t="s">
        <v>7165</v>
      </c>
      <c r="DU137" s="2" t="s">
        <v>7165</v>
      </c>
      <c r="DV137" s="2" t="s">
        <v>7165</v>
      </c>
      <c r="DW137" s="2" t="s">
        <v>7165</v>
      </c>
      <c r="DX137" s="2" t="s">
        <v>7159</v>
      </c>
      <c r="DY137" s="2" t="s">
        <v>7159</v>
      </c>
      <c r="DZ137" s="2" t="s">
        <v>7159</v>
      </c>
      <c r="EA137" s="2" t="s">
        <v>7165</v>
      </c>
      <c r="EB137" s="2" t="s">
        <v>7165</v>
      </c>
      <c r="EC137" s="2" t="s">
        <v>7159</v>
      </c>
      <c r="EF137" s="2" t="s">
        <v>7167</v>
      </c>
      <c r="EJ137" s="7" t="s">
        <v>7193</v>
      </c>
      <c r="EK137" s="7" t="s">
        <v>7143</v>
      </c>
      <c r="EL137" s="7" t="s">
        <v>7143</v>
      </c>
      <c r="EN137" s="7" t="s">
        <v>7170</v>
      </c>
      <c r="EP137" s="7" t="s">
        <v>7186</v>
      </c>
      <c r="ER137" s="2" t="s">
        <v>7143</v>
      </c>
      <c r="ET137" s="7" t="s">
        <v>7143</v>
      </c>
      <c r="EV137" s="2" t="s">
        <v>7143</v>
      </c>
      <c r="EX137" s="2" t="s">
        <v>7143</v>
      </c>
      <c r="FC137" s="2" t="s">
        <v>7172</v>
      </c>
      <c r="FD137" s="2" t="s">
        <v>7143</v>
      </c>
      <c r="FH137" s="7" t="s">
        <v>7173</v>
      </c>
      <c r="FJ137" s="7" t="s">
        <v>7143</v>
      </c>
      <c r="FK137" s="2" t="s">
        <v>7159</v>
      </c>
      <c r="FN137" s="2" t="s">
        <v>7283</v>
      </c>
      <c r="FT137" s="2" t="s">
        <v>7189</v>
      </c>
      <c r="FU137" s="2" t="s">
        <v>7189</v>
      </c>
      <c r="FV137" s="2" t="s">
        <v>7189</v>
      </c>
      <c r="FW137" s="2" t="s">
        <v>7189</v>
      </c>
      <c r="FZ137" s="19" t="s">
        <v>7704</v>
      </c>
    </row>
    <row r="138" spans="1:182">
      <c r="A138" s="7" t="s">
        <v>1190</v>
      </c>
      <c r="D138" s="7" t="s">
        <v>7705</v>
      </c>
      <c r="E138" s="7" t="s">
        <v>1191</v>
      </c>
      <c r="F138" s="7" t="s">
        <v>7319</v>
      </c>
      <c r="G138" s="7" t="s">
        <v>7135</v>
      </c>
      <c r="H138" s="7" t="s">
        <v>1160</v>
      </c>
      <c r="I138" s="7" t="s">
        <v>1192</v>
      </c>
      <c r="K138" s="7" t="s">
        <v>1192</v>
      </c>
      <c r="L138" s="7" t="s">
        <v>7137</v>
      </c>
      <c r="M138" s="7" t="s">
        <v>7138</v>
      </c>
      <c r="N138" s="7">
        <v>1980</v>
      </c>
      <c r="O138" s="7" t="s">
        <v>7139</v>
      </c>
      <c r="P138" s="7" t="s">
        <v>7140</v>
      </c>
      <c r="Q138" s="7" t="s">
        <v>7225</v>
      </c>
      <c r="R138" s="7" t="s">
        <v>7143</v>
      </c>
      <c r="S138" s="7">
        <v>17</v>
      </c>
      <c r="T138" s="7" t="s">
        <v>7143</v>
      </c>
      <c r="U138" s="7" t="s">
        <v>7143</v>
      </c>
      <c r="Y138" s="2">
        <v>200</v>
      </c>
      <c r="Z138" s="17">
        <v>0.7</v>
      </c>
      <c r="AA138" s="2">
        <v>140</v>
      </c>
      <c r="AB138" s="2">
        <v>90</v>
      </c>
      <c r="AC138" s="7">
        <v>65</v>
      </c>
      <c r="AD138" s="2">
        <v>80</v>
      </c>
      <c r="AE138" s="2">
        <v>15</v>
      </c>
      <c r="AF138" s="2" t="s">
        <v>7142</v>
      </c>
      <c r="AG138" s="2" t="s">
        <v>7143</v>
      </c>
      <c r="AH138" s="2" t="s">
        <v>7143</v>
      </c>
      <c r="AJ138" s="2" t="s">
        <v>7143</v>
      </c>
      <c r="AK138" s="2" t="s">
        <v>7142</v>
      </c>
      <c r="AL138" s="2" t="s">
        <v>7143</v>
      </c>
      <c r="AM138" s="2" t="s">
        <v>7142</v>
      </c>
      <c r="AN138" s="2" t="s">
        <v>7143</v>
      </c>
      <c r="AO138" s="2" t="s">
        <v>7143</v>
      </c>
      <c r="AR138" s="7">
        <v>0.4</v>
      </c>
      <c r="AS138" s="7">
        <v>1</v>
      </c>
      <c r="AT138" s="7">
        <v>0.8</v>
      </c>
      <c r="AU138" s="2" t="s">
        <v>7217</v>
      </c>
      <c r="AV138" s="2" t="s">
        <v>7217</v>
      </c>
      <c r="AW138" s="2" t="s">
        <v>7143</v>
      </c>
      <c r="AZ138" s="2" t="s">
        <v>7286</v>
      </c>
      <c r="BB138" s="2" t="s">
        <v>7214</v>
      </c>
      <c r="BC138" s="2" t="s">
        <v>7147</v>
      </c>
      <c r="BD138" s="2" t="s">
        <v>7143</v>
      </c>
      <c r="BE138" s="2" t="s">
        <v>7143</v>
      </c>
      <c r="BL138" s="2" t="s">
        <v>7195</v>
      </c>
      <c r="BO138" s="2" t="s">
        <v>7274</v>
      </c>
      <c r="BP138" s="2" t="s">
        <v>7275</v>
      </c>
      <c r="BS138" s="2" t="s">
        <v>7143</v>
      </c>
      <c r="BT138" s="2" t="s">
        <v>7196</v>
      </c>
      <c r="BV138" s="2" t="s">
        <v>7158</v>
      </c>
      <c r="BX138" s="2" t="s">
        <v>7143</v>
      </c>
      <c r="BZ138" s="2" t="s">
        <v>7173</v>
      </c>
      <c r="CE138" s="7">
        <v>0.8</v>
      </c>
      <c r="CF138" s="2">
        <v>80</v>
      </c>
      <c r="CK138" s="2">
        <v>100</v>
      </c>
      <c r="CO138" s="2">
        <v>100</v>
      </c>
      <c r="CR138" s="2" t="s">
        <v>7276</v>
      </c>
      <c r="CT138" s="2" t="s">
        <v>7143</v>
      </c>
      <c r="CU138" s="2" t="s">
        <v>7161</v>
      </c>
      <c r="CW138" s="2" t="s">
        <v>7162</v>
      </c>
      <c r="CY138" s="2" t="s">
        <v>7250</v>
      </c>
      <c r="CZ138" s="2" t="s">
        <v>7250</v>
      </c>
      <c r="DA138" s="2" t="s">
        <v>7250</v>
      </c>
      <c r="DB138" s="2" t="s">
        <v>7250</v>
      </c>
      <c r="DC138" s="2" t="s">
        <v>7321</v>
      </c>
      <c r="DD138" s="2" t="s">
        <v>7321</v>
      </c>
      <c r="DE138" s="2" t="s">
        <v>7250</v>
      </c>
      <c r="DF138" s="2" t="s">
        <v>7321</v>
      </c>
      <c r="DG138" s="2" t="s">
        <v>7321</v>
      </c>
      <c r="DH138" s="2" t="s">
        <v>7321</v>
      </c>
      <c r="DI138" s="2" t="s">
        <v>7321</v>
      </c>
      <c r="DL138" s="2" t="s">
        <v>7143</v>
      </c>
      <c r="DM138" s="2" t="s">
        <v>7143</v>
      </c>
      <c r="DP138" s="2" t="s">
        <v>7159</v>
      </c>
      <c r="DT138" s="2" t="s">
        <v>7159</v>
      </c>
      <c r="DU138" s="2" t="s">
        <v>7159</v>
      </c>
      <c r="DV138" s="2" t="s">
        <v>7159</v>
      </c>
      <c r="DW138" s="2" t="s">
        <v>7159</v>
      </c>
      <c r="DX138" s="2" t="s">
        <v>7159</v>
      </c>
      <c r="DY138" s="2" t="s">
        <v>7159</v>
      </c>
      <c r="DZ138" s="2" t="s">
        <v>7159</v>
      </c>
      <c r="EA138" s="2" t="s">
        <v>7159</v>
      </c>
      <c r="EB138" s="2" t="s">
        <v>7159</v>
      </c>
      <c r="EC138" s="2" t="s">
        <v>7159</v>
      </c>
      <c r="EF138" s="2" t="s">
        <v>7349</v>
      </c>
      <c r="EG138" s="2" t="s">
        <v>431</v>
      </c>
      <c r="EJ138" s="2" t="s">
        <v>7217</v>
      </c>
      <c r="EK138" s="2" t="s">
        <v>7143</v>
      </c>
      <c r="EL138" s="2" t="s">
        <v>7143</v>
      </c>
      <c r="EN138" s="2" t="s">
        <v>7210</v>
      </c>
      <c r="EP138" s="2" t="s">
        <v>7186</v>
      </c>
      <c r="ER138" s="2" t="s">
        <v>7143</v>
      </c>
      <c r="ET138" s="2" t="s">
        <v>7143</v>
      </c>
      <c r="EV138" s="2" t="s">
        <v>7143</v>
      </c>
      <c r="EX138" s="2" t="s">
        <v>7143</v>
      </c>
      <c r="EZ138" s="2" t="s">
        <v>7143</v>
      </c>
      <c r="FC138" s="2" t="s">
        <v>7218</v>
      </c>
      <c r="FD138" s="2" t="s">
        <v>7143</v>
      </c>
      <c r="FH138" s="2" t="s">
        <v>7173</v>
      </c>
      <c r="FJ138" s="2" t="s">
        <v>7143</v>
      </c>
      <c r="FK138" s="2" t="s">
        <v>7173</v>
      </c>
      <c r="FR138" s="2" t="s">
        <v>433</v>
      </c>
      <c r="FT138" s="2" t="s">
        <v>7189</v>
      </c>
      <c r="FU138" s="2" t="s">
        <v>7189</v>
      </c>
      <c r="FV138" s="2" t="s">
        <v>7189</v>
      </c>
      <c r="FW138" s="2" t="s">
        <v>7189</v>
      </c>
      <c r="FZ138" s="19" t="s">
        <v>7706</v>
      </c>
    </row>
    <row r="139" spans="1:182">
      <c r="A139" s="7" t="s">
        <v>1193</v>
      </c>
      <c r="D139" s="7" t="s">
        <v>7707</v>
      </c>
      <c r="E139" s="7" t="s">
        <v>177</v>
      </c>
      <c r="F139" s="7" t="s">
        <v>7245</v>
      </c>
      <c r="G139" s="7" t="s">
        <v>7135</v>
      </c>
      <c r="H139" s="2" t="s">
        <v>1160</v>
      </c>
      <c r="I139" s="7" t="s">
        <v>1194</v>
      </c>
      <c r="J139" s="16" t="s">
        <v>7708</v>
      </c>
      <c r="K139" s="7" t="s">
        <v>1195</v>
      </c>
      <c r="L139" s="7" t="s">
        <v>7137</v>
      </c>
      <c r="M139" s="7" t="s">
        <v>7138</v>
      </c>
      <c r="N139" s="7">
        <v>2000</v>
      </c>
      <c r="O139" s="7" t="s">
        <v>7139</v>
      </c>
      <c r="P139" s="7" t="s">
        <v>7140</v>
      </c>
      <c r="Q139" s="7" t="s">
        <v>7141</v>
      </c>
      <c r="R139" s="7" t="s">
        <v>7143</v>
      </c>
      <c r="S139" s="7">
        <v>2007</v>
      </c>
      <c r="T139" s="2" t="s">
        <v>7143</v>
      </c>
      <c r="U139" s="2" t="s">
        <v>7143</v>
      </c>
      <c r="Y139" s="2">
        <v>1020</v>
      </c>
      <c r="Z139" s="17">
        <v>1</v>
      </c>
      <c r="AA139" s="2">
        <v>1020</v>
      </c>
      <c r="AB139" s="2">
        <v>980</v>
      </c>
      <c r="AC139" s="7">
        <v>780</v>
      </c>
      <c r="AD139" s="2">
        <v>980</v>
      </c>
      <c r="AE139" s="2">
        <v>200</v>
      </c>
      <c r="AF139" s="2" t="s">
        <v>7143</v>
      </c>
      <c r="AG139" s="2" t="s">
        <v>7142</v>
      </c>
      <c r="AH139" s="2" t="s">
        <v>7142</v>
      </c>
      <c r="AI139" s="2" t="s">
        <v>308</v>
      </c>
      <c r="AJ139" s="2" t="s">
        <v>7143</v>
      </c>
      <c r="AK139" s="2" t="s">
        <v>7143</v>
      </c>
      <c r="AL139" s="2" t="s">
        <v>7143</v>
      </c>
      <c r="AM139" s="2" t="s">
        <v>7142</v>
      </c>
      <c r="AN139" s="2" t="s">
        <v>7143</v>
      </c>
      <c r="AO139" s="2" t="s">
        <v>7143</v>
      </c>
      <c r="AR139" s="7">
        <v>2.5</v>
      </c>
      <c r="AS139" s="7">
        <v>2</v>
      </c>
      <c r="AT139" s="7">
        <v>10</v>
      </c>
      <c r="AU139" s="2" t="s">
        <v>7144</v>
      </c>
      <c r="AV139" s="2" t="s">
        <v>7144</v>
      </c>
      <c r="AW139" s="2" t="s">
        <v>7143</v>
      </c>
      <c r="AZ139" s="2" t="s">
        <v>7337</v>
      </c>
      <c r="BB139" s="2" t="s">
        <v>7214</v>
      </c>
      <c r="BC139" s="7" t="s">
        <v>7208</v>
      </c>
      <c r="BD139" s="7" t="s">
        <v>7143</v>
      </c>
      <c r="BE139" s="2" t="s">
        <v>7143</v>
      </c>
      <c r="BL139" s="7" t="s">
        <v>7152</v>
      </c>
      <c r="BM139" s="7" t="s">
        <v>7153</v>
      </c>
      <c r="BN139" s="7" t="s">
        <v>7154</v>
      </c>
      <c r="BO139" s="7" t="s">
        <v>7155</v>
      </c>
      <c r="BQ139" s="7" t="s">
        <v>7183</v>
      </c>
      <c r="BS139" s="2" t="s">
        <v>7142</v>
      </c>
      <c r="BT139" s="2" t="s">
        <v>7215</v>
      </c>
      <c r="BV139" s="2" t="s">
        <v>7387</v>
      </c>
      <c r="BX139" s="2" t="s">
        <v>7142</v>
      </c>
      <c r="BY139" s="2" t="s">
        <v>1196</v>
      </c>
      <c r="BZ139" s="2" t="s">
        <v>7159</v>
      </c>
      <c r="CE139" s="7">
        <v>10</v>
      </c>
      <c r="CK139" s="2">
        <v>100</v>
      </c>
      <c r="CO139" s="2">
        <v>100</v>
      </c>
      <c r="CR139" s="2" t="s">
        <v>7160</v>
      </c>
      <c r="CT139" s="2" t="s">
        <v>7143</v>
      </c>
      <c r="CU139" s="2" t="s">
        <v>7161</v>
      </c>
      <c r="CW139" s="2" t="s">
        <v>7162</v>
      </c>
      <c r="CY139" s="2" t="s">
        <v>7163</v>
      </c>
      <c r="CZ139" s="2" t="s">
        <v>7163</v>
      </c>
      <c r="DA139" s="2" t="s">
        <v>7249</v>
      </c>
      <c r="DB139" s="2" t="s">
        <v>7163</v>
      </c>
      <c r="DC139" s="2" t="s">
        <v>7164</v>
      </c>
      <c r="DE139" s="2" t="s">
        <v>7163</v>
      </c>
      <c r="DF139" s="2" t="s">
        <v>7163</v>
      </c>
      <c r="DG139" s="2" t="s">
        <v>7163</v>
      </c>
      <c r="DH139" s="2" t="s">
        <v>7164</v>
      </c>
      <c r="DI139" s="2" t="s">
        <v>7164</v>
      </c>
      <c r="DL139" s="2" t="s">
        <v>7142</v>
      </c>
      <c r="DM139" s="2" t="s">
        <v>7142</v>
      </c>
      <c r="DN139" s="2" t="s">
        <v>7142</v>
      </c>
      <c r="DO139" s="2" t="s">
        <v>7142</v>
      </c>
      <c r="DP139" s="2" t="s">
        <v>7165</v>
      </c>
      <c r="DQ139" s="2" t="s">
        <v>7166</v>
      </c>
      <c r="DT139" s="2" t="s">
        <v>7165</v>
      </c>
      <c r="DU139" s="2" t="s">
        <v>7165</v>
      </c>
      <c r="DV139" s="2" t="s">
        <v>7165</v>
      </c>
      <c r="DW139" s="2" t="s">
        <v>7165</v>
      </c>
      <c r="DX139" s="2" t="s">
        <v>7165</v>
      </c>
      <c r="DY139" s="2" t="s">
        <v>7159</v>
      </c>
      <c r="DZ139" s="2" t="s">
        <v>7159</v>
      </c>
      <c r="EA139" s="2" t="s">
        <v>7165</v>
      </c>
      <c r="EB139" s="2" t="s">
        <v>7165</v>
      </c>
      <c r="EC139" s="2" t="s">
        <v>7159</v>
      </c>
      <c r="EF139" s="2" t="s">
        <v>7167</v>
      </c>
      <c r="EJ139" s="2" t="s">
        <v>7144</v>
      </c>
      <c r="EK139" s="2" t="s">
        <v>7142</v>
      </c>
      <c r="EL139" s="2" t="s">
        <v>7143</v>
      </c>
      <c r="EN139" s="2" t="s">
        <v>7170</v>
      </c>
      <c r="EP139" s="2" t="s">
        <v>7186</v>
      </c>
      <c r="ER139" s="2" t="s">
        <v>7143</v>
      </c>
      <c r="ET139" s="2" t="s">
        <v>7143</v>
      </c>
      <c r="EV139" s="2" t="s">
        <v>7142</v>
      </c>
      <c r="EW139" s="2" t="s">
        <v>7204</v>
      </c>
      <c r="EX139" s="2" t="s">
        <v>7142</v>
      </c>
      <c r="EY139" s="2" t="s">
        <v>7204</v>
      </c>
      <c r="FC139" s="2" t="s">
        <v>7172</v>
      </c>
      <c r="FD139" s="2" t="s">
        <v>7143</v>
      </c>
      <c r="FH139" s="2" t="s">
        <v>7173</v>
      </c>
      <c r="FJ139" s="2" t="s">
        <v>7143</v>
      </c>
      <c r="FK139" s="2" t="s">
        <v>7165</v>
      </c>
      <c r="FL139" s="2" t="s">
        <v>7260</v>
      </c>
      <c r="FN139" s="2" t="s">
        <v>7253</v>
      </c>
      <c r="FT139" s="2" t="s">
        <v>7176</v>
      </c>
      <c r="FU139" s="2" t="s">
        <v>7189</v>
      </c>
      <c r="FV139" s="2" t="s">
        <v>7189</v>
      </c>
      <c r="FW139" s="2" t="s">
        <v>7189</v>
      </c>
      <c r="FZ139" s="19" t="s">
        <v>7709</v>
      </c>
    </row>
    <row r="140" spans="1:182">
      <c r="A140" s="7" t="s">
        <v>1197</v>
      </c>
      <c r="D140" s="7" t="s">
        <v>7710</v>
      </c>
      <c r="E140" s="7" t="s">
        <v>177</v>
      </c>
      <c r="F140" s="7" t="s">
        <v>7245</v>
      </c>
      <c r="G140" s="7" t="s">
        <v>7135</v>
      </c>
      <c r="H140" s="7" t="s">
        <v>1160</v>
      </c>
      <c r="I140" s="7" t="s">
        <v>1198</v>
      </c>
      <c r="J140" s="16" t="s">
        <v>7711</v>
      </c>
      <c r="K140" s="7" t="s">
        <v>1199</v>
      </c>
      <c r="L140" s="7" t="s">
        <v>7137</v>
      </c>
      <c r="M140" s="7" t="s">
        <v>7179</v>
      </c>
      <c r="N140" s="7">
        <v>1997</v>
      </c>
      <c r="O140" s="7" t="s">
        <v>7139</v>
      </c>
      <c r="P140" s="7" t="s">
        <v>7181</v>
      </c>
      <c r="Q140" s="2" t="s">
        <v>7141</v>
      </c>
      <c r="R140" s="7" t="s">
        <v>7143</v>
      </c>
      <c r="S140" s="2">
        <v>2019</v>
      </c>
      <c r="T140" s="2" t="s">
        <v>7143</v>
      </c>
      <c r="U140" s="2" t="s">
        <v>7143</v>
      </c>
      <c r="Y140" s="2">
        <v>530</v>
      </c>
      <c r="Z140" s="17">
        <v>0.94340000000000002</v>
      </c>
      <c r="AA140" s="2">
        <v>500</v>
      </c>
      <c r="AB140" s="2">
        <v>500</v>
      </c>
      <c r="AC140" s="7">
        <v>400</v>
      </c>
      <c r="AD140" s="2">
        <v>450</v>
      </c>
      <c r="AE140" s="2">
        <v>50</v>
      </c>
      <c r="AF140" s="7" t="s">
        <v>7142</v>
      </c>
      <c r="AG140" s="2" t="s">
        <v>7142</v>
      </c>
      <c r="AH140" s="2" t="s">
        <v>7142</v>
      </c>
      <c r="AI140" s="2" t="s">
        <v>1200</v>
      </c>
      <c r="AJ140" s="2" t="s">
        <v>7143</v>
      </c>
      <c r="AK140" s="2" t="s">
        <v>7143</v>
      </c>
      <c r="AL140" s="2" t="s">
        <v>7143</v>
      </c>
      <c r="AM140" s="2" t="s">
        <v>7142</v>
      </c>
      <c r="AN140" s="2" t="s">
        <v>7143</v>
      </c>
      <c r="AO140" s="2" t="s">
        <v>7143</v>
      </c>
      <c r="AR140" s="7">
        <v>2</v>
      </c>
      <c r="AS140" s="7">
        <v>2</v>
      </c>
      <c r="AT140" s="7">
        <v>4.3</v>
      </c>
      <c r="AU140" s="2" t="s">
        <v>7144</v>
      </c>
      <c r="AV140" s="2" t="s">
        <v>7144</v>
      </c>
      <c r="AW140" s="2" t="s">
        <v>7143</v>
      </c>
      <c r="AZ140" s="2" t="s">
        <v>7286</v>
      </c>
      <c r="BB140" s="2" t="s">
        <v>7214</v>
      </c>
      <c r="BC140" s="2" t="s">
        <v>7208</v>
      </c>
      <c r="BD140" s="2" t="s">
        <v>7142</v>
      </c>
      <c r="BE140" s="2" t="s">
        <v>7142</v>
      </c>
      <c r="BF140" s="2" t="s">
        <v>7148</v>
      </c>
      <c r="BG140" s="2" t="s">
        <v>7149</v>
      </c>
      <c r="BH140" s="2" t="s">
        <v>7150</v>
      </c>
      <c r="BI140" s="2" t="s">
        <v>7151</v>
      </c>
      <c r="BL140" s="7" t="s">
        <v>7152</v>
      </c>
      <c r="BM140" s="7" t="s">
        <v>7153</v>
      </c>
      <c r="BN140" s="7" t="s">
        <v>7154</v>
      </c>
      <c r="BO140" s="7" t="s">
        <v>7155</v>
      </c>
      <c r="BQ140" s="2" t="s">
        <v>7183</v>
      </c>
      <c r="BS140" s="2" t="s">
        <v>7142</v>
      </c>
      <c r="BT140" s="2" t="s">
        <v>7215</v>
      </c>
      <c r="BV140" s="2" t="s">
        <v>7264</v>
      </c>
      <c r="BX140" s="2" t="s">
        <v>7142</v>
      </c>
      <c r="BY140" s="2" t="s">
        <v>310</v>
      </c>
      <c r="BZ140" s="2" t="s">
        <v>7159</v>
      </c>
      <c r="CE140" s="7">
        <v>4.3</v>
      </c>
      <c r="CF140" s="2">
        <v>425</v>
      </c>
      <c r="CK140" s="2">
        <v>100</v>
      </c>
      <c r="CO140" s="2">
        <v>100</v>
      </c>
      <c r="CR140" s="7" t="s">
        <v>7160</v>
      </c>
      <c r="CT140" s="2" t="s">
        <v>7143</v>
      </c>
      <c r="CU140" s="7" t="s">
        <v>7161</v>
      </c>
      <c r="CW140" s="2" t="s">
        <v>7162</v>
      </c>
      <c r="CY140" s="2" t="s">
        <v>7227</v>
      </c>
      <c r="CZ140" s="2" t="s">
        <v>7227</v>
      </c>
      <c r="DA140" s="2" t="s">
        <v>7164</v>
      </c>
      <c r="DB140" s="2" t="s">
        <v>7164</v>
      </c>
      <c r="DC140" s="2" t="s">
        <v>7164</v>
      </c>
      <c r="DD140" s="2" t="s">
        <v>7251</v>
      </c>
      <c r="DE140" s="2" t="s">
        <v>7164</v>
      </c>
      <c r="DF140" s="2" t="s">
        <v>7163</v>
      </c>
      <c r="DG140" s="2" t="s">
        <v>7163</v>
      </c>
      <c r="DH140" s="2" t="s">
        <v>7164</v>
      </c>
      <c r="DI140" s="2" t="s">
        <v>7164</v>
      </c>
      <c r="DL140" s="2" t="s">
        <v>7142</v>
      </c>
      <c r="DM140" s="7" t="s">
        <v>7142</v>
      </c>
      <c r="DN140" s="2" t="s">
        <v>7142</v>
      </c>
      <c r="DO140" s="2" t="s">
        <v>7142</v>
      </c>
      <c r="DP140" s="7" t="s">
        <v>7159</v>
      </c>
      <c r="DS140" s="7" t="s">
        <v>7165</v>
      </c>
      <c r="DT140" s="7" t="s">
        <v>7165</v>
      </c>
      <c r="DU140" s="7" t="s">
        <v>7165</v>
      </c>
      <c r="DV140" s="7" t="s">
        <v>7165</v>
      </c>
      <c r="DW140" s="7" t="s">
        <v>7165</v>
      </c>
      <c r="DX140" s="7" t="s">
        <v>7165</v>
      </c>
      <c r="DY140" s="7" t="s">
        <v>7159</v>
      </c>
      <c r="DZ140" s="7" t="s">
        <v>7159</v>
      </c>
      <c r="EA140" s="7" t="s">
        <v>7165</v>
      </c>
      <c r="EB140" s="7" t="s">
        <v>7159</v>
      </c>
      <c r="EC140" s="7" t="s">
        <v>7159</v>
      </c>
      <c r="ED140" s="7"/>
      <c r="EE140" s="7"/>
      <c r="EF140" s="7" t="s">
        <v>7167</v>
      </c>
      <c r="EJ140" s="7" t="s">
        <v>7193</v>
      </c>
      <c r="EK140" s="7" t="s">
        <v>7142</v>
      </c>
      <c r="EL140" s="7" t="s">
        <v>7143</v>
      </c>
      <c r="EN140" s="7" t="s">
        <v>7170</v>
      </c>
      <c r="EP140" s="7" t="s">
        <v>7186</v>
      </c>
      <c r="ER140" s="2" t="s">
        <v>7142</v>
      </c>
      <c r="ET140" s="7" t="s">
        <v>7143</v>
      </c>
      <c r="EV140" s="2" t="s">
        <v>7142</v>
      </c>
      <c r="EW140" s="2" t="s">
        <v>7204</v>
      </c>
      <c r="EX140" s="2" t="s">
        <v>7143</v>
      </c>
      <c r="FC140" s="2" t="s">
        <v>7172</v>
      </c>
      <c r="FH140" s="7" t="s">
        <v>7173</v>
      </c>
      <c r="FJ140" s="7" t="s">
        <v>7142</v>
      </c>
      <c r="FK140" s="7" t="s">
        <v>7159</v>
      </c>
      <c r="FN140" s="7" t="s">
        <v>7344</v>
      </c>
      <c r="FT140" s="2" t="s">
        <v>7176</v>
      </c>
      <c r="FU140" s="2" t="s">
        <v>7189</v>
      </c>
      <c r="FV140" s="2" t="s">
        <v>7189</v>
      </c>
      <c r="FW140" s="2" t="s">
        <v>7189</v>
      </c>
      <c r="FZ140" s="19" t="s">
        <v>7712</v>
      </c>
    </row>
    <row r="141" spans="1:182">
      <c r="A141" s="7" t="s">
        <v>1201</v>
      </c>
      <c r="D141" s="7" t="s">
        <v>7713</v>
      </c>
      <c r="E141" s="7" t="s">
        <v>1202</v>
      </c>
      <c r="F141" s="7" t="s">
        <v>7319</v>
      </c>
      <c r="G141" s="7" t="s">
        <v>7135</v>
      </c>
      <c r="H141" s="7" t="s">
        <v>1160</v>
      </c>
      <c r="I141" s="7" t="s">
        <v>1203</v>
      </c>
      <c r="J141" s="16" t="s">
        <v>7714</v>
      </c>
      <c r="K141" s="7" t="s">
        <v>1203</v>
      </c>
      <c r="L141" s="7" t="s">
        <v>7137</v>
      </c>
      <c r="M141" s="7" t="s">
        <v>7138</v>
      </c>
      <c r="N141" s="7">
        <v>1984</v>
      </c>
      <c r="O141" s="7" t="s">
        <v>7139</v>
      </c>
      <c r="P141" s="7" t="s">
        <v>7140</v>
      </c>
      <c r="Q141" s="7" t="s">
        <v>7141</v>
      </c>
      <c r="R141" s="7" t="s">
        <v>7143</v>
      </c>
      <c r="S141" s="2">
        <v>13</v>
      </c>
      <c r="T141" s="2" t="s">
        <v>7143</v>
      </c>
      <c r="U141" s="2" t="s">
        <v>7143</v>
      </c>
      <c r="Y141" s="2">
        <v>365</v>
      </c>
      <c r="Z141" s="17">
        <v>0.87670000000000003</v>
      </c>
      <c r="AA141" s="2">
        <v>320</v>
      </c>
      <c r="AB141" s="2">
        <v>300</v>
      </c>
      <c r="AC141" s="7">
        <v>290</v>
      </c>
      <c r="AD141" s="2">
        <v>380</v>
      </c>
      <c r="AE141" s="2">
        <v>90</v>
      </c>
      <c r="AF141" s="2" t="s">
        <v>7142</v>
      </c>
      <c r="AG141" s="2" t="s">
        <v>7143</v>
      </c>
      <c r="AH141" s="2" t="s">
        <v>7143</v>
      </c>
      <c r="AJ141" s="2" t="s">
        <v>7143</v>
      </c>
      <c r="AK141" s="2" t="s">
        <v>7142</v>
      </c>
      <c r="AL141" s="2" t="s">
        <v>7142</v>
      </c>
      <c r="AM141" s="2" t="s">
        <v>7142</v>
      </c>
      <c r="AN141" s="2" t="s">
        <v>7143</v>
      </c>
      <c r="AO141" s="2" t="s">
        <v>7143</v>
      </c>
      <c r="AR141" s="7">
        <v>1.35</v>
      </c>
      <c r="AS141" s="7">
        <v>5</v>
      </c>
      <c r="AT141" s="7">
        <v>3.8</v>
      </c>
      <c r="AU141" s="2" t="s">
        <v>7193</v>
      </c>
      <c r="AV141" s="2" t="s">
        <v>7193</v>
      </c>
      <c r="AW141" s="2" t="s">
        <v>7143</v>
      </c>
      <c r="AZ141" s="2" t="s">
        <v>7337</v>
      </c>
      <c r="BB141" s="2" t="s">
        <v>7268</v>
      </c>
      <c r="BC141" s="2" t="s">
        <v>7247</v>
      </c>
      <c r="BD141" s="2" t="s">
        <v>7142</v>
      </c>
      <c r="BE141" s="2" t="s">
        <v>7142</v>
      </c>
      <c r="BF141" s="2" t="s">
        <v>7148</v>
      </c>
      <c r="BG141" s="2" t="s">
        <v>7149</v>
      </c>
      <c r="BH141" s="2" t="s">
        <v>7248</v>
      </c>
      <c r="BI141" s="2" t="s">
        <v>7269</v>
      </c>
      <c r="BL141" s="2" t="s">
        <v>7195</v>
      </c>
      <c r="BO141" s="2" t="s">
        <v>7155</v>
      </c>
      <c r="BQ141" s="2" t="s">
        <v>7183</v>
      </c>
      <c r="BS141" s="2" t="s">
        <v>7142</v>
      </c>
      <c r="BT141" s="2" t="s">
        <v>7215</v>
      </c>
      <c r="BV141" s="2" t="s">
        <v>7202</v>
      </c>
      <c r="BX141" s="2" t="s">
        <v>7143</v>
      </c>
      <c r="BZ141" s="2" t="s">
        <v>7173</v>
      </c>
      <c r="CE141" s="7">
        <v>3.8</v>
      </c>
      <c r="CF141" s="2">
        <v>380</v>
      </c>
      <c r="CK141" s="2">
        <v>100</v>
      </c>
      <c r="CO141" s="2">
        <v>100</v>
      </c>
      <c r="CR141" s="2" t="s">
        <v>7160</v>
      </c>
      <c r="CT141" s="2" t="s">
        <v>7143</v>
      </c>
      <c r="CU141" s="2" t="s">
        <v>7161</v>
      </c>
      <c r="CW141" s="2" t="s">
        <v>7162</v>
      </c>
      <c r="CY141" s="2" t="s">
        <v>7250</v>
      </c>
      <c r="CZ141" s="2" t="s">
        <v>7250</v>
      </c>
      <c r="DA141" s="2" t="s">
        <v>7250</v>
      </c>
      <c r="DB141" s="2" t="s">
        <v>7321</v>
      </c>
      <c r="DC141" s="2" t="s">
        <v>7321</v>
      </c>
      <c r="DD141" s="2" t="s">
        <v>7321</v>
      </c>
      <c r="DE141" s="2" t="s">
        <v>7321</v>
      </c>
      <c r="DF141" s="2" t="s">
        <v>7321</v>
      </c>
      <c r="DG141" s="2" t="s">
        <v>7321</v>
      </c>
      <c r="DH141" s="2" t="s">
        <v>7321</v>
      </c>
      <c r="DI141" s="2" t="s">
        <v>7321</v>
      </c>
      <c r="DL141" s="2" t="s">
        <v>7143</v>
      </c>
      <c r="DM141" s="2" t="s">
        <v>7143</v>
      </c>
      <c r="DP141" s="2" t="s">
        <v>7159</v>
      </c>
      <c r="DT141" s="2" t="s">
        <v>7159</v>
      </c>
      <c r="DU141" s="2" t="s">
        <v>7159</v>
      </c>
      <c r="DV141" s="2" t="s">
        <v>7159</v>
      </c>
      <c r="DW141" s="2" t="s">
        <v>7159</v>
      </c>
      <c r="DX141" s="2" t="s">
        <v>7159</v>
      </c>
      <c r="DY141" s="2" t="s">
        <v>7159</v>
      </c>
      <c r="DZ141" s="2" t="s">
        <v>7159</v>
      </c>
      <c r="EA141" s="2" t="s">
        <v>7159</v>
      </c>
      <c r="EB141" s="2" t="s">
        <v>7159</v>
      </c>
      <c r="EC141" s="2" t="s">
        <v>7159</v>
      </c>
      <c r="EF141" s="2" t="s">
        <v>7252</v>
      </c>
      <c r="EG141" s="2" t="s">
        <v>1060</v>
      </c>
      <c r="EJ141" s="2" t="s">
        <v>7217</v>
      </c>
      <c r="EK141" s="2" t="s">
        <v>7143</v>
      </c>
      <c r="EL141" s="2" t="s">
        <v>7143</v>
      </c>
      <c r="EN141" s="2" t="s">
        <v>7210</v>
      </c>
      <c r="EP141" s="2" t="s">
        <v>7186</v>
      </c>
      <c r="ER141" s="2" t="s">
        <v>7143</v>
      </c>
      <c r="ET141" s="2" t="s">
        <v>7143</v>
      </c>
      <c r="EV141" s="2" t="s">
        <v>7143</v>
      </c>
      <c r="EX141" s="2" t="s">
        <v>7143</v>
      </c>
      <c r="EZ141" s="2" t="s">
        <v>7143</v>
      </c>
      <c r="FC141" s="2" t="s">
        <v>7218</v>
      </c>
      <c r="FD141" s="2" t="s">
        <v>7143</v>
      </c>
      <c r="FH141" s="2" t="s">
        <v>7173</v>
      </c>
      <c r="FJ141" s="2" t="s">
        <v>7143</v>
      </c>
      <c r="FK141" s="2" t="s">
        <v>7173</v>
      </c>
      <c r="FR141" s="2" t="s">
        <v>1204</v>
      </c>
      <c r="FT141" s="2" t="s">
        <v>7176</v>
      </c>
      <c r="FU141" s="2" t="s">
        <v>7176</v>
      </c>
      <c r="FV141" s="2" t="s">
        <v>7176</v>
      </c>
      <c r="FW141" s="2" t="s">
        <v>7176</v>
      </c>
      <c r="FZ141" s="19" t="s">
        <v>7715</v>
      </c>
    </row>
    <row r="142" spans="1:182">
      <c r="A142" s="7" t="s">
        <v>1205</v>
      </c>
      <c r="D142" s="7" t="s">
        <v>7716</v>
      </c>
      <c r="E142" s="7" t="s">
        <v>177</v>
      </c>
      <c r="F142" s="7" t="s">
        <v>7134</v>
      </c>
      <c r="G142" s="7" t="s">
        <v>7717</v>
      </c>
      <c r="H142" s="2" t="s">
        <v>1207</v>
      </c>
      <c r="I142" s="7" t="s">
        <v>1208</v>
      </c>
      <c r="J142" s="16" t="s">
        <v>7718</v>
      </c>
      <c r="K142" s="7" t="s">
        <v>1209</v>
      </c>
      <c r="L142" s="2" t="s">
        <v>7137</v>
      </c>
      <c r="M142" s="7" t="s">
        <v>7179</v>
      </c>
      <c r="N142" s="7">
        <v>1986</v>
      </c>
      <c r="O142" s="7" t="s">
        <v>7139</v>
      </c>
      <c r="P142" s="2" t="s">
        <v>7181</v>
      </c>
      <c r="Q142" s="2" t="s">
        <v>7141</v>
      </c>
      <c r="R142" s="2" t="s">
        <v>7143</v>
      </c>
      <c r="S142" s="2">
        <v>17</v>
      </c>
      <c r="T142" s="2" t="s">
        <v>7143</v>
      </c>
      <c r="U142" s="2" t="s">
        <v>7143</v>
      </c>
      <c r="Y142" s="2">
        <v>200</v>
      </c>
      <c r="Z142" s="17">
        <v>1</v>
      </c>
      <c r="AA142" s="2">
        <v>200</v>
      </c>
      <c r="AB142" s="2">
        <v>200</v>
      </c>
      <c r="AC142" s="7">
        <v>200</v>
      </c>
      <c r="AD142" s="2">
        <v>270</v>
      </c>
      <c r="AE142" s="2">
        <v>70</v>
      </c>
      <c r="AF142" s="2" t="s">
        <v>7142</v>
      </c>
      <c r="AG142" s="2" t="s">
        <v>7143</v>
      </c>
      <c r="AH142" s="2" t="s">
        <v>7143</v>
      </c>
      <c r="AJ142" s="2" t="s">
        <v>7143</v>
      </c>
      <c r="AK142" s="2" t="s">
        <v>7143</v>
      </c>
      <c r="AL142" s="2" t="s">
        <v>7143</v>
      </c>
      <c r="AM142" s="2" t="s">
        <v>7143</v>
      </c>
      <c r="AN142" s="2" t="s">
        <v>7143</v>
      </c>
      <c r="AO142" s="2" t="s">
        <v>7143</v>
      </c>
      <c r="AR142" s="7">
        <v>4.5999999999999996</v>
      </c>
      <c r="AS142" s="7">
        <v>3</v>
      </c>
      <c r="AT142" s="7">
        <v>2.7</v>
      </c>
      <c r="AU142" s="2" t="s">
        <v>7193</v>
      </c>
      <c r="AV142" s="2" t="s">
        <v>7193</v>
      </c>
      <c r="AW142" s="2" t="s">
        <v>7143</v>
      </c>
      <c r="AZ142" s="2" t="s">
        <v>7299</v>
      </c>
      <c r="BB142" s="2" t="s">
        <v>7146</v>
      </c>
      <c r="BC142" s="2" t="s">
        <v>7247</v>
      </c>
      <c r="BD142" s="2" t="s">
        <v>7142</v>
      </c>
      <c r="BE142" s="2" t="s">
        <v>7142</v>
      </c>
      <c r="BF142" s="2" t="s">
        <v>7148</v>
      </c>
      <c r="BG142" s="2" t="s">
        <v>7232</v>
      </c>
      <c r="BH142" s="2" t="s">
        <v>7248</v>
      </c>
      <c r="BI142" s="2" t="s">
        <v>7151</v>
      </c>
      <c r="BL142" s="2" t="s">
        <v>7152</v>
      </c>
      <c r="BM142" s="2" t="s">
        <v>7153</v>
      </c>
      <c r="BN142" s="2" t="s">
        <v>7154</v>
      </c>
      <c r="BO142" s="2" t="s">
        <v>7155</v>
      </c>
      <c r="BQ142" s="2" t="s">
        <v>7183</v>
      </c>
      <c r="BS142" s="2" t="s">
        <v>7142</v>
      </c>
      <c r="BT142" s="2" t="s">
        <v>7157</v>
      </c>
      <c r="BV142" s="2" t="s">
        <v>7184</v>
      </c>
      <c r="BX142" s="2" t="s">
        <v>7143</v>
      </c>
      <c r="BZ142" s="2" t="s">
        <v>7173</v>
      </c>
      <c r="CE142" s="7">
        <v>2.7</v>
      </c>
      <c r="CF142" s="2">
        <v>270</v>
      </c>
      <c r="CK142" s="2">
        <v>100</v>
      </c>
      <c r="CO142" s="2">
        <v>100</v>
      </c>
      <c r="CR142" s="2" t="s">
        <v>7185</v>
      </c>
      <c r="CT142" s="2" t="s">
        <v>7143</v>
      </c>
      <c r="CU142" s="2" t="s">
        <v>7161</v>
      </c>
      <c r="CW142" s="2" t="s">
        <v>7162</v>
      </c>
      <c r="CY142" s="2" t="s">
        <v>7163</v>
      </c>
      <c r="CZ142" s="2" t="s">
        <v>7163</v>
      </c>
      <c r="DA142" s="2" t="s">
        <v>7164</v>
      </c>
      <c r="DB142" s="2" t="s">
        <v>7164</v>
      </c>
      <c r="DC142" s="2" t="s">
        <v>7164</v>
      </c>
      <c r="DD142" s="2" t="s">
        <v>7164</v>
      </c>
      <c r="DE142" s="2" t="s">
        <v>7164</v>
      </c>
      <c r="DF142" s="2" t="s">
        <v>7164</v>
      </c>
      <c r="DG142" s="2" t="s">
        <v>7164</v>
      </c>
      <c r="DH142" s="2" t="s">
        <v>7164</v>
      </c>
      <c r="DI142" s="2" t="s">
        <v>7164</v>
      </c>
      <c r="DL142" s="2" t="s">
        <v>7142</v>
      </c>
      <c r="DM142" s="2" t="s">
        <v>7142</v>
      </c>
      <c r="DN142" s="2" t="s">
        <v>7142</v>
      </c>
      <c r="DO142" s="2" t="s">
        <v>7142</v>
      </c>
      <c r="DP142" s="2" t="s">
        <v>7165</v>
      </c>
      <c r="DQ142" s="2" t="s">
        <v>7166</v>
      </c>
      <c r="DT142" s="2" t="s">
        <v>7165</v>
      </c>
      <c r="DU142" s="2" t="s">
        <v>7165</v>
      </c>
      <c r="DV142" s="2" t="s">
        <v>7165</v>
      </c>
      <c r="DW142" s="2" t="s">
        <v>7165</v>
      </c>
      <c r="DX142" s="2" t="s">
        <v>7165</v>
      </c>
      <c r="DY142" s="2" t="s">
        <v>7165</v>
      </c>
      <c r="DZ142" s="2" t="s">
        <v>7165</v>
      </c>
      <c r="EA142" s="2" t="s">
        <v>7165</v>
      </c>
      <c r="EB142" s="2" t="s">
        <v>7165</v>
      </c>
      <c r="EF142" s="2" t="s">
        <v>7167</v>
      </c>
      <c r="EJ142" s="2" t="s">
        <v>7144</v>
      </c>
      <c r="EK142" s="2" t="s">
        <v>7142</v>
      </c>
      <c r="EL142" s="2" t="s">
        <v>7143</v>
      </c>
      <c r="EN142" s="2" t="s">
        <v>7170</v>
      </c>
      <c r="EP142" s="2" t="s">
        <v>7186</v>
      </c>
      <c r="ER142" s="2" t="s">
        <v>7142</v>
      </c>
      <c r="ET142" s="2" t="s">
        <v>7143</v>
      </c>
      <c r="EV142" s="2" t="s">
        <v>7142</v>
      </c>
      <c r="EW142" s="2" t="s">
        <v>7700</v>
      </c>
      <c r="EX142" s="2" t="s">
        <v>7143</v>
      </c>
      <c r="EZ142" s="2" t="s">
        <v>7143</v>
      </c>
      <c r="FC142" s="2" t="s">
        <v>7172</v>
      </c>
      <c r="FD142" s="2" t="s">
        <v>7143</v>
      </c>
      <c r="FH142" s="2" t="s">
        <v>7173</v>
      </c>
      <c r="FJ142" s="2" t="s">
        <v>7142</v>
      </c>
      <c r="FK142" s="2" t="s">
        <v>7165</v>
      </c>
      <c r="FL142" s="2" t="s">
        <v>7402</v>
      </c>
      <c r="FN142" s="2" t="s">
        <v>7344</v>
      </c>
      <c r="FT142" s="2" t="s">
        <v>7176</v>
      </c>
      <c r="FU142" s="2" t="s">
        <v>7176</v>
      </c>
      <c r="FV142" s="2" t="s">
        <v>7176</v>
      </c>
      <c r="FW142" s="2" t="s">
        <v>7176</v>
      </c>
      <c r="FZ142" s="19" t="s">
        <v>7719</v>
      </c>
    </row>
    <row r="143" spans="1:182">
      <c r="A143" s="7" t="s">
        <v>1210</v>
      </c>
      <c r="D143" s="7" t="s">
        <v>7720</v>
      </c>
      <c r="E143" s="7" t="s">
        <v>1211</v>
      </c>
      <c r="F143" s="7" t="s">
        <v>7389</v>
      </c>
      <c r="G143" s="7" t="s">
        <v>7717</v>
      </c>
      <c r="H143" s="7" t="s">
        <v>1212</v>
      </c>
      <c r="I143" s="7" t="s">
        <v>1213</v>
      </c>
      <c r="J143" s="16" t="s">
        <v>7721</v>
      </c>
      <c r="K143" s="7" t="s">
        <v>1213</v>
      </c>
      <c r="L143" s="2" t="s">
        <v>7137</v>
      </c>
      <c r="M143" s="7" t="s">
        <v>7179</v>
      </c>
      <c r="N143" s="7">
        <v>1990</v>
      </c>
      <c r="O143" s="7" t="s">
        <v>7139</v>
      </c>
      <c r="P143" s="7" t="s">
        <v>7140</v>
      </c>
      <c r="Q143" s="2" t="s">
        <v>7225</v>
      </c>
      <c r="R143" s="2" t="s">
        <v>7143</v>
      </c>
      <c r="S143" s="2">
        <v>25</v>
      </c>
      <c r="T143" s="2" t="s">
        <v>7143</v>
      </c>
      <c r="U143" s="2" t="s">
        <v>7143</v>
      </c>
      <c r="Y143" s="2">
        <v>53</v>
      </c>
      <c r="Z143" s="17">
        <v>1</v>
      </c>
      <c r="AA143" s="2">
        <v>53</v>
      </c>
      <c r="AB143" s="2">
        <v>53</v>
      </c>
      <c r="AC143" s="7">
        <v>53</v>
      </c>
      <c r="AD143" s="2">
        <v>60</v>
      </c>
      <c r="AE143" s="2">
        <v>7</v>
      </c>
      <c r="AF143" s="2" t="s">
        <v>7143</v>
      </c>
      <c r="AG143" s="2" t="s">
        <v>7143</v>
      </c>
      <c r="AH143" s="2" t="s">
        <v>7143</v>
      </c>
      <c r="AJ143" s="2" t="s">
        <v>7143</v>
      </c>
      <c r="AK143" s="2" t="s">
        <v>7143</v>
      </c>
      <c r="AL143" s="2" t="s">
        <v>7143</v>
      </c>
      <c r="AM143" s="2" t="s">
        <v>7143</v>
      </c>
      <c r="AN143" s="2" t="s">
        <v>7143</v>
      </c>
      <c r="AO143" s="2" t="s">
        <v>7143</v>
      </c>
      <c r="AR143" s="7">
        <v>0.3</v>
      </c>
      <c r="AS143" s="7">
        <v>1</v>
      </c>
      <c r="AT143" s="7">
        <v>0.6</v>
      </c>
      <c r="AU143" s="2" t="s">
        <v>7217</v>
      </c>
      <c r="AV143" s="2" t="s">
        <v>7217</v>
      </c>
      <c r="AW143" s="2" t="s">
        <v>7143</v>
      </c>
      <c r="AZ143" s="2" t="s">
        <v>7145</v>
      </c>
      <c r="BB143" s="2" t="s">
        <v>7214</v>
      </c>
      <c r="BC143" s="2" t="s">
        <v>7247</v>
      </c>
      <c r="BD143" s="2" t="s">
        <v>7142</v>
      </c>
      <c r="BE143" s="2" t="s">
        <v>7142</v>
      </c>
      <c r="BF143" s="2" t="s">
        <v>7148</v>
      </c>
      <c r="BG143" s="2" t="s">
        <v>7232</v>
      </c>
      <c r="BH143" s="2" t="s">
        <v>7150</v>
      </c>
      <c r="BI143" s="2" t="s">
        <v>7151</v>
      </c>
      <c r="BL143" s="2" t="s">
        <v>7195</v>
      </c>
      <c r="BO143" s="2" t="s">
        <v>7155</v>
      </c>
      <c r="BQ143" s="2" t="s">
        <v>7183</v>
      </c>
      <c r="BS143" s="2" t="s">
        <v>7142</v>
      </c>
      <c r="BT143" s="2" t="s">
        <v>7391</v>
      </c>
      <c r="BV143" s="2" t="s">
        <v>7379</v>
      </c>
      <c r="BX143" s="2" t="s">
        <v>7142</v>
      </c>
      <c r="BY143" s="2" t="s">
        <v>1214</v>
      </c>
      <c r="BZ143" s="2" t="s">
        <v>7173</v>
      </c>
      <c r="CE143" s="7">
        <v>0.6</v>
      </c>
      <c r="CF143" s="2">
        <v>60</v>
      </c>
      <c r="CK143" s="2">
        <v>100</v>
      </c>
      <c r="CO143" s="2">
        <v>100</v>
      </c>
      <c r="CR143" s="2" t="s">
        <v>7160</v>
      </c>
      <c r="CT143" s="2" t="s">
        <v>7143</v>
      </c>
      <c r="CU143" s="2" t="s">
        <v>7161</v>
      </c>
      <c r="CW143" s="2" t="s">
        <v>7162</v>
      </c>
      <c r="CY143" s="2" t="s">
        <v>7358</v>
      </c>
      <c r="CZ143" s="2" t="s">
        <v>7250</v>
      </c>
      <c r="DA143" s="2" t="s">
        <v>7250</v>
      </c>
      <c r="DB143" s="2" t="s">
        <v>7582</v>
      </c>
      <c r="DC143" s="2" t="s">
        <v>7582</v>
      </c>
      <c r="DD143" s="2" t="s">
        <v>7250</v>
      </c>
      <c r="DE143" s="2" t="s">
        <v>7250</v>
      </c>
      <c r="DF143" s="2" t="s">
        <v>7250</v>
      </c>
      <c r="DG143" s="2" t="s">
        <v>7582</v>
      </c>
      <c r="DH143" s="2" t="s">
        <v>7582</v>
      </c>
      <c r="DI143" s="2" t="s">
        <v>7582</v>
      </c>
      <c r="DL143" s="2" t="s">
        <v>7143</v>
      </c>
      <c r="DM143" s="2" t="s">
        <v>7143</v>
      </c>
      <c r="DP143" s="2" t="s">
        <v>7159</v>
      </c>
      <c r="DT143" s="2" t="s">
        <v>7159</v>
      </c>
      <c r="DU143" s="2" t="s">
        <v>7159</v>
      </c>
      <c r="DV143" s="2" t="s">
        <v>7159</v>
      </c>
      <c r="DW143" s="2" t="s">
        <v>7159</v>
      </c>
      <c r="DX143" s="2" t="s">
        <v>7159</v>
      </c>
      <c r="DY143" s="2" t="s">
        <v>7159</v>
      </c>
      <c r="DZ143" s="2" t="s">
        <v>7159</v>
      </c>
      <c r="EA143" s="2" t="s">
        <v>7159</v>
      </c>
      <c r="EB143" s="2" t="s">
        <v>7159</v>
      </c>
      <c r="EC143" s="2" t="s">
        <v>7159</v>
      </c>
      <c r="EF143" s="2" t="s">
        <v>7221</v>
      </c>
      <c r="EG143" s="2" t="s">
        <v>1215</v>
      </c>
      <c r="EJ143" s="2" t="s">
        <v>7217</v>
      </c>
      <c r="EK143" s="2" t="s">
        <v>7143</v>
      </c>
      <c r="EL143" s="2" t="s">
        <v>7143</v>
      </c>
      <c r="EN143" s="2" t="s">
        <v>7210</v>
      </c>
      <c r="EP143" s="2" t="s">
        <v>7186</v>
      </c>
      <c r="ER143" s="2" t="s">
        <v>7143</v>
      </c>
      <c r="ET143" s="2" t="s">
        <v>7143</v>
      </c>
      <c r="EV143" s="2" t="s">
        <v>7143</v>
      </c>
      <c r="EX143" s="2" t="s">
        <v>7143</v>
      </c>
      <c r="EZ143" s="2" t="s">
        <v>7143</v>
      </c>
      <c r="FC143" s="2" t="s">
        <v>7218</v>
      </c>
      <c r="FD143" s="2" t="s">
        <v>7143</v>
      </c>
      <c r="FH143" s="2" t="s">
        <v>7173</v>
      </c>
      <c r="FJ143" s="2" t="s">
        <v>7143</v>
      </c>
      <c r="FK143" s="2" t="s">
        <v>7173</v>
      </c>
      <c r="FN143" s="2" t="s">
        <v>7322</v>
      </c>
      <c r="FR143" s="2" t="s">
        <v>1216</v>
      </c>
      <c r="FT143" s="2" t="s">
        <v>7345</v>
      </c>
      <c r="FU143" s="2" t="s">
        <v>7189</v>
      </c>
      <c r="FV143" s="2" t="s">
        <v>7176</v>
      </c>
      <c r="FW143" s="2" t="s">
        <v>7189</v>
      </c>
      <c r="FZ143" s="19" t="s">
        <v>7722</v>
      </c>
    </row>
    <row r="144" spans="1:182">
      <c r="A144" s="7" t="s">
        <v>1217</v>
      </c>
      <c r="D144" s="7" t="s">
        <v>7723</v>
      </c>
      <c r="E144" s="7" t="s">
        <v>1218</v>
      </c>
      <c r="F144" s="7" t="s">
        <v>7389</v>
      </c>
      <c r="G144" s="7" t="s">
        <v>7717</v>
      </c>
      <c r="H144" s="2" t="s">
        <v>1219</v>
      </c>
      <c r="I144" s="7" t="s">
        <v>1220</v>
      </c>
      <c r="J144" s="7" t="s">
        <v>985</v>
      </c>
      <c r="K144" s="7" t="s">
        <v>1220</v>
      </c>
      <c r="L144" s="2" t="s">
        <v>7137</v>
      </c>
      <c r="M144" s="7" t="s">
        <v>7179</v>
      </c>
      <c r="N144" s="7">
        <v>1983</v>
      </c>
      <c r="O144" s="7" t="s">
        <v>7139</v>
      </c>
      <c r="P144" s="2" t="s">
        <v>7181</v>
      </c>
      <c r="Q144" s="2" t="s">
        <v>7395</v>
      </c>
      <c r="R144" s="2" t="s">
        <v>7143</v>
      </c>
      <c r="S144" s="2">
        <v>15</v>
      </c>
      <c r="T144" s="2" t="s">
        <v>7143</v>
      </c>
      <c r="U144" s="2" t="s">
        <v>7143</v>
      </c>
      <c r="Y144" s="2">
        <v>120</v>
      </c>
      <c r="Z144" s="17">
        <v>1</v>
      </c>
      <c r="AA144" s="2">
        <v>120</v>
      </c>
      <c r="AB144" s="2">
        <v>120</v>
      </c>
      <c r="AC144" s="7">
        <v>120</v>
      </c>
      <c r="AD144" s="2">
        <v>150</v>
      </c>
      <c r="AE144" s="2">
        <v>30</v>
      </c>
      <c r="AF144" s="2" t="s">
        <v>7143</v>
      </c>
      <c r="AG144" s="2" t="s">
        <v>7143</v>
      </c>
      <c r="AH144" s="2" t="s">
        <v>7143</v>
      </c>
      <c r="AJ144" s="2" t="s">
        <v>7143</v>
      </c>
      <c r="AK144" s="2" t="s">
        <v>7143</v>
      </c>
      <c r="AL144" s="2" t="s">
        <v>7143</v>
      </c>
      <c r="AM144" s="2" t="s">
        <v>7143</v>
      </c>
      <c r="AN144" s="2" t="s">
        <v>7143</v>
      </c>
      <c r="AO144" s="2" t="s">
        <v>7143</v>
      </c>
      <c r="AR144" s="7">
        <v>1.2</v>
      </c>
      <c r="AS144" s="7">
        <v>3</v>
      </c>
      <c r="AT144" s="7">
        <v>1.5</v>
      </c>
      <c r="AU144" s="2" t="s">
        <v>7193</v>
      </c>
      <c r="AV144" s="2" t="s">
        <v>7144</v>
      </c>
      <c r="AW144" s="2" t="s">
        <v>7143</v>
      </c>
      <c r="AZ144" s="2" t="s">
        <v>7286</v>
      </c>
      <c r="BB144" s="2" t="s">
        <v>7214</v>
      </c>
      <c r="BC144" s="2" t="s">
        <v>7208</v>
      </c>
      <c r="BD144" s="2" t="s">
        <v>7143</v>
      </c>
      <c r="BE144" s="2" t="s">
        <v>7143</v>
      </c>
      <c r="BL144" s="2" t="s">
        <v>7152</v>
      </c>
      <c r="BM144" s="2" t="s">
        <v>7355</v>
      </c>
      <c r="BN144" s="2" t="s">
        <v>7154</v>
      </c>
      <c r="BO144" s="2" t="s">
        <v>7155</v>
      </c>
      <c r="BQ144" s="2" t="s">
        <v>7183</v>
      </c>
      <c r="BS144" s="2" t="s">
        <v>7142</v>
      </c>
      <c r="BT144" s="2" t="s">
        <v>7341</v>
      </c>
      <c r="BV144" s="2" t="s">
        <v>7724</v>
      </c>
      <c r="BX144" s="2" t="s">
        <v>7142</v>
      </c>
      <c r="BY144" s="2" t="s">
        <v>1222</v>
      </c>
      <c r="BZ144" s="2" t="s">
        <v>7173</v>
      </c>
      <c r="CE144" s="7">
        <v>1.5</v>
      </c>
      <c r="CF144" s="2">
        <v>150</v>
      </c>
      <c r="CK144" s="2">
        <v>100</v>
      </c>
      <c r="CO144" s="2">
        <v>100</v>
      </c>
      <c r="CR144" s="2" t="s">
        <v>7160</v>
      </c>
      <c r="CT144" s="2" t="s">
        <v>7143</v>
      </c>
      <c r="CU144" s="2" t="s">
        <v>7161</v>
      </c>
      <c r="CW144" s="2" t="s">
        <v>7162</v>
      </c>
      <c r="CY144" s="2" t="s">
        <v>7358</v>
      </c>
      <c r="CZ144" s="2" t="s">
        <v>7250</v>
      </c>
      <c r="DA144" s="2" t="s">
        <v>7250</v>
      </c>
      <c r="DB144" s="2" t="s">
        <v>7582</v>
      </c>
      <c r="DC144" s="2" t="s">
        <v>7582</v>
      </c>
      <c r="DD144" s="2" t="s">
        <v>7250</v>
      </c>
      <c r="DE144" s="2" t="s">
        <v>7250</v>
      </c>
      <c r="DF144" s="2" t="s">
        <v>7250</v>
      </c>
      <c r="DG144" s="2" t="s">
        <v>7250</v>
      </c>
      <c r="DH144" s="2" t="s">
        <v>7582</v>
      </c>
      <c r="DI144" s="2" t="s">
        <v>7582</v>
      </c>
      <c r="DL144" s="2" t="s">
        <v>7143</v>
      </c>
      <c r="DM144" s="2" t="s">
        <v>7143</v>
      </c>
      <c r="DP144" s="2" t="s">
        <v>7173</v>
      </c>
      <c r="DT144" s="2" t="s">
        <v>7159</v>
      </c>
      <c r="DU144" s="2" t="s">
        <v>7159</v>
      </c>
      <c r="DV144" s="2" t="s">
        <v>7159</v>
      </c>
      <c r="DW144" s="2" t="s">
        <v>7159</v>
      </c>
      <c r="DX144" s="2" t="s">
        <v>7159</v>
      </c>
      <c r="DY144" s="2" t="s">
        <v>7159</v>
      </c>
      <c r="DZ144" s="2" t="s">
        <v>7159</v>
      </c>
      <c r="EA144" s="2" t="s">
        <v>7159</v>
      </c>
      <c r="EB144" s="2" t="s">
        <v>7159</v>
      </c>
      <c r="EC144" s="2" t="s">
        <v>7159</v>
      </c>
      <c r="EF144" s="2" t="s">
        <v>7221</v>
      </c>
      <c r="EG144" s="2" t="s">
        <v>1223</v>
      </c>
      <c r="EJ144" s="2" t="s">
        <v>7217</v>
      </c>
      <c r="EK144" s="2" t="s">
        <v>7143</v>
      </c>
      <c r="EL144" s="2" t="s">
        <v>7143</v>
      </c>
      <c r="EN144" s="2" t="s">
        <v>7210</v>
      </c>
      <c r="EP144" s="2" t="s">
        <v>7186</v>
      </c>
      <c r="ER144" s="2" t="s">
        <v>7143</v>
      </c>
      <c r="ET144" s="2" t="s">
        <v>7143</v>
      </c>
      <c r="EV144" s="2" t="s">
        <v>7143</v>
      </c>
      <c r="EX144" s="2" t="s">
        <v>7143</v>
      </c>
      <c r="EZ144" s="2" t="s">
        <v>7143</v>
      </c>
      <c r="FC144" s="2" t="s">
        <v>7218</v>
      </c>
      <c r="FD144" s="2" t="s">
        <v>7143</v>
      </c>
      <c r="FH144" s="2" t="s">
        <v>7159</v>
      </c>
      <c r="FJ144" s="2" t="s">
        <v>7143</v>
      </c>
      <c r="FK144" s="2" t="s">
        <v>7173</v>
      </c>
      <c r="FN144" s="2" t="s">
        <v>7322</v>
      </c>
      <c r="FR144" s="2" t="s">
        <v>461</v>
      </c>
      <c r="FT144" s="2" t="s">
        <v>7189</v>
      </c>
      <c r="FU144" s="2" t="s">
        <v>7189</v>
      </c>
      <c r="FV144" s="2" t="s">
        <v>7189</v>
      </c>
      <c r="FW144" s="2" t="s">
        <v>7189</v>
      </c>
      <c r="FZ144" s="19" t="s">
        <v>7725</v>
      </c>
    </row>
    <row r="145" spans="1:182">
      <c r="A145" s="7" t="s">
        <v>1224</v>
      </c>
      <c r="D145" s="7" t="s">
        <v>7726</v>
      </c>
      <c r="E145" s="7" t="s">
        <v>177</v>
      </c>
      <c r="F145" s="7" t="s">
        <v>7339</v>
      </c>
      <c r="G145" s="7" t="s">
        <v>7717</v>
      </c>
      <c r="H145" s="7" t="s">
        <v>1225</v>
      </c>
      <c r="I145" s="7" t="s">
        <v>1226</v>
      </c>
      <c r="J145" s="16" t="s">
        <v>7727</v>
      </c>
      <c r="K145" s="7" t="s">
        <v>1227</v>
      </c>
      <c r="L145" s="2" t="s">
        <v>7224</v>
      </c>
      <c r="M145" s="7" t="s">
        <v>7179</v>
      </c>
      <c r="N145" s="7">
        <v>1990</v>
      </c>
      <c r="O145" s="7" t="s">
        <v>7139</v>
      </c>
      <c r="P145" s="7" t="s">
        <v>7181</v>
      </c>
      <c r="Q145" s="2" t="s">
        <v>7225</v>
      </c>
      <c r="R145" s="2" t="s">
        <v>7143</v>
      </c>
      <c r="S145" s="2">
        <v>10</v>
      </c>
      <c r="T145" s="2" t="s">
        <v>7143</v>
      </c>
      <c r="U145" s="2" t="s">
        <v>7143</v>
      </c>
      <c r="Y145" s="2">
        <v>203</v>
      </c>
      <c r="Z145" s="17">
        <v>1</v>
      </c>
      <c r="AA145" s="2">
        <v>203</v>
      </c>
      <c r="AB145" s="2">
        <v>203</v>
      </c>
      <c r="AC145" s="7">
        <v>203</v>
      </c>
      <c r="AD145" s="2">
        <v>248</v>
      </c>
      <c r="AE145" s="2">
        <v>45</v>
      </c>
      <c r="AF145" s="2" t="s">
        <v>7143</v>
      </c>
      <c r="AG145" s="2" t="s">
        <v>7143</v>
      </c>
      <c r="AH145" s="2" t="s">
        <v>7143</v>
      </c>
      <c r="AJ145" s="2" t="s">
        <v>7143</v>
      </c>
      <c r="AK145" s="2" t="s">
        <v>7143</v>
      </c>
      <c r="AL145" s="2" t="s">
        <v>7143</v>
      </c>
      <c r="AM145" s="2" t="s">
        <v>7143</v>
      </c>
      <c r="AN145" s="2" t="s">
        <v>7143</v>
      </c>
      <c r="AO145" s="2" t="s">
        <v>7143</v>
      </c>
      <c r="AR145" s="7">
        <v>1</v>
      </c>
      <c r="AS145" s="7">
        <v>2</v>
      </c>
      <c r="AT145" s="7">
        <v>2.5</v>
      </c>
      <c r="AU145" s="2" t="s">
        <v>7193</v>
      </c>
      <c r="AV145" s="2" t="s">
        <v>7193</v>
      </c>
      <c r="AW145" s="2" t="s">
        <v>7143</v>
      </c>
      <c r="AZ145" s="2" t="s">
        <v>7145</v>
      </c>
      <c r="BB145" s="2" t="s">
        <v>7214</v>
      </c>
      <c r="BC145" s="2" t="s">
        <v>7247</v>
      </c>
      <c r="BD145" s="2" t="s">
        <v>7143</v>
      </c>
      <c r="BE145" s="2" t="s">
        <v>7142</v>
      </c>
      <c r="BF145" s="2" t="s">
        <v>7148</v>
      </c>
      <c r="BG145" s="2" t="s">
        <v>7149</v>
      </c>
      <c r="BH145" s="2" t="s">
        <v>7233</v>
      </c>
      <c r="BI145" s="2" t="s">
        <v>7151</v>
      </c>
      <c r="BL145" s="2" t="s">
        <v>7195</v>
      </c>
      <c r="BO145" s="2" t="s">
        <v>7155</v>
      </c>
      <c r="BQ145" s="2" t="s">
        <v>7183</v>
      </c>
      <c r="BS145" s="2" t="s">
        <v>7142</v>
      </c>
      <c r="BT145" s="2" t="s">
        <v>7341</v>
      </c>
      <c r="BV145" s="2" t="s">
        <v>7407</v>
      </c>
      <c r="BX145" s="2" t="s">
        <v>7142</v>
      </c>
      <c r="BY145" s="2" t="s">
        <v>1228</v>
      </c>
      <c r="BZ145" s="2" t="s">
        <v>7165</v>
      </c>
      <c r="CA145" s="2" t="s">
        <v>7728</v>
      </c>
      <c r="CE145" s="7">
        <v>2.5</v>
      </c>
      <c r="CF145" s="2">
        <v>248</v>
      </c>
      <c r="CK145" s="2">
        <v>100</v>
      </c>
      <c r="CO145" s="2">
        <v>100</v>
      </c>
      <c r="CR145" s="2" t="s">
        <v>7357</v>
      </c>
      <c r="CT145" s="2" t="s">
        <v>7143</v>
      </c>
      <c r="CU145" s="2" t="s">
        <v>7161</v>
      </c>
      <c r="CW145" s="2" t="s">
        <v>7162</v>
      </c>
      <c r="CY145" s="2" t="s">
        <v>7250</v>
      </c>
      <c r="CZ145" s="2" t="s">
        <v>7250</v>
      </c>
      <c r="DA145" s="2" t="s">
        <v>7250</v>
      </c>
      <c r="DB145" s="2" t="s">
        <v>7250</v>
      </c>
      <c r="DC145" s="2" t="s">
        <v>7582</v>
      </c>
      <c r="DD145" s="2" t="s">
        <v>7582</v>
      </c>
      <c r="DE145" s="2" t="s">
        <v>7582</v>
      </c>
      <c r="DF145" s="2" t="s">
        <v>7250</v>
      </c>
      <c r="DG145" s="2" t="s">
        <v>7250</v>
      </c>
      <c r="DH145" s="2" t="s">
        <v>7250</v>
      </c>
      <c r="DI145" s="2" t="s">
        <v>7250</v>
      </c>
      <c r="DL145" s="2" t="s">
        <v>7142</v>
      </c>
      <c r="DM145" s="2" t="s">
        <v>7142</v>
      </c>
      <c r="DN145" s="2" t="s">
        <v>7142</v>
      </c>
      <c r="DO145" s="2" t="s">
        <v>7142</v>
      </c>
      <c r="DP145" s="2" t="s">
        <v>7165</v>
      </c>
      <c r="DQ145" s="2" t="s">
        <v>7166</v>
      </c>
      <c r="DT145" s="2" t="s">
        <v>7165</v>
      </c>
      <c r="DU145" s="2" t="s">
        <v>7173</v>
      </c>
      <c r="DV145" s="2" t="s">
        <v>7165</v>
      </c>
      <c r="DW145" s="2" t="s">
        <v>7165</v>
      </c>
      <c r="DX145" s="2" t="s">
        <v>7165</v>
      </c>
      <c r="DY145" s="2" t="s">
        <v>7159</v>
      </c>
      <c r="DZ145" s="2" t="s">
        <v>7159</v>
      </c>
      <c r="EA145" s="2" t="s">
        <v>7159</v>
      </c>
      <c r="EB145" s="2" t="s">
        <v>7165</v>
      </c>
      <c r="EC145" s="2" t="s">
        <v>7159</v>
      </c>
      <c r="ED145" s="2" t="s">
        <v>7159</v>
      </c>
      <c r="EF145" s="2" t="s">
        <v>7349</v>
      </c>
      <c r="EG145" s="2" t="s">
        <v>1230</v>
      </c>
      <c r="EJ145" s="2" t="s">
        <v>7217</v>
      </c>
      <c r="EK145" s="2" t="s">
        <v>7143</v>
      </c>
      <c r="EL145" s="2" t="s">
        <v>7143</v>
      </c>
      <c r="EN145" s="2" t="s">
        <v>7170</v>
      </c>
      <c r="EP145" s="2" t="s">
        <v>7186</v>
      </c>
      <c r="ER145" s="2" t="s">
        <v>7143</v>
      </c>
      <c r="ET145" s="2" t="s">
        <v>7143</v>
      </c>
      <c r="EV145" s="2" t="s">
        <v>7143</v>
      </c>
      <c r="EX145" s="2" t="s">
        <v>7143</v>
      </c>
      <c r="EZ145" s="2" t="s">
        <v>7143</v>
      </c>
      <c r="FC145" s="2" t="s">
        <v>7218</v>
      </c>
      <c r="FD145" s="2" t="s">
        <v>7143</v>
      </c>
      <c r="FH145" s="2" t="s">
        <v>7173</v>
      </c>
      <c r="FJ145" s="2" t="s">
        <v>7143</v>
      </c>
      <c r="FK145" s="2" t="s">
        <v>7173</v>
      </c>
      <c r="FN145" s="2" t="s">
        <v>7344</v>
      </c>
      <c r="FR145" s="2" t="s">
        <v>7729</v>
      </c>
      <c r="FT145" s="2" t="s">
        <v>7189</v>
      </c>
      <c r="FU145" s="2" t="s">
        <v>7189</v>
      </c>
      <c r="FV145" s="2" t="s">
        <v>7189</v>
      </c>
      <c r="FW145" s="2" t="s">
        <v>7189</v>
      </c>
      <c r="FX145" s="2" t="s">
        <v>7189</v>
      </c>
      <c r="FY145" s="2" t="s">
        <v>1232</v>
      </c>
      <c r="FZ145" s="19" t="s">
        <v>7730</v>
      </c>
    </row>
    <row r="146" spans="1:182">
      <c r="A146" s="7" t="s">
        <v>1233</v>
      </c>
      <c r="D146" s="7" t="s">
        <v>7731</v>
      </c>
      <c r="E146" s="7" t="s">
        <v>1234</v>
      </c>
      <c r="F146" s="7" t="s">
        <v>7339</v>
      </c>
      <c r="G146" s="7" t="s">
        <v>7717</v>
      </c>
      <c r="H146" s="7" t="s">
        <v>1235</v>
      </c>
      <c r="I146" s="7" t="s">
        <v>1236</v>
      </c>
      <c r="J146" s="16" t="s">
        <v>7732</v>
      </c>
      <c r="K146" s="7" t="s">
        <v>1237</v>
      </c>
      <c r="L146" s="2" t="s">
        <v>7224</v>
      </c>
      <c r="M146" s="7" t="s">
        <v>7179</v>
      </c>
      <c r="N146" s="7">
        <v>1988</v>
      </c>
      <c r="O146" s="7" t="s">
        <v>7139</v>
      </c>
      <c r="P146" s="2" t="s">
        <v>7181</v>
      </c>
      <c r="Q146" s="2" t="s">
        <v>7141</v>
      </c>
      <c r="R146" s="2" t="s">
        <v>7143</v>
      </c>
      <c r="S146" s="2">
        <v>17</v>
      </c>
      <c r="T146" s="2" t="s">
        <v>7143</v>
      </c>
      <c r="U146" s="2" t="s">
        <v>7143</v>
      </c>
      <c r="Y146" s="2">
        <v>168</v>
      </c>
      <c r="Z146" s="17">
        <v>0.76190000000000002</v>
      </c>
      <c r="AA146" s="2">
        <v>128</v>
      </c>
      <c r="AB146" s="2">
        <v>128</v>
      </c>
      <c r="AC146" s="7">
        <v>128</v>
      </c>
      <c r="AD146" s="2">
        <v>168</v>
      </c>
      <c r="AE146" s="2">
        <v>40</v>
      </c>
      <c r="AF146" s="2" t="s">
        <v>7143</v>
      </c>
      <c r="AG146" s="2" t="s">
        <v>7143</v>
      </c>
      <c r="AH146" s="2" t="s">
        <v>7143</v>
      </c>
      <c r="AJ146" s="2" t="s">
        <v>7143</v>
      </c>
      <c r="AK146" s="2" t="s">
        <v>7143</v>
      </c>
      <c r="AL146" s="2" t="s">
        <v>7143</v>
      </c>
      <c r="AM146" s="2" t="s">
        <v>7142</v>
      </c>
      <c r="AN146" s="2" t="s">
        <v>7143</v>
      </c>
      <c r="AO146" s="2" t="s">
        <v>7143</v>
      </c>
      <c r="AR146" s="7">
        <v>1.3</v>
      </c>
      <c r="AS146" s="7">
        <v>3</v>
      </c>
      <c r="AT146" s="7">
        <v>2.1</v>
      </c>
      <c r="AU146" s="2" t="s">
        <v>7193</v>
      </c>
      <c r="AV146" s="2" t="s">
        <v>7193</v>
      </c>
      <c r="AW146" s="2" t="s">
        <v>7143</v>
      </c>
      <c r="AZ146" s="2" t="s">
        <v>7145</v>
      </c>
      <c r="BB146" s="2" t="s">
        <v>7214</v>
      </c>
      <c r="BC146" s="2" t="s">
        <v>7247</v>
      </c>
      <c r="BD146" s="2" t="s">
        <v>7142</v>
      </c>
      <c r="BE146" s="2" t="s">
        <v>7142</v>
      </c>
      <c r="BF146" s="2" t="s">
        <v>7148</v>
      </c>
      <c r="BG146" s="2" t="s">
        <v>7232</v>
      </c>
      <c r="BH146" s="2" t="s">
        <v>7150</v>
      </c>
      <c r="BI146" s="2" t="s">
        <v>7151</v>
      </c>
      <c r="BL146" s="2" t="s">
        <v>7195</v>
      </c>
      <c r="BO146" s="2" t="s">
        <v>7155</v>
      </c>
      <c r="BQ146" s="2" t="s">
        <v>7183</v>
      </c>
      <c r="BS146" s="2" t="s">
        <v>7142</v>
      </c>
      <c r="BT146" s="2" t="s">
        <v>7535</v>
      </c>
      <c r="BV146" s="2" t="s">
        <v>7407</v>
      </c>
      <c r="BX146" s="2" t="s">
        <v>7143</v>
      </c>
      <c r="BZ146" s="2" t="s">
        <v>7173</v>
      </c>
      <c r="CE146" s="7">
        <v>2.1</v>
      </c>
      <c r="CF146" s="2">
        <v>208</v>
      </c>
      <c r="CK146" s="2">
        <v>100</v>
      </c>
      <c r="CO146" s="2">
        <v>100</v>
      </c>
      <c r="CR146" s="2" t="s">
        <v>7276</v>
      </c>
      <c r="CT146" s="2" t="s">
        <v>7143</v>
      </c>
      <c r="CU146" s="2" t="s">
        <v>7383</v>
      </c>
      <c r="CW146" s="2" t="s">
        <v>7162</v>
      </c>
      <c r="CY146" s="2" t="s">
        <v>7163</v>
      </c>
      <c r="CZ146" s="2" t="s">
        <v>7163</v>
      </c>
      <c r="DA146" s="2" t="s">
        <v>7250</v>
      </c>
      <c r="DB146" s="2" t="s">
        <v>7250</v>
      </c>
      <c r="DC146" s="2" t="s">
        <v>7321</v>
      </c>
      <c r="DD146" s="2" t="s">
        <v>7250</v>
      </c>
      <c r="DE146" s="2" t="s">
        <v>7250</v>
      </c>
      <c r="DF146" s="2" t="s">
        <v>7250</v>
      </c>
      <c r="DG146" s="2" t="s">
        <v>7163</v>
      </c>
      <c r="DH146" s="2" t="s">
        <v>7163</v>
      </c>
      <c r="DI146" s="2" t="s">
        <v>7163</v>
      </c>
      <c r="DL146" s="2" t="s">
        <v>7142</v>
      </c>
      <c r="DM146" s="2" t="s">
        <v>7142</v>
      </c>
      <c r="DN146" s="2" t="s">
        <v>7142</v>
      </c>
      <c r="DO146" s="2" t="s">
        <v>7142</v>
      </c>
      <c r="DP146" s="2" t="s">
        <v>7165</v>
      </c>
      <c r="DQ146" s="2" t="s">
        <v>7166</v>
      </c>
      <c r="DT146" s="2" t="s">
        <v>7165</v>
      </c>
      <c r="DU146" s="2" t="s">
        <v>7165</v>
      </c>
      <c r="DV146" s="2" t="s">
        <v>7165</v>
      </c>
      <c r="DW146" s="2" t="s">
        <v>7165</v>
      </c>
      <c r="DX146" s="2" t="s">
        <v>7165</v>
      </c>
      <c r="DY146" s="2" t="s">
        <v>7159</v>
      </c>
      <c r="DZ146" s="2" t="s">
        <v>7159</v>
      </c>
      <c r="EA146" s="2" t="s">
        <v>7159</v>
      </c>
      <c r="EB146" s="2" t="s">
        <v>7165</v>
      </c>
      <c r="EC146" s="2" t="s">
        <v>7159</v>
      </c>
      <c r="ED146" s="2" t="s">
        <v>7159</v>
      </c>
      <c r="EF146" s="2" t="s">
        <v>7221</v>
      </c>
      <c r="EG146" s="2" t="s">
        <v>1238</v>
      </c>
      <c r="EJ146" s="2" t="s">
        <v>7193</v>
      </c>
      <c r="EK146" s="2" t="s">
        <v>7142</v>
      </c>
      <c r="EL146" s="2" t="s">
        <v>7143</v>
      </c>
      <c r="EN146" s="2" t="s">
        <v>7170</v>
      </c>
      <c r="EP146" s="2" t="s">
        <v>7186</v>
      </c>
      <c r="ER146" s="2" t="s">
        <v>7142</v>
      </c>
      <c r="ET146" s="2" t="s">
        <v>7143</v>
      </c>
      <c r="EV146" s="2" t="s">
        <v>7142</v>
      </c>
      <c r="EW146" s="2" t="s">
        <v>7171</v>
      </c>
      <c r="EX146" s="2" t="s">
        <v>7143</v>
      </c>
      <c r="EZ146" s="2" t="s">
        <v>7143</v>
      </c>
      <c r="FC146" s="2" t="s">
        <v>7218</v>
      </c>
      <c r="FD146" s="2" t="s">
        <v>7143</v>
      </c>
      <c r="FH146" s="2" t="s">
        <v>7173</v>
      </c>
      <c r="FJ146" s="2" t="s">
        <v>7143</v>
      </c>
      <c r="FK146" s="2" t="s">
        <v>7173</v>
      </c>
      <c r="FL146" s="2" t="s">
        <v>7228</v>
      </c>
      <c r="FN146" s="2" t="s">
        <v>7344</v>
      </c>
      <c r="FR146" s="2" t="s">
        <v>1239</v>
      </c>
      <c r="FT146" s="2" t="s">
        <v>7189</v>
      </c>
      <c r="FU146" s="2" t="s">
        <v>7189</v>
      </c>
      <c r="FV146" s="2" t="s">
        <v>7189</v>
      </c>
      <c r="FW146" s="2" t="s">
        <v>7189</v>
      </c>
      <c r="FZ146" s="19" t="s">
        <v>7733</v>
      </c>
    </row>
    <row r="147" spans="1:182">
      <c r="A147" s="7" t="s">
        <v>1240</v>
      </c>
      <c r="D147" s="7" t="s">
        <v>7734</v>
      </c>
      <c r="E147" s="7" t="s">
        <v>1241</v>
      </c>
      <c r="F147" s="7" t="s">
        <v>7389</v>
      </c>
      <c r="G147" s="7" t="s">
        <v>7717</v>
      </c>
      <c r="H147" s="7" t="s">
        <v>1212</v>
      </c>
      <c r="I147" s="7" t="s">
        <v>1242</v>
      </c>
      <c r="J147" s="16" t="s">
        <v>7735</v>
      </c>
      <c r="K147" s="7" t="s">
        <v>1242</v>
      </c>
      <c r="L147" s="2" t="s">
        <v>7137</v>
      </c>
      <c r="M147" s="7" t="s">
        <v>7138</v>
      </c>
      <c r="N147" s="7">
        <v>1993</v>
      </c>
      <c r="O147" s="7" t="s">
        <v>7139</v>
      </c>
      <c r="P147" s="7" t="s">
        <v>7140</v>
      </c>
      <c r="Q147" s="2" t="s">
        <v>7141</v>
      </c>
      <c r="R147" s="2" t="s">
        <v>7143</v>
      </c>
      <c r="S147" s="2">
        <v>8</v>
      </c>
      <c r="T147" s="2" t="s">
        <v>7143</v>
      </c>
      <c r="U147" s="2" t="s">
        <v>7143</v>
      </c>
      <c r="Y147" s="2">
        <v>90</v>
      </c>
      <c r="Z147" s="17">
        <v>1</v>
      </c>
      <c r="AA147" s="2">
        <v>90</v>
      </c>
      <c r="AB147" s="2">
        <v>90</v>
      </c>
      <c r="AC147" s="7">
        <v>90</v>
      </c>
      <c r="AD147" s="2">
        <v>130</v>
      </c>
      <c r="AE147" s="2">
        <v>40</v>
      </c>
      <c r="AF147" s="2" t="s">
        <v>7143</v>
      </c>
      <c r="AG147" s="2" t="s">
        <v>7143</v>
      </c>
      <c r="AH147" s="2" t="s">
        <v>7143</v>
      </c>
      <c r="AJ147" s="2" t="s">
        <v>7143</v>
      </c>
      <c r="AK147" s="2" t="s">
        <v>7143</v>
      </c>
      <c r="AL147" s="2" t="s">
        <v>7143</v>
      </c>
      <c r="AM147" s="2" t="s">
        <v>7143</v>
      </c>
      <c r="AN147" s="2" t="s">
        <v>7143</v>
      </c>
      <c r="AO147" s="2" t="s">
        <v>7143</v>
      </c>
      <c r="AR147" s="7">
        <v>1.1000000000000001</v>
      </c>
      <c r="AS147" s="7">
        <v>2</v>
      </c>
      <c r="AT147" s="7">
        <v>1.2</v>
      </c>
      <c r="AU147" s="2" t="s">
        <v>7217</v>
      </c>
      <c r="AV147" s="2" t="s">
        <v>7144</v>
      </c>
      <c r="AW147" s="2" t="s">
        <v>7143</v>
      </c>
      <c r="AZ147" s="2" t="s">
        <v>7145</v>
      </c>
      <c r="BB147" s="2" t="s">
        <v>7214</v>
      </c>
      <c r="BC147" s="2" t="s">
        <v>7247</v>
      </c>
      <c r="BD147" s="2" t="s">
        <v>7142</v>
      </c>
      <c r="BE147" s="2" t="s">
        <v>7142</v>
      </c>
      <c r="BF147" s="2" t="s">
        <v>7148</v>
      </c>
      <c r="BG147" s="2" t="s">
        <v>7149</v>
      </c>
      <c r="BH147" s="2" t="s">
        <v>7150</v>
      </c>
      <c r="BI147" s="2" t="s">
        <v>7151</v>
      </c>
      <c r="BL147" s="2" t="s">
        <v>7152</v>
      </c>
      <c r="BM147" s="2" t="s">
        <v>7355</v>
      </c>
      <c r="BN147" s="2" t="s">
        <v>7154</v>
      </c>
      <c r="BO147" s="2" t="s">
        <v>7274</v>
      </c>
      <c r="BP147" s="2" t="s">
        <v>7275</v>
      </c>
      <c r="BS147" s="2" t="s">
        <v>7143</v>
      </c>
      <c r="BT147" s="2" t="s">
        <v>7580</v>
      </c>
      <c r="BV147" s="2" t="s">
        <v>7581</v>
      </c>
      <c r="BX147" s="2" t="s">
        <v>7143</v>
      </c>
      <c r="BZ147" s="2" t="s">
        <v>7173</v>
      </c>
      <c r="CE147" s="7">
        <v>1.2</v>
      </c>
      <c r="CF147" s="2">
        <v>130</v>
      </c>
      <c r="CK147" s="2">
        <v>100</v>
      </c>
      <c r="CO147" s="2">
        <v>100</v>
      </c>
      <c r="CR147" s="2" t="s">
        <v>7160</v>
      </c>
      <c r="CT147" s="2" t="s">
        <v>7142</v>
      </c>
      <c r="CU147" s="2" t="s">
        <v>7454</v>
      </c>
      <c r="CW147" s="2" t="s">
        <v>7162</v>
      </c>
      <c r="CY147" s="2" t="s">
        <v>7358</v>
      </c>
      <c r="CZ147" s="2" t="s">
        <v>7250</v>
      </c>
      <c r="DA147" s="2" t="s">
        <v>7250</v>
      </c>
      <c r="DB147" s="2" t="s">
        <v>7250</v>
      </c>
      <c r="DC147" s="2" t="s">
        <v>7582</v>
      </c>
      <c r="DD147" s="2" t="s">
        <v>7250</v>
      </c>
      <c r="DE147" s="2" t="s">
        <v>7250</v>
      </c>
      <c r="DF147" s="2" t="s">
        <v>7250</v>
      </c>
      <c r="DG147" s="2" t="s">
        <v>7582</v>
      </c>
      <c r="DH147" s="2" t="s">
        <v>7582</v>
      </c>
      <c r="DI147" s="2" t="s">
        <v>7582</v>
      </c>
      <c r="DL147" s="2" t="s">
        <v>7143</v>
      </c>
      <c r="DM147" s="2" t="s">
        <v>7143</v>
      </c>
      <c r="DP147" s="2" t="s">
        <v>7173</v>
      </c>
      <c r="DT147" s="2" t="s">
        <v>7159</v>
      </c>
      <c r="DU147" s="2" t="s">
        <v>7159</v>
      </c>
      <c r="DV147" s="2" t="s">
        <v>7159</v>
      </c>
      <c r="DW147" s="2" t="s">
        <v>7159</v>
      </c>
      <c r="DX147" s="2" t="s">
        <v>7159</v>
      </c>
      <c r="DY147" s="2" t="s">
        <v>7159</v>
      </c>
      <c r="DZ147" s="2" t="s">
        <v>7159</v>
      </c>
      <c r="EA147" s="2" t="s">
        <v>7159</v>
      </c>
      <c r="EB147" s="2" t="s">
        <v>7159</v>
      </c>
      <c r="EC147" s="2" t="s">
        <v>7159</v>
      </c>
      <c r="EF147" s="2" t="s">
        <v>7221</v>
      </c>
      <c r="EG147" s="2" t="s">
        <v>1243</v>
      </c>
      <c r="EJ147" s="2" t="s">
        <v>7217</v>
      </c>
      <c r="EK147" s="2" t="s">
        <v>7143</v>
      </c>
      <c r="EL147" s="2" t="s">
        <v>7143</v>
      </c>
      <c r="EN147" s="2" t="s">
        <v>7210</v>
      </c>
      <c r="EP147" s="2" t="s">
        <v>7186</v>
      </c>
      <c r="ER147" s="2" t="s">
        <v>7143</v>
      </c>
      <c r="ET147" s="2" t="s">
        <v>7143</v>
      </c>
      <c r="EV147" s="2" t="s">
        <v>7143</v>
      </c>
      <c r="EX147" s="2" t="s">
        <v>7143</v>
      </c>
      <c r="EZ147" s="2" t="s">
        <v>7143</v>
      </c>
      <c r="FC147" s="2" t="s">
        <v>7218</v>
      </c>
      <c r="FD147" s="2" t="s">
        <v>7143</v>
      </c>
      <c r="FH147" s="2" t="s">
        <v>7173</v>
      </c>
      <c r="FJ147" s="2" t="s">
        <v>7143</v>
      </c>
      <c r="FK147" s="2" t="s">
        <v>7173</v>
      </c>
      <c r="FN147" s="2" t="s">
        <v>7344</v>
      </c>
      <c r="FR147" s="2" t="s">
        <v>1244</v>
      </c>
      <c r="FT147" s="2" t="s">
        <v>7189</v>
      </c>
      <c r="FU147" s="2" t="s">
        <v>7189</v>
      </c>
      <c r="FV147" s="2" t="s">
        <v>7189</v>
      </c>
      <c r="FW147" s="2" t="s">
        <v>7189</v>
      </c>
      <c r="FZ147" s="19" t="s">
        <v>7736</v>
      </c>
    </row>
    <row r="148" spans="1:182">
      <c r="A148" s="7" t="s">
        <v>1245</v>
      </c>
      <c r="D148" s="7" t="s">
        <v>7737</v>
      </c>
      <c r="E148" s="7" t="s">
        <v>177</v>
      </c>
      <c r="F148" s="7" t="s">
        <v>7245</v>
      </c>
      <c r="G148" s="7" t="s">
        <v>7717</v>
      </c>
      <c r="H148" s="7" t="s">
        <v>1246</v>
      </c>
      <c r="I148" s="7" t="s">
        <v>1247</v>
      </c>
      <c r="J148" s="16" t="s">
        <v>7738</v>
      </c>
      <c r="K148" s="7" t="s">
        <v>1248</v>
      </c>
      <c r="L148" s="7" t="s">
        <v>7281</v>
      </c>
      <c r="M148" s="7" t="s">
        <v>7179</v>
      </c>
      <c r="N148" s="7">
        <v>1975</v>
      </c>
      <c r="O148" s="7" t="s">
        <v>7180</v>
      </c>
      <c r="P148" s="7" t="s">
        <v>7181</v>
      </c>
      <c r="Q148" s="7" t="s">
        <v>7141</v>
      </c>
      <c r="R148" s="7" t="s">
        <v>7143</v>
      </c>
      <c r="T148" s="7" t="s">
        <v>7143</v>
      </c>
      <c r="U148" s="7" t="s">
        <v>7143</v>
      </c>
      <c r="Y148" s="2">
        <v>900</v>
      </c>
      <c r="Z148" s="17">
        <v>1</v>
      </c>
      <c r="AA148" s="2">
        <v>900</v>
      </c>
      <c r="AC148" s="7">
        <v>500</v>
      </c>
      <c r="AD148" s="2">
        <v>580</v>
      </c>
      <c r="AE148" s="2">
        <v>80</v>
      </c>
      <c r="AF148" s="2" t="s">
        <v>7143</v>
      </c>
      <c r="AG148" s="2" t="s">
        <v>7142</v>
      </c>
      <c r="AH148" s="2" t="s">
        <v>7142</v>
      </c>
      <c r="AI148" s="2" t="s">
        <v>1249</v>
      </c>
      <c r="AJ148" s="2" t="s">
        <v>7143</v>
      </c>
      <c r="AK148" s="2" t="s">
        <v>7143</v>
      </c>
      <c r="AL148" s="2" t="s">
        <v>7143</v>
      </c>
      <c r="AM148" s="2" t="s">
        <v>7143</v>
      </c>
      <c r="AN148" s="2" t="s">
        <v>7143</v>
      </c>
      <c r="AO148" s="2" t="s">
        <v>7143</v>
      </c>
      <c r="AR148" s="7">
        <v>1.9</v>
      </c>
      <c r="AS148" s="7">
        <v>1</v>
      </c>
      <c r="AT148" s="7">
        <v>9.5</v>
      </c>
      <c r="AU148" s="7" t="s">
        <v>7144</v>
      </c>
      <c r="AV148" s="2" t="s">
        <v>7144</v>
      </c>
      <c r="AW148" s="2" t="s">
        <v>7143</v>
      </c>
      <c r="AZ148" s="2" t="s">
        <v>7286</v>
      </c>
      <c r="BB148" s="2" t="s">
        <v>7214</v>
      </c>
      <c r="BC148" s="2" t="s">
        <v>7208</v>
      </c>
      <c r="BD148" s="2" t="s">
        <v>7143</v>
      </c>
      <c r="BE148" s="2" t="s">
        <v>7143</v>
      </c>
      <c r="BL148" s="7" t="s">
        <v>7152</v>
      </c>
      <c r="BM148" s="7" t="s">
        <v>7153</v>
      </c>
      <c r="BN148" s="7" t="s">
        <v>7154</v>
      </c>
      <c r="BO148" s="2" t="s">
        <v>7155</v>
      </c>
      <c r="BQ148" s="2" t="s">
        <v>7256</v>
      </c>
      <c r="BS148" s="2" t="s">
        <v>7142</v>
      </c>
      <c r="BT148" s="2" t="s">
        <v>7215</v>
      </c>
      <c r="BV148" s="2" t="s">
        <v>7304</v>
      </c>
      <c r="BX148" s="2" t="s">
        <v>7142</v>
      </c>
      <c r="BY148" s="2" t="s">
        <v>310</v>
      </c>
      <c r="BZ148" s="2" t="s">
        <v>7159</v>
      </c>
      <c r="CE148" s="7">
        <v>9.5</v>
      </c>
      <c r="CF148" s="2">
        <v>920</v>
      </c>
      <c r="CK148" s="2">
        <v>100</v>
      </c>
      <c r="CO148" s="2">
        <v>100</v>
      </c>
      <c r="CR148" s="2" t="s">
        <v>7160</v>
      </c>
      <c r="CT148" s="2" t="s">
        <v>7143</v>
      </c>
      <c r="CU148" s="2" t="s">
        <v>7161</v>
      </c>
      <c r="CW148" s="7" t="s">
        <v>7162</v>
      </c>
      <c r="CY148" s="2" t="s">
        <v>7163</v>
      </c>
      <c r="CZ148" s="2" t="s">
        <v>7250</v>
      </c>
      <c r="DA148" s="2" t="s">
        <v>7250</v>
      </c>
      <c r="DB148" s="2" t="s">
        <v>7251</v>
      </c>
      <c r="DC148" s="2" t="s">
        <v>7164</v>
      </c>
      <c r="DD148" s="2" t="s">
        <v>7251</v>
      </c>
      <c r="DE148" s="2" t="s">
        <v>7250</v>
      </c>
      <c r="DF148" s="7" t="s">
        <v>7163</v>
      </c>
      <c r="DG148" s="7" t="s">
        <v>7163</v>
      </c>
      <c r="DH148" s="2" t="s">
        <v>7163</v>
      </c>
      <c r="DI148" s="2" t="s">
        <v>7163</v>
      </c>
      <c r="DL148" s="7" t="s">
        <v>7142</v>
      </c>
      <c r="DM148" s="7" t="s">
        <v>7142</v>
      </c>
      <c r="DN148" s="7" t="s">
        <v>7142</v>
      </c>
      <c r="DO148" s="2" t="s">
        <v>7142</v>
      </c>
      <c r="DP148" s="2" t="s">
        <v>7165</v>
      </c>
      <c r="DQ148" s="2" t="s">
        <v>7166</v>
      </c>
      <c r="DT148" s="2" t="s">
        <v>7165</v>
      </c>
      <c r="DU148" s="2" t="s">
        <v>7165</v>
      </c>
      <c r="DV148" s="2" t="s">
        <v>7165</v>
      </c>
      <c r="DW148" s="2" t="s">
        <v>7165</v>
      </c>
      <c r="DX148" s="2" t="s">
        <v>7165</v>
      </c>
      <c r="DY148" s="2" t="s">
        <v>7165</v>
      </c>
      <c r="DZ148" s="2" t="s">
        <v>7165</v>
      </c>
      <c r="EA148" s="2" t="s">
        <v>7165</v>
      </c>
      <c r="EB148" s="2" t="s">
        <v>7159</v>
      </c>
      <c r="EC148" s="2" t="s">
        <v>7159</v>
      </c>
      <c r="ED148" s="2" t="s">
        <v>7159</v>
      </c>
      <c r="EF148" s="2" t="s">
        <v>7167</v>
      </c>
      <c r="EJ148" s="7" t="s">
        <v>7168</v>
      </c>
      <c r="EK148" s="7" t="s">
        <v>7142</v>
      </c>
      <c r="EL148" s="7" t="s">
        <v>7143</v>
      </c>
      <c r="EN148" s="7" t="s">
        <v>7170</v>
      </c>
      <c r="EP148" s="7" t="s">
        <v>7186</v>
      </c>
      <c r="ER148" s="2" t="s">
        <v>7142</v>
      </c>
      <c r="ET148" s="2" t="s">
        <v>7143</v>
      </c>
      <c r="EV148" s="2" t="s">
        <v>7142</v>
      </c>
      <c r="EW148" s="2" t="s">
        <v>7171</v>
      </c>
      <c r="EX148" s="2" t="s">
        <v>7142</v>
      </c>
      <c r="EY148" s="2" t="s">
        <v>7171</v>
      </c>
      <c r="FC148" s="7" t="s">
        <v>7218</v>
      </c>
      <c r="FD148" s="7" t="s">
        <v>7142</v>
      </c>
      <c r="FE148" s="7" t="s">
        <v>7204</v>
      </c>
      <c r="FH148" s="7" t="s">
        <v>7173</v>
      </c>
      <c r="FJ148" s="2" t="s">
        <v>7142</v>
      </c>
      <c r="FK148" s="2" t="s">
        <v>7165</v>
      </c>
      <c r="FL148" s="2" t="s">
        <v>7260</v>
      </c>
      <c r="FN148" s="2" t="s">
        <v>7481</v>
      </c>
      <c r="FT148" s="2" t="s">
        <v>7176</v>
      </c>
      <c r="FU148" s="2" t="s">
        <v>7189</v>
      </c>
      <c r="FV148" s="2" t="s">
        <v>7189</v>
      </c>
      <c r="FW148" s="2" t="s">
        <v>7189</v>
      </c>
      <c r="FZ148" s="19" t="s">
        <v>7739</v>
      </c>
    </row>
    <row r="149" spans="1:182">
      <c r="A149" s="7" t="s">
        <v>1250</v>
      </c>
      <c r="D149" s="7" t="s">
        <v>7740</v>
      </c>
      <c r="E149" s="7" t="s">
        <v>177</v>
      </c>
      <c r="F149" s="7" t="s">
        <v>7134</v>
      </c>
      <c r="G149" s="7" t="s">
        <v>7717</v>
      </c>
      <c r="H149" s="7" t="s">
        <v>1207</v>
      </c>
      <c r="I149" s="7" t="s">
        <v>1251</v>
      </c>
      <c r="J149" s="16" t="s">
        <v>7741</v>
      </c>
      <c r="K149" s="7" t="s">
        <v>1251</v>
      </c>
      <c r="L149" s="2" t="s">
        <v>7224</v>
      </c>
      <c r="M149" s="7" t="s">
        <v>7138</v>
      </c>
      <c r="N149" s="7">
        <v>1993</v>
      </c>
      <c r="O149" s="7" t="s">
        <v>7139</v>
      </c>
      <c r="P149" s="2" t="s">
        <v>7140</v>
      </c>
      <c r="Q149" s="2" t="s">
        <v>7225</v>
      </c>
      <c r="R149" s="2" t="s">
        <v>7143</v>
      </c>
      <c r="S149" s="2">
        <v>8</v>
      </c>
      <c r="T149" s="2" t="s">
        <v>7143</v>
      </c>
      <c r="U149" s="2" t="s">
        <v>7143</v>
      </c>
      <c r="Y149" s="2">
        <v>120</v>
      </c>
      <c r="Z149" s="17">
        <v>1</v>
      </c>
      <c r="AA149" s="2">
        <v>120</v>
      </c>
      <c r="AB149" s="2">
        <v>120</v>
      </c>
      <c r="AC149" s="7">
        <v>120</v>
      </c>
      <c r="AD149" s="2">
        <v>145</v>
      </c>
      <c r="AE149" s="2">
        <v>25</v>
      </c>
      <c r="AF149" s="2" t="s">
        <v>7142</v>
      </c>
      <c r="AG149" s="2" t="s">
        <v>7143</v>
      </c>
      <c r="AH149" s="2" t="s">
        <v>7143</v>
      </c>
      <c r="AJ149" s="2" t="s">
        <v>7143</v>
      </c>
      <c r="AK149" s="2" t="s">
        <v>7143</v>
      </c>
      <c r="AL149" s="2" t="s">
        <v>7143</v>
      </c>
      <c r="AM149" s="2" t="s">
        <v>7143</v>
      </c>
      <c r="AN149" s="2" t="s">
        <v>7143</v>
      </c>
      <c r="AO149" s="2" t="s">
        <v>7143</v>
      </c>
      <c r="AR149" s="7">
        <v>1.1499999999999999</v>
      </c>
      <c r="AS149" s="7">
        <v>3</v>
      </c>
      <c r="AT149" s="7">
        <v>1.5</v>
      </c>
      <c r="AU149" s="2" t="s">
        <v>7193</v>
      </c>
      <c r="AV149" s="2" t="s">
        <v>7193</v>
      </c>
      <c r="AW149" s="2" t="s">
        <v>7143</v>
      </c>
      <c r="AZ149" s="2" t="s">
        <v>7145</v>
      </c>
      <c r="BB149" s="2" t="s">
        <v>7146</v>
      </c>
      <c r="BC149" s="2" t="s">
        <v>7147</v>
      </c>
      <c r="BD149" s="2" t="s">
        <v>7142</v>
      </c>
      <c r="BE149" s="2" t="s">
        <v>7142</v>
      </c>
      <c r="BF149" s="2" t="s">
        <v>7148</v>
      </c>
      <c r="BG149" s="2" t="s">
        <v>7232</v>
      </c>
      <c r="BH149" s="2" t="s">
        <v>7150</v>
      </c>
      <c r="BI149" s="2" t="s">
        <v>7151</v>
      </c>
      <c r="BL149" s="2" t="s">
        <v>7152</v>
      </c>
      <c r="BM149" s="2" t="s">
        <v>7153</v>
      </c>
      <c r="BN149" s="2" t="s">
        <v>7154</v>
      </c>
      <c r="BO149" s="2" t="s">
        <v>7155</v>
      </c>
      <c r="BQ149" s="2" t="s">
        <v>7156</v>
      </c>
      <c r="BS149" s="2" t="s">
        <v>7142</v>
      </c>
      <c r="BT149" s="2" t="s">
        <v>7157</v>
      </c>
      <c r="BV149" s="2" t="s">
        <v>7202</v>
      </c>
      <c r="BX149" s="2" t="s">
        <v>7143</v>
      </c>
      <c r="BZ149" s="2" t="s">
        <v>7159</v>
      </c>
      <c r="CE149" s="7">
        <v>1.5</v>
      </c>
      <c r="CF149" s="2">
        <v>145</v>
      </c>
      <c r="CK149" s="2">
        <v>100</v>
      </c>
      <c r="CO149" s="2">
        <v>100</v>
      </c>
      <c r="CU149" s="2" t="s">
        <v>7161</v>
      </c>
      <c r="CW149" s="2" t="s">
        <v>7162</v>
      </c>
      <c r="CY149" s="2" t="s">
        <v>7164</v>
      </c>
      <c r="CZ149" s="2" t="s">
        <v>7164</v>
      </c>
      <c r="DA149" s="2" t="s">
        <v>7164</v>
      </c>
      <c r="DB149" s="2" t="s">
        <v>7164</v>
      </c>
      <c r="DC149" s="2" t="s">
        <v>7164</v>
      </c>
      <c r="DD149" s="2" t="s">
        <v>7164</v>
      </c>
      <c r="DE149" s="2" t="s">
        <v>7164</v>
      </c>
      <c r="DF149" s="2" t="s">
        <v>7164</v>
      </c>
      <c r="DG149" s="2" t="s">
        <v>7164</v>
      </c>
      <c r="DH149" s="2" t="s">
        <v>7164</v>
      </c>
      <c r="DI149" s="2" t="s">
        <v>7164</v>
      </c>
      <c r="DL149" s="2" t="s">
        <v>7142</v>
      </c>
      <c r="DM149" s="2" t="s">
        <v>7143</v>
      </c>
      <c r="DP149" s="2" t="s">
        <v>7173</v>
      </c>
      <c r="DT149" s="2" t="s">
        <v>7159</v>
      </c>
      <c r="DU149" s="2" t="s">
        <v>7159</v>
      </c>
      <c r="DV149" s="2" t="s">
        <v>7159</v>
      </c>
      <c r="DW149" s="2" t="s">
        <v>7159</v>
      </c>
      <c r="DX149" s="2" t="s">
        <v>7159</v>
      </c>
      <c r="DY149" s="2" t="s">
        <v>7159</v>
      </c>
      <c r="DZ149" s="2" t="s">
        <v>7159</v>
      </c>
      <c r="EA149" s="2" t="s">
        <v>7159</v>
      </c>
      <c r="EB149" s="2" t="s">
        <v>7159</v>
      </c>
      <c r="EJ149" s="2" t="s">
        <v>7193</v>
      </c>
      <c r="EK149" s="2" t="s">
        <v>7142</v>
      </c>
      <c r="EL149" s="2" t="s">
        <v>7143</v>
      </c>
      <c r="EN149" s="2" t="s">
        <v>7392</v>
      </c>
      <c r="EP149" s="2" t="s">
        <v>7308</v>
      </c>
      <c r="ET149" s="2" t="s">
        <v>7143</v>
      </c>
      <c r="EV149" s="2" t="s">
        <v>7143</v>
      </c>
      <c r="EX149" s="2" t="s">
        <v>7143</v>
      </c>
      <c r="EZ149" s="2" t="s">
        <v>7143</v>
      </c>
      <c r="FC149" s="2" t="s">
        <v>7172</v>
      </c>
      <c r="FD149" s="2" t="s">
        <v>7143</v>
      </c>
      <c r="FH149" s="2" t="s">
        <v>7173</v>
      </c>
      <c r="FJ149" s="2" t="s">
        <v>7142</v>
      </c>
      <c r="FK149" s="2" t="s">
        <v>7173</v>
      </c>
      <c r="FL149" s="2" t="s">
        <v>7260</v>
      </c>
      <c r="FN149" s="2" t="s">
        <v>7175</v>
      </c>
      <c r="FT149" s="2" t="s">
        <v>7189</v>
      </c>
      <c r="FU149" s="2" t="s">
        <v>7189</v>
      </c>
      <c r="FV149" s="2" t="s">
        <v>7189</v>
      </c>
      <c r="FW149" s="2" t="s">
        <v>7189</v>
      </c>
      <c r="FZ149" s="19" t="s">
        <v>7742</v>
      </c>
    </row>
    <row r="150" spans="1:182">
      <c r="A150" s="7" t="s">
        <v>1252</v>
      </c>
      <c r="D150" s="7" t="s">
        <v>7743</v>
      </c>
      <c r="E150" s="7" t="s">
        <v>1253</v>
      </c>
      <c r="F150" s="7" t="s">
        <v>7339</v>
      </c>
      <c r="G150" s="7" t="s">
        <v>7717</v>
      </c>
      <c r="H150" s="7" t="s">
        <v>1254</v>
      </c>
      <c r="I150" s="7" t="s">
        <v>1255</v>
      </c>
      <c r="J150" s="16" t="s">
        <v>7744</v>
      </c>
      <c r="K150" s="7" t="s">
        <v>1256</v>
      </c>
      <c r="L150" s="2" t="s">
        <v>7137</v>
      </c>
      <c r="M150" s="7" t="s">
        <v>7179</v>
      </c>
      <c r="N150" s="2">
        <v>2003</v>
      </c>
      <c r="O150" s="7" t="s">
        <v>7139</v>
      </c>
      <c r="P150" s="2" t="s">
        <v>7181</v>
      </c>
      <c r="Q150" s="2" t="s">
        <v>7182</v>
      </c>
      <c r="R150" s="2" t="s">
        <v>7143</v>
      </c>
      <c r="S150" s="2">
        <v>10</v>
      </c>
      <c r="T150" s="2" t="s">
        <v>7143</v>
      </c>
      <c r="U150" s="2" t="s">
        <v>7143</v>
      </c>
      <c r="Y150" s="2">
        <v>374</v>
      </c>
      <c r="Z150" s="17">
        <v>1</v>
      </c>
      <c r="AA150" s="2">
        <v>374</v>
      </c>
      <c r="AB150" s="2">
        <v>359</v>
      </c>
      <c r="AC150" s="7">
        <v>339</v>
      </c>
      <c r="AD150" s="2">
        <v>519</v>
      </c>
      <c r="AE150" s="2">
        <v>180</v>
      </c>
      <c r="AF150" s="2" t="s">
        <v>7142</v>
      </c>
      <c r="AG150" s="2" t="s">
        <v>7143</v>
      </c>
      <c r="AH150" s="2" t="s">
        <v>7143</v>
      </c>
      <c r="AJ150" s="2" t="s">
        <v>7143</v>
      </c>
      <c r="AK150" s="2" t="s">
        <v>7142</v>
      </c>
      <c r="AL150" s="2" t="s">
        <v>7143</v>
      </c>
      <c r="AM150" s="2" t="s">
        <v>7143</v>
      </c>
      <c r="AN150" s="2" t="s">
        <v>7143</v>
      </c>
      <c r="AO150" s="2" t="s">
        <v>7143</v>
      </c>
      <c r="AR150" s="7">
        <v>3</v>
      </c>
      <c r="AS150" s="7">
        <v>2</v>
      </c>
      <c r="AT150" s="7">
        <v>5.2</v>
      </c>
      <c r="AU150" s="2" t="s">
        <v>7193</v>
      </c>
      <c r="AV150" s="2" t="s">
        <v>7193</v>
      </c>
      <c r="AW150" s="2" t="s">
        <v>7143</v>
      </c>
      <c r="AZ150" s="2" t="s">
        <v>7145</v>
      </c>
      <c r="BB150" s="2" t="s">
        <v>7214</v>
      </c>
      <c r="BC150" s="2" t="s">
        <v>7247</v>
      </c>
      <c r="BD150" s="2" t="s">
        <v>7142</v>
      </c>
      <c r="BE150" s="2" t="s">
        <v>7142</v>
      </c>
      <c r="BF150" s="2" t="s">
        <v>7148</v>
      </c>
      <c r="BG150" s="2" t="s">
        <v>7149</v>
      </c>
      <c r="BH150" s="2" t="s">
        <v>7150</v>
      </c>
      <c r="BI150" s="2" t="s">
        <v>7151</v>
      </c>
      <c r="BL150" s="2" t="s">
        <v>7152</v>
      </c>
      <c r="BM150" s="2" t="s">
        <v>7355</v>
      </c>
      <c r="BN150" s="2" t="s">
        <v>7154</v>
      </c>
      <c r="BO150" s="2" t="s">
        <v>7155</v>
      </c>
      <c r="BQ150" s="2" t="s">
        <v>7183</v>
      </c>
      <c r="BS150" s="2" t="s">
        <v>7142</v>
      </c>
      <c r="BT150" s="2" t="s">
        <v>7341</v>
      </c>
      <c r="BV150" s="2" t="s">
        <v>7407</v>
      </c>
      <c r="BX150" s="2" t="s">
        <v>7142</v>
      </c>
      <c r="BY150" s="2" t="s">
        <v>1257</v>
      </c>
      <c r="BZ150" s="2" t="s">
        <v>7165</v>
      </c>
      <c r="CA150" s="2" t="s">
        <v>1258</v>
      </c>
      <c r="CE150" s="7">
        <v>5.2</v>
      </c>
      <c r="CF150" s="2">
        <v>519</v>
      </c>
      <c r="CK150" s="2">
        <v>100</v>
      </c>
      <c r="CO150" s="2">
        <v>100</v>
      </c>
      <c r="CR150" s="2" t="s">
        <v>7357</v>
      </c>
      <c r="CT150" s="2" t="s">
        <v>7143</v>
      </c>
      <c r="CU150" s="2" t="s">
        <v>7161</v>
      </c>
      <c r="CW150" s="2" t="s">
        <v>7162</v>
      </c>
      <c r="CY150" s="2" t="s">
        <v>7358</v>
      </c>
      <c r="CZ150" s="2" t="s">
        <v>7358</v>
      </c>
      <c r="DA150" s="2" t="s">
        <v>7250</v>
      </c>
      <c r="DB150" s="2" t="s">
        <v>7250</v>
      </c>
      <c r="DC150" s="2" t="s">
        <v>7582</v>
      </c>
      <c r="DD150" s="2" t="s">
        <v>7582</v>
      </c>
      <c r="DE150" s="2" t="s">
        <v>7582</v>
      </c>
      <c r="DF150" s="2" t="s">
        <v>7582</v>
      </c>
      <c r="DG150" s="2" t="s">
        <v>7358</v>
      </c>
      <c r="DH150" s="2" t="s">
        <v>7358</v>
      </c>
      <c r="DI150" s="2" t="s">
        <v>7250</v>
      </c>
      <c r="DL150" s="2" t="s">
        <v>7142</v>
      </c>
      <c r="DM150" s="2" t="s">
        <v>7142</v>
      </c>
      <c r="DN150" s="2" t="s">
        <v>7142</v>
      </c>
      <c r="DO150" s="2" t="s">
        <v>7142</v>
      </c>
      <c r="DP150" s="2" t="s">
        <v>7165</v>
      </c>
      <c r="DQ150" s="2" t="s">
        <v>7166</v>
      </c>
      <c r="DT150" s="2" t="s">
        <v>7165</v>
      </c>
      <c r="DU150" s="2" t="s">
        <v>7165</v>
      </c>
      <c r="DV150" s="2" t="s">
        <v>7165</v>
      </c>
      <c r="DW150" s="2" t="s">
        <v>7165</v>
      </c>
      <c r="DX150" s="2" t="s">
        <v>7165</v>
      </c>
      <c r="DY150" s="2" t="s">
        <v>7159</v>
      </c>
      <c r="DZ150" s="2" t="s">
        <v>7159</v>
      </c>
      <c r="EA150" s="2" t="s">
        <v>7159</v>
      </c>
      <c r="EB150" s="2" t="s">
        <v>7165</v>
      </c>
      <c r="EC150" s="2" t="s">
        <v>7159</v>
      </c>
      <c r="ED150" s="2" t="s">
        <v>7159</v>
      </c>
      <c r="EF150" s="2" t="s">
        <v>7221</v>
      </c>
      <c r="EG150" s="2" t="s">
        <v>7745</v>
      </c>
      <c r="EJ150" s="2" t="s">
        <v>7193</v>
      </c>
      <c r="EK150" s="2" t="s">
        <v>7142</v>
      </c>
      <c r="EL150" s="2" t="s">
        <v>7143</v>
      </c>
      <c r="EN150" s="2" t="s">
        <v>7170</v>
      </c>
      <c r="EP150" s="2" t="s">
        <v>7186</v>
      </c>
      <c r="ER150" s="2" t="s">
        <v>7142</v>
      </c>
      <c r="ET150" s="2" t="s">
        <v>7143</v>
      </c>
      <c r="EV150" s="2" t="s">
        <v>7142</v>
      </c>
      <c r="EW150" s="2" t="s">
        <v>7171</v>
      </c>
      <c r="EX150" s="2" t="s">
        <v>7143</v>
      </c>
      <c r="EZ150" s="2" t="s">
        <v>7143</v>
      </c>
      <c r="FC150" s="2" t="s">
        <v>7218</v>
      </c>
      <c r="FD150" s="2" t="s">
        <v>7143</v>
      </c>
      <c r="FH150" s="2" t="s">
        <v>7173</v>
      </c>
      <c r="FJ150" s="2" t="s">
        <v>7143</v>
      </c>
      <c r="FK150" s="2" t="s">
        <v>7173</v>
      </c>
      <c r="FN150" s="2" t="s">
        <v>7344</v>
      </c>
      <c r="FR150" s="2" t="s">
        <v>1260</v>
      </c>
      <c r="FT150" s="2" t="s">
        <v>7189</v>
      </c>
      <c r="FU150" s="2" t="s">
        <v>7189</v>
      </c>
      <c r="FV150" s="2" t="s">
        <v>7189</v>
      </c>
      <c r="FW150" s="2" t="s">
        <v>7189</v>
      </c>
      <c r="FZ150" s="19" t="s">
        <v>7746</v>
      </c>
    </row>
    <row r="151" spans="1:182">
      <c r="A151" s="7" t="s">
        <v>1261</v>
      </c>
      <c r="D151" s="7" t="s">
        <v>7747</v>
      </c>
      <c r="E151" s="7" t="s">
        <v>1262</v>
      </c>
      <c r="F151" s="7" t="s">
        <v>7319</v>
      </c>
      <c r="G151" s="7" t="s">
        <v>7717</v>
      </c>
      <c r="H151" s="7" t="s">
        <v>1263</v>
      </c>
      <c r="I151" s="7" t="s">
        <v>1264</v>
      </c>
      <c r="J151" s="16" t="s">
        <v>7748</v>
      </c>
      <c r="K151" s="7" t="s">
        <v>1264</v>
      </c>
      <c r="L151" s="7" t="s">
        <v>7137</v>
      </c>
      <c r="M151" s="7" t="s">
        <v>7138</v>
      </c>
      <c r="N151" s="7">
        <v>1974</v>
      </c>
      <c r="O151" s="7" t="s">
        <v>7180</v>
      </c>
      <c r="P151" s="7" t="s">
        <v>7140</v>
      </c>
      <c r="Q151" s="7" t="s">
        <v>7182</v>
      </c>
      <c r="R151" s="7" t="s">
        <v>7143</v>
      </c>
      <c r="S151" s="2">
        <v>30</v>
      </c>
      <c r="T151" s="2" t="s">
        <v>7143</v>
      </c>
      <c r="U151" s="2" t="s">
        <v>7143</v>
      </c>
      <c r="Y151" s="2">
        <v>1350</v>
      </c>
      <c r="Z151" s="17">
        <v>0.90369999999999995</v>
      </c>
      <c r="AA151" s="2">
        <v>1220</v>
      </c>
      <c r="AB151" s="2">
        <v>1220</v>
      </c>
      <c r="AC151" s="7">
        <v>1120</v>
      </c>
      <c r="AD151" s="2">
        <v>1400</v>
      </c>
      <c r="AE151" s="2">
        <v>280</v>
      </c>
      <c r="AF151" s="2" t="s">
        <v>7143</v>
      </c>
      <c r="AG151" s="2" t="s">
        <v>7142</v>
      </c>
      <c r="AH151" s="2" t="s">
        <v>7143</v>
      </c>
      <c r="AJ151" s="2" t="s">
        <v>7143</v>
      </c>
      <c r="AK151" s="2" t="s">
        <v>7143</v>
      </c>
      <c r="AL151" s="2" t="s">
        <v>7142</v>
      </c>
      <c r="AM151" s="2" t="s">
        <v>7143</v>
      </c>
      <c r="AN151" s="2" t="s">
        <v>7143</v>
      </c>
      <c r="AO151" s="2" t="s">
        <v>7143</v>
      </c>
      <c r="AR151" s="7">
        <v>4</v>
      </c>
      <c r="AS151" s="7">
        <v>3</v>
      </c>
      <c r="AT151" s="7">
        <v>14</v>
      </c>
      <c r="AU151" s="2" t="s">
        <v>7144</v>
      </c>
      <c r="AV151" s="2" t="s">
        <v>7144</v>
      </c>
      <c r="AW151" s="2" t="s">
        <v>7143</v>
      </c>
      <c r="AZ151" s="2" t="s">
        <v>7145</v>
      </c>
      <c r="BB151" s="2" t="s">
        <v>7214</v>
      </c>
      <c r="BC151" s="2" t="s">
        <v>7147</v>
      </c>
      <c r="BD151" s="2" t="s">
        <v>7142</v>
      </c>
      <c r="BE151" s="2" t="s">
        <v>7143</v>
      </c>
      <c r="BL151" s="2" t="s">
        <v>7152</v>
      </c>
      <c r="BM151" s="2" t="s">
        <v>7153</v>
      </c>
      <c r="BN151" s="2" t="s">
        <v>7154</v>
      </c>
      <c r="BO151" s="2" t="s">
        <v>7155</v>
      </c>
      <c r="BQ151" s="2" t="s">
        <v>7183</v>
      </c>
      <c r="BS151" s="2" t="s">
        <v>7142</v>
      </c>
      <c r="BT151" s="2" t="s">
        <v>7238</v>
      </c>
      <c r="BU151" s="2" t="s">
        <v>1265</v>
      </c>
      <c r="BV151" s="2" t="s">
        <v>7379</v>
      </c>
      <c r="BX151" s="2" t="s">
        <v>7143</v>
      </c>
      <c r="BY151" s="2" t="s">
        <v>1266</v>
      </c>
      <c r="BZ151" s="2" t="s">
        <v>7173</v>
      </c>
      <c r="CE151" s="7">
        <v>14</v>
      </c>
      <c r="CF151" s="2">
        <v>1400</v>
      </c>
      <c r="CH151" s="2">
        <v>0</v>
      </c>
      <c r="CI151" s="2">
        <v>0</v>
      </c>
      <c r="CJ151" s="2">
        <v>0</v>
      </c>
      <c r="CK151" s="2">
        <v>0</v>
      </c>
      <c r="CL151" s="2">
        <v>0</v>
      </c>
      <c r="CM151" s="2">
        <v>100</v>
      </c>
      <c r="CO151" s="2">
        <v>100</v>
      </c>
      <c r="CP151" s="2">
        <v>0</v>
      </c>
      <c r="CQ151" s="2">
        <v>0</v>
      </c>
      <c r="CR151" s="2" t="s">
        <v>7160</v>
      </c>
      <c r="CT151" s="2" t="s">
        <v>7143</v>
      </c>
      <c r="CU151" s="2" t="s">
        <v>7161</v>
      </c>
      <c r="CW151" s="2" t="s">
        <v>7162</v>
      </c>
      <c r="CY151" s="2" t="s">
        <v>7163</v>
      </c>
      <c r="CZ151" s="2" t="s">
        <v>7163</v>
      </c>
      <c r="DA151" s="2" t="s">
        <v>7250</v>
      </c>
      <c r="DB151" s="2" t="s">
        <v>7321</v>
      </c>
      <c r="DC151" s="2" t="s">
        <v>7250</v>
      </c>
      <c r="DD151" s="2" t="s">
        <v>7321</v>
      </c>
      <c r="DE151" s="2" t="s">
        <v>7250</v>
      </c>
      <c r="DF151" s="2" t="s">
        <v>7163</v>
      </c>
      <c r="DG151" s="2" t="s">
        <v>7163</v>
      </c>
      <c r="DH151" s="2" t="s">
        <v>7163</v>
      </c>
      <c r="DI151" s="2" t="s">
        <v>7250</v>
      </c>
      <c r="DL151" s="2" t="s">
        <v>7142</v>
      </c>
      <c r="DM151" s="2" t="s">
        <v>7142</v>
      </c>
      <c r="DN151" s="2" t="s">
        <v>7142</v>
      </c>
      <c r="DO151" s="2" t="s">
        <v>7142</v>
      </c>
      <c r="DP151" s="2" t="s">
        <v>7165</v>
      </c>
      <c r="DQ151" s="2" t="s">
        <v>7333</v>
      </c>
      <c r="DR151" s="2" t="s">
        <v>1267</v>
      </c>
      <c r="DT151" s="2" t="s">
        <v>7165</v>
      </c>
      <c r="DU151" s="2" t="s">
        <v>7165</v>
      </c>
      <c r="DV151" s="2" t="s">
        <v>7165</v>
      </c>
      <c r="DW151" s="2" t="s">
        <v>7165</v>
      </c>
      <c r="DX151" s="2" t="s">
        <v>7165</v>
      </c>
      <c r="DY151" s="2" t="s">
        <v>7165</v>
      </c>
      <c r="DZ151" s="2" t="s">
        <v>7165</v>
      </c>
      <c r="EA151" s="2" t="s">
        <v>7165</v>
      </c>
      <c r="EB151" s="2" t="s">
        <v>7165</v>
      </c>
      <c r="EC151" s="2" t="s">
        <v>7173</v>
      </c>
      <c r="ED151" s="2" t="s">
        <v>7173</v>
      </c>
      <c r="EE151" s="2" t="s">
        <v>188</v>
      </c>
      <c r="EF151" s="2" t="s">
        <v>7221</v>
      </c>
      <c r="EG151" s="2" t="s">
        <v>1268</v>
      </c>
      <c r="EJ151" s="2" t="s">
        <v>7193</v>
      </c>
      <c r="EK151" s="2" t="s">
        <v>7142</v>
      </c>
      <c r="EL151" s="2" t="s">
        <v>7143</v>
      </c>
      <c r="EN151" s="2" t="s">
        <v>7170</v>
      </c>
      <c r="EP151" s="2" t="s">
        <v>7186</v>
      </c>
      <c r="ER151" s="2" t="s">
        <v>7142</v>
      </c>
      <c r="ET151" s="2" t="s">
        <v>7143</v>
      </c>
      <c r="EV151" s="2" t="s">
        <v>7142</v>
      </c>
      <c r="EW151" s="2" t="s">
        <v>7171</v>
      </c>
      <c r="EX151" s="2" t="s">
        <v>7143</v>
      </c>
      <c r="EZ151" s="2" t="s">
        <v>7143</v>
      </c>
      <c r="FC151" s="2" t="s">
        <v>7218</v>
      </c>
      <c r="FD151" s="2" t="s">
        <v>7143</v>
      </c>
      <c r="FH151" s="2" t="s">
        <v>7173</v>
      </c>
      <c r="FJ151" s="2" t="s">
        <v>7143</v>
      </c>
      <c r="FK151" s="2" t="s">
        <v>7173</v>
      </c>
      <c r="FN151" s="2" t="s">
        <v>7243</v>
      </c>
      <c r="FO151" s="2" t="s">
        <v>1166</v>
      </c>
      <c r="FR151" s="2" t="s">
        <v>1269</v>
      </c>
      <c r="FT151" s="2" t="s">
        <v>7189</v>
      </c>
      <c r="FU151" s="2" t="s">
        <v>7176</v>
      </c>
      <c r="FV151" s="2" t="s">
        <v>7176</v>
      </c>
      <c r="FW151" s="2" t="s">
        <v>7176</v>
      </c>
      <c r="FX151" s="2" t="s">
        <v>7345</v>
      </c>
      <c r="FZ151" s="19" t="s">
        <v>7749</v>
      </c>
    </row>
    <row r="152" spans="1:182">
      <c r="A152" s="7" t="s">
        <v>1270</v>
      </c>
      <c r="D152" s="7" t="s">
        <v>7750</v>
      </c>
      <c r="E152" s="7" t="s">
        <v>177</v>
      </c>
      <c r="F152" s="7" t="s">
        <v>7245</v>
      </c>
      <c r="G152" s="7" t="s">
        <v>7717</v>
      </c>
      <c r="H152" s="7" t="s">
        <v>1263</v>
      </c>
      <c r="I152" s="7" t="s">
        <v>1271</v>
      </c>
      <c r="J152" s="16" t="s">
        <v>7751</v>
      </c>
      <c r="K152" s="7" t="s">
        <v>1272</v>
      </c>
      <c r="L152" s="7" t="s">
        <v>7137</v>
      </c>
      <c r="M152" s="7" t="s">
        <v>7179</v>
      </c>
      <c r="N152" s="7">
        <v>1957</v>
      </c>
      <c r="O152" s="7" t="s">
        <v>7180</v>
      </c>
      <c r="P152" s="7" t="s">
        <v>7181</v>
      </c>
      <c r="Q152" s="7" t="s">
        <v>7141</v>
      </c>
      <c r="R152" s="7" t="s">
        <v>7143</v>
      </c>
      <c r="S152" s="7">
        <v>1995</v>
      </c>
      <c r="T152" s="7" t="s">
        <v>7143</v>
      </c>
      <c r="U152" s="7" t="s">
        <v>7143</v>
      </c>
      <c r="Y152" s="2">
        <v>670</v>
      </c>
      <c r="Z152" s="17">
        <v>0.89549999999999996</v>
      </c>
      <c r="AA152" s="2">
        <v>600</v>
      </c>
      <c r="AB152" s="2">
        <v>500</v>
      </c>
      <c r="AC152" s="7">
        <v>260</v>
      </c>
      <c r="AD152" s="2">
        <v>300</v>
      </c>
      <c r="AE152" s="2">
        <v>40</v>
      </c>
      <c r="AF152" s="2" t="s">
        <v>7143</v>
      </c>
      <c r="AG152" s="2" t="s">
        <v>7142</v>
      </c>
      <c r="AH152" s="2" t="s">
        <v>7142</v>
      </c>
      <c r="AI152" s="2" t="s">
        <v>1273</v>
      </c>
      <c r="AJ152" s="2" t="s">
        <v>7143</v>
      </c>
      <c r="AK152" s="2" t="s">
        <v>7142</v>
      </c>
      <c r="AL152" s="2" t="s">
        <v>7142</v>
      </c>
      <c r="AM152" s="2" t="s">
        <v>7143</v>
      </c>
      <c r="AN152" s="2" t="s">
        <v>7143</v>
      </c>
      <c r="AO152" s="2" t="s">
        <v>7143</v>
      </c>
      <c r="AR152" s="7">
        <v>1.2</v>
      </c>
      <c r="AS152" s="7">
        <v>1</v>
      </c>
      <c r="AT152" s="7">
        <v>3</v>
      </c>
      <c r="AU152" s="7" t="s">
        <v>7144</v>
      </c>
      <c r="AV152" s="7" t="s">
        <v>7193</v>
      </c>
      <c r="AW152" s="2" t="s">
        <v>7143</v>
      </c>
      <c r="AZ152" s="2" t="s">
        <v>7286</v>
      </c>
      <c r="BB152" s="2" t="s">
        <v>7214</v>
      </c>
      <c r="BC152" s="2" t="s">
        <v>7208</v>
      </c>
      <c r="BD152" s="2" t="s">
        <v>7143</v>
      </c>
      <c r="BE152" s="2" t="s">
        <v>7143</v>
      </c>
      <c r="BL152" s="7" t="s">
        <v>7195</v>
      </c>
      <c r="BM152" s="7" t="s">
        <v>7153</v>
      </c>
      <c r="BN152" s="7" t="s">
        <v>7154</v>
      </c>
      <c r="BO152" s="2" t="s">
        <v>7155</v>
      </c>
      <c r="BQ152" s="2" t="s">
        <v>7183</v>
      </c>
      <c r="BS152" s="2" t="s">
        <v>7142</v>
      </c>
      <c r="BT152" s="2" t="s">
        <v>7694</v>
      </c>
      <c r="BV152" s="2" t="s">
        <v>7387</v>
      </c>
      <c r="BX152" s="2" t="s">
        <v>7142</v>
      </c>
      <c r="BY152" s="2" t="s">
        <v>1274</v>
      </c>
      <c r="BZ152" s="2" t="s">
        <v>7159</v>
      </c>
      <c r="CE152" s="7">
        <v>3</v>
      </c>
      <c r="CF152" s="2">
        <v>290</v>
      </c>
      <c r="CK152" s="2">
        <v>100</v>
      </c>
      <c r="CO152" s="2">
        <v>100</v>
      </c>
      <c r="CR152" s="2" t="s">
        <v>7160</v>
      </c>
      <c r="CT152" s="2" t="s">
        <v>7143</v>
      </c>
      <c r="CU152" s="2" t="s">
        <v>7161</v>
      </c>
      <c r="CW152" s="2" t="s">
        <v>7162</v>
      </c>
      <c r="CY152" s="2" t="s">
        <v>7163</v>
      </c>
      <c r="CZ152" s="2" t="s">
        <v>7163</v>
      </c>
      <c r="DA152" s="2" t="s">
        <v>7250</v>
      </c>
      <c r="DB152" s="2" t="s">
        <v>7251</v>
      </c>
      <c r="DC152" s="2" t="s">
        <v>7250</v>
      </c>
      <c r="DD152" s="2" t="s">
        <v>7251</v>
      </c>
      <c r="DE152" s="2" t="s">
        <v>7250</v>
      </c>
      <c r="DF152" s="2" t="s">
        <v>7163</v>
      </c>
      <c r="DG152" s="2" t="s">
        <v>7227</v>
      </c>
      <c r="DH152" s="2" t="s">
        <v>7163</v>
      </c>
      <c r="DI152" s="2" t="s">
        <v>7163</v>
      </c>
      <c r="DL152" s="7" t="s">
        <v>7142</v>
      </c>
      <c r="DM152" s="2" t="s">
        <v>7142</v>
      </c>
      <c r="DN152" s="2" t="s">
        <v>7142</v>
      </c>
      <c r="DO152" s="2" t="s">
        <v>7142</v>
      </c>
      <c r="DP152" s="2" t="s">
        <v>7165</v>
      </c>
      <c r="DQ152" s="2" t="s">
        <v>7166</v>
      </c>
      <c r="DT152" s="2" t="s">
        <v>7165</v>
      </c>
      <c r="DU152" s="2" t="s">
        <v>7165</v>
      </c>
      <c r="DV152" s="2" t="s">
        <v>7165</v>
      </c>
      <c r="DW152" s="2" t="s">
        <v>7165</v>
      </c>
      <c r="DX152" s="2" t="s">
        <v>7165</v>
      </c>
      <c r="DY152" s="2" t="s">
        <v>7165</v>
      </c>
      <c r="DZ152" s="2" t="s">
        <v>7165</v>
      </c>
      <c r="EA152" s="2" t="s">
        <v>7165</v>
      </c>
      <c r="EB152" s="2" t="s">
        <v>7159</v>
      </c>
      <c r="EC152" s="2" t="s">
        <v>7159</v>
      </c>
      <c r="ED152" s="2" t="s">
        <v>7159</v>
      </c>
      <c r="EF152" s="2" t="s">
        <v>7167</v>
      </c>
      <c r="EJ152" s="7" t="s">
        <v>7193</v>
      </c>
      <c r="EK152" s="7" t="s">
        <v>7142</v>
      </c>
      <c r="EL152" s="7" t="s">
        <v>7143</v>
      </c>
      <c r="EN152" s="7" t="s">
        <v>7170</v>
      </c>
      <c r="EP152" s="7" t="s">
        <v>7186</v>
      </c>
      <c r="ER152" s="2" t="s">
        <v>7142</v>
      </c>
      <c r="ET152" s="7" t="s">
        <v>7143</v>
      </c>
      <c r="EV152" s="7" t="s">
        <v>7142</v>
      </c>
      <c r="EW152" s="7" t="s">
        <v>7204</v>
      </c>
      <c r="EX152" s="2" t="s">
        <v>7142</v>
      </c>
      <c r="EY152" s="2" t="s">
        <v>7204</v>
      </c>
      <c r="EZ152" s="2" t="s">
        <v>7143</v>
      </c>
      <c r="FC152" s="7" t="s">
        <v>7172</v>
      </c>
      <c r="FD152" s="7" t="s">
        <v>7143</v>
      </c>
      <c r="FE152" s="2" t="s">
        <v>7204</v>
      </c>
      <c r="FH152" s="7" t="s">
        <v>7173</v>
      </c>
      <c r="FJ152" s="7" t="s">
        <v>7142</v>
      </c>
      <c r="FK152" s="7" t="s">
        <v>7165</v>
      </c>
      <c r="FL152" s="7" t="s">
        <v>7265</v>
      </c>
      <c r="FN152" s="2" t="s">
        <v>7646</v>
      </c>
      <c r="FO152" s="2" t="s">
        <v>1275</v>
      </c>
      <c r="FT152" s="2" t="s">
        <v>7176</v>
      </c>
      <c r="FU152" s="2" t="s">
        <v>7189</v>
      </c>
      <c r="FV152" s="2" t="s">
        <v>7189</v>
      </c>
      <c r="FW152" s="2" t="s">
        <v>7189</v>
      </c>
      <c r="FZ152" s="19" t="s">
        <v>7752</v>
      </c>
    </row>
    <row r="153" spans="1:182">
      <c r="A153" s="7" t="s">
        <v>1276</v>
      </c>
      <c r="D153" s="7" t="s">
        <v>7753</v>
      </c>
      <c r="E153" s="7" t="s">
        <v>1277</v>
      </c>
      <c r="F153" s="7" t="s">
        <v>7311</v>
      </c>
      <c r="G153" s="7" t="s">
        <v>7717</v>
      </c>
      <c r="H153" s="7" t="s">
        <v>1278</v>
      </c>
      <c r="I153" s="7" t="s">
        <v>1279</v>
      </c>
      <c r="J153" s="16" t="s">
        <v>7754</v>
      </c>
      <c r="K153" s="7" t="s">
        <v>1279</v>
      </c>
      <c r="L153" s="7" t="s">
        <v>7137</v>
      </c>
      <c r="M153" s="7" t="s">
        <v>7138</v>
      </c>
      <c r="N153" s="7">
        <v>1973</v>
      </c>
      <c r="O153" s="7" t="s">
        <v>7180</v>
      </c>
      <c r="P153" s="7" t="s">
        <v>7140</v>
      </c>
      <c r="Q153" s="7" t="s">
        <v>7141</v>
      </c>
      <c r="R153" s="7" t="s">
        <v>7143</v>
      </c>
      <c r="S153" s="7">
        <v>12</v>
      </c>
      <c r="T153" s="7" t="s">
        <v>7143</v>
      </c>
      <c r="U153" s="7" t="s">
        <v>7143</v>
      </c>
      <c r="Y153" s="2">
        <v>1514</v>
      </c>
      <c r="Z153" s="17">
        <v>0.99080000000000001</v>
      </c>
      <c r="AA153" s="2">
        <v>1500</v>
      </c>
      <c r="AB153" s="2">
        <v>1500</v>
      </c>
      <c r="AC153" s="7">
        <v>1500</v>
      </c>
      <c r="AD153" s="2">
        <v>1650</v>
      </c>
      <c r="AE153" s="2">
        <v>150</v>
      </c>
      <c r="AF153" s="2" t="s">
        <v>7143</v>
      </c>
      <c r="AG153" s="2" t="s">
        <v>7143</v>
      </c>
      <c r="AH153" s="2" t="s">
        <v>7143</v>
      </c>
      <c r="AJ153" s="2" t="s">
        <v>7143</v>
      </c>
      <c r="AK153" s="2" t="s">
        <v>7142</v>
      </c>
      <c r="AL153" s="2" t="s">
        <v>7142</v>
      </c>
      <c r="AM153" s="2" t="s">
        <v>7143</v>
      </c>
      <c r="AN153" s="2" t="s">
        <v>7143</v>
      </c>
      <c r="AO153" s="2" t="s">
        <v>7143</v>
      </c>
      <c r="AR153" s="7">
        <v>4</v>
      </c>
      <c r="AS153" s="7">
        <v>4</v>
      </c>
      <c r="AT153" s="7">
        <v>15</v>
      </c>
      <c r="AU153" s="2" t="s">
        <v>7144</v>
      </c>
      <c r="AV153" s="2" t="s">
        <v>7144</v>
      </c>
      <c r="AW153" s="2" t="s">
        <v>7143</v>
      </c>
      <c r="BC153" s="2" t="s">
        <v>7147</v>
      </c>
      <c r="BD153" s="2" t="s">
        <v>7142</v>
      </c>
      <c r="BE153" s="2" t="s">
        <v>7143</v>
      </c>
      <c r="BL153" s="2" t="s">
        <v>7152</v>
      </c>
      <c r="BM153" s="2" t="s">
        <v>7153</v>
      </c>
      <c r="BN153" s="2" t="s">
        <v>7154</v>
      </c>
      <c r="BO153" s="2" t="s">
        <v>7155</v>
      </c>
      <c r="BQ153" s="2" t="s">
        <v>7156</v>
      </c>
      <c r="BS153" s="2" t="s">
        <v>7142</v>
      </c>
      <c r="BT153" s="2" t="s">
        <v>7157</v>
      </c>
      <c r="BV153" s="2" t="s">
        <v>7387</v>
      </c>
      <c r="BX153" s="2" t="s">
        <v>7143</v>
      </c>
      <c r="BY153" s="2" t="s">
        <v>1280</v>
      </c>
      <c r="BZ153" s="2" t="s">
        <v>7159</v>
      </c>
      <c r="CE153" s="7">
        <v>15</v>
      </c>
      <c r="CF153" s="2">
        <v>1650</v>
      </c>
      <c r="CK153" s="2">
        <v>20</v>
      </c>
      <c r="CM153" s="2">
        <v>80</v>
      </c>
      <c r="CP153" s="2">
        <v>100</v>
      </c>
      <c r="CR153" s="2" t="s">
        <v>7276</v>
      </c>
      <c r="CT153" s="2" t="s">
        <v>7143</v>
      </c>
      <c r="CU153" s="2" t="s">
        <v>7161</v>
      </c>
      <c r="CW153" s="2" t="s">
        <v>7162</v>
      </c>
      <c r="CY153" s="2" t="s">
        <v>7163</v>
      </c>
      <c r="CZ153" s="2" t="s">
        <v>7163</v>
      </c>
      <c r="DA153" s="2" t="s">
        <v>7250</v>
      </c>
      <c r="DB153" s="2" t="s">
        <v>7250</v>
      </c>
      <c r="DC153" s="2" t="s">
        <v>7250</v>
      </c>
      <c r="DD153" s="2" t="s">
        <v>7250</v>
      </c>
      <c r="DE153" s="2" t="s">
        <v>7250</v>
      </c>
      <c r="DF153" s="2" t="s">
        <v>7163</v>
      </c>
      <c r="DG153" s="2" t="s">
        <v>7163</v>
      </c>
      <c r="DH153" s="2" t="s">
        <v>7163</v>
      </c>
      <c r="DI153" s="2" t="s">
        <v>7163</v>
      </c>
      <c r="DL153" s="2" t="s">
        <v>7142</v>
      </c>
      <c r="DM153" s="2" t="s">
        <v>7142</v>
      </c>
      <c r="DN153" s="2" t="s">
        <v>7142</v>
      </c>
      <c r="DO153" s="2" t="s">
        <v>7142</v>
      </c>
      <c r="DP153" s="2" t="s">
        <v>7165</v>
      </c>
      <c r="DQ153" s="2" t="s">
        <v>7333</v>
      </c>
      <c r="DR153" s="2" t="s">
        <v>1281</v>
      </c>
      <c r="DT153" s="2" t="s">
        <v>7165</v>
      </c>
      <c r="DU153" s="2" t="s">
        <v>7165</v>
      </c>
      <c r="DV153" s="2" t="s">
        <v>7165</v>
      </c>
      <c r="DW153" s="2" t="s">
        <v>7165</v>
      </c>
      <c r="DX153" s="2" t="s">
        <v>7165</v>
      </c>
      <c r="DY153" s="2" t="s">
        <v>7165</v>
      </c>
      <c r="DZ153" s="2" t="s">
        <v>7173</v>
      </c>
      <c r="EA153" s="2" t="s">
        <v>7165</v>
      </c>
      <c r="EB153" s="2" t="s">
        <v>7165</v>
      </c>
      <c r="EC153" s="2" t="s">
        <v>7173</v>
      </c>
      <c r="EF153" s="2" t="s">
        <v>7221</v>
      </c>
      <c r="EG153" s="2" t="s">
        <v>1282</v>
      </c>
      <c r="EJ153" s="2" t="s">
        <v>7144</v>
      </c>
      <c r="EK153" s="2" t="s">
        <v>7142</v>
      </c>
      <c r="EL153" s="2" t="s">
        <v>7143</v>
      </c>
      <c r="EN153" s="2" t="s">
        <v>7210</v>
      </c>
      <c r="EP153" s="2" t="s">
        <v>7186</v>
      </c>
      <c r="ER153" s="2" t="s">
        <v>7142</v>
      </c>
      <c r="ET153" s="2" t="s">
        <v>7143</v>
      </c>
      <c r="EV153" s="2" t="s">
        <v>7142</v>
      </c>
      <c r="EW153" s="2" t="s">
        <v>7204</v>
      </c>
      <c r="EX153" s="2" t="s">
        <v>7142</v>
      </c>
      <c r="EY153" s="2" t="s">
        <v>7204</v>
      </c>
      <c r="EZ153" s="2" t="s">
        <v>7143</v>
      </c>
      <c r="FC153" s="2" t="s">
        <v>7172</v>
      </c>
      <c r="FD153" s="2" t="s">
        <v>7143</v>
      </c>
      <c r="FH153" s="2" t="s">
        <v>7173</v>
      </c>
      <c r="FJ153" s="2" t="s">
        <v>7143</v>
      </c>
      <c r="FK153" s="2" t="s">
        <v>7165</v>
      </c>
      <c r="FL153" s="2" t="s">
        <v>7228</v>
      </c>
      <c r="FN153" s="2" t="s">
        <v>7322</v>
      </c>
      <c r="FR153" s="2" t="s">
        <v>1283</v>
      </c>
      <c r="FT153" s="2" t="s">
        <v>7189</v>
      </c>
      <c r="FU153" s="2" t="s">
        <v>7189</v>
      </c>
      <c r="FV153" s="2" t="s">
        <v>7189</v>
      </c>
      <c r="FW153" s="2" t="s">
        <v>7189</v>
      </c>
      <c r="FX153" s="2" t="s">
        <v>7189</v>
      </c>
      <c r="FY153" s="2" t="s">
        <v>1284</v>
      </c>
      <c r="FZ153" s="19" t="s">
        <v>7755</v>
      </c>
    </row>
    <row r="154" spans="1:182">
      <c r="A154" s="7" t="s">
        <v>1285</v>
      </c>
      <c r="D154" s="7" t="s">
        <v>7756</v>
      </c>
      <c r="E154" s="7" t="s">
        <v>1286</v>
      </c>
      <c r="F154" s="7" t="s">
        <v>7339</v>
      </c>
      <c r="G154" s="7" t="s">
        <v>7717</v>
      </c>
      <c r="H154" s="7" t="s">
        <v>1212</v>
      </c>
      <c r="I154" s="7" t="s">
        <v>1287</v>
      </c>
      <c r="J154" s="16" t="s">
        <v>7757</v>
      </c>
      <c r="K154" s="7" t="s">
        <v>1288</v>
      </c>
      <c r="L154" s="2" t="s">
        <v>7137</v>
      </c>
      <c r="M154" s="7" t="s">
        <v>7179</v>
      </c>
      <c r="N154" s="2">
        <v>1996</v>
      </c>
      <c r="O154" s="7" t="s">
        <v>7139</v>
      </c>
      <c r="P154" s="2" t="s">
        <v>7181</v>
      </c>
      <c r="Q154" s="2" t="s">
        <v>7225</v>
      </c>
      <c r="R154" s="2" t="s">
        <v>7143</v>
      </c>
      <c r="S154" s="2">
        <v>16</v>
      </c>
      <c r="T154" s="2" t="s">
        <v>7143</v>
      </c>
      <c r="U154" s="2" t="s">
        <v>7143</v>
      </c>
      <c r="Y154" s="2">
        <v>150</v>
      </c>
      <c r="Z154" s="17">
        <v>0.93330000000000002</v>
      </c>
      <c r="AA154" s="2">
        <v>140</v>
      </c>
      <c r="AB154" s="2">
        <v>100</v>
      </c>
      <c r="AC154" s="7">
        <v>100</v>
      </c>
      <c r="AD154" s="2">
        <v>148</v>
      </c>
      <c r="AE154" s="2">
        <v>48</v>
      </c>
      <c r="AF154" s="2" t="s">
        <v>7143</v>
      </c>
      <c r="AG154" s="2" t="s">
        <v>7143</v>
      </c>
      <c r="AH154" s="2" t="s">
        <v>7143</v>
      </c>
      <c r="AJ154" s="2" t="s">
        <v>7143</v>
      </c>
      <c r="AK154" s="2" t="s">
        <v>7142</v>
      </c>
      <c r="AM154" s="2" t="s">
        <v>7142</v>
      </c>
      <c r="AN154" s="2" t="s">
        <v>7143</v>
      </c>
      <c r="AO154" s="2" t="s">
        <v>7143</v>
      </c>
      <c r="AR154" s="7">
        <v>1.5</v>
      </c>
      <c r="AS154" s="7">
        <v>3</v>
      </c>
      <c r="AT154" s="7">
        <v>1.5</v>
      </c>
      <c r="AU154" s="2" t="s">
        <v>7193</v>
      </c>
      <c r="AV154" s="2" t="s">
        <v>7193</v>
      </c>
      <c r="AW154" s="2" t="s">
        <v>7143</v>
      </c>
      <c r="AZ154" s="2" t="s">
        <v>7145</v>
      </c>
      <c r="BB154" s="2" t="s">
        <v>7146</v>
      </c>
      <c r="BC154" s="2" t="s">
        <v>7247</v>
      </c>
      <c r="BD154" s="2" t="s">
        <v>7143</v>
      </c>
      <c r="BE154" s="2" t="s">
        <v>7142</v>
      </c>
      <c r="BF154" s="2" t="s">
        <v>7148</v>
      </c>
      <c r="BG154" s="2" t="s">
        <v>7149</v>
      </c>
      <c r="BH154" s="2" t="s">
        <v>7150</v>
      </c>
      <c r="BI154" s="2" t="s">
        <v>7151</v>
      </c>
      <c r="BL154" s="2" t="s">
        <v>7195</v>
      </c>
      <c r="BO154" s="2" t="s">
        <v>7274</v>
      </c>
      <c r="BP154" s="2" t="s">
        <v>7511</v>
      </c>
      <c r="BS154" s="2" t="s">
        <v>7142</v>
      </c>
      <c r="BT154" s="2" t="s">
        <v>7341</v>
      </c>
      <c r="BV154" s="2" t="s">
        <v>7758</v>
      </c>
      <c r="BX154" s="2" t="s">
        <v>7142</v>
      </c>
      <c r="BY154" s="2" t="s">
        <v>705</v>
      </c>
      <c r="BZ154" s="2" t="s">
        <v>7173</v>
      </c>
      <c r="CE154" s="7">
        <v>1.5</v>
      </c>
      <c r="CF154" s="2">
        <v>148</v>
      </c>
      <c r="CK154" s="2">
        <v>100</v>
      </c>
      <c r="CO154" s="2">
        <v>100</v>
      </c>
      <c r="CR154" s="2" t="s">
        <v>7357</v>
      </c>
      <c r="CT154" s="2" t="s">
        <v>7143</v>
      </c>
      <c r="CU154" s="2" t="s">
        <v>7161</v>
      </c>
      <c r="CW154" s="2" t="s">
        <v>7162</v>
      </c>
      <c r="CY154" s="2" t="s">
        <v>7358</v>
      </c>
      <c r="CZ154" s="2" t="s">
        <v>7358</v>
      </c>
      <c r="DA154" s="2" t="s">
        <v>7250</v>
      </c>
      <c r="DB154" s="2" t="s">
        <v>7250</v>
      </c>
      <c r="DC154" s="2" t="s">
        <v>7582</v>
      </c>
      <c r="DD154" s="2" t="s">
        <v>7250</v>
      </c>
      <c r="DE154" s="2" t="s">
        <v>7250</v>
      </c>
      <c r="DF154" s="2" t="s">
        <v>7250</v>
      </c>
      <c r="DG154" s="2" t="s">
        <v>7358</v>
      </c>
      <c r="DH154" s="2" t="s">
        <v>7358</v>
      </c>
      <c r="DI154" s="2" t="s">
        <v>7250</v>
      </c>
      <c r="DL154" s="2" t="s">
        <v>7142</v>
      </c>
      <c r="DM154" s="2" t="s">
        <v>7142</v>
      </c>
      <c r="DN154" s="2" t="s">
        <v>7142</v>
      </c>
      <c r="DO154" s="2" t="s">
        <v>7142</v>
      </c>
      <c r="DP154" s="2" t="s">
        <v>7165</v>
      </c>
      <c r="DQ154" s="2" t="s">
        <v>7333</v>
      </c>
      <c r="DR154" s="2" t="s">
        <v>1290</v>
      </c>
      <c r="DT154" s="2" t="s">
        <v>7165</v>
      </c>
      <c r="DU154" s="2" t="s">
        <v>7165</v>
      </c>
      <c r="DV154" s="2" t="s">
        <v>7165</v>
      </c>
      <c r="DW154" s="2" t="s">
        <v>7165</v>
      </c>
      <c r="DX154" s="2" t="s">
        <v>7159</v>
      </c>
      <c r="DY154" s="2" t="s">
        <v>7159</v>
      </c>
      <c r="DZ154" s="2" t="s">
        <v>7159</v>
      </c>
      <c r="EA154" s="2" t="s">
        <v>7159</v>
      </c>
      <c r="EB154" s="2" t="s">
        <v>7165</v>
      </c>
      <c r="EC154" s="2" t="s">
        <v>7159</v>
      </c>
      <c r="ED154" s="2" t="s">
        <v>7159</v>
      </c>
      <c r="EF154" s="2" t="s">
        <v>7221</v>
      </c>
      <c r="EG154" s="2" t="s">
        <v>1291</v>
      </c>
      <c r="EJ154" s="2" t="s">
        <v>7193</v>
      </c>
      <c r="EK154" s="2" t="s">
        <v>7142</v>
      </c>
      <c r="EL154" s="2" t="s">
        <v>7143</v>
      </c>
      <c r="EN154" s="2" t="s">
        <v>7170</v>
      </c>
      <c r="EP154" s="2" t="s">
        <v>7186</v>
      </c>
      <c r="ER154" s="2" t="s">
        <v>7142</v>
      </c>
      <c r="ET154" s="2" t="s">
        <v>7143</v>
      </c>
      <c r="EV154" s="2" t="s">
        <v>7142</v>
      </c>
      <c r="EW154" s="2" t="s">
        <v>7171</v>
      </c>
      <c r="EX154" s="2" t="s">
        <v>7143</v>
      </c>
      <c r="EZ154" s="2" t="s">
        <v>7143</v>
      </c>
      <c r="FC154" s="2" t="s">
        <v>7218</v>
      </c>
      <c r="FD154" s="2" t="s">
        <v>7143</v>
      </c>
      <c r="FH154" s="2" t="s">
        <v>7173</v>
      </c>
      <c r="FJ154" s="2" t="s">
        <v>7143</v>
      </c>
      <c r="FK154" s="2" t="s">
        <v>7173</v>
      </c>
      <c r="FN154" s="2" t="s">
        <v>7344</v>
      </c>
      <c r="FR154" s="2" t="s">
        <v>1292</v>
      </c>
      <c r="FT154" s="2" t="s">
        <v>7189</v>
      </c>
      <c r="FU154" s="2" t="s">
        <v>7189</v>
      </c>
      <c r="FV154" s="2" t="s">
        <v>7189</v>
      </c>
      <c r="FW154" s="2" t="s">
        <v>7189</v>
      </c>
      <c r="FZ154" s="19" t="s">
        <v>7759</v>
      </c>
    </row>
    <row r="155" spans="1:182">
      <c r="A155" s="7" t="s">
        <v>1293</v>
      </c>
      <c r="D155" s="7" t="s">
        <v>7760</v>
      </c>
      <c r="E155" s="7" t="s">
        <v>1294</v>
      </c>
      <c r="F155" s="7" t="s">
        <v>7389</v>
      </c>
      <c r="G155" s="7" t="s">
        <v>7717</v>
      </c>
      <c r="H155" s="7" t="s">
        <v>1212</v>
      </c>
      <c r="I155" s="7" t="s">
        <v>1295</v>
      </c>
      <c r="J155" s="16" t="s">
        <v>7761</v>
      </c>
      <c r="K155" s="7" t="s">
        <v>1296</v>
      </c>
      <c r="L155" s="2" t="s">
        <v>7137</v>
      </c>
      <c r="M155" s="7" t="s">
        <v>7179</v>
      </c>
      <c r="N155" s="7">
        <v>1997</v>
      </c>
      <c r="O155" s="7" t="s">
        <v>7139</v>
      </c>
      <c r="P155" s="2" t="s">
        <v>7181</v>
      </c>
      <c r="Q155" s="2" t="s">
        <v>7225</v>
      </c>
      <c r="R155" s="2" t="s">
        <v>7143</v>
      </c>
      <c r="S155" s="2">
        <v>9</v>
      </c>
      <c r="T155" s="2" t="s">
        <v>7143</v>
      </c>
      <c r="U155" s="2" t="s">
        <v>7143</v>
      </c>
      <c r="Y155" s="2">
        <v>90</v>
      </c>
      <c r="Z155" s="17">
        <v>1</v>
      </c>
      <c r="AA155" s="2">
        <v>90</v>
      </c>
      <c r="AB155" s="2">
        <v>90</v>
      </c>
      <c r="AC155" s="7">
        <v>90</v>
      </c>
      <c r="AD155" s="2">
        <v>150</v>
      </c>
      <c r="AE155" s="2">
        <v>60</v>
      </c>
      <c r="AF155" s="2" t="s">
        <v>7143</v>
      </c>
      <c r="AG155" s="2" t="s">
        <v>7143</v>
      </c>
      <c r="AH155" s="2" t="s">
        <v>7143</v>
      </c>
      <c r="AJ155" s="2" t="s">
        <v>7143</v>
      </c>
      <c r="AK155" s="2" t="s">
        <v>7143</v>
      </c>
      <c r="AL155" s="2" t="s">
        <v>7143</v>
      </c>
      <c r="AM155" s="2" t="s">
        <v>7143</v>
      </c>
      <c r="AN155" s="2" t="s">
        <v>7143</v>
      </c>
      <c r="AO155" s="2" t="s">
        <v>7143</v>
      </c>
      <c r="AR155" s="7">
        <v>1</v>
      </c>
      <c r="AS155" s="7">
        <v>3</v>
      </c>
      <c r="AT155" s="7">
        <v>1.3</v>
      </c>
      <c r="AU155" s="2" t="s">
        <v>7217</v>
      </c>
      <c r="AV155" s="2" t="s">
        <v>7193</v>
      </c>
      <c r="AW155" s="2" t="s">
        <v>7143</v>
      </c>
      <c r="AZ155" s="2" t="s">
        <v>7145</v>
      </c>
      <c r="BB155" s="2" t="s">
        <v>7214</v>
      </c>
      <c r="BC155" s="2" t="s">
        <v>7247</v>
      </c>
      <c r="BD155" s="2" t="s">
        <v>7142</v>
      </c>
      <c r="BE155" s="2" t="s">
        <v>7142</v>
      </c>
      <c r="BF155" s="2" t="s">
        <v>7148</v>
      </c>
      <c r="BG155" s="2" t="s">
        <v>7149</v>
      </c>
      <c r="BH155" s="2" t="s">
        <v>7150</v>
      </c>
      <c r="BI155" s="2" t="s">
        <v>7151</v>
      </c>
      <c r="BL155" s="2" t="s">
        <v>7152</v>
      </c>
      <c r="BM155" s="2" t="s">
        <v>7355</v>
      </c>
      <c r="BN155" s="2" t="s">
        <v>7154</v>
      </c>
      <c r="BO155" s="2" t="s">
        <v>7155</v>
      </c>
      <c r="BQ155" s="2" t="s">
        <v>7183</v>
      </c>
      <c r="BS155" s="2" t="s">
        <v>7142</v>
      </c>
      <c r="BT155" s="2" t="s">
        <v>7391</v>
      </c>
      <c r="BV155" s="2" t="s">
        <v>7624</v>
      </c>
      <c r="BX155" s="2" t="s">
        <v>7143</v>
      </c>
      <c r="BZ155" s="2" t="s">
        <v>7173</v>
      </c>
      <c r="CE155" s="7">
        <v>1.3</v>
      </c>
      <c r="CF155" s="2">
        <v>150</v>
      </c>
      <c r="CM155" s="2">
        <v>100</v>
      </c>
      <c r="CO155" s="2">
        <v>100</v>
      </c>
      <c r="CR155" s="2" t="s">
        <v>7160</v>
      </c>
      <c r="CT155" s="2" t="s">
        <v>7142</v>
      </c>
      <c r="CU155" s="2" t="s">
        <v>7161</v>
      </c>
      <c r="CW155" s="2" t="s">
        <v>7162</v>
      </c>
      <c r="CY155" s="2" t="s">
        <v>7358</v>
      </c>
      <c r="CZ155" s="2" t="s">
        <v>7250</v>
      </c>
      <c r="DA155" s="2" t="s">
        <v>7250</v>
      </c>
      <c r="DB155" s="2" t="s">
        <v>7250</v>
      </c>
      <c r="DC155" s="2" t="s">
        <v>7250</v>
      </c>
      <c r="DD155" s="2" t="s">
        <v>7250</v>
      </c>
      <c r="DE155" s="2" t="s">
        <v>7250</v>
      </c>
      <c r="DF155" s="2" t="s">
        <v>7250</v>
      </c>
      <c r="DG155" s="2" t="s">
        <v>7250</v>
      </c>
      <c r="DH155" s="2" t="s">
        <v>7250</v>
      </c>
      <c r="DI155" s="2" t="s">
        <v>7250</v>
      </c>
      <c r="DL155" s="2" t="s">
        <v>7143</v>
      </c>
      <c r="DM155" s="2" t="s">
        <v>7143</v>
      </c>
      <c r="DP155" s="2" t="s">
        <v>7173</v>
      </c>
      <c r="DT155" s="2" t="s">
        <v>7159</v>
      </c>
      <c r="DU155" s="2" t="s">
        <v>7159</v>
      </c>
      <c r="DV155" s="2" t="s">
        <v>7159</v>
      </c>
      <c r="DW155" s="2" t="s">
        <v>7159</v>
      </c>
      <c r="DX155" s="2" t="s">
        <v>7159</v>
      </c>
      <c r="DY155" s="2" t="s">
        <v>7159</v>
      </c>
      <c r="DZ155" s="2" t="s">
        <v>7159</v>
      </c>
      <c r="EA155" s="2" t="s">
        <v>7159</v>
      </c>
      <c r="EB155" s="2" t="s">
        <v>7159</v>
      </c>
      <c r="EC155" s="2" t="s">
        <v>7159</v>
      </c>
      <c r="EF155" s="2" t="s">
        <v>7221</v>
      </c>
      <c r="EG155" s="2" t="s">
        <v>1121</v>
      </c>
      <c r="EJ155" s="2" t="s">
        <v>7217</v>
      </c>
      <c r="EK155" s="2" t="s">
        <v>7143</v>
      </c>
      <c r="EL155" s="2" t="s">
        <v>7143</v>
      </c>
      <c r="EN155" s="2" t="s">
        <v>7210</v>
      </c>
      <c r="EP155" s="2" t="s">
        <v>7186</v>
      </c>
      <c r="ER155" s="2" t="s">
        <v>7143</v>
      </c>
      <c r="ET155" s="2" t="s">
        <v>7143</v>
      </c>
      <c r="EV155" s="2" t="s">
        <v>7143</v>
      </c>
      <c r="EX155" s="2" t="s">
        <v>7143</v>
      </c>
      <c r="EZ155" s="2" t="s">
        <v>7143</v>
      </c>
      <c r="FC155" s="2" t="s">
        <v>7218</v>
      </c>
      <c r="FD155" s="2" t="s">
        <v>7143</v>
      </c>
      <c r="FH155" s="2" t="s">
        <v>7173</v>
      </c>
      <c r="FJ155" s="2" t="s">
        <v>7143</v>
      </c>
      <c r="FK155" s="2" t="s">
        <v>7173</v>
      </c>
      <c r="FN155" s="2" t="s">
        <v>7322</v>
      </c>
      <c r="FR155" s="2" t="s">
        <v>433</v>
      </c>
      <c r="FT155" s="2" t="s">
        <v>7189</v>
      </c>
      <c r="FU155" s="2" t="s">
        <v>7189</v>
      </c>
      <c r="FV155" s="2" t="s">
        <v>7176</v>
      </c>
      <c r="FW155" s="2" t="s">
        <v>7189</v>
      </c>
      <c r="FZ155" s="19" t="s">
        <v>7762</v>
      </c>
    </row>
    <row r="156" spans="1:182">
      <c r="A156" s="7" t="s">
        <v>1297</v>
      </c>
      <c r="D156" s="7" t="s">
        <v>7763</v>
      </c>
      <c r="E156" s="7" t="s">
        <v>177</v>
      </c>
      <c r="F156" s="7" t="s">
        <v>7134</v>
      </c>
      <c r="G156" s="7" t="s">
        <v>7717</v>
      </c>
      <c r="H156" s="7" t="s">
        <v>1207</v>
      </c>
      <c r="I156" s="7" t="s">
        <v>1298</v>
      </c>
      <c r="J156" s="16" t="s">
        <v>7764</v>
      </c>
      <c r="K156" s="7" t="s">
        <v>1298</v>
      </c>
      <c r="L156" s="2" t="s">
        <v>7137</v>
      </c>
      <c r="M156" s="7" t="s">
        <v>7138</v>
      </c>
      <c r="N156" s="7">
        <v>1980</v>
      </c>
      <c r="O156" s="7" t="s">
        <v>7139</v>
      </c>
      <c r="P156" s="2" t="s">
        <v>7140</v>
      </c>
      <c r="Q156" s="2" t="s">
        <v>7225</v>
      </c>
      <c r="R156" s="2" t="s">
        <v>7143</v>
      </c>
      <c r="S156" s="2">
        <v>18</v>
      </c>
      <c r="T156" s="2" t="s">
        <v>7143</v>
      </c>
      <c r="U156" s="2" t="s">
        <v>7143</v>
      </c>
      <c r="Y156" s="2">
        <v>215</v>
      </c>
      <c r="Z156" s="17">
        <v>1</v>
      </c>
      <c r="AA156" s="2">
        <v>215</v>
      </c>
      <c r="AB156" s="2">
        <v>215</v>
      </c>
      <c r="AC156" s="7">
        <v>215</v>
      </c>
      <c r="AD156" s="2">
        <v>310</v>
      </c>
      <c r="AE156" s="2">
        <v>95</v>
      </c>
      <c r="AF156" s="2" t="s">
        <v>7142</v>
      </c>
      <c r="AG156" s="2" t="s">
        <v>7143</v>
      </c>
      <c r="AH156" s="2" t="s">
        <v>7143</v>
      </c>
      <c r="AJ156" s="2" t="s">
        <v>7143</v>
      </c>
      <c r="AK156" s="2" t="s">
        <v>7143</v>
      </c>
      <c r="AL156" s="2" t="s">
        <v>7143</v>
      </c>
      <c r="AM156" s="2" t="s">
        <v>7143</v>
      </c>
      <c r="AN156" s="2" t="s">
        <v>7143</v>
      </c>
      <c r="AO156" s="2" t="s">
        <v>7143</v>
      </c>
      <c r="AR156" s="7">
        <v>2.6</v>
      </c>
      <c r="AS156" s="7">
        <v>4</v>
      </c>
      <c r="AT156" s="7">
        <v>3.23</v>
      </c>
      <c r="AU156" s="2" t="s">
        <v>7144</v>
      </c>
      <c r="AV156" s="2" t="s">
        <v>7144</v>
      </c>
      <c r="AW156" s="2" t="s">
        <v>7143</v>
      </c>
      <c r="AZ156" s="2" t="s">
        <v>7145</v>
      </c>
      <c r="BB156" s="2" t="s">
        <v>7146</v>
      </c>
      <c r="BC156" s="2" t="s">
        <v>7147</v>
      </c>
      <c r="BD156" s="2" t="s">
        <v>7142</v>
      </c>
      <c r="BE156" s="2" t="s">
        <v>7142</v>
      </c>
      <c r="BF156" s="2" t="s">
        <v>7148</v>
      </c>
      <c r="BG156" s="2" t="s">
        <v>7149</v>
      </c>
      <c r="BH156" s="2" t="s">
        <v>7150</v>
      </c>
      <c r="BI156" s="2" t="s">
        <v>7151</v>
      </c>
      <c r="BL156" s="2" t="s">
        <v>7152</v>
      </c>
      <c r="BM156" s="2" t="s">
        <v>7153</v>
      </c>
      <c r="BN156" s="2" t="s">
        <v>7154</v>
      </c>
      <c r="BO156" s="2" t="s">
        <v>7155</v>
      </c>
      <c r="BQ156" s="2" t="s">
        <v>7183</v>
      </c>
      <c r="BT156" s="2" t="s">
        <v>7157</v>
      </c>
      <c r="BV156" s="2" t="s">
        <v>7202</v>
      </c>
      <c r="BX156" s="2" t="s">
        <v>7143</v>
      </c>
      <c r="BZ156" s="2" t="s">
        <v>7173</v>
      </c>
      <c r="CE156" s="7">
        <v>3.23</v>
      </c>
      <c r="CF156" s="2">
        <v>310</v>
      </c>
      <c r="CM156" s="2">
        <v>100</v>
      </c>
      <c r="CO156" s="2">
        <v>100</v>
      </c>
      <c r="CR156" s="2" t="s">
        <v>7160</v>
      </c>
      <c r="CT156" s="2" t="s">
        <v>7143</v>
      </c>
      <c r="CU156" s="2" t="s">
        <v>7161</v>
      </c>
      <c r="CW156" s="2" t="s">
        <v>7162</v>
      </c>
      <c r="CY156" s="2" t="s">
        <v>7163</v>
      </c>
      <c r="CZ156" s="2" t="s">
        <v>7163</v>
      </c>
      <c r="DA156" s="2" t="s">
        <v>7164</v>
      </c>
      <c r="DB156" s="2" t="s">
        <v>7164</v>
      </c>
      <c r="DC156" s="2" t="s">
        <v>7164</v>
      </c>
      <c r="DD156" s="2" t="s">
        <v>7164</v>
      </c>
      <c r="DE156" s="2" t="s">
        <v>7164</v>
      </c>
      <c r="DF156" s="2" t="s">
        <v>7164</v>
      </c>
      <c r="DG156" s="2" t="s">
        <v>7164</v>
      </c>
      <c r="DH156" s="2" t="s">
        <v>7164</v>
      </c>
      <c r="DI156" s="2" t="s">
        <v>7164</v>
      </c>
      <c r="DL156" s="2" t="s">
        <v>7142</v>
      </c>
      <c r="DM156" s="2" t="s">
        <v>7142</v>
      </c>
      <c r="DN156" s="2" t="s">
        <v>7142</v>
      </c>
      <c r="DO156" s="2" t="s">
        <v>7142</v>
      </c>
      <c r="DP156" s="2" t="s">
        <v>7165</v>
      </c>
      <c r="DQ156" s="2" t="s">
        <v>7166</v>
      </c>
      <c r="DT156" s="2" t="s">
        <v>7165</v>
      </c>
      <c r="DU156" s="2" t="s">
        <v>7165</v>
      </c>
      <c r="DV156" s="2" t="s">
        <v>7165</v>
      </c>
      <c r="DW156" s="2" t="s">
        <v>7165</v>
      </c>
      <c r="DX156" s="2" t="s">
        <v>7165</v>
      </c>
      <c r="DY156" s="2" t="s">
        <v>7165</v>
      </c>
      <c r="DZ156" s="2" t="s">
        <v>7165</v>
      </c>
      <c r="EA156" s="2" t="s">
        <v>7165</v>
      </c>
      <c r="EB156" s="2" t="s">
        <v>7165</v>
      </c>
      <c r="EF156" s="2" t="s">
        <v>7167</v>
      </c>
      <c r="FH156" s="2" t="s">
        <v>7173</v>
      </c>
      <c r="FJ156" s="2" t="s">
        <v>7142</v>
      </c>
      <c r="FK156" s="2" t="s">
        <v>7165</v>
      </c>
      <c r="FL156" s="2" t="s">
        <v>7211</v>
      </c>
      <c r="FN156" s="2" t="s">
        <v>7258</v>
      </c>
      <c r="FT156" s="2" t="s">
        <v>7176</v>
      </c>
      <c r="FU156" s="2" t="s">
        <v>7176</v>
      </c>
      <c r="FV156" s="2" t="s">
        <v>7176</v>
      </c>
      <c r="FW156" s="2" t="s">
        <v>7176</v>
      </c>
      <c r="FZ156" s="19" t="s">
        <v>7765</v>
      </c>
    </row>
    <row r="157" spans="1:182">
      <c r="A157" s="7" t="s">
        <v>1299</v>
      </c>
      <c r="D157" s="7" t="s">
        <v>7766</v>
      </c>
      <c r="E157" s="7" t="s">
        <v>1262</v>
      </c>
      <c r="F157" s="7" t="s">
        <v>7319</v>
      </c>
      <c r="G157" s="7" t="s">
        <v>7717</v>
      </c>
      <c r="H157" s="7" t="s">
        <v>1263</v>
      </c>
      <c r="I157" s="7" t="s">
        <v>1300</v>
      </c>
      <c r="J157" s="16" t="s">
        <v>7767</v>
      </c>
      <c r="K157" s="7" t="s">
        <v>1300</v>
      </c>
      <c r="L157" s="7" t="s">
        <v>7137</v>
      </c>
      <c r="M157" s="7" t="s">
        <v>7138</v>
      </c>
      <c r="N157" s="7">
        <v>1970</v>
      </c>
      <c r="O157" s="7" t="s">
        <v>7180</v>
      </c>
      <c r="P157" s="7" t="s">
        <v>7140</v>
      </c>
      <c r="Q157" s="7" t="s">
        <v>7225</v>
      </c>
      <c r="R157" s="7" t="s">
        <v>7143</v>
      </c>
      <c r="S157" s="7">
        <v>30</v>
      </c>
      <c r="T157" s="7" t="s">
        <v>7143</v>
      </c>
      <c r="U157" s="7" t="s">
        <v>7143</v>
      </c>
      <c r="Y157" s="2">
        <v>1030</v>
      </c>
      <c r="Z157" s="17">
        <v>1</v>
      </c>
      <c r="AA157" s="2">
        <v>1030</v>
      </c>
      <c r="AB157" s="2">
        <v>1030</v>
      </c>
      <c r="AC157" s="7">
        <v>970</v>
      </c>
      <c r="AD157" s="2">
        <v>1200</v>
      </c>
      <c r="AE157" s="2">
        <v>230</v>
      </c>
      <c r="AF157" s="2" t="s">
        <v>7143</v>
      </c>
      <c r="AG157" s="2" t="s">
        <v>7142</v>
      </c>
      <c r="AH157" s="2" t="s">
        <v>7143</v>
      </c>
      <c r="AJ157" s="2" t="s">
        <v>7143</v>
      </c>
      <c r="AK157" s="2" t="s">
        <v>7143</v>
      </c>
      <c r="AL157" s="2" t="s">
        <v>7143</v>
      </c>
      <c r="AM157" s="2" t="s">
        <v>7143</v>
      </c>
      <c r="AN157" s="2" t="s">
        <v>7143</v>
      </c>
      <c r="AO157" s="2" t="s">
        <v>7143</v>
      </c>
      <c r="AR157" s="7">
        <v>3</v>
      </c>
      <c r="AS157" s="7">
        <v>1</v>
      </c>
      <c r="AT157" s="7">
        <v>12</v>
      </c>
      <c r="AU157" s="2" t="s">
        <v>7144</v>
      </c>
      <c r="AV157" s="2" t="s">
        <v>7144</v>
      </c>
      <c r="AW157" s="2" t="s">
        <v>7143</v>
      </c>
      <c r="AZ157" s="2" t="s">
        <v>7286</v>
      </c>
      <c r="BB157" s="2" t="s">
        <v>7214</v>
      </c>
      <c r="BC157" s="2" t="s">
        <v>7147</v>
      </c>
      <c r="BD157" s="2" t="s">
        <v>7143</v>
      </c>
      <c r="BE157" s="2" t="s">
        <v>7143</v>
      </c>
      <c r="BL157" s="2" t="s">
        <v>7152</v>
      </c>
      <c r="BM157" s="2" t="s">
        <v>7153</v>
      </c>
      <c r="BN157" s="2" t="s">
        <v>7154</v>
      </c>
      <c r="BO157" s="2" t="s">
        <v>7155</v>
      </c>
      <c r="BQ157" s="2" t="s">
        <v>7156</v>
      </c>
      <c r="BS157" s="2" t="s">
        <v>7142</v>
      </c>
      <c r="BT157" s="2" t="s">
        <v>7768</v>
      </c>
      <c r="BV157" s="2" t="s">
        <v>7184</v>
      </c>
      <c r="BX157" s="2" t="s">
        <v>7143</v>
      </c>
      <c r="BY157" s="2" t="s">
        <v>1302</v>
      </c>
      <c r="BZ157" s="2" t="s">
        <v>7173</v>
      </c>
      <c r="CE157" s="7">
        <v>12</v>
      </c>
      <c r="CF157" s="2">
        <v>1200</v>
      </c>
      <c r="CH157" s="2">
        <v>0</v>
      </c>
      <c r="CI157" s="2">
        <v>0</v>
      </c>
      <c r="CJ157" s="2">
        <v>0</v>
      </c>
      <c r="CK157" s="2">
        <v>30</v>
      </c>
      <c r="CL157" s="2">
        <v>0</v>
      </c>
      <c r="CM157" s="2">
        <v>70</v>
      </c>
      <c r="CO157" s="2">
        <v>100</v>
      </c>
      <c r="CP157" s="2">
        <v>0</v>
      </c>
      <c r="CQ157" s="2">
        <v>0</v>
      </c>
      <c r="CR157" s="2" t="s">
        <v>7160</v>
      </c>
      <c r="CT157" s="2" t="s">
        <v>7143</v>
      </c>
      <c r="CU157" s="2" t="s">
        <v>7234</v>
      </c>
      <c r="CW157" s="2" t="s">
        <v>7162</v>
      </c>
      <c r="CY157" s="2" t="s">
        <v>7163</v>
      </c>
      <c r="CZ157" s="2" t="s">
        <v>7163</v>
      </c>
      <c r="DA157" s="2" t="s">
        <v>7250</v>
      </c>
      <c r="DB157" s="2" t="s">
        <v>7250</v>
      </c>
      <c r="DC157" s="2" t="s">
        <v>7250</v>
      </c>
      <c r="DD157" s="2" t="s">
        <v>7321</v>
      </c>
      <c r="DE157" s="2" t="s">
        <v>7250</v>
      </c>
      <c r="DF157" s="2" t="s">
        <v>7163</v>
      </c>
      <c r="DG157" s="2" t="s">
        <v>7163</v>
      </c>
      <c r="DH157" s="2" t="s">
        <v>7250</v>
      </c>
      <c r="DI157" s="2" t="s">
        <v>7250</v>
      </c>
      <c r="DL157" s="2" t="s">
        <v>7142</v>
      </c>
      <c r="DM157" s="2" t="s">
        <v>7142</v>
      </c>
      <c r="DN157" s="2" t="s">
        <v>7142</v>
      </c>
      <c r="DO157" s="2" t="s">
        <v>7142</v>
      </c>
      <c r="DP157" s="2" t="s">
        <v>7165</v>
      </c>
      <c r="DQ157" s="2" t="s">
        <v>7333</v>
      </c>
      <c r="DR157" s="2" t="s">
        <v>1303</v>
      </c>
      <c r="DT157" s="2" t="s">
        <v>7165</v>
      </c>
      <c r="DU157" s="2" t="s">
        <v>7165</v>
      </c>
      <c r="DV157" s="2" t="s">
        <v>7165</v>
      </c>
      <c r="DW157" s="2" t="s">
        <v>7165</v>
      </c>
      <c r="DX157" s="2" t="s">
        <v>7165</v>
      </c>
      <c r="DY157" s="2" t="s">
        <v>7165</v>
      </c>
      <c r="DZ157" s="2" t="s">
        <v>7165</v>
      </c>
      <c r="EA157" s="2" t="s">
        <v>7165</v>
      </c>
      <c r="EB157" s="2" t="s">
        <v>7165</v>
      </c>
      <c r="EC157" s="2" t="s">
        <v>7165</v>
      </c>
      <c r="ED157" s="2" t="s">
        <v>7173</v>
      </c>
      <c r="EE157" s="2" t="s">
        <v>1304</v>
      </c>
      <c r="EF157" s="2" t="s">
        <v>7221</v>
      </c>
      <c r="EG157" s="2" t="s">
        <v>1305</v>
      </c>
      <c r="EJ157" s="2" t="s">
        <v>7193</v>
      </c>
      <c r="EK157" s="2" t="s">
        <v>7143</v>
      </c>
      <c r="EL157" s="2" t="s">
        <v>7143</v>
      </c>
      <c r="EN157" s="2" t="s">
        <v>7170</v>
      </c>
      <c r="EP157" s="2" t="s">
        <v>7186</v>
      </c>
      <c r="ER157" s="2" t="s">
        <v>7143</v>
      </c>
      <c r="ET157" s="2" t="s">
        <v>7143</v>
      </c>
      <c r="EV157" s="2" t="s">
        <v>7142</v>
      </c>
      <c r="EW157" s="2" t="s">
        <v>7171</v>
      </c>
      <c r="EX157" s="2" t="s">
        <v>7143</v>
      </c>
      <c r="EZ157" s="2" t="s">
        <v>7143</v>
      </c>
      <c r="FC157" s="2" t="s">
        <v>7218</v>
      </c>
      <c r="FD157" s="2" t="s">
        <v>7143</v>
      </c>
      <c r="FH157" s="2" t="s">
        <v>7173</v>
      </c>
      <c r="FJ157" s="2" t="s">
        <v>7143</v>
      </c>
      <c r="FK157" s="2" t="s">
        <v>7173</v>
      </c>
      <c r="FN157" s="2" t="s">
        <v>7253</v>
      </c>
      <c r="FR157" s="2" t="s">
        <v>433</v>
      </c>
      <c r="FT157" s="2" t="s">
        <v>7176</v>
      </c>
      <c r="FU157" s="2" t="s">
        <v>7176</v>
      </c>
      <c r="FV157" s="2" t="s">
        <v>7176</v>
      </c>
      <c r="FW157" s="2" t="s">
        <v>7176</v>
      </c>
      <c r="FX157" s="2" t="s">
        <v>7345</v>
      </c>
      <c r="FZ157" s="19" t="s">
        <v>7769</v>
      </c>
    </row>
    <row r="158" spans="1:182">
      <c r="A158" s="7" t="s">
        <v>1306</v>
      </c>
      <c r="D158" s="7" t="s">
        <v>7770</v>
      </c>
      <c r="E158" s="7" t="s">
        <v>177</v>
      </c>
      <c r="F158" s="7" t="s">
        <v>7245</v>
      </c>
      <c r="G158" s="7" t="s">
        <v>7717</v>
      </c>
      <c r="H158" s="7" t="s">
        <v>1263</v>
      </c>
      <c r="I158" s="7" t="s">
        <v>1307</v>
      </c>
      <c r="J158" s="16" t="s">
        <v>7771</v>
      </c>
      <c r="K158" s="7" t="s">
        <v>1307</v>
      </c>
      <c r="L158" s="7" t="s">
        <v>7137</v>
      </c>
      <c r="M158" s="7" t="s">
        <v>7179</v>
      </c>
      <c r="N158" s="7">
        <v>1962</v>
      </c>
      <c r="O158" s="7" t="s">
        <v>7180</v>
      </c>
      <c r="P158" s="7" t="s">
        <v>7140</v>
      </c>
      <c r="Q158" s="7" t="s">
        <v>7141</v>
      </c>
      <c r="R158" s="7" t="s">
        <v>7143</v>
      </c>
      <c r="S158" s="7">
        <v>1995</v>
      </c>
      <c r="T158" s="7" t="s">
        <v>7143</v>
      </c>
      <c r="U158" s="7" t="s">
        <v>7143</v>
      </c>
      <c r="Y158" s="2">
        <v>430</v>
      </c>
      <c r="Z158" s="17">
        <v>1</v>
      </c>
      <c r="AA158" s="2">
        <v>430</v>
      </c>
      <c r="AB158" s="2">
        <v>300</v>
      </c>
      <c r="AC158" s="7">
        <v>150</v>
      </c>
      <c r="AD158" s="2">
        <v>180</v>
      </c>
      <c r="AE158" s="2">
        <v>30</v>
      </c>
      <c r="AF158" s="2" t="s">
        <v>7143</v>
      </c>
      <c r="AG158" s="7" t="s">
        <v>187</v>
      </c>
      <c r="AH158" s="7" t="s">
        <v>7142</v>
      </c>
      <c r="AI158" s="7" t="s">
        <v>346</v>
      </c>
      <c r="AJ158" s="2" t="s">
        <v>7143</v>
      </c>
      <c r="AK158" s="2" t="s">
        <v>7142</v>
      </c>
      <c r="AL158" s="2" t="s">
        <v>7143</v>
      </c>
      <c r="AM158" s="2" t="s">
        <v>7142</v>
      </c>
      <c r="AN158" s="2" t="s">
        <v>7143</v>
      </c>
      <c r="AO158" s="2" t="s">
        <v>7143</v>
      </c>
      <c r="AR158" s="7">
        <v>0.5</v>
      </c>
      <c r="AS158" s="7">
        <v>1</v>
      </c>
      <c r="AT158" s="7">
        <v>2.2999999999999998</v>
      </c>
      <c r="AU158" s="2" t="s">
        <v>7144</v>
      </c>
      <c r="AV158" s="2" t="s">
        <v>7144</v>
      </c>
      <c r="AW158" s="2" t="s">
        <v>7143</v>
      </c>
      <c r="AZ158" s="2" t="s">
        <v>7286</v>
      </c>
      <c r="BB158" s="2" t="s">
        <v>7214</v>
      </c>
      <c r="BC158" s="2" t="s">
        <v>7208</v>
      </c>
      <c r="BD158" s="2" t="s">
        <v>7143</v>
      </c>
      <c r="BE158" s="2" t="s">
        <v>7143</v>
      </c>
      <c r="BL158" s="7" t="s">
        <v>7152</v>
      </c>
      <c r="BM158" s="7" t="s">
        <v>7153</v>
      </c>
      <c r="BN158" s="7" t="s">
        <v>7154</v>
      </c>
      <c r="BO158" s="7" t="s">
        <v>7155</v>
      </c>
      <c r="BQ158" s="2" t="s">
        <v>7256</v>
      </c>
      <c r="BS158" s="7" t="s">
        <v>7142</v>
      </c>
      <c r="BT158" s="2" t="s">
        <v>7215</v>
      </c>
      <c r="BV158" s="2" t="s">
        <v>7772</v>
      </c>
      <c r="BX158" s="2" t="s">
        <v>7143</v>
      </c>
      <c r="BY158" s="2" t="s">
        <v>1309</v>
      </c>
      <c r="BZ158" s="2" t="s">
        <v>7159</v>
      </c>
      <c r="CE158" s="7">
        <v>2.2999999999999998</v>
      </c>
      <c r="CF158" s="2">
        <v>227</v>
      </c>
      <c r="CK158" s="2">
        <v>100</v>
      </c>
      <c r="CO158" s="2">
        <v>100</v>
      </c>
      <c r="CR158" s="7" t="s">
        <v>7160</v>
      </c>
      <c r="CT158" s="7" t="s">
        <v>7143</v>
      </c>
      <c r="CU158" s="7" t="s">
        <v>7161</v>
      </c>
      <c r="CW158" s="7" t="s">
        <v>7162</v>
      </c>
      <c r="CY158" s="7" t="s">
        <v>7163</v>
      </c>
      <c r="CZ158" s="7" t="s">
        <v>7163</v>
      </c>
      <c r="DA158" s="7" t="s">
        <v>7163</v>
      </c>
      <c r="DB158" s="7" t="s">
        <v>7227</v>
      </c>
      <c r="DC158" s="7" t="s">
        <v>7250</v>
      </c>
      <c r="DD158" s="2" t="s">
        <v>7251</v>
      </c>
      <c r="DE158" s="2" t="s">
        <v>7164</v>
      </c>
      <c r="DF158" s="2" t="s">
        <v>7163</v>
      </c>
      <c r="DG158" s="2" t="s">
        <v>7163</v>
      </c>
      <c r="DH158" s="2" t="s">
        <v>7164</v>
      </c>
      <c r="DI158" s="2" t="s">
        <v>7164</v>
      </c>
      <c r="DL158" s="7" t="s">
        <v>7142</v>
      </c>
      <c r="DM158" s="7" t="s">
        <v>7142</v>
      </c>
      <c r="DN158" s="7" t="s">
        <v>7142</v>
      </c>
      <c r="DO158" s="7" t="s">
        <v>7142</v>
      </c>
      <c r="DP158" s="7" t="s">
        <v>7165</v>
      </c>
      <c r="DQ158" s="7" t="s">
        <v>7166</v>
      </c>
      <c r="DS158" s="7" t="s">
        <v>7165</v>
      </c>
      <c r="DT158" s="7" t="s">
        <v>7165</v>
      </c>
      <c r="DU158" s="7" t="s">
        <v>7165</v>
      </c>
      <c r="DV158" s="7" t="s">
        <v>7165</v>
      </c>
      <c r="DW158" s="7" t="s">
        <v>7165</v>
      </c>
      <c r="DX158" s="7" t="s">
        <v>7165</v>
      </c>
      <c r="DY158" s="7" t="s">
        <v>7165</v>
      </c>
      <c r="DZ158" s="7" t="s">
        <v>7159</v>
      </c>
      <c r="EA158" s="7" t="s">
        <v>7165</v>
      </c>
      <c r="EB158" s="7" t="s">
        <v>7165</v>
      </c>
      <c r="EC158" s="7" t="s">
        <v>7159</v>
      </c>
      <c r="ED158" s="7"/>
      <c r="EE158" s="7"/>
      <c r="EF158" s="7" t="s">
        <v>7167</v>
      </c>
      <c r="EJ158" s="7" t="s">
        <v>7144</v>
      </c>
      <c r="EK158" s="7" t="s">
        <v>7142</v>
      </c>
      <c r="EL158" s="7" t="s">
        <v>7143</v>
      </c>
      <c r="EN158" s="7" t="s">
        <v>7170</v>
      </c>
      <c r="EP158" s="7" t="s">
        <v>7186</v>
      </c>
      <c r="ER158" s="2" t="s">
        <v>7142</v>
      </c>
      <c r="ET158" s="2" t="s">
        <v>7143</v>
      </c>
      <c r="EV158" s="2" t="s">
        <v>7142</v>
      </c>
      <c r="EX158" s="2" t="s">
        <v>7142</v>
      </c>
      <c r="EY158" s="2" t="s">
        <v>7204</v>
      </c>
      <c r="FC158" s="2" t="s">
        <v>7172</v>
      </c>
      <c r="FD158" s="2" t="s">
        <v>7143</v>
      </c>
      <c r="FH158" s="7" t="s">
        <v>7173</v>
      </c>
      <c r="FJ158" s="7" t="s">
        <v>7142</v>
      </c>
      <c r="FK158" s="2" t="s">
        <v>7165</v>
      </c>
      <c r="FL158" s="2" t="s">
        <v>7260</v>
      </c>
      <c r="FN158" s="2" t="s">
        <v>7253</v>
      </c>
      <c r="FT158" s="2" t="s">
        <v>7176</v>
      </c>
      <c r="FU158" s="2" t="s">
        <v>7189</v>
      </c>
      <c r="FV158" s="2" t="s">
        <v>7189</v>
      </c>
      <c r="FW158" s="2" t="s">
        <v>7189</v>
      </c>
      <c r="FZ158" s="19" t="s">
        <v>7773</v>
      </c>
    </row>
    <row r="159" spans="1:182">
      <c r="A159" s="7" t="s">
        <v>1310</v>
      </c>
      <c r="D159" s="7" t="s">
        <v>7774</v>
      </c>
      <c r="E159" s="7" t="s">
        <v>1311</v>
      </c>
      <c r="F159" s="7" t="s">
        <v>7339</v>
      </c>
      <c r="G159" s="7" t="s">
        <v>7717</v>
      </c>
      <c r="H159" s="7" t="s">
        <v>1212</v>
      </c>
      <c r="I159" s="7" t="s">
        <v>1312</v>
      </c>
      <c r="J159" s="16" t="s">
        <v>7775</v>
      </c>
      <c r="K159" s="7" t="s">
        <v>1312</v>
      </c>
      <c r="L159" s="2" t="s">
        <v>7137</v>
      </c>
      <c r="M159" s="7" t="s">
        <v>7138</v>
      </c>
      <c r="N159" s="7">
        <v>1987</v>
      </c>
      <c r="O159" s="7" t="s">
        <v>7139</v>
      </c>
      <c r="P159" s="2" t="s">
        <v>7140</v>
      </c>
      <c r="Q159" s="2" t="s">
        <v>7141</v>
      </c>
      <c r="R159" s="2" t="s">
        <v>7143</v>
      </c>
      <c r="S159" s="2">
        <v>18</v>
      </c>
      <c r="T159" s="2" t="s">
        <v>7143</v>
      </c>
      <c r="U159" s="2" t="s">
        <v>7143</v>
      </c>
      <c r="Y159" s="2">
        <v>648</v>
      </c>
      <c r="Z159" s="17">
        <v>1</v>
      </c>
      <c r="AA159" s="2">
        <v>648</v>
      </c>
      <c r="AB159" s="2">
        <v>588</v>
      </c>
      <c r="AC159" s="7">
        <v>538</v>
      </c>
      <c r="AD159" s="2">
        <v>738</v>
      </c>
      <c r="AE159" s="2">
        <v>200</v>
      </c>
      <c r="AF159" s="2" t="s">
        <v>7142</v>
      </c>
      <c r="AG159" s="2" t="s">
        <v>7143</v>
      </c>
      <c r="AH159" s="2" t="s">
        <v>7143</v>
      </c>
      <c r="AJ159" s="2" t="s">
        <v>7143</v>
      </c>
      <c r="AK159" s="2" t="s">
        <v>7142</v>
      </c>
      <c r="AL159" s="2" t="s">
        <v>7143</v>
      </c>
      <c r="AM159" s="2" t="s">
        <v>7143</v>
      </c>
      <c r="AN159" s="2" t="s">
        <v>7143</v>
      </c>
      <c r="AO159" s="2" t="s">
        <v>7143</v>
      </c>
      <c r="AR159" s="7">
        <v>3</v>
      </c>
      <c r="AS159" s="7">
        <v>3</v>
      </c>
      <c r="AT159" s="7">
        <v>7.5</v>
      </c>
      <c r="AU159" s="2" t="s">
        <v>7193</v>
      </c>
      <c r="AV159" s="2" t="s">
        <v>7193</v>
      </c>
      <c r="AW159" s="2" t="s">
        <v>7143</v>
      </c>
      <c r="AZ159" s="2" t="s">
        <v>7145</v>
      </c>
      <c r="BB159" s="2" t="s">
        <v>7214</v>
      </c>
      <c r="BC159" s="2" t="s">
        <v>7247</v>
      </c>
      <c r="BD159" s="2" t="s">
        <v>7142</v>
      </c>
      <c r="BE159" s="2" t="s">
        <v>7142</v>
      </c>
      <c r="BF159" s="2" t="s">
        <v>7148</v>
      </c>
      <c r="BG159" s="2" t="s">
        <v>7149</v>
      </c>
      <c r="BH159" s="2" t="s">
        <v>7233</v>
      </c>
      <c r="BI159" s="2" t="s">
        <v>7151</v>
      </c>
      <c r="BL159" s="2" t="s">
        <v>7152</v>
      </c>
      <c r="BM159" s="2" t="s">
        <v>7355</v>
      </c>
      <c r="BN159" s="2" t="s">
        <v>7154</v>
      </c>
      <c r="BO159" s="2" t="s">
        <v>7155</v>
      </c>
      <c r="BQ159" s="2" t="s">
        <v>7183</v>
      </c>
      <c r="BS159" s="2" t="s">
        <v>7142</v>
      </c>
      <c r="BT159" s="2" t="s">
        <v>7400</v>
      </c>
      <c r="BV159" s="2" t="s">
        <v>7758</v>
      </c>
      <c r="BX159" s="2" t="s">
        <v>7142</v>
      </c>
      <c r="BY159" s="2" t="s">
        <v>1257</v>
      </c>
      <c r="BZ159" s="2" t="s">
        <v>7173</v>
      </c>
      <c r="CE159" s="7">
        <v>7.5</v>
      </c>
      <c r="CF159" s="2">
        <v>738</v>
      </c>
      <c r="CM159" s="2">
        <v>100</v>
      </c>
      <c r="CO159" s="2">
        <v>100</v>
      </c>
      <c r="CR159" s="2" t="s">
        <v>7357</v>
      </c>
      <c r="CT159" s="2" t="s">
        <v>7143</v>
      </c>
      <c r="CU159" s="2" t="s">
        <v>7161</v>
      </c>
      <c r="CW159" s="2" t="s">
        <v>7162</v>
      </c>
      <c r="CY159" s="2" t="s">
        <v>7358</v>
      </c>
      <c r="CZ159" s="2" t="s">
        <v>7358</v>
      </c>
      <c r="DA159" s="2" t="s">
        <v>7358</v>
      </c>
      <c r="DB159" s="2" t="s">
        <v>7250</v>
      </c>
      <c r="DC159" s="2" t="s">
        <v>7582</v>
      </c>
      <c r="DD159" s="2" t="s">
        <v>7582</v>
      </c>
      <c r="DE159" s="2" t="s">
        <v>7250</v>
      </c>
      <c r="DF159" s="2" t="s">
        <v>7250</v>
      </c>
      <c r="DG159" s="2" t="s">
        <v>7358</v>
      </c>
      <c r="DH159" s="2" t="s">
        <v>7358</v>
      </c>
      <c r="DI159" s="2" t="s">
        <v>7582</v>
      </c>
      <c r="DL159" s="2" t="s">
        <v>7142</v>
      </c>
      <c r="DM159" s="2" t="s">
        <v>7142</v>
      </c>
      <c r="DN159" s="2" t="s">
        <v>7142</v>
      </c>
      <c r="DO159" s="2" t="s">
        <v>7142</v>
      </c>
      <c r="DP159" s="2" t="s">
        <v>7165</v>
      </c>
      <c r="DQ159" s="2" t="s">
        <v>7333</v>
      </c>
      <c r="DR159" s="2" t="s">
        <v>1313</v>
      </c>
      <c r="DT159" s="2" t="s">
        <v>7165</v>
      </c>
      <c r="DU159" s="2" t="s">
        <v>7165</v>
      </c>
      <c r="DV159" s="2" t="s">
        <v>7159</v>
      </c>
      <c r="DW159" s="2" t="s">
        <v>7165</v>
      </c>
      <c r="DX159" s="2" t="s">
        <v>7165</v>
      </c>
      <c r="DY159" s="2" t="s">
        <v>7165</v>
      </c>
      <c r="DZ159" s="2" t="s">
        <v>7159</v>
      </c>
      <c r="EA159" s="2" t="s">
        <v>7159</v>
      </c>
      <c r="EB159" s="2" t="s">
        <v>7165</v>
      </c>
      <c r="EC159" s="2" t="s">
        <v>7159</v>
      </c>
      <c r="ED159" s="2" t="s">
        <v>7159</v>
      </c>
      <c r="EF159" s="2" t="s">
        <v>7221</v>
      </c>
      <c r="EG159" s="2" t="s">
        <v>1314</v>
      </c>
      <c r="EJ159" s="2" t="s">
        <v>7193</v>
      </c>
      <c r="EK159" s="2" t="s">
        <v>7142</v>
      </c>
      <c r="EL159" s="2" t="s">
        <v>7143</v>
      </c>
      <c r="EN159" s="2" t="s">
        <v>7170</v>
      </c>
      <c r="EP159" s="2" t="s">
        <v>7776</v>
      </c>
      <c r="ER159" s="2" t="s">
        <v>7142</v>
      </c>
      <c r="ET159" s="2" t="s">
        <v>7143</v>
      </c>
      <c r="EV159" s="2" t="s">
        <v>7142</v>
      </c>
      <c r="EW159" s="2" t="s">
        <v>7171</v>
      </c>
      <c r="EX159" s="2" t="s">
        <v>7143</v>
      </c>
      <c r="EZ159" s="2" t="s">
        <v>7143</v>
      </c>
      <c r="FC159" s="2" t="s">
        <v>7309</v>
      </c>
      <c r="FD159" s="2" t="s">
        <v>7143</v>
      </c>
      <c r="FH159" s="2" t="s">
        <v>7173</v>
      </c>
      <c r="FJ159" s="2" t="s">
        <v>7143</v>
      </c>
      <c r="FK159" s="2" t="s">
        <v>7173</v>
      </c>
      <c r="FN159" s="2" t="s">
        <v>7344</v>
      </c>
      <c r="FR159" s="2" t="s">
        <v>1316</v>
      </c>
      <c r="FT159" s="2" t="s">
        <v>7189</v>
      </c>
      <c r="FU159" s="2" t="s">
        <v>7189</v>
      </c>
      <c r="FV159" s="2" t="s">
        <v>7189</v>
      </c>
      <c r="FW159" s="2" t="s">
        <v>7189</v>
      </c>
      <c r="FZ159" s="19" t="s">
        <v>7777</v>
      </c>
    </row>
    <row r="160" spans="1:182">
      <c r="A160" s="7" t="s">
        <v>1317</v>
      </c>
      <c r="D160" s="7" t="s">
        <v>7778</v>
      </c>
      <c r="E160" s="7" t="s">
        <v>1318</v>
      </c>
      <c r="F160" s="7" t="s">
        <v>7389</v>
      </c>
      <c r="G160" s="7" t="s">
        <v>7717</v>
      </c>
      <c r="H160" s="7" t="s">
        <v>1212</v>
      </c>
      <c r="I160" s="7" t="s">
        <v>1319</v>
      </c>
      <c r="J160" s="16" t="s">
        <v>7779</v>
      </c>
      <c r="K160" s="7" t="s">
        <v>1320</v>
      </c>
      <c r="L160" s="2" t="s">
        <v>7137</v>
      </c>
      <c r="M160" s="7" t="s">
        <v>7179</v>
      </c>
      <c r="N160" s="7">
        <v>2002</v>
      </c>
      <c r="O160" s="7" t="s">
        <v>7139</v>
      </c>
      <c r="P160" s="7" t="s">
        <v>7181</v>
      </c>
      <c r="Q160" s="2" t="s">
        <v>7141</v>
      </c>
      <c r="R160" s="2" t="s">
        <v>7143</v>
      </c>
      <c r="S160" s="2">
        <v>5</v>
      </c>
      <c r="T160" s="2" t="s">
        <v>7142</v>
      </c>
      <c r="U160" s="2" t="s">
        <v>7142</v>
      </c>
      <c r="Y160" s="2">
        <v>65</v>
      </c>
      <c r="Z160" s="17">
        <v>1</v>
      </c>
      <c r="AA160" s="2">
        <v>65</v>
      </c>
      <c r="AB160" s="2">
        <v>65</v>
      </c>
      <c r="AC160" s="7">
        <v>65</v>
      </c>
      <c r="AD160" s="2">
        <v>85</v>
      </c>
      <c r="AE160" s="2">
        <v>20</v>
      </c>
      <c r="AF160" s="2" t="s">
        <v>7143</v>
      </c>
      <c r="AG160" s="2" t="s">
        <v>7143</v>
      </c>
      <c r="AH160" s="2" t="s">
        <v>7143</v>
      </c>
      <c r="AJ160" s="2" t="s">
        <v>7143</v>
      </c>
      <c r="AK160" s="2" t="s">
        <v>7143</v>
      </c>
      <c r="AL160" s="2" t="s">
        <v>7143</v>
      </c>
      <c r="AM160" s="2" t="s">
        <v>7143</v>
      </c>
      <c r="AN160" s="2" t="s">
        <v>7143</v>
      </c>
      <c r="AO160" s="2" t="s">
        <v>7143</v>
      </c>
      <c r="AR160" s="7">
        <v>1</v>
      </c>
      <c r="AS160" s="7">
        <v>3</v>
      </c>
      <c r="AT160" s="7">
        <v>0.7</v>
      </c>
      <c r="AU160" s="2" t="s">
        <v>7217</v>
      </c>
      <c r="AV160" s="2" t="s">
        <v>7193</v>
      </c>
      <c r="AW160" s="2" t="s">
        <v>7143</v>
      </c>
      <c r="AZ160" s="2" t="s">
        <v>7145</v>
      </c>
      <c r="BB160" s="2" t="s">
        <v>7214</v>
      </c>
      <c r="BC160" s="2" t="s">
        <v>7147</v>
      </c>
      <c r="BD160" s="2" t="s">
        <v>7143</v>
      </c>
      <c r="BE160" s="2" t="s">
        <v>7143</v>
      </c>
      <c r="BL160" s="2" t="s">
        <v>7152</v>
      </c>
      <c r="BM160" s="2" t="s">
        <v>7355</v>
      </c>
      <c r="BN160" s="2" t="s">
        <v>7154</v>
      </c>
      <c r="BO160" s="2" t="s">
        <v>7274</v>
      </c>
      <c r="BP160" s="2" t="s">
        <v>7275</v>
      </c>
      <c r="BS160" s="2" t="s">
        <v>7143</v>
      </c>
      <c r="BT160" s="2" t="s">
        <v>7315</v>
      </c>
      <c r="BV160" s="2" t="s">
        <v>7184</v>
      </c>
      <c r="BX160" s="2" t="s">
        <v>7143</v>
      </c>
      <c r="BZ160" s="2" t="s">
        <v>7173</v>
      </c>
      <c r="CE160" s="7">
        <v>0.7</v>
      </c>
      <c r="CF160" s="2">
        <v>85</v>
      </c>
      <c r="CK160" s="2">
        <v>100</v>
      </c>
      <c r="CO160" s="2">
        <v>100</v>
      </c>
      <c r="CR160" s="2" t="s">
        <v>7160</v>
      </c>
      <c r="CT160" s="2" t="s">
        <v>7143</v>
      </c>
      <c r="CU160" s="2" t="s">
        <v>7454</v>
      </c>
      <c r="CW160" s="2" t="s">
        <v>7162</v>
      </c>
      <c r="CY160" s="2" t="s">
        <v>7164</v>
      </c>
      <c r="CZ160" s="2" t="s">
        <v>7164</v>
      </c>
      <c r="DA160" s="2" t="s">
        <v>7164</v>
      </c>
      <c r="DB160" s="2" t="s">
        <v>7164</v>
      </c>
      <c r="DC160" s="2" t="s">
        <v>7164</v>
      </c>
      <c r="DD160" s="2" t="s">
        <v>7164</v>
      </c>
      <c r="DE160" s="2" t="s">
        <v>7164</v>
      </c>
      <c r="DF160" s="2" t="s">
        <v>7164</v>
      </c>
      <c r="DG160" s="2" t="s">
        <v>7164</v>
      </c>
      <c r="DH160" s="2" t="s">
        <v>7164</v>
      </c>
      <c r="DI160" s="2" t="s">
        <v>7164</v>
      </c>
      <c r="DL160" s="2" t="s">
        <v>7143</v>
      </c>
      <c r="DM160" s="2" t="s">
        <v>7143</v>
      </c>
      <c r="DP160" s="2" t="s">
        <v>7173</v>
      </c>
      <c r="DT160" s="2" t="s">
        <v>7159</v>
      </c>
      <c r="DU160" s="2" t="s">
        <v>7159</v>
      </c>
      <c r="DV160" s="2" t="s">
        <v>7159</v>
      </c>
      <c r="DW160" s="2" t="s">
        <v>7159</v>
      </c>
      <c r="DX160" s="2" t="s">
        <v>7159</v>
      </c>
      <c r="DY160" s="2" t="s">
        <v>7159</v>
      </c>
      <c r="DZ160" s="2" t="s">
        <v>7159</v>
      </c>
      <c r="EA160" s="2" t="s">
        <v>7159</v>
      </c>
      <c r="EB160" s="2" t="s">
        <v>7159</v>
      </c>
      <c r="EC160" s="2" t="s">
        <v>7159</v>
      </c>
      <c r="EF160" s="2" t="s">
        <v>7221</v>
      </c>
      <c r="EG160" s="2" t="s">
        <v>1087</v>
      </c>
      <c r="EJ160" s="2" t="s">
        <v>7217</v>
      </c>
      <c r="EK160" s="2" t="s">
        <v>7143</v>
      </c>
      <c r="EL160" s="2" t="s">
        <v>7143</v>
      </c>
      <c r="EN160" s="2" t="s">
        <v>7210</v>
      </c>
      <c r="EP160" s="2" t="s">
        <v>7186</v>
      </c>
      <c r="ER160" s="2" t="s">
        <v>7143</v>
      </c>
      <c r="ET160" s="2" t="s">
        <v>7143</v>
      </c>
      <c r="EV160" s="2" t="s">
        <v>7143</v>
      </c>
      <c r="EX160" s="2" t="s">
        <v>7143</v>
      </c>
      <c r="EZ160" s="2" t="s">
        <v>7143</v>
      </c>
      <c r="FC160" s="2" t="s">
        <v>7218</v>
      </c>
      <c r="FD160" s="2" t="s">
        <v>7143</v>
      </c>
      <c r="FH160" s="2" t="s">
        <v>7173</v>
      </c>
      <c r="FJ160" s="2" t="s">
        <v>7143</v>
      </c>
      <c r="FK160" s="2" t="s">
        <v>7173</v>
      </c>
      <c r="FN160" s="2" t="s">
        <v>7235</v>
      </c>
      <c r="FR160" s="2" t="s">
        <v>1321</v>
      </c>
      <c r="FT160" s="2" t="s">
        <v>7189</v>
      </c>
      <c r="FU160" s="2" t="s">
        <v>7189</v>
      </c>
      <c r="FV160" s="2" t="s">
        <v>7189</v>
      </c>
      <c r="FW160" s="2" t="s">
        <v>7189</v>
      </c>
      <c r="FZ160" s="19" t="s">
        <v>7780</v>
      </c>
    </row>
    <row r="161" spans="1:182">
      <c r="A161" s="7" t="s">
        <v>1322</v>
      </c>
      <c r="D161" s="7" t="s">
        <v>7781</v>
      </c>
      <c r="E161" s="7" t="s">
        <v>1323</v>
      </c>
      <c r="F161" s="7" t="s">
        <v>7311</v>
      </c>
      <c r="G161" s="7" t="s">
        <v>7717</v>
      </c>
      <c r="H161" s="7" t="s">
        <v>1263</v>
      </c>
      <c r="I161" s="7" t="s">
        <v>1324</v>
      </c>
      <c r="J161" s="16" t="s">
        <v>7782</v>
      </c>
      <c r="K161" s="7" t="s">
        <v>1324</v>
      </c>
      <c r="L161" s="2" t="s">
        <v>7137</v>
      </c>
      <c r="M161" s="7" t="s">
        <v>7138</v>
      </c>
      <c r="N161" s="7">
        <v>1978</v>
      </c>
      <c r="O161" s="7" t="s">
        <v>7180</v>
      </c>
      <c r="P161" s="7" t="s">
        <v>7140</v>
      </c>
      <c r="Q161" s="2" t="s">
        <v>7141</v>
      </c>
      <c r="R161" s="7" t="s">
        <v>7143</v>
      </c>
      <c r="S161" s="2">
        <v>25</v>
      </c>
      <c r="T161" s="2" t="s">
        <v>7143</v>
      </c>
      <c r="U161" s="2" t="s">
        <v>7143</v>
      </c>
      <c r="Y161" s="2">
        <v>1980</v>
      </c>
      <c r="Z161" s="17">
        <v>0.90910000000000002</v>
      </c>
      <c r="AA161" s="2">
        <v>1800</v>
      </c>
      <c r="AB161" s="2">
        <v>1800</v>
      </c>
      <c r="AC161" s="7">
        <v>1800</v>
      </c>
      <c r="AD161" s="2">
        <v>2000</v>
      </c>
      <c r="AE161" s="2">
        <v>200</v>
      </c>
      <c r="AF161" s="2" t="s">
        <v>7143</v>
      </c>
      <c r="AG161" s="2" t="s">
        <v>7143</v>
      </c>
      <c r="AH161" s="2" t="s">
        <v>7143</v>
      </c>
      <c r="AJ161" s="2" t="s">
        <v>7143</v>
      </c>
      <c r="AK161" s="2" t="s">
        <v>7142</v>
      </c>
      <c r="AL161" s="2" t="s">
        <v>7142</v>
      </c>
      <c r="AM161" s="2" t="s">
        <v>7143</v>
      </c>
      <c r="AN161" s="2" t="s">
        <v>7143</v>
      </c>
      <c r="AO161" s="2" t="s">
        <v>7143</v>
      </c>
      <c r="AR161" s="7">
        <v>3.9</v>
      </c>
      <c r="AS161" s="7">
        <v>5</v>
      </c>
      <c r="AT161" s="7">
        <v>20</v>
      </c>
      <c r="AU161" s="2" t="s">
        <v>7144</v>
      </c>
      <c r="AV161" s="2" t="s">
        <v>7144</v>
      </c>
      <c r="AW161" s="2" t="s">
        <v>7143</v>
      </c>
      <c r="AZ161" s="2" t="s">
        <v>7145</v>
      </c>
      <c r="BB161" s="2" t="s">
        <v>7214</v>
      </c>
      <c r="BC161" s="2" t="s">
        <v>7247</v>
      </c>
      <c r="BD161" s="2" t="s">
        <v>7142</v>
      </c>
      <c r="BE161" s="2" t="s">
        <v>7142</v>
      </c>
      <c r="BF161" s="2" t="s">
        <v>7148</v>
      </c>
      <c r="BG161" s="2" t="s">
        <v>7149</v>
      </c>
      <c r="BH161" s="2" t="s">
        <v>7233</v>
      </c>
      <c r="BI161" s="2" t="s">
        <v>7151</v>
      </c>
      <c r="BL161" s="2" t="s">
        <v>7152</v>
      </c>
      <c r="BM161" s="2" t="s">
        <v>7153</v>
      </c>
      <c r="BN161" s="2" t="s">
        <v>7154</v>
      </c>
      <c r="BO161" s="2" t="s">
        <v>7155</v>
      </c>
      <c r="BQ161" s="2" t="s">
        <v>7156</v>
      </c>
      <c r="BS161" s="2" t="s">
        <v>7142</v>
      </c>
      <c r="BT161" s="2" t="s">
        <v>7783</v>
      </c>
      <c r="BV161" s="2" t="s">
        <v>7379</v>
      </c>
      <c r="BX161" s="2" t="s">
        <v>7143</v>
      </c>
      <c r="BY161" s="2" t="s">
        <v>1326</v>
      </c>
      <c r="BZ161" s="2" t="s">
        <v>7159</v>
      </c>
      <c r="CE161" s="7">
        <v>20</v>
      </c>
      <c r="CF161" s="2">
        <v>2000</v>
      </c>
      <c r="CM161" s="2">
        <v>100</v>
      </c>
      <c r="CP161" s="2">
        <v>100</v>
      </c>
      <c r="CR161" s="2" t="s">
        <v>7160</v>
      </c>
      <c r="CT161" s="2" t="s">
        <v>7143</v>
      </c>
      <c r="CU161" s="2" t="s">
        <v>7161</v>
      </c>
      <c r="CW161" s="2" t="s">
        <v>7162</v>
      </c>
      <c r="CY161" s="2" t="s">
        <v>7163</v>
      </c>
      <c r="CZ161" s="2" t="s">
        <v>7163</v>
      </c>
      <c r="DA161" s="2" t="s">
        <v>7163</v>
      </c>
      <c r="DB161" s="2" t="s">
        <v>7163</v>
      </c>
      <c r="DC161" s="2" t="s">
        <v>7163</v>
      </c>
      <c r="DD161" s="2" t="s">
        <v>7163</v>
      </c>
      <c r="DE161" s="2" t="s">
        <v>7163</v>
      </c>
      <c r="DF161" s="2" t="s">
        <v>7163</v>
      </c>
      <c r="DG161" s="2" t="s">
        <v>7163</v>
      </c>
      <c r="DH161" s="2" t="s">
        <v>7163</v>
      </c>
      <c r="DI161" s="2" t="s">
        <v>7163</v>
      </c>
      <c r="DL161" s="2" t="s">
        <v>7142</v>
      </c>
      <c r="DM161" s="2" t="s">
        <v>7142</v>
      </c>
      <c r="DN161" s="2" t="s">
        <v>7142</v>
      </c>
      <c r="DO161" s="2" t="s">
        <v>7142</v>
      </c>
      <c r="DP161" s="2" t="s">
        <v>7165</v>
      </c>
      <c r="DQ161" s="2" t="s">
        <v>7333</v>
      </c>
      <c r="DR161" s="2" t="s">
        <v>1327</v>
      </c>
      <c r="DT161" s="2" t="s">
        <v>7165</v>
      </c>
      <c r="DU161" s="2" t="s">
        <v>7165</v>
      </c>
      <c r="DV161" s="2" t="s">
        <v>7165</v>
      </c>
      <c r="DW161" s="2" t="s">
        <v>7165</v>
      </c>
      <c r="DX161" s="2" t="s">
        <v>7165</v>
      </c>
      <c r="DY161" s="2" t="s">
        <v>7165</v>
      </c>
      <c r="DZ161" s="2" t="s">
        <v>7159</v>
      </c>
      <c r="EA161" s="2" t="s">
        <v>7165</v>
      </c>
      <c r="EB161" s="2" t="s">
        <v>7165</v>
      </c>
      <c r="EC161" s="2" t="s">
        <v>7173</v>
      </c>
      <c r="EF161" s="2" t="s">
        <v>7221</v>
      </c>
      <c r="EG161" s="2" t="s">
        <v>1328</v>
      </c>
      <c r="EJ161" s="2" t="s">
        <v>7144</v>
      </c>
      <c r="EK161" s="2" t="s">
        <v>7142</v>
      </c>
      <c r="EL161" s="2" t="s">
        <v>7142</v>
      </c>
      <c r="EM161" s="2" t="s">
        <v>7170</v>
      </c>
      <c r="EN161" s="2" t="s">
        <v>7170</v>
      </c>
      <c r="EP161" s="2" t="s">
        <v>7186</v>
      </c>
      <c r="ER161" s="2" t="s">
        <v>7142</v>
      </c>
      <c r="ET161" s="2" t="s">
        <v>7143</v>
      </c>
      <c r="EV161" s="2" t="s">
        <v>7142</v>
      </c>
      <c r="EW161" s="2" t="s">
        <v>7204</v>
      </c>
      <c r="EX161" s="2" t="s">
        <v>7142</v>
      </c>
      <c r="EY161" s="2" t="s">
        <v>7204</v>
      </c>
      <c r="EZ161" s="2" t="s">
        <v>7143</v>
      </c>
      <c r="FC161" s="2" t="s">
        <v>7172</v>
      </c>
      <c r="FD161" s="2" t="s">
        <v>7143</v>
      </c>
      <c r="FH161" s="2" t="s">
        <v>7173</v>
      </c>
      <c r="FJ161" s="2" t="s">
        <v>7143</v>
      </c>
      <c r="FK161" s="2" t="s">
        <v>7165</v>
      </c>
      <c r="FL161" s="2" t="s">
        <v>7228</v>
      </c>
      <c r="FN161" s="2" t="s">
        <v>7235</v>
      </c>
      <c r="FR161" s="2" t="s">
        <v>1329</v>
      </c>
      <c r="FT161" s="2" t="s">
        <v>7189</v>
      </c>
      <c r="FU161" s="2" t="s">
        <v>7189</v>
      </c>
      <c r="FV161" s="2" t="s">
        <v>7189</v>
      </c>
      <c r="FW161" s="2" t="s">
        <v>7189</v>
      </c>
      <c r="FX161" s="2" t="s">
        <v>7189</v>
      </c>
      <c r="FY161" s="2" t="s">
        <v>1330</v>
      </c>
      <c r="FZ161" s="19" t="s">
        <v>7784</v>
      </c>
    </row>
    <row r="162" spans="1:182">
      <c r="A162" s="7" t="s">
        <v>1331</v>
      </c>
      <c r="D162" s="7" t="s">
        <v>7785</v>
      </c>
      <c r="E162" s="7" t="s">
        <v>177</v>
      </c>
      <c r="F162" s="7" t="s">
        <v>7245</v>
      </c>
      <c r="G162" s="7" t="s">
        <v>7717</v>
      </c>
      <c r="H162" s="7" t="s">
        <v>1263</v>
      </c>
      <c r="I162" s="7" t="s">
        <v>1332</v>
      </c>
      <c r="J162" s="16" t="s">
        <v>7786</v>
      </c>
      <c r="K162" s="7" t="s">
        <v>1333</v>
      </c>
      <c r="L162" s="7" t="s">
        <v>7281</v>
      </c>
      <c r="M162" s="7" t="s">
        <v>7179</v>
      </c>
      <c r="N162" s="7">
        <v>1967</v>
      </c>
      <c r="O162" s="7" t="s">
        <v>7180</v>
      </c>
      <c r="P162" s="7" t="s">
        <v>7181</v>
      </c>
      <c r="Q162" s="7" t="s">
        <v>7141</v>
      </c>
      <c r="R162" s="7" t="s">
        <v>7143</v>
      </c>
      <c r="S162" s="7">
        <v>2018</v>
      </c>
      <c r="T162" s="7" t="s">
        <v>7143</v>
      </c>
      <c r="U162" s="7" t="s">
        <v>7143</v>
      </c>
      <c r="Y162" s="2">
        <v>745</v>
      </c>
      <c r="Z162" s="17">
        <v>0.93959999999999999</v>
      </c>
      <c r="AA162" s="2">
        <v>700</v>
      </c>
      <c r="AB162" s="2">
        <v>650</v>
      </c>
      <c r="AC162" s="7">
        <v>450</v>
      </c>
      <c r="AD162" s="2">
        <v>500</v>
      </c>
      <c r="AE162" s="2">
        <v>50</v>
      </c>
      <c r="AF162" s="2" t="s">
        <v>7142</v>
      </c>
      <c r="AG162" s="2" t="s">
        <v>7142</v>
      </c>
      <c r="AH162" s="2" t="s">
        <v>7142</v>
      </c>
      <c r="AI162" s="2" t="s">
        <v>1334</v>
      </c>
      <c r="AJ162" s="2" t="s">
        <v>7143</v>
      </c>
      <c r="AK162" s="2" t="s">
        <v>7142</v>
      </c>
      <c r="AL162" s="2" t="s">
        <v>7143</v>
      </c>
      <c r="AM162" s="2" t="s">
        <v>7143</v>
      </c>
      <c r="AN162" s="2" t="s">
        <v>7143</v>
      </c>
      <c r="AO162" s="2" t="s">
        <v>7143</v>
      </c>
      <c r="AR162" s="7">
        <v>1</v>
      </c>
      <c r="AS162" s="7">
        <v>1</v>
      </c>
      <c r="AT162" s="7">
        <v>5</v>
      </c>
      <c r="AU162" s="7" t="s">
        <v>7144</v>
      </c>
      <c r="AV162" s="7" t="s">
        <v>7144</v>
      </c>
      <c r="AW162" s="7" t="s">
        <v>7143</v>
      </c>
      <c r="AZ162" s="7" t="s">
        <v>7376</v>
      </c>
      <c r="BB162" s="7" t="s">
        <v>7214</v>
      </c>
      <c r="BC162" s="7" t="s">
        <v>7247</v>
      </c>
      <c r="BD162" s="7" t="s">
        <v>7142</v>
      </c>
      <c r="BE162" s="7" t="s">
        <v>7142</v>
      </c>
      <c r="BF162" s="7" t="s">
        <v>7148</v>
      </c>
      <c r="BG162" s="7" t="s">
        <v>7232</v>
      </c>
      <c r="BH162" s="7" t="s">
        <v>7248</v>
      </c>
      <c r="BI162" s="7" t="s">
        <v>7151</v>
      </c>
      <c r="BL162" s="7" t="s">
        <v>7152</v>
      </c>
      <c r="BM162" s="7" t="s">
        <v>7153</v>
      </c>
      <c r="BN162" s="7" t="s">
        <v>7154</v>
      </c>
      <c r="BO162" s="2" t="s">
        <v>7155</v>
      </c>
      <c r="BQ162" s="2" t="s">
        <v>7256</v>
      </c>
      <c r="BS162" s="2" t="s">
        <v>7142</v>
      </c>
      <c r="BT162" s="2" t="s">
        <v>7215</v>
      </c>
      <c r="BV162" s="2" t="s">
        <v>7772</v>
      </c>
      <c r="BX162" s="2" t="s">
        <v>7142</v>
      </c>
      <c r="BY162" s="2" t="s">
        <v>310</v>
      </c>
      <c r="BZ162" s="2" t="s">
        <v>7159</v>
      </c>
      <c r="CE162" s="7">
        <v>5</v>
      </c>
      <c r="CF162" s="2">
        <v>490</v>
      </c>
      <c r="CK162" s="2">
        <v>100</v>
      </c>
      <c r="CO162" s="2">
        <v>100</v>
      </c>
      <c r="CR162" s="2" t="s">
        <v>7160</v>
      </c>
      <c r="CT162" s="2" t="s">
        <v>7143</v>
      </c>
      <c r="CU162" s="2" t="s">
        <v>7161</v>
      </c>
      <c r="CW162" s="2" t="s">
        <v>7162</v>
      </c>
      <c r="CY162" s="2" t="s">
        <v>7163</v>
      </c>
      <c r="CZ162" s="2" t="s">
        <v>7163</v>
      </c>
      <c r="DA162" s="2" t="s">
        <v>7250</v>
      </c>
      <c r="DB162" s="2" t="s">
        <v>7251</v>
      </c>
      <c r="DC162" s="2" t="s">
        <v>7250</v>
      </c>
      <c r="DD162" s="2" t="s">
        <v>7251</v>
      </c>
      <c r="DE162" s="2" t="s">
        <v>7164</v>
      </c>
      <c r="DF162" s="2" t="s">
        <v>7163</v>
      </c>
      <c r="DG162" s="2" t="s">
        <v>7163</v>
      </c>
      <c r="DH162" s="2" t="s">
        <v>7164</v>
      </c>
      <c r="DI162" s="2" t="s">
        <v>7164</v>
      </c>
      <c r="DL162" s="7" t="s">
        <v>7142</v>
      </c>
      <c r="DM162" s="7" t="s">
        <v>7142</v>
      </c>
      <c r="DN162" s="7" t="s">
        <v>7142</v>
      </c>
      <c r="DO162" s="7" t="s">
        <v>7142</v>
      </c>
      <c r="DP162" s="7" t="s">
        <v>7165</v>
      </c>
      <c r="DQ162" s="7" t="s">
        <v>7166</v>
      </c>
      <c r="DS162" s="7" t="s">
        <v>7165</v>
      </c>
      <c r="DT162" s="7" t="s">
        <v>7165</v>
      </c>
      <c r="DU162" s="7" t="s">
        <v>7165</v>
      </c>
      <c r="DV162" s="7" t="s">
        <v>7165</v>
      </c>
      <c r="DW162" s="7" t="s">
        <v>7165</v>
      </c>
      <c r="DX162" s="7" t="s">
        <v>7165</v>
      </c>
      <c r="DY162" s="7" t="s">
        <v>7165</v>
      </c>
      <c r="DZ162" s="7" t="s">
        <v>7159</v>
      </c>
      <c r="EA162" s="7" t="s">
        <v>7165</v>
      </c>
      <c r="EB162" s="7" t="s">
        <v>7165</v>
      </c>
      <c r="EC162" s="7" t="s">
        <v>7159</v>
      </c>
      <c r="ED162" s="7"/>
      <c r="EE162" s="7"/>
      <c r="EF162" s="7" t="s">
        <v>7167</v>
      </c>
      <c r="EJ162" s="2" t="s">
        <v>7144</v>
      </c>
      <c r="EK162" s="2" t="s">
        <v>7142</v>
      </c>
      <c r="EL162" s="2" t="s">
        <v>7143</v>
      </c>
      <c r="EN162" s="2" t="s">
        <v>7170</v>
      </c>
      <c r="EP162" s="2" t="s">
        <v>7186</v>
      </c>
      <c r="ER162" s="2" t="s">
        <v>7142</v>
      </c>
      <c r="ET162" s="2" t="s">
        <v>7143</v>
      </c>
      <c r="EV162" s="2" t="s">
        <v>7142</v>
      </c>
      <c r="EW162" s="2" t="s">
        <v>7204</v>
      </c>
      <c r="EX162" s="2" t="s">
        <v>7142</v>
      </c>
      <c r="EY162" s="2" t="s">
        <v>7204</v>
      </c>
      <c r="FC162" s="2" t="s">
        <v>7172</v>
      </c>
      <c r="FD162" s="2" t="s">
        <v>7143</v>
      </c>
      <c r="FH162" s="7" t="s">
        <v>7173</v>
      </c>
      <c r="FJ162" s="7" t="s">
        <v>7142</v>
      </c>
      <c r="FK162" s="7" t="s">
        <v>7165</v>
      </c>
      <c r="FL162" s="7" t="s">
        <v>7787</v>
      </c>
      <c r="FN162" s="2" t="s">
        <v>7283</v>
      </c>
      <c r="FT162" s="2" t="s">
        <v>7176</v>
      </c>
      <c r="FU162" s="2" t="s">
        <v>7189</v>
      </c>
      <c r="FV162" s="2" t="s">
        <v>7189</v>
      </c>
      <c r="FW162" s="2" t="s">
        <v>7189</v>
      </c>
      <c r="FZ162" s="19" t="s">
        <v>7788</v>
      </c>
    </row>
    <row r="163" spans="1:182">
      <c r="A163" s="7" t="s">
        <v>1336</v>
      </c>
      <c r="D163" s="7" t="s">
        <v>7789</v>
      </c>
      <c r="E163" s="7" t="s">
        <v>1337</v>
      </c>
      <c r="F163" s="7" t="s">
        <v>7339</v>
      </c>
      <c r="G163" s="7" t="s">
        <v>7717</v>
      </c>
      <c r="H163" s="7" t="s">
        <v>1212</v>
      </c>
      <c r="I163" s="7" t="s">
        <v>1338</v>
      </c>
      <c r="J163" s="16" t="s">
        <v>7790</v>
      </c>
      <c r="K163" s="7" t="s">
        <v>1339</v>
      </c>
      <c r="L163" s="2" t="s">
        <v>7137</v>
      </c>
      <c r="M163" s="7" t="s">
        <v>7138</v>
      </c>
      <c r="N163" s="7">
        <v>1985</v>
      </c>
      <c r="O163" s="7" t="s">
        <v>7139</v>
      </c>
      <c r="P163" s="2" t="s">
        <v>7140</v>
      </c>
      <c r="Q163" s="2" t="s">
        <v>7182</v>
      </c>
      <c r="R163" s="2" t="s">
        <v>7143</v>
      </c>
      <c r="S163" s="2">
        <v>24</v>
      </c>
      <c r="T163" s="2" t="s">
        <v>7143</v>
      </c>
      <c r="U163" s="2" t="s">
        <v>7143</v>
      </c>
      <c r="Y163" s="2">
        <v>414</v>
      </c>
      <c r="Z163" s="17">
        <v>1</v>
      </c>
      <c r="AA163" s="2">
        <v>414</v>
      </c>
      <c r="AB163" s="2">
        <v>414</v>
      </c>
      <c r="AC163" s="7">
        <v>414</v>
      </c>
      <c r="AD163" s="2">
        <v>594</v>
      </c>
      <c r="AE163" s="2">
        <v>180</v>
      </c>
      <c r="AF163" s="2" t="s">
        <v>7143</v>
      </c>
      <c r="AG163" s="2" t="s">
        <v>7143</v>
      </c>
      <c r="AH163" s="2" t="s">
        <v>7143</v>
      </c>
      <c r="AJ163" s="2" t="s">
        <v>7143</v>
      </c>
      <c r="AK163" s="2" t="s">
        <v>7143</v>
      </c>
      <c r="AL163" s="2" t="s">
        <v>7143</v>
      </c>
      <c r="AM163" s="2" t="s">
        <v>7143</v>
      </c>
      <c r="AN163" s="2" t="s">
        <v>7143</v>
      </c>
      <c r="AO163" s="2" t="s">
        <v>7143</v>
      </c>
      <c r="AR163" s="7">
        <v>3</v>
      </c>
      <c r="AS163" s="7">
        <v>4</v>
      </c>
      <c r="AT163" s="7">
        <v>6</v>
      </c>
      <c r="AU163" s="2" t="s">
        <v>7193</v>
      </c>
      <c r="AV163" s="2" t="s">
        <v>7193</v>
      </c>
      <c r="AW163" s="2" t="s">
        <v>7143</v>
      </c>
      <c r="AZ163" s="2" t="s">
        <v>7145</v>
      </c>
      <c r="BB163" s="2" t="s">
        <v>7214</v>
      </c>
      <c r="BC163" s="2" t="s">
        <v>7247</v>
      </c>
      <c r="BD163" s="2" t="s">
        <v>7142</v>
      </c>
      <c r="BE163" s="2" t="s">
        <v>7142</v>
      </c>
      <c r="BF163" s="2" t="s">
        <v>7148</v>
      </c>
      <c r="BG163" s="2" t="s">
        <v>7149</v>
      </c>
      <c r="BH163" s="2" t="s">
        <v>7150</v>
      </c>
      <c r="BI163" s="2" t="s">
        <v>7151</v>
      </c>
      <c r="BL163" s="2" t="s">
        <v>7152</v>
      </c>
      <c r="BM163" s="2" t="s">
        <v>7355</v>
      </c>
      <c r="BN163" s="2" t="s">
        <v>7154</v>
      </c>
      <c r="BO163" s="2" t="s">
        <v>7155</v>
      </c>
      <c r="BQ163" s="2" t="s">
        <v>7183</v>
      </c>
      <c r="BS163" s="2" t="s">
        <v>7142</v>
      </c>
      <c r="BT163" s="2" t="s">
        <v>7341</v>
      </c>
      <c r="BV163" s="2" t="s">
        <v>7791</v>
      </c>
      <c r="BX163" s="2" t="s">
        <v>7142</v>
      </c>
      <c r="BY163" s="2" t="s">
        <v>1341</v>
      </c>
      <c r="BZ163" s="2" t="s">
        <v>7159</v>
      </c>
      <c r="CE163" s="7">
        <v>6</v>
      </c>
      <c r="CF163" s="2">
        <v>594</v>
      </c>
      <c r="CM163" s="2">
        <v>100</v>
      </c>
      <c r="CO163" s="2">
        <v>100</v>
      </c>
      <c r="CR163" s="2" t="s">
        <v>7357</v>
      </c>
      <c r="CT163" s="2" t="s">
        <v>7143</v>
      </c>
      <c r="CU163" s="2" t="s">
        <v>7161</v>
      </c>
      <c r="CW163" s="2" t="s">
        <v>7162</v>
      </c>
      <c r="CY163" s="2" t="s">
        <v>7358</v>
      </c>
      <c r="CZ163" s="2" t="s">
        <v>7358</v>
      </c>
      <c r="DA163" s="2" t="s">
        <v>7250</v>
      </c>
      <c r="DB163" s="2" t="s">
        <v>7250</v>
      </c>
      <c r="DC163" s="2" t="s">
        <v>7250</v>
      </c>
      <c r="DD163" s="2" t="s">
        <v>7250</v>
      </c>
      <c r="DE163" s="2" t="s">
        <v>7250</v>
      </c>
      <c r="DF163" s="2" t="s">
        <v>7250</v>
      </c>
      <c r="DG163" s="2" t="s">
        <v>7227</v>
      </c>
      <c r="DH163" s="2" t="s">
        <v>7227</v>
      </c>
      <c r="DI163" s="2" t="s">
        <v>7249</v>
      </c>
      <c r="DL163" s="2" t="s">
        <v>7142</v>
      </c>
      <c r="DM163" s="2" t="s">
        <v>7142</v>
      </c>
      <c r="DN163" s="2" t="s">
        <v>7142</v>
      </c>
      <c r="DO163" s="2" t="s">
        <v>7142</v>
      </c>
      <c r="DP163" s="2" t="s">
        <v>7165</v>
      </c>
      <c r="DQ163" s="2" t="s">
        <v>7166</v>
      </c>
      <c r="DT163" s="2" t="s">
        <v>7165</v>
      </c>
      <c r="DU163" s="2" t="s">
        <v>7165</v>
      </c>
      <c r="DV163" s="2" t="s">
        <v>7165</v>
      </c>
      <c r="DW163" s="2" t="s">
        <v>7165</v>
      </c>
      <c r="DX163" s="2" t="s">
        <v>7165</v>
      </c>
      <c r="DY163" s="2" t="s">
        <v>7159</v>
      </c>
      <c r="DZ163" s="2" t="s">
        <v>7159</v>
      </c>
      <c r="EA163" s="2" t="s">
        <v>7159</v>
      </c>
      <c r="EB163" s="2" t="s">
        <v>7165</v>
      </c>
      <c r="EC163" s="2" t="s">
        <v>7159</v>
      </c>
      <c r="ED163" s="2" t="s">
        <v>7159</v>
      </c>
      <c r="EF163" s="2" t="s">
        <v>7221</v>
      </c>
      <c r="EG163" s="2" t="s">
        <v>1342</v>
      </c>
      <c r="EJ163" s="2" t="s">
        <v>7193</v>
      </c>
      <c r="EK163" s="2" t="s">
        <v>7142</v>
      </c>
      <c r="EL163" s="2" t="s">
        <v>7143</v>
      </c>
      <c r="EM163" s="2" t="s">
        <v>7170</v>
      </c>
      <c r="EN163" s="2" t="s">
        <v>7170</v>
      </c>
      <c r="EP163" s="2" t="s">
        <v>7186</v>
      </c>
      <c r="ER163" s="2" t="s">
        <v>7142</v>
      </c>
      <c r="ET163" s="2" t="s">
        <v>7143</v>
      </c>
      <c r="EV163" s="2" t="s">
        <v>7142</v>
      </c>
      <c r="EW163" s="2" t="s">
        <v>7171</v>
      </c>
      <c r="EX163" s="2" t="s">
        <v>7143</v>
      </c>
      <c r="EZ163" s="2" t="s">
        <v>7143</v>
      </c>
      <c r="FC163" s="2" t="s">
        <v>7309</v>
      </c>
      <c r="FD163" s="2" t="s">
        <v>7143</v>
      </c>
      <c r="FH163" s="2" t="s">
        <v>7173</v>
      </c>
      <c r="FJ163" s="2" t="s">
        <v>7143</v>
      </c>
      <c r="FK163" s="2" t="s">
        <v>7173</v>
      </c>
      <c r="FN163" s="2" t="s">
        <v>7344</v>
      </c>
      <c r="FR163" s="2" t="s">
        <v>1343</v>
      </c>
      <c r="FT163" s="2" t="s">
        <v>7189</v>
      </c>
      <c r="FU163" s="2" t="s">
        <v>7189</v>
      </c>
      <c r="FV163" s="2" t="s">
        <v>7189</v>
      </c>
      <c r="FW163" s="2" t="s">
        <v>7189</v>
      </c>
      <c r="FZ163" s="19" t="s">
        <v>7792</v>
      </c>
    </row>
    <row r="164" spans="1:182">
      <c r="A164" s="7" t="s">
        <v>1344</v>
      </c>
      <c r="D164" s="7" t="s">
        <v>7793</v>
      </c>
      <c r="E164" s="7" t="s">
        <v>1345</v>
      </c>
      <c r="F164" s="7" t="s">
        <v>7319</v>
      </c>
      <c r="G164" s="7" t="s">
        <v>7717</v>
      </c>
      <c r="H164" s="7" t="s">
        <v>1263</v>
      </c>
      <c r="I164" s="7" t="s">
        <v>1346</v>
      </c>
      <c r="J164" s="16" t="s">
        <v>7794</v>
      </c>
      <c r="K164" s="7" t="s">
        <v>1347</v>
      </c>
      <c r="L164" s="2" t="s">
        <v>7137</v>
      </c>
      <c r="M164" s="7" t="s">
        <v>7179</v>
      </c>
      <c r="N164" s="7">
        <v>1975</v>
      </c>
      <c r="O164" s="7" t="s">
        <v>7180</v>
      </c>
      <c r="P164" s="7" t="s">
        <v>7181</v>
      </c>
      <c r="Q164" s="7" t="s">
        <v>7141</v>
      </c>
      <c r="R164" s="2" t="s">
        <v>7143</v>
      </c>
      <c r="S164" s="2">
        <v>30</v>
      </c>
      <c r="T164" s="2" t="s">
        <v>7143</v>
      </c>
      <c r="U164" s="2" t="s">
        <v>7143</v>
      </c>
      <c r="Y164" s="2">
        <v>990</v>
      </c>
      <c r="Z164" s="17">
        <v>1</v>
      </c>
      <c r="AA164" s="2">
        <v>990</v>
      </c>
      <c r="AB164" s="2">
        <v>990</v>
      </c>
      <c r="AC164" s="7">
        <v>990</v>
      </c>
      <c r="AD164" s="2">
        <v>1200</v>
      </c>
      <c r="AE164" s="2">
        <v>210</v>
      </c>
      <c r="AF164" s="2" t="s">
        <v>7143</v>
      </c>
      <c r="AG164" s="2" t="s">
        <v>7143</v>
      </c>
      <c r="AH164" s="2" t="s">
        <v>7143</v>
      </c>
      <c r="AJ164" s="2" t="s">
        <v>7143</v>
      </c>
      <c r="AK164" s="2" t="s">
        <v>7143</v>
      </c>
      <c r="AL164" s="2" t="s">
        <v>7143</v>
      </c>
      <c r="AM164" s="2" t="s">
        <v>7143</v>
      </c>
      <c r="AN164" s="2" t="s">
        <v>7143</v>
      </c>
      <c r="AO164" s="2" t="s">
        <v>7143</v>
      </c>
      <c r="AR164" s="7">
        <v>2.5</v>
      </c>
      <c r="AS164" s="7">
        <v>2</v>
      </c>
      <c r="AT164" s="7">
        <v>12</v>
      </c>
      <c r="AU164" s="2" t="s">
        <v>7193</v>
      </c>
      <c r="AV164" s="2" t="s">
        <v>7193</v>
      </c>
      <c r="AW164" s="2" t="s">
        <v>7143</v>
      </c>
      <c r="AZ164" s="2" t="s">
        <v>7337</v>
      </c>
      <c r="BB164" s="2" t="s">
        <v>7268</v>
      </c>
      <c r="BC164" s="2" t="s">
        <v>7247</v>
      </c>
      <c r="BD164" s="2" t="s">
        <v>7142</v>
      </c>
      <c r="BE164" s="2" t="s">
        <v>7142</v>
      </c>
      <c r="BF164" s="2" t="s">
        <v>7148</v>
      </c>
      <c r="BG164" s="2" t="s">
        <v>7149</v>
      </c>
      <c r="BH164" s="2" t="s">
        <v>7248</v>
      </c>
      <c r="BI164" s="2" t="s">
        <v>7269</v>
      </c>
      <c r="BL164" s="2" t="s">
        <v>7152</v>
      </c>
      <c r="BM164" s="2" t="s">
        <v>7153</v>
      </c>
      <c r="BN164" s="2" t="s">
        <v>7154</v>
      </c>
      <c r="BO164" s="2" t="s">
        <v>7155</v>
      </c>
      <c r="BQ164" s="2" t="s">
        <v>7183</v>
      </c>
      <c r="BS164" s="2" t="s">
        <v>7142</v>
      </c>
      <c r="BT164" s="2" t="s">
        <v>7238</v>
      </c>
      <c r="BU164" s="2" t="s">
        <v>544</v>
      </c>
      <c r="BV164" s="2" t="s">
        <v>7202</v>
      </c>
      <c r="BX164" s="2" t="s">
        <v>7143</v>
      </c>
      <c r="BY164" s="2" t="s">
        <v>1302</v>
      </c>
      <c r="BZ164" s="2" t="s">
        <v>7173</v>
      </c>
      <c r="CE164" s="7">
        <v>12</v>
      </c>
      <c r="CF164" s="2">
        <v>1200</v>
      </c>
      <c r="CH164" s="2">
        <v>0</v>
      </c>
      <c r="CI164" s="2">
        <v>0</v>
      </c>
      <c r="CJ164" s="2">
        <v>0</v>
      </c>
      <c r="CK164" s="2">
        <v>30</v>
      </c>
      <c r="CL164" s="2">
        <v>0</v>
      </c>
      <c r="CM164" s="2">
        <v>70</v>
      </c>
      <c r="CO164" s="2">
        <v>100</v>
      </c>
      <c r="CP164" s="2">
        <v>0</v>
      </c>
      <c r="CQ164" s="2">
        <v>0</v>
      </c>
      <c r="CR164" s="2" t="s">
        <v>7160</v>
      </c>
      <c r="CT164" s="2" t="s">
        <v>7143</v>
      </c>
      <c r="CU164" s="2" t="s">
        <v>7234</v>
      </c>
      <c r="CW164" s="2" t="s">
        <v>7162</v>
      </c>
      <c r="CY164" s="2" t="s">
        <v>7163</v>
      </c>
      <c r="CZ164" s="2" t="s">
        <v>7163</v>
      </c>
      <c r="DA164" s="2" t="s">
        <v>7250</v>
      </c>
      <c r="DB164" s="2" t="s">
        <v>7250</v>
      </c>
      <c r="DC164" s="2" t="s">
        <v>7250</v>
      </c>
      <c r="DD164" s="2" t="s">
        <v>7321</v>
      </c>
      <c r="DE164" s="2" t="s">
        <v>7250</v>
      </c>
      <c r="DF164" s="2" t="s">
        <v>7163</v>
      </c>
      <c r="DG164" s="2" t="s">
        <v>7163</v>
      </c>
      <c r="DH164" s="2" t="s">
        <v>7250</v>
      </c>
      <c r="DI164" s="2" t="s">
        <v>7250</v>
      </c>
      <c r="DL164" s="2" t="s">
        <v>7142</v>
      </c>
      <c r="DM164" s="2" t="s">
        <v>7142</v>
      </c>
      <c r="DN164" s="2" t="s">
        <v>7142</v>
      </c>
      <c r="DO164" s="2" t="s">
        <v>7142</v>
      </c>
      <c r="DP164" s="2" t="s">
        <v>7165</v>
      </c>
      <c r="DQ164" s="2" t="s">
        <v>7333</v>
      </c>
      <c r="DR164" s="2" t="s">
        <v>1348</v>
      </c>
      <c r="DT164" s="2" t="s">
        <v>7165</v>
      </c>
      <c r="DU164" s="2" t="s">
        <v>7165</v>
      </c>
      <c r="DV164" s="2" t="s">
        <v>7165</v>
      </c>
      <c r="DW164" s="2" t="s">
        <v>7165</v>
      </c>
      <c r="DX164" s="2" t="s">
        <v>7165</v>
      </c>
      <c r="DY164" s="2" t="s">
        <v>7165</v>
      </c>
      <c r="DZ164" s="2" t="s">
        <v>7165</v>
      </c>
      <c r="EA164" s="2" t="s">
        <v>7165</v>
      </c>
      <c r="EB164" s="2" t="s">
        <v>7165</v>
      </c>
      <c r="EC164" s="2" t="s">
        <v>7173</v>
      </c>
      <c r="ED164" s="2" t="s">
        <v>7173</v>
      </c>
      <c r="EE164" s="2" t="s">
        <v>188</v>
      </c>
      <c r="EF164" s="2" t="s">
        <v>7252</v>
      </c>
      <c r="EG164" s="2" t="s">
        <v>1349</v>
      </c>
      <c r="EJ164" s="2" t="s">
        <v>7193</v>
      </c>
      <c r="EK164" s="2" t="s">
        <v>7143</v>
      </c>
      <c r="EL164" s="2" t="s">
        <v>7143</v>
      </c>
      <c r="EN164" s="2" t="s">
        <v>7210</v>
      </c>
      <c r="EP164" s="2" t="s">
        <v>7186</v>
      </c>
      <c r="ER164" s="2" t="s">
        <v>7143</v>
      </c>
      <c r="ET164" s="2" t="s">
        <v>7143</v>
      </c>
      <c r="EV164" s="2" t="s">
        <v>7142</v>
      </c>
      <c r="EW164" s="2" t="s">
        <v>7171</v>
      </c>
      <c r="EX164" s="2" t="s">
        <v>7143</v>
      </c>
      <c r="EZ164" s="2" t="s">
        <v>7143</v>
      </c>
      <c r="FC164" s="2" t="s">
        <v>7218</v>
      </c>
      <c r="FD164" s="2" t="s">
        <v>7143</v>
      </c>
      <c r="FH164" s="2" t="s">
        <v>7173</v>
      </c>
      <c r="FJ164" s="2" t="s">
        <v>7143</v>
      </c>
      <c r="FK164" s="2" t="s">
        <v>7173</v>
      </c>
      <c r="FN164" s="2" t="s">
        <v>7243</v>
      </c>
      <c r="FO164" s="2" t="s">
        <v>1350</v>
      </c>
      <c r="FR164" s="2" t="s">
        <v>471</v>
      </c>
      <c r="FT164" s="2" t="s">
        <v>7176</v>
      </c>
      <c r="FU164" s="2" t="s">
        <v>7176</v>
      </c>
      <c r="FV164" s="2" t="s">
        <v>7176</v>
      </c>
      <c r="FW164" s="2" t="s">
        <v>7176</v>
      </c>
      <c r="FX164" s="2" t="s">
        <v>7345</v>
      </c>
      <c r="FZ164" s="19" t="s">
        <v>7795</v>
      </c>
    </row>
    <row r="165" spans="1:182">
      <c r="A165" s="7" t="s">
        <v>1351</v>
      </c>
      <c r="D165" s="7" t="s">
        <v>7796</v>
      </c>
      <c r="E165" s="7" t="s">
        <v>177</v>
      </c>
      <c r="F165" s="7" t="s">
        <v>7134</v>
      </c>
      <c r="G165" s="7" t="s">
        <v>7717</v>
      </c>
      <c r="H165" s="7" t="s">
        <v>1207</v>
      </c>
      <c r="I165" s="7" t="s">
        <v>1352</v>
      </c>
      <c r="J165" s="16" t="s">
        <v>7797</v>
      </c>
      <c r="K165" s="7" t="s">
        <v>1353</v>
      </c>
      <c r="L165" s="2" t="s">
        <v>7137</v>
      </c>
      <c r="M165" s="2" t="s">
        <v>7138</v>
      </c>
      <c r="N165" s="7">
        <v>2005</v>
      </c>
      <c r="O165" s="7" t="s">
        <v>7139</v>
      </c>
      <c r="P165" s="2" t="s">
        <v>7192</v>
      </c>
      <c r="Q165" s="2" t="s">
        <v>7141</v>
      </c>
      <c r="R165" s="2" t="s">
        <v>7143</v>
      </c>
      <c r="S165" s="2">
        <v>18</v>
      </c>
      <c r="T165" s="2" t="s">
        <v>7143</v>
      </c>
      <c r="U165" s="2" t="s">
        <v>7143</v>
      </c>
      <c r="Y165" s="2">
        <v>232</v>
      </c>
      <c r="Z165" s="17">
        <v>1</v>
      </c>
      <c r="AA165" s="2">
        <v>232</v>
      </c>
      <c r="AB165" s="2">
        <v>232</v>
      </c>
      <c r="AC165" s="7">
        <v>232</v>
      </c>
      <c r="AD165" s="2">
        <v>250</v>
      </c>
      <c r="AE165" s="2">
        <v>18</v>
      </c>
      <c r="AF165" s="2" t="s">
        <v>7142</v>
      </c>
      <c r="AG165" s="2" t="s">
        <v>7143</v>
      </c>
      <c r="AH165" s="2" t="s">
        <v>7143</v>
      </c>
      <c r="AJ165" s="2" t="s">
        <v>7143</v>
      </c>
      <c r="AK165" s="2" t="s">
        <v>7143</v>
      </c>
      <c r="AL165" s="2" t="s">
        <v>7143</v>
      </c>
      <c r="AM165" s="2" t="s">
        <v>7143</v>
      </c>
      <c r="AN165" s="2" t="s">
        <v>7143</v>
      </c>
      <c r="AO165" s="2" t="s">
        <v>7143</v>
      </c>
      <c r="AR165" s="7">
        <v>1.4</v>
      </c>
      <c r="AS165" s="7">
        <v>4</v>
      </c>
      <c r="AT165" s="7">
        <v>2.6</v>
      </c>
      <c r="AU165" s="2" t="s">
        <v>7193</v>
      </c>
      <c r="AV165" s="2" t="s">
        <v>7193</v>
      </c>
      <c r="AW165" s="2" t="s">
        <v>7143</v>
      </c>
      <c r="BC165" s="2" t="s">
        <v>7147</v>
      </c>
      <c r="BD165" s="2" t="s">
        <v>7143</v>
      </c>
      <c r="BE165" s="2" t="s">
        <v>7143</v>
      </c>
      <c r="BL165" s="2" t="s">
        <v>7195</v>
      </c>
      <c r="BO165" s="2" t="s">
        <v>7155</v>
      </c>
      <c r="BQ165" s="2" t="s">
        <v>7156</v>
      </c>
      <c r="BS165" s="2" t="s">
        <v>7142</v>
      </c>
      <c r="BT165" s="2" t="s">
        <v>7157</v>
      </c>
      <c r="BV165" s="2" t="s">
        <v>7202</v>
      </c>
      <c r="BX165" s="2" t="s">
        <v>7143</v>
      </c>
      <c r="BZ165" s="2" t="s">
        <v>7159</v>
      </c>
      <c r="CE165" s="7">
        <v>2.6</v>
      </c>
      <c r="CF165" s="2">
        <v>250</v>
      </c>
      <c r="CK165" s="2">
        <v>100</v>
      </c>
      <c r="CO165" s="2">
        <v>100</v>
      </c>
      <c r="CR165" s="2" t="s">
        <v>7160</v>
      </c>
      <c r="CT165" s="2" t="s">
        <v>7143</v>
      </c>
      <c r="CU165" s="2" t="s">
        <v>7234</v>
      </c>
      <c r="CW165" s="2" t="s">
        <v>7162</v>
      </c>
      <c r="CY165" s="2" t="s">
        <v>7164</v>
      </c>
      <c r="CZ165" s="2" t="s">
        <v>7164</v>
      </c>
      <c r="DA165" s="2" t="s">
        <v>7164</v>
      </c>
      <c r="DB165" s="2" t="s">
        <v>7164</v>
      </c>
      <c r="DC165" s="2" t="s">
        <v>7164</v>
      </c>
      <c r="DD165" s="2" t="s">
        <v>7164</v>
      </c>
      <c r="DE165" s="2" t="s">
        <v>7164</v>
      </c>
      <c r="DF165" s="2" t="s">
        <v>7164</v>
      </c>
      <c r="DG165" s="2" t="s">
        <v>7164</v>
      </c>
      <c r="DH165" s="2" t="s">
        <v>7164</v>
      </c>
      <c r="DI165" s="2" t="s">
        <v>7164</v>
      </c>
      <c r="DL165" s="2" t="s">
        <v>7143</v>
      </c>
      <c r="DM165" s="2" t="s">
        <v>7143</v>
      </c>
      <c r="DP165" s="2" t="s">
        <v>7173</v>
      </c>
      <c r="DT165" s="2" t="s">
        <v>7159</v>
      </c>
      <c r="DU165" s="2" t="s">
        <v>7159</v>
      </c>
      <c r="DV165" s="2" t="s">
        <v>7159</v>
      </c>
      <c r="DW165" s="2" t="s">
        <v>7159</v>
      </c>
      <c r="DX165" s="2" t="s">
        <v>7159</v>
      </c>
      <c r="DY165" s="2" t="s">
        <v>7159</v>
      </c>
      <c r="DZ165" s="2" t="s">
        <v>7159</v>
      </c>
      <c r="EA165" s="2" t="s">
        <v>7159</v>
      </c>
      <c r="EB165" s="2" t="s">
        <v>7159</v>
      </c>
      <c r="EJ165" s="2" t="s">
        <v>7193</v>
      </c>
      <c r="EK165" s="2" t="s">
        <v>7143</v>
      </c>
      <c r="EL165" s="2" t="s">
        <v>7143</v>
      </c>
      <c r="EN165" s="2" t="s">
        <v>7392</v>
      </c>
      <c r="EP165" s="2" t="s">
        <v>7308</v>
      </c>
      <c r="ER165" s="2" t="s">
        <v>7143</v>
      </c>
      <c r="ET165" s="2" t="s">
        <v>7143</v>
      </c>
      <c r="EV165" s="2" t="s">
        <v>7143</v>
      </c>
      <c r="EX165" s="2" t="s">
        <v>7143</v>
      </c>
      <c r="EZ165" s="2" t="s">
        <v>7143</v>
      </c>
      <c r="FC165" s="2" t="s">
        <v>7172</v>
      </c>
      <c r="FD165" s="2" t="s">
        <v>7143</v>
      </c>
      <c r="FH165" s="2" t="s">
        <v>7173</v>
      </c>
      <c r="FJ165" s="2" t="s">
        <v>7142</v>
      </c>
      <c r="FK165" s="2" t="s">
        <v>7173</v>
      </c>
      <c r="FN165" s="2" t="s">
        <v>7253</v>
      </c>
      <c r="FT165" s="2" t="s">
        <v>7189</v>
      </c>
      <c r="FU165" s="2" t="s">
        <v>7189</v>
      </c>
      <c r="FV165" s="2" t="s">
        <v>7189</v>
      </c>
      <c r="FW165" s="2" t="s">
        <v>7189</v>
      </c>
      <c r="FZ165" s="19" t="s">
        <v>7798</v>
      </c>
    </row>
    <row r="166" spans="1:182">
      <c r="A166" s="7" t="s">
        <v>1354</v>
      </c>
      <c r="D166" s="7" t="s">
        <v>7799</v>
      </c>
      <c r="E166" s="7" t="s">
        <v>1323</v>
      </c>
      <c r="F166" s="7" t="s">
        <v>7311</v>
      </c>
      <c r="G166" s="7" t="s">
        <v>7717</v>
      </c>
      <c r="H166" s="7" t="s">
        <v>1263</v>
      </c>
      <c r="I166" s="7" t="s">
        <v>1355</v>
      </c>
      <c r="J166" s="16" t="s">
        <v>7800</v>
      </c>
      <c r="K166" s="7" t="s">
        <v>1356</v>
      </c>
      <c r="L166" s="2" t="s">
        <v>7137</v>
      </c>
      <c r="M166" s="7" t="s">
        <v>7179</v>
      </c>
      <c r="N166" s="7">
        <v>1987</v>
      </c>
      <c r="O166" s="7" t="s">
        <v>7180</v>
      </c>
      <c r="P166" s="7" t="s">
        <v>7140</v>
      </c>
      <c r="Q166" s="2" t="s">
        <v>7141</v>
      </c>
      <c r="R166" s="7" t="s">
        <v>7143</v>
      </c>
      <c r="S166" s="2">
        <v>10</v>
      </c>
      <c r="T166" s="2" t="s">
        <v>7143</v>
      </c>
      <c r="U166" s="2" t="s">
        <v>7143</v>
      </c>
      <c r="Y166" s="2">
        <v>946</v>
      </c>
      <c r="Z166" s="17">
        <v>0.89849999999999997</v>
      </c>
      <c r="AA166" s="2">
        <v>850</v>
      </c>
      <c r="AB166" s="2">
        <v>850</v>
      </c>
      <c r="AC166" s="7">
        <v>850</v>
      </c>
      <c r="AD166" s="2">
        <v>1000</v>
      </c>
      <c r="AE166" s="2">
        <v>150</v>
      </c>
      <c r="AF166" s="2" t="s">
        <v>7143</v>
      </c>
      <c r="AG166" s="2" t="s">
        <v>7143</v>
      </c>
      <c r="AH166" s="2" t="s">
        <v>7143</v>
      </c>
      <c r="AJ166" s="2" t="s">
        <v>7143</v>
      </c>
      <c r="AK166" s="2" t="s">
        <v>7143</v>
      </c>
      <c r="AL166" s="2" t="s">
        <v>7142</v>
      </c>
      <c r="AM166" s="2" t="s">
        <v>7143</v>
      </c>
      <c r="AN166" s="2" t="s">
        <v>7143</v>
      </c>
      <c r="AO166" s="2" t="s">
        <v>7143</v>
      </c>
      <c r="AR166" s="7">
        <v>2.9</v>
      </c>
      <c r="AS166" s="7">
        <v>4</v>
      </c>
      <c r="AT166" s="7">
        <v>10</v>
      </c>
      <c r="AU166" s="2" t="s">
        <v>7144</v>
      </c>
      <c r="AV166" s="2" t="s">
        <v>7144</v>
      </c>
      <c r="AW166" s="2" t="s">
        <v>7143</v>
      </c>
      <c r="BC166" s="2" t="s">
        <v>7147</v>
      </c>
      <c r="BD166" s="2" t="s">
        <v>7142</v>
      </c>
      <c r="BE166" s="2" t="s">
        <v>7143</v>
      </c>
      <c r="BL166" s="2" t="s">
        <v>7152</v>
      </c>
      <c r="BM166" s="2" t="s">
        <v>7153</v>
      </c>
      <c r="BN166" s="2" t="s">
        <v>7154</v>
      </c>
      <c r="BO166" s="2" t="s">
        <v>7155</v>
      </c>
      <c r="BQ166" s="2" t="s">
        <v>7156</v>
      </c>
      <c r="BS166" s="2" t="s">
        <v>7142</v>
      </c>
      <c r="BT166" s="2" t="s">
        <v>7315</v>
      </c>
      <c r="BV166" s="2" t="s">
        <v>7202</v>
      </c>
      <c r="BX166" s="2" t="s">
        <v>7143</v>
      </c>
      <c r="BY166" s="2" t="s">
        <v>1357</v>
      </c>
      <c r="BZ166" s="2" t="s">
        <v>7173</v>
      </c>
      <c r="CE166" s="7">
        <v>10</v>
      </c>
      <c r="CF166" s="2">
        <v>1000</v>
      </c>
      <c r="CM166" s="2">
        <v>100</v>
      </c>
      <c r="CP166" s="2">
        <v>100</v>
      </c>
      <c r="CR166" s="2" t="s">
        <v>7160</v>
      </c>
      <c r="CT166" s="2" t="s">
        <v>7143</v>
      </c>
      <c r="CU166" s="2" t="s">
        <v>7161</v>
      </c>
      <c r="CW166" s="2" t="s">
        <v>7162</v>
      </c>
      <c r="CY166" s="2" t="s">
        <v>7163</v>
      </c>
      <c r="CZ166" s="2" t="s">
        <v>7163</v>
      </c>
      <c r="DA166" s="2" t="s">
        <v>7250</v>
      </c>
      <c r="DB166" s="2" t="s">
        <v>7163</v>
      </c>
      <c r="DC166" s="2" t="s">
        <v>7250</v>
      </c>
      <c r="DD166" s="2" t="s">
        <v>7250</v>
      </c>
      <c r="DE166" s="2" t="s">
        <v>7250</v>
      </c>
      <c r="DF166" s="2" t="s">
        <v>7163</v>
      </c>
      <c r="DG166" s="2" t="s">
        <v>7163</v>
      </c>
      <c r="DH166" s="2" t="s">
        <v>7163</v>
      </c>
      <c r="DI166" s="2" t="s">
        <v>7250</v>
      </c>
      <c r="DL166" s="2" t="s">
        <v>7142</v>
      </c>
      <c r="DM166" s="2" t="s">
        <v>7142</v>
      </c>
      <c r="DN166" s="2" t="s">
        <v>7142</v>
      </c>
      <c r="DO166" s="2" t="s">
        <v>7142</v>
      </c>
      <c r="DP166" s="2" t="s">
        <v>7165</v>
      </c>
      <c r="DQ166" s="2" t="s">
        <v>7333</v>
      </c>
      <c r="DR166" s="2" t="s">
        <v>1358</v>
      </c>
      <c r="DT166" s="2" t="s">
        <v>7165</v>
      </c>
      <c r="DU166" s="2" t="s">
        <v>7165</v>
      </c>
      <c r="DV166" s="2" t="s">
        <v>7165</v>
      </c>
      <c r="DW166" s="2" t="s">
        <v>7165</v>
      </c>
      <c r="DX166" s="2" t="s">
        <v>7165</v>
      </c>
      <c r="DY166" s="2" t="s">
        <v>7165</v>
      </c>
      <c r="DZ166" s="2" t="s">
        <v>7165</v>
      </c>
      <c r="EA166" s="2" t="s">
        <v>7165</v>
      </c>
      <c r="EB166" s="2" t="s">
        <v>7165</v>
      </c>
      <c r="EC166" s="2" t="s">
        <v>7173</v>
      </c>
      <c r="ED166" s="2" t="s">
        <v>7173</v>
      </c>
      <c r="EF166" s="2" t="s">
        <v>7221</v>
      </c>
      <c r="EG166" s="2" t="s">
        <v>1359</v>
      </c>
      <c r="EJ166" s="2" t="s">
        <v>7144</v>
      </c>
      <c r="EK166" s="2" t="s">
        <v>7142</v>
      </c>
      <c r="EL166" s="2" t="s">
        <v>7142</v>
      </c>
      <c r="EM166" s="2" t="s">
        <v>7170</v>
      </c>
      <c r="EN166" s="2" t="s">
        <v>7170</v>
      </c>
      <c r="EP166" s="2" t="s">
        <v>7186</v>
      </c>
      <c r="ER166" s="2" t="s">
        <v>7142</v>
      </c>
      <c r="ET166" s="2" t="s">
        <v>7143</v>
      </c>
      <c r="EV166" s="2" t="s">
        <v>7142</v>
      </c>
      <c r="EW166" s="2" t="s">
        <v>7204</v>
      </c>
      <c r="EX166" s="2" t="s">
        <v>7142</v>
      </c>
      <c r="EY166" s="2" t="s">
        <v>7204</v>
      </c>
      <c r="EZ166" s="2" t="s">
        <v>7143</v>
      </c>
      <c r="FC166" s="2" t="s">
        <v>7172</v>
      </c>
      <c r="FD166" s="2" t="s">
        <v>7143</v>
      </c>
      <c r="FH166" s="2" t="s">
        <v>7173</v>
      </c>
      <c r="FJ166" s="2" t="s">
        <v>7143</v>
      </c>
      <c r="FK166" s="2" t="s">
        <v>7165</v>
      </c>
      <c r="FL166" s="2" t="s">
        <v>7260</v>
      </c>
      <c r="FN166" s="2" t="s">
        <v>7235</v>
      </c>
      <c r="FR166" s="2" t="s">
        <v>421</v>
      </c>
      <c r="FT166" s="2" t="s">
        <v>7189</v>
      </c>
      <c r="FU166" s="2" t="s">
        <v>7189</v>
      </c>
      <c r="FV166" s="2" t="s">
        <v>7189</v>
      </c>
      <c r="FW166" s="2" t="s">
        <v>7189</v>
      </c>
      <c r="FX166" s="2" t="s">
        <v>7189</v>
      </c>
      <c r="FY166" s="2" t="s">
        <v>1360</v>
      </c>
      <c r="FZ166" s="19" t="s">
        <v>7801</v>
      </c>
    </row>
    <row r="167" spans="1:182">
      <c r="A167" s="7" t="s">
        <v>1361</v>
      </c>
      <c r="D167" s="7" t="s">
        <v>7802</v>
      </c>
      <c r="E167" s="7" t="s">
        <v>1362</v>
      </c>
      <c r="F167" s="7" t="s">
        <v>7389</v>
      </c>
      <c r="G167" s="7" t="s">
        <v>7717</v>
      </c>
      <c r="H167" s="7" t="s">
        <v>1363</v>
      </c>
      <c r="I167" s="7" t="s">
        <v>1364</v>
      </c>
      <c r="J167" s="16" t="s">
        <v>7803</v>
      </c>
      <c r="K167" s="7" t="s">
        <v>1365</v>
      </c>
      <c r="L167" s="2" t="s">
        <v>7224</v>
      </c>
      <c r="M167" s="7" t="s">
        <v>7179</v>
      </c>
      <c r="N167" s="7">
        <v>1999</v>
      </c>
      <c r="O167" s="7" t="s">
        <v>7139</v>
      </c>
      <c r="P167" s="7" t="s">
        <v>7181</v>
      </c>
      <c r="Q167" s="2" t="s">
        <v>7225</v>
      </c>
      <c r="R167" s="2" t="s">
        <v>7143</v>
      </c>
      <c r="S167" s="2">
        <v>5</v>
      </c>
      <c r="T167" s="2" t="s">
        <v>7143</v>
      </c>
      <c r="U167" s="2" t="s">
        <v>7142</v>
      </c>
      <c r="Y167" s="2">
        <v>65</v>
      </c>
      <c r="Z167" s="17">
        <v>1</v>
      </c>
      <c r="AA167" s="2">
        <v>65</v>
      </c>
      <c r="AB167" s="2">
        <v>65</v>
      </c>
      <c r="AC167" s="7">
        <v>65</v>
      </c>
      <c r="AD167" s="2">
        <v>80</v>
      </c>
      <c r="AE167" s="2">
        <v>15</v>
      </c>
      <c r="AF167" s="2" t="s">
        <v>7143</v>
      </c>
      <c r="AG167" s="2" t="s">
        <v>7143</v>
      </c>
      <c r="AH167" s="2" t="s">
        <v>7143</v>
      </c>
      <c r="AJ167" s="2" t="s">
        <v>7143</v>
      </c>
      <c r="AK167" s="2" t="s">
        <v>7143</v>
      </c>
      <c r="AL167" s="2" t="s">
        <v>7143</v>
      </c>
      <c r="AM167" s="2" t="s">
        <v>7143</v>
      </c>
      <c r="AN167" s="2" t="s">
        <v>7143</v>
      </c>
      <c r="AO167" s="2" t="s">
        <v>7143</v>
      </c>
      <c r="AR167" s="7">
        <v>0.55000000000000004</v>
      </c>
      <c r="AS167" s="7">
        <v>2</v>
      </c>
      <c r="AT167" s="7">
        <v>0.6</v>
      </c>
      <c r="AU167" s="2" t="s">
        <v>7217</v>
      </c>
      <c r="AV167" s="2" t="s">
        <v>7217</v>
      </c>
      <c r="AW167" s="2" t="s">
        <v>7143</v>
      </c>
      <c r="AZ167" s="2" t="s">
        <v>7145</v>
      </c>
      <c r="BB167" s="2" t="s">
        <v>7214</v>
      </c>
      <c r="BC167" s="2" t="s">
        <v>7147</v>
      </c>
      <c r="BD167" s="2" t="s">
        <v>7143</v>
      </c>
      <c r="BE167" s="2" t="s">
        <v>7143</v>
      </c>
      <c r="BL167" s="2" t="s">
        <v>7195</v>
      </c>
      <c r="BO167" s="2" t="s">
        <v>7155</v>
      </c>
      <c r="BQ167" s="2" t="s">
        <v>7183</v>
      </c>
      <c r="BS167" s="2" t="s">
        <v>7142</v>
      </c>
      <c r="BT167" s="2" t="s">
        <v>7416</v>
      </c>
      <c r="BV167" s="2" t="s">
        <v>7352</v>
      </c>
      <c r="BX167" s="2" t="s">
        <v>7142</v>
      </c>
      <c r="BY167" s="2" t="s">
        <v>1135</v>
      </c>
      <c r="BZ167" s="2" t="s">
        <v>7173</v>
      </c>
      <c r="CE167" s="7">
        <v>0.6</v>
      </c>
      <c r="CF167" s="2">
        <v>80</v>
      </c>
      <c r="CK167" s="2">
        <v>100</v>
      </c>
      <c r="CO167" s="2">
        <v>100</v>
      </c>
      <c r="CR167" s="2" t="s">
        <v>7160</v>
      </c>
      <c r="CT167" s="2" t="s">
        <v>7143</v>
      </c>
      <c r="CU167" s="2" t="s">
        <v>7454</v>
      </c>
      <c r="CW167" s="2" t="s">
        <v>7162</v>
      </c>
      <c r="CY167" s="2" t="s">
        <v>7163</v>
      </c>
      <c r="CZ167" s="2" t="s">
        <v>7250</v>
      </c>
      <c r="DA167" s="2" t="s">
        <v>7250</v>
      </c>
      <c r="DB167" s="2" t="s">
        <v>7250</v>
      </c>
      <c r="DC167" s="2" t="s">
        <v>7321</v>
      </c>
      <c r="DD167" s="2" t="s">
        <v>7250</v>
      </c>
      <c r="DE167" s="2" t="s">
        <v>7250</v>
      </c>
      <c r="DF167" s="2" t="s">
        <v>7250</v>
      </c>
      <c r="DG167" s="2" t="s">
        <v>7321</v>
      </c>
      <c r="DH167" s="2" t="s">
        <v>7321</v>
      </c>
      <c r="DI167" s="2" t="s">
        <v>7321</v>
      </c>
      <c r="DL167" s="2" t="s">
        <v>7143</v>
      </c>
      <c r="DM167" s="2" t="s">
        <v>7143</v>
      </c>
      <c r="DP167" s="2" t="s">
        <v>7173</v>
      </c>
      <c r="DT167" s="2" t="s">
        <v>7165</v>
      </c>
      <c r="DU167" s="2" t="s">
        <v>7165</v>
      </c>
      <c r="DV167" s="2" t="s">
        <v>7165</v>
      </c>
      <c r="DW167" s="2" t="s">
        <v>7165</v>
      </c>
      <c r="DX167" s="2" t="s">
        <v>7159</v>
      </c>
      <c r="DY167" s="2" t="s">
        <v>7159</v>
      </c>
      <c r="DZ167" s="2" t="s">
        <v>7159</v>
      </c>
      <c r="EA167" s="2" t="s">
        <v>7159</v>
      </c>
      <c r="EB167" s="2" t="s">
        <v>7165</v>
      </c>
      <c r="EC167" s="2" t="s">
        <v>7173</v>
      </c>
      <c r="EF167" s="2" t="s">
        <v>7221</v>
      </c>
      <c r="EG167" s="2" t="s">
        <v>1366</v>
      </c>
      <c r="EJ167" s="2" t="s">
        <v>7217</v>
      </c>
      <c r="EK167" s="2" t="s">
        <v>7143</v>
      </c>
      <c r="EL167" s="2" t="s">
        <v>7143</v>
      </c>
      <c r="EN167" s="2" t="s">
        <v>7170</v>
      </c>
      <c r="EP167" s="2" t="s">
        <v>7186</v>
      </c>
      <c r="ER167" s="2" t="s">
        <v>7143</v>
      </c>
      <c r="ET167" s="2" t="s">
        <v>7143</v>
      </c>
      <c r="EV167" s="2" t="s">
        <v>7143</v>
      </c>
      <c r="EX167" s="2" t="s">
        <v>7143</v>
      </c>
      <c r="EZ167" s="2" t="s">
        <v>7143</v>
      </c>
      <c r="FC167" s="2" t="s">
        <v>7218</v>
      </c>
      <c r="FD167" s="2" t="s">
        <v>7143</v>
      </c>
      <c r="FH167" s="2" t="s">
        <v>7173</v>
      </c>
      <c r="FJ167" s="2" t="s">
        <v>7143</v>
      </c>
      <c r="FK167" s="2" t="s">
        <v>7173</v>
      </c>
      <c r="FN167" s="2" t="s">
        <v>7322</v>
      </c>
      <c r="FR167" s="2" t="s">
        <v>421</v>
      </c>
      <c r="FT167" s="2" t="s">
        <v>7176</v>
      </c>
      <c r="FU167" s="2" t="s">
        <v>7176</v>
      </c>
      <c r="FV167" s="2" t="s">
        <v>7176</v>
      </c>
      <c r="FW167" s="2" t="s">
        <v>7189</v>
      </c>
      <c r="FZ167" s="19" t="s">
        <v>7804</v>
      </c>
    </row>
    <row r="168" spans="1:182">
      <c r="A168" s="7" t="s">
        <v>1367</v>
      </c>
      <c r="D168" s="7" t="s">
        <v>7805</v>
      </c>
      <c r="E168" s="7" t="s">
        <v>177</v>
      </c>
      <c r="F168" s="7" t="s">
        <v>7245</v>
      </c>
      <c r="G168" s="7" t="s">
        <v>7717</v>
      </c>
      <c r="H168" s="7" t="s">
        <v>1263</v>
      </c>
      <c r="I168" s="7" t="s">
        <v>1368</v>
      </c>
      <c r="J168" s="16" t="s">
        <v>7806</v>
      </c>
      <c r="K168" s="7" t="s">
        <v>1369</v>
      </c>
      <c r="L168" s="7" t="s">
        <v>7281</v>
      </c>
      <c r="M168" s="7" t="s">
        <v>7179</v>
      </c>
      <c r="N168" s="7">
        <v>1966</v>
      </c>
      <c r="O168" s="7" t="s">
        <v>7180</v>
      </c>
      <c r="P168" s="7" t="s">
        <v>7181</v>
      </c>
      <c r="Q168" s="7" t="s">
        <v>7225</v>
      </c>
      <c r="R168" s="7" t="s">
        <v>7143</v>
      </c>
      <c r="S168" s="7">
        <v>2010</v>
      </c>
      <c r="T168" s="7" t="s">
        <v>7143</v>
      </c>
      <c r="U168" s="7" t="s">
        <v>7143</v>
      </c>
      <c r="Y168" s="2">
        <v>550</v>
      </c>
      <c r="Z168" s="17">
        <v>0.90910000000000002</v>
      </c>
      <c r="AA168" s="2">
        <v>500</v>
      </c>
      <c r="AB168" s="2">
        <v>500</v>
      </c>
      <c r="AC168" s="7">
        <v>260</v>
      </c>
      <c r="AD168" s="2">
        <v>300</v>
      </c>
      <c r="AE168" s="2">
        <v>40</v>
      </c>
      <c r="AF168" s="2" t="s">
        <v>7142</v>
      </c>
      <c r="AG168" s="2" t="s">
        <v>7142</v>
      </c>
      <c r="AH168" s="2" t="s">
        <v>7142</v>
      </c>
      <c r="AI168" s="2" t="s">
        <v>1370</v>
      </c>
      <c r="AJ168" s="2" t="s">
        <v>7143</v>
      </c>
      <c r="AK168" s="2" t="s">
        <v>7142</v>
      </c>
      <c r="AL168" s="2" t="s">
        <v>7142</v>
      </c>
      <c r="AM168" s="2" t="s">
        <v>7143</v>
      </c>
      <c r="AN168" s="2" t="s">
        <v>7143</v>
      </c>
      <c r="AO168" s="2" t="s">
        <v>7143</v>
      </c>
      <c r="AR168" s="7">
        <v>1.1000000000000001</v>
      </c>
      <c r="AS168" s="7">
        <v>2</v>
      </c>
      <c r="AT168" s="7">
        <v>3</v>
      </c>
      <c r="AU168" s="7" t="s">
        <v>7144</v>
      </c>
      <c r="AV168" s="7" t="s">
        <v>7144</v>
      </c>
      <c r="AW168" s="7" t="s">
        <v>7143</v>
      </c>
      <c r="AZ168" s="2" t="s">
        <v>7337</v>
      </c>
      <c r="BB168" s="2" t="s">
        <v>7214</v>
      </c>
      <c r="BC168" s="7" t="s">
        <v>7247</v>
      </c>
      <c r="BD168" s="7" t="s">
        <v>7142</v>
      </c>
      <c r="BE168" s="7" t="s">
        <v>7142</v>
      </c>
      <c r="BF168" s="7" t="s">
        <v>7148</v>
      </c>
      <c r="BG168" s="7" t="s">
        <v>7149</v>
      </c>
      <c r="BH168" s="7" t="s">
        <v>7248</v>
      </c>
      <c r="BI168" s="7" t="s">
        <v>7151</v>
      </c>
      <c r="BL168" s="7" t="s">
        <v>7152</v>
      </c>
      <c r="BM168" s="7" t="s">
        <v>7153</v>
      </c>
      <c r="BN168" s="7" t="s">
        <v>7154</v>
      </c>
      <c r="BO168" s="7" t="s">
        <v>7155</v>
      </c>
      <c r="BQ168" s="2" t="s">
        <v>7256</v>
      </c>
      <c r="BS168" s="7" t="s">
        <v>7142</v>
      </c>
      <c r="BT168" s="2" t="s">
        <v>7215</v>
      </c>
      <c r="BV168" s="2" t="s">
        <v>7304</v>
      </c>
      <c r="BX168" s="2" t="s">
        <v>7142</v>
      </c>
      <c r="BY168" s="2" t="s">
        <v>310</v>
      </c>
      <c r="BZ168" s="2" t="s">
        <v>7159</v>
      </c>
      <c r="CE168" s="7">
        <v>3</v>
      </c>
      <c r="CF168" s="2">
        <v>290</v>
      </c>
      <c r="CK168" s="2">
        <v>100</v>
      </c>
      <c r="CO168" s="2">
        <v>100</v>
      </c>
      <c r="CR168" s="2" t="s">
        <v>7160</v>
      </c>
      <c r="CT168" s="2" t="s">
        <v>7143</v>
      </c>
      <c r="CU168" s="2" t="s">
        <v>7234</v>
      </c>
      <c r="CW168" s="2" t="s">
        <v>7162</v>
      </c>
      <c r="CY168" s="2" t="s">
        <v>7163</v>
      </c>
      <c r="CZ168" s="2" t="s">
        <v>7163</v>
      </c>
      <c r="DA168" s="2" t="s">
        <v>7250</v>
      </c>
      <c r="DB168" s="2" t="s">
        <v>7251</v>
      </c>
      <c r="DC168" s="2" t="s">
        <v>7250</v>
      </c>
      <c r="DD168" s="2" t="s">
        <v>7251</v>
      </c>
      <c r="DE168" s="2" t="s">
        <v>7250</v>
      </c>
      <c r="DF168" s="2" t="s">
        <v>7163</v>
      </c>
      <c r="DG168" s="2" t="s">
        <v>7164</v>
      </c>
      <c r="DH168" s="2" t="s">
        <v>7164</v>
      </c>
      <c r="DI168" s="2" t="s">
        <v>7164</v>
      </c>
      <c r="DL168" s="7" t="s">
        <v>7142</v>
      </c>
      <c r="DM168" s="7" t="s">
        <v>7142</v>
      </c>
      <c r="DN168" s="7" t="s">
        <v>7142</v>
      </c>
      <c r="DO168" s="7" t="s">
        <v>7142</v>
      </c>
      <c r="DP168" s="7" t="s">
        <v>7165</v>
      </c>
      <c r="DQ168" s="7" t="s">
        <v>7166</v>
      </c>
      <c r="DT168" s="2" t="s">
        <v>7165</v>
      </c>
      <c r="DU168" s="2" t="s">
        <v>7165</v>
      </c>
      <c r="DV168" s="2" t="s">
        <v>7165</v>
      </c>
      <c r="DW168" s="2" t="s">
        <v>7165</v>
      </c>
      <c r="DX168" s="2" t="s">
        <v>7165</v>
      </c>
      <c r="DY168" s="2" t="s">
        <v>7165</v>
      </c>
      <c r="DZ168" s="2" t="s">
        <v>7159</v>
      </c>
      <c r="EA168" s="2" t="s">
        <v>7165</v>
      </c>
      <c r="EB168" s="2" t="s">
        <v>7159</v>
      </c>
      <c r="EC168" s="2" t="s">
        <v>7159</v>
      </c>
      <c r="EF168" s="7" t="s">
        <v>7167</v>
      </c>
      <c r="EJ168" s="7" t="s">
        <v>7144</v>
      </c>
      <c r="EK168" s="7" t="s">
        <v>7142</v>
      </c>
      <c r="EL168" s="2" t="s">
        <v>7143</v>
      </c>
      <c r="EN168" s="7" t="s">
        <v>7170</v>
      </c>
      <c r="EP168" s="7" t="s">
        <v>7186</v>
      </c>
      <c r="ER168" s="2" t="s">
        <v>7142</v>
      </c>
      <c r="ET168" s="7" t="s">
        <v>7143</v>
      </c>
      <c r="EV168" s="2" t="s">
        <v>7142</v>
      </c>
      <c r="EW168" s="2" t="s">
        <v>7204</v>
      </c>
      <c r="EX168" s="7" t="s">
        <v>7142</v>
      </c>
      <c r="EY168" s="7" t="s">
        <v>7204</v>
      </c>
      <c r="FC168" s="2" t="s">
        <v>7172</v>
      </c>
      <c r="FD168" s="2" t="s">
        <v>7143</v>
      </c>
      <c r="FH168" s="7" t="s">
        <v>7173</v>
      </c>
      <c r="FJ168" s="7" t="s">
        <v>7142</v>
      </c>
      <c r="FK168" s="7" t="s">
        <v>7165</v>
      </c>
      <c r="FL168" s="7" t="s">
        <v>7265</v>
      </c>
      <c r="FN168" s="2" t="s">
        <v>7481</v>
      </c>
      <c r="FT168" s="2" t="s">
        <v>7189</v>
      </c>
      <c r="FU168" s="2" t="s">
        <v>7189</v>
      </c>
      <c r="FV168" s="2" t="s">
        <v>7189</v>
      </c>
      <c r="FW168" s="2" t="s">
        <v>7189</v>
      </c>
      <c r="FZ168" s="19" t="s">
        <v>7807</v>
      </c>
    </row>
    <row r="169" spans="1:182">
      <c r="A169" s="7" t="s">
        <v>1371</v>
      </c>
      <c r="D169" s="7" t="s">
        <v>7808</v>
      </c>
      <c r="E169" s="7" t="s">
        <v>1345</v>
      </c>
      <c r="F169" s="7" t="s">
        <v>7319</v>
      </c>
      <c r="G169" s="7" t="s">
        <v>7717</v>
      </c>
      <c r="H169" s="7" t="s">
        <v>1263</v>
      </c>
      <c r="I169" s="7" t="s">
        <v>1372</v>
      </c>
      <c r="J169" s="16" t="s">
        <v>7809</v>
      </c>
      <c r="K169" s="7" t="s">
        <v>1372</v>
      </c>
      <c r="L169" s="7" t="s">
        <v>7137</v>
      </c>
      <c r="M169" s="7" t="s">
        <v>7138</v>
      </c>
      <c r="N169" s="7">
        <v>1970</v>
      </c>
      <c r="O169" s="7" t="s">
        <v>7180</v>
      </c>
      <c r="P169" s="7" t="s">
        <v>7140</v>
      </c>
      <c r="Q169" s="7" t="s">
        <v>7182</v>
      </c>
      <c r="R169" s="7" t="s">
        <v>7143</v>
      </c>
      <c r="S169" s="7">
        <v>30</v>
      </c>
      <c r="T169" s="7" t="s">
        <v>7143</v>
      </c>
      <c r="U169" s="7" t="s">
        <v>7143</v>
      </c>
      <c r="Y169" s="2">
        <v>550</v>
      </c>
      <c r="Z169" s="17">
        <v>1</v>
      </c>
      <c r="AA169" s="2">
        <v>550</v>
      </c>
      <c r="AB169" s="2">
        <v>550</v>
      </c>
      <c r="AC169" s="7">
        <v>550</v>
      </c>
      <c r="AD169" s="2">
        <v>800</v>
      </c>
      <c r="AE169" s="2">
        <v>250</v>
      </c>
      <c r="AF169" s="7" t="s">
        <v>7143</v>
      </c>
      <c r="AG169" s="7" t="s">
        <v>7143</v>
      </c>
      <c r="AH169" s="7" t="s">
        <v>7143</v>
      </c>
      <c r="AJ169" s="7" t="s">
        <v>7143</v>
      </c>
      <c r="AK169" s="7" t="s">
        <v>7143</v>
      </c>
      <c r="AL169" s="7" t="s">
        <v>7142</v>
      </c>
      <c r="AM169" s="7" t="s">
        <v>7143</v>
      </c>
      <c r="AN169" s="7" t="s">
        <v>7143</v>
      </c>
      <c r="AO169" s="7" t="s">
        <v>7143</v>
      </c>
      <c r="AR169" s="7">
        <v>3</v>
      </c>
      <c r="AS169" s="7">
        <v>5</v>
      </c>
      <c r="AT169" s="7">
        <v>8</v>
      </c>
      <c r="AU169" s="2" t="s">
        <v>7193</v>
      </c>
      <c r="AV169" s="2" t="s">
        <v>7193</v>
      </c>
      <c r="AW169" s="2" t="s">
        <v>7143</v>
      </c>
      <c r="AZ169" s="2" t="s">
        <v>7145</v>
      </c>
      <c r="BB169" s="2" t="s">
        <v>7268</v>
      </c>
      <c r="BC169" s="2" t="s">
        <v>7247</v>
      </c>
      <c r="BD169" s="2" t="s">
        <v>7142</v>
      </c>
      <c r="BE169" s="2" t="s">
        <v>7142</v>
      </c>
      <c r="BF169" s="2" t="s">
        <v>7148</v>
      </c>
      <c r="BG169" s="2" t="s">
        <v>7149</v>
      </c>
      <c r="BH169" s="2" t="s">
        <v>7150</v>
      </c>
      <c r="BI169" s="2" t="s">
        <v>7269</v>
      </c>
      <c r="BL169" s="2" t="s">
        <v>7152</v>
      </c>
      <c r="BM169" s="2" t="s">
        <v>7153</v>
      </c>
      <c r="BN169" s="2" t="s">
        <v>7154</v>
      </c>
      <c r="BO169" s="2" t="s">
        <v>7155</v>
      </c>
      <c r="BQ169" s="2" t="s">
        <v>7156</v>
      </c>
      <c r="BS169" s="2" t="s">
        <v>7142</v>
      </c>
      <c r="BT169" s="2" t="s">
        <v>7215</v>
      </c>
      <c r="BV169" s="2" t="s">
        <v>7202</v>
      </c>
      <c r="BX169" s="2" t="s">
        <v>7143</v>
      </c>
      <c r="BZ169" s="2" t="s">
        <v>7173</v>
      </c>
      <c r="CE169" s="7">
        <v>8</v>
      </c>
      <c r="CF169" s="2">
        <v>800</v>
      </c>
      <c r="CH169" s="2">
        <v>0</v>
      </c>
      <c r="CI169" s="2">
        <v>0</v>
      </c>
      <c r="CJ169" s="2">
        <v>0</v>
      </c>
      <c r="CK169" s="2">
        <v>100</v>
      </c>
      <c r="CL169" s="2">
        <v>0</v>
      </c>
      <c r="CM169" s="2">
        <v>0</v>
      </c>
      <c r="CO169" s="2">
        <v>100</v>
      </c>
      <c r="CP169" s="2">
        <v>0</v>
      </c>
      <c r="CQ169" s="2">
        <v>0</v>
      </c>
      <c r="CR169" s="2" t="s">
        <v>7160</v>
      </c>
      <c r="CT169" s="2" t="s">
        <v>7143</v>
      </c>
      <c r="CU169" s="2" t="s">
        <v>7161</v>
      </c>
      <c r="CW169" s="2" t="s">
        <v>7162</v>
      </c>
      <c r="CY169" s="2" t="s">
        <v>7250</v>
      </c>
      <c r="CZ169" s="2" t="s">
        <v>7250</v>
      </c>
      <c r="DA169" s="2" t="s">
        <v>7250</v>
      </c>
      <c r="DB169" s="2" t="s">
        <v>7250</v>
      </c>
      <c r="DC169" s="2" t="s">
        <v>7250</v>
      </c>
      <c r="DD169" s="2" t="s">
        <v>7250</v>
      </c>
      <c r="DE169" s="2" t="s">
        <v>7250</v>
      </c>
      <c r="DF169" s="2" t="s">
        <v>7250</v>
      </c>
      <c r="DG169" s="2" t="s">
        <v>7250</v>
      </c>
      <c r="DH169" s="2" t="s">
        <v>7250</v>
      </c>
      <c r="DI169" s="2" t="s">
        <v>7250</v>
      </c>
      <c r="DL169" s="2" t="s">
        <v>7143</v>
      </c>
      <c r="DM169" s="2" t="s">
        <v>7143</v>
      </c>
      <c r="DP169" s="2" t="s">
        <v>7173</v>
      </c>
      <c r="DT169" s="2" t="s">
        <v>7159</v>
      </c>
      <c r="DU169" s="2" t="s">
        <v>7159</v>
      </c>
      <c r="DV169" s="2" t="s">
        <v>7159</v>
      </c>
      <c r="DW169" s="2" t="s">
        <v>7159</v>
      </c>
      <c r="DX169" s="2" t="s">
        <v>7159</v>
      </c>
      <c r="DY169" s="2" t="s">
        <v>7159</v>
      </c>
      <c r="DZ169" s="2" t="s">
        <v>7159</v>
      </c>
      <c r="EA169" s="2" t="s">
        <v>7159</v>
      </c>
      <c r="EB169" s="2" t="s">
        <v>7159</v>
      </c>
      <c r="EC169" s="2" t="s">
        <v>7159</v>
      </c>
      <c r="EF169" s="2" t="s">
        <v>7252</v>
      </c>
      <c r="EG169" s="2" t="s">
        <v>431</v>
      </c>
      <c r="EJ169" s="2" t="s">
        <v>7217</v>
      </c>
      <c r="EK169" s="2" t="s">
        <v>7143</v>
      </c>
      <c r="EL169" s="2" t="s">
        <v>7143</v>
      </c>
      <c r="EN169" s="2" t="s">
        <v>7210</v>
      </c>
      <c r="EP169" s="2" t="s">
        <v>7186</v>
      </c>
      <c r="ER169" s="2" t="s">
        <v>7143</v>
      </c>
      <c r="ET169" s="2" t="s">
        <v>7143</v>
      </c>
      <c r="EV169" s="2" t="s">
        <v>7143</v>
      </c>
      <c r="EX169" s="2" t="s">
        <v>7143</v>
      </c>
      <c r="EZ169" s="2" t="s">
        <v>7143</v>
      </c>
      <c r="FC169" s="2" t="s">
        <v>7218</v>
      </c>
      <c r="FD169" s="2" t="s">
        <v>7143</v>
      </c>
      <c r="FH169" s="2" t="s">
        <v>7173</v>
      </c>
      <c r="FJ169" s="2" t="s">
        <v>7143</v>
      </c>
      <c r="FK169" s="2" t="s">
        <v>7173</v>
      </c>
      <c r="FN169" s="2" t="s">
        <v>7322</v>
      </c>
      <c r="FR169" s="2" t="s">
        <v>1373</v>
      </c>
      <c r="FT169" s="2" t="s">
        <v>7345</v>
      </c>
      <c r="FU169" s="2" t="s">
        <v>7189</v>
      </c>
      <c r="FV169" s="2" t="s">
        <v>7189</v>
      </c>
      <c r="FW169" s="2" t="s">
        <v>7176</v>
      </c>
      <c r="FZ169" s="19" t="s">
        <v>7810</v>
      </c>
    </row>
    <row r="170" spans="1:182">
      <c r="A170" s="7" t="s">
        <v>1374</v>
      </c>
      <c r="D170" s="7" t="s">
        <v>7811</v>
      </c>
      <c r="E170" s="7" t="s">
        <v>1375</v>
      </c>
      <c r="F170" s="7" t="s">
        <v>7339</v>
      </c>
      <c r="G170" s="7" t="s">
        <v>7717</v>
      </c>
      <c r="H170" s="7" t="s">
        <v>1212</v>
      </c>
      <c r="I170" s="7" t="s">
        <v>1376</v>
      </c>
      <c r="J170" s="16" t="s">
        <v>7812</v>
      </c>
      <c r="K170" s="7" t="s">
        <v>1376</v>
      </c>
      <c r="L170" s="2" t="s">
        <v>7137</v>
      </c>
      <c r="M170" s="7" t="s">
        <v>7138</v>
      </c>
      <c r="N170" s="7">
        <v>1975</v>
      </c>
      <c r="O170" s="7" t="s">
        <v>7139</v>
      </c>
      <c r="P170" s="2" t="s">
        <v>7140</v>
      </c>
      <c r="Q170" s="2" t="s">
        <v>7225</v>
      </c>
      <c r="R170" s="2" t="s">
        <v>7143</v>
      </c>
      <c r="S170" s="2">
        <v>16</v>
      </c>
      <c r="T170" s="2" t="s">
        <v>7143</v>
      </c>
      <c r="U170" s="2" t="s">
        <v>7143</v>
      </c>
      <c r="Y170" s="2">
        <v>202</v>
      </c>
      <c r="Z170" s="17">
        <v>1</v>
      </c>
      <c r="AA170" s="2">
        <v>202</v>
      </c>
      <c r="AB170" s="2">
        <v>202</v>
      </c>
      <c r="AC170" s="7">
        <v>202</v>
      </c>
      <c r="AD170" s="2">
        <v>297</v>
      </c>
      <c r="AE170" s="2">
        <v>95</v>
      </c>
      <c r="AF170" s="2" t="s">
        <v>7143</v>
      </c>
      <c r="AG170" s="2" t="s">
        <v>7143</v>
      </c>
      <c r="AH170" s="2" t="s">
        <v>7143</v>
      </c>
      <c r="AJ170" s="2" t="s">
        <v>7143</v>
      </c>
      <c r="AK170" s="2" t="s">
        <v>7143</v>
      </c>
      <c r="AL170" s="2" t="s">
        <v>7143</v>
      </c>
      <c r="AM170" s="2" t="s">
        <v>7143</v>
      </c>
      <c r="AN170" s="2" t="s">
        <v>7143</v>
      </c>
      <c r="AO170" s="2" t="s">
        <v>7143</v>
      </c>
      <c r="AR170" s="7">
        <v>1.8</v>
      </c>
      <c r="AS170" s="7">
        <v>3</v>
      </c>
      <c r="AT170" s="7">
        <v>3</v>
      </c>
      <c r="AU170" s="2" t="s">
        <v>7193</v>
      </c>
      <c r="AV170" s="2" t="s">
        <v>7193</v>
      </c>
      <c r="AW170" s="2" t="s">
        <v>7143</v>
      </c>
      <c r="AZ170" s="2" t="s">
        <v>7145</v>
      </c>
      <c r="BB170" s="2" t="s">
        <v>7214</v>
      </c>
      <c r="BC170" s="2" t="s">
        <v>7247</v>
      </c>
      <c r="BD170" s="2" t="s">
        <v>7142</v>
      </c>
      <c r="BE170" s="2" t="s">
        <v>7142</v>
      </c>
      <c r="BF170" s="2" t="s">
        <v>7148</v>
      </c>
      <c r="BG170" s="2" t="s">
        <v>7149</v>
      </c>
      <c r="BH170" s="2" t="s">
        <v>7150</v>
      </c>
      <c r="BI170" s="2" t="s">
        <v>7396</v>
      </c>
      <c r="BL170" s="2" t="s">
        <v>7195</v>
      </c>
      <c r="BO170" s="2" t="s">
        <v>7155</v>
      </c>
      <c r="BQ170" s="2" t="s">
        <v>7183</v>
      </c>
      <c r="BS170" s="2" t="s">
        <v>7143</v>
      </c>
      <c r="BT170" s="2" t="s">
        <v>7215</v>
      </c>
      <c r="BV170" s="2" t="s">
        <v>7813</v>
      </c>
      <c r="BX170" s="2" t="s">
        <v>7142</v>
      </c>
      <c r="BY170" s="2" t="s">
        <v>1378</v>
      </c>
      <c r="BZ170" s="2" t="s">
        <v>7159</v>
      </c>
      <c r="CE170" s="7">
        <v>3</v>
      </c>
      <c r="CF170" s="2">
        <v>297</v>
      </c>
      <c r="CK170" s="2"/>
      <c r="CM170" s="2">
        <v>100</v>
      </c>
      <c r="CO170" s="2">
        <v>100</v>
      </c>
      <c r="CR170" s="2" t="s">
        <v>7357</v>
      </c>
      <c r="CT170" s="2" t="s">
        <v>7143</v>
      </c>
      <c r="CU170" s="2" t="s">
        <v>7161</v>
      </c>
      <c r="CW170" s="2" t="s">
        <v>7162</v>
      </c>
      <c r="CY170" s="2" t="s">
        <v>7358</v>
      </c>
      <c r="CZ170" s="2" t="s">
        <v>7358</v>
      </c>
      <c r="DA170" s="2" t="s">
        <v>7250</v>
      </c>
      <c r="DB170" s="2" t="s">
        <v>7250</v>
      </c>
      <c r="DC170" s="2" t="s">
        <v>7582</v>
      </c>
      <c r="DD170" s="2" t="s">
        <v>7250</v>
      </c>
      <c r="DE170" s="2" t="s">
        <v>7250</v>
      </c>
      <c r="DF170" s="2" t="s">
        <v>7250</v>
      </c>
      <c r="DG170" s="2" t="s">
        <v>7227</v>
      </c>
      <c r="DH170" s="2" t="s">
        <v>7227</v>
      </c>
      <c r="DI170" s="2" t="s">
        <v>7250</v>
      </c>
      <c r="DL170" s="2" t="s">
        <v>7142</v>
      </c>
      <c r="DM170" s="2" t="s">
        <v>7142</v>
      </c>
      <c r="DN170" s="2" t="s">
        <v>7142</v>
      </c>
      <c r="DO170" s="2" t="s">
        <v>7142</v>
      </c>
      <c r="DP170" s="2" t="s">
        <v>7165</v>
      </c>
      <c r="DQ170" s="2" t="s">
        <v>7333</v>
      </c>
      <c r="DR170" s="2" t="s">
        <v>1379</v>
      </c>
      <c r="DT170" s="2" t="s">
        <v>7165</v>
      </c>
      <c r="DU170" s="2" t="s">
        <v>7165</v>
      </c>
      <c r="DV170" s="2" t="s">
        <v>7165</v>
      </c>
      <c r="DW170" s="2" t="s">
        <v>7165</v>
      </c>
      <c r="DX170" s="2" t="s">
        <v>7165</v>
      </c>
      <c r="DY170" s="2" t="s">
        <v>7165</v>
      </c>
      <c r="DZ170" s="2" t="s">
        <v>7165</v>
      </c>
      <c r="EA170" s="2" t="s">
        <v>7159</v>
      </c>
      <c r="EB170" s="2" t="s">
        <v>7159</v>
      </c>
      <c r="EC170" s="2" t="s">
        <v>7159</v>
      </c>
      <c r="ED170" s="2" t="s">
        <v>7159</v>
      </c>
      <c r="EF170" s="2" t="s">
        <v>7252</v>
      </c>
      <c r="EG170" s="2" t="s">
        <v>1380</v>
      </c>
      <c r="EJ170" s="2" t="s">
        <v>7193</v>
      </c>
      <c r="EK170" s="2" t="s">
        <v>7142</v>
      </c>
      <c r="EL170" s="2" t="s">
        <v>7143</v>
      </c>
      <c r="EN170" s="2" t="s">
        <v>7170</v>
      </c>
      <c r="EP170" s="2" t="s">
        <v>7186</v>
      </c>
      <c r="ER170" s="2" t="s">
        <v>7142</v>
      </c>
      <c r="ET170" s="2" t="s">
        <v>7143</v>
      </c>
      <c r="EV170" s="2" t="s">
        <v>7142</v>
      </c>
      <c r="EW170" s="2" t="s">
        <v>7171</v>
      </c>
      <c r="EX170" s="2" t="s">
        <v>7143</v>
      </c>
      <c r="EZ170" s="2" t="s">
        <v>7143</v>
      </c>
      <c r="FC170" s="2" t="s">
        <v>7309</v>
      </c>
      <c r="FD170" s="2" t="s">
        <v>7143</v>
      </c>
      <c r="FH170" s="2" t="s">
        <v>7173</v>
      </c>
      <c r="FJ170" s="2" t="s">
        <v>7143</v>
      </c>
      <c r="FK170" s="2" t="s">
        <v>7173</v>
      </c>
      <c r="FN170" s="2" t="s">
        <v>7243</v>
      </c>
      <c r="FO170" s="2" t="s">
        <v>1381</v>
      </c>
      <c r="FR170" s="2" t="s">
        <v>1382</v>
      </c>
      <c r="FT170" s="2" t="s">
        <v>7189</v>
      </c>
      <c r="FU170" s="2" t="s">
        <v>7189</v>
      </c>
      <c r="FV170" s="2" t="s">
        <v>7189</v>
      </c>
      <c r="FW170" s="2" t="s">
        <v>7189</v>
      </c>
      <c r="FX170" s="2" t="s">
        <v>7189</v>
      </c>
      <c r="FZ170" s="19" t="s">
        <v>7814</v>
      </c>
    </row>
    <row r="171" spans="1:182">
      <c r="A171" s="7" t="s">
        <v>1383</v>
      </c>
      <c r="D171" s="7" t="s">
        <v>7815</v>
      </c>
      <c r="E171" s="7" t="s">
        <v>1384</v>
      </c>
      <c r="F171" s="7" t="s">
        <v>7389</v>
      </c>
      <c r="G171" s="7" t="s">
        <v>7717</v>
      </c>
      <c r="H171" s="7" t="s">
        <v>1385</v>
      </c>
      <c r="I171" s="7" t="s">
        <v>1386</v>
      </c>
      <c r="J171" s="16" t="s">
        <v>7803</v>
      </c>
      <c r="K171" s="7" t="s">
        <v>1387</v>
      </c>
      <c r="L171" s="2" t="s">
        <v>7137</v>
      </c>
      <c r="M171" s="7" t="s">
        <v>7179</v>
      </c>
      <c r="N171" s="7">
        <v>1999</v>
      </c>
      <c r="O171" s="7" t="s">
        <v>7139</v>
      </c>
      <c r="P171" s="7" t="s">
        <v>7181</v>
      </c>
      <c r="Q171" s="2" t="s">
        <v>7141</v>
      </c>
      <c r="R171" s="2" t="s">
        <v>7143</v>
      </c>
      <c r="S171" s="2">
        <v>17</v>
      </c>
      <c r="T171" s="2" t="s">
        <v>7143</v>
      </c>
      <c r="U171" s="2" t="s">
        <v>7143</v>
      </c>
      <c r="Y171" s="2">
        <v>40</v>
      </c>
      <c r="Z171" s="17">
        <v>1</v>
      </c>
      <c r="AA171" s="2">
        <v>40</v>
      </c>
      <c r="AB171" s="2">
        <v>40</v>
      </c>
      <c r="AC171" s="7">
        <v>40</v>
      </c>
      <c r="AD171" s="2">
        <v>80</v>
      </c>
      <c r="AE171" s="2">
        <v>40</v>
      </c>
      <c r="AF171" s="2" t="s">
        <v>7143</v>
      </c>
      <c r="AG171" s="2" t="s">
        <v>7143</v>
      </c>
      <c r="AH171" s="2" t="s">
        <v>7143</v>
      </c>
      <c r="AJ171" s="2" t="s">
        <v>7143</v>
      </c>
      <c r="AK171" s="2" t="s">
        <v>7143</v>
      </c>
      <c r="AL171" s="2" t="s">
        <v>7143</v>
      </c>
      <c r="AM171" s="2" t="s">
        <v>7143</v>
      </c>
      <c r="AN171" s="2" t="s">
        <v>7143</v>
      </c>
      <c r="AO171" s="2" t="s">
        <v>7143</v>
      </c>
      <c r="AR171" s="7">
        <v>0.4</v>
      </c>
      <c r="AS171" s="7">
        <v>2</v>
      </c>
      <c r="AT171" s="7">
        <v>0.7</v>
      </c>
      <c r="AU171" s="2" t="s">
        <v>7217</v>
      </c>
      <c r="AV171" s="2" t="s">
        <v>7217</v>
      </c>
      <c r="AW171" s="2" t="s">
        <v>7143</v>
      </c>
      <c r="AZ171" s="2" t="s">
        <v>7145</v>
      </c>
      <c r="BB171" s="2" t="s">
        <v>7214</v>
      </c>
      <c r="BC171" s="2" t="s">
        <v>7247</v>
      </c>
      <c r="BD171" s="2" t="s">
        <v>7142</v>
      </c>
      <c r="BE171" s="2" t="s">
        <v>7142</v>
      </c>
      <c r="BF171" s="2" t="s">
        <v>7148</v>
      </c>
      <c r="BG171" s="2" t="s">
        <v>7149</v>
      </c>
      <c r="BH171" s="2" t="s">
        <v>7150</v>
      </c>
      <c r="BI171" s="2" t="s">
        <v>7151</v>
      </c>
      <c r="BL171" s="2" t="s">
        <v>7195</v>
      </c>
      <c r="BO171" s="2" t="s">
        <v>7155</v>
      </c>
      <c r="BQ171" s="2" t="s">
        <v>7183</v>
      </c>
      <c r="BS171" s="2" t="s">
        <v>7143</v>
      </c>
      <c r="BT171" s="2" t="s">
        <v>7412</v>
      </c>
      <c r="BV171" s="2" t="s">
        <v>7352</v>
      </c>
      <c r="BX171" s="2" t="s">
        <v>7142</v>
      </c>
      <c r="BY171" s="2" t="s">
        <v>631</v>
      </c>
      <c r="BZ171" s="2" t="s">
        <v>7173</v>
      </c>
      <c r="CE171" s="7">
        <v>0.7</v>
      </c>
      <c r="CF171" s="2">
        <v>80</v>
      </c>
      <c r="CK171" s="2">
        <v>100</v>
      </c>
      <c r="CO171" s="2">
        <v>100</v>
      </c>
      <c r="CR171" s="2" t="s">
        <v>7160</v>
      </c>
      <c r="CT171" s="2" t="s">
        <v>7143</v>
      </c>
      <c r="CU171" s="2" t="s">
        <v>7454</v>
      </c>
      <c r="CW171" s="2" t="s">
        <v>7162</v>
      </c>
      <c r="CY171" s="2" t="s">
        <v>7250</v>
      </c>
      <c r="CZ171" s="2" t="s">
        <v>7250</v>
      </c>
      <c r="DA171" s="2" t="s">
        <v>7250</v>
      </c>
      <c r="DB171" s="2" t="s">
        <v>7250</v>
      </c>
      <c r="DC171" s="2" t="s">
        <v>7321</v>
      </c>
      <c r="DD171" s="2" t="s">
        <v>7250</v>
      </c>
      <c r="DE171" s="2" t="s">
        <v>7250</v>
      </c>
      <c r="DF171" s="2" t="s">
        <v>7250</v>
      </c>
      <c r="DG171" s="2" t="s">
        <v>7250</v>
      </c>
      <c r="DH171" s="2" t="s">
        <v>7250</v>
      </c>
      <c r="DI171" s="2" t="s">
        <v>7250</v>
      </c>
      <c r="DL171" s="2" t="s">
        <v>7143</v>
      </c>
      <c r="DM171" s="2" t="s">
        <v>7143</v>
      </c>
      <c r="DP171" s="2" t="s">
        <v>7159</v>
      </c>
      <c r="DT171" s="2" t="s">
        <v>7159</v>
      </c>
      <c r="DU171" s="2" t="s">
        <v>7159</v>
      </c>
      <c r="DV171" s="2" t="s">
        <v>7159</v>
      </c>
      <c r="DW171" s="2" t="s">
        <v>7159</v>
      </c>
      <c r="DX171" s="2" t="s">
        <v>7159</v>
      </c>
      <c r="DY171" s="2" t="s">
        <v>7159</v>
      </c>
      <c r="DZ171" s="2" t="s">
        <v>7159</v>
      </c>
      <c r="EA171" s="2" t="s">
        <v>7159</v>
      </c>
      <c r="EB171" s="2" t="s">
        <v>7159</v>
      </c>
      <c r="EC171" s="2" t="s">
        <v>7159</v>
      </c>
      <c r="EF171" s="2" t="s">
        <v>7221</v>
      </c>
      <c r="EG171" s="2" t="s">
        <v>1388</v>
      </c>
      <c r="EJ171" s="2" t="s">
        <v>7217</v>
      </c>
      <c r="EK171" s="2" t="s">
        <v>7143</v>
      </c>
      <c r="EL171" s="2" t="s">
        <v>7143</v>
      </c>
      <c r="EN171" s="2" t="s">
        <v>7170</v>
      </c>
      <c r="EP171" s="2" t="s">
        <v>7186</v>
      </c>
      <c r="ER171" s="2" t="s">
        <v>7143</v>
      </c>
      <c r="ET171" s="2" t="s">
        <v>7143</v>
      </c>
      <c r="EV171" s="2" t="s">
        <v>7143</v>
      </c>
      <c r="EX171" s="2" t="s">
        <v>7143</v>
      </c>
      <c r="EZ171" s="2" t="s">
        <v>7143</v>
      </c>
      <c r="FC171" s="2" t="s">
        <v>7218</v>
      </c>
      <c r="FD171" s="2" t="s">
        <v>7143</v>
      </c>
      <c r="FH171" s="2" t="s">
        <v>7173</v>
      </c>
      <c r="FJ171" s="2" t="s">
        <v>7143</v>
      </c>
      <c r="FK171" s="2" t="s">
        <v>7173</v>
      </c>
      <c r="FN171" s="2" t="s">
        <v>7458</v>
      </c>
      <c r="FR171" s="2" t="s">
        <v>976</v>
      </c>
      <c r="FT171" s="2" t="s">
        <v>7189</v>
      </c>
      <c r="FU171" s="2" t="s">
        <v>7189</v>
      </c>
      <c r="FV171" s="2" t="s">
        <v>7176</v>
      </c>
      <c r="FW171" s="2" t="s">
        <v>7189</v>
      </c>
      <c r="FZ171" s="19" t="s">
        <v>7816</v>
      </c>
    </row>
    <row r="172" spans="1:182">
      <c r="A172" s="7" t="s">
        <v>1389</v>
      </c>
      <c r="D172" s="7" t="s">
        <v>7817</v>
      </c>
      <c r="E172" s="7" t="s">
        <v>177</v>
      </c>
      <c r="F172" s="7" t="s">
        <v>7134</v>
      </c>
      <c r="G172" s="7" t="s">
        <v>7717</v>
      </c>
      <c r="H172" s="7" t="s">
        <v>1207</v>
      </c>
      <c r="I172" s="7" t="s">
        <v>436</v>
      </c>
      <c r="J172" s="16" t="s">
        <v>7818</v>
      </c>
      <c r="K172" s="7" t="s">
        <v>1390</v>
      </c>
      <c r="L172" s="2" t="s">
        <v>7137</v>
      </c>
      <c r="M172" s="7" t="s">
        <v>7179</v>
      </c>
      <c r="N172" s="7">
        <v>1982</v>
      </c>
      <c r="O172" s="7" t="s">
        <v>7139</v>
      </c>
      <c r="P172" s="2" t="s">
        <v>7181</v>
      </c>
      <c r="Q172" s="2" t="s">
        <v>7225</v>
      </c>
      <c r="R172" s="2" t="s">
        <v>7143</v>
      </c>
      <c r="S172" s="2">
        <v>15</v>
      </c>
      <c r="T172" s="2" t="s">
        <v>7143</v>
      </c>
      <c r="U172" s="2" t="s">
        <v>7143</v>
      </c>
      <c r="Y172" s="2">
        <v>90</v>
      </c>
      <c r="Z172" s="17">
        <v>1</v>
      </c>
      <c r="AA172" s="2">
        <v>90</v>
      </c>
      <c r="AB172" s="2">
        <v>90</v>
      </c>
      <c r="AC172" s="7">
        <v>90</v>
      </c>
      <c r="AD172" s="2">
        <v>180</v>
      </c>
      <c r="AE172" s="2">
        <v>90</v>
      </c>
      <c r="AF172" s="2" t="s">
        <v>7142</v>
      </c>
      <c r="AG172" s="2" t="s">
        <v>7143</v>
      </c>
      <c r="AH172" s="2" t="s">
        <v>7143</v>
      </c>
      <c r="AJ172" s="2" t="s">
        <v>7143</v>
      </c>
      <c r="AK172" s="2" t="s">
        <v>7143</v>
      </c>
      <c r="AL172" s="2" t="s">
        <v>7143</v>
      </c>
      <c r="AM172" s="2" t="s">
        <v>7143</v>
      </c>
      <c r="AN172" s="2" t="s">
        <v>7143</v>
      </c>
      <c r="AO172" s="2" t="s">
        <v>7143</v>
      </c>
      <c r="AR172" s="7">
        <v>1.55</v>
      </c>
      <c r="AS172" s="7">
        <v>3</v>
      </c>
      <c r="AT172" s="7">
        <v>1.9</v>
      </c>
      <c r="AU172" s="2" t="s">
        <v>7193</v>
      </c>
      <c r="AV172" s="2" t="s">
        <v>7193</v>
      </c>
      <c r="AW172" s="2" t="s">
        <v>7143</v>
      </c>
      <c r="AZ172" s="2" t="s">
        <v>7145</v>
      </c>
      <c r="BB172" s="2" t="s">
        <v>7214</v>
      </c>
      <c r="BC172" s="2" t="s">
        <v>7147</v>
      </c>
      <c r="BD172" s="2" t="s">
        <v>7143</v>
      </c>
      <c r="BE172" s="2" t="s">
        <v>7142</v>
      </c>
      <c r="BF172" s="2" t="s">
        <v>7148</v>
      </c>
      <c r="BG172" s="2" t="s">
        <v>7149</v>
      </c>
      <c r="BH172" s="2" t="s">
        <v>7150</v>
      </c>
      <c r="BI172" s="2" t="s">
        <v>7151</v>
      </c>
      <c r="BL172" s="2" t="s">
        <v>7152</v>
      </c>
      <c r="BM172" s="2" t="s">
        <v>7153</v>
      </c>
      <c r="BN172" s="2" t="s">
        <v>7154</v>
      </c>
      <c r="BO172" s="2" t="s">
        <v>7155</v>
      </c>
      <c r="BQ172" s="2" t="s">
        <v>7156</v>
      </c>
      <c r="BS172" s="2" t="s">
        <v>7143</v>
      </c>
      <c r="BX172" s="2" t="s">
        <v>7143</v>
      </c>
      <c r="BZ172" s="2" t="s">
        <v>7159</v>
      </c>
      <c r="CE172" s="7">
        <v>1.9</v>
      </c>
      <c r="CF172" s="2">
        <v>180</v>
      </c>
      <c r="CK172" s="2">
        <v>100</v>
      </c>
      <c r="CO172" s="2">
        <v>100</v>
      </c>
      <c r="CR172" s="2" t="s">
        <v>7160</v>
      </c>
      <c r="CT172" s="2" t="s">
        <v>7143</v>
      </c>
      <c r="CU172" s="2" t="s">
        <v>7234</v>
      </c>
      <c r="CW172" s="2" t="s">
        <v>7162</v>
      </c>
      <c r="CY172" s="2" t="s">
        <v>7164</v>
      </c>
      <c r="CZ172" s="2" t="s">
        <v>7164</v>
      </c>
      <c r="DA172" s="2" t="s">
        <v>7164</v>
      </c>
      <c r="DB172" s="2" t="s">
        <v>7164</v>
      </c>
      <c r="DL172" s="2" t="s">
        <v>7143</v>
      </c>
      <c r="DM172" s="2" t="s">
        <v>7143</v>
      </c>
      <c r="DP172" s="2" t="s">
        <v>7159</v>
      </c>
      <c r="DT172" s="2" t="s">
        <v>7159</v>
      </c>
      <c r="DU172" s="2" t="s">
        <v>7159</v>
      </c>
      <c r="DV172" s="2" t="s">
        <v>7159</v>
      </c>
      <c r="DW172" s="2" t="s">
        <v>7159</v>
      </c>
      <c r="DX172" s="2" t="s">
        <v>7159</v>
      </c>
      <c r="DY172" s="2" t="s">
        <v>7159</v>
      </c>
      <c r="DZ172" s="2" t="s">
        <v>7159</v>
      </c>
      <c r="EA172" s="2" t="s">
        <v>7159</v>
      </c>
      <c r="EB172" s="2" t="s">
        <v>7159</v>
      </c>
      <c r="EJ172" s="2" t="s">
        <v>7193</v>
      </c>
      <c r="EK172" s="2" t="s">
        <v>7143</v>
      </c>
      <c r="EL172" s="2" t="s">
        <v>7143</v>
      </c>
      <c r="EN172" s="2" t="s">
        <v>7170</v>
      </c>
      <c r="EP172" s="2" t="s">
        <v>7308</v>
      </c>
      <c r="ER172" s="2" t="s">
        <v>7143</v>
      </c>
      <c r="ET172" s="2" t="s">
        <v>7143</v>
      </c>
      <c r="EV172" s="2" t="s">
        <v>7143</v>
      </c>
      <c r="EX172" s="2" t="s">
        <v>7143</v>
      </c>
      <c r="FC172" s="2" t="s">
        <v>7172</v>
      </c>
      <c r="FD172" s="2" t="s">
        <v>7143</v>
      </c>
      <c r="FH172" s="2" t="s">
        <v>7173</v>
      </c>
      <c r="FJ172" s="2" t="s">
        <v>7142</v>
      </c>
      <c r="FK172" s="2" t="s">
        <v>7173</v>
      </c>
      <c r="FN172" s="2" t="s">
        <v>7243</v>
      </c>
      <c r="FO172" s="2" t="s">
        <v>1391</v>
      </c>
      <c r="FT172" s="2" t="s">
        <v>7189</v>
      </c>
      <c r="FU172" s="2" t="s">
        <v>7189</v>
      </c>
      <c r="FV172" s="2" t="s">
        <v>7189</v>
      </c>
      <c r="FW172" s="2" t="s">
        <v>7189</v>
      </c>
      <c r="FZ172" s="19" t="s">
        <v>7819</v>
      </c>
    </row>
    <row r="173" spans="1:182">
      <c r="A173" s="7" t="s">
        <v>1392</v>
      </c>
      <c r="D173" s="7" t="s">
        <v>7820</v>
      </c>
      <c r="E173" s="7" t="s">
        <v>177</v>
      </c>
      <c r="F173" s="7" t="s">
        <v>7245</v>
      </c>
      <c r="G173" s="7" t="s">
        <v>7717</v>
      </c>
      <c r="H173" s="7" t="s">
        <v>1263</v>
      </c>
      <c r="I173" s="7" t="s">
        <v>1393</v>
      </c>
      <c r="J173" s="16" t="s">
        <v>7821</v>
      </c>
      <c r="K173" s="7" t="s">
        <v>1393</v>
      </c>
      <c r="L173" s="7" t="s">
        <v>7137</v>
      </c>
      <c r="M173" s="7" t="s">
        <v>7138</v>
      </c>
      <c r="N173" s="7">
        <v>1975</v>
      </c>
      <c r="O173" s="7" t="s">
        <v>7180</v>
      </c>
      <c r="P173" s="7" t="s">
        <v>7140</v>
      </c>
      <c r="Q173" s="7" t="s">
        <v>7225</v>
      </c>
      <c r="R173" s="7" t="s">
        <v>7143</v>
      </c>
      <c r="S173" s="7">
        <v>2010</v>
      </c>
      <c r="T173" s="7" t="s">
        <v>7143</v>
      </c>
      <c r="U173" s="7" t="s">
        <v>7142</v>
      </c>
      <c r="Y173" s="2">
        <v>1050</v>
      </c>
      <c r="Z173" s="17">
        <v>1</v>
      </c>
      <c r="AA173" s="2">
        <v>1050</v>
      </c>
      <c r="AB173" s="2">
        <v>940</v>
      </c>
      <c r="AC173" s="7">
        <v>820</v>
      </c>
      <c r="AD173" s="2">
        <v>900</v>
      </c>
      <c r="AE173" s="2">
        <v>80</v>
      </c>
      <c r="AF173" s="2" t="s">
        <v>7143</v>
      </c>
      <c r="AG173" s="2" t="s">
        <v>7142</v>
      </c>
      <c r="AH173" s="2" t="s">
        <v>7142</v>
      </c>
      <c r="AI173" s="2" t="s">
        <v>1394</v>
      </c>
      <c r="AJ173" s="2" t="s">
        <v>7143</v>
      </c>
      <c r="AK173" s="2" t="s">
        <v>7142</v>
      </c>
      <c r="AL173" s="2" t="s">
        <v>7143</v>
      </c>
      <c r="AM173" s="2" t="s">
        <v>7142</v>
      </c>
      <c r="AN173" s="2" t="s">
        <v>7143</v>
      </c>
      <c r="AO173" s="2" t="s">
        <v>7143</v>
      </c>
      <c r="AR173" s="7">
        <v>2</v>
      </c>
      <c r="AS173" s="7">
        <v>3</v>
      </c>
      <c r="AT173" s="7">
        <v>9.5</v>
      </c>
      <c r="AU173" s="7" t="s">
        <v>7193</v>
      </c>
      <c r="AV173" s="7" t="s">
        <v>7193</v>
      </c>
      <c r="AW173" s="7" t="s">
        <v>7143</v>
      </c>
      <c r="AZ173" s="7" t="s">
        <v>7145</v>
      </c>
      <c r="BB173" s="2" t="s">
        <v>7214</v>
      </c>
      <c r="BC173" s="7" t="s">
        <v>7208</v>
      </c>
      <c r="BD173" s="7" t="s">
        <v>7142</v>
      </c>
      <c r="BE173" s="2" t="s">
        <v>7142</v>
      </c>
      <c r="BF173" s="2" t="s">
        <v>7148</v>
      </c>
      <c r="BG173" s="2" t="s">
        <v>7149</v>
      </c>
      <c r="BH173" s="2" t="s">
        <v>7248</v>
      </c>
      <c r="BI173" s="2" t="s">
        <v>7151</v>
      </c>
      <c r="BL173" s="7" t="s">
        <v>7152</v>
      </c>
      <c r="BM173" s="7" t="s">
        <v>7153</v>
      </c>
      <c r="BN173" s="7" t="s">
        <v>7154</v>
      </c>
      <c r="BO173" s="7" t="s">
        <v>7155</v>
      </c>
      <c r="BQ173" s="2" t="s">
        <v>7256</v>
      </c>
      <c r="BS173" s="7" t="s">
        <v>7142</v>
      </c>
      <c r="BT173" s="7" t="s">
        <v>7215</v>
      </c>
      <c r="BV173" s="7" t="s">
        <v>7330</v>
      </c>
      <c r="BX173" s="2" t="s">
        <v>7142</v>
      </c>
      <c r="BY173" s="2" t="s">
        <v>310</v>
      </c>
      <c r="BZ173" s="2" t="s">
        <v>7159</v>
      </c>
      <c r="CE173" s="7">
        <v>9.5</v>
      </c>
      <c r="CF173" s="2">
        <v>930</v>
      </c>
      <c r="CK173" s="2">
        <v>100</v>
      </c>
      <c r="CO173" s="2">
        <v>100</v>
      </c>
      <c r="CR173" s="2" t="s">
        <v>7160</v>
      </c>
      <c r="CT173" s="2" t="s">
        <v>7143</v>
      </c>
      <c r="CU173" s="2" t="s">
        <v>7234</v>
      </c>
      <c r="CW173" s="2" t="s">
        <v>7162</v>
      </c>
      <c r="CY173" s="7" t="s">
        <v>7163</v>
      </c>
      <c r="CZ173" s="7" t="s">
        <v>7227</v>
      </c>
      <c r="DA173" s="7" t="s">
        <v>7249</v>
      </c>
      <c r="DB173" s="7" t="s">
        <v>7249</v>
      </c>
      <c r="DC173" s="7" t="s">
        <v>7249</v>
      </c>
      <c r="DD173" s="2" t="s">
        <v>7164</v>
      </c>
      <c r="DE173" s="2" t="s">
        <v>7164</v>
      </c>
      <c r="DF173" s="2" t="s">
        <v>7163</v>
      </c>
      <c r="DG173" s="2" t="s">
        <v>7163</v>
      </c>
      <c r="DH173" s="2" t="s">
        <v>7163</v>
      </c>
      <c r="DI173" s="2" t="s">
        <v>7164</v>
      </c>
      <c r="DL173" s="7" t="s">
        <v>7142</v>
      </c>
      <c r="DM173" s="7" t="s">
        <v>7142</v>
      </c>
      <c r="DN173" s="7" t="s">
        <v>7142</v>
      </c>
      <c r="DO173" s="7" t="s">
        <v>7142</v>
      </c>
      <c r="DP173" s="7" t="s">
        <v>7165</v>
      </c>
      <c r="DQ173" s="7" t="s">
        <v>7166</v>
      </c>
      <c r="DS173" s="7" t="s">
        <v>7165</v>
      </c>
      <c r="DT173" s="7" t="s">
        <v>7165</v>
      </c>
      <c r="DU173" s="7" t="s">
        <v>7165</v>
      </c>
      <c r="DV173" s="7" t="s">
        <v>7165</v>
      </c>
      <c r="DW173" s="7" t="s">
        <v>7165</v>
      </c>
      <c r="DX173" s="7" t="s">
        <v>7165</v>
      </c>
      <c r="DY173" s="7" t="s">
        <v>7159</v>
      </c>
      <c r="DZ173" s="7" t="s">
        <v>7165</v>
      </c>
      <c r="EA173" s="7" t="s">
        <v>7165</v>
      </c>
      <c r="EB173" s="7" t="s">
        <v>7159</v>
      </c>
      <c r="EC173" s="7"/>
      <c r="ED173" s="7"/>
      <c r="EE173" s="7"/>
      <c r="EF173" s="7" t="s">
        <v>7167</v>
      </c>
      <c r="EJ173" s="7" t="s">
        <v>7144</v>
      </c>
      <c r="EK173" s="7" t="s">
        <v>7142</v>
      </c>
      <c r="EL173" s="7" t="s">
        <v>7143</v>
      </c>
      <c r="EN173" s="7" t="s">
        <v>7170</v>
      </c>
      <c r="EP173" s="7" t="s">
        <v>7186</v>
      </c>
      <c r="ER173" s="7" t="s">
        <v>7142</v>
      </c>
      <c r="ET173" s="7" t="s">
        <v>7143</v>
      </c>
      <c r="EV173" s="7" t="s">
        <v>7143</v>
      </c>
      <c r="EX173" s="2" t="s">
        <v>7142</v>
      </c>
      <c r="EY173" s="2" t="s">
        <v>7204</v>
      </c>
      <c r="EZ173" s="7" t="s">
        <v>7142</v>
      </c>
      <c r="FA173" s="7" t="s">
        <v>1395</v>
      </c>
      <c r="FB173" s="7" t="s">
        <v>7204</v>
      </c>
      <c r="FC173" s="7" t="s">
        <v>7172</v>
      </c>
      <c r="FD173" s="7" t="s">
        <v>7143</v>
      </c>
      <c r="FH173" s="7" t="s">
        <v>7173</v>
      </c>
      <c r="FJ173" s="7" t="s">
        <v>7142</v>
      </c>
      <c r="FK173" s="7" t="s">
        <v>7165</v>
      </c>
      <c r="FL173" s="7" t="s">
        <v>7260</v>
      </c>
      <c r="FN173" s="2" t="s">
        <v>7253</v>
      </c>
      <c r="FT173" s="2" t="s">
        <v>7176</v>
      </c>
      <c r="FU173" s="2" t="s">
        <v>7189</v>
      </c>
      <c r="FV173" s="2" t="s">
        <v>7189</v>
      </c>
      <c r="FW173" s="2" t="s">
        <v>7189</v>
      </c>
      <c r="FZ173" s="19" t="s">
        <v>7822</v>
      </c>
    </row>
    <row r="174" spans="1:182">
      <c r="A174" s="7" t="s">
        <v>1396</v>
      </c>
      <c r="D174" s="7" t="s">
        <v>7823</v>
      </c>
      <c r="E174" s="7" t="s">
        <v>1397</v>
      </c>
      <c r="F174" s="7" t="s">
        <v>7311</v>
      </c>
      <c r="G174" s="7" t="s">
        <v>7717</v>
      </c>
      <c r="H174" s="7" t="s">
        <v>1263</v>
      </c>
      <c r="I174" s="7" t="s">
        <v>1398</v>
      </c>
      <c r="J174" s="16" t="s">
        <v>7824</v>
      </c>
      <c r="K174" s="7" t="s">
        <v>1398</v>
      </c>
      <c r="L174" s="2" t="s">
        <v>7137</v>
      </c>
      <c r="M174" s="7" t="s">
        <v>7138</v>
      </c>
      <c r="N174" s="7">
        <v>1966</v>
      </c>
      <c r="O174" s="7" t="s">
        <v>7180</v>
      </c>
      <c r="P174" s="7" t="s">
        <v>7140</v>
      </c>
      <c r="Q174" s="7" t="s">
        <v>7225</v>
      </c>
      <c r="R174" s="7" t="s">
        <v>7143</v>
      </c>
      <c r="S174" s="2">
        <v>20</v>
      </c>
      <c r="T174" s="2" t="s">
        <v>7143</v>
      </c>
      <c r="U174" s="2" t="s">
        <v>7143</v>
      </c>
      <c r="Y174" s="2">
        <v>1300</v>
      </c>
      <c r="Z174" s="17">
        <v>0.92310000000000003</v>
      </c>
      <c r="AA174" s="2">
        <v>1200</v>
      </c>
      <c r="AB174" s="2">
        <v>1200</v>
      </c>
      <c r="AC174" s="7">
        <v>1200</v>
      </c>
      <c r="AD174" s="2">
        <v>1500</v>
      </c>
      <c r="AE174" s="2">
        <v>300</v>
      </c>
      <c r="AF174" s="2" t="s">
        <v>7143</v>
      </c>
      <c r="AG174" s="2" t="s">
        <v>7143</v>
      </c>
      <c r="AH174" s="2" t="s">
        <v>7143</v>
      </c>
      <c r="AJ174" s="2" t="s">
        <v>7143</v>
      </c>
      <c r="AK174" s="2" t="s">
        <v>7143</v>
      </c>
      <c r="AL174" s="2" t="s">
        <v>7142</v>
      </c>
      <c r="AM174" s="2" t="s">
        <v>7143</v>
      </c>
      <c r="AN174" s="2" t="s">
        <v>7143</v>
      </c>
      <c r="AO174" s="2" t="s">
        <v>7143</v>
      </c>
      <c r="AR174" s="7">
        <v>4</v>
      </c>
      <c r="AS174" s="7">
        <v>1</v>
      </c>
      <c r="AT174" s="7">
        <v>16</v>
      </c>
      <c r="AU174" s="2" t="s">
        <v>7144</v>
      </c>
      <c r="AV174" s="2" t="s">
        <v>7144</v>
      </c>
      <c r="AW174" s="2" t="s">
        <v>7143</v>
      </c>
      <c r="BC174" s="2" t="s">
        <v>7147</v>
      </c>
      <c r="BD174" s="2" t="s">
        <v>7142</v>
      </c>
      <c r="BE174" s="2" t="s">
        <v>7143</v>
      </c>
      <c r="BL174" s="2" t="s">
        <v>7152</v>
      </c>
      <c r="BM174" s="2" t="s">
        <v>7153</v>
      </c>
      <c r="BN174" s="2" t="s">
        <v>7154</v>
      </c>
      <c r="BO174" s="2" t="s">
        <v>7155</v>
      </c>
      <c r="BQ174" s="2" t="s">
        <v>7183</v>
      </c>
      <c r="BS174" s="2" t="s">
        <v>7142</v>
      </c>
      <c r="BT174" s="2" t="s">
        <v>7215</v>
      </c>
      <c r="BV174" s="2" t="s">
        <v>7387</v>
      </c>
      <c r="BX174" s="2" t="s">
        <v>7143</v>
      </c>
      <c r="BY174" s="2" t="s">
        <v>1399</v>
      </c>
      <c r="BZ174" s="2" t="s">
        <v>7173</v>
      </c>
      <c r="CE174" s="7">
        <v>16</v>
      </c>
      <c r="CF174" s="2">
        <v>1500</v>
      </c>
      <c r="CM174" s="2">
        <v>100</v>
      </c>
      <c r="CP174" s="2">
        <v>100</v>
      </c>
      <c r="CR174" s="2" t="s">
        <v>7160</v>
      </c>
      <c r="CT174" s="2" t="s">
        <v>7143</v>
      </c>
      <c r="CU174" s="2" t="s">
        <v>7161</v>
      </c>
      <c r="CW174" s="2" t="s">
        <v>7162</v>
      </c>
      <c r="CY174" s="2" t="s">
        <v>7163</v>
      </c>
      <c r="CZ174" s="2" t="s">
        <v>7163</v>
      </c>
      <c r="DA174" s="2" t="s">
        <v>7163</v>
      </c>
      <c r="DB174" s="2" t="s">
        <v>7163</v>
      </c>
      <c r="DC174" s="2" t="s">
        <v>7163</v>
      </c>
      <c r="DD174" s="2" t="s">
        <v>7250</v>
      </c>
      <c r="DE174" s="2" t="s">
        <v>7250</v>
      </c>
      <c r="DF174" s="2" t="s">
        <v>7163</v>
      </c>
      <c r="DG174" s="2" t="s">
        <v>7163</v>
      </c>
      <c r="DH174" s="2" t="s">
        <v>7163</v>
      </c>
      <c r="DI174" s="2" t="s">
        <v>7163</v>
      </c>
      <c r="DL174" s="2" t="s">
        <v>7142</v>
      </c>
      <c r="DM174" s="2" t="s">
        <v>7142</v>
      </c>
      <c r="DN174" s="2" t="s">
        <v>7142</v>
      </c>
      <c r="DO174" s="2" t="s">
        <v>7142</v>
      </c>
      <c r="DP174" s="2" t="s">
        <v>7165</v>
      </c>
      <c r="DQ174" s="2" t="s">
        <v>7333</v>
      </c>
      <c r="DR174" s="2" t="s">
        <v>1400</v>
      </c>
      <c r="DT174" s="2" t="s">
        <v>7165</v>
      </c>
      <c r="DU174" s="2" t="s">
        <v>7165</v>
      </c>
      <c r="DV174" s="2" t="s">
        <v>7165</v>
      </c>
      <c r="DW174" s="2" t="s">
        <v>7165</v>
      </c>
      <c r="DX174" s="2" t="s">
        <v>7165</v>
      </c>
      <c r="DY174" s="2" t="s">
        <v>7165</v>
      </c>
      <c r="DZ174" s="2" t="s">
        <v>7165</v>
      </c>
      <c r="EA174" s="2" t="s">
        <v>7165</v>
      </c>
      <c r="EB174" s="2" t="s">
        <v>7165</v>
      </c>
      <c r="EC174" s="2" t="s">
        <v>7173</v>
      </c>
      <c r="EF174" s="2" t="s">
        <v>7221</v>
      </c>
      <c r="EG174" s="2" t="s">
        <v>1401</v>
      </c>
      <c r="EJ174" s="2" t="s">
        <v>7144</v>
      </c>
      <c r="EK174" s="2" t="s">
        <v>7142</v>
      </c>
      <c r="EL174" s="2" t="s">
        <v>7143</v>
      </c>
      <c r="EN174" s="2" t="s">
        <v>7170</v>
      </c>
      <c r="EP174" s="2" t="s">
        <v>7186</v>
      </c>
      <c r="ER174" s="2" t="s">
        <v>7142</v>
      </c>
      <c r="ET174" s="2" t="s">
        <v>7143</v>
      </c>
      <c r="EV174" s="2" t="s">
        <v>7142</v>
      </c>
      <c r="EW174" s="2" t="s">
        <v>7204</v>
      </c>
      <c r="EX174" s="2" t="s">
        <v>7142</v>
      </c>
      <c r="EY174" s="2" t="s">
        <v>7204</v>
      </c>
      <c r="EZ174" s="2" t="s">
        <v>7143</v>
      </c>
      <c r="FC174" s="2" t="s">
        <v>7172</v>
      </c>
      <c r="FD174" s="2" t="s">
        <v>7143</v>
      </c>
      <c r="FH174" s="2" t="s">
        <v>7173</v>
      </c>
      <c r="FJ174" s="2" t="s">
        <v>7143</v>
      </c>
      <c r="FK174" s="2" t="s">
        <v>7173</v>
      </c>
      <c r="FR174" s="2" t="s">
        <v>1402</v>
      </c>
      <c r="FT174" s="2" t="s">
        <v>7189</v>
      </c>
      <c r="FU174" s="2" t="s">
        <v>7189</v>
      </c>
      <c r="FV174" s="2" t="s">
        <v>7189</v>
      </c>
      <c r="FW174" s="2" t="s">
        <v>7189</v>
      </c>
      <c r="FX174" s="2" t="s">
        <v>7189</v>
      </c>
      <c r="FY174" s="2" t="s">
        <v>1403</v>
      </c>
      <c r="FZ174" s="19" t="s">
        <v>7825</v>
      </c>
    </row>
    <row r="175" spans="1:182">
      <c r="A175" s="7" t="s">
        <v>1404</v>
      </c>
      <c r="D175" s="7" t="s">
        <v>7826</v>
      </c>
      <c r="E175" s="7" t="s">
        <v>1405</v>
      </c>
      <c r="F175" s="7" t="s">
        <v>7319</v>
      </c>
      <c r="G175" s="7" t="s">
        <v>7717</v>
      </c>
      <c r="H175" s="7" t="s">
        <v>1263</v>
      </c>
      <c r="I175" s="7" t="s">
        <v>1406</v>
      </c>
      <c r="J175" s="16" t="s">
        <v>7827</v>
      </c>
      <c r="K175" s="7" t="s">
        <v>1406</v>
      </c>
      <c r="L175" s="7" t="s">
        <v>7137</v>
      </c>
      <c r="M175" s="7" t="s">
        <v>7138</v>
      </c>
      <c r="N175" s="7">
        <v>1991</v>
      </c>
      <c r="O175" s="7" t="s">
        <v>7180</v>
      </c>
      <c r="P175" s="7" t="s">
        <v>7140</v>
      </c>
      <c r="Q175" s="7" t="s">
        <v>7450</v>
      </c>
      <c r="R175" s="7" t="s">
        <v>7143</v>
      </c>
      <c r="S175" s="2">
        <v>22</v>
      </c>
      <c r="T175" s="7" t="s">
        <v>7143</v>
      </c>
      <c r="U175" s="7" t="s">
        <v>7143</v>
      </c>
      <c r="Y175" s="2">
        <v>560</v>
      </c>
      <c r="Z175" s="17">
        <v>0.92859999999999998</v>
      </c>
      <c r="AA175" s="2">
        <v>520</v>
      </c>
      <c r="AB175" s="2">
        <v>520</v>
      </c>
      <c r="AC175" s="7">
        <v>520</v>
      </c>
      <c r="AD175" s="2">
        <v>680</v>
      </c>
      <c r="AE175" s="2">
        <v>160</v>
      </c>
      <c r="AF175" s="2" t="s">
        <v>7143</v>
      </c>
      <c r="AG175" s="2" t="s">
        <v>7143</v>
      </c>
      <c r="AH175" s="2" t="s">
        <v>7143</v>
      </c>
      <c r="AJ175" s="2" t="s">
        <v>7143</v>
      </c>
      <c r="AK175" s="2" t="s">
        <v>7143</v>
      </c>
      <c r="AL175" s="2" t="s">
        <v>7143</v>
      </c>
      <c r="AM175" s="2" t="s">
        <v>7143</v>
      </c>
      <c r="AN175" s="2" t="s">
        <v>7142</v>
      </c>
      <c r="AO175" s="2" t="s">
        <v>7143</v>
      </c>
      <c r="AR175" s="7">
        <v>1.2</v>
      </c>
      <c r="AS175" s="7">
        <v>3</v>
      </c>
      <c r="AT175" s="7">
        <v>6.8</v>
      </c>
      <c r="AU175" s="2" t="s">
        <v>7144</v>
      </c>
      <c r="AV175" s="2" t="s">
        <v>7144</v>
      </c>
      <c r="AW175" s="2" t="s">
        <v>7143</v>
      </c>
      <c r="AZ175" s="2" t="s">
        <v>7337</v>
      </c>
      <c r="BB175" s="2" t="s">
        <v>7268</v>
      </c>
      <c r="BC175" s="2" t="s">
        <v>7247</v>
      </c>
      <c r="BD175" s="2" t="s">
        <v>7142</v>
      </c>
      <c r="BE175" s="2" t="s">
        <v>7142</v>
      </c>
      <c r="BF175" s="2" t="s">
        <v>7148</v>
      </c>
      <c r="BG175" s="2" t="s">
        <v>7149</v>
      </c>
      <c r="BH175" s="2" t="s">
        <v>7248</v>
      </c>
      <c r="BI175" s="2" t="s">
        <v>7269</v>
      </c>
      <c r="BL175" s="2" t="s">
        <v>7195</v>
      </c>
      <c r="BO175" s="2" t="s">
        <v>7155</v>
      </c>
      <c r="BQ175" s="2" t="s">
        <v>7156</v>
      </c>
      <c r="BS175" s="2" t="s">
        <v>7142</v>
      </c>
      <c r="BT175" s="2" t="s">
        <v>7238</v>
      </c>
      <c r="BU175" s="2" t="s">
        <v>845</v>
      </c>
      <c r="BV175" s="2" t="s">
        <v>7379</v>
      </c>
      <c r="BX175" s="2" t="s">
        <v>7143</v>
      </c>
      <c r="BZ175" s="2" t="s">
        <v>7173</v>
      </c>
      <c r="CE175" s="7">
        <v>6.8</v>
      </c>
      <c r="CF175" s="2">
        <v>680</v>
      </c>
      <c r="CK175" s="2">
        <v>100</v>
      </c>
      <c r="CO175" s="2">
        <v>100</v>
      </c>
      <c r="CR175" s="2" t="s">
        <v>7276</v>
      </c>
      <c r="CT175" s="2" t="s">
        <v>7143</v>
      </c>
      <c r="CU175" s="2" t="s">
        <v>7161</v>
      </c>
      <c r="CW175" s="2" t="s">
        <v>7162</v>
      </c>
      <c r="CY175" s="2" t="s">
        <v>7163</v>
      </c>
      <c r="CZ175" s="2" t="s">
        <v>7163</v>
      </c>
      <c r="DA175" s="2" t="s">
        <v>7250</v>
      </c>
      <c r="DB175" s="2" t="s">
        <v>7321</v>
      </c>
      <c r="DC175" s="2" t="s">
        <v>7250</v>
      </c>
      <c r="DD175" s="2" t="s">
        <v>7321</v>
      </c>
      <c r="DE175" s="2" t="s">
        <v>7250</v>
      </c>
      <c r="DF175" s="2" t="s">
        <v>7250</v>
      </c>
      <c r="DG175" s="2" t="s">
        <v>7250</v>
      </c>
      <c r="DH175" s="2" t="s">
        <v>7250</v>
      </c>
      <c r="DI175" s="2" t="s">
        <v>7250</v>
      </c>
      <c r="DL175" s="2" t="s">
        <v>7143</v>
      </c>
      <c r="DM175" s="2" t="s">
        <v>7143</v>
      </c>
      <c r="DP175" s="2" t="s">
        <v>7173</v>
      </c>
      <c r="DT175" s="2" t="s">
        <v>7159</v>
      </c>
      <c r="DU175" s="2" t="s">
        <v>7159</v>
      </c>
      <c r="DV175" s="2" t="s">
        <v>7159</v>
      </c>
      <c r="DW175" s="2" t="s">
        <v>7159</v>
      </c>
      <c r="DX175" s="2" t="s">
        <v>7159</v>
      </c>
      <c r="DY175" s="2" t="s">
        <v>7159</v>
      </c>
      <c r="DZ175" s="2" t="s">
        <v>7159</v>
      </c>
      <c r="EA175" s="2" t="s">
        <v>7159</v>
      </c>
      <c r="EB175" s="2" t="s">
        <v>7159</v>
      </c>
      <c r="EC175" s="2" t="s">
        <v>7159</v>
      </c>
      <c r="EF175" s="2" t="s">
        <v>7252</v>
      </c>
      <c r="EG175" s="2" t="s">
        <v>1407</v>
      </c>
      <c r="EJ175" s="2" t="s">
        <v>7144</v>
      </c>
      <c r="EK175" s="2" t="s">
        <v>7143</v>
      </c>
      <c r="EL175" s="2" t="s">
        <v>7143</v>
      </c>
      <c r="EN175" s="2" t="s">
        <v>7210</v>
      </c>
      <c r="EP175" s="2" t="s">
        <v>7186</v>
      </c>
      <c r="ER175" s="2" t="s">
        <v>7143</v>
      </c>
      <c r="ET175" s="2" t="s">
        <v>7143</v>
      </c>
      <c r="EV175" s="2" t="s">
        <v>7143</v>
      </c>
      <c r="EX175" s="2" t="s">
        <v>7143</v>
      </c>
      <c r="EZ175" s="2" t="s">
        <v>7143</v>
      </c>
      <c r="FC175" s="2" t="s">
        <v>7218</v>
      </c>
      <c r="FD175" s="2" t="s">
        <v>7143</v>
      </c>
      <c r="FH175" s="2" t="s">
        <v>7173</v>
      </c>
      <c r="FJ175" s="2" t="s">
        <v>7143</v>
      </c>
      <c r="FK175" s="2" t="s">
        <v>7173</v>
      </c>
      <c r="FR175" s="2" t="s">
        <v>1408</v>
      </c>
      <c r="FT175" s="2" t="s">
        <v>7345</v>
      </c>
      <c r="FU175" s="2" t="s">
        <v>7176</v>
      </c>
      <c r="FV175" s="2" t="s">
        <v>7176</v>
      </c>
      <c r="FW175" s="2" t="s">
        <v>7176</v>
      </c>
      <c r="FZ175" s="19" t="s">
        <v>7828</v>
      </c>
    </row>
    <row r="176" spans="1:182">
      <c r="A176" s="7" t="s">
        <v>1409</v>
      </c>
      <c r="D176" s="7" t="s">
        <v>7829</v>
      </c>
      <c r="E176" s="7" t="s">
        <v>1410</v>
      </c>
      <c r="F176" s="7" t="s">
        <v>7311</v>
      </c>
      <c r="G176" s="7" t="s">
        <v>7717</v>
      </c>
      <c r="H176" s="7" t="s">
        <v>1263</v>
      </c>
      <c r="I176" s="7" t="s">
        <v>1411</v>
      </c>
      <c r="J176" s="16" t="s">
        <v>7830</v>
      </c>
      <c r="K176" s="7" t="s">
        <v>1412</v>
      </c>
      <c r="L176" s="7" t="s">
        <v>7137</v>
      </c>
      <c r="M176" s="7" t="s">
        <v>7179</v>
      </c>
      <c r="N176" s="7">
        <v>1996</v>
      </c>
      <c r="O176" s="7" t="s">
        <v>7180</v>
      </c>
      <c r="P176" s="7" t="s">
        <v>7181</v>
      </c>
      <c r="Q176" s="7" t="s">
        <v>7182</v>
      </c>
      <c r="R176" s="7" t="s">
        <v>7143</v>
      </c>
      <c r="S176" s="7">
        <v>6</v>
      </c>
      <c r="T176" s="7" t="s">
        <v>7143</v>
      </c>
      <c r="U176" s="7" t="s">
        <v>7143</v>
      </c>
      <c r="Y176" s="2">
        <v>290</v>
      </c>
      <c r="Z176" s="17">
        <v>0.62070000000000003</v>
      </c>
      <c r="AA176" s="2">
        <v>180</v>
      </c>
      <c r="AB176" s="2">
        <v>180</v>
      </c>
      <c r="AC176" s="7">
        <v>180</v>
      </c>
      <c r="AD176" s="2">
        <v>205</v>
      </c>
      <c r="AE176" s="2">
        <v>25</v>
      </c>
      <c r="AF176" s="2" t="s">
        <v>7143</v>
      </c>
      <c r="AG176" s="2" t="s">
        <v>7143</v>
      </c>
      <c r="AH176" s="2" t="s">
        <v>7143</v>
      </c>
      <c r="AJ176" s="2" t="s">
        <v>7143</v>
      </c>
      <c r="AK176" s="2" t="s">
        <v>7143</v>
      </c>
      <c r="AL176" s="2" t="s">
        <v>7142</v>
      </c>
      <c r="AM176" s="2" t="s">
        <v>7142</v>
      </c>
      <c r="AN176" s="2" t="s">
        <v>7143</v>
      </c>
      <c r="AO176" s="2" t="s">
        <v>7143</v>
      </c>
      <c r="AR176" s="7">
        <v>0.5</v>
      </c>
      <c r="AS176" s="7">
        <v>1</v>
      </c>
      <c r="AT176" s="7">
        <v>2</v>
      </c>
      <c r="AU176" s="2" t="s">
        <v>7144</v>
      </c>
      <c r="AV176" s="2" t="s">
        <v>7144</v>
      </c>
      <c r="AW176" s="2" t="s">
        <v>7143</v>
      </c>
      <c r="AZ176" s="2" t="s">
        <v>7145</v>
      </c>
      <c r="BB176" s="2" t="s">
        <v>7214</v>
      </c>
      <c r="BC176" s="2" t="s">
        <v>7247</v>
      </c>
      <c r="BD176" s="2" t="s">
        <v>7142</v>
      </c>
      <c r="BE176" s="2" t="s">
        <v>7142</v>
      </c>
      <c r="BF176" s="2" t="s">
        <v>7148</v>
      </c>
      <c r="BG176" s="2" t="s">
        <v>7149</v>
      </c>
      <c r="BH176" s="2" t="s">
        <v>7150</v>
      </c>
      <c r="BI176" s="2" t="s">
        <v>7151</v>
      </c>
      <c r="BL176" s="2" t="s">
        <v>7195</v>
      </c>
      <c r="BO176" s="2" t="s">
        <v>7155</v>
      </c>
      <c r="BQ176" s="2" t="s">
        <v>7156</v>
      </c>
      <c r="BS176" s="2" t="s">
        <v>7142</v>
      </c>
      <c r="BT176" s="2" t="s">
        <v>7157</v>
      </c>
      <c r="BV176" s="2" t="s">
        <v>7379</v>
      </c>
      <c r="BX176" s="2" t="s">
        <v>7143</v>
      </c>
      <c r="BY176" s="2" t="s">
        <v>1413</v>
      </c>
      <c r="BZ176" s="2" t="s">
        <v>7173</v>
      </c>
      <c r="CE176" s="7">
        <v>2</v>
      </c>
      <c r="CF176" s="2">
        <v>205</v>
      </c>
      <c r="CK176" s="2">
        <v>100</v>
      </c>
      <c r="CP176" s="2">
        <v>100</v>
      </c>
      <c r="CR176" s="2" t="s">
        <v>7160</v>
      </c>
      <c r="CT176" s="2" t="s">
        <v>7143</v>
      </c>
      <c r="CU176" s="2" t="s">
        <v>7161</v>
      </c>
      <c r="CW176" s="2" t="s">
        <v>7162</v>
      </c>
      <c r="CY176" s="2" t="s">
        <v>7250</v>
      </c>
      <c r="CZ176" s="2" t="s">
        <v>7250</v>
      </c>
      <c r="DA176" s="2" t="s">
        <v>7250</v>
      </c>
      <c r="DB176" s="2" t="s">
        <v>7250</v>
      </c>
      <c r="DC176" s="2" t="s">
        <v>7250</v>
      </c>
      <c r="DD176" s="2" t="s">
        <v>7250</v>
      </c>
      <c r="DE176" s="2" t="s">
        <v>7250</v>
      </c>
      <c r="DF176" s="2" t="s">
        <v>7250</v>
      </c>
      <c r="DG176" s="2" t="s">
        <v>7250</v>
      </c>
      <c r="DH176" s="2" t="s">
        <v>7250</v>
      </c>
      <c r="DI176" s="2" t="s">
        <v>7250</v>
      </c>
      <c r="DL176" s="2" t="s">
        <v>7143</v>
      </c>
      <c r="DM176" s="2" t="s">
        <v>7143</v>
      </c>
      <c r="DP176" s="2" t="s">
        <v>7159</v>
      </c>
      <c r="DT176" s="2" t="s">
        <v>7159</v>
      </c>
      <c r="DU176" s="2" t="s">
        <v>7159</v>
      </c>
      <c r="DV176" s="2" t="s">
        <v>7159</v>
      </c>
      <c r="DW176" s="2" t="s">
        <v>7159</v>
      </c>
      <c r="DX176" s="2" t="s">
        <v>7159</v>
      </c>
      <c r="DY176" s="2" t="s">
        <v>7159</v>
      </c>
      <c r="DZ176" s="2" t="s">
        <v>7159</v>
      </c>
      <c r="EA176" s="2" t="s">
        <v>7159</v>
      </c>
      <c r="EB176" s="2" t="s">
        <v>7159</v>
      </c>
      <c r="EC176" s="2" t="s">
        <v>7159</v>
      </c>
      <c r="ED176" s="2" t="s">
        <v>7159</v>
      </c>
      <c r="EE176" s="2" t="s">
        <v>1414</v>
      </c>
      <c r="EF176" s="2" t="s">
        <v>7252</v>
      </c>
      <c r="EG176" s="2" t="s">
        <v>1415</v>
      </c>
      <c r="EJ176" s="2" t="s">
        <v>7193</v>
      </c>
      <c r="EK176" s="2" t="s">
        <v>7143</v>
      </c>
      <c r="EL176" s="2" t="s">
        <v>7143</v>
      </c>
      <c r="EN176" s="2" t="s">
        <v>7210</v>
      </c>
      <c r="EP176" s="2" t="s">
        <v>7186</v>
      </c>
      <c r="ER176" s="2" t="s">
        <v>7143</v>
      </c>
      <c r="ET176" s="2" t="s">
        <v>7143</v>
      </c>
      <c r="EV176" s="2" t="s">
        <v>7143</v>
      </c>
      <c r="EX176" s="2" t="s">
        <v>7143</v>
      </c>
      <c r="EZ176" s="2" t="s">
        <v>7143</v>
      </c>
      <c r="FC176" s="2" t="s">
        <v>7172</v>
      </c>
      <c r="FD176" s="2" t="s">
        <v>7143</v>
      </c>
      <c r="FH176" s="2" t="s">
        <v>7173</v>
      </c>
      <c r="FJ176" s="2" t="s">
        <v>7143</v>
      </c>
      <c r="FK176" s="2" t="s">
        <v>7173</v>
      </c>
      <c r="FR176" s="2" t="s">
        <v>1416</v>
      </c>
      <c r="FT176" s="2" t="s">
        <v>7189</v>
      </c>
      <c r="FU176" s="2" t="s">
        <v>7189</v>
      </c>
      <c r="FV176" s="2" t="s">
        <v>7189</v>
      </c>
      <c r="FW176" s="2" t="s">
        <v>7189</v>
      </c>
      <c r="FX176" s="2" t="s">
        <v>7189</v>
      </c>
      <c r="FY176" s="2" t="s">
        <v>1417</v>
      </c>
      <c r="FZ176" s="19" t="s">
        <v>7831</v>
      </c>
    </row>
    <row r="177" spans="1:182">
      <c r="A177" s="7" t="s">
        <v>1418</v>
      </c>
      <c r="D177" s="7" t="s">
        <v>7832</v>
      </c>
      <c r="E177" s="7" t="s">
        <v>1419</v>
      </c>
      <c r="F177" s="7" t="s">
        <v>7339</v>
      </c>
      <c r="G177" s="7" t="s">
        <v>7717</v>
      </c>
      <c r="H177" s="7" t="s">
        <v>1212</v>
      </c>
      <c r="I177" s="7" t="s">
        <v>1420</v>
      </c>
      <c r="J177" s="16" t="s">
        <v>7833</v>
      </c>
      <c r="K177" s="7" t="s">
        <v>1420</v>
      </c>
      <c r="L177" s="2" t="s">
        <v>7137</v>
      </c>
      <c r="M177" s="7" t="s">
        <v>7138</v>
      </c>
      <c r="N177" s="7">
        <v>1985</v>
      </c>
      <c r="O177" s="7" t="s">
        <v>7139</v>
      </c>
      <c r="P177" s="7" t="s">
        <v>7140</v>
      </c>
      <c r="Q177" s="2" t="s">
        <v>7225</v>
      </c>
      <c r="R177" s="2" t="s">
        <v>7143</v>
      </c>
      <c r="S177" s="2">
        <v>4</v>
      </c>
      <c r="T177" s="2" t="s">
        <v>7143</v>
      </c>
      <c r="U177" s="2" t="s">
        <v>7143</v>
      </c>
      <c r="Y177" s="2">
        <v>102</v>
      </c>
      <c r="Z177" s="17">
        <v>0.80389999999999995</v>
      </c>
      <c r="AA177" s="2">
        <v>82</v>
      </c>
      <c r="AB177" s="2">
        <v>37</v>
      </c>
      <c r="AC177" s="7">
        <v>37</v>
      </c>
      <c r="AD177" s="2">
        <v>49</v>
      </c>
      <c r="AE177" s="2">
        <v>12</v>
      </c>
      <c r="AF177" s="2" t="s">
        <v>7143</v>
      </c>
      <c r="AG177" s="2" t="s">
        <v>7143</v>
      </c>
      <c r="AH177" s="2" t="s">
        <v>7143</v>
      </c>
      <c r="AJ177" s="2" t="s">
        <v>7143</v>
      </c>
      <c r="AK177" s="2" t="s">
        <v>7142</v>
      </c>
      <c r="AL177" s="2" t="s">
        <v>7143</v>
      </c>
      <c r="AM177" s="2" t="s">
        <v>7142</v>
      </c>
      <c r="AN177" s="2" t="s">
        <v>7143</v>
      </c>
      <c r="AO177" s="2" t="s">
        <v>7143</v>
      </c>
      <c r="AR177" s="7">
        <v>0.8</v>
      </c>
      <c r="AS177" s="7">
        <v>1</v>
      </c>
      <c r="AT177" s="7">
        <v>0.5</v>
      </c>
      <c r="AU177" s="2" t="s">
        <v>7193</v>
      </c>
      <c r="AV177" s="2" t="s">
        <v>7193</v>
      </c>
      <c r="AW177" s="2" t="s">
        <v>7143</v>
      </c>
      <c r="AZ177" s="2" t="s">
        <v>7145</v>
      </c>
      <c r="BB177" s="2" t="s">
        <v>7214</v>
      </c>
      <c r="BC177" s="2" t="s">
        <v>7147</v>
      </c>
      <c r="BD177" s="2" t="s">
        <v>7143</v>
      </c>
      <c r="BE177" s="2" t="s">
        <v>7142</v>
      </c>
      <c r="BF177" s="2" t="s">
        <v>7148</v>
      </c>
      <c r="BG177" s="2" t="s">
        <v>7149</v>
      </c>
      <c r="BH177" s="2" t="s">
        <v>7150</v>
      </c>
      <c r="BI177" s="2" t="s">
        <v>7151</v>
      </c>
      <c r="BL177" s="2" t="s">
        <v>7195</v>
      </c>
      <c r="BO177" s="2" t="s">
        <v>7155</v>
      </c>
      <c r="BQ177" s="2" t="s">
        <v>7156</v>
      </c>
      <c r="BS177" s="2" t="s">
        <v>7143</v>
      </c>
      <c r="BT177" s="2" t="s">
        <v>7341</v>
      </c>
      <c r="BV177" s="2" t="s">
        <v>7313</v>
      </c>
      <c r="BX177" s="2" t="s">
        <v>7142</v>
      </c>
      <c r="BY177" s="2" t="s">
        <v>1421</v>
      </c>
      <c r="BZ177" s="2" t="s">
        <v>7159</v>
      </c>
      <c r="CE177" s="7">
        <v>0.5</v>
      </c>
      <c r="CF177" s="2">
        <v>49</v>
      </c>
      <c r="CK177" s="2">
        <v>100</v>
      </c>
      <c r="CO177" s="2">
        <v>100</v>
      </c>
      <c r="CP177" s="2"/>
      <c r="CR177" s="2" t="s">
        <v>7357</v>
      </c>
      <c r="CT177" s="2" t="s">
        <v>7143</v>
      </c>
      <c r="CU177" s="2" t="s">
        <v>7161</v>
      </c>
      <c r="CW177" s="2" t="s">
        <v>7162</v>
      </c>
      <c r="CY177" s="2" t="s">
        <v>7250</v>
      </c>
      <c r="CZ177" s="2" t="s">
        <v>7250</v>
      </c>
      <c r="DA177" s="2" t="s">
        <v>7250</v>
      </c>
      <c r="DB177" s="2" t="s">
        <v>7250</v>
      </c>
      <c r="DC177" s="2" t="s">
        <v>7582</v>
      </c>
      <c r="DD177" s="2" t="s">
        <v>7582</v>
      </c>
      <c r="DE177" s="2" t="s">
        <v>7249</v>
      </c>
      <c r="DF177" s="2" t="s">
        <v>7249</v>
      </c>
      <c r="DG177" s="2" t="s">
        <v>7249</v>
      </c>
      <c r="DH177" s="2" t="s">
        <v>7249</v>
      </c>
      <c r="DI177" s="2" t="s">
        <v>7249</v>
      </c>
      <c r="DL177" s="2" t="s">
        <v>7142</v>
      </c>
      <c r="DM177" s="2" t="s">
        <v>7142</v>
      </c>
      <c r="DN177" s="2" t="s">
        <v>7142</v>
      </c>
      <c r="DO177" s="2" t="s">
        <v>7142</v>
      </c>
      <c r="DP177" s="2" t="s">
        <v>7165</v>
      </c>
      <c r="DQ177" s="2" t="s">
        <v>7166</v>
      </c>
      <c r="DT177" s="2" t="s">
        <v>7159</v>
      </c>
      <c r="DU177" s="2" t="s">
        <v>7159</v>
      </c>
      <c r="DV177" s="2" t="s">
        <v>7159</v>
      </c>
      <c r="DW177" s="2" t="s">
        <v>7159</v>
      </c>
      <c r="DX177" s="2" t="s">
        <v>7159</v>
      </c>
      <c r="DY177" s="2" t="s">
        <v>7159</v>
      </c>
      <c r="DZ177" s="2" t="s">
        <v>7159</v>
      </c>
      <c r="EA177" s="2" t="s">
        <v>7159</v>
      </c>
      <c r="EB177" s="2" t="s">
        <v>7159</v>
      </c>
      <c r="EC177" s="2" t="s">
        <v>7159</v>
      </c>
      <c r="ED177" s="2" t="s">
        <v>7159</v>
      </c>
      <c r="EF177" s="2" t="s">
        <v>7349</v>
      </c>
      <c r="EG177" s="2" t="s">
        <v>1422</v>
      </c>
      <c r="EJ177" s="2" t="s">
        <v>7193</v>
      </c>
      <c r="EK177" s="2" t="s">
        <v>7143</v>
      </c>
      <c r="EL177" s="2" t="s">
        <v>7143</v>
      </c>
      <c r="EN177" s="2" t="s">
        <v>7210</v>
      </c>
      <c r="EP177" s="2" t="s">
        <v>7186</v>
      </c>
      <c r="ER177" s="2" t="s">
        <v>7143</v>
      </c>
      <c r="ET177" s="2" t="s">
        <v>7143</v>
      </c>
      <c r="EV177" s="2" t="s">
        <v>7143</v>
      </c>
      <c r="EX177" s="2" t="s">
        <v>7143</v>
      </c>
      <c r="EZ177" s="2" t="s">
        <v>7143</v>
      </c>
      <c r="FC177" s="2" t="s">
        <v>7218</v>
      </c>
      <c r="FD177" s="2" t="s">
        <v>7143</v>
      </c>
      <c r="FH177" s="2" t="s">
        <v>7173</v>
      </c>
      <c r="FJ177" s="2" t="s">
        <v>7143</v>
      </c>
      <c r="FK177" s="2" t="s">
        <v>7173</v>
      </c>
      <c r="FN177" s="2" t="s">
        <v>7344</v>
      </c>
      <c r="FR177" s="2" t="s">
        <v>1423</v>
      </c>
      <c r="FT177" s="2" t="s">
        <v>7189</v>
      </c>
      <c r="FU177" s="2" t="s">
        <v>7189</v>
      </c>
      <c r="FV177" s="2" t="s">
        <v>7189</v>
      </c>
      <c r="FW177" s="2" t="s">
        <v>7189</v>
      </c>
      <c r="FZ177" s="19" t="s">
        <v>7834</v>
      </c>
    </row>
    <row r="178" spans="1:182">
      <c r="A178" s="7" t="s">
        <v>1424</v>
      </c>
      <c r="D178" s="7" t="s">
        <v>7835</v>
      </c>
      <c r="E178" s="7" t="s">
        <v>1425</v>
      </c>
      <c r="F178" s="7" t="s">
        <v>7389</v>
      </c>
      <c r="G178" s="7" t="s">
        <v>7717</v>
      </c>
      <c r="H178" s="7" t="s">
        <v>1219</v>
      </c>
      <c r="I178" s="7" t="s">
        <v>1426</v>
      </c>
      <c r="J178" s="16" t="s">
        <v>7836</v>
      </c>
      <c r="K178" s="7" t="s">
        <v>1427</v>
      </c>
      <c r="L178" s="2" t="s">
        <v>7137</v>
      </c>
      <c r="M178" s="7" t="s">
        <v>7138</v>
      </c>
      <c r="N178" s="7">
        <v>1962</v>
      </c>
      <c r="O178" s="7" t="s">
        <v>7139</v>
      </c>
      <c r="P178" s="7" t="s">
        <v>7192</v>
      </c>
      <c r="Q178" s="2" t="s">
        <v>7395</v>
      </c>
      <c r="R178" s="2" t="s">
        <v>7143</v>
      </c>
      <c r="S178" s="2">
        <v>7</v>
      </c>
      <c r="T178" s="2" t="s">
        <v>7143</v>
      </c>
      <c r="U178" s="2" t="s">
        <v>7143</v>
      </c>
      <c r="Y178" s="2">
        <v>80</v>
      </c>
      <c r="Z178" s="17">
        <v>1</v>
      </c>
      <c r="AA178" s="2">
        <v>80</v>
      </c>
      <c r="AB178" s="2">
        <v>80</v>
      </c>
      <c r="AC178" s="7">
        <v>80</v>
      </c>
      <c r="AD178" s="2">
        <v>100</v>
      </c>
      <c r="AE178" s="2">
        <v>20</v>
      </c>
      <c r="AF178" s="2" t="s">
        <v>7143</v>
      </c>
      <c r="AG178" s="2" t="s">
        <v>7143</v>
      </c>
      <c r="AH178" s="2" t="s">
        <v>7143</v>
      </c>
      <c r="AJ178" s="2" t="s">
        <v>7143</v>
      </c>
      <c r="AK178" s="2" t="s">
        <v>7143</v>
      </c>
      <c r="AL178" s="2" t="s">
        <v>7143</v>
      </c>
      <c r="AM178" s="2" t="s">
        <v>7143</v>
      </c>
      <c r="AN178" s="2" t="s">
        <v>7143</v>
      </c>
      <c r="AO178" s="2" t="s">
        <v>7143</v>
      </c>
      <c r="AR178" s="7">
        <v>1.4</v>
      </c>
      <c r="AS178" s="7">
        <v>3</v>
      </c>
      <c r="AT178" s="7">
        <v>1.5</v>
      </c>
      <c r="AU178" s="2" t="s">
        <v>7217</v>
      </c>
      <c r="AV178" s="2" t="s">
        <v>7217</v>
      </c>
      <c r="AW178" s="2" t="s">
        <v>7143</v>
      </c>
      <c r="AZ178" s="2" t="s">
        <v>7226</v>
      </c>
      <c r="BA178" s="2" t="s">
        <v>1144</v>
      </c>
      <c r="BB178" s="2" t="s">
        <v>7214</v>
      </c>
      <c r="BC178" s="2" t="s">
        <v>7147</v>
      </c>
      <c r="BD178" s="2" t="s">
        <v>7143</v>
      </c>
      <c r="BE178" s="2" t="s">
        <v>7143</v>
      </c>
      <c r="BL178" s="2" t="s">
        <v>7152</v>
      </c>
      <c r="BM178" s="2" t="s">
        <v>7355</v>
      </c>
      <c r="BN178" s="2" t="s">
        <v>7154</v>
      </c>
      <c r="BO178" s="2" t="s">
        <v>7155</v>
      </c>
      <c r="BQ178" s="2" t="s">
        <v>7183</v>
      </c>
      <c r="BS178" s="2" t="s">
        <v>7142</v>
      </c>
      <c r="BT178" s="2" t="s">
        <v>7315</v>
      </c>
      <c r="BV178" s="2" t="s">
        <v>7197</v>
      </c>
      <c r="BX178" s="2" t="s">
        <v>7142</v>
      </c>
      <c r="BY178" s="2" t="s">
        <v>652</v>
      </c>
      <c r="BZ178" s="2" t="s">
        <v>7173</v>
      </c>
      <c r="CE178" s="7">
        <v>1.5</v>
      </c>
      <c r="CF178" s="2">
        <v>100</v>
      </c>
      <c r="CM178" s="2">
        <v>100</v>
      </c>
      <c r="CO178" s="2">
        <v>100</v>
      </c>
      <c r="CR178" s="2" t="s">
        <v>7160</v>
      </c>
      <c r="CT178" s="2" t="s">
        <v>7143</v>
      </c>
      <c r="CU178" s="2" t="s">
        <v>7161</v>
      </c>
      <c r="CW178" s="2" t="s">
        <v>7162</v>
      </c>
      <c r="CY178" s="2" t="s">
        <v>7250</v>
      </c>
      <c r="CZ178" s="2" t="s">
        <v>7321</v>
      </c>
      <c r="DA178" s="2" t="s">
        <v>7250</v>
      </c>
      <c r="DB178" s="2" t="s">
        <v>7321</v>
      </c>
      <c r="DC178" s="2" t="s">
        <v>7321</v>
      </c>
      <c r="DD178" s="2" t="s">
        <v>7250</v>
      </c>
      <c r="DE178" s="2" t="s">
        <v>7250</v>
      </c>
      <c r="DF178" s="2" t="s">
        <v>7250</v>
      </c>
      <c r="DG178" s="2" t="s">
        <v>7321</v>
      </c>
      <c r="DH178" s="2" t="s">
        <v>7321</v>
      </c>
      <c r="DI178" s="2" t="s">
        <v>7321</v>
      </c>
      <c r="DL178" s="2" t="s">
        <v>7143</v>
      </c>
      <c r="DM178" s="2" t="s">
        <v>7143</v>
      </c>
      <c r="DP178" s="2" t="s">
        <v>7173</v>
      </c>
      <c r="DT178" s="2" t="s">
        <v>7159</v>
      </c>
      <c r="DU178" s="2" t="s">
        <v>7159</v>
      </c>
      <c r="DV178" s="2" t="s">
        <v>7159</v>
      </c>
      <c r="DW178" s="2" t="s">
        <v>7159</v>
      </c>
      <c r="DX178" s="2" t="s">
        <v>7159</v>
      </c>
      <c r="DY178" s="2" t="s">
        <v>7159</v>
      </c>
      <c r="DZ178" s="2" t="s">
        <v>7159</v>
      </c>
      <c r="EA178" s="2" t="s">
        <v>7159</v>
      </c>
      <c r="EB178" s="2" t="s">
        <v>7159</v>
      </c>
      <c r="EC178" s="2" t="s">
        <v>7159</v>
      </c>
      <c r="EF178" s="2" t="s">
        <v>7221</v>
      </c>
      <c r="EG178" s="2" t="s">
        <v>1428</v>
      </c>
      <c r="EJ178" s="2" t="s">
        <v>7217</v>
      </c>
      <c r="EK178" s="2" t="s">
        <v>7143</v>
      </c>
      <c r="EL178" s="2" t="s">
        <v>7143</v>
      </c>
      <c r="EN178" s="2" t="s">
        <v>7170</v>
      </c>
      <c r="EP178" s="2" t="s">
        <v>7186</v>
      </c>
      <c r="ER178" s="2" t="s">
        <v>7143</v>
      </c>
      <c r="ET178" s="2" t="s">
        <v>7143</v>
      </c>
      <c r="EV178" s="2" t="s">
        <v>7143</v>
      </c>
      <c r="EX178" s="2" t="s">
        <v>7143</v>
      </c>
      <c r="EZ178" s="2" t="s">
        <v>7143</v>
      </c>
      <c r="FC178" s="2" t="s">
        <v>7218</v>
      </c>
      <c r="FD178" s="2" t="s">
        <v>7143</v>
      </c>
      <c r="FH178" s="2" t="s">
        <v>7173</v>
      </c>
      <c r="FJ178" s="2" t="s">
        <v>7143</v>
      </c>
      <c r="FK178" s="2" t="s">
        <v>7173</v>
      </c>
      <c r="FN178" s="2" t="s">
        <v>7458</v>
      </c>
      <c r="FR178" s="2" t="s">
        <v>1429</v>
      </c>
      <c r="FT178" s="2" t="s">
        <v>7189</v>
      </c>
      <c r="FU178" s="2" t="s">
        <v>7176</v>
      </c>
      <c r="FV178" s="2" t="s">
        <v>7176</v>
      </c>
      <c r="FW178" s="2" t="s">
        <v>7189</v>
      </c>
      <c r="FZ178" s="19" t="s">
        <v>7837</v>
      </c>
    </row>
    <row r="179" spans="1:182">
      <c r="A179" s="7" t="s">
        <v>1430</v>
      </c>
      <c r="D179" s="7" t="s">
        <v>7838</v>
      </c>
      <c r="E179" s="7" t="s">
        <v>1405</v>
      </c>
      <c r="F179" s="7" t="s">
        <v>7319</v>
      </c>
      <c r="G179" s="7" t="s">
        <v>7717</v>
      </c>
      <c r="H179" s="7" t="s">
        <v>1263</v>
      </c>
      <c r="I179" s="7" t="s">
        <v>1431</v>
      </c>
      <c r="J179" s="16" t="s">
        <v>7839</v>
      </c>
      <c r="K179" s="7" t="s">
        <v>1431</v>
      </c>
      <c r="L179" s="7" t="s">
        <v>7137</v>
      </c>
      <c r="M179" s="7" t="s">
        <v>7179</v>
      </c>
      <c r="N179" s="7">
        <v>1955</v>
      </c>
      <c r="O179" s="7" t="s">
        <v>7180</v>
      </c>
      <c r="P179" s="7" t="s">
        <v>7140</v>
      </c>
      <c r="Q179" s="7" t="s">
        <v>7141</v>
      </c>
      <c r="R179" s="7" t="s">
        <v>7143</v>
      </c>
      <c r="S179" s="7">
        <v>30</v>
      </c>
      <c r="T179" s="7" t="s">
        <v>7143</v>
      </c>
      <c r="U179" s="7" t="s">
        <v>7143</v>
      </c>
      <c r="Y179" s="2">
        <v>410</v>
      </c>
      <c r="Z179" s="17">
        <v>0.75609999999999999</v>
      </c>
      <c r="AA179" s="2">
        <v>310</v>
      </c>
      <c r="AB179" s="2">
        <v>310</v>
      </c>
      <c r="AC179" s="7">
        <v>310</v>
      </c>
      <c r="AD179" s="2">
        <v>450</v>
      </c>
      <c r="AE179" s="2">
        <v>140</v>
      </c>
      <c r="AF179" s="2" t="s">
        <v>7143</v>
      </c>
      <c r="AG179" s="2" t="s">
        <v>7143</v>
      </c>
      <c r="AH179" s="2" t="s">
        <v>7143</v>
      </c>
      <c r="AJ179" s="2" t="s">
        <v>7143</v>
      </c>
      <c r="AK179" s="2" t="s">
        <v>7143</v>
      </c>
      <c r="AL179" s="2" t="s">
        <v>7142</v>
      </c>
      <c r="AM179" s="2" t="s">
        <v>7143</v>
      </c>
      <c r="AN179" s="2" t="s">
        <v>7143</v>
      </c>
      <c r="AO179" s="2" t="s">
        <v>7143</v>
      </c>
      <c r="AR179" s="7">
        <v>1</v>
      </c>
      <c r="AS179" s="7">
        <v>1</v>
      </c>
      <c r="AT179" s="7">
        <v>4.5</v>
      </c>
      <c r="AU179" s="2" t="s">
        <v>7193</v>
      </c>
      <c r="AV179" s="2" t="s">
        <v>7193</v>
      </c>
      <c r="AW179" s="2" t="s">
        <v>7143</v>
      </c>
      <c r="AZ179" s="2" t="s">
        <v>7145</v>
      </c>
      <c r="BB179" s="2" t="s">
        <v>7268</v>
      </c>
      <c r="BC179" s="2" t="s">
        <v>7247</v>
      </c>
      <c r="BD179" s="2" t="s">
        <v>7142</v>
      </c>
      <c r="BE179" s="2" t="s">
        <v>7142</v>
      </c>
      <c r="BF179" s="2" t="s">
        <v>7148</v>
      </c>
      <c r="BG179" s="2" t="s">
        <v>7232</v>
      </c>
      <c r="BH179" s="2" t="s">
        <v>7248</v>
      </c>
      <c r="BI179" s="2" t="s">
        <v>7269</v>
      </c>
      <c r="BL179" s="2" t="s">
        <v>7152</v>
      </c>
      <c r="BM179" s="2" t="s">
        <v>7153</v>
      </c>
      <c r="BN179" s="2" t="s">
        <v>7154</v>
      </c>
      <c r="BO179" s="2" t="s">
        <v>7155</v>
      </c>
      <c r="BQ179" s="2" t="s">
        <v>7256</v>
      </c>
      <c r="BS179" s="2" t="s">
        <v>7142</v>
      </c>
      <c r="BT179" s="2" t="s">
        <v>7215</v>
      </c>
      <c r="BV179" s="2" t="s">
        <v>7348</v>
      </c>
      <c r="BX179" s="2" t="s">
        <v>7143</v>
      </c>
      <c r="BZ179" s="2" t="s">
        <v>7173</v>
      </c>
      <c r="CE179" s="7">
        <v>4.5</v>
      </c>
      <c r="CF179" s="2">
        <v>450</v>
      </c>
      <c r="CK179" s="2">
        <v>40</v>
      </c>
      <c r="CM179" s="2">
        <v>60</v>
      </c>
      <c r="CO179" s="2">
        <v>100</v>
      </c>
      <c r="CR179" s="2" t="s">
        <v>7160</v>
      </c>
      <c r="CT179" s="2" t="s">
        <v>7143</v>
      </c>
      <c r="CU179" s="2" t="s">
        <v>7234</v>
      </c>
      <c r="CW179" s="2" t="s">
        <v>7162</v>
      </c>
      <c r="CY179" s="2" t="s">
        <v>7163</v>
      </c>
      <c r="CZ179" s="2" t="s">
        <v>7163</v>
      </c>
      <c r="DA179" s="2" t="s">
        <v>7250</v>
      </c>
      <c r="DB179" s="2" t="s">
        <v>7321</v>
      </c>
      <c r="DC179" s="2" t="s">
        <v>7250</v>
      </c>
      <c r="DD179" s="2" t="s">
        <v>7321</v>
      </c>
      <c r="DE179" s="2" t="s">
        <v>7250</v>
      </c>
      <c r="DF179" s="2" t="s">
        <v>7163</v>
      </c>
      <c r="DG179" s="2" t="s">
        <v>7163</v>
      </c>
      <c r="DH179" s="2" t="s">
        <v>7250</v>
      </c>
      <c r="DI179" s="2" t="s">
        <v>7250</v>
      </c>
      <c r="DL179" s="2" t="s">
        <v>7142</v>
      </c>
      <c r="DM179" s="2" t="s">
        <v>7142</v>
      </c>
      <c r="DN179" s="2" t="s">
        <v>7142</v>
      </c>
      <c r="DO179" s="2" t="s">
        <v>7142</v>
      </c>
      <c r="DP179" s="2" t="s">
        <v>7165</v>
      </c>
      <c r="DQ179" s="2" t="s">
        <v>7333</v>
      </c>
      <c r="DR179" s="2" t="s">
        <v>1432</v>
      </c>
      <c r="DT179" s="2" t="s">
        <v>7165</v>
      </c>
      <c r="DU179" s="2" t="s">
        <v>7165</v>
      </c>
      <c r="DV179" s="2" t="s">
        <v>7165</v>
      </c>
      <c r="DW179" s="2" t="s">
        <v>7165</v>
      </c>
      <c r="DX179" s="2" t="s">
        <v>7165</v>
      </c>
      <c r="DY179" s="2" t="s">
        <v>7165</v>
      </c>
      <c r="DZ179" s="2" t="s">
        <v>7165</v>
      </c>
      <c r="EA179" s="2" t="s">
        <v>7165</v>
      </c>
      <c r="EB179" s="2" t="s">
        <v>7165</v>
      </c>
      <c r="EC179" s="2" t="s">
        <v>7173</v>
      </c>
      <c r="EF179" s="2" t="s">
        <v>7221</v>
      </c>
      <c r="EJ179" s="2" t="s">
        <v>7193</v>
      </c>
      <c r="EK179" s="2" t="s">
        <v>7142</v>
      </c>
      <c r="EL179" s="2" t="s">
        <v>7143</v>
      </c>
      <c r="EN179" s="2" t="s">
        <v>7170</v>
      </c>
      <c r="EP179" s="2" t="s">
        <v>7186</v>
      </c>
      <c r="ER179" s="2" t="s">
        <v>7143</v>
      </c>
      <c r="ET179" s="2" t="s">
        <v>7143</v>
      </c>
      <c r="EV179" s="2" t="s">
        <v>7142</v>
      </c>
      <c r="EW179" s="2" t="s">
        <v>7204</v>
      </c>
      <c r="EX179" s="2" t="s">
        <v>7143</v>
      </c>
      <c r="EZ179" s="2" t="s">
        <v>7143</v>
      </c>
      <c r="FC179" s="2" t="s">
        <v>7172</v>
      </c>
      <c r="FD179" s="2" t="s">
        <v>7143</v>
      </c>
      <c r="FH179" s="2" t="s">
        <v>7173</v>
      </c>
      <c r="FJ179" s="2" t="s">
        <v>7143</v>
      </c>
      <c r="FK179" s="2" t="s">
        <v>7173</v>
      </c>
      <c r="FR179" s="2" t="s">
        <v>433</v>
      </c>
      <c r="FT179" s="2" t="s">
        <v>7345</v>
      </c>
      <c r="FU179" s="2" t="s">
        <v>7176</v>
      </c>
      <c r="FV179" s="2" t="s">
        <v>7176</v>
      </c>
      <c r="FW179" s="2" t="s">
        <v>7176</v>
      </c>
      <c r="FZ179" s="19" t="s">
        <v>7840</v>
      </c>
    </row>
    <row r="180" spans="1:182">
      <c r="A180" s="7" t="s">
        <v>1433</v>
      </c>
      <c r="D180" s="7" t="s">
        <v>7841</v>
      </c>
      <c r="E180" s="7" t="s">
        <v>177</v>
      </c>
      <c r="F180" s="7" t="s">
        <v>7134</v>
      </c>
      <c r="G180" s="7" t="s">
        <v>7717</v>
      </c>
      <c r="H180" s="7" t="s">
        <v>1207</v>
      </c>
      <c r="I180" s="7" t="s">
        <v>1434</v>
      </c>
      <c r="J180" s="16" t="s">
        <v>7842</v>
      </c>
      <c r="K180" s="7" t="s">
        <v>1434</v>
      </c>
      <c r="L180" s="2" t="s">
        <v>7137</v>
      </c>
      <c r="M180" s="7" t="s">
        <v>7138</v>
      </c>
      <c r="N180" s="7">
        <v>1984</v>
      </c>
      <c r="O180" s="7" t="s">
        <v>7180</v>
      </c>
      <c r="P180" s="2" t="s">
        <v>7140</v>
      </c>
      <c r="Q180" s="2" t="s">
        <v>7225</v>
      </c>
      <c r="R180" s="2" t="s">
        <v>7143</v>
      </c>
      <c r="S180" s="2">
        <v>11</v>
      </c>
      <c r="T180" s="2" t="s">
        <v>7143</v>
      </c>
      <c r="U180" s="2" t="s">
        <v>7143</v>
      </c>
      <c r="Y180" s="2">
        <v>165</v>
      </c>
      <c r="Z180" s="17">
        <v>1</v>
      </c>
      <c r="AA180" s="2">
        <v>165</v>
      </c>
      <c r="AB180" s="2">
        <v>165</v>
      </c>
      <c r="AC180" s="7">
        <v>165</v>
      </c>
      <c r="AD180" s="2">
        <v>220</v>
      </c>
      <c r="AE180" s="2">
        <v>55</v>
      </c>
      <c r="AF180" s="2" t="s">
        <v>7142</v>
      </c>
      <c r="AG180" s="2" t="s">
        <v>7143</v>
      </c>
      <c r="AH180" s="2" t="s">
        <v>7143</v>
      </c>
      <c r="AJ180" s="2" t="s">
        <v>7143</v>
      </c>
      <c r="AK180" s="2" t="s">
        <v>7143</v>
      </c>
      <c r="AL180" s="2" t="s">
        <v>7143</v>
      </c>
      <c r="AM180" s="2" t="s">
        <v>7143</v>
      </c>
      <c r="AN180" s="2" t="s">
        <v>7143</v>
      </c>
      <c r="AO180" s="2" t="s">
        <v>7143</v>
      </c>
      <c r="AR180" s="7">
        <v>2</v>
      </c>
      <c r="AS180" s="7">
        <v>4</v>
      </c>
      <c r="AT180" s="7">
        <v>2.36</v>
      </c>
      <c r="AU180" s="2" t="s">
        <v>7193</v>
      </c>
      <c r="AV180" s="2" t="s">
        <v>7193</v>
      </c>
      <c r="AW180" s="2" t="s">
        <v>7143</v>
      </c>
      <c r="AZ180" s="2" t="s">
        <v>7145</v>
      </c>
      <c r="BB180" s="2" t="s">
        <v>7146</v>
      </c>
      <c r="BC180" s="2" t="s">
        <v>7147</v>
      </c>
      <c r="BD180" s="2" t="s">
        <v>7142</v>
      </c>
      <c r="BE180" s="2" t="s">
        <v>7142</v>
      </c>
      <c r="BF180" s="2" t="s">
        <v>7148</v>
      </c>
      <c r="BG180" s="2" t="s">
        <v>7149</v>
      </c>
      <c r="BH180" s="2" t="s">
        <v>7150</v>
      </c>
      <c r="BI180" s="2" t="s">
        <v>7151</v>
      </c>
      <c r="BL180" s="2" t="s">
        <v>7152</v>
      </c>
      <c r="BM180" s="2" t="s">
        <v>7153</v>
      </c>
      <c r="BN180" s="2" t="s">
        <v>7154</v>
      </c>
      <c r="BO180" s="2" t="s">
        <v>7155</v>
      </c>
      <c r="BQ180" s="2" t="s">
        <v>7156</v>
      </c>
      <c r="BS180" s="2" t="s">
        <v>7142</v>
      </c>
      <c r="BT180" s="2" t="s">
        <v>7215</v>
      </c>
      <c r="BV180" s="2" t="s">
        <v>7202</v>
      </c>
      <c r="BX180" s="2" t="s">
        <v>7143</v>
      </c>
      <c r="BZ180" s="2" t="s">
        <v>7173</v>
      </c>
      <c r="CE180" s="7">
        <v>2.36</v>
      </c>
      <c r="CF180" s="2">
        <v>220</v>
      </c>
      <c r="CK180" s="2">
        <v>100</v>
      </c>
      <c r="CO180" s="2">
        <v>100</v>
      </c>
      <c r="CR180" s="2" t="s">
        <v>7160</v>
      </c>
      <c r="CT180" s="2" t="s">
        <v>7143</v>
      </c>
      <c r="CU180" s="2" t="s">
        <v>7234</v>
      </c>
      <c r="CW180" s="2" t="s">
        <v>7162</v>
      </c>
      <c r="CY180" s="2" t="s">
        <v>7164</v>
      </c>
      <c r="CZ180" s="2" t="s">
        <v>7164</v>
      </c>
      <c r="DA180" s="2" t="s">
        <v>7164</v>
      </c>
      <c r="DB180" s="2" t="s">
        <v>7164</v>
      </c>
      <c r="DC180" s="2" t="s">
        <v>7164</v>
      </c>
      <c r="DD180" s="2" t="s">
        <v>7164</v>
      </c>
      <c r="DE180" s="2" t="s">
        <v>7164</v>
      </c>
      <c r="DF180" s="2" t="s">
        <v>7164</v>
      </c>
      <c r="DG180" s="2" t="s">
        <v>7164</v>
      </c>
      <c r="DH180" s="2" t="s">
        <v>7164</v>
      </c>
      <c r="DI180" s="2" t="s">
        <v>7164</v>
      </c>
      <c r="DL180" s="2" t="s">
        <v>7143</v>
      </c>
      <c r="DM180" s="2" t="s">
        <v>7143</v>
      </c>
      <c r="DP180" s="2" t="s">
        <v>7173</v>
      </c>
      <c r="DT180" s="2" t="s">
        <v>7159</v>
      </c>
      <c r="DU180" s="2" t="s">
        <v>7159</v>
      </c>
      <c r="DV180" s="2" t="s">
        <v>7159</v>
      </c>
      <c r="DW180" s="2" t="s">
        <v>7159</v>
      </c>
      <c r="DX180" s="2" t="s">
        <v>7159</v>
      </c>
      <c r="DY180" s="2" t="s">
        <v>7159</v>
      </c>
      <c r="DZ180" s="2" t="s">
        <v>7159</v>
      </c>
      <c r="EA180" s="2" t="s">
        <v>7159</v>
      </c>
      <c r="EB180" s="2" t="s">
        <v>7159</v>
      </c>
      <c r="EJ180" s="2" t="s">
        <v>7193</v>
      </c>
      <c r="EK180" s="2" t="s">
        <v>7143</v>
      </c>
      <c r="EL180" s="2" t="s">
        <v>7143</v>
      </c>
      <c r="EN180" s="2" t="s">
        <v>7307</v>
      </c>
      <c r="EP180" s="2" t="s">
        <v>7308</v>
      </c>
      <c r="ER180" s="2" t="s">
        <v>7143</v>
      </c>
      <c r="ET180" s="2" t="s">
        <v>7143</v>
      </c>
      <c r="EV180" s="2" t="s">
        <v>7143</v>
      </c>
      <c r="EX180" s="2" t="s">
        <v>7143</v>
      </c>
      <c r="EZ180" s="2" t="s">
        <v>7143</v>
      </c>
      <c r="FC180" s="2" t="s">
        <v>7172</v>
      </c>
      <c r="FD180" s="2" t="s">
        <v>7143</v>
      </c>
      <c r="FH180" s="2" t="s">
        <v>7173</v>
      </c>
      <c r="FJ180" s="2" t="s">
        <v>7142</v>
      </c>
      <c r="FK180" s="2" t="s">
        <v>7173</v>
      </c>
      <c r="FN180" s="2" t="s">
        <v>7344</v>
      </c>
      <c r="FT180" s="2" t="s">
        <v>7189</v>
      </c>
      <c r="FU180" s="2" t="s">
        <v>7189</v>
      </c>
      <c r="FV180" s="2" t="s">
        <v>7189</v>
      </c>
      <c r="FW180" s="2" t="s">
        <v>7189</v>
      </c>
      <c r="FZ180" s="19" t="s">
        <v>7843</v>
      </c>
    </row>
    <row r="181" spans="1:182">
      <c r="A181" s="7" t="s">
        <v>1435</v>
      </c>
      <c r="D181" s="7" t="s">
        <v>7844</v>
      </c>
      <c r="E181" s="7" t="s">
        <v>1436</v>
      </c>
      <c r="F181" s="7" t="s">
        <v>7339</v>
      </c>
      <c r="G181" s="7" t="s">
        <v>7717</v>
      </c>
      <c r="H181" s="7" t="s">
        <v>1437</v>
      </c>
      <c r="I181" s="7" t="s">
        <v>1438</v>
      </c>
      <c r="J181" s="16" t="s">
        <v>7845</v>
      </c>
      <c r="K181" s="7" t="s">
        <v>1438</v>
      </c>
      <c r="L181" s="2" t="s">
        <v>7137</v>
      </c>
      <c r="M181" s="7" t="s">
        <v>7138</v>
      </c>
      <c r="N181" s="7">
        <v>1976</v>
      </c>
      <c r="O181" s="7" t="s">
        <v>7139</v>
      </c>
      <c r="P181" s="2" t="s">
        <v>7140</v>
      </c>
      <c r="Q181" s="2" t="s">
        <v>7395</v>
      </c>
      <c r="R181" s="2" t="s">
        <v>7143</v>
      </c>
      <c r="S181" s="2">
        <v>2000</v>
      </c>
      <c r="T181" s="2" t="s">
        <v>7143</v>
      </c>
      <c r="U181" s="2" t="s">
        <v>7143</v>
      </c>
      <c r="Y181" s="2">
        <v>718</v>
      </c>
      <c r="Z181" s="17">
        <v>1</v>
      </c>
      <c r="AA181" s="2">
        <v>718</v>
      </c>
      <c r="AB181" s="2">
        <v>718</v>
      </c>
      <c r="AC181" s="7">
        <v>718</v>
      </c>
      <c r="AD181" s="2">
        <v>1138</v>
      </c>
      <c r="AE181" s="2">
        <v>420</v>
      </c>
      <c r="AF181" s="2" t="s">
        <v>7143</v>
      </c>
      <c r="AG181" s="2" t="s">
        <v>7143</v>
      </c>
      <c r="AH181" s="2" t="s">
        <v>7143</v>
      </c>
      <c r="AJ181" s="2" t="s">
        <v>7143</v>
      </c>
      <c r="AK181" s="2" t="s">
        <v>7143</v>
      </c>
      <c r="AL181" s="2" t="s">
        <v>7143</v>
      </c>
      <c r="AM181" s="2" t="s">
        <v>7143</v>
      </c>
      <c r="AN181" s="2" t="s">
        <v>7143</v>
      </c>
      <c r="AO181" s="2" t="s">
        <v>7143</v>
      </c>
      <c r="AR181" s="7">
        <v>7</v>
      </c>
      <c r="AS181" s="7">
        <v>4</v>
      </c>
      <c r="AT181" s="7">
        <v>11.5</v>
      </c>
      <c r="AU181" s="2" t="s">
        <v>7193</v>
      </c>
      <c r="AV181" s="2" t="s">
        <v>7193</v>
      </c>
      <c r="AW181" s="2" t="s">
        <v>7143</v>
      </c>
      <c r="AZ181" s="2" t="s">
        <v>7145</v>
      </c>
      <c r="BB181" s="2" t="s">
        <v>7214</v>
      </c>
      <c r="BC181" s="2" t="s">
        <v>7247</v>
      </c>
      <c r="BD181" s="2" t="s">
        <v>7142</v>
      </c>
      <c r="BE181" s="2" t="s">
        <v>7142</v>
      </c>
      <c r="BF181" s="2" t="s">
        <v>7148</v>
      </c>
      <c r="BG181" s="2" t="s">
        <v>7149</v>
      </c>
      <c r="BH181" s="2" t="s">
        <v>7150</v>
      </c>
      <c r="BI181" s="2" t="s">
        <v>7151</v>
      </c>
      <c r="BL181" s="2" t="s">
        <v>7152</v>
      </c>
      <c r="BM181" s="2" t="s">
        <v>7355</v>
      </c>
      <c r="BN181" s="2" t="s">
        <v>7154</v>
      </c>
      <c r="BO181" s="2" t="s">
        <v>7155</v>
      </c>
      <c r="BQ181" s="2" t="s">
        <v>7156</v>
      </c>
      <c r="BS181" s="2" t="s">
        <v>7142</v>
      </c>
      <c r="BT181" s="2" t="s">
        <v>7341</v>
      </c>
      <c r="BV181" s="2" t="s">
        <v>7313</v>
      </c>
      <c r="BX181" s="2" t="s">
        <v>7142</v>
      </c>
      <c r="BY181" s="2" t="s">
        <v>1439</v>
      </c>
      <c r="BZ181" s="2" t="s">
        <v>7173</v>
      </c>
      <c r="CE181" s="7">
        <v>11.5</v>
      </c>
      <c r="CF181" s="2">
        <v>1138</v>
      </c>
      <c r="CM181" s="2">
        <v>100</v>
      </c>
      <c r="CO181" s="2">
        <v>100</v>
      </c>
      <c r="CR181" s="2" t="s">
        <v>7276</v>
      </c>
      <c r="CT181" s="2" t="s">
        <v>7143</v>
      </c>
      <c r="CU181" s="2" t="s">
        <v>7203</v>
      </c>
      <c r="CW181" s="2" t="s">
        <v>7162</v>
      </c>
      <c r="CY181" s="2" t="s">
        <v>7163</v>
      </c>
      <c r="CZ181" s="2" t="s">
        <v>7163</v>
      </c>
      <c r="DA181" s="2" t="s">
        <v>7250</v>
      </c>
      <c r="DB181" s="2" t="s">
        <v>7250</v>
      </c>
      <c r="DC181" s="2" t="s">
        <v>7321</v>
      </c>
      <c r="DD181" s="2" t="s">
        <v>7250</v>
      </c>
      <c r="DE181" s="2" t="s">
        <v>7250</v>
      </c>
      <c r="DF181" s="2" t="s">
        <v>7250</v>
      </c>
      <c r="DG181" s="2" t="s">
        <v>7250</v>
      </c>
      <c r="DH181" s="2" t="s">
        <v>7163</v>
      </c>
      <c r="DI181" s="2" t="s">
        <v>7163</v>
      </c>
      <c r="DL181" s="2" t="s">
        <v>7142</v>
      </c>
      <c r="DM181" s="2" t="s">
        <v>7142</v>
      </c>
      <c r="DN181" s="2" t="s">
        <v>7142</v>
      </c>
      <c r="DO181" s="2" t="s">
        <v>7142</v>
      </c>
      <c r="DP181" s="2" t="s">
        <v>7165</v>
      </c>
      <c r="DQ181" s="2" t="s">
        <v>7333</v>
      </c>
      <c r="DR181" s="2" t="s">
        <v>1440</v>
      </c>
      <c r="DT181" s="2" t="s">
        <v>7165</v>
      </c>
      <c r="DU181" s="2" t="s">
        <v>7165</v>
      </c>
      <c r="DV181" s="2" t="s">
        <v>7165</v>
      </c>
      <c r="DW181" s="2" t="s">
        <v>7165</v>
      </c>
      <c r="DX181" s="2" t="s">
        <v>7165</v>
      </c>
      <c r="DY181" s="2" t="s">
        <v>7159</v>
      </c>
      <c r="DZ181" s="2" t="s">
        <v>7159</v>
      </c>
      <c r="EA181" s="2" t="s">
        <v>7159</v>
      </c>
      <c r="EB181" s="2" t="s">
        <v>7159</v>
      </c>
      <c r="EC181" s="2" t="s">
        <v>7159</v>
      </c>
      <c r="ED181" s="2" t="s">
        <v>7159</v>
      </c>
      <c r="EF181" s="2" t="s">
        <v>7252</v>
      </c>
      <c r="EG181" s="2" t="s">
        <v>1441</v>
      </c>
      <c r="EJ181" s="2" t="s">
        <v>7193</v>
      </c>
      <c r="EK181" s="2" t="s">
        <v>7142</v>
      </c>
      <c r="EL181" s="2" t="s">
        <v>7143</v>
      </c>
      <c r="EN181" s="2" t="s">
        <v>7170</v>
      </c>
      <c r="EP181" s="2" t="s">
        <v>7186</v>
      </c>
      <c r="ER181" s="2" t="s">
        <v>7142</v>
      </c>
      <c r="ET181" s="2" t="s">
        <v>7143</v>
      </c>
      <c r="EU181" s="2" t="s">
        <v>7171</v>
      </c>
      <c r="EV181" s="2" t="s">
        <v>7142</v>
      </c>
      <c r="EW181" s="2" t="s">
        <v>7171</v>
      </c>
      <c r="EX181" s="2" t="s">
        <v>7143</v>
      </c>
      <c r="EZ181" s="2" t="s">
        <v>7143</v>
      </c>
      <c r="FC181" s="2" t="s">
        <v>7218</v>
      </c>
      <c r="FD181" s="2" t="s">
        <v>7143</v>
      </c>
      <c r="FH181" s="2" t="s">
        <v>7173</v>
      </c>
      <c r="FJ181" s="2" t="s">
        <v>7143</v>
      </c>
      <c r="FK181" s="2" t="s">
        <v>7173</v>
      </c>
      <c r="FN181" s="2" t="s">
        <v>7344</v>
      </c>
      <c r="FR181" s="2" t="s">
        <v>1442</v>
      </c>
      <c r="FT181" s="2" t="s">
        <v>7189</v>
      </c>
      <c r="FU181" s="2" t="s">
        <v>7189</v>
      </c>
      <c r="FV181" s="2" t="s">
        <v>7189</v>
      </c>
      <c r="FW181" s="2" t="s">
        <v>7189</v>
      </c>
      <c r="FX181" s="2" t="s">
        <v>7189</v>
      </c>
      <c r="FZ181" s="19" t="s">
        <v>7846</v>
      </c>
    </row>
    <row r="182" spans="1:182">
      <c r="A182" s="7" t="s">
        <v>1443</v>
      </c>
      <c r="D182" s="7" t="s">
        <v>7847</v>
      </c>
      <c r="E182" s="7" t="s">
        <v>1444</v>
      </c>
      <c r="F182" s="7" t="s">
        <v>7319</v>
      </c>
      <c r="G182" s="7" t="s">
        <v>7717</v>
      </c>
      <c r="H182" s="7" t="s">
        <v>1263</v>
      </c>
      <c r="I182" s="7" t="s">
        <v>1445</v>
      </c>
      <c r="J182" s="19" t="s">
        <v>7848</v>
      </c>
      <c r="K182" s="7" t="s">
        <v>1446</v>
      </c>
      <c r="L182" s="2" t="s">
        <v>7281</v>
      </c>
      <c r="M182" s="7" t="s">
        <v>7179</v>
      </c>
      <c r="N182" s="7">
        <v>1971</v>
      </c>
      <c r="O182" s="7" t="s">
        <v>7180</v>
      </c>
      <c r="P182" s="2" t="s">
        <v>7181</v>
      </c>
      <c r="Q182" s="2" t="s">
        <v>7141</v>
      </c>
      <c r="S182" s="2">
        <v>30</v>
      </c>
      <c r="T182" s="2" t="s">
        <v>7143</v>
      </c>
      <c r="U182" s="2" t="s">
        <v>7143</v>
      </c>
      <c r="Y182" s="2">
        <v>1400</v>
      </c>
      <c r="Z182" s="17">
        <v>0.92859999999999998</v>
      </c>
      <c r="AA182" s="2">
        <v>1300</v>
      </c>
      <c r="AB182" s="2">
        <v>1300</v>
      </c>
      <c r="AC182" s="7">
        <v>500</v>
      </c>
      <c r="AD182" s="2">
        <v>700</v>
      </c>
      <c r="AE182" s="2">
        <v>200</v>
      </c>
      <c r="AF182" s="2" t="s">
        <v>7143</v>
      </c>
      <c r="AG182" s="2" t="s">
        <v>7143</v>
      </c>
      <c r="AH182" s="2" t="s">
        <v>7142</v>
      </c>
      <c r="AI182" s="2" t="s">
        <v>308</v>
      </c>
      <c r="AJ182" s="2" t="s">
        <v>7143</v>
      </c>
      <c r="AK182" s="2" t="s">
        <v>7143</v>
      </c>
      <c r="AL182" s="2" t="s">
        <v>7143</v>
      </c>
      <c r="AM182" s="2" t="s">
        <v>7143</v>
      </c>
      <c r="AN182" s="2" t="s">
        <v>7142</v>
      </c>
      <c r="AO182" s="2" t="s">
        <v>7143</v>
      </c>
      <c r="AR182" s="7">
        <v>1.5</v>
      </c>
      <c r="AS182" s="7">
        <v>1</v>
      </c>
      <c r="AT182" s="7">
        <v>7</v>
      </c>
      <c r="AU182" s="2" t="s">
        <v>7144</v>
      </c>
      <c r="AV182" s="2" t="s">
        <v>7144</v>
      </c>
      <c r="AW182" s="2" t="s">
        <v>7143</v>
      </c>
      <c r="AZ182" s="2" t="s">
        <v>7337</v>
      </c>
      <c r="BB182" s="2" t="s">
        <v>7214</v>
      </c>
      <c r="BC182" s="2" t="s">
        <v>7247</v>
      </c>
      <c r="BD182" s="2" t="s">
        <v>7142</v>
      </c>
      <c r="BE182" s="2" t="s">
        <v>7142</v>
      </c>
      <c r="BF182" s="2" t="s">
        <v>7148</v>
      </c>
      <c r="BG182" s="2" t="s">
        <v>7149</v>
      </c>
      <c r="BH182" s="2" t="s">
        <v>7248</v>
      </c>
      <c r="BI182" s="2" t="s">
        <v>7326</v>
      </c>
      <c r="BL182" s="2" t="s">
        <v>7152</v>
      </c>
      <c r="BM182" s="2" t="s">
        <v>7153</v>
      </c>
      <c r="BN182" s="2" t="s">
        <v>7154</v>
      </c>
      <c r="BO182" s="2" t="s">
        <v>7155</v>
      </c>
      <c r="BQ182" s="2" t="s">
        <v>7183</v>
      </c>
      <c r="BS182" s="2" t="s">
        <v>7142</v>
      </c>
      <c r="BT182" s="2" t="s">
        <v>7238</v>
      </c>
      <c r="BU182" s="2" t="s">
        <v>429</v>
      </c>
      <c r="BV182" s="2" t="s">
        <v>7202</v>
      </c>
      <c r="BX182" s="2" t="s">
        <v>7143</v>
      </c>
      <c r="BZ182" s="2" t="s">
        <v>7173</v>
      </c>
      <c r="CE182" s="7">
        <v>7</v>
      </c>
      <c r="CF182" s="2">
        <v>700</v>
      </c>
      <c r="CM182" s="2">
        <v>100</v>
      </c>
      <c r="CO182" s="2">
        <v>100</v>
      </c>
      <c r="CR182" s="2" t="s">
        <v>7276</v>
      </c>
      <c r="CT182" s="2" t="s">
        <v>7143</v>
      </c>
      <c r="CU182" s="2" t="s">
        <v>7161</v>
      </c>
      <c r="CW182" s="2" t="s">
        <v>7162</v>
      </c>
      <c r="CY182" s="2" t="s">
        <v>7163</v>
      </c>
      <c r="CZ182" s="2" t="s">
        <v>7163</v>
      </c>
      <c r="DA182" s="2" t="s">
        <v>7250</v>
      </c>
      <c r="DB182" s="2" t="s">
        <v>7321</v>
      </c>
      <c r="DC182" s="2" t="s">
        <v>7250</v>
      </c>
      <c r="DD182" s="2" t="s">
        <v>7321</v>
      </c>
      <c r="DE182" s="2" t="s">
        <v>7250</v>
      </c>
      <c r="DF182" s="2" t="s">
        <v>7163</v>
      </c>
      <c r="DG182" s="2" t="s">
        <v>7163</v>
      </c>
      <c r="DH182" s="2" t="s">
        <v>7163</v>
      </c>
      <c r="DI182" s="2" t="s">
        <v>7250</v>
      </c>
      <c r="DL182" s="2" t="s">
        <v>7142</v>
      </c>
      <c r="DM182" s="2" t="s">
        <v>7142</v>
      </c>
      <c r="DN182" s="2" t="s">
        <v>7142</v>
      </c>
      <c r="DO182" s="2" t="s">
        <v>7142</v>
      </c>
      <c r="DP182" s="2" t="s">
        <v>7165</v>
      </c>
      <c r="DQ182" s="2" t="s">
        <v>7333</v>
      </c>
      <c r="DR182" s="2" t="s">
        <v>1447</v>
      </c>
      <c r="DT182" s="2" t="s">
        <v>7165</v>
      </c>
      <c r="DU182" s="2" t="s">
        <v>7165</v>
      </c>
      <c r="DV182" s="2" t="s">
        <v>7165</v>
      </c>
      <c r="DW182" s="2" t="s">
        <v>7165</v>
      </c>
      <c r="DX182" s="2" t="s">
        <v>7165</v>
      </c>
      <c r="DY182" s="2" t="s">
        <v>7165</v>
      </c>
      <c r="DZ182" s="2" t="s">
        <v>7159</v>
      </c>
      <c r="EA182" s="2" t="s">
        <v>7165</v>
      </c>
      <c r="EB182" s="2" t="s">
        <v>7165</v>
      </c>
      <c r="EC182" s="2" t="s">
        <v>7173</v>
      </c>
      <c r="EF182" s="2" t="s">
        <v>7167</v>
      </c>
      <c r="EJ182" s="2" t="s">
        <v>7193</v>
      </c>
      <c r="EK182" s="2" t="s">
        <v>7142</v>
      </c>
      <c r="EL182" s="2" t="s">
        <v>7143</v>
      </c>
      <c r="EN182" s="2" t="s">
        <v>7210</v>
      </c>
      <c r="EP182" s="2" t="s">
        <v>7186</v>
      </c>
      <c r="ER182" s="2" t="s">
        <v>7142</v>
      </c>
      <c r="ET182" s="2" t="s">
        <v>7143</v>
      </c>
      <c r="EV182" s="2" t="s">
        <v>7142</v>
      </c>
      <c r="EW182" s="2" t="s">
        <v>7171</v>
      </c>
      <c r="EX182" s="2" t="s">
        <v>7142</v>
      </c>
      <c r="EY182" s="2" t="s">
        <v>7171</v>
      </c>
      <c r="EZ182" s="2" t="s">
        <v>7143</v>
      </c>
      <c r="FC182" s="2" t="s">
        <v>7172</v>
      </c>
      <c r="FD182" s="2" t="s">
        <v>7143</v>
      </c>
      <c r="FH182" s="2" t="s">
        <v>7173</v>
      </c>
      <c r="FJ182" s="2" t="s">
        <v>7143</v>
      </c>
      <c r="FK182" s="2" t="s">
        <v>7173</v>
      </c>
      <c r="FR182" s="2" t="s">
        <v>1448</v>
      </c>
      <c r="FT182" s="2" t="s">
        <v>7189</v>
      </c>
      <c r="FU182" s="2" t="s">
        <v>7176</v>
      </c>
      <c r="FV182" s="2" t="s">
        <v>7176</v>
      </c>
      <c r="FW182" s="2" t="s">
        <v>7176</v>
      </c>
      <c r="FZ182" s="19" t="s">
        <v>7849</v>
      </c>
    </row>
    <row r="183" spans="1:182">
      <c r="A183" s="7" t="s">
        <v>1449</v>
      </c>
      <c r="D183" s="7" t="s">
        <v>7850</v>
      </c>
      <c r="E183" s="7" t="s">
        <v>1450</v>
      </c>
      <c r="F183" s="7" t="s">
        <v>7389</v>
      </c>
      <c r="G183" s="7" t="s">
        <v>7717</v>
      </c>
      <c r="H183" s="2" t="s">
        <v>1219</v>
      </c>
      <c r="I183" s="7" t="s">
        <v>1451</v>
      </c>
      <c r="J183" s="16" t="s">
        <v>7851</v>
      </c>
      <c r="K183" s="7" t="s">
        <v>1452</v>
      </c>
      <c r="L183" s="2" t="s">
        <v>7137</v>
      </c>
      <c r="M183" s="7" t="s">
        <v>7179</v>
      </c>
      <c r="N183" s="7">
        <v>1977</v>
      </c>
      <c r="O183" s="7" t="s">
        <v>7139</v>
      </c>
      <c r="P183" s="7" t="s">
        <v>7192</v>
      </c>
      <c r="Q183" s="2" t="s">
        <v>7182</v>
      </c>
      <c r="R183" s="2" t="s">
        <v>7143</v>
      </c>
      <c r="S183" s="2">
        <v>25</v>
      </c>
      <c r="T183" s="2" t="s">
        <v>7143</v>
      </c>
      <c r="U183" s="2" t="s">
        <v>7143</v>
      </c>
      <c r="Y183" s="2">
        <v>140</v>
      </c>
      <c r="Z183" s="17">
        <v>1</v>
      </c>
      <c r="AA183" s="2">
        <v>140</v>
      </c>
      <c r="AB183" s="2">
        <v>140</v>
      </c>
      <c r="AC183" s="7">
        <v>140</v>
      </c>
      <c r="AD183" s="2">
        <v>200</v>
      </c>
      <c r="AE183" s="2">
        <v>60</v>
      </c>
      <c r="AF183" s="2" t="s">
        <v>7143</v>
      </c>
      <c r="AG183" s="2" t="s">
        <v>7143</v>
      </c>
      <c r="AH183" s="2" t="s">
        <v>7143</v>
      </c>
      <c r="AJ183" s="2" t="s">
        <v>7143</v>
      </c>
      <c r="AK183" s="2" t="s">
        <v>7143</v>
      </c>
      <c r="AL183" s="2" t="s">
        <v>7143</v>
      </c>
      <c r="AM183" s="2" t="s">
        <v>7143</v>
      </c>
      <c r="AN183" s="2" t="s">
        <v>7143</v>
      </c>
      <c r="AO183" s="2" t="s">
        <v>7143</v>
      </c>
      <c r="AR183" s="7">
        <v>1.5</v>
      </c>
      <c r="AS183" s="7">
        <v>2</v>
      </c>
      <c r="AT183" s="7">
        <v>1.8</v>
      </c>
      <c r="AU183" s="2" t="s">
        <v>7217</v>
      </c>
      <c r="AV183" s="2" t="s">
        <v>7193</v>
      </c>
      <c r="AW183" s="2" t="s">
        <v>7143</v>
      </c>
      <c r="AZ183" s="2" t="s">
        <v>7145</v>
      </c>
      <c r="BB183" s="2" t="s">
        <v>7214</v>
      </c>
      <c r="BC183" s="2" t="s">
        <v>7247</v>
      </c>
      <c r="BD183" s="2" t="s">
        <v>7142</v>
      </c>
      <c r="BE183" s="2" t="s">
        <v>7142</v>
      </c>
      <c r="BF183" s="2" t="s">
        <v>7148</v>
      </c>
      <c r="BG183" s="2" t="s">
        <v>7149</v>
      </c>
      <c r="BH183" s="2" t="s">
        <v>7150</v>
      </c>
      <c r="BI183" s="2" t="s">
        <v>7151</v>
      </c>
      <c r="BL183" s="2" t="s">
        <v>7152</v>
      </c>
      <c r="BM183" s="2" t="s">
        <v>7355</v>
      </c>
      <c r="BN183" s="2" t="s">
        <v>7154</v>
      </c>
      <c r="BO183" s="2" t="s">
        <v>7155</v>
      </c>
      <c r="BQ183" s="2" t="s">
        <v>7183</v>
      </c>
      <c r="BS183" s="2" t="s">
        <v>7142</v>
      </c>
      <c r="BT183" s="2" t="s">
        <v>7391</v>
      </c>
      <c r="BV183" s="2" t="s">
        <v>7197</v>
      </c>
      <c r="BX183" s="2" t="s">
        <v>7143</v>
      </c>
      <c r="BZ183" s="2" t="s">
        <v>7159</v>
      </c>
      <c r="CE183" s="7">
        <v>1.8</v>
      </c>
      <c r="CF183" s="2">
        <v>200</v>
      </c>
      <c r="CK183" s="2">
        <v>100</v>
      </c>
      <c r="CO183" s="2">
        <v>100</v>
      </c>
      <c r="CR183" s="2" t="s">
        <v>7651</v>
      </c>
      <c r="CT183" s="2" t="s">
        <v>7143</v>
      </c>
      <c r="CU183" s="2" t="s">
        <v>7454</v>
      </c>
      <c r="CW183" s="2" t="s">
        <v>7162</v>
      </c>
      <c r="CY183" s="2" t="s">
        <v>7163</v>
      </c>
      <c r="CZ183" s="2" t="s">
        <v>7250</v>
      </c>
      <c r="DA183" s="2" t="s">
        <v>7250</v>
      </c>
      <c r="DB183" s="2" t="s">
        <v>7250</v>
      </c>
      <c r="DC183" s="2" t="s">
        <v>7250</v>
      </c>
      <c r="DD183" s="2" t="s">
        <v>7250</v>
      </c>
      <c r="DE183" s="2" t="s">
        <v>7250</v>
      </c>
      <c r="DF183" s="2" t="s">
        <v>7250</v>
      </c>
      <c r="DG183" s="2" t="s">
        <v>7250</v>
      </c>
      <c r="DH183" s="2" t="s">
        <v>7250</v>
      </c>
      <c r="DI183" s="2" t="s">
        <v>7250</v>
      </c>
      <c r="DL183" s="2" t="s">
        <v>7143</v>
      </c>
      <c r="DM183" s="2" t="s">
        <v>7143</v>
      </c>
      <c r="DP183" s="2" t="s">
        <v>7159</v>
      </c>
      <c r="DT183" s="2" t="s">
        <v>7165</v>
      </c>
      <c r="DU183" s="2" t="s">
        <v>7165</v>
      </c>
      <c r="DV183" s="2" t="s">
        <v>7165</v>
      </c>
      <c r="DW183" s="2" t="s">
        <v>7165</v>
      </c>
      <c r="DX183" s="2" t="s">
        <v>7165</v>
      </c>
      <c r="DY183" s="2" t="s">
        <v>7159</v>
      </c>
      <c r="DZ183" s="2" t="s">
        <v>7159</v>
      </c>
      <c r="EA183" s="2" t="s">
        <v>7159</v>
      </c>
      <c r="EB183" s="2" t="s">
        <v>7165</v>
      </c>
      <c r="EC183" s="2" t="s">
        <v>7173</v>
      </c>
      <c r="EF183" s="2" t="s">
        <v>7221</v>
      </c>
      <c r="EG183" s="2" t="s">
        <v>1453</v>
      </c>
      <c r="EJ183" s="2" t="s">
        <v>7217</v>
      </c>
      <c r="EK183" s="2" t="s">
        <v>7143</v>
      </c>
      <c r="EL183" s="2" t="s">
        <v>7143</v>
      </c>
      <c r="EN183" s="2" t="s">
        <v>7210</v>
      </c>
      <c r="EP183" s="2" t="s">
        <v>7186</v>
      </c>
      <c r="ER183" s="2" t="s">
        <v>7143</v>
      </c>
      <c r="ET183" s="2" t="s">
        <v>7143</v>
      </c>
      <c r="EV183" s="2" t="s">
        <v>7143</v>
      </c>
      <c r="EX183" s="2" t="s">
        <v>7143</v>
      </c>
      <c r="EZ183" s="2" t="s">
        <v>7143</v>
      </c>
      <c r="FC183" s="2" t="s">
        <v>7218</v>
      </c>
      <c r="FD183" s="2" t="s">
        <v>7143</v>
      </c>
      <c r="FH183" s="2" t="s">
        <v>7173</v>
      </c>
      <c r="FJ183" s="2" t="s">
        <v>7143</v>
      </c>
      <c r="FK183" s="2" t="s">
        <v>7173</v>
      </c>
      <c r="FN183" s="2" t="s">
        <v>7458</v>
      </c>
      <c r="FR183" s="2" t="s">
        <v>1454</v>
      </c>
      <c r="FT183" s="2" t="s">
        <v>7176</v>
      </c>
      <c r="FU183" s="2" t="s">
        <v>7176</v>
      </c>
      <c r="FV183" s="2" t="s">
        <v>7176</v>
      </c>
      <c r="FW183" s="2" t="s">
        <v>7189</v>
      </c>
      <c r="FZ183" s="19" t="s">
        <v>7852</v>
      </c>
    </row>
    <row r="184" spans="1:182">
      <c r="A184" s="7" t="s">
        <v>1455</v>
      </c>
      <c r="D184" s="7" t="s">
        <v>7853</v>
      </c>
      <c r="E184" s="7" t="s">
        <v>177</v>
      </c>
      <c r="F184" s="7" t="s">
        <v>7134</v>
      </c>
      <c r="G184" s="7" t="s">
        <v>7717</v>
      </c>
      <c r="H184" s="7" t="s">
        <v>1207</v>
      </c>
      <c r="I184" s="7" t="s">
        <v>1456</v>
      </c>
      <c r="J184" s="7"/>
      <c r="K184" s="7" t="s">
        <v>1456</v>
      </c>
      <c r="L184" s="2" t="s">
        <v>7471</v>
      </c>
      <c r="M184" s="7" t="s">
        <v>7179</v>
      </c>
      <c r="N184" s="7">
        <v>1972</v>
      </c>
      <c r="O184" s="7" t="s">
        <v>7139</v>
      </c>
      <c r="P184" s="2" t="s">
        <v>7140</v>
      </c>
      <c r="Q184" s="2" t="s">
        <v>7395</v>
      </c>
      <c r="R184" s="2" t="s">
        <v>7143</v>
      </c>
      <c r="S184" s="2">
        <v>30</v>
      </c>
      <c r="T184" s="2" t="s">
        <v>7143</v>
      </c>
      <c r="U184" s="2" t="s">
        <v>7143</v>
      </c>
      <c r="Y184" s="2">
        <v>42</v>
      </c>
      <c r="Z184" s="17">
        <v>1</v>
      </c>
      <c r="AA184" s="2">
        <v>42</v>
      </c>
      <c r="AB184" s="2">
        <v>42</v>
      </c>
      <c r="AC184" s="7">
        <v>42</v>
      </c>
      <c r="AD184" s="2">
        <v>45</v>
      </c>
      <c r="AE184" s="2">
        <v>3</v>
      </c>
      <c r="AF184" s="2" t="s">
        <v>7142</v>
      </c>
      <c r="AG184" s="2" t="s">
        <v>7143</v>
      </c>
      <c r="AH184" s="2" t="s">
        <v>7143</v>
      </c>
      <c r="AJ184" s="2" t="s">
        <v>7143</v>
      </c>
      <c r="AK184" s="2" t="s">
        <v>7143</v>
      </c>
      <c r="AL184" s="2" t="s">
        <v>7143</v>
      </c>
      <c r="AM184" s="2" t="s">
        <v>7143</v>
      </c>
      <c r="AN184" s="2" t="s">
        <v>7143</v>
      </c>
      <c r="AO184" s="2" t="s">
        <v>7143</v>
      </c>
      <c r="AR184" s="7">
        <v>0.4</v>
      </c>
      <c r="AS184" s="7">
        <v>2</v>
      </c>
      <c r="AT184" s="7">
        <v>0.51</v>
      </c>
      <c r="AU184" s="2" t="s">
        <v>7217</v>
      </c>
      <c r="AV184" s="2" t="s">
        <v>7217</v>
      </c>
      <c r="AW184" s="2" t="s">
        <v>7143</v>
      </c>
      <c r="AZ184" s="2" t="s">
        <v>7145</v>
      </c>
      <c r="BB184" s="2" t="s">
        <v>7214</v>
      </c>
      <c r="BC184" s="2" t="s">
        <v>7147</v>
      </c>
      <c r="BD184" s="2" t="s">
        <v>7143</v>
      </c>
      <c r="BE184" s="2" t="s">
        <v>7142</v>
      </c>
      <c r="BF184" s="2" t="s">
        <v>7148</v>
      </c>
      <c r="BG184" s="2" t="s">
        <v>7232</v>
      </c>
      <c r="BH184" s="2" t="s">
        <v>7150</v>
      </c>
      <c r="BI184" s="2" t="s">
        <v>7151</v>
      </c>
      <c r="BL184" s="2" t="s">
        <v>7195</v>
      </c>
      <c r="BO184" s="2" t="s">
        <v>7155</v>
      </c>
      <c r="BQ184" s="2" t="s">
        <v>7156</v>
      </c>
      <c r="BS184" s="2" t="s">
        <v>7143</v>
      </c>
      <c r="BX184" s="2" t="s">
        <v>7143</v>
      </c>
      <c r="BZ184" s="2" t="s">
        <v>7159</v>
      </c>
      <c r="CE184" s="7">
        <v>0.51</v>
      </c>
      <c r="CF184" s="2">
        <v>45</v>
      </c>
      <c r="CK184" s="2">
        <v>100</v>
      </c>
      <c r="CO184" s="2">
        <v>100</v>
      </c>
      <c r="CR184" s="2" t="s">
        <v>7160</v>
      </c>
      <c r="CT184" s="2" t="s">
        <v>7143</v>
      </c>
      <c r="CU184" s="2" t="s">
        <v>7234</v>
      </c>
      <c r="CW184" s="2" t="s">
        <v>7162</v>
      </c>
      <c r="CY184" s="2" t="s">
        <v>7164</v>
      </c>
      <c r="CZ184" s="2" t="s">
        <v>7164</v>
      </c>
      <c r="DA184" s="2" t="s">
        <v>7164</v>
      </c>
      <c r="DL184" s="2" t="s">
        <v>7143</v>
      </c>
      <c r="DM184" s="2" t="s">
        <v>7143</v>
      </c>
      <c r="DP184" s="2" t="s">
        <v>7159</v>
      </c>
      <c r="DT184" s="2" t="s">
        <v>7159</v>
      </c>
      <c r="DU184" s="2" t="s">
        <v>7159</v>
      </c>
      <c r="DV184" s="2" t="s">
        <v>7159</v>
      </c>
      <c r="DW184" s="2" t="s">
        <v>7159</v>
      </c>
      <c r="DX184" s="2" t="s">
        <v>7159</v>
      </c>
      <c r="DY184" s="2" t="s">
        <v>7159</v>
      </c>
      <c r="DZ184" s="2" t="s">
        <v>7159</v>
      </c>
      <c r="EA184" s="2" t="s">
        <v>7159</v>
      </c>
      <c r="EB184" s="2" t="s">
        <v>7159</v>
      </c>
      <c r="EJ184" s="2" t="s">
        <v>7217</v>
      </c>
      <c r="EK184" s="2" t="s">
        <v>7143</v>
      </c>
      <c r="EL184" s="2" t="s">
        <v>7143</v>
      </c>
      <c r="ER184" s="2" t="s">
        <v>7143</v>
      </c>
      <c r="ET184" s="2" t="s">
        <v>7143</v>
      </c>
      <c r="EV184" s="2" t="s">
        <v>7143</v>
      </c>
      <c r="EX184" s="2" t="s">
        <v>7143</v>
      </c>
      <c r="EZ184" s="2" t="s">
        <v>7143</v>
      </c>
      <c r="FC184" s="2" t="s">
        <v>7218</v>
      </c>
      <c r="FD184" s="2" t="s">
        <v>7143</v>
      </c>
      <c r="FH184" s="2" t="s">
        <v>7173</v>
      </c>
      <c r="FJ184" s="2" t="s">
        <v>7143</v>
      </c>
      <c r="FK184" s="2" t="s">
        <v>7173</v>
      </c>
      <c r="FT184" s="2" t="s">
        <v>7345</v>
      </c>
      <c r="FU184" s="2" t="s">
        <v>7345</v>
      </c>
      <c r="FV184" s="2" t="s">
        <v>7189</v>
      </c>
      <c r="FW184" s="2" t="s">
        <v>7345</v>
      </c>
      <c r="FZ184" s="19" t="s">
        <v>7854</v>
      </c>
    </row>
    <row r="185" spans="1:182">
      <c r="A185" s="7" t="s">
        <v>1457</v>
      </c>
      <c r="D185" s="7" t="s">
        <v>7855</v>
      </c>
      <c r="E185" s="7" t="s">
        <v>177</v>
      </c>
      <c r="F185" s="7" t="s">
        <v>7245</v>
      </c>
      <c r="G185" s="7" t="s">
        <v>7717</v>
      </c>
      <c r="H185" s="7" t="s">
        <v>1458</v>
      </c>
      <c r="I185" s="7" t="s">
        <v>1459</v>
      </c>
      <c r="J185" s="16" t="s">
        <v>7856</v>
      </c>
      <c r="K185" s="7" t="s">
        <v>1459</v>
      </c>
      <c r="L185" s="7" t="s">
        <v>7281</v>
      </c>
      <c r="M185" s="7" t="s">
        <v>7138</v>
      </c>
      <c r="N185" s="7">
        <v>1982</v>
      </c>
      <c r="O185" s="7" t="s">
        <v>7180</v>
      </c>
      <c r="P185" s="7" t="s">
        <v>7140</v>
      </c>
      <c r="Q185" s="7" t="s">
        <v>7182</v>
      </c>
      <c r="R185" s="7" t="s">
        <v>7143</v>
      </c>
      <c r="S185" s="2">
        <v>2010</v>
      </c>
      <c r="T185" s="7" t="s">
        <v>7143</v>
      </c>
      <c r="U185" s="7" t="s">
        <v>7143</v>
      </c>
      <c r="Y185" s="2">
        <v>1900</v>
      </c>
      <c r="Z185" s="17">
        <v>0.94740000000000002</v>
      </c>
      <c r="AA185" s="2">
        <v>1800</v>
      </c>
      <c r="AB185" s="2">
        <v>1800</v>
      </c>
      <c r="AC185" s="7">
        <v>800</v>
      </c>
      <c r="AD185" s="2">
        <v>1000</v>
      </c>
      <c r="AE185" s="2">
        <v>200</v>
      </c>
      <c r="AF185" s="2" t="s">
        <v>7143</v>
      </c>
      <c r="AG185" s="2" t="s">
        <v>7142</v>
      </c>
      <c r="AH185" s="2" t="s">
        <v>7142</v>
      </c>
      <c r="AI185" s="2" t="s">
        <v>1460</v>
      </c>
      <c r="AJ185" s="2" t="s">
        <v>7143</v>
      </c>
      <c r="AK185" s="2" t="s">
        <v>7142</v>
      </c>
      <c r="AL185" s="2" t="s">
        <v>7143</v>
      </c>
      <c r="AM185" s="2" t="s">
        <v>7142</v>
      </c>
      <c r="AN185" s="2" t="s">
        <v>7143</v>
      </c>
      <c r="AO185" s="2" t="s">
        <v>7143</v>
      </c>
      <c r="AR185" s="7">
        <v>4</v>
      </c>
      <c r="AS185" s="7">
        <v>2</v>
      </c>
      <c r="AT185" s="7">
        <v>10</v>
      </c>
      <c r="AU185" s="7" t="s">
        <v>7144</v>
      </c>
      <c r="AV185" s="7" t="s">
        <v>7144</v>
      </c>
      <c r="AW185" s="7" t="s">
        <v>7143</v>
      </c>
      <c r="AZ185" s="7" t="s">
        <v>7145</v>
      </c>
      <c r="BB185" s="7" t="s">
        <v>7214</v>
      </c>
      <c r="BC185" s="7" t="s">
        <v>7247</v>
      </c>
      <c r="BD185" s="7" t="s">
        <v>7142</v>
      </c>
      <c r="BE185" s="7" t="s">
        <v>7142</v>
      </c>
      <c r="BF185" s="7" t="s">
        <v>7148</v>
      </c>
      <c r="BG185" s="7" t="s">
        <v>7149</v>
      </c>
      <c r="BH185" s="7" t="s">
        <v>7248</v>
      </c>
      <c r="BI185" s="7" t="s">
        <v>7151</v>
      </c>
      <c r="BL185" s="7" t="s">
        <v>7152</v>
      </c>
      <c r="BM185" s="7" t="s">
        <v>7153</v>
      </c>
      <c r="BN185" s="7" t="s">
        <v>7154</v>
      </c>
      <c r="BO185" s="2" t="s">
        <v>7155</v>
      </c>
      <c r="BQ185" s="2" t="s">
        <v>7183</v>
      </c>
      <c r="BT185" s="2" t="s">
        <v>7215</v>
      </c>
      <c r="BV185" s="2" t="s">
        <v>7304</v>
      </c>
      <c r="BX185" s="2" t="s">
        <v>7142</v>
      </c>
      <c r="BY185" s="2" t="s">
        <v>310</v>
      </c>
      <c r="BZ185" s="2" t="s">
        <v>7159</v>
      </c>
      <c r="CE185" s="7">
        <v>10</v>
      </c>
      <c r="CF185" s="2">
        <v>990</v>
      </c>
      <c r="CK185" s="2">
        <v>100</v>
      </c>
      <c r="CO185" s="2">
        <v>100</v>
      </c>
      <c r="CR185" s="2" t="s">
        <v>7160</v>
      </c>
      <c r="CT185" s="2" t="s">
        <v>7143</v>
      </c>
      <c r="CU185" s="2" t="s">
        <v>7161</v>
      </c>
      <c r="CW185" s="2" t="s">
        <v>7162</v>
      </c>
      <c r="CY185" s="2" t="s">
        <v>7163</v>
      </c>
      <c r="CZ185" s="2" t="s">
        <v>7163</v>
      </c>
      <c r="DA185" s="2" t="s">
        <v>7164</v>
      </c>
      <c r="DB185" s="2" t="s">
        <v>7251</v>
      </c>
      <c r="DC185" s="2" t="s">
        <v>7164</v>
      </c>
      <c r="DD185" s="2" t="s">
        <v>7164</v>
      </c>
      <c r="DE185" s="2" t="s">
        <v>7164</v>
      </c>
      <c r="DF185" s="2" t="s">
        <v>7163</v>
      </c>
      <c r="DG185" s="2" t="s">
        <v>7164</v>
      </c>
      <c r="DH185" s="2" t="s">
        <v>7164</v>
      </c>
      <c r="DI185" s="2" t="s">
        <v>7164</v>
      </c>
      <c r="DL185" s="7" t="s">
        <v>7142</v>
      </c>
      <c r="DM185" s="7" t="s">
        <v>7142</v>
      </c>
      <c r="DN185" s="7" t="s">
        <v>7142</v>
      </c>
      <c r="DO185" s="7" t="s">
        <v>7142</v>
      </c>
      <c r="DP185" s="2" t="s">
        <v>7165</v>
      </c>
      <c r="DQ185" s="2" t="s">
        <v>7166</v>
      </c>
      <c r="DT185" s="2" t="s">
        <v>7165</v>
      </c>
      <c r="DU185" s="2" t="s">
        <v>7165</v>
      </c>
      <c r="DV185" s="2" t="s">
        <v>7165</v>
      </c>
      <c r="DW185" s="2" t="s">
        <v>7165</v>
      </c>
      <c r="DX185" s="2" t="s">
        <v>7165</v>
      </c>
      <c r="DY185" s="2" t="s">
        <v>7159</v>
      </c>
      <c r="DZ185" s="2" t="s">
        <v>7159</v>
      </c>
      <c r="EA185" s="2" t="s">
        <v>7165</v>
      </c>
      <c r="EB185" s="2" t="s">
        <v>7165</v>
      </c>
      <c r="EC185" s="2" t="s">
        <v>7159</v>
      </c>
      <c r="ED185" s="2" t="s">
        <v>7159</v>
      </c>
      <c r="EF185" s="7" t="s">
        <v>7167</v>
      </c>
      <c r="EJ185" s="7" t="s">
        <v>7144</v>
      </c>
      <c r="EK185" s="7" t="s">
        <v>7142</v>
      </c>
      <c r="EL185" s="7" t="s">
        <v>7143</v>
      </c>
      <c r="EN185" s="7" t="s">
        <v>7170</v>
      </c>
      <c r="EP185" s="7" t="s">
        <v>7186</v>
      </c>
      <c r="ER185" s="7" t="s">
        <v>7142</v>
      </c>
      <c r="ET185" s="7" t="s">
        <v>7143</v>
      </c>
      <c r="EV185" s="7" t="s">
        <v>7142</v>
      </c>
      <c r="EW185" s="7" t="s">
        <v>7204</v>
      </c>
      <c r="EX185" s="2" t="s">
        <v>7142</v>
      </c>
      <c r="EY185" s="2" t="s">
        <v>7204</v>
      </c>
      <c r="EZ185" s="2" t="s">
        <v>7143</v>
      </c>
      <c r="FC185" s="7" t="s">
        <v>7309</v>
      </c>
      <c r="FD185" s="7" t="s">
        <v>7143</v>
      </c>
      <c r="FH185" s="7" t="s">
        <v>7173</v>
      </c>
      <c r="FJ185" s="7" t="s">
        <v>7142</v>
      </c>
      <c r="FK185" s="7" t="s">
        <v>7165</v>
      </c>
      <c r="FL185" s="7" t="s">
        <v>7260</v>
      </c>
      <c r="FN185" s="2" t="s">
        <v>7253</v>
      </c>
      <c r="FT185" s="2" t="s">
        <v>7176</v>
      </c>
      <c r="FU185" s="2" t="s">
        <v>7189</v>
      </c>
      <c r="FV185" s="2" t="s">
        <v>7189</v>
      </c>
      <c r="FW185" s="2" t="s">
        <v>7189</v>
      </c>
      <c r="FZ185" s="19" t="s">
        <v>7857</v>
      </c>
    </row>
    <row r="186" spans="1:182">
      <c r="A186" s="7" t="s">
        <v>1461</v>
      </c>
      <c r="D186" s="7" t="s">
        <v>7858</v>
      </c>
      <c r="E186" s="7" t="s">
        <v>1462</v>
      </c>
      <c r="F186" s="7" t="s">
        <v>7339</v>
      </c>
      <c r="G186" s="7" t="s">
        <v>7717</v>
      </c>
      <c r="H186" s="7" t="s">
        <v>1212</v>
      </c>
      <c r="I186" s="7" t="s">
        <v>1463</v>
      </c>
      <c r="J186" s="16" t="s">
        <v>7859</v>
      </c>
      <c r="K186" s="7" t="s">
        <v>1464</v>
      </c>
      <c r="L186" s="2" t="s">
        <v>7137</v>
      </c>
      <c r="M186" s="7" t="s">
        <v>7179</v>
      </c>
      <c r="N186" s="7">
        <v>2004</v>
      </c>
      <c r="O186" s="7" t="s">
        <v>7139</v>
      </c>
      <c r="P186" s="2" t="s">
        <v>7192</v>
      </c>
      <c r="Q186" s="2" t="s">
        <v>7225</v>
      </c>
      <c r="R186" s="2" t="s">
        <v>7143</v>
      </c>
      <c r="S186" s="2">
        <v>11</v>
      </c>
      <c r="T186" s="2" t="s">
        <v>7143</v>
      </c>
      <c r="U186" s="2" t="s">
        <v>7143</v>
      </c>
      <c r="Y186" s="2">
        <v>305</v>
      </c>
      <c r="Z186" s="17">
        <v>1</v>
      </c>
      <c r="AA186" s="2">
        <v>305</v>
      </c>
      <c r="AB186" s="2">
        <v>305</v>
      </c>
      <c r="AC186" s="7">
        <v>305</v>
      </c>
      <c r="AD186" s="2">
        <v>445</v>
      </c>
      <c r="AE186" s="2">
        <v>140</v>
      </c>
      <c r="AF186" s="2" t="s">
        <v>7143</v>
      </c>
      <c r="AG186" s="2" t="s">
        <v>7143</v>
      </c>
      <c r="AH186" s="2" t="s">
        <v>7143</v>
      </c>
      <c r="AJ186" s="2" t="s">
        <v>7143</v>
      </c>
      <c r="AK186" s="2" t="s">
        <v>7143</v>
      </c>
      <c r="AL186" s="2" t="s">
        <v>7143</v>
      </c>
      <c r="AM186" s="2" t="s">
        <v>7143</v>
      </c>
      <c r="AN186" s="2" t="s">
        <v>7143</v>
      </c>
      <c r="AO186" s="2" t="s">
        <v>7143</v>
      </c>
      <c r="AR186" s="7">
        <v>4</v>
      </c>
      <c r="AS186" s="7">
        <v>2</v>
      </c>
      <c r="AT186" s="7">
        <v>4.5</v>
      </c>
      <c r="AU186" s="2" t="s">
        <v>7193</v>
      </c>
      <c r="AV186" s="2" t="s">
        <v>7193</v>
      </c>
      <c r="AW186" s="2" t="s">
        <v>7143</v>
      </c>
      <c r="AZ186" s="2" t="s">
        <v>7145</v>
      </c>
      <c r="BB186" s="2" t="s">
        <v>7214</v>
      </c>
      <c r="BC186" s="2" t="s">
        <v>7247</v>
      </c>
      <c r="BD186" s="2" t="s">
        <v>7143</v>
      </c>
      <c r="BE186" s="2" t="s">
        <v>7142</v>
      </c>
      <c r="BF186" s="2" t="s">
        <v>7148</v>
      </c>
      <c r="BG186" s="2" t="s">
        <v>7149</v>
      </c>
      <c r="BH186" s="2" t="s">
        <v>7150</v>
      </c>
      <c r="BI186" s="2" t="s">
        <v>7151</v>
      </c>
      <c r="BL186" s="2" t="s">
        <v>7195</v>
      </c>
      <c r="BO186" s="2" t="s">
        <v>7155</v>
      </c>
      <c r="BQ186" s="2" t="s">
        <v>7183</v>
      </c>
      <c r="BS186" s="2" t="s">
        <v>7142</v>
      </c>
      <c r="BT186" s="2" t="s">
        <v>7341</v>
      </c>
      <c r="BV186" s="2" t="s">
        <v>7407</v>
      </c>
      <c r="BX186" s="2" t="s">
        <v>7142</v>
      </c>
      <c r="BY186" s="2" t="s">
        <v>1465</v>
      </c>
      <c r="BZ186" s="2" t="s">
        <v>7173</v>
      </c>
      <c r="CE186" s="7">
        <v>4.5</v>
      </c>
      <c r="CF186" s="2">
        <v>445</v>
      </c>
      <c r="CK186" s="2">
        <v>100</v>
      </c>
      <c r="CO186" s="2">
        <v>100</v>
      </c>
      <c r="CR186" s="2" t="s">
        <v>7276</v>
      </c>
      <c r="CT186" s="2" t="s">
        <v>7143</v>
      </c>
      <c r="CU186" s="2" t="s">
        <v>7203</v>
      </c>
      <c r="CY186" s="2" t="s">
        <v>7163</v>
      </c>
      <c r="CZ186" s="2" t="s">
        <v>7163</v>
      </c>
      <c r="DA186" s="2" t="s">
        <v>7250</v>
      </c>
      <c r="DB186" s="2" t="s">
        <v>7250</v>
      </c>
      <c r="DC186" s="2" t="s">
        <v>7321</v>
      </c>
      <c r="DD186" s="2" t="s">
        <v>7250</v>
      </c>
      <c r="DE186" s="2" t="s">
        <v>7250</v>
      </c>
      <c r="DF186" s="2" t="s">
        <v>7250</v>
      </c>
      <c r="DG186" s="2" t="s">
        <v>7163</v>
      </c>
      <c r="DH186" s="2" t="s">
        <v>7163</v>
      </c>
      <c r="DI186" s="2" t="s">
        <v>7250</v>
      </c>
      <c r="DL186" s="2" t="s">
        <v>7142</v>
      </c>
      <c r="DM186" s="2" t="s">
        <v>7142</v>
      </c>
      <c r="DN186" s="2" t="s">
        <v>7142</v>
      </c>
      <c r="DO186" s="2" t="s">
        <v>7142</v>
      </c>
      <c r="DP186" s="2" t="s">
        <v>7165</v>
      </c>
      <c r="DQ186" s="2" t="s">
        <v>7333</v>
      </c>
      <c r="DR186" s="2" t="s">
        <v>1466</v>
      </c>
      <c r="DT186" s="2" t="s">
        <v>7165</v>
      </c>
      <c r="DU186" s="2" t="s">
        <v>7159</v>
      </c>
      <c r="DV186" s="2" t="s">
        <v>7165</v>
      </c>
      <c r="DW186" s="2" t="s">
        <v>7165</v>
      </c>
      <c r="DX186" s="2" t="s">
        <v>7165</v>
      </c>
      <c r="DY186" s="2" t="s">
        <v>7165</v>
      </c>
      <c r="DZ186" s="2" t="s">
        <v>7159</v>
      </c>
      <c r="EA186" s="2" t="s">
        <v>7159</v>
      </c>
      <c r="EB186" s="2" t="s">
        <v>7165</v>
      </c>
      <c r="EC186" s="2" t="s">
        <v>7159</v>
      </c>
      <c r="ED186" s="2" t="s">
        <v>7159</v>
      </c>
      <c r="EF186" s="2" t="s">
        <v>7252</v>
      </c>
      <c r="EG186" s="2" t="s">
        <v>1467</v>
      </c>
      <c r="EJ186" s="2" t="s">
        <v>7193</v>
      </c>
      <c r="EK186" s="2" t="s">
        <v>7142</v>
      </c>
      <c r="EL186" s="2" t="s">
        <v>7143</v>
      </c>
      <c r="EN186" s="2" t="s">
        <v>7170</v>
      </c>
      <c r="EP186" s="2" t="s">
        <v>7186</v>
      </c>
      <c r="ER186" s="2" t="s">
        <v>7142</v>
      </c>
      <c r="ET186" s="2" t="s">
        <v>7143</v>
      </c>
      <c r="EV186" s="2" t="s">
        <v>7142</v>
      </c>
      <c r="EW186" s="2" t="s">
        <v>7171</v>
      </c>
      <c r="EX186" s="2" t="s">
        <v>7143</v>
      </c>
      <c r="EZ186" s="2" t="s">
        <v>7143</v>
      </c>
      <c r="FC186" s="2" t="s">
        <v>7218</v>
      </c>
      <c r="FD186" s="2" t="s">
        <v>7143</v>
      </c>
      <c r="FH186" s="2" t="s">
        <v>7173</v>
      </c>
      <c r="FJ186" s="2" t="s">
        <v>7143</v>
      </c>
      <c r="FK186" s="2" t="s">
        <v>7173</v>
      </c>
      <c r="FN186" s="2" t="s">
        <v>7344</v>
      </c>
      <c r="FR186" s="2" t="s">
        <v>1468</v>
      </c>
      <c r="FT186" s="2" t="s">
        <v>7189</v>
      </c>
      <c r="FU186" s="2" t="s">
        <v>7189</v>
      </c>
      <c r="FV186" s="2" t="s">
        <v>7189</v>
      </c>
      <c r="FW186" s="2" t="s">
        <v>7189</v>
      </c>
      <c r="FX186" s="2" t="s">
        <v>7189</v>
      </c>
      <c r="FZ186" s="19" t="s">
        <v>7860</v>
      </c>
    </row>
    <row r="187" spans="1:182">
      <c r="A187" s="7" t="s">
        <v>1469</v>
      </c>
      <c r="D187" s="7" t="s">
        <v>7861</v>
      </c>
      <c r="E187" s="7" t="s">
        <v>1470</v>
      </c>
      <c r="F187" s="7" t="s">
        <v>7389</v>
      </c>
      <c r="G187" s="7" t="s">
        <v>7717</v>
      </c>
      <c r="H187" s="7" t="s">
        <v>1219</v>
      </c>
      <c r="I187" s="7" t="s">
        <v>1471</v>
      </c>
      <c r="J187" s="16" t="s">
        <v>7862</v>
      </c>
      <c r="K187" s="7" t="s">
        <v>1472</v>
      </c>
      <c r="L187" s="2" t="s">
        <v>7137</v>
      </c>
      <c r="M187" s="7" t="s">
        <v>7179</v>
      </c>
      <c r="N187" s="7">
        <v>1982</v>
      </c>
      <c r="O187" s="7" t="s">
        <v>7139</v>
      </c>
      <c r="P187" s="7" t="s">
        <v>7181</v>
      </c>
      <c r="Q187" s="2" t="s">
        <v>7395</v>
      </c>
      <c r="R187" s="2" t="s">
        <v>7143</v>
      </c>
      <c r="S187" s="2">
        <v>16</v>
      </c>
      <c r="T187" s="2" t="s">
        <v>7143</v>
      </c>
      <c r="U187" s="2" t="s">
        <v>7143</v>
      </c>
      <c r="Y187" s="2">
        <v>140</v>
      </c>
      <c r="Z187" s="17">
        <v>1</v>
      </c>
      <c r="AA187" s="2">
        <v>140</v>
      </c>
      <c r="AB187" s="2">
        <v>140</v>
      </c>
      <c r="AC187" s="7">
        <v>140</v>
      </c>
      <c r="AD187" s="2">
        <v>200</v>
      </c>
      <c r="AE187" s="2">
        <v>60</v>
      </c>
      <c r="AF187" s="2" t="s">
        <v>7143</v>
      </c>
      <c r="AG187" s="2" t="s">
        <v>7143</v>
      </c>
      <c r="AH187" s="2" t="s">
        <v>7143</v>
      </c>
      <c r="AJ187" s="2" t="s">
        <v>7143</v>
      </c>
      <c r="AK187" s="2" t="s">
        <v>7143</v>
      </c>
      <c r="AL187" s="2" t="s">
        <v>7143</v>
      </c>
      <c r="AM187" s="2" t="s">
        <v>7143</v>
      </c>
      <c r="AN187" s="2" t="s">
        <v>7143</v>
      </c>
      <c r="AO187" s="2" t="s">
        <v>7143</v>
      </c>
      <c r="AR187" s="7">
        <v>1.3</v>
      </c>
      <c r="AS187" s="7">
        <v>2</v>
      </c>
      <c r="AT187" s="7">
        <v>2.1</v>
      </c>
      <c r="AU187" s="2" t="s">
        <v>7217</v>
      </c>
      <c r="AV187" s="2" t="s">
        <v>7144</v>
      </c>
      <c r="AW187" s="2" t="s">
        <v>7143</v>
      </c>
      <c r="AZ187" s="2" t="s">
        <v>7145</v>
      </c>
      <c r="BB187" s="2" t="s">
        <v>7214</v>
      </c>
      <c r="BC187" s="2" t="s">
        <v>7247</v>
      </c>
      <c r="BD187" s="2" t="s">
        <v>7142</v>
      </c>
      <c r="BE187" s="2" t="s">
        <v>7142</v>
      </c>
      <c r="BF187" s="2" t="s">
        <v>7148</v>
      </c>
      <c r="BG187" s="2" t="s">
        <v>7149</v>
      </c>
      <c r="BH187" s="2" t="s">
        <v>7150</v>
      </c>
      <c r="BI187" s="2" t="s">
        <v>7151</v>
      </c>
      <c r="BL187" s="2" t="s">
        <v>7152</v>
      </c>
      <c r="BM187" s="2" t="s">
        <v>7355</v>
      </c>
      <c r="BN187" s="2" t="s">
        <v>7154</v>
      </c>
      <c r="BO187" s="2" t="s">
        <v>7155</v>
      </c>
      <c r="BQ187" s="2" t="s">
        <v>7183</v>
      </c>
      <c r="BS187" s="2" t="s">
        <v>7142</v>
      </c>
      <c r="BT187" s="2" t="s">
        <v>7768</v>
      </c>
      <c r="BV187" s="2" t="s">
        <v>7197</v>
      </c>
      <c r="BX187" s="2" t="s">
        <v>7143</v>
      </c>
      <c r="BZ187" s="2" t="s">
        <v>7173</v>
      </c>
      <c r="CE187" s="7">
        <v>2.1</v>
      </c>
      <c r="CF187" s="2">
        <v>200</v>
      </c>
      <c r="CM187" s="2">
        <v>100</v>
      </c>
      <c r="CO187" s="2">
        <v>100</v>
      </c>
      <c r="CR187" s="2" t="s">
        <v>7160</v>
      </c>
      <c r="CT187" s="2" t="s">
        <v>7143</v>
      </c>
      <c r="CU187" s="2" t="s">
        <v>7161</v>
      </c>
      <c r="CW187" s="2" t="s">
        <v>7162</v>
      </c>
      <c r="CY187" s="2" t="s">
        <v>7163</v>
      </c>
      <c r="CZ187" s="2" t="s">
        <v>7250</v>
      </c>
      <c r="DA187" s="2" t="s">
        <v>7250</v>
      </c>
      <c r="DB187" s="2" t="s">
        <v>7250</v>
      </c>
      <c r="DC187" s="2" t="s">
        <v>7250</v>
      </c>
      <c r="DD187" s="2" t="s">
        <v>7250</v>
      </c>
      <c r="DE187" s="2" t="s">
        <v>7250</v>
      </c>
      <c r="DF187" s="2" t="s">
        <v>7250</v>
      </c>
      <c r="DG187" s="2" t="s">
        <v>7250</v>
      </c>
      <c r="DH187" s="2" t="s">
        <v>7250</v>
      </c>
      <c r="DI187" s="2" t="s">
        <v>7250</v>
      </c>
      <c r="DL187" s="2" t="s">
        <v>7143</v>
      </c>
      <c r="DM187" s="2" t="s">
        <v>7142</v>
      </c>
      <c r="DN187" s="2" t="s">
        <v>7142</v>
      </c>
      <c r="DO187" s="2" t="s">
        <v>7142</v>
      </c>
      <c r="DP187" s="2" t="s">
        <v>7159</v>
      </c>
      <c r="DT187" s="2" t="s">
        <v>7165</v>
      </c>
      <c r="DU187" s="2" t="s">
        <v>7159</v>
      </c>
      <c r="DV187" s="2" t="s">
        <v>7165</v>
      </c>
      <c r="DW187" s="2" t="s">
        <v>7165</v>
      </c>
      <c r="DX187" s="2" t="s">
        <v>7165</v>
      </c>
      <c r="DY187" s="2" t="s">
        <v>7159</v>
      </c>
      <c r="DZ187" s="2" t="s">
        <v>7159</v>
      </c>
      <c r="EA187" s="2" t="s">
        <v>7159</v>
      </c>
      <c r="EB187" s="2" t="s">
        <v>7165</v>
      </c>
      <c r="EC187" s="2" t="s">
        <v>7173</v>
      </c>
      <c r="EF187" s="2" t="s">
        <v>7221</v>
      </c>
      <c r="EG187" s="2" t="s">
        <v>1473</v>
      </c>
      <c r="EJ187" s="2" t="s">
        <v>7217</v>
      </c>
      <c r="EK187" s="2" t="s">
        <v>7143</v>
      </c>
      <c r="EL187" s="2" t="s">
        <v>7143</v>
      </c>
      <c r="EN187" s="2" t="s">
        <v>7210</v>
      </c>
      <c r="EP187" s="2" t="s">
        <v>7186</v>
      </c>
      <c r="ER187" s="2" t="s">
        <v>7143</v>
      </c>
      <c r="ET187" s="2" t="s">
        <v>7143</v>
      </c>
      <c r="EV187" s="2" t="s">
        <v>7143</v>
      </c>
      <c r="EX187" s="2" t="s">
        <v>7143</v>
      </c>
      <c r="EZ187" s="2" t="s">
        <v>7143</v>
      </c>
      <c r="FC187" s="2" t="s">
        <v>7218</v>
      </c>
      <c r="FD187" s="2" t="s">
        <v>7143</v>
      </c>
      <c r="FH187" s="2" t="s">
        <v>7173</v>
      </c>
      <c r="FJ187" s="2" t="s">
        <v>7143</v>
      </c>
      <c r="FK187" s="2" t="s">
        <v>7159</v>
      </c>
      <c r="FN187" s="2" t="s">
        <v>7863</v>
      </c>
      <c r="FR187" s="2" t="s">
        <v>1475</v>
      </c>
      <c r="FT187" s="2" t="s">
        <v>7189</v>
      </c>
      <c r="FU187" s="2" t="s">
        <v>7189</v>
      </c>
      <c r="FV187" s="2" t="s">
        <v>7189</v>
      </c>
      <c r="FW187" s="2" t="s">
        <v>7189</v>
      </c>
      <c r="FZ187" s="19" t="s">
        <v>7864</v>
      </c>
    </row>
    <row r="188" spans="1:182">
      <c r="A188" s="7" t="s">
        <v>1476</v>
      </c>
      <c r="D188" s="7" t="s">
        <v>7865</v>
      </c>
      <c r="E188" s="7" t="s">
        <v>177</v>
      </c>
      <c r="F188" s="7" t="s">
        <v>7134</v>
      </c>
      <c r="G188" s="7" t="s">
        <v>7717</v>
      </c>
      <c r="H188" s="2" t="s">
        <v>1207</v>
      </c>
      <c r="I188" s="7" t="s">
        <v>1477</v>
      </c>
      <c r="J188" s="16" t="s">
        <v>7866</v>
      </c>
      <c r="K188" s="7" t="s">
        <v>1477</v>
      </c>
      <c r="L188" s="2" t="s">
        <v>7137</v>
      </c>
      <c r="M188" s="7" t="s">
        <v>7138</v>
      </c>
      <c r="N188" s="7">
        <v>1987</v>
      </c>
      <c r="O188" s="7" t="s">
        <v>7180</v>
      </c>
      <c r="P188" s="2" t="s">
        <v>7140</v>
      </c>
      <c r="Q188" s="2" t="s">
        <v>7141</v>
      </c>
      <c r="R188" s="2" t="s">
        <v>7143</v>
      </c>
      <c r="S188" s="2">
        <v>14</v>
      </c>
      <c r="T188" s="2" t="s">
        <v>7143</v>
      </c>
      <c r="U188" s="2" t="s">
        <v>7143</v>
      </c>
      <c r="Y188" s="2">
        <v>262</v>
      </c>
      <c r="Z188" s="17">
        <v>0.92369999999999997</v>
      </c>
      <c r="AA188" s="2">
        <v>242</v>
      </c>
      <c r="AB188" s="2">
        <v>235</v>
      </c>
      <c r="AC188" s="7">
        <v>235</v>
      </c>
      <c r="AD188" s="2">
        <v>300</v>
      </c>
      <c r="AE188" s="2">
        <v>65</v>
      </c>
      <c r="AF188" s="2" t="s">
        <v>7143</v>
      </c>
      <c r="AG188" s="2" t="s">
        <v>7143</v>
      </c>
      <c r="AH188" s="2" t="s">
        <v>7143</v>
      </c>
      <c r="AJ188" s="2" t="s">
        <v>7143</v>
      </c>
      <c r="AK188" s="2" t="s">
        <v>7142</v>
      </c>
      <c r="AL188" s="2" t="s">
        <v>7143</v>
      </c>
      <c r="AM188" s="2" t="s">
        <v>7142</v>
      </c>
      <c r="AN188" s="2" t="s">
        <v>7143</v>
      </c>
      <c r="AO188" s="2" t="s">
        <v>7143</v>
      </c>
      <c r="AR188" s="7">
        <v>1.6</v>
      </c>
      <c r="AS188" s="7">
        <v>2</v>
      </c>
      <c r="AT188" s="7">
        <v>3.9</v>
      </c>
      <c r="AU188" s="2" t="s">
        <v>7144</v>
      </c>
      <c r="AV188" s="2" t="s">
        <v>7144</v>
      </c>
      <c r="AW188" s="2" t="s">
        <v>7143</v>
      </c>
      <c r="AZ188" s="2" t="s">
        <v>7145</v>
      </c>
      <c r="BB188" s="2" t="s">
        <v>7146</v>
      </c>
      <c r="BC188" s="2" t="s">
        <v>7147</v>
      </c>
      <c r="BD188" s="2" t="s">
        <v>7142</v>
      </c>
      <c r="BE188" s="2" t="s">
        <v>7142</v>
      </c>
      <c r="BF188" s="2" t="s">
        <v>7148</v>
      </c>
      <c r="BG188" s="2" t="s">
        <v>7149</v>
      </c>
      <c r="BH188" s="2" t="s">
        <v>7150</v>
      </c>
      <c r="BI188" s="2" t="s">
        <v>7151</v>
      </c>
      <c r="BL188" s="2" t="s">
        <v>7152</v>
      </c>
      <c r="BM188" s="2" t="s">
        <v>7153</v>
      </c>
      <c r="BN188" s="2" t="s">
        <v>7154</v>
      </c>
      <c r="BO188" s="2" t="s">
        <v>7155</v>
      </c>
      <c r="BQ188" s="2" t="s">
        <v>7156</v>
      </c>
      <c r="BS188" s="2" t="s">
        <v>7142</v>
      </c>
      <c r="BT188" s="2" t="s">
        <v>7215</v>
      </c>
      <c r="BV188" s="2" t="s">
        <v>7202</v>
      </c>
      <c r="BX188" s="2" t="s">
        <v>7143</v>
      </c>
      <c r="BZ188" s="2" t="s">
        <v>7159</v>
      </c>
      <c r="CE188" s="7">
        <v>3.9</v>
      </c>
      <c r="CF188" s="2">
        <v>300</v>
      </c>
      <c r="CK188" s="2">
        <v>100</v>
      </c>
      <c r="CO188" s="2">
        <v>100</v>
      </c>
      <c r="CR188" s="2" t="s">
        <v>7160</v>
      </c>
      <c r="CT188" s="2" t="s">
        <v>7143</v>
      </c>
      <c r="CU188" s="2" t="s">
        <v>7234</v>
      </c>
      <c r="CW188" s="2" t="s">
        <v>7162</v>
      </c>
      <c r="CY188" s="2" t="s">
        <v>7164</v>
      </c>
      <c r="CZ188" s="2" t="s">
        <v>7164</v>
      </c>
      <c r="DA188" s="2" t="s">
        <v>7164</v>
      </c>
      <c r="DB188" s="2" t="s">
        <v>7164</v>
      </c>
      <c r="DC188" s="2" t="s">
        <v>7164</v>
      </c>
      <c r="DD188" s="2" t="s">
        <v>7164</v>
      </c>
      <c r="DE188" s="2" t="s">
        <v>7164</v>
      </c>
      <c r="DF188" s="2" t="s">
        <v>7164</v>
      </c>
      <c r="DG188" s="2" t="s">
        <v>7164</v>
      </c>
      <c r="DH188" s="2" t="s">
        <v>7164</v>
      </c>
      <c r="DI188" s="2" t="s">
        <v>7164</v>
      </c>
      <c r="DL188" s="2" t="s">
        <v>7142</v>
      </c>
      <c r="DM188" s="2" t="s">
        <v>7142</v>
      </c>
      <c r="DN188" s="2" t="s">
        <v>7142</v>
      </c>
      <c r="DO188" s="2" t="s">
        <v>7142</v>
      </c>
      <c r="DP188" s="2" t="s">
        <v>7165</v>
      </c>
      <c r="DQ188" s="2" t="s">
        <v>7166</v>
      </c>
      <c r="DT188" s="2" t="s">
        <v>7165</v>
      </c>
      <c r="DU188" s="2" t="s">
        <v>7165</v>
      </c>
      <c r="DV188" s="2" t="s">
        <v>7165</v>
      </c>
      <c r="DW188" s="2" t="s">
        <v>7165</v>
      </c>
      <c r="DX188" s="2" t="s">
        <v>7165</v>
      </c>
      <c r="DY188" s="2" t="s">
        <v>7165</v>
      </c>
      <c r="DZ188" s="2" t="s">
        <v>7165</v>
      </c>
      <c r="EA188" s="2" t="s">
        <v>7165</v>
      </c>
      <c r="EB188" s="2" t="s">
        <v>7165</v>
      </c>
      <c r="EF188" s="2" t="s">
        <v>7221</v>
      </c>
      <c r="EJ188" s="2" t="s">
        <v>7144</v>
      </c>
      <c r="EK188" s="2" t="s">
        <v>7142</v>
      </c>
      <c r="EL188" s="2" t="s">
        <v>7143</v>
      </c>
      <c r="EN188" s="2" t="s">
        <v>7170</v>
      </c>
      <c r="EP188" s="2" t="s">
        <v>7186</v>
      </c>
      <c r="ER188" s="2" t="s">
        <v>7142</v>
      </c>
      <c r="ET188" s="2" t="s">
        <v>7143</v>
      </c>
      <c r="EV188" s="2" t="s">
        <v>7142</v>
      </c>
      <c r="EW188" s="2" t="s">
        <v>7171</v>
      </c>
      <c r="EX188" s="2" t="s">
        <v>7142</v>
      </c>
      <c r="EY188" s="2" t="s">
        <v>7171</v>
      </c>
      <c r="FC188" s="2" t="s">
        <v>7172</v>
      </c>
      <c r="FD188" s="2" t="s">
        <v>7143</v>
      </c>
      <c r="FH188" s="2" t="s">
        <v>7173</v>
      </c>
      <c r="FJ188" s="2" t="s">
        <v>7142</v>
      </c>
      <c r="FK188" s="2" t="s">
        <v>7165</v>
      </c>
      <c r="FL188" s="2" t="s">
        <v>7187</v>
      </c>
      <c r="FN188" s="2" t="s">
        <v>7344</v>
      </c>
      <c r="FR188" s="2" t="s">
        <v>1478</v>
      </c>
      <c r="FT188" s="2" t="s">
        <v>7176</v>
      </c>
      <c r="FU188" s="2" t="s">
        <v>7176</v>
      </c>
      <c r="FV188" s="2" t="s">
        <v>7176</v>
      </c>
      <c r="FW188" s="2" t="s">
        <v>7176</v>
      </c>
      <c r="FZ188" s="19" t="s">
        <v>7867</v>
      </c>
    </row>
    <row r="189" spans="1:182">
      <c r="A189" s="7" t="s">
        <v>1479</v>
      </c>
      <c r="D189" s="7" t="s">
        <v>7868</v>
      </c>
      <c r="E189" s="7" t="s">
        <v>1480</v>
      </c>
      <c r="F189" s="7" t="s">
        <v>7389</v>
      </c>
      <c r="G189" s="7" t="s">
        <v>7717</v>
      </c>
      <c r="H189" s="2" t="s">
        <v>1219</v>
      </c>
      <c r="I189" s="7" t="s">
        <v>1481</v>
      </c>
      <c r="J189" s="16" t="s">
        <v>7869</v>
      </c>
      <c r="K189" s="7" t="s">
        <v>1482</v>
      </c>
      <c r="L189" s="2" t="s">
        <v>7137</v>
      </c>
      <c r="M189" s="7" t="s">
        <v>7179</v>
      </c>
      <c r="N189" s="7">
        <v>2001</v>
      </c>
      <c r="O189" s="7" t="s">
        <v>7139</v>
      </c>
      <c r="P189" s="7" t="s">
        <v>7181</v>
      </c>
      <c r="Q189" s="2" t="s">
        <v>7141</v>
      </c>
      <c r="R189" s="2" t="s">
        <v>7143</v>
      </c>
      <c r="S189" s="2">
        <v>8</v>
      </c>
      <c r="T189" s="2" t="s">
        <v>7143</v>
      </c>
      <c r="U189" s="2" t="s">
        <v>7143</v>
      </c>
      <c r="Y189" s="2">
        <v>110</v>
      </c>
      <c r="Z189" s="17">
        <v>1</v>
      </c>
      <c r="AA189" s="2">
        <v>110</v>
      </c>
      <c r="AB189" s="2">
        <v>110</v>
      </c>
      <c r="AC189" s="7">
        <v>110</v>
      </c>
      <c r="AD189" s="2">
        <v>150</v>
      </c>
      <c r="AE189" s="2">
        <v>40</v>
      </c>
      <c r="AF189" s="2" t="s">
        <v>7143</v>
      </c>
      <c r="AG189" s="2" t="s">
        <v>7143</v>
      </c>
      <c r="AH189" s="2" t="s">
        <v>7143</v>
      </c>
      <c r="AJ189" s="2" t="s">
        <v>7143</v>
      </c>
      <c r="AK189" s="2" t="s">
        <v>7143</v>
      </c>
      <c r="AL189" s="2" t="s">
        <v>7143</v>
      </c>
      <c r="AM189" s="2" t="s">
        <v>7143</v>
      </c>
      <c r="AN189" s="2" t="s">
        <v>7143</v>
      </c>
      <c r="AO189" s="2" t="s">
        <v>7143</v>
      </c>
      <c r="AR189" s="7">
        <v>0.6</v>
      </c>
      <c r="AS189" s="7">
        <v>2</v>
      </c>
      <c r="AT189" s="7">
        <v>1.5</v>
      </c>
      <c r="AU189" s="2" t="s">
        <v>7217</v>
      </c>
      <c r="AV189" s="2" t="s">
        <v>7144</v>
      </c>
      <c r="AW189" s="2" t="s">
        <v>7143</v>
      </c>
      <c r="AZ189" s="2" t="s">
        <v>7145</v>
      </c>
      <c r="BB189" s="2" t="s">
        <v>7214</v>
      </c>
      <c r="BC189" s="2" t="s">
        <v>7147</v>
      </c>
      <c r="BD189" s="2" t="s">
        <v>7143</v>
      </c>
      <c r="BE189" s="2" t="s">
        <v>7143</v>
      </c>
      <c r="BL189" s="2" t="s">
        <v>7195</v>
      </c>
      <c r="BO189" s="2" t="s">
        <v>7155</v>
      </c>
      <c r="BQ189" s="2" t="s">
        <v>7183</v>
      </c>
      <c r="BS189" s="2" t="s">
        <v>7143</v>
      </c>
      <c r="BT189" s="2" t="s">
        <v>7416</v>
      </c>
      <c r="BV189" s="2" t="s">
        <v>7304</v>
      </c>
      <c r="BX189" s="2" t="s">
        <v>7143</v>
      </c>
      <c r="BZ189" s="2" t="s">
        <v>7173</v>
      </c>
      <c r="CE189" s="7">
        <v>1.5</v>
      </c>
      <c r="CF189" s="2">
        <v>150</v>
      </c>
      <c r="CK189" s="2">
        <v>100</v>
      </c>
      <c r="CO189" s="2">
        <v>100</v>
      </c>
      <c r="CR189" s="2" t="s">
        <v>7160</v>
      </c>
      <c r="CT189" s="2" t="s">
        <v>7143</v>
      </c>
      <c r="CU189" s="2" t="s">
        <v>7454</v>
      </c>
      <c r="CW189" s="2" t="s">
        <v>7162</v>
      </c>
      <c r="CY189" s="2" t="s">
        <v>7163</v>
      </c>
      <c r="CZ189" s="2" t="s">
        <v>7321</v>
      </c>
      <c r="DA189" s="2" t="s">
        <v>7250</v>
      </c>
      <c r="DB189" s="2" t="s">
        <v>7321</v>
      </c>
      <c r="DC189" s="2" t="s">
        <v>7321</v>
      </c>
      <c r="DD189" s="2" t="s">
        <v>7250</v>
      </c>
      <c r="DE189" s="2" t="s">
        <v>7250</v>
      </c>
      <c r="DF189" s="2" t="s">
        <v>7250</v>
      </c>
      <c r="DG189" s="2" t="s">
        <v>7321</v>
      </c>
      <c r="DH189" s="2" t="s">
        <v>7321</v>
      </c>
      <c r="DI189" s="2" t="s">
        <v>7321</v>
      </c>
      <c r="DL189" s="2" t="s">
        <v>7142</v>
      </c>
      <c r="DM189" s="2" t="s">
        <v>7142</v>
      </c>
      <c r="DN189" s="2" t="s">
        <v>7143</v>
      </c>
      <c r="DO189" s="2" t="s">
        <v>7142</v>
      </c>
      <c r="DP189" s="2" t="s">
        <v>7159</v>
      </c>
      <c r="DT189" s="2" t="s">
        <v>7165</v>
      </c>
      <c r="DU189" s="2" t="s">
        <v>7165</v>
      </c>
      <c r="DV189" s="2" t="s">
        <v>7165</v>
      </c>
      <c r="DW189" s="2" t="s">
        <v>7165</v>
      </c>
      <c r="DX189" s="2" t="s">
        <v>7165</v>
      </c>
      <c r="DY189" s="2" t="s">
        <v>7165</v>
      </c>
      <c r="DZ189" s="2" t="s">
        <v>7165</v>
      </c>
      <c r="EA189" s="2" t="s">
        <v>7165</v>
      </c>
      <c r="EB189" s="2" t="s">
        <v>7165</v>
      </c>
      <c r="EC189" s="2" t="s">
        <v>7173</v>
      </c>
      <c r="EF189" s="2" t="s">
        <v>7221</v>
      </c>
      <c r="EG189" s="2" t="s">
        <v>1483</v>
      </c>
      <c r="EJ189" s="2" t="s">
        <v>7217</v>
      </c>
      <c r="EK189" s="2" t="s">
        <v>7143</v>
      </c>
      <c r="EL189" s="2" t="s">
        <v>7143</v>
      </c>
      <c r="EN189" s="2" t="s">
        <v>7170</v>
      </c>
      <c r="EP189" s="2" t="s">
        <v>7186</v>
      </c>
      <c r="ER189" s="2" t="s">
        <v>7143</v>
      </c>
      <c r="ET189" s="2" t="s">
        <v>7143</v>
      </c>
      <c r="EV189" s="2" t="s">
        <v>7143</v>
      </c>
      <c r="EX189" s="2" t="s">
        <v>7143</v>
      </c>
      <c r="EZ189" s="2" t="s">
        <v>7143</v>
      </c>
      <c r="FC189" s="2" t="s">
        <v>7218</v>
      </c>
      <c r="FD189" s="2" t="s">
        <v>7143</v>
      </c>
      <c r="FH189" s="2" t="s">
        <v>7173</v>
      </c>
      <c r="FJ189" s="2" t="s">
        <v>7143</v>
      </c>
      <c r="FK189" s="2" t="s">
        <v>7173</v>
      </c>
      <c r="FN189" s="2" t="s">
        <v>7481</v>
      </c>
      <c r="FR189" s="2" t="s">
        <v>1484</v>
      </c>
      <c r="FT189" s="2" t="s">
        <v>7189</v>
      </c>
      <c r="FU189" s="2" t="s">
        <v>7189</v>
      </c>
      <c r="FV189" s="2" t="s">
        <v>7176</v>
      </c>
      <c r="FW189" s="2" t="s">
        <v>7189</v>
      </c>
      <c r="FZ189" s="19" t="s">
        <v>7870</v>
      </c>
    </row>
    <row r="190" spans="1:182">
      <c r="A190" s="7" t="s">
        <v>1485</v>
      </c>
      <c r="D190" s="7" t="s">
        <v>7871</v>
      </c>
      <c r="E190" s="7" t="s">
        <v>177</v>
      </c>
      <c r="F190" s="7" t="s">
        <v>7134</v>
      </c>
      <c r="G190" s="7" t="s">
        <v>7717</v>
      </c>
      <c r="H190" s="7" t="s">
        <v>1207</v>
      </c>
      <c r="I190" s="7" t="s">
        <v>1486</v>
      </c>
      <c r="J190" s="16" t="s">
        <v>7872</v>
      </c>
      <c r="K190" s="7" t="s">
        <v>1487</v>
      </c>
      <c r="L190" s="2" t="s">
        <v>7137</v>
      </c>
      <c r="M190" s="7" t="s">
        <v>7179</v>
      </c>
      <c r="N190" s="7">
        <v>1996</v>
      </c>
      <c r="O190" s="7" t="s">
        <v>7490</v>
      </c>
      <c r="P190" s="2" t="s">
        <v>7181</v>
      </c>
      <c r="Q190" s="2" t="s">
        <v>7141</v>
      </c>
      <c r="R190" s="2" t="s">
        <v>7143</v>
      </c>
      <c r="S190" s="2">
        <v>11</v>
      </c>
      <c r="T190" s="2" t="s">
        <v>7143</v>
      </c>
      <c r="U190" s="2" t="s">
        <v>7143</v>
      </c>
      <c r="Y190" s="2">
        <v>52</v>
      </c>
      <c r="Z190" s="17">
        <v>0.76919999999999999</v>
      </c>
      <c r="AA190" s="2">
        <v>40</v>
      </c>
      <c r="AB190" s="2">
        <v>40</v>
      </c>
      <c r="AC190" s="7">
        <v>40</v>
      </c>
      <c r="AD190" s="2">
        <v>50</v>
      </c>
      <c r="AE190" s="2">
        <v>10</v>
      </c>
      <c r="AF190" s="2" t="s">
        <v>7142</v>
      </c>
      <c r="AG190" s="2" t="s">
        <v>7143</v>
      </c>
      <c r="AH190" s="2" t="s">
        <v>7143</v>
      </c>
      <c r="AJ190" s="2" t="s">
        <v>7143</v>
      </c>
      <c r="AK190" s="2" t="s">
        <v>7143</v>
      </c>
      <c r="AL190" s="2" t="s">
        <v>7143</v>
      </c>
      <c r="AM190" s="2" t="s">
        <v>7142</v>
      </c>
      <c r="AN190" s="2" t="s">
        <v>7143</v>
      </c>
      <c r="AO190" s="2" t="s">
        <v>7143</v>
      </c>
      <c r="AR190" s="7">
        <v>0.6</v>
      </c>
      <c r="AS190" s="7">
        <v>2</v>
      </c>
      <c r="AT190" s="7">
        <v>0.6</v>
      </c>
      <c r="AU190" s="2" t="s">
        <v>7144</v>
      </c>
      <c r="AV190" s="2" t="s">
        <v>7144</v>
      </c>
      <c r="AW190" s="2" t="s">
        <v>7143</v>
      </c>
      <c r="AZ190" s="2" t="s">
        <v>7145</v>
      </c>
      <c r="BB190" s="2" t="s">
        <v>7214</v>
      </c>
      <c r="BC190" s="2" t="s">
        <v>7147</v>
      </c>
      <c r="BD190" s="2" t="s">
        <v>7142</v>
      </c>
      <c r="BE190" s="2" t="s">
        <v>7142</v>
      </c>
      <c r="BF190" s="2" t="s">
        <v>7148</v>
      </c>
      <c r="BG190" s="2" t="s">
        <v>7149</v>
      </c>
      <c r="BH190" s="2" t="s">
        <v>7150</v>
      </c>
      <c r="BI190" s="2" t="s">
        <v>7151</v>
      </c>
      <c r="BL190" s="2" t="s">
        <v>7152</v>
      </c>
      <c r="BM190" s="2" t="s">
        <v>7153</v>
      </c>
      <c r="BN190" s="2" t="s">
        <v>7154</v>
      </c>
      <c r="BO190" s="2" t="s">
        <v>7155</v>
      </c>
      <c r="BQ190" s="2" t="s">
        <v>7156</v>
      </c>
      <c r="BS190" s="2" t="s">
        <v>7142</v>
      </c>
      <c r="BT190" s="2" t="s">
        <v>7157</v>
      </c>
      <c r="BV190" s="2" t="s">
        <v>7202</v>
      </c>
      <c r="BX190" s="2" t="s">
        <v>7143</v>
      </c>
      <c r="BZ190" s="2" t="s">
        <v>7173</v>
      </c>
      <c r="CE190" s="7">
        <v>0.6</v>
      </c>
      <c r="CF190" s="2">
        <v>50</v>
      </c>
      <c r="CK190" s="2">
        <v>100</v>
      </c>
      <c r="CO190" s="2">
        <v>100</v>
      </c>
      <c r="CR190" s="2" t="s">
        <v>7160</v>
      </c>
      <c r="CT190" s="2" t="s">
        <v>7143</v>
      </c>
      <c r="CU190" s="2" t="s">
        <v>7161</v>
      </c>
      <c r="CW190" s="2" t="s">
        <v>7162</v>
      </c>
      <c r="CY190" s="2" t="s">
        <v>7163</v>
      </c>
      <c r="CZ190" s="2" t="s">
        <v>7163</v>
      </c>
      <c r="DA190" s="2" t="s">
        <v>7164</v>
      </c>
      <c r="DB190" s="2" t="s">
        <v>7164</v>
      </c>
      <c r="DC190" s="2" t="s">
        <v>7164</v>
      </c>
      <c r="DD190" s="2" t="s">
        <v>7164</v>
      </c>
      <c r="DE190" s="2" t="s">
        <v>7164</v>
      </c>
      <c r="DF190" s="2" t="s">
        <v>7164</v>
      </c>
      <c r="DG190" s="2" t="s">
        <v>7164</v>
      </c>
      <c r="DH190" s="2" t="s">
        <v>7164</v>
      </c>
      <c r="DI190" s="2" t="s">
        <v>7164</v>
      </c>
      <c r="DL190" s="2" t="s">
        <v>7143</v>
      </c>
      <c r="DM190" s="2" t="s">
        <v>7143</v>
      </c>
      <c r="DP190" s="2" t="s">
        <v>7173</v>
      </c>
      <c r="DT190" s="2" t="s">
        <v>7159</v>
      </c>
      <c r="DU190" s="2" t="s">
        <v>7159</v>
      </c>
      <c r="DV190" s="2" t="s">
        <v>7159</v>
      </c>
      <c r="DW190" s="2" t="s">
        <v>7159</v>
      </c>
      <c r="DX190" s="2" t="s">
        <v>7159</v>
      </c>
      <c r="DY190" s="2" t="s">
        <v>7159</v>
      </c>
      <c r="DZ190" s="2" t="s">
        <v>7159</v>
      </c>
      <c r="EA190" s="2" t="s">
        <v>7159</v>
      </c>
      <c r="EB190" s="2" t="s">
        <v>7159</v>
      </c>
      <c r="EC190" s="2" t="s">
        <v>7159</v>
      </c>
      <c r="ED190" s="2" t="s">
        <v>7159</v>
      </c>
      <c r="EJ190" s="2" t="s">
        <v>7193</v>
      </c>
      <c r="EK190" s="2" t="s">
        <v>7143</v>
      </c>
      <c r="EL190" s="2" t="s">
        <v>7143</v>
      </c>
      <c r="EN190" s="2" t="s">
        <v>7170</v>
      </c>
      <c r="EP190" s="2" t="s">
        <v>7186</v>
      </c>
      <c r="ER190" s="2" t="s">
        <v>7143</v>
      </c>
      <c r="ET190" s="2" t="s">
        <v>7143</v>
      </c>
      <c r="EV190" s="2" t="s">
        <v>7143</v>
      </c>
      <c r="EX190" s="2" t="s">
        <v>7143</v>
      </c>
      <c r="FD190" s="2" t="s">
        <v>7143</v>
      </c>
      <c r="FH190" s="2" t="s">
        <v>7173</v>
      </c>
      <c r="FJ190" s="2" t="s">
        <v>7142</v>
      </c>
      <c r="FK190" s="2" t="s">
        <v>7173</v>
      </c>
      <c r="FT190" s="2" t="s">
        <v>7189</v>
      </c>
      <c r="FU190" s="2" t="s">
        <v>7189</v>
      </c>
      <c r="FV190" s="2" t="s">
        <v>7189</v>
      </c>
      <c r="FW190" s="2" t="s">
        <v>7189</v>
      </c>
      <c r="FZ190" s="19" t="s">
        <v>7873</v>
      </c>
    </row>
    <row r="191" spans="1:182">
      <c r="A191" s="7" t="s">
        <v>1488</v>
      </c>
      <c r="D191" s="7" t="s">
        <v>7874</v>
      </c>
      <c r="E191" s="7" t="s">
        <v>1489</v>
      </c>
      <c r="F191" s="7" t="s">
        <v>7389</v>
      </c>
      <c r="G191" s="7" t="s">
        <v>7717</v>
      </c>
      <c r="H191" s="7" t="s">
        <v>1212</v>
      </c>
      <c r="I191" s="7" t="s">
        <v>1490</v>
      </c>
      <c r="J191" s="16" t="s">
        <v>7875</v>
      </c>
      <c r="K191" s="7" t="s">
        <v>1490</v>
      </c>
      <c r="L191" s="2" t="s">
        <v>7137</v>
      </c>
      <c r="M191" s="7" t="s">
        <v>7138</v>
      </c>
      <c r="N191" s="7">
        <v>1995</v>
      </c>
      <c r="O191" s="7" t="s">
        <v>7139</v>
      </c>
      <c r="P191" s="7" t="s">
        <v>7140</v>
      </c>
      <c r="Q191" s="2" t="s">
        <v>7141</v>
      </c>
      <c r="R191" s="2" t="s">
        <v>7143</v>
      </c>
      <c r="S191" s="2">
        <v>11</v>
      </c>
      <c r="T191" s="2" t="s">
        <v>7143</v>
      </c>
      <c r="U191" s="2" t="s">
        <v>7143</v>
      </c>
      <c r="Y191" s="2">
        <v>70</v>
      </c>
      <c r="Z191" s="17">
        <v>1</v>
      </c>
      <c r="AA191" s="2">
        <v>70</v>
      </c>
      <c r="AB191" s="2">
        <v>70</v>
      </c>
      <c r="AC191" s="7">
        <v>70</v>
      </c>
      <c r="AD191" s="2">
        <v>100</v>
      </c>
      <c r="AE191" s="2">
        <v>30</v>
      </c>
      <c r="AF191" s="2" t="s">
        <v>7143</v>
      </c>
      <c r="AG191" s="2" t="s">
        <v>7143</v>
      </c>
      <c r="AH191" s="2" t="s">
        <v>7143</v>
      </c>
      <c r="AJ191" s="2" t="s">
        <v>7143</v>
      </c>
      <c r="AK191" s="2" t="s">
        <v>7143</v>
      </c>
      <c r="AL191" s="2" t="s">
        <v>7143</v>
      </c>
      <c r="AM191" s="2" t="s">
        <v>7143</v>
      </c>
      <c r="AN191" s="2" t="s">
        <v>7143</v>
      </c>
      <c r="AO191" s="2" t="s">
        <v>7143</v>
      </c>
      <c r="AR191" s="7">
        <v>0.7</v>
      </c>
      <c r="AS191" s="7">
        <v>1</v>
      </c>
      <c r="AT191" s="7">
        <v>0.6</v>
      </c>
      <c r="AU191" s="2" t="s">
        <v>7217</v>
      </c>
      <c r="AV191" s="2" t="s">
        <v>7144</v>
      </c>
      <c r="AW191" s="2" t="s">
        <v>7143</v>
      </c>
      <c r="AZ191" s="2" t="s">
        <v>7145</v>
      </c>
      <c r="BB191" s="2" t="s">
        <v>7214</v>
      </c>
      <c r="BC191" s="2" t="s">
        <v>7247</v>
      </c>
      <c r="BD191" s="2" t="s">
        <v>7142</v>
      </c>
      <c r="BE191" s="2" t="s">
        <v>7142</v>
      </c>
      <c r="BF191" s="2" t="s">
        <v>7148</v>
      </c>
      <c r="BG191" s="2" t="s">
        <v>7149</v>
      </c>
      <c r="BH191" s="2" t="s">
        <v>7150</v>
      </c>
      <c r="BI191" s="2" t="s">
        <v>7151</v>
      </c>
      <c r="BL191" s="2" t="s">
        <v>7152</v>
      </c>
      <c r="BM191" s="2" t="s">
        <v>7355</v>
      </c>
      <c r="BN191" s="2" t="s">
        <v>7154</v>
      </c>
      <c r="BO191" s="2" t="s">
        <v>7155</v>
      </c>
      <c r="BQ191" s="2" t="s">
        <v>7183</v>
      </c>
      <c r="BS191" s="2" t="s">
        <v>7142</v>
      </c>
      <c r="BT191" s="2" t="s">
        <v>7341</v>
      </c>
      <c r="BV191" s="2" t="s">
        <v>7197</v>
      </c>
      <c r="BX191" s="2" t="s">
        <v>7143</v>
      </c>
      <c r="BZ191" s="2" t="s">
        <v>7173</v>
      </c>
      <c r="CE191" s="7">
        <v>0.6</v>
      </c>
      <c r="CF191" s="2">
        <v>100</v>
      </c>
      <c r="CK191" s="2">
        <v>100</v>
      </c>
      <c r="CO191" s="2">
        <v>100</v>
      </c>
      <c r="CR191" s="2" t="s">
        <v>7160</v>
      </c>
      <c r="CT191" s="2" t="s">
        <v>7142</v>
      </c>
      <c r="CU191" s="2" t="s">
        <v>7454</v>
      </c>
      <c r="CW191" s="2" t="s">
        <v>7162</v>
      </c>
      <c r="CY191" s="2" t="s">
        <v>7250</v>
      </c>
      <c r="CZ191" s="2" t="s">
        <v>7250</v>
      </c>
      <c r="DA191" s="2" t="s">
        <v>7250</v>
      </c>
      <c r="DB191" s="2" t="s">
        <v>7321</v>
      </c>
      <c r="DC191" s="2" t="s">
        <v>7321</v>
      </c>
      <c r="DD191" s="2" t="s">
        <v>7250</v>
      </c>
      <c r="DE191" s="2" t="s">
        <v>7250</v>
      </c>
      <c r="DF191" s="2" t="s">
        <v>7250</v>
      </c>
      <c r="DG191" s="2" t="s">
        <v>7321</v>
      </c>
      <c r="DH191" s="2" t="s">
        <v>7321</v>
      </c>
      <c r="DI191" s="2" t="s">
        <v>7321</v>
      </c>
      <c r="DL191" s="2" t="s">
        <v>7142</v>
      </c>
      <c r="DM191" s="2" t="s">
        <v>7143</v>
      </c>
      <c r="DP191" s="2" t="s">
        <v>7159</v>
      </c>
      <c r="DT191" s="2" t="s">
        <v>7159</v>
      </c>
      <c r="DU191" s="2" t="s">
        <v>7159</v>
      </c>
      <c r="DV191" s="2" t="s">
        <v>7159</v>
      </c>
      <c r="DW191" s="2" t="s">
        <v>7159</v>
      </c>
      <c r="DX191" s="2" t="s">
        <v>7159</v>
      </c>
      <c r="DY191" s="2" t="s">
        <v>7159</v>
      </c>
      <c r="DZ191" s="2" t="s">
        <v>7159</v>
      </c>
      <c r="EA191" s="2" t="s">
        <v>7159</v>
      </c>
      <c r="EB191" s="2" t="s">
        <v>7159</v>
      </c>
      <c r="EC191" s="2" t="s">
        <v>7159</v>
      </c>
      <c r="EF191" s="2" t="s">
        <v>7221</v>
      </c>
      <c r="EG191" s="2" t="s">
        <v>1491</v>
      </c>
      <c r="EJ191" s="2" t="s">
        <v>7217</v>
      </c>
      <c r="EK191" s="2" t="s">
        <v>7143</v>
      </c>
      <c r="EL191" s="2" t="s">
        <v>7143</v>
      </c>
      <c r="EN191" s="2" t="s">
        <v>7170</v>
      </c>
      <c r="EP191" s="2" t="s">
        <v>7186</v>
      </c>
      <c r="ER191" s="2" t="s">
        <v>7143</v>
      </c>
      <c r="ET191" s="2" t="s">
        <v>7143</v>
      </c>
      <c r="EV191" s="2" t="s">
        <v>7143</v>
      </c>
      <c r="EX191" s="2" t="s">
        <v>7143</v>
      </c>
      <c r="EZ191" s="2" t="s">
        <v>7143</v>
      </c>
      <c r="FC191" s="2" t="s">
        <v>7218</v>
      </c>
      <c r="FD191" s="2" t="s">
        <v>7143</v>
      </c>
      <c r="FH191" s="2" t="s">
        <v>7173</v>
      </c>
      <c r="FJ191" s="2" t="s">
        <v>7143</v>
      </c>
      <c r="FK191" s="2" t="s">
        <v>7173</v>
      </c>
      <c r="FN191" s="2" t="s">
        <v>7876</v>
      </c>
      <c r="FR191" s="2" t="s">
        <v>433</v>
      </c>
      <c r="FT191" s="2" t="s">
        <v>7189</v>
      </c>
      <c r="FU191" s="2" t="s">
        <v>7189</v>
      </c>
      <c r="FV191" s="2" t="s">
        <v>7176</v>
      </c>
      <c r="FW191" s="2" t="s">
        <v>7176</v>
      </c>
      <c r="FZ191" s="19" t="s">
        <v>7877</v>
      </c>
    </row>
    <row r="192" spans="1:182">
      <c r="A192" s="7" t="s">
        <v>1493</v>
      </c>
      <c r="D192" s="7" t="s">
        <v>7878</v>
      </c>
      <c r="E192" s="7" t="s">
        <v>1494</v>
      </c>
      <c r="F192" s="7" t="s">
        <v>7389</v>
      </c>
      <c r="G192" s="7" t="s">
        <v>7717</v>
      </c>
      <c r="H192" s="2" t="s">
        <v>1219</v>
      </c>
      <c r="I192" s="7" t="s">
        <v>1495</v>
      </c>
      <c r="J192" s="16" t="s">
        <v>7879</v>
      </c>
      <c r="K192" s="7" t="s">
        <v>1495</v>
      </c>
      <c r="L192" s="2" t="s">
        <v>7137</v>
      </c>
      <c r="M192" s="7" t="s">
        <v>7138</v>
      </c>
      <c r="N192" s="7">
        <v>1994</v>
      </c>
      <c r="O192" s="7" t="s">
        <v>7139</v>
      </c>
      <c r="P192" s="7" t="s">
        <v>7140</v>
      </c>
      <c r="Q192" s="2" t="s">
        <v>7141</v>
      </c>
      <c r="R192" s="2" t="s">
        <v>7143</v>
      </c>
      <c r="S192" s="2">
        <v>15</v>
      </c>
      <c r="T192" s="2" t="s">
        <v>7143</v>
      </c>
      <c r="U192" s="2" t="s">
        <v>7143</v>
      </c>
      <c r="Y192" s="2">
        <v>83</v>
      </c>
      <c r="Z192" s="17">
        <v>1</v>
      </c>
      <c r="AA192" s="2">
        <v>83</v>
      </c>
      <c r="AB192" s="2">
        <v>83</v>
      </c>
      <c r="AC192" s="7">
        <v>83</v>
      </c>
      <c r="AD192" s="2">
        <v>100</v>
      </c>
      <c r="AE192" s="2">
        <v>17</v>
      </c>
      <c r="AF192" s="2" t="s">
        <v>7143</v>
      </c>
      <c r="AG192" s="2" t="s">
        <v>7143</v>
      </c>
      <c r="AH192" s="2" t="s">
        <v>7143</v>
      </c>
      <c r="AJ192" s="2" t="s">
        <v>7143</v>
      </c>
      <c r="AK192" s="2" t="s">
        <v>7143</v>
      </c>
      <c r="AL192" s="2" t="s">
        <v>7143</v>
      </c>
      <c r="AM192" s="2" t="s">
        <v>7143</v>
      </c>
      <c r="AN192" s="2" t="s">
        <v>7143</v>
      </c>
      <c r="AO192" s="2" t="s">
        <v>7143</v>
      </c>
      <c r="AR192" s="7">
        <v>0.8</v>
      </c>
      <c r="AS192" s="7">
        <v>2</v>
      </c>
      <c r="AT192" s="7">
        <v>1</v>
      </c>
      <c r="AU192" s="2" t="s">
        <v>7217</v>
      </c>
      <c r="AV192" s="2" t="s">
        <v>7144</v>
      </c>
      <c r="AW192" s="2" t="s">
        <v>7143</v>
      </c>
      <c r="AZ192" s="2" t="s">
        <v>7145</v>
      </c>
      <c r="BB192" s="2" t="s">
        <v>7214</v>
      </c>
      <c r="BC192" s="2" t="s">
        <v>7247</v>
      </c>
      <c r="BD192" s="2" t="s">
        <v>7143</v>
      </c>
      <c r="BE192" s="2" t="s">
        <v>7142</v>
      </c>
      <c r="BF192" s="2" t="s">
        <v>7148</v>
      </c>
      <c r="BG192" s="2" t="s">
        <v>7149</v>
      </c>
      <c r="BH192" s="2" t="s">
        <v>7150</v>
      </c>
      <c r="BI192" s="2" t="s">
        <v>7151</v>
      </c>
      <c r="BL192" s="2" t="s">
        <v>7195</v>
      </c>
      <c r="BO192" s="2" t="s">
        <v>7155</v>
      </c>
      <c r="BQ192" s="2" t="s">
        <v>7183</v>
      </c>
      <c r="BS192" s="2" t="s">
        <v>7142</v>
      </c>
      <c r="BT192" s="2" t="s">
        <v>7362</v>
      </c>
      <c r="BV192" s="2" t="s">
        <v>7880</v>
      </c>
      <c r="BX192" s="2" t="s">
        <v>7142</v>
      </c>
      <c r="BY192" s="2" t="s">
        <v>652</v>
      </c>
      <c r="BZ192" s="2" t="s">
        <v>7173</v>
      </c>
      <c r="CE192" s="7">
        <v>1</v>
      </c>
      <c r="CF192" s="2">
        <v>100</v>
      </c>
      <c r="CK192" s="2">
        <v>100</v>
      </c>
      <c r="CO192" s="2">
        <v>100</v>
      </c>
      <c r="CR192" s="2" t="s">
        <v>7160</v>
      </c>
      <c r="CT192" s="2" t="s">
        <v>7143</v>
      </c>
      <c r="CU192" s="2" t="s">
        <v>7454</v>
      </c>
      <c r="CW192" s="2" t="s">
        <v>7162</v>
      </c>
      <c r="CY192" s="2" t="s">
        <v>7250</v>
      </c>
      <c r="CZ192" s="2" t="s">
        <v>7250</v>
      </c>
      <c r="DA192" s="2" t="s">
        <v>7250</v>
      </c>
      <c r="DB192" s="2" t="s">
        <v>7321</v>
      </c>
      <c r="DC192" s="2" t="s">
        <v>7321</v>
      </c>
      <c r="DD192" s="2" t="s">
        <v>7250</v>
      </c>
      <c r="DE192" s="2" t="s">
        <v>7250</v>
      </c>
      <c r="DF192" s="2" t="s">
        <v>7250</v>
      </c>
      <c r="DG192" s="2" t="s">
        <v>7250</v>
      </c>
      <c r="DH192" s="2" t="s">
        <v>7250</v>
      </c>
      <c r="DI192" s="2" t="s">
        <v>7250</v>
      </c>
      <c r="DL192" s="2" t="s">
        <v>7143</v>
      </c>
      <c r="DM192" s="2" t="s">
        <v>7143</v>
      </c>
      <c r="DP192" s="2" t="s">
        <v>7159</v>
      </c>
      <c r="DT192" s="2" t="s">
        <v>7159</v>
      </c>
      <c r="DU192" s="2" t="s">
        <v>7159</v>
      </c>
      <c r="DV192" s="2" t="s">
        <v>7159</v>
      </c>
      <c r="DW192" s="2" t="s">
        <v>7159</v>
      </c>
      <c r="DX192" s="2" t="s">
        <v>7159</v>
      </c>
      <c r="DY192" s="2" t="s">
        <v>7159</v>
      </c>
      <c r="DZ192" s="2" t="s">
        <v>7159</v>
      </c>
      <c r="EA192" s="2" t="s">
        <v>7159</v>
      </c>
      <c r="EB192" s="2" t="s">
        <v>7159</v>
      </c>
      <c r="EC192" s="2" t="s">
        <v>7159</v>
      </c>
      <c r="EF192" s="2" t="s">
        <v>7221</v>
      </c>
      <c r="EG192" s="2" t="s">
        <v>1497</v>
      </c>
      <c r="EJ192" s="2" t="s">
        <v>7217</v>
      </c>
      <c r="EK192" s="2" t="s">
        <v>7143</v>
      </c>
      <c r="EL192" s="2" t="s">
        <v>7143</v>
      </c>
      <c r="EN192" s="2" t="s">
        <v>7170</v>
      </c>
      <c r="EP192" s="2" t="s">
        <v>7186</v>
      </c>
      <c r="ER192" s="2" t="s">
        <v>7143</v>
      </c>
      <c r="ET192" s="2" t="s">
        <v>7143</v>
      </c>
      <c r="EV192" s="2" t="s">
        <v>7143</v>
      </c>
      <c r="EX192" s="2" t="s">
        <v>7143</v>
      </c>
      <c r="EZ192" s="2" t="s">
        <v>7143</v>
      </c>
      <c r="FC192" s="2" t="s">
        <v>7218</v>
      </c>
      <c r="FD192" s="2" t="s">
        <v>7143</v>
      </c>
      <c r="FH192" s="2" t="s">
        <v>7173</v>
      </c>
      <c r="FJ192" s="2" t="s">
        <v>7143</v>
      </c>
      <c r="FK192" s="2" t="s">
        <v>7173</v>
      </c>
      <c r="FN192" s="2" t="s">
        <v>7322</v>
      </c>
      <c r="FR192" s="2" t="s">
        <v>1498</v>
      </c>
      <c r="FT192" s="2" t="s">
        <v>7189</v>
      </c>
      <c r="FU192" s="2" t="s">
        <v>7176</v>
      </c>
      <c r="FV192" s="2" t="s">
        <v>7176</v>
      </c>
      <c r="FW192" s="2" t="s">
        <v>7189</v>
      </c>
      <c r="FZ192" s="19" t="s">
        <v>7881</v>
      </c>
    </row>
    <row r="193" spans="1:182">
      <c r="A193" s="7" t="s">
        <v>1499</v>
      </c>
      <c r="D193" s="7" t="s">
        <v>7882</v>
      </c>
      <c r="E193" s="7" t="s">
        <v>1500</v>
      </c>
      <c r="F193" s="7" t="s">
        <v>7389</v>
      </c>
      <c r="G193" s="7" t="s">
        <v>7717</v>
      </c>
      <c r="H193" s="2" t="s">
        <v>1219</v>
      </c>
      <c r="I193" s="7" t="s">
        <v>1501</v>
      </c>
      <c r="J193" s="16" t="s">
        <v>7883</v>
      </c>
      <c r="K193" s="7" t="s">
        <v>1502</v>
      </c>
      <c r="L193" s="2" t="s">
        <v>7137</v>
      </c>
      <c r="M193" s="7" t="s">
        <v>7179</v>
      </c>
      <c r="N193" s="7">
        <v>1997</v>
      </c>
      <c r="O193" s="7" t="s">
        <v>7139</v>
      </c>
      <c r="P193" s="7" t="s">
        <v>7181</v>
      </c>
      <c r="Q193" s="2" t="s">
        <v>7141</v>
      </c>
      <c r="R193" s="2" t="s">
        <v>7143</v>
      </c>
      <c r="S193" s="2">
        <v>7</v>
      </c>
      <c r="T193" s="2" t="s">
        <v>7143</v>
      </c>
      <c r="U193" s="2" t="s">
        <v>7143</v>
      </c>
      <c r="Y193" s="2">
        <v>155</v>
      </c>
      <c r="Z193" s="17">
        <v>1</v>
      </c>
      <c r="AA193" s="2">
        <v>155</v>
      </c>
      <c r="AB193" s="2">
        <v>155</v>
      </c>
      <c r="AC193" s="7">
        <v>155</v>
      </c>
      <c r="AD193" s="2">
        <v>180</v>
      </c>
      <c r="AE193" s="2">
        <v>25</v>
      </c>
      <c r="AF193" s="2" t="s">
        <v>7143</v>
      </c>
      <c r="AG193" s="2" t="s">
        <v>7143</v>
      </c>
      <c r="AH193" s="2" t="s">
        <v>7143</v>
      </c>
      <c r="AJ193" s="2" t="s">
        <v>7143</v>
      </c>
      <c r="AK193" s="2" t="s">
        <v>7143</v>
      </c>
      <c r="AL193" s="2" t="s">
        <v>7143</v>
      </c>
      <c r="AM193" s="2" t="s">
        <v>7143</v>
      </c>
      <c r="AN193" s="2" t="s">
        <v>7143</v>
      </c>
      <c r="AO193" s="2" t="s">
        <v>7143</v>
      </c>
      <c r="AR193" s="7">
        <v>0.8</v>
      </c>
      <c r="AS193" s="7">
        <v>2</v>
      </c>
      <c r="AT193" s="7">
        <v>1.8</v>
      </c>
      <c r="AU193" s="2" t="s">
        <v>7217</v>
      </c>
      <c r="AV193" s="2" t="s">
        <v>7144</v>
      </c>
      <c r="AW193" s="2" t="s">
        <v>7143</v>
      </c>
      <c r="AZ193" s="2" t="s">
        <v>7145</v>
      </c>
      <c r="BB193" s="2" t="s">
        <v>7214</v>
      </c>
      <c r="BC193" s="2" t="s">
        <v>7247</v>
      </c>
      <c r="BD193" s="2" t="s">
        <v>7142</v>
      </c>
      <c r="BE193" s="2" t="s">
        <v>7142</v>
      </c>
      <c r="BF193" s="2" t="s">
        <v>7148</v>
      </c>
      <c r="BG193" s="2" t="s">
        <v>7149</v>
      </c>
      <c r="BH193" s="2" t="s">
        <v>7150</v>
      </c>
      <c r="BI193" s="2" t="s">
        <v>7151</v>
      </c>
      <c r="BL193" s="2" t="s">
        <v>7195</v>
      </c>
      <c r="BO193" s="2" t="s">
        <v>7155</v>
      </c>
      <c r="BQ193" s="2" t="s">
        <v>7183</v>
      </c>
      <c r="BS193" s="2" t="s">
        <v>7143</v>
      </c>
      <c r="BT193" s="2" t="s">
        <v>7362</v>
      </c>
      <c r="BV193" s="2" t="s">
        <v>7197</v>
      </c>
      <c r="BX193" s="2" t="s">
        <v>7142</v>
      </c>
      <c r="BY193" s="2" t="s">
        <v>1503</v>
      </c>
      <c r="BZ193" s="2" t="s">
        <v>7173</v>
      </c>
      <c r="CE193" s="7">
        <v>1.8</v>
      </c>
      <c r="CF193" s="2">
        <v>180</v>
      </c>
      <c r="CK193" s="2">
        <v>100</v>
      </c>
      <c r="CO193" s="2">
        <v>100</v>
      </c>
      <c r="CR193" s="2" t="s">
        <v>7160</v>
      </c>
      <c r="CT193" s="2" t="s">
        <v>7143</v>
      </c>
      <c r="CU193" s="2" t="s">
        <v>7454</v>
      </c>
      <c r="CW193" s="2" t="s">
        <v>7162</v>
      </c>
      <c r="CY193" s="2" t="s">
        <v>7250</v>
      </c>
      <c r="CZ193" s="2" t="s">
        <v>7250</v>
      </c>
      <c r="DA193" s="2" t="s">
        <v>7250</v>
      </c>
      <c r="DB193" s="2" t="s">
        <v>7250</v>
      </c>
      <c r="DC193" s="2" t="s">
        <v>7250</v>
      </c>
      <c r="DD193" s="2" t="s">
        <v>7250</v>
      </c>
      <c r="DE193" s="2" t="s">
        <v>7250</v>
      </c>
      <c r="DF193" s="2" t="s">
        <v>7250</v>
      </c>
      <c r="DG193" s="2" t="s">
        <v>7250</v>
      </c>
      <c r="DH193" s="2" t="s">
        <v>7250</v>
      </c>
      <c r="DI193" s="2" t="s">
        <v>7250</v>
      </c>
      <c r="DL193" s="2" t="s">
        <v>7142</v>
      </c>
      <c r="DM193" s="2" t="s">
        <v>7142</v>
      </c>
      <c r="DN193" s="2" t="s">
        <v>7142</v>
      </c>
      <c r="DO193" s="2" t="s">
        <v>7142</v>
      </c>
      <c r="DP193" s="2" t="s">
        <v>7159</v>
      </c>
      <c r="DT193" s="2" t="s">
        <v>7165</v>
      </c>
      <c r="DU193" s="2" t="s">
        <v>7165</v>
      </c>
      <c r="DV193" s="2" t="s">
        <v>7165</v>
      </c>
      <c r="DW193" s="2" t="s">
        <v>7165</v>
      </c>
      <c r="DX193" s="2" t="s">
        <v>7165</v>
      </c>
      <c r="DY193" s="2" t="s">
        <v>7159</v>
      </c>
      <c r="DZ193" s="2" t="s">
        <v>7159</v>
      </c>
      <c r="EA193" s="2" t="s">
        <v>7165</v>
      </c>
      <c r="EB193" s="2" t="s">
        <v>7165</v>
      </c>
      <c r="EC193" s="2" t="s">
        <v>7173</v>
      </c>
      <c r="EF193" s="2" t="s">
        <v>7221</v>
      </c>
      <c r="EG193" s="2" t="s">
        <v>1497</v>
      </c>
      <c r="EJ193" s="2" t="s">
        <v>7217</v>
      </c>
      <c r="EK193" s="2" t="s">
        <v>7143</v>
      </c>
      <c r="EL193" s="2" t="s">
        <v>7143</v>
      </c>
      <c r="EN193" s="2" t="s">
        <v>7307</v>
      </c>
      <c r="EP193" s="2" t="s">
        <v>7186</v>
      </c>
      <c r="ER193" s="2" t="s">
        <v>7143</v>
      </c>
      <c r="ET193" s="2" t="s">
        <v>7143</v>
      </c>
      <c r="EV193" s="2" t="s">
        <v>7143</v>
      </c>
      <c r="EX193" s="2" t="s">
        <v>7143</v>
      </c>
      <c r="EZ193" s="2" t="s">
        <v>7143</v>
      </c>
      <c r="FC193" s="2" t="s">
        <v>7218</v>
      </c>
      <c r="FD193" s="2" t="s">
        <v>7143</v>
      </c>
      <c r="FH193" s="2" t="s">
        <v>7173</v>
      </c>
      <c r="FJ193" s="2" t="s">
        <v>7143</v>
      </c>
      <c r="FK193" s="2" t="s">
        <v>7173</v>
      </c>
      <c r="FN193" s="2" t="s">
        <v>7863</v>
      </c>
      <c r="FR193" s="2" t="s">
        <v>1504</v>
      </c>
      <c r="FT193" s="2" t="s">
        <v>7189</v>
      </c>
      <c r="FU193" s="2" t="s">
        <v>7189</v>
      </c>
      <c r="FV193" s="2" t="s">
        <v>7176</v>
      </c>
      <c r="FW193" s="2" t="s">
        <v>7189</v>
      </c>
      <c r="FZ193" s="19" t="s">
        <v>7884</v>
      </c>
    </row>
    <row r="194" spans="1:182">
      <c r="A194" s="7" t="s">
        <v>1505</v>
      </c>
      <c r="D194" s="7" t="s">
        <v>7885</v>
      </c>
      <c r="E194" s="7" t="s">
        <v>1506</v>
      </c>
      <c r="F194" s="7" t="s">
        <v>7319</v>
      </c>
      <c r="G194" s="7" t="s">
        <v>7717</v>
      </c>
      <c r="H194" s="7" t="s">
        <v>1263</v>
      </c>
      <c r="I194" s="7" t="s">
        <v>1507</v>
      </c>
      <c r="J194" s="16" t="s">
        <v>7886</v>
      </c>
      <c r="K194" s="7" t="s">
        <v>1507</v>
      </c>
      <c r="L194" s="7" t="s">
        <v>7137</v>
      </c>
      <c r="M194" s="7" t="s">
        <v>7138</v>
      </c>
      <c r="N194" s="7">
        <v>1991</v>
      </c>
      <c r="O194" s="7" t="s">
        <v>7180</v>
      </c>
      <c r="P194" s="7" t="s">
        <v>7140</v>
      </c>
      <c r="Q194" s="7" t="s">
        <v>7182</v>
      </c>
      <c r="R194" s="7" t="s">
        <v>7143</v>
      </c>
      <c r="S194" s="7">
        <v>12</v>
      </c>
      <c r="T194" s="7" t="s">
        <v>7143</v>
      </c>
      <c r="U194" s="7" t="s">
        <v>7143</v>
      </c>
      <c r="Y194" s="7">
        <v>480</v>
      </c>
      <c r="Z194" s="17">
        <v>1</v>
      </c>
      <c r="AA194" s="7">
        <v>480</v>
      </c>
      <c r="AB194" s="7">
        <v>480</v>
      </c>
      <c r="AC194" s="7">
        <v>460</v>
      </c>
      <c r="AD194" s="7">
        <v>530</v>
      </c>
      <c r="AE194" s="7">
        <v>70</v>
      </c>
      <c r="AF194" s="7" t="s">
        <v>7143</v>
      </c>
      <c r="AG194" s="7" t="s">
        <v>7142</v>
      </c>
      <c r="AH194" s="7" t="s">
        <v>7143</v>
      </c>
      <c r="AJ194" s="7" t="s">
        <v>7143</v>
      </c>
      <c r="AK194" s="7" t="s">
        <v>7143</v>
      </c>
      <c r="AL194" s="7" t="s">
        <v>7143</v>
      </c>
      <c r="AM194" s="7" t="s">
        <v>7143</v>
      </c>
      <c r="AN194" s="7" t="s">
        <v>7143</v>
      </c>
      <c r="AO194" s="7" t="s">
        <v>7143</v>
      </c>
      <c r="AR194" s="7">
        <v>1.2</v>
      </c>
      <c r="AS194" s="7">
        <v>1</v>
      </c>
      <c r="AT194" s="7">
        <v>5.3</v>
      </c>
      <c r="AU194" s="7" t="s">
        <v>7193</v>
      </c>
      <c r="AV194" s="7" t="s">
        <v>7193</v>
      </c>
      <c r="AW194" s="7" t="s">
        <v>7143</v>
      </c>
      <c r="AZ194" s="7" t="s">
        <v>7286</v>
      </c>
      <c r="BA194" s="7" t="s">
        <v>395</v>
      </c>
      <c r="BB194" s="2" t="s">
        <v>7214</v>
      </c>
      <c r="BC194" s="7" t="s">
        <v>7147</v>
      </c>
      <c r="BD194" s="7" t="s">
        <v>7143</v>
      </c>
      <c r="BE194" s="7" t="s">
        <v>7143</v>
      </c>
      <c r="BL194" s="7" t="s">
        <v>7152</v>
      </c>
      <c r="BM194" s="7" t="s">
        <v>7153</v>
      </c>
      <c r="BN194" s="7" t="s">
        <v>7154</v>
      </c>
      <c r="BO194" s="7" t="s">
        <v>7155</v>
      </c>
      <c r="BQ194" s="2" t="s">
        <v>7156</v>
      </c>
      <c r="BS194" s="7" t="s">
        <v>7142</v>
      </c>
      <c r="BT194" s="7" t="s">
        <v>7215</v>
      </c>
      <c r="BV194" s="7" t="s">
        <v>7197</v>
      </c>
      <c r="BX194" s="7" t="s">
        <v>7143</v>
      </c>
      <c r="BZ194" s="7" t="s">
        <v>7173</v>
      </c>
      <c r="CE194" s="7">
        <v>5.3</v>
      </c>
      <c r="CF194" s="7">
        <v>530</v>
      </c>
      <c r="CK194" s="7">
        <v>100</v>
      </c>
      <c r="CO194" s="7">
        <v>100</v>
      </c>
      <c r="CR194" s="7" t="s">
        <v>7276</v>
      </c>
      <c r="CT194" s="7" t="s">
        <v>7143</v>
      </c>
      <c r="CU194" s="7" t="s">
        <v>7161</v>
      </c>
      <c r="CW194" s="7" t="s">
        <v>7162</v>
      </c>
      <c r="CY194" s="7" t="s">
        <v>7163</v>
      </c>
      <c r="CZ194" s="7" t="s">
        <v>7163</v>
      </c>
      <c r="DA194" s="2" t="s">
        <v>7250</v>
      </c>
      <c r="DB194" s="2" t="s">
        <v>7321</v>
      </c>
      <c r="DC194" s="2" t="s">
        <v>7321</v>
      </c>
      <c r="DD194" s="2" t="s">
        <v>7321</v>
      </c>
      <c r="DE194" s="2" t="s">
        <v>7250</v>
      </c>
      <c r="DF194" s="2" t="s">
        <v>7163</v>
      </c>
      <c r="DG194" s="2" t="s">
        <v>7163</v>
      </c>
      <c r="DH194" s="2" t="s">
        <v>7250</v>
      </c>
      <c r="DI194" s="2" t="s">
        <v>7250</v>
      </c>
      <c r="DL194" s="2" t="s">
        <v>7142</v>
      </c>
      <c r="DM194" s="2" t="s">
        <v>7142</v>
      </c>
      <c r="DN194" s="2" t="s">
        <v>7142</v>
      </c>
      <c r="DO194" s="2" t="s">
        <v>7142</v>
      </c>
      <c r="DP194" s="2" t="s">
        <v>7165</v>
      </c>
      <c r="DQ194" s="2" t="s">
        <v>7333</v>
      </c>
      <c r="DR194" s="2" t="s">
        <v>1508</v>
      </c>
      <c r="DT194" s="2" t="s">
        <v>7165</v>
      </c>
      <c r="DU194" s="2" t="s">
        <v>7165</v>
      </c>
      <c r="DV194" s="2" t="s">
        <v>7165</v>
      </c>
      <c r="DW194" s="2" t="s">
        <v>7165</v>
      </c>
      <c r="DX194" s="2" t="s">
        <v>7165</v>
      </c>
      <c r="DY194" s="2" t="s">
        <v>7165</v>
      </c>
      <c r="DZ194" s="2" t="s">
        <v>7165</v>
      </c>
      <c r="EA194" s="2" t="s">
        <v>7165</v>
      </c>
      <c r="EB194" s="2" t="s">
        <v>7165</v>
      </c>
      <c r="EC194" s="2" t="s">
        <v>7173</v>
      </c>
      <c r="EF194" s="2" t="s">
        <v>7221</v>
      </c>
      <c r="EJ194" s="2" t="s">
        <v>7193</v>
      </c>
      <c r="EK194" s="2" t="s">
        <v>7142</v>
      </c>
      <c r="EL194" s="2" t="s">
        <v>7143</v>
      </c>
      <c r="EN194" s="2" t="s">
        <v>7170</v>
      </c>
      <c r="EP194" s="2" t="s">
        <v>7186</v>
      </c>
      <c r="ER194" s="2" t="s">
        <v>7142</v>
      </c>
      <c r="ET194" s="2" t="s">
        <v>7143</v>
      </c>
      <c r="EV194" s="2" t="s">
        <v>7142</v>
      </c>
      <c r="EW194" s="2" t="s">
        <v>7171</v>
      </c>
      <c r="EX194" s="2" t="s">
        <v>7143</v>
      </c>
      <c r="EZ194" s="2" t="s">
        <v>7143</v>
      </c>
      <c r="FC194" s="2" t="s">
        <v>7172</v>
      </c>
      <c r="FD194" s="2" t="s">
        <v>7143</v>
      </c>
      <c r="FH194" s="2" t="s">
        <v>7173</v>
      </c>
      <c r="FJ194" s="2" t="s">
        <v>7143</v>
      </c>
      <c r="FK194" s="2" t="s">
        <v>7173</v>
      </c>
      <c r="FN194" s="2" t="s">
        <v>7258</v>
      </c>
      <c r="FR194" s="2" t="s">
        <v>1509</v>
      </c>
      <c r="FT194" s="2" t="s">
        <v>7176</v>
      </c>
      <c r="FU194" s="2" t="s">
        <v>7189</v>
      </c>
      <c r="FV194" s="2" t="s">
        <v>7189</v>
      </c>
      <c r="FW194" s="2" t="s">
        <v>7189</v>
      </c>
      <c r="FZ194" s="19" t="s">
        <v>7887</v>
      </c>
    </row>
    <row r="195" spans="1:182">
      <c r="A195" s="7" t="s">
        <v>1510</v>
      </c>
      <c r="D195" s="7" t="s">
        <v>7888</v>
      </c>
      <c r="E195" s="7" t="s">
        <v>177</v>
      </c>
      <c r="F195" s="7" t="s">
        <v>7245</v>
      </c>
      <c r="G195" s="7" t="s">
        <v>7717</v>
      </c>
      <c r="H195" s="7" t="s">
        <v>1263</v>
      </c>
      <c r="I195" s="7" t="s">
        <v>1511</v>
      </c>
      <c r="J195" s="16" t="s">
        <v>7889</v>
      </c>
      <c r="K195" s="7" t="s">
        <v>1511</v>
      </c>
      <c r="L195" s="2" t="s">
        <v>7281</v>
      </c>
      <c r="M195" s="7" t="s">
        <v>7138</v>
      </c>
      <c r="N195" s="7">
        <v>1987</v>
      </c>
      <c r="O195" s="7" t="s">
        <v>7180</v>
      </c>
      <c r="P195" s="7" t="s">
        <v>7140</v>
      </c>
      <c r="Q195" s="7" t="s">
        <v>7141</v>
      </c>
      <c r="R195" s="7" t="s">
        <v>7143</v>
      </c>
      <c r="S195" s="7">
        <v>1995</v>
      </c>
      <c r="T195" s="7" t="s">
        <v>7142</v>
      </c>
      <c r="U195" s="7" t="s">
        <v>7143</v>
      </c>
      <c r="Y195" s="2">
        <v>900</v>
      </c>
      <c r="Z195" s="17">
        <v>0.94440000000000002</v>
      </c>
      <c r="AA195" s="2">
        <v>850</v>
      </c>
      <c r="AB195" s="2">
        <v>800</v>
      </c>
      <c r="AC195" s="7">
        <v>400</v>
      </c>
      <c r="AD195" s="2">
        <v>500</v>
      </c>
      <c r="AE195" s="2">
        <v>100</v>
      </c>
      <c r="AF195" s="2" t="s">
        <v>7143</v>
      </c>
      <c r="AG195" s="2" t="s">
        <v>7142</v>
      </c>
      <c r="AH195" s="2" t="s">
        <v>7142</v>
      </c>
      <c r="AI195" s="2" t="s">
        <v>1512</v>
      </c>
      <c r="AJ195" s="2" t="s">
        <v>7143</v>
      </c>
      <c r="AK195" s="2" t="s">
        <v>7142</v>
      </c>
      <c r="AL195" s="2" t="s">
        <v>7143</v>
      </c>
      <c r="AM195" s="2" t="s">
        <v>7142</v>
      </c>
      <c r="AN195" s="2" t="s">
        <v>7142</v>
      </c>
      <c r="AO195" s="2" t="s">
        <v>7143</v>
      </c>
      <c r="AR195" s="7">
        <v>1.3</v>
      </c>
      <c r="AS195" s="7">
        <v>1</v>
      </c>
      <c r="AT195" s="7">
        <v>5</v>
      </c>
      <c r="AU195" s="7" t="s">
        <v>7144</v>
      </c>
      <c r="AV195" s="7" t="s">
        <v>7144</v>
      </c>
      <c r="AW195" s="7" t="s">
        <v>7143</v>
      </c>
      <c r="AZ195" s="7" t="s">
        <v>7145</v>
      </c>
      <c r="BB195" s="7" t="s">
        <v>7214</v>
      </c>
      <c r="BC195" s="2" t="s">
        <v>7147</v>
      </c>
      <c r="BD195" s="7" t="s">
        <v>7143</v>
      </c>
      <c r="BE195" s="7" t="s">
        <v>7142</v>
      </c>
      <c r="BF195" s="7" t="s">
        <v>7148</v>
      </c>
      <c r="BG195" s="7" t="s">
        <v>7232</v>
      </c>
      <c r="BH195" s="7" t="s">
        <v>7248</v>
      </c>
      <c r="BI195" s="7" t="s">
        <v>7151</v>
      </c>
      <c r="BL195" s="7" t="s">
        <v>7152</v>
      </c>
      <c r="BM195" s="7" t="s">
        <v>7153</v>
      </c>
      <c r="BN195" s="7" t="s">
        <v>7154</v>
      </c>
      <c r="BO195" s="7" t="s">
        <v>7155</v>
      </c>
      <c r="BQ195" s="2" t="s">
        <v>7256</v>
      </c>
      <c r="BS195" s="7" t="s">
        <v>7142</v>
      </c>
      <c r="BT195" s="2" t="s">
        <v>7215</v>
      </c>
      <c r="BV195" s="2" t="s">
        <v>7304</v>
      </c>
      <c r="BX195" s="2" t="s">
        <v>7142</v>
      </c>
      <c r="BY195" s="2" t="s">
        <v>310</v>
      </c>
      <c r="BZ195" s="2" t="s">
        <v>7159</v>
      </c>
      <c r="CE195" s="7">
        <v>5</v>
      </c>
      <c r="CF195" s="2">
        <v>495</v>
      </c>
      <c r="CK195" s="2">
        <v>100</v>
      </c>
      <c r="CO195" s="2">
        <v>100</v>
      </c>
      <c r="CR195" s="7" t="s">
        <v>7160</v>
      </c>
      <c r="CT195" s="7" t="s">
        <v>7143</v>
      </c>
      <c r="CU195" s="7" t="s">
        <v>7161</v>
      </c>
      <c r="CW195" s="7" t="s">
        <v>7162</v>
      </c>
      <c r="CY195" s="7" t="s">
        <v>7163</v>
      </c>
      <c r="CZ195" s="7" t="s">
        <v>7163</v>
      </c>
      <c r="DA195" s="7" t="s">
        <v>7250</v>
      </c>
      <c r="DB195" s="2" t="s">
        <v>7251</v>
      </c>
      <c r="DC195" s="7" t="s">
        <v>7250</v>
      </c>
      <c r="DD195" s="7" t="s">
        <v>7251</v>
      </c>
      <c r="DE195" s="2" t="s">
        <v>7251</v>
      </c>
      <c r="DF195" s="2" t="s">
        <v>7163</v>
      </c>
      <c r="DG195" s="7" t="s">
        <v>7227</v>
      </c>
      <c r="DH195" s="7" t="s">
        <v>7227</v>
      </c>
      <c r="DI195" s="7" t="s">
        <v>7227</v>
      </c>
      <c r="DL195" s="7" t="s">
        <v>7142</v>
      </c>
      <c r="DM195" s="7" t="s">
        <v>7142</v>
      </c>
      <c r="DN195" s="7" t="s">
        <v>7142</v>
      </c>
      <c r="DO195" s="7" t="s">
        <v>7142</v>
      </c>
      <c r="DP195" s="7" t="s">
        <v>7165</v>
      </c>
      <c r="DQ195" s="7" t="s">
        <v>7166</v>
      </c>
      <c r="DS195" s="7" t="s">
        <v>7165</v>
      </c>
      <c r="DT195" s="7" t="s">
        <v>7165</v>
      </c>
      <c r="DU195" s="7" t="s">
        <v>7165</v>
      </c>
      <c r="DV195" s="7" t="s">
        <v>7165</v>
      </c>
      <c r="DW195" s="7" t="s">
        <v>7165</v>
      </c>
      <c r="DX195" s="7" t="s">
        <v>7165</v>
      </c>
      <c r="DY195" s="7" t="s">
        <v>7159</v>
      </c>
      <c r="DZ195" s="7" t="s">
        <v>7159</v>
      </c>
      <c r="EA195" s="7" t="s">
        <v>7165</v>
      </c>
      <c r="EB195" s="7" t="s">
        <v>7165</v>
      </c>
      <c r="EC195" s="7" t="s">
        <v>7159</v>
      </c>
      <c r="ED195" s="7"/>
      <c r="EE195" s="7"/>
      <c r="EF195" s="7" t="s">
        <v>7167</v>
      </c>
      <c r="EJ195" s="7" t="s">
        <v>7144</v>
      </c>
      <c r="EK195" s="7" t="s">
        <v>7142</v>
      </c>
      <c r="EL195" s="7" t="s">
        <v>7143</v>
      </c>
      <c r="EN195" s="7" t="s">
        <v>7170</v>
      </c>
      <c r="EP195" s="7" t="s">
        <v>7186</v>
      </c>
      <c r="ER195" s="2" t="s">
        <v>7142</v>
      </c>
      <c r="ET195" s="7" t="s">
        <v>7143</v>
      </c>
      <c r="EV195" s="7" t="s">
        <v>7142</v>
      </c>
      <c r="EW195" s="7" t="s">
        <v>7890</v>
      </c>
      <c r="EX195" s="2" t="s">
        <v>7142</v>
      </c>
      <c r="EY195" s="2" t="s">
        <v>7204</v>
      </c>
      <c r="EZ195" s="2" t="s">
        <v>7143</v>
      </c>
      <c r="FC195" s="2" t="s">
        <v>7172</v>
      </c>
      <c r="FD195" s="2" t="s">
        <v>7143</v>
      </c>
      <c r="FH195" s="7" t="s">
        <v>7173</v>
      </c>
      <c r="FJ195" s="7" t="s">
        <v>7142</v>
      </c>
      <c r="FK195" s="7" t="s">
        <v>7165</v>
      </c>
      <c r="FL195" s="7" t="s">
        <v>7260</v>
      </c>
      <c r="FN195" s="2" t="s">
        <v>7235</v>
      </c>
      <c r="FT195" s="2" t="s">
        <v>7176</v>
      </c>
      <c r="FU195" s="2" t="s">
        <v>7189</v>
      </c>
      <c r="FV195" s="2" t="s">
        <v>7189</v>
      </c>
      <c r="FW195" s="2" t="s">
        <v>7189</v>
      </c>
      <c r="FZ195" s="19" t="s">
        <v>7891</v>
      </c>
    </row>
    <row r="196" spans="1:182">
      <c r="A196" s="7" t="s">
        <v>1514</v>
      </c>
      <c r="D196" s="7" t="s">
        <v>7892</v>
      </c>
      <c r="E196" s="7" t="s">
        <v>1515</v>
      </c>
      <c r="F196" s="7" t="s">
        <v>7311</v>
      </c>
      <c r="G196" s="7" t="s">
        <v>7717</v>
      </c>
      <c r="H196" s="7" t="s">
        <v>1263</v>
      </c>
      <c r="I196" s="7" t="s">
        <v>1516</v>
      </c>
      <c r="J196" s="16" t="s">
        <v>7893</v>
      </c>
      <c r="K196" s="7" t="s">
        <v>1517</v>
      </c>
      <c r="L196" s="7" t="s">
        <v>7137</v>
      </c>
      <c r="M196" s="7" t="s">
        <v>7179</v>
      </c>
      <c r="N196" s="7">
        <v>1973</v>
      </c>
      <c r="O196" s="7" t="s">
        <v>7180</v>
      </c>
      <c r="P196" s="7" t="s">
        <v>7181</v>
      </c>
      <c r="Q196" s="7" t="s">
        <v>7182</v>
      </c>
      <c r="R196" s="7" t="s">
        <v>7143</v>
      </c>
      <c r="S196" s="7">
        <v>20</v>
      </c>
      <c r="T196" s="7" t="s">
        <v>7143</v>
      </c>
      <c r="U196" s="7" t="s">
        <v>7143</v>
      </c>
      <c r="Y196" s="2">
        <v>200</v>
      </c>
      <c r="Z196" s="17">
        <v>1</v>
      </c>
      <c r="AA196" s="2">
        <v>200</v>
      </c>
      <c r="AB196" s="2">
        <v>200</v>
      </c>
      <c r="AC196" s="7">
        <v>200</v>
      </c>
      <c r="AD196" s="2">
        <v>240</v>
      </c>
      <c r="AE196" s="2">
        <v>40</v>
      </c>
      <c r="AF196" s="2" t="s">
        <v>7143</v>
      </c>
      <c r="AG196" s="2" t="s">
        <v>7143</v>
      </c>
      <c r="AH196" s="2" t="s">
        <v>7143</v>
      </c>
      <c r="AJ196" s="2" t="s">
        <v>7143</v>
      </c>
      <c r="AK196" s="2" t="s">
        <v>7143</v>
      </c>
      <c r="AL196" s="2" t="s">
        <v>7143</v>
      </c>
      <c r="AM196" s="2" t="s">
        <v>7143</v>
      </c>
      <c r="AN196" s="2" t="s">
        <v>7143</v>
      </c>
      <c r="AO196" s="2" t="s">
        <v>7143</v>
      </c>
      <c r="AR196" s="7">
        <v>0.6</v>
      </c>
      <c r="AS196" s="7">
        <v>1</v>
      </c>
      <c r="AT196" s="7">
        <v>2.5</v>
      </c>
      <c r="AU196" s="2" t="s">
        <v>7144</v>
      </c>
      <c r="AV196" s="2" t="s">
        <v>7144</v>
      </c>
      <c r="AW196" s="2" t="s">
        <v>7143</v>
      </c>
      <c r="AZ196" s="2" t="s">
        <v>7145</v>
      </c>
      <c r="BB196" s="2" t="s">
        <v>7214</v>
      </c>
      <c r="BC196" s="2" t="s">
        <v>7247</v>
      </c>
      <c r="BD196" s="2" t="s">
        <v>7142</v>
      </c>
      <c r="BE196" s="2" t="s">
        <v>7142</v>
      </c>
      <c r="BF196" s="2" t="s">
        <v>7148</v>
      </c>
      <c r="BG196" s="2" t="s">
        <v>7149</v>
      </c>
      <c r="BH196" s="2" t="s">
        <v>7233</v>
      </c>
      <c r="BI196" s="2" t="s">
        <v>7151</v>
      </c>
      <c r="BL196" s="2" t="s">
        <v>7195</v>
      </c>
      <c r="BO196" s="2" t="s">
        <v>7155</v>
      </c>
      <c r="BQ196" s="2" t="s">
        <v>7156</v>
      </c>
      <c r="BS196" s="2" t="s">
        <v>7142</v>
      </c>
      <c r="BT196" s="2" t="s">
        <v>7263</v>
      </c>
      <c r="BV196" s="2" t="s">
        <v>7202</v>
      </c>
      <c r="BX196" s="2" t="s">
        <v>7143</v>
      </c>
      <c r="BY196" s="2" t="s">
        <v>1357</v>
      </c>
      <c r="BZ196" s="2" t="s">
        <v>7173</v>
      </c>
      <c r="CE196" s="7">
        <v>2.5</v>
      </c>
      <c r="CF196" s="2">
        <v>240</v>
      </c>
      <c r="CK196" s="2">
        <v>100</v>
      </c>
      <c r="CP196" s="2">
        <v>100</v>
      </c>
      <c r="CR196" s="2" t="s">
        <v>7160</v>
      </c>
      <c r="CT196" s="2" t="s">
        <v>7143</v>
      </c>
      <c r="CU196" s="2" t="s">
        <v>7161</v>
      </c>
      <c r="CW196" s="2" t="s">
        <v>7162</v>
      </c>
      <c r="CY196" s="2" t="s">
        <v>7250</v>
      </c>
      <c r="CZ196" s="2" t="s">
        <v>7250</v>
      </c>
      <c r="DA196" s="2" t="s">
        <v>7250</v>
      </c>
      <c r="DB196" s="2" t="s">
        <v>7250</v>
      </c>
      <c r="DC196" s="2" t="s">
        <v>7250</v>
      </c>
      <c r="DD196" s="2" t="s">
        <v>7250</v>
      </c>
      <c r="DE196" s="2" t="s">
        <v>7250</v>
      </c>
      <c r="DF196" s="2" t="s">
        <v>7250</v>
      </c>
      <c r="DG196" s="2" t="s">
        <v>7250</v>
      </c>
      <c r="DH196" s="2" t="s">
        <v>7250</v>
      </c>
      <c r="DI196" s="2" t="s">
        <v>7250</v>
      </c>
      <c r="DL196" s="2" t="s">
        <v>7143</v>
      </c>
      <c r="DM196" s="2" t="s">
        <v>7143</v>
      </c>
      <c r="DP196" s="2" t="s">
        <v>7159</v>
      </c>
      <c r="DT196" s="2" t="s">
        <v>7159</v>
      </c>
      <c r="DU196" s="2" t="s">
        <v>7159</v>
      </c>
      <c r="DV196" s="2" t="s">
        <v>7159</v>
      </c>
      <c r="DW196" s="2" t="s">
        <v>7159</v>
      </c>
      <c r="DX196" s="2" t="s">
        <v>7159</v>
      </c>
      <c r="DY196" s="2" t="s">
        <v>7159</v>
      </c>
      <c r="DZ196" s="2" t="s">
        <v>7159</v>
      </c>
      <c r="EA196" s="2" t="s">
        <v>7159</v>
      </c>
      <c r="EB196" s="2" t="s">
        <v>7159</v>
      </c>
      <c r="EC196" s="2" t="s">
        <v>7159</v>
      </c>
      <c r="ED196" s="2" t="s">
        <v>7159</v>
      </c>
      <c r="EF196" s="2" t="s">
        <v>7252</v>
      </c>
      <c r="EG196" s="2" t="s">
        <v>1518</v>
      </c>
      <c r="EJ196" s="2" t="s">
        <v>7193</v>
      </c>
      <c r="EK196" s="2" t="s">
        <v>7143</v>
      </c>
      <c r="EL196" s="2" t="s">
        <v>7143</v>
      </c>
      <c r="EN196" s="2" t="s">
        <v>7170</v>
      </c>
      <c r="EP196" s="2" t="s">
        <v>7186</v>
      </c>
      <c r="ER196" s="2" t="s">
        <v>7143</v>
      </c>
      <c r="ET196" s="2" t="s">
        <v>7143</v>
      </c>
      <c r="EV196" s="2" t="s">
        <v>7143</v>
      </c>
      <c r="EX196" s="2" t="s">
        <v>7143</v>
      </c>
      <c r="EZ196" s="2" t="s">
        <v>7143</v>
      </c>
      <c r="FC196" s="2" t="s">
        <v>7172</v>
      </c>
      <c r="FD196" s="2" t="s">
        <v>7143</v>
      </c>
      <c r="FH196" s="2" t="s">
        <v>7173</v>
      </c>
      <c r="FJ196" s="2" t="s">
        <v>7143</v>
      </c>
      <c r="FK196" s="2" t="s">
        <v>7173</v>
      </c>
      <c r="FR196" s="2" t="s">
        <v>461</v>
      </c>
      <c r="FT196" s="2" t="s">
        <v>7189</v>
      </c>
      <c r="FU196" s="2" t="s">
        <v>7189</v>
      </c>
      <c r="FV196" s="2" t="s">
        <v>7189</v>
      </c>
      <c r="FW196" s="2" t="s">
        <v>7189</v>
      </c>
      <c r="FX196" s="2" t="s">
        <v>7189</v>
      </c>
      <c r="FY196" s="2" t="s">
        <v>1519</v>
      </c>
      <c r="FZ196" s="19" t="s">
        <v>7894</v>
      </c>
    </row>
    <row r="197" spans="1:182">
      <c r="A197" s="7" t="s">
        <v>1520</v>
      </c>
      <c r="D197" s="7" t="s">
        <v>7895</v>
      </c>
      <c r="E197" s="7" t="s">
        <v>1521</v>
      </c>
      <c r="F197" s="7" t="s">
        <v>7319</v>
      </c>
      <c r="G197" s="7" t="s">
        <v>7717</v>
      </c>
      <c r="H197" s="7" t="s">
        <v>1263</v>
      </c>
      <c r="I197" s="7" t="s">
        <v>1522</v>
      </c>
      <c r="J197" s="16" t="s">
        <v>7896</v>
      </c>
      <c r="K197" s="7" t="s">
        <v>1522</v>
      </c>
      <c r="L197" s="7" t="s">
        <v>7137</v>
      </c>
      <c r="M197" s="7" t="s">
        <v>7138</v>
      </c>
      <c r="N197" s="7">
        <v>1980</v>
      </c>
      <c r="O197" s="7" t="s">
        <v>7180</v>
      </c>
      <c r="P197" s="7" t="s">
        <v>7140</v>
      </c>
      <c r="Q197" s="7" t="s">
        <v>7182</v>
      </c>
      <c r="R197" s="7" t="s">
        <v>7143</v>
      </c>
      <c r="S197" s="7">
        <v>27</v>
      </c>
      <c r="T197" s="7" t="s">
        <v>7143</v>
      </c>
      <c r="U197" s="7" t="s">
        <v>7143</v>
      </c>
      <c r="Y197" s="2">
        <v>800</v>
      </c>
      <c r="Z197" s="17">
        <v>0.66249999999999998</v>
      </c>
      <c r="AA197" s="2">
        <v>530</v>
      </c>
      <c r="AB197" s="2">
        <v>530</v>
      </c>
      <c r="AC197" s="7">
        <v>490</v>
      </c>
      <c r="AD197" s="2">
        <v>580</v>
      </c>
      <c r="AE197" s="2">
        <v>90</v>
      </c>
      <c r="AF197" s="2" t="s">
        <v>7143</v>
      </c>
      <c r="AG197" s="2" t="s">
        <v>7142</v>
      </c>
      <c r="AH197" s="2" t="s">
        <v>7143</v>
      </c>
      <c r="AJ197" s="2" t="s">
        <v>7143</v>
      </c>
      <c r="AK197" s="2" t="s">
        <v>7143</v>
      </c>
      <c r="AL197" s="2" t="s">
        <v>7143</v>
      </c>
      <c r="AM197" s="2" t="s">
        <v>7143</v>
      </c>
      <c r="AN197" s="2" t="s">
        <v>7142</v>
      </c>
      <c r="AO197" s="2" t="s">
        <v>7143</v>
      </c>
      <c r="AR197" s="7">
        <v>1</v>
      </c>
      <c r="AS197" s="7">
        <v>1</v>
      </c>
      <c r="AT197" s="7">
        <v>5.8</v>
      </c>
      <c r="AU197" s="2" t="s">
        <v>7168</v>
      </c>
      <c r="AV197" s="2" t="s">
        <v>7168</v>
      </c>
      <c r="AW197" s="2" t="s">
        <v>7143</v>
      </c>
      <c r="AZ197" s="2" t="s">
        <v>7145</v>
      </c>
      <c r="BB197" s="2" t="s">
        <v>7268</v>
      </c>
      <c r="BC197" s="2" t="s">
        <v>7247</v>
      </c>
      <c r="BD197" s="2" t="s">
        <v>7142</v>
      </c>
      <c r="BE197" s="2" t="s">
        <v>7142</v>
      </c>
      <c r="BF197" s="2" t="s">
        <v>7897</v>
      </c>
      <c r="BG197" s="2" t="s">
        <v>7149</v>
      </c>
      <c r="BH197" s="2" t="s">
        <v>7248</v>
      </c>
      <c r="BI197" s="2" t="s">
        <v>7269</v>
      </c>
      <c r="BL197" s="2" t="s">
        <v>7152</v>
      </c>
      <c r="BM197" s="2" t="s">
        <v>7153</v>
      </c>
      <c r="BN197" s="2" t="s">
        <v>7154</v>
      </c>
      <c r="BO197" s="2" t="s">
        <v>7155</v>
      </c>
      <c r="BQ197" s="2" t="s">
        <v>7156</v>
      </c>
      <c r="BS197" s="2" t="s">
        <v>7142</v>
      </c>
      <c r="BT197" s="2" t="s">
        <v>7238</v>
      </c>
      <c r="BU197" s="2" t="s">
        <v>544</v>
      </c>
      <c r="BV197" s="2" t="s">
        <v>7202</v>
      </c>
      <c r="BX197" s="2" t="s">
        <v>7143</v>
      </c>
      <c r="BZ197" s="2" t="s">
        <v>7173</v>
      </c>
      <c r="CE197" s="7">
        <v>5.8</v>
      </c>
      <c r="CF197" s="2">
        <v>580</v>
      </c>
      <c r="CM197" s="2">
        <v>100</v>
      </c>
      <c r="CP197" s="2">
        <v>100</v>
      </c>
      <c r="CR197" s="2" t="s">
        <v>7276</v>
      </c>
      <c r="CT197" s="2" t="s">
        <v>7143</v>
      </c>
      <c r="CU197" s="2" t="s">
        <v>7161</v>
      </c>
      <c r="CW197" s="2" t="s">
        <v>7162</v>
      </c>
      <c r="CY197" s="2" t="s">
        <v>7163</v>
      </c>
      <c r="CZ197" s="2" t="s">
        <v>7163</v>
      </c>
      <c r="DA197" s="2" t="s">
        <v>7163</v>
      </c>
      <c r="DB197" s="2" t="s">
        <v>7321</v>
      </c>
      <c r="DC197" s="2" t="s">
        <v>7250</v>
      </c>
      <c r="DD197" s="2" t="s">
        <v>7250</v>
      </c>
      <c r="DE197" s="2" t="s">
        <v>7250</v>
      </c>
      <c r="DF197" s="2" t="s">
        <v>7163</v>
      </c>
      <c r="DG197" s="2" t="s">
        <v>7163</v>
      </c>
      <c r="DH197" s="2" t="s">
        <v>7250</v>
      </c>
      <c r="DI197" s="2" t="s">
        <v>7250</v>
      </c>
      <c r="DL197" s="2" t="s">
        <v>7142</v>
      </c>
      <c r="DM197" s="2" t="s">
        <v>7142</v>
      </c>
      <c r="DN197" s="2" t="s">
        <v>7142</v>
      </c>
      <c r="DO197" s="2" t="s">
        <v>7142</v>
      </c>
      <c r="DP197" s="2" t="s">
        <v>7165</v>
      </c>
      <c r="DQ197" s="2" t="s">
        <v>7333</v>
      </c>
      <c r="DR197" s="2" t="s">
        <v>1524</v>
      </c>
      <c r="DT197" s="2" t="s">
        <v>7165</v>
      </c>
      <c r="DU197" s="2" t="s">
        <v>7165</v>
      </c>
      <c r="DV197" s="2" t="s">
        <v>7165</v>
      </c>
      <c r="DW197" s="2" t="s">
        <v>7165</v>
      </c>
      <c r="DX197" s="2" t="s">
        <v>7165</v>
      </c>
      <c r="DY197" s="2" t="s">
        <v>7165</v>
      </c>
      <c r="DZ197" s="2" t="s">
        <v>7165</v>
      </c>
      <c r="EA197" s="2" t="s">
        <v>7165</v>
      </c>
      <c r="EB197" s="2" t="s">
        <v>7165</v>
      </c>
      <c r="EC197" s="2" t="s">
        <v>7173</v>
      </c>
      <c r="EF197" s="2" t="s">
        <v>7167</v>
      </c>
      <c r="EJ197" s="2" t="s">
        <v>7168</v>
      </c>
      <c r="EK197" s="2" t="s">
        <v>7142</v>
      </c>
      <c r="EL197" s="2" t="s">
        <v>7142</v>
      </c>
      <c r="EM197" s="2" t="s">
        <v>7170</v>
      </c>
      <c r="EN197" s="2" t="s">
        <v>7170</v>
      </c>
      <c r="EP197" s="2" t="s">
        <v>7186</v>
      </c>
      <c r="ER197" s="2" t="s">
        <v>7142</v>
      </c>
      <c r="ET197" s="2" t="s">
        <v>7142</v>
      </c>
      <c r="EU197" s="2" t="s">
        <v>7171</v>
      </c>
      <c r="EV197" s="2" t="s">
        <v>7142</v>
      </c>
      <c r="EW197" s="2" t="s">
        <v>7171</v>
      </c>
      <c r="EX197" s="2" t="s">
        <v>7142</v>
      </c>
      <c r="EY197" s="2" t="s">
        <v>7171</v>
      </c>
      <c r="EZ197" s="2" t="s">
        <v>7143</v>
      </c>
      <c r="FC197" s="2" t="s">
        <v>7172</v>
      </c>
      <c r="FD197" s="2" t="s">
        <v>7143</v>
      </c>
      <c r="FH197" s="2" t="s">
        <v>7173</v>
      </c>
      <c r="FJ197" s="2" t="s">
        <v>7143</v>
      </c>
      <c r="FK197" s="2" t="s">
        <v>7165</v>
      </c>
      <c r="FL197" s="2" t="s">
        <v>7652</v>
      </c>
      <c r="FN197" s="2" t="s">
        <v>7283</v>
      </c>
      <c r="FR197" s="2" t="s">
        <v>1525</v>
      </c>
      <c r="FT197" s="2" t="s">
        <v>7176</v>
      </c>
      <c r="FU197" s="2" t="s">
        <v>7176</v>
      </c>
      <c r="FV197" s="2" t="s">
        <v>7176</v>
      </c>
      <c r="FW197" s="2" t="s">
        <v>7176</v>
      </c>
      <c r="FZ197" s="19" t="s">
        <v>7898</v>
      </c>
    </row>
    <row r="198" spans="1:182">
      <c r="A198" s="7" t="s">
        <v>1526</v>
      </c>
      <c r="D198" s="7" t="s">
        <v>7899</v>
      </c>
      <c r="E198" s="7" t="s">
        <v>177</v>
      </c>
      <c r="F198" s="7" t="s">
        <v>7134</v>
      </c>
      <c r="G198" s="7" t="s">
        <v>7717</v>
      </c>
      <c r="H198" s="7" t="s">
        <v>1207</v>
      </c>
      <c r="I198" s="7" t="s">
        <v>427</v>
      </c>
      <c r="J198" s="16" t="s">
        <v>7900</v>
      </c>
      <c r="K198" s="7" t="s">
        <v>427</v>
      </c>
      <c r="L198" s="7" t="s">
        <v>7137</v>
      </c>
      <c r="M198" s="7" t="s">
        <v>7138</v>
      </c>
      <c r="N198" s="7">
        <v>1993</v>
      </c>
      <c r="O198" s="7" t="s">
        <v>7139</v>
      </c>
      <c r="P198" s="7" t="s">
        <v>7140</v>
      </c>
      <c r="Q198" s="7" t="s">
        <v>7141</v>
      </c>
      <c r="R198" s="7" t="s">
        <v>7143</v>
      </c>
      <c r="S198" s="7">
        <v>2009</v>
      </c>
      <c r="T198" s="7" t="s">
        <v>7143</v>
      </c>
      <c r="U198" s="7" t="s">
        <v>7142</v>
      </c>
      <c r="Y198" s="2">
        <v>358</v>
      </c>
      <c r="Z198" s="17">
        <v>0.94969999999999999</v>
      </c>
      <c r="AA198" s="2">
        <v>340</v>
      </c>
      <c r="AB198" s="2">
        <v>340</v>
      </c>
      <c r="AC198" s="7">
        <v>340</v>
      </c>
      <c r="AD198" s="7">
        <v>400</v>
      </c>
      <c r="AE198" s="7">
        <v>60</v>
      </c>
      <c r="AF198" s="7" t="s">
        <v>7143</v>
      </c>
      <c r="AG198" s="7" t="s">
        <v>7143</v>
      </c>
      <c r="AH198" s="7" t="s">
        <v>7143</v>
      </c>
      <c r="AJ198" s="7" t="s">
        <v>7143</v>
      </c>
      <c r="AK198" s="7" t="s">
        <v>7143</v>
      </c>
      <c r="AL198" s="7" t="s">
        <v>7142</v>
      </c>
      <c r="AM198" s="7" t="s">
        <v>7143</v>
      </c>
      <c r="AN198" s="7" t="s">
        <v>7143</v>
      </c>
      <c r="AO198" s="7" t="s">
        <v>7143</v>
      </c>
      <c r="AR198" s="7">
        <v>2</v>
      </c>
      <c r="AS198" s="7">
        <v>3</v>
      </c>
      <c r="AT198" s="7">
        <v>3.7</v>
      </c>
      <c r="AU198" s="2" t="s">
        <v>7168</v>
      </c>
      <c r="AV198" s="2" t="s">
        <v>7168</v>
      </c>
      <c r="AW198" s="2" t="s">
        <v>7143</v>
      </c>
      <c r="AZ198" s="2" t="s">
        <v>7145</v>
      </c>
      <c r="BB198" s="2" t="s">
        <v>7146</v>
      </c>
      <c r="BC198" s="2" t="s">
        <v>7147</v>
      </c>
      <c r="BD198" s="2" t="s">
        <v>7142</v>
      </c>
      <c r="BE198" s="2" t="s">
        <v>7142</v>
      </c>
      <c r="BF198" s="2" t="s">
        <v>7148</v>
      </c>
      <c r="BG198" s="2" t="s">
        <v>7149</v>
      </c>
      <c r="BH198" s="2" t="s">
        <v>7150</v>
      </c>
      <c r="BI198" s="2" t="s">
        <v>7326</v>
      </c>
      <c r="BL198" s="2" t="s">
        <v>7152</v>
      </c>
      <c r="BM198" s="2" t="s">
        <v>7153</v>
      </c>
      <c r="BN198" s="2" t="s">
        <v>7154</v>
      </c>
      <c r="BO198" s="2" t="s">
        <v>7155</v>
      </c>
      <c r="BQ198" s="2" t="s">
        <v>7183</v>
      </c>
      <c r="BS198" s="2" t="s">
        <v>7142</v>
      </c>
      <c r="BT198" s="2" t="s">
        <v>7157</v>
      </c>
      <c r="BV198" s="2" t="s">
        <v>7901</v>
      </c>
      <c r="BX198" s="2" t="s">
        <v>7143</v>
      </c>
      <c r="BZ198" s="2" t="s">
        <v>7173</v>
      </c>
      <c r="CE198" s="7">
        <v>3.7</v>
      </c>
      <c r="CF198" s="2">
        <v>400</v>
      </c>
      <c r="CM198" s="2">
        <v>100</v>
      </c>
      <c r="CO198" s="2">
        <v>100</v>
      </c>
      <c r="CR198" s="2" t="s">
        <v>7160</v>
      </c>
      <c r="CT198" s="2" t="s">
        <v>7143</v>
      </c>
      <c r="CU198" s="2" t="s">
        <v>7161</v>
      </c>
      <c r="CW198" s="2" t="s">
        <v>7162</v>
      </c>
      <c r="CY198" s="2" t="s">
        <v>7163</v>
      </c>
      <c r="CZ198" s="2" t="s">
        <v>7163</v>
      </c>
      <c r="DA198" s="2" t="s">
        <v>7163</v>
      </c>
      <c r="DB198" s="2" t="s">
        <v>7164</v>
      </c>
      <c r="DC198" s="2" t="s">
        <v>7164</v>
      </c>
      <c r="DD198" s="2" t="s">
        <v>7164</v>
      </c>
      <c r="DE198" s="2" t="s">
        <v>7164</v>
      </c>
      <c r="DF198" s="2" t="s">
        <v>7164</v>
      </c>
      <c r="DG198" s="2" t="s">
        <v>7164</v>
      </c>
      <c r="DH198" s="2" t="s">
        <v>7164</v>
      </c>
      <c r="DI198" s="2" t="s">
        <v>7164</v>
      </c>
      <c r="DL198" s="2" t="s">
        <v>7142</v>
      </c>
      <c r="DM198" s="2" t="s">
        <v>7142</v>
      </c>
      <c r="DN198" s="2" t="s">
        <v>7142</v>
      </c>
      <c r="DO198" s="2" t="s">
        <v>7142</v>
      </c>
      <c r="DP198" s="2" t="s">
        <v>7165</v>
      </c>
      <c r="DQ198" s="2" t="s">
        <v>7166</v>
      </c>
      <c r="DT198" s="2" t="s">
        <v>7165</v>
      </c>
      <c r="DU198" s="2" t="s">
        <v>7165</v>
      </c>
      <c r="DV198" s="2" t="s">
        <v>7165</v>
      </c>
      <c r="DW198" s="2" t="s">
        <v>7165</v>
      </c>
      <c r="DX198" s="2" t="s">
        <v>7165</v>
      </c>
      <c r="DY198" s="2" t="s">
        <v>7165</v>
      </c>
      <c r="DZ198" s="2" t="s">
        <v>7165</v>
      </c>
      <c r="EA198" s="2" t="s">
        <v>7165</v>
      </c>
      <c r="EB198" s="2" t="s">
        <v>7165</v>
      </c>
      <c r="EF198" s="2" t="s">
        <v>7167</v>
      </c>
      <c r="FH198" s="2" t="s">
        <v>7173</v>
      </c>
      <c r="FJ198" s="2" t="s">
        <v>7142</v>
      </c>
      <c r="FK198" s="2" t="s">
        <v>7165</v>
      </c>
      <c r="FL198" s="2" t="s">
        <v>7902</v>
      </c>
      <c r="FN198" s="2" t="s">
        <v>7175</v>
      </c>
      <c r="FR198" s="2" t="s">
        <v>1529</v>
      </c>
      <c r="FT198" s="2" t="s">
        <v>7176</v>
      </c>
      <c r="FU198" s="2" t="s">
        <v>7176</v>
      </c>
      <c r="FV198" s="2" t="s">
        <v>7176</v>
      </c>
      <c r="FW198" s="2" t="s">
        <v>7176</v>
      </c>
      <c r="FX198" s="2" t="s">
        <v>7176</v>
      </c>
      <c r="FZ198" s="19" t="s">
        <v>7903</v>
      </c>
    </row>
    <row r="199" spans="1:182">
      <c r="A199" s="7" t="s">
        <v>1530</v>
      </c>
      <c r="D199" s="7" t="s">
        <v>7904</v>
      </c>
      <c r="E199" s="7" t="s">
        <v>177</v>
      </c>
      <c r="F199" s="7" t="s">
        <v>7245</v>
      </c>
      <c r="G199" s="7" t="s">
        <v>7717</v>
      </c>
      <c r="H199" s="7" t="s">
        <v>1263</v>
      </c>
      <c r="I199" s="7" t="s">
        <v>1531</v>
      </c>
      <c r="J199" s="16" t="s">
        <v>7905</v>
      </c>
      <c r="K199" s="7" t="s">
        <v>1532</v>
      </c>
      <c r="L199" s="7" t="s">
        <v>7137</v>
      </c>
      <c r="M199" s="7" t="s">
        <v>7179</v>
      </c>
      <c r="N199" s="7">
        <v>1978</v>
      </c>
      <c r="O199" s="7" t="s">
        <v>7180</v>
      </c>
      <c r="P199" s="7" t="s">
        <v>7181</v>
      </c>
      <c r="Q199" s="7" t="s">
        <v>7141</v>
      </c>
      <c r="R199" s="2" t="s">
        <v>7143</v>
      </c>
      <c r="S199" s="7">
        <v>1995</v>
      </c>
      <c r="T199" s="7" t="s">
        <v>7143</v>
      </c>
      <c r="U199" s="7" t="s">
        <v>7143</v>
      </c>
      <c r="Y199" s="2">
        <v>750</v>
      </c>
      <c r="Z199" s="17">
        <v>1</v>
      </c>
      <c r="AA199" s="2">
        <v>750</v>
      </c>
      <c r="AB199" s="2">
        <v>700</v>
      </c>
      <c r="AC199" s="7">
        <v>400</v>
      </c>
      <c r="AD199" s="2">
        <v>500</v>
      </c>
      <c r="AE199" s="2">
        <v>100</v>
      </c>
      <c r="AF199" s="2" t="s">
        <v>7143</v>
      </c>
      <c r="AG199" s="2" t="s">
        <v>7142</v>
      </c>
      <c r="AH199" s="2" t="s">
        <v>7142</v>
      </c>
      <c r="AI199" s="2" t="s">
        <v>1533</v>
      </c>
      <c r="AJ199" s="2" t="s">
        <v>7143</v>
      </c>
      <c r="AK199" s="2" t="s">
        <v>7142</v>
      </c>
      <c r="AL199" s="2" t="s">
        <v>7143</v>
      </c>
      <c r="AM199" s="2" t="s">
        <v>7142</v>
      </c>
      <c r="AN199" s="2" t="s">
        <v>7143</v>
      </c>
      <c r="AO199" s="2" t="s">
        <v>7143</v>
      </c>
      <c r="AR199" s="7">
        <v>1.5</v>
      </c>
      <c r="AS199" s="7">
        <v>2</v>
      </c>
      <c r="AT199" s="7">
        <v>5.5</v>
      </c>
      <c r="AU199" s="7" t="s">
        <v>7144</v>
      </c>
      <c r="AV199" s="7" t="s">
        <v>7144</v>
      </c>
      <c r="AW199" s="7" t="s">
        <v>7143</v>
      </c>
      <c r="AZ199" s="2" t="s">
        <v>7337</v>
      </c>
      <c r="BB199" s="2" t="s">
        <v>7214</v>
      </c>
      <c r="BC199" s="2" t="s">
        <v>7147</v>
      </c>
      <c r="BD199" s="2" t="s">
        <v>7142</v>
      </c>
      <c r="BE199" s="2" t="s">
        <v>7142</v>
      </c>
      <c r="BF199" s="2" t="s">
        <v>7148</v>
      </c>
      <c r="BG199" s="2" t="s">
        <v>7149</v>
      </c>
      <c r="BH199" s="2" t="s">
        <v>7248</v>
      </c>
      <c r="BI199" s="2" t="s">
        <v>7151</v>
      </c>
      <c r="BL199" s="7" t="s">
        <v>7152</v>
      </c>
      <c r="BM199" s="7" t="s">
        <v>7153</v>
      </c>
      <c r="BN199" s="7" t="s">
        <v>7154</v>
      </c>
      <c r="BO199" s="7" t="s">
        <v>7155</v>
      </c>
      <c r="BQ199" s="2" t="s">
        <v>7256</v>
      </c>
      <c r="BS199" s="7" t="s">
        <v>7142</v>
      </c>
      <c r="BT199" s="2" t="s">
        <v>7157</v>
      </c>
      <c r="BV199" s="2" t="s">
        <v>7304</v>
      </c>
      <c r="BX199" s="2" t="s">
        <v>7142</v>
      </c>
      <c r="BY199" s="2" t="s">
        <v>310</v>
      </c>
      <c r="BZ199" s="2" t="s">
        <v>7159</v>
      </c>
      <c r="CE199" s="7">
        <v>5.5</v>
      </c>
      <c r="CF199" s="2">
        <v>540</v>
      </c>
      <c r="CK199" s="2">
        <v>100</v>
      </c>
      <c r="CO199" s="2">
        <v>100</v>
      </c>
      <c r="CR199" s="7" t="s">
        <v>7160</v>
      </c>
      <c r="CT199" s="2" t="s">
        <v>7143</v>
      </c>
      <c r="CU199" s="7" t="s">
        <v>7161</v>
      </c>
      <c r="CW199" s="7" t="s">
        <v>7162</v>
      </c>
      <c r="CY199" s="7" t="s">
        <v>7163</v>
      </c>
      <c r="CZ199" s="2" t="s">
        <v>7163</v>
      </c>
      <c r="DA199" s="2" t="s">
        <v>7163</v>
      </c>
      <c r="DB199" s="2" t="s">
        <v>7251</v>
      </c>
      <c r="DC199" s="2" t="s">
        <v>7250</v>
      </c>
      <c r="DD199" s="2" t="s">
        <v>7251</v>
      </c>
      <c r="DE199" s="2" t="s">
        <v>7250</v>
      </c>
      <c r="DF199" s="2" t="s">
        <v>7163</v>
      </c>
      <c r="DG199" s="2" t="s">
        <v>7227</v>
      </c>
      <c r="DH199" s="2" t="s">
        <v>7163</v>
      </c>
      <c r="DI199" s="2" t="s">
        <v>7251</v>
      </c>
      <c r="DL199" s="7" t="s">
        <v>7142</v>
      </c>
      <c r="DM199" s="7" t="s">
        <v>7142</v>
      </c>
      <c r="DN199" s="7" t="s">
        <v>7142</v>
      </c>
      <c r="DO199" s="7" t="s">
        <v>7142</v>
      </c>
      <c r="DP199" s="7" t="s">
        <v>7165</v>
      </c>
      <c r="DQ199" s="7" t="s">
        <v>7166</v>
      </c>
      <c r="DT199" s="2" t="s">
        <v>7165</v>
      </c>
      <c r="DU199" s="2" t="s">
        <v>7165</v>
      </c>
      <c r="DV199" s="2" t="s">
        <v>7165</v>
      </c>
      <c r="DW199" s="2" t="s">
        <v>7165</v>
      </c>
      <c r="DX199" s="2" t="s">
        <v>7165</v>
      </c>
      <c r="DY199" s="2" t="s">
        <v>7159</v>
      </c>
      <c r="DZ199" s="2" t="s">
        <v>7159</v>
      </c>
      <c r="EA199" s="2" t="s">
        <v>7165</v>
      </c>
      <c r="EB199" s="2" t="s">
        <v>7165</v>
      </c>
      <c r="EF199" s="7" t="s">
        <v>7221</v>
      </c>
      <c r="EG199" s="7" t="s">
        <v>1534</v>
      </c>
      <c r="EJ199" s="7" t="s">
        <v>7144</v>
      </c>
      <c r="EK199" s="7" t="s">
        <v>7142</v>
      </c>
      <c r="EL199" s="7" t="s">
        <v>7143</v>
      </c>
      <c r="EN199" s="7" t="s">
        <v>7170</v>
      </c>
      <c r="EP199" s="7" t="s">
        <v>7186</v>
      </c>
      <c r="ER199" s="2" t="s">
        <v>7142</v>
      </c>
      <c r="ET199" s="7" t="s">
        <v>7143</v>
      </c>
      <c r="EV199" s="7" t="s">
        <v>7142</v>
      </c>
      <c r="EW199" s="7" t="s">
        <v>7204</v>
      </c>
      <c r="EX199" s="7" t="s">
        <v>7142</v>
      </c>
      <c r="EY199" s="7" t="s">
        <v>7204</v>
      </c>
      <c r="FC199" s="7" t="s">
        <v>7172</v>
      </c>
      <c r="FD199" s="7" t="s">
        <v>7143</v>
      </c>
      <c r="FH199" s="2" t="s">
        <v>7173</v>
      </c>
      <c r="FJ199" s="2" t="s">
        <v>7142</v>
      </c>
      <c r="FK199" s="2" t="s">
        <v>7165</v>
      </c>
      <c r="FL199" s="2" t="s">
        <v>7260</v>
      </c>
      <c r="FN199" s="2" t="s">
        <v>7253</v>
      </c>
      <c r="FT199" s="2" t="s">
        <v>7176</v>
      </c>
      <c r="FU199" s="2" t="s">
        <v>7189</v>
      </c>
      <c r="FV199" s="2" t="s">
        <v>7189</v>
      </c>
      <c r="FW199" s="2" t="s">
        <v>7189</v>
      </c>
      <c r="FZ199" s="19" t="s">
        <v>7906</v>
      </c>
    </row>
    <row r="200" spans="1:182">
      <c r="A200" s="7" t="s">
        <v>1535</v>
      </c>
      <c r="D200" s="7" t="s">
        <v>7907</v>
      </c>
      <c r="E200" s="7" t="s">
        <v>1536</v>
      </c>
      <c r="F200" s="7" t="s">
        <v>7319</v>
      </c>
      <c r="G200" s="7" t="s">
        <v>7717</v>
      </c>
      <c r="H200" s="7" t="s">
        <v>1263</v>
      </c>
      <c r="I200" s="7" t="s">
        <v>1537</v>
      </c>
      <c r="J200" s="16" t="s">
        <v>7908</v>
      </c>
      <c r="K200" s="7" t="s">
        <v>1537</v>
      </c>
      <c r="L200" s="7" t="s">
        <v>7137</v>
      </c>
      <c r="M200" s="7" t="s">
        <v>7138</v>
      </c>
      <c r="N200" s="7">
        <v>1976</v>
      </c>
      <c r="O200" s="7" t="s">
        <v>7180</v>
      </c>
      <c r="P200" s="7" t="s">
        <v>7140</v>
      </c>
      <c r="Q200" s="7" t="s">
        <v>7182</v>
      </c>
      <c r="R200" s="7" t="s">
        <v>7143</v>
      </c>
      <c r="S200" s="7">
        <v>32</v>
      </c>
      <c r="T200" s="7" t="s">
        <v>7143</v>
      </c>
      <c r="U200" s="7" t="s">
        <v>7143</v>
      </c>
      <c r="Y200" s="2">
        <v>420</v>
      </c>
      <c r="Z200" s="17">
        <v>0.76190000000000002</v>
      </c>
      <c r="AA200" s="2">
        <v>320</v>
      </c>
      <c r="AB200" s="2">
        <v>320</v>
      </c>
      <c r="AC200" s="7">
        <v>300</v>
      </c>
      <c r="AD200" s="7">
        <v>400</v>
      </c>
      <c r="AE200" s="7">
        <v>100</v>
      </c>
      <c r="AF200" s="7" t="s">
        <v>7143</v>
      </c>
      <c r="AG200" s="7" t="s">
        <v>7142</v>
      </c>
      <c r="AH200" s="7" t="s">
        <v>7143</v>
      </c>
      <c r="AJ200" s="7" t="s">
        <v>7143</v>
      </c>
      <c r="AK200" s="7" t="s">
        <v>7143</v>
      </c>
      <c r="AL200" s="7" t="s">
        <v>7143</v>
      </c>
      <c r="AM200" s="7" t="s">
        <v>7142</v>
      </c>
      <c r="AN200" s="7" t="s">
        <v>7143</v>
      </c>
      <c r="AO200" s="7" t="s">
        <v>7143</v>
      </c>
      <c r="AR200" s="7">
        <v>1.2</v>
      </c>
      <c r="AS200" s="7">
        <v>1</v>
      </c>
      <c r="AT200" s="7">
        <v>4</v>
      </c>
      <c r="AU200" s="7" t="s">
        <v>7193</v>
      </c>
      <c r="AV200" s="7" t="s">
        <v>7217</v>
      </c>
      <c r="AW200" s="7" t="s">
        <v>7143</v>
      </c>
      <c r="AZ200" s="7" t="s">
        <v>7145</v>
      </c>
      <c r="BB200" s="7" t="s">
        <v>7214</v>
      </c>
      <c r="BC200" s="7" t="s">
        <v>7247</v>
      </c>
      <c r="BD200" s="7" t="s">
        <v>7142</v>
      </c>
      <c r="BE200" s="7" t="s">
        <v>7142</v>
      </c>
      <c r="BF200" s="7" t="s">
        <v>7148</v>
      </c>
      <c r="BG200" s="7" t="s">
        <v>7149</v>
      </c>
      <c r="BH200" s="7" t="s">
        <v>7248</v>
      </c>
      <c r="BI200" s="2" t="s">
        <v>7269</v>
      </c>
      <c r="BL200" s="2" t="s">
        <v>7152</v>
      </c>
      <c r="BM200" s="2" t="s">
        <v>7153</v>
      </c>
      <c r="BN200" s="2" t="s">
        <v>7154</v>
      </c>
      <c r="BO200" s="2" t="s">
        <v>7274</v>
      </c>
      <c r="BP200" s="2" t="s">
        <v>7275</v>
      </c>
      <c r="BS200" s="2" t="s">
        <v>7142</v>
      </c>
      <c r="BT200" s="2" t="s">
        <v>7238</v>
      </c>
      <c r="BU200" s="2" t="s">
        <v>1538</v>
      </c>
      <c r="BV200" s="2" t="s">
        <v>7387</v>
      </c>
      <c r="BX200" s="2" t="s">
        <v>7143</v>
      </c>
      <c r="BZ200" s="2" t="s">
        <v>7173</v>
      </c>
      <c r="CE200" s="7">
        <v>4</v>
      </c>
      <c r="CF200" s="2">
        <v>400</v>
      </c>
      <c r="CK200" s="2">
        <v>100</v>
      </c>
      <c r="CP200" s="2">
        <v>100</v>
      </c>
      <c r="CR200" s="2" t="s">
        <v>7160</v>
      </c>
      <c r="CT200" s="2" t="s">
        <v>7143</v>
      </c>
      <c r="CU200" s="2" t="s">
        <v>7161</v>
      </c>
      <c r="CW200" s="2" t="s">
        <v>7162</v>
      </c>
      <c r="CY200" s="2" t="s">
        <v>7163</v>
      </c>
      <c r="CZ200" s="2" t="s">
        <v>7163</v>
      </c>
      <c r="DA200" s="2" t="s">
        <v>7250</v>
      </c>
      <c r="DB200" s="2" t="s">
        <v>7250</v>
      </c>
      <c r="DC200" s="2" t="s">
        <v>7250</v>
      </c>
      <c r="DD200" s="2" t="s">
        <v>7321</v>
      </c>
      <c r="DE200" s="2" t="s">
        <v>7250</v>
      </c>
      <c r="DF200" s="2" t="s">
        <v>7250</v>
      </c>
      <c r="DG200" s="2" t="s">
        <v>7250</v>
      </c>
      <c r="DH200" s="2" t="s">
        <v>7250</v>
      </c>
      <c r="DI200" s="2" t="s">
        <v>7250</v>
      </c>
      <c r="DL200" s="2" t="s">
        <v>7143</v>
      </c>
      <c r="DM200" s="2" t="s">
        <v>7143</v>
      </c>
      <c r="DP200" s="2" t="s">
        <v>7173</v>
      </c>
      <c r="DT200" s="2" t="s">
        <v>7159</v>
      </c>
      <c r="DU200" s="2" t="s">
        <v>7159</v>
      </c>
      <c r="DV200" s="2" t="s">
        <v>7159</v>
      </c>
      <c r="DW200" s="2" t="s">
        <v>7159</v>
      </c>
      <c r="DX200" s="2" t="s">
        <v>7159</v>
      </c>
      <c r="DY200" s="2" t="s">
        <v>7159</v>
      </c>
      <c r="DZ200" s="2" t="s">
        <v>7159</v>
      </c>
      <c r="EA200" s="2" t="s">
        <v>7159</v>
      </c>
      <c r="EB200" s="2" t="s">
        <v>7159</v>
      </c>
      <c r="EC200" s="2" t="s">
        <v>7159</v>
      </c>
      <c r="EF200" s="2" t="s">
        <v>7252</v>
      </c>
      <c r="EG200" s="2" t="s">
        <v>431</v>
      </c>
      <c r="EJ200" s="2" t="s">
        <v>7217</v>
      </c>
      <c r="EK200" s="2" t="s">
        <v>7143</v>
      </c>
      <c r="EL200" s="2" t="s">
        <v>7143</v>
      </c>
      <c r="EN200" s="2" t="s">
        <v>7210</v>
      </c>
      <c r="EP200" s="2" t="s">
        <v>7186</v>
      </c>
      <c r="ER200" s="2" t="s">
        <v>7143</v>
      </c>
      <c r="ET200" s="2" t="s">
        <v>7143</v>
      </c>
      <c r="EV200" s="2" t="s">
        <v>7143</v>
      </c>
      <c r="EX200" s="2" t="s">
        <v>7143</v>
      </c>
      <c r="EZ200" s="2" t="s">
        <v>7143</v>
      </c>
      <c r="FC200" s="2" t="s">
        <v>7172</v>
      </c>
      <c r="FD200" s="2" t="s">
        <v>7143</v>
      </c>
      <c r="FH200" s="2" t="s">
        <v>7173</v>
      </c>
      <c r="FJ200" s="2" t="s">
        <v>7143</v>
      </c>
      <c r="FK200" s="2" t="s">
        <v>7173</v>
      </c>
      <c r="FR200" s="2" t="s">
        <v>433</v>
      </c>
      <c r="FT200" s="2" t="s">
        <v>7189</v>
      </c>
      <c r="FU200" s="2" t="s">
        <v>7189</v>
      </c>
      <c r="FV200" s="2" t="s">
        <v>7189</v>
      </c>
      <c r="FW200" s="2" t="s">
        <v>7189</v>
      </c>
      <c r="FZ200" s="19" t="s">
        <v>7909</v>
      </c>
    </row>
    <row r="201" spans="1:182">
      <c r="A201" s="7" t="s">
        <v>1539</v>
      </c>
      <c r="D201" s="7" t="s">
        <v>7910</v>
      </c>
      <c r="E201" s="7" t="s">
        <v>177</v>
      </c>
      <c r="F201" s="7" t="s">
        <v>7134</v>
      </c>
      <c r="G201" s="7" t="s">
        <v>7717</v>
      </c>
      <c r="H201" s="7" t="s">
        <v>1207</v>
      </c>
      <c r="I201" s="7" t="s">
        <v>1540</v>
      </c>
      <c r="K201" s="7" t="s">
        <v>1540</v>
      </c>
      <c r="L201" s="2" t="s">
        <v>7224</v>
      </c>
      <c r="M201" s="7" t="s">
        <v>7138</v>
      </c>
      <c r="N201" s="7">
        <v>1997</v>
      </c>
      <c r="O201" s="7" t="s">
        <v>7139</v>
      </c>
      <c r="P201" s="2" t="s">
        <v>7140</v>
      </c>
      <c r="Q201" s="2" t="s">
        <v>7225</v>
      </c>
      <c r="R201" s="2" t="s">
        <v>7143</v>
      </c>
      <c r="S201" s="2">
        <v>6</v>
      </c>
      <c r="T201" s="2" t="s">
        <v>7143</v>
      </c>
      <c r="U201" s="2" t="s">
        <v>7143</v>
      </c>
      <c r="Y201" s="2">
        <v>34</v>
      </c>
      <c r="Z201" s="17">
        <v>0.91180000000000005</v>
      </c>
      <c r="AA201" s="2">
        <v>31</v>
      </c>
      <c r="AB201" s="2">
        <v>31</v>
      </c>
      <c r="AC201" s="7">
        <v>31</v>
      </c>
      <c r="AD201" s="2">
        <v>35</v>
      </c>
      <c r="AE201" s="2">
        <v>4</v>
      </c>
      <c r="AF201" s="2" t="s">
        <v>7143</v>
      </c>
      <c r="AG201" s="2" t="s">
        <v>7143</v>
      </c>
      <c r="AH201" s="2" t="s">
        <v>7143</v>
      </c>
      <c r="AJ201" s="2" t="s">
        <v>7143</v>
      </c>
      <c r="AK201" s="2" t="s">
        <v>7143</v>
      </c>
      <c r="AL201" s="2" t="s">
        <v>7143</v>
      </c>
      <c r="AM201" s="2" t="s">
        <v>7142</v>
      </c>
      <c r="AN201" s="2" t="s">
        <v>7143</v>
      </c>
      <c r="AO201" s="2" t="s">
        <v>7143</v>
      </c>
      <c r="AR201" s="7">
        <v>0.5</v>
      </c>
      <c r="AS201" s="7">
        <v>2</v>
      </c>
      <c r="AT201" s="7">
        <v>0.36</v>
      </c>
      <c r="AU201" s="2" t="s">
        <v>7193</v>
      </c>
      <c r="AV201" s="2" t="s">
        <v>7193</v>
      </c>
      <c r="AW201" s="2" t="s">
        <v>7143</v>
      </c>
      <c r="BC201" s="2" t="s">
        <v>7208</v>
      </c>
      <c r="BD201" s="2" t="s">
        <v>7143</v>
      </c>
      <c r="BE201" s="2" t="s">
        <v>7143</v>
      </c>
      <c r="BL201" s="2" t="s">
        <v>7195</v>
      </c>
      <c r="BO201" s="2" t="s">
        <v>7155</v>
      </c>
      <c r="BQ201" s="2" t="s">
        <v>7156</v>
      </c>
      <c r="BS201" s="2" t="s">
        <v>7143</v>
      </c>
      <c r="BV201" s="2" t="s">
        <v>7387</v>
      </c>
      <c r="BX201" s="2" t="s">
        <v>7143</v>
      </c>
      <c r="BZ201" s="2" t="s">
        <v>7159</v>
      </c>
      <c r="CE201" s="7">
        <v>0.36</v>
      </c>
      <c r="CF201" s="2">
        <v>35</v>
      </c>
      <c r="CK201" s="2">
        <v>100</v>
      </c>
      <c r="CO201" s="2">
        <v>100</v>
      </c>
      <c r="CR201" s="2" t="s">
        <v>7160</v>
      </c>
      <c r="CT201" s="2" t="s">
        <v>7143</v>
      </c>
      <c r="CU201" s="2" t="s">
        <v>7161</v>
      </c>
      <c r="CW201" s="2" t="s">
        <v>7162</v>
      </c>
      <c r="CY201" s="2" t="s">
        <v>7164</v>
      </c>
      <c r="CZ201" s="2" t="s">
        <v>7164</v>
      </c>
      <c r="DA201" s="2" t="s">
        <v>7164</v>
      </c>
      <c r="DB201" s="2" t="s">
        <v>7164</v>
      </c>
      <c r="DC201" s="2" t="s">
        <v>7164</v>
      </c>
      <c r="DD201" s="2" t="s">
        <v>7164</v>
      </c>
      <c r="DE201" s="2" t="s">
        <v>7164</v>
      </c>
      <c r="DF201" s="2" t="s">
        <v>7164</v>
      </c>
      <c r="DG201" s="2" t="s">
        <v>7164</v>
      </c>
      <c r="DH201" s="2" t="s">
        <v>7164</v>
      </c>
      <c r="DI201" s="2" t="s">
        <v>7164</v>
      </c>
      <c r="DL201" s="2" t="s">
        <v>7143</v>
      </c>
      <c r="DM201" s="2" t="s">
        <v>7143</v>
      </c>
      <c r="DP201" s="2" t="s">
        <v>7173</v>
      </c>
      <c r="DT201" s="2" t="s">
        <v>7159</v>
      </c>
      <c r="DU201" s="2" t="s">
        <v>7159</v>
      </c>
      <c r="DV201" s="2" t="s">
        <v>7159</v>
      </c>
      <c r="DW201" s="2" t="s">
        <v>7159</v>
      </c>
      <c r="DX201" s="2" t="s">
        <v>7159</v>
      </c>
      <c r="DY201" s="2" t="s">
        <v>7159</v>
      </c>
      <c r="DZ201" s="2" t="s">
        <v>7159</v>
      </c>
      <c r="EA201" s="2" t="s">
        <v>7159</v>
      </c>
      <c r="EB201" s="2" t="s">
        <v>7159</v>
      </c>
      <c r="EJ201" s="2" t="s">
        <v>7217</v>
      </c>
      <c r="EK201" s="2" t="s">
        <v>7143</v>
      </c>
      <c r="EL201" s="2" t="s">
        <v>7143</v>
      </c>
      <c r="EN201" s="2" t="s">
        <v>7240</v>
      </c>
      <c r="EO201" s="2" t="s">
        <v>203</v>
      </c>
      <c r="EP201" s="2" t="s">
        <v>7241</v>
      </c>
      <c r="EQ201" s="2" t="s">
        <v>1541</v>
      </c>
      <c r="ER201" s="2" t="s">
        <v>7143</v>
      </c>
      <c r="ET201" s="2" t="s">
        <v>7143</v>
      </c>
      <c r="EV201" s="2" t="s">
        <v>7143</v>
      </c>
      <c r="EX201" s="2" t="s">
        <v>7143</v>
      </c>
      <c r="FC201" s="2" t="s">
        <v>7218</v>
      </c>
      <c r="FD201" s="2" t="s">
        <v>7143</v>
      </c>
      <c r="FH201" s="2" t="s">
        <v>7173</v>
      </c>
      <c r="FJ201" s="2" t="s">
        <v>7143</v>
      </c>
      <c r="FK201" s="2" t="s">
        <v>7173</v>
      </c>
      <c r="FT201" s="2" t="s">
        <v>7189</v>
      </c>
      <c r="FU201" s="2" t="s">
        <v>7189</v>
      </c>
      <c r="FV201" s="2" t="s">
        <v>7189</v>
      </c>
      <c r="FW201" s="2" t="s">
        <v>7189</v>
      </c>
      <c r="FZ201" s="19" t="s">
        <v>7911</v>
      </c>
    </row>
    <row r="202" spans="1:182">
      <c r="A202" s="7" t="s">
        <v>1542</v>
      </c>
      <c r="D202" s="7" t="s">
        <v>7912</v>
      </c>
      <c r="E202" s="7" t="s">
        <v>177</v>
      </c>
      <c r="F202" s="7" t="s">
        <v>7245</v>
      </c>
      <c r="G202" s="7" t="s">
        <v>7717</v>
      </c>
      <c r="H202" s="7" t="s">
        <v>1543</v>
      </c>
      <c r="I202" s="7" t="s">
        <v>1544</v>
      </c>
      <c r="J202" s="16" t="s">
        <v>7913</v>
      </c>
      <c r="K202" s="7" t="s">
        <v>1544</v>
      </c>
      <c r="L202" s="7" t="s">
        <v>7137</v>
      </c>
      <c r="M202" s="7" t="s">
        <v>7179</v>
      </c>
      <c r="N202" s="7">
        <v>1965</v>
      </c>
      <c r="O202" s="7" t="s">
        <v>7180</v>
      </c>
      <c r="P202" s="7" t="s">
        <v>7140</v>
      </c>
      <c r="Q202" s="7" t="s">
        <v>7141</v>
      </c>
      <c r="R202" s="7" t="s">
        <v>7143</v>
      </c>
      <c r="S202" s="7">
        <v>2005</v>
      </c>
      <c r="T202" s="7" t="s">
        <v>7143</v>
      </c>
      <c r="U202" s="7" t="s">
        <v>7143</v>
      </c>
      <c r="Y202" s="2">
        <v>630</v>
      </c>
      <c r="Z202" s="17">
        <v>1</v>
      </c>
      <c r="AA202" s="2">
        <v>630</v>
      </c>
      <c r="AB202" s="2">
        <v>590</v>
      </c>
      <c r="AC202" s="7">
        <v>410</v>
      </c>
      <c r="AD202" s="2">
        <v>450</v>
      </c>
      <c r="AE202" s="2">
        <v>40</v>
      </c>
      <c r="AF202" s="2" t="s">
        <v>7143</v>
      </c>
      <c r="AG202" s="2" t="s">
        <v>7142</v>
      </c>
      <c r="AH202" s="2" t="s">
        <v>7142</v>
      </c>
      <c r="AI202" s="2" t="s">
        <v>1545</v>
      </c>
      <c r="AJ202" s="2" t="s">
        <v>7143</v>
      </c>
      <c r="AK202" s="2" t="s">
        <v>7143</v>
      </c>
      <c r="AL202" s="2" t="s">
        <v>7143</v>
      </c>
      <c r="AM202" s="2" t="s">
        <v>7143</v>
      </c>
      <c r="AN202" s="2" t="s">
        <v>7143</v>
      </c>
      <c r="AO202" s="2" t="s">
        <v>7143</v>
      </c>
      <c r="AR202" s="7">
        <v>1.1000000000000001</v>
      </c>
      <c r="AS202" s="7">
        <v>1</v>
      </c>
      <c r="AT202" s="7">
        <v>4.5</v>
      </c>
      <c r="AU202" s="7" t="s">
        <v>7144</v>
      </c>
      <c r="AV202" s="7" t="s">
        <v>7144</v>
      </c>
      <c r="AW202" s="7" t="s">
        <v>7143</v>
      </c>
      <c r="AZ202" s="2" t="s">
        <v>7337</v>
      </c>
      <c r="BB202" s="2" t="s">
        <v>7214</v>
      </c>
      <c r="BC202" s="2" t="s">
        <v>7147</v>
      </c>
      <c r="BD202" s="2" t="s">
        <v>7142</v>
      </c>
      <c r="BE202" s="2" t="s">
        <v>7142</v>
      </c>
      <c r="BF202" s="2" t="s">
        <v>7148</v>
      </c>
      <c r="BG202" s="2" t="s">
        <v>7149</v>
      </c>
      <c r="BH202" s="2" t="s">
        <v>7248</v>
      </c>
      <c r="BI202" s="2" t="s">
        <v>7151</v>
      </c>
      <c r="BL202" s="7" t="s">
        <v>7152</v>
      </c>
      <c r="BM202" s="7" t="s">
        <v>7153</v>
      </c>
      <c r="BN202" s="7" t="s">
        <v>7154</v>
      </c>
      <c r="BO202" s="7" t="s">
        <v>7155</v>
      </c>
      <c r="BQ202" s="2" t="s">
        <v>7183</v>
      </c>
      <c r="BS202" s="7" t="s">
        <v>7142</v>
      </c>
      <c r="BT202" s="2" t="s">
        <v>7215</v>
      </c>
      <c r="BV202" s="2" t="s">
        <v>7304</v>
      </c>
      <c r="BX202" s="7" t="s">
        <v>7142</v>
      </c>
      <c r="BY202" s="7" t="s">
        <v>1546</v>
      </c>
      <c r="BZ202" s="2" t="s">
        <v>7159</v>
      </c>
      <c r="CE202" s="7">
        <v>4.5</v>
      </c>
      <c r="CF202" s="2">
        <v>450</v>
      </c>
      <c r="CK202" s="2">
        <v>100</v>
      </c>
      <c r="CO202" s="2">
        <v>100</v>
      </c>
      <c r="CR202" s="7" t="s">
        <v>7160</v>
      </c>
      <c r="CT202" s="7" t="s">
        <v>7143</v>
      </c>
      <c r="CU202" s="7" t="s">
        <v>7161</v>
      </c>
      <c r="CW202" s="7" t="s">
        <v>7162</v>
      </c>
      <c r="CY202" s="7" t="s">
        <v>7227</v>
      </c>
      <c r="CZ202" s="2" t="s">
        <v>7163</v>
      </c>
      <c r="DA202" s="2" t="s">
        <v>7164</v>
      </c>
      <c r="DC202" s="2" t="s">
        <v>7164</v>
      </c>
      <c r="DD202" s="2" t="s">
        <v>7251</v>
      </c>
      <c r="DE202" s="2" t="s">
        <v>7164</v>
      </c>
      <c r="DF202" s="2" t="s">
        <v>7163</v>
      </c>
      <c r="DG202" s="2" t="s">
        <v>7163</v>
      </c>
      <c r="DH202" s="2" t="s">
        <v>7164</v>
      </c>
      <c r="DI202" s="2" t="s">
        <v>7164</v>
      </c>
      <c r="DL202" s="7" t="s">
        <v>7142</v>
      </c>
      <c r="DM202" s="7" t="s">
        <v>7142</v>
      </c>
      <c r="DN202" s="7" t="s">
        <v>7142</v>
      </c>
      <c r="DO202" s="7" t="s">
        <v>7142</v>
      </c>
      <c r="DP202" s="7" t="s">
        <v>7165</v>
      </c>
      <c r="DQ202" s="7" t="s">
        <v>7166</v>
      </c>
      <c r="DS202" s="7" t="s">
        <v>7165</v>
      </c>
      <c r="DT202" s="7" t="s">
        <v>7165</v>
      </c>
      <c r="DU202" s="7" t="s">
        <v>7165</v>
      </c>
      <c r="DV202" s="7" t="s">
        <v>7165</v>
      </c>
      <c r="DW202" s="7" t="s">
        <v>7165</v>
      </c>
      <c r="DX202" s="7" t="s">
        <v>7165</v>
      </c>
      <c r="DY202" s="7" t="s">
        <v>7159</v>
      </c>
      <c r="DZ202" s="7" t="s">
        <v>7159</v>
      </c>
      <c r="EA202" s="7" t="s">
        <v>7165</v>
      </c>
      <c r="EB202" s="7" t="s">
        <v>7165</v>
      </c>
      <c r="EC202" s="7"/>
      <c r="ED202" s="7"/>
      <c r="EE202" s="7"/>
      <c r="EF202" s="7" t="s">
        <v>7221</v>
      </c>
      <c r="EJ202" s="7" t="s">
        <v>7193</v>
      </c>
      <c r="EK202" s="7" t="s">
        <v>7142</v>
      </c>
      <c r="EL202" s="7" t="s">
        <v>7143</v>
      </c>
      <c r="EN202" s="7" t="s">
        <v>7170</v>
      </c>
      <c r="EP202" s="7" t="s">
        <v>7186</v>
      </c>
      <c r="ET202" s="7" t="s">
        <v>7143</v>
      </c>
      <c r="EV202" s="2" t="s">
        <v>7142</v>
      </c>
      <c r="EW202" s="2" t="s">
        <v>7204</v>
      </c>
      <c r="EX202" s="2" t="s">
        <v>7142</v>
      </c>
      <c r="EY202" s="2" t="s">
        <v>7204</v>
      </c>
      <c r="EZ202" s="7" t="s">
        <v>7143</v>
      </c>
      <c r="FC202" s="2" t="s">
        <v>7172</v>
      </c>
      <c r="FD202" s="7" t="s">
        <v>7143</v>
      </c>
      <c r="FH202" s="7" t="s">
        <v>7173</v>
      </c>
      <c r="FJ202" s="7" t="s">
        <v>7143</v>
      </c>
      <c r="FK202" s="7" t="s">
        <v>7165</v>
      </c>
      <c r="FL202" s="7" t="s">
        <v>7260</v>
      </c>
      <c r="FN202" s="2" t="s">
        <v>7253</v>
      </c>
      <c r="FT202" s="2" t="s">
        <v>7176</v>
      </c>
      <c r="FU202" s="2" t="s">
        <v>7189</v>
      </c>
      <c r="FV202" s="2" t="s">
        <v>7189</v>
      </c>
      <c r="FW202" s="2" t="s">
        <v>7189</v>
      </c>
      <c r="FZ202" s="19" t="s">
        <v>7914</v>
      </c>
    </row>
    <row r="203" spans="1:182">
      <c r="A203" s="7" t="s">
        <v>1547</v>
      </c>
      <c r="D203" s="7" t="s">
        <v>7915</v>
      </c>
      <c r="E203" s="7" t="s">
        <v>1548</v>
      </c>
      <c r="F203" s="7" t="s">
        <v>7389</v>
      </c>
      <c r="G203" s="7" t="s">
        <v>7717</v>
      </c>
      <c r="H203" s="2" t="s">
        <v>1219</v>
      </c>
      <c r="I203" s="7" t="s">
        <v>1549</v>
      </c>
      <c r="J203" s="16" t="s">
        <v>7916</v>
      </c>
      <c r="K203" s="7" t="s">
        <v>1549</v>
      </c>
      <c r="L203" s="2" t="s">
        <v>7137</v>
      </c>
      <c r="M203" s="7" t="s">
        <v>7138</v>
      </c>
      <c r="N203" s="7">
        <v>1978</v>
      </c>
      <c r="O203" s="7" t="s">
        <v>7139</v>
      </c>
      <c r="P203" s="7" t="s">
        <v>7140</v>
      </c>
      <c r="Q203" s="2" t="s">
        <v>7395</v>
      </c>
      <c r="R203" s="2" t="s">
        <v>7143</v>
      </c>
      <c r="S203" s="2">
        <v>8</v>
      </c>
      <c r="T203" s="2" t="s">
        <v>7143</v>
      </c>
      <c r="U203" s="2" t="s">
        <v>7143</v>
      </c>
      <c r="Y203" s="2">
        <v>90</v>
      </c>
      <c r="Z203" s="17">
        <v>1</v>
      </c>
      <c r="AA203" s="2">
        <v>90</v>
      </c>
      <c r="AB203" s="2">
        <v>90</v>
      </c>
      <c r="AC203" s="7">
        <v>90</v>
      </c>
      <c r="AD203" s="2">
        <v>150</v>
      </c>
      <c r="AE203" s="2">
        <v>60</v>
      </c>
      <c r="AF203" s="2" t="s">
        <v>7143</v>
      </c>
      <c r="AG203" s="2" t="s">
        <v>7143</v>
      </c>
      <c r="AH203" s="2" t="s">
        <v>7143</v>
      </c>
      <c r="AJ203" s="2" t="s">
        <v>7143</v>
      </c>
      <c r="AK203" s="2" t="s">
        <v>7143</v>
      </c>
      <c r="AL203" s="2" t="s">
        <v>7143</v>
      </c>
      <c r="AM203" s="2" t="s">
        <v>7143</v>
      </c>
      <c r="AN203" s="2" t="s">
        <v>7143</v>
      </c>
      <c r="AO203" s="2" t="s">
        <v>7143</v>
      </c>
      <c r="AR203" s="7">
        <v>0.7</v>
      </c>
      <c r="AS203" s="7">
        <v>2</v>
      </c>
      <c r="AT203" s="7">
        <v>1.2</v>
      </c>
      <c r="AU203" s="2" t="s">
        <v>7217</v>
      </c>
      <c r="AV203" s="2" t="s">
        <v>7144</v>
      </c>
      <c r="AW203" s="2" t="s">
        <v>7143</v>
      </c>
      <c r="AZ203" s="2" t="s">
        <v>7145</v>
      </c>
      <c r="BB203" s="2" t="s">
        <v>7214</v>
      </c>
      <c r="BC203" s="2" t="s">
        <v>7247</v>
      </c>
      <c r="BD203" s="2" t="s">
        <v>7143</v>
      </c>
      <c r="BE203" s="2" t="s">
        <v>7142</v>
      </c>
      <c r="BF203" s="2" t="s">
        <v>7148</v>
      </c>
      <c r="BG203" s="2" t="s">
        <v>7149</v>
      </c>
      <c r="BH203" s="2" t="s">
        <v>7150</v>
      </c>
      <c r="BI203" s="2" t="s">
        <v>7151</v>
      </c>
      <c r="BL203" s="2" t="s">
        <v>7195</v>
      </c>
      <c r="BO203" s="2" t="s">
        <v>7155</v>
      </c>
      <c r="BQ203" s="2" t="s">
        <v>7183</v>
      </c>
      <c r="BS203" s="2" t="s">
        <v>7142</v>
      </c>
      <c r="BT203" s="2" t="s">
        <v>7362</v>
      </c>
      <c r="BV203" s="2" t="s">
        <v>7197</v>
      </c>
      <c r="BX203" s="2" t="s">
        <v>7143</v>
      </c>
      <c r="BZ203" s="2" t="s">
        <v>7173</v>
      </c>
      <c r="CE203" s="7">
        <v>1.2</v>
      </c>
      <c r="CF203" s="2">
        <v>150</v>
      </c>
      <c r="CK203" s="2">
        <v>100</v>
      </c>
      <c r="CO203" s="2">
        <v>100</v>
      </c>
      <c r="CR203" s="2" t="s">
        <v>7160</v>
      </c>
      <c r="CT203" s="2" t="s">
        <v>7143</v>
      </c>
      <c r="CU203" s="2" t="s">
        <v>7454</v>
      </c>
      <c r="CW203" s="2" t="s">
        <v>7162</v>
      </c>
      <c r="CY203" s="2" t="s">
        <v>7163</v>
      </c>
      <c r="CZ203" s="2" t="s">
        <v>7250</v>
      </c>
      <c r="DA203" s="2" t="s">
        <v>7250</v>
      </c>
      <c r="DB203" s="2" t="s">
        <v>7321</v>
      </c>
      <c r="DC203" s="2" t="s">
        <v>7321</v>
      </c>
      <c r="DD203" s="2" t="s">
        <v>7250</v>
      </c>
      <c r="DE203" s="2" t="s">
        <v>7250</v>
      </c>
      <c r="DF203" s="2" t="s">
        <v>7250</v>
      </c>
      <c r="DG203" s="2" t="s">
        <v>7250</v>
      </c>
      <c r="DH203" s="2" t="s">
        <v>7321</v>
      </c>
      <c r="DI203" s="2" t="s">
        <v>7321</v>
      </c>
      <c r="DL203" s="2" t="s">
        <v>7142</v>
      </c>
      <c r="DM203" s="2" t="s">
        <v>7142</v>
      </c>
      <c r="DN203" s="2" t="s">
        <v>7142</v>
      </c>
      <c r="DO203" s="2" t="s">
        <v>7142</v>
      </c>
      <c r="DP203" s="2" t="s">
        <v>7159</v>
      </c>
      <c r="DT203" s="2" t="s">
        <v>7165</v>
      </c>
      <c r="DU203" s="2" t="s">
        <v>7165</v>
      </c>
      <c r="DV203" s="2" t="s">
        <v>7165</v>
      </c>
      <c r="DW203" s="2" t="s">
        <v>7165</v>
      </c>
      <c r="DX203" s="2" t="s">
        <v>7165</v>
      </c>
      <c r="DY203" s="2" t="s">
        <v>7165</v>
      </c>
      <c r="DZ203" s="2" t="s">
        <v>7165</v>
      </c>
      <c r="EA203" s="2" t="s">
        <v>7165</v>
      </c>
      <c r="EB203" s="2" t="s">
        <v>7165</v>
      </c>
      <c r="EC203" s="2" t="s">
        <v>7173</v>
      </c>
      <c r="EF203" s="2" t="s">
        <v>7221</v>
      </c>
      <c r="EG203" s="2" t="s">
        <v>1550</v>
      </c>
      <c r="EJ203" s="2" t="s">
        <v>7217</v>
      </c>
      <c r="EK203" s="2" t="s">
        <v>7143</v>
      </c>
      <c r="EL203" s="2" t="s">
        <v>7143</v>
      </c>
      <c r="EN203" s="2" t="s">
        <v>7210</v>
      </c>
      <c r="EP203" s="2" t="s">
        <v>7186</v>
      </c>
      <c r="ER203" s="2" t="s">
        <v>7143</v>
      </c>
      <c r="ET203" s="2" t="s">
        <v>7143</v>
      </c>
      <c r="EV203" s="2" t="s">
        <v>7143</v>
      </c>
      <c r="EX203" s="2" t="s">
        <v>7143</v>
      </c>
      <c r="EZ203" s="2" t="s">
        <v>7143</v>
      </c>
      <c r="FC203" s="2" t="s">
        <v>7218</v>
      </c>
      <c r="FD203" s="2" t="s">
        <v>7143</v>
      </c>
      <c r="FH203" s="2" t="s">
        <v>7173</v>
      </c>
      <c r="FJ203" s="2" t="s">
        <v>7143</v>
      </c>
      <c r="FK203" s="2" t="s">
        <v>7173</v>
      </c>
      <c r="FN203" s="2" t="s">
        <v>7458</v>
      </c>
      <c r="FR203" s="2" t="s">
        <v>1551</v>
      </c>
      <c r="FT203" s="2" t="s">
        <v>7345</v>
      </c>
      <c r="FU203" s="2" t="s">
        <v>7189</v>
      </c>
      <c r="FV203" s="2" t="s">
        <v>7176</v>
      </c>
      <c r="FW203" s="2" t="s">
        <v>7189</v>
      </c>
      <c r="FZ203" s="19" t="s">
        <v>7917</v>
      </c>
    </row>
    <row r="204" spans="1:182">
      <c r="A204" s="7" t="s">
        <v>1552</v>
      </c>
      <c r="D204" s="7" t="s">
        <v>7918</v>
      </c>
      <c r="E204" s="7" t="s">
        <v>1536</v>
      </c>
      <c r="F204" s="7" t="s">
        <v>7319</v>
      </c>
      <c r="G204" s="7" t="s">
        <v>7717</v>
      </c>
      <c r="H204" s="7" t="s">
        <v>1263</v>
      </c>
      <c r="I204" s="7" t="s">
        <v>1553</v>
      </c>
      <c r="J204" s="16" t="s">
        <v>7919</v>
      </c>
      <c r="K204" s="7" t="s">
        <v>1553</v>
      </c>
      <c r="L204" s="7" t="s">
        <v>7137</v>
      </c>
      <c r="M204" s="7" t="s">
        <v>7138</v>
      </c>
      <c r="N204" s="7">
        <v>1966</v>
      </c>
      <c r="O204" s="7" t="s">
        <v>7180</v>
      </c>
      <c r="P204" s="7" t="s">
        <v>7140</v>
      </c>
      <c r="Q204" s="7" t="s">
        <v>7141</v>
      </c>
      <c r="R204" s="7" t="s">
        <v>7143</v>
      </c>
      <c r="S204" s="7">
        <v>32</v>
      </c>
      <c r="T204" s="7" t="s">
        <v>7143</v>
      </c>
      <c r="U204" s="7" t="s">
        <v>7143</v>
      </c>
      <c r="Y204" s="2">
        <v>600</v>
      </c>
      <c r="Z204" s="17">
        <v>1</v>
      </c>
      <c r="AA204" s="2">
        <v>600</v>
      </c>
      <c r="AB204" s="2">
        <v>600</v>
      </c>
      <c r="AC204" s="7">
        <v>570</v>
      </c>
      <c r="AD204" s="2">
        <v>800</v>
      </c>
      <c r="AE204" s="2">
        <v>230</v>
      </c>
      <c r="AF204" s="2" t="s">
        <v>7143</v>
      </c>
      <c r="AG204" s="2" t="s">
        <v>7142</v>
      </c>
      <c r="AH204" s="2" t="s">
        <v>7143</v>
      </c>
      <c r="AJ204" s="2" t="s">
        <v>7143</v>
      </c>
      <c r="AK204" s="2" t="s">
        <v>7143</v>
      </c>
      <c r="AL204" s="2" t="s">
        <v>7143</v>
      </c>
      <c r="AM204" s="2" t="s">
        <v>7143</v>
      </c>
      <c r="AN204" s="2" t="s">
        <v>7143</v>
      </c>
      <c r="AO204" s="2" t="s">
        <v>7143</v>
      </c>
      <c r="AR204" s="7">
        <v>3.1</v>
      </c>
      <c r="AS204" s="7">
        <v>3</v>
      </c>
      <c r="AT204" s="7">
        <v>8</v>
      </c>
      <c r="AU204" s="2" t="s">
        <v>7193</v>
      </c>
      <c r="AV204" s="2" t="s">
        <v>7217</v>
      </c>
      <c r="AW204" s="2" t="s">
        <v>7143</v>
      </c>
      <c r="AZ204" s="2" t="s">
        <v>7286</v>
      </c>
      <c r="BC204" s="2" t="s">
        <v>7147</v>
      </c>
      <c r="BD204" s="2" t="s">
        <v>7143</v>
      </c>
      <c r="BE204" s="2" t="s">
        <v>7143</v>
      </c>
      <c r="BL204" s="2" t="s">
        <v>7152</v>
      </c>
      <c r="BM204" s="2" t="s">
        <v>7153</v>
      </c>
      <c r="BN204" s="2" t="s">
        <v>7154</v>
      </c>
      <c r="BO204" s="2" t="s">
        <v>7155</v>
      </c>
      <c r="BS204" s="2" t="s">
        <v>7142</v>
      </c>
      <c r="BX204" s="2" t="s">
        <v>7143</v>
      </c>
      <c r="BZ204" s="2" t="s">
        <v>7173</v>
      </c>
      <c r="CE204" s="7">
        <v>8</v>
      </c>
      <c r="CF204" s="2">
        <v>800</v>
      </c>
      <c r="CK204" s="2">
        <v>100</v>
      </c>
      <c r="CO204" s="2">
        <v>100</v>
      </c>
      <c r="CR204" s="2" t="s">
        <v>7160</v>
      </c>
      <c r="CT204" s="2" t="s">
        <v>7143</v>
      </c>
      <c r="CU204" s="2" t="s">
        <v>7161</v>
      </c>
      <c r="CW204" s="2" t="s">
        <v>7162</v>
      </c>
      <c r="CY204" s="2" t="s">
        <v>7163</v>
      </c>
      <c r="CZ204" s="2" t="s">
        <v>7163</v>
      </c>
      <c r="DA204" s="2" t="s">
        <v>7250</v>
      </c>
      <c r="DB204" s="2" t="s">
        <v>7250</v>
      </c>
      <c r="DC204" s="2" t="s">
        <v>7250</v>
      </c>
      <c r="DD204" s="2" t="s">
        <v>7250</v>
      </c>
      <c r="DE204" s="2" t="s">
        <v>7250</v>
      </c>
      <c r="DF204" s="2" t="s">
        <v>7250</v>
      </c>
      <c r="DG204" s="2" t="s">
        <v>7250</v>
      </c>
      <c r="DH204" s="2" t="s">
        <v>7250</v>
      </c>
      <c r="DI204" s="2" t="s">
        <v>7250</v>
      </c>
      <c r="DL204" s="2" t="s">
        <v>7143</v>
      </c>
      <c r="DM204" s="2" t="s">
        <v>7143</v>
      </c>
      <c r="DP204" s="2" t="s">
        <v>7173</v>
      </c>
      <c r="DT204" s="2" t="s">
        <v>7159</v>
      </c>
      <c r="DU204" s="2" t="s">
        <v>7159</v>
      </c>
      <c r="DV204" s="2" t="s">
        <v>7159</v>
      </c>
      <c r="DW204" s="2" t="s">
        <v>7159</v>
      </c>
      <c r="DX204" s="2" t="s">
        <v>7159</v>
      </c>
      <c r="DY204" s="2" t="s">
        <v>7159</v>
      </c>
      <c r="DZ204" s="2" t="s">
        <v>7159</v>
      </c>
      <c r="EA204" s="2" t="s">
        <v>7159</v>
      </c>
      <c r="EB204" s="2" t="s">
        <v>7159</v>
      </c>
      <c r="EC204" s="2" t="s">
        <v>7159</v>
      </c>
      <c r="EF204" s="2" t="s">
        <v>7252</v>
      </c>
      <c r="EG204" s="2" t="s">
        <v>431</v>
      </c>
      <c r="EJ204" s="2" t="s">
        <v>7217</v>
      </c>
      <c r="EK204" s="2" t="s">
        <v>7143</v>
      </c>
      <c r="EL204" s="2" t="s">
        <v>7143</v>
      </c>
      <c r="EN204" s="2" t="s">
        <v>7210</v>
      </c>
      <c r="EP204" s="2" t="s">
        <v>7186</v>
      </c>
      <c r="ER204" s="2" t="s">
        <v>7143</v>
      </c>
      <c r="ET204" s="2" t="s">
        <v>7143</v>
      </c>
      <c r="EV204" s="2" t="s">
        <v>7143</v>
      </c>
      <c r="EX204" s="2" t="s">
        <v>7143</v>
      </c>
      <c r="EZ204" s="2" t="s">
        <v>7143</v>
      </c>
      <c r="FC204" s="2" t="s">
        <v>7218</v>
      </c>
      <c r="FD204" s="2" t="s">
        <v>7143</v>
      </c>
      <c r="FH204" s="2" t="s">
        <v>7173</v>
      </c>
      <c r="FJ204" s="2" t="s">
        <v>7143</v>
      </c>
      <c r="FK204" s="2" t="s">
        <v>7173</v>
      </c>
      <c r="FR204" s="2" t="s">
        <v>433</v>
      </c>
      <c r="FT204" s="2" t="s">
        <v>7189</v>
      </c>
      <c r="FU204" s="2" t="s">
        <v>7176</v>
      </c>
      <c r="FV204" s="2" t="s">
        <v>7176</v>
      </c>
      <c r="FW204" s="2" t="s">
        <v>7176</v>
      </c>
      <c r="FZ204" s="19" t="s">
        <v>7920</v>
      </c>
    </row>
    <row r="205" spans="1:182">
      <c r="A205" s="7" t="s">
        <v>1554</v>
      </c>
      <c r="D205" s="7" t="s">
        <v>7921</v>
      </c>
      <c r="E205" s="7" t="s">
        <v>1555</v>
      </c>
      <c r="F205" s="7" t="s">
        <v>7311</v>
      </c>
      <c r="G205" s="7" t="s">
        <v>7717</v>
      </c>
      <c r="H205" s="7" t="s">
        <v>1263</v>
      </c>
      <c r="I205" s="7" t="s">
        <v>1556</v>
      </c>
      <c r="J205" s="16" t="s">
        <v>7922</v>
      </c>
      <c r="K205" s="7" t="s">
        <v>1556</v>
      </c>
      <c r="L205" s="7" t="s">
        <v>7137</v>
      </c>
      <c r="M205" s="7" t="s">
        <v>7138</v>
      </c>
      <c r="N205" s="7">
        <v>1979</v>
      </c>
      <c r="O205" s="7" t="s">
        <v>7180</v>
      </c>
      <c r="P205" s="7" t="s">
        <v>7140</v>
      </c>
      <c r="Q205" s="7" t="s">
        <v>7141</v>
      </c>
      <c r="R205" s="7" t="s">
        <v>7143</v>
      </c>
      <c r="S205" s="7">
        <v>30</v>
      </c>
      <c r="T205" s="7" t="s">
        <v>7143</v>
      </c>
      <c r="U205" s="7" t="s">
        <v>7143</v>
      </c>
      <c r="Y205" s="2">
        <v>720</v>
      </c>
      <c r="Z205" s="17">
        <v>1</v>
      </c>
      <c r="AA205" s="2">
        <v>720</v>
      </c>
      <c r="AB205" s="2">
        <v>720</v>
      </c>
      <c r="AC205" s="7">
        <v>720</v>
      </c>
      <c r="AD205" s="2">
        <v>800</v>
      </c>
      <c r="AE205" s="2">
        <v>80</v>
      </c>
      <c r="AF205" s="2" t="s">
        <v>7143</v>
      </c>
      <c r="AG205" s="2" t="s">
        <v>7143</v>
      </c>
      <c r="AH205" s="2" t="s">
        <v>7143</v>
      </c>
      <c r="AJ205" s="2" t="s">
        <v>7143</v>
      </c>
      <c r="AK205" s="2" t="s">
        <v>7143</v>
      </c>
      <c r="AL205" s="2" t="s">
        <v>7143</v>
      </c>
      <c r="AM205" s="2" t="s">
        <v>7143</v>
      </c>
      <c r="AN205" s="2" t="s">
        <v>7143</v>
      </c>
      <c r="AO205" s="2" t="s">
        <v>7143</v>
      </c>
      <c r="AR205" s="7">
        <v>1.3</v>
      </c>
      <c r="AS205" s="7">
        <v>2</v>
      </c>
      <c r="AT205" s="7">
        <v>8</v>
      </c>
      <c r="AU205" s="2" t="s">
        <v>7144</v>
      </c>
      <c r="AV205" s="2" t="s">
        <v>7144</v>
      </c>
      <c r="AW205" s="2" t="s">
        <v>7143</v>
      </c>
      <c r="BC205" s="2" t="s">
        <v>7147</v>
      </c>
      <c r="BD205" s="2" t="s">
        <v>7142</v>
      </c>
      <c r="BE205" s="2" t="s">
        <v>7143</v>
      </c>
      <c r="BL205" s="2" t="s">
        <v>7152</v>
      </c>
      <c r="BM205" s="2" t="s">
        <v>7153</v>
      </c>
      <c r="BN205" s="2" t="s">
        <v>7154</v>
      </c>
      <c r="BO205" s="2" t="s">
        <v>7155</v>
      </c>
      <c r="BQ205" s="2" t="s">
        <v>7156</v>
      </c>
      <c r="BS205" s="2" t="s">
        <v>7142</v>
      </c>
      <c r="BT205" s="2" t="s">
        <v>7215</v>
      </c>
      <c r="BV205" s="2" t="s">
        <v>7202</v>
      </c>
      <c r="BX205" s="2" t="s">
        <v>7143</v>
      </c>
      <c r="BY205" s="2" t="s">
        <v>1557</v>
      </c>
      <c r="BZ205" s="2" t="s">
        <v>7173</v>
      </c>
      <c r="CE205" s="7">
        <v>8</v>
      </c>
      <c r="CF205" s="2">
        <v>800</v>
      </c>
      <c r="CM205" s="2">
        <v>100</v>
      </c>
      <c r="CP205" s="2">
        <v>100</v>
      </c>
      <c r="CR205" s="2" t="s">
        <v>7160</v>
      </c>
      <c r="CT205" s="2" t="s">
        <v>7143</v>
      </c>
      <c r="CU205" s="2" t="s">
        <v>7161</v>
      </c>
      <c r="CW205" s="2" t="s">
        <v>7162</v>
      </c>
      <c r="CY205" s="2" t="s">
        <v>7163</v>
      </c>
      <c r="CZ205" s="2" t="s">
        <v>7163</v>
      </c>
      <c r="DA205" s="2" t="s">
        <v>7250</v>
      </c>
      <c r="DB205" s="2" t="s">
        <v>7163</v>
      </c>
      <c r="DC205" s="2" t="s">
        <v>7250</v>
      </c>
      <c r="DD205" s="2" t="s">
        <v>7250</v>
      </c>
      <c r="DE205" s="2" t="s">
        <v>7250</v>
      </c>
      <c r="DF205" s="2" t="s">
        <v>7163</v>
      </c>
      <c r="DG205" s="2" t="s">
        <v>7163</v>
      </c>
      <c r="DH205" s="2" t="s">
        <v>7163</v>
      </c>
      <c r="DI205" s="2" t="s">
        <v>7163</v>
      </c>
      <c r="DL205" s="2" t="s">
        <v>7142</v>
      </c>
      <c r="DM205" s="2" t="s">
        <v>7142</v>
      </c>
      <c r="DN205" s="2" t="s">
        <v>7142</v>
      </c>
      <c r="DO205" s="2" t="s">
        <v>7142</v>
      </c>
      <c r="DP205" s="2" t="s">
        <v>7165</v>
      </c>
      <c r="DQ205" s="2" t="s">
        <v>7333</v>
      </c>
      <c r="DR205" s="2" t="s">
        <v>1558</v>
      </c>
      <c r="DT205" s="2" t="s">
        <v>7165</v>
      </c>
      <c r="DU205" s="2" t="s">
        <v>7165</v>
      </c>
      <c r="DV205" s="2" t="s">
        <v>7165</v>
      </c>
      <c r="DW205" s="2" t="s">
        <v>7165</v>
      </c>
      <c r="DX205" s="2" t="s">
        <v>7165</v>
      </c>
      <c r="DY205" s="2" t="s">
        <v>7165</v>
      </c>
      <c r="DZ205" s="2" t="s">
        <v>7165</v>
      </c>
      <c r="EA205" s="2" t="s">
        <v>7165</v>
      </c>
      <c r="EB205" s="2" t="s">
        <v>7165</v>
      </c>
      <c r="EF205" s="2" t="s">
        <v>7167</v>
      </c>
      <c r="EG205" s="2" t="s">
        <v>1559</v>
      </c>
      <c r="EJ205" s="2" t="s">
        <v>7144</v>
      </c>
      <c r="EK205" s="2" t="s">
        <v>7142</v>
      </c>
      <c r="EL205" s="2" t="s">
        <v>7142</v>
      </c>
      <c r="EM205" s="2" t="s">
        <v>7430</v>
      </c>
      <c r="EN205" s="2" t="s">
        <v>7170</v>
      </c>
      <c r="EP205" s="2" t="s">
        <v>7186</v>
      </c>
      <c r="ER205" s="2" t="s">
        <v>7142</v>
      </c>
      <c r="ET205" s="2" t="s">
        <v>7143</v>
      </c>
      <c r="EV205" s="2" t="s">
        <v>7142</v>
      </c>
      <c r="EW205" s="2" t="s">
        <v>7204</v>
      </c>
      <c r="EX205" s="2" t="s">
        <v>7142</v>
      </c>
      <c r="EY205" s="2" t="s">
        <v>7204</v>
      </c>
      <c r="EZ205" s="2" t="s">
        <v>7143</v>
      </c>
      <c r="FC205" s="2" t="s">
        <v>7172</v>
      </c>
      <c r="FD205" s="2" t="s">
        <v>7143</v>
      </c>
      <c r="FH205" s="2" t="s">
        <v>7173</v>
      </c>
      <c r="FJ205" s="2" t="s">
        <v>7143</v>
      </c>
      <c r="FK205" s="2" t="s">
        <v>7165</v>
      </c>
      <c r="FL205" s="2" t="s">
        <v>7260</v>
      </c>
      <c r="FN205" s="2" t="s">
        <v>7235</v>
      </c>
      <c r="FR205" s="2" t="s">
        <v>1560</v>
      </c>
      <c r="FT205" s="2" t="s">
        <v>7189</v>
      </c>
      <c r="FU205" s="2" t="s">
        <v>7189</v>
      </c>
      <c r="FV205" s="2" t="s">
        <v>7189</v>
      </c>
      <c r="FW205" s="2" t="s">
        <v>7189</v>
      </c>
      <c r="FX205" s="2" t="s">
        <v>7189</v>
      </c>
      <c r="FY205" s="2" t="s">
        <v>1561</v>
      </c>
      <c r="FZ205" s="19" t="s">
        <v>7923</v>
      </c>
    </row>
    <row r="206" spans="1:182">
      <c r="A206" s="7" t="s">
        <v>1562</v>
      </c>
      <c r="D206" s="7" t="s">
        <v>7924</v>
      </c>
      <c r="E206" s="7" t="s">
        <v>177</v>
      </c>
      <c r="F206" s="7" t="s">
        <v>7134</v>
      </c>
      <c r="G206" s="7" t="s">
        <v>7717</v>
      </c>
      <c r="H206" s="7" t="s">
        <v>1207</v>
      </c>
      <c r="I206" s="7" t="s">
        <v>1563</v>
      </c>
      <c r="J206" s="16" t="s">
        <v>7925</v>
      </c>
      <c r="K206" s="7" t="s">
        <v>1563</v>
      </c>
      <c r="L206" s="2" t="s">
        <v>7137</v>
      </c>
      <c r="M206" s="7" t="s">
        <v>7138</v>
      </c>
      <c r="N206" s="7">
        <v>1981</v>
      </c>
      <c r="O206" s="7" t="s">
        <v>7139</v>
      </c>
      <c r="P206" s="2" t="s">
        <v>7140</v>
      </c>
      <c r="Q206" s="2" t="s">
        <v>7225</v>
      </c>
      <c r="R206" s="2" t="s">
        <v>7143</v>
      </c>
      <c r="S206" s="2">
        <v>5</v>
      </c>
      <c r="T206" s="2" t="s">
        <v>7143</v>
      </c>
      <c r="U206" s="2" t="s">
        <v>7142</v>
      </c>
      <c r="Y206" s="2">
        <v>150</v>
      </c>
      <c r="Z206" s="17">
        <v>1</v>
      </c>
      <c r="AA206" s="2">
        <v>150</v>
      </c>
      <c r="AB206" s="2">
        <v>130</v>
      </c>
      <c r="AC206" s="7">
        <v>130</v>
      </c>
      <c r="AD206" s="2">
        <v>200</v>
      </c>
      <c r="AE206" s="2">
        <v>70</v>
      </c>
      <c r="AF206" s="2" t="s">
        <v>7142</v>
      </c>
      <c r="AG206" s="2" t="s">
        <v>7143</v>
      </c>
      <c r="AH206" s="2" t="s">
        <v>7143</v>
      </c>
      <c r="AJ206" s="2" t="s">
        <v>7143</v>
      </c>
      <c r="AK206" s="2" t="s">
        <v>7142</v>
      </c>
      <c r="AL206" s="2" t="s">
        <v>7143</v>
      </c>
      <c r="AM206" s="2" t="s">
        <v>7143</v>
      </c>
      <c r="AN206" s="2" t="s">
        <v>7143</v>
      </c>
      <c r="AO206" s="2" t="s">
        <v>7143</v>
      </c>
      <c r="AR206" s="7">
        <v>1.5</v>
      </c>
      <c r="AS206" s="7">
        <v>1</v>
      </c>
      <c r="AT206" s="7">
        <v>2.2000000000000002</v>
      </c>
      <c r="AU206" s="2" t="s">
        <v>7193</v>
      </c>
      <c r="AV206" s="2" t="s">
        <v>7193</v>
      </c>
      <c r="AW206" s="2" t="s">
        <v>7143</v>
      </c>
      <c r="AZ206" s="2" t="s">
        <v>7145</v>
      </c>
      <c r="BB206" s="2" t="s">
        <v>7146</v>
      </c>
      <c r="BC206" s="2" t="s">
        <v>7147</v>
      </c>
      <c r="BD206" s="2" t="s">
        <v>7142</v>
      </c>
      <c r="BE206" s="2" t="s">
        <v>7142</v>
      </c>
      <c r="BF206" s="2" t="s">
        <v>7148</v>
      </c>
      <c r="BG206" s="2" t="s">
        <v>7232</v>
      </c>
      <c r="BH206" s="2" t="s">
        <v>7150</v>
      </c>
      <c r="BI206" s="2" t="s">
        <v>7151</v>
      </c>
      <c r="BL206" s="2" t="s">
        <v>7195</v>
      </c>
      <c r="BO206" s="2" t="s">
        <v>7155</v>
      </c>
      <c r="BQ206" s="2" t="s">
        <v>7156</v>
      </c>
      <c r="BS206" s="2" t="s">
        <v>7142</v>
      </c>
      <c r="BT206" s="2" t="s">
        <v>7157</v>
      </c>
      <c r="BV206" s="2" t="s">
        <v>7202</v>
      </c>
      <c r="BX206" s="2" t="s">
        <v>7143</v>
      </c>
      <c r="BZ206" s="2" t="s">
        <v>7159</v>
      </c>
      <c r="CE206" s="7">
        <v>2.2000000000000002</v>
      </c>
      <c r="CF206" s="2">
        <v>200</v>
      </c>
      <c r="CM206" s="2">
        <v>100</v>
      </c>
      <c r="CO206" s="2">
        <v>100</v>
      </c>
      <c r="CR206" s="2" t="s">
        <v>7160</v>
      </c>
      <c r="CT206" s="2" t="s">
        <v>7143</v>
      </c>
      <c r="CU206" s="2" t="s">
        <v>7161</v>
      </c>
      <c r="CW206" s="2" t="s">
        <v>7162</v>
      </c>
      <c r="CY206" s="2" t="s">
        <v>7164</v>
      </c>
      <c r="CZ206" s="2" t="s">
        <v>7164</v>
      </c>
      <c r="DA206" s="2" t="s">
        <v>7164</v>
      </c>
      <c r="DB206" s="2" t="s">
        <v>7164</v>
      </c>
      <c r="DC206" s="2" t="s">
        <v>7164</v>
      </c>
      <c r="DD206" s="2" t="s">
        <v>7164</v>
      </c>
      <c r="DE206" s="2" t="s">
        <v>7164</v>
      </c>
      <c r="DF206" s="2" t="s">
        <v>7164</v>
      </c>
      <c r="DG206" s="2" t="s">
        <v>7164</v>
      </c>
      <c r="DH206" s="2" t="s">
        <v>7164</v>
      </c>
      <c r="DI206" s="2" t="s">
        <v>7164</v>
      </c>
      <c r="DL206" s="2" t="s">
        <v>7142</v>
      </c>
      <c r="DM206" s="2" t="s">
        <v>7142</v>
      </c>
      <c r="DN206" s="2" t="s">
        <v>7142</v>
      </c>
      <c r="DO206" s="2" t="s">
        <v>7142</v>
      </c>
      <c r="DP206" s="2" t="s">
        <v>7165</v>
      </c>
      <c r="DQ206" s="2" t="s">
        <v>7166</v>
      </c>
      <c r="DT206" s="2" t="s">
        <v>7165</v>
      </c>
      <c r="DU206" s="2" t="s">
        <v>7165</v>
      </c>
      <c r="DV206" s="2" t="s">
        <v>7165</v>
      </c>
      <c r="DW206" s="2" t="s">
        <v>7165</v>
      </c>
      <c r="DX206" s="2" t="s">
        <v>7165</v>
      </c>
      <c r="DY206" s="2" t="s">
        <v>7165</v>
      </c>
      <c r="DZ206" s="2" t="s">
        <v>7165</v>
      </c>
      <c r="EA206" s="2" t="s">
        <v>7165</v>
      </c>
      <c r="EB206" s="2" t="s">
        <v>7165</v>
      </c>
      <c r="EF206" s="2" t="s">
        <v>7167</v>
      </c>
      <c r="EJ206" s="2" t="s">
        <v>7193</v>
      </c>
      <c r="EK206" s="2" t="s">
        <v>7142</v>
      </c>
      <c r="EL206" s="2" t="s">
        <v>7143</v>
      </c>
      <c r="EN206" s="2" t="s">
        <v>7170</v>
      </c>
      <c r="EP206" s="2" t="s">
        <v>7186</v>
      </c>
      <c r="ER206" s="2" t="s">
        <v>7142</v>
      </c>
      <c r="ET206" s="2" t="s">
        <v>7143</v>
      </c>
      <c r="EV206" s="2" t="s">
        <v>7142</v>
      </c>
      <c r="EW206" s="2" t="s">
        <v>7700</v>
      </c>
      <c r="EX206" s="2" t="s">
        <v>7142</v>
      </c>
      <c r="EY206" s="2" t="s">
        <v>7700</v>
      </c>
      <c r="FC206" s="2" t="s">
        <v>7172</v>
      </c>
      <c r="FD206" s="2" t="s">
        <v>7143</v>
      </c>
      <c r="FH206" s="2" t="s">
        <v>7173</v>
      </c>
      <c r="FJ206" s="2" t="s">
        <v>7142</v>
      </c>
      <c r="FK206" s="2" t="s">
        <v>7165</v>
      </c>
      <c r="FL206" s="2" t="s">
        <v>7187</v>
      </c>
      <c r="FN206" s="2" t="s">
        <v>7926</v>
      </c>
      <c r="FT206" s="2" t="s">
        <v>7176</v>
      </c>
      <c r="FU206" s="2" t="s">
        <v>7176</v>
      </c>
      <c r="FV206" s="2" t="s">
        <v>7176</v>
      </c>
      <c r="FW206" s="2" t="s">
        <v>7176</v>
      </c>
      <c r="FZ206" s="19" t="s">
        <v>7927</v>
      </c>
    </row>
    <row r="207" spans="1:182">
      <c r="A207" s="7" t="s">
        <v>1565</v>
      </c>
      <c r="D207" s="7" t="s">
        <v>7928</v>
      </c>
      <c r="E207" s="7" t="s">
        <v>177</v>
      </c>
      <c r="F207" s="7" t="s">
        <v>7245</v>
      </c>
      <c r="G207" s="7" t="s">
        <v>7717</v>
      </c>
      <c r="H207" s="7" t="s">
        <v>1566</v>
      </c>
      <c r="I207" s="7" t="s">
        <v>1567</v>
      </c>
      <c r="J207" s="16" t="s">
        <v>7929</v>
      </c>
      <c r="K207" s="7" t="s">
        <v>1568</v>
      </c>
      <c r="L207" s="7" t="s">
        <v>7137</v>
      </c>
      <c r="M207" s="7" t="s">
        <v>7179</v>
      </c>
      <c r="N207" s="7">
        <v>1982</v>
      </c>
      <c r="O207" s="7" t="s">
        <v>7180</v>
      </c>
      <c r="P207" s="7" t="s">
        <v>7181</v>
      </c>
      <c r="Q207" s="7" t="s">
        <v>7141</v>
      </c>
      <c r="R207" s="7" t="s">
        <v>7143</v>
      </c>
      <c r="S207" s="7">
        <v>2012</v>
      </c>
      <c r="T207" s="7" t="s">
        <v>7143</v>
      </c>
      <c r="U207" s="7" t="s">
        <v>7143</v>
      </c>
      <c r="Y207" s="2">
        <v>1000</v>
      </c>
      <c r="Z207" s="17">
        <v>1</v>
      </c>
      <c r="AA207" s="2">
        <v>1000</v>
      </c>
      <c r="AB207" s="2">
        <v>950</v>
      </c>
      <c r="AC207" s="7">
        <v>360</v>
      </c>
      <c r="AD207" s="2">
        <v>400</v>
      </c>
      <c r="AE207" s="2">
        <v>40</v>
      </c>
      <c r="AF207" s="2" t="s">
        <v>7143</v>
      </c>
      <c r="AG207" s="2" t="s">
        <v>7142</v>
      </c>
      <c r="AH207" s="7" t="s">
        <v>7142</v>
      </c>
      <c r="AI207" s="7" t="s">
        <v>1569</v>
      </c>
      <c r="AJ207" s="7" t="s">
        <v>7143</v>
      </c>
      <c r="AK207" s="7" t="s">
        <v>7143</v>
      </c>
      <c r="AL207" s="2" t="s">
        <v>7143</v>
      </c>
      <c r="AM207" s="7" t="s">
        <v>7142</v>
      </c>
      <c r="AN207" s="2" t="s">
        <v>7143</v>
      </c>
      <c r="AO207" s="2" t="s">
        <v>7143</v>
      </c>
      <c r="AR207" s="7">
        <v>1.5</v>
      </c>
      <c r="AS207" s="7">
        <v>1</v>
      </c>
      <c r="AT207" s="7">
        <v>4</v>
      </c>
      <c r="AU207" s="2" t="s">
        <v>7144</v>
      </c>
      <c r="AV207" s="7" t="s">
        <v>7144</v>
      </c>
      <c r="AW207" s="7" t="s">
        <v>7143</v>
      </c>
      <c r="AZ207" s="7" t="s">
        <v>7145</v>
      </c>
      <c r="BB207" s="7" t="s">
        <v>7214</v>
      </c>
      <c r="BC207" s="2" t="s">
        <v>7147</v>
      </c>
      <c r="BD207" s="7" t="s">
        <v>7142</v>
      </c>
      <c r="BE207" s="2" t="s">
        <v>7142</v>
      </c>
      <c r="BF207" s="2" t="s">
        <v>7148</v>
      </c>
      <c r="BG207" s="2" t="s">
        <v>7149</v>
      </c>
      <c r="BH207" s="2" t="s">
        <v>7248</v>
      </c>
      <c r="BI207" s="2" t="s">
        <v>7151</v>
      </c>
      <c r="BL207" s="7" t="s">
        <v>7152</v>
      </c>
      <c r="BM207" s="7" t="s">
        <v>7153</v>
      </c>
      <c r="BN207" s="7" t="s">
        <v>7154</v>
      </c>
      <c r="BO207" s="2" t="s">
        <v>7155</v>
      </c>
      <c r="BQ207" s="2" t="s">
        <v>7183</v>
      </c>
      <c r="BT207" s="2" t="s">
        <v>7215</v>
      </c>
      <c r="BV207" s="2" t="s">
        <v>7304</v>
      </c>
      <c r="BX207" s="2" t="s">
        <v>7142</v>
      </c>
      <c r="BY207" s="2" t="s">
        <v>310</v>
      </c>
      <c r="BZ207" s="2" t="s">
        <v>7159</v>
      </c>
      <c r="CE207" s="7">
        <v>4</v>
      </c>
      <c r="CF207" s="2">
        <v>390</v>
      </c>
      <c r="CK207" s="2">
        <v>100</v>
      </c>
      <c r="CO207" s="2">
        <v>100</v>
      </c>
      <c r="CR207" s="7" t="s">
        <v>7160</v>
      </c>
      <c r="CT207" s="7" t="s">
        <v>7143</v>
      </c>
      <c r="CU207" s="7" t="s">
        <v>7161</v>
      </c>
      <c r="CW207" s="7" t="s">
        <v>7162</v>
      </c>
      <c r="CY207" s="7" t="s">
        <v>7227</v>
      </c>
      <c r="CZ207" s="7" t="s">
        <v>7163</v>
      </c>
      <c r="DA207" s="2" t="s">
        <v>7164</v>
      </c>
      <c r="DB207" s="2" t="s">
        <v>7251</v>
      </c>
      <c r="DC207" s="2" t="s">
        <v>7164</v>
      </c>
      <c r="DD207" s="2" t="s">
        <v>7251</v>
      </c>
      <c r="DE207" s="2" t="s">
        <v>7164</v>
      </c>
      <c r="DF207" s="2" t="s">
        <v>7163</v>
      </c>
      <c r="DG207" s="2" t="s">
        <v>7163</v>
      </c>
      <c r="DH207" s="2" t="s">
        <v>7163</v>
      </c>
      <c r="DI207" s="2" t="s">
        <v>7164</v>
      </c>
      <c r="DL207" s="7" t="s">
        <v>7142</v>
      </c>
      <c r="DM207" s="7" t="s">
        <v>7142</v>
      </c>
      <c r="DN207" s="7" t="s">
        <v>7142</v>
      </c>
      <c r="DO207" s="7" t="s">
        <v>7142</v>
      </c>
      <c r="DP207" s="7" t="s">
        <v>7165</v>
      </c>
      <c r="DQ207" s="7" t="s">
        <v>7166</v>
      </c>
      <c r="DS207" s="7" t="s">
        <v>7165</v>
      </c>
      <c r="DT207" s="7" t="s">
        <v>7165</v>
      </c>
      <c r="DU207" s="7" t="s">
        <v>7165</v>
      </c>
      <c r="DV207" s="7" t="s">
        <v>7165</v>
      </c>
      <c r="DW207" s="7" t="s">
        <v>7165</v>
      </c>
      <c r="DX207" s="7" t="s">
        <v>7165</v>
      </c>
      <c r="DY207" s="7" t="s">
        <v>7159</v>
      </c>
      <c r="DZ207" s="7" t="s">
        <v>7159</v>
      </c>
      <c r="EA207" s="7" t="s">
        <v>7165</v>
      </c>
      <c r="EB207" s="7" t="s">
        <v>7165</v>
      </c>
      <c r="EC207" s="7"/>
      <c r="ED207" s="7"/>
      <c r="EE207" s="7"/>
      <c r="EF207" s="2" t="s">
        <v>7167</v>
      </c>
      <c r="EJ207" s="7" t="s">
        <v>7193</v>
      </c>
      <c r="EK207" s="7" t="s">
        <v>7142</v>
      </c>
      <c r="EL207" s="7" t="s">
        <v>7143</v>
      </c>
      <c r="EN207" s="7" t="s">
        <v>7170</v>
      </c>
      <c r="EP207" s="7" t="s">
        <v>7186</v>
      </c>
      <c r="ER207" s="2" t="s">
        <v>7142</v>
      </c>
      <c r="ET207" s="7" t="s">
        <v>7143</v>
      </c>
      <c r="EV207" s="2" t="s">
        <v>7143</v>
      </c>
      <c r="EX207" s="2" t="s">
        <v>7142</v>
      </c>
      <c r="EY207" s="2" t="s">
        <v>7204</v>
      </c>
      <c r="FC207" s="7" t="s">
        <v>7172</v>
      </c>
      <c r="FD207" s="7" t="s">
        <v>7143</v>
      </c>
      <c r="FE207" s="2" t="s">
        <v>7204</v>
      </c>
      <c r="FH207" s="7" t="s">
        <v>7173</v>
      </c>
      <c r="FJ207" s="2" t="s">
        <v>7142</v>
      </c>
      <c r="FK207" s="7" t="s">
        <v>7165</v>
      </c>
      <c r="FL207" s="7" t="s">
        <v>7260</v>
      </c>
      <c r="FN207" s="2" t="s">
        <v>7253</v>
      </c>
      <c r="FT207" s="2" t="s">
        <v>7176</v>
      </c>
      <c r="FU207" s="2" t="s">
        <v>7189</v>
      </c>
      <c r="FV207" s="2" t="s">
        <v>7189</v>
      </c>
      <c r="FW207" s="2" t="s">
        <v>7189</v>
      </c>
      <c r="FZ207" s="19" t="s">
        <v>7930</v>
      </c>
    </row>
    <row r="208" spans="1:182">
      <c r="A208" s="7" t="s">
        <v>1570</v>
      </c>
      <c r="D208" s="7" t="s">
        <v>7931</v>
      </c>
      <c r="E208" s="7" t="s">
        <v>1571</v>
      </c>
      <c r="F208" s="7" t="s">
        <v>7389</v>
      </c>
      <c r="G208" s="7" t="s">
        <v>7717</v>
      </c>
      <c r="H208" s="2" t="s">
        <v>1219</v>
      </c>
      <c r="I208" s="7" t="s">
        <v>1572</v>
      </c>
      <c r="J208" s="16" t="s">
        <v>7932</v>
      </c>
      <c r="K208" s="7" t="s">
        <v>1573</v>
      </c>
      <c r="L208" s="2" t="s">
        <v>7137</v>
      </c>
      <c r="M208" s="7" t="s">
        <v>7179</v>
      </c>
      <c r="N208" s="7">
        <v>1993</v>
      </c>
      <c r="O208" s="7" t="s">
        <v>7139</v>
      </c>
      <c r="P208" s="7" t="s">
        <v>7181</v>
      </c>
      <c r="Q208" s="2" t="s">
        <v>7141</v>
      </c>
      <c r="R208" s="2" t="s">
        <v>7143</v>
      </c>
      <c r="S208" s="2">
        <v>13</v>
      </c>
      <c r="T208" s="2" t="s">
        <v>7143</v>
      </c>
      <c r="U208" s="2" t="s">
        <v>7143</v>
      </c>
      <c r="Y208" s="2">
        <v>100</v>
      </c>
      <c r="Z208" s="17">
        <v>1</v>
      </c>
      <c r="AA208" s="2">
        <v>100</v>
      </c>
      <c r="AB208" s="2">
        <v>100</v>
      </c>
      <c r="AC208" s="7">
        <v>100</v>
      </c>
      <c r="AD208" s="2">
        <v>120</v>
      </c>
      <c r="AE208" s="2">
        <v>20</v>
      </c>
      <c r="AF208" s="2" t="s">
        <v>7143</v>
      </c>
      <c r="AG208" s="2" t="s">
        <v>7143</v>
      </c>
      <c r="AH208" s="2" t="s">
        <v>7143</v>
      </c>
      <c r="AJ208" s="2" t="s">
        <v>7143</v>
      </c>
      <c r="AK208" s="2" t="s">
        <v>7143</v>
      </c>
      <c r="AL208" s="2" t="s">
        <v>7143</v>
      </c>
      <c r="AM208" s="2" t="s">
        <v>7143</v>
      </c>
      <c r="AN208" s="2" t="s">
        <v>7143</v>
      </c>
      <c r="AO208" s="2" t="s">
        <v>7143</v>
      </c>
      <c r="AR208" s="7">
        <v>1.1000000000000001</v>
      </c>
      <c r="AS208" s="7">
        <v>3</v>
      </c>
      <c r="AT208" s="7">
        <v>1.2</v>
      </c>
      <c r="AU208" s="2" t="s">
        <v>7217</v>
      </c>
      <c r="AV208" s="2" t="s">
        <v>7144</v>
      </c>
      <c r="AW208" s="2" t="s">
        <v>7143</v>
      </c>
      <c r="AZ208" s="2" t="s">
        <v>7145</v>
      </c>
      <c r="BB208" s="2" t="s">
        <v>7214</v>
      </c>
      <c r="BC208" s="2" t="s">
        <v>7247</v>
      </c>
      <c r="BD208" s="2" t="s">
        <v>7142</v>
      </c>
      <c r="BE208" s="2" t="s">
        <v>7142</v>
      </c>
      <c r="BF208" s="2" t="s">
        <v>7148</v>
      </c>
      <c r="BG208" s="2" t="s">
        <v>7232</v>
      </c>
      <c r="BH208" s="2" t="s">
        <v>7233</v>
      </c>
      <c r="BI208" s="2" t="s">
        <v>7151</v>
      </c>
      <c r="BL208" s="2" t="s">
        <v>7195</v>
      </c>
      <c r="BO208" s="2" t="s">
        <v>7274</v>
      </c>
      <c r="BP208" s="2" t="s">
        <v>7270</v>
      </c>
      <c r="BS208" s="2" t="s">
        <v>7143</v>
      </c>
      <c r="BT208" s="2" t="s">
        <v>7933</v>
      </c>
      <c r="BV208" s="2" t="s">
        <v>7197</v>
      </c>
      <c r="BX208" s="2" t="s">
        <v>7143</v>
      </c>
      <c r="BZ208" s="2" t="s">
        <v>7173</v>
      </c>
      <c r="CE208" s="7">
        <v>1.2</v>
      </c>
      <c r="CF208" s="2">
        <v>120</v>
      </c>
      <c r="CK208" s="2">
        <v>100</v>
      </c>
      <c r="CO208" s="2">
        <v>100</v>
      </c>
      <c r="CR208" s="2" t="s">
        <v>7160</v>
      </c>
      <c r="CT208" s="2" t="s">
        <v>7143</v>
      </c>
      <c r="CU208" s="2" t="s">
        <v>7454</v>
      </c>
      <c r="CW208" s="2" t="s">
        <v>7162</v>
      </c>
      <c r="CY208" s="2" t="s">
        <v>7163</v>
      </c>
      <c r="CZ208" s="2" t="s">
        <v>7250</v>
      </c>
      <c r="DA208" s="2" t="s">
        <v>7250</v>
      </c>
      <c r="DB208" s="2" t="s">
        <v>7250</v>
      </c>
      <c r="DC208" s="2" t="s">
        <v>7250</v>
      </c>
      <c r="DD208" s="2" t="s">
        <v>7250</v>
      </c>
      <c r="DE208" s="2" t="s">
        <v>7250</v>
      </c>
      <c r="DF208" s="2" t="s">
        <v>7250</v>
      </c>
      <c r="DG208" s="2" t="s">
        <v>7250</v>
      </c>
      <c r="DH208" s="2" t="s">
        <v>7250</v>
      </c>
      <c r="DI208" s="2" t="s">
        <v>7250</v>
      </c>
      <c r="DL208" s="2" t="s">
        <v>7142</v>
      </c>
      <c r="DM208" s="2" t="s">
        <v>7142</v>
      </c>
      <c r="DN208" s="2" t="s">
        <v>7143</v>
      </c>
      <c r="DO208" s="2" t="s">
        <v>7142</v>
      </c>
      <c r="DP208" s="2" t="s">
        <v>7159</v>
      </c>
      <c r="DT208" s="2" t="s">
        <v>7165</v>
      </c>
      <c r="DU208" s="2" t="s">
        <v>7165</v>
      </c>
      <c r="DV208" s="2" t="s">
        <v>7165</v>
      </c>
      <c r="DW208" s="2" t="s">
        <v>7165</v>
      </c>
      <c r="DX208" s="2" t="s">
        <v>7165</v>
      </c>
      <c r="DY208" s="2" t="s">
        <v>7159</v>
      </c>
      <c r="DZ208" s="2" t="s">
        <v>7159</v>
      </c>
      <c r="EA208" s="2" t="s">
        <v>7159</v>
      </c>
      <c r="EB208" s="2" t="s">
        <v>7165</v>
      </c>
      <c r="EC208" s="2" t="s">
        <v>7173</v>
      </c>
      <c r="EF208" s="2" t="s">
        <v>7221</v>
      </c>
      <c r="EG208" s="2" t="s">
        <v>1575</v>
      </c>
      <c r="EJ208" s="2" t="s">
        <v>7217</v>
      </c>
      <c r="EK208" s="2" t="s">
        <v>7143</v>
      </c>
      <c r="EL208" s="2" t="s">
        <v>7143</v>
      </c>
      <c r="EN208" s="2" t="s">
        <v>7210</v>
      </c>
      <c r="EP208" s="2" t="s">
        <v>7186</v>
      </c>
      <c r="ER208" s="2" t="s">
        <v>7143</v>
      </c>
      <c r="ET208" s="2" t="s">
        <v>7143</v>
      </c>
      <c r="EV208" s="2" t="s">
        <v>7143</v>
      </c>
      <c r="EX208" s="2" t="s">
        <v>7143</v>
      </c>
      <c r="EZ208" s="2" t="s">
        <v>7143</v>
      </c>
      <c r="FC208" s="2" t="s">
        <v>7172</v>
      </c>
      <c r="FD208" s="2" t="s">
        <v>7143</v>
      </c>
      <c r="FH208" s="2" t="s">
        <v>7173</v>
      </c>
      <c r="FJ208" s="2" t="s">
        <v>7143</v>
      </c>
      <c r="FK208" s="2" t="s">
        <v>7173</v>
      </c>
      <c r="FN208" s="2" t="s">
        <v>7863</v>
      </c>
      <c r="FR208" s="2" t="s">
        <v>1576</v>
      </c>
      <c r="FT208" s="2" t="s">
        <v>7176</v>
      </c>
      <c r="FU208" s="2" t="s">
        <v>7189</v>
      </c>
      <c r="FV208" s="2" t="s">
        <v>7176</v>
      </c>
      <c r="FW208" s="2" t="s">
        <v>7189</v>
      </c>
      <c r="FZ208" s="19" t="s">
        <v>7934</v>
      </c>
    </row>
    <row r="209" spans="1:182">
      <c r="A209" s="7" t="s">
        <v>1577</v>
      </c>
      <c r="D209" s="7" t="s">
        <v>7935</v>
      </c>
      <c r="E209" s="7" t="s">
        <v>1578</v>
      </c>
      <c r="F209" s="7" t="s">
        <v>7311</v>
      </c>
      <c r="G209" s="7" t="s">
        <v>7717</v>
      </c>
      <c r="H209" s="7" t="s">
        <v>1263</v>
      </c>
      <c r="I209" s="7" t="s">
        <v>1579</v>
      </c>
      <c r="J209" s="16" t="s">
        <v>7936</v>
      </c>
      <c r="K209" s="7" t="s">
        <v>1579</v>
      </c>
      <c r="L209" s="2" t="s">
        <v>7137</v>
      </c>
      <c r="M209" s="7" t="s">
        <v>7138</v>
      </c>
      <c r="N209" s="7">
        <v>1968</v>
      </c>
      <c r="O209" s="7" t="s">
        <v>7180</v>
      </c>
      <c r="P209" s="2" t="s">
        <v>7140</v>
      </c>
      <c r="Q209" s="2" t="s">
        <v>7141</v>
      </c>
      <c r="R209" s="2" t="s">
        <v>7143</v>
      </c>
      <c r="S209" s="2">
        <v>25</v>
      </c>
      <c r="T209" s="2" t="s">
        <v>7143</v>
      </c>
      <c r="U209" s="2" t="s">
        <v>7143</v>
      </c>
      <c r="Y209" s="2">
        <v>700</v>
      </c>
      <c r="Z209" s="17">
        <v>1</v>
      </c>
      <c r="AA209" s="2">
        <v>700</v>
      </c>
      <c r="AB209" s="2">
        <v>700</v>
      </c>
      <c r="AC209" s="7">
        <v>700</v>
      </c>
      <c r="AD209" s="2">
        <v>800</v>
      </c>
      <c r="AE209" s="2">
        <v>100</v>
      </c>
      <c r="AF209" s="2" t="s">
        <v>7143</v>
      </c>
      <c r="AG209" s="2" t="s">
        <v>7143</v>
      </c>
      <c r="AH209" s="2" t="s">
        <v>7143</v>
      </c>
      <c r="AJ209" s="2" t="s">
        <v>7143</v>
      </c>
      <c r="AK209" s="2" t="s">
        <v>7143</v>
      </c>
      <c r="AL209" s="2" t="s">
        <v>7143</v>
      </c>
      <c r="AM209" s="2" t="s">
        <v>7143</v>
      </c>
      <c r="AN209" s="2" t="s">
        <v>7143</v>
      </c>
      <c r="AO209" s="2" t="s">
        <v>7143</v>
      </c>
      <c r="AR209" s="7">
        <v>3</v>
      </c>
      <c r="AS209" s="7">
        <v>3</v>
      </c>
      <c r="AT209" s="7">
        <v>8</v>
      </c>
      <c r="AU209" s="2" t="s">
        <v>7144</v>
      </c>
      <c r="AV209" s="2" t="s">
        <v>7144</v>
      </c>
      <c r="AW209" s="2" t="s">
        <v>7143</v>
      </c>
      <c r="BC209" s="2" t="s">
        <v>7147</v>
      </c>
      <c r="BD209" s="2" t="s">
        <v>7142</v>
      </c>
      <c r="BE209" s="2" t="s">
        <v>7143</v>
      </c>
      <c r="BL209" s="2" t="s">
        <v>7195</v>
      </c>
      <c r="BO209" s="2" t="s">
        <v>7155</v>
      </c>
      <c r="BQ209" s="2" t="s">
        <v>7156</v>
      </c>
      <c r="BS209" s="2" t="s">
        <v>7142</v>
      </c>
      <c r="BT209" s="2" t="s">
        <v>7215</v>
      </c>
      <c r="BV209" s="2" t="s">
        <v>7352</v>
      </c>
      <c r="BX209" s="2" t="s">
        <v>7143</v>
      </c>
      <c r="BY209" s="2" t="s">
        <v>1580</v>
      </c>
      <c r="BZ209" s="2" t="s">
        <v>7159</v>
      </c>
      <c r="CE209" s="7">
        <v>8</v>
      </c>
      <c r="CF209" s="2">
        <v>800</v>
      </c>
      <c r="CM209" s="2">
        <v>100</v>
      </c>
      <c r="CP209" s="2">
        <v>100</v>
      </c>
      <c r="CR209" s="2" t="s">
        <v>7160</v>
      </c>
      <c r="CT209" s="2" t="s">
        <v>7143</v>
      </c>
      <c r="CU209" s="2" t="s">
        <v>7161</v>
      </c>
      <c r="CW209" s="2" t="s">
        <v>7162</v>
      </c>
      <c r="CY209" s="2" t="s">
        <v>7163</v>
      </c>
      <c r="CZ209" s="2" t="s">
        <v>7163</v>
      </c>
      <c r="DA209" s="2" t="s">
        <v>7250</v>
      </c>
      <c r="DB209" s="2" t="s">
        <v>7250</v>
      </c>
      <c r="DC209" s="2" t="s">
        <v>7250</v>
      </c>
      <c r="DD209" s="2" t="s">
        <v>7250</v>
      </c>
      <c r="DE209" s="2" t="s">
        <v>7250</v>
      </c>
      <c r="DF209" s="2" t="s">
        <v>7163</v>
      </c>
      <c r="DG209" s="2" t="s">
        <v>7163</v>
      </c>
      <c r="DH209" s="2" t="s">
        <v>7163</v>
      </c>
      <c r="DI209" s="2" t="s">
        <v>7163</v>
      </c>
      <c r="DL209" s="2" t="s">
        <v>7142</v>
      </c>
      <c r="DM209" s="2" t="s">
        <v>7142</v>
      </c>
      <c r="DN209" s="2" t="s">
        <v>7142</v>
      </c>
      <c r="DO209" s="2" t="s">
        <v>7142</v>
      </c>
      <c r="DP209" s="2" t="s">
        <v>7165</v>
      </c>
      <c r="DQ209" s="2" t="s">
        <v>7333</v>
      </c>
      <c r="DR209" s="2" t="s">
        <v>1581</v>
      </c>
      <c r="DT209" s="2" t="s">
        <v>7165</v>
      </c>
      <c r="DU209" s="2" t="s">
        <v>7165</v>
      </c>
      <c r="DV209" s="2" t="s">
        <v>7165</v>
      </c>
      <c r="DW209" s="2" t="s">
        <v>7165</v>
      </c>
      <c r="DX209" s="2" t="s">
        <v>7165</v>
      </c>
      <c r="DY209" s="2" t="s">
        <v>7165</v>
      </c>
      <c r="DZ209" s="2" t="s">
        <v>7159</v>
      </c>
      <c r="EA209" s="2" t="s">
        <v>7165</v>
      </c>
      <c r="EB209" s="2" t="s">
        <v>7165</v>
      </c>
      <c r="EF209" s="2" t="s">
        <v>7221</v>
      </c>
      <c r="EG209" s="2" t="s">
        <v>1359</v>
      </c>
      <c r="EJ209" s="2" t="s">
        <v>7144</v>
      </c>
      <c r="EK209" s="2" t="s">
        <v>7142</v>
      </c>
      <c r="EL209" s="2" t="s">
        <v>7142</v>
      </c>
      <c r="EM209" s="2" t="s">
        <v>7937</v>
      </c>
      <c r="EN209" s="2" t="s">
        <v>7170</v>
      </c>
      <c r="EP209" s="2" t="s">
        <v>7186</v>
      </c>
      <c r="ER209" s="2" t="s">
        <v>7142</v>
      </c>
      <c r="ET209" s="2" t="s">
        <v>7143</v>
      </c>
      <c r="EV209" s="2" t="s">
        <v>7142</v>
      </c>
      <c r="EW209" s="2" t="s">
        <v>7204</v>
      </c>
      <c r="EX209" s="2" t="s">
        <v>7142</v>
      </c>
      <c r="EY209" s="2" t="s">
        <v>7204</v>
      </c>
      <c r="EZ209" s="2" t="s">
        <v>7143</v>
      </c>
      <c r="FC209" s="2" t="s">
        <v>7172</v>
      </c>
      <c r="FD209" s="2" t="s">
        <v>7143</v>
      </c>
      <c r="FH209" s="2" t="s">
        <v>7173</v>
      </c>
      <c r="FJ209" s="2" t="s">
        <v>7143</v>
      </c>
      <c r="FK209" s="2" t="s">
        <v>7173</v>
      </c>
      <c r="FR209" s="2" t="s">
        <v>1583</v>
      </c>
      <c r="FT209" s="2" t="s">
        <v>7189</v>
      </c>
      <c r="FU209" s="2" t="s">
        <v>7189</v>
      </c>
      <c r="FV209" s="2" t="s">
        <v>7189</v>
      </c>
      <c r="FW209" s="2" t="s">
        <v>7189</v>
      </c>
      <c r="FX209" s="2" t="s">
        <v>7189</v>
      </c>
      <c r="FY209" s="2" t="s">
        <v>1584</v>
      </c>
      <c r="FZ209" s="19" t="s">
        <v>7938</v>
      </c>
    </row>
    <row r="210" spans="1:182">
      <c r="A210" s="7" t="s">
        <v>1585</v>
      </c>
      <c r="D210" s="7" t="s">
        <v>7939</v>
      </c>
      <c r="E210" s="7" t="s">
        <v>177</v>
      </c>
      <c r="F210" s="7" t="s">
        <v>7134</v>
      </c>
      <c r="G210" s="7" t="s">
        <v>7717</v>
      </c>
      <c r="H210" s="7" t="s">
        <v>1207</v>
      </c>
      <c r="I210" s="7" t="s">
        <v>1586</v>
      </c>
      <c r="J210" s="16" t="s">
        <v>7940</v>
      </c>
      <c r="K210" s="7" t="s">
        <v>1586</v>
      </c>
      <c r="L210" s="2" t="s">
        <v>7137</v>
      </c>
      <c r="M210" s="7" t="s">
        <v>7138</v>
      </c>
      <c r="N210" s="7">
        <v>1993</v>
      </c>
      <c r="O210" s="7" t="s">
        <v>7139</v>
      </c>
      <c r="P210" s="2" t="s">
        <v>7140</v>
      </c>
      <c r="Q210" s="2" t="s">
        <v>7141</v>
      </c>
      <c r="R210" s="2" t="s">
        <v>7143</v>
      </c>
      <c r="S210" s="2">
        <v>13</v>
      </c>
      <c r="T210" s="2" t="s">
        <v>7143</v>
      </c>
      <c r="U210" s="2" t="s">
        <v>7143</v>
      </c>
      <c r="Y210" s="2">
        <v>139</v>
      </c>
      <c r="Z210" s="17">
        <v>1.6475</v>
      </c>
      <c r="AA210" s="2">
        <v>229</v>
      </c>
      <c r="AB210" s="2">
        <v>229</v>
      </c>
      <c r="AC210" s="7">
        <v>229</v>
      </c>
      <c r="AD210" s="2">
        <v>270</v>
      </c>
      <c r="AE210" s="2">
        <v>41</v>
      </c>
      <c r="AF210" s="2" t="s">
        <v>7142</v>
      </c>
      <c r="AG210" s="2" t="s">
        <v>7143</v>
      </c>
      <c r="AH210" s="2" t="s">
        <v>7143</v>
      </c>
      <c r="AJ210" s="2" t="s">
        <v>7143</v>
      </c>
      <c r="AK210" s="2" t="s">
        <v>7143</v>
      </c>
      <c r="AL210" s="2" t="s">
        <v>7143</v>
      </c>
      <c r="AM210" s="2" t="s">
        <v>7143</v>
      </c>
      <c r="AN210" s="2" t="s">
        <v>7143</v>
      </c>
      <c r="AO210" s="2" t="s">
        <v>7143</v>
      </c>
      <c r="AR210" s="7">
        <v>1.7</v>
      </c>
      <c r="AS210" s="7">
        <v>3</v>
      </c>
      <c r="AT210" s="7">
        <v>2.8</v>
      </c>
      <c r="AU210" s="2" t="s">
        <v>7193</v>
      </c>
      <c r="AV210" s="2" t="s">
        <v>7193</v>
      </c>
      <c r="AW210" s="2" t="s">
        <v>7143</v>
      </c>
      <c r="BC210" s="2" t="s">
        <v>7147</v>
      </c>
      <c r="BD210" s="2" t="s">
        <v>7143</v>
      </c>
      <c r="BE210" s="2" t="s">
        <v>7143</v>
      </c>
      <c r="BL210" s="2" t="s">
        <v>7152</v>
      </c>
      <c r="BM210" s="2" t="s">
        <v>7153</v>
      </c>
      <c r="BN210" s="2" t="s">
        <v>7154</v>
      </c>
      <c r="BO210" s="2" t="s">
        <v>7155</v>
      </c>
      <c r="BQ210" s="2" t="s">
        <v>7156</v>
      </c>
      <c r="BS210" s="2" t="s">
        <v>7142</v>
      </c>
      <c r="BT210" s="2" t="s">
        <v>7215</v>
      </c>
      <c r="BV210" s="2" t="s">
        <v>7202</v>
      </c>
      <c r="BX210" s="2" t="s">
        <v>7143</v>
      </c>
      <c r="BZ210" s="2" t="s">
        <v>7159</v>
      </c>
      <c r="CE210" s="7">
        <v>2.8</v>
      </c>
      <c r="CF210" s="2">
        <v>270</v>
      </c>
      <c r="CK210" s="2">
        <v>100</v>
      </c>
      <c r="CO210" s="2">
        <v>100</v>
      </c>
      <c r="CR210" s="2" t="s">
        <v>7160</v>
      </c>
      <c r="CT210" s="2" t="s">
        <v>7143</v>
      </c>
      <c r="CU210" s="2" t="s">
        <v>7161</v>
      </c>
      <c r="CW210" s="2" t="s">
        <v>7162</v>
      </c>
      <c r="CY210" s="2" t="s">
        <v>7164</v>
      </c>
      <c r="CZ210" s="2" t="s">
        <v>7164</v>
      </c>
      <c r="DA210" s="2" t="s">
        <v>7164</v>
      </c>
      <c r="DB210" s="2" t="s">
        <v>7164</v>
      </c>
      <c r="DC210" s="2" t="s">
        <v>7164</v>
      </c>
      <c r="DD210" s="2" t="s">
        <v>7164</v>
      </c>
      <c r="DE210" s="2" t="s">
        <v>7164</v>
      </c>
      <c r="DF210" s="2" t="s">
        <v>7164</v>
      </c>
      <c r="DG210" s="2" t="s">
        <v>7164</v>
      </c>
      <c r="DH210" s="2" t="s">
        <v>7164</v>
      </c>
      <c r="DI210" s="2" t="s">
        <v>7164</v>
      </c>
      <c r="DL210" s="2" t="s">
        <v>7143</v>
      </c>
      <c r="DM210" s="2" t="s">
        <v>7143</v>
      </c>
      <c r="DP210" s="2" t="s">
        <v>7159</v>
      </c>
      <c r="DT210" s="2" t="s">
        <v>7159</v>
      </c>
      <c r="DU210" s="2" t="s">
        <v>7159</v>
      </c>
      <c r="DV210" s="2" t="s">
        <v>7159</v>
      </c>
      <c r="DW210" s="2" t="s">
        <v>7159</v>
      </c>
      <c r="DX210" s="2" t="s">
        <v>7159</v>
      </c>
      <c r="DY210" s="2" t="s">
        <v>7159</v>
      </c>
      <c r="DZ210" s="2" t="s">
        <v>7159</v>
      </c>
      <c r="EA210" s="2" t="s">
        <v>7159</v>
      </c>
      <c r="EB210" s="2" t="s">
        <v>7159</v>
      </c>
      <c r="EJ210" s="2" t="s">
        <v>7193</v>
      </c>
      <c r="EK210" s="2" t="s">
        <v>7143</v>
      </c>
      <c r="EL210" s="2" t="s">
        <v>7143</v>
      </c>
      <c r="EN210" s="2" t="s">
        <v>7307</v>
      </c>
      <c r="ER210" s="2" t="s">
        <v>7143</v>
      </c>
      <c r="ET210" s="2" t="s">
        <v>7143</v>
      </c>
      <c r="EV210" s="2" t="s">
        <v>7143</v>
      </c>
      <c r="EX210" s="2" t="s">
        <v>7143</v>
      </c>
      <c r="FC210" s="2" t="s">
        <v>7218</v>
      </c>
      <c r="FD210" s="2" t="s">
        <v>7143</v>
      </c>
      <c r="FH210" s="2" t="s">
        <v>7173</v>
      </c>
      <c r="FJ210" s="2" t="s">
        <v>7142</v>
      </c>
      <c r="FK210" s="2" t="s">
        <v>7173</v>
      </c>
      <c r="FN210" s="2" t="s">
        <v>7344</v>
      </c>
      <c r="FT210" s="2" t="s">
        <v>7189</v>
      </c>
      <c r="FU210" s="2" t="s">
        <v>7189</v>
      </c>
      <c r="FV210" s="2" t="s">
        <v>7189</v>
      </c>
      <c r="FW210" s="2" t="s">
        <v>7189</v>
      </c>
      <c r="FZ210" s="19" t="s">
        <v>7941</v>
      </c>
    </row>
    <row r="211" spans="1:182">
      <c r="A211" s="7" t="s">
        <v>1587</v>
      </c>
      <c r="D211" s="7" t="s">
        <v>7942</v>
      </c>
      <c r="E211" s="7" t="s">
        <v>177</v>
      </c>
      <c r="F211" s="7" t="s">
        <v>7245</v>
      </c>
      <c r="G211" s="7" t="s">
        <v>7717</v>
      </c>
      <c r="H211" s="7" t="s">
        <v>1263</v>
      </c>
      <c r="I211" s="7" t="s">
        <v>1588</v>
      </c>
      <c r="J211" s="16" t="s">
        <v>7943</v>
      </c>
      <c r="K211" s="7" t="s">
        <v>1588</v>
      </c>
      <c r="L211" s="7" t="s">
        <v>7137</v>
      </c>
      <c r="M211" s="7" t="s">
        <v>7138</v>
      </c>
      <c r="N211" s="7">
        <v>1985</v>
      </c>
      <c r="O211" s="7" t="s">
        <v>7180</v>
      </c>
      <c r="P211" s="7" t="s">
        <v>7140</v>
      </c>
      <c r="Q211" s="7" t="s">
        <v>7141</v>
      </c>
      <c r="R211" s="7" t="s">
        <v>7143</v>
      </c>
      <c r="S211" s="2">
        <v>2013</v>
      </c>
      <c r="T211" s="7" t="s">
        <v>7143</v>
      </c>
      <c r="U211" s="7" t="s">
        <v>7143</v>
      </c>
      <c r="Y211" s="2">
        <v>600</v>
      </c>
      <c r="Z211" s="17">
        <v>1</v>
      </c>
      <c r="AA211" s="2">
        <v>600</v>
      </c>
      <c r="AB211" s="2">
        <v>600</v>
      </c>
      <c r="AC211" s="7">
        <v>430</v>
      </c>
      <c r="AD211" s="2">
        <v>500</v>
      </c>
      <c r="AE211" s="2">
        <v>70</v>
      </c>
      <c r="AF211" s="2" t="s">
        <v>7143</v>
      </c>
      <c r="AG211" s="2" t="s">
        <v>7142</v>
      </c>
      <c r="AH211" s="2" t="s">
        <v>7142</v>
      </c>
      <c r="AI211" s="2" t="s">
        <v>346</v>
      </c>
      <c r="AJ211" s="2" t="s">
        <v>7143</v>
      </c>
      <c r="AK211" s="2" t="s">
        <v>7142</v>
      </c>
      <c r="AL211" s="2" t="s">
        <v>7143</v>
      </c>
      <c r="AM211" s="7" t="s">
        <v>7142</v>
      </c>
      <c r="AN211" s="7" t="s">
        <v>7143</v>
      </c>
      <c r="AO211" s="7" t="s">
        <v>7142</v>
      </c>
      <c r="AR211" s="7">
        <v>1.1000000000000001</v>
      </c>
      <c r="AS211" s="7">
        <v>2</v>
      </c>
      <c r="AT211" s="7">
        <v>5</v>
      </c>
      <c r="AU211" s="7" t="s">
        <v>7144</v>
      </c>
      <c r="AV211" s="7" t="s">
        <v>7144</v>
      </c>
      <c r="AW211" s="7" t="s">
        <v>7143</v>
      </c>
      <c r="AZ211" s="7" t="s">
        <v>7145</v>
      </c>
      <c r="BB211" s="7" t="s">
        <v>7214</v>
      </c>
      <c r="BC211" s="7" t="s">
        <v>7247</v>
      </c>
      <c r="BD211" s="7" t="s">
        <v>7142</v>
      </c>
      <c r="BE211" s="7" t="s">
        <v>7142</v>
      </c>
      <c r="BF211" s="7" t="s">
        <v>7148</v>
      </c>
      <c r="BG211" s="7" t="s">
        <v>7149</v>
      </c>
      <c r="BH211" s="7" t="s">
        <v>7233</v>
      </c>
      <c r="BI211" s="7" t="s">
        <v>7151</v>
      </c>
      <c r="BL211" s="7" t="s">
        <v>7152</v>
      </c>
      <c r="BM211" s="7" t="s">
        <v>7153</v>
      </c>
      <c r="BN211" s="7" t="s">
        <v>7154</v>
      </c>
      <c r="BO211" s="7" t="s">
        <v>7155</v>
      </c>
      <c r="BQ211" s="2" t="s">
        <v>7156</v>
      </c>
      <c r="BS211" s="7" t="s">
        <v>7142</v>
      </c>
      <c r="BT211" s="2" t="s">
        <v>7215</v>
      </c>
      <c r="BV211" s="2" t="s">
        <v>7772</v>
      </c>
      <c r="BX211" s="2" t="s">
        <v>7142</v>
      </c>
      <c r="BY211" s="2" t="s">
        <v>310</v>
      </c>
      <c r="BZ211" s="2" t="s">
        <v>7159</v>
      </c>
      <c r="CE211" s="7">
        <v>5</v>
      </c>
      <c r="CF211" s="2">
        <v>490</v>
      </c>
      <c r="CK211" s="2">
        <v>100</v>
      </c>
      <c r="CO211" s="2">
        <v>100</v>
      </c>
      <c r="CR211" s="2" t="s">
        <v>7160</v>
      </c>
      <c r="CT211" s="2" t="s">
        <v>7143</v>
      </c>
      <c r="CU211" s="2" t="s">
        <v>7161</v>
      </c>
      <c r="CW211" s="2" t="s">
        <v>7162</v>
      </c>
      <c r="CY211" s="7" t="s">
        <v>7163</v>
      </c>
      <c r="CZ211" s="7" t="s">
        <v>7163</v>
      </c>
      <c r="DA211" s="7" t="s">
        <v>7227</v>
      </c>
      <c r="DB211" s="7" t="s">
        <v>7227</v>
      </c>
      <c r="DC211" s="7" t="s">
        <v>7250</v>
      </c>
      <c r="DD211" s="7" t="s">
        <v>7251</v>
      </c>
      <c r="DE211" s="7" t="s">
        <v>7163</v>
      </c>
      <c r="DF211" s="7" t="s">
        <v>7163</v>
      </c>
      <c r="DG211" s="2" t="s">
        <v>7163</v>
      </c>
      <c r="DH211" s="2" t="s">
        <v>7163</v>
      </c>
      <c r="DI211" s="2" t="s">
        <v>7164</v>
      </c>
      <c r="DL211" s="7" t="s">
        <v>7142</v>
      </c>
      <c r="DM211" s="7" t="s">
        <v>7142</v>
      </c>
      <c r="DN211" s="7" t="s">
        <v>7142</v>
      </c>
      <c r="DO211" s="7" t="s">
        <v>7142</v>
      </c>
      <c r="DP211" s="7" t="s">
        <v>7165</v>
      </c>
      <c r="DQ211" s="7" t="s">
        <v>7166</v>
      </c>
      <c r="DS211" s="7" t="s">
        <v>7165</v>
      </c>
      <c r="DT211" s="7" t="s">
        <v>7165</v>
      </c>
      <c r="DU211" s="7" t="s">
        <v>7165</v>
      </c>
      <c r="DV211" s="7" t="s">
        <v>7165</v>
      </c>
      <c r="DW211" s="7" t="s">
        <v>7165</v>
      </c>
      <c r="DX211" s="7" t="s">
        <v>7165</v>
      </c>
      <c r="DY211" s="7" t="s">
        <v>7159</v>
      </c>
      <c r="DZ211" s="7" t="s">
        <v>7159</v>
      </c>
      <c r="EA211" s="7" t="s">
        <v>7165</v>
      </c>
      <c r="EB211" s="7" t="s">
        <v>7159</v>
      </c>
      <c r="EC211" s="7"/>
      <c r="ED211" s="7"/>
      <c r="EE211" s="7"/>
      <c r="EF211" s="7" t="s">
        <v>7167</v>
      </c>
      <c r="EJ211" s="2" t="s">
        <v>7144</v>
      </c>
      <c r="EK211" s="2" t="s">
        <v>7142</v>
      </c>
      <c r="EL211" s="2" t="s">
        <v>7143</v>
      </c>
      <c r="EN211" s="2" t="s">
        <v>7170</v>
      </c>
      <c r="EP211" s="2" t="s">
        <v>7186</v>
      </c>
      <c r="ER211" s="2" t="s">
        <v>7142</v>
      </c>
      <c r="ET211" s="2" t="s">
        <v>7143</v>
      </c>
      <c r="EV211" s="2" t="s">
        <v>7142</v>
      </c>
      <c r="EW211" s="2" t="s">
        <v>7204</v>
      </c>
      <c r="EX211" s="2" t="s">
        <v>7142</v>
      </c>
      <c r="EY211" s="2" t="s">
        <v>7204</v>
      </c>
      <c r="FC211" s="2" t="s">
        <v>7172</v>
      </c>
      <c r="FD211" s="2" t="s">
        <v>7143</v>
      </c>
      <c r="FH211" s="7" t="s">
        <v>7173</v>
      </c>
      <c r="FJ211" s="7" t="s">
        <v>7142</v>
      </c>
      <c r="FK211" s="7" t="s">
        <v>7165</v>
      </c>
      <c r="FL211" s="7" t="s">
        <v>7260</v>
      </c>
      <c r="FN211" s="2" t="s">
        <v>7253</v>
      </c>
      <c r="FT211" s="2" t="s">
        <v>7176</v>
      </c>
      <c r="FU211" s="2" t="s">
        <v>7189</v>
      </c>
      <c r="FV211" s="2" t="s">
        <v>7189</v>
      </c>
      <c r="FW211" s="2" t="s">
        <v>7189</v>
      </c>
      <c r="FZ211" s="19" t="s">
        <v>7944</v>
      </c>
    </row>
    <row r="212" spans="1:182">
      <c r="A212" s="7" t="s">
        <v>1589</v>
      </c>
      <c r="D212" s="7" t="s">
        <v>7945</v>
      </c>
      <c r="E212" s="7" t="s">
        <v>1590</v>
      </c>
      <c r="F212" s="7" t="s">
        <v>7389</v>
      </c>
      <c r="G212" s="7" t="s">
        <v>7717</v>
      </c>
      <c r="H212" s="2" t="s">
        <v>1219</v>
      </c>
      <c r="I212" s="7" t="s">
        <v>1591</v>
      </c>
      <c r="J212" s="16" t="s">
        <v>7946</v>
      </c>
      <c r="K212" s="7" t="s">
        <v>1591</v>
      </c>
      <c r="L212" s="2" t="s">
        <v>7137</v>
      </c>
      <c r="M212" s="7" t="s">
        <v>7138</v>
      </c>
      <c r="N212" s="7">
        <v>1996</v>
      </c>
      <c r="O212" s="7" t="s">
        <v>7139</v>
      </c>
      <c r="P212" s="7" t="s">
        <v>7140</v>
      </c>
      <c r="Q212" s="2" t="s">
        <v>7182</v>
      </c>
      <c r="R212" s="2" t="s">
        <v>7143</v>
      </c>
      <c r="S212" s="2">
        <v>11</v>
      </c>
      <c r="T212" s="2" t="s">
        <v>7143</v>
      </c>
      <c r="U212" s="2" t="s">
        <v>7143</v>
      </c>
      <c r="Y212" s="2">
        <v>380</v>
      </c>
      <c r="Z212" s="17">
        <v>1</v>
      </c>
      <c r="AA212" s="2">
        <v>380</v>
      </c>
      <c r="AB212" s="2">
        <v>380</v>
      </c>
      <c r="AC212" s="7">
        <v>380</v>
      </c>
      <c r="AD212" s="2">
        <v>500</v>
      </c>
      <c r="AE212" s="2">
        <v>120</v>
      </c>
      <c r="AF212" s="2" t="s">
        <v>7143</v>
      </c>
      <c r="AG212" s="2" t="s">
        <v>7143</v>
      </c>
      <c r="AH212" s="2" t="s">
        <v>7143</v>
      </c>
      <c r="AJ212" s="2" t="s">
        <v>7143</v>
      </c>
      <c r="AK212" s="2" t="s">
        <v>7143</v>
      </c>
      <c r="AL212" s="2" t="s">
        <v>7143</v>
      </c>
      <c r="AM212" s="2" t="s">
        <v>7143</v>
      </c>
      <c r="AN212" s="2" t="s">
        <v>7143</v>
      </c>
      <c r="AO212" s="2" t="s">
        <v>7143</v>
      </c>
      <c r="AR212" s="7">
        <v>1.8</v>
      </c>
      <c r="AS212" s="7">
        <v>4</v>
      </c>
      <c r="AT212" s="7">
        <v>3.4</v>
      </c>
      <c r="AU212" s="2" t="s">
        <v>7193</v>
      </c>
      <c r="AV212" s="2" t="s">
        <v>7144</v>
      </c>
      <c r="AW212" s="2" t="s">
        <v>7143</v>
      </c>
      <c r="AZ212" s="2" t="s">
        <v>7145</v>
      </c>
      <c r="BB212" s="2" t="s">
        <v>7214</v>
      </c>
      <c r="BC212" s="2" t="s">
        <v>7247</v>
      </c>
      <c r="BD212" s="2" t="s">
        <v>7142</v>
      </c>
      <c r="BE212" s="2" t="s">
        <v>7142</v>
      </c>
      <c r="BF212" s="2" t="s">
        <v>7148</v>
      </c>
      <c r="BG212" s="2" t="s">
        <v>7149</v>
      </c>
      <c r="BH212" s="2" t="s">
        <v>7233</v>
      </c>
      <c r="BI212" s="2" t="s">
        <v>7151</v>
      </c>
      <c r="BL212" s="2" t="s">
        <v>7152</v>
      </c>
      <c r="BM212" s="2" t="s">
        <v>7355</v>
      </c>
      <c r="BN212" s="2" t="s">
        <v>7154</v>
      </c>
      <c r="BO212" s="2" t="s">
        <v>7155</v>
      </c>
      <c r="BQ212" s="2" t="s">
        <v>7183</v>
      </c>
      <c r="BS212" s="2" t="s">
        <v>7142</v>
      </c>
      <c r="BT212" s="2" t="s">
        <v>7768</v>
      </c>
      <c r="BV212" s="2" t="s">
        <v>7197</v>
      </c>
      <c r="BX212" s="2" t="s">
        <v>7142</v>
      </c>
      <c r="BY212" s="2" t="s">
        <v>1592</v>
      </c>
      <c r="BZ212" s="2" t="s">
        <v>7173</v>
      </c>
      <c r="CE212" s="7">
        <v>3.4</v>
      </c>
      <c r="CF212" s="2">
        <v>500</v>
      </c>
      <c r="CM212" s="2">
        <v>100</v>
      </c>
      <c r="CO212" s="2">
        <v>100</v>
      </c>
      <c r="CR212" s="2" t="s">
        <v>7160</v>
      </c>
      <c r="CT212" s="2" t="s">
        <v>7143</v>
      </c>
      <c r="CU212" s="2" t="s">
        <v>7161</v>
      </c>
      <c r="CW212" s="2" t="s">
        <v>7162</v>
      </c>
      <c r="CY212" s="2" t="s">
        <v>7163</v>
      </c>
      <c r="CZ212" s="2" t="s">
        <v>7164</v>
      </c>
      <c r="DA212" s="2" t="s">
        <v>7164</v>
      </c>
      <c r="DB212" s="2" t="s">
        <v>7164</v>
      </c>
      <c r="DC212" s="2" t="s">
        <v>7164</v>
      </c>
      <c r="DD212" s="2" t="s">
        <v>7164</v>
      </c>
      <c r="DE212" s="2" t="s">
        <v>7164</v>
      </c>
      <c r="DF212" s="2" t="s">
        <v>7164</v>
      </c>
      <c r="DG212" s="2" t="s">
        <v>7164</v>
      </c>
      <c r="DH212" s="2" t="s">
        <v>7164</v>
      </c>
      <c r="DI212" s="2" t="s">
        <v>7164</v>
      </c>
      <c r="DL212" s="2" t="s">
        <v>7142</v>
      </c>
      <c r="DM212" s="2" t="s">
        <v>7142</v>
      </c>
      <c r="DN212" s="2" t="s">
        <v>7142</v>
      </c>
      <c r="DO212" s="2" t="s">
        <v>7142</v>
      </c>
      <c r="DP212" s="2" t="s">
        <v>7159</v>
      </c>
      <c r="DT212" s="2" t="s">
        <v>7165</v>
      </c>
      <c r="DU212" s="2" t="s">
        <v>7165</v>
      </c>
      <c r="DV212" s="2" t="s">
        <v>7165</v>
      </c>
      <c r="DW212" s="2" t="s">
        <v>7165</v>
      </c>
      <c r="DX212" s="2" t="s">
        <v>7165</v>
      </c>
      <c r="DY212" s="2" t="s">
        <v>7165</v>
      </c>
      <c r="DZ212" s="2" t="s">
        <v>7165</v>
      </c>
      <c r="EA212" s="2" t="s">
        <v>7165</v>
      </c>
      <c r="EB212" s="2" t="s">
        <v>7165</v>
      </c>
      <c r="EC212" s="2" t="s">
        <v>7173</v>
      </c>
      <c r="EF212" s="2" t="s">
        <v>7221</v>
      </c>
      <c r="EG212" s="2" t="s">
        <v>1593</v>
      </c>
      <c r="EJ212" s="2" t="s">
        <v>7217</v>
      </c>
      <c r="EK212" s="2" t="s">
        <v>7143</v>
      </c>
      <c r="EL212" s="2" t="s">
        <v>7143</v>
      </c>
      <c r="EN212" s="2" t="s">
        <v>7210</v>
      </c>
      <c r="EP212" s="2" t="s">
        <v>7186</v>
      </c>
      <c r="ER212" s="2" t="s">
        <v>7143</v>
      </c>
      <c r="ET212" s="2" t="s">
        <v>7143</v>
      </c>
      <c r="EV212" s="2" t="s">
        <v>7143</v>
      </c>
      <c r="EX212" s="2" t="s">
        <v>7143</v>
      </c>
      <c r="EZ212" s="2" t="s">
        <v>7143</v>
      </c>
      <c r="FC212" s="2" t="s">
        <v>7172</v>
      </c>
      <c r="FD212" s="2" t="s">
        <v>7143</v>
      </c>
      <c r="FH212" s="2" t="s">
        <v>7173</v>
      </c>
      <c r="FJ212" s="2" t="s">
        <v>7143</v>
      </c>
      <c r="FK212" s="2" t="s">
        <v>7173</v>
      </c>
      <c r="FN212" s="2" t="s">
        <v>7322</v>
      </c>
      <c r="FR212" s="2" t="s">
        <v>433</v>
      </c>
      <c r="FT212" s="2" t="s">
        <v>7176</v>
      </c>
      <c r="FU212" s="2" t="s">
        <v>7176</v>
      </c>
      <c r="FV212" s="2" t="s">
        <v>7176</v>
      </c>
      <c r="FW212" s="2" t="s">
        <v>7189</v>
      </c>
      <c r="FZ212" s="19" t="s">
        <v>7947</v>
      </c>
    </row>
    <row r="213" spans="1:182">
      <c r="A213" s="7" t="s">
        <v>1594</v>
      </c>
      <c r="D213" s="7" t="s">
        <v>7948</v>
      </c>
      <c r="E213" s="7" t="s">
        <v>1595</v>
      </c>
      <c r="F213" s="7" t="s">
        <v>7339</v>
      </c>
      <c r="G213" s="7" t="s">
        <v>7717</v>
      </c>
      <c r="H213" s="7" t="s">
        <v>1212</v>
      </c>
      <c r="I213" s="7" t="s">
        <v>922</v>
      </c>
      <c r="J213" s="19" t="s">
        <v>7949</v>
      </c>
      <c r="K213" s="7" t="s">
        <v>922</v>
      </c>
      <c r="L213" s="2" t="s">
        <v>7137</v>
      </c>
      <c r="M213" s="7" t="s">
        <v>7138</v>
      </c>
      <c r="N213" s="7">
        <v>1984</v>
      </c>
      <c r="O213" s="7" t="s">
        <v>7139</v>
      </c>
      <c r="P213" s="2" t="s">
        <v>7140</v>
      </c>
      <c r="Q213" s="2" t="s">
        <v>7225</v>
      </c>
      <c r="R213" s="2" t="s">
        <v>7143</v>
      </c>
      <c r="S213" s="2">
        <v>17</v>
      </c>
      <c r="T213" s="2" t="s">
        <v>7143</v>
      </c>
      <c r="U213" s="2" t="s">
        <v>7143</v>
      </c>
      <c r="Y213" s="2">
        <v>158</v>
      </c>
      <c r="Z213" s="17">
        <v>1</v>
      </c>
      <c r="AA213" s="2">
        <v>158</v>
      </c>
      <c r="AB213" s="2">
        <v>158</v>
      </c>
      <c r="AC213" s="7">
        <v>158</v>
      </c>
      <c r="AD213" s="2">
        <v>208</v>
      </c>
      <c r="AE213" s="2">
        <v>50</v>
      </c>
      <c r="AF213" s="2" t="s">
        <v>7143</v>
      </c>
      <c r="AG213" s="2" t="s">
        <v>7143</v>
      </c>
      <c r="AH213" s="2" t="s">
        <v>7143</v>
      </c>
      <c r="AJ213" s="2" t="s">
        <v>7143</v>
      </c>
      <c r="AK213" s="2" t="s">
        <v>7143</v>
      </c>
      <c r="AL213" s="2" t="s">
        <v>7143</v>
      </c>
      <c r="AM213" s="2" t="s">
        <v>7143</v>
      </c>
      <c r="AN213" s="2" t="s">
        <v>7143</v>
      </c>
      <c r="AO213" s="2" t="s">
        <v>7143</v>
      </c>
      <c r="AR213" s="7">
        <v>1.6</v>
      </c>
      <c r="AS213" s="7">
        <v>2</v>
      </c>
      <c r="AT213" s="7">
        <v>2.1</v>
      </c>
      <c r="AU213" s="2" t="s">
        <v>7193</v>
      </c>
      <c r="AV213" s="2" t="s">
        <v>7193</v>
      </c>
      <c r="AW213" s="2" t="s">
        <v>7143</v>
      </c>
      <c r="AZ213" s="2" t="s">
        <v>7145</v>
      </c>
      <c r="BB213" s="2" t="s">
        <v>7214</v>
      </c>
      <c r="BC213" s="2" t="s">
        <v>7247</v>
      </c>
      <c r="BD213" s="2" t="s">
        <v>7143</v>
      </c>
      <c r="BE213" s="2" t="s">
        <v>7142</v>
      </c>
      <c r="BF213" s="2" t="s">
        <v>7148</v>
      </c>
      <c r="BG213" s="2" t="s">
        <v>7149</v>
      </c>
      <c r="BH213" s="2" t="s">
        <v>7150</v>
      </c>
      <c r="BI213" s="2" t="s">
        <v>7151</v>
      </c>
      <c r="BL213" s="2" t="s">
        <v>7195</v>
      </c>
      <c r="BO213" s="2" t="s">
        <v>7155</v>
      </c>
      <c r="BQ213" s="2" t="s">
        <v>7183</v>
      </c>
      <c r="BS213" s="2" t="s">
        <v>7143</v>
      </c>
      <c r="BT213" s="2" t="s">
        <v>7341</v>
      </c>
      <c r="BV213" s="2" t="s">
        <v>7407</v>
      </c>
      <c r="BX213" s="2" t="s">
        <v>7142</v>
      </c>
      <c r="BY213" s="2" t="s">
        <v>1596</v>
      </c>
      <c r="BZ213" s="2" t="s">
        <v>7173</v>
      </c>
      <c r="CE213" s="7">
        <v>2.1</v>
      </c>
      <c r="CF213" s="2">
        <v>208</v>
      </c>
      <c r="CK213" s="2">
        <v>100</v>
      </c>
      <c r="CO213" s="2">
        <v>100</v>
      </c>
      <c r="CR213" s="2" t="s">
        <v>7276</v>
      </c>
      <c r="CT213" s="2" t="s">
        <v>7143</v>
      </c>
      <c r="CU213" s="2" t="s">
        <v>7454</v>
      </c>
      <c r="CW213" s="2" t="s">
        <v>7162</v>
      </c>
      <c r="CY213" s="2" t="s">
        <v>7250</v>
      </c>
      <c r="CZ213" s="2" t="s">
        <v>7250</v>
      </c>
      <c r="DA213" s="2" t="s">
        <v>7250</v>
      </c>
      <c r="DB213" s="2" t="s">
        <v>7250</v>
      </c>
      <c r="DC213" s="2" t="s">
        <v>7250</v>
      </c>
      <c r="DD213" s="2" t="s">
        <v>7250</v>
      </c>
      <c r="DE213" s="2" t="s">
        <v>7250</v>
      </c>
      <c r="DF213" s="2" t="s">
        <v>7250</v>
      </c>
      <c r="DG213" s="2" t="s">
        <v>7163</v>
      </c>
      <c r="DH213" s="2" t="s">
        <v>7250</v>
      </c>
      <c r="DI213" s="2" t="s">
        <v>7250</v>
      </c>
      <c r="DL213" s="2" t="s">
        <v>7142</v>
      </c>
      <c r="DM213" s="2" t="s">
        <v>7142</v>
      </c>
      <c r="DN213" s="2" t="s">
        <v>7142</v>
      </c>
      <c r="DO213" s="2" t="s">
        <v>7142</v>
      </c>
      <c r="DP213" s="2" t="s">
        <v>7165</v>
      </c>
      <c r="DQ213" s="2" t="s">
        <v>7166</v>
      </c>
      <c r="DT213" s="2" t="s">
        <v>7159</v>
      </c>
      <c r="DU213" s="2" t="s">
        <v>7159</v>
      </c>
      <c r="DV213" s="2" t="s">
        <v>7159</v>
      </c>
      <c r="DW213" s="2" t="s">
        <v>7159</v>
      </c>
      <c r="DX213" s="2" t="s">
        <v>7159</v>
      </c>
      <c r="DY213" s="2" t="s">
        <v>7159</v>
      </c>
      <c r="DZ213" s="2" t="s">
        <v>7159</v>
      </c>
      <c r="EA213" s="2" t="s">
        <v>7159</v>
      </c>
      <c r="EB213" s="2" t="s">
        <v>7159</v>
      </c>
      <c r="EC213" s="2" t="s">
        <v>7159</v>
      </c>
      <c r="EF213" s="2" t="s">
        <v>7349</v>
      </c>
      <c r="EG213" s="2" t="s">
        <v>1597</v>
      </c>
      <c r="EJ213" s="2" t="s">
        <v>7217</v>
      </c>
      <c r="EK213" s="2" t="s">
        <v>7143</v>
      </c>
      <c r="EL213" s="2" t="s">
        <v>7143</v>
      </c>
      <c r="EN213" s="2" t="s">
        <v>7170</v>
      </c>
      <c r="EP213" s="2" t="s">
        <v>7186</v>
      </c>
      <c r="ER213" s="2" t="s">
        <v>7143</v>
      </c>
      <c r="ET213" s="2" t="s">
        <v>7143</v>
      </c>
      <c r="EV213" s="2" t="s">
        <v>7143</v>
      </c>
      <c r="EW213" s="2" t="s">
        <v>7204</v>
      </c>
      <c r="EX213" s="2" t="s">
        <v>7143</v>
      </c>
      <c r="EZ213" s="2" t="s">
        <v>7143</v>
      </c>
      <c r="FC213" s="2" t="s">
        <v>7309</v>
      </c>
      <c r="FD213" s="2" t="s">
        <v>7143</v>
      </c>
      <c r="FH213" s="2" t="s">
        <v>7173</v>
      </c>
      <c r="FJ213" s="2" t="s">
        <v>7143</v>
      </c>
      <c r="FK213" s="2" t="s">
        <v>7173</v>
      </c>
      <c r="FN213" s="2" t="s">
        <v>7344</v>
      </c>
      <c r="FR213" s="2" t="s">
        <v>1598</v>
      </c>
      <c r="FT213" s="2" t="s">
        <v>7189</v>
      </c>
      <c r="FU213" s="2" t="s">
        <v>7189</v>
      </c>
      <c r="FV213" s="2" t="s">
        <v>7189</v>
      </c>
      <c r="FW213" s="2" t="s">
        <v>7189</v>
      </c>
      <c r="FX213" s="2" t="s">
        <v>7189</v>
      </c>
      <c r="FZ213" s="19" t="s">
        <v>7950</v>
      </c>
    </row>
    <row r="214" spans="1:182">
      <c r="A214" s="7" t="s">
        <v>1599</v>
      </c>
      <c r="D214" s="7" t="s">
        <v>7951</v>
      </c>
      <c r="E214" s="7" t="s">
        <v>1600</v>
      </c>
      <c r="F214" s="7" t="s">
        <v>7339</v>
      </c>
      <c r="G214" s="7" t="s">
        <v>7717</v>
      </c>
      <c r="H214" s="7" t="s">
        <v>1212</v>
      </c>
      <c r="I214" s="7" t="s">
        <v>1601</v>
      </c>
      <c r="J214" s="16" t="s">
        <v>7952</v>
      </c>
      <c r="K214" s="7" t="s">
        <v>1601</v>
      </c>
      <c r="L214" s="2" t="s">
        <v>7137</v>
      </c>
      <c r="M214" s="7" t="s">
        <v>7138</v>
      </c>
      <c r="N214" s="7">
        <v>1990</v>
      </c>
      <c r="O214" s="7" t="s">
        <v>7139</v>
      </c>
      <c r="P214" s="2" t="s">
        <v>7140</v>
      </c>
      <c r="Q214" s="2" t="s">
        <v>7141</v>
      </c>
      <c r="R214" s="2" t="s">
        <v>7143</v>
      </c>
      <c r="S214" s="2">
        <v>13</v>
      </c>
      <c r="T214" s="2" t="s">
        <v>7143</v>
      </c>
      <c r="U214" s="2" t="s">
        <v>7143</v>
      </c>
      <c r="Y214" s="2">
        <v>103</v>
      </c>
      <c r="Z214" s="17">
        <v>0.85440000000000005</v>
      </c>
      <c r="AA214" s="2">
        <v>88</v>
      </c>
      <c r="AB214" s="2">
        <v>88</v>
      </c>
      <c r="AC214" s="7">
        <v>88</v>
      </c>
      <c r="AD214" s="2">
        <v>148</v>
      </c>
      <c r="AE214" s="2">
        <v>60</v>
      </c>
      <c r="AF214" s="2" t="s">
        <v>7143</v>
      </c>
      <c r="AG214" s="2" t="s">
        <v>7143</v>
      </c>
      <c r="AH214" s="2" t="s">
        <v>7143</v>
      </c>
      <c r="AJ214" s="2" t="s">
        <v>7143</v>
      </c>
      <c r="AK214" s="2" t="s">
        <v>7143</v>
      </c>
      <c r="AL214" s="2" t="s">
        <v>7143</v>
      </c>
      <c r="AM214" s="2" t="s">
        <v>7142</v>
      </c>
      <c r="AN214" s="2" t="s">
        <v>7143</v>
      </c>
      <c r="AO214" s="2" t="s">
        <v>7143</v>
      </c>
      <c r="AR214" s="7">
        <v>1</v>
      </c>
      <c r="AS214" s="7">
        <v>2</v>
      </c>
      <c r="AT214" s="7">
        <v>1.5</v>
      </c>
      <c r="AU214" s="2" t="s">
        <v>7193</v>
      </c>
      <c r="AV214" s="2" t="s">
        <v>7193</v>
      </c>
      <c r="AZ214" s="2" t="s">
        <v>7145</v>
      </c>
      <c r="BB214" s="2" t="s">
        <v>7214</v>
      </c>
      <c r="BC214" s="2" t="s">
        <v>7247</v>
      </c>
      <c r="BD214" s="2" t="s">
        <v>7143</v>
      </c>
      <c r="BE214" s="2" t="s">
        <v>7142</v>
      </c>
      <c r="BF214" s="2" t="s">
        <v>7148</v>
      </c>
      <c r="BG214" s="2" t="s">
        <v>7149</v>
      </c>
      <c r="BH214" s="2" t="s">
        <v>7233</v>
      </c>
      <c r="BI214" s="2" t="s">
        <v>7396</v>
      </c>
      <c r="BL214" s="2" t="s">
        <v>7195</v>
      </c>
      <c r="BO214" s="2" t="s">
        <v>7155</v>
      </c>
      <c r="BQ214" s="2" t="s">
        <v>7156</v>
      </c>
      <c r="BS214" s="2" t="s">
        <v>7142</v>
      </c>
      <c r="BT214" s="2" t="s">
        <v>7341</v>
      </c>
      <c r="BV214" s="2" t="s">
        <v>7342</v>
      </c>
      <c r="BX214" s="2" t="s">
        <v>7142</v>
      </c>
      <c r="BY214" s="2" t="s">
        <v>1602</v>
      </c>
      <c r="BZ214" s="2" t="s">
        <v>7159</v>
      </c>
      <c r="CE214" s="7">
        <v>1.5</v>
      </c>
      <c r="CK214" s="2">
        <v>100</v>
      </c>
      <c r="CO214" s="2">
        <v>100</v>
      </c>
      <c r="CR214" s="2" t="s">
        <v>7276</v>
      </c>
      <c r="CT214" s="2" t="s">
        <v>7143</v>
      </c>
      <c r="CU214" s="2" t="s">
        <v>7454</v>
      </c>
      <c r="CW214" s="2" t="s">
        <v>7162</v>
      </c>
      <c r="CY214" s="2" t="s">
        <v>7250</v>
      </c>
      <c r="CZ214" s="2" t="s">
        <v>7250</v>
      </c>
      <c r="DA214" s="2" t="s">
        <v>7250</v>
      </c>
      <c r="DB214" s="2" t="s">
        <v>7250</v>
      </c>
      <c r="DC214" s="2" t="s">
        <v>7250</v>
      </c>
      <c r="DD214" s="2" t="s">
        <v>7250</v>
      </c>
      <c r="DE214" s="2" t="s">
        <v>7250</v>
      </c>
      <c r="DF214" s="2" t="s">
        <v>7250</v>
      </c>
      <c r="DG214" s="2" t="s">
        <v>7163</v>
      </c>
      <c r="DH214" s="2" t="s">
        <v>7250</v>
      </c>
      <c r="DI214" s="2" t="s">
        <v>7164</v>
      </c>
      <c r="DL214" s="2" t="s">
        <v>7142</v>
      </c>
      <c r="DM214" s="2" t="s">
        <v>7142</v>
      </c>
      <c r="DN214" s="2" t="s">
        <v>7142</v>
      </c>
      <c r="DO214" s="2" t="s">
        <v>7142</v>
      </c>
      <c r="DP214" s="2" t="s">
        <v>7165</v>
      </c>
      <c r="DQ214" s="2" t="s">
        <v>7166</v>
      </c>
      <c r="DT214" s="2" t="s">
        <v>7159</v>
      </c>
      <c r="DU214" s="2" t="s">
        <v>7165</v>
      </c>
      <c r="DV214" s="2" t="s">
        <v>7165</v>
      </c>
      <c r="DW214" s="2" t="s">
        <v>7159</v>
      </c>
      <c r="DX214" s="2" t="s">
        <v>7159</v>
      </c>
      <c r="DY214" s="2" t="s">
        <v>7159</v>
      </c>
      <c r="DZ214" s="2" t="s">
        <v>7159</v>
      </c>
      <c r="EA214" s="2" t="s">
        <v>7159</v>
      </c>
      <c r="EB214" s="2" t="s">
        <v>7159</v>
      </c>
      <c r="EF214" s="2" t="s">
        <v>7349</v>
      </c>
      <c r="EG214" s="2" t="s">
        <v>1603</v>
      </c>
      <c r="EJ214" s="2" t="s">
        <v>7193</v>
      </c>
      <c r="EK214" s="2" t="s">
        <v>7143</v>
      </c>
      <c r="EL214" s="2" t="s">
        <v>7143</v>
      </c>
      <c r="EN214" s="2" t="s">
        <v>7210</v>
      </c>
      <c r="EP214" s="2" t="s">
        <v>7186</v>
      </c>
      <c r="ER214" s="2" t="s">
        <v>7143</v>
      </c>
      <c r="ET214" s="2" t="s">
        <v>7143</v>
      </c>
      <c r="EV214" s="2" t="s">
        <v>7143</v>
      </c>
      <c r="EX214" s="2" t="s">
        <v>7143</v>
      </c>
      <c r="EZ214" s="2" t="s">
        <v>7143</v>
      </c>
      <c r="FC214" s="2" t="s">
        <v>7218</v>
      </c>
      <c r="FD214" s="2" t="s">
        <v>7143</v>
      </c>
      <c r="FH214" s="2" t="s">
        <v>7173</v>
      </c>
      <c r="FJ214" s="2" t="s">
        <v>7143</v>
      </c>
      <c r="FK214" s="2" t="s">
        <v>7173</v>
      </c>
      <c r="FN214" s="2" t="s">
        <v>7344</v>
      </c>
      <c r="FR214" s="2" t="s">
        <v>1604</v>
      </c>
      <c r="FT214" s="2" t="s">
        <v>7189</v>
      </c>
      <c r="FU214" s="2" t="s">
        <v>7189</v>
      </c>
      <c r="FV214" s="2" t="s">
        <v>7189</v>
      </c>
      <c r="FW214" s="2" t="s">
        <v>7189</v>
      </c>
      <c r="FZ214" s="19" t="s">
        <v>7953</v>
      </c>
    </row>
    <row r="215" spans="1:182">
      <c r="A215" s="7" t="s">
        <v>1605</v>
      </c>
      <c r="D215" s="7" t="s">
        <v>7954</v>
      </c>
      <c r="E215" s="7" t="s">
        <v>1606</v>
      </c>
      <c r="F215" s="7" t="s">
        <v>7339</v>
      </c>
      <c r="G215" s="7" t="s">
        <v>7717</v>
      </c>
      <c r="H215" s="7" t="s">
        <v>1207</v>
      </c>
      <c r="I215" s="7" t="s">
        <v>1607</v>
      </c>
      <c r="J215" s="16" t="s">
        <v>7955</v>
      </c>
      <c r="K215" s="7" t="s">
        <v>1608</v>
      </c>
      <c r="L215" s="2" t="s">
        <v>7137</v>
      </c>
      <c r="M215" s="2" t="s">
        <v>7138</v>
      </c>
      <c r="N215" s="7">
        <v>2001</v>
      </c>
      <c r="O215" s="7" t="s">
        <v>7139</v>
      </c>
      <c r="P215" s="2" t="s">
        <v>7192</v>
      </c>
      <c r="Q215" s="2" t="s">
        <v>7225</v>
      </c>
      <c r="R215" s="2" t="s">
        <v>7143</v>
      </c>
      <c r="S215" s="2">
        <v>16</v>
      </c>
      <c r="T215" s="2" t="s">
        <v>7143</v>
      </c>
      <c r="U215" s="2" t="s">
        <v>7143</v>
      </c>
      <c r="Y215" s="2">
        <v>245</v>
      </c>
      <c r="Z215" s="17">
        <v>1</v>
      </c>
      <c r="AA215" s="2">
        <v>245</v>
      </c>
      <c r="AB215" s="2">
        <v>170</v>
      </c>
      <c r="AC215" s="7">
        <v>170</v>
      </c>
      <c r="AD215" s="2">
        <v>198</v>
      </c>
      <c r="AE215" s="2">
        <v>28</v>
      </c>
      <c r="AF215" s="2" t="s">
        <v>7143</v>
      </c>
      <c r="AG215" s="2" t="s">
        <v>7143</v>
      </c>
      <c r="AH215" s="2" t="s">
        <v>7143</v>
      </c>
      <c r="AJ215" s="2" t="s">
        <v>7143</v>
      </c>
      <c r="AK215" s="2" t="s">
        <v>7142</v>
      </c>
      <c r="AL215" s="2" t="s">
        <v>7143</v>
      </c>
      <c r="AM215" s="2" t="s">
        <v>7143</v>
      </c>
      <c r="AN215" s="2" t="s">
        <v>7143</v>
      </c>
      <c r="AO215" s="2" t="s">
        <v>7143</v>
      </c>
      <c r="AR215" s="7">
        <v>0.68</v>
      </c>
      <c r="AS215" s="7">
        <v>2</v>
      </c>
      <c r="AT215" s="7">
        <v>2</v>
      </c>
      <c r="AU215" s="2" t="s">
        <v>7193</v>
      </c>
      <c r="AV215" s="2" t="s">
        <v>7217</v>
      </c>
      <c r="AW215" s="2" t="s">
        <v>7143</v>
      </c>
      <c r="AZ215" s="2" t="s">
        <v>7145</v>
      </c>
      <c r="BB215" s="2" t="s">
        <v>7214</v>
      </c>
      <c r="BC215" s="2" t="s">
        <v>7247</v>
      </c>
      <c r="BD215" s="2" t="s">
        <v>7143</v>
      </c>
      <c r="BE215" s="2" t="s">
        <v>7142</v>
      </c>
      <c r="BF215" s="2" t="s">
        <v>7148</v>
      </c>
      <c r="BG215" s="2" t="s">
        <v>7149</v>
      </c>
      <c r="BH215" s="2" t="s">
        <v>7150</v>
      </c>
      <c r="BI215" s="2" t="s">
        <v>7151</v>
      </c>
      <c r="BL215" s="2" t="s">
        <v>7152</v>
      </c>
      <c r="BM215" s="2" t="s">
        <v>7153</v>
      </c>
      <c r="BN215" s="2" t="s">
        <v>7154</v>
      </c>
      <c r="BO215" s="2" t="s">
        <v>7155</v>
      </c>
      <c r="BQ215" s="2" t="s">
        <v>7183</v>
      </c>
      <c r="BS215" s="2" t="s">
        <v>7142</v>
      </c>
      <c r="BT215" s="2" t="s">
        <v>7341</v>
      </c>
      <c r="BV215" s="2" t="s">
        <v>7772</v>
      </c>
      <c r="BX215" s="2" t="s">
        <v>7142</v>
      </c>
      <c r="BY215" s="2" t="s">
        <v>1609</v>
      </c>
      <c r="BZ215" s="2" t="s">
        <v>7159</v>
      </c>
      <c r="CE215" s="7">
        <v>2</v>
      </c>
      <c r="CK215" s="2">
        <v>100</v>
      </c>
      <c r="CO215" s="2">
        <v>100</v>
      </c>
      <c r="CR215" s="2" t="s">
        <v>7276</v>
      </c>
      <c r="CT215" s="2" t="s">
        <v>7143</v>
      </c>
      <c r="CU215" s="2" t="s">
        <v>7454</v>
      </c>
      <c r="CW215" s="2" t="s">
        <v>7162</v>
      </c>
      <c r="CY215" s="2" t="s">
        <v>7163</v>
      </c>
      <c r="CZ215" s="2" t="s">
        <v>7163</v>
      </c>
      <c r="DA215" s="2" t="s">
        <v>7250</v>
      </c>
      <c r="DB215" s="2" t="s">
        <v>7250</v>
      </c>
      <c r="DC215" s="2" t="s">
        <v>7321</v>
      </c>
      <c r="DD215" s="2" t="s">
        <v>7250</v>
      </c>
      <c r="DE215" s="2" t="s">
        <v>7250</v>
      </c>
      <c r="DF215" s="2" t="s">
        <v>7250</v>
      </c>
      <c r="DG215" s="2" t="s">
        <v>7163</v>
      </c>
      <c r="DH215" s="2" t="s">
        <v>7250</v>
      </c>
      <c r="DI215" s="2" t="s">
        <v>7250</v>
      </c>
      <c r="DL215" s="2" t="s">
        <v>7142</v>
      </c>
      <c r="DM215" s="2" t="s">
        <v>7142</v>
      </c>
      <c r="DN215" s="2" t="s">
        <v>7142</v>
      </c>
      <c r="DO215" s="2" t="s">
        <v>7142</v>
      </c>
      <c r="DP215" s="2" t="s">
        <v>7165</v>
      </c>
      <c r="DQ215" s="2" t="s">
        <v>7333</v>
      </c>
      <c r="DR215" s="2" t="s">
        <v>1610</v>
      </c>
      <c r="DT215" s="2" t="s">
        <v>7165</v>
      </c>
      <c r="DU215" s="2" t="s">
        <v>7159</v>
      </c>
      <c r="DV215" s="2" t="s">
        <v>7165</v>
      </c>
      <c r="DW215" s="2" t="s">
        <v>7165</v>
      </c>
      <c r="DX215" s="2" t="s">
        <v>7159</v>
      </c>
      <c r="DY215" s="2" t="s">
        <v>7159</v>
      </c>
      <c r="DZ215" s="2" t="s">
        <v>7159</v>
      </c>
      <c r="EA215" s="2" t="s">
        <v>7159</v>
      </c>
      <c r="EB215" s="2" t="s">
        <v>7165</v>
      </c>
      <c r="EC215" s="2" t="s">
        <v>7159</v>
      </c>
      <c r="ED215" s="2" t="s">
        <v>7159</v>
      </c>
      <c r="EF215" s="2" t="s">
        <v>7252</v>
      </c>
      <c r="EG215" s="2" t="s">
        <v>7956</v>
      </c>
      <c r="EJ215" s="2" t="s">
        <v>7193</v>
      </c>
      <c r="EK215" s="2" t="s">
        <v>7142</v>
      </c>
      <c r="EL215" s="2" t="s">
        <v>7143</v>
      </c>
      <c r="EN215" s="2" t="s">
        <v>7170</v>
      </c>
      <c r="EP215" s="2" t="s">
        <v>7186</v>
      </c>
      <c r="ER215" s="2" t="s">
        <v>7142</v>
      </c>
      <c r="ET215" s="2" t="s">
        <v>7143</v>
      </c>
      <c r="EV215" s="2" t="s">
        <v>7142</v>
      </c>
      <c r="EW215" s="2" t="s">
        <v>7171</v>
      </c>
      <c r="EX215" s="2" t="s">
        <v>7143</v>
      </c>
      <c r="EZ215" s="2" t="s">
        <v>7143</v>
      </c>
      <c r="FC215" s="2" t="s">
        <v>7309</v>
      </c>
      <c r="FD215" s="2" t="s">
        <v>7143</v>
      </c>
      <c r="FH215" s="2" t="s">
        <v>7173</v>
      </c>
      <c r="FJ215" s="2" t="s">
        <v>7143</v>
      </c>
      <c r="FK215" s="2" t="s">
        <v>7173</v>
      </c>
      <c r="FN215" s="2" t="s">
        <v>7344</v>
      </c>
      <c r="FR215" s="2" t="s">
        <v>1612</v>
      </c>
      <c r="FT215" s="2" t="s">
        <v>7189</v>
      </c>
      <c r="FU215" s="2" t="s">
        <v>7189</v>
      </c>
      <c r="FV215" s="2" t="s">
        <v>7189</v>
      </c>
      <c r="FW215" s="2" t="s">
        <v>7189</v>
      </c>
      <c r="FZ215" s="19" t="s">
        <v>7957</v>
      </c>
    </row>
    <row r="216" spans="1:182">
      <c r="A216" s="7" t="s">
        <v>1613</v>
      </c>
      <c r="D216" s="7" t="s">
        <v>7958</v>
      </c>
      <c r="E216" s="7" t="s">
        <v>1614</v>
      </c>
      <c r="F216" s="7" t="s">
        <v>7311</v>
      </c>
      <c r="G216" s="7" t="s">
        <v>7717</v>
      </c>
      <c r="H216" s="7" t="s">
        <v>1615</v>
      </c>
      <c r="I216" s="7" t="s">
        <v>1616</v>
      </c>
      <c r="J216" s="19" t="s">
        <v>7959</v>
      </c>
      <c r="K216" s="7" t="s">
        <v>1617</v>
      </c>
      <c r="L216" s="7" t="s">
        <v>7137</v>
      </c>
      <c r="M216" s="7" t="s">
        <v>7179</v>
      </c>
      <c r="N216" s="7">
        <v>1998</v>
      </c>
      <c r="O216" s="7" t="s">
        <v>7139</v>
      </c>
      <c r="P216" s="7" t="s">
        <v>7181</v>
      </c>
      <c r="Q216" s="7" t="s">
        <v>7141</v>
      </c>
      <c r="R216" s="7" t="s">
        <v>7143</v>
      </c>
      <c r="S216" s="7">
        <v>8</v>
      </c>
      <c r="T216" s="7" t="s">
        <v>7143</v>
      </c>
      <c r="U216" s="7" t="s">
        <v>7143</v>
      </c>
      <c r="Y216" s="2">
        <v>850</v>
      </c>
      <c r="Z216" s="17">
        <v>0.98819999999999997</v>
      </c>
      <c r="AA216" s="2">
        <v>840</v>
      </c>
      <c r="AB216" s="2">
        <v>840</v>
      </c>
      <c r="AC216" s="7">
        <v>800</v>
      </c>
      <c r="AD216" s="2">
        <v>840</v>
      </c>
      <c r="AE216" s="2">
        <v>40</v>
      </c>
      <c r="AF216" s="2" t="s">
        <v>7143</v>
      </c>
      <c r="AG216" s="2" t="s">
        <v>7143</v>
      </c>
      <c r="AH216" s="2" t="s">
        <v>7143</v>
      </c>
      <c r="AJ216" s="2" t="s">
        <v>7143</v>
      </c>
      <c r="AK216" s="2" t="s">
        <v>7143</v>
      </c>
      <c r="AL216" s="2" t="s">
        <v>7143</v>
      </c>
      <c r="AM216" s="2" t="s">
        <v>7142</v>
      </c>
      <c r="AN216" s="2" t="s">
        <v>7143</v>
      </c>
      <c r="AO216" s="2" t="s">
        <v>7143</v>
      </c>
      <c r="AR216" s="7">
        <v>1</v>
      </c>
      <c r="AS216" s="7">
        <v>2</v>
      </c>
      <c r="AT216" s="7">
        <v>1.2</v>
      </c>
      <c r="AU216" s="2" t="s">
        <v>7193</v>
      </c>
      <c r="AV216" s="2" t="s">
        <v>7193</v>
      </c>
      <c r="AW216" s="2" t="s">
        <v>7143</v>
      </c>
      <c r="AZ216" s="2" t="s">
        <v>7145</v>
      </c>
      <c r="BB216" s="2" t="s">
        <v>7214</v>
      </c>
      <c r="BC216" s="2" t="s">
        <v>7247</v>
      </c>
      <c r="BD216" s="2" t="s">
        <v>7142</v>
      </c>
      <c r="BE216" s="2" t="s">
        <v>7142</v>
      </c>
      <c r="BF216" s="2" t="s">
        <v>7148</v>
      </c>
      <c r="BG216" s="2" t="s">
        <v>7149</v>
      </c>
      <c r="BH216" s="2" t="s">
        <v>7233</v>
      </c>
      <c r="BI216" s="2" t="s">
        <v>7151</v>
      </c>
      <c r="BL216" s="2" t="s">
        <v>7152</v>
      </c>
      <c r="BM216" s="2" t="s">
        <v>7153</v>
      </c>
      <c r="BN216" s="2" t="s">
        <v>7154</v>
      </c>
      <c r="BO216" s="2" t="s">
        <v>7155</v>
      </c>
      <c r="BQ216" s="2" t="s">
        <v>7156</v>
      </c>
      <c r="BS216" s="2" t="s">
        <v>7142</v>
      </c>
      <c r="BT216" s="2" t="s">
        <v>7215</v>
      </c>
      <c r="BV216" s="2" t="s">
        <v>7202</v>
      </c>
      <c r="BX216" s="2" t="s">
        <v>7143</v>
      </c>
      <c r="BY216" s="2" t="s">
        <v>696</v>
      </c>
      <c r="BZ216" s="2" t="s">
        <v>7159</v>
      </c>
      <c r="CE216" s="7">
        <v>1.2</v>
      </c>
      <c r="CF216" s="2">
        <v>120</v>
      </c>
      <c r="CM216" s="2">
        <v>100</v>
      </c>
      <c r="CP216" s="2">
        <v>100</v>
      </c>
      <c r="CR216" s="2" t="s">
        <v>7160</v>
      </c>
      <c r="CT216" s="2" t="s">
        <v>7143</v>
      </c>
      <c r="CU216" s="2" t="s">
        <v>7161</v>
      </c>
      <c r="CW216" s="2" t="s">
        <v>7162</v>
      </c>
      <c r="CY216" s="2" t="s">
        <v>7163</v>
      </c>
      <c r="CZ216" s="2" t="s">
        <v>7163</v>
      </c>
      <c r="DA216" s="2" t="s">
        <v>7250</v>
      </c>
      <c r="DB216" s="2" t="s">
        <v>7250</v>
      </c>
      <c r="DC216" s="2" t="s">
        <v>7250</v>
      </c>
      <c r="DD216" s="2" t="s">
        <v>7249</v>
      </c>
      <c r="DE216" s="2" t="s">
        <v>7250</v>
      </c>
      <c r="DF216" s="2" t="s">
        <v>7250</v>
      </c>
      <c r="DG216" s="2" t="s">
        <v>7250</v>
      </c>
      <c r="DH216" s="2" t="s">
        <v>7250</v>
      </c>
      <c r="DI216" s="2" t="s">
        <v>7250</v>
      </c>
      <c r="DL216" s="2" t="s">
        <v>7143</v>
      </c>
      <c r="DM216" s="2" t="s">
        <v>7143</v>
      </c>
      <c r="DP216" s="2" t="s">
        <v>7159</v>
      </c>
      <c r="DT216" s="2" t="s">
        <v>7159</v>
      </c>
      <c r="DU216" s="2" t="s">
        <v>7159</v>
      </c>
      <c r="DV216" s="2" t="s">
        <v>7159</v>
      </c>
      <c r="DW216" s="2" t="s">
        <v>7159</v>
      </c>
      <c r="DX216" s="2" t="s">
        <v>7159</v>
      </c>
      <c r="DY216" s="2" t="s">
        <v>7159</v>
      </c>
      <c r="DZ216" s="2" t="s">
        <v>7159</v>
      </c>
      <c r="EA216" s="2" t="s">
        <v>7159</v>
      </c>
      <c r="EB216" s="2" t="s">
        <v>7159</v>
      </c>
      <c r="EC216" s="2" t="s">
        <v>7159</v>
      </c>
      <c r="ED216" s="2" t="s">
        <v>7159</v>
      </c>
      <c r="EF216" s="2" t="s">
        <v>7252</v>
      </c>
      <c r="EG216" s="2" t="s">
        <v>1618</v>
      </c>
      <c r="EJ216" s="2" t="s">
        <v>7193</v>
      </c>
      <c r="EK216" s="2" t="s">
        <v>7142</v>
      </c>
      <c r="EL216" s="2" t="s">
        <v>7143</v>
      </c>
      <c r="EN216" s="2" t="s">
        <v>7170</v>
      </c>
      <c r="EP216" s="2" t="s">
        <v>7186</v>
      </c>
      <c r="ER216" s="2" t="s">
        <v>7143</v>
      </c>
      <c r="ET216" s="2" t="s">
        <v>7143</v>
      </c>
      <c r="EV216" s="2" t="s">
        <v>7143</v>
      </c>
      <c r="EX216" s="2" t="s">
        <v>7143</v>
      </c>
      <c r="EZ216" s="2" t="s">
        <v>7143</v>
      </c>
      <c r="FC216" s="2" t="s">
        <v>7172</v>
      </c>
      <c r="FD216" s="2" t="s">
        <v>7143</v>
      </c>
      <c r="FH216" s="2" t="s">
        <v>7173</v>
      </c>
      <c r="FJ216" s="2" t="s">
        <v>7143</v>
      </c>
      <c r="FK216" s="2" t="s">
        <v>7173</v>
      </c>
      <c r="FR216" s="2" t="s">
        <v>461</v>
      </c>
      <c r="FT216" s="2" t="s">
        <v>7176</v>
      </c>
      <c r="FU216" s="2" t="s">
        <v>7189</v>
      </c>
      <c r="FV216" s="2" t="s">
        <v>7176</v>
      </c>
      <c r="FW216" s="2" t="s">
        <v>7189</v>
      </c>
      <c r="FX216" s="2" t="s">
        <v>7176</v>
      </c>
      <c r="FY216" s="2" t="s">
        <v>1619</v>
      </c>
      <c r="FZ216" s="19" t="s">
        <v>7960</v>
      </c>
    </row>
    <row r="217" spans="1:182">
      <c r="A217" s="7" t="s">
        <v>1620</v>
      </c>
      <c r="D217" s="7" t="s">
        <v>7961</v>
      </c>
      <c r="E217" s="7" t="s">
        <v>1621</v>
      </c>
      <c r="F217" s="7" t="s">
        <v>7319</v>
      </c>
      <c r="G217" s="7" t="s">
        <v>7717</v>
      </c>
      <c r="H217" s="7" t="s">
        <v>1212</v>
      </c>
      <c r="I217" s="7" t="s">
        <v>1622</v>
      </c>
      <c r="J217" s="16" t="s">
        <v>7962</v>
      </c>
      <c r="K217" s="7" t="s">
        <v>1623</v>
      </c>
      <c r="L217" s="7" t="s">
        <v>7224</v>
      </c>
      <c r="M217" s="7" t="s">
        <v>7179</v>
      </c>
      <c r="N217" s="7">
        <v>1970</v>
      </c>
      <c r="O217" s="7" t="s">
        <v>7139</v>
      </c>
      <c r="P217" s="7" t="s">
        <v>7181</v>
      </c>
      <c r="Q217" s="7" t="s">
        <v>7395</v>
      </c>
      <c r="R217" s="7" t="s">
        <v>7143</v>
      </c>
      <c r="S217" s="7">
        <v>25</v>
      </c>
      <c r="T217" s="7" t="s">
        <v>7143</v>
      </c>
      <c r="U217" s="7" t="s">
        <v>7143</v>
      </c>
      <c r="Y217" s="2">
        <v>240</v>
      </c>
      <c r="Z217" s="17">
        <v>1</v>
      </c>
      <c r="AA217" s="2">
        <v>240</v>
      </c>
      <c r="AB217" s="2">
        <v>240</v>
      </c>
      <c r="AC217" s="7">
        <v>240</v>
      </c>
      <c r="AD217" s="2">
        <v>300</v>
      </c>
      <c r="AE217" s="2">
        <v>60</v>
      </c>
      <c r="AF217" s="2" t="s">
        <v>7143</v>
      </c>
      <c r="AG217" s="2" t="s">
        <v>7143</v>
      </c>
      <c r="AH217" s="2" t="s">
        <v>7143</v>
      </c>
      <c r="AJ217" s="2" t="s">
        <v>7143</v>
      </c>
      <c r="AK217" s="2" t="s">
        <v>7143</v>
      </c>
      <c r="AL217" s="2" t="s">
        <v>7143</v>
      </c>
      <c r="AM217" s="2" t="s">
        <v>7143</v>
      </c>
      <c r="AN217" s="2" t="s">
        <v>7143</v>
      </c>
      <c r="AO217" s="2" t="s">
        <v>7143</v>
      </c>
      <c r="AR217" s="7">
        <v>1.2</v>
      </c>
      <c r="AS217" s="7">
        <v>1</v>
      </c>
      <c r="AT217" s="7">
        <v>3</v>
      </c>
      <c r="AU217" s="2" t="s">
        <v>7217</v>
      </c>
      <c r="AV217" s="2" t="s">
        <v>7217</v>
      </c>
      <c r="AW217" s="2" t="s">
        <v>7143</v>
      </c>
      <c r="AZ217" s="2" t="s">
        <v>7286</v>
      </c>
      <c r="BC217" s="2" t="s">
        <v>7208</v>
      </c>
      <c r="BD217" s="2" t="s">
        <v>7143</v>
      </c>
      <c r="BE217" s="2" t="s">
        <v>7143</v>
      </c>
      <c r="BL217" s="2" t="s">
        <v>7195</v>
      </c>
      <c r="BO217" s="2" t="s">
        <v>7155</v>
      </c>
      <c r="BX217" s="2" t="s">
        <v>7143</v>
      </c>
      <c r="BZ217" s="2" t="s">
        <v>7173</v>
      </c>
      <c r="CE217" s="7">
        <v>3</v>
      </c>
      <c r="CF217" s="2">
        <v>300</v>
      </c>
      <c r="CK217" s="2">
        <v>100</v>
      </c>
      <c r="CO217" s="2">
        <v>100</v>
      </c>
      <c r="CR217" s="2" t="s">
        <v>7160</v>
      </c>
      <c r="CT217" s="2" t="s">
        <v>7143</v>
      </c>
      <c r="CU217" s="2" t="s">
        <v>7161</v>
      </c>
      <c r="CW217" s="2" t="s">
        <v>7162</v>
      </c>
      <c r="CY217" s="2" t="s">
        <v>7250</v>
      </c>
      <c r="CZ217" s="2" t="s">
        <v>7250</v>
      </c>
      <c r="DA217" s="2" t="s">
        <v>7321</v>
      </c>
      <c r="DB217" s="2" t="s">
        <v>7321</v>
      </c>
      <c r="DC217" s="2" t="s">
        <v>7321</v>
      </c>
      <c r="DD217" s="2" t="s">
        <v>7321</v>
      </c>
      <c r="DE217" s="2" t="s">
        <v>7321</v>
      </c>
      <c r="DF217" s="2" t="s">
        <v>7321</v>
      </c>
      <c r="DG217" s="2" t="s">
        <v>7321</v>
      </c>
      <c r="DH217" s="2" t="s">
        <v>7321</v>
      </c>
      <c r="DI217" s="2" t="s">
        <v>7321</v>
      </c>
      <c r="DL217" s="2" t="s">
        <v>7143</v>
      </c>
      <c r="DM217" s="2" t="s">
        <v>7143</v>
      </c>
      <c r="DP217" s="2" t="s">
        <v>7173</v>
      </c>
      <c r="DT217" s="2" t="s">
        <v>7159</v>
      </c>
      <c r="DU217" s="2" t="s">
        <v>7159</v>
      </c>
      <c r="DV217" s="2" t="s">
        <v>7159</v>
      </c>
      <c r="DW217" s="2" t="s">
        <v>7159</v>
      </c>
      <c r="DX217" s="2" t="s">
        <v>7159</v>
      </c>
      <c r="DY217" s="2" t="s">
        <v>7159</v>
      </c>
      <c r="DZ217" s="2" t="s">
        <v>7159</v>
      </c>
      <c r="EA217" s="2" t="s">
        <v>7159</v>
      </c>
      <c r="EB217" s="2" t="s">
        <v>7159</v>
      </c>
      <c r="EC217" s="2" t="s">
        <v>7159</v>
      </c>
      <c r="EF217" s="2" t="s">
        <v>7349</v>
      </c>
      <c r="EG217" s="2" t="s">
        <v>1624</v>
      </c>
      <c r="EJ217" s="2" t="s">
        <v>7217</v>
      </c>
      <c r="EK217" s="2" t="s">
        <v>7143</v>
      </c>
      <c r="EL217" s="2" t="s">
        <v>7143</v>
      </c>
      <c r="EN217" s="2" t="s">
        <v>7210</v>
      </c>
      <c r="EP217" s="2" t="s">
        <v>7186</v>
      </c>
      <c r="ER217" s="2" t="s">
        <v>7143</v>
      </c>
      <c r="ET217" s="2" t="s">
        <v>7143</v>
      </c>
      <c r="EV217" s="2" t="s">
        <v>7143</v>
      </c>
      <c r="EX217" s="2" t="s">
        <v>7143</v>
      </c>
      <c r="EZ217" s="2" t="s">
        <v>7143</v>
      </c>
      <c r="FC217" s="2" t="s">
        <v>7172</v>
      </c>
      <c r="FD217" s="2" t="s">
        <v>7143</v>
      </c>
      <c r="FH217" s="2" t="s">
        <v>7173</v>
      </c>
      <c r="FJ217" s="2" t="s">
        <v>7143</v>
      </c>
      <c r="FK217" s="2" t="s">
        <v>7173</v>
      </c>
      <c r="FR217" s="2" t="s">
        <v>433</v>
      </c>
      <c r="FT217" s="2" t="s">
        <v>7189</v>
      </c>
      <c r="FU217" s="2" t="s">
        <v>7176</v>
      </c>
      <c r="FV217" s="2" t="s">
        <v>7176</v>
      </c>
      <c r="FW217" s="2" t="s">
        <v>7176</v>
      </c>
      <c r="FZ217" s="19" t="s">
        <v>7963</v>
      </c>
    </row>
    <row r="218" spans="1:182">
      <c r="A218" s="7" t="s">
        <v>1625</v>
      </c>
      <c r="D218" s="7" t="s">
        <v>7964</v>
      </c>
      <c r="E218" s="7" t="s">
        <v>1626</v>
      </c>
      <c r="F218" s="7" t="s">
        <v>7339</v>
      </c>
      <c r="G218" s="7" t="s">
        <v>7717</v>
      </c>
      <c r="H218" s="7" t="s">
        <v>1212</v>
      </c>
      <c r="I218" s="7" t="s">
        <v>1627</v>
      </c>
      <c r="J218" s="16" t="s">
        <v>7965</v>
      </c>
      <c r="K218" s="7" t="s">
        <v>1627</v>
      </c>
      <c r="L218" s="2" t="s">
        <v>7137</v>
      </c>
      <c r="M218" s="7" t="s">
        <v>7138</v>
      </c>
      <c r="N218" s="7">
        <v>1965</v>
      </c>
      <c r="O218" s="7" t="s">
        <v>7139</v>
      </c>
      <c r="P218" s="2" t="s">
        <v>7140</v>
      </c>
      <c r="Q218" s="2" t="s">
        <v>7225</v>
      </c>
      <c r="R218" s="2" t="s">
        <v>7143</v>
      </c>
      <c r="S218" s="2">
        <v>18</v>
      </c>
      <c r="T218" s="2" t="s">
        <v>7143</v>
      </c>
      <c r="U218" s="2" t="s">
        <v>7143</v>
      </c>
      <c r="Y218" s="2">
        <v>266</v>
      </c>
      <c r="Z218" s="17">
        <v>1</v>
      </c>
      <c r="AA218" s="2">
        <v>266</v>
      </c>
      <c r="AB218" s="2">
        <v>266</v>
      </c>
      <c r="AC218" s="7">
        <v>266</v>
      </c>
      <c r="AD218" s="2">
        <v>396</v>
      </c>
      <c r="AE218" s="2">
        <v>130</v>
      </c>
      <c r="AF218" s="2" t="s">
        <v>7143</v>
      </c>
      <c r="AG218" s="2" t="s">
        <v>7143</v>
      </c>
      <c r="AH218" s="2" t="s">
        <v>7143</v>
      </c>
      <c r="AJ218" s="2" t="s">
        <v>7143</v>
      </c>
      <c r="AK218" s="2" t="s">
        <v>7143</v>
      </c>
      <c r="AL218" s="2" t="s">
        <v>7143</v>
      </c>
      <c r="AM218" s="2" t="s">
        <v>7143</v>
      </c>
      <c r="AN218" s="2" t="s">
        <v>7143</v>
      </c>
      <c r="AO218" s="2" t="s">
        <v>7143</v>
      </c>
      <c r="AR218" s="7">
        <v>1.8</v>
      </c>
      <c r="AS218" s="7">
        <v>3</v>
      </c>
      <c r="AT218" s="7">
        <v>4</v>
      </c>
      <c r="AU218" s="2" t="s">
        <v>7193</v>
      </c>
      <c r="AV218" s="2" t="s">
        <v>7193</v>
      </c>
      <c r="AW218" s="2" t="s">
        <v>7143</v>
      </c>
      <c r="AZ218" s="2" t="s">
        <v>7145</v>
      </c>
      <c r="BB218" s="2" t="s">
        <v>7214</v>
      </c>
      <c r="BC218" s="2" t="s">
        <v>7247</v>
      </c>
      <c r="BD218" s="2" t="s">
        <v>7143</v>
      </c>
      <c r="BE218" s="2" t="s">
        <v>7142</v>
      </c>
      <c r="BF218" s="2" t="s">
        <v>7148</v>
      </c>
      <c r="BG218" s="2" t="s">
        <v>7149</v>
      </c>
      <c r="BH218" s="2" t="s">
        <v>7150</v>
      </c>
      <c r="BI218" s="2" t="s">
        <v>7151</v>
      </c>
      <c r="BL218" s="2" t="s">
        <v>7152</v>
      </c>
      <c r="BM218" s="2" t="s">
        <v>7355</v>
      </c>
      <c r="BN218" s="2" t="s">
        <v>7154</v>
      </c>
      <c r="BO218" s="2" t="s">
        <v>7155</v>
      </c>
      <c r="BQ218" s="2" t="s">
        <v>7183</v>
      </c>
      <c r="BS218" s="2" t="s">
        <v>7143</v>
      </c>
      <c r="BT218" s="2" t="s">
        <v>7341</v>
      </c>
      <c r="BV218" s="2" t="s">
        <v>7966</v>
      </c>
      <c r="BX218" s="2" t="s">
        <v>7142</v>
      </c>
      <c r="BY218" s="2" t="s">
        <v>1629</v>
      </c>
      <c r="BZ218" s="2" t="s">
        <v>7173</v>
      </c>
      <c r="CE218" s="7">
        <v>4</v>
      </c>
      <c r="CF218" s="2">
        <v>396</v>
      </c>
      <c r="CK218" s="2">
        <v>100</v>
      </c>
      <c r="CO218" s="2">
        <v>100</v>
      </c>
      <c r="CR218" s="2" t="s">
        <v>7276</v>
      </c>
      <c r="CT218" s="2" t="s">
        <v>7143</v>
      </c>
      <c r="CU218" s="2" t="s">
        <v>7203</v>
      </c>
      <c r="CW218" s="2" t="s">
        <v>7162</v>
      </c>
      <c r="CY218" s="2" t="s">
        <v>7250</v>
      </c>
      <c r="CZ218" s="2" t="s">
        <v>7250</v>
      </c>
      <c r="DA218" s="2" t="s">
        <v>7250</v>
      </c>
      <c r="DB218" s="2" t="s">
        <v>7250</v>
      </c>
      <c r="DC218" s="2" t="s">
        <v>7250</v>
      </c>
      <c r="DD218" s="2" t="s">
        <v>7250</v>
      </c>
      <c r="DE218" s="2" t="s">
        <v>7250</v>
      </c>
      <c r="DF218" s="2" t="s">
        <v>7250</v>
      </c>
      <c r="DG218" s="2" t="s">
        <v>7250</v>
      </c>
      <c r="DH218" s="2" t="s">
        <v>7250</v>
      </c>
      <c r="DI218" s="2" t="s">
        <v>7250</v>
      </c>
      <c r="DL218" s="2" t="s">
        <v>7142</v>
      </c>
      <c r="DM218" s="2" t="s">
        <v>7142</v>
      </c>
      <c r="DN218" s="2" t="s">
        <v>7142</v>
      </c>
      <c r="DO218" s="2" t="s">
        <v>7142</v>
      </c>
      <c r="DP218" s="2" t="s">
        <v>7165</v>
      </c>
      <c r="DQ218" s="2" t="s">
        <v>7166</v>
      </c>
      <c r="DT218" s="2" t="s">
        <v>7165</v>
      </c>
      <c r="DU218" s="2" t="s">
        <v>7159</v>
      </c>
      <c r="DV218" s="2" t="s">
        <v>7159</v>
      </c>
      <c r="DW218" s="2" t="s">
        <v>7165</v>
      </c>
      <c r="DX218" s="2" t="s">
        <v>7159</v>
      </c>
      <c r="DY218" s="2" t="s">
        <v>7159</v>
      </c>
      <c r="DZ218" s="2" t="s">
        <v>7159</v>
      </c>
      <c r="EA218" s="2" t="s">
        <v>7159</v>
      </c>
      <c r="EB218" s="2" t="s">
        <v>7159</v>
      </c>
      <c r="EC218" s="2" t="s">
        <v>7159</v>
      </c>
      <c r="ED218" s="2" t="s">
        <v>7159</v>
      </c>
      <c r="EF218" s="2" t="s">
        <v>7252</v>
      </c>
      <c r="EG218" s="2" t="s">
        <v>1630</v>
      </c>
      <c r="EJ218" s="2" t="s">
        <v>7217</v>
      </c>
      <c r="EK218" s="2" t="s">
        <v>7142</v>
      </c>
      <c r="EL218" s="2" t="s">
        <v>7143</v>
      </c>
      <c r="EN218" s="2" t="s">
        <v>7170</v>
      </c>
      <c r="EP218" s="2" t="s">
        <v>7186</v>
      </c>
      <c r="ER218" s="2" t="s">
        <v>7142</v>
      </c>
      <c r="ET218" s="2" t="s">
        <v>7143</v>
      </c>
      <c r="EV218" s="2" t="s">
        <v>7143</v>
      </c>
      <c r="EX218" s="2" t="s">
        <v>7143</v>
      </c>
      <c r="EZ218" s="2" t="s">
        <v>7143</v>
      </c>
      <c r="FC218" s="2" t="s">
        <v>7218</v>
      </c>
      <c r="FD218" s="2" t="s">
        <v>7143</v>
      </c>
      <c r="FH218" s="2" t="s">
        <v>7173</v>
      </c>
      <c r="FJ218" s="2" t="s">
        <v>7143</v>
      </c>
      <c r="FK218" s="2" t="s">
        <v>7173</v>
      </c>
      <c r="FN218" s="2" t="s">
        <v>7344</v>
      </c>
      <c r="FR218" s="2" t="s">
        <v>1631</v>
      </c>
      <c r="FT218" s="2" t="s">
        <v>7189</v>
      </c>
      <c r="FU218" s="2" t="s">
        <v>7189</v>
      </c>
      <c r="FV218" s="2" t="s">
        <v>7189</v>
      </c>
      <c r="FW218" s="2" t="s">
        <v>7189</v>
      </c>
      <c r="FZ218" s="19" t="s">
        <v>7967</v>
      </c>
    </row>
    <row r="219" spans="1:182">
      <c r="A219" s="7" t="s">
        <v>1632</v>
      </c>
      <c r="D219" s="7" t="s">
        <v>7968</v>
      </c>
      <c r="E219" s="7" t="s">
        <v>177</v>
      </c>
      <c r="F219" s="7" t="s">
        <v>7245</v>
      </c>
      <c r="G219" s="7" t="s">
        <v>7717</v>
      </c>
      <c r="H219" s="7" t="s">
        <v>1263</v>
      </c>
      <c r="I219" s="7" t="s">
        <v>1633</v>
      </c>
      <c r="J219" s="16" t="s">
        <v>7969</v>
      </c>
      <c r="K219" s="7" t="s">
        <v>1633</v>
      </c>
      <c r="L219" s="7" t="s">
        <v>7137</v>
      </c>
      <c r="M219" s="7" t="s">
        <v>7138</v>
      </c>
      <c r="N219" s="7">
        <v>1963</v>
      </c>
      <c r="O219" s="7" t="s">
        <v>7180</v>
      </c>
      <c r="P219" s="7" t="s">
        <v>7140</v>
      </c>
      <c r="Q219" s="7" t="s">
        <v>7141</v>
      </c>
      <c r="R219" s="2" t="s">
        <v>7143</v>
      </c>
      <c r="S219" s="7">
        <v>2000</v>
      </c>
      <c r="T219" s="7" t="s">
        <v>7143</v>
      </c>
      <c r="U219" s="7" t="s">
        <v>7143</v>
      </c>
      <c r="Y219" s="2">
        <v>600</v>
      </c>
      <c r="Z219" s="17">
        <v>1</v>
      </c>
      <c r="AA219" s="2">
        <v>600</v>
      </c>
      <c r="AB219" s="2">
        <v>580</v>
      </c>
      <c r="AC219" s="7">
        <v>420</v>
      </c>
      <c r="AD219" s="2">
        <v>500</v>
      </c>
      <c r="AE219" s="2">
        <v>80</v>
      </c>
      <c r="AF219" s="2" t="s">
        <v>7143</v>
      </c>
      <c r="AG219" s="2" t="s">
        <v>7142</v>
      </c>
      <c r="AH219" s="2" t="s">
        <v>7142</v>
      </c>
      <c r="AI219" s="2" t="s">
        <v>1460</v>
      </c>
      <c r="AJ219" s="2" t="s">
        <v>7143</v>
      </c>
      <c r="AK219" s="2" t="s">
        <v>7142</v>
      </c>
      <c r="AL219" s="2" t="s">
        <v>7143</v>
      </c>
      <c r="AM219" s="2" t="s">
        <v>7142</v>
      </c>
      <c r="AN219" s="2" t="s">
        <v>7143</v>
      </c>
      <c r="AO219" s="2" t="s">
        <v>7143</v>
      </c>
      <c r="AR219" s="7">
        <v>1.5</v>
      </c>
      <c r="AS219" s="7">
        <v>1</v>
      </c>
      <c r="AT219" s="7">
        <v>5</v>
      </c>
      <c r="AU219" s="2" t="s">
        <v>7144</v>
      </c>
      <c r="AV219" s="2" t="s">
        <v>7144</v>
      </c>
      <c r="AW219" s="2" t="s">
        <v>7143</v>
      </c>
      <c r="AZ219" s="7" t="s">
        <v>7286</v>
      </c>
      <c r="BB219" s="7" t="s">
        <v>7214</v>
      </c>
      <c r="BC219" s="7" t="s">
        <v>7147</v>
      </c>
      <c r="BD219" s="2" t="s">
        <v>7143</v>
      </c>
      <c r="BE219" s="2" t="s">
        <v>7143</v>
      </c>
      <c r="BL219" s="7" t="s">
        <v>7152</v>
      </c>
      <c r="BM219" s="7" t="s">
        <v>7153</v>
      </c>
      <c r="BN219" s="7" t="s">
        <v>7154</v>
      </c>
      <c r="BO219" s="2" t="s">
        <v>7155</v>
      </c>
      <c r="BQ219" s="2" t="s">
        <v>7183</v>
      </c>
      <c r="BS219" s="2" t="s">
        <v>7142</v>
      </c>
      <c r="BT219" s="2" t="s">
        <v>7215</v>
      </c>
      <c r="BV219" s="2" t="s">
        <v>7772</v>
      </c>
      <c r="BX219" s="2" t="s">
        <v>7142</v>
      </c>
      <c r="BY219" s="2" t="s">
        <v>310</v>
      </c>
      <c r="BZ219" s="2" t="s">
        <v>7159</v>
      </c>
      <c r="CE219" s="7">
        <v>5</v>
      </c>
      <c r="CF219" s="2">
        <v>490</v>
      </c>
      <c r="CK219" s="2">
        <v>100</v>
      </c>
      <c r="CO219" s="2">
        <v>100</v>
      </c>
      <c r="CR219" s="2" t="s">
        <v>7160</v>
      </c>
      <c r="CT219" s="2" t="s">
        <v>7143</v>
      </c>
      <c r="CU219" s="2" t="s">
        <v>7161</v>
      </c>
      <c r="CW219" s="2" t="s">
        <v>7162</v>
      </c>
      <c r="CY219" s="2" t="s">
        <v>7227</v>
      </c>
      <c r="CZ219" s="2" t="s">
        <v>7227</v>
      </c>
      <c r="DA219" s="2" t="s">
        <v>7164</v>
      </c>
      <c r="DB219" s="2" t="s">
        <v>7251</v>
      </c>
      <c r="DC219" s="2" t="s">
        <v>7164</v>
      </c>
      <c r="DD219" s="2" t="s">
        <v>7251</v>
      </c>
      <c r="DE219" s="2" t="s">
        <v>7164</v>
      </c>
      <c r="DF219" s="2" t="s">
        <v>7163</v>
      </c>
      <c r="DG219" s="2" t="s">
        <v>7164</v>
      </c>
      <c r="DH219" s="2" t="s">
        <v>7164</v>
      </c>
      <c r="DI219" s="2" t="s">
        <v>7164</v>
      </c>
      <c r="DL219" s="7" t="s">
        <v>7142</v>
      </c>
      <c r="DM219" s="7" t="s">
        <v>7142</v>
      </c>
      <c r="DN219" s="7" t="s">
        <v>7142</v>
      </c>
      <c r="DO219" s="7" t="s">
        <v>7142</v>
      </c>
      <c r="DP219" s="2" t="s">
        <v>7165</v>
      </c>
      <c r="DQ219" s="2" t="s">
        <v>7166</v>
      </c>
      <c r="DT219" s="2" t="s">
        <v>7165</v>
      </c>
      <c r="DU219" s="2" t="s">
        <v>7165</v>
      </c>
      <c r="DV219" s="2" t="s">
        <v>7165</v>
      </c>
      <c r="DW219" s="2" t="s">
        <v>7165</v>
      </c>
      <c r="DX219" s="2" t="s">
        <v>7165</v>
      </c>
      <c r="DY219" s="2" t="s">
        <v>7159</v>
      </c>
      <c r="DZ219" s="2" t="s">
        <v>7159</v>
      </c>
      <c r="EA219" s="2" t="s">
        <v>7165</v>
      </c>
      <c r="EB219" s="2" t="s">
        <v>7165</v>
      </c>
      <c r="EF219" s="2" t="s">
        <v>7167</v>
      </c>
      <c r="EJ219" s="7" t="s">
        <v>7193</v>
      </c>
      <c r="EK219" s="2" t="s">
        <v>7142</v>
      </c>
      <c r="EL219" s="2" t="s">
        <v>7143</v>
      </c>
      <c r="EN219" s="2" t="s">
        <v>7170</v>
      </c>
      <c r="EP219" s="2" t="s">
        <v>7186</v>
      </c>
      <c r="ER219" s="2" t="s">
        <v>7142</v>
      </c>
      <c r="ET219" s="2" t="s">
        <v>7143</v>
      </c>
      <c r="EV219" s="2" t="s">
        <v>7142</v>
      </c>
      <c r="EW219" s="2" t="s">
        <v>7204</v>
      </c>
      <c r="EX219" s="2" t="s">
        <v>7142</v>
      </c>
      <c r="EY219" s="2" t="s">
        <v>7204</v>
      </c>
      <c r="FC219" s="2" t="s">
        <v>7172</v>
      </c>
      <c r="FD219" s="2" t="s">
        <v>7143</v>
      </c>
      <c r="FH219" s="7" t="s">
        <v>7173</v>
      </c>
      <c r="FJ219" s="2" t="s">
        <v>7142</v>
      </c>
      <c r="FK219" s="2" t="s">
        <v>7165</v>
      </c>
      <c r="FL219" s="2" t="s">
        <v>7260</v>
      </c>
      <c r="FN219" s="2" t="s">
        <v>7253</v>
      </c>
      <c r="FT219" s="2" t="s">
        <v>7176</v>
      </c>
      <c r="FU219" s="2" t="s">
        <v>7189</v>
      </c>
      <c r="FV219" s="2" t="s">
        <v>7189</v>
      </c>
      <c r="FW219" s="2" t="s">
        <v>7189</v>
      </c>
      <c r="FZ219" s="19" t="s">
        <v>7970</v>
      </c>
    </row>
    <row r="220" spans="1:182">
      <c r="A220" s="7" t="s">
        <v>1634</v>
      </c>
      <c r="D220" s="7" t="s">
        <v>7971</v>
      </c>
      <c r="E220" s="7" t="s">
        <v>1635</v>
      </c>
      <c r="F220" s="7" t="s">
        <v>7311</v>
      </c>
      <c r="G220" s="7" t="s">
        <v>7717</v>
      </c>
      <c r="H220" s="7" t="s">
        <v>1615</v>
      </c>
      <c r="I220" s="7" t="s">
        <v>1636</v>
      </c>
      <c r="J220" s="16" t="s">
        <v>7972</v>
      </c>
      <c r="K220" s="7" t="s">
        <v>1353</v>
      </c>
      <c r="L220" s="7" t="s">
        <v>7137</v>
      </c>
      <c r="M220" s="7" t="s">
        <v>7179</v>
      </c>
      <c r="N220" s="7">
        <v>1977</v>
      </c>
      <c r="O220" s="7" t="s">
        <v>7139</v>
      </c>
      <c r="P220" s="7" t="s">
        <v>7181</v>
      </c>
      <c r="Q220" s="7" t="s">
        <v>7395</v>
      </c>
      <c r="R220" s="7" t="s">
        <v>7143</v>
      </c>
      <c r="S220" s="7">
        <v>30</v>
      </c>
      <c r="T220" s="7" t="s">
        <v>7143</v>
      </c>
      <c r="U220" s="7" t="s">
        <v>7143</v>
      </c>
      <c r="Y220" s="2">
        <v>300</v>
      </c>
      <c r="Z220" s="17">
        <v>1</v>
      </c>
      <c r="AA220" s="2">
        <v>300</v>
      </c>
      <c r="AB220" s="2">
        <v>300</v>
      </c>
      <c r="AC220" s="7">
        <v>300</v>
      </c>
      <c r="AD220" s="2">
        <v>360</v>
      </c>
      <c r="AE220" s="2">
        <v>60</v>
      </c>
      <c r="AF220" s="2" t="s">
        <v>7143</v>
      </c>
      <c r="AG220" s="2" t="s">
        <v>7143</v>
      </c>
      <c r="AH220" s="2" t="s">
        <v>7143</v>
      </c>
      <c r="AJ220" s="2" t="s">
        <v>7143</v>
      </c>
      <c r="AK220" s="2" t="s">
        <v>7143</v>
      </c>
      <c r="AL220" s="2" t="s">
        <v>7143</v>
      </c>
      <c r="AM220" s="2" t="s">
        <v>7143</v>
      </c>
      <c r="AN220" s="2" t="s">
        <v>7143</v>
      </c>
      <c r="AO220" s="2" t="s">
        <v>7143</v>
      </c>
      <c r="AR220" s="7">
        <v>2.1</v>
      </c>
      <c r="AS220" s="7">
        <v>4</v>
      </c>
      <c r="AT220" s="7">
        <v>3.5</v>
      </c>
      <c r="AU220" s="2" t="s">
        <v>7193</v>
      </c>
      <c r="AV220" s="2" t="s">
        <v>7193</v>
      </c>
      <c r="AW220" s="2" t="s">
        <v>7143</v>
      </c>
      <c r="BC220" s="2" t="s">
        <v>7147</v>
      </c>
      <c r="BD220" s="2" t="s">
        <v>7142</v>
      </c>
      <c r="BE220" s="2" t="s">
        <v>7143</v>
      </c>
      <c r="BL220" s="2" t="s">
        <v>7152</v>
      </c>
      <c r="BM220" s="2" t="s">
        <v>7153</v>
      </c>
      <c r="BN220" s="2" t="s">
        <v>7154</v>
      </c>
      <c r="BO220" s="2" t="s">
        <v>7155</v>
      </c>
      <c r="BQ220" s="2" t="s">
        <v>7156</v>
      </c>
      <c r="BS220" s="2" t="s">
        <v>7142</v>
      </c>
      <c r="BT220" s="2" t="s">
        <v>7362</v>
      </c>
      <c r="BV220" s="2" t="s">
        <v>7239</v>
      </c>
      <c r="BX220" s="2" t="s">
        <v>7143</v>
      </c>
      <c r="BY220" s="2" t="s">
        <v>696</v>
      </c>
      <c r="BZ220" s="2" t="s">
        <v>7159</v>
      </c>
      <c r="CE220" s="7">
        <v>3.5</v>
      </c>
      <c r="CF220" s="2">
        <v>360</v>
      </c>
      <c r="CK220" s="2">
        <v>100</v>
      </c>
      <c r="CP220" s="2">
        <v>100</v>
      </c>
      <c r="CR220" s="2" t="s">
        <v>7160</v>
      </c>
      <c r="CT220" s="2" t="s">
        <v>7143</v>
      </c>
      <c r="CU220" s="2" t="s">
        <v>7161</v>
      </c>
      <c r="CW220" s="2" t="s">
        <v>7162</v>
      </c>
      <c r="CY220" s="2" t="s">
        <v>7250</v>
      </c>
      <c r="CZ220" s="2" t="s">
        <v>7250</v>
      </c>
      <c r="DA220" s="2" t="s">
        <v>7250</v>
      </c>
      <c r="DB220" s="2" t="s">
        <v>7250</v>
      </c>
      <c r="DC220" s="2" t="s">
        <v>7250</v>
      </c>
      <c r="DD220" s="2" t="s">
        <v>7250</v>
      </c>
      <c r="DE220" s="2" t="s">
        <v>7250</v>
      </c>
      <c r="DF220" s="2" t="s">
        <v>7250</v>
      </c>
      <c r="DG220" s="2" t="s">
        <v>7250</v>
      </c>
      <c r="DH220" s="2" t="s">
        <v>7250</v>
      </c>
      <c r="DI220" s="2" t="s">
        <v>7250</v>
      </c>
      <c r="DL220" s="2" t="s">
        <v>7143</v>
      </c>
      <c r="DM220" s="2" t="s">
        <v>7143</v>
      </c>
      <c r="DP220" s="2" t="s">
        <v>7159</v>
      </c>
      <c r="DT220" s="2" t="s">
        <v>7159</v>
      </c>
      <c r="DU220" s="2" t="s">
        <v>7159</v>
      </c>
      <c r="DV220" s="2" t="s">
        <v>7159</v>
      </c>
      <c r="DW220" s="2" t="s">
        <v>7159</v>
      </c>
      <c r="DX220" s="2" t="s">
        <v>7159</v>
      </c>
      <c r="DY220" s="2" t="s">
        <v>7159</v>
      </c>
      <c r="DZ220" s="2" t="s">
        <v>7159</v>
      </c>
      <c r="EA220" s="2" t="s">
        <v>7159</v>
      </c>
      <c r="EB220" s="2" t="s">
        <v>7159</v>
      </c>
      <c r="EC220" s="2" t="s">
        <v>7159</v>
      </c>
      <c r="EF220" s="2" t="s">
        <v>7252</v>
      </c>
      <c r="EG220" s="2" t="s">
        <v>1637</v>
      </c>
      <c r="EJ220" s="2" t="s">
        <v>7193</v>
      </c>
      <c r="EK220" s="2" t="s">
        <v>7143</v>
      </c>
      <c r="EL220" s="2" t="s">
        <v>7143</v>
      </c>
      <c r="EN220" s="2" t="s">
        <v>7170</v>
      </c>
      <c r="EP220" s="2" t="s">
        <v>7186</v>
      </c>
      <c r="ER220" s="2" t="s">
        <v>7143</v>
      </c>
      <c r="ET220" s="2" t="s">
        <v>7143</v>
      </c>
      <c r="EV220" s="2" t="s">
        <v>7143</v>
      </c>
      <c r="EX220" s="2" t="s">
        <v>7143</v>
      </c>
      <c r="EZ220" s="2" t="s">
        <v>7143</v>
      </c>
      <c r="FC220" s="2" t="s">
        <v>7172</v>
      </c>
      <c r="FD220" s="2" t="s">
        <v>7143</v>
      </c>
      <c r="FH220" s="2" t="s">
        <v>7173</v>
      </c>
      <c r="FJ220" s="2" t="s">
        <v>7143</v>
      </c>
      <c r="FK220" s="2" t="s">
        <v>7159</v>
      </c>
      <c r="FN220" s="2" t="s">
        <v>7322</v>
      </c>
      <c r="FR220" s="2" t="s">
        <v>1638</v>
      </c>
      <c r="FT220" s="2" t="s">
        <v>7189</v>
      </c>
      <c r="FU220" s="2" t="s">
        <v>7189</v>
      </c>
      <c r="FV220" s="2" t="s">
        <v>7189</v>
      </c>
      <c r="FW220" s="2" t="s">
        <v>7189</v>
      </c>
      <c r="FX220" s="2" t="s">
        <v>7189</v>
      </c>
      <c r="FY220" s="2" t="s">
        <v>1639</v>
      </c>
      <c r="FZ220" s="19" t="s">
        <v>7973</v>
      </c>
    </row>
    <row r="221" spans="1:182">
      <c r="A221" s="7" t="s">
        <v>1640</v>
      </c>
      <c r="D221" s="7" t="s">
        <v>7974</v>
      </c>
      <c r="E221" s="7" t="s">
        <v>177</v>
      </c>
      <c r="F221" s="7" t="s">
        <v>7245</v>
      </c>
      <c r="G221" s="7" t="s">
        <v>7717</v>
      </c>
      <c r="H221" s="7" t="s">
        <v>1263</v>
      </c>
      <c r="I221" s="7" t="s">
        <v>1641</v>
      </c>
      <c r="J221" s="16" t="s">
        <v>7975</v>
      </c>
      <c r="K221" s="7" t="s">
        <v>1642</v>
      </c>
      <c r="L221" s="7" t="s">
        <v>7137</v>
      </c>
      <c r="M221" s="7" t="s">
        <v>7179</v>
      </c>
      <c r="N221" s="7">
        <v>1993</v>
      </c>
      <c r="O221" s="7" t="s">
        <v>7180</v>
      </c>
      <c r="P221" s="7" t="s">
        <v>7181</v>
      </c>
      <c r="Q221" s="7" t="s">
        <v>7141</v>
      </c>
      <c r="R221" s="7" t="s">
        <v>7143</v>
      </c>
      <c r="S221" s="2">
        <v>2013</v>
      </c>
      <c r="T221" s="2" t="s">
        <v>7143</v>
      </c>
      <c r="U221" s="2" t="s">
        <v>7143</v>
      </c>
      <c r="Y221" s="2">
        <v>780</v>
      </c>
      <c r="Z221" s="17">
        <v>1</v>
      </c>
      <c r="AA221" s="2">
        <v>780</v>
      </c>
      <c r="AB221" s="2">
        <v>750</v>
      </c>
      <c r="AC221" s="7">
        <v>500</v>
      </c>
      <c r="AD221" s="2">
        <v>600</v>
      </c>
      <c r="AE221" s="2">
        <v>100</v>
      </c>
      <c r="AF221" s="2" t="s">
        <v>7143</v>
      </c>
      <c r="AG221" s="2" t="s">
        <v>7142</v>
      </c>
      <c r="AH221" s="2" t="s">
        <v>7142</v>
      </c>
      <c r="AI221" s="2" t="s">
        <v>1545</v>
      </c>
      <c r="AJ221" s="2" t="s">
        <v>7143</v>
      </c>
      <c r="AK221" s="2" t="s">
        <v>7143</v>
      </c>
      <c r="AL221" s="2" t="s">
        <v>7143</v>
      </c>
      <c r="AM221" s="2" t="s">
        <v>7142</v>
      </c>
      <c r="AN221" s="2" t="s">
        <v>7143</v>
      </c>
      <c r="AO221" s="2" t="s">
        <v>7143</v>
      </c>
      <c r="AR221" s="7">
        <v>1.5</v>
      </c>
      <c r="AS221" s="7">
        <v>2</v>
      </c>
      <c r="AT221" s="7">
        <v>7.5</v>
      </c>
      <c r="AU221" s="2" t="s">
        <v>7144</v>
      </c>
      <c r="AV221" s="2" t="s">
        <v>7144</v>
      </c>
      <c r="AW221" s="2" t="s">
        <v>7143</v>
      </c>
      <c r="AZ221" s="2" t="s">
        <v>7286</v>
      </c>
      <c r="BB221" s="2" t="s">
        <v>7214</v>
      </c>
      <c r="BC221" s="7" t="s">
        <v>7208</v>
      </c>
      <c r="BD221" s="7" t="s">
        <v>7142</v>
      </c>
      <c r="BE221" s="7" t="s">
        <v>7142</v>
      </c>
      <c r="BF221" s="7" t="s">
        <v>7148</v>
      </c>
      <c r="BG221" s="7" t="s">
        <v>7232</v>
      </c>
      <c r="BH221" s="7" t="s">
        <v>7248</v>
      </c>
      <c r="BI221" s="2" t="s">
        <v>7151</v>
      </c>
      <c r="BL221" s="7" t="s">
        <v>7152</v>
      </c>
      <c r="BM221" s="7" t="s">
        <v>7153</v>
      </c>
      <c r="BN221" s="7" t="s">
        <v>7154</v>
      </c>
      <c r="BO221" s="2" t="s">
        <v>7155</v>
      </c>
      <c r="BQ221" s="2" t="s">
        <v>7256</v>
      </c>
      <c r="BS221" s="2" t="s">
        <v>7142</v>
      </c>
      <c r="BT221" s="2" t="s">
        <v>7215</v>
      </c>
      <c r="BV221" s="2" t="s">
        <v>7304</v>
      </c>
      <c r="BX221" s="2" t="s">
        <v>7142</v>
      </c>
      <c r="BY221" s="2" t="s">
        <v>310</v>
      </c>
      <c r="BZ221" s="2" t="s">
        <v>7159</v>
      </c>
      <c r="CE221" s="7">
        <v>7.5</v>
      </c>
      <c r="CF221" s="2">
        <v>740</v>
      </c>
      <c r="CK221" s="2">
        <v>100</v>
      </c>
      <c r="CO221" s="2">
        <v>100</v>
      </c>
      <c r="CR221" s="2" t="s">
        <v>7160</v>
      </c>
      <c r="CT221" s="2" t="s">
        <v>7143</v>
      </c>
      <c r="CU221" s="2" t="s">
        <v>7161</v>
      </c>
      <c r="CW221" s="2" t="s">
        <v>7162</v>
      </c>
      <c r="CY221" s="2" t="s">
        <v>7163</v>
      </c>
      <c r="CZ221" s="2" t="s">
        <v>7163</v>
      </c>
      <c r="DA221" s="2" t="s">
        <v>7250</v>
      </c>
      <c r="DB221" s="2" t="s">
        <v>7251</v>
      </c>
      <c r="DC221" s="2" t="s">
        <v>7250</v>
      </c>
      <c r="DD221" s="2" t="s">
        <v>7251</v>
      </c>
      <c r="DE221" s="2" t="s">
        <v>7163</v>
      </c>
      <c r="DF221" s="2" t="s">
        <v>7163</v>
      </c>
      <c r="DG221" s="2" t="s">
        <v>7163</v>
      </c>
      <c r="DH221" s="2" t="s">
        <v>7163</v>
      </c>
      <c r="DI221" s="2" t="s">
        <v>7163</v>
      </c>
      <c r="DL221" s="7" t="s">
        <v>7142</v>
      </c>
      <c r="DM221" s="7" t="s">
        <v>7142</v>
      </c>
      <c r="DN221" s="7" t="s">
        <v>7142</v>
      </c>
      <c r="DO221" s="7" t="s">
        <v>7142</v>
      </c>
      <c r="DP221" s="7" t="s">
        <v>7165</v>
      </c>
      <c r="DQ221" s="2" t="s">
        <v>7166</v>
      </c>
      <c r="DT221" s="2" t="s">
        <v>7165</v>
      </c>
      <c r="DU221" s="2" t="s">
        <v>7165</v>
      </c>
      <c r="DV221" s="2" t="s">
        <v>7165</v>
      </c>
      <c r="DW221" s="2" t="s">
        <v>7165</v>
      </c>
      <c r="DX221" s="2" t="s">
        <v>7165</v>
      </c>
      <c r="DY221" s="2" t="s">
        <v>7159</v>
      </c>
      <c r="DZ221" s="2" t="s">
        <v>7159</v>
      </c>
      <c r="EA221" s="2" t="s">
        <v>7165</v>
      </c>
      <c r="EB221" s="2" t="s">
        <v>7165</v>
      </c>
      <c r="EC221" s="2" t="s">
        <v>7159</v>
      </c>
      <c r="EF221" s="2" t="s">
        <v>7167</v>
      </c>
      <c r="EJ221" s="7" t="s">
        <v>7193</v>
      </c>
      <c r="EK221" s="7" t="s">
        <v>7142</v>
      </c>
      <c r="EL221" s="7" t="s">
        <v>7143</v>
      </c>
      <c r="EN221" s="7" t="s">
        <v>7170</v>
      </c>
      <c r="EP221" s="7" t="s">
        <v>7186</v>
      </c>
      <c r="ER221" s="2" t="s">
        <v>7142</v>
      </c>
      <c r="ET221" s="2" t="s">
        <v>7143</v>
      </c>
      <c r="EV221" s="2" t="s">
        <v>7142</v>
      </c>
      <c r="EW221" s="2" t="s">
        <v>7204</v>
      </c>
      <c r="EX221" s="2" t="s">
        <v>7143</v>
      </c>
      <c r="EZ221" s="2" t="s">
        <v>7143</v>
      </c>
      <c r="FC221" s="2" t="s">
        <v>7172</v>
      </c>
      <c r="FD221" s="2" t="s">
        <v>7143</v>
      </c>
      <c r="FH221" s="7" t="s">
        <v>7173</v>
      </c>
      <c r="FJ221" s="2" t="s">
        <v>7142</v>
      </c>
      <c r="FK221" s="2" t="s">
        <v>7165</v>
      </c>
      <c r="FL221" s="2" t="s">
        <v>7260</v>
      </c>
      <c r="FN221" s="2" t="s">
        <v>7283</v>
      </c>
      <c r="FT221" s="2" t="s">
        <v>7176</v>
      </c>
      <c r="FU221" s="2" t="s">
        <v>7189</v>
      </c>
      <c r="FV221" s="2" t="s">
        <v>7189</v>
      </c>
      <c r="FW221" s="2" t="s">
        <v>7189</v>
      </c>
      <c r="FZ221" s="19" t="s">
        <v>7976</v>
      </c>
    </row>
    <row r="222" spans="1:182">
      <c r="A222" s="7" t="s">
        <v>1643</v>
      </c>
      <c r="D222" s="7" t="s">
        <v>7977</v>
      </c>
      <c r="E222" s="7" t="s">
        <v>177</v>
      </c>
      <c r="F222" s="7" t="s">
        <v>7245</v>
      </c>
      <c r="G222" s="7" t="s">
        <v>7717</v>
      </c>
      <c r="H222" s="7" t="s">
        <v>1263</v>
      </c>
      <c r="I222" s="7" t="s">
        <v>1644</v>
      </c>
      <c r="J222" s="16" t="s">
        <v>7978</v>
      </c>
      <c r="K222" s="7" t="s">
        <v>1645</v>
      </c>
      <c r="L222" s="7" t="s">
        <v>7137</v>
      </c>
      <c r="M222" s="7" t="s">
        <v>7179</v>
      </c>
      <c r="N222" s="7">
        <v>1959</v>
      </c>
      <c r="O222" s="7" t="s">
        <v>7180</v>
      </c>
      <c r="P222" s="7" t="s">
        <v>7181</v>
      </c>
      <c r="Q222" s="7" t="s">
        <v>7141</v>
      </c>
      <c r="R222" s="2" t="s">
        <v>7143</v>
      </c>
      <c r="S222" s="7">
        <v>1995</v>
      </c>
      <c r="T222" s="7" t="s">
        <v>7143</v>
      </c>
      <c r="U222" s="7" t="s">
        <v>7143</v>
      </c>
      <c r="Y222" s="2">
        <v>400</v>
      </c>
      <c r="Z222" s="17">
        <v>1</v>
      </c>
      <c r="AA222" s="2">
        <v>400</v>
      </c>
      <c r="AB222" s="2">
        <v>400</v>
      </c>
      <c r="AC222" s="7">
        <v>205</v>
      </c>
      <c r="AD222" s="2">
        <v>250</v>
      </c>
      <c r="AE222" s="2">
        <v>45</v>
      </c>
      <c r="AF222" s="2" t="s">
        <v>7143</v>
      </c>
      <c r="AG222" s="2" t="s">
        <v>7142</v>
      </c>
      <c r="AH222" s="2" t="s">
        <v>7142</v>
      </c>
      <c r="AI222" s="2" t="s">
        <v>1187</v>
      </c>
      <c r="AJ222" s="2" t="s">
        <v>7143</v>
      </c>
      <c r="AK222" s="2" t="s">
        <v>7142</v>
      </c>
      <c r="AL222" s="2" t="s">
        <v>7143</v>
      </c>
      <c r="AM222" s="2" t="s">
        <v>7143</v>
      </c>
      <c r="AN222" s="2" t="s">
        <v>7143</v>
      </c>
      <c r="AO222" s="2" t="s">
        <v>7143</v>
      </c>
      <c r="AR222" s="7">
        <v>1</v>
      </c>
      <c r="AS222" s="7">
        <v>1</v>
      </c>
      <c r="AT222" s="7">
        <v>2.5</v>
      </c>
      <c r="AU222" s="7" t="s">
        <v>7193</v>
      </c>
      <c r="AV222" s="7" t="s">
        <v>7193</v>
      </c>
      <c r="AW222" s="7" t="s">
        <v>7143</v>
      </c>
      <c r="BC222" s="2" t="s">
        <v>7208</v>
      </c>
      <c r="BD222" s="2" t="s">
        <v>7143</v>
      </c>
      <c r="BE222" s="2" t="s">
        <v>7143</v>
      </c>
      <c r="BL222" s="7" t="s">
        <v>7152</v>
      </c>
      <c r="BM222" s="7" t="s">
        <v>7153</v>
      </c>
      <c r="BN222" s="7" t="s">
        <v>7154</v>
      </c>
      <c r="BO222" s="7" t="s">
        <v>7155</v>
      </c>
      <c r="BQ222" s="2" t="s">
        <v>7256</v>
      </c>
      <c r="BS222" s="2" t="s">
        <v>7142</v>
      </c>
      <c r="BT222" s="2" t="s">
        <v>7215</v>
      </c>
      <c r="BV222" s="2" t="s">
        <v>7304</v>
      </c>
      <c r="BX222" s="2" t="s">
        <v>7142</v>
      </c>
      <c r="BY222" s="2" t="s">
        <v>1646</v>
      </c>
      <c r="BZ222" s="2" t="s">
        <v>7159</v>
      </c>
      <c r="CE222" s="7">
        <v>2.5</v>
      </c>
      <c r="CF222" s="2">
        <v>245</v>
      </c>
      <c r="CK222" s="2">
        <v>100</v>
      </c>
      <c r="CO222" s="2">
        <v>100</v>
      </c>
      <c r="CR222" s="2" t="s">
        <v>7160</v>
      </c>
      <c r="CT222" s="2" t="s">
        <v>7143</v>
      </c>
      <c r="CU222" s="2" t="s">
        <v>7161</v>
      </c>
      <c r="CW222" s="2" t="s">
        <v>7162</v>
      </c>
      <c r="CY222" s="2" t="s">
        <v>7163</v>
      </c>
      <c r="CZ222" s="2" t="s">
        <v>7163</v>
      </c>
      <c r="DA222" s="2" t="s">
        <v>7250</v>
      </c>
      <c r="DB222" s="2" t="s">
        <v>7251</v>
      </c>
      <c r="DC222" s="2" t="s">
        <v>7250</v>
      </c>
      <c r="DD222" s="2" t="s">
        <v>7251</v>
      </c>
      <c r="DE222" s="2" t="s">
        <v>7250</v>
      </c>
      <c r="DF222" s="2" t="s">
        <v>7163</v>
      </c>
      <c r="DG222" s="2" t="s">
        <v>7163</v>
      </c>
      <c r="DH222" s="2" t="s">
        <v>7163</v>
      </c>
      <c r="DI222" s="2" t="s">
        <v>7163</v>
      </c>
      <c r="DL222" s="7" t="s">
        <v>7142</v>
      </c>
      <c r="DM222" s="7" t="s">
        <v>7142</v>
      </c>
      <c r="DN222" s="7" t="s">
        <v>7142</v>
      </c>
      <c r="DO222" s="7" t="s">
        <v>7142</v>
      </c>
      <c r="DP222" s="7" t="s">
        <v>7165</v>
      </c>
      <c r="DQ222" s="7" t="s">
        <v>7166</v>
      </c>
      <c r="DS222" s="7" t="s">
        <v>7165</v>
      </c>
      <c r="DT222" s="7" t="s">
        <v>7165</v>
      </c>
      <c r="DU222" s="7" t="s">
        <v>7165</v>
      </c>
      <c r="DV222" s="7" t="s">
        <v>7165</v>
      </c>
      <c r="DW222" s="7" t="s">
        <v>7165</v>
      </c>
      <c r="DX222" s="7" t="s">
        <v>7165</v>
      </c>
      <c r="DY222" s="7" t="s">
        <v>7165</v>
      </c>
      <c r="DZ222" s="7" t="s">
        <v>7159</v>
      </c>
      <c r="EA222" s="7" t="s">
        <v>7165</v>
      </c>
      <c r="EB222" s="7" t="s">
        <v>7165</v>
      </c>
      <c r="EC222" s="7" t="s">
        <v>7159</v>
      </c>
      <c r="ED222" s="7" t="s">
        <v>7159</v>
      </c>
      <c r="EE222" s="7"/>
      <c r="EF222" s="7" t="s">
        <v>7167</v>
      </c>
      <c r="EJ222" s="2" t="s">
        <v>7193</v>
      </c>
      <c r="EK222" s="2" t="s">
        <v>7142</v>
      </c>
      <c r="EL222" s="2" t="s">
        <v>7143</v>
      </c>
      <c r="EN222" s="2" t="s">
        <v>7170</v>
      </c>
      <c r="EP222" s="2" t="s">
        <v>7186</v>
      </c>
      <c r="ER222" s="2" t="s">
        <v>7142</v>
      </c>
      <c r="ET222" s="2" t="s">
        <v>7143</v>
      </c>
      <c r="EV222" s="2" t="s">
        <v>7142</v>
      </c>
      <c r="EW222" s="2" t="s">
        <v>7204</v>
      </c>
      <c r="EX222" s="2" t="s">
        <v>7143</v>
      </c>
      <c r="EZ222" s="2" t="s">
        <v>7143</v>
      </c>
      <c r="FC222" s="2" t="s">
        <v>7172</v>
      </c>
      <c r="FD222" s="2" t="s">
        <v>7143</v>
      </c>
      <c r="FH222" s="7" t="s">
        <v>7173</v>
      </c>
      <c r="FJ222" s="7" t="s">
        <v>7142</v>
      </c>
      <c r="FK222" s="7" t="s">
        <v>7165</v>
      </c>
      <c r="FL222" s="7" t="s">
        <v>7260</v>
      </c>
      <c r="FN222" s="2" t="s">
        <v>7253</v>
      </c>
      <c r="FT222" s="2" t="s">
        <v>7176</v>
      </c>
      <c r="FU222" s="2" t="s">
        <v>7189</v>
      </c>
      <c r="FV222" s="2" t="s">
        <v>7189</v>
      </c>
      <c r="FW222" s="2" t="s">
        <v>7189</v>
      </c>
      <c r="FZ222" s="19" t="s">
        <v>7979</v>
      </c>
    </row>
    <row r="223" spans="1:182">
      <c r="A223" s="7" t="s">
        <v>1647</v>
      </c>
      <c r="D223" s="7" t="s">
        <v>7980</v>
      </c>
      <c r="E223" s="7" t="s">
        <v>1648</v>
      </c>
      <c r="F223" s="7" t="s">
        <v>7339</v>
      </c>
      <c r="G223" s="7" t="s">
        <v>7981</v>
      </c>
      <c r="H223" s="7" t="s">
        <v>1650</v>
      </c>
      <c r="I223" s="7" t="s">
        <v>1651</v>
      </c>
      <c r="J223" s="16" t="s">
        <v>7982</v>
      </c>
      <c r="K223" s="7" t="s">
        <v>1652</v>
      </c>
      <c r="L223" s="2" t="s">
        <v>7137</v>
      </c>
      <c r="M223" s="7" t="s">
        <v>7179</v>
      </c>
      <c r="N223" s="7">
        <v>1969</v>
      </c>
      <c r="O223" s="7" t="s">
        <v>7180</v>
      </c>
      <c r="P223" s="7" t="s">
        <v>7140</v>
      </c>
      <c r="Q223" s="2" t="s">
        <v>7182</v>
      </c>
      <c r="R223" s="2" t="s">
        <v>7143</v>
      </c>
      <c r="S223" s="2">
        <v>28</v>
      </c>
      <c r="T223" s="2" t="s">
        <v>7143</v>
      </c>
      <c r="U223" s="2" t="s">
        <v>7143</v>
      </c>
      <c r="Y223" s="2">
        <v>300</v>
      </c>
      <c r="Z223" s="17">
        <v>1</v>
      </c>
      <c r="AA223" s="2">
        <v>300</v>
      </c>
      <c r="AB223" s="2">
        <v>300</v>
      </c>
      <c r="AC223" s="7">
        <v>300</v>
      </c>
      <c r="AD223" s="2">
        <v>440</v>
      </c>
      <c r="AE223" s="2">
        <v>140</v>
      </c>
      <c r="AF223" s="2" t="s">
        <v>7143</v>
      </c>
      <c r="AG223" s="2" t="s">
        <v>7143</v>
      </c>
      <c r="AH223" s="2" t="s">
        <v>7143</v>
      </c>
      <c r="AJ223" s="2" t="s">
        <v>7143</v>
      </c>
      <c r="AK223" s="2" t="s">
        <v>7143</v>
      </c>
      <c r="AL223" s="2" t="s">
        <v>7143</v>
      </c>
      <c r="AM223" s="2" t="s">
        <v>7143</v>
      </c>
      <c r="AN223" s="2" t="s">
        <v>7143</v>
      </c>
      <c r="AO223" s="2" t="s">
        <v>7143</v>
      </c>
      <c r="AR223" s="7">
        <v>1.4</v>
      </c>
      <c r="AS223" s="7">
        <v>1</v>
      </c>
      <c r="AT223" s="7">
        <v>4.5</v>
      </c>
      <c r="AU223" s="2" t="s">
        <v>7193</v>
      </c>
      <c r="AV223" s="2" t="s">
        <v>7193</v>
      </c>
      <c r="AW223" s="2" t="s">
        <v>7143</v>
      </c>
      <c r="AZ223" s="2" t="s">
        <v>7145</v>
      </c>
      <c r="BB223" s="2" t="s">
        <v>7214</v>
      </c>
      <c r="BC223" s="2" t="s">
        <v>7247</v>
      </c>
      <c r="BD223" s="2" t="s">
        <v>7143</v>
      </c>
      <c r="BE223" s="2" t="s">
        <v>7142</v>
      </c>
      <c r="BF223" s="2" t="s">
        <v>7148</v>
      </c>
      <c r="BG223" s="2" t="s">
        <v>7149</v>
      </c>
      <c r="BH223" s="2" t="s">
        <v>7150</v>
      </c>
      <c r="BI223" s="2" t="s">
        <v>7151</v>
      </c>
      <c r="BL223" s="2" t="s">
        <v>7152</v>
      </c>
      <c r="BM223" s="2" t="s">
        <v>7153</v>
      </c>
      <c r="BN223" s="2" t="s">
        <v>7154</v>
      </c>
      <c r="BO223" s="2" t="s">
        <v>7155</v>
      </c>
      <c r="BQ223" s="2" t="s">
        <v>7183</v>
      </c>
      <c r="BS223" s="2" t="s">
        <v>7142</v>
      </c>
      <c r="BT223" s="2" t="s">
        <v>7341</v>
      </c>
      <c r="BV223" s="2" t="s">
        <v>7407</v>
      </c>
      <c r="BX223" s="2" t="s">
        <v>7142</v>
      </c>
      <c r="BY223" s="2" t="s">
        <v>1653</v>
      </c>
      <c r="BZ223" s="2" t="s">
        <v>7165</v>
      </c>
      <c r="CA223" s="2" t="s">
        <v>1654</v>
      </c>
      <c r="CE223" s="7">
        <v>4.5</v>
      </c>
      <c r="CF223" s="2">
        <v>440</v>
      </c>
      <c r="CM223" s="2">
        <v>100</v>
      </c>
      <c r="CO223" s="2">
        <v>100</v>
      </c>
      <c r="CR223" s="2" t="s">
        <v>7357</v>
      </c>
      <c r="CT223" s="2" t="s">
        <v>7143</v>
      </c>
      <c r="CU223" s="2" t="s">
        <v>7161</v>
      </c>
      <c r="CW223" s="2" t="s">
        <v>7162</v>
      </c>
      <c r="CY223" s="2" t="s">
        <v>7227</v>
      </c>
      <c r="CZ223" s="2" t="s">
        <v>7227</v>
      </c>
      <c r="DA223" s="2" t="s">
        <v>7250</v>
      </c>
      <c r="DB223" s="2" t="s">
        <v>7250</v>
      </c>
      <c r="DC223" s="2" t="s">
        <v>7250</v>
      </c>
      <c r="DD223" s="2" t="s">
        <v>7250</v>
      </c>
      <c r="DE223" s="2" t="s">
        <v>7250</v>
      </c>
      <c r="DF223" s="2" t="s">
        <v>7227</v>
      </c>
      <c r="DG223" s="2" t="s">
        <v>7227</v>
      </c>
      <c r="DH223" s="2" t="s">
        <v>7227</v>
      </c>
      <c r="DI223" s="2" t="s">
        <v>7227</v>
      </c>
      <c r="DL223" s="2" t="s">
        <v>7142</v>
      </c>
      <c r="DM223" s="2" t="s">
        <v>7142</v>
      </c>
      <c r="DN223" s="2" t="s">
        <v>7142</v>
      </c>
      <c r="DO223" s="2" t="s">
        <v>7142</v>
      </c>
      <c r="DP223" s="2" t="s">
        <v>7165</v>
      </c>
      <c r="DQ223" s="2" t="s">
        <v>7333</v>
      </c>
      <c r="DR223" s="2" t="s">
        <v>1655</v>
      </c>
      <c r="DT223" s="2" t="s">
        <v>7165</v>
      </c>
      <c r="DU223" s="2" t="s">
        <v>7165</v>
      </c>
      <c r="DV223" s="2" t="s">
        <v>7165</v>
      </c>
      <c r="DW223" s="2" t="s">
        <v>7165</v>
      </c>
      <c r="DX223" s="2" t="s">
        <v>7165</v>
      </c>
      <c r="DY223" s="2" t="s">
        <v>7159</v>
      </c>
      <c r="DZ223" s="2" t="s">
        <v>7159</v>
      </c>
      <c r="EA223" s="2" t="s">
        <v>7159</v>
      </c>
      <c r="EB223" s="2" t="s">
        <v>7165</v>
      </c>
      <c r="EC223" s="2" t="s">
        <v>7159</v>
      </c>
      <c r="ED223" s="2" t="s">
        <v>7159</v>
      </c>
      <c r="EF223" s="2" t="s">
        <v>7221</v>
      </c>
      <c r="EG223" s="2" t="s">
        <v>1656</v>
      </c>
      <c r="EJ223" s="2" t="s">
        <v>7193</v>
      </c>
      <c r="EK223" s="2" t="s">
        <v>7142</v>
      </c>
      <c r="EL223" s="2" t="s">
        <v>7143</v>
      </c>
      <c r="EN223" s="2" t="s">
        <v>7170</v>
      </c>
      <c r="EP223" s="2" t="s">
        <v>7186</v>
      </c>
      <c r="ER223" s="2" t="s">
        <v>7142</v>
      </c>
      <c r="ET223" s="2" t="s">
        <v>7143</v>
      </c>
      <c r="EV223" s="2" t="s">
        <v>7142</v>
      </c>
      <c r="EW223" s="2" t="s">
        <v>7171</v>
      </c>
      <c r="EX223" s="2" t="s">
        <v>7143</v>
      </c>
      <c r="EZ223" s="2" t="s">
        <v>7143</v>
      </c>
      <c r="FC223" s="2" t="s">
        <v>7218</v>
      </c>
      <c r="FD223" s="2" t="s">
        <v>7143</v>
      </c>
      <c r="FH223" s="2" t="s">
        <v>7173</v>
      </c>
      <c r="FJ223" s="2" t="s">
        <v>7143</v>
      </c>
      <c r="FK223" s="2" t="s">
        <v>7159</v>
      </c>
      <c r="FL223" s="2" t="s">
        <v>7402</v>
      </c>
      <c r="FN223" s="2" t="s">
        <v>7344</v>
      </c>
      <c r="FR223" s="2" t="s">
        <v>1657</v>
      </c>
      <c r="FT223" s="2" t="s">
        <v>7189</v>
      </c>
      <c r="FU223" s="2" t="s">
        <v>7189</v>
      </c>
      <c r="FV223" s="2" t="s">
        <v>7189</v>
      </c>
      <c r="FW223" s="2" t="s">
        <v>7189</v>
      </c>
      <c r="FX223" s="2" t="s">
        <v>7189</v>
      </c>
      <c r="FZ223" s="19" t="s">
        <v>7983</v>
      </c>
    </row>
    <row r="224" spans="1:182">
      <c r="A224" s="7" t="s">
        <v>1658</v>
      </c>
      <c r="D224" s="7" t="s">
        <v>7984</v>
      </c>
      <c r="E224" s="7" t="s">
        <v>177</v>
      </c>
      <c r="F224" s="7" t="s">
        <v>7245</v>
      </c>
      <c r="G224" s="7" t="s">
        <v>7981</v>
      </c>
      <c r="H224" s="7" t="s">
        <v>1659</v>
      </c>
      <c r="I224" s="7" t="s">
        <v>1660</v>
      </c>
      <c r="J224" s="16" t="s">
        <v>7985</v>
      </c>
      <c r="K224" s="7" t="s">
        <v>1660</v>
      </c>
      <c r="L224" s="7" t="s">
        <v>7281</v>
      </c>
      <c r="M224" s="7" t="s">
        <v>7138</v>
      </c>
      <c r="N224" s="7">
        <v>1966</v>
      </c>
      <c r="O224" s="7" t="s">
        <v>7180</v>
      </c>
      <c r="P224" s="7" t="s">
        <v>7140</v>
      </c>
      <c r="Q224" s="7" t="s">
        <v>7182</v>
      </c>
      <c r="R224" s="2" t="s">
        <v>7143</v>
      </c>
      <c r="S224" s="7">
        <v>1997</v>
      </c>
      <c r="T224" s="7" t="s">
        <v>7143</v>
      </c>
      <c r="U224" s="7" t="s">
        <v>7143</v>
      </c>
      <c r="Y224" s="2">
        <v>1300</v>
      </c>
      <c r="Z224" s="17">
        <v>0.96150000000000002</v>
      </c>
      <c r="AA224" s="2">
        <v>1250</v>
      </c>
      <c r="AB224" s="2">
        <v>1200</v>
      </c>
      <c r="AC224" s="7">
        <v>1150</v>
      </c>
      <c r="AD224" s="2">
        <v>1300</v>
      </c>
      <c r="AE224" s="2">
        <v>150</v>
      </c>
      <c r="AF224" s="2" t="s">
        <v>7143</v>
      </c>
      <c r="AG224" s="2" t="s">
        <v>7142</v>
      </c>
      <c r="AH224" s="2" t="s">
        <v>7142</v>
      </c>
      <c r="AI224" s="2" t="s">
        <v>1187</v>
      </c>
      <c r="AJ224" s="2" t="s">
        <v>7143</v>
      </c>
      <c r="AK224" s="2" t="s">
        <v>7142</v>
      </c>
      <c r="AL224" s="2" t="s">
        <v>7143</v>
      </c>
      <c r="AM224" s="2" t="s">
        <v>7142</v>
      </c>
      <c r="AN224" s="2" t="s">
        <v>7143</v>
      </c>
      <c r="AO224" s="2" t="s">
        <v>7143</v>
      </c>
      <c r="AR224" s="7">
        <v>2.2999999999999998</v>
      </c>
      <c r="AS224" s="7">
        <v>1</v>
      </c>
      <c r="AT224" s="7">
        <v>13</v>
      </c>
      <c r="AU224" s="2" t="s">
        <v>7144</v>
      </c>
      <c r="AV224" s="2" t="s">
        <v>7144</v>
      </c>
      <c r="AW224" s="2" t="s">
        <v>7143</v>
      </c>
      <c r="AZ224" s="2" t="s">
        <v>7145</v>
      </c>
      <c r="BB224" s="2" t="s">
        <v>7214</v>
      </c>
      <c r="BC224" s="2" t="s">
        <v>7208</v>
      </c>
      <c r="BD224" s="2" t="s">
        <v>7142</v>
      </c>
      <c r="BE224" s="2" t="s">
        <v>7142</v>
      </c>
      <c r="BF224" s="2" t="s">
        <v>7148</v>
      </c>
      <c r="BG224" s="2" t="s">
        <v>7149</v>
      </c>
      <c r="BH224" s="2" t="s">
        <v>7248</v>
      </c>
      <c r="BI224" s="2" t="s">
        <v>7151</v>
      </c>
      <c r="BL224" s="2" t="s">
        <v>7152</v>
      </c>
      <c r="BM224" s="2" t="s">
        <v>7153</v>
      </c>
      <c r="BN224" s="2" t="s">
        <v>7154</v>
      </c>
      <c r="BO224" s="2" t="s">
        <v>7155</v>
      </c>
      <c r="BQ224" s="2" t="s">
        <v>7183</v>
      </c>
      <c r="BS224" s="2" t="s">
        <v>7142</v>
      </c>
      <c r="BT224" s="2" t="s">
        <v>7215</v>
      </c>
      <c r="BV224" s="2" t="s">
        <v>7304</v>
      </c>
      <c r="BX224" s="2" t="s">
        <v>7142</v>
      </c>
      <c r="BY224" s="2" t="s">
        <v>310</v>
      </c>
      <c r="BZ224" s="2" t="s">
        <v>7159</v>
      </c>
      <c r="CE224" s="7">
        <v>13</v>
      </c>
      <c r="CF224" s="2">
        <v>1280</v>
      </c>
      <c r="CK224" s="2">
        <v>100</v>
      </c>
      <c r="CO224" s="2">
        <v>100</v>
      </c>
      <c r="CR224" s="2" t="s">
        <v>7160</v>
      </c>
      <c r="CT224" s="2" t="s">
        <v>7143</v>
      </c>
      <c r="CU224" s="2" t="s">
        <v>7161</v>
      </c>
      <c r="CW224" s="2" t="s">
        <v>7162</v>
      </c>
      <c r="CY224" s="2" t="s">
        <v>7163</v>
      </c>
      <c r="CZ224" s="2" t="s">
        <v>7163</v>
      </c>
      <c r="DA224" s="2" t="s">
        <v>7250</v>
      </c>
      <c r="DB224" s="2" t="s">
        <v>7251</v>
      </c>
      <c r="DC224" s="2" t="s">
        <v>7250</v>
      </c>
      <c r="DD224" s="2" t="s">
        <v>7251</v>
      </c>
      <c r="DE224" s="2" t="s">
        <v>7164</v>
      </c>
      <c r="DF224" s="2" t="s">
        <v>7163</v>
      </c>
      <c r="DG224" s="2" t="s">
        <v>7163</v>
      </c>
      <c r="DH224" s="2" t="s">
        <v>7164</v>
      </c>
      <c r="DI224" s="2" t="s">
        <v>7164</v>
      </c>
      <c r="DL224" s="2" t="s">
        <v>7142</v>
      </c>
      <c r="DM224" s="2" t="s">
        <v>7142</v>
      </c>
      <c r="DN224" s="2" t="s">
        <v>7142</v>
      </c>
      <c r="DO224" s="2" t="s">
        <v>7142</v>
      </c>
      <c r="DP224" s="2" t="s">
        <v>7165</v>
      </c>
      <c r="DQ224" s="2" t="s">
        <v>7166</v>
      </c>
      <c r="DT224" s="2" t="s">
        <v>7165</v>
      </c>
      <c r="DU224" s="2" t="s">
        <v>7165</v>
      </c>
      <c r="DV224" s="2" t="s">
        <v>7165</v>
      </c>
      <c r="DW224" s="2" t="s">
        <v>7165</v>
      </c>
      <c r="DX224" s="2" t="s">
        <v>7165</v>
      </c>
      <c r="DY224" s="2" t="s">
        <v>7159</v>
      </c>
      <c r="DZ224" s="2" t="s">
        <v>7159</v>
      </c>
      <c r="EA224" s="2" t="s">
        <v>7165</v>
      </c>
      <c r="EB224" s="2" t="s">
        <v>7165</v>
      </c>
      <c r="EF224" s="2" t="s">
        <v>7167</v>
      </c>
      <c r="EJ224" s="2" t="s">
        <v>7193</v>
      </c>
      <c r="EK224" s="2" t="s">
        <v>7142</v>
      </c>
      <c r="EL224" s="2" t="s">
        <v>7143</v>
      </c>
      <c r="EN224" s="2" t="s">
        <v>7170</v>
      </c>
      <c r="EP224" s="2" t="s">
        <v>7186</v>
      </c>
      <c r="ER224" s="2" t="s">
        <v>7142</v>
      </c>
      <c r="ET224" s="2" t="s">
        <v>7143</v>
      </c>
      <c r="EV224" s="2" t="s">
        <v>7142</v>
      </c>
      <c r="EW224" s="2" t="s">
        <v>7204</v>
      </c>
      <c r="EX224" s="2" t="s">
        <v>7143</v>
      </c>
      <c r="FC224" s="2" t="s">
        <v>7172</v>
      </c>
      <c r="FD224" s="2" t="s">
        <v>7143</v>
      </c>
      <c r="FH224" s="2" t="s">
        <v>7173</v>
      </c>
      <c r="FJ224" s="2" t="s">
        <v>7142</v>
      </c>
      <c r="FK224" s="2" t="s">
        <v>7165</v>
      </c>
      <c r="FL224" s="2" t="s">
        <v>7260</v>
      </c>
      <c r="FN224" s="2" t="s">
        <v>7413</v>
      </c>
      <c r="FT224" s="2" t="s">
        <v>7176</v>
      </c>
      <c r="FU224" s="2" t="s">
        <v>7189</v>
      </c>
      <c r="FV224" s="2" t="s">
        <v>7189</v>
      </c>
      <c r="FW224" s="2" t="s">
        <v>7189</v>
      </c>
      <c r="FZ224" s="19" t="s">
        <v>7986</v>
      </c>
    </row>
    <row r="225" spans="1:182">
      <c r="A225" s="7" t="s">
        <v>1661</v>
      </c>
      <c r="D225" s="7" t="s">
        <v>7987</v>
      </c>
      <c r="E225" s="7" t="s">
        <v>177</v>
      </c>
      <c r="F225" s="7" t="s">
        <v>7245</v>
      </c>
      <c r="G225" s="7" t="s">
        <v>7981</v>
      </c>
      <c r="H225" s="7" t="s">
        <v>1659</v>
      </c>
      <c r="I225" s="7" t="s">
        <v>1662</v>
      </c>
      <c r="J225" s="16" t="s">
        <v>7988</v>
      </c>
      <c r="K225" s="7" t="s">
        <v>1662</v>
      </c>
      <c r="L225" s="2" t="s">
        <v>7137</v>
      </c>
      <c r="M225" s="7" t="s">
        <v>7179</v>
      </c>
      <c r="N225" s="7">
        <v>1973</v>
      </c>
      <c r="O225" s="7" t="s">
        <v>7180</v>
      </c>
      <c r="P225" s="7" t="s">
        <v>7140</v>
      </c>
      <c r="Q225" s="7" t="s">
        <v>7182</v>
      </c>
      <c r="R225" s="2" t="s">
        <v>7143</v>
      </c>
      <c r="S225" s="2">
        <v>2006</v>
      </c>
      <c r="T225" s="2" t="s">
        <v>7143</v>
      </c>
      <c r="U225" s="2" t="s">
        <v>7142</v>
      </c>
      <c r="Y225" s="2">
        <v>1800</v>
      </c>
      <c r="Z225" s="17">
        <v>1</v>
      </c>
      <c r="AA225" s="2">
        <v>1800</v>
      </c>
      <c r="AB225" s="2">
        <v>1800</v>
      </c>
      <c r="AC225" s="7">
        <v>1700</v>
      </c>
      <c r="AD225" s="2">
        <v>2000</v>
      </c>
      <c r="AE225" s="2">
        <v>300</v>
      </c>
      <c r="AF225" s="2" t="s">
        <v>7143</v>
      </c>
      <c r="AG225" s="2" t="s">
        <v>7142</v>
      </c>
      <c r="AH225" s="2" t="s">
        <v>7142</v>
      </c>
      <c r="AI225" s="2" t="s">
        <v>1187</v>
      </c>
      <c r="AJ225" s="2" t="s">
        <v>7143</v>
      </c>
      <c r="AK225" s="2" t="s">
        <v>7143</v>
      </c>
      <c r="AL225" s="2" t="s">
        <v>7143</v>
      </c>
      <c r="AM225" s="2" t="s">
        <v>7142</v>
      </c>
      <c r="AN225" s="2" t="s">
        <v>7143</v>
      </c>
      <c r="AO225" s="2" t="s">
        <v>7143</v>
      </c>
      <c r="AR225" s="7">
        <v>4</v>
      </c>
      <c r="AS225" s="7">
        <v>3</v>
      </c>
      <c r="AT225" s="7">
        <v>20</v>
      </c>
      <c r="AU225" s="2" t="s">
        <v>7144</v>
      </c>
      <c r="AV225" s="2" t="s">
        <v>7144</v>
      </c>
      <c r="AW225" s="2" t="s">
        <v>7143</v>
      </c>
      <c r="AZ225" s="2" t="s">
        <v>7145</v>
      </c>
      <c r="BB225" s="2" t="s">
        <v>7214</v>
      </c>
      <c r="BC225" s="2" t="s">
        <v>7247</v>
      </c>
      <c r="BD225" s="2" t="s">
        <v>7142</v>
      </c>
      <c r="BE225" s="2" t="s">
        <v>7142</v>
      </c>
      <c r="BF225" s="2" t="s">
        <v>7148</v>
      </c>
      <c r="BG225" s="2" t="s">
        <v>7149</v>
      </c>
      <c r="BH225" s="2" t="s">
        <v>7248</v>
      </c>
      <c r="BI225" s="2" t="s">
        <v>7151</v>
      </c>
      <c r="BL225" s="7" t="s">
        <v>7152</v>
      </c>
      <c r="BM225" s="7" t="s">
        <v>7153</v>
      </c>
      <c r="BN225" s="7" t="s">
        <v>7154</v>
      </c>
      <c r="BO225" s="2" t="s">
        <v>7155</v>
      </c>
      <c r="BQ225" s="2" t="s">
        <v>7183</v>
      </c>
      <c r="BS225" s="2" t="s">
        <v>7142</v>
      </c>
      <c r="BT225" s="2" t="s">
        <v>7215</v>
      </c>
      <c r="BV225" s="2" t="s">
        <v>7772</v>
      </c>
      <c r="BX225" s="2" t="s">
        <v>7142</v>
      </c>
      <c r="BY225" s="2" t="s">
        <v>310</v>
      </c>
      <c r="BZ225" s="2" t="s">
        <v>7159</v>
      </c>
      <c r="CE225" s="7">
        <v>20</v>
      </c>
      <c r="CF225" s="2">
        <v>1900</v>
      </c>
      <c r="CK225" s="2">
        <v>100</v>
      </c>
      <c r="CO225" s="2">
        <v>100</v>
      </c>
      <c r="CR225" s="2" t="s">
        <v>7160</v>
      </c>
      <c r="CT225" s="2" t="s">
        <v>7143</v>
      </c>
      <c r="CU225" s="2" t="s">
        <v>7161</v>
      </c>
      <c r="CW225" s="2" t="s">
        <v>7162</v>
      </c>
      <c r="CY225" s="2" t="s">
        <v>7163</v>
      </c>
      <c r="DA225" s="2" t="s">
        <v>7164</v>
      </c>
      <c r="DB225" s="2" t="s">
        <v>7164</v>
      </c>
      <c r="DC225" s="2" t="s">
        <v>7164</v>
      </c>
      <c r="DD225" s="2" t="s">
        <v>7251</v>
      </c>
      <c r="DE225" s="2" t="s">
        <v>7164</v>
      </c>
      <c r="DF225" s="2" t="s">
        <v>7163</v>
      </c>
      <c r="DG225" s="2" t="s">
        <v>7164</v>
      </c>
      <c r="DH225" s="2" t="s">
        <v>7164</v>
      </c>
      <c r="DI225" s="2" t="s">
        <v>7164</v>
      </c>
      <c r="DL225" s="7" t="s">
        <v>7142</v>
      </c>
      <c r="DM225" s="7" t="s">
        <v>7142</v>
      </c>
      <c r="DN225" s="7" t="s">
        <v>7142</v>
      </c>
      <c r="DO225" s="7" t="s">
        <v>7142</v>
      </c>
      <c r="DP225" s="2" t="s">
        <v>7165</v>
      </c>
      <c r="DQ225" s="2" t="s">
        <v>7166</v>
      </c>
      <c r="DT225" s="2" t="s">
        <v>7165</v>
      </c>
      <c r="DU225" s="2" t="s">
        <v>7165</v>
      </c>
      <c r="DV225" s="2" t="s">
        <v>7165</v>
      </c>
      <c r="DW225" s="2" t="s">
        <v>7165</v>
      </c>
      <c r="DX225" s="2" t="s">
        <v>7165</v>
      </c>
      <c r="DY225" s="2" t="s">
        <v>7159</v>
      </c>
      <c r="DZ225" s="2" t="s">
        <v>7159</v>
      </c>
      <c r="EA225" s="2" t="s">
        <v>7165</v>
      </c>
      <c r="EB225" s="2" t="s">
        <v>7165</v>
      </c>
      <c r="EC225" s="2" t="s">
        <v>7159</v>
      </c>
      <c r="EF225" s="2" t="s">
        <v>7167</v>
      </c>
      <c r="EJ225" s="7" t="s">
        <v>7193</v>
      </c>
      <c r="EK225" s="2" t="s">
        <v>7142</v>
      </c>
      <c r="EL225" s="2" t="s">
        <v>7143</v>
      </c>
      <c r="EN225" s="2" t="s">
        <v>7170</v>
      </c>
      <c r="EP225" s="2" t="s">
        <v>7186</v>
      </c>
      <c r="ER225" s="2" t="s">
        <v>7142</v>
      </c>
      <c r="ET225" s="2" t="s">
        <v>7143</v>
      </c>
      <c r="EV225" s="2" t="s">
        <v>7142</v>
      </c>
      <c r="EW225" s="2" t="s">
        <v>7204</v>
      </c>
      <c r="EX225" s="2" t="s">
        <v>7142</v>
      </c>
      <c r="EY225" s="2" t="s">
        <v>7204</v>
      </c>
      <c r="EZ225" s="2" t="s">
        <v>7143</v>
      </c>
      <c r="FC225" s="2" t="s">
        <v>7172</v>
      </c>
      <c r="FD225" s="2" t="s">
        <v>7143</v>
      </c>
      <c r="FH225" s="2" t="s">
        <v>7173</v>
      </c>
      <c r="FJ225" s="2" t="s">
        <v>7142</v>
      </c>
      <c r="FK225" s="2" t="s">
        <v>7165</v>
      </c>
      <c r="FL225" s="2" t="s">
        <v>7260</v>
      </c>
      <c r="FN225" s="2" t="s">
        <v>7253</v>
      </c>
      <c r="FT225" s="2" t="s">
        <v>7176</v>
      </c>
      <c r="FU225" s="2" t="s">
        <v>7189</v>
      </c>
      <c r="FV225" s="2" t="s">
        <v>7189</v>
      </c>
      <c r="FW225" s="2" t="s">
        <v>7189</v>
      </c>
      <c r="FZ225" s="19" t="s">
        <v>7989</v>
      </c>
    </row>
    <row r="226" spans="1:182">
      <c r="A226" s="7" t="s">
        <v>1663</v>
      </c>
      <c r="D226" s="7" t="s">
        <v>7990</v>
      </c>
      <c r="E226" s="7" t="s">
        <v>177</v>
      </c>
      <c r="F226" s="7" t="s">
        <v>7134</v>
      </c>
      <c r="G226" s="7" t="s">
        <v>7981</v>
      </c>
      <c r="H226" s="7" t="s">
        <v>1659</v>
      </c>
      <c r="I226" s="7" t="s">
        <v>1664</v>
      </c>
      <c r="J226" s="19" t="s">
        <v>7991</v>
      </c>
      <c r="K226" s="7" t="s">
        <v>1664</v>
      </c>
      <c r="L226" s="2" t="s">
        <v>7137</v>
      </c>
      <c r="M226" s="7" t="s">
        <v>7179</v>
      </c>
      <c r="N226" s="2">
        <v>1977</v>
      </c>
      <c r="O226" s="7" t="s">
        <v>7180</v>
      </c>
      <c r="P226" s="2" t="s">
        <v>7140</v>
      </c>
      <c r="Q226" s="2" t="s">
        <v>7182</v>
      </c>
      <c r="R226" s="2" t="s">
        <v>7143</v>
      </c>
      <c r="S226" s="2">
        <v>29</v>
      </c>
      <c r="T226" s="2" t="s">
        <v>7143</v>
      </c>
      <c r="U226" s="2" t="s">
        <v>7143</v>
      </c>
      <c r="Y226" s="2">
        <v>637</v>
      </c>
      <c r="Z226" s="17">
        <v>0.87129999999999996</v>
      </c>
      <c r="AA226" s="2">
        <v>555</v>
      </c>
      <c r="AB226" s="2">
        <v>555</v>
      </c>
      <c r="AC226" s="7">
        <v>555</v>
      </c>
      <c r="AD226" s="2">
        <v>670</v>
      </c>
      <c r="AE226" s="2">
        <v>115</v>
      </c>
      <c r="AF226" s="2" t="s">
        <v>7143</v>
      </c>
      <c r="AG226" s="2" t="s">
        <v>7143</v>
      </c>
      <c r="AH226" s="2" t="s">
        <v>7143</v>
      </c>
      <c r="AJ226" s="2" t="s">
        <v>7143</v>
      </c>
      <c r="AK226" s="2" t="s">
        <v>7143</v>
      </c>
      <c r="AL226" s="2" t="s">
        <v>7142</v>
      </c>
      <c r="AM226" s="2" t="s">
        <v>7142</v>
      </c>
      <c r="AN226" s="2" t="s">
        <v>7143</v>
      </c>
      <c r="AO226" s="2" t="s">
        <v>7143</v>
      </c>
      <c r="AR226" s="7">
        <v>1.55</v>
      </c>
      <c r="AS226" s="7">
        <v>2</v>
      </c>
      <c r="AT226" s="7">
        <v>6.8</v>
      </c>
      <c r="AU226" s="2" t="s">
        <v>7144</v>
      </c>
      <c r="AV226" s="2" t="s">
        <v>7144</v>
      </c>
      <c r="AW226" s="2" t="s">
        <v>7143</v>
      </c>
      <c r="AZ226" s="2" t="s">
        <v>7145</v>
      </c>
      <c r="BB226" s="2" t="s">
        <v>7146</v>
      </c>
      <c r="BC226" s="2" t="s">
        <v>7147</v>
      </c>
      <c r="BD226" s="2" t="s">
        <v>7142</v>
      </c>
      <c r="BE226" s="2" t="s">
        <v>7142</v>
      </c>
      <c r="BF226" s="2" t="s">
        <v>7148</v>
      </c>
      <c r="BG226" s="2" t="s">
        <v>7232</v>
      </c>
      <c r="BH226" s="2" t="s">
        <v>7150</v>
      </c>
      <c r="BI226" s="2" t="s">
        <v>7151</v>
      </c>
      <c r="BL226" s="2" t="s">
        <v>7152</v>
      </c>
      <c r="BN226" s="2" t="s">
        <v>7154</v>
      </c>
      <c r="BO226" s="2" t="s">
        <v>7155</v>
      </c>
      <c r="BQ226" s="2" t="s">
        <v>7156</v>
      </c>
      <c r="BS226" s="2" t="s">
        <v>7142</v>
      </c>
      <c r="BT226" s="2" t="s">
        <v>7215</v>
      </c>
      <c r="BV226" s="2" t="s">
        <v>7202</v>
      </c>
      <c r="BX226" s="2" t="s">
        <v>7143</v>
      </c>
      <c r="BZ226" s="2" t="s">
        <v>7173</v>
      </c>
      <c r="CE226" s="7">
        <v>6.8</v>
      </c>
      <c r="CF226" s="2">
        <v>670</v>
      </c>
      <c r="CM226" s="2">
        <v>100</v>
      </c>
      <c r="CO226" s="2">
        <v>100</v>
      </c>
      <c r="CR226" s="2" t="s">
        <v>7160</v>
      </c>
      <c r="CT226" s="2" t="s">
        <v>7143</v>
      </c>
      <c r="CU226" s="2" t="s">
        <v>7161</v>
      </c>
      <c r="CW226" s="2" t="s">
        <v>7162</v>
      </c>
      <c r="CY226" s="2" t="s">
        <v>7163</v>
      </c>
      <c r="CZ226" s="2" t="s">
        <v>7163</v>
      </c>
      <c r="DA226" s="2" t="s">
        <v>7164</v>
      </c>
      <c r="DB226" s="2" t="s">
        <v>7164</v>
      </c>
      <c r="DC226" s="2" t="s">
        <v>7164</v>
      </c>
      <c r="DD226" s="2" t="s">
        <v>7164</v>
      </c>
      <c r="DE226" s="2" t="s">
        <v>7164</v>
      </c>
      <c r="DF226" s="2" t="s">
        <v>7164</v>
      </c>
      <c r="DG226" s="2" t="s">
        <v>7164</v>
      </c>
      <c r="DH226" s="2" t="s">
        <v>7164</v>
      </c>
      <c r="DI226" s="2" t="s">
        <v>7164</v>
      </c>
      <c r="DL226" s="2" t="s">
        <v>7142</v>
      </c>
      <c r="DM226" s="2" t="s">
        <v>7142</v>
      </c>
      <c r="DN226" s="2" t="s">
        <v>7142</v>
      </c>
      <c r="DO226" s="2" t="s">
        <v>7142</v>
      </c>
      <c r="DP226" s="2" t="s">
        <v>7165</v>
      </c>
      <c r="DQ226" s="2" t="s">
        <v>7166</v>
      </c>
      <c r="DT226" s="2" t="s">
        <v>7165</v>
      </c>
      <c r="DU226" s="2" t="s">
        <v>7165</v>
      </c>
      <c r="DV226" s="2" t="s">
        <v>7165</v>
      </c>
      <c r="DW226" s="2" t="s">
        <v>7165</v>
      </c>
      <c r="DX226" s="2" t="s">
        <v>7165</v>
      </c>
      <c r="DY226" s="2" t="s">
        <v>7165</v>
      </c>
      <c r="DZ226" s="2" t="s">
        <v>7165</v>
      </c>
      <c r="EA226" s="2" t="s">
        <v>7165</v>
      </c>
      <c r="EB226" s="2" t="s">
        <v>7165</v>
      </c>
      <c r="EF226" s="2" t="s">
        <v>7167</v>
      </c>
      <c r="EJ226" s="2" t="s">
        <v>7144</v>
      </c>
      <c r="EK226" s="2" t="s">
        <v>7142</v>
      </c>
      <c r="EL226" s="2" t="s">
        <v>7143</v>
      </c>
      <c r="EN226" s="2" t="s">
        <v>7170</v>
      </c>
      <c r="EP226" s="2" t="s">
        <v>7186</v>
      </c>
      <c r="ER226" s="2" t="s">
        <v>7142</v>
      </c>
      <c r="ET226" s="2" t="s">
        <v>7143</v>
      </c>
      <c r="EV226" s="2" t="s">
        <v>7142</v>
      </c>
      <c r="EW226" s="2" t="s">
        <v>7171</v>
      </c>
      <c r="EX226" s="2" t="s">
        <v>7143</v>
      </c>
      <c r="EZ226" s="2" t="s">
        <v>7143</v>
      </c>
      <c r="FC226" s="2" t="s">
        <v>7172</v>
      </c>
      <c r="FD226" s="2" t="s">
        <v>7143</v>
      </c>
      <c r="FH226" s="2" t="s">
        <v>7173</v>
      </c>
      <c r="FJ226" s="2" t="s">
        <v>7142</v>
      </c>
      <c r="FK226" s="2" t="s">
        <v>7165</v>
      </c>
      <c r="FL226" s="2" t="s">
        <v>7992</v>
      </c>
      <c r="FN226" s="2" t="s">
        <v>7175</v>
      </c>
      <c r="FT226" s="2" t="s">
        <v>7176</v>
      </c>
      <c r="FU226" s="2" t="s">
        <v>7176</v>
      </c>
      <c r="FV226" s="2" t="s">
        <v>7176</v>
      </c>
      <c r="FW226" s="2" t="s">
        <v>7176</v>
      </c>
      <c r="FZ226" s="19" t="s">
        <v>7993</v>
      </c>
    </row>
    <row r="227" spans="1:182">
      <c r="A227" s="7" t="s">
        <v>1666</v>
      </c>
      <c r="D227" s="7" t="s">
        <v>7994</v>
      </c>
      <c r="E227" s="7" t="s">
        <v>1667</v>
      </c>
      <c r="F227" s="7" t="s">
        <v>7319</v>
      </c>
      <c r="G227" s="7" t="s">
        <v>7981</v>
      </c>
      <c r="H227" s="7" t="s">
        <v>1668</v>
      </c>
      <c r="I227" s="7" t="s">
        <v>1669</v>
      </c>
      <c r="J227" s="16" t="s">
        <v>7995</v>
      </c>
      <c r="K227" s="7" t="s">
        <v>1669</v>
      </c>
      <c r="L227" s="7" t="s">
        <v>7137</v>
      </c>
      <c r="M227" s="7" t="s">
        <v>7138</v>
      </c>
      <c r="N227" s="7">
        <v>1986</v>
      </c>
      <c r="O227" s="7" t="s">
        <v>7180</v>
      </c>
      <c r="P227" s="7" t="s">
        <v>7140</v>
      </c>
      <c r="Q227" s="7" t="s">
        <v>7182</v>
      </c>
      <c r="R227" s="7" t="s">
        <v>7143</v>
      </c>
      <c r="S227" s="2">
        <v>30</v>
      </c>
      <c r="T227" s="7" t="s">
        <v>7143</v>
      </c>
      <c r="U227" s="7" t="s">
        <v>7143</v>
      </c>
      <c r="Y227" s="2">
        <v>2080</v>
      </c>
      <c r="Z227" s="17">
        <v>1</v>
      </c>
      <c r="AA227" s="2">
        <v>2080</v>
      </c>
      <c r="AB227" s="2">
        <v>2080</v>
      </c>
      <c r="AC227" s="7">
        <v>1080</v>
      </c>
      <c r="AD227" s="2">
        <v>1330</v>
      </c>
      <c r="AE227" s="2">
        <v>250</v>
      </c>
      <c r="AF227" s="2" t="s">
        <v>7143</v>
      </c>
      <c r="AG227" s="2" t="s">
        <v>7142</v>
      </c>
      <c r="AH227" s="2" t="s">
        <v>7143</v>
      </c>
      <c r="AJ227" s="7" t="s">
        <v>7143</v>
      </c>
      <c r="AK227" s="7" t="s">
        <v>7143</v>
      </c>
      <c r="AL227" s="2" t="s">
        <v>7143</v>
      </c>
      <c r="AM227" s="2" t="s">
        <v>7143</v>
      </c>
      <c r="AN227" s="2" t="s">
        <v>7143</v>
      </c>
      <c r="AO227" s="2" t="s">
        <v>7143</v>
      </c>
      <c r="AR227" s="7">
        <v>3.8</v>
      </c>
      <c r="AS227" s="7">
        <v>2</v>
      </c>
      <c r="AT227" s="7">
        <v>13.3</v>
      </c>
      <c r="AZ227" s="2" t="s">
        <v>7145</v>
      </c>
      <c r="BB227" s="2" t="s">
        <v>7214</v>
      </c>
      <c r="BC227" s="2" t="s">
        <v>7247</v>
      </c>
      <c r="BD227" s="2" t="s">
        <v>7142</v>
      </c>
      <c r="BE227" s="2" t="s">
        <v>7142</v>
      </c>
      <c r="BF227" s="2" t="s">
        <v>7148</v>
      </c>
      <c r="BG227" s="2" t="s">
        <v>7149</v>
      </c>
      <c r="BH227" s="2" t="s">
        <v>7248</v>
      </c>
      <c r="BI227" s="2" t="s">
        <v>7269</v>
      </c>
      <c r="BL227" s="2" t="s">
        <v>7152</v>
      </c>
      <c r="BM227" s="2" t="s">
        <v>7153</v>
      </c>
      <c r="BN227" s="2" t="s">
        <v>7154</v>
      </c>
      <c r="BO227" s="2" t="s">
        <v>7155</v>
      </c>
      <c r="BQ227" s="2" t="s">
        <v>7183</v>
      </c>
      <c r="BS227" s="2" t="s">
        <v>7142</v>
      </c>
      <c r="BT227" s="2" t="s">
        <v>7238</v>
      </c>
      <c r="BU227" s="2" t="s">
        <v>544</v>
      </c>
      <c r="BV227" s="2" t="s">
        <v>7239</v>
      </c>
      <c r="BX227" s="2" t="s">
        <v>7143</v>
      </c>
      <c r="BZ227" s="2" t="s">
        <v>7173</v>
      </c>
      <c r="CE227" s="7">
        <v>13.3</v>
      </c>
      <c r="CF227" s="2">
        <v>1330</v>
      </c>
      <c r="CM227" s="2">
        <v>100</v>
      </c>
      <c r="CQ227" s="2">
        <v>100</v>
      </c>
      <c r="CR227" s="2" t="s">
        <v>7160</v>
      </c>
      <c r="CT227" s="2" t="s">
        <v>7143</v>
      </c>
      <c r="CU227" s="2" t="s">
        <v>7996</v>
      </c>
      <c r="CW227" s="2" t="s">
        <v>7162</v>
      </c>
      <c r="CY227" s="2" t="s">
        <v>7163</v>
      </c>
      <c r="CZ227" s="2" t="s">
        <v>7163</v>
      </c>
      <c r="DA227" s="2" t="s">
        <v>7250</v>
      </c>
      <c r="DB227" s="2" t="s">
        <v>7250</v>
      </c>
      <c r="DC227" s="2" t="s">
        <v>7250</v>
      </c>
      <c r="DD227" s="2" t="s">
        <v>7321</v>
      </c>
      <c r="DE227" s="2" t="s">
        <v>7250</v>
      </c>
      <c r="DF227" s="2" t="s">
        <v>7250</v>
      </c>
      <c r="DG227" s="2" t="s">
        <v>7250</v>
      </c>
      <c r="DH227" s="2" t="s">
        <v>7250</v>
      </c>
      <c r="DI227" s="2" t="s">
        <v>7250</v>
      </c>
      <c r="DL227" s="2" t="s">
        <v>7143</v>
      </c>
      <c r="DM227" s="2" t="s">
        <v>7143</v>
      </c>
      <c r="DP227" s="2" t="s">
        <v>7173</v>
      </c>
      <c r="DT227" s="2" t="s">
        <v>7159</v>
      </c>
      <c r="DU227" s="2" t="s">
        <v>7159</v>
      </c>
      <c r="DV227" s="2" t="s">
        <v>7159</v>
      </c>
      <c r="DW227" s="2" t="s">
        <v>7159</v>
      </c>
      <c r="DX227" s="2" t="s">
        <v>7159</v>
      </c>
      <c r="DY227" s="2" t="s">
        <v>7159</v>
      </c>
      <c r="DZ227" s="2" t="s">
        <v>7159</v>
      </c>
      <c r="EA227" s="2" t="s">
        <v>7159</v>
      </c>
      <c r="EB227" s="2" t="s">
        <v>7159</v>
      </c>
      <c r="EC227" s="2" t="s">
        <v>7159</v>
      </c>
      <c r="EJ227" s="2" t="s">
        <v>7217</v>
      </c>
      <c r="EK227" s="2" t="s">
        <v>7143</v>
      </c>
      <c r="EL227" s="2" t="s">
        <v>7143</v>
      </c>
      <c r="EN227" s="2" t="s">
        <v>7210</v>
      </c>
      <c r="EP227" s="2" t="s">
        <v>7186</v>
      </c>
      <c r="ER227" s="2" t="s">
        <v>7142</v>
      </c>
      <c r="ET227" s="2" t="s">
        <v>7143</v>
      </c>
      <c r="EV227" s="2" t="s">
        <v>7143</v>
      </c>
      <c r="EX227" s="2" t="s">
        <v>7143</v>
      </c>
      <c r="EZ227" s="2" t="s">
        <v>7143</v>
      </c>
      <c r="FC227" s="2" t="s">
        <v>7309</v>
      </c>
      <c r="FD227" s="2" t="s">
        <v>7143</v>
      </c>
      <c r="FH227" s="2" t="s">
        <v>7173</v>
      </c>
      <c r="FJ227" s="2" t="s">
        <v>7143</v>
      </c>
      <c r="FK227" s="2" t="s">
        <v>7165</v>
      </c>
      <c r="FL227" s="2" t="s">
        <v>7652</v>
      </c>
      <c r="FN227" s="2" t="s">
        <v>7481</v>
      </c>
      <c r="FR227" s="2" t="s">
        <v>1671</v>
      </c>
      <c r="FT227" s="2" t="s">
        <v>7176</v>
      </c>
      <c r="FU227" s="2" t="s">
        <v>7176</v>
      </c>
      <c r="FV227" s="2" t="s">
        <v>7176</v>
      </c>
      <c r="FW227" s="2" t="s">
        <v>7176</v>
      </c>
      <c r="FZ227" s="19" t="s">
        <v>7997</v>
      </c>
    </row>
    <row r="228" spans="1:182">
      <c r="A228" s="7" t="s">
        <v>1672</v>
      </c>
      <c r="D228" s="7" t="s">
        <v>7998</v>
      </c>
      <c r="E228" s="7" t="s">
        <v>1673</v>
      </c>
      <c r="F228" s="7" t="s">
        <v>7389</v>
      </c>
      <c r="G228" s="7" t="s">
        <v>7981</v>
      </c>
      <c r="H228" s="7" t="s">
        <v>1674</v>
      </c>
      <c r="I228" s="7" t="s">
        <v>1675</v>
      </c>
      <c r="J228" s="16" t="s">
        <v>7999</v>
      </c>
      <c r="K228" s="7" t="s">
        <v>1675</v>
      </c>
      <c r="L228" s="2" t="s">
        <v>7137</v>
      </c>
      <c r="M228" s="7" t="s">
        <v>7138</v>
      </c>
      <c r="N228" s="7">
        <v>1976</v>
      </c>
      <c r="O228" s="7" t="s">
        <v>7180</v>
      </c>
      <c r="P228" s="7" t="s">
        <v>7140</v>
      </c>
      <c r="Q228" s="2" t="s">
        <v>7182</v>
      </c>
      <c r="R228" s="2" t="s">
        <v>7143</v>
      </c>
      <c r="S228" s="2">
        <v>28</v>
      </c>
      <c r="T228" s="2" t="s">
        <v>7143</v>
      </c>
      <c r="U228" s="2" t="s">
        <v>7143</v>
      </c>
      <c r="Y228" s="2">
        <v>1190</v>
      </c>
      <c r="Z228" s="17">
        <v>1</v>
      </c>
      <c r="AA228" s="2">
        <v>1190</v>
      </c>
      <c r="AB228" s="2">
        <v>1190</v>
      </c>
      <c r="AC228" s="7">
        <v>1190</v>
      </c>
      <c r="AD228" s="2">
        <v>1300</v>
      </c>
      <c r="AE228" s="2">
        <v>110</v>
      </c>
      <c r="AF228" s="2" t="s">
        <v>7143</v>
      </c>
      <c r="AG228" s="2" t="s">
        <v>7143</v>
      </c>
      <c r="AH228" s="2" t="s">
        <v>7143</v>
      </c>
      <c r="AJ228" s="2" t="s">
        <v>7143</v>
      </c>
      <c r="AK228" s="2" t="s">
        <v>7143</v>
      </c>
      <c r="AL228" s="2" t="s">
        <v>7143</v>
      </c>
      <c r="AM228" s="2" t="s">
        <v>7143</v>
      </c>
      <c r="AN228" s="2" t="s">
        <v>7143</v>
      </c>
      <c r="AO228" s="2" t="s">
        <v>7143</v>
      </c>
      <c r="AR228" s="7">
        <v>2.4</v>
      </c>
      <c r="AS228" s="7">
        <v>3</v>
      </c>
      <c r="AT228" s="7">
        <v>10.5</v>
      </c>
      <c r="AU228" s="2" t="s">
        <v>7193</v>
      </c>
      <c r="AV228" s="2" t="s">
        <v>7144</v>
      </c>
      <c r="AW228" s="2" t="s">
        <v>7143</v>
      </c>
      <c r="AZ228" s="2" t="s">
        <v>7145</v>
      </c>
      <c r="BB228" s="2" t="s">
        <v>7214</v>
      </c>
      <c r="BC228" s="2" t="s">
        <v>7208</v>
      </c>
      <c r="BD228" s="2" t="s">
        <v>7143</v>
      </c>
      <c r="BE228" s="2" t="s">
        <v>7142</v>
      </c>
      <c r="BF228" s="2" t="s">
        <v>7148</v>
      </c>
      <c r="BG228" s="2" t="s">
        <v>7232</v>
      </c>
      <c r="BH228" s="2" t="s">
        <v>7248</v>
      </c>
      <c r="BI228" s="2" t="s">
        <v>7151</v>
      </c>
      <c r="BL228" s="2" t="s">
        <v>7442</v>
      </c>
      <c r="BM228" s="2" t="s">
        <v>7355</v>
      </c>
      <c r="BN228" s="2" t="s">
        <v>7154</v>
      </c>
      <c r="BO228" s="2" t="s">
        <v>7155</v>
      </c>
      <c r="BQ228" s="2" t="s">
        <v>7183</v>
      </c>
      <c r="BS228" s="2" t="s">
        <v>7142</v>
      </c>
      <c r="BT228" s="2" t="s">
        <v>7315</v>
      </c>
      <c r="BV228" s="2" t="s">
        <v>7197</v>
      </c>
      <c r="BX228" s="2" t="s">
        <v>7143</v>
      </c>
      <c r="BZ228" s="2" t="s">
        <v>7165</v>
      </c>
      <c r="CA228" s="2" t="s">
        <v>1676</v>
      </c>
      <c r="CE228" s="7">
        <v>10.5</v>
      </c>
      <c r="CF228" s="2">
        <v>1300</v>
      </c>
      <c r="CM228" s="2">
        <v>100</v>
      </c>
      <c r="CO228" s="2">
        <v>100</v>
      </c>
      <c r="CR228" s="2" t="s">
        <v>7160</v>
      </c>
      <c r="CT228" s="2" t="s">
        <v>7143</v>
      </c>
      <c r="CU228" s="2" t="s">
        <v>7161</v>
      </c>
      <c r="CW228" s="2" t="s">
        <v>7162</v>
      </c>
      <c r="CY228" s="2" t="s">
        <v>7163</v>
      </c>
      <c r="CZ228" s="2" t="s">
        <v>7163</v>
      </c>
      <c r="DA228" s="2" t="s">
        <v>7250</v>
      </c>
      <c r="DB228" s="2" t="s">
        <v>7250</v>
      </c>
      <c r="DC228" s="2" t="s">
        <v>7250</v>
      </c>
      <c r="DD228" s="2" t="s">
        <v>7163</v>
      </c>
      <c r="DE228" s="2" t="s">
        <v>7163</v>
      </c>
      <c r="DF228" s="2" t="s">
        <v>7163</v>
      </c>
      <c r="DG228" s="2" t="s">
        <v>7227</v>
      </c>
      <c r="DH228" s="2" t="s">
        <v>7227</v>
      </c>
      <c r="DI228" s="2" t="s">
        <v>7250</v>
      </c>
      <c r="DL228" s="2" t="s">
        <v>7142</v>
      </c>
      <c r="DM228" s="2" t="s">
        <v>7142</v>
      </c>
      <c r="DN228" s="2" t="s">
        <v>7142</v>
      </c>
      <c r="DO228" s="2" t="s">
        <v>7142</v>
      </c>
      <c r="DP228" s="2" t="s">
        <v>7165</v>
      </c>
      <c r="DQ228" s="2" t="s">
        <v>7333</v>
      </c>
      <c r="DR228" s="2" t="s">
        <v>1677</v>
      </c>
      <c r="DT228" s="2" t="s">
        <v>7165</v>
      </c>
      <c r="DU228" s="2" t="s">
        <v>7165</v>
      </c>
      <c r="DV228" s="2" t="s">
        <v>7165</v>
      </c>
      <c r="DW228" s="2" t="s">
        <v>7165</v>
      </c>
      <c r="DX228" s="2" t="s">
        <v>7165</v>
      </c>
      <c r="DY228" s="2" t="s">
        <v>7165</v>
      </c>
      <c r="DZ228" s="2" t="s">
        <v>7165</v>
      </c>
      <c r="EA228" s="2" t="s">
        <v>7165</v>
      </c>
      <c r="EB228" s="2" t="s">
        <v>7165</v>
      </c>
      <c r="EC228" s="2" t="s">
        <v>7165</v>
      </c>
      <c r="ED228" s="2" t="s">
        <v>7165</v>
      </c>
      <c r="EF228" s="2" t="s">
        <v>7167</v>
      </c>
      <c r="EG228" s="2" t="s">
        <v>1678</v>
      </c>
      <c r="EJ228" s="2" t="s">
        <v>7193</v>
      </c>
      <c r="EK228" s="2" t="s">
        <v>7143</v>
      </c>
      <c r="EL228" s="2" t="s">
        <v>7143</v>
      </c>
      <c r="EN228" s="2" t="s">
        <v>7210</v>
      </c>
      <c r="EP228" s="2" t="s">
        <v>7186</v>
      </c>
      <c r="ER228" s="2" t="s">
        <v>7143</v>
      </c>
      <c r="ET228" s="2" t="s">
        <v>7143</v>
      </c>
      <c r="EV228" s="2" t="s">
        <v>7143</v>
      </c>
      <c r="EX228" s="2" t="s">
        <v>7143</v>
      </c>
      <c r="EZ228" s="2" t="s">
        <v>7143</v>
      </c>
      <c r="FC228" s="2" t="s">
        <v>7218</v>
      </c>
      <c r="FD228" s="2" t="s">
        <v>7143</v>
      </c>
      <c r="FH228" s="2" t="s">
        <v>7173</v>
      </c>
      <c r="FJ228" s="2" t="s">
        <v>7143</v>
      </c>
      <c r="FK228" s="2" t="s">
        <v>7173</v>
      </c>
      <c r="FN228" s="2" t="s">
        <v>7458</v>
      </c>
      <c r="FR228" s="2" t="s">
        <v>461</v>
      </c>
      <c r="FT228" s="2" t="s">
        <v>7176</v>
      </c>
      <c r="FU228" s="2" t="s">
        <v>7176</v>
      </c>
      <c r="FV228" s="2" t="s">
        <v>7176</v>
      </c>
      <c r="FW228" s="2" t="s">
        <v>7176</v>
      </c>
      <c r="FZ228" s="19" t="s">
        <v>8000</v>
      </c>
    </row>
    <row r="229" spans="1:182">
      <c r="A229" s="7" t="s">
        <v>1679</v>
      </c>
      <c r="D229" s="7" t="s">
        <v>8001</v>
      </c>
      <c r="E229" s="7" t="s">
        <v>177</v>
      </c>
      <c r="F229" s="7" t="s">
        <v>7245</v>
      </c>
      <c r="G229" s="7" t="s">
        <v>7981</v>
      </c>
      <c r="H229" s="7" t="s">
        <v>1659</v>
      </c>
      <c r="I229" s="7" t="s">
        <v>1680</v>
      </c>
      <c r="J229" s="16" t="s">
        <v>8002</v>
      </c>
      <c r="K229" s="7" t="s">
        <v>1681</v>
      </c>
      <c r="L229" s="2" t="s">
        <v>7281</v>
      </c>
      <c r="M229" s="7" t="s">
        <v>7179</v>
      </c>
      <c r="N229" s="7">
        <v>1970</v>
      </c>
      <c r="O229" s="7" t="s">
        <v>7180</v>
      </c>
      <c r="P229" s="7" t="s">
        <v>7181</v>
      </c>
      <c r="Q229" s="7" t="s">
        <v>7182</v>
      </c>
      <c r="R229" s="7" t="s">
        <v>7143</v>
      </c>
      <c r="S229" s="7">
        <v>2006</v>
      </c>
      <c r="T229" s="7" t="s">
        <v>7143</v>
      </c>
      <c r="U229" s="7" t="s">
        <v>7143</v>
      </c>
      <c r="Y229" s="2">
        <v>670</v>
      </c>
      <c r="Z229" s="17">
        <v>1</v>
      </c>
      <c r="AA229" s="2">
        <v>670</v>
      </c>
      <c r="AB229" s="2">
        <v>650</v>
      </c>
      <c r="AC229" s="7">
        <v>530</v>
      </c>
      <c r="AD229" s="2">
        <v>600</v>
      </c>
      <c r="AE229" s="2">
        <v>70</v>
      </c>
      <c r="AF229" s="2" t="s">
        <v>7143</v>
      </c>
      <c r="AG229" s="2" t="s">
        <v>7142</v>
      </c>
      <c r="AH229" s="2" t="s">
        <v>7142</v>
      </c>
      <c r="AI229" s="2" t="s">
        <v>1187</v>
      </c>
      <c r="AJ229" s="2" t="s">
        <v>7143</v>
      </c>
      <c r="AK229" s="2" t="s">
        <v>7142</v>
      </c>
      <c r="AL229" s="2" t="s">
        <v>7143</v>
      </c>
      <c r="AM229" s="2" t="s">
        <v>7142</v>
      </c>
      <c r="AN229" s="2" t="s">
        <v>7143</v>
      </c>
      <c r="AO229" s="2" t="s">
        <v>7143</v>
      </c>
      <c r="AR229" s="7">
        <v>2</v>
      </c>
      <c r="AS229" s="7">
        <v>1</v>
      </c>
      <c r="AT229" s="7">
        <v>6</v>
      </c>
      <c r="AU229" s="7" t="s">
        <v>7144</v>
      </c>
      <c r="AV229" s="7" t="s">
        <v>7144</v>
      </c>
      <c r="AW229" s="7" t="s">
        <v>7143</v>
      </c>
      <c r="AZ229" s="7" t="s">
        <v>7145</v>
      </c>
      <c r="BB229" s="7" t="s">
        <v>7214</v>
      </c>
      <c r="BC229" s="7" t="s">
        <v>7208</v>
      </c>
      <c r="BD229" s="2" t="s">
        <v>7142</v>
      </c>
      <c r="BE229" s="7" t="s">
        <v>7142</v>
      </c>
      <c r="BF229" s="7" t="s">
        <v>7148</v>
      </c>
      <c r="BG229" s="7" t="s">
        <v>7232</v>
      </c>
      <c r="BH229" s="7" t="s">
        <v>7150</v>
      </c>
      <c r="BI229" s="7" t="s">
        <v>7151</v>
      </c>
      <c r="BL229" s="7" t="s">
        <v>7152</v>
      </c>
      <c r="BM229" s="7" t="s">
        <v>7153</v>
      </c>
      <c r="BN229" s="7" t="s">
        <v>7154</v>
      </c>
      <c r="BO229" s="2" t="s">
        <v>7155</v>
      </c>
      <c r="BQ229" s="2" t="s">
        <v>7256</v>
      </c>
      <c r="BS229" s="2" t="s">
        <v>7142</v>
      </c>
      <c r="BT229" s="2" t="s">
        <v>7157</v>
      </c>
      <c r="BV229" s="2" t="s">
        <v>7304</v>
      </c>
      <c r="BX229" s="2" t="s">
        <v>7142</v>
      </c>
      <c r="BY229" s="2" t="s">
        <v>310</v>
      </c>
      <c r="BZ229" s="2" t="s">
        <v>7159</v>
      </c>
      <c r="CE229" s="7">
        <v>6</v>
      </c>
      <c r="CF229" s="2">
        <v>590</v>
      </c>
      <c r="CK229" s="2">
        <v>100</v>
      </c>
      <c r="CO229" s="2">
        <v>100</v>
      </c>
      <c r="CR229" s="2" t="s">
        <v>7160</v>
      </c>
      <c r="CT229" s="7" t="s">
        <v>7143</v>
      </c>
      <c r="CU229" s="7" t="s">
        <v>7161</v>
      </c>
      <c r="CW229" s="7" t="s">
        <v>7162</v>
      </c>
      <c r="CY229" s="2" t="s">
        <v>7163</v>
      </c>
      <c r="CZ229" s="2" t="s">
        <v>7227</v>
      </c>
      <c r="DA229" s="2" t="s">
        <v>7250</v>
      </c>
      <c r="DB229" s="2" t="s">
        <v>7251</v>
      </c>
      <c r="DC229" s="2" t="s">
        <v>7250</v>
      </c>
      <c r="DD229" s="2" t="s">
        <v>7251</v>
      </c>
      <c r="DE229" s="2" t="s">
        <v>7164</v>
      </c>
      <c r="DF229" s="2" t="s">
        <v>7163</v>
      </c>
      <c r="DG229" s="2" t="s">
        <v>7163</v>
      </c>
      <c r="DH229" s="2" t="s">
        <v>7163</v>
      </c>
      <c r="DI229" s="2" t="s">
        <v>7163</v>
      </c>
      <c r="DL229" s="7" t="s">
        <v>7142</v>
      </c>
      <c r="DM229" s="7" t="s">
        <v>7142</v>
      </c>
      <c r="DN229" s="7" t="s">
        <v>7142</v>
      </c>
      <c r="DO229" s="7" t="s">
        <v>7142</v>
      </c>
      <c r="DP229" s="2" t="s">
        <v>7165</v>
      </c>
      <c r="DQ229" s="2" t="s">
        <v>7166</v>
      </c>
      <c r="DT229" s="2" t="s">
        <v>7165</v>
      </c>
      <c r="DU229" s="2" t="s">
        <v>7165</v>
      </c>
      <c r="DV229" s="2" t="s">
        <v>7165</v>
      </c>
      <c r="DW229" s="2" t="s">
        <v>7165</v>
      </c>
      <c r="DX229" s="2" t="s">
        <v>7165</v>
      </c>
      <c r="DY229" s="2" t="s">
        <v>7159</v>
      </c>
      <c r="DZ229" s="2" t="s">
        <v>7159</v>
      </c>
      <c r="EA229" s="2" t="s">
        <v>7165</v>
      </c>
      <c r="EB229" s="2" t="s">
        <v>7165</v>
      </c>
      <c r="EC229" s="2" t="s">
        <v>7159</v>
      </c>
      <c r="ED229" s="2" t="s">
        <v>7159</v>
      </c>
      <c r="EF229" s="2" t="s">
        <v>7167</v>
      </c>
      <c r="EJ229" s="7" t="s">
        <v>7144</v>
      </c>
      <c r="EK229" s="2" t="s">
        <v>7142</v>
      </c>
      <c r="EL229" s="2" t="s">
        <v>7143</v>
      </c>
      <c r="EN229" s="7" t="s">
        <v>7170</v>
      </c>
      <c r="EP229" s="7" t="s">
        <v>7186</v>
      </c>
      <c r="ER229" s="2" t="s">
        <v>7142</v>
      </c>
      <c r="ET229" s="2" t="s">
        <v>7143</v>
      </c>
      <c r="EV229" s="2" t="s">
        <v>7142</v>
      </c>
      <c r="EW229" s="2" t="s">
        <v>7204</v>
      </c>
      <c r="EX229" s="2" t="s">
        <v>7142</v>
      </c>
      <c r="EY229" s="2" t="s">
        <v>7204</v>
      </c>
      <c r="EZ229" s="2" t="s">
        <v>7143</v>
      </c>
      <c r="FC229" s="2" t="s">
        <v>7172</v>
      </c>
      <c r="FD229" s="2" t="s">
        <v>7143</v>
      </c>
      <c r="FH229" s="7" t="s">
        <v>7173</v>
      </c>
      <c r="FJ229" s="2" t="s">
        <v>7142</v>
      </c>
      <c r="FK229" s="2" t="s">
        <v>7165</v>
      </c>
      <c r="FL229" s="2" t="s">
        <v>7260</v>
      </c>
      <c r="FN229" s="2" t="s">
        <v>7253</v>
      </c>
      <c r="FT229" s="2" t="s">
        <v>7176</v>
      </c>
      <c r="FU229" s="2" t="s">
        <v>7189</v>
      </c>
      <c r="FV229" s="2" t="s">
        <v>7189</v>
      </c>
      <c r="FW229" s="2" t="s">
        <v>7189</v>
      </c>
      <c r="FZ229" s="19" t="s">
        <v>8003</v>
      </c>
    </row>
    <row r="230" spans="1:182">
      <c r="A230" s="7" t="s">
        <v>1682</v>
      </c>
      <c r="D230" s="7" t="s">
        <v>8004</v>
      </c>
      <c r="E230" s="7" t="s">
        <v>1683</v>
      </c>
      <c r="F230" s="7" t="s">
        <v>7339</v>
      </c>
      <c r="G230" s="7" t="s">
        <v>7981</v>
      </c>
      <c r="H230" s="7" t="s">
        <v>1650</v>
      </c>
      <c r="I230" s="7" t="s">
        <v>1684</v>
      </c>
      <c r="J230" s="16" t="s">
        <v>8005</v>
      </c>
      <c r="K230" s="7" t="s">
        <v>1685</v>
      </c>
      <c r="L230" s="2" t="s">
        <v>7137</v>
      </c>
      <c r="M230" s="7" t="s">
        <v>7179</v>
      </c>
      <c r="N230" s="7">
        <v>1971</v>
      </c>
      <c r="O230" s="7" t="s">
        <v>7180</v>
      </c>
      <c r="P230" s="2" t="s">
        <v>7181</v>
      </c>
      <c r="Q230" s="2" t="s">
        <v>7182</v>
      </c>
      <c r="R230" s="2" t="s">
        <v>7143</v>
      </c>
      <c r="S230" s="2">
        <v>26</v>
      </c>
      <c r="T230" s="2" t="s">
        <v>7143</v>
      </c>
      <c r="U230" s="2" t="s">
        <v>7143</v>
      </c>
      <c r="Y230" s="2">
        <v>1649</v>
      </c>
      <c r="Z230" s="17">
        <v>1</v>
      </c>
      <c r="AA230" s="2">
        <v>1649</v>
      </c>
      <c r="AB230" s="2">
        <v>1649</v>
      </c>
      <c r="AC230" s="7">
        <v>1649</v>
      </c>
      <c r="AD230" s="2">
        <v>2149</v>
      </c>
      <c r="AE230" s="2">
        <v>500</v>
      </c>
      <c r="AF230" s="2" t="s">
        <v>7143</v>
      </c>
      <c r="AG230" s="2" t="s">
        <v>7143</v>
      </c>
      <c r="AH230" s="2" t="s">
        <v>7143</v>
      </c>
      <c r="AJ230" s="2" t="s">
        <v>7143</v>
      </c>
      <c r="AK230" s="2" t="s">
        <v>7143</v>
      </c>
      <c r="AL230" s="2" t="s">
        <v>7143</v>
      </c>
      <c r="AM230" s="2" t="s">
        <v>7143</v>
      </c>
      <c r="AN230" s="2" t="s">
        <v>7143</v>
      </c>
      <c r="AO230" s="2" t="s">
        <v>7143</v>
      </c>
      <c r="AR230" s="7">
        <v>4.4000000000000004</v>
      </c>
      <c r="AS230" s="7">
        <v>4</v>
      </c>
      <c r="AT230" s="7">
        <v>22</v>
      </c>
      <c r="AU230" s="2" t="s">
        <v>7193</v>
      </c>
      <c r="AV230" s="2" t="s">
        <v>7193</v>
      </c>
      <c r="AW230" s="2" t="s">
        <v>7143</v>
      </c>
      <c r="AZ230" s="2" t="s">
        <v>7145</v>
      </c>
      <c r="BB230" s="2" t="s">
        <v>7214</v>
      </c>
      <c r="BC230" s="2" t="s">
        <v>7247</v>
      </c>
      <c r="BD230" s="2" t="s">
        <v>7143</v>
      </c>
      <c r="BE230" s="2" t="s">
        <v>7142</v>
      </c>
      <c r="BF230" s="2" t="s">
        <v>7148</v>
      </c>
      <c r="BG230" s="2" t="s">
        <v>7149</v>
      </c>
      <c r="BH230" s="2" t="s">
        <v>7150</v>
      </c>
      <c r="BI230" s="2" t="s">
        <v>7151</v>
      </c>
      <c r="BL230" s="2" t="s">
        <v>7152</v>
      </c>
      <c r="BM230" s="2" t="s">
        <v>7153</v>
      </c>
      <c r="BN230" s="2" t="s">
        <v>7154</v>
      </c>
      <c r="BO230" s="2" t="s">
        <v>7155</v>
      </c>
      <c r="BQ230" s="2" t="s">
        <v>7183</v>
      </c>
      <c r="BS230" s="2" t="s">
        <v>7142</v>
      </c>
      <c r="BT230" s="2" t="s">
        <v>7400</v>
      </c>
      <c r="BV230" s="2" t="s">
        <v>7342</v>
      </c>
      <c r="BX230" s="2" t="s">
        <v>7142</v>
      </c>
      <c r="BY230" s="2" t="s">
        <v>1686</v>
      </c>
      <c r="BZ230" s="2" t="s">
        <v>7165</v>
      </c>
      <c r="CA230" s="2" t="s">
        <v>1687</v>
      </c>
      <c r="CE230" s="7">
        <v>22</v>
      </c>
      <c r="CF230" s="2">
        <v>1649</v>
      </c>
      <c r="CM230" s="2">
        <v>100</v>
      </c>
      <c r="CO230" s="2">
        <v>100</v>
      </c>
      <c r="CR230" s="2" t="s">
        <v>7160</v>
      </c>
      <c r="CT230" s="2" t="s">
        <v>7143</v>
      </c>
      <c r="CU230" s="2" t="s">
        <v>7203</v>
      </c>
      <c r="CW230" s="2" t="s">
        <v>7162</v>
      </c>
      <c r="CY230" s="2" t="s">
        <v>7227</v>
      </c>
      <c r="CZ230" s="2" t="s">
        <v>7227</v>
      </c>
      <c r="DA230" s="2" t="s">
        <v>7249</v>
      </c>
      <c r="DB230" s="2" t="s">
        <v>7250</v>
      </c>
      <c r="DC230" s="2" t="s">
        <v>7250</v>
      </c>
      <c r="DD230" s="2" t="s">
        <v>7250</v>
      </c>
      <c r="DE230" s="2" t="s">
        <v>7250</v>
      </c>
      <c r="DF230" s="2" t="s">
        <v>7227</v>
      </c>
      <c r="DG230" s="2" t="s">
        <v>7227</v>
      </c>
      <c r="DH230" s="2" t="s">
        <v>7227</v>
      </c>
      <c r="DI230" s="2" t="s">
        <v>7227</v>
      </c>
      <c r="DL230" s="2" t="s">
        <v>7142</v>
      </c>
      <c r="DM230" s="2" t="s">
        <v>7142</v>
      </c>
      <c r="DN230" s="2" t="s">
        <v>7142</v>
      </c>
      <c r="DO230" s="2" t="s">
        <v>7142</v>
      </c>
      <c r="DP230" s="2" t="s">
        <v>7165</v>
      </c>
      <c r="DQ230" s="2" t="s">
        <v>7333</v>
      </c>
      <c r="DR230" s="2" t="s">
        <v>8006</v>
      </c>
      <c r="DT230" s="2" t="s">
        <v>7165</v>
      </c>
      <c r="DU230" s="2" t="s">
        <v>7165</v>
      </c>
      <c r="DV230" s="2" t="s">
        <v>7165</v>
      </c>
      <c r="DW230" s="2" t="s">
        <v>7165</v>
      </c>
      <c r="DX230" s="2" t="s">
        <v>7165</v>
      </c>
      <c r="DY230" s="2" t="s">
        <v>7165</v>
      </c>
      <c r="DZ230" s="2" t="s">
        <v>7165</v>
      </c>
      <c r="EA230" s="2" t="s">
        <v>7165</v>
      </c>
      <c r="EB230" s="2" t="s">
        <v>7165</v>
      </c>
      <c r="EC230" s="2" t="s">
        <v>7159</v>
      </c>
      <c r="ED230" s="2" t="s">
        <v>7159</v>
      </c>
      <c r="EF230" s="2" t="s">
        <v>7221</v>
      </c>
      <c r="EG230" s="2" t="s">
        <v>1689</v>
      </c>
      <c r="EJ230" s="2" t="s">
        <v>7193</v>
      </c>
      <c r="EK230" s="2" t="s">
        <v>7142</v>
      </c>
      <c r="EL230" s="2" t="s">
        <v>7143</v>
      </c>
      <c r="EN230" s="2" t="s">
        <v>7170</v>
      </c>
      <c r="EP230" s="2" t="s">
        <v>7186</v>
      </c>
      <c r="ER230" s="2" t="s">
        <v>7142</v>
      </c>
      <c r="ET230" s="2" t="s">
        <v>7143</v>
      </c>
      <c r="EV230" s="2" t="s">
        <v>7143</v>
      </c>
      <c r="EX230" s="2" t="s">
        <v>7143</v>
      </c>
      <c r="EZ230" s="2" t="s">
        <v>7143</v>
      </c>
      <c r="FC230" s="2" t="s">
        <v>7218</v>
      </c>
      <c r="FD230" s="2" t="s">
        <v>7143</v>
      </c>
      <c r="FH230" s="2" t="s">
        <v>7173</v>
      </c>
      <c r="FJ230" s="2" t="s">
        <v>7143</v>
      </c>
      <c r="FK230" s="2" t="s">
        <v>7173</v>
      </c>
      <c r="FN230" s="2" t="s">
        <v>7344</v>
      </c>
      <c r="FR230" s="2" t="s">
        <v>1690</v>
      </c>
      <c r="FT230" s="2" t="s">
        <v>7189</v>
      </c>
      <c r="FU230" s="2" t="s">
        <v>7189</v>
      </c>
      <c r="FV230" s="2" t="s">
        <v>7189</v>
      </c>
      <c r="FW230" s="2" t="s">
        <v>7189</v>
      </c>
      <c r="FX230" s="2" t="s">
        <v>7189</v>
      </c>
      <c r="FZ230" s="19" t="s">
        <v>8007</v>
      </c>
    </row>
    <row r="231" spans="1:182">
      <c r="A231" s="7" t="s">
        <v>1691</v>
      </c>
      <c r="D231" s="7" t="s">
        <v>8008</v>
      </c>
      <c r="E231" s="7" t="s">
        <v>177</v>
      </c>
      <c r="F231" s="7" t="s">
        <v>7134</v>
      </c>
      <c r="G231" s="7" t="s">
        <v>7981</v>
      </c>
      <c r="H231" s="2" t="s">
        <v>1659</v>
      </c>
      <c r="I231" s="7" t="s">
        <v>1692</v>
      </c>
      <c r="J231" s="19" t="s">
        <v>8009</v>
      </c>
      <c r="K231" s="7" t="s">
        <v>1693</v>
      </c>
      <c r="L231" s="2" t="s">
        <v>7137</v>
      </c>
      <c r="M231" s="7" t="s">
        <v>7138</v>
      </c>
      <c r="N231" s="7">
        <v>1974</v>
      </c>
      <c r="O231" s="7" t="s">
        <v>7180</v>
      </c>
      <c r="P231" s="2" t="s">
        <v>7181</v>
      </c>
      <c r="Q231" s="2" t="s">
        <v>7141</v>
      </c>
      <c r="R231" s="2" t="s">
        <v>7143</v>
      </c>
      <c r="S231" s="2">
        <v>28</v>
      </c>
      <c r="T231" s="2" t="s">
        <v>7143</v>
      </c>
      <c r="U231" s="2" t="s">
        <v>7143</v>
      </c>
      <c r="Y231" s="2">
        <v>660</v>
      </c>
      <c r="Z231" s="17">
        <v>1</v>
      </c>
      <c r="AA231" s="2">
        <v>660</v>
      </c>
      <c r="AB231" s="2">
        <v>660</v>
      </c>
      <c r="AC231" s="7">
        <v>660</v>
      </c>
      <c r="AD231" s="2">
        <v>800</v>
      </c>
      <c r="AE231" s="2">
        <v>140</v>
      </c>
      <c r="AF231" s="2" t="s">
        <v>7143</v>
      </c>
      <c r="AG231" s="2" t="s">
        <v>7143</v>
      </c>
      <c r="AH231" s="2" t="s">
        <v>7143</v>
      </c>
      <c r="AJ231" s="2" t="s">
        <v>7143</v>
      </c>
      <c r="AK231" s="2" t="s">
        <v>7143</v>
      </c>
      <c r="AL231" s="2" t="s">
        <v>7143</v>
      </c>
      <c r="AM231" s="2" t="s">
        <v>7143</v>
      </c>
      <c r="AN231" s="2" t="s">
        <v>7143</v>
      </c>
      <c r="AO231" s="2" t="s">
        <v>7143</v>
      </c>
      <c r="AR231" s="7">
        <v>2</v>
      </c>
      <c r="AS231" s="7">
        <v>3</v>
      </c>
      <c r="AT231" s="7">
        <v>7.8</v>
      </c>
      <c r="AU231" s="2" t="s">
        <v>7144</v>
      </c>
      <c r="AV231" s="2" t="s">
        <v>7144</v>
      </c>
      <c r="AW231" s="2" t="s">
        <v>7143</v>
      </c>
      <c r="AZ231" s="2" t="s">
        <v>7145</v>
      </c>
      <c r="BB231" s="2" t="s">
        <v>7146</v>
      </c>
      <c r="BC231" s="2" t="s">
        <v>7147</v>
      </c>
      <c r="BD231" s="2" t="s">
        <v>7142</v>
      </c>
      <c r="BE231" s="2" t="s">
        <v>7142</v>
      </c>
      <c r="BF231" s="2" t="s">
        <v>7148</v>
      </c>
      <c r="BG231" s="2" t="s">
        <v>7232</v>
      </c>
      <c r="BH231" s="2" t="s">
        <v>7248</v>
      </c>
      <c r="BI231" s="2" t="s">
        <v>7151</v>
      </c>
      <c r="BL231" s="2" t="s">
        <v>7152</v>
      </c>
      <c r="BM231" s="2" t="s">
        <v>7153</v>
      </c>
      <c r="BN231" s="2" t="s">
        <v>7154</v>
      </c>
      <c r="BO231" s="2" t="s">
        <v>7155</v>
      </c>
      <c r="BQ231" s="2" t="s">
        <v>7183</v>
      </c>
      <c r="BS231" s="2" t="s">
        <v>7142</v>
      </c>
      <c r="BT231" s="2" t="s">
        <v>7157</v>
      </c>
      <c r="BV231" s="2" t="s">
        <v>7202</v>
      </c>
      <c r="BX231" s="2" t="s">
        <v>7143</v>
      </c>
      <c r="BZ231" s="2" t="s">
        <v>7173</v>
      </c>
      <c r="CE231" s="7">
        <v>7.8</v>
      </c>
      <c r="CF231" s="2">
        <v>800</v>
      </c>
      <c r="CM231" s="2">
        <v>100</v>
      </c>
      <c r="CO231" s="2">
        <v>100</v>
      </c>
      <c r="CR231" s="2" t="s">
        <v>7160</v>
      </c>
      <c r="CT231" s="2" t="s">
        <v>7143</v>
      </c>
      <c r="CU231" s="2" t="s">
        <v>7161</v>
      </c>
      <c r="CW231" s="2" t="s">
        <v>7162</v>
      </c>
      <c r="CY231" s="2" t="s">
        <v>7163</v>
      </c>
      <c r="CZ231" s="2" t="s">
        <v>7163</v>
      </c>
      <c r="DA231" s="2" t="s">
        <v>7164</v>
      </c>
      <c r="DB231" s="2" t="s">
        <v>7164</v>
      </c>
      <c r="DC231" s="2" t="s">
        <v>7164</v>
      </c>
      <c r="DD231" s="2" t="s">
        <v>7164</v>
      </c>
      <c r="DE231" s="2" t="s">
        <v>7164</v>
      </c>
      <c r="DF231" s="2" t="s">
        <v>7164</v>
      </c>
      <c r="DG231" s="2" t="s">
        <v>7164</v>
      </c>
      <c r="DH231" s="2" t="s">
        <v>7164</v>
      </c>
      <c r="DI231" s="2" t="s">
        <v>7164</v>
      </c>
      <c r="DL231" s="2" t="s">
        <v>7142</v>
      </c>
      <c r="DM231" s="2" t="s">
        <v>7142</v>
      </c>
      <c r="DN231" s="2" t="s">
        <v>7142</v>
      </c>
      <c r="DO231" s="2" t="s">
        <v>7142</v>
      </c>
      <c r="DP231" s="2" t="s">
        <v>7165</v>
      </c>
      <c r="DQ231" s="2" t="s">
        <v>7166</v>
      </c>
      <c r="DT231" s="2" t="s">
        <v>7165</v>
      </c>
      <c r="DU231" s="2" t="s">
        <v>7165</v>
      </c>
      <c r="DV231" s="2" t="s">
        <v>7165</v>
      </c>
      <c r="DW231" s="2" t="s">
        <v>7165</v>
      </c>
      <c r="DX231" s="2" t="s">
        <v>7165</v>
      </c>
      <c r="DY231" s="2" t="s">
        <v>7165</v>
      </c>
      <c r="DZ231" s="2" t="s">
        <v>7165</v>
      </c>
      <c r="EA231" s="2" t="s">
        <v>7165</v>
      </c>
      <c r="EB231" s="2" t="s">
        <v>7165</v>
      </c>
      <c r="EF231" s="2" t="s">
        <v>7167</v>
      </c>
      <c r="EJ231" s="2" t="s">
        <v>7144</v>
      </c>
      <c r="EK231" s="2" t="s">
        <v>7142</v>
      </c>
      <c r="EL231" s="2" t="s">
        <v>7143</v>
      </c>
      <c r="EN231" s="2" t="s">
        <v>7170</v>
      </c>
      <c r="EP231" s="2" t="s">
        <v>7186</v>
      </c>
      <c r="ER231" s="2" t="s">
        <v>7142</v>
      </c>
      <c r="ET231" s="2" t="s">
        <v>7143</v>
      </c>
      <c r="EV231" s="2" t="s">
        <v>7142</v>
      </c>
      <c r="EW231" s="2" t="s">
        <v>7171</v>
      </c>
      <c r="EX231" s="2" t="s">
        <v>7143</v>
      </c>
      <c r="EZ231" s="2" t="s">
        <v>7143</v>
      </c>
      <c r="FC231" s="2" t="s">
        <v>7172</v>
      </c>
      <c r="FD231" s="2" t="s">
        <v>7143</v>
      </c>
      <c r="FH231" s="2" t="s">
        <v>7173</v>
      </c>
      <c r="FJ231" s="2" t="s">
        <v>7142</v>
      </c>
      <c r="FK231" s="2" t="s">
        <v>7165</v>
      </c>
      <c r="FL231" s="2" t="s">
        <v>7992</v>
      </c>
      <c r="FN231" s="2" t="s">
        <v>7175</v>
      </c>
      <c r="FT231" s="2" t="s">
        <v>7176</v>
      </c>
      <c r="FU231" s="2" t="s">
        <v>7176</v>
      </c>
      <c r="FV231" s="2" t="s">
        <v>7176</v>
      </c>
      <c r="FW231" s="2" t="s">
        <v>7176</v>
      </c>
      <c r="FZ231" s="19" t="s">
        <v>8010</v>
      </c>
    </row>
    <row r="232" spans="1:182">
      <c r="A232" s="7" t="s">
        <v>1694</v>
      </c>
      <c r="D232" s="7" t="s">
        <v>8011</v>
      </c>
      <c r="E232" s="7" t="s">
        <v>1667</v>
      </c>
      <c r="F232" s="7" t="s">
        <v>7319</v>
      </c>
      <c r="G232" s="7" t="s">
        <v>7981</v>
      </c>
      <c r="H232" s="7" t="s">
        <v>1668</v>
      </c>
      <c r="I232" s="7" t="s">
        <v>1695</v>
      </c>
      <c r="J232" s="16" t="s">
        <v>8012</v>
      </c>
      <c r="K232" s="7" t="s">
        <v>1696</v>
      </c>
      <c r="L232" s="7" t="s">
        <v>7137</v>
      </c>
      <c r="M232" s="7" t="s">
        <v>7179</v>
      </c>
      <c r="N232" s="7">
        <v>1975</v>
      </c>
      <c r="O232" s="7" t="s">
        <v>7180</v>
      </c>
      <c r="P232" s="7" t="s">
        <v>7181</v>
      </c>
      <c r="Q232" s="7" t="s">
        <v>7141</v>
      </c>
      <c r="R232" s="2" t="s">
        <v>7143</v>
      </c>
      <c r="S232" s="2">
        <v>28</v>
      </c>
      <c r="T232" s="2" t="s">
        <v>7143</v>
      </c>
      <c r="U232" s="2" t="s">
        <v>7143</v>
      </c>
      <c r="Y232" s="2">
        <v>550</v>
      </c>
      <c r="Z232" s="17">
        <v>0.85450000000000004</v>
      </c>
      <c r="AA232" s="2">
        <v>470</v>
      </c>
      <c r="AB232" s="2">
        <v>470</v>
      </c>
      <c r="AC232" s="7">
        <v>470</v>
      </c>
      <c r="AD232" s="2">
        <v>540</v>
      </c>
      <c r="AE232" s="2">
        <v>70</v>
      </c>
      <c r="AF232" s="2" t="s">
        <v>7143</v>
      </c>
      <c r="AG232" s="2" t="s">
        <v>7143</v>
      </c>
      <c r="AH232" s="2" t="s">
        <v>7143</v>
      </c>
      <c r="AJ232" s="2" t="s">
        <v>7143</v>
      </c>
      <c r="AK232" s="2" t="s">
        <v>7143</v>
      </c>
      <c r="AL232" s="2" t="s">
        <v>7143</v>
      </c>
      <c r="AM232" s="2" t="s">
        <v>7142</v>
      </c>
      <c r="AN232" s="2" t="s">
        <v>7143</v>
      </c>
      <c r="AO232" s="2" t="s">
        <v>7142</v>
      </c>
      <c r="AR232" s="7">
        <v>1.5</v>
      </c>
      <c r="AS232" s="7">
        <v>2</v>
      </c>
      <c r="AT232" s="7">
        <v>5.4</v>
      </c>
      <c r="AU232" s="2" t="s">
        <v>7217</v>
      </c>
      <c r="AV232" s="2" t="s">
        <v>7217</v>
      </c>
      <c r="AW232" s="2" t="s">
        <v>7143</v>
      </c>
      <c r="AZ232" s="2" t="s">
        <v>7145</v>
      </c>
      <c r="BB232" s="2" t="s">
        <v>7214</v>
      </c>
      <c r="BC232" s="2" t="s">
        <v>7247</v>
      </c>
      <c r="BD232" s="2" t="s">
        <v>7143</v>
      </c>
      <c r="BE232" s="2" t="s">
        <v>7142</v>
      </c>
      <c r="BF232" s="2" t="s">
        <v>7148</v>
      </c>
      <c r="BG232" s="2" t="s">
        <v>7149</v>
      </c>
      <c r="BH232" s="2" t="s">
        <v>7150</v>
      </c>
      <c r="BI232" s="2" t="s">
        <v>7151</v>
      </c>
      <c r="BL232" s="2" t="s">
        <v>7152</v>
      </c>
      <c r="BM232" s="2" t="s">
        <v>7153</v>
      </c>
      <c r="BN232" s="2" t="s">
        <v>7154</v>
      </c>
      <c r="BO232" s="2" t="s">
        <v>7155</v>
      </c>
      <c r="BQ232" s="2" t="s">
        <v>7256</v>
      </c>
      <c r="BS232" s="2" t="s">
        <v>7142</v>
      </c>
      <c r="BT232" s="2" t="s">
        <v>7215</v>
      </c>
      <c r="BV232" s="2" t="s">
        <v>7202</v>
      </c>
      <c r="BX232" s="2" t="s">
        <v>7143</v>
      </c>
      <c r="BZ232" s="2" t="s">
        <v>7159</v>
      </c>
      <c r="CE232" s="7">
        <v>5.4</v>
      </c>
      <c r="CF232" s="2">
        <v>540</v>
      </c>
      <c r="CM232" s="2">
        <v>100</v>
      </c>
      <c r="CQ232" s="2">
        <v>100</v>
      </c>
      <c r="CR232" s="2" t="s">
        <v>7160</v>
      </c>
      <c r="CT232" s="2" t="s">
        <v>7143</v>
      </c>
      <c r="CU232" s="2" t="s">
        <v>7996</v>
      </c>
      <c r="CW232" s="2" t="s">
        <v>7162</v>
      </c>
      <c r="CY232" s="2" t="s">
        <v>7163</v>
      </c>
      <c r="CZ232" s="2" t="s">
        <v>7163</v>
      </c>
      <c r="DA232" s="2" t="s">
        <v>7250</v>
      </c>
      <c r="DB232" s="2" t="s">
        <v>7250</v>
      </c>
      <c r="DC232" s="2" t="s">
        <v>7250</v>
      </c>
      <c r="DD232" s="2" t="s">
        <v>7321</v>
      </c>
      <c r="DE232" s="2" t="s">
        <v>7250</v>
      </c>
      <c r="DF232" s="2" t="s">
        <v>7163</v>
      </c>
      <c r="DG232" s="2" t="s">
        <v>7163</v>
      </c>
      <c r="DH232" s="2" t="s">
        <v>7163</v>
      </c>
      <c r="DI232" s="2" t="s">
        <v>7321</v>
      </c>
      <c r="DL232" s="2" t="s">
        <v>7142</v>
      </c>
      <c r="DM232" s="2" t="s">
        <v>7142</v>
      </c>
      <c r="DN232" s="2" t="s">
        <v>7142</v>
      </c>
      <c r="DO232" s="2" t="s">
        <v>7142</v>
      </c>
      <c r="DP232" s="2" t="s">
        <v>7165</v>
      </c>
      <c r="DQ232" s="2" t="s">
        <v>7333</v>
      </c>
      <c r="DR232" s="2" t="s">
        <v>796</v>
      </c>
      <c r="DT232" s="2" t="s">
        <v>7165</v>
      </c>
      <c r="DU232" s="2" t="s">
        <v>7165</v>
      </c>
      <c r="DV232" s="2" t="s">
        <v>7165</v>
      </c>
      <c r="DW232" s="2" t="s">
        <v>7165</v>
      </c>
      <c r="DX232" s="2" t="s">
        <v>7165</v>
      </c>
      <c r="DY232" s="2" t="s">
        <v>7165</v>
      </c>
      <c r="EA232" s="2" t="s">
        <v>7165</v>
      </c>
      <c r="EB232" s="2" t="s">
        <v>7165</v>
      </c>
      <c r="EC232" s="2" t="s">
        <v>7173</v>
      </c>
      <c r="EF232" s="2" t="s">
        <v>7221</v>
      </c>
      <c r="EJ232" s="2" t="s">
        <v>7193</v>
      </c>
      <c r="EK232" s="2" t="s">
        <v>7142</v>
      </c>
      <c r="EL232" s="2" t="s">
        <v>7143</v>
      </c>
      <c r="EN232" s="2" t="s">
        <v>7210</v>
      </c>
      <c r="EP232" s="2" t="s">
        <v>7186</v>
      </c>
      <c r="ER232" s="2" t="s">
        <v>7142</v>
      </c>
      <c r="ET232" s="2" t="s">
        <v>7143</v>
      </c>
      <c r="EV232" s="2" t="s">
        <v>7142</v>
      </c>
      <c r="EW232" s="2" t="s">
        <v>7171</v>
      </c>
      <c r="EX232" s="2" t="s">
        <v>7143</v>
      </c>
      <c r="EZ232" s="2" t="s">
        <v>7143</v>
      </c>
      <c r="FC232" s="2" t="s">
        <v>7309</v>
      </c>
      <c r="FD232" s="2" t="s">
        <v>7143</v>
      </c>
      <c r="FH232" s="2" t="s">
        <v>7173</v>
      </c>
      <c r="FJ232" s="2" t="s">
        <v>7143</v>
      </c>
      <c r="FK232" s="2" t="s">
        <v>7173</v>
      </c>
      <c r="FR232" s="2" t="s">
        <v>433</v>
      </c>
      <c r="FT232" s="2" t="s">
        <v>7176</v>
      </c>
      <c r="FU232" s="2" t="s">
        <v>7189</v>
      </c>
      <c r="FV232" s="2" t="s">
        <v>7176</v>
      </c>
      <c r="FW232" s="2" t="s">
        <v>7176</v>
      </c>
      <c r="FZ232" s="19" t="s">
        <v>8013</v>
      </c>
    </row>
    <row r="233" spans="1:182">
      <c r="A233" s="7" t="s">
        <v>1697</v>
      </c>
      <c r="D233" s="7" t="s">
        <v>8014</v>
      </c>
      <c r="E233" s="7" t="s">
        <v>177</v>
      </c>
      <c r="F233" s="7" t="s">
        <v>7245</v>
      </c>
      <c r="G233" s="7" t="s">
        <v>7981</v>
      </c>
      <c r="H233" s="7" t="s">
        <v>1659</v>
      </c>
      <c r="I233" s="7" t="s">
        <v>1698</v>
      </c>
      <c r="J233" s="16" t="s">
        <v>8015</v>
      </c>
      <c r="K233" s="7" t="s">
        <v>1698</v>
      </c>
      <c r="L233" s="2" t="s">
        <v>7137</v>
      </c>
      <c r="M233" s="7" t="s">
        <v>7179</v>
      </c>
      <c r="N233" s="7">
        <v>1958</v>
      </c>
      <c r="O233" s="7" t="s">
        <v>7180</v>
      </c>
      <c r="P233" s="7" t="s">
        <v>7140</v>
      </c>
      <c r="Q233" s="7" t="s">
        <v>7141</v>
      </c>
      <c r="R233" s="2" t="s">
        <v>7143</v>
      </c>
      <c r="S233" s="7">
        <v>1998</v>
      </c>
      <c r="T233" s="7" t="s">
        <v>7143</v>
      </c>
      <c r="U233" s="7" t="s">
        <v>7143</v>
      </c>
      <c r="Y233" s="2">
        <v>630</v>
      </c>
      <c r="Z233" s="17">
        <v>1</v>
      </c>
      <c r="AA233" s="2">
        <v>630</v>
      </c>
      <c r="AB233" s="2">
        <v>600</v>
      </c>
      <c r="AC233" s="7">
        <v>530</v>
      </c>
      <c r="AD233" s="2">
        <v>600</v>
      </c>
      <c r="AE233" s="2">
        <v>70</v>
      </c>
      <c r="AF233" s="2" t="s">
        <v>7143</v>
      </c>
      <c r="AG233" s="2" t="s">
        <v>7142</v>
      </c>
      <c r="AH233" s="2" t="s">
        <v>7142</v>
      </c>
      <c r="AI233" s="2" t="s">
        <v>308</v>
      </c>
      <c r="AJ233" s="2" t="s">
        <v>7143</v>
      </c>
      <c r="AK233" s="2" t="s">
        <v>7142</v>
      </c>
      <c r="AL233" s="2" t="s">
        <v>7143</v>
      </c>
      <c r="AM233" s="2" t="s">
        <v>7143</v>
      </c>
      <c r="AN233" s="2" t="s">
        <v>7143</v>
      </c>
      <c r="AO233" s="2" t="s">
        <v>7143</v>
      </c>
      <c r="AR233" s="7">
        <v>1.5</v>
      </c>
      <c r="AS233" s="7">
        <v>1</v>
      </c>
      <c r="AT233" s="7">
        <v>6</v>
      </c>
      <c r="AU233" s="7" t="s">
        <v>7144</v>
      </c>
      <c r="AV233" s="7" t="s">
        <v>7144</v>
      </c>
      <c r="AW233" s="2" t="s">
        <v>7142</v>
      </c>
      <c r="AZ233" s="2" t="s">
        <v>7145</v>
      </c>
      <c r="BB233" s="2" t="s">
        <v>7214</v>
      </c>
      <c r="BC233" s="2" t="s">
        <v>7208</v>
      </c>
      <c r="BD233" s="2" t="s">
        <v>7143</v>
      </c>
      <c r="BE233" s="2" t="s">
        <v>7142</v>
      </c>
      <c r="BF233" s="2" t="s">
        <v>7148</v>
      </c>
      <c r="BG233" s="2" t="s">
        <v>7149</v>
      </c>
      <c r="BH233" s="2" t="s">
        <v>7248</v>
      </c>
      <c r="BI233" s="2" t="s">
        <v>7151</v>
      </c>
      <c r="BL233" s="7" t="s">
        <v>7152</v>
      </c>
      <c r="BM233" s="7" t="s">
        <v>7153</v>
      </c>
      <c r="BN233" s="7" t="s">
        <v>7154</v>
      </c>
      <c r="BO233" s="2" t="s">
        <v>7155</v>
      </c>
      <c r="BQ233" s="2" t="s">
        <v>7183</v>
      </c>
      <c r="BS233" s="2" t="s">
        <v>7143</v>
      </c>
      <c r="BT233" s="2" t="s">
        <v>7215</v>
      </c>
      <c r="BV233" s="2" t="s">
        <v>7772</v>
      </c>
      <c r="BX233" s="2" t="s">
        <v>7142</v>
      </c>
      <c r="BY233" s="2" t="s">
        <v>1699</v>
      </c>
      <c r="BZ233" s="2" t="s">
        <v>7159</v>
      </c>
      <c r="CE233" s="7">
        <v>6</v>
      </c>
      <c r="CF233" s="2">
        <v>590</v>
      </c>
      <c r="CK233" s="2">
        <v>100</v>
      </c>
      <c r="CO233" s="2">
        <v>100</v>
      </c>
      <c r="CR233" s="2" t="s">
        <v>7160</v>
      </c>
      <c r="CT233" s="2" t="s">
        <v>7143</v>
      </c>
      <c r="CU233" s="2" t="s">
        <v>7161</v>
      </c>
      <c r="CW233" s="2" t="s">
        <v>7162</v>
      </c>
      <c r="CY233" s="2" t="s">
        <v>7163</v>
      </c>
      <c r="CZ233" s="2" t="s">
        <v>7164</v>
      </c>
      <c r="DA233" s="2" t="s">
        <v>7164</v>
      </c>
      <c r="DB233" s="2" t="s">
        <v>7251</v>
      </c>
      <c r="DC233" s="2" t="s">
        <v>7251</v>
      </c>
      <c r="DD233" s="2" t="s">
        <v>7251</v>
      </c>
      <c r="DE233" s="2" t="s">
        <v>7164</v>
      </c>
      <c r="DF233" s="2" t="s">
        <v>7163</v>
      </c>
      <c r="DG233" s="2" t="s">
        <v>7164</v>
      </c>
      <c r="DH233" s="2" t="s">
        <v>7164</v>
      </c>
      <c r="DI233" s="2" t="s">
        <v>7164</v>
      </c>
      <c r="DL233" s="7" t="s">
        <v>7142</v>
      </c>
      <c r="DM233" s="7" t="s">
        <v>7142</v>
      </c>
      <c r="DN233" s="7" t="s">
        <v>7142</v>
      </c>
      <c r="DO233" s="7" t="s">
        <v>7142</v>
      </c>
      <c r="DP233" s="2" t="s">
        <v>7165</v>
      </c>
      <c r="DQ233" s="2" t="s">
        <v>7166</v>
      </c>
      <c r="DT233" s="2" t="s">
        <v>7165</v>
      </c>
      <c r="DU233" s="2" t="s">
        <v>7165</v>
      </c>
      <c r="DV233" s="2" t="s">
        <v>7165</v>
      </c>
      <c r="DW233" s="2" t="s">
        <v>7165</v>
      </c>
      <c r="DX233" s="2" t="s">
        <v>7165</v>
      </c>
      <c r="DY233" s="2" t="s">
        <v>7165</v>
      </c>
      <c r="DZ233" s="2" t="s">
        <v>7159</v>
      </c>
      <c r="EA233" s="2" t="s">
        <v>7159</v>
      </c>
      <c r="EB233" s="2" t="s">
        <v>7165</v>
      </c>
      <c r="EC233" s="2" t="s">
        <v>7159</v>
      </c>
      <c r="EF233" s="2" t="s">
        <v>7167</v>
      </c>
      <c r="EJ233" s="2" t="s">
        <v>7193</v>
      </c>
      <c r="EK233" s="2" t="s">
        <v>7142</v>
      </c>
      <c r="EL233" s="2" t="s">
        <v>7143</v>
      </c>
      <c r="EN233" s="2" t="s">
        <v>7170</v>
      </c>
      <c r="EP233" s="2" t="s">
        <v>7186</v>
      </c>
      <c r="ER233" s="2" t="s">
        <v>7142</v>
      </c>
      <c r="ET233" s="2" t="s">
        <v>7143</v>
      </c>
      <c r="EV233" s="2" t="s">
        <v>7143</v>
      </c>
      <c r="EX233" s="2" t="s">
        <v>7143</v>
      </c>
      <c r="FC233" s="2" t="s">
        <v>7172</v>
      </c>
      <c r="FD233" s="2" t="s">
        <v>7143</v>
      </c>
      <c r="FH233" s="2" t="s">
        <v>7173</v>
      </c>
      <c r="FJ233" s="2" t="s">
        <v>7142</v>
      </c>
      <c r="FK233" s="2" t="s">
        <v>7165</v>
      </c>
      <c r="FL233" s="2" t="s">
        <v>7260</v>
      </c>
      <c r="FN233" s="2" t="s">
        <v>7253</v>
      </c>
      <c r="FT233" s="2" t="s">
        <v>7176</v>
      </c>
      <c r="FU233" s="2" t="s">
        <v>7189</v>
      </c>
      <c r="FV233" s="2" t="s">
        <v>7189</v>
      </c>
      <c r="FW233" s="2" t="s">
        <v>7189</v>
      </c>
      <c r="FZ233" s="19" t="s">
        <v>8016</v>
      </c>
    </row>
    <row r="234" spans="1:182">
      <c r="A234" s="7" t="s">
        <v>1700</v>
      </c>
      <c r="D234" s="7" t="s">
        <v>8017</v>
      </c>
      <c r="E234" s="7" t="s">
        <v>1701</v>
      </c>
      <c r="F234" s="7" t="s">
        <v>7389</v>
      </c>
      <c r="G234" s="7" t="s">
        <v>7981</v>
      </c>
      <c r="H234" s="2" t="s">
        <v>1659</v>
      </c>
      <c r="I234" s="7" t="s">
        <v>1702</v>
      </c>
      <c r="J234" s="16" t="s">
        <v>8018</v>
      </c>
      <c r="K234" s="7" t="s">
        <v>1702</v>
      </c>
      <c r="L234" s="2" t="s">
        <v>7137</v>
      </c>
      <c r="M234" s="7" t="s">
        <v>7179</v>
      </c>
      <c r="N234" s="7">
        <v>1978</v>
      </c>
      <c r="O234" s="7" t="s">
        <v>7180</v>
      </c>
      <c r="P234" s="7" t="s">
        <v>7140</v>
      </c>
      <c r="Q234" s="2" t="s">
        <v>7141</v>
      </c>
      <c r="R234" s="2" t="s">
        <v>7143</v>
      </c>
      <c r="S234" s="2">
        <v>28</v>
      </c>
      <c r="T234" s="2" t="s">
        <v>7143</v>
      </c>
      <c r="U234" s="2" t="s">
        <v>7143</v>
      </c>
      <c r="Y234" s="2">
        <v>480</v>
      </c>
      <c r="Z234" s="17">
        <v>1</v>
      </c>
      <c r="AA234" s="2">
        <v>480</v>
      </c>
      <c r="AB234" s="2">
        <v>480</v>
      </c>
      <c r="AC234" s="7">
        <v>480</v>
      </c>
      <c r="AD234" s="2">
        <v>650</v>
      </c>
      <c r="AE234" s="2">
        <v>170</v>
      </c>
      <c r="AF234" s="2" t="s">
        <v>7143</v>
      </c>
      <c r="AG234" s="2" t="s">
        <v>7143</v>
      </c>
      <c r="AH234" s="2" t="s">
        <v>7143</v>
      </c>
      <c r="AJ234" s="2" t="s">
        <v>7143</v>
      </c>
      <c r="AK234" s="2" t="s">
        <v>7143</v>
      </c>
      <c r="AL234" s="2" t="s">
        <v>7143</v>
      </c>
      <c r="AM234" s="2" t="s">
        <v>7143</v>
      </c>
      <c r="AN234" s="2" t="s">
        <v>7143</v>
      </c>
      <c r="AO234" s="2" t="s">
        <v>7143</v>
      </c>
      <c r="AR234" s="7">
        <v>1.7</v>
      </c>
      <c r="AS234" s="7">
        <v>1</v>
      </c>
      <c r="AT234" s="7">
        <v>5.5</v>
      </c>
      <c r="AU234" s="2" t="s">
        <v>7217</v>
      </c>
      <c r="AV234" s="2" t="s">
        <v>7193</v>
      </c>
      <c r="AW234" s="2" t="s">
        <v>7143</v>
      </c>
      <c r="AZ234" s="2" t="s">
        <v>7145</v>
      </c>
      <c r="BB234" s="2" t="s">
        <v>7214</v>
      </c>
      <c r="BC234" s="2" t="s">
        <v>7247</v>
      </c>
      <c r="BD234" s="2" t="s">
        <v>7142</v>
      </c>
      <c r="BE234" s="2" t="s">
        <v>7142</v>
      </c>
      <c r="BF234" s="2" t="s">
        <v>7148</v>
      </c>
      <c r="BG234" s="2" t="s">
        <v>7232</v>
      </c>
      <c r="BH234" s="2" t="s">
        <v>7150</v>
      </c>
      <c r="BI234" s="2" t="s">
        <v>7151</v>
      </c>
      <c r="BL234" s="2" t="s">
        <v>7152</v>
      </c>
      <c r="BM234" s="2" t="s">
        <v>7355</v>
      </c>
      <c r="BN234" s="2" t="s">
        <v>7154</v>
      </c>
      <c r="BO234" s="2" t="s">
        <v>7155</v>
      </c>
      <c r="BQ234" s="2" t="s">
        <v>7183</v>
      </c>
      <c r="BS234" s="2" t="s">
        <v>7142</v>
      </c>
      <c r="BT234" s="2" t="s">
        <v>8019</v>
      </c>
      <c r="BV234" s="2" t="s">
        <v>7966</v>
      </c>
      <c r="BX234" s="2" t="s">
        <v>7143</v>
      </c>
      <c r="BZ234" s="2" t="s">
        <v>7165</v>
      </c>
      <c r="CA234" s="2" t="s">
        <v>1704</v>
      </c>
      <c r="CE234" s="7">
        <v>5.5</v>
      </c>
      <c r="CF234" s="2">
        <v>650</v>
      </c>
      <c r="CK234" s="2">
        <v>50</v>
      </c>
      <c r="CM234" s="2">
        <v>50</v>
      </c>
      <c r="CO234" s="2">
        <v>100</v>
      </c>
      <c r="CR234" s="2" t="s">
        <v>7160</v>
      </c>
      <c r="CT234" s="2" t="s">
        <v>7143</v>
      </c>
      <c r="CU234" s="2" t="s">
        <v>7234</v>
      </c>
      <c r="CW234" s="2" t="s">
        <v>7162</v>
      </c>
      <c r="CY234" s="2" t="s">
        <v>7163</v>
      </c>
      <c r="CZ234" s="2" t="s">
        <v>7163</v>
      </c>
      <c r="DA234" s="2" t="s">
        <v>7250</v>
      </c>
      <c r="DB234" s="2" t="s">
        <v>7250</v>
      </c>
      <c r="DC234" s="2" t="s">
        <v>7321</v>
      </c>
      <c r="DD234" s="2" t="s">
        <v>7321</v>
      </c>
      <c r="DE234" s="2" t="s">
        <v>7163</v>
      </c>
      <c r="DF234" s="2" t="s">
        <v>7163</v>
      </c>
      <c r="DG234" s="2" t="s">
        <v>7163</v>
      </c>
      <c r="DH234" s="2" t="s">
        <v>7163</v>
      </c>
      <c r="DI234" s="2" t="s">
        <v>7163</v>
      </c>
      <c r="DL234" s="2" t="s">
        <v>7142</v>
      </c>
      <c r="DM234" s="2" t="s">
        <v>7142</v>
      </c>
      <c r="DN234" s="2" t="s">
        <v>7142</v>
      </c>
      <c r="DO234" s="2" t="s">
        <v>7142</v>
      </c>
      <c r="DP234" s="2" t="s">
        <v>7165</v>
      </c>
      <c r="DQ234" s="2" t="s">
        <v>7333</v>
      </c>
      <c r="DR234" s="2" t="s">
        <v>1705</v>
      </c>
      <c r="DT234" s="2" t="s">
        <v>7165</v>
      </c>
      <c r="DU234" s="2" t="s">
        <v>7165</v>
      </c>
      <c r="DV234" s="2" t="s">
        <v>7165</v>
      </c>
      <c r="DW234" s="2" t="s">
        <v>7165</v>
      </c>
      <c r="DX234" s="2" t="s">
        <v>7165</v>
      </c>
      <c r="DY234" s="2" t="s">
        <v>7165</v>
      </c>
      <c r="DZ234" s="2" t="s">
        <v>7159</v>
      </c>
      <c r="EA234" s="2" t="s">
        <v>7159</v>
      </c>
      <c r="EB234" s="2" t="s">
        <v>7165</v>
      </c>
      <c r="EC234" s="2" t="s">
        <v>7173</v>
      </c>
      <c r="EF234" s="2" t="s">
        <v>7167</v>
      </c>
      <c r="EG234" s="2" t="s">
        <v>985</v>
      </c>
      <c r="EJ234" s="2" t="s">
        <v>7217</v>
      </c>
      <c r="EK234" s="2" t="s">
        <v>7143</v>
      </c>
      <c r="EL234" s="2" t="s">
        <v>7142</v>
      </c>
      <c r="EM234" s="2" t="s">
        <v>7307</v>
      </c>
      <c r="EN234" s="2" t="s">
        <v>7210</v>
      </c>
      <c r="EP234" s="2" t="s">
        <v>7186</v>
      </c>
      <c r="ER234" s="2" t="s">
        <v>7143</v>
      </c>
      <c r="ET234" s="2" t="s">
        <v>7143</v>
      </c>
      <c r="EV234" s="2" t="s">
        <v>7143</v>
      </c>
      <c r="EX234" s="2" t="s">
        <v>7143</v>
      </c>
      <c r="EZ234" s="2" t="s">
        <v>7143</v>
      </c>
      <c r="FC234" s="2" t="s">
        <v>7218</v>
      </c>
      <c r="FD234" s="2" t="s">
        <v>7143</v>
      </c>
      <c r="FH234" s="2" t="s">
        <v>7173</v>
      </c>
      <c r="FJ234" s="2" t="s">
        <v>7143</v>
      </c>
      <c r="FK234" s="2" t="s">
        <v>7173</v>
      </c>
      <c r="FN234" s="2" t="s">
        <v>7322</v>
      </c>
      <c r="FR234" s="2" t="s">
        <v>1706</v>
      </c>
      <c r="FT234" s="2" t="s">
        <v>7345</v>
      </c>
      <c r="FU234" s="2" t="s">
        <v>7189</v>
      </c>
      <c r="FV234" s="2" t="s">
        <v>7345</v>
      </c>
      <c r="FW234" s="2" t="s">
        <v>7176</v>
      </c>
      <c r="FZ234" s="19" t="s">
        <v>8020</v>
      </c>
    </row>
    <row r="235" spans="1:182">
      <c r="A235" s="7" t="s">
        <v>1707</v>
      </c>
      <c r="D235" s="7" t="s">
        <v>8021</v>
      </c>
      <c r="E235" s="7" t="s">
        <v>177</v>
      </c>
      <c r="F235" s="7" t="s">
        <v>7245</v>
      </c>
      <c r="G235" s="7" t="s">
        <v>7981</v>
      </c>
      <c r="H235" s="7" t="s">
        <v>1659</v>
      </c>
      <c r="I235" s="7" t="s">
        <v>1708</v>
      </c>
      <c r="J235" s="16" t="s">
        <v>8022</v>
      </c>
      <c r="K235" s="7" t="s">
        <v>1709</v>
      </c>
      <c r="L235" s="7" t="s">
        <v>7137</v>
      </c>
      <c r="M235" s="7" t="s">
        <v>7179</v>
      </c>
      <c r="N235" s="7">
        <v>1975</v>
      </c>
      <c r="O235" s="7" t="s">
        <v>7180</v>
      </c>
      <c r="P235" s="7" t="s">
        <v>7181</v>
      </c>
      <c r="Q235" s="7" t="s">
        <v>7182</v>
      </c>
      <c r="R235" s="2" t="s">
        <v>7143</v>
      </c>
      <c r="S235" s="7">
        <v>1998</v>
      </c>
      <c r="T235" s="7" t="s">
        <v>7143</v>
      </c>
      <c r="U235" s="7" t="s">
        <v>7143</v>
      </c>
      <c r="Y235" s="2">
        <v>570</v>
      </c>
      <c r="Z235" s="17">
        <v>0.96489999999999998</v>
      </c>
      <c r="AA235" s="2">
        <v>550</v>
      </c>
      <c r="AB235" s="2">
        <v>550</v>
      </c>
      <c r="AC235" s="7">
        <v>470</v>
      </c>
      <c r="AD235" s="2">
        <v>600</v>
      </c>
      <c r="AE235" s="2">
        <v>130</v>
      </c>
      <c r="AF235" s="2" t="s">
        <v>7143</v>
      </c>
      <c r="AG235" s="2" t="s">
        <v>7142</v>
      </c>
      <c r="AH235" s="2" t="s">
        <v>7142</v>
      </c>
      <c r="AI235" s="2" t="s">
        <v>1710</v>
      </c>
      <c r="AJ235" s="2" t="s">
        <v>7143</v>
      </c>
      <c r="AK235" s="2" t="s">
        <v>7143</v>
      </c>
      <c r="AL235" s="2" t="s">
        <v>7143</v>
      </c>
      <c r="AM235" s="2" t="s">
        <v>7142</v>
      </c>
      <c r="AN235" s="2" t="s">
        <v>7143</v>
      </c>
      <c r="AO235" s="2" t="s">
        <v>7143</v>
      </c>
      <c r="AR235" s="7">
        <v>2.7</v>
      </c>
      <c r="AS235" s="7">
        <v>3</v>
      </c>
      <c r="AT235" s="7">
        <v>6.7</v>
      </c>
      <c r="AU235" s="2" t="s">
        <v>7193</v>
      </c>
      <c r="AV235" s="2" t="s">
        <v>7193</v>
      </c>
      <c r="AW235" s="2" t="s">
        <v>7143</v>
      </c>
      <c r="AZ235" s="7" t="s">
        <v>7145</v>
      </c>
      <c r="BB235" s="7" t="s">
        <v>7214</v>
      </c>
      <c r="BC235" s="7" t="s">
        <v>7247</v>
      </c>
      <c r="BD235" s="7" t="s">
        <v>7142</v>
      </c>
      <c r="BE235" s="2" t="s">
        <v>7142</v>
      </c>
      <c r="BF235" s="2" t="s">
        <v>7148</v>
      </c>
      <c r="BG235" s="2" t="s">
        <v>7149</v>
      </c>
      <c r="BH235" s="2" t="s">
        <v>7248</v>
      </c>
      <c r="BI235" s="2" t="s">
        <v>7151</v>
      </c>
      <c r="BL235" s="7" t="s">
        <v>7152</v>
      </c>
      <c r="BM235" s="7" t="s">
        <v>7153</v>
      </c>
      <c r="BN235" s="7" t="s">
        <v>7154</v>
      </c>
      <c r="BO235" s="7" t="s">
        <v>7155</v>
      </c>
      <c r="BQ235" s="2" t="s">
        <v>7256</v>
      </c>
      <c r="BS235" s="2" t="s">
        <v>7143</v>
      </c>
      <c r="BT235" s="2" t="s">
        <v>7157</v>
      </c>
      <c r="BV235" s="2" t="s">
        <v>7304</v>
      </c>
      <c r="BX235" s="2" t="s">
        <v>7142</v>
      </c>
      <c r="BY235" s="2" t="s">
        <v>310</v>
      </c>
      <c r="BZ235" s="2" t="s">
        <v>7159</v>
      </c>
      <c r="CE235" s="7">
        <v>6.7</v>
      </c>
      <c r="CF235" s="2">
        <v>650</v>
      </c>
      <c r="CK235" s="2">
        <v>100</v>
      </c>
      <c r="CO235" s="2">
        <v>100</v>
      </c>
      <c r="CR235" s="2" t="s">
        <v>7160</v>
      </c>
      <c r="CT235" s="2" t="s">
        <v>7143</v>
      </c>
      <c r="CU235" s="2" t="s">
        <v>7161</v>
      </c>
      <c r="CW235" s="2" t="s">
        <v>7162</v>
      </c>
      <c r="CY235" s="2" t="s">
        <v>7163</v>
      </c>
      <c r="CZ235" s="2" t="s">
        <v>7163</v>
      </c>
      <c r="DA235" s="2" t="s">
        <v>7250</v>
      </c>
      <c r="DB235" s="2" t="s">
        <v>7251</v>
      </c>
      <c r="DC235" s="2" t="s">
        <v>7250</v>
      </c>
      <c r="DD235" s="2" t="s">
        <v>7251</v>
      </c>
      <c r="DE235" s="2" t="s">
        <v>7251</v>
      </c>
      <c r="DF235" s="2" t="s">
        <v>7163</v>
      </c>
      <c r="DG235" s="2" t="s">
        <v>7163</v>
      </c>
      <c r="DH235" s="2" t="s">
        <v>7163</v>
      </c>
      <c r="DI235" s="2" t="s">
        <v>7163</v>
      </c>
      <c r="DL235" s="7" t="s">
        <v>7142</v>
      </c>
      <c r="DM235" s="7" t="s">
        <v>7142</v>
      </c>
      <c r="DN235" s="7" t="s">
        <v>7142</v>
      </c>
      <c r="DO235" s="7" t="s">
        <v>7142</v>
      </c>
      <c r="DP235" s="7" t="s">
        <v>7165</v>
      </c>
      <c r="DQ235" s="7" t="s">
        <v>7166</v>
      </c>
      <c r="DT235" s="2" t="s">
        <v>7165</v>
      </c>
      <c r="DU235" s="2" t="s">
        <v>7165</v>
      </c>
      <c r="DV235" s="2" t="s">
        <v>7165</v>
      </c>
      <c r="DW235" s="2" t="s">
        <v>7165</v>
      </c>
      <c r="DX235" s="2" t="s">
        <v>7165</v>
      </c>
      <c r="DY235" s="2" t="s">
        <v>7165</v>
      </c>
      <c r="DZ235" s="2" t="s">
        <v>7159</v>
      </c>
      <c r="EA235" s="2" t="s">
        <v>7159</v>
      </c>
      <c r="EB235" s="2" t="s">
        <v>7165</v>
      </c>
      <c r="EC235" s="2" t="s">
        <v>7159</v>
      </c>
      <c r="EF235" s="2" t="s">
        <v>7167</v>
      </c>
      <c r="EJ235" s="7" t="s">
        <v>7144</v>
      </c>
      <c r="EK235" s="7" t="s">
        <v>7142</v>
      </c>
      <c r="EL235" s="7" t="s">
        <v>7143</v>
      </c>
      <c r="EN235" s="7" t="s">
        <v>7170</v>
      </c>
      <c r="EP235" s="7" t="s">
        <v>7186</v>
      </c>
      <c r="ER235" s="2" t="s">
        <v>7142</v>
      </c>
      <c r="ET235" s="2" t="s">
        <v>7143</v>
      </c>
      <c r="EV235" s="2" t="s">
        <v>7143</v>
      </c>
      <c r="EX235" s="2" t="s">
        <v>7142</v>
      </c>
      <c r="EY235" s="2" t="s">
        <v>7204</v>
      </c>
      <c r="FC235" s="2" t="s">
        <v>7172</v>
      </c>
      <c r="FD235" s="2" t="s">
        <v>7143</v>
      </c>
      <c r="FH235" s="7" t="s">
        <v>7173</v>
      </c>
      <c r="FJ235" s="2" t="s">
        <v>7142</v>
      </c>
      <c r="FK235" s="2" t="s">
        <v>7165</v>
      </c>
      <c r="FL235" s="2" t="s">
        <v>7260</v>
      </c>
      <c r="FN235" s="2" t="s">
        <v>7283</v>
      </c>
      <c r="FT235" s="2" t="s">
        <v>7176</v>
      </c>
      <c r="FU235" s="2" t="s">
        <v>7189</v>
      </c>
      <c r="FV235" s="2" t="s">
        <v>7189</v>
      </c>
      <c r="FW235" s="2" t="s">
        <v>7189</v>
      </c>
      <c r="FZ235" s="19" t="s">
        <v>8023</v>
      </c>
    </row>
    <row r="236" spans="1:182">
      <c r="A236" s="7" t="s">
        <v>1711</v>
      </c>
      <c r="D236" s="7" t="s">
        <v>8024</v>
      </c>
      <c r="E236" s="7" t="s">
        <v>1712</v>
      </c>
      <c r="F236" s="7" t="s">
        <v>7339</v>
      </c>
      <c r="G236" s="7" t="s">
        <v>7981</v>
      </c>
      <c r="H236" s="7" t="s">
        <v>1650</v>
      </c>
      <c r="I236" s="7" t="s">
        <v>1713</v>
      </c>
      <c r="J236" s="16" t="s">
        <v>8025</v>
      </c>
      <c r="K236" s="7" t="s">
        <v>1714</v>
      </c>
      <c r="L236" s="2" t="s">
        <v>7137</v>
      </c>
      <c r="M236" s="7" t="s">
        <v>7179</v>
      </c>
      <c r="N236" s="7">
        <v>1978</v>
      </c>
      <c r="O236" s="7" t="s">
        <v>7180</v>
      </c>
      <c r="P236" s="2" t="s">
        <v>7181</v>
      </c>
      <c r="Q236" s="2" t="s">
        <v>7182</v>
      </c>
      <c r="R236" s="2" t="s">
        <v>7143</v>
      </c>
      <c r="S236" s="2">
        <v>20</v>
      </c>
      <c r="T236" s="2" t="s">
        <v>7143</v>
      </c>
      <c r="U236" s="2" t="s">
        <v>7143</v>
      </c>
      <c r="Y236" s="2">
        <v>956</v>
      </c>
      <c r="Z236" s="17">
        <v>0.98329999999999995</v>
      </c>
      <c r="AA236" s="2">
        <v>940</v>
      </c>
      <c r="AB236" s="2">
        <v>940</v>
      </c>
      <c r="AC236" s="7">
        <v>1270</v>
      </c>
      <c r="AD236" s="2">
        <v>1270</v>
      </c>
      <c r="AF236" s="2" t="s">
        <v>7143</v>
      </c>
      <c r="AG236" s="2" t="s">
        <v>7143</v>
      </c>
      <c r="AH236" s="2" t="s">
        <v>7143</v>
      </c>
      <c r="AJ236" s="2" t="s">
        <v>7143</v>
      </c>
      <c r="AK236" s="2" t="s">
        <v>7143</v>
      </c>
      <c r="AL236" s="2" t="s">
        <v>7143</v>
      </c>
      <c r="AM236" s="2" t="s">
        <v>7143</v>
      </c>
      <c r="AN236" s="2" t="s">
        <v>7143</v>
      </c>
      <c r="AO236" s="2" t="s">
        <v>7142</v>
      </c>
      <c r="AR236" s="7">
        <v>9.5</v>
      </c>
      <c r="AS236" s="7">
        <v>4</v>
      </c>
      <c r="AT236" s="7">
        <v>13</v>
      </c>
      <c r="AU236" s="2" t="s">
        <v>7193</v>
      </c>
      <c r="AV236" s="2" t="s">
        <v>7193</v>
      </c>
      <c r="AW236" s="2" t="s">
        <v>7143</v>
      </c>
      <c r="AZ236" s="2" t="s">
        <v>8026</v>
      </c>
      <c r="BB236" s="2" t="s">
        <v>7214</v>
      </c>
      <c r="BC236" s="2" t="s">
        <v>7247</v>
      </c>
      <c r="BD236" s="2" t="s">
        <v>7142</v>
      </c>
      <c r="BE236" s="2" t="s">
        <v>7142</v>
      </c>
      <c r="BF236" s="2" t="s">
        <v>7148</v>
      </c>
      <c r="BG236" s="2" t="s">
        <v>7149</v>
      </c>
      <c r="BH236" s="2" t="s">
        <v>7150</v>
      </c>
      <c r="BI236" s="2" t="s">
        <v>7151</v>
      </c>
      <c r="BL236" s="2" t="s">
        <v>7152</v>
      </c>
      <c r="BM236" s="2" t="s">
        <v>7153</v>
      </c>
      <c r="BN236" s="2" t="s">
        <v>7154</v>
      </c>
      <c r="BO236" s="2" t="s">
        <v>7155</v>
      </c>
      <c r="BQ236" s="2" t="s">
        <v>7156</v>
      </c>
      <c r="BS236" s="2" t="s">
        <v>7142</v>
      </c>
      <c r="BT236" s="2" t="s">
        <v>7157</v>
      </c>
      <c r="BV236" s="2" t="s">
        <v>7202</v>
      </c>
      <c r="BX236" s="2" t="s">
        <v>7143</v>
      </c>
      <c r="BY236" s="2" t="s">
        <v>1716</v>
      </c>
      <c r="BZ236" s="2" t="s">
        <v>7159</v>
      </c>
      <c r="CE236" s="7">
        <v>13</v>
      </c>
      <c r="CF236" s="2">
        <v>1297</v>
      </c>
      <c r="CM236" s="2">
        <v>100</v>
      </c>
      <c r="CO236" s="2">
        <v>100</v>
      </c>
      <c r="CR236" s="2" t="s">
        <v>7160</v>
      </c>
      <c r="CT236" s="2" t="s">
        <v>7143</v>
      </c>
      <c r="CU236" s="2" t="s">
        <v>7203</v>
      </c>
      <c r="CW236" s="2" t="s">
        <v>7162</v>
      </c>
      <c r="CY236" s="2" t="s">
        <v>7163</v>
      </c>
      <c r="CZ236" s="2" t="s">
        <v>7163</v>
      </c>
      <c r="DA236" s="2" t="s">
        <v>7163</v>
      </c>
      <c r="DB236" s="2" t="s">
        <v>7163</v>
      </c>
      <c r="DC236" s="2" t="s">
        <v>7250</v>
      </c>
      <c r="DD236" s="2" t="s">
        <v>7250</v>
      </c>
      <c r="DE236" s="2" t="s">
        <v>7250</v>
      </c>
      <c r="DF236" s="2" t="s">
        <v>7163</v>
      </c>
      <c r="DG236" s="2" t="s">
        <v>7163</v>
      </c>
      <c r="DH236" s="2" t="s">
        <v>7163</v>
      </c>
      <c r="DI236" s="2" t="s">
        <v>7250</v>
      </c>
      <c r="DL236" s="2" t="s">
        <v>7142</v>
      </c>
      <c r="DM236" s="2" t="s">
        <v>7142</v>
      </c>
      <c r="DN236" s="2" t="s">
        <v>7142</v>
      </c>
      <c r="DO236" s="2" t="s">
        <v>7142</v>
      </c>
      <c r="DP236" s="2" t="s">
        <v>7165</v>
      </c>
      <c r="DQ236" s="2" t="s">
        <v>7333</v>
      </c>
      <c r="DR236" s="2" t="s">
        <v>1717</v>
      </c>
      <c r="DT236" s="2" t="s">
        <v>7165</v>
      </c>
      <c r="DU236" s="2" t="s">
        <v>7165</v>
      </c>
      <c r="DV236" s="2" t="s">
        <v>7165</v>
      </c>
      <c r="DW236" s="2" t="s">
        <v>7165</v>
      </c>
      <c r="DX236" s="2" t="s">
        <v>7165</v>
      </c>
      <c r="DY236" s="2" t="s">
        <v>7159</v>
      </c>
      <c r="DZ236" s="2" t="s">
        <v>7159</v>
      </c>
      <c r="EA236" s="2" t="s">
        <v>7165</v>
      </c>
      <c r="EB236" s="2" t="s">
        <v>7165</v>
      </c>
      <c r="EF236" s="2" t="s">
        <v>7221</v>
      </c>
      <c r="EG236" s="2" t="s">
        <v>1718</v>
      </c>
      <c r="EJ236" s="2" t="s">
        <v>7193</v>
      </c>
      <c r="EK236" s="2" t="s">
        <v>7142</v>
      </c>
      <c r="EL236" s="2" t="s">
        <v>7143</v>
      </c>
      <c r="EN236" s="2" t="s">
        <v>7170</v>
      </c>
      <c r="EP236" s="2" t="s">
        <v>7186</v>
      </c>
      <c r="ER236" s="2" t="s">
        <v>7142</v>
      </c>
      <c r="ET236" s="2" t="s">
        <v>7143</v>
      </c>
      <c r="EV236" s="2" t="s">
        <v>7143</v>
      </c>
      <c r="EX236" s="2" t="s">
        <v>7143</v>
      </c>
      <c r="EZ236" s="2" t="s">
        <v>7143</v>
      </c>
      <c r="FC236" s="2" t="s">
        <v>7218</v>
      </c>
      <c r="FD236" s="2" t="s">
        <v>7143</v>
      </c>
      <c r="FH236" s="2" t="s">
        <v>7173</v>
      </c>
      <c r="FJ236" s="2" t="s">
        <v>7143</v>
      </c>
      <c r="FK236" s="2" t="s">
        <v>7173</v>
      </c>
      <c r="FN236" s="2" t="s">
        <v>7344</v>
      </c>
      <c r="FR236" s="2" t="s">
        <v>1719</v>
      </c>
      <c r="FT236" s="2" t="s">
        <v>7189</v>
      </c>
      <c r="FU236" s="2" t="s">
        <v>7189</v>
      </c>
      <c r="FV236" s="2" t="s">
        <v>7189</v>
      </c>
      <c r="FW236" s="2" t="s">
        <v>7189</v>
      </c>
      <c r="FX236" s="2" t="s">
        <v>7189</v>
      </c>
      <c r="FZ236" s="2"/>
    </row>
    <row r="237" spans="1:182">
      <c r="A237" s="7" t="s">
        <v>1720</v>
      </c>
      <c r="D237" s="7" t="s">
        <v>8027</v>
      </c>
      <c r="E237" s="7" t="s">
        <v>1721</v>
      </c>
      <c r="F237" s="7" t="s">
        <v>7319</v>
      </c>
      <c r="G237" s="7" t="s">
        <v>7981</v>
      </c>
      <c r="H237" s="7" t="s">
        <v>1668</v>
      </c>
      <c r="I237" s="7" t="s">
        <v>1722</v>
      </c>
      <c r="J237" s="16" t="s">
        <v>8028</v>
      </c>
      <c r="K237" s="7" t="s">
        <v>1722</v>
      </c>
      <c r="L237" s="7" t="s">
        <v>7137</v>
      </c>
      <c r="M237" s="7" t="s">
        <v>7179</v>
      </c>
      <c r="N237" s="7">
        <v>1966</v>
      </c>
      <c r="O237" s="7" t="s">
        <v>7180</v>
      </c>
      <c r="P237" s="7" t="s">
        <v>7140</v>
      </c>
      <c r="Q237" s="7" t="s">
        <v>7141</v>
      </c>
      <c r="R237" s="2" t="s">
        <v>7143</v>
      </c>
      <c r="S237" s="7">
        <v>28</v>
      </c>
      <c r="T237" s="7" t="s">
        <v>7143</v>
      </c>
      <c r="U237" s="7" t="s">
        <v>7143</v>
      </c>
      <c r="Y237" s="2">
        <v>420</v>
      </c>
      <c r="Z237" s="17">
        <v>1</v>
      </c>
      <c r="AA237" s="2">
        <v>420</v>
      </c>
      <c r="AB237" s="2">
        <v>420</v>
      </c>
      <c r="AC237" s="7">
        <v>420</v>
      </c>
      <c r="AD237" s="2">
        <v>500</v>
      </c>
      <c r="AE237" s="2">
        <v>80</v>
      </c>
      <c r="AF237" s="2" t="s">
        <v>7143</v>
      </c>
      <c r="AG237" s="2" t="s">
        <v>7143</v>
      </c>
      <c r="AH237" s="2" t="s">
        <v>7143</v>
      </c>
      <c r="AJ237" s="2" t="s">
        <v>7143</v>
      </c>
      <c r="AK237" s="2" t="s">
        <v>7143</v>
      </c>
      <c r="AL237" s="2" t="s">
        <v>7143</v>
      </c>
      <c r="AM237" s="2" t="s">
        <v>7142</v>
      </c>
      <c r="AN237" s="2" t="s">
        <v>7143</v>
      </c>
      <c r="AO237" s="2" t="s">
        <v>7143</v>
      </c>
      <c r="AR237" s="7">
        <v>1.4</v>
      </c>
      <c r="AS237" s="7">
        <v>2</v>
      </c>
      <c r="AT237" s="7">
        <v>5</v>
      </c>
      <c r="AU237" s="2" t="s">
        <v>7193</v>
      </c>
      <c r="AV237" s="2" t="s">
        <v>7193</v>
      </c>
      <c r="AW237" s="2" t="s">
        <v>7143</v>
      </c>
      <c r="AZ237" s="2" t="s">
        <v>7286</v>
      </c>
      <c r="BB237" s="2" t="s">
        <v>7214</v>
      </c>
      <c r="BC237" s="2" t="s">
        <v>7208</v>
      </c>
      <c r="BD237" s="2" t="s">
        <v>7143</v>
      </c>
      <c r="BE237" s="2" t="s">
        <v>7143</v>
      </c>
      <c r="BL237" s="2" t="s">
        <v>7152</v>
      </c>
      <c r="BM237" s="2" t="s">
        <v>7153</v>
      </c>
      <c r="BN237" s="2" t="s">
        <v>7154</v>
      </c>
      <c r="BO237" s="2" t="s">
        <v>7155</v>
      </c>
      <c r="BQ237" s="2" t="s">
        <v>7183</v>
      </c>
      <c r="BS237" s="2" t="s">
        <v>7142</v>
      </c>
      <c r="BT237" s="2" t="s">
        <v>7238</v>
      </c>
      <c r="BU237" s="2" t="s">
        <v>1723</v>
      </c>
      <c r="BV237" s="2" t="s">
        <v>7387</v>
      </c>
      <c r="BX237" s="2" t="s">
        <v>7143</v>
      </c>
      <c r="BZ237" s="2" t="s">
        <v>7173</v>
      </c>
      <c r="CE237" s="7">
        <v>5</v>
      </c>
      <c r="CF237" s="2">
        <v>500</v>
      </c>
      <c r="CM237" s="2">
        <v>100</v>
      </c>
      <c r="CQ237" s="2">
        <v>100</v>
      </c>
      <c r="CR237" s="2" t="s">
        <v>7160</v>
      </c>
      <c r="CT237" s="2" t="s">
        <v>7143</v>
      </c>
      <c r="CU237" s="2" t="s">
        <v>7383</v>
      </c>
      <c r="CW237" s="2" t="s">
        <v>7162</v>
      </c>
      <c r="CY237" s="2" t="s">
        <v>7250</v>
      </c>
      <c r="CZ237" s="2" t="s">
        <v>7250</v>
      </c>
      <c r="DA237" s="2" t="s">
        <v>7250</v>
      </c>
      <c r="DB237" s="2" t="s">
        <v>7321</v>
      </c>
      <c r="DC237" s="2" t="s">
        <v>7163</v>
      </c>
      <c r="DD237" s="2" t="s">
        <v>7321</v>
      </c>
      <c r="DE237" s="2" t="s">
        <v>7250</v>
      </c>
      <c r="DF237" s="2" t="s">
        <v>7250</v>
      </c>
      <c r="DG237" s="2" t="s">
        <v>7321</v>
      </c>
      <c r="DH237" s="2" t="s">
        <v>7321</v>
      </c>
      <c r="DI237" s="2" t="s">
        <v>7321</v>
      </c>
      <c r="DL237" s="2" t="s">
        <v>7143</v>
      </c>
      <c r="DM237" s="2" t="s">
        <v>7143</v>
      </c>
      <c r="DP237" s="2" t="s">
        <v>7159</v>
      </c>
      <c r="DT237" s="2" t="s">
        <v>7159</v>
      </c>
      <c r="DU237" s="2" t="s">
        <v>7159</v>
      </c>
      <c r="DV237" s="2" t="s">
        <v>7159</v>
      </c>
      <c r="DW237" s="2" t="s">
        <v>7159</v>
      </c>
      <c r="DX237" s="2" t="s">
        <v>7159</v>
      </c>
      <c r="DY237" s="2" t="s">
        <v>7159</v>
      </c>
      <c r="DZ237" s="2" t="s">
        <v>7159</v>
      </c>
      <c r="EA237" s="2" t="s">
        <v>7159</v>
      </c>
      <c r="EB237" s="2" t="s">
        <v>7159</v>
      </c>
      <c r="EC237" s="2" t="s">
        <v>7159</v>
      </c>
      <c r="EF237" s="2" t="s">
        <v>7252</v>
      </c>
      <c r="EG237" s="2" t="s">
        <v>1724</v>
      </c>
      <c r="EJ237" s="2" t="s">
        <v>7217</v>
      </c>
      <c r="EK237" s="2" t="s">
        <v>7143</v>
      </c>
      <c r="EL237" s="2" t="s">
        <v>7143</v>
      </c>
      <c r="EN237" s="2" t="s">
        <v>7210</v>
      </c>
      <c r="EP237" s="2" t="s">
        <v>7186</v>
      </c>
      <c r="ER237" s="2" t="s">
        <v>7143</v>
      </c>
      <c r="ET237" s="2" t="s">
        <v>7143</v>
      </c>
      <c r="EV237" s="2" t="s">
        <v>7143</v>
      </c>
      <c r="EX237" s="2" t="s">
        <v>7143</v>
      </c>
      <c r="EZ237" s="2" t="s">
        <v>7143</v>
      </c>
      <c r="FC237" s="2" t="s">
        <v>7218</v>
      </c>
      <c r="FD237" s="2" t="s">
        <v>7143</v>
      </c>
      <c r="FH237" s="2" t="s">
        <v>7173</v>
      </c>
      <c r="FJ237" s="2" t="s">
        <v>7143</v>
      </c>
      <c r="FK237" s="2" t="s">
        <v>7173</v>
      </c>
      <c r="FR237" s="2" t="s">
        <v>433</v>
      </c>
      <c r="FT237" s="2" t="s">
        <v>7176</v>
      </c>
      <c r="FU237" s="2" t="s">
        <v>7176</v>
      </c>
      <c r="FV237" s="2" t="s">
        <v>7176</v>
      </c>
      <c r="FW237" s="2" t="s">
        <v>7176</v>
      </c>
      <c r="FX237" s="2" t="s">
        <v>7176</v>
      </c>
      <c r="FZ237" s="19" t="s">
        <v>8029</v>
      </c>
    </row>
    <row r="238" spans="1:182">
      <c r="A238" s="7" t="s">
        <v>1725</v>
      </c>
      <c r="D238" s="7" t="s">
        <v>8030</v>
      </c>
      <c r="E238" s="7" t="s">
        <v>177</v>
      </c>
      <c r="F238" s="7" t="s">
        <v>7245</v>
      </c>
      <c r="G238" s="7" t="s">
        <v>7981</v>
      </c>
      <c r="H238" s="7" t="s">
        <v>1659</v>
      </c>
      <c r="I238" s="7" t="s">
        <v>1726</v>
      </c>
      <c r="J238" s="16" t="s">
        <v>8031</v>
      </c>
      <c r="K238" s="7" t="s">
        <v>1726</v>
      </c>
      <c r="L238" s="2" t="s">
        <v>7137</v>
      </c>
      <c r="M238" s="7" t="s">
        <v>7179</v>
      </c>
      <c r="N238" s="7">
        <v>1969</v>
      </c>
      <c r="O238" s="7" t="s">
        <v>7180</v>
      </c>
      <c r="P238" s="7" t="s">
        <v>7140</v>
      </c>
      <c r="Q238" s="7" t="s">
        <v>7141</v>
      </c>
      <c r="R238" s="7" t="s">
        <v>7143</v>
      </c>
      <c r="S238" s="7">
        <v>1997</v>
      </c>
      <c r="T238" s="7" t="s">
        <v>7143</v>
      </c>
      <c r="U238" s="7" t="s">
        <v>7143</v>
      </c>
      <c r="Y238" s="2">
        <v>900</v>
      </c>
      <c r="Z238" s="17">
        <v>1</v>
      </c>
      <c r="AA238" s="2">
        <v>900</v>
      </c>
      <c r="AB238" s="2">
        <v>900</v>
      </c>
      <c r="AC238" s="7">
        <v>800</v>
      </c>
      <c r="AD238" s="2">
        <v>900</v>
      </c>
      <c r="AE238" s="2">
        <v>100</v>
      </c>
      <c r="AF238" s="2" t="s">
        <v>7143</v>
      </c>
      <c r="AG238" s="2" t="s">
        <v>7142</v>
      </c>
      <c r="AH238" s="2" t="s">
        <v>7142</v>
      </c>
      <c r="AI238" s="2" t="s">
        <v>308</v>
      </c>
      <c r="AJ238" s="2" t="s">
        <v>7143</v>
      </c>
      <c r="AK238" s="2" t="s">
        <v>7143</v>
      </c>
      <c r="AL238" s="2" t="s">
        <v>7143</v>
      </c>
      <c r="AM238" s="2" t="s">
        <v>7142</v>
      </c>
      <c r="AN238" s="2" t="s">
        <v>7143</v>
      </c>
      <c r="AO238" s="2" t="s">
        <v>7143</v>
      </c>
      <c r="AR238" s="7">
        <v>2</v>
      </c>
      <c r="AS238" s="7">
        <v>2</v>
      </c>
      <c r="AT238" s="7">
        <v>9</v>
      </c>
      <c r="AU238" s="7" t="s">
        <v>7193</v>
      </c>
      <c r="AV238" s="7" t="s">
        <v>7193</v>
      </c>
      <c r="AW238" s="7" t="s">
        <v>7143</v>
      </c>
      <c r="AZ238" s="2" t="s">
        <v>7145</v>
      </c>
      <c r="BB238" s="2" t="s">
        <v>7214</v>
      </c>
      <c r="BC238" s="2" t="s">
        <v>7147</v>
      </c>
      <c r="BD238" s="2" t="s">
        <v>7142</v>
      </c>
      <c r="BE238" s="2" t="s">
        <v>7142</v>
      </c>
      <c r="BF238" s="2" t="s">
        <v>7148</v>
      </c>
      <c r="BG238" s="2" t="s">
        <v>7149</v>
      </c>
      <c r="BH238" s="2" t="s">
        <v>7248</v>
      </c>
      <c r="BI238" s="2" t="s">
        <v>7151</v>
      </c>
      <c r="BL238" s="7" t="s">
        <v>7152</v>
      </c>
      <c r="BM238" s="7" t="s">
        <v>7153</v>
      </c>
      <c r="BN238" s="7" t="s">
        <v>7154</v>
      </c>
      <c r="BO238" s="2" t="s">
        <v>7155</v>
      </c>
      <c r="BQ238" s="2" t="s">
        <v>7183</v>
      </c>
      <c r="BS238" s="2" t="s">
        <v>7142</v>
      </c>
      <c r="BT238" s="2" t="s">
        <v>7215</v>
      </c>
      <c r="BV238" s="2" t="s">
        <v>7304</v>
      </c>
      <c r="BX238" s="2" t="s">
        <v>7142</v>
      </c>
      <c r="BY238" s="2" t="s">
        <v>310</v>
      </c>
      <c r="BZ238" s="2" t="s">
        <v>7159</v>
      </c>
      <c r="CE238" s="7">
        <v>9</v>
      </c>
      <c r="CF238" s="2">
        <v>850</v>
      </c>
      <c r="CK238" s="2">
        <v>100</v>
      </c>
      <c r="CO238" s="2">
        <v>100</v>
      </c>
      <c r="CR238" s="2" t="s">
        <v>7160</v>
      </c>
      <c r="CT238" s="2" t="s">
        <v>7143</v>
      </c>
      <c r="CU238" s="2" t="s">
        <v>7161</v>
      </c>
      <c r="CW238" s="2" t="s">
        <v>7162</v>
      </c>
      <c r="CY238" s="2" t="s">
        <v>7163</v>
      </c>
      <c r="CZ238" s="2" t="s">
        <v>7227</v>
      </c>
      <c r="DA238" s="2" t="s">
        <v>7164</v>
      </c>
      <c r="DC238" s="2" t="s">
        <v>7164</v>
      </c>
      <c r="DD238" s="2" t="s">
        <v>7251</v>
      </c>
      <c r="DE238" s="2" t="s">
        <v>7164</v>
      </c>
      <c r="DF238" s="2" t="s">
        <v>7163</v>
      </c>
      <c r="DG238" s="2" t="s">
        <v>7163</v>
      </c>
      <c r="DH238" s="2" t="s">
        <v>7227</v>
      </c>
      <c r="DI238" s="2" t="s">
        <v>7227</v>
      </c>
      <c r="DL238" s="7" t="s">
        <v>7142</v>
      </c>
      <c r="DM238" s="7" t="s">
        <v>7142</v>
      </c>
      <c r="DN238" s="7" t="s">
        <v>7142</v>
      </c>
      <c r="DO238" s="7" t="s">
        <v>7142</v>
      </c>
      <c r="DP238" s="7" t="s">
        <v>7165</v>
      </c>
      <c r="DQ238" s="7" t="s">
        <v>7166</v>
      </c>
      <c r="DS238" s="7" t="s">
        <v>7165</v>
      </c>
      <c r="DT238" s="7" t="s">
        <v>7165</v>
      </c>
      <c r="DU238" s="7" t="s">
        <v>7165</v>
      </c>
      <c r="DV238" s="7" t="s">
        <v>7165</v>
      </c>
      <c r="DW238" s="7" t="s">
        <v>7165</v>
      </c>
      <c r="DX238" s="7" t="s">
        <v>7165</v>
      </c>
      <c r="DY238" s="7" t="s">
        <v>7159</v>
      </c>
      <c r="DZ238" s="7" t="s">
        <v>7159</v>
      </c>
      <c r="EA238" s="7" t="s">
        <v>7165</v>
      </c>
      <c r="EB238" s="7" t="s">
        <v>7165</v>
      </c>
      <c r="EC238" s="7" t="s">
        <v>7159</v>
      </c>
      <c r="ED238" s="7"/>
      <c r="EE238" s="7"/>
      <c r="EF238" s="2" t="s">
        <v>7167</v>
      </c>
      <c r="EJ238" s="7" t="s">
        <v>7193</v>
      </c>
      <c r="EK238" s="7" t="s">
        <v>7142</v>
      </c>
      <c r="EL238" s="7" t="s">
        <v>7143</v>
      </c>
      <c r="EN238" s="7" t="s">
        <v>7170</v>
      </c>
      <c r="EP238" s="7" t="s">
        <v>7186</v>
      </c>
      <c r="ER238" s="2" t="s">
        <v>7142</v>
      </c>
      <c r="ET238" s="2" t="s">
        <v>7143</v>
      </c>
      <c r="EV238" s="2" t="s">
        <v>7142</v>
      </c>
      <c r="EW238" s="2" t="s">
        <v>7204</v>
      </c>
      <c r="EX238" s="2" t="s">
        <v>7143</v>
      </c>
      <c r="EZ238" s="2" t="s">
        <v>7143</v>
      </c>
      <c r="FC238" s="2" t="s">
        <v>7172</v>
      </c>
      <c r="FD238" s="2" t="s">
        <v>7143</v>
      </c>
      <c r="FH238" s="7" t="s">
        <v>7173</v>
      </c>
      <c r="FJ238" s="7" t="s">
        <v>7142</v>
      </c>
      <c r="FK238" s="2" t="s">
        <v>7165</v>
      </c>
      <c r="FL238" s="2" t="s">
        <v>7260</v>
      </c>
      <c r="FN238" s="2" t="s">
        <v>7258</v>
      </c>
      <c r="FT238" s="2" t="s">
        <v>7176</v>
      </c>
      <c r="FU238" s="2" t="s">
        <v>7189</v>
      </c>
      <c r="FV238" s="2" t="s">
        <v>7189</v>
      </c>
      <c r="FW238" s="2" t="s">
        <v>7189</v>
      </c>
      <c r="FZ238" s="19" t="s">
        <v>8032</v>
      </c>
    </row>
    <row r="239" spans="1:182">
      <c r="A239" s="7" t="s">
        <v>1727</v>
      </c>
      <c r="D239" s="7" t="s">
        <v>8033</v>
      </c>
      <c r="E239" s="7" t="s">
        <v>177</v>
      </c>
      <c r="F239" s="7" t="s">
        <v>7134</v>
      </c>
      <c r="G239" s="7" t="s">
        <v>7981</v>
      </c>
      <c r="H239" s="7" t="s">
        <v>1659</v>
      </c>
      <c r="I239" s="7" t="s">
        <v>1728</v>
      </c>
      <c r="J239" s="19" t="s">
        <v>8034</v>
      </c>
      <c r="K239" s="7" t="s">
        <v>1728</v>
      </c>
      <c r="L239" s="2" t="s">
        <v>7137</v>
      </c>
      <c r="M239" s="7" t="s">
        <v>7179</v>
      </c>
      <c r="N239" s="7">
        <v>1976</v>
      </c>
      <c r="O239" s="7" t="s">
        <v>7180</v>
      </c>
      <c r="P239" s="2" t="s">
        <v>7181</v>
      </c>
      <c r="Q239" s="2" t="s">
        <v>7141</v>
      </c>
      <c r="R239" s="2" t="s">
        <v>7143</v>
      </c>
      <c r="S239" s="2">
        <v>25</v>
      </c>
      <c r="T239" s="2" t="s">
        <v>7143</v>
      </c>
      <c r="U239" s="2" t="s">
        <v>7143</v>
      </c>
      <c r="Y239" s="2">
        <v>180</v>
      </c>
      <c r="Z239" s="17">
        <v>1</v>
      </c>
      <c r="AA239" s="2">
        <v>180</v>
      </c>
      <c r="AB239" s="2">
        <v>180</v>
      </c>
      <c r="AC239" s="7">
        <v>180</v>
      </c>
      <c r="AD239" s="2">
        <v>240</v>
      </c>
      <c r="AE239" s="2">
        <v>60</v>
      </c>
      <c r="AF239" s="2" t="s">
        <v>7143</v>
      </c>
      <c r="AG239" s="2" t="s">
        <v>7143</v>
      </c>
      <c r="AH239" s="2" t="s">
        <v>7143</v>
      </c>
      <c r="AJ239" s="2" t="s">
        <v>7143</v>
      </c>
      <c r="AK239" s="2" t="s">
        <v>7143</v>
      </c>
      <c r="AL239" s="2" t="s">
        <v>7143</v>
      </c>
      <c r="AM239" s="2" t="s">
        <v>7143</v>
      </c>
      <c r="AN239" s="2" t="s">
        <v>7143</v>
      </c>
      <c r="AO239" s="2" t="s">
        <v>7143</v>
      </c>
      <c r="AR239" s="7">
        <v>1.2</v>
      </c>
      <c r="AS239" s="7">
        <v>1</v>
      </c>
      <c r="AT239" s="7">
        <v>2.4</v>
      </c>
      <c r="AU239" s="2" t="s">
        <v>7168</v>
      </c>
      <c r="AV239" s="2" t="s">
        <v>7168</v>
      </c>
      <c r="AW239" s="2" t="s">
        <v>7143</v>
      </c>
      <c r="AZ239" s="2" t="s">
        <v>7145</v>
      </c>
      <c r="BB239" s="2" t="s">
        <v>7214</v>
      </c>
      <c r="BC239" s="2" t="s">
        <v>7147</v>
      </c>
      <c r="BD239" s="2" t="s">
        <v>7142</v>
      </c>
      <c r="BE239" s="2" t="s">
        <v>7142</v>
      </c>
      <c r="BF239" s="2" t="s">
        <v>7148</v>
      </c>
      <c r="BG239" s="2" t="s">
        <v>7232</v>
      </c>
      <c r="BH239" s="2" t="s">
        <v>7150</v>
      </c>
      <c r="BI239" s="2" t="s">
        <v>7151</v>
      </c>
      <c r="BL239" s="2" t="s">
        <v>7152</v>
      </c>
      <c r="BM239" s="2" t="s">
        <v>7153</v>
      </c>
      <c r="BN239" s="2" t="s">
        <v>7154</v>
      </c>
      <c r="BO239" s="2" t="s">
        <v>7155</v>
      </c>
      <c r="BQ239" s="2" t="s">
        <v>7156</v>
      </c>
      <c r="BS239" s="2" t="s">
        <v>7142</v>
      </c>
      <c r="BT239" s="2" t="s">
        <v>7215</v>
      </c>
      <c r="BV239" s="2" t="s">
        <v>7202</v>
      </c>
      <c r="BX239" s="2" t="s">
        <v>7143</v>
      </c>
      <c r="BZ239" s="2" t="s">
        <v>7173</v>
      </c>
      <c r="CE239" s="7">
        <v>2.4</v>
      </c>
      <c r="CF239" s="2">
        <v>240</v>
      </c>
      <c r="CM239" s="2">
        <v>100</v>
      </c>
      <c r="CO239" s="2">
        <v>100</v>
      </c>
      <c r="CR239" s="2" t="s">
        <v>7160</v>
      </c>
      <c r="CT239" s="2" t="s">
        <v>7143</v>
      </c>
      <c r="CU239" s="2" t="s">
        <v>7161</v>
      </c>
      <c r="CW239" s="2" t="s">
        <v>7162</v>
      </c>
      <c r="CY239" s="2" t="s">
        <v>7163</v>
      </c>
      <c r="CZ239" s="2" t="s">
        <v>7164</v>
      </c>
      <c r="DA239" s="2" t="s">
        <v>7164</v>
      </c>
      <c r="DB239" s="2" t="s">
        <v>7164</v>
      </c>
      <c r="DC239" s="2" t="s">
        <v>7164</v>
      </c>
      <c r="DD239" s="2" t="s">
        <v>7164</v>
      </c>
      <c r="DE239" s="2" t="s">
        <v>7164</v>
      </c>
      <c r="DF239" s="2" t="s">
        <v>7164</v>
      </c>
      <c r="DG239" s="2" t="s">
        <v>7164</v>
      </c>
      <c r="DH239" s="2" t="s">
        <v>7164</v>
      </c>
      <c r="DI239" s="2" t="s">
        <v>7164</v>
      </c>
      <c r="DL239" s="2" t="s">
        <v>7142</v>
      </c>
      <c r="DM239" s="2" t="s">
        <v>7142</v>
      </c>
      <c r="DN239" s="2" t="s">
        <v>7142</v>
      </c>
      <c r="DO239" s="2" t="s">
        <v>7142</v>
      </c>
      <c r="DP239" s="2" t="s">
        <v>7165</v>
      </c>
      <c r="DQ239" s="2" t="s">
        <v>7166</v>
      </c>
      <c r="DT239" s="2" t="s">
        <v>7165</v>
      </c>
      <c r="DU239" s="2" t="s">
        <v>7165</v>
      </c>
      <c r="DV239" s="2" t="s">
        <v>7165</v>
      </c>
      <c r="DW239" s="2" t="s">
        <v>7165</v>
      </c>
      <c r="DX239" s="2" t="s">
        <v>7159</v>
      </c>
      <c r="DY239" s="2" t="s">
        <v>7159</v>
      </c>
      <c r="DZ239" s="2" t="s">
        <v>7159</v>
      </c>
      <c r="EA239" s="2" t="s">
        <v>7159</v>
      </c>
      <c r="EB239" s="2" t="s">
        <v>7159</v>
      </c>
      <c r="EF239" s="2" t="s">
        <v>7167</v>
      </c>
      <c r="EJ239" s="2" t="s">
        <v>7144</v>
      </c>
      <c r="EK239" s="2" t="s">
        <v>7142</v>
      </c>
      <c r="EL239" s="2" t="s">
        <v>7143</v>
      </c>
      <c r="EN239" s="2" t="s">
        <v>7170</v>
      </c>
      <c r="EP239" s="2" t="s">
        <v>7186</v>
      </c>
      <c r="ER239" s="2" t="s">
        <v>7142</v>
      </c>
      <c r="ET239" s="2" t="s">
        <v>7143</v>
      </c>
      <c r="EV239" s="2" t="s">
        <v>7142</v>
      </c>
      <c r="EW239" s="2" t="s">
        <v>7171</v>
      </c>
      <c r="EX239" s="2" t="s">
        <v>7142</v>
      </c>
      <c r="EY239" s="2" t="s">
        <v>7171</v>
      </c>
      <c r="FC239" s="2" t="s">
        <v>7172</v>
      </c>
      <c r="FD239" s="2" t="s">
        <v>7143</v>
      </c>
      <c r="FH239" s="2" t="s">
        <v>7173</v>
      </c>
      <c r="FJ239" s="2" t="s">
        <v>7142</v>
      </c>
      <c r="FK239" s="2" t="s">
        <v>7165</v>
      </c>
      <c r="FL239" s="2" t="s">
        <v>7992</v>
      </c>
      <c r="FN239" s="2" t="s">
        <v>7258</v>
      </c>
      <c r="FT239" s="2" t="s">
        <v>7176</v>
      </c>
      <c r="FU239" s="2" t="s">
        <v>7176</v>
      </c>
      <c r="FV239" s="2" t="s">
        <v>7176</v>
      </c>
      <c r="FW239" s="2" t="s">
        <v>7176</v>
      </c>
      <c r="FZ239" s="19" t="s">
        <v>8035</v>
      </c>
    </row>
    <row r="240" spans="1:182">
      <c r="A240" s="7" t="s">
        <v>1729</v>
      </c>
      <c r="D240" s="7" t="s">
        <v>8036</v>
      </c>
      <c r="E240" s="7" t="s">
        <v>1730</v>
      </c>
      <c r="F240" s="7" t="s">
        <v>7311</v>
      </c>
      <c r="G240" s="7" t="s">
        <v>7981</v>
      </c>
      <c r="H240" s="7" t="s">
        <v>1731</v>
      </c>
      <c r="I240" s="7" t="s">
        <v>1732</v>
      </c>
      <c r="J240" s="16" t="s">
        <v>8037</v>
      </c>
      <c r="K240" s="7" t="s">
        <v>1732</v>
      </c>
      <c r="L240" s="7" t="s">
        <v>7137</v>
      </c>
      <c r="M240" s="7" t="s">
        <v>7179</v>
      </c>
      <c r="N240" s="7">
        <v>1978</v>
      </c>
      <c r="O240" s="7" t="s">
        <v>7180</v>
      </c>
      <c r="P240" s="7" t="s">
        <v>7140</v>
      </c>
      <c r="Q240" s="7" t="s">
        <v>7182</v>
      </c>
      <c r="R240" s="7" t="s">
        <v>7143</v>
      </c>
      <c r="S240" s="7">
        <v>15</v>
      </c>
      <c r="T240" s="7" t="s">
        <v>7143</v>
      </c>
      <c r="U240" s="7" t="s">
        <v>7143</v>
      </c>
      <c r="Y240" s="2">
        <v>660</v>
      </c>
      <c r="Z240" s="17">
        <v>0.65149999999999997</v>
      </c>
      <c r="AA240" s="2">
        <v>430</v>
      </c>
      <c r="AB240" s="2">
        <v>430</v>
      </c>
      <c r="AC240" s="7">
        <v>430</v>
      </c>
      <c r="AD240" s="2">
        <v>500</v>
      </c>
      <c r="AE240" s="2">
        <v>70</v>
      </c>
      <c r="AF240" s="2" t="s">
        <v>7143</v>
      </c>
      <c r="AG240" s="2" t="s">
        <v>7143</v>
      </c>
      <c r="AH240" s="2" t="s">
        <v>7143</v>
      </c>
      <c r="AJ240" s="2" t="s">
        <v>7143</v>
      </c>
      <c r="AK240" s="2" t="s">
        <v>7143</v>
      </c>
      <c r="AL240" s="2" t="s">
        <v>7142</v>
      </c>
      <c r="AM240" s="2" t="s">
        <v>7142</v>
      </c>
      <c r="AN240" s="2" t="s">
        <v>7143</v>
      </c>
      <c r="AO240" s="2" t="s">
        <v>7143</v>
      </c>
      <c r="AR240" s="7">
        <v>2.0099999999999998</v>
      </c>
      <c r="AS240" s="7">
        <v>3</v>
      </c>
      <c r="AT240" s="7">
        <v>5</v>
      </c>
      <c r="AU240" s="2" t="s">
        <v>7144</v>
      </c>
      <c r="AV240" s="2" t="s">
        <v>7144</v>
      </c>
      <c r="AW240" s="2" t="s">
        <v>7143</v>
      </c>
      <c r="BC240" s="2" t="s">
        <v>7147</v>
      </c>
      <c r="BD240" s="2" t="s">
        <v>7142</v>
      </c>
      <c r="BE240" s="2" t="s">
        <v>7143</v>
      </c>
      <c r="BL240" s="2" t="s">
        <v>7152</v>
      </c>
      <c r="BM240" s="2" t="s">
        <v>7153</v>
      </c>
      <c r="BN240" s="2" t="s">
        <v>7154</v>
      </c>
      <c r="BO240" s="2" t="s">
        <v>7155</v>
      </c>
      <c r="BQ240" s="2" t="s">
        <v>7156</v>
      </c>
      <c r="BS240" s="2" t="s">
        <v>7142</v>
      </c>
      <c r="BT240" s="2" t="s">
        <v>7215</v>
      </c>
      <c r="BV240" s="2" t="s">
        <v>7363</v>
      </c>
      <c r="BX240" s="2" t="s">
        <v>7143</v>
      </c>
      <c r="BY240" s="2" t="s">
        <v>1733</v>
      </c>
      <c r="BZ240" s="2" t="s">
        <v>7159</v>
      </c>
      <c r="CE240" s="7">
        <v>5</v>
      </c>
      <c r="CF240" s="2">
        <v>500</v>
      </c>
      <c r="CK240" s="2">
        <v>100</v>
      </c>
      <c r="CP240" s="2">
        <v>100</v>
      </c>
      <c r="CR240" s="2" t="s">
        <v>7160</v>
      </c>
      <c r="CT240" s="2" t="s">
        <v>7143</v>
      </c>
      <c r="CU240" s="2" t="s">
        <v>7161</v>
      </c>
      <c r="CW240" s="2" t="s">
        <v>7162</v>
      </c>
      <c r="CY240" s="2" t="s">
        <v>7250</v>
      </c>
      <c r="CZ240" s="2" t="s">
        <v>7250</v>
      </c>
      <c r="DA240" s="2" t="s">
        <v>7250</v>
      </c>
      <c r="DB240" s="2" t="s">
        <v>7250</v>
      </c>
      <c r="DC240" s="2" t="s">
        <v>7250</v>
      </c>
      <c r="DD240" s="2" t="s">
        <v>7250</v>
      </c>
      <c r="DE240" s="2" t="s">
        <v>7250</v>
      </c>
      <c r="DF240" s="2" t="s">
        <v>7250</v>
      </c>
      <c r="DG240" s="2" t="s">
        <v>7250</v>
      </c>
      <c r="DH240" s="2" t="s">
        <v>7250</v>
      </c>
      <c r="DI240" s="2" t="s">
        <v>7250</v>
      </c>
      <c r="DL240" s="2" t="s">
        <v>7143</v>
      </c>
      <c r="DM240" s="2" t="s">
        <v>7143</v>
      </c>
      <c r="DP240" s="2" t="s">
        <v>7159</v>
      </c>
      <c r="DT240" s="2" t="s">
        <v>7159</v>
      </c>
      <c r="DU240" s="2" t="s">
        <v>7159</v>
      </c>
      <c r="DV240" s="2" t="s">
        <v>7159</v>
      </c>
      <c r="DW240" s="2" t="s">
        <v>7159</v>
      </c>
      <c r="DX240" s="2" t="s">
        <v>7159</v>
      </c>
      <c r="DY240" s="2" t="s">
        <v>7159</v>
      </c>
      <c r="DZ240" s="2" t="s">
        <v>7159</v>
      </c>
      <c r="EA240" s="2" t="s">
        <v>7159</v>
      </c>
      <c r="EB240" s="2" t="s">
        <v>7159</v>
      </c>
      <c r="EC240" s="2" t="s">
        <v>7159</v>
      </c>
      <c r="EF240" s="2" t="s">
        <v>7252</v>
      </c>
      <c r="EG240" s="2" t="s">
        <v>1734</v>
      </c>
      <c r="EJ240" s="2" t="s">
        <v>7193</v>
      </c>
      <c r="EK240" s="2" t="s">
        <v>7143</v>
      </c>
      <c r="EL240" s="2" t="s">
        <v>7143</v>
      </c>
      <c r="EN240" s="2" t="s">
        <v>7210</v>
      </c>
      <c r="EP240" s="2" t="s">
        <v>7186</v>
      </c>
      <c r="ER240" s="2" t="s">
        <v>7143</v>
      </c>
      <c r="ET240" s="2" t="s">
        <v>7143</v>
      </c>
      <c r="EV240" s="2" t="s">
        <v>7143</v>
      </c>
      <c r="EX240" s="2" t="s">
        <v>7143</v>
      </c>
      <c r="EZ240" s="2" t="s">
        <v>7143</v>
      </c>
      <c r="FC240" s="2" t="s">
        <v>7172</v>
      </c>
      <c r="FD240" s="2" t="s">
        <v>7143</v>
      </c>
      <c r="FH240" s="2" t="s">
        <v>7173</v>
      </c>
      <c r="FJ240" s="2" t="s">
        <v>7143</v>
      </c>
      <c r="FK240" s="2" t="s">
        <v>7159</v>
      </c>
      <c r="FR240" s="2" t="s">
        <v>1735</v>
      </c>
      <c r="FT240" s="2" t="s">
        <v>7189</v>
      </c>
      <c r="FU240" s="2" t="s">
        <v>7189</v>
      </c>
      <c r="FV240" s="2" t="s">
        <v>7189</v>
      </c>
      <c r="FW240" s="2" t="s">
        <v>7189</v>
      </c>
      <c r="FX240" s="2" t="s">
        <v>7189</v>
      </c>
      <c r="FY240" s="2" t="s">
        <v>1736</v>
      </c>
      <c r="FZ240" s="19" t="s">
        <v>8038</v>
      </c>
    </row>
    <row r="241" spans="1:182">
      <c r="A241" s="7" t="s">
        <v>1737</v>
      </c>
      <c r="D241" s="7" t="s">
        <v>8039</v>
      </c>
      <c r="E241" s="7" t="s">
        <v>1738</v>
      </c>
      <c r="F241" s="7" t="s">
        <v>7311</v>
      </c>
      <c r="G241" s="7" t="s">
        <v>7981</v>
      </c>
      <c r="H241" s="7" t="s">
        <v>1731</v>
      </c>
      <c r="I241" s="7" t="s">
        <v>1739</v>
      </c>
      <c r="J241" s="16" t="s">
        <v>8040</v>
      </c>
      <c r="K241" s="7" t="s">
        <v>1739</v>
      </c>
      <c r="L241" s="7" t="s">
        <v>7137</v>
      </c>
      <c r="M241" s="7" t="s">
        <v>7179</v>
      </c>
      <c r="N241" s="7">
        <v>1976</v>
      </c>
      <c r="O241" s="7" t="s">
        <v>7180</v>
      </c>
      <c r="P241" s="7" t="s">
        <v>7140</v>
      </c>
      <c r="Q241" s="7" t="s">
        <v>7141</v>
      </c>
      <c r="R241" s="7" t="s">
        <v>7143</v>
      </c>
      <c r="S241" s="7">
        <v>35</v>
      </c>
      <c r="T241" s="7" t="s">
        <v>7143</v>
      </c>
      <c r="U241" s="7" t="s">
        <v>7143</v>
      </c>
      <c r="Y241" s="2">
        <v>345</v>
      </c>
      <c r="Z241" s="17">
        <v>0.98550000000000004</v>
      </c>
      <c r="AA241" s="2">
        <v>340</v>
      </c>
      <c r="AB241" s="2">
        <v>340</v>
      </c>
      <c r="AC241" s="7">
        <v>340</v>
      </c>
      <c r="AD241" s="2">
        <v>400</v>
      </c>
      <c r="AE241" s="2">
        <v>60</v>
      </c>
      <c r="AF241" s="2" t="s">
        <v>7143</v>
      </c>
      <c r="AG241" s="2" t="s">
        <v>7143</v>
      </c>
      <c r="AH241" s="2" t="s">
        <v>7143</v>
      </c>
      <c r="AJ241" s="2" t="s">
        <v>7143</v>
      </c>
      <c r="AK241" s="2" t="s">
        <v>7143</v>
      </c>
      <c r="AL241" s="2" t="s">
        <v>7143</v>
      </c>
      <c r="AM241" s="2" t="s">
        <v>7142</v>
      </c>
      <c r="AN241" s="2" t="s">
        <v>7143</v>
      </c>
      <c r="AO241" s="2" t="s">
        <v>7143</v>
      </c>
      <c r="AR241" s="7">
        <v>1</v>
      </c>
      <c r="AS241" s="7">
        <v>2</v>
      </c>
      <c r="AT241" s="7">
        <v>4</v>
      </c>
      <c r="AU241" s="2" t="s">
        <v>7144</v>
      </c>
      <c r="AV241" s="2" t="s">
        <v>7144</v>
      </c>
      <c r="AW241" s="2" t="s">
        <v>7143</v>
      </c>
      <c r="AZ241" s="2" t="s">
        <v>7286</v>
      </c>
      <c r="BB241" s="2" t="s">
        <v>7214</v>
      </c>
      <c r="BC241" s="2" t="s">
        <v>7147</v>
      </c>
      <c r="BD241" s="2" t="s">
        <v>7142</v>
      </c>
      <c r="BE241" s="2" t="s">
        <v>7142</v>
      </c>
      <c r="BF241" s="2" t="s">
        <v>7148</v>
      </c>
      <c r="BG241" s="2" t="s">
        <v>7232</v>
      </c>
      <c r="BH241" s="2" t="s">
        <v>7233</v>
      </c>
      <c r="BI241" s="2" t="s">
        <v>7151</v>
      </c>
      <c r="BL241" s="2" t="s">
        <v>7152</v>
      </c>
      <c r="BM241" s="2" t="s">
        <v>7153</v>
      </c>
      <c r="BN241" s="2" t="s">
        <v>7154</v>
      </c>
      <c r="BO241" s="2" t="s">
        <v>7155</v>
      </c>
      <c r="BQ241" s="2" t="s">
        <v>7183</v>
      </c>
      <c r="BS241" s="2" t="s">
        <v>7142</v>
      </c>
      <c r="BT241" s="2" t="s">
        <v>7157</v>
      </c>
      <c r="BV241" s="2" t="s">
        <v>7363</v>
      </c>
      <c r="BX241" s="2" t="s">
        <v>7143</v>
      </c>
      <c r="BY241" s="2" t="s">
        <v>1740</v>
      </c>
      <c r="BZ241" s="2" t="s">
        <v>7159</v>
      </c>
      <c r="CE241" s="7">
        <v>4</v>
      </c>
      <c r="CF241" s="2">
        <v>400</v>
      </c>
      <c r="CK241" s="2">
        <v>100</v>
      </c>
      <c r="CP241" s="2">
        <v>100</v>
      </c>
      <c r="CR241" s="2" t="s">
        <v>7160</v>
      </c>
      <c r="CT241" s="2" t="s">
        <v>7143</v>
      </c>
      <c r="CU241" s="2" t="s">
        <v>7161</v>
      </c>
      <c r="CW241" s="2" t="s">
        <v>7162</v>
      </c>
      <c r="CY241" s="2" t="s">
        <v>7163</v>
      </c>
      <c r="CZ241" s="2" t="s">
        <v>7250</v>
      </c>
      <c r="DA241" s="2" t="s">
        <v>7250</v>
      </c>
      <c r="DB241" s="2" t="s">
        <v>7250</v>
      </c>
      <c r="DC241" s="2" t="s">
        <v>7250</v>
      </c>
      <c r="DD241" s="2" t="s">
        <v>7250</v>
      </c>
      <c r="DE241" s="2" t="s">
        <v>7250</v>
      </c>
      <c r="DF241" s="2" t="s">
        <v>7250</v>
      </c>
      <c r="DG241" s="2" t="s">
        <v>7250</v>
      </c>
      <c r="DH241" s="2" t="s">
        <v>7250</v>
      </c>
      <c r="DI241" s="2" t="s">
        <v>7250</v>
      </c>
      <c r="DL241" s="2" t="s">
        <v>7143</v>
      </c>
      <c r="DM241" s="2" t="s">
        <v>7143</v>
      </c>
      <c r="DP241" s="2" t="s">
        <v>7159</v>
      </c>
      <c r="DT241" s="2" t="s">
        <v>7159</v>
      </c>
      <c r="DU241" s="2" t="s">
        <v>7159</v>
      </c>
      <c r="DV241" s="2" t="s">
        <v>7159</v>
      </c>
      <c r="DW241" s="2" t="s">
        <v>7159</v>
      </c>
      <c r="DX241" s="2" t="s">
        <v>7159</v>
      </c>
      <c r="DY241" s="2" t="s">
        <v>7159</v>
      </c>
      <c r="DZ241" s="2" t="s">
        <v>7159</v>
      </c>
      <c r="EA241" s="2" t="s">
        <v>7159</v>
      </c>
      <c r="EB241" s="2" t="s">
        <v>7159</v>
      </c>
      <c r="EC241" s="2" t="s">
        <v>7159</v>
      </c>
      <c r="ED241" s="2" t="s">
        <v>7159</v>
      </c>
      <c r="EE241" s="2" t="s">
        <v>1741</v>
      </c>
      <c r="EF241" s="2" t="s">
        <v>7252</v>
      </c>
      <c r="EG241" s="2" t="s">
        <v>1742</v>
      </c>
      <c r="EJ241" s="2" t="s">
        <v>7193</v>
      </c>
      <c r="EK241" s="2" t="s">
        <v>7143</v>
      </c>
      <c r="EL241" s="2" t="s">
        <v>7143</v>
      </c>
      <c r="EN241" s="2" t="s">
        <v>7210</v>
      </c>
      <c r="EP241" s="2" t="s">
        <v>7186</v>
      </c>
      <c r="ER241" s="2" t="s">
        <v>7143</v>
      </c>
      <c r="ET241" s="2" t="s">
        <v>7143</v>
      </c>
      <c r="EV241" s="2" t="s">
        <v>7143</v>
      </c>
      <c r="EX241" s="2" t="s">
        <v>7143</v>
      </c>
      <c r="EZ241" s="2" t="s">
        <v>7143</v>
      </c>
      <c r="FC241" s="2" t="s">
        <v>7172</v>
      </c>
      <c r="FD241" s="2" t="s">
        <v>7143</v>
      </c>
      <c r="FH241" s="2" t="s">
        <v>7173</v>
      </c>
      <c r="FJ241" s="2" t="s">
        <v>7143</v>
      </c>
      <c r="FK241" s="2" t="s">
        <v>7159</v>
      </c>
      <c r="FR241" s="2" t="s">
        <v>1743</v>
      </c>
      <c r="FT241" s="2" t="s">
        <v>7189</v>
      </c>
      <c r="FU241" s="2" t="s">
        <v>7189</v>
      </c>
      <c r="FV241" s="2" t="s">
        <v>7189</v>
      </c>
      <c r="FW241" s="2" t="s">
        <v>7189</v>
      </c>
      <c r="FX241" s="2" t="s">
        <v>7189</v>
      </c>
      <c r="FY241" s="2" t="s">
        <v>1744</v>
      </c>
      <c r="FZ241" s="16" t="s">
        <v>8041</v>
      </c>
    </row>
    <row r="242" spans="1:182">
      <c r="A242" s="7" t="s">
        <v>1745</v>
      </c>
      <c r="D242" s="7" t="s">
        <v>8042</v>
      </c>
      <c r="E242" s="7" t="s">
        <v>1746</v>
      </c>
      <c r="F242" s="7" t="s">
        <v>7389</v>
      </c>
      <c r="G242" s="7" t="s">
        <v>7981</v>
      </c>
      <c r="H242" s="2" t="s">
        <v>1659</v>
      </c>
      <c r="I242" s="7" t="s">
        <v>1747</v>
      </c>
      <c r="J242" s="16" t="s">
        <v>8043</v>
      </c>
      <c r="K242" s="7" t="s">
        <v>1748</v>
      </c>
      <c r="L242" s="2" t="s">
        <v>7137</v>
      </c>
      <c r="M242" s="7" t="s">
        <v>7179</v>
      </c>
      <c r="N242" s="7">
        <v>1974</v>
      </c>
      <c r="O242" s="7" t="s">
        <v>7180</v>
      </c>
      <c r="P242" s="7" t="s">
        <v>7181</v>
      </c>
      <c r="Q242" s="2" t="s">
        <v>7141</v>
      </c>
      <c r="R242" s="2" t="s">
        <v>7143</v>
      </c>
      <c r="S242" s="2">
        <v>27</v>
      </c>
      <c r="T242" s="2" t="s">
        <v>7143</v>
      </c>
      <c r="U242" s="2" t="s">
        <v>7143</v>
      </c>
      <c r="Y242" s="2">
        <v>430</v>
      </c>
      <c r="Z242" s="17">
        <v>1</v>
      </c>
      <c r="AA242" s="2">
        <v>430</v>
      </c>
      <c r="AB242" s="2">
        <v>430</v>
      </c>
      <c r="AC242" s="7">
        <v>430</v>
      </c>
      <c r="AD242" s="2">
        <v>530</v>
      </c>
      <c r="AE242" s="2">
        <v>100</v>
      </c>
      <c r="AF242" s="2" t="s">
        <v>7143</v>
      </c>
      <c r="AG242" s="2" t="s">
        <v>7143</v>
      </c>
      <c r="AH242" s="2" t="s">
        <v>7143</v>
      </c>
      <c r="AJ242" s="2" t="s">
        <v>7143</v>
      </c>
      <c r="AK242" s="2" t="s">
        <v>7143</v>
      </c>
      <c r="AL242" s="2" t="s">
        <v>7143</v>
      </c>
      <c r="AM242" s="2" t="s">
        <v>7143</v>
      </c>
      <c r="AN242" s="2" t="s">
        <v>7143</v>
      </c>
      <c r="AO242" s="2" t="s">
        <v>7143</v>
      </c>
      <c r="AR242" s="7">
        <v>1.5</v>
      </c>
      <c r="AS242" s="7">
        <v>2</v>
      </c>
      <c r="AT242" s="7">
        <v>6</v>
      </c>
      <c r="AU242" s="2" t="s">
        <v>7217</v>
      </c>
      <c r="AV242" s="2" t="s">
        <v>7193</v>
      </c>
      <c r="AW242" s="2" t="s">
        <v>7143</v>
      </c>
      <c r="AZ242" s="2" t="s">
        <v>7145</v>
      </c>
      <c r="BB242" s="2" t="s">
        <v>7214</v>
      </c>
      <c r="BC242" s="2" t="s">
        <v>7247</v>
      </c>
      <c r="BD242" s="2" t="s">
        <v>7142</v>
      </c>
      <c r="BE242" s="2" t="s">
        <v>7142</v>
      </c>
      <c r="BF242" s="2" t="s">
        <v>7148</v>
      </c>
      <c r="BG242" s="2" t="s">
        <v>7149</v>
      </c>
      <c r="BH242" s="2" t="s">
        <v>7248</v>
      </c>
      <c r="BI242" s="2" t="s">
        <v>7151</v>
      </c>
      <c r="BL242" s="2" t="s">
        <v>7152</v>
      </c>
      <c r="BM242" s="2" t="s">
        <v>7355</v>
      </c>
      <c r="BN242" s="2" t="s">
        <v>7154</v>
      </c>
      <c r="BO242" s="2" t="s">
        <v>7274</v>
      </c>
      <c r="BP242" s="2" t="s">
        <v>8044</v>
      </c>
      <c r="BS242" s="2" t="s">
        <v>7143</v>
      </c>
      <c r="BT242" s="2" t="s">
        <v>7416</v>
      </c>
      <c r="BV242" s="2" t="s">
        <v>7304</v>
      </c>
      <c r="BX242" s="2" t="s">
        <v>7143</v>
      </c>
      <c r="BZ242" s="2" t="s">
        <v>7173</v>
      </c>
      <c r="CE242" s="7">
        <v>6</v>
      </c>
      <c r="CF242" s="2">
        <v>530</v>
      </c>
      <c r="CK242" s="2">
        <v>100</v>
      </c>
      <c r="CO242" s="2">
        <v>100</v>
      </c>
      <c r="CR242" s="2" t="s">
        <v>7160</v>
      </c>
      <c r="CT242" s="2" t="s">
        <v>7143</v>
      </c>
      <c r="CU242" s="2" t="s">
        <v>7234</v>
      </c>
      <c r="CW242" s="2" t="s">
        <v>7162</v>
      </c>
      <c r="CY242" s="2" t="s">
        <v>7163</v>
      </c>
      <c r="CZ242" s="2" t="s">
        <v>7250</v>
      </c>
      <c r="DA242" s="2" t="s">
        <v>7250</v>
      </c>
      <c r="DB242" s="2" t="s">
        <v>7250</v>
      </c>
      <c r="DC242" s="2" t="s">
        <v>7321</v>
      </c>
      <c r="DD242" s="2" t="s">
        <v>7250</v>
      </c>
      <c r="DE242" s="2" t="s">
        <v>7250</v>
      </c>
      <c r="DF242" s="2" t="s">
        <v>7250</v>
      </c>
      <c r="DG242" s="2" t="s">
        <v>7250</v>
      </c>
      <c r="DH242" s="2" t="s">
        <v>7250</v>
      </c>
      <c r="DI242" s="2" t="s">
        <v>7250</v>
      </c>
      <c r="DL242" s="2" t="s">
        <v>7143</v>
      </c>
      <c r="DM242" s="2" t="s">
        <v>7143</v>
      </c>
      <c r="DP242" s="2" t="s">
        <v>7159</v>
      </c>
      <c r="DT242" s="2" t="s">
        <v>7159</v>
      </c>
      <c r="DU242" s="2" t="s">
        <v>7159</v>
      </c>
      <c r="DV242" s="2" t="s">
        <v>7159</v>
      </c>
      <c r="DW242" s="2" t="s">
        <v>7159</v>
      </c>
      <c r="DX242" s="2" t="s">
        <v>7159</v>
      </c>
      <c r="DY242" s="2" t="s">
        <v>7159</v>
      </c>
      <c r="DZ242" s="2" t="s">
        <v>7159</v>
      </c>
      <c r="EA242" s="2" t="s">
        <v>7159</v>
      </c>
      <c r="EB242" s="2" t="s">
        <v>7159</v>
      </c>
      <c r="EC242" s="2" t="s">
        <v>7159</v>
      </c>
      <c r="EF242" s="2" t="s">
        <v>7221</v>
      </c>
      <c r="EG242" s="2" t="s">
        <v>1750</v>
      </c>
      <c r="EJ242" s="2" t="s">
        <v>7217</v>
      </c>
      <c r="EK242" s="2" t="s">
        <v>7143</v>
      </c>
      <c r="EL242" s="2" t="s">
        <v>7143</v>
      </c>
      <c r="EN242" s="2" t="s">
        <v>7210</v>
      </c>
      <c r="EP242" s="2" t="s">
        <v>7186</v>
      </c>
      <c r="ER242" s="2" t="s">
        <v>7143</v>
      </c>
      <c r="ET242" s="2" t="s">
        <v>7143</v>
      </c>
      <c r="EV242" s="2" t="s">
        <v>7143</v>
      </c>
      <c r="EX242" s="2" t="s">
        <v>7143</v>
      </c>
      <c r="EZ242" s="2" t="s">
        <v>7143</v>
      </c>
      <c r="FC242" s="2" t="s">
        <v>7218</v>
      </c>
      <c r="FD242" s="2" t="s">
        <v>7143</v>
      </c>
      <c r="FH242" s="2" t="s">
        <v>7173</v>
      </c>
      <c r="FJ242" s="2" t="s">
        <v>7143</v>
      </c>
      <c r="FK242" s="2" t="s">
        <v>7173</v>
      </c>
      <c r="FN242" s="2" t="s">
        <v>8045</v>
      </c>
      <c r="FR242" s="2" t="s">
        <v>1752</v>
      </c>
      <c r="FT242" s="2" t="s">
        <v>7176</v>
      </c>
      <c r="FU242" s="2" t="s">
        <v>7189</v>
      </c>
      <c r="FV242" s="2" t="s">
        <v>7176</v>
      </c>
      <c r="FW242" s="2" t="s">
        <v>7189</v>
      </c>
      <c r="FZ242" s="16" t="s">
        <v>8046</v>
      </c>
    </row>
    <row r="243" spans="1:182">
      <c r="A243" s="7" t="s">
        <v>1753</v>
      </c>
      <c r="D243" s="7" t="s">
        <v>8047</v>
      </c>
      <c r="E243" s="7" t="s">
        <v>1754</v>
      </c>
      <c r="F243" s="7" t="s">
        <v>7339</v>
      </c>
      <c r="G243" s="7" t="s">
        <v>7981</v>
      </c>
      <c r="H243" s="7" t="s">
        <v>1650</v>
      </c>
      <c r="I243" s="7" t="s">
        <v>1755</v>
      </c>
      <c r="J243" s="16" t="s">
        <v>8048</v>
      </c>
      <c r="K243" s="7" t="s">
        <v>1756</v>
      </c>
      <c r="L243" s="2" t="s">
        <v>7137</v>
      </c>
      <c r="M243" s="7" t="s">
        <v>7179</v>
      </c>
      <c r="N243" s="7">
        <v>1983</v>
      </c>
      <c r="O243" s="7" t="s">
        <v>7180</v>
      </c>
      <c r="P243" s="2" t="s">
        <v>7140</v>
      </c>
      <c r="Q243" s="2" t="s">
        <v>7141</v>
      </c>
      <c r="R243" s="2" t="s">
        <v>7143</v>
      </c>
      <c r="S243" s="2">
        <v>28</v>
      </c>
      <c r="T243" s="2" t="s">
        <v>7143</v>
      </c>
      <c r="U243" s="2" t="s">
        <v>7143</v>
      </c>
      <c r="Y243" s="2">
        <v>281</v>
      </c>
      <c r="Z243" s="17">
        <v>1</v>
      </c>
      <c r="AA243" s="2">
        <v>281</v>
      </c>
      <c r="AC243" s="7">
        <v>381</v>
      </c>
      <c r="AD243" s="2">
        <v>539</v>
      </c>
      <c r="AE243" s="2">
        <v>158</v>
      </c>
      <c r="AF243" s="2" t="s">
        <v>7143</v>
      </c>
      <c r="AG243" s="2" t="s">
        <v>7143</v>
      </c>
      <c r="AH243" s="2" t="s">
        <v>7143</v>
      </c>
      <c r="AJ243" s="2" t="s">
        <v>7143</v>
      </c>
      <c r="AK243" s="2" t="s">
        <v>7143</v>
      </c>
      <c r="AL243" s="2" t="s">
        <v>7143</v>
      </c>
      <c r="AM243" s="2" t="s">
        <v>7143</v>
      </c>
      <c r="AN243" s="2" t="s">
        <v>7143</v>
      </c>
      <c r="AO243" s="2" t="s">
        <v>7143</v>
      </c>
      <c r="AR243" s="7">
        <v>2</v>
      </c>
      <c r="AS243" s="7">
        <v>1</v>
      </c>
      <c r="AT243" s="7">
        <v>5.5</v>
      </c>
      <c r="AU243" s="2" t="s">
        <v>7193</v>
      </c>
      <c r="AV243" s="2" t="s">
        <v>7193</v>
      </c>
      <c r="AW243" s="2" t="s">
        <v>7143</v>
      </c>
      <c r="AZ243" s="2" t="s">
        <v>7145</v>
      </c>
      <c r="BB243" s="2" t="s">
        <v>7214</v>
      </c>
      <c r="BC243" s="2" t="s">
        <v>7247</v>
      </c>
      <c r="BD243" s="2" t="s">
        <v>7143</v>
      </c>
      <c r="BE243" s="2" t="s">
        <v>7142</v>
      </c>
      <c r="BF243" s="2" t="s">
        <v>7148</v>
      </c>
      <c r="BG243" s="2" t="s">
        <v>7232</v>
      </c>
      <c r="BH243" s="2" t="s">
        <v>7150</v>
      </c>
      <c r="BI243" s="2" t="s">
        <v>7151</v>
      </c>
      <c r="BL243" s="2" t="s">
        <v>7152</v>
      </c>
      <c r="BM243" s="2" t="s">
        <v>7153</v>
      </c>
      <c r="BN243" s="2" t="s">
        <v>7154</v>
      </c>
      <c r="BO243" s="2" t="s">
        <v>7155</v>
      </c>
      <c r="BQ243" s="2" t="s">
        <v>7183</v>
      </c>
      <c r="BS243" s="2" t="s">
        <v>7142</v>
      </c>
      <c r="BT243" s="2" t="s">
        <v>7400</v>
      </c>
      <c r="BV243" s="2" t="s">
        <v>7966</v>
      </c>
      <c r="BX243" s="2" t="s">
        <v>7142</v>
      </c>
      <c r="BY243" s="2" t="s">
        <v>1757</v>
      </c>
      <c r="BZ243" s="2" t="s">
        <v>7165</v>
      </c>
      <c r="CA243" s="2" t="s">
        <v>1758</v>
      </c>
      <c r="CE243" s="7">
        <v>5.5</v>
      </c>
      <c r="CF243" s="2">
        <v>539</v>
      </c>
      <c r="CL243" s="2">
        <v>100</v>
      </c>
      <c r="CO243" s="2">
        <v>100</v>
      </c>
      <c r="CR243" s="2" t="s">
        <v>7357</v>
      </c>
      <c r="CT243" s="2" t="s">
        <v>7143</v>
      </c>
      <c r="CU243" s="2" t="s">
        <v>7203</v>
      </c>
      <c r="CW243" s="2" t="s">
        <v>7162</v>
      </c>
      <c r="CY243" s="2" t="s">
        <v>7227</v>
      </c>
      <c r="CZ243" s="2" t="s">
        <v>7227</v>
      </c>
      <c r="DA243" s="2" t="s">
        <v>7249</v>
      </c>
      <c r="DB243" s="2" t="s">
        <v>7227</v>
      </c>
      <c r="DC243" s="2" t="s">
        <v>7250</v>
      </c>
      <c r="DD243" s="2" t="s">
        <v>7250</v>
      </c>
      <c r="DE243" s="2" t="s">
        <v>7250</v>
      </c>
      <c r="DF243" s="2" t="s">
        <v>7227</v>
      </c>
      <c r="DG243" s="2" t="s">
        <v>7227</v>
      </c>
      <c r="DH243" s="2" t="s">
        <v>7227</v>
      </c>
      <c r="DI243" s="2" t="s">
        <v>7227</v>
      </c>
      <c r="DL243" s="2" t="s">
        <v>7142</v>
      </c>
      <c r="DM243" s="2" t="s">
        <v>7142</v>
      </c>
      <c r="DN243" s="2" t="s">
        <v>7142</v>
      </c>
      <c r="DO243" s="2" t="s">
        <v>7142</v>
      </c>
      <c r="DP243" s="2" t="s">
        <v>7165</v>
      </c>
      <c r="DQ243" s="2" t="s">
        <v>7333</v>
      </c>
      <c r="DR243" s="2" t="s">
        <v>1759</v>
      </c>
      <c r="DT243" s="2" t="s">
        <v>7165</v>
      </c>
      <c r="DU243" s="2" t="s">
        <v>7165</v>
      </c>
      <c r="DV243" s="2" t="s">
        <v>7165</v>
      </c>
      <c r="DW243" s="2" t="s">
        <v>7165</v>
      </c>
      <c r="DX243" s="2" t="s">
        <v>7165</v>
      </c>
      <c r="DY243" s="2" t="s">
        <v>7159</v>
      </c>
      <c r="DZ243" s="2" t="s">
        <v>7159</v>
      </c>
      <c r="EA243" s="2" t="s">
        <v>7159</v>
      </c>
      <c r="EB243" s="2" t="s">
        <v>7165</v>
      </c>
      <c r="EF243" s="2" t="s">
        <v>7221</v>
      </c>
      <c r="EG243" s="2" t="s">
        <v>1760</v>
      </c>
      <c r="EJ243" s="2" t="s">
        <v>7193</v>
      </c>
      <c r="EK243" s="2" t="s">
        <v>7142</v>
      </c>
      <c r="EL243" s="2" t="s">
        <v>7143</v>
      </c>
      <c r="EN243" s="2" t="s">
        <v>7170</v>
      </c>
      <c r="EP243" s="2" t="s">
        <v>7186</v>
      </c>
      <c r="ER243" s="2" t="s">
        <v>7142</v>
      </c>
      <c r="ET243" s="2" t="s">
        <v>7143</v>
      </c>
      <c r="EV243" s="2" t="s">
        <v>7142</v>
      </c>
      <c r="EW243" s="2" t="s">
        <v>7204</v>
      </c>
      <c r="EX243" s="2" t="s">
        <v>7143</v>
      </c>
      <c r="EZ243" s="2" t="s">
        <v>7143</v>
      </c>
      <c r="FC243" s="2" t="s">
        <v>7309</v>
      </c>
      <c r="FD243" s="2" t="s">
        <v>7142</v>
      </c>
      <c r="FE243" s="2" t="s">
        <v>7171</v>
      </c>
      <c r="FH243" s="2" t="s">
        <v>7173</v>
      </c>
      <c r="FJ243" s="2" t="s">
        <v>7143</v>
      </c>
      <c r="FK243" s="2" t="s">
        <v>7173</v>
      </c>
      <c r="FN243" s="2" t="s">
        <v>7344</v>
      </c>
      <c r="FR243" s="2" t="s">
        <v>1761</v>
      </c>
      <c r="FT243" s="2" t="s">
        <v>7189</v>
      </c>
      <c r="FU243" s="2" t="s">
        <v>7189</v>
      </c>
      <c r="FV243" s="2" t="s">
        <v>7189</v>
      </c>
      <c r="FW243" s="2" t="s">
        <v>7189</v>
      </c>
      <c r="FX243" s="2" t="s">
        <v>7189</v>
      </c>
      <c r="FZ243" s="19" t="s">
        <v>8049</v>
      </c>
    </row>
    <row r="244" spans="1:182">
      <c r="A244" s="7" t="s">
        <v>1762</v>
      </c>
      <c r="D244" s="7" t="s">
        <v>8050</v>
      </c>
      <c r="E244" s="7" t="s">
        <v>1763</v>
      </c>
      <c r="F244" s="7" t="s">
        <v>7319</v>
      </c>
      <c r="G244" s="7" t="s">
        <v>7981</v>
      </c>
      <c r="H244" s="7" t="s">
        <v>1668</v>
      </c>
      <c r="I244" s="7" t="s">
        <v>1764</v>
      </c>
      <c r="J244" s="16" t="s">
        <v>8051</v>
      </c>
      <c r="K244" s="7" t="s">
        <v>1764</v>
      </c>
      <c r="L244" s="7" t="s">
        <v>7137</v>
      </c>
      <c r="M244" s="7" t="s">
        <v>7138</v>
      </c>
      <c r="N244" s="7">
        <v>1984</v>
      </c>
      <c r="O244" s="7" t="s">
        <v>7180</v>
      </c>
      <c r="P244" s="7" t="s">
        <v>7140</v>
      </c>
      <c r="Q244" s="7" t="s">
        <v>7182</v>
      </c>
      <c r="R244" s="7" t="s">
        <v>7143</v>
      </c>
      <c r="S244" s="2">
        <v>30</v>
      </c>
      <c r="T244" s="2" t="s">
        <v>7143</v>
      </c>
      <c r="U244" s="2" t="s">
        <v>7143</v>
      </c>
      <c r="Y244" s="2">
        <v>370</v>
      </c>
      <c r="Z244" s="17">
        <v>0.89190000000000003</v>
      </c>
      <c r="AA244" s="2">
        <v>330</v>
      </c>
      <c r="AB244" s="2">
        <v>330</v>
      </c>
      <c r="AC244" s="7">
        <v>330</v>
      </c>
      <c r="AD244" s="2">
        <v>400</v>
      </c>
      <c r="AE244" s="2">
        <v>70</v>
      </c>
      <c r="AF244" s="2" t="s">
        <v>7143</v>
      </c>
      <c r="AG244" s="2" t="s">
        <v>7143</v>
      </c>
      <c r="AH244" s="2" t="s">
        <v>7143</v>
      </c>
      <c r="AJ244" s="2" t="s">
        <v>7143</v>
      </c>
      <c r="AK244" s="2" t="s">
        <v>7143</v>
      </c>
      <c r="AL244" s="2" t="s">
        <v>7143</v>
      </c>
      <c r="AM244" s="2" t="s">
        <v>7142</v>
      </c>
      <c r="AN244" s="2" t="s">
        <v>7143</v>
      </c>
      <c r="AO244" s="2" t="s">
        <v>7143</v>
      </c>
      <c r="AR244" s="7">
        <v>1</v>
      </c>
      <c r="AS244" s="7">
        <v>1</v>
      </c>
      <c r="AT244" s="7">
        <v>4</v>
      </c>
      <c r="AU244" s="2" t="s">
        <v>7193</v>
      </c>
      <c r="AV244" s="2" t="s">
        <v>7193</v>
      </c>
      <c r="AW244" s="2" t="s">
        <v>7143</v>
      </c>
      <c r="AZ244" s="2" t="s">
        <v>7286</v>
      </c>
      <c r="BB244" s="2" t="s">
        <v>7214</v>
      </c>
      <c r="BC244" s="2" t="s">
        <v>7208</v>
      </c>
      <c r="BD244" s="2" t="s">
        <v>7143</v>
      </c>
      <c r="BE244" s="2" t="s">
        <v>7143</v>
      </c>
      <c r="BL244" s="2" t="s">
        <v>7152</v>
      </c>
      <c r="BM244" s="2" t="s">
        <v>7153</v>
      </c>
      <c r="BN244" s="2" t="s">
        <v>7154</v>
      </c>
      <c r="BO244" s="2" t="s">
        <v>7155</v>
      </c>
      <c r="BQ244" s="2" t="s">
        <v>7156</v>
      </c>
      <c r="BS244" s="2" t="s">
        <v>7142</v>
      </c>
      <c r="BT244" s="2" t="s">
        <v>7341</v>
      </c>
      <c r="BV244" s="2" t="s">
        <v>7363</v>
      </c>
      <c r="BX244" s="2" t="s">
        <v>7143</v>
      </c>
      <c r="BZ244" s="2" t="s">
        <v>7173</v>
      </c>
      <c r="CE244" s="7">
        <v>4</v>
      </c>
      <c r="CF244" s="2">
        <v>400</v>
      </c>
      <c r="CK244" s="2">
        <v>30</v>
      </c>
      <c r="CM244" s="2">
        <v>70</v>
      </c>
      <c r="CO244" s="2">
        <v>100</v>
      </c>
      <c r="CR244" s="2" t="s">
        <v>7160</v>
      </c>
      <c r="CT244" s="2" t="s">
        <v>7143</v>
      </c>
      <c r="CU244" s="2" t="s">
        <v>7996</v>
      </c>
      <c r="CW244" s="2" t="s">
        <v>7162</v>
      </c>
      <c r="CY244" s="2" t="s">
        <v>7163</v>
      </c>
      <c r="CZ244" s="2" t="s">
        <v>7163</v>
      </c>
      <c r="DA244" s="2" t="s">
        <v>7250</v>
      </c>
      <c r="DB244" s="2" t="s">
        <v>7250</v>
      </c>
      <c r="DC244" s="2" t="s">
        <v>7250</v>
      </c>
      <c r="DD244" s="2" t="s">
        <v>7321</v>
      </c>
      <c r="DE244" s="2" t="s">
        <v>7250</v>
      </c>
      <c r="DF244" s="2" t="s">
        <v>7163</v>
      </c>
      <c r="DG244" s="2" t="s">
        <v>7163</v>
      </c>
      <c r="DH244" s="2" t="s">
        <v>7321</v>
      </c>
      <c r="DI244" s="2" t="s">
        <v>7321</v>
      </c>
      <c r="DL244" s="2" t="s">
        <v>7142</v>
      </c>
      <c r="DM244" s="2" t="s">
        <v>7142</v>
      </c>
      <c r="DN244" s="2" t="s">
        <v>7142</v>
      </c>
      <c r="DO244" s="2" t="s">
        <v>7142</v>
      </c>
      <c r="DP244" s="2" t="s">
        <v>7165</v>
      </c>
      <c r="DQ244" s="2" t="s">
        <v>7333</v>
      </c>
      <c r="DR244" s="2" t="s">
        <v>1765</v>
      </c>
      <c r="DT244" s="2" t="s">
        <v>7165</v>
      </c>
      <c r="DU244" s="2" t="s">
        <v>7165</v>
      </c>
      <c r="DV244" s="2" t="s">
        <v>7165</v>
      </c>
      <c r="DW244" s="2" t="s">
        <v>7165</v>
      </c>
      <c r="DX244" s="2" t="s">
        <v>7165</v>
      </c>
      <c r="DY244" s="2" t="s">
        <v>7165</v>
      </c>
      <c r="DZ244" s="2" t="s">
        <v>7159</v>
      </c>
      <c r="EA244" s="2" t="s">
        <v>7165</v>
      </c>
      <c r="EB244" s="2" t="s">
        <v>7165</v>
      </c>
      <c r="EC244" s="2" t="s">
        <v>7173</v>
      </c>
      <c r="EF244" s="2" t="s">
        <v>7221</v>
      </c>
      <c r="EJ244" s="2" t="s">
        <v>7193</v>
      </c>
      <c r="EK244" s="2" t="s">
        <v>7142</v>
      </c>
      <c r="EL244" s="2" t="s">
        <v>7143</v>
      </c>
      <c r="EN244" s="2" t="s">
        <v>7170</v>
      </c>
      <c r="EP244" s="2" t="s">
        <v>7186</v>
      </c>
      <c r="ER244" s="2" t="s">
        <v>7143</v>
      </c>
      <c r="ET244" s="2" t="s">
        <v>7143</v>
      </c>
      <c r="EV244" s="2" t="s">
        <v>7142</v>
      </c>
      <c r="EW244" s="2" t="s">
        <v>7700</v>
      </c>
      <c r="EX244" s="2" t="s">
        <v>7143</v>
      </c>
      <c r="EZ244" s="2" t="s">
        <v>7143</v>
      </c>
      <c r="FC244" s="2" t="s">
        <v>7218</v>
      </c>
      <c r="FD244" s="2" t="s">
        <v>7143</v>
      </c>
      <c r="FH244" s="2" t="s">
        <v>7173</v>
      </c>
      <c r="FJ244" s="2" t="s">
        <v>7143</v>
      </c>
      <c r="FK244" s="2" t="s">
        <v>7173</v>
      </c>
      <c r="FR244" s="2" t="s">
        <v>1766</v>
      </c>
      <c r="FT244" s="2" t="s">
        <v>7176</v>
      </c>
      <c r="FU244" s="2" t="s">
        <v>7176</v>
      </c>
      <c r="FV244" s="2" t="s">
        <v>7189</v>
      </c>
      <c r="FW244" s="2" t="s">
        <v>7189</v>
      </c>
      <c r="FZ244" s="19" t="s">
        <v>8052</v>
      </c>
    </row>
    <row r="245" spans="1:182">
      <c r="A245" s="7" t="s">
        <v>1767</v>
      </c>
      <c r="D245" s="7" t="s">
        <v>8053</v>
      </c>
      <c r="E245" s="7" t="s">
        <v>177</v>
      </c>
      <c r="F245" s="7" t="s">
        <v>7245</v>
      </c>
      <c r="G245" s="7" t="s">
        <v>7981</v>
      </c>
      <c r="H245" s="7" t="s">
        <v>1659</v>
      </c>
      <c r="I245" s="7" t="s">
        <v>1768</v>
      </c>
      <c r="J245" s="16" t="s">
        <v>8054</v>
      </c>
      <c r="K245" s="7" t="s">
        <v>1768</v>
      </c>
      <c r="L245" s="7" t="s">
        <v>7137</v>
      </c>
      <c r="M245" s="7" t="s">
        <v>7179</v>
      </c>
      <c r="N245" s="7">
        <v>1970</v>
      </c>
      <c r="O245" s="7" t="s">
        <v>7180</v>
      </c>
      <c r="P245" s="7" t="s">
        <v>7140</v>
      </c>
      <c r="Q245" s="7" t="s">
        <v>7141</v>
      </c>
      <c r="R245" s="2" t="s">
        <v>7143</v>
      </c>
      <c r="S245" s="7">
        <v>1997</v>
      </c>
      <c r="T245" s="7" t="s">
        <v>7143</v>
      </c>
      <c r="U245" s="7" t="s">
        <v>7143</v>
      </c>
      <c r="Y245" s="2">
        <v>820</v>
      </c>
      <c r="Z245" s="17">
        <v>0.97560000000000002</v>
      </c>
      <c r="AA245" s="2">
        <v>800</v>
      </c>
      <c r="AB245" s="2">
        <v>800</v>
      </c>
      <c r="AC245" s="7">
        <v>770</v>
      </c>
      <c r="AD245" s="2">
        <v>900</v>
      </c>
      <c r="AE245" s="2">
        <v>130</v>
      </c>
      <c r="AF245" s="2" t="s">
        <v>7143</v>
      </c>
      <c r="AG245" s="2" t="s">
        <v>7142</v>
      </c>
      <c r="AH245" s="2" t="s">
        <v>7142</v>
      </c>
      <c r="AI245" s="2" t="s">
        <v>1187</v>
      </c>
      <c r="AJ245" s="2" t="s">
        <v>7143</v>
      </c>
      <c r="AK245" s="2" t="s">
        <v>7143</v>
      </c>
      <c r="AL245" s="2" t="s">
        <v>7143</v>
      </c>
      <c r="AM245" s="2" t="s">
        <v>7142</v>
      </c>
      <c r="AN245" s="2" t="s">
        <v>7143</v>
      </c>
      <c r="AO245" s="2" t="s">
        <v>7143</v>
      </c>
      <c r="AR245" s="7">
        <v>2</v>
      </c>
      <c r="AS245" s="7">
        <v>2</v>
      </c>
      <c r="AT245" s="7">
        <v>9</v>
      </c>
      <c r="AU245" s="7" t="s">
        <v>7193</v>
      </c>
      <c r="AV245" s="7" t="s">
        <v>7193</v>
      </c>
      <c r="AW245" s="7" t="s">
        <v>7143</v>
      </c>
      <c r="AZ245" s="7" t="s">
        <v>7145</v>
      </c>
      <c r="BB245" s="7" t="s">
        <v>7214</v>
      </c>
      <c r="BC245" s="7" t="s">
        <v>7247</v>
      </c>
      <c r="BD245" s="7" t="s">
        <v>7142</v>
      </c>
      <c r="BE245" s="7" t="s">
        <v>7142</v>
      </c>
      <c r="BF245" s="7" t="s">
        <v>7148</v>
      </c>
      <c r="BG245" s="7" t="s">
        <v>7232</v>
      </c>
      <c r="BH245" s="7" t="s">
        <v>7150</v>
      </c>
      <c r="BI245" s="7" t="s">
        <v>7151</v>
      </c>
      <c r="BL245" s="7" t="s">
        <v>7152</v>
      </c>
      <c r="BM245" s="7" t="s">
        <v>7153</v>
      </c>
      <c r="BN245" s="7" t="s">
        <v>7154</v>
      </c>
      <c r="BO245" s="2" t="s">
        <v>7155</v>
      </c>
      <c r="BQ245" s="2" t="s">
        <v>7183</v>
      </c>
      <c r="BS245" s="2" t="s">
        <v>7142</v>
      </c>
      <c r="BT245" s="2" t="s">
        <v>7157</v>
      </c>
      <c r="BV245" s="2" t="s">
        <v>7304</v>
      </c>
      <c r="BX245" s="2" t="s">
        <v>7142</v>
      </c>
      <c r="BY245" s="2" t="s">
        <v>310</v>
      </c>
      <c r="BZ245" s="2" t="s">
        <v>7159</v>
      </c>
      <c r="CE245" s="7">
        <v>9</v>
      </c>
      <c r="CF245" s="2">
        <v>850</v>
      </c>
      <c r="CK245" s="2">
        <v>100</v>
      </c>
      <c r="CO245" s="2">
        <v>100</v>
      </c>
      <c r="CR245" s="7" t="s">
        <v>7276</v>
      </c>
      <c r="CT245" s="7" t="s">
        <v>7143</v>
      </c>
      <c r="CU245" s="7" t="s">
        <v>7161</v>
      </c>
      <c r="CW245" s="7" t="s">
        <v>7162</v>
      </c>
      <c r="CY245" s="2" t="s">
        <v>7163</v>
      </c>
      <c r="CZ245" s="2" t="s">
        <v>7163</v>
      </c>
      <c r="DA245" s="2" t="s">
        <v>7250</v>
      </c>
      <c r="DB245" s="2" t="s">
        <v>7251</v>
      </c>
      <c r="DC245" s="2" t="s">
        <v>7250</v>
      </c>
      <c r="DD245" s="2" t="s">
        <v>7251</v>
      </c>
      <c r="DE245" s="2" t="s">
        <v>7250</v>
      </c>
      <c r="DF245" s="2" t="s">
        <v>7163</v>
      </c>
      <c r="DG245" s="2" t="s">
        <v>7163</v>
      </c>
      <c r="DH245" s="2" t="s">
        <v>7163</v>
      </c>
      <c r="DI245" s="2" t="s">
        <v>7163</v>
      </c>
      <c r="DL245" s="2" t="s">
        <v>7142</v>
      </c>
      <c r="DM245" s="2" t="s">
        <v>7142</v>
      </c>
      <c r="DN245" s="2" t="s">
        <v>7142</v>
      </c>
      <c r="DO245" s="2" t="s">
        <v>7142</v>
      </c>
      <c r="DP245" s="2" t="s">
        <v>7165</v>
      </c>
      <c r="DQ245" s="2" t="s">
        <v>7166</v>
      </c>
      <c r="DT245" s="2" t="s">
        <v>7165</v>
      </c>
      <c r="DU245" s="2" t="s">
        <v>7165</v>
      </c>
      <c r="DV245" s="2" t="s">
        <v>7165</v>
      </c>
      <c r="DW245" s="2" t="s">
        <v>7165</v>
      </c>
      <c r="DX245" s="2" t="s">
        <v>7165</v>
      </c>
      <c r="DY245" s="2" t="s">
        <v>7159</v>
      </c>
      <c r="DZ245" s="2" t="s">
        <v>7159</v>
      </c>
      <c r="EA245" s="2" t="s">
        <v>7165</v>
      </c>
      <c r="EB245" s="2" t="s">
        <v>7165</v>
      </c>
      <c r="EC245" s="2" t="s">
        <v>7159</v>
      </c>
      <c r="EF245" s="2" t="s">
        <v>7167</v>
      </c>
      <c r="EJ245" s="7" t="s">
        <v>7217</v>
      </c>
      <c r="EK245" s="7" t="s">
        <v>7142</v>
      </c>
      <c r="EL245" s="7" t="s">
        <v>7143</v>
      </c>
      <c r="EN245" s="7" t="s">
        <v>7170</v>
      </c>
      <c r="EP245" s="7" t="s">
        <v>7186</v>
      </c>
      <c r="ER245" s="2" t="s">
        <v>7143</v>
      </c>
      <c r="ET245" s="2" t="s">
        <v>7143</v>
      </c>
      <c r="EV245" s="2" t="s">
        <v>7142</v>
      </c>
      <c r="EW245" s="2" t="s">
        <v>7204</v>
      </c>
      <c r="EX245" s="2" t="s">
        <v>7143</v>
      </c>
      <c r="FC245" s="2" t="s">
        <v>7172</v>
      </c>
      <c r="FD245" s="2" t="s">
        <v>7143</v>
      </c>
      <c r="FH245" s="7" t="s">
        <v>7173</v>
      </c>
      <c r="FJ245" s="7" t="s">
        <v>7142</v>
      </c>
      <c r="FK245" s="7" t="s">
        <v>7173</v>
      </c>
      <c r="FN245" s="2" t="s">
        <v>7283</v>
      </c>
      <c r="FT245" s="2" t="s">
        <v>7176</v>
      </c>
      <c r="FU245" s="2" t="s">
        <v>7189</v>
      </c>
      <c r="FV245" s="2" t="s">
        <v>7189</v>
      </c>
      <c r="FW245" s="2" t="s">
        <v>7189</v>
      </c>
      <c r="FZ245" s="19" t="s">
        <v>8055</v>
      </c>
    </row>
    <row r="246" spans="1:182">
      <c r="A246" s="7" t="s">
        <v>1769</v>
      </c>
      <c r="D246" s="7" t="s">
        <v>8056</v>
      </c>
      <c r="E246" s="7" t="s">
        <v>177</v>
      </c>
      <c r="F246" s="7" t="s">
        <v>7134</v>
      </c>
      <c r="G246" s="7" t="s">
        <v>7981</v>
      </c>
      <c r="H246" s="7" t="s">
        <v>1659</v>
      </c>
      <c r="I246" s="7" t="s">
        <v>1770</v>
      </c>
      <c r="J246" s="16" t="s">
        <v>8057</v>
      </c>
      <c r="K246" s="7" t="s">
        <v>1771</v>
      </c>
      <c r="L246" s="2" t="s">
        <v>7137</v>
      </c>
      <c r="M246" s="7" t="s">
        <v>7179</v>
      </c>
      <c r="N246" s="7">
        <v>1980</v>
      </c>
      <c r="O246" s="7" t="s">
        <v>7180</v>
      </c>
      <c r="P246" s="2" t="s">
        <v>7181</v>
      </c>
      <c r="Q246" s="2" t="s">
        <v>7141</v>
      </c>
      <c r="R246" s="2" t="s">
        <v>7143</v>
      </c>
      <c r="S246" s="2">
        <v>28</v>
      </c>
      <c r="T246" s="2" t="s">
        <v>7143</v>
      </c>
      <c r="U246" s="2" t="s">
        <v>7143</v>
      </c>
      <c r="Y246" s="2">
        <v>275</v>
      </c>
      <c r="Z246" s="17">
        <v>0.92730000000000001</v>
      </c>
      <c r="AA246" s="2">
        <v>255</v>
      </c>
      <c r="AB246" s="2">
        <v>255</v>
      </c>
      <c r="AC246" s="7">
        <v>255</v>
      </c>
      <c r="AD246" s="2">
        <v>340</v>
      </c>
      <c r="AE246" s="2">
        <v>85</v>
      </c>
      <c r="AF246" s="2" t="s">
        <v>7143</v>
      </c>
      <c r="AG246" s="2" t="s">
        <v>7143</v>
      </c>
      <c r="AH246" s="2" t="s">
        <v>7143</v>
      </c>
      <c r="AJ246" s="2" t="s">
        <v>7143</v>
      </c>
      <c r="AK246" s="2" t="s">
        <v>7143</v>
      </c>
      <c r="AL246" s="2" t="s">
        <v>7143</v>
      </c>
      <c r="AM246" s="2" t="s">
        <v>7142</v>
      </c>
      <c r="AN246" s="2" t="s">
        <v>7143</v>
      </c>
      <c r="AO246" s="2" t="s">
        <v>7143</v>
      </c>
      <c r="AR246" s="7">
        <v>1</v>
      </c>
      <c r="AS246" s="7">
        <v>1</v>
      </c>
      <c r="AT246" s="7">
        <v>3.4</v>
      </c>
      <c r="AU246" s="2" t="s">
        <v>7144</v>
      </c>
      <c r="AV246" s="2" t="s">
        <v>7144</v>
      </c>
      <c r="AW246" s="2" t="s">
        <v>7143</v>
      </c>
      <c r="AZ246" s="2" t="s">
        <v>7145</v>
      </c>
      <c r="BB246" s="2" t="s">
        <v>7146</v>
      </c>
      <c r="BC246" s="2" t="s">
        <v>7147</v>
      </c>
      <c r="BD246" s="2" t="s">
        <v>7142</v>
      </c>
      <c r="BE246" s="2" t="s">
        <v>7142</v>
      </c>
      <c r="BF246" s="2" t="s">
        <v>7148</v>
      </c>
      <c r="BG246" s="2" t="s">
        <v>7149</v>
      </c>
      <c r="BH246" s="2" t="s">
        <v>7248</v>
      </c>
      <c r="BI246" s="2" t="s">
        <v>7151</v>
      </c>
      <c r="BL246" s="2" t="s">
        <v>7152</v>
      </c>
      <c r="BM246" s="2" t="s">
        <v>7153</v>
      </c>
      <c r="BN246" s="2" t="s">
        <v>7154</v>
      </c>
      <c r="BO246" s="2" t="s">
        <v>7155</v>
      </c>
      <c r="BQ246" s="2" t="s">
        <v>7156</v>
      </c>
      <c r="BS246" s="2" t="s">
        <v>7142</v>
      </c>
      <c r="BT246" s="2" t="s">
        <v>7215</v>
      </c>
      <c r="BV246" s="2" t="s">
        <v>7202</v>
      </c>
      <c r="BX246" s="2" t="s">
        <v>7143</v>
      </c>
      <c r="BZ246" s="2" t="s">
        <v>7159</v>
      </c>
      <c r="CE246" s="7">
        <v>3.4</v>
      </c>
      <c r="CF246" s="2">
        <v>340</v>
      </c>
      <c r="CM246" s="2">
        <v>100</v>
      </c>
      <c r="CO246" s="2">
        <v>100</v>
      </c>
      <c r="CR246" s="2" t="s">
        <v>7160</v>
      </c>
      <c r="CT246" s="2" t="s">
        <v>7143</v>
      </c>
      <c r="CU246" s="2" t="s">
        <v>7161</v>
      </c>
      <c r="CW246" s="2" t="s">
        <v>7162</v>
      </c>
      <c r="CY246" s="2" t="s">
        <v>7163</v>
      </c>
      <c r="CZ246" s="2" t="s">
        <v>7164</v>
      </c>
      <c r="DA246" s="2" t="s">
        <v>7164</v>
      </c>
      <c r="DB246" s="2" t="s">
        <v>7164</v>
      </c>
      <c r="DC246" s="2" t="s">
        <v>7164</v>
      </c>
      <c r="DD246" s="2" t="s">
        <v>7164</v>
      </c>
      <c r="DE246" s="2" t="s">
        <v>7164</v>
      </c>
      <c r="DF246" s="2" t="s">
        <v>7164</v>
      </c>
      <c r="DG246" s="2" t="s">
        <v>7164</v>
      </c>
      <c r="DH246" s="2" t="s">
        <v>7164</v>
      </c>
      <c r="DI246" s="2" t="s">
        <v>7164</v>
      </c>
      <c r="DL246" s="2" t="s">
        <v>7142</v>
      </c>
      <c r="DM246" s="2" t="s">
        <v>7142</v>
      </c>
      <c r="DN246" s="2" t="s">
        <v>7142</v>
      </c>
      <c r="DO246" s="2" t="s">
        <v>7142</v>
      </c>
      <c r="DP246" s="2" t="s">
        <v>7165</v>
      </c>
      <c r="DQ246" s="2" t="s">
        <v>7166</v>
      </c>
      <c r="DT246" s="2" t="s">
        <v>7165</v>
      </c>
      <c r="DU246" s="2" t="s">
        <v>7165</v>
      </c>
      <c r="DV246" s="2" t="s">
        <v>7165</v>
      </c>
      <c r="DW246" s="2" t="s">
        <v>7165</v>
      </c>
      <c r="DX246" s="2" t="s">
        <v>7165</v>
      </c>
      <c r="DY246" s="2" t="s">
        <v>7165</v>
      </c>
      <c r="DZ246" s="2" t="s">
        <v>7165</v>
      </c>
      <c r="EA246" s="2" t="s">
        <v>7165</v>
      </c>
      <c r="EB246" s="2" t="s">
        <v>7165</v>
      </c>
      <c r="EF246" s="2" t="s">
        <v>7221</v>
      </c>
      <c r="EJ246" s="2" t="s">
        <v>7144</v>
      </c>
      <c r="EK246" s="2" t="s">
        <v>7142</v>
      </c>
      <c r="EL246" s="2" t="s">
        <v>7143</v>
      </c>
      <c r="EN246" s="2" t="s">
        <v>7170</v>
      </c>
      <c r="EP246" s="2" t="s">
        <v>7186</v>
      </c>
      <c r="ER246" s="2" t="s">
        <v>7142</v>
      </c>
      <c r="ET246" s="2" t="s">
        <v>7143</v>
      </c>
      <c r="EV246" s="2" t="s">
        <v>7142</v>
      </c>
      <c r="EW246" s="2" t="s">
        <v>7171</v>
      </c>
      <c r="EX246" s="2" t="s">
        <v>7143</v>
      </c>
      <c r="EZ246" s="2" t="s">
        <v>7143</v>
      </c>
      <c r="FC246" s="2" t="s">
        <v>7172</v>
      </c>
      <c r="FD246" s="2" t="s">
        <v>7143</v>
      </c>
      <c r="FH246" s="2" t="s">
        <v>7173</v>
      </c>
      <c r="FJ246" s="2" t="s">
        <v>7142</v>
      </c>
      <c r="FK246" s="2" t="s">
        <v>7165</v>
      </c>
      <c r="FL246" s="2" t="s">
        <v>8058</v>
      </c>
      <c r="FN246" s="2" t="s">
        <v>7175</v>
      </c>
      <c r="FT246" s="2" t="s">
        <v>7189</v>
      </c>
      <c r="FU246" s="2" t="s">
        <v>7189</v>
      </c>
      <c r="FV246" s="2" t="s">
        <v>7189</v>
      </c>
      <c r="FW246" s="2" t="s">
        <v>7189</v>
      </c>
      <c r="FZ246" s="19" t="s">
        <v>8059</v>
      </c>
    </row>
    <row r="247" spans="1:182">
      <c r="A247" s="7" t="s">
        <v>1773</v>
      </c>
      <c r="D247" s="7" t="s">
        <v>8060</v>
      </c>
      <c r="E247" s="7" t="s">
        <v>177</v>
      </c>
      <c r="F247" s="7" t="s">
        <v>7245</v>
      </c>
      <c r="G247" s="7" t="s">
        <v>7981</v>
      </c>
      <c r="H247" s="7" t="s">
        <v>1659</v>
      </c>
      <c r="I247" s="7" t="s">
        <v>1774</v>
      </c>
      <c r="J247" s="16" t="s">
        <v>8061</v>
      </c>
      <c r="K247" s="7" t="s">
        <v>1774</v>
      </c>
      <c r="L247" s="7" t="s">
        <v>7137</v>
      </c>
      <c r="M247" s="7" t="s">
        <v>7138</v>
      </c>
      <c r="N247" s="7">
        <v>2000</v>
      </c>
      <c r="O247" s="7" t="s">
        <v>7180</v>
      </c>
      <c r="P247" s="7" t="s">
        <v>7140</v>
      </c>
      <c r="Q247" s="7" t="s">
        <v>7450</v>
      </c>
      <c r="R247" s="7" t="s">
        <v>7143</v>
      </c>
      <c r="S247" s="7">
        <v>2000</v>
      </c>
      <c r="T247" s="2" t="s">
        <v>7143</v>
      </c>
      <c r="U247" s="2" t="s">
        <v>7143</v>
      </c>
      <c r="Y247" s="2">
        <v>650</v>
      </c>
      <c r="Z247" s="17">
        <v>0.61539999999999995</v>
      </c>
      <c r="AA247" s="2">
        <v>400</v>
      </c>
      <c r="AB247" s="2">
        <v>400</v>
      </c>
      <c r="AC247" s="7">
        <v>400</v>
      </c>
      <c r="AD247" s="2">
        <v>550</v>
      </c>
      <c r="AE247" s="2">
        <v>150</v>
      </c>
      <c r="AF247" s="2" t="s">
        <v>7143</v>
      </c>
      <c r="AG247" s="2" t="s">
        <v>7143</v>
      </c>
      <c r="AH247" s="2" t="s">
        <v>7143</v>
      </c>
      <c r="AJ247" s="2" t="s">
        <v>7143</v>
      </c>
      <c r="AK247" s="2" t="s">
        <v>7143</v>
      </c>
      <c r="AL247" s="7" t="s">
        <v>7142</v>
      </c>
      <c r="AM247" s="2" t="s">
        <v>7143</v>
      </c>
      <c r="AN247" s="2" t="s">
        <v>7143</v>
      </c>
      <c r="AO247" s="2" t="s">
        <v>7143</v>
      </c>
      <c r="AR247" s="7">
        <v>1.5</v>
      </c>
      <c r="AS247" s="7">
        <v>1</v>
      </c>
      <c r="AT247" s="7">
        <v>6</v>
      </c>
      <c r="AU247" s="2" t="s">
        <v>7168</v>
      </c>
      <c r="AV247" s="2" t="s">
        <v>7168</v>
      </c>
      <c r="AW247" s="2" t="s">
        <v>7143</v>
      </c>
      <c r="BC247" s="2" t="s">
        <v>7208</v>
      </c>
      <c r="BD247" s="2" t="s">
        <v>7143</v>
      </c>
      <c r="BE247" s="2" t="s">
        <v>7143</v>
      </c>
      <c r="BL247" s="7" t="s">
        <v>7442</v>
      </c>
      <c r="BM247" s="7" t="s">
        <v>7153</v>
      </c>
      <c r="BN247" s="7" t="s">
        <v>7154</v>
      </c>
      <c r="BO247" s="7" t="s">
        <v>7155</v>
      </c>
      <c r="BQ247" s="2" t="s">
        <v>7256</v>
      </c>
      <c r="BS247" s="2" t="s">
        <v>7142</v>
      </c>
      <c r="BT247" s="2" t="s">
        <v>7215</v>
      </c>
      <c r="BV247" s="2" t="s">
        <v>7348</v>
      </c>
      <c r="BX247" s="2" t="s">
        <v>7142</v>
      </c>
      <c r="BY247" s="2" t="s">
        <v>310</v>
      </c>
      <c r="BZ247" s="2" t="s">
        <v>7159</v>
      </c>
      <c r="CE247" s="7">
        <v>6</v>
      </c>
      <c r="CF247" s="2">
        <v>580</v>
      </c>
      <c r="CK247" s="2">
        <v>100</v>
      </c>
      <c r="CO247" s="2">
        <v>100</v>
      </c>
      <c r="CR247" s="2" t="s">
        <v>7160</v>
      </c>
      <c r="CT247" s="2" t="s">
        <v>7143</v>
      </c>
      <c r="CU247" s="2" t="s">
        <v>7161</v>
      </c>
      <c r="CW247" s="2" t="s">
        <v>7162</v>
      </c>
      <c r="CY247" s="2" t="s">
        <v>7249</v>
      </c>
      <c r="CZ247" s="2" t="s">
        <v>7249</v>
      </c>
      <c r="DA247" s="2" t="s">
        <v>7249</v>
      </c>
      <c r="DB247" s="2" t="s">
        <v>7249</v>
      </c>
      <c r="DC247" s="2" t="s">
        <v>7249</v>
      </c>
      <c r="DD247" s="2" t="s">
        <v>7249</v>
      </c>
      <c r="DE247" s="2" t="s">
        <v>7249</v>
      </c>
      <c r="DF247" s="2" t="s">
        <v>7163</v>
      </c>
      <c r="DG247" s="2" t="s">
        <v>7163</v>
      </c>
      <c r="DH247" s="2" t="s">
        <v>7164</v>
      </c>
      <c r="DI247" s="2" t="s">
        <v>7164</v>
      </c>
      <c r="DL247" s="7" t="s">
        <v>7142</v>
      </c>
      <c r="DM247" s="7" t="s">
        <v>7142</v>
      </c>
      <c r="DN247" s="7" t="s">
        <v>7142</v>
      </c>
      <c r="DO247" s="7" t="s">
        <v>7142</v>
      </c>
      <c r="DP247" s="7" t="s">
        <v>7165</v>
      </c>
      <c r="DQ247" s="7" t="s">
        <v>7166</v>
      </c>
      <c r="DS247" s="7" t="s">
        <v>7165</v>
      </c>
      <c r="DT247" s="2" t="s">
        <v>7165</v>
      </c>
      <c r="DU247" s="2" t="s">
        <v>7165</v>
      </c>
      <c r="DV247" s="2" t="s">
        <v>7165</v>
      </c>
      <c r="DW247" s="2" t="s">
        <v>7165</v>
      </c>
      <c r="DX247" s="2" t="s">
        <v>7165</v>
      </c>
      <c r="DY247" s="2" t="s">
        <v>7159</v>
      </c>
      <c r="DZ247" s="2" t="s">
        <v>7159</v>
      </c>
      <c r="EA247" s="2" t="s">
        <v>7165</v>
      </c>
      <c r="EB247" s="2" t="s">
        <v>7165</v>
      </c>
      <c r="EC247" s="2" t="s">
        <v>7159</v>
      </c>
      <c r="EF247" s="2" t="s">
        <v>7167</v>
      </c>
      <c r="EJ247" s="7" t="s">
        <v>7144</v>
      </c>
      <c r="EK247" s="2" t="s">
        <v>7142</v>
      </c>
      <c r="EL247" s="2" t="s">
        <v>7143</v>
      </c>
      <c r="EN247" s="2" t="s">
        <v>7170</v>
      </c>
      <c r="EP247" s="2" t="s">
        <v>7186</v>
      </c>
      <c r="ER247" s="2" t="s">
        <v>7142</v>
      </c>
      <c r="ET247" s="2" t="s">
        <v>7143</v>
      </c>
      <c r="EV247" s="2" t="s">
        <v>7143</v>
      </c>
      <c r="EX247" s="2" t="s">
        <v>7143</v>
      </c>
      <c r="EZ247" s="2" t="s">
        <v>7143</v>
      </c>
      <c r="FC247" s="2" t="s">
        <v>7172</v>
      </c>
      <c r="FD247" s="2" t="s">
        <v>7143</v>
      </c>
      <c r="FH247" s="7" t="s">
        <v>7173</v>
      </c>
      <c r="FJ247" s="2" t="s">
        <v>7142</v>
      </c>
      <c r="FK247" s="2" t="s">
        <v>7165</v>
      </c>
      <c r="FL247" s="2" t="s">
        <v>7260</v>
      </c>
      <c r="FN247" s="2" t="s">
        <v>7253</v>
      </c>
      <c r="FT247" s="2" t="s">
        <v>7176</v>
      </c>
      <c r="FU247" s="2" t="s">
        <v>7189</v>
      </c>
      <c r="FV247" s="2" t="s">
        <v>7189</v>
      </c>
      <c r="FW247" s="2" t="s">
        <v>7189</v>
      </c>
      <c r="FZ247" s="19" t="s">
        <v>8062</v>
      </c>
    </row>
    <row r="248" spans="1:182">
      <c r="A248" s="7" t="s">
        <v>1775</v>
      </c>
      <c r="D248" s="7" t="s">
        <v>8063</v>
      </c>
      <c r="E248" s="7" t="s">
        <v>1776</v>
      </c>
      <c r="F248" s="7" t="s">
        <v>7311</v>
      </c>
      <c r="G248" s="7" t="s">
        <v>7981</v>
      </c>
      <c r="H248" s="7" t="s">
        <v>1731</v>
      </c>
      <c r="I248" s="7" t="s">
        <v>1777</v>
      </c>
      <c r="J248" s="16" t="s">
        <v>8064</v>
      </c>
      <c r="K248" s="7" t="s">
        <v>1778</v>
      </c>
      <c r="L248" s="7" t="s">
        <v>7137</v>
      </c>
      <c r="M248" s="7" t="s">
        <v>7179</v>
      </c>
      <c r="N248" s="7">
        <v>1971</v>
      </c>
      <c r="O248" s="7" t="s">
        <v>7180</v>
      </c>
      <c r="P248" s="7" t="s">
        <v>7181</v>
      </c>
      <c r="Q248" s="7" t="s">
        <v>7182</v>
      </c>
      <c r="R248" s="7" t="s">
        <v>7143</v>
      </c>
      <c r="S248" s="7">
        <v>27</v>
      </c>
      <c r="T248" s="7" t="s">
        <v>7143</v>
      </c>
      <c r="U248" s="7" t="s">
        <v>7143</v>
      </c>
      <c r="Y248" s="2">
        <v>1300</v>
      </c>
      <c r="Z248" s="17">
        <v>0.83079999999999998</v>
      </c>
      <c r="AA248" s="2">
        <v>1080</v>
      </c>
      <c r="AB248" s="2">
        <v>1080</v>
      </c>
      <c r="AC248" s="7">
        <v>1080</v>
      </c>
      <c r="AD248" s="2">
        <v>1300</v>
      </c>
      <c r="AE248" s="2">
        <v>220</v>
      </c>
      <c r="AF248" s="2" t="s">
        <v>7143</v>
      </c>
      <c r="AG248" s="2" t="s">
        <v>7143</v>
      </c>
      <c r="AH248" s="2" t="s">
        <v>7143</v>
      </c>
      <c r="AJ248" s="2" t="s">
        <v>7143</v>
      </c>
      <c r="AK248" s="2" t="s">
        <v>7143</v>
      </c>
      <c r="AL248" s="2" t="s">
        <v>7142</v>
      </c>
      <c r="AM248" s="2" t="s">
        <v>7143</v>
      </c>
      <c r="AN248" s="2" t="s">
        <v>7142</v>
      </c>
      <c r="AO248" s="2" t="s">
        <v>7143</v>
      </c>
      <c r="AR248" s="7">
        <v>3.2</v>
      </c>
      <c r="AS248" s="7">
        <v>3</v>
      </c>
      <c r="AT248" s="7">
        <v>13</v>
      </c>
      <c r="AU248" s="2" t="s">
        <v>7144</v>
      </c>
      <c r="AV248" s="2" t="s">
        <v>7144</v>
      </c>
      <c r="AW248" s="2" t="s">
        <v>7143</v>
      </c>
      <c r="BC248" s="2" t="s">
        <v>7147</v>
      </c>
      <c r="BD248" s="2" t="s">
        <v>7142</v>
      </c>
      <c r="BE248" s="2" t="s">
        <v>7143</v>
      </c>
      <c r="BL248" s="2" t="s">
        <v>7152</v>
      </c>
      <c r="BM248" s="2" t="s">
        <v>7153</v>
      </c>
      <c r="BN248" s="2" t="s">
        <v>7154</v>
      </c>
      <c r="BO248" s="2" t="s">
        <v>7155</v>
      </c>
      <c r="BQ248" s="2" t="s">
        <v>7156</v>
      </c>
      <c r="BS248" s="2" t="s">
        <v>7142</v>
      </c>
      <c r="BT248" s="2" t="s">
        <v>7215</v>
      </c>
      <c r="BV248" s="2" t="s">
        <v>7363</v>
      </c>
      <c r="BX248" s="2" t="s">
        <v>7143</v>
      </c>
      <c r="BY248" s="2" t="s">
        <v>1779</v>
      </c>
      <c r="BZ248" s="2" t="s">
        <v>7159</v>
      </c>
      <c r="CE248" s="7">
        <v>13</v>
      </c>
      <c r="CF248" s="2">
        <v>1300</v>
      </c>
      <c r="CM248" s="2">
        <v>100</v>
      </c>
      <c r="CP248" s="2">
        <v>100</v>
      </c>
      <c r="CR248" s="2" t="s">
        <v>7276</v>
      </c>
      <c r="CT248" s="2" t="s">
        <v>7143</v>
      </c>
      <c r="CU248" s="2" t="s">
        <v>7161</v>
      </c>
      <c r="CW248" s="2" t="s">
        <v>7162</v>
      </c>
      <c r="CY248" s="2" t="s">
        <v>7163</v>
      </c>
      <c r="CZ248" s="2" t="s">
        <v>7163</v>
      </c>
      <c r="DA248" s="2" t="s">
        <v>7250</v>
      </c>
      <c r="DB248" s="2" t="s">
        <v>7163</v>
      </c>
      <c r="DC248" s="2" t="s">
        <v>7250</v>
      </c>
      <c r="DD248" s="2" t="s">
        <v>7250</v>
      </c>
      <c r="DE248" s="2" t="s">
        <v>7250</v>
      </c>
      <c r="DF248" s="2" t="s">
        <v>7163</v>
      </c>
      <c r="DG248" s="2" t="s">
        <v>7163</v>
      </c>
      <c r="DH248" s="2" t="s">
        <v>7163</v>
      </c>
      <c r="DI248" s="2" t="s">
        <v>7163</v>
      </c>
      <c r="DL248" s="2" t="s">
        <v>7142</v>
      </c>
      <c r="DM248" s="2" t="s">
        <v>7142</v>
      </c>
      <c r="DN248" s="2" t="s">
        <v>7142</v>
      </c>
      <c r="DO248" s="2" t="s">
        <v>7142</v>
      </c>
      <c r="DP248" s="2" t="s">
        <v>7165</v>
      </c>
      <c r="DQ248" s="2" t="s">
        <v>7333</v>
      </c>
      <c r="DR248" s="2" t="s">
        <v>1780</v>
      </c>
      <c r="DT248" s="2" t="s">
        <v>7165</v>
      </c>
      <c r="DU248" s="2" t="s">
        <v>7165</v>
      </c>
      <c r="DV248" s="2" t="s">
        <v>7165</v>
      </c>
      <c r="DW248" s="2" t="s">
        <v>7165</v>
      </c>
      <c r="DX248" s="2" t="s">
        <v>7165</v>
      </c>
      <c r="DY248" s="2" t="s">
        <v>7165</v>
      </c>
      <c r="DZ248" s="2" t="s">
        <v>7159</v>
      </c>
      <c r="EA248" s="2" t="s">
        <v>7165</v>
      </c>
      <c r="EB248" s="2" t="s">
        <v>7165</v>
      </c>
      <c r="EC248" s="2" t="s">
        <v>7173</v>
      </c>
      <c r="EF248" s="2" t="s">
        <v>7167</v>
      </c>
      <c r="EG248" s="2" t="s">
        <v>1359</v>
      </c>
      <c r="EJ248" s="2" t="s">
        <v>7144</v>
      </c>
      <c r="EK248" s="2" t="s">
        <v>7142</v>
      </c>
      <c r="EL248" s="2" t="s">
        <v>7143</v>
      </c>
      <c r="EN248" s="2" t="s">
        <v>7170</v>
      </c>
      <c r="EP248" s="2" t="s">
        <v>7186</v>
      </c>
      <c r="ER248" s="2" t="s">
        <v>7142</v>
      </c>
      <c r="ET248" s="2" t="s">
        <v>7143</v>
      </c>
      <c r="EV248" s="2" t="s">
        <v>7142</v>
      </c>
      <c r="EW248" s="2" t="s">
        <v>7204</v>
      </c>
      <c r="EX248" s="2" t="s">
        <v>7142</v>
      </c>
      <c r="EY248" s="2" t="s">
        <v>7204</v>
      </c>
      <c r="EZ248" s="2" t="s">
        <v>7143</v>
      </c>
      <c r="FC248" s="2" t="s">
        <v>7172</v>
      </c>
      <c r="FD248" s="2" t="s">
        <v>7143</v>
      </c>
      <c r="FH248" s="2" t="s">
        <v>7173</v>
      </c>
      <c r="FJ248" s="2" t="s">
        <v>7143</v>
      </c>
      <c r="FK248" s="2" t="s">
        <v>7159</v>
      </c>
      <c r="FR248" s="2" t="s">
        <v>1781</v>
      </c>
      <c r="FT248" s="2" t="s">
        <v>7189</v>
      </c>
      <c r="FU248" s="2" t="s">
        <v>7189</v>
      </c>
      <c r="FV248" s="2" t="s">
        <v>7189</v>
      </c>
      <c r="FW248" s="2" t="s">
        <v>7189</v>
      </c>
      <c r="FX248" s="2" t="s">
        <v>7189</v>
      </c>
      <c r="FY248" s="2" t="s">
        <v>1782</v>
      </c>
      <c r="FZ248" s="19" t="s">
        <v>8065</v>
      </c>
    </row>
    <row r="249" spans="1:182">
      <c r="A249" s="7" t="s">
        <v>1783</v>
      </c>
      <c r="D249" s="7" t="s">
        <v>8066</v>
      </c>
      <c r="E249" s="7" t="s">
        <v>1784</v>
      </c>
      <c r="F249" s="7" t="s">
        <v>7339</v>
      </c>
      <c r="G249" s="7" t="s">
        <v>7981</v>
      </c>
      <c r="H249" s="7" t="s">
        <v>1650</v>
      </c>
      <c r="I249" s="7" t="s">
        <v>1785</v>
      </c>
      <c r="J249" s="16" t="s">
        <v>8067</v>
      </c>
      <c r="K249" s="7" t="s">
        <v>1675</v>
      </c>
      <c r="L249" s="2" t="s">
        <v>7137</v>
      </c>
      <c r="M249" s="2" t="s">
        <v>7179</v>
      </c>
      <c r="N249" s="7">
        <v>1978</v>
      </c>
      <c r="O249" s="7" t="s">
        <v>7180</v>
      </c>
      <c r="P249" s="2" t="s">
        <v>7181</v>
      </c>
      <c r="Q249" s="2" t="s">
        <v>7141</v>
      </c>
      <c r="R249" s="2" t="s">
        <v>7143</v>
      </c>
      <c r="S249" s="2">
        <v>31</v>
      </c>
      <c r="T249" s="2" t="s">
        <v>7143</v>
      </c>
      <c r="U249" s="2" t="s">
        <v>7143</v>
      </c>
      <c r="Y249" s="2">
        <v>644</v>
      </c>
      <c r="Z249" s="17">
        <v>1</v>
      </c>
      <c r="AA249" s="2">
        <v>644</v>
      </c>
      <c r="AB249" s="2">
        <v>644</v>
      </c>
      <c r="AC249" s="7">
        <v>644</v>
      </c>
      <c r="AD249" s="2">
        <v>784</v>
      </c>
      <c r="AE249" s="2">
        <v>140</v>
      </c>
      <c r="AF249" s="2" t="s">
        <v>7143</v>
      </c>
      <c r="AG249" s="2" t="s">
        <v>7143</v>
      </c>
      <c r="AH249" s="2" t="s">
        <v>7143</v>
      </c>
      <c r="AJ249" s="2" t="s">
        <v>7143</v>
      </c>
      <c r="AK249" s="2" t="s">
        <v>7143</v>
      </c>
      <c r="AL249" s="2" t="s">
        <v>7143</v>
      </c>
      <c r="AM249" s="2" t="s">
        <v>7143</v>
      </c>
      <c r="AN249" s="2" t="s">
        <v>7143</v>
      </c>
      <c r="AO249" s="2" t="s">
        <v>7143</v>
      </c>
      <c r="AR249" s="7">
        <v>2</v>
      </c>
      <c r="AS249" s="7">
        <v>2</v>
      </c>
      <c r="AT249" s="7">
        <v>8</v>
      </c>
      <c r="AU249" s="2" t="s">
        <v>7193</v>
      </c>
      <c r="AV249" s="2" t="s">
        <v>7193</v>
      </c>
      <c r="AW249" s="2" t="s">
        <v>7143</v>
      </c>
      <c r="AZ249" s="2" t="s">
        <v>7566</v>
      </c>
      <c r="BB249" s="2" t="s">
        <v>7214</v>
      </c>
      <c r="BC249" s="2" t="s">
        <v>7247</v>
      </c>
      <c r="BD249" s="2" t="s">
        <v>7143</v>
      </c>
      <c r="BE249" s="2" t="s">
        <v>7142</v>
      </c>
      <c r="BF249" s="2" t="s">
        <v>7148</v>
      </c>
      <c r="BG249" s="2" t="s">
        <v>7149</v>
      </c>
      <c r="BH249" s="2" t="s">
        <v>7150</v>
      </c>
      <c r="BI249" s="2" t="s">
        <v>7151</v>
      </c>
      <c r="BL249" s="2" t="s">
        <v>7152</v>
      </c>
      <c r="BM249" s="2" t="s">
        <v>7355</v>
      </c>
      <c r="BN249" s="2" t="s">
        <v>7154</v>
      </c>
      <c r="BO249" s="2" t="s">
        <v>7155</v>
      </c>
      <c r="BQ249" s="2" t="s">
        <v>7183</v>
      </c>
      <c r="BS249" s="2" t="s">
        <v>7142</v>
      </c>
      <c r="BT249" s="2" t="s">
        <v>7400</v>
      </c>
      <c r="BV249" s="2" t="s">
        <v>7407</v>
      </c>
      <c r="BX249" s="2" t="s">
        <v>7142</v>
      </c>
      <c r="BY249" s="2" t="s">
        <v>1786</v>
      </c>
      <c r="BZ249" s="2" t="s">
        <v>7165</v>
      </c>
      <c r="CA249" s="2" t="s">
        <v>1787</v>
      </c>
      <c r="CE249" s="7">
        <v>8</v>
      </c>
      <c r="CF249" s="2">
        <v>784</v>
      </c>
      <c r="CM249" s="2">
        <v>100</v>
      </c>
      <c r="CO249" s="2">
        <v>100</v>
      </c>
      <c r="CR249" s="2" t="s">
        <v>7357</v>
      </c>
      <c r="CT249" s="2" t="s">
        <v>7143</v>
      </c>
      <c r="CU249" s="2" t="s">
        <v>7161</v>
      </c>
      <c r="CW249" s="2" t="s">
        <v>7162</v>
      </c>
      <c r="CY249" s="2" t="s">
        <v>7227</v>
      </c>
      <c r="CZ249" s="2" t="s">
        <v>7227</v>
      </c>
      <c r="DA249" s="2" t="s">
        <v>7250</v>
      </c>
      <c r="DB249" s="2" t="s">
        <v>7250</v>
      </c>
      <c r="DC249" s="2" t="s">
        <v>7250</v>
      </c>
      <c r="DD249" s="2" t="s">
        <v>7250</v>
      </c>
      <c r="DE249" s="2" t="s">
        <v>7250</v>
      </c>
      <c r="DF249" s="2" t="s">
        <v>7227</v>
      </c>
      <c r="DG249" s="2" t="s">
        <v>7227</v>
      </c>
      <c r="DH249" s="2" t="s">
        <v>7227</v>
      </c>
      <c r="DI249" s="2" t="s">
        <v>7227</v>
      </c>
      <c r="DL249" s="2" t="s">
        <v>7142</v>
      </c>
      <c r="DM249" s="2" t="s">
        <v>7142</v>
      </c>
      <c r="DN249" s="2" t="s">
        <v>7142</v>
      </c>
      <c r="DO249" s="2" t="s">
        <v>7142</v>
      </c>
      <c r="DP249" s="2" t="s">
        <v>7165</v>
      </c>
      <c r="DQ249" s="2" t="s">
        <v>7333</v>
      </c>
      <c r="DR249" s="2" t="s">
        <v>1788</v>
      </c>
      <c r="DT249" s="2" t="s">
        <v>7165</v>
      </c>
      <c r="DU249" s="2" t="s">
        <v>7165</v>
      </c>
      <c r="DV249" s="2" t="s">
        <v>7165</v>
      </c>
      <c r="DW249" s="2" t="s">
        <v>7165</v>
      </c>
      <c r="DX249" s="2" t="s">
        <v>7165</v>
      </c>
      <c r="DY249" s="2" t="s">
        <v>7159</v>
      </c>
      <c r="DZ249" s="2" t="s">
        <v>7159</v>
      </c>
      <c r="EA249" s="2" t="s">
        <v>7165</v>
      </c>
      <c r="EB249" s="2" t="s">
        <v>7159</v>
      </c>
      <c r="EC249" s="2" t="s">
        <v>7159</v>
      </c>
      <c r="ED249" s="2" t="s">
        <v>7159</v>
      </c>
      <c r="EF249" s="2" t="s">
        <v>7221</v>
      </c>
      <c r="EG249" s="2" t="s">
        <v>8068</v>
      </c>
      <c r="EJ249" s="2" t="s">
        <v>7193</v>
      </c>
      <c r="EK249" s="2" t="s">
        <v>7142</v>
      </c>
      <c r="EL249" s="2" t="s">
        <v>7143</v>
      </c>
      <c r="EN249" s="2" t="s">
        <v>7170</v>
      </c>
      <c r="EP249" s="2" t="s">
        <v>7186</v>
      </c>
      <c r="ER249" s="2" t="s">
        <v>7142</v>
      </c>
      <c r="ET249" s="2" t="s">
        <v>7143</v>
      </c>
      <c r="EV249" s="2" t="s">
        <v>7142</v>
      </c>
      <c r="EW249" s="2" t="s">
        <v>7171</v>
      </c>
      <c r="EX249" s="2" t="s">
        <v>7143</v>
      </c>
      <c r="EZ249" s="2" t="s">
        <v>7143</v>
      </c>
      <c r="FC249" s="2" t="s">
        <v>7218</v>
      </c>
      <c r="FD249" s="2" t="s">
        <v>7143</v>
      </c>
      <c r="FH249" s="2" t="s">
        <v>7173</v>
      </c>
      <c r="FJ249" s="2" t="s">
        <v>7143</v>
      </c>
      <c r="FK249" s="2" t="s">
        <v>7173</v>
      </c>
      <c r="FN249" s="2" t="s">
        <v>7243</v>
      </c>
      <c r="FO249" s="2" t="s">
        <v>1790</v>
      </c>
      <c r="FR249" s="2" t="s">
        <v>1791</v>
      </c>
      <c r="FT249" s="2" t="s">
        <v>7189</v>
      </c>
      <c r="FU249" s="2" t="s">
        <v>7189</v>
      </c>
      <c r="FV249" s="2" t="s">
        <v>7189</v>
      </c>
      <c r="FW249" s="2" t="s">
        <v>7189</v>
      </c>
      <c r="FZ249" s="19" t="s">
        <v>8069</v>
      </c>
    </row>
    <row r="250" spans="1:182">
      <c r="A250" s="7" t="s">
        <v>1792</v>
      </c>
      <c r="D250" s="7" t="s">
        <v>8070</v>
      </c>
      <c r="E250" s="7" t="s">
        <v>177</v>
      </c>
      <c r="F250" s="7" t="s">
        <v>7134</v>
      </c>
      <c r="G250" s="7" t="s">
        <v>7981</v>
      </c>
      <c r="H250" s="7" t="s">
        <v>1659</v>
      </c>
      <c r="I250" s="7" t="s">
        <v>1793</v>
      </c>
      <c r="J250" s="16" t="s">
        <v>8071</v>
      </c>
      <c r="K250" s="7" t="s">
        <v>1794</v>
      </c>
      <c r="L250" s="2" t="s">
        <v>7137</v>
      </c>
      <c r="M250" s="7" t="s">
        <v>7138</v>
      </c>
      <c r="N250" s="7">
        <v>2001</v>
      </c>
      <c r="O250" s="7" t="s">
        <v>7180</v>
      </c>
      <c r="P250" s="7" t="s">
        <v>7192</v>
      </c>
      <c r="Q250" s="2" t="s">
        <v>7141</v>
      </c>
      <c r="R250" s="2" t="s">
        <v>7143</v>
      </c>
      <c r="S250" s="2">
        <v>27</v>
      </c>
      <c r="T250" s="2" t="s">
        <v>7143</v>
      </c>
      <c r="U250" s="2" t="s">
        <v>7143</v>
      </c>
      <c r="Y250" s="2">
        <v>414</v>
      </c>
      <c r="Z250" s="17">
        <v>0.628</v>
      </c>
      <c r="AA250" s="2">
        <v>260</v>
      </c>
      <c r="AB250" s="2">
        <v>260</v>
      </c>
      <c r="AC250" s="7">
        <v>260</v>
      </c>
      <c r="AD250" s="2">
        <v>360</v>
      </c>
      <c r="AE250" s="2">
        <v>100</v>
      </c>
      <c r="AF250" s="2" t="s">
        <v>7143</v>
      </c>
      <c r="AG250" s="2" t="s">
        <v>7142</v>
      </c>
      <c r="AH250" s="2" t="s">
        <v>7143</v>
      </c>
      <c r="AJ250" s="2" t="s">
        <v>7143</v>
      </c>
      <c r="AK250" s="2" t="s">
        <v>7143</v>
      </c>
      <c r="AL250" s="2" t="s">
        <v>7142</v>
      </c>
      <c r="AM250" s="2" t="s">
        <v>7142</v>
      </c>
      <c r="AN250" s="2" t="s">
        <v>7143</v>
      </c>
      <c r="AO250" s="2" t="s">
        <v>7143</v>
      </c>
      <c r="AR250" s="7">
        <v>1.2</v>
      </c>
      <c r="AS250" s="7">
        <v>1</v>
      </c>
      <c r="AT250" s="7">
        <v>3.6</v>
      </c>
      <c r="AU250" s="2" t="s">
        <v>7168</v>
      </c>
      <c r="AV250" s="2" t="s">
        <v>7168</v>
      </c>
      <c r="AW250" s="2" t="s">
        <v>7143</v>
      </c>
      <c r="BC250" s="2" t="s">
        <v>7147</v>
      </c>
      <c r="BD250" s="2" t="s">
        <v>7143</v>
      </c>
      <c r="BE250" s="2" t="s">
        <v>7143</v>
      </c>
      <c r="BL250" s="2" t="s">
        <v>7195</v>
      </c>
      <c r="BO250" s="2" t="s">
        <v>7155</v>
      </c>
      <c r="BQ250" s="2" t="s">
        <v>7156</v>
      </c>
      <c r="BS250" s="2" t="s">
        <v>7142</v>
      </c>
      <c r="BT250" s="2" t="s">
        <v>7215</v>
      </c>
      <c r="BV250" s="2" t="s">
        <v>7202</v>
      </c>
      <c r="BX250" s="2" t="s">
        <v>7143</v>
      </c>
      <c r="BZ250" s="2" t="s">
        <v>7173</v>
      </c>
      <c r="CE250" s="7">
        <v>3.6</v>
      </c>
      <c r="CF250" s="2">
        <v>360</v>
      </c>
      <c r="CM250" s="2">
        <v>100</v>
      </c>
      <c r="CO250" s="2">
        <v>100</v>
      </c>
      <c r="CR250" s="2" t="s">
        <v>7160</v>
      </c>
      <c r="CT250" s="2" t="s">
        <v>7143</v>
      </c>
      <c r="CU250" s="2" t="s">
        <v>7161</v>
      </c>
      <c r="CW250" s="2" t="s">
        <v>7162</v>
      </c>
      <c r="CY250" s="2" t="s">
        <v>7163</v>
      </c>
      <c r="CZ250" s="2" t="s">
        <v>7164</v>
      </c>
      <c r="DA250" s="2" t="s">
        <v>7164</v>
      </c>
      <c r="DB250" s="2" t="s">
        <v>7164</v>
      </c>
      <c r="DC250" s="2" t="s">
        <v>7164</v>
      </c>
      <c r="DD250" s="2" t="s">
        <v>7164</v>
      </c>
      <c r="DE250" s="2" t="s">
        <v>7164</v>
      </c>
      <c r="DF250" s="2" t="s">
        <v>7164</v>
      </c>
      <c r="DG250" s="2" t="s">
        <v>7164</v>
      </c>
      <c r="DH250" s="2" t="s">
        <v>7164</v>
      </c>
      <c r="DI250" s="2" t="s">
        <v>7164</v>
      </c>
      <c r="DL250" s="2" t="s">
        <v>7142</v>
      </c>
      <c r="DM250" s="2" t="s">
        <v>7142</v>
      </c>
      <c r="DN250" s="2" t="s">
        <v>7142</v>
      </c>
      <c r="DO250" s="2" t="s">
        <v>7142</v>
      </c>
      <c r="DP250" s="2" t="s">
        <v>7165</v>
      </c>
      <c r="DQ250" s="2" t="s">
        <v>7166</v>
      </c>
      <c r="DT250" s="2" t="s">
        <v>7165</v>
      </c>
      <c r="DU250" s="2" t="s">
        <v>7165</v>
      </c>
      <c r="DV250" s="2" t="s">
        <v>7165</v>
      </c>
      <c r="DW250" s="2" t="s">
        <v>7165</v>
      </c>
      <c r="DX250" s="2" t="s">
        <v>7165</v>
      </c>
      <c r="DY250" s="2" t="s">
        <v>7165</v>
      </c>
      <c r="DZ250" s="2" t="s">
        <v>7165</v>
      </c>
      <c r="EA250" s="2" t="s">
        <v>7165</v>
      </c>
      <c r="EB250" s="2" t="s">
        <v>7165</v>
      </c>
      <c r="EF250" s="2" t="s">
        <v>7167</v>
      </c>
      <c r="FH250" s="2" t="s">
        <v>7173</v>
      </c>
      <c r="FJ250" s="2" t="s">
        <v>7142</v>
      </c>
      <c r="FK250" s="2" t="s">
        <v>7165</v>
      </c>
      <c r="FL250" s="2" t="s">
        <v>7992</v>
      </c>
      <c r="FT250" s="2" t="s">
        <v>7176</v>
      </c>
      <c r="FU250" s="2" t="s">
        <v>7176</v>
      </c>
      <c r="FV250" s="2" t="s">
        <v>7176</v>
      </c>
      <c r="FW250" s="2" t="s">
        <v>7176</v>
      </c>
      <c r="FZ250" s="19" t="s">
        <v>7338</v>
      </c>
    </row>
    <row r="251" spans="1:182">
      <c r="A251" s="7" t="s">
        <v>1795</v>
      </c>
      <c r="D251" s="7" t="s">
        <v>8072</v>
      </c>
      <c r="E251" s="7" t="s">
        <v>1796</v>
      </c>
      <c r="F251" s="7" t="s">
        <v>7319</v>
      </c>
      <c r="G251" s="7" t="s">
        <v>7981</v>
      </c>
      <c r="H251" s="7" t="s">
        <v>1668</v>
      </c>
      <c r="I251" s="7" t="s">
        <v>1714</v>
      </c>
      <c r="J251" s="16" t="s">
        <v>8073</v>
      </c>
      <c r="K251" s="7" t="s">
        <v>1714</v>
      </c>
      <c r="L251" s="7" t="s">
        <v>7137</v>
      </c>
      <c r="M251" s="7" t="s">
        <v>7138</v>
      </c>
      <c r="N251" s="7">
        <v>1983</v>
      </c>
      <c r="O251" s="7" t="s">
        <v>7180</v>
      </c>
      <c r="P251" s="7" t="s">
        <v>7140</v>
      </c>
      <c r="Q251" s="7" t="s">
        <v>7182</v>
      </c>
      <c r="R251" s="7" t="s">
        <v>7143</v>
      </c>
      <c r="S251" s="7">
        <v>32</v>
      </c>
      <c r="T251" s="7" t="s">
        <v>7143</v>
      </c>
      <c r="U251" s="7" t="s">
        <v>7143</v>
      </c>
      <c r="Y251" s="2">
        <v>2200</v>
      </c>
      <c r="Z251" s="17">
        <v>1</v>
      </c>
      <c r="AA251" s="2">
        <v>2200</v>
      </c>
      <c r="AB251" s="2">
        <v>2200</v>
      </c>
      <c r="AC251" s="7">
        <v>1600</v>
      </c>
      <c r="AD251" s="2">
        <v>1900</v>
      </c>
      <c r="AE251" s="2">
        <v>300</v>
      </c>
      <c r="AF251" s="7" t="s">
        <v>7143</v>
      </c>
      <c r="AG251" s="2" t="s">
        <v>7142</v>
      </c>
      <c r="AH251" s="7" t="s">
        <v>7143</v>
      </c>
      <c r="AJ251" s="7" t="s">
        <v>7143</v>
      </c>
      <c r="AK251" s="7" t="s">
        <v>7143</v>
      </c>
      <c r="AL251" s="2" t="s">
        <v>7143</v>
      </c>
      <c r="AM251" s="2" t="s">
        <v>7143</v>
      </c>
      <c r="AN251" s="2" t="s">
        <v>7143</v>
      </c>
      <c r="AO251" s="7" t="s">
        <v>7143</v>
      </c>
      <c r="AR251" s="7">
        <v>4.1500000000000004</v>
      </c>
      <c r="AS251" s="7">
        <v>5</v>
      </c>
      <c r="AT251" s="7">
        <v>19</v>
      </c>
      <c r="AU251" s="7" t="s">
        <v>7144</v>
      </c>
      <c r="AV251" s="7" t="s">
        <v>7144</v>
      </c>
      <c r="AW251" s="7" t="s">
        <v>7143</v>
      </c>
      <c r="AZ251" s="2" t="s">
        <v>7337</v>
      </c>
      <c r="BB251" s="2" t="s">
        <v>7214</v>
      </c>
      <c r="BC251" s="2" t="s">
        <v>7247</v>
      </c>
      <c r="BD251" s="2" t="s">
        <v>7142</v>
      </c>
      <c r="BE251" s="2" t="s">
        <v>7142</v>
      </c>
      <c r="BF251" s="2" t="s">
        <v>7148</v>
      </c>
      <c r="BG251" s="2" t="s">
        <v>7149</v>
      </c>
      <c r="BH251" s="2" t="s">
        <v>7150</v>
      </c>
      <c r="BI251" s="2" t="s">
        <v>7151</v>
      </c>
      <c r="BL251" s="7" t="s">
        <v>7152</v>
      </c>
      <c r="BM251" s="7" t="s">
        <v>7153</v>
      </c>
      <c r="BN251" s="7" t="s">
        <v>7154</v>
      </c>
      <c r="BO251" s="7" t="s">
        <v>7155</v>
      </c>
      <c r="BQ251" s="2" t="s">
        <v>7156</v>
      </c>
      <c r="BS251" s="7" t="s">
        <v>7142</v>
      </c>
      <c r="BT251" s="2" t="s">
        <v>7341</v>
      </c>
      <c r="BV251" s="2" t="s">
        <v>7304</v>
      </c>
      <c r="BX251" s="2" t="s">
        <v>7143</v>
      </c>
      <c r="BZ251" s="2" t="s">
        <v>7159</v>
      </c>
      <c r="CE251" s="7">
        <v>19</v>
      </c>
      <c r="CF251" s="2">
        <v>1900</v>
      </c>
      <c r="CK251" s="2">
        <v>20</v>
      </c>
      <c r="CM251" s="2">
        <v>80</v>
      </c>
      <c r="CO251" s="2">
        <v>100</v>
      </c>
      <c r="CR251" s="2" t="s">
        <v>7160</v>
      </c>
      <c r="CT251" s="2" t="s">
        <v>7143</v>
      </c>
      <c r="CU251" s="2" t="s">
        <v>7161</v>
      </c>
      <c r="CW251" s="2" t="s">
        <v>7162</v>
      </c>
      <c r="CY251" s="2" t="s">
        <v>7163</v>
      </c>
      <c r="CZ251" s="2" t="s">
        <v>7163</v>
      </c>
      <c r="DA251" s="2" t="s">
        <v>7250</v>
      </c>
      <c r="DB251" s="2" t="s">
        <v>7250</v>
      </c>
      <c r="DC251" s="2" t="s">
        <v>7321</v>
      </c>
      <c r="DD251" s="2" t="s">
        <v>7321</v>
      </c>
      <c r="DE251" s="2" t="s">
        <v>7250</v>
      </c>
      <c r="DF251" s="2" t="s">
        <v>7163</v>
      </c>
      <c r="DG251" s="2" t="s">
        <v>7250</v>
      </c>
      <c r="DH251" s="2" t="s">
        <v>7250</v>
      </c>
      <c r="DI251" s="2" t="s">
        <v>7250</v>
      </c>
      <c r="DL251" s="2" t="s">
        <v>7142</v>
      </c>
      <c r="DM251" s="2" t="s">
        <v>7142</v>
      </c>
      <c r="DN251" s="2" t="s">
        <v>7142</v>
      </c>
      <c r="DO251" s="2" t="s">
        <v>7142</v>
      </c>
      <c r="DP251" s="2" t="s">
        <v>7165</v>
      </c>
      <c r="DQ251" s="2" t="s">
        <v>7333</v>
      </c>
      <c r="DR251" s="2" t="s">
        <v>1797</v>
      </c>
      <c r="DT251" s="2" t="s">
        <v>7165</v>
      </c>
      <c r="DU251" s="2" t="s">
        <v>7165</v>
      </c>
      <c r="DV251" s="2" t="s">
        <v>7165</v>
      </c>
      <c r="DW251" s="2" t="s">
        <v>7165</v>
      </c>
      <c r="DX251" s="2" t="s">
        <v>7165</v>
      </c>
      <c r="DY251" s="2" t="s">
        <v>7165</v>
      </c>
      <c r="DZ251" s="2" t="s">
        <v>7165</v>
      </c>
      <c r="EA251" s="2" t="s">
        <v>7165</v>
      </c>
      <c r="EB251" s="2" t="s">
        <v>7165</v>
      </c>
      <c r="EC251" s="2" t="s">
        <v>7173</v>
      </c>
      <c r="EF251" s="2" t="s">
        <v>7167</v>
      </c>
      <c r="EJ251" s="2" t="s">
        <v>7193</v>
      </c>
      <c r="EK251" s="2" t="s">
        <v>7142</v>
      </c>
      <c r="EL251" s="2" t="s">
        <v>7143</v>
      </c>
      <c r="EN251" s="2" t="s">
        <v>7170</v>
      </c>
      <c r="EP251" s="2" t="s">
        <v>7186</v>
      </c>
      <c r="ER251" s="2" t="s">
        <v>7142</v>
      </c>
      <c r="ET251" s="2" t="s">
        <v>7143</v>
      </c>
      <c r="EV251" s="2" t="s">
        <v>7142</v>
      </c>
      <c r="EW251" s="2" t="s">
        <v>7171</v>
      </c>
      <c r="EX251" s="2" t="s">
        <v>7143</v>
      </c>
      <c r="EZ251" s="2" t="s">
        <v>7143</v>
      </c>
      <c r="FC251" s="2" t="s">
        <v>7309</v>
      </c>
      <c r="FD251" s="2" t="s">
        <v>7143</v>
      </c>
      <c r="FH251" s="2" t="s">
        <v>7173</v>
      </c>
      <c r="FJ251" s="2" t="s">
        <v>7143</v>
      </c>
      <c r="FK251" s="2" t="s">
        <v>7173</v>
      </c>
      <c r="FR251" s="2" t="s">
        <v>1798</v>
      </c>
      <c r="FT251" s="2" t="s">
        <v>7176</v>
      </c>
      <c r="FU251" s="2" t="s">
        <v>7176</v>
      </c>
      <c r="FV251" s="2" t="s">
        <v>7176</v>
      </c>
      <c r="FW251" s="2" t="s">
        <v>7176</v>
      </c>
      <c r="FZ251" s="19" t="s">
        <v>8074</v>
      </c>
    </row>
    <row r="252" spans="1:182">
      <c r="A252" s="7" t="s">
        <v>1799</v>
      </c>
      <c r="D252" s="7" t="s">
        <v>8075</v>
      </c>
      <c r="E252" s="7" t="s">
        <v>1800</v>
      </c>
      <c r="F252" s="7" t="s">
        <v>7389</v>
      </c>
      <c r="G252" s="7" t="s">
        <v>7981</v>
      </c>
      <c r="H252" s="7" t="s">
        <v>1659</v>
      </c>
      <c r="I252" s="7" t="s">
        <v>1801</v>
      </c>
      <c r="J252" s="16" t="s">
        <v>8076</v>
      </c>
      <c r="K252" s="7" t="s">
        <v>1801</v>
      </c>
      <c r="L252" s="2" t="s">
        <v>7137</v>
      </c>
      <c r="M252" s="7" t="s">
        <v>7179</v>
      </c>
      <c r="N252" s="7">
        <v>1980</v>
      </c>
      <c r="O252" s="7" t="s">
        <v>7180</v>
      </c>
      <c r="P252" s="7" t="s">
        <v>7140</v>
      </c>
      <c r="Q252" s="2" t="s">
        <v>7225</v>
      </c>
      <c r="R252" s="2" t="s">
        <v>7143</v>
      </c>
      <c r="S252" s="2">
        <v>28</v>
      </c>
      <c r="T252" s="2" t="s">
        <v>7143</v>
      </c>
      <c r="U252" s="2" t="s">
        <v>7143</v>
      </c>
      <c r="Y252" s="2">
        <v>420</v>
      </c>
      <c r="Z252" s="17">
        <v>1</v>
      </c>
      <c r="AA252" s="2">
        <v>420</v>
      </c>
      <c r="AB252" s="2">
        <v>420</v>
      </c>
      <c r="AC252" s="7">
        <v>420</v>
      </c>
      <c r="AD252" s="2">
        <v>520</v>
      </c>
      <c r="AE252" s="2">
        <v>100</v>
      </c>
      <c r="AF252" s="2" t="s">
        <v>7143</v>
      </c>
      <c r="AG252" s="2" t="s">
        <v>7143</v>
      </c>
      <c r="AH252" s="2" t="s">
        <v>7143</v>
      </c>
      <c r="AJ252" s="2" t="s">
        <v>7143</v>
      </c>
      <c r="AK252" s="2" t="s">
        <v>7143</v>
      </c>
      <c r="AL252" s="2" t="s">
        <v>7143</v>
      </c>
      <c r="AM252" s="2" t="s">
        <v>7143</v>
      </c>
      <c r="AN252" s="2" t="s">
        <v>7143</v>
      </c>
      <c r="AO252" s="2" t="s">
        <v>7143</v>
      </c>
      <c r="AR252" s="7">
        <v>1.2</v>
      </c>
      <c r="AS252" s="7">
        <v>1</v>
      </c>
      <c r="AT252" s="7">
        <v>4</v>
      </c>
      <c r="AU252" s="2" t="s">
        <v>7193</v>
      </c>
      <c r="AV252" s="2" t="s">
        <v>7144</v>
      </c>
      <c r="AW252" s="2" t="s">
        <v>7143</v>
      </c>
      <c r="AZ252" s="2" t="s">
        <v>7286</v>
      </c>
      <c r="BB252" s="2" t="s">
        <v>7214</v>
      </c>
      <c r="BC252" s="2" t="s">
        <v>7147</v>
      </c>
      <c r="BD252" s="2" t="s">
        <v>7143</v>
      </c>
      <c r="BE252" s="2" t="s">
        <v>7143</v>
      </c>
      <c r="BL252" s="2" t="s">
        <v>7152</v>
      </c>
      <c r="BM252" s="2" t="s">
        <v>7355</v>
      </c>
      <c r="BN252" s="2" t="s">
        <v>7154</v>
      </c>
      <c r="BO252" s="2" t="s">
        <v>7155</v>
      </c>
      <c r="BQ252" s="2" t="s">
        <v>7183</v>
      </c>
      <c r="BS252" s="2" t="s">
        <v>7142</v>
      </c>
      <c r="BT252" s="2" t="s">
        <v>7416</v>
      </c>
      <c r="BV252" s="2" t="s">
        <v>7348</v>
      </c>
      <c r="BX252" s="2" t="s">
        <v>7143</v>
      </c>
      <c r="BZ252" s="2" t="s">
        <v>7165</v>
      </c>
      <c r="CA252" s="2" t="s">
        <v>1802</v>
      </c>
      <c r="CE252" s="7">
        <v>4</v>
      </c>
      <c r="CF252" s="2">
        <v>520</v>
      </c>
      <c r="CK252" s="2">
        <v>50</v>
      </c>
      <c r="CM252" s="2">
        <v>50</v>
      </c>
      <c r="CO252" s="2">
        <v>100</v>
      </c>
      <c r="CR252" s="2" t="s">
        <v>7160</v>
      </c>
      <c r="CT252" s="2" t="s">
        <v>7143</v>
      </c>
      <c r="CU252" s="2" t="s">
        <v>7161</v>
      </c>
      <c r="CW252" s="2" t="s">
        <v>7162</v>
      </c>
      <c r="CY252" s="2" t="s">
        <v>7227</v>
      </c>
      <c r="CZ252" s="2" t="s">
        <v>7250</v>
      </c>
      <c r="DA252" s="2" t="s">
        <v>7250</v>
      </c>
      <c r="DB252" s="2" t="s">
        <v>7250</v>
      </c>
      <c r="DC252" s="2" t="s">
        <v>7250</v>
      </c>
      <c r="DD252" s="2" t="s">
        <v>7250</v>
      </c>
      <c r="DE252" s="2" t="s">
        <v>7227</v>
      </c>
      <c r="DF252" s="2" t="s">
        <v>7227</v>
      </c>
      <c r="DG252" s="2" t="s">
        <v>7227</v>
      </c>
      <c r="DH252" s="2" t="s">
        <v>7250</v>
      </c>
      <c r="DI252" s="2" t="s">
        <v>7250</v>
      </c>
      <c r="DL252" s="2" t="s">
        <v>7142</v>
      </c>
      <c r="DM252" s="2" t="s">
        <v>7142</v>
      </c>
      <c r="DN252" s="2" t="s">
        <v>7142</v>
      </c>
      <c r="DO252" s="2" t="s">
        <v>7142</v>
      </c>
      <c r="DP252" s="2" t="s">
        <v>7165</v>
      </c>
      <c r="DQ252" s="2" t="s">
        <v>7333</v>
      </c>
      <c r="DR252" s="2" t="s">
        <v>1677</v>
      </c>
      <c r="DT252" s="2" t="s">
        <v>7165</v>
      </c>
      <c r="DU252" s="2" t="s">
        <v>7165</v>
      </c>
      <c r="DV252" s="2" t="s">
        <v>7165</v>
      </c>
      <c r="DW252" s="2" t="s">
        <v>7165</v>
      </c>
      <c r="DX252" s="2" t="s">
        <v>7165</v>
      </c>
      <c r="DY252" s="2" t="s">
        <v>7165</v>
      </c>
      <c r="DZ252" s="2" t="s">
        <v>7165</v>
      </c>
      <c r="EA252" s="2" t="s">
        <v>7165</v>
      </c>
      <c r="EB252" s="2" t="s">
        <v>7165</v>
      </c>
      <c r="EC252" s="2" t="s">
        <v>7173</v>
      </c>
      <c r="EF252" s="2" t="s">
        <v>7167</v>
      </c>
      <c r="EG252" s="2" t="s">
        <v>985</v>
      </c>
      <c r="EJ252" s="2" t="s">
        <v>7217</v>
      </c>
      <c r="EK252" s="2" t="s">
        <v>7143</v>
      </c>
      <c r="EL252" s="2" t="s">
        <v>7143</v>
      </c>
      <c r="EN252" s="2" t="s">
        <v>7210</v>
      </c>
      <c r="EP252" s="2" t="s">
        <v>7186</v>
      </c>
      <c r="ER252" s="2" t="s">
        <v>7143</v>
      </c>
      <c r="ET252" s="2" t="s">
        <v>7143</v>
      </c>
      <c r="EV252" s="2" t="s">
        <v>7143</v>
      </c>
      <c r="EX252" s="2" t="s">
        <v>7143</v>
      </c>
      <c r="EZ252" s="2" t="s">
        <v>7143</v>
      </c>
      <c r="FC252" s="2" t="s">
        <v>7218</v>
      </c>
      <c r="FD252" s="2" t="s">
        <v>7143</v>
      </c>
      <c r="FH252" s="2" t="s">
        <v>7173</v>
      </c>
      <c r="FJ252" s="2" t="s">
        <v>7143</v>
      </c>
      <c r="FK252" s="2" t="s">
        <v>7173</v>
      </c>
      <c r="FN252" s="2" t="s">
        <v>7876</v>
      </c>
      <c r="FR252" s="2" t="s">
        <v>433</v>
      </c>
      <c r="FT252" s="2" t="s">
        <v>7189</v>
      </c>
      <c r="FU252" s="2" t="s">
        <v>7189</v>
      </c>
      <c r="FV252" s="2" t="s">
        <v>7345</v>
      </c>
      <c r="FW252" s="2" t="s">
        <v>7176</v>
      </c>
      <c r="FZ252" s="19" t="s">
        <v>8077</v>
      </c>
    </row>
    <row r="253" spans="1:182">
      <c r="A253" s="7" t="s">
        <v>1803</v>
      </c>
      <c r="D253" s="7" t="s">
        <v>8078</v>
      </c>
      <c r="E253" s="7" t="s">
        <v>1804</v>
      </c>
      <c r="F253" s="7" t="s">
        <v>7339</v>
      </c>
      <c r="G253" s="7" t="s">
        <v>7981</v>
      </c>
      <c r="H253" s="7" t="s">
        <v>1650</v>
      </c>
      <c r="I253" s="7" t="s">
        <v>1805</v>
      </c>
      <c r="J253" s="16" t="s">
        <v>8079</v>
      </c>
      <c r="K253" s="7" t="s">
        <v>1806</v>
      </c>
      <c r="L253" s="2" t="s">
        <v>7137</v>
      </c>
      <c r="M253" s="7" t="s">
        <v>7179</v>
      </c>
      <c r="N253" s="7">
        <v>1986</v>
      </c>
      <c r="O253" s="7" t="s">
        <v>7180</v>
      </c>
      <c r="P253" s="2" t="s">
        <v>7181</v>
      </c>
      <c r="Q253" s="2" t="s">
        <v>7182</v>
      </c>
      <c r="R253" s="2" t="s">
        <v>7143</v>
      </c>
      <c r="S253" s="2">
        <v>29</v>
      </c>
      <c r="T253" s="2" t="s">
        <v>7143</v>
      </c>
      <c r="U253" s="2" t="s">
        <v>7143</v>
      </c>
      <c r="Y253" s="2">
        <v>654</v>
      </c>
      <c r="Z253" s="17">
        <v>0.77059999999999995</v>
      </c>
      <c r="AA253" s="2">
        <v>504</v>
      </c>
      <c r="AB253" s="2">
        <v>504</v>
      </c>
      <c r="AC253" s="7">
        <v>504</v>
      </c>
      <c r="AD253" s="2">
        <v>784</v>
      </c>
      <c r="AE253" s="2">
        <v>280</v>
      </c>
      <c r="AF253" s="2" t="s">
        <v>7143</v>
      </c>
      <c r="AG253" s="2" t="s">
        <v>7143</v>
      </c>
      <c r="AH253" s="2" t="s">
        <v>7143</v>
      </c>
      <c r="AJ253" s="2" t="s">
        <v>7143</v>
      </c>
      <c r="AK253" s="2" t="s">
        <v>7143</v>
      </c>
      <c r="AL253" s="2" t="s">
        <v>7143</v>
      </c>
      <c r="AM253" s="2" t="s">
        <v>7143</v>
      </c>
      <c r="AN253" s="2" t="s">
        <v>7143</v>
      </c>
      <c r="AO253" s="2" t="s">
        <v>7142</v>
      </c>
      <c r="AR253" s="7">
        <v>4.5</v>
      </c>
      <c r="AS253" s="7">
        <v>3</v>
      </c>
      <c r="AT253" s="7">
        <v>8</v>
      </c>
      <c r="AU253" s="2" t="s">
        <v>7193</v>
      </c>
      <c r="AV253" s="2" t="s">
        <v>7193</v>
      </c>
      <c r="AW253" s="2" t="s">
        <v>7143</v>
      </c>
      <c r="AZ253" s="2" t="s">
        <v>7566</v>
      </c>
      <c r="BB253" s="2" t="s">
        <v>7214</v>
      </c>
      <c r="BC253" s="2" t="s">
        <v>7247</v>
      </c>
      <c r="BD253" s="2" t="s">
        <v>7143</v>
      </c>
      <c r="BE253" s="2" t="s">
        <v>7142</v>
      </c>
      <c r="BF253" s="2" t="s">
        <v>7148</v>
      </c>
      <c r="BG253" s="2" t="s">
        <v>7149</v>
      </c>
      <c r="BH253" s="2" t="s">
        <v>7150</v>
      </c>
      <c r="BI253" s="2" t="s">
        <v>7151</v>
      </c>
      <c r="BL253" s="2" t="s">
        <v>7152</v>
      </c>
      <c r="BM253" s="2" t="s">
        <v>7153</v>
      </c>
      <c r="BN253" s="2" t="s">
        <v>7154</v>
      </c>
      <c r="BO253" s="2" t="s">
        <v>7155</v>
      </c>
      <c r="BQ253" s="2" t="s">
        <v>7183</v>
      </c>
      <c r="BS253" s="2" t="s">
        <v>7142</v>
      </c>
      <c r="BT253" s="2" t="s">
        <v>7400</v>
      </c>
      <c r="BV253" s="2" t="s">
        <v>7304</v>
      </c>
      <c r="BX253" s="2" t="s">
        <v>7142</v>
      </c>
      <c r="BY253" s="2" t="s">
        <v>1807</v>
      </c>
      <c r="BZ253" s="2" t="s">
        <v>7165</v>
      </c>
      <c r="CA253" s="2" t="s">
        <v>1808</v>
      </c>
      <c r="CE253" s="7">
        <v>8</v>
      </c>
      <c r="CF253" s="2">
        <v>784</v>
      </c>
      <c r="CM253" s="2">
        <v>100</v>
      </c>
      <c r="CP253" s="2">
        <v>100</v>
      </c>
      <c r="CR253" s="2" t="s">
        <v>7160</v>
      </c>
      <c r="CT253" s="2" t="s">
        <v>7143</v>
      </c>
      <c r="CU253" s="2" t="s">
        <v>7161</v>
      </c>
      <c r="CW253" s="2" t="s">
        <v>7162</v>
      </c>
      <c r="CY253" s="2" t="s">
        <v>7163</v>
      </c>
      <c r="CZ253" s="2" t="s">
        <v>7163</v>
      </c>
      <c r="DA253" s="2" t="s">
        <v>7250</v>
      </c>
      <c r="DB253" s="2" t="s">
        <v>7250</v>
      </c>
      <c r="DC253" s="2" t="s">
        <v>7250</v>
      </c>
      <c r="DD253" s="2" t="s">
        <v>7250</v>
      </c>
      <c r="DE253" s="2" t="s">
        <v>7250</v>
      </c>
      <c r="DF253" s="2" t="s">
        <v>7163</v>
      </c>
      <c r="DG253" s="2" t="s">
        <v>7163</v>
      </c>
      <c r="DH253" s="2" t="s">
        <v>7163</v>
      </c>
      <c r="DI253" s="2" t="s">
        <v>7250</v>
      </c>
      <c r="DL253" s="2" t="s">
        <v>7142</v>
      </c>
      <c r="DM253" s="2" t="s">
        <v>7142</v>
      </c>
      <c r="DN253" s="2" t="s">
        <v>7142</v>
      </c>
      <c r="DO253" s="2" t="s">
        <v>7142</v>
      </c>
      <c r="DP253" s="2" t="s">
        <v>7165</v>
      </c>
      <c r="DQ253" s="2" t="s">
        <v>7333</v>
      </c>
      <c r="DR253" s="2" t="s">
        <v>1809</v>
      </c>
      <c r="DT253" s="2" t="s">
        <v>7165</v>
      </c>
      <c r="DU253" s="2" t="s">
        <v>7165</v>
      </c>
      <c r="DV253" s="2" t="s">
        <v>7165</v>
      </c>
      <c r="DW253" s="2" t="s">
        <v>7165</v>
      </c>
      <c r="DX253" s="2" t="s">
        <v>7165</v>
      </c>
      <c r="DY253" s="2" t="s">
        <v>7165</v>
      </c>
      <c r="DZ253" s="2" t="s">
        <v>7165</v>
      </c>
      <c r="EA253" s="2" t="s">
        <v>7165</v>
      </c>
      <c r="EB253" s="2" t="s">
        <v>7165</v>
      </c>
      <c r="EC253" s="2" t="s">
        <v>7165</v>
      </c>
      <c r="ED253" s="2" t="s">
        <v>7159</v>
      </c>
      <c r="EF253" s="2" t="s">
        <v>7221</v>
      </c>
      <c r="EG253" s="2" t="s">
        <v>1810</v>
      </c>
      <c r="EJ253" s="2" t="s">
        <v>7193</v>
      </c>
      <c r="EK253" s="2" t="s">
        <v>7142</v>
      </c>
      <c r="EL253" s="2" t="s">
        <v>7143</v>
      </c>
      <c r="EN253" s="2" t="s">
        <v>7170</v>
      </c>
      <c r="EP253" s="2" t="s">
        <v>7186</v>
      </c>
      <c r="ER253" s="2" t="s">
        <v>7142</v>
      </c>
      <c r="ET253" s="2" t="s">
        <v>7143</v>
      </c>
      <c r="EV253" s="2" t="s">
        <v>7142</v>
      </c>
      <c r="EW253" s="2" t="s">
        <v>7171</v>
      </c>
      <c r="EX253" s="2" t="s">
        <v>7143</v>
      </c>
      <c r="EY253" s="2" t="s">
        <v>7171</v>
      </c>
      <c r="EZ253" s="2" t="s">
        <v>7143</v>
      </c>
      <c r="FC253" s="2" t="s">
        <v>7172</v>
      </c>
      <c r="FD253" s="2" t="s">
        <v>7143</v>
      </c>
      <c r="FH253" s="2" t="s">
        <v>7173</v>
      </c>
      <c r="FJ253" s="2" t="s">
        <v>7143</v>
      </c>
      <c r="FK253" s="2" t="s">
        <v>7173</v>
      </c>
      <c r="FN253" s="2" t="s">
        <v>7344</v>
      </c>
      <c r="FR253" s="2" t="s">
        <v>1811</v>
      </c>
      <c r="FT253" s="2" t="s">
        <v>7189</v>
      </c>
      <c r="FU253" s="2" t="s">
        <v>7189</v>
      </c>
      <c r="FV253" s="2" t="s">
        <v>7189</v>
      </c>
      <c r="FW253" s="2" t="s">
        <v>7189</v>
      </c>
      <c r="FX253" s="2" t="s">
        <v>7189</v>
      </c>
      <c r="FY253" s="2" t="s">
        <v>1812</v>
      </c>
      <c r="FZ253" s="19" t="s">
        <v>8080</v>
      </c>
    </row>
    <row r="254" spans="1:182">
      <c r="A254" s="7" t="s">
        <v>1813</v>
      </c>
      <c r="D254" s="7" t="s">
        <v>8081</v>
      </c>
      <c r="E254" s="7" t="s">
        <v>177</v>
      </c>
      <c r="F254" s="7" t="s">
        <v>7245</v>
      </c>
      <c r="G254" s="7" t="s">
        <v>7981</v>
      </c>
      <c r="H254" s="7" t="s">
        <v>1659</v>
      </c>
      <c r="I254" s="7" t="s">
        <v>1814</v>
      </c>
      <c r="J254" s="19" t="s">
        <v>7267</v>
      </c>
      <c r="K254" s="7" t="s">
        <v>1815</v>
      </c>
      <c r="L254" s="7" t="s">
        <v>7137</v>
      </c>
      <c r="M254" s="7" t="s">
        <v>7138</v>
      </c>
      <c r="N254" s="7">
        <v>1975</v>
      </c>
      <c r="O254" s="7" t="s">
        <v>7180</v>
      </c>
      <c r="P254" s="7" t="s">
        <v>7181</v>
      </c>
      <c r="Q254" s="7" t="s">
        <v>7141</v>
      </c>
      <c r="R254" s="2" t="s">
        <v>7143</v>
      </c>
      <c r="S254" s="7">
        <v>1992</v>
      </c>
      <c r="T254" s="7" t="s">
        <v>7143</v>
      </c>
      <c r="U254" s="7" t="s">
        <v>7143</v>
      </c>
      <c r="Y254" s="2">
        <v>850</v>
      </c>
      <c r="Z254" s="17">
        <v>0.94120000000000004</v>
      </c>
      <c r="AA254" s="2">
        <v>800</v>
      </c>
      <c r="AB254" s="2">
        <v>800</v>
      </c>
      <c r="AC254" s="7">
        <v>730</v>
      </c>
      <c r="AD254" s="2">
        <v>800</v>
      </c>
      <c r="AE254" s="2">
        <v>70</v>
      </c>
      <c r="AF254" s="2" t="s">
        <v>7143</v>
      </c>
      <c r="AG254" s="2" t="s">
        <v>7142</v>
      </c>
      <c r="AH254" s="2" t="s">
        <v>7142</v>
      </c>
      <c r="AI254" s="2" t="s">
        <v>308</v>
      </c>
      <c r="AJ254" s="2" t="s">
        <v>7143</v>
      </c>
      <c r="AK254" s="2" t="s">
        <v>7143</v>
      </c>
      <c r="AL254" s="2" t="s">
        <v>7143</v>
      </c>
      <c r="AM254" s="2" t="s">
        <v>7142</v>
      </c>
      <c r="AN254" s="2" t="s">
        <v>7143</v>
      </c>
      <c r="AO254" s="2" t="s">
        <v>7143</v>
      </c>
      <c r="AR254" s="7">
        <v>2</v>
      </c>
      <c r="AS254" s="7">
        <v>2</v>
      </c>
      <c r="AT254" s="7">
        <v>9.5</v>
      </c>
      <c r="AU254" s="7" t="s">
        <v>7193</v>
      </c>
      <c r="AV254" s="7" t="s">
        <v>7193</v>
      </c>
      <c r="AW254" s="7" t="s">
        <v>7143</v>
      </c>
      <c r="AZ254" s="7" t="s">
        <v>7145</v>
      </c>
      <c r="BB254" s="7" t="s">
        <v>7214</v>
      </c>
      <c r="BC254" s="7" t="s">
        <v>7208</v>
      </c>
      <c r="BD254" s="7" t="s">
        <v>7142</v>
      </c>
      <c r="BE254" s="7" t="s">
        <v>7142</v>
      </c>
      <c r="BF254" s="7" t="s">
        <v>7148</v>
      </c>
      <c r="BG254" s="7" t="s">
        <v>7232</v>
      </c>
      <c r="BH254" s="7" t="s">
        <v>7248</v>
      </c>
      <c r="BI254" s="7" t="s">
        <v>7151</v>
      </c>
      <c r="BL254" s="7" t="s">
        <v>7195</v>
      </c>
      <c r="BM254" s="7" t="s">
        <v>7153</v>
      </c>
      <c r="BN254" s="7" t="s">
        <v>7154</v>
      </c>
      <c r="BO254" s="7" t="s">
        <v>7155</v>
      </c>
      <c r="BP254" s="2" t="s">
        <v>7275</v>
      </c>
      <c r="BQ254" s="2" t="s">
        <v>7183</v>
      </c>
      <c r="BS254" s="7" t="s">
        <v>7142</v>
      </c>
      <c r="BT254" s="7" t="s">
        <v>7157</v>
      </c>
      <c r="BV254" s="7" t="s">
        <v>7287</v>
      </c>
      <c r="BX254" s="7" t="s">
        <v>7142</v>
      </c>
      <c r="BY254" s="7" t="s">
        <v>1816</v>
      </c>
      <c r="BZ254" s="2" t="s">
        <v>7159</v>
      </c>
      <c r="CE254" s="7">
        <v>9.5</v>
      </c>
      <c r="CF254" s="2">
        <v>920</v>
      </c>
      <c r="CK254" s="2">
        <v>100</v>
      </c>
      <c r="CO254" s="2">
        <v>100</v>
      </c>
      <c r="CR254" s="2" t="s">
        <v>7160</v>
      </c>
      <c r="CT254" s="2" t="s">
        <v>7143</v>
      </c>
      <c r="CU254" s="2" t="s">
        <v>7161</v>
      </c>
      <c r="CW254" s="2" t="s">
        <v>7162</v>
      </c>
      <c r="CY254" s="2" t="s">
        <v>7227</v>
      </c>
      <c r="CZ254" s="2" t="s">
        <v>7227</v>
      </c>
      <c r="DA254" s="2" t="s">
        <v>7249</v>
      </c>
      <c r="DB254" s="2" t="s">
        <v>7227</v>
      </c>
      <c r="DC254" s="2" t="s">
        <v>7164</v>
      </c>
      <c r="DD254" s="2" t="s">
        <v>7251</v>
      </c>
      <c r="DE254" s="2" t="s">
        <v>7250</v>
      </c>
      <c r="DF254" s="2" t="s">
        <v>7163</v>
      </c>
      <c r="DG254" s="2" t="s">
        <v>7227</v>
      </c>
      <c r="DH254" s="2" t="s">
        <v>7227</v>
      </c>
      <c r="DI254" s="2" t="s">
        <v>7163</v>
      </c>
      <c r="DL254" s="7" t="s">
        <v>7142</v>
      </c>
      <c r="DM254" s="7" t="s">
        <v>7142</v>
      </c>
      <c r="DN254" s="7" t="s">
        <v>7142</v>
      </c>
      <c r="DO254" s="7" t="s">
        <v>7142</v>
      </c>
      <c r="DP254" s="7" t="s">
        <v>7165</v>
      </c>
      <c r="DQ254" s="7" t="s">
        <v>7166</v>
      </c>
      <c r="DS254" s="7" t="s">
        <v>7165</v>
      </c>
      <c r="DT254" s="7" t="s">
        <v>7165</v>
      </c>
      <c r="DU254" s="7" t="s">
        <v>7165</v>
      </c>
      <c r="DV254" s="7" t="s">
        <v>7165</v>
      </c>
      <c r="DW254" s="7" t="s">
        <v>7165</v>
      </c>
      <c r="DX254" s="7" t="s">
        <v>7165</v>
      </c>
      <c r="DY254" s="7" t="s">
        <v>7159</v>
      </c>
      <c r="DZ254" s="7" t="s">
        <v>7159</v>
      </c>
      <c r="EA254" s="7" t="s">
        <v>7165</v>
      </c>
      <c r="EB254" s="7" t="s">
        <v>7165</v>
      </c>
      <c r="EC254" s="7" t="s">
        <v>7159</v>
      </c>
      <c r="ED254" s="7" t="s">
        <v>7159</v>
      </c>
      <c r="EE254" s="7"/>
      <c r="EF254" s="7" t="s">
        <v>7167</v>
      </c>
      <c r="EJ254" s="7" t="s">
        <v>7193</v>
      </c>
      <c r="EK254" s="7" t="s">
        <v>7142</v>
      </c>
      <c r="EL254" s="7" t="s">
        <v>7143</v>
      </c>
      <c r="EN254" s="7" t="s">
        <v>7170</v>
      </c>
      <c r="EP254" s="7" t="s">
        <v>7186</v>
      </c>
      <c r="ET254" s="7" t="s">
        <v>7143</v>
      </c>
      <c r="EV254" s="7" t="s">
        <v>7142</v>
      </c>
      <c r="EW254" s="7" t="s">
        <v>7204</v>
      </c>
      <c r="EX254" s="7" t="s">
        <v>7143</v>
      </c>
      <c r="FC254" s="7" t="s">
        <v>7172</v>
      </c>
      <c r="FD254" s="7" t="s">
        <v>7143</v>
      </c>
      <c r="FH254" s="7" t="s">
        <v>7173</v>
      </c>
      <c r="FJ254" s="7" t="s">
        <v>7143</v>
      </c>
      <c r="FK254" s="2" t="s">
        <v>7159</v>
      </c>
      <c r="FN254" s="2" t="s">
        <v>7283</v>
      </c>
      <c r="FT254" s="2" t="s">
        <v>7176</v>
      </c>
      <c r="FU254" s="2" t="s">
        <v>7189</v>
      </c>
      <c r="FV254" s="2" t="s">
        <v>7189</v>
      </c>
      <c r="FW254" s="2" t="s">
        <v>7189</v>
      </c>
      <c r="FZ254" s="19" t="s">
        <v>8082</v>
      </c>
    </row>
    <row r="255" spans="1:182">
      <c r="A255" s="7" t="s">
        <v>1817</v>
      </c>
      <c r="D255" s="7" t="s">
        <v>8083</v>
      </c>
      <c r="E255" s="7" t="s">
        <v>1818</v>
      </c>
      <c r="F255" s="7" t="s">
        <v>7339</v>
      </c>
      <c r="G255" s="7" t="s">
        <v>7981</v>
      </c>
      <c r="H255" s="7" t="s">
        <v>1650</v>
      </c>
      <c r="I255" s="7" t="s">
        <v>1819</v>
      </c>
      <c r="J255" s="16" t="s">
        <v>8084</v>
      </c>
      <c r="K255" s="7" t="s">
        <v>1820</v>
      </c>
      <c r="L255" s="2" t="s">
        <v>7137</v>
      </c>
      <c r="M255" s="7" t="s">
        <v>7138</v>
      </c>
      <c r="N255" s="7">
        <v>1973</v>
      </c>
      <c r="O255" s="7" t="s">
        <v>7180</v>
      </c>
      <c r="P255" s="2" t="s">
        <v>7140</v>
      </c>
      <c r="Q255" s="2" t="s">
        <v>7182</v>
      </c>
      <c r="R255" s="2" t="s">
        <v>7143</v>
      </c>
      <c r="S255" s="2">
        <v>28</v>
      </c>
      <c r="T255" s="2" t="s">
        <v>7143</v>
      </c>
      <c r="U255" s="2" t="s">
        <v>7143</v>
      </c>
      <c r="Y255" s="2">
        <v>966</v>
      </c>
      <c r="Z255" s="17">
        <v>1</v>
      </c>
      <c r="AA255" s="2">
        <v>966</v>
      </c>
      <c r="AB255" s="2">
        <v>966</v>
      </c>
      <c r="AC255" s="7">
        <v>816</v>
      </c>
      <c r="AD255" s="2">
        <v>1176</v>
      </c>
      <c r="AE255" s="2">
        <v>360</v>
      </c>
      <c r="AF255" s="2" t="s">
        <v>7143</v>
      </c>
      <c r="AG255" s="2" t="s">
        <v>7143</v>
      </c>
      <c r="AH255" s="2" t="s">
        <v>7143</v>
      </c>
      <c r="AJ255" s="2" t="s">
        <v>7143</v>
      </c>
      <c r="AK255" s="2" t="s">
        <v>7143</v>
      </c>
      <c r="AL255" s="2" t="s">
        <v>7143</v>
      </c>
      <c r="AM255" s="2" t="s">
        <v>7143</v>
      </c>
      <c r="AN255" s="2" t="s">
        <v>7143</v>
      </c>
      <c r="AO255" s="2" t="s">
        <v>7143</v>
      </c>
      <c r="AR255" s="7">
        <v>3</v>
      </c>
      <c r="AS255" s="7">
        <v>4</v>
      </c>
      <c r="AT255" s="7">
        <v>12</v>
      </c>
      <c r="AU255" s="2" t="s">
        <v>7193</v>
      </c>
      <c r="AV255" s="2" t="s">
        <v>7193</v>
      </c>
      <c r="AW255" s="2" t="s">
        <v>7143</v>
      </c>
      <c r="AZ255" s="2" t="s">
        <v>7566</v>
      </c>
      <c r="BB255" s="2" t="s">
        <v>7214</v>
      </c>
      <c r="BC255" s="2" t="s">
        <v>7247</v>
      </c>
      <c r="BD255" s="2" t="s">
        <v>7143</v>
      </c>
      <c r="BE255" s="2" t="s">
        <v>7142</v>
      </c>
      <c r="BF255" s="2" t="s">
        <v>7148</v>
      </c>
      <c r="BG255" s="2" t="s">
        <v>7149</v>
      </c>
      <c r="BH255" s="2" t="s">
        <v>7150</v>
      </c>
      <c r="BI255" s="2" t="s">
        <v>7151</v>
      </c>
      <c r="BL255" s="2" t="s">
        <v>7152</v>
      </c>
      <c r="BM255" s="2" t="s">
        <v>7153</v>
      </c>
      <c r="BN255" s="2" t="s">
        <v>7154</v>
      </c>
      <c r="BO255" s="2" t="s">
        <v>7155</v>
      </c>
      <c r="BQ255" s="2" t="s">
        <v>7183</v>
      </c>
      <c r="BS255" s="2" t="s">
        <v>7142</v>
      </c>
      <c r="BT255" s="2" t="s">
        <v>7400</v>
      </c>
      <c r="BV255" s="2" t="s">
        <v>7407</v>
      </c>
      <c r="BX255" s="2" t="s">
        <v>7142</v>
      </c>
      <c r="BY255" s="2" t="s">
        <v>1821</v>
      </c>
      <c r="BZ255" s="2" t="s">
        <v>7165</v>
      </c>
      <c r="CA255" s="2" t="s">
        <v>1822</v>
      </c>
      <c r="CE255" s="7">
        <v>12</v>
      </c>
      <c r="CF255" s="2">
        <v>1176</v>
      </c>
      <c r="CM255" s="2">
        <v>100</v>
      </c>
      <c r="CO255" s="2">
        <v>100</v>
      </c>
      <c r="CR255" s="2" t="s">
        <v>7357</v>
      </c>
      <c r="CT255" s="2" t="s">
        <v>7143</v>
      </c>
      <c r="CU255" s="2" t="s">
        <v>7161</v>
      </c>
      <c r="CW255" s="2" t="s">
        <v>7162</v>
      </c>
      <c r="CY255" s="2" t="s">
        <v>7227</v>
      </c>
      <c r="CZ255" s="2" t="s">
        <v>7227</v>
      </c>
      <c r="DA255" s="2" t="s">
        <v>7249</v>
      </c>
      <c r="DB255" s="2" t="s">
        <v>7249</v>
      </c>
      <c r="DC255" s="2" t="s">
        <v>7249</v>
      </c>
      <c r="DD255" s="2" t="s">
        <v>7249</v>
      </c>
      <c r="DE255" s="2" t="s">
        <v>7358</v>
      </c>
      <c r="DF255" s="2" t="s">
        <v>7227</v>
      </c>
      <c r="DG255" s="2" t="s">
        <v>7227</v>
      </c>
      <c r="DH255" s="2" t="s">
        <v>7227</v>
      </c>
      <c r="DI255" s="2" t="s">
        <v>7227</v>
      </c>
      <c r="DL255" s="2" t="s">
        <v>7142</v>
      </c>
      <c r="DM255" s="2" t="s">
        <v>7142</v>
      </c>
      <c r="DN255" s="2" t="s">
        <v>7142</v>
      </c>
      <c r="DO255" s="2" t="s">
        <v>7142</v>
      </c>
      <c r="DP255" s="2" t="s">
        <v>7165</v>
      </c>
      <c r="DQ255" s="2" t="s">
        <v>7333</v>
      </c>
      <c r="DR255" s="2" t="s">
        <v>1823</v>
      </c>
      <c r="DT255" s="2" t="s">
        <v>7165</v>
      </c>
      <c r="DU255" s="2" t="s">
        <v>7165</v>
      </c>
      <c r="DV255" s="2" t="s">
        <v>7165</v>
      </c>
      <c r="DW255" s="2" t="s">
        <v>7165</v>
      </c>
      <c r="DX255" s="2" t="s">
        <v>7165</v>
      </c>
      <c r="DY255" s="2" t="s">
        <v>7165</v>
      </c>
      <c r="DZ255" s="2" t="s">
        <v>7165</v>
      </c>
      <c r="EA255" s="2" t="s">
        <v>7165</v>
      </c>
      <c r="EB255" s="2" t="s">
        <v>7165</v>
      </c>
      <c r="EC255" s="2" t="s">
        <v>7159</v>
      </c>
      <c r="ED255" s="2" t="s">
        <v>7159</v>
      </c>
      <c r="EF255" s="2" t="s">
        <v>7221</v>
      </c>
      <c r="EG255" s="2" t="s">
        <v>1824</v>
      </c>
      <c r="EJ255" s="2" t="s">
        <v>7193</v>
      </c>
      <c r="EK255" s="2" t="s">
        <v>7142</v>
      </c>
      <c r="EL255" s="2" t="s">
        <v>7143</v>
      </c>
      <c r="EN255" s="2" t="s">
        <v>7170</v>
      </c>
      <c r="EP255" s="2" t="s">
        <v>7186</v>
      </c>
      <c r="ER255" s="2" t="s">
        <v>7142</v>
      </c>
      <c r="ET255" s="2" t="s">
        <v>7143</v>
      </c>
      <c r="EV255" s="2" t="s">
        <v>7142</v>
      </c>
      <c r="EW255" s="2" t="s">
        <v>7171</v>
      </c>
      <c r="EX255" s="2" t="s">
        <v>7143</v>
      </c>
      <c r="EZ255" s="2" t="s">
        <v>7143</v>
      </c>
      <c r="FC255" s="2" t="s">
        <v>7218</v>
      </c>
      <c r="FD255" s="2" t="s">
        <v>7143</v>
      </c>
      <c r="FH255" s="2" t="s">
        <v>7173</v>
      </c>
      <c r="FJ255" s="2" t="s">
        <v>7143</v>
      </c>
      <c r="FK255" s="2" t="s">
        <v>7173</v>
      </c>
      <c r="FN255" s="2" t="s">
        <v>7344</v>
      </c>
      <c r="FR255" s="2" t="s">
        <v>1825</v>
      </c>
      <c r="FT255" s="2" t="s">
        <v>7189</v>
      </c>
      <c r="FU255" s="2" t="s">
        <v>7189</v>
      </c>
      <c r="FV255" s="2" t="s">
        <v>7189</v>
      </c>
      <c r="FW255" s="2" t="s">
        <v>7189</v>
      </c>
      <c r="FX255" s="2" t="s">
        <v>7189</v>
      </c>
      <c r="FZ255" s="19" t="s">
        <v>8085</v>
      </c>
    </row>
    <row r="256" spans="1:182">
      <c r="A256" s="7" t="s">
        <v>1826</v>
      </c>
      <c r="D256" s="7" t="s">
        <v>8086</v>
      </c>
      <c r="E256" s="7" t="s">
        <v>1827</v>
      </c>
      <c r="F256" s="7" t="s">
        <v>7311</v>
      </c>
      <c r="G256" s="7" t="s">
        <v>7981</v>
      </c>
      <c r="H256" s="7" t="s">
        <v>1731</v>
      </c>
      <c r="I256" s="7" t="s">
        <v>1828</v>
      </c>
      <c r="J256" s="16" t="s">
        <v>8087</v>
      </c>
      <c r="K256" s="7" t="s">
        <v>1828</v>
      </c>
      <c r="L256" s="7" t="s">
        <v>7137</v>
      </c>
      <c r="M256" s="7" t="s">
        <v>7138</v>
      </c>
      <c r="N256" s="7">
        <v>1978</v>
      </c>
      <c r="O256" s="7" t="s">
        <v>7180</v>
      </c>
      <c r="P256" s="7" t="s">
        <v>7140</v>
      </c>
      <c r="Q256" s="7" t="s">
        <v>7182</v>
      </c>
      <c r="R256" s="7" t="s">
        <v>7143</v>
      </c>
      <c r="S256" s="7">
        <v>30</v>
      </c>
      <c r="T256" s="7" t="s">
        <v>7143</v>
      </c>
      <c r="U256" s="7" t="s">
        <v>7143</v>
      </c>
      <c r="Y256" s="2">
        <v>1380</v>
      </c>
      <c r="Z256" s="17">
        <v>1</v>
      </c>
      <c r="AA256" s="2">
        <v>1380</v>
      </c>
      <c r="AB256" s="2">
        <v>1380</v>
      </c>
      <c r="AC256" s="7">
        <v>1380</v>
      </c>
      <c r="AD256" s="2">
        <v>1500</v>
      </c>
      <c r="AE256" s="2">
        <v>120</v>
      </c>
      <c r="AF256" s="2" t="s">
        <v>7143</v>
      </c>
      <c r="AG256" s="2" t="s">
        <v>7143</v>
      </c>
      <c r="AH256" s="2" t="s">
        <v>7143</v>
      </c>
      <c r="AJ256" s="2" t="s">
        <v>7143</v>
      </c>
      <c r="AK256" s="2" t="s">
        <v>7143</v>
      </c>
      <c r="AL256" s="2" t="s">
        <v>7143</v>
      </c>
      <c r="AM256" s="2" t="s">
        <v>7143</v>
      </c>
      <c r="AN256" s="2" t="s">
        <v>7143</v>
      </c>
      <c r="AO256" s="2" t="s">
        <v>7143</v>
      </c>
      <c r="AR256" s="7">
        <v>3.2</v>
      </c>
      <c r="AS256" s="7">
        <v>5</v>
      </c>
      <c r="AT256" s="7">
        <v>15</v>
      </c>
      <c r="AU256" s="2" t="s">
        <v>7193</v>
      </c>
      <c r="AV256" s="2" t="s">
        <v>7193</v>
      </c>
      <c r="AW256" s="2" t="s">
        <v>7143</v>
      </c>
      <c r="BC256" s="2" t="s">
        <v>7147</v>
      </c>
      <c r="BD256" s="2" t="s">
        <v>7142</v>
      </c>
      <c r="BE256" s="2" t="s">
        <v>7143</v>
      </c>
      <c r="BL256" s="2" t="s">
        <v>7152</v>
      </c>
      <c r="BM256" s="2" t="s">
        <v>7153</v>
      </c>
      <c r="BN256" s="2" t="s">
        <v>7154</v>
      </c>
      <c r="BO256" s="2" t="s">
        <v>7274</v>
      </c>
      <c r="BP256" s="2" t="s">
        <v>7270</v>
      </c>
      <c r="BS256" s="2" t="s">
        <v>7142</v>
      </c>
      <c r="BT256" s="2" t="s">
        <v>7315</v>
      </c>
      <c r="BV256" s="2" t="s">
        <v>7352</v>
      </c>
      <c r="BX256" s="2" t="s">
        <v>7143</v>
      </c>
      <c r="BY256" s="2" t="s">
        <v>1829</v>
      </c>
      <c r="BZ256" s="2" t="s">
        <v>7159</v>
      </c>
      <c r="CE256" s="7">
        <v>15</v>
      </c>
      <c r="CF256" s="2">
        <v>1500</v>
      </c>
      <c r="CM256" s="2">
        <v>100</v>
      </c>
      <c r="CR256" s="2" t="s">
        <v>7160</v>
      </c>
      <c r="CT256" s="2" t="s">
        <v>7143</v>
      </c>
      <c r="CU256" s="2" t="s">
        <v>7161</v>
      </c>
      <c r="CW256" s="2" t="s">
        <v>7162</v>
      </c>
      <c r="CY256" s="2" t="s">
        <v>7163</v>
      </c>
      <c r="CZ256" s="2" t="s">
        <v>7163</v>
      </c>
      <c r="DA256" s="2" t="s">
        <v>7250</v>
      </c>
      <c r="DB256" s="2" t="s">
        <v>7163</v>
      </c>
      <c r="DC256" s="2" t="s">
        <v>7250</v>
      </c>
      <c r="DD256" s="2" t="s">
        <v>7250</v>
      </c>
      <c r="DE256" s="2" t="s">
        <v>7250</v>
      </c>
      <c r="DF256" s="2" t="s">
        <v>7163</v>
      </c>
      <c r="DG256" s="2" t="s">
        <v>7163</v>
      </c>
      <c r="DH256" s="2" t="s">
        <v>7163</v>
      </c>
      <c r="DI256" s="2" t="s">
        <v>7250</v>
      </c>
      <c r="DL256" s="2" t="s">
        <v>7142</v>
      </c>
      <c r="DM256" s="2" t="s">
        <v>7142</v>
      </c>
      <c r="DN256" s="2" t="s">
        <v>7142</v>
      </c>
      <c r="DO256" s="2" t="s">
        <v>7142</v>
      </c>
      <c r="DP256" s="2" t="s">
        <v>7165</v>
      </c>
      <c r="DQ256" s="2" t="s">
        <v>7333</v>
      </c>
      <c r="DR256" s="2" t="s">
        <v>1830</v>
      </c>
      <c r="DT256" s="2" t="s">
        <v>7165</v>
      </c>
      <c r="DU256" s="2" t="s">
        <v>7165</v>
      </c>
      <c r="DV256" s="2" t="s">
        <v>7165</v>
      </c>
      <c r="DW256" s="2" t="s">
        <v>7165</v>
      </c>
      <c r="DX256" s="2" t="s">
        <v>7165</v>
      </c>
      <c r="DY256" s="2" t="s">
        <v>7165</v>
      </c>
      <c r="DZ256" s="2" t="s">
        <v>7165</v>
      </c>
      <c r="EA256" s="2" t="s">
        <v>7165</v>
      </c>
      <c r="EB256" s="2" t="s">
        <v>7165</v>
      </c>
      <c r="EF256" s="2" t="s">
        <v>7221</v>
      </c>
      <c r="EG256" s="2" t="s">
        <v>1831</v>
      </c>
      <c r="EJ256" s="2" t="s">
        <v>7144</v>
      </c>
      <c r="EK256" s="2" t="s">
        <v>7142</v>
      </c>
      <c r="EL256" s="2" t="s">
        <v>7143</v>
      </c>
      <c r="EN256" s="2" t="s">
        <v>7170</v>
      </c>
      <c r="EP256" s="2" t="s">
        <v>7186</v>
      </c>
      <c r="ER256" s="2" t="s">
        <v>7142</v>
      </c>
      <c r="ET256" s="2" t="s">
        <v>7143</v>
      </c>
      <c r="EV256" s="2" t="s">
        <v>7142</v>
      </c>
      <c r="EW256" s="2" t="s">
        <v>7204</v>
      </c>
      <c r="EX256" s="2" t="s">
        <v>7142</v>
      </c>
      <c r="EY256" s="2" t="s">
        <v>7204</v>
      </c>
      <c r="EZ256" s="2" t="s">
        <v>7143</v>
      </c>
      <c r="FC256" s="2" t="s">
        <v>7172</v>
      </c>
      <c r="FD256" s="2" t="s">
        <v>7143</v>
      </c>
      <c r="FH256" s="2" t="s">
        <v>7173</v>
      </c>
      <c r="FJ256" s="2" t="s">
        <v>7143</v>
      </c>
      <c r="FK256" s="2" t="s">
        <v>7159</v>
      </c>
      <c r="FR256" s="2" t="s">
        <v>461</v>
      </c>
      <c r="FT256" s="2" t="s">
        <v>7189</v>
      </c>
      <c r="FU256" s="2" t="s">
        <v>7189</v>
      </c>
      <c r="FV256" s="2" t="s">
        <v>7189</v>
      </c>
      <c r="FW256" s="2" t="s">
        <v>7176</v>
      </c>
      <c r="FX256" s="2" t="s">
        <v>7189</v>
      </c>
      <c r="FY256" s="2" t="s">
        <v>1832</v>
      </c>
      <c r="FZ256" s="19" t="s">
        <v>8088</v>
      </c>
    </row>
    <row r="257" spans="1:182">
      <c r="A257" s="7" t="s">
        <v>1833</v>
      </c>
      <c r="D257" s="7" t="s">
        <v>8089</v>
      </c>
      <c r="E257" s="7" t="s">
        <v>1834</v>
      </c>
      <c r="F257" s="7" t="s">
        <v>7389</v>
      </c>
      <c r="G257" s="7" t="s">
        <v>7981</v>
      </c>
      <c r="H257" s="7" t="s">
        <v>1659</v>
      </c>
      <c r="I257" s="7" t="s">
        <v>1835</v>
      </c>
      <c r="J257" s="16" t="s">
        <v>8090</v>
      </c>
      <c r="K257" s="7" t="s">
        <v>1835</v>
      </c>
      <c r="L257" s="2" t="s">
        <v>7137</v>
      </c>
      <c r="M257" s="7" t="s">
        <v>7179</v>
      </c>
      <c r="N257" s="7">
        <v>1972</v>
      </c>
      <c r="O257" s="7" t="s">
        <v>7180</v>
      </c>
      <c r="P257" s="7" t="s">
        <v>7140</v>
      </c>
      <c r="Q257" s="2" t="s">
        <v>7182</v>
      </c>
      <c r="R257" s="2" t="s">
        <v>7143</v>
      </c>
      <c r="S257" s="2">
        <v>29</v>
      </c>
      <c r="T257" s="2" t="s">
        <v>7143</v>
      </c>
      <c r="U257" s="2" t="s">
        <v>7143</v>
      </c>
      <c r="Y257" s="2">
        <v>660</v>
      </c>
      <c r="Z257" s="17">
        <v>1</v>
      </c>
      <c r="AA257" s="2">
        <v>660</v>
      </c>
      <c r="AB257" s="2">
        <v>660</v>
      </c>
      <c r="AC257" s="7">
        <v>660</v>
      </c>
      <c r="AD257" s="2">
        <v>780</v>
      </c>
      <c r="AE257" s="2">
        <v>120</v>
      </c>
      <c r="AF257" s="2" t="s">
        <v>7143</v>
      </c>
      <c r="AG257" s="2" t="s">
        <v>7143</v>
      </c>
      <c r="AH257" s="2" t="s">
        <v>7143</v>
      </c>
      <c r="AJ257" s="2" t="s">
        <v>7143</v>
      </c>
      <c r="AK257" s="2" t="s">
        <v>7143</v>
      </c>
      <c r="AL257" s="2" t="s">
        <v>7143</v>
      </c>
      <c r="AM257" s="2" t="s">
        <v>7143</v>
      </c>
      <c r="AN257" s="2" t="s">
        <v>7143</v>
      </c>
      <c r="AO257" s="2" t="s">
        <v>7143</v>
      </c>
      <c r="AR257" s="7">
        <v>2</v>
      </c>
      <c r="AS257" s="7">
        <v>2</v>
      </c>
      <c r="AT257" s="7">
        <v>8.3000000000000007</v>
      </c>
      <c r="AU257" s="2" t="s">
        <v>7193</v>
      </c>
      <c r="AV257" s="2" t="s">
        <v>7144</v>
      </c>
      <c r="AW257" s="2" t="s">
        <v>7143</v>
      </c>
      <c r="AZ257" s="2" t="s">
        <v>7145</v>
      </c>
      <c r="BB257" s="2" t="s">
        <v>7214</v>
      </c>
      <c r="BC257" s="2" t="s">
        <v>7247</v>
      </c>
      <c r="BD257" s="2" t="s">
        <v>7142</v>
      </c>
      <c r="BE257" s="2" t="s">
        <v>7142</v>
      </c>
      <c r="BF257" s="2" t="s">
        <v>7148</v>
      </c>
      <c r="BG257" s="2" t="s">
        <v>7232</v>
      </c>
      <c r="BH257" s="2" t="s">
        <v>7248</v>
      </c>
      <c r="BI257" s="2" t="s">
        <v>7151</v>
      </c>
      <c r="BL257" s="2" t="s">
        <v>7152</v>
      </c>
      <c r="BM257" s="2" t="s">
        <v>7355</v>
      </c>
      <c r="BN257" s="2" t="s">
        <v>7154</v>
      </c>
      <c r="BO257" s="2" t="s">
        <v>7155</v>
      </c>
      <c r="BQ257" s="2" t="s">
        <v>7183</v>
      </c>
      <c r="BS257" s="2" t="s">
        <v>7142</v>
      </c>
      <c r="BT257" s="2" t="s">
        <v>7391</v>
      </c>
      <c r="BV257" s="2" t="s">
        <v>7197</v>
      </c>
      <c r="BX257" s="2" t="s">
        <v>7142</v>
      </c>
      <c r="BY257" s="2" t="s">
        <v>631</v>
      </c>
      <c r="BZ257" s="2" t="s">
        <v>7165</v>
      </c>
      <c r="CA257" s="2" t="s">
        <v>1836</v>
      </c>
      <c r="CE257" s="7">
        <v>8.3000000000000007</v>
      </c>
      <c r="CF257" s="2">
        <v>780</v>
      </c>
      <c r="CM257" s="2">
        <v>100</v>
      </c>
      <c r="CO257" s="2">
        <v>100</v>
      </c>
      <c r="CR257" s="2" t="s">
        <v>7160</v>
      </c>
      <c r="CT257" s="2" t="s">
        <v>7143</v>
      </c>
      <c r="CU257" s="2" t="s">
        <v>7383</v>
      </c>
      <c r="CW257" s="2" t="s">
        <v>7162</v>
      </c>
      <c r="CY257" s="2" t="s">
        <v>7227</v>
      </c>
      <c r="CZ257" s="2" t="s">
        <v>7250</v>
      </c>
      <c r="DA257" s="2" t="s">
        <v>7250</v>
      </c>
      <c r="DB257" s="2" t="s">
        <v>7250</v>
      </c>
      <c r="DC257" s="2" t="s">
        <v>7250</v>
      </c>
      <c r="DD257" s="2" t="s">
        <v>7250</v>
      </c>
      <c r="DE257" s="2" t="s">
        <v>7227</v>
      </c>
      <c r="DF257" s="2" t="s">
        <v>7227</v>
      </c>
      <c r="DG257" s="2" t="s">
        <v>7227</v>
      </c>
      <c r="DH257" s="2" t="s">
        <v>7227</v>
      </c>
      <c r="DI257" s="2" t="s">
        <v>7321</v>
      </c>
      <c r="DL257" s="2" t="s">
        <v>7142</v>
      </c>
      <c r="DM257" s="2" t="s">
        <v>7142</v>
      </c>
      <c r="DN257" s="2" t="s">
        <v>7142</v>
      </c>
      <c r="DO257" s="2" t="s">
        <v>7142</v>
      </c>
      <c r="DP257" s="2" t="s">
        <v>7165</v>
      </c>
      <c r="DQ257" s="2" t="s">
        <v>7333</v>
      </c>
      <c r="DR257" s="2" t="s">
        <v>1677</v>
      </c>
      <c r="DT257" s="2" t="s">
        <v>7165</v>
      </c>
      <c r="DU257" s="2" t="s">
        <v>7165</v>
      </c>
      <c r="DV257" s="2" t="s">
        <v>7165</v>
      </c>
      <c r="DW257" s="2" t="s">
        <v>7165</v>
      </c>
      <c r="DX257" s="2" t="s">
        <v>7165</v>
      </c>
      <c r="DY257" s="2" t="s">
        <v>7165</v>
      </c>
      <c r="DZ257" s="2" t="s">
        <v>7165</v>
      </c>
      <c r="EA257" s="2" t="s">
        <v>7165</v>
      </c>
      <c r="EB257" s="2" t="s">
        <v>7165</v>
      </c>
      <c r="EC257" s="2" t="s">
        <v>7173</v>
      </c>
      <c r="EF257" s="2" t="s">
        <v>7167</v>
      </c>
      <c r="EG257" s="2" t="s">
        <v>985</v>
      </c>
      <c r="EJ257" s="2" t="s">
        <v>7217</v>
      </c>
      <c r="EK257" s="2" t="s">
        <v>7143</v>
      </c>
      <c r="EL257" s="2" t="s">
        <v>7143</v>
      </c>
      <c r="EN257" s="2" t="s">
        <v>7210</v>
      </c>
      <c r="EP257" s="2" t="s">
        <v>7186</v>
      </c>
      <c r="ER257" s="2" t="s">
        <v>7143</v>
      </c>
      <c r="ET257" s="2" t="s">
        <v>7143</v>
      </c>
      <c r="EV257" s="2" t="s">
        <v>7143</v>
      </c>
      <c r="EX257" s="2" t="s">
        <v>7143</v>
      </c>
      <c r="EZ257" s="2" t="s">
        <v>7143</v>
      </c>
      <c r="FC257" s="2" t="s">
        <v>7218</v>
      </c>
      <c r="FD257" s="2" t="s">
        <v>7143</v>
      </c>
      <c r="FH257" s="2" t="s">
        <v>7173</v>
      </c>
      <c r="FJ257" s="2" t="s">
        <v>7143</v>
      </c>
      <c r="FK257" s="2" t="s">
        <v>7173</v>
      </c>
      <c r="FN257" s="2" t="s">
        <v>7253</v>
      </c>
      <c r="FR257" s="2" t="s">
        <v>1837</v>
      </c>
      <c r="FT257" s="2" t="s">
        <v>7189</v>
      </c>
      <c r="FU257" s="2" t="s">
        <v>7189</v>
      </c>
      <c r="FV257" s="2" t="s">
        <v>7189</v>
      </c>
      <c r="FW257" s="2" t="s">
        <v>7189</v>
      </c>
      <c r="FZ257" s="19" t="s">
        <v>8091</v>
      </c>
    </row>
    <row r="258" spans="1:182">
      <c r="A258" s="7" t="s">
        <v>1838</v>
      </c>
      <c r="D258" s="7" t="s">
        <v>8092</v>
      </c>
      <c r="E258" s="7" t="s">
        <v>177</v>
      </c>
      <c r="F258" s="7" t="s">
        <v>7134</v>
      </c>
      <c r="G258" s="7" t="s">
        <v>7981</v>
      </c>
      <c r="H258" s="7" t="s">
        <v>1659</v>
      </c>
      <c r="I258" s="7" t="s">
        <v>1839</v>
      </c>
      <c r="J258" s="19" t="s">
        <v>8093</v>
      </c>
      <c r="K258" s="7" t="s">
        <v>1840</v>
      </c>
      <c r="L258" s="2" t="s">
        <v>7137</v>
      </c>
      <c r="M258" s="7" t="s">
        <v>7179</v>
      </c>
      <c r="N258" s="7">
        <v>1978</v>
      </c>
      <c r="O258" s="7" t="s">
        <v>7180</v>
      </c>
      <c r="P258" s="2" t="s">
        <v>7181</v>
      </c>
      <c r="Q258" s="2" t="s">
        <v>7141</v>
      </c>
      <c r="R258" s="2" t="s">
        <v>7143</v>
      </c>
      <c r="S258" s="2">
        <v>30</v>
      </c>
      <c r="T258" s="2" t="s">
        <v>7143</v>
      </c>
      <c r="U258" s="2" t="s">
        <v>7143</v>
      </c>
      <c r="Y258" s="2">
        <v>720</v>
      </c>
      <c r="Z258" s="17">
        <v>0.97219999999999995</v>
      </c>
      <c r="AA258" s="2">
        <v>700</v>
      </c>
      <c r="AB258" s="2">
        <v>700</v>
      </c>
      <c r="AC258" s="7">
        <v>700</v>
      </c>
      <c r="AD258" s="2">
        <v>850</v>
      </c>
      <c r="AE258" s="2">
        <v>150</v>
      </c>
      <c r="AF258" s="2" t="s">
        <v>7143</v>
      </c>
      <c r="AG258" s="2" t="s">
        <v>7143</v>
      </c>
      <c r="AH258" s="2" t="s">
        <v>7143</v>
      </c>
      <c r="AJ258" s="2" t="s">
        <v>7143</v>
      </c>
      <c r="AK258" s="2" t="s">
        <v>7143</v>
      </c>
      <c r="AL258" s="2" t="s">
        <v>7143</v>
      </c>
      <c r="AM258" s="2" t="s">
        <v>7142</v>
      </c>
      <c r="AN258" s="2" t="s">
        <v>7143</v>
      </c>
      <c r="AO258" s="2" t="s">
        <v>7143</v>
      </c>
      <c r="AR258" s="7">
        <v>2</v>
      </c>
      <c r="AS258" s="7">
        <v>2</v>
      </c>
      <c r="AT258" s="7">
        <v>9.99</v>
      </c>
      <c r="AU258" s="2" t="s">
        <v>7168</v>
      </c>
      <c r="AV258" s="2" t="s">
        <v>7168</v>
      </c>
      <c r="AW258" s="2" t="s">
        <v>7143</v>
      </c>
      <c r="AZ258" s="2" t="s">
        <v>7145</v>
      </c>
      <c r="BB258" s="2" t="s">
        <v>7146</v>
      </c>
      <c r="BC258" s="2" t="s">
        <v>7147</v>
      </c>
      <c r="BD258" s="2" t="s">
        <v>7142</v>
      </c>
      <c r="BE258" s="2" t="s">
        <v>7142</v>
      </c>
      <c r="BF258" s="2" t="s">
        <v>7148</v>
      </c>
      <c r="BG258" s="2" t="s">
        <v>7149</v>
      </c>
      <c r="BH258" s="2" t="s">
        <v>7150</v>
      </c>
      <c r="BI258" s="2" t="s">
        <v>7151</v>
      </c>
      <c r="BL258" s="2" t="s">
        <v>7152</v>
      </c>
      <c r="BM258" s="2" t="s">
        <v>7153</v>
      </c>
      <c r="BN258" s="2" t="s">
        <v>7154</v>
      </c>
      <c r="BO258" s="2" t="s">
        <v>7155</v>
      </c>
      <c r="BQ258" s="2" t="s">
        <v>7156</v>
      </c>
      <c r="BS258" s="2" t="s">
        <v>7142</v>
      </c>
      <c r="BT258" s="2" t="s">
        <v>7196</v>
      </c>
      <c r="BV258" s="2" t="s">
        <v>7202</v>
      </c>
      <c r="BX258" s="2" t="s">
        <v>7143</v>
      </c>
      <c r="BZ258" s="2" t="s">
        <v>7173</v>
      </c>
      <c r="CE258" s="7">
        <v>9.99</v>
      </c>
      <c r="CF258" s="2">
        <v>850</v>
      </c>
      <c r="CM258" s="2">
        <v>100</v>
      </c>
      <c r="CR258" s="2" t="s">
        <v>7160</v>
      </c>
      <c r="CT258" s="2" t="s">
        <v>7143</v>
      </c>
      <c r="CU258" s="2" t="s">
        <v>7161</v>
      </c>
      <c r="CW258" s="2" t="s">
        <v>7162</v>
      </c>
      <c r="CY258" s="2" t="s">
        <v>7163</v>
      </c>
      <c r="CZ258" s="2" t="s">
        <v>7163</v>
      </c>
      <c r="DA258" s="2" t="s">
        <v>7164</v>
      </c>
      <c r="DB258" s="2" t="s">
        <v>7164</v>
      </c>
      <c r="DC258" s="2" t="s">
        <v>7164</v>
      </c>
      <c r="DD258" s="2" t="s">
        <v>7164</v>
      </c>
      <c r="DE258" s="2" t="s">
        <v>7164</v>
      </c>
      <c r="DF258" s="2" t="s">
        <v>7164</v>
      </c>
      <c r="DG258" s="2" t="s">
        <v>7164</v>
      </c>
      <c r="DH258" s="2" t="s">
        <v>7164</v>
      </c>
      <c r="DI258" s="2" t="s">
        <v>7164</v>
      </c>
      <c r="DL258" s="2" t="s">
        <v>7142</v>
      </c>
      <c r="DM258" s="2" t="s">
        <v>7142</v>
      </c>
      <c r="DN258" s="2" t="s">
        <v>7142</v>
      </c>
      <c r="DO258" s="2" t="s">
        <v>7142</v>
      </c>
      <c r="DP258" s="2" t="s">
        <v>7165</v>
      </c>
      <c r="DQ258" s="2" t="s">
        <v>7166</v>
      </c>
      <c r="DT258" s="2" t="s">
        <v>7165</v>
      </c>
      <c r="DU258" s="2" t="s">
        <v>7165</v>
      </c>
      <c r="DV258" s="2" t="s">
        <v>7165</v>
      </c>
      <c r="DW258" s="2" t="s">
        <v>7165</v>
      </c>
      <c r="DX258" s="2" t="s">
        <v>7165</v>
      </c>
      <c r="DY258" s="2" t="s">
        <v>7165</v>
      </c>
      <c r="DZ258" s="2" t="s">
        <v>7165</v>
      </c>
      <c r="EA258" s="2" t="s">
        <v>7165</v>
      </c>
      <c r="EB258" s="2" t="s">
        <v>7165</v>
      </c>
      <c r="EF258" s="2" t="s">
        <v>7167</v>
      </c>
      <c r="EJ258" s="2" t="s">
        <v>7168</v>
      </c>
      <c r="EK258" s="2" t="s">
        <v>7142</v>
      </c>
      <c r="EL258" s="2" t="s">
        <v>7143</v>
      </c>
      <c r="EN258" s="2" t="s">
        <v>7170</v>
      </c>
      <c r="EP258" s="2" t="s">
        <v>7186</v>
      </c>
      <c r="ER258" s="2" t="s">
        <v>7142</v>
      </c>
      <c r="ET258" s="2" t="s">
        <v>7143</v>
      </c>
      <c r="EV258" s="2" t="s">
        <v>7142</v>
      </c>
      <c r="EW258" s="2" t="s">
        <v>7171</v>
      </c>
      <c r="FC258" s="2" t="s">
        <v>7172</v>
      </c>
      <c r="FD258" s="2" t="s">
        <v>7143</v>
      </c>
      <c r="FH258" s="2" t="s">
        <v>7173</v>
      </c>
      <c r="FJ258" s="2" t="s">
        <v>7142</v>
      </c>
      <c r="FK258" s="2" t="s">
        <v>7165</v>
      </c>
      <c r="FL258" s="2" t="s">
        <v>7211</v>
      </c>
      <c r="FN258" s="2" t="s">
        <v>7344</v>
      </c>
      <c r="FT258" s="2" t="s">
        <v>7176</v>
      </c>
      <c r="FU258" s="2" t="s">
        <v>7176</v>
      </c>
      <c r="FV258" s="2" t="s">
        <v>7176</v>
      </c>
      <c r="FW258" s="2" t="s">
        <v>7176</v>
      </c>
      <c r="FZ258" s="19" t="s">
        <v>8094</v>
      </c>
    </row>
    <row r="259" spans="1:182">
      <c r="A259" s="7" t="s">
        <v>1841</v>
      </c>
      <c r="D259" s="7" t="s">
        <v>8095</v>
      </c>
      <c r="E259" s="7" t="s">
        <v>177</v>
      </c>
      <c r="F259" s="7" t="s">
        <v>7245</v>
      </c>
      <c r="G259" s="7" t="s">
        <v>7981</v>
      </c>
      <c r="H259" s="7" t="s">
        <v>1659</v>
      </c>
      <c r="I259" s="7" t="s">
        <v>1842</v>
      </c>
      <c r="J259" s="16" t="s">
        <v>8096</v>
      </c>
      <c r="K259" s="7" t="s">
        <v>1843</v>
      </c>
      <c r="L259" s="7" t="s">
        <v>7281</v>
      </c>
      <c r="M259" s="7" t="s">
        <v>7179</v>
      </c>
      <c r="N259" s="7">
        <v>1984</v>
      </c>
      <c r="O259" s="7" t="s">
        <v>7180</v>
      </c>
      <c r="P259" s="7" t="s">
        <v>7181</v>
      </c>
      <c r="Q259" s="7" t="s">
        <v>7141</v>
      </c>
      <c r="R259" s="2" t="s">
        <v>7143</v>
      </c>
      <c r="S259" s="7">
        <v>1998</v>
      </c>
      <c r="T259" s="7" t="s">
        <v>7143</v>
      </c>
      <c r="U259" s="7" t="s">
        <v>7143</v>
      </c>
      <c r="Y259" s="2">
        <v>1600</v>
      </c>
      <c r="Z259" s="17">
        <v>1</v>
      </c>
      <c r="AA259" s="2">
        <v>1600</v>
      </c>
      <c r="AB259" s="2">
        <v>1500</v>
      </c>
      <c r="AC259" s="7">
        <v>1470</v>
      </c>
      <c r="AD259" s="2">
        <v>1600</v>
      </c>
      <c r="AE259" s="2">
        <v>130</v>
      </c>
      <c r="AF259" s="7" t="s">
        <v>7143</v>
      </c>
      <c r="AG259" s="2" t="s">
        <v>7142</v>
      </c>
      <c r="AH259" s="2" t="s">
        <v>7142</v>
      </c>
      <c r="AI259" s="2" t="s">
        <v>308</v>
      </c>
      <c r="AJ259" s="2" t="s">
        <v>7143</v>
      </c>
      <c r="AK259" s="2" t="s">
        <v>7143</v>
      </c>
      <c r="AL259" s="2" t="s">
        <v>7143</v>
      </c>
      <c r="AM259" s="2" t="s">
        <v>7142</v>
      </c>
      <c r="AN259" s="2" t="s">
        <v>7143</v>
      </c>
      <c r="AO259" s="2" t="s">
        <v>7143</v>
      </c>
      <c r="AR259" s="7">
        <v>3.5</v>
      </c>
      <c r="AS259" s="7">
        <v>4</v>
      </c>
      <c r="AT259" s="7">
        <v>16.5</v>
      </c>
      <c r="AU259" s="7" t="s">
        <v>7144</v>
      </c>
      <c r="AV259" s="7" t="s">
        <v>7144</v>
      </c>
      <c r="AW259" s="7" t="s">
        <v>7143</v>
      </c>
      <c r="AZ259" s="7" t="s">
        <v>7145</v>
      </c>
      <c r="BB259" s="7" t="s">
        <v>7214</v>
      </c>
      <c r="BC259" s="7" t="s">
        <v>7147</v>
      </c>
      <c r="BD259" s="7" t="s">
        <v>7142</v>
      </c>
      <c r="BE259" s="7" t="s">
        <v>7142</v>
      </c>
      <c r="BF259" s="7" t="s">
        <v>7148</v>
      </c>
      <c r="BG259" s="7" t="s">
        <v>7149</v>
      </c>
      <c r="BH259" s="7" t="s">
        <v>7248</v>
      </c>
      <c r="BI259" s="7" t="s">
        <v>7151</v>
      </c>
      <c r="BL259" s="7" t="s">
        <v>7152</v>
      </c>
      <c r="BM259" s="7" t="s">
        <v>7153</v>
      </c>
      <c r="BN259" s="7" t="s">
        <v>7154</v>
      </c>
      <c r="BO259" s="7" t="s">
        <v>7155</v>
      </c>
      <c r="BQ259" s="2" t="s">
        <v>7256</v>
      </c>
      <c r="BS259" s="7" t="s">
        <v>7142</v>
      </c>
      <c r="BT259" s="2" t="s">
        <v>7157</v>
      </c>
      <c r="BV259" s="2" t="s">
        <v>7304</v>
      </c>
      <c r="BX259" s="2" t="s">
        <v>7142</v>
      </c>
      <c r="BY259" s="2" t="s">
        <v>310</v>
      </c>
      <c r="BZ259" s="2" t="s">
        <v>7159</v>
      </c>
      <c r="CE259" s="7">
        <v>16.5</v>
      </c>
      <c r="CF259" s="2">
        <v>1600</v>
      </c>
      <c r="CK259" s="2">
        <v>100</v>
      </c>
      <c r="CO259" s="2">
        <v>100</v>
      </c>
      <c r="CR259" s="7" t="s">
        <v>7160</v>
      </c>
      <c r="CT259" s="7" t="s">
        <v>7143</v>
      </c>
      <c r="CU259" s="7" t="s">
        <v>7161</v>
      </c>
      <c r="CW259" s="7" t="s">
        <v>7162</v>
      </c>
      <c r="CY259" s="7" t="s">
        <v>7227</v>
      </c>
      <c r="CZ259" s="7" t="s">
        <v>7163</v>
      </c>
      <c r="DA259" s="2" t="s">
        <v>7249</v>
      </c>
      <c r="DB259" s="2" t="s">
        <v>7251</v>
      </c>
      <c r="DC259" s="2" t="s">
        <v>7164</v>
      </c>
      <c r="DD259" s="2" t="s">
        <v>7251</v>
      </c>
      <c r="DE259" s="2" t="s">
        <v>7164</v>
      </c>
      <c r="DF259" s="2" t="s">
        <v>7163</v>
      </c>
      <c r="DG259" s="2" t="s">
        <v>7163</v>
      </c>
      <c r="DH259" s="2" t="s">
        <v>7163</v>
      </c>
      <c r="DI259" s="2" t="s">
        <v>7163</v>
      </c>
      <c r="DL259" s="7" t="s">
        <v>7142</v>
      </c>
      <c r="DM259" s="7" t="s">
        <v>7142</v>
      </c>
      <c r="DN259" s="7" t="s">
        <v>7142</v>
      </c>
      <c r="DO259" s="7" t="s">
        <v>7142</v>
      </c>
      <c r="DP259" s="7" t="s">
        <v>7165</v>
      </c>
      <c r="DQ259" s="7" t="s">
        <v>7166</v>
      </c>
      <c r="DS259" s="7" t="s">
        <v>7165</v>
      </c>
      <c r="DT259" s="7" t="s">
        <v>7165</v>
      </c>
      <c r="DU259" s="7" t="s">
        <v>7165</v>
      </c>
      <c r="DV259" s="7" t="s">
        <v>7165</v>
      </c>
      <c r="DW259" s="7" t="s">
        <v>7165</v>
      </c>
      <c r="DX259" s="7" t="s">
        <v>7165</v>
      </c>
      <c r="DY259" s="7" t="s">
        <v>7159</v>
      </c>
      <c r="DZ259" s="7" t="s">
        <v>7159</v>
      </c>
      <c r="EA259" s="7" t="s">
        <v>7165</v>
      </c>
      <c r="EB259" s="7" t="s">
        <v>7165</v>
      </c>
      <c r="EC259" s="7" t="s">
        <v>7159</v>
      </c>
      <c r="ED259" s="7"/>
      <c r="EE259" s="7"/>
      <c r="EF259" s="2" t="s">
        <v>7167</v>
      </c>
      <c r="EJ259" s="7" t="s">
        <v>7144</v>
      </c>
      <c r="EK259" s="7" t="s">
        <v>7142</v>
      </c>
      <c r="EL259" s="7" t="s">
        <v>7143</v>
      </c>
      <c r="EN259" s="7" t="s">
        <v>7170</v>
      </c>
      <c r="EP259" s="7" t="s">
        <v>7186</v>
      </c>
      <c r="ER259" s="7" t="s">
        <v>7142</v>
      </c>
      <c r="ET259" s="7" t="s">
        <v>7143</v>
      </c>
      <c r="EV259" s="2" t="s">
        <v>7142</v>
      </c>
      <c r="EW259" s="2" t="s">
        <v>7204</v>
      </c>
      <c r="EX259" s="2" t="s">
        <v>7143</v>
      </c>
      <c r="EZ259" s="2" t="s">
        <v>7143</v>
      </c>
      <c r="FC259" s="2" t="s">
        <v>7172</v>
      </c>
      <c r="FD259" s="2" t="s">
        <v>7143</v>
      </c>
      <c r="FH259" s="7" t="s">
        <v>7173</v>
      </c>
      <c r="FJ259" s="2" t="s">
        <v>7142</v>
      </c>
      <c r="FK259" s="2" t="s">
        <v>7165</v>
      </c>
      <c r="FL259" s="2" t="s">
        <v>7260</v>
      </c>
      <c r="FN259" s="2" t="s">
        <v>7253</v>
      </c>
      <c r="FT259" s="2" t="s">
        <v>7176</v>
      </c>
      <c r="FU259" s="2" t="s">
        <v>7189</v>
      </c>
      <c r="FV259" s="2" t="s">
        <v>7189</v>
      </c>
      <c r="FW259" s="2" t="s">
        <v>7189</v>
      </c>
      <c r="FZ259" s="19" t="s">
        <v>8097</v>
      </c>
    </row>
    <row r="260" spans="1:182">
      <c r="A260" s="7" t="s">
        <v>1844</v>
      </c>
      <c r="D260" s="7" t="s">
        <v>8098</v>
      </c>
      <c r="E260" s="7" t="s">
        <v>1845</v>
      </c>
      <c r="F260" s="7" t="s">
        <v>7319</v>
      </c>
      <c r="G260" s="7" t="s">
        <v>7981</v>
      </c>
      <c r="H260" s="7" t="s">
        <v>1668</v>
      </c>
      <c r="I260" s="7" t="s">
        <v>1846</v>
      </c>
      <c r="J260" s="16" t="s">
        <v>8099</v>
      </c>
      <c r="K260" s="7" t="s">
        <v>1846</v>
      </c>
      <c r="L260" s="7" t="s">
        <v>7137</v>
      </c>
      <c r="M260" s="7" t="s">
        <v>7138</v>
      </c>
      <c r="N260" s="7">
        <v>1974</v>
      </c>
      <c r="O260" s="7" t="s">
        <v>7180</v>
      </c>
      <c r="P260" s="7" t="s">
        <v>7140</v>
      </c>
      <c r="Q260" s="2" t="s">
        <v>7141</v>
      </c>
      <c r="R260" s="2" t="s">
        <v>7143</v>
      </c>
      <c r="S260" s="7">
        <v>30</v>
      </c>
      <c r="T260" s="7" t="s">
        <v>7143</v>
      </c>
      <c r="U260" s="7" t="s">
        <v>7143</v>
      </c>
      <c r="Y260" s="2">
        <v>700</v>
      </c>
      <c r="Z260" s="17">
        <v>1</v>
      </c>
      <c r="AA260" s="2">
        <v>700</v>
      </c>
      <c r="AB260" s="2">
        <v>700</v>
      </c>
      <c r="AC260" s="7">
        <v>400</v>
      </c>
      <c r="AD260" s="2">
        <v>480</v>
      </c>
      <c r="AE260" s="2">
        <v>80</v>
      </c>
      <c r="AF260" s="2" t="s">
        <v>7143</v>
      </c>
      <c r="AG260" s="2" t="s">
        <v>7142</v>
      </c>
      <c r="AH260" s="2" t="s">
        <v>7143</v>
      </c>
      <c r="AJ260" s="2" t="s">
        <v>7143</v>
      </c>
      <c r="AK260" s="2" t="s">
        <v>7143</v>
      </c>
      <c r="AL260" s="2" t="s">
        <v>7143</v>
      </c>
      <c r="AM260" s="2" t="s">
        <v>7143</v>
      </c>
      <c r="AN260" s="2" t="s">
        <v>7143</v>
      </c>
      <c r="AO260" s="2" t="s">
        <v>7143</v>
      </c>
      <c r="AR260" s="7">
        <v>1.1499999999999999</v>
      </c>
      <c r="AS260" s="7">
        <v>1</v>
      </c>
      <c r="AT260" s="7">
        <v>4.8</v>
      </c>
      <c r="AU260" s="2" t="s">
        <v>7193</v>
      </c>
      <c r="AV260" s="2" t="s">
        <v>7193</v>
      </c>
      <c r="AW260" s="2" t="s">
        <v>7143</v>
      </c>
      <c r="BL260" s="2" t="s">
        <v>7152</v>
      </c>
      <c r="BM260" s="2" t="s">
        <v>7153</v>
      </c>
      <c r="BN260" s="2" t="s">
        <v>7154</v>
      </c>
      <c r="BO260" s="2" t="s">
        <v>7155</v>
      </c>
      <c r="BQ260" s="2" t="s">
        <v>7256</v>
      </c>
      <c r="BS260" s="2" t="s">
        <v>7142</v>
      </c>
      <c r="BT260" s="2" t="s">
        <v>7215</v>
      </c>
      <c r="BV260" s="2" t="s">
        <v>7407</v>
      </c>
      <c r="BX260" s="2" t="s">
        <v>7143</v>
      </c>
      <c r="BZ260" s="2" t="s">
        <v>7159</v>
      </c>
      <c r="CE260" s="7">
        <v>4.8</v>
      </c>
      <c r="CF260" s="2">
        <v>480</v>
      </c>
      <c r="CK260" s="2">
        <v>50</v>
      </c>
      <c r="CM260" s="2">
        <v>50</v>
      </c>
      <c r="CO260" s="2">
        <v>100</v>
      </c>
      <c r="CR260" s="2" t="s">
        <v>7160</v>
      </c>
      <c r="CT260" s="2" t="s">
        <v>7143</v>
      </c>
      <c r="CU260" s="2" t="s">
        <v>7454</v>
      </c>
      <c r="CW260" s="2" t="s">
        <v>7162</v>
      </c>
      <c r="CY260" s="2" t="s">
        <v>7163</v>
      </c>
      <c r="CZ260" s="2" t="s">
        <v>7163</v>
      </c>
      <c r="DA260" s="2" t="s">
        <v>7250</v>
      </c>
      <c r="DB260" s="2" t="s">
        <v>7250</v>
      </c>
      <c r="DC260" s="2" t="s">
        <v>7321</v>
      </c>
      <c r="DD260" s="2" t="s">
        <v>7321</v>
      </c>
      <c r="DE260" s="2" t="s">
        <v>7250</v>
      </c>
      <c r="DF260" s="2" t="s">
        <v>7163</v>
      </c>
      <c r="DG260" s="2" t="s">
        <v>7163</v>
      </c>
      <c r="DH260" s="2" t="s">
        <v>7321</v>
      </c>
      <c r="DI260" s="2" t="s">
        <v>7321</v>
      </c>
      <c r="DL260" s="2" t="s">
        <v>7142</v>
      </c>
      <c r="DM260" s="2" t="s">
        <v>7142</v>
      </c>
      <c r="DN260" s="2" t="s">
        <v>7142</v>
      </c>
      <c r="DO260" s="2" t="s">
        <v>7143</v>
      </c>
      <c r="DP260" s="2" t="s">
        <v>7165</v>
      </c>
      <c r="DQ260" s="2" t="s">
        <v>7333</v>
      </c>
      <c r="DR260" s="2" t="s">
        <v>1847</v>
      </c>
      <c r="DT260" s="2" t="s">
        <v>7165</v>
      </c>
      <c r="DU260" s="2" t="s">
        <v>7165</v>
      </c>
      <c r="DV260" s="2" t="s">
        <v>7165</v>
      </c>
      <c r="DW260" s="2" t="s">
        <v>7165</v>
      </c>
      <c r="DX260" s="2" t="s">
        <v>7165</v>
      </c>
      <c r="DY260" s="2" t="s">
        <v>7165</v>
      </c>
      <c r="DZ260" s="2" t="s">
        <v>7165</v>
      </c>
      <c r="EA260" s="2" t="s">
        <v>7165</v>
      </c>
      <c r="EB260" s="2" t="s">
        <v>7165</v>
      </c>
      <c r="EC260" s="2" t="s">
        <v>7173</v>
      </c>
      <c r="EF260" s="2" t="s">
        <v>7221</v>
      </c>
      <c r="EJ260" s="2" t="s">
        <v>7193</v>
      </c>
      <c r="EK260" s="2" t="s">
        <v>7143</v>
      </c>
      <c r="EL260" s="2" t="s">
        <v>7143</v>
      </c>
      <c r="EN260" s="2" t="s">
        <v>7170</v>
      </c>
      <c r="EP260" s="2" t="s">
        <v>7186</v>
      </c>
      <c r="ER260" s="2" t="s">
        <v>7142</v>
      </c>
      <c r="ET260" s="2" t="s">
        <v>7143</v>
      </c>
      <c r="EV260" s="2" t="s">
        <v>7142</v>
      </c>
      <c r="EW260" s="2" t="s">
        <v>7171</v>
      </c>
      <c r="EX260" s="2" t="s">
        <v>7143</v>
      </c>
      <c r="EZ260" s="2" t="s">
        <v>7143</v>
      </c>
      <c r="FC260" s="2" t="s">
        <v>7309</v>
      </c>
      <c r="FD260" s="2" t="s">
        <v>7143</v>
      </c>
      <c r="FH260" s="2" t="s">
        <v>7173</v>
      </c>
      <c r="FJ260" s="2" t="s">
        <v>7143</v>
      </c>
      <c r="FK260" s="2" t="s">
        <v>7159</v>
      </c>
      <c r="FR260" s="2" t="s">
        <v>433</v>
      </c>
      <c r="FT260" s="2" t="s">
        <v>7189</v>
      </c>
      <c r="FU260" s="2" t="s">
        <v>7189</v>
      </c>
      <c r="FV260" s="2" t="s">
        <v>7189</v>
      </c>
      <c r="FW260" s="2" t="s">
        <v>7189</v>
      </c>
      <c r="FZ260" s="19" t="s">
        <v>8100</v>
      </c>
    </row>
    <row r="261" spans="1:182">
      <c r="A261" s="7" t="s">
        <v>1848</v>
      </c>
      <c r="D261" s="7" t="s">
        <v>8101</v>
      </c>
      <c r="E261" s="7" t="s">
        <v>1849</v>
      </c>
      <c r="F261" s="7" t="s">
        <v>7389</v>
      </c>
      <c r="G261" s="7" t="s">
        <v>7981</v>
      </c>
      <c r="H261" s="7" t="s">
        <v>1659</v>
      </c>
      <c r="I261" s="7" t="s">
        <v>1850</v>
      </c>
      <c r="J261" s="16" t="s">
        <v>8102</v>
      </c>
      <c r="K261" s="7" t="s">
        <v>1851</v>
      </c>
      <c r="L261" s="2" t="s">
        <v>7137</v>
      </c>
      <c r="M261" s="7" t="s">
        <v>7179</v>
      </c>
      <c r="N261" s="7">
        <v>1967</v>
      </c>
      <c r="O261" s="7" t="s">
        <v>7180</v>
      </c>
      <c r="P261" s="7" t="s">
        <v>7181</v>
      </c>
      <c r="Q261" s="2" t="s">
        <v>7141</v>
      </c>
      <c r="R261" s="2" t="s">
        <v>7143</v>
      </c>
      <c r="S261" s="2">
        <v>26</v>
      </c>
      <c r="T261" s="2" t="s">
        <v>7143</v>
      </c>
      <c r="U261" s="2" t="s">
        <v>7143</v>
      </c>
      <c r="Y261" s="2">
        <v>680</v>
      </c>
      <c r="Z261" s="17">
        <v>0.88239999999999996</v>
      </c>
      <c r="AA261" s="2">
        <v>600</v>
      </c>
      <c r="AB261" s="2">
        <v>600</v>
      </c>
      <c r="AC261" s="7">
        <v>600</v>
      </c>
      <c r="AD261" s="2">
        <v>750</v>
      </c>
      <c r="AE261" s="2">
        <v>150</v>
      </c>
      <c r="AF261" s="2" t="s">
        <v>7143</v>
      </c>
      <c r="AG261" s="2" t="s">
        <v>7143</v>
      </c>
      <c r="AH261" s="2" t="s">
        <v>7143</v>
      </c>
      <c r="AJ261" s="2" t="s">
        <v>7143</v>
      </c>
      <c r="AK261" s="2" t="s">
        <v>7143</v>
      </c>
      <c r="AL261" s="2" t="s">
        <v>7142</v>
      </c>
      <c r="AM261" s="2" t="s">
        <v>7143</v>
      </c>
      <c r="AN261" s="2" t="s">
        <v>7143</v>
      </c>
      <c r="AO261" s="2" t="s">
        <v>7143</v>
      </c>
      <c r="AR261" s="7">
        <v>1.5</v>
      </c>
      <c r="AS261" s="7">
        <v>3</v>
      </c>
      <c r="AT261" s="7">
        <v>9</v>
      </c>
      <c r="AU261" s="2" t="s">
        <v>7193</v>
      </c>
      <c r="AV261" s="2" t="s">
        <v>7144</v>
      </c>
      <c r="AW261" s="2" t="s">
        <v>7143</v>
      </c>
      <c r="AZ261" s="2" t="s">
        <v>7145</v>
      </c>
      <c r="BB261" s="2" t="s">
        <v>7214</v>
      </c>
      <c r="BC261" s="2" t="s">
        <v>7247</v>
      </c>
      <c r="BD261" s="2" t="s">
        <v>7142</v>
      </c>
      <c r="BE261" s="2" t="s">
        <v>7142</v>
      </c>
      <c r="BF261" s="2" t="s">
        <v>7148</v>
      </c>
      <c r="BG261" s="2" t="s">
        <v>7149</v>
      </c>
      <c r="BH261" s="2" t="s">
        <v>7248</v>
      </c>
      <c r="BI261" s="2" t="s">
        <v>7151</v>
      </c>
      <c r="BL261" s="2" t="s">
        <v>7152</v>
      </c>
      <c r="BM261" s="2" t="s">
        <v>7355</v>
      </c>
      <c r="BN261" s="2" t="s">
        <v>7154</v>
      </c>
      <c r="BO261" s="2" t="s">
        <v>7155</v>
      </c>
      <c r="BQ261" s="2" t="s">
        <v>7183</v>
      </c>
      <c r="BS261" s="2" t="s">
        <v>7142</v>
      </c>
      <c r="BT261" s="2" t="s">
        <v>7391</v>
      </c>
      <c r="BV261" s="2" t="s">
        <v>7197</v>
      </c>
      <c r="BX261" s="2" t="s">
        <v>7143</v>
      </c>
      <c r="BZ261" s="2" t="s">
        <v>7159</v>
      </c>
      <c r="CE261" s="7">
        <v>9</v>
      </c>
      <c r="CF261" s="2">
        <v>750</v>
      </c>
      <c r="CM261" s="2">
        <v>100</v>
      </c>
      <c r="CO261" s="2">
        <v>100</v>
      </c>
      <c r="CR261" s="2" t="s">
        <v>7276</v>
      </c>
      <c r="CT261" s="2" t="s">
        <v>7143</v>
      </c>
      <c r="CU261" s="2" t="s">
        <v>7161</v>
      </c>
      <c r="CW261" s="2" t="s">
        <v>7162</v>
      </c>
      <c r="CY261" s="2" t="s">
        <v>7227</v>
      </c>
      <c r="CZ261" s="2" t="s">
        <v>7250</v>
      </c>
      <c r="DA261" s="2" t="s">
        <v>7250</v>
      </c>
      <c r="DB261" s="2" t="s">
        <v>7250</v>
      </c>
      <c r="DC261" s="2" t="s">
        <v>7321</v>
      </c>
      <c r="DD261" s="2" t="s">
        <v>7250</v>
      </c>
      <c r="DE261" s="2" t="s">
        <v>7227</v>
      </c>
      <c r="DF261" s="2" t="s">
        <v>7227</v>
      </c>
      <c r="DG261" s="2" t="s">
        <v>7227</v>
      </c>
      <c r="DH261" s="2" t="s">
        <v>7227</v>
      </c>
      <c r="DI261" s="2" t="s">
        <v>7250</v>
      </c>
      <c r="DL261" s="2" t="s">
        <v>7142</v>
      </c>
      <c r="DM261" s="2" t="s">
        <v>7142</v>
      </c>
      <c r="DN261" s="2" t="s">
        <v>7142</v>
      </c>
      <c r="DO261" s="2" t="s">
        <v>7142</v>
      </c>
      <c r="DP261" s="2" t="s">
        <v>7165</v>
      </c>
      <c r="DQ261" s="2" t="s">
        <v>7333</v>
      </c>
      <c r="DR261" s="2" t="s">
        <v>1677</v>
      </c>
      <c r="DT261" s="2" t="s">
        <v>7165</v>
      </c>
      <c r="DU261" s="2" t="s">
        <v>7165</v>
      </c>
      <c r="DV261" s="2" t="s">
        <v>7165</v>
      </c>
      <c r="DW261" s="2" t="s">
        <v>7165</v>
      </c>
      <c r="DX261" s="2" t="s">
        <v>7165</v>
      </c>
      <c r="DY261" s="2" t="s">
        <v>7165</v>
      </c>
      <c r="DZ261" s="2" t="s">
        <v>7165</v>
      </c>
      <c r="EA261" s="2" t="s">
        <v>7165</v>
      </c>
      <c r="EB261" s="2" t="s">
        <v>7165</v>
      </c>
      <c r="EC261" s="2" t="s">
        <v>7173</v>
      </c>
      <c r="EF261" s="2" t="s">
        <v>7167</v>
      </c>
      <c r="EG261" s="2" t="s">
        <v>985</v>
      </c>
      <c r="EJ261" s="2" t="s">
        <v>7217</v>
      </c>
      <c r="EK261" s="2" t="s">
        <v>7143</v>
      </c>
      <c r="EL261" s="2" t="s">
        <v>7143</v>
      </c>
      <c r="EN261" s="2" t="s">
        <v>7210</v>
      </c>
      <c r="EP261" s="2" t="s">
        <v>7186</v>
      </c>
      <c r="ER261" s="2" t="s">
        <v>7143</v>
      </c>
      <c r="ET261" s="2" t="s">
        <v>7143</v>
      </c>
      <c r="EV261" s="2" t="s">
        <v>7143</v>
      </c>
      <c r="EX261" s="2" t="s">
        <v>7143</v>
      </c>
      <c r="EZ261" s="2" t="s">
        <v>7143</v>
      </c>
      <c r="FC261" s="2" t="s">
        <v>7218</v>
      </c>
      <c r="FD261" s="2" t="s">
        <v>7143</v>
      </c>
      <c r="FH261" s="2" t="s">
        <v>7173</v>
      </c>
      <c r="FJ261" s="2" t="s">
        <v>7143</v>
      </c>
      <c r="FK261" s="2" t="s">
        <v>7173</v>
      </c>
      <c r="FN261" s="2" t="s">
        <v>7322</v>
      </c>
      <c r="FR261" s="2" t="s">
        <v>433</v>
      </c>
      <c r="FT261" s="2" t="s">
        <v>7189</v>
      </c>
      <c r="FU261" s="2" t="s">
        <v>7189</v>
      </c>
      <c r="FV261" s="2" t="s">
        <v>7189</v>
      </c>
      <c r="FW261" s="2" t="s">
        <v>7176</v>
      </c>
      <c r="FZ261" s="19" t="s">
        <v>8103</v>
      </c>
    </row>
    <row r="262" spans="1:182">
      <c r="A262" s="7" t="s">
        <v>1852</v>
      </c>
      <c r="D262" s="7" t="s">
        <v>8104</v>
      </c>
      <c r="E262" s="7" t="s">
        <v>1853</v>
      </c>
      <c r="F262" s="7" t="s">
        <v>7311</v>
      </c>
      <c r="G262" s="7" t="s">
        <v>7981</v>
      </c>
      <c r="H262" s="7" t="s">
        <v>1854</v>
      </c>
      <c r="I262" s="7" t="s">
        <v>1855</v>
      </c>
      <c r="J262" s="19" t="s">
        <v>8105</v>
      </c>
      <c r="K262" s="7" t="s">
        <v>1856</v>
      </c>
      <c r="L262" s="7" t="s">
        <v>7137</v>
      </c>
      <c r="M262" s="7" t="s">
        <v>7179</v>
      </c>
      <c r="N262" s="7">
        <v>1976</v>
      </c>
      <c r="O262" s="7" t="s">
        <v>7180</v>
      </c>
      <c r="P262" s="7" t="s">
        <v>7181</v>
      </c>
      <c r="Q262" s="7" t="s">
        <v>7141</v>
      </c>
      <c r="R262" s="7" t="s">
        <v>7143</v>
      </c>
      <c r="S262" s="7">
        <v>20</v>
      </c>
      <c r="T262" s="7" t="s">
        <v>7143</v>
      </c>
      <c r="U262" s="7" t="s">
        <v>7143</v>
      </c>
      <c r="Y262" s="2">
        <v>1200</v>
      </c>
      <c r="Z262" s="17">
        <v>0.75</v>
      </c>
      <c r="AA262" s="2">
        <v>900</v>
      </c>
      <c r="AB262" s="2">
        <v>900</v>
      </c>
      <c r="AC262" s="7">
        <v>900</v>
      </c>
      <c r="AD262" s="2">
        <v>1000</v>
      </c>
      <c r="AE262" s="2">
        <v>100</v>
      </c>
      <c r="AF262" s="2" t="s">
        <v>7143</v>
      </c>
      <c r="AG262" s="2" t="s">
        <v>7143</v>
      </c>
      <c r="AH262" s="2" t="s">
        <v>7143</v>
      </c>
      <c r="AJ262" s="2" t="s">
        <v>7143</v>
      </c>
      <c r="AK262" s="2" t="s">
        <v>7142</v>
      </c>
      <c r="AL262" s="2" t="s">
        <v>7142</v>
      </c>
      <c r="AM262" s="2" t="s">
        <v>7143</v>
      </c>
      <c r="AN262" s="2" t="s">
        <v>7143</v>
      </c>
      <c r="AO262" s="2" t="s">
        <v>7143</v>
      </c>
      <c r="AR262" s="7">
        <v>2</v>
      </c>
      <c r="AS262" s="7">
        <v>2</v>
      </c>
      <c r="AT262" s="7">
        <v>10</v>
      </c>
      <c r="AU262" s="2" t="s">
        <v>7144</v>
      </c>
      <c r="AV262" s="2" t="s">
        <v>7144</v>
      </c>
      <c r="AW262" s="2" t="s">
        <v>7143</v>
      </c>
      <c r="BC262" s="2" t="s">
        <v>7147</v>
      </c>
      <c r="BD262" s="2" t="s">
        <v>7142</v>
      </c>
      <c r="BE262" s="2" t="s">
        <v>7143</v>
      </c>
      <c r="BL262" s="2" t="s">
        <v>7152</v>
      </c>
      <c r="BM262" s="2" t="s">
        <v>7153</v>
      </c>
      <c r="BN262" s="2" t="s">
        <v>7154</v>
      </c>
      <c r="BO262" s="2" t="s">
        <v>7155</v>
      </c>
      <c r="BQ262" s="2" t="s">
        <v>7156</v>
      </c>
      <c r="BS262" s="2" t="s">
        <v>7142</v>
      </c>
      <c r="BT262" s="2" t="s">
        <v>7157</v>
      </c>
      <c r="BV262" s="2" t="s">
        <v>7352</v>
      </c>
      <c r="BX262" s="2" t="s">
        <v>7142</v>
      </c>
      <c r="BY262" s="2" t="s">
        <v>1857</v>
      </c>
      <c r="BZ262" s="2" t="s">
        <v>7159</v>
      </c>
      <c r="CE262" s="7">
        <v>10</v>
      </c>
      <c r="CF262" s="2">
        <v>1000</v>
      </c>
      <c r="CM262" s="2">
        <v>100</v>
      </c>
      <c r="CP262" s="2">
        <v>100</v>
      </c>
      <c r="CR262" s="2" t="s">
        <v>7160</v>
      </c>
      <c r="CT262" s="2" t="s">
        <v>7143</v>
      </c>
      <c r="CU262" s="2" t="s">
        <v>7161</v>
      </c>
      <c r="CW262" s="2" t="s">
        <v>7162</v>
      </c>
      <c r="CY262" s="2" t="s">
        <v>7163</v>
      </c>
      <c r="CZ262" s="2" t="s">
        <v>7163</v>
      </c>
      <c r="DA262" s="2" t="s">
        <v>7250</v>
      </c>
      <c r="DB262" s="2" t="s">
        <v>7163</v>
      </c>
      <c r="DC262" s="2" t="s">
        <v>7250</v>
      </c>
      <c r="DD262" s="2" t="s">
        <v>7250</v>
      </c>
      <c r="DE262" s="2" t="s">
        <v>7250</v>
      </c>
      <c r="DF262" s="2" t="s">
        <v>7163</v>
      </c>
      <c r="DG262" s="2" t="s">
        <v>7163</v>
      </c>
      <c r="DH262" s="2" t="s">
        <v>7163</v>
      </c>
      <c r="DI262" s="2" t="s">
        <v>7163</v>
      </c>
      <c r="DL262" s="2" t="s">
        <v>7142</v>
      </c>
      <c r="DM262" s="2" t="s">
        <v>7142</v>
      </c>
      <c r="DN262" s="2" t="s">
        <v>7142</v>
      </c>
      <c r="DO262" s="2" t="s">
        <v>7142</v>
      </c>
      <c r="DP262" s="2" t="s">
        <v>7165</v>
      </c>
      <c r="DQ262" s="2" t="s">
        <v>7333</v>
      </c>
      <c r="DR262" s="2" t="s">
        <v>1858</v>
      </c>
      <c r="DT262" s="2" t="s">
        <v>7165</v>
      </c>
      <c r="DU262" s="2" t="s">
        <v>7165</v>
      </c>
      <c r="DV262" s="2" t="s">
        <v>7165</v>
      </c>
      <c r="DW262" s="2" t="s">
        <v>7165</v>
      </c>
      <c r="DX262" s="2" t="s">
        <v>7165</v>
      </c>
      <c r="DY262" s="2" t="s">
        <v>7165</v>
      </c>
      <c r="DZ262" s="2" t="s">
        <v>7165</v>
      </c>
      <c r="EA262" s="2" t="s">
        <v>7165</v>
      </c>
      <c r="EB262" s="2" t="s">
        <v>7165</v>
      </c>
      <c r="EF262" s="2" t="s">
        <v>7221</v>
      </c>
      <c r="EG262" s="2" t="s">
        <v>1859</v>
      </c>
      <c r="EJ262" s="2" t="s">
        <v>7144</v>
      </c>
      <c r="EK262" s="2" t="s">
        <v>7142</v>
      </c>
      <c r="EL262" s="2" t="s">
        <v>7143</v>
      </c>
      <c r="EN262" s="2" t="s">
        <v>7170</v>
      </c>
      <c r="EP262" s="2" t="s">
        <v>7186</v>
      </c>
      <c r="ER262" s="2" t="s">
        <v>7142</v>
      </c>
      <c r="ET262" s="2" t="s">
        <v>7143</v>
      </c>
      <c r="EV262" s="2" t="s">
        <v>7142</v>
      </c>
      <c r="EW262" s="2" t="s">
        <v>7204</v>
      </c>
      <c r="EX262" s="2" t="s">
        <v>7142</v>
      </c>
      <c r="EY262" s="2" t="s">
        <v>7204</v>
      </c>
      <c r="EZ262" s="2" t="s">
        <v>7143</v>
      </c>
      <c r="FC262" s="2" t="s">
        <v>7172</v>
      </c>
      <c r="FD262" s="2" t="s">
        <v>7143</v>
      </c>
      <c r="FH262" s="2" t="s">
        <v>7173</v>
      </c>
      <c r="FJ262" s="2" t="s">
        <v>7143</v>
      </c>
      <c r="FK262" s="2" t="s">
        <v>7173</v>
      </c>
      <c r="FN262" s="2" t="s">
        <v>7322</v>
      </c>
      <c r="FR262" s="2" t="s">
        <v>1860</v>
      </c>
      <c r="FT262" s="2" t="s">
        <v>7189</v>
      </c>
      <c r="FU262" s="2" t="s">
        <v>7189</v>
      </c>
      <c r="FV262" s="2" t="s">
        <v>7189</v>
      </c>
      <c r="FW262" s="2" t="s">
        <v>7189</v>
      </c>
      <c r="FX262" s="2" t="s">
        <v>7189</v>
      </c>
      <c r="FY262" s="2" t="s">
        <v>1861</v>
      </c>
      <c r="FZ262" s="19" t="s">
        <v>8106</v>
      </c>
    </row>
    <row r="263" spans="1:182">
      <c r="A263" s="7" t="s">
        <v>1862</v>
      </c>
      <c r="D263" s="7" t="s">
        <v>8107</v>
      </c>
      <c r="E263" s="7" t="s">
        <v>1863</v>
      </c>
      <c r="F263" s="7" t="s">
        <v>7339</v>
      </c>
      <c r="G263" s="7" t="s">
        <v>7981</v>
      </c>
      <c r="H263" s="7" t="s">
        <v>1650</v>
      </c>
      <c r="I263" s="7" t="s">
        <v>1864</v>
      </c>
      <c r="J263" s="16" t="s">
        <v>8108</v>
      </c>
      <c r="K263" s="7" t="s">
        <v>1865</v>
      </c>
      <c r="L263" s="2" t="s">
        <v>7137</v>
      </c>
      <c r="M263" s="7" t="s">
        <v>7179</v>
      </c>
      <c r="N263" s="7">
        <v>1991</v>
      </c>
      <c r="O263" s="7" t="s">
        <v>7180</v>
      </c>
      <c r="P263" s="2" t="s">
        <v>7140</v>
      </c>
      <c r="Q263" s="2" t="s">
        <v>7182</v>
      </c>
      <c r="R263" s="2" t="s">
        <v>7143</v>
      </c>
      <c r="S263" s="2">
        <v>26</v>
      </c>
      <c r="T263" s="2" t="s">
        <v>7143</v>
      </c>
      <c r="U263" s="2" t="s">
        <v>7143</v>
      </c>
      <c r="Y263" s="2">
        <v>713</v>
      </c>
      <c r="Z263" s="17">
        <v>0.94389999999999996</v>
      </c>
      <c r="AA263" s="2">
        <v>673</v>
      </c>
      <c r="AB263" s="2">
        <v>673</v>
      </c>
      <c r="AC263" s="7">
        <v>673</v>
      </c>
      <c r="AD263" s="2">
        <v>833</v>
      </c>
      <c r="AE263" s="2">
        <v>160</v>
      </c>
      <c r="AF263" s="2" t="s">
        <v>7143</v>
      </c>
      <c r="AG263" s="2" t="s">
        <v>7143</v>
      </c>
      <c r="AH263" s="2" t="s">
        <v>7143</v>
      </c>
      <c r="AJ263" s="2" t="s">
        <v>7143</v>
      </c>
      <c r="AK263" s="2" t="s">
        <v>7143</v>
      </c>
      <c r="AL263" s="2" t="s">
        <v>7143</v>
      </c>
      <c r="AM263" s="2" t="s">
        <v>7143</v>
      </c>
      <c r="AN263" s="2" t="s">
        <v>7142</v>
      </c>
      <c r="AO263" s="2" t="s">
        <v>7143</v>
      </c>
      <c r="AR263" s="7">
        <v>2.02</v>
      </c>
      <c r="AS263" s="7">
        <v>4</v>
      </c>
      <c r="AT263" s="7">
        <v>8.5</v>
      </c>
      <c r="AU263" s="2" t="s">
        <v>7193</v>
      </c>
      <c r="AV263" s="2" t="s">
        <v>7193</v>
      </c>
      <c r="AW263" s="2" t="s">
        <v>7143</v>
      </c>
      <c r="AZ263" s="2" t="s">
        <v>7566</v>
      </c>
      <c r="BB263" s="2" t="s">
        <v>7214</v>
      </c>
      <c r="BC263" s="2" t="s">
        <v>7247</v>
      </c>
      <c r="BD263" s="2" t="s">
        <v>7143</v>
      </c>
      <c r="BE263" s="2" t="s">
        <v>7142</v>
      </c>
      <c r="BF263" s="2" t="s">
        <v>7148</v>
      </c>
      <c r="BG263" s="2" t="s">
        <v>7149</v>
      </c>
      <c r="BH263" s="2" t="s">
        <v>7248</v>
      </c>
      <c r="BI263" s="2" t="s">
        <v>7151</v>
      </c>
      <c r="BL263" s="2" t="s">
        <v>7152</v>
      </c>
      <c r="BM263" s="2" t="s">
        <v>7153</v>
      </c>
      <c r="BN263" s="2" t="s">
        <v>7154</v>
      </c>
      <c r="BO263" s="2" t="s">
        <v>7155</v>
      </c>
      <c r="BQ263" s="2" t="s">
        <v>7156</v>
      </c>
      <c r="BS263" s="2" t="s">
        <v>7142</v>
      </c>
      <c r="BT263" s="2" t="s">
        <v>7341</v>
      </c>
      <c r="BV263" s="2" t="s">
        <v>7313</v>
      </c>
      <c r="BX263" s="2" t="s">
        <v>7142</v>
      </c>
      <c r="BY263" s="2" t="s">
        <v>1866</v>
      </c>
      <c r="BZ263" s="2" t="s">
        <v>7165</v>
      </c>
      <c r="CA263" s="2" t="s">
        <v>1867</v>
      </c>
      <c r="CE263" s="7">
        <v>8.5</v>
      </c>
      <c r="CF263" s="2">
        <v>833</v>
      </c>
      <c r="CM263" s="2">
        <v>100</v>
      </c>
      <c r="CO263" s="2">
        <v>100</v>
      </c>
      <c r="CR263" s="2" t="s">
        <v>7357</v>
      </c>
      <c r="CT263" s="2" t="s">
        <v>7143</v>
      </c>
      <c r="CU263" s="2" t="s">
        <v>7161</v>
      </c>
      <c r="CW263" s="2" t="s">
        <v>7162</v>
      </c>
      <c r="CY263" s="2" t="s">
        <v>7227</v>
      </c>
      <c r="CZ263" s="2" t="s">
        <v>7227</v>
      </c>
      <c r="DA263" s="2" t="s">
        <v>7250</v>
      </c>
      <c r="DB263" s="2" t="s">
        <v>7249</v>
      </c>
      <c r="DC263" s="2" t="s">
        <v>7249</v>
      </c>
      <c r="DD263" s="2" t="s">
        <v>7249</v>
      </c>
      <c r="DE263" s="2" t="s">
        <v>7227</v>
      </c>
      <c r="DF263" s="2" t="s">
        <v>7227</v>
      </c>
      <c r="DG263" s="2" t="s">
        <v>7227</v>
      </c>
      <c r="DH263" s="2" t="s">
        <v>7227</v>
      </c>
      <c r="DI263" s="2" t="s">
        <v>7227</v>
      </c>
      <c r="DL263" s="2" t="s">
        <v>7142</v>
      </c>
      <c r="DM263" s="2" t="s">
        <v>7142</v>
      </c>
      <c r="DN263" s="2" t="s">
        <v>7142</v>
      </c>
      <c r="DO263" s="2" t="s">
        <v>7142</v>
      </c>
      <c r="DP263" s="2" t="s">
        <v>7165</v>
      </c>
      <c r="DQ263" s="2" t="s">
        <v>7333</v>
      </c>
      <c r="DR263" s="2" t="s">
        <v>1868</v>
      </c>
      <c r="DT263" s="2" t="s">
        <v>7165</v>
      </c>
      <c r="DU263" s="2" t="s">
        <v>7165</v>
      </c>
      <c r="DV263" s="2" t="s">
        <v>7165</v>
      </c>
      <c r="DW263" s="2" t="s">
        <v>7165</v>
      </c>
      <c r="DX263" s="2" t="s">
        <v>7165</v>
      </c>
      <c r="DY263" s="2" t="s">
        <v>7165</v>
      </c>
      <c r="DZ263" s="2" t="s">
        <v>7165</v>
      </c>
      <c r="EA263" s="2" t="s">
        <v>7165</v>
      </c>
      <c r="EB263" s="2" t="s">
        <v>7165</v>
      </c>
      <c r="EC263" s="2" t="s">
        <v>7159</v>
      </c>
      <c r="ED263" s="2" t="s">
        <v>7159</v>
      </c>
      <c r="EF263" s="2" t="s">
        <v>7221</v>
      </c>
      <c r="EG263" s="2" t="s">
        <v>1869</v>
      </c>
      <c r="EJ263" s="2" t="s">
        <v>7193</v>
      </c>
      <c r="EK263" s="2" t="s">
        <v>7142</v>
      </c>
      <c r="EL263" s="2" t="s">
        <v>7143</v>
      </c>
      <c r="EN263" s="2" t="s">
        <v>7170</v>
      </c>
      <c r="EP263" s="2" t="s">
        <v>7186</v>
      </c>
      <c r="ER263" s="2" t="s">
        <v>7142</v>
      </c>
      <c r="ET263" s="2" t="s">
        <v>7143</v>
      </c>
      <c r="EV263" s="2" t="s">
        <v>7142</v>
      </c>
      <c r="EW263" s="2" t="s">
        <v>7171</v>
      </c>
      <c r="EX263" s="2" t="s">
        <v>7143</v>
      </c>
      <c r="EZ263" s="2" t="s">
        <v>7143</v>
      </c>
      <c r="FC263" s="2" t="s">
        <v>7218</v>
      </c>
      <c r="FD263" s="2" t="s">
        <v>7143</v>
      </c>
      <c r="FH263" s="2" t="s">
        <v>7173</v>
      </c>
      <c r="FJ263" s="2" t="s">
        <v>7143</v>
      </c>
      <c r="FK263" s="2" t="s">
        <v>7173</v>
      </c>
      <c r="FL263" s="2" t="s">
        <v>7402</v>
      </c>
      <c r="FN263" s="2" t="s">
        <v>7344</v>
      </c>
      <c r="FR263" s="2" t="s">
        <v>1870</v>
      </c>
      <c r="FT263" s="2" t="s">
        <v>7189</v>
      </c>
      <c r="FU263" s="2" t="s">
        <v>7189</v>
      </c>
      <c r="FV263" s="2" t="s">
        <v>7189</v>
      </c>
      <c r="FW263" s="2" t="s">
        <v>7189</v>
      </c>
      <c r="FX263" s="2" t="s">
        <v>7189</v>
      </c>
      <c r="FZ263" s="19" t="s">
        <v>8109</v>
      </c>
    </row>
    <row r="264" spans="1:182">
      <c r="A264" s="7" t="s">
        <v>1871</v>
      </c>
      <c r="D264" s="7" t="s">
        <v>8110</v>
      </c>
      <c r="E264" s="7" t="s">
        <v>177</v>
      </c>
      <c r="F264" s="7" t="s">
        <v>7134</v>
      </c>
      <c r="G264" s="7" t="s">
        <v>7981</v>
      </c>
      <c r="H264" s="7" t="s">
        <v>1659</v>
      </c>
      <c r="I264" s="7" t="s">
        <v>1872</v>
      </c>
      <c r="J264" s="19" t="s">
        <v>8111</v>
      </c>
      <c r="K264" s="7" t="s">
        <v>1873</v>
      </c>
      <c r="L264" s="2" t="s">
        <v>7137</v>
      </c>
      <c r="M264" s="7" t="s">
        <v>7179</v>
      </c>
      <c r="N264" s="7">
        <v>1975</v>
      </c>
      <c r="O264" s="7" t="s">
        <v>7180</v>
      </c>
      <c r="P264" s="2" t="s">
        <v>7181</v>
      </c>
      <c r="Q264" s="2" t="s">
        <v>7141</v>
      </c>
      <c r="R264" s="2" t="s">
        <v>7143</v>
      </c>
      <c r="S264" s="2">
        <v>27</v>
      </c>
      <c r="T264" s="2" t="s">
        <v>7143</v>
      </c>
      <c r="U264" s="2" t="s">
        <v>7143</v>
      </c>
      <c r="Y264" s="2">
        <v>820</v>
      </c>
      <c r="Z264" s="17">
        <v>1</v>
      </c>
      <c r="AA264" s="2">
        <v>820</v>
      </c>
      <c r="AB264" s="2">
        <v>820</v>
      </c>
      <c r="AC264" s="7">
        <v>820</v>
      </c>
      <c r="AD264" s="2">
        <v>920</v>
      </c>
      <c r="AE264" s="2">
        <v>100</v>
      </c>
      <c r="AF264" s="2" t="s">
        <v>7143</v>
      </c>
      <c r="AG264" s="2" t="s">
        <v>7143</v>
      </c>
      <c r="AH264" s="2" t="s">
        <v>7143</v>
      </c>
      <c r="AJ264" s="2" t="s">
        <v>7143</v>
      </c>
      <c r="AK264" s="2" t="s">
        <v>7143</v>
      </c>
      <c r="AL264" s="2" t="s">
        <v>7143</v>
      </c>
      <c r="AM264" s="2" t="s">
        <v>7143</v>
      </c>
      <c r="AN264" s="2" t="s">
        <v>7143</v>
      </c>
      <c r="AO264" s="2" t="s">
        <v>7143</v>
      </c>
      <c r="AR264" s="7">
        <v>2</v>
      </c>
      <c r="AS264" s="7">
        <v>3</v>
      </c>
      <c r="AT264" s="7">
        <v>9.1999999999999993</v>
      </c>
      <c r="AU264" s="2" t="s">
        <v>7168</v>
      </c>
      <c r="AV264" s="2" t="s">
        <v>7168</v>
      </c>
      <c r="AW264" s="2" t="s">
        <v>7143</v>
      </c>
      <c r="AZ264" s="2" t="s">
        <v>7145</v>
      </c>
      <c r="BB264" s="2" t="s">
        <v>7146</v>
      </c>
      <c r="BC264" s="2" t="s">
        <v>7147</v>
      </c>
      <c r="BD264" s="2" t="s">
        <v>7142</v>
      </c>
      <c r="BE264" s="2" t="s">
        <v>7142</v>
      </c>
      <c r="BF264" s="2" t="s">
        <v>7148</v>
      </c>
      <c r="BG264" s="2" t="s">
        <v>7149</v>
      </c>
      <c r="BH264" s="2" t="s">
        <v>7248</v>
      </c>
      <c r="BI264" s="2" t="s">
        <v>7151</v>
      </c>
      <c r="BL264" s="2" t="s">
        <v>7152</v>
      </c>
      <c r="BM264" s="2" t="s">
        <v>7153</v>
      </c>
      <c r="BN264" s="2" t="s">
        <v>7154</v>
      </c>
      <c r="BO264" s="2" t="s">
        <v>7155</v>
      </c>
      <c r="BQ264" s="2" t="s">
        <v>7183</v>
      </c>
      <c r="BS264" s="2" t="s">
        <v>7142</v>
      </c>
      <c r="BT264" s="2" t="s">
        <v>7783</v>
      </c>
      <c r="BV264" s="2" t="s">
        <v>7202</v>
      </c>
      <c r="BX264" s="2" t="s">
        <v>7143</v>
      </c>
      <c r="BZ264" s="2" t="s">
        <v>7173</v>
      </c>
      <c r="CE264" s="7">
        <v>9.1999999999999993</v>
      </c>
      <c r="CF264" s="2">
        <v>920</v>
      </c>
      <c r="CM264" s="2">
        <v>100</v>
      </c>
      <c r="CO264" s="2">
        <v>100</v>
      </c>
      <c r="CR264" s="2" t="s">
        <v>7160</v>
      </c>
      <c r="CT264" s="2" t="s">
        <v>7143</v>
      </c>
      <c r="CU264" s="2" t="s">
        <v>7161</v>
      </c>
      <c r="CW264" s="2" t="s">
        <v>7162</v>
      </c>
      <c r="CY264" s="2" t="s">
        <v>7163</v>
      </c>
      <c r="CZ264" s="2" t="s">
        <v>7163</v>
      </c>
      <c r="DA264" s="2" t="s">
        <v>7164</v>
      </c>
      <c r="DB264" s="2" t="s">
        <v>7164</v>
      </c>
      <c r="DC264" s="2" t="s">
        <v>7164</v>
      </c>
      <c r="DD264" s="2" t="s">
        <v>7164</v>
      </c>
      <c r="DE264" s="2" t="s">
        <v>7164</v>
      </c>
      <c r="DF264" s="2" t="s">
        <v>7164</v>
      </c>
      <c r="DG264" s="2" t="s">
        <v>7164</v>
      </c>
      <c r="DH264" s="2" t="s">
        <v>7164</v>
      </c>
      <c r="DI264" s="2" t="s">
        <v>7164</v>
      </c>
      <c r="DL264" s="2" t="s">
        <v>7142</v>
      </c>
      <c r="DM264" s="2" t="s">
        <v>7142</v>
      </c>
      <c r="DN264" s="2" t="s">
        <v>7142</v>
      </c>
      <c r="DO264" s="2" t="s">
        <v>7142</v>
      </c>
      <c r="DP264" s="2" t="s">
        <v>7165</v>
      </c>
      <c r="DQ264" s="2" t="s">
        <v>7166</v>
      </c>
      <c r="DT264" s="2" t="s">
        <v>7165</v>
      </c>
      <c r="DU264" s="2" t="s">
        <v>7165</v>
      </c>
      <c r="DV264" s="2" t="s">
        <v>7165</v>
      </c>
      <c r="DW264" s="2" t="s">
        <v>7165</v>
      </c>
      <c r="DX264" s="2" t="s">
        <v>7165</v>
      </c>
      <c r="DY264" s="2" t="s">
        <v>7165</v>
      </c>
      <c r="DZ264" s="2" t="s">
        <v>7165</v>
      </c>
      <c r="EA264" s="2" t="s">
        <v>7165</v>
      </c>
      <c r="EB264" s="2" t="s">
        <v>7165</v>
      </c>
      <c r="EF264" s="2" t="s">
        <v>7167</v>
      </c>
      <c r="EJ264" s="2" t="s">
        <v>7168</v>
      </c>
      <c r="EK264" s="2" t="s">
        <v>7142</v>
      </c>
      <c r="EL264" s="2" t="s">
        <v>7143</v>
      </c>
      <c r="EN264" s="2" t="s">
        <v>7170</v>
      </c>
      <c r="EP264" s="2" t="s">
        <v>7186</v>
      </c>
      <c r="ER264" s="2" t="s">
        <v>7142</v>
      </c>
      <c r="ET264" s="2" t="s">
        <v>7143</v>
      </c>
      <c r="EV264" s="2" t="s">
        <v>7142</v>
      </c>
      <c r="EW264" s="2" t="s">
        <v>7171</v>
      </c>
      <c r="EX264" s="2" t="s">
        <v>7142</v>
      </c>
      <c r="EY264" s="2" t="s">
        <v>7171</v>
      </c>
      <c r="FC264" s="2" t="s">
        <v>7172</v>
      </c>
      <c r="FD264" s="2" t="s">
        <v>7143</v>
      </c>
      <c r="FH264" s="2" t="s">
        <v>7173</v>
      </c>
      <c r="FJ264" s="2" t="s">
        <v>7142</v>
      </c>
      <c r="FK264" s="2" t="s">
        <v>7165</v>
      </c>
      <c r="FL264" s="2" t="s">
        <v>7992</v>
      </c>
      <c r="FT264" s="2" t="s">
        <v>7176</v>
      </c>
      <c r="FU264" s="2" t="s">
        <v>7176</v>
      </c>
      <c r="FV264" s="2" t="s">
        <v>7176</v>
      </c>
      <c r="FW264" s="2" t="s">
        <v>7176</v>
      </c>
      <c r="FZ264" s="19" t="s">
        <v>8112</v>
      </c>
    </row>
    <row r="265" spans="1:182">
      <c r="A265" s="7" t="s">
        <v>1874</v>
      </c>
      <c r="D265" s="7" t="s">
        <v>8113</v>
      </c>
      <c r="E265" s="7" t="s">
        <v>177</v>
      </c>
      <c r="F265" s="7" t="s">
        <v>7245</v>
      </c>
      <c r="G265" s="7" t="s">
        <v>7981</v>
      </c>
      <c r="H265" s="7" t="s">
        <v>1659</v>
      </c>
      <c r="I265" s="7" t="s">
        <v>1875</v>
      </c>
      <c r="J265" s="16" t="s">
        <v>8114</v>
      </c>
      <c r="K265" s="7" t="s">
        <v>1876</v>
      </c>
      <c r="L265" s="7" t="s">
        <v>7281</v>
      </c>
      <c r="M265" s="7" t="s">
        <v>7179</v>
      </c>
      <c r="N265" s="7">
        <v>1980</v>
      </c>
      <c r="O265" s="7" t="s">
        <v>7180</v>
      </c>
      <c r="P265" s="7" t="s">
        <v>7181</v>
      </c>
      <c r="Q265" s="7" t="s">
        <v>7141</v>
      </c>
      <c r="R265" s="2" t="s">
        <v>7143</v>
      </c>
      <c r="S265" s="7">
        <v>2005</v>
      </c>
      <c r="T265" s="7" t="s">
        <v>7143</v>
      </c>
      <c r="U265" s="7" t="s">
        <v>7143</v>
      </c>
      <c r="Y265" s="2">
        <v>920</v>
      </c>
      <c r="Z265" s="17">
        <v>0.97829999999999995</v>
      </c>
      <c r="AA265" s="2">
        <v>900</v>
      </c>
      <c r="AB265" s="2">
        <v>900</v>
      </c>
      <c r="AC265" s="7">
        <v>880</v>
      </c>
      <c r="AD265" s="2">
        <v>1000</v>
      </c>
      <c r="AE265" s="2">
        <v>120</v>
      </c>
      <c r="AF265" s="7" t="s">
        <v>7143</v>
      </c>
      <c r="AG265" s="7" t="s">
        <v>7142</v>
      </c>
      <c r="AH265" s="7" t="s">
        <v>7142</v>
      </c>
      <c r="AI265" s="7" t="s">
        <v>1545</v>
      </c>
      <c r="AJ265" s="2" t="s">
        <v>7143</v>
      </c>
      <c r="AK265" s="2" t="s">
        <v>7143</v>
      </c>
      <c r="AL265" s="2" t="s">
        <v>7143</v>
      </c>
      <c r="AM265" s="2" t="s">
        <v>7142</v>
      </c>
      <c r="AN265" s="2" t="s">
        <v>7143</v>
      </c>
      <c r="AO265" s="2" t="s">
        <v>7143</v>
      </c>
      <c r="AR265" s="7">
        <v>2</v>
      </c>
      <c r="AS265" s="7">
        <v>2</v>
      </c>
      <c r="AT265" s="7">
        <v>10</v>
      </c>
      <c r="AU265" s="7" t="s">
        <v>7144</v>
      </c>
      <c r="AV265" s="7" t="s">
        <v>7144</v>
      </c>
      <c r="AW265" s="7" t="s">
        <v>7143</v>
      </c>
      <c r="AZ265" s="2" t="s">
        <v>7145</v>
      </c>
      <c r="BB265" s="2" t="s">
        <v>7214</v>
      </c>
      <c r="BC265" s="7" t="s">
        <v>7147</v>
      </c>
      <c r="BD265" s="7" t="s">
        <v>7142</v>
      </c>
      <c r="BE265" s="7" t="s">
        <v>7142</v>
      </c>
      <c r="BF265" s="7" t="s">
        <v>7148</v>
      </c>
      <c r="BG265" s="7" t="s">
        <v>7149</v>
      </c>
      <c r="BH265" s="7" t="s">
        <v>7248</v>
      </c>
      <c r="BI265" s="7" t="s">
        <v>7151</v>
      </c>
      <c r="BL265" s="7" t="s">
        <v>7152</v>
      </c>
      <c r="BM265" s="7" t="s">
        <v>7153</v>
      </c>
      <c r="BN265" s="7" t="s">
        <v>7154</v>
      </c>
      <c r="BO265" s="7" t="s">
        <v>7155</v>
      </c>
      <c r="BP265" s="2" t="s">
        <v>7275</v>
      </c>
      <c r="BQ265" s="2" t="s">
        <v>7183</v>
      </c>
      <c r="BS265" s="7" t="s">
        <v>7142</v>
      </c>
      <c r="BT265" s="2" t="s">
        <v>7215</v>
      </c>
      <c r="BV265" s="2" t="s">
        <v>7304</v>
      </c>
      <c r="BX265" s="7" t="s">
        <v>7142</v>
      </c>
      <c r="BY265" s="7" t="s">
        <v>326</v>
      </c>
      <c r="BZ265" s="7" t="s">
        <v>7159</v>
      </c>
      <c r="CE265" s="7">
        <v>10</v>
      </c>
      <c r="CF265" s="2">
        <v>960</v>
      </c>
      <c r="CK265" s="2">
        <v>100</v>
      </c>
      <c r="CO265" s="2">
        <v>100</v>
      </c>
      <c r="CR265" s="7" t="s">
        <v>7160</v>
      </c>
      <c r="CT265" s="7" t="s">
        <v>7143</v>
      </c>
      <c r="CU265" s="7" t="s">
        <v>7161</v>
      </c>
      <c r="CW265" s="7" t="s">
        <v>7162</v>
      </c>
      <c r="CY265" s="7" t="s">
        <v>7163</v>
      </c>
      <c r="CZ265" s="7" t="s">
        <v>7227</v>
      </c>
      <c r="DA265" s="2" t="s">
        <v>7250</v>
      </c>
      <c r="DB265" s="2" t="s">
        <v>7251</v>
      </c>
      <c r="DC265" s="2" t="s">
        <v>7164</v>
      </c>
      <c r="DD265" s="2" t="s">
        <v>7251</v>
      </c>
      <c r="DE265" s="2" t="s">
        <v>7250</v>
      </c>
      <c r="DF265" s="2" t="s">
        <v>7163</v>
      </c>
      <c r="DG265" s="2" t="s">
        <v>7164</v>
      </c>
      <c r="DH265" s="2" t="s">
        <v>7164</v>
      </c>
      <c r="DI265" s="2" t="s">
        <v>7164</v>
      </c>
      <c r="DL265" s="7" t="s">
        <v>7142</v>
      </c>
      <c r="DM265" s="7" t="s">
        <v>7142</v>
      </c>
      <c r="DN265" s="7" t="s">
        <v>7142</v>
      </c>
      <c r="DO265" s="7" t="s">
        <v>7142</v>
      </c>
      <c r="DP265" s="7" t="s">
        <v>7165</v>
      </c>
      <c r="DQ265" s="7" t="s">
        <v>7166</v>
      </c>
      <c r="DS265" s="7" t="s">
        <v>7165</v>
      </c>
      <c r="DT265" s="7" t="s">
        <v>7165</v>
      </c>
      <c r="DU265" s="7" t="s">
        <v>7165</v>
      </c>
      <c r="DV265" s="7" t="s">
        <v>7165</v>
      </c>
      <c r="DW265" s="7" t="s">
        <v>7165</v>
      </c>
      <c r="DX265" s="7" t="s">
        <v>7165</v>
      </c>
      <c r="DY265" s="7" t="s">
        <v>7159</v>
      </c>
      <c r="DZ265" s="7" t="s">
        <v>7159</v>
      </c>
      <c r="EA265" s="7" t="s">
        <v>7165</v>
      </c>
      <c r="EB265" s="7" t="s">
        <v>7165</v>
      </c>
      <c r="EC265" s="7" t="s">
        <v>7159</v>
      </c>
      <c r="ED265" s="7"/>
      <c r="EE265" s="7"/>
      <c r="EF265" s="7" t="s">
        <v>7221</v>
      </c>
      <c r="EJ265" s="7" t="s">
        <v>7193</v>
      </c>
      <c r="EK265" s="7" t="s">
        <v>7142</v>
      </c>
      <c r="EL265" s="7" t="s">
        <v>7143</v>
      </c>
      <c r="EN265" s="7" t="s">
        <v>7170</v>
      </c>
      <c r="EP265" s="7" t="s">
        <v>7186</v>
      </c>
      <c r="ER265" s="7" t="s">
        <v>7142</v>
      </c>
      <c r="ET265" s="7" t="s">
        <v>7143</v>
      </c>
      <c r="EV265" s="2" t="s">
        <v>7143</v>
      </c>
      <c r="EX265" s="2" t="s">
        <v>7143</v>
      </c>
      <c r="EZ265" s="2" t="s">
        <v>7143</v>
      </c>
      <c r="FC265" s="2" t="s">
        <v>7172</v>
      </c>
      <c r="FD265" s="2" t="s">
        <v>7143</v>
      </c>
      <c r="FH265" s="7" t="s">
        <v>7173</v>
      </c>
      <c r="FJ265" s="7" t="s">
        <v>7143</v>
      </c>
      <c r="FK265" s="7" t="s">
        <v>7165</v>
      </c>
      <c r="FL265" s="7" t="s">
        <v>7260</v>
      </c>
      <c r="FN265" s="2" t="s">
        <v>7253</v>
      </c>
      <c r="FT265" s="2" t="s">
        <v>7176</v>
      </c>
      <c r="FU265" s="2" t="s">
        <v>7189</v>
      </c>
      <c r="FV265" s="2" t="s">
        <v>7189</v>
      </c>
      <c r="FW265" s="2" t="s">
        <v>7189</v>
      </c>
      <c r="FZ265" s="19" t="s">
        <v>8115</v>
      </c>
    </row>
    <row r="266" spans="1:182">
      <c r="A266" s="7" t="s">
        <v>1877</v>
      </c>
      <c r="D266" s="7" t="s">
        <v>8116</v>
      </c>
      <c r="E266" s="7" t="s">
        <v>1878</v>
      </c>
      <c r="F266" s="7" t="s">
        <v>7319</v>
      </c>
      <c r="G266" s="7" t="s">
        <v>7981</v>
      </c>
      <c r="H266" s="7" t="s">
        <v>1668</v>
      </c>
      <c r="I266" s="7" t="s">
        <v>1879</v>
      </c>
      <c r="J266" s="16" t="s">
        <v>8117</v>
      </c>
      <c r="K266" s="7" t="s">
        <v>1880</v>
      </c>
      <c r="L266" s="7" t="s">
        <v>7137</v>
      </c>
      <c r="M266" s="7" t="s">
        <v>7179</v>
      </c>
      <c r="N266" s="7">
        <v>1988</v>
      </c>
      <c r="O266" s="7" t="s">
        <v>7180</v>
      </c>
      <c r="P266" s="7" t="s">
        <v>7181</v>
      </c>
      <c r="Q266" s="7" t="s">
        <v>7182</v>
      </c>
      <c r="R266" s="7" t="s">
        <v>7143</v>
      </c>
      <c r="S266" s="7">
        <v>30</v>
      </c>
      <c r="T266" s="7" t="s">
        <v>7143</v>
      </c>
      <c r="U266" s="7" t="s">
        <v>7143</v>
      </c>
      <c r="Y266" s="2">
        <v>1180</v>
      </c>
      <c r="Z266" s="17">
        <v>1</v>
      </c>
      <c r="AA266" s="2">
        <v>1180</v>
      </c>
      <c r="AB266" s="2">
        <v>1180</v>
      </c>
      <c r="AC266" s="7">
        <v>1130</v>
      </c>
      <c r="AD266" s="2">
        <v>1360</v>
      </c>
      <c r="AE266" s="2">
        <v>230</v>
      </c>
      <c r="AF266" s="2" t="s">
        <v>7143</v>
      </c>
      <c r="AG266" s="2" t="s">
        <v>7143</v>
      </c>
      <c r="AH266" s="2" t="s">
        <v>7142</v>
      </c>
      <c r="AI266" s="2" t="s">
        <v>308</v>
      </c>
      <c r="AJ266" s="2" t="s">
        <v>7143</v>
      </c>
      <c r="AK266" s="2" t="s">
        <v>7143</v>
      </c>
      <c r="AL266" s="2" t="s">
        <v>7143</v>
      </c>
      <c r="AM266" s="2" t="s">
        <v>7143</v>
      </c>
      <c r="AN266" s="2" t="s">
        <v>7143</v>
      </c>
      <c r="AO266" s="2" t="s">
        <v>7143</v>
      </c>
      <c r="AR266" s="7">
        <v>3.8</v>
      </c>
      <c r="AS266" s="7">
        <v>4</v>
      </c>
      <c r="AT266" s="7">
        <v>13.6</v>
      </c>
      <c r="AU266" s="2" t="s">
        <v>7144</v>
      </c>
      <c r="AV266" s="2" t="s">
        <v>7144</v>
      </c>
      <c r="AW266" s="2" t="s">
        <v>7143</v>
      </c>
      <c r="AZ266" s="2" t="s">
        <v>7337</v>
      </c>
      <c r="BB266" s="2" t="s">
        <v>7146</v>
      </c>
      <c r="BC266" s="2" t="s">
        <v>7147</v>
      </c>
      <c r="BD266" s="2" t="s">
        <v>7143</v>
      </c>
      <c r="BE266" s="2" t="s">
        <v>7143</v>
      </c>
      <c r="BL266" s="2" t="s">
        <v>7152</v>
      </c>
      <c r="BM266" s="2" t="s">
        <v>7153</v>
      </c>
      <c r="BN266" s="2" t="s">
        <v>7154</v>
      </c>
      <c r="BO266" s="2" t="s">
        <v>7274</v>
      </c>
      <c r="BP266" s="2" t="s">
        <v>7275</v>
      </c>
      <c r="BS266" s="2" t="s">
        <v>7142</v>
      </c>
      <c r="BT266" s="2" t="s">
        <v>7341</v>
      </c>
      <c r="BV266" s="2" t="s">
        <v>7363</v>
      </c>
      <c r="BX266" s="2" t="s">
        <v>7143</v>
      </c>
      <c r="BZ266" s="2" t="s">
        <v>7173</v>
      </c>
      <c r="CE266" s="7">
        <v>13.6</v>
      </c>
      <c r="CF266" s="2">
        <v>1360</v>
      </c>
      <c r="CK266" s="2">
        <v>100</v>
      </c>
      <c r="CO266" s="2">
        <v>100</v>
      </c>
      <c r="CR266" s="2" t="s">
        <v>7160</v>
      </c>
      <c r="CT266" s="2" t="s">
        <v>7143</v>
      </c>
      <c r="CU266" s="2" t="s">
        <v>7161</v>
      </c>
      <c r="CW266" s="2" t="s">
        <v>7162</v>
      </c>
      <c r="CY266" s="2" t="s">
        <v>7163</v>
      </c>
      <c r="CZ266" s="2" t="s">
        <v>7163</v>
      </c>
      <c r="DA266" s="2" t="s">
        <v>7250</v>
      </c>
      <c r="DB266" s="2" t="s">
        <v>7250</v>
      </c>
      <c r="DC266" s="2" t="s">
        <v>7250</v>
      </c>
      <c r="DD266" s="2" t="s">
        <v>7321</v>
      </c>
      <c r="DE266" s="2" t="s">
        <v>7250</v>
      </c>
      <c r="DG266" s="2" t="s">
        <v>7250</v>
      </c>
      <c r="DH266" s="2" t="s">
        <v>7321</v>
      </c>
      <c r="DI266" s="2" t="s">
        <v>7321</v>
      </c>
      <c r="DL266" s="2" t="s">
        <v>7143</v>
      </c>
      <c r="DM266" s="2" t="s">
        <v>7143</v>
      </c>
      <c r="DP266" s="2" t="s">
        <v>7159</v>
      </c>
      <c r="DT266" s="2" t="s">
        <v>7159</v>
      </c>
      <c r="DU266" s="2" t="s">
        <v>7159</v>
      </c>
      <c r="DV266" s="2" t="s">
        <v>7159</v>
      </c>
      <c r="DW266" s="2" t="s">
        <v>7159</v>
      </c>
      <c r="DX266" s="2" t="s">
        <v>7159</v>
      </c>
      <c r="DY266" s="2" t="s">
        <v>7159</v>
      </c>
      <c r="DZ266" s="2" t="s">
        <v>7159</v>
      </c>
      <c r="EA266" s="2" t="s">
        <v>7159</v>
      </c>
      <c r="EB266" s="2" t="s">
        <v>7159</v>
      </c>
      <c r="EC266" s="2" t="s">
        <v>7159</v>
      </c>
      <c r="EF266" s="2" t="s">
        <v>7252</v>
      </c>
      <c r="EG266" s="2" t="s">
        <v>431</v>
      </c>
      <c r="EJ266" s="2" t="s">
        <v>7217</v>
      </c>
      <c r="EK266" s="2" t="s">
        <v>7143</v>
      </c>
      <c r="EL266" s="2" t="s">
        <v>7143</v>
      </c>
      <c r="EN266" s="2" t="s">
        <v>7210</v>
      </c>
      <c r="EP266" s="2" t="s">
        <v>7186</v>
      </c>
      <c r="ER266" s="2" t="s">
        <v>7143</v>
      </c>
      <c r="ET266" s="2" t="s">
        <v>7143</v>
      </c>
      <c r="EV266" s="2" t="s">
        <v>7143</v>
      </c>
      <c r="EX266" s="2" t="s">
        <v>7143</v>
      </c>
      <c r="EZ266" s="2" t="s">
        <v>7143</v>
      </c>
      <c r="FC266" s="2" t="s">
        <v>7218</v>
      </c>
      <c r="FD266" s="2" t="s">
        <v>7143</v>
      </c>
      <c r="FH266" s="2" t="s">
        <v>7173</v>
      </c>
      <c r="FJ266" s="2" t="s">
        <v>7143</v>
      </c>
      <c r="FK266" s="2" t="s">
        <v>7173</v>
      </c>
      <c r="FR266" s="2" t="s">
        <v>433</v>
      </c>
      <c r="FT266" s="2" t="s">
        <v>7176</v>
      </c>
      <c r="FU266" s="2" t="s">
        <v>7176</v>
      </c>
      <c r="FV266" s="2" t="s">
        <v>7176</v>
      </c>
      <c r="FW266" s="2" t="s">
        <v>7176</v>
      </c>
      <c r="FZ266" s="19" t="s">
        <v>8118</v>
      </c>
    </row>
    <row r="267" spans="1:182">
      <c r="A267" s="7" t="s">
        <v>1881</v>
      </c>
      <c r="D267" s="7" t="s">
        <v>8119</v>
      </c>
      <c r="E267" s="7" t="s">
        <v>1882</v>
      </c>
      <c r="F267" s="7" t="s">
        <v>7339</v>
      </c>
      <c r="G267" s="7" t="s">
        <v>7981</v>
      </c>
      <c r="H267" s="7" t="s">
        <v>1650</v>
      </c>
      <c r="I267" s="7" t="s">
        <v>1883</v>
      </c>
      <c r="J267" s="16" t="s">
        <v>8120</v>
      </c>
      <c r="K267" s="7" t="s">
        <v>1884</v>
      </c>
      <c r="L267" s="2" t="s">
        <v>7137</v>
      </c>
      <c r="M267" s="7" t="s">
        <v>7179</v>
      </c>
      <c r="N267" s="7">
        <v>1990</v>
      </c>
      <c r="O267" s="7" t="s">
        <v>7180</v>
      </c>
      <c r="P267" s="2" t="s">
        <v>7181</v>
      </c>
      <c r="Q267" s="2" t="s">
        <v>7225</v>
      </c>
      <c r="R267" s="2" t="s">
        <v>7143</v>
      </c>
      <c r="S267" s="2">
        <v>20</v>
      </c>
      <c r="T267" s="2" t="s">
        <v>7143</v>
      </c>
      <c r="U267" s="2" t="s">
        <v>7143</v>
      </c>
      <c r="Y267" s="2">
        <v>1012</v>
      </c>
      <c r="Z267" s="17">
        <v>1</v>
      </c>
      <c r="AA267" s="2">
        <v>1012</v>
      </c>
      <c r="AB267" s="2">
        <v>1012</v>
      </c>
      <c r="AC267" s="7">
        <v>1012</v>
      </c>
      <c r="AD267" s="2">
        <v>1372</v>
      </c>
      <c r="AE267" s="2">
        <v>360</v>
      </c>
      <c r="AF267" s="2" t="s">
        <v>7143</v>
      </c>
      <c r="AG267" s="2" t="s">
        <v>7143</v>
      </c>
      <c r="AH267" s="2" t="s">
        <v>7143</v>
      </c>
      <c r="AJ267" s="2" t="s">
        <v>7143</v>
      </c>
      <c r="AK267" s="2" t="s">
        <v>7143</v>
      </c>
      <c r="AL267" s="2" t="s">
        <v>7143</v>
      </c>
      <c r="AM267" s="2" t="s">
        <v>7143</v>
      </c>
      <c r="AN267" s="2" t="s">
        <v>7143</v>
      </c>
      <c r="AO267" s="2" t="s">
        <v>7143</v>
      </c>
      <c r="AR267" s="7">
        <v>3</v>
      </c>
      <c r="AS267" s="7">
        <v>4</v>
      </c>
      <c r="AT267" s="7">
        <v>14</v>
      </c>
      <c r="AU267" s="2" t="s">
        <v>7193</v>
      </c>
      <c r="AV267" s="2" t="s">
        <v>7193</v>
      </c>
      <c r="AW267" s="2" t="s">
        <v>7143</v>
      </c>
      <c r="AZ267" s="2" t="s">
        <v>7566</v>
      </c>
      <c r="BB267" s="2" t="s">
        <v>7214</v>
      </c>
      <c r="BC267" s="2" t="s">
        <v>7247</v>
      </c>
      <c r="BD267" s="2" t="s">
        <v>7143</v>
      </c>
      <c r="BE267" s="2" t="s">
        <v>7142</v>
      </c>
      <c r="BF267" s="2" t="s">
        <v>7148</v>
      </c>
      <c r="BG267" s="2" t="s">
        <v>7149</v>
      </c>
      <c r="BH267" s="2" t="s">
        <v>7150</v>
      </c>
      <c r="BI267" s="2" t="s">
        <v>7151</v>
      </c>
      <c r="BL267" s="2" t="s">
        <v>7152</v>
      </c>
      <c r="BM267" s="2" t="s">
        <v>7153</v>
      </c>
      <c r="BN267" s="2" t="s">
        <v>7154</v>
      </c>
      <c r="BO267" s="2" t="s">
        <v>7155</v>
      </c>
      <c r="BQ267" s="2" t="s">
        <v>7183</v>
      </c>
      <c r="BS267" s="2" t="s">
        <v>7142</v>
      </c>
      <c r="BT267" s="2" t="s">
        <v>7400</v>
      </c>
      <c r="BV267" s="2" t="s">
        <v>7264</v>
      </c>
      <c r="BX267" s="2" t="s">
        <v>7142</v>
      </c>
      <c r="BY267" s="2" t="s">
        <v>1885</v>
      </c>
      <c r="BZ267" s="2" t="s">
        <v>7165</v>
      </c>
      <c r="CA267" s="2" t="s">
        <v>1886</v>
      </c>
      <c r="CE267" s="7">
        <v>14</v>
      </c>
      <c r="CF267" s="2">
        <v>1372</v>
      </c>
      <c r="CM267" s="2">
        <v>100</v>
      </c>
      <c r="CO267" s="2">
        <v>100</v>
      </c>
      <c r="CR267" s="2" t="s">
        <v>7357</v>
      </c>
      <c r="CT267" s="2" t="s">
        <v>7143</v>
      </c>
      <c r="CU267" s="2" t="s">
        <v>7161</v>
      </c>
      <c r="CW267" s="2" t="s">
        <v>7162</v>
      </c>
      <c r="CY267" s="2" t="s">
        <v>7227</v>
      </c>
      <c r="CZ267" s="2" t="s">
        <v>7227</v>
      </c>
      <c r="DA267" s="2" t="s">
        <v>7250</v>
      </c>
      <c r="DB267" s="2" t="s">
        <v>7250</v>
      </c>
      <c r="DC267" s="2" t="s">
        <v>7249</v>
      </c>
      <c r="DD267" s="2" t="s">
        <v>7250</v>
      </c>
      <c r="DE267" s="2" t="s">
        <v>7250</v>
      </c>
      <c r="DF267" s="2" t="s">
        <v>7227</v>
      </c>
      <c r="DG267" s="2" t="s">
        <v>7227</v>
      </c>
      <c r="DH267" s="2" t="s">
        <v>7227</v>
      </c>
      <c r="DI267" s="2" t="s">
        <v>7227</v>
      </c>
      <c r="DL267" s="2" t="s">
        <v>7142</v>
      </c>
      <c r="DM267" s="2" t="s">
        <v>7142</v>
      </c>
      <c r="DN267" s="2" t="s">
        <v>7142</v>
      </c>
      <c r="DO267" s="2" t="s">
        <v>7142</v>
      </c>
      <c r="DP267" s="2" t="s">
        <v>7165</v>
      </c>
      <c r="DQ267" s="2" t="s">
        <v>7333</v>
      </c>
      <c r="DR267" s="2" t="s">
        <v>1887</v>
      </c>
      <c r="DT267" s="2" t="s">
        <v>7165</v>
      </c>
      <c r="DU267" s="2" t="s">
        <v>7165</v>
      </c>
      <c r="DV267" s="2" t="s">
        <v>7165</v>
      </c>
      <c r="DW267" s="2" t="s">
        <v>7165</v>
      </c>
      <c r="DX267" s="2" t="s">
        <v>7165</v>
      </c>
      <c r="DY267" s="2" t="s">
        <v>7159</v>
      </c>
      <c r="DZ267" s="2" t="s">
        <v>7159</v>
      </c>
      <c r="EA267" s="2" t="s">
        <v>7159</v>
      </c>
      <c r="EB267" s="2" t="s">
        <v>7159</v>
      </c>
      <c r="EC267" s="2" t="s">
        <v>7159</v>
      </c>
      <c r="ED267" s="2" t="s">
        <v>7159</v>
      </c>
      <c r="EF267" s="2" t="s">
        <v>7221</v>
      </c>
      <c r="EG267" s="2" t="s">
        <v>1888</v>
      </c>
      <c r="EJ267" s="2" t="s">
        <v>7193</v>
      </c>
      <c r="EK267" s="2" t="s">
        <v>7142</v>
      </c>
      <c r="EL267" s="2" t="s">
        <v>7143</v>
      </c>
      <c r="EN267" s="2" t="s">
        <v>7170</v>
      </c>
      <c r="EP267" s="2" t="s">
        <v>7186</v>
      </c>
      <c r="ER267" s="2" t="s">
        <v>7142</v>
      </c>
      <c r="ET267" s="2" t="s">
        <v>7143</v>
      </c>
      <c r="EV267" s="2" t="s">
        <v>7142</v>
      </c>
      <c r="EW267" s="2" t="s">
        <v>7171</v>
      </c>
      <c r="EX267" s="2" t="s">
        <v>7143</v>
      </c>
      <c r="EZ267" s="2" t="s">
        <v>7143</v>
      </c>
      <c r="FC267" s="2" t="s">
        <v>7218</v>
      </c>
      <c r="FD267" s="2" t="s">
        <v>7143</v>
      </c>
      <c r="FH267" s="2" t="s">
        <v>7173</v>
      </c>
      <c r="FJ267" s="2" t="s">
        <v>7143</v>
      </c>
      <c r="FK267" s="2" t="s">
        <v>7173</v>
      </c>
      <c r="FN267" s="2" t="s">
        <v>7344</v>
      </c>
      <c r="FR267" s="2" t="s">
        <v>1889</v>
      </c>
      <c r="FT267" s="2" t="s">
        <v>7189</v>
      </c>
      <c r="FU267" s="2" t="s">
        <v>7189</v>
      </c>
      <c r="FV267" s="2" t="s">
        <v>7189</v>
      </c>
      <c r="FW267" s="2" t="s">
        <v>7189</v>
      </c>
      <c r="FZ267" s="19" t="s">
        <v>8121</v>
      </c>
    </row>
    <row r="268" spans="1:182">
      <c r="A268" s="7" t="s">
        <v>1890</v>
      </c>
      <c r="D268" s="7" t="s">
        <v>8122</v>
      </c>
      <c r="E268" s="7" t="s">
        <v>1891</v>
      </c>
      <c r="F268" s="7" t="s">
        <v>7311</v>
      </c>
      <c r="G268" s="7" t="s">
        <v>7981</v>
      </c>
      <c r="H268" s="7" t="s">
        <v>1854</v>
      </c>
      <c r="I268" s="7" t="s">
        <v>1892</v>
      </c>
      <c r="J268" s="16" t="s">
        <v>8123</v>
      </c>
      <c r="K268" s="7" t="s">
        <v>1893</v>
      </c>
      <c r="L268" s="7" t="s">
        <v>7137</v>
      </c>
      <c r="M268" s="7" t="s">
        <v>7179</v>
      </c>
      <c r="N268" s="7">
        <v>1983</v>
      </c>
      <c r="O268" s="7" t="s">
        <v>7180</v>
      </c>
      <c r="P268" s="7" t="s">
        <v>7181</v>
      </c>
      <c r="Q268" s="7" t="s">
        <v>7141</v>
      </c>
      <c r="R268" s="7" t="s">
        <v>7143</v>
      </c>
      <c r="S268" s="7">
        <v>26</v>
      </c>
      <c r="T268" s="7" t="s">
        <v>7143</v>
      </c>
      <c r="U268" s="7" t="s">
        <v>7143</v>
      </c>
      <c r="Y268" s="2">
        <v>1000</v>
      </c>
      <c r="Z268" s="17">
        <v>1</v>
      </c>
      <c r="AA268" s="2">
        <v>1000</v>
      </c>
      <c r="AB268" s="2">
        <v>1000</v>
      </c>
      <c r="AC268" s="7">
        <v>1000</v>
      </c>
      <c r="AD268" s="2">
        <v>1120</v>
      </c>
      <c r="AE268" s="2">
        <v>120</v>
      </c>
      <c r="AF268" s="2" t="s">
        <v>7143</v>
      </c>
      <c r="AG268" s="2" t="s">
        <v>7143</v>
      </c>
      <c r="AH268" s="2" t="s">
        <v>7143</v>
      </c>
      <c r="AJ268" s="2" t="s">
        <v>7143</v>
      </c>
      <c r="AK268" s="2" t="s">
        <v>7143</v>
      </c>
      <c r="AL268" s="2" t="s">
        <v>7143</v>
      </c>
      <c r="AM268" s="2" t="s">
        <v>7143</v>
      </c>
      <c r="AN268" s="2" t="s">
        <v>7143</v>
      </c>
      <c r="AO268" s="2" t="s">
        <v>7143</v>
      </c>
      <c r="AR268" s="7">
        <v>3.3</v>
      </c>
      <c r="AS268" s="7">
        <v>3</v>
      </c>
      <c r="AT268" s="7">
        <v>11</v>
      </c>
      <c r="AU268" s="2" t="s">
        <v>7144</v>
      </c>
      <c r="AV268" s="2" t="s">
        <v>7144</v>
      </c>
      <c r="AW268" s="2" t="s">
        <v>7143</v>
      </c>
      <c r="BC268" s="2" t="s">
        <v>7147</v>
      </c>
      <c r="BD268" s="2" t="s">
        <v>7142</v>
      </c>
      <c r="BE268" s="2" t="s">
        <v>7143</v>
      </c>
      <c r="BL268" s="2" t="s">
        <v>7152</v>
      </c>
      <c r="BM268" s="2" t="s">
        <v>7153</v>
      </c>
      <c r="BN268" s="2" t="s">
        <v>7154</v>
      </c>
      <c r="BO268" s="2" t="s">
        <v>7274</v>
      </c>
      <c r="BP268" s="2" t="s">
        <v>7275</v>
      </c>
      <c r="BS268" s="2" t="s">
        <v>7142</v>
      </c>
      <c r="BT268" s="2" t="s">
        <v>7362</v>
      </c>
      <c r="BV268" s="2" t="s">
        <v>7202</v>
      </c>
      <c r="BX268" s="2" t="s">
        <v>7143</v>
      </c>
      <c r="BY268" s="2" t="s">
        <v>1894</v>
      </c>
      <c r="BZ268" s="2" t="s">
        <v>7159</v>
      </c>
      <c r="CE268" s="7">
        <v>11</v>
      </c>
      <c r="CF268" s="2">
        <v>1120</v>
      </c>
      <c r="CM268" s="2">
        <v>100</v>
      </c>
      <c r="CP268" s="2">
        <v>100</v>
      </c>
      <c r="CR268" s="2" t="s">
        <v>7160</v>
      </c>
      <c r="CT268" s="2" t="s">
        <v>7143</v>
      </c>
      <c r="CU268" s="2" t="s">
        <v>7161</v>
      </c>
      <c r="CW268" s="2" t="s">
        <v>7162</v>
      </c>
      <c r="CY268" s="2" t="s">
        <v>7163</v>
      </c>
      <c r="CZ268" s="2" t="s">
        <v>7163</v>
      </c>
      <c r="DA268" s="2" t="s">
        <v>7250</v>
      </c>
      <c r="DB268" s="2" t="s">
        <v>7163</v>
      </c>
      <c r="DC268" s="2" t="s">
        <v>7250</v>
      </c>
      <c r="DD268" s="2" t="s">
        <v>7250</v>
      </c>
      <c r="DE268" s="2" t="s">
        <v>7250</v>
      </c>
      <c r="DF268" s="2" t="s">
        <v>7163</v>
      </c>
      <c r="DG268" s="2" t="s">
        <v>7163</v>
      </c>
      <c r="DH268" s="2" t="s">
        <v>7163</v>
      </c>
      <c r="DI268" s="2" t="s">
        <v>7163</v>
      </c>
      <c r="DL268" s="2" t="s">
        <v>7142</v>
      </c>
      <c r="DM268" s="2" t="s">
        <v>7142</v>
      </c>
      <c r="DN268" s="2" t="s">
        <v>7142</v>
      </c>
      <c r="DO268" s="2" t="s">
        <v>7142</v>
      </c>
      <c r="DP268" s="2" t="s">
        <v>7165</v>
      </c>
      <c r="DQ268" s="2" t="s">
        <v>7333</v>
      </c>
      <c r="DR268" s="2" t="s">
        <v>1895</v>
      </c>
      <c r="DT268" s="2" t="s">
        <v>7165</v>
      </c>
      <c r="DU268" s="2" t="s">
        <v>7165</v>
      </c>
      <c r="DV268" s="2" t="s">
        <v>7165</v>
      </c>
      <c r="DW268" s="2" t="s">
        <v>7165</v>
      </c>
      <c r="DX268" s="2" t="s">
        <v>7165</v>
      </c>
      <c r="DY268" s="2" t="s">
        <v>7165</v>
      </c>
      <c r="DZ268" s="2" t="s">
        <v>7159</v>
      </c>
      <c r="EA268" s="2" t="s">
        <v>7165</v>
      </c>
      <c r="EB268" s="2" t="s">
        <v>7165</v>
      </c>
      <c r="EC268" s="2" t="s">
        <v>7173</v>
      </c>
      <c r="EF268" s="2" t="s">
        <v>7221</v>
      </c>
      <c r="EG268" s="2" t="s">
        <v>1896</v>
      </c>
      <c r="EJ268" s="2" t="s">
        <v>7193</v>
      </c>
      <c r="EK268" s="2" t="s">
        <v>7142</v>
      </c>
      <c r="EL268" s="2" t="s">
        <v>7143</v>
      </c>
      <c r="EN268" s="2" t="s">
        <v>7170</v>
      </c>
      <c r="EP268" s="2" t="s">
        <v>7186</v>
      </c>
      <c r="ER268" s="2" t="s">
        <v>7142</v>
      </c>
      <c r="ET268" s="2" t="s">
        <v>7143</v>
      </c>
      <c r="EV268" s="2" t="s">
        <v>7142</v>
      </c>
      <c r="EW268" s="2" t="s">
        <v>7204</v>
      </c>
      <c r="EX268" s="2" t="s">
        <v>7142</v>
      </c>
      <c r="EY268" s="2" t="s">
        <v>7204</v>
      </c>
      <c r="EZ268" s="2" t="s">
        <v>7143</v>
      </c>
      <c r="FC268" s="2" t="s">
        <v>7172</v>
      </c>
      <c r="FD268" s="2" t="s">
        <v>7143</v>
      </c>
      <c r="FH268" s="2" t="s">
        <v>7173</v>
      </c>
      <c r="FJ268" s="2" t="s">
        <v>7143</v>
      </c>
      <c r="FK268" s="2" t="s">
        <v>7159</v>
      </c>
      <c r="FN268" s="2" t="s">
        <v>7235</v>
      </c>
      <c r="FR268" s="2" t="s">
        <v>1897</v>
      </c>
      <c r="FT268" s="2" t="s">
        <v>7189</v>
      </c>
      <c r="FU268" s="2" t="s">
        <v>7189</v>
      </c>
      <c r="FV268" s="2" t="s">
        <v>7189</v>
      </c>
      <c r="FW268" s="2" t="s">
        <v>7189</v>
      </c>
      <c r="FX268" s="2" t="s">
        <v>7189</v>
      </c>
      <c r="FY268" s="2" t="s">
        <v>1898</v>
      </c>
      <c r="FZ268" s="19" t="s">
        <v>8124</v>
      </c>
    </row>
    <row r="269" spans="1:182">
      <c r="A269" s="7" t="s">
        <v>1899</v>
      </c>
      <c r="D269" s="7" t="s">
        <v>8125</v>
      </c>
      <c r="E269" s="7" t="s">
        <v>177</v>
      </c>
      <c r="F269" s="7" t="s">
        <v>7134</v>
      </c>
      <c r="G269" s="7" t="s">
        <v>7981</v>
      </c>
      <c r="H269" s="2" t="s">
        <v>1659</v>
      </c>
      <c r="I269" s="7" t="s">
        <v>1900</v>
      </c>
      <c r="J269" s="19" t="s">
        <v>8126</v>
      </c>
      <c r="K269" s="7" t="s">
        <v>1901</v>
      </c>
      <c r="L269" s="2" t="s">
        <v>7281</v>
      </c>
      <c r="M269" s="7" t="s">
        <v>7179</v>
      </c>
      <c r="N269" s="7">
        <v>1982</v>
      </c>
      <c r="O269" s="7" t="s">
        <v>7180</v>
      </c>
      <c r="P269" s="2" t="s">
        <v>7181</v>
      </c>
      <c r="Q269" s="2" t="s">
        <v>7141</v>
      </c>
      <c r="R269" s="2" t="s">
        <v>7143</v>
      </c>
      <c r="S269" s="2">
        <v>31</v>
      </c>
      <c r="T269" s="2" t="s">
        <v>7143</v>
      </c>
      <c r="U269" s="2" t="s">
        <v>7143</v>
      </c>
      <c r="Y269" s="2">
        <v>990</v>
      </c>
      <c r="Z269" s="17">
        <v>1</v>
      </c>
      <c r="AA269" s="2">
        <v>990</v>
      </c>
      <c r="AB269" s="2">
        <v>990</v>
      </c>
      <c r="AC269" s="7">
        <v>990</v>
      </c>
      <c r="AD269" s="2">
        <v>1100</v>
      </c>
      <c r="AE269" s="2">
        <v>110</v>
      </c>
      <c r="AF269" s="2" t="s">
        <v>7143</v>
      </c>
      <c r="AG269" s="2" t="s">
        <v>7143</v>
      </c>
      <c r="AH269" s="2" t="s">
        <v>7143</v>
      </c>
      <c r="AJ269" s="2" t="s">
        <v>7143</v>
      </c>
      <c r="AK269" s="2" t="s">
        <v>7143</v>
      </c>
      <c r="AL269" s="2" t="s">
        <v>7143</v>
      </c>
      <c r="AM269" s="2" t="s">
        <v>7143</v>
      </c>
      <c r="AN269" s="2" t="s">
        <v>7143</v>
      </c>
      <c r="AO269" s="2" t="s">
        <v>7143</v>
      </c>
      <c r="AR269" s="7">
        <v>2.6</v>
      </c>
      <c r="AS269" s="7">
        <v>3</v>
      </c>
      <c r="AT269" s="7">
        <v>12.7</v>
      </c>
      <c r="AU269" s="2" t="s">
        <v>7168</v>
      </c>
      <c r="AV269" s="2" t="s">
        <v>7168</v>
      </c>
      <c r="AW269" s="2" t="s">
        <v>7143</v>
      </c>
      <c r="AZ269" s="2" t="s">
        <v>7145</v>
      </c>
      <c r="BB269" s="2" t="s">
        <v>7146</v>
      </c>
      <c r="BC269" s="2" t="s">
        <v>7147</v>
      </c>
      <c r="BD269" s="2" t="s">
        <v>7142</v>
      </c>
      <c r="BE269" s="2" t="s">
        <v>7142</v>
      </c>
      <c r="BF269" s="2" t="s">
        <v>7148</v>
      </c>
      <c r="BG269" s="2" t="s">
        <v>7149</v>
      </c>
      <c r="BH269" s="2" t="s">
        <v>7248</v>
      </c>
      <c r="BI269" s="2" t="s">
        <v>7151</v>
      </c>
      <c r="BL269" s="2" t="s">
        <v>7152</v>
      </c>
      <c r="BM269" s="2" t="s">
        <v>7153</v>
      </c>
      <c r="BN269" s="2" t="s">
        <v>7154</v>
      </c>
      <c r="BO269" s="2" t="s">
        <v>7155</v>
      </c>
      <c r="BQ269" s="2" t="s">
        <v>7183</v>
      </c>
      <c r="BS269" s="2" t="s">
        <v>7142</v>
      </c>
      <c r="BT269" s="2" t="s">
        <v>7783</v>
      </c>
      <c r="BV269" s="2" t="s">
        <v>7202</v>
      </c>
      <c r="BX269" s="2" t="s">
        <v>7143</v>
      </c>
      <c r="BZ269" s="2" t="s">
        <v>7173</v>
      </c>
      <c r="CE269" s="7">
        <v>12.7</v>
      </c>
      <c r="CF269" s="2">
        <v>1100</v>
      </c>
      <c r="CM269" s="2">
        <v>100</v>
      </c>
      <c r="CO269" s="2">
        <v>100</v>
      </c>
      <c r="CR269" s="2" t="s">
        <v>7160</v>
      </c>
      <c r="CT269" s="2" t="s">
        <v>7143</v>
      </c>
      <c r="CU269" s="2" t="s">
        <v>7161</v>
      </c>
      <c r="CW269" s="2" t="s">
        <v>7162</v>
      </c>
      <c r="CY269" s="2" t="s">
        <v>7163</v>
      </c>
      <c r="CZ269" s="2" t="s">
        <v>7163</v>
      </c>
      <c r="DA269" s="2" t="s">
        <v>7164</v>
      </c>
      <c r="DB269" s="2" t="s">
        <v>7164</v>
      </c>
      <c r="DC269" s="2" t="s">
        <v>7164</v>
      </c>
      <c r="DD269" s="2" t="s">
        <v>7164</v>
      </c>
      <c r="DE269" s="2" t="s">
        <v>7164</v>
      </c>
      <c r="DF269" s="2" t="s">
        <v>7164</v>
      </c>
      <c r="DG269" s="2" t="s">
        <v>7164</v>
      </c>
      <c r="DH269" s="2" t="s">
        <v>7164</v>
      </c>
      <c r="DI269" s="2" t="s">
        <v>7164</v>
      </c>
      <c r="DL269" s="2" t="s">
        <v>7142</v>
      </c>
      <c r="DM269" s="2" t="s">
        <v>7142</v>
      </c>
      <c r="DN269" s="2" t="s">
        <v>7142</v>
      </c>
      <c r="DO269" s="2" t="s">
        <v>7142</v>
      </c>
      <c r="DP269" s="2" t="s">
        <v>7165</v>
      </c>
      <c r="DQ269" s="2" t="s">
        <v>7166</v>
      </c>
      <c r="DT269" s="2" t="s">
        <v>7165</v>
      </c>
      <c r="DU269" s="2" t="s">
        <v>7165</v>
      </c>
      <c r="DV269" s="2" t="s">
        <v>7165</v>
      </c>
      <c r="DW269" s="2" t="s">
        <v>7165</v>
      </c>
      <c r="DX269" s="2" t="s">
        <v>7165</v>
      </c>
      <c r="DY269" s="2" t="s">
        <v>7165</v>
      </c>
      <c r="DZ269" s="2" t="s">
        <v>7165</v>
      </c>
      <c r="EA269" s="2" t="s">
        <v>7165</v>
      </c>
      <c r="EB269" s="2" t="s">
        <v>7165</v>
      </c>
      <c r="EF269" s="2" t="s">
        <v>7167</v>
      </c>
      <c r="EJ269" s="2" t="s">
        <v>7168</v>
      </c>
      <c r="EK269" s="2" t="s">
        <v>7142</v>
      </c>
      <c r="EL269" s="2" t="s">
        <v>7143</v>
      </c>
      <c r="EN269" s="2" t="s">
        <v>7170</v>
      </c>
      <c r="EP269" s="2" t="s">
        <v>7186</v>
      </c>
      <c r="ER269" s="2" t="s">
        <v>7142</v>
      </c>
      <c r="ET269" s="2" t="s">
        <v>7143</v>
      </c>
      <c r="EV269" s="2" t="s">
        <v>7142</v>
      </c>
      <c r="EW269" s="2" t="s">
        <v>7700</v>
      </c>
      <c r="EX269" s="2" t="s">
        <v>7143</v>
      </c>
      <c r="EZ269" s="2" t="s">
        <v>7143</v>
      </c>
      <c r="FC269" s="2" t="s">
        <v>7172</v>
      </c>
      <c r="FD269" s="2" t="s">
        <v>7143</v>
      </c>
      <c r="FH269" s="2" t="s">
        <v>7173</v>
      </c>
      <c r="FJ269" s="2" t="s">
        <v>7142</v>
      </c>
      <c r="FK269" s="2" t="s">
        <v>7165</v>
      </c>
      <c r="FL269" s="2" t="s">
        <v>7992</v>
      </c>
      <c r="FN269" s="2" t="s">
        <v>7344</v>
      </c>
      <c r="FT269" s="2" t="s">
        <v>7176</v>
      </c>
      <c r="FU269" s="2" t="s">
        <v>7176</v>
      </c>
      <c r="FV269" s="2" t="s">
        <v>7176</v>
      </c>
      <c r="FW269" s="2" t="s">
        <v>7176</v>
      </c>
      <c r="FZ269" s="19" t="s">
        <v>8127</v>
      </c>
    </row>
    <row r="270" spans="1:182">
      <c r="A270" s="7" t="s">
        <v>1902</v>
      </c>
      <c r="D270" s="7" t="s">
        <v>8128</v>
      </c>
      <c r="E270" s="7" t="s">
        <v>177</v>
      </c>
      <c r="F270" s="7" t="s">
        <v>7245</v>
      </c>
      <c r="G270" s="7" t="s">
        <v>7981</v>
      </c>
      <c r="H270" s="7" t="s">
        <v>1659</v>
      </c>
      <c r="I270" s="7" t="s">
        <v>1903</v>
      </c>
      <c r="J270" s="16" t="s">
        <v>8129</v>
      </c>
      <c r="K270" s="7" t="s">
        <v>1904</v>
      </c>
      <c r="L270" s="7" t="s">
        <v>7137</v>
      </c>
      <c r="M270" s="7" t="s">
        <v>7179</v>
      </c>
      <c r="N270" s="7">
        <v>1975</v>
      </c>
      <c r="O270" s="7" t="s">
        <v>7180</v>
      </c>
      <c r="P270" s="7" t="s">
        <v>7181</v>
      </c>
      <c r="Q270" s="7" t="s">
        <v>7141</v>
      </c>
      <c r="R270" s="7" t="s">
        <v>7143</v>
      </c>
      <c r="S270" s="7">
        <v>2000</v>
      </c>
      <c r="T270" s="7" t="s">
        <v>7143</v>
      </c>
      <c r="U270" s="7" t="s">
        <v>7143</v>
      </c>
      <c r="Y270" s="2">
        <v>970</v>
      </c>
      <c r="Z270" s="17">
        <v>0.97940000000000005</v>
      </c>
      <c r="AA270" s="2">
        <v>950</v>
      </c>
      <c r="AB270" s="2">
        <v>950</v>
      </c>
      <c r="AC270" s="7">
        <v>850</v>
      </c>
      <c r="AD270" s="2">
        <v>970</v>
      </c>
      <c r="AE270" s="2">
        <v>120</v>
      </c>
      <c r="AF270" s="7" t="s">
        <v>7143</v>
      </c>
      <c r="AG270" s="2" t="s">
        <v>7142</v>
      </c>
      <c r="AH270" s="2" t="s">
        <v>7142</v>
      </c>
      <c r="AI270" s="2" t="s">
        <v>308</v>
      </c>
      <c r="AJ270" s="2" t="s">
        <v>7143</v>
      </c>
      <c r="AK270" s="2" t="s">
        <v>7143</v>
      </c>
      <c r="AL270" s="2" t="s">
        <v>7143</v>
      </c>
      <c r="AM270" s="2" t="s">
        <v>7142</v>
      </c>
      <c r="AN270" s="2" t="s">
        <v>7143</v>
      </c>
      <c r="AO270" s="2" t="s">
        <v>7143</v>
      </c>
      <c r="AR270" s="7">
        <v>2</v>
      </c>
      <c r="AS270" s="7">
        <v>1</v>
      </c>
      <c r="AT270" s="7">
        <v>10</v>
      </c>
      <c r="AU270" s="7" t="s">
        <v>7193</v>
      </c>
      <c r="AV270" s="7" t="s">
        <v>7193</v>
      </c>
      <c r="AW270" s="7" t="s">
        <v>7143</v>
      </c>
      <c r="AZ270" s="2" t="s">
        <v>7145</v>
      </c>
      <c r="BB270" s="2" t="s">
        <v>7214</v>
      </c>
      <c r="BC270" s="2" t="s">
        <v>7208</v>
      </c>
      <c r="BD270" s="2" t="s">
        <v>7142</v>
      </c>
      <c r="BE270" s="2" t="s">
        <v>7142</v>
      </c>
      <c r="BF270" s="2" t="s">
        <v>7148</v>
      </c>
      <c r="BG270" s="2" t="s">
        <v>7149</v>
      </c>
      <c r="BH270" s="2" t="s">
        <v>7248</v>
      </c>
      <c r="BI270" s="2" t="s">
        <v>7151</v>
      </c>
      <c r="BL270" s="7" t="s">
        <v>7152</v>
      </c>
      <c r="BM270" s="7" t="s">
        <v>7153</v>
      </c>
      <c r="BN270" s="7" t="s">
        <v>7154</v>
      </c>
      <c r="BO270" s="7" t="s">
        <v>7155</v>
      </c>
      <c r="BQ270" s="2" t="s">
        <v>7156</v>
      </c>
      <c r="BS270" s="7" t="s">
        <v>7142</v>
      </c>
      <c r="BT270" s="7" t="s">
        <v>7157</v>
      </c>
      <c r="BV270" s="7" t="s">
        <v>7287</v>
      </c>
      <c r="BX270" s="2" t="s">
        <v>7142</v>
      </c>
      <c r="BY270" s="2" t="s">
        <v>1905</v>
      </c>
      <c r="BZ270" s="7" t="s">
        <v>7173</v>
      </c>
      <c r="CE270" s="7">
        <v>10</v>
      </c>
      <c r="CF270" s="2">
        <v>970</v>
      </c>
      <c r="CK270" s="2">
        <v>100</v>
      </c>
      <c r="CO270" s="2">
        <v>100</v>
      </c>
      <c r="CR270" s="7" t="s">
        <v>7160</v>
      </c>
      <c r="CT270" s="7" t="s">
        <v>7143</v>
      </c>
      <c r="CU270" s="7" t="s">
        <v>7161</v>
      </c>
      <c r="CW270" s="7" t="s">
        <v>7162</v>
      </c>
      <c r="CY270" s="7" t="s">
        <v>7163</v>
      </c>
      <c r="CZ270" s="7" t="s">
        <v>7227</v>
      </c>
      <c r="DA270" s="7" t="s">
        <v>7227</v>
      </c>
      <c r="DB270" s="2" t="s">
        <v>7251</v>
      </c>
      <c r="DC270" s="2" t="s">
        <v>7250</v>
      </c>
      <c r="DD270" s="2" t="s">
        <v>7251</v>
      </c>
      <c r="DE270" s="2" t="s">
        <v>7250</v>
      </c>
      <c r="DF270" s="2" t="s">
        <v>7163</v>
      </c>
      <c r="DG270" s="2" t="s">
        <v>7164</v>
      </c>
      <c r="DH270" s="2" t="s">
        <v>7163</v>
      </c>
      <c r="DI270" s="2" t="s">
        <v>7163</v>
      </c>
      <c r="DL270" s="7" t="s">
        <v>7142</v>
      </c>
      <c r="DM270" s="7" t="s">
        <v>7142</v>
      </c>
      <c r="DN270" s="7" t="s">
        <v>7142</v>
      </c>
      <c r="DO270" s="7" t="s">
        <v>7142</v>
      </c>
      <c r="DP270" s="7" t="s">
        <v>7165</v>
      </c>
      <c r="DQ270" s="7" t="s">
        <v>7166</v>
      </c>
      <c r="DS270" s="7" t="s">
        <v>7165</v>
      </c>
      <c r="DT270" s="7" t="s">
        <v>7165</v>
      </c>
      <c r="DU270" s="7" t="s">
        <v>7165</v>
      </c>
      <c r="DV270" s="7" t="s">
        <v>7165</v>
      </c>
      <c r="DW270" s="7" t="s">
        <v>7165</v>
      </c>
      <c r="DX270" s="7" t="s">
        <v>7165</v>
      </c>
      <c r="DY270" s="7" t="s">
        <v>7159</v>
      </c>
      <c r="DZ270" s="7" t="s">
        <v>7159</v>
      </c>
      <c r="EA270" s="7" t="s">
        <v>7165</v>
      </c>
      <c r="EB270" s="7" t="s">
        <v>7165</v>
      </c>
      <c r="EC270" s="7" t="s">
        <v>7159</v>
      </c>
      <c r="ED270" s="7"/>
      <c r="EE270" s="7"/>
      <c r="EF270" s="7" t="s">
        <v>7167</v>
      </c>
      <c r="EJ270" s="7" t="s">
        <v>7144</v>
      </c>
      <c r="EK270" s="7" t="s">
        <v>7142</v>
      </c>
      <c r="EL270" s="7" t="s">
        <v>7143</v>
      </c>
      <c r="EN270" s="7" t="s">
        <v>7170</v>
      </c>
      <c r="EP270" s="7" t="s">
        <v>7186</v>
      </c>
      <c r="ER270" s="7" t="s">
        <v>7142</v>
      </c>
      <c r="ET270" s="7" t="s">
        <v>7143</v>
      </c>
      <c r="EV270" s="2" t="s">
        <v>7142</v>
      </c>
      <c r="EW270" s="2" t="s">
        <v>7204</v>
      </c>
      <c r="EX270" s="2" t="s">
        <v>7143</v>
      </c>
      <c r="FC270" s="2" t="s">
        <v>7172</v>
      </c>
      <c r="FD270" s="2" t="s">
        <v>7143</v>
      </c>
      <c r="FH270" s="7" t="s">
        <v>7173</v>
      </c>
      <c r="FJ270" s="7" t="s">
        <v>7143</v>
      </c>
      <c r="FK270" s="7" t="s">
        <v>7165</v>
      </c>
      <c r="FL270" s="7" t="s">
        <v>7260</v>
      </c>
      <c r="FN270" s="2" t="s">
        <v>7283</v>
      </c>
      <c r="FT270" s="2" t="s">
        <v>7176</v>
      </c>
      <c r="FU270" s="2" t="s">
        <v>7189</v>
      </c>
      <c r="FV270" s="2" t="s">
        <v>7189</v>
      </c>
      <c r="FW270" s="2" t="s">
        <v>7189</v>
      </c>
      <c r="FZ270" s="19" t="s">
        <v>8130</v>
      </c>
    </row>
    <row r="271" spans="1:182">
      <c r="A271" s="7" t="s">
        <v>1906</v>
      </c>
      <c r="D271" s="7" t="s">
        <v>8131</v>
      </c>
      <c r="E271" s="7" t="s">
        <v>1907</v>
      </c>
      <c r="F271" s="7" t="s">
        <v>7319</v>
      </c>
      <c r="G271" s="7" t="s">
        <v>7981</v>
      </c>
      <c r="H271" s="7" t="s">
        <v>1668</v>
      </c>
      <c r="I271" s="7" t="s">
        <v>1908</v>
      </c>
      <c r="J271" s="16" t="s">
        <v>8132</v>
      </c>
      <c r="K271" s="7" t="s">
        <v>1909</v>
      </c>
      <c r="L271" s="7" t="s">
        <v>7137</v>
      </c>
      <c r="M271" s="7" t="s">
        <v>7179</v>
      </c>
      <c r="N271" s="7">
        <v>1983</v>
      </c>
      <c r="O271" s="7" t="s">
        <v>7180</v>
      </c>
      <c r="P271" s="7" t="s">
        <v>7181</v>
      </c>
      <c r="Q271" s="7" t="s">
        <v>7182</v>
      </c>
      <c r="R271" s="7" t="s">
        <v>7143</v>
      </c>
      <c r="S271" s="2">
        <v>30</v>
      </c>
      <c r="T271" s="7" t="s">
        <v>7143</v>
      </c>
      <c r="U271" s="7" t="s">
        <v>7143</v>
      </c>
      <c r="Y271" s="2">
        <v>1110</v>
      </c>
      <c r="Z271" s="17">
        <v>1</v>
      </c>
      <c r="AA271" s="2">
        <v>1110</v>
      </c>
      <c r="AB271" s="2">
        <v>1110</v>
      </c>
      <c r="AC271" s="7">
        <v>960</v>
      </c>
      <c r="AD271" s="2">
        <v>1200</v>
      </c>
      <c r="AE271" s="2">
        <v>240</v>
      </c>
      <c r="AF271" s="2" t="s">
        <v>7143</v>
      </c>
      <c r="AG271" s="2" t="s">
        <v>7143</v>
      </c>
      <c r="AH271" s="2" t="s">
        <v>7142</v>
      </c>
      <c r="AI271" s="2" t="s">
        <v>308</v>
      </c>
      <c r="AJ271" s="2" t="s">
        <v>7143</v>
      </c>
      <c r="AK271" s="2" t="s">
        <v>7143</v>
      </c>
      <c r="AL271" s="2" t="s">
        <v>7143</v>
      </c>
      <c r="AM271" s="2" t="s">
        <v>7143</v>
      </c>
      <c r="AN271" s="2" t="s">
        <v>7143</v>
      </c>
      <c r="AO271" s="2" t="s">
        <v>7143</v>
      </c>
      <c r="AR271" s="7">
        <v>2.5</v>
      </c>
      <c r="AS271" s="7">
        <v>3</v>
      </c>
      <c r="AT271" s="7">
        <v>12</v>
      </c>
      <c r="AU271" s="2" t="s">
        <v>7144</v>
      </c>
      <c r="AV271" s="2" t="s">
        <v>7144</v>
      </c>
      <c r="AW271" s="2" t="s">
        <v>7143</v>
      </c>
      <c r="AZ271" s="2" t="s">
        <v>7337</v>
      </c>
      <c r="BB271" s="2" t="s">
        <v>7214</v>
      </c>
      <c r="BC271" s="2" t="s">
        <v>7147</v>
      </c>
      <c r="BD271" s="2" t="s">
        <v>7143</v>
      </c>
      <c r="BE271" s="2" t="s">
        <v>7143</v>
      </c>
      <c r="BL271" s="2" t="s">
        <v>7152</v>
      </c>
      <c r="BM271" s="2" t="s">
        <v>7153</v>
      </c>
      <c r="BN271" s="2" t="s">
        <v>7154</v>
      </c>
      <c r="BO271" s="2" t="s">
        <v>7155</v>
      </c>
      <c r="BQ271" s="2" t="s">
        <v>7183</v>
      </c>
      <c r="BS271" s="2" t="s">
        <v>7142</v>
      </c>
      <c r="BT271" s="2" t="s">
        <v>7215</v>
      </c>
      <c r="BV271" s="2" t="s">
        <v>7363</v>
      </c>
      <c r="BX271" s="2" t="s">
        <v>7143</v>
      </c>
      <c r="BZ271" s="2" t="s">
        <v>7173</v>
      </c>
      <c r="CE271" s="7">
        <v>12</v>
      </c>
      <c r="CF271" s="2">
        <v>1200</v>
      </c>
      <c r="CK271" s="2">
        <v>100</v>
      </c>
      <c r="CO271" s="2">
        <v>100</v>
      </c>
      <c r="CR271" s="2" t="s">
        <v>7160</v>
      </c>
      <c r="CT271" s="2" t="s">
        <v>7143</v>
      </c>
      <c r="CU271" s="2" t="s">
        <v>7161</v>
      </c>
      <c r="CW271" s="2" t="s">
        <v>7162</v>
      </c>
      <c r="CY271" s="2" t="s">
        <v>7163</v>
      </c>
      <c r="CZ271" s="2" t="s">
        <v>7163</v>
      </c>
      <c r="DA271" s="2" t="s">
        <v>7250</v>
      </c>
      <c r="DB271" s="2" t="s">
        <v>7250</v>
      </c>
      <c r="DC271" s="2" t="s">
        <v>7321</v>
      </c>
      <c r="DD271" s="2" t="s">
        <v>7321</v>
      </c>
      <c r="DE271" s="2" t="s">
        <v>7250</v>
      </c>
      <c r="DF271" s="2" t="s">
        <v>7163</v>
      </c>
      <c r="DG271" s="2" t="s">
        <v>7163</v>
      </c>
      <c r="DH271" s="2" t="s">
        <v>7163</v>
      </c>
      <c r="DI271" s="2" t="s">
        <v>7321</v>
      </c>
      <c r="DL271" s="2" t="s">
        <v>7142</v>
      </c>
      <c r="DM271" s="2" t="s">
        <v>7142</v>
      </c>
      <c r="DN271" s="2" t="s">
        <v>7142</v>
      </c>
      <c r="DO271" s="2" t="s">
        <v>7142</v>
      </c>
      <c r="DP271" s="2" t="s">
        <v>7165</v>
      </c>
      <c r="DQ271" s="2" t="s">
        <v>7333</v>
      </c>
      <c r="DR271" s="2" t="s">
        <v>1910</v>
      </c>
      <c r="DT271" s="2" t="s">
        <v>7165</v>
      </c>
      <c r="DU271" s="2" t="s">
        <v>7165</v>
      </c>
      <c r="DV271" s="2" t="s">
        <v>7165</v>
      </c>
      <c r="DW271" s="2" t="s">
        <v>7165</v>
      </c>
      <c r="DX271" s="2" t="s">
        <v>7165</v>
      </c>
      <c r="DZ271" s="2" t="s">
        <v>7159</v>
      </c>
      <c r="EA271" s="2" t="s">
        <v>7165</v>
      </c>
      <c r="EB271" s="2" t="s">
        <v>7165</v>
      </c>
      <c r="EC271" s="2" t="s">
        <v>7173</v>
      </c>
      <c r="EF271" s="2" t="s">
        <v>7221</v>
      </c>
      <c r="EJ271" s="2" t="s">
        <v>7193</v>
      </c>
      <c r="EK271" s="2" t="s">
        <v>7142</v>
      </c>
      <c r="EL271" s="2" t="s">
        <v>7143</v>
      </c>
      <c r="EN271" s="2" t="s">
        <v>7170</v>
      </c>
      <c r="EP271" s="2" t="s">
        <v>7186</v>
      </c>
      <c r="ER271" s="2" t="s">
        <v>7143</v>
      </c>
      <c r="ET271" s="2" t="s">
        <v>7143</v>
      </c>
      <c r="EV271" s="2" t="s">
        <v>7142</v>
      </c>
      <c r="EW271" s="2" t="s">
        <v>7204</v>
      </c>
      <c r="EX271" s="2" t="s">
        <v>7143</v>
      </c>
      <c r="EZ271" s="2" t="s">
        <v>7143</v>
      </c>
      <c r="FC271" s="2" t="s">
        <v>7309</v>
      </c>
      <c r="FD271" s="2" t="s">
        <v>7143</v>
      </c>
      <c r="FH271" s="2" t="s">
        <v>7173</v>
      </c>
      <c r="FJ271" s="2" t="s">
        <v>7143</v>
      </c>
      <c r="FK271" s="2" t="s">
        <v>7173</v>
      </c>
      <c r="FR271" s="2" t="s">
        <v>1911</v>
      </c>
      <c r="FT271" s="2" t="s">
        <v>7189</v>
      </c>
      <c r="FU271" s="2" t="s">
        <v>7189</v>
      </c>
      <c r="FV271" s="2" t="s">
        <v>7176</v>
      </c>
      <c r="FW271" s="2" t="s">
        <v>7176</v>
      </c>
      <c r="FZ271" s="19" t="s">
        <v>8133</v>
      </c>
    </row>
    <row r="272" spans="1:182">
      <c r="A272" s="7" t="s">
        <v>1912</v>
      </c>
      <c r="D272" s="7" t="s">
        <v>8134</v>
      </c>
      <c r="E272" s="7" t="s">
        <v>1913</v>
      </c>
      <c r="F272" s="7" t="s">
        <v>7389</v>
      </c>
      <c r="G272" s="7" t="s">
        <v>7981</v>
      </c>
      <c r="H272" s="7" t="s">
        <v>1659</v>
      </c>
      <c r="I272" s="7" t="s">
        <v>1914</v>
      </c>
      <c r="J272" s="16" t="s">
        <v>8135</v>
      </c>
      <c r="K272" s="7" t="s">
        <v>1915</v>
      </c>
      <c r="L272" s="2" t="s">
        <v>7137</v>
      </c>
      <c r="M272" s="7" t="s">
        <v>7179</v>
      </c>
      <c r="N272" s="7">
        <v>1974</v>
      </c>
      <c r="O272" s="7" t="s">
        <v>7180</v>
      </c>
      <c r="P272" s="7" t="s">
        <v>7181</v>
      </c>
      <c r="Q272" s="2" t="s">
        <v>7141</v>
      </c>
      <c r="R272" s="2" t="s">
        <v>7143</v>
      </c>
      <c r="S272" s="2">
        <v>30</v>
      </c>
      <c r="T272" s="2" t="s">
        <v>7143</v>
      </c>
      <c r="U272" s="2" t="s">
        <v>7142</v>
      </c>
      <c r="Y272" s="2">
        <v>2150</v>
      </c>
      <c r="Z272" s="17">
        <v>0.95350000000000001</v>
      </c>
      <c r="AA272" s="2">
        <v>2050</v>
      </c>
      <c r="AB272" s="2">
        <v>2050</v>
      </c>
      <c r="AC272" s="7">
        <v>2000</v>
      </c>
      <c r="AD272" s="2">
        <v>2500</v>
      </c>
      <c r="AE272" s="2">
        <v>500</v>
      </c>
      <c r="AF272" s="2" t="s">
        <v>7143</v>
      </c>
      <c r="AG272" s="2" t="s">
        <v>7142</v>
      </c>
      <c r="AH272" s="2" t="s">
        <v>7143</v>
      </c>
      <c r="AJ272" s="2" t="s">
        <v>7143</v>
      </c>
      <c r="AK272" s="2" t="s">
        <v>7143</v>
      </c>
      <c r="AL272" s="2" t="s">
        <v>7142</v>
      </c>
      <c r="AM272" s="2" t="s">
        <v>7143</v>
      </c>
      <c r="AN272" s="2" t="s">
        <v>7143</v>
      </c>
      <c r="AO272" s="2" t="s">
        <v>7143</v>
      </c>
      <c r="AR272" s="7">
        <v>5</v>
      </c>
      <c r="AS272" s="7">
        <v>6</v>
      </c>
      <c r="AT272" s="7">
        <v>20.5</v>
      </c>
      <c r="AU272" s="2" t="s">
        <v>7144</v>
      </c>
      <c r="AV272" s="2" t="s">
        <v>7144</v>
      </c>
      <c r="AW272" s="2" t="s">
        <v>7143</v>
      </c>
      <c r="AZ272" s="2" t="s">
        <v>7145</v>
      </c>
      <c r="BB272" s="2" t="s">
        <v>7214</v>
      </c>
      <c r="BC272" s="2" t="s">
        <v>7247</v>
      </c>
      <c r="BD272" s="2" t="s">
        <v>7143</v>
      </c>
      <c r="BE272" s="2" t="s">
        <v>7142</v>
      </c>
      <c r="BF272" s="2" t="s">
        <v>7148</v>
      </c>
      <c r="BG272" s="2" t="s">
        <v>7149</v>
      </c>
      <c r="BH272" s="2" t="s">
        <v>7248</v>
      </c>
      <c r="BI272" s="2" t="s">
        <v>7151</v>
      </c>
      <c r="BL272" s="2" t="s">
        <v>7152</v>
      </c>
      <c r="BM272" s="2" t="s">
        <v>7355</v>
      </c>
      <c r="BN272" s="2" t="s">
        <v>7154</v>
      </c>
      <c r="BO272" s="2" t="s">
        <v>7155</v>
      </c>
      <c r="BQ272" s="2" t="s">
        <v>7183</v>
      </c>
      <c r="BS272" s="2" t="s">
        <v>7142</v>
      </c>
      <c r="BT272" s="2" t="s">
        <v>7391</v>
      </c>
      <c r="BV272" s="2" t="s">
        <v>7197</v>
      </c>
      <c r="BX272" s="2" t="s">
        <v>7143</v>
      </c>
      <c r="BZ272" s="2" t="s">
        <v>7165</v>
      </c>
      <c r="CA272" s="2" t="s">
        <v>1916</v>
      </c>
      <c r="CE272" s="7">
        <v>20.5</v>
      </c>
      <c r="CF272" s="2">
        <v>2500</v>
      </c>
      <c r="CM272" s="2">
        <v>100</v>
      </c>
      <c r="CQ272" s="2">
        <v>100</v>
      </c>
      <c r="CR272" s="2" t="s">
        <v>7160</v>
      </c>
      <c r="CT272" s="2" t="s">
        <v>7143</v>
      </c>
      <c r="CU272" s="2" t="s">
        <v>7161</v>
      </c>
      <c r="CW272" s="2" t="s">
        <v>7162</v>
      </c>
      <c r="CY272" s="2" t="s">
        <v>7227</v>
      </c>
      <c r="CZ272" s="2" t="s">
        <v>7250</v>
      </c>
      <c r="DA272" s="2" t="s">
        <v>7250</v>
      </c>
      <c r="DB272" s="2" t="s">
        <v>7250</v>
      </c>
      <c r="DC272" s="2" t="s">
        <v>7227</v>
      </c>
      <c r="DD272" s="2" t="s">
        <v>7250</v>
      </c>
      <c r="DE272" s="2" t="s">
        <v>7227</v>
      </c>
      <c r="DF272" s="2" t="s">
        <v>7227</v>
      </c>
      <c r="DG272" s="2" t="s">
        <v>7227</v>
      </c>
      <c r="DH272" s="2" t="s">
        <v>7227</v>
      </c>
      <c r="DI272" s="2" t="s">
        <v>7227</v>
      </c>
      <c r="DL272" s="2" t="s">
        <v>7142</v>
      </c>
      <c r="DM272" s="2" t="s">
        <v>7142</v>
      </c>
      <c r="DN272" s="2" t="s">
        <v>7142</v>
      </c>
      <c r="DO272" s="2" t="s">
        <v>7142</v>
      </c>
      <c r="DP272" s="2" t="s">
        <v>7165</v>
      </c>
      <c r="DQ272" s="2" t="s">
        <v>7333</v>
      </c>
      <c r="DR272" s="2" t="s">
        <v>1677</v>
      </c>
      <c r="DT272" s="2" t="s">
        <v>7165</v>
      </c>
      <c r="DU272" s="2" t="s">
        <v>7165</v>
      </c>
      <c r="DV272" s="2" t="s">
        <v>7165</v>
      </c>
      <c r="DW272" s="2" t="s">
        <v>7165</v>
      </c>
      <c r="DX272" s="2" t="s">
        <v>7165</v>
      </c>
      <c r="DY272" s="2" t="s">
        <v>7165</v>
      </c>
      <c r="DZ272" s="2" t="s">
        <v>7165</v>
      </c>
      <c r="EA272" s="2" t="s">
        <v>7165</v>
      </c>
      <c r="EB272" s="2" t="s">
        <v>7165</v>
      </c>
      <c r="EC272" s="2" t="s">
        <v>7173</v>
      </c>
      <c r="EF272" s="2" t="s">
        <v>7167</v>
      </c>
      <c r="EG272" s="2" t="s">
        <v>985</v>
      </c>
      <c r="EJ272" s="2" t="s">
        <v>7193</v>
      </c>
      <c r="EK272" s="2" t="s">
        <v>7142</v>
      </c>
      <c r="EL272" s="2" t="s">
        <v>7143</v>
      </c>
      <c r="EN272" s="2" t="s">
        <v>7210</v>
      </c>
      <c r="EP272" s="2" t="s">
        <v>7186</v>
      </c>
      <c r="ER272" s="2" t="s">
        <v>7143</v>
      </c>
      <c r="ET272" s="2" t="s">
        <v>7143</v>
      </c>
      <c r="EV272" s="2" t="s">
        <v>7143</v>
      </c>
      <c r="EX272" s="2" t="s">
        <v>7143</v>
      </c>
      <c r="EZ272" s="2" t="s">
        <v>7143</v>
      </c>
      <c r="FC272" s="2" t="s">
        <v>7218</v>
      </c>
      <c r="FD272" s="2" t="s">
        <v>7143</v>
      </c>
      <c r="FH272" s="2" t="s">
        <v>7173</v>
      </c>
      <c r="FJ272" s="2" t="s">
        <v>7143</v>
      </c>
      <c r="FK272" s="2" t="s">
        <v>7173</v>
      </c>
      <c r="FN272" s="2" t="s">
        <v>7583</v>
      </c>
      <c r="FR272" s="2" t="s">
        <v>421</v>
      </c>
      <c r="FT272" s="2" t="s">
        <v>7345</v>
      </c>
      <c r="FU272" s="2" t="s">
        <v>7189</v>
      </c>
      <c r="FV272" s="2" t="s">
        <v>7176</v>
      </c>
      <c r="FW272" s="2" t="s">
        <v>7176</v>
      </c>
      <c r="FZ272" s="19" t="s">
        <v>8136</v>
      </c>
    </row>
    <row r="273" spans="1:182">
      <c r="A273" s="7" t="s">
        <v>1917</v>
      </c>
      <c r="D273" s="7" t="s">
        <v>8137</v>
      </c>
      <c r="E273" s="7" t="s">
        <v>1849</v>
      </c>
      <c r="F273" s="7" t="s">
        <v>7339</v>
      </c>
      <c r="G273" s="7" t="s">
        <v>7981</v>
      </c>
      <c r="H273" s="7" t="s">
        <v>1918</v>
      </c>
      <c r="I273" s="7" t="s">
        <v>1919</v>
      </c>
      <c r="J273" s="16" t="s">
        <v>8138</v>
      </c>
      <c r="K273" s="7" t="s">
        <v>1920</v>
      </c>
      <c r="L273" s="2" t="s">
        <v>7137</v>
      </c>
      <c r="M273" s="7" t="s">
        <v>7179</v>
      </c>
      <c r="N273" s="7">
        <v>1984</v>
      </c>
      <c r="O273" s="7" t="s">
        <v>7180</v>
      </c>
      <c r="P273" s="2" t="s">
        <v>7181</v>
      </c>
      <c r="Q273" s="2" t="s">
        <v>7141</v>
      </c>
      <c r="R273" s="2" t="s">
        <v>7143</v>
      </c>
      <c r="S273" s="2">
        <v>26</v>
      </c>
      <c r="T273" s="2" t="s">
        <v>7143</v>
      </c>
      <c r="U273" s="2" t="s">
        <v>7143</v>
      </c>
      <c r="Y273" s="2">
        <v>546</v>
      </c>
      <c r="Z273" s="17">
        <v>1</v>
      </c>
      <c r="AA273" s="2">
        <v>546</v>
      </c>
      <c r="AB273" s="2">
        <v>546</v>
      </c>
      <c r="AC273" s="7">
        <v>556</v>
      </c>
      <c r="AD273" s="2">
        <v>686</v>
      </c>
      <c r="AE273" s="2">
        <v>130</v>
      </c>
      <c r="AF273" s="2" t="s">
        <v>7143</v>
      </c>
      <c r="AG273" s="2" t="s">
        <v>7143</v>
      </c>
      <c r="AH273" s="2" t="s">
        <v>7143</v>
      </c>
      <c r="AJ273" s="2" t="s">
        <v>7143</v>
      </c>
      <c r="AK273" s="2" t="s">
        <v>7143</v>
      </c>
      <c r="AL273" s="2" t="s">
        <v>7143</v>
      </c>
      <c r="AM273" s="2" t="s">
        <v>7143</v>
      </c>
      <c r="AN273" s="2" t="s">
        <v>7143</v>
      </c>
      <c r="AO273" s="2" t="s">
        <v>7143</v>
      </c>
      <c r="AR273" s="7">
        <v>1.5</v>
      </c>
      <c r="AS273" s="7">
        <v>2</v>
      </c>
      <c r="AT273" s="7">
        <v>7</v>
      </c>
      <c r="AU273" s="2" t="s">
        <v>7193</v>
      </c>
      <c r="AV273" s="2" t="s">
        <v>7193</v>
      </c>
      <c r="AW273" s="2" t="s">
        <v>7143</v>
      </c>
      <c r="AZ273" s="2" t="s">
        <v>7566</v>
      </c>
      <c r="BB273" s="2" t="s">
        <v>7214</v>
      </c>
      <c r="BC273" s="2" t="s">
        <v>7247</v>
      </c>
      <c r="BD273" s="2" t="s">
        <v>7143</v>
      </c>
      <c r="BE273" s="2" t="s">
        <v>7142</v>
      </c>
      <c r="BF273" s="2" t="s">
        <v>7148</v>
      </c>
      <c r="BG273" s="2" t="s">
        <v>7149</v>
      </c>
      <c r="BH273" s="2" t="s">
        <v>7150</v>
      </c>
      <c r="BI273" s="2" t="s">
        <v>7151</v>
      </c>
      <c r="BL273" s="2" t="s">
        <v>7152</v>
      </c>
      <c r="BM273" s="2" t="s">
        <v>7355</v>
      </c>
      <c r="BN273" s="2" t="s">
        <v>7154</v>
      </c>
      <c r="BO273" s="2" t="s">
        <v>7155</v>
      </c>
      <c r="BQ273" s="2" t="s">
        <v>7183</v>
      </c>
      <c r="BS273" s="2" t="s">
        <v>7142</v>
      </c>
      <c r="BT273" s="2" t="s">
        <v>7400</v>
      </c>
      <c r="BV273" s="2" t="s">
        <v>8139</v>
      </c>
      <c r="BX273" s="2" t="s">
        <v>7142</v>
      </c>
      <c r="BY273" s="2" t="s">
        <v>1922</v>
      </c>
      <c r="BZ273" s="2" t="s">
        <v>7165</v>
      </c>
      <c r="CA273" s="2" t="s">
        <v>1923</v>
      </c>
      <c r="CE273" s="7">
        <v>7</v>
      </c>
      <c r="CF273" s="2">
        <v>686</v>
      </c>
      <c r="CM273" s="2">
        <v>100</v>
      </c>
      <c r="CO273" s="2">
        <v>100</v>
      </c>
      <c r="CR273" s="2" t="s">
        <v>7357</v>
      </c>
      <c r="CT273" s="2" t="s">
        <v>7143</v>
      </c>
      <c r="CU273" s="2" t="s">
        <v>7161</v>
      </c>
      <c r="CW273" s="2" t="s">
        <v>7162</v>
      </c>
      <c r="CY273" s="2" t="s">
        <v>7227</v>
      </c>
      <c r="CZ273" s="2" t="s">
        <v>7227</v>
      </c>
      <c r="DA273" s="2" t="s">
        <v>7250</v>
      </c>
      <c r="DB273" s="2" t="s">
        <v>7250</v>
      </c>
      <c r="DC273" s="2" t="s">
        <v>7249</v>
      </c>
      <c r="DD273" s="2" t="s">
        <v>7250</v>
      </c>
      <c r="DE273" s="2" t="s">
        <v>7250</v>
      </c>
      <c r="DF273" s="2" t="s">
        <v>7227</v>
      </c>
      <c r="DG273" s="2" t="s">
        <v>7227</v>
      </c>
      <c r="DH273" s="2" t="s">
        <v>7227</v>
      </c>
      <c r="DI273" s="2" t="s">
        <v>7249</v>
      </c>
      <c r="DL273" s="2" t="s">
        <v>7142</v>
      </c>
      <c r="DM273" s="2" t="s">
        <v>7142</v>
      </c>
      <c r="DN273" s="2" t="s">
        <v>7142</v>
      </c>
      <c r="DO273" s="2" t="s">
        <v>7142</v>
      </c>
      <c r="DP273" s="2" t="s">
        <v>7165</v>
      </c>
      <c r="DQ273" s="2" t="s">
        <v>7166</v>
      </c>
      <c r="DT273" s="2" t="s">
        <v>7165</v>
      </c>
      <c r="DU273" s="2" t="s">
        <v>7165</v>
      </c>
      <c r="DV273" s="2" t="s">
        <v>7165</v>
      </c>
      <c r="DW273" s="2" t="s">
        <v>7165</v>
      </c>
      <c r="DX273" s="2" t="s">
        <v>7165</v>
      </c>
      <c r="DY273" s="2" t="s">
        <v>7165</v>
      </c>
      <c r="DZ273" s="2" t="s">
        <v>7165</v>
      </c>
      <c r="EA273" s="2" t="s">
        <v>7165</v>
      </c>
      <c r="EB273" s="2" t="s">
        <v>7165</v>
      </c>
      <c r="EC273" s="2" t="s">
        <v>7159</v>
      </c>
      <c r="ED273" s="2" t="s">
        <v>7159</v>
      </c>
      <c r="EF273" s="2" t="s">
        <v>7221</v>
      </c>
      <c r="EJ273" s="2" t="s">
        <v>7193</v>
      </c>
      <c r="EK273" s="2" t="s">
        <v>7142</v>
      </c>
      <c r="EL273" s="2" t="s">
        <v>7143</v>
      </c>
      <c r="EN273" s="2" t="s">
        <v>7170</v>
      </c>
      <c r="EP273" s="2" t="s">
        <v>7186</v>
      </c>
      <c r="ER273" s="2" t="s">
        <v>7142</v>
      </c>
      <c r="ET273" s="2" t="s">
        <v>7143</v>
      </c>
      <c r="EV273" s="2" t="s">
        <v>7142</v>
      </c>
      <c r="EW273" s="2" t="s">
        <v>7171</v>
      </c>
      <c r="EX273" s="2" t="s">
        <v>7143</v>
      </c>
      <c r="EZ273" s="2" t="s">
        <v>7143</v>
      </c>
      <c r="FC273" s="2" t="s">
        <v>7218</v>
      </c>
      <c r="FD273" s="2" t="s">
        <v>7143</v>
      </c>
      <c r="FH273" s="2" t="s">
        <v>7173</v>
      </c>
      <c r="FJ273" s="2" t="s">
        <v>7143</v>
      </c>
      <c r="FK273" s="2" t="s">
        <v>7173</v>
      </c>
      <c r="FN273" s="2" t="s">
        <v>7344</v>
      </c>
      <c r="FR273" s="2" t="s">
        <v>1924</v>
      </c>
      <c r="FT273" s="2" t="s">
        <v>7189</v>
      </c>
      <c r="FU273" s="2" t="s">
        <v>7189</v>
      </c>
      <c r="FV273" s="2" t="s">
        <v>7189</v>
      </c>
      <c r="FW273" s="2" t="s">
        <v>7189</v>
      </c>
      <c r="FZ273" s="19" t="s">
        <v>8140</v>
      </c>
    </row>
    <row r="274" spans="1:182">
      <c r="A274" s="7" t="s">
        <v>1925</v>
      </c>
      <c r="D274" s="7" t="s">
        <v>8141</v>
      </c>
      <c r="E274" s="7" t="s">
        <v>177</v>
      </c>
      <c r="F274" s="7" t="s">
        <v>7134</v>
      </c>
      <c r="G274" s="7" t="s">
        <v>7981</v>
      </c>
      <c r="H274" s="2" t="s">
        <v>1659</v>
      </c>
      <c r="I274" s="7" t="s">
        <v>1926</v>
      </c>
      <c r="J274" s="19" t="s">
        <v>8142</v>
      </c>
      <c r="K274" s="7" t="s">
        <v>1926</v>
      </c>
      <c r="L274" s="2" t="s">
        <v>7137</v>
      </c>
      <c r="M274" s="7" t="s">
        <v>7179</v>
      </c>
      <c r="N274" s="7">
        <v>1973</v>
      </c>
      <c r="O274" s="7" t="s">
        <v>7180</v>
      </c>
      <c r="P274" s="7" t="s">
        <v>7140</v>
      </c>
      <c r="Q274" s="2" t="s">
        <v>7141</v>
      </c>
      <c r="R274" s="2" t="s">
        <v>7143</v>
      </c>
      <c r="S274" s="2">
        <v>29</v>
      </c>
      <c r="T274" s="2" t="s">
        <v>7143</v>
      </c>
      <c r="U274" s="2" t="s">
        <v>7143</v>
      </c>
      <c r="Y274" s="2">
        <v>524</v>
      </c>
      <c r="Z274" s="17">
        <v>0.95420000000000005</v>
      </c>
      <c r="AA274" s="2">
        <v>500</v>
      </c>
      <c r="AB274" s="2">
        <v>500</v>
      </c>
      <c r="AC274" s="7">
        <v>485</v>
      </c>
      <c r="AD274" s="2">
        <v>550</v>
      </c>
      <c r="AE274" s="2">
        <v>65</v>
      </c>
      <c r="AF274" s="2" t="s">
        <v>7143</v>
      </c>
      <c r="AG274" s="2" t="s">
        <v>7143</v>
      </c>
      <c r="AH274" s="2" t="s">
        <v>7143</v>
      </c>
      <c r="AJ274" s="2" t="s">
        <v>7143</v>
      </c>
      <c r="AK274" s="2" t="s">
        <v>7143</v>
      </c>
      <c r="AL274" s="2" t="s">
        <v>7142</v>
      </c>
      <c r="AM274" s="2" t="s">
        <v>7142</v>
      </c>
      <c r="AN274" s="2" t="s">
        <v>7143</v>
      </c>
      <c r="AO274" s="2" t="s">
        <v>7143</v>
      </c>
      <c r="AR274" s="7">
        <v>1.4</v>
      </c>
      <c r="AS274" s="7">
        <v>2</v>
      </c>
      <c r="AT274" s="7">
        <v>5.53</v>
      </c>
      <c r="AU274" s="2" t="s">
        <v>7168</v>
      </c>
      <c r="AV274" s="2" t="s">
        <v>7168</v>
      </c>
      <c r="AW274" s="2" t="s">
        <v>7143</v>
      </c>
      <c r="AZ274" s="2" t="s">
        <v>7145</v>
      </c>
      <c r="BB274" s="2" t="s">
        <v>7146</v>
      </c>
      <c r="BC274" s="2" t="s">
        <v>7147</v>
      </c>
      <c r="BD274" s="2" t="s">
        <v>7142</v>
      </c>
      <c r="BE274" s="2" t="s">
        <v>7142</v>
      </c>
      <c r="BF274" s="2" t="s">
        <v>7148</v>
      </c>
      <c r="BG274" s="2" t="s">
        <v>7232</v>
      </c>
      <c r="BH274" s="2" t="s">
        <v>7248</v>
      </c>
      <c r="BI274" s="2" t="s">
        <v>7151</v>
      </c>
      <c r="BL274" s="2" t="s">
        <v>7195</v>
      </c>
      <c r="BO274" s="2" t="s">
        <v>7155</v>
      </c>
      <c r="BQ274" s="2" t="s">
        <v>7156</v>
      </c>
      <c r="BS274" s="2" t="s">
        <v>7142</v>
      </c>
      <c r="BT274" s="2" t="s">
        <v>7215</v>
      </c>
      <c r="BV274" s="2" t="s">
        <v>7202</v>
      </c>
      <c r="BX274" s="2" t="s">
        <v>7143</v>
      </c>
      <c r="BZ274" s="2" t="s">
        <v>7173</v>
      </c>
      <c r="CE274" s="7">
        <v>5.53</v>
      </c>
      <c r="CF274" s="2">
        <v>550</v>
      </c>
      <c r="CM274" s="2">
        <v>100</v>
      </c>
      <c r="CO274" s="2">
        <v>100</v>
      </c>
      <c r="CR274" s="2" t="s">
        <v>7160</v>
      </c>
      <c r="CT274" s="2" t="s">
        <v>7143</v>
      </c>
      <c r="CU274" s="2" t="s">
        <v>7161</v>
      </c>
      <c r="CW274" s="2" t="s">
        <v>7162</v>
      </c>
      <c r="CY274" s="2" t="s">
        <v>7163</v>
      </c>
      <c r="CZ274" s="2" t="s">
        <v>7163</v>
      </c>
      <c r="DA274" s="2" t="s">
        <v>7164</v>
      </c>
      <c r="DB274" s="2" t="s">
        <v>7164</v>
      </c>
      <c r="DC274" s="2" t="s">
        <v>7164</v>
      </c>
      <c r="DD274" s="2" t="s">
        <v>7164</v>
      </c>
      <c r="DE274" s="2" t="s">
        <v>7164</v>
      </c>
      <c r="DF274" s="2" t="s">
        <v>7164</v>
      </c>
      <c r="DG274" s="2" t="s">
        <v>7164</v>
      </c>
      <c r="DH274" s="2" t="s">
        <v>7164</v>
      </c>
      <c r="DI274" s="2" t="s">
        <v>7164</v>
      </c>
      <c r="DL274" s="2" t="s">
        <v>7142</v>
      </c>
      <c r="DM274" s="2" t="s">
        <v>7142</v>
      </c>
      <c r="DN274" s="2" t="s">
        <v>7142</v>
      </c>
      <c r="DO274" s="2" t="s">
        <v>7142</v>
      </c>
      <c r="DP274" s="2" t="s">
        <v>7165</v>
      </c>
      <c r="DQ274" s="2" t="s">
        <v>7166</v>
      </c>
      <c r="DT274" s="2" t="s">
        <v>7165</v>
      </c>
      <c r="DU274" s="2" t="s">
        <v>7165</v>
      </c>
      <c r="DV274" s="2" t="s">
        <v>7165</v>
      </c>
      <c r="DW274" s="2" t="s">
        <v>7165</v>
      </c>
      <c r="DX274" s="2" t="s">
        <v>7165</v>
      </c>
      <c r="DY274" s="2" t="s">
        <v>7165</v>
      </c>
      <c r="DZ274" s="2" t="s">
        <v>7165</v>
      </c>
      <c r="EA274" s="2" t="s">
        <v>7165</v>
      </c>
      <c r="EB274" s="2" t="s">
        <v>7165</v>
      </c>
      <c r="EF274" s="2" t="s">
        <v>7167</v>
      </c>
      <c r="EJ274" s="2" t="s">
        <v>7168</v>
      </c>
      <c r="EK274" s="2" t="s">
        <v>7142</v>
      </c>
      <c r="EL274" s="2" t="s">
        <v>7143</v>
      </c>
      <c r="EN274" s="2" t="s">
        <v>7170</v>
      </c>
      <c r="EP274" s="2" t="s">
        <v>7186</v>
      </c>
      <c r="ER274" s="2" t="s">
        <v>7142</v>
      </c>
      <c r="ET274" s="2" t="s">
        <v>7143</v>
      </c>
      <c r="EV274" s="2" t="s">
        <v>7142</v>
      </c>
      <c r="EW274" s="2" t="s">
        <v>7700</v>
      </c>
      <c r="EX274" s="2" t="s">
        <v>7143</v>
      </c>
      <c r="FC274" s="2" t="s">
        <v>7172</v>
      </c>
      <c r="FD274" s="2" t="s">
        <v>7143</v>
      </c>
      <c r="FH274" s="2" t="s">
        <v>7173</v>
      </c>
      <c r="FJ274" s="2" t="s">
        <v>7142</v>
      </c>
      <c r="FK274" s="2" t="s">
        <v>7165</v>
      </c>
      <c r="FL274" s="2" t="s">
        <v>8058</v>
      </c>
      <c r="FN274" s="2" t="s">
        <v>7344</v>
      </c>
      <c r="FT274" s="2" t="s">
        <v>7176</v>
      </c>
      <c r="FU274" s="2" t="s">
        <v>7176</v>
      </c>
      <c r="FV274" s="2" t="s">
        <v>7176</v>
      </c>
      <c r="FW274" s="2" t="s">
        <v>7176</v>
      </c>
      <c r="FZ274" s="19" t="s">
        <v>8143</v>
      </c>
    </row>
    <row r="275" spans="1:182">
      <c r="A275" s="7" t="s">
        <v>1927</v>
      </c>
      <c r="D275" s="7" t="s">
        <v>8144</v>
      </c>
      <c r="E275" s="7" t="s">
        <v>1907</v>
      </c>
      <c r="F275" s="7" t="s">
        <v>7319</v>
      </c>
      <c r="G275" s="7" t="s">
        <v>7981</v>
      </c>
      <c r="H275" s="7" t="s">
        <v>1668</v>
      </c>
      <c r="I275" s="7" t="s">
        <v>1928</v>
      </c>
      <c r="J275" s="16" t="s">
        <v>8145</v>
      </c>
      <c r="K275" s="7" t="s">
        <v>1929</v>
      </c>
      <c r="L275" s="7" t="s">
        <v>7137</v>
      </c>
      <c r="M275" s="7" t="s">
        <v>7179</v>
      </c>
      <c r="N275" s="7">
        <v>1974</v>
      </c>
      <c r="O275" s="7" t="s">
        <v>7180</v>
      </c>
      <c r="P275" s="7" t="s">
        <v>7181</v>
      </c>
      <c r="Q275" s="7" t="s">
        <v>7182</v>
      </c>
      <c r="R275" s="7" t="s">
        <v>7143</v>
      </c>
      <c r="S275" s="7">
        <v>28</v>
      </c>
      <c r="T275" s="7" t="s">
        <v>7143</v>
      </c>
      <c r="U275" s="7" t="s">
        <v>7143</v>
      </c>
      <c r="Y275" s="2">
        <v>660</v>
      </c>
      <c r="Z275" s="17">
        <v>1</v>
      </c>
      <c r="AA275" s="2">
        <v>660</v>
      </c>
      <c r="AB275" s="2">
        <v>660</v>
      </c>
      <c r="AC275" s="7">
        <v>660</v>
      </c>
      <c r="AD275" s="2">
        <v>800</v>
      </c>
      <c r="AE275" s="2">
        <v>140</v>
      </c>
      <c r="AF275" s="2" t="s">
        <v>7143</v>
      </c>
      <c r="AG275" s="2" t="s">
        <v>7143</v>
      </c>
      <c r="AH275" s="2" t="s">
        <v>7143</v>
      </c>
      <c r="AJ275" s="2" t="s">
        <v>7143</v>
      </c>
      <c r="AK275" s="2" t="s">
        <v>7143</v>
      </c>
      <c r="AL275" s="2" t="s">
        <v>7143</v>
      </c>
      <c r="AM275" s="2" t="s">
        <v>7143</v>
      </c>
      <c r="AN275" s="2" t="s">
        <v>7143</v>
      </c>
      <c r="AO275" s="2" t="s">
        <v>7143</v>
      </c>
      <c r="AR275" s="7">
        <v>1.5</v>
      </c>
      <c r="AS275" s="7">
        <v>2</v>
      </c>
      <c r="AT275" s="7">
        <v>8</v>
      </c>
      <c r="AU275" s="2" t="s">
        <v>7193</v>
      </c>
      <c r="AV275" s="2" t="s">
        <v>7193</v>
      </c>
      <c r="AW275" s="2" t="s">
        <v>7143</v>
      </c>
      <c r="AZ275" s="2" t="s">
        <v>7145</v>
      </c>
      <c r="BB275" s="2" t="s">
        <v>7214</v>
      </c>
      <c r="BC275" s="2" t="s">
        <v>7247</v>
      </c>
      <c r="BD275" s="2" t="s">
        <v>7142</v>
      </c>
      <c r="BE275" s="2" t="s">
        <v>7142</v>
      </c>
      <c r="BF275" s="2" t="s">
        <v>7148</v>
      </c>
      <c r="BG275" s="2" t="s">
        <v>7149</v>
      </c>
      <c r="BH275" s="2" t="s">
        <v>7248</v>
      </c>
      <c r="BI275" s="2" t="s">
        <v>7269</v>
      </c>
      <c r="BL275" s="2" t="s">
        <v>7152</v>
      </c>
      <c r="BM275" s="2" t="s">
        <v>7153</v>
      </c>
      <c r="BN275" s="2" t="s">
        <v>7154</v>
      </c>
      <c r="BO275" s="2" t="s">
        <v>7274</v>
      </c>
      <c r="BP275" s="2" t="s">
        <v>7275</v>
      </c>
      <c r="BS275" s="2" t="s">
        <v>7142</v>
      </c>
      <c r="BT275" s="2" t="s">
        <v>7238</v>
      </c>
      <c r="BU275" s="2" t="s">
        <v>342</v>
      </c>
      <c r="BV275" s="2" t="s">
        <v>7387</v>
      </c>
      <c r="BX275" s="2" t="s">
        <v>7143</v>
      </c>
      <c r="BZ275" s="2" t="s">
        <v>7173</v>
      </c>
      <c r="CE275" s="7">
        <v>8</v>
      </c>
      <c r="CF275" s="2">
        <v>800</v>
      </c>
      <c r="CM275" s="2">
        <v>100</v>
      </c>
      <c r="CO275" s="2">
        <v>100</v>
      </c>
      <c r="CR275" s="2" t="s">
        <v>7276</v>
      </c>
      <c r="CT275" s="2" t="s">
        <v>7143</v>
      </c>
      <c r="CU275" s="2" t="s">
        <v>7161</v>
      </c>
      <c r="CW275" s="2" t="s">
        <v>7162</v>
      </c>
      <c r="CY275" s="2" t="s">
        <v>7163</v>
      </c>
      <c r="CZ275" s="2" t="s">
        <v>7163</v>
      </c>
      <c r="DA275" s="2" t="s">
        <v>7250</v>
      </c>
      <c r="DB275" s="2" t="s">
        <v>7321</v>
      </c>
      <c r="DC275" s="2" t="s">
        <v>7321</v>
      </c>
      <c r="DD275" s="2" t="s">
        <v>7321</v>
      </c>
      <c r="DE275" s="2" t="s">
        <v>7250</v>
      </c>
      <c r="DF275" s="2" t="s">
        <v>7163</v>
      </c>
      <c r="DG275" s="2" t="s">
        <v>7163</v>
      </c>
      <c r="DH275" s="2" t="s">
        <v>7321</v>
      </c>
      <c r="DI275" s="2" t="s">
        <v>7321</v>
      </c>
      <c r="DL275" s="2" t="s">
        <v>7142</v>
      </c>
      <c r="DM275" s="2" t="s">
        <v>7142</v>
      </c>
      <c r="DN275" s="2" t="s">
        <v>7142</v>
      </c>
      <c r="DO275" s="2" t="s">
        <v>7142</v>
      </c>
      <c r="DP275" s="2" t="s">
        <v>7165</v>
      </c>
      <c r="DQ275" s="2" t="s">
        <v>7333</v>
      </c>
      <c r="DR275" s="2" t="s">
        <v>1930</v>
      </c>
      <c r="DT275" s="2" t="s">
        <v>7165</v>
      </c>
      <c r="DU275" s="2" t="s">
        <v>7165</v>
      </c>
      <c r="DV275" s="2" t="s">
        <v>7165</v>
      </c>
      <c r="DW275" s="2" t="s">
        <v>7165</v>
      </c>
      <c r="DX275" s="2" t="s">
        <v>7165</v>
      </c>
      <c r="DY275" s="2" t="s">
        <v>7165</v>
      </c>
      <c r="DZ275" s="2" t="s">
        <v>7165</v>
      </c>
      <c r="EA275" s="2" t="s">
        <v>7165</v>
      </c>
      <c r="EB275" s="2" t="s">
        <v>7165</v>
      </c>
      <c r="EC275" s="2" t="s">
        <v>7173</v>
      </c>
      <c r="EF275" s="2" t="s">
        <v>7221</v>
      </c>
      <c r="EJ275" s="2" t="s">
        <v>7144</v>
      </c>
      <c r="EK275" s="2" t="s">
        <v>7142</v>
      </c>
      <c r="EL275" s="2" t="s">
        <v>7143</v>
      </c>
      <c r="EN275" s="2" t="s">
        <v>7170</v>
      </c>
      <c r="EP275" s="2" t="s">
        <v>7186</v>
      </c>
      <c r="ER275" s="2" t="s">
        <v>7142</v>
      </c>
      <c r="ET275" s="2" t="s">
        <v>7143</v>
      </c>
      <c r="EV275" s="2" t="s">
        <v>7142</v>
      </c>
      <c r="EW275" s="2" t="s">
        <v>7171</v>
      </c>
      <c r="EX275" s="2" t="s">
        <v>7143</v>
      </c>
      <c r="EZ275" s="2" t="s">
        <v>7143</v>
      </c>
      <c r="FC275" s="2" t="s">
        <v>7218</v>
      </c>
      <c r="FD275" s="2" t="s">
        <v>7143</v>
      </c>
      <c r="FH275" s="2" t="s">
        <v>7173</v>
      </c>
      <c r="FJ275" s="2" t="s">
        <v>7143</v>
      </c>
      <c r="FK275" s="2" t="s">
        <v>7159</v>
      </c>
      <c r="FR275" s="2" t="s">
        <v>1931</v>
      </c>
      <c r="FT275" s="2" t="s">
        <v>7176</v>
      </c>
      <c r="FU275" s="2" t="s">
        <v>7176</v>
      </c>
      <c r="FV275" s="2" t="s">
        <v>7176</v>
      </c>
      <c r="FW275" s="2" t="s">
        <v>7176</v>
      </c>
      <c r="FZ275" s="19" t="s">
        <v>8146</v>
      </c>
    </row>
    <row r="276" spans="1:182">
      <c r="A276" s="7" t="s">
        <v>1932</v>
      </c>
      <c r="D276" s="7" t="s">
        <v>8147</v>
      </c>
      <c r="E276" s="7" t="s">
        <v>177</v>
      </c>
      <c r="F276" s="7" t="s">
        <v>7245</v>
      </c>
      <c r="G276" s="7" t="s">
        <v>7981</v>
      </c>
      <c r="H276" s="7" t="s">
        <v>1659</v>
      </c>
      <c r="I276" s="7" t="s">
        <v>1933</v>
      </c>
      <c r="J276" s="16" t="s">
        <v>8148</v>
      </c>
      <c r="K276" s="7" t="s">
        <v>1934</v>
      </c>
      <c r="L276" s="7" t="s">
        <v>7137</v>
      </c>
      <c r="M276" s="7" t="s">
        <v>7179</v>
      </c>
      <c r="N276" s="7">
        <v>1976</v>
      </c>
      <c r="O276" s="7" t="s">
        <v>7180</v>
      </c>
      <c r="P276" s="7" t="s">
        <v>7181</v>
      </c>
      <c r="Q276" s="7" t="s">
        <v>7141</v>
      </c>
      <c r="R276" s="7" t="s">
        <v>7143</v>
      </c>
      <c r="S276" s="7">
        <v>1995</v>
      </c>
      <c r="T276" s="7" t="s">
        <v>7143</v>
      </c>
      <c r="U276" s="7" t="s">
        <v>7143</v>
      </c>
      <c r="Y276" s="2">
        <v>980</v>
      </c>
      <c r="Z276" s="17">
        <v>1</v>
      </c>
      <c r="AA276" s="2">
        <v>980</v>
      </c>
      <c r="AB276" s="2">
        <v>950</v>
      </c>
      <c r="AC276" s="7">
        <v>850</v>
      </c>
      <c r="AD276" s="2">
        <v>970</v>
      </c>
      <c r="AE276" s="2">
        <v>120</v>
      </c>
      <c r="AF276" s="7" t="s">
        <v>7143</v>
      </c>
      <c r="AG276" s="2" t="s">
        <v>7142</v>
      </c>
      <c r="AH276" s="2" t="s">
        <v>7142</v>
      </c>
      <c r="AI276" s="2" t="s">
        <v>346</v>
      </c>
      <c r="AJ276" s="2" t="s">
        <v>7143</v>
      </c>
      <c r="AK276" s="2" t="s">
        <v>7143</v>
      </c>
      <c r="AL276" s="2" t="s">
        <v>7143</v>
      </c>
      <c r="AM276" s="2" t="s">
        <v>7143</v>
      </c>
      <c r="AN276" s="2" t="s">
        <v>7143</v>
      </c>
      <c r="AO276" s="2" t="s">
        <v>7143</v>
      </c>
      <c r="AR276" s="7">
        <v>2</v>
      </c>
      <c r="AS276" s="7">
        <v>2</v>
      </c>
      <c r="AT276" s="7">
        <v>10</v>
      </c>
      <c r="AU276" s="7" t="s">
        <v>7144</v>
      </c>
      <c r="AV276" s="7" t="s">
        <v>7144</v>
      </c>
      <c r="AW276" s="7" t="s">
        <v>7143</v>
      </c>
      <c r="AZ276" s="7" t="s">
        <v>7145</v>
      </c>
      <c r="BB276" s="7" t="s">
        <v>7214</v>
      </c>
      <c r="BC276" s="7" t="s">
        <v>7147</v>
      </c>
      <c r="BD276" s="7" t="s">
        <v>7142</v>
      </c>
      <c r="BE276" s="7" t="s">
        <v>7142</v>
      </c>
      <c r="BF276" s="7" t="s">
        <v>7148</v>
      </c>
      <c r="BG276" s="7" t="s">
        <v>7149</v>
      </c>
      <c r="BH276" s="7" t="s">
        <v>7248</v>
      </c>
      <c r="BI276" s="7" t="s">
        <v>7151</v>
      </c>
      <c r="BL276" s="7" t="s">
        <v>7152</v>
      </c>
      <c r="BM276" s="7" t="s">
        <v>7153</v>
      </c>
      <c r="BN276" s="7" t="s">
        <v>7154</v>
      </c>
      <c r="BO276" s="7" t="s">
        <v>7155</v>
      </c>
      <c r="BQ276" s="2" t="s">
        <v>7156</v>
      </c>
      <c r="BS276" s="7" t="s">
        <v>7142</v>
      </c>
      <c r="BT276" s="2" t="s">
        <v>7215</v>
      </c>
      <c r="BV276" s="2" t="s">
        <v>7304</v>
      </c>
      <c r="BX276" s="2" t="s">
        <v>7142</v>
      </c>
      <c r="BY276" s="2" t="s">
        <v>310</v>
      </c>
      <c r="BZ276" s="2" t="s">
        <v>7159</v>
      </c>
      <c r="CE276" s="7">
        <v>10</v>
      </c>
      <c r="CF276" s="2">
        <v>970</v>
      </c>
      <c r="CK276" s="2">
        <v>100</v>
      </c>
      <c r="CO276" s="2">
        <v>100</v>
      </c>
      <c r="CR276" s="7" t="s">
        <v>7160</v>
      </c>
      <c r="CT276" s="7" t="s">
        <v>7143</v>
      </c>
      <c r="CU276" s="7" t="s">
        <v>7161</v>
      </c>
      <c r="CW276" s="7" t="s">
        <v>7162</v>
      </c>
      <c r="CY276" s="7" t="s">
        <v>7163</v>
      </c>
      <c r="CZ276" s="7" t="s">
        <v>7227</v>
      </c>
      <c r="DA276" s="7" t="s">
        <v>7227</v>
      </c>
      <c r="DB276" s="2" t="s">
        <v>7251</v>
      </c>
      <c r="DC276" s="7" t="s">
        <v>7250</v>
      </c>
      <c r="DD276" s="7" t="s">
        <v>7251</v>
      </c>
      <c r="DE276" s="2" t="s">
        <v>7250</v>
      </c>
      <c r="DF276" s="2" t="s">
        <v>7163</v>
      </c>
      <c r="DG276" s="2" t="s">
        <v>7163</v>
      </c>
      <c r="DH276" s="2" t="s">
        <v>7163</v>
      </c>
      <c r="DI276" s="2" t="s">
        <v>7163</v>
      </c>
      <c r="DL276" s="7" t="s">
        <v>7142</v>
      </c>
      <c r="DM276" s="7" t="s">
        <v>7142</v>
      </c>
      <c r="DN276" s="7" t="s">
        <v>7142</v>
      </c>
      <c r="DO276" s="7" t="s">
        <v>7142</v>
      </c>
      <c r="DP276" s="7" t="s">
        <v>7165</v>
      </c>
      <c r="DQ276" s="7" t="s">
        <v>7166</v>
      </c>
      <c r="DS276" s="7" t="s">
        <v>7165</v>
      </c>
      <c r="DT276" s="7" t="s">
        <v>7165</v>
      </c>
      <c r="DU276" s="7" t="s">
        <v>7165</v>
      </c>
      <c r="DV276" s="7" t="s">
        <v>7165</v>
      </c>
      <c r="DW276" s="7" t="s">
        <v>7165</v>
      </c>
      <c r="DX276" s="7" t="s">
        <v>7165</v>
      </c>
      <c r="DY276" s="7" t="s">
        <v>7159</v>
      </c>
      <c r="DZ276" s="7" t="s">
        <v>7159</v>
      </c>
      <c r="EA276" s="7" t="s">
        <v>7165</v>
      </c>
      <c r="EB276" s="7" t="s">
        <v>7165</v>
      </c>
      <c r="EC276" s="7" t="s">
        <v>7159</v>
      </c>
      <c r="ED276" s="7"/>
      <c r="EE276" s="7"/>
      <c r="EF276" s="7" t="s">
        <v>7167</v>
      </c>
      <c r="EJ276" s="7" t="s">
        <v>7193</v>
      </c>
      <c r="EK276" s="7" t="s">
        <v>7142</v>
      </c>
      <c r="EL276" s="7" t="s">
        <v>7143</v>
      </c>
      <c r="EN276" s="7" t="s">
        <v>7170</v>
      </c>
      <c r="EP276" s="7" t="s">
        <v>7186</v>
      </c>
      <c r="ER276" s="2" t="s">
        <v>7142</v>
      </c>
      <c r="ET276" s="7" t="s">
        <v>7143</v>
      </c>
      <c r="EV276" s="7" t="s">
        <v>7142</v>
      </c>
      <c r="EW276" s="7" t="s">
        <v>7204</v>
      </c>
      <c r="EX276" s="7" t="s">
        <v>7143</v>
      </c>
      <c r="EZ276" s="7" t="s">
        <v>7143</v>
      </c>
      <c r="FC276" s="7" t="s">
        <v>7172</v>
      </c>
      <c r="FD276" s="7" t="s">
        <v>7143</v>
      </c>
      <c r="FH276" s="7" t="s">
        <v>7173</v>
      </c>
      <c r="FJ276" s="7" t="s">
        <v>7143</v>
      </c>
      <c r="FK276" s="7" t="s">
        <v>7165</v>
      </c>
      <c r="FL276" s="7" t="s">
        <v>7260</v>
      </c>
      <c r="FN276" s="2" t="s">
        <v>7235</v>
      </c>
      <c r="FT276" s="2" t="s">
        <v>7176</v>
      </c>
      <c r="FU276" s="2" t="s">
        <v>7189</v>
      </c>
      <c r="FV276" s="2" t="s">
        <v>7189</v>
      </c>
      <c r="FW276" s="2" t="s">
        <v>7189</v>
      </c>
      <c r="FZ276" s="19" t="s">
        <v>8149</v>
      </c>
    </row>
    <row r="277" spans="1:182">
      <c r="A277" s="7" t="s">
        <v>1935</v>
      </c>
      <c r="D277" s="7" t="s">
        <v>8150</v>
      </c>
      <c r="E277" s="7" t="s">
        <v>1936</v>
      </c>
      <c r="F277" s="7" t="s">
        <v>7339</v>
      </c>
      <c r="G277" s="7" t="s">
        <v>7981</v>
      </c>
      <c r="H277" s="7" t="s">
        <v>1918</v>
      </c>
      <c r="I277" s="7" t="s">
        <v>1937</v>
      </c>
      <c r="J277" s="16" t="s">
        <v>8151</v>
      </c>
      <c r="K277" s="7" t="s">
        <v>1938</v>
      </c>
      <c r="L277" s="2" t="s">
        <v>7281</v>
      </c>
      <c r="M277" s="7" t="s">
        <v>7179</v>
      </c>
      <c r="N277" s="7">
        <v>1983</v>
      </c>
      <c r="O277" s="7" t="s">
        <v>7180</v>
      </c>
      <c r="P277" s="2" t="s">
        <v>7181</v>
      </c>
      <c r="Q277" s="2" t="s">
        <v>7141</v>
      </c>
      <c r="R277" s="2" t="s">
        <v>7143</v>
      </c>
      <c r="S277" s="2">
        <v>28</v>
      </c>
      <c r="T277" s="2" t="s">
        <v>7143</v>
      </c>
      <c r="U277" s="2" t="s">
        <v>7143</v>
      </c>
      <c r="Y277" s="2">
        <v>2006</v>
      </c>
      <c r="Z277" s="17">
        <v>1</v>
      </c>
      <c r="AA277" s="2">
        <v>2006</v>
      </c>
      <c r="AB277" s="2">
        <v>2006</v>
      </c>
      <c r="AC277" s="7">
        <v>2006</v>
      </c>
      <c r="AD277" s="2">
        <v>2646</v>
      </c>
      <c r="AE277" s="2">
        <v>640</v>
      </c>
      <c r="AF277" s="2" t="s">
        <v>7143</v>
      </c>
      <c r="AG277" s="2" t="s">
        <v>7143</v>
      </c>
      <c r="AH277" s="2" t="s">
        <v>7143</v>
      </c>
      <c r="AJ277" s="2" t="s">
        <v>7143</v>
      </c>
      <c r="AK277" s="2" t="s">
        <v>7143</v>
      </c>
      <c r="AL277" s="2" t="s">
        <v>7143</v>
      </c>
      <c r="AM277" s="2" t="s">
        <v>7143</v>
      </c>
      <c r="AN277" s="2" t="s">
        <v>7143</v>
      </c>
      <c r="AO277" s="2" t="s">
        <v>7143</v>
      </c>
      <c r="AR277" s="7">
        <v>5</v>
      </c>
      <c r="AS277" s="7">
        <v>3</v>
      </c>
      <c r="AT277" s="7">
        <v>27</v>
      </c>
      <c r="AU277" s="2" t="s">
        <v>7193</v>
      </c>
      <c r="AV277" s="2" t="s">
        <v>7193</v>
      </c>
      <c r="AW277" s="2" t="s">
        <v>7143</v>
      </c>
      <c r="AZ277" s="2" t="s">
        <v>7566</v>
      </c>
      <c r="BB277" s="2" t="s">
        <v>7214</v>
      </c>
      <c r="BC277" s="2" t="s">
        <v>7247</v>
      </c>
      <c r="BD277" s="2" t="s">
        <v>7143</v>
      </c>
      <c r="BE277" s="2" t="s">
        <v>7142</v>
      </c>
      <c r="BF277" s="2" t="s">
        <v>7148</v>
      </c>
      <c r="BG277" s="2" t="s">
        <v>7149</v>
      </c>
      <c r="BH277" s="2" t="s">
        <v>7248</v>
      </c>
      <c r="BI277" s="2" t="s">
        <v>7151</v>
      </c>
      <c r="BL277" s="2" t="s">
        <v>7152</v>
      </c>
      <c r="BM277" s="2" t="s">
        <v>7153</v>
      </c>
      <c r="BN277" s="2" t="s">
        <v>7154</v>
      </c>
      <c r="BO277" s="2" t="s">
        <v>7155</v>
      </c>
      <c r="BQ277" s="2" t="s">
        <v>7183</v>
      </c>
      <c r="BS277" s="2" t="s">
        <v>7142</v>
      </c>
      <c r="BT277" s="2" t="s">
        <v>7400</v>
      </c>
      <c r="BV277" s="2" t="s">
        <v>7407</v>
      </c>
      <c r="BX277" s="2" t="s">
        <v>7142</v>
      </c>
      <c r="BY277" s="2" t="s">
        <v>1939</v>
      </c>
      <c r="BZ277" s="2" t="s">
        <v>7165</v>
      </c>
      <c r="CA277" s="2" t="s">
        <v>1940</v>
      </c>
      <c r="CE277" s="7">
        <v>27</v>
      </c>
      <c r="CF277" s="2">
        <v>2646</v>
      </c>
      <c r="CM277" s="2">
        <v>100</v>
      </c>
      <c r="CO277" s="2">
        <v>100</v>
      </c>
      <c r="CR277" s="2" t="s">
        <v>7276</v>
      </c>
      <c r="CT277" s="2" t="s">
        <v>7143</v>
      </c>
      <c r="CU277" s="2" t="s">
        <v>7203</v>
      </c>
      <c r="CW277" s="2" t="s">
        <v>7162</v>
      </c>
      <c r="CY277" s="2" t="s">
        <v>7163</v>
      </c>
      <c r="CZ277" s="2" t="s">
        <v>7163</v>
      </c>
      <c r="DA277" s="2" t="s">
        <v>7163</v>
      </c>
      <c r="DB277" s="2" t="s">
        <v>7250</v>
      </c>
      <c r="DC277" s="2" t="s">
        <v>7250</v>
      </c>
      <c r="DD277" s="2" t="s">
        <v>7250</v>
      </c>
      <c r="DE277" s="2" t="s">
        <v>7250</v>
      </c>
      <c r="DF277" s="2" t="s">
        <v>7163</v>
      </c>
      <c r="DG277" s="2" t="s">
        <v>7163</v>
      </c>
      <c r="DH277" s="2" t="s">
        <v>7163</v>
      </c>
      <c r="DI277" s="2" t="s">
        <v>7250</v>
      </c>
      <c r="DL277" s="2" t="s">
        <v>7142</v>
      </c>
      <c r="DM277" s="2" t="s">
        <v>7142</v>
      </c>
      <c r="DN277" s="2" t="s">
        <v>7142</v>
      </c>
      <c r="DO277" s="2" t="s">
        <v>7142</v>
      </c>
      <c r="DP277" s="2" t="s">
        <v>7165</v>
      </c>
      <c r="DQ277" s="2" t="s">
        <v>7333</v>
      </c>
      <c r="DR277" s="2" t="s">
        <v>1941</v>
      </c>
      <c r="DT277" s="2" t="s">
        <v>7165</v>
      </c>
      <c r="DU277" s="2" t="s">
        <v>7165</v>
      </c>
      <c r="DV277" s="2" t="s">
        <v>7165</v>
      </c>
      <c r="DW277" s="2" t="s">
        <v>7165</v>
      </c>
      <c r="DX277" s="2" t="s">
        <v>7165</v>
      </c>
      <c r="DY277" s="2" t="s">
        <v>7165</v>
      </c>
      <c r="DZ277" s="2" t="s">
        <v>7165</v>
      </c>
      <c r="EA277" s="2" t="s">
        <v>7159</v>
      </c>
      <c r="EB277" s="2" t="s">
        <v>7165</v>
      </c>
      <c r="EC277" s="2" t="s">
        <v>7159</v>
      </c>
      <c r="ED277" s="2" t="s">
        <v>7159</v>
      </c>
      <c r="EF277" s="2" t="s">
        <v>7221</v>
      </c>
      <c r="EG277" s="2" t="s">
        <v>1942</v>
      </c>
      <c r="EJ277" s="2" t="s">
        <v>7193</v>
      </c>
      <c r="EK277" s="2" t="s">
        <v>7142</v>
      </c>
      <c r="EL277" s="2" t="s">
        <v>7143</v>
      </c>
      <c r="EN277" s="2" t="s">
        <v>7170</v>
      </c>
      <c r="EP277" s="2" t="s">
        <v>7186</v>
      </c>
      <c r="ER277" s="2" t="s">
        <v>7142</v>
      </c>
      <c r="ET277" s="2" t="s">
        <v>7143</v>
      </c>
      <c r="EV277" s="2" t="s">
        <v>7142</v>
      </c>
      <c r="EW277" s="2" t="s">
        <v>7171</v>
      </c>
      <c r="EX277" s="2" t="s">
        <v>7143</v>
      </c>
      <c r="EZ277" s="2" t="s">
        <v>7143</v>
      </c>
      <c r="FC277" s="2" t="s">
        <v>7218</v>
      </c>
      <c r="FD277" s="2" t="s">
        <v>7143</v>
      </c>
      <c r="FH277" s="2" t="s">
        <v>7173</v>
      </c>
      <c r="FJ277" s="2" t="s">
        <v>7143</v>
      </c>
      <c r="FK277" s="2" t="s">
        <v>7173</v>
      </c>
      <c r="FN277" s="2" t="s">
        <v>7344</v>
      </c>
      <c r="FR277" s="2" t="s">
        <v>1943</v>
      </c>
      <c r="FT277" s="2" t="s">
        <v>7189</v>
      </c>
      <c r="FU277" s="2" t="s">
        <v>7189</v>
      </c>
      <c r="FV277" s="2" t="s">
        <v>7189</v>
      </c>
      <c r="FW277" s="2" t="s">
        <v>7189</v>
      </c>
      <c r="FX277" s="2" t="s">
        <v>7189</v>
      </c>
      <c r="FZ277" s="19" t="s">
        <v>8152</v>
      </c>
    </row>
    <row r="278" spans="1:182">
      <c r="A278" s="7" t="s">
        <v>1944</v>
      </c>
      <c r="D278" s="7" t="s">
        <v>8153</v>
      </c>
      <c r="E278" s="7" t="s">
        <v>1891</v>
      </c>
      <c r="F278" s="7" t="s">
        <v>7311</v>
      </c>
      <c r="G278" s="7" t="s">
        <v>7981</v>
      </c>
      <c r="H278" s="7" t="s">
        <v>1113</v>
      </c>
      <c r="I278" s="7" t="s">
        <v>1945</v>
      </c>
      <c r="J278" s="19" t="s">
        <v>8154</v>
      </c>
      <c r="K278" s="7" t="s">
        <v>1945</v>
      </c>
      <c r="L278" s="7" t="s">
        <v>7137</v>
      </c>
      <c r="M278" s="7" t="s">
        <v>7179</v>
      </c>
      <c r="N278" s="7">
        <v>1964</v>
      </c>
      <c r="O278" s="7" t="s">
        <v>7180</v>
      </c>
      <c r="P278" s="7" t="s">
        <v>7140</v>
      </c>
      <c r="Q278" s="7" t="s">
        <v>7141</v>
      </c>
      <c r="R278" s="7" t="s">
        <v>7143</v>
      </c>
      <c r="S278" s="7">
        <v>30</v>
      </c>
      <c r="T278" s="7" t="s">
        <v>7143</v>
      </c>
      <c r="U278" s="7" t="s">
        <v>7143</v>
      </c>
      <c r="Y278" s="2">
        <v>800</v>
      </c>
      <c r="Z278" s="17">
        <v>1</v>
      </c>
      <c r="AA278" s="2">
        <v>800</v>
      </c>
      <c r="AB278" s="2">
        <v>800</v>
      </c>
      <c r="AC278" s="7">
        <v>800</v>
      </c>
      <c r="AD278" s="2">
        <v>870</v>
      </c>
      <c r="AE278" s="2">
        <v>70</v>
      </c>
      <c r="AF278" s="2" t="s">
        <v>7143</v>
      </c>
      <c r="AG278" s="2" t="s">
        <v>7143</v>
      </c>
      <c r="AH278" s="2" t="s">
        <v>7143</v>
      </c>
      <c r="AJ278" s="2" t="s">
        <v>7143</v>
      </c>
      <c r="AK278" s="2" t="s">
        <v>7143</v>
      </c>
      <c r="AL278" s="2" t="s">
        <v>7143</v>
      </c>
      <c r="AM278" s="2" t="s">
        <v>7143</v>
      </c>
      <c r="AN278" s="2" t="s">
        <v>7143</v>
      </c>
      <c r="AO278" s="2" t="s">
        <v>7143</v>
      </c>
      <c r="AR278" s="7">
        <v>2.4</v>
      </c>
      <c r="AS278" s="7">
        <v>3</v>
      </c>
      <c r="AT278" s="7">
        <v>9</v>
      </c>
      <c r="AU278" s="2" t="s">
        <v>7193</v>
      </c>
      <c r="AV278" s="2" t="s">
        <v>7193</v>
      </c>
      <c r="AW278" s="2" t="s">
        <v>7143</v>
      </c>
      <c r="BC278" s="2" t="s">
        <v>7147</v>
      </c>
      <c r="BD278" s="2" t="s">
        <v>7142</v>
      </c>
      <c r="BE278" s="2" t="s">
        <v>7143</v>
      </c>
      <c r="BL278" s="2" t="s">
        <v>7152</v>
      </c>
      <c r="BM278" s="2" t="s">
        <v>7153</v>
      </c>
      <c r="BN278" s="2" t="s">
        <v>7154</v>
      </c>
      <c r="BO278" s="2" t="s">
        <v>7155</v>
      </c>
      <c r="BQ278" s="2" t="s">
        <v>7156</v>
      </c>
      <c r="BS278" s="2" t="s">
        <v>7142</v>
      </c>
      <c r="BT278" s="2" t="s">
        <v>7215</v>
      </c>
      <c r="BV278" s="2" t="s">
        <v>7363</v>
      </c>
      <c r="BX278" s="2" t="s">
        <v>7142</v>
      </c>
      <c r="BY278" s="2" t="s">
        <v>1946</v>
      </c>
      <c r="BZ278" s="2" t="s">
        <v>7159</v>
      </c>
      <c r="CE278" s="7">
        <v>9</v>
      </c>
      <c r="CF278" s="2">
        <v>870</v>
      </c>
      <c r="CM278" s="2">
        <v>100</v>
      </c>
      <c r="CP278" s="2">
        <v>100</v>
      </c>
      <c r="CR278" s="2" t="s">
        <v>7160</v>
      </c>
      <c r="CT278" s="2" t="s">
        <v>7143</v>
      </c>
      <c r="CU278" s="2" t="s">
        <v>7161</v>
      </c>
      <c r="CW278" s="2" t="s">
        <v>7162</v>
      </c>
      <c r="CY278" s="2" t="s">
        <v>7163</v>
      </c>
      <c r="CZ278" s="2" t="s">
        <v>7163</v>
      </c>
      <c r="DA278" s="2" t="s">
        <v>7250</v>
      </c>
      <c r="DB278" s="2" t="s">
        <v>7163</v>
      </c>
      <c r="DC278" s="2" t="s">
        <v>7250</v>
      </c>
      <c r="DD278" s="2" t="s">
        <v>7250</v>
      </c>
      <c r="DE278" s="2" t="s">
        <v>7250</v>
      </c>
      <c r="DF278" s="2" t="s">
        <v>7163</v>
      </c>
      <c r="DG278" s="2" t="s">
        <v>7163</v>
      </c>
      <c r="DH278" s="2" t="s">
        <v>7163</v>
      </c>
      <c r="DI278" s="2" t="s">
        <v>7163</v>
      </c>
      <c r="DL278" s="2" t="s">
        <v>7142</v>
      </c>
      <c r="DM278" s="2" t="s">
        <v>7142</v>
      </c>
      <c r="DN278" s="2" t="s">
        <v>7142</v>
      </c>
      <c r="DO278" s="2" t="s">
        <v>7142</v>
      </c>
      <c r="DP278" s="2" t="s">
        <v>7165</v>
      </c>
      <c r="DQ278" s="2" t="s">
        <v>7333</v>
      </c>
      <c r="DR278" s="2" t="s">
        <v>1947</v>
      </c>
      <c r="DT278" s="2" t="s">
        <v>7165</v>
      </c>
      <c r="DU278" s="2" t="s">
        <v>7165</v>
      </c>
      <c r="DV278" s="2" t="s">
        <v>7165</v>
      </c>
      <c r="DW278" s="2" t="s">
        <v>7165</v>
      </c>
      <c r="DX278" s="2" t="s">
        <v>7165</v>
      </c>
      <c r="DY278" s="2" t="s">
        <v>7165</v>
      </c>
      <c r="DZ278" s="2" t="s">
        <v>7159</v>
      </c>
      <c r="EA278" s="2" t="s">
        <v>7165</v>
      </c>
      <c r="EB278" s="2" t="s">
        <v>7165</v>
      </c>
      <c r="EC278" s="2" t="s">
        <v>7165</v>
      </c>
      <c r="ED278" s="2" t="s">
        <v>7165</v>
      </c>
      <c r="EE278" s="2" t="s">
        <v>1948</v>
      </c>
      <c r="EF278" s="2" t="s">
        <v>7221</v>
      </c>
      <c r="EG278" s="2" t="s">
        <v>1359</v>
      </c>
      <c r="EJ278" s="2" t="s">
        <v>7144</v>
      </c>
      <c r="EK278" s="2" t="s">
        <v>7142</v>
      </c>
      <c r="EL278" s="2" t="s">
        <v>7142</v>
      </c>
      <c r="EM278" s="2" t="s">
        <v>7937</v>
      </c>
      <c r="EN278" s="2" t="s">
        <v>7170</v>
      </c>
      <c r="EP278" s="2" t="s">
        <v>7186</v>
      </c>
      <c r="ER278" s="2" t="s">
        <v>7142</v>
      </c>
      <c r="ET278" s="2" t="s">
        <v>7143</v>
      </c>
      <c r="EV278" s="2" t="s">
        <v>7142</v>
      </c>
      <c r="EW278" s="2" t="s">
        <v>7204</v>
      </c>
      <c r="EX278" s="2" t="s">
        <v>7142</v>
      </c>
      <c r="EY278" s="2" t="s">
        <v>7204</v>
      </c>
      <c r="EZ278" s="2" t="s">
        <v>7143</v>
      </c>
      <c r="FC278" s="2" t="s">
        <v>7172</v>
      </c>
      <c r="FD278" s="2" t="s">
        <v>7143</v>
      </c>
      <c r="FH278" s="2" t="s">
        <v>7173</v>
      </c>
      <c r="FJ278" s="2" t="s">
        <v>7143</v>
      </c>
      <c r="FK278" s="2" t="s">
        <v>7173</v>
      </c>
      <c r="FR278" s="2" t="s">
        <v>1949</v>
      </c>
      <c r="FT278" s="2" t="s">
        <v>7189</v>
      </c>
      <c r="FU278" s="2" t="s">
        <v>7189</v>
      </c>
      <c r="FV278" s="2" t="s">
        <v>7189</v>
      </c>
      <c r="FW278" s="2" t="s">
        <v>7189</v>
      </c>
      <c r="FX278" s="2" t="s">
        <v>7189</v>
      </c>
      <c r="FY278" s="2" t="s">
        <v>1950</v>
      </c>
      <c r="FZ278" s="19" t="s">
        <v>8155</v>
      </c>
    </row>
    <row r="279" spans="1:182">
      <c r="A279" s="7" t="s">
        <v>1951</v>
      </c>
      <c r="D279" s="7" t="s">
        <v>8156</v>
      </c>
      <c r="E279" s="7" t="s">
        <v>1952</v>
      </c>
      <c r="F279" s="7" t="s">
        <v>7389</v>
      </c>
      <c r="G279" s="7" t="s">
        <v>7981</v>
      </c>
      <c r="H279" s="7" t="s">
        <v>1659</v>
      </c>
      <c r="I279" s="7" t="s">
        <v>1953</v>
      </c>
      <c r="J279" s="16" t="s">
        <v>8157</v>
      </c>
      <c r="K279" s="7" t="s">
        <v>1954</v>
      </c>
      <c r="L279" s="2" t="s">
        <v>7137</v>
      </c>
      <c r="M279" s="7" t="s">
        <v>7179</v>
      </c>
      <c r="N279" s="7">
        <v>1971</v>
      </c>
      <c r="O279" s="7" t="s">
        <v>7180</v>
      </c>
      <c r="P279" s="7" t="s">
        <v>7181</v>
      </c>
      <c r="Q279" s="2" t="s">
        <v>7141</v>
      </c>
      <c r="R279" s="2" t="s">
        <v>7143</v>
      </c>
      <c r="S279" s="2">
        <v>30</v>
      </c>
      <c r="T279" s="2" t="s">
        <v>7143</v>
      </c>
      <c r="U279" s="2" t="s">
        <v>7143</v>
      </c>
      <c r="Y279" s="2">
        <v>580</v>
      </c>
      <c r="Z279" s="17">
        <v>1</v>
      </c>
      <c r="AA279" s="2">
        <v>580</v>
      </c>
      <c r="AB279" s="2">
        <v>580</v>
      </c>
      <c r="AC279" s="7">
        <v>580</v>
      </c>
      <c r="AD279" s="2">
        <v>620</v>
      </c>
      <c r="AE279" s="2">
        <v>40</v>
      </c>
      <c r="AF279" s="2" t="s">
        <v>7143</v>
      </c>
      <c r="AG279" s="2" t="s">
        <v>7143</v>
      </c>
      <c r="AH279" s="2" t="s">
        <v>7143</v>
      </c>
      <c r="AJ279" s="2" t="s">
        <v>7143</v>
      </c>
      <c r="AK279" s="2" t="s">
        <v>7143</v>
      </c>
      <c r="AL279" s="2" t="s">
        <v>7143</v>
      </c>
      <c r="AM279" s="2" t="s">
        <v>7143</v>
      </c>
      <c r="AN279" s="2" t="s">
        <v>7143</v>
      </c>
      <c r="AO279" s="2" t="s">
        <v>7143</v>
      </c>
      <c r="AR279" s="7">
        <v>1.2</v>
      </c>
      <c r="AS279" s="7">
        <v>3</v>
      </c>
      <c r="AT279" s="7">
        <v>4.7</v>
      </c>
      <c r="AU279" s="2" t="s">
        <v>7193</v>
      </c>
      <c r="AV279" s="2" t="s">
        <v>7144</v>
      </c>
      <c r="AW279" s="2" t="s">
        <v>7143</v>
      </c>
      <c r="AZ279" s="2" t="s">
        <v>7145</v>
      </c>
      <c r="BB279" s="2" t="s">
        <v>7214</v>
      </c>
      <c r="BC279" s="2" t="s">
        <v>7247</v>
      </c>
      <c r="BD279" s="2" t="s">
        <v>7143</v>
      </c>
      <c r="BE279" s="2" t="s">
        <v>7142</v>
      </c>
      <c r="BF279" s="2" t="s">
        <v>7148</v>
      </c>
      <c r="BG279" s="2" t="s">
        <v>7149</v>
      </c>
      <c r="BH279" s="2" t="s">
        <v>7248</v>
      </c>
      <c r="BI279" s="2" t="s">
        <v>7151</v>
      </c>
      <c r="BL279" s="2" t="s">
        <v>7152</v>
      </c>
      <c r="BM279" s="2" t="s">
        <v>7355</v>
      </c>
      <c r="BN279" s="2" t="s">
        <v>7154</v>
      </c>
      <c r="BO279" s="2" t="s">
        <v>7155</v>
      </c>
      <c r="BQ279" s="2" t="s">
        <v>7183</v>
      </c>
      <c r="BS279" s="2" t="s">
        <v>7142</v>
      </c>
      <c r="BT279" s="2" t="s">
        <v>7391</v>
      </c>
      <c r="BV279" s="2" t="s">
        <v>7197</v>
      </c>
      <c r="BX279" s="2" t="s">
        <v>7143</v>
      </c>
      <c r="BZ279" s="2" t="s">
        <v>7165</v>
      </c>
      <c r="CA279" s="2" t="s">
        <v>1955</v>
      </c>
      <c r="CE279" s="7">
        <v>4.7</v>
      </c>
      <c r="CF279" s="2">
        <v>620</v>
      </c>
      <c r="CM279" s="2">
        <v>100</v>
      </c>
      <c r="CQ279" s="2">
        <v>100</v>
      </c>
      <c r="CR279" s="2" t="s">
        <v>7160</v>
      </c>
      <c r="CT279" s="2" t="s">
        <v>7143</v>
      </c>
      <c r="CU279" s="2" t="s">
        <v>7161</v>
      </c>
      <c r="CW279" s="2" t="s">
        <v>7162</v>
      </c>
      <c r="CY279" s="2" t="s">
        <v>7227</v>
      </c>
      <c r="CZ279" s="2" t="s">
        <v>7250</v>
      </c>
      <c r="DA279" s="2" t="s">
        <v>7250</v>
      </c>
      <c r="DB279" s="2" t="s">
        <v>7250</v>
      </c>
      <c r="DC279" s="2" t="s">
        <v>7227</v>
      </c>
      <c r="DD279" s="2" t="s">
        <v>7250</v>
      </c>
      <c r="DE279" s="2" t="s">
        <v>7227</v>
      </c>
      <c r="DF279" s="2" t="s">
        <v>7227</v>
      </c>
      <c r="DG279" s="2" t="s">
        <v>7227</v>
      </c>
      <c r="DH279" s="2" t="s">
        <v>7227</v>
      </c>
      <c r="DI279" s="2" t="s">
        <v>7227</v>
      </c>
      <c r="DL279" s="2" t="s">
        <v>7142</v>
      </c>
      <c r="DM279" s="2" t="s">
        <v>7142</v>
      </c>
      <c r="DN279" s="2" t="s">
        <v>7142</v>
      </c>
      <c r="DO279" s="2" t="s">
        <v>7142</v>
      </c>
      <c r="DP279" s="2" t="s">
        <v>7165</v>
      </c>
      <c r="DQ279" s="2" t="s">
        <v>7333</v>
      </c>
      <c r="DR279" s="2" t="s">
        <v>1677</v>
      </c>
      <c r="DT279" s="2" t="s">
        <v>7165</v>
      </c>
      <c r="DU279" s="2" t="s">
        <v>7165</v>
      </c>
      <c r="DV279" s="2" t="s">
        <v>7165</v>
      </c>
      <c r="DW279" s="2" t="s">
        <v>7165</v>
      </c>
      <c r="DX279" s="2" t="s">
        <v>7165</v>
      </c>
      <c r="DY279" s="2" t="s">
        <v>7165</v>
      </c>
      <c r="DZ279" s="2" t="s">
        <v>7165</v>
      </c>
      <c r="EA279" s="2" t="s">
        <v>7165</v>
      </c>
      <c r="EB279" s="2" t="s">
        <v>7165</v>
      </c>
      <c r="EC279" s="2" t="s">
        <v>7173</v>
      </c>
      <c r="EF279" s="2" t="s">
        <v>7167</v>
      </c>
      <c r="EG279" s="2" t="s">
        <v>985</v>
      </c>
      <c r="EJ279" s="2" t="s">
        <v>7193</v>
      </c>
      <c r="EK279" s="2" t="s">
        <v>7143</v>
      </c>
      <c r="EL279" s="2" t="s">
        <v>7143</v>
      </c>
      <c r="EN279" s="2" t="s">
        <v>7210</v>
      </c>
      <c r="EP279" s="2" t="s">
        <v>7186</v>
      </c>
      <c r="ER279" s="2" t="s">
        <v>7143</v>
      </c>
      <c r="ET279" s="2" t="s">
        <v>7143</v>
      </c>
      <c r="EV279" s="2" t="s">
        <v>7143</v>
      </c>
      <c r="EX279" s="2" t="s">
        <v>7143</v>
      </c>
      <c r="EZ279" s="2" t="s">
        <v>7143</v>
      </c>
      <c r="FC279" s="2" t="s">
        <v>7218</v>
      </c>
      <c r="FD279" s="2" t="s">
        <v>7143</v>
      </c>
      <c r="FH279" s="2" t="s">
        <v>7173</v>
      </c>
      <c r="FJ279" s="2" t="s">
        <v>7143</v>
      </c>
      <c r="FK279" s="2" t="s">
        <v>7159</v>
      </c>
      <c r="FN279" s="2" t="s">
        <v>7322</v>
      </c>
      <c r="FR279" s="2" t="s">
        <v>976</v>
      </c>
      <c r="FT279" s="2" t="s">
        <v>7345</v>
      </c>
      <c r="FU279" s="2" t="s">
        <v>7189</v>
      </c>
      <c r="FV279" s="2" t="s">
        <v>7189</v>
      </c>
      <c r="FW279" s="2" t="s">
        <v>7189</v>
      </c>
      <c r="FZ279" s="19" t="s">
        <v>8158</v>
      </c>
    </row>
    <row r="280" spans="1:182">
      <c r="A280" s="7" t="s">
        <v>1956</v>
      </c>
      <c r="D280" s="7" t="s">
        <v>8159</v>
      </c>
      <c r="E280" s="7" t="s">
        <v>177</v>
      </c>
      <c r="F280" s="7" t="s">
        <v>7134</v>
      </c>
      <c r="G280" s="7" t="s">
        <v>7981</v>
      </c>
      <c r="H280" s="7" t="s">
        <v>1659</v>
      </c>
      <c r="I280" s="7" t="s">
        <v>1957</v>
      </c>
      <c r="J280" s="16" t="s">
        <v>8160</v>
      </c>
      <c r="K280" s="7" t="s">
        <v>1957</v>
      </c>
      <c r="L280" s="2" t="s">
        <v>7137</v>
      </c>
      <c r="M280" s="7" t="s">
        <v>7138</v>
      </c>
      <c r="N280" s="7">
        <v>1957</v>
      </c>
      <c r="O280" s="7" t="s">
        <v>7180</v>
      </c>
      <c r="P280" s="2" t="s">
        <v>7140</v>
      </c>
      <c r="Q280" s="2" t="s">
        <v>7141</v>
      </c>
      <c r="R280" s="2" t="s">
        <v>7143</v>
      </c>
      <c r="S280" s="2">
        <v>31</v>
      </c>
      <c r="T280" s="2" t="s">
        <v>7143</v>
      </c>
      <c r="U280" s="2" t="s">
        <v>7143</v>
      </c>
      <c r="Y280" s="2">
        <v>404</v>
      </c>
      <c r="Z280" s="17">
        <v>0.94059999999999999</v>
      </c>
      <c r="AA280" s="2">
        <v>380</v>
      </c>
      <c r="AB280" s="2">
        <v>380</v>
      </c>
      <c r="AC280" s="7">
        <v>380</v>
      </c>
      <c r="AD280" s="2">
        <v>480</v>
      </c>
      <c r="AE280" s="2">
        <v>100</v>
      </c>
      <c r="AF280" s="2" t="s">
        <v>7143</v>
      </c>
      <c r="AG280" s="2" t="s">
        <v>7143</v>
      </c>
      <c r="AH280" s="2" t="s">
        <v>7143</v>
      </c>
      <c r="AJ280" s="2" t="s">
        <v>7143</v>
      </c>
      <c r="AK280" s="2" t="s">
        <v>7143</v>
      </c>
      <c r="AL280" s="2" t="s">
        <v>7142</v>
      </c>
      <c r="AN280" s="2" t="s">
        <v>7143</v>
      </c>
      <c r="AO280" s="2" t="s">
        <v>7143</v>
      </c>
      <c r="AR280" s="7">
        <v>1.8</v>
      </c>
      <c r="AS280" s="7">
        <v>3</v>
      </c>
      <c r="AT280" s="7">
        <v>4.8</v>
      </c>
      <c r="AU280" s="2" t="s">
        <v>7168</v>
      </c>
      <c r="AV280" s="2" t="s">
        <v>7168</v>
      </c>
      <c r="AW280" s="2" t="s">
        <v>7143</v>
      </c>
      <c r="AZ280" s="2" t="s">
        <v>7145</v>
      </c>
      <c r="BB280" s="2" t="s">
        <v>7146</v>
      </c>
      <c r="BC280" s="2" t="s">
        <v>7147</v>
      </c>
      <c r="BD280" s="2" t="s">
        <v>7142</v>
      </c>
      <c r="BE280" s="2" t="s">
        <v>7142</v>
      </c>
      <c r="BF280" s="2" t="s">
        <v>7148</v>
      </c>
      <c r="BG280" s="2" t="s">
        <v>7149</v>
      </c>
      <c r="BH280" s="2" t="s">
        <v>7248</v>
      </c>
      <c r="BI280" s="2" t="s">
        <v>7151</v>
      </c>
      <c r="BL280" s="2" t="s">
        <v>7152</v>
      </c>
      <c r="BM280" s="2" t="s">
        <v>7153</v>
      </c>
      <c r="BN280" s="2" t="s">
        <v>7154</v>
      </c>
      <c r="BO280" s="2" t="s">
        <v>7155</v>
      </c>
      <c r="BQ280" s="2" t="s">
        <v>7183</v>
      </c>
      <c r="BS280" s="2" t="s">
        <v>7142</v>
      </c>
      <c r="BT280" s="2" t="s">
        <v>7783</v>
      </c>
      <c r="BV280" s="2" t="s">
        <v>7901</v>
      </c>
      <c r="BX280" s="2" t="s">
        <v>7143</v>
      </c>
      <c r="BZ280" s="2" t="s">
        <v>7173</v>
      </c>
      <c r="CE280" s="7">
        <v>4.8</v>
      </c>
      <c r="CF280" s="2">
        <v>480</v>
      </c>
      <c r="CM280" s="2">
        <v>100</v>
      </c>
      <c r="CP280" s="2">
        <v>100</v>
      </c>
      <c r="CR280" s="2" t="s">
        <v>7160</v>
      </c>
      <c r="CT280" s="2" t="s">
        <v>7143</v>
      </c>
      <c r="CU280" s="2" t="s">
        <v>7161</v>
      </c>
      <c r="CW280" s="2" t="s">
        <v>7162</v>
      </c>
      <c r="CY280" s="2" t="s">
        <v>7163</v>
      </c>
      <c r="CZ280" s="2" t="s">
        <v>7163</v>
      </c>
      <c r="DA280" s="2" t="s">
        <v>7164</v>
      </c>
      <c r="DB280" s="2" t="s">
        <v>7164</v>
      </c>
      <c r="DC280" s="2" t="s">
        <v>7164</v>
      </c>
      <c r="DD280" s="2" t="s">
        <v>7164</v>
      </c>
      <c r="DE280" s="2" t="s">
        <v>7164</v>
      </c>
      <c r="DF280" s="2" t="s">
        <v>7164</v>
      </c>
      <c r="DG280" s="2" t="s">
        <v>7164</v>
      </c>
      <c r="DH280" s="2" t="s">
        <v>7164</v>
      </c>
      <c r="DI280" s="2" t="s">
        <v>7164</v>
      </c>
      <c r="DL280" s="2" t="s">
        <v>7142</v>
      </c>
      <c r="DM280" s="2" t="s">
        <v>7142</v>
      </c>
      <c r="DN280" s="2" t="s">
        <v>7142</v>
      </c>
      <c r="DO280" s="2" t="s">
        <v>7142</v>
      </c>
      <c r="DP280" s="2" t="s">
        <v>7165</v>
      </c>
      <c r="DQ280" s="2" t="s">
        <v>7166</v>
      </c>
      <c r="DT280" s="2" t="s">
        <v>7165</v>
      </c>
      <c r="DU280" s="2" t="s">
        <v>7165</v>
      </c>
      <c r="DV280" s="2" t="s">
        <v>7165</v>
      </c>
      <c r="DW280" s="2" t="s">
        <v>7165</v>
      </c>
      <c r="DX280" s="2" t="s">
        <v>7165</v>
      </c>
      <c r="DY280" s="2" t="s">
        <v>7165</v>
      </c>
      <c r="DZ280" s="2" t="s">
        <v>7165</v>
      </c>
      <c r="EA280" s="2" t="s">
        <v>7165</v>
      </c>
      <c r="EB280" s="2" t="s">
        <v>7165</v>
      </c>
      <c r="EF280" s="2" t="s">
        <v>7167</v>
      </c>
      <c r="EJ280" s="2" t="s">
        <v>7168</v>
      </c>
      <c r="EK280" s="2" t="s">
        <v>7142</v>
      </c>
      <c r="EL280" s="2" t="s">
        <v>7143</v>
      </c>
      <c r="EN280" s="2" t="s">
        <v>7170</v>
      </c>
      <c r="EP280" s="2" t="s">
        <v>7186</v>
      </c>
      <c r="ER280" s="2" t="s">
        <v>7142</v>
      </c>
      <c r="ET280" s="2" t="s">
        <v>7143</v>
      </c>
      <c r="EV280" s="2" t="s">
        <v>7142</v>
      </c>
      <c r="EW280" s="2" t="s">
        <v>7700</v>
      </c>
      <c r="EX280" s="2" t="s">
        <v>7142</v>
      </c>
      <c r="EY280" s="2" t="s">
        <v>7700</v>
      </c>
      <c r="FC280" s="2" t="s">
        <v>7172</v>
      </c>
      <c r="FD280" s="2" t="s">
        <v>7143</v>
      </c>
      <c r="FH280" s="2" t="s">
        <v>7173</v>
      </c>
      <c r="FJ280" s="2" t="s">
        <v>7142</v>
      </c>
      <c r="FK280" s="2" t="s">
        <v>7165</v>
      </c>
      <c r="FL280" s="2" t="s">
        <v>8161</v>
      </c>
      <c r="FN280" s="2" t="s">
        <v>7258</v>
      </c>
      <c r="FT280" s="2" t="s">
        <v>7176</v>
      </c>
      <c r="FU280" s="2" t="s">
        <v>7176</v>
      </c>
      <c r="FV280" s="2" t="s">
        <v>7176</v>
      </c>
      <c r="FW280" s="2" t="s">
        <v>7176</v>
      </c>
      <c r="FZ280" s="19" t="s">
        <v>8162</v>
      </c>
    </row>
    <row r="281" spans="1:182">
      <c r="A281" s="7" t="s">
        <v>1959</v>
      </c>
      <c r="D281" s="7" t="s">
        <v>8163</v>
      </c>
      <c r="E281" s="7" t="s">
        <v>1960</v>
      </c>
      <c r="F281" s="7" t="s">
        <v>7319</v>
      </c>
      <c r="G281" s="7" t="s">
        <v>7981</v>
      </c>
      <c r="H281" s="7" t="s">
        <v>1668</v>
      </c>
      <c r="I281" s="7" t="s">
        <v>1961</v>
      </c>
      <c r="J281" s="16" t="s">
        <v>8164</v>
      </c>
      <c r="K281" s="7" t="s">
        <v>1961</v>
      </c>
      <c r="L281" s="7" t="s">
        <v>7137</v>
      </c>
      <c r="M281" s="7" t="s">
        <v>7138</v>
      </c>
      <c r="N281" s="7">
        <v>1993</v>
      </c>
      <c r="O281" s="7" t="s">
        <v>7490</v>
      </c>
      <c r="P281" s="7" t="s">
        <v>7140</v>
      </c>
      <c r="Q281" s="2" t="s">
        <v>7225</v>
      </c>
      <c r="R281" s="2" t="s">
        <v>7143</v>
      </c>
      <c r="S281" s="2">
        <v>30</v>
      </c>
      <c r="T281" s="2" t="s">
        <v>7143</v>
      </c>
      <c r="U281" s="2" t="s">
        <v>7143</v>
      </c>
      <c r="Y281" s="2">
        <v>270</v>
      </c>
      <c r="Z281" s="17">
        <v>0.96299999999999997</v>
      </c>
      <c r="AA281" s="2">
        <v>260</v>
      </c>
      <c r="AB281" s="2">
        <v>235</v>
      </c>
      <c r="AC281" s="7">
        <v>235</v>
      </c>
      <c r="AD281" s="2">
        <v>260</v>
      </c>
      <c r="AE281" s="2">
        <v>25</v>
      </c>
      <c r="AF281" s="2" t="s">
        <v>7142</v>
      </c>
      <c r="AG281" s="2" t="s">
        <v>7143</v>
      </c>
      <c r="AH281" s="2" t="s">
        <v>7143</v>
      </c>
      <c r="AJ281" s="2" t="s">
        <v>7143</v>
      </c>
      <c r="AK281" s="2" t="s">
        <v>7142</v>
      </c>
      <c r="AL281" s="2" t="s">
        <v>7143</v>
      </c>
      <c r="AM281" s="2" t="s">
        <v>7142</v>
      </c>
      <c r="AN281" s="2" t="s">
        <v>7143</v>
      </c>
      <c r="AO281" s="2" t="s">
        <v>7143</v>
      </c>
      <c r="AR281" s="7">
        <v>1</v>
      </c>
      <c r="AS281" s="7">
        <v>3</v>
      </c>
      <c r="AT281" s="7">
        <v>2.6</v>
      </c>
      <c r="AU281" s="2" t="s">
        <v>7193</v>
      </c>
      <c r="AV281" s="2" t="s">
        <v>7217</v>
      </c>
      <c r="AW281" s="2" t="s">
        <v>7143</v>
      </c>
      <c r="AZ281" s="2" t="s">
        <v>7286</v>
      </c>
      <c r="BB281" s="2" t="s">
        <v>7214</v>
      </c>
      <c r="BC281" s="2" t="s">
        <v>7147</v>
      </c>
      <c r="BD281" s="2" t="s">
        <v>7143</v>
      </c>
      <c r="BE281" s="2" t="s">
        <v>7143</v>
      </c>
      <c r="BL281" s="2" t="s">
        <v>7195</v>
      </c>
      <c r="BO281" s="2" t="s">
        <v>7155</v>
      </c>
      <c r="BQ281" s="2" t="s">
        <v>7156</v>
      </c>
      <c r="BS281" s="2" t="s">
        <v>7142</v>
      </c>
      <c r="BT281" s="2" t="s">
        <v>7215</v>
      </c>
      <c r="BV281" s="2" t="s">
        <v>7313</v>
      </c>
      <c r="BX281" s="2" t="s">
        <v>7143</v>
      </c>
      <c r="BZ281" s="2" t="s">
        <v>7159</v>
      </c>
      <c r="CE281" s="7">
        <v>2.6</v>
      </c>
      <c r="CF281" s="2">
        <v>260</v>
      </c>
      <c r="CM281" s="2">
        <v>100</v>
      </c>
      <c r="CP281" s="2">
        <v>100</v>
      </c>
      <c r="CR281" s="2" t="s">
        <v>7160</v>
      </c>
      <c r="CT281" s="2" t="s">
        <v>7143</v>
      </c>
      <c r="CU281" s="2" t="s">
        <v>7161</v>
      </c>
      <c r="CW281" s="2" t="s">
        <v>7162</v>
      </c>
      <c r="CY281" s="2" t="s">
        <v>7163</v>
      </c>
      <c r="CZ281" s="2" t="s">
        <v>7163</v>
      </c>
      <c r="DA281" s="2" t="s">
        <v>7250</v>
      </c>
      <c r="DB281" s="2" t="s">
        <v>7250</v>
      </c>
      <c r="DC281" s="2" t="s">
        <v>7250</v>
      </c>
      <c r="DD281" s="2" t="s">
        <v>7321</v>
      </c>
      <c r="DE281" s="2" t="s">
        <v>7250</v>
      </c>
      <c r="DF281" s="2" t="s">
        <v>7163</v>
      </c>
      <c r="DG281" s="2" t="s">
        <v>7163</v>
      </c>
      <c r="DH281" s="2" t="s">
        <v>7250</v>
      </c>
      <c r="DI281" s="2" t="s">
        <v>7250</v>
      </c>
      <c r="DL281" s="2" t="s">
        <v>7142</v>
      </c>
      <c r="DM281" s="2" t="s">
        <v>7142</v>
      </c>
      <c r="DN281" s="2" t="s">
        <v>7142</v>
      </c>
      <c r="DO281" s="2" t="s">
        <v>7142</v>
      </c>
      <c r="DP281" s="2" t="s">
        <v>7165</v>
      </c>
      <c r="DQ281" s="2" t="s">
        <v>7333</v>
      </c>
      <c r="DR281" s="2" t="s">
        <v>1962</v>
      </c>
      <c r="DT281" s="2" t="s">
        <v>7165</v>
      </c>
      <c r="DU281" s="2" t="s">
        <v>7165</v>
      </c>
      <c r="DV281" s="2" t="s">
        <v>7165</v>
      </c>
      <c r="DW281" s="2" t="s">
        <v>7165</v>
      </c>
      <c r="DX281" s="2" t="s">
        <v>7165</v>
      </c>
      <c r="DY281" s="2" t="s">
        <v>7165</v>
      </c>
      <c r="DZ281" s="2" t="s">
        <v>7159</v>
      </c>
      <c r="EA281" s="2" t="s">
        <v>7165</v>
      </c>
      <c r="EB281" s="2" t="s">
        <v>7165</v>
      </c>
      <c r="EC281" s="2" t="s">
        <v>7173</v>
      </c>
      <c r="EF281" s="2" t="s">
        <v>7221</v>
      </c>
      <c r="EJ281" s="2" t="s">
        <v>7193</v>
      </c>
      <c r="EK281" s="2" t="s">
        <v>7142</v>
      </c>
      <c r="EL281" s="2" t="s">
        <v>7143</v>
      </c>
      <c r="EN281" s="2" t="s">
        <v>7170</v>
      </c>
      <c r="EP281" s="2" t="s">
        <v>7186</v>
      </c>
      <c r="ER281" s="2" t="s">
        <v>7142</v>
      </c>
      <c r="ET281" s="2" t="s">
        <v>7143</v>
      </c>
      <c r="EV281" s="2" t="s">
        <v>7142</v>
      </c>
      <c r="EW281" s="2" t="s">
        <v>7171</v>
      </c>
      <c r="EX281" s="2" t="s">
        <v>7143</v>
      </c>
      <c r="EZ281" s="2" t="s">
        <v>7143</v>
      </c>
      <c r="FC281" s="2" t="s">
        <v>7218</v>
      </c>
      <c r="FD281" s="2" t="s">
        <v>7143</v>
      </c>
      <c r="FH281" s="2" t="s">
        <v>7173</v>
      </c>
      <c r="FJ281" s="2" t="s">
        <v>7143</v>
      </c>
      <c r="FK281" s="2" t="s">
        <v>7159</v>
      </c>
      <c r="FR281" s="2" t="s">
        <v>471</v>
      </c>
      <c r="FT281" s="2" t="s">
        <v>7176</v>
      </c>
      <c r="FU281" s="2" t="s">
        <v>7176</v>
      </c>
      <c r="FV281" s="2" t="s">
        <v>7176</v>
      </c>
      <c r="FW281" s="2" t="s">
        <v>7189</v>
      </c>
      <c r="FZ281" s="19" t="s">
        <v>8165</v>
      </c>
    </row>
    <row r="282" spans="1:182">
      <c r="A282" s="7" t="s">
        <v>1963</v>
      </c>
      <c r="D282" s="7" t="s">
        <v>8166</v>
      </c>
      <c r="E282" s="7" t="s">
        <v>1964</v>
      </c>
      <c r="F282" s="7" t="s">
        <v>7319</v>
      </c>
      <c r="G282" s="7" t="s">
        <v>8167</v>
      </c>
      <c r="H282" s="7" t="s">
        <v>1966</v>
      </c>
      <c r="I282" s="7" t="s">
        <v>1967</v>
      </c>
      <c r="J282" s="16" t="s">
        <v>8168</v>
      </c>
      <c r="K282" s="7" t="s">
        <v>1967</v>
      </c>
      <c r="L282" s="7" t="s">
        <v>7137</v>
      </c>
      <c r="M282" s="7" t="s">
        <v>7138</v>
      </c>
      <c r="N282" s="7">
        <v>1976</v>
      </c>
      <c r="O282" s="7" t="s">
        <v>7180</v>
      </c>
      <c r="P282" s="7" t="s">
        <v>7140</v>
      </c>
      <c r="Q282" s="7" t="s">
        <v>7141</v>
      </c>
      <c r="R282" s="7" t="s">
        <v>7143</v>
      </c>
      <c r="S282" s="7">
        <v>33</v>
      </c>
      <c r="T282" s="7" t="s">
        <v>7143</v>
      </c>
      <c r="U282" s="7" t="s">
        <v>7143</v>
      </c>
      <c r="Y282" s="2">
        <v>300</v>
      </c>
      <c r="Z282" s="17">
        <v>0.83330000000000004</v>
      </c>
      <c r="AA282" s="2">
        <v>250</v>
      </c>
      <c r="AB282" s="2">
        <v>250</v>
      </c>
      <c r="AC282" s="7">
        <v>250</v>
      </c>
      <c r="AD282" s="2">
        <v>400</v>
      </c>
      <c r="AE282" s="2">
        <v>150</v>
      </c>
      <c r="AF282" s="2" t="s">
        <v>7143</v>
      </c>
      <c r="AG282" s="2" t="s">
        <v>7143</v>
      </c>
      <c r="AH282" s="2" t="s">
        <v>7143</v>
      </c>
      <c r="AJ282" s="2" t="s">
        <v>7143</v>
      </c>
      <c r="AK282" s="2" t="s">
        <v>7143</v>
      </c>
      <c r="AL282" s="2" t="s">
        <v>7143</v>
      </c>
      <c r="AM282" s="2" t="s">
        <v>7142</v>
      </c>
      <c r="AN282" s="2" t="s">
        <v>7143</v>
      </c>
      <c r="AO282" s="2" t="s">
        <v>7143</v>
      </c>
      <c r="AR282" s="7">
        <v>1.5</v>
      </c>
      <c r="AS282" s="7">
        <v>3</v>
      </c>
      <c r="AT282" s="7">
        <v>4</v>
      </c>
      <c r="AU282" s="2" t="s">
        <v>7193</v>
      </c>
      <c r="AV282" s="2" t="s">
        <v>7193</v>
      </c>
      <c r="AW282" s="2" t="s">
        <v>7143</v>
      </c>
      <c r="AZ282" s="2" t="s">
        <v>8026</v>
      </c>
      <c r="BB282" s="2" t="s">
        <v>7146</v>
      </c>
      <c r="BC282" s="2" t="s">
        <v>7247</v>
      </c>
      <c r="BD282" s="2" t="s">
        <v>7142</v>
      </c>
      <c r="BE282" s="2" t="s">
        <v>7142</v>
      </c>
      <c r="BF282" s="2" t="s">
        <v>7148</v>
      </c>
      <c r="BG282" s="2" t="s">
        <v>7149</v>
      </c>
      <c r="BH282" s="2" t="s">
        <v>7150</v>
      </c>
      <c r="BI282" s="2" t="s">
        <v>7269</v>
      </c>
      <c r="BL282" s="2" t="s">
        <v>7152</v>
      </c>
      <c r="BM282" s="2" t="s">
        <v>7153</v>
      </c>
      <c r="BN282" s="2" t="s">
        <v>7154</v>
      </c>
      <c r="BO282" s="2" t="s">
        <v>7155</v>
      </c>
      <c r="BQ282" s="2" t="s">
        <v>7183</v>
      </c>
      <c r="BS282" s="2" t="s">
        <v>7142</v>
      </c>
      <c r="BT282" s="2" t="s">
        <v>7238</v>
      </c>
      <c r="BU282" s="2" t="s">
        <v>1968</v>
      </c>
      <c r="BV282" s="2" t="s">
        <v>7387</v>
      </c>
      <c r="BX282" s="2" t="s">
        <v>7143</v>
      </c>
      <c r="BZ282" s="2" t="s">
        <v>7173</v>
      </c>
      <c r="CE282" s="7">
        <v>4</v>
      </c>
      <c r="CF282" s="2">
        <v>400</v>
      </c>
      <c r="CK282" s="2">
        <v>100</v>
      </c>
      <c r="CO282" s="2">
        <v>100</v>
      </c>
      <c r="CR282" s="2" t="s">
        <v>7160</v>
      </c>
      <c r="CT282" s="2" t="s">
        <v>7143</v>
      </c>
      <c r="CU282" s="2" t="s">
        <v>7234</v>
      </c>
      <c r="CW282" s="2" t="s">
        <v>7162</v>
      </c>
      <c r="CY282" s="2" t="s">
        <v>7163</v>
      </c>
      <c r="CZ282" s="2" t="s">
        <v>7163</v>
      </c>
      <c r="DA282" s="2" t="s">
        <v>7250</v>
      </c>
      <c r="DB282" s="2" t="s">
        <v>7250</v>
      </c>
      <c r="DC282" s="2" t="s">
        <v>7250</v>
      </c>
      <c r="DD282" s="2" t="s">
        <v>7321</v>
      </c>
      <c r="DE282" s="2" t="s">
        <v>7250</v>
      </c>
      <c r="DF282" s="2" t="s">
        <v>7163</v>
      </c>
      <c r="DG282" s="2" t="s">
        <v>7163</v>
      </c>
      <c r="DH282" s="2" t="s">
        <v>7250</v>
      </c>
      <c r="DI282" s="2" t="s">
        <v>7321</v>
      </c>
      <c r="DL282" s="2" t="s">
        <v>7142</v>
      </c>
      <c r="DM282" s="2" t="s">
        <v>7142</v>
      </c>
      <c r="DN282" s="2" t="s">
        <v>7142</v>
      </c>
      <c r="DO282" s="2" t="s">
        <v>7142</v>
      </c>
      <c r="DP282" s="2" t="s">
        <v>7165</v>
      </c>
      <c r="DQ282" s="2" t="s">
        <v>7333</v>
      </c>
      <c r="DR282" s="2" t="s">
        <v>1969</v>
      </c>
      <c r="DT282" s="2" t="s">
        <v>7165</v>
      </c>
      <c r="DU282" s="2" t="s">
        <v>7165</v>
      </c>
      <c r="DV282" s="2" t="s">
        <v>7165</v>
      </c>
      <c r="DW282" s="2" t="s">
        <v>7165</v>
      </c>
      <c r="DX282" s="2" t="s">
        <v>7159</v>
      </c>
      <c r="DY282" s="2" t="s">
        <v>7165</v>
      </c>
      <c r="DZ282" s="2" t="s">
        <v>7159</v>
      </c>
      <c r="EA282" s="2" t="s">
        <v>7165</v>
      </c>
      <c r="EB282" s="2" t="s">
        <v>7165</v>
      </c>
      <c r="EC282" s="2" t="s">
        <v>7173</v>
      </c>
      <c r="EF282" s="2" t="s">
        <v>7221</v>
      </c>
      <c r="EJ282" s="2" t="s">
        <v>7193</v>
      </c>
      <c r="EK282" s="2" t="s">
        <v>7142</v>
      </c>
      <c r="EL282" s="2" t="s">
        <v>7143</v>
      </c>
      <c r="EN282" s="2" t="s">
        <v>7170</v>
      </c>
      <c r="EP282" s="2" t="s">
        <v>7186</v>
      </c>
      <c r="ER282" s="2" t="s">
        <v>7142</v>
      </c>
      <c r="ET282" s="2" t="s">
        <v>7143</v>
      </c>
      <c r="EV282" s="2" t="s">
        <v>7142</v>
      </c>
      <c r="EW282" s="2" t="s">
        <v>7171</v>
      </c>
      <c r="EX282" s="2" t="s">
        <v>7143</v>
      </c>
      <c r="EZ282" s="2" t="s">
        <v>7143</v>
      </c>
      <c r="FC282" s="2" t="s">
        <v>7309</v>
      </c>
      <c r="FD282" s="2" t="s">
        <v>7143</v>
      </c>
      <c r="FH282" s="2" t="s">
        <v>7173</v>
      </c>
      <c r="FJ282" s="2" t="s">
        <v>7143</v>
      </c>
      <c r="FK282" s="2" t="s">
        <v>7173</v>
      </c>
      <c r="FR282" s="2" t="s">
        <v>1970</v>
      </c>
      <c r="FT282" s="2" t="s">
        <v>7189</v>
      </c>
      <c r="FU282" s="2" t="s">
        <v>7189</v>
      </c>
      <c r="FV282" s="2" t="s">
        <v>7189</v>
      </c>
      <c r="FW282" s="2" t="s">
        <v>7176</v>
      </c>
      <c r="FZ282" s="19" t="s">
        <v>8169</v>
      </c>
    </row>
    <row r="283" spans="1:182">
      <c r="A283" s="7" t="s">
        <v>1971</v>
      </c>
      <c r="D283" s="7" t="s">
        <v>8170</v>
      </c>
      <c r="E283" s="7" t="s">
        <v>1972</v>
      </c>
      <c r="F283" s="7" t="s">
        <v>7311</v>
      </c>
      <c r="G283" s="7" t="s">
        <v>8167</v>
      </c>
      <c r="H283" s="7" t="s">
        <v>1966</v>
      </c>
      <c r="I283" s="7" t="s">
        <v>1973</v>
      </c>
      <c r="J283" s="16" t="s">
        <v>8171</v>
      </c>
      <c r="K283" s="7" t="s">
        <v>1974</v>
      </c>
      <c r="L283" s="7" t="s">
        <v>7137</v>
      </c>
      <c r="M283" s="7" t="s">
        <v>7179</v>
      </c>
      <c r="N283" s="7">
        <v>1964</v>
      </c>
      <c r="O283" s="7" t="s">
        <v>7180</v>
      </c>
      <c r="P283" s="7" t="s">
        <v>7181</v>
      </c>
      <c r="Q283" s="7" t="s">
        <v>7141</v>
      </c>
      <c r="R283" s="7" t="s">
        <v>7143</v>
      </c>
      <c r="S283" s="7">
        <v>25</v>
      </c>
      <c r="T283" s="7" t="s">
        <v>7143</v>
      </c>
      <c r="U283" s="7" t="s">
        <v>7143</v>
      </c>
      <c r="Y283" s="2">
        <v>90</v>
      </c>
      <c r="Z283" s="17">
        <v>1</v>
      </c>
      <c r="AA283" s="2">
        <v>90</v>
      </c>
      <c r="AB283" s="2">
        <v>90</v>
      </c>
      <c r="AC283" s="7">
        <v>90</v>
      </c>
      <c r="AD283" s="2">
        <v>110</v>
      </c>
      <c r="AE283" s="2">
        <v>20</v>
      </c>
      <c r="AF283" s="2" t="s">
        <v>7143</v>
      </c>
      <c r="AG283" s="2" t="s">
        <v>7143</v>
      </c>
      <c r="AH283" s="2" t="s">
        <v>7143</v>
      </c>
      <c r="AJ283" s="2" t="s">
        <v>7143</v>
      </c>
      <c r="AK283" s="2" t="s">
        <v>7143</v>
      </c>
      <c r="AL283" s="2" t="s">
        <v>7143</v>
      </c>
      <c r="AM283" s="2" t="s">
        <v>7143</v>
      </c>
      <c r="AN283" s="2" t="s">
        <v>7143</v>
      </c>
      <c r="AO283" s="2" t="s">
        <v>7143</v>
      </c>
      <c r="AR283" s="7">
        <v>0.5</v>
      </c>
      <c r="AS283" s="7">
        <v>1</v>
      </c>
      <c r="AT283" s="7">
        <v>1.1000000000000001</v>
      </c>
      <c r="AU283" s="2" t="s">
        <v>7144</v>
      </c>
      <c r="AV283" s="2" t="s">
        <v>7144</v>
      </c>
      <c r="AW283" s="2" t="s">
        <v>7143</v>
      </c>
      <c r="BC283" s="2" t="s">
        <v>7147</v>
      </c>
      <c r="BD283" s="2" t="s">
        <v>7143</v>
      </c>
      <c r="BE283" s="2" t="s">
        <v>7143</v>
      </c>
      <c r="BL283" s="2" t="s">
        <v>7195</v>
      </c>
      <c r="BO283" s="2" t="s">
        <v>7155</v>
      </c>
      <c r="BQ283" s="2" t="s">
        <v>7156</v>
      </c>
      <c r="BS283" s="2" t="s">
        <v>7142</v>
      </c>
      <c r="BT283" s="2" t="s">
        <v>7315</v>
      </c>
      <c r="BV283" s="2" t="s">
        <v>7387</v>
      </c>
      <c r="BX283" s="2" t="s">
        <v>7143</v>
      </c>
      <c r="BY283" s="2" t="s">
        <v>1975</v>
      </c>
      <c r="BZ283" s="2" t="s">
        <v>7159</v>
      </c>
      <c r="CE283" s="7">
        <v>1.1000000000000001</v>
      </c>
      <c r="CF283" s="2">
        <v>110</v>
      </c>
      <c r="CK283" s="2">
        <v>100</v>
      </c>
      <c r="CP283" s="2">
        <v>100</v>
      </c>
      <c r="CR283" s="2" t="s">
        <v>7160</v>
      </c>
      <c r="CT283" s="2" t="s">
        <v>7143</v>
      </c>
      <c r="CU283" s="2" t="s">
        <v>7161</v>
      </c>
      <c r="CW283" s="2" t="s">
        <v>7162</v>
      </c>
      <c r="CY283" s="2" t="s">
        <v>7163</v>
      </c>
      <c r="CZ283" s="2" t="s">
        <v>7163</v>
      </c>
      <c r="DA283" s="2" t="s">
        <v>7250</v>
      </c>
      <c r="DB283" s="2" t="s">
        <v>7250</v>
      </c>
      <c r="DC283" s="2" t="s">
        <v>7250</v>
      </c>
      <c r="DD283" s="2" t="s">
        <v>7250</v>
      </c>
      <c r="DE283" s="2" t="s">
        <v>7250</v>
      </c>
      <c r="DF283" s="2" t="s">
        <v>7163</v>
      </c>
      <c r="DG283" s="2" t="s">
        <v>7163</v>
      </c>
      <c r="DH283" s="2" t="s">
        <v>7163</v>
      </c>
      <c r="DI283" s="2" t="s">
        <v>7163</v>
      </c>
      <c r="DL283" s="2" t="s">
        <v>7142</v>
      </c>
      <c r="DM283" s="2" t="s">
        <v>7142</v>
      </c>
      <c r="DN283" s="2" t="s">
        <v>7142</v>
      </c>
      <c r="DO283" s="2" t="s">
        <v>7142</v>
      </c>
      <c r="DP283" s="2" t="s">
        <v>7165</v>
      </c>
      <c r="DQ283" s="2" t="s">
        <v>7333</v>
      </c>
      <c r="DR283" s="2" t="s">
        <v>1976</v>
      </c>
      <c r="DT283" s="2" t="s">
        <v>7165</v>
      </c>
      <c r="DU283" s="2" t="s">
        <v>7165</v>
      </c>
      <c r="DV283" s="2" t="s">
        <v>7165</v>
      </c>
      <c r="DW283" s="2" t="s">
        <v>7165</v>
      </c>
      <c r="DX283" s="2" t="s">
        <v>7165</v>
      </c>
      <c r="DY283" s="2" t="s">
        <v>7165</v>
      </c>
      <c r="DZ283" s="2" t="s">
        <v>7173</v>
      </c>
      <c r="EA283" s="2" t="s">
        <v>7165</v>
      </c>
      <c r="EB283" s="2" t="s">
        <v>7165</v>
      </c>
      <c r="EC283" s="2" t="s">
        <v>7173</v>
      </c>
      <c r="EE283" s="2" t="s">
        <v>1977</v>
      </c>
      <c r="EF283" s="2" t="s">
        <v>7221</v>
      </c>
      <c r="EG283" s="2" t="s">
        <v>1978</v>
      </c>
      <c r="EJ283" s="2" t="s">
        <v>7144</v>
      </c>
      <c r="EK283" s="2" t="s">
        <v>7142</v>
      </c>
      <c r="EL283" s="2" t="s">
        <v>7142</v>
      </c>
      <c r="EM283" s="2" t="s">
        <v>7300</v>
      </c>
      <c r="EN283" s="2" t="s">
        <v>7170</v>
      </c>
      <c r="EP283" s="2" t="s">
        <v>7186</v>
      </c>
      <c r="ER283" s="2" t="s">
        <v>7142</v>
      </c>
      <c r="ET283" s="2" t="s">
        <v>7143</v>
      </c>
      <c r="EV283" s="2" t="s">
        <v>7143</v>
      </c>
      <c r="EX283" s="2" t="s">
        <v>7143</v>
      </c>
      <c r="EZ283" s="2" t="s">
        <v>7143</v>
      </c>
      <c r="FC283" s="2" t="s">
        <v>7172</v>
      </c>
      <c r="FD283" s="2" t="s">
        <v>7143</v>
      </c>
      <c r="FH283" s="2" t="s">
        <v>7173</v>
      </c>
      <c r="FJ283" s="2" t="s">
        <v>7143</v>
      </c>
      <c r="FK283" s="2" t="s">
        <v>7159</v>
      </c>
      <c r="FN283" s="2" t="s">
        <v>7322</v>
      </c>
      <c r="FR283" s="2" t="s">
        <v>1979</v>
      </c>
      <c r="FT283" s="2" t="s">
        <v>7189</v>
      </c>
      <c r="FU283" s="2" t="s">
        <v>7176</v>
      </c>
      <c r="FV283" s="2" t="s">
        <v>7176</v>
      </c>
      <c r="FW283" s="2" t="s">
        <v>7176</v>
      </c>
      <c r="FX283" s="2" t="s">
        <v>7189</v>
      </c>
      <c r="FY283" s="2" t="s">
        <v>1980</v>
      </c>
      <c r="FZ283" s="19" t="s">
        <v>8172</v>
      </c>
    </row>
    <row r="284" spans="1:182">
      <c r="A284" s="7" t="s">
        <v>1981</v>
      </c>
      <c r="D284" s="7" t="s">
        <v>8173</v>
      </c>
      <c r="E284" s="7" t="s">
        <v>1982</v>
      </c>
      <c r="F284" s="7" t="s">
        <v>7339</v>
      </c>
      <c r="G284" s="7" t="s">
        <v>8167</v>
      </c>
      <c r="H284" s="7" t="s">
        <v>1983</v>
      </c>
      <c r="I284" s="7" t="s">
        <v>1984</v>
      </c>
      <c r="J284" s="16" t="s">
        <v>8174</v>
      </c>
      <c r="K284" s="7" t="s">
        <v>1985</v>
      </c>
      <c r="L284" s="2" t="s">
        <v>7137</v>
      </c>
      <c r="M284" s="7" t="s">
        <v>7179</v>
      </c>
      <c r="N284" s="7">
        <v>1991</v>
      </c>
      <c r="O284" s="7" t="s">
        <v>7180</v>
      </c>
      <c r="P284" s="2" t="s">
        <v>7181</v>
      </c>
      <c r="Q284" s="2" t="s">
        <v>7141</v>
      </c>
      <c r="R284" s="2" t="s">
        <v>7143</v>
      </c>
      <c r="T284" s="2" t="s">
        <v>7143</v>
      </c>
      <c r="U284" s="2" t="s">
        <v>7143</v>
      </c>
      <c r="Y284" s="2">
        <v>414</v>
      </c>
      <c r="Z284" s="17">
        <v>0.56520000000000004</v>
      </c>
      <c r="AA284" s="2">
        <v>234</v>
      </c>
      <c r="AB284" s="2">
        <v>234</v>
      </c>
      <c r="AC284" s="7">
        <v>234</v>
      </c>
      <c r="AD284" s="2">
        <v>274</v>
      </c>
      <c r="AE284" s="2">
        <v>40</v>
      </c>
      <c r="AF284" s="2" t="s">
        <v>7143</v>
      </c>
      <c r="AG284" s="2" t="s">
        <v>7143</v>
      </c>
      <c r="AH284" s="2" t="s">
        <v>7143</v>
      </c>
      <c r="AJ284" s="2" t="s">
        <v>7143</v>
      </c>
      <c r="AK284" s="2" t="s">
        <v>7143</v>
      </c>
      <c r="AL284" s="2" t="s">
        <v>7143</v>
      </c>
      <c r="AM284" s="2" t="s">
        <v>7143</v>
      </c>
      <c r="AN284" s="2" t="s">
        <v>7143</v>
      </c>
      <c r="AO284" s="2" t="s">
        <v>7142</v>
      </c>
      <c r="AR284" s="7">
        <v>0.7</v>
      </c>
      <c r="AS284" s="7">
        <v>1</v>
      </c>
      <c r="AT284" s="7">
        <v>2.8</v>
      </c>
      <c r="AU284" s="2" t="s">
        <v>7193</v>
      </c>
      <c r="AV284" s="2" t="s">
        <v>7193</v>
      </c>
      <c r="AW284" s="2" t="s">
        <v>7143</v>
      </c>
      <c r="AZ284" s="2" t="s">
        <v>7145</v>
      </c>
      <c r="BB284" s="2" t="s">
        <v>7214</v>
      </c>
      <c r="BC284" s="2" t="s">
        <v>7147</v>
      </c>
      <c r="BD284" s="2" t="s">
        <v>7143</v>
      </c>
      <c r="BE284" s="2" t="s">
        <v>7142</v>
      </c>
      <c r="BF284" s="2" t="s">
        <v>7148</v>
      </c>
      <c r="BG284" s="2" t="s">
        <v>7149</v>
      </c>
      <c r="BH284" s="2" t="s">
        <v>7150</v>
      </c>
      <c r="BI284" s="2" t="s">
        <v>7151</v>
      </c>
      <c r="BL284" s="2" t="s">
        <v>7152</v>
      </c>
      <c r="BM284" s="2" t="s">
        <v>7153</v>
      </c>
      <c r="BN284" s="2" t="s">
        <v>7154</v>
      </c>
      <c r="BO284" s="2" t="s">
        <v>7155</v>
      </c>
      <c r="BQ284" s="2" t="s">
        <v>7183</v>
      </c>
      <c r="BS284" s="2" t="s">
        <v>7142</v>
      </c>
      <c r="BT284" s="2" t="s">
        <v>7535</v>
      </c>
      <c r="BV284" s="2" t="s">
        <v>7158</v>
      </c>
      <c r="BX284" s="2" t="s">
        <v>7142</v>
      </c>
      <c r="BY284" s="2" t="s">
        <v>1986</v>
      </c>
      <c r="BZ284" s="2" t="s">
        <v>7173</v>
      </c>
      <c r="CE284" s="7">
        <v>2.8</v>
      </c>
      <c r="CK284" s="2">
        <v>100</v>
      </c>
      <c r="CO284" s="2">
        <v>100</v>
      </c>
      <c r="CR284" s="2" t="s">
        <v>7276</v>
      </c>
      <c r="CT284" s="2" t="s">
        <v>7143</v>
      </c>
      <c r="CU284" s="2" t="s">
        <v>7161</v>
      </c>
      <c r="CW284" s="2" t="s">
        <v>7162</v>
      </c>
      <c r="CY284" s="2" t="s">
        <v>7163</v>
      </c>
      <c r="CZ284" s="2" t="s">
        <v>7163</v>
      </c>
      <c r="DA284" s="2" t="s">
        <v>7250</v>
      </c>
      <c r="DB284" s="2" t="s">
        <v>7321</v>
      </c>
      <c r="DC284" s="2" t="s">
        <v>7321</v>
      </c>
      <c r="DD284" s="2" t="s">
        <v>7321</v>
      </c>
      <c r="DE284" s="2" t="s">
        <v>7250</v>
      </c>
      <c r="DF284" s="2" t="s">
        <v>7250</v>
      </c>
      <c r="DG284" s="2" t="s">
        <v>7163</v>
      </c>
      <c r="DH284" s="2" t="s">
        <v>7163</v>
      </c>
      <c r="DI284" s="2" t="s">
        <v>7250</v>
      </c>
      <c r="DL284" s="2" t="s">
        <v>7142</v>
      </c>
      <c r="DM284" s="2" t="s">
        <v>7142</v>
      </c>
      <c r="DN284" s="2" t="s">
        <v>7142</v>
      </c>
      <c r="DO284" s="2" t="s">
        <v>7142</v>
      </c>
      <c r="DP284" s="2" t="s">
        <v>7165</v>
      </c>
      <c r="DQ284" s="2" t="s">
        <v>7333</v>
      </c>
      <c r="DR284" s="2" t="s">
        <v>1987</v>
      </c>
      <c r="DT284" s="2" t="s">
        <v>7165</v>
      </c>
      <c r="DU284" s="2" t="s">
        <v>7165</v>
      </c>
      <c r="DV284" s="2" t="s">
        <v>7165</v>
      </c>
      <c r="DW284" s="2" t="s">
        <v>7165</v>
      </c>
      <c r="DX284" s="2" t="s">
        <v>7165</v>
      </c>
      <c r="DY284" s="2" t="s">
        <v>7159</v>
      </c>
      <c r="DZ284" s="2" t="s">
        <v>7159</v>
      </c>
      <c r="EA284" s="2" t="s">
        <v>7159</v>
      </c>
      <c r="EB284" s="2" t="s">
        <v>7165</v>
      </c>
      <c r="EC284" s="2" t="s">
        <v>7159</v>
      </c>
      <c r="ED284" s="2" t="s">
        <v>7159</v>
      </c>
      <c r="EF284" s="2" t="s">
        <v>7221</v>
      </c>
      <c r="EJ284" s="2" t="s">
        <v>7193</v>
      </c>
      <c r="EK284" s="2" t="s">
        <v>7142</v>
      </c>
      <c r="EL284" s="2" t="s">
        <v>7143</v>
      </c>
      <c r="EN284" s="2" t="s">
        <v>7170</v>
      </c>
      <c r="EP284" s="2" t="s">
        <v>7186</v>
      </c>
      <c r="ER284" s="2" t="s">
        <v>7142</v>
      </c>
      <c r="ET284" s="2" t="s">
        <v>7143</v>
      </c>
      <c r="EV284" s="2" t="s">
        <v>7142</v>
      </c>
      <c r="EW284" s="2" t="s">
        <v>7171</v>
      </c>
      <c r="EX284" s="2" t="s">
        <v>7143</v>
      </c>
      <c r="EZ284" s="2" t="s">
        <v>7143</v>
      </c>
      <c r="FC284" s="2" t="s">
        <v>7218</v>
      </c>
      <c r="FD284" s="2" t="s">
        <v>7143</v>
      </c>
      <c r="FH284" s="2" t="s">
        <v>7173</v>
      </c>
      <c r="FJ284" s="2" t="s">
        <v>7143</v>
      </c>
      <c r="FN284" s="2" t="s">
        <v>7344</v>
      </c>
      <c r="FR284" s="2" t="s">
        <v>1988</v>
      </c>
      <c r="FT284" s="2" t="s">
        <v>7189</v>
      </c>
      <c r="FU284" s="2" t="s">
        <v>7189</v>
      </c>
      <c r="FV284" s="2" t="s">
        <v>7189</v>
      </c>
      <c r="FW284" s="2" t="s">
        <v>7189</v>
      </c>
      <c r="FZ284" s="19" t="s">
        <v>8175</v>
      </c>
    </row>
    <row r="285" spans="1:182">
      <c r="A285" s="7" t="s">
        <v>1989</v>
      </c>
      <c r="D285" s="7" t="s">
        <v>8176</v>
      </c>
      <c r="E285" s="7" t="s">
        <v>177</v>
      </c>
      <c r="F285" s="7" t="s">
        <v>7245</v>
      </c>
      <c r="G285" s="7" t="s">
        <v>8167</v>
      </c>
      <c r="H285" s="7" t="s">
        <v>1990</v>
      </c>
      <c r="I285" s="7" t="s">
        <v>1991</v>
      </c>
      <c r="J285" s="16" t="s">
        <v>8177</v>
      </c>
      <c r="K285" s="7" t="s">
        <v>1992</v>
      </c>
      <c r="L285" s="7" t="s">
        <v>7137</v>
      </c>
      <c r="M285" s="7" t="s">
        <v>7179</v>
      </c>
      <c r="N285" s="7">
        <v>1982</v>
      </c>
      <c r="O285" s="7" t="s">
        <v>7180</v>
      </c>
      <c r="P285" s="7" t="s">
        <v>7181</v>
      </c>
      <c r="Q285" s="7" t="s">
        <v>7225</v>
      </c>
      <c r="R285" s="7" t="s">
        <v>7143</v>
      </c>
      <c r="S285" s="7">
        <v>2007</v>
      </c>
      <c r="T285" s="7" t="s">
        <v>7143</v>
      </c>
      <c r="U285" s="7" t="s">
        <v>7143</v>
      </c>
      <c r="Y285" s="2">
        <v>920</v>
      </c>
      <c r="Z285" s="17">
        <v>0.95650000000000002</v>
      </c>
      <c r="AA285" s="2">
        <v>880</v>
      </c>
      <c r="AB285" s="2">
        <v>860</v>
      </c>
      <c r="AC285" s="7">
        <v>820</v>
      </c>
      <c r="AD285" s="2">
        <v>970</v>
      </c>
      <c r="AE285" s="2">
        <v>150</v>
      </c>
      <c r="AF285" s="7" t="s">
        <v>7143</v>
      </c>
      <c r="AG285" s="7" t="s">
        <v>7142</v>
      </c>
      <c r="AH285" s="7" t="s">
        <v>7142</v>
      </c>
      <c r="AI285" s="7" t="s">
        <v>1993</v>
      </c>
      <c r="AJ285" s="7" t="s">
        <v>7143</v>
      </c>
      <c r="AK285" s="7" t="s">
        <v>7143</v>
      </c>
      <c r="AL285" s="2" t="s">
        <v>7142</v>
      </c>
      <c r="AM285" s="2" t="s">
        <v>7143</v>
      </c>
      <c r="AN285" s="2" t="s">
        <v>7143</v>
      </c>
      <c r="AO285" s="7" t="s">
        <v>7142</v>
      </c>
      <c r="AR285" s="7">
        <v>2.2999999999999998</v>
      </c>
      <c r="AS285" s="7">
        <v>2</v>
      </c>
      <c r="AT285" s="7">
        <v>10</v>
      </c>
      <c r="AU285" s="7" t="s">
        <v>7144</v>
      </c>
      <c r="AV285" s="7" t="s">
        <v>7144</v>
      </c>
      <c r="AW285" s="7" t="s">
        <v>7143</v>
      </c>
      <c r="AZ285" s="2" t="s">
        <v>7145</v>
      </c>
      <c r="BB285" s="2" t="s">
        <v>7214</v>
      </c>
      <c r="BC285" s="7" t="s">
        <v>7147</v>
      </c>
      <c r="BD285" s="2" t="s">
        <v>7142</v>
      </c>
      <c r="BE285" s="2" t="s">
        <v>7142</v>
      </c>
      <c r="BF285" s="2" t="s">
        <v>7148</v>
      </c>
      <c r="BG285" s="2" t="s">
        <v>7149</v>
      </c>
      <c r="BH285" s="2" t="s">
        <v>7248</v>
      </c>
      <c r="BI285" s="2" t="s">
        <v>7151</v>
      </c>
      <c r="BL285" s="7" t="s">
        <v>7152</v>
      </c>
      <c r="BM285" s="7" t="s">
        <v>7153</v>
      </c>
      <c r="BN285" s="7" t="s">
        <v>7154</v>
      </c>
      <c r="BO285" s="2" t="s">
        <v>7155</v>
      </c>
      <c r="BQ285" s="2" t="s">
        <v>7183</v>
      </c>
      <c r="BT285" s="2" t="s">
        <v>7215</v>
      </c>
      <c r="BV285" s="2" t="s">
        <v>7304</v>
      </c>
      <c r="BX285" s="2" t="s">
        <v>7142</v>
      </c>
      <c r="BY285" s="2" t="s">
        <v>310</v>
      </c>
      <c r="BZ285" s="2" t="s">
        <v>7173</v>
      </c>
      <c r="CE285" s="7">
        <v>10</v>
      </c>
      <c r="CF285" s="2">
        <v>970</v>
      </c>
      <c r="CK285" s="2">
        <v>100</v>
      </c>
      <c r="CO285" s="2">
        <v>100</v>
      </c>
      <c r="CR285" s="7" t="s">
        <v>7160</v>
      </c>
      <c r="CT285" s="7" t="s">
        <v>7143</v>
      </c>
      <c r="CU285" s="7" t="s">
        <v>7161</v>
      </c>
      <c r="CW285" s="7" t="s">
        <v>7162</v>
      </c>
      <c r="CY285" s="7" t="s">
        <v>7163</v>
      </c>
      <c r="CZ285" s="7" t="s">
        <v>7163</v>
      </c>
      <c r="DA285" s="7" t="s">
        <v>7163</v>
      </c>
      <c r="DB285" s="7" t="s">
        <v>7227</v>
      </c>
      <c r="DC285" s="2" t="s">
        <v>7250</v>
      </c>
      <c r="DD285" s="7" t="s">
        <v>7249</v>
      </c>
      <c r="DE285" s="7" t="s">
        <v>7249</v>
      </c>
      <c r="DF285" s="7" t="s">
        <v>7163</v>
      </c>
      <c r="DG285" s="2" t="s">
        <v>7227</v>
      </c>
      <c r="DH285" s="2" t="s">
        <v>7164</v>
      </c>
      <c r="DI285" s="2" t="s">
        <v>7164</v>
      </c>
      <c r="DL285" s="7" t="s">
        <v>7142</v>
      </c>
      <c r="DM285" s="7" t="s">
        <v>7142</v>
      </c>
      <c r="DN285" s="7" t="s">
        <v>7142</v>
      </c>
      <c r="DO285" s="7" t="s">
        <v>7142</v>
      </c>
      <c r="DP285" s="2" t="s">
        <v>7165</v>
      </c>
      <c r="DQ285" s="2" t="s">
        <v>7166</v>
      </c>
      <c r="DS285" s="7" t="s">
        <v>7165</v>
      </c>
      <c r="DT285" s="7" t="s">
        <v>7165</v>
      </c>
      <c r="DU285" s="7" t="s">
        <v>7165</v>
      </c>
      <c r="DV285" s="7" t="s">
        <v>7165</v>
      </c>
      <c r="DW285" s="7" t="s">
        <v>7165</v>
      </c>
      <c r="DX285" s="7" t="s">
        <v>7165</v>
      </c>
      <c r="DY285" s="7" t="s">
        <v>7165</v>
      </c>
      <c r="DZ285" s="7" t="s">
        <v>7165</v>
      </c>
      <c r="EA285" s="7" t="s">
        <v>7165</v>
      </c>
      <c r="EB285" s="7" t="s">
        <v>7165</v>
      </c>
      <c r="EC285" s="7" t="s">
        <v>7159</v>
      </c>
      <c r="ED285" s="7"/>
      <c r="EE285" s="7"/>
      <c r="EF285" s="7" t="s">
        <v>7167</v>
      </c>
      <c r="EJ285" s="7" t="s">
        <v>7144</v>
      </c>
      <c r="EK285" s="7" t="s">
        <v>7142</v>
      </c>
      <c r="EL285" s="7" t="s">
        <v>7143</v>
      </c>
      <c r="EN285" s="7" t="s">
        <v>7170</v>
      </c>
      <c r="EP285" s="7" t="s">
        <v>7186</v>
      </c>
      <c r="ER285" s="7" t="s">
        <v>7142</v>
      </c>
      <c r="ET285" s="7" t="s">
        <v>7143</v>
      </c>
      <c r="EV285" s="2" t="s">
        <v>7142</v>
      </c>
      <c r="EW285" s="2" t="s">
        <v>7204</v>
      </c>
      <c r="EX285" s="2" t="s">
        <v>7142</v>
      </c>
      <c r="EY285" s="2" t="s">
        <v>7204</v>
      </c>
      <c r="EZ285" s="2" t="s">
        <v>7143</v>
      </c>
      <c r="FC285" s="2" t="s">
        <v>7172</v>
      </c>
      <c r="FD285" s="2" t="s">
        <v>7143</v>
      </c>
      <c r="FH285" s="7" t="s">
        <v>7173</v>
      </c>
      <c r="FJ285" s="7" t="s">
        <v>7143</v>
      </c>
      <c r="FK285" s="7" t="s">
        <v>7165</v>
      </c>
      <c r="FL285" s="7" t="s">
        <v>7260</v>
      </c>
      <c r="FN285" s="2" t="s">
        <v>7481</v>
      </c>
      <c r="FT285" s="2" t="s">
        <v>7176</v>
      </c>
      <c r="FU285" s="2" t="s">
        <v>7189</v>
      </c>
      <c r="FV285" s="2" t="s">
        <v>7189</v>
      </c>
      <c r="FW285" s="2" t="s">
        <v>7189</v>
      </c>
      <c r="FZ285" s="19" t="s">
        <v>8178</v>
      </c>
    </row>
    <row r="286" spans="1:182">
      <c r="A286" s="7" t="s">
        <v>1994</v>
      </c>
      <c r="D286" s="7" t="s">
        <v>8179</v>
      </c>
      <c r="E286" s="7" t="s">
        <v>1995</v>
      </c>
      <c r="F286" s="7" t="s">
        <v>7389</v>
      </c>
      <c r="G286" s="7" t="s">
        <v>8167</v>
      </c>
      <c r="H286" s="7" t="s">
        <v>1996</v>
      </c>
      <c r="I286" s="7" t="s">
        <v>1997</v>
      </c>
      <c r="J286" s="16" t="s">
        <v>8180</v>
      </c>
      <c r="K286" s="7" t="s">
        <v>1997</v>
      </c>
      <c r="L286" s="2" t="s">
        <v>7137</v>
      </c>
      <c r="M286" s="7" t="s">
        <v>7138</v>
      </c>
      <c r="N286" s="7">
        <v>1987</v>
      </c>
      <c r="O286" s="7" t="s">
        <v>7180</v>
      </c>
      <c r="P286" s="7" t="s">
        <v>7140</v>
      </c>
      <c r="Q286" s="2" t="s">
        <v>7141</v>
      </c>
      <c r="R286" s="2" t="s">
        <v>7143</v>
      </c>
      <c r="S286" s="2">
        <v>20</v>
      </c>
      <c r="T286" s="2" t="s">
        <v>7143</v>
      </c>
      <c r="U286" s="2" t="s">
        <v>7143</v>
      </c>
      <c r="Y286" s="2">
        <v>440</v>
      </c>
      <c r="Z286" s="17">
        <v>0.95450000000000002</v>
      </c>
      <c r="AA286" s="2">
        <v>420</v>
      </c>
      <c r="AB286" s="2">
        <v>420</v>
      </c>
      <c r="AC286" s="7">
        <v>420</v>
      </c>
      <c r="AD286" s="2">
        <v>500</v>
      </c>
      <c r="AE286" s="2">
        <v>80</v>
      </c>
      <c r="AF286" s="2" t="s">
        <v>7143</v>
      </c>
      <c r="AG286" s="2" t="s">
        <v>7143</v>
      </c>
      <c r="AH286" s="2" t="s">
        <v>7143</v>
      </c>
      <c r="AJ286" s="2" t="s">
        <v>7143</v>
      </c>
      <c r="AK286" s="2" t="s">
        <v>7143</v>
      </c>
      <c r="AL286" s="2" t="s">
        <v>7143</v>
      </c>
      <c r="AM286" s="2" t="s">
        <v>7142</v>
      </c>
      <c r="AN286" s="2" t="s">
        <v>7143</v>
      </c>
      <c r="AO286" s="2" t="s">
        <v>7143</v>
      </c>
      <c r="AR286" s="7">
        <v>1.4</v>
      </c>
      <c r="AS286" s="7">
        <v>2</v>
      </c>
      <c r="AT286" s="7">
        <v>5</v>
      </c>
      <c r="AU286" s="2" t="s">
        <v>7193</v>
      </c>
      <c r="AV286" s="2" t="s">
        <v>7144</v>
      </c>
      <c r="AW286" s="2" t="s">
        <v>7143</v>
      </c>
      <c r="AZ286" s="2" t="s">
        <v>7145</v>
      </c>
      <c r="BB286" s="2" t="s">
        <v>7214</v>
      </c>
      <c r="BC286" s="2" t="s">
        <v>7247</v>
      </c>
      <c r="BD286" s="2" t="s">
        <v>7142</v>
      </c>
      <c r="BE286" s="2" t="s">
        <v>7142</v>
      </c>
      <c r="BF286" s="2" t="s">
        <v>7148</v>
      </c>
      <c r="BG286" s="2" t="s">
        <v>7149</v>
      </c>
      <c r="BH286" s="2" t="s">
        <v>7248</v>
      </c>
      <c r="BI286" s="2" t="s">
        <v>7151</v>
      </c>
      <c r="BL286" s="2" t="s">
        <v>7195</v>
      </c>
      <c r="BO286" s="2" t="s">
        <v>7155</v>
      </c>
      <c r="BQ286" s="2" t="s">
        <v>7183</v>
      </c>
      <c r="BS286" s="2" t="s">
        <v>7142</v>
      </c>
      <c r="BT286" s="2" t="s">
        <v>7341</v>
      </c>
      <c r="BV286" s="2" t="s">
        <v>7197</v>
      </c>
      <c r="BX286" s="2" t="s">
        <v>7143</v>
      </c>
      <c r="BZ286" s="2" t="s">
        <v>7159</v>
      </c>
      <c r="CE286" s="7">
        <v>5</v>
      </c>
      <c r="CF286" s="2">
        <v>500</v>
      </c>
      <c r="CK286" s="2">
        <v>100</v>
      </c>
      <c r="CO286" s="2">
        <v>100</v>
      </c>
      <c r="CR286" s="2" t="s">
        <v>7276</v>
      </c>
      <c r="CT286" s="2" t="s">
        <v>7143</v>
      </c>
      <c r="CU286" s="2" t="s">
        <v>7161</v>
      </c>
      <c r="CW286" s="2" t="s">
        <v>7162</v>
      </c>
      <c r="CY286" s="2" t="s">
        <v>7227</v>
      </c>
      <c r="CZ286" s="2" t="s">
        <v>7250</v>
      </c>
      <c r="DA286" s="2" t="s">
        <v>7250</v>
      </c>
      <c r="DB286" s="2" t="s">
        <v>7250</v>
      </c>
      <c r="DC286" s="2" t="s">
        <v>7250</v>
      </c>
      <c r="DD286" s="2" t="s">
        <v>7250</v>
      </c>
      <c r="DE286" s="2" t="s">
        <v>7163</v>
      </c>
      <c r="DF286" s="2" t="s">
        <v>7163</v>
      </c>
      <c r="DG286" s="2" t="s">
        <v>7163</v>
      </c>
      <c r="DH286" s="2" t="s">
        <v>7163</v>
      </c>
      <c r="DI286" s="2" t="s">
        <v>7163</v>
      </c>
      <c r="DL286" s="2" t="s">
        <v>7142</v>
      </c>
      <c r="DM286" s="2" t="s">
        <v>7142</v>
      </c>
      <c r="DN286" s="2" t="s">
        <v>7142</v>
      </c>
      <c r="DO286" s="2" t="s">
        <v>7142</v>
      </c>
      <c r="DP286" s="2" t="s">
        <v>7165</v>
      </c>
      <c r="DQ286" s="2" t="s">
        <v>7333</v>
      </c>
      <c r="DR286" s="2" t="s">
        <v>1998</v>
      </c>
      <c r="DT286" s="2" t="s">
        <v>7165</v>
      </c>
      <c r="DU286" s="2" t="s">
        <v>7165</v>
      </c>
      <c r="DV286" s="2" t="s">
        <v>7165</v>
      </c>
      <c r="DW286" s="2" t="s">
        <v>7165</v>
      </c>
      <c r="DX286" s="2" t="s">
        <v>7165</v>
      </c>
      <c r="DY286" s="2" t="s">
        <v>7165</v>
      </c>
      <c r="DZ286" s="2" t="s">
        <v>7159</v>
      </c>
      <c r="EA286" s="2" t="s">
        <v>7159</v>
      </c>
      <c r="EB286" s="2" t="s">
        <v>7165</v>
      </c>
      <c r="EC286" s="2" t="s">
        <v>7173</v>
      </c>
      <c r="EF286" s="2" t="s">
        <v>7167</v>
      </c>
      <c r="EG286" s="2" t="s">
        <v>985</v>
      </c>
      <c r="EJ286" s="2" t="s">
        <v>7144</v>
      </c>
      <c r="EK286" s="2" t="s">
        <v>7142</v>
      </c>
      <c r="EL286" s="2" t="s">
        <v>7142</v>
      </c>
      <c r="EM286" s="2" t="s">
        <v>7307</v>
      </c>
      <c r="EN286" s="2" t="s">
        <v>7210</v>
      </c>
      <c r="EP286" s="2" t="s">
        <v>7186</v>
      </c>
      <c r="ER286" s="2" t="s">
        <v>7143</v>
      </c>
      <c r="ET286" s="2" t="s">
        <v>7143</v>
      </c>
      <c r="EV286" s="2" t="s">
        <v>7143</v>
      </c>
      <c r="EX286" s="2" t="s">
        <v>7143</v>
      </c>
      <c r="EZ286" s="2" t="s">
        <v>7143</v>
      </c>
      <c r="FC286" s="2" t="s">
        <v>7218</v>
      </c>
      <c r="FD286" s="2" t="s">
        <v>7143</v>
      </c>
      <c r="FH286" s="2" t="s">
        <v>7173</v>
      </c>
      <c r="FJ286" s="2" t="s">
        <v>7143</v>
      </c>
      <c r="FK286" s="2" t="s">
        <v>7173</v>
      </c>
      <c r="FN286" s="2" t="s">
        <v>7583</v>
      </c>
      <c r="FR286" s="2" t="s">
        <v>1999</v>
      </c>
      <c r="FT286" s="2" t="s">
        <v>7189</v>
      </c>
      <c r="FU286" s="2" t="s">
        <v>7189</v>
      </c>
      <c r="FV286" s="2" t="s">
        <v>7189</v>
      </c>
      <c r="FW286" s="2" t="s">
        <v>7189</v>
      </c>
      <c r="FZ286" s="19" t="s">
        <v>8181</v>
      </c>
    </row>
    <row r="287" spans="1:182">
      <c r="A287" s="7" t="s">
        <v>2000</v>
      </c>
      <c r="D287" s="7" t="s">
        <v>8182</v>
      </c>
      <c r="E287" s="7" t="s">
        <v>177</v>
      </c>
      <c r="F287" s="7" t="s">
        <v>7134</v>
      </c>
      <c r="G287" s="7" t="s">
        <v>8167</v>
      </c>
      <c r="H287" s="7" t="s">
        <v>2001</v>
      </c>
      <c r="I287" s="7" t="s">
        <v>2002</v>
      </c>
      <c r="J287" s="16" t="s">
        <v>8183</v>
      </c>
      <c r="K287" s="7" t="s">
        <v>2003</v>
      </c>
      <c r="L287" s="2" t="s">
        <v>7281</v>
      </c>
      <c r="M287" s="7" t="s">
        <v>7179</v>
      </c>
      <c r="N287" s="7">
        <v>1978</v>
      </c>
      <c r="O287" s="7" t="s">
        <v>7180</v>
      </c>
      <c r="P287" s="2" t="s">
        <v>7181</v>
      </c>
      <c r="Q287" s="2" t="s">
        <v>7141</v>
      </c>
      <c r="R287" s="2" t="s">
        <v>7143</v>
      </c>
      <c r="S287" s="2">
        <v>31</v>
      </c>
      <c r="T287" s="2" t="s">
        <v>7143</v>
      </c>
      <c r="U287" s="2" t="s">
        <v>7143</v>
      </c>
      <c r="Y287" s="2">
        <v>800</v>
      </c>
      <c r="Z287" s="17">
        <v>1</v>
      </c>
      <c r="AA287" s="2">
        <v>800</v>
      </c>
      <c r="AB287" s="2">
        <v>800</v>
      </c>
      <c r="AC287" s="7">
        <v>800</v>
      </c>
      <c r="AD287" s="2">
        <v>1100</v>
      </c>
      <c r="AE287" s="2">
        <v>300</v>
      </c>
      <c r="AF287" s="2" t="s">
        <v>7143</v>
      </c>
      <c r="AG287" s="2" t="s">
        <v>7143</v>
      </c>
      <c r="AH287" s="2" t="s">
        <v>7143</v>
      </c>
      <c r="AJ287" s="2" t="s">
        <v>7143</v>
      </c>
      <c r="AK287" s="2" t="s">
        <v>7143</v>
      </c>
      <c r="AL287" s="2" t="s">
        <v>7143</v>
      </c>
      <c r="AM287" s="2" t="s">
        <v>7143</v>
      </c>
      <c r="AN287" s="2" t="s">
        <v>7143</v>
      </c>
      <c r="AO287" s="2" t="s">
        <v>7143</v>
      </c>
      <c r="AR287" s="7">
        <v>3.1</v>
      </c>
      <c r="AS287" s="7">
        <v>5</v>
      </c>
      <c r="AT287" s="7">
        <v>12</v>
      </c>
      <c r="AU287" s="2" t="s">
        <v>7144</v>
      </c>
      <c r="AV287" s="2" t="s">
        <v>7144</v>
      </c>
      <c r="AW287" s="2" t="s">
        <v>7143</v>
      </c>
      <c r="AZ287" s="2" t="s">
        <v>7145</v>
      </c>
      <c r="BB287" s="2" t="s">
        <v>7146</v>
      </c>
      <c r="BC287" s="2" t="s">
        <v>7147</v>
      </c>
      <c r="BD287" s="2" t="s">
        <v>7142</v>
      </c>
      <c r="BE287" s="2" t="s">
        <v>7142</v>
      </c>
      <c r="BF287" s="2" t="s">
        <v>7148</v>
      </c>
      <c r="BG287" s="2" t="s">
        <v>7149</v>
      </c>
      <c r="BH287" s="2" t="s">
        <v>7248</v>
      </c>
      <c r="BI287" s="2" t="s">
        <v>7151</v>
      </c>
      <c r="BL287" s="2" t="s">
        <v>7152</v>
      </c>
      <c r="BM287" s="2" t="s">
        <v>7153</v>
      </c>
      <c r="BN287" s="2" t="s">
        <v>7154</v>
      </c>
      <c r="BO287" s="2" t="s">
        <v>7155</v>
      </c>
      <c r="BQ287" s="2" t="s">
        <v>7156</v>
      </c>
      <c r="BS287" s="2" t="s">
        <v>7142</v>
      </c>
      <c r="BT287" s="2" t="s">
        <v>7196</v>
      </c>
      <c r="BV287" s="2" t="s">
        <v>7202</v>
      </c>
      <c r="BX287" s="2" t="s">
        <v>7143</v>
      </c>
      <c r="BZ287" s="2" t="s">
        <v>7173</v>
      </c>
      <c r="CE287" s="7">
        <v>12</v>
      </c>
      <c r="CF287" s="2">
        <v>1100</v>
      </c>
      <c r="CM287" s="2">
        <v>100</v>
      </c>
      <c r="CO287" s="2">
        <v>100</v>
      </c>
      <c r="CR287" s="2" t="s">
        <v>7160</v>
      </c>
      <c r="CT287" s="2" t="s">
        <v>7143</v>
      </c>
      <c r="CU287" s="2" t="s">
        <v>7161</v>
      </c>
      <c r="CW287" s="2" t="s">
        <v>7162</v>
      </c>
      <c r="CY287" s="2" t="s">
        <v>7163</v>
      </c>
      <c r="CZ287" s="2" t="s">
        <v>7163</v>
      </c>
      <c r="DA287" s="2" t="s">
        <v>7163</v>
      </c>
      <c r="DB287" s="2" t="s">
        <v>7163</v>
      </c>
      <c r="DC287" s="2" t="s">
        <v>7164</v>
      </c>
      <c r="DD287" s="2" t="s">
        <v>7164</v>
      </c>
      <c r="DE287" s="2" t="s">
        <v>7164</v>
      </c>
      <c r="DF287" s="2" t="s">
        <v>7164</v>
      </c>
      <c r="DG287" s="2" t="s">
        <v>7164</v>
      </c>
      <c r="DH287" s="2" t="s">
        <v>7164</v>
      </c>
      <c r="DI287" s="2" t="s">
        <v>7164</v>
      </c>
      <c r="DL287" s="2" t="s">
        <v>7142</v>
      </c>
      <c r="DM287" s="2" t="s">
        <v>7142</v>
      </c>
      <c r="DN287" s="2" t="s">
        <v>7142</v>
      </c>
      <c r="DO287" s="2" t="s">
        <v>7142</v>
      </c>
      <c r="DP287" s="2" t="s">
        <v>7165</v>
      </c>
      <c r="DQ287" s="2" t="s">
        <v>7166</v>
      </c>
      <c r="DT287" s="2" t="s">
        <v>7165</v>
      </c>
      <c r="DU287" s="2" t="s">
        <v>7165</v>
      </c>
      <c r="DV287" s="2" t="s">
        <v>7165</v>
      </c>
      <c r="DW287" s="2" t="s">
        <v>7165</v>
      </c>
      <c r="DX287" s="2" t="s">
        <v>7165</v>
      </c>
      <c r="DY287" s="2" t="s">
        <v>7165</v>
      </c>
      <c r="DZ287" s="2" t="s">
        <v>7165</v>
      </c>
      <c r="EA287" s="2" t="s">
        <v>7165</v>
      </c>
      <c r="EB287" s="2" t="s">
        <v>7165</v>
      </c>
      <c r="EF287" s="2" t="s">
        <v>7457</v>
      </c>
      <c r="EJ287" s="2" t="s">
        <v>7168</v>
      </c>
      <c r="EK287" s="2" t="s">
        <v>7142</v>
      </c>
      <c r="EL287" s="2" t="s">
        <v>7143</v>
      </c>
      <c r="EN287" s="2" t="s">
        <v>7170</v>
      </c>
      <c r="EP287" s="2" t="s">
        <v>7186</v>
      </c>
      <c r="ER287" s="2" t="s">
        <v>7142</v>
      </c>
      <c r="ET287" s="2" t="s">
        <v>7143</v>
      </c>
      <c r="EV287" s="2" t="s">
        <v>7142</v>
      </c>
      <c r="EW287" s="2" t="s">
        <v>7700</v>
      </c>
      <c r="EX287" s="2" t="s">
        <v>7143</v>
      </c>
      <c r="EY287" s="2" t="s">
        <v>7700</v>
      </c>
      <c r="EZ287" s="2" t="s">
        <v>7143</v>
      </c>
      <c r="FC287" s="2" t="s">
        <v>7172</v>
      </c>
      <c r="FD287" s="2" t="s">
        <v>7143</v>
      </c>
      <c r="FH287" s="2" t="s">
        <v>7173</v>
      </c>
      <c r="FJ287" s="2" t="s">
        <v>7142</v>
      </c>
      <c r="FK287" s="2" t="s">
        <v>7165</v>
      </c>
      <c r="FL287" s="2" t="s">
        <v>7174</v>
      </c>
      <c r="FN287" s="2" t="s">
        <v>7175</v>
      </c>
      <c r="FT287" s="2" t="s">
        <v>7176</v>
      </c>
      <c r="FU287" s="2" t="s">
        <v>7176</v>
      </c>
      <c r="FV287" s="2" t="s">
        <v>7176</v>
      </c>
      <c r="FW287" s="2" t="s">
        <v>7176</v>
      </c>
      <c r="FZ287" s="19" t="s">
        <v>8184</v>
      </c>
    </row>
    <row r="288" spans="1:182">
      <c r="A288" s="7" t="s">
        <v>2004</v>
      </c>
      <c r="D288" s="7" t="s">
        <v>8185</v>
      </c>
      <c r="E288" s="7" t="s">
        <v>2005</v>
      </c>
      <c r="F288" s="7" t="s">
        <v>7339</v>
      </c>
      <c r="G288" s="7" t="s">
        <v>8167</v>
      </c>
      <c r="H288" s="7" t="s">
        <v>2001</v>
      </c>
      <c r="I288" s="7" t="s">
        <v>2006</v>
      </c>
      <c r="J288" s="16" t="s">
        <v>8186</v>
      </c>
      <c r="K288" s="7" t="s">
        <v>2007</v>
      </c>
      <c r="L288" s="2" t="s">
        <v>7137</v>
      </c>
      <c r="M288" s="7" t="s">
        <v>7179</v>
      </c>
      <c r="N288" s="7">
        <v>1977</v>
      </c>
      <c r="O288" s="7" t="s">
        <v>7180</v>
      </c>
      <c r="P288" s="2" t="s">
        <v>7181</v>
      </c>
      <c r="Q288" s="2" t="s">
        <v>7225</v>
      </c>
      <c r="R288" s="2" t="s">
        <v>7143</v>
      </c>
      <c r="S288" s="2">
        <v>28</v>
      </c>
      <c r="T288" s="2" t="s">
        <v>7143</v>
      </c>
      <c r="U288" s="2" t="s">
        <v>7143</v>
      </c>
      <c r="Y288" s="2">
        <v>820</v>
      </c>
      <c r="Z288" s="17">
        <v>0.28050000000000003</v>
      </c>
      <c r="AA288" s="2">
        <v>230</v>
      </c>
      <c r="AB288" s="2">
        <v>805</v>
      </c>
      <c r="AC288" s="7">
        <v>805</v>
      </c>
      <c r="AD288" s="2">
        <v>920</v>
      </c>
      <c r="AE288" s="2">
        <v>115</v>
      </c>
      <c r="AF288" s="2" t="s">
        <v>7143</v>
      </c>
      <c r="AG288" s="2" t="s">
        <v>7143</v>
      </c>
      <c r="AH288" s="2" t="s">
        <v>7143</v>
      </c>
      <c r="AJ288" s="2" t="s">
        <v>7143</v>
      </c>
      <c r="AK288" s="2" t="s">
        <v>7143</v>
      </c>
      <c r="AL288" s="2" t="s">
        <v>7143</v>
      </c>
      <c r="AM288" s="2" t="s">
        <v>7142</v>
      </c>
      <c r="AN288" s="2" t="s">
        <v>7143</v>
      </c>
      <c r="AO288" s="2" t="s">
        <v>7143</v>
      </c>
      <c r="AR288" s="7">
        <v>2.6</v>
      </c>
      <c r="AS288" s="7">
        <v>3</v>
      </c>
      <c r="AT288" s="7">
        <v>10</v>
      </c>
      <c r="AU288" s="2" t="s">
        <v>7193</v>
      </c>
      <c r="AV288" s="2" t="s">
        <v>7193</v>
      </c>
      <c r="AW288" s="2" t="s">
        <v>7143</v>
      </c>
      <c r="AZ288" s="2" t="s">
        <v>7566</v>
      </c>
      <c r="BB288" s="2" t="s">
        <v>7214</v>
      </c>
      <c r="BC288" s="2" t="s">
        <v>7247</v>
      </c>
      <c r="BD288" s="2" t="s">
        <v>7143</v>
      </c>
      <c r="BE288" s="2" t="s">
        <v>7142</v>
      </c>
      <c r="BF288" s="2" t="s">
        <v>7148</v>
      </c>
      <c r="BG288" s="2" t="s">
        <v>7149</v>
      </c>
      <c r="BH288" s="2" t="s">
        <v>7248</v>
      </c>
      <c r="BI288" s="2" t="s">
        <v>7151</v>
      </c>
      <c r="BL288" s="2" t="s">
        <v>7152</v>
      </c>
      <c r="BM288" s="2" t="s">
        <v>7153</v>
      </c>
      <c r="BN288" s="2" t="s">
        <v>7154</v>
      </c>
      <c r="BO288" s="2" t="s">
        <v>7155</v>
      </c>
      <c r="BQ288" s="2" t="s">
        <v>7183</v>
      </c>
      <c r="BS288" s="2" t="s">
        <v>7142</v>
      </c>
      <c r="BT288" s="2" t="s">
        <v>7400</v>
      </c>
      <c r="BV288" s="2" t="s">
        <v>7966</v>
      </c>
      <c r="BX288" s="2" t="s">
        <v>7142</v>
      </c>
      <c r="BY288" s="2" t="s">
        <v>2008</v>
      </c>
      <c r="BZ288" s="2" t="s">
        <v>7173</v>
      </c>
      <c r="CE288" s="7">
        <v>10</v>
      </c>
      <c r="CF288" s="2">
        <v>980</v>
      </c>
      <c r="CM288" s="2">
        <v>100</v>
      </c>
      <c r="CO288" s="2">
        <v>100</v>
      </c>
      <c r="CR288" s="2" t="s">
        <v>7160</v>
      </c>
      <c r="CT288" s="2" t="s">
        <v>7143</v>
      </c>
      <c r="CU288" s="2" t="s">
        <v>7203</v>
      </c>
      <c r="CW288" s="2" t="s">
        <v>7162</v>
      </c>
      <c r="CY288" s="2" t="s">
        <v>7163</v>
      </c>
      <c r="CZ288" s="2" t="s">
        <v>7163</v>
      </c>
      <c r="DA288" s="2" t="s">
        <v>7250</v>
      </c>
      <c r="DB288" s="2" t="s">
        <v>7321</v>
      </c>
      <c r="DC288" s="2" t="s">
        <v>7321</v>
      </c>
      <c r="DD288" s="2" t="s">
        <v>7321</v>
      </c>
      <c r="DE288" s="2" t="s">
        <v>7250</v>
      </c>
      <c r="DF288" s="2" t="s">
        <v>7163</v>
      </c>
      <c r="DG288" s="2" t="s">
        <v>7163</v>
      </c>
      <c r="DH288" s="2" t="s">
        <v>7163</v>
      </c>
      <c r="DI288" s="2" t="s">
        <v>7250</v>
      </c>
      <c r="DL288" s="2" t="s">
        <v>7142</v>
      </c>
      <c r="DM288" s="2" t="s">
        <v>7142</v>
      </c>
      <c r="DN288" s="2" t="s">
        <v>7142</v>
      </c>
      <c r="DO288" s="2" t="s">
        <v>7142</v>
      </c>
      <c r="DP288" s="2" t="s">
        <v>7165</v>
      </c>
      <c r="DQ288" s="2" t="s">
        <v>7333</v>
      </c>
      <c r="DR288" s="2" t="s">
        <v>2009</v>
      </c>
      <c r="DT288" s="2" t="s">
        <v>7165</v>
      </c>
      <c r="DU288" s="2" t="s">
        <v>7165</v>
      </c>
      <c r="DV288" s="2" t="s">
        <v>7165</v>
      </c>
      <c r="DW288" s="2" t="s">
        <v>7165</v>
      </c>
      <c r="DX288" s="2" t="s">
        <v>7165</v>
      </c>
      <c r="DY288" s="2" t="s">
        <v>7159</v>
      </c>
      <c r="DZ288" s="2" t="s">
        <v>7159</v>
      </c>
      <c r="EA288" s="2" t="s">
        <v>7159</v>
      </c>
      <c r="EB288" s="2" t="s">
        <v>7165</v>
      </c>
      <c r="EC288" s="2" t="s">
        <v>7159</v>
      </c>
      <c r="ED288" s="2" t="s">
        <v>7159</v>
      </c>
      <c r="EF288" s="2" t="s">
        <v>7221</v>
      </c>
      <c r="EJ288" s="2" t="s">
        <v>7193</v>
      </c>
      <c r="EK288" s="2" t="s">
        <v>7142</v>
      </c>
      <c r="EL288" s="2" t="s">
        <v>7143</v>
      </c>
      <c r="EN288" s="2" t="s">
        <v>7170</v>
      </c>
      <c r="EP288" s="2" t="s">
        <v>7186</v>
      </c>
      <c r="ER288" s="2" t="s">
        <v>7142</v>
      </c>
      <c r="ET288" s="2" t="s">
        <v>7143</v>
      </c>
      <c r="EV288" s="2" t="s">
        <v>7142</v>
      </c>
      <c r="EW288" s="2" t="s">
        <v>7171</v>
      </c>
      <c r="EX288" s="2" t="s">
        <v>7143</v>
      </c>
      <c r="EZ288" s="2" t="s">
        <v>7143</v>
      </c>
      <c r="FC288" s="2" t="s">
        <v>7218</v>
      </c>
      <c r="FD288" s="2" t="s">
        <v>7143</v>
      </c>
      <c r="FH288" s="2" t="s">
        <v>7173</v>
      </c>
      <c r="FJ288" s="2" t="s">
        <v>7143</v>
      </c>
      <c r="FK288" s="2" t="s">
        <v>7173</v>
      </c>
      <c r="FN288" s="2" t="s">
        <v>7344</v>
      </c>
      <c r="FR288" s="2" t="s">
        <v>2010</v>
      </c>
      <c r="FT288" s="2" t="s">
        <v>7189</v>
      </c>
      <c r="FU288" s="2" t="s">
        <v>7189</v>
      </c>
      <c r="FV288" s="2" t="s">
        <v>7189</v>
      </c>
      <c r="FW288" s="2" t="s">
        <v>7189</v>
      </c>
      <c r="FZ288" s="19" t="s">
        <v>8187</v>
      </c>
    </row>
    <row r="289" spans="1:182">
      <c r="A289" s="7" t="s">
        <v>2011</v>
      </c>
      <c r="D289" s="7" t="s">
        <v>8188</v>
      </c>
      <c r="E289" s="7" t="s">
        <v>177</v>
      </c>
      <c r="F289" s="7" t="s">
        <v>7134</v>
      </c>
      <c r="G289" s="7" t="s">
        <v>8167</v>
      </c>
      <c r="H289" s="7" t="s">
        <v>2012</v>
      </c>
      <c r="I289" s="7" t="s">
        <v>2013</v>
      </c>
      <c r="J289" s="16" t="s">
        <v>8189</v>
      </c>
      <c r="K289" s="7" t="s">
        <v>1856</v>
      </c>
      <c r="L289" s="2" t="s">
        <v>7281</v>
      </c>
      <c r="M289" s="7" t="s">
        <v>7179</v>
      </c>
      <c r="N289" s="7">
        <v>1975</v>
      </c>
      <c r="O289" s="7" t="s">
        <v>7180</v>
      </c>
      <c r="P289" s="2" t="s">
        <v>7181</v>
      </c>
      <c r="Q289" s="2" t="s">
        <v>7141</v>
      </c>
      <c r="R289" s="2" t="s">
        <v>7143</v>
      </c>
      <c r="S289" s="2">
        <v>31</v>
      </c>
      <c r="T289" s="2" t="s">
        <v>7143</v>
      </c>
      <c r="U289" s="2" t="s">
        <v>7143</v>
      </c>
      <c r="Y289" s="2">
        <v>960</v>
      </c>
      <c r="Z289" s="17">
        <v>1</v>
      </c>
      <c r="AA289" s="2">
        <v>960</v>
      </c>
      <c r="AB289" s="2">
        <v>960</v>
      </c>
      <c r="AC289" s="7">
        <v>950</v>
      </c>
      <c r="AD289" s="2">
        <v>1200</v>
      </c>
      <c r="AE289" s="2">
        <v>250</v>
      </c>
      <c r="AF289" s="2" t="s">
        <v>7143</v>
      </c>
      <c r="AG289" s="2" t="s">
        <v>7142</v>
      </c>
      <c r="AH289" s="2" t="s">
        <v>7143</v>
      </c>
      <c r="AJ289" s="2" t="s">
        <v>7143</v>
      </c>
      <c r="AK289" s="2" t="s">
        <v>7143</v>
      </c>
      <c r="AL289" s="2" t="s">
        <v>7143</v>
      </c>
      <c r="AM289" s="2" t="s">
        <v>7143</v>
      </c>
      <c r="AN289" s="2" t="s">
        <v>7143</v>
      </c>
      <c r="AO289" s="2" t="s">
        <v>7143</v>
      </c>
      <c r="AR289" s="7">
        <v>2.68</v>
      </c>
      <c r="AS289" s="7">
        <v>4</v>
      </c>
      <c r="AT289" s="7">
        <v>12.3</v>
      </c>
      <c r="AU289" s="2" t="s">
        <v>7168</v>
      </c>
      <c r="AV289" s="2" t="s">
        <v>7168</v>
      </c>
      <c r="AW289" s="2" t="s">
        <v>7143</v>
      </c>
      <c r="AZ289" s="2" t="s">
        <v>7145</v>
      </c>
      <c r="BB289" s="2" t="s">
        <v>7146</v>
      </c>
      <c r="BC289" s="2" t="s">
        <v>7147</v>
      </c>
      <c r="BD289" s="2" t="s">
        <v>7142</v>
      </c>
      <c r="BE289" s="2" t="s">
        <v>7142</v>
      </c>
      <c r="BF289" s="2" t="s">
        <v>7148</v>
      </c>
      <c r="BG289" s="2" t="s">
        <v>7149</v>
      </c>
      <c r="BH289" s="2" t="s">
        <v>7248</v>
      </c>
      <c r="BI289" s="2" t="s">
        <v>7151</v>
      </c>
      <c r="BL289" s="2" t="s">
        <v>7152</v>
      </c>
      <c r="BM289" s="2" t="s">
        <v>7153</v>
      </c>
      <c r="BN289" s="2" t="s">
        <v>7154</v>
      </c>
      <c r="BO289" s="2" t="s">
        <v>7155</v>
      </c>
      <c r="BQ289" s="2" t="s">
        <v>7156</v>
      </c>
      <c r="BS289" s="2" t="s">
        <v>7142</v>
      </c>
      <c r="BT289" s="2" t="s">
        <v>7783</v>
      </c>
      <c r="BV289" s="2" t="s">
        <v>7202</v>
      </c>
      <c r="BX289" s="2" t="s">
        <v>7143</v>
      </c>
      <c r="BZ289" s="2" t="s">
        <v>7173</v>
      </c>
      <c r="CE289" s="7">
        <v>12.3</v>
      </c>
      <c r="CF289" s="2">
        <v>1200</v>
      </c>
      <c r="CM289" s="2">
        <v>100</v>
      </c>
      <c r="CO289" s="2">
        <v>100</v>
      </c>
      <c r="CR289" s="2" t="s">
        <v>7160</v>
      </c>
      <c r="CT289" s="2" t="s">
        <v>7143</v>
      </c>
      <c r="CU289" s="2" t="s">
        <v>7161</v>
      </c>
      <c r="CW289" s="2" t="s">
        <v>7162</v>
      </c>
      <c r="CY289" s="2" t="s">
        <v>7163</v>
      </c>
      <c r="CZ289" s="2" t="s">
        <v>7163</v>
      </c>
      <c r="DA289" s="2" t="s">
        <v>7163</v>
      </c>
      <c r="DB289" s="2" t="s">
        <v>7164</v>
      </c>
      <c r="DC289" s="2" t="s">
        <v>7164</v>
      </c>
      <c r="DD289" s="2" t="s">
        <v>7164</v>
      </c>
      <c r="DE289" s="2" t="s">
        <v>7164</v>
      </c>
      <c r="DF289" s="2" t="s">
        <v>7164</v>
      </c>
      <c r="DG289" s="2" t="s">
        <v>7164</v>
      </c>
      <c r="DH289" s="2" t="s">
        <v>7164</v>
      </c>
      <c r="DI289" s="2" t="s">
        <v>7164</v>
      </c>
      <c r="DL289" s="2" t="s">
        <v>7142</v>
      </c>
      <c r="DM289" s="2" t="s">
        <v>7142</v>
      </c>
      <c r="DN289" s="2" t="s">
        <v>7142</v>
      </c>
      <c r="DO289" s="2" t="s">
        <v>7142</v>
      </c>
      <c r="DP289" s="2" t="s">
        <v>7165</v>
      </c>
      <c r="DQ289" s="2" t="s">
        <v>7166</v>
      </c>
      <c r="DT289" s="2" t="s">
        <v>7165</v>
      </c>
      <c r="DU289" s="2" t="s">
        <v>7165</v>
      </c>
      <c r="DV289" s="2" t="s">
        <v>7165</v>
      </c>
      <c r="DW289" s="2" t="s">
        <v>7165</v>
      </c>
      <c r="DX289" s="2" t="s">
        <v>7165</v>
      </c>
      <c r="DY289" s="2" t="s">
        <v>7165</v>
      </c>
      <c r="DZ289" s="2" t="s">
        <v>7165</v>
      </c>
      <c r="EA289" s="2" t="s">
        <v>7165</v>
      </c>
      <c r="EB289" s="2" t="s">
        <v>7165</v>
      </c>
      <c r="EF289" s="2" t="s">
        <v>7457</v>
      </c>
      <c r="EJ289" s="2" t="s">
        <v>7168</v>
      </c>
      <c r="EK289" s="2" t="s">
        <v>7142</v>
      </c>
      <c r="EL289" s="2" t="s">
        <v>7143</v>
      </c>
      <c r="EN289" s="2" t="s">
        <v>7170</v>
      </c>
      <c r="EP289" s="2" t="s">
        <v>7186</v>
      </c>
      <c r="ER289" s="2" t="s">
        <v>7142</v>
      </c>
      <c r="ET289" s="2" t="s">
        <v>7143</v>
      </c>
      <c r="EV289" s="2" t="s">
        <v>7142</v>
      </c>
      <c r="EW289" s="2" t="s">
        <v>7700</v>
      </c>
      <c r="EX289" s="2" t="s">
        <v>7143</v>
      </c>
      <c r="EZ289" s="2" t="s">
        <v>7143</v>
      </c>
      <c r="FC289" s="2" t="s">
        <v>7172</v>
      </c>
      <c r="FD289" s="2" t="s">
        <v>7143</v>
      </c>
      <c r="FH289" s="2" t="s">
        <v>7173</v>
      </c>
      <c r="FJ289" s="2" t="s">
        <v>7142</v>
      </c>
      <c r="FK289" s="2" t="s">
        <v>7165</v>
      </c>
      <c r="FL289" s="2" t="s">
        <v>7992</v>
      </c>
      <c r="FN289" s="2" t="s">
        <v>7258</v>
      </c>
      <c r="FT289" s="2" t="s">
        <v>7176</v>
      </c>
      <c r="FU289" s="2" t="s">
        <v>7176</v>
      </c>
      <c r="FV289" s="2" t="s">
        <v>7176</v>
      </c>
      <c r="FW289" s="2" t="s">
        <v>7176</v>
      </c>
      <c r="FZ289" s="19" t="s">
        <v>8190</v>
      </c>
    </row>
    <row r="290" spans="1:182">
      <c r="A290" s="7" t="s">
        <v>2014</v>
      </c>
      <c r="D290" s="7" t="s">
        <v>8191</v>
      </c>
      <c r="E290" s="7" t="s">
        <v>2015</v>
      </c>
      <c r="F290" s="7" t="s">
        <v>7319</v>
      </c>
      <c r="G290" s="7" t="s">
        <v>8167</v>
      </c>
      <c r="H290" s="7" t="s">
        <v>1966</v>
      </c>
      <c r="I290" s="7" t="s">
        <v>2016</v>
      </c>
      <c r="K290" s="7" t="s">
        <v>2017</v>
      </c>
      <c r="L290" s="7" t="s">
        <v>7137</v>
      </c>
      <c r="M290" s="7" t="s">
        <v>7179</v>
      </c>
      <c r="N290" s="7">
        <v>1974</v>
      </c>
      <c r="O290" s="7" t="s">
        <v>7180</v>
      </c>
      <c r="P290" s="7" t="s">
        <v>7181</v>
      </c>
      <c r="Q290" s="7" t="s">
        <v>7141</v>
      </c>
      <c r="R290" s="7" t="s">
        <v>7143</v>
      </c>
      <c r="S290" s="7">
        <v>40</v>
      </c>
      <c r="T290" s="7" t="s">
        <v>7143</v>
      </c>
      <c r="U290" s="7" t="s">
        <v>7143</v>
      </c>
      <c r="Y290" s="2">
        <v>150</v>
      </c>
      <c r="Z290" s="17">
        <v>0.76670000000000005</v>
      </c>
      <c r="AA290" s="2">
        <v>115</v>
      </c>
      <c r="AB290" s="2">
        <v>115</v>
      </c>
      <c r="AC290" s="7">
        <v>95</v>
      </c>
      <c r="AD290" s="2">
        <v>130</v>
      </c>
      <c r="AE290" s="2">
        <v>35</v>
      </c>
      <c r="AF290" s="2" t="s">
        <v>7143</v>
      </c>
      <c r="AG290" s="2" t="s">
        <v>7142</v>
      </c>
      <c r="AH290" s="2" t="s">
        <v>7143</v>
      </c>
      <c r="AJ290" s="2" t="s">
        <v>7143</v>
      </c>
      <c r="AK290" s="2" t="s">
        <v>7143</v>
      </c>
      <c r="AL290" s="2" t="s">
        <v>7143</v>
      </c>
      <c r="AM290" s="2" t="s">
        <v>7142</v>
      </c>
      <c r="AN290" s="2" t="s">
        <v>7143</v>
      </c>
      <c r="AO290" s="2" t="s">
        <v>7143</v>
      </c>
      <c r="AR290" s="7">
        <v>1.1000000000000001</v>
      </c>
      <c r="AS290" s="7">
        <v>2</v>
      </c>
      <c r="AT290" s="7">
        <v>1.3</v>
      </c>
      <c r="AU290" s="2" t="s">
        <v>7144</v>
      </c>
      <c r="AV290" s="2" t="s">
        <v>7193</v>
      </c>
      <c r="AW290" s="2" t="s">
        <v>7143</v>
      </c>
      <c r="AZ290" s="2" t="s">
        <v>8192</v>
      </c>
      <c r="BB290" s="2" t="s">
        <v>7146</v>
      </c>
      <c r="BC290" s="2" t="s">
        <v>7247</v>
      </c>
      <c r="BD290" s="2" t="s">
        <v>7142</v>
      </c>
      <c r="BE290" s="2" t="s">
        <v>7142</v>
      </c>
      <c r="BF290" s="2" t="s">
        <v>7148</v>
      </c>
      <c r="BG290" s="2" t="s">
        <v>7149</v>
      </c>
      <c r="BH290" s="2" t="s">
        <v>7233</v>
      </c>
      <c r="BI290" s="2" t="s">
        <v>7151</v>
      </c>
      <c r="BL290" s="2" t="s">
        <v>7195</v>
      </c>
      <c r="BO290" s="2" t="s">
        <v>7274</v>
      </c>
      <c r="BP290" s="2" t="s">
        <v>7275</v>
      </c>
      <c r="BS290" s="2" t="s">
        <v>7142</v>
      </c>
      <c r="BT290" s="2" t="s">
        <v>7238</v>
      </c>
      <c r="BU290" s="2" t="s">
        <v>429</v>
      </c>
      <c r="BV290" s="2" t="s">
        <v>7202</v>
      </c>
      <c r="BX290" s="2" t="s">
        <v>7143</v>
      </c>
      <c r="BZ290" s="2" t="s">
        <v>7173</v>
      </c>
      <c r="CE290" s="7">
        <v>1.3</v>
      </c>
      <c r="CF290" s="2">
        <v>130</v>
      </c>
      <c r="CK290" s="2">
        <v>100</v>
      </c>
      <c r="CO290" s="2">
        <v>100</v>
      </c>
      <c r="CR290" s="2" t="s">
        <v>7160</v>
      </c>
      <c r="CT290" s="2" t="s">
        <v>7143</v>
      </c>
      <c r="CU290" s="2" t="s">
        <v>7454</v>
      </c>
      <c r="CW290" s="2" t="s">
        <v>7162</v>
      </c>
      <c r="CY290" s="2" t="s">
        <v>7250</v>
      </c>
      <c r="CZ290" s="2" t="s">
        <v>7250</v>
      </c>
      <c r="DA290" s="2" t="s">
        <v>7250</v>
      </c>
      <c r="DB290" s="2" t="s">
        <v>7321</v>
      </c>
      <c r="DC290" s="2" t="s">
        <v>7250</v>
      </c>
      <c r="DD290" s="2" t="s">
        <v>7321</v>
      </c>
      <c r="DE290" s="2" t="s">
        <v>7250</v>
      </c>
      <c r="DF290" s="2" t="s">
        <v>7163</v>
      </c>
      <c r="DG290" s="2" t="s">
        <v>7163</v>
      </c>
      <c r="DH290" s="2" t="s">
        <v>7321</v>
      </c>
      <c r="DI290" s="2" t="s">
        <v>7321</v>
      </c>
      <c r="DL290" s="2" t="s">
        <v>7142</v>
      </c>
      <c r="DM290" s="2" t="s">
        <v>7142</v>
      </c>
      <c r="DN290" s="2" t="s">
        <v>7142</v>
      </c>
      <c r="DO290" s="2" t="s">
        <v>7143</v>
      </c>
      <c r="DP290" s="2" t="s">
        <v>7165</v>
      </c>
      <c r="DQ290" s="2" t="s">
        <v>7333</v>
      </c>
      <c r="DR290" s="2" t="s">
        <v>2019</v>
      </c>
      <c r="DT290" s="2" t="s">
        <v>7165</v>
      </c>
      <c r="DU290" s="2" t="s">
        <v>7165</v>
      </c>
      <c r="DV290" s="2" t="s">
        <v>7165</v>
      </c>
      <c r="DW290" s="2" t="s">
        <v>7165</v>
      </c>
      <c r="DX290" s="2" t="s">
        <v>7165</v>
      </c>
      <c r="DY290" s="2" t="s">
        <v>7165</v>
      </c>
      <c r="DZ290" s="2" t="s">
        <v>7159</v>
      </c>
      <c r="EA290" s="2" t="s">
        <v>7165</v>
      </c>
      <c r="EB290" s="2" t="s">
        <v>7165</v>
      </c>
      <c r="EC290" s="2" t="s">
        <v>7173</v>
      </c>
      <c r="EF290" s="2" t="s">
        <v>7221</v>
      </c>
      <c r="EG290" s="2" t="s">
        <v>2020</v>
      </c>
      <c r="EJ290" s="2" t="s">
        <v>7193</v>
      </c>
      <c r="EK290" s="2" t="s">
        <v>7142</v>
      </c>
      <c r="EL290" s="2" t="s">
        <v>7143</v>
      </c>
      <c r="EN290" s="2" t="s">
        <v>7170</v>
      </c>
      <c r="EP290" s="2" t="s">
        <v>7186</v>
      </c>
      <c r="ER290" s="2" t="s">
        <v>7142</v>
      </c>
      <c r="ET290" s="2" t="s">
        <v>7143</v>
      </c>
      <c r="EV290" s="2" t="s">
        <v>7142</v>
      </c>
      <c r="EW290" s="2" t="s">
        <v>7171</v>
      </c>
      <c r="EX290" s="2" t="s">
        <v>7143</v>
      </c>
      <c r="EZ290" s="2" t="s">
        <v>7143</v>
      </c>
      <c r="FC290" s="2" t="s">
        <v>7218</v>
      </c>
      <c r="FD290" s="2" t="s">
        <v>7143</v>
      </c>
      <c r="FH290" s="2" t="s">
        <v>7173</v>
      </c>
      <c r="FJ290" s="2" t="s">
        <v>7143</v>
      </c>
      <c r="FK290" s="2" t="s">
        <v>7159</v>
      </c>
      <c r="FN290" s="2" t="s">
        <v>7283</v>
      </c>
      <c r="FR290" s="2" t="s">
        <v>433</v>
      </c>
      <c r="FT290" s="2" t="s">
        <v>7189</v>
      </c>
      <c r="FU290" s="2" t="s">
        <v>7189</v>
      </c>
      <c r="FV290" s="2" t="s">
        <v>7176</v>
      </c>
      <c r="FW290" s="2" t="s">
        <v>7176</v>
      </c>
      <c r="FZ290" s="19" t="s">
        <v>8193</v>
      </c>
    </row>
    <row r="291" spans="1:182">
      <c r="A291" s="7" t="s">
        <v>2021</v>
      </c>
      <c r="D291" s="7" t="s">
        <v>8194</v>
      </c>
      <c r="E291" s="7" t="s">
        <v>2022</v>
      </c>
      <c r="F291" s="7" t="s">
        <v>7339</v>
      </c>
      <c r="G291" s="7" t="s">
        <v>8167</v>
      </c>
      <c r="H291" s="7" t="s">
        <v>2001</v>
      </c>
      <c r="I291" s="7" t="s">
        <v>2023</v>
      </c>
      <c r="J291" s="16" t="s">
        <v>8195</v>
      </c>
      <c r="K291" s="7" t="s">
        <v>2024</v>
      </c>
      <c r="L291" s="2" t="s">
        <v>7137</v>
      </c>
      <c r="M291" s="7" t="s">
        <v>7179</v>
      </c>
      <c r="N291" s="7">
        <v>1978</v>
      </c>
      <c r="O291" s="7" t="s">
        <v>7180</v>
      </c>
      <c r="P291" s="2" t="s">
        <v>7181</v>
      </c>
      <c r="Q291" s="2" t="s">
        <v>7225</v>
      </c>
      <c r="R291" s="2" t="s">
        <v>7143</v>
      </c>
      <c r="S291" s="2">
        <v>31</v>
      </c>
      <c r="T291" s="2" t="s">
        <v>7143</v>
      </c>
      <c r="U291" s="2" t="s">
        <v>7143</v>
      </c>
      <c r="Y291" s="2">
        <v>604</v>
      </c>
      <c r="Z291" s="17">
        <v>1</v>
      </c>
      <c r="AA291" s="2">
        <v>604</v>
      </c>
      <c r="AB291" s="2">
        <v>604</v>
      </c>
      <c r="AC291" s="7">
        <v>604</v>
      </c>
      <c r="AD291" s="2">
        <v>784</v>
      </c>
      <c r="AE291" s="2">
        <v>180</v>
      </c>
      <c r="AF291" s="2" t="s">
        <v>7143</v>
      </c>
      <c r="AG291" s="2" t="s">
        <v>7143</v>
      </c>
      <c r="AH291" s="2" t="s">
        <v>7143</v>
      </c>
      <c r="AJ291" s="2" t="s">
        <v>7143</v>
      </c>
      <c r="AK291" s="2" t="s">
        <v>7143</v>
      </c>
      <c r="AL291" s="2" t="s">
        <v>7143</v>
      </c>
      <c r="AM291" s="2" t="s">
        <v>7143</v>
      </c>
      <c r="AN291" s="2" t="s">
        <v>7143</v>
      </c>
      <c r="AO291" s="2" t="s">
        <v>7143</v>
      </c>
      <c r="AR291" s="7">
        <v>1.5</v>
      </c>
      <c r="AS291" s="7">
        <v>3</v>
      </c>
      <c r="AT291" s="7">
        <v>8</v>
      </c>
      <c r="AU291" s="2" t="s">
        <v>7193</v>
      </c>
      <c r="AV291" s="2" t="s">
        <v>7193</v>
      </c>
      <c r="AW291" s="2" t="s">
        <v>7143</v>
      </c>
      <c r="AZ291" s="2" t="s">
        <v>7145</v>
      </c>
      <c r="BB291" s="2" t="s">
        <v>7214</v>
      </c>
      <c r="BC291" s="2" t="s">
        <v>7147</v>
      </c>
      <c r="BD291" s="2" t="s">
        <v>7142</v>
      </c>
      <c r="BE291" s="2" t="s">
        <v>7142</v>
      </c>
      <c r="BF291" s="2" t="s">
        <v>7148</v>
      </c>
      <c r="BG291" s="2" t="s">
        <v>7149</v>
      </c>
      <c r="BH291" s="2" t="s">
        <v>7233</v>
      </c>
      <c r="BI291" s="2" t="s">
        <v>7151</v>
      </c>
      <c r="BL291" s="2" t="s">
        <v>7152</v>
      </c>
      <c r="BM291" s="2" t="s">
        <v>7153</v>
      </c>
      <c r="BN291" s="2" t="s">
        <v>7154</v>
      </c>
      <c r="BO291" s="2" t="s">
        <v>7155</v>
      </c>
      <c r="BQ291" s="2" t="s">
        <v>7256</v>
      </c>
      <c r="BS291" s="2" t="s">
        <v>7142</v>
      </c>
      <c r="BT291" s="2" t="s">
        <v>7400</v>
      </c>
      <c r="BV291" s="2" t="s">
        <v>7407</v>
      </c>
      <c r="BX291" s="2" t="s">
        <v>7142</v>
      </c>
      <c r="BY291" s="2" t="s">
        <v>2025</v>
      </c>
      <c r="BZ291" s="2" t="s">
        <v>7159</v>
      </c>
      <c r="CE291" s="7">
        <v>8</v>
      </c>
      <c r="CF291" s="2">
        <v>784</v>
      </c>
      <c r="CK291" s="2">
        <v>100</v>
      </c>
      <c r="CO291" s="2">
        <v>100</v>
      </c>
      <c r="CR291" s="2" t="s">
        <v>7357</v>
      </c>
      <c r="CT291" s="2" t="s">
        <v>7143</v>
      </c>
      <c r="CU291" s="2" t="s">
        <v>7203</v>
      </c>
      <c r="CW291" s="2" t="s">
        <v>7162</v>
      </c>
      <c r="CY291" s="2" t="s">
        <v>7163</v>
      </c>
      <c r="CZ291" s="2" t="s">
        <v>7163</v>
      </c>
      <c r="DA291" s="2" t="s">
        <v>7250</v>
      </c>
      <c r="DB291" s="2" t="s">
        <v>7250</v>
      </c>
      <c r="DC291" s="2" t="s">
        <v>7321</v>
      </c>
      <c r="DD291" s="2" t="s">
        <v>7321</v>
      </c>
      <c r="DE291" s="2" t="s">
        <v>7250</v>
      </c>
      <c r="DF291" s="2" t="s">
        <v>7163</v>
      </c>
      <c r="DG291" s="2" t="s">
        <v>7163</v>
      </c>
      <c r="DH291" s="2" t="s">
        <v>7163</v>
      </c>
      <c r="DI291" s="2" t="s">
        <v>7250</v>
      </c>
      <c r="DL291" s="2" t="s">
        <v>7142</v>
      </c>
      <c r="DM291" s="2" t="s">
        <v>7142</v>
      </c>
      <c r="DN291" s="2" t="s">
        <v>7142</v>
      </c>
      <c r="DO291" s="2" t="s">
        <v>7142</v>
      </c>
      <c r="DP291" s="2" t="s">
        <v>7165</v>
      </c>
      <c r="DQ291" s="2" t="s">
        <v>7333</v>
      </c>
      <c r="DR291" s="2" t="s">
        <v>2026</v>
      </c>
      <c r="DT291" s="2" t="s">
        <v>7165</v>
      </c>
      <c r="DU291" s="2" t="s">
        <v>7165</v>
      </c>
      <c r="DV291" s="2" t="s">
        <v>7165</v>
      </c>
      <c r="DW291" s="2" t="s">
        <v>7165</v>
      </c>
      <c r="DX291" s="2" t="s">
        <v>7165</v>
      </c>
      <c r="DY291" s="2" t="s">
        <v>7159</v>
      </c>
      <c r="DZ291" s="2" t="s">
        <v>7159</v>
      </c>
      <c r="EA291" s="2" t="s">
        <v>7159</v>
      </c>
      <c r="EB291" s="2" t="s">
        <v>7165</v>
      </c>
      <c r="EC291" s="2" t="s">
        <v>7159</v>
      </c>
      <c r="ED291" s="2" t="s">
        <v>7159</v>
      </c>
      <c r="EF291" s="2" t="s">
        <v>7221</v>
      </c>
      <c r="EG291" s="2" t="s">
        <v>2027</v>
      </c>
      <c r="EJ291" s="2" t="s">
        <v>7193</v>
      </c>
      <c r="EK291" s="2" t="s">
        <v>7142</v>
      </c>
      <c r="EL291" s="2" t="s">
        <v>7143</v>
      </c>
      <c r="EN291" s="2" t="s">
        <v>7170</v>
      </c>
      <c r="EP291" s="2" t="s">
        <v>7186</v>
      </c>
      <c r="ER291" s="2" t="s">
        <v>7142</v>
      </c>
      <c r="ET291" s="2" t="s">
        <v>7143</v>
      </c>
      <c r="EV291" s="2" t="s">
        <v>7143</v>
      </c>
      <c r="EX291" s="2" t="s">
        <v>7143</v>
      </c>
      <c r="EZ291" s="2" t="s">
        <v>7143</v>
      </c>
      <c r="FC291" s="2" t="s">
        <v>7218</v>
      </c>
      <c r="FD291" s="2" t="s">
        <v>7143</v>
      </c>
      <c r="FH291" s="2" t="s">
        <v>7173</v>
      </c>
      <c r="FJ291" s="2" t="s">
        <v>7143</v>
      </c>
      <c r="FK291" s="2" t="s">
        <v>7173</v>
      </c>
      <c r="FN291" s="2" t="s">
        <v>7344</v>
      </c>
      <c r="FR291" s="2" t="s">
        <v>2028</v>
      </c>
      <c r="FT291" s="2" t="s">
        <v>7189</v>
      </c>
      <c r="FU291" s="2" t="s">
        <v>7189</v>
      </c>
      <c r="FV291" s="2" t="s">
        <v>7189</v>
      </c>
      <c r="FW291" s="2" t="s">
        <v>7189</v>
      </c>
      <c r="FX291" s="2" t="s">
        <v>7189</v>
      </c>
      <c r="FY291" s="2" t="s">
        <v>2029</v>
      </c>
      <c r="FZ291" s="19" t="s">
        <v>8196</v>
      </c>
    </row>
    <row r="292" spans="1:182">
      <c r="A292" s="7" t="s">
        <v>2030</v>
      </c>
      <c r="D292" s="7" t="s">
        <v>8197</v>
      </c>
      <c r="E292" s="7" t="s">
        <v>177</v>
      </c>
      <c r="F292" s="7" t="s">
        <v>7245</v>
      </c>
      <c r="G292" s="7" t="s">
        <v>8167</v>
      </c>
      <c r="H292" s="7" t="s">
        <v>1996</v>
      </c>
      <c r="I292" s="7" t="s">
        <v>2031</v>
      </c>
      <c r="J292" s="16" t="s">
        <v>8198</v>
      </c>
      <c r="K292" s="7" t="s">
        <v>2032</v>
      </c>
      <c r="L292" s="2" t="s">
        <v>7137</v>
      </c>
      <c r="M292" s="7" t="s">
        <v>7179</v>
      </c>
      <c r="N292" s="7">
        <v>1967</v>
      </c>
      <c r="O292" s="2" t="s">
        <v>7180</v>
      </c>
      <c r="P292" s="2" t="s">
        <v>7181</v>
      </c>
      <c r="Q292" s="2" t="s">
        <v>7141</v>
      </c>
      <c r="R292" s="2" t="s">
        <v>7143</v>
      </c>
      <c r="S292" s="2">
        <v>1999</v>
      </c>
      <c r="T292" s="2" t="s">
        <v>7143</v>
      </c>
      <c r="U292" s="2" t="s">
        <v>7143</v>
      </c>
      <c r="Y292" s="2">
        <v>720</v>
      </c>
      <c r="Z292" s="17">
        <v>0.97219999999999995</v>
      </c>
      <c r="AA292" s="2">
        <v>700</v>
      </c>
      <c r="AB292" s="2">
        <v>700</v>
      </c>
      <c r="AC292" s="7">
        <v>610</v>
      </c>
      <c r="AD292" s="2">
        <v>680</v>
      </c>
      <c r="AE292" s="2">
        <v>70</v>
      </c>
      <c r="AF292" s="7" t="s">
        <v>7143</v>
      </c>
      <c r="AG292" s="7" t="s">
        <v>7142</v>
      </c>
      <c r="AH292" s="2" t="s">
        <v>7142</v>
      </c>
      <c r="AI292" s="2" t="s">
        <v>346</v>
      </c>
      <c r="AJ292" s="7" t="s">
        <v>7143</v>
      </c>
      <c r="AK292" s="7" t="s">
        <v>7143</v>
      </c>
      <c r="AL292" s="2" t="s">
        <v>7143</v>
      </c>
      <c r="AM292" s="2" t="s">
        <v>7142</v>
      </c>
      <c r="AN292" s="2" t="s">
        <v>7143</v>
      </c>
      <c r="AO292" s="2" t="s">
        <v>7143</v>
      </c>
      <c r="AR292" s="7">
        <v>1.5</v>
      </c>
      <c r="AS292" s="7">
        <v>1</v>
      </c>
      <c r="AT292" s="7">
        <v>7</v>
      </c>
      <c r="AU292" s="7" t="s">
        <v>7144</v>
      </c>
      <c r="AV292" s="7" t="s">
        <v>7193</v>
      </c>
      <c r="AW292" s="7" t="s">
        <v>7143</v>
      </c>
      <c r="AZ292" s="7" t="s">
        <v>7145</v>
      </c>
      <c r="BB292" s="7" t="s">
        <v>7214</v>
      </c>
      <c r="BC292" s="7" t="s">
        <v>7147</v>
      </c>
      <c r="BD292" s="7" t="s">
        <v>7142</v>
      </c>
      <c r="BE292" s="7" t="s">
        <v>7142</v>
      </c>
      <c r="BF292" s="7" t="s">
        <v>7148</v>
      </c>
      <c r="BG292" s="7" t="s">
        <v>7149</v>
      </c>
      <c r="BH292" s="7" t="s">
        <v>7248</v>
      </c>
      <c r="BI292" s="7" t="s">
        <v>7151</v>
      </c>
      <c r="BL292" s="7" t="s">
        <v>7152</v>
      </c>
      <c r="BM292" s="7" t="s">
        <v>7153</v>
      </c>
      <c r="BN292" s="7" t="s">
        <v>7154</v>
      </c>
      <c r="BO292" s="7" t="s">
        <v>7155</v>
      </c>
      <c r="BQ292" s="2" t="s">
        <v>7256</v>
      </c>
      <c r="BS292" s="2" t="s">
        <v>7142</v>
      </c>
      <c r="BT292" s="2" t="s">
        <v>7215</v>
      </c>
      <c r="BV292" s="2" t="s">
        <v>7304</v>
      </c>
      <c r="BX292" s="2" t="s">
        <v>7142</v>
      </c>
      <c r="BY292" s="2" t="s">
        <v>310</v>
      </c>
      <c r="BZ292" s="2" t="s">
        <v>7173</v>
      </c>
      <c r="CE292" s="7">
        <v>7</v>
      </c>
      <c r="CF292" s="2">
        <v>680</v>
      </c>
      <c r="CK292" s="2">
        <v>100</v>
      </c>
      <c r="CO292" s="2">
        <v>100</v>
      </c>
      <c r="CR292" s="2" t="s">
        <v>7160</v>
      </c>
      <c r="CT292" s="2" t="s">
        <v>7143</v>
      </c>
      <c r="CU292" s="2" t="s">
        <v>7161</v>
      </c>
      <c r="CW292" s="2" t="s">
        <v>7162</v>
      </c>
      <c r="CY292" s="2" t="s">
        <v>7163</v>
      </c>
      <c r="CZ292" s="7" t="s">
        <v>7163</v>
      </c>
      <c r="DA292" s="7" t="s">
        <v>7163</v>
      </c>
      <c r="DB292" s="2" t="s">
        <v>7251</v>
      </c>
      <c r="DC292" s="2" t="s">
        <v>7250</v>
      </c>
      <c r="DD292" s="2" t="s">
        <v>7251</v>
      </c>
      <c r="DE292" s="2" t="s">
        <v>7163</v>
      </c>
      <c r="DF292" s="2" t="s">
        <v>7163</v>
      </c>
      <c r="DG292" s="2" t="s">
        <v>7227</v>
      </c>
      <c r="DH292" s="2" t="s">
        <v>7163</v>
      </c>
      <c r="DI292" s="2" t="s">
        <v>7163</v>
      </c>
      <c r="DL292" s="2" t="s">
        <v>7142</v>
      </c>
      <c r="DM292" s="2" t="s">
        <v>7142</v>
      </c>
      <c r="DN292" s="2" t="s">
        <v>7142</v>
      </c>
      <c r="DO292" s="2" t="s">
        <v>7142</v>
      </c>
      <c r="DP292" s="2" t="s">
        <v>7165</v>
      </c>
      <c r="DQ292" s="2" t="s">
        <v>7166</v>
      </c>
      <c r="DT292" s="2" t="s">
        <v>7165</v>
      </c>
      <c r="DU292" s="2" t="s">
        <v>7165</v>
      </c>
      <c r="DV292" s="2" t="s">
        <v>7165</v>
      </c>
      <c r="DW292" s="2" t="s">
        <v>7165</v>
      </c>
      <c r="DX292" s="2" t="s">
        <v>7165</v>
      </c>
      <c r="DY292" s="2" t="s">
        <v>7159</v>
      </c>
      <c r="DZ292" s="2" t="s">
        <v>7159</v>
      </c>
      <c r="EA292" s="2" t="s">
        <v>7165</v>
      </c>
      <c r="EB292" s="2" t="s">
        <v>7165</v>
      </c>
      <c r="EC292" s="2" t="s">
        <v>7159</v>
      </c>
      <c r="EF292" s="2" t="s">
        <v>7167</v>
      </c>
      <c r="EJ292" s="2" t="s">
        <v>7193</v>
      </c>
      <c r="EK292" s="2" t="s">
        <v>7142</v>
      </c>
      <c r="EL292" s="2" t="s">
        <v>7143</v>
      </c>
      <c r="EN292" s="2" t="s">
        <v>7170</v>
      </c>
      <c r="EP292" s="2" t="s">
        <v>7186</v>
      </c>
      <c r="ER292" s="2" t="s">
        <v>7142</v>
      </c>
      <c r="ET292" s="2" t="s">
        <v>7143</v>
      </c>
      <c r="EV292" s="2" t="s">
        <v>7142</v>
      </c>
      <c r="EW292" s="2" t="s">
        <v>7204</v>
      </c>
      <c r="EX292" s="2" t="s">
        <v>7143</v>
      </c>
      <c r="EZ292" s="2" t="s">
        <v>7143</v>
      </c>
      <c r="FC292" s="2" t="s">
        <v>7172</v>
      </c>
      <c r="FD292" s="2" t="s">
        <v>7143</v>
      </c>
      <c r="FH292" s="7" t="s">
        <v>7173</v>
      </c>
      <c r="FJ292" s="7" t="s">
        <v>7143</v>
      </c>
      <c r="FK292" s="7" t="s">
        <v>7165</v>
      </c>
      <c r="FL292" s="7" t="s">
        <v>7260</v>
      </c>
      <c r="FN292" s="2" t="s">
        <v>7283</v>
      </c>
      <c r="FT292" s="2" t="s">
        <v>7176</v>
      </c>
      <c r="FU292" s="2" t="s">
        <v>7189</v>
      </c>
      <c r="FV292" s="2" t="s">
        <v>7189</v>
      </c>
      <c r="FW292" s="2" t="s">
        <v>7189</v>
      </c>
      <c r="FZ292" s="19" t="s">
        <v>8199</v>
      </c>
    </row>
    <row r="293" spans="1:182">
      <c r="A293" s="7" t="s">
        <v>2033</v>
      </c>
      <c r="D293" s="7" t="s">
        <v>8200</v>
      </c>
      <c r="E293" s="7" t="s">
        <v>177</v>
      </c>
      <c r="F293" s="7" t="s">
        <v>7134</v>
      </c>
      <c r="G293" s="7" t="s">
        <v>8167</v>
      </c>
      <c r="H293" s="2" t="s">
        <v>2012</v>
      </c>
      <c r="I293" s="7" t="s">
        <v>2034</v>
      </c>
      <c r="J293" s="16" t="s">
        <v>8201</v>
      </c>
      <c r="K293" s="7" t="s">
        <v>2035</v>
      </c>
      <c r="L293" s="2" t="s">
        <v>7137</v>
      </c>
      <c r="M293" s="7" t="s">
        <v>7179</v>
      </c>
      <c r="N293" s="7">
        <v>1983</v>
      </c>
      <c r="O293" s="7" t="s">
        <v>7180</v>
      </c>
      <c r="P293" s="2" t="s">
        <v>7181</v>
      </c>
      <c r="Q293" s="2" t="s">
        <v>7141</v>
      </c>
      <c r="R293" s="2" t="s">
        <v>7143</v>
      </c>
      <c r="S293" s="2">
        <v>16</v>
      </c>
      <c r="T293" s="2" t="s">
        <v>7143</v>
      </c>
      <c r="U293" s="2" t="s">
        <v>7143</v>
      </c>
      <c r="Y293" s="2">
        <v>430</v>
      </c>
      <c r="Z293" s="17">
        <v>0.97670000000000001</v>
      </c>
      <c r="AA293" s="2">
        <v>420</v>
      </c>
      <c r="AB293" s="2">
        <v>420</v>
      </c>
      <c r="AC293" s="7">
        <v>420</v>
      </c>
      <c r="AD293" s="2">
        <v>520</v>
      </c>
      <c r="AE293" s="2">
        <v>100</v>
      </c>
      <c r="AF293" s="2" t="s">
        <v>7143</v>
      </c>
      <c r="AG293" s="2" t="s">
        <v>7143</v>
      </c>
      <c r="AH293" s="2" t="s">
        <v>7143</v>
      </c>
      <c r="AJ293" s="2" t="s">
        <v>7143</v>
      </c>
      <c r="AK293" s="2" t="s">
        <v>7143</v>
      </c>
      <c r="AL293" s="2" t="s">
        <v>7143</v>
      </c>
      <c r="AM293" s="2" t="s">
        <v>7142</v>
      </c>
      <c r="AN293" s="2" t="s">
        <v>7143</v>
      </c>
      <c r="AO293" s="2" t="s">
        <v>7143</v>
      </c>
      <c r="AR293" s="7">
        <v>1.5</v>
      </c>
      <c r="AS293" s="7">
        <v>2</v>
      </c>
      <c r="AT293" s="7">
        <v>5.4</v>
      </c>
      <c r="AU293" s="2" t="s">
        <v>7144</v>
      </c>
      <c r="AV293" s="2" t="s">
        <v>7144</v>
      </c>
      <c r="AW293" s="2" t="s">
        <v>7143</v>
      </c>
      <c r="AZ293" s="2" t="s">
        <v>7145</v>
      </c>
      <c r="BB293" s="2" t="s">
        <v>7146</v>
      </c>
      <c r="BC293" s="2" t="s">
        <v>7147</v>
      </c>
      <c r="BD293" s="2" t="s">
        <v>7142</v>
      </c>
      <c r="BE293" s="2" t="s">
        <v>7142</v>
      </c>
      <c r="BF293" s="2" t="s">
        <v>7148</v>
      </c>
      <c r="BG293" s="2" t="s">
        <v>7232</v>
      </c>
      <c r="BH293" s="2" t="s">
        <v>7150</v>
      </c>
      <c r="BI293" s="2" t="s">
        <v>7151</v>
      </c>
      <c r="BL293" s="2" t="s">
        <v>7152</v>
      </c>
      <c r="BM293" s="2" t="s">
        <v>7153</v>
      </c>
      <c r="BN293" s="2" t="s">
        <v>7154</v>
      </c>
      <c r="BO293" s="2" t="s">
        <v>7155</v>
      </c>
      <c r="BQ293" s="2" t="s">
        <v>7156</v>
      </c>
      <c r="BS293" s="2" t="s">
        <v>7142</v>
      </c>
      <c r="BT293" s="2" t="s">
        <v>7157</v>
      </c>
      <c r="BV293" s="2" t="s">
        <v>7202</v>
      </c>
      <c r="BX293" s="2" t="s">
        <v>7143</v>
      </c>
      <c r="BZ293" s="2" t="s">
        <v>7173</v>
      </c>
      <c r="CE293" s="7">
        <v>5.4</v>
      </c>
      <c r="CF293" s="2">
        <v>520</v>
      </c>
      <c r="CM293" s="2">
        <v>100</v>
      </c>
      <c r="CO293" s="2">
        <v>100</v>
      </c>
      <c r="CR293" s="2" t="s">
        <v>7160</v>
      </c>
      <c r="CT293" s="2" t="s">
        <v>7143</v>
      </c>
      <c r="CU293" s="2" t="s">
        <v>7161</v>
      </c>
      <c r="CW293" s="2" t="s">
        <v>7162</v>
      </c>
      <c r="CY293" s="2" t="s">
        <v>7163</v>
      </c>
      <c r="CZ293" s="2" t="s">
        <v>7163</v>
      </c>
      <c r="DA293" s="2" t="s">
        <v>7164</v>
      </c>
      <c r="DB293" s="2" t="s">
        <v>7164</v>
      </c>
      <c r="DC293" s="2" t="s">
        <v>7164</v>
      </c>
      <c r="DD293" s="2" t="s">
        <v>7164</v>
      </c>
      <c r="DE293" s="2" t="s">
        <v>7164</v>
      </c>
      <c r="DF293" s="2" t="s">
        <v>7164</v>
      </c>
      <c r="DG293" s="2" t="s">
        <v>7164</v>
      </c>
      <c r="DH293" s="2" t="s">
        <v>7164</v>
      </c>
      <c r="DI293" s="2" t="s">
        <v>7164</v>
      </c>
      <c r="DL293" s="2" t="s">
        <v>7142</v>
      </c>
      <c r="DM293" s="2" t="s">
        <v>7142</v>
      </c>
      <c r="DN293" s="2" t="s">
        <v>7142</v>
      </c>
      <c r="DO293" s="2" t="s">
        <v>7142</v>
      </c>
      <c r="DP293" s="2" t="s">
        <v>7165</v>
      </c>
      <c r="DQ293" s="2" t="s">
        <v>7166</v>
      </c>
      <c r="DT293" s="2" t="s">
        <v>7165</v>
      </c>
      <c r="DU293" s="2" t="s">
        <v>7165</v>
      </c>
      <c r="DV293" s="2" t="s">
        <v>7165</v>
      </c>
      <c r="DW293" s="2" t="s">
        <v>7165</v>
      </c>
      <c r="DX293" s="2" t="s">
        <v>7165</v>
      </c>
      <c r="DY293" s="2" t="s">
        <v>7165</v>
      </c>
      <c r="DZ293" s="2" t="s">
        <v>7165</v>
      </c>
      <c r="EA293" s="2" t="s">
        <v>7165</v>
      </c>
      <c r="EB293" s="2" t="s">
        <v>7165</v>
      </c>
      <c r="EF293" s="2" t="s">
        <v>7221</v>
      </c>
      <c r="EJ293" s="2" t="s">
        <v>7144</v>
      </c>
      <c r="EK293" s="2" t="s">
        <v>7142</v>
      </c>
      <c r="EL293" s="2" t="s">
        <v>7143</v>
      </c>
      <c r="EN293" s="2" t="s">
        <v>7170</v>
      </c>
      <c r="EP293" s="2" t="s">
        <v>7186</v>
      </c>
      <c r="ER293" s="2" t="s">
        <v>7142</v>
      </c>
      <c r="ET293" s="2" t="s">
        <v>7143</v>
      </c>
      <c r="EV293" s="2" t="s">
        <v>7142</v>
      </c>
      <c r="EW293" s="2" t="s">
        <v>7700</v>
      </c>
      <c r="EX293" s="2" t="s">
        <v>7143</v>
      </c>
      <c r="EZ293" s="2" t="s">
        <v>7143</v>
      </c>
      <c r="FC293" s="2" t="s">
        <v>7172</v>
      </c>
      <c r="FD293" s="2" t="s">
        <v>7143</v>
      </c>
      <c r="FH293" s="2" t="s">
        <v>7173</v>
      </c>
      <c r="FJ293" s="2" t="s">
        <v>7142</v>
      </c>
      <c r="FK293" s="2" t="s">
        <v>7165</v>
      </c>
      <c r="FL293" s="2" t="s">
        <v>7198</v>
      </c>
      <c r="FN293" s="2" t="s">
        <v>7175</v>
      </c>
      <c r="FT293" s="2" t="s">
        <v>7176</v>
      </c>
      <c r="FU293" s="2" t="s">
        <v>7176</v>
      </c>
      <c r="FV293" s="2" t="s">
        <v>7176</v>
      </c>
      <c r="FW293" s="2" t="s">
        <v>7176</v>
      </c>
      <c r="FZ293" s="19" t="s">
        <v>8202</v>
      </c>
    </row>
    <row r="294" spans="1:182">
      <c r="A294" s="7" t="s">
        <v>2036</v>
      </c>
      <c r="D294" s="7" t="s">
        <v>8203</v>
      </c>
      <c r="E294" s="7" t="s">
        <v>2037</v>
      </c>
      <c r="F294" s="7" t="s">
        <v>7389</v>
      </c>
      <c r="G294" s="7" t="s">
        <v>8167</v>
      </c>
      <c r="H294" s="7" t="s">
        <v>1996</v>
      </c>
      <c r="I294" s="7" t="s">
        <v>2038</v>
      </c>
      <c r="J294" s="16" t="s">
        <v>8204</v>
      </c>
      <c r="K294" s="7" t="s">
        <v>2038</v>
      </c>
      <c r="L294" s="2" t="s">
        <v>7137</v>
      </c>
      <c r="M294" s="7" t="s">
        <v>7179</v>
      </c>
      <c r="N294" s="7">
        <v>1982</v>
      </c>
      <c r="O294" s="7" t="s">
        <v>7180</v>
      </c>
      <c r="P294" s="7" t="s">
        <v>7181</v>
      </c>
      <c r="Q294" s="2" t="s">
        <v>7182</v>
      </c>
      <c r="R294" s="2" t="s">
        <v>7143</v>
      </c>
      <c r="S294" s="2">
        <v>19</v>
      </c>
      <c r="T294" s="2" t="s">
        <v>7143</v>
      </c>
      <c r="U294" s="2" t="s">
        <v>7143</v>
      </c>
      <c r="Y294" s="2">
        <v>300</v>
      </c>
      <c r="Z294" s="17">
        <v>0.83330000000000004</v>
      </c>
      <c r="AA294" s="2">
        <v>250</v>
      </c>
      <c r="AB294" s="2">
        <v>250</v>
      </c>
      <c r="AC294" s="7">
        <v>250</v>
      </c>
      <c r="AD294" s="2">
        <v>400</v>
      </c>
      <c r="AE294" s="2">
        <v>150</v>
      </c>
      <c r="AF294" s="2" t="s">
        <v>7143</v>
      </c>
      <c r="AG294" s="2" t="s">
        <v>7143</v>
      </c>
      <c r="AH294" s="2" t="s">
        <v>7143</v>
      </c>
      <c r="AJ294" s="2" t="s">
        <v>7143</v>
      </c>
      <c r="AK294" s="2" t="s">
        <v>7143</v>
      </c>
      <c r="AL294" s="2" t="s">
        <v>7143</v>
      </c>
      <c r="AM294" s="2" t="s">
        <v>7142</v>
      </c>
      <c r="AN294" s="2" t="s">
        <v>7142</v>
      </c>
      <c r="AO294" s="2" t="s">
        <v>7143</v>
      </c>
      <c r="AR294" s="7">
        <v>1.3</v>
      </c>
      <c r="AS294" s="7">
        <v>2</v>
      </c>
      <c r="AT294" s="7">
        <v>4.7</v>
      </c>
      <c r="AU294" s="2" t="s">
        <v>7193</v>
      </c>
      <c r="AV294" s="2" t="s">
        <v>7144</v>
      </c>
      <c r="AW294" s="2" t="s">
        <v>7143</v>
      </c>
      <c r="AZ294" s="2" t="s">
        <v>7145</v>
      </c>
      <c r="BB294" s="2" t="s">
        <v>7214</v>
      </c>
      <c r="BC294" s="2" t="s">
        <v>7247</v>
      </c>
      <c r="BD294" s="2" t="s">
        <v>7142</v>
      </c>
      <c r="BE294" s="2" t="s">
        <v>7142</v>
      </c>
      <c r="BF294" s="2" t="s">
        <v>7148</v>
      </c>
      <c r="BG294" s="2" t="s">
        <v>7149</v>
      </c>
      <c r="BH294" s="2" t="s">
        <v>7150</v>
      </c>
      <c r="BI294" s="2" t="s">
        <v>7151</v>
      </c>
      <c r="BL294" s="2" t="s">
        <v>7152</v>
      </c>
      <c r="BM294" s="2" t="s">
        <v>7355</v>
      </c>
      <c r="BN294" s="2" t="s">
        <v>7154</v>
      </c>
      <c r="BO294" s="2" t="s">
        <v>7274</v>
      </c>
      <c r="BP294" s="2" t="s">
        <v>8205</v>
      </c>
      <c r="BS294" s="2" t="s">
        <v>7143</v>
      </c>
      <c r="BT294" s="2" t="s">
        <v>7416</v>
      </c>
      <c r="BV294" s="2" t="s">
        <v>7197</v>
      </c>
      <c r="BX294" s="2" t="s">
        <v>7143</v>
      </c>
      <c r="BZ294" s="2" t="s">
        <v>7159</v>
      </c>
      <c r="CE294" s="7">
        <v>4.7</v>
      </c>
      <c r="CF294" s="2">
        <v>400</v>
      </c>
      <c r="CK294" s="2">
        <v>100</v>
      </c>
      <c r="CO294" s="2">
        <v>100</v>
      </c>
      <c r="CR294" s="2" t="s">
        <v>7276</v>
      </c>
      <c r="CT294" s="2" t="s">
        <v>7143</v>
      </c>
      <c r="CU294" s="2" t="s">
        <v>7161</v>
      </c>
      <c r="CW294" s="2" t="s">
        <v>7162</v>
      </c>
      <c r="CY294" s="2" t="s">
        <v>7227</v>
      </c>
      <c r="CZ294" s="2" t="s">
        <v>7250</v>
      </c>
      <c r="DA294" s="2" t="s">
        <v>7250</v>
      </c>
      <c r="DB294" s="2" t="s">
        <v>7250</v>
      </c>
      <c r="DC294" s="2" t="s">
        <v>7250</v>
      </c>
      <c r="DD294" s="2" t="s">
        <v>7250</v>
      </c>
      <c r="DE294" s="2" t="s">
        <v>7250</v>
      </c>
      <c r="DF294" s="2" t="s">
        <v>7227</v>
      </c>
      <c r="DG294" s="2" t="s">
        <v>7227</v>
      </c>
      <c r="DH294" s="2" t="s">
        <v>7227</v>
      </c>
      <c r="DI294" s="2" t="s">
        <v>7227</v>
      </c>
      <c r="DL294" s="2" t="s">
        <v>7142</v>
      </c>
      <c r="DM294" s="2" t="s">
        <v>7142</v>
      </c>
      <c r="DN294" s="2" t="s">
        <v>7142</v>
      </c>
      <c r="DO294" s="2" t="s">
        <v>7142</v>
      </c>
      <c r="DP294" s="2" t="s">
        <v>7165</v>
      </c>
      <c r="DQ294" s="2" t="s">
        <v>7333</v>
      </c>
      <c r="DR294" s="2" t="s">
        <v>579</v>
      </c>
      <c r="DT294" s="2" t="s">
        <v>7165</v>
      </c>
      <c r="DU294" s="2" t="s">
        <v>7165</v>
      </c>
      <c r="DV294" s="2" t="s">
        <v>7165</v>
      </c>
      <c r="DW294" s="2" t="s">
        <v>7165</v>
      </c>
      <c r="DX294" s="2" t="s">
        <v>7165</v>
      </c>
      <c r="DY294" s="2" t="s">
        <v>7165</v>
      </c>
      <c r="DZ294" s="2" t="s">
        <v>7165</v>
      </c>
      <c r="EA294" s="2" t="s">
        <v>7165</v>
      </c>
      <c r="EB294" s="2" t="s">
        <v>7165</v>
      </c>
      <c r="EC294" s="2" t="s">
        <v>7173</v>
      </c>
      <c r="EF294" s="2" t="s">
        <v>7167</v>
      </c>
      <c r="EG294" s="2" t="s">
        <v>1678</v>
      </c>
      <c r="EJ294" s="2" t="s">
        <v>7217</v>
      </c>
      <c r="EK294" s="2" t="s">
        <v>7143</v>
      </c>
      <c r="EL294" s="2" t="s">
        <v>7143</v>
      </c>
      <c r="EN294" s="2" t="s">
        <v>7210</v>
      </c>
      <c r="EP294" s="2" t="s">
        <v>7186</v>
      </c>
      <c r="ER294" s="2" t="s">
        <v>7143</v>
      </c>
      <c r="ET294" s="2" t="s">
        <v>7143</v>
      </c>
      <c r="EV294" s="2" t="s">
        <v>7143</v>
      </c>
      <c r="EX294" s="2" t="s">
        <v>7143</v>
      </c>
      <c r="EZ294" s="2" t="s">
        <v>7143</v>
      </c>
      <c r="FC294" s="2" t="s">
        <v>7218</v>
      </c>
      <c r="FD294" s="2" t="s">
        <v>7143</v>
      </c>
      <c r="FH294" s="2" t="s">
        <v>7173</v>
      </c>
      <c r="FJ294" s="2" t="s">
        <v>7142</v>
      </c>
      <c r="FK294" s="2" t="s">
        <v>7173</v>
      </c>
      <c r="FN294" s="2" t="s">
        <v>8206</v>
      </c>
      <c r="FR294" s="2" t="s">
        <v>2041</v>
      </c>
      <c r="FT294" s="2" t="s">
        <v>7189</v>
      </c>
      <c r="FU294" s="2" t="s">
        <v>7189</v>
      </c>
      <c r="FV294" s="2" t="s">
        <v>7189</v>
      </c>
      <c r="FW294" s="2" t="s">
        <v>7189</v>
      </c>
      <c r="FZ294" s="19" t="s">
        <v>8207</v>
      </c>
    </row>
    <row r="295" spans="1:182">
      <c r="A295" s="7" t="s">
        <v>2042</v>
      </c>
      <c r="D295" s="7" t="s">
        <v>8208</v>
      </c>
      <c r="E295" s="7" t="s">
        <v>2043</v>
      </c>
      <c r="F295" s="7" t="s">
        <v>7311</v>
      </c>
      <c r="G295" s="7" t="s">
        <v>8167</v>
      </c>
      <c r="H295" s="7" t="s">
        <v>1966</v>
      </c>
      <c r="I295" s="7" t="s">
        <v>1967</v>
      </c>
      <c r="J295" s="16" t="s">
        <v>8209</v>
      </c>
      <c r="K295" s="7" t="s">
        <v>1967</v>
      </c>
      <c r="L295" s="7" t="s">
        <v>7137</v>
      </c>
      <c r="M295" s="7" t="s">
        <v>7138</v>
      </c>
      <c r="N295" s="7">
        <v>1965</v>
      </c>
      <c r="O295" s="7" t="s">
        <v>7180</v>
      </c>
      <c r="P295" s="7" t="s">
        <v>7140</v>
      </c>
      <c r="Q295" s="7" t="s">
        <v>7182</v>
      </c>
      <c r="R295" s="7" t="s">
        <v>7143</v>
      </c>
      <c r="S295" s="7">
        <v>17</v>
      </c>
      <c r="T295" s="7" t="s">
        <v>7143</v>
      </c>
      <c r="U295" s="7" t="s">
        <v>7143</v>
      </c>
      <c r="Y295" s="2">
        <v>390</v>
      </c>
      <c r="Z295" s="17">
        <v>0.61539999999999995</v>
      </c>
      <c r="AA295" s="2">
        <v>240</v>
      </c>
      <c r="AB295" s="2">
        <v>240</v>
      </c>
      <c r="AC295" s="7">
        <v>240</v>
      </c>
      <c r="AD295" s="2">
        <v>280</v>
      </c>
      <c r="AE295" s="2">
        <v>40</v>
      </c>
      <c r="AF295" s="2" t="s">
        <v>7143</v>
      </c>
      <c r="AG295" s="2" t="s">
        <v>7143</v>
      </c>
      <c r="AH295" s="2" t="s">
        <v>7143</v>
      </c>
      <c r="AJ295" s="2" t="s">
        <v>7143</v>
      </c>
      <c r="AK295" s="2" t="s">
        <v>7143</v>
      </c>
      <c r="AL295" s="2" t="s">
        <v>7142</v>
      </c>
      <c r="AM295" s="2" t="s">
        <v>7142</v>
      </c>
      <c r="AN295" s="2" t="s">
        <v>7143</v>
      </c>
      <c r="AO295" s="2" t="s">
        <v>7143</v>
      </c>
      <c r="AR295" s="7">
        <v>0.6</v>
      </c>
      <c r="AS295" s="7">
        <v>1</v>
      </c>
      <c r="AT295" s="7">
        <v>3</v>
      </c>
      <c r="AU295" s="2" t="s">
        <v>7144</v>
      </c>
      <c r="AV295" s="2" t="s">
        <v>7144</v>
      </c>
      <c r="AW295" s="2" t="s">
        <v>7143</v>
      </c>
      <c r="BC295" s="2" t="s">
        <v>7147</v>
      </c>
      <c r="BD295" s="2" t="s">
        <v>7142</v>
      </c>
      <c r="BE295" s="2" t="s">
        <v>7143</v>
      </c>
      <c r="BL295" s="2" t="s">
        <v>7152</v>
      </c>
      <c r="BM295" s="2" t="s">
        <v>7153</v>
      </c>
      <c r="BN295" s="2" t="s">
        <v>7154</v>
      </c>
      <c r="BO295" s="2" t="s">
        <v>7155</v>
      </c>
      <c r="BQ295" s="2" t="s">
        <v>7156</v>
      </c>
      <c r="BS295" s="2" t="s">
        <v>7142</v>
      </c>
      <c r="BT295" s="2" t="s">
        <v>7157</v>
      </c>
      <c r="BV295" s="2" t="s">
        <v>7363</v>
      </c>
      <c r="BX295" s="2" t="s">
        <v>7142</v>
      </c>
      <c r="BY295" s="2" t="s">
        <v>2044</v>
      </c>
      <c r="BZ295" s="2" t="s">
        <v>7159</v>
      </c>
      <c r="CE295" s="7">
        <v>3</v>
      </c>
      <c r="CF295" s="2">
        <v>280</v>
      </c>
      <c r="CK295" s="2">
        <v>100</v>
      </c>
      <c r="CP295" s="2">
        <v>100</v>
      </c>
      <c r="CR295" s="2" t="s">
        <v>7160</v>
      </c>
      <c r="CT295" s="2" t="s">
        <v>7143</v>
      </c>
      <c r="CU295" s="2" t="s">
        <v>7161</v>
      </c>
      <c r="CW295" s="2" t="s">
        <v>7162</v>
      </c>
      <c r="CY295" s="2" t="s">
        <v>7250</v>
      </c>
      <c r="CZ295" s="2" t="s">
        <v>7250</v>
      </c>
      <c r="DA295" s="2" t="s">
        <v>7250</v>
      </c>
      <c r="DB295" s="2" t="s">
        <v>7250</v>
      </c>
      <c r="DC295" s="2" t="s">
        <v>7250</v>
      </c>
      <c r="DD295" s="2" t="s">
        <v>7250</v>
      </c>
      <c r="DE295" s="2" t="s">
        <v>7250</v>
      </c>
      <c r="DF295" s="2" t="s">
        <v>7250</v>
      </c>
      <c r="DG295" s="2" t="s">
        <v>7250</v>
      </c>
      <c r="DH295" s="2" t="s">
        <v>7250</v>
      </c>
      <c r="DI295" s="2" t="s">
        <v>7250</v>
      </c>
      <c r="DL295" s="2" t="s">
        <v>7143</v>
      </c>
      <c r="DM295" s="2" t="s">
        <v>7143</v>
      </c>
      <c r="DP295" s="2" t="s">
        <v>7159</v>
      </c>
      <c r="DT295" s="2" t="s">
        <v>7159</v>
      </c>
      <c r="DU295" s="2" t="s">
        <v>7159</v>
      </c>
      <c r="DV295" s="2" t="s">
        <v>7159</v>
      </c>
      <c r="DW295" s="2" t="s">
        <v>7159</v>
      </c>
      <c r="DX295" s="2" t="s">
        <v>7159</v>
      </c>
      <c r="DY295" s="2" t="s">
        <v>7159</v>
      </c>
      <c r="DZ295" s="2" t="s">
        <v>7159</v>
      </c>
      <c r="EA295" s="2" t="s">
        <v>7159</v>
      </c>
      <c r="EB295" s="2" t="s">
        <v>7159</v>
      </c>
      <c r="EC295" s="2" t="s">
        <v>7159</v>
      </c>
      <c r="ED295" s="2" t="s">
        <v>7159</v>
      </c>
      <c r="EE295" s="2" t="s">
        <v>2045</v>
      </c>
      <c r="EF295" s="2" t="s">
        <v>7221</v>
      </c>
      <c r="EG295" s="2" t="s">
        <v>2046</v>
      </c>
      <c r="EJ295" s="2" t="s">
        <v>7193</v>
      </c>
      <c r="EK295" s="2" t="s">
        <v>7143</v>
      </c>
      <c r="EL295" s="2" t="s">
        <v>7142</v>
      </c>
      <c r="EM295" s="2" t="s">
        <v>7937</v>
      </c>
      <c r="EN295" s="2" t="s">
        <v>7170</v>
      </c>
      <c r="EP295" s="2" t="s">
        <v>7186</v>
      </c>
      <c r="ER295" s="2" t="s">
        <v>7143</v>
      </c>
      <c r="ET295" s="2" t="s">
        <v>7143</v>
      </c>
      <c r="EV295" s="2" t="s">
        <v>7143</v>
      </c>
      <c r="EX295" s="2" t="s">
        <v>7143</v>
      </c>
      <c r="EZ295" s="2" t="s">
        <v>7143</v>
      </c>
      <c r="FC295" s="2" t="s">
        <v>7172</v>
      </c>
      <c r="FD295" s="2" t="s">
        <v>7143</v>
      </c>
      <c r="FH295" s="2" t="s">
        <v>7173</v>
      </c>
      <c r="FJ295" s="2" t="s">
        <v>7143</v>
      </c>
      <c r="FK295" s="2" t="s">
        <v>7173</v>
      </c>
      <c r="FN295" s="2" t="s">
        <v>7322</v>
      </c>
      <c r="FR295" s="2" t="s">
        <v>2047</v>
      </c>
      <c r="FT295" s="2" t="s">
        <v>7189</v>
      </c>
      <c r="FU295" s="2" t="s">
        <v>7189</v>
      </c>
      <c r="FV295" s="2" t="s">
        <v>7176</v>
      </c>
      <c r="FW295" s="2" t="s">
        <v>7176</v>
      </c>
      <c r="FX295" s="2" t="s">
        <v>7176</v>
      </c>
      <c r="FY295" s="2" t="s">
        <v>2048</v>
      </c>
      <c r="FZ295" s="19" t="s">
        <v>8210</v>
      </c>
    </row>
    <row r="296" spans="1:182">
      <c r="A296" s="7" t="s">
        <v>2049</v>
      </c>
      <c r="D296" s="7" t="s">
        <v>8211</v>
      </c>
      <c r="E296" s="7" t="s">
        <v>2050</v>
      </c>
      <c r="F296" s="7" t="s">
        <v>7339</v>
      </c>
      <c r="G296" s="7" t="s">
        <v>8167</v>
      </c>
      <c r="H296" s="7" t="s">
        <v>2051</v>
      </c>
      <c r="I296" s="7" t="s">
        <v>2052</v>
      </c>
      <c r="J296" s="16" t="s">
        <v>8212</v>
      </c>
      <c r="K296" s="7" t="s">
        <v>2052</v>
      </c>
      <c r="L296" s="2" t="s">
        <v>7137</v>
      </c>
      <c r="M296" s="7" t="s">
        <v>7138</v>
      </c>
      <c r="N296" s="7">
        <v>1993</v>
      </c>
      <c r="O296" s="7" t="s">
        <v>7180</v>
      </c>
      <c r="P296" s="2" t="s">
        <v>7140</v>
      </c>
      <c r="Q296" s="2" t="s">
        <v>7182</v>
      </c>
      <c r="R296" s="2" t="s">
        <v>7143</v>
      </c>
      <c r="S296" s="2">
        <v>31</v>
      </c>
      <c r="T296" s="2" t="s">
        <v>7143</v>
      </c>
      <c r="U296" s="2" t="s">
        <v>7143</v>
      </c>
      <c r="Y296" s="2">
        <v>195</v>
      </c>
      <c r="Z296" s="17">
        <v>0.75380000000000003</v>
      </c>
      <c r="AA296" s="2">
        <v>147</v>
      </c>
      <c r="AB296" s="2">
        <v>147</v>
      </c>
      <c r="AC296" s="7">
        <v>147</v>
      </c>
      <c r="AD296" s="2">
        <v>227</v>
      </c>
      <c r="AE296" s="2">
        <v>80</v>
      </c>
      <c r="AF296" s="2" t="s">
        <v>7143</v>
      </c>
      <c r="AG296" s="2" t="s">
        <v>7143</v>
      </c>
      <c r="AH296" s="2" t="s">
        <v>7143</v>
      </c>
      <c r="AJ296" s="2" t="s">
        <v>7143</v>
      </c>
      <c r="AK296" s="2" t="s">
        <v>7143</v>
      </c>
      <c r="AL296" s="2" t="s">
        <v>7143</v>
      </c>
      <c r="AM296" s="2" t="s">
        <v>7143</v>
      </c>
      <c r="AN296" s="2" t="s">
        <v>7143</v>
      </c>
      <c r="AO296" s="2" t="s">
        <v>7142</v>
      </c>
      <c r="AR296" s="7">
        <v>1.2</v>
      </c>
      <c r="AS296" s="7">
        <v>1</v>
      </c>
      <c r="AT296" s="7">
        <v>2.2999999999999998</v>
      </c>
      <c r="AU296" s="2" t="s">
        <v>7193</v>
      </c>
      <c r="AV296" s="2" t="s">
        <v>7193</v>
      </c>
      <c r="AW296" s="2" t="s">
        <v>7143</v>
      </c>
      <c r="AZ296" s="2" t="s">
        <v>7145</v>
      </c>
      <c r="BB296" s="2" t="s">
        <v>7214</v>
      </c>
      <c r="BC296" s="2" t="s">
        <v>7147</v>
      </c>
      <c r="BD296" s="2" t="s">
        <v>7143</v>
      </c>
      <c r="BE296" s="2" t="s">
        <v>7142</v>
      </c>
      <c r="BF296" s="2" t="s">
        <v>7148</v>
      </c>
      <c r="BG296" s="2" t="s">
        <v>7149</v>
      </c>
      <c r="BH296" s="2" t="s">
        <v>7150</v>
      </c>
      <c r="BI296" s="2" t="s">
        <v>7151</v>
      </c>
      <c r="BL296" s="2" t="s">
        <v>7152</v>
      </c>
      <c r="BM296" s="2" t="s">
        <v>7153</v>
      </c>
      <c r="BN296" s="2" t="s">
        <v>7154</v>
      </c>
      <c r="BO296" s="2" t="s">
        <v>7155</v>
      </c>
      <c r="BQ296" s="2" t="s">
        <v>7156</v>
      </c>
      <c r="BS296" s="2" t="s">
        <v>7142</v>
      </c>
      <c r="BT296" s="2" t="s">
        <v>7341</v>
      </c>
      <c r="BV296" s="2" t="s">
        <v>7966</v>
      </c>
      <c r="BX296" s="2" t="s">
        <v>7142</v>
      </c>
      <c r="BY296" s="2" t="s">
        <v>2053</v>
      </c>
      <c r="BZ296" s="2" t="s">
        <v>7165</v>
      </c>
      <c r="CA296" s="2" t="s">
        <v>2054</v>
      </c>
      <c r="CE296" s="7">
        <v>2.2999999999999998</v>
      </c>
      <c r="CF296" s="2">
        <v>227</v>
      </c>
      <c r="CM296" s="2">
        <v>100</v>
      </c>
      <c r="CO296" s="2">
        <v>100</v>
      </c>
      <c r="CR296" s="2" t="s">
        <v>7357</v>
      </c>
      <c r="CT296" s="2" t="s">
        <v>7143</v>
      </c>
      <c r="CU296" s="2" t="s">
        <v>7161</v>
      </c>
      <c r="CW296" s="2" t="s">
        <v>7162</v>
      </c>
      <c r="CY296" s="2" t="s">
        <v>7227</v>
      </c>
      <c r="CZ296" s="2" t="s">
        <v>7227</v>
      </c>
      <c r="DA296" s="2" t="s">
        <v>7250</v>
      </c>
      <c r="DB296" s="2" t="s">
        <v>7250</v>
      </c>
      <c r="DC296" s="2" t="s">
        <v>7249</v>
      </c>
      <c r="DD296" s="2" t="s">
        <v>7249</v>
      </c>
      <c r="DE296" s="2" t="s">
        <v>7227</v>
      </c>
      <c r="DF296" s="2" t="s">
        <v>7227</v>
      </c>
      <c r="DG296" s="2" t="s">
        <v>7227</v>
      </c>
      <c r="DH296" s="2" t="s">
        <v>7227</v>
      </c>
      <c r="DI296" s="2" t="s">
        <v>7249</v>
      </c>
      <c r="DL296" s="2" t="s">
        <v>7142</v>
      </c>
      <c r="DM296" s="2" t="s">
        <v>7142</v>
      </c>
      <c r="DN296" s="2" t="s">
        <v>7142</v>
      </c>
      <c r="DO296" s="2" t="s">
        <v>7142</v>
      </c>
      <c r="DP296" s="2" t="s">
        <v>7165</v>
      </c>
      <c r="DQ296" s="2" t="s">
        <v>7333</v>
      </c>
      <c r="DR296" s="2" t="s">
        <v>2055</v>
      </c>
      <c r="DT296" s="2" t="s">
        <v>7165</v>
      </c>
      <c r="DU296" s="2" t="s">
        <v>7165</v>
      </c>
      <c r="DV296" s="2" t="s">
        <v>7165</v>
      </c>
      <c r="DW296" s="2" t="s">
        <v>7165</v>
      </c>
      <c r="DX296" s="2" t="s">
        <v>7165</v>
      </c>
      <c r="DY296" s="2" t="s">
        <v>7159</v>
      </c>
      <c r="DZ296" s="2" t="s">
        <v>7159</v>
      </c>
      <c r="EA296" s="2" t="s">
        <v>7159</v>
      </c>
      <c r="EB296" s="2" t="s">
        <v>7165</v>
      </c>
      <c r="EF296" s="2" t="s">
        <v>7221</v>
      </c>
      <c r="EJ296" s="2" t="s">
        <v>7193</v>
      </c>
      <c r="EK296" s="2" t="s">
        <v>7142</v>
      </c>
      <c r="EL296" s="2" t="s">
        <v>7143</v>
      </c>
      <c r="EN296" s="2" t="s">
        <v>7170</v>
      </c>
      <c r="EP296" s="2" t="s">
        <v>7186</v>
      </c>
      <c r="ER296" s="2" t="s">
        <v>7142</v>
      </c>
      <c r="ET296" s="2" t="s">
        <v>7143</v>
      </c>
      <c r="EV296" s="2" t="s">
        <v>7143</v>
      </c>
      <c r="EX296" s="2" t="s">
        <v>7143</v>
      </c>
      <c r="EZ296" s="2" t="s">
        <v>7143</v>
      </c>
      <c r="FC296" s="2" t="s">
        <v>7218</v>
      </c>
      <c r="FD296" s="2" t="s">
        <v>7143</v>
      </c>
      <c r="FH296" s="2" t="s">
        <v>7173</v>
      </c>
      <c r="FJ296" s="2" t="s">
        <v>7143</v>
      </c>
      <c r="FK296" s="2" t="s">
        <v>7173</v>
      </c>
      <c r="FN296" s="2" t="s">
        <v>7344</v>
      </c>
      <c r="FR296" s="2" t="s">
        <v>708</v>
      </c>
      <c r="FT296" s="2" t="s">
        <v>7189</v>
      </c>
      <c r="FU296" s="2" t="s">
        <v>7189</v>
      </c>
      <c r="FV296" s="2" t="s">
        <v>7189</v>
      </c>
      <c r="FW296" s="2" t="s">
        <v>7189</v>
      </c>
      <c r="FX296" s="2" t="s">
        <v>7189</v>
      </c>
      <c r="FZ296" s="19" t="s">
        <v>8213</v>
      </c>
    </row>
    <row r="297" spans="1:182">
      <c r="A297" s="7" t="s">
        <v>2056</v>
      </c>
      <c r="D297" s="7" t="s">
        <v>8214</v>
      </c>
      <c r="E297" s="7" t="s">
        <v>2057</v>
      </c>
      <c r="F297" s="7" t="s">
        <v>7319</v>
      </c>
      <c r="G297" s="7" t="s">
        <v>8167</v>
      </c>
      <c r="H297" s="7" t="s">
        <v>2058</v>
      </c>
      <c r="I297" s="7" t="s">
        <v>2059</v>
      </c>
      <c r="J297" s="16" t="s">
        <v>8215</v>
      </c>
      <c r="K297" s="7" t="s">
        <v>2059</v>
      </c>
      <c r="L297" s="7" t="s">
        <v>7137</v>
      </c>
      <c r="M297" s="7" t="s">
        <v>7138</v>
      </c>
      <c r="N297" s="7">
        <v>1999</v>
      </c>
      <c r="O297" s="7" t="s">
        <v>7490</v>
      </c>
      <c r="P297" s="7" t="s">
        <v>7140</v>
      </c>
      <c r="Q297" s="7" t="s">
        <v>7141</v>
      </c>
      <c r="R297" s="7" t="s">
        <v>7143</v>
      </c>
      <c r="S297" s="2">
        <v>30</v>
      </c>
      <c r="T297" s="7" t="s">
        <v>7143</v>
      </c>
      <c r="U297" s="7" t="s">
        <v>7143</v>
      </c>
      <c r="Y297" s="2">
        <v>130</v>
      </c>
      <c r="Z297" s="17">
        <v>0.23080000000000001</v>
      </c>
      <c r="AA297" s="2">
        <v>30</v>
      </c>
      <c r="AB297" s="2">
        <v>20</v>
      </c>
      <c r="AC297" s="7">
        <v>-20</v>
      </c>
      <c r="AD297" s="2">
        <v>0</v>
      </c>
      <c r="AE297" s="2">
        <v>20</v>
      </c>
      <c r="AF297" s="2" t="s">
        <v>7142</v>
      </c>
      <c r="AG297" s="2" t="s">
        <v>7143</v>
      </c>
      <c r="AH297" s="2" t="s">
        <v>7143</v>
      </c>
      <c r="AJ297" s="2" t="s">
        <v>7143</v>
      </c>
      <c r="AK297" s="2" t="s">
        <v>7143</v>
      </c>
      <c r="AL297" s="2" t="s">
        <v>7142</v>
      </c>
      <c r="AM297" s="2" t="s">
        <v>7142</v>
      </c>
      <c r="AN297" s="2" t="s">
        <v>7142</v>
      </c>
      <c r="AO297" s="2" t="s">
        <v>7143</v>
      </c>
      <c r="AR297" s="7">
        <v>2.4</v>
      </c>
      <c r="AS297" s="7">
        <v>3</v>
      </c>
      <c r="AT297" s="7">
        <v>0</v>
      </c>
      <c r="AU297" s="2" t="s">
        <v>7193</v>
      </c>
      <c r="AV297" s="2" t="s">
        <v>7217</v>
      </c>
      <c r="AW297" s="2" t="s">
        <v>7143</v>
      </c>
      <c r="AZ297" s="2" t="s">
        <v>7337</v>
      </c>
      <c r="BB297" s="2" t="s">
        <v>7146</v>
      </c>
      <c r="BC297" s="2" t="s">
        <v>7247</v>
      </c>
      <c r="BD297" s="2" t="s">
        <v>7142</v>
      </c>
      <c r="BE297" s="2" t="s">
        <v>7142</v>
      </c>
      <c r="BF297" s="2" t="s">
        <v>7148</v>
      </c>
      <c r="BG297" s="2" t="s">
        <v>7149</v>
      </c>
      <c r="BH297" s="2" t="s">
        <v>7233</v>
      </c>
      <c r="BI297" s="2" t="s">
        <v>7151</v>
      </c>
      <c r="BL297" s="2" t="s">
        <v>7152</v>
      </c>
      <c r="BM297" s="2" t="s">
        <v>7153</v>
      </c>
      <c r="BN297" s="2" t="s">
        <v>7154</v>
      </c>
      <c r="BO297" s="2" t="s">
        <v>7155</v>
      </c>
      <c r="BQ297" s="2" t="s">
        <v>7256</v>
      </c>
      <c r="BS297" s="2" t="s">
        <v>7142</v>
      </c>
      <c r="BT297" s="2" t="s">
        <v>7238</v>
      </c>
      <c r="BU297" s="2" t="s">
        <v>429</v>
      </c>
      <c r="BV297" s="2" t="s">
        <v>7363</v>
      </c>
      <c r="BX297" s="2" t="s">
        <v>7143</v>
      </c>
      <c r="BY297" s="2" t="s">
        <v>2060</v>
      </c>
      <c r="BZ297" s="2" t="s">
        <v>7159</v>
      </c>
      <c r="CE297" s="7">
        <v>0</v>
      </c>
      <c r="CF297" s="2">
        <v>0</v>
      </c>
      <c r="CH297" s="2">
        <v>0</v>
      </c>
      <c r="CI297" s="2">
        <v>0</v>
      </c>
      <c r="CJ297" s="2">
        <v>0</v>
      </c>
      <c r="CK297" s="2">
        <v>0</v>
      </c>
      <c r="CL297" s="2">
        <v>0</v>
      </c>
      <c r="CM297" s="2">
        <v>0</v>
      </c>
      <c r="CO297" s="2">
        <v>0</v>
      </c>
      <c r="CP297" s="2">
        <v>0</v>
      </c>
      <c r="CQ297" s="2">
        <v>0</v>
      </c>
      <c r="CR297" s="2" t="s">
        <v>7160</v>
      </c>
      <c r="CT297" s="2" t="s">
        <v>7143</v>
      </c>
      <c r="CU297" s="2" t="s">
        <v>7161</v>
      </c>
      <c r="CW297" s="2" t="s">
        <v>7162</v>
      </c>
      <c r="CY297" s="2" t="s">
        <v>7250</v>
      </c>
      <c r="CZ297" s="2" t="s">
        <v>7250</v>
      </c>
      <c r="DA297" s="2" t="s">
        <v>7250</v>
      </c>
      <c r="DB297" s="2" t="s">
        <v>7250</v>
      </c>
      <c r="DC297" s="2" t="s">
        <v>7250</v>
      </c>
      <c r="DD297" s="2" t="s">
        <v>7321</v>
      </c>
      <c r="DE297" s="2" t="s">
        <v>7250</v>
      </c>
      <c r="DF297" s="2" t="s">
        <v>7321</v>
      </c>
      <c r="DG297" s="2" t="s">
        <v>7250</v>
      </c>
      <c r="DH297" s="2" t="s">
        <v>7250</v>
      </c>
      <c r="DI297" s="2" t="s">
        <v>7250</v>
      </c>
      <c r="DL297" s="2" t="s">
        <v>7143</v>
      </c>
      <c r="DM297" s="2" t="s">
        <v>7143</v>
      </c>
      <c r="DP297" s="2" t="s">
        <v>7173</v>
      </c>
      <c r="DT297" s="2" t="s">
        <v>7159</v>
      </c>
      <c r="DU297" s="2" t="s">
        <v>7159</v>
      </c>
      <c r="DV297" s="2" t="s">
        <v>7159</v>
      </c>
      <c r="DW297" s="2" t="s">
        <v>7159</v>
      </c>
      <c r="DX297" s="2" t="s">
        <v>7159</v>
      </c>
      <c r="DY297" s="2" t="s">
        <v>7159</v>
      </c>
      <c r="DZ297" s="2" t="s">
        <v>7159</v>
      </c>
      <c r="EA297" s="2" t="s">
        <v>7159</v>
      </c>
      <c r="EB297" s="2" t="s">
        <v>7159</v>
      </c>
      <c r="EC297" s="2" t="s">
        <v>7159</v>
      </c>
      <c r="ED297" s="2" t="s">
        <v>7159</v>
      </c>
      <c r="EE297" s="2" t="s">
        <v>2061</v>
      </c>
      <c r="EF297" s="2" t="s">
        <v>7252</v>
      </c>
      <c r="EG297" s="2" t="s">
        <v>2062</v>
      </c>
      <c r="EJ297" s="2" t="s">
        <v>7217</v>
      </c>
      <c r="EK297" s="2" t="s">
        <v>7143</v>
      </c>
      <c r="EL297" s="2" t="s">
        <v>7143</v>
      </c>
      <c r="EN297" s="2" t="s">
        <v>7210</v>
      </c>
      <c r="EP297" s="2" t="s">
        <v>7186</v>
      </c>
      <c r="ER297" s="2" t="s">
        <v>7143</v>
      </c>
      <c r="ET297" s="2" t="s">
        <v>7143</v>
      </c>
      <c r="EV297" s="2" t="s">
        <v>7143</v>
      </c>
      <c r="EX297" s="2" t="s">
        <v>7143</v>
      </c>
      <c r="EZ297" s="2" t="s">
        <v>7143</v>
      </c>
      <c r="FC297" s="2" t="s">
        <v>7218</v>
      </c>
      <c r="FD297" s="2" t="s">
        <v>7143</v>
      </c>
      <c r="FH297" s="2" t="s">
        <v>7173</v>
      </c>
      <c r="FJ297" s="2" t="s">
        <v>7143</v>
      </c>
      <c r="FK297" s="2" t="s">
        <v>7173</v>
      </c>
      <c r="FN297" s="2" t="s">
        <v>7253</v>
      </c>
      <c r="FR297" s="2" t="s">
        <v>1931</v>
      </c>
      <c r="FT297" s="2" t="s">
        <v>7189</v>
      </c>
      <c r="FU297" s="2" t="s">
        <v>7189</v>
      </c>
      <c r="FV297" s="2" t="s">
        <v>7176</v>
      </c>
      <c r="FW297" s="2" t="s">
        <v>7189</v>
      </c>
      <c r="FX297" s="2" t="s">
        <v>7345</v>
      </c>
      <c r="FZ297" s="19" t="s">
        <v>8216</v>
      </c>
    </row>
    <row r="298" spans="1:182">
      <c r="A298" s="7" t="s">
        <v>2063</v>
      </c>
      <c r="D298" s="7" t="s">
        <v>8217</v>
      </c>
      <c r="E298" s="7" t="s">
        <v>177</v>
      </c>
      <c r="F298" s="7" t="s">
        <v>7245</v>
      </c>
      <c r="G298" s="7" t="s">
        <v>8167</v>
      </c>
      <c r="H298" s="7" t="s">
        <v>1996</v>
      </c>
      <c r="I298" s="7" t="s">
        <v>2064</v>
      </c>
      <c r="J298" s="16" t="s">
        <v>8218</v>
      </c>
      <c r="K298" s="7" t="s">
        <v>2065</v>
      </c>
      <c r="L298" s="7" t="s">
        <v>7137</v>
      </c>
      <c r="M298" s="7" t="s">
        <v>7179</v>
      </c>
      <c r="N298" s="7">
        <v>1959</v>
      </c>
      <c r="O298" s="7" t="s">
        <v>7180</v>
      </c>
      <c r="P298" s="7" t="s">
        <v>7181</v>
      </c>
      <c r="Q298" s="7" t="s">
        <v>7182</v>
      </c>
      <c r="R298" s="2" t="s">
        <v>7143</v>
      </c>
      <c r="S298" s="7">
        <v>2019</v>
      </c>
      <c r="T298" s="7" t="s">
        <v>7143</v>
      </c>
      <c r="U298" s="7" t="s">
        <v>7143</v>
      </c>
      <c r="Y298" s="2">
        <v>600</v>
      </c>
      <c r="Z298" s="17">
        <v>1</v>
      </c>
      <c r="AA298" s="2">
        <v>600</v>
      </c>
      <c r="AB298" s="2">
        <v>580</v>
      </c>
      <c r="AC298" s="7">
        <v>375</v>
      </c>
      <c r="AD298" s="2">
        <v>450</v>
      </c>
      <c r="AE298" s="2">
        <v>75</v>
      </c>
      <c r="AF298" s="2" t="s">
        <v>7143</v>
      </c>
      <c r="AG298" s="2" t="s">
        <v>7142</v>
      </c>
      <c r="AH298" s="2" t="s">
        <v>7142</v>
      </c>
      <c r="AI298" s="2" t="s">
        <v>2066</v>
      </c>
      <c r="AJ298" s="2" t="s">
        <v>7143</v>
      </c>
      <c r="AK298" s="2" t="s">
        <v>7143</v>
      </c>
      <c r="AL298" s="2" t="s">
        <v>7143</v>
      </c>
      <c r="AM298" s="2" t="s">
        <v>7143</v>
      </c>
      <c r="AN298" s="2" t="s">
        <v>7143</v>
      </c>
      <c r="AO298" s="2" t="s">
        <v>7143</v>
      </c>
      <c r="AR298" s="7">
        <v>1.9</v>
      </c>
      <c r="AS298" s="7">
        <v>2</v>
      </c>
      <c r="AT298" s="7">
        <v>5</v>
      </c>
      <c r="AU298" s="7" t="s">
        <v>7193</v>
      </c>
      <c r="AV298" s="7" t="s">
        <v>7193</v>
      </c>
      <c r="AW298" s="7" t="s">
        <v>7143</v>
      </c>
      <c r="AZ298" s="7" t="s">
        <v>7145</v>
      </c>
      <c r="BB298" s="7" t="s">
        <v>7214</v>
      </c>
      <c r="BC298" s="7" t="s">
        <v>7147</v>
      </c>
      <c r="BD298" s="7" t="s">
        <v>7142</v>
      </c>
      <c r="BE298" s="7" t="s">
        <v>7142</v>
      </c>
      <c r="BF298" s="7" t="s">
        <v>7148</v>
      </c>
      <c r="BG298" s="7" t="s">
        <v>7149</v>
      </c>
      <c r="BH298" s="7" t="s">
        <v>7150</v>
      </c>
      <c r="BI298" s="7" t="s">
        <v>7151</v>
      </c>
      <c r="BL298" s="7" t="s">
        <v>7152</v>
      </c>
      <c r="BM298" s="7" t="s">
        <v>7153</v>
      </c>
      <c r="BN298" s="7" t="s">
        <v>7154</v>
      </c>
      <c r="BO298" s="7" t="s">
        <v>7155</v>
      </c>
      <c r="BQ298" s="2" t="s">
        <v>7256</v>
      </c>
      <c r="BS298" s="7" t="s">
        <v>7142</v>
      </c>
      <c r="BT298" s="7" t="s">
        <v>7215</v>
      </c>
      <c r="BV298" s="2" t="s">
        <v>7264</v>
      </c>
      <c r="BX298" s="2" t="s">
        <v>7142</v>
      </c>
      <c r="BY298" s="2" t="s">
        <v>2067</v>
      </c>
      <c r="BZ298" s="2" t="s">
        <v>7173</v>
      </c>
      <c r="CE298" s="7">
        <v>5</v>
      </c>
      <c r="CF298" s="2">
        <v>480</v>
      </c>
      <c r="CK298" s="2">
        <v>100</v>
      </c>
      <c r="CO298" s="2">
        <v>100</v>
      </c>
      <c r="CR298" s="7" t="s">
        <v>7160</v>
      </c>
      <c r="CT298" s="2" t="s">
        <v>7143</v>
      </c>
      <c r="CU298" s="7" t="s">
        <v>7161</v>
      </c>
      <c r="CW298" s="7" t="s">
        <v>7162</v>
      </c>
      <c r="CY298" s="7" t="s">
        <v>7163</v>
      </c>
      <c r="CZ298" s="7" t="s">
        <v>7163</v>
      </c>
      <c r="DA298" s="2" t="s">
        <v>7249</v>
      </c>
      <c r="DB298" s="7" t="s">
        <v>7164</v>
      </c>
      <c r="DC298" s="7" t="s">
        <v>7250</v>
      </c>
      <c r="DD298" s="2" t="s">
        <v>7251</v>
      </c>
      <c r="DE298" s="7" t="s">
        <v>7250</v>
      </c>
      <c r="DF298" s="7" t="s">
        <v>7163</v>
      </c>
      <c r="DG298" s="7" t="s">
        <v>7163</v>
      </c>
      <c r="DH298" s="2" t="s">
        <v>7163</v>
      </c>
      <c r="DI298" s="2" t="s">
        <v>7163</v>
      </c>
      <c r="DL298" s="7" t="s">
        <v>7142</v>
      </c>
      <c r="DM298" s="7" t="s">
        <v>7142</v>
      </c>
      <c r="DN298" s="7" t="s">
        <v>7142</v>
      </c>
      <c r="DO298" s="7" t="s">
        <v>7142</v>
      </c>
      <c r="DP298" s="7" t="s">
        <v>7165</v>
      </c>
      <c r="DQ298" s="7" t="s">
        <v>7166</v>
      </c>
      <c r="DT298" s="2" t="s">
        <v>7165</v>
      </c>
      <c r="DU298" s="2" t="s">
        <v>7165</v>
      </c>
      <c r="DV298" s="2" t="s">
        <v>7165</v>
      </c>
      <c r="DW298" s="2" t="s">
        <v>7165</v>
      </c>
      <c r="DX298" s="2" t="s">
        <v>7165</v>
      </c>
      <c r="DY298" s="2" t="s">
        <v>7159</v>
      </c>
      <c r="DZ298" s="2" t="s">
        <v>7159</v>
      </c>
      <c r="EA298" s="2" t="s">
        <v>7165</v>
      </c>
      <c r="EB298" s="2" t="s">
        <v>7165</v>
      </c>
      <c r="EC298" s="2" t="s">
        <v>7159</v>
      </c>
      <c r="EF298" s="7" t="s">
        <v>7167</v>
      </c>
      <c r="EJ298" s="7" t="s">
        <v>7193</v>
      </c>
      <c r="EK298" s="7" t="s">
        <v>7142</v>
      </c>
      <c r="EL298" s="7" t="s">
        <v>7143</v>
      </c>
      <c r="EN298" s="7" t="s">
        <v>7170</v>
      </c>
      <c r="EP298" s="7" t="s">
        <v>7186</v>
      </c>
      <c r="ER298" s="2" t="s">
        <v>7142</v>
      </c>
      <c r="ET298" s="7" t="s">
        <v>7143</v>
      </c>
      <c r="EV298" s="2" t="s">
        <v>7142</v>
      </c>
      <c r="EW298" s="2" t="s">
        <v>7204</v>
      </c>
      <c r="EX298" s="2" t="s">
        <v>7143</v>
      </c>
      <c r="FC298" s="2" t="s">
        <v>7172</v>
      </c>
      <c r="FD298" s="2" t="s">
        <v>7143</v>
      </c>
      <c r="FH298" s="7" t="s">
        <v>7173</v>
      </c>
      <c r="FJ298" s="7" t="s">
        <v>7143</v>
      </c>
      <c r="FK298" s="7" t="s">
        <v>7165</v>
      </c>
      <c r="FL298" s="7" t="s">
        <v>7260</v>
      </c>
      <c r="FN298" s="2" t="s">
        <v>7253</v>
      </c>
      <c r="FT298" s="2" t="s">
        <v>7176</v>
      </c>
      <c r="FU298" s="2" t="s">
        <v>7189</v>
      </c>
      <c r="FV298" s="2" t="s">
        <v>7189</v>
      </c>
      <c r="FW298" s="2" t="s">
        <v>7189</v>
      </c>
      <c r="FZ298" s="19" t="s">
        <v>8219</v>
      </c>
    </row>
    <row r="299" spans="1:182">
      <c r="A299" s="7" t="s">
        <v>2068</v>
      </c>
      <c r="D299" s="7" t="s">
        <v>8220</v>
      </c>
      <c r="E299" s="7" t="s">
        <v>2069</v>
      </c>
      <c r="F299" s="7" t="s">
        <v>7319</v>
      </c>
      <c r="G299" s="7" t="s">
        <v>8167</v>
      </c>
      <c r="H299" s="7" t="s">
        <v>2070</v>
      </c>
      <c r="I299" s="7" t="s">
        <v>2071</v>
      </c>
      <c r="J299" s="16" t="s">
        <v>8221</v>
      </c>
      <c r="K299" s="7" t="s">
        <v>2071</v>
      </c>
      <c r="L299" s="7" t="s">
        <v>7137</v>
      </c>
      <c r="M299" s="7" t="s">
        <v>7138</v>
      </c>
      <c r="N299" s="7">
        <v>1973</v>
      </c>
      <c r="O299" s="7" t="s">
        <v>7490</v>
      </c>
      <c r="P299" s="7" t="s">
        <v>7140</v>
      </c>
      <c r="Q299" s="7" t="s">
        <v>7225</v>
      </c>
      <c r="R299" s="7" t="s">
        <v>7143</v>
      </c>
      <c r="S299" s="7">
        <v>27</v>
      </c>
      <c r="T299" s="7" t="s">
        <v>7143</v>
      </c>
      <c r="U299" s="7" t="s">
        <v>7143</v>
      </c>
      <c r="Y299" s="2">
        <v>170</v>
      </c>
      <c r="Z299" s="17">
        <v>0.85289999999999999</v>
      </c>
      <c r="AA299" s="2">
        <v>145</v>
      </c>
      <c r="AB299" s="2">
        <v>125</v>
      </c>
      <c r="AC299" s="7">
        <v>105</v>
      </c>
      <c r="AD299" s="2">
        <v>140</v>
      </c>
      <c r="AE299" s="2">
        <v>35</v>
      </c>
      <c r="AF299" s="2" t="s">
        <v>7142</v>
      </c>
      <c r="AG299" s="2" t="s">
        <v>7143</v>
      </c>
      <c r="AH299" s="2" t="s">
        <v>7143</v>
      </c>
      <c r="AJ299" s="2" t="s">
        <v>7143</v>
      </c>
      <c r="AK299" s="2" t="s">
        <v>7142</v>
      </c>
      <c r="AL299" s="2" t="s">
        <v>7142</v>
      </c>
      <c r="AM299" s="2" t="s">
        <v>7142</v>
      </c>
      <c r="AN299" s="2" t="s">
        <v>7143</v>
      </c>
      <c r="AO299" s="2" t="s">
        <v>7143</v>
      </c>
      <c r="AR299" s="7">
        <v>0.5</v>
      </c>
      <c r="AS299" s="7">
        <v>1</v>
      </c>
      <c r="AT299" s="7">
        <v>1.4</v>
      </c>
      <c r="AU299" s="2" t="s">
        <v>7144</v>
      </c>
      <c r="AV299" s="2" t="s">
        <v>7193</v>
      </c>
      <c r="AW299" s="2" t="s">
        <v>7143</v>
      </c>
      <c r="AZ299" s="2" t="s">
        <v>8026</v>
      </c>
      <c r="BB299" s="2" t="s">
        <v>7214</v>
      </c>
      <c r="BC299" s="2" t="s">
        <v>7247</v>
      </c>
      <c r="BD299" s="2" t="s">
        <v>7142</v>
      </c>
      <c r="BE299" s="2" t="s">
        <v>7142</v>
      </c>
      <c r="BF299" s="2" t="s">
        <v>7148</v>
      </c>
      <c r="BG299" s="2" t="s">
        <v>7149</v>
      </c>
      <c r="BH299" s="2" t="s">
        <v>7233</v>
      </c>
      <c r="BI299" s="2" t="s">
        <v>7567</v>
      </c>
      <c r="BL299" s="2" t="s">
        <v>7195</v>
      </c>
      <c r="BO299" s="2" t="s">
        <v>7155</v>
      </c>
      <c r="BQ299" s="2" t="s">
        <v>7183</v>
      </c>
      <c r="BS299" s="2" t="s">
        <v>7142</v>
      </c>
      <c r="BT299" s="2" t="s">
        <v>7215</v>
      </c>
      <c r="BV299" s="2" t="s">
        <v>7197</v>
      </c>
      <c r="BX299" s="2" t="s">
        <v>7143</v>
      </c>
      <c r="BZ299" s="2" t="s">
        <v>7173</v>
      </c>
      <c r="CE299" s="7">
        <v>1.4</v>
      </c>
      <c r="CF299" s="2">
        <v>140</v>
      </c>
      <c r="CK299" s="2">
        <v>100</v>
      </c>
      <c r="CO299" s="2">
        <v>100</v>
      </c>
      <c r="CR299" s="2" t="s">
        <v>7160</v>
      </c>
      <c r="CT299" s="2" t="s">
        <v>7143</v>
      </c>
      <c r="CU299" s="2" t="s">
        <v>7161</v>
      </c>
      <c r="CW299" s="2" t="s">
        <v>7162</v>
      </c>
      <c r="CY299" s="2" t="s">
        <v>7250</v>
      </c>
      <c r="CZ299" s="2" t="s">
        <v>7250</v>
      </c>
      <c r="DA299" s="2" t="s">
        <v>7250</v>
      </c>
      <c r="DB299" s="2" t="s">
        <v>7321</v>
      </c>
      <c r="DC299" s="2" t="s">
        <v>7321</v>
      </c>
      <c r="DD299" s="2" t="s">
        <v>7321</v>
      </c>
      <c r="DE299" s="2" t="s">
        <v>7250</v>
      </c>
      <c r="DF299" s="2" t="s">
        <v>7250</v>
      </c>
      <c r="DG299" s="2" t="s">
        <v>7250</v>
      </c>
      <c r="DH299" s="2" t="s">
        <v>7250</v>
      </c>
      <c r="DI299" s="2" t="s">
        <v>7250</v>
      </c>
      <c r="DL299" s="2" t="s">
        <v>7143</v>
      </c>
      <c r="DM299" s="2" t="s">
        <v>7143</v>
      </c>
      <c r="DP299" s="2" t="s">
        <v>7159</v>
      </c>
      <c r="DT299" s="2" t="s">
        <v>7159</v>
      </c>
      <c r="DU299" s="2" t="s">
        <v>7159</v>
      </c>
      <c r="DV299" s="2" t="s">
        <v>7159</v>
      </c>
      <c r="DW299" s="2" t="s">
        <v>7159</v>
      </c>
      <c r="DX299" s="2" t="s">
        <v>7159</v>
      </c>
      <c r="DY299" s="2" t="s">
        <v>7159</v>
      </c>
      <c r="DZ299" s="2" t="s">
        <v>7159</v>
      </c>
      <c r="EA299" s="2" t="s">
        <v>7159</v>
      </c>
      <c r="EB299" s="2" t="s">
        <v>7159</v>
      </c>
      <c r="EC299" s="2" t="s">
        <v>7159</v>
      </c>
      <c r="EF299" s="2" t="s">
        <v>7252</v>
      </c>
      <c r="EG299" s="2" t="s">
        <v>431</v>
      </c>
      <c r="EJ299" s="2" t="s">
        <v>7217</v>
      </c>
      <c r="EK299" s="2" t="s">
        <v>7143</v>
      </c>
      <c r="EL299" s="2" t="s">
        <v>7143</v>
      </c>
      <c r="EN299" s="2" t="s">
        <v>7210</v>
      </c>
      <c r="EP299" s="2" t="s">
        <v>7186</v>
      </c>
      <c r="ER299" s="2" t="s">
        <v>7143</v>
      </c>
      <c r="ET299" s="2" t="s">
        <v>7143</v>
      </c>
      <c r="EV299" s="2" t="s">
        <v>7143</v>
      </c>
      <c r="EX299" s="2" t="s">
        <v>7143</v>
      </c>
      <c r="EZ299" s="2" t="s">
        <v>7143</v>
      </c>
      <c r="FC299" s="2" t="s">
        <v>7309</v>
      </c>
      <c r="FD299" s="2" t="s">
        <v>7143</v>
      </c>
      <c r="FH299" s="2" t="s">
        <v>7173</v>
      </c>
      <c r="FJ299" s="2" t="s">
        <v>7143</v>
      </c>
      <c r="FK299" s="2" t="s">
        <v>7173</v>
      </c>
      <c r="FR299" s="2" t="s">
        <v>2072</v>
      </c>
      <c r="FT299" s="2" t="s">
        <v>7345</v>
      </c>
      <c r="FU299" s="2" t="s">
        <v>7176</v>
      </c>
      <c r="FV299" s="2" t="s">
        <v>7176</v>
      </c>
      <c r="FW299" s="2" t="s">
        <v>7176</v>
      </c>
      <c r="FZ299" s="19" t="s">
        <v>8222</v>
      </c>
    </row>
    <row r="300" spans="1:182">
      <c r="A300" s="7" t="s">
        <v>2073</v>
      </c>
      <c r="D300" s="7" t="s">
        <v>8223</v>
      </c>
      <c r="E300" s="7" t="s">
        <v>177</v>
      </c>
      <c r="F300" s="7" t="s">
        <v>7134</v>
      </c>
      <c r="G300" s="7" t="s">
        <v>8167</v>
      </c>
      <c r="H300" s="7" t="s">
        <v>2012</v>
      </c>
      <c r="I300" s="7" t="s">
        <v>2074</v>
      </c>
      <c r="J300" s="16" t="s">
        <v>8224</v>
      </c>
      <c r="K300" s="7" t="s">
        <v>2074</v>
      </c>
      <c r="L300" s="2" t="s">
        <v>7137</v>
      </c>
      <c r="M300" s="7" t="s">
        <v>7138</v>
      </c>
      <c r="N300" s="7">
        <v>1975</v>
      </c>
      <c r="O300" s="7" t="s">
        <v>7180</v>
      </c>
      <c r="P300" s="2" t="s">
        <v>7140</v>
      </c>
      <c r="Q300" s="2" t="s">
        <v>7225</v>
      </c>
      <c r="R300" s="2" t="s">
        <v>7143</v>
      </c>
      <c r="S300" s="2">
        <v>30</v>
      </c>
      <c r="T300" s="2" t="s">
        <v>7143</v>
      </c>
      <c r="U300" s="2" t="s">
        <v>7143</v>
      </c>
      <c r="Y300" s="2">
        <v>240</v>
      </c>
      <c r="Z300" s="17">
        <v>0.85419999999999996</v>
      </c>
      <c r="AA300" s="2">
        <v>205</v>
      </c>
      <c r="AB300" s="2">
        <v>205</v>
      </c>
      <c r="AC300" s="7">
        <v>205</v>
      </c>
      <c r="AD300" s="2">
        <v>255</v>
      </c>
      <c r="AE300" s="2">
        <v>50</v>
      </c>
      <c r="AF300" s="2" t="s">
        <v>7143</v>
      </c>
      <c r="AG300" s="2" t="s">
        <v>7143</v>
      </c>
      <c r="AH300" s="2" t="s">
        <v>7143</v>
      </c>
      <c r="AJ300" s="2" t="s">
        <v>7143</v>
      </c>
      <c r="AK300" s="2" t="s">
        <v>7143</v>
      </c>
      <c r="AL300" s="2" t="s">
        <v>7143</v>
      </c>
      <c r="AM300" s="2" t="s">
        <v>7142</v>
      </c>
      <c r="AN300" s="2" t="s">
        <v>7143</v>
      </c>
      <c r="AO300" s="2" t="s">
        <v>7143</v>
      </c>
      <c r="AR300" s="7">
        <v>0.3</v>
      </c>
      <c r="AS300" s="7">
        <v>1</v>
      </c>
      <c r="AT300" s="7">
        <v>2.6</v>
      </c>
      <c r="AU300" s="2" t="s">
        <v>7193</v>
      </c>
      <c r="AV300" s="2" t="s">
        <v>7193</v>
      </c>
      <c r="AW300" s="2" t="s">
        <v>7143</v>
      </c>
      <c r="AZ300" s="2" t="s">
        <v>7145</v>
      </c>
      <c r="BB300" s="2" t="s">
        <v>7214</v>
      </c>
      <c r="BC300" s="2" t="s">
        <v>7147</v>
      </c>
      <c r="BD300" s="2" t="s">
        <v>7142</v>
      </c>
      <c r="BE300" s="2" t="s">
        <v>7142</v>
      </c>
      <c r="BF300" s="2" t="s">
        <v>7148</v>
      </c>
      <c r="BG300" s="2" t="s">
        <v>7149</v>
      </c>
      <c r="BH300" s="2" t="s">
        <v>7248</v>
      </c>
      <c r="BI300" s="2" t="s">
        <v>7151</v>
      </c>
      <c r="BL300" s="2" t="s">
        <v>7195</v>
      </c>
      <c r="BO300" s="2" t="s">
        <v>7155</v>
      </c>
      <c r="BQ300" s="2" t="s">
        <v>7256</v>
      </c>
      <c r="BS300" s="2" t="s">
        <v>7142</v>
      </c>
      <c r="BT300" s="2" t="s">
        <v>7215</v>
      </c>
      <c r="BV300" s="2" t="s">
        <v>7202</v>
      </c>
      <c r="BX300" s="2" t="s">
        <v>7143</v>
      </c>
      <c r="BZ300" s="2" t="s">
        <v>7173</v>
      </c>
      <c r="CE300" s="7">
        <v>2.6</v>
      </c>
      <c r="CF300" s="2">
        <v>255</v>
      </c>
      <c r="CK300" s="2">
        <v>100</v>
      </c>
      <c r="CO300" s="2">
        <v>100</v>
      </c>
      <c r="CR300" s="2" t="s">
        <v>7160</v>
      </c>
      <c r="CT300" s="2" t="s">
        <v>7143</v>
      </c>
      <c r="CU300" s="2" t="s">
        <v>7161</v>
      </c>
      <c r="CW300" s="2" t="s">
        <v>7162</v>
      </c>
      <c r="CY300" s="2" t="s">
        <v>7163</v>
      </c>
      <c r="CZ300" s="2" t="s">
        <v>7164</v>
      </c>
      <c r="DA300" s="2" t="s">
        <v>7164</v>
      </c>
      <c r="DB300" s="2" t="s">
        <v>7164</v>
      </c>
      <c r="DC300" s="2" t="s">
        <v>7164</v>
      </c>
      <c r="DD300" s="2" t="s">
        <v>7164</v>
      </c>
      <c r="DE300" s="2" t="s">
        <v>7164</v>
      </c>
      <c r="DF300" s="2" t="s">
        <v>7164</v>
      </c>
      <c r="DG300" s="2" t="s">
        <v>7164</v>
      </c>
      <c r="DH300" s="2" t="s">
        <v>7164</v>
      </c>
      <c r="DI300" s="2" t="s">
        <v>7164</v>
      </c>
      <c r="DL300" s="2" t="s">
        <v>7142</v>
      </c>
      <c r="DM300" s="2" t="s">
        <v>7142</v>
      </c>
      <c r="DN300" s="2" t="s">
        <v>7142</v>
      </c>
      <c r="DO300" s="2" t="s">
        <v>7142</v>
      </c>
      <c r="DP300" s="2" t="s">
        <v>7165</v>
      </c>
      <c r="DQ300" s="2" t="s">
        <v>7166</v>
      </c>
      <c r="DT300" s="2" t="s">
        <v>7165</v>
      </c>
      <c r="DU300" s="2" t="s">
        <v>7165</v>
      </c>
      <c r="DV300" s="2" t="s">
        <v>7165</v>
      </c>
      <c r="DW300" s="2" t="s">
        <v>7165</v>
      </c>
      <c r="DX300" s="2" t="s">
        <v>7165</v>
      </c>
      <c r="DY300" s="2" t="s">
        <v>7165</v>
      </c>
      <c r="DZ300" s="2" t="s">
        <v>7165</v>
      </c>
      <c r="EA300" s="2" t="s">
        <v>7165</v>
      </c>
      <c r="EB300" s="2" t="s">
        <v>7165</v>
      </c>
      <c r="EJ300" s="2" t="s">
        <v>7144</v>
      </c>
      <c r="EK300" s="2" t="s">
        <v>7142</v>
      </c>
      <c r="EL300" s="2" t="s">
        <v>7143</v>
      </c>
      <c r="EN300" s="2" t="s">
        <v>7170</v>
      </c>
      <c r="EP300" s="2" t="s">
        <v>7186</v>
      </c>
      <c r="ER300" s="2" t="s">
        <v>7142</v>
      </c>
      <c r="ET300" s="2" t="s">
        <v>7143</v>
      </c>
      <c r="EV300" s="2" t="s">
        <v>7142</v>
      </c>
      <c r="EW300" s="2" t="s">
        <v>7204</v>
      </c>
      <c r="EX300" s="2" t="s">
        <v>7143</v>
      </c>
      <c r="EZ300" s="2" t="s">
        <v>7143</v>
      </c>
      <c r="FC300" s="2" t="s">
        <v>7172</v>
      </c>
      <c r="FD300" s="2" t="s">
        <v>7143</v>
      </c>
      <c r="FH300" s="2" t="s">
        <v>7173</v>
      </c>
      <c r="FJ300" s="2" t="s">
        <v>7142</v>
      </c>
      <c r="FK300" s="2" t="s">
        <v>7165</v>
      </c>
      <c r="FL300" s="2" t="s">
        <v>7992</v>
      </c>
      <c r="FN300" s="2" t="s">
        <v>7258</v>
      </c>
      <c r="FT300" s="2" t="s">
        <v>7176</v>
      </c>
      <c r="FU300" s="2" t="s">
        <v>7176</v>
      </c>
      <c r="FV300" s="2" t="s">
        <v>7176</v>
      </c>
      <c r="FW300" s="2" t="s">
        <v>7176</v>
      </c>
      <c r="FZ300" s="19" t="s">
        <v>8225</v>
      </c>
    </row>
    <row r="301" spans="1:182">
      <c r="A301" s="7" t="s">
        <v>2075</v>
      </c>
      <c r="D301" s="7" t="s">
        <v>8226</v>
      </c>
      <c r="E301" s="7" t="s">
        <v>2076</v>
      </c>
      <c r="F301" s="7" t="s">
        <v>7389</v>
      </c>
      <c r="G301" s="7" t="s">
        <v>8167</v>
      </c>
      <c r="H301" s="7" t="s">
        <v>1996</v>
      </c>
      <c r="I301" s="7" t="s">
        <v>2077</v>
      </c>
      <c r="J301" s="16" t="s">
        <v>8227</v>
      </c>
      <c r="K301" s="7" t="s">
        <v>2077</v>
      </c>
      <c r="L301" s="2" t="s">
        <v>7137</v>
      </c>
      <c r="M301" s="7" t="s">
        <v>7179</v>
      </c>
      <c r="N301" s="7">
        <v>1979</v>
      </c>
      <c r="O301" s="7" t="s">
        <v>7180</v>
      </c>
      <c r="P301" s="7" t="s">
        <v>7181</v>
      </c>
      <c r="Q301" s="2" t="s">
        <v>7141</v>
      </c>
      <c r="R301" s="2" t="s">
        <v>7143</v>
      </c>
      <c r="S301" s="2">
        <v>26</v>
      </c>
      <c r="T301" s="2" t="s">
        <v>7143</v>
      </c>
      <c r="U301" s="2" t="s">
        <v>7143</v>
      </c>
      <c r="Y301" s="2">
        <v>100</v>
      </c>
      <c r="Z301" s="17">
        <v>0.7</v>
      </c>
      <c r="AA301" s="2">
        <v>70</v>
      </c>
      <c r="AB301" s="2">
        <v>70</v>
      </c>
      <c r="AC301" s="7">
        <v>70</v>
      </c>
      <c r="AD301" s="2">
        <v>170</v>
      </c>
      <c r="AE301" s="2">
        <v>100</v>
      </c>
      <c r="AF301" s="2" t="s">
        <v>7143</v>
      </c>
      <c r="AG301" s="2" t="s">
        <v>7143</v>
      </c>
      <c r="AH301" s="2" t="s">
        <v>7143</v>
      </c>
      <c r="AJ301" s="2" t="s">
        <v>7143</v>
      </c>
      <c r="AK301" s="2" t="s">
        <v>7143</v>
      </c>
      <c r="AL301" s="2" t="s">
        <v>7143</v>
      </c>
      <c r="AM301" s="2" t="s">
        <v>7142</v>
      </c>
      <c r="AN301" s="2" t="s">
        <v>7143</v>
      </c>
      <c r="AO301" s="2" t="s">
        <v>7143</v>
      </c>
      <c r="AR301" s="7">
        <v>0.9</v>
      </c>
      <c r="AS301" s="7">
        <v>1</v>
      </c>
      <c r="AT301" s="7">
        <v>1.3</v>
      </c>
      <c r="AU301" s="2" t="s">
        <v>7193</v>
      </c>
      <c r="AV301" s="2" t="s">
        <v>7144</v>
      </c>
      <c r="AW301" s="2" t="s">
        <v>7143</v>
      </c>
      <c r="AZ301" s="2" t="s">
        <v>7145</v>
      </c>
      <c r="BB301" s="2" t="s">
        <v>7214</v>
      </c>
      <c r="BC301" s="2" t="s">
        <v>7247</v>
      </c>
      <c r="BD301" s="2" t="s">
        <v>7143</v>
      </c>
      <c r="BE301" s="2" t="s">
        <v>7142</v>
      </c>
      <c r="BF301" s="2" t="s">
        <v>7148</v>
      </c>
      <c r="BG301" s="2" t="s">
        <v>7149</v>
      </c>
      <c r="BH301" s="2" t="s">
        <v>7248</v>
      </c>
      <c r="BI301" s="2" t="s">
        <v>7151</v>
      </c>
      <c r="BL301" s="2" t="s">
        <v>7152</v>
      </c>
      <c r="BM301" s="2" t="s">
        <v>7355</v>
      </c>
      <c r="BN301" s="2" t="s">
        <v>7154</v>
      </c>
      <c r="BO301" s="2" t="s">
        <v>7155</v>
      </c>
      <c r="BQ301" s="2" t="s">
        <v>7183</v>
      </c>
      <c r="BS301" s="2" t="s">
        <v>7142</v>
      </c>
      <c r="BT301" s="2" t="s">
        <v>7341</v>
      </c>
      <c r="BV301" s="2" t="s">
        <v>7197</v>
      </c>
      <c r="BX301" s="2" t="s">
        <v>7143</v>
      </c>
      <c r="BZ301" s="2" t="s">
        <v>7173</v>
      </c>
      <c r="CE301" s="7">
        <v>1.3</v>
      </c>
      <c r="CF301" s="2">
        <v>170</v>
      </c>
      <c r="CK301" s="2">
        <v>100</v>
      </c>
      <c r="CO301" s="2">
        <v>100</v>
      </c>
      <c r="CR301" s="2" t="s">
        <v>7160</v>
      </c>
      <c r="CT301" s="2" t="s">
        <v>7143</v>
      </c>
      <c r="CU301" s="2" t="s">
        <v>7234</v>
      </c>
      <c r="CW301" s="2" t="s">
        <v>7162</v>
      </c>
      <c r="CY301" s="2" t="s">
        <v>7227</v>
      </c>
      <c r="CZ301" s="2" t="s">
        <v>7250</v>
      </c>
      <c r="DA301" s="2" t="s">
        <v>7250</v>
      </c>
      <c r="DB301" s="2" t="s">
        <v>7250</v>
      </c>
      <c r="DC301" s="2" t="s">
        <v>7250</v>
      </c>
      <c r="DD301" s="2" t="s">
        <v>7250</v>
      </c>
      <c r="DE301" s="2" t="s">
        <v>7250</v>
      </c>
      <c r="DF301" s="2" t="s">
        <v>7227</v>
      </c>
      <c r="DG301" s="2" t="s">
        <v>7227</v>
      </c>
      <c r="DH301" s="2" t="s">
        <v>7227</v>
      </c>
      <c r="DI301" s="2" t="s">
        <v>7227</v>
      </c>
      <c r="DL301" s="2" t="s">
        <v>7142</v>
      </c>
      <c r="DM301" s="2" t="s">
        <v>7142</v>
      </c>
      <c r="DN301" s="2" t="s">
        <v>7142</v>
      </c>
      <c r="DO301" s="2" t="s">
        <v>7142</v>
      </c>
      <c r="DP301" s="2" t="s">
        <v>7165</v>
      </c>
      <c r="DQ301" s="2" t="s">
        <v>7333</v>
      </c>
      <c r="DR301" s="2" t="s">
        <v>1998</v>
      </c>
      <c r="DT301" s="2" t="s">
        <v>7165</v>
      </c>
      <c r="DU301" s="2" t="s">
        <v>7165</v>
      </c>
      <c r="DV301" s="2" t="s">
        <v>7165</v>
      </c>
      <c r="DW301" s="2" t="s">
        <v>7165</v>
      </c>
      <c r="DX301" s="2" t="s">
        <v>7165</v>
      </c>
      <c r="DY301" s="2" t="s">
        <v>7165</v>
      </c>
      <c r="DZ301" s="2" t="s">
        <v>7159</v>
      </c>
      <c r="EA301" s="2" t="s">
        <v>7159</v>
      </c>
      <c r="EB301" s="2" t="s">
        <v>7165</v>
      </c>
      <c r="EC301" s="2" t="s">
        <v>7173</v>
      </c>
      <c r="EF301" s="2" t="s">
        <v>7167</v>
      </c>
      <c r="EG301" s="2" t="s">
        <v>985</v>
      </c>
      <c r="EJ301" s="2" t="s">
        <v>7193</v>
      </c>
      <c r="EK301" s="2" t="s">
        <v>7143</v>
      </c>
      <c r="EL301" s="2" t="s">
        <v>7142</v>
      </c>
      <c r="EM301" s="2" t="s">
        <v>7392</v>
      </c>
      <c r="EN301" s="2" t="s">
        <v>7210</v>
      </c>
      <c r="EP301" s="2" t="s">
        <v>7186</v>
      </c>
      <c r="ER301" s="2" t="s">
        <v>7143</v>
      </c>
      <c r="ET301" s="2" t="s">
        <v>7143</v>
      </c>
      <c r="EV301" s="2" t="s">
        <v>7143</v>
      </c>
      <c r="EX301" s="2" t="s">
        <v>7143</v>
      </c>
      <c r="EZ301" s="2" t="s">
        <v>7143</v>
      </c>
      <c r="FC301" s="2" t="s">
        <v>7218</v>
      </c>
      <c r="FD301" s="2" t="s">
        <v>7143</v>
      </c>
      <c r="FH301" s="2" t="s">
        <v>7173</v>
      </c>
      <c r="FJ301" s="2" t="s">
        <v>7143</v>
      </c>
      <c r="FK301" s="2" t="s">
        <v>7173</v>
      </c>
      <c r="FN301" s="2" t="s">
        <v>7322</v>
      </c>
      <c r="FR301" s="2" t="s">
        <v>2078</v>
      </c>
      <c r="FT301" s="2" t="s">
        <v>7189</v>
      </c>
      <c r="FU301" s="2" t="s">
        <v>7189</v>
      </c>
      <c r="FV301" s="2" t="s">
        <v>7176</v>
      </c>
      <c r="FW301" s="2" t="s">
        <v>7176</v>
      </c>
      <c r="FZ301" s="19" t="s">
        <v>8228</v>
      </c>
    </row>
    <row r="302" spans="1:182">
      <c r="A302" s="7" t="s">
        <v>2079</v>
      </c>
      <c r="D302" s="7" t="s">
        <v>8229</v>
      </c>
      <c r="E302" s="7" t="s">
        <v>177</v>
      </c>
      <c r="F302" s="7" t="s">
        <v>7245</v>
      </c>
      <c r="G302" s="7" t="s">
        <v>8167</v>
      </c>
      <c r="H302" s="7" t="s">
        <v>1996</v>
      </c>
      <c r="I302" s="7" t="s">
        <v>2080</v>
      </c>
      <c r="J302" s="16" t="s">
        <v>8230</v>
      </c>
      <c r="K302" s="7" t="s">
        <v>2081</v>
      </c>
      <c r="L302" s="7" t="s">
        <v>7137</v>
      </c>
      <c r="M302" s="7" t="s">
        <v>7138</v>
      </c>
      <c r="N302" s="7">
        <v>1972</v>
      </c>
      <c r="O302" s="7" t="s">
        <v>7180</v>
      </c>
      <c r="P302" s="7" t="s">
        <v>7140</v>
      </c>
      <c r="Q302" s="7" t="s">
        <v>7225</v>
      </c>
      <c r="R302" s="7" t="s">
        <v>7143</v>
      </c>
      <c r="S302" s="7">
        <v>2019</v>
      </c>
      <c r="T302" s="7" t="s">
        <v>7143</v>
      </c>
      <c r="U302" s="7" t="s">
        <v>7143</v>
      </c>
      <c r="Y302" s="2">
        <v>650</v>
      </c>
      <c r="Z302" s="17">
        <v>0.92310000000000003</v>
      </c>
      <c r="AA302" s="2">
        <v>600</v>
      </c>
      <c r="AB302" s="2">
        <v>600</v>
      </c>
      <c r="AC302" s="7">
        <v>350</v>
      </c>
      <c r="AD302" s="2">
        <v>400</v>
      </c>
      <c r="AE302" s="2">
        <v>50</v>
      </c>
      <c r="AF302" s="7" t="s">
        <v>7143</v>
      </c>
      <c r="AG302" s="7" t="s">
        <v>7142</v>
      </c>
      <c r="AH302" s="2" t="s">
        <v>7142</v>
      </c>
      <c r="AI302" s="2" t="s">
        <v>2082</v>
      </c>
      <c r="AJ302" s="2" t="s">
        <v>7143</v>
      </c>
      <c r="AK302" s="2" t="s">
        <v>7143</v>
      </c>
      <c r="AL302" s="2" t="s">
        <v>7143</v>
      </c>
      <c r="AM302" s="2" t="s">
        <v>7142</v>
      </c>
      <c r="AN302" s="2" t="s">
        <v>7143</v>
      </c>
      <c r="AO302" s="2" t="s">
        <v>7143</v>
      </c>
      <c r="AR302" s="7">
        <v>3.5</v>
      </c>
      <c r="AS302" s="7">
        <v>2</v>
      </c>
      <c r="AT302" s="7">
        <v>3.5</v>
      </c>
      <c r="AU302" s="7" t="s">
        <v>7193</v>
      </c>
      <c r="AV302" s="7" t="s">
        <v>7144</v>
      </c>
      <c r="AW302" s="7" t="s">
        <v>7143</v>
      </c>
      <c r="AZ302" s="7" t="s">
        <v>7145</v>
      </c>
      <c r="BB302" s="7" t="s">
        <v>7214</v>
      </c>
      <c r="BC302" s="7" t="s">
        <v>7208</v>
      </c>
      <c r="BD302" s="7" t="s">
        <v>7142</v>
      </c>
      <c r="BE302" s="2" t="s">
        <v>7142</v>
      </c>
      <c r="BF302" s="2" t="s">
        <v>7148</v>
      </c>
      <c r="BG302" s="2" t="s">
        <v>7149</v>
      </c>
      <c r="BH302" s="2" t="s">
        <v>7248</v>
      </c>
      <c r="BI302" s="2" t="s">
        <v>7151</v>
      </c>
      <c r="BL302" s="7" t="s">
        <v>7195</v>
      </c>
      <c r="BM302" s="2" t="s">
        <v>7153</v>
      </c>
      <c r="BN302" s="2" t="s">
        <v>7154</v>
      </c>
      <c r="BO302" s="2" t="s">
        <v>7155</v>
      </c>
      <c r="BQ302" s="2" t="s">
        <v>7256</v>
      </c>
      <c r="BT302" s="2" t="s">
        <v>7215</v>
      </c>
      <c r="BV302" s="2" t="s">
        <v>7304</v>
      </c>
      <c r="BX302" s="2" t="s">
        <v>7142</v>
      </c>
      <c r="BY302" s="2" t="s">
        <v>310</v>
      </c>
      <c r="BZ302" s="2" t="s">
        <v>7173</v>
      </c>
      <c r="CE302" s="7">
        <v>3.5</v>
      </c>
      <c r="CF302" s="2">
        <v>340</v>
      </c>
      <c r="CK302" s="2">
        <v>100</v>
      </c>
      <c r="CO302" s="2">
        <v>100</v>
      </c>
      <c r="CR302" s="2" t="s">
        <v>7160</v>
      </c>
      <c r="CT302" s="2" t="s">
        <v>7143</v>
      </c>
      <c r="CU302" s="2" t="s">
        <v>7161</v>
      </c>
      <c r="CW302" s="2" t="s">
        <v>7162</v>
      </c>
      <c r="CY302" s="2" t="s">
        <v>7163</v>
      </c>
      <c r="CZ302" s="2" t="s">
        <v>7227</v>
      </c>
      <c r="DA302" s="2" t="s">
        <v>7249</v>
      </c>
      <c r="DB302" s="2" t="s">
        <v>7251</v>
      </c>
      <c r="DC302" s="2" t="s">
        <v>7249</v>
      </c>
      <c r="DD302" s="2" t="s">
        <v>7251</v>
      </c>
      <c r="DE302" s="2" t="s">
        <v>7250</v>
      </c>
      <c r="DF302" s="2" t="s">
        <v>7163</v>
      </c>
      <c r="DG302" s="2" t="s">
        <v>7164</v>
      </c>
      <c r="DH302" s="2" t="s">
        <v>7164</v>
      </c>
      <c r="DI302" s="2" t="s">
        <v>7164</v>
      </c>
      <c r="DL302" s="7" t="s">
        <v>7142</v>
      </c>
      <c r="DM302" s="7" t="s">
        <v>7142</v>
      </c>
      <c r="DN302" s="7" t="s">
        <v>7142</v>
      </c>
      <c r="DO302" s="7" t="s">
        <v>7142</v>
      </c>
      <c r="DP302" s="7" t="s">
        <v>7165</v>
      </c>
      <c r="DQ302" s="2" t="s">
        <v>7166</v>
      </c>
      <c r="DT302" s="2" t="s">
        <v>7165</v>
      </c>
      <c r="DU302" s="2" t="s">
        <v>7165</v>
      </c>
      <c r="DV302" s="2" t="s">
        <v>7165</v>
      </c>
      <c r="DW302" s="2" t="s">
        <v>7165</v>
      </c>
      <c r="DX302" s="2" t="s">
        <v>7165</v>
      </c>
      <c r="DY302" s="2" t="s">
        <v>7159</v>
      </c>
      <c r="DZ302" s="2" t="s">
        <v>7159</v>
      </c>
      <c r="EA302" s="2" t="s">
        <v>7165</v>
      </c>
      <c r="EB302" s="2" t="s">
        <v>7165</v>
      </c>
      <c r="EC302" s="2" t="s">
        <v>7159</v>
      </c>
      <c r="EF302" s="2" t="s">
        <v>7167</v>
      </c>
      <c r="EJ302" s="7" t="s">
        <v>7144</v>
      </c>
      <c r="EK302" s="7" t="s">
        <v>7143</v>
      </c>
      <c r="EL302" s="7" t="s">
        <v>7143</v>
      </c>
      <c r="EN302" s="2" t="s">
        <v>7170</v>
      </c>
      <c r="EP302" s="2" t="s">
        <v>7186</v>
      </c>
      <c r="ER302" s="2" t="s">
        <v>7142</v>
      </c>
      <c r="ET302" s="2" t="s">
        <v>7143</v>
      </c>
      <c r="EV302" s="2" t="s">
        <v>7142</v>
      </c>
      <c r="EW302" s="2" t="s">
        <v>7204</v>
      </c>
      <c r="EX302" s="2" t="s">
        <v>7143</v>
      </c>
      <c r="FC302" s="2" t="s">
        <v>7172</v>
      </c>
      <c r="FD302" s="2" t="s">
        <v>7143</v>
      </c>
      <c r="FH302" s="2" t="s">
        <v>7173</v>
      </c>
      <c r="FJ302" s="2" t="s">
        <v>7142</v>
      </c>
      <c r="FK302" s="2" t="s">
        <v>7165</v>
      </c>
      <c r="FL302" s="2" t="s">
        <v>7260</v>
      </c>
      <c r="FN302" s="2" t="s">
        <v>7293</v>
      </c>
      <c r="FT302" s="2" t="s">
        <v>7176</v>
      </c>
      <c r="FU302" s="2" t="s">
        <v>7189</v>
      </c>
      <c r="FV302" s="2" t="s">
        <v>7189</v>
      </c>
      <c r="FW302" s="2" t="s">
        <v>7189</v>
      </c>
      <c r="FZ302" s="19" t="s">
        <v>8231</v>
      </c>
    </row>
    <row r="303" spans="1:182">
      <c r="A303" s="7" t="s">
        <v>2083</v>
      </c>
      <c r="D303" s="7" t="s">
        <v>8232</v>
      </c>
      <c r="E303" s="7" t="s">
        <v>177</v>
      </c>
      <c r="F303" s="7" t="s">
        <v>7134</v>
      </c>
      <c r="G303" s="7" t="s">
        <v>8167</v>
      </c>
      <c r="H303" s="7" t="s">
        <v>2012</v>
      </c>
      <c r="I303" s="7" t="s">
        <v>2084</v>
      </c>
      <c r="J303" s="16" t="s">
        <v>8233</v>
      </c>
      <c r="K303" s="7" t="s">
        <v>2084</v>
      </c>
      <c r="L303" s="2" t="s">
        <v>7137</v>
      </c>
      <c r="M303" s="7" t="s">
        <v>7179</v>
      </c>
      <c r="N303" s="7">
        <v>1984</v>
      </c>
      <c r="O303" s="7" t="s">
        <v>7180</v>
      </c>
      <c r="P303" s="2" t="s">
        <v>7140</v>
      </c>
      <c r="Q303" s="2" t="s">
        <v>7141</v>
      </c>
      <c r="R303" s="2" t="s">
        <v>7143</v>
      </c>
      <c r="S303" s="2">
        <v>11</v>
      </c>
      <c r="T303" s="2" t="s">
        <v>7143</v>
      </c>
      <c r="U303" s="2" t="s">
        <v>7143</v>
      </c>
      <c r="Y303" s="2">
        <v>410</v>
      </c>
      <c r="Z303" s="17">
        <v>0.95120000000000005</v>
      </c>
      <c r="AA303" s="2">
        <v>390</v>
      </c>
      <c r="AB303" s="2">
        <v>390</v>
      </c>
      <c r="AC303" s="7">
        <v>380</v>
      </c>
      <c r="AD303" s="2">
        <v>650</v>
      </c>
      <c r="AE303" s="2">
        <v>270</v>
      </c>
      <c r="AF303" s="2" t="s">
        <v>7143</v>
      </c>
      <c r="AG303" s="2" t="s">
        <v>7142</v>
      </c>
      <c r="AH303" s="2" t="s">
        <v>7142</v>
      </c>
      <c r="AI303" s="2" t="s">
        <v>2085</v>
      </c>
      <c r="AJ303" s="2" t="s">
        <v>7143</v>
      </c>
      <c r="AK303" s="2" t="s">
        <v>7143</v>
      </c>
      <c r="AL303" s="2" t="s">
        <v>7143</v>
      </c>
      <c r="AM303" s="2" t="s">
        <v>7142</v>
      </c>
      <c r="AN303" s="2" t="s">
        <v>7143</v>
      </c>
      <c r="AO303" s="2" t="s">
        <v>7143</v>
      </c>
      <c r="AR303" s="7">
        <v>4</v>
      </c>
      <c r="AS303" s="7">
        <v>5</v>
      </c>
      <c r="AT303" s="7">
        <v>6.6</v>
      </c>
      <c r="AU303" s="2" t="s">
        <v>7144</v>
      </c>
      <c r="AV303" s="2" t="s">
        <v>7144</v>
      </c>
      <c r="AW303" s="2" t="s">
        <v>7143</v>
      </c>
      <c r="AZ303" s="2" t="s">
        <v>7145</v>
      </c>
      <c r="BB303" s="2" t="s">
        <v>7146</v>
      </c>
      <c r="BC303" s="2" t="s">
        <v>7147</v>
      </c>
      <c r="BD303" s="2" t="s">
        <v>7142</v>
      </c>
      <c r="BE303" s="2" t="s">
        <v>7142</v>
      </c>
      <c r="BF303" s="2" t="s">
        <v>7148</v>
      </c>
      <c r="BG303" s="2" t="s">
        <v>7232</v>
      </c>
      <c r="BH303" s="2" t="s">
        <v>7150</v>
      </c>
      <c r="BI303" s="2" t="s">
        <v>7151</v>
      </c>
      <c r="BL303" s="2" t="s">
        <v>7152</v>
      </c>
      <c r="BM303" s="2" t="s">
        <v>7153</v>
      </c>
      <c r="BN303" s="2" t="s">
        <v>7154</v>
      </c>
      <c r="BO303" s="2" t="s">
        <v>7155</v>
      </c>
      <c r="BQ303" s="2" t="s">
        <v>7183</v>
      </c>
      <c r="BS303" s="2" t="s">
        <v>7142</v>
      </c>
      <c r="BT303" s="2" t="s">
        <v>7157</v>
      </c>
      <c r="BV303" s="2" t="s">
        <v>7184</v>
      </c>
      <c r="BX303" s="2" t="s">
        <v>7143</v>
      </c>
      <c r="BZ303" s="2" t="s">
        <v>7173</v>
      </c>
      <c r="CE303" s="7">
        <v>6.6</v>
      </c>
      <c r="CF303" s="2">
        <v>650</v>
      </c>
      <c r="CM303" s="2">
        <v>100</v>
      </c>
      <c r="CO303" s="2">
        <v>100</v>
      </c>
      <c r="CR303" s="2" t="s">
        <v>7185</v>
      </c>
      <c r="CT303" s="2" t="s">
        <v>7143</v>
      </c>
      <c r="CU303" s="2" t="s">
        <v>7161</v>
      </c>
      <c r="CW303" s="2" t="s">
        <v>7162</v>
      </c>
      <c r="CY303" s="2" t="s">
        <v>7163</v>
      </c>
      <c r="CZ303" s="2" t="s">
        <v>7163</v>
      </c>
      <c r="DA303" s="2" t="s">
        <v>7163</v>
      </c>
      <c r="DB303" s="2" t="s">
        <v>7164</v>
      </c>
      <c r="DC303" s="2" t="s">
        <v>7164</v>
      </c>
      <c r="DD303" s="2" t="s">
        <v>7164</v>
      </c>
      <c r="DE303" s="2" t="s">
        <v>7164</v>
      </c>
      <c r="DF303" s="2" t="s">
        <v>7164</v>
      </c>
      <c r="DG303" s="2" t="s">
        <v>7164</v>
      </c>
      <c r="DH303" s="2" t="s">
        <v>7164</v>
      </c>
      <c r="DI303" s="2" t="s">
        <v>7164</v>
      </c>
      <c r="DL303" s="2" t="s">
        <v>7142</v>
      </c>
      <c r="DM303" s="2" t="s">
        <v>7142</v>
      </c>
      <c r="DN303" s="2" t="s">
        <v>7142</v>
      </c>
      <c r="DO303" s="2" t="s">
        <v>7142</v>
      </c>
      <c r="DP303" s="2" t="s">
        <v>7165</v>
      </c>
      <c r="DQ303" s="2" t="s">
        <v>7166</v>
      </c>
      <c r="DT303" s="2" t="s">
        <v>7165</v>
      </c>
      <c r="DU303" s="2" t="s">
        <v>7165</v>
      </c>
      <c r="DV303" s="2" t="s">
        <v>7165</v>
      </c>
      <c r="DW303" s="2" t="s">
        <v>7165</v>
      </c>
      <c r="DX303" s="2" t="s">
        <v>7165</v>
      </c>
      <c r="DY303" s="2" t="s">
        <v>7165</v>
      </c>
      <c r="DZ303" s="2" t="s">
        <v>7165</v>
      </c>
      <c r="EA303" s="2" t="s">
        <v>7165</v>
      </c>
      <c r="EB303" s="2" t="s">
        <v>7165</v>
      </c>
      <c r="EF303" s="2" t="s">
        <v>7221</v>
      </c>
      <c r="EJ303" s="2" t="s">
        <v>7144</v>
      </c>
      <c r="EK303" s="2" t="s">
        <v>7142</v>
      </c>
      <c r="EL303" s="2" t="s">
        <v>7143</v>
      </c>
      <c r="EN303" s="2" t="s">
        <v>7170</v>
      </c>
      <c r="EP303" s="2" t="s">
        <v>7186</v>
      </c>
      <c r="ER303" s="2" t="s">
        <v>7142</v>
      </c>
      <c r="ET303" s="2" t="s">
        <v>7143</v>
      </c>
      <c r="EV303" s="2" t="s">
        <v>7142</v>
      </c>
      <c r="EW303" s="2" t="s">
        <v>7171</v>
      </c>
      <c r="EX303" s="2" t="s">
        <v>7142</v>
      </c>
      <c r="EY303" s="2" t="s">
        <v>7171</v>
      </c>
      <c r="EZ303" s="2" t="s">
        <v>7143</v>
      </c>
      <c r="FC303" s="2" t="s">
        <v>7172</v>
      </c>
      <c r="FD303" s="2" t="s">
        <v>7143</v>
      </c>
      <c r="FH303" s="2" t="s">
        <v>7173</v>
      </c>
      <c r="FJ303" s="2" t="s">
        <v>7142</v>
      </c>
      <c r="FK303" s="2" t="s">
        <v>7165</v>
      </c>
      <c r="FL303" s="2" t="s">
        <v>7174</v>
      </c>
      <c r="FN303" s="2" t="s">
        <v>7258</v>
      </c>
      <c r="FT303" s="2" t="s">
        <v>7176</v>
      </c>
      <c r="FU303" s="2" t="s">
        <v>7176</v>
      </c>
      <c r="FV303" s="2" t="s">
        <v>7176</v>
      </c>
      <c r="FW303" s="2" t="s">
        <v>7176</v>
      </c>
      <c r="FZ303" s="19" t="s">
        <v>8234</v>
      </c>
    </row>
    <row r="304" spans="1:182">
      <c r="A304" s="7" t="s">
        <v>2086</v>
      </c>
      <c r="D304" s="7" t="s">
        <v>8235</v>
      </c>
      <c r="E304" s="7" t="s">
        <v>2087</v>
      </c>
      <c r="F304" s="7" t="s">
        <v>7319</v>
      </c>
      <c r="G304" s="7" t="s">
        <v>8167</v>
      </c>
      <c r="H304" s="7" t="s">
        <v>1966</v>
      </c>
      <c r="I304" s="7" t="s">
        <v>2088</v>
      </c>
      <c r="J304" s="16" t="s">
        <v>8236</v>
      </c>
      <c r="K304" s="7" t="s">
        <v>2088</v>
      </c>
      <c r="L304" s="7" t="s">
        <v>7224</v>
      </c>
      <c r="M304" s="7" t="s">
        <v>7179</v>
      </c>
      <c r="N304" s="7">
        <v>1971</v>
      </c>
      <c r="O304" s="7" t="s">
        <v>7180</v>
      </c>
      <c r="P304" s="7" t="s">
        <v>7140</v>
      </c>
      <c r="Q304" s="7" t="s">
        <v>7141</v>
      </c>
      <c r="R304" s="7" t="s">
        <v>7143</v>
      </c>
      <c r="S304" s="7">
        <v>31</v>
      </c>
      <c r="T304" s="7" t="s">
        <v>7143</v>
      </c>
      <c r="U304" s="7" t="s">
        <v>7143</v>
      </c>
      <c r="Y304" s="7">
        <v>260</v>
      </c>
      <c r="Z304" s="17">
        <v>0.66539999999999999</v>
      </c>
      <c r="AA304" s="7">
        <v>173</v>
      </c>
      <c r="AB304" s="7">
        <v>173</v>
      </c>
      <c r="AC304" s="7">
        <v>173</v>
      </c>
      <c r="AD304" s="7">
        <v>220</v>
      </c>
      <c r="AE304" s="7">
        <v>47</v>
      </c>
      <c r="AF304" s="7" t="s">
        <v>7143</v>
      </c>
      <c r="AG304" s="7" t="s">
        <v>7143</v>
      </c>
      <c r="AH304" s="7" t="s">
        <v>7143</v>
      </c>
      <c r="AJ304" s="7" t="s">
        <v>7143</v>
      </c>
      <c r="AK304" s="7" t="s">
        <v>7143</v>
      </c>
      <c r="AM304" s="7" t="s">
        <v>7142</v>
      </c>
      <c r="AN304" s="7" t="s">
        <v>7143</v>
      </c>
      <c r="AO304" s="7" t="s">
        <v>7142</v>
      </c>
      <c r="AR304" s="7">
        <v>0.5</v>
      </c>
      <c r="AS304" s="7">
        <v>1</v>
      </c>
      <c r="AT304" s="7">
        <v>2.2000000000000002</v>
      </c>
      <c r="AU304" s="2" t="s">
        <v>7193</v>
      </c>
      <c r="AV304" s="2" t="s">
        <v>7193</v>
      </c>
      <c r="AW304" s="2" t="s">
        <v>7143</v>
      </c>
      <c r="AZ304" s="2" t="s">
        <v>7376</v>
      </c>
      <c r="BB304" s="2" t="s">
        <v>7146</v>
      </c>
      <c r="BC304" s="2" t="s">
        <v>7208</v>
      </c>
      <c r="BD304" s="2" t="s">
        <v>7143</v>
      </c>
      <c r="BE304" s="2" t="s">
        <v>7142</v>
      </c>
      <c r="BF304" s="2" t="s">
        <v>7148</v>
      </c>
      <c r="BG304" s="2" t="s">
        <v>7232</v>
      </c>
      <c r="BH304" s="2" t="s">
        <v>7248</v>
      </c>
      <c r="BI304" s="2" t="s">
        <v>7151</v>
      </c>
      <c r="BL304" s="2" t="s">
        <v>7152</v>
      </c>
      <c r="BM304" s="2" t="s">
        <v>7153</v>
      </c>
      <c r="BN304" s="2" t="s">
        <v>7154</v>
      </c>
      <c r="BO304" s="2" t="s">
        <v>7155</v>
      </c>
      <c r="BQ304" s="2" t="s">
        <v>7256</v>
      </c>
      <c r="BS304" s="2" t="s">
        <v>7142</v>
      </c>
      <c r="BT304" s="2" t="s">
        <v>7215</v>
      </c>
      <c r="BV304" s="2" t="s">
        <v>7313</v>
      </c>
      <c r="BX304" s="2" t="s">
        <v>7143</v>
      </c>
      <c r="BZ304" s="2" t="s">
        <v>7173</v>
      </c>
      <c r="CE304" s="7">
        <v>2.2000000000000002</v>
      </c>
      <c r="CF304" s="2">
        <v>220</v>
      </c>
      <c r="CK304" s="2">
        <v>100</v>
      </c>
      <c r="CO304" s="2">
        <v>100</v>
      </c>
      <c r="CR304" s="2" t="s">
        <v>7160</v>
      </c>
      <c r="CT304" s="2" t="s">
        <v>7143</v>
      </c>
      <c r="CU304" s="2" t="s">
        <v>7454</v>
      </c>
      <c r="CW304" s="2" t="s">
        <v>7162</v>
      </c>
      <c r="CY304" s="2" t="s">
        <v>7163</v>
      </c>
      <c r="CZ304" s="2" t="s">
        <v>7163</v>
      </c>
      <c r="DA304" s="2" t="s">
        <v>7250</v>
      </c>
      <c r="DB304" s="2" t="s">
        <v>7321</v>
      </c>
      <c r="DC304" s="2" t="s">
        <v>7321</v>
      </c>
      <c r="DD304" s="2" t="s">
        <v>7321</v>
      </c>
      <c r="DE304" s="2" t="s">
        <v>7250</v>
      </c>
      <c r="DG304" s="2" t="s">
        <v>7250</v>
      </c>
      <c r="DH304" s="2" t="s">
        <v>7321</v>
      </c>
      <c r="DI304" s="2" t="s">
        <v>7321</v>
      </c>
      <c r="DL304" s="2" t="s">
        <v>7143</v>
      </c>
      <c r="DM304" s="2" t="s">
        <v>7143</v>
      </c>
      <c r="DP304" s="2" t="s">
        <v>7159</v>
      </c>
      <c r="DT304" s="2" t="s">
        <v>7159</v>
      </c>
      <c r="DU304" s="2" t="s">
        <v>7159</v>
      </c>
      <c r="DV304" s="2" t="s">
        <v>7159</v>
      </c>
      <c r="DW304" s="2" t="s">
        <v>7159</v>
      </c>
      <c r="DX304" s="2" t="s">
        <v>7159</v>
      </c>
      <c r="DY304" s="2" t="s">
        <v>7159</v>
      </c>
      <c r="DZ304" s="2" t="s">
        <v>7159</v>
      </c>
      <c r="EA304" s="2" t="s">
        <v>7159</v>
      </c>
      <c r="EB304" s="2" t="s">
        <v>7159</v>
      </c>
      <c r="EC304" s="2" t="s">
        <v>7159</v>
      </c>
      <c r="EF304" s="2" t="s">
        <v>7252</v>
      </c>
      <c r="EG304" s="2" t="s">
        <v>431</v>
      </c>
      <c r="EJ304" s="2" t="s">
        <v>7193</v>
      </c>
      <c r="EK304" s="2" t="s">
        <v>7142</v>
      </c>
      <c r="EL304" s="2" t="s">
        <v>7143</v>
      </c>
      <c r="EN304" s="2" t="s">
        <v>7210</v>
      </c>
      <c r="EP304" s="2" t="s">
        <v>7186</v>
      </c>
      <c r="ER304" s="2" t="s">
        <v>7142</v>
      </c>
      <c r="ET304" s="2" t="s">
        <v>7143</v>
      </c>
      <c r="EV304" s="2" t="s">
        <v>7143</v>
      </c>
      <c r="EX304" s="2" t="s">
        <v>7143</v>
      </c>
      <c r="EZ304" s="2" t="s">
        <v>7143</v>
      </c>
      <c r="FC304" s="2" t="s">
        <v>7309</v>
      </c>
      <c r="FD304" s="2" t="s">
        <v>7143</v>
      </c>
      <c r="FH304" s="2" t="s">
        <v>7173</v>
      </c>
      <c r="FJ304" s="2" t="s">
        <v>7143</v>
      </c>
      <c r="FK304" s="2" t="s">
        <v>7173</v>
      </c>
      <c r="FL304" s="2" t="s">
        <v>7260</v>
      </c>
      <c r="FR304" s="2" t="s">
        <v>2089</v>
      </c>
      <c r="FT304" s="2" t="s">
        <v>7345</v>
      </c>
      <c r="FU304" s="2" t="s">
        <v>7189</v>
      </c>
      <c r="FV304" s="2" t="s">
        <v>7176</v>
      </c>
      <c r="FW304" s="2" t="s">
        <v>7176</v>
      </c>
      <c r="FZ304" s="19" t="s">
        <v>8237</v>
      </c>
    </row>
    <row r="305" spans="1:182">
      <c r="A305" s="7" t="s">
        <v>2090</v>
      </c>
      <c r="D305" s="7" t="s">
        <v>8238</v>
      </c>
      <c r="E305" s="7" t="s">
        <v>177</v>
      </c>
      <c r="F305" s="7" t="s">
        <v>7245</v>
      </c>
      <c r="G305" s="7" t="s">
        <v>8167</v>
      </c>
      <c r="H305" s="7" t="s">
        <v>1996</v>
      </c>
      <c r="I305" s="7" t="s">
        <v>2091</v>
      </c>
      <c r="J305" s="19" t="s">
        <v>8239</v>
      </c>
      <c r="K305" s="7" t="s">
        <v>2092</v>
      </c>
      <c r="L305" s="7" t="s">
        <v>7137</v>
      </c>
      <c r="M305" s="7" t="s">
        <v>7179</v>
      </c>
      <c r="N305" s="7">
        <v>1999</v>
      </c>
      <c r="O305" s="7" t="s">
        <v>7180</v>
      </c>
      <c r="P305" s="7" t="s">
        <v>7181</v>
      </c>
      <c r="Q305" s="7" t="s">
        <v>7141</v>
      </c>
      <c r="R305" s="2" t="s">
        <v>7143</v>
      </c>
      <c r="S305" s="7">
        <v>2016</v>
      </c>
      <c r="T305" s="7" t="s">
        <v>7143</v>
      </c>
      <c r="U305" s="7" t="s">
        <v>7143</v>
      </c>
      <c r="Y305" s="2">
        <v>450</v>
      </c>
      <c r="Z305" s="17">
        <v>0.88890000000000002</v>
      </c>
      <c r="AA305" s="2">
        <v>400</v>
      </c>
      <c r="AB305" s="2">
        <v>400</v>
      </c>
      <c r="AC305" s="7">
        <v>290</v>
      </c>
      <c r="AD305" s="2">
        <v>340</v>
      </c>
      <c r="AE305" s="2">
        <v>50</v>
      </c>
      <c r="AF305" s="7" t="s">
        <v>7143</v>
      </c>
      <c r="AG305" s="2" t="s">
        <v>7142</v>
      </c>
      <c r="AH305" s="7" t="s">
        <v>7142</v>
      </c>
      <c r="AI305" s="2" t="s">
        <v>2093</v>
      </c>
      <c r="AJ305" s="2" t="s">
        <v>7143</v>
      </c>
      <c r="AK305" s="2" t="s">
        <v>7143</v>
      </c>
      <c r="AL305" s="2" t="s">
        <v>7143</v>
      </c>
      <c r="AM305" s="2" t="s">
        <v>7142</v>
      </c>
      <c r="AN305" s="2" t="s">
        <v>7143</v>
      </c>
      <c r="AO305" s="2" t="s">
        <v>7143</v>
      </c>
      <c r="AR305" s="7">
        <v>2</v>
      </c>
      <c r="AS305" s="7">
        <v>2</v>
      </c>
      <c r="AT305" s="7">
        <v>3.5</v>
      </c>
      <c r="AU305" s="7" t="s">
        <v>7144</v>
      </c>
      <c r="AV305" s="7" t="s">
        <v>7193</v>
      </c>
      <c r="AW305" s="7" t="s">
        <v>7143</v>
      </c>
      <c r="AZ305" s="2" t="s">
        <v>7286</v>
      </c>
      <c r="BB305" s="2" t="s">
        <v>7214</v>
      </c>
      <c r="BC305" s="2" t="s">
        <v>7208</v>
      </c>
      <c r="BD305" s="2" t="s">
        <v>7143</v>
      </c>
      <c r="BE305" s="2" t="s">
        <v>7143</v>
      </c>
      <c r="BL305" s="7" t="s">
        <v>7195</v>
      </c>
      <c r="BM305" s="7" t="s">
        <v>7153</v>
      </c>
      <c r="BN305" s="7" t="s">
        <v>7154</v>
      </c>
      <c r="BO305" s="7" t="s">
        <v>7155</v>
      </c>
      <c r="BQ305" s="2" t="s">
        <v>7156</v>
      </c>
      <c r="BS305" s="2" t="s">
        <v>7142</v>
      </c>
      <c r="BV305" s="2" t="s">
        <v>7313</v>
      </c>
      <c r="BX305" s="2" t="s">
        <v>7142</v>
      </c>
      <c r="BY305" s="2" t="s">
        <v>310</v>
      </c>
      <c r="BZ305" s="2" t="s">
        <v>7173</v>
      </c>
      <c r="CE305" s="7">
        <v>3.5</v>
      </c>
      <c r="CF305" s="2">
        <v>340</v>
      </c>
      <c r="CK305" s="2">
        <v>100</v>
      </c>
      <c r="CO305" s="2">
        <v>100</v>
      </c>
      <c r="CR305" s="7" t="s">
        <v>7160</v>
      </c>
      <c r="CT305" s="7" t="s">
        <v>7143</v>
      </c>
      <c r="CU305" s="7" t="s">
        <v>7161</v>
      </c>
      <c r="CW305" s="7" t="s">
        <v>7162</v>
      </c>
      <c r="CY305" s="7" t="s">
        <v>7163</v>
      </c>
      <c r="CZ305" s="7" t="s">
        <v>7163</v>
      </c>
      <c r="DA305" s="7" t="s">
        <v>7250</v>
      </c>
      <c r="DB305" s="7" t="s">
        <v>7251</v>
      </c>
      <c r="DC305" s="2" t="s">
        <v>7250</v>
      </c>
      <c r="DD305" s="2" t="s">
        <v>7251</v>
      </c>
      <c r="DE305" s="2" t="s">
        <v>7250</v>
      </c>
      <c r="DF305" s="2" t="s">
        <v>7163</v>
      </c>
      <c r="DG305" s="2" t="s">
        <v>7163</v>
      </c>
      <c r="DH305" s="2" t="s">
        <v>7163</v>
      </c>
      <c r="DI305" s="2" t="s">
        <v>7163</v>
      </c>
      <c r="DL305" s="7" t="s">
        <v>7142</v>
      </c>
      <c r="DM305" s="7" t="s">
        <v>7142</v>
      </c>
      <c r="DN305" s="7" t="s">
        <v>7142</v>
      </c>
      <c r="DO305" s="7" t="s">
        <v>7142</v>
      </c>
      <c r="DP305" s="7" t="s">
        <v>7165</v>
      </c>
      <c r="DQ305" s="7" t="s">
        <v>7166</v>
      </c>
      <c r="DS305" s="7" t="s">
        <v>7165</v>
      </c>
      <c r="DT305" s="7" t="s">
        <v>7165</v>
      </c>
      <c r="DU305" s="7" t="s">
        <v>7165</v>
      </c>
      <c r="DV305" s="7" t="s">
        <v>7165</v>
      </c>
      <c r="DW305" s="7" t="s">
        <v>7165</v>
      </c>
      <c r="DX305" s="7" t="s">
        <v>7165</v>
      </c>
      <c r="DY305" s="7" t="s">
        <v>7159</v>
      </c>
      <c r="DZ305" s="7" t="s">
        <v>7159</v>
      </c>
      <c r="EA305" s="7" t="s">
        <v>7165</v>
      </c>
      <c r="EB305" s="7" t="s">
        <v>7165</v>
      </c>
      <c r="EC305" s="7" t="s">
        <v>7159</v>
      </c>
      <c r="ED305" s="7"/>
      <c r="EE305" s="7"/>
      <c r="EF305" s="7" t="s">
        <v>7167</v>
      </c>
      <c r="EJ305" s="7" t="s">
        <v>7193</v>
      </c>
      <c r="EK305" s="7" t="s">
        <v>7142</v>
      </c>
      <c r="EL305" s="7" t="s">
        <v>7143</v>
      </c>
      <c r="EN305" s="7" t="s">
        <v>7170</v>
      </c>
      <c r="EP305" s="7" t="s">
        <v>7186</v>
      </c>
      <c r="ER305" s="7" t="s">
        <v>7142</v>
      </c>
      <c r="ET305" s="7" t="s">
        <v>7143</v>
      </c>
      <c r="EV305" s="2" t="s">
        <v>7143</v>
      </c>
      <c r="EX305" s="2" t="s">
        <v>7143</v>
      </c>
      <c r="FC305" s="2" t="s">
        <v>7172</v>
      </c>
      <c r="FD305" s="2" t="s">
        <v>7143</v>
      </c>
      <c r="FH305" s="7" t="s">
        <v>7173</v>
      </c>
      <c r="FJ305" s="2" t="s">
        <v>7142</v>
      </c>
      <c r="FK305" s="7" t="s">
        <v>7165</v>
      </c>
      <c r="FL305" s="7" t="s">
        <v>7260</v>
      </c>
      <c r="FN305" s="2" t="s">
        <v>7283</v>
      </c>
      <c r="FT305" s="2" t="s">
        <v>7176</v>
      </c>
      <c r="FU305" s="2" t="s">
        <v>7189</v>
      </c>
      <c r="FV305" s="2" t="s">
        <v>7189</v>
      </c>
      <c r="FW305" s="2" t="s">
        <v>7189</v>
      </c>
      <c r="FZ305" s="19" t="s">
        <v>8240</v>
      </c>
    </row>
    <row r="306" spans="1:182">
      <c r="A306" s="7" t="s">
        <v>2094</v>
      </c>
      <c r="D306" s="7" t="s">
        <v>8241</v>
      </c>
      <c r="E306" s="7" t="s">
        <v>2095</v>
      </c>
      <c r="F306" s="7" t="s">
        <v>7311</v>
      </c>
      <c r="G306" s="7" t="s">
        <v>8167</v>
      </c>
      <c r="H306" s="7" t="s">
        <v>1966</v>
      </c>
      <c r="I306" s="7" t="s">
        <v>1739</v>
      </c>
      <c r="J306" s="16" t="s">
        <v>8242</v>
      </c>
      <c r="K306" s="7" t="s">
        <v>2096</v>
      </c>
      <c r="L306" s="7" t="s">
        <v>7137</v>
      </c>
      <c r="M306" s="7" t="s">
        <v>7179</v>
      </c>
      <c r="N306" s="7">
        <v>1981</v>
      </c>
      <c r="O306" s="7" t="s">
        <v>7180</v>
      </c>
      <c r="P306" s="7" t="s">
        <v>7181</v>
      </c>
      <c r="Q306" s="7" t="s">
        <v>7141</v>
      </c>
      <c r="R306" s="2" t="s">
        <v>7143</v>
      </c>
      <c r="S306" s="2">
        <v>25</v>
      </c>
      <c r="T306" s="2" t="s">
        <v>7143</v>
      </c>
      <c r="U306" s="2" t="s">
        <v>7143</v>
      </c>
      <c r="Y306" s="2">
        <v>550</v>
      </c>
      <c r="Z306" s="17">
        <v>0.6</v>
      </c>
      <c r="AA306" s="2">
        <v>330</v>
      </c>
      <c r="AB306" s="2">
        <v>330</v>
      </c>
      <c r="AC306" s="7">
        <v>330</v>
      </c>
      <c r="AD306" s="2">
        <v>400</v>
      </c>
      <c r="AE306" s="2">
        <v>70</v>
      </c>
      <c r="AF306" s="2" t="s">
        <v>7143</v>
      </c>
      <c r="AG306" s="2" t="s">
        <v>7143</v>
      </c>
      <c r="AH306" s="2" t="s">
        <v>7143</v>
      </c>
      <c r="AJ306" s="2" t="s">
        <v>7143</v>
      </c>
      <c r="AK306" s="2" t="s">
        <v>7143</v>
      </c>
      <c r="AL306" s="2" t="s">
        <v>7142</v>
      </c>
      <c r="AM306" s="2" t="s">
        <v>7142</v>
      </c>
      <c r="AN306" s="2" t="s">
        <v>7143</v>
      </c>
      <c r="AO306" s="2" t="s">
        <v>7143</v>
      </c>
      <c r="AR306" s="7">
        <v>1.27</v>
      </c>
      <c r="AS306" s="7">
        <v>3</v>
      </c>
      <c r="AT306" s="7">
        <v>4</v>
      </c>
      <c r="AU306" s="2" t="s">
        <v>7144</v>
      </c>
      <c r="AV306" s="2" t="s">
        <v>7144</v>
      </c>
      <c r="AW306" s="2" t="s">
        <v>7143</v>
      </c>
      <c r="BC306" s="2" t="s">
        <v>7147</v>
      </c>
      <c r="BD306" s="2" t="s">
        <v>7143</v>
      </c>
      <c r="BE306" s="2" t="s">
        <v>7143</v>
      </c>
      <c r="BL306" s="2" t="s">
        <v>7195</v>
      </c>
      <c r="BO306" s="2" t="s">
        <v>7155</v>
      </c>
      <c r="BQ306" s="2" t="s">
        <v>7156</v>
      </c>
      <c r="BS306" s="2" t="s">
        <v>7142</v>
      </c>
      <c r="BT306" s="2" t="s">
        <v>7315</v>
      </c>
      <c r="BV306" s="2" t="s">
        <v>7352</v>
      </c>
      <c r="BX306" s="2" t="s">
        <v>7143</v>
      </c>
      <c r="BY306" s="2" t="s">
        <v>2097</v>
      </c>
      <c r="BZ306" s="2" t="s">
        <v>7159</v>
      </c>
      <c r="CE306" s="7">
        <v>4</v>
      </c>
      <c r="CF306" s="2">
        <v>400</v>
      </c>
      <c r="CM306" s="2">
        <v>100</v>
      </c>
      <c r="CP306" s="2">
        <v>100</v>
      </c>
      <c r="CR306" s="2" t="s">
        <v>7160</v>
      </c>
      <c r="CT306" s="2" t="s">
        <v>7143</v>
      </c>
      <c r="CU306" s="2" t="s">
        <v>7161</v>
      </c>
      <c r="CW306" s="2" t="s">
        <v>7162</v>
      </c>
      <c r="CY306" s="2" t="s">
        <v>7163</v>
      </c>
      <c r="CZ306" s="2" t="s">
        <v>7163</v>
      </c>
      <c r="DA306" s="2" t="s">
        <v>7250</v>
      </c>
      <c r="DB306" s="2" t="s">
        <v>7250</v>
      </c>
      <c r="DC306" s="2" t="s">
        <v>7250</v>
      </c>
      <c r="DD306" s="2" t="s">
        <v>7250</v>
      </c>
      <c r="DE306" s="2" t="s">
        <v>7250</v>
      </c>
      <c r="DF306" s="2" t="s">
        <v>7163</v>
      </c>
      <c r="DG306" s="2" t="s">
        <v>7163</v>
      </c>
      <c r="DH306" s="2" t="s">
        <v>7163</v>
      </c>
      <c r="DI306" s="2" t="s">
        <v>7163</v>
      </c>
      <c r="DL306" s="2" t="s">
        <v>7142</v>
      </c>
      <c r="DM306" s="2" t="s">
        <v>7142</v>
      </c>
      <c r="DN306" s="2" t="s">
        <v>7142</v>
      </c>
      <c r="DO306" s="2" t="s">
        <v>7142</v>
      </c>
      <c r="DP306" s="2" t="s">
        <v>7165</v>
      </c>
      <c r="DQ306" s="2" t="s">
        <v>7333</v>
      </c>
      <c r="DR306" s="2" t="s">
        <v>2098</v>
      </c>
      <c r="DT306" s="2" t="s">
        <v>7165</v>
      </c>
      <c r="DU306" s="2" t="s">
        <v>7165</v>
      </c>
      <c r="DV306" s="2" t="s">
        <v>7165</v>
      </c>
      <c r="DW306" s="2" t="s">
        <v>7165</v>
      </c>
      <c r="DX306" s="2" t="s">
        <v>7165</v>
      </c>
      <c r="DY306" s="2" t="s">
        <v>7165</v>
      </c>
      <c r="DZ306" s="2" t="s">
        <v>7159</v>
      </c>
      <c r="EA306" s="2" t="s">
        <v>7165</v>
      </c>
      <c r="EB306" s="2" t="s">
        <v>7165</v>
      </c>
      <c r="EC306" s="2" t="s">
        <v>7159</v>
      </c>
      <c r="EF306" s="2" t="s">
        <v>7221</v>
      </c>
      <c r="EG306" s="2" t="s">
        <v>1896</v>
      </c>
      <c r="EJ306" s="2" t="s">
        <v>7193</v>
      </c>
      <c r="EK306" s="2" t="s">
        <v>7142</v>
      </c>
      <c r="EL306" s="2" t="s">
        <v>7142</v>
      </c>
      <c r="EM306" s="2" t="s">
        <v>7300</v>
      </c>
      <c r="EN306" s="2" t="s">
        <v>7170</v>
      </c>
      <c r="EP306" s="2" t="s">
        <v>7186</v>
      </c>
      <c r="ER306" s="2" t="s">
        <v>7142</v>
      </c>
      <c r="ET306" s="2" t="s">
        <v>7143</v>
      </c>
      <c r="EV306" s="2" t="s">
        <v>7143</v>
      </c>
      <c r="EX306" s="2" t="s">
        <v>7143</v>
      </c>
      <c r="EZ306" s="2" t="s">
        <v>7143</v>
      </c>
      <c r="FC306" s="2" t="s">
        <v>7172</v>
      </c>
      <c r="FD306" s="2" t="s">
        <v>7143</v>
      </c>
      <c r="FH306" s="2" t="s">
        <v>7173</v>
      </c>
      <c r="FJ306" s="2" t="s">
        <v>7143</v>
      </c>
      <c r="FK306" s="2" t="s">
        <v>7159</v>
      </c>
      <c r="FN306" s="2" t="s">
        <v>7322</v>
      </c>
      <c r="FR306" s="2" t="s">
        <v>2099</v>
      </c>
      <c r="FT306" s="2" t="s">
        <v>7176</v>
      </c>
      <c r="FU306" s="2" t="s">
        <v>7189</v>
      </c>
      <c r="FV306" s="2" t="s">
        <v>7176</v>
      </c>
      <c r="FW306" s="2" t="s">
        <v>7176</v>
      </c>
      <c r="FX306" s="2" t="s">
        <v>7176</v>
      </c>
      <c r="FY306" s="2" t="s">
        <v>2100</v>
      </c>
      <c r="FZ306" s="19" t="s">
        <v>8243</v>
      </c>
    </row>
    <row r="307" spans="1:182">
      <c r="A307" s="7" t="s">
        <v>2101</v>
      </c>
      <c r="D307" s="7" t="s">
        <v>8244</v>
      </c>
      <c r="E307" s="7" t="s">
        <v>2102</v>
      </c>
      <c r="F307" s="7" t="s">
        <v>7389</v>
      </c>
      <c r="G307" s="7" t="s">
        <v>8167</v>
      </c>
      <c r="H307" s="7" t="s">
        <v>1996</v>
      </c>
      <c r="I307" s="7" t="s">
        <v>2103</v>
      </c>
      <c r="J307" s="16" t="s">
        <v>8245</v>
      </c>
      <c r="K307" s="7" t="s">
        <v>2104</v>
      </c>
      <c r="L307" s="2" t="s">
        <v>7137</v>
      </c>
      <c r="M307" s="7" t="s">
        <v>7179</v>
      </c>
      <c r="N307" s="7">
        <v>1962</v>
      </c>
      <c r="O307" s="7" t="s">
        <v>7180</v>
      </c>
      <c r="P307" s="7" t="s">
        <v>7181</v>
      </c>
      <c r="Q307" s="2" t="s">
        <v>7225</v>
      </c>
      <c r="R307" s="2" t="s">
        <v>7143</v>
      </c>
      <c r="S307" s="2">
        <v>26</v>
      </c>
      <c r="T307" s="2" t="s">
        <v>7143</v>
      </c>
      <c r="U307" s="2" t="s">
        <v>7143</v>
      </c>
      <c r="Y307" s="2">
        <v>300</v>
      </c>
      <c r="Z307" s="17">
        <v>1</v>
      </c>
      <c r="AA307" s="2">
        <v>300</v>
      </c>
      <c r="AB307" s="2">
        <v>300</v>
      </c>
      <c r="AC307" s="7">
        <v>300</v>
      </c>
      <c r="AD307" s="2">
        <v>400</v>
      </c>
      <c r="AE307" s="2">
        <v>100</v>
      </c>
      <c r="AF307" s="2" t="s">
        <v>7143</v>
      </c>
      <c r="AG307" s="2" t="s">
        <v>7143</v>
      </c>
      <c r="AH307" s="2" t="s">
        <v>7143</v>
      </c>
      <c r="AJ307" s="2" t="s">
        <v>7143</v>
      </c>
      <c r="AK307" s="2" t="s">
        <v>7143</v>
      </c>
      <c r="AL307" s="2" t="s">
        <v>7143</v>
      </c>
      <c r="AM307" s="2" t="s">
        <v>7143</v>
      </c>
      <c r="AN307" s="2" t="s">
        <v>7143</v>
      </c>
      <c r="AO307" s="2" t="s">
        <v>7143</v>
      </c>
      <c r="AR307" s="7">
        <v>1.6</v>
      </c>
      <c r="AS307" s="7">
        <v>2</v>
      </c>
      <c r="AT307" s="7">
        <v>3.5</v>
      </c>
      <c r="AU307" s="2" t="s">
        <v>7193</v>
      </c>
      <c r="AV307" s="2" t="s">
        <v>7144</v>
      </c>
      <c r="AW307" s="2" t="s">
        <v>7143</v>
      </c>
      <c r="AZ307" s="2" t="s">
        <v>7145</v>
      </c>
      <c r="BB307" s="2" t="s">
        <v>7214</v>
      </c>
      <c r="BC307" s="2" t="s">
        <v>7247</v>
      </c>
      <c r="BD307" s="2" t="s">
        <v>7143</v>
      </c>
      <c r="BE307" s="2" t="s">
        <v>7142</v>
      </c>
      <c r="BF307" s="2" t="s">
        <v>7148</v>
      </c>
      <c r="BG307" s="2" t="s">
        <v>7149</v>
      </c>
      <c r="BH307" s="2" t="s">
        <v>7248</v>
      </c>
      <c r="BI307" s="2" t="s">
        <v>7151</v>
      </c>
      <c r="BL307" s="2" t="s">
        <v>7152</v>
      </c>
      <c r="BM307" s="2" t="s">
        <v>7355</v>
      </c>
      <c r="BN307" s="2" t="s">
        <v>7154</v>
      </c>
      <c r="BO307" s="2" t="s">
        <v>7155</v>
      </c>
      <c r="BQ307" s="2" t="s">
        <v>7183</v>
      </c>
      <c r="BS307" s="2" t="s">
        <v>7142</v>
      </c>
      <c r="BT307" s="2" t="s">
        <v>7341</v>
      </c>
      <c r="BV307" s="2" t="s">
        <v>7197</v>
      </c>
      <c r="BX307" s="2" t="s">
        <v>7143</v>
      </c>
      <c r="BZ307" s="2" t="s">
        <v>7159</v>
      </c>
      <c r="CE307" s="7">
        <v>3.5</v>
      </c>
      <c r="CF307" s="2">
        <v>400</v>
      </c>
      <c r="CM307" s="2">
        <v>100</v>
      </c>
      <c r="CQ307" s="2">
        <v>100</v>
      </c>
      <c r="CR307" s="2" t="s">
        <v>7160</v>
      </c>
      <c r="CT307" s="2" t="s">
        <v>7143</v>
      </c>
      <c r="CU307" s="2" t="s">
        <v>7161</v>
      </c>
      <c r="CW307" s="2" t="s">
        <v>7162</v>
      </c>
      <c r="CY307" s="2" t="s">
        <v>7227</v>
      </c>
      <c r="CZ307" s="2" t="s">
        <v>7250</v>
      </c>
      <c r="DA307" s="2" t="s">
        <v>7250</v>
      </c>
      <c r="DB307" s="2" t="s">
        <v>7250</v>
      </c>
      <c r="DC307" s="2" t="s">
        <v>7227</v>
      </c>
      <c r="DD307" s="2" t="s">
        <v>7227</v>
      </c>
      <c r="DE307" s="2" t="s">
        <v>7227</v>
      </c>
      <c r="DF307" s="2" t="s">
        <v>7227</v>
      </c>
      <c r="DG307" s="2" t="s">
        <v>7227</v>
      </c>
      <c r="DH307" s="2" t="s">
        <v>7227</v>
      </c>
      <c r="DI307" s="2" t="s">
        <v>7227</v>
      </c>
      <c r="DL307" s="2" t="s">
        <v>7142</v>
      </c>
      <c r="DM307" s="2" t="s">
        <v>7142</v>
      </c>
      <c r="DN307" s="2" t="s">
        <v>7142</v>
      </c>
      <c r="DO307" s="2" t="s">
        <v>7142</v>
      </c>
      <c r="DP307" s="2" t="s">
        <v>7165</v>
      </c>
      <c r="DQ307" s="2" t="s">
        <v>7333</v>
      </c>
      <c r="DR307" s="2" t="s">
        <v>1998</v>
      </c>
      <c r="DT307" s="2" t="s">
        <v>7165</v>
      </c>
      <c r="DU307" s="2" t="s">
        <v>7165</v>
      </c>
      <c r="DV307" s="2" t="s">
        <v>7165</v>
      </c>
      <c r="DW307" s="2" t="s">
        <v>7165</v>
      </c>
      <c r="DX307" s="2" t="s">
        <v>7165</v>
      </c>
      <c r="DY307" s="2" t="s">
        <v>7159</v>
      </c>
      <c r="DZ307" s="2" t="s">
        <v>7159</v>
      </c>
      <c r="EA307" s="2" t="s">
        <v>7165</v>
      </c>
      <c r="EB307" s="2" t="s">
        <v>7165</v>
      </c>
      <c r="EC307" s="2" t="s">
        <v>7173</v>
      </c>
      <c r="EF307" s="2" t="s">
        <v>7167</v>
      </c>
      <c r="EG307" s="2" t="s">
        <v>985</v>
      </c>
      <c r="EJ307" s="2" t="s">
        <v>7193</v>
      </c>
      <c r="EK307" s="2" t="s">
        <v>7143</v>
      </c>
      <c r="EL307" s="2" t="s">
        <v>7143</v>
      </c>
      <c r="EN307" s="2" t="s">
        <v>7210</v>
      </c>
      <c r="EP307" s="2" t="s">
        <v>7186</v>
      </c>
      <c r="ER307" s="2" t="s">
        <v>7143</v>
      </c>
      <c r="ET307" s="2" t="s">
        <v>7143</v>
      </c>
      <c r="EV307" s="2" t="s">
        <v>7143</v>
      </c>
      <c r="EX307" s="2" t="s">
        <v>7143</v>
      </c>
      <c r="EZ307" s="2" t="s">
        <v>7143</v>
      </c>
      <c r="FC307" s="2" t="s">
        <v>7218</v>
      </c>
      <c r="FD307" s="2" t="s">
        <v>7143</v>
      </c>
      <c r="FH307" s="2" t="s">
        <v>7173</v>
      </c>
      <c r="FJ307" s="2" t="s">
        <v>7143</v>
      </c>
      <c r="FK307" s="2" t="s">
        <v>7173</v>
      </c>
      <c r="FN307" s="2" t="s">
        <v>8206</v>
      </c>
      <c r="FR307" s="2" t="s">
        <v>2105</v>
      </c>
      <c r="FT307" s="2" t="s">
        <v>7189</v>
      </c>
      <c r="FU307" s="2" t="s">
        <v>7189</v>
      </c>
      <c r="FV307" s="2" t="s">
        <v>7189</v>
      </c>
      <c r="FW307" s="2" t="s">
        <v>7189</v>
      </c>
      <c r="FZ307" s="19" t="s">
        <v>8246</v>
      </c>
    </row>
    <row r="308" spans="1:182">
      <c r="A308" s="7" t="s">
        <v>2106</v>
      </c>
      <c r="D308" s="7" t="s">
        <v>8247</v>
      </c>
      <c r="E308" s="7" t="s">
        <v>2107</v>
      </c>
      <c r="F308" s="7" t="s">
        <v>7339</v>
      </c>
      <c r="G308" s="7" t="s">
        <v>8167</v>
      </c>
      <c r="H308" s="7" t="s">
        <v>2108</v>
      </c>
      <c r="I308" s="7" t="s">
        <v>2109</v>
      </c>
      <c r="J308" s="16" t="s">
        <v>8248</v>
      </c>
      <c r="K308" s="7" t="s">
        <v>2109</v>
      </c>
      <c r="L308" s="2" t="s">
        <v>7137</v>
      </c>
      <c r="M308" s="7" t="s">
        <v>7138</v>
      </c>
      <c r="N308" s="7">
        <v>1968</v>
      </c>
      <c r="O308" s="7" t="s">
        <v>7180</v>
      </c>
      <c r="P308" s="2" t="s">
        <v>7140</v>
      </c>
      <c r="Q308" s="2" t="s">
        <v>7182</v>
      </c>
      <c r="R308" s="2" t="s">
        <v>7143</v>
      </c>
      <c r="S308" s="2">
        <v>1998</v>
      </c>
      <c r="T308" s="2" t="s">
        <v>7143</v>
      </c>
      <c r="U308" s="2" t="s">
        <v>7143</v>
      </c>
      <c r="Y308" s="2">
        <v>400</v>
      </c>
      <c r="Z308" s="17">
        <v>1</v>
      </c>
      <c r="AA308" s="2">
        <v>400</v>
      </c>
      <c r="AB308" s="2">
        <v>400</v>
      </c>
      <c r="AC308" s="7">
        <v>400</v>
      </c>
      <c r="AD308" s="2">
        <v>490</v>
      </c>
      <c r="AE308" s="2">
        <v>90</v>
      </c>
      <c r="AF308" s="2" t="s">
        <v>7143</v>
      </c>
      <c r="AG308" s="2" t="s">
        <v>7143</v>
      </c>
      <c r="AH308" s="2" t="s">
        <v>7143</v>
      </c>
      <c r="AJ308" s="2" t="s">
        <v>7143</v>
      </c>
      <c r="AK308" s="2" t="s">
        <v>7143</v>
      </c>
      <c r="AL308" s="2" t="s">
        <v>7143</v>
      </c>
      <c r="AM308" s="2" t="s">
        <v>7143</v>
      </c>
      <c r="AN308" s="2" t="s">
        <v>7143</v>
      </c>
      <c r="AO308" s="2" t="s">
        <v>7143</v>
      </c>
      <c r="AR308" s="7">
        <v>1</v>
      </c>
      <c r="AS308" s="7">
        <v>1</v>
      </c>
      <c r="AT308" s="7">
        <v>5</v>
      </c>
      <c r="AU308" s="2" t="s">
        <v>7193</v>
      </c>
      <c r="AV308" s="2" t="s">
        <v>7193</v>
      </c>
      <c r="AZ308" s="2" t="s">
        <v>7145</v>
      </c>
      <c r="BB308" s="2" t="s">
        <v>7214</v>
      </c>
      <c r="BC308" s="2" t="s">
        <v>7147</v>
      </c>
      <c r="BD308" s="2" t="s">
        <v>7143</v>
      </c>
      <c r="BE308" s="2" t="s">
        <v>7143</v>
      </c>
      <c r="BL308" s="2" t="s">
        <v>7152</v>
      </c>
      <c r="BM308" s="2" t="s">
        <v>7153</v>
      </c>
      <c r="BN308" s="2" t="s">
        <v>7154</v>
      </c>
      <c r="BO308" s="2" t="s">
        <v>7155</v>
      </c>
      <c r="BQ308" s="2" t="s">
        <v>7183</v>
      </c>
      <c r="BS308" s="2" t="s">
        <v>7142</v>
      </c>
      <c r="BT308" s="2" t="s">
        <v>7400</v>
      </c>
      <c r="BV308" s="2" t="s">
        <v>7966</v>
      </c>
      <c r="BX308" s="2" t="s">
        <v>7142</v>
      </c>
      <c r="BY308" s="2" t="s">
        <v>1602</v>
      </c>
      <c r="BZ308" s="2" t="s">
        <v>7165</v>
      </c>
      <c r="CA308" s="2" t="s">
        <v>2110</v>
      </c>
      <c r="CE308" s="7">
        <v>5</v>
      </c>
      <c r="CF308" s="2">
        <v>490</v>
      </c>
      <c r="CK308" s="2">
        <v>100</v>
      </c>
      <c r="CO308" s="2">
        <v>100</v>
      </c>
      <c r="CR308" s="2" t="s">
        <v>7357</v>
      </c>
      <c r="CT308" s="2" t="s">
        <v>7143</v>
      </c>
      <c r="CU308" s="2" t="s">
        <v>7161</v>
      </c>
      <c r="CW308" s="2" t="s">
        <v>7162</v>
      </c>
      <c r="CY308" s="2" t="s">
        <v>7227</v>
      </c>
      <c r="CZ308" s="2" t="s">
        <v>7227</v>
      </c>
      <c r="DA308" s="2" t="s">
        <v>7249</v>
      </c>
      <c r="DB308" s="2" t="s">
        <v>7249</v>
      </c>
      <c r="DC308" s="2" t="s">
        <v>7249</v>
      </c>
      <c r="DD308" s="2" t="s">
        <v>7249</v>
      </c>
      <c r="DE308" s="2" t="s">
        <v>7249</v>
      </c>
      <c r="DF308" s="2" t="s">
        <v>7227</v>
      </c>
      <c r="DG308" s="2" t="s">
        <v>7227</v>
      </c>
      <c r="DH308" s="2" t="s">
        <v>7227</v>
      </c>
      <c r="DI308" s="2" t="s">
        <v>7227</v>
      </c>
      <c r="DL308" s="2" t="s">
        <v>7142</v>
      </c>
      <c r="DM308" s="2" t="s">
        <v>7142</v>
      </c>
      <c r="DN308" s="2" t="s">
        <v>7142</v>
      </c>
      <c r="DO308" s="2" t="s">
        <v>7142</v>
      </c>
      <c r="DP308" s="2" t="s">
        <v>7165</v>
      </c>
      <c r="DQ308" s="2" t="s">
        <v>7333</v>
      </c>
      <c r="DR308" s="2" t="s">
        <v>2111</v>
      </c>
      <c r="DT308" s="2" t="s">
        <v>7165</v>
      </c>
      <c r="DU308" s="2" t="s">
        <v>7165</v>
      </c>
      <c r="DV308" s="2" t="s">
        <v>7165</v>
      </c>
      <c r="DW308" s="2" t="s">
        <v>7165</v>
      </c>
      <c r="DX308" s="2" t="s">
        <v>7165</v>
      </c>
      <c r="DY308" s="2" t="s">
        <v>7159</v>
      </c>
      <c r="DZ308" s="2" t="s">
        <v>7159</v>
      </c>
      <c r="EA308" s="2" t="s">
        <v>7159</v>
      </c>
      <c r="EB308" s="2" t="s">
        <v>7165</v>
      </c>
      <c r="EF308" s="2" t="s">
        <v>7221</v>
      </c>
      <c r="EG308" s="2" t="s">
        <v>2112</v>
      </c>
      <c r="EJ308" s="2" t="s">
        <v>7193</v>
      </c>
      <c r="EK308" s="2" t="s">
        <v>7142</v>
      </c>
      <c r="EL308" s="2" t="s">
        <v>7143</v>
      </c>
      <c r="EN308" s="2" t="s">
        <v>7170</v>
      </c>
      <c r="EP308" s="2" t="s">
        <v>7186</v>
      </c>
      <c r="ER308" s="2" t="s">
        <v>7142</v>
      </c>
      <c r="ET308" s="2" t="s">
        <v>7143</v>
      </c>
      <c r="EV308" s="2" t="s">
        <v>7143</v>
      </c>
      <c r="EX308" s="2" t="s">
        <v>7143</v>
      </c>
      <c r="EZ308" s="2" t="s">
        <v>7143</v>
      </c>
      <c r="FC308" s="2" t="s">
        <v>7218</v>
      </c>
      <c r="FD308" s="2" t="s">
        <v>7143</v>
      </c>
      <c r="FH308" s="2" t="s">
        <v>7173</v>
      </c>
      <c r="FJ308" s="2" t="s">
        <v>7143</v>
      </c>
      <c r="FK308" s="2" t="s">
        <v>7173</v>
      </c>
      <c r="FN308" s="2" t="s">
        <v>7344</v>
      </c>
      <c r="FR308" s="2" t="s">
        <v>2113</v>
      </c>
      <c r="FT308" s="2" t="s">
        <v>7189</v>
      </c>
      <c r="FU308" s="2" t="s">
        <v>7189</v>
      </c>
      <c r="FV308" s="2" t="s">
        <v>7189</v>
      </c>
      <c r="FW308" s="2" t="s">
        <v>7189</v>
      </c>
      <c r="FZ308" s="19" t="s">
        <v>8249</v>
      </c>
    </row>
    <row r="309" spans="1:182">
      <c r="A309" s="7" t="s">
        <v>2114</v>
      </c>
      <c r="D309" s="7" t="s">
        <v>8250</v>
      </c>
      <c r="E309" s="7" t="s">
        <v>177</v>
      </c>
      <c r="F309" s="7" t="s">
        <v>7134</v>
      </c>
      <c r="G309" s="7" t="s">
        <v>8167</v>
      </c>
      <c r="H309" s="7" t="s">
        <v>2012</v>
      </c>
      <c r="I309" s="7" t="s">
        <v>2115</v>
      </c>
      <c r="J309" s="16" t="s">
        <v>8251</v>
      </c>
      <c r="K309" s="7" t="s">
        <v>2115</v>
      </c>
      <c r="L309" s="2" t="s">
        <v>7137</v>
      </c>
      <c r="M309" s="7" t="s">
        <v>7138</v>
      </c>
      <c r="N309" s="7">
        <v>1976</v>
      </c>
      <c r="O309" s="7" t="s">
        <v>7180</v>
      </c>
      <c r="P309" s="2" t="s">
        <v>7140</v>
      </c>
      <c r="Q309" s="2" t="s">
        <v>7225</v>
      </c>
      <c r="R309" s="2" t="s">
        <v>7143</v>
      </c>
      <c r="S309" s="2">
        <v>29</v>
      </c>
      <c r="T309" s="2" t="s">
        <v>7143</v>
      </c>
      <c r="U309" s="2" t="s">
        <v>7143</v>
      </c>
      <c r="Y309" s="2">
        <v>55</v>
      </c>
      <c r="Z309" s="17">
        <v>0</v>
      </c>
      <c r="AA309" s="2">
        <v>0</v>
      </c>
      <c r="AB309" s="2">
        <v>0</v>
      </c>
      <c r="AC309" s="7">
        <v>0</v>
      </c>
      <c r="AD309" s="2">
        <v>0</v>
      </c>
      <c r="AE309" s="2">
        <v>0</v>
      </c>
      <c r="AF309" s="2" t="s">
        <v>7143</v>
      </c>
      <c r="AG309" s="2" t="s">
        <v>7143</v>
      </c>
      <c r="AH309" s="2" t="s">
        <v>7143</v>
      </c>
      <c r="AJ309" s="2" t="s">
        <v>7143</v>
      </c>
      <c r="AK309" s="2" t="s">
        <v>7143</v>
      </c>
      <c r="AL309" s="2" t="s">
        <v>7143</v>
      </c>
      <c r="AM309" s="2" t="s">
        <v>7142</v>
      </c>
      <c r="AN309" s="2" t="s">
        <v>7143</v>
      </c>
      <c r="AO309" s="2" t="s">
        <v>7143</v>
      </c>
      <c r="AR309" s="7">
        <v>0.5</v>
      </c>
      <c r="AS309" s="7">
        <v>1</v>
      </c>
      <c r="AT309" s="7">
        <v>0</v>
      </c>
      <c r="AU309" s="2" t="s">
        <v>7193</v>
      </c>
      <c r="AV309" s="2" t="s">
        <v>7193</v>
      </c>
      <c r="AW309" s="2" t="s">
        <v>7143</v>
      </c>
      <c r="AZ309" s="2" t="s">
        <v>7145</v>
      </c>
      <c r="BB309" s="2" t="s">
        <v>7214</v>
      </c>
      <c r="BC309" s="2" t="s">
        <v>7147</v>
      </c>
      <c r="BD309" s="2" t="s">
        <v>7143</v>
      </c>
      <c r="BE309" s="2" t="s">
        <v>7142</v>
      </c>
      <c r="BF309" s="2" t="s">
        <v>7148</v>
      </c>
      <c r="BG309" s="2" t="s">
        <v>7149</v>
      </c>
      <c r="BH309" s="2" t="s">
        <v>7150</v>
      </c>
      <c r="BI309" s="2" t="s">
        <v>7151</v>
      </c>
      <c r="BL309" s="2" t="s">
        <v>7195</v>
      </c>
      <c r="BO309" s="2" t="s">
        <v>7155</v>
      </c>
      <c r="BQ309" s="2" t="s">
        <v>7156</v>
      </c>
      <c r="BS309" s="2" t="s">
        <v>7142</v>
      </c>
      <c r="BT309" s="2" t="s">
        <v>7196</v>
      </c>
      <c r="BV309" s="2" t="s">
        <v>7202</v>
      </c>
      <c r="BX309" s="2" t="s">
        <v>7143</v>
      </c>
      <c r="BZ309" s="2" t="s">
        <v>7173</v>
      </c>
      <c r="CE309" s="7">
        <v>0</v>
      </c>
      <c r="CF309" s="2">
        <v>0</v>
      </c>
      <c r="CT309" s="2" t="s">
        <v>7143</v>
      </c>
      <c r="CU309" s="2" t="s">
        <v>7234</v>
      </c>
      <c r="CY309" s="2" t="s">
        <v>7164</v>
      </c>
      <c r="CZ309" s="2" t="s">
        <v>7164</v>
      </c>
      <c r="DA309" s="2" t="s">
        <v>7164</v>
      </c>
      <c r="DB309" s="2" t="s">
        <v>7164</v>
      </c>
      <c r="DC309" s="2" t="s">
        <v>7164</v>
      </c>
      <c r="DD309" s="2" t="s">
        <v>7164</v>
      </c>
      <c r="DE309" s="2" t="s">
        <v>7164</v>
      </c>
      <c r="DF309" s="2" t="s">
        <v>7164</v>
      </c>
      <c r="DG309" s="2" t="s">
        <v>7164</v>
      </c>
      <c r="DH309" s="2" t="s">
        <v>7164</v>
      </c>
      <c r="DI309" s="2" t="s">
        <v>7164</v>
      </c>
      <c r="DL309" s="2" t="s">
        <v>7143</v>
      </c>
      <c r="DM309" s="2" t="s">
        <v>7143</v>
      </c>
      <c r="DP309" s="2" t="s">
        <v>7159</v>
      </c>
      <c r="DT309" s="2" t="s">
        <v>7159</v>
      </c>
      <c r="DU309" s="2" t="s">
        <v>7159</v>
      </c>
      <c r="DV309" s="2" t="s">
        <v>7159</v>
      </c>
      <c r="DW309" s="2" t="s">
        <v>7159</v>
      </c>
      <c r="DX309" s="2" t="s">
        <v>7159</v>
      </c>
      <c r="DY309" s="2" t="s">
        <v>7159</v>
      </c>
      <c r="DZ309" s="2" t="s">
        <v>7159</v>
      </c>
      <c r="EA309" s="2" t="s">
        <v>7159</v>
      </c>
      <c r="EB309" s="2" t="s">
        <v>7159</v>
      </c>
      <c r="EC309" s="2" t="s">
        <v>7165</v>
      </c>
      <c r="EJ309" s="2" t="s">
        <v>7217</v>
      </c>
      <c r="EK309" s="2" t="s">
        <v>7143</v>
      </c>
      <c r="EL309" s="2" t="s">
        <v>7143</v>
      </c>
      <c r="EN309" s="2" t="s">
        <v>7210</v>
      </c>
      <c r="EP309" s="2" t="s">
        <v>7186</v>
      </c>
      <c r="ER309" s="2" t="s">
        <v>7143</v>
      </c>
      <c r="ET309" s="2" t="s">
        <v>7143</v>
      </c>
      <c r="EV309" s="2" t="s">
        <v>7143</v>
      </c>
      <c r="EX309" s="2" t="s">
        <v>7143</v>
      </c>
      <c r="EZ309" s="2" t="s">
        <v>7143</v>
      </c>
      <c r="FC309" s="2" t="s">
        <v>7218</v>
      </c>
      <c r="FD309" s="2" t="s">
        <v>7143</v>
      </c>
      <c r="FH309" s="2" t="s">
        <v>7173</v>
      </c>
      <c r="FJ309" s="2" t="s">
        <v>7143</v>
      </c>
      <c r="FK309" s="2" t="s">
        <v>7173</v>
      </c>
      <c r="FN309" s="2" t="s">
        <v>7258</v>
      </c>
      <c r="FT309" s="2" t="s">
        <v>7345</v>
      </c>
      <c r="FU309" s="2" t="s">
        <v>7345</v>
      </c>
      <c r="FV309" s="2" t="s">
        <v>7189</v>
      </c>
      <c r="FW309" s="2" t="s">
        <v>7189</v>
      </c>
      <c r="FZ309" s="19" t="s">
        <v>8252</v>
      </c>
    </row>
    <row r="310" spans="1:182">
      <c r="A310" s="7" t="s">
        <v>2116</v>
      </c>
      <c r="D310" s="7" t="s">
        <v>8253</v>
      </c>
      <c r="E310" s="7" t="s">
        <v>2117</v>
      </c>
      <c r="F310" s="7" t="s">
        <v>7389</v>
      </c>
      <c r="G310" s="7" t="s">
        <v>8167</v>
      </c>
      <c r="H310" s="7" t="s">
        <v>1996</v>
      </c>
      <c r="I310" s="7" t="s">
        <v>2118</v>
      </c>
      <c r="J310" s="16" t="s">
        <v>8254</v>
      </c>
      <c r="K310" s="7" t="s">
        <v>2118</v>
      </c>
      <c r="L310" s="2" t="s">
        <v>7137</v>
      </c>
      <c r="M310" s="7" t="s">
        <v>7138</v>
      </c>
      <c r="N310" s="7">
        <v>1954</v>
      </c>
      <c r="O310" s="7" t="s">
        <v>7180</v>
      </c>
      <c r="P310" s="7" t="s">
        <v>7140</v>
      </c>
      <c r="Q310" s="2" t="s">
        <v>7225</v>
      </c>
      <c r="R310" s="2" t="s">
        <v>7143</v>
      </c>
      <c r="S310" s="2">
        <v>30</v>
      </c>
      <c r="T310" s="2" t="s">
        <v>7143</v>
      </c>
      <c r="U310" s="2" t="s">
        <v>7143</v>
      </c>
      <c r="Y310" s="2">
        <v>60</v>
      </c>
      <c r="Z310" s="17">
        <v>0.83330000000000004</v>
      </c>
      <c r="AA310" s="2">
        <v>50</v>
      </c>
      <c r="AB310" s="2">
        <v>50</v>
      </c>
      <c r="AC310" s="7">
        <v>50</v>
      </c>
      <c r="AD310" s="2">
        <v>100</v>
      </c>
      <c r="AE310" s="2">
        <v>50</v>
      </c>
      <c r="AF310" s="2" t="s">
        <v>7143</v>
      </c>
      <c r="AG310" s="2" t="s">
        <v>7142</v>
      </c>
      <c r="AH310" s="2" t="s">
        <v>7143</v>
      </c>
      <c r="AJ310" s="2" t="s">
        <v>7143</v>
      </c>
      <c r="AK310" s="2" t="s">
        <v>7143</v>
      </c>
      <c r="AL310" s="2" t="s">
        <v>7143</v>
      </c>
      <c r="AM310" s="2" t="s">
        <v>7143</v>
      </c>
      <c r="AN310" s="2" t="s">
        <v>7143</v>
      </c>
      <c r="AO310" s="2" t="s">
        <v>7143</v>
      </c>
      <c r="AR310" s="7">
        <v>1.2</v>
      </c>
      <c r="AS310" s="7">
        <v>2</v>
      </c>
      <c r="AT310" s="7">
        <v>1.5</v>
      </c>
      <c r="AU310" s="2" t="s">
        <v>7217</v>
      </c>
      <c r="AV310" s="2" t="s">
        <v>7144</v>
      </c>
      <c r="AW310" s="2" t="s">
        <v>7143</v>
      </c>
      <c r="AZ310" s="2" t="s">
        <v>7145</v>
      </c>
      <c r="BB310" s="2" t="s">
        <v>7214</v>
      </c>
      <c r="BC310" s="2" t="s">
        <v>7147</v>
      </c>
      <c r="BD310" s="2" t="s">
        <v>7143</v>
      </c>
      <c r="BE310" s="2" t="s">
        <v>7142</v>
      </c>
      <c r="BF310" s="2" t="s">
        <v>7148</v>
      </c>
      <c r="BG310" s="2" t="s">
        <v>7232</v>
      </c>
      <c r="BH310" s="2" t="s">
        <v>7248</v>
      </c>
      <c r="BI310" s="2" t="s">
        <v>7151</v>
      </c>
      <c r="BL310" s="2" t="s">
        <v>7195</v>
      </c>
      <c r="BO310" s="2" t="s">
        <v>7155</v>
      </c>
      <c r="BQ310" s="2" t="s">
        <v>7183</v>
      </c>
      <c r="BS310" s="2" t="s">
        <v>7142</v>
      </c>
      <c r="BT310" s="2" t="s">
        <v>7416</v>
      </c>
      <c r="BV310" s="2" t="s">
        <v>7197</v>
      </c>
      <c r="BX310" s="2" t="s">
        <v>7143</v>
      </c>
      <c r="BZ310" s="2" t="s">
        <v>7159</v>
      </c>
      <c r="CE310" s="7">
        <v>1.5</v>
      </c>
      <c r="CF310" s="2">
        <v>100</v>
      </c>
      <c r="CK310" s="2">
        <v>100</v>
      </c>
      <c r="CO310" s="2">
        <v>100</v>
      </c>
      <c r="CR310" s="2" t="s">
        <v>7160</v>
      </c>
      <c r="CT310" s="2" t="s">
        <v>7143</v>
      </c>
      <c r="CU310" s="2" t="s">
        <v>7161</v>
      </c>
      <c r="CW310" s="2" t="s">
        <v>7162</v>
      </c>
      <c r="CY310" s="2" t="s">
        <v>7227</v>
      </c>
      <c r="CZ310" s="2" t="s">
        <v>7250</v>
      </c>
      <c r="DA310" s="2" t="s">
        <v>7250</v>
      </c>
      <c r="DB310" s="2" t="s">
        <v>7250</v>
      </c>
      <c r="DC310" s="2" t="s">
        <v>7321</v>
      </c>
      <c r="DD310" s="2" t="s">
        <v>7250</v>
      </c>
      <c r="DE310" s="2" t="s">
        <v>7250</v>
      </c>
      <c r="DF310" s="2" t="s">
        <v>7250</v>
      </c>
      <c r="DG310" s="2" t="s">
        <v>7227</v>
      </c>
      <c r="DH310" s="2" t="s">
        <v>7227</v>
      </c>
      <c r="DI310" s="2" t="s">
        <v>7227</v>
      </c>
      <c r="DL310" s="2" t="s">
        <v>7143</v>
      </c>
      <c r="DM310" s="2" t="s">
        <v>7142</v>
      </c>
      <c r="DN310" s="2" t="s">
        <v>7142</v>
      </c>
      <c r="DO310" s="2" t="s">
        <v>7142</v>
      </c>
      <c r="DP310" s="2" t="s">
        <v>7165</v>
      </c>
      <c r="DQ310" s="2" t="s">
        <v>7333</v>
      </c>
      <c r="DR310" s="2" t="s">
        <v>579</v>
      </c>
      <c r="DT310" s="2" t="s">
        <v>7165</v>
      </c>
      <c r="DU310" s="2" t="s">
        <v>7165</v>
      </c>
      <c r="DV310" s="2" t="s">
        <v>7165</v>
      </c>
      <c r="DW310" s="2" t="s">
        <v>7165</v>
      </c>
      <c r="DX310" s="2" t="s">
        <v>7165</v>
      </c>
      <c r="DY310" s="2" t="s">
        <v>7159</v>
      </c>
      <c r="DZ310" s="2" t="s">
        <v>7159</v>
      </c>
      <c r="EA310" s="2" t="s">
        <v>7159</v>
      </c>
      <c r="EB310" s="2" t="s">
        <v>7165</v>
      </c>
      <c r="EC310" s="2" t="s">
        <v>7173</v>
      </c>
      <c r="EF310" s="2" t="s">
        <v>7167</v>
      </c>
      <c r="EG310" s="2" t="s">
        <v>985</v>
      </c>
      <c r="EJ310" s="2" t="s">
        <v>7217</v>
      </c>
      <c r="EK310" s="2" t="s">
        <v>7143</v>
      </c>
      <c r="EL310" s="2" t="s">
        <v>7143</v>
      </c>
      <c r="EN310" s="2" t="s">
        <v>7210</v>
      </c>
      <c r="EP310" s="2" t="s">
        <v>7186</v>
      </c>
      <c r="ER310" s="2" t="s">
        <v>7143</v>
      </c>
      <c r="ET310" s="2" t="s">
        <v>7143</v>
      </c>
      <c r="EV310" s="2" t="s">
        <v>7143</v>
      </c>
      <c r="EX310" s="2" t="s">
        <v>7143</v>
      </c>
      <c r="EZ310" s="2" t="s">
        <v>7143</v>
      </c>
      <c r="FC310" s="2" t="s">
        <v>7218</v>
      </c>
      <c r="FD310" s="2" t="s">
        <v>7143</v>
      </c>
      <c r="FH310" s="2" t="s">
        <v>7173</v>
      </c>
      <c r="FJ310" s="2" t="s">
        <v>7142</v>
      </c>
      <c r="FK310" s="2" t="s">
        <v>7173</v>
      </c>
      <c r="FN310" s="2" t="s">
        <v>7322</v>
      </c>
      <c r="FR310" s="2" t="s">
        <v>2119</v>
      </c>
      <c r="FT310" s="2" t="s">
        <v>7345</v>
      </c>
      <c r="FU310" s="2" t="s">
        <v>7189</v>
      </c>
      <c r="FV310" s="2" t="s">
        <v>7189</v>
      </c>
      <c r="FW310" s="2" t="s">
        <v>7189</v>
      </c>
      <c r="FZ310" s="19" t="s">
        <v>8255</v>
      </c>
    </row>
    <row r="311" spans="1:182">
      <c r="A311" s="7" t="s">
        <v>2120</v>
      </c>
      <c r="D311" s="7" t="s">
        <v>8256</v>
      </c>
      <c r="E311" s="7" t="s">
        <v>177</v>
      </c>
      <c r="F311" s="7" t="s">
        <v>7245</v>
      </c>
      <c r="G311" s="7" t="s">
        <v>8167</v>
      </c>
      <c r="H311" s="7" t="s">
        <v>1996</v>
      </c>
      <c r="I311" s="7" t="s">
        <v>2121</v>
      </c>
      <c r="J311" s="16" t="s">
        <v>8257</v>
      </c>
      <c r="K311" s="7" t="s">
        <v>2122</v>
      </c>
      <c r="L311" s="7" t="s">
        <v>7137</v>
      </c>
      <c r="M311" s="7" t="s">
        <v>7179</v>
      </c>
      <c r="N311" s="7">
        <v>1973</v>
      </c>
      <c r="O311" s="7" t="s">
        <v>7180</v>
      </c>
      <c r="P311" s="7" t="s">
        <v>7181</v>
      </c>
      <c r="Q311" s="7" t="s">
        <v>7182</v>
      </c>
      <c r="R311" s="7" t="s">
        <v>7143</v>
      </c>
      <c r="S311" s="7">
        <v>1996</v>
      </c>
      <c r="T311" s="7" t="s">
        <v>7143</v>
      </c>
      <c r="U311" s="7" t="s">
        <v>7143</v>
      </c>
      <c r="Y311" s="2">
        <v>780</v>
      </c>
      <c r="Z311" s="17">
        <v>0.96150000000000002</v>
      </c>
      <c r="AA311" s="2">
        <v>750</v>
      </c>
      <c r="AB311" s="2">
        <v>750</v>
      </c>
      <c r="AC311" s="7">
        <v>520</v>
      </c>
      <c r="AD311" s="2">
        <v>600</v>
      </c>
      <c r="AE311" s="2">
        <v>80</v>
      </c>
      <c r="AF311" s="2" t="s">
        <v>7143</v>
      </c>
      <c r="AG311" s="2" t="s">
        <v>7142</v>
      </c>
      <c r="AH311" s="2" t="s">
        <v>7142</v>
      </c>
      <c r="AI311" s="2" t="s">
        <v>2123</v>
      </c>
      <c r="AJ311" s="7" t="s">
        <v>7143</v>
      </c>
      <c r="AK311" s="2" t="s">
        <v>7143</v>
      </c>
      <c r="AL311" s="2" t="s">
        <v>7143</v>
      </c>
      <c r="AM311" s="2" t="s">
        <v>7142</v>
      </c>
      <c r="AN311" s="2" t="s">
        <v>7143</v>
      </c>
      <c r="AO311" s="2" t="s">
        <v>7143</v>
      </c>
      <c r="AR311" s="7">
        <v>2.2000000000000002</v>
      </c>
      <c r="AS311" s="7">
        <v>2</v>
      </c>
      <c r="AT311" s="7">
        <v>6</v>
      </c>
      <c r="AU311" s="2" t="s">
        <v>7144</v>
      </c>
      <c r="AV311" s="2" t="s">
        <v>7144</v>
      </c>
      <c r="AW311" s="2" t="s">
        <v>7143</v>
      </c>
      <c r="AZ311" s="2" t="s">
        <v>7286</v>
      </c>
      <c r="BB311" s="2" t="s">
        <v>7214</v>
      </c>
      <c r="BC311" s="2" t="s">
        <v>7208</v>
      </c>
      <c r="BD311" s="2" t="s">
        <v>7143</v>
      </c>
      <c r="BE311" s="2" t="s">
        <v>7143</v>
      </c>
      <c r="BL311" s="7" t="s">
        <v>7152</v>
      </c>
      <c r="BM311" s="7" t="s">
        <v>7153</v>
      </c>
      <c r="BN311" s="7" t="s">
        <v>7154</v>
      </c>
      <c r="BO311" s="7" t="s">
        <v>7155</v>
      </c>
      <c r="BQ311" s="2" t="s">
        <v>7156</v>
      </c>
      <c r="BS311" s="7" t="s">
        <v>7142</v>
      </c>
      <c r="BT311" s="2" t="s">
        <v>7215</v>
      </c>
      <c r="BV311" s="2" t="s">
        <v>7772</v>
      </c>
      <c r="BX311" s="2" t="s">
        <v>7142</v>
      </c>
      <c r="BY311" s="2" t="s">
        <v>310</v>
      </c>
      <c r="BZ311" s="2" t="s">
        <v>7173</v>
      </c>
      <c r="CE311" s="7">
        <v>6</v>
      </c>
      <c r="CF311" s="2">
        <v>600</v>
      </c>
      <c r="CK311" s="2">
        <v>100</v>
      </c>
      <c r="CO311" s="2">
        <v>100</v>
      </c>
      <c r="CR311" s="7" t="s">
        <v>7160</v>
      </c>
      <c r="CT311" s="7" t="s">
        <v>7143</v>
      </c>
      <c r="CU311" s="7" t="s">
        <v>7161</v>
      </c>
      <c r="CW311" s="7" t="s">
        <v>7162</v>
      </c>
      <c r="CY311" s="7" t="s">
        <v>7163</v>
      </c>
      <c r="CZ311" s="2" t="s">
        <v>7227</v>
      </c>
      <c r="DA311" s="7" t="s">
        <v>7249</v>
      </c>
      <c r="DB311" s="7" t="s">
        <v>7249</v>
      </c>
      <c r="DC311" s="2" t="s">
        <v>7249</v>
      </c>
      <c r="DD311" s="2" t="s">
        <v>7251</v>
      </c>
      <c r="DE311" s="2" t="s">
        <v>7164</v>
      </c>
      <c r="DF311" s="2" t="s">
        <v>7163</v>
      </c>
      <c r="DG311" s="2" t="s">
        <v>7164</v>
      </c>
      <c r="DH311" s="2" t="s">
        <v>7164</v>
      </c>
      <c r="DI311" s="2" t="s">
        <v>7164</v>
      </c>
      <c r="DL311" s="7" t="s">
        <v>7142</v>
      </c>
      <c r="DM311" s="7" t="s">
        <v>7142</v>
      </c>
      <c r="DN311" s="7" t="s">
        <v>7142</v>
      </c>
      <c r="DO311" s="7" t="s">
        <v>7142</v>
      </c>
      <c r="DP311" s="7" t="s">
        <v>7165</v>
      </c>
      <c r="DQ311" s="7" t="s">
        <v>7166</v>
      </c>
      <c r="DS311" s="7" t="s">
        <v>7165</v>
      </c>
      <c r="DT311" s="7" t="s">
        <v>7165</v>
      </c>
      <c r="DU311" s="7" t="s">
        <v>7165</v>
      </c>
      <c r="DV311" s="7" t="s">
        <v>7165</v>
      </c>
      <c r="DW311" s="7" t="s">
        <v>7165</v>
      </c>
      <c r="DX311" s="7" t="s">
        <v>7165</v>
      </c>
      <c r="DY311" s="7" t="s">
        <v>7159</v>
      </c>
      <c r="DZ311" s="7" t="s">
        <v>7159</v>
      </c>
      <c r="EA311" s="7" t="s">
        <v>7165</v>
      </c>
      <c r="EB311" s="7" t="s">
        <v>7165</v>
      </c>
      <c r="EC311" s="7" t="s">
        <v>7159</v>
      </c>
      <c r="ED311" s="7"/>
      <c r="EE311" s="7"/>
      <c r="EF311" s="7" t="s">
        <v>7167</v>
      </c>
      <c r="EJ311" s="7" t="s">
        <v>7144</v>
      </c>
      <c r="EK311" s="7" t="s">
        <v>7142</v>
      </c>
      <c r="EL311" s="7" t="s">
        <v>7143</v>
      </c>
      <c r="EN311" s="7" t="s">
        <v>7170</v>
      </c>
      <c r="EP311" s="7" t="s">
        <v>7186</v>
      </c>
      <c r="ER311" s="7" t="s">
        <v>7142</v>
      </c>
      <c r="ET311" s="7" t="s">
        <v>7143</v>
      </c>
      <c r="EV311" s="7" t="s">
        <v>7142</v>
      </c>
      <c r="EW311" s="7" t="s">
        <v>7204</v>
      </c>
      <c r="EX311" s="2" t="s">
        <v>7143</v>
      </c>
      <c r="FC311" s="2" t="s">
        <v>7172</v>
      </c>
      <c r="FH311" s="7" t="s">
        <v>7173</v>
      </c>
      <c r="FJ311" s="7" t="s">
        <v>7143</v>
      </c>
      <c r="FK311" s="7" t="s">
        <v>7165</v>
      </c>
      <c r="FL311" s="7" t="s">
        <v>7260</v>
      </c>
      <c r="FN311" s="2" t="s">
        <v>7283</v>
      </c>
      <c r="FT311" s="2" t="s">
        <v>7176</v>
      </c>
      <c r="FU311" s="2" t="s">
        <v>7189</v>
      </c>
      <c r="FV311" s="2" t="s">
        <v>7189</v>
      </c>
      <c r="FW311" s="2" t="s">
        <v>7189</v>
      </c>
      <c r="FZ311" s="19" t="s">
        <v>8258</v>
      </c>
    </row>
    <row r="312" spans="1:182">
      <c r="A312" s="7" t="s">
        <v>2124</v>
      </c>
      <c r="D312" s="7" t="s">
        <v>8259</v>
      </c>
      <c r="E312" s="7" t="s">
        <v>177</v>
      </c>
      <c r="F312" s="7" t="s">
        <v>7134</v>
      </c>
      <c r="G312" s="7" t="s">
        <v>8167</v>
      </c>
      <c r="H312" s="7" t="s">
        <v>2012</v>
      </c>
      <c r="I312" s="7" t="s">
        <v>2125</v>
      </c>
      <c r="J312" s="16" t="s">
        <v>8260</v>
      </c>
      <c r="K312" s="7" t="s">
        <v>2125</v>
      </c>
      <c r="L312" s="2" t="s">
        <v>7137</v>
      </c>
      <c r="M312" s="7" t="s">
        <v>7138</v>
      </c>
      <c r="N312" s="7">
        <v>1980</v>
      </c>
      <c r="O312" s="7" t="s">
        <v>7180</v>
      </c>
      <c r="P312" s="2" t="s">
        <v>7140</v>
      </c>
      <c r="Q312" s="2" t="s">
        <v>7141</v>
      </c>
      <c r="R312" s="2" t="s">
        <v>7143</v>
      </c>
      <c r="S312" s="2">
        <v>28</v>
      </c>
      <c r="T312" s="2" t="s">
        <v>7143</v>
      </c>
      <c r="U312" s="2" t="s">
        <v>7143</v>
      </c>
      <c r="Y312" s="2">
        <v>595</v>
      </c>
      <c r="Z312" s="17">
        <v>1</v>
      </c>
      <c r="AA312" s="2">
        <v>595</v>
      </c>
      <c r="AB312" s="2">
        <v>595</v>
      </c>
      <c r="AC312" s="7">
        <v>495</v>
      </c>
      <c r="AD312" s="2">
        <v>580</v>
      </c>
      <c r="AE312" s="2">
        <v>85</v>
      </c>
      <c r="AF312" s="2" t="s">
        <v>7143</v>
      </c>
      <c r="AG312" s="2" t="s">
        <v>7142</v>
      </c>
      <c r="AH312" s="2" t="s">
        <v>7143</v>
      </c>
      <c r="AJ312" s="2" t="s">
        <v>7143</v>
      </c>
      <c r="AK312" s="2" t="s">
        <v>7143</v>
      </c>
      <c r="AL312" s="2" t="s">
        <v>7143</v>
      </c>
      <c r="AM312" s="2" t="s">
        <v>7143</v>
      </c>
      <c r="AN312" s="2" t="s">
        <v>7143</v>
      </c>
      <c r="AO312" s="2" t="s">
        <v>7143</v>
      </c>
      <c r="AR312" s="7">
        <v>1.8</v>
      </c>
      <c r="AS312" s="7">
        <v>3</v>
      </c>
      <c r="AT312" s="7">
        <v>6</v>
      </c>
      <c r="AU312" s="2" t="s">
        <v>7144</v>
      </c>
      <c r="AV312" s="2" t="s">
        <v>7144</v>
      </c>
      <c r="AW312" s="2" t="s">
        <v>7143</v>
      </c>
      <c r="AZ312" s="2" t="s">
        <v>7145</v>
      </c>
      <c r="BB312" s="2" t="s">
        <v>7146</v>
      </c>
      <c r="BC312" s="2" t="s">
        <v>7147</v>
      </c>
      <c r="BD312" s="2" t="s">
        <v>7142</v>
      </c>
      <c r="BE312" s="2" t="s">
        <v>7142</v>
      </c>
      <c r="BF312" s="2" t="s">
        <v>7148</v>
      </c>
      <c r="BG312" s="2" t="s">
        <v>7149</v>
      </c>
      <c r="BH312" s="2" t="s">
        <v>7150</v>
      </c>
      <c r="BI312" s="2" t="s">
        <v>7151</v>
      </c>
      <c r="BL312" s="2" t="s">
        <v>7195</v>
      </c>
      <c r="BO312" s="2" t="s">
        <v>7155</v>
      </c>
      <c r="BQ312" s="2" t="s">
        <v>7183</v>
      </c>
      <c r="BS312" s="2" t="s">
        <v>7142</v>
      </c>
      <c r="BT312" s="2" t="s">
        <v>7157</v>
      </c>
      <c r="BV312" s="2" t="s">
        <v>7202</v>
      </c>
      <c r="BX312" s="2" t="s">
        <v>7143</v>
      </c>
      <c r="BZ312" s="2" t="s">
        <v>7173</v>
      </c>
      <c r="CE312" s="7">
        <v>6</v>
      </c>
      <c r="CF312" s="2">
        <v>580</v>
      </c>
      <c r="CM312" s="2">
        <v>100</v>
      </c>
      <c r="CO312" s="2">
        <v>100</v>
      </c>
      <c r="CR312" s="2" t="s">
        <v>7185</v>
      </c>
      <c r="CT312" s="2" t="s">
        <v>7143</v>
      </c>
      <c r="CU312" s="2" t="s">
        <v>7161</v>
      </c>
      <c r="CW312" s="2" t="s">
        <v>7162</v>
      </c>
      <c r="CY312" s="2" t="s">
        <v>7163</v>
      </c>
      <c r="CZ312" s="2" t="s">
        <v>7163</v>
      </c>
      <c r="DA312" s="2" t="s">
        <v>7163</v>
      </c>
      <c r="DB312" s="2" t="s">
        <v>7164</v>
      </c>
      <c r="DC312" s="2" t="s">
        <v>7164</v>
      </c>
      <c r="DD312" s="2" t="s">
        <v>7164</v>
      </c>
      <c r="DE312" s="2" t="s">
        <v>7164</v>
      </c>
      <c r="DF312" s="2" t="s">
        <v>7164</v>
      </c>
      <c r="DG312" s="2" t="s">
        <v>7164</v>
      </c>
      <c r="DH312" s="2" t="s">
        <v>7164</v>
      </c>
      <c r="DI312" s="2" t="s">
        <v>7164</v>
      </c>
      <c r="DL312" s="2" t="s">
        <v>7142</v>
      </c>
      <c r="DM312" s="2" t="s">
        <v>7142</v>
      </c>
      <c r="DN312" s="2" t="s">
        <v>7142</v>
      </c>
      <c r="DO312" s="2" t="s">
        <v>7142</v>
      </c>
      <c r="DP312" s="2" t="s">
        <v>7165</v>
      </c>
      <c r="DQ312" s="2" t="s">
        <v>7166</v>
      </c>
      <c r="DT312" s="2" t="s">
        <v>7165</v>
      </c>
      <c r="DU312" s="2" t="s">
        <v>7165</v>
      </c>
      <c r="DV312" s="2" t="s">
        <v>7165</v>
      </c>
      <c r="DW312" s="2" t="s">
        <v>7165</v>
      </c>
      <c r="DX312" s="2" t="s">
        <v>7165</v>
      </c>
      <c r="DY312" s="2" t="s">
        <v>7165</v>
      </c>
      <c r="DZ312" s="2" t="s">
        <v>7165</v>
      </c>
      <c r="EA312" s="2" t="s">
        <v>7165</v>
      </c>
      <c r="EB312" s="2" t="s">
        <v>7165</v>
      </c>
      <c r="EF312" s="2" t="s">
        <v>7167</v>
      </c>
      <c r="EJ312" s="2" t="s">
        <v>7144</v>
      </c>
      <c r="EK312" s="2" t="s">
        <v>7142</v>
      </c>
      <c r="EL312" s="2" t="s">
        <v>7143</v>
      </c>
      <c r="EN312" s="2" t="s">
        <v>7170</v>
      </c>
      <c r="EP312" s="2" t="s">
        <v>7186</v>
      </c>
      <c r="ER312" s="2" t="s">
        <v>7142</v>
      </c>
      <c r="ET312" s="2" t="s">
        <v>7143</v>
      </c>
      <c r="EV312" s="2" t="s">
        <v>7142</v>
      </c>
      <c r="EW312" s="2" t="s">
        <v>7700</v>
      </c>
      <c r="EX312" s="2" t="s">
        <v>7143</v>
      </c>
      <c r="EZ312" s="2" t="s">
        <v>7143</v>
      </c>
      <c r="FC312" s="2" t="s">
        <v>7172</v>
      </c>
      <c r="FD312" s="2" t="s">
        <v>7143</v>
      </c>
      <c r="FH312" s="2" t="s">
        <v>7173</v>
      </c>
      <c r="FJ312" s="2" t="s">
        <v>7142</v>
      </c>
      <c r="FK312" s="2" t="s">
        <v>7165</v>
      </c>
      <c r="FL312" s="2" t="s">
        <v>7992</v>
      </c>
      <c r="FN312" s="2" t="s">
        <v>7344</v>
      </c>
      <c r="FT312" s="2" t="s">
        <v>7176</v>
      </c>
      <c r="FU312" s="2" t="s">
        <v>7176</v>
      </c>
      <c r="FV312" s="2" t="s">
        <v>7176</v>
      </c>
      <c r="FW312" s="2" t="s">
        <v>7176</v>
      </c>
      <c r="FZ312" s="19" t="s">
        <v>8261</v>
      </c>
    </row>
    <row r="313" spans="1:182">
      <c r="A313" s="7" t="s">
        <v>2126</v>
      </c>
      <c r="D313" s="7" t="s">
        <v>8262</v>
      </c>
      <c r="E313" s="7" t="s">
        <v>2127</v>
      </c>
      <c r="F313" s="7" t="s">
        <v>7339</v>
      </c>
      <c r="G313" s="7" t="s">
        <v>8167</v>
      </c>
      <c r="H313" s="7" t="s">
        <v>2051</v>
      </c>
      <c r="I313" s="7" t="s">
        <v>2128</v>
      </c>
      <c r="J313" s="16" t="s">
        <v>8263</v>
      </c>
      <c r="K313" s="7" t="s">
        <v>2129</v>
      </c>
      <c r="L313" s="2" t="s">
        <v>7137</v>
      </c>
      <c r="M313" s="7" t="s">
        <v>7179</v>
      </c>
      <c r="N313" s="7">
        <v>1975</v>
      </c>
      <c r="O313" s="7" t="s">
        <v>7180</v>
      </c>
      <c r="P313" s="2" t="s">
        <v>7181</v>
      </c>
      <c r="Q313" s="2" t="s">
        <v>7141</v>
      </c>
      <c r="R313" s="2" t="s">
        <v>7143</v>
      </c>
      <c r="S313" s="2">
        <v>17</v>
      </c>
      <c r="T313" s="2" t="s">
        <v>7143</v>
      </c>
      <c r="U313" s="2" t="s">
        <v>7143</v>
      </c>
      <c r="Y313" s="2">
        <v>800</v>
      </c>
      <c r="Z313" s="17">
        <v>1</v>
      </c>
      <c r="AA313" s="2">
        <v>800</v>
      </c>
      <c r="AB313" s="2">
        <v>800</v>
      </c>
      <c r="AC313" s="7">
        <v>800</v>
      </c>
      <c r="AD313" s="2">
        <v>980</v>
      </c>
      <c r="AE313" s="2">
        <v>180</v>
      </c>
      <c r="AF313" s="2" t="s">
        <v>7143</v>
      </c>
      <c r="AG313" s="2" t="s">
        <v>7143</v>
      </c>
      <c r="AH313" s="2" t="s">
        <v>7143</v>
      </c>
      <c r="AJ313" s="2" t="s">
        <v>7143</v>
      </c>
      <c r="AK313" s="2" t="s">
        <v>7143</v>
      </c>
      <c r="AL313" s="2" t="s">
        <v>7143</v>
      </c>
      <c r="AM313" s="2" t="s">
        <v>7143</v>
      </c>
      <c r="AN313" s="2" t="s">
        <v>7143</v>
      </c>
      <c r="AO313" s="2" t="s">
        <v>7143</v>
      </c>
      <c r="AR313" s="7">
        <v>2</v>
      </c>
      <c r="AS313" s="7">
        <v>2</v>
      </c>
      <c r="AT313" s="7">
        <v>10</v>
      </c>
      <c r="AU313" s="2" t="s">
        <v>7193</v>
      </c>
      <c r="AV313" s="2" t="s">
        <v>7193</v>
      </c>
      <c r="AZ313" s="2" t="s">
        <v>7145</v>
      </c>
      <c r="BB313" s="2" t="s">
        <v>7214</v>
      </c>
      <c r="BC313" s="2" t="s">
        <v>7247</v>
      </c>
      <c r="BD313" s="2" t="s">
        <v>7143</v>
      </c>
      <c r="BE313" s="2" t="s">
        <v>7142</v>
      </c>
      <c r="BF313" s="2" t="s">
        <v>7148</v>
      </c>
      <c r="BH313" s="2" t="s">
        <v>7248</v>
      </c>
      <c r="BI313" s="2" t="s">
        <v>7151</v>
      </c>
      <c r="BL313" s="2" t="s">
        <v>7152</v>
      </c>
      <c r="BM313" s="2" t="s">
        <v>7153</v>
      </c>
      <c r="BN313" s="2" t="s">
        <v>7154</v>
      </c>
      <c r="BO313" s="2" t="s">
        <v>7155</v>
      </c>
      <c r="BQ313" s="2" t="s">
        <v>7156</v>
      </c>
      <c r="BT313" s="2" t="s">
        <v>7400</v>
      </c>
      <c r="BV313" s="2" t="s">
        <v>7966</v>
      </c>
      <c r="BX313" s="2" t="s">
        <v>7142</v>
      </c>
      <c r="BY313" s="2" t="s">
        <v>2130</v>
      </c>
      <c r="BZ313" s="2" t="s">
        <v>7165</v>
      </c>
      <c r="CA313" s="2" t="s">
        <v>2131</v>
      </c>
      <c r="CE313" s="7">
        <v>10</v>
      </c>
      <c r="CF313" s="2">
        <v>980</v>
      </c>
      <c r="CM313" s="2">
        <v>100</v>
      </c>
      <c r="CO313" s="2">
        <v>100</v>
      </c>
      <c r="CR313" s="2" t="s">
        <v>7357</v>
      </c>
      <c r="CT313" s="2" t="s">
        <v>7143</v>
      </c>
      <c r="CU313" s="2" t="s">
        <v>7161</v>
      </c>
      <c r="CW313" s="2" t="s">
        <v>7162</v>
      </c>
      <c r="CY313" s="2" t="s">
        <v>7227</v>
      </c>
      <c r="CZ313" s="2" t="s">
        <v>7227</v>
      </c>
      <c r="DA313" s="2" t="s">
        <v>7249</v>
      </c>
      <c r="DB313" s="2" t="s">
        <v>7249</v>
      </c>
      <c r="DC313" s="2" t="s">
        <v>7249</v>
      </c>
      <c r="DD313" s="2" t="s">
        <v>7249</v>
      </c>
      <c r="DE313" s="2" t="s">
        <v>7250</v>
      </c>
      <c r="DF313" s="2" t="s">
        <v>7227</v>
      </c>
      <c r="DG313" s="2" t="s">
        <v>7227</v>
      </c>
      <c r="DH313" s="2" t="s">
        <v>7227</v>
      </c>
      <c r="DI313" s="2" t="s">
        <v>7227</v>
      </c>
      <c r="DL313" s="2" t="s">
        <v>7142</v>
      </c>
      <c r="DM313" s="2" t="s">
        <v>7142</v>
      </c>
      <c r="DN313" s="2" t="s">
        <v>7142</v>
      </c>
      <c r="DO313" s="2" t="s">
        <v>7142</v>
      </c>
      <c r="DP313" s="2" t="s">
        <v>7165</v>
      </c>
      <c r="DQ313" s="2" t="s">
        <v>7333</v>
      </c>
      <c r="DR313" s="2" t="s">
        <v>2132</v>
      </c>
      <c r="DT313" s="2" t="s">
        <v>7165</v>
      </c>
      <c r="DU313" s="2" t="s">
        <v>7165</v>
      </c>
      <c r="DV313" s="2" t="s">
        <v>7165</v>
      </c>
      <c r="DW313" s="2" t="s">
        <v>7165</v>
      </c>
      <c r="DX313" s="2" t="s">
        <v>7165</v>
      </c>
      <c r="DY313" s="2" t="s">
        <v>7159</v>
      </c>
      <c r="DZ313" s="2" t="s">
        <v>7159</v>
      </c>
      <c r="EA313" s="2" t="s">
        <v>7165</v>
      </c>
      <c r="EB313" s="2" t="s">
        <v>7159</v>
      </c>
      <c r="EF313" s="2" t="s">
        <v>7221</v>
      </c>
      <c r="EG313" s="2" t="s">
        <v>2133</v>
      </c>
      <c r="EJ313" s="2" t="s">
        <v>7193</v>
      </c>
      <c r="EK313" s="2" t="s">
        <v>7142</v>
      </c>
      <c r="EL313" s="2" t="s">
        <v>7143</v>
      </c>
      <c r="EN313" s="2" t="s">
        <v>7170</v>
      </c>
      <c r="EP313" s="2" t="s">
        <v>7186</v>
      </c>
      <c r="ER313" s="2" t="s">
        <v>7142</v>
      </c>
      <c r="ET313" s="2" t="s">
        <v>7143</v>
      </c>
      <c r="EV313" s="2" t="s">
        <v>7142</v>
      </c>
      <c r="EW313" s="2" t="s">
        <v>7171</v>
      </c>
      <c r="EX313" s="2" t="s">
        <v>7143</v>
      </c>
      <c r="EZ313" s="2" t="s">
        <v>7143</v>
      </c>
      <c r="FC313" s="2" t="s">
        <v>7218</v>
      </c>
      <c r="FD313" s="2" t="s">
        <v>7143</v>
      </c>
      <c r="FH313" s="2" t="s">
        <v>7173</v>
      </c>
      <c r="FJ313" s="2" t="s">
        <v>7143</v>
      </c>
      <c r="FK313" s="2" t="s">
        <v>7173</v>
      </c>
      <c r="FN313" s="2" t="s">
        <v>7344</v>
      </c>
      <c r="FR313" s="2" t="s">
        <v>2134</v>
      </c>
      <c r="FT313" s="2" t="s">
        <v>7189</v>
      </c>
      <c r="FU313" s="2" t="s">
        <v>7189</v>
      </c>
      <c r="FV313" s="2" t="s">
        <v>7189</v>
      </c>
      <c r="FW313" s="2" t="s">
        <v>7189</v>
      </c>
      <c r="FX313" s="2" t="s">
        <v>7189</v>
      </c>
      <c r="FZ313" s="19" t="s">
        <v>8264</v>
      </c>
    </row>
    <row r="314" spans="1:182">
      <c r="A314" s="7" t="s">
        <v>2135</v>
      </c>
      <c r="D314" s="7" t="s">
        <v>8265</v>
      </c>
      <c r="E314" s="7" t="s">
        <v>177</v>
      </c>
      <c r="F314" s="7" t="s">
        <v>7134</v>
      </c>
      <c r="G314" s="7" t="s">
        <v>8167</v>
      </c>
      <c r="H314" s="2" t="s">
        <v>1966</v>
      </c>
      <c r="I314" s="7" t="s">
        <v>2136</v>
      </c>
      <c r="J314" s="16" t="s">
        <v>8266</v>
      </c>
      <c r="K314" s="7" t="s">
        <v>2136</v>
      </c>
      <c r="L314" s="2" t="s">
        <v>7137</v>
      </c>
      <c r="M314" s="7" t="s">
        <v>7138</v>
      </c>
      <c r="N314" s="7">
        <v>1973</v>
      </c>
      <c r="O314" s="7" t="s">
        <v>7180</v>
      </c>
      <c r="P314" s="2" t="s">
        <v>7140</v>
      </c>
      <c r="Q314" s="2" t="s">
        <v>7225</v>
      </c>
      <c r="R314" s="2" t="s">
        <v>7143</v>
      </c>
      <c r="S314" s="2">
        <v>30</v>
      </c>
      <c r="T314" s="2" t="s">
        <v>7143</v>
      </c>
      <c r="U314" s="2" t="s">
        <v>7143</v>
      </c>
      <c r="Y314" s="2">
        <v>900</v>
      </c>
      <c r="Z314" s="17">
        <v>1</v>
      </c>
      <c r="AA314" s="2">
        <v>900</v>
      </c>
      <c r="AB314" s="2">
        <v>900</v>
      </c>
      <c r="AC314" s="7">
        <v>900</v>
      </c>
      <c r="AD314" s="2">
        <v>1100</v>
      </c>
      <c r="AE314" s="2">
        <v>200</v>
      </c>
      <c r="AF314" s="2" t="s">
        <v>7143</v>
      </c>
      <c r="AG314" s="2" t="s">
        <v>7143</v>
      </c>
      <c r="AH314" s="2" t="s">
        <v>7143</v>
      </c>
      <c r="AJ314" s="2" t="s">
        <v>7143</v>
      </c>
      <c r="AK314" s="2" t="s">
        <v>7143</v>
      </c>
      <c r="AL314" s="2" t="s">
        <v>7143</v>
      </c>
      <c r="AM314" s="2" t="s">
        <v>7143</v>
      </c>
      <c r="AN314" s="2" t="s">
        <v>7143</v>
      </c>
      <c r="AO314" s="2" t="s">
        <v>7143</v>
      </c>
      <c r="AR314" s="7">
        <v>2</v>
      </c>
      <c r="AS314" s="7">
        <v>4</v>
      </c>
      <c r="AT314" s="7">
        <v>12</v>
      </c>
      <c r="AU314" s="2" t="s">
        <v>7168</v>
      </c>
      <c r="AV314" s="2" t="s">
        <v>7168</v>
      </c>
      <c r="AW314" s="2" t="s">
        <v>7143</v>
      </c>
      <c r="AZ314" s="2" t="s">
        <v>7145</v>
      </c>
      <c r="BB314" s="2" t="s">
        <v>7146</v>
      </c>
      <c r="BC314" s="2" t="s">
        <v>7147</v>
      </c>
      <c r="BD314" s="2" t="s">
        <v>7142</v>
      </c>
      <c r="BE314" s="2" t="s">
        <v>7142</v>
      </c>
      <c r="BF314" s="2" t="s">
        <v>7148</v>
      </c>
      <c r="BG314" s="2" t="s">
        <v>7149</v>
      </c>
      <c r="BH314" s="2" t="s">
        <v>7248</v>
      </c>
      <c r="BI314" s="2" t="s">
        <v>7151</v>
      </c>
      <c r="BL314" s="2" t="s">
        <v>7152</v>
      </c>
      <c r="BM314" s="2" t="s">
        <v>7153</v>
      </c>
      <c r="BN314" s="2" t="s">
        <v>7154</v>
      </c>
      <c r="BO314" s="2" t="s">
        <v>7155</v>
      </c>
      <c r="BQ314" s="2" t="s">
        <v>7183</v>
      </c>
      <c r="BS314" s="2" t="s">
        <v>7142</v>
      </c>
      <c r="BT314" s="2" t="s">
        <v>7783</v>
      </c>
      <c r="BV314" s="2" t="s">
        <v>7352</v>
      </c>
      <c r="BX314" s="2" t="s">
        <v>7143</v>
      </c>
      <c r="BZ314" s="2" t="s">
        <v>7173</v>
      </c>
      <c r="CE314" s="7">
        <v>12</v>
      </c>
      <c r="CF314" s="2">
        <v>1100</v>
      </c>
      <c r="CM314" s="2">
        <v>100</v>
      </c>
      <c r="CO314" s="2">
        <v>100</v>
      </c>
      <c r="CR314" s="2" t="s">
        <v>7185</v>
      </c>
      <c r="CT314" s="2" t="s">
        <v>7143</v>
      </c>
      <c r="CU314" s="2" t="s">
        <v>7161</v>
      </c>
      <c r="CW314" s="2" t="s">
        <v>7162</v>
      </c>
      <c r="CY314" s="2" t="s">
        <v>7163</v>
      </c>
      <c r="CZ314" s="2" t="s">
        <v>7163</v>
      </c>
      <c r="DA314" s="2" t="s">
        <v>7163</v>
      </c>
      <c r="DB314" s="2" t="s">
        <v>7164</v>
      </c>
      <c r="DC314" s="2" t="s">
        <v>7164</v>
      </c>
      <c r="DD314" s="2" t="s">
        <v>7164</v>
      </c>
      <c r="DE314" s="2" t="s">
        <v>7164</v>
      </c>
      <c r="DF314" s="2" t="s">
        <v>7164</v>
      </c>
      <c r="DG314" s="2" t="s">
        <v>7164</v>
      </c>
      <c r="DH314" s="2" t="s">
        <v>7164</v>
      </c>
      <c r="DI314" s="2" t="s">
        <v>7164</v>
      </c>
      <c r="DL314" s="2" t="s">
        <v>7142</v>
      </c>
      <c r="DM314" s="2" t="s">
        <v>7142</v>
      </c>
      <c r="DN314" s="2" t="s">
        <v>7142</v>
      </c>
      <c r="DO314" s="2" t="s">
        <v>7142</v>
      </c>
      <c r="DP314" s="2" t="s">
        <v>7165</v>
      </c>
      <c r="DQ314" s="2" t="s">
        <v>7166</v>
      </c>
      <c r="DT314" s="2" t="s">
        <v>7165</v>
      </c>
      <c r="DU314" s="2" t="s">
        <v>7165</v>
      </c>
      <c r="DV314" s="2" t="s">
        <v>7165</v>
      </c>
      <c r="DW314" s="2" t="s">
        <v>7165</v>
      </c>
      <c r="DX314" s="2" t="s">
        <v>7165</v>
      </c>
      <c r="DY314" s="2" t="s">
        <v>7165</v>
      </c>
      <c r="DZ314" s="2" t="s">
        <v>7165</v>
      </c>
      <c r="EA314" s="2" t="s">
        <v>7165</v>
      </c>
      <c r="EB314" s="2" t="s">
        <v>7165</v>
      </c>
      <c r="EF314" s="2" t="s">
        <v>7167</v>
      </c>
      <c r="EJ314" s="2" t="s">
        <v>7168</v>
      </c>
      <c r="EK314" s="2" t="s">
        <v>7142</v>
      </c>
      <c r="EL314" s="2" t="s">
        <v>7143</v>
      </c>
      <c r="EN314" s="2" t="s">
        <v>7170</v>
      </c>
      <c r="EP314" s="2" t="s">
        <v>7186</v>
      </c>
      <c r="ER314" s="2" t="s">
        <v>7142</v>
      </c>
      <c r="ET314" s="2" t="s">
        <v>7143</v>
      </c>
      <c r="EV314" s="2" t="s">
        <v>7142</v>
      </c>
      <c r="EW314" s="2" t="s">
        <v>7700</v>
      </c>
      <c r="EX314" s="2" t="s">
        <v>7143</v>
      </c>
      <c r="EZ314" s="2" t="s">
        <v>7143</v>
      </c>
      <c r="FC314" s="2" t="s">
        <v>7172</v>
      </c>
      <c r="FD314" s="2" t="s">
        <v>7143</v>
      </c>
      <c r="FH314" s="2" t="s">
        <v>7173</v>
      </c>
      <c r="FJ314" s="2" t="s">
        <v>7142</v>
      </c>
      <c r="FK314" s="2" t="s">
        <v>7165</v>
      </c>
      <c r="FL314" s="2" t="s">
        <v>7992</v>
      </c>
      <c r="FN314" s="2" t="s">
        <v>7205</v>
      </c>
      <c r="FT314" s="2" t="s">
        <v>7176</v>
      </c>
      <c r="FU314" s="2" t="s">
        <v>7176</v>
      </c>
      <c r="FV314" s="2" t="s">
        <v>7176</v>
      </c>
      <c r="FW314" s="2" t="s">
        <v>7176</v>
      </c>
      <c r="FZ314" s="19" t="s">
        <v>8267</v>
      </c>
    </row>
    <row r="315" spans="1:182">
      <c r="A315" s="7" t="s">
        <v>2137</v>
      </c>
      <c r="D315" s="7" t="s">
        <v>8268</v>
      </c>
      <c r="E315" s="7" t="s">
        <v>177</v>
      </c>
      <c r="F315" s="7" t="s">
        <v>7134</v>
      </c>
      <c r="G315" s="7" t="s">
        <v>8167</v>
      </c>
      <c r="H315" s="7" t="s">
        <v>2012</v>
      </c>
      <c r="I315" s="7" t="s">
        <v>2138</v>
      </c>
      <c r="J315" s="16" t="s">
        <v>8269</v>
      </c>
      <c r="K315" s="7" t="s">
        <v>2138</v>
      </c>
      <c r="L315" s="2" t="s">
        <v>7137</v>
      </c>
      <c r="M315" s="7" t="s">
        <v>7138</v>
      </c>
      <c r="N315" s="7">
        <v>1992</v>
      </c>
      <c r="O315" s="7" t="s">
        <v>7180</v>
      </c>
      <c r="P315" s="2" t="s">
        <v>7140</v>
      </c>
      <c r="Q315" s="2" t="s">
        <v>7182</v>
      </c>
      <c r="R315" s="2" t="s">
        <v>7143</v>
      </c>
      <c r="S315" s="2">
        <v>11</v>
      </c>
      <c r="T315" s="2" t="s">
        <v>7143</v>
      </c>
      <c r="U315" s="2" t="s">
        <v>7143</v>
      </c>
      <c r="Y315" s="2">
        <v>660</v>
      </c>
      <c r="Z315" s="17">
        <v>1</v>
      </c>
      <c r="AA315" s="2">
        <v>660</v>
      </c>
      <c r="AB315" s="2">
        <v>660</v>
      </c>
      <c r="AC315" s="7">
        <v>360</v>
      </c>
      <c r="AD315" s="2">
        <v>460</v>
      </c>
      <c r="AE315" s="2">
        <v>100</v>
      </c>
      <c r="AF315" s="2" t="s">
        <v>7143</v>
      </c>
      <c r="AG315" s="2" t="s">
        <v>7142</v>
      </c>
      <c r="AH315" s="2" t="s">
        <v>7143</v>
      </c>
      <c r="AJ315" s="2" t="s">
        <v>7143</v>
      </c>
      <c r="AK315" s="2" t="s">
        <v>7143</v>
      </c>
      <c r="AL315" s="2" t="s">
        <v>7143</v>
      </c>
      <c r="AM315" s="2" t="s">
        <v>7143</v>
      </c>
      <c r="AN315" s="2" t="s">
        <v>7143</v>
      </c>
      <c r="AO315" s="2" t="s">
        <v>7143</v>
      </c>
      <c r="AR315" s="7">
        <v>1.4</v>
      </c>
      <c r="AS315" s="7">
        <v>2</v>
      </c>
      <c r="AT315" s="7">
        <v>4.7</v>
      </c>
      <c r="AU315" s="2" t="s">
        <v>7168</v>
      </c>
      <c r="AV315" s="2" t="s">
        <v>7168</v>
      </c>
      <c r="AW315" s="2" t="s">
        <v>7143</v>
      </c>
      <c r="BC315" s="2" t="s">
        <v>7147</v>
      </c>
      <c r="BD315" s="2" t="s">
        <v>7143</v>
      </c>
      <c r="BE315" s="2" t="s">
        <v>7143</v>
      </c>
      <c r="BL315" s="2" t="s">
        <v>7195</v>
      </c>
      <c r="BO315" s="2" t="s">
        <v>7155</v>
      </c>
      <c r="BQ315" s="2" t="s">
        <v>7156</v>
      </c>
      <c r="BS315" s="2" t="s">
        <v>7142</v>
      </c>
      <c r="BT315" s="2" t="s">
        <v>7157</v>
      </c>
      <c r="BV315" s="2" t="s">
        <v>7202</v>
      </c>
      <c r="BX315" s="2" t="s">
        <v>7143</v>
      </c>
      <c r="BZ315" s="2" t="s">
        <v>7173</v>
      </c>
      <c r="CE315" s="7">
        <v>4.7</v>
      </c>
      <c r="CF315" s="2">
        <v>460</v>
      </c>
      <c r="CM315" s="2">
        <v>100</v>
      </c>
      <c r="CO315" s="2">
        <v>100</v>
      </c>
      <c r="CR315" s="2" t="s">
        <v>7160</v>
      </c>
      <c r="CT315" s="2" t="s">
        <v>7143</v>
      </c>
      <c r="CU315" s="2" t="s">
        <v>7161</v>
      </c>
      <c r="CW315" s="2" t="s">
        <v>7162</v>
      </c>
      <c r="CY315" s="2" t="s">
        <v>7163</v>
      </c>
      <c r="CZ315" s="2" t="s">
        <v>7163</v>
      </c>
      <c r="DA315" s="2" t="s">
        <v>7163</v>
      </c>
      <c r="DB315" s="2" t="s">
        <v>7164</v>
      </c>
      <c r="DC315" s="2" t="s">
        <v>7164</v>
      </c>
      <c r="DD315" s="2" t="s">
        <v>7164</v>
      </c>
      <c r="DE315" s="2" t="s">
        <v>7164</v>
      </c>
      <c r="DF315" s="2" t="s">
        <v>7164</v>
      </c>
      <c r="DG315" s="2" t="s">
        <v>7164</v>
      </c>
      <c r="DH315" s="2" t="s">
        <v>7164</v>
      </c>
      <c r="DI315" s="2" t="s">
        <v>7164</v>
      </c>
      <c r="DL315" s="2" t="s">
        <v>7142</v>
      </c>
      <c r="DM315" s="2" t="s">
        <v>7142</v>
      </c>
      <c r="DN315" s="2" t="s">
        <v>7142</v>
      </c>
      <c r="DO315" s="2" t="s">
        <v>7142</v>
      </c>
      <c r="DP315" s="2" t="s">
        <v>7165</v>
      </c>
      <c r="DQ315" s="2" t="s">
        <v>7166</v>
      </c>
      <c r="DT315" s="2" t="s">
        <v>7165</v>
      </c>
      <c r="DU315" s="2" t="s">
        <v>7165</v>
      </c>
      <c r="DV315" s="2" t="s">
        <v>7165</v>
      </c>
      <c r="DW315" s="2" t="s">
        <v>7165</v>
      </c>
      <c r="DX315" s="2" t="s">
        <v>7165</v>
      </c>
      <c r="DY315" s="2" t="s">
        <v>7165</v>
      </c>
      <c r="DZ315" s="2" t="s">
        <v>7165</v>
      </c>
      <c r="EA315" s="2" t="s">
        <v>7165</v>
      </c>
      <c r="EB315" s="2" t="s">
        <v>7165</v>
      </c>
      <c r="EF315" s="2" t="s">
        <v>7167</v>
      </c>
      <c r="EJ315" s="2" t="s">
        <v>7168</v>
      </c>
      <c r="EK315" s="2" t="s">
        <v>7142</v>
      </c>
      <c r="EL315" s="2" t="s">
        <v>7143</v>
      </c>
      <c r="EN315" s="2" t="s">
        <v>7170</v>
      </c>
      <c r="EP315" s="2" t="s">
        <v>7186</v>
      </c>
      <c r="ER315" s="2" t="s">
        <v>7142</v>
      </c>
      <c r="ET315" s="2" t="s">
        <v>7143</v>
      </c>
      <c r="EV315" s="2" t="s">
        <v>7142</v>
      </c>
      <c r="EW315" s="2" t="s">
        <v>7700</v>
      </c>
      <c r="EX315" s="2" t="s">
        <v>7142</v>
      </c>
      <c r="EY315" s="2" t="s">
        <v>7700</v>
      </c>
      <c r="EZ315" s="2" t="s">
        <v>7143</v>
      </c>
      <c r="FC315" s="2" t="s">
        <v>7172</v>
      </c>
      <c r="FD315" s="2" t="s">
        <v>7143</v>
      </c>
      <c r="FH315" s="2" t="s">
        <v>7173</v>
      </c>
      <c r="FJ315" s="2" t="s">
        <v>7142</v>
      </c>
      <c r="FK315" s="2" t="s">
        <v>7165</v>
      </c>
      <c r="FL315" s="2" t="s">
        <v>8270</v>
      </c>
      <c r="FN315" s="2" t="s">
        <v>8271</v>
      </c>
      <c r="FT315" s="2" t="s">
        <v>7176</v>
      </c>
      <c r="FU315" s="2" t="s">
        <v>7176</v>
      </c>
      <c r="FV315" s="2" t="s">
        <v>7176</v>
      </c>
      <c r="FW315" s="2" t="s">
        <v>7176</v>
      </c>
      <c r="FZ315" s="19" t="s">
        <v>8272</v>
      </c>
    </row>
    <row r="316" spans="1:182">
      <c r="A316" s="7" t="s">
        <v>2141</v>
      </c>
      <c r="D316" s="7" t="s">
        <v>8273</v>
      </c>
      <c r="E316" s="7" t="s">
        <v>2142</v>
      </c>
      <c r="F316" s="7" t="s">
        <v>7339</v>
      </c>
      <c r="G316" s="7" t="s">
        <v>8167</v>
      </c>
      <c r="H316" s="7" t="s">
        <v>2051</v>
      </c>
      <c r="I316" s="7" t="s">
        <v>2143</v>
      </c>
      <c r="J316" s="16" t="s">
        <v>8274</v>
      </c>
      <c r="K316" s="7" t="s">
        <v>2144</v>
      </c>
      <c r="L316" s="2" t="s">
        <v>7137</v>
      </c>
      <c r="M316" s="7" t="s">
        <v>7179</v>
      </c>
      <c r="N316" s="7">
        <v>1987</v>
      </c>
      <c r="O316" s="7" t="s">
        <v>7180</v>
      </c>
      <c r="P316" s="2" t="s">
        <v>7181</v>
      </c>
      <c r="Q316" s="2" t="s">
        <v>7182</v>
      </c>
      <c r="R316" s="2" t="s">
        <v>7143</v>
      </c>
      <c r="T316" s="2" t="s">
        <v>7143</v>
      </c>
      <c r="U316" s="2" t="s">
        <v>7143</v>
      </c>
      <c r="Y316" s="2">
        <v>68</v>
      </c>
      <c r="Z316" s="17">
        <v>1</v>
      </c>
      <c r="AA316" s="2">
        <v>68</v>
      </c>
      <c r="AB316" s="2">
        <v>68</v>
      </c>
      <c r="AC316" s="7">
        <v>68</v>
      </c>
      <c r="AD316" s="2">
        <v>98</v>
      </c>
      <c r="AE316" s="2">
        <v>30</v>
      </c>
      <c r="AF316" s="2" t="s">
        <v>7143</v>
      </c>
      <c r="AG316" s="2" t="s">
        <v>7143</v>
      </c>
      <c r="AH316" s="2" t="s">
        <v>7143</v>
      </c>
      <c r="AJ316" s="2" t="s">
        <v>7143</v>
      </c>
      <c r="AK316" s="2" t="s">
        <v>7143</v>
      </c>
      <c r="AL316" s="2" t="s">
        <v>7143</v>
      </c>
      <c r="AM316" s="2" t="s">
        <v>7143</v>
      </c>
      <c r="AN316" s="2" t="s">
        <v>7143</v>
      </c>
      <c r="AO316" s="2" t="s">
        <v>7143</v>
      </c>
      <c r="AR316" s="7">
        <v>0.85</v>
      </c>
      <c r="AS316" s="7">
        <v>1</v>
      </c>
      <c r="AT316" s="7">
        <v>1</v>
      </c>
      <c r="AU316" s="2" t="s">
        <v>7193</v>
      </c>
      <c r="AV316" s="2" t="s">
        <v>7193</v>
      </c>
      <c r="AZ316" s="2" t="s">
        <v>7566</v>
      </c>
      <c r="BB316" s="2" t="s">
        <v>7214</v>
      </c>
      <c r="BC316" s="2" t="s">
        <v>7247</v>
      </c>
      <c r="BD316" s="2" t="s">
        <v>7142</v>
      </c>
      <c r="BE316" s="2" t="s">
        <v>7142</v>
      </c>
      <c r="BF316" s="2" t="s">
        <v>7148</v>
      </c>
      <c r="BH316" s="2" t="s">
        <v>7150</v>
      </c>
      <c r="BI316" s="2" t="s">
        <v>7151</v>
      </c>
      <c r="BL316" s="2" t="s">
        <v>7195</v>
      </c>
      <c r="BO316" s="2" t="s">
        <v>7155</v>
      </c>
      <c r="BQ316" s="2" t="s">
        <v>7156</v>
      </c>
      <c r="BS316" s="2" t="s">
        <v>7142</v>
      </c>
      <c r="BT316" s="2" t="s">
        <v>7400</v>
      </c>
      <c r="BV316" s="2" t="s">
        <v>7966</v>
      </c>
      <c r="BX316" s="2" t="s">
        <v>7142</v>
      </c>
      <c r="BY316" s="2" t="s">
        <v>705</v>
      </c>
      <c r="BZ316" s="2" t="s">
        <v>7165</v>
      </c>
      <c r="CA316" s="2" t="s">
        <v>2145</v>
      </c>
      <c r="CE316" s="7">
        <v>1</v>
      </c>
      <c r="CF316" s="2">
        <v>98</v>
      </c>
      <c r="CK316" s="2">
        <v>100</v>
      </c>
      <c r="CO316" s="2">
        <v>100</v>
      </c>
      <c r="CR316" s="2" t="s">
        <v>7357</v>
      </c>
      <c r="CT316" s="2" t="s">
        <v>7143</v>
      </c>
      <c r="CU316" s="2" t="s">
        <v>7161</v>
      </c>
      <c r="CW316" s="2" t="s">
        <v>7162</v>
      </c>
      <c r="CY316" s="2" t="s">
        <v>7227</v>
      </c>
      <c r="CZ316" s="2" t="s">
        <v>7227</v>
      </c>
      <c r="DA316" s="2" t="s">
        <v>7250</v>
      </c>
      <c r="DB316" s="2" t="s">
        <v>7250</v>
      </c>
      <c r="DC316" s="2" t="s">
        <v>7249</v>
      </c>
      <c r="DD316" s="2" t="s">
        <v>7250</v>
      </c>
      <c r="DE316" s="2" t="s">
        <v>7250</v>
      </c>
      <c r="DF316" s="2" t="s">
        <v>7249</v>
      </c>
      <c r="DG316" s="2" t="s">
        <v>7227</v>
      </c>
      <c r="DH316" s="2" t="s">
        <v>7227</v>
      </c>
      <c r="DI316" s="2" t="s">
        <v>7227</v>
      </c>
      <c r="DL316" s="2" t="s">
        <v>7142</v>
      </c>
      <c r="DM316" s="2" t="s">
        <v>7142</v>
      </c>
      <c r="DN316" s="2" t="s">
        <v>7142</v>
      </c>
      <c r="DO316" s="2" t="s">
        <v>7142</v>
      </c>
      <c r="DP316" s="2" t="s">
        <v>7165</v>
      </c>
      <c r="DQ316" s="2" t="s">
        <v>7333</v>
      </c>
      <c r="DR316" s="2" t="s">
        <v>2146</v>
      </c>
      <c r="DT316" s="2" t="s">
        <v>7165</v>
      </c>
      <c r="DU316" s="2" t="s">
        <v>7165</v>
      </c>
      <c r="DV316" s="2" t="s">
        <v>7165</v>
      </c>
      <c r="DW316" s="2" t="s">
        <v>7165</v>
      </c>
      <c r="DX316" s="2" t="s">
        <v>7165</v>
      </c>
      <c r="DY316" s="2" t="s">
        <v>7159</v>
      </c>
      <c r="DZ316" s="2" t="s">
        <v>7159</v>
      </c>
      <c r="EA316" s="2" t="s">
        <v>7159</v>
      </c>
      <c r="EB316" s="2" t="s">
        <v>7165</v>
      </c>
      <c r="EF316" s="2" t="s">
        <v>7221</v>
      </c>
      <c r="EG316" s="2" t="s">
        <v>2147</v>
      </c>
      <c r="EJ316" s="2" t="s">
        <v>7193</v>
      </c>
      <c r="EK316" s="2" t="s">
        <v>7142</v>
      </c>
      <c r="EL316" s="2" t="s">
        <v>7143</v>
      </c>
      <c r="EN316" s="2" t="s">
        <v>7170</v>
      </c>
      <c r="EP316" s="2" t="s">
        <v>7186</v>
      </c>
      <c r="ER316" s="2" t="s">
        <v>7142</v>
      </c>
      <c r="ET316" s="2" t="s">
        <v>7143</v>
      </c>
      <c r="EV316" s="2" t="s">
        <v>7142</v>
      </c>
      <c r="EW316" s="2" t="s">
        <v>7171</v>
      </c>
      <c r="EX316" s="2" t="s">
        <v>7143</v>
      </c>
      <c r="EZ316" s="2" t="s">
        <v>7143</v>
      </c>
      <c r="FC316" s="2" t="s">
        <v>7218</v>
      </c>
      <c r="FD316" s="2" t="s">
        <v>7143</v>
      </c>
      <c r="FH316" s="2" t="s">
        <v>7173</v>
      </c>
      <c r="FJ316" s="2" t="s">
        <v>7143</v>
      </c>
      <c r="FK316" s="2" t="s">
        <v>7173</v>
      </c>
      <c r="FN316" s="2" t="s">
        <v>7344</v>
      </c>
      <c r="FT316" s="2" t="s">
        <v>7189</v>
      </c>
      <c r="FU316" s="2" t="s">
        <v>7189</v>
      </c>
      <c r="FV316" s="2" t="s">
        <v>7189</v>
      </c>
      <c r="FW316" s="2" t="s">
        <v>7189</v>
      </c>
      <c r="FX316" s="2" t="s">
        <v>7189</v>
      </c>
      <c r="FZ316" s="19" t="s">
        <v>8275</v>
      </c>
    </row>
    <row r="317" spans="1:182">
      <c r="A317" s="7" t="s">
        <v>2148</v>
      </c>
      <c r="D317" s="7" t="s">
        <v>8276</v>
      </c>
      <c r="E317" s="7" t="s">
        <v>177</v>
      </c>
      <c r="F317" s="7" t="s">
        <v>7134</v>
      </c>
      <c r="G317" s="7" t="s">
        <v>8167</v>
      </c>
      <c r="H317" s="7" t="s">
        <v>1966</v>
      </c>
      <c r="I317" s="7" t="s">
        <v>2149</v>
      </c>
      <c r="J317" s="16" t="s">
        <v>8277</v>
      </c>
      <c r="K317" s="7" t="s">
        <v>2150</v>
      </c>
      <c r="L317" s="2" t="s">
        <v>7224</v>
      </c>
      <c r="M317" s="7" t="s">
        <v>7179</v>
      </c>
      <c r="N317" s="7">
        <v>1977</v>
      </c>
      <c r="O317" s="7" t="s">
        <v>8278</v>
      </c>
      <c r="P317" s="2" t="s">
        <v>7181</v>
      </c>
      <c r="Q317" s="2" t="s">
        <v>7395</v>
      </c>
      <c r="R317" s="2" t="s">
        <v>7143</v>
      </c>
      <c r="S317" s="2">
        <v>19</v>
      </c>
      <c r="T317" s="2" t="s">
        <v>7143</v>
      </c>
      <c r="U317" s="2" t="s">
        <v>7143</v>
      </c>
      <c r="Y317" s="2">
        <v>14</v>
      </c>
      <c r="Z317" s="17">
        <v>0</v>
      </c>
      <c r="AA317" s="2">
        <v>0</v>
      </c>
      <c r="AB317" s="2">
        <v>0</v>
      </c>
      <c r="AC317" s="7">
        <v>-21</v>
      </c>
      <c r="AD317" s="2">
        <v>0</v>
      </c>
      <c r="AE317" s="2">
        <v>21</v>
      </c>
      <c r="AF317" s="2" t="s">
        <v>7143</v>
      </c>
      <c r="AG317" s="2" t="s">
        <v>7143</v>
      </c>
      <c r="AH317" s="2" t="s">
        <v>7143</v>
      </c>
      <c r="AJ317" s="2" t="s">
        <v>7143</v>
      </c>
      <c r="AK317" s="2" t="s">
        <v>7142</v>
      </c>
      <c r="AL317" s="2" t="s">
        <v>7143</v>
      </c>
      <c r="AM317" s="2" t="s">
        <v>7142</v>
      </c>
      <c r="AN317" s="2" t="s">
        <v>7143</v>
      </c>
      <c r="AO317" s="2" t="s">
        <v>7143</v>
      </c>
      <c r="AR317" s="7">
        <v>1</v>
      </c>
      <c r="AS317" s="7">
        <v>3</v>
      </c>
      <c r="AT317" s="7">
        <v>0</v>
      </c>
      <c r="AU317" s="2" t="s">
        <v>7193</v>
      </c>
      <c r="AV317" s="2" t="s">
        <v>7193</v>
      </c>
      <c r="AW317" s="2" t="s">
        <v>7143</v>
      </c>
      <c r="AZ317" s="2" t="s">
        <v>7145</v>
      </c>
      <c r="BB317" s="2" t="s">
        <v>7214</v>
      </c>
      <c r="BC317" s="2" t="s">
        <v>7147</v>
      </c>
      <c r="BD317" s="2" t="s">
        <v>7142</v>
      </c>
      <c r="BE317" s="2" t="s">
        <v>7142</v>
      </c>
      <c r="BF317" s="2" t="s">
        <v>7148</v>
      </c>
      <c r="BG317" s="2" t="s">
        <v>7149</v>
      </c>
      <c r="BH317" s="2" t="s">
        <v>7233</v>
      </c>
      <c r="BI317" s="2" t="s">
        <v>7151</v>
      </c>
      <c r="BL317" s="2" t="s">
        <v>7195</v>
      </c>
      <c r="BO317" s="2" t="s">
        <v>7155</v>
      </c>
      <c r="BQ317" s="2" t="s">
        <v>7156</v>
      </c>
      <c r="BS317" s="2" t="s">
        <v>7142</v>
      </c>
      <c r="BT317" s="2" t="s">
        <v>7783</v>
      </c>
      <c r="BV317" s="2" t="s">
        <v>7202</v>
      </c>
      <c r="BX317" s="2" t="s">
        <v>7143</v>
      </c>
      <c r="BZ317" s="2" t="s">
        <v>7173</v>
      </c>
      <c r="CE317" s="7">
        <v>0</v>
      </c>
      <c r="CF317" s="2">
        <v>0</v>
      </c>
      <c r="CR317" s="2" t="s">
        <v>7160</v>
      </c>
      <c r="CT317" s="2" t="s">
        <v>7143</v>
      </c>
      <c r="CU317" s="2" t="s">
        <v>7234</v>
      </c>
      <c r="CW317" s="2" t="s">
        <v>7162</v>
      </c>
      <c r="CY317" s="2" t="s">
        <v>7164</v>
      </c>
      <c r="CZ317" s="2" t="s">
        <v>7164</v>
      </c>
      <c r="DA317" s="2" t="s">
        <v>7164</v>
      </c>
      <c r="DB317" s="2" t="s">
        <v>7164</v>
      </c>
      <c r="DC317" s="2" t="s">
        <v>7164</v>
      </c>
      <c r="DD317" s="2" t="s">
        <v>7164</v>
      </c>
      <c r="DE317" s="2" t="s">
        <v>7164</v>
      </c>
      <c r="DF317" s="2" t="s">
        <v>7164</v>
      </c>
      <c r="DG317" s="2" t="s">
        <v>7164</v>
      </c>
      <c r="DH317" s="2" t="s">
        <v>7164</v>
      </c>
      <c r="DI317" s="2" t="s">
        <v>7164</v>
      </c>
      <c r="DL317" s="2" t="s">
        <v>7143</v>
      </c>
      <c r="DM317" s="2" t="s">
        <v>7143</v>
      </c>
      <c r="DP317" s="2" t="s">
        <v>7173</v>
      </c>
      <c r="DT317" s="2" t="s">
        <v>7159</v>
      </c>
      <c r="DU317" s="2" t="s">
        <v>7159</v>
      </c>
      <c r="DV317" s="2" t="s">
        <v>7159</v>
      </c>
      <c r="DW317" s="2" t="s">
        <v>7159</v>
      </c>
      <c r="DX317" s="2" t="s">
        <v>7159</v>
      </c>
      <c r="DY317" s="2" t="s">
        <v>7159</v>
      </c>
      <c r="DZ317" s="2" t="s">
        <v>7159</v>
      </c>
      <c r="EA317" s="2" t="s">
        <v>7159</v>
      </c>
      <c r="EB317" s="2" t="s">
        <v>7159</v>
      </c>
      <c r="EJ317" s="2" t="s">
        <v>7217</v>
      </c>
      <c r="EK317" s="2" t="s">
        <v>7143</v>
      </c>
      <c r="EL317" s="2" t="s">
        <v>7143</v>
      </c>
      <c r="EN317" s="2" t="s">
        <v>7210</v>
      </c>
      <c r="EP317" s="2" t="s">
        <v>7186</v>
      </c>
      <c r="ER317" s="2" t="s">
        <v>7143</v>
      </c>
      <c r="ET317" s="2" t="s">
        <v>7143</v>
      </c>
      <c r="EV317" s="2" t="s">
        <v>7143</v>
      </c>
      <c r="EX317" s="2" t="s">
        <v>7143</v>
      </c>
      <c r="EZ317" s="2" t="s">
        <v>7143</v>
      </c>
      <c r="FC317" s="2" t="s">
        <v>7218</v>
      </c>
      <c r="FD317" s="2" t="s">
        <v>7143</v>
      </c>
      <c r="FH317" s="2" t="s">
        <v>7173</v>
      </c>
      <c r="FJ317" s="2" t="s">
        <v>7142</v>
      </c>
      <c r="FK317" s="2" t="s">
        <v>7173</v>
      </c>
      <c r="FT317" s="2" t="s">
        <v>7189</v>
      </c>
      <c r="FU317" s="2" t="s">
        <v>7189</v>
      </c>
      <c r="FV317" s="2" t="s">
        <v>7189</v>
      </c>
      <c r="FW317" s="2" t="s">
        <v>7189</v>
      </c>
      <c r="FZ317" s="19" t="s">
        <v>8279</v>
      </c>
    </row>
    <row r="318" spans="1:182">
      <c r="A318" s="7" t="s">
        <v>2152</v>
      </c>
      <c r="D318" s="7" t="s">
        <v>8280</v>
      </c>
      <c r="E318" s="7" t="s">
        <v>2153</v>
      </c>
      <c r="F318" s="7" t="s">
        <v>7389</v>
      </c>
      <c r="G318" s="7" t="s">
        <v>8167</v>
      </c>
      <c r="H318" s="7" t="s">
        <v>1966</v>
      </c>
      <c r="I318" s="7" t="s">
        <v>2154</v>
      </c>
      <c r="J318" s="16" t="s">
        <v>8281</v>
      </c>
      <c r="K318" s="7" t="s">
        <v>2154</v>
      </c>
      <c r="L318" s="2" t="s">
        <v>7137</v>
      </c>
      <c r="M318" s="7" t="s">
        <v>7138</v>
      </c>
      <c r="N318" s="7">
        <v>1965</v>
      </c>
      <c r="O318" s="7" t="s">
        <v>7180</v>
      </c>
      <c r="P318" s="7" t="s">
        <v>7140</v>
      </c>
      <c r="Q318" s="2" t="s">
        <v>7225</v>
      </c>
      <c r="R318" s="2" t="s">
        <v>7143</v>
      </c>
      <c r="S318" s="2">
        <v>30</v>
      </c>
      <c r="T318" s="2" t="s">
        <v>7143</v>
      </c>
      <c r="U318" s="2" t="s">
        <v>7143</v>
      </c>
      <c r="Y318" s="2">
        <v>320</v>
      </c>
      <c r="Z318" s="17">
        <v>0.75</v>
      </c>
      <c r="AA318" s="2">
        <v>240</v>
      </c>
      <c r="AB318" s="2">
        <v>240</v>
      </c>
      <c r="AC318" s="7">
        <v>240</v>
      </c>
      <c r="AD318" s="2">
        <v>300</v>
      </c>
      <c r="AE318" s="2">
        <v>60</v>
      </c>
      <c r="AF318" s="2" t="s">
        <v>7143</v>
      </c>
      <c r="AG318" s="2" t="s">
        <v>7143</v>
      </c>
      <c r="AH318" s="2" t="s">
        <v>7143</v>
      </c>
      <c r="AJ318" s="2" t="s">
        <v>7143</v>
      </c>
      <c r="AK318" s="2" t="s">
        <v>7143</v>
      </c>
      <c r="AL318" s="2" t="s">
        <v>7142</v>
      </c>
      <c r="AM318" s="2" t="s">
        <v>7143</v>
      </c>
      <c r="AN318" s="2" t="s">
        <v>7143</v>
      </c>
      <c r="AO318" s="2" t="s">
        <v>7143</v>
      </c>
      <c r="AR318" s="7">
        <v>1.5</v>
      </c>
      <c r="AS318" s="7">
        <v>1</v>
      </c>
      <c r="AT318" s="7">
        <v>2.5</v>
      </c>
      <c r="AU318" s="2" t="s">
        <v>7193</v>
      </c>
      <c r="AV318" s="2" t="s">
        <v>7144</v>
      </c>
      <c r="AW318" s="2" t="s">
        <v>7143</v>
      </c>
      <c r="AZ318" s="2" t="s">
        <v>7145</v>
      </c>
      <c r="BB318" s="2" t="s">
        <v>7214</v>
      </c>
      <c r="BC318" s="2" t="s">
        <v>7247</v>
      </c>
      <c r="BD318" s="2" t="s">
        <v>7142</v>
      </c>
      <c r="BE318" s="2" t="s">
        <v>7142</v>
      </c>
      <c r="BF318" s="2" t="s">
        <v>7148</v>
      </c>
      <c r="BG318" s="2" t="s">
        <v>7149</v>
      </c>
      <c r="BH318" s="2" t="s">
        <v>7248</v>
      </c>
      <c r="BI318" s="2" t="s">
        <v>7151</v>
      </c>
      <c r="BL318" s="2" t="s">
        <v>7152</v>
      </c>
      <c r="BM318" s="2" t="s">
        <v>7355</v>
      </c>
      <c r="BN318" s="2" t="s">
        <v>7154</v>
      </c>
      <c r="BO318" s="2" t="s">
        <v>7155</v>
      </c>
      <c r="BQ318" s="2" t="s">
        <v>7183</v>
      </c>
      <c r="BS318" s="2" t="s">
        <v>7142</v>
      </c>
      <c r="BT318" s="2" t="s">
        <v>7391</v>
      </c>
      <c r="BV318" s="2" t="s">
        <v>7197</v>
      </c>
      <c r="BX318" s="2" t="s">
        <v>7143</v>
      </c>
      <c r="BZ318" s="2" t="s">
        <v>7159</v>
      </c>
      <c r="CE318" s="7">
        <v>2.5</v>
      </c>
      <c r="CF318" s="2">
        <v>300</v>
      </c>
      <c r="CM318" s="2">
        <v>100</v>
      </c>
      <c r="CO318" s="2">
        <v>100</v>
      </c>
      <c r="CR318" s="2" t="s">
        <v>7160</v>
      </c>
      <c r="CT318" s="2" t="s">
        <v>7143</v>
      </c>
      <c r="CU318" s="2" t="s">
        <v>7161</v>
      </c>
      <c r="CW318" s="2" t="s">
        <v>7162</v>
      </c>
      <c r="CY318" s="2" t="s">
        <v>7227</v>
      </c>
      <c r="CZ318" s="2" t="s">
        <v>7250</v>
      </c>
      <c r="DA318" s="2" t="s">
        <v>7250</v>
      </c>
      <c r="DB318" s="2" t="s">
        <v>7250</v>
      </c>
      <c r="DC318" s="2" t="s">
        <v>7250</v>
      </c>
      <c r="DD318" s="2" t="s">
        <v>7250</v>
      </c>
      <c r="DE318" s="2" t="s">
        <v>7250</v>
      </c>
      <c r="DF318" s="2" t="s">
        <v>7250</v>
      </c>
      <c r="DG318" s="2" t="s">
        <v>7250</v>
      </c>
      <c r="DH318" s="2" t="s">
        <v>7250</v>
      </c>
      <c r="DI318" s="2" t="s">
        <v>7250</v>
      </c>
      <c r="DL318" s="2" t="s">
        <v>7142</v>
      </c>
      <c r="DM318" s="2" t="s">
        <v>7143</v>
      </c>
      <c r="DP318" s="2" t="s">
        <v>7159</v>
      </c>
      <c r="DT318" s="2" t="s">
        <v>7159</v>
      </c>
      <c r="DU318" s="2" t="s">
        <v>7159</v>
      </c>
      <c r="DV318" s="2" t="s">
        <v>7159</v>
      </c>
      <c r="DW318" s="2" t="s">
        <v>7159</v>
      </c>
      <c r="DX318" s="2" t="s">
        <v>7159</v>
      </c>
      <c r="DY318" s="2" t="s">
        <v>7159</v>
      </c>
      <c r="DZ318" s="2" t="s">
        <v>7159</v>
      </c>
      <c r="EA318" s="2" t="s">
        <v>7159</v>
      </c>
      <c r="EB318" s="2" t="s">
        <v>7159</v>
      </c>
      <c r="EC318" s="2" t="s">
        <v>7159</v>
      </c>
      <c r="EF318" s="2" t="s">
        <v>7221</v>
      </c>
      <c r="EG318" s="2" t="s">
        <v>2155</v>
      </c>
      <c r="EJ318" s="2" t="s">
        <v>7193</v>
      </c>
      <c r="EK318" s="2" t="s">
        <v>7143</v>
      </c>
      <c r="EL318" s="2" t="s">
        <v>7142</v>
      </c>
      <c r="EM318" s="2" t="s">
        <v>7306</v>
      </c>
      <c r="EN318" s="2" t="s">
        <v>7210</v>
      </c>
      <c r="EP318" s="2" t="s">
        <v>7186</v>
      </c>
      <c r="ER318" s="2" t="s">
        <v>7143</v>
      </c>
      <c r="ET318" s="2" t="s">
        <v>7143</v>
      </c>
      <c r="EV318" s="2" t="s">
        <v>7143</v>
      </c>
      <c r="EX318" s="2" t="s">
        <v>7143</v>
      </c>
      <c r="EZ318" s="2" t="s">
        <v>7143</v>
      </c>
      <c r="FC318" s="2" t="s">
        <v>7218</v>
      </c>
      <c r="FD318" s="2" t="s">
        <v>7143</v>
      </c>
      <c r="FH318" s="2" t="s">
        <v>7173</v>
      </c>
      <c r="FJ318" s="2" t="s">
        <v>7143</v>
      </c>
      <c r="FK318" s="2" t="s">
        <v>7173</v>
      </c>
      <c r="FN318" s="2" t="s">
        <v>7322</v>
      </c>
      <c r="FR318" s="2" t="s">
        <v>2156</v>
      </c>
      <c r="FT318" s="2" t="s">
        <v>7189</v>
      </c>
      <c r="FU318" s="2" t="s">
        <v>7189</v>
      </c>
      <c r="FV318" s="2" t="s">
        <v>7189</v>
      </c>
      <c r="FW318" s="2" t="s">
        <v>7189</v>
      </c>
      <c r="FZ318" s="19" t="s">
        <v>8282</v>
      </c>
    </row>
    <row r="319" spans="1:182">
      <c r="A319" s="7" t="s">
        <v>2157</v>
      </c>
      <c r="D319" s="7" t="s">
        <v>8283</v>
      </c>
      <c r="E319" s="7" t="s">
        <v>2158</v>
      </c>
      <c r="F319" s="7" t="s">
        <v>7339</v>
      </c>
      <c r="G319" s="7" t="s">
        <v>8167</v>
      </c>
      <c r="H319" s="7" t="s">
        <v>2159</v>
      </c>
      <c r="I319" s="7" t="s">
        <v>2160</v>
      </c>
      <c r="J319" s="16" t="s">
        <v>8284</v>
      </c>
      <c r="K319" s="7" t="s">
        <v>2161</v>
      </c>
      <c r="L319" s="2" t="s">
        <v>7137</v>
      </c>
      <c r="M319" s="7" t="s">
        <v>7138</v>
      </c>
      <c r="N319" s="7">
        <v>1974</v>
      </c>
      <c r="O319" s="7" t="s">
        <v>7180</v>
      </c>
      <c r="P319" s="2" t="s">
        <v>7140</v>
      </c>
      <c r="Q319" s="2" t="s">
        <v>7141</v>
      </c>
      <c r="R319" s="2" t="s">
        <v>7143</v>
      </c>
      <c r="S319" s="2">
        <v>31</v>
      </c>
      <c r="T319" s="2" t="s">
        <v>7143</v>
      </c>
      <c r="U319" s="2" t="s">
        <v>7143</v>
      </c>
      <c r="Y319" s="2">
        <v>389</v>
      </c>
      <c r="Z319" s="17">
        <v>1</v>
      </c>
      <c r="AA319" s="2">
        <v>389</v>
      </c>
      <c r="AB319" s="2">
        <v>389</v>
      </c>
      <c r="AC319" s="7">
        <v>389</v>
      </c>
      <c r="AD319" s="2">
        <v>539</v>
      </c>
      <c r="AE319" s="2">
        <v>150</v>
      </c>
      <c r="AF319" s="2" t="s">
        <v>7143</v>
      </c>
      <c r="AG319" s="2" t="s">
        <v>7143</v>
      </c>
      <c r="AH319" s="2" t="s">
        <v>7143</v>
      </c>
      <c r="AJ319" s="2" t="s">
        <v>7143</v>
      </c>
      <c r="AK319" s="2" t="s">
        <v>7143</v>
      </c>
      <c r="AL319" s="2" t="s">
        <v>7143</v>
      </c>
      <c r="AM319" s="2" t="s">
        <v>7143</v>
      </c>
      <c r="AN319" s="2" t="s">
        <v>7143</v>
      </c>
      <c r="AO319" s="2" t="s">
        <v>7143</v>
      </c>
      <c r="AR319" s="7">
        <v>2.2000000000000002</v>
      </c>
      <c r="AS319" s="7">
        <v>2</v>
      </c>
      <c r="AT319" s="7">
        <v>5.5</v>
      </c>
      <c r="AU319" s="2" t="s">
        <v>7193</v>
      </c>
      <c r="AV319" s="2" t="s">
        <v>7193</v>
      </c>
      <c r="AW319" s="2" t="s">
        <v>7143</v>
      </c>
      <c r="AZ319" s="2" t="s">
        <v>7145</v>
      </c>
      <c r="BB319" s="2" t="s">
        <v>7214</v>
      </c>
      <c r="BC319" s="2" t="s">
        <v>7247</v>
      </c>
      <c r="BD319" s="2" t="s">
        <v>7143</v>
      </c>
      <c r="BE319" s="2" t="s">
        <v>7142</v>
      </c>
      <c r="BF319" s="2" t="s">
        <v>7148</v>
      </c>
      <c r="BG319" s="2" t="s">
        <v>7149</v>
      </c>
      <c r="BH319" s="2" t="s">
        <v>7248</v>
      </c>
      <c r="BI319" s="2" t="s">
        <v>7151</v>
      </c>
      <c r="BL319" s="2" t="s">
        <v>7152</v>
      </c>
      <c r="BM319" s="2" t="s">
        <v>7153</v>
      </c>
      <c r="BN319" s="2" t="s">
        <v>7154</v>
      </c>
      <c r="BO319" s="2" t="s">
        <v>7155</v>
      </c>
      <c r="BQ319" s="2" t="s">
        <v>7156</v>
      </c>
      <c r="BS319" s="2" t="s">
        <v>7142</v>
      </c>
      <c r="BT319" s="2" t="s">
        <v>7341</v>
      </c>
      <c r="BV319" s="2" t="s">
        <v>7313</v>
      </c>
      <c r="BX319" s="2" t="s">
        <v>7142</v>
      </c>
      <c r="BY319" s="2" t="s">
        <v>1885</v>
      </c>
      <c r="BZ319" s="2" t="s">
        <v>7165</v>
      </c>
      <c r="CA319" s="2" t="s">
        <v>2162</v>
      </c>
      <c r="CE319" s="7">
        <v>5.5</v>
      </c>
      <c r="CF319" s="2">
        <v>539</v>
      </c>
      <c r="CM319" s="2">
        <v>100</v>
      </c>
      <c r="CO319" s="2">
        <v>100</v>
      </c>
      <c r="CR319" s="2" t="s">
        <v>7357</v>
      </c>
      <c r="CT319" s="2" t="s">
        <v>7143</v>
      </c>
      <c r="CU319" s="2" t="s">
        <v>7383</v>
      </c>
      <c r="CW319" s="2" t="s">
        <v>7162</v>
      </c>
      <c r="CY319" s="2" t="s">
        <v>7358</v>
      </c>
      <c r="CZ319" s="2" t="s">
        <v>7358</v>
      </c>
      <c r="DA319" s="2" t="s">
        <v>7250</v>
      </c>
      <c r="DB319" s="2" t="s">
        <v>7250</v>
      </c>
      <c r="DC319" s="2" t="s">
        <v>7582</v>
      </c>
      <c r="DD319" s="2" t="s">
        <v>7582</v>
      </c>
      <c r="DE319" s="2" t="s">
        <v>7358</v>
      </c>
      <c r="DF319" s="2" t="s">
        <v>7250</v>
      </c>
      <c r="DG319" s="2" t="s">
        <v>7250</v>
      </c>
      <c r="DH319" s="2" t="s">
        <v>7358</v>
      </c>
      <c r="DI319" s="2" t="s">
        <v>7358</v>
      </c>
      <c r="DL319" s="2" t="s">
        <v>7142</v>
      </c>
      <c r="DM319" s="2" t="s">
        <v>7142</v>
      </c>
      <c r="DN319" s="2" t="s">
        <v>7142</v>
      </c>
      <c r="DO319" s="2" t="s">
        <v>7142</v>
      </c>
      <c r="DP319" s="2" t="s">
        <v>7165</v>
      </c>
      <c r="DT319" s="2" t="s">
        <v>7165</v>
      </c>
      <c r="DU319" s="2" t="s">
        <v>7165</v>
      </c>
      <c r="DV319" s="2" t="s">
        <v>7165</v>
      </c>
      <c r="DW319" s="2" t="s">
        <v>7165</v>
      </c>
      <c r="DX319" s="2" t="s">
        <v>7165</v>
      </c>
      <c r="DY319" s="2" t="s">
        <v>7159</v>
      </c>
      <c r="DZ319" s="2" t="s">
        <v>7159</v>
      </c>
      <c r="EA319" s="2" t="s">
        <v>7159</v>
      </c>
      <c r="EB319" s="2" t="s">
        <v>7165</v>
      </c>
      <c r="EF319" s="2" t="s">
        <v>7221</v>
      </c>
      <c r="EJ319" s="2" t="s">
        <v>7193</v>
      </c>
      <c r="EK319" s="2" t="s">
        <v>7142</v>
      </c>
      <c r="EL319" s="2" t="s">
        <v>7143</v>
      </c>
      <c r="EN319" s="2" t="s">
        <v>7170</v>
      </c>
      <c r="EP319" s="2" t="s">
        <v>7186</v>
      </c>
      <c r="ER319" s="2" t="s">
        <v>7142</v>
      </c>
      <c r="ET319" s="2" t="s">
        <v>7143</v>
      </c>
      <c r="EV319" s="2" t="s">
        <v>7142</v>
      </c>
      <c r="EW319" s="2" t="s">
        <v>7171</v>
      </c>
      <c r="EX319" s="2" t="s">
        <v>7143</v>
      </c>
      <c r="EZ319" s="2" t="s">
        <v>7143</v>
      </c>
      <c r="FC319" s="2" t="s">
        <v>7309</v>
      </c>
      <c r="FD319" s="2" t="s">
        <v>7143</v>
      </c>
      <c r="FH319" s="2" t="s">
        <v>7173</v>
      </c>
      <c r="FJ319" s="2" t="s">
        <v>7143</v>
      </c>
      <c r="FK319" s="2" t="s">
        <v>7173</v>
      </c>
      <c r="FN319" s="2" t="s">
        <v>7344</v>
      </c>
      <c r="FR319" s="2" t="s">
        <v>2163</v>
      </c>
      <c r="FT319" s="2" t="s">
        <v>7189</v>
      </c>
      <c r="FU319" s="2" t="s">
        <v>7189</v>
      </c>
      <c r="FV319" s="2" t="s">
        <v>7189</v>
      </c>
      <c r="FW319" s="2" t="s">
        <v>7189</v>
      </c>
      <c r="FZ319" s="19" t="s">
        <v>8285</v>
      </c>
    </row>
    <row r="320" spans="1:182">
      <c r="A320" s="7" t="s">
        <v>2164</v>
      </c>
      <c r="D320" s="7" t="s">
        <v>8286</v>
      </c>
      <c r="E320" s="7" t="s">
        <v>177</v>
      </c>
      <c r="F320" s="7" t="s">
        <v>7134</v>
      </c>
      <c r="G320" s="7" t="s">
        <v>8167</v>
      </c>
      <c r="H320" s="7" t="s">
        <v>1966</v>
      </c>
      <c r="I320" s="7" t="s">
        <v>2165</v>
      </c>
      <c r="J320" s="16" t="s">
        <v>8287</v>
      </c>
      <c r="K320" s="7" t="s">
        <v>2165</v>
      </c>
      <c r="L320" s="2" t="s">
        <v>7137</v>
      </c>
      <c r="M320" s="7" t="s">
        <v>7179</v>
      </c>
      <c r="N320" s="7">
        <v>1984</v>
      </c>
      <c r="O320" s="7" t="s">
        <v>8278</v>
      </c>
      <c r="P320" s="2" t="s">
        <v>7181</v>
      </c>
      <c r="Q320" s="2" t="s">
        <v>7225</v>
      </c>
      <c r="R320" s="2" t="s">
        <v>7143</v>
      </c>
      <c r="S320" s="2">
        <v>15</v>
      </c>
      <c r="T320" s="2" t="s">
        <v>7143</v>
      </c>
      <c r="U320" s="2" t="s">
        <v>7143</v>
      </c>
      <c r="Y320" s="2">
        <v>95</v>
      </c>
      <c r="Z320" s="17">
        <v>1</v>
      </c>
      <c r="AA320" s="2">
        <v>95</v>
      </c>
      <c r="AB320" s="2">
        <v>95</v>
      </c>
      <c r="AC320" s="7">
        <v>75</v>
      </c>
      <c r="AD320" s="2">
        <v>155</v>
      </c>
      <c r="AE320" s="2">
        <v>80</v>
      </c>
      <c r="AF320" s="2" t="s">
        <v>7143</v>
      </c>
      <c r="AG320" s="2" t="s">
        <v>7142</v>
      </c>
      <c r="AH320" s="2" t="s">
        <v>7143</v>
      </c>
      <c r="AJ320" s="2" t="s">
        <v>7143</v>
      </c>
      <c r="AK320" s="2" t="s">
        <v>7143</v>
      </c>
      <c r="AL320" s="2" t="s">
        <v>7143</v>
      </c>
      <c r="AM320" s="2" t="s">
        <v>7143</v>
      </c>
      <c r="AN320" s="2" t="s">
        <v>7143</v>
      </c>
      <c r="AO320" s="2" t="s">
        <v>7143</v>
      </c>
      <c r="AR320" s="7">
        <v>1.5</v>
      </c>
      <c r="AS320" s="7">
        <v>3</v>
      </c>
      <c r="AT320" s="7">
        <v>1.6</v>
      </c>
      <c r="AU320" s="2" t="s">
        <v>7144</v>
      </c>
      <c r="AV320" s="2" t="s">
        <v>7144</v>
      </c>
      <c r="AW320" s="2" t="s">
        <v>7143</v>
      </c>
      <c r="AZ320" s="2" t="s">
        <v>7145</v>
      </c>
      <c r="BB320" s="2" t="s">
        <v>7214</v>
      </c>
      <c r="BC320" s="2" t="s">
        <v>7147</v>
      </c>
      <c r="BD320" s="2" t="s">
        <v>7142</v>
      </c>
      <c r="BE320" s="2" t="s">
        <v>7142</v>
      </c>
      <c r="BF320" s="2" t="s">
        <v>7148</v>
      </c>
      <c r="BG320" s="2" t="s">
        <v>7149</v>
      </c>
      <c r="BH320" s="2" t="s">
        <v>7233</v>
      </c>
      <c r="BI320" s="2" t="s">
        <v>7151</v>
      </c>
      <c r="BL320" s="2" t="s">
        <v>7195</v>
      </c>
      <c r="BO320" s="2" t="s">
        <v>7155</v>
      </c>
      <c r="BQ320" s="2" t="s">
        <v>7156</v>
      </c>
      <c r="BS320" s="2" t="s">
        <v>7142</v>
      </c>
      <c r="BT320" s="2" t="s">
        <v>7157</v>
      </c>
      <c r="BV320" s="2" t="s">
        <v>7202</v>
      </c>
      <c r="BX320" s="2" t="s">
        <v>7143</v>
      </c>
      <c r="BZ320" s="2" t="s">
        <v>7173</v>
      </c>
      <c r="CE320" s="7">
        <v>1.6</v>
      </c>
      <c r="CF320" s="2">
        <v>155</v>
      </c>
      <c r="CK320" s="2">
        <v>100</v>
      </c>
      <c r="CO320" s="2">
        <v>100</v>
      </c>
      <c r="CR320" s="2" t="s">
        <v>7160</v>
      </c>
      <c r="CT320" s="2" t="s">
        <v>7143</v>
      </c>
      <c r="CU320" s="2" t="s">
        <v>7161</v>
      </c>
      <c r="CW320" s="2" t="s">
        <v>7162</v>
      </c>
      <c r="CY320" s="2" t="s">
        <v>7163</v>
      </c>
      <c r="CZ320" s="2" t="s">
        <v>7163</v>
      </c>
      <c r="DA320" s="2" t="s">
        <v>7164</v>
      </c>
      <c r="DB320" s="2" t="s">
        <v>7164</v>
      </c>
      <c r="DC320" s="2" t="s">
        <v>7164</v>
      </c>
      <c r="DD320" s="2" t="s">
        <v>7164</v>
      </c>
      <c r="DE320" s="2" t="s">
        <v>7164</v>
      </c>
      <c r="DF320" s="2" t="s">
        <v>7164</v>
      </c>
      <c r="DG320" s="2" t="s">
        <v>7164</v>
      </c>
      <c r="DH320" s="2" t="s">
        <v>7164</v>
      </c>
      <c r="DI320" s="2" t="s">
        <v>7164</v>
      </c>
      <c r="DL320" s="2" t="s">
        <v>7142</v>
      </c>
      <c r="DM320" s="2" t="s">
        <v>7142</v>
      </c>
      <c r="DN320" s="2" t="s">
        <v>7142</v>
      </c>
      <c r="DO320" s="2" t="s">
        <v>7142</v>
      </c>
      <c r="DP320" s="2" t="s">
        <v>7165</v>
      </c>
      <c r="DQ320" s="2" t="s">
        <v>7166</v>
      </c>
      <c r="DT320" s="2" t="s">
        <v>7165</v>
      </c>
      <c r="DU320" s="2" t="s">
        <v>7165</v>
      </c>
      <c r="DV320" s="2" t="s">
        <v>7165</v>
      </c>
      <c r="DW320" s="2" t="s">
        <v>7165</v>
      </c>
      <c r="DX320" s="2" t="s">
        <v>7165</v>
      </c>
      <c r="DY320" s="2" t="s">
        <v>7165</v>
      </c>
      <c r="DZ320" s="2" t="s">
        <v>7165</v>
      </c>
      <c r="EA320" s="2" t="s">
        <v>7165</v>
      </c>
      <c r="EB320" s="2" t="s">
        <v>7165</v>
      </c>
      <c r="EF320" s="2" t="s">
        <v>7167</v>
      </c>
      <c r="EJ320" s="2" t="s">
        <v>7144</v>
      </c>
      <c r="EK320" s="2" t="s">
        <v>7142</v>
      </c>
      <c r="EL320" s="2" t="s">
        <v>7143</v>
      </c>
      <c r="EN320" s="2" t="s">
        <v>7170</v>
      </c>
      <c r="EP320" s="2" t="s">
        <v>7186</v>
      </c>
      <c r="ER320" s="2" t="s">
        <v>7142</v>
      </c>
      <c r="ET320" s="2" t="s">
        <v>7143</v>
      </c>
      <c r="EV320" s="2" t="s">
        <v>7142</v>
      </c>
      <c r="EW320" s="2" t="s">
        <v>7171</v>
      </c>
      <c r="EX320" s="2" t="s">
        <v>7142</v>
      </c>
      <c r="EY320" s="2" t="s">
        <v>7171</v>
      </c>
      <c r="EZ320" s="2" t="s">
        <v>7143</v>
      </c>
      <c r="FC320" s="2" t="s">
        <v>7172</v>
      </c>
      <c r="FD320" s="2" t="s">
        <v>7143</v>
      </c>
      <c r="FH320" s="2" t="s">
        <v>7173</v>
      </c>
      <c r="FJ320" s="2" t="s">
        <v>7142</v>
      </c>
      <c r="FK320" s="2" t="s">
        <v>7165</v>
      </c>
      <c r="FL320" s="2" t="s">
        <v>7228</v>
      </c>
      <c r="FT320" s="2" t="s">
        <v>7176</v>
      </c>
      <c r="FU320" s="2" t="s">
        <v>7176</v>
      </c>
      <c r="FV320" s="2" t="s">
        <v>7176</v>
      </c>
      <c r="FW320" s="2" t="s">
        <v>7176</v>
      </c>
      <c r="FZ320" s="19" t="s">
        <v>8288</v>
      </c>
    </row>
    <row r="321" spans="1:182">
      <c r="A321" s="7" t="s">
        <v>2166</v>
      </c>
      <c r="D321" s="7" t="s">
        <v>8289</v>
      </c>
      <c r="E321" s="7" t="s">
        <v>2167</v>
      </c>
      <c r="F321" s="7" t="s">
        <v>7389</v>
      </c>
      <c r="G321" s="7" t="s">
        <v>8167</v>
      </c>
      <c r="H321" s="7" t="s">
        <v>1966</v>
      </c>
      <c r="I321" s="7" t="s">
        <v>2168</v>
      </c>
      <c r="J321" s="16" t="s">
        <v>8290</v>
      </c>
      <c r="K321" s="7" t="s">
        <v>2168</v>
      </c>
      <c r="L321" s="2" t="s">
        <v>7137</v>
      </c>
      <c r="M321" s="7" t="s">
        <v>7179</v>
      </c>
      <c r="N321" s="7">
        <v>1973</v>
      </c>
      <c r="O321" s="7" t="s">
        <v>7180</v>
      </c>
      <c r="P321" s="7" t="s">
        <v>7181</v>
      </c>
      <c r="Q321" s="2" t="s">
        <v>7182</v>
      </c>
      <c r="R321" s="2" t="s">
        <v>7143</v>
      </c>
      <c r="S321" s="2">
        <v>28</v>
      </c>
      <c r="T321" s="2" t="s">
        <v>7143</v>
      </c>
      <c r="U321" s="2" t="s">
        <v>7143</v>
      </c>
      <c r="Y321" s="2">
        <v>520</v>
      </c>
      <c r="Z321" s="17">
        <v>1</v>
      </c>
      <c r="AA321" s="2">
        <v>520</v>
      </c>
      <c r="AB321" s="2">
        <v>520</v>
      </c>
      <c r="AC321" s="7">
        <v>520</v>
      </c>
      <c r="AD321" s="2">
        <v>650</v>
      </c>
      <c r="AE321" s="2">
        <v>130</v>
      </c>
      <c r="AF321" s="2" t="s">
        <v>7143</v>
      </c>
      <c r="AG321" s="2" t="s">
        <v>7143</v>
      </c>
      <c r="AH321" s="2" t="s">
        <v>7143</v>
      </c>
      <c r="AJ321" s="2" t="s">
        <v>7143</v>
      </c>
      <c r="AK321" s="2" t="s">
        <v>7143</v>
      </c>
      <c r="AL321" s="2" t="s">
        <v>7143</v>
      </c>
      <c r="AM321" s="2" t="s">
        <v>7143</v>
      </c>
      <c r="AN321" s="2" t="s">
        <v>7143</v>
      </c>
      <c r="AO321" s="2" t="s">
        <v>7143</v>
      </c>
      <c r="AR321" s="7">
        <v>2.2400000000000002</v>
      </c>
      <c r="AS321" s="7">
        <v>4</v>
      </c>
      <c r="AT321" s="7">
        <v>5.0999999999999996</v>
      </c>
      <c r="AU321" s="2" t="s">
        <v>7217</v>
      </c>
      <c r="AV321" s="2" t="s">
        <v>7144</v>
      </c>
      <c r="AW321" s="2" t="s">
        <v>7143</v>
      </c>
      <c r="AZ321" s="2" t="s">
        <v>7145</v>
      </c>
      <c r="BB321" s="2" t="s">
        <v>7214</v>
      </c>
      <c r="BC321" s="2" t="s">
        <v>7147</v>
      </c>
      <c r="BD321" s="2" t="s">
        <v>7143</v>
      </c>
      <c r="BE321" s="2" t="s">
        <v>7142</v>
      </c>
      <c r="BF321" s="2" t="s">
        <v>7148</v>
      </c>
      <c r="BG321" s="2" t="s">
        <v>7232</v>
      </c>
      <c r="BH321" s="2" t="s">
        <v>7248</v>
      </c>
      <c r="BI321" s="2" t="s">
        <v>7151</v>
      </c>
      <c r="BL321" s="2" t="s">
        <v>7152</v>
      </c>
      <c r="BM321" s="2" t="s">
        <v>7355</v>
      </c>
      <c r="BN321" s="2" t="s">
        <v>7154</v>
      </c>
      <c r="BO321" s="2" t="s">
        <v>7155</v>
      </c>
      <c r="BQ321" s="2" t="s">
        <v>7183</v>
      </c>
      <c r="BS321" s="2" t="s">
        <v>7142</v>
      </c>
      <c r="BT321" s="2" t="s">
        <v>7391</v>
      </c>
      <c r="BV321" s="2" t="s">
        <v>7197</v>
      </c>
      <c r="BX321" s="2" t="s">
        <v>7143</v>
      </c>
      <c r="BZ321" s="2" t="s">
        <v>7165</v>
      </c>
      <c r="CA321" s="2" t="s">
        <v>2169</v>
      </c>
      <c r="CE321" s="7">
        <v>5.0999999999999996</v>
      </c>
      <c r="CF321" s="2">
        <v>650</v>
      </c>
      <c r="CM321" s="2">
        <v>100</v>
      </c>
      <c r="CO321" s="2">
        <v>100</v>
      </c>
      <c r="CR321" s="2" t="s">
        <v>7216</v>
      </c>
      <c r="CT321" s="2" t="s">
        <v>7143</v>
      </c>
      <c r="CU321" s="2" t="s">
        <v>7234</v>
      </c>
      <c r="CW321" s="2" t="s">
        <v>7162</v>
      </c>
      <c r="CY321" s="2" t="s">
        <v>7227</v>
      </c>
      <c r="CZ321" s="2" t="s">
        <v>7250</v>
      </c>
      <c r="DA321" s="2" t="s">
        <v>7250</v>
      </c>
      <c r="DB321" s="2" t="s">
        <v>7250</v>
      </c>
      <c r="DC321" s="2" t="s">
        <v>7250</v>
      </c>
      <c r="DD321" s="2" t="s">
        <v>7250</v>
      </c>
      <c r="DE321" s="2" t="s">
        <v>7227</v>
      </c>
      <c r="DF321" s="2" t="s">
        <v>7227</v>
      </c>
      <c r="DG321" s="2" t="s">
        <v>7227</v>
      </c>
      <c r="DH321" s="2" t="s">
        <v>7227</v>
      </c>
      <c r="DI321" s="2" t="s">
        <v>7227</v>
      </c>
      <c r="DL321" s="2" t="s">
        <v>7142</v>
      </c>
      <c r="DM321" s="2" t="s">
        <v>7142</v>
      </c>
      <c r="DN321" s="2" t="s">
        <v>7142</v>
      </c>
      <c r="DO321" s="2" t="s">
        <v>7142</v>
      </c>
      <c r="DP321" s="2" t="s">
        <v>7165</v>
      </c>
      <c r="DQ321" s="2" t="s">
        <v>7333</v>
      </c>
      <c r="DR321" s="2" t="s">
        <v>1998</v>
      </c>
      <c r="DT321" s="2" t="s">
        <v>7165</v>
      </c>
      <c r="DU321" s="2" t="s">
        <v>7165</v>
      </c>
      <c r="DV321" s="2" t="s">
        <v>7165</v>
      </c>
      <c r="DW321" s="2" t="s">
        <v>7165</v>
      </c>
      <c r="DX321" s="2" t="s">
        <v>7165</v>
      </c>
      <c r="DY321" s="2" t="s">
        <v>7165</v>
      </c>
      <c r="DZ321" s="2" t="s">
        <v>7165</v>
      </c>
      <c r="EA321" s="2" t="s">
        <v>7165</v>
      </c>
      <c r="EB321" s="2" t="s">
        <v>7165</v>
      </c>
      <c r="EC321" s="2" t="s">
        <v>7173</v>
      </c>
      <c r="EF321" s="2" t="s">
        <v>7167</v>
      </c>
      <c r="EG321" s="2" t="s">
        <v>985</v>
      </c>
      <c r="EJ321" s="2" t="s">
        <v>7193</v>
      </c>
      <c r="EK321" s="2" t="s">
        <v>7143</v>
      </c>
      <c r="EL321" s="2" t="s">
        <v>7142</v>
      </c>
      <c r="EM321" s="2" t="s">
        <v>7306</v>
      </c>
      <c r="EN321" s="2" t="s">
        <v>7210</v>
      </c>
      <c r="EP321" s="2" t="s">
        <v>7186</v>
      </c>
      <c r="ER321" s="2" t="s">
        <v>7143</v>
      </c>
      <c r="ET321" s="2" t="s">
        <v>7143</v>
      </c>
      <c r="EV321" s="2" t="s">
        <v>7143</v>
      </c>
      <c r="EX321" s="2" t="s">
        <v>7143</v>
      </c>
      <c r="EZ321" s="2" t="s">
        <v>7143</v>
      </c>
      <c r="FC321" s="2" t="s">
        <v>7218</v>
      </c>
      <c r="FD321" s="2" t="s">
        <v>7143</v>
      </c>
      <c r="FH321" s="2" t="s">
        <v>7173</v>
      </c>
      <c r="FJ321" s="2" t="s">
        <v>7143</v>
      </c>
      <c r="FK321" s="2" t="s">
        <v>7173</v>
      </c>
      <c r="FN321" s="2" t="s">
        <v>7322</v>
      </c>
      <c r="FR321" s="2" t="s">
        <v>2170</v>
      </c>
      <c r="FT321" s="2" t="s">
        <v>7189</v>
      </c>
      <c r="FU321" s="2" t="s">
        <v>7189</v>
      </c>
      <c r="FV321" s="2" t="s">
        <v>7189</v>
      </c>
      <c r="FW321" s="2" t="s">
        <v>7189</v>
      </c>
      <c r="FZ321" s="19" t="s">
        <v>8291</v>
      </c>
    </row>
    <row r="322" spans="1:182">
      <c r="A322" s="7" t="s">
        <v>2171</v>
      </c>
      <c r="D322" s="7" t="s">
        <v>8292</v>
      </c>
      <c r="E322" s="7" t="s">
        <v>2172</v>
      </c>
      <c r="F322" s="7" t="s">
        <v>7311</v>
      </c>
      <c r="G322" s="7" t="s">
        <v>8167</v>
      </c>
      <c r="H322" s="7" t="s">
        <v>2173</v>
      </c>
      <c r="I322" s="7" t="s">
        <v>2174</v>
      </c>
      <c r="J322" s="16" t="s">
        <v>8293</v>
      </c>
      <c r="K322" s="7" t="s">
        <v>2174</v>
      </c>
      <c r="L322" s="7" t="s">
        <v>7137</v>
      </c>
      <c r="M322" s="7" t="s">
        <v>7138</v>
      </c>
      <c r="N322" s="7">
        <v>1976</v>
      </c>
      <c r="O322" s="7" t="s">
        <v>7180</v>
      </c>
      <c r="P322" s="7" t="s">
        <v>7140</v>
      </c>
      <c r="Q322" s="7" t="s">
        <v>7141</v>
      </c>
      <c r="R322" s="7" t="s">
        <v>7143</v>
      </c>
      <c r="S322" s="7">
        <v>25</v>
      </c>
      <c r="T322" s="7" t="s">
        <v>7143</v>
      </c>
      <c r="U322" s="7" t="s">
        <v>7143</v>
      </c>
      <c r="Y322" s="2">
        <v>745</v>
      </c>
      <c r="Z322" s="17">
        <v>0.99329999999999996</v>
      </c>
      <c r="AA322" s="2">
        <v>740</v>
      </c>
      <c r="AB322" s="2">
        <v>740</v>
      </c>
      <c r="AC322" s="7">
        <v>740</v>
      </c>
      <c r="AD322" s="2">
        <v>850</v>
      </c>
      <c r="AE322" s="2">
        <v>110</v>
      </c>
      <c r="AF322" s="2" t="s">
        <v>7143</v>
      </c>
      <c r="AG322" s="2" t="s">
        <v>7143</v>
      </c>
      <c r="AH322" s="2" t="s">
        <v>7143</v>
      </c>
      <c r="AJ322" s="2" t="s">
        <v>7143</v>
      </c>
      <c r="AK322" s="2" t="s">
        <v>7143</v>
      </c>
      <c r="AL322" s="2" t="s">
        <v>7143</v>
      </c>
      <c r="AM322" s="2" t="s">
        <v>7142</v>
      </c>
      <c r="AN322" s="2" t="s">
        <v>7143</v>
      </c>
      <c r="AO322" s="2" t="s">
        <v>7143</v>
      </c>
      <c r="AR322" s="7">
        <v>2.2000000000000002</v>
      </c>
      <c r="AS322" s="7">
        <v>3</v>
      </c>
      <c r="AT322" s="7">
        <v>9</v>
      </c>
      <c r="AU322" s="2" t="s">
        <v>7144</v>
      </c>
      <c r="AV322" s="2" t="s">
        <v>7144</v>
      </c>
      <c r="AW322" s="2" t="s">
        <v>7143</v>
      </c>
      <c r="BC322" s="2" t="s">
        <v>7147</v>
      </c>
      <c r="BD322" s="2" t="s">
        <v>7142</v>
      </c>
      <c r="BE322" s="2" t="s">
        <v>7143</v>
      </c>
      <c r="BL322" s="2" t="s">
        <v>7152</v>
      </c>
      <c r="BM322" s="2" t="s">
        <v>7153</v>
      </c>
      <c r="BN322" s="2" t="s">
        <v>7154</v>
      </c>
      <c r="BO322" s="2" t="s">
        <v>7155</v>
      </c>
      <c r="BP322" s="2" t="s">
        <v>7275</v>
      </c>
      <c r="BQ322" s="2" t="s">
        <v>7156</v>
      </c>
      <c r="BS322" s="2" t="s">
        <v>7142</v>
      </c>
      <c r="BT322" s="2" t="s">
        <v>7315</v>
      </c>
      <c r="BV322" s="2" t="s">
        <v>7202</v>
      </c>
      <c r="BX322" s="2" t="s">
        <v>7143</v>
      </c>
      <c r="BY322" s="2" t="s">
        <v>696</v>
      </c>
      <c r="BZ322" s="2" t="s">
        <v>7159</v>
      </c>
      <c r="CE322" s="7">
        <v>9</v>
      </c>
      <c r="CF322" s="2">
        <v>850</v>
      </c>
      <c r="CK322" s="2">
        <v>40</v>
      </c>
      <c r="CM322" s="2">
        <v>60</v>
      </c>
      <c r="CP322" s="2">
        <v>100</v>
      </c>
      <c r="CR322" s="2" t="s">
        <v>7160</v>
      </c>
      <c r="CT322" s="2" t="s">
        <v>7143</v>
      </c>
      <c r="CU322" s="2" t="s">
        <v>7234</v>
      </c>
      <c r="CW322" s="2" t="s">
        <v>7162</v>
      </c>
      <c r="CY322" s="2" t="s">
        <v>7163</v>
      </c>
      <c r="CZ322" s="2" t="s">
        <v>7163</v>
      </c>
      <c r="DA322" s="2" t="s">
        <v>7250</v>
      </c>
      <c r="DB322" s="2" t="s">
        <v>7250</v>
      </c>
      <c r="DC322" s="2" t="s">
        <v>7250</v>
      </c>
      <c r="DD322" s="2" t="s">
        <v>7250</v>
      </c>
      <c r="DE322" s="2" t="s">
        <v>7250</v>
      </c>
      <c r="DF322" s="2" t="s">
        <v>7163</v>
      </c>
      <c r="DG322" s="2" t="s">
        <v>7163</v>
      </c>
      <c r="DH322" s="2" t="s">
        <v>7163</v>
      </c>
      <c r="DI322" s="2" t="s">
        <v>7163</v>
      </c>
      <c r="DL322" s="2" t="s">
        <v>7142</v>
      </c>
      <c r="DM322" s="2" t="s">
        <v>7142</v>
      </c>
      <c r="DN322" s="2" t="s">
        <v>7142</v>
      </c>
      <c r="DO322" s="2" t="s">
        <v>7142</v>
      </c>
      <c r="DP322" s="2" t="s">
        <v>7165</v>
      </c>
      <c r="DQ322" s="2" t="s">
        <v>7333</v>
      </c>
      <c r="DR322" s="2" t="s">
        <v>2175</v>
      </c>
      <c r="DT322" s="2" t="s">
        <v>7165</v>
      </c>
      <c r="DU322" s="2" t="s">
        <v>7165</v>
      </c>
      <c r="DV322" s="2" t="s">
        <v>7165</v>
      </c>
      <c r="DW322" s="2" t="s">
        <v>7165</v>
      </c>
      <c r="DX322" s="2" t="s">
        <v>7165</v>
      </c>
      <c r="DY322" s="2" t="s">
        <v>7165</v>
      </c>
      <c r="DZ322" s="2" t="s">
        <v>7159</v>
      </c>
      <c r="EA322" s="2" t="s">
        <v>7165</v>
      </c>
      <c r="EB322" s="2" t="s">
        <v>7165</v>
      </c>
      <c r="EC322" s="2" t="s">
        <v>7159</v>
      </c>
      <c r="EF322" s="2" t="s">
        <v>7221</v>
      </c>
      <c r="EG322" s="2" t="s">
        <v>2176</v>
      </c>
      <c r="EJ322" s="2" t="s">
        <v>7144</v>
      </c>
      <c r="EK322" s="2" t="s">
        <v>7142</v>
      </c>
      <c r="EL322" s="2" t="s">
        <v>7142</v>
      </c>
      <c r="EM322" s="2" t="s">
        <v>7430</v>
      </c>
      <c r="EN322" s="2" t="s">
        <v>7170</v>
      </c>
      <c r="EP322" s="2" t="s">
        <v>7186</v>
      </c>
      <c r="ER322" s="2" t="s">
        <v>7142</v>
      </c>
      <c r="ET322" s="2" t="s">
        <v>7143</v>
      </c>
      <c r="EV322" s="2" t="s">
        <v>7143</v>
      </c>
      <c r="EX322" s="2" t="s">
        <v>7143</v>
      </c>
      <c r="EZ322" s="2" t="s">
        <v>7143</v>
      </c>
      <c r="FC322" s="2" t="s">
        <v>7172</v>
      </c>
      <c r="FD322" s="2" t="s">
        <v>7143</v>
      </c>
      <c r="FH322" s="2" t="s">
        <v>7173</v>
      </c>
      <c r="FJ322" s="2" t="s">
        <v>7143</v>
      </c>
      <c r="FK322" s="2" t="s">
        <v>7159</v>
      </c>
      <c r="FR322" s="2" t="s">
        <v>2177</v>
      </c>
      <c r="FT322" s="2" t="s">
        <v>7176</v>
      </c>
      <c r="FU322" s="2" t="s">
        <v>7189</v>
      </c>
      <c r="FV322" s="2" t="s">
        <v>7176</v>
      </c>
      <c r="FW322" s="2" t="s">
        <v>7176</v>
      </c>
      <c r="FX322" s="2" t="s">
        <v>7176</v>
      </c>
      <c r="FY322" s="2" t="s">
        <v>2178</v>
      </c>
      <c r="FZ322" s="19" t="s">
        <v>8294</v>
      </c>
    </row>
    <row r="323" spans="1:182">
      <c r="A323" s="7" t="s">
        <v>2179</v>
      </c>
      <c r="D323" s="7" t="s">
        <v>8295</v>
      </c>
      <c r="E323" s="7" t="s">
        <v>2180</v>
      </c>
      <c r="F323" s="7" t="s">
        <v>7339</v>
      </c>
      <c r="G323" s="7" t="s">
        <v>8167</v>
      </c>
      <c r="H323" s="7" t="s">
        <v>2181</v>
      </c>
      <c r="I323" s="7" t="s">
        <v>2182</v>
      </c>
      <c r="J323" s="16" t="s">
        <v>8296</v>
      </c>
      <c r="K323" s="7" t="s">
        <v>2182</v>
      </c>
      <c r="L323" s="2" t="s">
        <v>7137</v>
      </c>
      <c r="M323" s="7" t="s">
        <v>7138</v>
      </c>
      <c r="N323" s="7">
        <v>1969</v>
      </c>
      <c r="O323" s="7" t="s">
        <v>7180</v>
      </c>
      <c r="P323" s="2" t="s">
        <v>7140</v>
      </c>
      <c r="Q323" s="2" t="s">
        <v>7141</v>
      </c>
      <c r="R323" s="2" t="s">
        <v>7143</v>
      </c>
      <c r="T323" s="2" t="s">
        <v>7143</v>
      </c>
      <c r="U323" s="2" t="s">
        <v>7143</v>
      </c>
      <c r="Y323" s="2">
        <v>100</v>
      </c>
      <c r="Z323" s="17">
        <v>1</v>
      </c>
      <c r="AA323" s="2">
        <v>100</v>
      </c>
      <c r="AB323" s="2">
        <v>100</v>
      </c>
      <c r="AC323" s="7">
        <v>38</v>
      </c>
      <c r="AD323" s="2">
        <v>98</v>
      </c>
      <c r="AE323" s="2">
        <v>60</v>
      </c>
      <c r="AF323" s="2" t="s">
        <v>7143</v>
      </c>
      <c r="AG323" s="2" t="s">
        <v>7143</v>
      </c>
      <c r="AH323" s="2" t="s">
        <v>7142</v>
      </c>
      <c r="AI323" s="2" t="s">
        <v>2183</v>
      </c>
      <c r="AJ323" s="2" t="s">
        <v>7143</v>
      </c>
      <c r="AK323" s="2" t="s">
        <v>7143</v>
      </c>
      <c r="AL323" s="2" t="s">
        <v>7143</v>
      </c>
      <c r="AM323" s="2" t="s">
        <v>7143</v>
      </c>
      <c r="AN323" s="2" t="s">
        <v>7143</v>
      </c>
      <c r="AO323" s="2" t="s">
        <v>7143</v>
      </c>
      <c r="AR323" s="7">
        <v>2.2000000000000002</v>
      </c>
      <c r="AS323" s="7">
        <v>3</v>
      </c>
      <c r="AT323" s="7">
        <v>1</v>
      </c>
      <c r="AU323" s="2" t="s">
        <v>7193</v>
      </c>
      <c r="AV323" s="2" t="s">
        <v>7193</v>
      </c>
      <c r="AW323" s="2" t="s">
        <v>7143</v>
      </c>
      <c r="AZ323" s="2" t="s">
        <v>7566</v>
      </c>
      <c r="BB323" s="2" t="s">
        <v>7146</v>
      </c>
      <c r="BC323" s="2" t="s">
        <v>7247</v>
      </c>
      <c r="BD323" s="2" t="s">
        <v>7143</v>
      </c>
      <c r="BE323" s="2" t="s">
        <v>7142</v>
      </c>
      <c r="BF323" s="2" t="s">
        <v>7148</v>
      </c>
      <c r="BG323" s="2" t="s">
        <v>7149</v>
      </c>
      <c r="BH323" s="2" t="s">
        <v>7150</v>
      </c>
      <c r="BI323" s="2" t="s">
        <v>7151</v>
      </c>
      <c r="BL323" s="2" t="s">
        <v>7152</v>
      </c>
      <c r="BM323" s="2" t="s">
        <v>7355</v>
      </c>
      <c r="BN323" s="2" t="s">
        <v>7154</v>
      </c>
      <c r="BO323" s="2" t="s">
        <v>7155</v>
      </c>
      <c r="BQ323" s="2" t="s">
        <v>7183</v>
      </c>
      <c r="BS323" s="2" t="s">
        <v>7142</v>
      </c>
      <c r="BT323" s="2" t="s">
        <v>7341</v>
      </c>
      <c r="BV323" s="2" t="s">
        <v>8297</v>
      </c>
      <c r="BX323" s="2" t="s">
        <v>7142</v>
      </c>
      <c r="BY323" s="2" t="s">
        <v>705</v>
      </c>
      <c r="BZ323" s="2" t="s">
        <v>7165</v>
      </c>
      <c r="CA323" s="2" t="s">
        <v>2185</v>
      </c>
      <c r="CE323" s="7">
        <v>1</v>
      </c>
      <c r="CF323" s="2">
        <v>98</v>
      </c>
      <c r="CK323" s="2">
        <v>100</v>
      </c>
      <c r="CO323" s="2">
        <v>100</v>
      </c>
      <c r="CR323" s="2" t="s">
        <v>7357</v>
      </c>
      <c r="CT323" s="2" t="s">
        <v>7143</v>
      </c>
      <c r="CU323" s="2" t="s">
        <v>7161</v>
      </c>
      <c r="CW323" s="2" t="s">
        <v>7162</v>
      </c>
      <c r="CY323" s="2" t="s">
        <v>7227</v>
      </c>
      <c r="CZ323" s="2" t="s">
        <v>7227</v>
      </c>
      <c r="DA323" s="2" t="s">
        <v>7249</v>
      </c>
      <c r="DB323" s="2" t="s">
        <v>7249</v>
      </c>
      <c r="DC323" s="2" t="s">
        <v>7249</v>
      </c>
      <c r="DD323" s="2" t="s">
        <v>7249</v>
      </c>
      <c r="DE323" s="2" t="s">
        <v>7227</v>
      </c>
      <c r="DF323" s="2" t="s">
        <v>7227</v>
      </c>
      <c r="DG323" s="2" t="s">
        <v>7227</v>
      </c>
      <c r="DH323" s="2" t="s">
        <v>7227</v>
      </c>
      <c r="DI323" s="2" t="s">
        <v>7227</v>
      </c>
      <c r="DL323" s="2" t="s">
        <v>7142</v>
      </c>
      <c r="DM323" s="2" t="s">
        <v>7142</v>
      </c>
      <c r="DN323" s="2" t="s">
        <v>7142</v>
      </c>
      <c r="DO323" s="2" t="s">
        <v>7142</v>
      </c>
      <c r="DP323" s="2" t="s">
        <v>7165</v>
      </c>
      <c r="DQ323" s="2" t="s">
        <v>7333</v>
      </c>
      <c r="DR323" s="2" t="s">
        <v>2186</v>
      </c>
      <c r="DT323" s="2" t="s">
        <v>7165</v>
      </c>
      <c r="DU323" s="2" t="s">
        <v>7165</v>
      </c>
      <c r="DV323" s="2" t="s">
        <v>7165</v>
      </c>
      <c r="DW323" s="2" t="s">
        <v>7165</v>
      </c>
      <c r="DX323" s="2" t="s">
        <v>7165</v>
      </c>
      <c r="DY323" s="2" t="s">
        <v>7159</v>
      </c>
      <c r="DZ323" s="2" t="s">
        <v>7159</v>
      </c>
      <c r="EA323" s="2" t="s">
        <v>7159</v>
      </c>
      <c r="EB323" s="2" t="s">
        <v>7165</v>
      </c>
      <c r="EF323" s="2" t="s">
        <v>7221</v>
      </c>
      <c r="EG323" s="2" t="s">
        <v>2187</v>
      </c>
      <c r="EJ323" s="2" t="s">
        <v>7193</v>
      </c>
      <c r="EK323" s="2" t="s">
        <v>7142</v>
      </c>
      <c r="EL323" s="2" t="s">
        <v>7143</v>
      </c>
      <c r="EN323" s="2" t="s">
        <v>7210</v>
      </c>
      <c r="EP323" s="2" t="s">
        <v>7186</v>
      </c>
      <c r="ER323" s="2" t="s">
        <v>7142</v>
      </c>
      <c r="ET323" s="2" t="s">
        <v>7143</v>
      </c>
      <c r="EV323" s="2" t="s">
        <v>7142</v>
      </c>
      <c r="EW323" s="2" t="s">
        <v>7171</v>
      </c>
      <c r="EX323" s="2" t="s">
        <v>7143</v>
      </c>
      <c r="EZ323" s="2" t="s">
        <v>7143</v>
      </c>
      <c r="FC323" s="2" t="s">
        <v>7309</v>
      </c>
      <c r="FD323" s="2" t="s">
        <v>7143</v>
      </c>
      <c r="FH323" s="2" t="s">
        <v>7173</v>
      </c>
      <c r="FJ323" s="2" t="s">
        <v>7143</v>
      </c>
      <c r="FK323" s="2" t="s">
        <v>7173</v>
      </c>
      <c r="FN323" s="2" t="s">
        <v>7344</v>
      </c>
      <c r="FR323" s="2" t="s">
        <v>2188</v>
      </c>
      <c r="FT323" s="2" t="s">
        <v>7189</v>
      </c>
      <c r="FU323" s="2" t="s">
        <v>7189</v>
      </c>
      <c r="FV323" s="2" t="s">
        <v>7189</v>
      </c>
      <c r="FW323" s="2" t="s">
        <v>7189</v>
      </c>
      <c r="FZ323" s="2"/>
    </row>
    <row r="324" spans="1:182">
      <c r="A324" s="7" t="s">
        <v>2189</v>
      </c>
      <c r="D324" s="7" t="s">
        <v>8298</v>
      </c>
      <c r="E324" s="7" t="s">
        <v>177</v>
      </c>
      <c r="F324" s="7" t="s">
        <v>7134</v>
      </c>
      <c r="G324" s="7" t="s">
        <v>8167</v>
      </c>
      <c r="H324" s="7" t="s">
        <v>1966</v>
      </c>
      <c r="I324" s="7" t="s">
        <v>2190</v>
      </c>
      <c r="J324" s="16" t="s">
        <v>8299</v>
      </c>
      <c r="K324" s="7" t="s">
        <v>2190</v>
      </c>
      <c r="L324" s="2" t="s">
        <v>7137</v>
      </c>
      <c r="M324" s="7" t="s">
        <v>7138</v>
      </c>
      <c r="N324" s="7">
        <v>1966</v>
      </c>
      <c r="O324" s="7" t="s">
        <v>7180</v>
      </c>
      <c r="P324" s="2" t="s">
        <v>7140</v>
      </c>
      <c r="Q324" s="2" t="s">
        <v>7141</v>
      </c>
      <c r="R324" s="2" t="s">
        <v>7143</v>
      </c>
      <c r="S324" s="2">
        <v>6</v>
      </c>
      <c r="T324" s="2" t="s">
        <v>7143</v>
      </c>
      <c r="U324" s="2" t="s">
        <v>7143</v>
      </c>
      <c r="Y324" s="2">
        <v>24</v>
      </c>
      <c r="Z324" s="17">
        <v>0.70830000000000004</v>
      </c>
      <c r="AA324" s="2">
        <v>17</v>
      </c>
      <c r="AB324" s="2">
        <v>17</v>
      </c>
      <c r="AC324" s="7">
        <v>17</v>
      </c>
      <c r="AD324" s="2">
        <v>24</v>
      </c>
      <c r="AE324" s="2">
        <v>7</v>
      </c>
      <c r="AF324" s="2" t="s">
        <v>7143</v>
      </c>
      <c r="AG324" s="2" t="s">
        <v>7143</v>
      </c>
      <c r="AH324" s="2" t="s">
        <v>7143</v>
      </c>
      <c r="AJ324" s="2" t="s">
        <v>7143</v>
      </c>
      <c r="AK324" s="2" t="s">
        <v>7143</v>
      </c>
      <c r="AL324" s="2" t="s">
        <v>7143</v>
      </c>
      <c r="AM324" s="2" t="s">
        <v>7142</v>
      </c>
      <c r="AN324" s="2" t="s">
        <v>7143</v>
      </c>
      <c r="AO324" s="2" t="s">
        <v>7143</v>
      </c>
      <c r="AR324" s="7">
        <v>0.24</v>
      </c>
      <c r="AS324" s="7">
        <v>1</v>
      </c>
      <c r="AT324" s="7">
        <v>0.24</v>
      </c>
      <c r="AU324" s="2" t="s">
        <v>7193</v>
      </c>
      <c r="AV324" s="2" t="s">
        <v>7193</v>
      </c>
      <c r="AW324" s="2" t="s">
        <v>7143</v>
      </c>
      <c r="AZ324" s="2"/>
      <c r="BA324" s="2" t="s">
        <v>188</v>
      </c>
      <c r="BC324" s="2" t="s">
        <v>7147</v>
      </c>
      <c r="BD324" s="2" t="s">
        <v>7143</v>
      </c>
      <c r="BE324" s="2" t="s">
        <v>7143</v>
      </c>
      <c r="BL324" s="2" t="s">
        <v>7195</v>
      </c>
      <c r="BM324" s="2"/>
      <c r="BN324" s="2"/>
      <c r="BO324" s="2" t="s">
        <v>7155</v>
      </c>
      <c r="BQ324" s="2" t="s">
        <v>7156</v>
      </c>
      <c r="BS324" s="2" t="s">
        <v>7142</v>
      </c>
      <c r="BT324" s="2" t="s">
        <v>7215</v>
      </c>
      <c r="BV324" s="2" t="s">
        <v>7202</v>
      </c>
      <c r="BX324" s="2" t="s">
        <v>7143</v>
      </c>
      <c r="BY324" s="2"/>
      <c r="BZ324" s="2" t="s">
        <v>7159</v>
      </c>
      <c r="CE324" s="7">
        <v>0.24</v>
      </c>
      <c r="CF324" s="2">
        <v>24</v>
      </c>
      <c r="CH324" s="2">
        <v>0</v>
      </c>
      <c r="CI324" s="2">
        <v>0</v>
      </c>
      <c r="CJ324" s="2">
        <v>0</v>
      </c>
      <c r="CK324" s="2">
        <v>100</v>
      </c>
      <c r="CL324" s="2">
        <v>0</v>
      </c>
      <c r="CM324" s="2">
        <v>0</v>
      </c>
      <c r="CO324" s="2">
        <v>100</v>
      </c>
      <c r="CP324" s="2">
        <v>0</v>
      </c>
      <c r="CQ324" s="2">
        <v>0</v>
      </c>
      <c r="CR324" s="2" t="s">
        <v>7160</v>
      </c>
      <c r="CT324" s="2" t="s">
        <v>7143</v>
      </c>
      <c r="CU324" s="2" t="s">
        <v>7161</v>
      </c>
      <c r="CW324" s="2" t="s">
        <v>7162</v>
      </c>
      <c r="CY324" s="2" t="s">
        <v>7164</v>
      </c>
      <c r="CZ324" s="2" t="s">
        <v>7164</v>
      </c>
      <c r="DA324" s="2" t="s">
        <v>7164</v>
      </c>
      <c r="DB324" s="2" t="s">
        <v>7164</v>
      </c>
      <c r="DC324" s="2" t="s">
        <v>7164</v>
      </c>
      <c r="DD324" s="2" t="s">
        <v>7164</v>
      </c>
      <c r="DE324" s="2" t="s">
        <v>7164</v>
      </c>
      <c r="DF324" s="2" t="s">
        <v>7164</v>
      </c>
      <c r="DG324" s="2" t="s">
        <v>7164</v>
      </c>
      <c r="DH324" s="2" t="s">
        <v>7164</v>
      </c>
      <c r="DI324" s="2" t="s">
        <v>7164</v>
      </c>
      <c r="DL324" s="2" t="s">
        <v>7143</v>
      </c>
      <c r="DM324" s="2" t="s">
        <v>7143</v>
      </c>
      <c r="DP324" s="2" t="s">
        <v>7173</v>
      </c>
      <c r="DT324" s="2" t="s">
        <v>7165</v>
      </c>
      <c r="DU324" s="2" t="s">
        <v>7165</v>
      </c>
      <c r="DV324" s="2" t="s">
        <v>7165</v>
      </c>
      <c r="DW324" s="2" t="s">
        <v>7165</v>
      </c>
      <c r="DX324" s="2" t="s">
        <v>7165</v>
      </c>
      <c r="DY324" s="2" t="s">
        <v>7165</v>
      </c>
      <c r="DZ324" s="2" t="s">
        <v>7165</v>
      </c>
      <c r="EA324" s="2" t="s">
        <v>7165</v>
      </c>
      <c r="EB324" s="2" t="s">
        <v>7165</v>
      </c>
      <c r="EC324" s="2"/>
      <c r="ED324" s="2"/>
      <c r="EE324" s="2" t="s">
        <v>188</v>
      </c>
      <c r="EF324" s="2"/>
      <c r="EG324" s="2"/>
      <c r="EJ324" s="2" t="s">
        <v>7193</v>
      </c>
      <c r="EK324" s="2" t="s">
        <v>7143</v>
      </c>
      <c r="EL324" s="2" t="s">
        <v>7143</v>
      </c>
      <c r="EN324" s="2" t="s">
        <v>7170</v>
      </c>
      <c r="EP324" s="2" t="s">
        <v>7186</v>
      </c>
      <c r="ER324" s="2" t="s">
        <v>7143</v>
      </c>
      <c r="ET324" s="2" t="s">
        <v>7143</v>
      </c>
      <c r="EV324" s="2" t="s">
        <v>7143</v>
      </c>
      <c r="EX324" s="2" t="s">
        <v>7143</v>
      </c>
      <c r="EZ324" s="2" t="s">
        <v>7143</v>
      </c>
      <c r="FC324" s="2" t="s">
        <v>7218</v>
      </c>
      <c r="FD324" s="2" t="s">
        <v>7143</v>
      </c>
      <c r="FH324" s="2" t="s">
        <v>7173</v>
      </c>
      <c r="FJ324" s="2" t="s">
        <v>7142</v>
      </c>
      <c r="FK324" s="2" t="s">
        <v>7173</v>
      </c>
      <c r="FN324" s="2" t="s">
        <v>7175</v>
      </c>
      <c r="FR324" s="2" t="s">
        <v>188</v>
      </c>
      <c r="FT324" s="2" t="s">
        <v>7189</v>
      </c>
      <c r="FU324" s="2" t="s">
        <v>7189</v>
      </c>
      <c r="FV324" s="2" t="s">
        <v>7189</v>
      </c>
      <c r="FW324" s="2" t="s">
        <v>7189</v>
      </c>
      <c r="FX324" s="2"/>
      <c r="FZ324" s="19" t="s">
        <v>8300</v>
      </c>
    </row>
    <row r="325" spans="1:182">
      <c r="A325" s="7" t="s">
        <v>2191</v>
      </c>
      <c r="D325" s="7" t="s">
        <v>8301</v>
      </c>
      <c r="E325" s="7" t="s">
        <v>2192</v>
      </c>
      <c r="F325" s="7" t="s">
        <v>7389</v>
      </c>
      <c r="G325" s="7" t="s">
        <v>8167</v>
      </c>
      <c r="H325" s="7" t="s">
        <v>1966</v>
      </c>
      <c r="I325" s="7" t="s">
        <v>2193</v>
      </c>
      <c r="J325" s="16" t="s">
        <v>8302</v>
      </c>
      <c r="K325" s="7" t="s">
        <v>2193</v>
      </c>
      <c r="L325" s="2" t="s">
        <v>7137</v>
      </c>
      <c r="M325" s="7" t="s">
        <v>7138</v>
      </c>
      <c r="N325" s="7">
        <v>1988</v>
      </c>
      <c r="O325" s="7" t="s">
        <v>7180</v>
      </c>
      <c r="P325" s="7" t="s">
        <v>7140</v>
      </c>
      <c r="Q325" s="2" t="s">
        <v>7141</v>
      </c>
      <c r="R325" s="2" t="s">
        <v>7143</v>
      </c>
      <c r="S325" s="2">
        <v>30</v>
      </c>
      <c r="T325" s="2" t="s">
        <v>7143</v>
      </c>
      <c r="U325" s="2" t="s">
        <v>7143</v>
      </c>
      <c r="Y325" s="2">
        <v>22</v>
      </c>
      <c r="Z325" s="17">
        <v>1</v>
      </c>
      <c r="AA325" s="2">
        <v>22</v>
      </c>
      <c r="AB325" s="2">
        <v>22</v>
      </c>
      <c r="AC325" s="7">
        <v>22</v>
      </c>
      <c r="AD325" s="2">
        <v>72</v>
      </c>
      <c r="AE325" s="2">
        <v>50</v>
      </c>
      <c r="AF325" s="2" t="s">
        <v>7143</v>
      </c>
      <c r="AG325" s="2" t="s">
        <v>7143</v>
      </c>
      <c r="AH325" s="2" t="s">
        <v>7143</v>
      </c>
      <c r="AJ325" s="2" t="s">
        <v>7143</v>
      </c>
      <c r="AK325" s="2" t="s">
        <v>7143</v>
      </c>
      <c r="AL325" s="2" t="s">
        <v>7143</v>
      </c>
      <c r="AM325" s="2" t="s">
        <v>7143</v>
      </c>
      <c r="AN325" s="2" t="s">
        <v>7143</v>
      </c>
      <c r="AO325" s="2" t="s">
        <v>7143</v>
      </c>
      <c r="AR325" s="7">
        <v>2</v>
      </c>
      <c r="AS325" s="7">
        <v>3</v>
      </c>
      <c r="AT325" s="7">
        <v>0.6</v>
      </c>
      <c r="AU325" s="2" t="s">
        <v>7193</v>
      </c>
      <c r="AV325" s="2" t="s">
        <v>7144</v>
      </c>
      <c r="AW325" s="2" t="s">
        <v>7143</v>
      </c>
      <c r="AZ325" s="2" t="s">
        <v>7145</v>
      </c>
      <c r="BB325" s="2" t="s">
        <v>7214</v>
      </c>
      <c r="BC325" s="2" t="s">
        <v>7147</v>
      </c>
      <c r="BD325" s="2" t="s">
        <v>7143</v>
      </c>
      <c r="BE325" s="2" t="s">
        <v>7142</v>
      </c>
      <c r="BF325" s="2" t="s">
        <v>7148</v>
      </c>
      <c r="BG325" s="2" t="s">
        <v>7149</v>
      </c>
      <c r="BH325" s="2" t="s">
        <v>7248</v>
      </c>
      <c r="BI325" s="2" t="s">
        <v>7151</v>
      </c>
      <c r="BL325" s="2" t="s">
        <v>7152</v>
      </c>
      <c r="BM325" s="2" t="s">
        <v>7355</v>
      </c>
      <c r="BN325" s="2" t="s">
        <v>7154</v>
      </c>
      <c r="BO325" s="2" t="s">
        <v>7155</v>
      </c>
      <c r="BQ325" s="2" t="s">
        <v>7183</v>
      </c>
      <c r="BS325" s="2" t="s">
        <v>7142</v>
      </c>
      <c r="BT325" s="2" t="s">
        <v>7391</v>
      </c>
      <c r="BV325" s="2" t="s">
        <v>7197</v>
      </c>
      <c r="BX325" s="2" t="s">
        <v>7143</v>
      </c>
      <c r="BZ325" s="2" t="s">
        <v>7159</v>
      </c>
      <c r="CE325" s="7">
        <v>0.6</v>
      </c>
      <c r="CF325" s="2">
        <v>72</v>
      </c>
      <c r="CK325" s="2">
        <v>100</v>
      </c>
      <c r="CO325" s="2">
        <v>100</v>
      </c>
      <c r="CR325" s="2" t="s">
        <v>7160</v>
      </c>
      <c r="CT325" s="2" t="s">
        <v>7143</v>
      </c>
      <c r="CU325" s="2" t="s">
        <v>7454</v>
      </c>
      <c r="CW325" s="2" t="s">
        <v>7162</v>
      </c>
      <c r="CY325" s="2" t="s">
        <v>7227</v>
      </c>
      <c r="CZ325" s="2" t="s">
        <v>7250</v>
      </c>
      <c r="DA325" s="2" t="s">
        <v>7250</v>
      </c>
      <c r="DB325" s="2" t="s">
        <v>7250</v>
      </c>
      <c r="DC325" s="2" t="s">
        <v>7250</v>
      </c>
      <c r="DD325" s="2" t="s">
        <v>7250</v>
      </c>
      <c r="DE325" s="2" t="s">
        <v>7250</v>
      </c>
      <c r="DF325" s="2" t="s">
        <v>7227</v>
      </c>
      <c r="DG325" s="2" t="s">
        <v>7227</v>
      </c>
      <c r="DH325" s="2" t="s">
        <v>7227</v>
      </c>
      <c r="DI325" s="2" t="s">
        <v>7227</v>
      </c>
      <c r="DL325" s="2" t="s">
        <v>7143</v>
      </c>
      <c r="DM325" s="2" t="s">
        <v>7142</v>
      </c>
      <c r="DN325" s="2" t="s">
        <v>7142</v>
      </c>
      <c r="DO325" s="2" t="s">
        <v>7142</v>
      </c>
      <c r="DP325" s="2" t="s">
        <v>7165</v>
      </c>
      <c r="DQ325" s="2" t="s">
        <v>7333</v>
      </c>
      <c r="DR325" s="2" t="s">
        <v>1998</v>
      </c>
      <c r="DT325" s="2" t="s">
        <v>7165</v>
      </c>
      <c r="DU325" s="2" t="s">
        <v>7165</v>
      </c>
      <c r="DV325" s="2" t="s">
        <v>7165</v>
      </c>
      <c r="DW325" s="2" t="s">
        <v>7165</v>
      </c>
      <c r="DX325" s="2" t="s">
        <v>7165</v>
      </c>
      <c r="DY325" s="2" t="s">
        <v>7159</v>
      </c>
      <c r="DZ325" s="2" t="s">
        <v>7159</v>
      </c>
      <c r="EA325" s="2" t="s">
        <v>7159</v>
      </c>
      <c r="EB325" s="2" t="s">
        <v>7165</v>
      </c>
      <c r="EC325" s="2" t="s">
        <v>7173</v>
      </c>
      <c r="EF325" s="2" t="s">
        <v>7167</v>
      </c>
      <c r="EG325" s="2" t="s">
        <v>985</v>
      </c>
      <c r="EJ325" s="2" t="s">
        <v>7217</v>
      </c>
      <c r="EK325" s="2" t="s">
        <v>7143</v>
      </c>
      <c r="EL325" s="2" t="s">
        <v>7143</v>
      </c>
      <c r="EN325" s="2" t="s">
        <v>7210</v>
      </c>
      <c r="EP325" s="2" t="s">
        <v>7186</v>
      </c>
      <c r="ER325" s="2" t="s">
        <v>7143</v>
      </c>
      <c r="ET325" s="2" t="s">
        <v>7143</v>
      </c>
      <c r="EV325" s="2" t="s">
        <v>7143</v>
      </c>
      <c r="EX325" s="2" t="s">
        <v>7143</v>
      </c>
      <c r="EZ325" s="2" t="s">
        <v>7143</v>
      </c>
      <c r="FC325" s="2" t="s">
        <v>7218</v>
      </c>
      <c r="FD325" s="2" t="s">
        <v>7143</v>
      </c>
      <c r="FH325" s="2" t="s">
        <v>7173</v>
      </c>
      <c r="FJ325" s="2" t="s">
        <v>7143</v>
      </c>
      <c r="FK325" s="2" t="s">
        <v>7173</v>
      </c>
      <c r="FN325" s="2" t="s">
        <v>7322</v>
      </c>
      <c r="FR325" s="2" t="s">
        <v>2194</v>
      </c>
      <c r="FT325" s="2" t="s">
        <v>7189</v>
      </c>
      <c r="FU325" s="2" t="s">
        <v>7189</v>
      </c>
      <c r="FV325" s="2" t="s">
        <v>7189</v>
      </c>
      <c r="FW325" s="2" t="s">
        <v>7189</v>
      </c>
      <c r="FZ325" s="19" t="s">
        <v>8303</v>
      </c>
    </row>
    <row r="326" spans="1:182">
      <c r="A326" s="7" t="s">
        <v>2195</v>
      </c>
      <c r="D326" s="7" t="s">
        <v>8304</v>
      </c>
      <c r="E326" s="7" t="s">
        <v>2196</v>
      </c>
      <c r="F326" s="7" t="s">
        <v>7311</v>
      </c>
      <c r="G326" s="7" t="s">
        <v>8167</v>
      </c>
      <c r="H326" s="7" t="s">
        <v>2197</v>
      </c>
      <c r="I326" s="7" t="s">
        <v>2198</v>
      </c>
      <c r="J326" s="16" t="s">
        <v>8305</v>
      </c>
      <c r="K326" s="7" t="s">
        <v>2198</v>
      </c>
      <c r="L326" s="7" t="s">
        <v>7137</v>
      </c>
      <c r="M326" s="7" t="s">
        <v>7138</v>
      </c>
      <c r="N326" s="7">
        <v>1972</v>
      </c>
      <c r="O326" s="7" t="s">
        <v>7180</v>
      </c>
      <c r="P326" s="7" t="s">
        <v>7140</v>
      </c>
      <c r="Q326" s="7" t="s">
        <v>7141</v>
      </c>
      <c r="R326" s="7" t="s">
        <v>7143</v>
      </c>
      <c r="S326" s="7">
        <v>29</v>
      </c>
      <c r="T326" s="7" t="s">
        <v>7143</v>
      </c>
      <c r="U326" s="7" t="s">
        <v>7143</v>
      </c>
      <c r="Y326" s="2">
        <v>450</v>
      </c>
      <c r="Z326" s="17">
        <v>1</v>
      </c>
      <c r="AA326" s="2">
        <v>450</v>
      </c>
      <c r="AB326" s="2">
        <v>450</v>
      </c>
      <c r="AC326" s="7">
        <v>450</v>
      </c>
      <c r="AD326" s="2">
        <v>630</v>
      </c>
      <c r="AE326" s="2">
        <v>180</v>
      </c>
      <c r="AF326" s="2" t="s">
        <v>7143</v>
      </c>
      <c r="AG326" s="2" t="s">
        <v>7143</v>
      </c>
      <c r="AH326" s="2" t="s">
        <v>7143</v>
      </c>
      <c r="AJ326" s="2" t="s">
        <v>7143</v>
      </c>
      <c r="AK326" s="2" t="s">
        <v>7143</v>
      </c>
      <c r="AL326" s="2" t="s">
        <v>7143</v>
      </c>
      <c r="AM326" s="2" t="s">
        <v>7143</v>
      </c>
      <c r="AN326" s="2" t="s">
        <v>7143</v>
      </c>
      <c r="AO326" s="2" t="s">
        <v>7143</v>
      </c>
      <c r="AR326" s="7">
        <v>1.91</v>
      </c>
      <c r="AS326" s="7">
        <v>3</v>
      </c>
      <c r="AT326" s="7">
        <v>6.5</v>
      </c>
      <c r="AU326" s="2" t="s">
        <v>7144</v>
      </c>
      <c r="AV326" s="2" t="s">
        <v>7144</v>
      </c>
      <c r="AW326" s="2" t="s">
        <v>7143</v>
      </c>
      <c r="BC326" s="2" t="s">
        <v>7147</v>
      </c>
      <c r="BD326" s="2" t="s">
        <v>7142</v>
      </c>
      <c r="BE326" s="2" t="s">
        <v>7143</v>
      </c>
      <c r="BL326" s="2" t="s">
        <v>7152</v>
      </c>
      <c r="BM326" s="2" t="s">
        <v>7153</v>
      </c>
      <c r="BN326" s="2" t="s">
        <v>7154</v>
      </c>
      <c r="BO326" s="2" t="s">
        <v>7155</v>
      </c>
      <c r="BQ326" s="2" t="s">
        <v>7183</v>
      </c>
      <c r="BS326" s="2" t="s">
        <v>7142</v>
      </c>
      <c r="BT326" s="2" t="s">
        <v>7315</v>
      </c>
      <c r="BV326" s="2" t="s">
        <v>7387</v>
      </c>
      <c r="BX326" s="2" t="s">
        <v>7142</v>
      </c>
      <c r="BY326" s="2" t="s">
        <v>2199</v>
      </c>
      <c r="BZ326" s="2" t="s">
        <v>7159</v>
      </c>
      <c r="CE326" s="7">
        <v>6.5</v>
      </c>
      <c r="CF326" s="2">
        <v>630</v>
      </c>
      <c r="CM326" s="2">
        <v>100</v>
      </c>
      <c r="CP326" s="2">
        <v>100</v>
      </c>
      <c r="CR326" s="2" t="s">
        <v>7160</v>
      </c>
      <c r="CT326" s="2" t="s">
        <v>7143</v>
      </c>
      <c r="CU326" s="2" t="s">
        <v>7161</v>
      </c>
      <c r="CW326" s="2" t="s">
        <v>7162</v>
      </c>
      <c r="CY326" s="2" t="s">
        <v>7163</v>
      </c>
      <c r="CZ326" s="2" t="s">
        <v>7163</v>
      </c>
      <c r="DA326" s="2" t="s">
        <v>7250</v>
      </c>
      <c r="DB326" s="2" t="s">
        <v>7250</v>
      </c>
      <c r="DC326" s="2" t="s">
        <v>7250</v>
      </c>
      <c r="DD326" s="2" t="s">
        <v>7250</v>
      </c>
      <c r="DE326" s="2" t="s">
        <v>7250</v>
      </c>
      <c r="DF326" s="2" t="s">
        <v>7163</v>
      </c>
      <c r="DG326" s="2" t="s">
        <v>7163</v>
      </c>
      <c r="DH326" s="2" t="s">
        <v>7163</v>
      </c>
      <c r="DI326" s="2" t="s">
        <v>7163</v>
      </c>
      <c r="DL326" s="2" t="s">
        <v>7142</v>
      </c>
      <c r="DM326" s="2" t="s">
        <v>7142</v>
      </c>
      <c r="DN326" s="2" t="s">
        <v>7142</v>
      </c>
      <c r="DO326" s="2" t="s">
        <v>7142</v>
      </c>
      <c r="DP326" s="2" t="s">
        <v>7165</v>
      </c>
      <c r="DQ326" s="2" t="s">
        <v>7333</v>
      </c>
      <c r="DR326" s="2" t="s">
        <v>2200</v>
      </c>
      <c r="DT326" s="2" t="s">
        <v>7165</v>
      </c>
      <c r="DU326" s="2" t="s">
        <v>7165</v>
      </c>
      <c r="DV326" s="2" t="s">
        <v>7165</v>
      </c>
      <c r="DW326" s="2" t="s">
        <v>7165</v>
      </c>
      <c r="DX326" s="2" t="s">
        <v>7165</v>
      </c>
      <c r="DY326" s="2" t="s">
        <v>7165</v>
      </c>
      <c r="DZ326" s="2" t="s">
        <v>7159</v>
      </c>
      <c r="EA326" s="2" t="s">
        <v>7165</v>
      </c>
      <c r="EB326" s="2" t="s">
        <v>7165</v>
      </c>
      <c r="EC326" s="2" t="s">
        <v>7173</v>
      </c>
      <c r="EF326" s="2" t="s">
        <v>7221</v>
      </c>
      <c r="EG326" s="2" t="s">
        <v>1896</v>
      </c>
      <c r="EJ326" s="2" t="s">
        <v>7144</v>
      </c>
      <c r="EK326" s="2" t="s">
        <v>7142</v>
      </c>
      <c r="EL326" s="2" t="s">
        <v>7142</v>
      </c>
      <c r="EM326" s="2" t="s">
        <v>7430</v>
      </c>
      <c r="EN326" s="2" t="s">
        <v>7170</v>
      </c>
      <c r="EP326" s="2" t="s">
        <v>7186</v>
      </c>
      <c r="ER326" s="2" t="s">
        <v>7142</v>
      </c>
      <c r="ET326" s="2" t="s">
        <v>7143</v>
      </c>
      <c r="EV326" s="2" t="s">
        <v>7142</v>
      </c>
      <c r="EW326" s="2" t="s">
        <v>7204</v>
      </c>
      <c r="EX326" s="2" t="s">
        <v>7143</v>
      </c>
      <c r="EZ326" s="2" t="s">
        <v>7143</v>
      </c>
      <c r="FC326" s="2" t="s">
        <v>7172</v>
      </c>
      <c r="FD326" s="2" t="s">
        <v>7143</v>
      </c>
      <c r="FH326" s="2" t="s">
        <v>7173</v>
      </c>
      <c r="FJ326" s="2" t="s">
        <v>7143</v>
      </c>
      <c r="FK326" s="2" t="s">
        <v>7159</v>
      </c>
      <c r="FN326" s="2" t="s">
        <v>7322</v>
      </c>
      <c r="FR326" s="2" t="s">
        <v>2201</v>
      </c>
      <c r="FT326" s="2" t="s">
        <v>7176</v>
      </c>
      <c r="FU326" s="2" t="s">
        <v>7189</v>
      </c>
      <c r="FV326" s="2" t="s">
        <v>7176</v>
      </c>
      <c r="FW326" s="2" t="s">
        <v>7176</v>
      </c>
      <c r="FX326" s="2" t="s">
        <v>7189</v>
      </c>
      <c r="FY326" s="2" t="s">
        <v>2202</v>
      </c>
      <c r="FZ326" s="19" t="s">
        <v>8306</v>
      </c>
    </row>
    <row r="327" spans="1:182">
      <c r="A327" s="7" t="s">
        <v>2203</v>
      </c>
      <c r="D327" s="7" t="s">
        <v>8307</v>
      </c>
      <c r="E327" s="7" t="s">
        <v>2204</v>
      </c>
      <c r="F327" s="7" t="s">
        <v>7319</v>
      </c>
      <c r="G327" s="7" t="s">
        <v>8167</v>
      </c>
      <c r="H327" s="7" t="s">
        <v>2205</v>
      </c>
      <c r="I327" s="7" t="s">
        <v>2206</v>
      </c>
      <c r="K327" s="7" t="s">
        <v>2206</v>
      </c>
      <c r="L327" s="7" t="s">
        <v>7281</v>
      </c>
      <c r="M327" s="7" t="s">
        <v>7138</v>
      </c>
      <c r="N327" s="7">
        <v>1954</v>
      </c>
      <c r="O327" s="7" t="s">
        <v>7180</v>
      </c>
      <c r="P327" s="7" t="s">
        <v>7140</v>
      </c>
      <c r="Q327" s="7" t="s">
        <v>8308</v>
      </c>
      <c r="R327" s="7" t="s">
        <v>7143</v>
      </c>
      <c r="S327" s="2">
        <v>28</v>
      </c>
      <c r="T327" s="7" t="s">
        <v>7143</v>
      </c>
      <c r="U327" s="7" t="s">
        <v>7143</v>
      </c>
      <c r="Y327" s="2">
        <v>1800</v>
      </c>
      <c r="Z327" s="17">
        <v>0.91669999999999996</v>
      </c>
      <c r="AA327" s="2">
        <v>1650</v>
      </c>
      <c r="AB327" s="2">
        <v>1650</v>
      </c>
      <c r="AC327" s="7">
        <v>650</v>
      </c>
      <c r="AD327" s="2">
        <v>1000</v>
      </c>
      <c r="AE327" s="2">
        <v>350</v>
      </c>
      <c r="AF327" s="7" t="s">
        <v>7143</v>
      </c>
      <c r="AG327" s="7" t="s">
        <v>7142</v>
      </c>
      <c r="AH327" s="7" t="s">
        <v>7143</v>
      </c>
      <c r="AJ327" s="7" t="s">
        <v>7143</v>
      </c>
      <c r="AK327" s="7" t="s">
        <v>7143</v>
      </c>
      <c r="AL327" s="7" t="s">
        <v>7142</v>
      </c>
      <c r="AM327" s="7" t="s">
        <v>7143</v>
      </c>
      <c r="AN327" s="7" t="s">
        <v>7143</v>
      </c>
      <c r="AO327" s="7" t="s">
        <v>7142</v>
      </c>
      <c r="AR327" s="7">
        <v>4.5</v>
      </c>
      <c r="AS327" s="7">
        <v>2</v>
      </c>
      <c r="AT327" s="7">
        <v>10</v>
      </c>
      <c r="AU327" s="2" t="s">
        <v>7168</v>
      </c>
      <c r="AV327" s="2" t="s">
        <v>7144</v>
      </c>
      <c r="AW327" s="2" t="s">
        <v>7143</v>
      </c>
      <c r="AZ327" s="2" t="s">
        <v>7145</v>
      </c>
      <c r="BB327" s="2" t="s">
        <v>7214</v>
      </c>
      <c r="BC327" s="2" t="s">
        <v>7247</v>
      </c>
      <c r="BD327" s="2" t="s">
        <v>7142</v>
      </c>
      <c r="BE327" s="2" t="s">
        <v>7142</v>
      </c>
      <c r="BF327" s="2" t="s">
        <v>7148</v>
      </c>
      <c r="BG327" s="2" t="s">
        <v>7149</v>
      </c>
      <c r="BH327" s="2" t="s">
        <v>7248</v>
      </c>
      <c r="BI327" s="2" t="s">
        <v>7269</v>
      </c>
      <c r="BL327" s="2" t="s">
        <v>7152</v>
      </c>
      <c r="BM327" s="2" t="s">
        <v>7153</v>
      </c>
      <c r="BN327" s="2" t="s">
        <v>7154</v>
      </c>
      <c r="BO327" s="2" t="s">
        <v>7155</v>
      </c>
      <c r="BQ327" s="2" t="s">
        <v>7183</v>
      </c>
      <c r="BS327" s="2" t="s">
        <v>7142</v>
      </c>
      <c r="BT327" s="2" t="s">
        <v>7196</v>
      </c>
      <c r="BV327" s="2" t="s">
        <v>7407</v>
      </c>
      <c r="BX327" s="2" t="s">
        <v>7143</v>
      </c>
      <c r="BZ327" s="2" t="s">
        <v>7159</v>
      </c>
      <c r="CE327" s="7">
        <v>10</v>
      </c>
      <c r="CF327" s="2">
        <v>1000</v>
      </c>
      <c r="CK327" s="2">
        <v>100</v>
      </c>
      <c r="CO327" s="2">
        <v>100</v>
      </c>
      <c r="CR327" s="2" t="s">
        <v>7160</v>
      </c>
      <c r="CT327" s="2" t="s">
        <v>7143</v>
      </c>
      <c r="CU327" s="2" t="s">
        <v>7161</v>
      </c>
      <c r="CW327" s="2" t="s">
        <v>7162</v>
      </c>
      <c r="CY327" s="2" t="s">
        <v>7163</v>
      </c>
      <c r="CZ327" s="2" t="s">
        <v>7163</v>
      </c>
      <c r="DA327" s="2" t="s">
        <v>7321</v>
      </c>
      <c r="DB327" s="2" t="s">
        <v>7321</v>
      </c>
      <c r="DC327" s="2" t="s">
        <v>7321</v>
      </c>
      <c r="DD327" s="2" t="s">
        <v>7321</v>
      </c>
      <c r="DE327" s="2" t="s">
        <v>7250</v>
      </c>
      <c r="DF327" s="2" t="s">
        <v>7163</v>
      </c>
      <c r="DG327" s="2" t="s">
        <v>7163</v>
      </c>
      <c r="DH327" s="2" t="s">
        <v>7321</v>
      </c>
      <c r="DI327" s="2" t="s">
        <v>7250</v>
      </c>
      <c r="DL327" s="2" t="s">
        <v>7142</v>
      </c>
      <c r="DM327" s="2" t="s">
        <v>7142</v>
      </c>
      <c r="DN327" s="2" t="s">
        <v>7142</v>
      </c>
      <c r="DO327" s="2" t="s">
        <v>7142</v>
      </c>
      <c r="DP327" s="2" t="s">
        <v>7165</v>
      </c>
      <c r="DQ327" s="2" t="s">
        <v>7333</v>
      </c>
      <c r="DR327" s="2" t="s">
        <v>2208</v>
      </c>
      <c r="DT327" s="2" t="s">
        <v>7165</v>
      </c>
      <c r="DU327" s="2" t="s">
        <v>7165</v>
      </c>
      <c r="DV327" s="2" t="s">
        <v>7165</v>
      </c>
      <c r="DW327" s="2" t="s">
        <v>7165</v>
      </c>
      <c r="DX327" s="2" t="s">
        <v>7165</v>
      </c>
      <c r="DY327" s="2" t="s">
        <v>7165</v>
      </c>
      <c r="DZ327" s="2" t="s">
        <v>7165</v>
      </c>
      <c r="EA327" s="2" t="s">
        <v>7165</v>
      </c>
      <c r="EB327" s="2" t="s">
        <v>7165</v>
      </c>
      <c r="EC327" s="2" t="s">
        <v>7173</v>
      </c>
      <c r="EF327" s="2" t="s">
        <v>7221</v>
      </c>
      <c r="EJ327" s="2" t="s">
        <v>7193</v>
      </c>
      <c r="EK327" s="2" t="s">
        <v>7143</v>
      </c>
      <c r="EL327" s="2" t="s">
        <v>7143</v>
      </c>
      <c r="EN327" s="2" t="s">
        <v>7210</v>
      </c>
      <c r="EP327" s="2" t="s">
        <v>7186</v>
      </c>
      <c r="ER327" s="2" t="s">
        <v>7143</v>
      </c>
      <c r="ET327" s="2" t="s">
        <v>7143</v>
      </c>
      <c r="EV327" s="2" t="s">
        <v>7143</v>
      </c>
      <c r="EX327" s="2" t="s">
        <v>7143</v>
      </c>
      <c r="EZ327" s="2" t="s">
        <v>7143</v>
      </c>
      <c r="FC327" s="2" t="s">
        <v>7218</v>
      </c>
      <c r="FD327" s="2" t="s">
        <v>7143</v>
      </c>
      <c r="FH327" s="2" t="s">
        <v>7173</v>
      </c>
      <c r="FJ327" s="2" t="s">
        <v>7143</v>
      </c>
      <c r="FK327" s="2" t="s">
        <v>7173</v>
      </c>
      <c r="FR327" s="2" t="s">
        <v>498</v>
      </c>
      <c r="FT327" s="2" t="s">
        <v>7345</v>
      </c>
      <c r="FU327" s="2" t="s">
        <v>7189</v>
      </c>
      <c r="FV327" s="2" t="s">
        <v>7189</v>
      </c>
      <c r="FW327" s="2" t="s">
        <v>7345</v>
      </c>
      <c r="FZ327" s="19" t="s">
        <v>8309</v>
      </c>
    </row>
    <row r="328" spans="1:182">
      <c r="A328" s="7" t="s">
        <v>2209</v>
      </c>
      <c r="D328" s="7" t="s">
        <v>8310</v>
      </c>
      <c r="E328" s="7" t="s">
        <v>177</v>
      </c>
      <c r="F328" s="7" t="s">
        <v>7245</v>
      </c>
      <c r="G328" s="7" t="s">
        <v>8167</v>
      </c>
      <c r="H328" s="7" t="s">
        <v>2205</v>
      </c>
      <c r="I328" s="7" t="s">
        <v>2210</v>
      </c>
      <c r="J328" s="16" t="s">
        <v>8311</v>
      </c>
      <c r="K328" s="7" t="s">
        <v>2210</v>
      </c>
      <c r="L328" s="7" t="s">
        <v>7137</v>
      </c>
      <c r="M328" s="7" t="s">
        <v>7138</v>
      </c>
      <c r="N328" s="7">
        <v>1965</v>
      </c>
      <c r="O328" s="7" t="s">
        <v>7180</v>
      </c>
      <c r="P328" s="7" t="s">
        <v>7140</v>
      </c>
      <c r="Q328" s="7" t="s">
        <v>7141</v>
      </c>
      <c r="R328" s="7" t="s">
        <v>7143</v>
      </c>
      <c r="S328" s="7">
        <v>2000</v>
      </c>
      <c r="T328" s="7" t="s">
        <v>7143</v>
      </c>
      <c r="U328" s="7" t="s">
        <v>7143</v>
      </c>
      <c r="Y328" s="2">
        <v>540</v>
      </c>
      <c r="Z328" s="17">
        <v>0.92589999999999995</v>
      </c>
      <c r="AA328" s="2">
        <v>500</v>
      </c>
      <c r="AB328" s="2">
        <v>500</v>
      </c>
      <c r="AC328" s="7">
        <v>300</v>
      </c>
      <c r="AD328" s="2">
        <v>350</v>
      </c>
      <c r="AE328" s="2">
        <v>50</v>
      </c>
      <c r="AF328" s="7" t="s">
        <v>7143</v>
      </c>
      <c r="AG328" s="7" t="s">
        <v>7142</v>
      </c>
      <c r="AH328" s="7" t="s">
        <v>7142</v>
      </c>
      <c r="AI328" s="7" t="s">
        <v>2211</v>
      </c>
      <c r="AJ328" s="2" t="s">
        <v>7143</v>
      </c>
      <c r="AK328" s="2" t="s">
        <v>7143</v>
      </c>
      <c r="AL328" s="2" t="s">
        <v>7142</v>
      </c>
      <c r="AN328" s="2" t="s">
        <v>7143</v>
      </c>
      <c r="AO328" s="2" t="s">
        <v>7143</v>
      </c>
      <c r="AR328" s="7">
        <v>1</v>
      </c>
      <c r="AS328" s="7">
        <v>1</v>
      </c>
      <c r="AT328" s="7">
        <v>3.5</v>
      </c>
      <c r="AU328" s="7" t="s">
        <v>7144</v>
      </c>
      <c r="AV328" s="7" t="s">
        <v>7144</v>
      </c>
      <c r="AW328" s="7" t="s">
        <v>7143</v>
      </c>
      <c r="AZ328" s="7" t="s">
        <v>7145</v>
      </c>
      <c r="BB328" s="7" t="s">
        <v>7214</v>
      </c>
      <c r="BC328" s="7" t="s">
        <v>7147</v>
      </c>
      <c r="BD328" s="7" t="s">
        <v>7142</v>
      </c>
      <c r="BE328" s="7" t="s">
        <v>7142</v>
      </c>
      <c r="BF328" s="7" t="s">
        <v>7148</v>
      </c>
      <c r="BG328" s="7" t="s">
        <v>7149</v>
      </c>
      <c r="BH328" s="7" t="s">
        <v>7248</v>
      </c>
      <c r="BI328" s="2" t="s">
        <v>7151</v>
      </c>
      <c r="BL328" s="7" t="s">
        <v>7152</v>
      </c>
      <c r="BM328" s="7" t="s">
        <v>7153</v>
      </c>
      <c r="BN328" s="7" t="s">
        <v>7154</v>
      </c>
      <c r="BO328" s="7" t="s">
        <v>7155</v>
      </c>
      <c r="BQ328" s="2" t="s">
        <v>7256</v>
      </c>
      <c r="BS328" s="7" t="s">
        <v>7142</v>
      </c>
      <c r="BT328" s="7" t="s">
        <v>7215</v>
      </c>
      <c r="BV328" s="2" t="s">
        <v>7264</v>
      </c>
      <c r="BX328" s="2" t="s">
        <v>7142</v>
      </c>
      <c r="BY328" s="2" t="s">
        <v>310</v>
      </c>
      <c r="BZ328" s="2" t="s">
        <v>7173</v>
      </c>
      <c r="CE328" s="7">
        <v>3.5</v>
      </c>
      <c r="CF328" s="2">
        <v>345</v>
      </c>
      <c r="CK328" s="2">
        <v>100</v>
      </c>
      <c r="CO328" s="2">
        <v>100</v>
      </c>
      <c r="CR328" s="7" t="s">
        <v>7160</v>
      </c>
      <c r="CT328" s="2" t="s">
        <v>7143</v>
      </c>
      <c r="CU328" s="7" t="s">
        <v>7161</v>
      </c>
      <c r="CW328" s="7" t="s">
        <v>7162</v>
      </c>
      <c r="CY328" s="7" t="s">
        <v>7227</v>
      </c>
      <c r="CZ328" s="7" t="s">
        <v>7227</v>
      </c>
      <c r="DA328" s="7" t="s">
        <v>7163</v>
      </c>
      <c r="DB328" s="2" t="s">
        <v>7251</v>
      </c>
      <c r="DC328" s="7" t="s">
        <v>7249</v>
      </c>
      <c r="DD328" s="2" t="s">
        <v>7251</v>
      </c>
      <c r="DE328" s="2" t="s">
        <v>7249</v>
      </c>
      <c r="DF328" s="2" t="s">
        <v>7163</v>
      </c>
      <c r="DG328" s="2" t="s">
        <v>7164</v>
      </c>
      <c r="DH328" s="2" t="s">
        <v>7164</v>
      </c>
      <c r="DI328" s="2" t="s">
        <v>7164</v>
      </c>
      <c r="DL328" s="7" t="s">
        <v>7142</v>
      </c>
      <c r="DM328" s="7" t="s">
        <v>7142</v>
      </c>
      <c r="DN328" s="7" t="s">
        <v>7142</v>
      </c>
      <c r="DO328" s="7" t="s">
        <v>7142</v>
      </c>
      <c r="DP328" s="2" t="s">
        <v>7165</v>
      </c>
      <c r="DQ328" s="2" t="s">
        <v>7166</v>
      </c>
      <c r="DT328" s="2" t="s">
        <v>7165</v>
      </c>
      <c r="DU328" s="2" t="s">
        <v>7165</v>
      </c>
      <c r="DV328" s="2" t="s">
        <v>7165</v>
      </c>
      <c r="DW328" s="2" t="s">
        <v>7165</v>
      </c>
      <c r="DX328" s="2" t="s">
        <v>7165</v>
      </c>
      <c r="DY328" s="2" t="s">
        <v>7159</v>
      </c>
      <c r="DZ328" s="2" t="s">
        <v>7159</v>
      </c>
      <c r="EA328" s="2" t="s">
        <v>7165</v>
      </c>
      <c r="EB328" s="2" t="s">
        <v>7165</v>
      </c>
      <c r="EC328" s="2" t="s">
        <v>7159</v>
      </c>
      <c r="EF328" s="2" t="s">
        <v>7167</v>
      </c>
      <c r="EJ328" s="7" t="s">
        <v>7144</v>
      </c>
      <c r="EK328" s="7" t="s">
        <v>7143</v>
      </c>
      <c r="EL328" s="7" t="s">
        <v>7143</v>
      </c>
      <c r="EN328" s="7" t="s">
        <v>7170</v>
      </c>
      <c r="EP328" s="7" t="s">
        <v>7186</v>
      </c>
      <c r="ER328" s="7" t="s">
        <v>7142</v>
      </c>
      <c r="ET328" s="7" t="s">
        <v>7143</v>
      </c>
      <c r="EV328" s="2" t="s">
        <v>7142</v>
      </c>
      <c r="EW328" s="2" t="s">
        <v>7204</v>
      </c>
      <c r="EX328" s="2" t="s">
        <v>7143</v>
      </c>
      <c r="FC328" s="2" t="s">
        <v>7172</v>
      </c>
      <c r="FH328" s="7" t="s">
        <v>7173</v>
      </c>
      <c r="FJ328" s="2" t="s">
        <v>7142</v>
      </c>
      <c r="FK328" s="2" t="s">
        <v>7165</v>
      </c>
      <c r="FL328" s="2" t="s">
        <v>7260</v>
      </c>
      <c r="FN328" s="2" t="s">
        <v>7253</v>
      </c>
      <c r="FT328" s="2" t="s">
        <v>7176</v>
      </c>
      <c r="FU328" s="2" t="s">
        <v>7189</v>
      </c>
      <c r="FV328" s="2" t="s">
        <v>7189</v>
      </c>
      <c r="FW328" s="2" t="s">
        <v>7189</v>
      </c>
      <c r="FZ328" s="19" t="s">
        <v>8312</v>
      </c>
    </row>
    <row r="329" spans="1:182">
      <c r="A329" s="7" t="s">
        <v>2212</v>
      </c>
      <c r="D329" s="7" t="s">
        <v>8313</v>
      </c>
      <c r="E329" s="7" t="s">
        <v>2213</v>
      </c>
      <c r="F329" s="7" t="s">
        <v>7339</v>
      </c>
      <c r="G329" s="7" t="s">
        <v>8167</v>
      </c>
      <c r="H329" s="7" t="s">
        <v>2214</v>
      </c>
      <c r="I329" s="7" t="s">
        <v>2215</v>
      </c>
      <c r="J329" s="16" t="s">
        <v>8314</v>
      </c>
      <c r="K329" s="7" t="s">
        <v>2216</v>
      </c>
      <c r="L329" s="2" t="s">
        <v>7137</v>
      </c>
      <c r="M329" s="7" t="s">
        <v>7138</v>
      </c>
      <c r="N329" s="7">
        <v>1987</v>
      </c>
      <c r="O329" s="7" t="s">
        <v>7490</v>
      </c>
      <c r="P329" s="2" t="s">
        <v>7140</v>
      </c>
      <c r="Q329" s="2" t="s">
        <v>7225</v>
      </c>
      <c r="R329" s="2" t="s">
        <v>7143</v>
      </c>
      <c r="S329" s="2">
        <v>21</v>
      </c>
      <c r="T329" s="2" t="s">
        <v>7143</v>
      </c>
      <c r="U329" s="2" t="s">
        <v>7143</v>
      </c>
      <c r="Y329" s="2">
        <v>89</v>
      </c>
      <c r="Z329" s="17">
        <v>1</v>
      </c>
      <c r="AA329" s="2">
        <v>89</v>
      </c>
      <c r="AB329" s="2">
        <v>89</v>
      </c>
      <c r="AC329" s="7">
        <v>89</v>
      </c>
      <c r="AD329" s="2">
        <v>147</v>
      </c>
      <c r="AE329" s="2">
        <v>58</v>
      </c>
      <c r="AF329" s="2" t="s">
        <v>7143</v>
      </c>
      <c r="AG329" s="2" t="s">
        <v>7143</v>
      </c>
      <c r="AH329" s="2" t="s">
        <v>7143</v>
      </c>
      <c r="AJ329" s="2" t="s">
        <v>7143</v>
      </c>
      <c r="AK329" s="2" t="s">
        <v>7143</v>
      </c>
      <c r="AL329" s="2" t="s">
        <v>7143</v>
      </c>
      <c r="AM329" s="2" t="s">
        <v>7143</v>
      </c>
      <c r="AN329" s="2" t="s">
        <v>7143</v>
      </c>
      <c r="AO329" s="2" t="s">
        <v>7143</v>
      </c>
      <c r="AR329" s="7">
        <v>1.1000000000000001</v>
      </c>
      <c r="AS329" s="7">
        <v>2</v>
      </c>
      <c r="AT329" s="7">
        <v>1.5</v>
      </c>
      <c r="AZ329" s="2" t="s">
        <v>7299</v>
      </c>
      <c r="BB329" s="2" t="s">
        <v>7146</v>
      </c>
      <c r="BC329" s="2" t="s">
        <v>7247</v>
      </c>
      <c r="BD329" s="2" t="s">
        <v>7142</v>
      </c>
      <c r="BE329" s="2" t="s">
        <v>7142</v>
      </c>
      <c r="BF329" s="2" t="s">
        <v>7148</v>
      </c>
      <c r="BG329" s="2" t="s">
        <v>7149</v>
      </c>
      <c r="BH329" s="2" t="s">
        <v>7150</v>
      </c>
      <c r="BI329" s="2" t="s">
        <v>7151</v>
      </c>
      <c r="BL329" s="2" t="s">
        <v>7195</v>
      </c>
      <c r="BO329" s="2" t="s">
        <v>7155</v>
      </c>
      <c r="BQ329" s="2" t="s">
        <v>7183</v>
      </c>
      <c r="BS329" s="2" t="s">
        <v>7142</v>
      </c>
      <c r="BT329" s="2" t="s">
        <v>7341</v>
      </c>
      <c r="BV329" s="2" t="s">
        <v>8297</v>
      </c>
      <c r="BX329" s="2" t="s">
        <v>7142</v>
      </c>
      <c r="BY329" s="2" t="s">
        <v>2217</v>
      </c>
      <c r="BZ329" s="2" t="s">
        <v>7165</v>
      </c>
      <c r="CA329" s="2" t="s">
        <v>2218</v>
      </c>
      <c r="CE329" s="7">
        <v>1.5</v>
      </c>
      <c r="CF329" s="2">
        <v>147</v>
      </c>
      <c r="CM329" s="2">
        <v>100</v>
      </c>
      <c r="CO329" s="2">
        <v>100</v>
      </c>
      <c r="CR329" s="2" t="s">
        <v>7357</v>
      </c>
      <c r="CT329" s="2" t="s">
        <v>7143</v>
      </c>
      <c r="CU329" s="2" t="s">
        <v>7161</v>
      </c>
      <c r="CW329" s="2" t="s">
        <v>7162</v>
      </c>
      <c r="CY329" s="2" t="s">
        <v>7227</v>
      </c>
      <c r="CZ329" s="2" t="s">
        <v>7227</v>
      </c>
      <c r="DA329" s="2" t="s">
        <v>7249</v>
      </c>
      <c r="DB329" s="2" t="s">
        <v>7227</v>
      </c>
      <c r="DC329" s="2" t="s">
        <v>7249</v>
      </c>
      <c r="DD329" s="2" t="s">
        <v>7249</v>
      </c>
      <c r="DE329" s="2" t="s">
        <v>7249</v>
      </c>
      <c r="DF329" s="2" t="s">
        <v>7227</v>
      </c>
      <c r="DG329" s="2" t="s">
        <v>7227</v>
      </c>
      <c r="DH329" s="2" t="s">
        <v>7227</v>
      </c>
      <c r="DI329" s="2" t="s">
        <v>7227</v>
      </c>
      <c r="DL329" s="2" t="s">
        <v>7142</v>
      </c>
      <c r="DM329" s="2" t="s">
        <v>7142</v>
      </c>
      <c r="DN329" s="2" t="s">
        <v>7142</v>
      </c>
      <c r="DO329" s="2" t="s">
        <v>7142</v>
      </c>
      <c r="DP329" s="2" t="s">
        <v>7165</v>
      </c>
      <c r="DQ329" s="2" t="s">
        <v>7333</v>
      </c>
      <c r="DR329" s="2" t="s">
        <v>2219</v>
      </c>
      <c r="DT329" s="2" t="s">
        <v>7165</v>
      </c>
      <c r="DU329" s="2" t="s">
        <v>7165</v>
      </c>
      <c r="DV329" s="2" t="s">
        <v>7165</v>
      </c>
      <c r="DW329" s="2" t="s">
        <v>7165</v>
      </c>
      <c r="DX329" s="2" t="s">
        <v>7165</v>
      </c>
      <c r="DY329" s="2" t="s">
        <v>7165</v>
      </c>
      <c r="DZ329" s="2" t="s">
        <v>7159</v>
      </c>
      <c r="EA329" s="2" t="s">
        <v>7159</v>
      </c>
      <c r="EB329" s="2" t="s">
        <v>7165</v>
      </c>
      <c r="EF329" s="2" t="s">
        <v>7167</v>
      </c>
      <c r="EG329" s="2" t="s">
        <v>885</v>
      </c>
      <c r="EJ329" s="2" t="s">
        <v>7193</v>
      </c>
      <c r="EK329" s="2" t="s">
        <v>7142</v>
      </c>
      <c r="EL329" s="2" t="s">
        <v>7143</v>
      </c>
      <c r="EN329" s="2" t="s">
        <v>7170</v>
      </c>
      <c r="EP329" s="2" t="s">
        <v>7186</v>
      </c>
      <c r="ER329" s="2" t="s">
        <v>7142</v>
      </c>
      <c r="ET329" s="2" t="s">
        <v>7143</v>
      </c>
      <c r="EV329" s="2" t="s">
        <v>7142</v>
      </c>
      <c r="EW329" s="2" t="s">
        <v>7171</v>
      </c>
      <c r="EX329" s="2" t="s">
        <v>7143</v>
      </c>
      <c r="EZ329" s="2" t="s">
        <v>7143</v>
      </c>
      <c r="FC329" s="2" t="s">
        <v>7218</v>
      </c>
      <c r="FD329" s="2" t="s">
        <v>7143</v>
      </c>
      <c r="FH329" s="2" t="s">
        <v>7173</v>
      </c>
      <c r="FJ329" s="2" t="s">
        <v>7143</v>
      </c>
      <c r="FK329" s="2" t="s">
        <v>7173</v>
      </c>
      <c r="FL329" s="2" t="s">
        <v>8315</v>
      </c>
      <c r="FN329" s="2" t="s">
        <v>7344</v>
      </c>
      <c r="FR329" s="2" t="s">
        <v>2221</v>
      </c>
      <c r="FT329" s="2" t="s">
        <v>7189</v>
      </c>
      <c r="FU329" s="2" t="s">
        <v>7189</v>
      </c>
      <c r="FV329" s="2" t="s">
        <v>7189</v>
      </c>
      <c r="FW329" s="2" t="s">
        <v>7189</v>
      </c>
      <c r="FZ329" s="19" t="s">
        <v>8316</v>
      </c>
    </row>
    <row r="330" spans="1:182">
      <c r="A330" s="7" t="s">
        <v>2222</v>
      </c>
      <c r="D330" s="7" t="s">
        <v>8317</v>
      </c>
      <c r="E330" s="7" t="s">
        <v>2223</v>
      </c>
      <c r="F330" s="7" t="s">
        <v>7389</v>
      </c>
      <c r="G330" s="7" t="s">
        <v>8167</v>
      </c>
      <c r="H330" s="7" t="s">
        <v>1966</v>
      </c>
      <c r="I330" s="7" t="s">
        <v>2224</v>
      </c>
      <c r="J330" s="16" t="s">
        <v>8318</v>
      </c>
      <c r="K330" s="7" t="s">
        <v>2225</v>
      </c>
      <c r="L330" s="2" t="s">
        <v>7137</v>
      </c>
      <c r="M330" s="7" t="s">
        <v>7179</v>
      </c>
      <c r="N330" s="7">
        <v>1976</v>
      </c>
      <c r="O330" s="7" t="s">
        <v>7180</v>
      </c>
      <c r="P330" s="7" t="s">
        <v>7181</v>
      </c>
      <c r="Q330" s="2" t="s">
        <v>7225</v>
      </c>
      <c r="R330" s="2" t="s">
        <v>7143</v>
      </c>
      <c r="S330" s="2">
        <v>27</v>
      </c>
      <c r="T330" s="2" t="s">
        <v>7143</v>
      </c>
      <c r="U330" s="2" t="s">
        <v>7143</v>
      </c>
      <c r="Y330" s="2">
        <v>200</v>
      </c>
      <c r="Z330" s="17">
        <v>0.75</v>
      </c>
      <c r="AA330" s="2">
        <v>150</v>
      </c>
      <c r="AB330" s="2">
        <v>150</v>
      </c>
      <c r="AC330" s="7">
        <v>150</v>
      </c>
      <c r="AD330" s="2">
        <v>250</v>
      </c>
      <c r="AE330" s="2">
        <v>100</v>
      </c>
      <c r="AF330" s="2" t="s">
        <v>7143</v>
      </c>
      <c r="AG330" s="2" t="s">
        <v>7143</v>
      </c>
      <c r="AH330" s="2" t="s">
        <v>7143</v>
      </c>
      <c r="AJ330" s="2" t="s">
        <v>7143</v>
      </c>
      <c r="AK330" s="2" t="s">
        <v>7143</v>
      </c>
      <c r="AL330" s="2" t="s">
        <v>7143</v>
      </c>
      <c r="AM330" s="2" t="s">
        <v>7142</v>
      </c>
      <c r="AN330" s="2" t="s">
        <v>7143</v>
      </c>
      <c r="AO330" s="2" t="s">
        <v>7143</v>
      </c>
      <c r="AR330" s="7">
        <v>1.3</v>
      </c>
      <c r="AS330" s="7">
        <v>2</v>
      </c>
      <c r="AT330" s="7">
        <v>2.5</v>
      </c>
      <c r="AU330" s="2" t="s">
        <v>7193</v>
      </c>
      <c r="AV330" s="2" t="s">
        <v>7144</v>
      </c>
      <c r="AW330" s="2" t="s">
        <v>7143</v>
      </c>
      <c r="AZ330" s="2" t="s">
        <v>7145</v>
      </c>
      <c r="BB330" s="2" t="s">
        <v>7214</v>
      </c>
      <c r="BC330" s="2" t="s">
        <v>7147</v>
      </c>
      <c r="BD330" s="2" t="s">
        <v>7143</v>
      </c>
      <c r="BE330" s="2" t="s">
        <v>7142</v>
      </c>
      <c r="BF330" s="2" t="s">
        <v>7148</v>
      </c>
      <c r="BG330" s="2" t="s">
        <v>7149</v>
      </c>
      <c r="BH330" s="2" t="s">
        <v>7150</v>
      </c>
      <c r="BI330" s="2" t="s">
        <v>7151</v>
      </c>
      <c r="BL330" s="2" t="s">
        <v>7195</v>
      </c>
      <c r="BO330" s="2" t="s">
        <v>7155</v>
      </c>
      <c r="BQ330" s="2" t="s">
        <v>7183</v>
      </c>
      <c r="BS330" s="2" t="s">
        <v>7142</v>
      </c>
      <c r="BT330" s="2" t="s">
        <v>7416</v>
      </c>
      <c r="BV330" s="2" t="s">
        <v>7197</v>
      </c>
      <c r="BX330" s="2" t="s">
        <v>7143</v>
      </c>
      <c r="BZ330" s="2" t="s">
        <v>7159</v>
      </c>
      <c r="CE330" s="7">
        <v>2.5</v>
      </c>
      <c r="CF330" s="2">
        <v>250</v>
      </c>
      <c r="CM330" s="2">
        <v>100</v>
      </c>
      <c r="CO330" s="2">
        <v>100</v>
      </c>
      <c r="CR330" s="2" t="s">
        <v>7160</v>
      </c>
      <c r="CT330" s="2" t="s">
        <v>7143</v>
      </c>
      <c r="CU330" s="2" t="s">
        <v>7161</v>
      </c>
      <c r="CW330" s="2" t="s">
        <v>7162</v>
      </c>
      <c r="CY330" s="2" t="s">
        <v>7227</v>
      </c>
      <c r="CZ330" s="2" t="s">
        <v>7250</v>
      </c>
      <c r="DA330" s="2" t="s">
        <v>7250</v>
      </c>
      <c r="DB330" s="2" t="s">
        <v>7250</v>
      </c>
      <c r="DC330" s="2" t="s">
        <v>7321</v>
      </c>
      <c r="DD330" s="2" t="s">
        <v>7250</v>
      </c>
      <c r="DE330" s="2" t="s">
        <v>7250</v>
      </c>
      <c r="DF330" s="2" t="s">
        <v>7227</v>
      </c>
      <c r="DG330" s="2" t="s">
        <v>7227</v>
      </c>
      <c r="DH330" s="2" t="s">
        <v>7227</v>
      </c>
      <c r="DI330" s="2" t="s">
        <v>7227</v>
      </c>
      <c r="DL330" s="2" t="s">
        <v>7142</v>
      </c>
      <c r="DM330" s="2" t="s">
        <v>7142</v>
      </c>
      <c r="DN330" s="2" t="s">
        <v>7142</v>
      </c>
      <c r="DO330" s="2" t="s">
        <v>7142</v>
      </c>
      <c r="DP330" s="2" t="s">
        <v>7165</v>
      </c>
      <c r="DQ330" s="2" t="s">
        <v>7333</v>
      </c>
      <c r="DR330" s="2" t="s">
        <v>579</v>
      </c>
      <c r="DT330" s="2" t="s">
        <v>7165</v>
      </c>
      <c r="DU330" s="2" t="s">
        <v>7165</v>
      </c>
      <c r="DV330" s="2" t="s">
        <v>7165</v>
      </c>
      <c r="DW330" s="2" t="s">
        <v>7165</v>
      </c>
      <c r="DX330" s="2" t="s">
        <v>7165</v>
      </c>
      <c r="DY330" s="2" t="s">
        <v>7165</v>
      </c>
      <c r="DZ330" s="2" t="s">
        <v>7165</v>
      </c>
      <c r="EA330" s="2" t="s">
        <v>7165</v>
      </c>
      <c r="EB330" s="2" t="s">
        <v>7165</v>
      </c>
      <c r="EC330" s="2" t="s">
        <v>7173</v>
      </c>
      <c r="EF330" s="2" t="s">
        <v>7167</v>
      </c>
      <c r="EG330" s="2" t="s">
        <v>985</v>
      </c>
      <c r="EJ330" s="2" t="s">
        <v>7217</v>
      </c>
      <c r="EK330" s="2" t="s">
        <v>7143</v>
      </c>
      <c r="EL330" s="2" t="s">
        <v>7143</v>
      </c>
      <c r="EN330" s="2" t="s">
        <v>7210</v>
      </c>
      <c r="EP330" s="2" t="s">
        <v>7186</v>
      </c>
      <c r="ER330" s="2" t="s">
        <v>7143</v>
      </c>
      <c r="ET330" s="2" t="s">
        <v>7143</v>
      </c>
      <c r="EV330" s="2" t="s">
        <v>7143</v>
      </c>
      <c r="EX330" s="2" t="s">
        <v>7143</v>
      </c>
      <c r="EZ330" s="2" t="s">
        <v>7143</v>
      </c>
      <c r="FC330" s="2" t="s">
        <v>7218</v>
      </c>
      <c r="FD330" s="2" t="s">
        <v>7143</v>
      </c>
      <c r="FH330" s="2" t="s">
        <v>7173</v>
      </c>
      <c r="FJ330" s="2" t="s">
        <v>7143</v>
      </c>
      <c r="FK330" s="2" t="s">
        <v>7173</v>
      </c>
      <c r="FN330" s="2" t="s">
        <v>8206</v>
      </c>
      <c r="FR330" s="2" t="s">
        <v>2194</v>
      </c>
      <c r="FT330" s="2" t="s">
        <v>7189</v>
      </c>
      <c r="FU330" s="2" t="s">
        <v>7189</v>
      </c>
      <c r="FV330" s="2" t="s">
        <v>7189</v>
      </c>
      <c r="FW330" s="2" t="s">
        <v>7189</v>
      </c>
      <c r="FZ330" s="19" t="s">
        <v>8319</v>
      </c>
    </row>
    <row r="331" spans="1:182">
      <c r="A331" s="7" t="s">
        <v>2226</v>
      </c>
      <c r="D331" s="7" t="s">
        <v>8320</v>
      </c>
      <c r="E331" s="7" t="s">
        <v>177</v>
      </c>
      <c r="F331" s="7" t="s">
        <v>7134</v>
      </c>
      <c r="G331" s="7" t="s">
        <v>8167</v>
      </c>
      <c r="H331" s="7" t="s">
        <v>2012</v>
      </c>
      <c r="I331" s="7" t="s">
        <v>2227</v>
      </c>
      <c r="J331" s="16" t="s">
        <v>8321</v>
      </c>
      <c r="K331" s="7" t="s">
        <v>2227</v>
      </c>
      <c r="L331" s="2" t="s">
        <v>7137</v>
      </c>
      <c r="M331" s="7" t="s">
        <v>7138</v>
      </c>
      <c r="N331" s="7">
        <v>1988</v>
      </c>
      <c r="O331" s="7" t="s">
        <v>7490</v>
      </c>
      <c r="P331" s="2" t="s">
        <v>7140</v>
      </c>
      <c r="Q331" s="2" t="s">
        <v>7225</v>
      </c>
      <c r="R331" s="2" t="s">
        <v>7143</v>
      </c>
      <c r="S331" s="2">
        <v>14</v>
      </c>
      <c r="T331" s="2" t="s">
        <v>7143</v>
      </c>
      <c r="U331" s="2" t="s">
        <v>7143</v>
      </c>
      <c r="Y331" s="2">
        <v>197</v>
      </c>
      <c r="Z331" s="17">
        <v>1.0406</v>
      </c>
      <c r="AA331" s="2">
        <v>205</v>
      </c>
      <c r="AB331" s="2">
        <v>205</v>
      </c>
      <c r="AC331" s="7">
        <v>205</v>
      </c>
      <c r="AD331" s="2">
        <v>258</v>
      </c>
      <c r="AE331" s="2">
        <v>53</v>
      </c>
      <c r="AF331" s="2" t="s">
        <v>7143</v>
      </c>
      <c r="AG331" s="2" t="s">
        <v>7143</v>
      </c>
      <c r="AH331" s="2" t="s">
        <v>7143</v>
      </c>
      <c r="AJ331" s="2" t="s">
        <v>7143</v>
      </c>
      <c r="AK331" s="2" t="s">
        <v>7143</v>
      </c>
      <c r="AL331" s="2" t="s">
        <v>7143</v>
      </c>
      <c r="AM331" s="2" t="s">
        <v>7143</v>
      </c>
      <c r="AN331" s="2" t="s">
        <v>7143</v>
      </c>
      <c r="AO331" s="2" t="s">
        <v>7143</v>
      </c>
      <c r="AR331" s="7">
        <v>1.38</v>
      </c>
      <c r="AS331" s="7">
        <v>5</v>
      </c>
      <c r="AT331" s="7">
        <v>2.6</v>
      </c>
      <c r="AU331" s="2" t="s">
        <v>7193</v>
      </c>
      <c r="AV331" s="2" t="s">
        <v>7193</v>
      </c>
      <c r="AW331" s="2" t="s">
        <v>7143</v>
      </c>
      <c r="AZ331" s="2" t="s">
        <v>7145</v>
      </c>
      <c r="BB331" s="2" t="s">
        <v>7214</v>
      </c>
      <c r="BC331" s="2" t="s">
        <v>7147</v>
      </c>
      <c r="BD331" s="2" t="s">
        <v>7143</v>
      </c>
      <c r="BE331" s="2" t="s">
        <v>7142</v>
      </c>
      <c r="BF331" s="2" t="s">
        <v>7148</v>
      </c>
      <c r="BG331" s="2" t="s">
        <v>7149</v>
      </c>
      <c r="BH331" s="2" t="s">
        <v>7248</v>
      </c>
      <c r="BI331" s="2" t="s">
        <v>7151</v>
      </c>
      <c r="BL331" s="2" t="s">
        <v>7195</v>
      </c>
      <c r="BM331" s="2" t="s">
        <v>7153</v>
      </c>
      <c r="BN331" s="2" t="s">
        <v>7154</v>
      </c>
      <c r="BO331" s="2" t="s">
        <v>7155</v>
      </c>
      <c r="BQ331" s="2" t="s">
        <v>7156</v>
      </c>
      <c r="BS331" s="2" t="s">
        <v>7142</v>
      </c>
      <c r="BT331" s="2" t="s">
        <v>7215</v>
      </c>
      <c r="BV331" s="2" t="s">
        <v>7202</v>
      </c>
      <c r="BX331" s="2" t="s">
        <v>7143</v>
      </c>
      <c r="BY331" s="2" t="s">
        <v>188</v>
      </c>
      <c r="BZ331" s="2" t="s">
        <v>7159</v>
      </c>
      <c r="CE331" s="7">
        <v>2.6</v>
      </c>
      <c r="CF331" s="2">
        <v>258</v>
      </c>
      <c r="CH331" s="2">
        <v>0</v>
      </c>
      <c r="CI331" s="2">
        <v>0</v>
      </c>
      <c r="CJ331" s="2">
        <v>0</v>
      </c>
      <c r="CK331" s="2">
        <v>100</v>
      </c>
      <c r="CL331" s="2">
        <v>0</v>
      </c>
      <c r="CM331" s="2">
        <v>0</v>
      </c>
      <c r="CO331" s="2">
        <v>100</v>
      </c>
      <c r="CP331" s="2">
        <v>0</v>
      </c>
      <c r="CQ331" s="2">
        <v>0</v>
      </c>
      <c r="CR331" s="2" t="s">
        <v>7160</v>
      </c>
      <c r="CT331" s="2" t="s">
        <v>7143</v>
      </c>
      <c r="CU331" s="2" t="s">
        <v>7161</v>
      </c>
      <c r="CW331" s="2" t="s">
        <v>7162</v>
      </c>
      <c r="CY331" s="2" t="s">
        <v>7164</v>
      </c>
      <c r="CZ331" s="2" t="s">
        <v>7164</v>
      </c>
      <c r="DA331" s="2" t="s">
        <v>7164</v>
      </c>
      <c r="DB331" s="2" t="s">
        <v>7164</v>
      </c>
      <c r="DC331" s="2" t="s">
        <v>7164</v>
      </c>
      <c r="DD331" s="2" t="s">
        <v>7164</v>
      </c>
      <c r="DE331" s="2" t="s">
        <v>7164</v>
      </c>
      <c r="DF331" s="2" t="s">
        <v>7164</v>
      </c>
      <c r="DG331" s="2" t="s">
        <v>7164</v>
      </c>
      <c r="DH331" s="2" t="s">
        <v>7164</v>
      </c>
      <c r="DI331" s="2" t="s">
        <v>7164</v>
      </c>
      <c r="DL331" s="2" t="s">
        <v>7143</v>
      </c>
      <c r="DM331" s="2" t="s">
        <v>7143</v>
      </c>
      <c r="DP331" s="2" t="s">
        <v>7173</v>
      </c>
      <c r="DT331" s="2" t="s">
        <v>7159</v>
      </c>
      <c r="DU331" s="2" t="s">
        <v>7165</v>
      </c>
      <c r="DV331" s="2" t="s">
        <v>7165</v>
      </c>
      <c r="DW331" s="2" t="s">
        <v>7165</v>
      </c>
      <c r="DX331" s="2" t="s">
        <v>7165</v>
      </c>
      <c r="DY331" s="2" t="s">
        <v>7165</v>
      </c>
      <c r="DZ331" s="2" t="s">
        <v>7165</v>
      </c>
      <c r="EA331" s="2" t="s">
        <v>7165</v>
      </c>
      <c r="EB331" s="2" t="s">
        <v>7165</v>
      </c>
      <c r="EC331" s="2" t="s">
        <v>7159</v>
      </c>
      <c r="ED331" s="2" t="s">
        <v>7159</v>
      </c>
      <c r="EE331" s="2" t="s">
        <v>188</v>
      </c>
      <c r="EF331" s="2" t="s">
        <v>7349</v>
      </c>
      <c r="EG331" s="2" t="s">
        <v>188</v>
      </c>
      <c r="EJ331" s="2" t="s">
        <v>7193</v>
      </c>
      <c r="EK331" s="2" t="s">
        <v>7143</v>
      </c>
      <c r="EL331" s="2" t="s">
        <v>7143</v>
      </c>
      <c r="EN331" s="2" t="s">
        <v>7392</v>
      </c>
      <c r="EP331" s="2" t="s">
        <v>7241</v>
      </c>
      <c r="ER331" s="2" t="s">
        <v>7143</v>
      </c>
      <c r="ET331" s="2" t="s">
        <v>7143</v>
      </c>
      <c r="EV331" s="2" t="s">
        <v>7143</v>
      </c>
      <c r="EX331" s="2" t="s">
        <v>7143</v>
      </c>
      <c r="EZ331" s="2" t="s">
        <v>7143</v>
      </c>
      <c r="FC331" s="2" t="s">
        <v>7218</v>
      </c>
      <c r="FD331" s="2" t="s">
        <v>7143</v>
      </c>
      <c r="FH331" s="2" t="s">
        <v>7173</v>
      </c>
      <c r="FJ331" s="2" t="s">
        <v>7142</v>
      </c>
      <c r="FK331" s="2" t="s">
        <v>7173</v>
      </c>
      <c r="FN331" s="2" t="s">
        <v>7175</v>
      </c>
      <c r="FR331" s="2" t="s">
        <v>188</v>
      </c>
      <c r="FT331" s="2" t="s">
        <v>7189</v>
      </c>
      <c r="FU331" s="2" t="s">
        <v>7189</v>
      </c>
      <c r="FV331" s="2" t="s">
        <v>7189</v>
      </c>
      <c r="FW331" s="2" t="s">
        <v>7189</v>
      </c>
      <c r="FX331" s="2" t="s">
        <v>7345</v>
      </c>
      <c r="FZ331" s="19" t="s">
        <v>8322</v>
      </c>
    </row>
    <row r="332" spans="1:182">
      <c r="A332" s="7" t="s">
        <v>2228</v>
      </c>
      <c r="D332" s="7" t="s">
        <v>8323</v>
      </c>
      <c r="E332" s="7" t="s">
        <v>177</v>
      </c>
      <c r="F332" s="7" t="s">
        <v>7245</v>
      </c>
      <c r="G332" s="7" t="s">
        <v>8167</v>
      </c>
      <c r="H332" s="7" t="s">
        <v>2205</v>
      </c>
      <c r="I332" s="7" t="s">
        <v>2229</v>
      </c>
      <c r="J332" s="16" t="s">
        <v>8324</v>
      </c>
      <c r="K332" s="7" t="s">
        <v>2230</v>
      </c>
      <c r="L332" s="7" t="s">
        <v>7281</v>
      </c>
      <c r="M332" s="7" t="s">
        <v>7138</v>
      </c>
      <c r="N332" s="7">
        <v>1960</v>
      </c>
      <c r="O332" s="7" t="s">
        <v>7180</v>
      </c>
      <c r="P332" s="7" t="s">
        <v>7140</v>
      </c>
      <c r="Q332" s="7" t="s">
        <v>7141</v>
      </c>
      <c r="R332" s="7" t="s">
        <v>7143</v>
      </c>
      <c r="S332" s="7">
        <v>1995</v>
      </c>
      <c r="T332" s="7" t="s">
        <v>7143</v>
      </c>
      <c r="U332" s="7" t="s">
        <v>7143</v>
      </c>
      <c r="Y332" s="2">
        <v>2200</v>
      </c>
      <c r="Z332" s="17">
        <v>1</v>
      </c>
      <c r="AA332" s="2">
        <v>2200</v>
      </c>
      <c r="AB332" s="2">
        <v>2000</v>
      </c>
      <c r="AC332" s="7">
        <v>1080</v>
      </c>
      <c r="AD332" s="2">
        <v>1200</v>
      </c>
      <c r="AE332" s="2">
        <v>120</v>
      </c>
      <c r="AF332" s="7" t="s">
        <v>7143</v>
      </c>
      <c r="AG332" s="7" t="s">
        <v>7142</v>
      </c>
      <c r="AH332" s="7" t="s">
        <v>7142</v>
      </c>
      <c r="AI332" s="2" t="s">
        <v>2231</v>
      </c>
      <c r="AJ332" s="7" t="s">
        <v>7142</v>
      </c>
      <c r="AK332" s="7" t="s">
        <v>7143</v>
      </c>
      <c r="AL332" s="2" t="s">
        <v>7143</v>
      </c>
      <c r="AM332" s="2" t="s">
        <v>7143</v>
      </c>
      <c r="AN332" s="2" t="s">
        <v>7143</v>
      </c>
      <c r="AO332" s="2" t="s">
        <v>7143</v>
      </c>
      <c r="AR332" s="7">
        <v>4</v>
      </c>
      <c r="AS332" s="7">
        <v>1</v>
      </c>
      <c r="AT332" s="7">
        <v>12</v>
      </c>
      <c r="AU332" s="7" t="s">
        <v>7144</v>
      </c>
      <c r="AV332" s="7" t="s">
        <v>7144</v>
      </c>
      <c r="AW332" s="2" t="s">
        <v>7143</v>
      </c>
      <c r="AZ332" s="2" t="s">
        <v>7145</v>
      </c>
      <c r="BB332" s="2" t="s">
        <v>7214</v>
      </c>
      <c r="BC332" s="2" t="s">
        <v>7208</v>
      </c>
      <c r="BD332" s="2" t="s">
        <v>7142</v>
      </c>
      <c r="BE332" s="2" t="s">
        <v>7142</v>
      </c>
      <c r="BF332" s="2" t="s">
        <v>7897</v>
      </c>
      <c r="BG332" s="2" t="s">
        <v>7149</v>
      </c>
      <c r="BH332" s="2" t="s">
        <v>7248</v>
      </c>
      <c r="BI332" s="2" t="s">
        <v>7151</v>
      </c>
      <c r="BL332" s="7" t="s">
        <v>7152</v>
      </c>
      <c r="BM332" s="7" t="s">
        <v>7153</v>
      </c>
      <c r="BN332" s="7" t="s">
        <v>7154</v>
      </c>
      <c r="BO332" s="7" t="s">
        <v>7155</v>
      </c>
      <c r="BQ332" s="2" t="s">
        <v>7256</v>
      </c>
      <c r="BS332" s="7" t="s">
        <v>7142</v>
      </c>
      <c r="BT332" s="7" t="s">
        <v>7215</v>
      </c>
      <c r="BV332" s="2" t="s">
        <v>7772</v>
      </c>
      <c r="BX332" s="2" t="s">
        <v>7142</v>
      </c>
      <c r="BY332" s="2" t="s">
        <v>310</v>
      </c>
      <c r="BZ332" s="2" t="s">
        <v>7173</v>
      </c>
      <c r="CE332" s="7">
        <v>12</v>
      </c>
      <c r="CF332" s="2">
        <v>1200</v>
      </c>
      <c r="CK332" s="2">
        <v>100</v>
      </c>
      <c r="CO332" s="2">
        <v>100</v>
      </c>
      <c r="CR332" s="7" t="s">
        <v>7160</v>
      </c>
      <c r="CT332" s="2" t="s">
        <v>7143</v>
      </c>
      <c r="CU332" s="7" t="s">
        <v>7161</v>
      </c>
      <c r="CW332" s="7" t="s">
        <v>7162</v>
      </c>
      <c r="CY332" s="7" t="s">
        <v>7227</v>
      </c>
      <c r="CZ332" s="7" t="s">
        <v>7227</v>
      </c>
      <c r="DA332" s="7" t="s">
        <v>7227</v>
      </c>
      <c r="DB332" s="7" t="s">
        <v>7227</v>
      </c>
      <c r="DC332" s="2" t="s">
        <v>7251</v>
      </c>
      <c r="DD332" s="2" t="s">
        <v>7251</v>
      </c>
      <c r="DE332" s="2" t="s">
        <v>7251</v>
      </c>
      <c r="DF332" s="2" t="s">
        <v>7163</v>
      </c>
      <c r="DG332" s="2" t="s">
        <v>7164</v>
      </c>
      <c r="DH332" s="2" t="s">
        <v>7164</v>
      </c>
      <c r="DI332" s="2" t="s">
        <v>7164</v>
      </c>
      <c r="DL332" s="7" t="s">
        <v>7142</v>
      </c>
      <c r="DM332" s="7" t="s">
        <v>7142</v>
      </c>
      <c r="DN332" s="7" t="s">
        <v>7142</v>
      </c>
      <c r="DO332" s="7" t="s">
        <v>7142</v>
      </c>
      <c r="DP332" s="7" t="s">
        <v>7165</v>
      </c>
      <c r="DQ332" s="7" t="s">
        <v>7166</v>
      </c>
      <c r="DS332" s="7" t="s">
        <v>7165</v>
      </c>
      <c r="DT332" s="7" t="s">
        <v>7165</v>
      </c>
      <c r="DU332" s="7" t="s">
        <v>7165</v>
      </c>
      <c r="DV332" s="7" t="s">
        <v>7165</v>
      </c>
      <c r="DW332" s="7" t="s">
        <v>7165</v>
      </c>
      <c r="DX332" s="7" t="s">
        <v>7165</v>
      </c>
      <c r="DY332" s="7" t="s">
        <v>7159</v>
      </c>
      <c r="DZ332" s="7" t="s">
        <v>7159</v>
      </c>
      <c r="EA332" s="7" t="s">
        <v>7165</v>
      </c>
      <c r="EB332" s="7" t="s">
        <v>7165</v>
      </c>
      <c r="EC332" s="7" t="s">
        <v>7159</v>
      </c>
      <c r="ED332" s="7"/>
      <c r="EE332" s="7"/>
      <c r="EF332" s="2" t="s">
        <v>7167</v>
      </c>
      <c r="EJ332" s="7" t="s">
        <v>7144</v>
      </c>
      <c r="EK332" s="7" t="s">
        <v>7142</v>
      </c>
      <c r="EL332" s="7" t="s">
        <v>7143</v>
      </c>
      <c r="EN332" s="7" t="s">
        <v>7170</v>
      </c>
      <c r="EP332" s="2" t="s">
        <v>7186</v>
      </c>
      <c r="ER332" s="2" t="s">
        <v>7142</v>
      </c>
      <c r="ET332" s="7" t="s">
        <v>7143</v>
      </c>
      <c r="EV332" s="2" t="s">
        <v>7142</v>
      </c>
      <c r="EW332" s="2" t="s">
        <v>7204</v>
      </c>
      <c r="EX332" s="2" t="s">
        <v>7142</v>
      </c>
      <c r="EY332" s="2" t="s">
        <v>7204</v>
      </c>
      <c r="FC332" s="2" t="s">
        <v>7172</v>
      </c>
      <c r="FD332" s="2" t="s">
        <v>7143</v>
      </c>
      <c r="FH332" s="7" t="s">
        <v>7173</v>
      </c>
      <c r="FJ332" s="2" t="s">
        <v>7142</v>
      </c>
      <c r="FK332" s="7" t="s">
        <v>7165</v>
      </c>
      <c r="FL332" s="7" t="s">
        <v>7260</v>
      </c>
      <c r="FN332" s="2" t="s">
        <v>7253</v>
      </c>
      <c r="FT332" s="2" t="s">
        <v>7176</v>
      </c>
      <c r="FU332" s="2" t="s">
        <v>7189</v>
      </c>
      <c r="FV332" s="2" t="s">
        <v>7189</v>
      </c>
      <c r="FW332" s="2" t="s">
        <v>7189</v>
      </c>
      <c r="FZ332" s="19" t="s">
        <v>8325</v>
      </c>
    </row>
    <row r="333" spans="1:182">
      <c r="A333" s="7" t="s">
        <v>2232</v>
      </c>
      <c r="D333" s="7" t="s">
        <v>8326</v>
      </c>
      <c r="E333" s="7" t="s">
        <v>177</v>
      </c>
      <c r="F333" s="7" t="s">
        <v>7134</v>
      </c>
      <c r="G333" s="7" t="s">
        <v>8167</v>
      </c>
      <c r="H333" s="7" t="s">
        <v>2012</v>
      </c>
      <c r="I333" s="7" t="s">
        <v>2233</v>
      </c>
      <c r="J333" s="16" t="s">
        <v>8327</v>
      </c>
      <c r="K333" s="7" t="s">
        <v>2233</v>
      </c>
      <c r="L333" s="2" t="s">
        <v>7137</v>
      </c>
      <c r="M333" s="7" t="s">
        <v>7138</v>
      </c>
      <c r="N333" s="7">
        <v>1985</v>
      </c>
      <c r="O333" s="7" t="s">
        <v>7490</v>
      </c>
      <c r="P333" s="2" t="s">
        <v>7140</v>
      </c>
      <c r="Q333" s="2" t="s">
        <v>7225</v>
      </c>
      <c r="R333" s="2" t="s">
        <v>7143</v>
      </c>
      <c r="S333" s="2">
        <v>16</v>
      </c>
      <c r="T333" s="2" t="s">
        <v>7143</v>
      </c>
      <c r="U333" s="2" t="s">
        <v>7143</v>
      </c>
      <c r="Y333" s="2">
        <v>59</v>
      </c>
      <c r="Z333" s="17">
        <v>1</v>
      </c>
      <c r="AA333" s="2">
        <v>59</v>
      </c>
      <c r="AB333" s="2">
        <v>59</v>
      </c>
      <c r="AC333" s="7">
        <v>59</v>
      </c>
      <c r="AD333" s="2">
        <v>120</v>
      </c>
      <c r="AE333" s="2">
        <v>61</v>
      </c>
      <c r="AF333" s="2" t="s">
        <v>7142</v>
      </c>
      <c r="AG333" s="2" t="s">
        <v>7143</v>
      </c>
      <c r="AH333" s="2" t="s">
        <v>7143</v>
      </c>
      <c r="AJ333" s="2" t="s">
        <v>7143</v>
      </c>
      <c r="AK333" s="2" t="s">
        <v>7143</v>
      </c>
      <c r="AL333" s="2" t="s">
        <v>7143</v>
      </c>
      <c r="AM333" s="2" t="s">
        <v>7143</v>
      </c>
      <c r="AN333" s="2" t="s">
        <v>7143</v>
      </c>
      <c r="AO333" s="2" t="s">
        <v>7143</v>
      </c>
      <c r="AR333" s="7">
        <v>0.9</v>
      </c>
      <c r="AS333" s="7">
        <v>3</v>
      </c>
      <c r="AT333" s="7">
        <v>1.33</v>
      </c>
      <c r="AU333" s="2" t="s">
        <v>7193</v>
      </c>
      <c r="AV333" s="2" t="s">
        <v>7193</v>
      </c>
      <c r="AW333" s="2" t="s">
        <v>7143</v>
      </c>
      <c r="AZ333" s="2" t="s">
        <v>7145</v>
      </c>
      <c r="BB333" s="2" t="s">
        <v>7214</v>
      </c>
      <c r="BC333" s="2" t="s">
        <v>7147</v>
      </c>
      <c r="BD333" s="2" t="s">
        <v>7143</v>
      </c>
      <c r="BE333" s="2" t="s">
        <v>7142</v>
      </c>
      <c r="BF333" s="2" t="s">
        <v>7148</v>
      </c>
      <c r="BG333" s="2" t="s">
        <v>7149</v>
      </c>
      <c r="BH333" s="2" t="s">
        <v>7150</v>
      </c>
      <c r="BI333" s="2" t="s">
        <v>7151</v>
      </c>
      <c r="BL333" s="2" t="s">
        <v>7195</v>
      </c>
      <c r="BO333" s="2" t="s">
        <v>7155</v>
      </c>
      <c r="BQ333" s="2" t="s">
        <v>7156</v>
      </c>
      <c r="BS333" s="2" t="s">
        <v>7142</v>
      </c>
      <c r="BT333" s="2" t="s">
        <v>7215</v>
      </c>
      <c r="BV333" s="2" t="s">
        <v>7202</v>
      </c>
      <c r="BX333" s="2" t="s">
        <v>7143</v>
      </c>
      <c r="BZ333" s="2" t="s">
        <v>7159</v>
      </c>
      <c r="CE333" s="7">
        <v>1.33</v>
      </c>
      <c r="CF333" s="2">
        <v>120</v>
      </c>
      <c r="CK333" s="2">
        <v>100</v>
      </c>
      <c r="CO333" s="2">
        <v>100</v>
      </c>
      <c r="CR333" s="2" t="s">
        <v>7185</v>
      </c>
      <c r="CT333" s="2" t="s">
        <v>7143</v>
      </c>
      <c r="CU333" s="2" t="s">
        <v>7234</v>
      </c>
      <c r="CW333" s="2" t="s">
        <v>7162</v>
      </c>
      <c r="CY333" s="2" t="s">
        <v>7164</v>
      </c>
      <c r="CZ333" s="2" t="s">
        <v>7164</v>
      </c>
      <c r="DA333" s="2" t="s">
        <v>7164</v>
      </c>
      <c r="DB333" s="2" t="s">
        <v>7164</v>
      </c>
      <c r="DL333" s="2" t="s">
        <v>7143</v>
      </c>
      <c r="DM333" s="2" t="s">
        <v>7143</v>
      </c>
      <c r="DP333" s="2" t="s">
        <v>7159</v>
      </c>
      <c r="DT333" s="2" t="s">
        <v>7159</v>
      </c>
      <c r="DU333" s="2" t="s">
        <v>7159</v>
      </c>
      <c r="DV333" s="2" t="s">
        <v>7159</v>
      </c>
      <c r="DW333" s="2" t="s">
        <v>7159</v>
      </c>
      <c r="DX333" s="2" t="s">
        <v>7159</v>
      </c>
      <c r="DY333" s="2" t="s">
        <v>7159</v>
      </c>
      <c r="DZ333" s="2" t="s">
        <v>7159</v>
      </c>
      <c r="EB333" s="2" t="s">
        <v>7159</v>
      </c>
      <c r="EJ333" s="2" t="s">
        <v>7217</v>
      </c>
      <c r="EK333" s="2" t="s">
        <v>7143</v>
      </c>
      <c r="EL333" s="2" t="s">
        <v>7143</v>
      </c>
      <c r="EN333" s="2" t="s">
        <v>7240</v>
      </c>
      <c r="EO333" s="2" t="s">
        <v>203</v>
      </c>
      <c r="ER333" s="2" t="s">
        <v>7143</v>
      </c>
      <c r="ET333" s="2" t="s">
        <v>7143</v>
      </c>
      <c r="EV333" s="2" t="s">
        <v>7143</v>
      </c>
      <c r="EX333" s="2" t="s">
        <v>7143</v>
      </c>
      <c r="EZ333" s="2" t="s">
        <v>7143</v>
      </c>
      <c r="FC333" s="2" t="s">
        <v>7218</v>
      </c>
      <c r="FD333" s="2" t="s">
        <v>7143</v>
      </c>
      <c r="FH333" s="2" t="s">
        <v>7173</v>
      </c>
      <c r="FJ333" s="2" t="s">
        <v>7142</v>
      </c>
      <c r="FK333" s="2" t="s">
        <v>7173</v>
      </c>
      <c r="FT333" s="2" t="s">
        <v>7189</v>
      </c>
      <c r="FU333" s="2" t="s">
        <v>7345</v>
      </c>
      <c r="FV333" s="2" t="s">
        <v>7189</v>
      </c>
      <c r="FW333" s="2" t="s">
        <v>7345</v>
      </c>
      <c r="FZ333" s="19" t="s">
        <v>8328</v>
      </c>
    </row>
    <row r="334" spans="1:182">
      <c r="A334" s="7" t="s">
        <v>2234</v>
      </c>
      <c r="D334" s="7" t="s">
        <v>8329</v>
      </c>
      <c r="E334" s="7" t="s">
        <v>2235</v>
      </c>
      <c r="F334" s="7" t="s">
        <v>7311</v>
      </c>
      <c r="G334" s="7" t="s">
        <v>8167</v>
      </c>
      <c r="H334" s="7" t="s">
        <v>2197</v>
      </c>
      <c r="I334" s="7" t="s">
        <v>2236</v>
      </c>
      <c r="J334" s="16" t="s">
        <v>8330</v>
      </c>
      <c r="K334" s="7" t="s">
        <v>2236</v>
      </c>
      <c r="L334" s="2" t="s">
        <v>7137</v>
      </c>
      <c r="M334" s="7" t="s">
        <v>7138</v>
      </c>
      <c r="N334" s="7">
        <v>1971</v>
      </c>
      <c r="O334" s="7" t="s">
        <v>7180</v>
      </c>
      <c r="P334" s="2" t="s">
        <v>7140</v>
      </c>
      <c r="Q334" s="2" t="s">
        <v>7141</v>
      </c>
      <c r="R334" s="2" t="s">
        <v>7143</v>
      </c>
      <c r="S334" s="2">
        <v>28</v>
      </c>
      <c r="T334" s="2" t="s">
        <v>7143</v>
      </c>
      <c r="U334" s="2" t="s">
        <v>7143</v>
      </c>
      <c r="Y334" s="2">
        <v>310</v>
      </c>
      <c r="Z334" s="17">
        <v>0.871</v>
      </c>
      <c r="AA334" s="2">
        <v>270</v>
      </c>
      <c r="AB334" s="2">
        <v>270</v>
      </c>
      <c r="AC334" s="7">
        <v>270</v>
      </c>
      <c r="AD334" s="2">
        <v>300</v>
      </c>
      <c r="AE334" s="2">
        <v>30</v>
      </c>
      <c r="AF334" s="2" t="s">
        <v>7143</v>
      </c>
      <c r="AG334" s="2" t="s">
        <v>7143</v>
      </c>
      <c r="AH334" s="2" t="s">
        <v>7143</v>
      </c>
      <c r="AJ334" s="2" t="s">
        <v>7143</v>
      </c>
      <c r="AK334" s="2" t="s">
        <v>7143</v>
      </c>
      <c r="AL334" s="2" t="s">
        <v>7142</v>
      </c>
      <c r="AM334" s="2" t="s">
        <v>7143</v>
      </c>
      <c r="AN334" s="2" t="s">
        <v>7143</v>
      </c>
      <c r="AO334" s="2" t="s">
        <v>7143</v>
      </c>
      <c r="AR334" s="7">
        <v>1.8</v>
      </c>
      <c r="AS334" s="7">
        <v>2</v>
      </c>
      <c r="AT334" s="7">
        <v>3</v>
      </c>
      <c r="AU334" s="2" t="s">
        <v>7144</v>
      </c>
      <c r="AV334" s="2" t="s">
        <v>7144</v>
      </c>
      <c r="AW334" s="2" t="s">
        <v>7143</v>
      </c>
      <c r="AZ334" s="2" t="s">
        <v>7145</v>
      </c>
      <c r="BB334" s="2" t="s">
        <v>7214</v>
      </c>
      <c r="BC334" s="2" t="s">
        <v>7247</v>
      </c>
      <c r="BD334" s="2" t="s">
        <v>7142</v>
      </c>
      <c r="BE334" s="2" t="s">
        <v>7142</v>
      </c>
      <c r="BF334" s="2" t="s">
        <v>7148</v>
      </c>
      <c r="BG334" s="2" t="s">
        <v>7232</v>
      </c>
      <c r="BH334" s="2" t="s">
        <v>7150</v>
      </c>
      <c r="BI334" s="2" t="s">
        <v>7151</v>
      </c>
      <c r="BL334" s="2" t="s">
        <v>7195</v>
      </c>
      <c r="BO334" s="2" t="s">
        <v>7155</v>
      </c>
      <c r="BQ334" s="2" t="s">
        <v>7156</v>
      </c>
      <c r="BS334" s="2" t="s">
        <v>7142</v>
      </c>
      <c r="BT334" s="2" t="s">
        <v>7215</v>
      </c>
      <c r="BV334" s="2" t="s">
        <v>7202</v>
      </c>
      <c r="BX334" s="2" t="s">
        <v>7142</v>
      </c>
      <c r="BY334" s="2" t="s">
        <v>2237</v>
      </c>
      <c r="BZ334" s="2" t="s">
        <v>7159</v>
      </c>
      <c r="CE334" s="7">
        <v>3</v>
      </c>
      <c r="CF334" s="2">
        <v>300</v>
      </c>
      <c r="CM334" s="2">
        <v>100</v>
      </c>
      <c r="CP334" s="2">
        <v>100</v>
      </c>
      <c r="CR334" s="2" t="s">
        <v>7160</v>
      </c>
      <c r="CT334" s="2" t="s">
        <v>7143</v>
      </c>
      <c r="CU334" s="2" t="s">
        <v>7161</v>
      </c>
      <c r="CW334" s="2" t="s">
        <v>7162</v>
      </c>
      <c r="CY334" s="2" t="s">
        <v>7163</v>
      </c>
      <c r="CZ334" s="2" t="s">
        <v>7163</v>
      </c>
      <c r="DA334" s="2" t="s">
        <v>7250</v>
      </c>
      <c r="DB334" s="2" t="s">
        <v>7250</v>
      </c>
      <c r="DC334" s="2" t="s">
        <v>7250</v>
      </c>
      <c r="DD334" s="2" t="s">
        <v>7250</v>
      </c>
      <c r="DE334" s="2" t="s">
        <v>7250</v>
      </c>
      <c r="DF334" s="2" t="s">
        <v>7163</v>
      </c>
      <c r="DG334" s="2" t="s">
        <v>7163</v>
      </c>
      <c r="DH334" s="2" t="s">
        <v>7163</v>
      </c>
      <c r="DI334" s="2" t="s">
        <v>7163</v>
      </c>
      <c r="DL334" s="2" t="s">
        <v>7142</v>
      </c>
      <c r="DM334" s="2" t="s">
        <v>7142</v>
      </c>
      <c r="DN334" s="2" t="s">
        <v>7142</v>
      </c>
      <c r="DO334" s="2" t="s">
        <v>7142</v>
      </c>
      <c r="DP334" s="2" t="s">
        <v>7165</v>
      </c>
      <c r="DQ334" s="2" t="s">
        <v>7333</v>
      </c>
      <c r="DR334" s="2" t="s">
        <v>2238</v>
      </c>
      <c r="DT334" s="2" t="s">
        <v>7165</v>
      </c>
      <c r="DU334" s="2" t="s">
        <v>7165</v>
      </c>
      <c r="DV334" s="2" t="s">
        <v>7165</v>
      </c>
      <c r="DW334" s="2" t="s">
        <v>7165</v>
      </c>
      <c r="DX334" s="2" t="s">
        <v>7165</v>
      </c>
      <c r="DY334" s="2" t="s">
        <v>7165</v>
      </c>
      <c r="DZ334" s="2" t="s">
        <v>7165</v>
      </c>
      <c r="EA334" s="2" t="s">
        <v>7165</v>
      </c>
      <c r="EB334" s="2" t="s">
        <v>7165</v>
      </c>
      <c r="EC334" s="2" t="s">
        <v>7165</v>
      </c>
      <c r="EF334" s="2" t="s">
        <v>7221</v>
      </c>
      <c r="EG334" s="2" t="s">
        <v>1401</v>
      </c>
      <c r="EJ334" s="2" t="s">
        <v>7144</v>
      </c>
      <c r="EK334" s="2" t="s">
        <v>7142</v>
      </c>
      <c r="EL334" s="2" t="s">
        <v>7142</v>
      </c>
      <c r="EM334" s="2" t="s">
        <v>7937</v>
      </c>
      <c r="EN334" s="2" t="s">
        <v>7170</v>
      </c>
      <c r="EP334" s="2" t="s">
        <v>7186</v>
      </c>
      <c r="ER334" s="2" t="s">
        <v>7142</v>
      </c>
      <c r="ET334" s="2" t="s">
        <v>7143</v>
      </c>
      <c r="EV334" s="2" t="s">
        <v>7143</v>
      </c>
      <c r="EX334" s="2" t="s">
        <v>7143</v>
      </c>
      <c r="EZ334" s="2" t="s">
        <v>7143</v>
      </c>
      <c r="FC334" s="2" t="s">
        <v>7172</v>
      </c>
      <c r="FD334" s="2" t="s">
        <v>7143</v>
      </c>
      <c r="FH334" s="2" t="s">
        <v>7173</v>
      </c>
      <c r="FJ334" s="2" t="s">
        <v>7143</v>
      </c>
      <c r="FK334" s="2" t="s">
        <v>7159</v>
      </c>
      <c r="FN334" s="2" t="s">
        <v>7322</v>
      </c>
      <c r="FR334" s="2" t="s">
        <v>2239</v>
      </c>
      <c r="FT334" s="2" t="s">
        <v>7176</v>
      </c>
      <c r="FU334" s="2" t="s">
        <v>7189</v>
      </c>
      <c r="FV334" s="2" t="s">
        <v>7176</v>
      </c>
      <c r="FW334" s="2" t="s">
        <v>7176</v>
      </c>
      <c r="FX334" s="2" t="s">
        <v>7176</v>
      </c>
      <c r="FY334" s="2" t="s">
        <v>2240</v>
      </c>
      <c r="FZ334" s="19" t="s">
        <v>8331</v>
      </c>
    </row>
    <row r="335" spans="1:182">
      <c r="A335" s="7" t="s">
        <v>2241</v>
      </c>
      <c r="D335" s="7" t="s">
        <v>8332</v>
      </c>
      <c r="E335" s="7" t="s">
        <v>2242</v>
      </c>
      <c r="F335" s="7" t="s">
        <v>7319</v>
      </c>
      <c r="G335" s="7" t="s">
        <v>8167</v>
      </c>
      <c r="H335" s="7" t="s">
        <v>2205</v>
      </c>
      <c r="I335" s="7" t="s">
        <v>2243</v>
      </c>
      <c r="J335" s="16" t="s">
        <v>8333</v>
      </c>
      <c r="K335" s="7" t="s">
        <v>2243</v>
      </c>
      <c r="L335" s="7" t="s">
        <v>7137</v>
      </c>
      <c r="M335" s="7" t="s">
        <v>7138</v>
      </c>
      <c r="N335" s="7">
        <v>1976</v>
      </c>
      <c r="O335" s="7" t="s">
        <v>7180</v>
      </c>
      <c r="P335" s="7" t="s">
        <v>7140</v>
      </c>
      <c r="Q335" s="7" t="s">
        <v>7182</v>
      </c>
      <c r="R335" s="7" t="s">
        <v>7143</v>
      </c>
      <c r="S335" s="7">
        <v>26</v>
      </c>
      <c r="T335" s="7" t="s">
        <v>7142</v>
      </c>
      <c r="U335" s="7" t="s">
        <v>7142</v>
      </c>
      <c r="Y335" s="2">
        <v>500</v>
      </c>
      <c r="Z335" s="17">
        <v>0.86</v>
      </c>
      <c r="AA335" s="2">
        <v>430</v>
      </c>
      <c r="AB335" s="2">
        <v>430</v>
      </c>
      <c r="AC335" s="7">
        <v>330</v>
      </c>
      <c r="AD335" s="2">
        <v>500</v>
      </c>
      <c r="AE335" s="2">
        <v>170</v>
      </c>
      <c r="AF335" s="7" t="s">
        <v>7143</v>
      </c>
      <c r="AG335" s="7" t="s">
        <v>7142</v>
      </c>
      <c r="AH335" s="7" t="s">
        <v>7143</v>
      </c>
      <c r="AJ335" s="7" t="s">
        <v>7143</v>
      </c>
      <c r="AK335" s="7" t="s">
        <v>7143</v>
      </c>
      <c r="AL335" s="7" t="s">
        <v>7143</v>
      </c>
      <c r="AM335" s="7" t="s">
        <v>7142</v>
      </c>
      <c r="AN335" s="7" t="s">
        <v>7143</v>
      </c>
      <c r="AO335" s="7" t="s">
        <v>7143</v>
      </c>
      <c r="AR335" s="7">
        <v>2</v>
      </c>
      <c r="AS335" s="7">
        <v>3</v>
      </c>
      <c r="AT335" s="7">
        <v>5</v>
      </c>
      <c r="AU335" s="7" t="s">
        <v>7193</v>
      </c>
      <c r="AV335" s="7" t="s">
        <v>7193</v>
      </c>
      <c r="AW335" s="7" t="s">
        <v>7143</v>
      </c>
      <c r="AZ335" s="7" t="s">
        <v>7145</v>
      </c>
      <c r="BB335" s="7" t="s">
        <v>7214</v>
      </c>
      <c r="BC335" s="7" t="s">
        <v>7247</v>
      </c>
      <c r="BD335" s="7" t="s">
        <v>7142</v>
      </c>
      <c r="BE335" s="7" t="s">
        <v>7142</v>
      </c>
      <c r="BF335" s="7" t="s">
        <v>7148</v>
      </c>
      <c r="BG335" s="7" t="s">
        <v>7149</v>
      </c>
      <c r="BH335" s="7" t="s">
        <v>7248</v>
      </c>
      <c r="BI335" s="7" t="s">
        <v>7567</v>
      </c>
      <c r="BL335" s="7" t="s">
        <v>7152</v>
      </c>
      <c r="BM335" s="7" t="s">
        <v>7153</v>
      </c>
      <c r="BN335" s="7" t="s">
        <v>7154</v>
      </c>
      <c r="BO335" s="7" t="s">
        <v>7155</v>
      </c>
      <c r="BQ335" s="2" t="s">
        <v>7183</v>
      </c>
      <c r="BS335" s="7" t="s">
        <v>7142</v>
      </c>
      <c r="BT335" s="7" t="s">
        <v>7238</v>
      </c>
      <c r="BU335" s="7" t="s">
        <v>2244</v>
      </c>
      <c r="BV335" s="7" t="s">
        <v>7387</v>
      </c>
      <c r="BX335" s="7" t="s">
        <v>7143</v>
      </c>
      <c r="BZ335" s="7" t="s">
        <v>7159</v>
      </c>
      <c r="CE335" s="7">
        <v>5</v>
      </c>
      <c r="CF335" s="2">
        <v>500</v>
      </c>
      <c r="CK335" s="2">
        <v>100</v>
      </c>
      <c r="CO335" s="2">
        <v>100</v>
      </c>
      <c r="CR335" s="2" t="s">
        <v>7160</v>
      </c>
      <c r="CT335" s="2" t="s">
        <v>7143</v>
      </c>
      <c r="CU335" s="2" t="s">
        <v>7234</v>
      </c>
      <c r="CW335" s="2" t="s">
        <v>7162</v>
      </c>
      <c r="CY335" s="2" t="s">
        <v>7163</v>
      </c>
      <c r="CZ335" s="2" t="s">
        <v>7163</v>
      </c>
      <c r="DA335" s="2" t="s">
        <v>7250</v>
      </c>
      <c r="DB335" s="2" t="s">
        <v>7321</v>
      </c>
      <c r="DC335" s="2" t="s">
        <v>7250</v>
      </c>
      <c r="DD335" s="2" t="s">
        <v>7321</v>
      </c>
      <c r="DE335" s="2" t="s">
        <v>7250</v>
      </c>
      <c r="DF335" s="2" t="s">
        <v>7163</v>
      </c>
      <c r="DG335" s="2" t="s">
        <v>7163</v>
      </c>
      <c r="DH335" s="2" t="s">
        <v>7163</v>
      </c>
      <c r="DI335" s="2" t="s">
        <v>7250</v>
      </c>
      <c r="DL335" s="2" t="s">
        <v>7142</v>
      </c>
      <c r="DM335" s="2" t="s">
        <v>7142</v>
      </c>
      <c r="DN335" s="2" t="s">
        <v>7142</v>
      </c>
      <c r="DO335" s="2" t="s">
        <v>7143</v>
      </c>
      <c r="DP335" s="2" t="s">
        <v>7165</v>
      </c>
      <c r="DQ335" s="2" t="s">
        <v>7166</v>
      </c>
      <c r="DR335" s="2" t="s">
        <v>2245</v>
      </c>
      <c r="DT335" s="2" t="s">
        <v>7165</v>
      </c>
      <c r="DU335" s="2" t="s">
        <v>7165</v>
      </c>
      <c r="DV335" s="2" t="s">
        <v>7165</v>
      </c>
      <c r="DW335" s="2" t="s">
        <v>7165</v>
      </c>
      <c r="DX335" s="2" t="s">
        <v>7165</v>
      </c>
      <c r="DY335" s="2" t="s">
        <v>7165</v>
      </c>
      <c r="DZ335" s="2" t="s">
        <v>7159</v>
      </c>
      <c r="EA335" s="2" t="s">
        <v>7165</v>
      </c>
      <c r="EB335" s="2" t="s">
        <v>7165</v>
      </c>
      <c r="EC335" s="2" t="s">
        <v>7173</v>
      </c>
      <c r="EF335" s="2" t="s">
        <v>7221</v>
      </c>
      <c r="EJ335" s="2" t="s">
        <v>7144</v>
      </c>
      <c r="EK335" s="2" t="s">
        <v>7143</v>
      </c>
      <c r="EL335" s="2" t="s">
        <v>7143</v>
      </c>
      <c r="EN335" s="2" t="s">
        <v>7170</v>
      </c>
      <c r="EP335" s="2" t="s">
        <v>7186</v>
      </c>
      <c r="ER335" s="2" t="s">
        <v>7142</v>
      </c>
      <c r="ET335" s="2" t="s">
        <v>7143</v>
      </c>
      <c r="EV335" s="2" t="s">
        <v>7142</v>
      </c>
      <c r="EW335" s="2" t="s">
        <v>7171</v>
      </c>
      <c r="EX335" s="2" t="s">
        <v>7143</v>
      </c>
      <c r="EZ335" s="2" t="s">
        <v>7142</v>
      </c>
      <c r="FA335" s="2" t="s">
        <v>2246</v>
      </c>
      <c r="FB335" s="2" t="s">
        <v>7171</v>
      </c>
      <c r="FC335" s="2" t="s">
        <v>7218</v>
      </c>
      <c r="FD335" s="2" t="s">
        <v>7143</v>
      </c>
      <c r="FH335" s="2" t="s">
        <v>7173</v>
      </c>
      <c r="FJ335" s="2" t="s">
        <v>7143</v>
      </c>
      <c r="FK335" s="2" t="s">
        <v>7165</v>
      </c>
      <c r="FL335" s="2" t="s">
        <v>7260</v>
      </c>
      <c r="FR335" s="2" t="s">
        <v>433</v>
      </c>
      <c r="FT335" s="2" t="s">
        <v>7345</v>
      </c>
      <c r="FU335" s="2" t="s">
        <v>7189</v>
      </c>
      <c r="FV335" s="2" t="s">
        <v>7176</v>
      </c>
      <c r="FW335" s="2" t="s">
        <v>7176</v>
      </c>
      <c r="FZ335" s="19" t="s">
        <v>8334</v>
      </c>
    </row>
    <row r="336" spans="1:182">
      <c r="A336" s="7" t="s">
        <v>2247</v>
      </c>
      <c r="D336" s="7" t="s">
        <v>8335</v>
      </c>
      <c r="E336" s="7" t="s">
        <v>2248</v>
      </c>
      <c r="F336" s="7" t="s">
        <v>7339</v>
      </c>
      <c r="G336" s="7" t="s">
        <v>8167</v>
      </c>
      <c r="H336" s="7" t="s">
        <v>2051</v>
      </c>
      <c r="I336" s="7" t="s">
        <v>2249</v>
      </c>
      <c r="J336" s="16" t="s">
        <v>8336</v>
      </c>
      <c r="K336" s="7" t="s">
        <v>2249</v>
      </c>
      <c r="L336" s="2" t="s">
        <v>7137</v>
      </c>
      <c r="M336" s="7" t="s">
        <v>7138</v>
      </c>
      <c r="N336" s="7">
        <v>1977</v>
      </c>
      <c r="O336" s="7" t="s">
        <v>7490</v>
      </c>
      <c r="P336" s="2" t="s">
        <v>7140</v>
      </c>
      <c r="Q336" s="2" t="s">
        <v>7225</v>
      </c>
      <c r="R336" s="2" t="s">
        <v>7143</v>
      </c>
      <c r="T336" s="2" t="s">
        <v>7143</v>
      </c>
      <c r="U336" s="2" t="s">
        <v>7143</v>
      </c>
      <c r="Y336" s="2">
        <v>253</v>
      </c>
      <c r="Z336" s="17">
        <v>1</v>
      </c>
      <c r="AA336" s="2">
        <v>253</v>
      </c>
      <c r="AB336" s="2">
        <v>253</v>
      </c>
      <c r="AC336" s="7">
        <v>253</v>
      </c>
      <c r="AD336" s="2">
        <v>323</v>
      </c>
      <c r="AE336" s="2">
        <v>70</v>
      </c>
      <c r="AF336" s="2" t="s">
        <v>7143</v>
      </c>
      <c r="AG336" s="2" t="s">
        <v>7143</v>
      </c>
      <c r="AH336" s="2" t="s">
        <v>7143</v>
      </c>
      <c r="AJ336" s="2" t="s">
        <v>7143</v>
      </c>
      <c r="AK336" s="2" t="s">
        <v>7143</v>
      </c>
      <c r="AL336" s="2" t="s">
        <v>7143</v>
      </c>
      <c r="AM336" s="2" t="s">
        <v>7143</v>
      </c>
      <c r="AN336" s="2" t="s">
        <v>7143</v>
      </c>
      <c r="AO336" s="2" t="s">
        <v>7143</v>
      </c>
      <c r="AR336" s="7">
        <v>0.7</v>
      </c>
      <c r="AS336" s="7">
        <v>2</v>
      </c>
      <c r="AT336" s="7">
        <v>3.3</v>
      </c>
      <c r="AU336" s="2" t="s">
        <v>7193</v>
      </c>
      <c r="AV336" s="2" t="s">
        <v>7193</v>
      </c>
      <c r="AW336" s="2" t="s">
        <v>7143</v>
      </c>
      <c r="AZ336" s="2" t="s">
        <v>7145</v>
      </c>
      <c r="BB336" s="2" t="s">
        <v>7214</v>
      </c>
      <c r="BC336" s="2" t="s">
        <v>7247</v>
      </c>
      <c r="BD336" s="2" t="s">
        <v>7143</v>
      </c>
      <c r="BE336" s="2" t="s">
        <v>7142</v>
      </c>
      <c r="BF336" s="2" t="s">
        <v>7148</v>
      </c>
      <c r="BH336" s="2" t="s">
        <v>7248</v>
      </c>
      <c r="BI336" s="2" t="s">
        <v>7151</v>
      </c>
      <c r="BL336" s="2" t="s">
        <v>7195</v>
      </c>
      <c r="BO336" s="2" t="s">
        <v>7155</v>
      </c>
      <c r="BQ336" s="2" t="s">
        <v>7156</v>
      </c>
      <c r="BS336" s="2" t="s">
        <v>7142</v>
      </c>
      <c r="BT336" s="2" t="s">
        <v>7341</v>
      </c>
      <c r="BV336" s="2" t="s">
        <v>8297</v>
      </c>
      <c r="BX336" s="2" t="s">
        <v>7142</v>
      </c>
      <c r="BY336" s="2" t="s">
        <v>705</v>
      </c>
      <c r="BZ336" s="2" t="s">
        <v>7165</v>
      </c>
      <c r="CA336" s="2" t="s">
        <v>2250</v>
      </c>
      <c r="CE336" s="7">
        <v>3.3</v>
      </c>
      <c r="CF336" s="2">
        <v>332</v>
      </c>
      <c r="CK336" s="2">
        <v>100</v>
      </c>
      <c r="CO336" s="2">
        <v>100</v>
      </c>
      <c r="CR336" s="2" t="s">
        <v>7357</v>
      </c>
      <c r="CT336" s="2" t="s">
        <v>7143</v>
      </c>
      <c r="CU336" s="2" t="s">
        <v>7161</v>
      </c>
      <c r="CW336" s="2" t="s">
        <v>7162</v>
      </c>
      <c r="CY336" s="2" t="s">
        <v>7227</v>
      </c>
      <c r="CZ336" s="2" t="s">
        <v>7227</v>
      </c>
      <c r="DA336" s="2" t="s">
        <v>7249</v>
      </c>
      <c r="DB336" s="2" t="s">
        <v>7249</v>
      </c>
      <c r="DC336" s="2" t="s">
        <v>7249</v>
      </c>
      <c r="DD336" s="2" t="s">
        <v>7249</v>
      </c>
      <c r="DE336" s="2" t="s">
        <v>7249</v>
      </c>
      <c r="DF336" s="2" t="s">
        <v>7227</v>
      </c>
      <c r="DG336" s="2" t="s">
        <v>7227</v>
      </c>
      <c r="DH336" s="2" t="s">
        <v>7227</v>
      </c>
      <c r="DI336" s="2" t="s">
        <v>7227</v>
      </c>
      <c r="DL336" s="2" t="s">
        <v>7142</v>
      </c>
      <c r="DM336" s="2" t="s">
        <v>7142</v>
      </c>
      <c r="DN336" s="2" t="s">
        <v>7142</v>
      </c>
      <c r="DO336" s="2" t="s">
        <v>7142</v>
      </c>
      <c r="DP336" s="2" t="s">
        <v>7165</v>
      </c>
      <c r="DQ336" s="2" t="s">
        <v>7333</v>
      </c>
      <c r="DR336" s="2" t="s">
        <v>2251</v>
      </c>
      <c r="DT336" s="2" t="s">
        <v>7165</v>
      </c>
      <c r="DU336" s="2" t="s">
        <v>7165</v>
      </c>
      <c r="DV336" s="2" t="s">
        <v>7165</v>
      </c>
      <c r="DW336" s="2" t="s">
        <v>7165</v>
      </c>
      <c r="DX336" s="2" t="s">
        <v>7165</v>
      </c>
      <c r="DZ336" s="2" t="s">
        <v>7159</v>
      </c>
      <c r="EA336" s="2" t="s">
        <v>7159</v>
      </c>
      <c r="EB336" s="2" t="s">
        <v>7165</v>
      </c>
      <c r="EF336" s="2" t="s">
        <v>7252</v>
      </c>
      <c r="EG336" s="2" t="s">
        <v>2252</v>
      </c>
      <c r="EJ336" s="2" t="s">
        <v>7193</v>
      </c>
      <c r="EK336" s="2" t="s">
        <v>7142</v>
      </c>
      <c r="EL336" s="2" t="s">
        <v>7143</v>
      </c>
      <c r="EN336" s="2" t="s">
        <v>7170</v>
      </c>
      <c r="EP336" s="2" t="s">
        <v>7186</v>
      </c>
      <c r="ER336" s="2" t="s">
        <v>7142</v>
      </c>
      <c r="ET336" s="2" t="s">
        <v>7143</v>
      </c>
      <c r="EV336" s="2" t="s">
        <v>7143</v>
      </c>
      <c r="EX336" s="2" t="s">
        <v>7143</v>
      </c>
      <c r="EZ336" s="2" t="s">
        <v>7143</v>
      </c>
      <c r="FC336" s="2" t="s">
        <v>7218</v>
      </c>
      <c r="FD336" s="2" t="s">
        <v>7143</v>
      </c>
      <c r="FH336" s="2" t="s">
        <v>7173</v>
      </c>
      <c r="FJ336" s="2" t="s">
        <v>7143</v>
      </c>
      <c r="FK336" s="2" t="s">
        <v>7165</v>
      </c>
      <c r="FL336" s="2" t="s">
        <v>8315</v>
      </c>
      <c r="FN336" s="2" t="s">
        <v>7344</v>
      </c>
      <c r="FR336" s="2" t="s">
        <v>2253</v>
      </c>
      <c r="FT336" s="2" t="s">
        <v>7189</v>
      </c>
      <c r="FU336" s="2" t="s">
        <v>7189</v>
      </c>
      <c r="FV336" s="2" t="s">
        <v>7189</v>
      </c>
      <c r="FW336" s="2" t="s">
        <v>7189</v>
      </c>
      <c r="FZ336" s="19" t="s">
        <v>8337</v>
      </c>
    </row>
    <row r="337" spans="1:182">
      <c r="A337" s="7" t="s">
        <v>2254</v>
      </c>
      <c r="D337" s="7" t="s">
        <v>8338</v>
      </c>
      <c r="E337" s="7" t="s">
        <v>2255</v>
      </c>
      <c r="F337" s="7" t="s">
        <v>7389</v>
      </c>
      <c r="G337" s="7" t="s">
        <v>8167</v>
      </c>
      <c r="H337" s="7" t="s">
        <v>2001</v>
      </c>
      <c r="I337" s="7" t="s">
        <v>2256</v>
      </c>
      <c r="J337" s="16" t="s">
        <v>8339</v>
      </c>
      <c r="K337" s="7" t="s">
        <v>2257</v>
      </c>
      <c r="L337" s="2" t="s">
        <v>7137</v>
      </c>
      <c r="M337" s="7" t="s">
        <v>7179</v>
      </c>
      <c r="N337" s="7">
        <v>2000</v>
      </c>
      <c r="O337" s="7" t="s">
        <v>7490</v>
      </c>
      <c r="P337" s="7" t="s">
        <v>7181</v>
      </c>
      <c r="Q337" s="2" t="s">
        <v>7182</v>
      </c>
      <c r="R337" s="2" t="s">
        <v>7143</v>
      </c>
      <c r="S337" s="2">
        <v>8</v>
      </c>
      <c r="T337" s="2" t="s">
        <v>7143</v>
      </c>
      <c r="U337" s="2" t="s">
        <v>7143</v>
      </c>
      <c r="Y337" s="2">
        <v>200</v>
      </c>
      <c r="Z337" s="17">
        <v>1</v>
      </c>
      <c r="AA337" s="2">
        <v>200</v>
      </c>
      <c r="AB337" s="2">
        <v>200</v>
      </c>
      <c r="AC337" s="7">
        <v>200</v>
      </c>
      <c r="AD337" s="2">
        <v>250</v>
      </c>
      <c r="AE337" s="2">
        <v>50</v>
      </c>
      <c r="AF337" s="2" t="s">
        <v>7143</v>
      </c>
      <c r="AG337" s="2" t="s">
        <v>7143</v>
      </c>
      <c r="AH337" s="2" t="s">
        <v>7143</v>
      </c>
      <c r="AJ337" s="2" t="s">
        <v>7143</v>
      </c>
      <c r="AK337" s="2" t="s">
        <v>7143</v>
      </c>
      <c r="AL337" s="2" t="s">
        <v>7143</v>
      </c>
      <c r="AM337" s="2" t="s">
        <v>7143</v>
      </c>
      <c r="AN337" s="2" t="s">
        <v>7143</v>
      </c>
      <c r="AO337" s="2" t="s">
        <v>7143</v>
      </c>
      <c r="AR337" s="7">
        <v>0.9</v>
      </c>
      <c r="AS337" s="7">
        <v>3</v>
      </c>
      <c r="AT337" s="7">
        <v>2</v>
      </c>
      <c r="AU337" s="2" t="s">
        <v>7217</v>
      </c>
      <c r="AV337" s="2" t="s">
        <v>7144</v>
      </c>
      <c r="AW337" s="2" t="s">
        <v>7143</v>
      </c>
      <c r="AZ337" s="2" t="s">
        <v>7226</v>
      </c>
      <c r="BA337" s="2" t="s">
        <v>1144</v>
      </c>
      <c r="BB337" s="2" t="s">
        <v>7214</v>
      </c>
      <c r="BC337" s="2" t="s">
        <v>7208</v>
      </c>
      <c r="BD337" s="2" t="s">
        <v>7143</v>
      </c>
      <c r="BE337" s="2" t="s">
        <v>7143</v>
      </c>
      <c r="BL337" s="2" t="s">
        <v>7195</v>
      </c>
      <c r="BO337" s="2" t="s">
        <v>7155</v>
      </c>
      <c r="BQ337" s="2" t="s">
        <v>7183</v>
      </c>
      <c r="BS337" s="2" t="s">
        <v>7142</v>
      </c>
      <c r="BT337" s="2" t="s">
        <v>7416</v>
      </c>
      <c r="BV337" s="2" t="s">
        <v>7348</v>
      </c>
      <c r="BX337" s="2" t="s">
        <v>7143</v>
      </c>
      <c r="BZ337" s="2" t="s">
        <v>7173</v>
      </c>
      <c r="CE337" s="7">
        <v>2</v>
      </c>
      <c r="CF337" s="2">
        <v>250</v>
      </c>
      <c r="CK337" s="2">
        <v>100</v>
      </c>
      <c r="CO337" s="2">
        <v>100</v>
      </c>
      <c r="CR337" s="2" t="s">
        <v>7160</v>
      </c>
      <c r="CT337" s="2" t="s">
        <v>7143</v>
      </c>
      <c r="CU337" s="2" t="s">
        <v>7161</v>
      </c>
      <c r="CW337" s="2" t="s">
        <v>7162</v>
      </c>
      <c r="CY337" s="2" t="s">
        <v>7227</v>
      </c>
      <c r="CZ337" s="2" t="s">
        <v>7250</v>
      </c>
      <c r="DA337" s="2" t="s">
        <v>7250</v>
      </c>
      <c r="DB337" s="2" t="s">
        <v>7250</v>
      </c>
      <c r="DC337" s="2" t="s">
        <v>7321</v>
      </c>
      <c r="DD337" s="2" t="s">
        <v>7250</v>
      </c>
      <c r="DE337" s="2" t="s">
        <v>7250</v>
      </c>
      <c r="DF337" s="2" t="s">
        <v>7250</v>
      </c>
      <c r="DG337" s="2" t="s">
        <v>7250</v>
      </c>
      <c r="DH337" s="2" t="s">
        <v>7250</v>
      </c>
      <c r="DI337" s="2" t="s">
        <v>7250</v>
      </c>
      <c r="DL337" s="2" t="s">
        <v>7143</v>
      </c>
      <c r="DM337" s="2" t="s">
        <v>7143</v>
      </c>
      <c r="DP337" s="2" t="s">
        <v>7159</v>
      </c>
      <c r="DT337" s="2" t="s">
        <v>7159</v>
      </c>
      <c r="DU337" s="2" t="s">
        <v>7159</v>
      </c>
      <c r="DV337" s="2" t="s">
        <v>7159</v>
      </c>
      <c r="DW337" s="2" t="s">
        <v>7159</v>
      </c>
      <c r="DX337" s="2" t="s">
        <v>7159</v>
      </c>
      <c r="DY337" s="2" t="s">
        <v>7159</v>
      </c>
      <c r="DZ337" s="2" t="s">
        <v>7159</v>
      </c>
      <c r="EA337" s="2" t="s">
        <v>7159</v>
      </c>
      <c r="EB337" s="2" t="s">
        <v>7159</v>
      </c>
      <c r="EC337" s="2" t="s">
        <v>7159</v>
      </c>
      <c r="EF337" s="2" t="s">
        <v>7221</v>
      </c>
      <c r="EG337" s="2" t="s">
        <v>2258</v>
      </c>
      <c r="EJ337" s="2" t="s">
        <v>7217</v>
      </c>
      <c r="EK337" s="2" t="s">
        <v>7143</v>
      </c>
      <c r="EL337" s="2" t="s">
        <v>7143</v>
      </c>
      <c r="EN337" s="2" t="s">
        <v>7210</v>
      </c>
      <c r="EP337" s="2" t="s">
        <v>7186</v>
      </c>
      <c r="ER337" s="2" t="s">
        <v>7143</v>
      </c>
      <c r="ET337" s="2" t="s">
        <v>7143</v>
      </c>
      <c r="EV337" s="2" t="s">
        <v>7143</v>
      </c>
      <c r="EX337" s="2" t="s">
        <v>7143</v>
      </c>
      <c r="EZ337" s="2" t="s">
        <v>7143</v>
      </c>
      <c r="FC337" s="2" t="s">
        <v>7218</v>
      </c>
      <c r="FD337" s="2" t="s">
        <v>7143</v>
      </c>
      <c r="FH337" s="2" t="s">
        <v>7173</v>
      </c>
      <c r="FJ337" s="2" t="s">
        <v>7143</v>
      </c>
      <c r="FK337" s="2" t="s">
        <v>7173</v>
      </c>
      <c r="FN337" s="2" t="s">
        <v>7322</v>
      </c>
      <c r="FR337" s="2" t="s">
        <v>2259</v>
      </c>
      <c r="FT337" s="2" t="s">
        <v>7189</v>
      </c>
      <c r="FU337" s="2" t="s">
        <v>7176</v>
      </c>
      <c r="FV337" s="2" t="s">
        <v>7176</v>
      </c>
      <c r="FW337" s="2" t="s">
        <v>7176</v>
      </c>
      <c r="FZ337" s="19" t="s">
        <v>8340</v>
      </c>
    </row>
    <row r="338" spans="1:182">
      <c r="A338" s="7" t="s">
        <v>2260</v>
      </c>
      <c r="D338" s="7" t="s">
        <v>8341</v>
      </c>
      <c r="E338" s="7" t="s">
        <v>177</v>
      </c>
      <c r="F338" s="7" t="s">
        <v>7134</v>
      </c>
      <c r="G338" s="7" t="s">
        <v>8167</v>
      </c>
      <c r="H338" s="7" t="s">
        <v>2012</v>
      </c>
      <c r="I338" s="7" t="s">
        <v>2261</v>
      </c>
      <c r="J338" s="16" t="s">
        <v>8342</v>
      </c>
      <c r="K338" s="7" t="s">
        <v>2261</v>
      </c>
      <c r="L338" s="2" t="s">
        <v>7137</v>
      </c>
      <c r="M338" s="7" t="s">
        <v>7138</v>
      </c>
      <c r="N338" s="7">
        <v>1992</v>
      </c>
      <c r="O338" s="7" t="s">
        <v>7490</v>
      </c>
      <c r="P338" s="2" t="s">
        <v>7140</v>
      </c>
      <c r="Q338" s="2" t="s">
        <v>7225</v>
      </c>
      <c r="R338" s="2" t="s">
        <v>7143</v>
      </c>
      <c r="S338" s="2">
        <v>19</v>
      </c>
      <c r="T338" s="2" t="s">
        <v>7143</v>
      </c>
      <c r="U338" s="2" t="s">
        <v>7143</v>
      </c>
      <c r="Y338" s="2">
        <v>83</v>
      </c>
      <c r="Z338" s="17">
        <v>0.75900000000000001</v>
      </c>
      <c r="AA338" s="2">
        <v>63</v>
      </c>
      <c r="AB338" s="2">
        <v>63</v>
      </c>
      <c r="AC338" s="7">
        <v>63</v>
      </c>
      <c r="AD338" s="2">
        <v>81</v>
      </c>
      <c r="AE338" s="2">
        <v>18</v>
      </c>
      <c r="AF338" s="2" t="s">
        <v>7142</v>
      </c>
      <c r="AG338" s="2" t="s">
        <v>7143</v>
      </c>
      <c r="AH338" s="2" t="s">
        <v>7143</v>
      </c>
      <c r="AJ338" s="2" t="s">
        <v>7143</v>
      </c>
      <c r="AK338" s="2" t="s">
        <v>7143</v>
      </c>
      <c r="AL338" s="2" t="s">
        <v>7143</v>
      </c>
      <c r="AM338" s="2" t="s">
        <v>7142</v>
      </c>
      <c r="AN338" s="2" t="s">
        <v>7143</v>
      </c>
      <c r="AO338" s="2" t="s">
        <v>7143</v>
      </c>
      <c r="AR338" s="7">
        <v>0.5</v>
      </c>
      <c r="AS338" s="7">
        <v>1</v>
      </c>
      <c r="AT338" s="7">
        <v>0.8</v>
      </c>
      <c r="AU338" s="2" t="s">
        <v>7193</v>
      </c>
      <c r="AV338" s="2" t="s">
        <v>7193</v>
      </c>
      <c r="AW338" s="2" t="s">
        <v>7143</v>
      </c>
      <c r="AZ338" s="2" t="s">
        <v>7145</v>
      </c>
      <c r="BB338" s="2" t="s">
        <v>7214</v>
      </c>
      <c r="BC338" s="2" t="s">
        <v>7147</v>
      </c>
      <c r="BD338" s="2" t="s">
        <v>7143</v>
      </c>
      <c r="BE338" s="2" t="s">
        <v>7142</v>
      </c>
      <c r="BF338" s="2" t="s">
        <v>7148</v>
      </c>
      <c r="BG338" s="2" t="s">
        <v>7149</v>
      </c>
      <c r="BH338" s="2" t="s">
        <v>7233</v>
      </c>
      <c r="BI338" s="2" t="s">
        <v>7151</v>
      </c>
      <c r="BL338" s="2" t="s">
        <v>7195</v>
      </c>
      <c r="BO338" s="2" t="s">
        <v>7155</v>
      </c>
      <c r="BQ338" s="2" t="s">
        <v>7156</v>
      </c>
      <c r="BS338" s="2" t="s">
        <v>7142</v>
      </c>
      <c r="BT338" s="2" t="s">
        <v>7215</v>
      </c>
      <c r="BV338" s="2" t="s">
        <v>7202</v>
      </c>
      <c r="BX338" s="2" t="s">
        <v>7143</v>
      </c>
      <c r="BZ338" s="2" t="s">
        <v>7159</v>
      </c>
      <c r="CE338" s="7">
        <v>0.8</v>
      </c>
      <c r="CF338" s="2">
        <v>81</v>
      </c>
      <c r="CK338" s="2">
        <v>100</v>
      </c>
      <c r="CO338" s="2">
        <v>100</v>
      </c>
      <c r="CR338" s="2" t="s">
        <v>7160</v>
      </c>
      <c r="CT338" s="2" t="s">
        <v>7143</v>
      </c>
      <c r="CU338" s="2" t="s">
        <v>7234</v>
      </c>
      <c r="CW338" s="2" t="s">
        <v>7162</v>
      </c>
      <c r="CY338" s="2" t="s">
        <v>7164</v>
      </c>
      <c r="CZ338" s="2" t="s">
        <v>7164</v>
      </c>
      <c r="DL338" s="2" t="s">
        <v>7143</v>
      </c>
      <c r="DM338" s="2" t="s">
        <v>7143</v>
      </c>
      <c r="DP338" s="2" t="s">
        <v>7173</v>
      </c>
      <c r="DT338" s="2" t="s">
        <v>7159</v>
      </c>
      <c r="DU338" s="2" t="s">
        <v>7159</v>
      </c>
      <c r="DV338" s="2" t="s">
        <v>7159</v>
      </c>
      <c r="DW338" s="2" t="s">
        <v>7159</v>
      </c>
      <c r="DX338" s="2" t="s">
        <v>7159</v>
      </c>
      <c r="DY338" s="2" t="s">
        <v>7159</v>
      </c>
      <c r="DZ338" s="2" t="s">
        <v>7159</v>
      </c>
      <c r="EA338" s="2" t="s">
        <v>7159</v>
      </c>
      <c r="EB338" s="2" t="s">
        <v>7159</v>
      </c>
      <c r="EJ338" s="2" t="s">
        <v>7217</v>
      </c>
      <c r="EK338" s="2" t="s">
        <v>7143</v>
      </c>
      <c r="EL338" s="2" t="s">
        <v>7143</v>
      </c>
      <c r="EP338" s="2" t="s">
        <v>7241</v>
      </c>
      <c r="EQ338" s="2" t="s">
        <v>2262</v>
      </c>
      <c r="ER338" s="2" t="s">
        <v>7143</v>
      </c>
      <c r="ET338" s="2" t="s">
        <v>7143</v>
      </c>
      <c r="EV338" s="2" t="s">
        <v>7143</v>
      </c>
      <c r="EX338" s="2" t="s">
        <v>7143</v>
      </c>
      <c r="EZ338" s="2" t="s">
        <v>7143</v>
      </c>
      <c r="FC338" s="2" t="s">
        <v>7218</v>
      </c>
      <c r="FD338" s="2" t="s">
        <v>7143</v>
      </c>
      <c r="FH338" s="2" t="s">
        <v>7173</v>
      </c>
      <c r="FJ338" s="2" t="s">
        <v>7142</v>
      </c>
      <c r="FK338" s="2" t="s">
        <v>7173</v>
      </c>
      <c r="FT338" s="2" t="s">
        <v>7345</v>
      </c>
      <c r="FU338" s="2" t="s">
        <v>7345</v>
      </c>
      <c r="FV338" s="2" t="s">
        <v>7189</v>
      </c>
      <c r="FW338" s="2" t="s">
        <v>7345</v>
      </c>
      <c r="FZ338" s="19" t="s">
        <v>8343</v>
      </c>
    </row>
    <row r="339" spans="1:182">
      <c r="A339" s="7" t="s">
        <v>2263</v>
      </c>
      <c r="D339" s="7" t="s">
        <v>8344</v>
      </c>
      <c r="E339" s="7" t="s">
        <v>2264</v>
      </c>
      <c r="F339" s="7" t="s">
        <v>7311</v>
      </c>
      <c r="G339" s="7" t="s">
        <v>8167</v>
      </c>
      <c r="H339" s="7" t="s">
        <v>2197</v>
      </c>
      <c r="I339" s="7" t="s">
        <v>2265</v>
      </c>
      <c r="J339" s="16" t="s">
        <v>8345</v>
      </c>
      <c r="K339" s="7" t="s">
        <v>2266</v>
      </c>
      <c r="L339" s="7" t="s">
        <v>7137</v>
      </c>
      <c r="M339" s="7" t="s">
        <v>7138</v>
      </c>
      <c r="N339" s="7">
        <v>1970</v>
      </c>
      <c r="O339" s="7" t="s">
        <v>7180</v>
      </c>
      <c r="P339" s="7" t="s">
        <v>7140</v>
      </c>
      <c r="Q339" s="7" t="s">
        <v>7141</v>
      </c>
      <c r="R339" s="7" t="s">
        <v>7143</v>
      </c>
      <c r="S339" s="7">
        <v>30</v>
      </c>
      <c r="T339" s="7" t="s">
        <v>7143</v>
      </c>
      <c r="U339" s="7" t="s">
        <v>7143</v>
      </c>
      <c r="Y339" s="2">
        <v>540</v>
      </c>
      <c r="Z339" s="17">
        <v>1</v>
      </c>
      <c r="AA339" s="2">
        <v>540</v>
      </c>
      <c r="AB339" s="2">
        <v>540</v>
      </c>
      <c r="AC339" s="7">
        <v>540</v>
      </c>
      <c r="AD339" s="2">
        <v>600</v>
      </c>
      <c r="AE339" s="2">
        <v>60</v>
      </c>
      <c r="AF339" s="2" t="s">
        <v>7143</v>
      </c>
      <c r="AG339" s="2" t="s">
        <v>7143</v>
      </c>
      <c r="AH339" s="2" t="s">
        <v>7143</v>
      </c>
      <c r="AJ339" s="2" t="s">
        <v>7143</v>
      </c>
      <c r="AK339" s="2" t="s">
        <v>7143</v>
      </c>
      <c r="AL339" s="2" t="s">
        <v>7143</v>
      </c>
      <c r="AM339" s="2" t="s">
        <v>7143</v>
      </c>
      <c r="AN339" s="2" t="s">
        <v>7143</v>
      </c>
      <c r="AO339" s="2" t="s">
        <v>7143</v>
      </c>
      <c r="AR339" s="7">
        <v>2</v>
      </c>
      <c r="AS339" s="7">
        <v>2</v>
      </c>
      <c r="AT339" s="7">
        <v>6</v>
      </c>
      <c r="AU339" s="2" t="s">
        <v>7144</v>
      </c>
      <c r="AV339" s="2" t="s">
        <v>7144</v>
      </c>
      <c r="AW339" s="2" t="s">
        <v>7143</v>
      </c>
      <c r="BC339" s="2" t="s">
        <v>7147</v>
      </c>
      <c r="BD339" s="2" t="s">
        <v>7142</v>
      </c>
      <c r="BE339" s="2" t="s">
        <v>7143</v>
      </c>
      <c r="BL339" s="2" t="s">
        <v>7152</v>
      </c>
      <c r="BM339" s="2" t="s">
        <v>7153</v>
      </c>
      <c r="BN339" s="2" t="s">
        <v>7154</v>
      </c>
      <c r="BO339" s="2" t="s">
        <v>7155</v>
      </c>
      <c r="BQ339" s="2" t="s">
        <v>7156</v>
      </c>
      <c r="BS339" s="2" t="s">
        <v>7142</v>
      </c>
      <c r="BT339" s="2" t="s">
        <v>7215</v>
      </c>
      <c r="BV339" s="2" t="s">
        <v>7387</v>
      </c>
      <c r="BX339" s="2" t="s">
        <v>7143</v>
      </c>
      <c r="BY339" s="2" t="s">
        <v>2267</v>
      </c>
      <c r="BZ339" s="2" t="s">
        <v>7159</v>
      </c>
      <c r="CE339" s="7">
        <v>6</v>
      </c>
      <c r="CF339" s="2">
        <v>600</v>
      </c>
      <c r="CM339" s="2">
        <v>100</v>
      </c>
      <c r="CP339" s="2">
        <v>100</v>
      </c>
      <c r="CR339" s="2" t="s">
        <v>7160</v>
      </c>
      <c r="CT339" s="2" t="s">
        <v>7143</v>
      </c>
      <c r="CU339" s="2" t="s">
        <v>7161</v>
      </c>
      <c r="CW339" s="2" t="s">
        <v>7162</v>
      </c>
      <c r="CY339" s="2" t="s">
        <v>7163</v>
      </c>
      <c r="CZ339" s="2" t="s">
        <v>7163</v>
      </c>
      <c r="DA339" s="2" t="s">
        <v>7250</v>
      </c>
      <c r="DB339" s="2" t="s">
        <v>7163</v>
      </c>
      <c r="DC339" s="2" t="s">
        <v>7250</v>
      </c>
      <c r="DD339" s="2" t="s">
        <v>7250</v>
      </c>
      <c r="DE339" s="2" t="s">
        <v>7250</v>
      </c>
      <c r="DF339" s="2" t="s">
        <v>7163</v>
      </c>
      <c r="DG339" s="2" t="s">
        <v>7163</v>
      </c>
      <c r="DH339" s="2" t="s">
        <v>7163</v>
      </c>
      <c r="DI339" s="2" t="s">
        <v>7163</v>
      </c>
      <c r="DL339" s="2" t="s">
        <v>7142</v>
      </c>
      <c r="DM339" s="2" t="s">
        <v>7142</v>
      </c>
      <c r="DN339" s="2" t="s">
        <v>7142</v>
      </c>
      <c r="DO339" s="2" t="s">
        <v>7142</v>
      </c>
      <c r="DP339" s="2" t="s">
        <v>7165</v>
      </c>
      <c r="DQ339" s="2" t="s">
        <v>7333</v>
      </c>
      <c r="DR339" s="2" t="s">
        <v>2268</v>
      </c>
      <c r="DT339" s="2" t="s">
        <v>7165</v>
      </c>
      <c r="DU339" s="2" t="s">
        <v>7165</v>
      </c>
      <c r="DV339" s="2" t="s">
        <v>7165</v>
      </c>
      <c r="DW339" s="2" t="s">
        <v>7165</v>
      </c>
      <c r="DX339" s="2" t="s">
        <v>7165</v>
      </c>
      <c r="DY339" s="2" t="s">
        <v>7165</v>
      </c>
      <c r="DZ339" s="2" t="s">
        <v>7159</v>
      </c>
      <c r="EA339" s="2" t="s">
        <v>7165</v>
      </c>
      <c r="EB339" s="2" t="s">
        <v>7165</v>
      </c>
      <c r="EC339" s="2" t="s">
        <v>7173</v>
      </c>
      <c r="EF339" s="2" t="s">
        <v>7221</v>
      </c>
      <c r="EG339" s="2" t="s">
        <v>2269</v>
      </c>
      <c r="EJ339" s="2" t="s">
        <v>7144</v>
      </c>
      <c r="EK339" s="2" t="s">
        <v>7142</v>
      </c>
      <c r="EL339" s="2" t="s">
        <v>7142</v>
      </c>
      <c r="EM339" s="2" t="s">
        <v>7937</v>
      </c>
      <c r="EN339" s="2" t="s">
        <v>7170</v>
      </c>
      <c r="EP339" s="2" t="s">
        <v>7186</v>
      </c>
      <c r="ER339" s="2" t="s">
        <v>7142</v>
      </c>
      <c r="ET339" s="2" t="s">
        <v>7143</v>
      </c>
      <c r="EV339" s="2" t="s">
        <v>7143</v>
      </c>
      <c r="EX339" s="2" t="s">
        <v>7143</v>
      </c>
      <c r="EZ339" s="2" t="s">
        <v>7143</v>
      </c>
      <c r="FC339" s="2" t="s">
        <v>7172</v>
      </c>
      <c r="FD339" s="2" t="s">
        <v>7143</v>
      </c>
      <c r="FH339" s="2" t="s">
        <v>7173</v>
      </c>
      <c r="FJ339" s="2" t="s">
        <v>7143</v>
      </c>
      <c r="FK339" s="2" t="s">
        <v>7165</v>
      </c>
      <c r="FL339" s="2" t="s">
        <v>7260</v>
      </c>
      <c r="FN339" s="2" t="s">
        <v>7322</v>
      </c>
      <c r="FR339" s="2" t="s">
        <v>2270</v>
      </c>
      <c r="FT339" s="2" t="s">
        <v>7189</v>
      </c>
      <c r="FU339" s="2" t="s">
        <v>7189</v>
      </c>
      <c r="FV339" s="2" t="s">
        <v>7176</v>
      </c>
      <c r="FW339" s="2" t="s">
        <v>7176</v>
      </c>
      <c r="FX339" s="2" t="s">
        <v>7176</v>
      </c>
      <c r="FY339" s="2" t="s">
        <v>2178</v>
      </c>
      <c r="FZ339" s="19" t="s">
        <v>8346</v>
      </c>
    </row>
    <row r="340" spans="1:182">
      <c r="A340" s="7" t="s">
        <v>2271</v>
      </c>
      <c r="D340" s="7" t="s">
        <v>8347</v>
      </c>
      <c r="E340" s="7" t="s">
        <v>2272</v>
      </c>
      <c r="F340" s="7" t="s">
        <v>7319</v>
      </c>
      <c r="G340" s="7" t="s">
        <v>8348</v>
      </c>
      <c r="H340" s="7" t="s">
        <v>2274</v>
      </c>
      <c r="I340" s="7" t="s">
        <v>2275</v>
      </c>
      <c r="J340" s="16" t="s">
        <v>8349</v>
      </c>
      <c r="K340" s="7" t="s">
        <v>2275</v>
      </c>
      <c r="L340" s="7" t="s">
        <v>7137</v>
      </c>
      <c r="M340" s="7" t="s">
        <v>7138</v>
      </c>
      <c r="N340" s="7">
        <v>1988</v>
      </c>
      <c r="O340" s="7" t="s">
        <v>7490</v>
      </c>
      <c r="P340" s="7" t="s">
        <v>7140</v>
      </c>
      <c r="Q340" s="7" t="s">
        <v>7182</v>
      </c>
      <c r="R340" s="7" t="s">
        <v>7143</v>
      </c>
      <c r="S340" s="7">
        <v>24</v>
      </c>
      <c r="T340" s="7" t="s">
        <v>7143</v>
      </c>
      <c r="U340" s="7" t="s">
        <v>7143</v>
      </c>
      <c r="Y340" s="2">
        <v>240</v>
      </c>
      <c r="Z340" s="17">
        <v>0.875</v>
      </c>
      <c r="AA340" s="2">
        <v>210</v>
      </c>
      <c r="AB340" s="2">
        <v>200</v>
      </c>
      <c r="AC340" s="7">
        <v>170</v>
      </c>
      <c r="AD340" s="2">
        <v>200</v>
      </c>
      <c r="AE340" s="2">
        <v>30</v>
      </c>
      <c r="AF340" s="7" t="s">
        <v>7142</v>
      </c>
      <c r="AG340" s="7" t="s">
        <v>7143</v>
      </c>
      <c r="AH340" s="7" t="s">
        <v>7142</v>
      </c>
      <c r="AI340" s="2" t="s">
        <v>308</v>
      </c>
      <c r="AJ340" s="7" t="s">
        <v>7143</v>
      </c>
      <c r="AK340" s="7" t="s">
        <v>7142</v>
      </c>
      <c r="AL340" s="7" t="s">
        <v>7143</v>
      </c>
      <c r="AM340" s="7" t="s">
        <v>7142</v>
      </c>
      <c r="AN340" s="7" t="s">
        <v>7143</v>
      </c>
      <c r="AO340" s="7" t="s">
        <v>7143</v>
      </c>
      <c r="AR340" s="7">
        <v>1</v>
      </c>
      <c r="AS340" s="7">
        <v>4</v>
      </c>
      <c r="AT340" s="7">
        <v>2</v>
      </c>
      <c r="AU340" s="7" t="s">
        <v>7193</v>
      </c>
      <c r="AV340" s="7" t="s">
        <v>7193</v>
      </c>
      <c r="AW340" s="7" t="s">
        <v>7143</v>
      </c>
      <c r="AZ340" s="7" t="s">
        <v>8350</v>
      </c>
      <c r="BB340" s="7" t="s">
        <v>7268</v>
      </c>
      <c r="BC340" s="7" t="s">
        <v>7147</v>
      </c>
      <c r="BD340" s="7" t="s">
        <v>7143</v>
      </c>
      <c r="BE340" s="7" t="s">
        <v>7143</v>
      </c>
      <c r="BL340" s="7" t="s">
        <v>7195</v>
      </c>
      <c r="BN340" s="7"/>
      <c r="BO340" s="7" t="s">
        <v>7274</v>
      </c>
      <c r="BP340" s="2" t="s">
        <v>7275</v>
      </c>
      <c r="BS340" s="7" t="s">
        <v>7142</v>
      </c>
      <c r="BT340" s="7" t="s">
        <v>7238</v>
      </c>
      <c r="BU340" s="7" t="s">
        <v>429</v>
      </c>
      <c r="BV340" s="7" t="s">
        <v>7966</v>
      </c>
      <c r="BX340" s="7" t="s">
        <v>7143</v>
      </c>
      <c r="BZ340" s="7" t="s">
        <v>7159</v>
      </c>
      <c r="CE340" s="7">
        <v>2</v>
      </c>
      <c r="CF340" s="2">
        <v>200</v>
      </c>
      <c r="CK340" s="2">
        <v>100</v>
      </c>
      <c r="CO340" s="2">
        <v>100</v>
      </c>
      <c r="CR340" s="2" t="s">
        <v>7160</v>
      </c>
      <c r="CT340" s="2" t="s">
        <v>7143</v>
      </c>
      <c r="CU340" s="2" t="s">
        <v>7161</v>
      </c>
      <c r="CW340" s="2" t="s">
        <v>7610</v>
      </c>
      <c r="CY340" s="2" t="s">
        <v>7250</v>
      </c>
      <c r="CZ340" s="2" t="s">
        <v>7250</v>
      </c>
      <c r="DA340" s="2" t="s">
        <v>7250</v>
      </c>
      <c r="DB340" s="2" t="s">
        <v>7250</v>
      </c>
      <c r="DC340" s="2" t="s">
        <v>7321</v>
      </c>
      <c r="DD340" s="2" t="s">
        <v>7321</v>
      </c>
      <c r="DE340" s="2" t="s">
        <v>7250</v>
      </c>
      <c r="DG340" s="2" t="s">
        <v>7250</v>
      </c>
      <c r="DH340" s="2" t="s">
        <v>7250</v>
      </c>
      <c r="DI340" s="2" t="s">
        <v>7250</v>
      </c>
      <c r="DL340" s="2" t="s">
        <v>7143</v>
      </c>
      <c r="DM340" s="2" t="s">
        <v>7143</v>
      </c>
      <c r="DP340" s="2" t="s">
        <v>7159</v>
      </c>
      <c r="DT340" s="2" t="s">
        <v>7159</v>
      </c>
      <c r="DU340" s="2" t="s">
        <v>7159</v>
      </c>
      <c r="DV340" s="2" t="s">
        <v>7159</v>
      </c>
      <c r="DW340" s="2" t="s">
        <v>7159</v>
      </c>
      <c r="DX340" s="2" t="s">
        <v>7159</v>
      </c>
      <c r="DY340" s="2" t="s">
        <v>7159</v>
      </c>
      <c r="DZ340" s="2" t="s">
        <v>7159</v>
      </c>
      <c r="EA340" s="2" t="s">
        <v>7159</v>
      </c>
      <c r="EB340" s="2" t="s">
        <v>7159</v>
      </c>
      <c r="EC340" s="2" t="s">
        <v>7159</v>
      </c>
      <c r="EF340" s="2" t="s">
        <v>7349</v>
      </c>
      <c r="EG340" s="2" t="s">
        <v>431</v>
      </c>
      <c r="EJ340" s="2" t="s">
        <v>7193</v>
      </c>
      <c r="EK340" s="2" t="s">
        <v>7143</v>
      </c>
      <c r="EL340" s="2" t="s">
        <v>7143</v>
      </c>
      <c r="EN340" s="2" t="s">
        <v>7210</v>
      </c>
      <c r="EP340" s="2" t="s">
        <v>7186</v>
      </c>
      <c r="ER340" s="2" t="s">
        <v>7143</v>
      </c>
      <c r="ET340" s="2" t="s">
        <v>7143</v>
      </c>
      <c r="EV340" s="2" t="s">
        <v>7143</v>
      </c>
      <c r="EX340" s="2" t="s">
        <v>7143</v>
      </c>
      <c r="EZ340" s="2" t="s">
        <v>7143</v>
      </c>
      <c r="FC340" s="2" t="s">
        <v>7218</v>
      </c>
      <c r="FD340" s="2" t="s">
        <v>7143</v>
      </c>
      <c r="FH340" s="2" t="s">
        <v>7173</v>
      </c>
      <c r="FJ340" s="2" t="s">
        <v>7143</v>
      </c>
      <c r="FK340" s="2" t="s">
        <v>7173</v>
      </c>
      <c r="FR340" s="2" t="s">
        <v>433</v>
      </c>
      <c r="FT340" s="2" t="s">
        <v>7176</v>
      </c>
      <c r="FU340" s="2" t="s">
        <v>7189</v>
      </c>
      <c r="FV340" s="2" t="s">
        <v>7176</v>
      </c>
      <c r="FW340" s="2" t="s">
        <v>7345</v>
      </c>
      <c r="FZ340" s="19" t="s">
        <v>8351</v>
      </c>
    </row>
    <row r="341" spans="1:182">
      <c r="A341" s="7" t="s">
        <v>2277</v>
      </c>
      <c r="D341" s="7" t="s">
        <v>8352</v>
      </c>
      <c r="E341" s="7" t="s">
        <v>2278</v>
      </c>
      <c r="F341" s="7" t="s">
        <v>7339</v>
      </c>
      <c r="G341" s="7" t="s">
        <v>8348</v>
      </c>
      <c r="H341" s="7" t="s">
        <v>2279</v>
      </c>
      <c r="I341" s="7" t="s">
        <v>2280</v>
      </c>
      <c r="J341" s="19" t="s">
        <v>8353</v>
      </c>
      <c r="K341" s="7" t="s">
        <v>2281</v>
      </c>
      <c r="L341" s="2" t="s">
        <v>7137</v>
      </c>
      <c r="M341" s="7" t="s">
        <v>7138</v>
      </c>
      <c r="N341" s="7">
        <v>1964</v>
      </c>
      <c r="O341" s="7" t="s">
        <v>7490</v>
      </c>
      <c r="P341" s="2" t="s">
        <v>7140</v>
      </c>
      <c r="Q341" s="2" t="s">
        <v>7225</v>
      </c>
      <c r="R341" s="2" t="s">
        <v>7143</v>
      </c>
      <c r="S341" s="2">
        <v>17</v>
      </c>
      <c r="T341" s="2" t="s">
        <v>7143</v>
      </c>
      <c r="U341" s="2" t="s">
        <v>7143</v>
      </c>
      <c r="Y341" s="2">
        <v>121</v>
      </c>
      <c r="Z341" s="17">
        <v>1</v>
      </c>
      <c r="AA341" s="2">
        <v>121</v>
      </c>
      <c r="AC341" s="7">
        <v>31</v>
      </c>
      <c r="AD341" s="2">
        <v>49</v>
      </c>
      <c r="AE341" s="2">
        <v>18</v>
      </c>
      <c r="AF341" s="2" t="s">
        <v>7142</v>
      </c>
      <c r="AG341" s="2" t="s">
        <v>7143</v>
      </c>
      <c r="AH341" s="2" t="s">
        <v>7143</v>
      </c>
      <c r="AJ341" s="2" t="s">
        <v>7143</v>
      </c>
      <c r="AK341" s="2" t="s">
        <v>7142</v>
      </c>
      <c r="AN341" s="2" t="s">
        <v>7143</v>
      </c>
      <c r="AO341" s="2" t="s">
        <v>7143</v>
      </c>
      <c r="AR341" s="7">
        <v>0.8</v>
      </c>
      <c r="AS341" s="7">
        <v>1</v>
      </c>
      <c r="AT341" s="7">
        <v>0.5</v>
      </c>
      <c r="AU341" s="2" t="s">
        <v>7193</v>
      </c>
      <c r="AV341" s="2" t="s">
        <v>7193</v>
      </c>
      <c r="AW341" s="2" t="s">
        <v>7143</v>
      </c>
      <c r="AZ341" s="2" t="s">
        <v>7145</v>
      </c>
      <c r="BB341" s="2" t="s">
        <v>7214</v>
      </c>
      <c r="BC341" s="2" t="s">
        <v>7247</v>
      </c>
      <c r="BD341" s="2" t="s">
        <v>7143</v>
      </c>
      <c r="BE341" s="2" t="s">
        <v>7142</v>
      </c>
      <c r="BF341" s="2" t="s">
        <v>7148</v>
      </c>
      <c r="BG341" s="2" t="s">
        <v>7149</v>
      </c>
      <c r="BH341" s="2" t="s">
        <v>7150</v>
      </c>
      <c r="BI341" s="2" t="s">
        <v>7151</v>
      </c>
      <c r="BL341" s="2" t="s">
        <v>7195</v>
      </c>
      <c r="BO341" s="2" t="s">
        <v>7155</v>
      </c>
      <c r="BQ341" s="2" t="s">
        <v>7256</v>
      </c>
      <c r="BS341" s="2" t="s">
        <v>7143</v>
      </c>
      <c r="BT341" s="2" t="s">
        <v>7341</v>
      </c>
      <c r="BV341" s="2" t="s">
        <v>8354</v>
      </c>
      <c r="BX341" s="2" t="s">
        <v>7142</v>
      </c>
      <c r="BY341" s="2" t="s">
        <v>705</v>
      </c>
      <c r="BZ341" s="2" t="s">
        <v>7159</v>
      </c>
      <c r="CE341" s="7">
        <v>0.5</v>
      </c>
      <c r="CF341" s="2">
        <v>49</v>
      </c>
      <c r="CK341" s="2">
        <v>100</v>
      </c>
      <c r="CO341" s="2">
        <v>100</v>
      </c>
      <c r="CR341" s="2" t="s">
        <v>7357</v>
      </c>
      <c r="CT341" s="2" t="s">
        <v>7143</v>
      </c>
      <c r="CU341" s="2" t="s">
        <v>7161</v>
      </c>
      <c r="CW341" s="2" t="s">
        <v>7162</v>
      </c>
      <c r="CY341" s="2" t="s">
        <v>7250</v>
      </c>
      <c r="CZ341" s="2" t="s">
        <v>7250</v>
      </c>
      <c r="DA341" s="2" t="s">
        <v>7250</v>
      </c>
      <c r="DB341" s="2" t="s">
        <v>7250</v>
      </c>
      <c r="DC341" s="2" t="s">
        <v>7582</v>
      </c>
      <c r="DD341" s="2" t="s">
        <v>7250</v>
      </c>
      <c r="DE341" s="2" t="s">
        <v>7250</v>
      </c>
      <c r="DF341" s="2" t="s">
        <v>7250</v>
      </c>
      <c r="DG341" s="2" t="s">
        <v>7250</v>
      </c>
      <c r="DH341" s="2" t="s">
        <v>7250</v>
      </c>
      <c r="DI341" s="2" t="s">
        <v>7582</v>
      </c>
      <c r="DL341" s="2" t="s">
        <v>7143</v>
      </c>
      <c r="DM341" s="2" t="s">
        <v>7143</v>
      </c>
      <c r="DP341" s="2" t="s">
        <v>7173</v>
      </c>
      <c r="DT341" s="2" t="s">
        <v>7159</v>
      </c>
      <c r="DU341" s="2" t="s">
        <v>7159</v>
      </c>
      <c r="DV341" s="2" t="s">
        <v>7159</v>
      </c>
      <c r="DW341" s="2" t="s">
        <v>7159</v>
      </c>
      <c r="DX341" s="2" t="s">
        <v>7159</v>
      </c>
      <c r="DY341" s="2" t="s">
        <v>7159</v>
      </c>
      <c r="DZ341" s="2" t="s">
        <v>7159</v>
      </c>
      <c r="EA341" s="2" t="s">
        <v>7159</v>
      </c>
      <c r="EB341" s="2" t="s">
        <v>7159</v>
      </c>
      <c r="EF341" s="2" t="s">
        <v>7349</v>
      </c>
      <c r="EG341" s="2" t="s">
        <v>2283</v>
      </c>
      <c r="EJ341" s="2" t="s">
        <v>7217</v>
      </c>
      <c r="EK341" s="2" t="s">
        <v>7143</v>
      </c>
      <c r="EL341" s="2" t="s">
        <v>7143</v>
      </c>
      <c r="EN341" s="2" t="s">
        <v>7210</v>
      </c>
      <c r="EP341" s="2" t="s">
        <v>7186</v>
      </c>
      <c r="ET341" s="2" t="s">
        <v>7143</v>
      </c>
      <c r="EV341" s="2" t="s">
        <v>7143</v>
      </c>
      <c r="EX341" s="2" t="s">
        <v>7143</v>
      </c>
      <c r="EZ341" s="2" t="s">
        <v>7143</v>
      </c>
      <c r="FC341" s="2" t="s">
        <v>7309</v>
      </c>
      <c r="FD341" s="2" t="s">
        <v>7143</v>
      </c>
      <c r="FH341" s="2" t="s">
        <v>7173</v>
      </c>
      <c r="FJ341" s="2" t="s">
        <v>7143</v>
      </c>
      <c r="FK341" s="2" t="s">
        <v>7173</v>
      </c>
      <c r="FN341" s="2" t="s">
        <v>7344</v>
      </c>
      <c r="FR341" s="2" t="s">
        <v>2284</v>
      </c>
      <c r="FT341" s="2" t="s">
        <v>7189</v>
      </c>
      <c r="FU341" s="2" t="s">
        <v>7189</v>
      </c>
      <c r="FV341" s="2" t="s">
        <v>7189</v>
      </c>
      <c r="FW341" s="2" t="s">
        <v>7189</v>
      </c>
      <c r="FZ341" s="19" t="s">
        <v>8355</v>
      </c>
    </row>
    <row r="342" spans="1:182">
      <c r="A342" s="7" t="s">
        <v>2285</v>
      </c>
      <c r="D342" s="7" t="s">
        <v>8356</v>
      </c>
      <c r="E342" s="7" t="s">
        <v>2286</v>
      </c>
      <c r="F342" s="7" t="s">
        <v>7311</v>
      </c>
      <c r="G342" s="7" t="s">
        <v>8348</v>
      </c>
      <c r="H342" s="7" t="s">
        <v>2287</v>
      </c>
      <c r="I342" s="7" t="s">
        <v>2288</v>
      </c>
      <c r="J342" s="16" t="s">
        <v>8357</v>
      </c>
      <c r="K342" s="7" t="s">
        <v>2289</v>
      </c>
      <c r="L342" s="7" t="s">
        <v>7137</v>
      </c>
      <c r="M342" s="7" t="s">
        <v>7138</v>
      </c>
      <c r="N342" s="7">
        <v>2001</v>
      </c>
      <c r="O342" s="7" t="s">
        <v>7490</v>
      </c>
      <c r="P342" s="7" t="s">
        <v>7181</v>
      </c>
      <c r="Q342" s="7" t="s">
        <v>7225</v>
      </c>
      <c r="R342" s="7" t="s">
        <v>7143</v>
      </c>
      <c r="S342" s="7">
        <v>12</v>
      </c>
      <c r="T342" s="7" t="s">
        <v>7143</v>
      </c>
      <c r="U342" s="7" t="s">
        <v>7143</v>
      </c>
      <c r="Y342" s="2">
        <v>400</v>
      </c>
      <c r="Z342" s="17">
        <v>1</v>
      </c>
      <c r="AA342" s="2">
        <v>400</v>
      </c>
      <c r="AB342" s="2">
        <v>400</v>
      </c>
      <c r="AC342" s="7">
        <v>400</v>
      </c>
      <c r="AD342" s="2">
        <v>470</v>
      </c>
      <c r="AE342" s="2">
        <v>70</v>
      </c>
      <c r="AF342" s="2" t="s">
        <v>7143</v>
      </c>
      <c r="AG342" s="2" t="s">
        <v>7143</v>
      </c>
      <c r="AH342" s="2" t="s">
        <v>7143</v>
      </c>
      <c r="AJ342" s="2" t="s">
        <v>7143</v>
      </c>
      <c r="AK342" s="2" t="s">
        <v>7143</v>
      </c>
      <c r="AL342" s="2" t="s">
        <v>7143</v>
      </c>
      <c r="AM342" s="2" t="s">
        <v>7143</v>
      </c>
      <c r="AN342" s="2" t="s">
        <v>7143</v>
      </c>
      <c r="AO342" s="2" t="s">
        <v>7143</v>
      </c>
      <c r="AR342" s="7">
        <v>1.6</v>
      </c>
      <c r="AS342" s="7">
        <v>3</v>
      </c>
      <c r="AT342" s="7">
        <v>4.7</v>
      </c>
      <c r="AU342" s="2" t="s">
        <v>7193</v>
      </c>
      <c r="AV342" s="2" t="s">
        <v>7193</v>
      </c>
      <c r="AW342" s="2" t="s">
        <v>7143</v>
      </c>
      <c r="AZ342" s="2" t="s">
        <v>7145</v>
      </c>
      <c r="BB342" s="2" t="s">
        <v>7214</v>
      </c>
      <c r="BC342" s="2" t="s">
        <v>7247</v>
      </c>
      <c r="BD342" s="2" t="s">
        <v>7142</v>
      </c>
      <c r="BE342" s="2" t="s">
        <v>7142</v>
      </c>
      <c r="BF342" s="2" t="s">
        <v>7148</v>
      </c>
      <c r="BG342" s="2" t="s">
        <v>7232</v>
      </c>
      <c r="BH342" s="2" t="s">
        <v>7150</v>
      </c>
      <c r="BI342" s="2" t="s">
        <v>7151</v>
      </c>
      <c r="BL342" s="2" t="s">
        <v>7195</v>
      </c>
      <c r="BO342" s="2" t="s">
        <v>7155</v>
      </c>
      <c r="BQ342" s="2" t="s">
        <v>7156</v>
      </c>
      <c r="BS342" s="2" t="s">
        <v>7142</v>
      </c>
      <c r="BT342" s="2" t="s">
        <v>7157</v>
      </c>
      <c r="BV342" s="2" t="s">
        <v>7379</v>
      </c>
      <c r="BX342" s="2" t="s">
        <v>7143</v>
      </c>
      <c r="BY342" s="2" t="s">
        <v>2290</v>
      </c>
      <c r="BZ342" s="2" t="s">
        <v>7159</v>
      </c>
      <c r="CE342" s="7">
        <v>4.7</v>
      </c>
      <c r="CF342" s="2">
        <v>470</v>
      </c>
      <c r="CK342" s="2">
        <v>100</v>
      </c>
      <c r="CP342" s="2">
        <v>100</v>
      </c>
      <c r="CR342" s="2" t="s">
        <v>7160</v>
      </c>
      <c r="CT342" s="2" t="s">
        <v>7143</v>
      </c>
      <c r="CU342" s="2" t="s">
        <v>7161</v>
      </c>
      <c r="CW342" s="2" t="s">
        <v>7162</v>
      </c>
      <c r="CY342" s="2" t="s">
        <v>7250</v>
      </c>
      <c r="CZ342" s="2" t="s">
        <v>7250</v>
      </c>
      <c r="DA342" s="2" t="s">
        <v>7250</v>
      </c>
      <c r="DB342" s="2" t="s">
        <v>7250</v>
      </c>
      <c r="DC342" s="2" t="s">
        <v>7250</v>
      </c>
      <c r="DD342" s="2" t="s">
        <v>7250</v>
      </c>
      <c r="DE342" s="2" t="s">
        <v>7250</v>
      </c>
      <c r="DF342" s="2" t="s">
        <v>7250</v>
      </c>
      <c r="DG342" s="2" t="s">
        <v>7250</v>
      </c>
      <c r="DH342" s="2" t="s">
        <v>7250</v>
      </c>
      <c r="DI342" s="2" t="s">
        <v>7250</v>
      </c>
      <c r="DL342" s="2" t="s">
        <v>7143</v>
      </c>
      <c r="DM342" s="2" t="s">
        <v>7143</v>
      </c>
      <c r="DP342" s="2" t="s">
        <v>7159</v>
      </c>
      <c r="DT342" s="2" t="s">
        <v>7159</v>
      </c>
      <c r="DU342" s="2" t="s">
        <v>7159</v>
      </c>
      <c r="DV342" s="2" t="s">
        <v>7159</v>
      </c>
      <c r="DW342" s="2" t="s">
        <v>7159</v>
      </c>
      <c r="DX342" s="2" t="s">
        <v>7159</v>
      </c>
      <c r="DY342" s="2" t="s">
        <v>7159</v>
      </c>
      <c r="DZ342" s="2" t="s">
        <v>7159</v>
      </c>
      <c r="EA342" s="2" t="s">
        <v>7159</v>
      </c>
      <c r="EB342" s="2" t="s">
        <v>7159</v>
      </c>
      <c r="EC342" s="2" t="s">
        <v>7159</v>
      </c>
      <c r="EF342" s="2" t="s">
        <v>7252</v>
      </c>
      <c r="EG342" s="2" t="s">
        <v>2291</v>
      </c>
      <c r="EJ342" s="2" t="s">
        <v>7193</v>
      </c>
      <c r="EK342" s="2" t="s">
        <v>7143</v>
      </c>
      <c r="EL342" s="2" t="s">
        <v>7143</v>
      </c>
      <c r="EN342" s="2" t="s">
        <v>7170</v>
      </c>
      <c r="EP342" s="2" t="s">
        <v>7186</v>
      </c>
      <c r="ER342" s="2" t="s">
        <v>7143</v>
      </c>
      <c r="ET342" s="2" t="s">
        <v>7143</v>
      </c>
      <c r="EV342" s="2" t="s">
        <v>7143</v>
      </c>
      <c r="EX342" s="2" t="s">
        <v>7143</v>
      </c>
      <c r="EZ342" s="2" t="s">
        <v>7143</v>
      </c>
      <c r="FC342" s="2" t="s">
        <v>7172</v>
      </c>
      <c r="FD342" s="2" t="s">
        <v>7143</v>
      </c>
      <c r="FH342" s="2" t="s">
        <v>7173</v>
      </c>
      <c r="FJ342" s="2" t="s">
        <v>7143</v>
      </c>
      <c r="FK342" s="2" t="s">
        <v>7159</v>
      </c>
      <c r="FN342" s="2" t="s">
        <v>7322</v>
      </c>
      <c r="FR342" s="2" t="s">
        <v>461</v>
      </c>
      <c r="FT342" s="2" t="s">
        <v>7189</v>
      </c>
      <c r="FU342" s="2" t="s">
        <v>7189</v>
      </c>
      <c r="FV342" s="2" t="s">
        <v>7189</v>
      </c>
      <c r="FW342" s="2" t="s">
        <v>7176</v>
      </c>
      <c r="FX342" s="2" t="s">
        <v>7189</v>
      </c>
      <c r="FY342" s="2" t="s">
        <v>2292</v>
      </c>
      <c r="FZ342" s="19" t="s">
        <v>8358</v>
      </c>
    </row>
    <row r="343" spans="1:182">
      <c r="A343" s="7" t="s">
        <v>2293</v>
      </c>
      <c r="D343" s="7" t="s">
        <v>8359</v>
      </c>
      <c r="E343" s="7" t="s">
        <v>177</v>
      </c>
      <c r="F343" s="7" t="s">
        <v>7134</v>
      </c>
      <c r="G343" s="7" t="s">
        <v>8348</v>
      </c>
      <c r="H343" s="7" t="s">
        <v>2294</v>
      </c>
      <c r="I343" s="7" t="s">
        <v>2295</v>
      </c>
      <c r="J343" s="16" t="s">
        <v>8360</v>
      </c>
      <c r="K343" s="7" t="s">
        <v>2295</v>
      </c>
      <c r="L343" s="2" t="s">
        <v>7137</v>
      </c>
      <c r="M343" s="7" t="s">
        <v>7138</v>
      </c>
      <c r="N343" s="7">
        <v>1978</v>
      </c>
      <c r="O343" s="7" t="s">
        <v>7490</v>
      </c>
      <c r="P343" s="2" t="s">
        <v>7140</v>
      </c>
      <c r="Q343" s="2" t="s">
        <v>7141</v>
      </c>
      <c r="R343" s="2" t="s">
        <v>7143</v>
      </c>
      <c r="S343" s="2">
        <v>28</v>
      </c>
      <c r="T343" s="2" t="s">
        <v>7143</v>
      </c>
      <c r="U343" s="2" t="s">
        <v>7143</v>
      </c>
      <c r="Y343" s="2">
        <v>606</v>
      </c>
      <c r="Z343" s="17">
        <v>0.94220000000000004</v>
      </c>
      <c r="AA343" s="2">
        <v>571</v>
      </c>
      <c r="AB343" s="2">
        <v>571</v>
      </c>
      <c r="AC343" s="7">
        <v>545</v>
      </c>
      <c r="AD343" s="2">
        <v>620</v>
      </c>
      <c r="AE343" s="2">
        <v>75</v>
      </c>
      <c r="AF343" s="2" t="s">
        <v>7142</v>
      </c>
      <c r="AG343" s="2" t="s">
        <v>7142</v>
      </c>
      <c r="AH343" s="2" t="s">
        <v>7142</v>
      </c>
      <c r="AI343" s="2" t="s">
        <v>308</v>
      </c>
      <c r="AJ343" s="2" t="s">
        <v>7143</v>
      </c>
      <c r="AK343" s="2" t="s">
        <v>7143</v>
      </c>
      <c r="AL343" s="2" t="s">
        <v>7142</v>
      </c>
      <c r="AM343" s="2" t="s">
        <v>7143</v>
      </c>
      <c r="AN343" s="2" t="s">
        <v>7143</v>
      </c>
      <c r="AO343" s="2" t="s">
        <v>7143</v>
      </c>
      <c r="AR343" s="7">
        <v>2.4500000000000002</v>
      </c>
      <c r="AS343" s="7">
        <v>4</v>
      </c>
      <c r="AT343" s="7">
        <v>6.3</v>
      </c>
      <c r="AU343" s="2" t="s">
        <v>7144</v>
      </c>
      <c r="AV343" s="2" t="s">
        <v>7144</v>
      </c>
      <c r="AW343" s="2" t="s">
        <v>7143</v>
      </c>
      <c r="BC343" s="2" t="s">
        <v>7147</v>
      </c>
      <c r="BD343" s="2" t="s">
        <v>7143</v>
      </c>
      <c r="BE343" s="2" t="s">
        <v>7143</v>
      </c>
      <c r="BL343" s="2" t="s">
        <v>7152</v>
      </c>
      <c r="BM343" s="2" t="s">
        <v>7153</v>
      </c>
      <c r="BN343" s="2" t="s">
        <v>7154</v>
      </c>
      <c r="BO343" s="2" t="s">
        <v>7155</v>
      </c>
      <c r="BQ343" s="2" t="s">
        <v>7156</v>
      </c>
      <c r="BT343" s="2" t="s">
        <v>7157</v>
      </c>
      <c r="BV343" s="2" t="s">
        <v>7202</v>
      </c>
      <c r="BX343" s="2" t="s">
        <v>7143</v>
      </c>
      <c r="BZ343" s="2" t="s">
        <v>7173</v>
      </c>
      <c r="CE343" s="7">
        <v>6.3</v>
      </c>
      <c r="CF343" s="2">
        <v>620</v>
      </c>
      <c r="CM343" s="2">
        <v>100</v>
      </c>
      <c r="CO343" s="2">
        <v>100</v>
      </c>
      <c r="CR343" s="2" t="s">
        <v>7160</v>
      </c>
      <c r="CT343" s="2" t="s">
        <v>7143</v>
      </c>
      <c r="CU343" s="2" t="s">
        <v>7161</v>
      </c>
      <c r="CW343" s="2" t="s">
        <v>7162</v>
      </c>
      <c r="CY343" s="2" t="s">
        <v>7163</v>
      </c>
      <c r="CZ343" s="2" t="s">
        <v>7163</v>
      </c>
      <c r="DA343" s="2" t="s">
        <v>7163</v>
      </c>
      <c r="DB343" s="2" t="s">
        <v>7164</v>
      </c>
      <c r="DC343" s="2" t="s">
        <v>7164</v>
      </c>
      <c r="DD343" s="2" t="s">
        <v>7164</v>
      </c>
      <c r="DE343" s="2" t="s">
        <v>7164</v>
      </c>
      <c r="DF343" s="2" t="s">
        <v>7164</v>
      </c>
      <c r="DG343" s="2" t="s">
        <v>7164</v>
      </c>
      <c r="DH343" s="2" t="s">
        <v>7164</v>
      </c>
      <c r="DI343" s="2" t="s">
        <v>7164</v>
      </c>
      <c r="DL343" s="2" t="s">
        <v>7142</v>
      </c>
      <c r="DM343" s="2" t="s">
        <v>7142</v>
      </c>
      <c r="DN343" s="2" t="s">
        <v>7142</v>
      </c>
      <c r="DO343" s="2" t="s">
        <v>7142</v>
      </c>
      <c r="DP343" s="2" t="s">
        <v>7165</v>
      </c>
      <c r="DQ343" s="2" t="s">
        <v>7166</v>
      </c>
      <c r="DT343" s="2" t="s">
        <v>7165</v>
      </c>
      <c r="DU343" s="2" t="s">
        <v>7165</v>
      </c>
      <c r="DV343" s="2" t="s">
        <v>7165</v>
      </c>
      <c r="DW343" s="2" t="s">
        <v>7165</v>
      </c>
      <c r="DX343" s="2" t="s">
        <v>7165</v>
      </c>
      <c r="DY343" s="2" t="s">
        <v>7165</v>
      </c>
      <c r="DZ343" s="2" t="s">
        <v>7165</v>
      </c>
      <c r="EA343" s="2" t="s">
        <v>7165</v>
      </c>
      <c r="EB343" s="2" t="s">
        <v>7165</v>
      </c>
      <c r="EF343" s="2" t="s">
        <v>7167</v>
      </c>
      <c r="FH343" s="2" t="s">
        <v>7173</v>
      </c>
      <c r="FJ343" s="2" t="s">
        <v>7142</v>
      </c>
      <c r="FK343" s="2" t="s">
        <v>7165</v>
      </c>
      <c r="FL343" s="2" t="s">
        <v>7174</v>
      </c>
      <c r="FN343" s="2" t="s">
        <v>7175</v>
      </c>
      <c r="FT343" s="2" t="s">
        <v>7176</v>
      </c>
      <c r="FU343" s="2" t="s">
        <v>7176</v>
      </c>
      <c r="FV343" s="2" t="s">
        <v>7176</v>
      </c>
      <c r="FW343" s="2" t="s">
        <v>7176</v>
      </c>
      <c r="FZ343" s="19" t="s">
        <v>8361</v>
      </c>
    </row>
    <row r="344" spans="1:182">
      <c r="A344" s="7" t="s">
        <v>2296</v>
      </c>
      <c r="D344" s="7" t="s">
        <v>8362</v>
      </c>
      <c r="E344" s="7" t="s">
        <v>2297</v>
      </c>
      <c r="F344" s="7" t="s">
        <v>7389</v>
      </c>
      <c r="G344" s="7" t="s">
        <v>8348</v>
      </c>
      <c r="H344" s="2" t="s">
        <v>2298</v>
      </c>
      <c r="I344" s="7" t="s">
        <v>2299</v>
      </c>
      <c r="J344" s="19" t="s">
        <v>8363</v>
      </c>
      <c r="K344" s="7" t="s">
        <v>2299</v>
      </c>
      <c r="L344" s="2" t="s">
        <v>7137</v>
      </c>
      <c r="M344" s="7" t="s">
        <v>7138</v>
      </c>
      <c r="N344" s="7">
        <v>1968</v>
      </c>
      <c r="O344" s="7" t="s">
        <v>7490</v>
      </c>
      <c r="P344" s="7" t="s">
        <v>7140</v>
      </c>
      <c r="Q344" s="2" t="s">
        <v>7225</v>
      </c>
      <c r="R344" s="2" t="s">
        <v>7143</v>
      </c>
      <c r="S344" s="2">
        <v>25</v>
      </c>
      <c r="T344" s="2" t="s">
        <v>7143</v>
      </c>
      <c r="U344" s="2" t="s">
        <v>7143</v>
      </c>
      <c r="Y344" s="2">
        <v>275</v>
      </c>
      <c r="Z344" s="17">
        <v>1</v>
      </c>
      <c r="AA344" s="2">
        <v>275</v>
      </c>
      <c r="AB344" s="2">
        <v>275</v>
      </c>
      <c r="AC344" s="7">
        <v>275</v>
      </c>
      <c r="AD344" s="2">
        <v>300</v>
      </c>
      <c r="AE344" s="2">
        <v>25</v>
      </c>
      <c r="AF344" s="2" t="s">
        <v>7143</v>
      </c>
      <c r="AG344" s="2" t="s">
        <v>7143</v>
      </c>
      <c r="AH344" s="2" t="s">
        <v>7143</v>
      </c>
      <c r="AJ344" s="2" t="s">
        <v>7143</v>
      </c>
      <c r="AK344" s="2" t="s">
        <v>7143</v>
      </c>
      <c r="AL344" s="2" t="s">
        <v>7143</v>
      </c>
      <c r="AM344" s="2" t="s">
        <v>7143</v>
      </c>
      <c r="AN344" s="2" t="s">
        <v>7143</v>
      </c>
      <c r="AO344" s="2" t="s">
        <v>7143</v>
      </c>
      <c r="AR344" s="7">
        <v>1.3</v>
      </c>
      <c r="AS344" s="7">
        <v>2</v>
      </c>
      <c r="AT344" s="7">
        <v>2.5</v>
      </c>
      <c r="AU344" s="2" t="s">
        <v>7217</v>
      </c>
      <c r="AV344" s="2" t="s">
        <v>7193</v>
      </c>
      <c r="AW344" s="2" t="s">
        <v>7143</v>
      </c>
      <c r="AZ344" s="2" t="s">
        <v>7145</v>
      </c>
      <c r="BB344" s="2" t="s">
        <v>7214</v>
      </c>
      <c r="BC344" s="2" t="s">
        <v>7247</v>
      </c>
      <c r="BD344" s="2" t="s">
        <v>7142</v>
      </c>
      <c r="BE344" s="2" t="s">
        <v>7142</v>
      </c>
      <c r="BF344" s="2" t="s">
        <v>7148</v>
      </c>
      <c r="BG344" s="2" t="s">
        <v>7149</v>
      </c>
      <c r="BH344" s="2" t="s">
        <v>7248</v>
      </c>
      <c r="BI344" s="2" t="s">
        <v>7151</v>
      </c>
      <c r="BL344" s="2" t="s">
        <v>7195</v>
      </c>
      <c r="BO344" s="2" t="s">
        <v>7274</v>
      </c>
      <c r="BP344" s="2" t="s">
        <v>8205</v>
      </c>
      <c r="BS344" s="2" t="s">
        <v>7143</v>
      </c>
      <c r="BT344" s="2" t="s">
        <v>7362</v>
      </c>
      <c r="BV344" s="2" t="s">
        <v>7363</v>
      </c>
      <c r="BX344" s="2" t="s">
        <v>7143</v>
      </c>
      <c r="BZ344" s="2" t="s">
        <v>7173</v>
      </c>
      <c r="CE344" s="7">
        <v>2.5</v>
      </c>
      <c r="CF344" s="2">
        <v>300</v>
      </c>
      <c r="CK344" s="2">
        <v>100</v>
      </c>
      <c r="CO344" s="2">
        <v>100</v>
      </c>
      <c r="CR344" s="2" t="s">
        <v>7160</v>
      </c>
      <c r="CT344" s="2" t="s">
        <v>7143</v>
      </c>
      <c r="CU344" s="2" t="s">
        <v>7161</v>
      </c>
      <c r="CW344" s="2" t="s">
        <v>7162</v>
      </c>
      <c r="CY344" s="2" t="s">
        <v>7227</v>
      </c>
      <c r="CZ344" s="2" t="s">
        <v>7250</v>
      </c>
      <c r="DA344" s="2" t="s">
        <v>7250</v>
      </c>
      <c r="DB344" s="2" t="s">
        <v>7250</v>
      </c>
      <c r="DC344" s="2" t="s">
        <v>7321</v>
      </c>
      <c r="DD344" s="2" t="s">
        <v>7250</v>
      </c>
      <c r="DE344" s="2" t="s">
        <v>7227</v>
      </c>
      <c r="DF344" s="2" t="s">
        <v>7227</v>
      </c>
      <c r="DG344" s="2" t="s">
        <v>7250</v>
      </c>
      <c r="DH344" s="2" t="s">
        <v>7250</v>
      </c>
      <c r="DI344" s="2" t="s">
        <v>7250</v>
      </c>
      <c r="DL344" s="2" t="s">
        <v>7143</v>
      </c>
      <c r="DM344" s="2" t="s">
        <v>7142</v>
      </c>
      <c r="DN344" s="2" t="s">
        <v>7142</v>
      </c>
      <c r="DO344" s="2" t="s">
        <v>7142</v>
      </c>
      <c r="DP344" s="2" t="s">
        <v>7159</v>
      </c>
      <c r="DT344" s="2" t="s">
        <v>7165</v>
      </c>
      <c r="DU344" s="2" t="s">
        <v>7165</v>
      </c>
      <c r="DV344" s="2" t="s">
        <v>7165</v>
      </c>
      <c r="DW344" s="2" t="s">
        <v>7165</v>
      </c>
      <c r="DX344" s="2" t="s">
        <v>7165</v>
      </c>
      <c r="DY344" s="2" t="s">
        <v>7165</v>
      </c>
      <c r="DZ344" s="2" t="s">
        <v>7165</v>
      </c>
      <c r="EA344" s="2" t="s">
        <v>7165</v>
      </c>
      <c r="EB344" s="2" t="s">
        <v>7165</v>
      </c>
      <c r="EC344" s="2" t="s">
        <v>7173</v>
      </c>
      <c r="EF344" s="2" t="s">
        <v>7167</v>
      </c>
      <c r="EG344" s="2" t="s">
        <v>985</v>
      </c>
      <c r="EJ344" s="2" t="s">
        <v>7217</v>
      </c>
      <c r="EK344" s="2" t="s">
        <v>7143</v>
      </c>
      <c r="EL344" s="2" t="s">
        <v>7143</v>
      </c>
      <c r="EN344" s="2" t="s">
        <v>7210</v>
      </c>
      <c r="EP344" s="2" t="s">
        <v>7186</v>
      </c>
      <c r="ER344" s="2" t="s">
        <v>7143</v>
      </c>
      <c r="ET344" s="2" t="s">
        <v>7143</v>
      </c>
      <c r="EV344" s="2" t="s">
        <v>7143</v>
      </c>
      <c r="EX344" s="2" t="s">
        <v>7143</v>
      </c>
      <c r="EZ344" s="2" t="s">
        <v>7143</v>
      </c>
      <c r="FC344" s="2" t="s">
        <v>7218</v>
      </c>
      <c r="FD344" s="2" t="s">
        <v>7143</v>
      </c>
      <c r="FH344" s="2" t="s">
        <v>7173</v>
      </c>
      <c r="FJ344" s="2" t="s">
        <v>7143</v>
      </c>
      <c r="FK344" s="2" t="s">
        <v>7173</v>
      </c>
      <c r="FN344" s="2" t="s">
        <v>7583</v>
      </c>
      <c r="FR344" s="2" t="s">
        <v>461</v>
      </c>
      <c r="FT344" s="2" t="s">
        <v>7189</v>
      </c>
      <c r="FU344" s="2" t="s">
        <v>7189</v>
      </c>
      <c r="FV344" s="2" t="s">
        <v>7189</v>
      </c>
      <c r="FW344" s="2" t="s">
        <v>7189</v>
      </c>
      <c r="FZ344" s="19" t="s">
        <v>8364</v>
      </c>
    </row>
    <row r="345" spans="1:182">
      <c r="A345" s="7" t="s">
        <v>2300</v>
      </c>
      <c r="D345" s="7" t="s">
        <v>8365</v>
      </c>
      <c r="E345" s="7" t="s">
        <v>2301</v>
      </c>
      <c r="F345" s="7" t="s">
        <v>7339</v>
      </c>
      <c r="G345" s="7" t="s">
        <v>8348</v>
      </c>
      <c r="H345" s="7" t="s">
        <v>2302</v>
      </c>
      <c r="I345" s="7" t="s">
        <v>2303</v>
      </c>
      <c r="J345" s="16" t="s">
        <v>8366</v>
      </c>
      <c r="K345" s="7" t="s">
        <v>2304</v>
      </c>
      <c r="L345" s="2" t="s">
        <v>7137</v>
      </c>
      <c r="M345" s="2" t="s">
        <v>7138</v>
      </c>
      <c r="N345" s="7">
        <v>1977</v>
      </c>
      <c r="O345" s="7" t="s">
        <v>7490</v>
      </c>
      <c r="P345" s="2" t="s">
        <v>7140</v>
      </c>
      <c r="Q345" s="2" t="s">
        <v>7141</v>
      </c>
      <c r="R345" s="2" t="s">
        <v>7143</v>
      </c>
      <c r="S345" s="2">
        <v>17</v>
      </c>
      <c r="T345" s="2" t="s">
        <v>7143</v>
      </c>
      <c r="U345" s="2" t="s">
        <v>7143</v>
      </c>
      <c r="Y345" s="2">
        <v>312</v>
      </c>
      <c r="Z345" s="17">
        <v>1</v>
      </c>
      <c r="AA345" s="2">
        <v>312</v>
      </c>
      <c r="AC345" s="7">
        <v>312</v>
      </c>
      <c r="AD345" s="2">
        <v>392</v>
      </c>
      <c r="AE345" s="2">
        <v>80</v>
      </c>
      <c r="AF345" s="2" t="s">
        <v>7143</v>
      </c>
      <c r="AG345" s="2" t="s">
        <v>7143</v>
      </c>
      <c r="AH345" s="2" t="s">
        <v>7143</v>
      </c>
      <c r="AJ345" s="2" t="s">
        <v>7143</v>
      </c>
      <c r="AK345" s="2" t="s">
        <v>7143</v>
      </c>
      <c r="AL345" s="2" t="s">
        <v>7143</v>
      </c>
      <c r="AM345" s="2" t="s">
        <v>7143</v>
      </c>
      <c r="AN345" s="2" t="s">
        <v>7143</v>
      </c>
      <c r="AO345" s="2" t="s">
        <v>7143</v>
      </c>
      <c r="AR345" s="7">
        <v>1</v>
      </c>
      <c r="AS345" s="7">
        <v>2</v>
      </c>
      <c r="AT345" s="7">
        <v>4</v>
      </c>
      <c r="AU345" s="2" t="s">
        <v>7193</v>
      </c>
      <c r="AV345" s="2" t="s">
        <v>7193</v>
      </c>
      <c r="AZ345" s="2" t="s">
        <v>7145</v>
      </c>
      <c r="BB345" s="2" t="s">
        <v>7214</v>
      </c>
      <c r="BC345" s="2" t="s">
        <v>7247</v>
      </c>
      <c r="BD345" s="2" t="s">
        <v>7143</v>
      </c>
      <c r="BE345" s="2" t="s">
        <v>7142</v>
      </c>
      <c r="BF345" s="2" t="s">
        <v>7148</v>
      </c>
      <c r="BG345" s="2" t="s">
        <v>7149</v>
      </c>
      <c r="BH345" s="2" t="s">
        <v>7233</v>
      </c>
      <c r="BI345" s="2" t="s">
        <v>7151</v>
      </c>
      <c r="BL345" s="2" t="s">
        <v>7195</v>
      </c>
      <c r="BO345" s="2" t="s">
        <v>7155</v>
      </c>
      <c r="BQ345" s="2" t="s">
        <v>7156</v>
      </c>
      <c r="BS345" s="2" t="s">
        <v>7142</v>
      </c>
      <c r="BT345" s="2" t="s">
        <v>7535</v>
      </c>
      <c r="BV345" s="2" t="s">
        <v>7313</v>
      </c>
      <c r="BX345" s="2" t="s">
        <v>7142</v>
      </c>
      <c r="BY345" s="2" t="s">
        <v>2305</v>
      </c>
      <c r="BZ345" s="2" t="s">
        <v>7173</v>
      </c>
      <c r="CE345" s="7">
        <v>4</v>
      </c>
      <c r="CF345" s="2">
        <v>392</v>
      </c>
      <c r="CK345" s="2">
        <v>100</v>
      </c>
      <c r="CO345" s="2">
        <v>100</v>
      </c>
      <c r="CR345" s="2" t="s">
        <v>7357</v>
      </c>
      <c r="CT345" s="2" t="s">
        <v>7143</v>
      </c>
      <c r="CU345" s="2" t="s">
        <v>7161</v>
      </c>
      <c r="CY345" s="2" t="s">
        <v>7250</v>
      </c>
      <c r="CZ345" s="2" t="s">
        <v>7250</v>
      </c>
      <c r="DA345" s="2" t="s">
        <v>7250</v>
      </c>
      <c r="DB345" s="2" t="s">
        <v>7250</v>
      </c>
      <c r="DC345" s="2" t="s">
        <v>7250</v>
      </c>
      <c r="DD345" s="2" t="s">
        <v>7250</v>
      </c>
      <c r="DE345" s="2" t="s">
        <v>7250</v>
      </c>
      <c r="DF345" s="2" t="s">
        <v>7250</v>
      </c>
      <c r="DG345" s="2" t="s">
        <v>7250</v>
      </c>
      <c r="DH345" s="2" t="s">
        <v>7250</v>
      </c>
      <c r="DI345" s="2" t="s">
        <v>7582</v>
      </c>
      <c r="DL345" s="2" t="s">
        <v>7142</v>
      </c>
      <c r="DM345" s="2" t="s">
        <v>7143</v>
      </c>
      <c r="DP345" s="2" t="s">
        <v>7173</v>
      </c>
      <c r="DT345" s="2" t="s">
        <v>7165</v>
      </c>
      <c r="DU345" s="2" t="s">
        <v>7165</v>
      </c>
      <c r="DV345" s="2" t="s">
        <v>7165</v>
      </c>
      <c r="DW345" s="2" t="s">
        <v>7165</v>
      </c>
      <c r="DX345" s="2" t="s">
        <v>7165</v>
      </c>
      <c r="DY345" s="2" t="s">
        <v>7165</v>
      </c>
      <c r="DZ345" s="2" t="s">
        <v>7159</v>
      </c>
      <c r="EA345" s="2" t="s">
        <v>7159</v>
      </c>
      <c r="EB345" s="2" t="s">
        <v>7165</v>
      </c>
      <c r="EJ345" s="2" t="s">
        <v>7217</v>
      </c>
      <c r="EK345" s="2" t="s">
        <v>7143</v>
      </c>
      <c r="EL345" s="2" t="s">
        <v>7143</v>
      </c>
      <c r="EN345" s="2" t="s">
        <v>7392</v>
      </c>
      <c r="EP345" s="2" t="s">
        <v>7186</v>
      </c>
      <c r="ER345" s="2" t="s">
        <v>7143</v>
      </c>
      <c r="ET345" s="2" t="s">
        <v>7143</v>
      </c>
      <c r="EV345" s="2" t="s">
        <v>7143</v>
      </c>
      <c r="EX345" s="2" t="s">
        <v>7143</v>
      </c>
      <c r="EZ345" s="2" t="s">
        <v>7143</v>
      </c>
      <c r="FD345" s="2" t="s">
        <v>7143</v>
      </c>
      <c r="FH345" s="2" t="s">
        <v>7173</v>
      </c>
      <c r="FJ345" s="2" t="s">
        <v>7143</v>
      </c>
      <c r="FK345" s="2" t="s">
        <v>7159</v>
      </c>
      <c r="FN345" s="2" t="s">
        <v>7344</v>
      </c>
      <c r="FT345" s="2" t="s">
        <v>7189</v>
      </c>
      <c r="FU345" s="2" t="s">
        <v>7189</v>
      </c>
      <c r="FV345" s="2" t="s">
        <v>7189</v>
      </c>
      <c r="FW345" s="2" t="s">
        <v>7189</v>
      </c>
      <c r="FZ345" s="2"/>
    </row>
    <row r="346" spans="1:182">
      <c r="A346" s="7" t="s">
        <v>2306</v>
      </c>
      <c r="D346" s="7" t="s">
        <v>8367</v>
      </c>
      <c r="E346" s="7" t="s">
        <v>2307</v>
      </c>
      <c r="F346" s="7" t="s">
        <v>7311</v>
      </c>
      <c r="G346" s="7" t="s">
        <v>8348</v>
      </c>
      <c r="H346" s="7" t="s">
        <v>2308</v>
      </c>
      <c r="I346" s="7" t="s">
        <v>2309</v>
      </c>
      <c r="J346" s="16" t="s">
        <v>8368</v>
      </c>
      <c r="K346" s="7" t="s">
        <v>2309</v>
      </c>
      <c r="L346" s="7" t="s">
        <v>7224</v>
      </c>
      <c r="M346" s="7" t="s">
        <v>7179</v>
      </c>
      <c r="N346" s="7">
        <v>1996</v>
      </c>
      <c r="O346" s="7" t="s">
        <v>7490</v>
      </c>
      <c r="P346" s="7" t="s">
        <v>7140</v>
      </c>
      <c r="Q346" s="7" t="s">
        <v>7225</v>
      </c>
      <c r="R346" s="7" t="s">
        <v>7143</v>
      </c>
      <c r="S346" s="7">
        <v>8</v>
      </c>
      <c r="T346" s="7" t="s">
        <v>7143</v>
      </c>
      <c r="U346" s="7" t="s">
        <v>7143</v>
      </c>
      <c r="Y346" s="2">
        <v>120</v>
      </c>
      <c r="Z346" s="17">
        <v>1</v>
      </c>
      <c r="AA346" s="2">
        <v>120</v>
      </c>
      <c r="AB346" s="2">
        <v>120</v>
      </c>
      <c r="AC346" s="7">
        <v>120</v>
      </c>
      <c r="AD346" s="2">
        <v>145</v>
      </c>
      <c r="AE346" s="2">
        <v>25</v>
      </c>
      <c r="AF346" s="2" t="s">
        <v>7143</v>
      </c>
      <c r="AG346" s="2" t="s">
        <v>7143</v>
      </c>
      <c r="AH346" s="2" t="s">
        <v>7143</v>
      </c>
      <c r="AJ346" s="2" t="s">
        <v>7143</v>
      </c>
      <c r="AK346" s="2" t="s">
        <v>7143</v>
      </c>
      <c r="AL346" s="2" t="s">
        <v>7143</v>
      </c>
      <c r="AM346" s="2" t="s">
        <v>7143</v>
      </c>
      <c r="AN346" s="2" t="s">
        <v>7143</v>
      </c>
      <c r="AO346" s="2" t="s">
        <v>7143</v>
      </c>
      <c r="AR346" s="7">
        <v>0.8</v>
      </c>
      <c r="AS346" s="7">
        <v>2</v>
      </c>
      <c r="AT346" s="7">
        <v>1.5</v>
      </c>
      <c r="AU346" s="2" t="s">
        <v>7193</v>
      </c>
      <c r="AV346" s="2" t="s">
        <v>7193</v>
      </c>
      <c r="AW346" s="2" t="s">
        <v>7143</v>
      </c>
      <c r="AZ346" s="2" t="s">
        <v>7145</v>
      </c>
      <c r="BB346" s="2" t="s">
        <v>7214</v>
      </c>
      <c r="BC346" s="2" t="s">
        <v>7247</v>
      </c>
      <c r="BD346" s="2" t="s">
        <v>7142</v>
      </c>
      <c r="BE346" s="2" t="s">
        <v>7142</v>
      </c>
      <c r="BF346" s="2" t="s">
        <v>7148</v>
      </c>
      <c r="BG346" s="2" t="s">
        <v>7232</v>
      </c>
      <c r="BH346" s="2" t="s">
        <v>7150</v>
      </c>
      <c r="BI346" s="2" t="s">
        <v>7151</v>
      </c>
      <c r="BL346" s="2" t="s">
        <v>7195</v>
      </c>
      <c r="BO346" s="2" t="s">
        <v>7155</v>
      </c>
      <c r="BQ346" s="2" t="s">
        <v>7156</v>
      </c>
      <c r="BS346" s="2" t="s">
        <v>7142</v>
      </c>
      <c r="BT346" s="2" t="s">
        <v>7215</v>
      </c>
      <c r="BV346" s="2" t="s">
        <v>7202</v>
      </c>
      <c r="BX346" s="2" t="s">
        <v>7143</v>
      </c>
      <c r="BY346" s="2" t="s">
        <v>1357</v>
      </c>
      <c r="BZ346" s="2" t="s">
        <v>7159</v>
      </c>
      <c r="CE346" s="7">
        <v>1.5</v>
      </c>
      <c r="CF346" s="2">
        <v>145</v>
      </c>
      <c r="CK346" s="2">
        <v>100</v>
      </c>
      <c r="CP346" s="2">
        <v>100</v>
      </c>
      <c r="CR346" s="2" t="s">
        <v>7160</v>
      </c>
      <c r="CT346" s="2" t="s">
        <v>7143</v>
      </c>
      <c r="CU346" s="2" t="s">
        <v>7161</v>
      </c>
      <c r="CW346" s="2" t="s">
        <v>7162</v>
      </c>
      <c r="CY346" s="2" t="s">
        <v>7250</v>
      </c>
      <c r="CZ346" s="2" t="s">
        <v>7250</v>
      </c>
      <c r="DA346" s="2" t="s">
        <v>7250</v>
      </c>
      <c r="DB346" s="2" t="s">
        <v>7250</v>
      </c>
      <c r="DC346" s="2" t="s">
        <v>7250</v>
      </c>
      <c r="DD346" s="2" t="s">
        <v>7250</v>
      </c>
      <c r="DE346" s="2" t="s">
        <v>7250</v>
      </c>
      <c r="DF346" s="2" t="s">
        <v>7250</v>
      </c>
      <c r="DG346" s="2" t="s">
        <v>7250</v>
      </c>
      <c r="DH346" s="2" t="s">
        <v>7250</v>
      </c>
      <c r="DI346" s="2" t="s">
        <v>7250</v>
      </c>
      <c r="DL346" s="2" t="s">
        <v>7143</v>
      </c>
      <c r="DM346" s="2" t="s">
        <v>7143</v>
      </c>
      <c r="DP346" s="2" t="s">
        <v>7159</v>
      </c>
      <c r="DT346" s="2" t="s">
        <v>7159</v>
      </c>
      <c r="DU346" s="2" t="s">
        <v>7159</v>
      </c>
      <c r="DV346" s="2" t="s">
        <v>7159</v>
      </c>
      <c r="DW346" s="2" t="s">
        <v>7159</v>
      </c>
      <c r="DX346" s="2" t="s">
        <v>7159</v>
      </c>
      <c r="DY346" s="2" t="s">
        <v>7159</v>
      </c>
      <c r="DZ346" s="2" t="s">
        <v>7159</v>
      </c>
      <c r="EA346" s="2" t="s">
        <v>7159</v>
      </c>
      <c r="EB346" s="2" t="s">
        <v>7159</v>
      </c>
      <c r="EC346" s="2" t="s">
        <v>7159</v>
      </c>
      <c r="EF346" s="2" t="s">
        <v>7252</v>
      </c>
      <c r="EG346" s="2" t="s">
        <v>2310</v>
      </c>
      <c r="EJ346" s="2" t="s">
        <v>7193</v>
      </c>
      <c r="EK346" s="2" t="s">
        <v>7143</v>
      </c>
      <c r="EL346" s="2" t="s">
        <v>7143</v>
      </c>
      <c r="EN346" s="2" t="s">
        <v>7170</v>
      </c>
      <c r="EP346" s="2" t="s">
        <v>7186</v>
      </c>
      <c r="ER346" s="2" t="s">
        <v>7143</v>
      </c>
      <c r="ET346" s="2" t="s">
        <v>7143</v>
      </c>
      <c r="EV346" s="2" t="s">
        <v>7143</v>
      </c>
      <c r="EX346" s="2" t="s">
        <v>7143</v>
      </c>
      <c r="EZ346" s="2" t="s">
        <v>7143</v>
      </c>
      <c r="FC346" s="2" t="s">
        <v>7172</v>
      </c>
      <c r="FD346" s="2" t="s">
        <v>7143</v>
      </c>
      <c r="FH346" s="2" t="s">
        <v>7173</v>
      </c>
      <c r="FJ346" s="2" t="s">
        <v>7143</v>
      </c>
      <c r="FK346" s="2" t="s">
        <v>7159</v>
      </c>
      <c r="FN346" s="2" t="s">
        <v>7322</v>
      </c>
      <c r="FR346" s="2" t="s">
        <v>2311</v>
      </c>
      <c r="FT346" s="2" t="s">
        <v>7176</v>
      </c>
      <c r="FU346" s="2" t="s">
        <v>7189</v>
      </c>
      <c r="FV346" s="2" t="s">
        <v>7176</v>
      </c>
      <c r="FW346" s="2" t="s">
        <v>7176</v>
      </c>
      <c r="FX346" s="2" t="s">
        <v>7176</v>
      </c>
      <c r="FY346" s="2" t="s">
        <v>2312</v>
      </c>
      <c r="FZ346" s="19" t="s">
        <v>8369</v>
      </c>
    </row>
    <row r="347" spans="1:182">
      <c r="A347" s="7" t="s">
        <v>2313</v>
      </c>
      <c r="D347" s="7" t="s">
        <v>8370</v>
      </c>
      <c r="E347" s="7" t="s">
        <v>177</v>
      </c>
      <c r="F347" s="7" t="s">
        <v>7245</v>
      </c>
      <c r="G347" s="7" t="s">
        <v>8348</v>
      </c>
      <c r="H347" s="7" t="s">
        <v>2314</v>
      </c>
      <c r="I347" s="7" t="s">
        <v>2315</v>
      </c>
      <c r="J347" s="16" t="s">
        <v>8371</v>
      </c>
      <c r="K347" s="7" t="s">
        <v>2316</v>
      </c>
      <c r="L347" s="7" t="s">
        <v>7224</v>
      </c>
      <c r="M347" s="7" t="s">
        <v>7179</v>
      </c>
      <c r="N347" s="7">
        <v>2002</v>
      </c>
      <c r="O347" s="7" t="s">
        <v>7490</v>
      </c>
      <c r="P347" s="7" t="s">
        <v>7181</v>
      </c>
      <c r="Q347" s="7" t="s">
        <v>7141</v>
      </c>
      <c r="R347" s="7" t="s">
        <v>7143</v>
      </c>
      <c r="S347" s="7">
        <v>2013</v>
      </c>
      <c r="T347" s="7" t="s">
        <v>7143</v>
      </c>
      <c r="U347" s="7" t="s">
        <v>7143</v>
      </c>
      <c r="Y347" s="2">
        <v>230</v>
      </c>
      <c r="Z347" s="17">
        <v>0.86960000000000004</v>
      </c>
      <c r="AA347" s="2">
        <v>200</v>
      </c>
      <c r="AB347" s="2">
        <v>200</v>
      </c>
      <c r="AC347" s="7">
        <v>175</v>
      </c>
      <c r="AD347" s="2">
        <v>200</v>
      </c>
      <c r="AE347" s="2">
        <v>25</v>
      </c>
      <c r="AF347" s="7" t="s">
        <v>7142</v>
      </c>
      <c r="AG347" s="2" t="s">
        <v>7143</v>
      </c>
      <c r="AH347" s="2" t="s">
        <v>7143</v>
      </c>
      <c r="AJ347" s="2" t="s">
        <v>7143</v>
      </c>
      <c r="AK347" s="2" t="s">
        <v>7143</v>
      </c>
      <c r="AL347" s="2" t="s">
        <v>7143</v>
      </c>
      <c r="AM347" s="2" t="s">
        <v>7142</v>
      </c>
      <c r="AN347" s="2" t="s">
        <v>7143</v>
      </c>
      <c r="AO347" s="2" t="s">
        <v>7143</v>
      </c>
      <c r="AR347" s="7">
        <v>0.8</v>
      </c>
      <c r="AS347" s="7">
        <v>1</v>
      </c>
      <c r="AT347" s="7">
        <v>2</v>
      </c>
      <c r="AU347" s="7" t="s">
        <v>7193</v>
      </c>
      <c r="AV347" s="7" t="s">
        <v>7193</v>
      </c>
      <c r="AW347" s="7" t="s">
        <v>7143</v>
      </c>
      <c r="AZ347" s="7" t="s">
        <v>7145</v>
      </c>
      <c r="BB347" s="7" t="s">
        <v>7214</v>
      </c>
      <c r="BC347" s="7" t="s">
        <v>7147</v>
      </c>
      <c r="BD347" s="7" t="s">
        <v>7142</v>
      </c>
      <c r="BE347" s="7" t="s">
        <v>7142</v>
      </c>
      <c r="BF347" s="7" t="s">
        <v>7148</v>
      </c>
      <c r="BG347" s="2" t="s">
        <v>7149</v>
      </c>
      <c r="BH347" s="7" t="s">
        <v>7233</v>
      </c>
      <c r="BI347" s="7" t="s">
        <v>7151</v>
      </c>
      <c r="BL347" s="7" t="s">
        <v>7195</v>
      </c>
      <c r="BM347" s="7" t="s">
        <v>7153</v>
      </c>
      <c r="BN347" s="7" t="s">
        <v>7154</v>
      </c>
      <c r="BO347" s="2" t="s">
        <v>7155</v>
      </c>
      <c r="BP347" s="2" t="s">
        <v>7275</v>
      </c>
      <c r="BQ347" s="2" t="s">
        <v>7256</v>
      </c>
      <c r="BS347" s="2" t="s">
        <v>7143</v>
      </c>
      <c r="BT347" s="2" t="s">
        <v>7215</v>
      </c>
      <c r="BV347" s="2" t="s">
        <v>7239</v>
      </c>
      <c r="BX347" s="2" t="s">
        <v>7143</v>
      </c>
      <c r="BY347" s="2" t="s">
        <v>2317</v>
      </c>
      <c r="BZ347" s="2" t="s">
        <v>7173</v>
      </c>
      <c r="CE347" s="7">
        <v>2</v>
      </c>
      <c r="CF347" s="2">
        <v>200</v>
      </c>
      <c r="CK347" s="2">
        <v>100</v>
      </c>
      <c r="CO347" s="2">
        <v>100</v>
      </c>
      <c r="CR347" s="7" t="s">
        <v>7160</v>
      </c>
      <c r="CT347" s="7" t="s">
        <v>7143</v>
      </c>
      <c r="CU347" s="7" t="s">
        <v>7234</v>
      </c>
      <c r="CW347" s="7" t="s">
        <v>7162</v>
      </c>
      <c r="CY347" s="2" t="s">
        <v>7227</v>
      </c>
      <c r="CZ347" s="7" t="s">
        <v>7249</v>
      </c>
      <c r="DA347" s="7" t="s">
        <v>7250</v>
      </c>
      <c r="DB347" s="7" t="s">
        <v>7249</v>
      </c>
      <c r="DC347" s="2" t="s">
        <v>7250</v>
      </c>
      <c r="DD347" s="2" t="s">
        <v>7249</v>
      </c>
      <c r="DE347" s="2" t="s">
        <v>7250</v>
      </c>
      <c r="DF347" s="7" t="s">
        <v>7250</v>
      </c>
      <c r="DG347" s="2" t="s">
        <v>7249</v>
      </c>
      <c r="DH347" s="2" t="s">
        <v>7249</v>
      </c>
      <c r="DI347" s="2" t="s">
        <v>7249</v>
      </c>
      <c r="DL347" s="7" t="s">
        <v>7143</v>
      </c>
      <c r="DM347" s="7" t="s">
        <v>7143</v>
      </c>
      <c r="DP347" s="7" t="s">
        <v>7173</v>
      </c>
      <c r="DT347" s="2" t="s">
        <v>7165</v>
      </c>
      <c r="DU347" s="2" t="s">
        <v>7165</v>
      </c>
      <c r="DV347" s="2" t="s">
        <v>7165</v>
      </c>
      <c r="DW347" s="2" t="s">
        <v>7159</v>
      </c>
      <c r="DX347" s="2" t="s">
        <v>7159</v>
      </c>
      <c r="DY347" s="2" t="s">
        <v>7159</v>
      </c>
      <c r="DZ347" s="2" t="s">
        <v>7159</v>
      </c>
      <c r="EA347" s="2" t="s">
        <v>7165</v>
      </c>
      <c r="EB347" s="2" t="s">
        <v>7165</v>
      </c>
      <c r="EC347" s="2" t="s">
        <v>7159</v>
      </c>
      <c r="EF347" s="2" t="s">
        <v>7252</v>
      </c>
      <c r="EG347" s="2" t="s">
        <v>2318</v>
      </c>
      <c r="EJ347" s="7" t="s">
        <v>7217</v>
      </c>
      <c r="EK347" s="7" t="s">
        <v>7143</v>
      </c>
      <c r="EL347" s="7" t="s">
        <v>7143</v>
      </c>
      <c r="EN347" s="7" t="s">
        <v>7170</v>
      </c>
      <c r="EP347" s="7" t="s">
        <v>7186</v>
      </c>
      <c r="ER347" s="2" t="s">
        <v>7143</v>
      </c>
      <c r="ET347" s="7" t="s">
        <v>7143</v>
      </c>
      <c r="EV347" s="7" t="s">
        <v>7143</v>
      </c>
      <c r="EX347" s="7" t="s">
        <v>7143</v>
      </c>
      <c r="FC347" s="7" t="s">
        <v>7218</v>
      </c>
      <c r="FD347" s="7" t="s">
        <v>7143</v>
      </c>
      <c r="FH347" s="7" t="s">
        <v>7173</v>
      </c>
      <c r="FJ347" s="7" t="s">
        <v>7143</v>
      </c>
      <c r="FK347" s="7" t="s">
        <v>7159</v>
      </c>
      <c r="FN347" s="2" t="s">
        <v>7253</v>
      </c>
      <c r="FT347" s="2" t="s">
        <v>7176</v>
      </c>
      <c r="FU347" s="2" t="s">
        <v>7189</v>
      </c>
      <c r="FV347" s="2" t="s">
        <v>7189</v>
      </c>
      <c r="FW347" s="2" t="s">
        <v>7189</v>
      </c>
      <c r="FZ347" s="19" t="s">
        <v>8372</v>
      </c>
    </row>
    <row r="348" spans="1:182">
      <c r="A348" s="7" t="s">
        <v>2319</v>
      </c>
      <c r="D348" s="7" t="s">
        <v>8373</v>
      </c>
      <c r="E348" s="7" t="s">
        <v>177</v>
      </c>
      <c r="F348" s="7" t="s">
        <v>7134</v>
      </c>
      <c r="G348" s="7" t="s">
        <v>8348</v>
      </c>
      <c r="H348" s="7" t="s">
        <v>2294</v>
      </c>
      <c r="I348" s="7" t="s">
        <v>2320</v>
      </c>
      <c r="J348" s="16" t="s">
        <v>8374</v>
      </c>
      <c r="K348" s="7" t="s">
        <v>2321</v>
      </c>
      <c r="L348" s="2" t="s">
        <v>7471</v>
      </c>
      <c r="M348" s="7" t="s">
        <v>7179</v>
      </c>
      <c r="N348" s="7">
        <v>1990</v>
      </c>
      <c r="O348" s="7" t="s">
        <v>7490</v>
      </c>
      <c r="P348" s="2" t="s">
        <v>7181</v>
      </c>
      <c r="Q348" s="2" t="s">
        <v>7141</v>
      </c>
      <c r="R348" s="2" t="s">
        <v>7143</v>
      </c>
      <c r="S348" s="2">
        <v>15</v>
      </c>
      <c r="T348" s="2" t="s">
        <v>7143</v>
      </c>
      <c r="U348" s="2" t="s">
        <v>7143</v>
      </c>
      <c r="Y348" s="2">
        <v>83</v>
      </c>
      <c r="Z348" s="17">
        <v>0.97589999999999999</v>
      </c>
      <c r="AA348" s="2">
        <v>81</v>
      </c>
      <c r="AB348" s="2">
        <v>81</v>
      </c>
      <c r="AC348" s="7">
        <v>81</v>
      </c>
      <c r="AD348" s="2">
        <v>100</v>
      </c>
      <c r="AE348" s="2">
        <v>19</v>
      </c>
      <c r="AF348" s="2" t="s">
        <v>7142</v>
      </c>
      <c r="AG348" s="2" t="s">
        <v>7143</v>
      </c>
      <c r="AH348" s="2" t="s">
        <v>7143</v>
      </c>
      <c r="AJ348" s="2" t="s">
        <v>7143</v>
      </c>
      <c r="AK348" s="2" t="s">
        <v>7143</v>
      </c>
      <c r="AL348" s="2" t="s">
        <v>7143</v>
      </c>
      <c r="AM348" s="2" t="s">
        <v>7142</v>
      </c>
      <c r="AN348" s="2" t="s">
        <v>7143</v>
      </c>
      <c r="AO348" s="2" t="s">
        <v>7143</v>
      </c>
      <c r="AR348" s="7">
        <v>0.6</v>
      </c>
      <c r="AS348" s="7">
        <v>2</v>
      </c>
      <c r="AT348" s="7">
        <v>1.03</v>
      </c>
      <c r="AU348" s="2" t="s">
        <v>7193</v>
      </c>
      <c r="AV348" s="2" t="s">
        <v>7193</v>
      </c>
      <c r="AW348" s="2" t="s">
        <v>7143</v>
      </c>
      <c r="AZ348" s="2" t="s">
        <v>7145</v>
      </c>
      <c r="BB348" s="2" t="s">
        <v>7214</v>
      </c>
      <c r="BC348" s="2" t="s">
        <v>7147</v>
      </c>
      <c r="BD348" s="2" t="s">
        <v>7143</v>
      </c>
      <c r="BE348" s="2" t="s">
        <v>7142</v>
      </c>
      <c r="BF348" s="2" t="s">
        <v>7148</v>
      </c>
      <c r="BG348" s="2" t="s">
        <v>7149</v>
      </c>
      <c r="BH348" s="2" t="s">
        <v>7150</v>
      </c>
      <c r="BI348" s="2" t="s">
        <v>7151</v>
      </c>
      <c r="BL348" s="2" t="s">
        <v>7195</v>
      </c>
      <c r="BO348" s="2" t="s">
        <v>7155</v>
      </c>
      <c r="BQ348" s="2" t="s">
        <v>7156</v>
      </c>
      <c r="BS348" s="2" t="s">
        <v>7142</v>
      </c>
      <c r="BT348" s="2" t="s">
        <v>7157</v>
      </c>
      <c r="BV348" s="2" t="s">
        <v>7202</v>
      </c>
      <c r="BX348" s="2" t="s">
        <v>7143</v>
      </c>
      <c r="BZ348" s="2" t="s">
        <v>7173</v>
      </c>
      <c r="CE348" s="7">
        <v>1.03</v>
      </c>
      <c r="CF348" s="2">
        <v>100</v>
      </c>
      <c r="CK348" s="2">
        <v>100</v>
      </c>
      <c r="CO348" s="2">
        <v>100</v>
      </c>
      <c r="CR348" s="2" t="s">
        <v>7160</v>
      </c>
      <c r="CT348" s="2" t="s">
        <v>7143</v>
      </c>
      <c r="CU348" s="2" t="s">
        <v>7234</v>
      </c>
      <c r="CW348" s="2" t="s">
        <v>7162</v>
      </c>
      <c r="CY348" s="2" t="s">
        <v>7164</v>
      </c>
      <c r="CZ348" s="2" t="s">
        <v>7164</v>
      </c>
      <c r="DA348" s="2" t="s">
        <v>7164</v>
      </c>
      <c r="DB348" s="2" t="s">
        <v>7164</v>
      </c>
      <c r="DC348" s="2" t="s">
        <v>7164</v>
      </c>
      <c r="DD348" s="2" t="s">
        <v>7164</v>
      </c>
      <c r="DE348" s="2" t="s">
        <v>7164</v>
      </c>
      <c r="DF348" s="2" t="s">
        <v>7164</v>
      </c>
      <c r="DG348" s="2" t="s">
        <v>7164</v>
      </c>
      <c r="DH348" s="2" t="s">
        <v>7164</v>
      </c>
      <c r="DI348" s="2" t="s">
        <v>7164</v>
      </c>
      <c r="DL348" s="2" t="s">
        <v>7143</v>
      </c>
      <c r="DM348" s="2" t="s">
        <v>7143</v>
      </c>
      <c r="DP348" s="2" t="s">
        <v>7159</v>
      </c>
      <c r="DT348" s="2" t="s">
        <v>7165</v>
      </c>
      <c r="DU348" s="2" t="s">
        <v>7159</v>
      </c>
      <c r="DV348" s="2" t="s">
        <v>7165</v>
      </c>
      <c r="DW348" s="2" t="s">
        <v>7165</v>
      </c>
      <c r="DX348" s="2" t="s">
        <v>7159</v>
      </c>
      <c r="DY348" s="2" t="s">
        <v>7159</v>
      </c>
      <c r="DZ348" s="2" t="s">
        <v>7159</v>
      </c>
      <c r="EA348" s="2" t="s">
        <v>7159</v>
      </c>
      <c r="EB348" s="2" t="s">
        <v>7159</v>
      </c>
      <c r="EJ348" s="2" t="s">
        <v>7217</v>
      </c>
      <c r="EK348" s="2" t="s">
        <v>7143</v>
      </c>
      <c r="EL348" s="2" t="s">
        <v>7143</v>
      </c>
      <c r="EN348" s="2" t="s">
        <v>7210</v>
      </c>
      <c r="EP348" s="2" t="s">
        <v>7186</v>
      </c>
      <c r="ER348" s="2" t="s">
        <v>7143</v>
      </c>
      <c r="ET348" s="2" t="s">
        <v>7143</v>
      </c>
      <c r="EV348" s="2" t="s">
        <v>7143</v>
      </c>
      <c r="EX348" s="2" t="s">
        <v>7143</v>
      </c>
      <c r="EZ348" s="2" t="s">
        <v>7143</v>
      </c>
      <c r="FC348" s="2" t="s">
        <v>7172</v>
      </c>
      <c r="FD348" s="2" t="s">
        <v>7143</v>
      </c>
      <c r="FH348" s="2" t="s">
        <v>7173</v>
      </c>
      <c r="FJ348" s="2" t="s">
        <v>7142</v>
      </c>
      <c r="FK348" s="2" t="s">
        <v>7173</v>
      </c>
      <c r="FN348" s="2" t="s">
        <v>7175</v>
      </c>
      <c r="FT348" s="2" t="s">
        <v>7189</v>
      </c>
      <c r="FU348" s="2" t="s">
        <v>7189</v>
      </c>
      <c r="FV348" s="2" t="s">
        <v>7189</v>
      </c>
      <c r="FW348" s="2" t="s">
        <v>7189</v>
      </c>
      <c r="FZ348" s="19" t="s">
        <v>8375</v>
      </c>
    </row>
    <row r="349" spans="1:182">
      <c r="A349" s="7" t="s">
        <v>2322</v>
      </c>
      <c r="D349" s="7" t="s">
        <v>8376</v>
      </c>
      <c r="E349" s="7" t="s">
        <v>177</v>
      </c>
      <c r="F349" s="7" t="s">
        <v>7134</v>
      </c>
      <c r="G349" s="7" t="s">
        <v>8348</v>
      </c>
      <c r="H349" s="7" t="s">
        <v>2294</v>
      </c>
      <c r="I349" s="7" t="s">
        <v>2323</v>
      </c>
      <c r="J349" s="16" t="s">
        <v>8377</v>
      </c>
      <c r="K349" s="7" t="s">
        <v>2324</v>
      </c>
      <c r="L349" s="2" t="s">
        <v>7137</v>
      </c>
      <c r="M349" s="7" t="s">
        <v>7138</v>
      </c>
      <c r="N349" s="7">
        <v>1996</v>
      </c>
      <c r="O349" s="7" t="s">
        <v>7490</v>
      </c>
      <c r="P349" s="2" t="s">
        <v>7192</v>
      </c>
      <c r="Q349" s="2" t="s">
        <v>7182</v>
      </c>
      <c r="R349" s="2" t="s">
        <v>7143</v>
      </c>
      <c r="S349" s="2">
        <v>11</v>
      </c>
      <c r="T349" s="2" t="s">
        <v>7143</v>
      </c>
      <c r="U349" s="2" t="s">
        <v>7143</v>
      </c>
      <c r="Y349" s="2">
        <v>100</v>
      </c>
      <c r="Z349" s="17">
        <v>0.95</v>
      </c>
      <c r="AA349" s="2">
        <v>95</v>
      </c>
      <c r="AB349" s="2">
        <v>95</v>
      </c>
      <c r="AC349" s="7">
        <v>95</v>
      </c>
      <c r="AD349" s="2">
        <v>115</v>
      </c>
      <c r="AE349" s="2">
        <v>20</v>
      </c>
      <c r="AF349" s="2" t="s">
        <v>7142</v>
      </c>
      <c r="AG349" s="2" t="s">
        <v>7143</v>
      </c>
      <c r="AH349" s="2" t="s">
        <v>7143</v>
      </c>
      <c r="AJ349" s="2" t="s">
        <v>7143</v>
      </c>
      <c r="AK349" s="2" t="s">
        <v>7143</v>
      </c>
      <c r="AL349" s="2" t="s">
        <v>7143</v>
      </c>
      <c r="AM349" s="2" t="s">
        <v>7142</v>
      </c>
      <c r="AN349" s="2" t="s">
        <v>7143</v>
      </c>
      <c r="AO349" s="2" t="s">
        <v>7143</v>
      </c>
      <c r="AR349" s="7">
        <v>0.7</v>
      </c>
      <c r="AS349" s="7">
        <v>3</v>
      </c>
      <c r="AT349" s="7">
        <v>1.2</v>
      </c>
      <c r="AU349" s="2" t="s">
        <v>7193</v>
      </c>
      <c r="AV349" s="2" t="s">
        <v>7193</v>
      </c>
      <c r="AW349" s="2" t="s">
        <v>7143</v>
      </c>
      <c r="BC349" s="2" t="s">
        <v>7208</v>
      </c>
      <c r="BD349" s="2" t="s">
        <v>7143</v>
      </c>
      <c r="BE349" s="2" t="s">
        <v>7143</v>
      </c>
      <c r="BL349" s="2" t="s">
        <v>7195</v>
      </c>
      <c r="BO349" s="2" t="s">
        <v>7155</v>
      </c>
      <c r="BQ349" s="2" t="s">
        <v>7156</v>
      </c>
      <c r="BS349" s="2" t="s">
        <v>7142</v>
      </c>
      <c r="BT349" s="2" t="s">
        <v>7157</v>
      </c>
      <c r="BV349" s="2" t="s">
        <v>7202</v>
      </c>
      <c r="BX349" s="2" t="s">
        <v>7143</v>
      </c>
      <c r="BZ349" s="2" t="s">
        <v>7159</v>
      </c>
      <c r="CE349" s="7">
        <v>1.2</v>
      </c>
      <c r="CF349" s="2">
        <v>115</v>
      </c>
      <c r="CK349" s="2">
        <v>100</v>
      </c>
      <c r="CO349" s="2">
        <v>100</v>
      </c>
      <c r="CR349" s="2" t="s">
        <v>7160</v>
      </c>
      <c r="CT349" s="2" t="s">
        <v>7143</v>
      </c>
      <c r="CU349" s="2" t="s">
        <v>7161</v>
      </c>
      <c r="CW349" s="2" t="s">
        <v>7162</v>
      </c>
      <c r="CY349" s="2" t="s">
        <v>7164</v>
      </c>
      <c r="CZ349" s="2" t="s">
        <v>7164</v>
      </c>
      <c r="DA349" s="2" t="s">
        <v>7164</v>
      </c>
      <c r="DB349" s="2" t="s">
        <v>7164</v>
      </c>
      <c r="DC349" s="2" t="s">
        <v>7164</v>
      </c>
      <c r="DD349" s="2" t="s">
        <v>7164</v>
      </c>
      <c r="DE349" s="2" t="s">
        <v>7164</v>
      </c>
      <c r="DF349" s="2" t="s">
        <v>7164</v>
      </c>
      <c r="DG349" s="2" t="s">
        <v>7164</v>
      </c>
      <c r="DH349" s="2" t="s">
        <v>7164</v>
      </c>
      <c r="DI349" s="2" t="s">
        <v>7164</v>
      </c>
      <c r="DL349" s="2" t="s">
        <v>7143</v>
      </c>
      <c r="DM349" s="2" t="s">
        <v>7143</v>
      </c>
      <c r="DP349" s="2" t="s">
        <v>7159</v>
      </c>
      <c r="DT349" s="2" t="s">
        <v>7165</v>
      </c>
      <c r="DU349" s="2" t="s">
        <v>7165</v>
      </c>
      <c r="DV349" s="2" t="s">
        <v>7165</v>
      </c>
      <c r="DW349" s="2" t="s">
        <v>7165</v>
      </c>
      <c r="DX349" s="2" t="s">
        <v>7165</v>
      </c>
      <c r="DY349" s="2" t="s">
        <v>7165</v>
      </c>
      <c r="DZ349" s="2" t="s">
        <v>7165</v>
      </c>
      <c r="EA349" s="2" t="s">
        <v>7165</v>
      </c>
      <c r="EB349" s="2" t="s">
        <v>7165</v>
      </c>
      <c r="EJ349" s="2" t="s">
        <v>7193</v>
      </c>
      <c r="EK349" s="2" t="s">
        <v>7142</v>
      </c>
      <c r="EL349" s="2" t="s">
        <v>7143</v>
      </c>
      <c r="EN349" s="2" t="s">
        <v>7170</v>
      </c>
      <c r="EP349" s="2" t="s">
        <v>7186</v>
      </c>
      <c r="ER349" s="2" t="s">
        <v>7143</v>
      </c>
      <c r="ET349" s="2" t="s">
        <v>7143</v>
      </c>
      <c r="EV349" s="2" t="s">
        <v>7143</v>
      </c>
      <c r="EX349" s="2" t="s">
        <v>7143</v>
      </c>
      <c r="EZ349" s="2" t="s">
        <v>7143</v>
      </c>
      <c r="FC349" s="2" t="s">
        <v>7172</v>
      </c>
      <c r="FD349" s="2" t="s">
        <v>7143</v>
      </c>
      <c r="FH349" s="2" t="s">
        <v>7173</v>
      </c>
      <c r="FJ349" s="2" t="s">
        <v>7142</v>
      </c>
      <c r="FK349" s="2" t="s">
        <v>7173</v>
      </c>
      <c r="FN349" s="2" t="s">
        <v>7258</v>
      </c>
      <c r="FT349" s="2" t="s">
        <v>7189</v>
      </c>
      <c r="FU349" s="2" t="s">
        <v>7189</v>
      </c>
      <c r="FV349" s="2" t="s">
        <v>7189</v>
      </c>
      <c r="FW349" s="2" t="s">
        <v>7189</v>
      </c>
      <c r="FZ349" s="19" t="s">
        <v>8378</v>
      </c>
    </row>
    <row r="350" spans="1:182">
      <c r="A350" s="7" t="s">
        <v>2325</v>
      </c>
      <c r="D350" s="7" t="s">
        <v>8379</v>
      </c>
      <c r="E350" s="7" t="s">
        <v>177</v>
      </c>
      <c r="F350" s="7" t="s">
        <v>7245</v>
      </c>
      <c r="G350" s="7" t="s">
        <v>8348</v>
      </c>
      <c r="H350" s="7" t="s">
        <v>2314</v>
      </c>
      <c r="I350" s="7" t="s">
        <v>2326</v>
      </c>
      <c r="J350" s="19" t="s">
        <v>8380</v>
      </c>
      <c r="K350" s="7" t="s">
        <v>2327</v>
      </c>
      <c r="L350" s="2" t="s">
        <v>7224</v>
      </c>
      <c r="M350" s="7" t="s">
        <v>7179</v>
      </c>
      <c r="N350" s="2">
        <v>1988</v>
      </c>
      <c r="O350" s="7" t="s">
        <v>7490</v>
      </c>
      <c r="P350" s="2" t="s">
        <v>7181</v>
      </c>
      <c r="Q350" s="2" t="s">
        <v>7395</v>
      </c>
      <c r="R350" s="2" t="s">
        <v>7143</v>
      </c>
      <c r="S350" s="2">
        <v>2013</v>
      </c>
      <c r="T350" s="2" t="s">
        <v>7143</v>
      </c>
      <c r="U350" s="2" t="s">
        <v>7143</v>
      </c>
      <c r="Y350" s="2">
        <v>250</v>
      </c>
      <c r="Z350" s="17">
        <v>1</v>
      </c>
      <c r="AA350" s="2">
        <v>250</v>
      </c>
      <c r="AB350" s="2">
        <v>200</v>
      </c>
      <c r="AC350" s="7">
        <v>180</v>
      </c>
      <c r="AD350" s="2">
        <v>200</v>
      </c>
      <c r="AE350" s="2">
        <v>20</v>
      </c>
      <c r="AF350" s="2" t="s">
        <v>7142</v>
      </c>
      <c r="AG350" s="2" t="s">
        <v>7142</v>
      </c>
      <c r="AH350" s="2" t="s">
        <v>7142</v>
      </c>
      <c r="AI350" s="2" t="s">
        <v>308</v>
      </c>
      <c r="AJ350" s="2" t="s">
        <v>7143</v>
      </c>
      <c r="AK350" s="2" t="s">
        <v>7143</v>
      </c>
      <c r="AL350" s="2" t="s">
        <v>7143</v>
      </c>
      <c r="AM350" s="2" t="s">
        <v>7142</v>
      </c>
      <c r="AN350" s="2" t="s">
        <v>7143</v>
      </c>
      <c r="AO350" s="2" t="s">
        <v>7143</v>
      </c>
      <c r="AR350" s="7">
        <v>0.8</v>
      </c>
      <c r="AS350" s="7">
        <v>1</v>
      </c>
      <c r="AT350" s="7">
        <v>2</v>
      </c>
      <c r="AU350" s="2" t="s">
        <v>7217</v>
      </c>
      <c r="AV350" s="2" t="s">
        <v>7217</v>
      </c>
      <c r="AW350" s="2" t="s">
        <v>7143</v>
      </c>
      <c r="AZ350" s="2" t="s">
        <v>7145</v>
      </c>
      <c r="BB350" s="2" t="s">
        <v>7268</v>
      </c>
      <c r="BC350" s="2" t="s">
        <v>7208</v>
      </c>
      <c r="BD350" s="2" t="s">
        <v>7143</v>
      </c>
      <c r="BE350" s="2" t="s">
        <v>7143</v>
      </c>
      <c r="BL350" s="2" t="s">
        <v>7195</v>
      </c>
      <c r="BM350" s="2" t="s">
        <v>7153</v>
      </c>
      <c r="BN350" s="2" t="s">
        <v>7154</v>
      </c>
      <c r="BO350" s="2" t="s">
        <v>8381</v>
      </c>
      <c r="BP350" s="2" t="s">
        <v>7275</v>
      </c>
      <c r="BS350" s="2" t="s">
        <v>7143</v>
      </c>
      <c r="BT350" s="2" t="s">
        <v>7215</v>
      </c>
      <c r="BV350" s="2" t="s">
        <v>7239</v>
      </c>
      <c r="BX350" s="2" t="s">
        <v>7143</v>
      </c>
      <c r="BY350" s="2" t="s">
        <v>335</v>
      </c>
      <c r="BZ350" s="2" t="s">
        <v>7173</v>
      </c>
      <c r="CE350" s="7">
        <v>2</v>
      </c>
      <c r="CF350" s="2">
        <v>200</v>
      </c>
      <c r="CK350" s="2">
        <v>100</v>
      </c>
      <c r="CO350" s="2">
        <v>100</v>
      </c>
      <c r="CR350" s="2" t="s">
        <v>7160</v>
      </c>
      <c r="CT350" s="2" t="s">
        <v>7143</v>
      </c>
      <c r="CU350" s="2" t="s">
        <v>7234</v>
      </c>
      <c r="CW350" s="2" t="s">
        <v>7162</v>
      </c>
      <c r="CY350" s="2" t="s">
        <v>7250</v>
      </c>
      <c r="CZ350" s="2" t="s">
        <v>7249</v>
      </c>
      <c r="DA350" s="2" t="s">
        <v>7250</v>
      </c>
      <c r="DB350" s="2" t="s">
        <v>7249</v>
      </c>
      <c r="DC350" s="2" t="s">
        <v>7250</v>
      </c>
      <c r="DD350" s="2" t="s">
        <v>7249</v>
      </c>
      <c r="DE350" s="2" t="s">
        <v>7250</v>
      </c>
      <c r="DF350" s="2" t="s">
        <v>7250</v>
      </c>
      <c r="DG350" s="2" t="s">
        <v>7249</v>
      </c>
      <c r="DH350" s="2" t="s">
        <v>7249</v>
      </c>
      <c r="DI350" s="2" t="s">
        <v>7249</v>
      </c>
      <c r="DL350" s="2" t="s">
        <v>7143</v>
      </c>
      <c r="DM350" s="2" t="s">
        <v>7143</v>
      </c>
      <c r="DP350" s="2" t="s">
        <v>7159</v>
      </c>
      <c r="DT350" s="2" t="s">
        <v>7159</v>
      </c>
      <c r="DU350" s="2" t="s">
        <v>7159</v>
      </c>
      <c r="DV350" s="2" t="s">
        <v>7159</v>
      </c>
      <c r="DW350" s="2" t="s">
        <v>7159</v>
      </c>
      <c r="DX350" s="2" t="s">
        <v>7159</v>
      </c>
      <c r="DY350" s="2" t="s">
        <v>7159</v>
      </c>
      <c r="DZ350" s="2" t="s">
        <v>7159</v>
      </c>
      <c r="EA350" s="2" t="s">
        <v>7159</v>
      </c>
      <c r="EB350" s="2" t="s">
        <v>7159</v>
      </c>
      <c r="EC350" s="2" t="s">
        <v>7159</v>
      </c>
      <c r="EF350" s="2" t="s">
        <v>7252</v>
      </c>
      <c r="EG350" s="2" t="s">
        <v>2328</v>
      </c>
      <c r="EJ350" s="2" t="s">
        <v>7217</v>
      </c>
      <c r="EK350" s="2" t="s">
        <v>7143</v>
      </c>
      <c r="EL350" s="2" t="s">
        <v>7143</v>
      </c>
      <c r="EN350" s="2" t="s">
        <v>7170</v>
      </c>
      <c r="EP350" s="2" t="s">
        <v>7186</v>
      </c>
      <c r="ER350" s="2" t="s">
        <v>7143</v>
      </c>
      <c r="ET350" s="2" t="s">
        <v>7143</v>
      </c>
      <c r="EV350" s="2" t="s">
        <v>7143</v>
      </c>
      <c r="EX350" s="2" t="s">
        <v>7143</v>
      </c>
      <c r="FC350" s="2" t="s">
        <v>7172</v>
      </c>
      <c r="FD350" s="2" t="s">
        <v>7143</v>
      </c>
      <c r="FH350" s="2" t="s">
        <v>7173</v>
      </c>
      <c r="FJ350" s="2" t="s">
        <v>7143</v>
      </c>
      <c r="FK350" s="2" t="s">
        <v>7159</v>
      </c>
      <c r="FN350" s="2" t="s">
        <v>7253</v>
      </c>
      <c r="FT350" s="2" t="s">
        <v>7176</v>
      </c>
      <c r="FU350" s="2" t="s">
        <v>7189</v>
      </c>
      <c r="FV350" s="2" t="s">
        <v>7189</v>
      </c>
      <c r="FW350" s="2" t="s">
        <v>7189</v>
      </c>
      <c r="FZ350" s="19" t="s">
        <v>8382</v>
      </c>
    </row>
    <row r="351" spans="1:182">
      <c r="A351" s="7" t="s">
        <v>2329</v>
      </c>
      <c r="D351" s="7" t="s">
        <v>8383</v>
      </c>
      <c r="E351" s="7" t="s">
        <v>2330</v>
      </c>
      <c r="F351" s="7" t="s">
        <v>7389</v>
      </c>
      <c r="G351" s="7" t="s">
        <v>8348</v>
      </c>
      <c r="H351" s="2" t="s">
        <v>2298</v>
      </c>
      <c r="I351" s="7" t="s">
        <v>2331</v>
      </c>
      <c r="J351" s="19" t="s">
        <v>8384</v>
      </c>
      <c r="K351" s="7" t="s">
        <v>2331</v>
      </c>
      <c r="L351" s="2" t="s">
        <v>7137</v>
      </c>
      <c r="M351" s="7" t="s">
        <v>7138</v>
      </c>
      <c r="N351" s="7">
        <v>1993</v>
      </c>
      <c r="O351" s="7" t="s">
        <v>7490</v>
      </c>
      <c r="P351" s="7" t="s">
        <v>7140</v>
      </c>
      <c r="Q351" s="2" t="s">
        <v>7225</v>
      </c>
      <c r="R351" s="2" t="s">
        <v>7143</v>
      </c>
      <c r="S351" s="2">
        <v>10</v>
      </c>
      <c r="T351" s="2" t="s">
        <v>7143</v>
      </c>
      <c r="U351" s="2" t="s">
        <v>7143</v>
      </c>
      <c r="Y351" s="2">
        <v>160</v>
      </c>
      <c r="Z351" s="17">
        <v>1</v>
      </c>
      <c r="AA351" s="2">
        <v>160</v>
      </c>
      <c r="AB351" s="2">
        <v>160</v>
      </c>
      <c r="AC351" s="7">
        <v>160</v>
      </c>
      <c r="AD351" s="2">
        <v>190</v>
      </c>
      <c r="AE351" s="2">
        <v>30</v>
      </c>
      <c r="AF351" s="2" t="s">
        <v>7143</v>
      </c>
      <c r="AG351" s="2" t="s">
        <v>7143</v>
      </c>
      <c r="AH351" s="2" t="s">
        <v>7143</v>
      </c>
      <c r="AJ351" s="2" t="s">
        <v>7143</v>
      </c>
      <c r="AK351" s="2" t="s">
        <v>7143</v>
      </c>
      <c r="AL351" s="2" t="s">
        <v>7143</v>
      </c>
      <c r="AM351" s="2" t="s">
        <v>7143</v>
      </c>
      <c r="AN351" s="2" t="s">
        <v>7143</v>
      </c>
      <c r="AO351" s="2" t="s">
        <v>7143</v>
      </c>
      <c r="AR351" s="7">
        <v>0.45</v>
      </c>
      <c r="AS351" s="7">
        <v>1</v>
      </c>
      <c r="AT351" s="7">
        <v>1.6</v>
      </c>
      <c r="AU351" s="2" t="s">
        <v>7217</v>
      </c>
      <c r="AV351" s="2" t="s">
        <v>7144</v>
      </c>
      <c r="AW351" s="2" t="s">
        <v>7143</v>
      </c>
      <c r="AZ351" s="2" t="s">
        <v>7145</v>
      </c>
      <c r="BB351" s="2" t="s">
        <v>7214</v>
      </c>
      <c r="BC351" s="2" t="s">
        <v>7247</v>
      </c>
      <c r="BD351" s="2" t="s">
        <v>7142</v>
      </c>
      <c r="BE351" s="2" t="s">
        <v>7142</v>
      </c>
      <c r="BF351" s="2" t="s">
        <v>7148</v>
      </c>
      <c r="BG351" s="2" t="s">
        <v>7149</v>
      </c>
      <c r="BH351" s="2" t="s">
        <v>7150</v>
      </c>
      <c r="BI351" s="2" t="s">
        <v>7151</v>
      </c>
      <c r="BL351" s="2" t="s">
        <v>7195</v>
      </c>
      <c r="BO351" s="2" t="s">
        <v>7155</v>
      </c>
      <c r="BQ351" s="2" t="s">
        <v>7183</v>
      </c>
      <c r="BS351" s="2" t="s">
        <v>7142</v>
      </c>
      <c r="BT351" s="2" t="s">
        <v>8019</v>
      </c>
      <c r="BV351" s="2" t="s">
        <v>7197</v>
      </c>
      <c r="BX351" s="2" t="s">
        <v>7143</v>
      </c>
      <c r="BZ351" s="2" t="s">
        <v>7173</v>
      </c>
      <c r="CE351" s="7">
        <v>1.6</v>
      </c>
      <c r="CF351" s="2">
        <v>190</v>
      </c>
      <c r="CK351" s="2">
        <v>100</v>
      </c>
      <c r="CO351" s="2">
        <v>100</v>
      </c>
      <c r="CR351" s="2" t="s">
        <v>7160</v>
      </c>
      <c r="CT351" s="2" t="s">
        <v>7143</v>
      </c>
      <c r="CU351" s="2" t="s">
        <v>7161</v>
      </c>
      <c r="CW351" s="2" t="s">
        <v>7162</v>
      </c>
      <c r="CY351" s="2" t="s">
        <v>7227</v>
      </c>
      <c r="CZ351" s="2" t="s">
        <v>7250</v>
      </c>
      <c r="DA351" s="2" t="s">
        <v>7250</v>
      </c>
      <c r="DB351" s="2" t="s">
        <v>7250</v>
      </c>
      <c r="DC351" s="2" t="s">
        <v>7250</v>
      </c>
      <c r="DD351" s="2" t="s">
        <v>7321</v>
      </c>
      <c r="DE351" s="2" t="s">
        <v>7250</v>
      </c>
      <c r="DF351" s="2" t="s">
        <v>7250</v>
      </c>
      <c r="DG351" s="2" t="s">
        <v>7250</v>
      </c>
      <c r="DH351" s="2" t="s">
        <v>7250</v>
      </c>
      <c r="DI351" s="2" t="s">
        <v>7321</v>
      </c>
      <c r="DL351" s="2" t="s">
        <v>7143</v>
      </c>
      <c r="DM351" s="2" t="s">
        <v>7143</v>
      </c>
      <c r="DP351" s="2" t="s">
        <v>7173</v>
      </c>
      <c r="DT351" s="2" t="s">
        <v>7159</v>
      </c>
      <c r="DU351" s="2" t="s">
        <v>7159</v>
      </c>
      <c r="DV351" s="2" t="s">
        <v>7159</v>
      </c>
      <c r="DW351" s="2" t="s">
        <v>7159</v>
      </c>
      <c r="DX351" s="2" t="s">
        <v>7159</v>
      </c>
      <c r="DY351" s="2" t="s">
        <v>7159</v>
      </c>
      <c r="DZ351" s="2" t="s">
        <v>7159</v>
      </c>
      <c r="EA351" s="2" t="s">
        <v>7159</v>
      </c>
      <c r="EB351" s="2" t="s">
        <v>7159</v>
      </c>
      <c r="EC351" s="2" t="s">
        <v>7159</v>
      </c>
      <c r="EF351" s="2" t="s">
        <v>7221</v>
      </c>
      <c r="EG351" s="2" t="s">
        <v>2332</v>
      </c>
      <c r="EJ351" s="2" t="s">
        <v>7217</v>
      </c>
      <c r="EK351" s="2" t="s">
        <v>7143</v>
      </c>
      <c r="EL351" s="2" t="s">
        <v>7143</v>
      </c>
      <c r="EN351" s="2" t="s">
        <v>7210</v>
      </c>
      <c r="EP351" s="2" t="s">
        <v>7186</v>
      </c>
      <c r="ER351" s="2" t="s">
        <v>7143</v>
      </c>
      <c r="ET351" s="2" t="s">
        <v>7143</v>
      </c>
      <c r="EV351" s="2" t="s">
        <v>7143</v>
      </c>
      <c r="EX351" s="2" t="s">
        <v>7143</v>
      </c>
      <c r="EZ351" s="2" t="s">
        <v>7143</v>
      </c>
      <c r="FC351" s="2" t="s">
        <v>7218</v>
      </c>
      <c r="FD351" s="2" t="s">
        <v>7143</v>
      </c>
      <c r="FH351" s="2" t="s">
        <v>7173</v>
      </c>
      <c r="FJ351" s="2" t="s">
        <v>7143</v>
      </c>
      <c r="FK351" s="2" t="s">
        <v>7173</v>
      </c>
      <c r="FN351" s="2" t="s">
        <v>8206</v>
      </c>
      <c r="FR351" s="2" t="s">
        <v>2333</v>
      </c>
      <c r="FT351" s="2" t="s">
        <v>7176</v>
      </c>
      <c r="FU351" s="2" t="s">
        <v>7189</v>
      </c>
      <c r="FV351" s="2" t="s">
        <v>7189</v>
      </c>
      <c r="FW351" s="2" t="s">
        <v>7189</v>
      </c>
      <c r="FZ351" s="19" t="s">
        <v>8385</v>
      </c>
    </row>
    <row r="352" spans="1:182">
      <c r="A352" s="7" t="s">
        <v>2334</v>
      </c>
      <c r="D352" s="7" t="s">
        <v>8386</v>
      </c>
      <c r="E352" s="7" t="s">
        <v>2335</v>
      </c>
      <c r="F352" s="7" t="s">
        <v>7311</v>
      </c>
      <c r="G352" s="7" t="s">
        <v>8348</v>
      </c>
      <c r="H352" s="7" t="s">
        <v>2336</v>
      </c>
      <c r="I352" s="7" t="s">
        <v>2337</v>
      </c>
      <c r="J352" s="16" t="s">
        <v>8387</v>
      </c>
      <c r="K352" s="7" t="s">
        <v>2337</v>
      </c>
      <c r="L352" s="7" t="s">
        <v>7137</v>
      </c>
      <c r="M352" s="7" t="s">
        <v>7138</v>
      </c>
      <c r="N352" s="7">
        <v>1988</v>
      </c>
      <c r="O352" s="7" t="s">
        <v>7490</v>
      </c>
      <c r="P352" s="7" t="s">
        <v>7140</v>
      </c>
      <c r="Q352" s="7" t="s">
        <v>7141</v>
      </c>
      <c r="R352" s="7" t="s">
        <v>7143</v>
      </c>
      <c r="S352" s="7">
        <v>7</v>
      </c>
      <c r="T352" s="7" t="s">
        <v>7143</v>
      </c>
      <c r="U352" s="7" t="s">
        <v>7143</v>
      </c>
      <c r="Y352" s="2">
        <v>160</v>
      </c>
      <c r="Z352" s="17">
        <v>1</v>
      </c>
      <c r="AA352" s="2">
        <v>160</v>
      </c>
      <c r="AB352" s="2">
        <v>160</v>
      </c>
      <c r="AC352" s="7">
        <v>160</v>
      </c>
      <c r="AD352" s="2">
        <v>200</v>
      </c>
      <c r="AE352" s="2">
        <v>40</v>
      </c>
      <c r="AF352" s="2" t="s">
        <v>7143</v>
      </c>
      <c r="AG352" s="2" t="s">
        <v>7143</v>
      </c>
      <c r="AH352" s="2" t="s">
        <v>7143</v>
      </c>
      <c r="AJ352" s="2" t="s">
        <v>7143</v>
      </c>
      <c r="AK352" s="2" t="s">
        <v>7143</v>
      </c>
      <c r="AL352" s="2" t="s">
        <v>7143</v>
      </c>
      <c r="AM352" s="2" t="s">
        <v>7143</v>
      </c>
      <c r="AN352" s="2" t="s">
        <v>7143</v>
      </c>
      <c r="AO352" s="2" t="s">
        <v>7143</v>
      </c>
      <c r="AR352" s="7">
        <v>1</v>
      </c>
      <c r="AS352" s="7">
        <v>4</v>
      </c>
      <c r="AT352" s="7">
        <v>2</v>
      </c>
      <c r="AU352" s="2" t="s">
        <v>7193</v>
      </c>
      <c r="AV352" s="2" t="s">
        <v>7193</v>
      </c>
      <c r="AW352" s="2" t="s">
        <v>7143</v>
      </c>
      <c r="BC352" s="2" t="s">
        <v>7147</v>
      </c>
      <c r="BD352" s="2" t="s">
        <v>7142</v>
      </c>
      <c r="BE352" s="2" t="s">
        <v>7143</v>
      </c>
      <c r="BL352" s="2" t="s">
        <v>7195</v>
      </c>
      <c r="BO352" s="2" t="s">
        <v>7155</v>
      </c>
      <c r="BQ352" s="2" t="s">
        <v>7156</v>
      </c>
      <c r="BS352" s="2" t="s">
        <v>7142</v>
      </c>
      <c r="BT352" s="2" t="s">
        <v>7391</v>
      </c>
      <c r="BV352" s="2" t="s">
        <v>7330</v>
      </c>
      <c r="BX352" s="2" t="s">
        <v>7143</v>
      </c>
      <c r="BY352" s="2" t="s">
        <v>2338</v>
      </c>
      <c r="BZ352" s="2" t="s">
        <v>7159</v>
      </c>
      <c r="CE352" s="7">
        <v>2</v>
      </c>
      <c r="CF352" s="2">
        <v>160</v>
      </c>
      <c r="CK352" s="2">
        <v>100</v>
      </c>
      <c r="CP352" s="2">
        <v>100</v>
      </c>
      <c r="CR352" s="2" t="s">
        <v>7160</v>
      </c>
      <c r="CT352" s="2" t="s">
        <v>7143</v>
      </c>
      <c r="CU352" s="2" t="s">
        <v>7161</v>
      </c>
      <c r="CW352" s="2" t="s">
        <v>7162</v>
      </c>
      <c r="CY352" s="2" t="s">
        <v>7250</v>
      </c>
      <c r="CZ352" s="2" t="s">
        <v>7250</v>
      </c>
      <c r="DA352" s="2" t="s">
        <v>7250</v>
      </c>
      <c r="DB352" s="2" t="s">
        <v>7250</v>
      </c>
      <c r="DC352" s="2" t="s">
        <v>7250</v>
      </c>
      <c r="DD352" s="2" t="s">
        <v>7250</v>
      </c>
      <c r="DE352" s="2" t="s">
        <v>7250</v>
      </c>
      <c r="DF352" s="2" t="s">
        <v>7250</v>
      </c>
      <c r="DG352" s="2" t="s">
        <v>7250</v>
      </c>
      <c r="DH352" s="2" t="s">
        <v>7250</v>
      </c>
      <c r="DI352" s="2" t="s">
        <v>7250</v>
      </c>
      <c r="DL352" s="2" t="s">
        <v>7143</v>
      </c>
      <c r="DM352" s="2" t="s">
        <v>7143</v>
      </c>
      <c r="DP352" s="2" t="s">
        <v>7159</v>
      </c>
      <c r="DT352" s="2" t="s">
        <v>7165</v>
      </c>
      <c r="DU352" s="2" t="s">
        <v>7165</v>
      </c>
      <c r="DV352" s="2" t="s">
        <v>7165</v>
      </c>
      <c r="DW352" s="2" t="s">
        <v>7165</v>
      </c>
      <c r="DX352" s="2" t="s">
        <v>7165</v>
      </c>
      <c r="DY352" s="2" t="s">
        <v>7165</v>
      </c>
      <c r="DZ352" s="2" t="s">
        <v>7165</v>
      </c>
      <c r="EA352" s="2" t="s">
        <v>7165</v>
      </c>
      <c r="EB352" s="2" t="s">
        <v>7165</v>
      </c>
      <c r="EC352" s="2" t="s">
        <v>7173</v>
      </c>
      <c r="EF352" s="2" t="s">
        <v>7252</v>
      </c>
      <c r="EG352" s="2" t="s">
        <v>2339</v>
      </c>
      <c r="EJ352" s="2" t="s">
        <v>7193</v>
      </c>
      <c r="EK352" s="2" t="s">
        <v>7143</v>
      </c>
      <c r="EL352" s="2" t="s">
        <v>7143</v>
      </c>
      <c r="EN352" s="2" t="s">
        <v>7170</v>
      </c>
      <c r="EP352" s="2" t="s">
        <v>7186</v>
      </c>
      <c r="ER352" s="2" t="s">
        <v>7143</v>
      </c>
      <c r="ET352" s="2" t="s">
        <v>7143</v>
      </c>
      <c r="EV352" s="2" t="s">
        <v>7143</v>
      </c>
      <c r="EX352" s="2" t="s">
        <v>7143</v>
      </c>
      <c r="EZ352" s="2" t="s">
        <v>7143</v>
      </c>
      <c r="FC352" s="2" t="s">
        <v>7172</v>
      </c>
      <c r="FD352" s="2" t="s">
        <v>7143</v>
      </c>
      <c r="FH352" s="2" t="s">
        <v>7173</v>
      </c>
      <c r="FJ352" s="2" t="s">
        <v>7143</v>
      </c>
      <c r="FK352" s="2" t="s">
        <v>7159</v>
      </c>
      <c r="FN352" s="2" t="s">
        <v>7322</v>
      </c>
      <c r="FR352" s="2" t="s">
        <v>452</v>
      </c>
      <c r="FT352" s="2" t="s">
        <v>7189</v>
      </c>
      <c r="FU352" s="2" t="s">
        <v>7189</v>
      </c>
      <c r="FV352" s="2" t="s">
        <v>7189</v>
      </c>
      <c r="FW352" s="2" t="s">
        <v>7189</v>
      </c>
      <c r="FX352" s="2" t="s">
        <v>7189</v>
      </c>
      <c r="FY352" s="2" t="s">
        <v>2340</v>
      </c>
      <c r="FZ352" s="19" t="s">
        <v>8388</v>
      </c>
    </row>
    <row r="353" spans="1:182">
      <c r="A353" s="7" t="s">
        <v>2341</v>
      </c>
      <c r="D353" s="7" t="s">
        <v>8389</v>
      </c>
      <c r="E353" s="7" t="s">
        <v>2342</v>
      </c>
      <c r="F353" s="7" t="s">
        <v>7339</v>
      </c>
      <c r="G353" s="7" t="s">
        <v>8348</v>
      </c>
      <c r="H353" s="7" t="s">
        <v>2343</v>
      </c>
      <c r="I353" s="7" t="s">
        <v>2344</v>
      </c>
      <c r="J353" s="16" t="s">
        <v>8390</v>
      </c>
      <c r="K353" s="7" t="s">
        <v>2344</v>
      </c>
      <c r="L353" s="2" t="s">
        <v>7137</v>
      </c>
      <c r="M353" s="7" t="s">
        <v>7138</v>
      </c>
      <c r="N353" s="7">
        <v>1981</v>
      </c>
      <c r="O353" s="7" t="s">
        <v>7490</v>
      </c>
      <c r="P353" s="2" t="s">
        <v>7140</v>
      </c>
      <c r="Q353" s="2" t="s">
        <v>7225</v>
      </c>
      <c r="R353" s="2" t="s">
        <v>7143</v>
      </c>
      <c r="S353" s="2">
        <v>26</v>
      </c>
      <c r="T353" s="2" t="s">
        <v>7143</v>
      </c>
      <c r="U353" s="2" t="s">
        <v>7143</v>
      </c>
      <c r="Y353" s="2">
        <v>265</v>
      </c>
      <c r="Z353" s="17">
        <v>1</v>
      </c>
      <c r="AA353" s="2">
        <v>265</v>
      </c>
      <c r="AB353" s="2">
        <v>265</v>
      </c>
      <c r="AC353" s="7">
        <v>265</v>
      </c>
      <c r="AD353" s="2">
        <v>325</v>
      </c>
      <c r="AE353" s="2">
        <v>60</v>
      </c>
      <c r="AF353" s="2" t="s">
        <v>7143</v>
      </c>
      <c r="AG353" s="2" t="s">
        <v>7143</v>
      </c>
      <c r="AH353" s="2" t="s">
        <v>7143</v>
      </c>
      <c r="AJ353" s="2" t="s">
        <v>7143</v>
      </c>
      <c r="AK353" s="2" t="s">
        <v>7143</v>
      </c>
      <c r="AL353" s="2" t="s">
        <v>7143</v>
      </c>
      <c r="AM353" s="2" t="s">
        <v>7143</v>
      </c>
      <c r="AN353" s="2" t="s">
        <v>7143</v>
      </c>
      <c r="AO353" s="2" t="s">
        <v>7143</v>
      </c>
      <c r="AR353" s="7">
        <v>1</v>
      </c>
      <c r="AS353" s="7">
        <v>2</v>
      </c>
      <c r="AT353" s="7">
        <v>2.2999999999999998</v>
      </c>
      <c r="AU353" s="2" t="s">
        <v>7193</v>
      </c>
      <c r="AV353" s="2" t="s">
        <v>7193</v>
      </c>
      <c r="AZ353" s="2" t="s">
        <v>7145</v>
      </c>
      <c r="BB353" s="2" t="s">
        <v>7214</v>
      </c>
      <c r="BC353" s="2" t="s">
        <v>7247</v>
      </c>
      <c r="BD353" s="2" t="s">
        <v>7143</v>
      </c>
      <c r="BE353" s="2" t="s">
        <v>7142</v>
      </c>
      <c r="BF353" s="2" t="s">
        <v>7148</v>
      </c>
      <c r="BG353" s="2" t="s">
        <v>7149</v>
      </c>
      <c r="BH353" s="2" t="s">
        <v>7150</v>
      </c>
      <c r="BI353" s="2" t="s">
        <v>7151</v>
      </c>
      <c r="BL353" s="2" t="s">
        <v>7195</v>
      </c>
      <c r="BO353" s="2" t="s">
        <v>7155</v>
      </c>
      <c r="BQ353" s="2" t="s">
        <v>7156</v>
      </c>
      <c r="BS353" s="2" t="s">
        <v>7142</v>
      </c>
      <c r="BT353" s="2" t="s">
        <v>7341</v>
      </c>
      <c r="BV353" s="2" t="s">
        <v>7313</v>
      </c>
      <c r="BX353" s="2" t="s">
        <v>7142</v>
      </c>
      <c r="BY353" s="2" t="s">
        <v>1000</v>
      </c>
      <c r="BZ353" s="2" t="s">
        <v>7173</v>
      </c>
      <c r="CE353" s="7">
        <v>2.2999999999999998</v>
      </c>
      <c r="CF353" s="2">
        <v>325</v>
      </c>
      <c r="CK353" s="2"/>
      <c r="CM353" s="2">
        <v>100</v>
      </c>
      <c r="CO353" s="2">
        <v>100</v>
      </c>
      <c r="CR353" s="2" t="s">
        <v>7357</v>
      </c>
      <c r="CT353" s="2" t="s">
        <v>7143</v>
      </c>
      <c r="CU353" s="2" t="s">
        <v>7203</v>
      </c>
      <c r="CW353" s="2" t="s">
        <v>7162</v>
      </c>
      <c r="CY353" s="2" t="s">
        <v>7358</v>
      </c>
      <c r="CZ353" s="2" t="s">
        <v>7358</v>
      </c>
      <c r="DA353" s="2" t="s">
        <v>7358</v>
      </c>
      <c r="DB353" s="2" t="s">
        <v>7358</v>
      </c>
      <c r="DC353" s="2" t="s">
        <v>7582</v>
      </c>
      <c r="DD353" s="2" t="s">
        <v>7250</v>
      </c>
      <c r="DE353" s="2" t="s">
        <v>7250</v>
      </c>
      <c r="DF353" s="2" t="s">
        <v>7250</v>
      </c>
      <c r="DG353" s="2" t="s">
        <v>7250</v>
      </c>
      <c r="DH353" s="2" t="s">
        <v>7358</v>
      </c>
      <c r="DI353" s="2" t="s">
        <v>7582</v>
      </c>
      <c r="DL353" s="2" t="s">
        <v>7142</v>
      </c>
      <c r="DM353" s="2" t="s">
        <v>7142</v>
      </c>
      <c r="DN353" s="2" t="s">
        <v>7142</v>
      </c>
      <c r="DO353" s="2" t="s">
        <v>7142</v>
      </c>
      <c r="DP353" s="2" t="s">
        <v>7165</v>
      </c>
      <c r="DQ353" s="2" t="s">
        <v>7333</v>
      </c>
      <c r="DR353" s="2" t="s">
        <v>2345</v>
      </c>
      <c r="DT353" s="2" t="s">
        <v>7165</v>
      </c>
      <c r="DU353" s="2" t="s">
        <v>7165</v>
      </c>
      <c r="DV353" s="2" t="s">
        <v>7165</v>
      </c>
      <c r="DW353" s="2" t="s">
        <v>7165</v>
      </c>
      <c r="DX353" s="2" t="s">
        <v>7165</v>
      </c>
      <c r="DY353" s="2" t="s">
        <v>7159</v>
      </c>
      <c r="DZ353" s="2" t="s">
        <v>7159</v>
      </c>
      <c r="EA353" s="2" t="s">
        <v>7159</v>
      </c>
      <c r="EB353" s="2" t="s">
        <v>7165</v>
      </c>
      <c r="EC353" s="2" t="s">
        <v>7173</v>
      </c>
      <c r="EF353" s="2" t="s">
        <v>7221</v>
      </c>
      <c r="EJ353" s="2" t="s">
        <v>7193</v>
      </c>
      <c r="EK353" s="2" t="s">
        <v>7142</v>
      </c>
      <c r="EL353" s="2" t="s">
        <v>7143</v>
      </c>
      <c r="EN353" s="2" t="s">
        <v>7170</v>
      </c>
      <c r="EP353" s="2" t="s">
        <v>7186</v>
      </c>
      <c r="ER353" s="2" t="s">
        <v>7142</v>
      </c>
      <c r="ET353" s="2" t="s">
        <v>7143</v>
      </c>
      <c r="EV353" s="2" t="s">
        <v>7142</v>
      </c>
      <c r="EW353" s="2" t="s">
        <v>7171</v>
      </c>
      <c r="EZ353" s="2" t="s">
        <v>7143</v>
      </c>
      <c r="FC353" s="2" t="s">
        <v>7309</v>
      </c>
      <c r="FD353" s="2" t="s">
        <v>7143</v>
      </c>
      <c r="FH353" s="2" t="s">
        <v>7173</v>
      </c>
      <c r="FJ353" s="2" t="s">
        <v>7143</v>
      </c>
      <c r="FN353" s="2" t="s">
        <v>7344</v>
      </c>
      <c r="FR353" s="2" t="s">
        <v>2346</v>
      </c>
      <c r="FT353" s="2" t="s">
        <v>7189</v>
      </c>
      <c r="FU353" s="2" t="s">
        <v>7189</v>
      </c>
      <c r="FV353" s="2" t="s">
        <v>7189</v>
      </c>
      <c r="FW353" s="2" t="s">
        <v>7189</v>
      </c>
      <c r="FZ353" s="19" t="s">
        <v>8391</v>
      </c>
    </row>
    <row r="354" spans="1:182">
      <c r="A354" s="7" t="s">
        <v>2347</v>
      </c>
      <c r="D354" s="7" t="s">
        <v>8392</v>
      </c>
      <c r="E354" s="7" t="s">
        <v>2348</v>
      </c>
      <c r="F354" s="7" t="s">
        <v>7319</v>
      </c>
      <c r="G354" s="7" t="s">
        <v>8348</v>
      </c>
      <c r="H354" s="7" t="s">
        <v>2336</v>
      </c>
      <c r="I354" s="7" t="s">
        <v>2349</v>
      </c>
      <c r="K354" s="7" t="s">
        <v>2349</v>
      </c>
      <c r="L354" s="2" t="s">
        <v>7137</v>
      </c>
      <c r="M354" s="7" t="s">
        <v>7138</v>
      </c>
      <c r="N354" s="7">
        <v>1972</v>
      </c>
      <c r="O354" s="7" t="s">
        <v>7490</v>
      </c>
      <c r="P354" s="2" t="s">
        <v>7140</v>
      </c>
      <c r="Q354" s="2" t="s">
        <v>7225</v>
      </c>
      <c r="R354" s="2" t="s">
        <v>7143</v>
      </c>
      <c r="S354" s="2">
        <v>30</v>
      </c>
      <c r="T354" s="2" t="s">
        <v>7143</v>
      </c>
      <c r="U354" s="2" t="s">
        <v>7143</v>
      </c>
      <c r="Y354" s="2">
        <v>160</v>
      </c>
      <c r="Z354" s="17">
        <v>1</v>
      </c>
      <c r="AA354" s="2">
        <v>160</v>
      </c>
      <c r="AB354" s="2">
        <v>140</v>
      </c>
      <c r="AC354" s="7">
        <v>130</v>
      </c>
      <c r="AD354" s="2">
        <v>150</v>
      </c>
      <c r="AE354" s="2">
        <v>20</v>
      </c>
      <c r="AF354" s="2" t="s">
        <v>7143</v>
      </c>
      <c r="AG354" s="2" t="s">
        <v>7143</v>
      </c>
      <c r="AH354" s="2" t="s">
        <v>7143</v>
      </c>
      <c r="AJ354" s="2" t="s">
        <v>7143</v>
      </c>
      <c r="AK354" s="2" t="s">
        <v>7142</v>
      </c>
      <c r="AL354" s="2" t="s">
        <v>7143</v>
      </c>
      <c r="AM354" s="2" t="s">
        <v>7143</v>
      </c>
      <c r="AN354" s="2" t="s">
        <v>7143</v>
      </c>
      <c r="AO354" s="2" t="s">
        <v>7143</v>
      </c>
      <c r="AR354" s="7">
        <v>0.45</v>
      </c>
      <c r="AS354" s="7">
        <v>1</v>
      </c>
      <c r="AT354" s="7">
        <v>1.5</v>
      </c>
      <c r="AU354" s="2" t="s">
        <v>7217</v>
      </c>
      <c r="AV354" s="2" t="s">
        <v>7217</v>
      </c>
      <c r="AW354" s="2" t="s">
        <v>7143</v>
      </c>
      <c r="AZ354" s="2" t="s">
        <v>7286</v>
      </c>
      <c r="BC354" s="2" t="s">
        <v>7208</v>
      </c>
      <c r="BD354" s="2" t="s">
        <v>7143</v>
      </c>
      <c r="BE354" s="2" t="s">
        <v>7142</v>
      </c>
      <c r="BF354" s="2" t="s">
        <v>8393</v>
      </c>
      <c r="BG354" s="2" t="s">
        <v>7149</v>
      </c>
      <c r="BH354" s="2" t="s">
        <v>7233</v>
      </c>
      <c r="BI354" s="2" t="s">
        <v>7151</v>
      </c>
      <c r="BL354" s="2" t="s">
        <v>7195</v>
      </c>
      <c r="BO354" s="2" t="s">
        <v>7274</v>
      </c>
      <c r="BP354" s="2" t="s">
        <v>7275</v>
      </c>
      <c r="BS354" s="2" t="s">
        <v>7143</v>
      </c>
      <c r="BT354" s="2" t="s">
        <v>7238</v>
      </c>
      <c r="BU354" s="2" t="s">
        <v>544</v>
      </c>
      <c r="BV354" s="2" t="s">
        <v>7209</v>
      </c>
      <c r="BX354" s="2" t="s">
        <v>7143</v>
      </c>
      <c r="BZ354" s="2" t="s">
        <v>7173</v>
      </c>
      <c r="CE354" s="7">
        <v>1.5</v>
      </c>
      <c r="CF354" s="2">
        <v>150</v>
      </c>
      <c r="CK354" s="2">
        <v>100</v>
      </c>
      <c r="CO354" s="2">
        <v>100</v>
      </c>
      <c r="CR354" s="2" t="s">
        <v>7160</v>
      </c>
      <c r="CT354" s="2" t="s">
        <v>7143</v>
      </c>
      <c r="CU354" s="2" t="s">
        <v>7161</v>
      </c>
      <c r="CW354" s="2" t="s">
        <v>7162</v>
      </c>
      <c r="CY354" s="2" t="s">
        <v>7250</v>
      </c>
      <c r="CZ354" s="2" t="s">
        <v>7250</v>
      </c>
      <c r="DA354" s="2" t="s">
        <v>7250</v>
      </c>
      <c r="DB354" s="2" t="s">
        <v>7321</v>
      </c>
      <c r="DC354" s="2" t="s">
        <v>7321</v>
      </c>
      <c r="DD354" s="2" t="s">
        <v>7321</v>
      </c>
      <c r="DE354" s="2" t="s">
        <v>7250</v>
      </c>
      <c r="DG354" s="2" t="s">
        <v>7250</v>
      </c>
      <c r="DH354" s="2" t="s">
        <v>7321</v>
      </c>
      <c r="DI354" s="2" t="s">
        <v>7321</v>
      </c>
      <c r="DL354" s="2" t="s">
        <v>7143</v>
      </c>
      <c r="DM354" s="2" t="s">
        <v>7143</v>
      </c>
      <c r="DP354" s="2" t="s">
        <v>7173</v>
      </c>
      <c r="DT354" s="2" t="s">
        <v>7159</v>
      </c>
      <c r="DU354" s="2" t="s">
        <v>7159</v>
      </c>
      <c r="DV354" s="2" t="s">
        <v>7159</v>
      </c>
      <c r="DW354" s="2" t="s">
        <v>7159</v>
      </c>
      <c r="DX354" s="2" t="s">
        <v>7159</v>
      </c>
      <c r="DY354" s="2" t="s">
        <v>7159</v>
      </c>
      <c r="DZ354" s="2" t="s">
        <v>7159</v>
      </c>
      <c r="EA354" s="2" t="s">
        <v>7159</v>
      </c>
      <c r="EB354" s="2" t="s">
        <v>7159</v>
      </c>
      <c r="EC354" s="2" t="s">
        <v>7159</v>
      </c>
      <c r="ED354" s="2" t="s">
        <v>7159</v>
      </c>
      <c r="EF354" s="2" t="s">
        <v>7252</v>
      </c>
      <c r="EG354" s="2" t="s">
        <v>632</v>
      </c>
      <c r="EJ354" s="2" t="s">
        <v>7217</v>
      </c>
      <c r="EK354" s="2" t="s">
        <v>7143</v>
      </c>
      <c r="EL354" s="2" t="s">
        <v>7143</v>
      </c>
      <c r="EN354" s="2" t="s">
        <v>7210</v>
      </c>
      <c r="EP354" s="2" t="s">
        <v>7186</v>
      </c>
      <c r="ER354" s="2" t="s">
        <v>7143</v>
      </c>
      <c r="ET354" s="2" t="s">
        <v>7143</v>
      </c>
      <c r="EV354" s="2" t="s">
        <v>7143</v>
      </c>
      <c r="EX354" s="2" t="s">
        <v>7143</v>
      </c>
      <c r="EZ354" s="2" t="s">
        <v>7143</v>
      </c>
      <c r="FC354" s="2" t="s">
        <v>7309</v>
      </c>
      <c r="FD354" s="2" t="s">
        <v>7143</v>
      </c>
      <c r="FH354" s="2" t="s">
        <v>7173</v>
      </c>
      <c r="FJ354" s="2" t="s">
        <v>7143</v>
      </c>
      <c r="FK354" s="2" t="s">
        <v>7173</v>
      </c>
      <c r="FR354" s="2" t="s">
        <v>498</v>
      </c>
      <c r="FT354" s="2" t="s">
        <v>7345</v>
      </c>
      <c r="FU354" s="2" t="s">
        <v>7189</v>
      </c>
      <c r="FV354" s="2" t="s">
        <v>7176</v>
      </c>
      <c r="FW354" s="2" t="s">
        <v>7189</v>
      </c>
      <c r="FZ354" s="19" t="s">
        <v>8394</v>
      </c>
    </row>
    <row r="355" spans="1:182">
      <c r="A355" s="7" t="s">
        <v>2351</v>
      </c>
      <c r="D355" s="7" t="s">
        <v>8395</v>
      </c>
      <c r="E355" s="7" t="s">
        <v>177</v>
      </c>
      <c r="F355" s="7" t="s">
        <v>7245</v>
      </c>
      <c r="G355" s="7" t="s">
        <v>8348</v>
      </c>
      <c r="H355" s="7" t="s">
        <v>2352</v>
      </c>
      <c r="I355" s="7" t="s">
        <v>2353</v>
      </c>
      <c r="J355" s="16" t="s">
        <v>8396</v>
      </c>
      <c r="K355" s="7" t="s">
        <v>2353</v>
      </c>
      <c r="L355" s="7" t="s">
        <v>7224</v>
      </c>
      <c r="M355" s="7" t="s">
        <v>7138</v>
      </c>
      <c r="N355" s="7">
        <v>2003</v>
      </c>
      <c r="O355" s="7" t="s">
        <v>7490</v>
      </c>
      <c r="P355" s="7" t="s">
        <v>7140</v>
      </c>
      <c r="Q355" s="7" t="s">
        <v>7225</v>
      </c>
      <c r="R355" s="7" t="s">
        <v>7143</v>
      </c>
      <c r="S355" s="7">
        <v>2010</v>
      </c>
      <c r="T355" s="7" t="s">
        <v>7143</v>
      </c>
      <c r="U355" s="7" t="s">
        <v>7143</v>
      </c>
      <c r="Y355" s="2">
        <v>160</v>
      </c>
      <c r="Z355" s="17">
        <v>0.75</v>
      </c>
      <c r="AA355" s="2">
        <v>120</v>
      </c>
      <c r="AB355" s="2">
        <v>120</v>
      </c>
      <c r="AC355" s="7">
        <v>80</v>
      </c>
      <c r="AD355" s="2">
        <v>90</v>
      </c>
      <c r="AE355" s="2">
        <v>10</v>
      </c>
      <c r="AF355" s="2" t="s">
        <v>7142</v>
      </c>
      <c r="AG355" s="2" t="s">
        <v>7142</v>
      </c>
      <c r="AH355" s="2" t="s">
        <v>7142</v>
      </c>
      <c r="AI355" s="2" t="s">
        <v>308</v>
      </c>
      <c r="AJ355" s="2" t="s">
        <v>7143</v>
      </c>
      <c r="AK355" s="2" t="s">
        <v>7143</v>
      </c>
      <c r="AL355" s="2" t="s">
        <v>7143</v>
      </c>
      <c r="AM355" s="2" t="s">
        <v>7142</v>
      </c>
      <c r="AN355" s="2" t="s">
        <v>7143</v>
      </c>
      <c r="AO355" s="2" t="s">
        <v>7143</v>
      </c>
      <c r="AR355" s="7">
        <v>1</v>
      </c>
      <c r="AS355" s="7">
        <v>1</v>
      </c>
      <c r="AT355" s="7">
        <v>0.9</v>
      </c>
      <c r="AU355" s="2" t="s">
        <v>7193</v>
      </c>
      <c r="AV355" s="2" t="s">
        <v>7193</v>
      </c>
      <c r="AW355" s="2" t="s">
        <v>7143</v>
      </c>
      <c r="AZ355" s="2" t="s">
        <v>7145</v>
      </c>
      <c r="BB355" s="2" t="s">
        <v>7214</v>
      </c>
      <c r="BC355" s="2" t="s">
        <v>7208</v>
      </c>
      <c r="BD355" s="2" t="s">
        <v>7142</v>
      </c>
      <c r="BE355" s="2" t="s">
        <v>7142</v>
      </c>
      <c r="BF355" s="2" t="s">
        <v>7148</v>
      </c>
      <c r="BG355" s="2" t="s">
        <v>7149</v>
      </c>
      <c r="BH355" s="2" t="s">
        <v>7233</v>
      </c>
      <c r="BI355" s="2" t="s">
        <v>7396</v>
      </c>
      <c r="BL355" s="2" t="s">
        <v>7195</v>
      </c>
      <c r="BM355" s="2" t="s">
        <v>7153</v>
      </c>
      <c r="BN355" s="2" t="s">
        <v>7154</v>
      </c>
      <c r="BO355" s="2" t="s">
        <v>298</v>
      </c>
      <c r="BP355" s="2" t="s">
        <v>7275</v>
      </c>
      <c r="BS355" s="2" t="s">
        <v>7143</v>
      </c>
      <c r="BT355" s="2" t="s">
        <v>7215</v>
      </c>
      <c r="BV355" s="2" t="s">
        <v>7239</v>
      </c>
      <c r="BX355" s="2" t="s">
        <v>7143</v>
      </c>
      <c r="BY355" s="2" t="s">
        <v>335</v>
      </c>
      <c r="BZ355" s="2" t="s">
        <v>7173</v>
      </c>
      <c r="CE355" s="7">
        <v>0.9</v>
      </c>
      <c r="CF355" s="2">
        <v>90</v>
      </c>
      <c r="CK355" s="2">
        <v>100</v>
      </c>
      <c r="CO355" s="2">
        <v>100</v>
      </c>
      <c r="CR355" s="2" t="s">
        <v>7160</v>
      </c>
      <c r="CT355" s="2" t="s">
        <v>7143</v>
      </c>
      <c r="CU355" s="2" t="s">
        <v>7234</v>
      </c>
      <c r="CW355" s="2" t="s">
        <v>7162</v>
      </c>
      <c r="CY355" s="2" t="s">
        <v>7163</v>
      </c>
      <c r="CZ355" s="2" t="s">
        <v>7227</v>
      </c>
      <c r="DA355" s="2" t="s">
        <v>7249</v>
      </c>
      <c r="DB355" s="2" t="s">
        <v>7249</v>
      </c>
      <c r="DC355" s="2" t="s">
        <v>7249</v>
      </c>
      <c r="DD355" s="2" t="s">
        <v>7249</v>
      </c>
      <c r="DE355" s="2" t="s">
        <v>7249</v>
      </c>
      <c r="DF355" s="2" t="s">
        <v>7249</v>
      </c>
      <c r="DG355" s="2" t="s">
        <v>7249</v>
      </c>
      <c r="DH355" s="2" t="s">
        <v>7249</v>
      </c>
      <c r="DI355" s="2" t="s">
        <v>7249</v>
      </c>
      <c r="DL355" s="2" t="s">
        <v>7143</v>
      </c>
      <c r="DM355" s="2" t="s">
        <v>7143</v>
      </c>
      <c r="DP355" s="2" t="s">
        <v>7159</v>
      </c>
      <c r="DT355" s="2" t="s">
        <v>7165</v>
      </c>
      <c r="DU355" s="2" t="s">
        <v>7165</v>
      </c>
      <c r="DV355" s="2" t="s">
        <v>7165</v>
      </c>
      <c r="DW355" s="2" t="s">
        <v>7165</v>
      </c>
      <c r="DX355" s="2" t="s">
        <v>7159</v>
      </c>
      <c r="DY355" s="2" t="s">
        <v>7159</v>
      </c>
      <c r="DZ355" s="2" t="s">
        <v>7159</v>
      </c>
      <c r="EA355" s="2" t="s">
        <v>7159</v>
      </c>
      <c r="EB355" s="2" t="s">
        <v>7159</v>
      </c>
      <c r="EC355" s="2" t="s">
        <v>7159</v>
      </c>
      <c r="EF355" s="2" t="s">
        <v>7167</v>
      </c>
      <c r="EJ355" s="2" t="s">
        <v>7193</v>
      </c>
      <c r="EK355" s="2" t="s">
        <v>7142</v>
      </c>
      <c r="EL355" s="2" t="s">
        <v>7143</v>
      </c>
      <c r="EN355" s="2" t="s">
        <v>7170</v>
      </c>
      <c r="EP355" s="2" t="s">
        <v>7186</v>
      </c>
      <c r="ET355" s="2" t="s">
        <v>7143</v>
      </c>
      <c r="EV355" s="2" t="s">
        <v>7143</v>
      </c>
      <c r="EX355" s="2" t="s">
        <v>7143</v>
      </c>
      <c r="FC355" s="2" t="s">
        <v>7172</v>
      </c>
      <c r="FD355" s="2" t="s">
        <v>7143</v>
      </c>
      <c r="FH355" s="7" t="s">
        <v>7173</v>
      </c>
      <c r="FJ355" s="7" t="s">
        <v>7143</v>
      </c>
      <c r="FK355" s="2" t="s">
        <v>7165</v>
      </c>
      <c r="FL355" s="2" t="s">
        <v>7260</v>
      </c>
      <c r="FN355" s="2" t="s">
        <v>7253</v>
      </c>
      <c r="FT355" s="2" t="s">
        <v>7176</v>
      </c>
      <c r="FU355" s="2" t="s">
        <v>7189</v>
      </c>
      <c r="FV355" s="2" t="s">
        <v>7189</v>
      </c>
      <c r="FW355" s="2" t="s">
        <v>7189</v>
      </c>
      <c r="FZ355" s="19" t="s">
        <v>8397</v>
      </c>
    </row>
    <row r="356" spans="1:182">
      <c r="A356" s="7" t="s">
        <v>2354</v>
      </c>
      <c r="D356" s="7" t="s">
        <v>8398</v>
      </c>
      <c r="E356" s="7" t="s">
        <v>177</v>
      </c>
      <c r="F356" s="7" t="s">
        <v>7134</v>
      </c>
      <c r="G356" s="7" t="s">
        <v>8348</v>
      </c>
      <c r="H356" s="7" t="s">
        <v>2294</v>
      </c>
      <c r="I356" s="7" t="s">
        <v>2355</v>
      </c>
      <c r="J356" s="2" t="s">
        <v>2356</v>
      </c>
      <c r="K356" s="7" t="s">
        <v>2355</v>
      </c>
      <c r="L356" s="2" t="s">
        <v>7471</v>
      </c>
      <c r="M356" s="7" t="s">
        <v>7179</v>
      </c>
      <c r="N356" s="7">
        <v>1979</v>
      </c>
      <c r="O356" s="7" t="s">
        <v>7490</v>
      </c>
      <c r="P356" s="7" t="s">
        <v>7140</v>
      </c>
      <c r="Q356" s="2" t="s">
        <v>7225</v>
      </c>
      <c r="R356" s="2" t="s">
        <v>7143</v>
      </c>
      <c r="S356" s="2">
        <v>6</v>
      </c>
      <c r="T356" s="2" t="s">
        <v>7143</v>
      </c>
      <c r="U356" s="2" t="s">
        <v>7143</v>
      </c>
      <c r="Y356" s="2">
        <v>83</v>
      </c>
      <c r="Z356" s="17">
        <v>1</v>
      </c>
      <c r="AA356" s="2">
        <v>83</v>
      </c>
      <c r="AB356" s="2">
        <v>83</v>
      </c>
      <c r="AC356" s="7">
        <v>83</v>
      </c>
      <c r="AD356" s="2">
        <v>98</v>
      </c>
      <c r="AE356" s="2">
        <v>15</v>
      </c>
      <c r="AF356" s="2" t="s">
        <v>7142</v>
      </c>
      <c r="AG356" s="2" t="s">
        <v>7143</v>
      </c>
      <c r="AH356" s="2" t="s">
        <v>7143</v>
      </c>
      <c r="AJ356" s="2" t="s">
        <v>7143</v>
      </c>
      <c r="AK356" s="2" t="s">
        <v>7143</v>
      </c>
      <c r="AL356" s="2" t="s">
        <v>7143</v>
      </c>
      <c r="AM356" s="2" t="s">
        <v>7143</v>
      </c>
      <c r="AN356" s="2" t="s">
        <v>7143</v>
      </c>
      <c r="AO356" s="2" t="s">
        <v>7143</v>
      </c>
      <c r="AR356" s="7">
        <v>0.6</v>
      </c>
      <c r="AS356" s="7">
        <v>1</v>
      </c>
      <c r="AT356" s="7">
        <v>1</v>
      </c>
      <c r="AU356" s="2" t="s">
        <v>7193</v>
      </c>
      <c r="AV356" s="2" t="s">
        <v>7217</v>
      </c>
      <c r="AW356" s="2" t="s">
        <v>7143</v>
      </c>
      <c r="AZ356" s="2" t="s">
        <v>7145</v>
      </c>
      <c r="BB356" s="2" t="s">
        <v>7214</v>
      </c>
      <c r="BC356" s="2" t="s">
        <v>7147</v>
      </c>
      <c r="BD356" s="2" t="s">
        <v>7143</v>
      </c>
      <c r="BE356" s="2" t="s">
        <v>7142</v>
      </c>
      <c r="BF356" s="2" t="s">
        <v>7148</v>
      </c>
      <c r="BG356" s="2" t="s">
        <v>7232</v>
      </c>
      <c r="BH356" s="2" t="s">
        <v>7233</v>
      </c>
      <c r="BI356" s="2" t="s">
        <v>7151</v>
      </c>
      <c r="BL356" s="2" t="s">
        <v>7195</v>
      </c>
      <c r="BO356" s="2" t="s">
        <v>7155</v>
      </c>
      <c r="BQ356" s="2" t="s">
        <v>7156</v>
      </c>
      <c r="BS356" s="2" t="s">
        <v>7142</v>
      </c>
      <c r="BT356" s="2" t="s">
        <v>7196</v>
      </c>
      <c r="BV356" s="2" t="s">
        <v>7202</v>
      </c>
      <c r="BX356" s="2" t="s">
        <v>7143</v>
      </c>
      <c r="BZ356" s="2" t="s">
        <v>7159</v>
      </c>
      <c r="CE356" s="7">
        <v>1</v>
      </c>
      <c r="CF356" s="2">
        <v>98</v>
      </c>
      <c r="CK356" s="2">
        <v>100</v>
      </c>
      <c r="CO356" s="2">
        <v>100</v>
      </c>
      <c r="CR356" s="2" t="s">
        <v>7185</v>
      </c>
      <c r="CT356" s="2" t="s">
        <v>7143</v>
      </c>
      <c r="CU356" s="2" t="s">
        <v>7234</v>
      </c>
      <c r="CW356" s="2" t="s">
        <v>7162</v>
      </c>
      <c r="CY356" s="2" t="s">
        <v>7164</v>
      </c>
      <c r="CZ356" s="2" t="s">
        <v>7164</v>
      </c>
      <c r="DA356" s="2" t="s">
        <v>7164</v>
      </c>
      <c r="DB356" s="2" t="s">
        <v>7164</v>
      </c>
      <c r="DC356" s="2" t="s">
        <v>7164</v>
      </c>
      <c r="DD356" s="2" t="s">
        <v>7164</v>
      </c>
      <c r="DE356" s="2" t="s">
        <v>7164</v>
      </c>
      <c r="DF356" s="2" t="s">
        <v>7164</v>
      </c>
      <c r="DG356" s="2" t="s">
        <v>7164</v>
      </c>
      <c r="DH356" s="2" t="s">
        <v>7164</v>
      </c>
      <c r="DI356" s="2" t="s">
        <v>7164</v>
      </c>
      <c r="DL356" s="2" t="s">
        <v>7143</v>
      </c>
      <c r="DM356" s="2" t="s">
        <v>7143</v>
      </c>
      <c r="DP356" s="2" t="s">
        <v>7159</v>
      </c>
      <c r="DT356" s="2" t="s">
        <v>7165</v>
      </c>
      <c r="DU356" s="2" t="s">
        <v>7159</v>
      </c>
      <c r="DV356" s="2" t="s">
        <v>7165</v>
      </c>
      <c r="DW356" s="2" t="s">
        <v>7159</v>
      </c>
      <c r="DX356" s="2" t="s">
        <v>7159</v>
      </c>
      <c r="DY356" s="2" t="s">
        <v>7159</v>
      </c>
      <c r="DZ356" s="2" t="s">
        <v>7159</v>
      </c>
      <c r="EA356" s="2" t="s">
        <v>7159</v>
      </c>
      <c r="EB356" s="2" t="s">
        <v>7159</v>
      </c>
      <c r="EJ356" s="2" t="s">
        <v>7217</v>
      </c>
      <c r="EK356" s="2" t="s">
        <v>7143</v>
      </c>
      <c r="EL356" s="2" t="s">
        <v>7143</v>
      </c>
      <c r="EN356" s="2" t="s">
        <v>7240</v>
      </c>
      <c r="EO356" s="2" t="s">
        <v>203</v>
      </c>
      <c r="EP356" s="2" t="s">
        <v>7186</v>
      </c>
      <c r="ET356" s="2" t="s">
        <v>7143</v>
      </c>
      <c r="EV356" s="2" t="s">
        <v>7143</v>
      </c>
      <c r="EX356" s="2" t="s">
        <v>7143</v>
      </c>
      <c r="EZ356" s="2" t="s">
        <v>7143</v>
      </c>
      <c r="FC356" s="2" t="s">
        <v>7218</v>
      </c>
      <c r="FD356" s="2" t="s">
        <v>7143</v>
      </c>
      <c r="FH356" s="2" t="s">
        <v>7173</v>
      </c>
      <c r="FJ356" s="2" t="s">
        <v>7143</v>
      </c>
      <c r="FK356" s="2" t="s">
        <v>7173</v>
      </c>
      <c r="FN356" s="2" t="s">
        <v>8399</v>
      </c>
      <c r="FT356" s="2" t="s">
        <v>7189</v>
      </c>
      <c r="FU356" s="2" t="s">
        <v>7189</v>
      </c>
      <c r="FV356" s="2" t="s">
        <v>7189</v>
      </c>
      <c r="FW356" s="2" t="s">
        <v>7189</v>
      </c>
      <c r="FZ356" s="19" t="s">
        <v>8400</v>
      </c>
    </row>
    <row r="357" spans="1:182">
      <c r="A357" s="7" t="s">
        <v>2358</v>
      </c>
      <c r="D357" s="7" t="s">
        <v>8401</v>
      </c>
      <c r="E357" s="7" t="s">
        <v>2359</v>
      </c>
      <c r="F357" s="7" t="s">
        <v>7319</v>
      </c>
      <c r="G357" s="7" t="s">
        <v>8348</v>
      </c>
      <c r="H357" s="7" t="s">
        <v>2336</v>
      </c>
      <c r="I357" s="7" t="s">
        <v>2360</v>
      </c>
      <c r="K357" s="7" t="s">
        <v>2361</v>
      </c>
      <c r="L357" s="7" t="s">
        <v>7137</v>
      </c>
      <c r="M357" s="7" t="s">
        <v>7179</v>
      </c>
      <c r="N357" s="7">
        <v>2004</v>
      </c>
      <c r="O357" s="7" t="s">
        <v>7490</v>
      </c>
      <c r="P357" s="7" t="s">
        <v>7181</v>
      </c>
      <c r="Q357" s="7" t="s">
        <v>7225</v>
      </c>
      <c r="R357" s="7" t="s">
        <v>7143</v>
      </c>
      <c r="S357" s="2">
        <v>27</v>
      </c>
      <c r="T357" s="7" t="s">
        <v>7143</v>
      </c>
      <c r="U357" s="7" t="s">
        <v>7143</v>
      </c>
      <c r="Y357" s="2">
        <v>80</v>
      </c>
      <c r="Z357" s="17">
        <v>1</v>
      </c>
      <c r="AA357" s="2">
        <v>80</v>
      </c>
      <c r="AB357" s="2">
        <v>80</v>
      </c>
      <c r="AC357" s="7">
        <v>60</v>
      </c>
      <c r="AD357" s="2">
        <v>70</v>
      </c>
      <c r="AE357" s="2">
        <v>10</v>
      </c>
      <c r="AF357" s="2" t="s">
        <v>7142</v>
      </c>
      <c r="AG357" s="2" t="s">
        <v>7143</v>
      </c>
      <c r="AH357" s="2" t="s">
        <v>7143</v>
      </c>
      <c r="AJ357" s="2" t="s">
        <v>7143</v>
      </c>
      <c r="AK357" s="2" t="s">
        <v>7143</v>
      </c>
      <c r="AL357" s="2" t="s">
        <v>7143</v>
      </c>
      <c r="AM357" s="2" t="s">
        <v>7143</v>
      </c>
      <c r="AN357" s="2" t="s">
        <v>7143</v>
      </c>
      <c r="AO357" s="2" t="s">
        <v>7143</v>
      </c>
      <c r="AR357" s="7">
        <v>0.4</v>
      </c>
      <c r="AS357" s="7">
        <v>1</v>
      </c>
      <c r="AT357" s="7">
        <v>0.7</v>
      </c>
      <c r="AU357" s="2" t="s">
        <v>7217</v>
      </c>
      <c r="AV357" s="2" t="s">
        <v>7217</v>
      </c>
      <c r="AW357" s="2" t="s">
        <v>7143</v>
      </c>
      <c r="AZ357" s="2" t="s">
        <v>7286</v>
      </c>
      <c r="BC357" s="2" t="s">
        <v>7208</v>
      </c>
      <c r="BD357" s="2" t="s">
        <v>7143</v>
      </c>
      <c r="BE357" s="2" t="s">
        <v>7143</v>
      </c>
      <c r="BL357" s="2" t="s">
        <v>7195</v>
      </c>
      <c r="BO357" s="2" t="s">
        <v>7155</v>
      </c>
      <c r="BQ357" s="2" t="s">
        <v>7156</v>
      </c>
      <c r="BS357" s="2" t="s">
        <v>7143</v>
      </c>
      <c r="BV357" s="2" t="s">
        <v>7304</v>
      </c>
      <c r="BX357" s="2" t="s">
        <v>7143</v>
      </c>
      <c r="BZ357" s="2" t="s">
        <v>7159</v>
      </c>
      <c r="CE357" s="7">
        <v>0.7</v>
      </c>
      <c r="CF357" s="2">
        <v>70</v>
      </c>
      <c r="CK357" s="2">
        <v>100</v>
      </c>
      <c r="CO357" s="2">
        <v>100</v>
      </c>
      <c r="CR357" s="2" t="s">
        <v>7160</v>
      </c>
      <c r="CT357" s="2" t="s">
        <v>7143</v>
      </c>
      <c r="CU357" s="2" t="s">
        <v>7161</v>
      </c>
      <c r="CW357" s="2" t="s">
        <v>7610</v>
      </c>
      <c r="CY357" s="2" t="s">
        <v>7250</v>
      </c>
      <c r="CZ357" s="2" t="s">
        <v>7250</v>
      </c>
      <c r="DA357" s="2" t="s">
        <v>7250</v>
      </c>
      <c r="DB357" s="2" t="s">
        <v>7250</v>
      </c>
      <c r="DC357" s="2" t="s">
        <v>7321</v>
      </c>
      <c r="DD357" s="2" t="s">
        <v>7321</v>
      </c>
      <c r="DE357" s="2" t="s">
        <v>7250</v>
      </c>
      <c r="DG357" s="2" t="s">
        <v>7250</v>
      </c>
      <c r="DH357" s="2" t="s">
        <v>7250</v>
      </c>
      <c r="DI357" s="2" t="s">
        <v>7250</v>
      </c>
      <c r="DL357" s="2" t="s">
        <v>7143</v>
      </c>
      <c r="DM357" s="2" t="s">
        <v>7143</v>
      </c>
      <c r="DP357" s="2" t="s">
        <v>7159</v>
      </c>
      <c r="DT357" s="2" t="s">
        <v>7159</v>
      </c>
      <c r="DU357" s="2" t="s">
        <v>7159</v>
      </c>
      <c r="DV357" s="2" t="s">
        <v>7159</v>
      </c>
      <c r="DW357" s="2" t="s">
        <v>7159</v>
      </c>
      <c r="DX357" s="2" t="s">
        <v>7159</v>
      </c>
      <c r="DY357" s="2" t="s">
        <v>7159</v>
      </c>
      <c r="DZ357" s="2" t="s">
        <v>7159</v>
      </c>
      <c r="EA357" s="2" t="s">
        <v>7159</v>
      </c>
      <c r="EB357" s="2" t="s">
        <v>7159</v>
      </c>
      <c r="EC357" s="2" t="s">
        <v>7159</v>
      </c>
      <c r="EF357" s="2" t="s">
        <v>7252</v>
      </c>
      <c r="EG357" s="2" t="s">
        <v>2362</v>
      </c>
      <c r="EJ357" s="2" t="s">
        <v>7217</v>
      </c>
      <c r="EK357" s="2" t="s">
        <v>7143</v>
      </c>
      <c r="EL357" s="2" t="s">
        <v>7143</v>
      </c>
      <c r="EN357" s="2" t="s">
        <v>7210</v>
      </c>
      <c r="EP357" s="2" t="s">
        <v>7186</v>
      </c>
      <c r="ER357" s="2" t="s">
        <v>7143</v>
      </c>
      <c r="ET357" s="2" t="s">
        <v>7143</v>
      </c>
      <c r="EV357" s="2" t="s">
        <v>7143</v>
      </c>
      <c r="EX357" s="2" t="s">
        <v>7143</v>
      </c>
      <c r="EZ357" s="2" t="s">
        <v>7143</v>
      </c>
      <c r="FC357" s="2" t="s">
        <v>7309</v>
      </c>
      <c r="FD357" s="2" t="s">
        <v>7143</v>
      </c>
      <c r="FH357" s="2" t="s">
        <v>7173</v>
      </c>
      <c r="FJ357" s="2" t="s">
        <v>7143</v>
      </c>
      <c r="FK357" s="2" t="s">
        <v>7173</v>
      </c>
      <c r="FR357" s="2" t="s">
        <v>2363</v>
      </c>
      <c r="FT357" s="2" t="s">
        <v>7176</v>
      </c>
      <c r="FU357" s="2" t="s">
        <v>7189</v>
      </c>
      <c r="FV357" s="2" t="s">
        <v>7176</v>
      </c>
      <c r="FW357" s="2" t="s">
        <v>7189</v>
      </c>
      <c r="FZ357" s="19" t="s">
        <v>8402</v>
      </c>
    </row>
    <row r="358" spans="1:182">
      <c r="A358" s="7" t="s">
        <v>2364</v>
      </c>
      <c r="D358" s="7" t="s">
        <v>8403</v>
      </c>
      <c r="E358" s="7" t="s">
        <v>2365</v>
      </c>
      <c r="F358" s="7" t="s">
        <v>7311</v>
      </c>
      <c r="G358" s="7" t="s">
        <v>8348</v>
      </c>
      <c r="H358" s="7" t="s">
        <v>2336</v>
      </c>
      <c r="I358" s="7" t="s">
        <v>2366</v>
      </c>
      <c r="J358" s="2" t="s">
        <v>2356</v>
      </c>
      <c r="K358" s="7" t="s">
        <v>2366</v>
      </c>
      <c r="L358" s="7" t="s">
        <v>7224</v>
      </c>
      <c r="M358" s="7" t="s">
        <v>7138</v>
      </c>
      <c r="N358" s="7">
        <v>1979</v>
      </c>
      <c r="O358" s="7" t="s">
        <v>7490</v>
      </c>
      <c r="P358" s="7" t="s">
        <v>7181</v>
      </c>
      <c r="Q358" s="7" t="s">
        <v>7225</v>
      </c>
      <c r="R358" s="7" t="s">
        <v>7143</v>
      </c>
      <c r="S358" s="7">
        <v>10</v>
      </c>
      <c r="T358" s="7" t="s">
        <v>7143</v>
      </c>
      <c r="U358" s="7" t="s">
        <v>7143</v>
      </c>
      <c r="Y358" s="2">
        <v>60</v>
      </c>
      <c r="Z358" s="17">
        <v>1</v>
      </c>
      <c r="AA358" s="2">
        <v>60</v>
      </c>
      <c r="AB358" s="2">
        <v>60</v>
      </c>
      <c r="AC358" s="7">
        <v>60</v>
      </c>
      <c r="AD358" s="2">
        <v>100</v>
      </c>
      <c r="AE358" s="2">
        <v>40</v>
      </c>
      <c r="AF358" s="2" t="s">
        <v>7143</v>
      </c>
      <c r="AG358" s="2" t="s">
        <v>7143</v>
      </c>
      <c r="AH358" s="2" t="s">
        <v>7143</v>
      </c>
      <c r="AJ358" s="2" t="s">
        <v>7143</v>
      </c>
      <c r="AK358" s="2" t="s">
        <v>7143</v>
      </c>
      <c r="AL358" s="2" t="s">
        <v>7143</v>
      </c>
      <c r="AM358" s="2" t="s">
        <v>7143</v>
      </c>
      <c r="AN358" s="2" t="s">
        <v>7143</v>
      </c>
      <c r="AO358" s="2" t="s">
        <v>7143</v>
      </c>
      <c r="AR358" s="7">
        <v>0.5</v>
      </c>
      <c r="AS358" s="7">
        <v>1</v>
      </c>
      <c r="AT358" s="7">
        <v>1</v>
      </c>
      <c r="AU358" s="2" t="s">
        <v>7193</v>
      </c>
      <c r="AV358" s="2" t="s">
        <v>7193</v>
      </c>
      <c r="AW358" s="2" t="s">
        <v>7143</v>
      </c>
      <c r="BC358" s="2" t="s">
        <v>7147</v>
      </c>
      <c r="BD358" s="2" t="s">
        <v>7143</v>
      </c>
      <c r="BE358" s="2" t="s">
        <v>7143</v>
      </c>
      <c r="BL358" s="2" t="s">
        <v>7195</v>
      </c>
      <c r="BO358" s="2" t="s">
        <v>7155</v>
      </c>
      <c r="BQ358" s="2" t="s">
        <v>7156</v>
      </c>
      <c r="BS358" s="2" t="s">
        <v>7142</v>
      </c>
      <c r="BT358" s="2" t="s">
        <v>7315</v>
      </c>
      <c r="BV358" s="2" t="s">
        <v>7202</v>
      </c>
      <c r="BX358" s="2" t="s">
        <v>7143</v>
      </c>
      <c r="BY358" s="2" t="s">
        <v>2367</v>
      </c>
      <c r="BZ358" s="2" t="s">
        <v>7159</v>
      </c>
      <c r="CE358" s="7">
        <v>1</v>
      </c>
      <c r="CF358" s="2">
        <v>100</v>
      </c>
      <c r="CK358" s="2">
        <v>100</v>
      </c>
      <c r="CP358" s="2">
        <v>100</v>
      </c>
      <c r="CR358" s="2" t="s">
        <v>7160</v>
      </c>
      <c r="CT358" s="2" t="s">
        <v>7143</v>
      </c>
      <c r="CU358" s="2" t="s">
        <v>7161</v>
      </c>
      <c r="CW358" s="2" t="s">
        <v>7162</v>
      </c>
      <c r="CY358" s="2" t="s">
        <v>7250</v>
      </c>
      <c r="CZ358" s="2" t="s">
        <v>7250</v>
      </c>
      <c r="DA358" s="2" t="s">
        <v>7250</v>
      </c>
      <c r="DB358" s="2" t="s">
        <v>7250</v>
      </c>
      <c r="DC358" s="2" t="s">
        <v>7250</v>
      </c>
      <c r="DD358" s="2" t="s">
        <v>7250</v>
      </c>
      <c r="DE358" s="2" t="s">
        <v>7250</v>
      </c>
      <c r="DF358" s="2" t="s">
        <v>7250</v>
      </c>
      <c r="DG358" s="2" t="s">
        <v>7250</v>
      </c>
      <c r="DH358" s="2" t="s">
        <v>7250</v>
      </c>
      <c r="DI358" s="2" t="s">
        <v>7250</v>
      </c>
      <c r="DL358" s="2" t="s">
        <v>7143</v>
      </c>
      <c r="DM358" s="2" t="s">
        <v>7143</v>
      </c>
      <c r="DP358" s="2" t="s">
        <v>7159</v>
      </c>
      <c r="DT358" s="2" t="s">
        <v>7159</v>
      </c>
      <c r="DU358" s="2" t="s">
        <v>7159</v>
      </c>
      <c r="DV358" s="2" t="s">
        <v>7159</v>
      </c>
      <c r="DW358" s="2" t="s">
        <v>7159</v>
      </c>
      <c r="DX358" s="2" t="s">
        <v>7159</v>
      </c>
      <c r="DY358" s="2" t="s">
        <v>7159</v>
      </c>
      <c r="DZ358" s="2" t="s">
        <v>7159</v>
      </c>
      <c r="EA358" s="2" t="s">
        <v>7159</v>
      </c>
      <c r="EB358" s="2" t="s">
        <v>7159</v>
      </c>
      <c r="EC358" s="2" t="s">
        <v>7159</v>
      </c>
      <c r="EF358" s="2" t="s">
        <v>7252</v>
      </c>
      <c r="EG358" s="2" t="s">
        <v>2291</v>
      </c>
      <c r="EJ358" s="2" t="s">
        <v>7217</v>
      </c>
      <c r="EK358" s="2" t="s">
        <v>7143</v>
      </c>
      <c r="EL358" s="2" t="s">
        <v>7143</v>
      </c>
      <c r="EN358" s="2" t="s">
        <v>7170</v>
      </c>
      <c r="EP358" s="2" t="s">
        <v>7186</v>
      </c>
      <c r="ER358" s="2" t="s">
        <v>7143</v>
      </c>
      <c r="ET358" s="2" t="s">
        <v>7143</v>
      </c>
      <c r="EV358" s="2" t="s">
        <v>7143</v>
      </c>
      <c r="EX358" s="2" t="s">
        <v>7143</v>
      </c>
      <c r="EZ358" s="2" t="s">
        <v>7143</v>
      </c>
      <c r="FC358" s="2" t="s">
        <v>7172</v>
      </c>
      <c r="FD358" s="2" t="s">
        <v>7143</v>
      </c>
      <c r="FH358" s="2" t="s">
        <v>7173</v>
      </c>
      <c r="FJ358" s="2" t="s">
        <v>7143</v>
      </c>
      <c r="FK358" s="2" t="s">
        <v>7159</v>
      </c>
      <c r="FN358" s="2" t="s">
        <v>7322</v>
      </c>
      <c r="FR358" s="2" t="s">
        <v>461</v>
      </c>
      <c r="FT358" s="2" t="s">
        <v>7176</v>
      </c>
      <c r="FU358" s="2" t="s">
        <v>7189</v>
      </c>
      <c r="FV358" s="2" t="s">
        <v>7176</v>
      </c>
      <c r="FW358" s="2" t="s">
        <v>7176</v>
      </c>
      <c r="FX358" s="2" t="s">
        <v>7176</v>
      </c>
      <c r="FY358" s="2" t="s">
        <v>2368</v>
      </c>
      <c r="FZ358" s="19" t="s">
        <v>8404</v>
      </c>
    </row>
    <row r="359" spans="1:182">
      <c r="A359" s="7" t="s">
        <v>2369</v>
      </c>
      <c r="D359" s="7" t="s">
        <v>8405</v>
      </c>
      <c r="E359" s="7" t="s">
        <v>2370</v>
      </c>
      <c r="F359" s="7" t="s">
        <v>7319</v>
      </c>
      <c r="G359" s="7" t="s">
        <v>8348</v>
      </c>
      <c r="H359" s="7" t="s">
        <v>2371</v>
      </c>
      <c r="I359" s="7" t="s">
        <v>2372</v>
      </c>
      <c r="J359" s="16" t="s">
        <v>8406</v>
      </c>
      <c r="K359" s="7" t="s">
        <v>2373</v>
      </c>
      <c r="L359" s="7" t="s">
        <v>7224</v>
      </c>
      <c r="M359" s="7" t="s">
        <v>7138</v>
      </c>
      <c r="N359" s="7">
        <v>1992</v>
      </c>
      <c r="O359" s="7" t="s">
        <v>7490</v>
      </c>
      <c r="P359" s="7" t="s">
        <v>7181</v>
      </c>
      <c r="Q359" s="7" t="s">
        <v>7395</v>
      </c>
      <c r="R359" s="7" t="s">
        <v>7143</v>
      </c>
      <c r="S359" s="2">
        <v>30</v>
      </c>
      <c r="T359" s="7" t="s">
        <v>7143</v>
      </c>
      <c r="U359" s="7" t="s">
        <v>7143</v>
      </c>
      <c r="Y359" s="7">
        <v>95</v>
      </c>
      <c r="Z359" s="17">
        <v>0.89470000000000005</v>
      </c>
      <c r="AA359" s="7">
        <v>85</v>
      </c>
      <c r="AB359" s="7">
        <v>85</v>
      </c>
      <c r="AC359" s="7">
        <v>85</v>
      </c>
      <c r="AD359" s="7">
        <v>100</v>
      </c>
      <c r="AE359" s="7">
        <v>15</v>
      </c>
      <c r="AF359" s="7" t="s">
        <v>7143</v>
      </c>
      <c r="AG359" s="7" t="s">
        <v>7143</v>
      </c>
      <c r="AH359" s="7" t="s">
        <v>7143</v>
      </c>
      <c r="AJ359" s="7" t="s">
        <v>7143</v>
      </c>
      <c r="AK359" s="7" t="s">
        <v>7143</v>
      </c>
      <c r="AL359" s="7" t="s">
        <v>7143</v>
      </c>
      <c r="AM359" s="7" t="s">
        <v>7142</v>
      </c>
      <c r="AN359" s="7" t="s">
        <v>7143</v>
      </c>
      <c r="AO359" s="7" t="s">
        <v>7143</v>
      </c>
      <c r="AR359" s="7">
        <v>0.7</v>
      </c>
      <c r="AS359" s="7">
        <v>2</v>
      </c>
      <c r="AT359" s="7">
        <v>1</v>
      </c>
      <c r="AU359" s="7" t="s">
        <v>7217</v>
      </c>
      <c r="AV359" s="7" t="s">
        <v>7217</v>
      </c>
      <c r="AW359" s="7" t="s">
        <v>7143</v>
      </c>
      <c r="AZ359" s="7" t="s">
        <v>7376</v>
      </c>
      <c r="BB359" s="7" t="s">
        <v>7214</v>
      </c>
      <c r="BC359" s="2" t="s">
        <v>7208</v>
      </c>
      <c r="BD359" s="7" t="s">
        <v>7143</v>
      </c>
      <c r="BE359" s="7" t="s">
        <v>7142</v>
      </c>
      <c r="BF359" s="7" t="s">
        <v>7148</v>
      </c>
      <c r="BG359" s="7" t="s">
        <v>7232</v>
      </c>
      <c r="BH359" s="7" t="s">
        <v>7233</v>
      </c>
      <c r="BI359" s="7" t="s">
        <v>7567</v>
      </c>
      <c r="BL359" s="7" t="s">
        <v>7195</v>
      </c>
      <c r="BM359" s="2" t="s">
        <v>7153</v>
      </c>
      <c r="BN359" s="2" t="s">
        <v>7154</v>
      </c>
      <c r="BO359" s="7" t="s">
        <v>7274</v>
      </c>
      <c r="BP359" s="2" t="s">
        <v>7275</v>
      </c>
      <c r="BS359" s="7" t="s">
        <v>7143</v>
      </c>
      <c r="BT359" s="7" t="s">
        <v>7238</v>
      </c>
      <c r="BU359" s="7" t="s">
        <v>544</v>
      </c>
      <c r="BV359" s="7" t="s">
        <v>7363</v>
      </c>
      <c r="BX359" s="7" t="s">
        <v>7143</v>
      </c>
      <c r="BY359" s="2" t="s">
        <v>2374</v>
      </c>
      <c r="BZ359" s="7" t="s">
        <v>7173</v>
      </c>
      <c r="CE359" s="7">
        <v>1</v>
      </c>
      <c r="CF359" s="7">
        <v>100</v>
      </c>
      <c r="CH359" s="2">
        <v>0</v>
      </c>
      <c r="CI359" s="2">
        <v>0</v>
      </c>
      <c r="CJ359" s="2">
        <v>0</v>
      </c>
      <c r="CK359" s="7">
        <v>100</v>
      </c>
      <c r="CL359" s="2">
        <v>0</v>
      </c>
      <c r="CM359" s="2">
        <v>0</v>
      </c>
      <c r="CO359" s="7">
        <v>100</v>
      </c>
      <c r="CP359" s="2">
        <v>0</v>
      </c>
      <c r="CQ359" s="2">
        <v>0</v>
      </c>
      <c r="CR359" s="7" t="s">
        <v>7160</v>
      </c>
      <c r="CT359" s="7" t="s">
        <v>7143</v>
      </c>
      <c r="CU359" s="7" t="s">
        <v>7161</v>
      </c>
      <c r="CW359" s="7" t="s">
        <v>7162</v>
      </c>
      <c r="CY359" s="7" t="s">
        <v>7163</v>
      </c>
      <c r="CZ359" s="7" t="s">
        <v>7163</v>
      </c>
      <c r="DA359" s="7" t="s">
        <v>7250</v>
      </c>
      <c r="DB359" s="7" t="s">
        <v>7250</v>
      </c>
      <c r="DC359" s="7" t="s">
        <v>7321</v>
      </c>
      <c r="DD359" s="7" t="s">
        <v>7321</v>
      </c>
      <c r="DE359" s="7" t="s">
        <v>7250</v>
      </c>
      <c r="DF359" s="7" t="s">
        <v>7250</v>
      </c>
      <c r="DG359" s="7" t="s">
        <v>7250</v>
      </c>
      <c r="DH359" s="7" t="s">
        <v>7250</v>
      </c>
      <c r="DI359" s="7" t="s">
        <v>7321</v>
      </c>
      <c r="DL359" s="7" t="s">
        <v>7143</v>
      </c>
      <c r="DM359" s="7" t="s">
        <v>7143</v>
      </c>
      <c r="DP359" s="7" t="s">
        <v>7159</v>
      </c>
      <c r="DT359" s="7" t="s">
        <v>7159</v>
      </c>
      <c r="DU359" s="7" t="s">
        <v>7159</v>
      </c>
      <c r="DV359" s="7" t="s">
        <v>7159</v>
      </c>
      <c r="DW359" s="7" t="s">
        <v>7159</v>
      </c>
      <c r="DX359" s="7" t="s">
        <v>7159</v>
      </c>
      <c r="DY359" s="7" t="s">
        <v>7159</v>
      </c>
      <c r="DZ359" s="7" t="s">
        <v>7159</v>
      </c>
      <c r="EA359" s="7" t="s">
        <v>7159</v>
      </c>
      <c r="EB359" s="7" t="s">
        <v>7159</v>
      </c>
      <c r="EC359" s="2" t="s">
        <v>7159</v>
      </c>
      <c r="ED359" s="7" t="s">
        <v>7173</v>
      </c>
      <c r="EE359" s="2" t="s">
        <v>188</v>
      </c>
      <c r="EF359" s="7" t="s">
        <v>7252</v>
      </c>
      <c r="EG359" s="7" t="s">
        <v>2375</v>
      </c>
      <c r="EJ359" s="7" t="s">
        <v>7217</v>
      </c>
      <c r="EK359" s="7" t="s">
        <v>7142</v>
      </c>
      <c r="EL359" s="7" t="s">
        <v>7143</v>
      </c>
      <c r="EN359" s="7" t="s">
        <v>7210</v>
      </c>
      <c r="EP359" s="7" t="s">
        <v>7186</v>
      </c>
      <c r="ER359" s="7" t="s">
        <v>7142</v>
      </c>
      <c r="ET359" s="7" t="s">
        <v>7143</v>
      </c>
      <c r="EV359" s="7" t="s">
        <v>7143</v>
      </c>
      <c r="EX359" s="7" t="s">
        <v>7143</v>
      </c>
      <c r="EZ359" s="7" t="s">
        <v>7142</v>
      </c>
      <c r="FA359" s="7" t="s">
        <v>2376</v>
      </c>
      <c r="FB359" s="7" t="s">
        <v>7204</v>
      </c>
      <c r="FC359" s="7" t="s">
        <v>7172</v>
      </c>
      <c r="FD359" s="7" t="s">
        <v>7143</v>
      </c>
      <c r="FH359" s="7" t="s">
        <v>7173</v>
      </c>
      <c r="FJ359" s="7" t="s">
        <v>7143</v>
      </c>
      <c r="FK359" s="7" t="s">
        <v>7173</v>
      </c>
      <c r="FN359" s="7" t="s">
        <v>7243</v>
      </c>
      <c r="FO359" s="7" t="s">
        <v>203</v>
      </c>
      <c r="FR359" s="7" t="s">
        <v>2377</v>
      </c>
      <c r="FT359" s="7" t="s">
        <v>7176</v>
      </c>
      <c r="FU359" s="2" t="s">
        <v>7189</v>
      </c>
      <c r="FV359" s="7" t="s">
        <v>7176</v>
      </c>
      <c r="FW359" s="7" t="s">
        <v>7189</v>
      </c>
      <c r="FX359" s="2" t="s">
        <v>7189</v>
      </c>
    </row>
    <row r="360" spans="1:182">
      <c r="A360" s="7" t="s">
        <v>2378</v>
      </c>
      <c r="D360" s="7" t="s">
        <v>8407</v>
      </c>
      <c r="E360" s="7" t="s">
        <v>2379</v>
      </c>
      <c r="F360" s="7" t="s">
        <v>7389</v>
      </c>
      <c r="G360" s="7" t="s">
        <v>8348</v>
      </c>
      <c r="H360" s="7" t="s">
        <v>2380</v>
      </c>
      <c r="I360" s="7" t="s">
        <v>2381</v>
      </c>
      <c r="J360" s="16" t="s">
        <v>8408</v>
      </c>
      <c r="K360" s="7" t="s">
        <v>2382</v>
      </c>
      <c r="L360" s="2" t="s">
        <v>7137</v>
      </c>
      <c r="M360" s="7" t="s">
        <v>7179</v>
      </c>
      <c r="N360" s="7">
        <v>1990</v>
      </c>
      <c r="O360" s="7" t="s">
        <v>7490</v>
      </c>
      <c r="P360" s="7" t="s">
        <v>7181</v>
      </c>
      <c r="Q360" s="2" t="s">
        <v>7225</v>
      </c>
      <c r="R360" s="2" t="s">
        <v>7143</v>
      </c>
      <c r="S360" s="2">
        <v>15</v>
      </c>
      <c r="T360" s="2" t="s">
        <v>7143</v>
      </c>
      <c r="U360" s="2" t="s">
        <v>7143</v>
      </c>
      <c r="Y360" s="2">
        <v>80</v>
      </c>
      <c r="Z360" s="17">
        <v>1</v>
      </c>
      <c r="AA360" s="2">
        <v>80</v>
      </c>
      <c r="AB360" s="2">
        <v>80</v>
      </c>
      <c r="AC360" s="7">
        <v>80</v>
      </c>
      <c r="AD360" s="2">
        <v>120</v>
      </c>
      <c r="AE360" s="2">
        <v>40</v>
      </c>
      <c r="AF360" s="2" t="s">
        <v>7143</v>
      </c>
      <c r="AG360" s="2" t="s">
        <v>7143</v>
      </c>
      <c r="AH360" s="2" t="s">
        <v>7143</v>
      </c>
      <c r="AJ360" s="2" t="s">
        <v>7143</v>
      </c>
      <c r="AK360" s="2" t="s">
        <v>7143</v>
      </c>
      <c r="AL360" s="2" t="s">
        <v>7143</v>
      </c>
      <c r="AM360" s="2" t="s">
        <v>7143</v>
      </c>
      <c r="AN360" s="2" t="s">
        <v>7143</v>
      </c>
      <c r="AO360" s="2" t="s">
        <v>7143</v>
      </c>
      <c r="AR360" s="7">
        <v>0.5</v>
      </c>
      <c r="AS360" s="7">
        <v>1</v>
      </c>
      <c r="AT360" s="7">
        <v>1</v>
      </c>
      <c r="AU360" s="2" t="s">
        <v>7217</v>
      </c>
      <c r="AV360" s="2" t="s">
        <v>7193</v>
      </c>
      <c r="AW360" s="2" t="s">
        <v>7143</v>
      </c>
      <c r="AZ360" s="2" t="s">
        <v>7145</v>
      </c>
      <c r="BB360" s="2" t="s">
        <v>7214</v>
      </c>
      <c r="BC360" s="2" t="s">
        <v>7247</v>
      </c>
      <c r="BD360" s="2" t="s">
        <v>7143</v>
      </c>
      <c r="BE360" s="2" t="s">
        <v>7142</v>
      </c>
      <c r="BF360" s="2" t="s">
        <v>7148</v>
      </c>
      <c r="BG360" s="2" t="s">
        <v>7149</v>
      </c>
      <c r="BH360" s="2" t="s">
        <v>7150</v>
      </c>
      <c r="BI360" s="2" t="s">
        <v>7151</v>
      </c>
      <c r="BL360" s="2" t="s">
        <v>7195</v>
      </c>
      <c r="BO360" s="2" t="s">
        <v>7155</v>
      </c>
      <c r="BQ360" s="2" t="s">
        <v>7183</v>
      </c>
      <c r="BS360" s="2" t="s">
        <v>7142</v>
      </c>
      <c r="BT360" s="2" t="s">
        <v>8019</v>
      </c>
      <c r="BV360" s="2" t="s">
        <v>7348</v>
      </c>
      <c r="BX360" s="2" t="s">
        <v>7142</v>
      </c>
      <c r="BY360" s="2" t="s">
        <v>2383</v>
      </c>
      <c r="BZ360" s="2" t="s">
        <v>7173</v>
      </c>
      <c r="CE360" s="7">
        <v>1</v>
      </c>
      <c r="CF360" s="2">
        <v>120</v>
      </c>
      <c r="CK360" s="2">
        <v>100</v>
      </c>
      <c r="CO360" s="2">
        <v>100</v>
      </c>
      <c r="CR360" s="2" t="s">
        <v>7160</v>
      </c>
      <c r="CT360" s="2" t="s">
        <v>7143</v>
      </c>
      <c r="CU360" s="2" t="s">
        <v>7161</v>
      </c>
      <c r="CW360" s="2" t="s">
        <v>7162</v>
      </c>
      <c r="CY360" s="2" t="s">
        <v>7227</v>
      </c>
      <c r="CZ360" s="2" t="s">
        <v>7250</v>
      </c>
      <c r="DA360" s="2" t="s">
        <v>7250</v>
      </c>
      <c r="DB360" s="2" t="s">
        <v>7250</v>
      </c>
      <c r="DC360" s="2" t="s">
        <v>7321</v>
      </c>
      <c r="DD360" s="2" t="s">
        <v>7250</v>
      </c>
      <c r="DE360" s="2" t="s">
        <v>7250</v>
      </c>
      <c r="DF360" s="2" t="s">
        <v>7250</v>
      </c>
      <c r="DG360" s="2" t="s">
        <v>7250</v>
      </c>
      <c r="DH360" s="2" t="s">
        <v>7321</v>
      </c>
      <c r="DI360" s="2" t="s">
        <v>7321</v>
      </c>
      <c r="DL360" s="2" t="s">
        <v>7143</v>
      </c>
      <c r="DM360" s="2" t="s">
        <v>7143</v>
      </c>
      <c r="DP360" s="2" t="s">
        <v>7173</v>
      </c>
      <c r="DT360" s="2" t="s">
        <v>7159</v>
      </c>
      <c r="DU360" s="2" t="s">
        <v>7159</v>
      </c>
      <c r="DV360" s="2" t="s">
        <v>7159</v>
      </c>
      <c r="DW360" s="2" t="s">
        <v>7159</v>
      </c>
      <c r="DX360" s="2" t="s">
        <v>7159</v>
      </c>
      <c r="DY360" s="2" t="s">
        <v>7159</v>
      </c>
      <c r="DZ360" s="2" t="s">
        <v>7159</v>
      </c>
      <c r="EA360" s="2" t="s">
        <v>7159</v>
      </c>
      <c r="EB360" s="2" t="s">
        <v>7159</v>
      </c>
      <c r="EC360" s="2" t="s">
        <v>7159</v>
      </c>
      <c r="EF360" s="2" t="s">
        <v>7221</v>
      </c>
      <c r="EG360" s="2" t="s">
        <v>632</v>
      </c>
      <c r="EJ360" s="2" t="s">
        <v>7217</v>
      </c>
      <c r="EK360" s="2" t="s">
        <v>7143</v>
      </c>
      <c r="EL360" s="2" t="s">
        <v>7143</v>
      </c>
      <c r="EN360" s="2" t="s">
        <v>7210</v>
      </c>
      <c r="EP360" s="2" t="s">
        <v>7186</v>
      </c>
      <c r="ER360" s="2" t="s">
        <v>7143</v>
      </c>
      <c r="ET360" s="2" t="s">
        <v>7143</v>
      </c>
      <c r="EV360" s="2" t="s">
        <v>7143</v>
      </c>
      <c r="EX360" s="2" t="s">
        <v>7143</v>
      </c>
      <c r="EZ360" s="2" t="s">
        <v>7143</v>
      </c>
      <c r="FC360" s="2" t="s">
        <v>7218</v>
      </c>
      <c r="FD360" s="2" t="s">
        <v>7143</v>
      </c>
      <c r="FH360" s="2" t="s">
        <v>7173</v>
      </c>
      <c r="FJ360" s="2" t="s">
        <v>7143</v>
      </c>
      <c r="FK360" s="2" t="s">
        <v>7173</v>
      </c>
      <c r="FN360" s="2" t="s">
        <v>7235</v>
      </c>
      <c r="FR360" s="2" t="s">
        <v>2384</v>
      </c>
      <c r="FT360" s="2" t="s">
        <v>7189</v>
      </c>
      <c r="FU360" s="2" t="s">
        <v>7189</v>
      </c>
      <c r="FV360" s="2" t="s">
        <v>7189</v>
      </c>
      <c r="FW360" s="2" t="s">
        <v>7189</v>
      </c>
      <c r="FZ360" s="19" t="s">
        <v>8409</v>
      </c>
    </row>
    <row r="361" spans="1:182">
      <c r="A361" s="7" t="s">
        <v>2385</v>
      </c>
      <c r="D361" s="7" t="s">
        <v>8410</v>
      </c>
      <c r="E361" s="7" t="s">
        <v>177</v>
      </c>
      <c r="F361" s="7" t="s">
        <v>7134</v>
      </c>
      <c r="G361" s="7" t="s">
        <v>8348</v>
      </c>
      <c r="H361" s="2" t="s">
        <v>2294</v>
      </c>
      <c r="I361" s="7" t="s">
        <v>2386</v>
      </c>
      <c r="J361" s="16" t="s">
        <v>8411</v>
      </c>
      <c r="K361" s="7" t="s">
        <v>2387</v>
      </c>
      <c r="L361" s="2" t="s">
        <v>7137</v>
      </c>
      <c r="M361" s="7" t="s">
        <v>7179</v>
      </c>
      <c r="N361" s="7">
        <v>2004</v>
      </c>
      <c r="O361" s="7" t="s">
        <v>7490</v>
      </c>
      <c r="P361" s="7" t="s">
        <v>7192</v>
      </c>
      <c r="R361" s="2" t="s">
        <v>7143</v>
      </c>
      <c r="S361" s="2">
        <v>11</v>
      </c>
      <c r="T361" s="2" t="s">
        <v>7143</v>
      </c>
      <c r="U361" s="2" t="s">
        <v>7143</v>
      </c>
      <c r="Y361" s="2">
        <v>305</v>
      </c>
      <c r="Z361" s="17">
        <v>0.88519999999999999</v>
      </c>
      <c r="AA361" s="2">
        <v>270</v>
      </c>
      <c r="AB361" s="2">
        <v>270</v>
      </c>
      <c r="AC361" s="7">
        <v>270</v>
      </c>
      <c r="AD361" s="2">
        <v>315</v>
      </c>
      <c r="AE361" s="2">
        <v>45</v>
      </c>
      <c r="AF361" s="2" t="s">
        <v>7143</v>
      </c>
      <c r="AG361" s="2" t="s">
        <v>7143</v>
      </c>
      <c r="AH361" s="2" t="s">
        <v>7143</v>
      </c>
      <c r="AJ361" s="2" t="s">
        <v>7143</v>
      </c>
      <c r="AK361" s="2" t="s">
        <v>7143</v>
      </c>
      <c r="AL361" s="2" t="s">
        <v>7143</v>
      </c>
      <c r="AM361" s="2" t="s">
        <v>7142</v>
      </c>
      <c r="AN361" s="2" t="s">
        <v>7143</v>
      </c>
      <c r="AO361" s="2" t="s">
        <v>7143</v>
      </c>
      <c r="AR361" s="7">
        <v>1</v>
      </c>
      <c r="AS361" s="7">
        <v>4</v>
      </c>
      <c r="AT361" s="7">
        <v>3.2</v>
      </c>
      <c r="AU361" s="2" t="s">
        <v>7193</v>
      </c>
      <c r="AV361" s="2" t="s">
        <v>7193</v>
      </c>
      <c r="AW361" s="2" t="s">
        <v>7143</v>
      </c>
      <c r="AZ361" s="2" t="s">
        <v>7145</v>
      </c>
      <c r="BB361" s="2" t="s">
        <v>7214</v>
      </c>
      <c r="BC361" s="2" t="s">
        <v>7147</v>
      </c>
      <c r="BD361" s="2" t="s">
        <v>7143</v>
      </c>
      <c r="BE361" s="2" t="s">
        <v>7142</v>
      </c>
      <c r="BF361" s="2" t="s">
        <v>7148</v>
      </c>
      <c r="BG361" s="2" t="s">
        <v>7149</v>
      </c>
      <c r="BH361" s="2" t="s">
        <v>7150</v>
      </c>
      <c r="BI361" s="2" t="s">
        <v>7151</v>
      </c>
      <c r="BL361" s="2" t="s">
        <v>7195</v>
      </c>
      <c r="BO361" s="2" t="s">
        <v>7155</v>
      </c>
      <c r="BQ361" s="2" t="s">
        <v>7156</v>
      </c>
      <c r="BS361" s="2" t="s">
        <v>7142</v>
      </c>
      <c r="BT361" s="2" t="s">
        <v>7157</v>
      </c>
      <c r="BV361" s="2" t="s">
        <v>7202</v>
      </c>
      <c r="BX361" s="2" t="s">
        <v>7143</v>
      </c>
      <c r="BZ361" s="2" t="s">
        <v>7173</v>
      </c>
      <c r="CE361" s="7">
        <v>3.2</v>
      </c>
      <c r="CF361" s="2">
        <v>315</v>
      </c>
      <c r="CK361" s="2">
        <v>100</v>
      </c>
      <c r="CO361" s="2">
        <v>100</v>
      </c>
      <c r="CR361" s="2" t="s">
        <v>7160</v>
      </c>
      <c r="CT361" s="2" t="s">
        <v>7143</v>
      </c>
      <c r="CU361" s="2" t="s">
        <v>7161</v>
      </c>
      <c r="CW361" s="2" t="s">
        <v>7162</v>
      </c>
      <c r="CY361" s="2" t="s">
        <v>7164</v>
      </c>
      <c r="CZ361" s="2" t="s">
        <v>7164</v>
      </c>
      <c r="DA361" s="2" t="s">
        <v>7164</v>
      </c>
      <c r="DB361" s="2" t="s">
        <v>7164</v>
      </c>
      <c r="DC361" s="2" t="s">
        <v>7164</v>
      </c>
      <c r="DD361" s="2" t="s">
        <v>7164</v>
      </c>
      <c r="DE361" s="2" t="s">
        <v>7164</v>
      </c>
      <c r="DF361" s="2" t="s">
        <v>7164</v>
      </c>
      <c r="DG361" s="2" t="s">
        <v>7164</v>
      </c>
      <c r="DH361" s="2" t="s">
        <v>7164</v>
      </c>
      <c r="DI361" s="2" t="s">
        <v>7164</v>
      </c>
      <c r="DL361" s="2" t="s">
        <v>7143</v>
      </c>
      <c r="DM361" s="2" t="s">
        <v>7143</v>
      </c>
      <c r="DP361" s="2" t="s">
        <v>7159</v>
      </c>
      <c r="DT361" s="2" t="s">
        <v>7165</v>
      </c>
      <c r="DU361" s="2" t="s">
        <v>7159</v>
      </c>
      <c r="DV361" s="2" t="s">
        <v>7165</v>
      </c>
      <c r="DW361" s="2" t="s">
        <v>7159</v>
      </c>
      <c r="DX361" s="2" t="s">
        <v>7159</v>
      </c>
      <c r="DY361" s="2" t="s">
        <v>7165</v>
      </c>
      <c r="DZ361" s="2" t="s">
        <v>7159</v>
      </c>
      <c r="EA361" s="2" t="s">
        <v>7165</v>
      </c>
      <c r="EB361" s="2" t="s">
        <v>7165</v>
      </c>
      <c r="EJ361" s="2" t="s">
        <v>7193</v>
      </c>
      <c r="EK361" s="2" t="s">
        <v>7143</v>
      </c>
      <c r="EL361" s="2" t="s">
        <v>7143</v>
      </c>
      <c r="EN361" s="2" t="s">
        <v>7392</v>
      </c>
      <c r="EP361" s="2" t="s">
        <v>7186</v>
      </c>
      <c r="ER361" s="2" t="s">
        <v>7143</v>
      </c>
      <c r="ET361" s="2" t="s">
        <v>7143</v>
      </c>
      <c r="EV361" s="2" t="s">
        <v>7143</v>
      </c>
      <c r="EX361" s="2" t="s">
        <v>7143</v>
      </c>
      <c r="EZ361" s="2" t="s">
        <v>7143</v>
      </c>
      <c r="FC361" s="2" t="s">
        <v>7172</v>
      </c>
      <c r="FD361" s="2" t="s">
        <v>7143</v>
      </c>
      <c r="FH361" s="2" t="s">
        <v>7173</v>
      </c>
      <c r="FJ361" s="2" t="s">
        <v>7142</v>
      </c>
      <c r="FK361" s="2" t="s">
        <v>7173</v>
      </c>
      <c r="FN361" s="2" t="s">
        <v>7175</v>
      </c>
      <c r="FT361" s="2" t="s">
        <v>7189</v>
      </c>
      <c r="FU361" s="2" t="s">
        <v>7189</v>
      </c>
      <c r="FV361" s="2" t="s">
        <v>7189</v>
      </c>
      <c r="FW361" s="2" t="s">
        <v>7189</v>
      </c>
      <c r="FZ361" s="19" t="s">
        <v>8412</v>
      </c>
    </row>
    <row r="362" spans="1:182">
      <c r="A362" s="7" t="s">
        <v>2388</v>
      </c>
      <c r="D362" s="7" t="s">
        <v>8413</v>
      </c>
      <c r="E362" s="7" t="s">
        <v>177</v>
      </c>
      <c r="F362" s="7" t="s">
        <v>7245</v>
      </c>
      <c r="G362" s="7" t="s">
        <v>8348</v>
      </c>
      <c r="H362" s="7" t="s">
        <v>2352</v>
      </c>
      <c r="I362" s="7" t="s">
        <v>2389</v>
      </c>
      <c r="J362" s="19" t="s">
        <v>8414</v>
      </c>
      <c r="K362" s="7" t="s">
        <v>2389</v>
      </c>
      <c r="L362" s="7" t="s">
        <v>7471</v>
      </c>
      <c r="M362" s="7" t="s">
        <v>7138</v>
      </c>
      <c r="N362" s="7">
        <v>1960</v>
      </c>
      <c r="O362" s="7" t="s">
        <v>7490</v>
      </c>
      <c r="P362" s="2" t="s">
        <v>7140</v>
      </c>
      <c r="Q362" s="7" t="s">
        <v>7395</v>
      </c>
      <c r="R362" s="7" t="s">
        <v>7143</v>
      </c>
      <c r="S362" s="7">
        <v>2012</v>
      </c>
      <c r="T362" s="7" t="s">
        <v>7143</v>
      </c>
      <c r="U362" s="7" t="s">
        <v>7143</v>
      </c>
      <c r="Y362" s="2">
        <v>120</v>
      </c>
      <c r="Z362" s="17">
        <v>1</v>
      </c>
      <c r="AA362" s="2">
        <v>120</v>
      </c>
      <c r="AB362" s="2">
        <v>120</v>
      </c>
      <c r="AC362" s="7">
        <v>90</v>
      </c>
      <c r="AD362" s="2">
        <v>100</v>
      </c>
      <c r="AE362" s="2">
        <v>10</v>
      </c>
      <c r="AF362" s="2" t="s">
        <v>7142</v>
      </c>
      <c r="AG362" s="2" t="s">
        <v>7143</v>
      </c>
      <c r="AH362" s="2" t="s">
        <v>7142</v>
      </c>
      <c r="AI362" s="2" t="s">
        <v>308</v>
      </c>
      <c r="AJ362" s="2" t="s">
        <v>7143</v>
      </c>
      <c r="AK362" s="2" t="s">
        <v>7143</v>
      </c>
      <c r="AL362" s="2" t="s">
        <v>7143</v>
      </c>
      <c r="AM362" s="2" t="s">
        <v>7142</v>
      </c>
      <c r="AN362" s="2" t="s">
        <v>7143</v>
      </c>
      <c r="AO362" s="2" t="s">
        <v>7143</v>
      </c>
      <c r="AR362" s="7">
        <v>1</v>
      </c>
      <c r="AS362" s="7">
        <v>1</v>
      </c>
      <c r="AT362" s="7">
        <v>1</v>
      </c>
      <c r="AU362" s="2" t="s">
        <v>7217</v>
      </c>
      <c r="AV362" s="2" t="s">
        <v>7217</v>
      </c>
      <c r="AW362" s="2" t="s">
        <v>7143</v>
      </c>
      <c r="AZ362" s="7" t="s">
        <v>7145</v>
      </c>
      <c r="BB362" s="7" t="s">
        <v>7214</v>
      </c>
      <c r="BC362" s="7" t="s">
        <v>7247</v>
      </c>
      <c r="BD362" s="7" t="s">
        <v>7143</v>
      </c>
      <c r="BE362" s="7" t="s">
        <v>7143</v>
      </c>
      <c r="BL362" s="2" t="s">
        <v>7195</v>
      </c>
      <c r="BM362" s="2" t="s">
        <v>7153</v>
      </c>
      <c r="BN362" s="2" t="s">
        <v>7154</v>
      </c>
      <c r="BO362" s="2" t="s">
        <v>8381</v>
      </c>
      <c r="BP362" s="2" t="s">
        <v>7275</v>
      </c>
      <c r="BS362" s="2" t="s">
        <v>7143</v>
      </c>
      <c r="BT362" s="2" t="s">
        <v>7215</v>
      </c>
      <c r="BV362" s="2" t="s">
        <v>7239</v>
      </c>
      <c r="BX362" s="2" t="s">
        <v>7143</v>
      </c>
      <c r="BY362" s="2" t="s">
        <v>335</v>
      </c>
      <c r="BZ362" s="2" t="s">
        <v>7173</v>
      </c>
      <c r="CE362" s="7">
        <v>1</v>
      </c>
      <c r="CF362" s="2">
        <v>100</v>
      </c>
      <c r="CK362" s="2">
        <v>100</v>
      </c>
      <c r="CO362" s="2">
        <v>100</v>
      </c>
      <c r="CR362" s="2" t="s">
        <v>7160</v>
      </c>
      <c r="CT362" s="2" t="s">
        <v>7143</v>
      </c>
      <c r="CU362" s="2" t="s">
        <v>7234</v>
      </c>
      <c r="CW362" s="2" t="s">
        <v>7162</v>
      </c>
      <c r="CY362" s="2" t="s">
        <v>7249</v>
      </c>
      <c r="CZ362" s="2" t="s">
        <v>7249</v>
      </c>
      <c r="DA362" s="2" t="s">
        <v>7250</v>
      </c>
      <c r="DB362" s="2" t="s">
        <v>7249</v>
      </c>
      <c r="DC362" s="2" t="s">
        <v>7250</v>
      </c>
      <c r="DD362" s="2" t="s">
        <v>7249</v>
      </c>
      <c r="DE362" s="2" t="s">
        <v>7250</v>
      </c>
      <c r="DF362" s="2" t="s">
        <v>7250</v>
      </c>
      <c r="DG362" s="2" t="s">
        <v>7249</v>
      </c>
      <c r="DH362" s="2" t="s">
        <v>7249</v>
      </c>
      <c r="DI362" s="2" t="s">
        <v>7249</v>
      </c>
      <c r="DL362" s="7" t="s">
        <v>7143</v>
      </c>
      <c r="DM362" s="2" t="s">
        <v>7143</v>
      </c>
      <c r="DP362" s="2" t="s">
        <v>7159</v>
      </c>
      <c r="DT362" s="2" t="s">
        <v>7165</v>
      </c>
      <c r="DU362" s="2" t="s">
        <v>7159</v>
      </c>
      <c r="DV362" s="2" t="s">
        <v>7165</v>
      </c>
      <c r="DW362" s="2" t="s">
        <v>7159</v>
      </c>
      <c r="DX362" s="2" t="s">
        <v>7159</v>
      </c>
      <c r="DY362" s="2" t="s">
        <v>7159</v>
      </c>
      <c r="DZ362" s="2" t="s">
        <v>7159</v>
      </c>
      <c r="EA362" s="2" t="s">
        <v>7159</v>
      </c>
      <c r="EB362" s="2" t="s">
        <v>7159</v>
      </c>
      <c r="EC362" s="2" t="s">
        <v>7159</v>
      </c>
      <c r="EF362" s="2" t="s">
        <v>7252</v>
      </c>
      <c r="EG362" s="2" t="s">
        <v>2390</v>
      </c>
      <c r="EJ362" s="7" t="s">
        <v>7217</v>
      </c>
      <c r="EK362" s="2" t="s">
        <v>7143</v>
      </c>
      <c r="EL362" s="2" t="s">
        <v>7143</v>
      </c>
      <c r="EN362" s="2" t="s">
        <v>7170</v>
      </c>
      <c r="EP362" s="2" t="s">
        <v>7186</v>
      </c>
      <c r="ER362" s="2" t="s">
        <v>7143</v>
      </c>
      <c r="ET362" s="2" t="s">
        <v>7143</v>
      </c>
      <c r="EV362" s="2" t="s">
        <v>7143</v>
      </c>
      <c r="EX362" s="2" t="s">
        <v>7143</v>
      </c>
      <c r="FC362" s="2" t="s">
        <v>7172</v>
      </c>
      <c r="FD362" s="2" t="s">
        <v>7143</v>
      </c>
      <c r="FH362" s="7" t="s">
        <v>7173</v>
      </c>
      <c r="FJ362" s="2" t="s">
        <v>7143</v>
      </c>
      <c r="FK362" s="2" t="s">
        <v>7159</v>
      </c>
      <c r="FN362" s="2" t="s">
        <v>7253</v>
      </c>
      <c r="FR362" s="2" t="s">
        <v>1750</v>
      </c>
      <c r="FT362" s="2" t="s">
        <v>7176</v>
      </c>
      <c r="FU362" s="2" t="s">
        <v>7189</v>
      </c>
      <c r="FV362" s="2" t="s">
        <v>7189</v>
      </c>
      <c r="FW362" s="2" t="s">
        <v>7189</v>
      </c>
      <c r="FZ362" s="19" t="s">
        <v>8415</v>
      </c>
    </row>
    <row r="363" spans="1:182">
      <c r="A363" s="7" t="s">
        <v>2391</v>
      </c>
      <c r="D363" s="7" t="s">
        <v>8416</v>
      </c>
      <c r="E363" s="7" t="s">
        <v>177</v>
      </c>
      <c r="F363" s="7" t="s">
        <v>7134</v>
      </c>
      <c r="G363" s="7" t="s">
        <v>8348</v>
      </c>
      <c r="H363" s="7" t="s">
        <v>2294</v>
      </c>
      <c r="I363" s="7" t="s">
        <v>2392</v>
      </c>
      <c r="J363" s="16" t="s">
        <v>8417</v>
      </c>
      <c r="K363" s="7" t="s">
        <v>2393</v>
      </c>
      <c r="L363" s="2" t="s">
        <v>7137</v>
      </c>
      <c r="M363" s="7" t="s">
        <v>7179</v>
      </c>
      <c r="N363" s="7">
        <v>2006</v>
      </c>
      <c r="O363" s="7" t="s">
        <v>7490</v>
      </c>
      <c r="P363" s="7" t="s">
        <v>7192</v>
      </c>
      <c r="Q363" s="2" t="s">
        <v>7141</v>
      </c>
      <c r="R363" s="2" t="s">
        <v>7143</v>
      </c>
      <c r="S363" s="2">
        <v>11</v>
      </c>
      <c r="T363" s="2" t="s">
        <v>7143</v>
      </c>
      <c r="U363" s="2" t="s">
        <v>7143</v>
      </c>
      <c r="Y363" s="2">
        <v>80</v>
      </c>
      <c r="Z363" s="17">
        <v>0.875</v>
      </c>
      <c r="AA363" s="2">
        <v>70</v>
      </c>
      <c r="AB363" s="2">
        <v>55</v>
      </c>
      <c r="AC363" s="7">
        <v>55</v>
      </c>
      <c r="AD363" s="2">
        <v>60</v>
      </c>
      <c r="AE363" s="2">
        <v>5</v>
      </c>
      <c r="AF363" s="2" t="s">
        <v>7142</v>
      </c>
      <c r="AG363" s="2" t="s">
        <v>7143</v>
      </c>
      <c r="AH363" s="2" t="s">
        <v>7143</v>
      </c>
      <c r="AJ363" s="2" t="s">
        <v>7143</v>
      </c>
      <c r="AK363" s="2" t="s">
        <v>7142</v>
      </c>
      <c r="AL363" s="2" t="s">
        <v>7143</v>
      </c>
      <c r="AM363" s="2" t="s">
        <v>7142</v>
      </c>
      <c r="AN363" s="2" t="s">
        <v>7143</v>
      </c>
      <c r="AO363" s="2" t="s">
        <v>7143</v>
      </c>
      <c r="AR363" s="7">
        <v>0.3</v>
      </c>
      <c r="AS363" s="7">
        <v>2</v>
      </c>
      <c r="AT363" s="7">
        <v>0.6</v>
      </c>
      <c r="AU363" s="2" t="s">
        <v>7193</v>
      </c>
      <c r="AV363" s="2" t="s">
        <v>7193</v>
      </c>
      <c r="AW363" s="2" t="s">
        <v>7143</v>
      </c>
      <c r="AZ363" s="2" t="s">
        <v>7145</v>
      </c>
      <c r="BB363" s="2" t="s">
        <v>7214</v>
      </c>
      <c r="BC363" s="2" t="s">
        <v>7147</v>
      </c>
      <c r="BD363" s="2" t="s">
        <v>7143</v>
      </c>
      <c r="BE363" s="2" t="s">
        <v>7142</v>
      </c>
      <c r="BF363" s="2" t="s">
        <v>7148</v>
      </c>
      <c r="BG363" s="2" t="s">
        <v>7149</v>
      </c>
      <c r="BH363" s="2" t="s">
        <v>7150</v>
      </c>
      <c r="BI363" s="2" t="s">
        <v>7151</v>
      </c>
      <c r="BL363" s="2" t="s">
        <v>7195</v>
      </c>
      <c r="BO363" s="2" t="s">
        <v>7155</v>
      </c>
      <c r="BQ363" s="2" t="s">
        <v>7156</v>
      </c>
      <c r="BS363" s="2" t="s">
        <v>7142</v>
      </c>
      <c r="BT363" s="2" t="s">
        <v>7215</v>
      </c>
      <c r="BV363" s="2" t="s">
        <v>7202</v>
      </c>
      <c r="BX363" s="2" t="s">
        <v>7143</v>
      </c>
      <c r="BZ363" s="2" t="s">
        <v>7159</v>
      </c>
      <c r="CE363" s="7">
        <v>0.6</v>
      </c>
      <c r="CF363" s="2">
        <v>60</v>
      </c>
      <c r="CK363" s="2">
        <v>100</v>
      </c>
      <c r="CO363" s="2">
        <v>100</v>
      </c>
      <c r="CR363" s="2" t="s">
        <v>7160</v>
      </c>
      <c r="CT363" s="2" t="s">
        <v>7143</v>
      </c>
      <c r="CU363" s="2" t="s">
        <v>7161</v>
      </c>
      <c r="CY363" s="2" t="s">
        <v>7164</v>
      </c>
      <c r="CZ363" s="2" t="s">
        <v>7164</v>
      </c>
      <c r="DA363" s="2" t="s">
        <v>7164</v>
      </c>
      <c r="DB363" s="2" t="s">
        <v>7164</v>
      </c>
      <c r="DC363" s="2" t="s">
        <v>7164</v>
      </c>
      <c r="DD363" s="2" t="s">
        <v>7164</v>
      </c>
      <c r="DE363" s="2" t="s">
        <v>7164</v>
      </c>
      <c r="DF363" s="2" t="s">
        <v>7164</v>
      </c>
      <c r="DG363" s="2" t="s">
        <v>7164</v>
      </c>
      <c r="DH363" s="2" t="s">
        <v>7164</v>
      </c>
      <c r="DI363" s="2" t="s">
        <v>7164</v>
      </c>
      <c r="DL363" s="2" t="s">
        <v>7143</v>
      </c>
      <c r="DM363" s="2" t="s">
        <v>7143</v>
      </c>
      <c r="DP363" s="2" t="s">
        <v>7159</v>
      </c>
      <c r="DT363" s="2" t="s">
        <v>7165</v>
      </c>
      <c r="DU363" s="2" t="s">
        <v>7159</v>
      </c>
      <c r="DV363" s="2" t="s">
        <v>7165</v>
      </c>
      <c r="DW363" s="2" t="s">
        <v>7159</v>
      </c>
      <c r="DX363" s="2" t="s">
        <v>7159</v>
      </c>
      <c r="DY363" s="2" t="s">
        <v>7165</v>
      </c>
      <c r="DZ363" s="2" t="s">
        <v>7159</v>
      </c>
      <c r="EA363" s="2" t="s">
        <v>7159</v>
      </c>
      <c r="EB363" s="2" t="s">
        <v>7159</v>
      </c>
      <c r="EJ363" s="2" t="s">
        <v>7217</v>
      </c>
      <c r="EK363" s="2" t="s">
        <v>7143</v>
      </c>
      <c r="EL363" s="2" t="s">
        <v>7143</v>
      </c>
      <c r="EN363" s="2" t="s">
        <v>7392</v>
      </c>
      <c r="EP363" s="2" t="s">
        <v>7186</v>
      </c>
      <c r="ER363" s="2" t="s">
        <v>7143</v>
      </c>
      <c r="ET363" s="2" t="s">
        <v>7143</v>
      </c>
      <c r="EV363" s="2" t="s">
        <v>7143</v>
      </c>
      <c r="EX363" s="2" t="s">
        <v>7143</v>
      </c>
      <c r="EZ363" s="2" t="s">
        <v>7143</v>
      </c>
      <c r="FC363" s="2" t="s">
        <v>7172</v>
      </c>
      <c r="FD363" s="2" t="s">
        <v>7143</v>
      </c>
      <c r="FH363" s="2" t="s">
        <v>7173</v>
      </c>
      <c r="FJ363" s="2" t="s">
        <v>7142</v>
      </c>
      <c r="FK363" s="2" t="s">
        <v>7173</v>
      </c>
      <c r="FN363" s="2" t="s">
        <v>7175</v>
      </c>
      <c r="FT363" s="2" t="s">
        <v>7189</v>
      </c>
      <c r="FU363" s="2" t="s">
        <v>7189</v>
      </c>
      <c r="FV363" s="2" t="s">
        <v>7189</v>
      </c>
      <c r="FW363" s="2" t="s">
        <v>7189</v>
      </c>
      <c r="FZ363" s="19" t="s">
        <v>8418</v>
      </c>
    </row>
    <row r="364" spans="1:182">
      <c r="A364" s="7" t="s">
        <v>2394</v>
      </c>
      <c r="D364" s="7" t="s">
        <v>8419</v>
      </c>
      <c r="E364" s="7" t="s">
        <v>2395</v>
      </c>
      <c r="F364" s="7" t="s">
        <v>7339</v>
      </c>
      <c r="G364" s="7" t="s">
        <v>8348</v>
      </c>
      <c r="H364" s="7" t="s">
        <v>2294</v>
      </c>
      <c r="I364" s="7" t="s">
        <v>2396</v>
      </c>
      <c r="J364" s="16" t="s">
        <v>8420</v>
      </c>
      <c r="K364" s="7" t="s">
        <v>2396</v>
      </c>
      <c r="L364" s="2" t="s">
        <v>7137</v>
      </c>
      <c r="M364" s="7" t="s">
        <v>7138</v>
      </c>
      <c r="N364" s="7">
        <v>1995</v>
      </c>
      <c r="O364" s="7" t="s">
        <v>7490</v>
      </c>
      <c r="P364" s="2" t="s">
        <v>7140</v>
      </c>
      <c r="Q364" s="2" t="s">
        <v>7225</v>
      </c>
      <c r="R364" s="2" t="s">
        <v>7143</v>
      </c>
      <c r="S364" s="2">
        <v>7</v>
      </c>
      <c r="T364" s="2" t="s">
        <v>7143</v>
      </c>
      <c r="U364" s="2" t="s">
        <v>7143</v>
      </c>
      <c r="Y364" s="2">
        <v>158.6</v>
      </c>
      <c r="Z364" s="17">
        <v>0.4325</v>
      </c>
      <c r="AA364" s="2">
        <v>68.599999999999994</v>
      </c>
      <c r="AC364" s="7">
        <v>19.600000000000001</v>
      </c>
      <c r="AD364" s="2">
        <v>68.599999999999994</v>
      </c>
      <c r="AE364" s="2">
        <v>49</v>
      </c>
      <c r="AF364" s="2" t="s">
        <v>7143</v>
      </c>
      <c r="AG364" s="2" t="s">
        <v>7143</v>
      </c>
      <c r="AH364" s="2" t="s">
        <v>7143</v>
      </c>
      <c r="AJ364" s="2" t="s">
        <v>7143</v>
      </c>
      <c r="AK364" s="2" t="s">
        <v>7143</v>
      </c>
      <c r="AL364" s="2" t="s">
        <v>7142</v>
      </c>
      <c r="AM364" s="2" t="s">
        <v>7142</v>
      </c>
      <c r="AN364" s="2" t="s">
        <v>7143</v>
      </c>
      <c r="AO364" s="2" t="s">
        <v>7143</v>
      </c>
      <c r="AR364" s="7">
        <v>0.8</v>
      </c>
      <c r="AS364" s="7">
        <v>1</v>
      </c>
      <c r="AT364" s="7">
        <v>0.7</v>
      </c>
      <c r="AU364" s="2" t="s">
        <v>7217</v>
      </c>
      <c r="AV364" s="2" t="s">
        <v>7217</v>
      </c>
      <c r="AW364" s="2" t="s">
        <v>7143</v>
      </c>
      <c r="AZ364" s="2" t="s">
        <v>7145</v>
      </c>
      <c r="BB364" s="2" t="s">
        <v>7214</v>
      </c>
      <c r="BD364" s="2" t="s">
        <v>7143</v>
      </c>
      <c r="BE364" s="2" t="s">
        <v>7142</v>
      </c>
      <c r="BF364" s="2" t="s">
        <v>7148</v>
      </c>
      <c r="BG364" s="2" t="s">
        <v>7149</v>
      </c>
      <c r="BH364" s="2" t="s">
        <v>7150</v>
      </c>
      <c r="BI364" s="2" t="s">
        <v>7151</v>
      </c>
      <c r="BL364" s="2" t="s">
        <v>7195</v>
      </c>
      <c r="BO364" s="2" t="s">
        <v>7155</v>
      </c>
      <c r="BQ364" s="2" t="s">
        <v>7156</v>
      </c>
      <c r="BS364" s="2" t="s">
        <v>7142</v>
      </c>
      <c r="BT364" s="2" t="s">
        <v>7341</v>
      </c>
      <c r="BV364" s="2" t="s">
        <v>7313</v>
      </c>
      <c r="BX364" s="2" t="s">
        <v>7142</v>
      </c>
      <c r="BY364" s="2" t="s">
        <v>2397</v>
      </c>
      <c r="CE364" s="7">
        <v>0.7</v>
      </c>
      <c r="CF364" s="2">
        <v>68</v>
      </c>
      <c r="CK364" s="2">
        <v>100</v>
      </c>
      <c r="CP364" s="2">
        <v>100</v>
      </c>
      <c r="CR364" s="2" t="s">
        <v>7276</v>
      </c>
      <c r="CT364" s="2" t="s">
        <v>7143</v>
      </c>
      <c r="CU364" s="2" t="s">
        <v>7161</v>
      </c>
      <c r="CW364" s="2" t="s">
        <v>7162</v>
      </c>
      <c r="CY364" s="2" t="s">
        <v>7249</v>
      </c>
      <c r="CZ364" s="2" t="s">
        <v>7249</v>
      </c>
      <c r="DA364" s="2" t="s">
        <v>7249</v>
      </c>
      <c r="DB364" s="2" t="s">
        <v>7249</v>
      </c>
      <c r="DC364" s="2" t="s">
        <v>7249</v>
      </c>
      <c r="DD364" s="2" t="s">
        <v>7249</v>
      </c>
      <c r="DE364" s="2" t="s">
        <v>7249</v>
      </c>
      <c r="DF364" s="2" t="s">
        <v>7249</v>
      </c>
      <c r="DG364" s="2" t="s">
        <v>7249</v>
      </c>
      <c r="DH364" s="2" t="s">
        <v>7249</v>
      </c>
      <c r="DI364" s="2" t="s">
        <v>7249</v>
      </c>
      <c r="DL364" s="2" t="s">
        <v>7143</v>
      </c>
      <c r="DM364" s="2" t="s">
        <v>7143</v>
      </c>
      <c r="DP364" s="2" t="s">
        <v>7173</v>
      </c>
      <c r="DT364" s="2" t="s">
        <v>7159</v>
      </c>
      <c r="DU364" s="2" t="s">
        <v>7159</v>
      </c>
      <c r="DV364" s="2" t="s">
        <v>7159</v>
      </c>
      <c r="DW364" s="2" t="s">
        <v>7159</v>
      </c>
      <c r="DX364" s="2" t="s">
        <v>7159</v>
      </c>
      <c r="DY364" s="2" t="s">
        <v>7159</v>
      </c>
      <c r="DZ364" s="2" t="s">
        <v>7159</v>
      </c>
      <c r="EA364" s="2" t="s">
        <v>7159</v>
      </c>
      <c r="EB364" s="2" t="s">
        <v>7159</v>
      </c>
      <c r="EC364" s="2" t="s">
        <v>7159</v>
      </c>
      <c r="EF364" s="2" t="s">
        <v>7349</v>
      </c>
      <c r="EJ364" s="2" t="s">
        <v>7217</v>
      </c>
      <c r="EK364" s="2" t="s">
        <v>7143</v>
      </c>
      <c r="EL364" s="2" t="s">
        <v>7143</v>
      </c>
      <c r="EN364" s="2" t="s">
        <v>7170</v>
      </c>
      <c r="EP364" s="2" t="s">
        <v>7186</v>
      </c>
      <c r="ER364" s="2" t="s">
        <v>7143</v>
      </c>
      <c r="ET364" s="2" t="s">
        <v>7143</v>
      </c>
      <c r="EV364" s="2" t="s">
        <v>7143</v>
      </c>
      <c r="EX364" s="2" t="s">
        <v>7143</v>
      </c>
      <c r="EZ364" s="2" t="s">
        <v>7143</v>
      </c>
      <c r="FC364" s="2" t="s">
        <v>7218</v>
      </c>
      <c r="FD364" s="2" t="s">
        <v>7143</v>
      </c>
      <c r="FH364" s="2" t="s">
        <v>7173</v>
      </c>
      <c r="FJ364" s="2" t="s">
        <v>7143</v>
      </c>
      <c r="FK364" s="2" t="s">
        <v>7173</v>
      </c>
      <c r="FN364" s="2" t="s">
        <v>7344</v>
      </c>
      <c r="FR364" s="2" t="s">
        <v>2398</v>
      </c>
      <c r="FT364" s="2" t="s">
        <v>7189</v>
      </c>
      <c r="FU364" s="2" t="s">
        <v>7189</v>
      </c>
      <c r="FV364" s="2" t="s">
        <v>7189</v>
      </c>
      <c r="FW364" s="2" t="s">
        <v>7189</v>
      </c>
      <c r="FZ364" s="19" t="s">
        <v>8421</v>
      </c>
    </row>
    <row r="365" spans="1:182">
      <c r="A365" s="7" t="s">
        <v>2399</v>
      </c>
      <c r="D365" s="7" t="s">
        <v>8422</v>
      </c>
      <c r="E365" s="7" t="s">
        <v>2400</v>
      </c>
      <c r="F365" s="7" t="s">
        <v>7311</v>
      </c>
      <c r="G365" s="7" t="s">
        <v>8348</v>
      </c>
      <c r="H365" s="7" t="s">
        <v>2371</v>
      </c>
      <c r="I365" s="7" t="s">
        <v>2401</v>
      </c>
      <c r="J365" s="2" t="s">
        <v>2356</v>
      </c>
      <c r="K365" s="7" t="s">
        <v>2401</v>
      </c>
      <c r="L365" s="7" t="s">
        <v>7224</v>
      </c>
      <c r="M365" s="7" t="s">
        <v>7138</v>
      </c>
      <c r="N365" s="7">
        <v>1987</v>
      </c>
      <c r="O365" s="7" t="s">
        <v>7490</v>
      </c>
      <c r="P365" s="7" t="s">
        <v>7181</v>
      </c>
      <c r="Q365" s="7" t="s">
        <v>7225</v>
      </c>
      <c r="R365" s="7" t="s">
        <v>7143</v>
      </c>
      <c r="S365" s="7">
        <v>6</v>
      </c>
      <c r="T365" s="7" t="s">
        <v>7143</v>
      </c>
      <c r="U365" s="7" t="s">
        <v>7143</v>
      </c>
      <c r="Y365" s="2">
        <v>60</v>
      </c>
      <c r="Z365" s="17">
        <v>1</v>
      </c>
      <c r="AA365" s="2">
        <v>60</v>
      </c>
      <c r="AB365" s="2">
        <v>60</v>
      </c>
      <c r="AC365" s="7">
        <v>60</v>
      </c>
      <c r="AD365" s="2">
        <v>90</v>
      </c>
      <c r="AE365" s="2">
        <v>30</v>
      </c>
      <c r="AF365" s="2" t="s">
        <v>7143</v>
      </c>
      <c r="AG365" s="2" t="s">
        <v>7143</v>
      </c>
      <c r="AH365" s="2" t="s">
        <v>7143</v>
      </c>
      <c r="AJ365" s="2" t="s">
        <v>7143</v>
      </c>
      <c r="AK365" s="2" t="s">
        <v>7143</v>
      </c>
      <c r="AL365" s="2" t="s">
        <v>7143</v>
      </c>
      <c r="AM365" s="2" t="s">
        <v>7143</v>
      </c>
      <c r="AN365" s="2" t="s">
        <v>7143</v>
      </c>
      <c r="AO365" s="2" t="s">
        <v>7143</v>
      </c>
      <c r="AR365" s="7">
        <v>0.5</v>
      </c>
      <c r="AS365" s="7">
        <v>2</v>
      </c>
      <c r="AT365" s="7">
        <v>0.9</v>
      </c>
      <c r="AU365" s="2" t="s">
        <v>7193</v>
      </c>
      <c r="AV365" s="2" t="s">
        <v>7193</v>
      </c>
      <c r="AW365" s="2" t="s">
        <v>7143</v>
      </c>
      <c r="AZ365" s="2" t="s">
        <v>7145</v>
      </c>
      <c r="BB365" s="2" t="s">
        <v>7268</v>
      </c>
      <c r="BC365" s="2" t="s">
        <v>7247</v>
      </c>
      <c r="BD365" s="2" t="s">
        <v>7142</v>
      </c>
      <c r="BE365" s="2" t="s">
        <v>7142</v>
      </c>
      <c r="BF365" s="2" t="s">
        <v>7148</v>
      </c>
      <c r="BG365" s="2" t="s">
        <v>7232</v>
      </c>
      <c r="BH365" s="2" t="s">
        <v>7150</v>
      </c>
      <c r="BI365" s="2" t="s">
        <v>7326</v>
      </c>
      <c r="BL365" s="2" t="s">
        <v>7195</v>
      </c>
      <c r="BO365" s="2" t="s">
        <v>7155</v>
      </c>
      <c r="BQ365" s="2" t="s">
        <v>7156</v>
      </c>
      <c r="BS365" s="2" t="s">
        <v>7142</v>
      </c>
      <c r="BT365" s="2" t="s">
        <v>7315</v>
      </c>
      <c r="BV365" s="2" t="s">
        <v>7202</v>
      </c>
      <c r="BX365" s="2" t="s">
        <v>7143</v>
      </c>
      <c r="BY365" s="2" t="s">
        <v>2402</v>
      </c>
      <c r="BZ365" s="2" t="s">
        <v>7159</v>
      </c>
      <c r="CE365" s="7">
        <v>0.9</v>
      </c>
      <c r="CF365" s="2">
        <v>90</v>
      </c>
      <c r="CK365" s="2">
        <v>100</v>
      </c>
      <c r="CP365" s="2">
        <v>100</v>
      </c>
      <c r="CR365" s="2" t="s">
        <v>7160</v>
      </c>
      <c r="CT365" s="2" t="s">
        <v>7143</v>
      </c>
      <c r="CU365" s="2" t="s">
        <v>7161</v>
      </c>
      <c r="CW365" s="2" t="s">
        <v>7162</v>
      </c>
      <c r="CY365" s="2" t="s">
        <v>7250</v>
      </c>
      <c r="CZ365" s="2" t="s">
        <v>7250</v>
      </c>
      <c r="DA365" s="2" t="s">
        <v>7250</v>
      </c>
      <c r="DB365" s="2" t="s">
        <v>7250</v>
      </c>
      <c r="DC365" s="2" t="s">
        <v>7250</v>
      </c>
      <c r="DD365" s="2" t="s">
        <v>7250</v>
      </c>
      <c r="DE365" s="2" t="s">
        <v>7250</v>
      </c>
      <c r="DF365" s="2" t="s">
        <v>7250</v>
      </c>
      <c r="DG365" s="2" t="s">
        <v>7250</v>
      </c>
      <c r="DH365" s="2" t="s">
        <v>7250</v>
      </c>
      <c r="DI365" s="2" t="s">
        <v>7250</v>
      </c>
      <c r="DL365" s="2" t="s">
        <v>7143</v>
      </c>
      <c r="DM365" s="2" t="s">
        <v>7143</v>
      </c>
      <c r="DP365" s="2" t="s">
        <v>7159</v>
      </c>
      <c r="DT365" s="2" t="s">
        <v>7159</v>
      </c>
      <c r="DU365" s="2" t="s">
        <v>7159</v>
      </c>
      <c r="DV365" s="2" t="s">
        <v>7159</v>
      </c>
      <c r="DW365" s="2" t="s">
        <v>7159</v>
      </c>
      <c r="DX365" s="2" t="s">
        <v>7159</v>
      </c>
      <c r="DY365" s="2" t="s">
        <v>7159</v>
      </c>
      <c r="DZ365" s="2" t="s">
        <v>7159</v>
      </c>
      <c r="EA365" s="2" t="s">
        <v>7159</v>
      </c>
      <c r="EB365" s="2" t="s">
        <v>7159</v>
      </c>
      <c r="EC365" s="2" t="s">
        <v>7159</v>
      </c>
      <c r="EF365" s="2" t="s">
        <v>7252</v>
      </c>
      <c r="EG365" s="2" t="s">
        <v>2403</v>
      </c>
      <c r="EJ365" s="2" t="s">
        <v>7193</v>
      </c>
      <c r="EK365" s="2" t="s">
        <v>7143</v>
      </c>
      <c r="EL365" s="2" t="s">
        <v>7143</v>
      </c>
      <c r="EN365" s="2" t="s">
        <v>7170</v>
      </c>
      <c r="EP365" s="2" t="s">
        <v>7186</v>
      </c>
      <c r="ER365" s="2" t="s">
        <v>7143</v>
      </c>
      <c r="ET365" s="2" t="s">
        <v>7143</v>
      </c>
      <c r="EV365" s="2" t="s">
        <v>7143</v>
      </c>
      <c r="EX365" s="2" t="s">
        <v>7143</v>
      </c>
      <c r="EZ365" s="2" t="s">
        <v>7143</v>
      </c>
      <c r="FC365" s="2" t="s">
        <v>7172</v>
      </c>
      <c r="FD365" s="2" t="s">
        <v>7143</v>
      </c>
      <c r="FH365" s="2" t="s">
        <v>7173</v>
      </c>
      <c r="FJ365" s="2" t="s">
        <v>7143</v>
      </c>
      <c r="FK365" s="2" t="s">
        <v>7159</v>
      </c>
      <c r="FR365" s="2" t="s">
        <v>2404</v>
      </c>
      <c r="FT365" s="2" t="s">
        <v>7189</v>
      </c>
      <c r="FU365" s="2" t="s">
        <v>7189</v>
      </c>
      <c r="FV365" s="2" t="s">
        <v>7176</v>
      </c>
      <c r="FW365" s="2" t="s">
        <v>7176</v>
      </c>
      <c r="FX365" s="2" t="s">
        <v>7176</v>
      </c>
      <c r="FY365" s="2" t="s">
        <v>2405</v>
      </c>
      <c r="FZ365" s="19" t="s">
        <v>8423</v>
      </c>
    </row>
    <row r="366" spans="1:182">
      <c r="A366" s="7" t="s">
        <v>2406</v>
      </c>
      <c r="D366" s="7" t="s">
        <v>8424</v>
      </c>
      <c r="E366" s="7" t="s">
        <v>2407</v>
      </c>
      <c r="F366" s="7" t="s">
        <v>7339</v>
      </c>
      <c r="G366" s="7" t="s">
        <v>8348</v>
      </c>
      <c r="H366" s="7" t="s">
        <v>2408</v>
      </c>
      <c r="I366" s="7" t="s">
        <v>2409</v>
      </c>
      <c r="J366" s="19" t="s">
        <v>7343</v>
      </c>
      <c r="K366" s="7" t="s">
        <v>2410</v>
      </c>
      <c r="L366" s="2" t="s">
        <v>7137</v>
      </c>
      <c r="M366" s="7" t="s">
        <v>7179</v>
      </c>
      <c r="N366" s="2">
        <v>1985</v>
      </c>
      <c r="O366" s="7" t="s">
        <v>7490</v>
      </c>
      <c r="P366" s="2" t="s">
        <v>7181</v>
      </c>
      <c r="Q366" s="2" t="s">
        <v>7225</v>
      </c>
      <c r="R366" s="2" t="s">
        <v>7143</v>
      </c>
      <c r="S366" s="2">
        <v>2016</v>
      </c>
      <c r="T366" s="2" t="s">
        <v>7143</v>
      </c>
      <c r="U366" s="2" t="s">
        <v>7143</v>
      </c>
      <c r="Y366" s="2">
        <v>175</v>
      </c>
      <c r="Z366" s="17">
        <v>1</v>
      </c>
      <c r="AA366" s="2">
        <v>175</v>
      </c>
      <c r="AB366" s="2">
        <v>175</v>
      </c>
      <c r="AC366" s="7">
        <v>175</v>
      </c>
      <c r="AD366" s="2">
        <v>215</v>
      </c>
      <c r="AE366" s="2">
        <v>40</v>
      </c>
      <c r="AF366" s="2" t="s">
        <v>7143</v>
      </c>
      <c r="AG366" s="2" t="s">
        <v>7143</v>
      </c>
      <c r="AH366" s="2" t="s">
        <v>7143</v>
      </c>
      <c r="AJ366" s="2" t="s">
        <v>7143</v>
      </c>
      <c r="AK366" s="2" t="s">
        <v>7143</v>
      </c>
      <c r="AL366" s="2" t="s">
        <v>7143</v>
      </c>
      <c r="AM366" s="2" t="s">
        <v>7143</v>
      </c>
      <c r="AN366" s="2" t="s">
        <v>7143</v>
      </c>
      <c r="AO366" s="2" t="s">
        <v>7143</v>
      </c>
      <c r="AR366" s="7">
        <v>0.5</v>
      </c>
      <c r="AS366" s="7">
        <v>1</v>
      </c>
      <c r="AT366" s="7">
        <v>2.2000000000000002</v>
      </c>
      <c r="AU366" s="2" t="s">
        <v>7217</v>
      </c>
      <c r="AV366" s="2" t="s">
        <v>7217</v>
      </c>
      <c r="AW366" s="2" t="s">
        <v>7143</v>
      </c>
      <c r="AZ366" s="2" t="s">
        <v>7145</v>
      </c>
      <c r="BB366" s="2" t="s">
        <v>7214</v>
      </c>
      <c r="BC366" s="2" t="s">
        <v>7247</v>
      </c>
      <c r="BD366" s="2" t="s">
        <v>7143</v>
      </c>
      <c r="BE366" s="2" t="s">
        <v>7142</v>
      </c>
      <c r="BG366" s="2" t="s">
        <v>7149</v>
      </c>
      <c r="BH366" s="2" t="s">
        <v>7150</v>
      </c>
      <c r="BI366" s="2" t="s">
        <v>7151</v>
      </c>
      <c r="BL366" s="2" t="s">
        <v>7195</v>
      </c>
      <c r="BO366" s="2" t="s">
        <v>7155</v>
      </c>
      <c r="BQ366" s="2" t="s">
        <v>7256</v>
      </c>
      <c r="BS366" s="2" t="s">
        <v>7143</v>
      </c>
      <c r="BT366" s="2" t="s">
        <v>7535</v>
      </c>
      <c r="BV366" s="2" t="s">
        <v>7313</v>
      </c>
      <c r="BX366" s="2" t="s">
        <v>7142</v>
      </c>
      <c r="BY366" s="2" t="s">
        <v>2411</v>
      </c>
      <c r="BZ366" s="2" t="s">
        <v>7159</v>
      </c>
      <c r="CE366" s="7">
        <v>2.2000000000000002</v>
      </c>
      <c r="CF366" s="2">
        <v>215</v>
      </c>
      <c r="CK366" s="2">
        <v>100</v>
      </c>
      <c r="CO366" s="2">
        <v>100</v>
      </c>
      <c r="CR366" s="2" t="s">
        <v>7276</v>
      </c>
      <c r="CT366" s="2" t="s">
        <v>7143</v>
      </c>
      <c r="CU366" s="2" t="s">
        <v>7161</v>
      </c>
      <c r="CY366" s="2" t="s">
        <v>7249</v>
      </c>
      <c r="CZ366" s="2" t="s">
        <v>7249</v>
      </c>
      <c r="DA366" s="2" t="s">
        <v>7249</v>
      </c>
      <c r="DB366" s="2" t="s">
        <v>7249</v>
      </c>
      <c r="DC366" s="2" t="s">
        <v>7249</v>
      </c>
      <c r="DD366" s="2" t="s">
        <v>7249</v>
      </c>
      <c r="DE366" s="2" t="s">
        <v>7249</v>
      </c>
      <c r="DF366" s="2" t="s">
        <v>7249</v>
      </c>
      <c r="DG366" s="2" t="s">
        <v>7227</v>
      </c>
      <c r="DH366" s="2" t="s">
        <v>7227</v>
      </c>
      <c r="DI366" s="2" t="s">
        <v>7249</v>
      </c>
      <c r="DL366" s="2" t="s">
        <v>7143</v>
      </c>
      <c r="DM366" s="2" t="s">
        <v>7143</v>
      </c>
      <c r="DN366" s="2" t="s">
        <v>7142</v>
      </c>
      <c r="DO366" s="2" t="s">
        <v>7142</v>
      </c>
      <c r="DP366" s="2" t="s">
        <v>7173</v>
      </c>
      <c r="DT366" s="2" t="s">
        <v>7159</v>
      </c>
      <c r="DU366" s="2" t="s">
        <v>7159</v>
      </c>
      <c r="DV366" s="2" t="s">
        <v>7159</v>
      </c>
      <c r="DW366" s="2" t="s">
        <v>7159</v>
      </c>
      <c r="DX366" s="2" t="s">
        <v>7159</v>
      </c>
      <c r="DY366" s="2" t="s">
        <v>7159</v>
      </c>
      <c r="DZ366" s="2" t="s">
        <v>7159</v>
      </c>
      <c r="EA366" s="2" t="s">
        <v>7159</v>
      </c>
      <c r="EB366" s="2" t="s">
        <v>7159</v>
      </c>
      <c r="EF366" s="2" t="s">
        <v>7349</v>
      </c>
      <c r="EJ366" s="2" t="s">
        <v>7217</v>
      </c>
      <c r="EK366" s="2" t="s">
        <v>7143</v>
      </c>
      <c r="EL366" s="2" t="s">
        <v>7143</v>
      </c>
      <c r="EN366" s="2" t="s">
        <v>7170</v>
      </c>
      <c r="EP366" s="2" t="s">
        <v>7186</v>
      </c>
      <c r="ER366" s="2" t="s">
        <v>7143</v>
      </c>
      <c r="ET366" s="2" t="s">
        <v>7143</v>
      </c>
      <c r="EV366" s="2" t="s">
        <v>7143</v>
      </c>
      <c r="EX366" s="2" t="s">
        <v>7143</v>
      </c>
      <c r="EZ366" s="2" t="s">
        <v>7143</v>
      </c>
      <c r="FC366" s="2" t="s">
        <v>7218</v>
      </c>
      <c r="FD366" s="2" t="s">
        <v>7143</v>
      </c>
      <c r="FH366" s="2" t="s">
        <v>7173</v>
      </c>
      <c r="FJ366" s="2" t="s">
        <v>7143</v>
      </c>
      <c r="FK366" s="2" t="s">
        <v>7173</v>
      </c>
      <c r="FN366" s="2" t="s">
        <v>7344</v>
      </c>
      <c r="FR366" s="2" t="s">
        <v>2412</v>
      </c>
      <c r="FT366" s="2" t="s">
        <v>7189</v>
      </c>
      <c r="FU366" s="2" t="s">
        <v>7189</v>
      </c>
      <c r="FV366" s="2" t="s">
        <v>7189</v>
      </c>
      <c r="FW366" s="2" t="s">
        <v>7189</v>
      </c>
      <c r="FZ366" s="19" t="s">
        <v>8425</v>
      </c>
    </row>
    <row r="367" spans="1:182">
      <c r="A367" s="7" t="s">
        <v>2413</v>
      </c>
      <c r="D367" s="7" t="s">
        <v>8426</v>
      </c>
      <c r="E367" s="7" t="s">
        <v>2414</v>
      </c>
      <c r="F367" s="7" t="s">
        <v>7389</v>
      </c>
      <c r="G367" s="7" t="s">
        <v>8348</v>
      </c>
      <c r="H367" s="7" t="s">
        <v>2298</v>
      </c>
      <c r="I367" s="7" t="s">
        <v>2415</v>
      </c>
      <c r="J367" s="16" t="s">
        <v>8427</v>
      </c>
      <c r="K367" s="7" t="s">
        <v>2415</v>
      </c>
      <c r="L367" s="2" t="s">
        <v>7137</v>
      </c>
      <c r="M367" s="7" t="s">
        <v>7138</v>
      </c>
      <c r="N367" s="7">
        <v>1984</v>
      </c>
      <c r="O367" s="7" t="s">
        <v>7490</v>
      </c>
      <c r="P367" s="7" t="s">
        <v>7140</v>
      </c>
      <c r="Q367" s="2" t="s">
        <v>7225</v>
      </c>
      <c r="R367" s="2" t="s">
        <v>7143</v>
      </c>
      <c r="S367" s="2">
        <v>23</v>
      </c>
      <c r="T367" s="2" t="s">
        <v>7143</v>
      </c>
      <c r="U367" s="2" t="s">
        <v>7143</v>
      </c>
      <c r="Y367" s="2">
        <v>180</v>
      </c>
      <c r="Z367" s="17">
        <v>1</v>
      </c>
      <c r="AA367" s="2">
        <v>180</v>
      </c>
      <c r="AB367" s="2">
        <v>180</v>
      </c>
      <c r="AC367" s="7">
        <v>160</v>
      </c>
      <c r="AD367" s="2">
        <v>240</v>
      </c>
      <c r="AE367" s="2">
        <v>80</v>
      </c>
      <c r="AF367" s="2" t="s">
        <v>7143</v>
      </c>
      <c r="AG367" s="2" t="s">
        <v>7143</v>
      </c>
      <c r="AH367" s="2" t="s">
        <v>7142</v>
      </c>
      <c r="AI367" s="2" t="s">
        <v>308</v>
      </c>
      <c r="AJ367" s="2" t="s">
        <v>7143</v>
      </c>
      <c r="AK367" s="2" t="s">
        <v>7143</v>
      </c>
      <c r="AL367" s="2" t="s">
        <v>7143</v>
      </c>
      <c r="AM367" s="2" t="s">
        <v>7143</v>
      </c>
      <c r="AN367" s="2" t="s">
        <v>7143</v>
      </c>
      <c r="AO367" s="2" t="s">
        <v>7143</v>
      </c>
      <c r="AR367" s="7">
        <v>1</v>
      </c>
      <c r="AS367" s="7">
        <v>1</v>
      </c>
      <c r="AT367" s="7">
        <v>2</v>
      </c>
      <c r="AU367" s="2" t="s">
        <v>7217</v>
      </c>
      <c r="AV367" s="2" t="s">
        <v>7144</v>
      </c>
      <c r="AW367" s="2" t="s">
        <v>7143</v>
      </c>
      <c r="AZ367" s="2" t="s">
        <v>7145</v>
      </c>
      <c r="BB367" s="2" t="s">
        <v>7214</v>
      </c>
      <c r="BC367" s="2" t="s">
        <v>7247</v>
      </c>
      <c r="BD367" s="2" t="s">
        <v>7143</v>
      </c>
      <c r="BE367" s="2" t="s">
        <v>7142</v>
      </c>
      <c r="BF367" s="2" t="s">
        <v>7148</v>
      </c>
      <c r="BG367" s="2" t="s">
        <v>7149</v>
      </c>
      <c r="BH367" s="2" t="s">
        <v>7248</v>
      </c>
      <c r="BI367" s="2" t="s">
        <v>7151</v>
      </c>
      <c r="BL367" s="2" t="s">
        <v>7195</v>
      </c>
      <c r="BO367" s="2" t="s">
        <v>7155</v>
      </c>
      <c r="BQ367" s="2" t="s">
        <v>7183</v>
      </c>
      <c r="BS367" s="2" t="s">
        <v>7142</v>
      </c>
      <c r="BT367" s="2" t="s">
        <v>7416</v>
      </c>
      <c r="BV367" s="2" t="s">
        <v>7197</v>
      </c>
      <c r="BX367" s="2" t="s">
        <v>7143</v>
      </c>
      <c r="BZ367" s="2" t="s">
        <v>7173</v>
      </c>
      <c r="CE367" s="7">
        <v>2</v>
      </c>
      <c r="CF367" s="2">
        <v>240</v>
      </c>
      <c r="CM367" s="2">
        <v>100</v>
      </c>
      <c r="CO367" s="2">
        <v>100</v>
      </c>
      <c r="CR367" s="2" t="s">
        <v>7160</v>
      </c>
      <c r="CT367" s="2" t="s">
        <v>7142</v>
      </c>
      <c r="CU367" s="2" t="s">
        <v>7161</v>
      </c>
      <c r="CW367" s="2" t="s">
        <v>7445</v>
      </c>
      <c r="CY367" s="2" t="s">
        <v>7227</v>
      </c>
      <c r="CZ367" s="2" t="s">
        <v>7250</v>
      </c>
      <c r="DA367" s="2" t="s">
        <v>7250</v>
      </c>
      <c r="DB367" s="2" t="s">
        <v>7250</v>
      </c>
      <c r="DC367" s="2" t="s">
        <v>7321</v>
      </c>
      <c r="DD367" s="2" t="s">
        <v>7321</v>
      </c>
      <c r="DE367" s="2" t="s">
        <v>7250</v>
      </c>
      <c r="DF367" s="2" t="s">
        <v>7250</v>
      </c>
      <c r="DG367" s="2" t="s">
        <v>7250</v>
      </c>
      <c r="DH367" s="2" t="s">
        <v>7250</v>
      </c>
      <c r="DI367" s="2" t="s">
        <v>7250</v>
      </c>
      <c r="DL367" s="2" t="s">
        <v>7143</v>
      </c>
      <c r="DM367" s="2" t="s">
        <v>7143</v>
      </c>
      <c r="DP367" s="2" t="s">
        <v>7173</v>
      </c>
      <c r="DT367" s="2" t="s">
        <v>7159</v>
      </c>
      <c r="DU367" s="2" t="s">
        <v>7159</v>
      </c>
      <c r="DV367" s="2" t="s">
        <v>7159</v>
      </c>
      <c r="DW367" s="2" t="s">
        <v>7159</v>
      </c>
      <c r="DX367" s="2" t="s">
        <v>7159</v>
      </c>
      <c r="DY367" s="2" t="s">
        <v>7159</v>
      </c>
      <c r="DZ367" s="2" t="s">
        <v>7159</v>
      </c>
      <c r="EA367" s="2" t="s">
        <v>7159</v>
      </c>
      <c r="EB367" s="2" t="s">
        <v>7159</v>
      </c>
      <c r="EC367" s="2" t="s">
        <v>7159</v>
      </c>
      <c r="EF367" s="2" t="s">
        <v>7221</v>
      </c>
      <c r="EG367" s="2" t="s">
        <v>2416</v>
      </c>
      <c r="EJ367" s="2" t="s">
        <v>7217</v>
      </c>
      <c r="EK367" s="2" t="s">
        <v>7143</v>
      </c>
      <c r="EL367" s="2" t="s">
        <v>7143</v>
      </c>
      <c r="EN367" s="2" t="s">
        <v>7210</v>
      </c>
      <c r="EP367" s="2" t="s">
        <v>7186</v>
      </c>
      <c r="ER367" s="2" t="s">
        <v>7143</v>
      </c>
      <c r="ET367" s="2" t="s">
        <v>7143</v>
      </c>
      <c r="EV367" s="2" t="s">
        <v>7143</v>
      </c>
      <c r="EX367" s="2" t="s">
        <v>7143</v>
      </c>
      <c r="EZ367" s="2" t="s">
        <v>7143</v>
      </c>
      <c r="FC367" s="2" t="s">
        <v>7172</v>
      </c>
      <c r="FD367" s="2" t="s">
        <v>7143</v>
      </c>
      <c r="FH367" s="2" t="s">
        <v>7173</v>
      </c>
      <c r="FJ367" s="2" t="s">
        <v>7143</v>
      </c>
      <c r="FK367" s="2" t="s">
        <v>7173</v>
      </c>
      <c r="FN367" s="2" t="s">
        <v>7322</v>
      </c>
      <c r="FR367" s="2" t="s">
        <v>1087</v>
      </c>
      <c r="FT367" s="2" t="s">
        <v>7189</v>
      </c>
      <c r="FU367" s="2" t="s">
        <v>7189</v>
      </c>
      <c r="FV367" s="2" t="s">
        <v>7176</v>
      </c>
      <c r="FW367" s="2" t="s">
        <v>7189</v>
      </c>
      <c r="FZ367" s="19" t="s">
        <v>8428</v>
      </c>
    </row>
    <row r="368" spans="1:182">
      <c r="A368" s="7" t="s">
        <v>2417</v>
      </c>
      <c r="D368" s="7" t="s">
        <v>8429</v>
      </c>
      <c r="E368" s="7" t="s">
        <v>2418</v>
      </c>
      <c r="F368" s="7" t="s">
        <v>7339</v>
      </c>
      <c r="G368" s="7" t="s">
        <v>8348</v>
      </c>
      <c r="H368" s="7" t="s">
        <v>2419</v>
      </c>
      <c r="I368" s="7" t="s">
        <v>2420</v>
      </c>
      <c r="J368" s="16" t="s">
        <v>8430</v>
      </c>
      <c r="K368" s="7" t="s">
        <v>2420</v>
      </c>
      <c r="L368" s="2" t="s">
        <v>7137</v>
      </c>
      <c r="M368" s="7" t="s">
        <v>7138</v>
      </c>
      <c r="N368" s="7">
        <v>1988</v>
      </c>
      <c r="O368" s="7" t="s">
        <v>7490</v>
      </c>
      <c r="P368" s="2" t="s">
        <v>7140</v>
      </c>
      <c r="Q368" s="2" t="s">
        <v>7141</v>
      </c>
      <c r="R368" s="2" t="s">
        <v>7143</v>
      </c>
      <c r="S368" s="2">
        <v>13</v>
      </c>
      <c r="T368" s="2" t="s">
        <v>7143</v>
      </c>
      <c r="U368" s="2" t="s">
        <v>7143</v>
      </c>
      <c r="Y368" s="2">
        <v>186</v>
      </c>
      <c r="Z368" s="17">
        <v>1</v>
      </c>
      <c r="AA368" s="2">
        <v>186</v>
      </c>
      <c r="AB368" s="2">
        <v>155</v>
      </c>
      <c r="AC368" s="7">
        <v>156</v>
      </c>
      <c r="AD368" s="2">
        <v>216</v>
      </c>
      <c r="AE368" s="2">
        <v>60</v>
      </c>
      <c r="AF368" s="2" t="s">
        <v>7143</v>
      </c>
      <c r="AG368" s="2" t="s">
        <v>7143</v>
      </c>
      <c r="AH368" s="2" t="s">
        <v>7143</v>
      </c>
      <c r="AJ368" s="2" t="s">
        <v>7143</v>
      </c>
      <c r="AK368" s="2" t="s">
        <v>7142</v>
      </c>
      <c r="AL368" s="2" t="s">
        <v>7143</v>
      </c>
      <c r="AM368" s="2" t="s">
        <v>7143</v>
      </c>
      <c r="AN368" s="2" t="s">
        <v>7143</v>
      </c>
      <c r="AO368" s="2" t="s">
        <v>7143</v>
      </c>
      <c r="AR368" s="7">
        <v>1</v>
      </c>
      <c r="AS368" s="7">
        <v>2</v>
      </c>
      <c r="AT368" s="7">
        <v>2.2000000000000002</v>
      </c>
      <c r="AU368" s="2" t="s">
        <v>7193</v>
      </c>
      <c r="AV368" s="2" t="s">
        <v>7193</v>
      </c>
      <c r="AW368" s="2" t="s">
        <v>7143</v>
      </c>
      <c r="AZ368" s="2" t="s">
        <v>7566</v>
      </c>
      <c r="BB368" s="2" t="s">
        <v>7214</v>
      </c>
      <c r="BC368" s="2" t="s">
        <v>7247</v>
      </c>
      <c r="BD368" s="2" t="s">
        <v>7143</v>
      </c>
      <c r="BE368" s="2" t="s">
        <v>7142</v>
      </c>
      <c r="BF368" s="2" t="s">
        <v>7148</v>
      </c>
      <c r="BG368" s="2" t="s">
        <v>7149</v>
      </c>
      <c r="BH368" s="2" t="s">
        <v>7150</v>
      </c>
      <c r="BI368" s="2" t="s">
        <v>7151</v>
      </c>
      <c r="BL368" s="2" t="s">
        <v>7195</v>
      </c>
      <c r="BO368" s="2" t="s">
        <v>7155</v>
      </c>
      <c r="BQ368" s="2" t="s">
        <v>7156</v>
      </c>
      <c r="BS368" s="2" t="s">
        <v>7142</v>
      </c>
      <c r="BT368" s="2" t="s">
        <v>7400</v>
      </c>
      <c r="BV368" s="2" t="s">
        <v>7304</v>
      </c>
      <c r="BX368" s="2" t="s">
        <v>7142</v>
      </c>
      <c r="BY368" s="2" t="s">
        <v>2421</v>
      </c>
      <c r="BZ368" s="2" t="s">
        <v>7159</v>
      </c>
      <c r="CE368" s="7">
        <v>2.2000000000000002</v>
      </c>
      <c r="CF368" s="2">
        <v>216</v>
      </c>
      <c r="CK368" s="2">
        <v>100</v>
      </c>
      <c r="CO368" s="2">
        <v>100</v>
      </c>
      <c r="CR368" s="2" t="s">
        <v>7357</v>
      </c>
      <c r="CT368" s="2" t="s">
        <v>7143</v>
      </c>
      <c r="CU368" s="2" t="s">
        <v>7161</v>
      </c>
      <c r="CW368" s="2" t="s">
        <v>7162</v>
      </c>
      <c r="CY368" s="2" t="s">
        <v>7358</v>
      </c>
      <c r="CZ368" s="2" t="s">
        <v>7358</v>
      </c>
      <c r="DA368" s="2" t="s">
        <v>7250</v>
      </c>
      <c r="DB368" s="2" t="s">
        <v>7250</v>
      </c>
      <c r="DC368" s="2" t="s">
        <v>7582</v>
      </c>
      <c r="DD368" s="2" t="s">
        <v>7250</v>
      </c>
      <c r="DE368" s="2" t="s">
        <v>7250</v>
      </c>
      <c r="DF368" s="2" t="s">
        <v>7250</v>
      </c>
      <c r="DG368" s="2" t="s">
        <v>7250</v>
      </c>
      <c r="DH368" s="2" t="s">
        <v>7250</v>
      </c>
      <c r="DI368" s="2" t="s">
        <v>7250</v>
      </c>
      <c r="DL368" s="2" t="s">
        <v>7142</v>
      </c>
      <c r="DM368" s="2" t="s">
        <v>7142</v>
      </c>
      <c r="DN368" s="2" t="s">
        <v>7142</v>
      </c>
      <c r="DO368" s="2" t="s">
        <v>7142</v>
      </c>
      <c r="DP368" s="2" t="s">
        <v>7165</v>
      </c>
      <c r="DQ368" s="2" t="s">
        <v>7333</v>
      </c>
      <c r="DR368" s="2" t="s">
        <v>2422</v>
      </c>
      <c r="DT368" s="2" t="s">
        <v>7165</v>
      </c>
      <c r="DU368" s="2" t="s">
        <v>7165</v>
      </c>
      <c r="DV368" s="2" t="s">
        <v>7165</v>
      </c>
      <c r="DW368" s="2" t="s">
        <v>7165</v>
      </c>
      <c r="DX368" s="2" t="s">
        <v>7165</v>
      </c>
      <c r="DY368" s="2" t="s">
        <v>7159</v>
      </c>
      <c r="DZ368" s="2" t="s">
        <v>7159</v>
      </c>
      <c r="EA368" s="2" t="s">
        <v>7159</v>
      </c>
      <c r="EB368" s="2" t="s">
        <v>7165</v>
      </c>
      <c r="EF368" s="2" t="s">
        <v>7252</v>
      </c>
      <c r="EG368" s="2" t="s">
        <v>2423</v>
      </c>
      <c r="EJ368" s="2" t="s">
        <v>7193</v>
      </c>
      <c r="EK368" s="2" t="s">
        <v>7142</v>
      </c>
      <c r="EL368" s="2" t="s">
        <v>7143</v>
      </c>
      <c r="EN368" s="2" t="s">
        <v>7170</v>
      </c>
      <c r="EP368" s="2" t="s">
        <v>7186</v>
      </c>
      <c r="ER368" s="2" t="s">
        <v>7142</v>
      </c>
      <c r="ET368" s="2" t="s">
        <v>7143</v>
      </c>
      <c r="EV368" s="2" t="s">
        <v>7142</v>
      </c>
      <c r="EW368" s="2" t="s">
        <v>7171</v>
      </c>
      <c r="EX368" s="2" t="s">
        <v>7143</v>
      </c>
      <c r="EZ368" s="2" t="s">
        <v>7143</v>
      </c>
      <c r="FC368" s="2" t="s">
        <v>7218</v>
      </c>
      <c r="FD368" s="2" t="s">
        <v>7143</v>
      </c>
      <c r="FH368" s="2" t="s">
        <v>7173</v>
      </c>
      <c r="FJ368" s="2" t="s">
        <v>7143</v>
      </c>
      <c r="FK368" s="2" t="s">
        <v>7173</v>
      </c>
      <c r="FN368" s="2" t="s">
        <v>7344</v>
      </c>
      <c r="FR368" s="2" t="s">
        <v>2424</v>
      </c>
      <c r="FT368" s="2" t="s">
        <v>7189</v>
      </c>
      <c r="FU368" s="2" t="s">
        <v>7189</v>
      </c>
      <c r="FV368" s="2" t="s">
        <v>7189</v>
      </c>
      <c r="FW368" s="2" t="s">
        <v>7189</v>
      </c>
      <c r="FZ368" s="19" t="s">
        <v>8431</v>
      </c>
    </row>
    <row r="369" spans="1:182">
      <c r="A369" s="7" t="s">
        <v>2425</v>
      </c>
      <c r="D369" s="7" t="s">
        <v>8432</v>
      </c>
      <c r="E369" s="7" t="s">
        <v>177</v>
      </c>
      <c r="F369" s="7" t="s">
        <v>7134</v>
      </c>
      <c r="G369" s="7" t="s">
        <v>8348</v>
      </c>
      <c r="H369" s="7" t="s">
        <v>2294</v>
      </c>
      <c r="I369" s="7" t="s">
        <v>2426</v>
      </c>
      <c r="J369" s="2" t="s">
        <v>2427</v>
      </c>
      <c r="K369" s="7" t="s">
        <v>2428</v>
      </c>
      <c r="L369" s="2" t="s">
        <v>7137</v>
      </c>
      <c r="M369" s="7" t="s">
        <v>7179</v>
      </c>
      <c r="N369" s="7">
        <v>1991</v>
      </c>
      <c r="O369" s="7" t="s">
        <v>7490</v>
      </c>
      <c r="P369" s="7" t="s">
        <v>7181</v>
      </c>
      <c r="Q369" s="2" t="s">
        <v>7225</v>
      </c>
      <c r="R369" s="2" t="s">
        <v>7143</v>
      </c>
      <c r="Y369" s="2">
        <v>43</v>
      </c>
      <c r="Z369" s="17">
        <v>0.88370000000000004</v>
      </c>
      <c r="AA369" s="2">
        <v>38</v>
      </c>
      <c r="AB369" s="2">
        <v>38</v>
      </c>
      <c r="AC369" s="7">
        <v>38</v>
      </c>
      <c r="AD369" s="2">
        <v>45</v>
      </c>
      <c r="AE369" s="2">
        <v>7</v>
      </c>
      <c r="AF369" s="2" t="s">
        <v>7143</v>
      </c>
      <c r="AG369" s="2" t="s">
        <v>7143</v>
      </c>
      <c r="AH369" s="2" t="s">
        <v>7143</v>
      </c>
      <c r="AJ369" s="2" t="s">
        <v>7143</v>
      </c>
      <c r="AK369" s="2" t="s">
        <v>7143</v>
      </c>
      <c r="AL369" s="2" t="s">
        <v>7143</v>
      </c>
      <c r="AM369" s="2" t="s">
        <v>7142</v>
      </c>
      <c r="AN369" s="2" t="s">
        <v>7143</v>
      </c>
      <c r="AO369" s="2" t="s">
        <v>7143</v>
      </c>
      <c r="AR369" s="7">
        <v>0.4</v>
      </c>
      <c r="AS369" s="7">
        <v>1</v>
      </c>
      <c r="AT369" s="7">
        <v>0.45</v>
      </c>
      <c r="AU369" s="2" t="s">
        <v>7193</v>
      </c>
      <c r="AV369" s="2" t="s">
        <v>7217</v>
      </c>
      <c r="AW369" s="2" t="s">
        <v>7143</v>
      </c>
      <c r="AZ369" s="2" t="s">
        <v>7145</v>
      </c>
      <c r="BB369" s="2" t="s">
        <v>7214</v>
      </c>
      <c r="BC369" s="2" t="s">
        <v>7147</v>
      </c>
      <c r="BD369" s="2" t="s">
        <v>7143</v>
      </c>
      <c r="BE369" s="2" t="s">
        <v>7142</v>
      </c>
      <c r="BF369" s="2" t="s">
        <v>7148</v>
      </c>
      <c r="BG369" s="2" t="s">
        <v>7149</v>
      </c>
      <c r="BH369" s="2" t="s">
        <v>7233</v>
      </c>
      <c r="BI369" s="2" t="s">
        <v>7151</v>
      </c>
      <c r="BL369" s="2" t="s">
        <v>7195</v>
      </c>
      <c r="BO369" s="2" t="s">
        <v>7155</v>
      </c>
      <c r="BQ369" s="2" t="s">
        <v>7156</v>
      </c>
      <c r="BS369" s="2" t="s">
        <v>7142</v>
      </c>
      <c r="BT369" s="2" t="s">
        <v>7157</v>
      </c>
      <c r="BV369" s="2" t="s">
        <v>7202</v>
      </c>
      <c r="BX369" s="2" t="s">
        <v>7143</v>
      </c>
      <c r="BZ369" s="2" t="s">
        <v>7159</v>
      </c>
      <c r="CE369" s="7">
        <v>0.45</v>
      </c>
      <c r="CF369" s="2">
        <v>45</v>
      </c>
      <c r="CK369" s="2">
        <v>100</v>
      </c>
      <c r="CO369" s="2">
        <v>100</v>
      </c>
      <c r="CR369" s="2" t="s">
        <v>7160</v>
      </c>
      <c r="CT369" s="2" t="s">
        <v>7143</v>
      </c>
      <c r="CU369" s="2" t="s">
        <v>7234</v>
      </c>
      <c r="CW369" s="2" t="s">
        <v>7162</v>
      </c>
      <c r="CY369" s="2" t="s">
        <v>7164</v>
      </c>
      <c r="CZ369" s="2" t="s">
        <v>7164</v>
      </c>
      <c r="DA369" s="2" t="s">
        <v>7164</v>
      </c>
      <c r="DB369" s="2" t="s">
        <v>7164</v>
      </c>
      <c r="DL369" s="2" t="s">
        <v>7143</v>
      </c>
      <c r="DM369" s="2" t="s">
        <v>7143</v>
      </c>
      <c r="DP369" s="2" t="s">
        <v>7159</v>
      </c>
      <c r="DT369" s="2" t="s">
        <v>7159</v>
      </c>
      <c r="DU369" s="2" t="s">
        <v>7159</v>
      </c>
      <c r="DV369" s="2" t="s">
        <v>7159</v>
      </c>
      <c r="DW369" s="2" t="s">
        <v>7159</v>
      </c>
      <c r="DX369" s="2" t="s">
        <v>7159</v>
      </c>
      <c r="DY369" s="2" t="s">
        <v>7159</v>
      </c>
      <c r="DZ369" s="2" t="s">
        <v>7159</v>
      </c>
      <c r="EA369" s="2" t="s">
        <v>7159</v>
      </c>
      <c r="EB369" s="2" t="s">
        <v>7159</v>
      </c>
      <c r="EJ369" s="2" t="s">
        <v>7217</v>
      </c>
      <c r="EK369" s="2" t="s">
        <v>7143</v>
      </c>
      <c r="EL369" s="2" t="s">
        <v>7143</v>
      </c>
      <c r="ER369" s="2" t="s">
        <v>7143</v>
      </c>
      <c r="ET369" s="2" t="s">
        <v>7143</v>
      </c>
      <c r="EV369" s="2" t="s">
        <v>7143</v>
      </c>
      <c r="EX369" s="2" t="s">
        <v>7143</v>
      </c>
      <c r="EZ369" s="2" t="s">
        <v>7143</v>
      </c>
      <c r="FC369" s="2" t="s">
        <v>7218</v>
      </c>
      <c r="FD369" s="2" t="s">
        <v>7143</v>
      </c>
      <c r="FH369" s="2" t="s">
        <v>7173</v>
      </c>
      <c r="FJ369" s="2" t="s">
        <v>7143</v>
      </c>
      <c r="FK369" s="2" t="s">
        <v>7159</v>
      </c>
      <c r="FT369" s="2" t="s">
        <v>7189</v>
      </c>
      <c r="FU369" s="2" t="s">
        <v>7345</v>
      </c>
      <c r="FV369" s="2" t="s">
        <v>7176</v>
      </c>
      <c r="FW369" s="2" t="s">
        <v>7345</v>
      </c>
      <c r="FZ369" s="19" t="s">
        <v>8433</v>
      </c>
    </row>
    <row r="370" spans="1:182">
      <c r="A370" s="7" t="s">
        <v>2429</v>
      </c>
      <c r="D370" s="7" t="s">
        <v>8434</v>
      </c>
      <c r="E370" s="7" t="s">
        <v>2430</v>
      </c>
      <c r="F370" s="7" t="s">
        <v>7389</v>
      </c>
      <c r="G370" s="7" t="s">
        <v>8348</v>
      </c>
      <c r="H370" s="7" t="s">
        <v>2380</v>
      </c>
      <c r="I370" s="7" t="s">
        <v>2431</v>
      </c>
      <c r="J370" s="16" t="s">
        <v>8435</v>
      </c>
      <c r="K370" s="7" t="s">
        <v>2431</v>
      </c>
      <c r="L370" s="2" t="s">
        <v>7137</v>
      </c>
      <c r="M370" s="7" t="s">
        <v>7179</v>
      </c>
      <c r="N370" s="7">
        <v>2000</v>
      </c>
      <c r="O370" s="7" t="s">
        <v>7490</v>
      </c>
      <c r="P370" s="7" t="s">
        <v>7140</v>
      </c>
      <c r="Q370" s="2" t="s">
        <v>7141</v>
      </c>
      <c r="R370" s="2" t="s">
        <v>7143</v>
      </c>
      <c r="S370" s="2">
        <v>17</v>
      </c>
      <c r="T370" s="2" t="s">
        <v>7143</v>
      </c>
      <c r="U370" s="2" t="s">
        <v>7143</v>
      </c>
      <c r="Y370" s="2">
        <v>90</v>
      </c>
      <c r="Z370" s="17">
        <v>1</v>
      </c>
      <c r="AA370" s="2">
        <v>90</v>
      </c>
      <c r="AB370" s="2">
        <v>90</v>
      </c>
      <c r="AC370" s="7">
        <v>90</v>
      </c>
      <c r="AD370" s="2">
        <v>120</v>
      </c>
      <c r="AE370" s="2">
        <v>30</v>
      </c>
      <c r="AF370" s="2" t="s">
        <v>7143</v>
      </c>
      <c r="AG370" s="2" t="s">
        <v>7143</v>
      </c>
      <c r="AH370" s="2" t="s">
        <v>7143</v>
      </c>
      <c r="AJ370" s="2" t="s">
        <v>7143</v>
      </c>
      <c r="AK370" s="2" t="s">
        <v>7143</v>
      </c>
      <c r="AL370" s="2" t="s">
        <v>7143</v>
      </c>
      <c r="AM370" s="2" t="s">
        <v>7143</v>
      </c>
      <c r="AN370" s="2" t="s">
        <v>7143</v>
      </c>
      <c r="AO370" s="2" t="s">
        <v>7143</v>
      </c>
      <c r="AR370" s="7">
        <v>0.6</v>
      </c>
      <c r="AS370" s="7">
        <v>1</v>
      </c>
      <c r="AT370" s="7">
        <v>1</v>
      </c>
      <c r="AU370" s="2" t="s">
        <v>7217</v>
      </c>
      <c r="AV370" s="2" t="s">
        <v>7193</v>
      </c>
      <c r="AW370" s="2" t="s">
        <v>7143</v>
      </c>
      <c r="AZ370" s="2" t="s">
        <v>7145</v>
      </c>
      <c r="BB370" s="2" t="s">
        <v>7214</v>
      </c>
      <c r="BC370" s="2" t="s">
        <v>7147</v>
      </c>
      <c r="BD370" s="2" t="s">
        <v>7143</v>
      </c>
      <c r="BE370" s="2" t="s">
        <v>7143</v>
      </c>
      <c r="BL370" s="2" t="s">
        <v>7195</v>
      </c>
      <c r="BO370" s="2" t="s">
        <v>7155</v>
      </c>
      <c r="BQ370" s="2" t="s">
        <v>7183</v>
      </c>
      <c r="BS370" s="2" t="s">
        <v>7142</v>
      </c>
      <c r="BT370" s="2" t="s">
        <v>8019</v>
      </c>
      <c r="BV370" s="2" t="s">
        <v>7348</v>
      </c>
      <c r="BX370" s="2" t="s">
        <v>7143</v>
      </c>
      <c r="BZ370" s="2" t="s">
        <v>7173</v>
      </c>
      <c r="CE370" s="7">
        <v>1</v>
      </c>
      <c r="CF370" s="2">
        <v>120</v>
      </c>
      <c r="CK370" s="2">
        <v>100</v>
      </c>
      <c r="CO370" s="2">
        <v>100</v>
      </c>
      <c r="CR370" s="2" t="s">
        <v>7160</v>
      </c>
      <c r="CT370" s="2" t="s">
        <v>7143</v>
      </c>
      <c r="CU370" s="2" t="s">
        <v>7161</v>
      </c>
      <c r="CW370" s="2" t="s">
        <v>7162</v>
      </c>
      <c r="CY370" s="2" t="s">
        <v>7227</v>
      </c>
      <c r="CZ370" s="2" t="s">
        <v>7250</v>
      </c>
      <c r="DA370" s="2" t="s">
        <v>7250</v>
      </c>
      <c r="DB370" s="2" t="s">
        <v>7250</v>
      </c>
      <c r="DC370" s="2" t="s">
        <v>7250</v>
      </c>
      <c r="DD370" s="2" t="s">
        <v>7250</v>
      </c>
      <c r="DE370" s="2" t="s">
        <v>7250</v>
      </c>
      <c r="DF370" s="2" t="s">
        <v>7250</v>
      </c>
      <c r="DG370" s="2" t="s">
        <v>7250</v>
      </c>
      <c r="DH370" s="2" t="s">
        <v>7250</v>
      </c>
      <c r="DI370" s="2" t="s">
        <v>7250</v>
      </c>
      <c r="DL370" s="2" t="s">
        <v>7143</v>
      </c>
      <c r="DM370" s="2" t="s">
        <v>7143</v>
      </c>
      <c r="DP370" s="2" t="s">
        <v>7173</v>
      </c>
      <c r="DT370" s="2" t="s">
        <v>7159</v>
      </c>
      <c r="DU370" s="2" t="s">
        <v>7159</v>
      </c>
      <c r="DV370" s="2" t="s">
        <v>7159</v>
      </c>
      <c r="DW370" s="2" t="s">
        <v>7159</v>
      </c>
      <c r="DX370" s="2" t="s">
        <v>7159</v>
      </c>
      <c r="DY370" s="2" t="s">
        <v>7159</v>
      </c>
      <c r="DZ370" s="2" t="s">
        <v>7159</v>
      </c>
      <c r="EA370" s="2" t="s">
        <v>7159</v>
      </c>
      <c r="EB370" s="2" t="s">
        <v>7159</v>
      </c>
      <c r="EC370" s="2" t="s">
        <v>7159</v>
      </c>
      <c r="EF370" s="2" t="s">
        <v>7221</v>
      </c>
      <c r="EG370" s="2" t="s">
        <v>2432</v>
      </c>
      <c r="EJ370" s="2" t="s">
        <v>7217</v>
      </c>
      <c r="EK370" s="2" t="s">
        <v>7143</v>
      </c>
      <c r="EL370" s="2" t="s">
        <v>7143</v>
      </c>
      <c r="EN370" s="2" t="s">
        <v>7210</v>
      </c>
      <c r="EP370" s="2" t="s">
        <v>7186</v>
      </c>
      <c r="ER370" s="2" t="s">
        <v>7143</v>
      </c>
      <c r="ET370" s="2" t="s">
        <v>7143</v>
      </c>
      <c r="EV370" s="2" t="s">
        <v>7143</v>
      </c>
      <c r="EX370" s="2" t="s">
        <v>7143</v>
      </c>
      <c r="EZ370" s="2" t="s">
        <v>7143</v>
      </c>
      <c r="FC370" s="2" t="s">
        <v>7218</v>
      </c>
      <c r="FD370" s="2" t="s">
        <v>7143</v>
      </c>
      <c r="FH370" s="2" t="s">
        <v>7173</v>
      </c>
      <c r="FJ370" s="2" t="s">
        <v>7143</v>
      </c>
      <c r="FK370" s="2" t="s">
        <v>7173</v>
      </c>
      <c r="FN370" s="2" t="s">
        <v>7322</v>
      </c>
      <c r="FR370" s="2" t="s">
        <v>2433</v>
      </c>
      <c r="FT370" s="2" t="s">
        <v>7176</v>
      </c>
      <c r="FU370" s="2" t="s">
        <v>7176</v>
      </c>
      <c r="FV370" s="2" t="s">
        <v>7189</v>
      </c>
      <c r="FW370" s="2" t="s">
        <v>7189</v>
      </c>
      <c r="FZ370" s="19" t="s">
        <v>8436</v>
      </c>
    </row>
    <row r="371" spans="1:182">
      <c r="A371" s="7" t="s">
        <v>2434</v>
      </c>
      <c r="D371" s="7" t="s">
        <v>8437</v>
      </c>
      <c r="E371" s="7" t="s">
        <v>2435</v>
      </c>
      <c r="F371" s="7" t="s">
        <v>7339</v>
      </c>
      <c r="G371" s="7" t="s">
        <v>8348</v>
      </c>
      <c r="H371" s="7" t="s">
        <v>2419</v>
      </c>
      <c r="I371" s="7" t="s">
        <v>2436</v>
      </c>
      <c r="J371" s="16" t="s">
        <v>8438</v>
      </c>
      <c r="K371" s="7" t="s">
        <v>2437</v>
      </c>
      <c r="L371" s="2" t="s">
        <v>7137</v>
      </c>
      <c r="M371" s="7" t="s">
        <v>7138</v>
      </c>
      <c r="N371" s="7">
        <v>2001</v>
      </c>
      <c r="O371" s="7" t="s">
        <v>7490</v>
      </c>
      <c r="P371" s="2" t="s">
        <v>7140</v>
      </c>
      <c r="Q371" s="2" t="s">
        <v>7225</v>
      </c>
      <c r="R371" s="2" t="s">
        <v>7143</v>
      </c>
      <c r="S371" s="2">
        <v>27</v>
      </c>
      <c r="T371" s="2" t="s">
        <v>7143</v>
      </c>
      <c r="U371" s="2" t="s">
        <v>7143</v>
      </c>
      <c r="Y371" s="2">
        <v>139</v>
      </c>
      <c r="Z371" s="17">
        <v>0.48199999999999998</v>
      </c>
      <c r="AA371" s="2">
        <v>67</v>
      </c>
      <c r="AB371" s="2">
        <v>67</v>
      </c>
      <c r="AC371" s="7">
        <v>67</v>
      </c>
      <c r="AD371" s="2">
        <v>107</v>
      </c>
      <c r="AE371" s="2">
        <v>40</v>
      </c>
      <c r="AF371" s="2" t="s">
        <v>7143</v>
      </c>
      <c r="AG371" s="2" t="s">
        <v>7143</v>
      </c>
      <c r="AH371" s="2" t="s">
        <v>7143</v>
      </c>
      <c r="AJ371" s="2" t="s">
        <v>7143</v>
      </c>
      <c r="AK371" s="2" t="s">
        <v>7143</v>
      </c>
      <c r="AL371" s="2" t="s">
        <v>7143</v>
      </c>
      <c r="AO371" s="2" t="s">
        <v>7142</v>
      </c>
      <c r="AR371" s="7">
        <v>0.8</v>
      </c>
      <c r="AS371" s="7">
        <v>2</v>
      </c>
      <c r="AT371" s="7">
        <v>1.1000000000000001</v>
      </c>
      <c r="AU371" s="2" t="s">
        <v>7193</v>
      </c>
      <c r="AV371" s="2" t="s">
        <v>7193</v>
      </c>
      <c r="AW371" s="2" t="s">
        <v>7143</v>
      </c>
      <c r="AZ371" s="2" t="s">
        <v>7145</v>
      </c>
      <c r="BB371" s="2" t="s">
        <v>7214</v>
      </c>
      <c r="BC371" s="2" t="s">
        <v>7247</v>
      </c>
      <c r="BD371" s="2" t="s">
        <v>7143</v>
      </c>
      <c r="BE371" s="2" t="s">
        <v>7142</v>
      </c>
      <c r="BF371" s="2" t="s">
        <v>7148</v>
      </c>
      <c r="BG371" s="2" t="s">
        <v>7149</v>
      </c>
      <c r="BH371" s="2" t="s">
        <v>7150</v>
      </c>
      <c r="BI371" s="2" t="s">
        <v>7151</v>
      </c>
      <c r="BL371" s="2" t="s">
        <v>7195</v>
      </c>
      <c r="BO371" s="2" t="s">
        <v>7155</v>
      </c>
      <c r="BQ371" s="2" t="s">
        <v>7156</v>
      </c>
      <c r="BS371" s="2" t="s">
        <v>7142</v>
      </c>
      <c r="BT371" s="2" t="s">
        <v>7341</v>
      </c>
      <c r="BV371" s="2" t="s">
        <v>7313</v>
      </c>
      <c r="BX371" s="2" t="s">
        <v>7142</v>
      </c>
      <c r="BY371" s="2" t="s">
        <v>2438</v>
      </c>
      <c r="BZ371" s="2" t="s">
        <v>7159</v>
      </c>
      <c r="CE371" s="7">
        <v>1.1000000000000001</v>
      </c>
      <c r="CF371" s="2">
        <v>107</v>
      </c>
      <c r="CK371" s="2">
        <v>100</v>
      </c>
      <c r="CO371" s="2">
        <v>100</v>
      </c>
      <c r="CR371" s="2" t="s">
        <v>7357</v>
      </c>
      <c r="CT371" s="2" t="s">
        <v>7143</v>
      </c>
      <c r="CU371" s="2" t="s">
        <v>7161</v>
      </c>
      <c r="CW371" s="2" t="s">
        <v>7162</v>
      </c>
      <c r="CY371" s="2" t="s">
        <v>7358</v>
      </c>
      <c r="CZ371" s="2" t="s">
        <v>7358</v>
      </c>
      <c r="DA371" s="2" t="s">
        <v>7250</v>
      </c>
      <c r="DB371" s="2" t="s">
        <v>7250</v>
      </c>
      <c r="DC371" s="2" t="s">
        <v>7250</v>
      </c>
      <c r="DD371" s="2" t="s">
        <v>7250</v>
      </c>
      <c r="DE371" s="2" t="s">
        <v>7250</v>
      </c>
      <c r="DF371" s="2" t="s">
        <v>7250</v>
      </c>
      <c r="DG371" s="2" t="s">
        <v>7250</v>
      </c>
      <c r="DH371" s="2" t="s">
        <v>7164</v>
      </c>
      <c r="DI371" s="2" t="s">
        <v>7164</v>
      </c>
      <c r="DL371" s="2" t="s">
        <v>7142</v>
      </c>
      <c r="DM371" s="2" t="s">
        <v>7142</v>
      </c>
      <c r="DN371" s="2" t="s">
        <v>7142</v>
      </c>
      <c r="DO371" s="2" t="s">
        <v>7142</v>
      </c>
      <c r="DP371" s="2" t="s">
        <v>7165</v>
      </c>
      <c r="DT371" s="2" t="s">
        <v>7165</v>
      </c>
      <c r="DU371" s="2" t="s">
        <v>7165</v>
      </c>
      <c r="DV371" s="2" t="s">
        <v>7165</v>
      </c>
      <c r="DW371" s="2" t="s">
        <v>7165</v>
      </c>
      <c r="DX371" s="2" t="s">
        <v>7159</v>
      </c>
      <c r="DY371" s="2" t="s">
        <v>7159</v>
      </c>
      <c r="DZ371" s="2" t="s">
        <v>7159</v>
      </c>
      <c r="EA371" s="2" t="s">
        <v>7159</v>
      </c>
      <c r="EB371" s="2" t="s">
        <v>7159</v>
      </c>
      <c r="EF371" s="2" t="s">
        <v>7221</v>
      </c>
      <c r="EG371" s="2" t="s">
        <v>2439</v>
      </c>
      <c r="EJ371" s="2" t="s">
        <v>7193</v>
      </c>
      <c r="EK371" s="2" t="s">
        <v>7142</v>
      </c>
      <c r="EL371" s="2" t="s">
        <v>7143</v>
      </c>
      <c r="EN371" s="2" t="s">
        <v>7170</v>
      </c>
      <c r="EP371" s="2" t="s">
        <v>7186</v>
      </c>
      <c r="ER371" s="2" t="s">
        <v>7143</v>
      </c>
      <c r="ET371" s="2" t="s">
        <v>7143</v>
      </c>
      <c r="EV371" s="2" t="s">
        <v>7142</v>
      </c>
      <c r="EW371" s="2" t="s">
        <v>7171</v>
      </c>
      <c r="EX371" s="2" t="s">
        <v>7143</v>
      </c>
      <c r="EZ371" s="2" t="s">
        <v>7143</v>
      </c>
      <c r="FC371" s="2" t="s">
        <v>7218</v>
      </c>
      <c r="FD371" s="2" t="s">
        <v>7143</v>
      </c>
      <c r="FH371" s="2" t="s">
        <v>7173</v>
      </c>
      <c r="FJ371" s="2" t="s">
        <v>7143</v>
      </c>
      <c r="FK371" s="2" t="s">
        <v>7173</v>
      </c>
      <c r="FN371" s="2" t="s">
        <v>7344</v>
      </c>
      <c r="FR371" s="2" t="s">
        <v>2440</v>
      </c>
      <c r="FT371" s="2" t="s">
        <v>7189</v>
      </c>
      <c r="FU371" s="2" t="s">
        <v>7189</v>
      </c>
      <c r="FV371" s="2" t="s">
        <v>7189</v>
      </c>
      <c r="FW371" s="2" t="s">
        <v>7189</v>
      </c>
      <c r="FZ371" s="19" t="s">
        <v>8439</v>
      </c>
    </row>
    <row r="372" spans="1:182">
      <c r="A372" s="7" t="s">
        <v>2441</v>
      </c>
      <c r="D372" s="7" t="s">
        <v>8440</v>
      </c>
      <c r="E372" s="7" t="s">
        <v>177</v>
      </c>
      <c r="F372" s="7" t="s">
        <v>7245</v>
      </c>
      <c r="G372" s="7" t="s">
        <v>8348</v>
      </c>
      <c r="H372" s="7" t="s">
        <v>2314</v>
      </c>
      <c r="I372" s="7" t="s">
        <v>2442</v>
      </c>
      <c r="J372" s="16" t="s">
        <v>8441</v>
      </c>
      <c r="K372" s="7" t="s">
        <v>2442</v>
      </c>
      <c r="L372" s="7" t="s">
        <v>7137</v>
      </c>
      <c r="M372" s="7" t="s">
        <v>7179</v>
      </c>
      <c r="N372" s="7">
        <v>1982</v>
      </c>
      <c r="O372" s="7" t="s">
        <v>7180</v>
      </c>
      <c r="P372" s="7" t="s">
        <v>7140</v>
      </c>
      <c r="Q372" s="7" t="s">
        <v>7141</v>
      </c>
      <c r="R372" s="7" t="s">
        <v>7143</v>
      </c>
      <c r="S372" s="7">
        <v>2012</v>
      </c>
      <c r="T372" s="7" t="s">
        <v>7143</v>
      </c>
      <c r="U372" s="7" t="s">
        <v>7143</v>
      </c>
      <c r="Y372" s="2">
        <v>430</v>
      </c>
      <c r="Z372" s="17">
        <v>0.93020000000000003</v>
      </c>
      <c r="AA372" s="2">
        <v>400</v>
      </c>
      <c r="AB372" s="2">
        <v>400</v>
      </c>
      <c r="AC372" s="7">
        <v>220</v>
      </c>
      <c r="AD372" s="2">
        <v>250</v>
      </c>
      <c r="AE372" s="2">
        <v>30</v>
      </c>
      <c r="AF372" s="2" t="s">
        <v>7143</v>
      </c>
      <c r="AG372" s="2" t="s">
        <v>7142</v>
      </c>
      <c r="AH372" s="2" t="s">
        <v>7142</v>
      </c>
      <c r="AI372" s="2" t="s">
        <v>2211</v>
      </c>
      <c r="AJ372" s="2" t="s">
        <v>7143</v>
      </c>
      <c r="AK372" s="2" t="s">
        <v>7142</v>
      </c>
      <c r="AL372" s="2" t="s">
        <v>7143</v>
      </c>
      <c r="AM372" s="2" t="s">
        <v>7142</v>
      </c>
      <c r="AN372" s="2" t="s">
        <v>7143</v>
      </c>
      <c r="AO372" s="2" t="s">
        <v>7143</v>
      </c>
      <c r="AR372" s="7">
        <v>0.6</v>
      </c>
      <c r="AS372" s="7">
        <v>1</v>
      </c>
      <c r="AT372" s="7">
        <v>2.5</v>
      </c>
      <c r="AU372" s="7" t="s">
        <v>7193</v>
      </c>
      <c r="AV372" s="7" t="s">
        <v>7193</v>
      </c>
      <c r="AW372" s="7" t="s">
        <v>7143</v>
      </c>
      <c r="AZ372" s="7" t="s">
        <v>7376</v>
      </c>
      <c r="BB372" s="7" t="s">
        <v>7214</v>
      </c>
      <c r="BC372" s="7" t="s">
        <v>7247</v>
      </c>
      <c r="BD372" s="7" t="s">
        <v>7143</v>
      </c>
      <c r="BE372" s="7" t="s">
        <v>7143</v>
      </c>
      <c r="BL372" s="7" t="s">
        <v>7195</v>
      </c>
      <c r="BM372" s="7" t="s">
        <v>7153</v>
      </c>
      <c r="BN372" s="7" t="s">
        <v>7154</v>
      </c>
      <c r="BO372" s="7" t="s">
        <v>7155</v>
      </c>
      <c r="BQ372" s="2" t="s">
        <v>7156</v>
      </c>
      <c r="BS372" s="2" t="s">
        <v>7142</v>
      </c>
      <c r="BT372" s="2" t="s">
        <v>7215</v>
      </c>
      <c r="BV372" s="2" t="s">
        <v>7304</v>
      </c>
      <c r="BX372" s="2" t="s">
        <v>7142</v>
      </c>
      <c r="BY372" s="2" t="s">
        <v>2443</v>
      </c>
      <c r="CE372" s="7">
        <v>2.5</v>
      </c>
      <c r="CF372" s="2">
        <v>250</v>
      </c>
      <c r="CK372" s="2">
        <v>100</v>
      </c>
      <c r="CO372" s="2">
        <v>100</v>
      </c>
      <c r="CR372" s="2" t="s">
        <v>7160</v>
      </c>
      <c r="CT372" s="2" t="s">
        <v>7143</v>
      </c>
      <c r="CU372" s="2" t="s">
        <v>7161</v>
      </c>
      <c r="CW372" s="2" t="s">
        <v>7162</v>
      </c>
      <c r="CY372" s="2" t="s">
        <v>7227</v>
      </c>
      <c r="CZ372" s="2" t="s">
        <v>7249</v>
      </c>
      <c r="DA372" s="2" t="s">
        <v>7249</v>
      </c>
      <c r="DB372" s="2" t="s">
        <v>7249</v>
      </c>
      <c r="DC372" s="2" t="s">
        <v>7249</v>
      </c>
      <c r="DD372" s="2" t="s">
        <v>7249</v>
      </c>
      <c r="DE372" s="2" t="s">
        <v>7249</v>
      </c>
      <c r="DF372" s="2" t="s">
        <v>7250</v>
      </c>
      <c r="DG372" s="2" t="s">
        <v>7250</v>
      </c>
      <c r="DH372" s="2" t="s">
        <v>7164</v>
      </c>
      <c r="DI372" s="2" t="s">
        <v>7164</v>
      </c>
      <c r="DL372" s="7" t="s">
        <v>7143</v>
      </c>
      <c r="DM372" s="7" t="s">
        <v>7143</v>
      </c>
      <c r="DP372" s="7" t="s">
        <v>7173</v>
      </c>
      <c r="DT372" s="2" t="s">
        <v>7165</v>
      </c>
      <c r="DU372" s="2" t="s">
        <v>7165</v>
      </c>
      <c r="DV372" s="2" t="s">
        <v>7165</v>
      </c>
      <c r="DW372" s="2" t="s">
        <v>7165</v>
      </c>
      <c r="DX372" s="2" t="s">
        <v>7165</v>
      </c>
      <c r="DY372" s="2" t="s">
        <v>7159</v>
      </c>
      <c r="DZ372" s="2" t="s">
        <v>7159</v>
      </c>
      <c r="EA372" s="2" t="s">
        <v>7165</v>
      </c>
      <c r="EB372" s="2" t="s">
        <v>7165</v>
      </c>
      <c r="EC372" s="2" t="s">
        <v>7159</v>
      </c>
      <c r="EF372" s="2" t="s">
        <v>7167</v>
      </c>
      <c r="EJ372" s="7" t="s">
        <v>7217</v>
      </c>
      <c r="EK372" s="7" t="s">
        <v>7143</v>
      </c>
      <c r="EL372" s="2" t="s">
        <v>7143</v>
      </c>
      <c r="EN372" s="2" t="s">
        <v>7170</v>
      </c>
      <c r="EP372" s="2" t="s">
        <v>7186</v>
      </c>
      <c r="ET372" s="2" t="s">
        <v>7143</v>
      </c>
      <c r="EV372" s="2" t="s">
        <v>7143</v>
      </c>
      <c r="EX372" s="2" t="s">
        <v>7143</v>
      </c>
      <c r="FC372" s="2" t="s">
        <v>7172</v>
      </c>
      <c r="FD372" s="2" t="s">
        <v>7143</v>
      </c>
      <c r="FH372" s="7" t="s">
        <v>7173</v>
      </c>
      <c r="FJ372" s="7" t="s">
        <v>7142</v>
      </c>
      <c r="FK372" s="7" t="s">
        <v>7165</v>
      </c>
      <c r="FL372" s="2" t="s">
        <v>7260</v>
      </c>
      <c r="FN372" s="2" t="s">
        <v>7253</v>
      </c>
      <c r="FT372" s="2" t="s">
        <v>7176</v>
      </c>
      <c r="FU372" s="2" t="s">
        <v>7189</v>
      </c>
      <c r="FV372" s="2" t="s">
        <v>7189</v>
      </c>
      <c r="FW372" s="2" t="s">
        <v>7189</v>
      </c>
      <c r="FZ372" s="19" t="s">
        <v>8442</v>
      </c>
    </row>
    <row r="373" spans="1:182">
      <c r="A373" s="7" t="s">
        <v>2444</v>
      </c>
      <c r="D373" s="7" t="s">
        <v>8443</v>
      </c>
      <c r="E373" s="7" t="s">
        <v>2445</v>
      </c>
      <c r="F373" s="7" t="s">
        <v>7311</v>
      </c>
      <c r="G373" s="7" t="s">
        <v>8348</v>
      </c>
      <c r="H373" s="2" t="s">
        <v>2446</v>
      </c>
      <c r="I373" s="7" t="s">
        <v>2447</v>
      </c>
      <c r="J373" s="16" t="s">
        <v>8444</v>
      </c>
      <c r="K373" s="7" t="s">
        <v>2448</v>
      </c>
      <c r="L373" s="7" t="s">
        <v>7137</v>
      </c>
      <c r="M373" s="7" t="s">
        <v>7179</v>
      </c>
      <c r="N373" s="7">
        <v>1974</v>
      </c>
      <c r="O373" s="7" t="s">
        <v>7180</v>
      </c>
      <c r="P373" s="7" t="s">
        <v>7181</v>
      </c>
      <c r="Q373" s="7" t="s">
        <v>7141</v>
      </c>
      <c r="R373" s="7" t="s">
        <v>7143</v>
      </c>
      <c r="S373" s="7">
        <v>25</v>
      </c>
      <c r="T373" s="7" t="s">
        <v>7143</v>
      </c>
      <c r="U373" s="7" t="s">
        <v>7143</v>
      </c>
      <c r="Y373" s="2">
        <v>480</v>
      </c>
      <c r="Z373" s="17">
        <v>0.54169999999999996</v>
      </c>
      <c r="AA373" s="2">
        <v>260</v>
      </c>
      <c r="AB373" s="2">
        <v>260</v>
      </c>
      <c r="AC373" s="7">
        <v>260</v>
      </c>
      <c r="AD373" s="2">
        <v>300</v>
      </c>
      <c r="AE373" s="2">
        <v>40</v>
      </c>
      <c r="AF373" s="2" t="s">
        <v>7143</v>
      </c>
      <c r="AG373" s="2" t="s">
        <v>7143</v>
      </c>
      <c r="AH373" s="2" t="s">
        <v>7143</v>
      </c>
      <c r="AJ373" s="2" t="s">
        <v>7143</v>
      </c>
      <c r="AK373" s="2" t="s">
        <v>7143</v>
      </c>
      <c r="AL373" s="2" t="s">
        <v>7142</v>
      </c>
      <c r="AM373" s="2" t="s">
        <v>7143</v>
      </c>
      <c r="AN373" s="2" t="s">
        <v>7142</v>
      </c>
      <c r="AO373" s="2" t="s">
        <v>7143</v>
      </c>
      <c r="AR373" s="7">
        <v>0.9</v>
      </c>
      <c r="AS373" s="7">
        <v>1</v>
      </c>
      <c r="AT373" s="7">
        <v>3</v>
      </c>
      <c r="AU373" s="2" t="s">
        <v>7144</v>
      </c>
      <c r="AV373" s="2" t="s">
        <v>7144</v>
      </c>
      <c r="AW373" s="2" t="s">
        <v>7143</v>
      </c>
      <c r="BC373" s="2" t="s">
        <v>7147</v>
      </c>
      <c r="BD373" s="2" t="s">
        <v>7143</v>
      </c>
      <c r="BE373" s="2" t="s">
        <v>7143</v>
      </c>
      <c r="BL373" s="2" t="s">
        <v>7195</v>
      </c>
      <c r="BO373" s="2" t="s">
        <v>7155</v>
      </c>
      <c r="BQ373" s="2" t="s">
        <v>7156</v>
      </c>
      <c r="BS373" s="2" t="s">
        <v>7142</v>
      </c>
      <c r="BT373" s="2" t="s">
        <v>7157</v>
      </c>
      <c r="BV373" s="2" t="s">
        <v>7202</v>
      </c>
      <c r="BX373" s="2" t="s">
        <v>7143</v>
      </c>
      <c r="BY373" s="2" t="s">
        <v>678</v>
      </c>
      <c r="BZ373" s="2" t="s">
        <v>7159</v>
      </c>
      <c r="CE373" s="7">
        <v>3</v>
      </c>
      <c r="CF373" s="2">
        <v>300</v>
      </c>
      <c r="CK373" s="2">
        <v>100</v>
      </c>
      <c r="CP373" s="2">
        <v>100</v>
      </c>
      <c r="CR373" s="2" t="s">
        <v>7160</v>
      </c>
      <c r="CT373" s="2" t="s">
        <v>7143</v>
      </c>
      <c r="CU373" s="2" t="s">
        <v>7161</v>
      </c>
      <c r="CW373" s="2" t="s">
        <v>7162</v>
      </c>
      <c r="CY373" s="2" t="s">
        <v>7250</v>
      </c>
      <c r="CZ373" s="2" t="s">
        <v>7250</v>
      </c>
      <c r="DA373" s="2" t="s">
        <v>7250</v>
      </c>
      <c r="DB373" s="2" t="s">
        <v>7250</v>
      </c>
      <c r="DC373" s="2" t="s">
        <v>7250</v>
      </c>
      <c r="DD373" s="2" t="s">
        <v>7250</v>
      </c>
      <c r="DE373" s="2" t="s">
        <v>7250</v>
      </c>
      <c r="DF373" s="2" t="s">
        <v>7250</v>
      </c>
      <c r="DG373" s="2" t="s">
        <v>7250</v>
      </c>
      <c r="DH373" s="2" t="s">
        <v>7250</v>
      </c>
      <c r="DI373" s="2" t="s">
        <v>7250</v>
      </c>
      <c r="DL373" s="2" t="s">
        <v>7143</v>
      </c>
      <c r="DM373" s="2" t="s">
        <v>7143</v>
      </c>
      <c r="DP373" s="2" t="s">
        <v>7159</v>
      </c>
      <c r="DT373" s="2" t="s">
        <v>7159</v>
      </c>
      <c r="DU373" s="2" t="s">
        <v>7159</v>
      </c>
      <c r="DV373" s="2" t="s">
        <v>7159</v>
      </c>
      <c r="DW373" s="2" t="s">
        <v>7159</v>
      </c>
      <c r="DX373" s="2" t="s">
        <v>7159</v>
      </c>
      <c r="DY373" s="2" t="s">
        <v>7159</v>
      </c>
      <c r="DZ373" s="2" t="s">
        <v>7159</v>
      </c>
      <c r="EA373" s="2" t="s">
        <v>7159</v>
      </c>
      <c r="EB373" s="2" t="s">
        <v>7159</v>
      </c>
      <c r="EC373" s="2" t="s">
        <v>7159</v>
      </c>
      <c r="EF373" s="2" t="s">
        <v>7252</v>
      </c>
      <c r="EG373" s="2" t="s">
        <v>2449</v>
      </c>
      <c r="EJ373" s="2" t="s">
        <v>7193</v>
      </c>
      <c r="EK373" s="2" t="s">
        <v>7143</v>
      </c>
      <c r="EL373" s="2" t="s">
        <v>7143</v>
      </c>
      <c r="EN373" s="2" t="s">
        <v>7392</v>
      </c>
      <c r="EP373" s="2" t="s">
        <v>7186</v>
      </c>
      <c r="ER373" s="2" t="s">
        <v>7143</v>
      </c>
      <c r="ET373" s="2" t="s">
        <v>7143</v>
      </c>
      <c r="EV373" s="2" t="s">
        <v>7143</v>
      </c>
      <c r="EX373" s="2" t="s">
        <v>7143</v>
      </c>
      <c r="EZ373" s="2" t="s">
        <v>7143</v>
      </c>
      <c r="FC373" s="2" t="s">
        <v>7172</v>
      </c>
      <c r="FD373" s="2" t="s">
        <v>7143</v>
      </c>
      <c r="FH373" s="2" t="s">
        <v>7173</v>
      </c>
      <c r="FJ373" s="2" t="s">
        <v>7143</v>
      </c>
      <c r="FK373" s="2" t="s">
        <v>7159</v>
      </c>
      <c r="FR373" s="2" t="s">
        <v>461</v>
      </c>
      <c r="FT373" s="2" t="s">
        <v>7189</v>
      </c>
      <c r="FU373" s="2" t="s">
        <v>7189</v>
      </c>
      <c r="FV373" s="2" t="s">
        <v>7176</v>
      </c>
      <c r="FW373" s="2" t="s">
        <v>7176</v>
      </c>
      <c r="FX373" s="2" t="s">
        <v>7176</v>
      </c>
      <c r="FY373" s="2" t="s">
        <v>2450</v>
      </c>
      <c r="FZ373" s="19" t="s">
        <v>8445</v>
      </c>
    </row>
    <row r="374" spans="1:182">
      <c r="A374" s="7" t="s">
        <v>2451</v>
      </c>
      <c r="D374" s="7" t="s">
        <v>8446</v>
      </c>
      <c r="E374" s="7" t="s">
        <v>2452</v>
      </c>
      <c r="F374" s="7" t="s">
        <v>7389</v>
      </c>
      <c r="G374" s="7" t="s">
        <v>8348</v>
      </c>
      <c r="H374" s="7" t="s">
        <v>2298</v>
      </c>
      <c r="I374" s="7" t="s">
        <v>2453</v>
      </c>
      <c r="J374" s="16" t="s">
        <v>8447</v>
      </c>
      <c r="K374" s="7" t="s">
        <v>2453</v>
      </c>
      <c r="L374" s="2" t="s">
        <v>7137</v>
      </c>
      <c r="M374" s="7" t="s">
        <v>7138</v>
      </c>
      <c r="N374" s="7">
        <v>1993</v>
      </c>
      <c r="O374" s="7" t="s">
        <v>7490</v>
      </c>
      <c r="P374" s="7" t="s">
        <v>7140</v>
      </c>
      <c r="Q374" s="2" t="s">
        <v>7141</v>
      </c>
      <c r="R374" s="2" t="s">
        <v>7143</v>
      </c>
      <c r="S374" s="2">
        <v>17</v>
      </c>
      <c r="T374" s="2" t="s">
        <v>7143</v>
      </c>
      <c r="U374" s="2" t="s">
        <v>7143</v>
      </c>
      <c r="Y374" s="2">
        <v>75</v>
      </c>
      <c r="Z374" s="17">
        <v>1</v>
      </c>
      <c r="AA374" s="2">
        <v>75</v>
      </c>
      <c r="AB374" s="2">
        <v>75</v>
      </c>
      <c r="AC374" s="7">
        <v>75</v>
      </c>
      <c r="AD374" s="2">
        <v>95</v>
      </c>
      <c r="AE374" s="2">
        <v>20</v>
      </c>
      <c r="AF374" s="2" t="s">
        <v>7143</v>
      </c>
      <c r="AG374" s="2" t="s">
        <v>7143</v>
      </c>
      <c r="AH374" s="2" t="s">
        <v>7143</v>
      </c>
      <c r="AJ374" s="2" t="s">
        <v>7143</v>
      </c>
      <c r="AK374" s="2" t="s">
        <v>7143</v>
      </c>
      <c r="AL374" s="2" t="s">
        <v>7143</v>
      </c>
      <c r="AM374" s="2" t="s">
        <v>7143</v>
      </c>
      <c r="AN374" s="2" t="s">
        <v>7143</v>
      </c>
      <c r="AO374" s="2" t="s">
        <v>7143</v>
      </c>
      <c r="AR374" s="7">
        <v>0.55000000000000004</v>
      </c>
      <c r="AS374" s="7">
        <v>2</v>
      </c>
      <c r="AT374" s="7">
        <v>0.8</v>
      </c>
      <c r="AU374" s="2" t="s">
        <v>7217</v>
      </c>
      <c r="AV374" s="2" t="s">
        <v>7193</v>
      </c>
      <c r="AW374" s="2" t="s">
        <v>7143</v>
      </c>
      <c r="AZ374" s="2" t="s">
        <v>7145</v>
      </c>
      <c r="BB374" s="2" t="s">
        <v>7214</v>
      </c>
      <c r="BC374" s="2" t="s">
        <v>7147</v>
      </c>
      <c r="BD374" s="2" t="s">
        <v>7143</v>
      </c>
      <c r="BE374" s="2" t="s">
        <v>7143</v>
      </c>
      <c r="BL374" s="2" t="s">
        <v>7195</v>
      </c>
      <c r="BO374" s="2" t="s">
        <v>7155</v>
      </c>
      <c r="BQ374" s="2" t="s">
        <v>7183</v>
      </c>
      <c r="BS374" s="2" t="s">
        <v>7142</v>
      </c>
      <c r="BT374" s="2" t="s">
        <v>7391</v>
      </c>
      <c r="BV374" s="2" t="s">
        <v>7348</v>
      </c>
      <c r="BX374" s="2" t="s">
        <v>7143</v>
      </c>
      <c r="BZ374" s="2" t="s">
        <v>7173</v>
      </c>
      <c r="CE374" s="7">
        <v>0.8</v>
      </c>
      <c r="CF374" s="2">
        <v>95</v>
      </c>
      <c r="CK374" s="2">
        <v>100</v>
      </c>
      <c r="CO374" s="2">
        <v>100</v>
      </c>
      <c r="CR374" s="2" t="s">
        <v>7160</v>
      </c>
      <c r="CT374" s="2" t="s">
        <v>7143</v>
      </c>
      <c r="CU374" s="2" t="s">
        <v>7161</v>
      </c>
      <c r="CW374" s="2" t="s">
        <v>7162</v>
      </c>
      <c r="CY374" s="2" t="s">
        <v>7227</v>
      </c>
      <c r="CZ374" s="2" t="s">
        <v>7250</v>
      </c>
      <c r="DA374" s="2" t="s">
        <v>7250</v>
      </c>
      <c r="DB374" s="2" t="s">
        <v>7250</v>
      </c>
      <c r="DC374" s="2" t="s">
        <v>7321</v>
      </c>
      <c r="DD374" s="2" t="s">
        <v>7250</v>
      </c>
      <c r="DE374" s="2" t="s">
        <v>7250</v>
      </c>
      <c r="DF374" s="2" t="s">
        <v>7250</v>
      </c>
      <c r="DG374" s="2" t="s">
        <v>7321</v>
      </c>
      <c r="DH374" s="2" t="s">
        <v>7321</v>
      </c>
      <c r="DI374" s="2" t="s">
        <v>7321</v>
      </c>
      <c r="DL374" s="2" t="s">
        <v>7143</v>
      </c>
      <c r="DM374" s="2" t="s">
        <v>7143</v>
      </c>
      <c r="DP374" s="2" t="s">
        <v>7173</v>
      </c>
      <c r="DT374" s="2" t="s">
        <v>7159</v>
      </c>
      <c r="DU374" s="2" t="s">
        <v>7159</v>
      </c>
      <c r="DV374" s="2" t="s">
        <v>7159</v>
      </c>
      <c r="DW374" s="2" t="s">
        <v>7159</v>
      </c>
      <c r="DX374" s="2" t="s">
        <v>7159</v>
      </c>
      <c r="DY374" s="2" t="s">
        <v>7159</v>
      </c>
      <c r="DZ374" s="2" t="s">
        <v>7159</v>
      </c>
      <c r="EA374" s="2" t="s">
        <v>7159</v>
      </c>
      <c r="EB374" s="2" t="s">
        <v>7159</v>
      </c>
      <c r="EC374" s="2" t="s">
        <v>7159</v>
      </c>
      <c r="EF374" s="2" t="s">
        <v>7221</v>
      </c>
      <c r="EG374" s="2" t="s">
        <v>203</v>
      </c>
      <c r="EJ374" s="2" t="s">
        <v>7217</v>
      </c>
      <c r="EK374" s="2" t="s">
        <v>7143</v>
      </c>
      <c r="EL374" s="2" t="s">
        <v>7143</v>
      </c>
      <c r="EN374" s="2" t="s">
        <v>7210</v>
      </c>
      <c r="EP374" s="2" t="s">
        <v>7186</v>
      </c>
      <c r="ER374" s="2" t="s">
        <v>7143</v>
      </c>
      <c r="ET374" s="2" t="s">
        <v>7143</v>
      </c>
      <c r="EV374" s="2" t="s">
        <v>7143</v>
      </c>
      <c r="EX374" s="2" t="s">
        <v>7143</v>
      </c>
      <c r="EZ374" s="2" t="s">
        <v>7143</v>
      </c>
      <c r="FC374" s="2" t="s">
        <v>7218</v>
      </c>
      <c r="FD374" s="2" t="s">
        <v>7143</v>
      </c>
      <c r="FH374" s="2" t="s">
        <v>7173</v>
      </c>
      <c r="FJ374" s="2" t="s">
        <v>7143</v>
      </c>
      <c r="FK374" s="2" t="s">
        <v>7173</v>
      </c>
      <c r="FN374" s="2" t="s">
        <v>8045</v>
      </c>
      <c r="FR374" s="2" t="s">
        <v>2454</v>
      </c>
      <c r="FT374" s="2" t="s">
        <v>7189</v>
      </c>
      <c r="FU374" s="2" t="s">
        <v>7176</v>
      </c>
      <c r="FV374" s="2" t="s">
        <v>7176</v>
      </c>
      <c r="FW374" s="2" t="s">
        <v>7176</v>
      </c>
      <c r="FZ374" s="19" t="s">
        <v>8448</v>
      </c>
    </row>
    <row r="375" spans="1:182">
      <c r="A375" s="7" t="s">
        <v>2455</v>
      </c>
      <c r="D375" s="7" t="s">
        <v>8449</v>
      </c>
      <c r="E375" s="7" t="s">
        <v>177</v>
      </c>
      <c r="F375" s="7" t="s">
        <v>7134</v>
      </c>
      <c r="G375" s="7" t="s">
        <v>8348</v>
      </c>
      <c r="H375" s="7" t="s">
        <v>2294</v>
      </c>
      <c r="I375" s="7" t="s">
        <v>2456</v>
      </c>
      <c r="J375" s="16" t="s">
        <v>8450</v>
      </c>
      <c r="K375" s="7" t="s">
        <v>1693</v>
      </c>
      <c r="L375" s="2" t="s">
        <v>7137</v>
      </c>
      <c r="M375" s="7" t="s">
        <v>7138</v>
      </c>
      <c r="N375" s="7">
        <v>1961</v>
      </c>
      <c r="O375" s="7" t="s">
        <v>7180</v>
      </c>
      <c r="P375" s="7" t="s">
        <v>8451</v>
      </c>
      <c r="Q375" s="2" t="s">
        <v>7225</v>
      </c>
      <c r="R375" s="2" t="s">
        <v>7143</v>
      </c>
      <c r="S375" s="2">
        <v>21</v>
      </c>
      <c r="T375" s="2" t="s">
        <v>7143</v>
      </c>
      <c r="U375" s="2" t="s">
        <v>7143</v>
      </c>
      <c r="Y375" s="2">
        <v>336</v>
      </c>
      <c r="Z375" s="17">
        <v>0.98209999999999997</v>
      </c>
      <c r="AA375" s="2">
        <v>330</v>
      </c>
      <c r="AB375" s="2">
        <v>330</v>
      </c>
      <c r="AC375" s="7">
        <v>330</v>
      </c>
      <c r="AD375" s="2">
        <v>380</v>
      </c>
      <c r="AE375" s="2">
        <v>50</v>
      </c>
      <c r="AF375" s="2" t="s">
        <v>7143</v>
      </c>
      <c r="AG375" s="2" t="s">
        <v>7143</v>
      </c>
      <c r="AH375" s="2" t="s">
        <v>7143</v>
      </c>
      <c r="AJ375" s="2" t="s">
        <v>7143</v>
      </c>
      <c r="AK375" s="2" t="s">
        <v>7143</v>
      </c>
      <c r="AL375" s="2" t="s">
        <v>7143</v>
      </c>
      <c r="AM375" s="2" t="s">
        <v>7142</v>
      </c>
      <c r="AN375" s="2" t="s">
        <v>7143</v>
      </c>
      <c r="AO375" s="2" t="s">
        <v>7143</v>
      </c>
      <c r="AR375" s="7">
        <v>0.7</v>
      </c>
      <c r="AS375" s="7">
        <v>1</v>
      </c>
      <c r="AT375" s="7">
        <v>3.8</v>
      </c>
      <c r="AU375" s="2" t="s">
        <v>7144</v>
      </c>
      <c r="AV375" s="2" t="s">
        <v>7144</v>
      </c>
      <c r="AW375" s="2" t="s">
        <v>7143</v>
      </c>
      <c r="BC375" s="2" t="s">
        <v>7147</v>
      </c>
      <c r="BD375" s="2" t="s">
        <v>7143</v>
      </c>
      <c r="BE375" s="2" t="s">
        <v>7143</v>
      </c>
      <c r="BL375" s="2" t="s">
        <v>7195</v>
      </c>
      <c r="BO375" s="2" t="s">
        <v>7155</v>
      </c>
      <c r="BQ375" s="2" t="s">
        <v>7156</v>
      </c>
      <c r="BS375" s="2" t="s">
        <v>7142</v>
      </c>
      <c r="BT375" s="2" t="s">
        <v>7215</v>
      </c>
      <c r="BV375" s="2" t="s">
        <v>7202</v>
      </c>
      <c r="BX375" s="2" t="s">
        <v>7143</v>
      </c>
      <c r="BZ375" s="2" t="s">
        <v>7159</v>
      </c>
      <c r="CE375" s="7">
        <v>3.8</v>
      </c>
      <c r="CF375" s="2">
        <v>380</v>
      </c>
      <c r="CK375" s="2">
        <v>100</v>
      </c>
      <c r="CO375" s="2">
        <v>100</v>
      </c>
      <c r="CR375" s="2" t="s">
        <v>7160</v>
      </c>
      <c r="CT375" s="2" t="s">
        <v>7143</v>
      </c>
      <c r="CU375" s="2" t="s">
        <v>7161</v>
      </c>
      <c r="CY375" s="2" t="s">
        <v>7164</v>
      </c>
      <c r="CZ375" s="2" t="s">
        <v>7164</v>
      </c>
      <c r="DA375" s="2" t="s">
        <v>7164</v>
      </c>
      <c r="DB375" s="2" t="s">
        <v>7164</v>
      </c>
      <c r="DC375" s="2" t="s">
        <v>7164</v>
      </c>
      <c r="DD375" s="2" t="s">
        <v>7164</v>
      </c>
      <c r="DE375" s="2" t="s">
        <v>7164</v>
      </c>
      <c r="DF375" s="2" t="s">
        <v>7164</v>
      </c>
      <c r="DG375" s="2" t="s">
        <v>7164</v>
      </c>
      <c r="DH375" s="2" t="s">
        <v>7164</v>
      </c>
      <c r="DI375" s="2" t="s">
        <v>7164</v>
      </c>
      <c r="DL375" s="2" t="s">
        <v>7142</v>
      </c>
      <c r="DM375" s="2" t="s">
        <v>7143</v>
      </c>
      <c r="DP375" s="2" t="s">
        <v>7173</v>
      </c>
      <c r="DT375" s="2" t="s">
        <v>7165</v>
      </c>
      <c r="DU375" s="2" t="s">
        <v>7165</v>
      </c>
      <c r="DV375" s="2" t="s">
        <v>7165</v>
      </c>
      <c r="DW375" s="2" t="s">
        <v>7165</v>
      </c>
      <c r="DX375" s="2" t="s">
        <v>7165</v>
      </c>
      <c r="DY375" s="2" t="s">
        <v>7165</v>
      </c>
      <c r="DZ375" s="2" t="s">
        <v>7165</v>
      </c>
      <c r="EA375" s="2" t="s">
        <v>7165</v>
      </c>
      <c r="EB375" s="2" t="s">
        <v>7165</v>
      </c>
      <c r="EJ375" s="2" t="s">
        <v>7144</v>
      </c>
      <c r="EK375" s="2" t="s">
        <v>7143</v>
      </c>
      <c r="EL375" s="2" t="s">
        <v>7143</v>
      </c>
      <c r="EN375" s="2" t="s">
        <v>7392</v>
      </c>
      <c r="EP375" s="2" t="s">
        <v>7186</v>
      </c>
      <c r="ER375" s="2" t="s">
        <v>7143</v>
      </c>
      <c r="ET375" s="2" t="s">
        <v>7143</v>
      </c>
      <c r="EV375" s="2" t="s">
        <v>7143</v>
      </c>
      <c r="EX375" s="2" t="s">
        <v>7143</v>
      </c>
      <c r="EZ375" s="2" t="s">
        <v>7143</v>
      </c>
      <c r="FC375" s="2" t="s">
        <v>7172</v>
      </c>
      <c r="FD375" s="2" t="s">
        <v>7143</v>
      </c>
      <c r="FH375" s="2" t="s">
        <v>7173</v>
      </c>
      <c r="FJ375" s="2" t="s">
        <v>7142</v>
      </c>
      <c r="FK375" s="2" t="s">
        <v>7173</v>
      </c>
      <c r="FT375" s="2" t="s">
        <v>7189</v>
      </c>
      <c r="FU375" s="2" t="s">
        <v>7189</v>
      </c>
      <c r="FV375" s="2" t="s">
        <v>7189</v>
      </c>
      <c r="FW375" s="2" t="s">
        <v>7189</v>
      </c>
      <c r="FZ375" s="19" t="s">
        <v>8452</v>
      </c>
    </row>
    <row r="376" spans="1:182">
      <c r="A376" s="7" t="s">
        <v>2458</v>
      </c>
      <c r="D376" s="7" t="s">
        <v>8453</v>
      </c>
      <c r="E376" s="7" t="s">
        <v>177</v>
      </c>
      <c r="F376" s="7" t="s">
        <v>7245</v>
      </c>
      <c r="G376" s="7" t="s">
        <v>8348</v>
      </c>
      <c r="H376" s="7" t="s">
        <v>2314</v>
      </c>
      <c r="I376" s="7" t="s">
        <v>2459</v>
      </c>
      <c r="J376" s="16" t="s">
        <v>8454</v>
      </c>
      <c r="K376" s="7" t="s">
        <v>2459</v>
      </c>
      <c r="L376" s="7" t="s">
        <v>7137</v>
      </c>
      <c r="M376" s="7" t="s">
        <v>7138</v>
      </c>
      <c r="N376" s="7">
        <v>1971</v>
      </c>
      <c r="O376" s="7" t="s">
        <v>7180</v>
      </c>
      <c r="P376" s="7" t="s">
        <v>7140</v>
      </c>
      <c r="Q376" s="7" t="s">
        <v>7225</v>
      </c>
      <c r="R376" s="7" t="s">
        <v>7143</v>
      </c>
      <c r="S376" s="7">
        <v>2002</v>
      </c>
      <c r="T376" s="7" t="s">
        <v>7143</v>
      </c>
      <c r="U376" s="7" t="s">
        <v>7143</v>
      </c>
      <c r="Y376" s="2">
        <v>1500</v>
      </c>
      <c r="Z376" s="17">
        <v>1</v>
      </c>
      <c r="AA376" s="2">
        <v>1500</v>
      </c>
      <c r="AB376" s="2">
        <v>1500</v>
      </c>
      <c r="AC376" s="7">
        <v>880</v>
      </c>
      <c r="AD376" s="2">
        <v>1000</v>
      </c>
      <c r="AE376" s="2">
        <v>120</v>
      </c>
      <c r="AF376" s="2" t="s">
        <v>7143</v>
      </c>
      <c r="AG376" s="2" t="s">
        <v>7142</v>
      </c>
      <c r="AH376" s="2" t="s">
        <v>7142</v>
      </c>
      <c r="AI376" s="2" t="s">
        <v>2460</v>
      </c>
      <c r="AJ376" s="2" t="s">
        <v>7143</v>
      </c>
      <c r="AK376" s="2" t="s">
        <v>7142</v>
      </c>
      <c r="AL376" s="2" t="s">
        <v>7143</v>
      </c>
      <c r="AM376" s="2" t="s">
        <v>7142</v>
      </c>
      <c r="AN376" s="2" t="s">
        <v>7143</v>
      </c>
      <c r="AO376" s="2" t="s">
        <v>7143</v>
      </c>
      <c r="AR376" s="7">
        <v>2</v>
      </c>
      <c r="AS376" s="7">
        <v>1</v>
      </c>
      <c r="AT376" s="7">
        <v>10</v>
      </c>
      <c r="AU376" s="7" t="s">
        <v>7193</v>
      </c>
      <c r="AV376" s="7" t="s">
        <v>7193</v>
      </c>
      <c r="AW376" s="7" t="s">
        <v>7143</v>
      </c>
      <c r="AZ376" s="2" t="s">
        <v>7337</v>
      </c>
      <c r="BB376" s="2" t="s">
        <v>7214</v>
      </c>
      <c r="BC376" s="2" t="s">
        <v>7208</v>
      </c>
      <c r="BD376" s="2" t="s">
        <v>7143</v>
      </c>
      <c r="BE376" s="2" t="s">
        <v>7143</v>
      </c>
      <c r="BL376" s="7" t="s">
        <v>7152</v>
      </c>
      <c r="BM376" s="7" t="s">
        <v>7153</v>
      </c>
      <c r="BN376" s="7" t="s">
        <v>7154</v>
      </c>
      <c r="BO376" s="2" t="s">
        <v>7155</v>
      </c>
      <c r="BQ376" s="2" t="s">
        <v>7183</v>
      </c>
      <c r="BS376" s="2" t="s">
        <v>7142</v>
      </c>
      <c r="BT376" s="2" t="s">
        <v>7215</v>
      </c>
      <c r="BV376" s="2" t="s">
        <v>7304</v>
      </c>
      <c r="BX376" s="2" t="s">
        <v>7142</v>
      </c>
      <c r="BY376" s="2" t="s">
        <v>310</v>
      </c>
      <c r="BZ376" s="2" t="s">
        <v>7173</v>
      </c>
      <c r="CE376" s="7">
        <v>10</v>
      </c>
      <c r="CF376" s="2">
        <v>980</v>
      </c>
      <c r="CK376" s="2">
        <v>100</v>
      </c>
      <c r="CO376" s="2">
        <v>100</v>
      </c>
      <c r="CR376" s="7" t="s">
        <v>7160</v>
      </c>
      <c r="CT376" s="2" t="s">
        <v>7143</v>
      </c>
      <c r="CU376" s="7" t="s">
        <v>7161</v>
      </c>
      <c r="CW376" s="7" t="s">
        <v>7162</v>
      </c>
      <c r="CY376" s="7" t="s">
        <v>7227</v>
      </c>
      <c r="CZ376" s="7" t="s">
        <v>7227</v>
      </c>
      <c r="DA376" s="7" t="s">
        <v>7249</v>
      </c>
      <c r="DB376" s="2" t="s">
        <v>7249</v>
      </c>
      <c r="DC376" s="2" t="s">
        <v>7249</v>
      </c>
      <c r="DD376" s="2" t="s">
        <v>7249</v>
      </c>
      <c r="DE376" s="2" t="s">
        <v>7249</v>
      </c>
      <c r="DF376" s="2" t="s">
        <v>7163</v>
      </c>
      <c r="DG376" s="2" t="s">
        <v>7250</v>
      </c>
      <c r="DH376" s="2" t="s">
        <v>7250</v>
      </c>
      <c r="DI376" s="2" t="s">
        <v>7164</v>
      </c>
      <c r="DL376" s="7" t="s">
        <v>7142</v>
      </c>
      <c r="DM376" s="7" t="s">
        <v>7142</v>
      </c>
      <c r="DN376" s="7" t="s">
        <v>7142</v>
      </c>
      <c r="DO376" s="7" t="s">
        <v>7142</v>
      </c>
      <c r="DP376" s="7" t="s">
        <v>7165</v>
      </c>
      <c r="DQ376" s="7" t="s">
        <v>7166</v>
      </c>
      <c r="DT376" s="7" t="s">
        <v>7165</v>
      </c>
      <c r="DU376" s="7" t="s">
        <v>7165</v>
      </c>
      <c r="DV376" s="7" t="s">
        <v>7165</v>
      </c>
      <c r="DW376" s="7" t="s">
        <v>7165</v>
      </c>
      <c r="DX376" s="2" t="s">
        <v>7165</v>
      </c>
      <c r="DY376" s="2" t="s">
        <v>7165</v>
      </c>
      <c r="DZ376" s="2" t="s">
        <v>7165</v>
      </c>
      <c r="EA376" s="2" t="s">
        <v>7165</v>
      </c>
      <c r="EB376" s="2" t="s">
        <v>7165</v>
      </c>
      <c r="EC376" s="2" t="s">
        <v>7159</v>
      </c>
      <c r="EF376" s="2" t="s">
        <v>7167</v>
      </c>
      <c r="EJ376" s="7" t="s">
        <v>7193</v>
      </c>
      <c r="EK376" s="7" t="s">
        <v>7143</v>
      </c>
      <c r="EL376" s="7" t="s">
        <v>7143</v>
      </c>
      <c r="EN376" s="7" t="s">
        <v>7170</v>
      </c>
      <c r="EP376" s="7" t="s">
        <v>7186</v>
      </c>
      <c r="ER376" s="2" t="s">
        <v>7142</v>
      </c>
      <c r="ET376" s="2" t="s">
        <v>7143</v>
      </c>
      <c r="EV376" s="2" t="s">
        <v>7143</v>
      </c>
      <c r="EX376" s="2" t="s">
        <v>7143</v>
      </c>
      <c r="FC376" s="2" t="s">
        <v>7172</v>
      </c>
      <c r="FD376" s="2" t="s">
        <v>7143</v>
      </c>
      <c r="FH376" s="7" t="s">
        <v>7173</v>
      </c>
      <c r="FJ376" s="7" t="s">
        <v>7143</v>
      </c>
      <c r="FK376" s="7" t="s">
        <v>7173</v>
      </c>
      <c r="FN376" s="2" t="s">
        <v>7283</v>
      </c>
      <c r="FT376" s="2" t="s">
        <v>7176</v>
      </c>
      <c r="FU376" s="2" t="s">
        <v>7189</v>
      </c>
      <c r="FV376" s="2" t="s">
        <v>7189</v>
      </c>
      <c r="FW376" s="2" t="s">
        <v>7189</v>
      </c>
      <c r="FZ376" s="19" t="s">
        <v>8455</v>
      </c>
    </row>
    <row r="377" spans="1:182">
      <c r="A377" s="7" t="s">
        <v>2461</v>
      </c>
      <c r="D377" s="7" t="s">
        <v>8456</v>
      </c>
      <c r="E377" s="7" t="s">
        <v>2462</v>
      </c>
      <c r="F377" s="7" t="s">
        <v>7389</v>
      </c>
      <c r="G377" s="7" t="s">
        <v>8348</v>
      </c>
      <c r="H377" s="7" t="s">
        <v>2463</v>
      </c>
      <c r="I377" s="7" t="s">
        <v>2464</v>
      </c>
      <c r="J377" s="16" t="s">
        <v>8457</v>
      </c>
      <c r="K377" s="7" t="s">
        <v>2464</v>
      </c>
      <c r="L377" s="2" t="s">
        <v>7137</v>
      </c>
      <c r="M377" s="7" t="s">
        <v>7138</v>
      </c>
      <c r="N377" s="7">
        <v>1998</v>
      </c>
      <c r="O377" s="7" t="s">
        <v>7180</v>
      </c>
      <c r="P377" s="7" t="s">
        <v>7140</v>
      </c>
      <c r="Q377" s="2" t="s">
        <v>7428</v>
      </c>
      <c r="R377" s="2" t="s">
        <v>7143</v>
      </c>
      <c r="S377" s="2">
        <v>10</v>
      </c>
      <c r="T377" s="2" t="s">
        <v>7143</v>
      </c>
      <c r="U377" s="2" t="s">
        <v>7143</v>
      </c>
      <c r="Y377" s="2">
        <v>190</v>
      </c>
      <c r="Z377" s="17">
        <v>1</v>
      </c>
      <c r="AA377" s="2">
        <v>190</v>
      </c>
      <c r="AB377" s="2">
        <v>190</v>
      </c>
      <c r="AC377" s="7">
        <v>190</v>
      </c>
      <c r="AD377" s="2">
        <v>240</v>
      </c>
      <c r="AE377" s="2">
        <v>50</v>
      </c>
      <c r="AF377" s="2" t="s">
        <v>7143</v>
      </c>
      <c r="AG377" s="2" t="s">
        <v>7143</v>
      </c>
      <c r="AH377" s="2" t="s">
        <v>7143</v>
      </c>
      <c r="AJ377" s="2" t="s">
        <v>7143</v>
      </c>
      <c r="AK377" s="2" t="s">
        <v>7143</v>
      </c>
      <c r="AL377" s="2" t="s">
        <v>7143</v>
      </c>
      <c r="AM377" s="2" t="s">
        <v>7143</v>
      </c>
      <c r="AN377" s="2" t="s">
        <v>7143</v>
      </c>
      <c r="AO377" s="2" t="s">
        <v>7143</v>
      </c>
      <c r="AR377" s="7">
        <v>0.6</v>
      </c>
      <c r="AS377" s="7">
        <v>1</v>
      </c>
      <c r="AT377" s="7">
        <v>2</v>
      </c>
      <c r="AU377" s="2" t="s">
        <v>7193</v>
      </c>
      <c r="AV377" s="2" t="s">
        <v>7144</v>
      </c>
      <c r="AW377" s="2" t="s">
        <v>7143</v>
      </c>
      <c r="AZ377" s="2" t="s">
        <v>7145</v>
      </c>
      <c r="BB377" s="2" t="s">
        <v>7214</v>
      </c>
      <c r="BC377" s="2" t="s">
        <v>7247</v>
      </c>
      <c r="BD377" s="2" t="s">
        <v>7143</v>
      </c>
      <c r="BE377" s="2" t="s">
        <v>7142</v>
      </c>
      <c r="BF377" s="2" t="s">
        <v>7148</v>
      </c>
      <c r="BG377" s="2" t="s">
        <v>7441</v>
      </c>
      <c r="BH377" s="2" t="s">
        <v>7248</v>
      </c>
      <c r="BI377" s="2" t="s">
        <v>7151</v>
      </c>
      <c r="BL377" s="2" t="s">
        <v>7152</v>
      </c>
      <c r="BM377" s="2" t="s">
        <v>7355</v>
      </c>
      <c r="BN377" s="2" t="s">
        <v>7154</v>
      </c>
      <c r="BO377" s="2" t="s">
        <v>7155</v>
      </c>
      <c r="BQ377" s="2" t="s">
        <v>7183</v>
      </c>
      <c r="BS377" s="2" t="s">
        <v>7142</v>
      </c>
      <c r="BT377" s="2" t="s">
        <v>7391</v>
      </c>
      <c r="BV377" s="2" t="s">
        <v>7197</v>
      </c>
      <c r="BX377" s="2" t="s">
        <v>7142</v>
      </c>
      <c r="BY377" s="2" t="s">
        <v>2465</v>
      </c>
      <c r="BZ377" s="2" t="s">
        <v>7173</v>
      </c>
      <c r="CE377" s="7">
        <v>2</v>
      </c>
      <c r="CF377" s="2">
        <v>240</v>
      </c>
      <c r="CK377" s="2">
        <v>100</v>
      </c>
      <c r="CO377" s="2">
        <v>100</v>
      </c>
      <c r="CR377" s="2" t="s">
        <v>7160</v>
      </c>
      <c r="CT377" s="2" t="s">
        <v>7143</v>
      </c>
      <c r="CU377" s="2" t="s">
        <v>7161</v>
      </c>
      <c r="CW377" s="2" t="s">
        <v>7162</v>
      </c>
      <c r="CY377" s="2" t="s">
        <v>7227</v>
      </c>
      <c r="CZ377" s="2" t="s">
        <v>7250</v>
      </c>
      <c r="DA377" s="2" t="s">
        <v>7250</v>
      </c>
      <c r="DB377" s="2" t="s">
        <v>7250</v>
      </c>
      <c r="DC377" s="2" t="s">
        <v>7250</v>
      </c>
      <c r="DD377" s="2" t="s">
        <v>7250</v>
      </c>
      <c r="DE377" s="2" t="s">
        <v>7250</v>
      </c>
      <c r="DF377" s="2" t="s">
        <v>7250</v>
      </c>
      <c r="DG377" s="2" t="s">
        <v>7250</v>
      </c>
      <c r="DH377" s="2" t="s">
        <v>7250</v>
      </c>
      <c r="DI377" s="2" t="s">
        <v>7250</v>
      </c>
      <c r="DL377" s="2" t="s">
        <v>7143</v>
      </c>
      <c r="DM377" s="2" t="s">
        <v>7143</v>
      </c>
      <c r="DP377" s="2" t="s">
        <v>7159</v>
      </c>
      <c r="DT377" s="2" t="s">
        <v>7159</v>
      </c>
      <c r="DU377" s="2" t="s">
        <v>7159</v>
      </c>
      <c r="DV377" s="2" t="s">
        <v>7159</v>
      </c>
      <c r="DW377" s="2" t="s">
        <v>7159</v>
      </c>
      <c r="DX377" s="2" t="s">
        <v>7159</v>
      </c>
      <c r="DY377" s="2" t="s">
        <v>7159</v>
      </c>
      <c r="DZ377" s="2" t="s">
        <v>7159</v>
      </c>
      <c r="EA377" s="2" t="s">
        <v>7159</v>
      </c>
      <c r="EB377" s="2" t="s">
        <v>7159</v>
      </c>
      <c r="EC377" s="2" t="s">
        <v>7159</v>
      </c>
      <c r="EF377" s="2" t="s">
        <v>7221</v>
      </c>
      <c r="EG377" s="2" t="s">
        <v>203</v>
      </c>
      <c r="EJ377" s="2" t="s">
        <v>7217</v>
      </c>
      <c r="EK377" s="2" t="s">
        <v>7143</v>
      </c>
      <c r="EL377" s="2" t="s">
        <v>7143</v>
      </c>
      <c r="EN377" s="2" t="s">
        <v>7210</v>
      </c>
      <c r="EP377" s="2" t="s">
        <v>7186</v>
      </c>
      <c r="ER377" s="2" t="s">
        <v>7143</v>
      </c>
      <c r="ET377" s="2" t="s">
        <v>7143</v>
      </c>
      <c r="EV377" s="2" t="s">
        <v>7143</v>
      </c>
      <c r="EX377" s="2" t="s">
        <v>7143</v>
      </c>
      <c r="EZ377" s="2" t="s">
        <v>7143</v>
      </c>
      <c r="FC377" s="2" t="s">
        <v>7172</v>
      </c>
      <c r="FD377" s="2" t="s">
        <v>7143</v>
      </c>
      <c r="FH377" s="2" t="s">
        <v>7173</v>
      </c>
      <c r="FJ377" s="2" t="s">
        <v>7143</v>
      </c>
      <c r="FK377" s="2" t="s">
        <v>7173</v>
      </c>
      <c r="FN377" s="2" t="s">
        <v>8206</v>
      </c>
      <c r="FR377" s="2" t="s">
        <v>433</v>
      </c>
      <c r="FT377" s="2" t="s">
        <v>7189</v>
      </c>
      <c r="FU377" s="2" t="s">
        <v>7189</v>
      </c>
      <c r="FV377" s="2" t="s">
        <v>7189</v>
      </c>
      <c r="FW377" s="2" t="s">
        <v>7189</v>
      </c>
      <c r="FZ377" s="19" t="s">
        <v>8458</v>
      </c>
    </row>
    <row r="378" spans="1:182">
      <c r="A378" s="7" t="s">
        <v>2466</v>
      </c>
      <c r="D378" s="7" t="s">
        <v>8459</v>
      </c>
      <c r="E378" s="7" t="s">
        <v>177</v>
      </c>
      <c r="F378" s="7" t="s">
        <v>7245</v>
      </c>
      <c r="G378" s="7" t="s">
        <v>8348</v>
      </c>
      <c r="H378" s="7" t="s">
        <v>2314</v>
      </c>
      <c r="I378" s="7" t="s">
        <v>2467</v>
      </c>
      <c r="J378" s="16" t="s">
        <v>8460</v>
      </c>
      <c r="K378" s="7" t="s">
        <v>2468</v>
      </c>
      <c r="L378" s="7" t="s">
        <v>7137</v>
      </c>
      <c r="M378" s="7" t="s">
        <v>7138</v>
      </c>
      <c r="N378" s="7">
        <v>1980</v>
      </c>
      <c r="O378" s="7" t="s">
        <v>7180</v>
      </c>
      <c r="P378" s="7" t="s">
        <v>7140</v>
      </c>
      <c r="Q378" s="7" t="s">
        <v>7182</v>
      </c>
      <c r="R378" s="7" t="s">
        <v>7143</v>
      </c>
      <c r="S378" s="7">
        <v>2012</v>
      </c>
      <c r="T378" s="7" t="s">
        <v>7143</v>
      </c>
      <c r="U378" s="7" t="s">
        <v>7143</v>
      </c>
      <c r="Y378" s="2">
        <v>720</v>
      </c>
      <c r="Z378" s="17">
        <v>0.83330000000000004</v>
      </c>
      <c r="AA378" s="2">
        <v>600</v>
      </c>
      <c r="AB378" s="2">
        <v>600</v>
      </c>
      <c r="AC378" s="7">
        <v>420</v>
      </c>
      <c r="AD378" s="2">
        <v>500</v>
      </c>
      <c r="AE378" s="2">
        <v>80</v>
      </c>
      <c r="AF378" s="7" t="s">
        <v>7143</v>
      </c>
      <c r="AG378" s="7" t="s">
        <v>7142</v>
      </c>
      <c r="AH378" s="7" t="s">
        <v>7142</v>
      </c>
      <c r="AI378" s="7" t="s">
        <v>2469</v>
      </c>
      <c r="AJ378" s="7" t="s">
        <v>7143</v>
      </c>
      <c r="AK378" s="7" t="s">
        <v>7143</v>
      </c>
      <c r="AL378" s="7" t="s">
        <v>7142</v>
      </c>
      <c r="AM378" s="2" t="s">
        <v>7143</v>
      </c>
      <c r="AN378" s="2" t="s">
        <v>7143</v>
      </c>
      <c r="AO378" s="2" t="s">
        <v>7143</v>
      </c>
      <c r="AR378" s="7">
        <v>1.5</v>
      </c>
      <c r="AS378" s="7">
        <v>2</v>
      </c>
      <c r="AT378" s="7">
        <v>5</v>
      </c>
      <c r="AU378" s="7" t="s">
        <v>7144</v>
      </c>
      <c r="AV378" s="7" t="s">
        <v>7144</v>
      </c>
      <c r="AW378" s="7" t="s">
        <v>7143</v>
      </c>
      <c r="AZ378" s="7" t="s">
        <v>7145</v>
      </c>
      <c r="BB378" s="7" t="s">
        <v>7214</v>
      </c>
      <c r="BC378" s="7" t="s">
        <v>7247</v>
      </c>
      <c r="BD378" s="7" t="s">
        <v>7142</v>
      </c>
      <c r="BE378" s="7" t="s">
        <v>7142</v>
      </c>
      <c r="BF378" s="7" t="s">
        <v>7148</v>
      </c>
      <c r="BG378" s="7" t="s">
        <v>7149</v>
      </c>
      <c r="BH378" s="7" t="s">
        <v>7150</v>
      </c>
      <c r="BI378" s="7" t="s">
        <v>7151</v>
      </c>
      <c r="BL378" s="7" t="s">
        <v>7152</v>
      </c>
      <c r="BM378" s="7" t="s">
        <v>7153</v>
      </c>
      <c r="BN378" s="7" t="s">
        <v>7154</v>
      </c>
      <c r="BO378" s="7" t="s">
        <v>7155</v>
      </c>
      <c r="BS378" s="7" t="s">
        <v>7142</v>
      </c>
      <c r="BT378" s="7" t="s">
        <v>7215</v>
      </c>
      <c r="BV378" s="2" t="s">
        <v>7304</v>
      </c>
      <c r="BX378" s="7" t="s">
        <v>7142</v>
      </c>
      <c r="BY378" s="7" t="s">
        <v>326</v>
      </c>
      <c r="BZ378" s="7" t="s">
        <v>7173</v>
      </c>
      <c r="CE378" s="7">
        <v>5</v>
      </c>
      <c r="CF378" s="2">
        <v>500</v>
      </c>
      <c r="CK378" s="2">
        <v>100</v>
      </c>
      <c r="CO378" s="2">
        <v>100</v>
      </c>
      <c r="CR378" s="7" t="s">
        <v>7160</v>
      </c>
      <c r="CT378" s="7" t="s">
        <v>7143</v>
      </c>
      <c r="CU378" s="7" t="s">
        <v>7161</v>
      </c>
      <c r="CW378" s="7" t="s">
        <v>7162</v>
      </c>
      <c r="CY378" s="7" t="s">
        <v>7227</v>
      </c>
      <c r="CZ378" s="7" t="s">
        <v>7249</v>
      </c>
      <c r="DA378" s="7" t="s">
        <v>7249</v>
      </c>
      <c r="DB378" s="2" t="s">
        <v>7249</v>
      </c>
      <c r="DC378" s="2" t="s">
        <v>7249</v>
      </c>
      <c r="DD378" s="2" t="s">
        <v>7249</v>
      </c>
      <c r="DE378" s="2" t="s">
        <v>7249</v>
      </c>
      <c r="DF378" s="2" t="s">
        <v>7163</v>
      </c>
      <c r="DG378" s="2" t="s">
        <v>7249</v>
      </c>
      <c r="DL378" s="7" t="s">
        <v>7142</v>
      </c>
      <c r="DM378" s="7" t="s">
        <v>7142</v>
      </c>
      <c r="DN378" s="7" t="s">
        <v>7142</v>
      </c>
      <c r="DO378" s="7" t="s">
        <v>7142</v>
      </c>
      <c r="DP378" s="7" t="s">
        <v>7173</v>
      </c>
      <c r="DT378" s="7" t="s">
        <v>7173</v>
      </c>
      <c r="DU378" s="7" t="s">
        <v>7165</v>
      </c>
      <c r="DV378" s="7" t="s">
        <v>7165</v>
      </c>
      <c r="DW378" s="2" t="s">
        <v>7165</v>
      </c>
      <c r="DX378" s="2" t="s">
        <v>7165</v>
      </c>
      <c r="DY378" s="7" t="s">
        <v>7173</v>
      </c>
      <c r="DZ378" s="2" t="s">
        <v>7165</v>
      </c>
      <c r="EA378" s="7" t="s">
        <v>7165</v>
      </c>
      <c r="EB378" s="7" t="s">
        <v>7165</v>
      </c>
      <c r="EC378" s="2" t="s">
        <v>7159</v>
      </c>
      <c r="ED378" s="7"/>
      <c r="EF378" s="7" t="s">
        <v>7167</v>
      </c>
      <c r="EJ378" s="7" t="s">
        <v>7144</v>
      </c>
      <c r="EK378" s="7" t="s">
        <v>7142</v>
      </c>
      <c r="EL378" s="7" t="s">
        <v>7142</v>
      </c>
      <c r="EM378" s="7" t="s">
        <v>7300</v>
      </c>
      <c r="EN378" s="7" t="s">
        <v>7392</v>
      </c>
      <c r="EP378" s="7" t="s">
        <v>7186</v>
      </c>
      <c r="ER378" s="7" t="s">
        <v>7142</v>
      </c>
      <c r="ET378" s="7" t="s">
        <v>7143</v>
      </c>
      <c r="EV378" s="7" t="s">
        <v>7143</v>
      </c>
      <c r="FC378" s="7" t="s">
        <v>7172</v>
      </c>
      <c r="FD378" s="7" t="s">
        <v>7143</v>
      </c>
      <c r="FH378" s="7" t="s">
        <v>7173</v>
      </c>
      <c r="FJ378" s="2" t="s">
        <v>7142</v>
      </c>
      <c r="FK378" s="7" t="s">
        <v>7165</v>
      </c>
      <c r="FL378" s="7" t="s">
        <v>7260</v>
      </c>
      <c r="FN378" s="2" t="s">
        <v>7235</v>
      </c>
      <c r="FT378" s="2" t="s">
        <v>7176</v>
      </c>
      <c r="FU378" s="2" t="s">
        <v>7189</v>
      </c>
      <c r="FV378" s="2" t="s">
        <v>7189</v>
      </c>
      <c r="FW378" s="2" t="s">
        <v>7189</v>
      </c>
      <c r="FZ378" s="19" t="s">
        <v>8461</v>
      </c>
    </row>
    <row r="379" spans="1:182">
      <c r="A379" s="7" t="s">
        <v>2470</v>
      </c>
      <c r="D379" s="7" t="s">
        <v>8462</v>
      </c>
      <c r="E379" s="7" t="s">
        <v>2471</v>
      </c>
      <c r="F379" s="7" t="s">
        <v>7319</v>
      </c>
      <c r="G379" s="7" t="s">
        <v>8348</v>
      </c>
      <c r="H379" s="7" t="s">
        <v>2371</v>
      </c>
      <c r="I379" s="7" t="s">
        <v>2472</v>
      </c>
      <c r="J379" s="16" t="s">
        <v>8463</v>
      </c>
      <c r="K379" s="7" t="s">
        <v>2473</v>
      </c>
      <c r="L379" s="7" t="s">
        <v>7137</v>
      </c>
      <c r="M379" s="7" t="s">
        <v>7138</v>
      </c>
      <c r="N379" s="7">
        <v>1971</v>
      </c>
      <c r="O379" s="7" t="s">
        <v>7180</v>
      </c>
      <c r="P379" s="7" t="s">
        <v>7140</v>
      </c>
      <c r="Q379" s="7" t="s">
        <v>7141</v>
      </c>
      <c r="R379" s="7" t="s">
        <v>7143</v>
      </c>
      <c r="S379" s="2">
        <v>26</v>
      </c>
      <c r="T379" s="7" t="s">
        <v>7143</v>
      </c>
      <c r="U379" s="7" t="s">
        <v>7142</v>
      </c>
      <c r="Y379" s="2">
        <v>520</v>
      </c>
      <c r="Z379" s="17">
        <v>1</v>
      </c>
      <c r="AA379" s="2">
        <v>520</v>
      </c>
      <c r="AB379" s="2">
        <v>520</v>
      </c>
      <c r="AC379" s="7">
        <v>320</v>
      </c>
      <c r="AD379" s="2">
        <v>500</v>
      </c>
      <c r="AE379" s="2">
        <v>180</v>
      </c>
      <c r="AF379" s="2" t="s">
        <v>7143</v>
      </c>
      <c r="AG379" s="2" t="s">
        <v>7142</v>
      </c>
      <c r="AH379" s="2" t="s">
        <v>7143</v>
      </c>
      <c r="AJ379" s="2" t="s">
        <v>7143</v>
      </c>
      <c r="AK379" s="2" t="s">
        <v>7143</v>
      </c>
      <c r="AL379" s="2" t="s">
        <v>7143</v>
      </c>
      <c r="AM379" s="2" t="s">
        <v>7143</v>
      </c>
      <c r="AN379" s="2" t="s">
        <v>7143</v>
      </c>
      <c r="AO379" s="2" t="s">
        <v>7143</v>
      </c>
      <c r="AR379" s="7">
        <v>3</v>
      </c>
      <c r="AS379" s="7">
        <v>3</v>
      </c>
      <c r="AT379" s="7">
        <v>5</v>
      </c>
      <c r="AU379" s="2" t="s">
        <v>7144</v>
      </c>
      <c r="AV379" s="2" t="s">
        <v>7193</v>
      </c>
      <c r="AW379" s="2" t="s">
        <v>7143</v>
      </c>
      <c r="AZ379" s="2" t="s">
        <v>7286</v>
      </c>
      <c r="BC379" s="2" t="s">
        <v>7147</v>
      </c>
      <c r="BD379" s="2" t="s">
        <v>7143</v>
      </c>
      <c r="BE379" s="2" t="s">
        <v>7143</v>
      </c>
      <c r="BL379" s="2" t="s">
        <v>7152</v>
      </c>
      <c r="BM379" s="2" t="s">
        <v>7153</v>
      </c>
      <c r="BN379" s="2" t="s">
        <v>7154</v>
      </c>
      <c r="BO379" s="2" t="s">
        <v>7155</v>
      </c>
      <c r="BQ379" s="2" t="s">
        <v>7183</v>
      </c>
      <c r="BS379" s="2" t="s">
        <v>7142</v>
      </c>
      <c r="BT379" s="2" t="s">
        <v>7238</v>
      </c>
      <c r="BU379" s="2" t="s">
        <v>2474</v>
      </c>
      <c r="BV379" s="2" t="s">
        <v>7313</v>
      </c>
      <c r="BX379" s="2" t="s">
        <v>7143</v>
      </c>
      <c r="BZ379" s="2" t="s">
        <v>7173</v>
      </c>
      <c r="CE379" s="7">
        <v>5</v>
      </c>
      <c r="CF379" s="2">
        <v>500</v>
      </c>
      <c r="CK379" s="2">
        <v>100</v>
      </c>
      <c r="CO379" s="2">
        <v>100</v>
      </c>
      <c r="CR379" s="2" t="s">
        <v>7160</v>
      </c>
      <c r="CT379" s="2" t="s">
        <v>7143</v>
      </c>
      <c r="CU379" s="2" t="s">
        <v>7383</v>
      </c>
      <c r="CW379" s="2" t="s">
        <v>7162</v>
      </c>
      <c r="CY379" s="2" t="s">
        <v>7163</v>
      </c>
      <c r="CZ379" s="2" t="s">
        <v>7163</v>
      </c>
      <c r="DA379" s="2" t="s">
        <v>7250</v>
      </c>
      <c r="DB379" s="2" t="s">
        <v>7321</v>
      </c>
      <c r="DC379" s="2" t="s">
        <v>7321</v>
      </c>
      <c r="DD379" s="2" t="s">
        <v>7321</v>
      </c>
      <c r="DE379" s="2" t="s">
        <v>7250</v>
      </c>
      <c r="DG379" s="2" t="s">
        <v>7250</v>
      </c>
      <c r="DH379" s="2" t="s">
        <v>7250</v>
      </c>
      <c r="DI379" s="2" t="s">
        <v>7250</v>
      </c>
      <c r="DL379" s="2" t="s">
        <v>7143</v>
      </c>
      <c r="DM379" s="2" t="s">
        <v>7143</v>
      </c>
      <c r="DP379" s="2" t="s">
        <v>7159</v>
      </c>
      <c r="DT379" s="2" t="s">
        <v>7159</v>
      </c>
      <c r="DU379" s="2" t="s">
        <v>7159</v>
      </c>
      <c r="DV379" s="2" t="s">
        <v>7159</v>
      </c>
      <c r="DW379" s="2" t="s">
        <v>7159</v>
      </c>
      <c r="DX379" s="2" t="s">
        <v>7159</v>
      </c>
      <c r="DY379" s="2" t="s">
        <v>7159</v>
      </c>
      <c r="DZ379" s="2" t="s">
        <v>7159</v>
      </c>
      <c r="EA379" s="2" t="s">
        <v>7159</v>
      </c>
      <c r="EB379" s="2" t="s">
        <v>7159</v>
      </c>
      <c r="EC379" s="2" t="s">
        <v>7159</v>
      </c>
      <c r="EF379" s="2" t="s">
        <v>7252</v>
      </c>
      <c r="EG379" s="2" t="s">
        <v>431</v>
      </c>
      <c r="EJ379" s="2" t="s">
        <v>7193</v>
      </c>
      <c r="EK379" s="2" t="s">
        <v>7143</v>
      </c>
      <c r="EL379" s="2" t="s">
        <v>7143</v>
      </c>
      <c r="EN379" s="2" t="s">
        <v>7210</v>
      </c>
      <c r="EP379" s="2" t="s">
        <v>7186</v>
      </c>
      <c r="ER379" s="2" t="s">
        <v>7143</v>
      </c>
      <c r="ET379" s="2" t="s">
        <v>7143</v>
      </c>
      <c r="EV379" s="2" t="s">
        <v>7143</v>
      </c>
      <c r="EX379" s="2" t="s">
        <v>7143</v>
      </c>
      <c r="EZ379" s="2" t="s">
        <v>7143</v>
      </c>
      <c r="FC379" s="2" t="s">
        <v>7309</v>
      </c>
      <c r="FD379" s="2" t="s">
        <v>7143</v>
      </c>
      <c r="FH379" s="2" t="s">
        <v>7173</v>
      </c>
      <c r="FJ379" s="2" t="s">
        <v>7143</v>
      </c>
      <c r="FK379" s="2" t="s">
        <v>7159</v>
      </c>
      <c r="FR379" s="2" t="s">
        <v>433</v>
      </c>
      <c r="FT379" s="2" t="s">
        <v>7345</v>
      </c>
      <c r="FU379" s="2" t="s">
        <v>7189</v>
      </c>
      <c r="FV379" s="2" t="s">
        <v>7176</v>
      </c>
      <c r="FW379" s="2" t="s">
        <v>7189</v>
      </c>
      <c r="FZ379" s="19" t="s">
        <v>8464</v>
      </c>
    </row>
    <row r="380" spans="1:182">
      <c r="A380" s="7" t="s">
        <v>2475</v>
      </c>
      <c r="D380" s="7" t="s">
        <v>8465</v>
      </c>
      <c r="E380" s="7" t="s">
        <v>177</v>
      </c>
      <c r="F380" s="7" t="s">
        <v>7245</v>
      </c>
      <c r="G380" s="7" t="s">
        <v>8348</v>
      </c>
      <c r="H380" s="7" t="s">
        <v>2314</v>
      </c>
      <c r="I380" s="7" t="s">
        <v>1785</v>
      </c>
      <c r="J380" s="16" t="s">
        <v>8466</v>
      </c>
      <c r="K380" s="7" t="s">
        <v>2476</v>
      </c>
      <c r="L380" s="7" t="s">
        <v>7137</v>
      </c>
      <c r="M380" s="7" t="s">
        <v>7179</v>
      </c>
      <c r="N380" s="7">
        <v>1970</v>
      </c>
      <c r="O380" s="7" t="s">
        <v>7180</v>
      </c>
      <c r="P380" s="7" t="s">
        <v>7181</v>
      </c>
      <c r="Q380" s="7" t="s">
        <v>7141</v>
      </c>
      <c r="R380" s="7" t="s">
        <v>7143</v>
      </c>
      <c r="S380" s="7">
        <v>2012</v>
      </c>
      <c r="T380" s="7" t="s">
        <v>7143</v>
      </c>
      <c r="U380" s="7" t="s">
        <v>7143</v>
      </c>
      <c r="Y380" s="2">
        <v>600</v>
      </c>
      <c r="Z380" s="17">
        <v>1</v>
      </c>
      <c r="AA380" s="2">
        <v>600</v>
      </c>
      <c r="AB380" s="2">
        <v>600</v>
      </c>
      <c r="AC380" s="7">
        <v>360</v>
      </c>
      <c r="AD380" s="2">
        <v>400</v>
      </c>
      <c r="AE380" s="2">
        <v>40</v>
      </c>
      <c r="AF380" s="2" t="s">
        <v>7143</v>
      </c>
      <c r="AG380" s="2" t="s">
        <v>7142</v>
      </c>
      <c r="AH380" s="2" t="s">
        <v>7142</v>
      </c>
      <c r="AI380" s="2" t="s">
        <v>2477</v>
      </c>
      <c r="AJ380" s="2" t="s">
        <v>7143</v>
      </c>
      <c r="AK380" s="2" t="s">
        <v>7143</v>
      </c>
      <c r="AL380" s="2" t="s">
        <v>7143</v>
      </c>
      <c r="AM380" s="2" t="s">
        <v>7142</v>
      </c>
      <c r="AN380" s="2" t="s">
        <v>7143</v>
      </c>
      <c r="AO380" s="2" t="s">
        <v>7143</v>
      </c>
      <c r="AR380" s="7">
        <v>1.5</v>
      </c>
      <c r="AS380" s="7">
        <v>1</v>
      </c>
      <c r="AT380" s="7">
        <v>4.5</v>
      </c>
      <c r="AU380" s="7" t="s">
        <v>7193</v>
      </c>
      <c r="AV380" s="7" t="s">
        <v>7193</v>
      </c>
      <c r="AW380" s="7" t="s">
        <v>7143</v>
      </c>
      <c r="AZ380" s="7" t="s">
        <v>7145</v>
      </c>
      <c r="BB380" s="7" t="s">
        <v>7214</v>
      </c>
      <c r="BC380" s="7" t="s">
        <v>7247</v>
      </c>
      <c r="BD380" s="7" t="s">
        <v>7142</v>
      </c>
      <c r="BE380" s="7" t="s">
        <v>7142</v>
      </c>
      <c r="BF380" s="7" t="s">
        <v>7148</v>
      </c>
      <c r="BG380" s="7" t="s">
        <v>7149</v>
      </c>
      <c r="BH380" s="7" t="s">
        <v>7248</v>
      </c>
      <c r="BI380" s="7" t="s">
        <v>7151</v>
      </c>
      <c r="BL380" s="7" t="s">
        <v>7152</v>
      </c>
      <c r="BM380" s="7" t="s">
        <v>7153</v>
      </c>
      <c r="BN380" s="7" t="s">
        <v>7154</v>
      </c>
      <c r="BO380" s="7" t="s">
        <v>7155</v>
      </c>
      <c r="BS380" s="7" t="s">
        <v>7142</v>
      </c>
      <c r="BT380" s="7" t="s">
        <v>7215</v>
      </c>
      <c r="BV380" s="2" t="s">
        <v>7304</v>
      </c>
      <c r="BX380" s="7" t="s">
        <v>7142</v>
      </c>
      <c r="BY380" s="7" t="s">
        <v>2478</v>
      </c>
      <c r="BZ380" s="7" t="s">
        <v>7173</v>
      </c>
      <c r="CE380" s="7">
        <v>4.5</v>
      </c>
      <c r="CF380" s="2">
        <v>450</v>
      </c>
      <c r="CK380" s="2">
        <v>100</v>
      </c>
      <c r="CO380" s="2">
        <v>100</v>
      </c>
      <c r="CR380" s="7" t="s">
        <v>7160</v>
      </c>
      <c r="CT380" s="7" t="s">
        <v>7143</v>
      </c>
      <c r="CU380" s="7" t="s">
        <v>7161</v>
      </c>
      <c r="CW380" s="7" t="s">
        <v>7162</v>
      </c>
      <c r="CY380" s="7" t="s">
        <v>7249</v>
      </c>
      <c r="CZ380" s="7" t="s">
        <v>7249</v>
      </c>
      <c r="DA380" s="7" t="s">
        <v>7249</v>
      </c>
      <c r="DB380" s="2" t="s">
        <v>7251</v>
      </c>
      <c r="DC380" s="7" t="s">
        <v>7249</v>
      </c>
      <c r="DD380" s="7" t="s">
        <v>7249</v>
      </c>
      <c r="DE380" s="7" t="s">
        <v>7249</v>
      </c>
      <c r="DF380" s="7" t="s">
        <v>7250</v>
      </c>
      <c r="DG380" s="7" t="s">
        <v>7249</v>
      </c>
      <c r="DH380" s="7" t="s">
        <v>7249</v>
      </c>
      <c r="DI380" s="2" t="s">
        <v>7164</v>
      </c>
      <c r="DL380" s="7" t="s">
        <v>7142</v>
      </c>
      <c r="DM380" s="7" t="s">
        <v>7142</v>
      </c>
      <c r="DN380" s="7" t="s">
        <v>7142</v>
      </c>
      <c r="DO380" s="7" t="s">
        <v>7142</v>
      </c>
      <c r="DP380" s="7" t="s">
        <v>7165</v>
      </c>
      <c r="DQ380" s="7" t="s">
        <v>7166</v>
      </c>
      <c r="DT380" s="7" t="s">
        <v>7165</v>
      </c>
      <c r="DU380" s="7" t="s">
        <v>7165</v>
      </c>
      <c r="DV380" s="7" t="s">
        <v>7165</v>
      </c>
      <c r="DW380" s="7" t="s">
        <v>7165</v>
      </c>
      <c r="DX380" s="7" t="s">
        <v>7165</v>
      </c>
      <c r="DY380" s="7" t="s">
        <v>7165</v>
      </c>
      <c r="DZ380" s="7" t="s">
        <v>7165</v>
      </c>
      <c r="EA380" s="7" t="s">
        <v>7165</v>
      </c>
      <c r="EB380" s="7" t="s">
        <v>7165</v>
      </c>
      <c r="EF380" s="2" t="s">
        <v>7167</v>
      </c>
      <c r="EJ380" s="7" t="s">
        <v>7193</v>
      </c>
      <c r="EK380" s="7" t="s">
        <v>7142</v>
      </c>
      <c r="EL380" s="7" t="s">
        <v>7143</v>
      </c>
      <c r="EN380" s="7" t="s">
        <v>7170</v>
      </c>
      <c r="EP380" s="7" t="s">
        <v>7186</v>
      </c>
      <c r="ER380" s="7" t="s">
        <v>7142</v>
      </c>
      <c r="ET380" s="7" t="s">
        <v>7143</v>
      </c>
      <c r="EV380" s="7" t="s">
        <v>7143</v>
      </c>
      <c r="EX380" s="2" t="s">
        <v>7143</v>
      </c>
      <c r="EZ380" s="2" t="s">
        <v>7143</v>
      </c>
      <c r="FC380" s="2" t="s">
        <v>7172</v>
      </c>
      <c r="FD380" s="2" t="s">
        <v>7143</v>
      </c>
      <c r="FH380" s="7" t="s">
        <v>7173</v>
      </c>
      <c r="FJ380" s="7" t="s">
        <v>7143</v>
      </c>
      <c r="FK380" s="7" t="s">
        <v>7165</v>
      </c>
      <c r="FL380" s="7" t="s">
        <v>7260</v>
      </c>
      <c r="FN380" s="2" t="s">
        <v>7253</v>
      </c>
      <c r="FT380" s="2" t="s">
        <v>7189</v>
      </c>
      <c r="FU380" s="2" t="s">
        <v>7189</v>
      </c>
      <c r="FV380" s="2" t="s">
        <v>7189</v>
      </c>
      <c r="FW380" s="2" t="s">
        <v>7189</v>
      </c>
      <c r="FZ380" s="19" t="s">
        <v>8467</v>
      </c>
    </row>
    <row r="381" spans="1:182">
      <c r="A381" s="7" t="s">
        <v>2479</v>
      </c>
      <c r="D381" s="7" t="s">
        <v>8468</v>
      </c>
      <c r="E381" s="7" t="s">
        <v>2480</v>
      </c>
      <c r="F381" s="7" t="s">
        <v>7311</v>
      </c>
      <c r="G381" s="7" t="s">
        <v>8348</v>
      </c>
      <c r="H381" s="7" t="s">
        <v>2446</v>
      </c>
      <c r="I381" s="7" t="s">
        <v>2481</v>
      </c>
      <c r="J381" s="16" t="s">
        <v>8469</v>
      </c>
      <c r="K381" s="7" t="s">
        <v>2481</v>
      </c>
      <c r="L381" s="7" t="s">
        <v>7137</v>
      </c>
      <c r="M381" s="7" t="s">
        <v>7138</v>
      </c>
      <c r="N381" s="7">
        <v>1966</v>
      </c>
      <c r="O381" s="7" t="s">
        <v>7180</v>
      </c>
      <c r="P381" s="7" t="s">
        <v>7140</v>
      </c>
      <c r="Q381" s="7" t="s">
        <v>7141</v>
      </c>
      <c r="R381" s="7" t="s">
        <v>7143</v>
      </c>
      <c r="S381" s="7">
        <v>5</v>
      </c>
      <c r="T381" s="7" t="s">
        <v>7143</v>
      </c>
      <c r="U381" s="7" t="s">
        <v>7142</v>
      </c>
      <c r="Y381" s="2">
        <v>830</v>
      </c>
      <c r="Z381" s="17">
        <v>0.90359999999999996</v>
      </c>
      <c r="AA381" s="2">
        <v>750</v>
      </c>
      <c r="AB381" s="2">
        <v>750</v>
      </c>
      <c r="AC381" s="7">
        <v>750</v>
      </c>
      <c r="AD381" s="2">
        <v>930</v>
      </c>
      <c r="AE381" s="2">
        <v>180</v>
      </c>
      <c r="AF381" s="2" t="s">
        <v>7143</v>
      </c>
      <c r="AG381" s="2" t="s">
        <v>7143</v>
      </c>
      <c r="AH381" s="2" t="s">
        <v>7143</v>
      </c>
      <c r="AJ381" s="2" t="s">
        <v>7143</v>
      </c>
      <c r="AK381" s="2" t="s">
        <v>7143</v>
      </c>
      <c r="AL381" s="2" t="s">
        <v>7142</v>
      </c>
      <c r="AM381" s="2" t="s">
        <v>7143</v>
      </c>
      <c r="AN381" s="2" t="s">
        <v>7143</v>
      </c>
      <c r="AO381" s="2" t="s">
        <v>7143</v>
      </c>
      <c r="AR381" s="7">
        <v>3.4</v>
      </c>
      <c r="AS381" s="7">
        <v>4</v>
      </c>
      <c r="AT381" s="7">
        <v>11</v>
      </c>
      <c r="AU381" s="2" t="s">
        <v>7193</v>
      </c>
      <c r="AV381" s="2" t="s">
        <v>7193</v>
      </c>
      <c r="AW381" s="2" t="s">
        <v>7143</v>
      </c>
      <c r="AZ381" s="2" t="s">
        <v>7145</v>
      </c>
      <c r="BB381" s="2" t="s">
        <v>7214</v>
      </c>
      <c r="BC381" s="2" t="s">
        <v>7247</v>
      </c>
      <c r="BD381" s="2" t="s">
        <v>7142</v>
      </c>
      <c r="BE381" s="2" t="s">
        <v>7142</v>
      </c>
      <c r="BF381" s="2" t="s">
        <v>7148</v>
      </c>
      <c r="BG381" s="2" t="s">
        <v>7149</v>
      </c>
      <c r="BH381" s="2" t="s">
        <v>7233</v>
      </c>
      <c r="BI381" s="2" t="s">
        <v>7151</v>
      </c>
      <c r="BL381" s="2" t="s">
        <v>7152</v>
      </c>
      <c r="BM381" s="2" t="s">
        <v>7153</v>
      </c>
      <c r="BN381" s="2" t="s">
        <v>7154</v>
      </c>
      <c r="BO381" s="2" t="s">
        <v>7155</v>
      </c>
      <c r="BQ381" s="2" t="s">
        <v>7156</v>
      </c>
      <c r="BS381" s="2" t="s">
        <v>7142</v>
      </c>
      <c r="BT381" s="2" t="s">
        <v>7362</v>
      </c>
      <c r="BV381" s="2" t="s">
        <v>7202</v>
      </c>
      <c r="BX381" s="2" t="s">
        <v>7143</v>
      </c>
      <c r="BY381" s="2" t="s">
        <v>2482</v>
      </c>
      <c r="BZ381" s="2" t="s">
        <v>7159</v>
      </c>
      <c r="CE381" s="7">
        <v>11</v>
      </c>
      <c r="CF381" s="2">
        <v>930</v>
      </c>
      <c r="CK381" s="2">
        <v>100</v>
      </c>
      <c r="CP381" s="2">
        <v>100</v>
      </c>
      <c r="CR381" s="2" t="s">
        <v>7160</v>
      </c>
      <c r="CT381" s="2" t="s">
        <v>7143</v>
      </c>
      <c r="CU381" s="2" t="s">
        <v>7161</v>
      </c>
      <c r="CW381" s="2" t="s">
        <v>7162</v>
      </c>
      <c r="CY381" s="2" t="s">
        <v>7250</v>
      </c>
      <c r="CZ381" s="2" t="s">
        <v>7250</v>
      </c>
      <c r="DA381" s="2" t="s">
        <v>7250</v>
      </c>
      <c r="DB381" s="2" t="s">
        <v>7250</v>
      </c>
      <c r="DC381" s="2" t="s">
        <v>7250</v>
      </c>
      <c r="DD381" s="2" t="s">
        <v>7250</v>
      </c>
      <c r="DE381" s="2" t="s">
        <v>7250</v>
      </c>
      <c r="DF381" s="2" t="s">
        <v>7250</v>
      </c>
      <c r="DG381" s="2" t="s">
        <v>7250</v>
      </c>
      <c r="DH381" s="2" t="s">
        <v>7250</v>
      </c>
      <c r="DI381" s="2" t="s">
        <v>7250</v>
      </c>
      <c r="DL381" s="2" t="s">
        <v>7143</v>
      </c>
      <c r="DM381" s="2" t="s">
        <v>7143</v>
      </c>
      <c r="DP381" s="2" t="s">
        <v>7159</v>
      </c>
      <c r="DT381" s="2" t="s">
        <v>7159</v>
      </c>
      <c r="DU381" s="2" t="s">
        <v>7159</v>
      </c>
      <c r="DV381" s="2" t="s">
        <v>7159</v>
      </c>
      <c r="DW381" s="2" t="s">
        <v>7159</v>
      </c>
      <c r="DX381" s="2" t="s">
        <v>7159</v>
      </c>
      <c r="DY381" s="2" t="s">
        <v>7159</v>
      </c>
      <c r="DZ381" s="2" t="s">
        <v>7159</v>
      </c>
      <c r="EA381" s="2" t="s">
        <v>7159</v>
      </c>
      <c r="EB381" s="2" t="s">
        <v>7159</v>
      </c>
      <c r="EC381" s="2" t="s">
        <v>7159</v>
      </c>
      <c r="ED381" s="2" t="s">
        <v>7159</v>
      </c>
      <c r="EF381" s="2" t="s">
        <v>7252</v>
      </c>
      <c r="EG381" s="2" t="s">
        <v>2483</v>
      </c>
      <c r="EJ381" s="2" t="s">
        <v>7193</v>
      </c>
      <c r="EK381" s="2" t="s">
        <v>7143</v>
      </c>
      <c r="EL381" s="2" t="s">
        <v>7143</v>
      </c>
      <c r="EN381" s="2" t="s">
        <v>7170</v>
      </c>
      <c r="EP381" s="2" t="s">
        <v>7186</v>
      </c>
      <c r="ER381" s="2" t="s">
        <v>7143</v>
      </c>
      <c r="ET381" s="2" t="s">
        <v>7143</v>
      </c>
      <c r="EV381" s="2" t="s">
        <v>7143</v>
      </c>
      <c r="EX381" s="2" t="s">
        <v>7143</v>
      </c>
      <c r="EZ381" s="2" t="s">
        <v>7143</v>
      </c>
      <c r="FC381" s="2" t="s">
        <v>7172</v>
      </c>
      <c r="FD381" s="2" t="s">
        <v>7143</v>
      </c>
      <c r="FH381" s="2" t="s">
        <v>7173</v>
      </c>
      <c r="FJ381" s="2" t="s">
        <v>7143</v>
      </c>
      <c r="FK381" s="2" t="s">
        <v>7159</v>
      </c>
      <c r="FN381" s="2" t="s">
        <v>7322</v>
      </c>
      <c r="FR381" s="2" t="s">
        <v>2484</v>
      </c>
      <c r="FT381" s="2" t="s">
        <v>7189</v>
      </c>
      <c r="FU381" s="2" t="s">
        <v>7176</v>
      </c>
      <c r="FV381" s="2" t="s">
        <v>7176</v>
      </c>
      <c r="FW381" s="2" t="s">
        <v>7176</v>
      </c>
      <c r="FX381" s="2" t="s">
        <v>7176</v>
      </c>
      <c r="FY381" s="2" t="s">
        <v>2485</v>
      </c>
      <c r="FZ381" s="19" t="s">
        <v>8470</v>
      </c>
    </row>
    <row r="382" spans="1:182">
      <c r="A382" s="7" t="s">
        <v>2486</v>
      </c>
      <c r="D382" s="7" t="s">
        <v>8471</v>
      </c>
      <c r="E382" s="7" t="s">
        <v>2487</v>
      </c>
      <c r="F382" s="7" t="s">
        <v>7319</v>
      </c>
      <c r="G382" s="7" t="s">
        <v>8348</v>
      </c>
      <c r="H382" s="7" t="s">
        <v>2336</v>
      </c>
      <c r="I382" s="7" t="s">
        <v>2488</v>
      </c>
      <c r="J382" s="16" t="s">
        <v>8472</v>
      </c>
      <c r="K382" s="7" t="s">
        <v>2488</v>
      </c>
      <c r="L382" s="7" t="s">
        <v>7137</v>
      </c>
      <c r="M382" s="7" t="s">
        <v>7138</v>
      </c>
      <c r="N382" s="7">
        <v>1978</v>
      </c>
      <c r="O382" s="7" t="s">
        <v>7180</v>
      </c>
      <c r="P382" s="7" t="s">
        <v>7140</v>
      </c>
      <c r="Q382" s="7" t="s">
        <v>7182</v>
      </c>
      <c r="R382" s="7" t="s">
        <v>7143</v>
      </c>
      <c r="S382" s="7">
        <v>25</v>
      </c>
      <c r="T382" s="7" t="s">
        <v>7143</v>
      </c>
      <c r="U382" s="7" t="s">
        <v>7143</v>
      </c>
      <c r="Y382" s="2">
        <v>370</v>
      </c>
      <c r="Z382" s="17">
        <v>1</v>
      </c>
      <c r="AA382" s="2">
        <v>370</v>
      </c>
      <c r="AB382" s="2">
        <v>370</v>
      </c>
      <c r="AC382" s="7">
        <v>230</v>
      </c>
      <c r="AD382" s="2">
        <v>300</v>
      </c>
      <c r="AE382" s="2">
        <v>70</v>
      </c>
      <c r="AF382" s="2" t="s">
        <v>7143</v>
      </c>
      <c r="AG382" s="2" t="s">
        <v>7142</v>
      </c>
      <c r="AH382" s="2" t="s">
        <v>7143</v>
      </c>
      <c r="AJ382" s="2" t="s">
        <v>7143</v>
      </c>
      <c r="AK382" s="2" t="s">
        <v>7143</v>
      </c>
      <c r="AL382" s="2" t="s">
        <v>7143</v>
      </c>
      <c r="AM382" s="2" t="s">
        <v>7143</v>
      </c>
      <c r="AN382" s="2" t="s">
        <v>7143</v>
      </c>
      <c r="AO382" s="2" t="s">
        <v>7143</v>
      </c>
      <c r="AR382" s="7">
        <v>1</v>
      </c>
      <c r="AS382" s="7">
        <v>1</v>
      </c>
      <c r="AT382" s="7">
        <v>3</v>
      </c>
      <c r="AU382" s="2" t="s">
        <v>7193</v>
      </c>
      <c r="AV382" s="2" t="s">
        <v>7193</v>
      </c>
      <c r="AW382" s="2" t="s">
        <v>7143</v>
      </c>
      <c r="AZ382" s="2" t="s">
        <v>7286</v>
      </c>
      <c r="BC382" s="2" t="s">
        <v>7147</v>
      </c>
      <c r="BD382" s="2" t="s">
        <v>7143</v>
      </c>
      <c r="BE382" s="2" t="s">
        <v>7143</v>
      </c>
      <c r="BL382" s="2" t="s">
        <v>7195</v>
      </c>
      <c r="BO382" s="2" t="s">
        <v>7155</v>
      </c>
      <c r="BS382" s="2" t="s">
        <v>7142</v>
      </c>
      <c r="BT382" s="2" t="s">
        <v>7238</v>
      </c>
      <c r="BU382" s="2" t="s">
        <v>429</v>
      </c>
      <c r="BV382" s="2" t="s">
        <v>7352</v>
      </c>
      <c r="BX382" s="2" t="s">
        <v>7143</v>
      </c>
      <c r="BZ382" s="2" t="s">
        <v>7173</v>
      </c>
      <c r="CE382" s="7">
        <v>3</v>
      </c>
      <c r="CF382" s="2">
        <v>300</v>
      </c>
      <c r="CK382" s="2">
        <v>100</v>
      </c>
      <c r="CO382" s="2">
        <v>100</v>
      </c>
      <c r="CR382" s="2" t="s">
        <v>7160</v>
      </c>
      <c r="CT382" s="2" t="s">
        <v>7143</v>
      </c>
      <c r="CU382" s="2" t="s">
        <v>7161</v>
      </c>
      <c r="CW382" s="2" t="s">
        <v>7162</v>
      </c>
      <c r="CY382" s="2" t="s">
        <v>7250</v>
      </c>
      <c r="CZ382" s="2" t="s">
        <v>7250</v>
      </c>
      <c r="DA382" s="2" t="s">
        <v>7250</v>
      </c>
      <c r="DB382" s="2" t="s">
        <v>7250</v>
      </c>
      <c r="DC382" s="2" t="s">
        <v>7321</v>
      </c>
      <c r="DD382" s="2" t="s">
        <v>7321</v>
      </c>
      <c r="DE382" s="2" t="s">
        <v>7250</v>
      </c>
      <c r="DF382" s="2" t="s">
        <v>7250</v>
      </c>
      <c r="DG382" s="2" t="s">
        <v>7250</v>
      </c>
      <c r="DH382" s="2" t="s">
        <v>7321</v>
      </c>
      <c r="DI382" s="2" t="s">
        <v>7321</v>
      </c>
      <c r="DL382" s="2" t="s">
        <v>7142</v>
      </c>
      <c r="DM382" s="2" t="s">
        <v>7143</v>
      </c>
      <c r="DP382" s="2" t="s">
        <v>7173</v>
      </c>
      <c r="DT382" s="2" t="s">
        <v>7159</v>
      </c>
      <c r="DU382" s="2" t="s">
        <v>7159</v>
      </c>
      <c r="DV382" s="2" t="s">
        <v>7159</v>
      </c>
      <c r="DW382" s="2" t="s">
        <v>7159</v>
      </c>
      <c r="DX382" s="2" t="s">
        <v>7159</v>
      </c>
      <c r="DY382" s="2" t="s">
        <v>7159</v>
      </c>
      <c r="DZ382" s="2" t="s">
        <v>7159</v>
      </c>
      <c r="EA382" s="2" t="s">
        <v>7159</v>
      </c>
      <c r="EB382" s="2" t="s">
        <v>7159</v>
      </c>
      <c r="EC382" s="2" t="s">
        <v>7159</v>
      </c>
      <c r="EF382" s="2" t="s">
        <v>7252</v>
      </c>
      <c r="EG382" s="2" t="s">
        <v>2489</v>
      </c>
      <c r="EJ382" s="2" t="s">
        <v>7193</v>
      </c>
      <c r="EK382" s="2" t="s">
        <v>7143</v>
      </c>
      <c r="EL382" s="2" t="s">
        <v>7143</v>
      </c>
      <c r="EN382" s="2" t="s">
        <v>7170</v>
      </c>
      <c r="EP382" s="2" t="s">
        <v>7186</v>
      </c>
      <c r="ER382" s="2" t="s">
        <v>7143</v>
      </c>
      <c r="ET382" s="2" t="s">
        <v>7143</v>
      </c>
      <c r="EV382" s="2" t="s">
        <v>7143</v>
      </c>
      <c r="EX382" s="2" t="s">
        <v>7143</v>
      </c>
      <c r="EZ382" s="2" t="s">
        <v>7143</v>
      </c>
      <c r="FC382" s="2" t="s">
        <v>7218</v>
      </c>
      <c r="FD382" s="2" t="s">
        <v>7143</v>
      </c>
      <c r="FH382" s="2" t="s">
        <v>7173</v>
      </c>
      <c r="FJ382" s="2" t="s">
        <v>7143</v>
      </c>
      <c r="FK382" s="2" t="s">
        <v>7173</v>
      </c>
      <c r="FR382" s="2" t="s">
        <v>433</v>
      </c>
      <c r="FT382" s="2" t="s">
        <v>7345</v>
      </c>
      <c r="FV382" s="2" t="s">
        <v>7176</v>
      </c>
      <c r="FW382" s="2" t="s">
        <v>7189</v>
      </c>
      <c r="FZ382" s="19" t="s">
        <v>8473</v>
      </c>
    </row>
    <row r="383" spans="1:182">
      <c r="A383" s="7" t="s">
        <v>2490</v>
      </c>
      <c r="D383" s="7" t="s">
        <v>8474</v>
      </c>
      <c r="E383" s="7" t="s">
        <v>2491</v>
      </c>
      <c r="F383" s="7" t="s">
        <v>7311</v>
      </c>
      <c r="G383" s="7" t="s">
        <v>8348</v>
      </c>
      <c r="H383" s="7" t="s">
        <v>2308</v>
      </c>
      <c r="I383" s="7" t="s">
        <v>2492</v>
      </c>
      <c r="J383" s="16" t="s">
        <v>8475</v>
      </c>
      <c r="K383" s="7" t="s">
        <v>2493</v>
      </c>
      <c r="L383" s="7" t="s">
        <v>7471</v>
      </c>
      <c r="M383" s="7" t="s">
        <v>7179</v>
      </c>
      <c r="N383" s="7">
        <v>1988</v>
      </c>
      <c r="O383" s="7" t="s">
        <v>7180</v>
      </c>
      <c r="P383" s="7" t="s">
        <v>7181</v>
      </c>
      <c r="Q383" s="7" t="s">
        <v>7225</v>
      </c>
      <c r="R383" s="7" t="s">
        <v>7143</v>
      </c>
      <c r="S383" s="7">
        <v>25</v>
      </c>
      <c r="T383" s="7" t="s">
        <v>7143</v>
      </c>
      <c r="U383" s="7" t="s">
        <v>7143</v>
      </c>
      <c r="Y383" s="2">
        <v>180</v>
      </c>
      <c r="Z383" s="17">
        <v>1</v>
      </c>
      <c r="AA383" s="2">
        <v>180</v>
      </c>
      <c r="AB383" s="2">
        <v>180</v>
      </c>
      <c r="AC383" s="7">
        <v>180</v>
      </c>
      <c r="AD383" s="2">
        <v>230</v>
      </c>
      <c r="AE383" s="2">
        <v>50</v>
      </c>
      <c r="AF383" s="2" t="s">
        <v>7143</v>
      </c>
      <c r="AG383" s="2" t="s">
        <v>7143</v>
      </c>
      <c r="AH383" s="2" t="s">
        <v>7143</v>
      </c>
      <c r="AJ383" s="2" t="s">
        <v>7143</v>
      </c>
      <c r="AK383" s="2" t="s">
        <v>7143</v>
      </c>
      <c r="AL383" s="2" t="s">
        <v>7143</v>
      </c>
      <c r="AM383" s="2" t="s">
        <v>7143</v>
      </c>
      <c r="AN383" s="2" t="s">
        <v>7143</v>
      </c>
      <c r="AO383" s="2" t="s">
        <v>7143</v>
      </c>
      <c r="AR383" s="7">
        <v>0.7</v>
      </c>
      <c r="AS383" s="7">
        <v>1</v>
      </c>
      <c r="AT383" s="7">
        <v>2.4</v>
      </c>
      <c r="AU383" s="2" t="s">
        <v>7193</v>
      </c>
      <c r="AV383" s="2" t="s">
        <v>7193</v>
      </c>
      <c r="AW383" s="2" t="s">
        <v>7143</v>
      </c>
      <c r="AZ383" s="2" t="s">
        <v>7145</v>
      </c>
      <c r="BB383" s="2" t="s">
        <v>7214</v>
      </c>
      <c r="BC383" s="2" t="s">
        <v>7247</v>
      </c>
      <c r="BD383" s="2" t="s">
        <v>7142</v>
      </c>
      <c r="BE383" s="2" t="s">
        <v>7142</v>
      </c>
      <c r="BF383" s="2" t="s">
        <v>7148</v>
      </c>
      <c r="BG383" s="2" t="s">
        <v>7149</v>
      </c>
      <c r="BH383" s="2" t="s">
        <v>7233</v>
      </c>
      <c r="BI383" s="2" t="s">
        <v>7151</v>
      </c>
      <c r="BL383" s="2" t="s">
        <v>7152</v>
      </c>
      <c r="BM383" s="2" t="s">
        <v>7153</v>
      </c>
      <c r="BN383" s="2" t="s">
        <v>7154</v>
      </c>
      <c r="BO383" s="2" t="s">
        <v>7155</v>
      </c>
      <c r="BQ383" s="2" t="s">
        <v>7156</v>
      </c>
      <c r="BS383" s="2" t="s">
        <v>7142</v>
      </c>
      <c r="BT383" s="2" t="s">
        <v>7215</v>
      </c>
      <c r="BV383" s="2" t="s">
        <v>7202</v>
      </c>
      <c r="BX383" s="2" t="s">
        <v>7143</v>
      </c>
      <c r="BY383" s="2" t="s">
        <v>696</v>
      </c>
      <c r="BZ383" s="2" t="s">
        <v>7159</v>
      </c>
      <c r="CE383" s="7">
        <v>2.4</v>
      </c>
      <c r="CF383" s="2">
        <v>230</v>
      </c>
      <c r="CK383" s="2">
        <v>100</v>
      </c>
      <c r="CP383" s="2">
        <v>100</v>
      </c>
      <c r="CR383" s="2" t="s">
        <v>7160</v>
      </c>
      <c r="CT383" s="2" t="s">
        <v>7143</v>
      </c>
      <c r="CU383" s="2" t="s">
        <v>7161</v>
      </c>
      <c r="CW383" s="2" t="s">
        <v>7162</v>
      </c>
      <c r="CY383" s="2" t="s">
        <v>7250</v>
      </c>
      <c r="CZ383" s="2" t="s">
        <v>7250</v>
      </c>
      <c r="DA383" s="2" t="s">
        <v>7250</v>
      </c>
      <c r="DB383" s="2" t="s">
        <v>7250</v>
      </c>
      <c r="DC383" s="2" t="s">
        <v>7250</v>
      </c>
      <c r="DD383" s="2" t="s">
        <v>7250</v>
      </c>
      <c r="DE383" s="2" t="s">
        <v>7250</v>
      </c>
      <c r="DF383" s="2" t="s">
        <v>7250</v>
      </c>
      <c r="DG383" s="2" t="s">
        <v>7250</v>
      </c>
      <c r="DH383" s="2" t="s">
        <v>7250</v>
      </c>
      <c r="DI383" s="2" t="s">
        <v>7250</v>
      </c>
      <c r="DL383" s="2" t="s">
        <v>7143</v>
      </c>
      <c r="DM383" s="2" t="s">
        <v>7143</v>
      </c>
      <c r="DP383" s="2" t="s">
        <v>7159</v>
      </c>
      <c r="DT383" s="2" t="s">
        <v>7159</v>
      </c>
      <c r="DU383" s="2" t="s">
        <v>7159</v>
      </c>
      <c r="DV383" s="2" t="s">
        <v>7159</v>
      </c>
      <c r="DW383" s="2" t="s">
        <v>7159</v>
      </c>
      <c r="DX383" s="2" t="s">
        <v>7159</v>
      </c>
      <c r="DY383" s="2" t="s">
        <v>7159</v>
      </c>
      <c r="DZ383" s="2" t="s">
        <v>7159</v>
      </c>
      <c r="EA383" s="2" t="s">
        <v>7159</v>
      </c>
      <c r="EB383" s="2" t="s">
        <v>7159</v>
      </c>
      <c r="EC383" s="2" t="s">
        <v>7159</v>
      </c>
      <c r="ED383" s="2" t="s">
        <v>7159</v>
      </c>
      <c r="EF383" s="2" t="s">
        <v>7252</v>
      </c>
      <c r="EG383" s="2" t="s">
        <v>2494</v>
      </c>
      <c r="EJ383" s="2" t="s">
        <v>7193</v>
      </c>
      <c r="EK383" s="2" t="s">
        <v>7143</v>
      </c>
      <c r="EL383" s="2" t="s">
        <v>7143</v>
      </c>
      <c r="EN383" s="2" t="s">
        <v>7392</v>
      </c>
      <c r="EP383" s="2" t="s">
        <v>7186</v>
      </c>
      <c r="ER383" s="2" t="s">
        <v>7143</v>
      </c>
      <c r="ET383" s="2" t="s">
        <v>7143</v>
      </c>
      <c r="EV383" s="2" t="s">
        <v>7143</v>
      </c>
      <c r="EX383" s="2" t="s">
        <v>7143</v>
      </c>
      <c r="EZ383" s="2" t="s">
        <v>7143</v>
      </c>
      <c r="FC383" s="2" t="s">
        <v>7172</v>
      </c>
      <c r="FD383" s="2" t="s">
        <v>7143</v>
      </c>
      <c r="FH383" s="2" t="s">
        <v>7173</v>
      </c>
      <c r="FJ383" s="2" t="s">
        <v>7143</v>
      </c>
      <c r="FK383" s="2" t="s">
        <v>7159</v>
      </c>
      <c r="FN383" s="2" t="s">
        <v>7322</v>
      </c>
      <c r="FR383" s="2" t="s">
        <v>2495</v>
      </c>
      <c r="FT383" s="2" t="s">
        <v>7189</v>
      </c>
      <c r="FU383" s="2" t="s">
        <v>7189</v>
      </c>
      <c r="FV383" s="2" t="s">
        <v>7176</v>
      </c>
      <c r="FW383" s="2" t="s">
        <v>7176</v>
      </c>
      <c r="FX383" s="2" t="s">
        <v>7176</v>
      </c>
      <c r="FY383" s="2" t="s">
        <v>2496</v>
      </c>
      <c r="FZ383" s="19" t="s">
        <v>8476</v>
      </c>
    </row>
    <row r="384" spans="1:182">
      <c r="A384" s="7" t="s">
        <v>2497</v>
      </c>
      <c r="D384" s="7" t="s">
        <v>8477</v>
      </c>
      <c r="E384" s="7" t="s">
        <v>2498</v>
      </c>
      <c r="F384" s="7" t="s">
        <v>7319</v>
      </c>
      <c r="G384" s="7" t="s">
        <v>8348</v>
      </c>
      <c r="H384" s="7" t="s">
        <v>2371</v>
      </c>
      <c r="I384" s="7" t="s">
        <v>1933</v>
      </c>
      <c r="J384" s="16" t="s">
        <v>8478</v>
      </c>
      <c r="K384" s="7" t="s">
        <v>2499</v>
      </c>
      <c r="L384" s="7" t="s">
        <v>7137</v>
      </c>
      <c r="M384" s="7" t="s">
        <v>7179</v>
      </c>
      <c r="N384" s="7">
        <v>1974</v>
      </c>
      <c r="O384" s="7" t="s">
        <v>7180</v>
      </c>
      <c r="P384" s="7" t="s">
        <v>7181</v>
      </c>
      <c r="Q384" s="7" t="s">
        <v>7182</v>
      </c>
      <c r="R384" s="7" t="s">
        <v>7143</v>
      </c>
      <c r="S384" s="7">
        <v>20</v>
      </c>
      <c r="T384" s="7" t="s">
        <v>7143</v>
      </c>
      <c r="U384" s="7" t="s">
        <v>7142</v>
      </c>
      <c r="Y384" s="2">
        <v>330</v>
      </c>
      <c r="Z384" s="17">
        <v>0.95450000000000002</v>
      </c>
      <c r="AA384" s="2">
        <v>315</v>
      </c>
      <c r="AB384" s="2">
        <v>315</v>
      </c>
      <c r="AC384" s="7">
        <v>315</v>
      </c>
      <c r="AD384" s="2">
        <v>400</v>
      </c>
      <c r="AE384" s="2">
        <v>85</v>
      </c>
      <c r="AF384" s="2" t="s">
        <v>7143</v>
      </c>
      <c r="AG384" s="2" t="s">
        <v>7143</v>
      </c>
      <c r="AH384" s="2" t="s">
        <v>7143</v>
      </c>
      <c r="AJ384" s="2" t="s">
        <v>7143</v>
      </c>
      <c r="AK384" s="2" t="s">
        <v>7143</v>
      </c>
      <c r="AL384" s="2" t="s">
        <v>7143</v>
      </c>
      <c r="AM384" s="2" t="s">
        <v>7142</v>
      </c>
      <c r="AN384" s="2" t="s">
        <v>7143</v>
      </c>
      <c r="AO384" s="2" t="s">
        <v>7143</v>
      </c>
      <c r="AR384" s="7">
        <v>1.2</v>
      </c>
      <c r="AS384" s="7">
        <v>1</v>
      </c>
      <c r="AT384" s="7">
        <v>4</v>
      </c>
      <c r="AU384" s="2" t="s">
        <v>7193</v>
      </c>
      <c r="AV384" s="2" t="s">
        <v>7193</v>
      </c>
      <c r="AW384" s="2" t="s">
        <v>7143</v>
      </c>
      <c r="AZ384" s="2" t="s">
        <v>7145</v>
      </c>
      <c r="BB384" s="2" t="s">
        <v>7214</v>
      </c>
      <c r="BC384" s="2" t="s">
        <v>7247</v>
      </c>
      <c r="BD384" s="2" t="s">
        <v>7142</v>
      </c>
      <c r="BE384" s="2" t="s">
        <v>7142</v>
      </c>
      <c r="BF384" s="2" t="s">
        <v>7148</v>
      </c>
      <c r="BG384" s="2" t="s">
        <v>7149</v>
      </c>
      <c r="BH384" s="2" t="s">
        <v>7150</v>
      </c>
      <c r="BI384" s="2" t="s">
        <v>7151</v>
      </c>
      <c r="BL384" s="2" t="s">
        <v>7152</v>
      </c>
      <c r="BM384" s="2" t="s">
        <v>7153</v>
      </c>
      <c r="BN384" s="2" t="s">
        <v>7154</v>
      </c>
      <c r="BO384" s="2" t="s">
        <v>7155</v>
      </c>
      <c r="BS384" s="2" t="s">
        <v>7142</v>
      </c>
      <c r="BT384" s="2" t="s">
        <v>7238</v>
      </c>
      <c r="BU384" s="2" t="s">
        <v>429</v>
      </c>
      <c r="BV384" s="2" t="s">
        <v>7202</v>
      </c>
      <c r="BX384" s="2" t="s">
        <v>7143</v>
      </c>
      <c r="BZ384" s="2" t="s">
        <v>7173</v>
      </c>
      <c r="CE384" s="7">
        <v>4</v>
      </c>
      <c r="CF384" s="2">
        <v>400</v>
      </c>
      <c r="CK384" s="2">
        <v>100</v>
      </c>
      <c r="CO384" s="2">
        <v>100</v>
      </c>
      <c r="CR384" s="2" t="s">
        <v>7160</v>
      </c>
      <c r="CT384" s="2" t="s">
        <v>7143</v>
      </c>
      <c r="CU384" s="2" t="s">
        <v>7161</v>
      </c>
      <c r="CW384" s="2" t="s">
        <v>7162</v>
      </c>
      <c r="CY384" s="2" t="s">
        <v>7250</v>
      </c>
      <c r="CZ384" s="2" t="s">
        <v>7250</v>
      </c>
      <c r="DA384" s="2" t="s">
        <v>7250</v>
      </c>
      <c r="DB384" s="2" t="s">
        <v>7321</v>
      </c>
      <c r="DC384" s="2" t="s">
        <v>7321</v>
      </c>
      <c r="DD384" s="2" t="s">
        <v>7321</v>
      </c>
      <c r="DE384" s="2" t="s">
        <v>7250</v>
      </c>
      <c r="DF384" s="2" t="s">
        <v>7250</v>
      </c>
      <c r="DG384" s="2" t="s">
        <v>7250</v>
      </c>
      <c r="DH384" s="2" t="s">
        <v>7250</v>
      </c>
      <c r="DI384" s="2" t="s">
        <v>7250</v>
      </c>
      <c r="DL384" s="2" t="s">
        <v>7142</v>
      </c>
      <c r="DM384" s="2" t="s">
        <v>7143</v>
      </c>
      <c r="DP384" s="2" t="s">
        <v>7159</v>
      </c>
      <c r="DT384" s="2" t="s">
        <v>7159</v>
      </c>
      <c r="DU384" s="2" t="s">
        <v>7159</v>
      </c>
      <c r="DV384" s="2" t="s">
        <v>7159</v>
      </c>
      <c r="DW384" s="2" t="s">
        <v>7159</v>
      </c>
      <c r="DX384" s="2" t="s">
        <v>7159</v>
      </c>
      <c r="DY384" s="2" t="s">
        <v>7159</v>
      </c>
      <c r="DZ384" s="2" t="s">
        <v>7159</v>
      </c>
      <c r="EA384" s="2" t="s">
        <v>7159</v>
      </c>
      <c r="EB384" s="2" t="s">
        <v>7159</v>
      </c>
      <c r="EC384" s="2" t="s">
        <v>7159</v>
      </c>
      <c r="EF384" s="2" t="s">
        <v>7252</v>
      </c>
      <c r="EG384" s="2" t="s">
        <v>2500</v>
      </c>
      <c r="EJ384" s="2" t="s">
        <v>7217</v>
      </c>
      <c r="EK384" s="2" t="s">
        <v>7143</v>
      </c>
      <c r="EL384" s="2" t="s">
        <v>7143</v>
      </c>
      <c r="EN384" s="2" t="s">
        <v>7210</v>
      </c>
      <c r="EP384" s="2" t="s">
        <v>7186</v>
      </c>
      <c r="ER384" s="2" t="s">
        <v>7143</v>
      </c>
      <c r="ET384" s="2" t="s">
        <v>7143</v>
      </c>
      <c r="EV384" s="2" t="s">
        <v>7143</v>
      </c>
      <c r="EX384" s="2" t="s">
        <v>7143</v>
      </c>
      <c r="EZ384" s="2" t="s">
        <v>7143</v>
      </c>
      <c r="FC384" s="2" t="s">
        <v>7218</v>
      </c>
      <c r="FD384" s="2" t="s">
        <v>7143</v>
      </c>
      <c r="FH384" s="2" t="s">
        <v>7173</v>
      </c>
      <c r="FJ384" s="2" t="s">
        <v>7143</v>
      </c>
      <c r="FK384" s="2" t="s">
        <v>7173</v>
      </c>
      <c r="FR384" s="2" t="s">
        <v>433</v>
      </c>
      <c r="FT384" s="2" t="s">
        <v>7345</v>
      </c>
      <c r="FV384" s="2" t="s">
        <v>7176</v>
      </c>
      <c r="FW384" s="2" t="s">
        <v>7189</v>
      </c>
      <c r="FZ384" s="19" t="s">
        <v>8479</v>
      </c>
    </row>
    <row r="385" spans="1:182">
      <c r="A385" s="7" t="s">
        <v>2501</v>
      </c>
      <c r="D385" s="7" t="s">
        <v>8480</v>
      </c>
      <c r="E385" s="7" t="s">
        <v>177</v>
      </c>
      <c r="F385" s="7" t="s">
        <v>7245</v>
      </c>
      <c r="G385" s="7" t="s">
        <v>8348</v>
      </c>
      <c r="H385" s="7" t="s">
        <v>2314</v>
      </c>
      <c r="I385" s="7" t="s">
        <v>2502</v>
      </c>
      <c r="J385" s="16" t="s">
        <v>8481</v>
      </c>
      <c r="K385" s="7" t="s">
        <v>2502</v>
      </c>
      <c r="L385" s="7" t="s">
        <v>7281</v>
      </c>
      <c r="M385" s="7" t="s">
        <v>7138</v>
      </c>
      <c r="N385" s="7">
        <v>1972</v>
      </c>
      <c r="O385" s="7" t="s">
        <v>7180</v>
      </c>
      <c r="P385" s="7" t="s">
        <v>7140</v>
      </c>
      <c r="Q385" s="7" t="s">
        <v>7141</v>
      </c>
      <c r="R385" s="7" t="s">
        <v>7143</v>
      </c>
      <c r="S385" s="7">
        <v>2013</v>
      </c>
      <c r="T385" s="2" t="s">
        <v>7143</v>
      </c>
      <c r="U385" s="2" t="s">
        <v>7143</v>
      </c>
      <c r="Y385" s="2">
        <v>1800</v>
      </c>
      <c r="Z385" s="17">
        <v>0.94440000000000002</v>
      </c>
      <c r="AA385" s="2">
        <v>1700</v>
      </c>
      <c r="AB385" s="2">
        <v>1600</v>
      </c>
      <c r="AC385" s="7">
        <v>1150</v>
      </c>
      <c r="AD385" s="2">
        <v>1300</v>
      </c>
      <c r="AE385" s="2">
        <v>150</v>
      </c>
      <c r="AF385" s="2" t="s">
        <v>7143</v>
      </c>
      <c r="AG385" s="2" t="s">
        <v>7142</v>
      </c>
      <c r="AH385" s="2" t="s">
        <v>7142</v>
      </c>
      <c r="AI385" s="2" t="s">
        <v>2503</v>
      </c>
      <c r="AJ385" s="2" t="s">
        <v>7143</v>
      </c>
      <c r="AK385" s="2" t="s">
        <v>7143</v>
      </c>
      <c r="AL385" s="2" t="s">
        <v>7143</v>
      </c>
      <c r="AM385" s="2" t="s">
        <v>7143</v>
      </c>
      <c r="AN385" s="2" t="s">
        <v>7143</v>
      </c>
      <c r="AO385" s="2" t="s">
        <v>7143</v>
      </c>
      <c r="AR385" s="7">
        <v>3.5</v>
      </c>
      <c r="AS385" s="7">
        <v>2</v>
      </c>
      <c r="AT385" s="7">
        <v>13</v>
      </c>
      <c r="AU385" s="2" t="s">
        <v>7144</v>
      </c>
      <c r="AV385" s="2" t="s">
        <v>7144</v>
      </c>
      <c r="AW385" s="2" t="s">
        <v>7143</v>
      </c>
      <c r="AZ385" s="2" t="s">
        <v>7145</v>
      </c>
      <c r="BB385" s="2" t="s">
        <v>7214</v>
      </c>
      <c r="BC385" s="2" t="s">
        <v>7208</v>
      </c>
      <c r="BD385" s="2" t="s">
        <v>7142</v>
      </c>
      <c r="BE385" s="2" t="s">
        <v>7142</v>
      </c>
      <c r="BF385" s="2" t="s">
        <v>7148</v>
      </c>
      <c r="BG385" s="2" t="s">
        <v>7149</v>
      </c>
      <c r="BH385" s="2" t="s">
        <v>7248</v>
      </c>
      <c r="BI385" s="2" t="s">
        <v>7151</v>
      </c>
      <c r="BL385" s="2" t="s">
        <v>7152</v>
      </c>
      <c r="BM385" s="2" t="s">
        <v>7153</v>
      </c>
      <c r="BN385" s="2" t="s">
        <v>7154</v>
      </c>
      <c r="BO385" s="2" t="s">
        <v>7155</v>
      </c>
      <c r="BQ385" s="2" t="s">
        <v>7256</v>
      </c>
      <c r="BS385" s="2" t="s">
        <v>7142</v>
      </c>
      <c r="BT385" s="2" t="s">
        <v>7362</v>
      </c>
      <c r="BV385" s="2" t="s">
        <v>7304</v>
      </c>
      <c r="BX385" s="2" t="s">
        <v>7142</v>
      </c>
      <c r="BY385" s="2" t="s">
        <v>310</v>
      </c>
      <c r="BZ385" s="2" t="s">
        <v>7173</v>
      </c>
      <c r="CE385" s="7">
        <v>13</v>
      </c>
      <c r="CF385" s="2">
        <v>1300</v>
      </c>
      <c r="CK385" s="2">
        <v>100</v>
      </c>
      <c r="CO385" s="2">
        <v>100</v>
      </c>
      <c r="CR385" s="2" t="s">
        <v>7160</v>
      </c>
      <c r="CT385" s="2" t="s">
        <v>7143</v>
      </c>
      <c r="CU385" s="2" t="s">
        <v>7161</v>
      </c>
      <c r="CW385" s="2" t="s">
        <v>7162</v>
      </c>
      <c r="CY385" s="2" t="s">
        <v>7163</v>
      </c>
      <c r="CZ385" s="2" t="s">
        <v>7249</v>
      </c>
      <c r="DA385" s="2" t="s">
        <v>7249</v>
      </c>
      <c r="DB385" s="2" t="s">
        <v>7251</v>
      </c>
      <c r="DC385" s="2" t="s">
        <v>7164</v>
      </c>
      <c r="DD385" s="2" t="s">
        <v>7251</v>
      </c>
      <c r="DE385" s="2" t="s">
        <v>7164</v>
      </c>
      <c r="DF385" s="2" t="s">
        <v>7164</v>
      </c>
      <c r="DG385" s="2" t="s">
        <v>7164</v>
      </c>
      <c r="DH385" s="2" t="s">
        <v>7164</v>
      </c>
      <c r="DI385" s="2" t="s">
        <v>7164</v>
      </c>
      <c r="DL385" s="2" t="s">
        <v>7142</v>
      </c>
      <c r="DM385" s="2" t="s">
        <v>7143</v>
      </c>
      <c r="DP385" s="2" t="s">
        <v>7159</v>
      </c>
      <c r="DT385" s="2" t="s">
        <v>7165</v>
      </c>
      <c r="DU385" s="2" t="s">
        <v>7165</v>
      </c>
      <c r="DV385" s="2" t="s">
        <v>7165</v>
      </c>
      <c r="DW385" s="2" t="s">
        <v>7165</v>
      </c>
      <c r="DX385" s="2" t="s">
        <v>7165</v>
      </c>
      <c r="DY385" s="2" t="s">
        <v>7165</v>
      </c>
      <c r="DZ385" s="2" t="s">
        <v>7165</v>
      </c>
      <c r="EA385" s="2" t="s">
        <v>7165</v>
      </c>
      <c r="EB385" s="2" t="s">
        <v>7165</v>
      </c>
      <c r="EC385" s="2" t="s">
        <v>7159</v>
      </c>
      <c r="EF385" s="2" t="s">
        <v>7167</v>
      </c>
      <c r="EJ385" s="7" t="s">
        <v>7144</v>
      </c>
      <c r="EK385" s="7" t="s">
        <v>7142</v>
      </c>
      <c r="EL385" s="7" t="s">
        <v>7143</v>
      </c>
      <c r="EN385" s="2" t="s">
        <v>7170</v>
      </c>
      <c r="EP385" s="2" t="s">
        <v>7186</v>
      </c>
      <c r="ER385" s="2" t="s">
        <v>7142</v>
      </c>
      <c r="ET385" s="2" t="s">
        <v>7143</v>
      </c>
      <c r="EV385" s="2" t="s">
        <v>7142</v>
      </c>
      <c r="EW385" s="2" t="s">
        <v>7204</v>
      </c>
      <c r="EX385" s="2" t="s">
        <v>7143</v>
      </c>
      <c r="EZ385" s="2" t="s">
        <v>7143</v>
      </c>
      <c r="FC385" s="2" t="s">
        <v>7172</v>
      </c>
      <c r="FD385" s="2" t="s">
        <v>7143</v>
      </c>
      <c r="FH385" s="2" t="s">
        <v>7173</v>
      </c>
      <c r="FJ385" s="2" t="s">
        <v>7142</v>
      </c>
      <c r="FK385" s="2" t="s">
        <v>7165</v>
      </c>
      <c r="FL385" s="2" t="s">
        <v>7260</v>
      </c>
      <c r="FN385" s="2" t="s">
        <v>7235</v>
      </c>
      <c r="FT385" s="2" t="s">
        <v>7176</v>
      </c>
      <c r="FU385" s="2" t="s">
        <v>7176</v>
      </c>
      <c r="FV385" s="2" t="s">
        <v>7176</v>
      </c>
      <c r="FW385" s="2" t="s">
        <v>7176</v>
      </c>
      <c r="FZ385" s="19" t="s">
        <v>8482</v>
      </c>
    </row>
    <row r="386" spans="1:182">
      <c r="A386" s="7" t="s">
        <v>2504</v>
      </c>
      <c r="D386" s="7" t="s">
        <v>8483</v>
      </c>
      <c r="E386" s="7" t="s">
        <v>177</v>
      </c>
      <c r="F386" s="7" t="s">
        <v>7245</v>
      </c>
      <c r="G386" s="7" t="s">
        <v>8348</v>
      </c>
      <c r="H386" s="7" t="s">
        <v>2505</v>
      </c>
      <c r="I386" s="7" t="s">
        <v>2506</v>
      </c>
      <c r="J386" s="16" t="s">
        <v>8484</v>
      </c>
      <c r="K386" s="7" t="s">
        <v>2506</v>
      </c>
      <c r="L386" s="7" t="s">
        <v>7137</v>
      </c>
      <c r="M386" s="7" t="s">
        <v>7138</v>
      </c>
      <c r="N386" s="7">
        <v>1988</v>
      </c>
      <c r="O386" s="7" t="s">
        <v>7180</v>
      </c>
      <c r="P386" s="7" t="s">
        <v>7140</v>
      </c>
      <c r="Q386" s="7" t="s">
        <v>8308</v>
      </c>
      <c r="R386" s="2" t="s">
        <v>7143</v>
      </c>
      <c r="S386" s="7">
        <v>2012</v>
      </c>
      <c r="T386" s="7" t="s">
        <v>7143</v>
      </c>
      <c r="U386" s="7" t="s">
        <v>7143</v>
      </c>
      <c r="Y386" s="2">
        <v>930</v>
      </c>
      <c r="Z386" s="17">
        <v>1</v>
      </c>
      <c r="AA386" s="2">
        <v>930</v>
      </c>
      <c r="AB386" s="2">
        <v>930</v>
      </c>
      <c r="AC386" s="7">
        <v>680</v>
      </c>
      <c r="AD386" s="2">
        <v>800</v>
      </c>
      <c r="AE386" s="2">
        <v>120</v>
      </c>
      <c r="AF386" s="2" t="s">
        <v>7143</v>
      </c>
      <c r="AG386" s="2" t="s">
        <v>7142</v>
      </c>
      <c r="AH386" s="2" t="s">
        <v>7142</v>
      </c>
      <c r="AI386" s="2" t="s">
        <v>2507</v>
      </c>
      <c r="AJ386" s="2" t="s">
        <v>7143</v>
      </c>
      <c r="AK386" s="2" t="s">
        <v>7143</v>
      </c>
      <c r="AL386" s="2" t="s">
        <v>7143</v>
      </c>
      <c r="AM386" s="2" t="s">
        <v>7142</v>
      </c>
      <c r="AN386" s="2" t="s">
        <v>7143</v>
      </c>
      <c r="AO386" s="2" t="s">
        <v>7143</v>
      </c>
      <c r="AR386" s="7">
        <v>3.5</v>
      </c>
      <c r="AS386" s="7">
        <v>2</v>
      </c>
      <c r="AT386" s="7">
        <v>8</v>
      </c>
      <c r="AU386" s="2" t="s">
        <v>7168</v>
      </c>
      <c r="AV386" s="2" t="s">
        <v>7168</v>
      </c>
      <c r="AW386" s="2" t="s">
        <v>7143</v>
      </c>
      <c r="AZ386" s="2" t="s">
        <v>7145</v>
      </c>
      <c r="BB386" s="2" t="s">
        <v>7214</v>
      </c>
      <c r="BC386" s="2" t="s">
        <v>7208</v>
      </c>
      <c r="BD386" s="2" t="s">
        <v>7142</v>
      </c>
      <c r="BE386" s="2" t="s">
        <v>7142</v>
      </c>
      <c r="BF386" s="2" t="s">
        <v>7148</v>
      </c>
      <c r="BG386" s="2" t="s">
        <v>7149</v>
      </c>
      <c r="BH386" s="2" t="s">
        <v>7150</v>
      </c>
      <c r="BI386" s="2" t="s">
        <v>7151</v>
      </c>
      <c r="BL386" s="2" t="s">
        <v>7152</v>
      </c>
      <c r="BM386" s="2" t="s">
        <v>7153</v>
      </c>
      <c r="BN386" s="2" t="s">
        <v>7154</v>
      </c>
      <c r="BO386" s="2" t="s">
        <v>7155</v>
      </c>
      <c r="BQ386" s="2" t="s">
        <v>7156</v>
      </c>
      <c r="BS386" s="2" t="s">
        <v>7142</v>
      </c>
      <c r="BT386" s="2" t="s">
        <v>7215</v>
      </c>
      <c r="BV386" s="2" t="s">
        <v>8485</v>
      </c>
      <c r="BX386" s="2" t="s">
        <v>7142</v>
      </c>
      <c r="BY386" s="2" t="s">
        <v>310</v>
      </c>
      <c r="BZ386" s="2" t="s">
        <v>7173</v>
      </c>
      <c r="CE386" s="7">
        <v>8</v>
      </c>
      <c r="CF386" s="2">
        <v>790</v>
      </c>
      <c r="CK386" s="2">
        <v>100</v>
      </c>
      <c r="CO386" s="2">
        <v>100</v>
      </c>
      <c r="CR386" s="2" t="s">
        <v>7160</v>
      </c>
      <c r="CT386" s="2" t="s">
        <v>7143</v>
      </c>
      <c r="CU386" s="2" t="s">
        <v>7203</v>
      </c>
      <c r="CW386" s="2" t="s">
        <v>7162</v>
      </c>
      <c r="CY386" s="2" t="s">
        <v>7249</v>
      </c>
      <c r="CZ386" s="2" t="s">
        <v>7249</v>
      </c>
      <c r="DA386" s="2" t="s">
        <v>7250</v>
      </c>
      <c r="DB386" s="2" t="s">
        <v>7249</v>
      </c>
      <c r="DC386" s="2" t="s">
        <v>7249</v>
      </c>
      <c r="DD386" s="2" t="s">
        <v>7249</v>
      </c>
      <c r="DE386" s="2" t="s">
        <v>7250</v>
      </c>
      <c r="DF386" s="2" t="s">
        <v>7250</v>
      </c>
      <c r="DG386" s="2" t="s">
        <v>7164</v>
      </c>
      <c r="DH386" s="2" t="s">
        <v>7164</v>
      </c>
      <c r="DI386" s="2" t="s">
        <v>7164</v>
      </c>
      <c r="DL386" s="2" t="s">
        <v>7142</v>
      </c>
      <c r="DM386" s="2" t="s">
        <v>7143</v>
      </c>
      <c r="DP386" s="2" t="s">
        <v>7165</v>
      </c>
      <c r="DQ386" s="2" t="s">
        <v>7166</v>
      </c>
      <c r="DT386" s="2" t="s">
        <v>7165</v>
      </c>
      <c r="DU386" s="2" t="s">
        <v>7165</v>
      </c>
      <c r="DV386" s="2" t="s">
        <v>7165</v>
      </c>
      <c r="DW386" s="2" t="s">
        <v>7165</v>
      </c>
      <c r="DX386" s="2" t="s">
        <v>7165</v>
      </c>
      <c r="DY386" s="2" t="s">
        <v>7165</v>
      </c>
      <c r="DZ386" s="2" t="s">
        <v>7165</v>
      </c>
      <c r="EA386" s="2" t="s">
        <v>7165</v>
      </c>
      <c r="EB386" s="2" t="s">
        <v>7165</v>
      </c>
      <c r="EC386" s="2" t="s">
        <v>7159</v>
      </c>
      <c r="ED386" s="2" t="s">
        <v>7159</v>
      </c>
      <c r="EF386" s="2" t="s">
        <v>7167</v>
      </c>
      <c r="EJ386" s="2" t="s">
        <v>7144</v>
      </c>
      <c r="EK386" s="2" t="s">
        <v>7142</v>
      </c>
      <c r="EL386" s="2" t="s">
        <v>7143</v>
      </c>
      <c r="EN386" s="2" t="s">
        <v>7307</v>
      </c>
      <c r="EP386" s="2" t="s">
        <v>7308</v>
      </c>
      <c r="ER386" s="2" t="s">
        <v>7143</v>
      </c>
      <c r="ET386" s="2" t="s">
        <v>7143</v>
      </c>
      <c r="EV386" s="2" t="s">
        <v>7143</v>
      </c>
      <c r="EX386" s="2" t="s">
        <v>7143</v>
      </c>
      <c r="EZ386" s="2" t="s">
        <v>7143</v>
      </c>
      <c r="FC386" s="2" t="s">
        <v>7172</v>
      </c>
      <c r="FH386" s="2" t="s">
        <v>7173</v>
      </c>
      <c r="FJ386" s="2" t="s">
        <v>7142</v>
      </c>
      <c r="FK386" s="2" t="s">
        <v>7165</v>
      </c>
      <c r="FL386" s="2" t="s">
        <v>7260</v>
      </c>
      <c r="FN386" s="2" t="s">
        <v>7481</v>
      </c>
      <c r="FT386" s="2" t="s">
        <v>7176</v>
      </c>
      <c r="FU386" s="2" t="s">
        <v>7176</v>
      </c>
      <c r="FV386" s="2" t="s">
        <v>7176</v>
      </c>
      <c r="FW386" s="2" t="s">
        <v>7176</v>
      </c>
      <c r="FZ386" s="19" t="s">
        <v>8486</v>
      </c>
    </row>
    <row r="387" spans="1:182">
      <c r="A387" s="7" t="s">
        <v>2509</v>
      </c>
      <c r="D387" s="7" t="s">
        <v>8487</v>
      </c>
      <c r="E387" s="7" t="s">
        <v>177</v>
      </c>
      <c r="F387" s="7" t="s">
        <v>7245</v>
      </c>
      <c r="G387" s="7" t="s">
        <v>8348</v>
      </c>
      <c r="H387" s="7" t="s">
        <v>2314</v>
      </c>
      <c r="I387" s="7" t="s">
        <v>2510</v>
      </c>
      <c r="J387" s="16" t="s">
        <v>8488</v>
      </c>
      <c r="K387" s="7" t="s">
        <v>2510</v>
      </c>
      <c r="L387" s="7" t="s">
        <v>7137</v>
      </c>
      <c r="M387" s="7" t="s">
        <v>7138</v>
      </c>
      <c r="N387" s="7">
        <v>1986</v>
      </c>
      <c r="O387" s="7" t="s">
        <v>7180</v>
      </c>
      <c r="P387" s="7" t="s">
        <v>7140</v>
      </c>
      <c r="Q387" s="7" t="s">
        <v>8308</v>
      </c>
      <c r="R387" s="2" t="s">
        <v>7143</v>
      </c>
      <c r="S387" s="7">
        <v>2012</v>
      </c>
      <c r="T387" s="7" t="s">
        <v>7143</v>
      </c>
      <c r="U387" s="7" t="s">
        <v>7143</v>
      </c>
      <c r="Y387" s="2">
        <v>1100</v>
      </c>
      <c r="Z387" s="17">
        <v>1</v>
      </c>
      <c r="AA387" s="2">
        <v>1100</v>
      </c>
      <c r="AB387" s="2">
        <v>1020</v>
      </c>
      <c r="AC387" s="7">
        <v>620</v>
      </c>
      <c r="AD387" s="2">
        <v>700</v>
      </c>
      <c r="AE387" s="2">
        <v>80</v>
      </c>
      <c r="AF387" s="2" t="s">
        <v>7143</v>
      </c>
      <c r="AG387" s="2" t="s">
        <v>7142</v>
      </c>
      <c r="AH387" s="2" t="s">
        <v>7142</v>
      </c>
      <c r="AI387" s="2" t="s">
        <v>2511</v>
      </c>
      <c r="AJ387" s="2" t="s">
        <v>7143</v>
      </c>
      <c r="AK387" s="2" t="s">
        <v>7143</v>
      </c>
      <c r="AL387" s="2" t="s">
        <v>7143</v>
      </c>
      <c r="AM387" s="2" t="s">
        <v>7142</v>
      </c>
      <c r="AN387" s="2" t="s">
        <v>7143</v>
      </c>
      <c r="AO387" s="2" t="s">
        <v>7143</v>
      </c>
      <c r="AR387" s="7">
        <v>3</v>
      </c>
      <c r="AS387" s="7">
        <v>2</v>
      </c>
      <c r="AT387" s="7">
        <v>8</v>
      </c>
      <c r="AU387" s="2" t="s">
        <v>7144</v>
      </c>
      <c r="AV387" s="2" t="s">
        <v>7144</v>
      </c>
      <c r="AW387" s="2" t="s">
        <v>7143</v>
      </c>
      <c r="AZ387" s="2" t="s">
        <v>7145</v>
      </c>
      <c r="BB387" s="2" t="s">
        <v>7214</v>
      </c>
      <c r="BC387" s="2" t="s">
        <v>7208</v>
      </c>
      <c r="BD387" s="2" t="s">
        <v>7142</v>
      </c>
      <c r="BE387" s="2" t="s">
        <v>7142</v>
      </c>
      <c r="BF387" s="2" t="s">
        <v>7148</v>
      </c>
      <c r="BG387" s="2" t="s">
        <v>7149</v>
      </c>
      <c r="BH387" s="2" t="s">
        <v>7150</v>
      </c>
      <c r="BI387" s="2" t="s">
        <v>7151</v>
      </c>
      <c r="BL387" s="2" t="s">
        <v>7152</v>
      </c>
      <c r="BM387" s="2" t="s">
        <v>7153</v>
      </c>
      <c r="BN387" s="2" t="s">
        <v>7154</v>
      </c>
      <c r="BO387" s="2" t="s">
        <v>7155</v>
      </c>
      <c r="BQ387" s="2" t="s">
        <v>7156</v>
      </c>
      <c r="BS387" s="2" t="s">
        <v>7142</v>
      </c>
      <c r="BT387" s="2" t="s">
        <v>7215</v>
      </c>
      <c r="BV387" s="2" t="s">
        <v>7348</v>
      </c>
      <c r="BX387" s="2" t="s">
        <v>7142</v>
      </c>
      <c r="BY387" s="2" t="s">
        <v>310</v>
      </c>
      <c r="BZ387" s="2" t="s">
        <v>7173</v>
      </c>
      <c r="CE387" s="7">
        <v>8</v>
      </c>
      <c r="CF387" s="2">
        <v>780</v>
      </c>
      <c r="CK387" s="2">
        <v>100</v>
      </c>
      <c r="CO387" s="2">
        <v>100</v>
      </c>
      <c r="CR387" s="2" t="s">
        <v>7160</v>
      </c>
      <c r="CT387" s="2" t="s">
        <v>7143</v>
      </c>
      <c r="CU387" s="2" t="s">
        <v>7161</v>
      </c>
      <c r="CW387" s="2" t="s">
        <v>7162</v>
      </c>
      <c r="CY387" s="2" t="s">
        <v>7249</v>
      </c>
      <c r="CZ387" s="2" t="s">
        <v>7249</v>
      </c>
      <c r="DA387" s="2" t="s">
        <v>7249</v>
      </c>
      <c r="DB387" s="2" t="s">
        <v>7250</v>
      </c>
      <c r="DC387" s="2" t="s">
        <v>7164</v>
      </c>
      <c r="DD387" s="2" t="s">
        <v>7251</v>
      </c>
      <c r="DE387" s="2" t="s">
        <v>7164</v>
      </c>
      <c r="DF387" s="2" t="s">
        <v>7250</v>
      </c>
      <c r="DG387" s="2" t="s">
        <v>7164</v>
      </c>
      <c r="DH387" s="2" t="s">
        <v>7164</v>
      </c>
      <c r="DI387" s="2" t="s">
        <v>7164</v>
      </c>
      <c r="DL387" s="2" t="s">
        <v>7142</v>
      </c>
      <c r="DM387" s="2" t="s">
        <v>7143</v>
      </c>
      <c r="DP387" s="2" t="s">
        <v>7159</v>
      </c>
      <c r="DT387" s="2" t="s">
        <v>7165</v>
      </c>
      <c r="DU387" s="2" t="s">
        <v>7165</v>
      </c>
      <c r="DV387" s="2" t="s">
        <v>7165</v>
      </c>
      <c r="DW387" s="2" t="s">
        <v>7165</v>
      </c>
      <c r="DX387" s="2" t="s">
        <v>7165</v>
      </c>
      <c r="DY387" s="2" t="s">
        <v>7165</v>
      </c>
      <c r="DZ387" s="2" t="s">
        <v>7165</v>
      </c>
      <c r="EA387" s="2" t="s">
        <v>7165</v>
      </c>
      <c r="EB387" s="2" t="s">
        <v>7165</v>
      </c>
      <c r="EF387" s="2" t="s">
        <v>7167</v>
      </c>
      <c r="EJ387" s="2" t="s">
        <v>7144</v>
      </c>
      <c r="EK387" s="2" t="s">
        <v>7143</v>
      </c>
      <c r="EL387" s="2" t="s">
        <v>7143</v>
      </c>
      <c r="EN387" s="2" t="s">
        <v>7307</v>
      </c>
      <c r="EP387" s="2" t="s">
        <v>7308</v>
      </c>
      <c r="ER387" s="2" t="s">
        <v>7142</v>
      </c>
      <c r="ET387" s="2" t="s">
        <v>7143</v>
      </c>
      <c r="EV387" s="2" t="s">
        <v>7142</v>
      </c>
      <c r="EW387" s="2" t="s">
        <v>7171</v>
      </c>
      <c r="EX387" s="2" t="s">
        <v>7142</v>
      </c>
      <c r="EY387" s="2" t="s">
        <v>7171</v>
      </c>
      <c r="EZ387" s="2" t="s">
        <v>7143</v>
      </c>
      <c r="FC387" s="2" t="s">
        <v>7172</v>
      </c>
      <c r="FD387" s="2" t="s">
        <v>7143</v>
      </c>
      <c r="FH387" s="2" t="s">
        <v>7173</v>
      </c>
      <c r="FJ387" s="2" t="s">
        <v>7142</v>
      </c>
      <c r="FK387" s="2" t="s">
        <v>7165</v>
      </c>
      <c r="FL387" s="2" t="s">
        <v>7260</v>
      </c>
      <c r="FN387" s="2" t="s">
        <v>7481</v>
      </c>
      <c r="FT387" s="2" t="s">
        <v>7176</v>
      </c>
      <c r="FU387" s="2" t="s">
        <v>7176</v>
      </c>
      <c r="FV387" s="2" t="s">
        <v>7176</v>
      </c>
      <c r="FW387" s="2" t="s">
        <v>7176</v>
      </c>
      <c r="FZ387" s="19" t="s">
        <v>8489</v>
      </c>
    </row>
    <row r="388" spans="1:182">
      <c r="A388" s="7" t="s">
        <v>2512</v>
      </c>
      <c r="D388" s="7" t="s">
        <v>8490</v>
      </c>
      <c r="E388" s="7" t="s">
        <v>2513</v>
      </c>
      <c r="F388" s="7" t="s">
        <v>7311</v>
      </c>
      <c r="G388" s="7" t="s">
        <v>8348</v>
      </c>
      <c r="H388" s="7" t="s">
        <v>2308</v>
      </c>
      <c r="I388" s="7" t="s">
        <v>2514</v>
      </c>
      <c r="J388" s="16" t="s">
        <v>8491</v>
      </c>
      <c r="K388" s="7" t="s">
        <v>2514</v>
      </c>
      <c r="L388" s="7" t="s">
        <v>7137</v>
      </c>
      <c r="M388" s="7" t="s">
        <v>7179</v>
      </c>
      <c r="N388" s="7">
        <v>1956</v>
      </c>
      <c r="O388" s="7" t="s">
        <v>7180</v>
      </c>
      <c r="P388" s="7" t="s">
        <v>7181</v>
      </c>
      <c r="Q388" s="7" t="s">
        <v>7395</v>
      </c>
      <c r="R388" s="7" t="s">
        <v>7143</v>
      </c>
      <c r="S388" s="7">
        <v>6</v>
      </c>
      <c r="T388" s="7" t="s">
        <v>7143</v>
      </c>
      <c r="U388" s="7" t="s">
        <v>7143</v>
      </c>
      <c r="Y388" s="2">
        <v>300</v>
      </c>
      <c r="Z388" s="17">
        <v>1</v>
      </c>
      <c r="AA388" s="2">
        <v>300</v>
      </c>
      <c r="AB388" s="2">
        <v>300</v>
      </c>
      <c r="AC388" s="7">
        <v>300</v>
      </c>
      <c r="AD388" s="2">
        <v>370</v>
      </c>
      <c r="AE388" s="2">
        <v>70</v>
      </c>
      <c r="AF388" s="2" t="s">
        <v>7143</v>
      </c>
      <c r="AG388" s="2" t="s">
        <v>7143</v>
      </c>
      <c r="AH388" s="2" t="s">
        <v>7143</v>
      </c>
      <c r="AJ388" s="2" t="s">
        <v>7143</v>
      </c>
      <c r="AK388" s="2" t="s">
        <v>7143</v>
      </c>
      <c r="AL388" s="2" t="s">
        <v>7143</v>
      </c>
      <c r="AM388" s="2" t="s">
        <v>7143</v>
      </c>
      <c r="AN388" s="2" t="s">
        <v>7143</v>
      </c>
      <c r="AO388" s="2" t="s">
        <v>7143</v>
      </c>
      <c r="AR388" s="7">
        <v>2</v>
      </c>
      <c r="AS388" s="7">
        <v>1</v>
      </c>
      <c r="AT388" s="7">
        <v>4</v>
      </c>
      <c r="AU388" s="2" t="s">
        <v>7144</v>
      </c>
      <c r="AV388" s="2" t="s">
        <v>7144</v>
      </c>
      <c r="AW388" s="2" t="s">
        <v>7143</v>
      </c>
      <c r="BC388" s="2" t="s">
        <v>7147</v>
      </c>
      <c r="BD388" s="2" t="s">
        <v>7143</v>
      </c>
      <c r="BE388" s="2" t="s">
        <v>7143</v>
      </c>
      <c r="BL388" s="2" t="s">
        <v>7195</v>
      </c>
      <c r="BO388" s="2" t="s">
        <v>7155</v>
      </c>
      <c r="BQ388" s="2" t="s">
        <v>7156</v>
      </c>
      <c r="BS388" s="2" t="s">
        <v>7142</v>
      </c>
      <c r="BT388" s="2" t="s">
        <v>7315</v>
      </c>
      <c r="BV388" s="2" t="s">
        <v>7352</v>
      </c>
      <c r="BX388" s="2" t="s">
        <v>7143</v>
      </c>
      <c r="BY388" s="2" t="s">
        <v>459</v>
      </c>
      <c r="BZ388" s="2" t="s">
        <v>7159</v>
      </c>
      <c r="CE388" s="7">
        <v>4</v>
      </c>
      <c r="CF388" s="2">
        <v>370</v>
      </c>
      <c r="CK388" s="2">
        <v>100</v>
      </c>
      <c r="CP388" s="2">
        <v>100</v>
      </c>
      <c r="CR388" s="2" t="s">
        <v>7160</v>
      </c>
      <c r="CT388" s="2" t="s">
        <v>7143</v>
      </c>
      <c r="CU388" s="2" t="s">
        <v>7161</v>
      </c>
      <c r="CW388" s="2" t="s">
        <v>7162</v>
      </c>
      <c r="CY388" s="2" t="s">
        <v>7250</v>
      </c>
      <c r="CZ388" s="2" t="s">
        <v>7250</v>
      </c>
      <c r="DA388" s="2" t="s">
        <v>7250</v>
      </c>
      <c r="DB388" s="2" t="s">
        <v>7250</v>
      </c>
      <c r="DC388" s="2" t="s">
        <v>7250</v>
      </c>
      <c r="DD388" s="2" t="s">
        <v>7250</v>
      </c>
      <c r="DE388" s="2" t="s">
        <v>7250</v>
      </c>
      <c r="DF388" s="2" t="s">
        <v>7250</v>
      </c>
      <c r="DG388" s="2" t="s">
        <v>7250</v>
      </c>
      <c r="DH388" s="2" t="s">
        <v>7250</v>
      </c>
      <c r="DI388" s="2" t="s">
        <v>7250</v>
      </c>
      <c r="DL388" s="2" t="s">
        <v>7143</v>
      </c>
      <c r="DM388" s="2" t="s">
        <v>7143</v>
      </c>
      <c r="DP388" s="2" t="s">
        <v>7159</v>
      </c>
      <c r="DT388" s="2" t="s">
        <v>7159</v>
      </c>
      <c r="DU388" s="2" t="s">
        <v>7159</v>
      </c>
      <c r="DV388" s="2" t="s">
        <v>7159</v>
      </c>
      <c r="DW388" s="2" t="s">
        <v>7159</v>
      </c>
      <c r="DX388" s="2" t="s">
        <v>7159</v>
      </c>
      <c r="DY388" s="2" t="s">
        <v>7159</v>
      </c>
      <c r="DZ388" s="2" t="s">
        <v>7159</v>
      </c>
      <c r="EA388" s="2" t="s">
        <v>7159</v>
      </c>
      <c r="EB388" s="2" t="s">
        <v>7159</v>
      </c>
      <c r="EC388" s="2" t="s">
        <v>7159</v>
      </c>
      <c r="ED388" s="2" t="s">
        <v>7159</v>
      </c>
      <c r="EF388" s="2" t="s">
        <v>7252</v>
      </c>
      <c r="EG388" s="2" t="s">
        <v>2515</v>
      </c>
      <c r="EJ388" s="2" t="s">
        <v>7193</v>
      </c>
      <c r="EK388" s="2" t="s">
        <v>7143</v>
      </c>
      <c r="EL388" s="2" t="s">
        <v>7143</v>
      </c>
      <c r="EN388" s="2" t="s">
        <v>7392</v>
      </c>
      <c r="EP388" s="2" t="s">
        <v>7186</v>
      </c>
      <c r="ER388" s="2" t="s">
        <v>7143</v>
      </c>
      <c r="ET388" s="2" t="s">
        <v>7143</v>
      </c>
      <c r="EV388" s="2" t="s">
        <v>7143</v>
      </c>
      <c r="EX388" s="2" t="s">
        <v>7143</v>
      </c>
      <c r="EZ388" s="2" t="s">
        <v>7143</v>
      </c>
      <c r="FC388" s="2" t="s">
        <v>7172</v>
      </c>
      <c r="FD388" s="2" t="s">
        <v>7143</v>
      </c>
      <c r="FH388" s="2" t="s">
        <v>7173</v>
      </c>
      <c r="FJ388" s="2" t="s">
        <v>7143</v>
      </c>
      <c r="FK388" s="2" t="s">
        <v>7159</v>
      </c>
      <c r="FN388" s="2" t="s">
        <v>7322</v>
      </c>
      <c r="FR388" s="2" t="s">
        <v>2516</v>
      </c>
      <c r="FT388" s="2" t="s">
        <v>7189</v>
      </c>
      <c r="FU388" s="2" t="s">
        <v>7189</v>
      </c>
      <c r="FV388" s="2" t="s">
        <v>7189</v>
      </c>
      <c r="FW388" s="2" t="s">
        <v>7176</v>
      </c>
      <c r="FX388" s="2" t="s">
        <v>7176</v>
      </c>
      <c r="FY388" s="2" t="s">
        <v>2517</v>
      </c>
      <c r="FZ388" s="19" t="s">
        <v>8492</v>
      </c>
    </row>
    <row r="389" spans="1:182">
      <c r="A389" s="7" t="s">
        <v>2518</v>
      </c>
      <c r="D389" s="7" t="s">
        <v>8493</v>
      </c>
      <c r="E389" s="7" t="s">
        <v>2519</v>
      </c>
      <c r="F389" s="7" t="s">
        <v>7389</v>
      </c>
      <c r="G389" s="7" t="s">
        <v>8348</v>
      </c>
      <c r="H389" s="7" t="s">
        <v>2380</v>
      </c>
      <c r="I389" s="7" t="s">
        <v>2520</v>
      </c>
      <c r="J389" s="2" t="s">
        <v>985</v>
      </c>
      <c r="K389" s="7" t="s">
        <v>2520</v>
      </c>
      <c r="L389" s="2" t="s">
        <v>7137</v>
      </c>
      <c r="M389" s="7" t="s">
        <v>7138</v>
      </c>
      <c r="N389" s="7">
        <v>1990</v>
      </c>
      <c r="O389" s="7" t="s">
        <v>7490</v>
      </c>
      <c r="P389" s="2" t="s">
        <v>7140</v>
      </c>
      <c r="Q389" s="2" t="s">
        <v>7141</v>
      </c>
      <c r="R389" s="2" t="s">
        <v>7143</v>
      </c>
      <c r="S389" s="2">
        <v>13</v>
      </c>
      <c r="T389" s="2" t="s">
        <v>7143</v>
      </c>
      <c r="U389" s="2" t="s">
        <v>7143</v>
      </c>
      <c r="Y389" s="2">
        <v>110</v>
      </c>
      <c r="Z389" s="17">
        <v>1</v>
      </c>
      <c r="AA389" s="2">
        <v>110</v>
      </c>
      <c r="AB389" s="2">
        <v>110</v>
      </c>
      <c r="AC389" s="7">
        <v>110</v>
      </c>
      <c r="AD389" s="2">
        <v>180</v>
      </c>
      <c r="AE389" s="2">
        <v>70</v>
      </c>
      <c r="AF389" s="2" t="s">
        <v>7143</v>
      </c>
      <c r="AG389" s="2" t="s">
        <v>7143</v>
      </c>
      <c r="AH389" s="2" t="s">
        <v>7143</v>
      </c>
      <c r="AJ389" s="2" t="s">
        <v>7143</v>
      </c>
      <c r="AK389" s="2" t="s">
        <v>7143</v>
      </c>
      <c r="AL389" s="2" t="s">
        <v>7143</v>
      </c>
      <c r="AM389" s="2" t="s">
        <v>7143</v>
      </c>
      <c r="AN389" s="2" t="s">
        <v>7143</v>
      </c>
      <c r="AO389" s="2" t="s">
        <v>7143</v>
      </c>
      <c r="AR389" s="7">
        <v>1</v>
      </c>
      <c r="AS389" s="7">
        <v>1</v>
      </c>
      <c r="AT389" s="7">
        <v>1.5</v>
      </c>
      <c r="AU389" s="2" t="s">
        <v>7217</v>
      </c>
      <c r="AV389" s="2" t="s">
        <v>7144</v>
      </c>
      <c r="AW389" s="2" t="s">
        <v>7143</v>
      </c>
      <c r="AZ389" s="2" t="s">
        <v>7145</v>
      </c>
      <c r="BB389" s="2" t="s">
        <v>7214</v>
      </c>
      <c r="BC389" s="2" t="s">
        <v>7247</v>
      </c>
      <c r="BD389" s="2" t="s">
        <v>7143</v>
      </c>
      <c r="BE389" s="2" t="s">
        <v>7142</v>
      </c>
      <c r="BF389" s="2" t="s">
        <v>7148</v>
      </c>
      <c r="BG389" s="2" t="s">
        <v>7149</v>
      </c>
      <c r="BH389" s="2" t="s">
        <v>7150</v>
      </c>
      <c r="BI389" s="2" t="s">
        <v>7151</v>
      </c>
      <c r="BL389" s="2" t="s">
        <v>7152</v>
      </c>
      <c r="BM389" s="2" t="s">
        <v>7355</v>
      </c>
      <c r="BN389" s="2" t="s">
        <v>7154</v>
      </c>
      <c r="BO389" s="2" t="s">
        <v>7155</v>
      </c>
      <c r="BQ389" s="2" t="s">
        <v>7183</v>
      </c>
      <c r="BS389" s="2" t="s">
        <v>7142</v>
      </c>
      <c r="BT389" s="2" t="s">
        <v>7391</v>
      </c>
      <c r="BV389" s="2" t="s">
        <v>7197</v>
      </c>
      <c r="BX389" s="2" t="s">
        <v>7143</v>
      </c>
      <c r="BZ389" s="2" t="s">
        <v>7173</v>
      </c>
      <c r="CE389" s="7">
        <v>1.5</v>
      </c>
      <c r="CF389" s="2">
        <v>180</v>
      </c>
      <c r="CK389" s="2">
        <v>100</v>
      </c>
      <c r="CO389" s="2">
        <v>100</v>
      </c>
      <c r="CR389" s="2" t="s">
        <v>7160</v>
      </c>
      <c r="CT389" s="2" t="s">
        <v>7143</v>
      </c>
      <c r="CU389" s="2" t="s">
        <v>7161</v>
      </c>
      <c r="CW389" s="2" t="s">
        <v>7162</v>
      </c>
      <c r="CY389" s="2" t="s">
        <v>7227</v>
      </c>
      <c r="CZ389" s="2" t="s">
        <v>7250</v>
      </c>
      <c r="DA389" s="2" t="s">
        <v>7250</v>
      </c>
      <c r="DB389" s="2" t="s">
        <v>7250</v>
      </c>
      <c r="DC389" s="2" t="s">
        <v>7321</v>
      </c>
      <c r="DD389" s="2" t="s">
        <v>7250</v>
      </c>
      <c r="DE389" s="2" t="s">
        <v>7250</v>
      </c>
      <c r="DF389" s="2" t="s">
        <v>7250</v>
      </c>
      <c r="DG389" s="2" t="s">
        <v>7250</v>
      </c>
      <c r="DH389" s="2" t="s">
        <v>7250</v>
      </c>
      <c r="DI389" s="2" t="s">
        <v>7250</v>
      </c>
      <c r="DL389" s="2" t="s">
        <v>7143</v>
      </c>
      <c r="DM389" s="2" t="s">
        <v>7143</v>
      </c>
      <c r="DP389" s="2" t="s">
        <v>7159</v>
      </c>
      <c r="DT389" s="2" t="s">
        <v>7159</v>
      </c>
      <c r="DU389" s="2" t="s">
        <v>7159</v>
      </c>
      <c r="DV389" s="2" t="s">
        <v>7159</v>
      </c>
      <c r="DW389" s="2" t="s">
        <v>7159</v>
      </c>
      <c r="DX389" s="2" t="s">
        <v>7159</v>
      </c>
      <c r="DY389" s="2" t="s">
        <v>7159</v>
      </c>
      <c r="DZ389" s="2" t="s">
        <v>7159</v>
      </c>
      <c r="EA389" s="2" t="s">
        <v>7159</v>
      </c>
      <c r="EB389" s="2" t="s">
        <v>7159</v>
      </c>
      <c r="EC389" s="2" t="s">
        <v>7159</v>
      </c>
      <c r="EF389" s="2" t="s">
        <v>7221</v>
      </c>
      <c r="EG389" s="2" t="s">
        <v>2521</v>
      </c>
      <c r="EJ389" s="2" t="s">
        <v>7217</v>
      </c>
      <c r="EK389" s="2" t="s">
        <v>7143</v>
      </c>
      <c r="EL389" s="2" t="s">
        <v>7143</v>
      </c>
      <c r="EN389" s="2" t="s">
        <v>7210</v>
      </c>
      <c r="EP389" s="2" t="s">
        <v>7186</v>
      </c>
      <c r="ER389" s="2" t="s">
        <v>7143</v>
      </c>
      <c r="ET389" s="2" t="s">
        <v>7143</v>
      </c>
      <c r="EV389" s="2" t="s">
        <v>7143</v>
      </c>
      <c r="EX389" s="2" t="s">
        <v>7143</v>
      </c>
      <c r="EZ389" s="2" t="s">
        <v>7143</v>
      </c>
      <c r="FC389" s="2" t="s">
        <v>7218</v>
      </c>
      <c r="FD389" s="2" t="s">
        <v>7143</v>
      </c>
      <c r="FH389" s="2" t="s">
        <v>7173</v>
      </c>
      <c r="FJ389" s="2" t="s">
        <v>7143</v>
      </c>
      <c r="FK389" s="2" t="s">
        <v>7173</v>
      </c>
      <c r="FN389" s="2" t="s">
        <v>7322</v>
      </c>
      <c r="FR389" s="2" t="s">
        <v>2522</v>
      </c>
      <c r="FT389" s="2" t="s">
        <v>7176</v>
      </c>
      <c r="FU389" s="2" t="s">
        <v>7189</v>
      </c>
      <c r="FV389" s="2" t="s">
        <v>7176</v>
      </c>
      <c r="FW389" s="2" t="s">
        <v>7176</v>
      </c>
      <c r="FZ389" s="19" t="s">
        <v>8494</v>
      </c>
    </row>
    <row r="390" spans="1:182">
      <c r="A390" s="7" t="s">
        <v>2523</v>
      </c>
      <c r="D390" s="7" t="s">
        <v>8495</v>
      </c>
      <c r="E390" s="7" t="s">
        <v>2524</v>
      </c>
      <c r="F390" s="7" t="s">
        <v>7319</v>
      </c>
      <c r="G390" s="7" t="s">
        <v>8348</v>
      </c>
      <c r="H390" s="7" t="s">
        <v>2371</v>
      </c>
      <c r="I390" s="7" t="s">
        <v>2525</v>
      </c>
      <c r="J390" s="16" t="s">
        <v>8496</v>
      </c>
      <c r="K390" s="7" t="s">
        <v>2525</v>
      </c>
      <c r="L390" s="7" t="s">
        <v>7137</v>
      </c>
      <c r="M390" s="7" t="s">
        <v>7138</v>
      </c>
      <c r="N390" s="7">
        <v>1962</v>
      </c>
      <c r="O390" s="7" t="s">
        <v>7180</v>
      </c>
      <c r="P390" s="7" t="s">
        <v>7140</v>
      </c>
      <c r="Q390" s="7" t="s">
        <v>7141</v>
      </c>
      <c r="R390" s="7" t="s">
        <v>7143</v>
      </c>
      <c r="S390" s="7">
        <v>18</v>
      </c>
      <c r="T390" s="7" t="s">
        <v>7143</v>
      </c>
      <c r="U390" s="7" t="s">
        <v>7142</v>
      </c>
      <c r="Y390" s="7">
        <v>550</v>
      </c>
      <c r="Z390" s="17">
        <v>1</v>
      </c>
      <c r="AA390" s="7">
        <v>550</v>
      </c>
      <c r="AB390" s="7">
        <v>550</v>
      </c>
      <c r="AC390" s="7">
        <v>550</v>
      </c>
      <c r="AD390" s="7">
        <v>800</v>
      </c>
      <c r="AE390" s="7">
        <v>250</v>
      </c>
      <c r="AF390" s="7" t="s">
        <v>7143</v>
      </c>
      <c r="AG390" s="7" t="s">
        <v>7143</v>
      </c>
      <c r="AH390" s="7" t="s">
        <v>7143</v>
      </c>
      <c r="AJ390" s="7" t="s">
        <v>7143</v>
      </c>
      <c r="AK390" s="7" t="s">
        <v>7143</v>
      </c>
      <c r="AL390" s="7" t="s">
        <v>7143</v>
      </c>
      <c r="AM390" s="7" t="s">
        <v>7143</v>
      </c>
      <c r="AN390" s="7" t="s">
        <v>7143</v>
      </c>
      <c r="AO390" s="7" t="s">
        <v>7143</v>
      </c>
      <c r="AR390" s="7">
        <v>4</v>
      </c>
      <c r="AS390" s="7">
        <v>2</v>
      </c>
      <c r="AT390" s="7">
        <v>8</v>
      </c>
      <c r="AU390" s="7" t="s">
        <v>7193</v>
      </c>
      <c r="AV390" s="7" t="s">
        <v>7144</v>
      </c>
      <c r="AW390" s="7" t="s">
        <v>7143</v>
      </c>
      <c r="AZ390" s="7" t="s">
        <v>7201</v>
      </c>
      <c r="BB390" s="7" t="s">
        <v>7268</v>
      </c>
      <c r="BC390" s="7" t="s">
        <v>7147</v>
      </c>
      <c r="BD390" s="7" t="s">
        <v>7142</v>
      </c>
      <c r="BE390" s="7" t="s">
        <v>7142</v>
      </c>
      <c r="BF390" s="7" t="s">
        <v>7148</v>
      </c>
      <c r="BG390" s="7" t="s">
        <v>7149</v>
      </c>
      <c r="BH390" s="7" t="s">
        <v>7150</v>
      </c>
      <c r="BI390" s="7" t="s">
        <v>7269</v>
      </c>
      <c r="BL390" s="7" t="s">
        <v>7152</v>
      </c>
      <c r="BM390" s="7" t="s">
        <v>7153</v>
      </c>
      <c r="BN390" s="7" t="s">
        <v>7154</v>
      </c>
      <c r="BO390" s="7" t="s">
        <v>7155</v>
      </c>
      <c r="BQ390" s="2" t="s">
        <v>7156</v>
      </c>
      <c r="BS390" s="7" t="s">
        <v>7142</v>
      </c>
      <c r="BT390" s="7" t="s">
        <v>7196</v>
      </c>
      <c r="BV390" s="7" t="s">
        <v>7197</v>
      </c>
      <c r="BX390" s="7" t="s">
        <v>7143</v>
      </c>
      <c r="BZ390" s="7" t="s">
        <v>7173</v>
      </c>
      <c r="CE390" s="7">
        <v>8</v>
      </c>
      <c r="CF390" s="7">
        <v>800</v>
      </c>
      <c r="CK390" s="7">
        <v>100</v>
      </c>
      <c r="CO390" s="7">
        <v>100</v>
      </c>
      <c r="CR390" s="7" t="s">
        <v>7185</v>
      </c>
      <c r="CT390" s="7" t="s">
        <v>7143</v>
      </c>
      <c r="CU390" s="7" t="s">
        <v>7161</v>
      </c>
      <c r="CW390" s="7" t="s">
        <v>7610</v>
      </c>
      <c r="CY390" s="7" t="s">
        <v>7250</v>
      </c>
      <c r="CZ390" s="7" t="s">
        <v>7321</v>
      </c>
      <c r="DA390" s="7" t="s">
        <v>7250</v>
      </c>
      <c r="DB390" s="7" t="s">
        <v>7321</v>
      </c>
      <c r="DC390" s="7" t="s">
        <v>7321</v>
      </c>
      <c r="DD390" s="7" t="s">
        <v>7163</v>
      </c>
      <c r="DE390" s="7" t="s">
        <v>7250</v>
      </c>
      <c r="DF390" s="7" t="s">
        <v>7250</v>
      </c>
      <c r="DG390" s="7" t="s">
        <v>7250</v>
      </c>
      <c r="DH390" s="7" t="s">
        <v>7250</v>
      </c>
      <c r="DI390" s="7" t="s">
        <v>7321</v>
      </c>
      <c r="DL390" s="7" t="s">
        <v>7143</v>
      </c>
      <c r="DM390" s="7" t="s">
        <v>7143</v>
      </c>
      <c r="DP390" s="7" t="s">
        <v>7159</v>
      </c>
      <c r="DT390" s="7" t="s">
        <v>7159</v>
      </c>
      <c r="DU390" s="7" t="s">
        <v>7159</v>
      </c>
      <c r="DV390" s="7" t="s">
        <v>7159</v>
      </c>
      <c r="DW390" s="7" t="s">
        <v>7159</v>
      </c>
      <c r="DX390" s="7" t="s">
        <v>7159</v>
      </c>
      <c r="DY390" s="7" t="s">
        <v>7159</v>
      </c>
      <c r="DZ390" s="7" t="s">
        <v>7159</v>
      </c>
      <c r="EA390" s="7" t="s">
        <v>7159</v>
      </c>
      <c r="EB390" s="7" t="s">
        <v>7159</v>
      </c>
      <c r="EC390" s="2" t="s">
        <v>7159</v>
      </c>
      <c r="ED390" s="7"/>
      <c r="EF390" s="7" t="s">
        <v>7252</v>
      </c>
      <c r="EG390" s="7" t="s">
        <v>431</v>
      </c>
      <c r="EJ390" s="7" t="s">
        <v>7193</v>
      </c>
      <c r="EK390" s="7" t="s">
        <v>7143</v>
      </c>
      <c r="EL390" s="7" t="s">
        <v>7143</v>
      </c>
      <c r="EN390" s="7" t="s">
        <v>7210</v>
      </c>
      <c r="EP390" s="7" t="s">
        <v>7186</v>
      </c>
      <c r="ER390" s="7" t="s">
        <v>7143</v>
      </c>
      <c r="ET390" s="7" t="s">
        <v>7143</v>
      </c>
      <c r="EV390" s="7" t="s">
        <v>7143</v>
      </c>
      <c r="EX390" s="7" t="s">
        <v>7143</v>
      </c>
      <c r="EZ390" s="7" t="s">
        <v>7143</v>
      </c>
      <c r="FC390" s="7" t="s">
        <v>7172</v>
      </c>
      <c r="FD390" s="7" t="s">
        <v>7143</v>
      </c>
      <c r="FH390" s="7" t="s">
        <v>7173</v>
      </c>
      <c r="FJ390" s="7" t="s">
        <v>7143</v>
      </c>
      <c r="FK390" s="7" t="s">
        <v>7173</v>
      </c>
      <c r="FN390" s="7" t="s">
        <v>7243</v>
      </c>
      <c r="FO390" s="7" t="s">
        <v>2526</v>
      </c>
      <c r="FR390" s="7" t="s">
        <v>2527</v>
      </c>
      <c r="FT390" s="7" t="s">
        <v>7189</v>
      </c>
      <c r="FU390" s="2" t="s">
        <v>7189</v>
      </c>
      <c r="FV390" s="7" t="s">
        <v>7189</v>
      </c>
      <c r="FW390" s="7" t="s">
        <v>7189</v>
      </c>
    </row>
    <row r="391" spans="1:182">
      <c r="A391" s="7" t="s">
        <v>2528</v>
      </c>
      <c r="D391" s="7" t="s">
        <v>8497</v>
      </c>
      <c r="E391" s="7" t="s">
        <v>177</v>
      </c>
      <c r="F391" s="7" t="s">
        <v>7134</v>
      </c>
      <c r="G391" s="7" t="s">
        <v>8348</v>
      </c>
      <c r="H391" s="7" t="s">
        <v>2294</v>
      </c>
      <c r="I391" s="7" t="s">
        <v>2529</v>
      </c>
      <c r="J391" s="16" t="s">
        <v>8498</v>
      </c>
      <c r="K391" s="7" t="s">
        <v>2529</v>
      </c>
      <c r="L391" s="2" t="s">
        <v>7137</v>
      </c>
      <c r="M391" s="7" t="s">
        <v>7138</v>
      </c>
      <c r="N391" s="7">
        <v>1984</v>
      </c>
      <c r="O391" s="7" t="s">
        <v>7490</v>
      </c>
      <c r="P391" s="2" t="s">
        <v>7140</v>
      </c>
      <c r="Q391" s="2" t="s">
        <v>7141</v>
      </c>
      <c r="R391" s="2" t="s">
        <v>7143</v>
      </c>
      <c r="S391" s="2">
        <v>20</v>
      </c>
      <c r="T391" s="2" t="s">
        <v>7143</v>
      </c>
      <c r="U391" s="2" t="s">
        <v>7143</v>
      </c>
      <c r="Y391" s="2">
        <v>230</v>
      </c>
      <c r="Z391" s="17">
        <v>1</v>
      </c>
      <c r="AA391" s="2">
        <v>230</v>
      </c>
      <c r="AB391" s="2">
        <v>230</v>
      </c>
      <c r="AC391" s="7">
        <v>230</v>
      </c>
      <c r="AD391" s="2">
        <v>250</v>
      </c>
      <c r="AE391" s="2">
        <v>20</v>
      </c>
      <c r="AF391" s="2" t="s">
        <v>7143</v>
      </c>
      <c r="AG391" s="2" t="s">
        <v>7143</v>
      </c>
      <c r="AH391" s="2" t="s">
        <v>7143</v>
      </c>
      <c r="AJ391" s="2" t="s">
        <v>7143</v>
      </c>
      <c r="AK391" s="2" t="s">
        <v>7143</v>
      </c>
      <c r="AL391" s="2" t="s">
        <v>7143</v>
      </c>
      <c r="AM391" s="2" t="s">
        <v>7143</v>
      </c>
      <c r="AN391" s="2" t="s">
        <v>7143</v>
      </c>
      <c r="AO391" s="2" t="s">
        <v>7143</v>
      </c>
      <c r="AR391" s="7">
        <v>1.5</v>
      </c>
      <c r="AS391" s="7">
        <v>4</v>
      </c>
      <c r="AT391" s="7">
        <v>2.5</v>
      </c>
      <c r="AU391" s="2" t="s">
        <v>7193</v>
      </c>
      <c r="AV391" s="2" t="s">
        <v>7193</v>
      </c>
      <c r="AW391" s="2" t="s">
        <v>7143</v>
      </c>
      <c r="AZ391" s="2" t="s">
        <v>7145</v>
      </c>
      <c r="BB391" s="2" t="s">
        <v>7214</v>
      </c>
      <c r="BC391" s="2" t="s">
        <v>7147</v>
      </c>
      <c r="BD391" s="2" t="s">
        <v>7143</v>
      </c>
      <c r="BE391" s="2" t="s">
        <v>7142</v>
      </c>
      <c r="BF391" s="2" t="s">
        <v>7148</v>
      </c>
      <c r="BG391" s="2" t="s">
        <v>7149</v>
      </c>
      <c r="BH391" s="2" t="s">
        <v>7233</v>
      </c>
      <c r="BI391" s="2" t="s">
        <v>7151</v>
      </c>
      <c r="BL391" s="2" t="s">
        <v>7195</v>
      </c>
      <c r="BO391" s="2" t="s">
        <v>7155</v>
      </c>
      <c r="BQ391" s="2" t="s">
        <v>7156</v>
      </c>
      <c r="BS391" s="2" t="s">
        <v>7142</v>
      </c>
      <c r="BT391" s="2" t="s">
        <v>7215</v>
      </c>
      <c r="BV391" s="2" t="s">
        <v>7202</v>
      </c>
      <c r="BX391" s="2" t="s">
        <v>7143</v>
      </c>
      <c r="BZ391" s="2" t="s">
        <v>7173</v>
      </c>
      <c r="CE391" s="7">
        <v>2.5</v>
      </c>
      <c r="CF391" s="2">
        <v>250</v>
      </c>
      <c r="CK391" s="2">
        <v>100</v>
      </c>
      <c r="CO391" s="2">
        <v>100</v>
      </c>
      <c r="CR391" s="2" t="s">
        <v>7160</v>
      </c>
      <c r="CT391" s="2" t="s">
        <v>7143</v>
      </c>
      <c r="CU391" s="2" t="s">
        <v>7234</v>
      </c>
      <c r="CW391" s="2" t="s">
        <v>7162</v>
      </c>
      <c r="CY391" s="2" t="s">
        <v>7164</v>
      </c>
      <c r="CZ391" s="2" t="s">
        <v>7164</v>
      </c>
      <c r="DA391" s="2" t="s">
        <v>7164</v>
      </c>
      <c r="DB391" s="2" t="s">
        <v>7164</v>
      </c>
      <c r="DC391" s="2" t="s">
        <v>7164</v>
      </c>
      <c r="DD391" s="2" t="s">
        <v>7164</v>
      </c>
      <c r="DE391" s="2" t="s">
        <v>7164</v>
      </c>
      <c r="DF391" s="2" t="s">
        <v>7164</v>
      </c>
      <c r="DG391" s="2" t="s">
        <v>7164</v>
      </c>
      <c r="DH391" s="2" t="s">
        <v>7164</v>
      </c>
      <c r="DI391" s="2" t="s">
        <v>7164</v>
      </c>
      <c r="DL391" s="2" t="s">
        <v>7143</v>
      </c>
      <c r="DM391" s="2" t="s">
        <v>7143</v>
      </c>
      <c r="DP391" s="2" t="s">
        <v>7173</v>
      </c>
      <c r="DT391" s="2" t="s">
        <v>7159</v>
      </c>
      <c r="DU391" s="2" t="s">
        <v>7159</v>
      </c>
      <c r="DV391" s="2" t="s">
        <v>7159</v>
      </c>
      <c r="DW391" s="2" t="s">
        <v>7159</v>
      </c>
      <c r="DX391" s="2" t="s">
        <v>7159</v>
      </c>
      <c r="DY391" s="2" t="s">
        <v>7159</v>
      </c>
      <c r="DZ391" s="2" t="s">
        <v>7159</v>
      </c>
      <c r="EA391" s="2" t="s">
        <v>7159</v>
      </c>
      <c r="EB391" s="2" t="s">
        <v>7159</v>
      </c>
      <c r="EJ391" s="2" t="s">
        <v>7217</v>
      </c>
      <c r="EK391" s="2" t="s">
        <v>7143</v>
      </c>
      <c r="EL391" s="2" t="s">
        <v>7143</v>
      </c>
      <c r="EN391" s="2" t="s">
        <v>7210</v>
      </c>
      <c r="EP391" s="2" t="s">
        <v>7241</v>
      </c>
      <c r="EQ391" s="2" t="s">
        <v>289</v>
      </c>
      <c r="ET391" s="2" t="s">
        <v>7143</v>
      </c>
      <c r="EV391" s="2" t="s">
        <v>7143</v>
      </c>
      <c r="EX391" s="2" t="s">
        <v>7143</v>
      </c>
      <c r="EZ391" s="2" t="s">
        <v>7143</v>
      </c>
      <c r="FC391" s="2" t="s">
        <v>7218</v>
      </c>
      <c r="FD391" s="2" t="s">
        <v>7143</v>
      </c>
      <c r="FH391" s="2" t="s">
        <v>7173</v>
      </c>
      <c r="FJ391" s="2" t="s">
        <v>7143</v>
      </c>
      <c r="FK391" s="2" t="s">
        <v>7173</v>
      </c>
      <c r="FN391" s="2" t="s">
        <v>7344</v>
      </c>
      <c r="FT391" s="2" t="s">
        <v>7189</v>
      </c>
      <c r="FU391" s="2" t="s">
        <v>7345</v>
      </c>
      <c r="FV391" s="2" t="s">
        <v>7189</v>
      </c>
      <c r="FW391" s="2" t="s">
        <v>7189</v>
      </c>
      <c r="FZ391" s="19" t="s">
        <v>8499</v>
      </c>
    </row>
    <row r="392" spans="1:182">
      <c r="A392" s="7" t="s">
        <v>2530</v>
      </c>
      <c r="D392" s="7" t="s">
        <v>8500</v>
      </c>
      <c r="E392" s="7" t="s">
        <v>2531</v>
      </c>
      <c r="F392" s="7" t="s">
        <v>7311</v>
      </c>
      <c r="G392" s="7" t="s">
        <v>8348</v>
      </c>
      <c r="H392" s="7" t="s">
        <v>2446</v>
      </c>
      <c r="I392" s="7" t="s">
        <v>2532</v>
      </c>
      <c r="J392" s="16" t="s">
        <v>8501</v>
      </c>
      <c r="K392" s="7" t="s">
        <v>2532</v>
      </c>
      <c r="L392" s="7" t="s">
        <v>7137</v>
      </c>
      <c r="M392" s="7" t="s">
        <v>7138</v>
      </c>
      <c r="N392" s="7">
        <v>1962</v>
      </c>
      <c r="O392" s="7" t="s">
        <v>7180</v>
      </c>
      <c r="P392" s="2" t="s">
        <v>7140</v>
      </c>
      <c r="Q392" s="7" t="s">
        <v>7141</v>
      </c>
      <c r="R392" s="7" t="s">
        <v>7143</v>
      </c>
      <c r="S392" s="7">
        <v>6</v>
      </c>
      <c r="T392" s="7" t="s">
        <v>7143</v>
      </c>
      <c r="U392" s="7" t="s">
        <v>7143</v>
      </c>
      <c r="Y392" s="2">
        <v>300</v>
      </c>
      <c r="Z392" s="17">
        <v>1</v>
      </c>
      <c r="AA392" s="2">
        <v>300</v>
      </c>
      <c r="AB392" s="2">
        <v>300</v>
      </c>
      <c r="AC392" s="7">
        <v>300</v>
      </c>
      <c r="AD392" s="2">
        <v>350</v>
      </c>
      <c r="AE392" s="2">
        <v>50</v>
      </c>
      <c r="AF392" s="2" t="s">
        <v>7143</v>
      </c>
      <c r="AG392" s="2" t="s">
        <v>7143</v>
      </c>
      <c r="AH392" s="2" t="s">
        <v>7143</v>
      </c>
      <c r="AJ392" s="2" t="s">
        <v>7143</v>
      </c>
      <c r="AK392" s="2" t="s">
        <v>7143</v>
      </c>
      <c r="AL392" s="2" t="s">
        <v>7143</v>
      </c>
      <c r="AM392" s="2" t="s">
        <v>7143</v>
      </c>
      <c r="AN392" s="2" t="s">
        <v>7143</v>
      </c>
      <c r="AO392" s="2" t="s">
        <v>7143</v>
      </c>
      <c r="AR392" s="7">
        <v>0.85</v>
      </c>
      <c r="AS392" s="7">
        <v>1</v>
      </c>
      <c r="AT392" s="7">
        <v>3.5</v>
      </c>
      <c r="AU392" s="2" t="s">
        <v>7144</v>
      </c>
      <c r="AV392" s="2" t="s">
        <v>7144</v>
      </c>
      <c r="AW392" s="2" t="s">
        <v>7143</v>
      </c>
      <c r="BC392" s="2" t="s">
        <v>7147</v>
      </c>
      <c r="BD392" s="2" t="s">
        <v>7142</v>
      </c>
      <c r="BE392" s="2" t="s">
        <v>7143</v>
      </c>
      <c r="BL392" s="2" t="s">
        <v>7152</v>
      </c>
      <c r="BM392" s="2" t="s">
        <v>7153</v>
      </c>
      <c r="BN392" s="2" t="s">
        <v>7154</v>
      </c>
      <c r="BO392" s="2" t="s">
        <v>7155</v>
      </c>
      <c r="BQ392" s="2" t="s">
        <v>7156</v>
      </c>
      <c r="BS392" s="2" t="s">
        <v>7142</v>
      </c>
      <c r="BT392" s="2" t="s">
        <v>7362</v>
      </c>
      <c r="BV392" s="2" t="s">
        <v>7379</v>
      </c>
      <c r="BX392" s="2" t="s">
        <v>7143</v>
      </c>
      <c r="BY392" s="2" t="s">
        <v>2533</v>
      </c>
      <c r="BZ392" s="2" t="s">
        <v>7159</v>
      </c>
      <c r="CE392" s="7">
        <v>3.5</v>
      </c>
      <c r="CF392" s="2">
        <v>350</v>
      </c>
      <c r="CK392" s="2">
        <v>100</v>
      </c>
      <c r="CP392" s="2">
        <v>100</v>
      </c>
      <c r="CR392" s="2" t="s">
        <v>7160</v>
      </c>
      <c r="CT392" s="2" t="s">
        <v>7143</v>
      </c>
      <c r="CU392" s="2" t="s">
        <v>7161</v>
      </c>
      <c r="CW392" s="2" t="s">
        <v>7162</v>
      </c>
      <c r="CY392" s="2" t="s">
        <v>7250</v>
      </c>
      <c r="CZ392" s="2" t="s">
        <v>7250</v>
      </c>
      <c r="DA392" s="2" t="s">
        <v>7250</v>
      </c>
      <c r="DB392" s="2" t="s">
        <v>7250</v>
      </c>
      <c r="DC392" s="2" t="s">
        <v>7250</v>
      </c>
      <c r="DD392" s="2" t="s">
        <v>7250</v>
      </c>
      <c r="DE392" s="2" t="s">
        <v>7250</v>
      </c>
      <c r="DF392" s="2" t="s">
        <v>7250</v>
      </c>
      <c r="DG392" s="2" t="s">
        <v>7250</v>
      </c>
      <c r="DH392" s="2" t="s">
        <v>7250</v>
      </c>
      <c r="DI392" s="2" t="s">
        <v>7250</v>
      </c>
      <c r="DL392" s="2" t="s">
        <v>7143</v>
      </c>
      <c r="DM392" s="2" t="s">
        <v>7143</v>
      </c>
      <c r="DP392" s="2" t="s">
        <v>7159</v>
      </c>
      <c r="DT392" s="2" t="s">
        <v>7159</v>
      </c>
      <c r="DU392" s="2" t="s">
        <v>7159</v>
      </c>
      <c r="DV392" s="2" t="s">
        <v>7159</v>
      </c>
      <c r="DW392" s="2" t="s">
        <v>7159</v>
      </c>
      <c r="DX392" s="2" t="s">
        <v>7159</v>
      </c>
      <c r="DY392" s="2" t="s">
        <v>7159</v>
      </c>
      <c r="DZ392" s="2" t="s">
        <v>7159</v>
      </c>
      <c r="EA392" s="2" t="s">
        <v>7159</v>
      </c>
      <c r="EB392" s="2" t="s">
        <v>7159</v>
      </c>
      <c r="EC392" s="2" t="s">
        <v>7159</v>
      </c>
      <c r="ED392" s="2" t="s">
        <v>7159</v>
      </c>
      <c r="EF392" s="2" t="s">
        <v>7252</v>
      </c>
      <c r="EG392" s="2" t="s">
        <v>2534</v>
      </c>
      <c r="EJ392" s="2" t="s">
        <v>7193</v>
      </c>
      <c r="EK392" s="2" t="s">
        <v>7143</v>
      </c>
      <c r="EL392" s="2" t="s">
        <v>7143</v>
      </c>
      <c r="EN392" s="2" t="s">
        <v>7392</v>
      </c>
      <c r="EP392" s="2" t="s">
        <v>7186</v>
      </c>
      <c r="ER392" s="2" t="s">
        <v>7143</v>
      </c>
      <c r="ET392" s="2" t="s">
        <v>7143</v>
      </c>
      <c r="EV392" s="2" t="s">
        <v>7143</v>
      </c>
      <c r="EX392" s="2" t="s">
        <v>7143</v>
      </c>
      <c r="EZ392" s="2" t="s">
        <v>7143</v>
      </c>
      <c r="FC392" s="2" t="s">
        <v>7172</v>
      </c>
      <c r="FD392" s="2" t="s">
        <v>7143</v>
      </c>
      <c r="FH392" s="2" t="s">
        <v>7173</v>
      </c>
      <c r="FJ392" s="2" t="s">
        <v>7143</v>
      </c>
      <c r="FK392" s="2" t="s">
        <v>7159</v>
      </c>
      <c r="FR392" s="2" t="s">
        <v>461</v>
      </c>
      <c r="FT392" s="2" t="s">
        <v>7189</v>
      </c>
      <c r="FU392" s="2" t="s">
        <v>7189</v>
      </c>
      <c r="FV392" s="2" t="s">
        <v>7189</v>
      </c>
      <c r="FW392" s="2" t="s">
        <v>7189</v>
      </c>
      <c r="FX392" s="2" t="s">
        <v>7189</v>
      </c>
      <c r="FY392" s="2" t="s">
        <v>2535</v>
      </c>
      <c r="FZ392" s="19" t="s">
        <v>8502</v>
      </c>
    </row>
    <row r="393" spans="1:182">
      <c r="A393" s="7" t="s">
        <v>2536</v>
      </c>
      <c r="D393" s="7" t="s">
        <v>8503</v>
      </c>
      <c r="E393" s="7" t="s">
        <v>2537</v>
      </c>
      <c r="F393" s="7" t="s">
        <v>7389</v>
      </c>
      <c r="G393" s="7" t="s">
        <v>8348</v>
      </c>
      <c r="H393" s="7" t="s">
        <v>2298</v>
      </c>
      <c r="I393" s="7" t="s">
        <v>2538</v>
      </c>
      <c r="J393" s="16" t="s">
        <v>8504</v>
      </c>
      <c r="K393" s="7" t="s">
        <v>2538</v>
      </c>
      <c r="L393" s="2" t="s">
        <v>7137</v>
      </c>
      <c r="M393" s="7" t="s">
        <v>7138</v>
      </c>
      <c r="N393" s="7">
        <v>1995</v>
      </c>
      <c r="O393" s="7" t="s">
        <v>7490</v>
      </c>
      <c r="P393" s="7" t="s">
        <v>7140</v>
      </c>
      <c r="Q393" s="2" t="s">
        <v>7225</v>
      </c>
      <c r="R393" s="2" t="s">
        <v>7143</v>
      </c>
      <c r="S393" s="2">
        <v>17</v>
      </c>
      <c r="T393" s="2" t="s">
        <v>7143</v>
      </c>
      <c r="U393" s="2" t="s">
        <v>7143</v>
      </c>
      <c r="Y393" s="2">
        <v>38</v>
      </c>
      <c r="Z393" s="17">
        <v>1</v>
      </c>
      <c r="AA393" s="2">
        <v>38</v>
      </c>
      <c r="AB393" s="2">
        <v>38</v>
      </c>
      <c r="AC393" s="7">
        <v>38</v>
      </c>
      <c r="AD393" s="2">
        <v>48</v>
      </c>
      <c r="AE393" s="2">
        <v>10</v>
      </c>
      <c r="AF393" s="2" t="s">
        <v>7143</v>
      </c>
      <c r="AG393" s="2" t="s">
        <v>7143</v>
      </c>
      <c r="AH393" s="2" t="s">
        <v>7143</v>
      </c>
      <c r="AJ393" s="2" t="s">
        <v>7143</v>
      </c>
      <c r="AK393" s="2" t="s">
        <v>7143</v>
      </c>
      <c r="AL393" s="2" t="s">
        <v>7143</v>
      </c>
      <c r="AM393" s="2" t="s">
        <v>7143</v>
      </c>
      <c r="AN393" s="2" t="s">
        <v>7143</v>
      </c>
      <c r="AO393" s="2" t="s">
        <v>7143</v>
      </c>
      <c r="AR393" s="7">
        <v>0.5</v>
      </c>
      <c r="AS393" s="7">
        <v>1</v>
      </c>
      <c r="AT393" s="7">
        <v>0.4</v>
      </c>
      <c r="AU393" s="2" t="s">
        <v>7217</v>
      </c>
      <c r="AV393" s="2" t="s">
        <v>7193</v>
      </c>
      <c r="AW393" s="2" t="s">
        <v>7143</v>
      </c>
      <c r="AZ393" s="2" t="s">
        <v>7145</v>
      </c>
      <c r="BB393" s="2" t="s">
        <v>7214</v>
      </c>
      <c r="BC393" s="2" t="s">
        <v>7147</v>
      </c>
      <c r="BD393" s="2" t="s">
        <v>7143</v>
      </c>
      <c r="BE393" s="2" t="s">
        <v>7143</v>
      </c>
      <c r="BL393" s="2" t="s">
        <v>7195</v>
      </c>
      <c r="BO393" s="2" t="s">
        <v>7274</v>
      </c>
      <c r="BP393" s="2" t="s">
        <v>7275</v>
      </c>
      <c r="BS393" s="2" t="s">
        <v>7143</v>
      </c>
      <c r="BT393" s="2" t="s">
        <v>7391</v>
      </c>
      <c r="BV393" s="2" t="s">
        <v>7348</v>
      </c>
      <c r="BX393" s="2" t="s">
        <v>7143</v>
      </c>
      <c r="BZ393" s="2" t="s">
        <v>7173</v>
      </c>
      <c r="CE393" s="7">
        <v>0.4</v>
      </c>
      <c r="CF393" s="2">
        <v>48</v>
      </c>
      <c r="CK393" s="2">
        <v>100</v>
      </c>
      <c r="CO393" s="2">
        <v>100</v>
      </c>
      <c r="CR393" s="2" t="s">
        <v>7160</v>
      </c>
      <c r="CT393" s="2" t="s">
        <v>7143</v>
      </c>
      <c r="CU393" s="2" t="s">
        <v>7161</v>
      </c>
      <c r="CW393" s="2" t="s">
        <v>7162</v>
      </c>
      <c r="CY393" s="2" t="s">
        <v>7227</v>
      </c>
      <c r="CZ393" s="2" t="s">
        <v>7250</v>
      </c>
      <c r="DA393" s="2" t="s">
        <v>7250</v>
      </c>
      <c r="DB393" s="2" t="s">
        <v>7250</v>
      </c>
      <c r="DC393" s="2" t="s">
        <v>7250</v>
      </c>
      <c r="DD393" s="2" t="s">
        <v>7250</v>
      </c>
      <c r="DE393" s="2" t="s">
        <v>7250</v>
      </c>
      <c r="DF393" s="2" t="s">
        <v>7250</v>
      </c>
      <c r="DG393" s="2" t="s">
        <v>7250</v>
      </c>
      <c r="DH393" s="2" t="s">
        <v>7250</v>
      </c>
      <c r="DI393" s="2" t="s">
        <v>7250</v>
      </c>
      <c r="DL393" s="2" t="s">
        <v>7143</v>
      </c>
      <c r="DM393" s="2" t="s">
        <v>7143</v>
      </c>
      <c r="DP393" s="2" t="s">
        <v>7173</v>
      </c>
      <c r="DT393" s="2" t="s">
        <v>7159</v>
      </c>
      <c r="DU393" s="2" t="s">
        <v>7159</v>
      </c>
      <c r="DV393" s="2" t="s">
        <v>7159</v>
      </c>
      <c r="DW393" s="2" t="s">
        <v>7159</v>
      </c>
      <c r="DX393" s="2" t="s">
        <v>7159</v>
      </c>
      <c r="DY393" s="2" t="s">
        <v>7159</v>
      </c>
      <c r="DZ393" s="2" t="s">
        <v>7159</v>
      </c>
      <c r="EA393" s="2" t="s">
        <v>7159</v>
      </c>
      <c r="EB393" s="2" t="s">
        <v>7159</v>
      </c>
      <c r="EC393" s="2" t="s">
        <v>7159</v>
      </c>
      <c r="EF393" s="2" t="s">
        <v>7221</v>
      </c>
      <c r="EG393" s="2" t="s">
        <v>2539</v>
      </c>
      <c r="EJ393" s="2" t="s">
        <v>7217</v>
      </c>
      <c r="EK393" s="2" t="s">
        <v>7143</v>
      </c>
      <c r="EL393" s="2" t="s">
        <v>7143</v>
      </c>
      <c r="EN393" s="2" t="s">
        <v>7210</v>
      </c>
      <c r="EP393" s="2" t="s">
        <v>7186</v>
      </c>
      <c r="ER393" s="2" t="s">
        <v>7143</v>
      </c>
      <c r="ET393" s="2" t="s">
        <v>7143</v>
      </c>
      <c r="EV393" s="2" t="s">
        <v>7143</v>
      </c>
      <c r="EX393" s="2" t="s">
        <v>7143</v>
      </c>
      <c r="EZ393" s="2" t="s">
        <v>7143</v>
      </c>
      <c r="FC393" s="2" t="s">
        <v>7218</v>
      </c>
      <c r="FD393" s="2" t="s">
        <v>7143</v>
      </c>
      <c r="FH393" s="2" t="s">
        <v>7173</v>
      </c>
      <c r="FJ393" s="2" t="s">
        <v>7143</v>
      </c>
      <c r="FK393" s="2" t="s">
        <v>7173</v>
      </c>
      <c r="FN393" s="2" t="s">
        <v>7235</v>
      </c>
      <c r="FR393" s="2" t="s">
        <v>433</v>
      </c>
      <c r="FT393" s="2" t="s">
        <v>7176</v>
      </c>
      <c r="FU393" s="2" t="s">
        <v>7189</v>
      </c>
      <c r="FV393" s="2" t="s">
        <v>7176</v>
      </c>
      <c r="FW393" s="2" t="s">
        <v>7189</v>
      </c>
      <c r="FZ393" s="19" t="s">
        <v>8505</v>
      </c>
    </row>
    <row r="394" spans="1:182">
      <c r="A394" s="7" t="s">
        <v>2540</v>
      </c>
      <c r="D394" s="7" t="s">
        <v>8506</v>
      </c>
      <c r="E394" s="7" t="s">
        <v>2541</v>
      </c>
      <c r="F394" s="7" t="s">
        <v>7389</v>
      </c>
      <c r="G394" s="7" t="s">
        <v>8348</v>
      </c>
      <c r="H394" s="7" t="s">
        <v>2298</v>
      </c>
      <c r="I394" s="7" t="s">
        <v>2542</v>
      </c>
      <c r="J394" s="16" t="s">
        <v>8507</v>
      </c>
      <c r="K394" s="7" t="s">
        <v>2542</v>
      </c>
      <c r="L394" s="2" t="s">
        <v>7137</v>
      </c>
      <c r="M394" s="7" t="s">
        <v>7179</v>
      </c>
      <c r="N394" s="7">
        <v>2005</v>
      </c>
      <c r="O394" s="7" t="s">
        <v>7490</v>
      </c>
      <c r="P394" s="7" t="s">
        <v>7140</v>
      </c>
      <c r="Q394" s="2" t="s">
        <v>7141</v>
      </c>
      <c r="R394" s="2" t="s">
        <v>7143</v>
      </c>
      <c r="S394" s="2">
        <v>17</v>
      </c>
      <c r="T394" s="2" t="s">
        <v>7143</v>
      </c>
      <c r="U394" s="2" t="s">
        <v>7143</v>
      </c>
      <c r="Y394" s="2">
        <v>353</v>
      </c>
      <c r="Z394" s="17">
        <v>1</v>
      </c>
      <c r="AA394" s="2">
        <v>353</v>
      </c>
      <c r="AB394" s="2">
        <v>353</v>
      </c>
      <c r="AC394" s="7">
        <v>353</v>
      </c>
      <c r="AD394" s="2">
        <v>360</v>
      </c>
      <c r="AE394" s="2">
        <v>7</v>
      </c>
      <c r="AF394" s="2" t="s">
        <v>7143</v>
      </c>
      <c r="AG394" s="2" t="s">
        <v>7143</v>
      </c>
      <c r="AH394" s="2" t="s">
        <v>7143</v>
      </c>
      <c r="AJ394" s="2" t="s">
        <v>7143</v>
      </c>
      <c r="AK394" s="2" t="s">
        <v>7143</v>
      </c>
      <c r="AL394" s="2" t="s">
        <v>7143</v>
      </c>
      <c r="AM394" s="2" t="s">
        <v>7143</v>
      </c>
      <c r="AN394" s="2" t="s">
        <v>7143</v>
      </c>
      <c r="AO394" s="2" t="s">
        <v>7143</v>
      </c>
      <c r="AR394" s="7">
        <v>0.22</v>
      </c>
      <c r="AS394" s="7">
        <v>1</v>
      </c>
      <c r="AT394" s="7">
        <v>0.3</v>
      </c>
      <c r="AU394" s="2" t="s">
        <v>7217</v>
      </c>
      <c r="AV394" s="2" t="s">
        <v>7193</v>
      </c>
      <c r="AW394" s="2" t="s">
        <v>7143</v>
      </c>
      <c r="AZ394" s="2" t="s">
        <v>7145</v>
      </c>
      <c r="BB394" s="2" t="s">
        <v>7214</v>
      </c>
      <c r="BC394" s="2" t="s">
        <v>7147</v>
      </c>
      <c r="BD394" s="2" t="s">
        <v>7143</v>
      </c>
      <c r="BE394" s="2" t="s">
        <v>7143</v>
      </c>
      <c r="BL394" s="2" t="s">
        <v>7195</v>
      </c>
      <c r="BO394" s="2" t="s">
        <v>7155</v>
      </c>
      <c r="BQ394" s="2" t="s">
        <v>7183</v>
      </c>
      <c r="BS394" s="2" t="s">
        <v>7142</v>
      </c>
      <c r="BT394" s="2" t="s">
        <v>8508</v>
      </c>
      <c r="BV394" s="2" t="s">
        <v>7197</v>
      </c>
      <c r="BX394" s="2" t="s">
        <v>7143</v>
      </c>
      <c r="BZ394" s="2" t="s">
        <v>7173</v>
      </c>
      <c r="CE394" s="7">
        <v>0.3</v>
      </c>
      <c r="CF394" s="2">
        <v>360</v>
      </c>
      <c r="CK394" s="2">
        <v>100</v>
      </c>
      <c r="CO394" s="2">
        <v>100</v>
      </c>
      <c r="CR394" s="2" t="s">
        <v>7160</v>
      </c>
      <c r="CT394" s="2" t="s">
        <v>7143</v>
      </c>
      <c r="CU394" s="2" t="s">
        <v>7161</v>
      </c>
      <c r="CW394" s="2" t="s">
        <v>7162</v>
      </c>
      <c r="CY394" s="2" t="s">
        <v>7227</v>
      </c>
      <c r="CZ394" s="2" t="s">
        <v>7250</v>
      </c>
      <c r="DA394" s="2" t="s">
        <v>7250</v>
      </c>
      <c r="DB394" s="2" t="s">
        <v>7250</v>
      </c>
      <c r="DC394" s="2" t="s">
        <v>7250</v>
      </c>
      <c r="DD394" s="2" t="s">
        <v>7250</v>
      </c>
      <c r="DE394" s="2" t="s">
        <v>7250</v>
      </c>
      <c r="DF394" s="2" t="s">
        <v>7250</v>
      </c>
      <c r="DG394" s="2" t="s">
        <v>7250</v>
      </c>
      <c r="DH394" s="2" t="s">
        <v>7250</v>
      </c>
      <c r="DI394" s="2" t="s">
        <v>7250</v>
      </c>
      <c r="DL394" s="2" t="s">
        <v>7143</v>
      </c>
      <c r="DM394" s="2" t="s">
        <v>7143</v>
      </c>
      <c r="DP394" s="2" t="s">
        <v>7173</v>
      </c>
      <c r="DT394" s="2" t="s">
        <v>7159</v>
      </c>
      <c r="DU394" s="2" t="s">
        <v>7159</v>
      </c>
      <c r="DV394" s="2" t="s">
        <v>7159</v>
      </c>
      <c r="DW394" s="2" t="s">
        <v>7159</v>
      </c>
      <c r="DX394" s="2" t="s">
        <v>7159</v>
      </c>
      <c r="DY394" s="2" t="s">
        <v>7159</v>
      </c>
      <c r="DZ394" s="2" t="s">
        <v>7159</v>
      </c>
      <c r="EA394" s="2" t="s">
        <v>7159</v>
      </c>
      <c r="EB394" s="2" t="s">
        <v>7159</v>
      </c>
      <c r="EC394" s="2" t="s">
        <v>7159</v>
      </c>
      <c r="EF394" s="2" t="s">
        <v>7221</v>
      </c>
      <c r="EG394" s="2" t="s">
        <v>203</v>
      </c>
      <c r="EJ394" s="2" t="s">
        <v>7217</v>
      </c>
      <c r="EK394" s="2" t="s">
        <v>7143</v>
      </c>
      <c r="EL394" s="2" t="s">
        <v>7143</v>
      </c>
      <c r="EN394" s="2" t="s">
        <v>7210</v>
      </c>
      <c r="EP394" s="2" t="s">
        <v>7186</v>
      </c>
      <c r="ER394" s="2" t="s">
        <v>7143</v>
      </c>
      <c r="ET394" s="2" t="s">
        <v>7143</v>
      </c>
      <c r="EV394" s="2" t="s">
        <v>7143</v>
      </c>
      <c r="EX394" s="2" t="s">
        <v>7143</v>
      </c>
      <c r="EZ394" s="2" t="s">
        <v>7143</v>
      </c>
      <c r="FC394" s="2" t="s">
        <v>7218</v>
      </c>
      <c r="FD394" s="2" t="s">
        <v>7143</v>
      </c>
      <c r="FH394" s="2" t="s">
        <v>7173</v>
      </c>
      <c r="FJ394" s="2" t="s">
        <v>7143</v>
      </c>
      <c r="FK394" s="2" t="s">
        <v>7173</v>
      </c>
      <c r="FN394" s="2" t="s">
        <v>7322</v>
      </c>
      <c r="FR394" s="2" t="s">
        <v>976</v>
      </c>
      <c r="FT394" s="2" t="s">
        <v>7176</v>
      </c>
      <c r="FU394" s="2" t="s">
        <v>7189</v>
      </c>
      <c r="FV394" s="2" t="s">
        <v>7176</v>
      </c>
      <c r="FW394" s="2" t="s">
        <v>7189</v>
      </c>
      <c r="FZ394" s="19" t="s">
        <v>8509</v>
      </c>
    </row>
    <row r="395" spans="1:182">
      <c r="A395" s="7" t="s">
        <v>2544</v>
      </c>
      <c r="D395" s="7" t="s">
        <v>8510</v>
      </c>
      <c r="E395" s="7" t="s">
        <v>2545</v>
      </c>
      <c r="F395" s="7" t="s">
        <v>7389</v>
      </c>
      <c r="G395" s="7" t="s">
        <v>8348</v>
      </c>
      <c r="H395" s="7" t="s">
        <v>2298</v>
      </c>
      <c r="I395" s="7" t="s">
        <v>2546</v>
      </c>
      <c r="J395" s="16" t="s">
        <v>8511</v>
      </c>
      <c r="K395" s="7" t="s">
        <v>2546</v>
      </c>
      <c r="L395" s="2" t="s">
        <v>7137</v>
      </c>
      <c r="M395" s="7" t="s">
        <v>7138</v>
      </c>
      <c r="N395" s="7">
        <v>1993</v>
      </c>
      <c r="O395" s="7" t="s">
        <v>7490</v>
      </c>
      <c r="P395" s="7" t="s">
        <v>7140</v>
      </c>
      <c r="Q395" s="2" t="s">
        <v>7225</v>
      </c>
      <c r="R395" s="2" t="s">
        <v>7143</v>
      </c>
      <c r="S395" s="2">
        <v>12</v>
      </c>
      <c r="T395" s="2" t="s">
        <v>7143</v>
      </c>
      <c r="U395" s="2" t="s">
        <v>7143</v>
      </c>
      <c r="Y395" s="2">
        <v>135</v>
      </c>
      <c r="Z395" s="17">
        <v>1</v>
      </c>
      <c r="AA395" s="2">
        <v>135</v>
      </c>
      <c r="AB395" s="2">
        <v>135</v>
      </c>
      <c r="AC395" s="7">
        <v>135</v>
      </c>
      <c r="AD395" s="2">
        <v>180</v>
      </c>
      <c r="AE395" s="2">
        <v>45</v>
      </c>
      <c r="AF395" s="2" t="s">
        <v>7143</v>
      </c>
      <c r="AG395" s="2" t="s">
        <v>7143</v>
      </c>
      <c r="AH395" s="2" t="s">
        <v>7143</v>
      </c>
      <c r="AJ395" s="2" t="s">
        <v>7143</v>
      </c>
      <c r="AK395" s="2" t="s">
        <v>7143</v>
      </c>
      <c r="AL395" s="2" t="s">
        <v>7143</v>
      </c>
      <c r="AM395" s="2" t="s">
        <v>7143</v>
      </c>
      <c r="AN395" s="2" t="s">
        <v>7143</v>
      </c>
      <c r="AO395" s="2" t="s">
        <v>7143</v>
      </c>
      <c r="AR395" s="7">
        <v>1</v>
      </c>
      <c r="AS395" s="7">
        <v>1</v>
      </c>
      <c r="AT395" s="7">
        <v>1.5</v>
      </c>
      <c r="AU395" s="2" t="s">
        <v>7217</v>
      </c>
      <c r="AV395" s="2" t="s">
        <v>7193</v>
      </c>
      <c r="AW395" s="2" t="s">
        <v>7143</v>
      </c>
      <c r="AZ395" s="2" t="s">
        <v>7145</v>
      </c>
      <c r="BB395" s="2" t="s">
        <v>7214</v>
      </c>
      <c r="BC395" s="2" t="s">
        <v>7147</v>
      </c>
      <c r="BD395" s="2" t="s">
        <v>7143</v>
      </c>
      <c r="BE395" s="2" t="s">
        <v>7143</v>
      </c>
      <c r="BL395" s="2" t="s">
        <v>7195</v>
      </c>
      <c r="BO395" s="2" t="s">
        <v>7274</v>
      </c>
      <c r="BP395" s="2" t="s">
        <v>7275</v>
      </c>
      <c r="BS395" s="2" t="s">
        <v>7143</v>
      </c>
      <c r="BT395" s="2" t="s">
        <v>8019</v>
      </c>
      <c r="BV395" s="2" t="s">
        <v>7348</v>
      </c>
      <c r="BX395" s="2" t="s">
        <v>7143</v>
      </c>
      <c r="BZ395" s="2" t="s">
        <v>7173</v>
      </c>
      <c r="CE395" s="7">
        <v>1.5</v>
      </c>
      <c r="CF395" s="2">
        <v>180</v>
      </c>
      <c r="CK395" s="2">
        <v>100</v>
      </c>
      <c r="CO395" s="2">
        <v>100</v>
      </c>
      <c r="CR395" s="2" t="s">
        <v>7160</v>
      </c>
      <c r="CT395" s="2" t="s">
        <v>7143</v>
      </c>
      <c r="CU395" s="2" t="s">
        <v>7161</v>
      </c>
      <c r="CW395" s="2" t="s">
        <v>7162</v>
      </c>
      <c r="CY395" s="2" t="s">
        <v>7227</v>
      </c>
      <c r="CZ395" s="2" t="s">
        <v>7250</v>
      </c>
      <c r="DA395" s="2" t="s">
        <v>7250</v>
      </c>
      <c r="DB395" s="2" t="s">
        <v>7250</v>
      </c>
      <c r="DC395" s="2" t="s">
        <v>7250</v>
      </c>
      <c r="DD395" s="2" t="s">
        <v>7250</v>
      </c>
      <c r="DE395" s="2" t="s">
        <v>7250</v>
      </c>
      <c r="DF395" s="2" t="s">
        <v>7250</v>
      </c>
      <c r="DG395" s="2" t="s">
        <v>7250</v>
      </c>
      <c r="DH395" s="2" t="s">
        <v>7250</v>
      </c>
      <c r="DI395" s="2" t="s">
        <v>7250</v>
      </c>
      <c r="DL395" s="2" t="s">
        <v>7143</v>
      </c>
      <c r="DM395" s="2" t="s">
        <v>7143</v>
      </c>
      <c r="DP395" s="2" t="s">
        <v>7159</v>
      </c>
      <c r="DT395" s="2" t="s">
        <v>7159</v>
      </c>
      <c r="DU395" s="2" t="s">
        <v>7159</v>
      </c>
      <c r="DV395" s="2" t="s">
        <v>7159</v>
      </c>
      <c r="DW395" s="2" t="s">
        <v>7159</v>
      </c>
      <c r="DX395" s="2" t="s">
        <v>7159</v>
      </c>
      <c r="DY395" s="2" t="s">
        <v>7159</v>
      </c>
      <c r="DZ395" s="2" t="s">
        <v>7159</v>
      </c>
      <c r="EA395" s="2" t="s">
        <v>7159</v>
      </c>
      <c r="EB395" s="2" t="s">
        <v>7159</v>
      </c>
      <c r="EC395" s="2" t="s">
        <v>7159</v>
      </c>
      <c r="EF395" s="2" t="s">
        <v>7221</v>
      </c>
      <c r="EG395" s="2" t="s">
        <v>203</v>
      </c>
      <c r="EJ395" s="2" t="s">
        <v>7217</v>
      </c>
      <c r="EK395" s="2" t="s">
        <v>7143</v>
      </c>
      <c r="EL395" s="2" t="s">
        <v>7143</v>
      </c>
      <c r="EN395" s="2" t="s">
        <v>7210</v>
      </c>
      <c r="EP395" s="2" t="s">
        <v>7186</v>
      </c>
      <c r="ER395" s="2" t="s">
        <v>7143</v>
      </c>
      <c r="ET395" s="2" t="s">
        <v>7143</v>
      </c>
      <c r="EV395" s="2" t="s">
        <v>7143</v>
      </c>
      <c r="EX395" s="2" t="s">
        <v>7143</v>
      </c>
      <c r="EZ395" s="2" t="s">
        <v>7143</v>
      </c>
      <c r="FC395" s="2" t="s">
        <v>7218</v>
      </c>
      <c r="FD395" s="2" t="s">
        <v>7143</v>
      </c>
      <c r="FH395" s="2" t="s">
        <v>7173</v>
      </c>
      <c r="FJ395" s="2" t="s">
        <v>7143</v>
      </c>
      <c r="FK395" s="2" t="s">
        <v>7173</v>
      </c>
      <c r="FN395" s="2" t="s">
        <v>7235</v>
      </c>
      <c r="FR395" s="2" t="s">
        <v>976</v>
      </c>
      <c r="FT395" s="2" t="s">
        <v>7176</v>
      </c>
      <c r="FU395" s="2" t="s">
        <v>7189</v>
      </c>
      <c r="FV395" s="2" t="s">
        <v>7176</v>
      </c>
      <c r="FW395" s="2" t="s">
        <v>7189</v>
      </c>
      <c r="FZ395" s="19" t="s">
        <v>8512</v>
      </c>
    </row>
    <row r="396" spans="1:182">
      <c r="A396" s="7" t="s">
        <v>2547</v>
      </c>
      <c r="D396" s="7" t="s">
        <v>8513</v>
      </c>
      <c r="E396" s="7" t="s">
        <v>2548</v>
      </c>
      <c r="F396" s="7" t="s">
        <v>7319</v>
      </c>
      <c r="G396" s="7" t="s">
        <v>8348</v>
      </c>
      <c r="H396" s="7" t="s">
        <v>2336</v>
      </c>
      <c r="I396" s="7" t="s">
        <v>2549</v>
      </c>
      <c r="J396" s="16" t="s">
        <v>8514</v>
      </c>
      <c r="K396" s="7" t="s">
        <v>2549</v>
      </c>
      <c r="L396" s="7" t="s">
        <v>7224</v>
      </c>
      <c r="M396" s="7" t="s">
        <v>7138</v>
      </c>
      <c r="N396" s="7">
        <v>1980</v>
      </c>
      <c r="O396" s="7" t="s">
        <v>7490</v>
      </c>
      <c r="P396" s="7" t="s">
        <v>7140</v>
      </c>
      <c r="Q396" s="7" t="s">
        <v>7225</v>
      </c>
      <c r="R396" s="7" t="s">
        <v>7143</v>
      </c>
      <c r="S396" s="7">
        <v>27</v>
      </c>
      <c r="T396" s="7" t="s">
        <v>7143</v>
      </c>
      <c r="U396" s="7" t="s">
        <v>7143</v>
      </c>
      <c r="Y396" s="7">
        <v>260</v>
      </c>
      <c r="Z396" s="17">
        <v>0.92310000000000003</v>
      </c>
      <c r="AA396" s="7">
        <v>240</v>
      </c>
      <c r="AB396" s="7">
        <v>240</v>
      </c>
      <c r="AC396" s="7">
        <v>220</v>
      </c>
      <c r="AD396" s="7">
        <v>310</v>
      </c>
      <c r="AE396" s="7">
        <v>90</v>
      </c>
      <c r="AF396" s="7" t="s">
        <v>7143</v>
      </c>
      <c r="AG396" s="7" t="s">
        <v>7143</v>
      </c>
      <c r="AH396" s="7" t="s">
        <v>7143</v>
      </c>
      <c r="AJ396" s="7" t="s">
        <v>7143</v>
      </c>
      <c r="AK396" s="7" t="s">
        <v>7143</v>
      </c>
      <c r="AL396" s="7" t="s">
        <v>7143</v>
      </c>
      <c r="AM396" s="7" t="s">
        <v>7142</v>
      </c>
      <c r="AN396" s="7" t="s">
        <v>7143</v>
      </c>
      <c r="AO396" s="7" t="s">
        <v>7143</v>
      </c>
      <c r="AR396" s="7">
        <v>1.6</v>
      </c>
      <c r="AS396" s="7">
        <v>3</v>
      </c>
      <c r="AT396" s="7">
        <v>3.2</v>
      </c>
      <c r="AU396" s="7" t="s">
        <v>7193</v>
      </c>
      <c r="AV396" s="7" t="s">
        <v>7217</v>
      </c>
      <c r="AW396" s="7" t="s">
        <v>7143</v>
      </c>
      <c r="AZ396" s="7" t="s">
        <v>7194</v>
      </c>
      <c r="BB396" s="7" t="s">
        <v>7214</v>
      </c>
      <c r="BC396" s="7" t="s">
        <v>7147</v>
      </c>
      <c r="BD396" s="7" t="s">
        <v>7143</v>
      </c>
      <c r="BE396" s="7" t="s">
        <v>7143</v>
      </c>
      <c r="BL396" s="7" t="s">
        <v>7195</v>
      </c>
      <c r="BM396" s="7" t="s">
        <v>7153</v>
      </c>
      <c r="BN396" s="7" t="s">
        <v>7154</v>
      </c>
      <c r="BO396" s="7" t="s">
        <v>7274</v>
      </c>
      <c r="BS396" s="7" t="s">
        <v>7142</v>
      </c>
      <c r="BT396" s="7" t="s">
        <v>7238</v>
      </c>
      <c r="BU396" s="7" t="s">
        <v>544</v>
      </c>
      <c r="BV396" s="7" t="s">
        <v>7202</v>
      </c>
      <c r="BX396" s="7" t="s">
        <v>7143</v>
      </c>
      <c r="BY396" s="7" t="s">
        <v>2550</v>
      </c>
      <c r="BZ396" s="7" t="s">
        <v>7173</v>
      </c>
      <c r="CE396" s="7">
        <v>3.2</v>
      </c>
      <c r="CF396" s="7">
        <v>310</v>
      </c>
      <c r="CK396" s="7">
        <v>100</v>
      </c>
      <c r="CO396" s="7">
        <v>100</v>
      </c>
      <c r="CR396" s="7" t="s">
        <v>7160</v>
      </c>
      <c r="CT396" s="7" t="s">
        <v>7143</v>
      </c>
      <c r="CU396" s="7" t="s">
        <v>7161</v>
      </c>
      <c r="CW396" s="7" t="s">
        <v>7610</v>
      </c>
      <c r="CY396" s="7" t="s">
        <v>7163</v>
      </c>
      <c r="CZ396" s="7" t="s">
        <v>7163</v>
      </c>
      <c r="DA396" s="7" t="s">
        <v>7250</v>
      </c>
      <c r="DB396" s="7" t="s">
        <v>7321</v>
      </c>
      <c r="DC396" s="7" t="s">
        <v>7250</v>
      </c>
      <c r="DD396" s="7" t="s">
        <v>7321</v>
      </c>
      <c r="DE396" s="7" t="s">
        <v>7250</v>
      </c>
      <c r="DF396" s="7" t="s">
        <v>7250</v>
      </c>
      <c r="DG396" s="7" t="s">
        <v>7250</v>
      </c>
      <c r="DH396" s="7" t="s">
        <v>7250</v>
      </c>
      <c r="DI396" s="7" t="s">
        <v>7321</v>
      </c>
      <c r="DL396" s="7" t="s">
        <v>7143</v>
      </c>
      <c r="DM396" s="7" t="s">
        <v>7143</v>
      </c>
      <c r="DP396" s="7" t="s">
        <v>7159</v>
      </c>
      <c r="DT396" s="7" t="s">
        <v>7159</v>
      </c>
      <c r="DU396" s="7" t="s">
        <v>7159</v>
      </c>
      <c r="DV396" s="7" t="s">
        <v>7159</v>
      </c>
      <c r="DW396" s="7" t="s">
        <v>7159</v>
      </c>
      <c r="DX396" s="7" t="s">
        <v>7159</v>
      </c>
      <c r="DY396" s="7" t="s">
        <v>7159</v>
      </c>
      <c r="DZ396" s="7" t="s">
        <v>7159</v>
      </c>
      <c r="EA396" s="7" t="s">
        <v>7159</v>
      </c>
      <c r="EB396" s="7" t="s">
        <v>7159</v>
      </c>
      <c r="ED396" s="7" t="s">
        <v>7159</v>
      </c>
      <c r="EF396" s="7" t="s">
        <v>7252</v>
      </c>
      <c r="EG396" s="7" t="s">
        <v>2551</v>
      </c>
      <c r="EJ396" s="7" t="s">
        <v>7217</v>
      </c>
      <c r="EK396" s="7" t="s">
        <v>7143</v>
      </c>
      <c r="EL396" s="7" t="s">
        <v>7143</v>
      </c>
      <c r="EN396" s="7" t="s">
        <v>7210</v>
      </c>
      <c r="EP396" s="7" t="s">
        <v>7186</v>
      </c>
      <c r="ER396" s="7" t="s">
        <v>7143</v>
      </c>
      <c r="ET396" s="7" t="s">
        <v>7143</v>
      </c>
      <c r="EV396" s="7" t="s">
        <v>7143</v>
      </c>
      <c r="EX396" s="7" t="s">
        <v>7143</v>
      </c>
      <c r="EZ396" s="7" t="s">
        <v>7142</v>
      </c>
      <c r="FA396" s="7" t="s">
        <v>2552</v>
      </c>
      <c r="FB396" s="7" t="s">
        <v>7171</v>
      </c>
      <c r="FC396" s="7" t="s">
        <v>7218</v>
      </c>
      <c r="FD396" s="7" t="s">
        <v>7143</v>
      </c>
      <c r="FH396" s="7" t="s">
        <v>7173</v>
      </c>
      <c r="FJ396" s="7" t="s">
        <v>7143</v>
      </c>
      <c r="FK396" s="7" t="s">
        <v>7173</v>
      </c>
      <c r="FN396" s="7" t="s">
        <v>7283</v>
      </c>
      <c r="FR396" s="7" t="s">
        <v>2553</v>
      </c>
      <c r="FT396" s="7" t="s">
        <v>7345</v>
      </c>
      <c r="FV396" s="7" t="s">
        <v>7189</v>
      </c>
      <c r="FW396" s="7" t="s">
        <v>7189</v>
      </c>
      <c r="FZ396" s="19" t="s">
        <v>8515</v>
      </c>
    </row>
    <row r="397" spans="1:182">
      <c r="A397" s="7" t="s">
        <v>2554</v>
      </c>
      <c r="D397" s="7" t="s">
        <v>8516</v>
      </c>
      <c r="E397" s="7" t="s">
        <v>177</v>
      </c>
      <c r="F397" s="7" t="s">
        <v>7134</v>
      </c>
      <c r="G397" s="7" t="s">
        <v>8348</v>
      </c>
      <c r="H397" s="7" t="s">
        <v>2294</v>
      </c>
      <c r="I397" s="7" t="s">
        <v>2555</v>
      </c>
      <c r="J397" s="19" t="s">
        <v>8517</v>
      </c>
      <c r="K397" s="7" t="s">
        <v>2556</v>
      </c>
      <c r="L397" s="2" t="s">
        <v>7471</v>
      </c>
      <c r="M397" s="7" t="s">
        <v>7138</v>
      </c>
      <c r="N397" s="7">
        <v>1990</v>
      </c>
      <c r="O397" s="7" t="s">
        <v>7180</v>
      </c>
      <c r="P397" s="2" t="s">
        <v>7192</v>
      </c>
      <c r="Q397" s="2" t="s">
        <v>7225</v>
      </c>
      <c r="R397" s="2" t="s">
        <v>7143</v>
      </c>
      <c r="S397" s="2">
        <v>22</v>
      </c>
      <c r="T397" s="2" t="s">
        <v>7143</v>
      </c>
      <c r="U397" s="2" t="s">
        <v>7143</v>
      </c>
      <c r="Y397" s="2">
        <v>136</v>
      </c>
      <c r="Z397" s="17">
        <v>0.1176</v>
      </c>
      <c r="AA397" s="2">
        <v>16</v>
      </c>
      <c r="AB397" s="2">
        <v>16</v>
      </c>
      <c r="AC397" s="7">
        <v>16</v>
      </c>
      <c r="AD397" s="2">
        <v>36</v>
      </c>
      <c r="AE397" s="2">
        <v>20</v>
      </c>
      <c r="AF397" s="2" t="s">
        <v>7143</v>
      </c>
      <c r="AG397" s="2" t="s">
        <v>7143</v>
      </c>
      <c r="AH397" s="2" t="s">
        <v>7143</v>
      </c>
      <c r="AJ397" s="2" t="s">
        <v>7143</v>
      </c>
      <c r="AK397" s="2" t="s">
        <v>7143</v>
      </c>
      <c r="AL397" s="2" t="s">
        <v>7143</v>
      </c>
      <c r="AM397" s="2" t="s">
        <v>7142</v>
      </c>
      <c r="AN397" s="2" t="s">
        <v>7143</v>
      </c>
      <c r="AO397" s="2" t="s">
        <v>7143</v>
      </c>
      <c r="AR397" s="7">
        <v>0.8</v>
      </c>
      <c r="AS397" s="7">
        <v>1</v>
      </c>
      <c r="AT397" s="7">
        <v>0.4</v>
      </c>
      <c r="AU397" s="2" t="s">
        <v>7193</v>
      </c>
      <c r="AV397" s="2" t="s">
        <v>7193</v>
      </c>
      <c r="AW397" s="2" t="s">
        <v>7143</v>
      </c>
      <c r="AZ397" s="2" t="s">
        <v>7145</v>
      </c>
      <c r="BB397" s="2" t="s">
        <v>7214</v>
      </c>
      <c r="BC397" s="2" t="s">
        <v>7147</v>
      </c>
      <c r="BD397" s="2" t="s">
        <v>7143</v>
      </c>
      <c r="BE397" s="2" t="s">
        <v>7142</v>
      </c>
      <c r="BF397" s="2" t="s">
        <v>7148</v>
      </c>
      <c r="BG397" s="2" t="s">
        <v>7149</v>
      </c>
      <c r="BH397" s="2" t="s">
        <v>7150</v>
      </c>
      <c r="BI397" s="2" t="s">
        <v>7151</v>
      </c>
      <c r="BL397" s="2" t="s">
        <v>7195</v>
      </c>
      <c r="BO397" s="2" t="s">
        <v>7155</v>
      </c>
      <c r="BQ397" s="2" t="s">
        <v>7156</v>
      </c>
      <c r="BS397" s="2" t="s">
        <v>7142</v>
      </c>
      <c r="BT397" s="2" t="s">
        <v>7215</v>
      </c>
      <c r="BV397" s="2" t="s">
        <v>7202</v>
      </c>
      <c r="BX397" s="2" t="s">
        <v>7143</v>
      </c>
      <c r="BZ397" s="2" t="s">
        <v>7159</v>
      </c>
      <c r="CE397" s="7">
        <v>0.4</v>
      </c>
      <c r="CF397" s="2">
        <v>36</v>
      </c>
      <c r="CK397" s="2">
        <v>100</v>
      </c>
      <c r="CO397" s="2">
        <v>100</v>
      </c>
      <c r="CR397" s="2" t="s">
        <v>7160</v>
      </c>
      <c r="CT397" s="2" t="s">
        <v>7143</v>
      </c>
      <c r="CU397" s="2" t="s">
        <v>7234</v>
      </c>
      <c r="CW397" s="2" t="s">
        <v>7162</v>
      </c>
      <c r="CY397" s="2" t="s">
        <v>7164</v>
      </c>
      <c r="CZ397" s="2" t="s">
        <v>7164</v>
      </c>
      <c r="DA397" s="2" t="s">
        <v>7164</v>
      </c>
      <c r="DB397" s="2" t="s">
        <v>7164</v>
      </c>
      <c r="DL397" s="2" t="s">
        <v>7143</v>
      </c>
      <c r="DM397" s="2" t="s">
        <v>7143</v>
      </c>
      <c r="DP397" s="2" t="s">
        <v>7159</v>
      </c>
      <c r="DT397" s="2" t="s">
        <v>7165</v>
      </c>
      <c r="DU397" s="2" t="s">
        <v>7159</v>
      </c>
      <c r="DV397" s="2" t="s">
        <v>7165</v>
      </c>
      <c r="DW397" s="2" t="s">
        <v>7159</v>
      </c>
      <c r="DX397" s="2" t="s">
        <v>7159</v>
      </c>
      <c r="DY397" s="2" t="s">
        <v>7159</v>
      </c>
      <c r="DZ397" s="2" t="s">
        <v>7159</v>
      </c>
      <c r="EA397" s="2" t="s">
        <v>7159</v>
      </c>
      <c r="EB397" s="2" t="s">
        <v>7159</v>
      </c>
      <c r="EJ397" s="2" t="s">
        <v>7193</v>
      </c>
      <c r="EK397" s="2" t="s">
        <v>7143</v>
      </c>
      <c r="EL397" s="2" t="s">
        <v>7143</v>
      </c>
      <c r="EN397" s="2" t="s">
        <v>7392</v>
      </c>
      <c r="EP397" s="2" t="s">
        <v>7186</v>
      </c>
      <c r="ER397" s="2" t="s">
        <v>7143</v>
      </c>
      <c r="ET397" s="2" t="s">
        <v>7143</v>
      </c>
      <c r="EV397" s="2" t="s">
        <v>7143</v>
      </c>
      <c r="EX397" s="2" t="s">
        <v>7143</v>
      </c>
      <c r="EZ397" s="2" t="s">
        <v>7143</v>
      </c>
      <c r="FC397" s="2" t="s">
        <v>7218</v>
      </c>
      <c r="FD397" s="2" t="s">
        <v>7143</v>
      </c>
      <c r="FH397" s="2" t="s">
        <v>7173</v>
      </c>
      <c r="FJ397" s="2" t="s">
        <v>7142</v>
      </c>
      <c r="FK397" s="2" t="s">
        <v>7173</v>
      </c>
      <c r="FT397" s="2" t="s">
        <v>7189</v>
      </c>
      <c r="FU397" s="2" t="s">
        <v>7189</v>
      </c>
      <c r="FV397" s="2" t="s">
        <v>7189</v>
      </c>
      <c r="FW397" s="2" t="s">
        <v>7189</v>
      </c>
      <c r="FZ397" s="19" t="s">
        <v>8518</v>
      </c>
    </row>
    <row r="398" spans="1:182">
      <c r="A398" s="7" t="s">
        <v>2557</v>
      </c>
      <c r="D398" s="7" t="s">
        <v>8519</v>
      </c>
      <c r="E398" s="7" t="s">
        <v>2558</v>
      </c>
      <c r="F398" s="7" t="s">
        <v>7311</v>
      </c>
      <c r="G398" s="7" t="s">
        <v>8348</v>
      </c>
      <c r="H398" s="7" t="s">
        <v>2559</v>
      </c>
      <c r="I398" s="7" t="s">
        <v>2560</v>
      </c>
      <c r="J398" s="16" t="s">
        <v>8520</v>
      </c>
      <c r="K398" s="7" t="s">
        <v>2560</v>
      </c>
      <c r="L398" s="7" t="s">
        <v>7137</v>
      </c>
      <c r="M398" s="7" t="s">
        <v>7138</v>
      </c>
      <c r="N398" s="7">
        <v>1973</v>
      </c>
      <c r="O398" s="7" t="s">
        <v>8521</v>
      </c>
      <c r="P398" s="7" t="s">
        <v>7140</v>
      </c>
      <c r="Q398" s="7" t="s">
        <v>7141</v>
      </c>
      <c r="R398" s="7" t="s">
        <v>7143</v>
      </c>
      <c r="S398" s="7">
        <v>7</v>
      </c>
      <c r="T398" s="7" t="s">
        <v>7143</v>
      </c>
      <c r="U398" s="7" t="s">
        <v>7143</v>
      </c>
      <c r="Y398" s="2">
        <v>90</v>
      </c>
      <c r="Z398" s="17">
        <v>1</v>
      </c>
      <c r="AA398" s="2">
        <v>90</v>
      </c>
      <c r="AB398" s="2">
        <v>90</v>
      </c>
      <c r="AC398" s="7">
        <v>90</v>
      </c>
      <c r="AD398" s="2">
        <v>97</v>
      </c>
      <c r="AE398" s="2">
        <v>7</v>
      </c>
      <c r="AF398" s="2" t="s">
        <v>7143</v>
      </c>
      <c r="AG398" s="2" t="s">
        <v>7143</v>
      </c>
      <c r="AH398" s="2" t="s">
        <v>7143</v>
      </c>
      <c r="AJ398" s="2" t="s">
        <v>7143</v>
      </c>
      <c r="AK398" s="2" t="s">
        <v>7143</v>
      </c>
      <c r="AL398" s="2" t="s">
        <v>7143</v>
      </c>
      <c r="AM398" s="2" t="s">
        <v>7143</v>
      </c>
      <c r="AN398" s="2" t="s">
        <v>7143</v>
      </c>
      <c r="AO398" s="2" t="s">
        <v>7143</v>
      </c>
      <c r="AR398" s="7">
        <v>0.3</v>
      </c>
      <c r="AS398" s="7">
        <v>1</v>
      </c>
      <c r="AT398" s="7">
        <v>1</v>
      </c>
      <c r="AU398" s="2" t="s">
        <v>7144</v>
      </c>
      <c r="AV398" s="2" t="s">
        <v>7144</v>
      </c>
      <c r="AW398" s="2" t="s">
        <v>7143</v>
      </c>
      <c r="BC398" s="2" t="s">
        <v>7147</v>
      </c>
      <c r="BD398" s="2" t="s">
        <v>7142</v>
      </c>
      <c r="BE398" s="2" t="s">
        <v>7143</v>
      </c>
      <c r="BL398" s="2" t="s">
        <v>7195</v>
      </c>
      <c r="BO398" s="2" t="s">
        <v>7155</v>
      </c>
      <c r="BQ398" s="2" t="s">
        <v>7156</v>
      </c>
      <c r="BS398" s="2" t="s">
        <v>7142</v>
      </c>
      <c r="BT398" s="2" t="s">
        <v>7215</v>
      </c>
      <c r="BV398" s="2" t="s">
        <v>7379</v>
      </c>
      <c r="BX398" s="2" t="s">
        <v>7143</v>
      </c>
      <c r="BY398" s="2" t="s">
        <v>1357</v>
      </c>
      <c r="BZ398" s="2" t="s">
        <v>7159</v>
      </c>
      <c r="CE398" s="7">
        <v>1</v>
      </c>
      <c r="CF398" s="2">
        <v>97</v>
      </c>
      <c r="CK398" s="2">
        <v>100</v>
      </c>
      <c r="CP398" s="2">
        <v>100</v>
      </c>
      <c r="CR398" s="2" t="s">
        <v>7160</v>
      </c>
      <c r="CT398" s="2" t="s">
        <v>7143</v>
      </c>
      <c r="CU398" s="2" t="s">
        <v>7161</v>
      </c>
      <c r="CW398" s="2" t="s">
        <v>7162</v>
      </c>
      <c r="CY398" s="2" t="s">
        <v>7250</v>
      </c>
      <c r="CZ398" s="2" t="s">
        <v>7250</v>
      </c>
      <c r="DA398" s="2" t="s">
        <v>7250</v>
      </c>
      <c r="DB398" s="2" t="s">
        <v>7250</v>
      </c>
      <c r="DC398" s="2" t="s">
        <v>7250</v>
      </c>
      <c r="DD398" s="2" t="s">
        <v>7250</v>
      </c>
      <c r="DE398" s="2" t="s">
        <v>7250</v>
      </c>
      <c r="DF398" s="2" t="s">
        <v>7250</v>
      </c>
      <c r="DG398" s="2" t="s">
        <v>7250</v>
      </c>
      <c r="DH398" s="2" t="s">
        <v>7250</v>
      </c>
      <c r="DI398" s="2" t="s">
        <v>7250</v>
      </c>
      <c r="DL398" s="2" t="s">
        <v>7143</v>
      </c>
      <c r="DM398" s="2" t="s">
        <v>7143</v>
      </c>
      <c r="DP398" s="2" t="s">
        <v>7159</v>
      </c>
      <c r="DT398" s="2" t="s">
        <v>7159</v>
      </c>
      <c r="DU398" s="2" t="s">
        <v>7159</v>
      </c>
      <c r="DV398" s="2" t="s">
        <v>7159</v>
      </c>
      <c r="DW398" s="2" t="s">
        <v>7159</v>
      </c>
      <c r="DX398" s="2" t="s">
        <v>7159</v>
      </c>
      <c r="DY398" s="2" t="s">
        <v>7159</v>
      </c>
      <c r="DZ398" s="2" t="s">
        <v>7159</v>
      </c>
      <c r="EA398" s="2" t="s">
        <v>7159</v>
      </c>
      <c r="EB398" s="2" t="s">
        <v>7159</v>
      </c>
      <c r="EC398" s="2" t="s">
        <v>7159</v>
      </c>
      <c r="ED398" s="2" t="s">
        <v>7159</v>
      </c>
      <c r="EF398" s="2" t="s">
        <v>7221</v>
      </c>
      <c r="EG398" s="2" t="s">
        <v>2562</v>
      </c>
      <c r="EJ398" s="2" t="s">
        <v>7193</v>
      </c>
      <c r="EK398" s="2" t="s">
        <v>7143</v>
      </c>
      <c r="EL398" s="2" t="s">
        <v>7143</v>
      </c>
      <c r="EN398" s="2" t="s">
        <v>7170</v>
      </c>
      <c r="EP398" s="2" t="s">
        <v>7186</v>
      </c>
      <c r="ER398" s="2" t="s">
        <v>7143</v>
      </c>
      <c r="ET398" s="2" t="s">
        <v>7143</v>
      </c>
      <c r="EV398" s="2" t="s">
        <v>7143</v>
      </c>
      <c r="EX398" s="2" t="s">
        <v>7143</v>
      </c>
      <c r="EZ398" s="2" t="s">
        <v>7143</v>
      </c>
      <c r="FC398" s="2" t="s">
        <v>7172</v>
      </c>
      <c r="FD398" s="2" t="s">
        <v>7143</v>
      </c>
      <c r="FH398" s="2" t="s">
        <v>7173</v>
      </c>
      <c r="FJ398" s="2" t="s">
        <v>7143</v>
      </c>
      <c r="FK398" s="2" t="s">
        <v>7159</v>
      </c>
      <c r="FN398" s="2" t="s">
        <v>7322</v>
      </c>
      <c r="FR398" s="2" t="s">
        <v>2563</v>
      </c>
      <c r="FT398" s="2" t="s">
        <v>7189</v>
      </c>
      <c r="FU398" s="2" t="s">
        <v>7189</v>
      </c>
      <c r="FV398" s="2" t="s">
        <v>7176</v>
      </c>
      <c r="FW398" s="2" t="s">
        <v>7189</v>
      </c>
      <c r="FX398" s="2" t="s">
        <v>7176</v>
      </c>
      <c r="FY398" s="2" t="s">
        <v>2564</v>
      </c>
      <c r="FZ398" s="19" t="s">
        <v>8522</v>
      </c>
    </row>
    <row r="399" spans="1:182">
      <c r="A399" s="7" t="s">
        <v>2565</v>
      </c>
      <c r="D399" s="7" t="s">
        <v>8523</v>
      </c>
      <c r="E399" s="7" t="s">
        <v>177</v>
      </c>
      <c r="F399" s="7" t="s">
        <v>7134</v>
      </c>
      <c r="G399" s="7" t="s">
        <v>8348</v>
      </c>
      <c r="H399" s="7" t="s">
        <v>2294</v>
      </c>
      <c r="I399" s="7" t="s">
        <v>2381</v>
      </c>
      <c r="J399" s="16" t="s">
        <v>8524</v>
      </c>
      <c r="K399" s="7" t="s">
        <v>2381</v>
      </c>
      <c r="L399" s="7" t="s">
        <v>7137</v>
      </c>
      <c r="M399" s="7" t="s">
        <v>7138</v>
      </c>
      <c r="N399" s="7">
        <v>1987</v>
      </c>
      <c r="O399" s="7" t="s">
        <v>7490</v>
      </c>
      <c r="P399" s="7" t="s">
        <v>7140</v>
      </c>
      <c r="Q399" s="7" t="s">
        <v>7141</v>
      </c>
      <c r="R399" s="7" t="s">
        <v>7142</v>
      </c>
      <c r="S399" s="7">
        <v>2005</v>
      </c>
      <c r="T399" s="7" t="s">
        <v>7143</v>
      </c>
      <c r="U399" s="7" t="s">
        <v>7143</v>
      </c>
      <c r="Y399" s="7">
        <v>394</v>
      </c>
      <c r="Z399" s="17">
        <v>0.78680000000000005</v>
      </c>
      <c r="AA399" s="2">
        <v>310</v>
      </c>
      <c r="AB399" s="2">
        <v>310</v>
      </c>
      <c r="AC399" s="7">
        <v>250</v>
      </c>
      <c r="AD399" s="7">
        <v>310</v>
      </c>
      <c r="AE399" s="7">
        <v>60</v>
      </c>
      <c r="AF399" s="7" t="s">
        <v>7143</v>
      </c>
      <c r="AG399" s="7" t="s">
        <v>7143</v>
      </c>
      <c r="AH399" s="7" t="s">
        <v>7143</v>
      </c>
      <c r="AJ399" s="7" t="s">
        <v>7143</v>
      </c>
      <c r="AK399" s="7" t="s">
        <v>7143</v>
      </c>
      <c r="AL399" s="7" t="s">
        <v>7142</v>
      </c>
      <c r="AM399" s="7" t="s">
        <v>7142</v>
      </c>
      <c r="AN399" s="7" t="s">
        <v>7143</v>
      </c>
      <c r="AO399" s="7" t="s">
        <v>7143</v>
      </c>
      <c r="AR399" s="7">
        <v>1.2</v>
      </c>
      <c r="AS399" s="7">
        <v>3</v>
      </c>
      <c r="AT399" s="7">
        <v>3.5</v>
      </c>
      <c r="AU399" s="7" t="s">
        <v>7144</v>
      </c>
      <c r="AV399" s="2" t="s">
        <v>7144</v>
      </c>
      <c r="AW399" s="7" t="s">
        <v>7143</v>
      </c>
      <c r="AZ399" s="2" t="s">
        <v>7145</v>
      </c>
      <c r="BB399" s="2" t="s">
        <v>7146</v>
      </c>
      <c r="BC399" s="2" t="s">
        <v>7147</v>
      </c>
      <c r="BD399" s="2" t="s">
        <v>7142</v>
      </c>
      <c r="BE399" s="2" t="s">
        <v>7142</v>
      </c>
      <c r="BF399" s="2" t="s">
        <v>7148</v>
      </c>
      <c r="BG399" s="2" t="s">
        <v>7149</v>
      </c>
      <c r="BH399" s="2" t="s">
        <v>7248</v>
      </c>
      <c r="BI399" s="2" t="s">
        <v>7151</v>
      </c>
      <c r="BL399" s="2" t="s">
        <v>7152</v>
      </c>
      <c r="BM399" s="2" t="s">
        <v>7153</v>
      </c>
      <c r="BN399" s="2" t="s">
        <v>7154</v>
      </c>
      <c r="BO399" s="2" t="s">
        <v>7155</v>
      </c>
      <c r="BQ399" s="2" t="s">
        <v>7183</v>
      </c>
      <c r="BS399" s="2" t="s">
        <v>7142</v>
      </c>
      <c r="BT399" s="2" t="s">
        <v>7157</v>
      </c>
      <c r="BV399" s="2" t="s">
        <v>7202</v>
      </c>
      <c r="BX399" s="2" t="s">
        <v>7143</v>
      </c>
      <c r="BZ399" s="2" t="s">
        <v>7173</v>
      </c>
      <c r="CE399" s="7">
        <v>3.5</v>
      </c>
      <c r="CF399" s="2">
        <v>310</v>
      </c>
      <c r="CM399" s="2">
        <v>100</v>
      </c>
      <c r="CO399" s="2">
        <v>100</v>
      </c>
      <c r="CR399" s="2" t="s">
        <v>7160</v>
      </c>
      <c r="CT399" s="2" t="s">
        <v>7143</v>
      </c>
      <c r="CU399" s="2" t="s">
        <v>7161</v>
      </c>
      <c r="CW399" s="2" t="s">
        <v>7162</v>
      </c>
      <c r="CY399" s="2" t="s">
        <v>7163</v>
      </c>
      <c r="CZ399" s="2" t="s">
        <v>7163</v>
      </c>
      <c r="DA399" s="2" t="s">
        <v>7164</v>
      </c>
      <c r="DB399" s="2" t="s">
        <v>7164</v>
      </c>
      <c r="DC399" s="2" t="s">
        <v>7164</v>
      </c>
      <c r="DD399" s="2" t="s">
        <v>7164</v>
      </c>
      <c r="DE399" s="2" t="s">
        <v>7164</v>
      </c>
      <c r="DF399" s="2" t="s">
        <v>7164</v>
      </c>
      <c r="DG399" s="2" t="s">
        <v>7164</v>
      </c>
      <c r="DH399" s="2" t="s">
        <v>7164</v>
      </c>
      <c r="DI399" s="2" t="s">
        <v>7164</v>
      </c>
      <c r="DL399" s="2" t="s">
        <v>7142</v>
      </c>
      <c r="DM399" s="2" t="s">
        <v>7142</v>
      </c>
      <c r="DN399" s="2" t="s">
        <v>7142</v>
      </c>
      <c r="DO399" s="2" t="s">
        <v>7142</v>
      </c>
      <c r="DP399" s="2" t="s">
        <v>7165</v>
      </c>
      <c r="DQ399" s="2" t="s">
        <v>7166</v>
      </c>
      <c r="DT399" s="2" t="s">
        <v>7165</v>
      </c>
      <c r="DU399" s="2" t="s">
        <v>7165</v>
      </c>
      <c r="DV399" s="2" t="s">
        <v>7165</v>
      </c>
      <c r="DW399" s="2" t="s">
        <v>7165</v>
      </c>
      <c r="DX399" s="2" t="s">
        <v>7165</v>
      </c>
      <c r="DY399" s="2" t="s">
        <v>7165</v>
      </c>
      <c r="DZ399" s="2" t="s">
        <v>7165</v>
      </c>
      <c r="EA399" s="2" t="s">
        <v>7165</v>
      </c>
      <c r="EB399" s="2" t="s">
        <v>7165</v>
      </c>
      <c r="EF399" s="2" t="s">
        <v>7167</v>
      </c>
      <c r="EJ399" s="2" t="s">
        <v>7144</v>
      </c>
      <c r="EK399" s="2" t="s">
        <v>7142</v>
      </c>
      <c r="EL399" s="2" t="s">
        <v>7143</v>
      </c>
      <c r="EN399" s="2" t="s">
        <v>7170</v>
      </c>
      <c r="EP399" s="2" t="s">
        <v>7186</v>
      </c>
      <c r="ER399" s="2" t="s">
        <v>7142</v>
      </c>
      <c r="ET399" s="2" t="s">
        <v>7143</v>
      </c>
      <c r="EV399" s="2" t="s">
        <v>7142</v>
      </c>
      <c r="EW399" s="2" t="s">
        <v>7700</v>
      </c>
      <c r="EX399" s="2" t="s">
        <v>7142</v>
      </c>
      <c r="EY399" s="2" t="s">
        <v>7700</v>
      </c>
      <c r="FC399" s="2" t="s">
        <v>7172</v>
      </c>
      <c r="FD399" s="2" t="s">
        <v>7143</v>
      </c>
      <c r="FH399" s="2" t="s">
        <v>7173</v>
      </c>
      <c r="FJ399" s="2" t="s">
        <v>7142</v>
      </c>
      <c r="FK399" s="2" t="s">
        <v>7165</v>
      </c>
      <c r="FL399" s="2" t="s">
        <v>7198</v>
      </c>
      <c r="FN399" s="2" t="s">
        <v>7175</v>
      </c>
      <c r="FT399" s="2" t="s">
        <v>7176</v>
      </c>
      <c r="FU399" s="2" t="s">
        <v>7176</v>
      </c>
      <c r="FV399" s="2" t="s">
        <v>7176</v>
      </c>
      <c r="FW399" s="2" t="s">
        <v>7176</v>
      </c>
      <c r="FZ399" s="19" t="s">
        <v>8525</v>
      </c>
    </row>
    <row r="400" spans="1:182">
      <c r="A400" s="7"/>
      <c r="D400" s="7"/>
      <c r="E400" s="7"/>
      <c r="F400" s="7"/>
      <c r="G400" s="7"/>
      <c r="H400" s="7"/>
      <c r="I400" s="7"/>
      <c r="J400" s="7"/>
      <c r="K400" s="7"/>
      <c r="L400" s="7"/>
      <c r="M400" s="7"/>
      <c r="N400" s="7"/>
      <c r="O400" s="7"/>
      <c r="P400" s="7"/>
      <c r="Q400" s="7"/>
      <c r="R400" s="7"/>
      <c r="S400" s="7"/>
      <c r="T400" s="7"/>
      <c r="U400" s="7"/>
      <c r="Y400" s="7"/>
      <c r="Z400" s="17"/>
      <c r="AC400" s="7"/>
      <c r="AD400" s="7"/>
      <c r="AE400" s="7"/>
      <c r="AF400" s="7"/>
      <c r="AG400" s="7"/>
      <c r="AH400" s="7"/>
      <c r="AJ400" s="7"/>
      <c r="AK400" s="7"/>
      <c r="AL400" s="7"/>
      <c r="AM400" s="7"/>
      <c r="AN400" s="7"/>
      <c r="AO400" s="7"/>
      <c r="AR400" s="7"/>
      <c r="AS400" s="7"/>
      <c r="AT400" s="7"/>
      <c r="AU400" s="7"/>
      <c r="AW400" s="7"/>
      <c r="CE400" s="7"/>
      <c r="FZ400" s="2"/>
    </row>
    <row r="401" spans="1:182">
      <c r="A401" s="7"/>
      <c r="D401" s="7"/>
      <c r="E401" s="7"/>
      <c r="F401" s="7"/>
      <c r="G401" s="7"/>
      <c r="H401" s="7"/>
      <c r="I401" s="7"/>
      <c r="J401" s="7"/>
      <c r="K401" s="7"/>
      <c r="L401" s="7"/>
      <c r="M401" s="7"/>
      <c r="N401" s="7"/>
      <c r="O401" s="7"/>
      <c r="P401" s="7"/>
      <c r="Q401" s="7"/>
      <c r="R401" s="7"/>
      <c r="S401" s="7"/>
      <c r="T401" s="7"/>
      <c r="U401" s="7"/>
      <c r="Y401" s="7"/>
      <c r="Z401" s="17"/>
      <c r="AC401" s="7"/>
      <c r="AD401" s="7"/>
      <c r="AE401" s="7"/>
      <c r="AF401" s="7"/>
      <c r="AG401" s="7"/>
      <c r="AH401" s="7"/>
      <c r="AJ401" s="7"/>
      <c r="AK401" s="7"/>
      <c r="AL401" s="7"/>
      <c r="AM401" s="7"/>
      <c r="AN401" s="7"/>
      <c r="AO401" s="7"/>
      <c r="AR401" s="7"/>
      <c r="AS401" s="7"/>
      <c r="AT401" s="7"/>
      <c r="AU401" s="7"/>
      <c r="AW401" s="7"/>
      <c r="CE401" s="7"/>
      <c r="FZ401" s="2"/>
    </row>
    <row r="402" spans="1:182">
      <c r="A402" s="7"/>
      <c r="D402" s="7"/>
      <c r="E402" s="7"/>
      <c r="F402" s="7"/>
      <c r="G402" s="7"/>
      <c r="H402" s="7"/>
      <c r="I402" s="7"/>
      <c r="J402" s="7"/>
      <c r="K402" s="7"/>
      <c r="L402" s="7"/>
      <c r="M402" s="7"/>
      <c r="N402" s="7"/>
      <c r="O402" s="7"/>
      <c r="P402" s="7"/>
      <c r="Q402" s="7"/>
      <c r="R402" s="7"/>
      <c r="S402" s="7"/>
      <c r="T402" s="7"/>
      <c r="U402" s="7"/>
      <c r="Y402" s="7"/>
      <c r="Z402" s="17"/>
      <c r="AC402" s="7"/>
      <c r="AD402" s="7"/>
      <c r="AE402" s="7"/>
      <c r="AF402" s="7"/>
      <c r="AG402" s="7"/>
      <c r="AH402" s="7"/>
      <c r="AJ402" s="7"/>
      <c r="AK402" s="7"/>
      <c r="AL402" s="7"/>
      <c r="AM402" s="7"/>
      <c r="AN402" s="7"/>
      <c r="AO402" s="7"/>
      <c r="AR402" s="7"/>
      <c r="AS402" s="7"/>
      <c r="AT402" s="7"/>
      <c r="AU402" s="7"/>
      <c r="AW402" s="7"/>
      <c r="CE402" s="7"/>
      <c r="FZ402" s="2"/>
    </row>
    <row r="403" spans="1:182">
      <c r="A403" s="7"/>
      <c r="D403" s="7"/>
      <c r="E403" s="7"/>
      <c r="F403" s="7"/>
      <c r="G403" s="7"/>
      <c r="H403" s="7"/>
      <c r="I403" s="7"/>
      <c r="J403" s="7"/>
      <c r="K403" s="7"/>
      <c r="L403" s="7"/>
      <c r="M403" s="7"/>
      <c r="N403" s="7"/>
      <c r="O403" s="7"/>
      <c r="P403" s="7"/>
      <c r="Q403" s="7"/>
      <c r="R403" s="7"/>
      <c r="S403" s="7"/>
      <c r="T403" s="7"/>
      <c r="U403" s="7"/>
      <c r="Y403" s="7"/>
      <c r="Z403" s="17"/>
      <c r="AC403" s="7"/>
      <c r="AD403" s="7"/>
      <c r="AE403" s="7"/>
      <c r="AF403" s="7"/>
      <c r="AG403" s="7"/>
      <c r="AH403" s="7"/>
      <c r="AJ403" s="7"/>
      <c r="AK403" s="7"/>
      <c r="AL403" s="7"/>
      <c r="AM403" s="7"/>
      <c r="AN403" s="7"/>
      <c r="AO403" s="7"/>
      <c r="AR403" s="7"/>
      <c r="AS403" s="7"/>
      <c r="AT403" s="7"/>
      <c r="AU403" s="7"/>
      <c r="AW403" s="7"/>
      <c r="CE403" s="7"/>
      <c r="FZ403" s="2"/>
    </row>
    <row r="404" spans="1:182">
      <c r="A404" s="7"/>
      <c r="D404" s="7"/>
      <c r="E404" s="7"/>
      <c r="F404" s="7"/>
      <c r="G404" s="7"/>
      <c r="H404" s="7"/>
      <c r="I404" s="7"/>
      <c r="J404" s="7"/>
      <c r="K404" s="7"/>
      <c r="L404" s="7"/>
      <c r="M404" s="7"/>
      <c r="N404" s="7"/>
      <c r="O404" s="7"/>
      <c r="P404" s="7"/>
      <c r="Q404" s="7"/>
      <c r="R404" s="7"/>
      <c r="S404" s="7"/>
      <c r="T404" s="7"/>
      <c r="U404" s="7"/>
      <c r="Y404" s="7"/>
      <c r="Z404" s="17"/>
      <c r="AC404" s="7"/>
      <c r="AD404" s="7"/>
      <c r="AE404" s="7"/>
      <c r="AF404" s="7"/>
      <c r="AG404" s="7"/>
      <c r="AH404" s="7"/>
      <c r="AJ404" s="7"/>
      <c r="AK404" s="7"/>
      <c r="AL404" s="7"/>
      <c r="AM404" s="7"/>
      <c r="AN404" s="7"/>
      <c r="AO404" s="7"/>
      <c r="AR404" s="7"/>
      <c r="AS404" s="7"/>
      <c r="AT404" s="7"/>
      <c r="AU404" s="7"/>
      <c r="AW404" s="7"/>
      <c r="CE404" s="7"/>
      <c r="FZ404" s="2"/>
    </row>
    <row r="405" spans="1:182">
      <c r="A405" s="7"/>
      <c r="D405" s="7"/>
      <c r="E405" s="7"/>
      <c r="F405" s="7"/>
      <c r="G405" s="7"/>
      <c r="H405" s="7"/>
      <c r="I405" s="7"/>
      <c r="J405" s="7"/>
      <c r="K405" s="7"/>
      <c r="L405" s="7"/>
      <c r="M405" s="7"/>
      <c r="N405" s="7"/>
      <c r="O405" s="7"/>
      <c r="P405" s="7"/>
      <c r="Q405" s="7"/>
      <c r="R405" s="7"/>
      <c r="S405" s="7"/>
      <c r="T405" s="7"/>
      <c r="U405" s="7"/>
      <c r="Y405" s="7"/>
      <c r="Z405" s="17"/>
      <c r="AC405" s="7"/>
      <c r="AD405" s="7"/>
      <c r="AE405" s="7"/>
      <c r="AF405" s="7"/>
      <c r="AG405" s="7"/>
      <c r="AH405" s="7"/>
      <c r="AJ405" s="7"/>
      <c r="AK405" s="7"/>
      <c r="AL405" s="7"/>
      <c r="AM405" s="7"/>
      <c r="AN405" s="7"/>
      <c r="AO405" s="7"/>
      <c r="AR405" s="7"/>
      <c r="AS405" s="7"/>
      <c r="AT405" s="7"/>
      <c r="AU405" s="7"/>
      <c r="AW405" s="7"/>
      <c r="CE405" s="7"/>
      <c r="FZ405" s="2"/>
    </row>
    <row r="406" spans="1:182">
      <c r="A406" s="7"/>
      <c r="D406" s="7"/>
      <c r="E406" s="7"/>
      <c r="F406" s="7"/>
      <c r="G406" s="7"/>
      <c r="H406" s="7"/>
      <c r="I406" s="7"/>
      <c r="J406" s="7"/>
      <c r="K406" s="7"/>
      <c r="L406" s="7"/>
      <c r="M406" s="7"/>
      <c r="N406" s="7"/>
      <c r="O406" s="7"/>
      <c r="P406" s="7"/>
      <c r="Q406" s="7"/>
      <c r="R406" s="7"/>
      <c r="S406" s="7"/>
      <c r="T406" s="7"/>
      <c r="U406" s="7"/>
      <c r="Y406" s="7"/>
      <c r="Z406" s="17"/>
      <c r="AC406" s="7"/>
      <c r="AD406" s="7"/>
      <c r="AE406" s="7"/>
      <c r="AF406" s="7"/>
      <c r="AG406" s="7"/>
      <c r="AH406" s="7"/>
      <c r="AJ406" s="7"/>
      <c r="AK406" s="7"/>
      <c r="AL406" s="7"/>
      <c r="AM406" s="7"/>
      <c r="AN406" s="7"/>
      <c r="AO406" s="7"/>
      <c r="AR406" s="7"/>
      <c r="AS406" s="7"/>
      <c r="AT406" s="7"/>
      <c r="AU406" s="7"/>
      <c r="AW406" s="7"/>
      <c r="CE406" s="7"/>
      <c r="FZ406" s="2"/>
    </row>
    <row r="407" spans="1:182">
      <c r="A407" s="7"/>
      <c r="D407" s="7"/>
      <c r="E407" s="7"/>
      <c r="F407" s="7"/>
      <c r="G407" s="7"/>
      <c r="H407" s="7"/>
      <c r="I407" s="7"/>
      <c r="J407" s="7"/>
      <c r="K407" s="7"/>
      <c r="L407" s="7"/>
      <c r="M407" s="7"/>
      <c r="N407" s="7"/>
      <c r="O407" s="7"/>
      <c r="P407" s="7"/>
      <c r="Q407" s="7"/>
      <c r="R407" s="7"/>
      <c r="S407" s="7"/>
      <c r="T407" s="7"/>
      <c r="U407" s="7"/>
      <c r="Y407" s="7"/>
      <c r="Z407" s="17"/>
      <c r="AC407" s="7"/>
      <c r="AD407" s="7"/>
      <c r="AE407" s="7"/>
      <c r="AF407" s="7"/>
      <c r="AG407" s="7"/>
      <c r="AH407" s="7"/>
      <c r="AJ407" s="7"/>
      <c r="AK407" s="7"/>
      <c r="AL407" s="7"/>
      <c r="AM407" s="7"/>
      <c r="AN407" s="7"/>
      <c r="AO407" s="7"/>
      <c r="AR407" s="7"/>
      <c r="AS407" s="7"/>
      <c r="AT407" s="7"/>
      <c r="AU407" s="7"/>
      <c r="AW407" s="7"/>
      <c r="CE407" s="7"/>
      <c r="FZ407" s="2"/>
    </row>
    <row r="408" spans="1:182">
      <c r="A408" s="7"/>
      <c r="D408" s="7"/>
      <c r="E408" s="7"/>
      <c r="F408" s="7"/>
      <c r="G408" s="7"/>
      <c r="H408" s="7"/>
      <c r="I408" s="7"/>
      <c r="J408" s="7"/>
      <c r="K408" s="7"/>
      <c r="L408" s="7"/>
      <c r="M408" s="7"/>
      <c r="N408" s="7"/>
      <c r="O408" s="7"/>
      <c r="P408" s="7"/>
      <c r="Q408" s="7"/>
      <c r="R408" s="7"/>
      <c r="S408" s="7"/>
      <c r="T408" s="7"/>
      <c r="U408" s="7"/>
      <c r="Y408" s="7"/>
      <c r="Z408" s="17"/>
      <c r="AC408" s="7"/>
      <c r="AD408" s="7"/>
      <c r="AE408" s="7"/>
      <c r="AF408" s="7"/>
      <c r="AG408" s="7"/>
      <c r="AH408" s="7"/>
      <c r="AJ408" s="7"/>
      <c r="AK408" s="7"/>
      <c r="AL408" s="7"/>
      <c r="AM408" s="7"/>
      <c r="AN408" s="7"/>
      <c r="AO408" s="7"/>
      <c r="AR408" s="7"/>
      <c r="AS408" s="7"/>
      <c r="AT408" s="7"/>
      <c r="AU408" s="7"/>
      <c r="AW408" s="7"/>
      <c r="CE408" s="7"/>
      <c r="FZ408" s="2"/>
    </row>
    <row r="409" spans="1:182">
      <c r="A409" s="7"/>
      <c r="D409" s="7"/>
      <c r="E409" s="7"/>
      <c r="F409" s="7"/>
      <c r="G409" s="7"/>
      <c r="H409" s="7"/>
      <c r="I409" s="7"/>
      <c r="J409" s="7"/>
      <c r="K409" s="7"/>
      <c r="L409" s="7"/>
      <c r="M409" s="7"/>
      <c r="N409" s="7"/>
      <c r="O409" s="7"/>
      <c r="P409" s="7"/>
      <c r="Q409" s="7"/>
      <c r="R409" s="7"/>
      <c r="S409" s="7"/>
      <c r="T409" s="7"/>
      <c r="U409" s="7"/>
      <c r="Y409" s="7"/>
      <c r="Z409" s="17"/>
      <c r="AC409" s="7"/>
      <c r="AD409" s="7"/>
      <c r="AE409" s="7"/>
      <c r="AF409" s="7"/>
      <c r="AG409" s="7"/>
      <c r="AH409" s="7"/>
      <c r="AJ409" s="7"/>
      <c r="AK409" s="7"/>
      <c r="AL409" s="7"/>
      <c r="AM409" s="7"/>
      <c r="AN409" s="7"/>
      <c r="AO409" s="7"/>
      <c r="AR409" s="7"/>
      <c r="AS409" s="7"/>
      <c r="AT409" s="7"/>
      <c r="AU409" s="7"/>
      <c r="AW409" s="7"/>
      <c r="CE409" s="7"/>
      <c r="FZ409" s="2"/>
    </row>
    <row r="410" spans="1:182">
      <c r="A410" s="7"/>
      <c r="D410" s="7"/>
      <c r="E410" s="7"/>
      <c r="F410" s="7"/>
      <c r="G410" s="7"/>
      <c r="H410" s="7"/>
      <c r="I410" s="7"/>
      <c r="J410" s="7"/>
      <c r="K410" s="7"/>
      <c r="L410" s="7"/>
      <c r="M410" s="7"/>
      <c r="N410" s="7"/>
      <c r="O410" s="7"/>
      <c r="P410" s="7"/>
      <c r="Q410" s="7"/>
      <c r="R410" s="7"/>
      <c r="S410" s="7"/>
      <c r="T410" s="7"/>
      <c r="U410" s="7"/>
      <c r="Y410" s="7"/>
      <c r="Z410" s="17"/>
      <c r="AC410" s="7"/>
      <c r="AD410" s="7"/>
      <c r="AE410" s="7"/>
      <c r="AF410" s="7"/>
      <c r="AG410" s="7"/>
      <c r="AH410" s="7"/>
      <c r="AJ410" s="7"/>
      <c r="AK410" s="7"/>
      <c r="AL410" s="7"/>
      <c r="AM410" s="7"/>
      <c r="AN410" s="7"/>
      <c r="AO410" s="7"/>
      <c r="AR410" s="7"/>
      <c r="AS410" s="7"/>
      <c r="AT410" s="7"/>
      <c r="AU410" s="7"/>
      <c r="AW410" s="7"/>
      <c r="CE410" s="7"/>
      <c r="FZ410" s="2"/>
    </row>
    <row r="411" spans="1:182">
      <c r="A411" s="7"/>
      <c r="D411" s="7"/>
      <c r="E411" s="7"/>
      <c r="F411" s="7"/>
      <c r="G411" s="7"/>
      <c r="H411" s="7"/>
      <c r="I411" s="7"/>
      <c r="J411" s="7"/>
      <c r="K411" s="7"/>
      <c r="L411" s="7"/>
      <c r="M411" s="7"/>
      <c r="N411" s="7"/>
      <c r="O411" s="7"/>
      <c r="P411" s="7"/>
      <c r="Q411" s="7"/>
      <c r="R411" s="7"/>
      <c r="S411" s="7"/>
      <c r="T411" s="7"/>
      <c r="U411" s="7"/>
      <c r="Y411" s="7"/>
      <c r="Z411" s="17"/>
      <c r="AC411" s="7"/>
      <c r="AD411" s="7"/>
      <c r="AE411" s="7"/>
      <c r="AF411" s="7"/>
      <c r="AG411" s="7"/>
      <c r="AH411" s="7"/>
      <c r="AJ411" s="7"/>
      <c r="AK411" s="7"/>
      <c r="AL411" s="7"/>
      <c r="AM411" s="7"/>
      <c r="AN411" s="7"/>
      <c r="AO411" s="7"/>
      <c r="AR411" s="7"/>
      <c r="AS411" s="7"/>
      <c r="AT411" s="7"/>
      <c r="AU411" s="7"/>
      <c r="AW411" s="7"/>
      <c r="CE411" s="7"/>
      <c r="FZ411" s="2"/>
    </row>
    <row r="412" spans="1:182">
      <c r="A412" s="7"/>
      <c r="D412" s="7"/>
      <c r="E412" s="7"/>
      <c r="F412" s="7"/>
      <c r="G412" s="7"/>
      <c r="H412" s="7"/>
      <c r="I412" s="7"/>
      <c r="J412" s="7"/>
      <c r="K412" s="7"/>
      <c r="L412" s="7"/>
      <c r="M412" s="7"/>
      <c r="N412" s="7"/>
      <c r="O412" s="7"/>
      <c r="P412" s="7"/>
      <c r="Q412" s="7"/>
      <c r="R412" s="7"/>
      <c r="S412" s="7"/>
      <c r="T412" s="7"/>
      <c r="U412" s="7"/>
      <c r="Y412" s="7"/>
      <c r="Z412" s="17"/>
      <c r="AC412" s="7"/>
      <c r="AD412" s="7"/>
      <c r="AE412" s="7"/>
      <c r="AF412" s="7"/>
      <c r="AG412" s="7"/>
      <c r="AH412" s="7"/>
      <c r="AJ412" s="7"/>
      <c r="AK412" s="7"/>
      <c r="AL412" s="7"/>
      <c r="AM412" s="7"/>
      <c r="AN412" s="7"/>
      <c r="AO412" s="7"/>
      <c r="AR412" s="7"/>
      <c r="AS412" s="7"/>
      <c r="AT412" s="7"/>
      <c r="AU412" s="7"/>
      <c r="AW412" s="7"/>
      <c r="CE412" s="7"/>
      <c r="FZ412" s="2"/>
    </row>
    <row r="413" spans="1:182">
      <c r="A413" s="7"/>
      <c r="D413" s="7"/>
      <c r="E413" s="7"/>
      <c r="F413" s="7"/>
      <c r="G413" s="7"/>
      <c r="H413" s="7"/>
      <c r="I413" s="7"/>
      <c r="J413" s="7"/>
      <c r="K413" s="7"/>
      <c r="L413" s="7"/>
      <c r="M413" s="7"/>
      <c r="N413" s="7"/>
      <c r="O413" s="7"/>
      <c r="P413" s="7"/>
      <c r="Q413" s="7"/>
      <c r="R413" s="7"/>
      <c r="S413" s="7"/>
      <c r="T413" s="7"/>
      <c r="U413" s="7"/>
      <c r="Y413" s="7"/>
      <c r="Z413" s="17"/>
      <c r="AC413" s="7"/>
      <c r="AD413" s="7"/>
      <c r="AE413" s="7"/>
      <c r="AF413" s="7"/>
      <c r="AG413" s="7"/>
      <c r="AH413" s="7"/>
      <c r="AJ413" s="7"/>
      <c r="AK413" s="7"/>
      <c r="AL413" s="7"/>
      <c r="AM413" s="7"/>
      <c r="AN413" s="7"/>
      <c r="AO413" s="7"/>
      <c r="AR413" s="7"/>
      <c r="AS413" s="7"/>
      <c r="AT413" s="7"/>
      <c r="AU413" s="7"/>
      <c r="AW413" s="7"/>
      <c r="CE413" s="7"/>
      <c r="FZ413" s="2"/>
    </row>
    <row r="414" spans="1:182">
      <c r="A414" s="7"/>
      <c r="D414" s="7"/>
      <c r="E414" s="7"/>
      <c r="F414" s="7"/>
      <c r="G414" s="7"/>
      <c r="H414" s="7"/>
      <c r="I414" s="7"/>
      <c r="J414" s="7"/>
      <c r="K414" s="7"/>
      <c r="L414" s="7"/>
      <c r="M414" s="7"/>
      <c r="N414" s="7"/>
      <c r="O414" s="7"/>
      <c r="P414" s="7"/>
      <c r="Q414" s="7"/>
      <c r="R414" s="7"/>
      <c r="S414" s="7"/>
      <c r="T414" s="7"/>
      <c r="U414" s="7"/>
      <c r="Y414" s="7"/>
      <c r="Z414" s="17"/>
      <c r="AC414" s="7"/>
      <c r="AD414" s="7"/>
      <c r="AE414" s="7"/>
      <c r="AF414" s="7"/>
      <c r="AG414" s="7"/>
      <c r="AH414" s="7"/>
      <c r="AJ414" s="7"/>
      <c r="AK414" s="7"/>
      <c r="AL414" s="7"/>
      <c r="AM414" s="7"/>
      <c r="AN414" s="7"/>
      <c r="AO414" s="7"/>
      <c r="AR414" s="7"/>
      <c r="AS414" s="7"/>
      <c r="AT414" s="7"/>
      <c r="AU414" s="7"/>
      <c r="AW414" s="7"/>
      <c r="CE414" s="7"/>
      <c r="FZ414" s="2"/>
    </row>
    <row r="415" spans="1:182">
      <c r="A415" s="7"/>
      <c r="D415" s="7"/>
      <c r="E415" s="7"/>
      <c r="F415" s="7"/>
      <c r="G415" s="7"/>
      <c r="H415" s="7"/>
      <c r="I415" s="7"/>
      <c r="J415" s="7"/>
      <c r="K415" s="7"/>
      <c r="L415" s="7"/>
      <c r="M415" s="7"/>
      <c r="N415" s="7"/>
      <c r="O415" s="7"/>
      <c r="P415" s="7"/>
      <c r="Q415" s="7"/>
      <c r="R415" s="7"/>
      <c r="S415" s="7"/>
      <c r="T415" s="7"/>
      <c r="U415" s="7"/>
      <c r="Y415" s="7"/>
      <c r="Z415" s="17"/>
      <c r="AC415" s="7"/>
      <c r="AD415" s="7"/>
      <c r="AE415" s="7"/>
      <c r="AF415" s="7"/>
      <c r="AG415" s="7"/>
      <c r="AH415" s="7"/>
      <c r="AJ415" s="7"/>
      <c r="AK415" s="7"/>
      <c r="AL415" s="7"/>
      <c r="AM415" s="7"/>
      <c r="AN415" s="7"/>
      <c r="AO415" s="7"/>
      <c r="AR415" s="7"/>
      <c r="AS415" s="7"/>
      <c r="AT415" s="7"/>
      <c r="AU415" s="7"/>
      <c r="AW415" s="7"/>
      <c r="CE415" s="7"/>
      <c r="FZ415" s="2"/>
    </row>
    <row r="416" spans="1:182">
      <c r="A416" s="7"/>
      <c r="D416" s="7"/>
      <c r="E416" s="7"/>
      <c r="F416" s="7"/>
      <c r="G416" s="7"/>
      <c r="H416" s="7"/>
      <c r="I416" s="7"/>
      <c r="J416" s="7"/>
      <c r="K416" s="7"/>
      <c r="L416" s="7"/>
      <c r="M416" s="7"/>
      <c r="N416" s="7"/>
      <c r="O416" s="7"/>
      <c r="P416" s="7"/>
      <c r="Q416" s="7"/>
      <c r="R416" s="7"/>
      <c r="S416" s="7"/>
      <c r="T416" s="7"/>
      <c r="U416" s="7"/>
      <c r="Y416" s="7"/>
      <c r="Z416" s="17"/>
      <c r="AC416" s="7"/>
      <c r="AD416" s="7"/>
      <c r="AE416" s="7"/>
      <c r="AF416" s="7"/>
      <c r="AG416" s="7"/>
      <c r="AH416" s="7"/>
      <c r="AJ416" s="7"/>
      <c r="AK416" s="7"/>
      <c r="AL416" s="7"/>
      <c r="AM416" s="7"/>
      <c r="AN416" s="7"/>
      <c r="AO416" s="7"/>
      <c r="AR416" s="7"/>
      <c r="AS416" s="7"/>
      <c r="AT416" s="7"/>
      <c r="AU416" s="7"/>
      <c r="AW416" s="7"/>
      <c r="CE416" s="7"/>
      <c r="FZ416" s="2"/>
    </row>
    <row r="417" spans="1:182">
      <c r="A417" s="7"/>
      <c r="D417" s="7"/>
      <c r="E417" s="7"/>
      <c r="F417" s="7"/>
      <c r="G417" s="7"/>
      <c r="H417" s="7"/>
      <c r="I417" s="7"/>
      <c r="J417" s="7"/>
      <c r="K417" s="7"/>
      <c r="L417" s="7"/>
      <c r="M417" s="7"/>
      <c r="N417" s="7"/>
      <c r="O417" s="7"/>
      <c r="P417" s="7"/>
      <c r="Q417" s="7"/>
      <c r="R417" s="7"/>
      <c r="S417" s="7"/>
      <c r="T417" s="7"/>
      <c r="U417" s="7"/>
      <c r="Y417" s="7"/>
      <c r="Z417" s="17"/>
      <c r="AC417" s="7"/>
      <c r="AD417" s="7"/>
      <c r="AE417" s="7"/>
      <c r="AF417" s="7"/>
      <c r="AG417" s="7"/>
      <c r="AH417" s="7"/>
      <c r="AJ417" s="7"/>
      <c r="AK417" s="7"/>
      <c r="AL417" s="7"/>
      <c r="AM417" s="7"/>
      <c r="AN417" s="7"/>
      <c r="AO417" s="7"/>
      <c r="AR417" s="7"/>
      <c r="AS417" s="7"/>
      <c r="AT417" s="7"/>
      <c r="AU417" s="7"/>
      <c r="AW417" s="7"/>
      <c r="CE417" s="7"/>
      <c r="FZ417" s="2"/>
    </row>
    <row r="418" spans="1:182">
      <c r="A418" s="7"/>
      <c r="D418" s="7"/>
      <c r="E418" s="7"/>
      <c r="F418" s="7"/>
      <c r="G418" s="7"/>
      <c r="H418" s="7"/>
      <c r="I418" s="7"/>
      <c r="J418" s="7"/>
      <c r="K418" s="7"/>
      <c r="L418" s="7"/>
      <c r="M418" s="7"/>
      <c r="N418" s="7"/>
      <c r="O418" s="7"/>
      <c r="P418" s="7"/>
      <c r="Q418" s="7"/>
      <c r="R418" s="7"/>
      <c r="S418" s="7"/>
      <c r="T418" s="7"/>
      <c r="U418" s="7"/>
      <c r="Y418" s="7"/>
      <c r="Z418" s="17"/>
      <c r="AC418" s="7"/>
      <c r="AD418" s="7"/>
      <c r="AE418" s="7"/>
      <c r="AF418" s="7"/>
      <c r="AG418" s="7"/>
      <c r="AH418" s="7"/>
      <c r="AJ418" s="7"/>
      <c r="AK418" s="7"/>
      <c r="AL418" s="7"/>
      <c r="AM418" s="7"/>
      <c r="AN418" s="7"/>
      <c r="AO418" s="7"/>
      <c r="AR418" s="7"/>
      <c r="AS418" s="7"/>
      <c r="AT418" s="7"/>
      <c r="AU418" s="7"/>
      <c r="AW418" s="7"/>
      <c r="CE418" s="7"/>
      <c r="FZ418" s="2"/>
    </row>
    <row r="419" spans="1:182">
      <c r="A419" s="7"/>
      <c r="D419" s="7"/>
      <c r="E419" s="7"/>
      <c r="F419" s="7"/>
      <c r="G419" s="7"/>
      <c r="H419" s="7"/>
      <c r="I419" s="7"/>
      <c r="J419" s="7"/>
      <c r="K419" s="7"/>
      <c r="L419" s="7"/>
      <c r="M419" s="7"/>
      <c r="N419" s="7"/>
      <c r="O419" s="7"/>
      <c r="P419" s="7"/>
      <c r="Q419" s="7"/>
      <c r="R419" s="7"/>
      <c r="S419" s="7"/>
      <c r="T419" s="7"/>
      <c r="U419" s="7"/>
      <c r="Y419" s="7"/>
      <c r="Z419" s="17"/>
      <c r="AC419" s="7"/>
      <c r="AD419" s="7"/>
      <c r="AE419" s="7"/>
      <c r="AF419" s="7"/>
      <c r="AG419" s="7"/>
      <c r="AH419" s="7"/>
      <c r="AJ419" s="7"/>
      <c r="AK419" s="7"/>
      <c r="AL419" s="7"/>
      <c r="AM419" s="7"/>
      <c r="AN419" s="7"/>
      <c r="AO419" s="7"/>
      <c r="AR419" s="7"/>
      <c r="AS419" s="7"/>
      <c r="AT419" s="7"/>
      <c r="AU419" s="7"/>
      <c r="AW419" s="7"/>
      <c r="CE419" s="7"/>
      <c r="FZ419" s="2"/>
    </row>
    <row r="420" spans="1:182">
      <c r="A420" s="7"/>
      <c r="D420" s="7"/>
      <c r="E420" s="7"/>
      <c r="F420" s="7"/>
      <c r="G420" s="7"/>
      <c r="H420" s="7"/>
      <c r="I420" s="7"/>
      <c r="J420" s="7"/>
      <c r="K420" s="7"/>
      <c r="L420" s="7"/>
      <c r="M420" s="7"/>
      <c r="N420" s="7"/>
      <c r="O420" s="7"/>
      <c r="P420" s="7"/>
      <c r="Q420" s="7"/>
      <c r="R420" s="7"/>
      <c r="S420" s="7"/>
      <c r="T420" s="7"/>
      <c r="U420" s="7"/>
      <c r="Y420" s="7"/>
      <c r="Z420" s="17"/>
      <c r="AC420" s="7"/>
      <c r="AD420" s="7"/>
      <c r="AE420" s="7"/>
      <c r="AF420" s="7"/>
      <c r="AG420" s="7"/>
      <c r="AH420" s="7"/>
      <c r="AJ420" s="7"/>
      <c r="AK420" s="7"/>
      <c r="AL420" s="7"/>
      <c r="AM420" s="7"/>
      <c r="AN420" s="7"/>
      <c r="AO420" s="7"/>
      <c r="AR420" s="7"/>
      <c r="AS420" s="7"/>
      <c r="AT420" s="7"/>
      <c r="AU420" s="7"/>
      <c r="AW420" s="7"/>
      <c r="CE420" s="7"/>
      <c r="FZ420" s="2"/>
    </row>
    <row r="421" spans="1:182">
      <c r="A421" s="7"/>
      <c r="D421" s="7"/>
      <c r="E421" s="7"/>
      <c r="F421" s="7"/>
      <c r="G421" s="7"/>
      <c r="H421" s="7"/>
      <c r="I421" s="7"/>
      <c r="J421" s="7"/>
      <c r="K421" s="7"/>
      <c r="L421" s="7"/>
      <c r="M421" s="7"/>
      <c r="N421" s="7"/>
      <c r="O421" s="7"/>
      <c r="P421" s="7"/>
      <c r="Q421" s="7"/>
      <c r="R421" s="7"/>
      <c r="S421" s="7"/>
      <c r="T421" s="7"/>
      <c r="U421" s="7"/>
      <c r="Y421" s="7"/>
      <c r="Z421" s="17"/>
      <c r="AC421" s="7"/>
      <c r="AD421" s="7"/>
      <c r="AE421" s="7"/>
      <c r="AF421" s="7"/>
      <c r="AG421" s="7"/>
      <c r="AH421" s="7"/>
      <c r="AJ421" s="7"/>
      <c r="AK421" s="7"/>
      <c r="AL421" s="7"/>
      <c r="AM421" s="7"/>
      <c r="AN421" s="7"/>
      <c r="AO421" s="7"/>
      <c r="AR421" s="7"/>
      <c r="AS421" s="7"/>
      <c r="AT421" s="7"/>
      <c r="AU421" s="7"/>
      <c r="AW421" s="7"/>
      <c r="CE421" s="7"/>
      <c r="FZ421" s="2"/>
    </row>
    <row r="422" spans="1:182">
      <c r="A422" s="7"/>
      <c r="D422" s="7"/>
      <c r="E422" s="7"/>
      <c r="F422" s="7"/>
      <c r="G422" s="7"/>
      <c r="H422" s="7"/>
      <c r="I422" s="7"/>
      <c r="J422" s="7"/>
      <c r="K422" s="7"/>
      <c r="L422" s="7"/>
      <c r="M422" s="7"/>
      <c r="N422" s="7"/>
      <c r="O422" s="7"/>
      <c r="P422" s="7"/>
      <c r="Q422" s="7"/>
      <c r="R422" s="7"/>
      <c r="S422" s="7"/>
      <c r="T422" s="7"/>
      <c r="U422" s="7"/>
      <c r="Y422" s="7"/>
      <c r="Z422" s="17"/>
      <c r="AC422" s="7"/>
      <c r="AD422" s="7"/>
      <c r="AE422" s="7"/>
      <c r="AF422" s="7"/>
      <c r="AG422" s="7"/>
      <c r="AH422" s="7"/>
      <c r="AJ422" s="7"/>
      <c r="AK422" s="7"/>
      <c r="AL422" s="7"/>
      <c r="AM422" s="7"/>
      <c r="AN422" s="7"/>
      <c r="AO422" s="7"/>
      <c r="AR422" s="7"/>
      <c r="AS422" s="7"/>
      <c r="AT422" s="7"/>
      <c r="AU422" s="7"/>
      <c r="AW422" s="7"/>
      <c r="CE422" s="7"/>
      <c r="FZ422" s="2"/>
    </row>
    <row r="423" spans="1:182">
      <c r="A423" s="7"/>
      <c r="D423" s="7"/>
      <c r="E423" s="7"/>
      <c r="F423" s="7"/>
      <c r="G423" s="7"/>
      <c r="H423" s="7"/>
      <c r="I423" s="7"/>
      <c r="J423" s="7"/>
      <c r="K423" s="7"/>
      <c r="L423" s="7"/>
      <c r="M423" s="7"/>
      <c r="N423" s="7"/>
      <c r="O423" s="7"/>
      <c r="P423" s="7"/>
      <c r="Q423" s="7"/>
      <c r="R423" s="7"/>
      <c r="S423" s="7"/>
      <c r="T423" s="7"/>
      <c r="U423" s="7"/>
      <c r="Y423" s="7"/>
      <c r="Z423" s="17"/>
      <c r="AC423" s="7"/>
      <c r="AD423" s="7"/>
      <c r="AE423" s="7"/>
      <c r="AF423" s="7"/>
      <c r="AG423" s="7"/>
      <c r="AH423" s="7"/>
      <c r="AJ423" s="7"/>
      <c r="AK423" s="7"/>
      <c r="AL423" s="7"/>
      <c r="AM423" s="7"/>
      <c r="AN423" s="7"/>
      <c r="AO423" s="7"/>
      <c r="AR423" s="7"/>
      <c r="AS423" s="7"/>
      <c r="AT423" s="7"/>
      <c r="AU423" s="7"/>
      <c r="AW423" s="7"/>
      <c r="CE423" s="7"/>
      <c r="FZ423" s="2"/>
    </row>
    <row r="424" spans="1:182">
      <c r="A424" s="7"/>
      <c r="D424" s="7"/>
      <c r="E424" s="7"/>
      <c r="F424" s="7"/>
      <c r="G424" s="7"/>
      <c r="H424" s="7"/>
      <c r="I424" s="7"/>
      <c r="J424" s="7"/>
      <c r="K424" s="7"/>
      <c r="L424" s="7"/>
      <c r="M424" s="7"/>
      <c r="N424" s="7"/>
      <c r="O424" s="7"/>
      <c r="P424" s="7"/>
      <c r="Q424" s="7"/>
      <c r="R424" s="7"/>
      <c r="S424" s="7"/>
      <c r="T424" s="7"/>
      <c r="U424" s="7"/>
      <c r="Y424" s="7"/>
      <c r="Z424" s="17"/>
      <c r="AC424" s="7"/>
      <c r="AD424" s="7"/>
      <c r="AE424" s="7"/>
      <c r="AF424" s="7"/>
      <c r="AG424" s="7"/>
      <c r="AH424" s="7"/>
      <c r="AJ424" s="7"/>
      <c r="AK424" s="7"/>
      <c r="AL424" s="7"/>
      <c r="AM424" s="7"/>
      <c r="AN424" s="7"/>
      <c r="AO424" s="7"/>
      <c r="AR424" s="7"/>
      <c r="AS424" s="7"/>
      <c r="AT424" s="7"/>
      <c r="AU424" s="7"/>
      <c r="AW424" s="7"/>
      <c r="CE424" s="7"/>
      <c r="FZ424" s="2"/>
    </row>
    <row r="425" spans="1:182">
      <c r="A425" s="7"/>
      <c r="D425" s="7"/>
      <c r="E425" s="7"/>
      <c r="F425" s="7"/>
      <c r="G425" s="7"/>
      <c r="H425" s="7"/>
      <c r="I425" s="7"/>
      <c r="J425" s="7"/>
      <c r="K425" s="7"/>
      <c r="L425" s="7"/>
      <c r="M425" s="7"/>
      <c r="N425" s="7"/>
      <c r="O425" s="7"/>
      <c r="P425" s="7"/>
      <c r="Q425" s="7"/>
      <c r="R425" s="7"/>
      <c r="S425" s="7"/>
      <c r="T425" s="7"/>
      <c r="U425" s="7"/>
      <c r="Y425" s="7"/>
      <c r="Z425" s="17"/>
      <c r="AC425" s="7"/>
      <c r="AD425" s="7"/>
      <c r="AE425" s="7"/>
      <c r="AF425" s="7"/>
      <c r="AG425" s="7"/>
      <c r="AH425" s="7"/>
      <c r="AJ425" s="7"/>
      <c r="AK425" s="7"/>
      <c r="AL425" s="7"/>
      <c r="AM425" s="7"/>
      <c r="AN425" s="7"/>
      <c r="AO425" s="7"/>
      <c r="AR425" s="7"/>
      <c r="AS425" s="7"/>
      <c r="AT425" s="7"/>
      <c r="AU425" s="7"/>
      <c r="AW425" s="7"/>
      <c r="CE425" s="7"/>
      <c r="FZ425" s="2"/>
    </row>
    <row r="426" spans="1:182">
      <c r="A426" s="7"/>
      <c r="D426" s="7"/>
      <c r="E426" s="7"/>
      <c r="F426" s="7"/>
      <c r="G426" s="7"/>
      <c r="H426" s="7"/>
      <c r="I426" s="7"/>
      <c r="J426" s="7"/>
      <c r="K426" s="7"/>
      <c r="L426" s="7"/>
      <c r="M426" s="7"/>
      <c r="N426" s="7"/>
      <c r="O426" s="7"/>
      <c r="P426" s="7"/>
      <c r="Q426" s="7"/>
      <c r="R426" s="7"/>
      <c r="S426" s="7"/>
      <c r="T426" s="7"/>
      <c r="U426" s="7"/>
      <c r="Y426" s="7"/>
      <c r="Z426" s="17"/>
      <c r="AC426" s="7"/>
      <c r="AD426" s="7"/>
      <c r="AE426" s="7"/>
      <c r="AF426" s="7"/>
      <c r="AG426" s="7"/>
      <c r="AH426" s="7"/>
      <c r="AJ426" s="7"/>
      <c r="AK426" s="7"/>
      <c r="AL426" s="7"/>
      <c r="AM426" s="7"/>
      <c r="AN426" s="7"/>
      <c r="AO426" s="7"/>
      <c r="AR426" s="7"/>
      <c r="AS426" s="7"/>
      <c r="AT426" s="7"/>
      <c r="AU426" s="7"/>
      <c r="AW426" s="7"/>
      <c r="CE426" s="7"/>
      <c r="FZ426" s="2"/>
    </row>
    <row r="427" spans="1:182">
      <c r="A427" s="7"/>
      <c r="D427" s="7"/>
      <c r="E427" s="7"/>
      <c r="F427" s="7"/>
      <c r="G427" s="7"/>
      <c r="H427" s="7"/>
      <c r="I427" s="7"/>
      <c r="J427" s="7"/>
      <c r="K427" s="7"/>
      <c r="L427" s="7"/>
      <c r="M427" s="7"/>
      <c r="N427" s="7"/>
      <c r="O427" s="7"/>
      <c r="P427" s="7"/>
      <c r="Q427" s="7"/>
      <c r="R427" s="7"/>
      <c r="S427" s="7"/>
      <c r="T427" s="7"/>
      <c r="U427" s="7"/>
      <c r="Y427" s="7"/>
      <c r="Z427" s="17"/>
      <c r="AC427" s="7"/>
      <c r="AD427" s="7"/>
      <c r="AE427" s="7"/>
      <c r="AF427" s="7"/>
      <c r="AG427" s="7"/>
      <c r="AH427" s="7"/>
      <c r="AJ427" s="7"/>
      <c r="AK427" s="7"/>
      <c r="AL427" s="7"/>
      <c r="AM427" s="7"/>
      <c r="AN427" s="7"/>
      <c r="AO427" s="7"/>
      <c r="AR427" s="7"/>
      <c r="AS427" s="7"/>
      <c r="AT427" s="7"/>
      <c r="AU427" s="7"/>
      <c r="AW427" s="7"/>
      <c r="CE427" s="7"/>
      <c r="FZ427" s="2"/>
    </row>
    <row r="428" spans="1:182">
      <c r="A428" s="7"/>
      <c r="D428" s="7"/>
      <c r="E428" s="7"/>
      <c r="F428" s="7"/>
      <c r="G428" s="7"/>
      <c r="H428" s="7"/>
      <c r="I428" s="7"/>
      <c r="J428" s="7"/>
      <c r="K428" s="7"/>
      <c r="L428" s="7"/>
      <c r="M428" s="7"/>
      <c r="N428" s="7"/>
      <c r="O428" s="7"/>
      <c r="P428" s="7"/>
      <c r="Q428" s="7"/>
      <c r="R428" s="7"/>
      <c r="S428" s="7"/>
      <c r="T428" s="7"/>
      <c r="U428" s="7"/>
      <c r="Y428" s="7"/>
      <c r="Z428" s="17"/>
      <c r="AC428" s="7"/>
      <c r="AD428" s="7"/>
      <c r="AE428" s="7"/>
      <c r="AF428" s="7"/>
      <c r="AG428" s="7"/>
      <c r="AH428" s="7"/>
      <c r="AJ428" s="7"/>
      <c r="AK428" s="7"/>
      <c r="AL428" s="7"/>
      <c r="AM428" s="7"/>
      <c r="AN428" s="7"/>
      <c r="AO428" s="7"/>
      <c r="AR428" s="7"/>
      <c r="AS428" s="7"/>
      <c r="AT428" s="7"/>
      <c r="AU428" s="7"/>
      <c r="AW428" s="7"/>
      <c r="CE428" s="7"/>
      <c r="FZ428" s="2"/>
    </row>
    <row r="429" spans="1:182">
      <c r="A429" s="7"/>
      <c r="D429" s="7"/>
      <c r="E429" s="7"/>
      <c r="F429" s="7"/>
      <c r="G429" s="7"/>
      <c r="H429" s="7"/>
      <c r="I429" s="7"/>
      <c r="J429" s="7"/>
      <c r="K429" s="7"/>
      <c r="L429" s="7"/>
      <c r="M429" s="7"/>
      <c r="N429" s="7"/>
      <c r="O429" s="7"/>
      <c r="P429" s="7"/>
      <c r="Q429" s="7"/>
      <c r="R429" s="7"/>
      <c r="S429" s="7"/>
      <c r="T429" s="7"/>
      <c r="U429" s="7"/>
      <c r="Y429" s="7"/>
      <c r="Z429" s="17"/>
      <c r="AC429" s="7"/>
      <c r="AD429" s="7"/>
      <c r="AE429" s="7"/>
      <c r="AF429" s="7"/>
      <c r="AG429" s="7"/>
      <c r="AH429" s="7"/>
      <c r="AJ429" s="7"/>
      <c r="AK429" s="7"/>
      <c r="AL429" s="7"/>
      <c r="AM429" s="7"/>
      <c r="AN429" s="7"/>
      <c r="AO429" s="7"/>
      <c r="AR429" s="7"/>
      <c r="AS429" s="7"/>
      <c r="AT429" s="7"/>
      <c r="AU429" s="7"/>
      <c r="AW429" s="7"/>
      <c r="CE429" s="7"/>
      <c r="FZ429" s="2"/>
    </row>
    <row r="430" spans="1:182">
      <c r="A430" s="7"/>
      <c r="D430" s="7"/>
      <c r="E430" s="7"/>
      <c r="F430" s="7"/>
      <c r="G430" s="7"/>
      <c r="H430" s="7"/>
      <c r="I430" s="7"/>
      <c r="J430" s="7"/>
      <c r="K430" s="7"/>
      <c r="L430" s="7"/>
      <c r="M430" s="7"/>
      <c r="N430" s="7"/>
      <c r="O430" s="7"/>
      <c r="P430" s="7"/>
      <c r="Q430" s="7"/>
      <c r="R430" s="7"/>
      <c r="S430" s="7"/>
      <c r="T430" s="7"/>
      <c r="U430" s="7"/>
      <c r="Y430" s="7"/>
      <c r="Z430" s="17"/>
      <c r="AC430" s="7"/>
      <c r="AD430" s="7"/>
      <c r="AE430" s="7"/>
      <c r="AF430" s="7"/>
      <c r="AG430" s="7"/>
      <c r="AH430" s="7"/>
      <c r="AJ430" s="7"/>
      <c r="AK430" s="7"/>
      <c r="AL430" s="7"/>
      <c r="AM430" s="7"/>
      <c r="AN430" s="7"/>
      <c r="AO430" s="7"/>
      <c r="AR430" s="7"/>
      <c r="AS430" s="7"/>
      <c r="AT430" s="7"/>
      <c r="AU430" s="7"/>
      <c r="AW430" s="7"/>
      <c r="CE430" s="7"/>
      <c r="FZ430" s="2"/>
    </row>
    <row r="431" spans="1:182">
      <c r="A431" s="7"/>
      <c r="D431" s="7"/>
      <c r="E431" s="7"/>
      <c r="F431" s="7"/>
      <c r="G431" s="7"/>
      <c r="H431" s="7"/>
      <c r="I431" s="7"/>
      <c r="J431" s="7"/>
      <c r="K431" s="7"/>
      <c r="L431" s="7"/>
      <c r="M431" s="7"/>
      <c r="N431" s="7"/>
      <c r="O431" s="7"/>
      <c r="P431" s="7"/>
      <c r="Q431" s="7"/>
      <c r="R431" s="7"/>
      <c r="S431" s="7"/>
      <c r="T431" s="7"/>
      <c r="U431" s="7"/>
      <c r="Y431" s="7"/>
      <c r="Z431" s="17"/>
      <c r="AC431" s="7"/>
      <c r="AD431" s="7"/>
      <c r="AE431" s="7"/>
      <c r="AF431" s="7"/>
      <c r="AG431" s="7"/>
      <c r="AH431" s="7"/>
      <c r="AJ431" s="7"/>
      <c r="AK431" s="7"/>
      <c r="AL431" s="7"/>
      <c r="AM431" s="7"/>
      <c r="AN431" s="7"/>
      <c r="AO431" s="7"/>
      <c r="AR431" s="7"/>
      <c r="AS431" s="7"/>
      <c r="AT431" s="7"/>
      <c r="AU431" s="7"/>
      <c r="AW431" s="7"/>
      <c r="CE431" s="7"/>
      <c r="FZ431" s="2"/>
    </row>
    <row r="432" spans="1:182">
      <c r="A432" s="7"/>
      <c r="D432" s="7"/>
      <c r="E432" s="7"/>
      <c r="F432" s="7"/>
      <c r="G432" s="7"/>
      <c r="H432" s="7"/>
      <c r="I432" s="7"/>
      <c r="J432" s="7"/>
      <c r="K432" s="7"/>
      <c r="L432" s="7"/>
      <c r="M432" s="7"/>
      <c r="N432" s="7"/>
      <c r="O432" s="7"/>
      <c r="P432" s="7"/>
      <c r="Q432" s="7"/>
      <c r="R432" s="7"/>
      <c r="S432" s="7"/>
      <c r="T432" s="7"/>
      <c r="U432" s="7"/>
      <c r="Y432" s="7"/>
      <c r="Z432" s="17"/>
      <c r="AC432" s="7"/>
      <c r="AD432" s="7"/>
      <c r="AE432" s="7"/>
      <c r="AF432" s="7"/>
      <c r="AG432" s="7"/>
      <c r="AH432" s="7"/>
      <c r="AJ432" s="7"/>
      <c r="AK432" s="7"/>
      <c r="AL432" s="7"/>
      <c r="AM432" s="7"/>
      <c r="AN432" s="7"/>
      <c r="AO432" s="7"/>
      <c r="AR432" s="7"/>
      <c r="AS432" s="7"/>
      <c r="AT432" s="7"/>
      <c r="AU432" s="7"/>
      <c r="AW432" s="7"/>
      <c r="CE432" s="7"/>
      <c r="FZ432" s="2"/>
    </row>
    <row r="433" spans="1:182">
      <c r="A433" s="7"/>
      <c r="D433" s="7"/>
      <c r="E433" s="7"/>
      <c r="F433" s="7"/>
      <c r="G433" s="7"/>
      <c r="H433" s="7"/>
      <c r="I433" s="7"/>
      <c r="J433" s="7"/>
      <c r="K433" s="7"/>
      <c r="L433" s="7"/>
      <c r="M433" s="7"/>
      <c r="N433" s="7"/>
      <c r="O433" s="7"/>
      <c r="P433" s="7"/>
      <c r="Q433" s="7"/>
      <c r="R433" s="7"/>
      <c r="S433" s="7"/>
      <c r="T433" s="7"/>
      <c r="U433" s="7"/>
      <c r="Y433" s="7"/>
      <c r="Z433" s="17"/>
      <c r="AC433" s="7"/>
      <c r="AD433" s="7"/>
      <c r="AE433" s="7"/>
      <c r="AF433" s="7"/>
      <c r="AG433" s="7"/>
      <c r="AH433" s="7"/>
      <c r="AJ433" s="7"/>
      <c r="AK433" s="7"/>
      <c r="AL433" s="7"/>
      <c r="AM433" s="7"/>
      <c r="AN433" s="7"/>
      <c r="AO433" s="7"/>
      <c r="AR433" s="7"/>
      <c r="AS433" s="7"/>
      <c r="AT433" s="7"/>
      <c r="AU433" s="7"/>
      <c r="AW433" s="7"/>
      <c r="CE433" s="7"/>
      <c r="FZ433" s="2"/>
    </row>
    <row r="434" spans="1:182">
      <c r="A434" s="7"/>
      <c r="D434" s="7"/>
      <c r="E434" s="7"/>
      <c r="F434" s="7"/>
      <c r="G434" s="7"/>
      <c r="H434" s="7"/>
      <c r="I434" s="7"/>
      <c r="J434" s="7"/>
      <c r="K434" s="7"/>
      <c r="L434" s="7"/>
      <c r="M434" s="7"/>
      <c r="N434" s="7"/>
      <c r="O434" s="7"/>
      <c r="P434" s="7"/>
      <c r="Q434" s="7"/>
      <c r="R434" s="7"/>
      <c r="S434" s="7"/>
      <c r="T434" s="7"/>
      <c r="U434" s="7"/>
      <c r="Y434" s="7"/>
      <c r="Z434" s="17"/>
      <c r="AC434" s="7"/>
      <c r="AD434" s="7"/>
      <c r="AE434" s="7"/>
      <c r="AF434" s="7"/>
      <c r="AG434" s="7"/>
      <c r="AH434" s="7"/>
      <c r="AJ434" s="7"/>
      <c r="AK434" s="7"/>
      <c r="AL434" s="7"/>
      <c r="AM434" s="7"/>
      <c r="AN434" s="7"/>
      <c r="AO434" s="7"/>
      <c r="AR434" s="7"/>
      <c r="AS434" s="7"/>
      <c r="AT434" s="7"/>
      <c r="AU434" s="7"/>
      <c r="AW434" s="7"/>
      <c r="CE434" s="7"/>
      <c r="FZ434" s="2"/>
    </row>
    <row r="435" spans="1:182">
      <c r="A435" s="7"/>
      <c r="D435" s="7"/>
      <c r="E435" s="7"/>
      <c r="F435" s="7"/>
      <c r="G435" s="7"/>
      <c r="H435" s="7"/>
      <c r="I435" s="7"/>
      <c r="J435" s="7"/>
      <c r="K435" s="7"/>
      <c r="L435" s="7"/>
      <c r="M435" s="7"/>
      <c r="N435" s="7"/>
      <c r="O435" s="7"/>
      <c r="P435" s="7"/>
      <c r="Q435" s="7"/>
      <c r="R435" s="7"/>
      <c r="S435" s="7"/>
      <c r="T435" s="7"/>
      <c r="U435" s="7"/>
      <c r="Y435" s="7"/>
      <c r="Z435" s="17"/>
      <c r="AC435" s="7"/>
      <c r="AD435" s="7"/>
      <c r="AE435" s="7"/>
      <c r="AF435" s="7"/>
      <c r="AG435" s="7"/>
      <c r="AH435" s="7"/>
      <c r="AJ435" s="7"/>
      <c r="AK435" s="7"/>
      <c r="AL435" s="7"/>
      <c r="AM435" s="7"/>
      <c r="AN435" s="7"/>
      <c r="AO435" s="7"/>
      <c r="AR435" s="7"/>
      <c r="AS435" s="7"/>
      <c r="AT435" s="7"/>
      <c r="AU435" s="7"/>
      <c r="AW435" s="7"/>
      <c r="CE435" s="7"/>
      <c r="FZ435" s="2"/>
    </row>
    <row r="436" spans="1:182">
      <c r="A436" s="7"/>
      <c r="D436" s="7"/>
      <c r="E436" s="7"/>
      <c r="F436" s="7"/>
      <c r="G436" s="7"/>
      <c r="H436" s="7"/>
      <c r="I436" s="7"/>
      <c r="J436" s="7"/>
      <c r="K436" s="7"/>
      <c r="L436" s="7"/>
      <c r="M436" s="7"/>
      <c r="N436" s="7"/>
      <c r="O436" s="7"/>
      <c r="P436" s="7"/>
      <c r="Q436" s="7"/>
      <c r="R436" s="7"/>
      <c r="S436" s="7"/>
      <c r="T436" s="7"/>
      <c r="U436" s="7"/>
      <c r="Y436" s="7"/>
      <c r="Z436" s="17"/>
      <c r="AC436" s="7"/>
      <c r="AD436" s="7"/>
      <c r="AE436" s="7"/>
      <c r="AF436" s="7"/>
      <c r="AG436" s="7"/>
      <c r="AH436" s="7"/>
      <c r="AJ436" s="7"/>
      <c r="AK436" s="7"/>
      <c r="AL436" s="7"/>
      <c r="AM436" s="7"/>
      <c r="AN436" s="7"/>
      <c r="AO436" s="7"/>
      <c r="AR436" s="7"/>
      <c r="AS436" s="7"/>
      <c r="AT436" s="7"/>
      <c r="AU436" s="7"/>
      <c r="AW436" s="7"/>
      <c r="CE436" s="7"/>
      <c r="FZ436" s="2"/>
    </row>
    <row r="437" spans="1:182">
      <c r="A437" s="7"/>
      <c r="D437" s="7"/>
      <c r="E437" s="7"/>
      <c r="F437" s="7"/>
      <c r="G437" s="7"/>
      <c r="H437" s="7"/>
      <c r="I437" s="7"/>
      <c r="J437" s="7"/>
      <c r="K437" s="7"/>
      <c r="L437" s="7"/>
      <c r="M437" s="7"/>
      <c r="N437" s="7"/>
      <c r="O437" s="7"/>
      <c r="P437" s="7"/>
      <c r="Q437" s="7"/>
      <c r="R437" s="7"/>
      <c r="S437" s="7"/>
      <c r="T437" s="7"/>
      <c r="U437" s="7"/>
      <c r="Y437" s="7"/>
      <c r="Z437" s="17"/>
      <c r="AC437" s="7"/>
      <c r="AD437" s="7"/>
      <c r="AE437" s="7"/>
      <c r="AF437" s="7"/>
      <c r="AG437" s="7"/>
      <c r="AH437" s="7"/>
      <c r="AJ437" s="7"/>
      <c r="AK437" s="7"/>
      <c r="AL437" s="7"/>
      <c r="AM437" s="7"/>
      <c r="AN437" s="7"/>
      <c r="AO437" s="7"/>
      <c r="AR437" s="7"/>
      <c r="AS437" s="7"/>
      <c r="AT437" s="7"/>
      <c r="AU437" s="7"/>
      <c r="AW437" s="7"/>
      <c r="CE437" s="7"/>
      <c r="FZ437" s="2"/>
    </row>
    <row r="438" spans="1:182">
      <c r="A438" s="7"/>
      <c r="D438" s="7"/>
      <c r="E438" s="7"/>
      <c r="F438" s="7"/>
      <c r="G438" s="7"/>
      <c r="H438" s="7"/>
      <c r="I438" s="7"/>
      <c r="J438" s="7"/>
      <c r="K438" s="7"/>
      <c r="L438" s="7"/>
      <c r="M438" s="7"/>
      <c r="N438" s="7"/>
      <c r="O438" s="7"/>
      <c r="P438" s="7"/>
      <c r="Q438" s="7"/>
      <c r="R438" s="7"/>
      <c r="S438" s="7"/>
      <c r="T438" s="7"/>
      <c r="U438" s="7"/>
      <c r="Y438" s="7"/>
      <c r="Z438" s="17"/>
      <c r="AC438" s="7"/>
      <c r="AD438" s="7"/>
      <c r="AE438" s="7"/>
      <c r="AF438" s="7"/>
      <c r="AG438" s="7"/>
      <c r="AH438" s="7"/>
      <c r="AJ438" s="7"/>
      <c r="AK438" s="7"/>
      <c r="AL438" s="7"/>
      <c r="AM438" s="7"/>
      <c r="AN438" s="7"/>
      <c r="AO438" s="7"/>
      <c r="AR438" s="7"/>
      <c r="AS438" s="7"/>
      <c r="AT438" s="7"/>
      <c r="AU438" s="7"/>
      <c r="AW438" s="7"/>
      <c r="CE438" s="7"/>
      <c r="FZ438" s="2"/>
    </row>
    <row r="439" spans="1:182">
      <c r="A439" s="7"/>
      <c r="D439" s="7"/>
      <c r="E439" s="7"/>
      <c r="F439" s="7"/>
      <c r="G439" s="7"/>
      <c r="H439" s="7"/>
      <c r="I439" s="7"/>
      <c r="J439" s="7"/>
      <c r="K439" s="7"/>
      <c r="L439" s="7"/>
      <c r="M439" s="7"/>
      <c r="N439" s="7"/>
      <c r="O439" s="7"/>
      <c r="P439" s="7"/>
      <c r="Q439" s="7"/>
      <c r="R439" s="7"/>
      <c r="S439" s="7"/>
      <c r="T439" s="7"/>
      <c r="U439" s="7"/>
      <c r="Y439" s="7"/>
      <c r="Z439" s="17"/>
      <c r="AC439" s="7"/>
      <c r="AD439" s="7"/>
      <c r="AE439" s="7"/>
      <c r="AF439" s="7"/>
      <c r="AG439" s="7"/>
      <c r="AH439" s="7"/>
      <c r="AJ439" s="7"/>
      <c r="AK439" s="7"/>
      <c r="AL439" s="7"/>
      <c r="AM439" s="7"/>
      <c r="AN439" s="7"/>
      <c r="AO439" s="7"/>
      <c r="AR439" s="7"/>
      <c r="AS439" s="7"/>
      <c r="AT439" s="7"/>
      <c r="AU439" s="7"/>
      <c r="AW439" s="7"/>
      <c r="CE439" s="7"/>
      <c r="FZ439" s="2"/>
    </row>
    <row r="440" spans="1:182">
      <c r="A440" s="7"/>
      <c r="D440" s="7"/>
      <c r="E440" s="7"/>
      <c r="F440" s="7"/>
      <c r="G440" s="7"/>
      <c r="H440" s="7"/>
      <c r="I440" s="7"/>
      <c r="J440" s="7"/>
      <c r="K440" s="7"/>
      <c r="L440" s="7"/>
      <c r="M440" s="7"/>
      <c r="N440" s="7"/>
      <c r="O440" s="7"/>
      <c r="P440" s="7"/>
      <c r="Q440" s="7"/>
      <c r="R440" s="7"/>
      <c r="S440" s="7"/>
      <c r="T440" s="7"/>
      <c r="U440" s="7"/>
      <c r="Y440" s="7"/>
      <c r="Z440" s="17"/>
      <c r="AC440" s="7"/>
      <c r="AD440" s="7"/>
      <c r="AE440" s="7"/>
      <c r="AF440" s="7"/>
      <c r="AG440" s="7"/>
      <c r="AH440" s="7"/>
      <c r="AJ440" s="7"/>
      <c r="AK440" s="7"/>
      <c r="AL440" s="7"/>
      <c r="AM440" s="7"/>
      <c r="AN440" s="7"/>
      <c r="AO440" s="7"/>
      <c r="AR440" s="7"/>
      <c r="AS440" s="7"/>
      <c r="AT440" s="7"/>
      <c r="AU440" s="7"/>
      <c r="AW440" s="7"/>
      <c r="CE440" s="7"/>
      <c r="FZ440" s="2"/>
    </row>
    <row r="441" spans="1:182">
      <c r="A441" s="7"/>
      <c r="D441" s="7"/>
      <c r="E441" s="7"/>
      <c r="F441" s="7"/>
      <c r="G441" s="7"/>
      <c r="H441" s="7"/>
      <c r="I441" s="7"/>
      <c r="J441" s="7"/>
      <c r="K441" s="7"/>
      <c r="L441" s="7"/>
      <c r="M441" s="7"/>
      <c r="N441" s="7"/>
      <c r="O441" s="7"/>
      <c r="P441" s="7"/>
      <c r="Q441" s="7"/>
      <c r="R441" s="7"/>
      <c r="S441" s="7"/>
      <c r="T441" s="7"/>
      <c r="U441" s="7"/>
      <c r="Y441" s="7"/>
      <c r="Z441" s="17"/>
      <c r="AC441" s="7"/>
      <c r="AD441" s="7"/>
      <c r="AE441" s="7"/>
      <c r="AF441" s="7"/>
      <c r="AG441" s="7"/>
      <c r="AH441" s="7"/>
      <c r="AJ441" s="7"/>
      <c r="AK441" s="7"/>
      <c r="AL441" s="7"/>
      <c r="AM441" s="7"/>
      <c r="AN441" s="7"/>
      <c r="AO441" s="7"/>
      <c r="AR441" s="7"/>
      <c r="AS441" s="7"/>
      <c r="AT441" s="7"/>
      <c r="AU441" s="7"/>
      <c r="AW441" s="7"/>
      <c r="CE441" s="7"/>
      <c r="FZ441" s="2"/>
    </row>
    <row r="442" spans="1:182">
      <c r="A442" s="7"/>
      <c r="D442" s="7"/>
      <c r="E442" s="7"/>
      <c r="F442" s="7"/>
      <c r="G442" s="7"/>
      <c r="H442" s="7"/>
      <c r="I442" s="7"/>
      <c r="J442" s="7"/>
      <c r="K442" s="7"/>
      <c r="L442" s="7"/>
      <c r="M442" s="7"/>
      <c r="N442" s="7"/>
      <c r="O442" s="7"/>
      <c r="P442" s="7"/>
      <c r="Q442" s="7"/>
      <c r="R442" s="7"/>
      <c r="S442" s="7"/>
      <c r="T442" s="7"/>
      <c r="U442" s="7"/>
      <c r="Y442" s="7"/>
      <c r="Z442" s="17"/>
      <c r="AC442" s="7"/>
      <c r="AD442" s="7"/>
      <c r="AE442" s="7"/>
      <c r="AF442" s="7"/>
      <c r="AG442" s="7"/>
      <c r="AH442" s="7"/>
      <c r="AJ442" s="7"/>
      <c r="AK442" s="7"/>
      <c r="AL442" s="7"/>
      <c r="AM442" s="7"/>
      <c r="AN442" s="7"/>
      <c r="AO442" s="7"/>
      <c r="AR442" s="7"/>
      <c r="AS442" s="7"/>
      <c r="AT442" s="7"/>
      <c r="AU442" s="7"/>
      <c r="AW442" s="7"/>
      <c r="CE442" s="7"/>
      <c r="FZ442" s="2"/>
    </row>
    <row r="443" spans="1:182">
      <c r="A443" s="7"/>
      <c r="D443" s="7"/>
      <c r="E443" s="7"/>
      <c r="F443" s="7"/>
      <c r="G443" s="7"/>
      <c r="H443" s="7"/>
      <c r="I443" s="7"/>
      <c r="J443" s="7"/>
      <c r="K443" s="7"/>
      <c r="L443" s="7"/>
      <c r="M443" s="7"/>
      <c r="N443" s="7"/>
      <c r="O443" s="7"/>
      <c r="P443" s="7"/>
      <c r="Q443" s="7"/>
      <c r="R443" s="7"/>
      <c r="S443" s="7"/>
      <c r="T443" s="7"/>
      <c r="U443" s="7"/>
      <c r="Y443" s="7"/>
      <c r="Z443" s="17"/>
      <c r="AC443" s="7"/>
      <c r="AD443" s="7"/>
      <c r="AE443" s="7"/>
      <c r="AF443" s="7"/>
      <c r="AG443" s="7"/>
      <c r="AH443" s="7"/>
      <c r="AJ443" s="7"/>
      <c r="AK443" s="7"/>
      <c r="AL443" s="7"/>
      <c r="AM443" s="7"/>
      <c r="AN443" s="7"/>
      <c r="AO443" s="7"/>
      <c r="AR443" s="7"/>
      <c r="AS443" s="7"/>
      <c r="AT443" s="7"/>
      <c r="AU443" s="7"/>
      <c r="AW443" s="7"/>
      <c r="CE443" s="7"/>
      <c r="FZ443" s="2"/>
    </row>
    <row r="444" spans="1:182">
      <c r="A444" s="7"/>
      <c r="D444" s="7"/>
      <c r="E444" s="7"/>
      <c r="F444" s="7"/>
      <c r="G444" s="7"/>
      <c r="H444" s="7"/>
      <c r="I444" s="7"/>
      <c r="J444" s="7"/>
      <c r="K444" s="7"/>
      <c r="L444" s="7"/>
      <c r="M444" s="7"/>
      <c r="N444" s="7"/>
      <c r="O444" s="7"/>
      <c r="P444" s="7"/>
      <c r="Q444" s="7"/>
      <c r="R444" s="7"/>
      <c r="S444" s="7"/>
      <c r="T444" s="7"/>
      <c r="U444" s="7"/>
      <c r="Y444" s="7"/>
      <c r="Z444" s="17"/>
      <c r="AC444" s="7"/>
      <c r="AD444" s="7"/>
      <c r="AE444" s="7"/>
      <c r="AF444" s="7"/>
      <c r="AG444" s="7"/>
      <c r="AH444" s="7"/>
      <c r="AJ444" s="7"/>
      <c r="AK444" s="7"/>
      <c r="AL444" s="7"/>
      <c r="AM444" s="7"/>
      <c r="AN444" s="7"/>
      <c r="AO444" s="7"/>
      <c r="AR444" s="7"/>
      <c r="AS444" s="7"/>
      <c r="AT444" s="7"/>
      <c r="AU444" s="7"/>
      <c r="AW444" s="7"/>
      <c r="CE444" s="7"/>
      <c r="FZ444" s="2"/>
    </row>
    <row r="445" spans="1:182">
      <c r="A445" s="7"/>
      <c r="D445" s="7"/>
      <c r="E445" s="7"/>
      <c r="F445" s="7"/>
      <c r="G445" s="7"/>
      <c r="H445" s="7"/>
      <c r="I445" s="7"/>
      <c r="J445" s="7"/>
      <c r="K445" s="7"/>
      <c r="L445" s="7"/>
      <c r="M445" s="7"/>
      <c r="N445" s="7"/>
      <c r="O445" s="7"/>
      <c r="P445" s="7"/>
      <c r="Q445" s="7"/>
      <c r="R445" s="7"/>
      <c r="S445" s="7"/>
      <c r="T445" s="7"/>
      <c r="U445" s="7"/>
      <c r="Y445" s="7"/>
      <c r="Z445" s="17"/>
      <c r="AC445" s="7"/>
      <c r="AD445" s="7"/>
      <c r="AE445" s="7"/>
      <c r="AF445" s="7"/>
      <c r="AG445" s="7"/>
      <c r="AH445" s="7"/>
      <c r="AJ445" s="7"/>
      <c r="AK445" s="7"/>
      <c r="AL445" s="7"/>
      <c r="AM445" s="7"/>
      <c r="AN445" s="7"/>
      <c r="AO445" s="7"/>
      <c r="AR445" s="7"/>
      <c r="AS445" s="7"/>
      <c r="AT445" s="7"/>
      <c r="AU445" s="7"/>
      <c r="AW445" s="7"/>
      <c r="CE445" s="7"/>
      <c r="FZ445" s="2"/>
    </row>
    <row r="446" spans="1:182">
      <c r="A446" s="7"/>
      <c r="D446" s="7"/>
      <c r="E446" s="7"/>
      <c r="F446" s="7"/>
      <c r="G446" s="7"/>
      <c r="H446" s="7"/>
      <c r="I446" s="7"/>
      <c r="J446" s="7"/>
      <c r="K446" s="7"/>
      <c r="L446" s="7"/>
      <c r="M446" s="7"/>
      <c r="N446" s="7"/>
      <c r="O446" s="7"/>
      <c r="P446" s="7"/>
      <c r="Q446" s="7"/>
      <c r="R446" s="7"/>
      <c r="S446" s="7"/>
      <c r="T446" s="7"/>
      <c r="U446" s="7"/>
      <c r="Y446" s="7"/>
      <c r="Z446" s="17"/>
      <c r="AC446" s="7"/>
      <c r="AD446" s="7"/>
      <c r="AE446" s="7"/>
      <c r="AF446" s="7"/>
      <c r="AG446" s="7"/>
      <c r="AH446" s="7"/>
      <c r="AJ446" s="7"/>
      <c r="AK446" s="7"/>
      <c r="AL446" s="7"/>
      <c r="AM446" s="7"/>
      <c r="AN446" s="7"/>
      <c r="AO446" s="7"/>
      <c r="AR446" s="7"/>
      <c r="AS446" s="7"/>
      <c r="AT446" s="7"/>
      <c r="AU446" s="7"/>
      <c r="AW446" s="7"/>
      <c r="CE446" s="7"/>
      <c r="FZ446" s="2"/>
    </row>
    <row r="447" spans="1:182">
      <c r="A447" s="7"/>
      <c r="D447" s="7"/>
      <c r="E447" s="7"/>
      <c r="F447" s="7"/>
      <c r="G447" s="7"/>
      <c r="H447" s="7"/>
      <c r="I447" s="7"/>
      <c r="J447" s="7"/>
      <c r="K447" s="7"/>
      <c r="L447" s="7"/>
      <c r="M447" s="7"/>
      <c r="N447" s="7"/>
      <c r="O447" s="7"/>
      <c r="P447" s="7"/>
      <c r="Q447" s="7"/>
      <c r="R447" s="7"/>
      <c r="S447" s="7"/>
      <c r="T447" s="7"/>
      <c r="U447" s="7"/>
      <c r="Y447" s="7"/>
      <c r="Z447" s="17"/>
      <c r="AC447" s="7"/>
      <c r="AD447" s="7"/>
      <c r="AE447" s="7"/>
      <c r="AF447" s="7"/>
      <c r="AG447" s="7"/>
      <c r="AH447" s="7"/>
      <c r="AJ447" s="7"/>
      <c r="AK447" s="7"/>
      <c r="AL447" s="7"/>
      <c r="AM447" s="7"/>
      <c r="AN447" s="7"/>
      <c r="AO447" s="7"/>
      <c r="AR447" s="7"/>
      <c r="AS447" s="7"/>
      <c r="AT447" s="7"/>
      <c r="AU447" s="7"/>
      <c r="AW447" s="7"/>
      <c r="CE447" s="7"/>
      <c r="FZ447" s="2"/>
    </row>
    <row r="448" spans="1:182">
      <c r="A448" s="7"/>
      <c r="D448" s="7"/>
      <c r="E448" s="7"/>
      <c r="F448" s="7"/>
      <c r="G448" s="7"/>
      <c r="H448" s="7"/>
      <c r="I448" s="7"/>
      <c r="J448" s="7"/>
      <c r="K448" s="7"/>
      <c r="L448" s="7"/>
      <c r="M448" s="7"/>
      <c r="N448" s="7"/>
      <c r="O448" s="7"/>
      <c r="P448" s="7"/>
      <c r="Q448" s="7"/>
      <c r="R448" s="7"/>
      <c r="S448" s="7"/>
      <c r="T448" s="7"/>
      <c r="U448" s="7"/>
      <c r="Y448" s="7"/>
      <c r="Z448" s="17"/>
      <c r="AC448" s="7"/>
      <c r="AD448" s="7"/>
      <c r="AE448" s="7"/>
      <c r="AF448" s="7"/>
      <c r="AG448" s="7"/>
      <c r="AH448" s="7"/>
      <c r="AJ448" s="7"/>
      <c r="AK448" s="7"/>
      <c r="AL448" s="7"/>
      <c r="AM448" s="7"/>
      <c r="AN448" s="7"/>
      <c r="AO448" s="7"/>
      <c r="AR448" s="7"/>
      <c r="AS448" s="7"/>
      <c r="AT448" s="7"/>
      <c r="AU448" s="7"/>
      <c r="AW448" s="7"/>
      <c r="CE448" s="7"/>
      <c r="FZ448" s="2"/>
    </row>
    <row r="449" spans="1:182">
      <c r="A449" s="7"/>
      <c r="D449" s="7"/>
      <c r="E449" s="7"/>
      <c r="F449" s="7"/>
      <c r="G449" s="7"/>
      <c r="H449" s="7"/>
      <c r="I449" s="7"/>
      <c r="J449" s="7"/>
      <c r="K449" s="7"/>
      <c r="L449" s="7"/>
      <c r="M449" s="7"/>
      <c r="N449" s="7"/>
      <c r="O449" s="7"/>
      <c r="P449" s="7"/>
      <c r="Q449" s="7"/>
      <c r="R449" s="7"/>
      <c r="S449" s="7"/>
      <c r="T449" s="7"/>
      <c r="U449" s="7"/>
      <c r="Y449" s="7"/>
      <c r="Z449" s="17"/>
      <c r="AC449" s="7"/>
      <c r="AD449" s="7"/>
      <c r="AE449" s="7"/>
      <c r="AF449" s="7"/>
      <c r="AG449" s="7"/>
      <c r="AH449" s="7"/>
      <c r="AJ449" s="7"/>
      <c r="AK449" s="7"/>
      <c r="AL449" s="7"/>
      <c r="AM449" s="7"/>
      <c r="AN449" s="7"/>
      <c r="AO449" s="7"/>
      <c r="AR449" s="7"/>
      <c r="AS449" s="7"/>
      <c r="AT449" s="7"/>
      <c r="AU449" s="7"/>
      <c r="AW449" s="7"/>
      <c r="CE449" s="7"/>
      <c r="FZ449" s="2"/>
    </row>
    <row r="450" spans="1:182">
      <c r="A450" s="7"/>
      <c r="D450" s="7"/>
      <c r="E450" s="7"/>
      <c r="F450" s="7"/>
      <c r="G450" s="7"/>
      <c r="H450" s="7"/>
      <c r="I450" s="7"/>
      <c r="J450" s="7"/>
      <c r="K450" s="7"/>
      <c r="L450" s="7"/>
      <c r="M450" s="7"/>
      <c r="N450" s="7"/>
      <c r="O450" s="7"/>
      <c r="P450" s="7"/>
      <c r="Q450" s="7"/>
      <c r="R450" s="7"/>
      <c r="S450" s="7"/>
      <c r="T450" s="7"/>
      <c r="U450" s="7"/>
      <c r="Y450" s="7"/>
      <c r="Z450" s="17"/>
      <c r="AC450" s="7"/>
      <c r="AD450" s="7"/>
      <c r="AE450" s="7"/>
      <c r="AF450" s="7"/>
      <c r="AG450" s="7"/>
      <c r="AH450" s="7"/>
      <c r="AJ450" s="7"/>
      <c r="AK450" s="7"/>
      <c r="AL450" s="7"/>
      <c r="AM450" s="7"/>
      <c r="AN450" s="7"/>
      <c r="AO450" s="7"/>
      <c r="AR450" s="7"/>
      <c r="AS450" s="7"/>
      <c r="AT450" s="7"/>
      <c r="AU450" s="7"/>
      <c r="AW450" s="7"/>
      <c r="CE450" s="7"/>
      <c r="FZ450" s="2"/>
    </row>
    <row r="451" spans="1:182">
      <c r="A451" s="7"/>
      <c r="D451" s="7"/>
      <c r="E451" s="7"/>
      <c r="F451" s="7"/>
      <c r="G451" s="7"/>
      <c r="H451" s="7"/>
      <c r="I451" s="7"/>
      <c r="J451" s="7"/>
      <c r="K451" s="7"/>
      <c r="L451" s="7"/>
      <c r="M451" s="7"/>
      <c r="N451" s="7"/>
      <c r="O451" s="7"/>
      <c r="P451" s="7"/>
      <c r="Q451" s="7"/>
      <c r="R451" s="7"/>
      <c r="S451" s="7"/>
      <c r="T451" s="7"/>
      <c r="U451" s="7"/>
      <c r="Y451" s="7"/>
      <c r="Z451" s="17"/>
      <c r="AC451" s="7"/>
      <c r="AD451" s="7"/>
      <c r="AE451" s="7"/>
      <c r="AF451" s="7"/>
      <c r="AG451" s="7"/>
      <c r="AH451" s="7"/>
      <c r="AJ451" s="7"/>
      <c r="AK451" s="7"/>
      <c r="AL451" s="7"/>
      <c r="AM451" s="7"/>
      <c r="AN451" s="7"/>
      <c r="AO451" s="7"/>
      <c r="AR451" s="7"/>
      <c r="AS451" s="7"/>
      <c r="AT451" s="7"/>
      <c r="AU451" s="7"/>
      <c r="AW451" s="7"/>
      <c r="CE451" s="7"/>
      <c r="FZ451" s="2"/>
    </row>
    <row r="452" spans="1:182">
      <c r="A452" s="7"/>
      <c r="D452" s="7"/>
      <c r="E452" s="7"/>
      <c r="F452" s="7"/>
      <c r="G452" s="7"/>
      <c r="H452" s="7"/>
      <c r="I452" s="7"/>
      <c r="J452" s="7"/>
      <c r="K452" s="7"/>
      <c r="L452" s="7"/>
      <c r="M452" s="7"/>
      <c r="N452" s="7"/>
      <c r="O452" s="7"/>
      <c r="P452" s="7"/>
      <c r="Q452" s="7"/>
      <c r="R452" s="7"/>
      <c r="S452" s="7"/>
      <c r="T452" s="7"/>
      <c r="U452" s="7"/>
      <c r="Y452" s="7"/>
      <c r="Z452" s="17"/>
      <c r="AC452" s="7"/>
      <c r="AD452" s="7"/>
      <c r="AE452" s="7"/>
      <c r="AF452" s="7"/>
      <c r="AG452" s="7"/>
      <c r="AH452" s="7"/>
      <c r="AJ452" s="7"/>
      <c r="AK452" s="7"/>
      <c r="AL452" s="7"/>
      <c r="AM452" s="7"/>
      <c r="AN452" s="7"/>
      <c r="AO452" s="7"/>
      <c r="AR452" s="7"/>
      <c r="AS452" s="7"/>
      <c r="AT452" s="7"/>
      <c r="AU452" s="7"/>
      <c r="AW452" s="7"/>
      <c r="CE452" s="7"/>
      <c r="FZ452" s="2"/>
    </row>
    <row r="453" spans="1:182">
      <c r="A453" s="7"/>
      <c r="D453" s="7"/>
      <c r="E453" s="7"/>
      <c r="F453" s="7"/>
      <c r="G453" s="7"/>
      <c r="H453" s="7"/>
      <c r="I453" s="7"/>
      <c r="J453" s="7"/>
      <c r="K453" s="7"/>
      <c r="L453" s="7"/>
      <c r="M453" s="7"/>
      <c r="N453" s="7"/>
      <c r="O453" s="7"/>
      <c r="P453" s="7"/>
      <c r="Q453" s="7"/>
      <c r="R453" s="7"/>
      <c r="S453" s="7"/>
      <c r="T453" s="7"/>
      <c r="U453" s="7"/>
      <c r="Y453" s="7"/>
      <c r="Z453" s="17"/>
      <c r="AC453" s="7"/>
      <c r="AD453" s="7"/>
      <c r="AE453" s="7"/>
      <c r="AF453" s="7"/>
      <c r="AG453" s="7"/>
      <c r="AH453" s="7"/>
      <c r="AJ453" s="7"/>
      <c r="AK453" s="7"/>
      <c r="AL453" s="7"/>
      <c r="AM453" s="7"/>
      <c r="AN453" s="7"/>
      <c r="AO453" s="7"/>
      <c r="AR453" s="7"/>
      <c r="AS453" s="7"/>
      <c r="AT453" s="7"/>
      <c r="AU453" s="7"/>
      <c r="AW453" s="7"/>
      <c r="CE453" s="7"/>
      <c r="FZ453" s="2"/>
    </row>
    <row r="454" spans="1:182">
      <c r="A454" s="7"/>
      <c r="D454" s="7"/>
      <c r="E454" s="7"/>
      <c r="F454" s="7"/>
      <c r="G454" s="7"/>
      <c r="H454" s="7"/>
      <c r="I454" s="7"/>
      <c r="J454" s="7"/>
      <c r="K454" s="7"/>
      <c r="L454" s="7"/>
      <c r="M454" s="7"/>
      <c r="N454" s="7"/>
      <c r="O454" s="7"/>
      <c r="P454" s="7"/>
      <c r="Q454" s="7"/>
      <c r="R454" s="7"/>
      <c r="S454" s="7"/>
      <c r="T454" s="7"/>
      <c r="U454" s="7"/>
      <c r="Y454" s="7"/>
      <c r="Z454" s="17"/>
      <c r="AC454" s="7"/>
      <c r="AD454" s="7"/>
      <c r="AE454" s="7"/>
      <c r="AF454" s="7"/>
      <c r="AG454" s="7"/>
      <c r="AH454" s="7"/>
      <c r="AJ454" s="7"/>
      <c r="AK454" s="7"/>
      <c r="AL454" s="7"/>
      <c r="AM454" s="7"/>
      <c r="AN454" s="7"/>
      <c r="AO454" s="7"/>
      <c r="AR454" s="7"/>
      <c r="AS454" s="7"/>
      <c r="AT454" s="7"/>
      <c r="AU454" s="7"/>
      <c r="AW454" s="7"/>
      <c r="CE454" s="7"/>
      <c r="FZ454" s="2"/>
    </row>
    <row r="455" spans="1:182">
      <c r="A455" s="7"/>
      <c r="D455" s="7"/>
      <c r="E455" s="7"/>
      <c r="F455" s="7"/>
      <c r="G455" s="7"/>
      <c r="H455" s="7"/>
      <c r="I455" s="7"/>
      <c r="J455" s="7"/>
      <c r="K455" s="7"/>
      <c r="L455" s="7"/>
      <c r="M455" s="7"/>
      <c r="N455" s="7"/>
      <c r="O455" s="7"/>
      <c r="P455" s="7"/>
      <c r="Q455" s="7"/>
      <c r="R455" s="7"/>
      <c r="S455" s="7"/>
      <c r="T455" s="7"/>
      <c r="U455" s="7"/>
      <c r="Y455" s="7"/>
      <c r="Z455" s="17"/>
      <c r="AC455" s="7"/>
      <c r="AD455" s="7"/>
      <c r="AE455" s="7"/>
      <c r="AF455" s="7"/>
      <c r="AG455" s="7"/>
      <c r="AH455" s="7"/>
      <c r="AJ455" s="7"/>
      <c r="AK455" s="7"/>
      <c r="AL455" s="7"/>
      <c r="AM455" s="7"/>
      <c r="AN455" s="7"/>
      <c r="AO455" s="7"/>
      <c r="AR455" s="7"/>
      <c r="AS455" s="7"/>
      <c r="AT455" s="7"/>
      <c r="AU455" s="7"/>
      <c r="AW455" s="7"/>
      <c r="CE455" s="7"/>
      <c r="FZ455" s="2"/>
    </row>
    <row r="456" spans="1:182">
      <c r="A456" s="7"/>
      <c r="D456" s="7"/>
      <c r="E456" s="7"/>
      <c r="F456" s="7"/>
      <c r="G456" s="7"/>
      <c r="H456" s="7"/>
      <c r="I456" s="7"/>
      <c r="J456" s="7"/>
      <c r="K456" s="7"/>
      <c r="L456" s="7"/>
      <c r="M456" s="7"/>
      <c r="N456" s="7"/>
      <c r="O456" s="7"/>
      <c r="P456" s="7"/>
      <c r="Q456" s="7"/>
      <c r="R456" s="7"/>
      <c r="S456" s="7"/>
      <c r="T456" s="7"/>
      <c r="U456" s="7"/>
      <c r="Y456" s="7"/>
      <c r="Z456" s="17"/>
      <c r="AC456" s="7"/>
      <c r="AD456" s="7"/>
      <c r="AE456" s="7"/>
      <c r="AF456" s="7"/>
      <c r="AG456" s="7"/>
      <c r="AH456" s="7"/>
      <c r="AJ456" s="7"/>
      <c r="AK456" s="7"/>
      <c r="AL456" s="7"/>
      <c r="AM456" s="7"/>
      <c r="AN456" s="7"/>
      <c r="AO456" s="7"/>
      <c r="AR456" s="7"/>
      <c r="AS456" s="7"/>
      <c r="AT456" s="7"/>
      <c r="AU456" s="7"/>
      <c r="AW456" s="7"/>
      <c r="CE456" s="7"/>
      <c r="FZ456" s="2"/>
    </row>
    <row r="457" spans="1:182">
      <c r="A457" s="7"/>
      <c r="D457" s="7"/>
      <c r="E457" s="7"/>
      <c r="F457" s="7"/>
      <c r="G457" s="7"/>
      <c r="H457" s="7"/>
      <c r="I457" s="7"/>
      <c r="J457" s="7"/>
      <c r="K457" s="7"/>
      <c r="L457" s="7"/>
      <c r="M457" s="7"/>
      <c r="N457" s="7"/>
      <c r="O457" s="7"/>
      <c r="P457" s="7"/>
      <c r="Q457" s="7"/>
      <c r="R457" s="7"/>
      <c r="S457" s="7"/>
      <c r="T457" s="7"/>
      <c r="U457" s="7"/>
      <c r="Y457" s="7"/>
      <c r="Z457" s="17"/>
      <c r="AC457" s="7"/>
      <c r="AD457" s="7"/>
      <c r="AE457" s="7"/>
      <c r="AF457" s="7"/>
      <c r="AG457" s="7"/>
      <c r="AH457" s="7"/>
      <c r="AJ457" s="7"/>
      <c r="AK457" s="7"/>
      <c r="AL457" s="7"/>
      <c r="AM457" s="7"/>
      <c r="AN457" s="7"/>
      <c r="AO457" s="7"/>
      <c r="AR457" s="7"/>
      <c r="AS457" s="7"/>
      <c r="AT457" s="7"/>
      <c r="AU457" s="7"/>
      <c r="AW457" s="7"/>
      <c r="CE457" s="7"/>
      <c r="FZ457" s="2"/>
    </row>
    <row r="458" spans="1:182">
      <c r="A458" s="7"/>
      <c r="D458" s="7"/>
      <c r="E458" s="7"/>
      <c r="F458" s="7"/>
      <c r="G458" s="7"/>
      <c r="H458" s="7"/>
      <c r="I458" s="7"/>
      <c r="J458" s="7"/>
      <c r="K458" s="7"/>
      <c r="L458" s="7"/>
      <c r="M458" s="7"/>
      <c r="N458" s="7"/>
      <c r="O458" s="7"/>
      <c r="P458" s="7"/>
      <c r="Q458" s="7"/>
      <c r="R458" s="7"/>
      <c r="S458" s="7"/>
      <c r="T458" s="7"/>
      <c r="U458" s="7"/>
      <c r="Y458" s="7"/>
      <c r="Z458" s="17"/>
      <c r="AC458" s="7"/>
      <c r="AD458" s="7"/>
      <c r="AE458" s="7"/>
      <c r="AF458" s="7"/>
      <c r="AG458" s="7"/>
      <c r="AH458" s="7"/>
      <c r="AJ458" s="7"/>
      <c r="AK458" s="7"/>
      <c r="AL458" s="7"/>
      <c r="AM458" s="7"/>
      <c r="AN458" s="7"/>
      <c r="AO458" s="7"/>
      <c r="AR458" s="7"/>
      <c r="AS458" s="7"/>
      <c r="AT458" s="7"/>
      <c r="AU458" s="7"/>
      <c r="AW458" s="7"/>
      <c r="CE458" s="7"/>
      <c r="FZ458" s="2"/>
    </row>
    <row r="459" spans="1:182">
      <c r="A459" s="7"/>
      <c r="D459" s="7"/>
      <c r="E459" s="7"/>
      <c r="F459" s="7"/>
      <c r="G459" s="7"/>
      <c r="H459" s="7"/>
      <c r="I459" s="7"/>
      <c r="J459" s="7"/>
      <c r="K459" s="7"/>
      <c r="L459" s="7"/>
      <c r="M459" s="7"/>
      <c r="N459" s="7"/>
      <c r="O459" s="7"/>
      <c r="P459" s="7"/>
      <c r="Q459" s="7"/>
      <c r="R459" s="7"/>
      <c r="S459" s="7"/>
      <c r="T459" s="7"/>
      <c r="U459" s="7"/>
      <c r="Y459" s="7"/>
      <c r="Z459" s="17"/>
      <c r="AC459" s="7"/>
      <c r="AD459" s="7"/>
      <c r="AE459" s="7"/>
      <c r="AF459" s="7"/>
      <c r="AG459" s="7"/>
      <c r="AH459" s="7"/>
      <c r="AJ459" s="7"/>
      <c r="AK459" s="7"/>
      <c r="AL459" s="7"/>
      <c r="AM459" s="7"/>
      <c r="AN459" s="7"/>
      <c r="AO459" s="7"/>
      <c r="AR459" s="7"/>
      <c r="AS459" s="7"/>
      <c r="AT459" s="7"/>
      <c r="AU459" s="7"/>
      <c r="AW459" s="7"/>
      <c r="CE459" s="7"/>
      <c r="FZ459" s="2"/>
    </row>
    <row r="460" spans="1:182">
      <c r="A460" s="7"/>
      <c r="D460" s="7"/>
      <c r="E460" s="7"/>
      <c r="F460" s="7"/>
      <c r="G460" s="7"/>
      <c r="H460" s="7"/>
      <c r="I460" s="7"/>
      <c r="J460" s="7"/>
      <c r="K460" s="7"/>
      <c r="L460" s="7"/>
      <c r="M460" s="7"/>
      <c r="N460" s="7"/>
      <c r="O460" s="7"/>
      <c r="P460" s="7"/>
      <c r="Q460" s="7"/>
      <c r="R460" s="7"/>
      <c r="S460" s="7"/>
      <c r="T460" s="7"/>
      <c r="U460" s="7"/>
      <c r="Y460" s="7"/>
      <c r="Z460" s="17"/>
      <c r="AC460" s="7"/>
      <c r="AD460" s="7"/>
      <c r="AE460" s="7"/>
      <c r="AF460" s="7"/>
      <c r="AG460" s="7"/>
      <c r="AH460" s="7"/>
      <c r="AJ460" s="7"/>
      <c r="AK460" s="7"/>
      <c r="AL460" s="7"/>
      <c r="AM460" s="7"/>
      <c r="AN460" s="7"/>
      <c r="AO460" s="7"/>
      <c r="AR460" s="7"/>
      <c r="AS460" s="7"/>
      <c r="AT460" s="7"/>
      <c r="AU460" s="7"/>
      <c r="AW460" s="7"/>
      <c r="CE460" s="7"/>
      <c r="FZ460" s="2"/>
    </row>
    <row r="461" spans="1:182">
      <c r="A461" s="7"/>
      <c r="D461" s="7"/>
      <c r="E461" s="7"/>
      <c r="F461" s="7"/>
      <c r="G461" s="7"/>
      <c r="H461" s="7"/>
      <c r="I461" s="7"/>
      <c r="J461" s="7"/>
      <c r="K461" s="7"/>
      <c r="L461" s="7"/>
      <c r="M461" s="7"/>
      <c r="N461" s="7"/>
      <c r="O461" s="7"/>
      <c r="P461" s="7"/>
      <c r="Q461" s="7"/>
      <c r="R461" s="7"/>
      <c r="S461" s="7"/>
      <c r="T461" s="7"/>
      <c r="U461" s="7"/>
      <c r="Y461" s="7"/>
      <c r="Z461" s="17"/>
      <c r="AC461" s="7"/>
      <c r="AD461" s="7"/>
      <c r="AE461" s="7"/>
      <c r="AF461" s="7"/>
      <c r="AG461" s="7"/>
      <c r="AH461" s="7"/>
      <c r="AJ461" s="7"/>
      <c r="AK461" s="7"/>
      <c r="AL461" s="7"/>
      <c r="AM461" s="7"/>
      <c r="AN461" s="7"/>
      <c r="AO461" s="7"/>
      <c r="AR461" s="7"/>
      <c r="AS461" s="7"/>
      <c r="AT461" s="7"/>
      <c r="AU461" s="7"/>
      <c r="AW461" s="7"/>
      <c r="CE461" s="7"/>
      <c r="FZ461" s="2"/>
    </row>
    <row r="462" spans="1:182">
      <c r="A462" s="7"/>
      <c r="D462" s="7"/>
      <c r="E462" s="7"/>
      <c r="F462" s="7"/>
      <c r="G462" s="7"/>
      <c r="H462" s="7"/>
      <c r="I462" s="7"/>
      <c r="J462" s="7"/>
      <c r="K462" s="7"/>
      <c r="L462" s="7"/>
      <c r="M462" s="7"/>
      <c r="N462" s="7"/>
      <c r="O462" s="7"/>
      <c r="P462" s="7"/>
      <c r="Q462" s="7"/>
      <c r="R462" s="7"/>
      <c r="S462" s="7"/>
      <c r="T462" s="7"/>
      <c r="U462" s="7"/>
      <c r="Y462" s="7"/>
      <c r="Z462" s="17"/>
      <c r="AC462" s="7"/>
      <c r="AD462" s="7"/>
      <c r="AE462" s="7"/>
      <c r="AF462" s="7"/>
      <c r="AG462" s="7"/>
      <c r="AH462" s="7"/>
      <c r="AJ462" s="7"/>
      <c r="AK462" s="7"/>
      <c r="AL462" s="7"/>
      <c r="AM462" s="7"/>
      <c r="AN462" s="7"/>
      <c r="AO462" s="7"/>
      <c r="AR462" s="7"/>
      <c r="AS462" s="7"/>
      <c r="AT462" s="7"/>
      <c r="AU462" s="7"/>
      <c r="AW462" s="7"/>
      <c r="CE462" s="7"/>
      <c r="FZ462" s="2"/>
    </row>
    <row r="463" spans="1:182">
      <c r="A463" s="7"/>
      <c r="D463" s="7"/>
      <c r="E463" s="7"/>
      <c r="F463" s="7"/>
      <c r="G463" s="7"/>
      <c r="H463" s="7"/>
      <c r="I463" s="7"/>
      <c r="J463" s="7"/>
      <c r="K463" s="7"/>
      <c r="L463" s="7"/>
      <c r="M463" s="7"/>
      <c r="N463" s="7"/>
      <c r="O463" s="7"/>
      <c r="P463" s="7"/>
      <c r="Q463" s="7"/>
      <c r="R463" s="7"/>
      <c r="S463" s="7"/>
      <c r="T463" s="7"/>
      <c r="U463" s="7"/>
      <c r="Y463" s="7"/>
      <c r="Z463" s="17"/>
      <c r="AC463" s="7"/>
      <c r="AD463" s="7"/>
      <c r="AE463" s="7"/>
      <c r="AF463" s="7"/>
      <c r="AG463" s="7"/>
      <c r="AH463" s="7"/>
      <c r="AJ463" s="7"/>
      <c r="AK463" s="7"/>
      <c r="AL463" s="7"/>
      <c r="AM463" s="7"/>
      <c r="AN463" s="7"/>
      <c r="AO463" s="7"/>
      <c r="AR463" s="7"/>
      <c r="AS463" s="7"/>
      <c r="AT463" s="7"/>
      <c r="AU463" s="7"/>
      <c r="AW463" s="7"/>
      <c r="CE463" s="7"/>
      <c r="FZ463" s="2"/>
    </row>
    <row r="464" spans="1:182">
      <c r="A464" s="7"/>
      <c r="D464" s="7"/>
      <c r="E464" s="7"/>
      <c r="F464" s="7"/>
      <c r="G464" s="7"/>
      <c r="H464" s="7"/>
      <c r="I464" s="7"/>
      <c r="J464" s="7"/>
      <c r="K464" s="7"/>
      <c r="L464" s="7"/>
      <c r="M464" s="7"/>
      <c r="N464" s="7"/>
      <c r="O464" s="7"/>
      <c r="P464" s="7"/>
      <c r="Q464" s="7"/>
      <c r="R464" s="7"/>
      <c r="S464" s="7"/>
      <c r="T464" s="7"/>
      <c r="U464" s="7"/>
      <c r="Y464" s="7"/>
      <c r="Z464" s="17"/>
      <c r="AC464" s="7"/>
      <c r="AD464" s="7"/>
      <c r="AE464" s="7"/>
      <c r="AF464" s="7"/>
      <c r="AG464" s="7"/>
      <c r="AH464" s="7"/>
      <c r="AJ464" s="7"/>
      <c r="AK464" s="7"/>
      <c r="AL464" s="7"/>
      <c r="AM464" s="7"/>
      <c r="AN464" s="7"/>
      <c r="AO464" s="7"/>
      <c r="AR464" s="7"/>
      <c r="AS464" s="7"/>
      <c r="AT464" s="7"/>
      <c r="AU464" s="7"/>
      <c r="AW464" s="7"/>
      <c r="CE464" s="7"/>
      <c r="FZ464" s="2"/>
    </row>
    <row r="465" spans="1:182">
      <c r="A465" s="7"/>
      <c r="D465" s="7"/>
      <c r="E465" s="7"/>
      <c r="F465" s="7"/>
      <c r="G465" s="7"/>
      <c r="H465" s="7"/>
      <c r="I465" s="7"/>
      <c r="J465" s="7"/>
      <c r="K465" s="7"/>
      <c r="L465" s="7"/>
      <c r="M465" s="7"/>
      <c r="N465" s="7"/>
      <c r="O465" s="7"/>
      <c r="P465" s="7"/>
      <c r="Q465" s="7"/>
      <c r="R465" s="7"/>
      <c r="S465" s="7"/>
      <c r="T465" s="7"/>
      <c r="U465" s="7"/>
      <c r="Y465" s="7"/>
      <c r="Z465" s="17"/>
      <c r="AC465" s="7"/>
      <c r="AD465" s="7"/>
      <c r="AE465" s="7"/>
      <c r="AF465" s="7"/>
      <c r="AG465" s="7"/>
      <c r="AH465" s="7"/>
      <c r="AJ465" s="7"/>
      <c r="AK465" s="7"/>
      <c r="AL465" s="7"/>
      <c r="AM465" s="7"/>
      <c r="AN465" s="7"/>
      <c r="AO465" s="7"/>
      <c r="AR465" s="7"/>
      <c r="AS465" s="7"/>
      <c r="AT465" s="7"/>
      <c r="AU465" s="7"/>
      <c r="AW465" s="7"/>
      <c r="CE465" s="7"/>
      <c r="FZ465" s="2"/>
    </row>
    <row r="466" spans="1:182">
      <c r="A466" s="7"/>
      <c r="D466" s="7"/>
      <c r="E466" s="7"/>
      <c r="F466" s="7"/>
      <c r="G466" s="7"/>
      <c r="H466" s="7"/>
      <c r="I466" s="7"/>
      <c r="J466" s="7"/>
      <c r="K466" s="7"/>
      <c r="L466" s="7"/>
      <c r="M466" s="7"/>
      <c r="N466" s="7"/>
      <c r="O466" s="7"/>
      <c r="P466" s="7"/>
      <c r="Q466" s="7"/>
      <c r="R466" s="7"/>
      <c r="S466" s="7"/>
      <c r="T466" s="7"/>
      <c r="U466" s="7"/>
      <c r="Y466" s="7"/>
      <c r="Z466" s="17"/>
      <c r="AC466" s="7"/>
      <c r="AD466" s="7"/>
      <c r="AE466" s="7"/>
      <c r="AF466" s="7"/>
      <c r="AG466" s="7"/>
      <c r="AH466" s="7"/>
      <c r="AJ466" s="7"/>
      <c r="AK466" s="7"/>
      <c r="AL466" s="7"/>
      <c r="AM466" s="7"/>
      <c r="AN466" s="7"/>
      <c r="AO466" s="7"/>
      <c r="AR466" s="7"/>
      <c r="AS466" s="7"/>
      <c r="AT466" s="7"/>
      <c r="AU466" s="7"/>
      <c r="AW466" s="7"/>
      <c r="CE466" s="7"/>
      <c r="FZ466" s="2"/>
    </row>
    <row r="467" spans="1:182">
      <c r="A467" s="7"/>
      <c r="D467" s="7"/>
      <c r="E467" s="7"/>
      <c r="F467" s="7"/>
      <c r="G467" s="7"/>
      <c r="H467" s="7"/>
      <c r="I467" s="7"/>
      <c r="J467" s="7"/>
      <c r="K467" s="7"/>
      <c r="L467" s="7"/>
      <c r="M467" s="7"/>
      <c r="N467" s="7"/>
      <c r="O467" s="7"/>
      <c r="P467" s="7"/>
      <c r="Q467" s="7"/>
      <c r="R467" s="7"/>
      <c r="S467" s="7"/>
      <c r="T467" s="7"/>
      <c r="U467" s="7"/>
      <c r="Y467" s="7"/>
      <c r="Z467" s="17"/>
      <c r="AC467" s="7"/>
      <c r="AD467" s="7"/>
      <c r="AE467" s="7"/>
      <c r="AF467" s="7"/>
      <c r="AG467" s="7"/>
      <c r="AH467" s="7"/>
      <c r="AJ467" s="7"/>
      <c r="AK467" s="7"/>
      <c r="AL467" s="7"/>
      <c r="AM467" s="7"/>
      <c r="AN467" s="7"/>
      <c r="AO467" s="7"/>
      <c r="AR467" s="7"/>
      <c r="AS467" s="7"/>
      <c r="AT467" s="7"/>
      <c r="AU467" s="7"/>
      <c r="AW467" s="7"/>
      <c r="CE467" s="7"/>
      <c r="FZ467" s="2"/>
    </row>
    <row r="468" spans="1:182">
      <c r="A468" s="7"/>
      <c r="D468" s="7"/>
      <c r="E468" s="7"/>
      <c r="F468" s="7"/>
      <c r="G468" s="7"/>
      <c r="H468" s="7"/>
      <c r="I468" s="7"/>
      <c r="J468" s="7"/>
      <c r="K468" s="7"/>
      <c r="L468" s="7"/>
      <c r="M468" s="7"/>
      <c r="N468" s="7"/>
      <c r="O468" s="7"/>
      <c r="P468" s="7"/>
      <c r="Q468" s="7"/>
      <c r="R468" s="7"/>
      <c r="S468" s="7"/>
      <c r="T468" s="7"/>
      <c r="U468" s="7"/>
      <c r="Y468" s="7"/>
      <c r="Z468" s="17"/>
      <c r="AC468" s="7"/>
      <c r="AD468" s="7"/>
      <c r="AE468" s="7"/>
      <c r="AF468" s="7"/>
      <c r="AG468" s="7"/>
      <c r="AH468" s="7"/>
      <c r="AJ468" s="7"/>
      <c r="AK468" s="7"/>
      <c r="AL468" s="7"/>
      <c r="AM468" s="7"/>
      <c r="AN468" s="7"/>
      <c r="AO468" s="7"/>
      <c r="AR468" s="7"/>
      <c r="AS468" s="7"/>
      <c r="AT468" s="7"/>
      <c r="AU468" s="7"/>
      <c r="AW468" s="7"/>
      <c r="CE468" s="7"/>
      <c r="FZ468" s="2"/>
    </row>
    <row r="469" spans="1:182">
      <c r="A469" s="7"/>
      <c r="D469" s="7"/>
      <c r="E469" s="7"/>
      <c r="F469" s="7"/>
      <c r="G469" s="7"/>
      <c r="H469" s="7"/>
      <c r="I469" s="7"/>
      <c r="J469" s="7"/>
      <c r="K469" s="7"/>
      <c r="L469" s="7"/>
      <c r="M469" s="7"/>
      <c r="N469" s="7"/>
      <c r="O469" s="7"/>
      <c r="P469" s="7"/>
      <c r="Q469" s="7"/>
      <c r="R469" s="7"/>
      <c r="S469" s="7"/>
      <c r="T469" s="7"/>
      <c r="U469" s="7"/>
      <c r="Y469" s="7"/>
      <c r="Z469" s="17"/>
      <c r="AC469" s="7"/>
      <c r="AD469" s="7"/>
      <c r="AE469" s="7"/>
      <c r="AF469" s="7"/>
      <c r="AG469" s="7"/>
      <c r="AH469" s="7"/>
      <c r="AJ469" s="7"/>
      <c r="AK469" s="7"/>
      <c r="AL469" s="7"/>
      <c r="AM469" s="7"/>
      <c r="AN469" s="7"/>
      <c r="AO469" s="7"/>
      <c r="AR469" s="7"/>
      <c r="AS469" s="7"/>
      <c r="AT469" s="7"/>
      <c r="AU469" s="7"/>
      <c r="AW469" s="7"/>
      <c r="CE469" s="7"/>
      <c r="FZ469" s="2"/>
    </row>
    <row r="470" spans="1:182">
      <c r="A470" s="7"/>
      <c r="D470" s="7"/>
      <c r="E470" s="7"/>
      <c r="F470" s="7"/>
      <c r="G470" s="7"/>
      <c r="H470" s="7"/>
      <c r="I470" s="7"/>
      <c r="J470" s="7"/>
      <c r="K470" s="7"/>
      <c r="L470" s="7"/>
      <c r="M470" s="7"/>
      <c r="N470" s="7"/>
      <c r="O470" s="7"/>
      <c r="P470" s="7"/>
      <c r="Q470" s="7"/>
      <c r="R470" s="7"/>
      <c r="S470" s="7"/>
      <c r="T470" s="7"/>
      <c r="U470" s="7"/>
      <c r="Y470" s="7"/>
      <c r="Z470" s="17"/>
      <c r="AC470" s="7"/>
      <c r="AD470" s="7"/>
      <c r="AE470" s="7"/>
      <c r="AF470" s="7"/>
      <c r="AG470" s="7"/>
      <c r="AH470" s="7"/>
      <c r="AJ470" s="7"/>
      <c r="AK470" s="7"/>
      <c r="AL470" s="7"/>
      <c r="AM470" s="7"/>
      <c r="AN470" s="7"/>
      <c r="AO470" s="7"/>
      <c r="AR470" s="7"/>
      <c r="AS470" s="7"/>
      <c r="AT470" s="7"/>
      <c r="AU470" s="7"/>
      <c r="AW470" s="7"/>
      <c r="CE470" s="7"/>
      <c r="FZ470" s="2"/>
    </row>
    <row r="471" spans="1:182">
      <c r="A471" s="7"/>
      <c r="D471" s="7"/>
      <c r="E471" s="7"/>
      <c r="F471" s="7"/>
      <c r="G471" s="7"/>
      <c r="H471" s="7"/>
      <c r="I471" s="7"/>
      <c r="J471" s="7"/>
      <c r="K471" s="7"/>
      <c r="L471" s="7"/>
      <c r="M471" s="7"/>
      <c r="N471" s="7"/>
      <c r="O471" s="7"/>
      <c r="P471" s="7"/>
      <c r="Q471" s="7"/>
      <c r="R471" s="7"/>
      <c r="S471" s="7"/>
      <c r="T471" s="7"/>
      <c r="U471" s="7"/>
      <c r="Y471" s="7"/>
      <c r="Z471" s="17"/>
      <c r="AC471" s="7"/>
      <c r="AD471" s="7"/>
      <c r="AE471" s="7"/>
      <c r="AF471" s="7"/>
      <c r="AG471" s="7"/>
      <c r="AH471" s="7"/>
      <c r="AJ471" s="7"/>
      <c r="AK471" s="7"/>
      <c r="AL471" s="7"/>
      <c r="AM471" s="7"/>
      <c r="AN471" s="7"/>
      <c r="AO471" s="7"/>
      <c r="AR471" s="7"/>
      <c r="AS471" s="7"/>
      <c r="AT471" s="7"/>
      <c r="AU471" s="7"/>
      <c r="AW471" s="7"/>
      <c r="CE471" s="7"/>
      <c r="FZ471" s="2"/>
    </row>
    <row r="472" spans="1:182">
      <c r="A472" s="7"/>
      <c r="D472" s="7"/>
      <c r="E472" s="7"/>
      <c r="F472" s="7"/>
      <c r="G472" s="7"/>
      <c r="H472" s="7"/>
      <c r="I472" s="7"/>
      <c r="J472" s="7"/>
      <c r="K472" s="7"/>
      <c r="L472" s="7"/>
      <c r="M472" s="7"/>
      <c r="N472" s="7"/>
      <c r="O472" s="7"/>
      <c r="P472" s="7"/>
      <c r="Q472" s="7"/>
      <c r="R472" s="7"/>
      <c r="S472" s="7"/>
      <c r="T472" s="7"/>
      <c r="U472" s="7"/>
      <c r="Y472" s="7"/>
      <c r="Z472" s="17"/>
      <c r="AC472" s="7"/>
      <c r="AD472" s="7"/>
      <c r="AE472" s="7"/>
      <c r="AF472" s="7"/>
      <c r="AG472" s="7"/>
      <c r="AH472" s="7"/>
      <c r="AJ472" s="7"/>
      <c r="AK472" s="7"/>
      <c r="AL472" s="7"/>
      <c r="AM472" s="7"/>
      <c r="AN472" s="7"/>
      <c r="AO472" s="7"/>
      <c r="AR472" s="7"/>
      <c r="AS472" s="7"/>
      <c r="AT472" s="7"/>
      <c r="AU472" s="7"/>
      <c r="AW472" s="7"/>
      <c r="CE472" s="7"/>
      <c r="FZ472" s="2"/>
    </row>
    <row r="473" spans="1:182">
      <c r="A473" s="7"/>
      <c r="D473" s="7"/>
      <c r="E473" s="7"/>
      <c r="F473" s="7"/>
      <c r="G473" s="7"/>
      <c r="H473" s="7"/>
      <c r="I473" s="7"/>
      <c r="J473" s="7"/>
      <c r="K473" s="7"/>
      <c r="L473" s="7"/>
      <c r="M473" s="7"/>
      <c r="N473" s="7"/>
      <c r="O473" s="7"/>
      <c r="P473" s="7"/>
      <c r="Q473" s="7"/>
      <c r="R473" s="7"/>
      <c r="S473" s="7"/>
      <c r="T473" s="7"/>
      <c r="U473" s="7"/>
      <c r="Y473" s="7"/>
      <c r="Z473" s="17"/>
      <c r="AC473" s="7"/>
      <c r="AD473" s="7"/>
      <c r="AE473" s="7"/>
      <c r="AF473" s="7"/>
      <c r="AG473" s="7"/>
      <c r="AH473" s="7"/>
      <c r="AJ473" s="7"/>
      <c r="AK473" s="7"/>
      <c r="AL473" s="7"/>
      <c r="AM473" s="7"/>
      <c r="AN473" s="7"/>
      <c r="AO473" s="7"/>
      <c r="AR473" s="7"/>
      <c r="AS473" s="7"/>
      <c r="AT473" s="7"/>
      <c r="AU473" s="7"/>
      <c r="AW473" s="7"/>
      <c r="CE473" s="7"/>
      <c r="FZ473" s="2"/>
    </row>
    <row r="474" spans="1:182">
      <c r="A474" s="7"/>
      <c r="D474" s="7"/>
      <c r="E474" s="7"/>
      <c r="F474" s="7"/>
      <c r="G474" s="7"/>
      <c r="H474" s="7"/>
      <c r="I474" s="7"/>
      <c r="J474" s="7"/>
      <c r="K474" s="7"/>
      <c r="L474" s="7"/>
      <c r="M474" s="7"/>
      <c r="N474" s="7"/>
      <c r="O474" s="7"/>
      <c r="P474" s="7"/>
      <c r="Q474" s="7"/>
      <c r="R474" s="7"/>
      <c r="S474" s="7"/>
      <c r="T474" s="7"/>
      <c r="U474" s="7"/>
      <c r="Y474" s="7"/>
      <c r="Z474" s="17"/>
      <c r="AC474" s="7"/>
      <c r="AD474" s="7"/>
      <c r="AE474" s="7"/>
      <c r="AF474" s="7"/>
      <c r="AG474" s="7"/>
      <c r="AH474" s="7"/>
      <c r="AJ474" s="7"/>
      <c r="AK474" s="7"/>
      <c r="AL474" s="7"/>
      <c r="AM474" s="7"/>
      <c r="AN474" s="7"/>
      <c r="AO474" s="7"/>
      <c r="AR474" s="7"/>
      <c r="AS474" s="7"/>
      <c r="AT474" s="7"/>
      <c r="AU474" s="7"/>
      <c r="AW474" s="7"/>
      <c r="CE474" s="7"/>
      <c r="FZ474" s="2"/>
    </row>
    <row r="475" spans="1:182">
      <c r="A475" s="7"/>
      <c r="D475" s="7"/>
      <c r="E475" s="7"/>
      <c r="F475" s="7"/>
      <c r="G475" s="7"/>
      <c r="H475" s="7"/>
      <c r="I475" s="7"/>
      <c r="J475" s="7"/>
      <c r="K475" s="7"/>
      <c r="L475" s="7"/>
      <c r="M475" s="7"/>
      <c r="N475" s="7"/>
      <c r="O475" s="7"/>
      <c r="P475" s="7"/>
      <c r="Q475" s="7"/>
      <c r="R475" s="7"/>
      <c r="S475" s="7"/>
      <c r="T475" s="7"/>
      <c r="U475" s="7"/>
      <c r="Y475" s="7"/>
      <c r="Z475" s="17"/>
      <c r="AC475" s="7"/>
      <c r="AD475" s="7"/>
      <c r="AE475" s="7"/>
      <c r="AF475" s="7"/>
      <c r="AG475" s="7"/>
      <c r="AH475" s="7"/>
      <c r="AJ475" s="7"/>
      <c r="AK475" s="7"/>
      <c r="AL475" s="7"/>
      <c r="AM475" s="7"/>
      <c r="AN475" s="7"/>
      <c r="AO475" s="7"/>
      <c r="AR475" s="7"/>
      <c r="AS475" s="7"/>
      <c r="AT475" s="7"/>
      <c r="AU475" s="7"/>
      <c r="AW475" s="7"/>
      <c r="CE475" s="7"/>
      <c r="FZ475" s="2"/>
    </row>
    <row r="476" spans="1:182">
      <c r="A476" s="7"/>
      <c r="D476" s="7"/>
      <c r="E476" s="7"/>
      <c r="F476" s="7"/>
      <c r="G476" s="7"/>
      <c r="H476" s="7"/>
      <c r="I476" s="7"/>
      <c r="J476" s="7"/>
      <c r="K476" s="7"/>
      <c r="L476" s="7"/>
      <c r="M476" s="7"/>
      <c r="N476" s="7"/>
      <c r="O476" s="7"/>
      <c r="P476" s="7"/>
      <c r="Q476" s="7"/>
      <c r="R476" s="7"/>
      <c r="S476" s="7"/>
      <c r="T476" s="7"/>
      <c r="U476" s="7"/>
      <c r="Y476" s="7"/>
      <c r="Z476" s="17"/>
      <c r="AC476" s="7"/>
      <c r="AD476" s="7"/>
      <c r="AE476" s="7"/>
      <c r="AF476" s="7"/>
      <c r="AG476" s="7"/>
      <c r="AH476" s="7"/>
      <c r="AJ476" s="7"/>
      <c r="AK476" s="7"/>
      <c r="AL476" s="7"/>
      <c r="AM476" s="7"/>
      <c r="AN476" s="7"/>
      <c r="AO476" s="7"/>
      <c r="AR476" s="7"/>
      <c r="AS476" s="7"/>
      <c r="AT476" s="7"/>
      <c r="AU476" s="7"/>
      <c r="AW476" s="7"/>
      <c r="CE476" s="7"/>
      <c r="FZ476" s="2"/>
    </row>
    <row r="477" spans="1:182">
      <c r="A477" s="7"/>
      <c r="D477" s="7"/>
      <c r="E477" s="7"/>
      <c r="F477" s="7"/>
      <c r="G477" s="7"/>
      <c r="H477" s="7"/>
      <c r="I477" s="7"/>
      <c r="J477" s="7"/>
      <c r="K477" s="7"/>
      <c r="L477" s="7"/>
      <c r="M477" s="7"/>
      <c r="N477" s="7"/>
      <c r="O477" s="7"/>
      <c r="P477" s="7"/>
      <c r="Q477" s="7"/>
      <c r="R477" s="7"/>
      <c r="S477" s="7"/>
      <c r="T477" s="7"/>
      <c r="U477" s="7"/>
      <c r="Y477" s="7"/>
      <c r="Z477" s="17"/>
      <c r="AC477" s="7"/>
      <c r="AD477" s="7"/>
      <c r="AE477" s="7"/>
      <c r="AF477" s="7"/>
      <c r="AG477" s="7"/>
      <c r="AH477" s="7"/>
      <c r="AJ477" s="7"/>
      <c r="AK477" s="7"/>
      <c r="AL477" s="7"/>
      <c r="AM477" s="7"/>
      <c r="AN477" s="7"/>
      <c r="AO477" s="7"/>
      <c r="AR477" s="7"/>
      <c r="AS477" s="7"/>
      <c r="AT477" s="7"/>
      <c r="AU477" s="7"/>
      <c r="AW477" s="7"/>
      <c r="CE477" s="7"/>
      <c r="FZ477" s="2"/>
    </row>
    <row r="478" spans="1:182">
      <c r="A478" s="7"/>
      <c r="D478" s="7"/>
      <c r="E478" s="7"/>
      <c r="F478" s="7"/>
      <c r="G478" s="7"/>
      <c r="H478" s="7"/>
      <c r="I478" s="7"/>
      <c r="J478" s="7"/>
      <c r="K478" s="7"/>
      <c r="L478" s="7"/>
      <c r="M478" s="7"/>
      <c r="N478" s="7"/>
      <c r="O478" s="7"/>
      <c r="P478" s="7"/>
      <c r="Q478" s="7"/>
      <c r="R478" s="7"/>
      <c r="S478" s="7"/>
      <c r="T478" s="7"/>
      <c r="U478" s="7"/>
      <c r="Y478" s="7"/>
      <c r="Z478" s="17"/>
      <c r="AC478" s="7"/>
      <c r="AD478" s="7"/>
      <c r="AE478" s="7"/>
      <c r="AF478" s="7"/>
      <c r="AG478" s="7"/>
      <c r="AH478" s="7"/>
      <c r="AJ478" s="7"/>
      <c r="AK478" s="7"/>
      <c r="AL478" s="7"/>
      <c r="AM478" s="7"/>
      <c r="AN478" s="7"/>
      <c r="AO478" s="7"/>
      <c r="AR478" s="7"/>
      <c r="AS478" s="7"/>
      <c r="AT478" s="7"/>
      <c r="AU478" s="7"/>
      <c r="AW478" s="7"/>
      <c r="CE478" s="7"/>
      <c r="FZ478" s="2"/>
    </row>
    <row r="479" spans="1:182">
      <c r="A479" s="7"/>
      <c r="D479" s="7"/>
      <c r="E479" s="7"/>
      <c r="F479" s="7"/>
      <c r="G479" s="7"/>
      <c r="H479" s="7"/>
      <c r="I479" s="7"/>
      <c r="J479" s="7"/>
      <c r="K479" s="7"/>
      <c r="L479" s="7"/>
      <c r="M479" s="7"/>
      <c r="N479" s="7"/>
      <c r="O479" s="7"/>
      <c r="P479" s="7"/>
      <c r="Q479" s="7"/>
      <c r="R479" s="7"/>
      <c r="S479" s="7"/>
      <c r="T479" s="7"/>
      <c r="U479" s="7"/>
      <c r="Y479" s="7"/>
      <c r="Z479" s="17"/>
      <c r="AC479" s="7"/>
      <c r="AD479" s="7"/>
      <c r="AE479" s="7"/>
      <c r="AF479" s="7"/>
      <c r="AG479" s="7"/>
      <c r="AH479" s="7"/>
      <c r="AJ479" s="7"/>
      <c r="AK479" s="7"/>
      <c r="AL479" s="7"/>
      <c r="AM479" s="7"/>
      <c r="AN479" s="7"/>
      <c r="AO479" s="7"/>
      <c r="AR479" s="7"/>
      <c r="AS479" s="7"/>
      <c r="AT479" s="7"/>
      <c r="AU479" s="7"/>
      <c r="AW479" s="7"/>
      <c r="CE479" s="7"/>
      <c r="FZ479" s="2"/>
    </row>
    <row r="480" spans="1:182">
      <c r="A480" s="7"/>
      <c r="D480" s="7"/>
      <c r="E480" s="7"/>
      <c r="F480" s="7"/>
      <c r="G480" s="7"/>
      <c r="H480" s="7"/>
      <c r="I480" s="7"/>
      <c r="J480" s="7"/>
      <c r="K480" s="7"/>
      <c r="L480" s="7"/>
      <c r="M480" s="7"/>
      <c r="N480" s="7"/>
      <c r="O480" s="7"/>
      <c r="P480" s="7"/>
      <c r="Q480" s="7"/>
      <c r="R480" s="7"/>
      <c r="S480" s="7"/>
      <c r="T480" s="7"/>
      <c r="U480" s="7"/>
      <c r="Y480" s="7"/>
      <c r="Z480" s="17"/>
      <c r="AC480" s="7"/>
      <c r="AD480" s="7"/>
      <c r="AE480" s="7"/>
      <c r="AF480" s="7"/>
      <c r="AG480" s="7"/>
      <c r="AH480" s="7"/>
      <c r="AJ480" s="7"/>
      <c r="AK480" s="7"/>
      <c r="AL480" s="7"/>
      <c r="AM480" s="7"/>
      <c r="AN480" s="7"/>
      <c r="AO480" s="7"/>
      <c r="AR480" s="7"/>
      <c r="AS480" s="7"/>
      <c r="AT480" s="7"/>
      <c r="AU480" s="7"/>
      <c r="AW480" s="7"/>
      <c r="CE480" s="7"/>
      <c r="FZ480" s="2"/>
    </row>
    <row r="481" spans="1:182">
      <c r="A481" s="7"/>
      <c r="D481" s="7"/>
      <c r="E481" s="7"/>
      <c r="F481" s="7"/>
      <c r="G481" s="7"/>
      <c r="H481" s="7"/>
      <c r="I481" s="7"/>
      <c r="J481" s="7"/>
      <c r="K481" s="7"/>
      <c r="L481" s="7"/>
      <c r="M481" s="7"/>
      <c r="N481" s="7"/>
      <c r="O481" s="7"/>
      <c r="P481" s="7"/>
      <c r="Q481" s="7"/>
      <c r="R481" s="7"/>
      <c r="S481" s="7"/>
      <c r="T481" s="7"/>
      <c r="U481" s="7"/>
      <c r="Y481" s="7"/>
      <c r="Z481" s="17"/>
      <c r="AC481" s="7"/>
      <c r="AD481" s="7"/>
      <c r="AE481" s="7"/>
      <c r="AF481" s="7"/>
      <c r="AG481" s="7"/>
      <c r="AH481" s="7"/>
      <c r="AJ481" s="7"/>
      <c r="AK481" s="7"/>
      <c r="AL481" s="7"/>
      <c r="AM481" s="7"/>
      <c r="AN481" s="7"/>
      <c r="AO481" s="7"/>
      <c r="AR481" s="7"/>
      <c r="AS481" s="7"/>
      <c r="AT481" s="7"/>
      <c r="AU481" s="7"/>
      <c r="AW481" s="7"/>
      <c r="CE481" s="7"/>
      <c r="FZ481" s="2"/>
    </row>
    <row r="482" spans="1:182">
      <c r="A482" s="7"/>
      <c r="D482" s="7"/>
      <c r="E482" s="7"/>
      <c r="F482" s="7"/>
      <c r="G482" s="7"/>
      <c r="H482" s="7"/>
      <c r="I482" s="7"/>
      <c r="J482" s="7"/>
      <c r="K482" s="7"/>
      <c r="L482" s="7"/>
      <c r="M482" s="7"/>
      <c r="N482" s="7"/>
      <c r="O482" s="7"/>
      <c r="P482" s="7"/>
      <c r="Q482" s="7"/>
      <c r="R482" s="7"/>
      <c r="S482" s="7"/>
      <c r="T482" s="7"/>
      <c r="U482" s="7"/>
      <c r="Y482" s="7"/>
      <c r="Z482" s="17"/>
      <c r="AC482" s="7"/>
      <c r="AD482" s="7"/>
      <c r="AE482" s="7"/>
      <c r="AF482" s="7"/>
      <c r="AG482" s="7"/>
      <c r="AH482" s="7"/>
      <c r="AJ482" s="7"/>
      <c r="AK482" s="7"/>
      <c r="AL482" s="7"/>
      <c r="AM482" s="7"/>
      <c r="AN482" s="7"/>
      <c r="AO482" s="7"/>
      <c r="AR482" s="7"/>
      <c r="AS482" s="7"/>
      <c r="AT482" s="7"/>
      <c r="AU482" s="7"/>
      <c r="AW482" s="7"/>
      <c r="CE482" s="7"/>
      <c r="FZ482" s="2"/>
    </row>
    <row r="483" spans="1:182">
      <c r="A483" s="7"/>
      <c r="D483" s="7"/>
      <c r="E483" s="7"/>
      <c r="F483" s="7"/>
      <c r="G483" s="7"/>
      <c r="H483" s="7"/>
      <c r="I483" s="7"/>
      <c r="J483" s="7"/>
      <c r="K483" s="7"/>
      <c r="L483" s="7"/>
      <c r="M483" s="7"/>
      <c r="N483" s="7"/>
      <c r="O483" s="7"/>
      <c r="P483" s="7"/>
      <c r="Q483" s="7"/>
      <c r="R483" s="7"/>
      <c r="S483" s="7"/>
      <c r="T483" s="7"/>
      <c r="U483" s="7"/>
      <c r="Y483" s="7"/>
      <c r="Z483" s="17"/>
      <c r="AC483" s="7"/>
      <c r="AD483" s="7"/>
      <c r="AE483" s="7"/>
      <c r="AF483" s="7"/>
      <c r="AG483" s="7"/>
      <c r="AH483" s="7"/>
      <c r="AJ483" s="7"/>
      <c r="AK483" s="7"/>
      <c r="AL483" s="7"/>
      <c r="AM483" s="7"/>
      <c r="AN483" s="7"/>
      <c r="AO483" s="7"/>
      <c r="AR483" s="7"/>
      <c r="AS483" s="7"/>
      <c r="AT483" s="7"/>
      <c r="AU483" s="7"/>
      <c r="AW483" s="7"/>
      <c r="CE483" s="7"/>
      <c r="FZ483" s="2"/>
    </row>
    <row r="484" spans="1:182">
      <c r="A484" s="7"/>
      <c r="D484" s="7"/>
      <c r="E484" s="7"/>
      <c r="F484" s="7"/>
      <c r="G484" s="7"/>
      <c r="H484" s="7"/>
      <c r="I484" s="7"/>
      <c r="J484" s="7"/>
      <c r="K484" s="7"/>
      <c r="L484" s="7"/>
      <c r="M484" s="7"/>
      <c r="N484" s="7"/>
      <c r="O484" s="7"/>
      <c r="P484" s="7"/>
      <c r="Q484" s="7"/>
      <c r="R484" s="7"/>
      <c r="S484" s="7"/>
      <c r="T484" s="7"/>
      <c r="U484" s="7"/>
      <c r="Y484" s="7"/>
      <c r="Z484" s="17"/>
      <c r="AC484" s="7"/>
      <c r="AD484" s="7"/>
      <c r="AE484" s="7"/>
      <c r="AF484" s="7"/>
      <c r="AG484" s="7"/>
      <c r="AH484" s="7"/>
      <c r="AJ484" s="7"/>
      <c r="AK484" s="7"/>
      <c r="AL484" s="7"/>
      <c r="AM484" s="7"/>
      <c r="AN484" s="7"/>
      <c r="AO484" s="7"/>
      <c r="AR484" s="7"/>
      <c r="AS484" s="7"/>
      <c r="AT484" s="7"/>
      <c r="AU484" s="7"/>
      <c r="AW484" s="7"/>
      <c r="CE484" s="7"/>
      <c r="FZ484" s="2"/>
    </row>
    <row r="485" spans="1:182">
      <c r="A485" s="7"/>
      <c r="D485" s="7"/>
      <c r="E485" s="7"/>
      <c r="F485" s="7"/>
      <c r="G485" s="7"/>
      <c r="H485" s="7"/>
      <c r="I485" s="7"/>
      <c r="J485" s="7"/>
      <c r="K485" s="7"/>
      <c r="L485" s="7"/>
      <c r="M485" s="7"/>
      <c r="N485" s="7"/>
      <c r="O485" s="7"/>
      <c r="P485" s="7"/>
      <c r="Q485" s="7"/>
      <c r="R485" s="7"/>
      <c r="S485" s="7"/>
      <c r="T485" s="7"/>
      <c r="U485" s="7"/>
      <c r="Y485" s="7"/>
      <c r="Z485" s="17"/>
      <c r="AC485" s="7"/>
      <c r="AD485" s="7"/>
      <c r="AE485" s="7"/>
      <c r="AF485" s="7"/>
      <c r="AG485" s="7"/>
      <c r="AH485" s="7"/>
      <c r="AJ485" s="7"/>
      <c r="AK485" s="7"/>
      <c r="AL485" s="7"/>
      <c r="AM485" s="7"/>
      <c r="AN485" s="7"/>
      <c r="AO485" s="7"/>
      <c r="AR485" s="7"/>
      <c r="AS485" s="7"/>
      <c r="AT485" s="7"/>
      <c r="AU485" s="7"/>
      <c r="AW485" s="7"/>
      <c r="CE485" s="7"/>
      <c r="FZ485" s="2"/>
    </row>
    <row r="486" spans="1:182">
      <c r="A486" s="7"/>
      <c r="D486" s="7"/>
      <c r="E486" s="7"/>
      <c r="F486" s="7"/>
      <c r="G486" s="7"/>
      <c r="H486" s="7"/>
      <c r="I486" s="7"/>
      <c r="J486" s="7"/>
      <c r="K486" s="7"/>
      <c r="L486" s="7"/>
      <c r="M486" s="7"/>
      <c r="N486" s="7"/>
      <c r="O486" s="7"/>
      <c r="P486" s="7"/>
      <c r="Q486" s="7"/>
      <c r="R486" s="7"/>
      <c r="S486" s="7"/>
      <c r="T486" s="7"/>
      <c r="U486" s="7"/>
      <c r="Y486" s="7"/>
      <c r="Z486" s="17"/>
      <c r="AC486" s="7"/>
      <c r="AD486" s="7"/>
      <c r="AE486" s="7"/>
      <c r="AF486" s="7"/>
      <c r="AG486" s="7"/>
      <c r="AH486" s="7"/>
      <c r="AJ486" s="7"/>
      <c r="AK486" s="7"/>
      <c r="AL486" s="7"/>
      <c r="AM486" s="7"/>
      <c r="AN486" s="7"/>
      <c r="AO486" s="7"/>
      <c r="AR486" s="7"/>
      <c r="AS486" s="7"/>
      <c r="AT486" s="7"/>
      <c r="AU486" s="7"/>
      <c r="AW486" s="7"/>
      <c r="CE486" s="7"/>
      <c r="FZ486" s="2"/>
    </row>
    <row r="487" spans="1:182">
      <c r="A487" s="7"/>
      <c r="D487" s="7"/>
      <c r="E487" s="7"/>
      <c r="F487" s="7"/>
      <c r="G487" s="7"/>
      <c r="H487" s="7"/>
      <c r="I487" s="7"/>
      <c r="J487" s="7"/>
      <c r="K487" s="7"/>
      <c r="L487" s="7"/>
      <c r="M487" s="7"/>
      <c r="N487" s="7"/>
      <c r="O487" s="7"/>
      <c r="P487" s="7"/>
      <c r="Q487" s="7"/>
      <c r="R487" s="7"/>
      <c r="S487" s="7"/>
      <c r="T487" s="7"/>
      <c r="U487" s="7"/>
      <c r="Y487" s="7"/>
      <c r="Z487" s="17"/>
      <c r="AC487" s="7"/>
      <c r="AD487" s="7"/>
      <c r="AE487" s="7"/>
      <c r="AF487" s="7"/>
      <c r="AG487" s="7"/>
      <c r="AH487" s="7"/>
      <c r="AJ487" s="7"/>
      <c r="AK487" s="7"/>
      <c r="AL487" s="7"/>
      <c r="AM487" s="7"/>
      <c r="AN487" s="7"/>
      <c r="AO487" s="7"/>
      <c r="AR487" s="7"/>
      <c r="AS487" s="7"/>
      <c r="AT487" s="7"/>
      <c r="AU487" s="7"/>
      <c r="AW487" s="7"/>
      <c r="CE487" s="7"/>
      <c r="FZ487" s="2"/>
    </row>
    <row r="488" spans="1:182">
      <c r="A488" s="7"/>
      <c r="D488" s="7"/>
      <c r="E488" s="7"/>
      <c r="F488" s="7"/>
      <c r="G488" s="7"/>
      <c r="H488" s="7"/>
      <c r="I488" s="7"/>
      <c r="J488" s="7"/>
      <c r="K488" s="7"/>
      <c r="L488" s="7"/>
      <c r="M488" s="7"/>
      <c r="N488" s="7"/>
      <c r="O488" s="7"/>
      <c r="P488" s="7"/>
      <c r="Q488" s="7"/>
      <c r="R488" s="7"/>
      <c r="S488" s="7"/>
      <c r="T488" s="7"/>
      <c r="U488" s="7"/>
      <c r="Y488" s="7"/>
      <c r="Z488" s="17"/>
      <c r="AC488" s="7"/>
      <c r="AD488" s="7"/>
      <c r="AE488" s="7"/>
      <c r="AF488" s="7"/>
      <c r="AG488" s="7"/>
      <c r="AH488" s="7"/>
      <c r="AJ488" s="7"/>
      <c r="AK488" s="7"/>
      <c r="AL488" s="7"/>
      <c r="AM488" s="7"/>
      <c r="AN488" s="7"/>
      <c r="AO488" s="7"/>
      <c r="AR488" s="7"/>
      <c r="AS488" s="7"/>
      <c r="AT488" s="7"/>
      <c r="AU488" s="7"/>
      <c r="AW488" s="7"/>
      <c r="CE488" s="7"/>
      <c r="FZ488" s="2"/>
    </row>
    <row r="489" spans="1:182">
      <c r="A489" s="7"/>
      <c r="D489" s="7"/>
      <c r="E489" s="7"/>
      <c r="F489" s="7"/>
      <c r="G489" s="7"/>
      <c r="H489" s="7"/>
      <c r="I489" s="7"/>
      <c r="J489" s="7"/>
      <c r="K489" s="7"/>
      <c r="L489" s="7"/>
      <c r="M489" s="7"/>
      <c r="N489" s="7"/>
      <c r="O489" s="7"/>
      <c r="P489" s="7"/>
      <c r="Q489" s="7"/>
      <c r="R489" s="7"/>
      <c r="S489" s="7"/>
      <c r="T489" s="7"/>
      <c r="U489" s="7"/>
      <c r="Y489" s="7"/>
      <c r="Z489" s="17"/>
      <c r="AC489" s="7"/>
      <c r="AD489" s="7"/>
      <c r="AE489" s="7"/>
      <c r="AF489" s="7"/>
      <c r="AG489" s="7"/>
      <c r="AH489" s="7"/>
      <c r="AJ489" s="7"/>
      <c r="AK489" s="7"/>
      <c r="AL489" s="7"/>
      <c r="AM489" s="7"/>
      <c r="AN489" s="7"/>
      <c r="AO489" s="7"/>
      <c r="AR489" s="7"/>
      <c r="AS489" s="7"/>
      <c r="AT489" s="7"/>
      <c r="AU489" s="7"/>
      <c r="AW489" s="7"/>
      <c r="CE489" s="7"/>
      <c r="FZ489" s="2"/>
    </row>
    <row r="490" spans="1:182">
      <c r="A490" s="7"/>
      <c r="D490" s="7"/>
      <c r="E490" s="7"/>
      <c r="F490" s="7"/>
      <c r="G490" s="7"/>
      <c r="H490" s="7"/>
      <c r="I490" s="7"/>
      <c r="J490" s="7"/>
      <c r="K490" s="7"/>
      <c r="L490" s="7"/>
      <c r="M490" s="7"/>
      <c r="N490" s="7"/>
      <c r="O490" s="7"/>
      <c r="P490" s="7"/>
      <c r="Q490" s="7"/>
      <c r="R490" s="7"/>
      <c r="S490" s="7"/>
      <c r="T490" s="7"/>
      <c r="U490" s="7"/>
      <c r="Y490" s="7"/>
      <c r="Z490" s="17"/>
      <c r="AC490" s="7"/>
      <c r="AD490" s="7"/>
      <c r="AE490" s="7"/>
      <c r="AF490" s="7"/>
      <c r="AG490" s="7"/>
      <c r="AH490" s="7"/>
      <c r="AJ490" s="7"/>
      <c r="AK490" s="7"/>
      <c r="AL490" s="7"/>
      <c r="AM490" s="7"/>
      <c r="AN490" s="7"/>
      <c r="AO490" s="7"/>
      <c r="AR490" s="7"/>
      <c r="AS490" s="7"/>
      <c r="AT490" s="7"/>
      <c r="AU490" s="7"/>
      <c r="AW490" s="7"/>
      <c r="CE490" s="7"/>
      <c r="FZ490" s="2"/>
    </row>
    <row r="491" spans="1:182">
      <c r="A491" s="7"/>
      <c r="D491" s="7"/>
      <c r="E491" s="7"/>
      <c r="F491" s="7"/>
      <c r="G491" s="7"/>
      <c r="H491" s="7"/>
      <c r="I491" s="7"/>
      <c r="J491" s="7"/>
      <c r="K491" s="7"/>
      <c r="L491" s="7"/>
      <c r="M491" s="7"/>
      <c r="N491" s="7"/>
      <c r="O491" s="7"/>
      <c r="P491" s="7"/>
      <c r="Q491" s="7"/>
      <c r="R491" s="7"/>
      <c r="S491" s="7"/>
      <c r="T491" s="7"/>
      <c r="U491" s="7"/>
      <c r="Y491" s="7"/>
      <c r="Z491" s="17"/>
      <c r="AC491" s="7"/>
      <c r="AD491" s="7"/>
      <c r="AE491" s="7"/>
      <c r="AF491" s="7"/>
      <c r="AG491" s="7"/>
      <c r="AH491" s="7"/>
      <c r="AJ491" s="7"/>
      <c r="AK491" s="7"/>
      <c r="AL491" s="7"/>
      <c r="AM491" s="7"/>
      <c r="AN491" s="7"/>
      <c r="AO491" s="7"/>
      <c r="AR491" s="7"/>
      <c r="AS491" s="7"/>
      <c r="AT491" s="7"/>
      <c r="AU491" s="7"/>
      <c r="AW491" s="7"/>
      <c r="CE491" s="7"/>
      <c r="FZ491" s="2"/>
    </row>
    <row r="492" spans="1:182">
      <c r="A492" s="7"/>
      <c r="D492" s="7"/>
      <c r="E492" s="7"/>
      <c r="F492" s="7"/>
      <c r="G492" s="7"/>
      <c r="H492" s="7"/>
      <c r="I492" s="7"/>
      <c r="J492" s="7"/>
      <c r="K492" s="7"/>
      <c r="L492" s="7"/>
      <c r="M492" s="7"/>
      <c r="N492" s="7"/>
      <c r="O492" s="7"/>
      <c r="P492" s="7"/>
      <c r="Q492" s="7"/>
      <c r="R492" s="7"/>
      <c r="S492" s="7"/>
      <c r="T492" s="7"/>
      <c r="U492" s="7"/>
      <c r="Y492" s="7"/>
      <c r="Z492" s="17"/>
      <c r="AC492" s="7"/>
      <c r="AD492" s="7"/>
      <c r="AE492" s="7"/>
      <c r="AF492" s="7"/>
      <c r="AG492" s="7"/>
      <c r="AH492" s="7"/>
      <c r="AJ492" s="7"/>
      <c r="AK492" s="7"/>
      <c r="AL492" s="7"/>
      <c r="AM492" s="7"/>
      <c r="AN492" s="7"/>
      <c r="AO492" s="7"/>
      <c r="AR492" s="7"/>
      <c r="AS492" s="7"/>
      <c r="AT492" s="7"/>
      <c r="AU492" s="7"/>
      <c r="AW492" s="7"/>
      <c r="CE492" s="7"/>
      <c r="FZ492" s="2"/>
    </row>
    <row r="493" spans="1:182">
      <c r="A493" s="7"/>
      <c r="D493" s="7"/>
      <c r="E493" s="7"/>
      <c r="F493" s="7"/>
      <c r="G493" s="7"/>
      <c r="H493" s="7"/>
      <c r="I493" s="7"/>
      <c r="J493" s="7"/>
      <c r="K493" s="7"/>
      <c r="L493" s="7"/>
      <c r="M493" s="7"/>
      <c r="N493" s="7"/>
      <c r="O493" s="7"/>
      <c r="P493" s="7"/>
      <c r="Q493" s="7"/>
      <c r="R493" s="7"/>
      <c r="S493" s="7"/>
      <c r="T493" s="7"/>
      <c r="U493" s="7"/>
      <c r="Y493" s="7"/>
      <c r="Z493" s="17"/>
      <c r="AC493" s="7"/>
      <c r="AD493" s="7"/>
      <c r="AE493" s="7"/>
      <c r="AF493" s="7"/>
      <c r="AG493" s="7"/>
      <c r="AH493" s="7"/>
      <c r="AJ493" s="7"/>
      <c r="AK493" s="7"/>
      <c r="AL493" s="7"/>
      <c r="AM493" s="7"/>
      <c r="AN493" s="7"/>
      <c r="AO493" s="7"/>
      <c r="AR493" s="7"/>
      <c r="AS493" s="7"/>
      <c r="AT493" s="7"/>
      <c r="AU493" s="7"/>
      <c r="AW493" s="7"/>
      <c r="CE493" s="7"/>
      <c r="FZ493" s="2"/>
    </row>
    <row r="494" spans="1:182">
      <c r="A494" s="7"/>
      <c r="D494" s="7"/>
      <c r="E494" s="7"/>
      <c r="F494" s="7"/>
      <c r="G494" s="7"/>
      <c r="H494" s="7"/>
      <c r="I494" s="7"/>
      <c r="J494" s="7"/>
      <c r="K494" s="7"/>
      <c r="L494" s="7"/>
      <c r="M494" s="7"/>
      <c r="N494" s="7"/>
      <c r="O494" s="7"/>
      <c r="P494" s="7"/>
      <c r="Q494" s="7"/>
      <c r="R494" s="7"/>
      <c r="S494" s="7"/>
      <c r="T494" s="7"/>
      <c r="U494" s="7"/>
      <c r="Y494" s="7"/>
      <c r="Z494" s="17"/>
      <c r="AC494" s="7"/>
      <c r="AD494" s="7"/>
      <c r="AE494" s="7"/>
      <c r="AF494" s="7"/>
      <c r="AG494" s="7"/>
      <c r="AH494" s="7"/>
      <c r="AJ494" s="7"/>
      <c r="AK494" s="7"/>
      <c r="AL494" s="7"/>
      <c r="AM494" s="7"/>
      <c r="AN494" s="7"/>
      <c r="AO494" s="7"/>
      <c r="AR494" s="7"/>
      <c r="AS494" s="7"/>
      <c r="AT494" s="7"/>
      <c r="AU494" s="7"/>
      <c r="AW494" s="7"/>
      <c r="CE494" s="7"/>
      <c r="FZ494" s="2"/>
    </row>
    <row r="495" spans="1:182">
      <c r="A495" s="7"/>
      <c r="D495" s="7"/>
      <c r="E495" s="7"/>
      <c r="F495" s="7"/>
      <c r="G495" s="7"/>
      <c r="H495" s="7"/>
      <c r="I495" s="7"/>
      <c r="J495" s="7"/>
      <c r="K495" s="7"/>
      <c r="L495" s="7"/>
      <c r="M495" s="7"/>
      <c r="N495" s="7"/>
      <c r="O495" s="7"/>
      <c r="P495" s="7"/>
      <c r="Q495" s="7"/>
      <c r="R495" s="7"/>
      <c r="S495" s="7"/>
      <c r="T495" s="7"/>
      <c r="U495" s="7"/>
      <c r="Y495" s="7"/>
      <c r="Z495" s="17"/>
      <c r="AC495" s="7"/>
      <c r="AD495" s="7"/>
      <c r="AE495" s="7"/>
      <c r="AF495" s="7"/>
      <c r="AG495" s="7"/>
      <c r="AH495" s="7"/>
      <c r="AJ495" s="7"/>
      <c r="AK495" s="7"/>
      <c r="AL495" s="7"/>
      <c r="AM495" s="7"/>
      <c r="AN495" s="7"/>
      <c r="AO495" s="7"/>
      <c r="AR495" s="7"/>
      <c r="AS495" s="7"/>
      <c r="AT495" s="7"/>
      <c r="AU495" s="7"/>
      <c r="AW495" s="7"/>
      <c r="CE495" s="7"/>
      <c r="FZ495" s="2"/>
    </row>
    <row r="496" spans="1:182">
      <c r="A496" s="7"/>
      <c r="D496" s="7"/>
      <c r="E496" s="7"/>
      <c r="F496" s="7"/>
      <c r="G496" s="7"/>
      <c r="H496" s="7"/>
      <c r="I496" s="7"/>
      <c r="J496" s="7"/>
      <c r="K496" s="7"/>
      <c r="L496" s="7"/>
      <c r="M496" s="7"/>
      <c r="N496" s="7"/>
      <c r="O496" s="7"/>
      <c r="P496" s="7"/>
      <c r="Q496" s="7"/>
      <c r="R496" s="7"/>
      <c r="S496" s="7"/>
      <c r="T496" s="7"/>
      <c r="U496" s="7"/>
      <c r="Y496" s="7"/>
      <c r="Z496" s="17"/>
      <c r="AC496" s="7"/>
      <c r="AD496" s="7"/>
      <c r="AE496" s="7"/>
      <c r="AF496" s="7"/>
      <c r="AG496" s="7"/>
      <c r="AH496" s="7"/>
      <c r="AJ496" s="7"/>
      <c r="AK496" s="7"/>
      <c r="AL496" s="7"/>
      <c r="AM496" s="7"/>
      <c r="AN496" s="7"/>
      <c r="AO496" s="7"/>
      <c r="AR496" s="7"/>
      <c r="AS496" s="7"/>
      <c r="AT496" s="7"/>
      <c r="AU496" s="7"/>
      <c r="AW496" s="7"/>
      <c r="CE496" s="7"/>
      <c r="FZ496" s="2"/>
    </row>
    <row r="497" spans="1:182">
      <c r="A497" s="7"/>
      <c r="D497" s="7"/>
      <c r="E497" s="7"/>
      <c r="F497" s="7"/>
      <c r="G497" s="7"/>
      <c r="H497" s="7"/>
      <c r="I497" s="7"/>
      <c r="J497" s="7"/>
      <c r="K497" s="7"/>
      <c r="L497" s="7"/>
      <c r="M497" s="7"/>
      <c r="N497" s="7"/>
      <c r="O497" s="7"/>
      <c r="P497" s="7"/>
      <c r="Q497" s="7"/>
      <c r="R497" s="7"/>
      <c r="S497" s="7"/>
      <c r="T497" s="7"/>
      <c r="U497" s="7"/>
      <c r="Y497" s="7"/>
      <c r="Z497" s="17"/>
      <c r="AC497" s="7"/>
      <c r="AD497" s="7"/>
      <c r="AE497" s="7"/>
      <c r="AF497" s="7"/>
      <c r="AG497" s="7"/>
      <c r="AH497" s="7"/>
      <c r="AJ497" s="7"/>
      <c r="AK497" s="7"/>
      <c r="AL497" s="7"/>
      <c r="AM497" s="7"/>
      <c r="AN497" s="7"/>
      <c r="AO497" s="7"/>
      <c r="AR497" s="7"/>
      <c r="AS497" s="7"/>
      <c r="AT497" s="7"/>
      <c r="AU497" s="7"/>
      <c r="AW497" s="7"/>
      <c r="CE497" s="7"/>
      <c r="FZ497" s="2"/>
    </row>
    <row r="498" spans="1:182">
      <c r="A498" s="7"/>
      <c r="D498" s="7"/>
      <c r="E498" s="7"/>
      <c r="F498" s="7"/>
      <c r="G498" s="7"/>
      <c r="H498" s="7"/>
      <c r="I498" s="7"/>
      <c r="J498" s="7"/>
      <c r="K498" s="7"/>
      <c r="L498" s="7"/>
      <c r="M498" s="7"/>
      <c r="N498" s="7"/>
      <c r="O498" s="7"/>
      <c r="P498" s="7"/>
      <c r="Q498" s="7"/>
      <c r="R498" s="7"/>
      <c r="S498" s="7"/>
      <c r="T498" s="7"/>
      <c r="U498" s="7"/>
      <c r="Y498" s="7"/>
      <c r="Z498" s="17"/>
      <c r="AC498" s="7"/>
      <c r="AD498" s="7"/>
      <c r="AE498" s="7"/>
      <c r="AF498" s="7"/>
      <c r="AG498" s="7"/>
      <c r="AH498" s="7"/>
      <c r="AJ498" s="7"/>
      <c r="AK498" s="7"/>
      <c r="AL498" s="7"/>
      <c r="AM498" s="7"/>
      <c r="AN498" s="7"/>
      <c r="AO498" s="7"/>
      <c r="AR498" s="7"/>
      <c r="AS498" s="7"/>
      <c r="AT498" s="7"/>
      <c r="AU498" s="7"/>
      <c r="AW498" s="7"/>
      <c r="CE498" s="7"/>
      <c r="FZ498" s="2"/>
    </row>
    <row r="499" spans="1:182">
      <c r="A499" s="7"/>
      <c r="D499" s="7"/>
      <c r="E499" s="7"/>
      <c r="F499" s="7"/>
      <c r="G499" s="7"/>
      <c r="H499" s="7"/>
      <c r="I499" s="7"/>
      <c r="J499" s="7"/>
      <c r="K499" s="7"/>
      <c r="L499" s="7"/>
      <c r="M499" s="7"/>
      <c r="N499" s="7"/>
      <c r="O499" s="7"/>
      <c r="P499" s="7"/>
      <c r="Q499" s="7"/>
      <c r="R499" s="7"/>
      <c r="S499" s="7"/>
      <c r="T499" s="7"/>
      <c r="U499" s="7"/>
      <c r="Y499" s="7"/>
      <c r="Z499" s="17"/>
      <c r="AC499" s="7"/>
      <c r="AD499" s="7"/>
      <c r="AE499" s="7"/>
      <c r="AF499" s="7"/>
      <c r="AG499" s="7"/>
      <c r="AH499" s="7"/>
      <c r="AJ499" s="7"/>
      <c r="AK499" s="7"/>
      <c r="AL499" s="7"/>
      <c r="AM499" s="7"/>
      <c r="AN499" s="7"/>
      <c r="AO499" s="7"/>
      <c r="AR499" s="7"/>
      <c r="AS499" s="7"/>
      <c r="AT499" s="7"/>
      <c r="AU499" s="7"/>
      <c r="AW499" s="7"/>
      <c r="CE499" s="7"/>
      <c r="FZ499" s="2"/>
    </row>
    <row r="500" spans="1:182">
      <c r="A500" s="7"/>
      <c r="D500" s="7"/>
      <c r="E500" s="7"/>
      <c r="F500" s="7"/>
      <c r="G500" s="7"/>
      <c r="H500" s="7"/>
      <c r="I500" s="7"/>
      <c r="J500" s="7"/>
      <c r="K500" s="7"/>
      <c r="L500" s="7"/>
      <c r="M500" s="7"/>
      <c r="N500" s="7"/>
      <c r="O500" s="7"/>
      <c r="P500" s="7"/>
      <c r="Q500" s="7"/>
      <c r="R500" s="7"/>
      <c r="S500" s="7"/>
      <c r="T500" s="7"/>
      <c r="U500" s="7"/>
      <c r="Y500" s="7"/>
      <c r="Z500" s="17"/>
      <c r="AC500" s="7"/>
      <c r="AD500" s="7"/>
      <c r="AE500" s="7"/>
      <c r="AF500" s="7"/>
      <c r="AG500" s="7"/>
      <c r="AH500" s="7"/>
      <c r="AJ500" s="7"/>
      <c r="AK500" s="7"/>
      <c r="AL500" s="7"/>
      <c r="AM500" s="7"/>
      <c r="AN500" s="7"/>
      <c r="AO500" s="7"/>
      <c r="AR500" s="7"/>
      <c r="AS500" s="7"/>
      <c r="AT500" s="7"/>
      <c r="AU500" s="7"/>
      <c r="AW500" s="7"/>
      <c r="CE500" s="7"/>
      <c r="FZ500" s="2"/>
    </row>
    <row r="501" spans="1:182">
      <c r="A501" s="7"/>
      <c r="D501" s="7"/>
      <c r="E501" s="7"/>
      <c r="F501" s="7"/>
      <c r="G501" s="7"/>
      <c r="H501" s="7"/>
      <c r="I501" s="7"/>
      <c r="J501" s="7"/>
      <c r="K501" s="7"/>
      <c r="L501" s="7"/>
      <c r="M501" s="7"/>
      <c r="N501" s="7"/>
      <c r="O501" s="7"/>
      <c r="P501" s="7"/>
      <c r="Q501" s="7"/>
      <c r="R501" s="7"/>
      <c r="S501" s="7"/>
      <c r="T501" s="7"/>
      <c r="U501" s="7"/>
      <c r="Y501" s="7"/>
      <c r="Z501" s="17"/>
      <c r="AC501" s="7"/>
      <c r="AD501" s="7"/>
      <c r="AE501" s="7"/>
      <c r="AF501" s="7"/>
      <c r="AG501" s="7"/>
      <c r="AH501" s="7"/>
      <c r="AJ501" s="7"/>
      <c r="AK501" s="7"/>
      <c r="AL501" s="7"/>
      <c r="AM501" s="7"/>
      <c r="AN501" s="7"/>
      <c r="AO501" s="7"/>
      <c r="AR501" s="7"/>
      <c r="AS501" s="7"/>
      <c r="AT501" s="7"/>
      <c r="AU501" s="7"/>
      <c r="AW501" s="7"/>
      <c r="CE501" s="7"/>
      <c r="FZ501" s="2"/>
    </row>
    <row r="502" spans="1:182">
      <c r="A502" s="7"/>
      <c r="D502" s="7"/>
      <c r="E502" s="7"/>
      <c r="F502" s="7"/>
      <c r="G502" s="7"/>
      <c r="H502" s="7"/>
      <c r="I502" s="7"/>
      <c r="J502" s="7"/>
      <c r="K502" s="7"/>
      <c r="L502" s="7"/>
      <c r="M502" s="7"/>
      <c r="N502" s="7"/>
      <c r="O502" s="7"/>
      <c r="P502" s="7"/>
      <c r="Q502" s="7"/>
      <c r="R502" s="7"/>
      <c r="S502" s="7"/>
      <c r="T502" s="7"/>
      <c r="U502" s="7"/>
      <c r="Y502" s="7"/>
      <c r="Z502" s="17"/>
      <c r="AC502" s="7"/>
      <c r="AD502" s="7"/>
      <c r="AE502" s="7"/>
      <c r="AF502" s="7"/>
      <c r="AG502" s="7"/>
      <c r="AH502" s="7"/>
      <c r="AJ502" s="7"/>
      <c r="AK502" s="7"/>
      <c r="AL502" s="7"/>
      <c r="AM502" s="7"/>
      <c r="AN502" s="7"/>
      <c r="AO502" s="7"/>
      <c r="AR502" s="7"/>
      <c r="AS502" s="7"/>
      <c r="AT502" s="7"/>
      <c r="AU502" s="7"/>
      <c r="AW502" s="7"/>
      <c r="CE502" s="7"/>
      <c r="FZ502" s="2"/>
    </row>
    <row r="503" spans="1:182">
      <c r="A503" s="7"/>
      <c r="D503" s="7"/>
      <c r="E503" s="7"/>
      <c r="F503" s="7"/>
      <c r="G503" s="7"/>
      <c r="H503" s="7"/>
      <c r="I503" s="7"/>
      <c r="J503" s="7"/>
      <c r="K503" s="7"/>
      <c r="L503" s="7"/>
      <c r="M503" s="7"/>
      <c r="N503" s="7"/>
      <c r="O503" s="7"/>
      <c r="P503" s="7"/>
      <c r="Q503" s="7"/>
      <c r="R503" s="7"/>
      <c r="S503" s="7"/>
      <c r="T503" s="7"/>
      <c r="U503" s="7"/>
      <c r="Y503" s="7"/>
      <c r="Z503" s="17"/>
      <c r="AC503" s="7"/>
      <c r="AD503" s="7"/>
      <c r="AE503" s="7"/>
      <c r="AF503" s="7"/>
      <c r="AG503" s="7"/>
      <c r="AH503" s="7"/>
      <c r="AJ503" s="7"/>
      <c r="AK503" s="7"/>
      <c r="AL503" s="7"/>
      <c r="AM503" s="7"/>
      <c r="AN503" s="7"/>
      <c r="AO503" s="7"/>
      <c r="AR503" s="7"/>
      <c r="AS503" s="7"/>
      <c r="AT503" s="7"/>
      <c r="AU503" s="7"/>
      <c r="AW503" s="7"/>
      <c r="CE503" s="7"/>
      <c r="FZ503" s="2"/>
    </row>
    <row r="504" spans="1:182">
      <c r="A504" s="7"/>
      <c r="D504" s="7"/>
      <c r="E504" s="7"/>
      <c r="F504" s="7"/>
      <c r="G504" s="7"/>
      <c r="H504" s="7"/>
      <c r="I504" s="7"/>
      <c r="J504" s="7"/>
      <c r="K504" s="7"/>
      <c r="L504" s="7"/>
      <c r="M504" s="7"/>
      <c r="N504" s="7"/>
      <c r="O504" s="7"/>
      <c r="P504" s="7"/>
      <c r="Q504" s="7"/>
      <c r="R504" s="7"/>
      <c r="S504" s="7"/>
      <c r="T504" s="7"/>
      <c r="U504" s="7"/>
      <c r="Y504" s="7"/>
      <c r="Z504" s="17"/>
      <c r="AC504" s="7"/>
      <c r="AD504" s="7"/>
      <c r="AE504" s="7"/>
      <c r="AF504" s="7"/>
      <c r="AG504" s="7"/>
      <c r="AH504" s="7"/>
      <c r="AJ504" s="7"/>
      <c r="AK504" s="7"/>
      <c r="AL504" s="7"/>
      <c r="AM504" s="7"/>
      <c r="AN504" s="7"/>
      <c r="AO504" s="7"/>
      <c r="AR504" s="7"/>
      <c r="AS504" s="7"/>
      <c r="AT504" s="7"/>
      <c r="AU504" s="7"/>
      <c r="AW504" s="7"/>
      <c r="CE504" s="7"/>
      <c r="FZ504" s="2"/>
    </row>
    <row r="505" spans="1:182">
      <c r="A505" s="7"/>
      <c r="D505" s="7"/>
      <c r="E505" s="7"/>
      <c r="F505" s="7"/>
      <c r="G505" s="7"/>
      <c r="H505" s="7"/>
      <c r="I505" s="7"/>
      <c r="J505" s="7"/>
      <c r="K505" s="7"/>
      <c r="L505" s="7"/>
      <c r="M505" s="7"/>
      <c r="N505" s="7"/>
      <c r="O505" s="7"/>
      <c r="P505" s="7"/>
      <c r="Q505" s="7"/>
      <c r="R505" s="7"/>
      <c r="S505" s="7"/>
      <c r="T505" s="7"/>
      <c r="U505" s="7"/>
      <c r="Y505" s="7"/>
      <c r="Z505" s="17"/>
      <c r="AC505" s="7"/>
      <c r="AD505" s="7"/>
      <c r="AE505" s="7"/>
      <c r="AF505" s="7"/>
      <c r="AG505" s="7"/>
      <c r="AH505" s="7"/>
      <c r="AJ505" s="7"/>
      <c r="AK505" s="7"/>
      <c r="AL505" s="7"/>
      <c r="AM505" s="7"/>
      <c r="AN505" s="7"/>
      <c r="AO505" s="7"/>
      <c r="AR505" s="7"/>
      <c r="AS505" s="7"/>
      <c r="AT505" s="7"/>
      <c r="AU505" s="7"/>
      <c r="AW505" s="7"/>
      <c r="CE505" s="7"/>
      <c r="FZ505" s="2"/>
    </row>
    <row r="506" spans="1:182">
      <c r="A506" s="7"/>
      <c r="D506" s="7"/>
      <c r="E506" s="7"/>
      <c r="F506" s="7"/>
      <c r="G506" s="7"/>
      <c r="H506" s="7"/>
      <c r="I506" s="7"/>
      <c r="J506" s="7"/>
      <c r="K506" s="7"/>
      <c r="L506" s="7"/>
      <c r="M506" s="7"/>
      <c r="N506" s="7"/>
      <c r="O506" s="7"/>
      <c r="P506" s="7"/>
      <c r="Q506" s="7"/>
      <c r="R506" s="7"/>
      <c r="S506" s="7"/>
      <c r="T506" s="7"/>
      <c r="U506" s="7"/>
      <c r="Y506" s="7"/>
      <c r="Z506" s="17"/>
      <c r="AC506" s="7"/>
      <c r="AD506" s="7"/>
      <c r="AE506" s="7"/>
      <c r="AF506" s="7"/>
      <c r="AG506" s="7"/>
      <c r="AH506" s="7"/>
      <c r="AJ506" s="7"/>
      <c r="AK506" s="7"/>
      <c r="AL506" s="7"/>
      <c r="AM506" s="7"/>
      <c r="AN506" s="7"/>
      <c r="AO506" s="7"/>
      <c r="AR506" s="7"/>
      <c r="AS506" s="7"/>
      <c r="AT506" s="7"/>
      <c r="AU506" s="7"/>
      <c r="AW506" s="7"/>
      <c r="CE506" s="7"/>
      <c r="FZ506" s="2"/>
    </row>
    <row r="507" spans="1:182">
      <c r="A507" s="7"/>
      <c r="D507" s="7"/>
      <c r="E507" s="7"/>
      <c r="F507" s="7"/>
      <c r="G507" s="7"/>
      <c r="H507" s="7"/>
      <c r="I507" s="7"/>
      <c r="J507" s="7"/>
      <c r="K507" s="7"/>
      <c r="L507" s="7"/>
      <c r="M507" s="7"/>
      <c r="N507" s="7"/>
      <c r="O507" s="7"/>
      <c r="P507" s="7"/>
      <c r="Q507" s="7"/>
      <c r="R507" s="7"/>
      <c r="S507" s="7"/>
      <c r="T507" s="7"/>
      <c r="U507" s="7"/>
      <c r="Y507" s="7"/>
      <c r="Z507" s="17"/>
      <c r="AC507" s="7"/>
      <c r="AD507" s="7"/>
      <c r="AE507" s="7"/>
      <c r="AF507" s="7"/>
      <c r="AG507" s="7"/>
      <c r="AH507" s="7"/>
      <c r="AJ507" s="7"/>
      <c r="AK507" s="7"/>
      <c r="AL507" s="7"/>
      <c r="AM507" s="7"/>
      <c r="AN507" s="7"/>
      <c r="AO507" s="7"/>
      <c r="AR507" s="7"/>
      <c r="AS507" s="7"/>
      <c r="AT507" s="7"/>
      <c r="AU507" s="7"/>
      <c r="AW507" s="7"/>
      <c r="CE507" s="7"/>
      <c r="FZ507" s="2"/>
    </row>
    <row r="508" spans="1:182">
      <c r="A508" s="7"/>
      <c r="D508" s="7"/>
      <c r="E508" s="7"/>
      <c r="F508" s="7"/>
      <c r="G508" s="7"/>
      <c r="H508" s="7"/>
      <c r="I508" s="7"/>
      <c r="J508" s="7"/>
      <c r="K508" s="7"/>
      <c r="L508" s="7"/>
      <c r="M508" s="7"/>
      <c r="N508" s="7"/>
      <c r="O508" s="7"/>
      <c r="P508" s="7"/>
      <c r="Q508" s="7"/>
      <c r="R508" s="7"/>
      <c r="S508" s="7"/>
      <c r="T508" s="7"/>
      <c r="U508" s="7"/>
      <c r="Y508" s="7"/>
      <c r="Z508" s="17"/>
      <c r="AC508" s="7"/>
      <c r="AD508" s="7"/>
      <c r="AE508" s="7"/>
      <c r="AF508" s="7"/>
      <c r="AG508" s="7"/>
      <c r="AH508" s="7"/>
      <c r="AJ508" s="7"/>
      <c r="AK508" s="7"/>
      <c r="AL508" s="7"/>
      <c r="AM508" s="7"/>
      <c r="AN508" s="7"/>
      <c r="AO508" s="7"/>
      <c r="AR508" s="7"/>
      <c r="AS508" s="7"/>
      <c r="AT508" s="7"/>
      <c r="AU508" s="7"/>
      <c r="AW508" s="7"/>
      <c r="CE508" s="7"/>
      <c r="FZ508" s="2"/>
    </row>
    <row r="509" spans="1:182">
      <c r="A509" s="7"/>
      <c r="D509" s="7"/>
      <c r="E509" s="7"/>
      <c r="F509" s="7"/>
      <c r="G509" s="7"/>
      <c r="H509" s="7"/>
      <c r="I509" s="7"/>
      <c r="J509" s="7"/>
      <c r="K509" s="7"/>
      <c r="L509" s="7"/>
      <c r="M509" s="7"/>
      <c r="N509" s="7"/>
      <c r="O509" s="7"/>
      <c r="P509" s="7"/>
      <c r="Q509" s="7"/>
      <c r="R509" s="7"/>
      <c r="S509" s="7"/>
      <c r="T509" s="7"/>
      <c r="U509" s="7"/>
      <c r="Y509" s="7"/>
      <c r="Z509" s="17"/>
      <c r="AC509" s="7"/>
      <c r="AD509" s="7"/>
      <c r="AE509" s="7"/>
      <c r="AF509" s="7"/>
      <c r="AG509" s="7"/>
      <c r="AH509" s="7"/>
      <c r="AJ509" s="7"/>
      <c r="AK509" s="7"/>
      <c r="AL509" s="7"/>
      <c r="AM509" s="7"/>
      <c r="AN509" s="7"/>
      <c r="AO509" s="7"/>
      <c r="AR509" s="7"/>
      <c r="AS509" s="7"/>
      <c r="AT509" s="7"/>
      <c r="AU509" s="7"/>
      <c r="AW509" s="7"/>
      <c r="CE509" s="7"/>
      <c r="FZ509" s="2"/>
    </row>
    <row r="510" spans="1:182">
      <c r="A510" s="7"/>
      <c r="D510" s="7"/>
      <c r="E510" s="7"/>
      <c r="F510" s="7"/>
      <c r="G510" s="7"/>
      <c r="H510" s="7"/>
      <c r="I510" s="7"/>
      <c r="J510" s="7"/>
      <c r="K510" s="7"/>
      <c r="L510" s="7"/>
      <c r="M510" s="7"/>
      <c r="N510" s="7"/>
      <c r="O510" s="7"/>
      <c r="P510" s="7"/>
      <c r="Q510" s="7"/>
      <c r="R510" s="7"/>
      <c r="S510" s="7"/>
      <c r="T510" s="7"/>
      <c r="U510" s="7"/>
      <c r="Y510" s="7"/>
      <c r="Z510" s="17"/>
      <c r="AC510" s="7"/>
      <c r="AD510" s="7"/>
      <c r="AE510" s="7"/>
      <c r="AF510" s="7"/>
      <c r="AG510" s="7"/>
      <c r="AH510" s="7"/>
      <c r="AJ510" s="7"/>
      <c r="AK510" s="7"/>
      <c r="AL510" s="7"/>
      <c r="AM510" s="7"/>
      <c r="AN510" s="7"/>
      <c r="AO510" s="7"/>
      <c r="AR510" s="7"/>
      <c r="AS510" s="7"/>
      <c r="AT510" s="7"/>
      <c r="AU510" s="7"/>
      <c r="AW510" s="7"/>
      <c r="CE510" s="7"/>
      <c r="FZ510" s="2"/>
    </row>
    <row r="511" spans="1:182">
      <c r="A511" s="7"/>
      <c r="D511" s="7"/>
      <c r="E511" s="7"/>
      <c r="F511" s="7"/>
      <c r="G511" s="7"/>
      <c r="H511" s="7"/>
      <c r="I511" s="7"/>
      <c r="J511" s="7"/>
      <c r="K511" s="7"/>
      <c r="L511" s="7"/>
      <c r="M511" s="7"/>
      <c r="N511" s="7"/>
      <c r="O511" s="7"/>
      <c r="P511" s="7"/>
      <c r="Q511" s="7"/>
      <c r="R511" s="7"/>
      <c r="S511" s="7"/>
      <c r="T511" s="7"/>
      <c r="U511" s="7"/>
      <c r="Y511" s="7"/>
      <c r="Z511" s="17"/>
      <c r="AC511" s="7"/>
      <c r="AD511" s="7"/>
      <c r="AE511" s="7"/>
      <c r="AF511" s="7"/>
      <c r="AG511" s="7"/>
      <c r="AH511" s="7"/>
      <c r="AJ511" s="7"/>
      <c r="AK511" s="7"/>
      <c r="AL511" s="7"/>
      <c r="AM511" s="7"/>
      <c r="AN511" s="7"/>
      <c r="AO511" s="7"/>
      <c r="AR511" s="7"/>
      <c r="AS511" s="7"/>
      <c r="AT511" s="7"/>
      <c r="AU511" s="7"/>
      <c r="AW511" s="7"/>
      <c r="CE511" s="7"/>
      <c r="FZ511" s="2"/>
    </row>
    <row r="512" spans="1:182">
      <c r="A512" s="7"/>
      <c r="D512" s="7"/>
      <c r="E512" s="7"/>
      <c r="F512" s="7"/>
      <c r="G512" s="7"/>
      <c r="H512" s="7"/>
      <c r="I512" s="7"/>
      <c r="J512" s="7"/>
      <c r="K512" s="7"/>
      <c r="L512" s="7"/>
      <c r="M512" s="7"/>
      <c r="N512" s="7"/>
      <c r="O512" s="7"/>
      <c r="P512" s="7"/>
      <c r="Q512" s="7"/>
      <c r="R512" s="7"/>
      <c r="S512" s="7"/>
      <c r="T512" s="7"/>
      <c r="U512" s="7"/>
      <c r="Y512" s="7"/>
      <c r="Z512" s="17"/>
      <c r="AC512" s="7"/>
      <c r="AD512" s="7"/>
      <c r="AE512" s="7"/>
      <c r="AF512" s="7"/>
      <c r="AG512" s="7"/>
      <c r="AH512" s="7"/>
      <c r="AJ512" s="7"/>
      <c r="AK512" s="7"/>
      <c r="AL512" s="7"/>
      <c r="AM512" s="7"/>
      <c r="AN512" s="7"/>
      <c r="AO512" s="7"/>
      <c r="AR512" s="7"/>
      <c r="AS512" s="7"/>
      <c r="AT512" s="7"/>
      <c r="AU512" s="7"/>
      <c r="AW512" s="7"/>
      <c r="CE512" s="7"/>
      <c r="FZ512" s="2"/>
    </row>
    <row r="513" spans="1:182">
      <c r="A513" s="7"/>
      <c r="D513" s="7"/>
      <c r="E513" s="7"/>
      <c r="F513" s="7"/>
      <c r="G513" s="7"/>
      <c r="H513" s="7"/>
      <c r="I513" s="7"/>
      <c r="J513" s="7"/>
      <c r="K513" s="7"/>
      <c r="L513" s="7"/>
      <c r="M513" s="7"/>
      <c r="N513" s="7"/>
      <c r="O513" s="7"/>
      <c r="P513" s="7"/>
      <c r="Q513" s="7"/>
      <c r="R513" s="7"/>
      <c r="S513" s="7"/>
      <c r="T513" s="7"/>
      <c r="U513" s="7"/>
      <c r="Y513" s="7"/>
      <c r="Z513" s="17"/>
      <c r="AC513" s="7"/>
      <c r="AD513" s="7"/>
      <c r="AE513" s="7"/>
      <c r="AF513" s="7"/>
      <c r="AG513" s="7"/>
      <c r="AH513" s="7"/>
      <c r="AJ513" s="7"/>
      <c r="AK513" s="7"/>
      <c r="AL513" s="7"/>
      <c r="AM513" s="7"/>
      <c r="AN513" s="7"/>
      <c r="AO513" s="7"/>
      <c r="AR513" s="7"/>
      <c r="AS513" s="7"/>
      <c r="AT513" s="7"/>
      <c r="AU513" s="7"/>
      <c r="AW513" s="7"/>
      <c r="CE513" s="7"/>
      <c r="FZ513" s="2"/>
    </row>
    <row r="514" spans="1:182">
      <c r="A514" s="7"/>
      <c r="D514" s="7"/>
      <c r="E514" s="7"/>
      <c r="F514" s="7"/>
      <c r="G514" s="7"/>
      <c r="H514" s="7"/>
      <c r="I514" s="7"/>
      <c r="J514" s="7"/>
      <c r="K514" s="7"/>
      <c r="L514" s="7"/>
      <c r="M514" s="7"/>
      <c r="N514" s="7"/>
      <c r="O514" s="7"/>
      <c r="P514" s="7"/>
      <c r="Q514" s="7"/>
      <c r="R514" s="7"/>
      <c r="S514" s="7"/>
      <c r="T514" s="7"/>
      <c r="U514" s="7"/>
      <c r="Y514" s="7"/>
      <c r="Z514" s="17"/>
      <c r="AC514" s="7"/>
      <c r="AD514" s="7"/>
      <c r="AE514" s="7"/>
      <c r="AF514" s="7"/>
      <c r="AG514" s="7"/>
      <c r="AH514" s="7"/>
      <c r="AJ514" s="7"/>
      <c r="AK514" s="7"/>
      <c r="AL514" s="7"/>
      <c r="AM514" s="7"/>
      <c r="AN514" s="7"/>
      <c r="AO514" s="7"/>
      <c r="AR514" s="7"/>
      <c r="AS514" s="7"/>
      <c r="AT514" s="7"/>
      <c r="AU514" s="7"/>
      <c r="AW514" s="7"/>
      <c r="CE514" s="7"/>
      <c r="FZ514" s="2"/>
    </row>
    <row r="515" spans="1:182">
      <c r="A515" s="7"/>
      <c r="D515" s="7"/>
      <c r="E515" s="7"/>
      <c r="F515" s="7"/>
      <c r="G515" s="7"/>
      <c r="H515" s="7"/>
      <c r="I515" s="7"/>
      <c r="J515" s="7"/>
      <c r="K515" s="7"/>
      <c r="L515" s="7"/>
      <c r="M515" s="7"/>
      <c r="N515" s="7"/>
      <c r="O515" s="7"/>
      <c r="P515" s="7"/>
      <c r="Q515" s="7"/>
      <c r="R515" s="7"/>
      <c r="S515" s="7"/>
      <c r="T515" s="7"/>
      <c r="U515" s="7"/>
      <c r="Y515" s="7"/>
      <c r="Z515" s="17"/>
      <c r="AC515" s="7"/>
      <c r="AD515" s="7"/>
      <c r="AE515" s="7"/>
      <c r="AF515" s="7"/>
      <c r="AG515" s="7"/>
      <c r="AH515" s="7"/>
      <c r="AJ515" s="7"/>
      <c r="AK515" s="7"/>
      <c r="AL515" s="7"/>
      <c r="AM515" s="7"/>
      <c r="AN515" s="7"/>
      <c r="AO515" s="7"/>
      <c r="AR515" s="7"/>
      <c r="AS515" s="7"/>
      <c r="AT515" s="7"/>
      <c r="AU515" s="7"/>
      <c r="AW515" s="7"/>
      <c r="CE515" s="7"/>
      <c r="FZ515" s="2"/>
    </row>
    <row r="516" spans="1:182">
      <c r="A516" s="7"/>
      <c r="D516" s="7"/>
      <c r="E516" s="7"/>
      <c r="F516" s="7"/>
      <c r="G516" s="7"/>
      <c r="H516" s="7"/>
      <c r="I516" s="7"/>
      <c r="J516" s="7"/>
      <c r="K516" s="7"/>
      <c r="L516" s="7"/>
      <c r="M516" s="7"/>
      <c r="N516" s="7"/>
      <c r="O516" s="7"/>
      <c r="P516" s="7"/>
      <c r="Q516" s="7"/>
      <c r="R516" s="7"/>
      <c r="S516" s="7"/>
      <c r="T516" s="7"/>
      <c r="U516" s="7"/>
      <c r="Y516" s="7"/>
      <c r="Z516" s="17"/>
      <c r="AC516" s="7"/>
      <c r="AD516" s="7"/>
      <c r="AE516" s="7"/>
      <c r="AF516" s="7"/>
      <c r="AG516" s="7"/>
      <c r="AH516" s="7"/>
      <c r="AJ516" s="7"/>
      <c r="AK516" s="7"/>
      <c r="AL516" s="7"/>
      <c r="AM516" s="7"/>
      <c r="AN516" s="7"/>
      <c r="AO516" s="7"/>
      <c r="AR516" s="7"/>
      <c r="AS516" s="7"/>
      <c r="AT516" s="7"/>
      <c r="AU516" s="7"/>
      <c r="AW516" s="7"/>
      <c r="CE516" s="7"/>
      <c r="FZ516" s="2"/>
    </row>
    <row r="517" spans="1:182">
      <c r="A517" s="7"/>
      <c r="D517" s="7"/>
      <c r="E517" s="7"/>
      <c r="F517" s="7"/>
      <c r="G517" s="7"/>
      <c r="H517" s="7"/>
      <c r="I517" s="7"/>
      <c r="J517" s="7"/>
      <c r="K517" s="7"/>
      <c r="L517" s="7"/>
      <c r="M517" s="7"/>
      <c r="N517" s="7"/>
      <c r="O517" s="7"/>
      <c r="P517" s="7"/>
      <c r="Q517" s="7"/>
      <c r="R517" s="7"/>
      <c r="S517" s="7"/>
      <c r="T517" s="7"/>
      <c r="U517" s="7"/>
      <c r="Y517" s="7"/>
      <c r="Z517" s="17"/>
      <c r="AC517" s="7"/>
      <c r="AD517" s="7"/>
      <c r="AE517" s="7"/>
      <c r="AF517" s="7"/>
      <c r="AG517" s="7"/>
      <c r="AH517" s="7"/>
      <c r="AJ517" s="7"/>
      <c r="AK517" s="7"/>
      <c r="AL517" s="7"/>
      <c r="AM517" s="7"/>
      <c r="AN517" s="7"/>
      <c r="AO517" s="7"/>
      <c r="AR517" s="7"/>
      <c r="AS517" s="7"/>
      <c r="AT517" s="7"/>
      <c r="AU517" s="7"/>
      <c r="AW517" s="7"/>
      <c r="CE517" s="7"/>
      <c r="FZ517" s="2"/>
    </row>
    <row r="518" spans="1:182">
      <c r="A518" s="7"/>
      <c r="D518" s="7"/>
      <c r="E518" s="7"/>
      <c r="F518" s="7"/>
      <c r="G518" s="7"/>
      <c r="H518" s="7"/>
      <c r="I518" s="7"/>
      <c r="J518" s="7"/>
      <c r="K518" s="7"/>
      <c r="L518" s="7"/>
      <c r="M518" s="7"/>
      <c r="N518" s="7"/>
      <c r="O518" s="7"/>
      <c r="P518" s="7"/>
      <c r="Q518" s="7"/>
      <c r="R518" s="7"/>
      <c r="S518" s="7"/>
      <c r="T518" s="7"/>
      <c r="U518" s="7"/>
      <c r="Y518" s="7"/>
      <c r="Z518" s="17"/>
      <c r="AC518" s="7"/>
      <c r="AD518" s="7"/>
      <c r="AE518" s="7"/>
      <c r="AF518" s="7"/>
      <c r="AG518" s="7"/>
      <c r="AH518" s="7"/>
      <c r="AJ518" s="7"/>
      <c r="AK518" s="7"/>
      <c r="AL518" s="7"/>
      <c r="AM518" s="7"/>
      <c r="AN518" s="7"/>
      <c r="AO518" s="7"/>
      <c r="AR518" s="7"/>
      <c r="AS518" s="7"/>
      <c r="AT518" s="7"/>
      <c r="AU518" s="7"/>
      <c r="AW518" s="7"/>
      <c r="CE518" s="7"/>
      <c r="FZ518" s="2"/>
    </row>
    <row r="519" spans="1:182">
      <c r="A519" s="7"/>
      <c r="D519" s="7"/>
      <c r="E519" s="7"/>
      <c r="F519" s="7"/>
      <c r="G519" s="7"/>
      <c r="H519" s="7"/>
      <c r="I519" s="7"/>
      <c r="J519" s="7"/>
      <c r="K519" s="7"/>
      <c r="L519" s="7"/>
      <c r="M519" s="7"/>
      <c r="N519" s="7"/>
      <c r="O519" s="7"/>
      <c r="P519" s="7"/>
      <c r="Q519" s="7"/>
      <c r="R519" s="7"/>
      <c r="S519" s="7"/>
      <c r="T519" s="7"/>
      <c r="U519" s="7"/>
      <c r="Y519" s="7"/>
      <c r="Z519" s="17"/>
      <c r="AC519" s="7"/>
      <c r="AD519" s="7"/>
      <c r="AE519" s="7"/>
      <c r="AF519" s="7"/>
      <c r="AG519" s="7"/>
      <c r="AH519" s="7"/>
      <c r="AJ519" s="7"/>
      <c r="AK519" s="7"/>
      <c r="AL519" s="7"/>
      <c r="AM519" s="7"/>
      <c r="AN519" s="7"/>
      <c r="AO519" s="7"/>
      <c r="AR519" s="7"/>
      <c r="AS519" s="7"/>
      <c r="AT519" s="7"/>
      <c r="AU519" s="7"/>
      <c r="AW519" s="7"/>
      <c r="CE519" s="7"/>
      <c r="FZ519" s="2"/>
    </row>
    <row r="520" spans="1:182">
      <c r="A520" s="7"/>
      <c r="D520" s="7"/>
      <c r="E520" s="7"/>
      <c r="F520" s="7"/>
      <c r="G520" s="7"/>
      <c r="H520" s="7"/>
      <c r="I520" s="7"/>
      <c r="J520" s="7"/>
      <c r="K520" s="7"/>
      <c r="L520" s="7"/>
      <c r="M520" s="7"/>
      <c r="N520" s="7"/>
      <c r="O520" s="7"/>
      <c r="P520" s="7"/>
      <c r="Q520" s="7"/>
      <c r="R520" s="7"/>
      <c r="S520" s="7"/>
      <c r="T520" s="7"/>
      <c r="U520" s="7"/>
      <c r="Y520" s="7"/>
      <c r="Z520" s="17"/>
      <c r="AC520" s="7"/>
      <c r="AD520" s="7"/>
      <c r="AE520" s="7"/>
      <c r="AF520" s="7"/>
      <c r="AG520" s="7"/>
      <c r="AH520" s="7"/>
      <c r="AJ520" s="7"/>
      <c r="AK520" s="7"/>
      <c r="AL520" s="7"/>
      <c r="AM520" s="7"/>
      <c r="AN520" s="7"/>
      <c r="AO520" s="7"/>
      <c r="AR520" s="7"/>
      <c r="AS520" s="7"/>
      <c r="AT520" s="7"/>
      <c r="AU520" s="7"/>
      <c r="AW520" s="7"/>
      <c r="CE520" s="7"/>
      <c r="FZ520" s="2"/>
    </row>
    <row r="521" spans="1:182">
      <c r="A521" s="7"/>
      <c r="D521" s="7"/>
      <c r="E521" s="7"/>
      <c r="F521" s="7"/>
      <c r="G521" s="7"/>
      <c r="H521" s="7"/>
      <c r="I521" s="7"/>
      <c r="J521" s="7"/>
      <c r="K521" s="7"/>
      <c r="L521" s="7"/>
      <c r="M521" s="7"/>
      <c r="N521" s="7"/>
      <c r="O521" s="7"/>
      <c r="P521" s="7"/>
      <c r="Q521" s="7"/>
      <c r="R521" s="7"/>
      <c r="S521" s="7"/>
      <c r="T521" s="7"/>
      <c r="U521" s="7"/>
      <c r="Y521" s="7"/>
      <c r="Z521" s="17"/>
      <c r="AC521" s="7"/>
      <c r="AD521" s="7"/>
      <c r="AE521" s="7"/>
      <c r="AF521" s="7"/>
      <c r="AG521" s="7"/>
      <c r="AH521" s="7"/>
      <c r="AJ521" s="7"/>
      <c r="AK521" s="7"/>
      <c r="AL521" s="7"/>
      <c r="AM521" s="7"/>
      <c r="AN521" s="7"/>
      <c r="AO521" s="7"/>
      <c r="AR521" s="7"/>
      <c r="AS521" s="7"/>
      <c r="AT521" s="7"/>
      <c r="AU521" s="7"/>
      <c r="AW521" s="7"/>
      <c r="CE521" s="7"/>
      <c r="FZ521" s="2"/>
    </row>
    <row r="522" spans="1:182">
      <c r="A522" s="7"/>
      <c r="D522" s="7"/>
      <c r="E522" s="7"/>
      <c r="F522" s="7"/>
      <c r="G522" s="7"/>
      <c r="H522" s="7"/>
      <c r="I522" s="7"/>
      <c r="J522" s="7"/>
      <c r="K522" s="7"/>
      <c r="L522" s="7"/>
      <c r="M522" s="7"/>
      <c r="N522" s="7"/>
      <c r="O522" s="7"/>
      <c r="P522" s="7"/>
      <c r="Q522" s="7"/>
      <c r="R522" s="7"/>
      <c r="S522" s="7"/>
      <c r="T522" s="7"/>
      <c r="U522" s="7"/>
      <c r="Y522" s="7"/>
      <c r="Z522" s="17"/>
      <c r="AC522" s="7"/>
      <c r="AD522" s="7"/>
      <c r="AE522" s="7"/>
      <c r="AF522" s="7"/>
      <c r="AG522" s="7"/>
      <c r="AH522" s="7"/>
      <c r="AJ522" s="7"/>
      <c r="AK522" s="7"/>
      <c r="AL522" s="7"/>
      <c r="AM522" s="7"/>
      <c r="AN522" s="7"/>
      <c r="AO522" s="7"/>
      <c r="AR522" s="7"/>
      <c r="AS522" s="7"/>
      <c r="AT522" s="7"/>
      <c r="AU522" s="7"/>
      <c r="AW522" s="7"/>
      <c r="CE522" s="7"/>
      <c r="FZ522" s="2"/>
    </row>
    <row r="523" spans="1:182">
      <c r="A523" s="7"/>
      <c r="D523" s="7"/>
      <c r="E523" s="7"/>
      <c r="F523" s="7"/>
      <c r="G523" s="7"/>
      <c r="H523" s="7"/>
      <c r="I523" s="7"/>
      <c r="J523" s="7"/>
      <c r="K523" s="7"/>
      <c r="L523" s="7"/>
      <c r="M523" s="7"/>
      <c r="N523" s="7"/>
      <c r="O523" s="7"/>
      <c r="P523" s="7"/>
      <c r="Q523" s="7"/>
      <c r="R523" s="7"/>
      <c r="S523" s="7"/>
      <c r="T523" s="7"/>
      <c r="U523" s="7"/>
      <c r="Y523" s="7"/>
      <c r="Z523" s="17"/>
      <c r="AC523" s="7"/>
      <c r="AD523" s="7"/>
      <c r="AE523" s="7"/>
      <c r="AF523" s="7"/>
      <c r="AG523" s="7"/>
      <c r="AH523" s="7"/>
      <c r="AJ523" s="7"/>
      <c r="AK523" s="7"/>
      <c r="AL523" s="7"/>
      <c r="AM523" s="7"/>
      <c r="AN523" s="7"/>
      <c r="AO523" s="7"/>
      <c r="AR523" s="7"/>
      <c r="AS523" s="7"/>
      <c r="AT523" s="7"/>
      <c r="AU523" s="7"/>
      <c r="AW523" s="7"/>
      <c r="CE523" s="7"/>
      <c r="FZ523" s="2"/>
    </row>
    <row r="524" spans="1:182">
      <c r="A524" s="7"/>
      <c r="D524" s="7"/>
      <c r="E524" s="7"/>
      <c r="F524" s="7"/>
      <c r="G524" s="7"/>
      <c r="H524" s="7"/>
      <c r="I524" s="7"/>
      <c r="J524" s="7"/>
      <c r="K524" s="7"/>
      <c r="L524" s="7"/>
      <c r="M524" s="7"/>
      <c r="N524" s="7"/>
      <c r="O524" s="7"/>
      <c r="P524" s="7"/>
      <c r="Q524" s="7"/>
      <c r="R524" s="7"/>
      <c r="S524" s="7"/>
      <c r="T524" s="7"/>
      <c r="U524" s="7"/>
      <c r="Y524" s="7"/>
      <c r="Z524" s="17"/>
      <c r="AC524" s="7"/>
      <c r="AD524" s="7"/>
      <c r="AE524" s="7"/>
      <c r="AF524" s="7"/>
      <c r="AG524" s="7"/>
      <c r="AH524" s="7"/>
      <c r="AJ524" s="7"/>
      <c r="AK524" s="7"/>
      <c r="AL524" s="7"/>
      <c r="AM524" s="7"/>
      <c r="AN524" s="7"/>
      <c r="AO524" s="7"/>
      <c r="AR524" s="7"/>
      <c r="AS524" s="7"/>
      <c r="AT524" s="7"/>
      <c r="AU524" s="7"/>
      <c r="AW524" s="7"/>
      <c r="CE524" s="7"/>
      <c r="FZ524" s="2"/>
    </row>
    <row r="525" spans="1:182">
      <c r="A525" s="7"/>
      <c r="D525" s="7"/>
      <c r="E525" s="7"/>
      <c r="F525" s="7"/>
      <c r="G525" s="7"/>
      <c r="H525" s="7"/>
      <c r="I525" s="7"/>
      <c r="J525" s="7"/>
      <c r="K525" s="7"/>
      <c r="L525" s="7"/>
      <c r="M525" s="7"/>
      <c r="N525" s="7"/>
      <c r="O525" s="7"/>
      <c r="P525" s="7"/>
      <c r="Q525" s="7"/>
      <c r="R525" s="7"/>
      <c r="S525" s="7"/>
      <c r="T525" s="7"/>
      <c r="U525" s="7"/>
      <c r="Y525" s="7"/>
      <c r="Z525" s="17"/>
      <c r="AC525" s="7"/>
      <c r="AD525" s="7"/>
      <c r="AE525" s="7"/>
      <c r="AF525" s="7"/>
      <c r="AG525" s="7"/>
      <c r="AH525" s="7"/>
      <c r="AJ525" s="7"/>
      <c r="AK525" s="7"/>
      <c r="AL525" s="7"/>
      <c r="AM525" s="7"/>
      <c r="AN525" s="7"/>
      <c r="AO525" s="7"/>
      <c r="AR525" s="7"/>
      <c r="AS525" s="7"/>
      <c r="AT525" s="7"/>
      <c r="AU525" s="7"/>
      <c r="AW525" s="7"/>
      <c r="CE525" s="7"/>
      <c r="FZ525" s="2"/>
    </row>
    <row r="526" spans="1:182">
      <c r="A526" s="7"/>
      <c r="D526" s="7"/>
      <c r="E526" s="7"/>
      <c r="F526" s="7"/>
      <c r="G526" s="7"/>
      <c r="H526" s="7"/>
      <c r="I526" s="7"/>
      <c r="J526" s="7"/>
      <c r="K526" s="7"/>
      <c r="L526" s="7"/>
      <c r="M526" s="7"/>
      <c r="N526" s="7"/>
      <c r="O526" s="7"/>
      <c r="P526" s="7"/>
      <c r="Q526" s="7"/>
      <c r="R526" s="7"/>
      <c r="S526" s="7"/>
      <c r="T526" s="7"/>
      <c r="U526" s="7"/>
      <c r="Y526" s="7"/>
      <c r="Z526" s="17"/>
      <c r="AC526" s="7"/>
      <c r="AD526" s="7"/>
      <c r="AE526" s="7"/>
      <c r="AF526" s="7"/>
      <c r="AG526" s="7"/>
      <c r="AH526" s="7"/>
      <c r="AJ526" s="7"/>
      <c r="AK526" s="7"/>
      <c r="AL526" s="7"/>
      <c r="AM526" s="7"/>
      <c r="AN526" s="7"/>
      <c r="AO526" s="7"/>
      <c r="AR526" s="7"/>
      <c r="AS526" s="7"/>
      <c r="AT526" s="7"/>
      <c r="AU526" s="7"/>
      <c r="AW526" s="7"/>
      <c r="CE526" s="7"/>
      <c r="FZ526" s="2"/>
    </row>
    <row r="527" spans="1:182">
      <c r="A527" s="7"/>
      <c r="D527" s="7"/>
      <c r="E527" s="7"/>
      <c r="F527" s="7"/>
      <c r="G527" s="7"/>
      <c r="H527" s="7"/>
      <c r="I527" s="7"/>
      <c r="J527" s="7"/>
      <c r="K527" s="7"/>
      <c r="L527" s="7"/>
      <c r="M527" s="7"/>
      <c r="N527" s="7"/>
      <c r="O527" s="7"/>
      <c r="P527" s="7"/>
      <c r="Q527" s="7"/>
      <c r="R527" s="7"/>
      <c r="S527" s="7"/>
      <c r="T527" s="7"/>
      <c r="U527" s="7"/>
      <c r="Y527" s="7"/>
      <c r="Z527" s="17"/>
      <c r="AC527" s="7"/>
      <c r="AD527" s="7"/>
      <c r="AE527" s="7"/>
      <c r="AF527" s="7"/>
      <c r="AG527" s="7"/>
      <c r="AH527" s="7"/>
      <c r="AJ527" s="7"/>
      <c r="AK527" s="7"/>
      <c r="AL527" s="7"/>
      <c r="AM527" s="7"/>
      <c r="AN527" s="7"/>
      <c r="AO527" s="7"/>
      <c r="AR527" s="7"/>
      <c r="AS527" s="7"/>
      <c r="AT527" s="7"/>
      <c r="AU527" s="7"/>
      <c r="AW527" s="7"/>
      <c r="CE527" s="7"/>
      <c r="FZ527" s="2"/>
    </row>
    <row r="528" spans="1:182">
      <c r="A528" s="7"/>
      <c r="D528" s="7"/>
      <c r="E528" s="7"/>
      <c r="F528" s="7"/>
      <c r="G528" s="7"/>
      <c r="H528" s="7"/>
      <c r="I528" s="7"/>
      <c r="J528" s="7"/>
      <c r="K528" s="7"/>
      <c r="L528" s="7"/>
      <c r="M528" s="7"/>
      <c r="N528" s="7"/>
      <c r="O528" s="7"/>
      <c r="P528" s="7"/>
      <c r="Q528" s="7"/>
      <c r="R528" s="7"/>
      <c r="S528" s="7"/>
      <c r="T528" s="7"/>
      <c r="U528" s="7"/>
      <c r="Y528" s="7"/>
      <c r="Z528" s="17"/>
      <c r="AC528" s="7"/>
      <c r="AD528" s="7"/>
      <c r="AE528" s="7"/>
      <c r="AF528" s="7"/>
      <c r="AG528" s="7"/>
      <c r="AH528" s="7"/>
      <c r="AJ528" s="7"/>
      <c r="AK528" s="7"/>
      <c r="AL528" s="7"/>
      <c r="AM528" s="7"/>
      <c r="AN528" s="7"/>
      <c r="AO528" s="7"/>
      <c r="AR528" s="7"/>
      <c r="AS528" s="7"/>
      <c r="AT528" s="7"/>
      <c r="AU528" s="7"/>
      <c r="AW528" s="7"/>
      <c r="CE528" s="7"/>
      <c r="FZ528" s="2"/>
    </row>
    <row r="529" spans="1:182">
      <c r="A529" s="7"/>
      <c r="D529" s="7"/>
      <c r="E529" s="7"/>
      <c r="F529" s="7"/>
      <c r="G529" s="7"/>
      <c r="H529" s="7"/>
      <c r="I529" s="7"/>
      <c r="J529" s="7"/>
      <c r="K529" s="7"/>
      <c r="L529" s="7"/>
      <c r="M529" s="7"/>
      <c r="N529" s="7"/>
      <c r="O529" s="7"/>
      <c r="P529" s="7"/>
      <c r="Q529" s="7"/>
      <c r="R529" s="7"/>
      <c r="S529" s="7"/>
      <c r="T529" s="7"/>
      <c r="U529" s="7"/>
      <c r="Y529" s="7"/>
      <c r="Z529" s="17"/>
      <c r="AC529" s="7"/>
      <c r="AD529" s="7"/>
      <c r="AE529" s="7"/>
      <c r="AF529" s="7"/>
      <c r="AG529" s="7"/>
      <c r="AH529" s="7"/>
      <c r="AJ529" s="7"/>
      <c r="AK529" s="7"/>
      <c r="AL529" s="7"/>
      <c r="AM529" s="7"/>
      <c r="AN529" s="7"/>
      <c r="AO529" s="7"/>
      <c r="AR529" s="7"/>
      <c r="AS529" s="7"/>
      <c r="AT529" s="7"/>
      <c r="AU529" s="7"/>
      <c r="AW529" s="7"/>
      <c r="CE529" s="7"/>
      <c r="FZ529" s="2"/>
    </row>
    <row r="530" spans="1:182">
      <c r="A530" s="7"/>
      <c r="D530" s="7"/>
      <c r="E530" s="7"/>
      <c r="F530" s="7"/>
      <c r="G530" s="7"/>
      <c r="H530" s="7"/>
      <c r="I530" s="7"/>
      <c r="J530" s="7"/>
      <c r="K530" s="7"/>
      <c r="L530" s="7"/>
      <c r="M530" s="7"/>
      <c r="N530" s="7"/>
      <c r="O530" s="7"/>
      <c r="P530" s="7"/>
      <c r="Q530" s="7"/>
      <c r="R530" s="7"/>
      <c r="S530" s="7"/>
      <c r="T530" s="7"/>
      <c r="U530" s="7"/>
      <c r="Y530" s="7"/>
      <c r="Z530" s="17"/>
      <c r="AC530" s="7"/>
      <c r="AD530" s="7"/>
      <c r="AE530" s="7"/>
      <c r="AF530" s="7"/>
      <c r="AG530" s="7"/>
      <c r="AH530" s="7"/>
      <c r="AJ530" s="7"/>
      <c r="AK530" s="7"/>
      <c r="AL530" s="7"/>
      <c r="AM530" s="7"/>
      <c r="AN530" s="7"/>
      <c r="AO530" s="7"/>
      <c r="AR530" s="7"/>
      <c r="AS530" s="7"/>
      <c r="AT530" s="7"/>
      <c r="AU530" s="7"/>
      <c r="AW530" s="7"/>
      <c r="CE530" s="7"/>
      <c r="FZ530" s="2"/>
    </row>
    <row r="531" spans="1:182">
      <c r="A531" s="7"/>
      <c r="D531" s="7"/>
      <c r="E531" s="7"/>
      <c r="F531" s="7"/>
      <c r="G531" s="7"/>
      <c r="H531" s="7"/>
      <c r="I531" s="7"/>
      <c r="J531" s="7"/>
      <c r="K531" s="7"/>
      <c r="L531" s="7"/>
      <c r="M531" s="7"/>
      <c r="N531" s="7"/>
      <c r="O531" s="7"/>
      <c r="P531" s="7"/>
      <c r="Q531" s="7"/>
      <c r="R531" s="7"/>
      <c r="S531" s="7"/>
      <c r="T531" s="7"/>
      <c r="U531" s="7"/>
      <c r="Y531" s="7"/>
      <c r="Z531" s="17"/>
      <c r="AC531" s="7"/>
      <c r="AD531" s="7"/>
      <c r="AE531" s="7"/>
      <c r="AF531" s="7"/>
      <c r="AG531" s="7"/>
      <c r="AH531" s="7"/>
      <c r="AJ531" s="7"/>
      <c r="AK531" s="7"/>
      <c r="AL531" s="7"/>
      <c r="AM531" s="7"/>
      <c r="AN531" s="7"/>
      <c r="AO531" s="7"/>
      <c r="AR531" s="7"/>
      <c r="AS531" s="7"/>
      <c r="AT531" s="7"/>
      <c r="AU531" s="7"/>
      <c r="AW531" s="7"/>
      <c r="CE531" s="7"/>
      <c r="FZ531" s="2"/>
    </row>
    <row r="532" spans="1:182">
      <c r="A532" s="7"/>
      <c r="D532" s="7"/>
      <c r="E532" s="7"/>
      <c r="F532" s="7"/>
      <c r="G532" s="7"/>
      <c r="H532" s="7"/>
      <c r="I532" s="7"/>
      <c r="J532" s="7"/>
      <c r="K532" s="7"/>
      <c r="L532" s="7"/>
      <c r="M532" s="7"/>
      <c r="N532" s="7"/>
      <c r="O532" s="7"/>
      <c r="P532" s="7"/>
      <c r="Q532" s="7"/>
      <c r="R532" s="7"/>
      <c r="S532" s="7"/>
      <c r="T532" s="7"/>
      <c r="U532" s="7"/>
      <c r="Y532" s="7"/>
      <c r="Z532" s="17"/>
      <c r="AC532" s="7"/>
      <c r="AD532" s="7"/>
      <c r="AE532" s="7"/>
      <c r="AF532" s="7"/>
      <c r="AG532" s="7"/>
      <c r="AH532" s="7"/>
      <c r="AJ532" s="7"/>
      <c r="AK532" s="7"/>
      <c r="AL532" s="7"/>
      <c r="AM532" s="7"/>
      <c r="AN532" s="7"/>
      <c r="AO532" s="7"/>
      <c r="AR532" s="7"/>
      <c r="AS532" s="7"/>
      <c r="AT532" s="7"/>
      <c r="AU532" s="7"/>
      <c r="AW532" s="7"/>
      <c r="CE532" s="7"/>
      <c r="FZ532" s="2"/>
    </row>
    <row r="533" spans="1:182">
      <c r="A533" s="7"/>
      <c r="D533" s="7"/>
      <c r="E533" s="7"/>
      <c r="F533" s="7"/>
      <c r="G533" s="7"/>
      <c r="H533" s="7"/>
      <c r="I533" s="7"/>
      <c r="J533" s="7"/>
      <c r="K533" s="7"/>
      <c r="L533" s="7"/>
      <c r="M533" s="7"/>
      <c r="N533" s="7"/>
      <c r="O533" s="7"/>
      <c r="P533" s="7"/>
      <c r="Q533" s="7"/>
      <c r="R533" s="7"/>
      <c r="S533" s="7"/>
      <c r="T533" s="7"/>
      <c r="U533" s="7"/>
      <c r="Y533" s="7"/>
      <c r="Z533" s="17"/>
      <c r="AC533" s="7"/>
      <c r="AD533" s="7"/>
      <c r="AE533" s="7"/>
      <c r="AF533" s="7"/>
      <c r="AG533" s="7"/>
      <c r="AH533" s="7"/>
      <c r="AJ533" s="7"/>
      <c r="AK533" s="7"/>
      <c r="AL533" s="7"/>
      <c r="AM533" s="7"/>
      <c r="AN533" s="7"/>
      <c r="AO533" s="7"/>
      <c r="AR533" s="7"/>
      <c r="AS533" s="7"/>
      <c r="AT533" s="7"/>
      <c r="AU533" s="7"/>
      <c r="AW533" s="7"/>
      <c r="CE533" s="7"/>
      <c r="FZ533" s="2"/>
    </row>
    <row r="534" spans="1:182">
      <c r="A534" s="7"/>
      <c r="D534" s="7"/>
      <c r="E534" s="7"/>
      <c r="F534" s="7"/>
      <c r="G534" s="7"/>
      <c r="H534" s="7"/>
      <c r="I534" s="7"/>
      <c r="J534" s="7"/>
      <c r="K534" s="7"/>
      <c r="L534" s="7"/>
      <c r="M534" s="7"/>
      <c r="N534" s="7"/>
      <c r="O534" s="7"/>
      <c r="P534" s="7"/>
      <c r="Q534" s="7"/>
      <c r="R534" s="7"/>
      <c r="S534" s="7"/>
      <c r="T534" s="7"/>
      <c r="U534" s="7"/>
      <c r="Y534" s="7"/>
      <c r="Z534" s="17"/>
      <c r="AC534" s="7"/>
      <c r="AD534" s="7"/>
      <c r="AE534" s="7"/>
      <c r="AF534" s="7"/>
      <c r="AG534" s="7"/>
      <c r="AH534" s="7"/>
      <c r="AJ534" s="7"/>
      <c r="AK534" s="7"/>
      <c r="AL534" s="7"/>
      <c r="AM534" s="7"/>
      <c r="AN534" s="7"/>
      <c r="AO534" s="7"/>
      <c r="AR534" s="7"/>
      <c r="AS534" s="7"/>
      <c r="AT534" s="7"/>
      <c r="AU534" s="7"/>
      <c r="AW534" s="7"/>
      <c r="CE534" s="7"/>
      <c r="FZ534" s="2"/>
    </row>
    <row r="535" spans="1:182">
      <c r="A535" s="7"/>
      <c r="D535" s="7"/>
      <c r="E535" s="7"/>
      <c r="F535" s="7"/>
      <c r="G535" s="7"/>
      <c r="H535" s="7"/>
      <c r="I535" s="7"/>
      <c r="J535" s="7"/>
      <c r="K535" s="7"/>
      <c r="L535" s="7"/>
      <c r="M535" s="7"/>
      <c r="N535" s="7"/>
      <c r="O535" s="7"/>
      <c r="P535" s="7"/>
      <c r="Q535" s="7"/>
      <c r="R535" s="7"/>
      <c r="S535" s="7"/>
      <c r="T535" s="7"/>
      <c r="U535" s="7"/>
      <c r="Y535" s="7"/>
      <c r="Z535" s="17"/>
      <c r="AC535" s="7"/>
      <c r="AD535" s="7"/>
      <c r="AE535" s="7"/>
      <c r="AF535" s="7"/>
      <c r="AG535" s="7"/>
      <c r="AH535" s="7"/>
      <c r="AJ535" s="7"/>
      <c r="AK535" s="7"/>
      <c r="AL535" s="7"/>
      <c r="AM535" s="7"/>
      <c r="AN535" s="7"/>
      <c r="AO535" s="7"/>
      <c r="AR535" s="7"/>
      <c r="AS535" s="7"/>
      <c r="AT535" s="7"/>
      <c r="AU535" s="7"/>
      <c r="AW535" s="7"/>
      <c r="CE535" s="7"/>
      <c r="FZ535" s="2"/>
    </row>
    <row r="536" spans="1:182">
      <c r="A536" s="7"/>
      <c r="D536" s="7"/>
      <c r="E536" s="7"/>
      <c r="F536" s="7"/>
      <c r="G536" s="7"/>
      <c r="H536" s="7"/>
      <c r="I536" s="7"/>
      <c r="J536" s="7"/>
      <c r="K536" s="7"/>
      <c r="L536" s="7"/>
      <c r="M536" s="7"/>
      <c r="N536" s="7"/>
      <c r="O536" s="7"/>
      <c r="P536" s="7"/>
      <c r="Q536" s="7"/>
      <c r="R536" s="7"/>
      <c r="S536" s="7"/>
      <c r="T536" s="7"/>
      <c r="U536" s="7"/>
      <c r="Y536" s="7"/>
      <c r="Z536" s="17"/>
      <c r="AC536" s="7"/>
      <c r="AD536" s="7"/>
      <c r="AE536" s="7"/>
      <c r="AF536" s="7"/>
      <c r="AG536" s="7"/>
      <c r="AH536" s="7"/>
      <c r="AJ536" s="7"/>
      <c r="AK536" s="7"/>
      <c r="AL536" s="7"/>
      <c r="AM536" s="7"/>
      <c r="AN536" s="7"/>
      <c r="AO536" s="7"/>
      <c r="AR536" s="7"/>
      <c r="AS536" s="7"/>
      <c r="AT536" s="7"/>
      <c r="AU536" s="7"/>
      <c r="AW536" s="7"/>
      <c r="CE536" s="7"/>
      <c r="FZ536" s="2"/>
    </row>
    <row r="537" spans="1:182">
      <c r="A537" s="7"/>
      <c r="D537" s="7"/>
      <c r="E537" s="7"/>
      <c r="F537" s="7"/>
      <c r="G537" s="7"/>
      <c r="H537" s="7"/>
      <c r="I537" s="7"/>
      <c r="J537" s="7"/>
      <c r="K537" s="7"/>
      <c r="L537" s="7"/>
      <c r="M537" s="7"/>
      <c r="N537" s="7"/>
      <c r="O537" s="7"/>
      <c r="P537" s="7"/>
      <c r="Q537" s="7"/>
      <c r="R537" s="7"/>
      <c r="S537" s="7"/>
      <c r="T537" s="7"/>
      <c r="U537" s="7"/>
      <c r="Y537" s="7"/>
      <c r="Z537" s="17"/>
      <c r="AC537" s="7"/>
      <c r="AD537" s="7"/>
      <c r="AE537" s="7"/>
      <c r="AF537" s="7"/>
      <c r="AG537" s="7"/>
      <c r="AH537" s="7"/>
      <c r="AJ537" s="7"/>
      <c r="AK537" s="7"/>
      <c r="AL537" s="7"/>
      <c r="AM537" s="7"/>
      <c r="AN537" s="7"/>
      <c r="AO537" s="7"/>
      <c r="AR537" s="7"/>
      <c r="AS537" s="7"/>
      <c r="AT537" s="7"/>
      <c r="AU537" s="7"/>
      <c r="AW537" s="7"/>
      <c r="CE537" s="7"/>
      <c r="FZ537" s="2"/>
    </row>
    <row r="538" spans="1:182">
      <c r="A538" s="7"/>
      <c r="D538" s="7"/>
      <c r="E538" s="7"/>
      <c r="F538" s="7"/>
      <c r="G538" s="7"/>
      <c r="H538" s="7"/>
      <c r="I538" s="7"/>
      <c r="J538" s="7"/>
      <c r="K538" s="7"/>
      <c r="L538" s="7"/>
      <c r="M538" s="7"/>
      <c r="N538" s="7"/>
      <c r="O538" s="7"/>
      <c r="P538" s="7"/>
      <c r="Q538" s="7"/>
      <c r="R538" s="7"/>
      <c r="S538" s="7"/>
      <c r="T538" s="7"/>
      <c r="U538" s="7"/>
      <c r="Y538" s="7"/>
      <c r="Z538" s="17"/>
      <c r="AC538" s="7"/>
      <c r="AD538" s="7"/>
      <c r="AE538" s="7"/>
      <c r="AF538" s="7"/>
      <c r="AG538" s="7"/>
      <c r="AH538" s="7"/>
      <c r="AJ538" s="7"/>
      <c r="AK538" s="7"/>
      <c r="AL538" s="7"/>
      <c r="AM538" s="7"/>
      <c r="AN538" s="7"/>
      <c r="AO538" s="7"/>
      <c r="AR538" s="7"/>
      <c r="AS538" s="7"/>
      <c r="AT538" s="7"/>
      <c r="AU538" s="7"/>
      <c r="AW538" s="7"/>
      <c r="CE538" s="7"/>
      <c r="FZ538" s="2"/>
    </row>
    <row r="539" spans="1:182">
      <c r="A539" s="7"/>
      <c r="D539" s="7"/>
      <c r="E539" s="7"/>
      <c r="F539" s="7"/>
      <c r="G539" s="7"/>
      <c r="H539" s="7"/>
      <c r="I539" s="7"/>
      <c r="J539" s="7"/>
      <c r="K539" s="7"/>
      <c r="L539" s="7"/>
      <c r="M539" s="7"/>
      <c r="N539" s="7"/>
      <c r="O539" s="7"/>
      <c r="P539" s="7"/>
      <c r="Q539" s="7"/>
      <c r="R539" s="7"/>
      <c r="S539" s="7"/>
      <c r="T539" s="7"/>
      <c r="U539" s="7"/>
      <c r="Y539" s="7"/>
      <c r="Z539" s="17"/>
      <c r="AC539" s="7"/>
      <c r="AD539" s="7"/>
      <c r="AE539" s="7"/>
      <c r="AF539" s="7"/>
      <c r="AG539" s="7"/>
      <c r="AH539" s="7"/>
      <c r="AJ539" s="7"/>
      <c r="AK539" s="7"/>
      <c r="AL539" s="7"/>
      <c r="AM539" s="7"/>
      <c r="AN539" s="7"/>
      <c r="AO539" s="7"/>
      <c r="AR539" s="7"/>
      <c r="AS539" s="7"/>
      <c r="AT539" s="7"/>
      <c r="AU539" s="7"/>
      <c r="AW539" s="7"/>
      <c r="CE539" s="7"/>
      <c r="FZ539" s="2"/>
    </row>
    <row r="540" spans="1:182">
      <c r="A540" s="7"/>
      <c r="D540" s="7"/>
      <c r="E540" s="7"/>
      <c r="F540" s="7"/>
      <c r="G540" s="7"/>
      <c r="H540" s="7"/>
      <c r="I540" s="7"/>
      <c r="J540" s="7"/>
      <c r="K540" s="7"/>
      <c r="L540" s="7"/>
      <c r="M540" s="7"/>
      <c r="N540" s="7"/>
      <c r="O540" s="7"/>
      <c r="P540" s="7"/>
      <c r="Q540" s="7"/>
      <c r="R540" s="7"/>
      <c r="S540" s="7"/>
      <c r="T540" s="7"/>
      <c r="U540" s="7"/>
      <c r="Y540" s="7"/>
      <c r="Z540" s="17"/>
      <c r="AC540" s="7"/>
      <c r="AD540" s="7"/>
      <c r="AE540" s="7"/>
      <c r="AF540" s="7"/>
      <c r="AG540" s="7"/>
      <c r="AH540" s="7"/>
      <c r="AJ540" s="7"/>
      <c r="AK540" s="7"/>
      <c r="AL540" s="7"/>
      <c r="AM540" s="7"/>
      <c r="AN540" s="7"/>
      <c r="AO540" s="7"/>
      <c r="AR540" s="7"/>
      <c r="AS540" s="7"/>
      <c r="AT540" s="7"/>
      <c r="AU540" s="7"/>
      <c r="AW540" s="7"/>
      <c r="CE540" s="7"/>
      <c r="FZ540" s="2"/>
    </row>
    <row r="541" spans="1:182">
      <c r="A541" s="7"/>
      <c r="D541" s="7"/>
      <c r="E541" s="7"/>
      <c r="F541" s="7"/>
      <c r="G541" s="7"/>
      <c r="H541" s="7"/>
      <c r="I541" s="7"/>
      <c r="J541" s="7"/>
      <c r="K541" s="7"/>
      <c r="L541" s="7"/>
      <c r="M541" s="7"/>
      <c r="N541" s="7"/>
      <c r="O541" s="7"/>
      <c r="P541" s="7"/>
      <c r="Q541" s="7"/>
      <c r="R541" s="7"/>
      <c r="S541" s="7"/>
      <c r="T541" s="7"/>
      <c r="U541" s="7"/>
      <c r="Y541" s="7"/>
      <c r="Z541" s="17"/>
      <c r="AC541" s="7"/>
      <c r="AD541" s="7"/>
      <c r="AE541" s="7"/>
      <c r="AF541" s="7"/>
      <c r="AG541" s="7"/>
      <c r="AH541" s="7"/>
      <c r="AJ541" s="7"/>
      <c r="AK541" s="7"/>
      <c r="AL541" s="7"/>
      <c r="AM541" s="7"/>
      <c r="AN541" s="7"/>
      <c r="AO541" s="7"/>
      <c r="AR541" s="7"/>
      <c r="AS541" s="7"/>
      <c r="AT541" s="7"/>
      <c r="AU541" s="7"/>
      <c r="AW541" s="7"/>
      <c r="CE541" s="7"/>
      <c r="FZ541" s="2"/>
    </row>
    <row r="542" spans="1:182">
      <c r="A542" s="7"/>
      <c r="D542" s="7"/>
      <c r="E542" s="7"/>
      <c r="F542" s="7"/>
      <c r="G542" s="7"/>
      <c r="H542" s="7"/>
      <c r="I542" s="7"/>
      <c r="J542" s="7"/>
      <c r="K542" s="7"/>
      <c r="L542" s="7"/>
      <c r="M542" s="7"/>
      <c r="N542" s="7"/>
      <c r="O542" s="7"/>
      <c r="P542" s="7"/>
      <c r="Q542" s="7"/>
      <c r="R542" s="7"/>
      <c r="S542" s="7"/>
      <c r="T542" s="7"/>
      <c r="U542" s="7"/>
      <c r="Y542" s="7"/>
      <c r="Z542" s="17"/>
      <c r="AC542" s="7"/>
      <c r="AD542" s="7"/>
      <c r="AE542" s="7"/>
      <c r="AF542" s="7"/>
      <c r="AG542" s="7"/>
      <c r="AH542" s="7"/>
      <c r="AJ542" s="7"/>
      <c r="AK542" s="7"/>
      <c r="AL542" s="7"/>
      <c r="AM542" s="7"/>
      <c r="AN542" s="7"/>
      <c r="AO542" s="7"/>
      <c r="AR542" s="7"/>
      <c r="AS542" s="7"/>
      <c r="AT542" s="7"/>
      <c r="AU542" s="7"/>
      <c r="AW542" s="7"/>
      <c r="CE542" s="7"/>
      <c r="FZ542" s="2"/>
    </row>
    <row r="543" spans="1:182">
      <c r="A543" s="7"/>
      <c r="D543" s="7"/>
      <c r="E543" s="7"/>
      <c r="F543" s="7"/>
      <c r="G543" s="7"/>
      <c r="H543" s="7"/>
      <c r="I543" s="7"/>
      <c r="J543" s="7"/>
      <c r="K543" s="7"/>
      <c r="L543" s="7"/>
      <c r="M543" s="7"/>
      <c r="N543" s="7"/>
      <c r="O543" s="7"/>
      <c r="P543" s="7"/>
      <c r="Q543" s="7"/>
      <c r="R543" s="7"/>
      <c r="S543" s="7"/>
      <c r="T543" s="7"/>
      <c r="U543" s="7"/>
      <c r="Y543" s="7"/>
      <c r="Z543" s="17"/>
      <c r="AC543" s="7"/>
      <c r="AD543" s="7"/>
      <c r="AE543" s="7"/>
      <c r="AF543" s="7"/>
      <c r="AG543" s="7"/>
      <c r="AH543" s="7"/>
      <c r="AJ543" s="7"/>
      <c r="AK543" s="7"/>
      <c r="AL543" s="7"/>
      <c r="AM543" s="7"/>
      <c r="AN543" s="7"/>
      <c r="AO543" s="7"/>
      <c r="AR543" s="7"/>
      <c r="AS543" s="7"/>
      <c r="AT543" s="7"/>
      <c r="AU543" s="7"/>
      <c r="AW543" s="7"/>
      <c r="CE543" s="7"/>
      <c r="FZ543" s="2"/>
    </row>
    <row r="544" spans="1:182">
      <c r="A544" s="7"/>
      <c r="D544" s="7"/>
      <c r="E544" s="7"/>
      <c r="F544" s="7"/>
      <c r="G544" s="7"/>
      <c r="H544" s="7"/>
      <c r="I544" s="7"/>
      <c r="J544" s="7"/>
      <c r="K544" s="7"/>
      <c r="L544" s="7"/>
      <c r="M544" s="7"/>
      <c r="N544" s="7"/>
      <c r="O544" s="7"/>
      <c r="P544" s="7"/>
      <c r="Q544" s="7"/>
      <c r="R544" s="7"/>
      <c r="S544" s="7"/>
      <c r="T544" s="7"/>
      <c r="U544" s="7"/>
      <c r="Y544" s="7"/>
      <c r="Z544" s="17"/>
      <c r="AC544" s="7"/>
      <c r="AD544" s="7"/>
      <c r="AE544" s="7"/>
      <c r="AF544" s="7"/>
      <c r="AG544" s="7"/>
      <c r="AH544" s="7"/>
      <c r="AJ544" s="7"/>
      <c r="AK544" s="7"/>
      <c r="AL544" s="7"/>
      <c r="AM544" s="7"/>
      <c r="AN544" s="7"/>
      <c r="AO544" s="7"/>
      <c r="AR544" s="7"/>
      <c r="AS544" s="7"/>
      <c r="AT544" s="7"/>
      <c r="AU544" s="7"/>
      <c r="AW544" s="7"/>
      <c r="CE544" s="7"/>
      <c r="FZ544" s="2"/>
    </row>
    <row r="545" spans="1:182">
      <c r="A545" s="7"/>
      <c r="D545" s="7"/>
      <c r="E545" s="7"/>
      <c r="F545" s="7"/>
      <c r="G545" s="7"/>
      <c r="H545" s="7"/>
      <c r="I545" s="7"/>
      <c r="J545" s="7"/>
      <c r="K545" s="7"/>
      <c r="L545" s="7"/>
      <c r="M545" s="7"/>
      <c r="N545" s="7"/>
      <c r="O545" s="7"/>
      <c r="P545" s="7"/>
      <c r="Q545" s="7"/>
      <c r="R545" s="7"/>
      <c r="S545" s="7"/>
      <c r="T545" s="7"/>
      <c r="U545" s="7"/>
      <c r="Y545" s="7"/>
      <c r="Z545" s="17"/>
      <c r="AC545" s="7"/>
      <c r="AD545" s="7"/>
      <c r="AE545" s="7"/>
      <c r="AF545" s="7"/>
      <c r="AG545" s="7"/>
      <c r="AH545" s="7"/>
      <c r="AJ545" s="7"/>
      <c r="AK545" s="7"/>
      <c r="AL545" s="7"/>
      <c r="AM545" s="7"/>
      <c r="AN545" s="7"/>
      <c r="AO545" s="7"/>
      <c r="AR545" s="7"/>
      <c r="AS545" s="7"/>
      <c r="AT545" s="7"/>
      <c r="AU545" s="7"/>
      <c r="AW545" s="7"/>
      <c r="CE545" s="7"/>
      <c r="FZ545" s="2"/>
    </row>
    <row r="546" spans="1:182">
      <c r="A546" s="7"/>
      <c r="D546" s="7"/>
      <c r="E546" s="7"/>
      <c r="F546" s="7"/>
      <c r="G546" s="7"/>
      <c r="H546" s="7"/>
      <c r="I546" s="7"/>
      <c r="J546" s="7"/>
      <c r="K546" s="7"/>
      <c r="L546" s="7"/>
      <c r="M546" s="7"/>
      <c r="N546" s="7"/>
      <c r="O546" s="7"/>
      <c r="P546" s="7"/>
      <c r="Q546" s="7"/>
      <c r="R546" s="7"/>
      <c r="S546" s="7"/>
      <c r="T546" s="7"/>
      <c r="U546" s="7"/>
      <c r="Y546" s="7"/>
      <c r="Z546" s="17"/>
      <c r="AC546" s="7"/>
      <c r="AD546" s="7"/>
      <c r="AE546" s="7"/>
      <c r="AF546" s="7"/>
      <c r="AG546" s="7"/>
      <c r="AH546" s="7"/>
      <c r="AJ546" s="7"/>
      <c r="AK546" s="7"/>
      <c r="AL546" s="7"/>
      <c r="AM546" s="7"/>
      <c r="AN546" s="7"/>
      <c r="AO546" s="7"/>
      <c r="AR546" s="7"/>
      <c r="AS546" s="7"/>
      <c r="AT546" s="7"/>
      <c r="AU546" s="7"/>
      <c r="AW546" s="7"/>
      <c r="CE546" s="7"/>
      <c r="FZ546" s="2"/>
    </row>
    <row r="547" spans="1:182">
      <c r="A547" s="7"/>
      <c r="D547" s="7"/>
      <c r="E547" s="7"/>
      <c r="F547" s="7"/>
      <c r="G547" s="7"/>
      <c r="H547" s="7"/>
      <c r="I547" s="7"/>
      <c r="J547" s="7"/>
      <c r="K547" s="7"/>
      <c r="L547" s="7"/>
      <c r="M547" s="7"/>
      <c r="N547" s="7"/>
      <c r="O547" s="7"/>
      <c r="P547" s="7"/>
      <c r="Q547" s="7"/>
      <c r="R547" s="7"/>
      <c r="S547" s="7"/>
      <c r="T547" s="7"/>
      <c r="U547" s="7"/>
      <c r="Y547" s="7"/>
      <c r="Z547" s="17"/>
      <c r="AC547" s="7"/>
      <c r="AD547" s="7"/>
      <c r="AE547" s="7"/>
      <c r="AF547" s="7"/>
      <c r="AG547" s="7"/>
      <c r="AH547" s="7"/>
      <c r="AJ547" s="7"/>
      <c r="AK547" s="7"/>
      <c r="AL547" s="7"/>
      <c r="AM547" s="7"/>
      <c r="AN547" s="7"/>
      <c r="AO547" s="7"/>
      <c r="AR547" s="7"/>
      <c r="AS547" s="7"/>
      <c r="AT547" s="7"/>
      <c r="AU547" s="7"/>
      <c r="AW547" s="7"/>
      <c r="CE547" s="7"/>
      <c r="FZ547" s="2"/>
    </row>
    <row r="548" spans="1:182">
      <c r="A548" s="7"/>
      <c r="D548" s="7"/>
      <c r="E548" s="7"/>
      <c r="F548" s="7"/>
      <c r="G548" s="7"/>
      <c r="H548" s="7"/>
      <c r="I548" s="7"/>
      <c r="J548" s="7"/>
      <c r="K548" s="7"/>
      <c r="L548" s="7"/>
      <c r="M548" s="7"/>
      <c r="N548" s="7"/>
      <c r="O548" s="7"/>
      <c r="P548" s="7"/>
      <c r="Q548" s="7"/>
      <c r="R548" s="7"/>
      <c r="S548" s="7"/>
      <c r="T548" s="7"/>
      <c r="U548" s="7"/>
      <c r="Y548" s="7"/>
      <c r="Z548" s="17"/>
      <c r="AC548" s="7"/>
      <c r="AD548" s="7"/>
      <c r="AE548" s="7"/>
      <c r="AF548" s="7"/>
      <c r="AG548" s="7"/>
      <c r="AH548" s="7"/>
      <c r="AJ548" s="7"/>
      <c r="AK548" s="7"/>
      <c r="AL548" s="7"/>
      <c r="AM548" s="7"/>
      <c r="AN548" s="7"/>
      <c r="AO548" s="7"/>
      <c r="AR548" s="7"/>
      <c r="AS548" s="7"/>
      <c r="AT548" s="7"/>
      <c r="AU548" s="7"/>
      <c r="AW548" s="7"/>
      <c r="CE548" s="7"/>
      <c r="FZ548" s="2"/>
    </row>
    <row r="549" spans="1:182">
      <c r="A549" s="7"/>
      <c r="D549" s="7"/>
      <c r="E549" s="7"/>
      <c r="F549" s="7"/>
      <c r="G549" s="7"/>
      <c r="H549" s="7"/>
      <c r="I549" s="7"/>
      <c r="J549" s="7"/>
      <c r="K549" s="7"/>
      <c r="L549" s="7"/>
      <c r="M549" s="7"/>
      <c r="N549" s="7"/>
      <c r="O549" s="7"/>
      <c r="P549" s="7"/>
      <c r="Q549" s="7"/>
      <c r="R549" s="7"/>
      <c r="S549" s="7"/>
      <c r="T549" s="7"/>
      <c r="U549" s="7"/>
      <c r="Y549" s="7"/>
      <c r="Z549" s="17"/>
      <c r="AC549" s="7"/>
      <c r="AD549" s="7"/>
      <c r="AE549" s="7"/>
      <c r="AF549" s="7"/>
      <c r="AG549" s="7"/>
      <c r="AH549" s="7"/>
      <c r="AJ549" s="7"/>
      <c r="AK549" s="7"/>
      <c r="AL549" s="7"/>
      <c r="AM549" s="7"/>
      <c r="AN549" s="7"/>
      <c r="AO549" s="7"/>
      <c r="AR549" s="7"/>
      <c r="AS549" s="7"/>
      <c r="AT549" s="7"/>
      <c r="AU549" s="7"/>
      <c r="AW549" s="7"/>
      <c r="CE549" s="7"/>
      <c r="FZ549" s="2"/>
    </row>
    <row r="550" spans="1:182">
      <c r="A550" s="7"/>
      <c r="D550" s="7"/>
      <c r="E550" s="7"/>
      <c r="F550" s="7"/>
      <c r="G550" s="7"/>
      <c r="H550" s="7"/>
      <c r="I550" s="7"/>
      <c r="J550" s="7"/>
      <c r="K550" s="7"/>
      <c r="L550" s="7"/>
      <c r="M550" s="7"/>
      <c r="N550" s="7"/>
      <c r="O550" s="7"/>
      <c r="P550" s="7"/>
      <c r="Q550" s="7"/>
      <c r="R550" s="7"/>
      <c r="S550" s="7"/>
      <c r="T550" s="7"/>
      <c r="U550" s="7"/>
      <c r="Y550" s="7"/>
      <c r="Z550" s="17"/>
      <c r="AC550" s="7"/>
      <c r="AD550" s="7"/>
      <c r="AE550" s="7"/>
      <c r="AF550" s="7"/>
      <c r="AG550" s="7"/>
      <c r="AH550" s="7"/>
      <c r="AJ550" s="7"/>
      <c r="AK550" s="7"/>
      <c r="AL550" s="7"/>
      <c r="AM550" s="7"/>
      <c r="AN550" s="7"/>
      <c r="AO550" s="7"/>
      <c r="AR550" s="7"/>
      <c r="AS550" s="7"/>
      <c r="AT550" s="7"/>
      <c r="AU550" s="7"/>
      <c r="AW550" s="7"/>
      <c r="CE550" s="7"/>
      <c r="FZ550" s="2"/>
    </row>
    <row r="551" spans="1:182">
      <c r="A551" s="7"/>
      <c r="D551" s="7"/>
      <c r="E551" s="7"/>
      <c r="F551" s="7"/>
      <c r="G551" s="7"/>
      <c r="H551" s="7"/>
      <c r="I551" s="7"/>
      <c r="J551" s="7"/>
      <c r="K551" s="7"/>
      <c r="L551" s="7"/>
      <c r="M551" s="7"/>
      <c r="N551" s="7"/>
      <c r="O551" s="7"/>
      <c r="P551" s="7"/>
      <c r="Q551" s="7"/>
      <c r="R551" s="7"/>
      <c r="S551" s="7"/>
      <c r="T551" s="7"/>
      <c r="U551" s="7"/>
      <c r="Y551" s="7"/>
      <c r="Z551" s="17"/>
      <c r="AC551" s="7"/>
      <c r="AD551" s="7"/>
      <c r="AE551" s="7"/>
      <c r="AF551" s="7"/>
      <c r="AG551" s="7"/>
      <c r="AH551" s="7"/>
      <c r="AJ551" s="7"/>
      <c r="AK551" s="7"/>
      <c r="AL551" s="7"/>
      <c r="AM551" s="7"/>
      <c r="AN551" s="7"/>
      <c r="AO551" s="7"/>
      <c r="AR551" s="7"/>
      <c r="AS551" s="7"/>
      <c r="AT551" s="7"/>
      <c r="AU551" s="7"/>
      <c r="AW551" s="7"/>
      <c r="CE551" s="7"/>
      <c r="FZ551" s="2"/>
    </row>
    <row r="552" spans="1:182">
      <c r="A552" s="7"/>
      <c r="D552" s="7"/>
      <c r="E552" s="7"/>
      <c r="F552" s="7"/>
      <c r="G552" s="7"/>
      <c r="H552" s="7"/>
      <c r="I552" s="7"/>
      <c r="J552" s="7"/>
      <c r="K552" s="7"/>
      <c r="L552" s="7"/>
      <c r="M552" s="7"/>
      <c r="N552" s="7"/>
      <c r="O552" s="7"/>
      <c r="P552" s="7"/>
      <c r="Q552" s="7"/>
      <c r="R552" s="7"/>
      <c r="S552" s="7"/>
      <c r="T552" s="7"/>
      <c r="U552" s="7"/>
      <c r="Y552" s="7"/>
      <c r="Z552" s="17"/>
      <c r="AC552" s="7"/>
      <c r="AD552" s="7"/>
      <c r="AE552" s="7"/>
      <c r="AF552" s="7"/>
      <c r="AG552" s="7"/>
      <c r="AH552" s="7"/>
      <c r="AJ552" s="7"/>
      <c r="AK552" s="7"/>
      <c r="AL552" s="7"/>
      <c r="AM552" s="7"/>
      <c r="AN552" s="7"/>
      <c r="AO552" s="7"/>
      <c r="AR552" s="7"/>
      <c r="AS552" s="7"/>
      <c r="AT552" s="7"/>
      <c r="AU552" s="7"/>
      <c r="AW552" s="7"/>
      <c r="CE552" s="7"/>
      <c r="FZ552" s="2"/>
    </row>
    <row r="553" spans="1:182">
      <c r="A553" s="7"/>
      <c r="D553" s="7"/>
      <c r="E553" s="7"/>
      <c r="F553" s="7"/>
      <c r="G553" s="7"/>
      <c r="H553" s="7"/>
      <c r="I553" s="7"/>
      <c r="J553" s="7"/>
      <c r="K553" s="7"/>
      <c r="L553" s="7"/>
      <c r="M553" s="7"/>
      <c r="N553" s="7"/>
      <c r="O553" s="7"/>
      <c r="P553" s="7"/>
      <c r="Q553" s="7"/>
      <c r="R553" s="7"/>
      <c r="S553" s="7"/>
      <c r="T553" s="7"/>
      <c r="U553" s="7"/>
      <c r="Y553" s="7"/>
      <c r="Z553" s="17"/>
      <c r="AC553" s="7"/>
      <c r="AD553" s="7"/>
      <c r="AE553" s="7"/>
      <c r="AF553" s="7"/>
      <c r="AG553" s="7"/>
      <c r="AH553" s="7"/>
      <c r="AJ553" s="7"/>
      <c r="AK553" s="7"/>
      <c r="AL553" s="7"/>
      <c r="AM553" s="7"/>
      <c r="AN553" s="7"/>
      <c r="AO553" s="7"/>
      <c r="AR553" s="7"/>
      <c r="AS553" s="7"/>
      <c r="AT553" s="7"/>
      <c r="AU553" s="7"/>
      <c r="AW553" s="7"/>
      <c r="CE553" s="7"/>
      <c r="FZ553" s="2"/>
    </row>
    <row r="554" spans="1:182">
      <c r="A554" s="7"/>
      <c r="D554" s="7"/>
      <c r="E554" s="7"/>
      <c r="F554" s="7"/>
      <c r="G554" s="7"/>
      <c r="H554" s="7"/>
      <c r="I554" s="7"/>
      <c r="J554" s="7"/>
      <c r="K554" s="7"/>
      <c r="L554" s="7"/>
      <c r="M554" s="7"/>
      <c r="N554" s="7"/>
      <c r="O554" s="7"/>
      <c r="P554" s="7"/>
      <c r="Q554" s="7"/>
      <c r="R554" s="7"/>
      <c r="S554" s="7"/>
      <c r="T554" s="7"/>
      <c r="U554" s="7"/>
      <c r="Y554" s="7"/>
      <c r="Z554" s="17"/>
      <c r="AC554" s="7"/>
      <c r="AD554" s="7"/>
      <c r="AE554" s="7"/>
      <c r="AF554" s="7"/>
      <c r="AG554" s="7"/>
      <c r="AH554" s="7"/>
      <c r="AJ554" s="7"/>
      <c r="AK554" s="7"/>
      <c r="AL554" s="7"/>
      <c r="AM554" s="7"/>
      <c r="AN554" s="7"/>
      <c r="AO554" s="7"/>
      <c r="AR554" s="7"/>
      <c r="AS554" s="7"/>
      <c r="AT554" s="7"/>
      <c r="AU554" s="7"/>
      <c r="AW554" s="7"/>
      <c r="CE554" s="7"/>
      <c r="FZ554" s="2"/>
    </row>
    <row r="555" spans="1:182">
      <c r="A555" s="7"/>
      <c r="D555" s="7"/>
      <c r="E555" s="7"/>
      <c r="F555" s="7"/>
      <c r="G555" s="7"/>
      <c r="H555" s="7"/>
      <c r="I555" s="7"/>
      <c r="J555" s="7"/>
      <c r="K555" s="7"/>
      <c r="L555" s="7"/>
      <c r="M555" s="7"/>
      <c r="N555" s="7"/>
      <c r="O555" s="7"/>
      <c r="P555" s="7"/>
      <c r="Q555" s="7"/>
      <c r="R555" s="7"/>
      <c r="S555" s="7"/>
      <c r="T555" s="7"/>
      <c r="U555" s="7"/>
      <c r="Y555" s="7"/>
      <c r="Z555" s="17"/>
      <c r="AC555" s="7"/>
      <c r="AD555" s="7"/>
      <c r="AE555" s="7"/>
      <c r="AF555" s="7"/>
      <c r="AG555" s="7"/>
      <c r="AH555" s="7"/>
      <c r="AJ555" s="7"/>
      <c r="AK555" s="7"/>
      <c r="AL555" s="7"/>
      <c r="AM555" s="7"/>
      <c r="AN555" s="7"/>
      <c r="AO555" s="7"/>
      <c r="AR555" s="7"/>
      <c r="AS555" s="7"/>
      <c r="AT555" s="7"/>
      <c r="AU555" s="7"/>
      <c r="AW555" s="7"/>
      <c r="CE555" s="7"/>
      <c r="FZ555" s="2"/>
    </row>
    <row r="556" spans="1:182">
      <c r="A556" s="7"/>
      <c r="D556" s="7"/>
      <c r="E556" s="7"/>
      <c r="F556" s="7"/>
      <c r="G556" s="7"/>
      <c r="H556" s="7"/>
      <c r="I556" s="7"/>
      <c r="J556" s="7"/>
      <c r="K556" s="7"/>
      <c r="L556" s="7"/>
      <c r="M556" s="7"/>
      <c r="N556" s="7"/>
      <c r="O556" s="7"/>
      <c r="P556" s="7"/>
      <c r="Q556" s="7"/>
      <c r="R556" s="7"/>
      <c r="S556" s="7"/>
      <c r="T556" s="7"/>
      <c r="U556" s="7"/>
      <c r="Y556" s="7"/>
      <c r="Z556" s="17"/>
      <c r="AC556" s="7"/>
      <c r="AD556" s="7"/>
      <c r="AE556" s="7"/>
      <c r="AF556" s="7"/>
      <c r="AG556" s="7"/>
      <c r="AH556" s="7"/>
      <c r="AJ556" s="7"/>
      <c r="AK556" s="7"/>
      <c r="AL556" s="7"/>
      <c r="AM556" s="7"/>
      <c r="AN556" s="7"/>
      <c r="AO556" s="7"/>
      <c r="AR556" s="7"/>
      <c r="AS556" s="7"/>
      <c r="AT556" s="7"/>
      <c r="AU556" s="7"/>
      <c r="AW556" s="7"/>
      <c r="CE556" s="7"/>
      <c r="FZ556" s="2"/>
    </row>
    <row r="557" spans="1:182">
      <c r="A557" s="7"/>
      <c r="D557" s="7"/>
      <c r="E557" s="7"/>
      <c r="F557" s="7"/>
      <c r="G557" s="7"/>
      <c r="H557" s="7"/>
      <c r="I557" s="7"/>
      <c r="J557" s="7"/>
      <c r="K557" s="7"/>
      <c r="L557" s="7"/>
      <c r="M557" s="7"/>
      <c r="N557" s="7"/>
      <c r="O557" s="7"/>
      <c r="P557" s="7"/>
      <c r="Q557" s="7"/>
      <c r="R557" s="7"/>
      <c r="S557" s="7"/>
      <c r="T557" s="7"/>
      <c r="U557" s="7"/>
      <c r="Y557" s="7"/>
      <c r="Z557" s="17"/>
      <c r="AC557" s="7"/>
      <c r="AD557" s="7"/>
      <c r="AE557" s="7"/>
      <c r="AF557" s="7"/>
      <c r="AG557" s="7"/>
      <c r="AH557" s="7"/>
      <c r="AJ557" s="7"/>
      <c r="AK557" s="7"/>
      <c r="AL557" s="7"/>
      <c r="AM557" s="7"/>
      <c r="AN557" s="7"/>
      <c r="AO557" s="7"/>
      <c r="AR557" s="7"/>
      <c r="AS557" s="7"/>
      <c r="AT557" s="7"/>
      <c r="AU557" s="7"/>
      <c r="AW557" s="7"/>
      <c r="CE557" s="7"/>
      <c r="FZ557" s="2"/>
    </row>
    <row r="558" spans="1:182">
      <c r="A558" s="7"/>
      <c r="D558" s="7"/>
      <c r="E558" s="7"/>
      <c r="F558" s="7"/>
      <c r="G558" s="7"/>
      <c r="H558" s="7"/>
      <c r="I558" s="7"/>
      <c r="J558" s="7"/>
      <c r="K558" s="7"/>
      <c r="L558" s="7"/>
      <c r="M558" s="7"/>
      <c r="N558" s="7"/>
      <c r="O558" s="7"/>
      <c r="P558" s="7"/>
      <c r="Q558" s="7"/>
      <c r="R558" s="7"/>
      <c r="S558" s="7"/>
      <c r="T558" s="7"/>
      <c r="U558" s="7"/>
      <c r="Y558" s="7"/>
      <c r="Z558" s="17"/>
      <c r="AC558" s="7"/>
      <c r="AD558" s="7"/>
      <c r="AE558" s="7"/>
      <c r="AF558" s="7"/>
      <c r="AG558" s="7"/>
      <c r="AH558" s="7"/>
      <c r="AJ558" s="7"/>
      <c r="AK558" s="7"/>
      <c r="AL558" s="7"/>
      <c r="AM558" s="7"/>
      <c r="AN558" s="7"/>
      <c r="AO558" s="7"/>
      <c r="AR558" s="7"/>
      <c r="AS558" s="7"/>
      <c r="AT558" s="7"/>
      <c r="AU558" s="7"/>
      <c r="AW558" s="7"/>
      <c r="CE558" s="7"/>
      <c r="FZ558" s="2"/>
    </row>
    <row r="559" spans="1:182">
      <c r="A559" s="7"/>
      <c r="D559" s="7"/>
      <c r="E559" s="7"/>
      <c r="F559" s="7"/>
      <c r="G559" s="7"/>
      <c r="H559" s="7"/>
      <c r="I559" s="7"/>
      <c r="J559" s="7"/>
      <c r="K559" s="7"/>
      <c r="L559" s="7"/>
      <c r="M559" s="7"/>
      <c r="N559" s="7"/>
      <c r="O559" s="7"/>
      <c r="P559" s="7"/>
      <c r="Q559" s="7"/>
      <c r="R559" s="7"/>
      <c r="S559" s="7"/>
      <c r="T559" s="7"/>
      <c r="U559" s="7"/>
      <c r="Y559" s="7"/>
      <c r="Z559" s="17"/>
      <c r="AC559" s="7"/>
      <c r="AD559" s="7"/>
      <c r="AE559" s="7"/>
      <c r="AF559" s="7"/>
      <c r="AG559" s="7"/>
      <c r="AH559" s="7"/>
      <c r="AJ559" s="7"/>
      <c r="AK559" s="7"/>
      <c r="AL559" s="7"/>
      <c r="AM559" s="7"/>
      <c r="AN559" s="7"/>
      <c r="AO559" s="7"/>
      <c r="AR559" s="7"/>
      <c r="AS559" s="7"/>
      <c r="AT559" s="7"/>
      <c r="AU559" s="7"/>
      <c r="AW559" s="7"/>
      <c r="CE559" s="7"/>
      <c r="FZ559" s="2"/>
    </row>
    <row r="560" spans="1:182">
      <c r="A560" s="7"/>
      <c r="D560" s="7"/>
      <c r="E560" s="7"/>
      <c r="F560" s="7"/>
      <c r="G560" s="7"/>
      <c r="H560" s="7"/>
      <c r="I560" s="7"/>
      <c r="J560" s="7"/>
      <c r="K560" s="7"/>
      <c r="L560" s="7"/>
      <c r="M560" s="7"/>
      <c r="N560" s="7"/>
      <c r="O560" s="7"/>
      <c r="P560" s="7"/>
      <c r="Q560" s="7"/>
      <c r="R560" s="7"/>
      <c r="S560" s="7"/>
      <c r="T560" s="7"/>
      <c r="U560" s="7"/>
      <c r="Y560" s="7"/>
      <c r="Z560" s="17"/>
      <c r="AC560" s="7"/>
      <c r="AD560" s="7"/>
      <c r="AE560" s="7"/>
      <c r="AF560" s="7"/>
      <c r="AG560" s="7"/>
      <c r="AH560" s="7"/>
      <c r="AJ560" s="7"/>
      <c r="AK560" s="7"/>
      <c r="AL560" s="7"/>
      <c r="AM560" s="7"/>
      <c r="AN560" s="7"/>
      <c r="AO560" s="7"/>
      <c r="AR560" s="7"/>
      <c r="AS560" s="7"/>
      <c r="AT560" s="7"/>
      <c r="AU560" s="7"/>
      <c r="AW560" s="7"/>
      <c r="CE560" s="7"/>
      <c r="FZ560" s="2"/>
    </row>
    <row r="561" spans="1:182">
      <c r="A561" s="7"/>
      <c r="D561" s="7"/>
      <c r="E561" s="7"/>
      <c r="F561" s="7"/>
      <c r="G561" s="7"/>
      <c r="H561" s="7"/>
      <c r="I561" s="7"/>
      <c r="J561" s="7"/>
      <c r="K561" s="7"/>
      <c r="L561" s="7"/>
      <c r="M561" s="7"/>
      <c r="N561" s="7"/>
      <c r="O561" s="7"/>
      <c r="P561" s="7"/>
      <c r="Q561" s="7"/>
      <c r="R561" s="7"/>
      <c r="S561" s="7"/>
      <c r="T561" s="7"/>
      <c r="U561" s="7"/>
      <c r="Y561" s="7"/>
      <c r="Z561" s="17"/>
      <c r="AC561" s="7"/>
      <c r="AD561" s="7"/>
      <c r="AE561" s="7"/>
      <c r="AF561" s="7"/>
      <c r="AG561" s="7"/>
      <c r="AH561" s="7"/>
      <c r="AJ561" s="7"/>
      <c r="AK561" s="7"/>
      <c r="AL561" s="7"/>
      <c r="AM561" s="7"/>
      <c r="AN561" s="7"/>
      <c r="AO561" s="7"/>
      <c r="AR561" s="7"/>
      <c r="AS561" s="7"/>
      <c r="AT561" s="7"/>
      <c r="AU561" s="7"/>
      <c r="AW561" s="7"/>
      <c r="CE561" s="7"/>
      <c r="FZ561" s="2"/>
    </row>
    <row r="562" spans="1:182">
      <c r="A562" s="7"/>
      <c r="D562" s="7"/>
      <c r="E562" s="7"/>
      <c r="F562" s="7"/>
      <c r="G562" s="7"/>
      <c r="H562" s="7"/>
      <c r="I562" s="7"/>
      <c r="J562" s="7"/>
      <c r="K562" s="7"/>
      <c r="L562" s="7"/>
      <c r="M562" s="7"/>
      <c r="N562" s="7"/>
      <c r="O562" s="7"/>
      <c r="P562" s="7"/>
      <c r="Q562" s="7"/>
      <c r="R562" s="7"/>
      <c r="S562" s="7"/>
      <c r="T562" s="7"/>
      <c r="U562" s="7"/>
      <c r="Y562" s="7"/>
      <c r="Z562" s="17"/>
      <c r="AC562" s="7"/>
      <c r="AD562" s="7"/>
      <c r="AE562" s="7"/>
      <c r="AF562" s="7"/>
      <c r="AG562" s="7"/>
      <c r="AH562" s="7"/>
      <c r="AJ562" s="7"/>
      <c r="AK562" s="7"/>
      <c r="AL562" s="7"/>
      <c r="AM562" s="7"/>
      <c r="AN562" s="7"/>
      <c r="AO562" s="7"/>
      <c r="AR562" s="7"/>
      <c r="AS562" s="7"/>
      <c r="AT562" s="7"/>
      <c r="AU562" s="7"/>
      <c r="AW562" s="7"/>
      <c r="CE562" s="7"/>
      <c r="FZ562" s="2"/>
    </row>
    <row r="563" spans="1:182">
      <c r="A563" s="7"/>
      <c r="D563" s="7"/>
      <c r="E563" s="7"/>
      <c r="F563" s="7"/>
      <c r="G563" s="7"/>
      <c r="H563" s="7"/>
      <c r="I563" s="7"/>
      <c r="J563" s="7"/>
      <c r="K563" s="7"/>
      <c r="L563" s="7"/>
      <c r="M563" s="7"/>
      <c r="N563" s="7"/>
      <c r="O563" s="7"/>
      <c r="P563" s="7"/>
      <c r="Q563" s="7"/>
      <c r="R563" s="7"/>
      <c r="S563" s="7"/>
      <c r="T563" s="7"/>
      <c r="U563" s="7"/>
      <c r="Y563" s="7"/>
      <c r="Z563" s="17"/>
      <c r="AC563" s="7"/>
      <c r="AD563" s="7"/>
      <c r="AE563" s="7"/>
      <c r="AF563" s="7"/>
      <c r="AG563" s="7"/>
      <c r="AH563" s="7"/>
      <c r="AJ563" s="7"/>
      <c r="AK563" s="7"/>
      <c r="AL563" s="7"/>
      <c r="AM563" s="7"/>
      <c r="AN563" s="7"/>
      <c r="AO563" s="7"/>
      <c r="AR563" s="7"/>
      <c r="AS563" s="7"/>
      <c r="AT563" s="7"/>
      <c r="AU563" s="7"/>
      <c r="AW563" s="7"/>
      <c r="CE563" s="7"/>
      <c r="FZ563" s="2"/>
    </row>
    <row r="564" spans="1:182">
      <c r="A564" s="7"/>
      <c r="D564" s="7"/>
      <c r="E564" s="7"/>
      <c r="F564" s="7"/>
      <c r="G564" s="7"/>
      <c r="H564" s="7"/>
      <c r="I564" s="7"/>
      <c r="J564" s="7"/>
      <c r="K564" s="7"/>
      <c r="L564" s="7"/>
      <c r="M564" s="7"/>
      <c r="N564" s="7"/>
      <c r="O564" s="7"/>
      <c r="P564" s="7"/>
      <c r="Q564" s="7"/>
      <c r="R564" s="7"/>
      <c r="S564" s="7"/>
      <c r="T564" s="7"/>
      <c r="U564" s="7"/>
      <c r="Y564" s="7"/>
      <c r="Z564" s="17"/>
      <c r="AC564" s="7"/>
      <c r="AD564" s="7"/>
      <c r="AE564" s="7"/>
      <c r="AF564" s="7"/>
      <c r="AG564" s="7"/>
      <c r="AH564" s="7"/>
      <c r="AJ564" s="7"/>
      <c r="AK564" s="7"/>
      <c r="AL564" s="7"/>
      <c r="AM564" s="7"/>
      <c r="AN564" s="7"/>
      <c r="AO564" s="7"/>
      <c r="AR564" s="7"/>
      <c r="AS564" s="7"/>
      <c r="AT564" s="7"/>
      <c r="AU564" s="7"/>
      <c r="AW564" s="7"/>
      <c r="CE564" s="7"/>
      <c r="FZ564" s="2"/>
    </row>
    <row r="565" spans="1:182">
      <c r="A565" s="7"/>
      <c r="D565" s="7"/>
      <c r="E565" s="7"/>
      <c r="F565" s="7"/>
      <c r="G565" s="7"/>
      <c r="H565" s="7"/>
      <c r="I565" s="7"/>
      <c r="J565" s="7"/>
      <c r="K565" s="7"/>
      <c r="L565" s="7"/>
      <c r="M565" s="7"/>
      <c r="N565" s="7"/>
      <c r="O565" s="7"/>
      <c r="P565" s="7"/>
      <c r="Q565" s="7"/>
      <c r="R565" s="7"/>
      <c r="S565" s="7"/>
      <c r="T565" s="7"/>
      <c r="U565" s="7"/>
      <c r="Y565" s="7"/>
      <c r="Z565" s="17"/>
      <c r="AC565" s="7"/>
      <c r="AD565" s="7"/>
      <c r="AE565" s="7"/>
      <c r="AF565" s="7"/>
      <c r="AG565" s="7"/>
      <c r="AH565" s="7"/>
      <c r="AJ565" s="7"/>
      <c r="AK565" s="7"/>
      <c r="AL565" s="7"/>
      <c r="AM565" s="7"/>
      <c r="AN565" s="7"/>
      <c r="AO565" s="7"/>
      <c r="AR565" s="7"/>
      <c r="AS565" s="7"/>
      <c r="AT565" s="7"/>
      <c r="AU565" s="7"/>
      <c r="AW565" s="7"/>
      <c r="CE565" s="7"/>
      <c r="FZ565" s="2"/>
    </row>
    <row r="566" spans="1:182">
      <c r="A566" s="7"/>
      <c r="D566" s="7"/>
      <c r="E566" s="7"/>
      <c r="F566" s="7"/>
      <c r="G566" s="7"/>
      <c r="H566" s="7"/>
      <c r="I566" s="7"/>
      <c r="J566" s="7"/>
      <c r="K566" s="7"/>
      <c r="L566" s="7"/>
      <c r="M566" s="7"/>
      <c r="N566" s="7"/>
      <c r="O566" s="7"/>
      <c r="P566" s="7"/>
      <c r="Q566" s="7"/>
      <c r="R566" s="7"/>
      <c r="S566" s="7"/>
      <c r="T566" s="7"/>
      <c r="U566" s="7"/>
      <c r="Y566" s="7"/>
      <c r="Z566" s="17"/>
      <c r="AC566" s="7"/>
      <c r="AD566" s="7"/>
      <c r="AE566" s="7"/>
      <c r="AF566" s="7"/>
      <c r="AG566" s="7"/>
      <c r="AH566" s="7"/>
      <c r="AJ566" s="7"/>
      <c r="AK566" s="7"/>
      <c r="AL566" s="7"/>
      <c r="AM566" s="7"/>
      <c r="AN566" s="7"/>
      <c r="AO566" s="7"/>
      <c r="AR566" s="7"/>
      <c r="AS566" s="7"/>
      <c r="AT566" s="7"/>
      <c r="AU566" s="7"/>
      <c r="AW566" s="7"/>
      <c r="CE566" s="7"/>
      <c r="FZ566" s="2"/>
    </row>
    <row r="567" spans="1:182">
      <c r="A567" s="7"/>
      <c r="D567" s="7"/>
      <c r="E567" s="7"/>
      <c r="F567" s="7"/>
      <c r="G567" s="7"/>
      <c r="H567" s="7"/>
      <c r="I567" s="7"/>
      <c r="J567" s="7"/>
      <c r="K567" s="7"/>
      <c r="L567" s="7"/>
      <c r="M567" s="7"/>
      <c r="N567" s="7"/>
      <c r="O567" s="7"/>
      <c r="P567" s="7"/>
      <c r="Q567" s="7"/>
      <c r="R567" s="7"/>
      <c r="S567" s="7"/>
      <c r="T567" s="7"/>
      <c r="U567" s="7"/>
      <c r="Y567" s="7"/>
      <c r="Z567" s="17"/>
      <c r="AC567" s="7"/>
      <c r="AD567" s="7"/>
      <c r="AE567" s="7"/>
      <c r="AF567" s="7"/>
      <c r="AG567" s="7"/>
      <c r="AH567" s="7"/>
      <c r="AJ567" s="7"/>
      <c r="AK567" s="7"/>
      <c r="AL567" s="7"/>
      <c r="AM567" s="7"/>
      <c r="AN567" s="7"/>
      <c r="AO567" s="7"/>
      <c r="AR567" s="7"/>
      <c r="AS567" s="7"/>
      <c r="AT567" s="7"/>
      <c r="AU567" s="7"/>
      <c r="AW567" s="7"/>
      <c r="CE567" s="7"/>
      <c r="FZ567" s="2"/>
    </row>
    <row r="568" spans="1:182">
      <c r="A568" s="7"/>
      <c r="D568" s="7"/>
      <c r="E568" s="7"/>
      <c r="F568" s="7"/>
      <c r="G568" s="7"/>
      <c r="H568" s="7"/>
      <c r="I568" s="7"/>
      <c r="J568" s="7"/>
      <c r="K568" s="7"/>
      <c r="L568" s="7"/>
      <c r="M568" s="7"/>
      <c r="N568" s="7"/>
      <c r="O568" s="7"/>
      <c r="P568" s="7"/>
      <c r="Q568" s="7"/>
      <c r="R568" s="7"/>
      <c r="S568" s="7"/>
      <c r="T568" s="7"/>
      <c r="U568" s="7"/>
      <c r="Y568" s="7"/>
      <c r="Z568" s="17"/>
      <c r="AC568" s="7"/>
      <c r="AD568" s="7"/>
      <c r="AE568" s="7"/>
      <c r="AF568" s="7"/>
      <c r="AG568" s="7"/>
      <c r="AH568" s="7"/>
      <c r="AJ568" s="7"/>
      <c r="AK568" s="7"/>
      <c r="AL568" s="7"/>
      <c r="AM568" s="7"/>
      <c r="AN568" s="7"/>
      <c r="AO568" s="7"/>
      <c r="AR568" s="7"/>
      <c r="AS568" s="7"/>
      <c r="AT568" s="7"/>
      <c r="AU568" s="7"/>
      <c r="AW568" s="7"/>
      <c r="CE568" s="7"/>
      <c r="FZ568" s="2"/>
    </row>
    <row r="569" spans="1:182">
      <c r="A569" s="7"/>
      <c r="D569" s="7"/>
      <c r="E569" s="7"/>
      <c r="F569" s="7"/>
      <c r="G569" s="7"/>
      <c r="H569" s="7"/>
      <c r="I569" s="7"/>
      <c r="J569" s="7"/>
      <c r="K569" s="7"/>
      <c r="L569" s="7"/>
      <c r="M569" s="7"/>
      <c r="N569" s="7"/>
      <c r="O569" s="7"/>
      <c r="P569" s="7"/>
      <c r="Q569" s="7"/>
      <c r="R569" s="7"/>
      <c r="S569" s="7"/>
      <c r="T569" s="7"/>
      <c r="U569" s="7"/>
      <c r="Y569" s="7"/>
      <c r="Z569" s="17"/>
      <c r="AC569" s="7"/>
      <c r="AD569" s="7"/>
      <c r="AE569" s="7"/>
      <c r="AF569" s="7"/>
      <c r="AG569" s="7"/>
      <c r="AH569" s="7"/>
      <c r="AJ569" s="7"/>
      <c r="AK569" s="7"/>
      <c r="AL569" s="7"/>
      <c r="AM569" s="7"/>
      <c r="AN569" s="7"/>
      <c r="AO569" s="7"/>
      <c r="AR569" s="7"/>
      <c r="AS569" s="7"/>
      <c r="AT569" s="7"/>
      <c r="AU569" s="7"/>
      <c r="AW569" s="7"/>
      <c r="CE569" s="7"/>
      <c r="FZ569" s="2"/>
    </row>
    <row r="570" spans="1:182">
      <c r="A570" s="7"/>
      <c r="D570" s="7"/>
      <c r="E570" s="7"/>
      <c r="F570" s="7"/>
      <c r="G570" s="7"/>
      <c r="H570" s="7"/>
      <c r="I570" s="7"/>
      <c r="J570" s="7"/>
      <c r="K570" s="7"/>
      <c r="L570" s="7"/>
      <c r="M570" s="7"/>
      <c r="N570" s="7"/>
      <c r="O570" s="7"/>
      <c r="P570" s="7"/>
      <c r="Q570" s="7"/>
      <c r="R570" s="7"/>
      <c r="S570" s="7"/>
      <c r="T570" s="7"/>
      <c r="U570" s="7"/>
      <c r="Y570" s="7"/>
      <c r="Z570" s="17"/>
      <c r="AC570" s="7"/>
      <c r="AD570" s="7"/>
      <c r="AE570" s="7"/>
      <c r="AF570" s="7"/>
      <c r="AG570" s="7"/>
      <c r="AH570" s="7"/>
      <c r="AJ570" s="7"/>
      <c r="AK570" s="7"/>
      <c r="AL570" s="7"/>
      <c r="AM570" s="7"/>
      <c r="AN570" s="7"/>
      <c r="AO570" s="7"/>
      <c r="AR570" s="7"/>
      <c r="AS570" s="7"/>
      <c r="AT570" s="7"/>
      <c r="AU570" s="7"/>
      <c r="AW570" s="7"/>
      <c r="CE570" s="7"/>
      <c r="FZ570" s="2"/>
    </row>
    <row r="571" spans="1:182">
      <c r="A571" s="7"/>
      <c r="D571" s="7"/>
      <c r="E571" s="7"/>
      <c r="F571" s="7"/>
      <c r="G571" s="7"/>
      <c r="H571" s="7"/>
      <c r="I571" s="7"/>
      <c r="J571" s="7"/>
      <c r="K571" s="7"/>
      <c r="L571" s="7"/>
      <c r="M571" s="7"/>
      <c r="N571" s="7"/>
      <c r="O571" s="7"/>
      <c r="P571" s="7"/>
      <c r="Q571" s="7"/>
      <c r="R571" s="7"/>
      <c r="S571" s="7"/>
      <c r="T571" s="7"/>
      <c r="U571" s="7"/>
      <c r="Y571" s="7"/>
      <c r="Z571" s="17"/>
      <c r="AC571" s="7"/>
      <c r="AD571" s="7"/>
      <c r="AE571" s="7"/>
      <c r="AF571" s="7"/>
      <c r="AG571" s="7"/>
      <c r="AH571" s="7"/>
      <c r="AJ571" s="7"/>
      <c r="AK571" s="7"/>
      <c r="AL571" s="7"/>
      <c r="AM571" s="7"/>
      <c r="AN571" s="7"/>
      <c r="AO571" s="7"/>
      <c r="AR571" s="7"/>
      <c r="AS571" s="7"/>
      <c r="AT571" s="7"/>
      <c r="AU571" s="7"/>
      <c r="AW571" s="7"/>
      <c r="CE571" s="7"/>
      <c r="FZ571" s="2"/>
    </row>
    <row r="572" spans="1:182">
      <c r="A572" s="7"/>
      <c r="D572" s="7"/>
      <c r="E572" s="7"/>
      <c r="F572" s="7"/>
      <c r="G572" s="7"/>
      <c r="H572" s="7"/>
      <c r="I572" s="7"/>
      <c r="J572" s="7"/>
      <c r="K572" s="7"/>
      <c r="L572" s="7"/>
      <c r="M572" s="7"/>
      <c r="N572" s="7"/>
      <c r="O572" s="7"/>
      <c r="P572" s="7"/>
      <c r="Q572" s="7"/>
      <c r="R572" s="7"/>
      <c r="S572" s="7"/>
      <c r="T572" s="7"/>
      <c r="U572" s="7"/>
      <c r="Y572" s="7"/>
      <c r="Z572" s="17"/>
      <c r="AC572" s="7"/>
      <c r="AD572" s="7"/>
      <c r="AE572" s="7"/>
      <c r="AF572" s="7"/>
      <c r="AG572" s="7"/>
      <c r="AH572" s="7"/>
      <c r="AJ572" s="7"/>
      <c r="AK572" s="7"/>
      <c r="AL572" s="7"/>
      <c r="AM572" s="7"/>
      <c r="AN572" s="7"/>
      <c r="AO572" s="7"/>
      <c r="AR572" s="7"/>
      <c r="AS572" s="7"/>
      <c r="AT572" s="7"/>
      <c r="AU572" s="7"/>
      <c r="AW572" s="7"/>
      <c r="CE572" s="7"/>
      <c r="FZ572" s="2"/>
    </row>
    <row r="573" spans="1:182">
      <c r="A573" s="7"/>
      <c r="D573" s="7"/>
      <c r="E573" s="7"/>
      <c r="F573" s="7"/>
      <c r="G573" s="7"/>
      <c r="H573" s="7"/>
      <c r="I573" s="7"/>
      <c r="J573" s="7"/>
      <c r="K573" s="7"/>
      <c r="L573" s="7"/>
      <c r="M573" s="7"/>
      <c r="N573" s="7"/>
      <c r="O573" s="7"/>
      <c r="P573" s="7"/>
      <c r="Q573" s="7"/>
      <c r="R573" s="7"/>
      <c r="S573" s="7"/>
      <c r="T573" s="7"/>
      <c r="U573" s="7"/>
      <c r="Y573" s="7"/>
      <c r="Z573" s="17"/>
      <c r="AC573" s="7"/>
      <c r="AD573" s="7"/>
      <c r="AE573" s="7"/>
      <c r="AF573" s="7"/>
      <c r="AG573" s="7"/>
      <c r="AH573" s="7"/>
      <c r="AJ573" s="7"/>
      <c r="AK573" s="7"/>
      <c r="AL573" s="7"/>
      <c r="AM573" s="7"/>
      <c r="AN573" s="7"/>
      <c r="AO573" s="7"/>
      <c r="AR573" s="7"/>
      <c r="AS573" s="7"/>
      <c r="AT573" s="7"/>
      <c r="AU573" s="7"/>
      <c r="AW573" s="7"/>
      <c r="CE573" s="7"/>
      <c r="FZ573" s="2"/>
    </row>
    <row r="574" spans="1:182">
      <c r="A574" s="7"/>
      <c r="D574" s="7"/>
      <c r="E574" s="7"/>
      <c r="F574" s="7"/>
      <c r="G574" s="7"/>
      <c r="H574" s="7"/>
      <c r="I574" s="7"/>
      <c r="J574" s="7"/>
      <c r="K574" s="7"/>
      <c r="L574" s="7"/>
      <c r="M574" s="7"/>
      <c r="N574" s="7"/>
      <c r="O574" s="7"/>
      <c r="P574" s="7"/>
      <c r="Q574" s="7"/>
      <c r="R574" s="7"/>
      <c r="S574" s="7"/>
      <c r="T574" s="7"/>
      <c r="U574" s="7"/>
      <c r="Y574" s="7"/>
      <c r="Z574" s="17"/>
      <c r="AC574" s="7"/>
      <c r="AD574" s="7"/>
      <c r="AE574" s="7"/>
      <c r="AF574" s="7"/>
      <c r="AG574" s="7"/>
      <c r="AH574" s="7"/>
      <c r="AJ574" s="7"/>
      <c r="AK574" s="7"/>
      <c r="AL574" s="7"/>
      <c r="AM574" s="7"/>
      <c r="AN574" s="7"/>
      <c r="AO574" s="7"/>
      <c r="AR574" s="7"/>
      <c r="AS574" s="7"/>
      <c r="AT574" s="7"/>
      <c r="AU574" s="7"/>
      <c r="AW574" s="7"/>
      <c r="CE574" s="7"/>
      <c r="FZ574" s="2"/>
    </row>
    <row r="575" spans="1:182">
      <c r="A575" s="7"/>
      <c r="D575" s="7"/>
      <c r="E575" s="7"/>
      <c r="F575" s="7"/>
      <c r="G575" s="7"/>
      <c r="H575" s="7"/>
      <c r="I575" s="7"/>
      <c r="J575" s="7"/>
      <c r="K575" s="7"/>
      <c r="L575" s="7"/>
      <c r="M575" s="7"/>
      <c r="N575" s="7"/>
      <c r="O575" s="7"/>
      <c r="P575" s="7"/>
      <c r="Q575" s="7"/>
      <c r="R575" s="7"/>
      <c r="S575" s="7"/>
      <c r="T575" s="7"/>
      <c r="U575" s="7"/>
      <c r="Y575" s="7"/>
      <c r="Z575" s="17"/>
      <c r="AC575" s="7"/>
      <c r="AD575" s="7"/>
      <c r="AE575" s="7"/>
      <c r="AF575" s="7"/>
      <c r="AG575" s="7"/>
      <c r="AH575" s="7"/>
      <c r="AJ575" s="7"/>
      <c r="AK575" s="7"/>
      <c r="AL575" s="7"/>
      <c r="AM575" s="7"/>
      <c r="AN575" s="7"/>
      <c r="AO575" s="7"/>
      <c r="AR575" s="7"/>
      <c r="AS575" s="7"/>
      <c r="AT575" s="7"/>
      <c r="AU575" s="7"/>
      <c r="AW575" s="7"/>
      <c r="CE575" s="7"/>
      <c r="FZ575" s="2"/>
    </row>
    <row r="576" spans="1:182">
      <c r="A576" s="7"/>
      <c r="D576" s="7"/>
      <c r="E576" s="7"/>
      <c r="F576" s="7"/>
      <c r="G576" s="7"/>
      <c r="H576" s="7"/>
      <c r="I576" s="7"/>
      <c r="J576" s="7"/>
      <c r="K576" s="7"/>
      <c r="L576" s="7"/>
      <c r="M576" s="7"/>
      <c r="N576" s="7"/>
      <c r="O576" s="7"/>
      <c r="P576" s="7"/>
      <c r="Q576" s="7"/>
      <c r="R576" s="7"/>
      <c r="S576" s="7"/>
      <c r="T576" s="7"/>
      <c r="U576" s="7"/>
      <c r="Y576" s="7"/>
      <c r="Z576" s="17"/>
      <c r="AC576" s="7"/>
      <c r="AD576" s="7"/>
      <c r="AE576" s="7"/>
      <c r="AF576" s="7"/>
      <c r="AG576" s="7"/>
      <c r="AH576" s="7"/>
      <c r="AJ576" s="7"/>
      <c r="AK576" s="7"/>
      <c r="AL576" s="7"/>
      <c r="AM576" s="7"/>
      <c r="AN576" s="7"/>
      <c r="AO576" s="7"/>
      <c r="AR576" s="7"/>
      <c r="AS576" s="7"/>
      <c r="AT576" s="7"/>
      <c r="AU576" s="7"/>
      <c r="AW576" s="7"/>
      <c r="CE576" s="7"/>
      <c r="FZ576" s="2"/>
    </row>
    <row r="577" spans="1:182">
      <c r="A577" s="7"/>
      <c r="D577" s="7"/>
      <c r="E577" s="7"/>
      <c r="F577" s="7"/>
      <c r="G577" s="7"/>
      <c r="H577" s="7"/>
      <c r="I577" s="7"/>
      <c r="J577" s="7"/>
      <c r="K577" s="7"/>
      <c r="L577" s="7"/>
      <c r="M577" s="7"/>
      <c r="N577" s="7"/>
      <c r="O577" s="7"/>
      <c r="P577" s="7"/>
      <c r="Q577" s="7"/>
      <c r="R577" s="7"/>
      <c r="S577" s="7"/>
      <c r="T577" s="7"/>
      <c r="U577" s="7"/>
      <c r="Y577" s="7"/>
      <c r="Z577" s="17"/>
      <c r="AC577" s="7"/>
      <c r="AD577" s="7"/>
      <c r="AE577" s="7"/>
      <c r="AF577" s="7"/>
      <c r="AG577" s="7"/>
      <c r="AH577" s="7"/>
      <c r="AJ577" s="7"/>
      <c r="AK577" s="7"/>
      <c r="AL577" s="7"/>
      <c r="AM577" s="7"/>
      <c r="AN577" s="7"/>
      <c r="AO577" s="7"/>
      <c r="AR577" s="7"/>
      <c r="AS577" s="7"/>
      <c r="AT577" s="7"/>
      <c r="AU577" s="7"/>
      <c r="AW577" s="7"/>
      <c r="CE577" s="7"/>
      <c r="FZ577" s="2"/>
    </row>
    <row r="578" spans="1:182">
      <c r="A578" s="7"/>
      <c r="D578" s="7"/>
      <c r="E578" s="7"/>
      <c r="F578" s="7"/>
      <c r="G578" s="7"/>
      <c r="H578" s="7"/>
      <c r="I578" s="7"/>
      <c r="J578" s="7"/>
      <c r="K578" s="7"/>
      <c r="L578" s="7"/>
      <c r="M578" s="7"/>
      <c r="N578" s="7"/>
      <c r="O578" s="7"/>
      <c r="P578" s="7"/>
      <c r="Q578" s="7"/>
      <c r="R578" s="7"/>
      <c r="S578" s="7"/>
      <c r="T578" s="7"/>
      <c r="U578" s="7"/>
      <c r="Y578" s="7"/>
      <c r="Z578" s="17"/>
      <c r="AC578" s="7"/>
      <c r="AD578" s="7"/>
      <c r="AE578" s="7"/>
      <c r="AF578" s="7"/>
      <c r="AG578" s="7"/>
      <c r="AH578" s="7"/>
      <c r="AJ578" s="7"/>
      <c r="AK578" s="7"/>
      <c r="AL578" s="7"/>
      <c r="AM578" s="7"/>
      <c r="AN578" s="7"/>
      <c r="AO578" s="7"/>
      <c r="AR578" s="7"/>
      <c r="AS578" s="7"/>
      <c r="AT578" s="7"/>
      <c r="AU578" s="7"/>
      <c r="AW578" s="7"/>
      <c r="CE578" s="7"/>
      <c r="FZ578" s="2"/>
    </row>
    <row r="579" spans="1:182">
      <c r="A579" s="7"/>
      <c r="D579" s="7"/>
      <c r="E579" s="7"/>
      <c r="F579" s="7"/>
      <c r="G579" s="7"/>
      <c r="H579" s="7"/>
      <c r="I579" s="7"/>
      <c r="J579" s="7"/>
      <c r="K579" s="7"/>
      <c r="L579" s="7"/>
      <c r="M579" s="7"/>
      <c r="N579" s="7"/>
      <c r="O579" s="7"/>
      <c r="P579" s="7"/>
      <c r="Q579" s="7"/>
      <c r="R579" s="7"/>
      <c r="S579" s="7"/>
      <c r="T579" s="7"/>
      <c r="U579" s="7"/>
      <c r="Y579" s="7"/>
      <c r="Z579" s="17"/>
      <c r="AC579" s="7"/>
      <c r="AD579" s="7"/>
      <c r="AE579" s="7"/>
      <c r="AF579" s="7"/>
      <c r="AG579" s="7"/>
      <c r="AH579" s="7"/>
      <c r="AJ579" s="7"/>
      <c r="AK579" s="7"/>
      <c r="AL579" s="7"/>
      <c r="AM579" s="7"/>
      <c r="AN579" s="7"/>
      <c r="AO579" s="7"/>
      <c r="AR579" s="7"/>
      <c r="AS579" s="7"/>
      <c r="AT579" s="7"/>
      <c r="AU579" s="7"/>
      <c r="AW579" s="7"/>
      <c r="CE579" s="7"/>
      <c r="FZ579" s="2"/>
    </row>
    <row r="580" spans="1:182">
      <c r="A580" s="7"/>
      <c r="D580" s="7"/>
      <c r="E580" s="7"/>
      <c r="F580" s="7"/>
      <c r="G580" s="7"/>
      <c r="H580" s="7"/>
      <c r="I580" s="7"/>
      <c r="J580" s="7"/>
      <c r="K580" s="7"/>
      <c r="L580" s="7"/>
      <c r="M580" s="7"/>
      <c r="N580" s="7"/>
      <c r="O580" s="7"/>
      <c r="P580" s="7"/>
      <c r="Q580" s="7"/>
      <c r="R580" s="7"/>
      <c r="S580" s="7"/>
      <c r="T580" s="7"/>
      <c r="U580" s="7"/>
      <c r="Y580" s="7"/>
      <c r="Z580" s="17"/>
      <c r="AC580" s="7"/>
      <c r="AD580" s="7"/>
      <c r="AE580" s="7"/>
      <c r="AF580" s="7"/>
      <c r="AG580" s="7"/>
      <c r="AH580" s="7"/>
      <c r="AJ580" s="7"/>
      <c r="AK580" s="7"/>
      <c r="AL580" s="7"/>
      <c r="AM580" s="7"/>
      <c r="AN580" s="7"/>
      <c r="AO580" s="7"/>
      <c r="AR580" s="7"/>
      <c r="AS580" s="7"/>
      <c r="AT580" s="7"/>
      <c r="AU580" s="7"/>
      <c r="AW580" s="7"/>
      <c r="CE580" s="7"/>
      <c r="FZ580" s="2"/>
    </row>
    <row r="581" spans="1:182">
      <c r="A581" s="7"/>
      <c r="D581" s="7"/>
      <c r="E581" s="7"/>
      <c r="F581" s="7"/>
      <c r="G581" s="7"/>
      <c r="H581" s="7"/>
      <c r="I581" s="7"/>
      <c r="J581" s="7"/>
      <c r="K581" s="7"/>
      <c r="L581" s="7"/>
      <c r="M581" s="7"/>
      <c r="N581" s="7"/>
      <c r="O581" s="7"/>
      <c r="P581" s="7"/>
      <c r="Q581" s="7"/>
      <c r="R581" s="7"/>
      <c r="S581" s="7"/>
      <c r="T581" s="7"/>
      <c r="U581" s="7"/>
      <c r="Y581" s="7"/>
      <c r="Z581" s="17"/>
      <c r="AC581" s="7"/>
      <c r="AD581" s="7"/>
      <c r="AE581" s="7"/>
      <c r="AF581" s="7"/>
      <c r="AG581" s="7"/>
      <c r="AH581" s="7"/>
      <c r="AJ581" s="7"/>
      <c r="AK581" s="7"/>
      <c r="AL581" s="7"/>
      <c r="AM581" s="7"/>
      <c r="AN581" s="7"/>
      <c r="AO581" s="7"/>
      <c r="AR581" s="7"/>
      <c r="AS581" s="7"/>
      <c r="AT581" s="7"/>
      <c r="AU581" s="7"/>
      <c r="AW581" s="7"/>
      <c r="CE581" s="7"/>
      <c r="FZ581" s="2"/>
    </row>
    <row r="582" spans="1:182">
      <c r="A582" s="7"/>
      <c r="D582" s="7"/>
      <c r="E582" s="7"/>
      <c r="F582" s="7"/>
      <c r="G582" s="7"/>
      <c r="H582" s="7"/>
      <c r="I582" s="7"/>
      <c r="J582" s="7"/>
      <c r="K582" s="7"/>
      <c r="L582" s="7"/>
      <c r="M582" s="7"/>
      <c r="N582" s="7"/>
      <c r="O582" s="7"/>
      <c r="P582" s="7"/>
      <c r="Q582" s="7"/>
      <c r="R582" s="7"/>
      <c r="S582" s="7"/>
      <c r="T582" s="7"/>
      <c r="U582" s="7"/>
      <c r="Y582" s="7"/>
      <c r="Z582" s="17"/>
      <c r="AC582" s="7"/>
      <c r="AD582" s="7"/>
      <c r="AE582" s="7"/>
      <c r="AF582" s="7"/>
      <c r="AG582" s="7"/>
      <c r="AH582" s="7"/>
      <c r="AJ582" s="7"/>
      <c r="AK582" s="7"/>
      <c r="AL582" s="7"/>
      <c r="AM582" s="7"/>
      <c r="AN582" s="7"/>
      <c r="AO582" s="7"/>
      <c r="AR582" s="7"/>
      <c r="AS582" s="7"/>
      <c r="AT582" s="7"/>
      <c r="AU582" s="7"/>
      <c r="AW582" s="7"/>
      <c r="CE582" s="7"/>
      <c r="FZ582" s="2"/>
    </row>
    <row r="583" spans="1:182">
      <c r="A583" s="7"/>
      <c r="D583" s="7"/>
      <c r="E583" s="7"/>
      <c r="F583" s="7"/>
      <c r="G583" s="7"/>
      <c r="H583" s="7"/>
      <c r="I583" s="7"/>
      <c r="J583" s="7"/>
      <c r="K583" s="7"/>
      <c r="L583" s="7"/>
      <c r="M583" s="7"/>
      <c r="N583" s="7"/>
      <c r="O583" s="7"/>
      <c r="P583" s="7"/>
      <c r="Q583" s="7"/>
      <c r="R583" s="7"/>
      <c r="S583" s="7"/>
      <c r="T583" s="7"/>
      <c r="U583" s="7"/>
      <c r="Y583" s="7"/>
      <c r="Z583" s="17"/>
      <c r="AC583" s="7"/>
      <c r="AD583" s="7"/>
      <c r="AE583" s="7"/>
      <c r="AF583" s="7"/>
      <c r="AG583" s="7"/>
      <c r="AH583" s="7"/>
      <c r="AJ583" s="7"/>
      <c r="AK583" s="7"/>
      <c r="AL583" s="7"/>
      <c r="AM583" s="7"/>
      <c r="AN583" s="7"/>
      <c r="AO583" s="7"/>
      <c r="AR583" s="7"/>
      <c r="AS583" s="7"/>
      <c r="AT583" s="7"/>
      <c r="AU583" s="7"/>
      <c r="AW583" s="7"/>
      <c r="CE583" s="7"/>
      <c r="FZ583" s="2"/>
    </row>
    <row r="584" spans="1:182">
      <c r="A584" s="7"/>
      <c r="D584" s="7"/>
      <c r="E584" s="7"/>
      <c r="F584" s="7"/>
      <c r="G584" s="7"/>
      <c r="H584" s="7"/>
      <c r="I584" s="7"/>
      <c r="J584" s="7"/>
      <c r="K584" s="7"/>
      <c r="L584" s="7"/>
      <c r="M584" s="7"/>
      <c r="N584" s="7"/>
      <c r="O584" s="7"/>
      <c r="P584" s="7"/>
      <c r="Q584" s="7"/>
      <c r="R584" s="7"/>
      <c r="S584" s="7"/>
      <c r="T584" s="7"/>
      <c r="U584" s="7"/>
      <c r="Y584" s="7"/>
      <c r="Z584" s="17"/>
      <c r="AC584" s="7"/>
      <c r="AD584" s="7"/>
      <c r="AE584" s="7"/>
      <c r="AF584" s="7"/>
      <c r="AG584" s="7"/>
      <c r="AH584" s="7"/>
      <c r="AJ584" s="7"/>
      <c r="AK584" s="7"/>
      <c r="AL584" s="7"/>
      <c r="AM584" s="7"/>
      <c r="AN584" s="7"/>
      <c r="AO584" s="7"/>
      <c r="AR584" s="7"/>
      <c r="AS584" s="7"/>
      <c r="AT584" s="7"/>
      <c r="AU584" s="7"/>
      <c r="AW584" s="7"/>
      <c r="CE584" s="7"/>
      <c r="FZ584" s="2"/>
    </row>
    <row r="585" spans="1:182">
      <c r="A585" s="7"/>
      <c r="D585" s="7"/>
      <c r="E585" s="7"/>
      <c r="F585" s="7"/>
      <c r="G585" s="7"/>
      <c r="H585" s="7"/>
      <c r="I585" s="7"/>
      <c r="J585" s="7"/>
      <c r="K585" s="7"/>
      <c r="L585" s="7"/>
      <c r="M585" s="7"/>
      <c r="N585" s="7"/>
      <c r="O585" s="7"/>
      <c r="P585" s="7"/>
      <c r="Q585" s="7"/>
      <c r="R585" s="7"/>
      <c r="S585" s="7"/>
      <c r="T585" s="7"/>
      <c r="U585" s="7"/>
      <c r="Y585" s="7"/>
      <c r="Z585" s="17"/>
      <c r="AC585" s="7"/>
      <c r="AD585" s="7"/>
      <c r="AE585" s="7"/>
      <c r="AF585" s="7"/>
      <c r="AG585" s="7"/>
      <c r="AH585" s="7"/>
      <c r="AJ585" s="7"/>
      <c r="AK585" s="7"/>
      <c r="AL585" s="7"/>
      <c r="AM585" s="7"/>
      <c r="AN585" s="7"/>
      <c r="AO585" s="7"/>
      <c r="AR585" s="7"/>
      <c r="AS585" s="7"/>
      <c r="AT585" s="7"/>
      <c r="AU585" s="7"/>
      <c r="AW585" s="7"/>
      <c r="CE585" s="7"/>
      <c r="FZ585" s="2"/>
    </row>
    <row r="586" spans="1:182">
      <c r="A586" s="7"/>
      <c r="D586" s="7"/>
      <c r="E586" s="7"/>
      <c r="F586" s="7"/>
      <c r="G586" s="7"/>
      <c r="H586" s="7"/>
      <c r="I586" s="7"/>
      <c r="J586" s="7"/>
      <c r="K586" s="7"/>
      <c r="L586" s="7"/>
      <c r="M586" s="7"/>
      <c r="N586" s="7"/>
      <c r="O586" s="7"/>
      <c r="P586" s="7"/>
      <c r="Q586" s="7"/>
      <c r="R586" s="7"/>
      <c r="S586" s="7"/>
      <c r="T586" s="7"/>
      <c r="U586" s="7"/>
      <c r="Y586" s="7"/>
      <c r="Z586" s="17"/>
      <c r="AC586" s="7"/>
      <c r="AD586" s="7"/>
      <c r="AE586" s="7"/>
      <c r="AF586" s="7"/>
      <c r="AG586" s="7"/>
      <c r="AH586" s="7"/>
      <c r="AJ586" s="7"/>
      <c r="AK586" s="7"/>
      <c r="AL586" s="7"/>
      <c r="AM586" s="7"/>
      <c r="AN586" s="7"/>
      <c r="AO586" s="7"/>
      <c r="AR586" s="7"/>
      <c r="AS586" s="7"/>
      <c r="AT586" s="7"/>
      <c r="AU586" s="7"/>
      <c r="AW586" s="7"/>
      <c r="CE586" s="7"/>
      <c r="FZ586" s="2"/>
    </row>
    <row r="587" spans="1:182">
      <c r="A587" s="7"/>
      <c r="D587" s="7"/>
      <c r="E587" s="7"/>
      <c r="F587" s="7"/>
      <c r="G587" s="7"/>
      <c r="H587" s="7"/>
      <c r="I587" s="7"/>
      <c r="J587" s="7"/>
      <c r="K587" s="7"/>
      <c r="L587" s="7"/>
      <c r="M587" s="7"/>
      <c r="N587" s="7"/>
      <c r="O587" s="7"/>
      <c r="P587" s="7"/>
      <c r="Q587" s="7"/>
      <c r="R587" s="7"/>
      <c r="S587" s="7"/>
      <c r="T587" s="7"/>
      <c r="U587" s="7"/>
      <c r="Y587" s="7"/>
      <c r="Z587" s="17"/>
      <c r="AC587" s="7"/>
      <c r="AD587" s="7"/>
      <c r="AE587" s="7"/>
      <c r="AF587" s="7"/>
      <c r="AG587" s="7"/>
      <c r="AH587" s="7"/>
      <c r="AJ587" s="7"/>
      <c r="AK587" s="7"/>
      <c r="AL587" s="7"/>
      <c r="AM587" s="7"/>
      <c r="AN587" s="7"/>
      <c r="AO587" s="7"/>
      <c r="AR587" s="7"/>
      <c r="AS587" s="7"/>
      <c r="AT587" s="7"/>
      <c r="AU587" s="7"/>
      <c r="AW587" s="7"/>
      <c r="CE587" s="7"/>
      <c r="FZ587" s="2"/>
    </row>
    <row r="588" spans="1:182">
      <c r="A588" s="7"/>
      <c r="D588" s="7"/>
      <c r="E588" s="7"/>
      <c r="F588" s="7"/>
      <c r="G588" s="7"/>
      <c r="H588" s="7"/>
      <c r="I588" s="7"/>
      <c r="J588" s="7"/>
      <c r="K588" s="7"/>
      <c r="L588" s="7"/>
      <c r="M588" s="7"/>
      <c r="N588" s="7"/>
      <c r="O588" s="7"/>
      <c r="P588" s="7"/>
      <c r="Q588" s="7"/>
      <c r="R588" s="7"/>
      <c r="S588" s="7"/>
      <c r="T588" s="7"/>
      <c r="U588" s="7"/>
      <c r="Y588" s="7"/>
      <c r="Z588" s="17"/>
      <c r="AC588" s="7"/>
      <c r="AD588" s="7"/>
      <c r="AE588" s="7"/>
      <c r="AF588" s="7"/>
      <c r="AG588" s="7"/>
      <c r="AH588" s="7"/>
      <c r="AJ588" s="7"/>
      <c r="AK588" s="7"/>
      <c r="AL588" s="7"/>
      <c r="AM588" s="7"/>
      <c r="AN588" s="7"/>
      <c r="AO588" s="7"/>
      <c r="AR588" s="7"/>
      <c r="AS588" s="7"/>
      <c r="AT588" s="7"/>
      <c r="AU588" s="7"/>
      <c r="AW588" s="7"/>
      <c r="CE588" s="7"/>
      <c r="FZ588" s="2"/>
    </row>
    <row r="589" spans="1:182">
      <c r="A589" s="7"/>
      <c r="D589" s="7"/>
      <c r="E589" s="7"/>
      <c r="F589" s="7"/>
      <c r="G589" s="7"/>
      <c r="H589" s="7"/>
      <c r="I589" s="7"/>
      <c r="J589" s="7"/>
      <c r="K589" s="7"/>
      <c r="L589" s="7"/>
      <c r="M589" s="7"/>
      <c r="N589" s="7"/>
      <c r="O589" s="7"/>
      <c r="P589" s="7"/>
      <c r="Q589" s="7"/>
      <c r="R589" s="7"/>
      <c r="S589" s="7"/>
      <c r="T589" s="7"/>
      <c r="U589" s="7"/>
      <c r="Y589" s="7"/>
      <c r="Z589" s="17"/>
      <c r="AC589" s="7"/>
      <c r="AD589" s="7"/>
      <c r="AE589" s="7"/>
      <c r="AF589" s="7"/>
      <c r="AG589" s="7"/>
      <c r="AH589" s="7"/>
      <c r="AJ589" s="7"/>
      <c r="AK589" s="7"/>
      <c r="AL589" s="7"/>
      <c r="AM589" s="7"/>
      <c r="AN589" s="7"/>
      <c r="AO589" s="7"/>
      <c r="AR589" s="7"/>
      <c r="AS589" s="7"/>
      <c r="AT589" s="7"/>
      <c r="AU589" s="7"/>
      <c r="AW589" s="7"/>
      <c r="CE589" s="7"/>
      <c r="FZ589" s="2"/>
    </row>
    <row r="590" spans="1:182">
      <c r="A590" s="7"/>
      <c r="D590" s="7"/>
      <c r="E590" s="7"/>
      <c r="F590" s="7"/>
      <c r="G590" s="7"/>
      <c r="H590" s="7"/>
      <c r="I590" s="7"/>
      <c r="J590" s="7"/>
      <c r="K590" s="7"/>
      <c r="L590" s="7"/>
      <c r="M590" s="7"/>
      <c r="N590" s="7"/>
      <c r="O590" s="7"/>
      <c r="P590" s="7"/>
      <c r="Q590" s="7"/>
      <c r="R590" s="7"/>
      <c r="S590" s="7"/>
      <c r="T590" s="7"/>
      <c r="U590" s="7"/>
      <c r="Y590" s="7"/>
      <c r="Z590" s="17"/>
      <c r="AC590" s="7"/>
      <c r="AD590" s="7"/>
      <c r="AE590" s="7"/>
      <c r="AF590" s="7"/>
      <c r="AG590" s="7"/>
      <c r="AH590" s="7"/>
      <c r="AJ590" s="7"/>
      <c r="AK590" s="7"/>
      <c r="AL590" s="7"/>
      <c r="AM590" s="7"/>
      <c r="AN590" s="7"/>
      <c r="AO590" s="7"/>
      <c r="AR590" s="7"/>
      <c r="AS590" s="7"/>
      <c r="AT590" s="7"/>
      <c r="AU590" s="7"/>
      <c r="AW590" s="7"/>
      <c r="CE590" s="7"/>
      <c r="FZ590" s="2"/>
    </row>
    <row r="591" spans="1:182">
      <c r="A591" s="7"/>
      <c r="D591" s="7"/>
      <c r="E591" s="7"/>
      <c r="F591" s="7"/>
      <c r="G591" s="7"/>
      <c r="H591" s="7"/>
      <c r="I591" s="7"/>
      <c r="J591" s="7"/>
      <c r="K591" s="7"/>
      <c r="L591" s="7"/>
      <c r="M591" s="7"/>
      <c r="N591" s="7"/>
      <c r="O591" s="7"/>
      <c r="P591" s="7"/>
      <c r="Q591" s="7"/>
      <c r="R591" s="7"/>
      <c r="S591" s="7"/>
      <c r="T591" s="7"/>
      <c r="U591" s="7"/>
      <c r="Y591" s="7"/>
      <c r="Z591" s="17"/>
      <c r="AC591" s="7"/>
      <c r="AD591" s="7"/>
      <c r="AE591" s="7"/>
      <c r="AF591" s="7"/>
      <c r="AG591" s="7"/>
      <c r="AH591" s="7"/>
      <c r="AJ591" s="7"/>
      <c r="AK591" s="7"/>
      <c r="AL591" s="7"/>
      <c r="AM591" s="7"/>
      <c r="AN591" s="7"/>
      <c r="AO591" s="7"/>
      <c r="AR591" s="7"/>
      <c r="AS591" s="7"/>
      <c r="AT591" s="7"/>
      <c r="AU591" s="7"/>
      <c r="AW591" s="7"/>
      <c r="CE591" s="7"/>
      <c r="FZ591" s="2"/>
    </row>
    <row r="592" spans="1:182">
      <c r="A592" s="7"/>
      <c r="D592" s="7"/>
      <c r="E592" s="7"/>
      <c r="F592" s="7"/>
      <c r="G592" s="7"/>
      <c r="H592" s="7"/>
      <c r="I592" s="7"/>
      <c r="J592" s="7"/>
      <c r="K592" s="7"/>
      <c r="L592" s="7"/>
      <c r="M592" s="7"/>
      <c r="N592" s="7"/>
      <c r="O592" s="7"/>
      <c r="P592" s="7"/>
      <c r="Q592" s="7"/>
      <c r="R592" s="7"/>
      <c r="S592" s="7"/>
      <c r="T592" s="7"/>
      <c r="U592" s="7"/>
      <c r="Y592" s="7"/>
      <c r="Z592" s="17"/>
      <c r="AC592" s="7"/>
      <c r="AD592" s="7"/>
      <c r="AE592" s="7"/>
      <c r="AF592" s="7"/>
      <c r="AG592" s="7"/>
      <c r="AH592" s="7"/>
      <c r="AJ592" s="7"/>
      <c r="AK592" s="7"/>
      <c r="AL592" s="7"/>
      <c r="AM592" s="7"/>
      <c r="AN592" s="7"/>
      <c r="AO592" s="7"/>
      <c r="AR592" s="7"/>
      <c r="AS592" s="7"/>
      <c r="AT592" s="7"/>
      <c r="AU592" s="7"/>
      <c r="AW592" s="7"/>
      <c r="CE592" s="7"/>
      <c r="FZ592" s="2"/>
    </row>
    <row r="593" spans="1:182">
      <c r="A593" s="7"/>
      <c r="D593" s="7"/>
      <c r="E593" s="7"/>
      <c r="F593" s="7"/>
      <c r="G593" s="7"/>
      <c r="H593" s="7"/>
      <c r="I593" s="7"/>
      <c r="J593" s="7"/>
      <c r="K593" s="7"/>
      <c r="L593" s="7"/>
      <c r="M593" s="7"/>
      <c r="N593" s="7"/>
      <c r="O593" s="7"/>
      <c r="P593" s="7"/>
      <c r="Q593" s="7"/>
      <c r="R593" s="7"/>
      <c r="S593" s="7"/>
      <c r="T593" s="7"/>
      <c r="U593" s="7"/>
      <c r="Y593" s="7"/>
      <c r="Z593" s="17"/>
      <c r="AC593" s="7"/>
      <c r="AD593" s="7"/>
      <c r="AE593" s="7"/>
      <c r="AF593" s="7"/>
      <c r="AG593" s="7"/>
      <c r="AH593" s="7"/>
      <c r="AJ593" s="7"/>
      <c r="AK593" s="7"/>
      <c r="AL593" s="7"/>
      <c r="AM593" s="7"/>
      <c r="AN593" s="7"/>
      <c r="AO593" s="7"/>
      <c r="AR593" s="7"/>
      <c r="AS593" s="7"/>
      <c r="AT593" s="7"/>
      <c r="AU593" s="7"/>
      <c r="AW593" s="7"/>
      <c r="CE593" s="7"/>
      <c r="FZ593" s="2"/>
    </row>
    <row r="594" spans="1:182">
      <c r="A594" s="7"/>
      <c r="D594" s="7"/>
      <c r="E594" s="7"/>
      <c r="F594" s="7"/>
      <c r="G594" s="7"/>
      <c r="H594" s="7"/>
      <c r="I594" s="7"/>
      <c r="J594" s="7"/>
      <c r="K594" s="7"/>
      <c r="L594" s="7"/>
      <c r="M594" s="7"/>
      <c r="N594" s="7"/>
      <c r="O594" s="7"/>
      <c r="P594" s="7"/>
      <c r="Q594" s="7"/>
      <c r="R594" s="7"/>
      <c r="S594" s="7"/>
      <c r="T594" s="7"/>
      <c r="U594" s="7"/>
      <c r="Y594" s="7"/>
      <c r="Z594" s="17"/>
      <c r="AC594" s="7"/>
      <c r="AD594" s="7"/>
      <c r="AE594" s="7"/>
      <c r="AF594" s="7"/>
      <c r="AG594" s="7"/>
      <c r="AH594" s="7"/>
      <c r="AJ594" s="7"/>
      <c r="AK594" s="7"/>
      <c r="AL594" s="7"/>
      <c r="AM594" s="7"/>
      <c r="AN594" s="7"/>
      <c r="AO594" s="7"/>
      <c r="AR594" s="7"/>
      <c r="AS594" s="7"/>
      <c r="AT594" s="7"/>
      <c r="AU594" s="7"/>
      <c r="AW594" s="7"/>
      <c r="CE594" s="7"/>
      <c r="FZ594" s="2"/>
    </row>
    <row r="595" spans="1:182">
      <c r="A595" s="7"/>
      <c r="D595" s="7"/>
      <c r="E595" s="7"/>
      <c r="F595" s="7"/>
      <c r="G595" s="7"/>
      <c r="H595" s="7"/>
      <c r="I595" s="7"/>
      <c r="J595" s="7"/>
      <c r="K595" s="7"/>
      <c r="L595" s="7"/>
      <c r="M595" s="7"/>
      <c r="N595" s="7"/>
      <c r="O595" s="7"/>
      <c r="P595" s="7"/>
      <c r="Q595" s="7"/>
      <c r="R595" s="7"/>
      <c r="S595" s="7"/>
      <c r="T595" s="7"/>
      <c r="U595" s="7"/>
      <c r="Y595" s="7"/>
      <c r="Z595" s="17"/>
      <c r="AC595" s="7"/>
      <c r="AD595" s="7"/>
      <c r="AE595" s="7"/>
      <c r="AF595" s="7"/>
      <c r="AG595" s="7"/>
      <c r="AH595" s="7"/>
      <c r="AJ595" s="7"/>
      <c r="AK595" s="7"/>
      <c r="AL595" s="7"/>
      <c r="AM595" s="7"/>
      <c r="AN595" s="7"/>
      <c r="AO595" s="7"/>
      <c r="AR595" s="7"/>
      <c r="AS595" s="7"/>
      <c r="AT595" s="7"/>
      <c r="AU595" s="7"/>
      <c r="AW595" s="7"/>
      <c r="CE595" s="7"/>
      <c r="FZ595" s="2"/>
    </row>
    <row r="596" spans="1:182">
      <c r="A596" s="7"/>
      <c r="D596" s="7"/>
      <c r="E596" s="7"/>
      <c r="F596" s="7"/>
      <c r="G596" s="7"/>
      <c r="H596" s="7"/>
      <c r="I596" s="7"/>
      <c r="J596" s="7"/>
      <c r="K596" s="7"/>
      <c r="L596" s="7"/>
      <c r="M596" s="7"/>
      <c r="N596" s="7"/>
      <c r="O596" s="7"/>
      <c r="P596" s="7"/>
      <c r="Q596" s="7"/>
      <c r="R596" s="7"/>
      <c r="S596" s="7"/>
      <c r="T596" s="7"/>
      <c r="U596" s="7"/>
      <c r="Y596" s="7"/>
      <c r="Z596" s="17"/>
      <c r="AC596" s="7"/>
      <c r="AD596" s="7"/>
      <c r="AE596" s="7"/>
      <c r="AF596" s="7"/>
      <c r="AG596" s="7"/>
      <c r="AH596" s="7"/>
      <c r="AJ596" s="7"/>
      <c r="AK596" s="7"/>
      <c r="AL596" s="7"/>
      <c r="AM596" s="7"/>
      <c r="AN596" s="7"/>
      <c r="AO596" s="7"/>
      <c r="AR596" s="7"/>
      <c r="AS596" s="7"/>
      <c r="AT596" s="7"/>
      <c r="AU596" s="7"/>
      <c r="AW596" s="7"/>
      <c r="CE596" s="7"/>
      <c r="FZ596" s="2"/>
    </row>
    <row r="597" spans="1:182">
      <c r="A597" s="7"/>
      <c r="D597" s="7"/>
      <c r="E597" s="7"/>
      <c r="F597" s="7"/>
      <c r="G597" s="7"/>
      <c r="H597" s="7"/>
      <c r="I597" s="7"/>
      <c r="J597" s="7"/>
      <c r="K597" s="7"/>
      <c r="L597" s="7"/>
      <c r="M597" s="7"/>
      <c r="N597" s="7"/>
      <c r="O597" s="7"/>
      <c r="P597" s="7"/>
      <c r="Q597" s="7"/>
      <c r="R597" s="7"/>
      <c r="S597" s="7"/>
      <c r="T597" s="7"/>
      <c r="U597" s="7"/>
      <c r="Y597" s="7"/>
      <c r="Z597" s="17"/>
      <c r="AC597" s="7"/>
      <c r="AD597" s="7"/>
      <c r="AE597" s="7"/>
      <c r="AF597" s="7"/>
      <c r="AG597" s="7"/>
      <c r="AH597" s="7"/>
      <c r="AJ597" s="7"/>
      <c r="AK597" s="7"/>
      <c r="AL597" s="7"/>
      <c r="AM597" s="7"/>
      <c r="AN597" s="7"/>
      <c r="AO597" s="7"/>
      <c r="AR597" s="7"/>
      <c r="AS597" s="7"/>
      <c r="AT597" s="7"/>
      <c r="AU597" s="7"/>
      <c r="AW597" s="7"/>
      <c r="CE597" s="7"/>
      <c r="FZ597" s="2"/>
    </row>
    <row r="598" spans="1:182">
      <c r="A598" s="7"/>
      <c r="D598" s="7"/>
      <c r="E598" s="7"/>
      <c r="F598" s="7"/>
      <c r="G598" s="7"/>
      <c r="H598" s="7"/>
      <c r="I598" s="7"/>
      <c r="J598" s="7"/>
      <c r="K598" s="7"/>
      <c r="L598" s="7"/>
      <c r="M598" s="7"/>
      <c r="N598" s="7"/>
      <c r="O598" s="7"/>
      <c r="P598" s="7"/>
      <c r="Q598" s="7"/>
      <c r="R598" s="7"/>
      <c r="S598" s="7"/>
      <c r="T598" s="7"/>
      <c r="U598" s="7"/>
      <c r="Y598" s="7"/>
      <c r="Z598" s="17"/>
      <c r="AC598" s="7"/>
      <c r="AD598" s="7"/>
      <c r="AE598" s="7"/>
      <c r="AF598" s="7"/>
      <c r="AG598" s="7"/>
      <c r="AH598" s="7"/>
      <c r="AJ598" s="7"/>
      <c r="AK598" s="7"/>
      <c r="AL598" s="7"/>
      <c r="AM598" s="7"/>
      <c r="AN598" s="7"/>
      <c r="AO598" s="7"/>
      <c r="AR598" s="7"/>
      <c r="AS598" s="7"/>
      <c r="AT598" s="7"/>
      <c r="AU598" s="7"/>
      <c r="AW598" s="7"/>
      <c r="CE598" s="7"/>
      <c r="FZ598" s="2"/>
    </row>
    <row r="599" spans="1:182">
      <c r="A599" s="7"/>
      <c r="D599" s="7"/>
      <c r="E599" s="7"/>
      <c r="F599" s="7"/>
      <c r="G599" s="7"/>
      <c r="H599" s="7"/>
      <c r="I599" s="7"/>
      <c r="J599" s="7"/>
      <c r="K599" s="7"/>
      <c r="L599" s="7"/>
      <c r="M599" s="7"/>
      <c r="N599" s="7"/>
      <c r="O599" s="7"/>
      <c r="P599" s="7"/>
      <c r="Q599" s="7"/>
      <c r="R599" s="7"/>
      <c r="S599" s="7"/>
      <c r="T599" s="7"/>
      <c r="U599" s="7"/>
      <c r="Y599" s="7"/>
      <c r="Z599" s="17"/>
      <c r="AC599" s="7"/>
      <c r="AD599" s="7"/>
      <c r="AE599" s="7"/>
      <c r="AF599" s="7"/>
      <c r="AG599" s="7"/>
      <c r="AH599" s="7"/>
      <c r="AJ599" s="7"/>
      <c r="AK599" s="7"/>
      <c r="AL599" s="7"/>
      <c r="AM599" s="7"/>
      <c r="AN599" s="7"/>
      <c r="AO599" s="7"/>
      <c r="AR599" s="7"/>
      <c r="AS599" s="7"/>
      <c r="AT599" s="7"/>
      <c r="AU599" s="7"/>
      <c r="AW599" s="7"/>
      <c r="CE599" s="7"/>
      <c r="FZ599" s="2"/>
    </row>
    <row r="600" spans="1:182">
      <c r="A600" s="7"/>
      <c r="D600" s="7"/>
      <c r="E600" s="7"/>
      <c r="F600" s="7"/>
      <c r="G600" s="7"/>
      <c r="H600" s="7"/>
      <c r="I600" s="7"/>
      <c r="J600" s="7"/>
      <c r="K600" s="7"/>
      <c r="L600" s="7"/>
      <c r="M600" s="7"/>
      <c r="N600" s="7"/>
      <c r="O600" s="7"/>
      <c r="P600" s="7"/>
      <c r="Q600" s="7"/>
      <c r="R600" s="7"/>
      <c r="S600" s="7"/>
      <c r="T600" s="7"/>
      <c r="U600" s="7"/>
      <c r="Y600" s="7"/>
      <c r="Z600" s="17"/>
      <c r="AC600" s="7"/>
      <c r="AD600" s="7"/>
      <c r="AE600" s="7"/>
      <c r="AF600" s="7"/>
      <c r="AG600" s="7"/>
      <c r="AH600" s="7"/>
      <c r="AJ600" s="7"/>
      <c r="AK600" s="7"/>
      <c r="AL600" s="7"/>
      <c r="AM600" s="7"/>
      <c r="AN600" s="7"/>
      <c r="AO600" s="7"/>
      <c r="AR600" s="7"/>
      <c r="AS600" s="7"/>
      <c r="AT600" s="7"/>
      <c r="AU600" s="7"/>
      <c r="AW600" s="7"/>
      <c r="CE600" s="7"/>
      <c r="FZ600" s="2"/>
    </row>
    <row r="601" spans="1:182">
      <c r="A601" s="7"/>
      <c r="D601" s="7"/>
      <c r="E601" s="7"/>
      <c r="F601" s="7"/>
      <c r="G601" s="7"/>
      <c r="H601" s="7"/>
      <c r="I601" s="7"/>
      <c r="J601" s="7"/>
      <c r="K601" s="7"/>
      <c r="L601" s="7"/>
      <c r="M601" s="7"/>
      <c r="N601" s="7"/>
      <c r="O601" s="7"/>
      <c r="P601" s="7"/>
      <c r="Q601" s="7"/>
      <c r="R601" s="7"/>
      <c r="S601" s="7"/>
      <c r="T601" s="7"/>
      <c r="U601" s="7"/>
      <c r="Y601" s="7"/>
      <c r="Z601" s="17"/>
      <c r="AC601" s="7"/>
      <c r="AD601" s="7"/>
      <c r="AE601" s="7"/>
      <c r="AF601" s="7"/>
      <c r="AG601" s="7"/>
      <c r="AH601" s="7"/>
      <c r="AJ601" s="7"/>
      <c r="AK601" s="7"/>
      <c r="AL601" s="7"/>
      <c r="AM601" s="7"/>
      <c r="AN601" s="7"/>
      <c r="AO601" s="7"/>
      <c r="AR601" s="7"/>
      <c r="AS601" s="7"/>
      <c r="AT601" s="7"/>
      <c r="AU601" s="7"/>
      <c r="AW601" s="7"/>
      <c r="CE601" s="7"/>
      <c r="FZ601" s="2"/>
    </row>
    <row r="602" spans="1:182">
      <c r="A602" s="7"/>
      <c r="D602" s="7"/>
      <c r="E602" s="7"/>
      <c r="F602" s="7"/>
      <c r="G602" s="7"/>
      <c r="H602" s="7"/>
      <c r="I602" s="7"/>
      <c r="J602" s="7"/>
      <c r="K602" s="7"/>
      <c r="L602" s="7"/>
      <c r="M602" s="7"/>
      <c r="N602" s="7"/>
      <c r="O602" s="7"/>
      <c r="P602" s="7"/>
      <c r="Q602" s="7"/>
      <c r="R602" s="7"/>
      <c r="S602" s="7"/>
      <c r="T602" s="7"/>
      <c r="U602" s="7"/>
      <c r="Y602" s="7"/>
      <c r="Z602" s="17"/>
      <c r="AC602" s="7"/>
      <c r="AD602" s="7"/>
      <c r="AE602" s="7"/>
      <c r="AF602" s="7"/>
      <c r="AG602" s="7"/>
      <c r="AH602" s="7"/>
      <c r="AJ602" s="7"/>
      <c r="AK602" s="7"/>
      <c r="AL602" s="7"/>
      <c r="AM602" s="7"/>
      <c r="AN602" s="7"/>
      <c r="AO602" s="7"/>
      <c r="AR602" s="7"/>
      <c r="AS602" s="7"/>
      <c r="AT602" s="7"/>
      <c r="AU602" s="7"/>
      <c r="AW602" s="7"/>
      <c r="CE602" s="7"/>
      <c r="FZ602" s="2"/>
    </row>
    <row r="603" spans="1:182">
      <c r="A603" s="7"/>
      <c r="D603" s="7"/>
      <c r="E603" s="7"/>
      <c r="F603" s="7"/>
      <c r="G603" s="7"/>
      <c r="H603" s="7"/>
      <c r="I603" s="7"/>
      <c r="J603" s="7"/>
      <c r="K603" s="7"/>
      <c r="L603" s="7"/>
      <c r="M603" s="7"/>
      <c r="N603" s="7"/>
      <c r="O603" s="7"/>
      <c r="P603" s="7"/>
      <c r="Q603" s="7"/>
      <c r="R603" s="7"/>
      <c r="S603" s="7"/>
      <c r="T603" s="7"/>
      <c r="U603" s="7"/>
      <c r="Y603" s="7"/>
      <c r="Z603" s="17"/>
      <c r="AC603" s="7"/>
      <c r="AD603" s="7"/>
      <c r="AE603" s="7"/>
      <c r="AF603" s="7"/>
      <c r="AG603" s="7"/>
      <c r="AH603" s="7"/>
      <c r="AJ603" s="7"/>
      <c r="AK603" s="7"/>
      <c r="AL603" s="7"/>
      <c r="AM603" s="7"/>
      <c r="AN603" s="7"/>
      <c r="AO603" s="7"/>
      <c r="AR603" s="7"/>
      <c r="AS603" s="7"/>
      <c r="AT603" s="7"/>
      <c r="AU603" s="7"/>
      <c r="AW603" s="7"/>
      <c r="CE603" s="7"/>
      <c r="FZ603" s="2"/>
    </row>
    <row r="604" spans="1:182">
      <c r="A604" s="7"/>
      <c r="D604" s="7"/>
      <c r="E604" s="7"/>
      <c r="F604" s="7"/>
      <c r="G604" s="7"/>
      <c r="H604" s="7"/>
      <c r="I604" s="7"/>
      <c r="J604" s="7"/>
      <c r="K604" s="7"/>
      <c r="L604" s="7"/>
      <c r="M604" s="7"/>
      <c r="N604" s="7"/>
      <c r="O604" s="7"/>
      <c r="P604" s="7"/>
      <c r="Q604" s="7"/>
      <c r="R604" s="7"/>
      <c r="S604" s="7"/>
      <c r="T604" s="7"/>
      <c r="U604" s="7"/>
      <c r="Y604" s="7"/>
      <c r="Z604" s="17"/>
      <c r="AC604" s="7"/>
      <c r="AD604" s="7"/>
      <c r="AE604" s="7"/>
      <c r="AF604" s="7"/>
      <c r="AG604" s="7"/>
      <c r="AH604" s="7"/>
      <c r="AJ604" s="7"/>
      <c r="AK604" s="7"/>
      <c r="AL604" s="7"/>
      <c r="AM604" s="7"/>
      <c r="AN604" s="7"/>
      <c r="AO604" s="7"/>
      <c r="AR604" s="7"/>
      <c r="AS604" s="7"/>
      <c r="AT604" s="7"/>
      <c r="AU604" s="7"/>
      <c r="AW604" s="7"/>
      <c r="CE604" s="7"/>
      <c r="FZ604" s="2"/>
    </row>
    <row r="605" spans="1:182">
      <c r="A605" s="7"/>
      <c r="D605" s="7"/>
      <c r="E605" s="7"/>
      <c r="F605" s="7"/>
      <c r="G605" s="7"/>
      <c r="H605" s="7"/>
      <c r="I605" s="7"/>
      <c r="J605" s="7"/>
      <c r="K605" s="7"/>
      <c r="L605" s="7"/>
      <c r="M605" s="7"/>
      <c r="N605" s="7"/>
      <c r="O605" s="7"/>
      <c r="P605" s="7"/>
      <c r="Q605" s="7"/>
      <c r="R605" s="7"/>
      <c r="S605" s="7"/>
      <c r="T605" s="7"/>
      <c r="U605" s="7"/>
      <c r="Y605" s="7"/>
      <c r="Z605" s="17"/>
      <c r="AC605" s="7"/>
      <c r="AD605" s="7"/>
      <c r="AE605" s="7"/>
      <c r="AF605" s="7"/>
      <c r="AG605" s="7"/>
      <c r="AH605" s="7"/>
      <c r="AJ605" s="7"/>
      <c r="AK605" s="7"/>
      <c r="AL605" s="7"/>
      <c r="AM605" s="7"/>
      <c r="AN605" s="7"/>
      <c r="AO605" s="7"/>
      <c r="AR605" s="7"/>
      <c r="AS605" s="7"/>
      <c r="AT605" s="7"/>
      <c r="AU605" s="7"/>
      <c r="AW605" s="7"/>
      <c r="CE605" s="7"/>
      <c r="FZ605" s="2"/>
    </row>
    <row r="606" spans="1:182">
      <c r="A606" s="7"/>
      <c r="D606" s="7"/>
      <c r="E606" s="7"/>
      <c r="F606" s="7"/>
      <c r="G606" s="7"/>
      <c r="H606" s="7"/>
      <c r="I606" s="7"/>
      <c r="J606" s="7"/>
      <c r="K606" s="7"/>
      <c r="L606" s="7"/>
      <c r="M606" s="7"/>
      <c r="N606" s="7"/>
      <c r="O606" s="7"/>
      <c r="P606" s="7"/>
      <c r="Q606" s="7"/>
      <c r="R606" s="7"/>
      <c r="S606" s="7"/>
      <c r="T606" s="7"/>
      <c r="U606" s="7"/>
      <c r="Y606" s="7"/>
      <c r="Z606" s="17"/>
      <c r="AC606" s="7"/>
      <c r="AD606" s="7"/>
      <c r="AE606" s="7"/>
      <c r="AF606" s="7"/>
      <c r="AG606" s="7"/>
      <c r="AH606" s="7"/>
      <c r="AJ606" s="7"/>
      <c r="AK606" s="7"/>
      <c r="AL606" s="7"/>
      <c r="AM606" s="7"/>
      <c r="AN606" s="7"/>
      <c r="AO606" s="7"/>
      <c r="AR606" s="7"/>
      <c r="AS606" s="7"/>
      <c r="AT606" s="7"/>
      <c r="AU606" s="7"/>
      <c r="AW606" s="7"/>
      <c r="CE606" s="7"/>
      <c r="FZ606" s="2"/>
    </row>
    <row r="607" spans="1:182">
      <c r="A607" s="7"/>
      <c r="D607" s="7"/>
      <c r="E607" s="7"/>
      <c r="F607" s="7"/>
      <c r="G607" s="7"/>
      <c r="H607" s="7"/>
      <c r="I607" s="7"/>
      <c r="J607" s="7"/>
      <c r="K607" s="7"/>
      <c r="L607" s="7"/>
      <c r="M607" s="7"/>
      <c r="N607" s="7"/>
      <c r="O607" s="7"/>
      <c r="P607" s="7"/>
      <c r="Q607" s="7"/>
      <c r="R607" s="7"/>
      <c r="S607" s="7"/>
      <c r="T607" s="7"/>
      <c r="U607" s="7"/>
      <c r="Y607" s="7"/>
      <c r="Z607" s="17"/>
      <c r="AC607" s="7"/>
      <c r="AD607" s="7"/>
      <c r="AE607" s="7"/>
      <c r="AF607" s="7"/>
      <c r="AG607" s="7"/>
      <c r="AH607" s="7"/>
      <c r="AJ607" s="7"/>
      <c r="AK607" s="7"/>
      <c r="AL607" s="7"/>
      <c r="AM607" s="7"/>
      <c r="AN607" s="7"/>
      <c r="AO607" s="7"/>
      <c r="AR607" s="7"/>
      <c r="AS607" s="7"/>
      <c r="AT607" s="7"/>
      <c r="AU607" s="7"/>
      <c r="AW607" s="7"/>
      <c r="CE607" s="7"/>
      <c r="FZ607" s="2"/>
    </row>
    <row r="608" spans="1:182">
      <c r="A608" s="7"/>
      <c r="D608" s="7"/>
      <c r="E608" s="7"/>
      <c r="F608" s="7"/>
      <c r="G608" s="7"/>
      <c r="H608" s="7"/>
      <c r="I608" s="7"/>
      <c r="J608" s="7"/>
      <c r="K608" s="7"/>
      <c r="L608" s="7"/>
      <c r="M608" s="7"/>
      <c r="N608" s="7"/>
      <c r="O608" s="7"/>
      <c r="P608" s="7"/>
      <c r="Q608" s="7"/>
      <c r="R608" s="7"/>
      <c r="S608" s="7"/>
      <c r="T608" s="7"/>
      <c r="U608" s="7"/>
      <c r="Y608" s="7"/>
      <c r="Z608" s="17"/>
      <c r="AC608" s="7"/>
      <c r="AD608" s="7"/>
      <c r="AE608" s="7"/>
      <c r="AF608" s="7"/>
      <c r="AG608" s="7"/>
      <c r="AH608" s="7"/>
      <c r="AJ608" s="7"/>
      <c r="AK608" s="7"/>
      <c r="AL608" s="7"/>
      <c r="AM608" s="7"/>
      <c r="AN608" s="7"/>
      <c r="AO608" s="7"/>
      <c r="AR608" s="7"/>
      <c r="AS608" s="7"/>
      <c r="AT608" s="7"/>
      <c r="AU608" s="7"/>
      <c r="AW608" s="7"/>
      <c r="CE608" s="7"/>
      <c r="FZ608" s="2"/>
    </row>
    <row r="609" spans="1:182">
      <c r="A609" s="7"/>
      <c r="D609" s="7"/>
      <c r="E609" s="7"/>
      <c r="F609" s="7"/>
      <c r="G609" s="7"/>
      <c r="H609" s="7"/>
      <c r="I609" s="7"/>
      <c r="J609" s="7"/>
      <c r="K609" s="7"/>
      <c r="L609" s="7"/>
      <c r="M609" s="7"/>
      <c r="N609" s="7"/>
      <c r="O609" s="7"/>
      <c r="P609" s="7"/>
      <c r="Q609" s="7"/>
      <c r="R609" s="7"/>
      <c r="S609" s="7"/>
      <c r="T609" s="7"/>
      <c r="U609" s="7"/>
      <c r="Y609" s="7"/>
      <c r="Z609" s="17"/>
      <c r="AC609" s="7"/>
      <c r="AD609" s="7"/>
      <c r="AE609" s="7"/>
      <c r="AF609" s="7"/>
      <c r="AG609" s="7"/>
      <c r="AH609" s="7"/>
      <c r="AJ609" s="7"/>
      <c r="AK609" s="7"/>
      <c r="AL609" s="7"/>
      <c r="AM609" s="7"/>
      <c r="AN609" s="7"/>
      <c r="AO609" s="7"/>
      <c r="AR609" s="7"/>
      <c r="AS609" s="7"/>
      <c r="AT609" s="7"/>
      <c r="AU609" s="7"/>
      <c r="AW609" s="7"/>
      <c r="CE609" s="7"/>
      <c r="FZ609" s="2"/>
    </row>
    <row r="610" spans="1:182">
      <c r="A610" s="7"/>
      <c r="D610" s="7"/>
      <c r="E610" s="7"/>
      <c r="F610" s="7"/>
      <c r="G610" s="7"/>
      <c r="H610" s="7"/>
      <c r="I610" s="7"/>
      <c r="J610" s="7"/>
      <c r="K610" s="7"/>
      <c r="L610" s="7"/>
      <c r="M610" s="7"/>
      <c r="N610" s="7"/>
      <c r="O610" s="7"/>
      <c r="P610" s="7"/>
      <c r="Q610" s="7"/>
      <c r="R610" s="7"/>
      <c r="S610" s="7"/>
      <c r="T610" s="7"/>
      <c r="U610" s="7"/>
      <c r="Y610" s="7"/>
      <c r="Z610" s="17"/>
      <c r="AC610" s="7"/>
      <c r="AD610" s="7"/>
      <c r="AE610" s="7"/>
      <c r="AF610" s="7"/>
      <c r="AG610" s="7"/>
      <c r="AH610" s="7"/>
      <c r="AJ610" s="7"/>
      <c r="AK610" s="7"/>
      <c r="AL610" s="7"/>
      <c r="AM610" s="7"/>
      <c r="AN610" s="7"/>
      <c r="AO610" s="7"/>
      <c r="AR610" s="7"/>
      <c r="AS610" s="7"/>
      <c r="AT610" s="7"/>
      <c r="AU610" s="7"/>
      <c r="AW610" s="7"/>
      <c r="CE610" s="7"/>
      <c r="FZ610" s="2"/>
    </row>
    <row r="611" spans="1:182">
      <c r="A611" s="7"/>
      <c r="D611" s="7"/>
      <c r="E611" s="7"/>
      <c r="F611" s="7"/>
      <c r="G611" s="7"/>
      <c r="H611" s="7"/>
      <c r="I611" s="7"/>
      <c r="J611" s="7"/>
      <c r="K611" s="7"/>
      <c r="L611" s="7"/>
      <c r="M611" s="7"/>
      <c r="N611" s="7"/>
      <c r="O611" s="7"/>
      <c r="P611" s="7"/>
      <c r="Q611" s="7"/>
      <c r="R611" s="7"/>
      <c r="S611" s="7"/>
      <c r="T611" s="7"/>
      <c r="U611" s="7"/>
      <c r="Y611" s="7"/>
      <c r="Z611" s="17"/>
      <c r="AC611" s="7"/>
      <c r="AD611" s="7"/>
      <c r="AE611" s="7"/>
      <c r="AF611" s="7"/>
      <c r="AG611" s="7"/>
      <c r="AH611" s="7"/>
      <c r="AJ611" s="7"/>
      <c r="AK611" s="7"/>
      <c r="AL611" s="7"/>
      <c r="AM611" s="7"/>
      <c r="AN611" s="7"/>
      <c r="AO611" s="7"/>
      <c r="AR611" s="7"/>
      <c r="AS611" s="7"/>
      <c r="AT611" s="7"/>
      <c r="AU611" s="7"/>
      <c r="AW611" s="7"/>
      <c r="CE611" s="7"/>
      <c r="FZ611" s="2"/>
    </row>
    <row r="612" spans="1:182">
      <c r="A612" s="7"/>
      <c r="D612" s="7"/>
      <c r="E612" s="7"/>
      <c r="F612" s="7"/>
      <c r="G612" s="7"/>
      <c r="H612" s="7"/>
      <c r="I612" s="7"/>
      <c r="J612" s="7"/>
      <c r="K612" s="7"/>
      <c r="L612" s="7"/>
      <c r="M612" s="7"/>
      <c r="N612" s="7"/>
      <c r="O612" s="7"/>
      <c r="P612" s="7"/>
      <c r="Q612" s="7"/>
      <c r="R612" s="7"/>
      <c r="S612" s="7"/>
      <c r="T612" s="7"/>
      <c r="U612" s="7"/>
      <c r="Y612" s="7"/>
      <c r="Z612" s="17"/>
      <c r="AC612" s="7"/>
      <c r="AD612" s="7"/>
      <c r="AE612" s="7"/>
      <c r="AF612" s="7"/>
      <c r="AG612" s="7"/>
      <c r="AH612" s="7"/>
      <c r="AJ612" s="7"/>
      <c r="AK612" s="7"/>
      <c r="AL612" s="7"/>
      <c r="AM612" s="7"/>
      <c r="AN612" s="7"/>
      <c r="AO612" s="7"/>
      <c r="AR612" s="7"/>
      <c r="AS612" s="7"/>
      <c r="AT612" s="7"/>
      <c r="AU612" s="7"/>
      <c r="AW612" s="7"/>
      <c r="CE612" s="7"/>
      <c r="FZ612" s="2"/>
    </row>
    <row r="613" spans="1:182">
      <c r="A613" s="7"/>
      <c r="D613" s="7"/>
      <c r="E613" s="7"/>
      <c r="F613" s="7"/>
      <c r="G613" s="7"/>
      <c r="H613" s="7"/>
      <c r="I613" s="7"/>
      <c r="J613" s="7"/>
      <c r="K613" s="7"/>
      <c r="L613" s="7"/>
      <c r="M613" s="7"/>
      <c r="N613" s="7"/>
      <c r="O613" s="7"/>
      <c r="P613" s="7"/>
      <c r="Q613" s="7"/>
      <c r="R613" s="7"/>
      <c r="S613" s="7"/>
      <c r="T613" s="7"/>
      <c r="U613" s="7"/>
      <c r="Y613" s="7"/>
      <c r="Z613" s="17"/>
      <c r="AC613" s="7"/>
      <c r="AD613" s="7"/>
      <c r="AE613" s="7"/>
      <c r="AF613" s="7"/>
      <c r="AG613" s="7"/>
      <c r="AH613" s="7"/>
      <c r="AJ613" s="7"/>
      <c r="AK613" s="7"/>
      <c r="AL613" s="7"/>
      <c r="AM613" s="7"/>
      <c r="AN613" s="7"/>
      <c r="AO613" s="7"/>
      <c r="AR613" s="7"/>
      <c r="AS613" s="7"/>
      <c r="AT613" s="7"/>
      <c r="AU613" s="7"/>
      <c r="AW613" s="7"/>
      <c r="CE613" s="7"/>
      <c r="FZ613" s="2"/>
    </row>
    <row r="614" spans="1:182">
      <c r="A614" s="7"/>
      <c r="D614" s="7"/>
      <c r="E614" s="7"/>
      <c r="F614" s="7"/>
      <c r="G614" s="7"/>
      <c r="H614" s="7"/>
      <c r="I614" s="7"/>
      <c r="J614" s="7"/>
      <c r="K614" s="7"/>
      <c r="L614" s="7"/>
      <c r="M614" s="7"/>
      <c r="N614" s="7"/>
      <c r="O614" s="7"/>
      <c r="P614" s="7"/>
      <c r="Q614" s="7"/>
      <c r="R614" s="7"/>
      <c r="S614" s="7"/>
      <c r="T614" s="7"/>
      <c r="U614" s="7"/>
      <c r="Y614" s="7"/>
      <c r="Z614" s="17"/>
      <c r="AC614" s="7"/>
      <c r="AD614" s="7"/>
      <c r="AE614" s="7"/>
      <c r="AF614" s="7"/>
      <c r="AG614" s="7"/>
      <c r="AH614" s="7"/>
      <c r="AJ614" s="7"/>
      <c r="AK614" s="7"/>
      <c r="AL614" s="7"/>
      <c r="AM614" s="7"/>
      <c r="AN614" s="7"/>
      <c r="AO614" s="7"/>
      <c r="AR614" s="7"/>
      <c r="AS614" s="7"/>
      <c r="AT614" s="7"/>
      <c r="AU614" s="7"/>
      <c r="AW614" s="7"/>
      <c r="CE614" s="7"/>
      <c r="FZ614" s="2"/>
    </row>
    <row r="615" spans="1:182">
      <c r="A615" s="7"/>
      <c r="D615" s="7"/>
      <c r="E615" s="7"/>
      <c r="F615" s="7"/>
      <c r="G615" s="7"/>
      <c r="H615" s="7"/>
      <c r="I615" s="7"/>
      <c r="J615" s="7"/>
      <c r="K615" s="7"/>
      <c r="L615" s="7"/>
      <c r="M615" s="7"/>
      <c r="N615" s="7"/>
      <c r="O615" s="7"/>
      <c r="P615" s="7"/>
      <c r="Q615" s="7"/>
      <c r="R615" s="7"/>
      <c r="S615" s="7"/>
      <c r="T615" s="7"/>
      <c r="U615" s="7"/>
      <c r="Y615" s="7"/>
      <c r="Z615" s="17"/>
      <c r="AC615" s="7"/>
      <c r="AD615" s="7"/>
      <c r="AE615" s="7"/>
      <c r="AF615" s="7"/>
      <c r="AG615" s="7"/>
      <c r="AH615" s="7"/>
      <c r="AJ615" s="7"/>
      <c r="AK615" s="7"/>
      <c r="AL615" s="7"/>
      <c r="AM615" s="7"/>
      <c r="AN615" s="7"/>
      <c r="AO615" s="7"/>
      <c r="AR615" s="7"/>
      <c r="AS615" s="7"/>
      <c r="AT615" s="7"/>
      <c r="AU615" s="7"/>
      <c r="AW615" s="7"/>
      <c r="CE615" s="7"/>
      <c r="FZ615" s="2"/>
    </row>
    <row r="616" spans="1:182">
      <c r="A616" s="7"/>
      <c r="D616" s="7"/>
      <c r="E616" s="7"/>
      <c r="F616" s="7"/>
      <c r="G616" s="7"/>
      <c r="H616" s="7"/>
      <c r="I616" s="7"/>
      <c r="J616" s="7"/>
      <c r="K616" s="7"/>
      <c r="L616" s="7"/>
      <c r="M616" s="7"/>
      <c r="N616" s="7"/>
      <c r="O616" s="7"/>
      <c r="P616" s="7"/>
      <c r="Q616" s="7"/>
      <c r="R616" s="7"/>
      <c r="S616" s="7"/>
      <c r="T616" s="7"/>
      <c r="U616" s="7"/>
      <c r="Y616" s="7"/>
      <c r="Z616" s="17"/>
      <c r="AC616" s="7"/>
      <c r="AD616" s="7"/>
      <c r="AE616" s="7"/>
      <c r="AF616" s="7"/>
      <c r="AG616" s="7"/>
      <c r="AH616" s="7"/>
      <c r="AJ616" s="7"/>
      <c r="AK616" s="7"/>
      <c r="AL616" s="7"/>
      <c r="AM616" s="7"/>
      <c r="AN616" s="7"/>
      <c r="AO616" s="7"/>
      <c r="AR616" s="7"/>
      <c r="AS616" s="7"/>
      <c r="AT616" s="7"/>
      <c r="AU616" s="7"/>
      <c r="AW616" s="7"/>
      <c r="CE616" s="7"/>
      <c r="FZ616" s="2"/>
    </row>
    <row r="617" spans="1:182">
      <c r="A617" s="7"/>
      <c r="D617" s="7"/>
      <c r="E617" s="7"/>
      <c r="F617" s="7"/>
      <c r="G617" s="7"/>
      <c r="H617" s="7"/>
      <c r="I617" s="7"/>
      <c r="J617" s="7"/>
      <c r="K617" s="7"/>
      <c r="L617" s="7"/>
      <c r="M617" s="7"/>
      <c r="N617" s="7"/>
      <c r="O617" s="7"/>
      <c r="P617" s="7"/>
      <c r="Q617" s="7"/>
      <c r="R617" s="7"/>
      <c r="S617" s="7"/>
      <c r="T617" s="7"/>
      <c r="U617" s="7"/>
      <c r="Y617" s="7"/>
      <c r="Z617" s="17"/>
      <c r="AC617" s="7"/>
      <c r="AD617" s="7"/>
      <c r="AE617" s="7"/>
      <c r="AF617" s="7"/>
      <c r="AG617" s="7"/>
      <c r="AH617" s="7"/>
      <c r="AJ617" s="7"/>
      <c r="AK617" s="7"/>
      <c r="AL617" s="7"/>
      <c r="AM617" s="7"/>
      <c r="AN617" s="7"/>
      <c r="AO617" s="7"/>
      <c r="AR617" s="7"/>
      <c r="AS617" s="7"/>
      <c r="AT617" s="7"/>
      <c r="AU617" s="7"/>
      <c r="AW617" s="7"/>
      <c r="CE617" s="7"/>
      <c r="FZ617" s="2"/>
    </row>
    <row r="618" spans="1:182">
      <c r="A618" s="7"/>
      <c r="D618" s="7"/>
      <c r="E618" s="7"/>
      <c r="F618" s="7"/>
      <c r="G618" s="7"/>
      <c r="H618" s="7"/>
      <c r="I618" s="7"/>
      <c r="J618" s="7"/>
      <c r="K618" s="7"/>
      <c r="L618" s="7"/>
      <c r="M618" s="7"/>
      <c r="N618" s="7"/>
      <c r="O618" s="7"/>
      <c r="P618" s="7"/>
      <c r="Q618" s="7"/>
      <c r="R618" s="7"/>
      <c r="S618" s="7"/>
      <c r="T618" s="7"/>
      <c r="U618" s="7"/>
      <c r="Y618" s="7"/>
      <c r="Z618" s="17"/>
      <c r="AC618" s="7"/>
      <c r="AD618" s="7"/>
      <c r="AE618" s="7"/>
      <c r="AF618" s="7"/>
      <c r="AG618" s="7"/>
      <c r="AH618" s="7"/>
      <c r="AJ618" s="7"/>
      <c r="AK618" s="7"/>
      <c r="AL618" s="7"/>
      <c r="AM618" s="7"/>
      <c r="AN618" s="7"/>
      <c r="AO618" s="7"/>
      <c r="AR618" s="7"/>
      <c r="AS618" s="7"/>
      <c r="AT618" s="7"/>
      <c r="AU618" s="7"/>
      <c r="AW618" s="7"/>
      <c r="CE618" s="7"/>
      <c r="FZ618" s="2"/>
    </row>
    <row r="619" spans="1:182">
      <c r="A619" s="7"/>
      <c r="D619" s="7"/>
      <c r="E619" s="7"/>
      <c r="F619" s="7"/>
      <c r="G619" s="7"/>
      <c r="H619" s="7"/>
      <c r="I619" s="7"/>
      <c r="J619" s="7"/>
      <c r="K619" s="7"/>
      <c r="L619" s="7"/>
      <c r="M619" s="7"/>
      <c r="N619" s="7"/>
      <c r="O619" s="7"/>
      <c r="P619" s="7"/>
      <c r="Q619" s="7"/>
      <c r="R619" s="7"/>
      <c r="S619" s="7"/>
      <c r="T619" s="7"/>
      <c r="U619" s="7"/>
      <c r="Y619" s="7"/>
      <c r="Z619" s="17"/>
      <c r="AC619" s="7"/>
      <c r="AD619" s="7"/>
      <c r="AE619" s="7"/>
      <c r="AF619" s="7"/>
      <c r="AG619" s="7"/>
      <c r="AH619" s="7"/>
      <c r="AJ619" s="7"/>
      <c r="AK619" s="7"/>
      <c r="AL619" s="7"/>
      <c r="AM619" s="7"/>
      <c r="AN619" s="7"/>
      <c r="AO619" s="7"/>
      <c r="AR619" s="7"/>
      <c r="AS619" s="7"/>
      <c r="AT619" s="7"/>
      <c r="AU619" s="7"/>
      <c r="AW619" s="7"/>
      <c r="CE619" s="7"/>
      <c r="FZ619" s="2"/>
    </row>
    <row r="620" spans="1:182">
      <c r="A620" s="7"/>
      <c r="D620" s="7"/>
      <c r="E620" s="7"/>
      <c r="F620" s="7"/>
      <c r="G620" s="7"/>
      <c r="H620" s="7"/>
      <c r="I620" s="7"/>
      <c r="J620" s="7"/>
      <c r="K620" s="7"/>
      <c r="L620" s="7"/>
      <c r="M620" s="7"/>
      <c r="N620" s="7"/>
      <c r="O620" s="7"/>
      <c r="P620" s="7"/>
      <c r="Q620" s="7"/>
      <c r="R620" s="7"/>
      <c r="S620" s="7"/>
      <c r="T620" s="7"/>
      <c r="U620" s="7"/>
      <c r="Y620" s="7"/>
      <c r="Z620" s="17"/>
      <c r="AC620" s="7"/>
      <c r="AD620" s="7"/>
      <c r="AE620" s="7"/>
      <c r="AF620" s="7"/>
      <c r="AG620" s="7"/>
      <c r="AH620" s="7"/>
      <c r="AJ620" s="7"/>
      <c r="AK620" s="7"/>
      <c r="AL620" s="7"/>
      <c r="AM620" s="7"/>
      <c r="AN620" s="7"/>
      <c r="AO620" s="7"/>
      <c r="AR620" s="7"/>
      <c r="AS620" s="7"/>
      <c r="AT620" s="7"/>
      <c r="AU620" s="7"/>
      <c r="AW620" s="7"/>
      <c r="CE620" s="7"/>
      <c r="FZ620" s="2"/>
    </row>
    <row r="621" spans="1:182">
      <c r="A621" s="7"/>
      <c r="D621" s="7"/>
      <c r="E621" s="7"/>
      <c r="F621" s="7"/>
      <c r="G621" s="7"/>
      <c r="H621" s="7"/>
      <c r="I621" s="7"/>
      <c r="J621" s="7"/>
      <c r="K621" s="7"/>
      <c r="L621" s="7"/>
      <c r="M621" s="7"/>
      <c r="N621" s="7"/>
      <c r="O621" s="7"/>
      <c r="P621" s="7"/>
      <c r="Q621" s="7"/>
      <c r="R621" s="7"/>
      <c r="S621" s="7"/>
      <c r="T621" s="7"/>
      <c r="U621" s="7"/>
      <c r="Y621" s="7"/>
      <c r="Z621" s="17"/>
      <c r="AC621" s="7"/>
      <c r="AD621" s="7"/>
      <c r="AE621" s="7"/>
      <c r="AF621" s="7"/>
      <c r="AG621" s="7"/>
      <c r="AH621" s="7"/>
      <c r="AJ621" s="7"/>
      <c r="AK621" s="7"/>
      <c r="AL621" s="7"/>
      <c r="AM621" s="7"/>
      <c r="AN621" s="7"/>
      <c r="AO621" s="7"/>
      <c r="AR621" s="7"/>
      <c r="AS621" s="7"/>
      <c r="AT621" s="7"/>
      <c r="AU621" s="7"/>
      <c r="AW621" s="7"/>
      <c r="CE621" s="7"/>
      <c r="FZ621" s="2"/>
    </row>
    <row r="622" spans="1:182">
      <c r="A622" s="7"/>
      <c r="D622" s="7"/>
      <c r="E622" s="7"/>
      <c r="F622" s="7"/>
      <c r="G622" s="7"/>
      <c r="H622" s="7"/>
      <c r="I622" s="7"/>
      <c r="J622" s="7"/>
      <c r="K622" s="7"/>
      <c r="L622" s="7"/>
      <c r="M622" s="7"/>
      <c r="N622" s="7"/>
      <c r="O622" s="7"/>
      <c r="P622" s="7"/>
      <c r="Q622" s="7"/>
      <c r="R622" s="7"/>
      <c r="S622" s="7"/>
      <c r="T622" s="7"/>
      <c r="U622" s="7"/>
      <c r="Y622" s="7"/>
      <c r="Z622" s="17"/>
      <c r="AC622" s="7"/>
      <c r="AD622" s="7"/>
      <c r="AE622" s="7"/>
      <c r="AF622" s="7"/>
      <c r="AG622" s="7"/>
      <c r="AH622" s="7"/>
      <c r="AJ622" s="7"/>
      <c r="AK622" s="7"/>
      <c r="AL622" s="7"/>
      <c r="AM622" s="7"/>
      <c r="AN622" s="7"/>
      <c r="AO622" s="7"/>
      <c r="AR622" s="7"/>
      <c r="AS622" s="7"/>
      <c r="AT622" s="7"/>
      <c r="AU622" s="7"/>
      <c r="AW622" s="7"/>
      <c r="CE622" s="7"/>
      <c r="FZ622" s="2"/>
    </row>
    <row r="623" spans="1:182">
      <c r="A623" s="7"/>
      <c r="D623" s="7"/>
      <c r="E623" s="7"/>
      <c r="F623" s="7"/>
      <c r="G623" s="7"/>
      <c r="H623" s="7"/>
      <c r="I623" s="7"/>
      <c r="J623" s="7"/>
      <c r="K623" s="7"/>
      <c r="L623" s="7"/>
      <c r="M623" s="7"/>
      <c r="N623" s="7"/>
      <c r="O623" s="7"/>
      <c r="P623" s="7"/>
      <c r="Q623" s="7"/>
      <c r="R623" s="7"/>
      <c r="S623" s="7"/>
      <c r="T623" s="7"/>
      <c r="U623" s="7"/>
      <c r="Y623" s="7"/>
      <c r="Z623" s="17"/>
      <c r="AC623" s="7"/>
      <c r="AD623" s="7"/>
      <c r="AE623" s="7"/>
      <c r="AF623" s="7"/>
      <c r="AG623" s="7"/>
      <c r="AH623" s="7"/>
      <c r="AJ623" s="7"/>
      <c r="AK623" s="7"/>
      <c r="AL623" s="7"/>
      <c r="AM623" s="7"/>
      <c r="AN623" s="7"/>
      <c r="AO623" s="7"/>
      <c r="AR623" s="7"/>
      <c r="AS623" s="7"/>
      <c r="AT623" s="7"/>
      <c r="AU623" s="7"/>
      <c r="AW623" s="7"/>
      <c r="CE623" s="7"/>
      <c r="FZ623" s="2"/>
    </row>
    <row r="624" spans="1:182">
      <c r="A624" s="7"/>
      <c r="D624" s="7"/>
      <c r="E624" s="7"/>
      <c r="F624" s="7"/>
      <c r="G624" s="7"/>
      <c r="H624" s="7"/>
      <c r="I624" s="7"/>
      <c r="J624" s="7"/>
      <c r="K624" s="7"/>
      <c r="L624" s="7"/>
      <c r="M624" s="7"/>
      <c r="N624" s="7"/>
      <c r="O624" s="7"/>
      <c r="P624" s="7"/>
      <c r="Q624" s="7"/>
      <c r="R624" s="7"/>
      <c r="S624" s="7"/>
      <c r="T624" s="7"/>
      <c r="U624" s="7"/>
      <c r="Y624" s="7"/>
      <c r="Z624" s="17"/>
      <c r="AC624" s="7"/>
      <c r="AD624" s="7"/>
      <c r="AE624" s="7"/>
      <c r="AF624" s="7"/>
      <c r="AG624" s="7"/>
      <c r="AH624" s="7"/>
      <c r="AJ624" s="7"/>
      <c r="AK624" s="7"/>
      <c r="AL624" s="7"/>
      <c r="AM624" s="7"/>
      <c r="AN624" s="7"/>
      <c r="AO624" s="7"/>
      <c r="AR624" s="7"/>
      <c r="AS624" s="7"/>
      <c r="AT624" s="7"/>
      <c r="AU624" s="7"/>
      <c r="AW624" s="7"/>
      <c r="CE624" s="7"/>
      <c r="FZ624" s="2"/>
    </row>
    <row r="625" spans="1:182">
      <c r="A625" s="7"/>
      <c r="D625" s="7"/>
      <c r="E625" s="7"/>
      <c r="F625" s="7"/>
      <c r="G625" s="7"/>
      <c r="H625" s="7"/>
      <c r="I625" s="7"/>
      <c r="J625" s="7"/>
      <c r="K625" s="7"/>
      <c r="L625" s="7"/>
      <c r="M625" s="7"/>
      <c r="N625" s="7"/>
      <c r="O625" s="7"/>
      <c r="P625" s="7"/>
      <c r="Q625" s="7"/>
      <c r="R625" s="7"/>
      <c r="S625" s="7"/>
      <c r="T625" s="7"/>
      <c r="U625" s="7"/>
      <c r="Y625" s="7"/>
      <c r="Z625" s="17"/>
      <c r="AC625" s="7"/>
      <c r="AD625" s="7"/>
      <c r="AE625" s="7"/>
      <c r="AF625" s="7"/>
      <c r="AG625" s="7"/>
      <c r="AH625" s="7"/>
      <c r="AJ625" s="7"/>
      <c r="AK625" s="7"/>
      <c r="AL625" s="7"/>
      <c r="AM625" s="7"/>
      <c r="AN625" s="7"/>
      <c r="AO625" s="7"/>
      <c r="AR625" s="7"/>
      <c r="AS625" s="7"/>
      <c r="AT625" s="7"/>
      <c r="AU625" s="7"/>
      <c r="AW625" s="7"/>
      <c r="CE625" s="7"/>
      <c r="FZ625" s="2"/>
    </row>
    <row r="626" spans="1:182">
      <c r="A626" s="7"/>
      <c r="D626" s="7"/>
      <c r="E626" s="7"/>
      <c r="F626" s="7"/>
      <c r="G626" s="7"/>
      <c r="H626" s="7"/>
      <c r="I626" s="7"/>
      <c r="J626" s="7"/>
      <c r="K626" s="7"/>
      <c r="L626" s="7"/>
      <c r="M626" s="7"/>
      <c r="N626" s="7"/>
      <c r="O626" s="7"/>
      <c r="P626" s="7"/>
      <c r="Q626" s="7"/>
      <c r="R626" s="7"/>
      <c r="S626" s="7"/>
      <c r="T626" s="7"/>
      <c r="U626" s="7"/>
      <c r="Y626" s="7"/>
      <c r="Z626" s="17"/>
      <c r="AC626" s="7"/>
      <c r="AD626" s="7"/>
      <c r="AE626" s="7"/>
      <c r="AF626" s="7"/>
      <c r="AG626" s="7"/>
      <c r="AH626" s="7"/>
      <c r="AJ626" s="7"/>
      <c r="AK626" s="7"/>
      <c r="AL626" s="7"/>
      <c r="AM626" s="7"/>
      <c r="AN626" s="7"/>
      <c r="AO626" s="7"/>
      <c r="AR626" s="7"/>
      <c r="AS626" s="7"/>
      <c r="AT626" s="7"/>
      <c r="AU626" s="7"/>
      <c r="AW626" s="7"/>
      <c r="CE626" s="7"/>
      <c r="FZ626" s="2"/>
    </row>
    <row r="627" spans="1:182">
      <c r="A627" s="7"/>
      <c r="D627" s="7"/>
      <c r="E627" s="7"/>
      <c r="F627" s="7"/>
      <c r="G627" s="7"/>
      <c r="H627" s="7"/>
      <c r="I627" s="7"/>
      <c r="J627" s="7"/>
      <c r="K627" s="7"/>
      <c r="L627" s="7"/>
      <c r="M627" s="7"/>
      <c r="N627" s="7"/>
      <c r="O627" s="7"/>
      <c r="P627" s="7"/>
      <c r="Q627" s="7"/>
      <c r="R627" s="7"/>
      <c r="S627" s="7"/>
      <c r="T627" s="7"/>
      <c r="U627" s="7"/>
      <c r="Y627" s="7"/>
      <c r="Z627" s="17"/>
      <c r="AC627" s="7"/>
      <c r="AD627" s="7"/>
      <c r="AE627" s="7"/>
      <c r="AF627" s="7"/>
      <c r="AG627" s="7"/>
      <c r="AH627" s="7"/>
      <c r="AJ627" s="7"/>
      <c r="AK627" s="7"/>
      <c r="AL627" s="7"/>
      <c r="AM627" s="7"/>
      <c r="AN627" s="7"/>
      <c r="AO627" s="7"/>
      <c r="AR627" s="7"/>
      <c r="AS627" s="7"/>
      <c r="AT627" s="7"/>
      <c r="AU627" s="7"/>
      <c r="AW627" s="7"/>
      <c r="CE627" s="7"/>
      <c r="FZ627" s="2"/>
    </row>
    <row r="628" spans="1:182">
      <c r="A628" s="7"/>
      <c r="D628" s="7"/>
      <c r="E628" s="7"/>
      <c r="F628" s="7"/>
      <c r="G628" s="7"/>
      <c r="H628" s="7"/>
      <c r="I628" s="7"/>
      <c r="J628" s="7"/>
      <c r="K628" s="7"/>
      <c r="L628" s="7"/>
      <c r="M628" s="7"/>
      <c r="N628" s="7"/>
      <c r="O628" s="7"/>
      <c r="P628" s="7"/>
      <c r="Q628" s="7"/>
      <c r="R628" s="7"/>
      <c r="S628" s="7"/>
      <c r="T628" s="7"/>
      <c r="U628" s="7"/>
      <c r="Y628" s="7"/>
      <c r="Z628" s="17"/>
      <c r="AC628" s="7"/>
      <c r="AD628" s="7"/>
      <c r="AE628" s="7"/>
      <c r="AF628" s="7"/>
      <c r="AG628" s="7"/>
      <c r="AH628" s="7"/>
      <c r="AJ628" s="7"/>
      <c r="AK628" s="7"/>
      <c r="AL628" s="7"/>
      <c r="AM628" s="7"/>
      <c r="AN628" s="7"/>
      <c r="AO628" s="7"/>
      <c r="AR628" s="7"/>
      <c r="AS628" s="7"/>
      <c r="AT628" s="7"/>
      <c r="AU628" s="7"/>
      <c r="AW628" s="7"/>
      <c r="CE628" s="7"/>
      <c r="FZ628" s="2"/>
    </row>
    <row r="629" spans="1:182">
      <c r="A629" s="7"/>
      <c r="D629" s="7"/>
      <c r="E629" s="7"/>
      <c r="F629" s="7"/>
      <c r="G629" s="7"/>
      <c r="H629" s="7"/>
      <c r="I629" s="7"/>
      <c r="J629" s="7"/>
      <c r="K629" s="7"/>
      <c r="L629" s="7"/>
      <c r="M629" s="7"/>
      <c r="N629" s="7"/>
      <c r="O629" s="7"/>
      <c r="P629" s="7"/>
      <c r="Q629" s="7"/>
      <c r="R629" s="7"/>
      <c r="S629" s="7"/>
      <c r="T629" s="7"/>
      <c r="U629" s="7"/>
      <c r="Y629" s="7"/>
      <c r="Z629" s="17"/>
      <c r="AC629" s="7"/>
      <c r="AD629" s="7"/>
      <c r="AE629" s="7"/>
      <c r="AF629" s="7"/>
      <c r="AG629" s="7"/>
      <c r="AH629" s="7"/>
      <c r="AJ629" s="7"/>
      <c r="AK629" s="7"/>
      <c r="AL629" s="7"/>
      <c r="AM629" s="7"/>
      <c r="AN629" s="7"/>
      <c r="AO629" s="7"/>
      <c r="AR629" s="7"/>
      <c r="AS629" s="7"/>
      <c r="AT629" s="7"/>
      <c r="AU629" s="7"/>
      <c r="AW629" s="7"/>
      <c r="CE629" s="7"/>
      <c r="FZ629" s="2"/>
    </row>
    <row r="630" spans="1:182">
      <c r="A630" s="7"/>
      <c r="D630" s="7"/>
      <c r="E630" s="7"/>
      <c r="F630" s="7"/>
      <c r="G630" s="7"/>
      <c r="H630" s="7"/>
      <c r="I630" s="7"/>
      <c r="J630" s="7"/>
      <c r="K630" s="7"/>
      <c r="L630" s="7"/>
      <c r="M630" s="7"/>
      <c r="N630" s="7"/>
      <c r="O630" s="7"/>
      <c r="P630" s="7"/>
      <c r="Q630" s="7"/>
      <c r="R630" s="7"/>
      <c r="S630" s="7"/>
      <c r="T630" s="7"/>
      <c r="U630" s="7"/>
      <c r="Y630" s="7"/>
      <c r="Z630" s="17"/>
      <c r="AC630" s="7"/>
      <c r="AD630" s="7"/>
      <c r="AE630" s="7"/>
      <c r="AF630" s="7"/>
      <c r="AG630" s="7"/>
      <c r="AH630" s="7"/>
      <c r="AJ630" s="7"/>
      <c r="AK630" s="7"/>
      <c r="AL630" s="7"/>
      <c r="AM630" s="7"/>
      <c r="AN630" s="7"/>
      <c r="AO630" s="7"/>
      <c r="AR630" s="7"/>
      <c r="AS630" s="7"/>
      <c r="AT630" s="7"/>
      <c r="AU630" s="7"/>
      <c r="AW630" s="7"/>
      <c r="CE630" s="7"/>
      <c r="FZ630" s="2"/>
    </row>
    <row r="631" spans="1:182">
      <c r="A631" s="7"/>
      <c r="D631" s="7"/>
      <c r="E631" s="7"/>
      <c r="F631" s="7"/>
      <c r="G631" s="7"/>
      <c r="H631" s="7"/>
      <c r="I631" s="7"/>
      <c r="J631" s="7"/>
      <c r="K631" s="7"/>
      <c r="L631" s="7"/>
      <c r="M631" s="7"/>
      <c r="N631" s="7"/>
      <c r="O631" s="7"/>
      <c r="P631" s="7"/>
      <c r="Q631" s="7"/>
      <c r="R631" s="7"/>
      <c r="S631" s="7"/>
      <c r="T631" s="7"/>
      <c r="U631" s="7"/>
      <c r="Y631" s="7"/>
      <c r="Z631" s="17"/>
      <c r="AC631" s="7"/>
      <c r="AD631" s="7"/>
      <c r="AE631" s="7"/>
      <c r="AF631" s="7"/>
      <c r="AG631" s="7"/>
      <c r="AH631" s="7"/>
      <c r="AJ631" s="7"/>
      <c r="AK631" s="7"/>
      <c r="AL631" s="7"/>
      <c r="AM631" s="7"/>
      <c r="AN631" s="7"/>
      <c r="AO631" s="7"/>
      <c r="AR631" s="7"/>
      <c r="AS631" s="7"/>
      <c r="AT631" s="7"/>
      <c r="AU631" s="7"/>
      <c r="AW631" s="7"/>
      <c r="CE631" s="7"/>
      <c r="FZ631" s="2"/>
    </row>
    <row r="632" spans="1:182">
      <c r="A632" s="7"/>
      <c r="D632" s="7"/>
      <c r="E632" s="7"/>
      <c r="F632" s="7"/>
      <c r="G632" s="7"/>
      <c r="H632" s="7"/>
      <c r="I632" s="7"/>
      <c r="J632" s="7"/>
      <c r="K632" s="7"/>
      <c r="L632" s="7"/>
      <c r="M632" s="7"/>
      <c r="N632" s="7"/>
      <c r="O632" s="7"/>
      <c r="P632" s="7"/>
      <c r="Q632" s="7"/>
      <c r="R632" s="7"/>
      <c r="S632" s="7"/>
      <c r="T632" s="7"/>
      <c r="U632" s="7"/>
      <c r="Y632" s="7"/>
      <c r="Z632" s="17"/>
      <c r="AC632" s="7"/>
      <c r="AD632" s="7"/>
      <c r="AE632" s="7"/>
      <c r="AF632" s="7"/>
      <c r="AG632" s="7"/>
      <c r="AH632" s="7"/>
      <c r="AJ632" s="7"/>
      <c r="AK632" s="7"/>
      <c r="AL632" s="7"/>
      <c r="AM632" s="7"/>
      <c r="AN632" s="7"/>
      <c r="AO632" s="7"/>
      <c r="AR632" s="7"/>
      <c r="AS632" s="7"/>
      <c r="AT632" s="7"/>
      <c r="AU632" s="7"/>
      <c r="AW632" s="7"/>
      <c r="CE632" s="7"/>
      <c r="FZ632" s="2"/>
    </row>
    <row r="633" spans="1:182">
      <c r="A633" s="7"/>
      <c r="D633" s="7"/>
      <c r="E633" s="7"/>
      <c r="F633" s="7"/>
      <c r="G633" s="7"/>
      <c r="H633" s="7"/>
      <c r="I633" s="7"/>
      <c r="J633" s="7"/>
      <c r="K633" s="7"/>
      <c r="L633" s="7"/>
      <c r="M633" s="7"/>
      <c r="N633" s="7"/>
      <c r="O633" s="7"/>
      <c r="P633" s="7"/>
      <c r="Q633" s="7"/>
      <c r="R633" s="7"/>
      <c r="S633" s="7"/>
      <c r="T633" s="7"/>
      <c r="U633" s="7"/>
      <c r="Y633" s="7"/>
      <c r="Z633" s="17"/>
      <c r="AC633" s="7"/>
      <c r="AD633" s="7"/>
      <c r="AE633" s="7"/>
      <c r="AF633" s="7"/>
      <c r="AG633" s="7"/>
      <c r="AH633" s="7"/>
      <c r="AJ633" s="7"/>
      <c r="AK633" s="7"/>
      <c r="AL633" s="7"/>
      <c r="AM633" s="7"/>
      <c r="AN633" s="7"/>
      <c r="AO633" s="7"/>
      <c r="AR633" s="7"/>
      <c r="AS633" s="7"/>
      <c r="AT633" s="7"/>
      <c r="AU633" s="7"/>
      <c r="AW633" s="7"/>
      <c r="CE633" s="7"/>
      <c r="FZ633" s="2"/>
    </row>
    <row r="634" spans="1:182">
      <c r="A634" s="7"/>
      <c r="D634" s="7"/>
      <c r="E634" s="7"/>
      <c r="F634" s="7"/>
      <c r="G634" s="7"/>
      <c r="H634" s="7"/>
      <c r="I634" s="7"/>
      <c r="J634" s="7"/>
      <c r="K634" s="7"/>
      <c r="L634" s="7"/>
      <c r="M634" s="7"/>
      <c r="N634" s="7"/>
      <c r="O634" s="7"/>
      <c r="P634" s="7"/>
      <c r="Q634" s="7"/>
      <c r="R634" s="7"/>
      <c r="S634" s="7"/>
      <c r="T634" s="7"/>
      <c r="U634" s="7"/>
      <c r="Y634" s="7"/>
      <c r="Z634" s="17"/>
      <c r="AC634" s="7"/>
      <c r="AD634" s="7"/>
      <c r="AE634" s="7"/>
      <c r="AF634" s="7"/>
      <c r="AG634" s="7"/>
      <c r="AH634" s="7"/>
      <c r="AJ634" s="7"/>
      <c r="AK634" s="7"/>
      <c r="AL634" s="7"/>
      <c r="AM634" s="7"/>
      <c r="AN634" s="7"/>
      <c r="AO634" s="7"/>
      <c r="AR634" s="7"/>
      <c r="AS634" s="7"/>
      <c r="AT634" s="7"/>
      <c r="AU634" s="7"/>
      <c r="AW634" s="7"/>
      <c r="CE634" s="7"/>
      <c r="FZ634" s="2"/>
    </row>
    <row r="635" spans="1:182">
      <c r="A635" s="7"/>
      <c r="D635" s="7"/>
      <c r="E635" s="7"/>
      <c r="F635" s="7"/>
      <c r="G635" s="7"/>
      <c r="H635" s="7"/>
      <c r="I635" s="7"/>
      <c r="J635" s="7"/>
      <c r="K635" s="7"/>
      <c r="L635" s="7"/>
      <c r="M635" s="7"/>
      <c r="N635" s="7"/>
      <c r="O635" s="7"/>
      <c r="P635" s="7"/>
      <c r="Q635" s="7"/>
      <c r="R635" s="7"/>
      <c r="S635" s="7"/>
      <c r="T635" s="7"/>
      <c r="U635" s="7"/>
      <c r="Y635" s="7"/>
      <c r="Z635" s="17"/>
      <c r="AC635" s="7"/>
      <c r="AD635" s="7"/>
      <c r="AE635" s="7"/>
      <c r="AF635" s="7"/>
      <c r="AG635" s="7"/>
      <c r="AH635" s="7"/>
      <c r="AJ635" s="7"/>
      <c r="AK635" s="7"/>
      <c r="AL635" s="7"/>
      <c r="AM635" s="7"/>
      <c r="AN635" s="7"/>
      <c r="AO635" s="7"/>
      <c r="AR635" s="7"/>
      <c r="AS635" s="7"/>
      <c r="AT635" s="7"/>
      <c r="AU635" s="7"/>
      <c r="AW635" s="7"/>
      <c r="CE635" s="7"/>
      <c r="FZ635" s="2"/>
    </row>
    <row r="636" spans="1:182">
      <c r="A636" s="7"/>
      <c r="D636" s="7"/>
      <c r="E636" s="7"/>
      <c r="F636" s="7"/>
      <c r="G636" s="7"/>
      <c r="H636" s="7"/>
      <c r="I636" s="7"/>
      <c r="J636" s="7"/>
      <c r="K636" s="7"/>
      <c r="L636" s="7"/>
      <c r="M636" s="7"/>
      <c r="N636" s="7"/>
      <c r="O636" s="7"/>
      <c r="P636" s="7"/>
      <c r="Q636" s="7"/>
      <c r="R636" s="7"/>
      <c r="S636" s="7"/>
      <c r="T636" s="7"/>
      <c r="U636" s="7"/>
      <c r="Y636" s="7"/>
      <c r="Z636" s="17"/>
      <c r="AC636" s="7"/>
      <c r="AD636" s="7"/>
      <c r="AE636" s="7"/>
      <c r="AF636" s="7"/>
      <c r="AG636" s="7"/>
      <c r="AH636" s="7"/>
      <c r="AJ636" s="7"/>
      <c r="AK636" s="7"/>
      <c r="AL636" s="7"/>
      <c r="AM636" s="7"/>
      <c r="AN636" s="7"/>
      <c r="AO636" s="7"/>
      <c r="AR636" s="7"/>
      <c r="AS636" s="7"/>
      <c r="AT636" s="7"/>
      <c r="AU636" s="7"/>
      <c r="AW636" s="7"/>
      <c r="CE636" s="7"/>
      <c r="FZ636" s="2"/>
    </row>
    <row r="637" spans="1:182">
      <c r="A637" s="7"/>
      <c r="D637" s="7"/>
      <c r="E637" s="7"/>
      <c r="F637" s="7"/>
      <c r="G637" s="7"/>
      <c r="H637" s="7"/>
      <c r="I637" s="7"/>
      <c r="J637" s="7"/>
      <c r="K637" s="7"/>
      <c r="L637" s="7"/>
      <c r="M637" s="7"/>
      <c r="N637" s="7"/>
      <c r="O637" s="7"/>
      <c r="P637" s="7"/>
      <c r="Q637" s="7"/>
      <c r="R637" s="7"/>
      <c r="S637" s="7"/>
      <c r="T637" s="7"/>
      <c r="U637" s="7"/>
      <c r="Y637" s="7"/>
      <c r="Z637" s="17"/>
      <c r="AC637" s="7"/>
      <c r="AD637" s="7"/>
      <c r="AE637" s="7"/>
      <c r="AF637" s="7"/>
      <c r="AG637" s="7"/>
      <c r="AH637" s="7"/>
      <c r="AJ637" s="7"/>
      <c r="AK637" s="7"/>
      <c r="AL637" s="7"/>
      <c r="AM637" s="7"/>
      <c r="AN637" s="7"/>
      <c r="AO637" s="7"/>
      <c r="AR637" s="7"/>
      <c r="AS637" s="7"/>
      <c r="AT637" s="7"/>
      <c r="AU637" s="7"/>
      <c r="AW637" s="7"/>
      <c r="CE637" s="7"/>
      <c r="FZ637" s="2"/>
    </row>
    <row r="638" spans="1:182">
      <c r="A638" s="7"/>
      <c r="D638" s="7"/>
      <c r="E638" s="7"/>
      <c r="F638" s="7"/>
      <c r="G638" s="7"/>
      <c r="H638" s="7"/>
      <c r="I638" s="7"/>
      <c r="J638" s="7"/>
      <c r="K638" s="7"/>
      <c r="L638" s="7"/>
      <c r="M638" s="7"/>
      <c r="N638" s="7"/>
      <c r="O638" s="7"/>
      <c r="P638" s="7"/>
      <c r="Q638" s="7"/>
      <c r="R638" s="7"/>
      <c r="S638" s="7"/>
      <c r="T638" s="7"/>
      <c r="U638" s="7"/>
      <c r="Y638" s="7"/>
      <c r="Z638" s="17"/>
      <c r="AC638" s="7"/>
      <c r="AD638" s="7"/>
      <c r="AE638" s="7"/>
      <c r="AF638" s="7"/>
      <c r="AG638" s="7"/>
      <c r="AH638" s="7"/>
      <c r="AJ638" s="7"/>
      <c r="AK638" s="7"/>
      <c r="AL638" s="7"/>
      <c r="AM638" s="7"/>
      <c r="AN638" s="7"/>
      <c r="AO638" s="7"/>
      <c r="AR638" s="7"/>
      <c r="AS638" s="7"/>
      <c r="AT638" s="7"/>
      <c r="AU638" s="7"/>
      <c r="AW638" s="7"/>
      <c r="CE638" s="7"/>
      <c r="FZ638" s="2"/>
    </row>
    <row r="639" spans="1:182">
      <c r="A639" s="7"/>
      <c r="D639" s="7"/>
      <c r="E639" s="7"/>
      <c r="F639" s="7"/>
      <c r="G639" s="7"/>
      <c r="H639" s="7"/>
      <c r="I639" s="7"/>
      <c r="J639" s="7"/>
      <c r="K639" s="7"/>
      <c r="L639" s="7"/>
      <c r="M639" s="7"/>
      <c r="N639" s="7"/>
      <c r="O639" s="7"/>
      <c r="P639" s="7"/>
      <c r="Q639" s="7"/>
      <c r="R639" s="7"/>
      <c r="S639" s="7"/>
      <c r="T639" s="7"/>
      <c r="U639" s="7"/>
      <c r="Y639" s="7"/>
      <c r="Z639" s="17"/>
      <c r="AC639" s="7"/>
      <c r="AD639" s="7"/>
      <c r="AE639" s="7"/>
      <c r="AF639" s="7"/>
      <c r="AG639" s="7"/>
      <c r="AH639" s="7"/>
      <c r="AJ639" s="7"/>
      <c r="AK639" s="7"/>
      <c r="AL639" s="7"/>
      <c r="AM639" s="7"/>
      <c r="AN639" s="7"/>
      <c r="AO639" s="7"/>
      <c r="AR639" s="7"/>
      <c r="AS639" s="7"/>
      <c r="AT639" s="7"/>
      <c r="AU639" s="7"/>
      <c r="AW639" s="7"/>
      <c r="CE639" s="7"/>
      <c r="FZ639" s="2"/>
    </row>
    <row r="640" spans="1:182">
      <c r="A640" s="7"/>
      <c r="D640" s="7"/>
      <c r="E640" s="7"/>
      <c r="F640" s="7"/>
      <c r="G640" s="7"/>
      <c r="H640" s="7"/>
      <c r="I640" s="7"/>
      <c r="J640" s="7"/>
      <c r="K640" s="7"/>
      <c r="L640" s="7"/>
      <c r="M640" s="7"/>
      <c r="N640" s="7"/>
      <c r="O640" s="7"/>
      <c r="P640" s="7"/>
      <c r="Q640" s="7"/>
      <c r="R640" s="7"/>
      <c r="S640" s="7"/>
      <c r="T640" s="7"/>
      <c r="U640" s="7"/>
      <c r="Y640" s="7"/>
      <c r="Z640" s="17"/>
      <c r="AC640" s="7"/>
      <c r="AD640" s="7"/>
      <c r="AE640" s="7"/>
      <c r="AF640" s="7"/>
      <c r="AG640" s="7"/>
      <c r="AH640" s="7"/>
      <c r="AJ640" s="7"/>
      <c r="AK640" s="7"/>
      <c r="AL640" s="7"/>
      <c r="AM640" s="7"/>
      <c r="AN640" s="7"/>
      <c r="AO640" s="7"/>
      <c r="AR640" s="7"/>
      <c r="AS640" s="7"/>
      <c r="AT640" s="7"/>
      <c r="AU640" s="7"/>
      <c r="AW640" s="7"/>
      <c r="CE640" s="7"/>
      <c r="FZ640" s="2"/>
    </row>
    <row r="641" spans="1:182">
      <c r="A641" s="7"/>
      <c r="D641" s="7"/>
      <c r="E641" s="7"/>
      <c r="F641" s="7"/>
      <c r="G641" s="7"/>
      <c r="H641" s="7"/>
      <c r="I641" s="7"/>
      <c r="J641" s="7"/>
      <c r="K641" s="7"/>
      <c r="L641" s="7"/>
      <c r="M641" s="7"/>
      <c r="N641" s="7"/>
      <c r="O641" s="7"/>
      <c r="P641" s="7"/>
      <c r="Q641" s="7"/>
      <c r="R641" s="7"/>
      <c r="S641" s="7"/>
      <c r="T641" s="7"/>
      <c r="U641" s="7"/>
      <c r="Y641" s="7"/>
      <c r="Z641" s="17"/>
      <c r="AC641" s="7"/>
      <c r="AD641" s="7"/>
      <c r="AE641" s="7"/>
      <c r="AF641" s="7"/>
      <c r="AG641" s="7"/>
      <c r="AH641" s="7"/>
      <c r="AJ641" s="7"/>
      <c r="AK641" s="7"/>
      <c r="AL641" s="7"/>
      <c r="AM641" s="7"/>
      <c r="AN641" s="7"/>
      <c r="AO641" s="7"/>
      <c r="AR641" s="7"/>
      <c r="AS641" s="7"/>
      <c r="AT641" s="7"/>
      <c r="AU641" s="7"/>
      <c r="AW641" s="7"/>
      <c r="CE641" s="7"/>
      <c r="FZ641" s="2"/>
    </row>
    <row r="642" spans="1:182">
      <c r="A642" s="7"/>
      <c r="D642" s="7"/>
      <c r="E642" s="7"/>
      <c r="F642" s="7"/>
      <c r="G642" s="7"/>
      <c r="H642" s="7"/>
      <c r="I642" s="7"/>
      <c r="J642" s="7"/>
      <c r="K642" s="7"/>
      <c r="L642" s="7"/>
      <c r="M642" s="7"/>
      <c r="N642" s="7"/>
      <c r="O642" s="7"/>
      <c r="P642" s="7"/>
      <c r="Q642" s="7"/>
      <c r="R642" s="7"/>
      <c r="S642" s="7"/>
      <c r="T642" s="7"/>
      <c r="U642" s="7"/>
      <c r="Y642" s="7"/>
      <c r="Z642" s="17"/>
      <c r="AC642" s="7"/>
      <c r="AD642" s="7"/>
      <c r="AE642" s="7"/>
      <c r="AF642" s="7"/>
      <c r="AG642" s="7"/>
      <c r="AH642" s="7"/>
      <c r="AJ642" s="7"/>
      <c r="AK642" s="7"/>
      <c r="AL642" s="7"/>
      <c r="AM642" s="7"/>
      <c r="AN642" s="7"/>
      <c r="AO642" s="7"/>
      <c r="AR642" s="7"/>
      <c r="AS642" s="7"/>
      <c r="AT642" s="7"/>
      <c r="AU642" s="7"/>
      <c r="AW642" s="7"/>
      <c r="CE642" s="7"/>
      <c r="FZ642" s="2"/>
    </row>
    <row r="643" spans="1:182">
      <c r="A643" s="7"/>
      <c r="D643" s="7"/>
      <c r="E643" s="7"/>
      <c r="F643" s="7"/>
      <c r="G643" s="7"/>
      <c r="H643" s="7"/>
      <c r="I643" s="7"/>
      <c r="J643" s="7"/>
      <c r="K643" s="7"/>
      <c r="L643" s="7"/>
      <c r="M643" s="7"/>
      <c r="N643" s="7"/>
      <c r="O643" s="7"/>
      <c r="P643" s="7"/>
      <c r="Q643" s="7"/>
      <c r="R643" s="7"/>
      <c r="S643" s="7"/>
      <c r="T643" s="7"/>
      <c r="U643" s="7"/>
      <c r="Y643" s="7"/>
      <c r="Z643" s="17"/>
      <c r="AC643" s="7"/>
      <c r="AD643" s="7"/>
      <c r="AE643" s="7"/>
      <c r="AF643" s="7"/>
      <c r="AG643" s="7"/>
      <c r="AH643" s="7"/>
      <c r="AJ643" s="7"/>
      <c r="AK643" s="7"/>
      <c r="AL643" s="7"/>
      <c r="AM643" s="7"/>
      <c r="AN643" s="7"/>
      <c r="AO643" s="7"/>
      <c r="AR643" s="7"/>
      <c r="AS643" s="7"/>
      <c r="AT643" s="7"/>
      <c r="AU643" s="7"/>
      <c r="AW643" s="7"/>
      <c r="CE643" s="7"/>
      <c r="FZ643" s="2"/>
    </row>
    <row r="644" spans="1:182">
      <c r="A644" s="7"/>
      <c r="D644" s="7"/>
      <c r="E644" s="7"/>
      <c r="F644" s="7"/>
      <c r="G644" s="7"/>
      <c r="H644" s="7"/>
      <c r="I644" s="7"/>
      <c r="J644" s="7"/>
      <c r="K644" s="7"/>
      <c r="L644" s="7"/>
      <c r="M644" s="7"/>
      <c r="N644" s="7"/>
      <c r="O644" s="7"/>
      <c r="P644" s="7"/>
      <c r="Q644" s="7"/>
      <c r="R644" s="7"/>
      <c r="S644" s="7"/>
      <c r="T644" s="7"/>
      <c r="U644" s="7"/>
      <c r="Y644" s="7"/>
      <c r="Z644" s="17"/>
      <c r="AC644" s="7"/>
      <c r="AD644" s="7"/>
      <c r="AE644" s="7"/>
      <c r="AF644" s="7"/>
      <c r="AG644" s="7"/>
      <c r="AH644" s="7"/>
      <c r="AJ644" s="7"/>
      <c r="AK644" s="7"/>
      <c r="AL644" s="7"/>
      <c r="AM644" s="7"/>
      <c r="AN644" s="7"/>
      <c r="AO644" s="7"/>
      <c r="AR644" s="7"/>
      <c r="AS644" s="7"/>
      <c r="AT644" s="7"/>
      <c r="AU644" s="7"/>
      <c r="AW644" s="7"/>
      <c r="CE644" s="7"/>
      <c r="FZ644" s="2"/>
    </row>
    <row r="645" spans="1:182">
      <c r="A645" s="7"/>
      <c r="D645" s="7"/>
      <c r="E645" s="7"/>
      <c r="F645" s="7"/>
      <c r="G645" s="7"/>
      <c r="H645" s="7"/>
      <c r="I645" s="7"/>
      <c r="J645" s="7"/>
      <c r="K645" s="7"/>
      <c r="L645" s="7"/>
      <c r="M645" s="7"/>
      <c r="N645" s="7"/>
      <c r="O645" s="7"/>
      <c r="P645" s="7"/>
      <c r="Q645" s="7"/>
      <c r="R645" s="7"/>
      <c r="S645" s="7"/>
      <c r="T645" s="7"/>
      <c r="U645" s="7"/>
      <c r="Y645" s="7"/>
      <c r="Z645" s="17"/>
      <c r="AC645" s="7"/>
      <c r="AD645" s="7"/>
      <c r="AE645" s="7"/>
      <c r="AF645" s="7"/>
      <c r="AG645" s="7"/>
      <c r="AH645" s="7"/>
      <c r="AJ645" s="7"/>
      <c r="AK645" s="7"/>
      <c r="AL645" s="7"/>
      <c r="AM645" s="7"/>
      <c r="AN645" s="7"/>
      <c r="AO645" s="7"/>
      <c r="AR645" s="7"/>
      <c r="AS645" s="7"/>
      <c r="AT645" s="7"/>
      <c r="AU645" s="7"/>
      <c r="AW645" s="7"/>
      <c r="CE645" s="7"/>
      <c r="FZ645" s="2"/>
    </row>
    <row r="646" spans="1:182">
      <c r="A646" s="7"/>
      <c r="D646" s="7"/>
      <c r="E646" s="7"/>
      <c r="F646" s="7"/>
      <c r="G646" s="7"/>
      <c r="H646" s="7"/>
      <c r="I646" s="7"/>
      <c r="J646" s="7"/>
      <c r="K646" s="7"/>
      <c r="L646" s="7"/>
      <c r="M646" s="7"/>
      <c r="N646" s="7"/>
      <c r="O646" s="7"/>
      <c r="P646" s="7"/>
      <c r="Q646" s="7"/>
      <c r="R646" s="7"/>
      <c r="S646" s="7"/>
      <c r="T646" s="7"/>
      <c r="U646" s="7"/>
      <c r="Y646" s="7"/>
      <c r="Z646" s="17"/>
      <c r="AC646" s="7"/>
      <c r="AD646" s="7"/>
      <c r="AE646" s="7"/>
      <c r="AF646" s="7"/>
      <c r="AG646" s="7"/>
      <c r="AH646" s="7"/>
      <c r="AJ646" s="7"/>
      <c r="AK646" s="7"/>
      <c r="AL646" s="7"/>
      <c r="AM646" s="7"/>
      <c r="AN646" s="7"/>
      <c r="AO646" s="7"/>
      <c r="AR646" s="7"/>
      <c r="AS646" s="7"/>
      <c r="AT646" s="7"/>
      <c r="AU646" s="7"/>
      <c r="AW646" s="7"/>
      <c r="CE646" s="7"/>
      <c r="FZ646" s="2"/>
    </row>
    <row r="647" spans="1:182">
      <c r="A647" s="7"/>
      <c r="D647" s="7"/>
      <c r="E647" s="7"/>
      <c r="F647" s="7"/>
      <c r="G647" s="7"/>
      <c r="H647" s="7"/>
      <c r="I647" s="7"/>
      <c r="J647" s="7"/>
      <c r="K647" s="7"/>
      <c r="L647" s="7"/>
      <c r="M647" s="7"/>
      <c r="N647" s="7"/>
      <c r="O647" s="7"/>
      <c r="P647" s="7"/>
      <c r="Q647" s="7"/>
      <c r="R647" s="7"/>
      <c r="S647" s="7"/>
      <c r="T647" s="7"/>
      <c r="U647" s="7"/>
      <c r="Y647" s="7"/>
      <c r="Z647" s="17"/>
      <c r="AC647" s="7"/>
      <c r="AD647" s="7"/>
      <c r="AE647" s="7"/>
      <c r="AF647" s="7"/>
      <c r="AG647" s="7"/>
      <c r="AH647" s="7"/>
      <c r="AJ647" s="7"/>
      <c r="AK647" s="7"/>
      <c r="AL647" s="7"/>
      <c r="AM647" s="7"/>
      <c r="AN647" s="7"/>
      <c r="AO647" s="7"/>
      <c r="AR647" s="7"/>
      <c r="AS647" s="7"/>
      <c r="AT647" s="7"/>
      <c r="AU647" s="7"/>
      <c r="AW647" s="7"/>
      <c r="CE647" s="7"/>
      <c r="FZ647" s="2"/>
    </row>
    <row r="648" spans="1:182">
      <c r="A648" s="7"/>
      <c r="D648" s="7"/>
      <c r="E648" s="7"/>
      <c r="F648" s="7"/>
      <c r="G648" s="7"/>
      <c r="H648" s="7"/>
      <c r="I648" s="7"/>
      <c r="J648" s="7"/>
      <c r="K648" s="7"/>
      <c r="L648" s="7"/>
      <c r="M648" s="7"/>
      <c r="N648" s="7"/>
      <c r="O648" s="7"/>
      <c r="P648" s="7"/>
      <c r="Q648" s="7"/>
      <c r="R648" s="7"/>
      <c r="S648" s="7"/>
      <c r="T648" s="7"/>
      <c r="U648" s="7"/>
      <c r="Y648" s="7"/>
      <c r="Z648" s="17"/>
      <c r="AC648" s="7"/>
      <c r="AD648" s="7"/>
      <c r="AE648" s="7"/>
      <c r="AF648" s="7"/>
      <c r="AG648" s="7"/>
      <c r="AH648" s="7"/>
      <c r="AJ648" s="7"/>
      <c r="AK648" s="7"/>
      <c r="AL648" s="7"/>
      <c r="AM648" s="7"/>
      <c r="AN648" s="7"/>
      <c r="AO648" s="7"/>
      <c r="AR648" s="7"/>
      <c r="AS648" s="7"/>
      <c r="AT648" s="7"/>
      <c r="AU648" s="7"/>
      <c r="AW648" s="7"/>
      <c r="CE648" s="7"/>
      <c r="FZ648" s="2"/>
    </row>
    <row r="649" spans="1:182">
      <c r="A649" s="7"/>
      <c r="D649" s="7"/>
      <c r="E649" s="7"/>
      <c r="F649" s="7"/>
      <c r="G649" s="7"/>
      <c r="H649" s="7"/>
      <c r="I649" s="7"/>
      <c r="J649" s="7"/>
      <c r="K649" s="7"/>
      <c r="L649" s="7"/>
      <c r="M649" s="7"/>
      <c r="N649" s="7"/>
      <c r="O649" s="7"/>
      <c r="P649" s="7"/>
      <c r="Q649" s="7"/>
      <c r="R649" s="7"/>
      <c r="S649" s="7"/>
      <c r="T649" s="7"/>
      <c r="U649" s="7"/>
      <c r="Y649" s="7"/>
      <c r="Z649" s="17"/>
      <c r="AC649" s="7"/>
      <c r="AD649" s="7"/>
      <c r="AE649" s="7"/>
      <c r="AF649" s="7"/>
      <c r="AG649" s="7"/>
      <c r="AH649" s="7"/>
      <c r="AJ649" s="7"/>
      <c r="AK649" s="7"/>
      <c r="AL649" s="7"/>
      <c r="AM649" s="7"/>
      <c r="AN649" s="7"/>
      <c r="AO649" s="7"/>
      <c r="AR649" s="7"/>
      <c r="AS649" s="7"/>
      <c r="AT649" s="7"/>
      <c r="AU649" s="7"/>
      <c r="AW649" s="7"/>
      <c r="CE649" s="7"/>
      <c r="FZ649" s="2"/>
    </row>
    <row r="650" spans="1:182">
      <c r="A650" s="7"/>
      <c r="D650" s="7"/>
      <c r="E650" s="7"/>
      <c r="F650" s="7"/>
      <c r="G650" s="7"/>
      <c r="H650" s="7"/>
      <c r="I650" s="7"/>
      <c r="J650" s="7"/>
      <c r="K650" s="7"/>
      <c r="L650" s="7"/>
      <c r="M650" s="7"/>
      <c r="N650" s="7"/>
      <c r="O650" s="7"/>
      <c r="P650" s="7"/>
      <c r="Q650" s="7"/>
      <c r="R650" s="7"/>
      <c r="S650" s="7"/>
      <c r="T650" s="7"/>
      <c r="U650" s="7"/>
      <c r="Y650" s="7"/>
      <c r="Z650" s="17"/>
      <c r="AC650" s="7"/>
      <c r="AD650" s="7"/>
      <c r="AE650" s="7"/>
      <c r="AF650" s="7"/>
      <c r="AG650" s="7"/>
      <c r="AH650" s="7"/>
      <c r="AJ650" s="7"/>
      <c r="AK650" s="7"/>
      <c r="AL650" s="7"/>
      <c r="AM650" s="7"/>
      <c r="AN650" s="7"/>
      <c r="AO650" s="7"/>
      <c r="AR650" s="7"/>
      <c r="AS650" s="7"/>
      <c r="AT650" s="7"/>
      <c r="AU650" s="7"/>
      <c r="AW650" s="7"/>
      <c r="CE650" s="7"/>
      <c r="FZ650" s="2"/>
    </row>
    <row r="651" spans="1:182">
      <c r="A651" s="7"/>
      <c r="D651" s="7"/>
      <c r="E651" s="7"/>
      <c r="F651" s="7"/>
      <c r="G651" s="7"/>
      <c r="H651" s="7"/>
      <c r="I651" s="7"/>
      <c r="J651" s="7"/>
      <c r="K651" s="7"/>
      <c r="L651" s="7"/>
      <c r="M651" s="7"/>
      <c r="N651" s="7"/>
      <c r="O651" s="7"/>
      <c r="P651" s="7"/>
      <c r="Q651" s="7"/>
      <c r="R651" s="7"/>
      <c r="S651" s="7"/>
      <c r="T651" s="7"/>
      <c r="U651" s="7"/>
      <c r="Y651" s="7"/>
      <c r="Z651" s="17"/>
      <c r="AC651" s="7"/>
      <c r="AD651" s="7"/>
      <c r="AE651" s="7"/>
      <c r="AF651" s="7"/>
      <c r="AG651" s="7"/>
      <c r="AH651" s="7"/>
      <c r="AJ651" s="7"/>
      <c r="AK651" s="7"/>
      <c r="AL651" s="7"/>
      <c r="AM651" s="7"/>
      <c r="AN651" s="7"/>
      <c r="AO651" s="7"/>
      <c r="AR651" s="7"/>
      <c r="AS651" s="7"/>
      <c r="AT651" s="7"/>
      <c r="AU651" s="7"/>
      <c r="AW651" s="7"/>
      <c r="CE651" s="7"/>
      <c r="FZ651" s="2"/>
    </row>
    <row r="652" spans="1:182">
      <c r="A652" s="7"/>
      <c r="D652" s="7"/>
      <c r="E652" s="7"/>
      <c r="F652" s="7"/>
      <c r="G652" s="7"/>
      <c r="H652" s="7"/>
      <c r="I652" s="7"/>
      <c r="J652" s="7"/>
      <c r="K652" s="7"/>
      <c r="L652" s="7"/>
      <c r="M652" s="7"/>
      <c r="N652" s="7"/>
      <c r="O652" s="7"/>
      <c r="P652" s="7"/>
      <c r="Q652" s="7"/>
      <c r="R652" s="7"/>
      <c r="S652" s="7"/>
      <c r="T652" s="7"/>
      <c r="U652" s="7"/>
      <c r="Y652" s="7"/>
      <c r="Z652" s="17"/>
      <c r="AC652" s="7"/>
      <c r="AD652" s="7"/>
      <c r="AE652" s="7"/>
      <c r="AF652" s="7"/>
      <c r="AG652" s="7"/>
      <c r="AH652" s="7"/>
      <c r="AJ652" s="7"/>
      <c r="AK652" s="7"/>
      <c r="AL652" s="7"/>
      <c r="AM652" s="7"/>
      <c r="AN652" s="7"/>
      <c r="AO652" s="7"/>
      <c r="AR652" s="7"/>
      <c r="AS652" s="7"/>
      <c r="AT652" s="7"/>
      <c r="AU652" s="7"/>
      <c r="AW652" s="7"/>
      <c r="CE652" s="7"/>
      <c r="FZ652" s="2"/>
    </row>
    <row r="653" spans="1:182">
      <c r="A653" s="7"/>
      <c r="D653" s="7"/>
      <c r="E653" s="7"/>
      <c r="F653" s="7"/>
      <c r="G653" s="7"/>
      <c r="H653" s="7"/>
      <c r="I653" s="7"/>
      <c r="J653" s="7"/>
      <c r="K653" s="7"/>
      <c r="L653" s="7"/>
      <c r="M653" s="7"/>
      <c r="N653" s="7"/>
      <c r="O653" s="7"/>
      <c r="P653" s="7"/>
      <c r="Q653" s="7"/>
      <c r="R653" s="7"/>
      <c r="S653" s="7"/>
      <c r="T653" s="7"/>
      <c r="U653" s="7"/>
      <c r="Y653" s="7"/>
      <c r="Z653" s="17"/>
      <c r="AC653" s="7"/>
      <c r="AD653" s="7"/>
      <c r="AE653" s="7"/>
      <c r="AF653" s="7"/>
      <c r="AG653" s="7"/>
      <c r="AH653" s="7"/>
      <c r="AJ653" s="7"/>
      <c r="AK653" s="7"/>
      <c r="AL653" s="7"/>
      <c r="AM653" s="7"/>
      <c r="AN653" s="7"/>
      <c r="AO653" s="7"/>
      <c r="AR653" s="7"/>
      <c r="AS653" s="7"/>
      <c r="AT653" s="7"/>
      <c r="AU653" s="7"/>
      <c r="AW653" s="7"/>
      <c r="CE653" s="7"/>
      <c r="FZ653" s="2"/>
    </row>
    <row r="654" spans="1:182">
      <c r="A654" s="7"/>
      <c r="D654" s="7"/>
      <c r="E654" s="7"/>
      <c r="F654" s="7"/>
      <c r="G654" s="7"/>
      <c r="H654" s="7"/>
      <c r="I654" s="7"/>
      <c r="J654" s="7"/>
      <c r="K654" s="7"/>
      <c r="L654" s="7"/>
      <c r="M654" s="7"/>
      <c r="N654" s="7"/>
      <c r="O654" s="7"/>
      <c r="P654" s="7"/>
      <c r="Q654" s="7"/>
      <c r="R654" s="7"/>
      <c r="S654" s="7"/>
      <c r="T654" s="7"/>
      <c r="U654" s="7"/>
      <c r="Y654" s="7"/>
      <c r="Z654" s="17"/>
      <c r="AC654" s="7"/>
      <c r="AD654" s="7"/>
      <c r="AE654" s="7"/>
      <c r="AF654" s="7"/>
      <c r="AG654" s="7"/>
      <c r="AH654" s="7"/>
      <c r="AJ654" s="7"/>
      <c r="AK654" s="7"/>
      <c r="AL654" s="7"/>
      <c r="AM654" s="7"/>
      <c r="AN654" s="7"/>
      <c r="AO654" s="7"/>
      <c r="AR654" s="7"/>
      <c r="AS654" s="7"/>
      <c r="AT654" s="7"/>
      <c r="AU654" s="7"/>
      <c r="AW654" s="7"/>
      <c r="CE654" s="7"/>
      <c r="FZ654" s="2"/>
    </row>
    <row r="655" spans="1:182">
      <c r="A655" s="7"/>
      <c r="D655" s="7"/>
      <c r="E655" s="7"/>
      <c r="F655" s="7"/>
      <c r="G655" s="7"/>
      <c r="H655" s="7"/>
      <c r="I655" s="7"/>
      <c r="J655" s="7"/>
      <c r="K655" s="7"/>
      <c r="L655" s="7"/>
      <c r="M655" s="7"/>
      <c r="N655" s="7"/>
      <c r="O655" s="7"/>
      <c r="P655" s="7"/>
      <c r="Q655" s="7"/>
      <c r="R655" s="7"/>
      <c r="S655" s="7"/>
      <c r="T655" s="7"/>
      <c r="U655" s="7"/>
      <c r="Y655" s="7"/>
      <c r="Z655" s="17"/>
      <c r="AC655" s="7"/>
      <c r="AD655" s="7"/>
      <c r="AE655" s="7"/>
      <c r="AF655" s="7"/>
      <c r="AG655" s="7"/>
      <c r="AH655" s="7"/>
      <c r="AJ655" s="7"/>
      <c r="AK655" s="7"/>
      <c r="AL655" s="7"/>
      <c r="AM655" s="7"/>
      <c r="AN655" s="7"/>
      <c r="AO655" s="7"/>
      <c r="AR655" s="7"/>
      <c r="AS655" s="7"/>
      <c r="AT655" s="7"/>
      <c r="AU655" s="7"/>
      <c r="AW655" s="7"/>
      <c r="CE655" s="7"/>
      <c r="FZ655" s="2"/>
    </row>
    <row r="656" spans="1:182">
      <c r="A656" s="7"/>
      <c r="D656" s="7"/>
      <c r="E656" s="7"/>
      <c r="F656" s="7"/>
      <c r="G656" s="7"/>
      <c r="H656" s="7"/>
      <c r="I656" s="7"/>
      <c r="J656" s="7"/>
      <c r="K656" s="7"/>
      <c r="L656" s="7"/>
      <c r="M656" s="7"/>
      <c r="N656" s="7"/>
      <c r="O656" s="7"/>
      <c r="P656" s="7"/>
      <c r="Q656" s="7"/>
      <c r="R656" s="7"/>
      <c r="S656" s="7"/>
      <c r="T656" s="7"/>
      <c r="U656" s="7"/>
      <c r="Y656" s="7"/>
      <c r="Z656" s="17"/>
      <c r="AC656" s="7"/>
      <c r="AD656" s="7"/>
      <c r="AE656" s="7"/>
      <c r="AF656" s="7"/>
      <c r="AG656" s="7"/>
      <c r="AH656" s="7"/>
      <c r="AJ656" s="7"/>
      <c r="AK656" s="7"/>
      <c r="AL656" s="7"/>
      <c r="AM656" s="7"/>
      <c r="AN656" s="7"/>
      <c r="AO656" s="7"/>
      <c r="AR656" s="7"/>
      <c r="AS656" s="7"/>
      <c r="AT656" s="7"/>
      <c r="AU656" s="7"/>
      <c r="AW656" s="7"/>
      <c r="CE656" s="7"/>
      <c r="FZ656" s="2"/>
    </row>
    <row r="657" spans="1:182">
      <c r="A657" s="7"/>
      <c r="D657" s="7"/>
      <c r="E657" s="7"/>
      <c r="F657" s="7"/>
      <c r="G657" s="7"/>
      <c r="H657" s="7"/>
      <c r="I657" s="7"/>
      <c r="J657" s="7"/>
      <c r="K657" s="7"/>
      <c r="L657" s="7"/>
      <c r="M657" s="7"/>
      <c r="N657" s="7"/>
      <c r="O657" s="7"/>
      <c r="P657" s="7"/>
      <c r="Q657" s="7"/>
      <c r="R657" s="7"/>
      <c r="S657" s="7"/>
      <c r="T657" s="7"/>
      <c r="U657" s="7"/>
      <c r="Y657" s="7"/>
      <c r="Z657" s="17"/>
      <c r="AC657" s="7"/>
      <c r="AD657" s="7"/>
      <c r="AE657" s="7"/>
      <c r="AF657" s="7"/>
      <c r="AG657" s="7"/>
      <c r="AH657" s="7"/>
      <c r="AJ657" s="7"/>
      <c r="AK657" s="7"/>
      <c r="AL657" s="7"/>
      <c r="AM657" s="7"/>
      <c r="AN657" s="7"/>
      <c r="AO657" s="7"/>
      <c r="AR657" s="7"/>
      <c r="AS657" s="7"/>
      <c r="AT657" s="7"/>
      <c r="AU657" s="7"/>
      <c r="AW657" s="7"/>
      <c r="CE657" s="7"/>
      <c r="FZ657" s="2"/>
    </row>
    <row r="658" spans="1:182">
      <c r="A658" s="7"/>
      <c r="D658" s="7"/>
      <c r="E658" s="7"/>
      <c r="F658" s="7"/>
      <c r="G658" s="7"/>
      <c r="H658" s="7"/>
      <c r="I658" s="7"/>
      <c r="J658" s="7"/>
      <c r="K658" s="7"/>
      <c r="L658" s="7"/>
      <c r="M658" s="7"/>
      <c r="N658" s="7"/>
      <c r="O658" s="7"/>
      <c r="P658" s="7"/>
      <c r="Q658" s="7"/>
      <c r="R658" s="7"/>
      <c r="S658" s="7"/>
      <c r="T658" s="7"/>
      <c r="U658" s="7"/>
      <c r="Y658" s="7"/>
      <c r="Z658" s="17"/>
      <c r="AC658" s="7"/>
      <c r="AD658" s="7"/>
      <c r="AE658" s="7"/>
      <c r="AF658" s="7"/>
      <c r="AG658" s="7"/>
      <c r="AH658" s="7"/>
      <c r="AJ658" s="7"/>
      <c r="AK658" s="7"/>
      <c r="AL658" s="7"/>
      <c r="AM658" s="7"/>
      <c r="AN658" s="7"/>
      <c r="AO658" s="7"/>
      <c r="AR658" s="7"/>
      <c r="AS658" s="7"/>
      <c r="AT658" s="7"/>
      <c r="AU658" s="7"/>
      <c r="AW658" s="7"/>
      <c r="CE658" s="7"/>
      <c r="FZ658" s="2"/>
    </row>
    <row r="659" spans="1:182">
      <c r="A659" s="7"/>
      <c r="D659" s="7"/>
      <c r="E659" s="7"/>
      <c r="F659" s="7"/>
      <c r="G659" s="7"/>
      <c r="H659" s="7"/>
      <c r="I659" s="7"/>
      <c r="J659" s="7"/>
      <c r="K659" s="7"/>
      <c r="L659" s="7"/>
      <c r="M659" s="7"/>
      <c r="N659" s="7"/>
      <c r="O659" s="7"/>
      <c r="P659" s="7"/>
      <c r="Q659" s="7"/>
      <c r="R659" s="7"/>
      <c r="S659" s="7"/>
      <c r="T659" s="7"/>
      <c r="U659" s="7"/>
      <c r="Y659" s="7"/>
      <c r="Z659" s="17"/>
      <c r="AC659" s="7"/>
      <c r="AD659" s="7"/>
      <c r="AE659" s="7"/>
      <c r="AF659" s="7"/>
      <c r="AG659" s="7"/>
      <c r="AH659" s="7"/>
      <c r="AJ659" s="7"/>
      <c r="AK659" s="7"/>
      <c r="AL659" s="7"/>
      <c r="AM659" s="7"/>
      <c r="AN659" s="7"/>
      <c r="AO659" s="7"/>
      <c r="AR659" s="7"/>
      <c r="AS659" s="7"/>
      <c r="AT659" s="7"/>
      <c r="AU659" s="7"/>
      <c r="AW659" s="7"/>
      <c r="CE659" s="7"/>
      <c r="FZ659" s="2"/>
    </row>
    <row r="660" spans="1:182">
      <c r="A660" s="7"/>
      <c r="D660" s="7"/>
      <c r="E660" s="7"/>
      <c r="F660" s="7"/>
      <c r="G660" s="7"/>
      <c r="H660" s="7"/>
      <c r="I660" s="7"/>
      <c r="J660" s="7"/>
      <c r="K660" s="7"/>
      <c r="L660" s="7"/>
      <c r="M660" s="7"/>
      <c r="N660" s="7"/>
      <c r="O660" s="7"/>
      <c r="P660" s="7"/>
      <c r="Q660" s="7"/>
      <c r="R660" s="7"/>
      <c r="S660" s="7"/>
      <c r="T660" s="7"/>
      <c r="U660" s="7"/>
      <c r="Y660" s="7"/>
      <c r="Z660" s="17"/>
      <c r="AC660" s="7"/>
      <c r="AD660" s="7"/>
      <c r="AE660" s="7"/>
      <c r="AF660" s="7"/>
      <c r="AG660" s="7"/>
      <c r="AH660" s="7"/>
      <c r="AJ660" s="7"/>
      <c r="AK660" s="7"/>
      <c r="AL660" s="7"/>
      <c r="AM660" s="7"/>
      <c r="AN660" s="7"/>
      <c r="AO660" s="7"/>
      <c r="AR660" s="7"/>
      <c r="AS660" s="7"/>
      <c r="AT660" s="7"/>
      <c r="AU660" s="7"/>
      <c r="AW660" s="7"/>
      <c r="CE660" s="7"/>
      <c r="FZ660" s="2"/>
    </row>
    <row r="661" spans="1:182">
      <c r="A661" s="7"/>
      <c r="D661" s="7"/>
      <c r="E661" s="7"/>
      <c r="F661" s="7"/>
      <c r="G661" s="7"/>
      <c r="H661" s="7"/>
      <c r="I661" s="7"/>
      <c r="J661" s="7"/>
      <c r="K661" s="7"/>
      <c r="L661" s="7"/>
      <c r="M661" s="7"/>
      <c r="N661" s="7"/>
      <c r="O661" s="7"/>
      <c r="P661" s="7"/>
      <c r="Q661" s="7"/>
      <c r="R661" s="7"/>
      <c r="S661" s="7"/>
      <c r="T661" s="7"/>
      <c r="U661" s="7"/>
      <c r="Y661" s="7"/>
      <c r="Z661" s="17"/>
      <c r="AC661" s="7"/>
      <c r="AD661" s="7"/>
      <c r="AE661" s="7"/>
      <c r="AF661" s="7"/>
      <c r="AG661" s="7"/>
      <c r="AH661" s="7"/>
      <c r="AJ661" s="7"/>
      <c r="AK661" s="7"/>
      <c r="AL661" s="7"/>
      <c r="AM661" s="7"/>
      <c r="AN661" s="7"/>
      <c r="AO661" s="7"/>
      <c r="AR661" s="7"/>
      <c r="AS661" s="7"/>
      <c r="AT661" s="7"/>
      <c r="AU661" s="7"/>
      <c r="AW661" s="7"/>
      <c r="CE661" s="7"/>
      <c r="FZ661" s="2"/>
    </row>
    <row r="662" spans="1:182">
      <c r="A662" s="7"/>
      <c r="D662" s="7"/>
      <c r="E662" s="7"/>
      <c r="F662" s="7"/>
      <c r="G662" s="7"/>
      <c r="H662" s="7"/>
      <c r="I662" s="7"/>
      <c r="J662" s="7"/>
      <c r="K662" s="7"/>
      <c r="L662" s="7"/>
      <c r="M662" s="7"/>
      <c r="N662" s="7"/>
      <c r="O662" s="7"/>
      <c r="P662" s="7"/>
      <c r="Q662" s="7"/>
      <c r="R662" s="7"/>
      <c r="S662" s="7"/>
      <c r="T662" s="7"/>
      <c r="U662" s="7"/>
      <c r="Y662" s="7"/>
      <c r="Z662" s="17"/>
      <c r="AC662" s="7"/>
      <c r="AD662" s="7"/>
      <c r="AE662" s="7"/>
      <c r="AF662" s="7"/>
      <c r="AG662" s="7"/>
      <c r="AH662" s="7"/>
      <c r="AJ662" s="7"/>
      <c r="AK662" s="7"/>
      <c r="AL662" s="7"/>
      <c r="AM662" s="7"/>
      <c r="AN662" s="7"/>
      <c r="AO662" s="7"/>
      <c r="AR662" s="7"/>
      <c r="AS662" s="7"/>
      <c r="AT662" s="7"/>
      <c r="AU662" s="7"/>
      <c r="AW662" s="7"/>
      <c r="CE662" s="7"/>
      <c r="FZ662" s="2"/>
    </row>
    <row r="663" spans="1:182">
      <c r="A663" s="7"/>
      <c r="D663" s="7"/>
      <c r="E663" s="7"/>
      <c r="F663" s="7"/>
      <c r="G663" s="7"/>
      <c r="H663" s="7"/>
      <c r="I663" s="7"/>
      <c r="J663" s="7"/>
      <c r="K663" s="7"/>
      <c r="L663" s="7"/>
      <c r="M663" s="7"/>
      <c r="N663" s="7"/>
      <c r="O663" s="7"/>
      <c r="P663" s="7"/>
      <c r="Q663" s="7"/>
      <c r="R663" s="7"/>
      <c r="S663" s="7"/>
      <c r="T663" s="7"/>
      <c r="U663" s="7"/>
      <c r="Y663" s="7"/>
      <c r="Z663" s="17"/>
      <c r="AC663" s="7"/>
      <c r="AD663" s="7"/>
      <c r="AE663" s="7"/>
      <c r="AF663" s="7"/>
      <c r="AG663" s="7"/>
      <c r="AH663" s="7"/>
      <c r="AJ663" s="7"/>
      <c r="AK663" s="7"/>
      <c r="AL663" s="7"/>
      <c r="AM663" s="7"/>
      <c r="AN663" s="7"/>
      <c r="AO663" s="7"/>
      <c r="AR663" s="7"/>
      <c r="AS663" s="7"/>
      <c r="AT663" s="7"/>
      <c r="AU663" s="7"/>
      <c r="AW663" s="7"/>
      <c r="CE663" s="7"/>
      <c r="FZ663" s="2"/>
    </row>
    <row r="664" spans="1:182">
      <c r="A664" s="7"/>
      <c r="D664" s="7"/>
      <c r="E664" s="7"/>
      <c r="F664" s="7"/>
      <c r="G664" s="7"/>
      <c r="H664" s="7"/>
      <c r="I664" s="7"/>
      <c r="J664" s="7"/>
      <c r="K664" s="7"/>
      <c r="L664" s="7"/>
      <c r="M664" s="7"/>
      <c r="N664" s="7"/>
      <c r="O664" s="7"/>
      <c r="P664" s="7"/>
      <c r="Q664" s="7"/>
      <c r="R664" s="7"/>
      <c r="S664" s="7"/>
      <c r="T664" s="7"/>
      <c r="U664" s="7"/>
      <c r="Y664" s="7"/>
      <c r="Z664" s="17"/>
      <c r="AC664" s="7"/>
      <c r="AD664" s="7"/>
      <c r="AE664" s="7"/>
      <c r="AF664" s="7"/>
      <c r="AG664" s="7"/>
      <c r="AH664" s="7"/>
      <c r="AJ664" s="7"/>
      <c r="AK664" s="7"/>
      <c r="AL664" s="7"/>
      <c r="AM664" s="7"/>
      <c r="AN664" s="7"/>
      <c r="AO664" s="7"/>
      <c r="AR664" s="7"/>
      <c r="AS664" s="7"/>
      <c r="AT664" s="7"/>
      <c r="AU664" s="7"/>
      <c r="AW664" s="7"/>
      <c r="CE664" s="7"/>
      <c r="FZ664" s="2"/>
    </row>
    <row r="665" spans="1:182">
      <c r="A665" s="7"/>
      <c r="D665" s="7"/>
      <c r="E665" s="7"/>
      <c r="F665" s="7"/>
      <c r="G665" s="7"/>
      <c r="H665" s="7"/>
      <c r="I665" s="7"/>
      <c r="J665" s="7"/>
      <c r="K665" s="7"/>
      <c r="L665" s="7"/>
      <c r="M665" s="7"/>
      <c r="N665" s="7"/>
      <c r="O665" s="7"/>
      <c r="P665" s="7"/>
      <c r="Q665" s="7"/>
      <c r="R665" s="7"/>
      <c r="S665" s="7"/>
      <c r="T665" s="7"/>
      <c r="U665" s="7"/>
      <c r="Y665" s="7"/>
      <c r="Z665" s="17"/>
      <c r="AC665" s="7"/>
      <c r="AD665" s="7"/>
      <c r="AE665" s="7"/>
      <c r="AF665" s="7"/>
      <c r="AG665" s="7"/>
      <c r="AH665" s="7"/>
      <c r="AJ665" s="7"/>
      <c r="AK665" s="7"/>
      <c r="AL665" s="7"/>
      <c r="AM665" s="7"/>
      <c r="AN665" s="7"/>
      <c r="AO665" s="7"/>
      <c r="AR665" s="7"/>
      <c r="AS665" s="7"/>
      <c r="AT665" s="7"/>
      <c r="AU665" s="7"/>
      <c r="AW665" s="7"/>
      <c r="CE665" s="7"/>
      <c r="FZ665" s="2"/>
    </row>
    <row r="666" spans="1:182">
      <c r="A666" s="7"/>
      <c r="D666" s="7"/>
      <c r="E666" s="7"/>
      <c r="F666" s="7"/>
      <c r="G666" s="7"/>
      <c r="H666" s="7"/>
      <c r="I666" s="7"/>
      <c r="J666" s="7"/>
      <c r="K666" s="7"/>
      <c r="L666" s="7"/>
      <c r="M666" s="7"/>
      <c r="N666" s="7"/>
      <c r="O666" s="7"/>
      <c r="P666" s="7"/>
      <c r="Q666" s="7"/>
      <c r="R666" s="7"/>
      <c r="S666" s="7"/>
      <c r="T666" s="7"/>
      <c r="U666" s="7"/>
      <c r="Y666" s="7"/>
      <c r="Z666" s="17"/>
      <c r="AC666" s="7"/>
      <c r="AD666" s="7"/>
      <c r="AE666" s="7"/>
      <c r="AF666" s="7"/>
      <c r="AG666" s="7"/>
      <c r="AH666" s="7"/>
      <c r="AJ666" s="7"/>
      <c r="AK666" s="7"/>
      <c r="AL666" s="7"/>
      <c r="AM666" s="7"/>
      <c r="AN666" s="7"/>
      <c r="AO666" s="7"/>
      <c r="AR666" s="7"/>
      <c r="AS666" s="7"/>
      <c r="AT666" s="7"/>
      <c r="AU666" s="7"/>
      <c r="AW666" s="7"/>
      <c r="CE666" s="7"/>
      <c r="FZ666" s="2"/>
    </row>
    <row r="667" spans="1:182">
      <c r="A667" s="7"/>
      <c r="D667" s="7"/>
      <c r="E667" s="7"/>
      <c r="F667" s="7"/>
      <c r="G667" s="7"/>
      <c r="H667" s="7"/>
      <c r="I667" s="7"/>
      <c r="J667" s="7"/>
      <c r="K667" s="7"/>
      <c r="L667" s="7"/>
      <c r="M667" s="7"/>
      <c r="N667" s="7"/>
      <c r="O667" s="7"/>
      <c r="P667" s="7"/>
      <c r="Q667" s="7"/>
      <c r="R667" s="7"/>
      <c r="S667" s="7"/>
      <c r="T667" s="7"/>
      <c r="U667" s="7"/>
      <c r="Y667" s="7"/>
      <c r="Z667" s="17"/>
      <c r="AC667" s="7"/>
      <c r="AD667" s="7"/>
      <c r="AE667" s="7"/>
      <c r="AF667" s="7"/>
      <c r="AG667" s="7"/>
      <c r="AH667" s="7"/>
      <c r="AJ667" s="7"/>
      <c r="AK667" s="7"/>
      <c r="AL667" s="7"/>
      <c r="AM667" s="7"/>
      <c r="AN667" s="7"/>
      <c r="AO667" s="7"/>
      <c r="AR667" s="7"/>
      <c r="AS667" s="7"/>
      <c r="AT667" s="7"/>
      <c r="AU667" s="7"/>
      <c r="AW667" s="7"/>
      <c r="CE667" s="7"/>
      <c r="FZ667" s="2"/>
    </row>
    <row r="668" spans="1:182">
      <c r="A668" s="7"/>
      <c r="D668" s="7"/>
      <c r="E668" s="7"/>
      <c r="F668" s="7"/>
      <c r="G668" s="7"/>
      <c r="H668" s="7"/>
      <c r="I668" s="7"/>
      <c r="J668" s="7"/>
      <c r="K668" s="7"/>
      <c r="L668" s="7"/>
      <c r="M668" s="7"/>
      <c r="N668" s="7"/>
      <c r="O668" s="7"/>
      <c r="P668" s="7"/>
      <c r="Q668" s="7"/>
      <c r="R668" s="7"/>
      <c r="S668" s="7"/>
      <c r="T668" s="7"/>
      <c r="U668" s="7"/>
      <c r="Y668" s="7"/>
      <c r="Z668" s="17"/>
      <c r="AC668" s="7"/>
      <c r="AD668" s="7"/>
      <c r="AE668" s="7"/>
      <c r="AF668" s="7"/>
      <c r="AG668" s="7"/>
      <c r="AH668" s="7"/>
      <c r="AJ668" s="7"/>
      <c r="AK668" s="7"/>
      <c r="AL668" s="7"/>
      <c r="AM668" s="7"/>
      <c r="AN668" s="7"/>
      <c r="AO668" s="7"/>
      <c r="AR668" s="7"/>
      <c r="AS668" s="7"/>
      <c r="AT668" s="7"/>
      <c r="AU668" s="7"/>
      <c r="AW668" s="7"/>
      <c r="CE668" s="7"/>
      <c r="FZ668" s="2"/>
    </row>
    <row r="669" spans="1:182">
      <c r="A669" s="7"/>
      <c r="D669" s="7"/>
      <c r="E669" s="7"/>
      <c r="F669" s="7"/>
      <c r="G669" s="7"/>
      <c r="H669" s="7"/>
      <c r="I669" s="7"/>
      <c r="J669" s="7"/>
      <c r="K669" s="7"/>
      <c r="L669" s="7"/>
      <c r="M669" s="7"/>
      <c r="N669" s="7"/>
      <c r="O669" s="7"/>
      <c r="P669" s="7"/>
      <c r="Q669" s="7"/>
      <c r="R669" s="7"/>
      <c r="S669" s="7"/>
      <c r="T669" s="7"/>
      <c r="U669" s="7"/>
      <c r="Y669" s="7"/>
      <c r="Z669" s="17"/>
      <c r="AC669" s="7"/>
      <c r="AD669" s="7"/>
      <c r="AE669" s="7"/>
      <c r="AF669" s="7"/>
      <c r="AG669" s="7"/>
      <c r="AH669" s="7"/>
      <c r="AJ669" s="7"/>
      <c r="AK669" s="7"/>
      <c r="AL669" s="7"/>
      <c r="AM669" s="7"/>
      <c r="AN669" s="7"/>
      <c r="AO669" s="7"/>
      <c r="AR669" s="7"/>
      <c r="AS669" s="7"/>
      <c r="AT669" s="7"/>
      <c r="AU669" s="7"/>
      <c r="AW669" s="7"/>
      <c r="CE669" s="7"/>
      <c r="FZ669" s="2"/>
    </row>
    <row r="670" spans="1:182">
      <c r="A670" s="7"/>
      <c r="D670" s="7"/>
      <c r="E670" s="7"/>
      <c r="F670" s="7"/>
      <c r="G670" s="7"/>
      <c r="H670" s="7"/>
      <c r="I670" s="7"/>
      <c r="J670" s="7"/>
      <c r="K670" s="7"/>
      <c r="L670" s="7"/>
      <c r="M670" s="7"/>
      <c r="N670" s="7"/>
      <c r="O670" s="7"/>
      <c r="P670" s="7"/>
      <c r="Q670" s="7"/>
      <c r="R670" s="7"/>
      <c r="S670" s="7"/>
      <c r="T670" s="7"/>
      <c r="U670" s="7"/>
      <c r="Y670" s="7"/>
      <c r="Z670" s="17"/>
      <c r="AC670" s="7"/>
      <c r="AD670" s="7"/>
      <c r="AE670" s="7"/>
      <c r="AF670" s="7"/>
      <c r="AG670" s="7"/>
      <c r="AH670" s="7"/>
      <c r="AJ670" s="7"/>
      <c r="AK670" s="7"/>
      <c r="AL670" s="7"/>
      <c r="AM670" s="7"/>
      <c r="AN670" s="7"/>
      <c r="AO670" s="7"/>
      <c r="AR670" s="7"/>
      <c r="AS670" s="7"/>
      <c r="AT670" s="7"/>
      <c r="AU670" s="7"/>
      <c r="AW670" s="7"/>
      <c r="CE670" s="7"/>
      <c r="FZ670" s="2"/>
    </row>
    <row r="671" spans="1:182">
      <c r="A671" s="7"/>
      <c r="D671" s="7"/>
      <c r="E671" s="7"/>
      <c r="F671" s="7"/>
      <c r="G671" s="7"/>
      <c r="H671" s="7"/>
      <c r="I671" s="7"/>
      <c r="J671" s="7"/>
      <c r="K671" s="7"/>
      <c r="L671" s="7"/>
      <c r="M671" s="7"/>
      <c r="N671" s="7"/>
      <c r="O671" s="7"/>
      <c r="P671" s="7"/>
      <c r="Q671" s="7"/>
      <c r="R671" s="7"/>
      <c r="S671" s="7"/>
      <c r="T671" s="7"/>
      <c r="U671" s="7"/>
      <c r="Y671" s="7"/>
      <c r="Z671" s="17"/>
      <c r="AC671" s="7"/>
      <c r="AD671" s="7"/>
      <c r="AE671" s="7"/>
      <c r="AF671" s="7"/>
      <c r="AG671" s="7"/>
      <c r="AH671" s="7"/>
      <c r="AJ671" s="7"/>
      <c r="AK671" s="7"/>
      <c r="AL671" s="7"/>
      <c r="AM671" s="7"/>
      <c r="AN671" s="7"/>
      <c r="AO671" s="7"/>
      <c r="AR671" s="7"/>
      <c r="AS671" s="7"/>
      <c r="AT671" s="7"/>
      <c r="AU671" s="7"/>
      <c r="AW671" s="7"/>
      <c r="CE671" s="7"/>
      <c r="FZ671" s="2"/>
    </row>
    <row r="672" spans="1:182">
      <c r="A672" s="7"/>
      <c r="D672" s="7"/>
      <c r="E672" s="7"/>
      <c r="F672" s="7"/>
      <c r="G672" s="7"/>
      <c r="H672" s="7"/>
      <c r="I672" s="7"/>
      <c r="J672" s="7"/>
      <c r="K672" s="7"/>
      <c r="L672" s="7"/>
      <c r="M672" s="7"/>
      <c r="N672" s="7"/>
      <c r="O672" s="7"/>
      <c r="P672" s="7"/>
      <c r="Q672" s="7"/>
      <c r="R672" s="7"/>
      <c r="S672" s="7"/>
      <c r="T672" s="7"/>
      <c r="U672" s="7"/>
      <c r="Y672" s="7"/>
      <c r="Z672" s="17"/>
      <c r="AC672" s="7"/>
      <c r="AD672" s="7"/>
      <c r="AE672" s="7"/>
      <c r="AF672" s="7"/>
      <c r="AG672" s="7"/>
      <c r="AH672" s="7"/>
      <c r="AJ672" s="7"/>
      <c r="AK672" s="7"/>
      <c r="AL672" s="7"/>
      <c r="AM672" s="7"/>
      <c r="AN672" s="7"/>
      <c r="AO672" s="7"/>
      <c r="AR672" s="7"/>
      <c r="AS672" s="7"/>
      <c r="AT672" s="7"/>
      <c r="AU672" s="7"/>
      <c r="AW672" s="7"/>
      <c r="CE672" s="7"/>
      <c r="FZ672" s="2"/>
    </row>
    <row r="673" spans="1:182">
      <c r="A673" s="7"/>
      <c r="D673" s="7"/>
      <c r="E673" s="7"/>
      <c r="F673" s="7"/>
      <c r="G673" s="7"/>
      <c r="H673" s="7"/>
      <c r="I673" s="7"/>
      <c r="J673" s="7"/>
      <c r="K673" s="7"/>
      <c r="L673" s="7"/>
      <c r="M673" s="7"/>
      <c r="N673" s="7"/>
      <c r="O673" s="7"/>
      <c r="P673" s="7"/>
      <c r="Q673" s="7"/>
      <c r="R673" s="7"/>
      <c r="S673" s="7"/>
      <c r="T673" s="7"/>
      <c r="U673" s="7"/>
      <c r="Y673" s="7"/>
      <c r="Z673" s="17"/>
      <c r="AC673" s="7"/>
      <c r="AD673" s="7"/>
      <c r="AE673" s="7"/>
      <c r="AF673" s="7"/>
      <c r="AG673" s="7"/>
      <c r="AH673" s="7"/>
      <c r="AJ673" s="7"/>
      <c r="AK673" s="7"/>
      <c r="AL673" s="7"/>
      <c r="AM673" s="7"/>
      <c r="AN673" s="7"/>
      <c r="AO673" s="7"/>
      <c r="AR673" s="7"/>
      <c r="AS673" s="7"/>
      <c r="AT673" s="7"/>
      <c r="AU673" s="7"/>
      <c r="AW673" s="7"/>
      <c r="CE673" s="7"/>
      <c r="FZ673" s="2"/>
    </row>
    <row r="674" spans="1:182">
      <c r="A674" s="7"/>
      <c r="D674" s="7"/>
      <c r="E674" s="7"/>
      <c r="F674" s="7"/>
      <c r="G674" s="7"/>
      <c r="H674" s="7"/>
      <c r="I674" s="7"/>
      <c r="J674" s="7"/>
      <c r="K674" s="7"/>
      <c r="L674" s="7"/>
      <c r="M674" s="7"/>
      <c r="N674" s="7"/>
      <c r="O674" s="7"/>
      <c r="P674" s="7"/>
      <c r="Q674" s="7"/>
      <c r="R674" s="7"/>
      <c r="S674" s="7"/>
      <c r="T674" s="7"/>
      <c r="U674" s="7"/>
      <c r="Y674" s="7"/>
      <c r="Z674" s="17"/>
      <c r="AC674" s="7"/>
      <c r="AD674" s="7"/>
      <c r="AE674" s="7"/>
      <c r="AF674" s="7"/>
      <c r="AG674" s="7"/>
      <c r="AH674" s="7"/>
      <c r="AJ674" s="7"/>
      <c r="AK674" s="7"/>
      <c r="AL674" s="7"/>
      <c r="AM674" s="7"/>
      <c r="AN674" s="7"/>
      <c r="AO674" s="7"/>
      <c r="AR674" s="7"/>
      <c r="AS674" s="7"/>
      <c r="AT674" s="7"/>
      <c r="AU674" s="7"/>
      <c r="AW674" s="7"/>
      <c r="CE674" s="7"/>
      <c r="FZ674" s="2"/>
    </row>
    <row r="675" spans="1:182">
      <c r="A675" s="7"/>
      <c r="D675" s="7"/>
      <c r="E675" s="7"/>
      <c r="F675" s="7"/>
      <c r="G675" s="7"/>
      <c r="H675" s="7"/>
      <c r="I675" s="7"/>
      <c r="J675" s="7"/>
      <c r="K675" s="7"/>
      <c r="L675" s="7"/>
      <c r="M675" s="7"/>
      <c r="N675" s="7"/>
      <c r="O675" s="7"/>
      <c r="P675" s="7"/>
      <c r="Q675" s="7"/>
      <c r="R675" s="7"/>
      <c r="S675" s="7"/>
      <c r="T675" s="7"/>
      <c r="U675" s="7"/>
      <c r="Y675" s="7"/>
      <c r="Z675" s="17"/>
      <c r="AC675" s="7"/>
      <c r="AD675" s="7"/>
      <c r="AE675" s="7"/>
      <c r="AF675" s="7"/>
      <c r="AG675" s="7"/>
      <c r="AH675" s="7"/>
      <c r="AJ675" s="7"/>
      <c r="AK675" s="7"/>
      <c r="AL675" s="7"/>
      <c r="AM675" s="7"/>
      <c r="AN675" s="7"/>
      <c r="AO675" s="7"/>
      <c r="AR675" s="7"/>
      <c r="AS675" s="7"/>
      <c r="AT675" s="7"/>
      <c r="AU675" s="7"/>
      <c r="AW675" s="7"/>
      <c r="CE675" s="7"/>
      <c r="FZ675" s="2"/>
    </row>
    <row r="676" spans="1:182">
      <c r="A676" s="7"/>
      <c r="D676" s="7"/>
      <c r="E676" s="7"/>
      <c r="F676" s="7"/>
      <c r="G676" s="7"/>
      <c r="H676" s="7"/>
      <c r="I676" s="7"/>
      <c r="J676" s="7"/>
      <c r="K676" s="7"/>
      <c r="L676" s="7"/>
      <c r="M676" s="7"/>
      <c r="N676" s="7"/>
      <c r="O676" s="7"/>
      <c r="P676" s="7"/>
      <c r="Q676" s="7"/>
      <c r="R676" s="7"/>
      <c r="S676" s="7"/>
      <c r="T676" s="7"/>
      <c r="U676" s="7"/>
      <c r="Y676" s="7"/>
      <c r="Z676" s="17"/>
      <c r="AC676" s="7"/>
      <c r="AD676" s="7"/>
      <c r="AE676" s="7"/>
      <c r="AF676" s="7"/>
      <c r="AG676" s="7"/>
      <c r="AH676" s="7"/>
      <c r="AJ676" s="7"/>
      <c r="AK676" s="7"/>
      <c r="AL676" s="7"/>
      <c r="AM676" s="7"/>
      <c r="AN676" s="7"/>
      <c r="AO676" s="7"/>
      <c r="AR676" s="7"/>
      <c r="AS676" s="7"/>
      <c r="AT676" s="7"/>
      <c r="AU676" s="7"/>
      <c r="AW676" s="7"/>
      <c r="CE676" s="7"/>
      <c r="FZ676" s="2"/>
    </row>
    <row r="677" spans="1:182">
      <c r="A677" s="7"/>
      <c r="D677" s="7"/>
      <c r="E677" s="7"/>
      <c r="F677" s="7"/>
      <c r="G677" s="7"/>
      <c r="H677" s="7"/>
      <c r="I677" s="7"/>
      <c r="J677" s="7"/>
      <c r="K677" s="7"/>
      <c r="L677" s="7"/>
      <c r="M677" s="7"/>
      <c r="N677" s="7"/>
      <c r="O677" s="7"/>
      <c r="P677" s="7"/>
      <c r="Q677" s="7"/>
      <c r="R677" s="7"/>
      <c r="S677" s="7"/>
      <c r="T677" s="7"/>
      <c r="U677" s="7"/>
      <c r="Y677" s="7"/>
      <c r="Z677" s="17"/>
      <c r="AC677" s="7"/>
      <c r="AD677" s="7"/>
      <c r="AE677" s="7"/>
      <c r="AF677" s="7"/>
      <c r="AG677" s="7"/>
      <c r="AH677" s="7"/>
      <c r="AJ677" s="7"/>
      <c r="AK677" s="7"/>
      <c r="AL677" s="7"/>
      <c r="AM677" s="7"/>
      <c r="AN677" s="7"/>
      <c r="AO677" s="7"/>
      <c r="AR677" s="7"/>
      <c r="AS677" s="7"/>
      <c r="AT677" s="7"/>
      <c r="AU677" s="7"/>
      <c r="AW677" s="7"/>
      <c r="CE677" s="7"/>
      <c r="FZ677" s="2"/>
    </row>
    <row r="678" spans="1:182">
      <c r="A678" s="7"/>
      <c r="D678" s="7"/>
      <c r="E678" s="7"/>
      <c r="F678" s="7"/>
      <c r="G678" s="7"/>
      <c r="H678" s="7"/>
      <c r="I678" s="7"/>
      <c r="J678" s="7"/>
      <c r="K678" s="7"/>
      <c r="L678" s="7"/>
      <c r="M678" s="7"/>
      <c r="N678" s="7"/>
      <c r="O678" s="7"/>
      <c r="P678" s="7"/>
      <c r="Q678" s="7"/>
      <c r="R678" s="7"/>
      <c r="S678" s="7"/>
      <c r="T678" s="7"/>
      <c r="U678" s="7"/>
      <c r="Y678" s="7"/>
      <c r="Z678" s="17"/>
      <c r="AC678" s="7"/>
      <c r="AD678" s="7"/>
      <c r="AE678" s="7"/>
      <c r="AF678" s="7"/>
      <c r="AG678" s="7"/>
      <c r="AH678" s="7"/>
      <c r="AJ678" s="7"/>
      <c r="AK678" s="7"/>
      <c r="AL678" s="7"/>
      <c r="AM678" s="7"/>
      <c r="AN678" s="7"/>
      <c r="AO678" s="7"/>
      <c r="AR678" s="7"/>
      <c r="AS678" s="7"/>
      <c r="AT678" s="7"/>
      <c r="AU678" s="7"/>
      <c r="AW678" s="7"/>
      <c r="CE678" s="7"/>
      <c r="FZ678" s="2"/>
    </row>
    <row r="679" spans="1:182">
      <c r="A679" s="7"/>
      <c r="D679" s="7"/>
      <c r="E679" s="7"/>
      <c r="F679" s="7"/>
      <c r="G679" s="7"/>
      <c r="H679" s="7"/>
      <c r="I679" s="7"/>
      <c r="J679" s="7"/>
      <c r="K679" s="7"/>
      <c r="L679" s="7"/>
      <c r="M679" s="7"/>
      <c r="N679" s="7"/>
      <c r="O679" s="7"/>
      <c r="P679" s="7"/>
      <c r="Q679" s="7"/>
      <c r="R679" s="7"/>
      <c r="S679" s="7"/>
      <c r="T679" s="7"/>
      <c r="U679" s="7"/>
      <c r="Y679" s="7"/>
      <c r="Z679" s="17"/>
      <c r="AC679" s="7"/>
      <c r="AD679" s="7"/>
      <c r="AE679" s="7"/>
      <c r="AF679" s="7"/>
      <c r="AG679" s="7"/>
      <c r="AH679" s="7"/>
      <c r="AJ679" s="7"/>
      <c r="AK679" s="7"/>
      <c r="AL679" s="7"/>
      <c r="AM679" s="7"/>
      <c r="AN679" s="7"/>
      <c r="AO679" s="7"/>
      <c r="AR679" s="7"/>
      <c r="AS679" s="7"/>
      <c r="AT679" s="7"/>
      <c r="AU679" s="7"/>
      <c r="AW679" s="7"/>
      <c r="CE679" s="7"/>
      <c r="FZ679" s="2"/>
    </row>
    <row r="680" spans="1:182">
      <c r="A680" s="7"/>
      <c r="D680" s="7"/>
      <c r="E680" s="7"/>
      <c r="F680" s="7"/>
      <c r="G680" s="7"/>
      <c r="H680" s="7"/>
      <c r="I680" s="7"/>
      <c r="J680" s="7"/>
      <c r="K680" s="7"/>
      <c r="L680" s="7"/>
      <c r="M680" s="7"/>
      <c r="N680" s="7"/>
      <c r="O680" s="7"/>
      <c r="P680" s="7"/>
      <c r="Q680" s="7"/>
      <c r="R680" s="7"/>
      <c r="S680" s="7"/>
      <c r="T680" s="7"/>
      <c r="U680" s="7"/>
      <c r="Y680" s="7"/>
      <c r="Z680" s="17"/>
      <c r="AC680" s="7"/>
      <c r="AD680" s="7"/>
      <c r="AE680" s="7"/>
      <c r="AF680" s="7"/>
      <c r="AG680" s="7"/>
      <c r="AH680" s="7"/>
      <c r="AJ680" s="7"/>
      <c r="AK680" s="7"/>
      <c r="AL680" s="7"/>
      <c r="AM680" s="7"/>
      <c r="AN680" s="7"/>
      <c r="AO680" s="7"/>
      <c r="AR680" s="7"/>
      <c r="AS680" s="7"/>
      <c r="AT680" s="7"/>
      <c r="AU680" s="7"/>
      <c r="AW680" s="7"/>
      <c r="CE680" s="7"/>
      <c r="FZ680" s="2"/>
    </row>
    <row r="681" spans="1:182">
      <c r="A681" s="7"/>
      <c r="D681" s="7"/>
      <c r="E681" s="7"/>
      <c r="F681" s="7"/>
      <c r="G681" s="7"/>
      <c r="H681" s="7"/>
      <c r="I681" s="7"/>
      <c r="J681" s="7"/>
      <c r="K681" s="7"/>
      <c r="L681" s="7"/>
      <c r="M681" s="7"/>
      <c r="N681" s="7"/>
      <c r="O681" s="7"/>
      <c r="P681" s="7"/>
      <c r="Q681" s="7"/>
      <c r="R681" s="7"/>
      <c r="S681" s="7"/>
      <c r="T681" s="7"/>
      <c r="U681" s="7"/>
      <c r="Y681" s="7"/>
      <c r="Z681" s="17"/>
      <c r="AC681" s="7"/>
      <c r="AD681" s="7"/>
      <c r="AE681" s="7"/>
      <c r="AF681" s="7"/>
      <c r="AG681" s="7"/>
      <c r="AH681" s="7"/>
      <c r="AJ681" s="7"/>
      <c r="AK681" s="7"/>
      <c r="AL681" s="7"/>
      <c r="AM681" s="7"/>
      <c r="AN681" s="7"/>
      <c r="AO681" s="7"/>
      <c r="AR681" s="7"/>
      <c r="AS681" s="7"/>
      <c r="AT681" s="7"/>
      <c r="AU681" s="7"/>
      <c r="AW681" s="7"/>
      <c r="CE681" s="7"/>
      <c r="FZ681" s="2"/>
    </row>
    <row r="682" spans="1:182">
      <c r="A682" s="7"/>
      <c r="D682" s="7"/>
      <c r="E682" s="7"/>
      <c r="F682" s="7"/>
      <c r="G682" s="7"/>
      <c r="H682" s="7"/>
      <c r="I682" s="7"/>
      <c r="J682" s="7"/>
      <c r="K682" s="7"/>
      <c r="L682" s="7"/>
      <c r="M682" s="7"/>
      <c r="N682" s="7"/>
      <c r="O682" s="7"/>
      <c r="P682" s="7"/>
      <c r="Q682" s="7"/>
      <c r="R682" s="7"/>
      <c r="S682" s="7"/>
      <c r="T682" s="7"/>
      <c r="U682" s="7"/>
      <c r="Y682" s="7"/>
      <c r="Z682" s="17"/>
      <c r="AC682" s="7"/>
      <c r="AD682" s="7"/>
      <c r="AE682" s="7"/>
      <c r="AF682" s="7"/>
      <c r="AG682" s="7"/>
      <c r="AH682" s="7"/>
      <c r="AJ682" s="7"/>
      <c r="AK682" s="7"/>
      <c r="AL682" s="7"/>
      <c r="AM682" s="7"/>
      <c r="AN682" s="7"/>
      <c r="AO682" s="7"/>
      <c r="AR682" s="7"/>
      <c r="AS682" s="7"/>
      <c r="AT682" s="7"/>
      <c r="AU682" s="7"/>
      <c r="AW682" s="7"/>
      <c r="CE682" s="7"/>
      <c r="FZ682" s="2"/>
    </row>
    <row r="683" spans="1:182">
      <c r="A683" s="7"/>
      <c r="D683" s="7"/>
      <c r="E683" s="7"/>
      <c r="F683" s="7"/>
      <c r="G683" s="7"/>
      <c r="H683" s="7"/>
      <c r="I683" s="7"/>
      <c r="J683" s="7"/>
      <c r="K683" s="7"/>
      <c r="L683" s="7"/>
      <c r="M683" s="7"/>
      <c r="N683" s="7"/>
      <c r="O683" s="7"/>
      <c r="P683" s="7"/>
      <c r="Q683" s="7"/>
      <c r="R683" s="7"/>
      <c r="S683" s="7"/>
      <c r="T683" s="7"/>
      <c r="U683" s="7"/>
      <c r="Y683" s="7"/>
      <c r="Z683" s="17"/>
      <c r="AC683" s="7"/>
      <c r="AD683" s="7"/>
      <c r="AE683" s="7"/>
      <c r="AF683" s="7"/>
      <c r="AG683" s="7"/>
      <c r="AH683" s="7"/>
      <c r="AJ683" s="7"/>
      <c r="AK683" s="7"/>
      <c r="AL683" s="7"/>
      <c r="AM683" s="7"/>
      <c r="AN683" s="7"/>
      <c r="AO683" s="7"/>
      <c r="AR683" s="7"/>
      <c r="AS683" s="7"/>
      <c r="AT683" s="7"/>
      <c r="AU683" s="7"/>
      <c r="AW683" s="7"/>
      <c r="CE683" s="7"/>
      <c r="FZ683" s="2"/>
    </row>
    <row r="684" spans="1:182">
      <c r="A684" s="7"/>
      <c r="D684" s="7"/>
      <c r="E684" s="7"/>
      <c r="F684" s="7"/>
      <c r="G684" s="7"/>
      <c r="H684" s="7"/>
      <c r="I684" s="7"/>
      <c r="J684" s="7"/>
      <c r="K684" s="7"/>
      <c r="L684" s="7"/>
      <c r="M684" s="7"/>
      <c r="N684" s="7"/>
      <c r="O684" s="7"/>
      <c r="P684" s="7"/>
      <c r="Q684" s="7"/>
      <c r="R684" s="7"/>
      <c r="S684" s="7"/>
      <c r="T684" s="7"/>
      <c r="U684" s="7"/>
      <c r="Y684" s="7"/>
      <c r="Z684" s="17"/>
      <c r="AC684" s="7"/>
      <c r="AD684" s="7"/>
      <c r="AE684" s="7"/>
      <c r="AF684" s="7"/>
      <c r="AG684" s="7"/>
      <c r="AH684" s="7"/>
      <c r="AJ684" s="7"/>
      <c r="AK684" s="7"/>
      <c r="AL684" s="7"/>
      <c r="AM684" s="7"/>
      <c r="AN684" s="7"/>
      <c r="AO684" s="7"/>
      <c r="AR684" s="7"/>
      <c r="AS684" s="7"/>
      <c r="AT684" s="7"/>
      <c r="AU684" s="7"/>
      <c r="AW684" s="7"/>
      <c r="CE684" s="7"/>
      <c r="FZ684" s="2"/>
    </row>
    <row r="685" spans="1:182">
      <c r="A685" s="7"/>
      <c r="D685" s="7"/>
      <c r="E685" s="7"/>
      <c r="F685" s="7"/>
      <c r="G685" s="7"/>
      <c r="H685" s="7"/>
      <c r="I685" s="7"/>
      <c r="J685" s="7"/>
      <c r="K685" s="7"/>
      <c r="L685" s="7"/>
      <c r="M685" s="7"/>
      <c r="N685" s="7"/>
      <c r="O685" s="7"/>
      <c r="P685" s="7"/>
      <c r="Q685" s="7"/>
      <c r="R685" s="7"/>
      <c r="S685" s="7"/>
      <c r="T685" s="7"/>
      <c r="U685" s="7"/>
      <c r="Y685" s="7"/>
      <c r="Z685" s="17"/>
      <c r="AC685" s="7"/>
      <c r="AD685" s="7"/>
      <c r="AE685" s="7"/>
      <c r="AF685" s="7"/>
      <c r="AG685" s="7"/>
      <c r="AH685" s="7"/>
      <c r="AJ685" s="7"/>
      <c r="AK685" s="7"/>
      <c r="AL685" s="7"/>
      <c r="AM685" s="7"/>
      <c r="AN685" s="7"/>
      <c r="AO685" s="7"/>
      <c r="AR685" s="7"/>
      <c r="AS685" s="7"/>
      <c r="AT685" s="7"/>
      <c r="AU685" s="7"/>
      <c r="AW685" s="7"/>
      <c r="CE685" s="7"/>
      <c r="FZ685" s="2"/>
    </row>
    <row r="686" spans="1:182">
      <c r="A686" s="7"/>
      <c r="D686" s="7"/>
      <c r="E686" s="7"/>
      <c r="F686" s="7"/>
      <c r="G686" s="7"/>
      <c r="H686" s="7"/>
      <c r="I686" s="7"/>
      <c r="J686" s="7"/>
      <c r="K686" s="7"/>
      <c r="L686" s="7"/>
      <c r="M686" s="7"/>
      <c r="N686" s="7"/>
      <c r="O686" s="7"/>
      <c r="P686" s="7"/>
      <c r="Q686" s="7"/>
      <c r="R686" s="7"/>
      <c r="S686" s="7"/>
      <c r="T686" s="7"/>
      <c r="U686" s="7"/>
      <c r="Y686" s="7"/>
      <c r="Z686" s="17"/>
      <c r="AC686" s="7"/>
      <c r="AD686" s="7"/>
      <c r="AE686" s="7"/>
      <c r="AF686" s="7"/>
      <c r="AG686" s="7"/>
      <c r="AH686" s="7"/>
      <c r="AJ686" s="7"/>
      <c r="AK686" s="7"/>
      <c r="AL686" s="7"/>
      <c r="AM686" s="7"/>
      <c r="AN686" s="7"/>
      <c r="AO686" s="7"/>
      <c r="AR686" s="7"/>
      <c r="AS686" s="7"/>
      <c r="AT686" s="7"/>
      <c r="AU686" s="7"/>
      <c r="AW686" s="7"/>
      <c r="CE686" s="7"/>
      <c r="FZ686" s="2"/>
    </row>
    <row r="687" spans="1:182">
      <c r="A687" s="7"/>
      <c r="D687" s="7"/>
      <c r="E687" s="7"/>
      <c r="F687" s="7"/>
      <c r="G687" s="7"/>
      <c r="H687" s="7"/>
      <c r="I687" s="7"/>
      <c r="J687" s="7"/>
      <c r="K687" s="7"/>
      <c r="L687" s="7"/>
      <c r="M687" s="7"/>
      <c r="N687" s="7"/>
      <c r="O687" s="7"/>
      <c r="P687" s="7"/>
      <c r="Q687" s="7"/>
      <c r="R687" s="7"/>
      <c r="S687" s="7"/>
      <c r="T687" s="7"/>
      <c r="U687" s="7"/>
      <c r="Y687" s="7"/>
      <c r="Z687" s="17"/>
      <c r="AC687" s="7"/>
      <c r="AD687" s="7"/>
      <c r="AE687" s="7"/>
      <c r="AF687" s="7"/>
      <c r="AG687" s="7"/>
      <c r="AH687" s="7"/>
      <c r="AJ687" s="7"/>
      <c r="AK687" s="7"/>
      <c r="AL687" s="7"/>
      <c r="AM687" s="7"/>
      <c r="AN687" s="7"/>
      <c r="AO687" s="7"/>
      <c r="AR687" s="7"/>
      <c r="AS687" s="7"/>
      <c r="AT687" s="7"/>
      <c r="AU687" s="7"/>
      <c r="AW687" s="7"/>
      <c r="CE687" s="7"/>
      <c r="FZ687" s="2"/>
    </row>
    <row r="688" spans="1:182">
      <c r="A688" s="7"/>
      <c r="D688" s="7"/>
      <c r="E688" s="7"/>
      <c r="F688" s="7"/>
      <c r="G688" s="7"/>
      <c r="H688" s="7"/>
      <c r="I688" s="7"/>
      <c r="J688" s="7"/>
      <c r="K688" s="7"/>
      <c r="L688" s="7"/>
      <c r="M688" s="7"/>
      <c r="N688" s="7"/>
      <c r="O688" s="7"/>
      <c r="P688" s="7"/>
      <c r="Q688" s="7"/>
      <c r="R688" s="7"/>
      <c r="S688" s="7"/>
      <c r="T688" s="7"/>
      <c r="U688" s="7"/>
      <c r="Y688" s="7"/>
      <c r="Z688" s="17"/>
      <c r="AC688" s="7"/>
      <c r="AD688" s="7"/>
      <c r="AE688" s="7"/>
      <c r="AF688" s="7"/>
      <c r="AG688" s="7"/>
      <c r="AH688" s="7"/>
      <c r="AJ688" s="7"/>
      <c r="AK688" s="7"/>
      <c r="AL688" s="7"/>
      <c r="AM688" s="7"/>
      <c r="AN688" s="7"/>
      <c r="AO688" s="7"/>
      <c r="AR688" s="7"/>
      <c r="AS688" s="7"/>
      <c r="AT688" s="7"/>
      <c r="AU688" s="7"/>
      <c r="AW688" s="7"/>
      <c r="CE688" s="7"/>
      <c r="FZ688" s="2"/>
    </row>
    <row r="689" spans="1:182">
      <c r="A689" s="7"/>
      <c r="D689" s="7"/>
      <c r="E689" s="7"/>
      <c r="F689" s="7"/>
      <c r="G689" s="7"/>
      <c r="H689" s="7"/>
      <c r="I689" s="7"/>
      <c r="J689" s="7"/>
      <c r="K689" s="7"/>
      <c r="L689" s="7"/>
      <c r="M689" s="7"/>
      <c r="N689" s="7"/>
      <c r="O689" s="7"/>
      <c r="P689" s="7"/>
      <c r="Q689" s="7"/>
      <c r="R689" s="7"/>
      <c r="S689" s="7"/>
      <c r="T689" s="7"/>
      <c r="U689" s="7"/>
      <c r="Y689" s="7"/>
      <c r="Z689" s="17"/>
      <c r="AC689" s="7"/>
      <c r="AD689" s="7"/>
      <c r="AE689" s="7"/>
      <c r="AF689" s="7"/>
      <c r="AG689" s="7"/>
      <c r="AH689" s="7"/>
      <c r="AJ689" s="7"/>
      <c r="AK689" s="7"/>
      <c r="AL689" s="7"/>
      <c r="AM689" s="7"/>
      <c r="AN689" s="7"/>
      <c r="AO689" s="7"/>
      <c r="AR689" s="7"/>
      <c r="AS689" s="7"/>
      <c r="AT689" s="7"/>
      <c r="AU689" s="7"/>
      <c r="AW689" s="7"/>
      <c r="CE689" s="7"/>
      <c r="FZ689" s="2"/>
    </row>
    <row r="690" spans="1:182">
      <c r="A690" s="7"/>
      <c r="D690" s="7"/>
      <c r="E690" s="7"/>
      <c r="F690" s="7"/>
      <c r="G690" s="7"/>
      <c r="H690" s="7"/>
      <c r="I690" s="7"/>
      <c r="J690" s="7"/>
      <c r="K690" s="7"/>
      <c r="L690" s="7"/>
      <c r="M690" s="7"/>
      <c r="N690" s="7"/>
      <c r="O690" s="7"/>
      <c r="P690" s="7"/>
      <c r="Q690" s="7"/>
      <c r="R690" s="7"/>
      <c r="S690" s="7"/>
      <c r="T690" s="7"/>
      <c r="U690" s="7"/>
      <c r="Y690" s="7"/>
      <c r="Z690" s="17"/>
      <c r="AC690" s="7"/>
      <c r="AD690" s="7"/>
      <c r="AE690" s="7"/>
      <c r="AF690" s="7"/>
      <c r="AG690" s="7"/>
      <c r="AH690" s="7"/>
      <c r="AJ690" s="7"/>
      <c r="AK690" s="7"/>
      <c r="AL690" s="7"/>
      <c r="AM690" s="7"/>
      <c r="AN690" s="7"/>
      <c r="AO690" s="7"/>
      <c r="AR690" s="7"/>
      <c r="AS690" s="7"/>
      <c r="AT690" s="7"/>
      <c r="AU690" s="7"/>
      <c r="AW690" s="7"/>
      <c r="CE690" s="7"/>
      <c r="FZ690" s="2"/>
    </row>
    <row r="691" spans="1:182">
      <c r="A691" s="7"/>
      <c r="D691" s="7"/>
      <c r="E691" s="7"/>
      <c r="F691" s="7"/>
      <c r="G691" s="7"/>
      <c r="H691" s="7"/>
      <c r="I691" s="7"/>
      <c r="J691" s="7"/>
      <c r="K691" s="7"/>
      <c r="L691" s="7"/>
      <c r="M691" s="7"/>
      <c r="N691" s="7"/>
      <c r="O691" s="7"/>
      <c r="P691" s="7"/>
      <c r="Q691" s="7"/>
      <c r="R691" s="7"/>
      <c r="S691" s="7"/>
      <c r="T691" s="7"/>
      <c r="U691" s="7"/>
      <c r="Y691" s="7"/>
      <c r="Z691" s="17"/>
      <c r="AC691" s="7"/>
      <c r="AD691" s="7"/>
      <c r="AE691" s="7"/>
      <c r="AF691" s="7"/>
      <c r="AG691" s="7"/>
      <c r="AH691" s="7"/>
      <c r="AJ691" s="7"/>
      <c r="AK691" s="7"/>
      <c r="AL691" s="7"/>
      <c r="AM691" s="7"/>
      <c r="AN691" s="7"/>
      <c r="AO691" s="7"/>
      <c r="AR691" s="7"/>
      <c r="AS691" s="7"/>
      <c r="AT691" s="7"/>
      <c r="AU691" s="7"/>
      <c r="AW691" s="7"/>
      <c r="CE691" s="7"/>
      <c r="FZ691" s="2"/>
    </row>
    <row r="692" spans="1:182">
      <c r="A692" s="7"/>
      <c r="D692" s="7"/>
      <c r="E692" s="7"/>
      <c r="F692" s="7"/>
      <c r="G692" s="7"/>
      <c r="H692" s="7"/>
      <c r="I692" s="7"/>
      <c r="J692" s="7"/>
      <c r="K692" s="7"/>
      <c r="L692" s="7"/>
      <c r="M692" s="7"/>
      <c r="N692" s="7"/>
      <c r="O692" s="7"/>
      <c r="P692" s="7"/>
      <c r="Q692" s="7"/>
      <c r="R692" s="7"/>
      <c r="S692" s="7"/>
      <c r="T692" s="7"/>
      <c r="U692" s="7"/>
      <c r="Y692" s="7"/>
      <c r="Z692" s="17"/>
      <c r="AC692" s="7"/>
      <c r="AD692" s="7"/>
      <c r="AE692" s="7"/>
      <c r="AF692" s="7"/>
      <c r="AG692" s="7"/>
      <c r="AH692" s="7"/>
      <c r="AJ692" s="7"/>
      <c r="AK692" s="7"/>
      <c r="AL692" s="7"/>
      <c r="AM692" s="7"/>
      <c r="AN692" s="7"/>
      <c r="AO692" s="7"/>
      <c r="AR692" s="7"/>
      <c r="AS692" s="7"/>
      <c r="AT692" s="7"/>
      <c r="AU692" s="7"/>
      <c r="AW692" s="7"/>
      <c r="CE692" s="7"/>
      <c r="FZ692" s="2"/>
    </row>
    <row r="693" spans="1:182">
      <c r="A693" s="7"/>
      <c r="D693" s="7"/>
      <c r="E693" s="7"/>
      <c r="F693" s="7"/>
      <c r="G693" s="7"/>
      <c r="H693" s="7"/>
      <c r="I693" s="7"/>
      <c r="J693" s="7"/>
      <c r="K693" s="7"/>
      <c r="L693" s="7"/>
      <c r="M693" s="7"/>
      <c r="N693" s="7"/>
      <c r="O693" s="7"/>
      <c r="P693" s="7"/>
      <c r="Q693" s="7"/>
      <c r="R693" s="7"/>
      <c r="S693" s="7"/>
      <c r="T693" s="7"/>
      <c r="U693" s="7"/>
      <c r="Y693" s="7"/>
      <c r="Z693" s="17"/>
      <c r="AC693" s="7"/>
      <c r="AD693" s="7"/>
      <c r="AE693" s="7"/>
      <c r="AF693" s="7"/>
      <c r="AG693" s="7"/>
      <c r="AH693" s="7"/>
      <c r="AJ693" s="7"/>
      <c r="AK693" s="7"/>
      <c r="AL693" s="7"/>
      <c r="AM693" s="7"/>
      <c r="AN693" s="7"/>
      <c r="AO693" s="7"/>
      <c r="AR693" s="7"/>
      <c r="AS693" s="7"/>
      <c r="AT693" s="7"/>
      <c r="AU693" s="7"/>
      <c r="AW693" s="7"/>
      <c r="CE693" s="7"/>
      <c r="FZ693" s="2"/>
    </row>
    <row r="694" spans="1:182">
      <c r="A694" s="7"/>
      <c r="D694" s="7"/>
      <c r="E694" s="7"/>
      <c r="F694" s="7"/>
      <c r="G694" s="7"/>
      <c r="H694" s="7"/>
      <c r="I694" s="7"/>
      <c r="J694" s="7"/>
      <c r="K694" s="7"/>
      <c r="L694" s="7"/>
      <c r="M694" s="7"/>
      <c r="N694" s="7"/>
      <c r="O694" s="7"/>
      <c r="P694" s="7"/>
      <c r="Q694" s="7"/>
      <c r="R694" s="7"/>
      <c r="S694" s="7"/>
      <c r="T694" s="7"/>
      <c r="U694" s="7"/>
      <c r="Y694" s="7"/>
      <c r="Z694" s="17"/>
      <c r="AC694" s="7"/>
      <c r="AD694" s="7"/>
      <c r="AE694" s="7"/>
      <c r="AF694" s="7"/>
      <c r="AG694" s="7"/>
      <c r="AH694" s="7"/>
      <c r="AJ694" s="7"/>
      <c r="AK694" s="7"/>
      <c r="AL694" s="7"/>
      <c r="AM694" s="7"/>
      <c r="AN694" s="7"/>
      <c r="AO694" s="7"/>
      <c r="AR694" s="7"/>
      <c r="AS694" s="7"/>
      <c r="AT694" s="7"/>
      <c r="AU694" s="7"/>
      <c r="AW694" s="7"/>
      <c r="CE694" s="7"/>
      <c r="FZ694" s="2"/>
    </row>
    <row r="695" spans="1:182">
      <c r="A695" s="7"/>
      <c r="D695" s="7"/>
      <c r="E695" s="7"/>
      <c r="F695" s="7"/>
      <c r="G695" s="7"/>
      <c r="H695" s="7"/>
      <c r="I695" s="7"/>
      <c r="J695" s="7"/>
      <c r="K695" s="7"/>
      <c r="L695" s="7"/>
      <c r="M695" s="7"/>
      <c r="N695" s="7"/>
      <c r="O695" s="7"/>
      <c r="P695" s="7"/>
      <c r="Q695" s="7"/>
      <c r="R695" s="7"/>
      <c r="S695" s="7"/>
      <c r="T695" s="7"/>
      <c r="U695" s="7"/>
      <c r="Y695" s="7"/>
      <c r="Z695" s="17"/>
      <c r="AC695" s="7"/>
      <c r="AD695" s="7"/>
      <c r="AE695" s="7"/>
      <c r="AF695" s="7"/>
      <c r="AG695" s="7"/>
      <c r="AH695" s="7"/>
      <c r="AJ695" s="7"/>
      <c r="AK695" s="7"/>
      <c r="AL695" s="7"/>
      <c r="AM695" s="7"/>
      <c r="AN695" s="7"/>
      <c r="AO695" s="7"/>
      <c r="AR695" s="7"/>
      <c r="AS695" s="7"/>
      <c r="AT695" s="7"/>
      <c r="AU695" s="7"/>
      <c r="AW695" s="7"/>
      <c r="CE695" s="7"/>
      <c r="FZ695" s="2"/>
    </row>
    <row r="696" spans="1:182">
      <c r="A696" s="7"/>
      <c r="D696" s="7"/>
      <c r="E696" s="7"/>
      <c r="F696" s="7"/>
      <c r="G696" s="7"/>
      <c r="H696" s="7"/>
      <c r="I696" s="7"/>
      <c r="J696" s="7"/>
      <c r="K696" s="7"/>
      <c r="L696" s="7"/>
      <c r="M696" s="7"/>
      <c r="N696" s="7"/>
      <c r="O696" s="7"/>
      <c r="P696" s="7"/>
      <c r="Q696" s="7"/>
      <c r="R696" s="7"/>
      <c r="S696" s="7"/>
      <c r="T696" s="7"/>
      <c r="U696" s="7"/>
      <c r="Y696" s="7"/>
      <c r="Z696" s="17"/>
      <c r="AC696" s="7"/>
      <c r="AD696" s="7"/>
      <c r="AE696" s="7"/>
      <c r="AF696" s="7"/>
      <c r="AG696" s="7"/>
      <c r="AH696" s="7"/>
      <c r="AJ696" s="7"/>
      <c r="AK696" s="7"/>
      <c r="AL696" s="7"/>
      <c r="AM696" s="7"/>
      <c r="AN696" s="7"/>
      <c r="AO696" s="7"/>
      <c r="AR696" s="7"/>
      <c r="AS696" s="7"/>
      <c r="AT696" s="7"/>
      <c r="AU696" s="7"/>
      <c r="AW696" s="7"/>
      <c r="CE696" s="7"/>
      <c r="FZ696" s="2"/>
    </row>
    <row r="697" spans="1:182">
      <c r="A697" s="7"/>
      <c r="D697" s="7"/>
      <c r="E697" s="7"/>
      <c r="F697" s="7"/>
      <c r="G697" s="7"/>
      <c r="H697" s="7"/>
      <c r="I697" s="7"/>
      <c r="J697" s="7"/>
      <c r="K697" s="7"/>
      <c r="L697" s="7"/>
      <c r="M697" s="7"/>
      <c r="N697" s="7"/>
      <c r="O697" s="7"/>
      <c r="P697" s="7"/>
      <c r="Q697" s="7"/>
      <c r="R697" s="7"/>
      <c r="S697" s="7"/>
      <c r="T697" s="7"/>
      <c r="U697" s="7"/>
      <c r="Y697" s="7"/>
      <c r="Z697" s="17"/>
      <c r="AC697" s="7"/>
      <c r="AD697" s="7"/>
      <c r="AE697" s="7"/>
      <c r="AF697" s="7"/>
      <c r="AG697" s="7"/>
      <c r="AH697" s="7"/>
      <c r="AJ697" s="7"/>
      <c r="AK697" s="7"/>
      <c r="AL697" s="7"/>
      <c r="AM697" s="7"/>
      <c r="AN697" s="7"/>
      <c r="AO697" s="7"/>
      <c r="AR697" s="7"/>
      <c r="AS697" s="7"/>
      <c r="AT697" s="7"/>
      <c r="AU697" s="7"/>
      <c r="AW697" s="7"/>
      <c r="CE697" s="7"/>
      <c r="FZ697" s="2"/>
    </row>
    <row r="698" spans="1:182">
      <c r="A698" s="7"/>
      <c r="D698" s="7"/>
      <c r="E698" s="7"/>
      <c r="F698" s="7"/>
      <c r="G698" s="7"/>
      <c r="H698" s="7"/>
      <c r="I698" s="7"/>
      <c r="J698" s="7"/>
      <c r="K698" s="7"/>
      <c r="L698" s="7"/>
      <c r="M698" s="7"/>
      <c r="N698" s="7"/>
      <c r="O698" s="7"/>
      <c r="P698" s="7"/>
      <c r="Q698" s="7"/>
      <c r="R698" s="7"/>
      <c r="S698" s="7"/>
      <c r="T698" s="7"/>
      <c r="U698" s="7"/>
      <c r="Y698" s="7"/>
      <c r="Z698" s="17"/>
      <c r="AC698" s="7"/>
      <c r="AD698" s="7"/>
      <c r="AE698" s="7"/>
      <c r="AF698" s="7"/>
      <c r="AG698" s="7"/>
      <c r="AH698" s="7"/>
      <c r="AJ698" s="7"/>
      <c r="AK698" s="7"/>
      <c r="AL698" s="7"/>
      <c r="AM698" s="7"/>
      <c r="AN698" s="7"/>
      <c r="AO698" s="7"/>
      <c r="AR698" s="7"/>
      <c r="AS698" s="7"/>
      <c r="AT698" s="7"/>
      <c r="AU698" s="7"/>
      <c r="AW698" s="7"/>
      <c r="CE698" s="7"/>
      <c r="FZ698" s="2"/>
    </row>
    <row r="699" spans="1:182">
      <c r="A699" s="7"/>
      <c r="D699" s="7"/>
      <c r="E699" s="7"/>
      <c r="F699" s="7"/>
      <c r="G699" s="7"/>
      <c r="H699" s="7"/>
      <c r="I699" s="7"/>
      <c r="J699" s="7"/>
      <c r="K699" s="7"/>
      <c r="L699" s="7"/>
      <c r="M699" s="7"/>
      <c r="N699" s="7"/>
      <c r="O699" s="7"/>
      <c r="P699" s="7"/>
      <c r="Q699" s="7"/>
      <c r="R699" s="7"/>
      <c r="S699" s="7"/>
      <c r="T699" s="7"/>
      <c r="U699" s="7"/>
      <c r="Y699" s="7"/>
      <c r="Z699" s="17"/>
      <c r="AC699" s="7"/>
      <c r="AD699" s="7"/>
      <c r="AE699" s="7"/>
      <c r="AF699" s="7"/>
      <c r="AG699" s="7"/>
      <c r="AH699" s="7"/>
      <c r="AJ699" s="7"/>
      <c r="AK699" s="7"/>
      <c r="AL699" s="7"/>
      <c r="AM699" s="7"/>
      <c r="AN699" s="7"/>
      <c r="AO699" s="7"/>
      <c r="AR699" s="7"/>
      <c r="AS699" s="7"/>
      <c r="AT699" s="7"/>
      <c r="AU699" s="7"/>
      <c r="AW699" s="7"/>
      <c r="CE699" s="7"/>
      <c r="FZ699" s="2"/>
    </row>
    <row r="700" spans="1:182">
      <c r="A700" s="7"/>
      <c r="D700" s="7"/>
      <c r="E700" s="7"/>
      <c r="F700" s="7"/>
      <c r="G700" s="7"/>
      <c r="H700" s="7"/>
      <c r="I700" s="7"/>
      <c r="J700" s="7"/>
      <c r="K700" s="7"/>
      <c r="L700" s="7"/>
      <c r="M700" s="7"/>
      <c r="N700" s="7"/>
      <c r="O700" s="7"/>
      <c r="P700" s="7"/>
      <c r="Q700" s="7"/>
      <c r="R700" s="7"/>
      <c r="S700" s="7"/>
      <c r="T700" s="7"/>
      <c r="U700" s="7"/>
      <c r="Y700" s="7"/>
      <c r="Z700" s="17"/>
      <c r="AC700" s="7"/>
      <c r="AD700" s="7"/>
      <c r="AE700" s="7"/>
      <c r="AF700" s="7"/>
      <c r="AG700" s="7"/>
      <c r="AH700" s="7"/>
      <c r="AJ700" s="7"/>
      <c r="AK700" s="7"/>
      <c r="AL700" s="7"/>
      <c r="AM700" s="7"/>
      <c r="AN700" s="7"/>
      <c r="AO700" s="7"/>
      <c r="AR700" s="7"/>
      <c r="AS700" s="7"/>
      <c r="AT700" s="7"/>
      <c r="AU700" s="7"/>
      <c r="AW700" s="7"/>
      <c r="CE700" s="7"/>
      <c r="FZ700" s="2"/>
    </row>
    <row r="701" spans="1:182">
      <c r="A701" s="7"/>
      <c r="D701" s="7"/>
      <c r="E701" s="7"/>
      <c r="F701" s="7"/>
      <c r="G701" s="7"/>
      <c r="H701" s="7"/>
      <c r="I701" s="7"/>
      <c r="J701" s="7"/>
      <c r="K701" s="7"/>
      <c r="L701" s="7"/>
      <c r="M701" s="7"/>
      <c r="N701" s="7"/>
      <c r="O701" s="7"/>
      <c r="P701" s="7"/>
      <c r="Q701" s="7"/>
      <c r="R701" s="7"/>
      <c r="S701" s="7"/>
      <c r="T701" s="7"/>
      <c r="U701" s="7"/>
      <c r="Y701" s="7"/>
      <c r="Z701" s="17"/>
      <c r="AC701" s="7"/>
      <c r="AD701" s="7"/>
      <c r="AE701" s="7"/>
      <c r="AF701" s="7"/>
      <c r="AG701" s="7"/>
      <c r="AH701" s="7"/>
      <c r="AJ701" s="7"/>
      <c r="AK701" s="7"/>
      <c r="AL701" s="7"/>
      <c r="AM701" s="7"/>
      <c r="AN701" s="7"/>
      <c r="AO701" s="7"/>
      <c r="AR701" s="7"/>
      <c r="AS701" s="7"/>
      <c r="AT701" s="7"/>
      <c r="AU701" s="7"/>
      <c r="AW701" s="7"/>
      <c r="CE701" s="7"/>
      <c r="FZ701" s="2"/>
    </row>
    <row r="702" spans="1:182">
      <c r="A702" s="7"/>
      <c r="D702" s="7"/>
      <c r="E702" s="7"/>
      <c r="F702" s="7"/>
      <c r="G702" s="7"/>
      <c r="H702" s="7"/>
      <c r="I702" s="7"/>
      <c r="J702" s="7"/>
      <c r="K702" s="7"/>
      <c r="L702" s="7"/>
      <c r="M702" s="7"/>
      <c r="N702" s="7"/>
      <c r="O702" s="7"/>
      <c r="P702" s="7"/>
      <c r="Q702" s="7"/>
      <c r="R702" s="7"/>
      <c r="S702" s="7"/>
      <c r="T702" s="7"/>
      <c r="U702" s="7"/>
      <c r="Y702" s="7"/>
      <c r="Z702" s="17"/>
      <c r="AC702" s="7"/>
      <c r="AD702" s="7"/>
      <c r="AE702" s="7"/>
      <c r="AF702" s="7"/>
      <c r="AG702" s="7"/>
      <c r="AH702" s="7"/>
      <c r="AJ702" s="7"/>
      <c r="AK702" s="7"/>
      <c r="AL702" s="7"/>
      <c r="AM702" s="7"/>
      <c r="AN702" s="7"/>
      <c r="AO702" s="7"/>
      <c r="AR702" s="7"/>
      <c r="AS702" s="7"/>
      <c r="AT702" s="7"/>
      <c r="AU702" s="7"/>
      <c r="AW702" s="7"/>
      <c r="CE702" s="7"/>
      <c r="FZ702" s="2"/>
    </row>
    <row r="703" spans="1:182">
      <c r="A703" s="7"/>
      <c r="D703" s="7"/>
      <c r="E703" s="7"/>
      <c r="F703" s="7"/>
      <c r="G703" s="7"/>
      <c r="H703" s="7"/>
      <c r="I703" s="7"/>
      <c r="J703" s="7"/>
      <c r="K703" s="7"/>
      <c r="L703" s="7"/>
      <c r="M703" s="7"/>
      <c r="N703" s="7"/>
      <c r="O703" s="7"/>
      <c r="P703" s="7"/>
      <c r="Q703" s="7"/>
      <c r="R703" s="7"/>
      <c r="S703" s="7"/>
      <c r="T703" s="7"/>
      <c r="U703" s="7"/>
      <c r="Y703" s="7"/>
      <c r="Z703" s="17"/>
      <c r="AC703" s="7"/>
      <c r="AD703" s="7"/>
      <c r="AE703" s="7"/>
      <c r="AF703" s="7"/>
      <c r="AG703" s="7"/>
      <c r="AH703" s="7"/>
      <c r="AJ703" s="7"/>
      <c r="AK703" s="7"/>
      <c r="AL703" s="7"/>
      <c r="AM703" s="7"/>
      <c r="AN703" s="7"/>
      <c r="AO703" s="7"/>
      <c r="AR703" s="7"/>
      <c r="AS703" s="7"/>
      <c r="AT703" s="7"/>
      <c r="AU703" s="7"/>
      <c r="AW703" s="7"/>
      <c r="CE703" s="7"/>
      <c r="FZ703" s="2"/>
    </row>
    <row r="704" spans="1:182">
      <c r="A704" s="7"/>
      <c r="D704" s="7"/>
      <c r="E704" s="7"/>
      <c r="F704" s="7"/>
      <c r="G704" s="7"/>
      <c r="H704" s="7"/>
      <c r="I704" s="7"/>
      <c r="J704" s="7"/>
      <c r="K704" s="7"/>
      <c r="L704" s="7"/>
      <c r="M704" s="7"/>
      <c r="N704" s="7"/>
      <c r="O704" s="7"/>
      <c r="P704" s="7"/>
      <c r="Q704" s="7"/>
      <c r="R704" s="7"/>
      <c r="S704" s="7"/>
      <c r="T704" s="7"/>
      <c r="U704" s="7"/>
      <c r="Y704" s="7"/>
      <c r="Z704" s="17"/>
      <c r="AC704" s="7"/>
      <c r="AD704" s="7"/>
      <c r="AE704" s="7"/>
      <c r="AF704" s="7"/>
      <c r="AG704" s="7"/>
      <c r="AH704" s="7"/>
      <c r="AJ704" s="7"/>
      <c r="AK704" s="7"/>
      <c r="AL704" s="7"/>
      <c r="AM704" s="7"/>
      <c r="AN704" s="7"/>
      <c r="AO704" s="7"/>
      <c r="AR704" s="7"/>
      <c r="AS704" s="7"/>
      <c r="AT704" s="7"/>
      <c r="AU704" s="7"/>
      <c r="AW704" s="7"/>
      <c r="CE704" s="7"/>
      <c r="FZ704" s="2"/>
    </row>
    <row r="705" spans="1:182">
      <c r="A705" s="7"/>
      <c r="D705" s="7"/>
      <c r="E705" s="7"/>
      <c r="F705" s="7"/>
      <c r="G705" s="7"/>
      <c r="H705" s="7"/>
      <c r="I705" s="7"/>
      <c r="J705" s="7"/>
      <c r="K705" s="7"/>
      <c r="L705" s="7"/>
      <c r="M705" s="7"/>
      <c r="N705" s="7"/>
      <c r="O705" s="7"/>
      <c r="P705" s="7"/>
      <c r="Q705" s="7"/>
      <c r="R705" s="7"/>
      <c r="S705" s="7"/>
      <c r="T705" s="7"/>
      <c r="U705" s="7"/>
      <c r="Y705" s="7"/>
      <c r="Z705" s="17"/>
      <c r="AC705" s="7"/>
      <c r="AD705" s="7"/>
      <c r="AE705" s="7"/>
      <c r="AF705" s="7"/>
      <c r="AG705" s="7"/>
      <c r="AH705" s="7"/>
      <c r="AJ705" s="7"/>
      <c r="AK705" s="7"/>
      <c r="AL705" s="7"/>
      <c r="AM705" s="7"/>
      <c r="AN705" s="7"/>
      <c r="AO705" s="7"/>
      <c r="AR705" s="7"/>
      <c r="AS705" s="7"/>
      <c r="AT705" s="7"/>
      <c r="AU705" s="7"/>
      <c r="AW705" s="7"/>
      <c r="CE705" s="7"/>
      <c r="FZ705" s="2"/>
    </row>
    <row r="706" spans="1:182">
      <c r="A706" s="7"/>
      <c r="D706" s="7"/>
      <c r="E706" s="7"/>
      <c r="F706" s="7"/>
      <c r="G706" s="7"/>
      <c r="H706" s="7"/>
      <c r="I706" s="7"/>
      <c r="J706" s="7"/>
      <c r="K706" s="7"/>
      <c r="L706" s="7"/>
      <c r="M706" s="7"/>
      <c r="N706" s="7"/>
      <c r="O706" s="7"/>
      <c r="P706" s="7"/>
      <c r="Q706" s="7"/>
      <c r="R706" s="7"/>
      <c r="S706" s="7"/>
      <c r="T706" s="7"/>
      <c r="U706" s="7"/>
      <c r="Y706" s="7"/>
      <c r="Z706" s="17"/>
      <c r="AC706" s="7"/>
      <c r="AD706" s="7"/>
      <c r="AE706" s="7"/>
      <c r="AF706" s="7"/>
      <c r="AG706" s="7"/>
      <c r="AH706" s="7"/>
      <c r="AJ706" s="7"/>
      <c r="AK706" s="7"/>
      <c r="AL706" s="7"/>
      <c r="AM706" s="7"/>
      <c r="AN706" s="7"/>
      <c r="AO706" s="7"/>
      <c r="AR706" s="7"/>
      <c r="AS706" s="7"/>
      <c r="AT706" s="7"/>
      <c r="AU706" s="7"/>
      <c r="AW706" s="7"/>
      <c r="CE706" s="7"/>
      <c r="FZ706" s="2"/>
    </row>
    <row r="707" spans="1:182">
      <c r="A707" s="7"/>
      <c r="D707" s="7"/>
      <c r="E707" s="7"/>
      <c r="F707" s="7"/>
      <c r="G707" s="7"/>
      <c r="H707" s="7"/>
      <c r="I707" s="7"/>
      <c r="J707" s="7"/>
      <c r="K707" s="7"/>
      <c r="L707" s="7"/>
      <c r="M707" s="7"/>
      <c r="N707" s="7"/>
      <c r="O707" s="7"/>
      <c r="P707" s="7"/>
      <c r="Q707" s="7"/>
      <c r="R707" s="7"/>
      <c r="S707" s="7"/>
      <c r="T707" s="7"/>
      <c r="U707" s="7"/>
      <c r="Y707" s="7"/>
      <c r="Z707" s="17"/>
      <c r="AC707" s="7"/>
      <c r="AD707" s="7"/>
      <c r="AE707" s="7"/>
      <c r="AF707" s="7"/>
      <c r="AG707" s="7"/>
      <c r="AH707" s="7"/>
      <c r="AJ707" s="7"/>
      <c r="AK707" s="7"/>
      <c r="AL707" s="7"/>
      <c r="AM707" s="7"/>
      <c r="AN707" s="7"/>
      <c r="AO707" s="7"/>
      <c r="AR707" s="7"/>
      <c r="AS707" s="7"/>
      <c r="AT707" s="7"/>
      <c r="AU707" s="7"/>
      <c r="AW707" s="7"/>
      <c r="CE707" s="7"/>
      <c r="FZ707" s="2"/>
    </row>
    <row r="708" spans="1:182">
      <c r="A708" s="7"/>
      <c r="D708" s="7"/>
      <c r="E708" s="7"/>
      <c r="F708" s="7"/>
      <c r="G708" s="7"/>
      <c r="H708" s="7"/>
      <c r="I708" s="7"/>
      <c r="J708" s="7"/>
      <c r="K708" s="7"/>
      <c r="L708" s="7"/>
      <c r="M708" s="7"/>
      <c r="N708" s="7"/>
      <c r="O708" s="7"/>
      <c r="P708" s="7"/>
      <c r="Q708" s="7"/>
      <c r="R708" s="7"/>
      <c r="S708" s="7"/>
      <c r="T708" s="7"/>
      <c r="U708" s="7"/>
      <c r="Y708" s="7"/>
      <c r="Z708" s="17"/>
      <c r="AC708" s="7"/>
      <c r="AD708" s="7"/>
      <c r="AE708" s="7"/>
      <c r="AF708" s="7"/>
      <c r="AG708" s="7"/>
      <c r="AH708" s="7"/>
      <c r="AJ708" s="7"/>
      <c r="AK708" s="7"/>
      <c r="AL708" s="7"/>
      <c r="AM708" s="7"/>
      <c r="AN708" s="7"/>
      <c r="AO708" s="7"/>
      <c r="AR708" s="7"/>
      <c r="AS708" s="7"/>
      <c r="AT708" s="7"/>
      <c r="AU708" s="7"/>
      <c r="AW708" s="7"/>
      <c r="CE708" s="7"/>
      <c r="FZ708" s="2"/>
    </row>
    <row r="709" spans="1:182">
      <c r="A709" s="7"/>
      <c r="D709" s="7"/>
      <c r="E709" s="7"/>
      <c r="F709" s="7"/>
      <c r="G709" s="7"/>
      <c r="H709" s="7"/>
      <c r="I709" s="7"/>
      <c r="J709" s="7"/>
      <c r="K709" s="7"/>
      <c r="L709" s="7"/>
      <c r="M709" s="7"/>
      <c r="N709" s="7"/>
      <c r="O709" s="7"/>
      <c r="P709" s="7"/>
      <c r="Q709" s="7"/>
      <c r="R709" s="7"/>
      <c r="S709" s="7"/>
      <c r="T709" s="7"/>
      <c r="U709" s="7"/>
      <c r="Y709" s="7"/>
      <c r="Z709" s="17"/>
      <c r="AC709" s="7"/>
      <c r="AD709" s="7"/>
      <c r="AE709" s="7"/>
      <c r="AF709" s="7"/>
      <c r="AG709" s="7"/>
      <c r="AH709" s="7"/>
      <c r="AJ709" s="7"/>
      <c r="AK709" s="7"/>
      <c r="AL709" s="7"/>
      <c r="AM709" s="7"/>
      <c r="AN709" s="7"/>
      <c r="AO709" s="7"/>
      <c r="AR709" s="7"/>
      <c r="AS709" s="7"/>
      <c r="AT709" s="7"/>
      <c r="AU709" s="7"/>
      <c r="AW709" s="7"/>
      <c r="CE709" s="7"/>
      <c r="FZ709" s="2"/>
    </row>
    <row r="710" spans="1:182">
      <c r="A710" s="7"/>
      <c r="D710" s="7"/>
      <c r="E710" s="7"/>
      <c r="F710" s="7"/>
      <c r="G710" s="7"/>
      <c r="H710" s="7"/>
      <c r="I710" s="7"/>
      <c r="J710" s="7"/>
      <c r="K710" s="7"/>
      <c r="L710" s="7"/>
      <c r="M710" s="7"/>
      <c r="N710" s="7"/>
      <c r="O710" s="7"/>
      <c r="P710" s="7"/>
      <c r="Q710" s="7"/>
      <c r="R710" s="7"/>
      <c r="S710" s="7"/>
      <c r="T710" s="7"/>
      <c r="U710" s="7"/>
      <c r="Y710" s="7"/>
      <c r="Z710" s="17"/>
      <c r="AC710" s="7"/>
      <c r="AD710" s="7"/>
      <c r="AE710" s="7"/>
      <c r="AF710" s="7"/>
      <c r="AG710" s="7"/>
      <c r="AH710" s="7"/>
      <c r="AJ710" s="7"/>
      <c r="AK710" s="7"/>
      <c r="AL710" s="7"/>
      <c r="AM710" s="7"/>
      <c r="AN710" s="7"/>
      <c r="AO710" s="7"/>
      <c r="AR710" s="7"/>
      <c r="AS710" s="7"/>
      <c r="AT710" s="7"/>
      <c r="AU710" s="7"/>
      <c r="AW710" s="7"/>
      <c r="CE710" s="7"/>
      <c r="FZ710" s="2"/>
    </row>
    <row r="711" spans="1:182">
      <c r="A711" s="7"/>
      <c r="D711" s="7"/>
      <c r="E711" s="7"/>
      <c r="F711" s="7"/>
      <c r="G711" s="7"/>
      <c r="H711" s="7"/>
      <c r="I711" s="7"/>
      <c r="J711" s="7"/>
      <c r="K711" s="7"/>
      <c r="L711" s="7"/>
      <c r="M711" s="7"/>
      <c r="N711" s="7"/>
      <c r="O711" s="7"/>
      <c r="P711" s="7"/>
      <c r="Q711" s="7"/>
      <c r="R711" s="7"/>
      <c r="S711" s="7"/>
      <c r="T711" s="7"/>
      <c r="U711" s="7"/>
      <c r="Y711" s="7"/>
      <c r="Z711" s="17"/>
      <c r="AC711" s="7"/>
      <c r="AD711" s="7"/>
      <c r="AE711" s="7"/>
      <c r="AF711" s="7"/>
      <c r="AG711" s="7"/>
      <c r="AH711" s="7"/>
      <c r="AJ711" s="7"/>
      <c r="AK711" s="7"/>
      <c r="AL711" s="7"/>
      <c r="AM711" s="7"/>
      <c r="AN711" s="7"/>
      <c r="AO711" s="7"/>
      <c r="AR711" s="7"/>
      <c r="AS711" s="7"/>
      <c r="AT711" s="7"/>
      <c r="AU711" s="7"/>
      <c r="AW711" s="7"/>
      <c r="CE711" s="7"/>
      <c r="FZ711" s="2"/>
    </row>
    <row r="712" spans="1:182">
      <c r="A712" s="7"/>
      <c r="D712" s="7"/>
      <c r="E712" s="7"/>
      <c r="F712" s="7"/>
      <c r="G712" s="7"/>
      <c r="H712" s="7"/>
      <c r="I712" s="7"/>
      <c r="J712" s="7"/>
      <c r="K712" s="7"/>
      <c r="L712" s="7"/>
      <c r="M712" s="7"/>
      <c r="N712" s="7"/>
      <c r="O712" s="7"/>
      <c r="P712" s="7"/>
      <c r="Q712" s="7"/>
      <c r="R712" s="7"/>
      <c r="S712" s="7"/>
      <c r="T712" s="7"/>
      <c r="U712" s="7"/>
      <c r="Y712" s="7"/>
      <c r="Z712" s="17"/>
      <c r="AC712" s="7"/>
      <c r="AD712" s="7"/>
      <c r="AE712" s="7"/>
      <c r="AF712" s="7"/>
      <c r="AG712" s="7"/>
      <c r="AH712" s="7"/>
      <c r="AJ712" s="7"/>
      <c r="AK712" s="7"/>
      <c r="AL712" s="7"/>
      <c r="AM712" s="7"/>
      <c r="AN712" s="7"/>
      <c r="AO712" s="7"/>
      <c r="AR712" s="7"/>
      <c r="AS712" s="7"/>
      <c r="AT712" s="7"/>
      <c r="AU712" s="7"/>
      <c r="AW712" s="7"/>
      <c r="CE712" s="7"/>
      <c r="FZ712" s="2"/>
    </row>
    <row r="713" spans="1:182">
      <c r="A713" s="7"/>
      <c r="D713" s="7"/>
      <c r="E713" s="7"/>
      <c r="F713" s="7"/>
      <c r="G713" s="7"/>
      <c r="H713" s="7"/>
      <c r="I713" s="7"/>
      <c r="J713" s="7"/>
      <c r="K713" s="7"/>
      <c r="L713" s="7"/>
      <c r="M713" s="7"/>
      <c r="N713" s="7"/>
      <c r="O713" s="7"/>
      <c r="P713" s="7"/>
      <c r="Q713" s="7"/>
      <c r="R713" s="7"/>
      <c r="S713" s="7"/>
      <c r="T713" s="7"/>
      <c r="U713" s="7"/>
      <c r="Y713" s="7"/>
      <c r="Z713" s="17"/>
      <c r="AC713" s="7"/>
      <c r="AD713" s="7"/>
      <c r="AE713" s="7"/>
      <c r="AF713" s="7"/>
      <c r="AG713" s="7"/>
      <c r="AH713" s="7"/>
      <c r="AJ713" s="7"/>
      <c r="AK713" s="7"/>
      <c r="AL713" s="7"/>
      <c r="AM713" s="7"/>
      <c r="AN713" s="7"/>
      <c r="AO713" s="7"/>
      <c r="AR713" s="7"/>
      <c r="AS713" s="7"/>
      <c r="AT713" s="7"/>
      <c r="AU713" s="7"/>
      <c r="AW713" s="7"/>
      <c r="CE713" s="7"/>
      <c r="FZ713" s="2"/>
    </row>
    <row r="714" spans="1:182">
      <c r="A714" s="7"/>
      <c r="D714" s="7"/>
      <c r="E714" s="7"/>
      <c r="F714" s="7"/>
      <c r="G714" s="7"/>
      <c r="H714" s="7"/>
      <c r="I714" s="7"/>
      <c r="J714" s="7"/>
      <c r="K714" s="7"/>
      <c r="L714" s="7"/>
      <c r="M714" s="7"/>
      <c r="N714" s="7"/>
      <c r="O714" s="7"/>
      <c r="P714" s="7"/>
      <c r="Q714" s="7"/>
      <c r="R714" s="7"/>
      <c r="S714" s="7"/>
      <c r="T714" s="7"/>
      <c r="U714" s="7"/>
      <c r="Y714" s="7"/>
      <c r="Z714" s="17"/>
      <c r="AC714" s="7"/>
      <c r="AD714" s="7"/>
      <c r="AE714" s="7"/>
      <c r="AF714" s="7"/>
      <c r="AG714" s="7"/>
      <c r="AH714" s="7"/>
      <c r="AJ714" s="7"/>
      <c r="AK714" s="7"/>
      <c r="AL714" s="7"/>
      <c r="AM714" s="7"/>
      <c r="AN714" s="7"/>
      <c r="AO714" s="7"/>
      <c r="AR714" s="7"/>
      <c r="AS714" s="7"/>
      <c r="AT714" s="7"/>
      <c r="AU714" s="7"/>
      <c r="AW714" s="7"/>
      <c r="CE714" s="7"/>
      <c r="FZ714" s="2"/>
    </row>
    <row r="715" spans="1:182">
      <c r="A715" s="7"/>
      <c r="D715" s="7"/>
      <c r="E715" s="7"/>
      <c r="F715" s="7"/>
      <c r="G715" s="7"/>
      <c r="H715" s="7"/>
      <c r="I715" s="7"/>
      <c r="J715" s="7"/>
      <c r="K715" s="7"/>
      <c r="L715" s="7"/>
      <c r="M715" s="7"/>
      <c r="N715" s="7"/>
      <c r="O715" s="7"/>
      <c r="P715" s="7"/>
      <c r="Q715" s="7"/>
      <c r="R715" s="7"/>
      <c r="S715" s="7"/>
      <c r="T715" s="7"/>
      <c r="U715" s="7"/>
      <c r="Y715" s="7"/>
      <c r="Z715" s="17"/>
      <c r="AC715" s="7"/>
      <c r="AD715" s="7"/>
      <c r="AE715" s="7"/>
      <c r="AF715" s="7"/>
      <c r="AG715" s="7"/>
      <c r="AH715" s="7"/>
      <c r="AJ715" s="7"/>
      <c r="AK715" s="7"/>
      <c r="AL715" s="7"/>
      <c r="AM715" s="7"/>
      <c r="AN715" s="7"/>
      <c r="AO715" s="7"/>
      <c r="AR715" s="7"/>
      <c r="AS715" s="7"/>
      <c r="AT715" s="7"/>
      <c r="AU715" s="7"/>
      <c r="AW715" s="7"/>
      <c r="CE715" s="7"/>
      <c r="FZ715" s="2"/>
    </row>
    <row r="716" spans="1:182">
      <c r="A716" s="7"/>
      <c r="D716" s="7"/>
      <c r="E716" s="7"/>
      <c r="F716" s="7"/>
      <c r="G716" s="7"/>
      <c r="H716" s="7"/>
      <c r="I716" s="7"/>
      <c r="J716" s="7"/>
      <c r="K716" s="7"/>
      <c r="L716" s="7"/>
      <c r="M716" s="7"/>
      <c r="N716" s="7"/>
      <c r="O716" s="7"/>
      <c r="P716" s="7"/>
      <c r="Q716" s="7"/>
      <c r="R716" s="7"/>
      <c r="S716" s="7"/>
      <c r="T716" s="7"/>
      <c r="U716" s="7"/>
      <c r="Y716" s="7"/>
      <c r="Z716" s="17"/>
      <c r="AC716" s="7"/>
      <c r="AD716" s="7"/>
      <c r="AE716" s="7"/>
      <c r="AF716" s="7"/>
      <c r="AG716" s="7"/>
      <c r="AH716" s="7"/>
      <c r="AJ716" s="7"/>
      <c r="AK716" s="7"/>
      <c r="AL716" s="7"/>
      <c r="AM716" s="7"/>
      <c r="AN716" s="7"/>
      <c r="AO716" s="7"/>
      <c r="AR716" s="7"/>
      <c r="AS716" s="7"/>
      <c r="AT716" s="7"/>
      <c r="AU716" s="7"/>
      <c r="AW716" s="7"/>
      <c r="CE716" s="7"/>
      <c r="FZ716" s="2"/>
    </row>
    <row r="717" spans="1:182">
      <c r="A717" s="7"/>
      <c r="D717" s="7"/>
      <c r="E717" s="7"/>
      <c r="F717" s="7"/>
      <c r="G717" s="7"/>
      <c r="H717" s="7"/>
      <c r="I717" s="7"/>
      <c r="J717" s="7"/>
      <c r="K717" s="7"/>
      <c r="L717" s="7"/>
      <c r="M717" s="7"/>
      <c r="N717" s="7"/>
      <c r="O717" s="7"/>
      <c r="P717" s="7"/>
      <c r="Q717" s="7"/>
      <c r="R717" s="7"/>
      <c r="S717" s="7"/>
      <c r="T717" s="7"/>
      <c r="U717" s="7"/>
      <c r="Y717" s="7"/>
      <c r="Z717" s="17"/>
      <c r="AC717" s="7"/>
      <c r="AD717" s="7"/>
      <c r="AE717" s="7"/>
      <c r="AF717" s="7"/>
      <c r="AG717" s="7"/>
      <c r="AH717" s="7"/>
      <c r="AJ717" s="7"/>
      <c r="AK717" s="7"/>
      <c r="AL717" s="7"/>
      <c r="AM717" s="7"/>
      <c r="AN717" s="7"/>
      <c r="AO717" s="7"/>
      <c r="AR717" s="7"/>
      <c r="AS717" s="7"/>
      <c r="AT717" s="7"/>
      <c r="AU717" s="7"/>
      <c r="AW717" s="7"/>
      <c r="CE717" s="7"/>
      <c r="FZ717" s="2"/>
    </row>
    <row r="718" spans="1:182">
      <c r="A718" s="7"/>
      <c r="D718" s="7"/>
      <c r="E718" s="7"/>
      <c r="F718" s="7"/>
      <c r="G718" s="7"/>
      <c r="H718" s="7"/>
      <c r="I718" s="7"/>
      <c r="J718" s="7"/>
      <c r="K718" s="7"/>
      <c r="L718" s="7"/>
      <c r="M718" s="7"/>
      <c r="N718" s="7"/>
      <c r="O718" s="7"/>
      <c r="P718" s="7"/>
      <c r="Q718" s="7"/>
      <c r="R718" s="7"/>
      <c r="S718" s="7"/>
      <c r="T718" s="7"/>
      <c r="U718" s="7"/>
      <c r="Y718" s="7"/>
      <c r="Z718" s="17"/>
      <c r="AC718" s="7"/>
      <c r="AD718" s="7"/>
      <c r="AE718" s="7"/>
      <c r="AF718" s="7"/>
      <c r="AG718" s="7"/>
      <c r="AH718" s="7"/>
      <c r="AJ718" s="7"/>
      <c r="AK718" s="7"/>
      <c r="AL718" s="7"/>
      <c r="AM718" s="7"/>
      <c r="AN718" s="7"/>
      <c r="AO718" s="7"/>
      <c r="AR718" s="7"/>
      <c r="AS718" s="7"/>
      <c r="AT718" s="7"/>
      <c r="AU718" s="7"/>
      <c r="AW718" s="7"/>
      <c r="CE718" s="7"/>
      <c r="FZ718" s="2"/>
    </row>
    <row r="719" spans="1:182">
      <c r="A719" s="7"/>
      <c r="D719" s="7"/>
      <c r="E719" s="7"/>
      <c r="F719" s="7"/>
      <c r="G719" s="7"/>
      <c r="H719" s="7"/>
      <c r="I719" s="7"/>
      <c r="J719" s="7"/>
      <c r="K719" s="7"/>
      <c r="L719" s="7"/>
      <c r="M719" s="7"/>
      <c r="N719" s="7"/>
      <c r="O719" s="7"/>
      <c r="P719" s="7"/>
      <c r="Q719" s="7"/>
      <c r="R719" s="7"/>
      <c r="S719" s="7"/>
      <c r="T719" s="7"/>
      <c r="U719" s="7"/>
      <c r="Y719" s="7"/>
      <c r="Z719" s="17"/>
      <c r="AC719" s="7"/>
      <c r="AD719" s="7"/>
      <c r="AE719" s="7"/>
      <c r="AF719" s="7"/>
      <c r="AG719" s="7"/>
      <c r="AH719" s="7"/>
      <c r="AJ719" s="7"/>
      <c r="AK719" s="7"/>
      <c r="AL719" s="7"/>
      <c r="AM719" s="7"/>
      <c r="AN719" s="7"/>
      <c r="AO719" s="7"/>
      <c r="AR719" s="7"/>
      <c r="AS719" s="7"/>
      <c r="AT719" s="7"/>
      <c r="AU719" s="7"/>
      <c r="AW719" s="7"/>
      <c r="CE719" s="7"/>
      <c r="FZ719" s="2"/>
    </row>
    <row r="720" spans="1:182">
      <c r="A720" s="7"/>
      <c r="D720" s="7"/>
      <c r="E720" s="7"/>
      <c r="F720" s="7"/>
      <c r="G720" s="7"/>
      <c r="H720" s="7"/>
      <c r="I720" s="7"/>
      <c r="J720" s="7"/>
      <c r="K720" s="7"/>
      <c r="L720" s="7"/>
      <c r="M720" s="7"/>
      <c r="N720" s="7"/>
      <c r="O720" s="7"/>
      <c r="P720" s="7"/>
      <c r="Q720" s="7"/>
      <c r="R720" s="7"/>
      <c r="S720" s="7"/>
      <c r="T720" s="7"/>
      <c r="U720" s="7"/>
      <c r="Y720" s="7"/>
      <c r="Z720" s="17"/>
      <c r="AC720" s="7"/>
      <c r="AD720" s="7"/>
      <c r="AE720" s="7"/>
      <c r="AF720" s="7"/>
      <c r="AG720" s="7"/>
      <c r="AH720" s="7"/>
      <c r="AJ720" s="7"/>
      <c r="AK720" s="7"/>
      <c r="AL720" s="7"/>
      <c r="AM720" s="7"/>
      <c r="AN720" s="7"/>
      <c r="AO720" s="7"/>
      <c r="AR720" s="7"/>
      <c r="AS720" s="7"/>
      <c r="AT720" s="7"/>
      <c r="AU720" s="7"/>
      <c r="AW720" s="7"/>
      <c r="CE720" s="7"/>
      <c r="FZ720" s="2"/>
    </row>
    <row r="721" spans="1:182">
      <c r="A721" s="7"/>
      <c r="D721" s="7"/>
      <c r="E721" s="7"/>
      <c r="F721" s="7"/>
      <c r="G721" s="7"/>
      <c r="H721" s="7"/>
      <c r="I721" s="7"/>
      <c r="J721" s="7"/>
      <c r="K721" s="7"/>
      <c r="L721" s="7"/>
      <c r="M721" s="7"/>
      <c r="N721" s="7"/>
      <c r="O721" s="7"/>
      <c r="P721" s="7"/>
      <c r="Q721" s="7"/>
      <c r="R721" s="7"/>
      <c r="S721" s="7"/>
      <c r="T721" s="7"/>
      <c r="U721" s="7"/>
      <c r="Y721" s="7"/>
      <c r="Z721" s="17"/>
      <c r="AC721" s="7"/>
      <c r="AD721" s="7"/>
      <c r="AE721" s="7"/>
      <c r="AF721" s="7"/>
      <c r="AG721" s="7"/>
      <c r="AH721" s="7"/>
      <c r="AJ721" s="7"/>
      <c r="AK721" s="7"/>
      <c r="AL721" s="7"/>
      <c r="AM721" s="7"/>
      <c r="AN721" s="7"/>
      <c r="AO721" s="7"/>
      <c r="AR721" s="7"/>
      <c r="AS721" s="7"/>
      <c r="AT721" s="7"/>
      <c r="AU721" s="7"/>
      <c r="AW721" s="7"/>
      <c r="CE721" s="7"/>
      <c r="FZ721" s="2"/>
    </row>
    <row r="722" spans="1:182">
      <c r="A722" s="7"/>
      <c r="D722" s="7"/>
      <c r="E722" s="7"/>
      <c r="F722" s="7"/>
      <c r="G722" s="7"/>
      <c r="H722" s="7"/>
      <c r="I722" s="7"/>
      <c r="J722" s="7"/>
      <c r="K722" s="7"/>
      <c r="L722" s="7"/>
      <c r="M722" s="7"/>
      <c r="N722" s="7"/>
      <c r="O722" s="7"/>
      <c r="P722" s="7"/>
      <c r="Q722" s="7"/>
      <c r="R722" s="7"/>
      <c r="S722" s="7"/>
      <c r="T722" s="7"/>
      <c r="U722" s="7"/>
      <c r="Y722" s="7"/>
      <c r="Z722" s="17"/>
      <c r="AC722" s="7"/>
      <c r="AD722" s="7"/>
      <c r="AE722" s="7"/>
      <c r="AF722" s="7"/>
      <c r="AG722" s="7"/>
      <c r="AH722" s="7"/>
      <c r="AJ722" s="7"/>
      <c r="AK722" s="7"/>
      <c r="AL722" s="7"/>
      <c r="AM722" s="7"/>
      <c r="AN722" s="7"/>
      <c r="AO722" s="7"/>
      <c r="AR722" s="7"/>
      <c r="AS722" s="7"/>
      <c r="AT722" s="7"/>
      <c r="AU722" s="7"/>
      <c r="AW722" s="7"/>
      <c r="CE722" s="7"/>
      <c r="FZ722" s="2"/>
    </row>
    <row r="723" spans="1:182">
      <c r="A723" s="7"/>
      <c r="D723" s="7"/>
      <c r="E723" s="7"/>
      <c r="F723" s="7"/>
      <c r="G723" s="7"/>
      <c r="H723" s="7"/>
      <c r="I723" s="7"/>
      <c r="J723" s="7"/>
      <c r="K723" s="7"/>
      <c r="L723" s="7"/>
      <c r="M723" s="7"/>
      <c r="N723" s="7"/>
      <c r="O723" s="7"/>
      <c r="P723" s="7"/>
      <c r="Q723" s="7"/>
      <c r="R723" s="7"/>
      <c r="S723" s="7"/>
      <c r="T723" s="7"/>
      <c r="U723" s="7"/>
      <c r="Y723" s="7"/>
      <c r="Z723" s="17"/>
      <c r="AC723" s="7"/>
      <c r="AD723" s="7"/>
      <c r="AE723" s="7"/>
      <c r="AF723" s="7"/>
      <c r="AG723" s="7"/>
      <c r="AH723" s="7"/>
      <c r="AJ723" s="7"/>
      <c r="AK723" s="7"/>
      <c r="AL723" s="7"/>
      <c r="AM723" s="7"/>
      <c r="AN723" s="7"/>
      <c r="AO723" s="7"/>
      <c r="AR723" s="7"/>
      <c r="AS723" s="7"/>
      <c r="AT723" s="7"/>
      <c r="AU723" s="7"/>
      <c r="AW723" s="7"/>
      <c r="CE723" s="7"/>
      <c r="FZ723" s="2"/>
    </row>
    <row r="724" spans="1:182">
      <c r="A724" s="7"/>
      <c r="D724" s="7"/>
      <c r="E724" s="7"/>
      <c r="F724" s="7"/>
      <c r="G724" s="7"/>
      <c r="H724" s="7"/>
      <c r="I724" s="7"/>
      <c r="J724" s="7"/>
      <c r="K724" s="7"/>
      <c r="L724" s="7"/>
      <c r="M724" s="7"/>
      <c r="N724" s="7"/>
      <c r="O724" s="7"/>
      <c r="P724" s="7"/>
      <c r="Q724" s="7"/>
      <c r="R724" s="7"/>
      <c r="S724" s="7"/>
      <c r="T724" s="7"/>
      <c r="U724" s="7"/>
      <c r="Y724" s="7"/>
      <c r="Z724" s="17"/>
      <c r="AC724" s="7"/>
      <c r="AD724" s="7"/>
      <c r="AE724" s="7"/>
      <c r="AF724" s="7"/>
      <c r="AG724" s="7"/>
      <c r="AH724" s="7"/>
      <c r="AJ724" s="7"/>
      <c r="AK724" s="7"/>
      <c r="AL724" s="7"/>
      <c r="AM724" s="7"/>
      <c r="AN724" s="7"/>
      <c r="AO724" s="7"/>
      <c r="AR724" s="7"/>
      <c r="AS724" s="7"/>
      <c r="AT724" s="7"/>
      <c r="AU724" s="7"/>
      <c r="AW724" s="7"/>
      <c r="CE724" s="7"/>
      <c r="FZ724" s="2"/>
    </row>
    <row r="725" spans="1:182">
      <c r="A725" s="7"/>
      <c r="D725" s="7"/>
      <c r="E725" s="7"/>
      <c r="F725" s="7"/>
      <c r="G725" s="7"/>
      <c r="H725" s="7"/>
      <c r="I725" s="7"/>
      <c r="J725" s="7"/>
      <c r="K725" s="7"/>
      <c r="L725" s="7"/>
      <c r="M725" s="7"/>
      <c r="N725" s="7"/>
      <c r="O725" s="7"/>
      <c r="P725" s="7"/>
      <c r="Q725" s="7"/>
      <c r="R725" s="7"/>
      <c r="S725" s="7"/>
      <c r="T725" s="7"/>
      <c r="U725" s="7"/>
      <c r="Y725" s="7"/>
      <c r="Z725" s="17"/>
      <c r="AC725" s="7"/>
      <c r="AD725" s="7"/>
      <c r="AE725" s="7"/>
      <c r="AF725" s="7"/>
      <c r="AG725" s="7"/>
      <c r="AH725" s="7"/>
      <c r="AJ725" s="7"/>
      <c r="AK725" s="7"/>
      <c r="AL725" s="7"/>
      <c r="AM725" s="7"/>
      <c r="AN725" s="7"/>
      <c r="AO725" s="7"/>
      <c r="AR725" s="7"/>
      <c r="AS725" s="7"/>
      <c r="AT725" s="7"/>
      <c r="AU725" s="7"/>
      <c r="AW725" s="7"/>
      <c r="CE725" s="7"/>
      <c r="FZ725" s="2"/>
    </row>
    <row r="726" spans="1:182">
      <c r="A726" s="7"/>
      <c r="D726" s="7"/>
      <c r="E726" s="7"/>
      <c r="F726" s="7"/>
      <c r="G726" s="7"/>
      <c r="H726" s="7"/>
      <c r="I726" s="7"/>
      <c r="J726" s="7"/>
      <c r="K726" s="7"/>
      <c r="L726" s="7"/>
      <c r="M726" s="7"/>
      <c r="N726" s="7"/>
      <c r="O726" s="7"/>
      <c r="P726" s="7"/>
      <c r="Q726" s="7"/>
      <c r="R726" s="7"/>
      <c r="S726" s="7"/>
      <c r="T726" s="7"/>
      <c r="U726" s="7"/>
      <c r="Y726" s="7"/>
      <c r="Z726" s="17"/>
      <c r="AC726" s="7"/>
      <c r="AD726" s="7"/>
      <c r="AE726" s="7"/>
      <c r="AF726" s="7"/>
      <c r="AG726" s="7"/>
      <c r="AH726" s="7"/>
      <c r="AJ726" s="7"/>
      <c r="AK726" s="7"/>
      <c r="AL726" s="7"/>
      <c r="AM726" s="7"/>
      <c r="AN726" s="7"/>
      <c r="AO726" s="7"/>
      <c r="AR726" s="7"/>
      <c r="AS726" s="7"/>
      <c r="AT726" s="7"/>
      <c r="AU726" s="7"/>
      <c r="AW726" s="7"/>
      <c r="CE726" s="7"/>
      <c r="FZ726" s="2"/>
    </row>
    <row r="727" spans="1:182">
      <c r="A727" s="7"/>
      <c r="D727" s="7"/>
      <c r="E727" s="7"/>
      <c r="F727" s="7"/>
      <c r="G727" s="7"/>
      <c r="H727" s="7"/>
      <c r="I727" s="7"/>
      <c r="J727" s="7"/>
      <c r="K727" s="7"/>
      <c r="L727" s="7"/>
      <c r="M727" s="7"/>
      <c r="N727" s="7"/>
      <c r="O727" s="7"/>
      <c r="P727" s="7"/>
      <c r="Q727" s="7"/>
      <c r="R727" s="7"/>
      <c r="S727" s="7"/>
      <c r="T727" s="7"/>
      <c r="U727" s="7"/>
      <c r="Y727" s="7"/>
      <c r="Z727" s="17"/>
      <c r="AC727" s="7"/>
      <c r="AD727" s="7"/>
      <c r="AE727" s="7"/>
      <c r="AF727" s="7"/>
      <c r="AG727" s="7"/>
      <c r="AH727" s="7"/>
      <c r="AJ727" s="7"/>
      <c r="AK727" s="7"/>
      <c r="AL727" s="7"/>
      <c r="AM727" s="7"/>
      <c r="AN727" s="7"/>
      <c r="AO727" s="7"/>
      <c r="AR727" s="7"/>
      <c r="AS727" s="7"/>
      <c r="AT727" s="7"/>
      <c r="AU727" s="7"/>
      <c r="AW727" s="7"/>
      <c r="CE727" s="7"/>
      <c r="FZ727" s="2"/>
    </row>
    <row r="728" spans="1:182">
      <c r="A728" s="7"/>
      <c r="D728" s="7"/>
      <c r="E728" s="7"/>
      <c r="F728" s="7"/>
      <c r="G728" s="7"/>
      <c r="H728" s="7"/>
      <c r="I728" s="7"/>
      <c r="J728" s="7"/>
      <c r="K728" s="7"/>
      <c r="L728" s="7"/>
      <c r="M728" s="7"/>
      <c r="N728" s="7"/>
      <c r="O728" s="7"/>
      <c r="P728" s="7"/>
      <c r="Q728" s="7"/>
      <c r="R728" s="7"/>
      <c r="S728" s="7"/>
      <c r="T728" s="7"/>
      <c r="U728" s="7"/>
      <c r="Y728" s="7"/>
      <c r="Z728" s="17"/>
      <c r="AC728" s="7"/>
      <c r="AD728" s="7"/>
      <c r="AE728" s="7"/>
      <c r="AF728" s="7"/>
      <c r="AG728" s="7"/>
      <c r="AH728" s="7"/>
      <c r="AJ728" s="7"/>
      <c r="AK728" s="7"/>
      <c r="AL728" s="7"/>
      <c r="AM728" s="7"/>
      <c r="AN728" s="7"/>
      <c r="AO728" s="7"/>
      <c r="AR728" s="7"/>
      <c r="AS728" s="7"/>
      <c r="AT728" s="7"/>
      <c r="AU728" s="7"/>
      <c r="AW728" s="7"/>
      <c r="CE728" s="7"/>
      <c r="FZ728" s="2"/>
    </row>
    <row r="729" spans="1:182">
      <c r="A729" s="7"/>
      <c r="D729" s="7"/>
      <c r="E729" s="7"/>
      <c r="F729" s="7"/>
      <c r="G729" s="7"/>
      <c r="H729" s="7"/>
      <c r="I729" s="7"/>
      <c r="J729" s="7"/>
      <c r="K729" s="7"/>
      <c r="L729" s="7"/>
      <c r="M729" s="7"/>
      <c r="N729" s="7"/>
      <c r="O729" s="7"/>
      <c r="P729" s="7"/>
      <c r="Q729" s="7"/>
      <c r="R729" s="7"/>
      <c r="S729" s="7"/>
      <c r="T729" s="7"/>
      <c r="U729" s="7"/>
      <c r="Y729" s="7"/>
      <c r="Z729" s="17"/>
      <c r="AC729" s="7"/>
      <c r="AD729" s="7"/>
      <c r="AE729" s="7"/>
      <c r="AF729" s="7"/>
      <c r="AG729" s="7"/>
      <c r="AH729" s="7"/>
      <c r="AJ729" s="7"/>
      <c r="AK729" s="7"/>
      <c r="AL729" s="7"/>
      <c r="AM729" s="7"/>
      <c r="AN729" s="7"/>
      <c r="AO729" s="7"/>
      <c r="AR729" s="7"/>
      <c r="AS729" s="7"/>
      <c r="AT729" s="7"/>
      <c r="AU729" s="7"/>
      <c r="AW729" s="7"/>
      <c r="CE729" s="7"/>
      <c r="FZ729" s="2"/>
    </row>
    <row r="730" spans="1:182">
      <c r="A730" s="7"/>
      <c r="D730" s="7"/>
      <c r="E730" s="7"/>
      <c r="F730" s="7"/>
      <c r="G730" s="7"/>
      <c r="H730" s="7"/>
      <c r="I730" s="7"/>
      <c r="J730" s="7"/>
      <c r="K730" s="7"/>
      <c r="L730" s="7"/>
      <c r="M730" s="7"/>
      <c r="N730" s="7"/>
      <c r="O730" s="7"/>
      <c r="P730" s="7"/>
      <c r="Q730" s="7"/>
      <c r="R730" s="7"/>
      <c r="S730" s="7"/>
      <c r="T730" s="7"/>
      <c r="U730" s="7"/>
      <c r="Y730" s="7"/>
      <c r="Z730" s="17"/>
      <c r="AC730" s="7"/>
      <c r="AD730" s="7"/>
      <c r="AE730" s="7"/>
      <c r="AF730" s="7"/>
      <c r="AG730" s="7"/>
      <c r="AH730" s="7"/>
      <c r="AJ730" s="7"/>
      <c r="AK730" s="7"/>
      <c r="AL730" s="7"/>
      <c r="AM730" s="7"/>
      <c r="AN730" s="7"/>
      <c r="AO730" s="7"/>
      <c r="AR730" s="7"/>
      <c r="AS730" s="7"/>
      <c r="AT730" s="7"/>
      <c r="AU730" s="7"/>
      <c r="AW730" s="7"/>
      <c r="CE730" s="7"/>
      <c r="FZ730" s="2"/>
    </row>
    <row r="731" spans="1:182">
      <c r="A731" s="7"/>
      <c r="D731" s="7"/>
      <c r="E731" s="7"/>
      <c r="F731" s="7"/>
      <c r="G731" s="7"/>
      <c r="H731" s="7"/>
      <c r="I731" s="7"/>
      <c r="J731" s="7"/>
      <c r="K731" s="7"/>
      <c r="L731" s="7"/>
      <c r="M731" s="7"/>
      <c r="N731" s="7"/>
      <c r="O731" s="7"/>
      <c r="P731" s="7"/>
      <c r="Q731" s="7"/>
      <c r="R731" s="7"/>
      <c r="S731" s="7"/>
      <c r="T731" s="7"/>
      <c r="U731" s="7"/>
      <c r="Y731" s="7"/>
      <c r="Z731" s="17"/>
      <c r="AC731" s="7"/>
      <c r="AD731" s="7"/>
      <c r="AE731" s="7"/>
      <c r="AF731" s="7"/>
      <c r="AG731" s="7"/>
      <c r="AH731" s="7"/>
      <c r="AJ731" s="7"/>
      <c r="AK731" s="7"/>
      <c r="AL731" s="7"/>
      <c r="AM731" s="7"/>
      <c r="AN731" s="7"/>
      <c r="AO731" s="7"/>
      <c r="AR731" s="7"/>
      <c r="AS731" s="7"/>
      <c r="AT731" s="7"/>
      <c r="AU731" s="7"/>
      <c r="AW731" s="7"/>
      <c r="CE731" s="7"/>
      <c r="FZ731" s="2"/>
    </row>
    <row r="732" spans="1:182">
      <c r="A732" s="7"/>
      <c r="D732" s="7"/>
      <c r="E732" s="7"/>
      <c r="F732" s="7"/>
      <c r="G732" s="7"/>
      <c r="H732" s="7"/>
      <c r="I732" s="7"/>
      <c r="J732" s="7"/>
      <c r="K732" s="7"/>
      <c r="L732" s="7"/>
      <c r="M732" s="7"/>
      <c r="N732" s="7"/>
      <c r="O732" s="7"/>
      <c r="P732" s="7"/>
      <c r="Q732" s="7"/>
      <c r="R732" s="7"/>
      <c r="S732" s="7"/>
      <c r="T732" s="7"/>
      <c r="U732" s="7"/>
      <c r="Y732" s="7"/>
      <c r="Z732" s="17"/>
      <c r="AC732" s="7"/>
      <c r="AD732" s="7"/>
      <c r="AE732" s="7"/>
      <c r="AF732" s="7"/>
      <c r="AG732" s="7"/>
      <c r="AH732" s="7"/>
      <c r="AJ732" s="7"/>
      <c r="AK732" s="7"/>
      <c r="AL732" s="7"/>
      <c r="AM732" s="7"/>
      <c r="AN732" s="7"/>
      <c r="AO732" s="7"/>
      <c r="AR732" s="7"/>
      <c r="AS732" s="7"/>
      <c r="AT732" s="7"/>
      <c r="AU732" s="7"/>
      <c r="AW732" s="7"/>
      <c r="CE732" s="7"/>
      <c r="FZ732" s="2"/>
    </row>
    <row r="733" spans="1:182">
      <c r="A733" s="7"/>
      <c r="D733" s="7"/>
      <c r="E733" s="7"/>
      <c r="F733" s="7"/>
      <c r="G733" s="7"/>
      <c r="H733" s="7"/>
      <c r="I733" s="7"/>
      <c r="J733" s="7"/>
      <c r="K733" s="7"/>
      <c r="L733" s="7"/>
      <c r="M733" s="7"/>
      <c r="N733" s="7"/>
      <c r="O733" s="7"/>
      <c r="P733" s="7"/>
      <c r="Q733" s="7"/>
      <c r="R733" s="7"/>
      <c r="S733" s="7"/>
      <c r="T733" s="7"/>
      <c r="U733" s="7"/>
      <c r="Y733" s="7"/>
      <c r="Z733" s="17"/>
      <c r="AC733" s="7"/>
      <c r="AD733" s="7"/>
      <c r="AE733" s="7"/>
      <c r="AF733" s="7"/>
      <c r="AG733" s="7"/>
      <c r="AH733" s="7"/>
      <c r="AJ733" s="7"/>
      <c r="AK733" s="7"/>
      <c r="AL733" s="7"/>
      <c r="AM733" s="7"/>
      <c r="AN733" s="7"/>
      <c r="AO733" s="7"/>
      <c r="AR733" s="7"/>
      <c r="AS733" s="7"/>
      <c r="AT733" s="7"/>
      <c r="AU733" s="7"/>
      <c r="AW733" s="7"/>
      <c r="CE733" s="7"/>
      <c r="FZ733" s="2"/>
    </row>
    <row r="734" spans="1:182">
      <c r="A734" s="7"/>
      <c r="D734" s="7"/>
      <c r="E734" s="7"/>
      <c r="F734" s="7"/>
      <c r="G734" s="7"/>
      <c r="H734" s="7"/>
      <c r="I734" s="7"/>
      <c r="J734" s="7"/>
      <c r="K734" s="7"/>
      <c r="L734" s="7"/>
      <c r="M734" s="7"/>
      <c r="N734" s="7"/>
      <c r="O734" s="7"/>
      <c r="P734" s="7"/>
      <c r="Q734" s="7"/>
      <c r="R734" s="7"/>
      <c r="S734" s="7"/>
      <c r="T734" s="7"/>
      <c r="U734" s="7"/>
      <c r="Y734" s="7"/>
      <c r="Z734" s="17"/>
      <c r="AC734" s="7"/>
      <c r="AD734" s="7"/>
      <c r="AE734" s="7"/>
      <c r="AF734" s="7"/>
      <c r="AG734" s="7"/>
      <c r="AH734" s="7"/>
      <c r="AJ734" s="7"/>
      <c r="AK734" s="7"/>
      <c r="AL734" s="7"/>
      <c r="AM734" s="7"/>
      <c r="AN734" s="7"/>
      <c r="AO734" s="7"/>
      <c r="AR734" s="7"/>
      <c r="AS734" s="7"/>
      <c r="AT734" s="7"/>
      <c r="AU734" s="7"/>
      <c r="AW734" s="7"/>
      <c r="CE734" s="7"/>
      <c r="FZ734" s="2"/>
    </row>
    <row r="735" spans="1:182">
      <c r="A735" s="7"/>
      <c r="D735" s="7"/>
      <c r="E735" s="7"/>
      <c r="F735" s="7"/>
      <c r="G735" s="7"/>
      <c r="H735" s="7"/>
      <c r="I735" s="7"/>
      <c r="J735" s="7"/>
      <c r="K735" s="7"/>
      <c r="L735" s="7"/>
      <c r="M735" s="7"/>
      <c r="N735" s="7"/>
      <c r="O735" s="7"/>
      <c r="P735" s="7"/>
      <c r="Q735" s="7"/>
      <c r="R735" s="7"/>
      <c r="S735" s="7"/>
      <c r="T735" s="7"/>
      <c r="U735" s="7"/>
      <c r="Y735" s="7"/>
      <c r="Z735" s="17"/>
      <c r="AC735" s="7"/>
      <c r="AD735" s="7"/>
      <c r="AE735" s="7"/>
      <c r="AF735" s="7"/>
      <c r="AG735" s="7"/>
      <c r="AH735" s="7"/>
      <c r="AJ735" s="7"/>
      <c r="AK735" s="7"/>
      <c r="AL735" s="7"/>
      <c r="AM735" s="7"/>
      <c r="AN735" s="7"/>
      <c r="AO735" s="7"/>
      <c r="AR735" s="7"/>
      <c r="AS735" s="7"/>
      <c r="AT735" s="7"/>
      <c r="AU735" s="7"/>
      <c r="AW735" s="7"/>
      <c r="CE735" s="7"/>
      <c r="FZ735" s="2"/>
    </row>
    <row r="736" spans="1:182">
      <c r="A736" s="7"/>
      <c r="D736" s="7"/>
      <c r="E736" s="7"/>
      <c r="F736" s="7"/>
      <c r="G736" s="7"/>
      <c r="H736" s="7"/>
      <c r="I736" s="7"/>
      <c r="J736" s="7"/>
      <c r="K736" s="7"/>
      <c r="L736" s="7"/>
      <c r="M736" s="7"/>
      <c r="N736" s="7"/>
      <c r="O736" s="7"/>
      <c r="P736" s="7"/>
      <c r="Q736" s="7"/>
      <c r="R736" s="7"/>
      <c r="S736" s="7"/>
      <c r="T736" s="7"/>
      <c r="U736" s="7"/>
      <c r="Y736" s="7"/>
      <c r="Z736" s="17"/>
      <c r="AC736" s="7"/>
      <c r="AD736" s="7"/>
      <c r="AE736" s="7"/>
      <c r="AF736" s="7"/>
      <c r="AG736" s="7"/>
      <c r="AH736" s="7"/>
      <c r="AJ736" s="7"/>
      <c r="AK736" s="7"/>
      <c r="AL736" s="7"/>
      <c r="AM736" s="7"/>
      <c r="AN736" s="7"/>
      <c r="AO736" s="7"/>
      <c r="AR736" s="7"/>
      <c r="AS736" s="7"/>
      <c r="AT736" s="7"/>
      <c r="AU736" s="7"/>
      <c r="AW736" s="7"/>
      <c r="CE736" s="7"/>
      <c r="FZ736" s="2"/>
    </row>
    <row r="737" spans="1:182">
      <c r="A737" s="7"/>
      <c r="D737" s="7"/>
      <c r="E737" s="7"/>
      <c r="F737" s="7"/>
      <c r="G737" s="7"/>
      <c r="H737" s="7"/>
      <c r="I737" s="7"/>
      <c r="J737" s="7"/>
      <c r="K737" s="7"/>
      <c r="L737" s="7"/>
      <c r="M737" s="7"/>
      <c r="N737" s="7"/>
      <c r="O737" s="7"/>
      <c r="P737" s="7"/>
      <c r="Q737" s="7"/>
      <c r="R737" s="7"/>
      <c r="S737" s="7"/>
      <c r="T737" s="7"/>
      <c r="U737" s="7"/>
      <c r="Y737" s="7"/>
      <c r="Z737" s="17"/>
      <c r="AC737" s="7"/>
      <c r="AD737" s="7"/>
      <c r="AE737" s="7"/>
      <c r="AF737" s="7"/>
      <c r="AG737" s="7"/>
      <c r="AH737" s="7"/>
      <c r="AJ737" s="7"/>
      <c r="AK737" s="7"/>
      <c r="AL737" s="7"/>
      <c r="AM737" s="7"/>
      <c r="AN737" s="7"/>
      <c r="AO737" s="7"/>
      <c r="AR737" s="7"/>
      <c r="AS737" s="7"/>
      <c r="AT737" s="7"/>
      <c r="AU737" s="7"/>
      <c r="AW737" s="7"/>
      <c r="CE737" s="7"/>
      <c r="FZ737" s="2"/>
    </row>
    <row r="738" spans="1:182">
      <c r="A738" s="7"/>
      <c r="D738" s="7"/>
      <c r="E738" s="7"/>
      <c r="F738" s="7"/>
      <c r="G738" s="7"/>
      <c r="H738" s="7"/>
      <c r="I738" s="7"/>
      <c r="J738" s="7"/>
      <c r="K738" s="7"/>
      <c r="L738" s="7"/>
      <c r="M738" s="7"/>
      <c r="N738" s="7"/>
      <c r="O738" s="7"/>
      <c r="P738" s="7"/>
      <c r="Q738" s="7"/>
      <c r="R738" s="7"/>
      <c r="S738" s="7"/>
      <c r="T738" s="7"/>
      <c r="U738" s="7"/>
      <c r="Y738" s="7"/>
      <c r="Z738" s="17"/>
      <c r="AC738" s="7"/>
      <c r="AD738" s="7"/>
      <c r="AE738" s="7"/>
      <c r="AF738" s="7"/>
      <c r="AG738" s="7"/>
      <c r="AH738" s="7"/>
      <c r="AJ738" s="7"/>
      <c r="AK738" s="7"/>
      <c r="AL738" s="7"/>
      <c r="AM738" s="7"/>
      <c r="AN738" s="7"/>
      <c r="AO738" s="7"/>
      <c r="AR738" s="7"/>
      <c r="AS738" s="7"/>
      <c r="AT738" s="7"/>
      <c r="AU738" s="7"/>
      <c r="AW738" s="7"/>
      <c r="CE738" s="7"/>
      <c r="FZ738" s="2"/>
    </row>
    <row r="739" spans="1:182">
      <c r="A739" s="7"/>
      <c r="D739" s="7"/>
      <c r="E739" s="7"/>
      <c r="F739" s="7"/>
      <c r="G739" s="7"/>
      <c r="H739" s="7"/>
      <c r="I739" s="7"/>
      <c r="J739" s="7"/>
      <c r="K739" s="7"/>
      <c r="L739" s="7"/>
      <c r="M739" s="7"/>
      <c r="N739" s="7"/>
      <c r="O739" s="7"/>
      <c r="P739" s="7"/>
      <c r="Q739" s="7"/>
      <c r="R739" s="7"/>
      <c r="S739" s="7"/>
      <c r="T739" s="7"/>
      <c r="U739" s="7"/>
      <c r="Y739" s="7"/>
      <c r="Z739" s="17"/>
      <c r="AC739" s="7"/>
      <c r="AD739" s="7"/>
      <c r="AE739" s="7"/>
      <c r="AF739" s="7"/>
      <c r="AG739" s="7"/>
      <c r="AH739" s="7"/>
      <c r="AJ739" s="7"/>
      <c r="AK739" s="7"/>
      <c r="AL739" s="7"/>
      <c r="AM739" s="7"/>
      <c r="AN739" s="7"/>
      <c r="AO739" s="7"/>
      <c r="AR739" s="7"/>
      <c r="AS739" s="7"/>
      <c r="AT739" s="7"/>
      <c r="AU739" s="7"/>
      <c r="AW739" s="7"/>
      <c r="CE739" s="7"/>
      <c r="FZ739" s="2"/>
    </row>
    <row r="740" spans="1:182">
      <c r="A740" s="7"/>
      <c r="D740" s="7"/>
      <c r="E740" s="7"/>
      <c r="F740" s="7"/>
      <c r="G740" s="7"/>
      <c r="H740" s="7"/>
      <c r="I740" s="7"/>
      <c r="J740" s="7"/>
      <c r="K740" s="7"/>
      <c r="L740" s="7"/>
      <c r="M740" s="7"/>
      <c r="N740" s="7"/>
      <c r="O740" s="7"/>
      <c r="P740" s="7"/>
      <c r="Q740" s="7"/>
      <c r="R740" s="7"/>
      <c r="S740" s="7"/>
      <c r="T740" s="7"/>
      <c r="U740" s="7"/>
      <c r="Y740" s="7"/>
      <c r="Z740" s="17"/>
      <c r="AC740" s="7"/>
      <c r="AD740" s="7"/>
      <c r="AE740" s="7"/>
      <c r="AF740" s="7"/>
      <c r="AG740" s="7"/>
      <c r="AH740" s="7"/>
      <c r="AJ740" s="7"/>
      <c r="AK740" s="7"/>
      <c r="AL740" s="7"/>
      <c r="AM740" s="7"/>
      <c r="AN740" s="7"/>
      <c r="AO740" s="7"/>
      <c r="AR740" s="7"/>
      <c r="AS740" s="7"/>
      <c r="AT740" s="7"/>
      <c r="AU740" s="7"/>
      <c r="AW740" s="7"/>
      <c r="CE740" s="7"/>
      <c r="FZ740" s="2"/>
    </row>
    <row r="741" spans="1:182">
      <c r="A741" s="7"/>
      <c r="D741" s="7"/>
      <c r="E741" s="7"/>
      <c r="F741" s="7"/>
      <c r="G741" s="7"/>
      <c r="H741" s="7"/>
      <c r="I741" s="7"/>
      <c r="J741" s="7"/>
      <c r="K741" s="7"/>
      <c r="L741" s="7"/>
      <c r="M741" s="7"/>
      <c r="N741" s="7"/>
      <c r="O741" s="7"/>
      <c r="P741" s="7"/>
      <c r="Q741" s="7"/>
      <c r="R741" s="7"/>
      <c r="S741" s="7"/>
      <c r="T741" s="7"/>
      <c r="U741" s="7"/>
      <c r="Y741" s="7"/>
      <c r="Z741" s="17"/>
      <c r="AC741" s="7"/>
      <c r="AD741" s="7"/>
      <c r="AE741" s="7"/>
      <c r="AF741" s="7"/>
      <c r="AG741" s="7"/>
      <c r="AH741" s="7"/>
      <c r="AJ741" s="7"/>
      <c r="AK741" s="7"/>
      <c r="AL741" s="7"/>
      <c r="AM741" s="7"/>
      <c r="AN741" s="7"/>
      <c r="AO741" s="7"/>
      <c r="AR741" s="7"/>
      <c r="AS741" s="7"/>
      <c r="AT741" s="7"/>
      <c r="AU741" s="7"/>
      <c r="AW741" s="7"/>
      <c r="CE741" s="7"/>
      <c r="FZ741" s="2"/>
    </row>
    <row r="742" spans="1:182">
      <c r="A742" s="7"/>
      <c r="D742" s="7"/>
      <c r="E742" s="7"/>
      <c r="F742" s="7"/>
      <c r="G742" s="7"/>
      <c r="H742" s="7"/>
      <c r="I742" s="7"/>
      <c r="J742" s="7"/>
      <c r="K742" s="7"/>
      <c r="L742" s="7"/>
      <c r="M742" s="7"/>
      <c r="N742" s="7"/>
      <c r="O742" s="7"/>
      <c r="P742" s="7"/>
      <c r="Q742" s="7"/>
      <c r="R742" s="7"/>
      <c r="S742" s="7"/>
      <c r="T742" s="7"/>
      <c r="U742" s="7"/>
      <c r="Y742" s="7"/>
      <c r="Z742" s="17"/>
      <c r="AC742" s="7"/>
      <c r="AD742" s="7"/>
      <c r="AE742" s="7"/>
      <c r="AF742" s="7"/>
      <c r="AG742" s="7"/>
      <c r="AH742" s="7"/>
      <c r="AJ742" s="7"/>
      <c r="AK742" s="7"/>
      <c r="AL742" s="7"/>
      <c r="AM742" s="7"/>
      <c r="AN742" s="7"/>
      <c r="AO742" s="7"/>
      <c r="AR742" s="7"/>
      <c r="AS742" s="7"/>
      <c r="AT742" s="7"/>
      <c r="AU742" s="7"/>
      <c r="AW742" s="7"/>
      <c r="CE742" s="7"/>
      <c r="FZ742" s="2"/>
    </row>
    <row r="743" spans="1:182">
      <c r="A743" s="7"/>
      <c r="D743" s="7"/>
      <c r="E743" s="7"/>
      <c r="F743" s="7"/>
      <c r="G743" s="7"/>
      <c r="H743" s="7"/>
      <c r="I743" s="7"/>
      <c r="J743" s="7"/>
      <c r="K743" s="7"/>
      <c r="L743" s="7"/>
      <c r="M743" s="7"/>
      <c r="N743" s="7"/>
      <c r="O743" s="7"/>
      <c r="P743" s="7"/>
      <c r="Q743" s="7"/>
      <c r="R743" s="7"/>
      <c r="S743" s="7"/>
      <c r="T743" s="7"/>
      <c r="U743" s="7"/>
      <c r="Y743" s="7"/>
      <c r="Z743" s="17"/>
      <c r="AC743" s="7"/>
      <c r="AD743" s="7"/>
      <c r="AE743" s="7"/>
      <c r="AF743" s="7"/>
      <c r="AG743" s="7"/>
      <c r="AH743" s="7"/>
      <c r="AJ743" s="7"/>
      <c r="AK743" s="7"/>
      <c r="AL743" s="7"/>
      <c r="AM743" s="7"/>
      <c r="AN743" s="7"/>
      <c r="AO743" s="7"/>
      <c r="AR743" s="7"/>
      <c r="AS743" s="7"/>
      <c r="AT743" s="7"/>
      <c r="AU743" s="7"/>
      <c r="AW743" s="7"/>
      <c r="CE743" s="7"/>
      <c r="FZ743" s="2"/>
    </row>
    <row r="744" spans="1:182">
      <c r="A744" s="7"/>
      <c r="D744" s="7"/>
      <c r="E744" s="7"/>
      <c r="F744" s="7"/>
      <c r="G744" s="7"/>
      <c r="H744" s="7"/>
      <c r="I744" s="7"/>
      <c r="J744" s="7"/>
      <c r="K744" s="7"/>
      <c r="L744" s="7"/>
      <c r="M744" s="7"/>
      <c r="N744" s="7"/>
      <c r="O744" s="7"/>
      <c r="P744" s="7"/>
      <c r="Q744" s="7"/>
      <c r="R744" s="7"/>
      <c r="S744" s="7"/>
      <c r="T744" s="7"/>
      <c r="U744" s="7"/>
      <c r="Y744" s="7"/>
      <c r="Z744" s="17"/>
      <c r="AC744" s="7"/>
      <c r="AD744" s="7"/>
      <c r="AE744" s="7"/>
      <c r="AF744" s="7"/>
      <c r="AG744" s="7"/>
      <c r="AH744" s="7"/>
      <c r="AJ744" s="7"/>
      <c r="AK744" s="7"/>
      <c r="AL744" s="7"/>
      <c r="AM744" s="7"/>
      <c r="AN744" s="7"/>
      <c r="AO744" s="7"/>
      <c r="AR744" s="7"/>
      <c r="AS744" s="7"/>
      <c r="AT744" s="7"/>
      <c r="AU744" s="7"/>
      <c r="AW744" s="7"/>
      <c r="CE744" s="7"/>
      <c r="FZ744" s="2"/>
    </row>
    <row r="745" spans="1:182">
      <c r="A745" s="7"/>
      <c r="D745" s="7"/>
      <c r="E745" s="7"/>
      <c r="F745" s="7"/>
      <c r="G745" s="7"/>
      <c r="H745" s="7"/>
      <c r="I745" s="7"/>
      <c r="J745" s="7"/>
      <c r="K745" s="7"/>
      <c r="L745" s="7"/>
      <c r="M745" s="7"/>
      <c r="N745" s="7"/>
      <c r="O745" s="7"/>
      <c r="P745" s="7"/>
      <c r="Q745" s="7"/>
      <c r="R745" s="7"/>
      <c r="S745" s="7"/>
      <c r="T745" s="7"/>
      <c r="U745" s="7"/>
      <c r="Y745" s="7"/>
      <c r="Z745" s="17"/>
      <c r="AC745" s="7"/>
      <c r="AD745" s="7"/>
      <c r="AE745" s="7"/>
      <c r="AF745" s="7"/>
      <c r="AG745" s="7"/>
      <c r="AH745" s="7"/>
      <c r="AJ745" s="7"/>
      <c r="AK745" s="7"/>
      <c r="AL745" s="7"/>
      <c r="AM745" s="7"/>
      <c r="AN745" s="7"/>
      <c r="AO745" s="7"/>
      <c r="AR745" s="7"/>
      <c r="AS745" s="7"/>
      <c r="AT745" s="7"/>
      <c r="AU745" s="7"/>
      <c r="AW745" s="7"/>
      <c r="CE745" s="7"/>
      <c r="FZ745" s="2"/>
    </row>
    <row r="746" spans="1:182">
      <c r="A746" s="7"/>
      <c r="D746" s="7"/>
      <c r="E746" s="7"/>
      <c r="F746" s="7"/>
      <c r="G746" s="7"/>
      <c r="H746" s="7"/>
      <c r="I746" s="7"/>
      <c r="J746" s="7"/>
      <c r="K746" s="7"/>
      <c r="L746" s="7"/>
      <c r="M746" s="7"/>
      <c r="N746" s="7"/>
      <c r="O746" s="7"/>
      <c r="P746" s="7"/>
      <c r="Q746" s="7"/>
      <c r="R746" s="7"/>
      <c r="S746" s="7"/>
      <c r="T746" s="7"/>
      <c r="U746" s="7"/>
      <c r="Y746" s="7"/>
      <c r="Z746" s="17"/>
      <c r="AC746" s="7"/>
      <c r="AD746" s="7"/>
      <c r="AE746" s="7"/>
      <c r="AF746" s="7"/>
      <c r="AG746" s="7"/>
      <c r="AH746" s="7"/>
      <c r="AJ746" s="7"/>
      <c r="AK746" s="7"/>
      <c r="AL746" s="7"/>
      <c r="AM746" s="7"/>
      <c r="AN746" s="7"/>
      <c r="AO746" s="7"/>
      <c r="AR746" s="7"/>
      <c r="AS746" s="7"/>
      <c r="AT746" s="7"/>
      <c r="AU746" s="7"/>
      <c r="AW746" s="7"/>
      <c r="CE746" s="7"/>
      <c r="FZ746" s="2"/>
    </row>
    <row r="747" spans="1:182">
      <c r="A747" s="7"/>
      <c r="D747" s="7"/>
      <c r="E747" s="7"/>
      <c r="F747" s="7"/>
      <c r="G747" s="7"/>
      <c r="H747" s="7"/>
      <c r="I747" s="7"/>
      <c r="J747" s="7"/>
      <c r="K747" s="7"/>
      <c r="L747" s="7"/>
      <c r="M747" s="7"/>
      <c r="N747" s="7"/>
      <c r="O747" s="7"/>
      <c r="P747" s="7"/>
      <c r="Q747" s="7"/>
      <c r="R747" s="7"/>
      <c r="S747" s="7"/>
      <c r="T747" s="7"/>
      <c r="U747" s="7"/>
      <c r="Y747" s="7"/>
      <c r="Z747" s="17"/>
      <c r="AC747" s="7"/>
      <c r="AD747" s="7"/>
      <c r="AE747" s="7"/>
      <c r="AF747" s="7"/>
      <c r="AG747" s="7"/>
      <c r="AH747" s="7"/>
      <c r="AJ747" s="7"/>
      <c r="AK747" s="7"/>
      <c r="AL747" s="7"/>
      <c r="AM747" s="7"/>
      <c r="AN747" s="7"/>
      <c r="AO747" s="7"/>
      <c r="AR747" s="7"/>
      <c r="AS747" s="7"/>
      <c r="AT747" s="7"/>
      <c r="AU747" s="7"/>
      <c r="AW747" s="7"/>
      <c r="CE747" s="7"/>
      <c r="FZ747" s="2"/>
    </row>
    <row r="748" spans="1:182">
      <c r="A748" s="7"/>
      <c r="D748" s="7"/>
      <c r="E748" s="7"/>
      <c r="F748" s="7"/>
      <c r="G748" s="7"/>
      <c r="H748" s="7"/>
      <c r="I748" s="7"/>
      <c r="J748" s="7"/>
      <c r="K748" s="7"/>
      <c r="L748" s="7"/>
      <c r="M748" s="7"/>
      <c r="N748" s="7"/>
      <c r="O748" s="7"/>
      <c r="P748" s="7"/>
      <c r="Q748" s="7"/>
      <c r="R748" s="7"/>
      <c r="S748" s="7"/>
      <c r="T748" s="7"/>
      <c r="U748" s="7"/>
      <c r="Y748" s="7"/>
      <c r="Z748" s="17"/>
      <c r="AC748" s="7"/>
      <c r="AD748" s="7"/>
      <c r="AE748" s="7"/>
      <c r="AF748" s="7"/>
      <c r="AG748" s="7"/>
      <c r="AH748" s="7"/>
      <c r="AJ748" s="7"/>
      <c r="AK748" s="7"/>
      <c r="AL748" s="7"/>
      <c r="AM748" s="7"/>
      <c r="AN748" s="7"/>
      <c r="AO748" s="7"/>
      <c r="AR748" s="7"/>
      <c r="AS748" s="7"/>
      <c r="AT748" s="7"/>
      <c r="AU748" s="7"/>
      <c r="AW748" s="7"/>
      <c r="CE748" s="7"/>
      <c r="FZ748" s="2"/>
    </row>
    <row r="749" spans="1:182">
      <c r="A749" s="7"/>
      <c r="D749" s="7"/>
      <c r="E749" s="7"/>
      <c r="F749" s="7"/>
      <c r="G749" s="7"/>
      <c r="H749" s="7"/>
      <c r="I749" s="7"/>
      <c r="J749" s="7"/>
      <c r="K749" s="7"/>
      <c r="L749" s="7"/>
      <c r="M749" s="7"/>
      <c r="N749" s="7"/>
      <c r="O749" s="7"/>
      <c r="P749" s="7"/>
      <c r="Q749" s="7"/>
      <c r="R749" s="7"/>
      <c r="S749" s="7"/>
      <c r="T749" s="7"/>
      <c r="U749" s="7"/>
      <c r="Y749" s="7"/>
      <c r="Z749" s="17"/>
      <c r="AC749" s="7"/>
      <c r="AD749" s="7"/>
      <c r="AE749" s="7"/>
      <c r="AF749" s="7"/>
      <c r="AG749" s="7"/>
      <c r="AH749" s="7"/>
      <c r="AJ749" s="7"/>
      <c r="AK749" s="7"/>
      <c r="AL749" s="7"/>
      <c r="AM749" s="7"/>
      <c r="AN749" s="7"/>
      <c r="AO749" s="7"/>
      <c r="AR749" s="7"/>
      <c r="AS749" s="7"/>
      <c r="AT749" s="7"/>
      <c r="AU749" s="7"/>
      <c r="AW749" s="7"/>
      <c r="CE749" s="7"/>
      <c r="FZ749" s="2"/>
    </row>
    <row r="750" spans="1:182">
      <c r="A750" s="7"/>
      <c r="D750" s="7"/>
      <c r="E750" s="7"/>
      <c r="F750" s="7"/>
      <c r="G750" s="7"/>
      <c r="H750" s="7"/>
      <c r="I750" s="7"/>
      <c r="J750" s="7"/>
      <c r="K750" s="7"/>
      <c r="L750" s="7"/>
      <c r="M750" s="7"/>
      <c r="N750" s="7"/>
      <c r="O750" s="7"/>
      <c r="P750" s="7"/>
      <c r="Q750" s="7"/>
      <c r="R750" s="7"/>
      <c r="S750" s="7"/>
      <c r="T750" s="7"/>
      <c r="U750" s="7"/>
      <c r="Y750" s="7"/>
      <c r="Z750" s="17"/>
      <c r="AC750" s="7"/>
      <c r="AD750" s="7"/>
      <c r="AE750" s="7"/>
      <c r="AF750" s="7"/>
      <c r="AG750" s="7"/>
      <c r="AH750" s="7"/>
      <c r="AJ750" s="7"/>
      <c r="AK750" s="7"/>
      <c r="AL750" s="7"/>
      <c r="AM750" s="7"/>
      <c r="AN750" s="7"/>
      <c r="AO750" s="7"/>
      <c r="AR750" s="7"/>
      <c r="AS750" s="7"/>
      <c r="AT750" s="7"/>
      <c r="AU750" s="7"/>
      <c r="AW750" s="7"/>
      <c r="CE750" s="7"/>
      <c r="FZ750" s="2"/>
    </row>
    <row r="751" spans="1:182">
      <c r="A751" s="7"/>
      <c r="D751" s="7"/>
      <c r="E751" s="7"/>
      <c r="F751" s="7"/>
      <c r="G751" s="7"/>
      <c r="H751" s="7"/>
      <c r="I751" s="7"/>
      <c r="J751" s="7"/>
      <c r="K751" s="7"/>
      <c r="L751" s="7"/>
      <c r="M751" s="7"/>
      <c r="N751" s="7"/>
      <c r="O751" s="7"/>
      <c r="P751" s="7"/>
      <c r="Q751" s="7"/>
      <c r="R751" s="7"/>
      <c r="S751" s="7"/>
      <c r="T751" s="7"/>
      <c r="U751" s="7"/>
      <c r="Y751" s="7"/>
      <c r="Z751" s="17"/>
      <c r="AC751" s="7"/>
      <c r="AD751" s="7"/>
      <c r="AE751" s="7"/>
      <c r="AF751" s="7"/>
      <c r="AG751" s="7"/>
      <c r="AH751" s="7"/>
      <c r="AJ751" s="7"/>
      <c r="AK751" s="7"/>
      <c r="AL751" s="7"/>
      <c r="AM751" s="7"/>
      <c r="AN751" s="7"/>
      <c r="AO751" s="7"/>
      <c r="AR751" s="7"/>
      <c r="AS751" s="7"/>
      <c r="AT751" s="7"/>
      <c r="AU751" s="7"/>
      <c r="AW751" s="7"/>
      <c r="CE751" s="7"/>
      <c r="FZ751" s="2"/>
    </row>
    <row r="752" spans="1:182">
      <c r="A752" s="7"/>
      <c r="D752" s="7"/>
      <c r="E752" s="7"/>
      <c r="F752" s="7"/>
      <c r="G752" s="7"/>
      <c r="H752" s="7"/>
      <c r="I752" s="7"/>
      <c r="J752" s="7"/>
      <c r="K752" s="7"/>
      <c r="L752" s="7"/>
      <c r="M752" s="7"/>
      <c r="N752" s="7"/>
      <c r="O752" s="7"/>
      <c r="P752" s="7"/>
      <c r="Q752" s="7"/>
      <c r="R752" s="7"/>
      <c r="S752" s="7"/>
      <c r="T752" s="7"/>
      <c r="U752" s="7"/>
      <c r="Y752" s="7"/>
      <c r="Z752" s="17"/>
      <c r="AC752" s="7"/>
      <c r="AD752" s="7"/>
      <c r="AE752" s="7"/>
      <c r="AF752" s="7"/>
      <c r="AG752" s="7"/>
      <c r="AH752" s="7"/>
      <c r="AJ752" s="7"/>
      <c r="AK752" s="7"/>
      <c r="AL752" s="7"/>
      <c r="AM752" s="7"/>
      <c r="AN752" s="7"/>
      <c r="AO752" s="7"/>
      <c r="AR752" s="7"/>
      <c r="AS752" s="7"/>
      <c r="AT752" s="7"/>
      <c r="AU752" s="7"/>
      <c r="AW752" s="7"/>
      <c r="CE752" s="7"/>
      <c r="FZ752" s="2"/>
    </row>
    <row r="753" spans="1:182">
      <c r="A753" s="7"/>
      <c r="D753" s="7"/>
      <c r="E753" s="7"/>
      <c r="F753" s="7"/>
      <c r="G753" s="7"/>
      <c r="H753" s="7"/>
      <c r="I753" s="7"/>
      <c r="J753" s="7"/>
      <c r="K753" s="7"/>
      <c r="L753" s="7"/>
      <c r="M753" s="7"/>
      <c r="N753" s="7"/>
      <c r="O753" s="7"/>
      <c r="P753" s="7"/>
      <c r="Q753" s="7"/>
      <c r="R753" s="7"/>
      <c r="S753" s="7"/>
      <c r="T753" s="7"/>
      <c r="U753" s="7"/>
      <c r="Y753" s="7"/>
      <c r="Z753" s="17"/>
      <c r="AC753" s="7"/>
      <c r="AD753" s="7"/>
      <c r="AE753" s="7"/>
      <c r="AF753" s="7"/>
      <c r="AG753" s="7"/>
      <c r="AH753" s="7"/>
      <c r="AJ753" s="7"/>
      <c r="AK753" s="7"/>
      <c r="AL753" s="7"/>
      <c r="AM753" s="7"/>
      <c r="AN753" s="7"/>
      <c r="AO753" s="7"/>
      <c r="AR753" s="7"/>
      <c r="AS753" s="7"/>
      <c r="AT753" s="7"/>
      <c r="AU753" s="7"/>
      <c r="AW753" s="7"/>
      <c r="CE753" s="7"/>
      <c r="FZ753" s="2"/>
    </row>
    <row r="754" spans="1:182">
      <c r="A754" s="7"/>
      <c r="D754" s="7"/>
      <c r="E754" s="7"/>
      <c r="F754" s="7"/>
      <c r="G754" s="7"/>
      <c r="H754" s="7"/>
      <c r="I754" s="7"/>
      <c r="J754" s="7"/>
      <c r="K754" s="7"/>
      <c r="L754" s="7"/>
      <c r="M754" s="7"/>
      <c r="N754" s="7"/>
      <c r="O754" s="7"/>
      <c r="P754" s="7"/>
      <c r="Q754" s="7"/>
      <c r="R754" s="7"/>
      <c r="S754" s="7"/>
      <c r="T754" s="7"/>
      <c r="U754" s="7"/>
      <c r="Y754" s="7"/>
      <c r="Z754" s="17"/>
      <c r="AC754" s="7"/>
      <c r="AD754" s="7"/>
      <c r="AE754" s="7"/>
      <c r="AF754" s="7"/>
      <c r="AG754" s="7"/>
      <c r="AH754" s="7"/>
      <c r="AJ754" s="7"/>
      <c r="AK754" s="7"/>
      <c r="AL754" s="7"/>
      <c r="AM754" s="7"/>
      <c r="AN754" s="7"/>
      <c r="AO754" s="7"/>
      <c r="AR754" s="7"/>
      <c r="AS754" s="7"/>
      <c r="AT754" s="7"/>
      <c r="AU754" s="7"/>
      <c r="AW754" s="7"/>
      <c r="CE754" s="7"/>
      <c r="FZ754" s="2"/>
    </row>
    <row r="755" spans="1:182">
      <c r="A755" s="7"/>
      <c r="D755" s="7"/>
      <c r="E755" s="7"/>
      <c r="F755" s="7"/>
      <c r="G755" s="7"/>
      <c r="H755" s="7"/>
      <c r="I755" s="7"/>
      <c r="J755" s="7"/>
      <c r="K755" s="7"/>
      <c r="L755" s="7"/>
      <c r="M755" s="7"/>
      <c r="N755" s="7"/>
      <c r="O755" s="7"/>
      <c r="P755" s="7"/>
      <c r="Q755" s="7"/>
      <c r="R755" s="7"/>
      <c r="S755" s="7"/>
      <c r="T755" s="7"/>
      <c r="U755" s="7"/>
      <c r="Y755" s="7"/>
      <c r="Z755" s="17"/>
      <c r="AC755" s="7"/>
      <c r="AD755" s="7"/>
      <c r="AE755" s="7"/>
      <c r="AF755" s="7"/>
      <c r="AG755" s="7"/>
      <c r="AH755" s="7"/>
      <c r="AJ755" s="7"/>
      <c r="AK755" s="7"/>
      <c r="AL755" s="7"/>
      <c r="AM755" s="7"/>
      <c r="AN755" s="7"/>
      <c r="AO755" s="7"/>
      <c r="AR755" s="7"/>
      <c r="AS755" s="7"/>
      <c r="AT755" s="7"/>
      <c r="AU755" s="7"/>
      <c r="AW755" s="7"/>
      <c r="CE755" s="7"/>
      <c r="FZ755" s="2"/>
    </row>
    <row r="756" spans="1:182">
      <c r="A756" s="7"/>
      <c r="D756" s="7"/>
      <c r="E756" s="7"/>
      <c r="F756" s="7"/>
      <c r="G756" s="7"/>
      <c r="H756" s="7"/>
      <c r="I756" s="7"/>
      <c r="J756" s="7"/>
      <c r="K756" s="7"/>
      <c r="L756" s="7"/>
      <c r="M756" s="7"/>
      <c r="N756" s="7"/>
      <c r="O756" s="7"/>
      <c r="P756" s="7"/>
      <c r="Q756" s="7"/>
      <c r="R756" s="7"/>
      <c r="S756" s="7"/>
      <c r="T756" s="7"/>
      <c r="U756" s="7"/>
      <c r="Y756" s="7"/>
      <c r="Z756" s="17"/>
      <c r="AC756" s="7"/>
      <c r="AD756" s="7"/>
      <c r="AE756" s="7"/>
      <c r="AF756" s="7"/>
      <c r="AG756" s="7"/>
      <c r="AH756" s="7"/>
      <c r="AJ756" s="7"/>
      <c r="AK756" s="7"/>
      <c r="AL756" s="7"/>
      <c r="AM756" s="7"/>
      <c r="AN756" s="7"/>
      <c r="AO756" s="7"/>
      <c r="AR756" s="7"/>
      <c r="AS756" s="7"/>
      <c r="AT756" s="7"/>
      <c r="AU756" s="7"/>
      <c r="AW756" s="7"/>
      <c r="CE756" s="7"/>
      <c r="FZ756" s="2"/>
    </row>
    <row r="757" spans="1:182">
      <c r="A757" s="7"/>
      <c r="D757" s="7"/>
      <c r="E757" s="7"/>
      <c r="F757" s="7"/>
      <c r="G757" s="7"/>
      <c r="H757" s="7"/>
      <c r="I757" s="7"/>
      <c r="J757" s="7"/>
      <c r="K757" s="7"/>
      <c r="L757" s="7"/>
      <c r="M757" s="7"/>
      <c r="N757" s="7"/>
      <c r="O757" s="7"/>
      <c r="P757" s="7"/>
      <c r="Q757" s="7"/>
      <c r="R757" s="7"/>
      <c r="S757" s="7"/>
      <c r="T757" s="7"/>
      <c r="U757" s="7"/>
      <c r="Y757" s="7"/>
      <c r="Z757" s="17"/>
      <c r="AC757" s="7"/>
      <c r="AD757" s="7"/>
      <c r="AE757" s="7"/>
      <c r="AF757" s="7"/>
      <c r="AG757" s="7"/>
      <c r="AH757" s="7"/>
      <c r="AJ757" s="7"/>
      <c r="AK757" s="7"/>
      <c r="AL757" s="7"/>
      <c r="AM757" s="7"/>
      <c r="AN757" s="7"/>
      <c r="AO757" s="7"/>
      <c r="AR757" s="7"/>
      <c r="AS757" s="7"/>
      <c r="AT757" s="7"/>
      <c r="AU757" s="7"/>
      <c r="AW757" s="7"/>
      <c r="CE757" s="7"/>
      <c r="FZ757" s="2"/>
    </row>
    <row r="758" spans="1:182">
      <c r="A758" s="7"/>
      <c r="D758" s="7"/>
      <c r="E758" s="7"/>
      <c r="F758" s="7"/>
      <c r="G758" s="7"/>
      <c r="H758" s="7"/>
      <c r="I758" s="7"/>
      <c r="J758" s="7"/>
      <c r="K758" s="7"/>
      <c r="L758" s="7"/>
      <c r="M758" s="7"/>
      <c r="N758" s="7"/>
      <c r="O758" s="7"/>
      <c r="P758" s="7"/>
      <c r="Q758" s="7"/>
      <c r="R758" s="7"/>
      <c r="S758" s="7"/>
      <c r="T758" s="7"/>
      <c r="U758" s="7"/>
      <c r="Y758" s="7"/>
      <c r="Z758" s="17"/>
      <c r="AC758" s="7"/>
      <c r="AD758" s="7"/>
      <c r="AE758" s="7"/>
      <c r="AF758" s="7"/>
      <c r="AG758" s="7"/>
      <c r="AH758" s="7"/>
      <c r="AJ758" s="7"/>
      <c r="AK758" s="7"/>
      <c r="AL758" s="7"/>
      <c r="AM758" s="7"/>
      <c r="AN758" s="7"/>
      <c r="AO758" s="7"/>
      <c r="AR758" s="7"/>
      <c r="AS758" s="7"/>
      <c r="AT758" s="7"/>
      <c r="AU758" s="7"/>
      <c r="AW758" s="7"/>
      <c r="CE758" s="7"/>
      <c r="FZ758" s="2"/>
    </row>
    <row r="759" spans="1:182">
      <c r="A759" s="7"/>
      <c r="D759" s="7"/>
      <c r="E759" s="7"/>
      <c r="F759" s="7"/>
      <c r="G759" s="7"/>
      <c r="H759" s="7"/>
      <c r="I759" s="7"/>
      <c r="J759" s="7"/>
      <c r="K759" s="7"/>
      <c r="L759" s="7"/>
      <c r="M759" s="7"/>
      <c r="N759" s="7"/>
      <c r="O759" s="7"/>
      <c r="P759" s="7"/>
      <c r="Q759" s="7"/>
      <c r="R759" s="7"/>
      <c r="S759" s="7"/>
      <c r="T759" s="7"/>
      <c r="U759" s="7"/>
      <c r="Y759" s="7"/>
      <c r="Z759" s="17"/>
      <c r="AC759" s="7"/>
      <c r="AD759" s="7"/>
      <c r="AE759" s="7"/>
      <c r="AF759" s="7"/>
      <c r="AG759" s="7"/>
      <c r="AH759" s="7"/>
      <c r="AJ759" s="7"/>
      <c r="AK759" s="7"/>
      <c r="AL759" s="7"/>
      <c r="AM759" s="7"/>
      <c r="AN759" s="7"/>
      <c r="AO759" s="7"/>
      <c r="AR759" s="7"/>
      <c r="AS759" s="7"/>
      <c r="AT759" s="7"/>
      <c r="AU759" s="7"/>
      <c r="AW759" s="7"/>
      <c r="CE759" s="7"/>
      <c r="FZ759" s="2"/>
    </row>
    <row r="760" spans="1:182">
      <c r="A760" s="7"/>
      <c r="D760" s="7"/>
      <c r="E760" s="7"/>
      <c r="F760" s="7"/>
      <c r="G760" s="7"/>
      <c r="H760" s="7"/>
      <c r="I760" s="7"/>
      <c r="J760" s="7"/>
      <c r="K760" s="7"/>
      <c r="L760" s="7"/>
      <c r="M760" s="7"/>
      <c r="N760" s="7"/>
      <c r="O760" s="7"/>
      <c r="P760" s="7"/>
      <c r="Q760" s="7"/>
      <c r="R760" s="7"/>
      <c r="S760" s="7"/>
      <c r="T760" s="7"/>
      <c r="U760" s="7"/>
      <c r="Y760" s="7"/>
      <c r="Z760" s="17"/>
      <c r="AC760" s="7"/>
      <c r="AD760" s="7"/>
      <c r="AE760" s="7"/>
      <c r="AF760" s="7"/>
      <c r="AG760" s="7"/>
      <c r="AH760" s="7"/>
      <c r="AJ760" s="7"/>
      <c r="AK760" s="7"/>
      <c r="AL760" s="7"/>
      <c r="AM760" s="7"/>
      <c r="AN760" s="7"/>
      <c r="AO760" s="7"/>
      <c r="AR760" s="7"/>
      <c r="AS760" s="7"/>
      <c r="AT760" s="7"/>
      <c r="AU760" s="7"/>
      <c r="AW760" s="7"/>
      <c r="CE760" s="7"/>
      <c r="FZ760" s="2"/>
    </row>
    <row r="761" spans="1:182">
      <c r="A761" s="7"/>
      <c r="D761" s="7"/>
      <c r="E761" s="7"/>
      <c r="F761" s="7"/>
      <c r="G761" s="7"/>
      <c r="H761" s="7"/>
      <c r="I761" s="7"/>
      <c r="J761" s="7"/>
      <c r="K761" s="7"/>
      <c r="L761" s="7"/>
      <c r="M761" s="7"/>
      <c r="N761" s="7"/>
      <c r="O761" s="7"/>
      <c r="P761" s="7"/>
      <c r="Q761" s="7"/>
      <c r="R761" s="7"/>
      <c r="S761" s="7"/>
      <c r="T761" s="7"/>
      <c r="U761" s="7"/>
      <c r="Y761" s="7"/>
      <c r="Z761" s="17"/>
      <c r="AC761" s="7"/>
      <c r="AD761" s="7"/>
      <c r="AE761" s="7"/>
      <c r="AF761" s="7"/>
      <c r="AG761" s="7"/>
      <c r="AH761" s="7"/>
      <c r="AJ761" s="7"/>
      <c r="AK761" s="7"/>
      <c r="AL761" s="7"/>
      <c r="AM761" s="7"/>
      <c r="AN761" s="7"/>
      <c r="AO761" s="7"/>
      <c r="AR761" s="7"/>
      <c r="AS761" s="7"/>
      <c r="AT761" s="7"/>
      <c r="AU761" s="7"/>
      <c r="AW761" s="7"/>
      <c r="CE761" s="7"/>
      <c r="FZ761" s="2"/>
    </row>
    <row r="762" spans="1:182">
      <c r="A762" s="7"/>
      <c r="D762" s="7"/>
      <c r="E762" s="7"/>
      <c r="F762" s="7"/>
      <c r="G762" s="7"/>
      <c r="H762" s="7"/>
      <c r="I762" s="7"/>
      <c r="J762" s="7"/>
      <c r="K762" s="7"/>
      <c r="L762" s="7"/>
      <c r="M762" s="7"/>
      <c r="N762" s="7"/>
      <c r="O762" s="7"/>
      <c r="P762" s="7"/>
      <c r="Q762" s="7"/>
      <c r="R762" s="7"/>
      <c r="S762" s="7"/>
      <c r="T762" s="7"/>
      <c r="U762" s="7"/>
      <c r="Y762" s="7"/>
      <c r="Z762" s="17"/>
      <c r="AC762" s="7"/>
      <c r="AD762" s="7"/>
      <c r="AE762" s="7"/>
      <c r="AF762" s="7"/>
      <c r="AG762" s="7"/>
      <c r="AH762" s="7"/>
      <c r="AJ762" s="7"/>
      <c r="AK762" s="7"/>
      <c r="AL762" s="7"/>
      <c r="AM762" s="7"/>
      <c r="AN762" s="7"/>
      <c r="AO762" s="7"/>
      <c r="AR762" s="7"/>
      <c r="AS762" s="7"/>
      <c r="AT762" s="7"/>
      <c r="AU762" s="7"/>
      <c r="AW762" s="7"/>
      <c r="CE762" s="7"/>
      <c r="FZ762" s="2"/>
    </row>
    <row r="763" spans="1:182">
      <c r="A763" s="7"/>
      <c r="D763" s="7"/>
      <c r="E763" s="7"/>
      <c r="F763" s="7"/>
      <c r="G763" s="7"/>
      <c r="H763" s="7"/>
      <c r="I763" s="7"/>
      <c r="J763" s="7"/>
      <c r="K763" s="7"/>
      <c r="L763" s="7"/>
      <c r="M763" s="7"/>
      <c r="N763" s="7"/>
      <c r="O763" s="7"/>
      <c r="P763" s="7"/>
      <c r="Q763" s="7"/>
      <c r="R763" s="7"/>
      <c r="S763" s="7"/>
      <c r="T763" s="7"/>
      <c r="U763" s="7"/>
      <c r="Y763" s="7"/>
      <c r="Z763" s="17"/>
      <c r="AC763" s="7"/>
      <c r="AD763" s="7"/>
      <c r="AE763" s="7"/>
      <c r="AF763" s="7"/>
      <c r="AG763" s="7"/>
      <c r="AH763" s="7"/>
      <c r="AJ763" s="7"/>
      <c r="AK763" s="7"/>
      <c r="AL763" s="7"/>
      <c r="AM763" s="7"/>
      <c r="AN763" s="7"/>
      <c r="AO763" s="7"/>
      <c r="AR763" s="7"/>
      <c r="AS763" s="7"/>
      <c r="AT763" s="7"/>
      <c r="AU763" s="7"/>
      <c r="AW763" s="7"/>
      <c r="CE763" s="7"/>
      <c r="FZ763" s="2"/>
    </row>
    <row r="764" spans="1:182">
      <c r="A764" s="7"/>
      <c r="D764" s="7"/>
      <c r="E764" s="7"/>
      <c r="F764" s="7"/>
      <c r="G764" s="7"/>
      <c r="H764" s="7"/>
      <c r="I764" s="7"/>
      <c r="J764" s="7"/>
      <c r="K764" s="7"/>
      <c r="L764" s="7"/>
      <c r="M764" s="7"/>
      <c r="N764" s="7"/>
      <c r="O764" s="7"/>
      <c r="P764" s="7"/>
      <c r="Q764" s="7"/>
      <c r="R764" s="7"/>
      <c r="S764" s="7"/>
      <c r="T764" s="7"/>
      <c r="U764" s="7"/>
      <c r="Y764" s="7"/>
      <c r="Z764" s="17"/>
      <c r="AC764" s="7"/>
      <c r="AD764" s="7"/>
      <c r="AE764" s="7"/>
      <c r="AF764" s="7"/>
      <c r="AG764" s="7"/>
      <c r="AH764" s="7"/>
      <c r="AJ764" s="7"/>
      <c r="AK764" s="7"/>
      <c r="AL764" s="7"/>
      <c r="AM764" s="7"/>
      <c r="AN764" s="7"/>
      <c r="AO764" s="7"/>
      <c r="AR764" s="7"/>
      <c r="AS764" s="7"/>
      <c r="AT764" s="7"/>
      <c r="AU764" s="7"/>
      <c r="AW764" s="7"/>
      <c r="CE764" s="7"/>
      <c r="FZ764" s="2"/>
    </row>
    <row r="765" spans="1:182">
      <c r="A765" s="7"/>
      <c r="D765" s="7"/>
      <c r="E765" s="7"/>
      <c r="F765" s="7"/>
      <c r="G765" s="7"/>
      <c r="H765" s="7"/>
      <c r="I765" s="7"/>
      <c r="J765" s="7"/>
      <c r="K765" s="7"/>
      <c r="L765" s="7"/>
      <c r="M765" s="7"/>
      <c r="N765" s="7"/>
      <c r="O765" s="7"/>
      <c r="P765" s="7"/>
      <c r="Q765" s="7"/>
      <c r="R765" s="7"/>
      <c r="S765" s="7"/>
      <c r="T765" s="7"/>
      <c r="U765" s="7"/>
      <c r="Y765" s="7"/>
      <c r="Z765" s="17"/>
      <c r="AC765" s="7"/>
      <c r="AD765" s="7"/>
      <c r="AE765" s="7"/>
      <c r="AF765" s="7"/>
      <c r="AG765" s="7"/>
      <c r="AH765" s="7"/>
      <c r="AJ765" s="7"/>
      <c r="AK765" s="7"/>
      <c r="AL765" s="7"/>
      <c r="AM765" s="7"/>
      <c r="AN765" s="7"/>
      <c r="AO765" s="7"/>
      <c r="AR765" s="7"/>
      <c r="AS765" s="7"/>
      <c r="AT765" s="7"/>
      <c r="AU765" s="7"/>
      <c r="AW765" s="7"/>
      <c r="CE765" s="7"/>
      <c r="FZ765" s="2"/>
    </row>
    <row r="766" spans="1:182">
      <c r="A766" s="7"/>
      <c r="D766" s="7"/>
      <c r="E766" s="7"/>
      <c r="F766" s="7"/>
      <c r="G766" s="7"/>
      <c r="H766" s="7"/>
      <c r="I766" s="7"/>
      <c r="J766" s="7"/>
      <c r="K766" s="7"/>
      <c r="L766" s="7"/>
      <c r="M766" s="7"/>
      <c r="N766" s="7"/>
      <c r="O766" s="7"/>
      <c r="P766" s="7"/>
      <c r="Q766" s="7"/>
      <c r="R766" s="7"/>
      <c r="S766" s="7"/>
      <c r="T766" s="7"/>
      <c r="U766" s="7"/>
      <c r="Y766" s="7"/>
      <c r="Z766" s="17"/>
      <c r="AC766" s="7"/>
      <c r="AD766" s="7"/>
      <c r="AE766" s="7"/>
      <c r="AF766" s="7"/>
      <c r="AG766" s="7"/>
      <c r="AH766" s="7"/>
      <c r="AJ766" s="7"/>
      <c r="AK766" s="7"/>
      <c r="AL766" s="7"/>
      <c r="AM766" s="7"/>
      <c r="AN766" s="7"/>
      <c r="AO766" s="7"/>
      <c r="AR766" s="7"/>
      <c r="AS766" s="7"/>
      <c r="AT766" s="7"/>
      <c r="AU766" s="7"/>
      <c r="AW766" s="7"/>
      <c r="CE766" s="7"/>
      <c r="FZ766" s="2"/>
    </row>
    <row r="767" spans="1:182">
      <c r="A767" s="7"/>
      <c r="D767" s="7"/>
      <c r="E767" s="7"/>
      <c r="F767" s="7"/>
      <c r="G767" s="7"/>
      <c r="H767" s="7"/>
      <c r="I767" s="7"/>
      <c r="J767" s="7"/>
      <c r="K767" s="7"/>
      <c r="L767" s="7"/>
      <c r="M767" s="7"/>
      <c r="N767" s="7"/>
      <c r="O767" s="7"/>
      <c r="P767" s="7"/>
      <c r="Q767" s="7"/>
      <c r="R767" s="7"/>
      <c r="S767" s="7"/>
      <c r="T767" s="7"/>
      <c r="U767" s="7"/>
      <c r="Y767" s="7"/>
      <c r="Z767" s="17"/>
      <c r="AC767" s="7"/>
      <c r="AD767" s="7"/>
      <c r="AE767" s="7"/>
      <c r="AF767" s="7"/>
      <c r="AG767" s="7"/>
      <c r="AH767" s="7"/>
      <c r="AJ767" s="7"/>
      <c r="AK767" s="7"/>
      <c r="AL767" s="7"/>
      <c r="AM767" s="7"/>
      <c r="AN767" s="7"/>
      <c r="AO767" s="7"/>
      <c r="AR767" s="7"/>
      <c r="AS767" s="7"/>
      <c r="AT767" s="7"/>
      <c r="AU767" s="7"/>
      <c r="AW767" s="7"/>
      <c r="CE767" s="7"/>
      <c r="FZ767" s="2"/>
    </row>
    <row r="768" spans="1:182">
      <c r="A768" s="7"/>
      <c r="D768" s="7"/>
      <c r="E768" s="7"/>
      <c r="F768" s="7"/>
      <c r="G768" s="7"/>
      <c r="H768" s="7"/>
      <c r="I768" s="7"/>
      <c r="J768" s="7"/>
      <c r="K768" s="7"/>
      <c r="L768" s="7"/>
      <c r="M768" s="7"/>
      <c r="N768" s="7"/>
      <c r="O768" s="7"/>
      <c r="P768" s="7"/>
      <c r="Q768" s="7"/>
      <c r="R768" s="7"/>
      <c r="S768" s="7"/>
      <c r="T768" s="7"/>
      <c r="U768" s="7"/>
      <c r="Y768" s="7"/>
      <c r="Z768" s="17"/>
      <c r="AC768" s="7"/>
      <c r="AD768" s="7"/>
      <c r="AE768" s="7"/>
      <c r="AF768" s="7"/>
      <c r="AG768" s="7"/>
      <c r="AH768" s="7"/>
      <c r="AJ768" s="7"/>
      <c r="AK768" s="7"/>
      <c r="AL768" s="7"/>
      <c r="AM768" s="7"/>
      <c r="AN768" s="7"/>
      <c r="AO768" s="7"/>
      <c r="AR768" s="7"/>
      <c r="AS768" s="7"/>
      <c r="AT768" s="7"/>
      <c r="AU768" s="7"/>
      <c r="AW768" s="7"/>
      <c r="CE768" s="7"/>
      <c r="FZ768" s="2"/>
    </row>
    <row r="769" spans="1:182">
      <c r="A769" s="7"/>
      <c r="D769" s="7"/>
      <c r="E769" s="7"/>
      <c r="F769" s="7"/>
      <c r="G769" s="7"/>
      <c r="H769" s="7"/>
      <c r="I769" s="7"/>
      <c r="J769" s="7"/>
      <c r="K769" s="7"/>
      <c r="L769" s="7"/>
      <c r="M769" s="7"/>
      <c r="N769" s="7"/>
      <c r="O769" s="7"/>
      <c r="P769" s="7"/>
      <c r="Q769" s="7"/>
      <c r="R769" s="7"/>
      <c r="S769" s="7"/>
      <c r="T769" s="7"/>
      <c r="U769" s="7"/>
      <c r="Y769" s="7"/>
      <c r="Z769" s="17"/>
      <c r="AC769" s="7"/>
      <c r="AD769" s="7"/>
      <c r="AE769" s="7"/>
      <c r="AF769" s="7"/>
      <c r="AG769" s="7"/>
      <c r="AH769" s="7"/>
      <c r="AJ769" s="7"/>
      <c r="AK769" s="7"/>
      <c r="AL769" s="7"/>
      <c r="AM769" s="7"/>
      <c r="AN769" s="7"/>
      <c r="AO769" s="7"/>
      <c r="AR769" s="7"/>
      <c r="AS769" s="7"/>
      <c r="AT769" s="7"/>
      <c r="AU769" s="7"/>
      <c r="AW769" s="7"/>
      <c r="CE769" s="7"/>
      <c r="FZ769" s="2"/>
    </row>
    <row r="770" spans="1:182">
      <c r="A770" s="7"/>
      <c r="D770" s="7"/>
      <c r="E770" s="7"/>
      <c r="F770" s="7"/>
      <c r="G770" s="7"/>
      <c r="H770" s="7"/>
      <c r="I770" s="7"/>
      <c r="J770" s="7"/>
      <c r="K770" s="7"/>
      <c r="L770" s="7"/>
      <c r="M770" s="7"/>
      <c r="N770" s="7"/>
      <c r="O770" s="7"/>
      <c r="P770" s="7"/>
      <c r="Q770" s="7"/>
      <c r="R770" s="7"/>
      <c r="S770" s="7"/>
      <c r="T770" s="7"/>
      <c r="U770" s="7"/>
      <c r="Y770" s="7"/>
      <c r="Z770" s="17"/>
      <c r="AC770" s="7"/>
      <c r="AD770" s="7"/>
      <c r="AE770" s="7"/>
      <c r="AF770" s="7"/>
      <c r="AG770" s="7"/>
      <c r="AH770" s="7"/>
      <c r="AJ770" s="7"/>
      <c r="AK770" s="7"/>
      <c r="AL770" s="7"/>
      <c r="AM770" s="7"/>
      <c r="AN770" s="7"/>
      <c r="AO770" s="7"/>
      <c r="AR770" s="7"/>
      <c r="AS770" s="7"/>
      <c r="AT770" s="7"/>
      <c r="AU770" s="7"/>
      <c r="AW770" s="7"/>
      <c r="CE770" s="7"/>
      <c r="FZ770" s="2"/>
    </row>
    <row r="771" spans="1:182">
      <c r="A771" s="7"/>
      <c r="D771" s="7"/>
      <c r="E771" s="7"/>
      <c r="F771" s="7"/>
      <c r="G771" s="7"/>
      <c r="H771" s="7"/>
      <c r="I771" s="7"/>
      <c r="J771" s="7"/>
      <c r="K771" s="7"/>
      <c r="L771" s="7"/>
      <c r="M771" s="7"/>
      <c r="N771" s="7"/>
      <c r="O771" s="7"/>
      <c r="P771" s="7"/>
      <c r="Q771" s="7"/>
      <c r="R771" s="7"/>
      <c r="S771" s="7"/>
      <c r="T771" s="7"/>
      <c r="U771" s="7"/>
      <c r="Y771" s="7"/>
      <c r="Z771" s="17"/>
      <c r="AC771" s="7"/>
      <c r="AD771" s="7"/>
      <c r="AE771" s="7"/>
      <c r="AF771" s="7"/>
      <c r="AG771" s="7"/>
      <c r="AH771" s="7"/>
      <c r="AJ771" s="7"/>
      <c r="AK771" s="7"/>
      <c r="AL771" s="7"/>
      <c r="AM771" s="7"/>
      <c r="AN771" s="7"/>
      <c r="AO771" s="7"/>
      <c r="AR771" s="7"/>
      <c r="AS771" s="7"/>
      <c r="AT771" s="7"/>
      <c r="AU771" s="7"/>
      <c r="AW771" s="7"/>
      <c r="CE771" s="7"/>
      <c r="FZ771" s="2"/>
    </row>
    <row r="772" spans="1:182">
      <c r="A772" s="7"/>
      <c r="D772" s="7"/>
      <c r="E772" s="7"/>
      <c r="F772" s="7"/>
      <c r="G772" s="7"/>
      <c r="H772" s="7"/>
      <c r="I772" s="7"/>
      <c r="J772" s="7"/>
      <c r="K772" s="7"/>
      <c r="L772" s="7"/>
      <c r="M772" s="7"/>
      <c r="N772" s="7"/>
      <c r="O772" s="7"/>
      <c r="P772" s="7"/>
      <c r="Q772" s="7"/>
      <c r="R772" s="7"/>
      <c r="S772" s="7"/>
      <c r="T772" s="7"/>
      <c r="U772" s="7"/>
      <c r="Y772" s="7"/>
      <c r="Z772" s="17"/>
      <c r="AC772" s="7"/>
      <c r="AD772" s="7"/>
      <c r="AE772" s="7"/>
      <c r="AF772" s="7"/>
      <c r="AG772" s="7"/>
      <c r="AH772" s="7"/>
      <c r="AJ772" s="7"/>
      <c r="AK772" s="7"/>
      <c r="AL772" s="7"/>
      <c r="AM772" s="7"/>
      <c r="AN772" s="7"/>
      <c r="AO772" s="7"/>
      <c r="AR772" s="7"/>
      <c r="AS772" s="7"/>
      <c r="AT772" s="7"/>
      <c r="AU772" s="7"/>
      <c r="AW772" s="7"/>
      <c r="CE772" s="7"/>
      <c r="FZ772" s="2"/>
    </row>
    <row r="773" spans="1:182">
      <c r="A773" s="7"/>
      <c r="D773" s="7"/>
      <c r="E773" s="7"/>
      <c r="F773" s="7"/>
      <c r="G773" s="7"/>
      <c r="H773" s="7"/>
      <c r="I773" s="7"/>
      <c r="J773" s="7"/>
      <c r="K773" s="7"/>
      <c r="L773" s="7"/>
      <c r="M773" s="7"/>
      <c r="N773" s="7"/>
      <c r="O773" s="7"/>
      <c r="P773" s="7"/>
      <c r="Q773" s="7"/>
      <c r="R773" s="7"/>
      <c r="S773" s="7"/>
      <c r="T773" s="7"/>
      <c r="U773" s="7"/>
      <c r="Y773" s="7"/>
      <c r="Z773" s="17"/>
      <c r="AC773" s="7"/>
      <c r="AD773" s="7"/>
      <c r="AE773" s="7"/>
      <c r="AF773" s="7"/>
      <c r="AG773" s="7"/>
      <c r="AH773" s="7"/>
      <c r="AJ773" s="7"/>
      <c r="AK773" s="7"/>
      <c r="AL773" s="7"/>
      <c r="AM773" s="7"/>
      <c r="AN773" s="7"/>
      <c r="AO773" s="7"/>
      <c r="AR773" s="7"/>
      <c r="AS773" s="7"/>
      <c r="AT773" s="7"/>
      <c r="AU773" s="7"/>
      <c r="AW773" s="7"/>
      <c r="CE773" s="7"/>
      <c r="FZ773" s="2"/>
    </row>
    <row r="774" spans="1:182">
      <c r="A774" s="7"/>
      <c r="D774" s="7"/>
      <c r="E774" s="7"/>
      <c r="F774" s="7"/>
      <c r="G774" s="7"/>
      <c r="H774" s="7"/>
      <c r="I774" s="7"/>
      <c r="J774" s="7"/>
      <c r="K774" s="7"/>
      <c r="L774" s="7"/>
      <c r="M774" s="7"/>
      <c r="N774" s="7"/>
      <c r="O774" s="7"/>
      <c r="P774" s="7"/>
      <c r="Q774" s="7"/>
      <c r="R774" s="7"/>
      <c r="S774" s="7"/>
      <c r="T774" s="7"/>
      <c r="U774" s="7"/>
      <c r="Y774" s="7"/>
      <c r="Z774" s="17"/>
      <c r="AC774" s="7"/>
      <c r="AD774" s="7"/>
      <c r="AE774" s="7"/>
      <c r="AF774" s="7"/>
      <c r="AG774" s="7"/>
      <c r="AH774" s="7"/>
      <c r="AJ774" s="7"/>
      <c r="AK774" s="7"/>
      <c r="AL774" s="7"/>
      <c r="AM774" s="7"/>
      <c r="AN774" s="7"/>
      <c r="AO774" s="7"/>
      <c r="AR774" s="7"/>
      <c r="AS774" s="7"/>
      <c r="AT774" s="7"/>
      <c r="AU774" s="7"/>
      <c r="AW774" s="7"/>
      <c r="CE774" s="7"/>
      <c r="FZ774" s="2"/>
    </row>
    <row r="775" spans="1:182">
      <c r="A775" s="7"/>
      <c r="D775" s="7"/>
      <c r="E775" s="7"/>
      <c r="F775" s="7"/>
      <c r="G775" s="7"/>
      <c r="H775" s="7"/>
      <c r="I775" s="7"/>
      <c r="J775" s="7"/>
      <c r="K775" s="7"/>
      <c r="L775" s="7"/>
      <c r="M775" s="7"/>
      <c r="N775" s="7"/>
      <c r="O775" s="7"/>
      <c r="P775" s="7"/>
      <c r="Q775" s="7"/>
      <c r="R775" s="7"/>
      <c r="S775" s="7"/>
      <c r="T775" s="7"/>
      <c r="U775" s="7"/>
      <c r="Y775" s="7"/>
      <c r="Z775" s="17"/>
      <c r="AC775" s="7"/>
      <c r="AD775" s="7"/>
      <c r="AE775" s="7"/>
      <c r="AF775" s="7"/>
      <c r="AG775" s="7"/>
      <c r="AH775" s="7"/>
      <c r="AJ775" s="7"/>
      <c r="AK775" s="7"/>
      <c r="AL775" s="7"/>
      <c r="AM775" s="7"/>
      <c r="AN775" s="7"/>
      <c r="AO775" s="7"/>
      <c r="AR775" s="7"/>
      <c r="AS775" s="7"/>
      <c r="AT775" s="7"/>
      <c r="AU775" s="7"/>
      <c r="AW775" s="7"/>
      <c r="CE775" s="7"/>
      <c r="FZ775" s="2"/>
    </row>
    <row r="776" spans="1:182">
      <c r="A776" s="7"/>
      <c r="D776" s="7"/>
      <c r="E776" s="7"/>
      <c r="F776" s="7"/>
      <c r="G776" s="7"/>
      <c r="H776" s="7"/>
      <c r="I776" s="7"/>
      <c r="J776" s="7"/>
      <c r="K776" s="7"/>
      <c r="L776" s="7"/>
      <c r="M776" s="7"/>
      <c r="N776" s="7"/>
      <c r="O776" s="7"/>
      <c r="P776" s="7"/>
      <c r="Q776" s="7"/>
      <c r="R776" s="7"/>
      <c r="S776" s="7"/>
      <c r="T776" s="7"/>
      <c r="U776" s="7"/>
      <c r="Y776" s="7"/>
      <c r="Z776" s="17"/>
      <c r="AC776" s="7"/>
      <c r="AD776" s="7"/>
      <c r="AE776" s="7"/>
      <c r="AF776" s="7"/>
      <c r="AG776" s="7"/>
      <c r="AH776" s="7"/>
      <c r="AJ776" s="7"/>
      <c r="AK776" s="7"/>
      <c r="AL776" s="7"/>
      <c r="AM776" s="7"/>
      <c r="AN776" s="7"/>
      <c r="AO776" s="7"/>
      <c r="AR776" s="7"/>
      <c r="AS776" s="7"/>
      <c r="AT776" s="7"/>
      <c r="AU776" s="7"/>
      <c r="AW776" s="7"/>
      <c r="CE776" s="7"/>
      <c r="FZ776" s="2"/>
    </row>
    <row r="777" spans="1:182">
      <c r="A777" s="7"/>
      <c r="D777" s="7"/>
      <c r="E777" s="7"/>
      <c r="F777" s="7"/>
      <c r="G777" s="7"/>
      <c r="H777" s="7"/>
      <c r="I777" s="7"/>
      <c r="J777" s="7"/>
      <c r="K777" s="7"/>
      <c r="L777" s="7"/>
      <c r="M777" s="7"/>
      <c r="N777" s="7"/>
      <c r="O777" s="7"/>
      <c r="P777" s="7"/>
      <c r="Q777" s="7"/>
      <c r="R777" s="7"/>
      <c r="S777" s="7"/>
      <c r="T777" s="7"/>
      <c r="U777" s="7"/>
      <c r="Y777" s="7"/>
      <c r="Z777" s="17"/>
      <c r="AC777" s="7"/>
      <c r="AD777" s="7"/>
      <c r="AE777" s="7"/>
      <c r="AF777" s="7"/>
      <c r="AG777" s="7"/>
      <c r="AH777" s="7"/>
      <c r="AJ777" s="7"/>
      <c r="AK777" s="7"/>
      <c r="AL777" s="7"/>
      <c r="AM777" s="7"/>
      <c r="AN777" s="7"/>
      <c r="AO777" s="7"/>
      <c r="AR777" s="7"/>
      <c r="AS777" s="7"/>
      <c r="AT777" s="7"/>
      <c r="AU777" s="7"/>
      <c r="AW777" s="7"/>
      <c r="CE777" s="7"/>
      <c r="FZ777" s="2"/>
    </row>
    <row r="778" spans="1:182">
      <c r="A778" s="7"/>
      <c r="D778" s="7"/>
      <c r="E778" s="7"/>
      <c r="F778" s="7"/>
      <c r="G778" s="7"/>
      <c r="H778" s="7"/>
      <c r="I778" s="7"/>
      <c r="J778" s="7"/>
      <c r="K778" s="7"/>
      <c r="L778" s="7"/>
      <c r="M778" s="7"/>
      <c r="N778" s="7"/>
      <c r="O778" s="7"/>
      <c r="P778" s="7"/>
      <c r="Q778" s="7"/>
      <c r="R778" s="7"/>
      <c r="S778" s="7"/>
      <c r="T778" s="7"/>
      <c r="U778" s="7"/>
      <c r="Y778" s="7"/>
      <c r="Z778" s="17"/>
      <c r="AC778" s="7"/>
      <c r="AD778" s="7"/>
      <c r="AE778" s="7"/>
      <c r="AF778" s="7"/>
      <c r="AG778" s="7"/>
      <c r="AH778" s="7"/>
      <c r="AJ778" s="7"/>
      <c r="AK778" s="7"/>
      <c r="AL778" s="7"/>
      <c r="AM778" s="7"/>
      <c r="AN778" s="7"/>
      <c r="AO778" s="7"/>
      <c r="AR778" s="7"/>
      <c r="AS778" s="7"/>
      <c r="AT778" s="7"/>
      <c r="AU778" s="7"/>
      <c r="AW778" s="7"/>
      <c r="CE778" s="7"/>
      <c r="FZ778" s="2"/>
    </row>
    <row r="779" spans="1:182">
      <c r="A779" s="7"/>
      <c r="D779" s="7"/>
      <c r="E779" s="7"/>
      <c r="F779" s="7"/>
      <c r="G779" s="7"/>
      <c r="H779" s="7"/>
      <c r="I779" s="7"/>
      <c r="J779" s="7"/>
      <c r="K779" s="7"/>
      <c r="L779" s="7"/>
      <c r="M779" s="7"/>
      <c r="N779" s="7"/>
      <c r="O779" s="7"/>
      <c r="P779" s="7"/>
      <c r="Q779" s="7"/>
      <c r="R779" s="7"/>
      <c r="S779" s="7"/>
      <c r="T779" s="7"/>
      <c r="U779" s="7"/>
      <c r="Y779" s="7"/>
      <c r="Z779" s="17"/>
      <c r="AC779" s="7"/>
      <c r="AD779" s="7"/>
      <c r="AE779" s="7"/>
      <c r="AF779" s="7"/>
      <c r="AG779" s="7"/>
      <c r="AH779" s="7"/>
      <c r="AJ779" s="7"/>
      <c r="AK779" s="7"/>
      <c r="AL779" s="7"/>
      <c r="AM779" s="7"/>
      <c r="AN779" s="7"/>
      <c r="AO779" s="7"/>
      <c r="AR779" s="7"/>
      <c r="AS779" s="7"/>
      <c r="AT779" s="7"/>
      <c r="AU779" s="7"/>
      <c r="AW779" s="7"/>
      <c r="CE779" s="7"/>
      <c r="FZ779" s="2"/>
    </row>
    <row r="780" spans="1:182">
      <c r="A780" s="7"/>
      <c r="D780" s="7"/>
      <c r="E780" s="7"/>
      <c r="F780" s="7"/>
      <c r="G780" s="7"/>
      <c r="H780" s="7"/>
      <c r="I780" s="7"/>
      <c r="J780" s="7"/>
      <c r="K780" s="7"/>
      <c r="L780" s="7"/>
      <c r="M780" s="7"/>
      <c r="N780" s="7"/>
      <c r="O780" s="7"/>
      <c r="P780" s="7"/>
      <c r="Q780" s="7"/>
      <c r="R780" s="7"/>
      <c r="S780" s="7"/>
      <c r="T780" s="7"/>
      <c r="U780" s="7"/>
      <c r="Y780" s="7"/>
      <c r="Z780" s="17"/>
      <c r="AC780" s="7"/>
      <c r="AD780" s="7"/>
      <c r="AE780" s="7"/>
      <c r="AF780" s="7"/>
      <c r="AG780" s="7"/>
      <c r="AH780" s="7"/>
      <c r="AJ780" s="7"/>
      <c r="AK780" s="7"/>
      <c r="AL780" s="7"/>
      <c r="AM780" s="7"/>
      <c r="AN780" s="7"/>
      <c r="AO780" s="7"/>
      <c r="AR780" s="7"/>
      <c r="AS780" s="7"/>
      <c r="AT780" s="7"/>
      <c r="AU780" s="7"/>
      <c r="AW780" s="7"/>
      <c r="CE780" s="7"/>
      <c r="FZ780" s="2"/>
    </row>
    <row r="781" spans="1:182">
      <c r="A781" s="7"/>
      <c r="D781" s="7"/>
      <c r="E781" s="7"/>
      <c r="F781" s="7"/>
      <c r="G781" s="7"/>
      <c r="H781" s="7"/>
      <c r="I781" s="7"/>
      <c r="J781" s="7"/>
      <c r="K781" s="7"/>
      <c r="L781" s="7"/>
      <c r="M781" s="7"/>
      <c r="N781" s="7"/>
      <c r="O781" s="7"/>
      <c r="P781" s="7"/>
      <c r="Q781" s="7"/>
      <c r="R781" s="7"/>
      <c r="S781" s="7"/>
      <c r="T781" s="7"/>
      <c r="U781" s="7"/>
      <c r="Y781" s="7"/>
      <c r="Z781" s="17"/>
      <c r="AC781" s="7"/>
      <c r="AD781" s="7"/>
      <c r="AE781" s="7"/>
      <c r="AF781" s="7"/>
      <c r="AG781" s="7"/>
      <c r="AH781" s="7"/>
      <c r="AJ781" s="7"/>
      <c r="AK781" s="7"/>
      <c r="AL781" s="7"/>
      <c r="AM781" s="7"/>
      <c r="AN781" s="7"/>
      <c r="AO781" s="7"/>
      <c r="AR781" s="7"/>
      <c r="AS781" s="7"/>
      <c r="AT781" s="7"/>
      <c r="AU781" s="7"/>
      <c r="AW781" s="7"/>
      <c r="CE781" s="7"/>
      <c r="FZ781" s="2"/>
    </row>
    <row r="782" spans="1:182">
      <c r="A782" s="7"/>
      <c r="D782" s="7"/>
      <c r="E782" s="7"/>
      <c r="F782" s="7"/>
      <c r="G782" s="7"/>
      <c r="H782" s="7"/>
      <c r="I782" s="7"/>
      <c r="J782" s="7"/>
      <c r="K782" s="7"/>
      <c r="L782" s="7"/>
      <c r="M782" s="7"/>
      <c r="N782" s="7"/>
      <c r="O782" s="7"/>
      <c r="P782" s="7"/>
      <c r="Q782" s="7"/>
      <c r="R782" s="7"/>
      <c r="S782" s="7"/>
      <c r="T782" s="7"/>
      <c r="U782" s="7"/>
      <c r="Y782" s="7"/>
      <c r="Z782" s="17"/>
      <c r="AC782" s="7"/>
      <c r="AD782" s="7"/>
      <c r="AE782" s="7"/>
      <c r="AF782" s="7"/>
      <c r="AG782" s="7"/>
      <c r="AH782" s="7"/>
      <c r="AJ782" s="7"/>
      <c r="AK782" s="7"/>
      <c r="AL782" s="7"/>
      <c r="AM782" s="7"/>
      <c r="AN782" s="7"/>
      <c r="AO782" s="7"/>
      <c r="AR782" s="7"/>
      <c r="AS782" s="7"/>
      <c r="AT782" s="7"/>
      <c r="AU782" s="7"/>
      <c r="AW782" s="7"/>
      <c r="CE782" s="7"/>
      <c r="FZ782" s="2"/>
    </row>
    <row r="783" spans="1:182">
      <c r="A783" s="7"/>
      <c r="D783" s="7"/>
      <c r="E783" s="7"/>
      <c r="F783" s="7"/>
      <c r="G783" s="7"/>
      <c r="H783" s="7"/>
      <c r="I783" s="7"/>
      <c r="J783" s="7"/>
      <c r="K783" s="7"/>
      <c r="L783" s="7"/>
      <c r="M783" s="7"/>
      <c r="N783" s="7"/>
      <c r="O783" s="7"/>
      <c r="P783" s="7"/>
      <c r="Q783" s="7"/>
      <c r="R783" s="7"/>
      <c r="S783" s="7"/>
      <c r="T783" s="7"/>
      <c r="U783" s="7"/>
      <c r="Y783" s="7"/>
      <c r="Z783" s="17"/>
      <c r="AC783" s="7"/>
      <c r="AD783" s="7"/>
      <c r="AE783" s="7"/>
      <c r="AF783" s="7"/>
      <c r="AG783" s="7"/>
      <c r="AH783" s="7"/>
      <c r="AJ783" s="7"/>
      <c r="AK783" s="7"/>
      <c r="AL783" s="7"/>
      <c r="AM783" s="7"/>
      <c r="AN783" s="7"/>
      <c r="AO783" s="7"/>
      <c r="AR783" s="7"/>
      <c r="AS783" s="7"/>
      <c r="AT783" s="7"/>
      <c r="AU783" s="7"/>
      <c r="AW783" s="7"/>
      <c r="CE783" s="7"/>
      <c r="FZ783" s="2"/>
    </row>
    <row r="784" spans="1:182">
      <c r="A784" s="7"/>
      <c r="D784" s="7"/>
      <c r="E784" s="7"/>
      <c r="F784" s="7"/>
      <c r="G784" s="7"/>
      <c r="H784" s="7"/>
      <c r="I784" s="7"/>
      <c r="J784" s="7"/>
      <c r="K784" s="7"/>
      <c r="L784" s="7"/>
      <c r="M784" s="7"/>
      <c r="N784" s="7"/>
      <c r="O784" s="7"/>
      <c r="P784" s="7"/>
      <c r="Q784" s="7"/>
      <c r="R784" s="7"/>
      <c r="S784" s="7"/>
      <c r="T784" s="7"/>
      <c r="U784" s="7"/>
      <c r="Y784" s="7"/>
      <c r="Z784" s="17"/>
      <c r="AC784" s="7"/>
      <c r="AD784" s="7"/>
      <c r="AE784" s="7"/>
      <c r="AF784" s="7"/>
      <c r="AG784" s="7"/>
      <c r="AH784" s="7"/>
      <c r="AJ784" s="7"/>
      <c r="AK784" s="7"/>
      <c r="AL784" s="7"/>
      <c r="AM784" s="7"/>
      <c r="AN784" s="7"/>
      <c r="AO784" s="7"/>
      <c r="AR784" s="7"/>
      <c r="AS784" s="7"/>
      <c r="AT784" s="7"/>
      <c r="AU784" s="7"/>
      <c r="AW784" s="7"/>
      <c r="CE784" s="7"/>
      <c r="FZ784" s="2"/>
    </row>
    <row r="785" spans="1:182">
      <c r="A785" s="7"/>
      <c r="D785" s="7"/>
      <c r="E785" s="7"/>
      <c r="F785" s="7"/>
      <c r="G785" s="7"/>
      <c r="H785" s="7"/>
      <c r="I785" s="7"/>
      <c r="J785" s="7"/>
      <c r="K785" s="7"/>
      <c r="L785" s="7"/>
      <c r="M785" s="7"/>
      <c r="N785" s="7"/>
      <c r="O785" s="7"/>
      <c r="P785" s="7"/>
      <c r="Q785" s="7"/>
      <c r="R785" s="7"/>
      <c r="S785" s="7"/>
      <c r="T785" s="7"/>
      <c r="U785" s="7"/>
      <c r="Y785" s="7"/>
      <c r="Z785" s="17"/>
      <c r="AC785" s="7"/>
      <c r="AD785" s="7"/>
      <c r="AE785" s="7"/>
      <c r="AF785" s="7"/>
      <c r="AG785" s="7"/>
      <c r="AH785" s="7"/>
      <c r="AJ785" s="7"/>
      <c r="AK785" s="7"/>
      <c r="AL785" s="7"/>
      <c r="AM785" s="7"/>
      <c r="AN785" s="7"/>
      <c r="AO785" s="7"/>
      <c r="AR785" s="7"/>
      <c r="AS785" s="7"/>
      <c r="AT785" s="7"/>
      <c r="AU785" s="7"/>
      <c r="AW785" s="7"/>
      <c r="CE785" s="7"/>
      <c r="FZ785" s="2"/>
    </row>
    <row r="786" spans="1:182">
      <c r="A786" s="7"/>
      <c r="D786" s="7"/>
      <c r="E786" s="7"/>
      <c r="F786" s="7"/>
      <c r="G786" s="7"/>
      <c r="H786" s="7"/>
      <c r="I786" s="7"/>
      <c r="J786" s="7"/>
      <c r="K786" s="7"/>
      <c r="L786" s="7"/>
      <c r="M786" s="7"/>
      <c r="N786" s="7"/>
      <c r="O786" s="7"/>
      <c r="P786" s="7"/>
      <c r="Q786" s="7"/>
      <c r="R786" s="7"/>
      <c r="S786" s="7"/>
      <c r="T786" s="7"/>
      <c r="U786" s="7"/>
      <c r="Y786" s="7"/>
      <c r="Z786" s="17"/>
      <c r="AC786" s="7"/>
      <c r="AD786" s="7"/>
      <c r="AE786" s="7"/>
      <c r="AF786" s="7"/>
      <c r="AG786" s="7"/>
      <c r="AH786" s="7"/>
      <c r="AJ786" s="7"/>
      <c r="AK786" s="7"/>
      <c r="AL786" s="7"/>
      <c r="AM786" s="7"/>
      <c r="AN786" s="7"/>
      <c r="AO786" s="7"/>
      <c r="AR786" s="7"/>
      <c r="AS786" s="7"/>
      <c r="AT786" s="7"/>
      <c r="AU786" s="7"/>
      <c r="AW786" s="7"/>
      <c r="CE786" s="7"/>
      <c r="FZ786" s="2"/>
    </row>
    <row r="787" spans="1:182">
      <c r="A787" s="7"/>
      <c r="D787" s="7"/>
      <c r="E787" s="7"/>
      <c r="F787" s="7"/>
      <c r="G787" s="7"/>
      <c r="H787" s="7"/>
      <c r="I787" s="7"/>
      <c r="J787" s="7"/>
      <c r="K787" s="7"/>
      <c r="L787" s="7"/>
      <c r="M787" s="7"/>
      <c r="N787" s="7"/>
      <c r="O787" s="7"/>
      <c r="P787" s="7"/>
      <c r="Q787" s="7"/>
      <c r="R787" s="7"/>
      <c r="S787" s="7"/>
      <c r="T787" s="7"/>
      <c r="U787" s="7"/>
      <c r="Y787" s="7"/>
      <c r="Z787" s="17"/>
      <c r="AC787" s="7"/>
      <c r="AD787" s="7"/>
      <c r="AE787" s="7"/>
      <c r="AF787" s="7"/>
      <c r="AG787" s="7"/>
      <c r="AH787" s="7"/>
      <c r="AJ787" s="7"/>
      <c r="AK787" s="7"/>
      <c r="AL787" s="7"/>
      <c r="AM787" s="7"/>
      <c r="AN787" s="7"/>
      <c r="AO787" s="7"/>
      <c r="AR787" s="7"/>
      <c r="AS787" s="7"/>
      <c r="AT787" s="7"/>
      <c r="AU787" s="7"/>
      <c r="AW787" s="7"/>
      <c r="CE787" s="7"/>
      <c r="FZ787" s="2"/>
    </row>
    <row r="788" spans="1:182">
      <c r="A788" s="7"/>
      <c r="D788" s="7"/>
      <c r="E788" s="7"/>
      <c r="F788" s="7"/>
      <c r="G788" s="7"/>
      <c r="H788" s="7"/>
      <c r="I788" s="7"/>
      <c r="J788" s="7"/>
      <c r="K788" s="7"/>
      <c r="L788" s="7"/>
      <c r="M788" s="7"/>
      <c r="N788" s="7"/>
      <c r="O788" s="7"/>
      <c r="P788" s="7"/>
      <c r="Q788" s="7"/>
      <c r="R788" s="7"/>
      <c r="S788" s="7"/>
      <c r="T788" s="7"/>
      <c r="U788" s="7"/>
      <c r="Y788" s="7"/>
      <c r="Z788" s="17"/>
      <c r="AC788" s="7"/>
      <c r="AD788" s="7"/>
      <c r="AE788" s="7"/>
      <c r="AF788" s="7"/>
      <c r="AG788" s="7"/>
      <c r="AH788" s="7"/>
      <c r="AJ788" s="7"/>
      <c r="AK788" s="7"/>
      <c r="AL788" s="7"/>
      <c r="AM788" s="7"/>
      <c r="AN788" s="7"/>
      <c r="AO788" s="7"/>
      <c r="AR788" s="7"/>
      <c r="AS788" s="7"/>
      <c r="AT788" s="7"/>
      <c r="AU788" s="7"/>
      <c r="AW788" s="7"/>
      <c r="CE788" s="7"/>
      <c r="FZ788" s="2"/>
    </row>
    <row r="789" spans="1:182">
      <c r="A789" s="7"/>
      <c r="D789" s="7"/>
      <c r="E789" s="7"/>
      <c r="F789" s="7"/>
      <c r="G789" s="7"/>
      <c r="H789" s="7"/>
      <c r="I789" s="7"/>
      <c r="J789" s="7"/>
      <c r="K789" s="7"/>
      <c r="L789" s="7"/>
      <c r="M789" s="7"/>
      <c r="N789" s="7"/>
      <c r="O789" s="7"/>
      <c r="P789" s="7"/>
      <c r="Q789" s="7"/>
      <c r="R789" s="7"/>
      <c r="S789" s="7"/>
      <c r="T789" s="7"/>
      <c r="U789" s="7"/>
      <c r="Y789" s="7"/>
      <c r="Z789" s="17"/>
      <c r="AC789" s="7"/>
      <c r="AD789" s="7"/>
      <c r="AE789" s="7"/>
      <c r="AF789" s="7"/>
      <c r="AG789" s="7"/>
      <c r="AH789" s="7"/>
      <c r="AJ789" s="7"/>
      <c r="AK789" s="7"/>
      <c r="AL789" s="7"/>
      <c r="AM789" s="7"/>
      <c r="AN789" s="7"/>
      <c r="AO789" s="7"/>
      <c r="AR789" s="7"/>
      <c r="AS789" s="7"/>
      <c r="AT789" s="7"/>
      <c r="AU789" s="7"/>
      <c r="AW789" s="7"/>
      <c r="CE789" s="7"/>
      <c r="FZ789" s="2"/>
    </row>
    <row r="790" spans="1:182">
      <c r="A790" s="7"/>
      <c r="D790" s="7"/>
      <c r="E790" s="7"/>
      <c r="F790" s="7"/>
      <c r="G790" s="7"/>
      <c r="H790" s="7"/>
      <c r="I790" s="7"/>
      <c r="J790" s="7"/>
      <c r="K790" s="7"/>
      <c r="L790" s="7"/>
      <c r="M790" s="7"/>
      <c r="N790" s="7"/>
      <c r="O790" s="7"/>
      <c r="P790" s="7"/>
      <c r="Q790" s="7"/>
      <c r="R790" s="7"/>
      <c r="S790" s="7"/>
      <c r="T790" s="7"/>
      <c r="U790" s="7"/>
      <c r="Y790" s="7"/>
      <c r="Z790" s="17"/>
      <c r="AC790" s="7"/>
      <c r="AD790" s="7"/>
      <c r="AE790" s="7"/>
      <c r="AF790" s="7"/>
      <c r="AG790" s="7"/>
      <c r="AH790" s="7"/>
      <c r="AJ790" s="7"/>
      <c r="AK790" s="7"/>
      <c r="AL790" s="7"/>
      <c r="AM790" s="7"/>
      <c r="AN790" s="7"/>
      <c r="AO790" s="7"/>
      <c r="AR790" s="7"/>
      <c r="AS790" s="7"/>
      <c r="AT790" s="7"/>
      <c r="AU790" s="7"/>
      <c r="AW790" s="7"/>
      <c r="CE790" s="7"/>
      <c r="FZ790" s="2"/>
    </row>
    <row r="791" spans="1:182">
      <c r="A791" s="7"/>
      <c r="D791" s="7"/>
      <c r="E791" s="7"/>
      <c r="F791" s="7"/>
      <c r="G791" s="7"/>
      <c r="H791" s="7"/>
      <c r="I791" s="7"/>
      <c r="J791" s="7"/>
      <c r="K791" s="7"/>
      <c r="L791" s="7"/>
      <c r="M791" s="7"/>
      <c r="N791" s="7"/>
      <c r="O791" s="7"/>
      <c r="P791" s="7"/>
      <c r="Q791" s="7"/>
      <c r="R791" s="7"/>
      <c r="S791" s="7"/>
      <c r="T791" s="7"/>
      <c r="U791" s="7"/>
      <c r="Y791" s="7"/>
      <c r="Z791" s="17"/>
      <c r="AC791" s="7"/>
      <c r="AD791" s="7"/>
      <c r="AE791" s="7"/>
      <c r="AF791" s="7"/>
      <c r="AG791" s="7"/>
      <c r="AH791" s="7"/>
      <c r="AJ791" s="7"/>
      <c r="AK791" s="7"/>
      <c r="AL791" s="7"/>
      <c r="AM791" s="7"/>
      <c r="AN791" s="7"/>
      <c r="AO791" s="7"/>
      <c r="AR791" s="7"/>
      <c r="AS791" s="7"/>
      <c r="AT791" s="7"/>
      <c r="AU791" s="7"/>
      <c r="AW791" s="7"/>
      <c r="CE791" s="7"/>
      <c r="FZ791" s="2"/>
    </row>
    <row r="792" spans="1:182">
      <c r="A792" s="7"/>
      <c r="D792" s="7"/>
      <c r="E792" s="7"/>
      <c r="F792" s="7"/>
      <c r="G792" s="7"/>
      <c r="H792" s="7"/>
      <c r="I792" s="7"/>
      <c r="J792" s="7"/>
      <c r="K792" s="7"/>
      <c r="L792" s="7"/>
      <c r="M792" s="7"/>
      <c r="N792" s="7"/>
      <c r="O792" s="7"/>
      <c r="P792" s="7"/>
      <c r="Q792" s="7"/>
      <c r="R792" s="7"/>
      <c r="S792" s="7"/>
      <c r="T792" s="7"/>
      <c r="U792" s="7"/>
      <c r="Y792" s="7"/>
      <c r="Z792" s="17"/>
      <c r="AC792" s="7"/>
      <c r="AD792" s="7"/>
      <c r="AE792" s="7"/>
      <c r="AF792" s="7"/>
      <c r="AG792" s="7"/>
      <c r="AH792" s="7"/>
      <c r="AJ792" s="7"/>
      <c r="AK792" s="7"/>
      <c r="AL792" s="7"/>
      <c r="AM792" s="7"/>
      <c r="AN792" s="7"/>
      <c r="AO792" s="7"/>
      <c r="AR792" s="7"/>
      <c r="AS792" s="7"/>
      <c r="AT792" s="7"/>
      <c r="AU792" s="7"/>
      <c r="AW792" s="7"/>
      <c r="CE792" s="7"/>
      <c r="FZ792" s="2"/>
    </row>
    <row r="793" spans="1:182">
      <c r="A793" s="7"/>
      <c r="D793" s="7"/>
      <c r="E793" s="7"/>
      <c r="F793" s="7"/>
      <c r="G793" s="7"/>
      <c r="H793" s="7"/>
      <c r="I793" s="7"/>
      <c r="J793" s="7"/>
      <c r="K793" s="7"/>
      <c r="L793" s="7"/>
      <c r="M793" s="7"/>
      <c r="N793" s="7"/>
      <c r="O793" s="7"/>
      <c r="P793" s="7"/>
      <c r="Q793" s="7"/>
      <c r="R793" s="7"/>
      <c r="S793" s="7"/>
      <c r="T793" s="7"/>
      <c r="U793" s="7"/>
      <c r="Y793" s="7"/>
      <c r="Z793" s="17"/>
      <c r="AC793" s="7"/>
      <c r="AD793" s="7"/>
      <c r="AE793" s="7"/>
      <c r="AF793" s="7"/>
      <c r="AG793" s="7"/>
      <c r="AH793" s="7"/>
      <c r="AJ793" s="7"/>
      <c r="AK793" s="7"/>
      <c r="AL793" s="7"/>
      <c r="AM793" s="7"/>
      <c r="AN793" s="7"/>
      <c r="AO793" s="7"/>
      <c r="AR793" s="7"/>
      <c r="AS793" s="7"/>
      <c r="AT793" s="7"/>
      <c r="AU793" s="7"/>
      <c r="AW793" s="7"/>
      <c r="CE793" s="7"/>
      <c r="FZ793" s="2"/>
    </row>
    <row r="794" spans="1:182">
      <c r="A794" s="7"/>
      <c r="D794" s="7"/>
      <c r="E794" s="7"/>
      <c r="F794" s="7"/>
      <c r="G794" s="7"/>
      <c r="H794" s="7"/>
      <c r="I794" s="7"/>
      <c r="J794" s="7"/>
      <c r="K794" s="7"/>
      <c r="L794" s="7"/>
      <c r="M794" s="7"/>
      <c r="N794" s="7"/>
      <c r="O794" s="7"/>
      <c r="P794" s="7"/>
      <c r="Q794" s="7"/>
      <c r="R794" s="7"/>
      <c r="S794" s="7"/>
      <c r="T794" s="7"/>
      <c r="U794" s="7"/>
      <c r="Y794" s="7"/>
      <c r="Z794" s="17"/>
      <c r="AC794" s="7"/>
      <c r="AD794" s="7"/>
      <c r="AE794" s="7"/>
      <c r="AF794" s="7"/>
      <c r="AG794" s="7"/>
      <c r="AH794" s="7"/>
      <c r="AJ794" s="7"/>
      <c r="AK794" s="7"/>
      <c r="AL794" s="7"/>
      <c r="AM794" s="7"/>
      <c r="AN794" s="7"/>
      <c r="AO794" s="7"/>
      <c r="AR794" s="7"/>
      <c r="AS794" s="7"/>
      <c r="AT794" s="7"/>
      <c r="AU794" s="7"/>
      <c r="AW794" s="7"/>
      <c r="CE794" s="7"/>
      <c r="FZ794" s="2"/>
    </row>
    <row r="795" spans="1:182">
      <c r="A795" s="7"/>
      <c r="D795" s="7"/>
      <c r="E795" s="7"/>
      <c r="F795" s="7"/>
      <c r="G795" s="7"/>
      <c r="H795" s="7"/>
      <c r="I795" s="7"/>
      <c r="J795" s="7"/>
      <c r="K795" s="7"/>
      <c r="L795" s="7"/>
      <c r="M795" s="7"/>
      <c r="N795" s="7"/>
      <c r="O795" s="7"/>
      <c r="P795" s="7"/>
      <c r="Q795" s="7"/>
      <c r="R795" s="7"/>
      <c r="S795" s="7"/>
      <c r="T795" s="7"/>
      <c r="U795" s="7"/>
      <c r="Y795" s="7"/>
      <c r="Z795" s="17"/>
      <c r="AC795" s="7"/>
      <c r="AD795" s="7"/>
      <c r="AE795" s="7"/>
      <c r="AF795" s="7"/>
      <c r="AG795" s="7"/>
      <c r="AH795" s="7"/>
      <c r="AJ795" s="7"/>
      <c r="AK795" s="7"/>
      <c r="AL795" s="7"/>
      <c r="AM795" s="7"/>
      <c r="AN795" s="7"/>
      <c r="AO795" s="7"/>
      <c r="AR795" s="7"/>
      <c r="AS795" s="7"/>
      <c r="AT795" s="7"/>
      <c r="AU795" s="7"/>
      <c r="AW795" s="7"/>
      <c r="CE795" s="7"/>
      <c r="FZ795" s="2"/>
    </row>
    <row r="796" spans="1:182">
      <c r="A796" s="7"/>
      <c r="D796" s="7"/>
      <c r="E796" s="7"/>
      <c r="F796" s="7"/>
      <c r="G796" s="7"/>
      <c r="H796" s="7"/>
      <c r="I796" s="7"/>
      <c r="J796" s="7"/>
      <c r="K796" s="7"/>
      <c r="L796" s="7"/>
      <c r="M796" s="7"/>
      <c r="N796" s="7"/>
      <c r="O796" s="7"/>
      <c r="P796" s="7"/>
      <c r="Q796" s="7"/>
      <c r="R796" s="7"/>
      <c r="S796" s="7"/>
      <c r="T796" s="7"/>
      <c r="U796" s="7"/>
      <c r="Y796" s="7"/>
      <c r="Z796" s="17"/>
      <c r="AC796" s="7"/>
      <c r="AD796" s="7"/>
      <c r="AE796" s="7"/>
      <c r="AF796" s="7"/>
      <c r="AG796" s="7"/>
      <c r="AH796" s="7"/>
      <c r="AJ796" s="7"/>
      <c r="AK796" s="7"/>
      <c r="AL796" s="7"/>
      <c r="AM796" s="7"/>
      <c r="AN796" s="7"/>
      <c r="AO796" s="7"/>
      <c r="AR796" s="7"/>
      <c r="AS796" s="7"/>
      <c r="AT796" s="7"/>
      <c r="AU796" s="7"/>
      <c r="AW796" s="7"/>
      <c r="CE796" s="7"/>
      <c r="FZ796" s="2"/>
    </row>
    <row r="797" spans="1:182">
      <c r="A797" s="7"/>
      <c r="D797" s="7"/>
      <c r="E797" s="7"/>
      <c r="F797" s="7"/>
      <c r="G797" s="7"/>
      <c r="H797" s="7"/>
      <c r="I797" s="7"/>
      <c r="J797" s="7"/>
      <c r="K797" s="7"/>
      <c r="L797" s="7"/>
      <c r="M797" s="7"/>
      <c r="N797" s="7"/>
      <c r="O797" s="7"/>
      <c r="P797" s="7"/>
      <c r="Q797" s="7"/>
      <c r="R797" s="7"/>
      <c r="S797" s="7"/>
      <c r="T797" s="7"/>
      <c r="U797" s="7"/>
      <c r="Y797" s="7"/>
      <c r="Z797" s="17"/>
      <c r="AC797" s="7"/>
      <c r="AD797" s="7"/>
      <c r="AE797" s="7"/>
      <c r="AF797" s="7"/>
      <c r="AG797" s="7"/>
      <c r="AH797" s="7"/>
      <c r="AJ797" s="7"/>
      <c r="AK797" s="7"/>
      <c r="AL797" s="7"/>
      <c r="AM797" s="7"/>
      <c r="AN797" s="7"/>
      <c r="AO797" s="7"/>
      <c r="AR797" s="7"/>
      <c r="AS797" s="7"/>
      <c r="AT797" s="7"/>
      <c r="AU797" s="7"/>
      <c r="AW797" s="7"/>
      <c r="CE797" s="7"/>
      <c r="FZ797" s="2"/>
    </row>
    <row r="798" spans="1:182">
      <c r="A798" s="7"/>
      <c r="D798" s="7"/>
      <c r="E798" s="7"/>
      <c r="F798" s="7"/>
      <c r="G798" s="7"/>
      <c r="H798" s="7"/>
      <c r="I798" s="7"/>
      <c r="J798" s="7"/>
      <c r="K798" s="7"/>
      <c r="L798" s="7"/>
      <c r="M798" s="7"/>
      <c r="N798" s="7"/>
      <c r="O798" s="7"/>
      <c r="P798" s="7"/>
      <c r="Q798" s="7"/>
      <c r="R798" s="7"/>
      <c r="S798" s="7"/>
      <c r="T798" s="7"/>
      <c r="U798" s="7"/>
      <c r="Y798" s="7"/>
      <c r="Z798" s="17"/>
      <c r="AC798" s="7"/>
      <c r="AD798" s="7"/>
      <c r="AE798" s="7"/>
      <c r="AF798" s="7"/>
      <c r="AG798" s="7"/>
      <c r="AH798" s="7"/>
      <c r="AJ798" s="7"/>
      <c r="AK798" s="7"/>
      <c r="AL798" s="7"/>
      <c r="AM798" s="7"/>
      <c r="AN798" s="7"/>
      <c r="AO798" s="7"/>
      <c r="AR798" s="7"/>
      <c r="AS798" s="7"/>
      <c r="AT798" s="7"/>
      <c r="AU798" s="7"/>
      <c r="AW798" s="7"/>
      <c r="CE798" s="7"/>
      <c r="FZ798" s="2"/>
    </row>
    <row r="799" spans="1:182">
      <c r="A799" s="7"/>
      <c r="D799" s="7"/>
      <c r="E799" s="7"/>
      <c r="F799" s="7"/>
      <c r="G799" s="7"/>
      <c r="H799" s="7"/>
      <c r="I799" s="7"/>
      <c r="J799" s="7"/>
      <c r="K799" s="7"/>
      <c r="L799" s="7"/>
      <c r="M799" s="7"/>
      <c r="N799" s="7"/>
      <c r="O799" s="7"/>
      <c r="P799" s="7"/>
      <c r="Q799" s="7"/>
      <c r="R799" s="7"/>
      <c r="S799" s="7"/>
      <c r="T799" s="7"/>
      <c r="U799" s="7"/>
      <c r="Y799" s="7"/>
      <c r="Z799" s="17"/>
      <c r="AC799" s="7"/>
      <c r="AD799" s="7"/>
      <c r="AE799" s="7"/>
      <c r="AF799" s="7"/>
      <c r="AG799" s="7"/>
      <c r="AH799" s="7"/>
      <c r="AJ799" s="7"/>
      <c r="AK799" s="7"/>
      <c r="AL799" s="7"/>
      <c r="AM799" s="7"/>
      <c r="AN799" s="7"/>
      <c r="AO799" s="7"/>
      <c r="AR799" s="7"/>
      <c r="AS799" s="7"/>
      <c r="AT799" s="7"/>
      <c r="AU799" s="7"/>
      <c r="AW799" s="7"/>
      <c r="CE799" s="7"/>
      <c r="FZ799" s="2"/>
    </row>
    <row r="800" spans="1:182">
      <c r="A800" s="7"/>
      <c r="D800" s="7"/>
      <c r="E800" s="7"/>
      <c r="F800" s="7"/>
      <c r="G800" s="7"/>
      <c r="H800" s="7"/>
      <c r="I800" s="7"/>
      <c r="J800" s="7"/>
      <c r="K800" s="7"/>
      <c r="L800" s="7"/>
      <c r="M800" s="7"/>
      <c r="N800" s="7"/>
      <c r="O800" s="7"/>
      <c r="P800" s="7"/>
      <c r="Q800" s="7"/>
      <c r="R800" s="7"/>
      <c r="S800" s="7"/>
      <c r="T800" s="7"/>
      <c r="U800" s="7"/>
      <c r="Y800" s="7"/>
      <c r="Z800" s="17"/>
      <c r="AC800" s="7"/>
      <c r="AD800" s="7"/>
      <c r="AE800" s="7"/>
      <c r="AF800" s="7"/>
      <c r="AG800" s="7"/>
      <c r="AH800" s="7"/>
      <c r="AJ800" s="7"/>
      <c r="AK800" s="7"/>
      <c r="AL800" s="7"/>
      <c r="AM800" s="7"/>
      <c r="AN800" s="7"/>
      <c r="AO800" s="7"/>
      <c r="AR800" s="7"/>
      <c r="AS800" s="7"/>
      <c r="AT800" s="7"/>
      <c r="AU800" s="7"/>
      <c r="AW800" s="7"/>
      <c r="CE800" s="7"/>
      <c r="FZ800" s="2"/>
    </row>
    <row r="801" spans="1:182">
      <c r="A801" s="7"/>
      <c r="D801" s="7"/>
      <c r="E801" s="7"/>
      <c r="F801" s="7"/>
      <c r="G801" s="7"/>
      <c r="H801" s="7"/>
      <c r="I801" s="7"/>
      <c r="J801" s="7"/>
      <c r="K801" s="7"/>
      <c r="L801" s="7"/>
      <c r="M801" s="7"/>
      <c r="N801" s="7"/>
      <c r="O801" s="7"/>
      <c r="P801" s="7"/>
      <c r="Q801" s="7"/>
      <c r="R801" s="7"/>
      <c r="S801" s="7"/>
      <c r="T801" s="7"/>
      <c r="U801" s="7"/>
      <c r="Y801" s="7"/>
      <c r="Z801" s="17"/>
      <c r="AC801" s="7"/>
      <c r="AD801" s="7"/>
      <c r="AE801" s="7"/>
      <c r="AF801" s="7"/>
      <c r="AG801" s="7"/>
      <c r="AH801" s="7"/>
      <c r="AJ801" s="7"/>
      <c r="AK801" s="7"/>
      <c r="AL801" s="7"/>
      <c r="AM801" s="7"/>
      <c r="AN801" s="7"/>
      <c r="AO801" s="7"/>
      <c r="AR801" s="7"/>
      <c r="AS801" s="7"/>
      <c r="AT801" s="7"/>
      <c r="AU801" s="7"/>
      <c r="AW801" s="7"/>
      <c r="CE801" s="7"/>
      <c r="FZ801" s="2"/>
    </row>
    <row r="802" spans="1:182">
      <c r="A802" s="7"/>
      <c r="D802" s="7"/>
      <c r="E802" s="7"/>
      <c r="F802" s="7"/>
      <c r="G802" s="7"/>
      <c r="H802" s="7"/>
      <c r="I802" s="7"/>
      <c r="J802" s="7"/>
      <c r="K802" s="7"/>
      <c r="L802" s="7"/>
      <c r="M802" s="7"/>
      <c r="N802" s="7"/>
      <c r="O802" s="7"/>
      <c r="P802" s="7"/>
      <c r="Q802" s="7"/>
      <c r="R802" s="7"/>
      <c r="S802" s="7"/>
      <c r="T802" s="7"/>
      <c r="U802" s="7"/>
      <c r="Y802" s="7"/>
      <c r="Z802" s="17"/>
      <c r="AC802" s="7"/>
      <c r="AD802" s="7"/>
      <c r="AE802" s="7"/>
      <c r="AF802" s="7"/>
      <c r="AG802" s="7"/>
      <c r="AH802" s="7"/>
      <c r="AJ802" s="7"/>
      <c r="AK802" s="7"/>
      <c r="AL802" s="7"/>
      <c r="AM802" s="7"/>
      <c r="AN802" s="7"/>
      <c r="AO802" s="7"/>
      <c r="AR802" s="7"/>
      <c r="AS802" s="7"/>
      <c r="AT802" s="7"/>
      <c r="AU802" s="7"/>
      <c r="AW802" s="7"/>
      <c r="CE802" s="7"/>
      <c r="FZ802" s="2"/>
    </row>
    <row r="803" spans="1:182">
      <c r="A803" s="7"/>
      <c r="D803" s="7"/>
      <c r="E803" s="7"/>
      <c r="F803" s="7"/>
      <c r="G803" s="7"/>
      <c r="H803" s="7"/>
      <c r="I803" s="7"/>
      <c r="J803" s="7"/>
      <c r="K803" s="7"/>
      <c r="L803" s="7"/>
      <c r="M803" s="7"/>
      <c r="N803" s="7"/>
      <c r="O803" s="7"/>
      <c r="P803" s="7"/>
      <c r="Q803" s="7"/>
      <c r="R803" s="7"/>
      <c r="S803" s="7"/>
      <c r="T803" s="7"/>
      <c r="U803" s="7"/>
      <c r="Y803" s="7"/>
      <c r="Z803" s="17"/>
      <c r="AC803" s="7"/>
      <c r="AD803" s="7"/>
      <c r="AE803" s="7"/>
      <c r="AF803" s="7"/>
      <c r="AG803" s="7"/>
      <c r="AH803" s="7"/>
      <c r="AJ803" s="7"/>
      <c r="AK803" s="7"/>
      <c r="AL803" s="7"/>
      <c r="AM803" s="7"/>
      <c r="AN803" s="7"/>
      <c r="AO803" s="7"/>
      <c r="AR803" s="7"/>
      <c r="AS803" s="7"/>
      <c r="AT803" s="7"/>
      <c r="AU803" s="7"/>
      <c r="AW803" s="7"/>
      <c r="CE803" s="7"/>
      <c r="FZ803" s="2"/>
    </row>
    <row r="804" spans="1:182">
      <c r="A804" s="7"/>
      <c r="D804" s="7"/>
      <c r="E804" s="7"/>
      <c r="F804" s="7"/>
      <c r="G804" s="7"/>
      <c r="H804" s="7"/>
      <c r="I804" s="7"/>
      <c r="J804" s="7"/>
      <c r="K804" s="7"/>
      <c r="L804" s="7"/>
      <c r="M804" s="7"/>
      <c r="N804" s="7"/>
      <c r="O804" s="7"/>
      <c r="P804" s="7"/>
      <c r="Q804" s="7"/>
      <c r="R804" s="7"/>
      <c r="S804" s="7"/>
      <c r="T804" s="7"/>
      <c r="U804" s="7"/>
      <c r="Y804" s="7"/>
      <c r="Z804" s="17"/>
      <c r="AC804" s="7"/>
      <c r="AD804" s="7"/>
      <c r="AE804" s="7"/>
      <c r="AF804" s="7"/>
      <c r="AG804" s="7"/>
      <c r="AH804" s="7"/>
      <c r="AJ804" s="7"/>
      <c r="AK804" s="7"/>
      <c r="AL804" s="7"/>
      <c r="AM804" s="7"/>
      <c r="AN804" s="7"/>
      <c r="AO804" s="7"/>
      <c r="AR804" s="7"/>
      <c r="AS804" s="7"/>
      <c r="AT804" s="7"/>
      <c r="AU804" s="7"/>
      <c r="AW804" s="7"/>
      <c r="CE804" s="7"/>
      <c r="FZ804" s="2"/>
    </row>
    <row r="805" spans="1:182">
      <c r="A805" s="7"/>
      <c r="D805" s="7"/>
      <c r="E805" s="7"/>
      <c r="F805" s="7"/>
      <c r="G805" s="7"/>
      <c r="H805" s="7"/>
      <c r="I805" s="7"/>
      <c r="J805" s="7"/>
      <c r="K805" s="7"/>
      <c r="L805" s="7"/>
      <c r="M805" s="7"/>
      <c r="N805" s="7"/>
      <c r="O805" s="7"/>
      <c r="P805" s="7"/>
      <c r="Q805" s="7"/>
      <c r="R805" s="7"/>
      <c r="S805" s="7"/>
      <c r="T805" s="7"/>
      <c r="U805" s="7"/>
      <c r="Y805" s="7"/>
      <c r="Z805" s="17"/>
      <c r="AC805" s="7"/>
      <c r="AD805" s="7"/>
      <c r="AE805" s="7"/>
      <c r="AF805" s="7"/>
      <c r="AG805" s="7"/>
      <c r="AH805" s="7"/>
      <c r="AJ805" s="7"/>
      <c r="AK805" s="7"/>
      <c r="AL805" s="7"/>
      <c r="AM805" s="7"/>
      <c r="AN805" s="7"/>
      <c r="AO805" s="7"/>
      <c r="AR805" s="7"/>
      <c r="AS805" s="7"/>
      <c r="AT805" s="7"/>
      <c r="AU805" s="7"/>
      <c r="AW805" s="7"/>
      <c r="CE805" s="7"/>
      <c r="FZ805" s="2"/>
    </row>
    <row r="806" spans="1:182">
      <c r="A806" s="7"/>
      <c r="D806" s="7"/>
      <c r="E806" s="7"/>
      <c r="F806" s="7"/>
      <c r="G806" s="7"/>
      <c r="H806" s="7"/>
      <c r="I806" s="7"/>
      <c r="J806" s="7"/>
      <c r="K806" s="7"/>
      <c r="L806" s="7"/>
      <c r="M806" s="7"/>
      <c r="N806" s="7"/>
      <c r="O806" s="7"/>
      <c r="P806" s="7"/>
      <c r="Q806" s="7"/>
      <c r="R806" s="7"/>
      <c r="S806" s="7"/>
      <c r="T806" s="7"/>
      <c r="U806" s="7"/>
      <c r="Y806" s="7"/>
      <c r="Z806" s="17"/>
      <c r="AC806" s="7"/>
      <c r="AD806" s="7"/>
      <c r="AE806" s="7"/>
      <c r="AF806" s="7"/>
      <c r="AG806" s="7"/>
      <c r="AH806" s="7"/>
      <c r="AJ806" s="7"/>
      <c r="AK806" s="7"/>
      <c r="AL806" s="7"/>
      <c r="AM806" s="7"/>
      <c r="AN806" s="7"/>
      <c r="AO806" s="7"/>
      <c r="AR806" s="7"/>
      <c r="AS806" s="7"/>
      <c r="AT806" s="7"/>
      <c r="AU806" s="7"/>
      <c r="AW806" s="7"/>
      <c r="CE806" s="7"/>
      <c r="FZ806" s="2"/>
    </row>
    <row r="807" spans="1:182">
      <c r="A807" s="7"/>
      <c r="D807" s="7"/>
      <c r="E807" s="7"/>
      <c r="F807" s="7"/>
      <c r="G807" s="7"/>
      <c r="H807" s="7"/>
      <c r="I807" s="7"/>
      <c r="J807" s="7"/>
      <c r="K807" s="7"/>
      <c r="L807" s="7"/>
      <c r="M807" s="7"/>
      <c r="N807" s="7"/>
      <c r="O807" s="7"/>
      <c r="P807" s="7"/>
      <c r="Q807" s="7"/>
      <c r="R807" s="7"/>
      <c r="S807" s="7"/>
      <c r="T807" s="7"/>
      <c r="U807" s="7"/>
      <c r="Y807" s="7"/>
      <c r="Z807" s="17"/>
      <c r="AC807" s="7"/>
      <c r="AD807" s="7"/>
      <c r="AE807" s="7"/>
      <c r="AF807" s="7"/>
      <c r="AG807" s="7"/>
      <c r="AH807" s="7"/>
      <c r="AJ807" s="7"/>
      <c r="AK807" s="7"/>
      <c r="AL807" s="7"/>
      <c r="AM807" s="7"/>
      <c r="AN807" s="7"/>
      <c r="AO807" s="7"/>
      <c r="AR807" s="7"/>
      <c r="AS807" s="7"/>
      <c r="AT807" s="7"/>
      <c r="AU807" s="7"/>
      <c r="AW807" s="7"/>
      <c r="CE807" s="7"/>
      <c r="FZ807" s="2"/>
    </row>
    <row r="808" spans="1:182">
      <c r="A808" s="7"/>
      <c r="D808" s="7"/>
      <c r="E808" s="7"/>
      <c r="F808" s="7"/>
      <c r="G808" s="7"/>
      <c r="H808" s="7"/>
      <c r="I808" s="7"/>
      <c r="J808" s="7"/>
      <c r="K808" s="7"/>
      <c r="L808" s="7"/>
      <c r="M808" s="7"/>
      <c r="N808" s="7"/>
      <c r="O808" s="7"/>
      <c r="P808" s="7"/>
      <c r="Q808" s="7"/>
      <c r="R808" s="7"/>
      <c r="S808" s="7"/>
      <c r="T808" s="7"/>
      <c r="U808" s="7"/>
      <c r="Y808" s="7"/>
      <c r="Z808" s="17"/>
      <c r="AC808" s="7"/>
      <c r="AD808" s="7"/>
      <c r="AE808" s="7"/>
      <c r="AF808" s="7"/>
      <c r="AG808" s="7"/>
      <c r="AH808" s="7"/>
      <c r="AJ808" s="7"/>
      <c r="AK808" s="7"/>
      <c r="AL808" s="7"/>
      <c r="AM808" s="7"/>
      <c r="AN808" s="7"/>
      <c r="AO808" s="7"/>
      <c r="AR808" s="7"/>
      <c r="AS808" s="7"/>
      <c r="AT808" s="7"/>
      <c r="AU808" s="7"/>
      <c r="AW808" s="7"/>
      <c r="CE808" s="7"/>
      <c r="FZ808" s="2"/>
    </row>
    <row r="809" spans="1:182">
      <c r="A809" s="7"/>
      <c r="D809" s="7"/>
      <c r="E809" s="7"/>
      <c r="F809" s="7"/>
      <c r="G809" s="7"/>
      <c r="H809" s="7"/>
      <c r="I809" s="7"/>
      <c r="J809" s="7"/>
      <c r="K809" s="7"/>
      <c r="L809" s="7"/>
      <c r="M809" s="7"/>
      <c r="N809" s="7"/>
      <c r="O809" s="7"/>
      <c r="P809" s="7"/>
      <c r="Q809" s="7"/>
      <c r="R809" s="7"/>
      <c r="S809" s="7"/>
      <c r="T809" s="7"/>
      <c r="U809" s="7"/>
      <c r="Y809" s="7"/>
      <c r="Z809" s="17"/>
      <c r="AC809" s="7"/>
      <c r="AD809" s="7"/>
      <c r="AE809" s="7"/>
      <c r="AF809" s="7"/>
      <c r="AG809" s="7"/>
      <c r="AH809" s="7"/>
      <c r="AJ809" s="7"/>
      <c r="AK809" s="7"/>
      <c r="AL809" s="7"/>
      <c r="AM809" s="7"/>
      <c r="AN809" s="7"/>
      <c r="AO809" s="7"/>
      <c r="AR809" s="7"/>
      <c r="AS809" s="7"/>
      <c r="AT809" s="7"/>
      <c r="AU809" s="7"/>
      <c r="AW809" s="7"/>
      <c r="CE809" s="7"/>
      <c r="FZ809" s="2"/>
    </row>
    <row r="810" spans="1:182">
      <c r="A810" s="7"/>
      <c r="D810" s="7"/>
      <c r="E810" s="7"/>
      <c r="F810" s="7"/>
      <c r="G810" s="7"/>
      <c r="H810" s="7"/>
      <c r="I810" s="7"/>
      <c r="J810" s="7"/>
      <c r="K810" s="7"/>
      <c r="L810" s="7"/>
      <c r="M810" s="7"/>
      <c r="N810" s="7"/>
      <c r="O810" s="7"/>
      <c r="P810" s="7"/>
      <c r="Q810" s="7"/>
      <c r="R810" s="7"/>
      <c r="S810" s="7"/>
      <c r="T810" s="7"/>
      <c r="U810" s="7"/>
      <c r="Y810" s="7"/>
      <c r="Z810" s="17"/>
      <c r="AC810" s="7"/>
      <c r="AD810" s="7"/>
      <c r="AE810" s="7"/>
      <c r="AF810" s="7"/>
      <c r="AG810" s="7"/>
      <c r="AH810" s="7"/>
      <c r="AJ810" s="7"/>
      <c r="AK810" s="7"/>
      <c r="AL810" s="7"/>
      <c r="AM810" s="7"/>
      <c r="AN810" s="7"/>
      <c r="AO810" s="7"/>
      <c r="AR810" s="7"/>
      <c r="AS810" s="7"/>
      <c r="AT810" s="7"/>
      <c r="AU810" s="7"/>
      <c r="AW810" s="7"/>
      <c r="CE810" s="7"/>
      <c r="FZ810" s="2"/>
    </row>
    <row r="811" spans="1:182">
      <c r="A811" s="7"/>
      <c r="D811" s="7"/>
      <c r="E811" s="7"/>
      <c r="F811" s="7"/>
      <c r="G811" s="7"/>
      <c r="H811" s="7"/>
      <c r="I811" s="7"/>
      <c r="J811" s="7"/>
      <c r="K811" s="7"/>
      <c r="L811" s="7"/>
      <c r="M811" s="7"/>
      <c r="N811" s="7"/>
      <c r="O811" s="7"/>
      <c r="P811" s="7"/>
      <c r="Q811" s="7"/>
      <c r="R811" s="7"/>
      <c r="S811" s="7"/>
      <c r="T811" s="7"/>
      <c r="U811" s="7"/>
      <c r="Y811" s="7"/>
      <c r="Z811" s="17"/>
      <c r="AC811" s="7"/>
      <c r="AD811" s="7"/>
      <c r="AE811" s="7"/>
      <c r="AF811" s="7"/>
      <c r="AG811" s="7"/>
      <c r="AH811" s="7"/>
      <c r="AJ811" s="7"/>
      <c r="AK811" s="7"/>
      <c r="AL811" s="7"/>
      <c r="AM811" s="7"/>
      <c r="AN811" s="7"/>
      <c r="AO811" s="7"/>
      <c r="AR811" s="7"/>
      <c r="AS811" s="7"/>
      <c r="AT811" s="7"/>
      <c r="AU811" s="7"/>
      <c r="AW811" s="7"/>
      <c r="CE811" s="7"/>
      <c r="FZ811" s="2"/>
    </row>
    <row r="812" spans="1:182">
      <c r="A812" s="7"/>
      <c r="D812" s="7"/>
      <c r="E812" s="7"/>
      <c r="F812" s="7"/>
      <c r="G812" s="7"/>
      <c r="H812" s="7"/>
      <c r="I812" s="7"/>
      <c r="J812" s="7"/>
      <c r="K812" s="7"/>
      <c r="L812" s="7"/>
      <c r="M812" s="7"/>
      <c r="N812" s="7"/>
      <c r="O812" s="7"/>
      <c r="P812" s="7"/>
      <c r="Q812" s="7"/>
      <c r="R812" s="7"/>
      <c r="S812" s="7"/>
      <c r="T812" s="7"/>
      <c r="U812" s="7"/>
      <c r="Y812" s="7"/>
      <c r="Z812" s="17"/>
      <c r="AC812" s="7"/>
      <c r="AD812" s="7"/>
      <c r="AE812" s="7"/>
      <c r="AF812" s="7"/>
      <c r="AG812" s="7"/>
      <c r="AH812" s="7"/>
      <c r="AJ812" s="7"/>
      <c r="AK812" s="7"/>
      <c r="AL812" s="7"/>
      <c r="AM812" s="7"/>
      <c r="AN812" s="7"/>
      <c r="AO812" s="7"/>
      <c r="AR812" s="7"/>
      <c r="AS812" s="7"/>
      <c r="AT812" s="7"/>
      <c r="AU812" s="7"/>
      <c r="AW812" s="7"/>
      <c r="CE812" s="7"/>
      <c r="FZ812" s="2"/>
    </row>
    <row r="813" spans="1:182">
      <c r="A813" s="7"/>
      <c r="D813" s="7"/>
      <c r="E813" s="7"/>
      <c r="F813" s="7"/>
      <c r="G813" s="7"/>
      <c r="H813" s="7"/>
      <c r="I813" s="7"/>
      <c r="J813" s="7"/>
      <c r="K813" s="7"/>
      <c r="L813" s="7"/>
      <c r="M813" s="7"/>
      <c r="N813" s="7"/>
      <c r="O813" s="7"/>
      <c r="P813" s="7"/>
      <c r="Q813" s="7"/>
      <c r="R813" s="7"/>
      <c r="S813" s="7"/>
      <c r="T813" s="7"/>
      <c r="U813" s="7"/>
      <c r="Y813" s="7"/>
      <c r="Z813" s="17"/>
      <c r="AC813" s="7"/>
      <c r="AD813" s="7"/>
      <c r="AE813" s="7"/>
      <c r="AF813" s="7"/>
      <c r="AG813" s="7"/>
      <c r="AH813" s="7"/>
      <c r="AJ813" s="7"/>
      <c r="AK813" s="7"/>
      <c r="AL813" s="7"/>
      <c r="AM813" s="7"/>
      <c r="AN813" s="7"/>
      <c r="AO813" s="7"/>
      <c r="AR813" s="7"/>
      <c r="AS813" s="7"/>
      <c r="AT813" s="7"/>
      <c r="AU813" s="7"/>
      <c r="AW813" s="7"/>
      <c r="CE813" s="7"/>
      <c r="FZ813" s="2"/>
    </row>
    <row r="814" spans="1:182">
      <c r="A814" s="7"/>
      <c r="D814" s="7"/>
      <c r="E814" s="7"/>
      <c r="F814" s="7"/>
      <c r="G814" s="7"/>
      <c r="H814" s="7"/>
      <c r="I814" s="7"/>
      <c r="J814" s="7"/>
      <c r="K814" s="7"/>
      <c r="L814" s="7"/>
      <c r="M814" s="7"/>
      <c r="N814" s="7"/>
      <c r="O814" s="7"/>
      <c r="P814" s="7"/>
      <c r="Q814" s="7"/>
      <c r="R814" s="7"/>
      <c r="S814" s="7"/>
      <c r="T814" s="7"/>
      <c r="U814" s="7"/>
      <c r="Y814" s="7"/>
      <c r="Z814" s="17"/>
      <c r="AC814" s="7"/>
      <c r="AD814" s="7"/>
      <c r="AE814" s="7"/>
      <c r="AF814" s="7"/>
      <c r="AG814" s="7"/>
      <c r="AH814" s="7"/>
      <c r="AJ814" s="7"/>
      <c r="AK814" s="7"/>
      <c r="AL814" s="7"/>
      <c r="AM814" s="7"/>
      <c r="AN814" s="7"/>
      <c r="AO814" s="7"/>
      <c r="AR814" s="7"/>
      <c r="AS814" s="7"/>
      <c r="AT814" s="7"/>
      <c r="AU814" s="7"/>
      <c r="AW814" s="7"/>
      <c r="CE814" s="7"/>
      <c r="FZ814" s="2"/>
    </row>
    <row r="815" spans="1:182">
      <c r="A815" s="7"/>
      <c r="D815" s="7"/>
      <c r="E815" s="7"/>
      <c r="F815" s="7"/>
      <c r="G815" s="7"/>
      <c r="H815" s="7"/>
      <c r="I815" s="7"/>
      <c r="J815" s="7"/>
      <c r="K815" s="7"/>
      <c r="L815" s="7"/>
      <c r="M815" s="7"/>
      <c r="N815" s="7"/>
      <c r="O815" s="7"/>
      <c r="P815" s="7"/>
      <c r="Q815" s="7"/>
      <c r="R815" s="7"/>
      <c r="S815" s="7"/>
      <c r="T815" s="7"/>
      <c r="U815" s="7"/>
      <c r="Y815" s="7"/>
      <c r="Z815" s="17"/>
      <c r="AC815" s="7"/>
      <c r="AD815" s="7"/>
      <c r="AE815" s="7"/>
      <c r="AF815" s="7"/>
      <c r="AG815" s="7"/>
      <c r="AH815" s="7"/>
      <c r="AJ815" s="7"/>
      <c r="AK815" s="7"/>
      <c r="AL815" s="7"/>
      <c r="AM815" s="7"/>
      <c r="AN815" s="7"/>
      <c r="AO815" s="7"/>
      <c r="AR815" s="7"/>
      <c r="AS815" s="7"/>
      <c r="AT815" s="7"/>
      <c r="AU815" s="7"/>
      <c r="AW815" s="7"/>
      <c r="CE815" s="7"/>
      <c r="FZ815" s="2"/>
    </row>
    <row r="816" spans="1:182">
      <c r="A816" s="7"/>
      <c r="D816" s="7"/>
      <c r="E816" s="7"/>
      <c r="F816" s="7"/>
      <c r="G816" s="7"/>
      <c r="H816" s="7"/>
      <c r="I816" s="7"/>
      <c r="J816" s="7"/>
      <c r="K816" s="7"/>
      <c r="L816" s="7"/>
      <c r="M816" s="7"/>
      <c r="N816" s="7"/>
      <c r="O816" s="7"/>
      <c r="P816" s="7"/>
      <c r="Q816" s="7"/>
      <c r="R816" s="7"/>
      <c r="S816" s="7"/>
      <c r="T816" s="7"/>
      <c r="U816" s="7"/>
      <c r="Y816" s="7"/>
      <c r="Z816" s="17"/>
      <c r="AC816" s="7"/>
      <c r="AD816" s="7"/>
      <c r="AE816" s="7"/>
      <c r="AF816" s="7"/>
      <c r="AG816" s="7"/>
      <c r="AH816" s="7"/>
      <c r="AJ816" s="7"/>
      <c r="AK816" s="7"/>
      <c r="AL816" s="7"/>
      <c r="AM816" s="7"/>
      <c r="AN816" s="7"/>
      <c r="AO816" s="7"/>
      <c r="AR816" s="7"/>
      <c r="AS816" s="7"/>
      <c r="AT816" s="7"/>
      <c r="AU816" s="7"/>
      <c r="AW816" s="7"/>
      <c r="CE816" s="7"/>
      <c r="FZ816" s="2"/>
    </row>
    <row r="817" spans="1:182">
      <c r="A817" s="7"/>
      <c r="D817" s="7"/>
      <c r="E817" s="7"/>
      <c r="F817" s="7"/>
      <c r="G817" s="7"/>
      <c r="H817" s="7"/>
      <c r="I817" s="7"/>
      <c r="J817" s="7"/>
      <c r="K817" s="7"/>
      <c r="L817" s="7"/>
      <c r="M817" s="7"/>
      <c r="N817" s="7"/>
      <c r="O817" s="7"/>
      <c r="P817" s="7"/>
      <c r="Q817" s="7"/>
      <c r="R817" s="7"/>
      <c r="S817" s="7"/>
      <c r="T817" s="7"/>
      <c r="U817" s="7"/>
      <c r="Y817" s="7"/>
      <c r="Z817" s="17"/>
      <c r="AC817" s="7"/>
      <c r="AD817" s="7"/>
      <c r="AE817" s="7"/>
      <c r="AF817" s="7"/>
      <c r="AG817" s="7"/>
      <c r="AH817" s="7"/>
      <c r="AJ817" s="7"/>
      <c r="AK817" s="7"/>
      <c r="AL817" s="7"/>
      <c r="AM817" s="7"/>
      <c r="AN817" s="7"/>
      <c r="AO817" s="7"/>
      <c r="AR817" s="7"/>
      <c r="AS817" s="7"/>
      <c r="AT817" s="7"/>
      <c r="AU817" s="7"/>
      <c r="AW817" s="7"/>
      <c r="CE817" s="7"/>
      <c r="FZ817" s="2"/>
    </row>
    <row r="818" spans="1:182">
      <c r="A818" s="7"/>
      <c r="D818" s="7"/>
      <c r="E818" s="7"/>
      <c r="F818" s="7"/>
      <c r="G818" s="7"/>
      <c r="H818" s="7"/>
      <c r="I818" s="7"/>
      <c r="J818" s="7"/>
      <c r="K818" s="7"/>
      <c r="L818" s="7"/>
      <c r="M818" s="7"/>
      <c r="N818" s="7"/>
      <c r="O818" s="7"/>
      <c r="P818" s="7"/>
      <c r="Q818" s="7"/>
      <c r="R818" s="7"/>
      <c r="S818" s="7"/>
      <c r="T818" s="7"/>
      <c r="U818" s="7"/>
      <c r="Y818" s="7"/>
      <c r="Z818" s="17"/>
      <c r="AC818" s="7"/>
      <c r="AD818" s="7"/>
      <c r="AE818" s="7"/>
      <c r="AF818" s="7"/>
      <c r="AG818" s="7"/>
      <c r="AH818" s="7"/>
      <c r="AJ818" s="7"/>
      <c r="AK818" s="7"/>
      <c r="AL818" s="7"/>
      <c r="AM818" s="7"/>
      <c r="AN818" s="7"/>
      <c r="AO818" s="7"/>
      <c r="AR818" s="7"/>
      <c r="AS818" s="7"/>
      <c r="AT818" s="7"/>
      <c r="AU818" s="7"/>
      <c r="AW818" s="7"/>
      <c r="CE818" s="7"/>
      <c r="FZ818" s="2"/>
    </row>
    <row r="819" spans="1:182">
      <c r="A819" s="7"/>
      <c r="D819" s="7"/>
      <c r="E819" s="7"/>
      <c r="F819" s="7"/>
      <c r="G819" s="7"/>
      <c r="H819" s="7"/>
      <c r="I819" s="7"/>
      <c r="J819" s="7"/>
      <c r="K819" s="7"/>
      <c r="L819" s="7"/>
      <c r="M819" s="7"/>
      <c r="N819" s="7"/>
      <c r="O819" s="7"/>
      <c r="P819" s="7"/>
      <c r="Q819" s="7"/>
      <c r="R819" s="7"/>
      <c r="S819" s="7"/>
      <c r="T819" s="7"/>
      <c r="U819" s="7"/>
      <c r="Y819" s="7"/>
      <c r="Z819" s="17"/>
      <c r="AC819" s="7"/>
      <c r="AD819" s="7"/>
      <c r="AE819" s="7"/>
      <c r="AF819" s="7"/>
      <c r="AG819" s="7"/>
      <c r="AH819" s="7"/>
      <c r="AJ819" s="7"/>
      <c r="AK819" s="7"/>
      <c r="AL819" s="7"/>
      <c r="AM819" s="7"/>
      <c r="AN819" s="7"/>
      <c r="AO819" s="7"/>
      <c r="AR819" s="7"/>
      <c r="AS819" s="7"/>
      <c r="AT819" s="7"/>
      <c r="AU819" s="7"/>
      <c r="AW819" s="7"/>
      <c r="CE819" s="7"/>
      <c r="FZ819" s="2"/>
    </row>
    <row r="820" spans="1:182">
      <c r="A820" s="7"/>
      <c r="D820" s="7"/>
      <c r="E820" s="7"/>
      <c r="F820" s="7"/>
      <c r="G820" s="7"/>
      <c r="H820" s="7"/>
      <c r="I820" s="7"/>
      <c r="J820" s="7"/>
      <c r="K820" s="7"/>
      <c r="L820" s="7"/>
      <c r="M820" s="7"/>
      <c r="N820" s="7"/>
      <c r="O820" s="7"/>
      <c r="P820" s="7"/>
      <c r="Q820" s="7"/>
      <c r="R820" s="7"/>
      <c r="S820" s="7"/>
      <c r="T820" s="7"/>
      <c r="U820" s="7"/>
      <c r="Y820" s="7"/>
      <c r="Z820" s="17"/>
      <c r="AC820" s="7"/>
      <c r="AD820" s="7"/>
      <c r="AE820" s="7"/>
      <c r="AF820" s="7"/>
      <c r="AG820" s="7"/>
      <c r="AH820" s="7"/>
      <c r="AJ820" s="7"/>
      <c r="AK820" s="7"/>
      <c r="AL820" s="7"/>
      <c r="AM820" s="7"/>
      <c r="AN820" s="7"/>
      <c r="AO820" s="7"/>
      <c r="AR820" s="7"/>
      <c r="AS820" s="7"/>
      <c r="AT820" s="7"/>
      <c r="AU820" s="7"/>
      <c r="AW820" s="7"/>
      <c r="CE820" s="7"/>
      <c r="FZ820" s="2"/>
    </row>
    <row r="821" spans="1:182">
      <c r="A821" s="7"/>
      <c r="D821" s="7"/>
      <c r="E821" s="7"/>
      <c r="F821" s="7"/>
      <c r="G821" s="7"/>
      <c r="H821" s="7"/>
      <c r="I821" s="7"/>
      <c r="J821" s="7"/>
      <c r="K821" s="7"/>
      <c r="L821" s="7"/>
      <c r="M821" s="7"/>
      <c r="N821" s="7"/>
      <c r="O821" s="7"/>
      <c r="P821" s="7"/>
      <c r="Q821" s="7"/>
      <c r="R821" s="7"/>
      <c r="S821" s="7"/>
      <c r="T821" s="7"/>
      <c r="U821" s="7"/>
      <c r="Y821" s="7"/>
      <c r="Z821" s="17"/>
      <c r="AC821" s="7"/>
      <c r="AD821" s="7"/>
      <c r="AE821" s="7"/>
      <c r="AF821" s="7"/>
      <c r="AG821" s="7"/>
      <c r="AH821" s="7"/>
      <c r="AJ821" s="7"/>
      <c r="AK821" s="7"/>
      <c r="AL821" s="7"/>
      <c r="AM821" s="7"/>
      <c r="AN821" s="7"/>
      <c r="AO821" s="7"/>
      <c r="AR821" s="7"/>
      <c r="AS821" s="7"/>
      <c r="AT821" s="7"/>
      <c r="AU821" s="7"/>
      <c r="AW821" s="7"/>
      <c r="CE821" s="7"/>
      <c r="FZ821" s="2"/>
    </row>
    <row r="822" spans="1:182">
      <c r="A822" s="7"/>
      <c r="D822" s="7"/>
      <c r="E822" s="7"/>
      <c r="F822" s="7"/>
      <c r="G822" s="7"/>
      <c r="H822" s="7"/>
      <c r="I822" s="7"/>
      <c r="J822" s="7"/>
      <c r="K822" s="7"/>
      <c r="L822" s="7"/>
      <c r="M822" s="7"/>
      <c r="N822" s="7"/>
      <c r="O822" s="7"/>
      <c r="P822" s="7"/>
      <c r="Q822" s="7"/>
      <c r="R822" s="7"/>
      <c r="S822" s="7"/>
      <c r="T822" s="7"/>
      <c r="U822" s="7"/>
      <c r="Y822" s="7"/>
      <c r="Z822" s="17"/>
      <c r="AC822" s="7"/>
      <c r="AD822" s="7"/>
      <c r="AE822" s="7"/>
      <c r="AF822" s="7"/>
      <c r="AG822" s="7"/>
      <c r="AH822" s="7"/>
      <c r="AJ822" s="7"/>
      <c r="AK822" s="7"/>
      <c r="AL822" s="7"/>
      <c r="AM822" s="7"/>
      <c r="AN822" s="7"/>
      <c r="AO822" s="7"/>
      <c r="AR822" s="7"/>
      <c r="AS822" s="7"/>
      <c r="AT822" s="7"/>
      <c r="AU822" s="7"/>
      <c r="AW822" s="7"/>
      <c r="CE822" s="7"/>
      <c r="FZ822" s="2"/>
    </row>
    <row r="823" spans="1:182">
      <c r="A823" s="7"/>
      <c r="D823" s="7"/>
      <c r="E823" s="7"/>
      <c r="F823" s="7"/>
      <c r="G823" s="7"/>
      <c r="H823" s="7"/>
      <c r="I823" s="7"/>
      <c r="J823" s="7"/>
      <c r="K823" s="7"/>
      <c r="L823" s="7"/>
      <c r="M823" s="7"/>
      <c r="N823" s="7"/>
      <c r="O823" s="7"/>
      <c r="P823" s="7"/>
      <c r="Q823" s="7"/>
      <c r="R823" s="7"/>
      <c r="S823" s="7"/>
      <c r="T823" s="7"/>
      <c r="U823" s="7"/>
      <c r="Y823" s="7"/>
      <c r="Z823" s="17"/>
      <c r="AC823" s="7"/>
      <c r="AD823" s="7"/>
      <c r="AE823" s="7"/>
      <c r="AF823" s="7"/>
      <c r="AG823" s="7"/>
      <c r="AH823" s="7"/>
      <c r="AJ823" s="7"/>
      <c r="AK823" s="7"/>
      <c r="AL823" s="7"/>
      <c r="AM823" s="7"/>
      <c r="AN823" s="7"/>
      <c r="AO823" s="7"/>
      <c r="AR823" s="7"/>
      <c r="AS823" s="7"/>
      <c r="AT823" s="7"/>
      <c r="AU823" s="7"/>
      <c r="AW823" s="7"/>
      <c r="CE823" s="7"/>
      <c r="FZ823" s="2"/>
    </row>
    <row r="824" spans="1:182">
      <c r="A824" s="7"/>
      <c r="D824" s="7"/>
      <c r="E824" s="7"/>
      <c r="F824" s="7"/>
      <c r="G824" s="7"/>
      <c r="H824" s="7"/>
      <c r="I824" s="7"/>
      <c r="J824" s="7"/>
      <c r="K824" s="7"/>
      <c r="L824" s="7"/>
      <c r="M824" s="7"/>
      <c r="N824" s="7"/>
      <c r="O824" s="7"/>
      <c r="P824" s="7"/>
      <c r="Q824" s="7"/>
      <c r="R824" s="7"/>
      <c r="S824" s="7"/>
      <c r="T824" s="7"/>
      <c r="U824" s="7"/>
      <c r="Y824" s="7"/>
      <c r="Z824" s="17"/>
      <c r="AC824" s="7"/>
      <c r="AD824" s="7"/>
      <c r="AE824" s="7"/>
      <c r="AF824" s="7"/>
      <c r="AG824" s="7"/>
      <c r="AH824" s="7"/>
      <c r="AJ824" s="7"/>
      <c r="AK824" s="7"/>
      <c r="AL824" s="7"/>
      <c r="AM824" s="7"/>
      <c r="AN824" s="7"/>
      <c r="AO824" s="7"/>
      <c r="AR824" s="7"/>
      <c r="AS824" s="7"/>
      <c r="AT824" s="7"/>
      <c r="AU824" s="7"/>
      <c r="AW824" s="7"/>
      <c r="CE824" s="7"/>
      <c r="FZ824" s="2"/>
    </row>
    <row r="825" spans="1:182">
      <c r="A825" s="7"/>
      <c r="D825" s="7"/>
      <c r="E825" s="7"/>
      <c r="F825" s="7"/>
      <c r="G825" s="7"/>
      <c r="H825" s="7"/>
      <c r="I825" s="7"/>
      <c r="J825" s="7"/>
      <c r="K825" s="7"/>
      <c r="L825" s="7"/>
      <c r="M825" s="7"/>
      <c r="N825" s="7"/>
      <c r="O825" s="7"/>
      <c r="P825" s="7"/>
      <c r="Q825" s="7"/>
      <c r="R825" s="7"/>
      <c r="S825" s="7"/>
      <c r="T825" s="7"/>
      <c r="U825" s="7"/>
      <c r="Y825" s="7"/>
      <c r="Z825" s="17"/>
      <c r="AC825" s="7"/>
      <c r="AD825" s="7"/>
      <c r="AE825" s="7"/>
      <c r="AF825" s="7"/>
      <c r="AG825" s="7"/>
      <c r="AH825" s="7"/>
      <c r="AJ825" s="7"/>
      <c r="AK825" s="7"/>
      <c r="AL825" s="7"/>
      <c r="AM825" s="7"/>
      <c r="AN825" s="7"/>
      <c r="AO825" s="7"/>
      <c r="AR825" s="7"/>
      <c r="AS825" s="7"/>
      <c r="AT825" s="7"/>
      <c r="AU825" s="7"/>
      <c r="AW825" s="7"/>
      <c r="CE825" s="7"/>
      <c r="FZ825" s="2"/>
    </row>
    <row r="826" spans="1:182">
      <c r="A826" s="7"/>
      <c r="D826" s="7"/>
      <c r="E826" s="7"/>
      <c r="F826" s="7"/>
      <c r="G826" s="7"/>
      <c r="H826" s="7"/>
      <c r="I826" s="7"/>
      <c r="J826" s="7"/>
      <c r="K826" s="7"/>
      <c r="L826" s="7"/>
      <c r="M826" s="7"/>
      <c r="N826" s="7"/>
      <c r="O826" s="7"/>
      <c r="P826" s="7"/>
      <c r="Q826" s="7"/>
      <c r="R826" s="7"/>
      <c r="S826" s="7"/>
      <c r="T826" s="7"/>
      <c r="U826" s="7"/>
      <c r="Y826" s="7"/>
      <c r="Z826" s="17"/>
      <c r="AC826" s="7"/>
      <c r="AD826" s="7"/>
      <c r="AE826" s="7"/>
      <c r="AF826" s="7"/>
      <c r="AG826" s="7"/>
      <c r="AH826" s="7"/>
      <c r="AJ826" s="7"/>
      <c r="AK826" s="7"/>
      <c r="AL826" s="7"/>
      <c r="AM826" s="7"/>
      <c r="AN826" s="7"/>
      <c r="AO826" s="7"/>
      <c r="AR826" s="7"/>
      <c r="AS826" s="7"/>
      <c r="AT826" s="7"/>
      <c r="AU826" s="7"/>
      <c r="AW826" s="7"/>
      <c r="CE826" s="7"/>
      <c r="FZ826" s="2"/>
    </row>
    <row r="827" spans="1:182">
      <c r="A827" s="7"/>
      <c r="D827" s="7"/>
      <c r="E827" s="7"/>
      <c r="F827" s="7"/>
      <c r="G827" s="7"/>
      <c r="H827" s="7"/>
      <c r="I827" s="7"/>
      <c r="J827" s="7"/>
      <c r="K827" s="7"/>
      <c r="L827" s="7"/>
      <c r="M827" s="7"/>
      <c r="N827" s="7"/>
      <c r="O827" s="7"/>
      <c r="P827" s="7"/>
      <c r="Q827" s="7"/>
      <c r="R827" s="7"/>
      <c r="S827" s="7"/>
      <c r="T827" s="7"/>
      <c r="U827" s="7"/>
      <c r="Y827" s="7"/>
      <c r="Z827" s="17"/>
      <c r="AC827" s="7"/>
      <c r="AD827" s="7"/>
      <c r="AE827" s="7"/>
      <c r="AF827" s="7"/>
      <c r="AG827" s="7"/>
      <c r="AH827" s="7"/>
      <c r="AJ827" s="7"/>
      <c r="AK827" s="7"/>
      <c r="AL827" s="7"/>
      <c r="AM827" s="7"/>
      <c r="AN827" s="7"/>
      <c r="AO827" s="7"/>
      <c r="AR827" s="7"/>
      <c r="AS827" s="7"/>
      <c r="AT827" s="7"/>
      <c r="AU827" s="7"/>
      <c r="AW827" s="7"/>
      <c r="CE827" s="7"/>
      <c r="FZ827" s="2"/>
    </row>
    <row r="828" spans="1:182">
      <c r="A828" s="7"/>
      <c r="D828" s="7"/>
      <c r="E828" s="7"/>
      <c r="F828" s="7"/>
      <c r="G828" s="7"/>
      <c r="H828" s="7"/>
      <c r="I828" s="7"/>
      <c r="J828" s="7"/>
      <c r="K828" s="7"/>
      <c r="L828" s="7"/>
      <c r="M828" s="7"/>
      <c r="N828" s="7"/>
      <c r="O828" s="7"/>
      <c r="P828" s="7"/>
      <c r="Q828" s="7"/>
      <c r="R828" s="7"/>
      <c r="S828" s="7"/>
      <c r="T828" s="7"/>
      <c r="U828" s="7"/>
      <c r="Y828" s="7"/>
      <c r="Z828" s="17"/>
      <c r="AC828" s="7"/>
      <c r="AD828" s="7"/>
      <c r="AE828" s="7"/>
      <c r="AF828" s="7"/>
      <c r="AG828" s="7"/>
      <c r="AH828" s="7"/>
      <c r="AJ828" s="7"/>
      <c r="AK828" s="7"/>
      <c r="AL828" s="7"/>
      <c r="AM828" s="7"/>
      <c r="AN828" s="7"/>
      <c r="AO828" s="7"/>
      <c r="AR828" s="7"/>
      <c r="AS828" s="7"/>
      <c r="AT828" s="7"/>
      <c r="AU828" s="7"/>
      <c r="AW828" s="7"/>
      <c r="CE828" s="7"/>
      <c r="FZ828" s="2"/>
    </row>
    <row r="829" spans="1:182">
      <c r="A829" s="7"/>
      <c r="D829" s="7"/>
      <c r="E829" s="7"/>
      <c r="F829" s="7"/>
      <c r="G829" s="7"/>
      <c r="H829" s="7"/>
      <c r="I829" s="7"/>
      <c r="J829" s="7"/>
      <c r="K829" s="7"/>
      <c r="L829" s="7"/>
      <c r="M829" s="7"/>
      <c r="N829" s="7"/>
      <c r="O829" s="7"/>
      <c r="P829" s="7"/>
      <c r="Q829" s="7"/>
      <c r="R829" s="7"/>
      <c r="S829" s="7"/>
      <c r="T829" s="7"/>
      <c r="U829" s="7"/>
      <c r="Y829" s="7"/>
      <c r="Z829" s="17"/>
      <c r="AC829" s="7"/>
      <c r="AD829" s="7"/>
      <c r="AE829" s="7"/>
      <c r="AF829" s="7"/>
      <c r="AG829" s="7"/>
      <c r="AH829" s="7"/>
      <c r="AJ829" s="7"/>
      <c r="AK829" s="7"/>
      <c r="AL829" s="7"/>
      <c r="AM829" s="7"/>
      <c r="AN829" s="7"/>
      <c r="AO829" s="7"/>
      <c r="AR829" s="7"/>
      <c r="AS829" s="7"/>
      <c r="AT829" s="7"/>
      <c r="AU829" s="7"/>
      <c r="AW829" s="7"/>
      <c r="CE829" s="7"/>
      <c r="FZ829" s="2"/>
    </row>
    <row r="830" spans="1:182">
      <c r="A830" s="7"/>
      <c r="D830" s="7"/>
      <c r="E830" s="7"/>
      <c r="F830" s="7"/>
      <c r="G830" s="7"/>
      <c r="H830" s="7"/>
      <c r="I830" s="7"/>
      <c r="J830" s="7"/>
      <c r="K830" s="7"/>
      <c r="L830" s="7"/>
      <c r="M830" s="7"/>
      <c r="N830" s="7"/>
      <c r="O830" s="7"/>
      <c r="P830" s="7"/>
      <c r="Q830" s="7"/>
      <c r="R830" s="7"/>
      <c r="S830" s="7"/>
      <c r="T830" s="7"/>
      <c r="U830" s="7"/>
      <c r="Y830" s="7"/>
      <c r="Z830" s="17"/>
      <c r="AC830" s="7"/>
      <c r="AD830" s="7"/>
      <c r="AE830" s="7"/>
      <c r="AF830" s="7"/>
      <c r="AG830" s="7"/>
      <c r="AH830" s="7"/>
      <c r="AJ830" s="7"/>
      <c r="AK830" s="7"/>
      <c r="AL830" s="7"/>
      <c r="AM830" s="7"/>
      <c r="AN830" s="7"/>
      <c r="AO830" s="7"/>
      <c r="AR830" s="7"/>
      <c r="AS830" s="7"/>
      <c r="AT830" s="7"/>
      <c r="AU830" s="7"/>
      <c r="AW830" s="7"/>
      <c r="CE830" s="7"/>
      <c r="FZ830" s="2"/>
    </row>
    <row r="831" spans="1:182">
      <c r="A831" s="7"/>
      <c r="D831" s="7"/>
      <c r="E831" s="7"/>
      <c r="F831" s="7"/>
      <c r="G831" s="7"/>
      <c r="H831" s="7"/>
      <c r="I831" s="7"/>
      <c r="J831" s="7"/>
      <c r="K831" s="7"/>
      <c r="L831" s="7"/>
      <c r="M831" s="7"/>
      <c r="N831" s="7"/>
      <c r="O831" s="7"/>
      <c r="P831" s="7"/>
      <c r="Q831" s="7"/>
      <c r="R831" s="7"/>
      <c r="S831" s="7"/>
      <c r="T831" s="7"/>
      <c r="U831" s="7"/>
      <c r="Y831" s="7"/>
      <c r="Z831" s="17"/>
      <c r="AC831" s="7"/>
      <c r="AD831" s="7"/>
      <c r="AE831" s="7"/>
      <c r="AF831" s="7"/>
      <c r="AG831" s="7"/>
      <c r="AH831" s="7"/>
      <c r="AJ831" s="7"/>
      <c r="AK831" s="7"/>
      <c r="AL831" s="7"/>
      <c r="AM831" s="7"/>
      <c r="AN831" s="7"/>
      <c r="AO831" s="7"/>
      <c r="AR831" s="7"/>
      <c r="AS831" s="7"/>
      <c r="AT831" s="7"/>
      <c r="AU831" s="7"/>
      <c r="AW831" s="7"/>
      <c r="CE831" s="7"/>
      <c r="FZ831" s="2"/>
    </row>
    <row r="832" spans="1:182">
      <c r="A832" s="7"/>
      <c r="D832" s="7"/>
      <c r="E832" s="7"/>
      <c r="F832" s="7"/>
      <c r="G832" s="7"/>
      <c r="H832" s="7"/>
      <c r="I832" s="7"/>
      <c r="J832" s="7"/>
      <c r="K832" s="7"/>
      <c r="L832" s="7"/>
      <c r="M832" s="7"/>
      <c r="N832" s="7"/>
      <c r="O832" s="7"/>
      <c r="P832" s="7"/>
      <c r="Q832" s="7"/>
      <c r="R832" s="7"/>
      <c r="S832" s="7"/>
      <c r="T832" s="7"/>
      <c r="U832" s="7"/>
      <c r="Y832" s="7"/>
      <c r="Z832" s="17"/>
      <c r="AC832" s="7"/>
      <c r="AD832" s="7"/>
      <c r="AE832" s="7"/>
      <c r="AF832" s="7"/>
      <c r="AG832" s="7"/>
      <c r="AH832" s="7"/>
      <c r="AJ832" s="7"/>
      <c r="AK832" s="7"/>
      <c r="AL832" s="7"/>
      <c r="AM832" s="7"/>
      <c r="AN832" s="7"/>
      <c r="AO832" s="7"/>
      <c r="AR832" s="7"/>
      <c r="AS832" s="7"/>
      <c r="AT832" s="7"/>
      <c r="AU832" s="7"/>
      <c r="AW832" s="7"/>
      <c r="CE832" s="7"/>
      <c r="FZ832" s="2"/>
    </row>
    <row r="833" spans="1:182">
      <c r="A833" s="7"/>
      <c r="D833" s="7"/>
      <c r="E833" s="7"/>
      <c r="F833" s="7"/>
      <c r="G833" s="7"/>
      <c r="H833" s="7"/>
      <c r="I833" s="7"/>
      <c r="J833" s="7"/>
      <c r="K833" s="7"/>
      <c r="L833" s="7"/>
      <c r="M833" s="7"/>
      <c r="N833" s="7"/>
      <c r="O833" s="7"/>
      <c r="P833" s="7"/>
      <c r="Q833" s="7"/>
      <c r="R833" s="7"/>
      <c r="S833" s="7"/>
      <c r="T833" s="7"/>
      <c r="U833" s="7"/>
      <c r="Y833" s="7"/>
      <c r="Z833" s="17"/>
      <c r="AC833" s="7"/>
      <c r="AD833" s="7"/>
      <c r="AE833" s="7"/>
      <c r="AF833" s="7"/>
      <c r="AG833" s="7"/>
      <c r="AH833" s="7"/>
      <c r="AJ833" s="7"/>
      <c r="AK833" s="7"/>
      <c r="AL833" s="7"/>
      <c r="AM833" s="7"/>
      <c r="AN833" s="7"/>
      <c r="AO833" s="7"/>
      <c r="AR833" s="7"/>
      <c r="AS833" s="7"/>
      <c r="AT833" s="7"/>
      <c r="AU833" s="7"/>
      <c r="AW833" s="7"/>
      <c r="CE833" s="7"/>
      <c r="FZ833" s="2"/>
    </row>
    <row r="834" spans="1:182">
      <c r="A834" s="7"/>
      <c r="D834" s="7"/>
      <c r="E834" s="7"/>
      <c r="F834" s="7"/>
      <c r="G834" s="7"/>
      <c r="H834" s="7"/>
      <c r="I834" s="7"/>
      <c r="J834" s="7"/>
      <c r="K834" s="7"/>
      <c r="L834" s="7"/>
      <c r="M834" s="7"/>
      <c r="N834" s="7"/>
      <c r="O834" s="7"/>
      <c r="P834" s="7"/>
      <c r="Q834" s="7"/>
      <c r="R834" s="7"/>
      <c r="S834" s="7"/>
      <c r="T834" s="7"/>
      <c r="U834" s="7"/>
      <c r="Y834" s="7"/>
      <c r="Z834" s="17"/>
      <c r="AC834" s="7"/>
      <c r="AD834" s="7"/>
      <c r="AE834" s="7"/>
      <c r="AF834" s="7"/>
      <c r="AG834" s="7"/>
      <c r="AH834" s="7"/>
      <c r="AJ834" s="7"/>
      <c r="AK834" s="7"/>
      <c r="AL834" s="7"/>
      <c r="AM834" s="7"/>
      <c r="AN834" s="7"/>
      <c r="AO834" s="7"/>
      <c r="AR834" s="7"/>
      <c r="AS834" s="7"/>
      <c r="AT834" s="7"/>
      <c r="AU834" s="7"/>
      <c r="AW834" s="7"/>
      <c r="CE834" s="7"/>
      <c r="FZ834" s="2"/>
    </row>
    <row r="835" spans="1:182">
      <c r="A835" s="7"/>
      <c r="D835" s="7"/>
      <c r="E835" s="7"/>
      <c r="F835" s="7"/>
      <c r="G835" s="7"/>
      <c r="H835" s="7"/>
      <c r="I835" s="7"/>
      <c r="J835" s="7"/>
      <c r="K835" s="7"/>
      <c r="L835" s="7"/>
      <c r="M835" s="7"/>
      <c r="N835" s="7"/>
      <c r="O835" s="7"/>
      <c r="P835" s="7"/>
      <c r="Q835" s="7"/>
      <c r="R835" s="7"/>
      <c r="S835" s="7"/>
      <c r="T835" s="7"/>
      <c r="U835" s="7"/>
      <c r="Y835" s="7"/>
      <c r="Z835" s="17"/>
      <c r="AC835" s="7"/>
      <c r="AD835" s="7"/>
      <c r="AE835" s="7"/>
      <c r="AF835" s="7"/>
      <c r="AG835" s="7"/>
      <c r="AH835" s="7"/>
      <c r="AJ835" s="7"/>
      <c r="AK835" s="7"/>
      <c r="AL835" s="7"/>
      <c r="AM835" s="7"/>
      <c r="AN835" s="7"/>
      <c r="AO835" s="7"/>
      <c r="AR835" s="7"/>
      <c r="AS835" s="7"/>
      <c r="AT835" s="7"/>
      <c r="AU835" s="7"/>
      <c r="AW835" s="7"/>
      <c r="CE835" s="7"/>
      <c r="FZ835" s="2"/>
    </row>
    <row r="836" spans="1:182">
      <c r="A836" s="7"/>
      <c r="D836" s="7"/>
      <c r="E836" s="7"/>
      <c r="F836" s="7"/>
      <c r="G836" s="7"/>
      <c r="H836" s="7"/>
      <c r="I836" s="7"/>
      <c r="J836" s="7"/>
      <c r="K836" s="7"/>
      <c r="L836" s="7"/>
      <c r="M836" s="7"/>
      <c r="N836" s="7"/>
      <c r="O836" s="7"/>
      <c r="P836" s="7"/>
      <c r="Q836" s="7"/>
      <c r="R836" s="7"/>
      <c r="S836" s="7"/>
      <c r="T836" s="7"/>
      <c r="U836" s="7"/>
      <c r="Y836" s="7"/>
      <c r="Z836" s="17"/>
      <c r="AC836" s="7"/>
      <c r="AD836" s="7"/>
      <c r="AE836" s="7"/>
      <c r="AF836" s="7"/>
      <c r="AG836" s="7"/>
      <c r="AH836" s="7"/>
      <c r="AJ836" s="7"/>
      <c r="AK836" s="7"/>
      <c r="AL836" s="7"/>
      <c r="AM836" s="7"/>
      <c r="AN836" s="7"/>
      <c r="AO836" s="7"/>
      <c r="AR836" s="7"/>
      <c r="AS836" s="7"/>
      <c r="AT836" s="7"/>
      <c r="AU836" s="7"/>
      <c r="AW836" s="7"/>
      <c r="CE836" s="7"/>
      <c r="FZ836" s="2"/>
    </row>
    <row r="837" spans="1:182">
      <c r="A837" s="7"/>
      <c r="D837" s="7"/>
      <c r="E837" s="7"/>
      <c r="F837" s="7"/>
      <c r="G837" s="7"/>
      <c r="H837" s="7"/>
      <c r="I837" s="7"/>
      <c r="J837" s="7"/>
      <c r="K837" s="7"/>
      <c r="L837" s="7"/>
      <c r="M837" s="7"/>
      <c r="N837" s="7"/>
      <c r="O837" s="7"/>
      <c r="P837" s="7"/>
      <c r="Q837" s="7"/>
      <c r="R837" s="7"/>
      <c r="S837" s="7"/>
      <c r="T837" s="7"/>
      <c r="U837" s="7"/>
      <c r="Y837" s="7"/>
      <c r="Z837" s="17"/>
      <c r="AC837" s="7"/>
      <c r="AD837" s="7"/>
      <c r="AE837" s="7"/>
      <c r="AF837" s="7"/>
      <c r="AG837" s="7"/>
      <c r="AH837" s="7"/>
      <c r="AJ837" s="7"/>
      <c r="AK837" s="7"/>
      <c r="AL837" s="7"/>
      <c r="AM837" s="7"/>
      <c r="AN837" s="7"/>
      <c r="AO837" s="7"/>
      <c r="AR837" s="7"/>
      <c r="AS837" s="7"/>
      <c r="AT837" s="7"/>
      <c r="AU837" s="7"/>
      <c r="AW837" s="7"/>
      <c r="CE837" s="7"/>
      <c r="FZ837" s="2"/>
    </row>
    <row r="838" spans="1:182">
      <c r="A838" s="7"/>
      <c r="D838" s="7"/>
      <c r="E838" s="7"/>
      <c r="F838" s="7"/>
      <c r="G838" s="7"/>
      <c r="H838" s="7"/>
      <c r="I838" s="7"/>
      <c r="J838" s="7"/>
      <c r="K838" s="7"/>
      <c r="L838" s="7"/>
      <c r="M838" s="7"/>
      <c r="N838" s="7"/>
      <c r="O838" s="7"/>
      <c r="P838" s="7"/>
      <c r="Q838" s="7"/>
      <c r="R838" s="7"/>
      <c r="S838" s="7"/>
      <c r="T838" s="7"/>
      <c r="U838" s="7"/>
      <c r="Y838" s="7"/>
      <c r="Z838" s="17"/>
      <c r="AC838" s="7"/>
      <c r="AD838" s="7"/>
      <c r="AE838" s="7"/>
      <c r="AF838" s="7"/>
      <c r="AG838" s="7"/>
      <c r="AH838" s="7"/>
      <c r="AJ838" s="7"/>
      <c r="AK838" s="7"/>
      <c r="AL838" s="7"/>
      <c r="AM838" s="7"/>
      <c r="AN838" s="7"/>
      <c r="AO838" s="7"/>
      <c r="AR838" s="7"/>
      <c r="AS838" s="7"/>
      <c r="AT838" s="7"/>
      <c r="AU838" s="7"/>
      <c r="AW838" s="7"/>
      <c r="CE838" s="7"/>
      <c r="FZ838" s="2"/>
    </row>
    <row r="839" spans="1:182">
      <c r="A839" s="7"/>
      <c r="D839" s="7"/>
      <c r="E839" s="7"/>
      <c r="F839" s="7"/>
      <c r="G839" s="7"/>
      <c r="H839" s="7"/>
      <c r="I839" s="7"/>
      <c r="J839" s="7"/>
      <c r="K839" s="7"/>
      <c r="L839" s="7"/>
      <c r="M839" s="7"/>
      <c r="N839" s="7"/>
      <c r="O839" s="7"/>
      <c r="P839" s="7"/>
      <c r="Q839" s="7"/>
      <c r="R839" s="7"/>
      <c r="S839" s="7"/>
      <c r="T839" s="7"/>
      <c r="U839" s="7"/>
      <c r="Y839" s="7"/>
      <c r="Z839" s="17"/>
      <c r="AC839" s="7"/>
      <c r="AD839" s="7"/>
      <c r="AE839" s="7"/>
      <c r="AF839" s="7"/>
      <c r="AG839" s="7"/>
      <c r="AH839" s="7"/>
      <c r="AJ839" s="7"/>
      <c r="AK839" s="7"/>
      <c r="AL839" s="7"/>
      <c r="AM839" s="7"/>
      <c r="AN839" s="7"/>
      <c r="AO839" s="7"/>
      <c r="AR839" s="7"/>
      <c r="AS839" s="7"/>
      <c r="AT839" s="7"/>
      <c r="AU839" s="7"/>
      <c r="AW839" s="7"/>
      <c r="CE839" s="7"/>
      <c r="FZ839" s="2"/>
    </row>
    <row r="840" spans="1:182">
      <c r="A840" s="7"/>
      <c r="D840" s="7"/>
      <c r="E840" s="7"/>
      <c r="F840" s="7"/>
      <c r="G840" s="7"/>
      <c r="H840" s="7"/>
      <c r="I840" s="7"/>
      <c r="J840" s="7"/>
      <c r="K840" s="7"/>
      <c r="L840" s="7"/>
      <c r="M840" s="7"/>
      <c r="N840" s="7"/>
      <c r="O840" s="7"/>
      <c r="P840" s="7"/>
      <c r="Q840" s="7"/>
      <c r="R840" s="7"/>
      <c r="S840" s="7"/>
      <c r="T840" s="7"/>
      <c r="U840" s="7"/>
      <c r="Y840" s="7"/>
      <c r="Z840" s="17"/>
      <c r="AC840" s="7"/>
      <c r="AD840" s="7"/>
      <c r="AE840" s="7"/>
      <c r="AF840" s="7"/>
      <c r="AG840" s="7"/>
      <c r="AH840" s="7"/>
      <c r="AJ840" s="7"/>
      <c r="AK840" s="7"/>
      <c r="AL840" s="7"/>
      <c r="AM840" s="7"/>
      <c r="AN840" s="7"/>
      <c r="AO840" s="7"/>
      <c r="AR840" s="7"/>
      <c r="AS840" s="7"/>
      <c r="AT840" s="7"/>
      <c r="AU840" s="7"/>
      <c r="AW840" s="7"/>
      <c r="CE840" s="7"/>
      <c r="FZ840" s="2"/>
    </row>
    <row r="841" spans="1:182">
      <c r="A841" s="7"/>
      <c r="D841" s="7"/>
      <c r="E841" s="7"/>
      <c r="F841" s="7"/>
      <c r="G841" s="7"/>
      <c r="H841" s="7"/>
      <c r="I841" s="7"/>
      <c r="J841" s="7"/>
      <c r="K841" s="7"/>
      <c r="L841" s="7"/>
      <c r="M841" s="7"/>
      <c r="N841" s="7"/>
      <c r="O841" s="7"/>
      <c r="P841" s="7"/>
      <c r="Q841" s="7"/>
      <c r="R841" s="7"/>
      <c r="S841" s="7"/>
      <c r="T841" s="7"/>
      <c r="U841" s="7"/>
      <c r="Y841" s="7"/>
      <c r="Z841" s="17"/>
      <c r="AC841" s="7"/>
      <c r="AD841" s="7"/>
      <c r="AE841" s="7"/>
      <c r="AF841" s="7"/>
      <c r="AG841" s="7"/>
      <c r="AH841" s="7"/>
      <c r="AJ841" s="7"/>
      <c r="AK841" s="7"/>
      <c r="AL841" s="7"/>
      <c r="AM841" s="7"/>
      <c r="AN841" s="7"/>
      <c r="AO841" s="7"/>
      <c r="AR841" s="7"/>
      <c r="AS841" s="7"/>
      <c r="AT841" s="7"/>
      <c r="AU841" s="7"/>
      <c r="AW841" s="7"/>
      <c r="CE841" s="7"/>
      <c r="FZ841" s="2"/>
    </row>
    <row r="842" spans="1:182">
      <c r="A842" s="7"/>
      <c r="D842" s="7"/>
      <c r="E842" s="7"/>
      <c r="F842" s="7"/>
      <c r="G842" s="7"/>
      <c r="H842" s="7"/>
      <c r="I842" s="7"/>
      <c r="J842" s="7"/>
      <c r="K842" s="7"/>
      <c r="L842" s="7"/>
      <c r="M842" s="7"/>
      <c r="N842" s="7"/>
      <c r="O842" s="7"/>
      <c r="P842" s="7"/>
      <c r="Q842" s="7"/>
      <c r="R842" s="7"/>
      <c r="S842" s="7"/>
      <c r="T842" s="7"/>
      <c r="U842" s="7"/>
      <c r="Y842" s="7"/>
      <c r="Z842" s="17"/>
      <c r="AC842" s="7"/>
      <c r="AD842" s="7"/>
      <c r="AE842" s="7"/>
      <c r="AF842" s="7"/>
      <c r="AG842" s="7"/>
      <c r="AH842" s="7"/>
      <c r="AJ842" s="7"/>
      <c r="AK842" s="7"/>
      <c r="AL842" s="7"/>
      <c r="AM842" s="7"/>
      <c r="AN842" s="7"/>
      <c r="AO842" s="7"/>
      <c r="AR842" s="7"/>
      <c r="AS842" s="7"/>
      <c r="AT842" s="7"/>
      <c r="AU842" s="7"/>
      <c r="AW842" s="7"/>
      <c r="CE842" s="7"/>
      <c r="FZ842" s="2"/>
    </row>
    <row r="843" spans="1:182">
      <c r="A843" s="7"/>
      <c r="D843" s="7"/>
      <c r="E843" s="7"/>
      <c r="F843" s="7"/>
      <c r="G843" s="7"/>
      <c r="H843" s="7"/>
      <c r="I843" s="7"/>
      <c r="J843" s="7"/>
      <c r="K843" s="7"/>
      <c r="L843" s="7"/>
      <c r="M843" s="7"/>
      <c r="N843" s="7"/>
      <c r="O843" s="7"/>
      <c r="P843" s="7"/>
      <c r="Q843" s="7"/>
      <c r="R843" s="7"/>
      <c r="S843" s="7"/>
      <c r="T843" s="7"/>
      <c r="U843" s="7"/>
      <c r="Y843" s="7"/>
      <c r="Z843" s="17"/>
      <c r="AC843" s="7"/>
      <c r="AD843" s="7"/>
      <c r="AE843" s="7"/>
      <c r="AF843" s="7"/>
      <c r="AG843" s="7"/>
      <c r="AH843" s="7"/>
      <c r="AJ843" s="7"/>
      <c r="AK843" s="7"/>
      <c r="AL843" s="7"/>
      <c r="AM843" s="7"/>
      <c r="AN843" s="7"/>
      <c r="AO843" s="7"/>
      <c r="AR843" s="7"/>
      <c r="AS843" s="7"/>
      <c r="AT843" s="7"/>
      <c r="AU843" s="7"/>
      <c r="AW843" s="7"/>
      <c r="CE843" s="7"/>
      <c r="FZ843" s="2"/>
    </row>
    <row r="844" spans="1:182">
      <c r="A844" s="7"/>
      <c r="D844" s="7"/>
      <c r="E844" s="7"/>
      <c r="F844" s="7"/>
      <c r="G844" s="7"/>
      <c r="H844" s="7"/>
      <c r="I844" s="7"/>
      <c r="J844" s="7"/>
      <c r="K844" s="7"/>
      <c r="L844" s="7"/>
      <c r="M844" s="7"/>
      <c r="N844" s="7"/>
      <c r="O844" s="7"/>
      <c r="P844" s="7"/>
      <c r="Q844" s="7"/>
      <c r="R844" s="7"/>
      <c r="S844" s="7"/>
      <c r="T844" s="7"/>
      <c r="U844" s="7"/>
      <c r="Y844" s="7"/>
      <c r="Z844" s="17"/>
      <c r="AC844" s="7"/>
      <c r="AD844" s="7"/>
      <c r="AE844" s="7"/>
      <c r="AF844" s="7"/>
      <c r="AG844" s="7"/>
      <c r="AH844" s="7"/>
      <c r="AJ844" s="7"/>
      <c r="AK844" s="7"/>
      <c r="AL844" s="7"/>
      <c r="AM844" s="7"/>
      <c r="AN844" s="7"/>
      <c r="AO844" s="7"/>
      <c r="AR844" s="7"/>
      <c r="AS844" s="7"/>
      <c r="AT844" s="7"/>
      <c r="AU844" s="7"/>
      <c r="AW844" s="7"/>
      <c r="CE844" s="7"/>
      <c r="FZ844" s="2"/>
    </row>
    <row r="845" spans="1:182">
      <c r="A845" s="7"/>
      <c r="D845" s="7"/>
      <c r="E845" s="7"/>
      <c r="F845" s="7"/>
      <c r="G845" s="7"/>
      <c r="H845" s="7"/>
      <c r="I845" s="7"/>
      <c r="J845" s="7"/>
      <c r="K845" s="7"/>
      <c r="L845" s="7"/>
      <c r="M845" s="7"/>
      <c r="N845" s="7"/>
      <c r="O845" s="7"/>
      <c r="P845" s="7"/>
      <c r="Q845" s="7"/>
      <c r="R845" s="7"/>
      <c r="S845" s="7"/>
      <c r="T845" s="7"/>
      <c r="U845" s="7"/>
      <c r="Y845" s="7"/>
      <c r="Z845" s="17"/>
      <c r="AC845" s="7"/>
      <c r="AD845" s="7"/>
      <c r="AE845" s="7"/>
      <c r="AF845" s="7"/>
      <c r="AG845" s="7"/>
      <c r="AH845" s="7"/>
      <c r="AJ845" s="7"/>
      <c r="AK845" s="7"/>
      <c r="AL845" s="7"/>
      <c r="AM845" s="7"/>
      <c r="AN845" s="7"/>
      <c r="AO845" s="7"/>
      <c r="AR845" s="7"/>
      <c r="AS845" s="7"/>
      <c r="AT845" s="7"/>
      <c r="AU845" s="7"/>
      <c r="AW845" s="7"/>
      <c r="CE845" s="7"/>
      <c r="FZ845" s="2"/>
    </row>
    <row r="846" spans="1:182">
      <c r="A846" s="7"/>
      <c r="D846" s="7"/>
      <c r="E846" s="7"/>
      <c r="F846" s="7"/>
      <c r="G846" s="7"/>
      <c r="H846" s="7"/>
      <c r="I846" s="7"/>
      <c r="J846" s="7"/>
      <c r="K846" s="7"/>
      <c r="L846" s="7"/>
      <c r="M846" s="7"/>
      <c r="N846" s="7"/>
      <c r="O846" s="7"/>
      <c r="P846" s="7"/>
      <c r="Q846" s="7"/>
      <c r="R846" s="7"/>
      <c r="S846" s="7"/>
      <c r="T846" s="7"/>
      <c r="U846" s="7"/>
      <c r="Y846" s="7"/>
      <c r="Z846" s="17"/>
      <c r="AC846" s="7"/>
      <c r="AD846" s="7"/>
      <c r="AE846" s="7"/>
      <c r="AF846" s="7"/>
      <c r="AG846" s="7"/>
      <c r="AH846" s="7"/>
      <c r="AJ846" s="7"/>
      <c r="AK846" s="7"/>
      <c r="AL846" s="7"/>
      <c r="AM846" s="7"/>
      <c r="AN846" s="7"/>
      <c r="AO846" s="7"/>
      <c r="AR846" s="7"/>
      <c r="AS846" s="7"/>
      <c r="AT846" s="7"/>
      <c r="AU846" s="7"/>
      <c r="AW846" s="7"/>
      <c r="CE846" s="7"/>
      <c r="FZ846" s="2"/>
    </row>
    <row r="847" spans="1:182">
      <c r="A847" s="7"/>
      <c r="D847" s="7"/>
      <c r="E847" s="7"/>
      <c r="F847" s="7"/>
      <c r="G847" s="7"/>
      <c r="H847" s="7"/>
      <c r="I847" s="7"/>
      <c r="J847" s="7"/>
      <c r="K847" s="7"/>
      <c r="L847" s="7"/>
      <c r="M847" s="7"/>
      <c r="N847" s="7"/>
      <c r="O847" s="7"/>
      <c r="P847" s="7"/>
      <c r="Q847" s="7"/>
      <c r="R847" s="7"/>
      <c r="S847" s="7"/>
      <c r="T847" s="7"/>
      <c r="U847" s="7"/>
      <c r="Y847" s="7"/>
      <c r="Z847" s="17"/>
      <c r="AC847" s="7"/>
      <c r="AD847" s="7"/>
      <c r="AE847" s="7"/>
      <c r="AF847" s="7"/>
      <c r="AG847" s="7"/>
      <c r="AH847" s="7"/>
      <c r="AJ847" s="7"/>
      <c r="AK847" s="7"/>
      <c r="AL847" s="7"/>
      <c r="AM847" s="7"/>
      <c r="AN847" s="7"/>
      <c r="AO847" s="7"/>
      <c r="AR847" s="7"/>
      <c r="AS847" s="7"/>
      <c r="AT847" s="7"/>
      <c r="AU847" s="7"/>
      <c r="AW847" s="7"/>
      <c r="CE847" s="7"/>
      <c r="FZ847" s="2"/>
    </row>
    <row r="848" spans="1:182">
      <c r="A848" s="7"/>
      <c r="D848" s="7"/>
      <c r="E848" s="7"/>
      <c r="F848" s="7"/>
      <c r="G848" s="7"/>
      <c r="H848" s="7"/>
      <c r="I848" s="7"/>
      <c r="J848" s="7"/>
      <c r="K848" s="7"/>
      <c r="L848" s="7"/>
      <c r="M848" s="7"/>
      <c r="N848" s="7"/>
      <c r="O848" s="7"/>
      <c r="P848" s="7"/>
      <c r="Q848" s="7"/>
      <c r="R848" s="7"/>
      <c r="S848" s="7"/>
      <c r="T848" s="7"/>
      <c r="U848" s="7"/>
      <c r="Y848" s="7"/>
      <c r="Z848" s="17"/>
      <c r="AC848" s="7"/>
      <c r="AD848" s="7"/>
      <c r="AE848" s="7"/>
      <c r="AF848" s="7"/>
      <c r="AG848" s="7"/>
      <c r="AH848" s="7"/>
      <c r="AJ848" s="7"/>
      <c r="AK848" s="7"/>
      <c r="AL848" s="7"/>
      <c r="AM848" s="7"/>
      <c r="AN848" s="7"/>
      <c r="AO848" s="7"/>
      <c r="AR848" s="7"/>
      <c r="AS848" s="7"/>
      <c r="AT848" s="7"/>
      <c r="AU848" s="7"/>
      <c r="AW848" s="7"/>
      <c r="CE848" s="7"/>
      <c r="FZ848" s="2"/>
    </row>
    <row r="849" spans="1:182">
      <c r="A849" s="7"/>
      <c r="D849" s="7"/>
      <c r="E849" s="7"/>
      <c r="F849" s="7"/>
      <c r="G849" s="7"/>
      <c r="H849" s="7"/>
      <c r="I849" s="7"/>
      <c r="J849" s="7"/>
      <c r="K849" s="7"/>
      <c r="L849" s="7"/>
      <c r="M849" s="7"/>
      <c r="N849" s="7"/>
      <c r="O849" s="7"/>
      <c r="P849" s="7"/>
      <c r="Q849" s="7"/>
      <c r="R849" s="7"/>
      <c r="S849" s="7"/>
      <c r="T849" s="7"/>
      <c r="U849" s="7"/>
      <c r="Y849" s="7"/>
      <c r="Z849" s="17"/>
      <c r="AC849" s="7"/>
      <c r="AD849" s="7"/>
      <c r="AE849" s="7"/>
      <c r="AF849" s="7"/>
      <c r="AG849" s="7"/>
      <c r="AH849" s="7"/>
      <c r="AJ849" s="7"/>
      <c r="AK849" s="7"/>
      <c r="AL849" s="7"/>
      <c r="AM849" s="7"/>
      <c r="AN849" s="7"/>
      <c r="AO849" s="7"/>
      <c r="AR849" s="7"/>
      <c r="AS849" s="7"/>
      <c r="AT849" s="7"/>
      <c r="AU849" s="7"/>
      <c r="AW849" s="7"/>
      <c r="CE849" s="7"/>
      <c r="FZ849" s="2"/>
    </row>
    <row r="850" spans="1:182">
      <c r="A850" s="7"/>
      <c r="D850" s="7"/>
      <c r="E850" s="7"/>
      <c r="F850" s="7"/>
      <c r="G850" s="7"/>
      <c r="H850" s="7"/>
      <c r="I850" s="7"/>
      <c r="J850" s="7"/>
      <c r="K850" s="7"/>
      <c r="L850" s="7"/>
      <c r="M850" s="7"/>
      <c r="N850" s="7"/>
      <c r="O850" s="7"/>
      <c r="P850" s="7"/>
      <c r="Q850" s="7"/>
      <c r="R850" s="7"/>
      <c r="S850" s="7"/>
      <c r="T850" s="7"/>
      <c r="U850" s="7"/>
      <c r="Y850" s="7"/>
      <c r="Z850" s="17"/>
      <c r="AC850" s="7"/>
      <c r="AD850" s="7"/>
      <c r="AE850" s="7"/>
      <c r="AF850" s="7"/>
      <c r="AG850" s="7"/>
      <c r="AH850" s="7"/>
      <c r="AJ850" s="7"/>
      <c r="AK850" s="7"/>
      <c r="AL850" s="7"/>
      <c r="AM850" s="7"/>
      <c r="AN850" s="7"/>
      <c r="AO850" s="7"/>
      <c r="AR850" s="7"/>
      <c r="AS850" s="7"/>
      <c r="AT850" s="7"/>
      <c r="AU850" s="7"/>
      <c r="AW850" s="7"/>
      <c r="CE850" s="7"/>
      <c r="FZ850" s="2"/>
    </row>
    <row r="851" spans="1:182">
      <c r="A851" s="7"/>
      <c r="D851" s="7"/>
      <c r="E851" s="7"/>
      <c r="F851" s="7"/>
      <c r="G851" s="7"/>
      <c r="H851" s="7"/>
      <c r="I851" s="7"/>
      <c r="J851" s="7"/>
      <c r="K851" s="7"/>
      <c r="L851" s="7"/>
      <c r="M851" s="7"/>
      <c r="N851" s="7"/>
      <c r="O851" s="7"/>
      <c r="P851" s="7"/>
      <c r="Q851" s="7"/>
      <c r="R851" s="7"/>
      <c r="S851" s="7"/>
      <c r="T851" s="7"/>
      <c r="U851" s="7"/>
      <c r="Y851" s="7"/>
      <c r="Z851" s="17"/>
      <c r="AC851" s="7"/>
      <c r="AD851" s="7"/>
      <c r="AE851" s="7"/>
      <c r="AF851" s="7"/>
      <c r="AG851" s="7"/>
      <c r="AH851" s="7"/>
      <c r="AJ851" s="7"/>
      <c r="AK851" s="7"/>
      <c r="AL851" s="7"/>
      <c r="AM851" s="7"/>
      <c r="AN851" s="7"/>
      <c r="AO851" s="7"/>
      <c r="AR851" s="7"/>
      <c r="AS851" s="7"/>
      <c r="AT851" s="7"/>
      <c r="AU851" s="7"/>
      <c r="AW851" s="7"/>
      <c r="CE851" s="7"/>
      <c r="FZ851" s="2"/>
    </row>
    <row r="852" spans="1:182">
      <c r="A852" s="7"/>
      <c r="D852" s="7"/>
      <c r="E852" s="7"/>
      <c r="F852" s="7"/>
      <c r="G852" s="7"/>
      <c r="H852" s="7"/>
      <c r="I852" s="7"/>
      <c r="J852" s="7"/>
      <c r="K852" s="7"/>
      <c r="L852" s="7"/>
      <c r="M852" s="7"/>
      <c r="N852" s="7"/>
      <c r="O852" s="7"/>
      <c r="P852" s="7"/>
      <c r="Q852" s="7"/>
      <c r="R852" s="7"/>
      <c r="S852" s="7"/>
      <c r="T852" s="7"/>
      <c r="U852" s="7"/>
      <c r="Y852" s="7"/>
      <c r="Z852" s="17"/>
      <c r="AC852" s="7"/>
      <c r="AD852" s="7"/>
      <c r="AE852" s="7"/>
      <c r="AF852" s="7"/>
      <c r="AG852" s="7"/>
      <c r="AH852" s="7"/>
      <c r="AJ852" s="7"/>
      <c r="AK852" s="7"/>
      <c r="AL852" s="7"/>
      <c r="AM852" s="7"/>
      <c r="AN852" s="7"/>
      <c r="AO852" s="7"/>
      <c r="AR852" s="7"/>
      <c r="AS852" s="7"/>
      <c r="AT852" s="7"/>
      <c r="AU852" s="7"/>
      <c r="AW852" s="7"/>
      <c r="CE852" s="7"/>
      <c r="FZ852" s="2"/>
    </row>
    <row r="853" spans="1:182">
      <c r="A853" s="7"/>
      <c r="D853" s="7"/>
      <c r="E853" s="7"/>
      <c r="F853" s="7"/>
      <c r="G853" s="7"/>
      <c r="H853" s="7"/>
      <c r="I853" s="7"/>
      <c r="J853" s="7"/>
      <c r="K853" s="7"/>
      <c r="L853" s="7"/>
      <c r="M853" s="7"/>
      <c r="N853" s="7"/>
      <c r="O853" s="7"/>
      <c r="P853" s="7"/>
      <c r="Q853" s="7"/>
      <c r="R853" s="7"/>
      <c r="S853" s="7"/>
      <c r="T853" s="7"/>
      <c r="U853" s="7"/>
      <c r="Y853" s="7"/>
      <c r="Z853" s="17"/>
      <c r="AC853" s="7"/>
      <c r="AD853" s="7"/>
      <c r="AE853" s="7"/>
      <c r="AF853" s="7"/>
      <c r="AG853" s="7"/>
      <c r="AH853" s="7"/>
      <c r="AJ853" s="7"/>
      <c r="AK853" s="7"/>
      <c r="AL853" s="7"/>
      <c r="AM853" s="7"/>
      <c r="AN853" s="7"/>
      <c r="AO853" s="7"/>
      <c r="AR853" s="7"/>
      <c r="AS853" s="7"/>
      <c r="AT853" s="7"/>
      <c r="AU853" s="7"/>
      <c r="AW853" s="7"/>
      <c r="CE853" s="7"/>
      <c r="FZ853" s="2"/>
    </row>
    <row r="854" spans="1:182">
      <c r="A854" s="7"/>
      <c r="D854" s="7"/>
      <c r="E854" s="7"/>
      <c r="F854" s="7"/>
      <c r="G854" s="7"/>
      <c r="H854" s="7"/>
      <c r="I854" s="7"/>
      <c r="J854" s="7"/>
      <c r="K854" s="7"/>
      <c r="L854" s="7"/>
      <c r="M854" s="7"/>
      <c r="N854" s="7"/>
      <c r="O854" s="7"/>
      <c r="P854" s="7"/>
      <c r="Q854" s="7"/>
      <c r="R854" s="7"/>
      <c r="S854" s="7"/>
      <c r="T854" s="7"/>
      <c r="U854" s="7"/>
      <c r="Y854" s="7"/>
      <c r="Z854" s="17"/>
      <c r="AC854" s="7"/>
      <c r="AD854" s="7"/>
      <c r="AE854" s="7"/>
      <c r="AF854" s="7"/>
      <c r="AG854" s="7"/>
      <c r="AH854" s="7"/>
      <c r="AJ854" s="7"/>
      <c r="AK854" s="7"/>
      <c r="AL854" s="7"/>
      <c r="AM854" s="7"/>
      <c r="AN854" s="7"/>
      <c r="AO854" s="7"/>
      <c r="AR854" s="7"/>
      <c r="AS854" s="7"/>
      <c r="AT854" s="7"/>
      <c r="AU854" s="7"/>
      <c r="AW854" s="7"/>
      <c r="CE854" s="7"/>
      <c r="FZ854" s="2"/>
    </row>
    <row r="855" spans="1:182">
      <c r="A855" s="7"/>
      <c r="D855" s="7"/>
      <c r="E855" s="7"/>
      <c r="F855" s="7"/>
      <c r="G855" s="7"/>
      <c r="H855" s="7"/>
      <c r="I855" s="7"/>
      <c r="J855" s="7"/>
      <c r="K855" s="7"/>
      <c r="L855" s="7"/>
      <c r="M855" s="7"/>
      <c r="N855" s="7"/>
      <c r="O855" s="7"/>
      <c r="P855" s="7"/>
      <c r="Q855" s="7"/>
      <c r="R855" s="7"/>
      <c r="S855" s="7"/>
      <c r="T855" s="7"/>
      <c r="U855" s="7"/>
      <c r="Y855" s="7"/>
      <c r="Z855" s="17"/>
      <c r="AC855" s="7"/>
      <c r="AD855" s="7"/>
      <c r="AE855" s="7"/>
      <c r="AF855" s="7"/>
      <c r="AG855" s="7"/>
      <c r="AH855" s="7"/>
      <c r="AJ855" s="7"/>
      <c r="AK855" s="7"/>
      <c r="AL855" s="7"/>
      <c r="AM855" s="7"/>
      <c r="AN855" s="7"/>
      <c r="AO855" s="7"/>
      <c r="AR855" s="7"/>
      <c r="AS855" s="7"/>
      <c r="AT855" s="7"/>
      <c r="AU855" s="7"/>
      <c r="AW855" s="7"/>
      <c r="CE855" s="7"/>
      <c r="FZ855" s="2"/>
    </row>
    <row r="856" spans="1:182">
      <c r="A856" s="7"/>
      <c r="D856" s="7"/>
      <c r="E856" s="7"/>
      <c r="F856" s="7"/>
      <c r="G856" s="7"/>
      <c r="H856" s="7"/>
      <c r="I856" s="7"/>
      <c r="J856" s="7"/>
      <c r="K856" s="7"/>
      <c r="L856" s="7"/>
      <c r="M856" s="7"/>
      <c r="N856" s="7"/>
      <c r="O856" s="7"/>
      <c r="P856" s="7"/>
      <c r="Q856" s="7"/>
      <c r="R856" s="7"/>
      <c r="S856" s="7"/>
      <c r="T856" s="7"/>
      <c r="U856" s="7"/>
      <c r="Y856" s="7"/>
      <c r="Z856" s="17"/>
      <c r="AC856" s="7"/>
      <c r="AD856" s="7"/>
      <c r="AE856" s="7"/>
      <c r="AF856" s="7"/>
      <c r="AG856" s="7"/>
      <c r="AH856" s="7"/>
      <c r="AJ856" s="7"/>
      <c r="AK856" s="7"/>
      <c r="AL856" s="7"/>
      <c r="AM856" s="7"/>
      <c r="AN856" s="7"/>
      <c r="AO856" s="7"/>
      <c r="AR856" s="7"/>
      <c r="AS856" s="7"/>
      <c r="AT856" s="7"/>
      <c r="AU856" s="7"/>
      <c r="AW856" s="7"/>
      <c r="CE856" s="7"/>
      <c r="FZ856" s="2"/>
    </row>
    <row r="857" spans="1:182">
      <c r="A857" s="7"/>
      <c r="D857" s="7"/>
      <c r="E857" s="7"/>
      <c r="F857" s="7"/>
      <c r="G857" s="7"/>
      <c r="H857" s="7"/>
      <c r="I857" s="7"/>
      <c r="J857" s="7"/>
      <c r="K857" s="7"/>
      <c r="L857" s="7"/>
      <c r="M857" s="7"/>
      <c r="N857" s="7"/>
      <c r="O857" s="7"/>
      <c r="P857" s="7"/>
      <c r="Q857" s="7"/>
      <c r="R857" s="7"/>
      <c r="S857" s="7"/>
      <c r="T857" s="7"/>
      <c r="U857" s="7"/>
      <c r="Y857" s="7"/>
      <c r="Z857" s="17"/>
      <c r="AC857" s="7"/>
      <c r="AD857" s="7"/>
      <c r="AE857" s="7"/>
      <c r="AF857" s="7"/>
      <c r="AG857" s="7"/>
      <c r="AH857" s="7"/>
      <c r="AJ857" s="7"/>
      <c r="AK857" s="7"/>
      <c r="AL857" s="7"/>
      <c r="AM857" s="7"/>
      <c r="AN857" s="7"/>
      <c r="AO857" s="7"/>
      <c r="AR857" s="7"/>
      <c r="AS857" s="7"/>
      <c r="AT857" s="7"/>
      <c r="AU857" s="7"/>
      <c r="AW857" s="7"/>
      <c r="CE857" s="7"/>
      <c r="FZ857" s="2"/>
    </row>
    <row r="858" spans="1:182">
      <c r="A858" s="7"/>
      <c r="D858" s="7"/>
      <c r="E858" s="7"/>
      <c r="F858" s="7"/>
      <c r="G858" s="7"/>
      <c r="H858" s="7"/>
      <c r="I858" s="7"/>
      <c r="J858" s="7"/>
      <c r="K858" s="7"/>
      <c r="L858" s="7"/>
      <c r="M858" s="7"/>
      <c r="N858" s="7"/>
      <c r="O858" s="7"/>
      <c r="P858" s="7"/>
      <c r="Q858" s="7"/>
      <c r="R858" s="7"/>
      <c r="S858" s="7"/>
      <c r="T858" s="7"/>
      <c r="U858" s="7"/>
      <c r="Y858" s="7"/>
      <c r="Z858" s="17"/>
      <c r="AC858" s="7"/>
      <c r="AD858" s="7"/>
      <c r="AE858" s="7"/>
      <c r="AF858" s="7"/>
      <c r="AG858" s="7"/>
      <c r="AH858" s="7"/>
      <c r="AJ858" s="7"/>
      <c r="AK858" s="7"/>
      <c r="AL858" s="7"/>
      <c r="AM858" s="7"/>
      <c r="AN858" s="7"/>
      <c r="AO858" s="7"/>
      <c r="AR858" s="7"/>
      <c r="AS858" s="7"/>
      <c r="AT858" s="7"/>
      <c r="AU858" s="7"/>
      <c r="AW858" s="7"/>
      <c r="CE858" s="7"/>
      <c r="FZ858" s="2"/>
    </row>
    <row r="859" spans="1:182">
      <c r="A859" s="7"/>
      <c r="D859" s="7"/>
      <c r="E859" s="7"/>
      <c r="F859" s="7"/>
      <c r="G859" s="7"/>
      <c r="H859" s="7"/>
      <c r="I859" s="7"/>
      <c r="J859" s="7"/>
      <c r="K859" s="7"/>
      <c r="L859" s="7"/>
      <c r="M859" s="7"/>
      <c r="N859" s="7"/>
      <c r="O859" s="7"/>
      <c r="P859" s="7"/>
      <c r="Q859" s="7"/>
      <c r="R859" s="7"/>
      <c r="S859" s="7"/>
      <c r="T859" s="7"/>
      <c r="U859" s="7"/>
      <c r="Y859" s="7"/>
      <c r="Z859" s="17"/>
      <c r="AC859" s="7"/>
      <c r="AD859" s="7"/>
      <c r="AE859" s="7"/>
      <c r="AF859" s="7"/>
      <c r="AG859" s="7"/>
      <c r="AH859" s="7"/>
      <c r="AJ859" s="7"/>
      <c r="AK859" s="7"/>
      <c r="AL859" s="7"/>
      <c r="AM859" s="7"/>
      <c r="AN859" s="7"/>
      <c r="AO859" s="7"/>
      <c r="AR859" s="7"/>
      <c r="AS859" s="7"/>
      <c r="AT859" s="7"/>
      <c r="AU859" s="7"/>
      <c r="AW859" s="7"/>
      <c r="CE859" s="7"/>
      <c r="FZ859" s="2"/>
    </row>
    <row r="860" spans="1:182">
      <c r="A860" s="7"/>
      <c r="D860" s="7"/>
      <c r="E860" s="7"/>
      <c r="F860" s="7"/>
      <c r="G860" s="7"/>
      <c r="H860" s="7"/>
      <c r="I860" s="7"/>
      <c r="J860" s="7"/>
      <c r="K860" s="7"/>
      <c r="L860" s="7"/>
      <c r="M860" s="7"/>
      <c r="N860" s="7"/>
      <c r="O860" s="7"/>
      <c r="P860" s="7"/>
      <c r="Q860" s="7"/>
      <c r="R860" s="7"/>
      <c r="S860" s="7"/>
      <c r="T860" s="7"/>
      <c r="U860" s="7"/>
      <c r="Y860" s="7"/>
      <c r="Z860" s="17"/>
      <c r="AC860" s="7"/>
      <c r="AD860" s="7"/>
      <c r="AE860" s="7"/>
      <c r="AF860" s="7"/>
      <c r="AG860" s="7"/>
      <c r="AH860" s="7"/>
      <c r="AJ860" s="7"/>
      <c r="AK860" s="7"/>
      <c r="AL860" s="7"/>
      <c r="AM860" s="7"/>
      <c r="AN860" s="7"/>
      <c r="AO860" s="7"/>
      <c r="AR860" s="7"/>
      <c r="AS860" s="7"/>
      <c r="AT860" s="7"/>
      <c r="AU860" s="7"/>
      <c r="AW860" s="7"/>
      <c r="CE860" s="7"/>
      <c r="FZ860" s="2"/>
    </row>
    <row r="861" spans="1:182">
      <c r="A861" s="7"/>
      <c r="D861" s="7"/>
      <c r="E861" s="7"/>
      <c r="F861" s="7"/>
      <c r="G861" s="7"/>
      <c r="H861" s="7"/>
      <c r="I861" s="7"/>
      <c r="J861" s="7"/>
      <c r="K861" s="7"/>
      <c r="L861" s="7"/>
      <c r="M861" s="7"/>
      <c r="N861" s="7"/>
      <c r="O861" s="7"/>
      <c r="P861" s="7"/>
      <c r="Q861" s="7"/>
      <c r="R861" s="7"/>
      <c r="S861" s="7"/>
      <c r="T861" s="7"/>
      <c r="U861" s="7"/>
      <c r="Y861" s="7"/>
      <c r="Z861" s="17"/>
      <c r="AC861" s="7"/>
      <c r="AD861" s="7"/>
      <c r="AE861" s="7"/>
      <c r="AF861" s="7"/>
      <c r="AG861" s="7"/>
      <c r="AH861" s="7"/>
      <c r="AJ861" s="7"/>
      <c r="AK861" s="7"/>
      <c r="AL861" s="7"/>
      <c r="AM861" s="7"/>
      <c r="AN861" s="7"/>
      <c r="AO861" s="7"/>
      <c r="AR861" s="7"/>
      <c r="AS861" s="7"/>
      <c r="AT861" s="7"/>
      <c r="AU861" s="7"/>
      <c r="AW861" s="7"/>
      <c r="CE861" s="7"/>
      <c r="FZ861" s="2"/>
    </row>
    <row r="862" spans="1:182">
      <c r="A862" s="7"/>
      <c r="D862" s="7"/>
      <c r="E862" s="7"/>
      <c r="F862" s="7"/>
      <c r="G862" s="7"/>
      <c r="H862" s="7"/>
      <c r="I862" s="7"/>
      <c r="J862" s="7"/>
      <c r="K862" s="7"/>
      <c r="L862" s="7"/>
      <c r="M862" s="7"/>
      <c r="N862" s="7"/>
      <c r="O862" s="7"/>
      <c r="P862" s="7"/>
      <c r="Q862" s="7"/>
      <c r="R862" s="7"/>
      <c r="S862" s="7"/>
      <c r="T862" s="7"/>
      <c r="U862" s="7"/>
      <c r="Y862" s="7"/>
      <c r="Z862" s="17"/>
      <c r="AC862" s="7"/>
      <c r="AD862" s="7"/>
      <c r="AE862" s="7"/>
      <c r="AF862" s="7"/>
      <c r="AG862" s="7"/>
      <c r="AH862" s="7"/>
      <c r="AJ862" s="7"/>
      <c r="AK862" s="7"/>
      <c r="AL862" s="7"/>
      <c r="AM862" s="7"/>
      <c r="AN862" s="7"/>
      <c r="AO862" s="7"/>
      <c r="AR862" s="7"/>
      <c r="AS862" s="7"/>
      <c r="AT862" s="7"/>
      <c r="AU862" s="7"/>
      <c r="AW862" s="7"/>
      <c r="CE862" s="7"/>
      <c r="FZ862" s="2"/>
    </row>
    <row r="863" spans="1:182">
      <c r="A863" s="7"/>
      <c r="D863" s="7"/>
      <c r="E863" s="7"/>
      <c r="F863" s="7"/>
      <c r="G863" s="7"/>
      <c r="H863" s="7"/>
      <c r="I863" s="7"/>
      <c r="J863" s="7"/>
      <c r="K863" s="7"/>
      <c r="L863" s="7"/>
      <c r="M863" s="7"/>
      <c r="N863" s="7"/>
      <c r="O863" s="7"/>
      <c r="P863" s="7"/>
      <c r="Q863" s="7"/>
      <c r="R863" s="7"/>
      <c r="S863" s="7"/>
      <c r="T863" s="7"/>
      <c r="U863" s="7"/>
      <c r="Y863" s="7"/>
      <c r="Z863" s="17"/>
      <c r="AC863" s="7"/>
      <c r="AD863" s="7"/>
      <c r="AE863" s="7"/>
      <c r="AF863" s="7"/>
      <c r="AG863" s="7"/>
      <c r="AH863" s="7"/>
      <c r="AJ863" s="7"/>
      <c r="AK863" s="7"/>
      <c r="AL863" s="7"/>
      <c r="AM863" s="7"/>
      <c r="AN863" s="7"/>
      <c r="AO863" s="7"/>
      <c r="AR863" s="7"/>
      <c r="AS863" s="7"/>
      <c r="AT863" s="7"/>
      <c r="AU863" s="7"/>
      <c r="AW863" s="7"/>
      <c r="CE863" s="7"/>
      <c r="FZ863" s="2"/>
    </row>
    <row r="864" spans="1:182">
      <c r="A864" s="7"/>
      <c r="D864" s="7"/>
      <c r="E864" s="7"/>
      <c r="F864" s="7"/>
      <c r="G864" s="7"/>
      <c r="H864" s="7"/>
      <c r="I864" s="7"/>
      <c r="J864" s="7"/>
      <c r="K864" s="7"/>
      <c r="L864" s="7"/>
      <c r="M864" s="7"/>
      <c r="N864" s="7"/>
      <c r="O864" s="7"/>
      <c r="P864" s="7"/>
      <c r="Q864" s="7"/>
      <c r="R864" s="7"/>
      <c r="S864" s="7"/>
      <c r="T864" s="7"/>
      <c r="U864" s="7"/>
      <c r="Y864" s="7"/>
      <c r="Z864" s="17"/>
      <c r="AC864" s="7"/>
      <c r="AD864" s="7"/>
      <c r="AE864" s="7"/>
      <c r="AF864" s="7"/>
      <c r="AG864" s="7"/>
      <c r="AH864" s="7"/>
      <c r="AJ864" s="7"/>
      <c r="AK864" s="7"/>
      <c r="AL864" s="7"/>
      <c r="AM864" s="7"/>
      <c r="AN864" s="7"/>
      <c r="AO864" s="7"/>
      <c r="AR864" s="7"/>
      <c r="AS864" s="7"/>
      <c r="AT864" s="7"/>
      <c r="AU864" s="7"/>
      <c r="AW864" s="7"/>
      <c r="CE864" s="7"/>
      <c r="FZ864" s="2"/>
    </row>
    <row r="865" spans="1:182">
      <c r="A865" s="7"/>
      <c r="D865" s="7"/>
      <c r="E865" s="7"/>
      <c r="F865" s="7"/>
      <c r="G865" s="7"/>
      <c r="H865" s="7"/>
      <c r="I865" s="7"/>
      <c r="J865" s="7"/>
      <c r="K865" s="7"/>
      <c r="L865" s="7"/>
      <c r="M865" s="7"/>
      <c r="N865" s="7"/>
      <c r="O865" s="7"/>
      <c r="P865" s="7"/>
      <c r="Q865" s="7"/>
      <c r="R865" s="7"/>
      <c r="S865" s="7"/>
      <c r="T865" s="7"/>
      <c r="U865" s="7"/>
      <c r="Y865" s="7"/>
      <c r="Z865" s="17"/>
      <c r="AC865" s="7"/>
      <c r="AD865" s="7"/>
      <c r="AE865" s="7"/>
      <c r="AF865" s="7"/>
      <c r="AG865" s="7"/>
      <c r="AH865" s="7"/>
      <c r="AJ865" s="7"/>
      <c r="AK865" s="7"/>
      <c r="AL865" s="7"/>
      <c r="AM865" s="7"/>
      <c r="AN865" s="7"/>
      <c r="AO865" s="7"/>
      <c r="AR865" s="7"/>
      <c r="AS865" s="7"/>
      <c r="AT865" s="7"/>
      <c r="AU865" s="7"/>
      <c r="AW865" s="7"/>
      <c r="CE865" s="7"/>
      <c r="FZ865" s="2"/>
    </row>
    <row r="866" spans="1:182">
      <c r="A866" s="7"/>
      <c r="D866" s="7"/>
      <c r="E866" s="7"/>
      <c r="F866" s="7"/>
      <c r="G866" s="7"/>
      <c r="H866" s="7"/>
      <c r="I866" s="7"/>
      <c r="J866" s="7"/>
      <c r="K866" s="7"/>
      <c r="L866" s="7"/>
      <c r="M866" s="7"/>
      <c r="N866" s="7"/>
      <c r="O866" s="7"/>
      <c r="P866" s="7"/>
      <c r="Q866" s="7"/>
      <c r="R866" s="7"/>
      <c r="S866" s="7"/>
      <c r="T866" s="7"/>
      <c r="U866" s="7"/>
      <c r="Y866" s="7"/>
      <c r="Z866" s="17"/>
      <c r="AC866" s="7"/>
      <c r="AD866" s="7"/>
      <c r="AE866" s="7"/>
      <c r="AF866" s="7"/>
      <c r="AG866" s="7"/>
      <c r="AH866" s="7"/>
      <c r="AJ866" s="7"/>
      <c r="AK866" s="7"/>
      <c r="AL866" s="7"/>
      <c r="AM866" s="7"/>
      <c r="AN866" s="7"/>
      <c r="AO866" s="7"/>
      <c r="AR866" s="7"/>
      <c r="AS866" s="7"/>
      <c r="AT866" s="7"/>
      <c r="AU866" s="7"/>
      <c r="AW866" s="7"/>
      <c r="CE866" s="7"/>
      <c r="FZ866" s="2"/>
    </row>
    <row r="867" spans="1:182">
      <c r="A867" s="7"/>
      <c r="D867" s="7"/>
      <c r="E867" s="7"/>
      <c r="F867" s="7"/>
      <c r="G867" s="7"/>
      <c r="H867" s="7"/>
      <c r="I867" s="7"/>
      <c r="J867" s="7"/>
      <c r="K867" s="7"/>
      <c r="L867" s="7"/>
      <c r="M867" s="7"/>
      <c r="N867" s="7"/>
      <c r="O867" s="7"/>
      <c r="P867" s="7"/>
      <c r="Q867" s="7"/>
      <c r="R867" s="7"/>
      <c r="S867" s="7"/>
      <c r="T867" s="7"/>
      <c r="U867" s="7"/>
      <c r="Y867" s="7"/>
      <c r="Z867" s="17"/>
      <c r="AC867" s="7"/>
      <c r="AD867" s="7"/>
      <c r="AE867" s="7"/>
      <c r="AF867" s="7"/>
      <c r="AG867" s="7"/>
      <c r="AH867" s="7"/>
      <c r="AJ867" s="7"/>
      <c r="AK867" s="7"/>
      <c r="AL867" s="7"/>
      <c r="AM867" s="7"/>
      <c r="AN867" s="7"/>
      <c r="AO867" s="7"/>
      <c r="AR867" s="7"/>
      <c r="AS867" s="7"/>
      <c r="AT867" s="7"/>
      <c r="AU867" s="7"/>
      <c r="AW867" s="7"/>
      <c r="CE867" s="7"/>
      <c r="FZ867" s="2"/>
    </row>
    <row r="868" spans="1:182">
      <c r="A868" s="7"/>
      <c r="D868" s="7"/>
      <c r="E868" s="7"/>
      <c r="F868" s="7"/>
      <c r="G868" s="7"/>
      <c r="H868" s="7"/>
      <c r="I868" s="7"/>
      <c r="J868" s="7"/>
      <c r="K868" s="7"/>
      <c r="L868" s="7"/>
      <c r="M868" s="7"/>
      <c r="N868" s="7"/>
      <c r="O868" s="7"/>
      <c r="P868" s="7"/>
      <c r="Q868" s="7"/>
      <c r="R868" s="7"/>
      <c r="S868" s="7"/>
      <c r="T868" s="7"/>
      <c r="U868" s="7"/>
      <c r="Y868" s="7"/>
      <c r="Z868" s="17"/>
      <c r="AC868" s="7"/>
      <c r="AD868" s="7"/>
      <c r="AE868" s="7"/>
      <c r="AF868" s="7"/>
      <c r="AG868" s="7"/>
      <c r="AH868" s="7"/>
      <c r="AJ868" s="7"/>
      <c r="AK868" s="7"/>
      <c r="AL868" s="7"/>
      <c r="AM868" s="7"/>
      <c r="AN868" s="7"/>
      <c r="AO868" s="7"/>
      <c r="AR868" s="7"/>
      <c r="AS868" s="7"/>
      <c r="AT868" s="7"/>
      <c r="AU868" s="7"/>
      <c r="AW868" s="7"/>
      <c r="CE868" s="7"/>
      <c r="FZ868" s="2"/>
    </row>
    <row r="869" spans="1:182">
      <c r="A869" s="7"/>
      <c r="D869" s="7"/>
      <c r="E869" s="7"/>
      <c r="F869" s="7"/>
      <c r="G869" s="7"/>
      <c r="H869" s="7"/>
      <c r="I869" s="7"/>
      <c r="J869" s="7"/>
      <c r="K869" s="7"/>
      <c r="L869" s="7"/>
      <c r="M869" s="7"/>
      <c r="N869" s="7"/>
      <c r="O869" s="7"/>
      <c r="P869" s="7"/>
      <c r="Q869" s="7"/>
      <c r="R869" s="7"/>
      <c r="S869" s="7"/>
      <c r="T869" s="7"/>
      <c r="U869" s="7"/>
      <c r="Y869" s="7"/>
      <c r="Z869" s="17"/>
      <c r="AC869" s="7"/>
      <c r="AD869" s="7"/>
      <c r="AE869" s="7"/>
      <c r="AF869" s="7"/>
      <c r="AG869" s="7"/>
      <c r="AH869" s="7"/>
      <c r="AJ869" s="7"/>
      <c r="AK869" s="7"/>
      <c r="AL869" s="7"/>
      <c r="AM869" s="7"/>
      <c r="AN869" s="7"/>
      <c r="AO869" s="7"/>
      <c r="AR869" s="7"/>
      <c r="AS869" s="7"/>
      <c r="AT869" s="7"/>
      <c r="AU869" s="7"/>
      <c r="AW869" s="7"/>
      <c r="CE869" s="7"/>
      <c r="FZ869" s="2"/>
    </row>
    <row r="870" spans="1:182">
      <c r="A870" s="7"/>
      <c r="D870" s="7"/>
      <c r="E870" s="7"/>
      <c r="F870" s="7"/>
      <c r="G870" s="7"/>
      <c r="H870" s="7"/>
      <c r="I870" s="7"/>
      <c r="J870" s="7"/>
      <c r="K870" s="7"/>
      <c r="L870" s="7"/>
      <c r="M870" s="7"/>
      <c r="N870" s="7"/>
      <c r="O870" s="7"/>
      <c r="P870" s="7"/>
      <c r="Q870" s="7"/>
      <c r="R870" s="7"/>
      <c r="S870" s="7"/>
      <c r="T870" s="7"/>
      <c r="U870" s="7"/>
      <c r="Y870" s="7"/>
      <c r="Z870" s="17"/>
      <c r="AC870" s="7"/>
      <c r="AD870" s="7"/>
      <c r="AE870" s="7"/>
      <c r="AF870" s="7"/>
      <c r="AG870" s="7"/>
      <c r="AH870" s="7"/>
      <c r="AJ870" s="7"/>
      <c r="AK870" s="7"/>
      <c r="AL870" s="7"/>
      <c r="AM870" s="7"/>
      <c r="AN870" s="7"/>
      <c r="AO870" s="7"/>
      <c r="AR870" s="7"/>
      <c r="AS870" s="7"/>
      <c r="AT870" s="7"/>
      <c r="AU870" s="7"/>
      <c r="AW870" s="7"/>
      <c r="CE870" s="7"/>
      <c r="FZ870" s="2"/>
    </row>
    <row r="871" spans="1:182">
      <c r="A871" s="7"/>
      <c r="D871" s="7"/>
      <c r="E871" s="7"/>
      <c r="F871" s="7"/>
      <c r="G871" s="7"/>
      <c r="H871" s="7"/>
      <c r="I871" s="7"/>
      <c r="J871" s="7"/>
      <c r="K871" s="7"/>
      <c r="L871" s="7"/>
      <c r="M871" s="7"/>
      <c r="N871" s="7"/>
      <c r="O871" s="7"/>
      <c r="P871" s="7"/>
      <c r="Q871" s="7"/>
      <c r="R871" s="7"/>
      <c r="S871" s="7"/>
      <c r="T871" s="7"/>
      <c r="U871" s="7"/>
      <c r="Y871" s="7"/>
      <c r="Z871" s="17"/>
      <c r="AC871" s="7"/>
      <c r="AD871" s="7"/>
      <c r="AE871" s="7"/>
      <c r="AF871" s="7"/>
      <c r="AG871" s="7"/>
      <c r="AH871" s="7"/>
      <c r="AJ871" s="7"/>
      <c r="AK871" s="7"/>
      <c r="AL871" s="7"/>
      <c r="AM871" s="7"/>
      <c r="AN871" s="7"/>
      <c r="AO871" s="7"/>
      <c r="AR871" s="7"/>
      <c r="AS871" s="7"/>
      <c r="AT871" s="7"/>
      <c r="AU871" s="7"/>
      <c r="AW871" s="7"/>
      <c r="CE871" s="7"/>
      <c r="FZ871" s="2"/>
    </row>
    <row r="872" spans="1:182">
      <c r="A872" s="7"/>
      <c r="D872" s="7"/>
      <c r="E872" s="7"/>
      <c r="F872" s="7"/>
      <c r="G872" s="7"/>
      <c r="H872" s="7"/>
      <c r="I872" s="7"/>
      <c r="J872" s="7"/>
      <c r="K872" s="7"/>
      <c r="L872" s="7"/>
      <c r="M872" s="7"/>
      <c r="N872" s="7"/>
      <c r="O872" s="7"/>
      <c r="P872" s="7"/>
      <c r="Q872" s="7"/>
      <c r="R872" s="7"/>
      <c r="S872" s="7"/>
      <c r="T872" s="7"/>
      <c r="U872" s="7"/>
      <c r="Y872" s="7"/>
      <c r="Z872" s="17"/>
      <c r="AC872" s="7"/>
      <c r="AD872" s="7"/>
      <c r="AE872" s="7"/>
      <c r="AF872" s="7"/>
      <c r="AG872" s="7"/>
      <c r="AH872" s="7"/>
      <c r="AJ872" s="7"/>
      <c r="AK872" s="7"/>
      <c r="AL872" s="7"/>
      <c r="AM872" s="7"/>
      <c r="AN872" s="7"/>
      <c r="AO872" s="7"/>
      <c r="AR872" s="7"/>
      <c r="AS872" s="7"/>
      <c r="AT872" s="7"/>
      <c r="AU872" s="7"/>
      <c r="AW872" s="7"/>
      <c r="CE872" s="7"/>
      <c r="FZ872" s="2"/>
    </row>
    <row r="873" spans="1:182">
      <c r="A873" s="7"/>
      <c r="D873" s="7"/>
      <c r="E873" s="7"/>
      <c r="F873" s="7"/>
      <c r="G873" s="7"/>
      <c r="H873" s="7"/>
      <c r="I873" s="7"/>
      <c r="J873" s="7"/>
      <c r="K873" s="7"/>
      <c r="L873" s="7"/>
      <c r="M873" s="7"/>
      <c r="N873" s="7"/>
      <c r="O873" s="7"/>
      <c r="P873" s="7"/>
      <c r="Q873" s="7"/>
      <c r="R873" s="7"/>
      <c r="S873" s="7"/>
      <c r="T873" s="7"/>
      <c r="U873" s="7"/>
      <c r="Y873" s="7"/>
      <c r="Z873" s="17"/>
      <c r="AC873" s="7"/>
      <c r="AD873" s="7"/>
      <c r="AE873" s="7"/>
      <c r="AF873" s="7"/>
      <c r="AG873" s="7"/>
      <c r="AH873" s="7"/>
      <c r="AJ873" s="7"/>
      <c r="AK873" s="7"/>
      <c r="AL873" s="7"/>
      <c r="AM873" s="7"/>
      <c r="AN873" s="7"/>
      <c r="AO873" s="7"/>
      <c r="AR873" s="7"/>
      <c r="AS873" s="7"/>
      <c r="AT873" s="7"/>
      <c r="AU873" s="7"/>
      <c r="AW873" s="7"/>
      <c r="CE873" s="7"/>
      <c r="FZ873" s="2"/>
    </row>
    <row r="874" spans="1:182">
      <c r="A874" s="7"/>
      <c r="D874" s="7"/>
      <c r="E874" s="7"/>
      <c r="F874" s="7"/>
      <c r="G874" s="7"/>
      <c r="H874" s="7"/>
      <c r="I874" s="7"/>
      <c r="J874" s="7"/>
      <c r="K874" s="7"/>
      <c r="L874" s="7"/>
      <c r="M874" s="7"/>
      <c r="N874" s="7"/>
      <c r="O874" s="7"/>
      <c r="P874" s="7"/>
      <c r="Q874" s="7"/>
      <c r="R874" s="7"/>
      <c r="S874" s="7"/>
      <c r="T874" s="7"/>
      <c r="U874" s="7"/>
      <c r="Y874" s="7"/>
      <c r="Z874" s="17"/>
      <c r="AC874" s="7"/>
      <c r="AD874" s="7"/>
      <c r="AE874" s="7"/>
      <c r="AF874" s="7"/>
      <c r="AG874" s="7"/>
      <c r="AH874" s="7"/>
      <c r="AJ874" s="7"/>
      <c r="AK874" s="7"/>
      <c r="AL874" s="7"/>
      <c r="AM874" s="7"/>
      <c r="AN874" s="7"/>
      <c r="AO874" s="7"/>
      <c r="AR874" s="7"/>
      <c r="AS874" s="7"/>
      <c r="AT874" s="7"/>
      <c r="AU874" s="7"/>
      <c r="AW874" s="7"/>
      <c r="CE874" s="7"/>
      <c r="FZ874" s="2"/>
    </row>
    <row r="875" spans="1:182">
      <c r="A875" s="7"/>
      <c r="D875" s="7"/>
      <c r="E875" s="7"/>
      <c r="F875" s="7"/>
      <c r="G875" s="7"/>
      <c r="H875" s="7"/>
      <c r="I875" s="7"/>
      <c r="J875" s="7"/>
      <c r="K875" s="7"/>
      <c r="L875" s="7"/>
      <c r="M875" s="7"/>
      <c r="N875" s="7"/>
      <c r="O875" s="7"/>
      <c r="P875" s="7"/>
      <c r="Q875" s="7"/>
      <c r="R875" s="7"/>
      <c r="S875" s="7"/>
      <c r="T875" s="7"/>
      <c r="U875" s="7"/>
      <c r="Y875" s="7"/>
      <c r="Z875" s="17"/>
      <c r="AC875" s="7"/>
      <c r="AD875" s="7"/>
      <c r="AE875" s="7"/>
      <c r="AF875" s="7"/>
      <c r="AG875" s="7"/>
      <c r="AH875" s="7"/>
      <c r="AJ875" s="7"/>
      <c r="AK875" s="7"/>
      <c r="AL875" s="7"/>
      <c r="AM875" s="7"/>
      <c r="AN875" s="7"/>
      <c r="AO875" s="7"/>
      <c r="AR875" s="7"/>
      <c r="AS875" s="7"/>
      <c r="AT875" s="7"/>
      <c r="AU875" s="7"/>
      <c r="AW875" s="7"/>
      <c r="CE875" s="7"/>
      <c r="FZ875" s="2"/>
    </row>
    <row r="876" spans="1:182">
      <c r="A876" s="7"/>
      <c r="D876" s="7"/>
      <c r="E876" s="7"/>
      <c r="F876" s="7"/>
      <c r="G876" s="7"/>
      <c r="H876" s="7"/>
      <c r="I876" s="7"/>
      <c r="J876" s="7"/>
      <c r="K876" s="7"/>
      <c r="L876" s="7"/>
      <c r="M876" s="7"/>
      <c r="N876" s="7"/>
      <c r="O876" s="7"/>
      <c r="P876" s="7"/>
      <c r="Q876" s="7"/>
      <c r="R876" s="7"/>
      <c r="S876" s="7"/>
      <c r="T876" s="7"/>
      <c r="U876" s="7"/>
      <c r="Y876" s="7"/>
      <c r="Z876" s="17"/>
      <c r="AC876" s="7"/>
      <c r="AD876" s="7"/>
      <c r="AE876" s="7"/>
      <c r="AF876" s="7"/>
      <c r="AG876" s="7"/>
      <c r="AH876" s="7"/>
      <c r="AJ876" s="7"/>
      <c r="AK876" s="7"/>
      <c r="AL876" s="7"/>
      <c r="AM876" s="7"/>
      <c r="AN876" s="7"/>
      <c r="AO876" s="7"/>
      <c r="AR876" s="7"/>
      <c r="AS876" s="7"/>
      <c r="AT876" s="7"/>
      <c r="AU876" s="7"/>
      <c r="AW876" s="7"/>
      <c r="CE876" s="7"/>
      <c r="FZ876" s="2"/>
    </row>
    <row r="877" spans="1:182">
      <c r="A877" s="7"/>
      <c r="D877" s="7"/>
      <c r="E877" s="7"/>
      <c r="F877" s="7"/>
      <c r="G877" s="7"/>
      <c r="H877" s="7"/>
      <c r="I877" s="7"/>
      <c r="J877" s="7"/>
      <c r="K877" s="7"/>
      <c r="L877" s="7"/>
      <c r="M877" s="7"/>
      <c r="N877" s="7"/>
      <c r="O877" s="7"/>
      <c r="P877" s="7"/>
      <c r="Q877" s="7"/>
      <c r="R877" s="7"/>
      <c r="S877" s="7"/>
      <c r="T877" s="7"/>
      <c r="U877" s="7"/>
      <c r="Y877" s="7"/>
      <c r="Z877" s="17"/>
      <c r="AC877" s="7"/>
      <c r="AD877" s="7"/>
      <c r="AE877" s="7"/>
      <c r="AF877" s="7"/>
      <c r="AG877" s="7"/>
      <c r="AH877" s="7"/>
      <c r="AJ877" s="7"/>
      <c r="AK877" s="7"/>
      <c r="AL877" s="7"/>
      <c r="AM877" s="7"/>
      <c r="AN877" s="7"/>
      <c r="AO877" s="7"/>
      <c r="AR877" s="7"/>
      <c r="AS877" s="7"/>
      <c r="AT877" s="7"/>
      <c r="AU877" s="7"/>
      <c r="AW877" s="7"/>
      <c r="CE877" s="7"/>
      <c r="FZ877" s="2"/>
    </row>
    <row r="878" spans="1:182">
      <c r="A878" s="7"/>
      <c r="D878" s="7"/>
      <c r="E878" s="7"/>
      <c r="F878" s="7"/>
      <c r="G878" s="7"/>
      <c r="H878" s="7"/>
      <c r="I878" s="7"/>
      <c r="J878" s="7"/>
      <c r="K878" s="7"/>
      <c r="L878" s="7"/>
      <c r="M878" s="7"/>
      <c r="N878" s="7"/>
      <c r="O878" s="7"/>
      <c r="P878" s="7"/>
      <c r="Q878" s="7"/>
      <c r="R878" s="7"/>
      <c r="S878" s="7"/>
      <c r="T878" s="7"/>
      <c r="U878" s="7"/>
      <c r="Y878" s="7"/>
      <c r="Z878" s="17"/>
      <c r="AC878" s="7"/>
      <c r="AD878" s="7"/>
      <c r="AE878" s="7"/>
      <c r="AF878" s="7"/>
      <c r="AG878" s="7"/>
      <c r="AH878" s="7"/>
      <c r="AJ878" s="7"/>
      <c r="AK878" s="7"/>
      <c r="AL878" s="7"/>
      <c r="AM878" s="7"/>
      <c r="AN878" s="7"/>
      <c r="AO878" s="7"/>
      <c r="AR878" s="7"/>
      <c r="AS878" s="7"/>
      <c r="AT878" s="7"/>
      <c r="AU878" s="7"/>
      <c r="AW878" s="7"/>
      <c r="CE878" s="7"/>
      <c r="FZ878" s="2"/>
    </row>
    <row r="879" spans="1:182">
      <c r="A879" s="7"/>
      <c r="D879" s="7"/>
      <c r="E879" s="7"/>
      <c r="F879" s="7"/>
      <c r="G879" s="7"/>
      <c r="H879" s="7"/>
      <c r="I879" s="7"/>
      <c r="J879" s="7"/>
      <c r="K879" s="7"/>
      <c r="L879" s="7"/>
      <c r="M879" s="7"/>
      <c r="N879" s="7"/>
      <c r="O879" s="7"/>
      <c r="P879" s="7"/>
      <c r="Q879" s="7"/>
      <c r="R879" s="7"/>
      <c r="S879" s="7"/>
      <c r="T879" s="7"/>
      <c r="U879" s="7"/>
      <c r="Y879" s="7"/>
      <c r="Z879" s="17"/>
      <c r="AC879" s="7"/>
      <c r="AD879" s="7"/>
      <c r="AE879" s="7"/>
      <c r="AF879" s="7"/>
      <c r="AG879" s="7"/>
      <c r="AH879" s="7"/>
      <c r="AJ879" s="7"/>
      <c r="AK879" s="7"/>
      <c r="AL879" s="7"/>
      <c r="AM879" s="7"/>
      <c r="AN879" s="7"/>
      <c r="AO879" s="7"/>
      <c r="AR879" s="7"/>
      <c r="AS879" s="7"/>
      <c r="AT879" s="7"/>
      <c r="AU879" s="7"/>
      <c r="AW879" s="7"/>
      <c r="CE879" s="7"/>
      <c r="FZ879" s="2"/>
    </row>
    <row r="880" spans="1:182">
      <c r="A880" s="7"/>
      <c r="D880" s="7"/>
      <c r="E880" s="7"/>
      <c r="F880" s="7"/>
      <c r="G880" s="7"/>
      <c r="H880" s="7"/>
      <c r="I880" s="7"/>
      <c r="J880" s="7"/>
      <c r="K880" s="7"/>
      <c r="L880" s="7"/>
      <c r="M880" s="7"/>
      <c r="N880" s="7"/>
      <c r="O880" s="7"/>
      <c r="P880" s="7"/>
      <c r="Q880" s="7"/>
      <c r="R880" s="7"/>
      <c r="S880" s="7"/>
      <c r="T880" s="7"/>
      <c r="U880" s="7"/>
      <c r="Y880" s="7"/>
      <c r="Z880" s="17"/>
      <c r="AC880" s="7"/>
      <c r="AD880" s="7"/>
      <c r="AE880" s="7"/>
      <c r="AF880" s="7"/>
      <c r="AG880" s="7"/>
      <c r="AH880" s="7"/>
      <c r="AJ880" s="7"/>
      <c r="AK880" s="7"/>
      <c r="AL880" s="7"/>
      <c r="AM880" s="7"/>
      <c r="AN880" s="7"/>
      <c r="AO880" s="7"/>
      <c r="AR880" s="7"/>
      <c r="AS880" s="7"/>
      <c r="AT880" s="7"/>
      <c r="AU880" s="7"/>
      <c r="AW880" s="7"/>
      <c r="CE880" s="7"/>
      <c r="FZ880" s="2"/>
    </row>
    <row r="881" spans="1:182">
      <c r="A881" s="7"/>
      <c r="D881" s="7"/>
      <c r="E881" s="7"/>
      <c r="F881" s="7"/>
      <c r="G881" s="7"/>
      <c r="H881" s="7"/>
      <c r="I881" s="7"/>
      <c r="J881" s="7"/>
      <c r="K881" s="7"/>
      <c r="L881" s="7"/>
      <c r="M881" s="7"/>
      <c r="N881" s="7"/>
      <c r="O881" s="7"/>
      <c r="P881" s="7"/>
      <c r="Q881" s="7"/>
      <c r="R881" s="7"/>
      <c r="S881" s="7"/>
      <c r="T881" s="7"/>
      <c r="U881" s="7"/>
      <c r="Y881" s="7"/>
      <c r="Z881" s="17"/>
      <c r="AC881" s="7"/>
      <c r="AD881" s="7"/>
      <c r="AE881" s="7"/>
      <c r="AF881" s="7"/>
      <c r="AG881" s="7"/>
      <c r="AH881" s="7"/>
      <c r="AJ881" s="7"/>
      <c r="AK881" s="7"/>
      <c r="AL881" s="7"/>
      <c r="AM881" s="7"/>
      <c r="AN881" s="7"/>
      <c r="AO881" s="7"/>
      <c r="AR881" s="7"/>
      <c r="AS881" s="7"/>
      <c r="AT881" s="7"/>
      <c r="AU881" s="7"/>
      <c r="AW881" s="7"/>
      <c r="CE881" s="7"/>
      <c r="FZ881" s="2"/>
    </row>
    <row r="882" spans="1:182">
      <c r="A882" s="7"/>
      <c r="D882" s="7"/>
      <c r="E882" s="7"/>
      <c r="F882" s="7"/>
      <c r="G882" s="7"/>
      <c r="H882" s="7"/>
      <c r="I882" s="7"/>
      <c r="J882" s="7"/>
      <c r="K882" s="7"/>
      <c r="L882" s="7"/>
      <c r="M882" s="7"/>
      <c r="N882" s="7"/>
      <c r="O882" s="7"/>
      <c r="P882" s="7"/>
      <c r="Q882" s="7"/>
      <c r="R882" s="7"/>
      <c r="S882" s="7"/>
      <c r="T882" s="7"/>
      <c r="U882" s="7"/>
      <c r="Y882" s="7"/>
      <c r="Z882" s="17"/>
      <c r="AC882" s="7"/>
      <c r="AD882" s="7"/>
      <c r="AE882" s="7"/>
      <c r="AF882" s="7"/>
      <c r="AG882" s="7"/>
      <c r="AH882" s="7"/>
      <c r="AJ882" s="7"/>
      <c r="AK882" s="7"/>
      <c r="AL882" s="7"/>
      <c r="AM882" s="7"/>
      <c r="AN882" s="7"/>
      <c r="AO882" s="7"/>
      <c r="AR882" s="7"/>
      <c r="AS882" s="7"/>
      <c r="AT882" s="7"/>
      <c r="AU882" s="7"/>
      <c r="AW882" s="7"/>
      <c r="CE882" s="7"/>
      <c r="FZ882" s="2"/>
    </row>
    <row r="883" spans="1:182">
      <c r="A883" s="7"/>
      <c r="D883" s="7"/>
      <c r="E883" s="7"/>
      <c r="F883" s="7"/>
      <c r="G883" s="7"/>
      <c r="H883" s="7"/>
      <c r="I883" s="7"/>
      <c r="J883" s="7"/>
      <c r="K883" s="7"/>
      <c r="L883" s="7"/>
      <c r="M883" s="7"/>
      <c r="N883" s="7"/>
      <c r="O883" s="7"/>
      <c r="P883" s="7"/>
      <c r="Q883" s="7"/>
      <c r="R883" s="7"/>
      <c r="S883" s="7"/>
      <c r="T883" s="7"/>
      <c r="U883" s="7"/>
      <c r="Y883" s="7"/>
      <c r="Z883" s="17"/>
      <c r="AC883" s="7"/>
      <c r="AD883" s="7"/>
      <c r="AE883" s="7"/>
      <c r="AF883" s="7"/>
      <c r="AG883" s="7"/>
      <c r="AH883" s="7"/>
      <c r="AJ883" s="7"/>
      <c r="AK883" s="7"/>
      <c r="AL883" s="7"/>
      <c r="AM883" s="7"/>
      <c r="AN883" s="7"/>
      <c r="AO883" s="7"/>
      <c r="AR883" s="7"/>
      <c r="AS883" s="7"/>
      <c r="AT883" s="7"/>
      <c r="AU883" s="7"/>
      <c r="AW883" s="7"/>
      <c r="CE883" s="7"/>
      <c r="FZ883" s="2"/>
    </row>
    <row r="884" spans="1:182">
      <c r="A884" s="7"/>
      <c r="D884" s="7"/>
      <c r="E884" s="7"/>
      <c r="F884" s="7"/>
      <c r="G884" s="7"/>
      <c r="H884" s="7"/>
      <c r="I884" s="7"/>
      <c r="J884" s="7"/>
      <c r="K884" s="7"/>
      <c r="L884" s="7"/>
      <c r="M884" s="7"/>
      <c r="N884" s="7"/>
      <c r="O884" s="7"/>
      <c r="P884" s="7"/>
      <c r="Q884" s="7"/>
      <c r="R884" s="7"/>
      <c r="S884" s="7"/>
      <c r="T884" s="7"/>
      <c r="U884" s="7"/>
      <c r="Y884" s="7"/>
      <c r="Z884" s="17"/>
      <c r="AC884" s="7"/>
      <c r="AD884" s="7"/>
      <c r="AE884" s="7"/>
      <c r="AF884" s="7"/>
      <c r="AG884" s="7"/>
      <c r="AH884" s="7"/>
      <c r="AJ884" s="7"/>
      <c r="AK884" s="7"/>
      <c r="AL884" s="7"/>
      <c r="AM884" s="7"/>
      <c r="AN884" s="7"/>
      <c r="AO884" s="7"/>
      <c r="AR884" s="7"/>
      <c r="AS884" s="7"/>
      <c r="AT884" s="7"/>
      <c r="AU884" s="7"/>
      <c r="AW884" s="7"/>
      <c r="CE884" s="7"/>
      <c r="FZ884" s="2"/>
    </row>
    <row r="885" spans="1:182">
      <c r="A885" s="7"/>
      <c r="D885" s="7"/>
      <c r="E885" s="7"/>
      <c r="F885" s="7"/>
      <c r="G885" s="7"/>
      <c r="H885" s="7"/>
      <c r="I885" s="7"/>
      <c r="J885" s="7"/>
      <c r="K885" s="7"/>
      <c r="L885" s="7"/>
      <c r="M885" s="7"/>
      <c r="N885" s="7"/>
      <c r="O885" s="7"/>
      <c r="P885" s="7"/>
      <c r="Q885" s="7"/>
      <c r="R885" s="7"/>
      <c r="S885" s="7"/>
      <c r="T885" s="7"/>
      <c r="U885" s="7"/>
      <c r="Y885" s="7"/>
      <c r="Z885" s="17"/>
      <c r="AC885" s="7"/>
      <c r="AD885" s="7"/>
      <c r="AE885" s="7"/>
      <c r="AF885" s="7"/>
      <c r="AG885" s="7"/>
      <c r="AH885" s="7"/>
      <c r="AJ885" s="7"/>
      <c r="AK885" s="7"/>
      <c r="AL885" s="7"/>
      <c r="AM885" s="7"/>
      <c r="AN885" s="7"/>
      <c r="AO885" s="7"/>
      <c r="AR885" s="7"/>
      <c r="AS885" s="7"/>
      <c r="AT885" s="7"/>
      <c r="AU885" s="7"/>
      <c r="AW885" s="7"/>
      <c r="CE885" s="7"/>
      <c r="FZ885" s="2"/>
    </row>
    <row r="886" spans="1:182">
      <c r="A886" s="7"/>
      <c r="D886" s="7"/>
      <c r="E886" s="7"/>
      <c r="F886" s="7"/>
      <c r="G886" s="7"/>
      <c r="H886" s="7"/>
      <c r="I886" s="7"/>
      <c r="J886" s="7"/>
      <c r="K886" s="7"/>
      <c r="L886" s="7"/>
      <c r="M886" s="7"/>
      <c r="N886" s="7"/>
      <c r="O886" s="7"/>
      <c r="P886" s="7"/>
      <c r="Q886" s="7"/>
      <c r="R886" s="7"/>
      <c r="S886" s="7"/>
      <c r="T886" s="7"/>
      <c r="U886" s="7"/>
      <c r="Y886" s="7"/>
      <c r="Z886" s="17"/>
      <c r="AC886" s="7"/>
      <c r="AD886" s="7"/>
      <c r="AE886" s="7"/>
      <c r="AF886" s="7"/>
      <c r="AG886" s="7"/>
      <c r="AH886" s="7"/>
      <c r="AJ886" s="7"/>
      <c r="AK886" s="7"/>
      <c r="AL886" s="7"/>
      <c r="AM886" s="7"/>
      <c r="AN886" s="7"/>
      <c r="AO886" s="7"/>
      <c r="AR886" s="7"/>
      <c r="AS886" s="7"/>
      <c r="AT886" s="7"/>
      <c r="AU886" s="7"/>
      <c r="AW886" s="7"/>
      <c r="CE886" s="7"/>
      <c r="FZ886" s="2"/>
    </row>
    <row r="887" spans="1:182">
      <c r="A887" s="7"/>
      <c r="D887" s="7"/>
      <c r="E887" s="7"/>
      <c r="F887" s="7"/>
      <c r="G887" s="7"/>
      <c r="H887" s="7"/>
      <c r="I887" s="7"/>
      <c r="J887" s="7"/>
      <c r="K887" s="7"/>
      <c r="L887" s="7"/>
      <c r="M887" s="7"/>
      <c r="N887" s="7"/>
      <c r="O887" s="7"/>
      <c r="P887" s="7"/>
      <c r="Q887" s="7"/>
      <c r="R887" s="7"/>
      <c r="S887" s="7"/>
      <c r="T887" s="7"/>
      <c r="U887" s="7"/>
      <c r="Y887" s="7"/>
      <c r="Z887" s="17"/>
      <c r="AC887" s="7"/>
      <c r="AD887" s="7"/>
      <c r="AE887" s="7"/>
      <c r="AF887" s="7"/>
      <c r="AG887" s="7"/>
      <c r="AH887" s="7"/>
      <c r="AJ887" s="7"/>
      <c r="AK887" s="7"/>
      <c r="AL887" s="7"/>
      <c r="AM887" s="7"/>
      <c r="AN887" s="7"/>
      <c r="AO887" s="7"/>
      <c r="AR887" s="7"/>
      <c r="AS887" s="7"/>
      <c r="AT887" s="7"/>
      <c r="AU887" s="7"/>
      <c r="AW887" s="7"/>
      <c r="CE887" s="7"/>
      <c r="FZ887" s="2"/>
    </row>
    <row r="888" spans="1:182">
      <c r="A888" s="7"/>
      <c r="D888" s="7"/>
      <c r="E888" s="7"/>
      <c r="F888" s="7"/>
      <c r="G888" s="7"/>
      <c r="H888" s="7"/>
      <c r="I888" s="7"/>
      <c r="J888" s="7"/>
      <c r="K888" s="7"/>
      <c r="L888" s="7"/>
      <c r="M888" s="7"/>
      <c r="N888" s="7"/>
      <c r="O888" s="7"/>
      <c r="P888" s="7"/>
      <c r="Q888" s="7"/>
      <c r="R888" s="7"/>
      <c r="S888" s="7"/>
      <c r="T888" s="7"/>
      <c r="U888" s="7"/>
      <c r="Y888" s="7"/>
      <c r="Z888" s="17"/>
      <c r="AC888" s="7"/>
      <c r="AD888" s="7"/>
      <c r="AE888" s="7"/>
      <c r="AF888" s="7"/>
      <c r="AG888" s="7"/>
      <c r="AH888" s="7"/>
      <c r="AJ888" s="7"/>
      <c r="AK888" s="7"/>
      <c r="AL888" s="7"/>
      <c r="AM888" s="7"/>
      <c r="AN888" s="7"/>
      <c r="AO888" s="7"/>
      <c r="AR888" s="7"/>
      <c r="AS888" s="7"/>
      <c r="AT888" s="7"/>
      <c r="AU888" s="7"/>
      <c r="AW888" s="7"/>
      <c r="CE888" s="7"/>
      <c r="FZ888" s="2"/>
    </row>
    <row r="889" spans="1:182">
      <c r="A889" s="7"/>
      <c r="D889" s="7"/>
      <c r="E889" s="7"/>
      <c r="F889" s="7"/>
      <c r="G889" s="7"/>
      <c r="H889" s="7"/>
      <c r="I889" s="7"/>
      <c r="J889" s="7"/>
      <c r="K889" s="7"/>
      <c r="L889" s="7"/>
      <c r="M889" s="7"/>
      <c r="N889" s="7"/>
      <c r="O889" s="7"/>
      <c r="P889" s="7"/>
      <c r="Q889" s="7"/>
      <c r="R889" s="7"/>
      <c r="S889" s="7"/>
      <c r="T889" s="7"/>
      <c r="U889" s="7"/>
      <c r="Y889" s="7"/>
      <c r="Z889" s="17"/>
      <c r="AC889" s="7"/>
      <c r="AD889" s="7"/>
      <c r="AE889" s="7"/>
      <c r="AF889" s="7"/>
      <c r="AG889" s="7"/>
      <c r="AH889" s="7"/>
      <c r="AJ889" s="7"/>
      <c r="AK889" s="7"/>
      <c r="AL889" s="7"/>
      <c r="AM889" s="7"/>
      <c r="AN889" s="7"/>
      <c r="AO889" s="7"/>
      <c r="AR889" s="7"/>
      <c r="AS889" s="7"/>
      <c r="AT889" s="7"/>
      <c r="AU889" s="7"/>
      <c r="AW889" s="7"/>
      <c r="CE889" s="7"/>
      <c r="FZ889" s="2"/>
    </row>
    <row r="890" spans="1:182">
      <c r="A890" s="7"/>
      <c r="D890" s="7"/>
      <c r="E890" s="7"/>
      <c r="F890" s="7"/>
      <c r="G890" s="7"/>
      <c r="H890" s="7"/>
      <c r="I890" s="7"/>
      <c r="J890" s="7"/>
      <c r="K890" s="7"/>
      <c r="L890" s="7"/>
      <c r="M890" s="7"/>
      <c r="N890" s="7"/>
      <c r="O890" s="7"/>
      <c r="P890" s="7"/>
      <c r="Q890" s="7"/>
      <c r="R890" s="7"/>
      <c r="S890" s="7"/>
      <c r="T890" s="7"/>
      <c r="U890" s="7"/>
      <c r="Y890" s="7"/>
      <c r="Z890" s="17"/>
      <c r="AC890" s="7"/>
      <c r="AD890" s="7"/>
      <c r="AE890" s="7"/>
      <c r="AF890" s="7"/>
      <c r="AG890" s="7"/>
      <c r="AH890" s="7"/>
      <c r="AJ890" s="7"/>
      <c r="AK890" s="7"/>
      <c r="AL890" s="7"/>
      <c r="AM890" s="7"/>
      <c r="AN890" s="7"/>
      <c r="AO890" s="7"/>
      <c r="AR890" s="7"/>
      <c r="AS890" s="7"/>
      <c r="AT890" s="7"/>
      <c r="AU890" s="7"/>
      <c r="AW890" s="7"/>
      <c r="CE890" s="7"/>
      <c r="FZ890" s="2"/>
    </row>
    <row r="891" spans="1:182">
      <c r="A891" s="7"/>
      <c r="D891" s="7"/>
      <c r="E891" s="7"/>
      <c r="F891" s="7"/>
      <c r="G891" s="7"/>
      <c r="H891" s="7"/>
      <c r="I891" s="7"/>
      <c r="J891" s="7"/>
      <c r="K891" s="7"/>
      <c r="L891" s="7"/>
      <c r="M891" s="7"/>
      <c r="N891" s="7"/>
      <c r="O891" s="7"/>
      <c r="P891" s="7"/>
      <c r="Q891" s="7"/>
      <c r="R891" s="7"/>
      <c r="S891" s="7"/>
      <c r="T891" s="7"/>
      <c r="U891" s="7"/>
      <c r="Y891" s="7"/>
      <c r="Z891" s="17"/>
      <c r="AC891" s="7"/>
      <c r="AD891" s="7"/>
      <c r="AE891" s="7"/>
      <c r="AF891" s="7"/>
      <c r="AG891" s="7"/>
      <c r="AH891" s="7"/>
      <c r="AJ891" s="7"/>
      <c r="AK891" s="7"/>
      <c r="AL891" s="7"/>
      <c r="AM891" s="7"/>
      <c r="AN891" s="7"/>
      <c r="AO891" s="7"/>
      <c r="AR891" s="7"/>
      <c r="AS891" s="7"/>
      <c r="AT891" s="7"/>
      <c r="AU891" s="7"/>
      <c r="AW891" s="7"/>
      <c r="CE891" s="7"/>
      <c r="FZ891" s="2"/>
    </row>
    <row r="892" spans="1:182">
      <c r="A892" s="7"/>
      <c r="D892" s="7"/>
      <c r="E892" s="7"/>
      <c r="F892" s="7"/>
      <c r="G892" s="7"/>
      <c r="H892" s="7"/>
      <c r="I892" s="7"/>
      <c r="J892" s="7"/>
      <c r="K892" s="7"/>
      <c r="L892" s="7"/>
      <c r="M892" s="7"/>
      <c r="N892" s="7"/>
      <c r="O892" s="7"/>
      <c r="P892" s="7"/>
      <c r="Q892" s="7"/>
      <c r="R892" s="7"/>
      <c r="S892" s="7"/>
      <c r="T892" s="7"/>
      <c r="U892" s="7"/>
      <c r="Y892" s="7"/>
      <c r="Z892" s="17"/>
      <c r="AC892" s="7"/>
      <c r="AD892" s="7"/>
      <c r="AE892" s="7"/>
      <c r="AF892" s="7"/>
      <c r="AG892" s="7"/>
      <c r="AH892" s="7"/>
      <c r="AJ892" s="7"/>
      <c r="AK892" s="7"/>
      <c r="AL892" s="7"/>
      <c r="AM892" s="7"/>
      <c r="AN892" s="7"/>
      <c r="AO892" s="7"/>
      <c r="AR892" s="7"/>
      <c r="AS892" s="7"/>
      <c r="AT892" s="7"/>
      <c r="AU892" s="7"/>
      <c r="AW892" s="7"/>
      <c r="CE892" s="7"/>
      <c r="FZ892" s="2"/>
    </row>
    <row r="893" spans="1:182">
      <c r="A893" s="7"/>
      <c r="D893" s="7"/>
      <c r="E893" s="7"/>
      <c r="F893" s="7"/>
      <c r="G893" s="7"/>
      <c r="H893" s="7"/>
      <c r="I893" s="7"/>
      <c r="J893" s="7"/>
      <c r="K893" s="7"/>
      <c r="L893" s="7"/>
      <c r="M893" s="7"/>
      <c r="N893" s="7"/>
      <c r="O893" s="7"/>
      <c r="P893" s="7"/>
      <c r="Q893" s="7"/>
      <c r="R893" s="7"/>
      <c r="S893" s="7"/>
      <c r="T893" s="7"/>
      <c r="U893" s="7"/>
      <c r="Y893" s="7"/>
      <c r="Z893" s="17"/>
      <c r="AC893" s="7"/>
      <c r="AD893" s="7"/>
      <c r="AE893" s="7"/>
      <c r="AF893" s="7"/>
      <c r="AG893" s="7"/>
      <c r="AH893" s="7"/>
      <c r="AJ893" s="7"/>
      <c r="AK893" s="7"/>
      <c r="AL893" s="7"/>
      <c r="AM893" s="7"/>
      <c r="AN893" s="7"/>
      <c r="AO893" s="7"/>
      <c r="AR893" s="7"/>
      <c r="AS893" s="7"/>
      <c r="AT893" s="7"/>
      <c r="AU893" s="7"/>
      <c r="AW893" s="7"/>
      <c r="CE893" s="7"/>
      <c r="FZ893" s="2"/>
    </row>
    <row r="894" spans="1:182">
      <c r="A894" s="7"/>
      <c r="D894" s="7"/>
      <c r="E894" s="7"/>
      <c r="F894" s="7"/>
      <c r="G894" s="7"/>
      <c r="H894" s="7"/>
      <c r="I894" s="7"/>
      <c r="J894" s="7"/>
      <c r="K894" s="7"/>
      <c r="L894" s="7"/>
      <c r="M894" s="7"/>
      <c r="N894" s="7"/>
      <c r="O894" s="7"/>
      <c r="P894" s="7"/>
      <c r="Q894" s="7"/>
      <c r="R894" s="7"/>
      <c r="S894" s="7"/>
      <c r="T894" s="7"/>
      <c r="U894" s="7"/>
      <c r="Y894" s="7"/>
      <c r="Z894" s="17"/>
      <c r="AC894" s="7"/>
      <c r="AD894" s="7"/>
      <c r="AE894" s="7"/>
      <c r="AF894" s="7"/>
      <c r="AG894" s="7"/>
      <c r="AH894" s="7"/>
      <c r="AJ894" s="7"/>
      <c r="AK894" s="7"/>
      <c r="AL894" s="7"/>
      <c r="AM894" s="7"/>
      <c r="AN894" s="7"/>
      <c r="AO894" s="7"/>
      <c r="AR894" s="7"/>
      <c r="AS894" s="7"/>
      <c r="AT894" s="7"/>
      <c r="AU894" s="7"/>
      <c r="AW894" s="7"/>
      <c r="CE894" s="7"/>
      <c r="FZ894" s="2"/>
    </row>
    <row r="895" spans="1:182">
      <c r="A895" s="7"/>
      <c r="D895" s="7"/>
      <c r="E895" s="7"/>
      <c r="F895" s="7"/>
      <c r="G895" s="7"/>
      <c r="H895" s="7"/>
      <c r="I895" s="7"/>
      <c r="J895" s="7"/>
      <c r="K895" s="7"/>
      <c r="L895" s="7"/>
      <c r="M895" s="7"/>
      <c r="N895" s="7"/>
      <c r="O895" s="7"/>
      <c r="P895" s="7"/>
      <c r="Q895" s="7"/>
      <c r="R895" s="7"/>
      <c r="S895" s="7"/>
      <c r="T895" s="7"/>
      <c r="U895" s="7"/>
      <c r="Y895" s="7"/>
      <c r="Z895" s="17"/>
      <c r="AC895" s="7"/>
      <c r="AD895" s="7"/>
      <c r="AE895" s="7"/>
      <c r="AF895" s="7"/>
      <c r="AG895" s="7"/>
      <c r="AH895" s="7"/>
      <c r="AJ895" s="7"/>
      <c r="AK895" s="7"/>
      <c r="AL895" s="7"/>
      <c r="AM895" s="7"/>
      <c r="AN895" s="7"/>
      <c r="AO895" s="7"/>
      <c r="AR895" s="7"/>
      <c r="AS895" s="7"/>
      <c r="AT895" s="7"/>
      <c r="AU895" s="7"/>
      <c r="AW895" s="7"/>
      <c r="CE895" s="7"/>
      <c r="FZ895" s="2"/>
    </row>
    <row r="896" spans="1:182">
      <c r="A896" s="7"/>
      <c r="D896" s="7"/>
      <c r="E896" s="7"/>
      <c r="F896" s="7"/>
      <c r="G896" s="7"/>
      <c r="H896" s="7"/>
      <c r="I896" s="7"/>
      <c r="J896" s="7"/>
      <c r="K896" s="7"/>
      <c r="L896" s="7"/>
      <c r="M896" s="7"/>
      <c r="N896" s="7"/>
      <c r="O896" s="7"/>
      <c r="P896" s="7"/>
      <c r="Q896" s="7"/>
      <c r="R896" s="7"/>
      <c r="S896" s="7"/>
      <c r="T896" s="7"/>
      <c r="U896" s="7"/>
      <c r="Y896" s="7"/>
      <c r="Z896" s="17"/>
      <c r="AC896" s="7"/>
      <c r="AD896" s="7"/>
      <c r="AE896" s="7"/>
      <c r="AF896" s="7"/>
      <c r="AG896" s="7"/>
      <c r="AH896" s="7"/>
      <c r="AJ896" s="7"/>
      <c r="AK896" s="7"/>
      <c r="AL896" s="7"/>
      <c r="AM896" s="7"/>
      <c r="AN896" s="7"/>
      <c r="AO896" s="7"/>
      <c r="AR896" s="7"/>
      <c r="AS896" s="7"/>
      <c r="AT896" s="7"/>
      <c r="AU896" s="7"/>
      <c r="AW896" s="7"/>
      <c r="CE896" s="7"/>
      <c r="FZ896" s="2"/>
    </row>
    <row r="897" spans="1:182">
      <c r="A897" s="7"/>
      <c r="D897" s="7"/>
      <c r="E897" s="7"/>
      <c r="F897" s="7"/>
      <c r="G897" s="7"/>
      <c r="H897" s="7"/>
      <c r="I897" s="7"/>
      <c r="J897" s="7"/>
      <c r="K897" s="7"/>
      <c r="L897" s="7"/>
      <c r="M897" s="7"/>
      <c r="N897" s="7"/>
      <c r="O897" s="7"/>
      <c r="P897" s="7"/>
      <c r="Q897" s="7"/>
      <c r="R897" s="7"/>
      <c r="S897" s="7"/>
      <c r="T897" s="7"/>
      <c r="U897" s="7"/>
      <c r="Y897" s="7"/>
      <c r="Z897" s="17"/>
      <c r="AC897" s="7"/>
      <c r="AD897" s="7"/>
      <c r="AE897" s="7"/>
      <c r="AF897" s="7"/>
      <c r="AG897" s="7"/>
      <c r="AH897" s="7"/>
      <c r="AJ897" s="7"/>
      <c r="AK897" s="7"/>
      <c r="AL897" s="7"/>
      <c r="AM897" s="7"/>
      <c r="AN897" s="7"/>
      <c r="AO897" s="7"/>
      <c r="AR897" s="7"/>
      <c r="AS897" s="7"/>
      <c r="AT897" s="7"/>
      <c r="AU897" s="7"/>
      <c r="AW897" s="7"/>
      <c r="CE897" s="7"/>
      <c r="FZ897" s="2"/>
    </row>
    <row r="898" spans="1:182">
      <c r="A898" s="7"/>
      <c r="D898" s="7"/>
      <c r="E898" s="7"/>
      <c r="F898" s="7"/>
      <c r="G898" s="7"/>
      <c r="H898" s="7"/>
      <c r="I898" s="7"/>
      <c r="J898" s="7"/>
      <c r="K898" s="7"/>
      <c r="L898" s="7"/>
      <c r="M898" s="7"/>
      <c r="N898" s="7"/>
      <c r="O898" s="7"/>
      <c r="P898" s="7"/>
      <c r="Q898" s="7"/>
      <c r="R898" s="7"/>
      <c r="S898" s="7"/>
      <c r="T898" s="7"/>
      <c r="U898" s="7"/>
      <c r="Y898" s="7"/>
      <c r="Z898" s="17"/>
      <c r="AC898" s="7"/>
      <c r="AD898" s="7"/>
      <c r="AE898" s="7"/>
      <c r="AF898" s="7"/>
      <c r="AG898" s="7"/>
      <c r="AH898" s="7"/>
      <c r="AJ898" s="7"/>
      <c r="AK898" s="7"/>
      <c r="AL898" s="7"/>
      <c r="AM898" s="7"/>
      <c r="AN898" s="7"/>
      <c r="AO898" s="7"/>
      <c r="AR898" s="7"/>
      <c r="AS898" s="7"/>
      <c r="AT898" s="7"/>
      <c r="AU898" s="7"/>
      <c r="AW898" s="7"/>
      <c r="CE898" s="7"/>
      <c r="FZ898" s="2"/>
    </row>
    <row r="899" spans="1:182">
      <c r="A899" s="7"/>
      <c r="D899" s="7"/>
      <c r="E899" s="7"/>
      <c r="F899" s="7"/>
      <c r="G899" s="7"/>
      <c r="H899" s="7"/>
      <c r="I899" s="7"/>
      <c r="J899" s="7"/>
      <c r="K899" s="7"/>
      <c r="L899" s="7"/>
      <c r="M899" s="7"/>
      <c r="N899" s="7"/>
      <c r="O899" s="7"/>
      <c r="P899" s="7"/>
      <c r="Q899" s="7"/>
      <c r="R899" s="7"/>
      <c r="S899" s="7"/>
      <c r="T899" s="7"/>
      <c r="U899" s="7"/>
      <c r="Y899" s="7"/>
      <c r="Z899" s="17"/>
      <c r="AC899" s="7"/>
      <c r="AD899" s="7"/>
      <c r="AE899" s="7"/>
      <c r="AF899" s="7"/>
      <c r="AG899" s="7"/>
      <c r="AH899" s="7"/>
      <c r="AJ899" s="7"/>
      <c r="AK899" s="7"/>
      <c r="AL899" s="7"/>
      <c r="AM899" s="7"/>
      <c r="AN899" s="7"/>
      <c r="AO899" s="7"/>
      <c r="AR899" s="7"/>
      <c r="AS899" s="7"/>
      <c r="AT899" s="7"/>
      <c r="AU899" s="7"/>
      <c r="AW899" s="7"/>
      <c r="CE899" s="7"/>
      <c r="FZ899" s="2"/>
    </row>
    <row r="900" spans="1:182">
      <c r="A900" s="7"/>
      <c r="D900" s="7"/>
      <c r="E900" s="7"/>
      <c r="F900" s="7"/>
      <c r="G900" s="7"/>
      <c r="H900" s="7"/>
      <c r="I900" s="7"/>
      <c r="J900" s="7"/>
      <c r="K900" s="7"/>
      <c r="L900" s="7"/>
      <c r="M900" s="7"/>
      <c r="N900" s="7"/>
      <c r="O900" s="7"/>
      <c r="P900" s="7"/>
      <c r="Q900" s="7"/>
      <c r="R900" s="7"/>
      <c r="S900" s="7"/>
      <c r="T900" s="7"/>
      <c r="U900" s="7"/>
      <c r="Y900" s="7"/>
      <c r="Z900" s="17"/>
      <c r="AC900" s="7"/>
      <c r="AD900" s="7"/>
      <c r="AE900" s="7"/>
      <c r="AF900" s="7"/>
      <c r="AG900" s="7"/>
      <c r="AH900" s="7"/>
      <c r="AJ900" s="7"/>
      <c r="AK900" s="7"/>
      <c r="AL900" s="7"/>
      <c r="AM900" s="7"/>
      <c r="AN900" s="7"/>
      <c r="AO900" s="7"/>
      <c r="AR900" s="7"/>
      <c r="AS900" s="7"/>
      <c r="AT900" s="7"/>
      <c r="AU900" s="7"/>
      <c r="AW900" s="7"/>
      <c r="CE900" s="7"/>
      <c r="FZ900" s="2"/>
    </row>
    <row r="901" spans="1:182">
      <c r="A901" s="7"/>
      <c r="D901" s="7"/>
      <c r="E901" s="7"/>
      <c r="F901" s="7"/>
      <c r="G901" s="7"/>
      <c r="H901" s="7"/>
      <c r="I901" s="7"/>
      <c r="J901" s="7"/>
      <c r="K901" s="7"/>
      <c r="L901" s="7"/>
      <c r="M901" s="7"/>
      <c r="N901" s="7"/>
      <c r="O901" s="7"/>
      <c r="P901" s="7"/>
      <c r="Q901" s="7"/>
      <c r="R901" s="7"/>
      <c r="S901" s="7"/>
      <c r="T901" s="7"/>
      <c r="U901" s="7"/>
      <c r="Y901" s="7"/>
      <c r="Z901" s="17"/>
      <c r="AC901" s="7"/>
      <c r="AD901" s="7"/>
      <c r="AE901" s="7"/>
      <c r="AF901" s="7"/>
      <c r="AG901" s="7"/>
      <c r="AH901" s="7"/>
      <c r="AJ901" s="7"/>
      <c r="AK901" s="7"/>
      <c r="AL901" s="7"/>
      <c r="AM901" s="7"/>
      <c r="AN901" s="7"/>
      <c r="AO901" s="7"/>
      <c r="AR901" s="7"/>
      <c r="AS901" s="7"/>
      <c r="AT901" s="7"/>
      <c r="AU901" s="7"/>
      <c r="AW901" s="7"/>
      <c r="CE901" s="7"/>
      <c r="FZ901" s="2"/>
    </row>
    <row r="902" spans="1:182">
      <c r="A902" s="7"/>
      <c r="D902" s="7"/>
      <c r="E902" s="7"/>
      <c r="F902" s="7"/>
      <c r="G902" s="7"/>
      <c r="H902" s="7"/>
      <c r="I902" s="7"/>
      <c r="J902" s="7"/>
      <c r="K902" s="7"/>
      <c r="L902" s="7"/>
      <c r="M902" s="7"/>
      <c r="N902" s="7"/>
      <c r="O902" s="7"/>
      <c r="P902" s="7"/>
      <c r="Q902" s="7"/>
      <c r="R902" s="7"/>
      <c r="S902" s="7"/>
      <c r="T902" s="7"/>
      <c r="U902" s="7"/>
      <c r="Y902" s="7"/>
      <c r="Z902" s="17"/>
      <c r="AC902" s="7"/>
      <c r="AD902" s="7"/>
      <c r="AE902" s="7"/>
      <c r="AF902" s="7"/>
      <c r="AG902" s="7"/>
      <c r="AH902" s="7"/>
      <c r="AJ902" s="7"/>
      <c r="AK902" s="7"/>
      <c r="AL902" s="7"/>
      <c r="AM902" s="7"/>
      <c r="AN902" s="7"/>
      <c r="AO902" s="7"/>
      <c r="AR902" s="7"/>
      <c r="AS902" s="7"/>
      <c r="AT902" s="7"/>
      <c r="AU902" s="7"/>
      <c r="AW902" s="7"/>
      <c r="CE902" s="7"/>
      <c r="FZ902" s="2"/>
    </row>
    <row r="903" spans="1:182">
      <c r="A903" s="7"/>
      <c r="D903" s="7"/>
      <c r="E903" s="7"/>
      <c r="F903" s="7"/>
      <c r="G903" s="7"/>
      <c r="H903" s="7"/>
      <c r="I903" s="7"/>
      <c r="J903" s="7"/>
      <c r="K903" s="7"/>
      <c r="L903" s="7"/>
      <c r="M903" s="7"/>
      <c r="N903" s="7"/>
      <c r="O903" s="7"/>
      <c r="P903" s="7"/>
      <c r="Q903" s="7"/>
      <c r="R903" s="7"/>
      <c r="S903" s="7"/>
      <c r="T903" s="7"/>
      <c r="U903" s="7"/>
      <c r="Y903" s="7"/>
      <c r="Z903" s="17"/>
      <c r="AC903" s="7"/>
      <c r="AD903" s="7"/>
      <c r="AE903" s="7"/>
      <c r="AF903" s="7"/>
      <c r="AG903" s="7"/>
      <c r="AH903" s="7"/>
      <c r="AJ903" s="7"/>
      <c r="AK903" s="7"/>
      <c r="AL903" s="7"/>
      <c r="AM903" s="7"/>
      <c r="AN903" s="7"/>
      <c r="AO903" s="7"/>
      <c r="AR903" s="7"/>
      <c r="AS903" s="7"/>
      <c r="AT903" s="7"/>
      <c r="AU903" s="7"/>
      <c r="AW903" s="7"/>
      <c r="CE903" s="7"/>
      <c r="FZ903" s="2"/>
    </row>
    <row r="904" spans="1:182">
      <c r="A904" s="7"/>
      <c r="D904" s="7"/>
      <c r="E904" s="7"/>
      <c r="F904" s="7"/>
      <c r="G904" s="7"/>
      <c r="H904" s="7"/>
      <c r="I904" s="7"/>
      <c r="J904" s="7"/>
      <c r="K904" s="7"/>
      <c r="L904" s="7"/>
      <c r="M904" s="7"/>
      <c r="N904" s="7"/>
      <c r="O904" s="7"/>
      <c r="P904" s="7"/>
      <c r="Q904" s="7"/>
      <c r="R904" s="7"/>
      <c r="S904" s="7"/>
      <c r="T904" s="7"/>
      <c r="U904" s="7"/>
      <c r="Y904" s="7"/>
      <c r="Z904" s="17"/>
      <c r="AC904" s="7"/>
      <c r="AD904" s="7"/>
      <c r="AE904" s="7"/>
      <c r="AF904" s="7"/>
      <c r="AG904" s="7"/>
      <c r="AH904" s="7"/>
      <c r="AJ904" s="7"/>
      <c r="AK904" s="7"/>
      <c r="AL904" s="7"/>
      <c r="AM904" s="7"/>
      <c r="AN904" s="7"/>
      <c r="AO904" s="7"/>
      <c r="AR904" s="7"/>
      <c r="AS904" s="7"/>
      <c r="AT904" s="7"/>
      <c r="AU904" s="7"/>
      <c r="AW904" s="7"/>
      <c r="CE904" s="7"/>
      <c r="FZ904" s="2"/>
    </row>
    <row r="905" spans="1:182">
      <c r="A905" s="7"/>
      <c r="D905" s="7"/>
      <c r="E905" s="7"/>
      <c r="F905" s="7"/>
      <c r="G905" s="7"/>
      <c r="H905" s="7"/>
      <c r="I905" s="7"/>
      <c r="J905" s="7"/>
      <c r="K905" s="7"/>
      <c r="L905" s="7"/>
      <c r="M905" s="7"/>
      <c r="N905" s="7"/>
      <c r="O905" s="7"/>
      <c r="P905" s="7"/>
      <c r="Q905" s="7"/>
      <c r="R905" s="7"/>
      <c r="S905" s="7"/>
      <c r="T905" s="7"/>
      <c r="U905" s="7"/>
      <c r="Y905" s="7"/>
      <c r="Z905" s="17"/>
      <c r="AC905" s="7"/>
      <c r="AD905" s="7"/>
      <c r="AE905" s="7"/>
      <c r="AF905" s="7"/>
      <c r="AG905" s="7"/>
      <c r="AH905" s="7"/>
      <c r="AJ905" s="7"/>
      <c r="AK905" s="7"/>
      <c r="AL905" s="7"/>
      <c r="AM905" s="7"/>
      <c r="AN905" s="7"/>
      <c r="AO905" s="7"/>
      <c r="AR905" s="7"/>
      <c r="AS905" s="7"/>
      <c r="AT905" s="7"/>
      <c r="AU905" s="7"/>
      <c r="AW905" s="7"/>
      <c r="CE905" s="7"/>
      <c r="FZ905" s="2"/>
    </row>
    <row r="906" spans="1:182">
      <c r="A906" s="7"/>
      <c r="D906" s="7"/>
      <c r="E906" s="7"/>
      <c r="F906" s="7"/>
      <c r="G906" s="7"/>
      <c r="H906" s="7"/>
      <c r="I906" s="7"/>
      <c r="J906" s="7"/>
      <c r="K906" s="7"/>
      <c r="L906" s="7"/>
      <c r="M906" s="7"/>
      <c r="N906" s="7"/>
      <c r="O906" s="7"/>
      <c r="P906" s="7"/>
      <c r="Q906" s="7"/>
      <c r="R906" s="7"/>
      <c r="S906" s="7"/>
      <c r="T906" s="7"/>
      <c r="U906" s="7"/>
      <c r="Y906" s="7"/>
      <c r="Z906" s="17"/>
      <c r="AC906" s="7"/>
      <c r="AD906" s="7"/>
      <c r="AE906" s="7"/>
      <c r="AF906" s="7"/>
      <c r="AG906" s="7"/>
      <c r="AH906" s="7"/>
      <c r="AJ906" s="7"/>
      <c r="AK906" s="7"/>
      <c r="AL906" s="7"/>
      <c r="AM906" s="7"/>
      <c r="AN906" s="7"/>
      <c r="AO906" s="7"/>
      <c r="AR906" s="7"/>
      <c r="AS906" s="7"/>
      <c r="AT906" s="7"/>
      <c r="AU906" s="7"/>
      <c r="AW906" s="7"/>
      <c r="CE906" s="7"/>
      <c r="FZ906" s="2"/>
    </row>
    <row r="907" spans="1:182">
      <c r="A907" s="7"/>
      <c r="D907" s="7"/>
      <c r="E907" s="7"/>
      <c r="F907" s="7"/>
      <c r="G907" s="7"/>
      <c r="H907" s="7"/>
      <c r="I907" s="7"/>
      <c r="J907" s="7"/>
      <c r="K907" s="7"/>
      <c r="L907" s="7"/>
      <c r="M907" s="7"/>
      <c r="N907" s="7"/>
      <c r="O907" s="7"/>
      <c r="P907" s="7"/>
      <c r="Q907" s="7"/>
      <c r="R907" s="7"/>
      <c r="S907" s="7"/>
      <c r="T907" s="7"/>
      <c r="U907" s="7"/>
      <c r="Y907" s="7"/>
      <c r="Z907" s="17"/>
      <c r="AC907" s="7"/>
      <c r="AD907" s="7"/>
      <c r="AE907" s="7"/>
      <c r="AF907" s="7"/>
      <c r="AG907" s="7"/>
      <c r="AH907" s="7"/>
      <c r="AJ907" s="7"/>
      <c r="AK907" s="7"/>
      <c r="AL907" s="7"/>
      <c r="AM907" s="7"/>
      <c r="AN907" s="7"/>
      <c r="AO907" s="7"/>
      <c r="AR907" s="7"/>
      <c r="AS907" s="7"/>
      <c r="AT907" s="7"/>
      <c r="AU907" s="7"/>
      <c r="AW907" s="7"/>
      <c r="CE907" s="7"/>
      <c r="FZ907" s="2"/>
    </row>
    <row r="908" spans="1:182">
      <c r="A908" s="7"/>
      <c r="D908" s="7"/>
      <c r="E908" s="7"/>
      <c r="F908" s="7"/>
      <c r="G908" s="7"/>
      <c r="H908" s="7"/>
      <c r="I908" s="7"/>
      <c r="J908" s="7"/>
      <c r="K908" s="7"/>
      <c r="L908" s="7"/>
      <c r="M908" s="7"/>
      <c r="N908" s="7"/>
      <c r="O908" s="7"/>
      <c r="P908" s="7"/>
      <c r="Q908" s="7"/>
      <c r="R908" s="7"/>
      <c r="S908" s="7"/>
      <c r="T908" s="7"/>
      <c r="U908" s="7"/>
      <c r="Y908" s="7"/>
      <c r="Z908" s="17"/>
      <c r="AC908" s="7"/>
      <c r="AD908" s="7"/>
      <c r="AE908" s="7"/>
      <c r="AF908" s="7"/>
      <c r="AG908" s="7"/>
      <c r="AH908" s="7"/>
      <c r="AJ908" s="7"/>
      <c r="AK908" s="7"/>
      <c r="AL908" s="7"/>
      <c r="AM908" s="7"/>
      <c r="AN908" s="7"/>
      <c r="AO908" s="7"/>
      <c r="AR908" s="7"/>
      <c r="AS908" s="7"/>
      <c r="AT908" s="7"/>
      <c r="AU908" s="7"/>
      <c r="AW908" s="7"/>
      <c r="CE908" s="7"/>
      <c r="FZ908" s="2"/>
    </row>
    <row r="909" spans="1:182">
      <c r="A909" s="7"/>
      <c r="D909" s="7"/>
      <c r="E909" s="7"/>
      <c r="F909" s="7"/>
      <c r="G909" s="7"/>
      <c r="H909" s="7"/>
      <c r="I909" s="7"/>
      <c r="J909" s="7"/>
      <c r="K909" s="7"/>
      <c r="L909" s="7"/>
      <c r="M909" s="7"/>
      <c r="N909" s="7"/>
      <c r="O909" s="7"/>
      <c r="P909" s="7"/>
      <c r="Q909" s="7"/>
      <c r="R909" s="7"/>
      <c r="S909" s="7"/>
      <c r="T909" s="7"/>
      <c r="U909" s="7"/>
      <c r="Y909" s="7"/>
      <c r="Z909" s="17"/>
      <c r="AC909" s="7"/>
      <c r="AD909" s="7"/>
      <c r="AE909" s="7"/>
      <c r="AF909" s="7"/>
      <c r="AG909" s="7"/>
      <c r="AH909" s="7"/>
      <c r="AJ909" s="7"/>
      <c r="AK909" s="7"/>
      <c r="AL909" s="7"/>
      <c r="AM909" s="7"/>
      <c r="AN909" s="7"/>
      <c r="AO909" s="7"/>
      <c r="AR909" s="7"/>
      <c r="AS909" s="7"/>
      <c r="AT909" s="7"/>
      <c r="AU909" s="7"/>
      <c r="AW909" s="7"/>
      <c r="CE909" s="7"/>
      <c r="FZ909" s="2"/>
    </row>
    <row r="910" spans="1:182">
      <c r="A910" s="7"/>
      <c r="D910" s="7"/>
      <c r="E910" s="7"/>
      <c r="F910" s="7"/>
      <c r="G910" s="7"/>
      <c r="H910" s="7"/>
      <c r="I910" s="7"/>
      <c r="J910" s="7"/>
      <c r="K910" s="7"/>
      <c r="L910" s="7"/>
      <c r="M910" s="7"/>
      <c r="N910" s="7"/>
      <c r="O910" s="7"/>
      <c r="P910" s="7"/>
      <c r="Q910" s="7"/>
      <c r="R910" s="7"/>
      <c r="S910" s="7"/>
      <c r="T910" s="7"/>
      <c r="U910" s="7"/>
      <c r="Y910" s="7"/>
      <c r="Z910" s="17"/>
      <c r="AC910" s="7"/>
      <c r="AD910" s="7"/>
      <c r="AE910" s="7"/>
      <c r="AF910" s="7"/>
      <c r="AG910" s="7"/>
      <c r="AH910" s="7"/>
      <c r="AJ910" s="7"/>
      <c r="AK910" s="7"/>
      <c r="AL910" s="7"/>
      <c r="AM910" s="7"/>
      <c r="AN910" s="7"/>
      <c r="AO910" s="7"/>
      <c r="AR910" s="7"/>
      <c r="AS910" s="7"/>
      <c r="AT910" s="7"/>
      <c r="AU910" s="7"/>
      <c r="AW910" s="7"/>
      <c r="CE910" s="7"/>
      <c r="FZ910" s="2"/>
    </row>
    <row r="911" spans="1:182">
      <c r="A911" s="7"/>
      <c r="D911" s="7"/>
      <c r="E911" s="7"/>
      <c r="F911" s="7"/>
      <c r="G911" s="7"/>
      <c r="H911" s="7"/>
      <c r="I911" s="7"/>
      <c r="J911" s="7"/>
      <c r="K911" s="7"/>
      <c r="L911" s="7"/>
      <c r="M911" s="7"/>
      <c r="N911" s="7"/>
      <c r="O911" s="7"/>
      <c r="P911" s="7"/>
      <c r="Q911" s="7"/>
      <c r="R911" s="7"/>
      <c r="S911" s="7"/>
      <c r="T911" s="7"/>
      <c r="U911" s="7"/>
      <c r="Y911" s="7"/>
      <c r="Z911" s="17"/>
      <c r="AC911" s="7"/>
      <c r="AD911" s="7"/>
      <c r="AE911" s="7"/>
      <c r="AF911" s="7"/>
      <c r="AG911" s="7"/>
      <c r="AH911" s="7"/>
      <c r="AJ911" s="7"/>
      <c r="AK911" s="7"/>
      <c r="AL911" s="7"/>
      <c r="AM911" s="7"/>
      <c r="AN911" s="7"/>
      <c r="AO911" s="7"/>
      <c r="AR911" s="7"/>
      <c r="AS911" s="7"/>
      <c r="AT911" s="7"/>
      <c r="AU911" s="7"/>
      <c r="AW911" s="7"/>
      <c r="CE911" s="7"/>
      <c r="FZ911" s="2"/>
    </row>
    <row r="912" spans="1:182">
      <c r="A912" s="7"/>
      <c r="D912" s="7"/>
      <c r="E912" s="7"/>
      <c r="F912" s="7"/>
      <c r="G912" s="7"/>
      <c r="H912" s="7"/>
      <c r="I912" s="7"/>
      <c r="J912" s="7"/>
      <c r="K912" s="7"/>
      <c r="L912" s="7"/>
      <c r="M912" s="7"/>
      <c r="N912" s="7"/>
      <c r="O912" s="7"/>
      <c r="P912" s="7"/>
      <c r="Q912" s="7"/>
      <c r="R912" s="7"/>
      <c r="S912" s="7"/>
      <c r="T912" s="7"/>
      <c r="U912" s="7"/>
      <c r="Y912" s="7"/>
      <c r="Z912" s="17"/>
      <c r="AC912" s="7"/>
      <c r="AD912" s="7"/>
      <c r="AE912" s="7"/>
      <c r="AF912" s="7"/>
      <c r="AG912" s="7"/>
      <c r="AH912" s="7"/>
      <c r="AJ912" s="7"/>
      <c r="AK912" s="7"/>
      <c r="AL912" s="7"/>
      <c r="AM912" s="7"/>
      <c r="AN912" s="7"/>
      <c r="AO912" s="7"/>
      <c r="AR912" s="7"/>
      <c r="AS912" s="7"/>
      <c r="AT912" s="7"/>
      <c r="AU912" s="7"/>
      <c r="AW912" s="7"/>
      <c r="CE912" s="7"/>
      <c r="FZ912" s="2"/>
    </row>
    <row r="913" spans="1:182">
      <c r="A913" s="7"/>
      <c r="D913" s="7"/>
      <c r="E913" s="7"/>
      <c r="F913" s="7"/>
      <c r="G913" s="7"/>
      <c r="H913" s="7"/>
      <c r="I913" s="7"/>
      <c r="J913" s="7"/>
      <c r="K913" s="7"/>
      <c r="L913" s="7"/>
      <c r="M913" s="7"/>
      <c r="N913" s="7"/>
      <c r="O913" s="7"/>
      <c r="P913" s="7"/>
      <c r="Q913" s="7"/>
      <c r="R913" s="7"/>
      <c r="S913" s="7"/>
      <c r="T913" s="7"/>
      <c r="U913" s="7"/>
      <c r="Y913" s="7"/>
      <c r="Z913" s="17"/>
      <c r="AC913" s="7"/>
      <c r="AD913" s="7"/>
      <c r="AE913" s="7"/>
      <c r="AF913" s="7"/>
      <c r="AG913" s="7"/>
      <c r="AH913" s="7"/>
      <c r="AJ913" s="7"/>
      <c r="AK913" s="7"/>
      <c r="AL913" s="7"/>
      <c r="AM913" s="7"/>
      <c r="AN913" s="7"/>
      <c r="AO913" s="7"/>
      <c r="AR913" s="7"/>
      <c r="AS913" s="7"/>
      <c r="AT913" s="7"/>
      <c r="AU913" s="7"/>
      <c r="AW913" s="7"/>
      <c r="CE913" s="7"/>
      <c r="FZ913" s="2"/>
    </row>
    <row r="914" spans="1:182">
      <c r="A914" s="7"/>
      <c r="D914" s="7"/>
      <c r="E914" s="7"/>
      <c r="F914" s="7"/>
      <c r="G914" s="7"/>
      <c r="H914" s="7"/>
      <c r="I914" s="7"/>
      <c r="J914" s="7"/>
      <c r="K914" s="7"/>
      <c r="L914" s="7"/>
      <c r="M914" s="7"/>
      <c r="N914" s="7"/>
      <c r="O914" s="7"/>
      <c r="P914" s="7"/>
      <c r="Q914" s="7"/>
      <c r="R914" s="7"/>
      <c r="S914" s="7"/>
      <c r="T914" s="7"/>
      <c r="U914" s="7"/>
      <c r="Y914" s="7"/>
      <c r="Z914" s="17"/>
      <c r="AC914" s="7"/>
      <c r="AD914" s="7"/>
      <c r="AE914" s="7"/>
      <c r="AF914" s="7"/>
      <c r="AG914" s="7"/>
      <c r="AH914" s="7"/>
      <c r="AJ914" s="7"/>
      <c r="AK914" s="7"/>
      <c r="AL914" s="7"/>
      <c r="AM914" s="7"/>
      <c r="AN914" s="7"/>
      <c r="AO914" s="7"/>
      <c r="AR914" s="7"/>
      <c r="AS914" s="7"/>
      <c r="AT914" s="7"/>
      <c r="AU914" s="7"/>
      <c r="AW914" s="7"/>
      <c r="CE914" s="7"/>
      <c r="FZ914" s="2"/>
    </row>
    <row r="915" spans="1:182">
      <c r="A915" s="7"/>
      <c r="D915" s="7"/>
      <c r="E915" s="7"/>
      <c r="F915" s="7"/>
      <c r="G915" s="7"/>
      <c r="H915" s="7"/>
      <c r="I915" s="7"/>
      <c r="J915" s="7"/>
      <c r="K915" s="7"/>
      <c r="L915" s="7"/>
      <c r="M915" s="7"/>
      <c r="N915" s="7"/>
      <c r="O915" s="7"/>
      <c r="P915" s="7"/>
      <c r="Q915" s="7"/>
      <c r="R915" s="7"/>
      <c r="S915" s="7"/>
      <c r="T915" s="7"/>
      <c r="U915" s="7"/>
      <c r="Y915" s="7"/>
      <c r="Z915" s="17"/>
      <c r="AC915" s="7"/>
      <c r="AD915" s="7"/>
      <c r="AE915" s="7"/>
      <c r="AF915" s="7"/>
      <c r="AG915" s="7"/>
      <c r="AH915" s="7"/>
      <c r="AJ915" s="7"/>
      <c r="AK915" s="7"/>
      <c r="AL915" s="7"/>
      <c r="AM915" s="7"/>
      <c r="AN915" s="7"/>
      <c r="AO915" s="7"/>
      <c r="AR915" s="7"/>
      <c r="AS915" s="7"/>
      <c r="AT915" s="7"/>
      <c r="AU915" s="7"/>
      <c r="AW915" s="7"/>
      <c r="CE915" s="7"/>
      <c r="FZ915" s="2"/>
    </row>
    <row r="916" spans="1:182">
      <c r="A916" s="7"/>
      <c r="D916" s="7"/>
      <c r="E916" s="7"/>
      <c r="F916" s="7"/>
      <c r="G916" s="7"/>
      <c r="H916" s="7"/>
      <c r="I916" s="7"/>
      <c r="J916" s="7"/>
      <c r="K916" s="7"/>
      <c r="L916" s="7"/>
      <c r="M916" s="7"/>
      <c r="N916" s="7"/>
      <c r="O916" s="7"/>
      <c r="P916" s="7"/>
      <c r="Q916" s="7"/>
      <c r="R916" s="7"/>
      <c r="S916" s="7"/>
      <c r="T916" s="7"/>
      <c r="U916" s="7"/>
      <c r="Y916" s="7"/>
      <c r="Z916" s="17"/>
      <c r="AC916" s="7"/>
      <c r="AD916" s="7"/>
      <c r="AE916" s="7"/>
      <c r="AF916" s="7"/>
      <c r="AG916" s="7"/>
      <c r="AH916" s="7"/>
      <c r="AJ916" s="7"/>
      <c r="AK916" s="7"/>
      <c r="AL916" s="7"/>
      <c r="AM916" s="7"/>
      <c r="AN916" s="7"/>
      <c r="AO916" s="7"/>
      <c r="AR916" s="7"/>
      <c r="AS916" s="7"/>
      <c r="AT916" s="7"/>
      <c r="AU916" s="7"/>
      <c r="AW916" s="7"/>
      <c r="CE916" s="7"/>
      <c r="FZ916" s="2"/>
    </row>
    <row r="917" spans="1:182">
      <c r="A917" s="7"/>
      <c r="D917" s="7"/>
      <c r="E917" s="7"/>
      <c r="F917" s="7"/>
      <c r="G917" s="7"/>
      <c r="H917" s="7"/>
      <c r="I917" s="7"/>
      <c r="J917" s="7"/>
      <c r="K917" s="7"/>
      <c r="L917" s="7"/>
      <c r="M917" s="7"/>
      <c r="N917" s="7"/>
      <c r="O917" s="7"/>
      <c r="P917" s="7"/>
      <c r="Q917" s="7"/>
      <c r="R917" s="7"/>
      <c r="S917" s="7"/>
      <c r="T917" s="7"/>
      <c r="U917" s="7"/>
      <c r="Y917" s="7"/>
      <c r="Z917" s="17"/>
      <c r="AC917" s="7"/>
      <c r="AD917" s="7"/>
      <c r="AE917" s="7"/>
      <c r="AF917" s="7"/>
      <c r="AG917" s="7"/>
      <c r="AH917" s="7"/>
      <c r="AJ917" s="7"/>
      <c r="AK917" s="7"/>
      <c r="AL917" s="7"/>
      <c r="AM917" s="7"/>
      <c r="AN917" s="7"/>
      <c r="AO917" s="7"/>
      <c r="AR917" s="7"/>
      <c r="AS917" s="7"/>
      <c r="AT917" s="7"/>
      <c r="AU917" s="7"/>
      <c r="AW917" s="7"/>
      <c r="CE917" s="7"/>
      <c r="FZ917" s="2"/>
    </row>
    <row r="918" spans="1:182">
      <c r="A918" s="7"/>
      <c r="D918" s="7"/>
      <c r="E918" s="7"/>
      <c r="F918" s="7"/>
      <c r="G918" s="7"/>
      <c r="H918" s="7"/>
      <c r="I918" s="7"/>
      <c r="J918" s="7"/>
      <c r="K918" s="7"/>
      <c r="L918" s="7"/>
      <c r="M918" s="7"/>
      <c r="N918" s="7"/>
      <c r="O918" s="7"/>
      <c r="P918" s="7"/>
      <c r="Q918" s="7"/>
      <c r="R918" s="7"/>
      <c r="S918" s="7"/>
      <c r="T918" s="7"/>
      <c r="U918" s="7"/>
      <c r="Y918" s="7"/>
      <c r="Z918" s="17"/>
      <c r="AC918" s="7"/>
      <c r="AD918" s="7"/>
      <c r="AE918" s="7"/>
      <c r="AF918" s="7"/>
      <c r="AG918" s="7"/>
      <c r="AH918" s="7"/>
      <c r="AJ918" s="7"/>
      <c r="AK918" s="7"/>
      <c r="AL918" s="7"/>
      <c r="AM918" s="7"/>
      <c r="AN918" s="7"/>
      <c r="AO918" s="7"/>
      <c r="AR918" s="7"/>
      <c r="AS918" s="7"/>
      <c r="AT918" s="7"/>
      <c r="AU918" s="7"/>
      <c r="AW918" s="7"/>
      <c r="CE918" s="7"/>
      <c r="FZ918" s="2"/>
    </row>
    <row r="919" spans="1:182">
      <c r="A919" s="7"/>
      <c r="D919" s="7"/>
      <c r="E919" s="7"/>
      <c r="F919" s="7"/>
      <c r="G919" s="7"/>
      <c r="H919" s="7"/>
      <c r="I919" s="7"/>
      <c r="J919" s="7"/>
      <c r="K919" s="7"/>
      <c r="L919" s="7"/>
      <c r="M919" s="7"/>
      <c r="N919" s="7"/>
      <c r="O919" s="7"/>
      <c r="P919" s="7"/>
      <c r="Q919" s="7"/>
      <c r="R919" s="7"/>
      <c r="S919" s="7"/>
      <c r="T919" s="7"/>
      <c r="U919" s="7"/>
      <c r="Y919" s="7"/>
      <c r="Z919" s="17"/>
      <c r="AC919" s="7"/>
      <c r="AD919" s="7"/>
      <c r="AE919" s="7"/>
      <c r="AF919" s="7"/>
      <c r="AG919" s="7"/>
      <c r="AH919" s="7"/>
      <c r="AJ919" s="7"/>
      <c r="AK919" s="7"/>
      <c r="AL919" s="7"/>
      <c r="AM919" s="7"/>
      <c r="AN919" s="7"/>
      <c r="AO919" s="7"/>
      <c r="AR919" s="7"/>
      <c r="AS919" s="7"/>
      <c r="AT919" s="7"/>
      <c r="AU919" s="7"/>
      <c r="AW919" s="7"/>
      <c r="CE919" s="7"/>
      <c r="FZ919" s="2"/>
    </row>
    <row r="920" spans="1:182">
      <c r="A920" s="7"/>
      <c r="D920" s="7"/>
      <c r="E920" s="7"/>
      <c r="F920" s="7"/>
      <c r="G920" s="7"/>
      <c r="H920" s="7"/>
      <c r="I920" s="7"/>
      <c r="J920" s="7"/>
      <c r="K920" s="7"/>
      <c r="L920" s="7"/>
      <c r="M920" s="7"/>
      <c r="N920" s="7"/>
      <c r="O920" s="7"/>
      <c r="P920" s="7"/>
      <c r="Q920" s="7"/>
      <c r="R920" s="7"/>
      <c r="S920" s="7"/>
      <c r="T920" s="7"/>
      <c r="U920" s="7"/>
      <c r="Y920" s="7"/>
      <c r="Z920" s="17"/>
      <c r="AC920" s="7"/>
      <c r="AD920" s="7"/>
      <c r="AE920" s="7"/>
      <c r="AF920" s="7"/>
      <c r="AG920" s="7"/>
      <c r="AH920" s="7"/>
      <c r="AJ920" s="7"/>
      <c r="AK920" s="7"/>
      <c r="AL920" s="7"/>
      <c r="AM920" s="7"/>
      <c r="AN920" s="7"/>
      <c r="AO920" s="7"/>
      <c r="AR920" s="7"/>
      <c r="AS920" s="7"/>
      <c r="AT920" s="7"/>
      <c r="AU920" s="7"/>
      <c r="AW920" s="7"/>
      <c r="CE920" s="7"/>
      <c r="FZ920" s="2"/>
    </row>
    <row r="921" spans="1:182">
      <c r="A921" s="7"/>
      <c r="D921" s="7"/>
      <c r="E921" s="7"/>
      <c r="F921" s="7"/>
      <c r="G921" s="7"/>
      <c r="H921" s="7"/>
      <c r="I921" s="7"/>
      <c r="J921" s="7"/>
      <c r="K921" s="7"/>
      <c r="L921" s="7"/>
      <c r="M921" s="7"/>
      <c r="N921" s="7"/>
      <c r="O921" s="7"/>
      <c r="P921" s="7"/>
      <c r="Q921" s="7"/>
      <c r="R921" s="7"/>
      <c r="S921" s="7"/>
      <c r="T921" s="7"/>
      <c r="U921" s="7"/>
      <c r="Y921" s="7"/>
      <c r="Z921" s="17"/>
      <c r="AC921" s="7"/>
      <c r="AD921" s="7"/>
      <c r="AE921" s="7"/>
      <c r="AF921" s="7"/>
      <c r="AG921" s="7"/>
      <c r="AH921" s="7"/>
      <c r="AJ921" s="7"/>
      <c r="AK921" s="7"/>
      <c r="AL921" s="7"/>
      <c r="AM921" s="7"/>
      <c r="AN921" s="7"/>
      <c r="AO921" s="7"/>
      <c r="AR921" s="7"/>
      <c r="AS921" s="7"/>
      <c r="AT921" s="7"/>
      <c r="AU921" s="7"/>
      <c r="AW921" s="7"/>
      <c r="CE921" s="7"/>
      <c r="FZ921" s="2"/>
    </row>
    <row r="922" spans="1:182">
      <c r="A922" s="7"/>
      <c r="D922" s="7"/>
      <c r="E922" s="7"/>
      <c r="F922" s="7"/>
      <c r="G922" s="7"/>
      <c r="H922" s="7"/>
      <c r="I922" s="7"/>
      <c r="J922" s="7"/>
      <c r="K922" s="7"/>
      <c r="L922" s="7"/>
      <c r="M922" s="7"/>
      <c r="N922" s="7"/>
      <c r="O922" s="7"/>
      <c r="P922" s="7"/>
      <c r="Q922" s="7"/>
      <c r="R922" s="7"/>
      <c r="S922" s="7"/>
      <c r="T922" s="7"/>
      <c r="U922" s="7"/>
      <c r="Y922" s="7"/>
      <c r="Z922" s="17"/>
      <c r="AC922" s="7"/>
      <c r="AD922" s="7"/>
      <c r="AE922" s="7"/>
      <c r="AF922" s="7"/>
      <c r="AG922" s="7"/>
      <c r="AH922" s="7"/>
      <c r="AJ922" s="7"/>
      <c r="AK922" s="7"/>
      <c r="AL922" s="7"/>
      <c r="AM922" s="7"/>
      <c r="AN922" s="7"/>
      <c r="AO922" s="7"/>
      <c r="AR922" s="7"/>
      <c r="AS922" s="7"/>
      <c r="AT922" s="7"/>
      <c r="AU922" s="7"/>
      <c r="AW922" s="7"/>
      <c r="CE922" s="7"/>
      <c r="FZ922" s="2"/>
    </row>
    <row r="923" spans="1:182">
      <c r="A923" s="7"/>
      <c r="D923" s="7"/>
      <c r="E923" s="7"/>
      <c r="F923" s="7"/>
      <c r="G923" s="7"/>
      <c r="H923" s="7"/>
      <c r="I923" s="7"/>
      <c r="J923" s="7"/>
      <c r="K923" s="7"/>
      <c r="L923" s="7"/>
      <c r="M923" s="7"/>
      <c r="N923" s="7"/>
      <c r="O923" s="7"/>
      <c r="P923" s="7"/>
      <c r="Q923" s="7"/>
      <c r="R923" s="7"/>
      <c r="S923" s="7"/>
      <c r="T923" s="7"/>
      <c r="U923" s="7"/>
      <c r="Y923" s="7"/>
      <c r="Z923" s="17"/>
      <c r="AC923" s="7"/>
      <c r="AD923" s="7"/>
      <c r="AE923" s="7"/>
      <c r="AF923" s="7"/>
      <c r="AG923" s="7"/>
      <c r="AH923" s="7"/>
      <c r="AJ923" s="7"/>
      <c r="AK923" s="7"/>
      <c r="AL923" s="7"/>
      <c r="AM923" s="7"/>
      <c r="AN923" s="7"/>
      <c r="AO923" s="7"/>
      <c r="AR923" s="7"/>
      <c r="AS923" s="7"/>
      <c r="AT923" s="7"/>
      <c r="AU923" s="7"/>
      <c r="AW923" s="7"/>
      <c r="CE923" s="7"/>
      <c r="FZ923" s="2"/>
    </row>
    <row r="924" spans="1:182">
      <c r="A924" s="7"/>
      <c r="D924" s="7"/>
      <c r="E924" s="7"/>
      <c r="F924" s="7"/>
      <c r="G924" s="7"/>
      <c r="H924" s="7"/>
      <c r="I924" s="7"/>
      <c r="J924" s="7"/>
      <c r="K924" s="7"/>
      <c r="L924" s="7"/>
      <c r="M924" s="7"/>
      <c r="N924" s="7"/>
      <c r="O924" s="7"/>
      <c r="P924" s="7"/>
      <c r="Q924" s="7"/>
      <c r="R924" s="7"/>
      <c r="S924" s="7"/>
      <c r="T924" s="7"/>
      <c r="U924" s="7"/>
      <c r="Y924" s="7"/>
      <c r="Z924" s="17"/>
      <c r="AC924" s="7"/>
      <c r="AD924" s="7"/>
      <c r="AE924" s="7"/>
      <c r="AF924" s="7"/>
      <c r="AG924" s="7"/>
      <c r="AH924" s="7"/>
      <c r="AJ924" s="7"/>
      <c r="AK924" s="7"/>
      <c r="AL924" s="7"/>
      <c r="AM924" s="7"/>
      <c r="AN924" s="7"/>
      <c r="AO924" s="7"/>
      <c r="AR924" s="7"/>
      <c r="AS924" s="7"/>
      <c r="AT924" s="7"/>
      <c r="AU924" s="7"/>
      <c r="AW924" s="7"/>
      <c r="CE924" s="7"/>
      <c r="FZ924" s="2"/>
    </row>
    <row r="925" spans="1:182">
      <c r="A925" s="7"/>
      <c r="D925" s="7"/>
      <c r="E925" s="7"/>
      <c r="F925" s="7"/>
      <c r="G925" s="7"/>
      <c r="H925" s="7"/>
      <c r="I925" s="7"/>
      <c r="J925" s="7"/>
      <c r="K925" s="7"/>
      <c r="L925" s="7"/>
      <c r="M925" s="7"/>
      <c r="N925" s="7"/>
      <c r="O925" s="7"/>
      <c r="P925" s="7"/>
      <c r="Q925" s="7"/>
      <c r="R925" s="7"/>
      <c r="S925" s="7"/>
      <c r="T925" s="7"/>
      <c r="U925" s="7"/>
      <c r="Y925" s="7"/>
      <c r="Z925" s="17"/>
      <c r="AC925" s="7"/>
      <c r="AD925" s="7"/>
      <c r="AE925" s="7"/>
      <c r="AF925" s="7"/>
      <c r="AG925" s="7"/>
      <c r="AH925" s="7"/>
      <c r="AJ925" s="7"/>
      <c r="AK925" s="7"/>
      <c r="AL925" s="7"/>
      <c r="AM925" s="7"/>
      <c r="AN925" s="7"/>
      <c r="AO925" s="7"/>
      <c r="AR925" s="7"/>
      <c r="AS925" s="7"/>
      <c r="AT925" s="7"/>
      <c r="AU925" s="7"/>
      <c r="AW925" s="7"/>
      <c r="CE925" s="7"/>
      <c r="FZ925" s="2"/>
    </row>
    <row r="926" spans="1:182">
      <c r="A926" s="7"/>
      <c r="D926" s="7"/>
      <c r="E926" s="7"/>
      <c r="F926" s="7"/>
      <c r="G926" s="7"/>
      <c r="H926" s="7"/>
      <c r="I926" s="7"/>
      <c r="J926" s="7"/>
      <c r="K926" s="7"/>
      <c r="L926" s="7"/>
      <c r="M926" s="7"/>
      <c r="N926" s="7"/>
      <c r="O926" s="7"/>
      <c r="P926" s="7"/>
      <c r="Q926" s="7"/>
      <c r="R926" s="7"/>
      <c r="S926" s="7"/>
      <c r="T926" s="7"/>
      <c r="U926" s="7"/>
      <c r="Y926" s="7"/>
      <c r="Z926" s="17"/>
      <c r="AC926" s="7"/>
      <c r="AD926" s="7"/>
      <c r="AE926" s="7"/>
      <c r="AF926" s="7"/>
      <c r="AG926" s="7"/>
      <c r="AH926" s="7"/>
      <c r="AJ926" s="7"/>
      <c r="AK926" s="7"/>
      <c r="AL926" s="7"/>
      <c r="AM926" s="7"/>
      <c r="AN926" s="7"/>
      <c r="AO926" s="7"/>
      <c r="AR926" s="7"/>
      <c r="AS926" s="7"/>
      <c r="AT926" s="7"/>
      <c r="AU926" s="7"/>
      <c r="AW926" s="7"/>
      <c r="CE926" s="7"/>
      <c r="FZ926" s="2"/>
    </row>
    <row r="927" spans="1:182">
      <c r="A927" s="7"/>
      <c r="D927" s="7"/>
      <c r="E927" s="7"/>
      <c r="F927" s="7"/>
      <c r="G927" s="7"/>
      <c r="H927" s="7"/>
      <c r="I927" s="7"/>
      <c r="J927" s="7"/>
      <c r="K927" s="7"/>
      <c r="L927" s="7"/>
      <c r="M927" s="7"/>
      <c r="N927" s="7"/>
      <c r="O927" s="7"/>
      <c r="P927" s="7"/>
      <c r="Q927" s="7"/>
      <c r="R927" s="7"/>
      <c r="S927" s="7"/>
      <c r="T927" s="7"/>
      <c r="U927" s="7"/>
      <c r="Y927" s="7"/>
      <c r="Z927" s="17"/>
      <c r="AC927" s="7"/>
      <c r="AD927" s="7"/>
      <c r="AE927" s="7"/>
      <c r="AF927" s="7"/>
      <c r="AG927" s="7"/>
      <c r="AH927" s="7"/>
      <c r="AJ927" s="7"/>
      <c r="AK927" s="7"/>
      <c r="AL927" s="7"/>
      <c r="AM927" s="7"/>
      <c r="AN927" s="7"/>
      <c r="AO927" s="7"/>
      <c r="AR927" s="7"/>
      <c r="AS927" s="7"/>
      <c r="AT927" s="7"/>
      <c r="AU927" s="7"/>
      <c r="AW927" s="7"/>
      <c r="CE927" s="7"/>
      <c r="FZ927" s="2"/>
    </row>
    <row r="928" spans="1:182">
      <c r="A928" s="7"/>
      <c r="D928" s="7"/>
      <c r="E928" s="7"/>
      <c r="F928" s="7"/>
      <c r="G928" s="7"/>
      <c r="H928" s="7"/>
      <c r="I928" s="7"/>
      <c r="J928" s="7"/>
      <c r="K928" s="7"/>
      <c r="L928" s="7"/>
      <c r="M928" s="7"/>
      <c r="N928" s="7"/>
      <c r="O928" s="7"/>
      <c r="P928" s="7"/>
      <c r="Q928" s="7"/>
      <c r="R928" s="7"/>
      <c r="S928" s="7"/>
      <c r="T928" s="7"/>
      <c r="U928" s="7"/>
      <c r="Y928" s="7"/>
      <c r="Z928" s="17"/>
      <c r="AC928" s="7"/>
      <c r="AD928" s="7"/>
      <c r="AE928" s="7"/>
      <c r="AF928" s="7"/>
      <c r="AG928" s="7"/>
      <c r="AH928" s="7"/>
      <c r="AJ928" s="7"/>
      <c r="AK928" s="7"/>
      <c r="AL928" s="7"/>
      <c r="AM928" s="7"/>
      <c r="AN928" s="7"/>
      <c r="AO928" s="7"/>
      <c r="AR928" s="7"/>
      <c r="AS928" s="7"/>
      <c r="AT928" s="7"/>
      <c r="AU928" s="7"/>
      <c r="AW928" s="7"/>
      <c r="CE928" s="7"/>
      <c r="FZ928" s="2"/>
    </row>
    <row r="929" spans="1:182">
      <c r="A929" s="7"/>
      <c r="D929" s="7"/>
      <c r="E929" s="7"/>
      <c r="F929" s="7"/>
      <c r="G929" s="7"/>
      <c r="H929" s="7"/>
      <c r="I929" s="7"/>
      <c r="J929" s="7"/>
      <c r="K929" s="7"/>
      <c r="L929" s="7"/>
      <c r="M929" s="7"/>
      <c r="N929" s="7"/>
      <c r="O929" s="7"/>
      <c r="P929" s="7"/>
      <c r="Q929" s="7"/>
      <c r="R929" s="7"/>
      <c r="S929" s="7"/>
      <c r="T929" s="7"/>
      <c r="U929" s="7"/>
      <c r="Y929" s="7"/>
      <c r="Z929" s="17"/>
      <c r="AC929" s="7"/>
      <c r="AD929" s="7"/>
      <c r="AE929" s="7"/>
      <c r="AF929" s="7"/>
      <c r="AG929" s="7"/>
      <c r="AH929" s="7"/>
      <c r="AJ929" s="7"/>
      <c r="AK929" s="7"/>
      <c r="AL929" s="7"/>
      <c r="AM929" s="7"/>
      <c r="AN929" s="7"/>
      <c r="AO929" s="7"/>
      <c r="AR929" s="7"/>
      <c r="AS929" s="7"/>
      <c r="AT929" s="7"/>
      <c r="AU929" s="7"/>
      <c r="AW929" s="7"/>
      <c r="CE929" s="7"/>
      <c r="FZ929" s="2"/>
    </row>
    <row r="930" spans="1:182">
      <c r="A930" s="7"/>
      <c r="D930" s="7"/>
      <c r="E930" s="7"/>
      <c r="F930" s="7"/>
      <c r="G930" s="7"/>
      <c r="H930" s="7"/>
      <c r="I930" s="7"/>
      <c r="J930" s="7"/>
      <c r="K930" s="7"/>
      <c r="L930" s="7"/>
      <c r="M930" s="7"/>
      <c r="N930" s="7"/>
      <c r="O930" s="7"/>
      <c r="P930" s="7"/>
      <c r="Q930" s="7"/>
      <c r="R930" s="7"/>
      <c r="S930" s="7"/>
      <c r="T930" s="7"/>
      <c r="U930" s="7"/>
      <c r="Y930" s="7"/>
      <c r="Z930" s="17"/>
      <c r="AC930" s="7"/>
      <c r="AD930" s="7"/>
      <c r="AE930" s="7"/>
      <c r="AF930" s="7"/>
      <c r="AG930" s="7"/>
      <c r="AH930" s="7"/>
      <c r="AJ930" s="7"/>
      <c r="AK930" s="7"/>
      <c r="AL930" s="7"/>
      <c r="AM930" s="7"/>
      <c r="AN930" s="7"/>
      <c r="AO930" s="7"/>
      <c r="AR930" s="7"/>
      <c r="AS930" s="7"/>
      <c r="AT930" s="7"/>
      <c r="AU930" s="7"/>
      <c r="AW930" s="7"/>
      <c r="CE930" s="7"/>
      <c r="FZ930" s="2"/>
    </row>
    <row r="931" spans="1:182">
      <c r="A931" s="7"/>
      <c r="D931" s="7"/>
      <c r="E931" s="7"/>
      <c r="F931" s="7"/>
      <c r="G931" s="7"/>
      <c r="H931" s="7"/>
      <c r="I931" s="7"/>
      <c r="J931" s="7"/>
      <c r="K931" s="7"/>
      <c r="L931" s="7"/>
      <c r="M931" s="7"/>
      <c r="N931" s="7"/>
      <c r="O931" s="7"/>
      <c r="P931" s="7"/>
      <c r="Q931" s="7"/>
      <c r="R931" s="7"/>
      <c r="S931" s="7"/>
      <c r="T931" s="7"/>
      <c r="U931" s="7"/>
      <c r="Y931" s="7"/>
      <c r="Z931" s="17"/>
      <c r="AC931" s="7"/>
      <c r="AD931" s="7"/>
      <c r="AE931" s="7"/>
      <c r="AF931" s="7"/>
      <c r="AG931" s="7"/>
      <c r="AH931" s="7"/>
      <c r="AJ931" s="7"/>
      <c r="AK931" s="7"/>
      <c r="AL931" s="7"/>
      <c r="AM931" s="7"/>
      <c r="AN931" s="7"/>
      <c r="AO931" s="7"/>
      <c r="AR931" s="7"/>
      <c r="AS931" s="7"/>
      <c r="AT931" s="7"/>
      <c r="AU931" s="7"/>
      <c r="AW931" s="7"/>
      <c r="CE931" s="7"/>
      <c r="FZ931" s="2"/>
    </row>
    <row r="932" spans="1:182">
      <c r="A932" s="7"/>
      <c r="D932" s="7"/>
      <c r="E932" s="7"/>
      <c r="F932" s="7"/>
      <c r="G932" s="7"/>
      <c r="H932" s="7"/>
      <c r="I932" s="7"/>
      <c r="J932" s="7"/>
      <c r="K932" s="7"/>
      <c r="L932" s="7"/>
      <c r="M932" s="7"/>
      <c r="N932" s="7"/>
      <c r="O932" s="7"/>
      <c r="P932" s="7"/>
      <c r="Q932" s="7"/>
      <c r="R932" s="7"/>
      <c r="S932" s="7"/>
      <c r="T932" s="7"/>
      <c r="U932" s="7"/>
      <c r="Y932" s="7"/>
      <c r="Z932" s="17"/>
      <c r="AC932" s="7"/>
      <c r="AD932" s="7"/>
      <c r="AE932" s="7"/>
      <c r="AF932" s="7"/>
      <c r="AG932" s="7"/>
      <c r="AH932" s="7"/>
      <c r="AJ932" s="7"/>
      <c r="AK932" s="7"/>
      <c r="AL932" s="7"/>
      <c r="AM932" s="7"/>
      <c r="AN932" s="7"/>
      <c r="AO932" s="7"/>
      <c r="AR932" s="7"/>
      <c r="AS932" s="7"/>
      <c r="AT932" s="7"/>
      <c r="AU932" s="7"/>
      <c r="AW932" s="7"/>
      <c r="CE932" s="7"/>
      <c r="FZ932" s="2"/>
    </row>
    <row r="933" spans="1:182">
      <c r="A933" s="7"/>
      <c r="D933" s="7"/>
      <c r="E933" s="7"/>
      <c r="F933" s="7"/>
      <c r="G933" s="7"/>
      <c r="H933" s="7"/>
      <c r="I933" s="7"/>
      <c r="J933" s="7"/>
      <c r="K933" s="7"/>
      <c r="L933" s="7"/>
      <c r="M933" s="7"/>
      <c r="N933" s="7"/>
      <c r="O933" s="7"/>
      <c r="P933" s="7"/>
      <c r="Q933" s="7"/>
      <c r="R933" s="7"/>
      <c r="S933" s="7"/>
      <c r="T933" s="7"/>
      <c r="U933" s="7"/>
      <c r="Y933" s="7"/>
      <c r="Z933" s="17"/>
      <c r="AC933" s="7"/>
      <c r="AD933" s="7"/>
      <c r="AE933" s="7"/>
      <c r="AF933" s="7"/>
      <c r="AG933" s="7"/>
      <c r="AH933" s="7"/>
      <c r="AJ933" s="7"/>
      <c r="AK933" s="7"/>
      <c r="AL933" s="7"/>
      <c r="AM933" s="7"/>
      <c r="AN933" s="7"/>
      <c r="AO933" s="7"/>
      <c r="AR933" s="7"/>
      <c r="AS933" s="7"/>
      <c r="AT933" s="7"/>
      <c r="AU933" s="7"/>
      <c r="AW933" s="7"/>
      <c r="CE933" s="7"/>
      <c r="FZ933" s="2"/>
    </row>
    <row r="934" spans="1:182">
      <c r="A934" s="7"/>
      <c r="D934" s="7"/>
      <c r="E934" s="7"/>
      <c r="F934" s="7"/>
      <c r="G934" s="7"/>
      <c r="H934" s="7"/>
      <c r="I934" s="7"/>
      <c r="J934" s="7"/>
      <c r="K934" s="7"/>
      <c r="L934" s="7"/>
      <c r="M934" s="7"/>
      <c r="N934" s="7"/>
      <c r="O934" s="7"/>
      <c r="P934" s="7"/>
      <c r="Q934" s="7"/>
      <c r="R934" s="7"/>
      <c r="S934" s="7"/>
      <c r="T934" s="7"/>
      <c r="U934" s="7"/>
      <c r="Y934" s="7"/>
      <c r="Z934" s="17"/>
      <c r="AC934" s="7"/>
      <c r="AD934" s="7"/>
      <c r="AE934" s="7"/>
      <c r="AF934" s="7"/>
      <c r="AG934" s="7"/>
      <c r="AH934" s="7"/>
      <c r="AJ934" s="7"/>
      <c r="AK934" s="7"/>
      <c r="AL934" s="7"/>
      <c r="AM934" s="7"/>
      <c r="AN934" s="7"/>
      <c r="AO934" s="7"/>
      <c r="AR934" s="7"/>
      <c r="AS934" s="7"/>
      <c r="AT934" s="7"/>
      <c r="AU934" s="7"/>
      <c r="AW934" s="7"/>
      <c r="CE934" s="7"/>
      <c r="FZ934" s="2"/>
    </row>
    <row r="935" spans="1:182">
      <c r="A935" s="7"/>
      <c r="D935" s="7"/>
      <c r="E935" s="7"/>
      <c r="F935" s="7"/>
      <c r="G935" s="7"/>
      <c r="H935" s="7"/>
      <c r="I935" s="7"/>
      <c r="J935" s="7"/>
      <c r="K935" s="7"/>
      <c r="L935" s="7"/>
      <c r="M935" s="7"/>
      <c r="N935" s="7"/>
      <c r="O935" s="7"/>
      <c r="P935" s="7"/>
      <c r="Q935" s="7"/>
      <c r="R935" s="7"/>
      <c r="S935" s="7"/>
      <c r="T935" s="7"/>
      <c r="U935" s="7"/>
      <c r="Y935" s="7"/>
      <c r="Z935" s="17"/>
      <c r="AC935" s="7"/>
      <c r="AD935" s="7"/>
      <c r="AE935" s="7"/>
      <c r="AF935" s="7"/>
      <c r="AG935" s="7"/>
      <c r="AH935" s="7"/>
      <c r="AJ935" s="7"/>
      <c r="AK935" s="7"/>
      <c r="AL935" s="7"/>
      <c r="AM935" s="7"/>
      <c r="AN935" s="7"/>
      <c r="AO935" s="7"/>
      <c r="AR935" s="7"/>
      <c r="AS935" s="7"/>
      <c r="AT935" s="7"/>
      <c r="AU935" s="7"/>
      <c r="AW935" s="7"/>
      <c r="CE935" s="7"/>
      <c r="FZ935" s="2"/>
    </row>
    <row r="936" spans="1:182">
      <c r="A936" s="7"/>
      <c r="D936" s="7"/>
      <c r="E936" s="7"/>
      <c r="F936" s="7"/>
      <c r="G936" s="7"/>
      <c r="H936" s="7"/>
      <c r="I936" s="7"/>
      <c r="J936" s="7"/>
      <c r="K936" s="7"/>
      <c r="L936" s="7"/>
      <c r="M936" s="7"/>
      <c r="N936" s="7"/>
      <c r="O936" s="7"/>
      <c r="P936" s="7"/>
      <c r="Q936" s="7"/>
      <c r="R936" s="7"/>
      <c r="S936" s="7"/>
      <c r="T936" s="7"/>
      <c r="U936" s="7"/>
      <c r="Y936" s="7"/>
      <c r="Z936" s="17"/>
      <c r="AC936" s="7"/>
      <c r="AD936" s="7"/>
      <c r="AE936" s="7"/>
      <c r="AF936" s="7"/>
      <c r="AG936" s="7"/>
      <c r="AH936" s="7"/>
      <c r="AJ936" s="7"/>
      <c r="AK936" s="7"/>
      <c r="AL936" s="7"/>
      <c r="AM936" s="7"/>
      <c r="AN936" s="7"/>
      <c r="AO936" s="7"/>
      <c r="AR936" s="7"/>
      <c r="AS936" s="7"/>
      <c r="AT936" s="7"/>
      <c r="AU936" s="7"/>
      <c r="AW936" s="7"/>
      <c r="CE936" s="7"/>
      <c r="FZ936" s="2"/>
    </row>
    <row r="937" spans="1:182">
      <c r="A937" s="7"/>
      <c r="D937" s="7"/>
      <c r="E937" s="7"/>
      <c r="F937" s="7"/>
      <c r="G937" s="7"/>
      <c r="H937" s="7"/>
      <c r="I937" s="7"/>
      <c r="J937" s="7"/>
      <c r="K937" s="7"/>
      <c r="L937" s="7"/>
      <c r="M937" s="7"/>
      <c r="N937" s="7"/>
      <c r="O937" s="7"/>
      <c r="P937" s="7"/>
      <c r="Q937" s="7"/>
      <c r="R937" s="7"/>
      <c r="S937" s="7"/>
      <c r="T937" s="7"/>
      <c r="U937" s="7"/>
      <c r="Y937" s="7"/>
      <c r="Z937" s="17"/>
      <c r="AC937" s="7"/>
      <c r="AD937" s="7"/>
      <c r="AE937" s="7"/>
      <c r="AF937" s="7"/>
      <c r="AG937" s="7"/>
      <c r="AH937" s="7"/>
      <c r="AJ937" s="7"/>
      <c r="AK937" s="7"/>
      <c r="AL937" s="7"/>
      <c r="AM937" s="7"/>
      <c r="AN937" s="7"/>
      <c r="AO937" s="7"/>
      <c r="AR937" s="7"/>
      <c r="AS937" s="7"/>
      <c r="AT937" s="7"/>
      <c r="AU937" s="7"/>
      <c r="AW937" s="7"/>
      <c r="CE937" s="7"/>
      <c r="FZ937" s="2"/>
    </row>
    <row r="938" spans="1:182">
      <c r="A938" s="7"/>
      <c r="D938" s="7"/>
      <c r="E938" s="7"/>
      <c r="F938" s="7"/>
      <c r="G938" s="7"/>
      <c r="H938" s="7"/>
      <c r="I938" s="7"/>
      <c r="J938" s="7"/>
      <c r="K938" s="7"/>
      <c r="L938" s="7"/>
      <c r="M938" s="7"/>
      <c r="N938" s="7"/>
      <c r="O938" s="7"/>
      <c r="P938" s="7"/>
      <c r="Q938" s="7"/>
      <c r="R938" s="7"/>
      <c r="S938" s="7"/>
      <c r="T938" s="7"/>
      <c r="U938" s="7"/>
      <c r="Y938" s="7"/>
      <c r="Z938" s="17"/>
      <c r="AC938" s="7"/>
      <c r="AD938" s="7"/>
      <c r="AE938" s="7"/>
      <c r="AF938" s="7"/>
      <c r="AG938" s="7"/>
      <c r="AH938" s="7"/>
      <c r="AJ938" s="7"/>
      <c r="AK938" s="7"/>
      <c r="AL938" s="7"/>
      <c r="AM938" s="7"/>
      <c r="AN938" s="7"/>
      <c r="AO938" s="7"/>
      <c r="AR938" s="7"/>
      <c r="AS938" s="7"/>
      <c r="AT938" s="7"/>
      <c r="AU938" s="7"/>
      <c r="AW938" s="7"/>
      <c r="CE938" s="7"/>
      <c r="FZ938" s="2"/>
    </row>
    <row r="939" spans="1:182">
      <c r="A939" s="7"/>
      <c r="D939" s="7"/>
      <c r="E939" s="7"/>
      <c r="F939" s="7"/>
      <c r="G939" s="7"/>
      <c r="H939" s="7"/>
      <c r="I939" s="7"/>
      <c r="J939" s="7"/>
      <c r="K939" s="7"/>
      <c r="L939" s="7"/>
      <c r="M939" s="7"/>
      <c r="N939" s="7"/>
      <c r="O939" s="7"/>
      <c r="P939" s="7"/>
      <c r="Q939" s="7"/>
      <c r="R939" s="7"/>
      <c r="S939" s="7"/>
      <c r="T939" s="7"/>
      <c r="U939" s="7"/>
      <c r="Y939" s="7"/>
      <c r="Z939" s="17"/>
      <c r="AC939" s="7"/>
      <c r="AD939" s="7"/>
      <c r="AE939" s="7"/>
      <c r="AF939" s="7"/>
      <c r="AG939" s="7"/>
      <c r="AH939" s="7"/>
      <c r="AJ939" s="7"/>
      <c r="AK939" s="7"/>
      <c r="AL939" s="7"/>
      <c r="AM939" s="7"/>
      <c r="AN939" s="7"/>
      <c r="AO939" s="7"/>
      <c r="AR939" s="7"/>
      <c r="AS939" s="7"/>
      <c r="AT939" s="7"/>
      <c r="AU939" s="7"/>
      <c r="AW939" s="7"/>
      <c r="CE939" s="7"/>
      <c r="FZ939" s="2"/>
    </row>
    <row r="940" spans="1:182">
      <c r="A940" s="7"/>
      <c r="D940" s="7"/>
      <c r="E940" s="7"/>
      <c r="F940" s="7"/>
      <c r="G940" s="7"/>
      <c r="H940" s="7"/>
      <c r="I940" s="7"/>
      <c r="J940" s="7"/>
      <c r="K940" s="7"/>
      <c r="L940" s="7"/>
      <c r="M940" s="7"/>
      <c r="N940" s="7"/>
      <c r="O940" s="7"/>
      <c r="P940" s="7"/>
      <c r="Q940" s="7"/>
      <c r="R940" s="7"/>
      <c r="S940" s="7"/>
      <c r="T940" s="7"/>
      <c r="U940" s="7"/>
      <c r="Y940" s="7"/>
      <c r="Z940" s="17"/>
      <c r="AC940" s="7"/>
      <c r="AD940" s="7"/>
      <c r="AE940" s="7"/>
      <c r="AF940" s="7"/>
      <c r="AG940" s="7"/>
      <c r="AH940" s="7"/>
      <c r="AJ940" s="7"/>
      <c r="AK940" s="7"/>
      <c r="AL940" s="7"/>
      <c r="AM940" s="7"/>
      <c r="AN940" s="7"/>
      <c r="AO940" s="7"/>
      <c r="AR940" s="7"/>
      <c r="AS940" s="7"/>
      <c r="AT940" s="7"/>
      <c r="AU940" s="7"/>
      <c r="AW940" s="7"/>
      <c r="CE940" s="7"/>
      <c r="FZ940" s="2"/>
    </row>
    <row r="941" spans="1:182">
      <c r="A941" s="7"/>
      <c r="D941" s="7"/>
      <c r="E941" s="7"/>
      <c r="F941" s="7"/>
      <c r="G941" s="7"/>
      <c r="H941" s="7"/>
      <c r="I941" s="7"/>
      <c r="J941" s="7"/>
      <c r="K941" s="7"/>
      <c r="L941" s="7"/>
      <c r="M941" s="7"/>
      <c r="N941" s="7"/>
      <c r="O941" s="7"/>
      <c r="P941" s="7"/>
      <c r="Q941" s="7"/>
      <c r="R941" s="7"/>
      <c r="S941" s="7"/>
      <c r="T941" s="7"/>
      <c r="U941" s="7"/>
      <c r="Y941" s="7"/>
      <c r="Z941" s="17"/>
      <c r="AC941" s="7"/>
      <c r="AD941" s="7"/>
      <c r="AE941" s="7"/>
      <c r="AF941" s="7"/>
      <c r="AG941" s="7"/>
      <c r="AH941" s="7"/>
      <c r="AJ941" s="7"/>
      <c r="AK941" s="7"/>
      <c r="AL941" s="7"/>
      <c r="AM941" s="7"/>
      <c r="AN941" s="7"/>
      <c r="AO941" s="7"/>
      <c r="AR941" s="7"/>
      <c r="AS941" s="7"/>
      <c r="AT941" s="7"/>
      <c r="AU941" s="7"/>
      <c r="AW941" s="7"/>
      <c r="CE941" s="7"/>
      <c r="FZ941" s="2"/>
    </row>
    <row r="942" spans="1:182">
      <c r="A942" s="7"/>
      <c r="D942" s="7"/>
      <c r="E942" s="7"/>
      <c r="F942" s="7"/>
      <c r="G942" s="7"/>
      <c r="H942" s="7"/>
      <c r="I942" s="7"/>
      <c r="J942" s="7"/>
      <c r="K942" s="7"/>
      <c r="L942" s="7"/>
      <c r="M942" s="7"/>
      <c r="N942" s="7"/>
      <c r="O942" s="7"/>
      <c r="P942" s="7"/>
      <c r="Q942" s="7"/>
      <c r="R942" s="7"/>
      <c r="S942" s="7"/>
      <c r="T942" s="7"/>
      <c r="U942" s="7"/>
      <c r="Y942" s="7"/>
      <c r="Z942" s="17"/>
      <c r="AC942" s="7"/>
      <c r="AD942" s="7"/>
      <c r="AE942" s="7"/>
      <c r="AF942" s="7"/>
      <c r="AG942" s="7"/>
      <c r="AH942" s="7"/>
      <c r="AJ942" s="7"/>
      <c r="AK942" s="7"/>
      <c r="AL942" s="7"/>
      <c r="AM942" s="7"/>
      <c r="AN942" s="7"/>
      <c r="AO942" s="7"/>
      <c r="AR942" s="7"/>
      <c r="AS942" s="7"/>
      <c r="AT942" s="7"/>
      <c r="AU942" s="7"/>
      <c r="AW942" s="7"/>
      <c r="CE942" s="7"/>
      <c r="FZ942" s="2"/>
    </row>
    <row r="943" spans="1:182">
      <c r="A943" s="7"/>
      <c r="D943" s="7"/>
      <c r="E943" s="7"/>
      <c r="F943" s="7"/>
      <c r="G943" s="7"/>
      <c r="H943" s="7"/>
      <c r="I943" s="7"/>
      <c r="J943" s="7"/>
      <c r="K943" s="7"/>
      <c r="L943" s="7"/>
      <c r="M943" s="7"/>
      <c r="N943" s="7"/>
      <c r="O943" s="7"/>
      <c r="P943" s="7"/>
      <c r="Q943" s="7"/>
      <c r="R943" s="7"/>
      <c r="S943" s="7"/>
      <c r="T943" s="7"/>
      <c r="U943" s="7"/>
      <c r="Y943" s="7"/>
      <c r="Z943" s="17"/>
      <c r="AC943" s="7"/>
      <c r="AD943" s="7"/>
      <c r="AE943" s="7"/>
      <c r="AF943" s="7"/>
      <c r="AG943" s="7"/>
      <c r="AH943" s="7"/>
      <c r="AJ943" s="7"/>
      <c r="AK943" s="7"/>
      <c r="AL943" s="7"/>
      <c r="AM943" s="7"/>
      <c r="AN943" s="7"/>
      <c r="AO943" s="7"/>
      <c r="AR943" s="7"/>
      <c r="AS943" s="7"/>
      <c r="AT943" s="7"/>
      <c r="AU943" s="7"/>
      <c r="AW943" s="7"/>
      <c r="CE943" s="7"/>
      <c r="FZ943" s="2"/>
    </row>
    <row r="944" spans="1:182">
      <c r="A944" s="7"/>
      <c r="D944" s="7"/>
      <c r="E944" s="7"/>
      <c r="F944" s="7"/>
      <c r="G944" s="7"/>
      <c r="H944" s="7"/>
      <c r="I944" s="7"/>
      <c r="J944" s="7"/>
      <c r="K944" s="7"/>
      <c r="L944" s="7"/>
      <c r="M944" s="7"/>
      <c r="N944" s="7"/>
      <c r="O944" s="7"/>
      <c r="P944" s="7"/>
      <c r="Q944" s="7"/>
      <c r="R944" s="7"/>
      <c r="S944" s="7"/>
      <c r="T944" s="7"/>
      <c r="U944" s="7"/>
      <c r="Y944" s="7"/>
      <c r="Z944" s="17"/>
      <c r="AC944" s="7"/>
      <c r="AD944" s="7"/>
      <c r="AE944" s="7"/>
      <c r="AF944" s="7"/>
      <c r="AG944" s="7"/>
      <c r="AH944" s="7"/>
      <c r="AJ944" s="7"/>
      <c r="AK944" s="7"/>
      <c r="AL944" s="7"/>
      <c r="AM944" s="7"/>
      <c r="AN944" s="7"/>
      <c r="AO944" s="7"/>
      <c r="AR944" s="7"/>
      <c r="AS944" s="7"/>
      <c r="AT944" s="7"/>
      <c r="AU944" s="7"/>
      <c r="AW944" s="7"/>
      <c r="CE944" s="7"/>
      <c r="FZ944" s="2"/>
    </row>
    <row r="945" spans="1:182">
      <c r="A945" s="7"/>
      <c r="D945" s="7"/>
      <c r="E945" s="7"/>
      <c r="F945" s="7"/>
      <c r="G945" s="7"/>
      <c r="H945" s="7"/>
      <c r="I945" s="7"/>
      <c r="J945" s="7"/>
      <c r="K945" s="7"/>
      <c r="L945" s="7"/>
      <c r="M945" s="7"/>
      <c r="N945" s="7"/>
      <c r="O945" s="7"/>
      <c r="P945" s="7"/>
      <c r="Q945" s="7"/>
      <c r="R945" s="7"/>
      <c r="S945" s="7"/>
      <c r="T945" s="7"/>
      <c r="U945" s="7"/>
      <c r="Y945" s="7"/>
      <c r="Z945" s="17"/>
      <c r="AC945" s="7"/>
      <c r="AD945" s="7"/>
      <c r="AE945" s="7"/>
      <c r="AF945" s="7"/>
      <c r="AG945" s="7"/>
      <c r="AH945" s="7"/>
      <c r="AJ945" s="7"/>
      <c r="AK945" s="7"/>
      <c r="AL945" s="7"/>
      <c r="AM945" s="7"/>
      <c r="AN945" s="7"/>
      <c r="AO945" s="7"/>
      <c r="AR945" s="7"/>
      <c r="AS945" s="7"/>
      <c r="AT945" s="7"/>
      <c r="AU945" s="7"/>
      <c r="AW945" s="7"/>
      <c r="CE945" s="7"/>
      <c r="FZ945" s="2"/>
    </row>
    <row r="946" spans="1:182">
      <c r="A946" s="7"/>
      <c r="D946" s="7"/>
      <c r="E946" s="7"/>
      <c r="F946" s="7"/>
      <c r="G946" s="7"/>
      <c r="H946" s="7"/>
      <c r="I946" s="7"/>
      <c r="J946" s="7"/>
      <c r="K946" s="7"/>
      <c r="L946" s="7"/>
      <c r="M946" s="7"/>
      <c r="N946" s="7"/>
      <c r="O946" s="7"/>
      <c r="P946" s="7"/>
      <c r="Q946" s="7"/>
      <c r="R946" s="7"/>
      <c r="S946" s="7"/>
      <c r="T946" s="7"/>
      <c r="U946" s="7"/>
      <c r="Y946" s="7"/>
      <c r="Z946" s="17"/>
      <c r="AC946" s="7"/>
      <c r="AD946" s="7"/>
      <c r="AE946" s="7"/>
      <c r="AF946" s="7"/>
      <c r="AG946" s="7"/>
      <c r="AH946" s="7"/>
      <c r="AJ946" s="7"/>
      <c r="AK946" s="7"/>
      <c r="AL946" s="7"/>
      <c r="AM946" s="7"/>
      <c r="AN946" s="7"/>
      <c r="AO946" s="7"/>
      <c r="AR946" s="7"/>
      <c r="AS946" s="7"/>
      <c r="AT946" s="7"/>
      <c r="AU946" s="7"/>
      <c r="AW946" s="7"/>
      <c r="CE946" s="7"/>
      <c r="FZ946" s="2"/>
    </row>
    <row r="947" spans="1:182">
      <c r="A947" s="7"/>
      <c r="D947" s="7"/>
      <c r="E947" s="7"/>
      <c r="F947" s="7"/>
      <c r="G947" s="7"/>
      <c r="H947" s="7"/>
      <c r="I947" s="7"/>
      <c r="J947" s="7"/>
      <c r="K947" s="7"/>
      <c r="L947" s="7"/>
      <c r="M947" s="7"/>
      <c r="N947" s="7"/>
      <c r="O947" s="7"/>
      <c r="P947" s="7"/>
      <c r="Q947" s="7"/>
      <c r="R947" s="7"/>
      <c r="S947" s="7"/>
      <c r="T947" s="7"/>
      <c r="U947" s="7"/>
      <c r="Y947" s="7"/>
      <c r="Z947" s="17"/>
      <c r="AC947" s="7"/>
      <c r="AD947" s="7"/>
      <c r="AE947" s="7"/>
      <c r="AF947" s="7"/>
      <c r="AG947" s="7"/>
      <c r="AH947" s="7"/>
      <c r="AJ947" s="7"/>
      <c r="AK947" s="7"/>
      <c r="AL947" s="7"/>
      <c r="AM947" s="7"/>
      <c r="AN947" s="7"/>
      <c r="AO947" s="7"/>
      <c r="AR947" s="7"/>
      <c r="AS947" s="7"/>
      <c r="AT947" s="7"/>
      <c r="AU947" s="7"/>
      <c r="AW947" s="7"/>
      <c r="CE947" s="7"/>
      <c r="FZ947" s="2"/>
    </row>
    <row r="948" spans="1:182">
      <c r="A948" s="7"/>
      <c r="D948" s="7"/>
      <c r="E948" s="7"/>
      <c r="F948" s="7"/>
      <c r="G948" s="7"/>
      <c r="H948" s="7"/>
      <c r="I948" s="7"/>
      <c r="J948" s="7"/>
      <c r="K948" s="7"/>
      <c r="L948" s="7"/>
      <c r="M948" s="7"/>
      <c r="N948" s="7"/>
      <c r="O948" s="7"/>
      <c r="P948" s="7"/>
      <c r="Q948" s="7"/>
      <c r="R948" s="7"/>
      <c r="S948" s="7"/>
      <c r="T948" s="7"/>
      <c r="U948" s="7"/>
      <c r="Y948" s="7"/>
      <c r="Z948" s="17"/>
      <c r="AC948" s="7"/>
      <c r="AD948" s="7"/>
      <c r="AE948" s="7"/>
      <c r="AF948" s="7"/>
      <c r="AG948" s="7"/>
      <c r="AH948" s="7"/>
      <c r="AJ948" s="7"/>
      <c r="AK948" s="7"/>
      <c r="AL948" s="7"/>
      <c r="AM948" s="7"/>
      <c r="AN948" s="7"/>
      <c r="AO948" s="7"/>
      <c r="AR948" s="7"/>
      <c r="AS948" s="7"/>
      <c r="AT948" s="7"/>
      <c r="AU948" s="7"/>
      <c r="AW948" s="7"/>
      <c r="CE948" s="7"/>
      <c r="FZ948" s="2"/>
    </row>
    <row r="949" spans="1:182">
      <c r="A949" s="7"/>
      <c r="D949" s="7"/>
      <c r="E949" s="7"/>
      <c r="F949" s="7"/>
      <c r="G949" s="7"/>
      <c r="H949" s="7"/>
      <c r="I949" s="7"/>
      <c r="J949" s="7"/>
      <c r="K949" s="7"/>
      <c r="L949" s="7"/>
      <c r="M949" s="7"/>
      <c r="N949" s="7"/>
      <c r="O949" s="7"/>
      <c r="P949" s="7"/>
      <c r="Q949" s="7"/>
      <c r="R949" s="7"/>
      <c r="S949" s="7"/>
      <c r="T949" s="7"/>
      <c r="U949" s="7"/>
      <c r="Y949" s="7"/>
      <c r="Z949" s="17"/>
      <c r="AC949" s="7"/>
      <c r="AD949" s="7"/>
      <c r="AE949" s="7"/>
      <c r="AF949" s="7"/>
      <c r="AG949" s="7"/>
      <c r="AH949" s="7"/>
      <c r="AJ949" s="7"/>
      <c r="AK949" s="7"/>
      <c r="AL949" s="7"/>
      <c r="AM949" s="7"/>
      <c r="AN949" s="7"/>
      <c r="AO949" s="7"/>
      <c r="AR949" s="7"/>
      <c r="AS949" s="7"/>
      <c r="AT949" s="7"/>
      <c r="AU949" s="7"/>
      <c r="AW949" s="7"/>
      <c r="CE949" s="7"/>
      <c r="FZ949" s="2"/>
    </row>
    <row r="950" spans="1:182">
      <c r="A950" s="7"/>
      <c r="D950" s="7"/>
      <c r="E950" s="7"/>
      <c r="F950" s="7"/>
      <c r="G950" s="7"/>
      <c r="H950" s="7"/>
      <c r="I950" s="7"/>
      <c r="J950" s="7"/>
      <c r="K950" s="7"/>
      <c r="L950" s="7"/>
      <c r="M950" s="7"/>
      <c r="N950" s="7"/>
      <c r="O950" s="7"/>
      <c r="P950" s="7"/>
      <c r="Q950" s="7"/>
      <c r="R950" s="7"/>
      <c r="S950" s="7"/>
      <c r="T950" s="7"/>
      <c r="U950" s="7"/>
      <c r="Y950" s="7"/>
      <c r="Z950" s="17"/>
      <c r="AC950" s="7"/>
      <c r="AD950" s="7"/>
      <c r="AE950" s="7"/>
      <c r="AF950" s="7"/>
      <c r="AG950" s="7"/>
      <c r="AH950" s="7"/>
      <c r="AJ950" s="7"/>
      <c r="AK950" s="7"/>
      <c r="AL950" s="7"/>
      <c r="AM950" s="7"/>
      <c r="AN950" s="7"/>
      <c r="AO950" s="7"/>
      <c r="AR950" s="7"/>
      <c r="AS950" s="7"/>
      <c r="AT950" s="7"/>
      <c r="AU950" s="7"/>
      <c r="AW950" s="7"/>
      <c r="CE950" s="7"/>
      <c r="FZ950" s="2"/>
    </row>
    <row r="951" spans="1:182">
      <c r="A951" s="7"/>
      <c r="D951" s="7"/>
      <c r="E951" s="7"/>
      <c r="F951" s="7"/>
      <c r="G951" s="7"/>
      <c r="H951" s="7"/>
      <c r="I951" s="7"/>
      <c r="J951" s="7"/>
      <c r="K951" s="7"/>
      <c r="L951" s="7"/>
      <c r="M951" s="7"/>
      <c r="N951" s="7"/>
      <c r="O951" s="7"/>
      <c r="P951" s="7"/>
      <c r="Q951" s="7"/>
      <c r="R951" s="7"/>
      <c r="S951" s="7"/>
      <c r="T951" s="7"/>
      <c r="U951" s="7"/>
      <c r="Y951" s="7"/>
      <c r="Z951" s="17"/>
      <c r="AC951" s="7"/>
      <c r="AD951" s="7"/>
      <c r="AE951" s="7"/>
      <c r="AF951" s="7"/>
      <c r="AG951" s="7"/>
      <c r="AH951" s="7"/>
      <c r="AJ951" s="7"/>
      <c r="AK951" s="7"/>
      <c r="AL951" s="7"/>
      <c r="AM951" s="7"/>
      <c r="AN951" s="7"/>
      <c r="AO951" s="7"/>
      <c r="AR951" s="7"/>
      <c r="AS951" s="7"/>
      <c r="AT951" s="7"/>
      <c r="AU951" s="7"/>
      <c r="AW951" s="7"/>
      <c r="CE951" s="7"/>
      <c r="FZ951" s="2"/>
    </row>
    <row r="952" spans="1:182">
      <c r="A952" s="7"/>
      <c r="D952" s="7"/>
      <c r="E952" s="7"/>
      <c r="F952" s="7"/>
      <c r="G952" s="7"/>
      <c r="H952" s="7"/>
      <c r="I952" s="7"/>
      <c r="J952" s="7"/>
      <c r="K952" s="7"/>
      <c r="L952" s="7"/>
      <c r="M952" s="7"/>
      <c r="N952" s="7"/>
      <c r="O952" s="7"/>
      <c r="P952" s="7"/>
      <c r="Q952" s="7"/>
      <c r="R952" s="7"/>
      <c r="S952" s="7"/>
      <c r="T952" s="7"/>
      <c r="U952" s="7"/>
      <c r="Y952" s="7"/>
      <c r="Z952" s="17"/>
      <c r="AC952" s="7"/>
      <c r="AD952" s="7"/>
      <c r="AE952" s="7"/>
      <c r="AF952" s="7"/>
      <c r="AG952" s="7"/>
      <c r="AH952" s="7"/>
      <c r="AJ952" s="7"/>
      <c r="AK952" s="7"/>
      <c r="AL952" s="7"/>
      <c r="AM952" s="7"/>
      <c r="AN952" s="7"/>
      <c r="AO952" s="7"/>
      <c r="AR952" s="7"/>
      <c r="AS952" s="7"/>
      <c r="AT952" s="7"/>
      <c r="AU952" s="7"/>
      <c r="AW952" s="7"/>
      <c r="CE952" s="7"/>
      <c r="FZ952" s="2"/>
    </row>
    <row r="953" spans="1:182">
      <c r="A953" s="7"/>
      <c r="D953" s="7"/>
      <c r="E953" s="7"/>
      <c r="F953" s="7"/>
      <c r="G953" s="7"/>
      <c r="H953" s="7"/>
      <c r="I953" s="7"/>
      <c r="J953" s="7"/>
      <c r="K953" s="7"/>
      <c r="L953" s="7"/>
      <c r="M953" s="7"/>
      <c r="N953" s="7"/>
      <c r="O953" s="7"/>
      <c r="P953" s="7"/>
      <c r="Q953" s="7"/>
      <c r="R953" s="7"/>
      <c r="S953" s="7"/>
      <c r="T953" s="7"/>
      <c r="U953" s="7"/>
      <c r="Y953" s="7"/>
      <c r="Z953" s="17"/>
      <c r="AC953" s="7"/>
      <c r="AD953" s="7"/>
      <c r="AE953" s="7"/>
      <c r="AF953" s="7"/>
      <c r="AG953" s="7"/>
      <c r="AH953" s="7"/>
      <c r="AJ953" s="7"/>
      <c r="AK953" s="7"/>
      <c r="AL953" s="7"/>
      <c r="AM953" s="7"/>
      <c r="AN953" s="7"/>
      <c r="AO953" s="7"/>
      <c r="AR953" s="7"/>
      <c r="AS953" s="7"/>
      <c r="AT953" s="7"/>
      <c r="AU953" s="7"/>
      <c r="AW953" s="7"/>
      <c r="CE953" s="7"/>
      <c r="FZ953" s="2"/>
    </row>
    <row r="954" spans="1:182">
      <c r="A954" s="7"/>
      <c r="D954" s="7"/>
      <c r="E954" s="7"/>
      <c r="F954" s="7"/>
      <c r="G954" s="7"/>
      <c r="H954" s="7"/>
      <c r="I954" s="7"/>
      <c r="J954" s="7"/>
      <c r="K954" s="7"/>
      <c r="L954" s="7"/>
      <c r="M954" s="7"/>
      <c r="N954" s="7"/>
      <c r="O954" s="7"/>
      <c r="P954" s="7"/>
      <c r="Q954" s="7"/>
      <c r="R954" s="7"/>
      <c r="S954" s="7"/>
      <c r="T954" s="7"/>
      <c r="U954" s="7"/>
      <c r="Y954" s="7"/>
      <c r="Z954" s="17"/>
      <c r="AC954" s="7"/>
      <c r="AD954" s="7"/>
      <c r="AE954" s="7"/>
      <c r="AF954" s="7"/>
      <c r="AG954" s="7"/>
      <c r="AH954" s="7"/>
      <c r="AJ954" s="7"/>
      <c r="AK954" s="7"/>
      <c r="AL954" s="7"/>
      <c r="AM954" s="7"/>
      <c r="AN954" s="7"/>
      <c r="AO954" s="7"/>
      <c r="AR954" s="7"/>
      <c r="AS954" s="7"/>
      <c r="AT954" s="7"/>
      <c r="AU954" s="7"/>
      <c r="AW954" s="7"/>
      <c r="CE954" s="7"/>
      <c r="FZ954" s="2"/>
    </row>
    <row r="955" spans="1:182">
      <c r="A955" s="7"/>
      <c r="D955" s="7"/>
      <c r="E955" s="7"/>
      <c r="F955" s="7"/>
      <c r="G955" s="7"/>
      <c r="H955" s="7"/>
      <c r="I955" s="7"/>
      <c r="J955" s="7"/>
      <c r="K955" s="7"/>
      <c r="L955" s="7"/>
      <c r="M955" s="7"/>
      <c r="N955" s="7"/>
      <c r="O955" s="7"/>
      <c r="P955" s="7"/>
      <c r="Q955" s="7"/>
      <c r="R955" s="7"/>
      <c r="S955" s="7"/>
      <c r="T955" s="7"/>
      <c r="U955" s="7"/>
      <c r="Y955" s="7"/>
      <c r="Z955" s="17"/>
      <c r="AC955" s="7"/>
      <c r="AD955" s="7"/>
      <c r="AE955" s="7"/>
      <c r="AF955" s="7"/>
      <c r="AG955" s="7"/>
      <c r="AH955" s="7"/>
      <c r="AJ955" s="7"/>
      <c r="AK955" s="7"/>
      <c r="AL955" s="7"/>
      <c r="AM955" s="7"/>
      <c r="AN955" s="7"/>
      <c r="AO955" s="7"/>
      <c r="AR955" s="7"/>
      <c r="AS955" s="7"/>
      <c r="AT955" s="7"/>
      <c r="AU955" s="7"/>
      <c r="AW955" s="7"/>
      <c r="CE955" s="7"/>
      <c r="FZ955" s="2"/>
    </row>
    <row r="956" spans="1:182">
      <c r="A956" s="7"/>
      <c r="D956" s="7"/>
      <c r="E956" s="7"/>
      <c r="F956" s="7"/>
      <c r="G956" s="7"/>
      <c r="H956" s="7"/>
      <c r="I956" s="7"/>
      <c r="J956" s="7"/>
      <c r="K956" s="7"/>
      <c r="L956" s="7"/>
      <c r="M956" s="7"/>
      <c r="N956" s="7"/>
      <c r="O956" s="7"/>
      <c r="P956" s="7"/>
      <c r="Q956" s="7"/>
      <c r="R956" s="7"/>
      <c r="S956" s="7"/>
      <c r="T956" s="7"/>
      <c r="U956" s="7"/>
      <c r="Y956" s="7"/>
      <c r="Z956" s="17"/>
      <c r="AC956" s="7"/>
      <c r="AD956" s="7"/>
      <c r="AE956" s="7"/>
      <c r="AF956" s="7"/>
      <c r="AG956" s="7"/>
      <c r="AH956" s="7"/>
      <c r="AJ956" s="7"/>
      <c r="AK956" s="7"/>
      <c r="AL956" s="7"/>
      <c r="AM956" s="7"/>
      <c r="AN956" s="7"/>
      <c r="AO956" s="7"/>
      <c r="AR956" s="7"/>
      <c r="AS956" s="7"/>
      <c r="AT956" s="7"/>
      <c r="AU956" s="7"/>
      <c r="AW956" s="7"/>
      <c r="CE956" s="7"/>
      <c r="FZ956" s="2"/>
    </row>
    <row r="957" spans="1:182">
      <c r="A957" s="7"/>
      <c r="D957" s="7"/>
      <c r="E957" s="7"/>
      <c r="F957" s="7"/>
      <c r="G957" s="7"/>
      <c r="H957" s="7"/>
      <c r="I957" s="7"/>
      <c r="J957" s="7"/>
      <c r="K957" s="7"/>
      <c r="L957" s="7"/>
      <c r="M957" s="7"/>
      <c r="N957" s="7"/>
      <c r="O957" s="7"/>
      <c r="P957" s="7"/>
      <c r="Q957" s="7"/>
      <c r="R957" s="7"/>
      <c r="S957" s="7"/>
      <c r="T957" s="7"/>
      <c r="U957" s="7"/>
      <c r="Y957" s="7"/>
      <c r="Z957" s="17"/>
      <c r="AC957" s="7"/>
      <c r="AD957" s="7"/>
      <c r="AE957" s="7"/>
      <c r="AF957" s="7"/>
      <c r="AG957" s="7"/>
      <c r="AH957" s="7"/>
      <c r="AJ957" s="7"/>
      <c r="AK957" s="7"/>
      <c r="AL957" s="7"/>
      <c r="AM957" s="7"/>
      <c r="AN957" s="7"/>
      <c r="AO957" s="7"/>
      <c r="AR957" s="7"/>
      <c r="AS957" s="7"/>
      <c r="AT957" s="7"/>
      <c r="AU957" s="7"/>
      <c r="AW957" s="7"/>
      <c r="CE957" s="7"/>
      <c r="FZ957" s="2"/>
    </row>
    <row r="958" spans="1:182">
      <c r="A958" s="7"/>
      <c r="D958" s="7"/>
      <c r="E958" s="7"/>
      <c r="F958" s="7"/>
      <c r="G958" s="7"/>
      <c r="H958" s="7"/>
      <c r="I958" s="7"/>
      <c r="J958" s="7"/>
      <c r="K958" s="7"/>
      <c r="L958" s="7"/>
      <c r="M958" s="7"/>
      <c r="N958" s="7"/>
      <c r="O958" s="7"/>
      <c r="P958" s="7"/>
      <c r="Q958" s="7"/>
      <c r="R958" s="7"/>
      <c r="S958" s="7"/>
      <c r="T958" s="7"/>
      <c r="U958" s="7"/>
      <c r="Y958" s="7"/>
      <c r="Z958" s="17"/>
      <c r="AC958" s="7"/>
      <c r="AD958" s="7"/>
      <c r="AE958" s="7"/>
      <c r="AF958" s="7"/>
      <c r="AG958" s="7"/>
      <c r="AH958" s="7"/>
      <c r="AJ958" s="7"/>
      <c r="AK958" s="7"/>
      <c r="AL958" s="7"/>
      <c r="AM958" s="7"/>
      <c r="AN958" s="7"/>
      <c r="AO958" s="7"/>
      <c r="AR958" s="7"/>
      <c r="AS958" s="7"/>
      <c r="AT958" s="7"/>
      <c r="AU958" s="7"/>
      <c r="AW958" s="7"/>
      <c r="CE958" s="7"/>
      <c r="FZ958" s="2"/>
    </row>
    <row r="959" spans="1:182">
      <c r="A959" s="7"/>
      <c r="D959" s="7"/>
      <c r="E959" s="7"/>
      <c r="F959" s="7"/>
      <c r="G959" s="7"/>
      <c r="H959" s="7"/>
      <c r="I959" s="7"/>
      <c r="J959" s="7"/>
      <c r="K959" s="7"/>
      <c r="L959" s="7"/>
      <c r="M959" s="7"/>
      <c r="N959" s="7"/>
      <c r="O959" s="7"/>
      <c r="P959" s="7"/>
      <c r="Q959" s="7"/>
      <c r="R959" s="7"/>
      <c r="S959" s="7"/>
      <c r="T959" s="7"/>
      <c r="U959" s="7"/>
      <c r="Y959" s="7"/>
      <c r="Z959" s="17"/>
      <c r="AC959" s="7"/>
      <c r="AD959" s="7"/>
      <c r="AE959" s="7"/>
      <c r="AF959" s="7"/>
      <c r="AG959" s="7"/>
      <c r="AH959" s="7"/>
      <c r="AJ959" s="7"/>
      <c r="AK959" s="7"/>
      <c r="AL959" s="7"/>
      <c r="AM959" s="7"/>
      <c r="AN959" s="7"/>
      <c r="AO959" s="7"/>
      <c r="AR959" s="7"/>
      <c r="AS959" s="7"/>
      <c r="AT959" s="7"/>
      <c r="AU959" s="7"/>
      <c r="AW959" s="7"/>
      <c r="CE959" s="7"/>
      <c r="FZ959" s="2"/>
    </row>
    <row r="960" spans="1:182">
      <c r="A960" s="7"/>
      <c r="D960" s="7"/>
      <c r="E960" s="7"/>
      <c r="F960" s="7"/>
      <c r="G960" s="7"/>
      <c r="H960" s="7"/>
      <c r="I960" s="7"/>
      <c r="J960" s="7"/>
      <c r="K960" s="7"/>
      <c r="L960" s="7"/>
      <c r="M960" s="7"/>
      <c r="N960" s="7"/>
      <c r="O960" s="7"/>
      <c r="P960" s="7"/>
      <c r="Q960" s="7"/>
      <c r="R960" s="7"/>
      <c r="S960" s="7"/>
      <c r="T960" s="7"/>
      <c r="U960" s="7"/>
      <c r="Y960" s="7"/>
      <c r="Z960" s="17"/>
      <c r="AC960" s="7"/>
      <c r="AD960" s="7"/>
      <c r="AE960" s="7"/>
      <c r="AF960" s="7"/>
      <c r="AG960" s="7"/>
      <c r="AH960" s="7"/>
      <c r="AJ960" s="7"/>
      <c r="AK960" s="7"/>
      <c r="AL960" s="7"/>
      <c r="AM960" s="7"/>
      <c r="AN960" s="7"/>
      <c r="AO960" s="7"/>
      <c r="AR960" s="7"/>
      <c r="AS960" s="7"/>
      <c r="AT960" s="7"/>
      <c r="AU960" s="7"/>
      <c r="AW960" s="7"/>
      <c r="CE960" s="7"/>
      <c r="FZ960" s="2"/>
    </row>
    <row r="961" spans="1:182">
      <c r="A961" s="7"/>
      <c r="D961" s="7"/>
      <c r="E961" s="7"/>
      <c r="F961" s="7"/>
      <c r="G961" s="7"/>
      <c r="H961" s="7"/>
      <c r="I961" s="7"/>
      <c r="J961" s="7"/>
      <c r="K961" s="7"/>
      <c r="L961" s="7"/>
      <c r="M961" s="7"/>
      <c r="N961" s="7"/>
      <c r="O961" s="7"/>
      <c r="P961" s="7"/>
      <c r="Q961" s="7"/>
      <c r="R961" s="7"/>
      <c r="S961" s="7"/>
      <c r="T961" s="7"/>
      <c r="U961" s="7"/>
      <c r="Y961" s="7"/>
      <c r="Z961" s="17"/>
      <c r="AC961" s="7"/>
      <c r="AD961" s="7"/>
      <c r="AE961" s="7"/>
      <c r="AF961" s="7"/>
      <c r="AG961" s="7"/>
      <c r="AH961" s="7"/>
      <c r="AJ961" s="7"/>
      <c r="AK961" s="7"/>
      <c r="AL961" s="7"/>
      <c r="AM961" s="7"/>
      <c r="AN961" s="7"/>
      <c r="AO961" s="7"/>
      <c r="AR961" s="7"/>
      <c r="AS961" s="7"/>
      <c r="AT961" s="7"/>
      <c r="AU961" s="7"/>
      <c r="AW961" s="7"/>
      <c r="CE961" s="7"/>
      <c r="FZ961" s="2"/>
    </row>
    <row r="962" spans="1:182">
      <c r="A962" s="7"/>
      <c r="D962" s="7"/>
      <c r="E962" s="7"/>
      <c r="F962" s="7"/>
      <c r="G962" s="7"/>
      <c r="H962" s="7"/>
      <c r="I962" s="7"/>
      <c r="J962" s="7"/>
      <c r="K962" s="7"/>
      <c r="L962" s="7"/>
      <c r="M962" s="7"/>
      <c r="N962" s="7"/>
      <c r="O962" s="7"/>
      <c r="P962" s="7"/>
      <c r="Q962" s="7"/>
      <c r="R962" s="7"/>
      <c r="S962" s="7"/>
      <c r="T962" s="7"/>
      <c r="U962" s="7"/>
      <c r="Y962" s="7"/>
      <c r="Z962" s="17"/>
      <c r="AC962" s="7"/>
      <c r="AD962" s="7"/>
      <c r="AE962" s="7"/>
      <c r="AF962" s="7"/>
      <c r="AG962" s="7"/>
      <c r="AH962" s="7"/>
      <c r="AJ962" s="7"/>
      <c r="AK962" s="7"/>
      <c r="AL962" s="7"/>
      <c r="AM962" s="7"/>
      <c r="AN962" s="7"/>
      <c r="AO962" s="7"/>
      <c r="AR962" s="7"/>
      <c r="AS962" s="7"/>
      <c r="AT962" s="7"/>
      <c r="AU962" s="7"/>
      <c r="AW962" s="7"/>
      <c r="CE962" s="7"/>
      <c r="FZ962" s="2"/>
    </row>
    <row r="963" spans="1:182">
      <c r="A963" s="7"/>
      <c r="D963" s="7"/>
      <c r="E963" s="7"/>
      <c r="F963" s="7"/>
      <c r="G963" s="7"/>
      <c r="H963" s="7"/>
      <c r="I963" s="7"/>
      <c r="J963" s="7"/>
      <c r="K963" s="7"/>
      <c r="L963" s="7"/>
      <c r="M963" s="7"/>
      <c r="N963" s="7"/>
      <c r="O963" s="7"/>
      <c r="P963" s="7"/>
      <c r="Q963" s="7"/>
      <c r="R963" s="7"/>
      <c r="S963" s="7"/>
      <c r="T963" s="7"/>
      <c r="U963" s="7"/>
      <c r="Y963" s="7"/>
      <c r="Z963" s="17"/>
      <c r="AC963" s="7"/>
      <c r="AD963" s="7"/>
      <c r="AE963" s="7"/>
      <c r="AF963" s="7"/>
      <c r="AG963" s="7"/>
      <c r="AH963" s="7"/>
      <c r="AJ963" s="7"/>
      <c r="AK963" s="7"/>
      <c r="AL963" s="7"/>
      <c r="AM963" s="7"/>
      <c r="AN963" s="7"/>
      <c r="AO963" s="7"/>
      <c r="AR963" s="7"/>
      <c r="AS963" s="7"/>
      <c r="AT963" s="7"/>
      <c r="AU963" s="7"/>
      <c r="AW963" s="7"/>
      <c r="CE963" s="7"/>
      <c r="FZ963" s="2"/>
    </row>
    <row r="964" spans="1:182">
      <c r="A964" s="7"/>
      <c r="D964" s="7"/>
      <c r="E964" s="7"/>
      <c r="F964" s="7"/>
      <c r="G964" s="7"/>
      <c r="H964" s="7"/>
      <c r="I964" s="7"/>
      <c r="J964" s="7"/>
      <c r="K964" s="7"/>
      <c r="L964" s="7"/>
      <c r="M964" s="7"/>
      <c r="N964" s="7"/>
      <c r="O964" s="7"/>
      <c r="P964" s="7"/>
      <c r="Q964" s="7"/>
      <c r="R964" s="7"/>
      <c r="S964" s="7"/>
      <c r="T964" s="7"/>
      <c r="U964" s="7"/>
      <c r="Y964" s="7"/>
      <c r="Z964" s="17"/>
      <c r="AC964" s="7"/>
      <c r="AD964" s="7"/>
      <c r="AE964" s="7"/>
      <c r="AF964" s="7"/>
      <c r="AG964" s="7"/>
      <c r="AH964" s="7"/>
      <c r="AJ964" s="7"/>
      <c r="AK964" s="7"/>
      <c r="AL964" s="7"/>
      <c r="AM964" s="7"/>
      <c r="AN964" s="7"/>
      <c r="AO964" s="7"/>
      <c r="AR964" s="7"/>
      <c r="AS964" s="7"/>
      <c r="AT964" s="7"/>
      <c r="AU964" s="7"/>
      <c r="AW964" s="7"/>
      <c r="CE964" s="7"/>
      <c r="FZ964" s="2"/>
    </row>
    <row r="965" spans="1:182">
      <c r="A965" s="7"/>
      <c r="D965" s="7"/>
      <c r="E965" s="7"/>
      <c r="F965" s="7"/>
      <c r="G965" s="7"/>
      <c r="H965" s="7"/>
      <c r="I965" s="7"/>
      <c r="J965" s="7"/>
      <c r="K965" s="7"/>
      <c r="L965" s="7"/>
      <c r="M965" s="7"/>
      <c r="N965" s="7"/>
      <c r="O965" s="7"/>
      <c r="P965" s="7"/>
      <c r="Q965" s="7"/>
      <c r="R965" s="7"/>
      <c r="S965" s="7"/>
      <c r="T965" s="7"/>
      <c r="U965" s="7"/>
      <c r="Y965" s="7"/>
      <c r="Z965" s="17"/>
      <c r="AC965" s="7"/>
      <c r="AD965" s="7"/>
      <c r="AE965" s="7"/>
      <c r="AF965" s="7"/>
      <c r="AG965" s="7"/>
      <c r="AH965" s="7"/>
      <c r="AJ965" s="7"/>
      <c r="AK965" s="7"/>
      <c r="AL965" s="7"/>
      <c r="AM965" s="7"/>
      <c r="AN965" s="7"/>
      <c r="AO965" s="7"/>
      <c r="AR965" s="7"/>
      <c r="AS965" s="7"/>
      <c r="AT965" s="7"/>
      <c r="AU965" s="7"/>
      <c r="AW965" s="7"/>
      <c r="CE965" s="7"/>
      <c r="FZ965" s="2"/>
    </row>
    <row r="966" spans="1:182">
      <c r="A966" s="7"/>
      <c r="D966" s="7"/>
      <c r="E966" s="7"/>
      <c r="F966" s="7"/>
      <c r="G966" s="7"/>
      <c r="H966" s="7"/>
      <c r="I966" s="7"/>
      <c r="J966" s="7"/>
      <c r="K966" s="7"/>
      <c r="L966" s="7"/>
      <c r="M966" s="7"/>
      <c r="N966" s="7"/>
      <c r="O966" s="7"/>
      <c r="P966" s="7"/>
      <c r="Q966" s="7"/>
      <c r="R966" s="7"/>
      <c r="S966" s="7"/>
      <c r="T966" s="7"/>
      <c r="U966" s="7"/>
      <c r="Y966" s="7"/>
      <c r="Z966" s="17"/>
      <c r="AC966" s="7"/>
      <c r="AD966" s="7"/>
      <c r="AE966" s="7"/>
      <c r="AF966" s="7"/>
      <c r="AG966" s="7"/>
      <c r="AH966" s="7"/>
      <c r="AJ966" s="7"/>
      <c r="AK966" s="7"/>
      <c r="AL966" s="7"/>
      <c r="AM966" s="7"/>
      <c r="AN966" s="7"/>
      <c r="AO966" s="7"/>
      <c r="AR966" s="7"/>
      <c r="AS966" s="7"/>
      <c r="AT966" s="7"/>
      <c r="AU966" s="7"/>
      <c r="AW966" s="7"/>
      <c r="CE966" s="7"/>
      <c r="FZ966" s="2"/>
    </row>
    <row r="967" spans="1:182">
      <c r="A967" s="7"/>
      <c r="D967" s="7"/>
      <c r="E967" s="7"/>
      <c r="F967" s="7"/>
      <c r="G967" s="7"/>
      <c r="H967" s="7"/>
      <c r="I967" s="7"/>
      <c r="J967" s="7"/>
      <c r="K967" s="7"/>
      <c r="L967" s="7"/>
      <c r="M967" s="7"/>
      <c r="N967" s="7"/>
      <c r="O967" s="7"/>
      <c r="P967" s="7"/>
      <c r="Q967" s="7"/>
      <c r="R967" s="7"/>
      <c r="S967" s="7"/>
      <c r="T967" s="7"/>
      <c r="U967" s="7"/>
      <c r="Y967" s="7"/>
      <c r="Z967" s="17"/>
      <c r="AC967" s="7"/>
      <c r="AD967" s="7"/>
      <c r="AE967" s="7"/>
      <c r="AF967" s="7"/>
      <c r="AG967" s="7"/>
      <c r="AH967" s="7"/>
      <c r="AJ967" s="7"/>
      <c r="AK967" s="7"/>
      <c r="AL967" s="7"/>
      <c r="AM967" s="7"/>
      <c r="AN967" s="7"/>
      <c r="AO967" s="7"/>
      <c r="AR967" s="7"/>
      <c r="AS967" s="7"/>
      <c r="AT967" s="7"/>
      <c r="AU967" s="7"/>
      <c r="AW967" s="7"/>
      <c r="CE967" s="7"/>
      <c r="FZ967" s="2"/>
    </row>
    <row r="968" spans="1:182">
      <c r="A968" s="7"/>
      <c r="D968" s="7"/>
      <c r="E968" s="7"/>
      <c r="F968" s="7"/>
      <c r="G968" s="7"/>
      <c r="H968" s="7"/>
      <c r="I968" s="7"/>
      <c r="J968" s="7"/>
      <c r="K968" s="7"/>
      <c r="L968" s="7"/>
      <c r="M968" s="7"/>
      <c r="N968" s="7"/>
      <c r="O968" s="7"/>
      <c r="P968" s="7"/>
      <c r="Q968" s="7"/>
      <c r="R968" s="7"/>
      <c r="S968" s="7"/>
      <c r="T968" s="7"/>
      <c r="U968" s="7"/>
      <c r="Y968" s="7"/>
      <c r="Z968" s="17"/>
      <c r="AC968" s="7"/>
      <c r="AD968" s="7"/>
      <c r="AE968" s="7"/>
      <c r="AF968" s="7"/>
      <c r="AG968" s="7"/>
      <c r="AH968" s="7"/>
      <c r="AJ968" s="7"/>
      <c r="AK968" s="7"/>
      <c r="AL968" s="7"/>
      <c r="AM968" s="7"/>
      <c r="AN968" s="7"/>
      <c r="AO968" s="7"/>
      <c r="AR968" s="7"/>
      <c r="AS968" s="7"/>
      <c r="AT968" s="7"/>
      <c r="AU968" s="7"/>
      <c r="AW968" s="7"/>
      <c r="CE968" s="7"/>
      <c r="FZ968" s="2"/>
    </row>
    <row r="969" spans="1:182">
      <c r="A969" s="7"/>
      <c r="D969" s="7"/>
      <c r="E969" s="7"/>
      <c r="F969" s="7"/>
      <c r="G969" s="7"/>
      <c r="H969" s="7"/>
      <c r="I969" s="7"/>
      <c r="J969" s="7"/>
      <c r="K969" s="7"/>
      <c r="L969" s="7"/>
      <c r="M969" s="7"/>
      <c r="N969" s="7"/>
      <c r="O969" s="7"/>
      <c r="P969" s="7"/>
      <c r="Q969" s="7"/>
      <c r="R969" s="7"/>
      <c r="S969" s="7"/>
      <c r="T969" s="7"/>
      <c r="U969" s="7"/>
      <c r="Y969" s="7"/>
      <c r="Z969" s="17"/>
      <c r="AC969" s="7"/>
      <c r="AD969" s="7"/>
      <c r="AE969" s="7"/>
      <c r="AF969" s="7"/>
      <c r="AG969" s="7"/>
      <c r="AH969" s="7"/>
      <c r="AJ969" s="7"/>
      <c r="AK969" s="7"/>
      <c r="AL969" s="7"/>
      <c r="AM969" s="7"/>
      <c r="AN969" s="7"/>
      <c r="AO969" s="7"/>
      <c r="AR969" s="7"/>
      <c r="AS969" s="7"/>
      <c r="AT969" s="7"/>
      <c r="AU969" s="7"/>
      <c r="AW969" s="7"/>
      <c r="CE969" s="7"/>
      <c r="FZ969" s="2"/>
    </row>
    <row r="970" spans="1:182">
      <c r="A970" s="7"/>
      <c r="D970" s="7"/>
      <c r="E970" s="7"/>
      <c r="F970" s="7"/>
      <c r="G970" s="7"/>
      <c r="H970" s="7"/>
      <c r="I970" s="7"/>
      <c r="J970" s="7"/>
      <c r="K970" s="7"/>
      <c r="L970" s="7"/>
      <c r="M970" s="7"/>
      <c r="N970" s="7"/>
      <c r="O970" s="7"/>
      <c r="P970" s="7"/>
      <c r="Q970" s="7"/>
      <c r="R970" s="7"/>
      <c r="S970" s="7"/>
      <c r="T970" s="7"/>
      <c r="U970" s="7"/>
      <c r="Y970" s="7"/>
      <c r="Z970" s="17"/>
      <c r="AC970" s="7"/>
      <c r="AD970" s="7"/>
      <c r="AE970" s="7"/>
      <c r="AF970" s="7"/>
      <c r="AG970" s="7"/>
      <c r="AH970" s="7"/>
      <c r="AJ970" s="7"/>
      <c r="AK970" s="7"/>
      <c r="AL970" s="7"/>
      <c r="AM970" s="7"/>
      <c r="AN970" s="7"/>
      <c r="AO970" s="7"/>
      <c r="AR970" s="7"/>
      <c r="AS970" s="7"/>
      <c r="AT970" s="7"/>
      <c r="AU970" s="7"/>
      <c r="AW970" s="7"/>
      <c r="CE970" s="7"/>
      <c r="FZ970" s="2"/>
    </row>
    <row r="971" spans="1:182">
      <c r="A971" s="7"/>
      <c r="D971" s="7"/>
      <c r="E971" s="7"/>
      <c r="F971" s="7"/>
      <c r="G971" s="7"/>
      <c r="H971" s="7"/>
      <c r="I971" s="7"/>
      <c r="J971" s="7"/>
      <c r="K971" s="7"/>
      <c r="L971" s="7"/>
      <c r="M971" s="7"/>
      <c r="N971" s="7"/>
      <c r="O971" s="7"/>
      <c r="P971" s="7"/>
      <c r="Q971" s="7"/>
      <c r="R971" s="7"/>
      <c r="S971" s="7"/>
      <c r="T971" s="7"/>
      <c r="U971" s="7"/>
      <c r="Y971" s="7"/>
      <c r="Z971" s="17"/>
      <c r="AC971" s="7"/>
      <c r="AD971" s="7"/>
      <c r="AE971" s="7"/>
      <c r="AF971" s="7"/>
      <c r="AG971" s="7"/>
      <c r="AH971" s="7"/>
      <c r="AJ971" s="7"/>
      <c r="AK971" s="7"/>
      <c r="AL971" s="7"/>
      <c r="AM971" s="7"/>
      <c r="AN971" s="7"/>
      <c r="AO971" s="7"/>
      <c r="AR971" s="7"/>
      <c r="AS971" s="7"/>
      <c r="AT971" s="7"/>
      <c r="AU971" s="7"/>
      <c r="AW971" s="7"/>
      <c r="CE971" s="7"/>
      <c r="FZ971" s="2"/>
    </row>
    <row r="972" spans="1:182">
      <c r="A972" s="7"/>
      <c r="D972" s="7"/>
      <c r="E972" s="7"/>
      <c r="F972" s="7"/>
      <c r="G972" s="7"/>
      <c r="H972" s="7"/>
      <c r="I972" s="7"/>
      <c r="J972" s="7"/>
      <c r="K972" s="7"/>
      <c r="L972" s="7"/>
      <c r="M972" s="7"/>
      <c r="N972" s="7"/>
      <c r="O972" s="7"/>
      <c r="P972" s="7"/>
      <c r="Q972" s="7"/>
      <c r="R972" s="7"/>
      <c r="S972" s="7"/>
      <c r="T972" s="7"/>
      <c r="U972" s="7"/>
      <c r="Y972" s="7"/>
      <c r="Z972" s="17"/>
      <c r="AC972" s="7"/>
      <c r="AD972" s="7"/>
      <c r="AE972" s="7"/>
      <c r="AF972" s="7"/>
      <c r="AG972" s="7"/>
      <c r="AH972" s="7"/>
      <c r="AJ972" s="7"/>
      <c r="AK972" s="7"/>
      <c r="AL972" s="7"/>
      <c r="AM972" s="7"/>
      <c r="AN972" s="7"/>
      <c r="AO972" s="7"/>
      <c r="AR972" s="7"/>
      <c r="AS972" s="7"/>
      <c r="AT972" s="7"/>
      <c r="AU972" s="7"/>
      <c r="AW972" s="7"/>
      <c r="CE972" s="7"/>
      <c r="FZ972" s="2"/>
    </row>
    <row r="973" spans="1:182">
      <c r="A973" s="7"/>
      <c r="D973" s="7"/>
      <c r="E973" s="7"/>
      <c r="F973" s="7"/>
      <c r="G973" s="7"/>
      <c r="H973" s="7"/>
      <c r="I973" s="7"/>
      <c r="J973" s="7"/>
      <c r="K973" s="7"/>
      <c r="L973" s="7"/>
      <c r="M973" s="7"/>
      <c r="N973" s="7"/>
      <c r="O973" s="7"/>
      <c r="P973" s="7"/>
      <c r="Q973" s="7"/>
      <c r="R973" s="7"/>
      <c r="S973" s="7"/>
      <c r="T973" s="7"/>
      <c r="U973" s="7"/>
      <c r="Y973" s="7"/>
      <c r="Z973" s="17"/>
      <c r="AC973" s="7"/>
      <c r="AD973" s="7"/>
      <c r="AE973" s="7"/>
      <c r="AF973" s="7"/>
      <c r="AG973" s="7"/>
      <c r="AH973" s="7"/>
      <c r="AJ973" s="7"/>
      <c r="AK973" s="7"/>
      <c r="AL973" s="7"/>
      <c r="AM973" s="7"/>
      <c r="AN973" s="7"/>
      <c r="AO973" s="7"/>
      <c r="AR973" s="7"/>
      <c r="AS973" s="7"/>
      <c r="AT973" s="7"/>
      <c r="AU973" s="7"/>
      <c r="AW973" s="7"/>
      <c r="CE973" s="7"/>
      <c r="FZ973" s="2"/>
    </row>
    <row r="974" spans="1:182">
      <c r="A974" s="7"/>
      <c r="D974" s="7"/>
      <c r="E974" s="7"/>
      <c r="F974" s="7"/>
      <c r="G974" s="7"/>
      <c r="H974" s="7"/>
      <c r="I974" s="7"/>
      <c r="J974" s="7"/>
      <c r="K974" s="7"/>
      <c r="L974" s="7"/>
      <c r="M974" s="7"/>
      <c r="N974" s="7"/>
      <c r="O974" s="7"/>
      <c r="P974" s="7"/>
      <c r="Q974" s="7"/>
      <c r="R974" s="7"/>
      <c r="S974" s="7"/>
      <c r="T974" s="7"/>
      <c r="U974" s="7"/>
      <c r="Y974" s="7"/>
      <c r="Z974" s="17"/>
      <c r="AC974" s="7"/>
      <c r="AD974" s="7"/>
      <c r="AE974" s="7"/>
      <c r="AF974" s="7"/>
      <c r="AG974" s="7"/>
      <c r="AH974" s="7"/>
      <c r="AJ974" s="7"/>
      <c r="AK974" s="7"/>
      <c r="AL974" s="7"/>
      <c r="AM974" s="7"/>
      <c r="AN974" s="7"/>
      <c r="AO974" s="7"/>
      <c r="AR974" s="7"/>
      <c r="AS974" s="7"/>
      <c r="AT974" s="7"/>
      <c r="AU974" s="7"/>
      <c r="AW974" s="7"/>
      <c r="CE974" s="7"/>
      <c r="FZ974" s="2"/>
    </row>
    <row r="975" spans="1:182">
      <c r="A975" s="7"/>
      <c r="D975" s="7"/>
      <c r="E975" s="7"/>
      <c r="F975" s="7"/>
      <c r="G975" s="7"/>
      <c r="H975" s="7"/>
      <c r="I975" s="7"/>
      <c r="J975" s="7"/>
      <c r="K975" s="7"/>
      <c r="L975" s="7"/>
      <c r="M975" s="7"/>
      <c r="N975" s="7"/>
      <c r="O975" s="7"/>
      <c r="P975" s="7"/>
      <c r="Q975" s="7"/>
      <c r="R975" s="7"/>
      <c r="S975" s="7"/>
      <c r="T975" s="7"/>
      <c r="U975" s="7"/>
      <c r="Y975" s="7"/>
      <c r="Z975" s="17"/>
      <c r="AC975" s="7"/>
      <c r="AD975" s="7"/>
      <c r="AE975" s="7"/>
      <c r="AF975" s="7"/>
      <c r="AG975" s="7"/>
      <c r="AH975" s="7"/>
      <c r="AJ975" s="7"/>
      <c r="AK975" s="7"/>
      <c r="AL975" s="7"/>
      <c r="AM975" s="7"/>
      <c r="AN975" s="7"/>
      <c r="AO975" s="7"/>
      <c r="AR975" s="7"/>
      <c r="AS975" s="7"/>
      <c r="AT975" s="7"/>
      <c r="AU975" s="7"/>
      <c r="AW975" s="7"/>
      <c r="CE975" s="7"/>
      <c r="FZ975" s="2"/>
    </row>
    <row r="976" spans="1:182">
      <c r="A976" s="7"/>
      <c r="D976" s="7"/>
      <c r="E976" s="7"/>
      <c r="F976" s="7"/>
      <c r="G976" s="7"/>
      <c r="H976" s="7"/>
      <c r="I976" s="7"/>
      <c r="J976" s="7"/>
      <c r="K976" s="7"/>
      <c r="L976" s="7"/>
      <c r="M976" s="7"/>
      <c r="N976" s="7"/>
      <c r="O976" s="7"/>
      <c r="P976" s="7"/>
      <c r="Q976" s="7"/>
      <c r="R976" s="7"/>
      <c r="S976" s="7"/>
      <c r="T976" s="7"/>
      <c r="U976" s="7"/>
      <c r="Y976" s="7"/>
      <c r="Z976" s="17"/>
      <c r="AC976" s="7"/>
      <c r="AD976" s="7"/>
      <c r="AE976" s="7"/>
      <c r="AF976" s="7"/>
      <c r="AG976" s="7"/>
      <c r="AH976" s="7"/>
      <c r="AJ976" s="7"/>
      <c r="AK976" s="7"/>
      <c r="AL976" s="7"/>
      <c r="AM976" s="7"/>
      <c r="AN976" s="7"/>
      <c r="AO976" s="7"/>
      <c r="AR976" s="7"/>
      <c r="AS976" s="7"/>
      <c r="AT976" s="7"/>
      <c r="AU976" s="7"/>
      <c r="AW976" s="7"/>
      <c r="CE976" s="7"/>
      <c r="FZ976" s="2"/>
    </row>
    <row r="977" spans="1:182">
      <c r="A977" s="7"/>
      <c r="D977" s="7"/>
      <c r="E977" s="7"/>
      <c r="F977" s="7"/>
      <c r="G977" s="7"/>
      <c r="H977" s="7"/>
      <c r="I977" s="7"/>
      <c r="J977" s="7"/>
      <c r="K977" s="7"/>
      <c r="L977" s="7"/>
      <c r="M977" s="7"/>
      <c r="N977" s="7"/>
      <c r="O977" s="7"/>
      <c r="P977" s="7"/>
      <c r="Q977" s="7"/>
      <c r="R977" s="7"/>
      <c r="S977" s="7"/>
      <c r="T977" s="7"/>
      <c r="U977" s="7"/>
      <c r="Y977" s="7"/>
      <c r="Z977" s="17"/>
      <c r="AC977" s="7"/>
      <c r="AD977" s="7"/>
      <c r="AE977" s="7"/>
      <c r="AF977" s="7"/>
      <c r="AG977" s="7"/>
      <c r="AH977" s="7"/>
      <c r="AJ977" s="7"/>
      <c r="AK977" s="7"/>
      <c r="AL977" s="7"/>
      <c r="AM977" s="7"/>
      <c r="AN977" s="7"/>
      <c r="AO977" s="7"/>
      <c r="AR977" s="7"/>
      <c r="AS977" s="7"/>
      <c r="AT977" s="7"/>
      <c r="AU977" s="7"/>
      <c r="AW977" s="7"/>
      <c r="CE977" s="7"/>
      <c r="FZ977" s="2"/>
    </row>
    <row r="978" spans="1:182">
      <c r="A978" s="7"/>
      <c r="D978" s="7"/>
      <c r="E978" s="7"/>
      <c r="F978" s="7"/>
      <c r="G978" s="7"/>
      <c r="H978" s="7"/>
      <c r="I978" s="7"/>
      <c r="J978" s="7"/>
      <c r="K978" s="7"/>
      <c r="L978" s="7"/>
      <c r="M978" s="7"/>
      <c r="N978" s="7"/>
      <c r="O978" s="7"/>
      <c r="P978" s="7"/>
      <c r="Q978" s="7"/>
      <c r="R978" s="7"/>
      <c r="S978" s="7"/>
      <c r="T978" s="7"/>
      <c r="U978" s="7"/>
      <c r="Y978" s="7"/>
      <c r="Z978" s="17"/>
      <c r="AC978" s="7"/>
      <c r="AD978" s="7"/>
      <c r="AE978" s="7"/>
      <c r="AF978" s="7"/>
      <c r="AG978" s="7"/>
      <c r="AH978" s="7"/>
      <c r="AJ978" s="7"/>
      <c r="AK978" s="7"/>
      <c r="AL978" s="7"/>
      <c r="AM978" s="7"/>
      <c r="AN978" s="7"/>
      <c r="AO978" s="7"/>
      <c r="AR978" s="7"/>
      <c r="AS978" s="7"/>
      <c r="AT978" s="7"/>
      <c r="AU978" s="7"/>
      <c r="AW978" s="7"/>
      <c r="CE978" s="7"/>
      <c r="FZ978" s="2"/>
    </row>
    <row r="979" spans="1:182">
      <c r="A979" s="7"/>
      <c r="D979" s="7"/>
      <c r="E979" s="7"/>
      <c r="F979" s="7"/>
      <c r="G979" s="7"/>
      <c r="H979" s="7"/>
      <c r="I979" s="7"/>
      <c r="J979" s="7"/>
      <c r="K979" s="7"/>
      <c r="L979" s="7"/>
      <c r="M979" s="7"/>
      <c r="N979" s="7"/>
      <c r="O979" s="7"/>
      <c r="P979" s="7"/>
      <c r="Q979" s="7"/>
      <c r="R979" s="7"/>
      <c r="S979" s="7"/>
      <c r="T979" s="7"/>
      <c r="U979" s="7"/>
      <c r="Y979" s="7"/>
      <c r="Z979" s="17"/>
      <c r="AC979" s="7"/>
      <c r="AD979" s="7"/>
      <c r="AE979" s="7"/>
      <c r="AF979" s="7"/>
      <c r="AG979" s="7"/>
      <c r="AH979" s="7"/>
      <c r="AJ979" s="7"/>
      <c r="AK979" s="7"/>
      <c r="AL979" s="7"/>
      <c r="AM979" s="7"/>
      <c r="AN979" s="7"/>
      <c r="AO979" s="7"/>
      <c r="AR979" s="7"/>
      <c r="AS979" s="7"/>
      <c r="AT979" s="7"/>
      <c r="AU979" s="7"/>
      <c r="AW979" s="7"/>
      <c r="CE979" s="7"/>
      <c r="FZ979" s="2"/>
    </row>
    <row r="980" spans="1:182">
      <c r="A980" s="7"/>
      <c r="D980" s="7"/>
      <c r="E980" s="7"/>
      <c r="F980" s="7"/>
      <c r="G980" s="7"/>
      <c r="H980" s="7"/>
      <c r="I980" s="7"/>
      <c r="J980" s="7"/>
      <c r="K980" s="7"/>
      <c r="L980" s="7"/>
      <c r="M980" s="7"/>
      <c r="N980" s="7"/>
      <c r="O980" s="7"/>
      <c r="P980" s="7"/>
      <c r="Q980" s="7"/>
      <c r="R980" s="7"/>
      <c r="S980" s="7"/>
      <c r="T980" s="7"/>
      <c r="U980" s="7"/>
      <c r="Y980" s="7"/>
      <c r="Z980" s="17"/>
      <c r="AC980" s="7"/>
      <c r="AD980" s="7"/>
      <c r="AE980" s="7"/>
      <c r="AF980" s="7"/>
      <c r="AG980" s="7"/>
      <c r="AH980" s="7"/>
      <c r="AJ980" s="7"/>
      <c r="AK980" s="7"/>
      <c r="AL980" s="7"/>
      <c r="AM980" s="7"/>
      <c r="AN980" s="7"/>
      <c r="AO980" s="7"/>
      <c r="AR980" s="7"/>
      <c r="AS980" s="7"/>
      <c r="AT980" s="7"/>
      <c r="AU980" s="7"/>
      <c r="AW980" s="7"/>
      <c r="CE980" s="7"/>
      <c r="FZ980" s="2"/>
    </row>
    <row r="981" spans="1:182">
      <c r="A981" s="7"/>
      <c r="D981" s="7"/>
      <c r="E981" s="7"/>
      <c r="F981" s="7"/>
      <c r="G981" s="7"/>
      <c r="H981" s="7"/>
      <c r="I981" s="7"/>
      <c r="J981" s="7"/>
      <c r="K981" s="7"/>
      <c r="L981" s="7"/>
      <c r="M981" s="7"/>
      <c r="N981" s="7"/>
      <c r="O981" s="7"/>
      <c r="P981" s="7"/>
      <c r="Q981" s="7"/>
      <c r="R981" s="7"/>
      <c r="S981" s="7"/>
      <c r="T981" s="7"/>
      <c r="U981" s="7"/>
      <c r="Y981" s="7"/>
      <c r="Z981" s="17"/>
      <c r="AC981" s="7"/>
      <c r="AD981" s="7"/>
      <c r="AE981" s="7"/>
      <c r="AF981" s="7"/>
      <c r="AG981" s="7"/>
      <c r="AH981" s="7"/>
      <c r="AJ981" s="7"/>
      <c r="AK981" s="7"/>
      <c r="AL981" s="7"/>
      <c r="AM981" s="7"/>
      <c r="AN981" s="7"/>
      <c r="AO981" s="7"/>
      <c r="AR981" s="7"/>
      <c r="AS981" s="7"/>
      <c r="AT981" s="7"/>
      <c r="AU981" s="7"/>
      <c r="AW981" s="7"/>
      <c r="CE981" s="7"/>
      <c r="FZ981" s="2"/>
    </row>
    <row r="982" spans="1:182">
      <c r="A982" s="7"/>
      <c r="D982" s="7"/>
      <c r="E982" s="7"/>
      <c r="F982" s="7"/>
      <c r="G982" s="7"/>
      <c r="H982" s="7"/>
      <c r="I982" s="7"/>
      <c r="J982" s="7"/>
      <c r="K982" s="7"/>
      <c r="L982" s="7"/>
      <c r="M982" s="7"/>
      <c r="N982" s="7"/>
      <c r="O982" s="7"/>
      <c r="P982" s="7"/>
      <c r="Q982" s="7"/>
      <c r="R982" s="7"/>
      <c r="S982" s="7"/>
      <c r="T982" s="7"/>
      <c r="U982" s="7"/>
      <c r="Y982" s="7"/>
      <c r="Z982" s="17"/>
      <c r="AC982" s="7"/>
      <c r="AD982" s="7"/>
      <c r="AE982" s="7"/>
      <c r="AF982" s="7"/>
      <c r="AG982" s="7"/>
      <c r="AH982" s="7"/>
      <c r="AJ982" s="7"/>
      <c r="AK982" s="7"/>
      <c r="AL982" s="7"/>
      <c r="AM982" s="7"/>
      <c r="AN982" s="7"/>
      <c r="AO982" s="7"/>
      <c r="AR982" s="7"/>
      <c r="AS982" s="7"/>
      <c r="AT982" s="7"/>
      <c r="AU982" s="7"/>
      <c r="AW982" s="7"/>
      <c r="CE982" s="7"/>
      <c r="FZ982" s="2"/>
    </row>
    <row r="983" spans="1:182">
      <c r="A983" s="7"/>
      <c r="D983" s="7"/>
      <c r="E983" s="7"/>
      <c r="F983" s="7"/>
      <c r="G983" s="7"/>
      <c r="H983" s="7"/>
      <c r="I983" s="7"/>
      <c r="J983" s="7"/>
      <c r="K983" s="7"/>
      <c r="L983" s="7"/>
      <c r="M983" s="7"/>
      <c r="N983" s="7"/>
      <c r="O983" s="7"/>
      <c r="P983" s="7"/>
      <c r="Q983" s="7"/>
      <c r="R983" s="7"/>
      <c r="S983" s="7"/>
      <c r="T983" s="7"/>
      <c r="U983" s="7"/>
      <c r="Y983" s="7"/>
      <c r="Z983" s="17"/>
      <c r="AC983" s="7"/>
      <c r="AD983" s="7"/>
      <c r="AE983" s="7"/>
      <c r="AF983" s="7"/>
      <c r="AG983" s="7"/>
      <c r="AH983" s="7"/>
      <c r="AJ983" s="7"/>
      <c r="AK983" s="7"/>
      <c r="AL983" s="7"/>
      <c r="AM983" s="7"/>
      <c r="AN983" s="7"/>
      <c r="AO983" s="7"/>
      <c r="AR983" s="7"/>
      <c r="AS983" s="7"/>
      <c r="AT983" s="7"/>
      <c r="AU983" s="7"/>
      <c r="AW983" s="7"/>
      <c r="CE983" s="7"/>
      <c r="FZ983" s="2"/>
    </row>
    <row r="984" spans="1:182">
      <c r="A984" s="7"/>
      <c r="D984" s="7"/>
      <c r="E984" s="7"/>
      <c r="F984" s="7"/>
      <c r="G984" s="7"/>
      <c r="H984" s="7"/>
      <c r="I984" s="7"/>
      <c r="J984" s="7"/>
      <c r="K984" s="7"/>
      <c r="L984" s="7"/>
      <c r="M984" s="7"/>
      <c r="N984" s="7"/>
      <c r="O984" s="7"/>
      <c r="P984" s="7"/>
      <c r="Q984" s="7"/>
      <c r="R984" s="7"/>
      <c r="S984" s="7"/>
      <c r="T984" s="7"/>
      <c r="U984" s="7"/>
      <c r="Y984" s="7"/>
      <c r="Z984" s="17"/>
      <c r="AC984" s="7"/>
      <c r="AD984" s="7"/>
      <c r="AE984" s="7"/>
      <c r="AF984" s="7"/>
      <c r="AG984" s="7"/>
      <c r="AH984" s="7"/>
      <c r="AJ984" s="7"/>
      <c r="AK984" s="7"/>
      <c r="AL984" s="7"/>
      <c r="AM984" s="7"/>
      <c r="AN984" s="7"/>
      <c r="AO984" s="7"/>
      <c r="AR984" s="7"/>
      <c r="AS984" s="7"/>
      <c r="AT984" s="7"/>
      <c r="AU984" s="7"/>
      <c r="AW984" s="7"/>
      <c r="CE984" s="7"/>
      <c r="FZ984" s="2"/>
    </row>
    <row r="985" spans="1:182">
      <c r="A985" s="7"/>
      <c r="D985" s="7"/>
      <c r="E985" s="7"/>
      <c r="F985" s="7"/>
      <c r="G985" s="7"/>
      <c r="H985" s="7"/>
      <c r="I985" s="7"/>
      <c r="J985" s="7"/>
      <c r="K985" s="7"/>
      <c r="L985" s="7"/>
      <c r="M985" s="7"/>
      <c r="N985" s="7"/>
      <c r="O985" s="7"/>
      <c r="P985" s="7"/>
      <c r="Q985" s="7"/>
      <c r="R985" s="7"/>
      <c r="S985" s="7"/>
      <c r="T985" s="7"/>
      <c r="U985" s="7"/>
      <c r="Y985" s="7"/>
      <c r="Z985" s="17"/>
      <c r="AC985" s="7"/>
      <c r="AD985" s="7"/>
      <c r="AE985" s="7"/>
      <c r="AF985" s="7"/>
      <c r="AG985" s="7"/>
      <c r="AH985" s="7"/>
      <c r="AJ985" s="7"/>
      <c r="AK985" s="7"/>
      <c r="AL985" s="7"/>
      <c r="AM985" s="7"/>
      <c r="AN985" s="7"/>
      <c r="AO985" s="7"/>
      <c r="AR985" s="7"/>
      <c r="AS985" s="7"/>
      <c r="AT985" s="7"/>
      <c r="AU985" s="7"/>
      <c r="AW985" s="7"/>
      <c r="CE985" s="7"/>
      <c r="FZ985" s="2"/>
    </row>
    <row r="986" spans="1:182">
      <c r="A986" s="7"/>
      <c r="D986" s="7"/>
      <c r="E986" s="7"/>
      <c r="F986" s="7"/>
      <c r="G986" s="7"/>
      <c r="H986" s="7"/>
      <c r="I986" s="7"/>
      <c r="J986" s="7"/>
      <c r="K986" s="7"/>
      <c r="L986" s="7"/>
      <c r="M986" s="7"/>
      <c r="N986" s="7"/>
      <c r="O986" s="7"/>
      <c r="P986" s="7"/>
      <c r="Q986" s="7"/>
      <c r="R986" s="7"/>
      <c r="S986" s="7"/>
      <c r="T986" s="7"/>
      <c r="U986" s="7"/>
      <c r="Y986" s="7"/>
      <c r="Z986" s="17"/>
      <c r="AC986" s="7"/>
      <c r="AD986" s="7"/>
      <c r="AE986" s="7"/>
      <c r="AF986" s="7"/>
      <c r="AG986" s="7"/>
      <c r="AH986" s="7"/>
      <c r="AJ986" s="7"/>
      <c r="AK986" s="7"/>
      <c r="AL986" s="7"/>
      <c r="AM986" s="7"/>
      <c r="AN986" s="7"/>
      <c r="AO986" s="7"/>
      <c r="AR986" s="7"/>
      <c r="AS986" s="7"/>
      <c r="AT986" s="7"/>
      <c r="AU986" s="7"/>
      <c r="AW986" s="7"/>
      <c r="CE986" s="7"/>
      <c r="FZ986" s="2"/>
    </row>
    <row r="987" spans="1:182">
      <c r="A987" s="7"/>
      <c r="D987" s="7"/>
      <c r="E987" s="7"/>
      <c r="F987" s="7"/>
      <c r="G987" s="7"/>
      <c r="H987" s="7"/>
      <c r="I987" s="7"/>
      <c r="J987" s="7"/>
      <c r="K987" s="7"/>
      <c r="L987" s="7"/>
      <c r="M987" s="7"/>
      <c r="N987" s="7"/>
      <c r="O987" s="7"/>
      <c r="P987" s="7"/>
      <c r="Q987" s="7"/>
      <c r="R987" s="7"/>
      <c r="S987" s="7"/>
      <c r="T987" s="7"/>
      <c r="U987" s="7"/>
      <c r="Y987" s="7"/>
      <c r="Z987" s="17"/>
      <c r="AC987" s="7"/>
      <c r="AD987" s="7"/>
      <c r="AE987" s="7"/>
      <c r="AF987" s="7"/>
      <c r="AG987" s="7"/>
      <c r="AH987" s="7"/>
      <c r="AJ987" s="7"/>
      <c r="AK987" s="7"/>
      <c r="AL987" s="7"/>
      <c r="AM987" s="7"/>
      <c r="AN987" s="7"/>
      <c r="AO987" s="7"/>
      <c r="AR987" s="7"/>
      <c r="AS987" s="7"/>
      <c r="AT987" s="7"/>
      <c r="AU987" s="7"/>
      <c r="AW987" s="7"/>
      <c r="CE987" s="7"/>
      <c r="FZ987" s="2"/>
    </row>
    <row r="988" spans="1:182">
      <c r="A988" s="7"/>
      <c r="D988" s="7"/>
      <c r="E988" s="7"/>
      <c r="F988" s="7"/>
      <c r="G988" s="7"/>
      <c r="H988" s="7"/>
      <c r="I988" s="7"/>
      <c r="J988" s="7"/>
      <c r="K988" s="7"/>
      <c r="L988" s="7"/>
      <c r="M988" s="7"/>
      <c r="N988" s="7"/>
      <c r="O988" s="7"/>
      <c r="P988" s="7"/>
      <c r="Q988" s="7"/>
      <c r="R988" s="7"/>
      <c r="S988" s="7"/>
      <c r="T988" s="7"/>
      <c r="U988" s="7"/>
      <c r="Y988" s="7"/>
      <c r="Z988" s="17"/>
      <c r="AC988" s="7"/>
      <c r="AD988" s="7"/>
      <c r="AE988" s="7"/>
      <c r="AF988" s="7"/>
      <c r="AG988" s="7"/>
      <c r="AH988" s="7"/>
      <c r="AJ988" s="7"/>
      <c r="AK988" s="7"/>
      <c r="AL988" s="7"/>
      <c r="AM988" s="7"/>
      <c r="AN988" s="7"/>
      <c r="AO988" s="7"/>
      <c r="AR988" s="7"/>
      <c r="AS988" s="7"/>
      <c r="AT988" s="7"/>
      <c r="AU988" s="7"/>
      <c r="AW988" s="7"/>
      <c r="CE988" s="7"/>
      <c r="FZ988" s="2"/>
    </row>
    <row r="989" spans="1:182">
      <c r="A989" s="7"/>
      <c r="D989" s="7"/>
      <c r="E989" s="7"/>
      <c r="F989" s="7"/>
      <c r="G989" s="7"/>
      <c r="H989" s="7"/>
      <c r="I989" s="7"/>
      <c r="J989" s="7"/>
      <c r="K989" s="7"/>
      <c r="L989" s="7"/>
      <c r="M989" s="7"/>
      <c r="N989" s="7"/>
      <c r="O989" s="7"/>
      <c r="P989" s="7"/>
      <c r="Q989" s="7"/>
      <c r="R989" s="7"/>
      <c r="S989" s="7"/>
      <c r="T989" s="7"/>
      <c r="U989" s="7"/>
      <c r="Y989" s="7"/>
      <c r="Z989" s="17"/>
      <c r="AC989" s="7"/>
      <c r="AD989" s="7"/>
      <c r="AE989" s="7"/>
      <c r="AF989" s="7"/>
      <c r="AG989" s="7"/>
      <c r="AH989" s="7"/>
      <c r="AJ989" s="7"/>
      <c r="AK989" s="7"/>
      <c r="AL989" s="7"/>
      <c r="AM989" s="7"/>
      <c r="AN989" s="7"/>
      <c r="AO989" s="7"/>
      <c r="AR989" s="7"/>
      <c r="AS989" s="7"/>
      <c r="AT989" s="7"/>
      <c r="AU989" s="7"/>
      <c r="AW989" s="7"/>
      <c r="CE989" s="7"/>
      <c r="FZ989" s="2"/>
    </row>
    <row r="990" spans="1:182">
      <c r="A990" s="7"/>
      <c r="D990" s="7"/>
      <c r="E990" s="7"/>
      <c r="F990" s="7"/>
      <c r="G990" s="7"/>
      <c r="H990" s="7"/>
      <c r="I990" s="7"/>
      <c r="J990" s="7"/>
      <c r="K990" s="7"/>
      <c r="L990" s="7"/>
      <c r="M990" s="7"/>
      <c r="N990" s="7"/>
      <c r="O990" s="7"/>
      <c r="P990" s="7"/>
      <c r="Q990" s="7"/>
      <c r="R990" s="7"/>
      <c r="S990" s="7"/>
      <c r="T990" s="7"/>
      <c r="U990" s="7"/>
      <c r="Y990" s="7"/>
      <c r="Z990" s="17"/>
      <c r="AC990" s="7"/>
      <c r="AD990" s="7"/>
      <c r="AE990" s="7"/>
      <c r="AF990" s="7"/>
      <c r="AG990" s="7"/>
      <c r="AH990" s="7"/>
      <c r="AJ990" s="7"/>
      <c r="AK990" s="7"/>
      <c r="AL990" s="7"/>
      <c r="AM990" s="7"/>
      <c r="AN990" s="7"/>
      <c r="AO990" s="7"/>
      <c r="AR990" s="7"/>
      <c r="AS990" s="7"/>
      <c r="AT990" s="7"/>
      <c r="AU990" s="7"/>
      <c r="AW990" s="7"/>
      <c r="CE990" s="7"/>
      <c r="FZ990" s="2"/>
    </row>
    <row r="991" spans="1:182">
      <c r="A991" s="7"/>
      <c r="D991" s="7"/>
      <c r="E991" s="7"/>
      <c r="F991" s="7"/>
      <c r="G991" s="7"/>
      <c r="H991" s="7"/>
      <c r="I991" s="7"/>
      <c r="J991" s="7"/>
      <c r="K991" s="7"/>
      <c r="L991" s="7"/>
      <c r="M991" s="7"/>
      <c r="N991" s="7"/>
      <c r="O991" s="7"/>
      <c r="P991" s="7"/>
      <c r="Q991" s="7"/>
      <c r="R991" s="7"/>
      <c r="S991" s="7"/>
      <c r="T991" s="7"/>
      <c r="U991" s="7"/>
      <c r="Y991" s="7"/>
      <c r="Z991" s="17"/>
      <c r="AC991" s="7"/>
      <c r="AD991" s="7"/>
      <c r="AE991" s="7"/>
      <c r="AF991" s="7"/>
      <c r="AG991" s="7"/>
      <c r="AH991" s="7"/>
      <c r="AJ991" s="7"/>
      <c r="AK991" s="7"/>
      <c r="AL991" s="7"/>
      <c r="AM991" s="7"/>
      <c r="AN991" s="7"/>
      <c r="AO991" s="7"/>
      <c r="AR991" s="7"/>
      <c r="AS991" s="7"/>
      <c r="AT991" s="7"/>
      <c r="AU991" s="7"/>
      <c r="AW991" s="7"/>
      <c r="CE991" s="7"/>
      <c r="FZ991" s="2"/>
    </row>
    <row r="992" spans="1:182">
      <c r="A992" s="7"/>
      <c r="D992" s="7"/>
      <c r="E992" s="7"/>
      <c r="F992" s="7"/>
      <c r="G992" s="7"/>
      <c r="H992" s="7"/>
      <c r="I992" s="7"/>
      <c r="J992" s="7"/>
      <c r="K992" s="7"/>
      <c r="L992" s="7"/>
      <c r="M992" s="7"/>
      <c r="N992" s="7"/>
      <c r="O992" s="7"/>
      <c r="P992" s="7"/>
      <c r="Q992" s="7"/>
      <c r="R992" s="7"/>
      <c r="S992" s="7"/>
      <c r="T992" s="7"/>
      <c r="U992" s="7"/>
      <c r="Y992" s="7"/>
      <c r="Z992" s="17"/>
      <c r="AC992" s="7"/>
      <c r="AD992" s="7"/>
      <c r="AE992" s="7"/>
      <c r="AF992" s="7"/>
      <c r="AG992" s="7"/>
      <c r="AH992" s="7"/>
      <c r="AJ992" s="7"/>
      <c r="AK992" s="7"/>
      <c r="AL992" s="7"/>
      <c r="AM992" s="7"/>
      <c r="AN992" s="7"/>
      <c r="AO992" s="7"/>
      <c r="AR992" s="7"/>
      <c r="AS992" s="7"/>
      <c r="AT992" s="7"/>
      <c r="AU992" s="7"/>
      <c r="AW992" s="7"/>
      <c r="CE992" s="7"/>
      <c r="FZ992" s="2"/>
    </row>
    <row r="993" spans="1:182">
      <c r="A993" s="7"/>
      <c r="D993" s="7"/>
      <c r="E993" s="7"/>
      <c r="F993" s="7"/>
      <c r="G993" s="7"/>
      <c r="H993" s="7"/>
      <c r="I993" s="7"/>
      <c r="J993" s="7"/>
      <c r="K993" s="7"/>
      <c r="L993" s="7"/>
      <c r="M993" s="7"/>
      <c r="N993" s="7"/>
      <c r="O993" s="7"/>
      <c r="P993" s="7"/>
      <c r="Q993" s="7"/>
      <c r="R993" s="7"/>
      <c r="S993" s="7"/>
      <c r="T993" s="7"/>
      <c r="U993" s="7"/>
      <c r="Y993" s="7"/>
      <c r="Z993" s="17"/>
      <c r="AC993" s="7"/>
      <c r="AD993" s="7"/>
      <c r="AE993" s="7"/>
      <c r="AF993" s="7"/>
      <c r="AG993" s="7"/>
      <c r="AH993" s="7"/>
      <c r="AJ993" s="7"/>
      <c r="AK993" s="7"/>
      <c r="AL993" s="7"/>
      <c r="AM993" s="7"/>
      <c r="AN993" s="7"/>
      <c r="AO993" s="7"/>
      <c r="AR993" s="7"/>
      <c r="AS993" s="7"/>
      <c r="AT993" s="7"/>
      <c r="AU993" s="7"/>
      <c r="AW993" s="7"/>
      <c r="CE993" s="7"/>
      <c r="FZ993" s="2"/>
    </row>
    <row r="994" spans="1:182">
      <c r="A994" s="7"/>
      <c r="D994" s="7"/>
      <c r="E994" s="7"/>
      <c r="F994" s="7"/>
      <c r="G994" s="7"/>
      <c r="H994" s="7"/>
      <c r="I994" s="7"/>
      <c r="J994" s="7"/>
      <c r="K994" s="7"/>
      <c r="L994" s="7"/>
      <c r="M994" s="7"/>
      <c r="N994" s="7"/>
      <c r="O994" s="7"/>
      <c r="P994" s="7"/>
      <c r="Q994" s="7"/>
      <c r="R994" s="7"/>
      <c r="S994" s="7"/>
      <c r="T994" s="7"/>
      <c r="U994" s="7"/>
      <c r="Y994" s="7"/>
      <c r="Z994" s="17"/>
      <c r="AC994" s="7"/>
      <c r="AD994" s="7"/>
      <c r="AE994" s="7"/>
      <c r="AF994" s="7"/>
      <c r="AG994" s="7"/>
      <c r="AH994" s="7"/>
      <c r="AJ994" s="7"/>
      <c r="AK994" s="7"/>
      <c r="AL994" s="7"/>
      <c r="AM994" s="7"/>
      <c r="AN994" s="7"/>
      <c r="AO994" s="7"/>
      <c r="AR994" s="7"/>
      <c r="AS994" s="7"/>
      <c r="AT994" s="7"/>
      <c r="AU994" s="7"/>
      <c r="AW994" s="7"/>
      <c r="CE994" s="7"/>
      <c r="FZ994" s="2"/>
    </row>
    <row r="995" spans="1:182">
      <c r="A995" s="7"/>
      <c r="D995" s="7"/>
      <c r="E995" s="7"/>
      <c r="F995" s="7"/>
      <c r="G995" s="7"/>
      <c r="H995" s="7"/>
      <c r="I995" s="7"/>
      <c r="J995" s="7"/>
      <c r="K995" s="7"/>
      <c r="L995" s="7"/>
      <c r="M995" s="7"/>
      <c r="N995" s="7"/>
      <c r="O995" s="7"/>
      <c r="P995" s="7"/>
      <c r="Q995" s="7"/>
      <c r="R995" s="7"/>
      <c r="S995" s="7"/>
      <c r="T995" s="7"/>
      <c r="U995" s="7"/>
      <c r="Y995" s="7"/>
      <c r="Z995" s="17"/>
      <c r="AC995" s="7"/>
      <c r="AD995" s="7"/>
      <c r="AE995" s="7"/>
      <c r="AF995" s="7"/>
      <c r="AG995" s="7"/>
      <c r="AH995" s="7"/>
      <c r="AJ995" s="7"/>
      <c r="AK995" s="7"/>
      <c r="AL995" s="7"/>
      <c r="AM995" s="7"/>
      <c r="AN995" s="7"/>
      <c r="AO995" s="7"/>
      <c r="AR995" s="7"/>
      <c r="AS995" s="7"/>
      <c r="AT995" s="7"/>
      <c r="AU995" s="7"/>
      <c r="AW995" s="7"/>
      <c r="CE995" s="7"/>
      <c r="FZ995" s="2"/>
    </row>
    <row r="996" spans="1:182">
      <c r="A996" s="7"/>
      <c r="D996" s="7"/>
      <c r="E996" s="7"/>
      <c r="F996" s="7"/>
      <c r="G996" s="7"/>
      <c r="H996" s="7"/>
      <c r="I996" s="7"/>
      <c r="J996" s="7"/>
      <c r="K996" s="7"/>
      <c r="L996" s="7"/>
      <c r="M996" s="7"/>
      <c r="N996" s="7"/>
      <c r="O996" s="7"/>
      <c r="P996" s="7"/>
      <c r="Q996" s="7"/>
      <c r="R996" s="7"/>
      <c r="S996" s="7"/>
      <c r="T996" s="7"/>
      <c r="U996" s="7"/>
      <c r="Y996" s="7"/>
      <c r="Z996" s="17"/>
      <c r="AC996" s="7"/>
      <c r="AD996" s="7"/>
      <c r="AE996" s="7"/>
      <c r="AF996" s="7"/>
      <c r="AG996" s="7"/>
      <c r="AH996" s="7"/>
      <c r="AJ996" s="7"/>
      <c r="AK996" s="7"/>
      <c r="AL996" s="7"/>
      <c r="AM996" s="7"/>
      <c r="AN996" s="7"/>
      <c r="AO996" s="7"/>
      <c r="AR996" s="7"/>
      <c r="AS996" s="7"/>
      <c r="AT996" s="7"/>
      <c r="AU996" s="7"/>
      <c r="AW996" s="7"/>
      <c r="CE996" s="7"/>
      <c r="FZ996" s="2"/>
    </row>
    <row r="997" spans="1:182">
      <c r="A997" s="7"/>
      <c r="D997" s="7"/>
      <c r="E997" s="7"/>
      <c r="F997" s="7"/>
      <c r="G997" s="7"/>
      <c r="H997" s="7"/>
      <c r="I997" s="7"/>
      <c r="J997" s="7"/>
      <c r="K997" s="7"/>
      <c r="L997" s="7"/>
      <c r="M997" s="7"/>
      <c r="N997" s="7"/>
      <c r="O997" s="7"/>
      <c r="P997" s="7"/>
      <c r="Q997" s="7"/>
      <c r="R997" s="7"/>
      <c r="S997" s="7"/>
      <c r="T997" s="7"/>
      <c r="U997" s="7"/>
      <c r="Y997" s="7"/>
      <c r="Z997" s="17"/>
      <c r="AC997" s="7"/>
      <c r="AD997" s="7"/>
      <c r="AE997" s="7"/>
      <c r="AF997" s="7"/>
      <c r="AG997" s="7"/>
      <c r="AH997" s="7"/>
      <c r="AJ997" s="7"/>
      <c r="AK997" s="7"/>
      <c r="AL997" s="7"/>
      <c r="AM997" s="7"/>
      <c r="AN997" s="7"/>
      <c r="AO997" s="7"/>
      <c r="AR997" s="7"/>
      <c r="AS997" s="7"/>
      <c r="AT997" s="7"/>
      <c r="AU997" s="7"/>
      <c r="AW997" s="7"/>
      <c r="CE997" s="7"/>
      <c r="FZ997" s="2"/>
    </row>
    <row r="998" spans="1:182">
      <c r="A998" s="7"/>
      <c r="D998" s="7"/>
      <c r="E998" s="7"/>
      <c r="F998" s="7"/>
      <c r="G998" s="7"/>
      <c r="H998" s="7"/>
      <c r="I998" s="7"/>
      <c r="J998" s="7"/>
      <c r="K998" s="7"/>
      <c r="L998" s="7"/>
      <c r="M998" s="7"/>
      <c r="N998" s="7"/>
      <c r="O998" s="7"/>
      <c r="P998" s="7"/>
      <c r="Q998" s="7"/>
      <c r="R998" s="7"/>
      <c r="S998" s="7"/>
      <c r="T998" s="7"/>
      <c r="U998" s="7"/>
      <c r="Y998" s="7"/>
      <c r="Z998" s="17"/>
      <c r="AC998" s="7"/>
      <c r="AD998" s="7"/>
      <c r="AE998" s="7"/>
      <c r="AF998" s="7"/>
      <c r="AG998" s="7"/>
      <c r="AH998" s="7"/>
      <c r="AJ998" s="7"/>
      <c r="AK998" s="7"/>
      <c r="AL998" s="7"/>
      <c r="AM998" s="7"/>
      <c r="AN998" s="7"/>
      <c r="AO998" s="7"/>
      <c r="AR998" s="7"/>
      <c r="AS998" s="7"/>
      <c r="AT998" s="7"/>
      <c r="AU998" s="7"/>
      <c r="AW998" s="7"/>
      <c r="CE998" s="7"/>
      <c r="FZ998" s="2"/>
    </row>
    <row r="999" spans="1:182">
      <c r="A999" s="7"/>
      <c r="D999" s="7"/>
      <c r="E999" s="7"/>
      <c r="F999" s="7"/>
      <c r="G999" s="7"/>
      <c r="H999" s="7"/>
      <c r="I999" s="7"/>
      <c r="J999" s="7"/>
      <c r="K999" s="7"/>
      <c r="L999" s="7"/>
      <c r="M999" s="7"/>
      <c r="N999" s="7"/>
      <c r="O999" s="7"/>
      <c r="P999" s="7"/>
      <c r="Q999" s="7"/>
      <c r="R999" s="7"/>
      <c r="S999" s="7"/>
      <c r="T999" s="7"/>
      <c r="U999" s="7"/>
      <c r="Y999" s="7"/>
      <c r="Z999" s="17"/>
      <c r="AC999" s="7"/>
      <c r="AD999" s="7"/>
      <c r="AE999" s="7"/>
      <c r="AF999" s="7"/>
      <c r="AG999" s="7"/>
      <c r="AH999" s="7"/>
      <c r="AJ999" s="7"/>
      <c r="AK999" s="7"/>
      <c r="AL999" s="7"/>
      <c r="AM999" s="7"/>
      <c r="AN999" s="7"/>
      <c r="AO999" s="7"/>
      <c r="AR999" s="7"/>
      <c r="AS999" s="7"/>
      <c r="AT999" s="7"/>
      <c r="AU999" s="7"/>
      <c r="AW999" s="7"/>
      <c r="CE999" s="7"/>
      <c r="FZ999" s="2"/>
    </row>
    <row r="1000" spans="1:182">
      <c r="A1000" s="7"/>
      <c r="D1000" s="7"/>
      <c r="E1000" s="7"/>
      <c r="F1000" s="7"/>
      <c r="G1000" s="7"/>
      <c r="H1000" s="7"/>
      <c r="I1000" s="7"/>
      <c r="J1000" s="7"/>
      <c r="K1000" s="7"/>
      <c r="L1000" s="7"/>
      <c r="M1000" s="7"/>
      <c r="N1000" s="7"/>
      <c r="O1000" s="7"/>
      <c r="P1000" s="7"/>
      <c r="Q1000" s="7"/>
      <c r="R1000" s="7"/>
      <c r="S1000" s="7"/>
      <c r="T1000" s="7"/>
      <c r="U1000" s="7"/>
      <c r="Y1000" s="7"/>
      <c r="Z1000" s="17"/>
      <c r="AC1000" s="7"/>
      <c r="AD1000" s="7"/>
      <c r="AE1000" s="7"/>
      <c r="AF1000" s="7"/>
      <c r="AG1000" s="7"/>
      <c r="AH1000" s="7"/>
      <c r="AJ1000" s="7"/>
      <c r="AK1000" s="7"/>
      <c r="AL1000" s="7"/>
      <c r="AM1000" s="7"/>
      <c r="AN1000" s="7"/>
      <c r="AO1000" s="7"/>
      <c r="AR1000" s="7"/>
      <c r="AS1000" s="7"/>
      <c r="AT1000" s="7"/>
      <c r="AU1000" s="7"/>
      <c r="AW1000" s="7"/>
      <c r="CE1000" s="7"/>
      <c r="FZ1000" s="2"/>
    </row>
    <row r="1001" spans="1:182">
      <c r="A1001" s="7"/>
      <c r="D1001" s="7"/>
      <c r="E1001" s="7"/>
      <c r="F1001" s="7"/>
      <c r="G1001" s="7"/>
      <c r="H1001" s="7"/>
      <c r="I1001" s="7"/>
      <c r="J1001" s="7"/>
      <c r="K1001" s="7"/>
      <c r="L1001" s="7"/>
      <c r="M1001" s="7"/>
      <c r="N1001" s="7"/>
      <c r="O1001" s="7"/>
      <c r="P1001" s="7"/>
      <c r="Q1001" s="7"/>
      <c r="R1001" s="7"/>
      <c r="S1001" s="7"/>
      <c r="T1001" s="7"/>
      <c r="U1001" s="7"/>
      <c r="Y1001" s="7"/>
      <c r="Z1001" s="17"/>
      <c r="AC1001" s="7"/>
      <c r="AD1001" s="7"/>
      <c r="AE1001" s="7"/>
      <c r="AF1001" s="7"/>
      <c r="AG1001" s="7"/>
      <c r="AH1001" s="7"/>
      <c r="AJ1001" s="7"/>
      <c r="AK1001" s="7"/>
      <c r="AL1001" s="7"/>
      <c r="AM1001" s="7"/>
      <c r="AN1001" s="7"/>
      <c r="AO1001" s="7"/>
      <c r="AR1001" s="7"/>
      <c r="AS1001" s="7"/>
      <c r="AT1001" s="7"/>
      <c r="AU1001" s="7"/>
      <c r="AW1001" s="7"/>
      <c r="CE1001" s="7"/>
      <c r="FZ1001" s="2"/>
    </row>
    <row r="1002" spans="1:182">
      <c r="A1002" s="7"/>
      <c r="D1002" s="7"/>
      <c r="E1002" s="7"/>
      <c r="F1002" s="7"/>
      <c r="G1002" s="7"/>
      <c r="H1002" s="7"/>
      <c r="I1002" s="7"/>
      <c r="J1002" s="7"/>
      <c r="K1002" s="7"/>
      <c r="L1002" s="7"/>
      <c r="M1002" s="7"/>
      <c r="N1002" s="7"/>
      <c r="O1002" s="7"/>
      <c r="P1002" s="7"/>
      <c r="Q1002" s="7"/>
      <c r="R1002" s="7"/>
      <c r="S1002" s="7"/>
      <c r="T1002" s="7"/>
      <c r="U1002" s="7"/>
      <c r="Y1002" s="7"/>
      <c r="Z1002" s="17"/>
      <c r="AC1002" s="7"/>
      <c r="AD1002" s="7"/>
      <c r="AE1002" s="7"/>
      <c r="AF1002" s="7"/>
      <c r="AG1002" s="7"/>
      <c r="AH1002" s="7"/>
      <c r="AJ1002" s="7"/>
      <c r="AK1002" s="7"/>
      <c r="AL1002" s="7"/>
      <c r="AM1002" s="7"/>
      <c r="AN1002" s="7"/>
      <c r="AO1002" s="7"/>
      <c r="AR1002" s="7"/>
      <c r="AS1002" s="7"/>
      <c r="AT1002" s="7"/>
      <c r="AU1002" s="7"/>
      <c r="AW1002" s="7"/>
      <c r="CE1002" s="7"/>
      <c r="FZ1002" s="2"/>
    </row>
    <row r="1003" spans="1:182">
      <c r="A1003" s="7"/>
      <c r="D1003" s="7"/>
      <c r="E1003" s="7"/>
      <c r="F1003" s="7"/>
      <c r="G1003" s="7"/>
      <c r="H1003" s="7"/>
      <c r="I1003" s="7"/>
      <c r="J1003" s="7"/>
      <c r="K1003" s="7"/>
      <c r="L1003" s="7"/>
      <c r="M1003" s="7"/>
      <c r="N1003" s="7"/>
      <c r="O1003" s="7"/>
      <c r="P1003" s="7"/>
      <c r="Q1003" s="7"/>
      <c r="R1003" s="7"/>
      <c r="S1003" s="7"/>
      <c r="T1003" s="7"/>
      <c r="U1003" s="7"/>
      <c r="Y1003" s="7"/>
      <c r="Z1003" s="17"/>
      <c r="AC1003" s="7"/>
      <c r="AD1003" s="7"/>
      <c r="AE1003" s="7"/>
      <c r="AF1003" s="7"/>
      <c r="AG1003" s="7"/>
      <c r="AH1003" s="7"/>
      <c r="AJ1003" s="7"/>
      <c r="AK1003" s="7"/>
      <c r="AL1003" s="7"/>
      <c r="AM1003" s="7"/>
      <c r="AN1003" s="7"/>
      <c r="AO1003" s="7"/>
      <c r="AR1003" s="7"/>
      <c r="AS1003" s="7"/>
      <c r="AT1003" s="7"/>
      <c r="AU1003" s="7"/>
      <c r="AW1003" s="7"/>
      <c r="CE1003" s="7"/>
      <c r="FZ1003" s="2"/>
    </row>
    <row r="1004" spans="1:182">
      <c r="A1004" s="7"/>
      <c r="D1004" s="7"/>
      <c r="E1004" s="7"/>
      <c r="F1004" s="7"/>
      <c r="G1004" s="7"/>
      <c r="H1004" s="7"/>
      <c r="I1004" s="7"/>
      <c r="J1004" s="7"/>
      <c r="K1004" s="7"/>
      <c r="L1004" s="7"/>
      <c r="M1004" s="7"/>
      <c r="N1004" s="7"/>
      <c r="O1004" s="7"/>
      <c r="P1004" s="7"/>
      <c r="Q1004" s="7"/>
      <c r="R1004" s="7"/>
      <c r="S1004" s="7"/>
      <c r="T1004" s="7"/>
      <c r="U1004" s="7"/>
      <c r="Y1004" s="7"/>
      <c r="Z1004" s="17"/>
      <c r="AC1004" s="7"/>
      <c r="AD1004" s="7"/>
      <c r="AE1004" s="7"/>
      <c r="AF1004" s="7"/>
      <c r="AG1004" s="7"/>
      <c r="AH1004" s="7"/>
      <c r="AJ1004" s="7"/>
      <c r="AK1004" s="7"/>
      <c r="AL1004" s="7"/>
      <c r="AM1004" s="7"/>
      <c r="AN1004" s="7"/>
      <c r="AO1004" s="7"/>
      <c r="AR1004" s="7"/>
      <c r="AS1004" s="7"/>
      <c r="AT1004" s="7"/>
      <c r="AU1004" s="7"/>
      <c r="AW1004" s="7"/>
      <c r="CE1004" s="7"/>
      <c r="FZ1004" s="2"/>
    </row>
    <row r="1005" spans="1:182">
      <c r="A1005" s="7"/>
      <c r="D1005" s="7"/>
      <c r="E1005" s="7"/>
      <c r="F1005" s="7"/>
      <c r="G1005" s="7"/>
      <c r="H1005" s="7"/>
      <c r="I1005" s="7"/>
      <c r="J1005" s="7"/>
      <c r="K1005" s="7"/>
      <c r="L1005" s="7"/>
      <c r="M1005" s="7"/>
      <c r="N1005" s="7"/>
      <c r="O1005" s="7"/>
      <c r="P1005" s="7"/>
      <c r="Q1005" s="7"/>
      <c r="R1005" s="7"/>
      <c r="S1005" s="7"/>
      <c r="T1005" s="7"/>
      <c r="U1005" s="7"/>
      <c r="Y1005" s="7"/>
      <c r="Z1005" s="17"/>
      <c r="AC1005" s="7"/>
      <c r="AD1005" s="7"/>
      <c r="AE1005" s="7"/>
      <c r="AF1005" s="7"/>
      <c r="AG1005" s="7"/>
      <c r="AH1005" s="7"/>
      <c r="AJ1005" s="7"/>
      <c r="AK1005" s="7"/>
      <c r="AL1005" s="7"/>
      <c r="AM1005" s="7"/>
      <c r="AN1005" s="7"/>
      <c r="AO1005" s="7"/>
      <c r="AR1005" s="7"/>
      <c r="AS1005" s="7"/>
      <c r="AT1005" s="7"/>
      <c r="AU1005" s="7"/>
      <c r="AW1005" s="7"/>
      <c r="CE1005" s="7"/>
      <c r="FZ1005" s="2"/>
    </row>
    <row r="1006" spans="1:182">
      <c r="A1006" s="7"/>
      <c r="D1006" s="7"/>
      <c r="E1006" s="7"/>
      <c r="F1006" s="7"/>
      <c r="G1006" s="7"/>
      <c r="H1006" s="7"/>
      <c r="I1006" s="7"/>
      <c r="J1006" s="7"/>
      <c r="K1006" s="7"/>
      <c r="L1006" s="7"/>
      <c r="M1006" s="7"/>
      <c r="N1006" s="7"/>
      <c r="O1006" s="7"/>
      <c r="P1006" s="7"/>
      <c r="Q1006" s="7"/>
      <c r="R1006" s="7"/>
      <c r="S1006" s="7"/>
      <c r="T1006" s="7"/>
      <c r="U1006" s="7"/>
      <c r="Y1006" s="7"/>
      <c r="Z1006" s="17"/>
      <c r="AC1006" s="7"/>
      <c r="AD1006" s="7"/>
      <c r="AE1006" s="7"/>
      <c r="AF1006" s="7"/>
      <c r="AG1006" s="7"/>
      <c r="AH1006" s="7"/>
      <c r="AJ1006" s="7"/>
      <c r="AK1006" s="7"/>
      <c r="AL1006" s="7"/>
      <c r="AM1006" s="7"/>
      <c r="AN1006" s="7"/>
      <c r="AO1006" s="7"/>
      <c r="AR1006" s="7"/>
      <c r="AS1006" s="7"/>
      <c r="AT1006" s="7"/>
      <c r="AU1006" s="7"/>
      <c r="AW1006" s="7"/>
      <c r="CE1006" s="7"/>
      <c r="FZ1006" s="2"/>
    </row>
    <row r="1007" spans="1:182">
      <c r="A1007" s="7"/>
      <c r="D1007" s="7"/>
      <c r="E1007" s="7"/>
      <c r="F1007" s="7"/>
      <c r="G1007" s="7"/>
      <c r="H1007" s="7"/>
      <c r="I1007" s="7"/>
      <c r="J1007" s="7"/>
      <c r="K1007" s="7"/>
      <c r="L1007" s="7"/>
      <c r="M1007" s="7"/>
      <c r="N1007" s="7"/>
      <c r="O1007" s="7"/>
      <c r="P1007" s="7"/>
      <c r="Q1007" s="7"/>
      <c r="R1007" s="7"/>
      <c r="S1007" s="7"/>
      <c r="T1007" s="7"/>
      <c r="U1007" s="7"/>
      <c r="Y1007" s="7"/>
      <c r="Z1007" s="17"/>
      <c r="AC1007" s="7"/>
      <c r="AD1007" s="7"/>
      <c r="AE1007" s="7"/>
      <c r="AF1007" s="7"/>
      <c r="AG1007" s="7"/>
      <c r="AH1007" s="7"/>
      <c r="AJ1007" s="7"/>
      <c r="AK1007" s="7"/>
      <c r="AL1007" s="7"/>
      <c r="AM1007" s="7"/>
      <c r="AN1007" s="7"/>
      <c r="AO1007" s="7"/>
      <c r="AR1007" s="7"/>
      <c r="AS1007" s="7"/>
      <c r="AT1007" s="7"/>
      <c r="AU1007" s="7"/>
      <c r="AW1007" s="7"/>
      <c r="CE1007" s="7"/>
      <c r="FZ1007" s="2"/>
    </row>
    <row r="1008" spans="1:182">
      <c r="A1008" s="7"/>
      <c r="D1008" s="7"/>
      <c r="E1008" s="7"/>
      <c r="F1008" s="7"/>
      <c r="G1008" s="7"/>
      <c r="H1008" s="7"/>
      <c r="I1008" s="7"/>
      <c r="J1008" s="7"/>
      <c r="K1008" s="7"/>
      <c r="L1008" s="7"/>
      <c r="M1008" s="7"/>
      <c r="N1008" s="7"/>
      <c r="O1008" s="7"/>
      <c r="P1008" s="7"/>
      <c r="Q1008" s="7"/>
      <c r="R1008" s="7"/>
      <c r="S1008" s="7"/>
      <c r="T1008" s="7"/>
      <c r="U1008" s="7"/>
      <c r="Y1008" s="7"/>
      <c r="Z1008" s="17"/>
      <c r="AC1008" s="7"/>
      <c r="AD1008" s="7"/>
      <c r="AE1008" s="7"/>
      <c r="AF1008" s="7"/>
      <c r="AG1008" s="7"/>
      <c r="AH1008" s="7"/>
      <c r="AJ1008" s="7"/>
      <c r="AK1008" s="7"/>
      <c r="AL1008" s="7"/>
      <c r="AM1008" s="7"/>
      <c r="AN1008" s="7"/>
      <c r="AO1008" s="7"/>
      <c r="AR1008" s="7"/>
      <c r="AS1008" s="7"/>
      <c r="AT1008" s="7"/>
      <c r="AU1008" s="7"/>
      <c r="AW1008" s="7"/>
      <c r="CE1008" s="7"/>
      <c r="FZ1008" s="2"/>
    </row>
    <row r="1009" spans="1:182">
      <c r="A1009" s="7"/>
      <c r="D1009" s="7"/>
      <c r="E1009" s="7"/>
      <c r="F1009" s="7"/>
      <c r="G1009" s="7"/>
      <c r="H1009" s="7"/>
      <c r="I1009" s="7"/>
      <c r="J1009" s="7"/>
      <c r="K1009" s="7"/>
      <c r="L1009" s="7"/>
      <c r="M1009" s="7"/>
      <c r="N1009" s="7"/>
      <c r="O1009" s="7"/>
      <c r="P1009" s="7"/>
      <c r="Q1009" s="7"/>
      <c r="R1009" s="7"/>
      <c r="S1009" s="7"/>
      <c r="T1009" s="7"/>
      <c r="U1009" s="7"/>
      <c r="Y1009" s="7"/>
      <c r="Z1009" s="17"/>
      <c r="AC1009" s="7"/>
      <c r="AD1009" s="7"/>
      <c r="AE1009" s="7"/>
      <c r="AF1009" s="7"/>
      <c r="AG1009" s="7"/>
      <c r="AH1009" s="7"/>
      <c r="AJ1009" s="7"/>
      <c r="AK1009" s="7"/>
      <c r="AL1009" s="7"/>
      <c r="AM1009" s="7"/>
      <c r="AN1009" s="7"/>
      <c r="AO1009" s="7"/>
      <c r="AR1009" s="7"/>
      <c r="AS1009" s="7"/>
      <c r="AT1009" s="7"/>
      <c r="AU1009" s="7"/>
      <c r="AW1009" s="7"/>
      <c r="CE1009" s="7"/>
      <c r="FZ1009" s="2"/>
    </row>
    <row r="1010" spans="1:182">
      <c r="A1010" s="7"/>
      <c r="D1010" s="7"/>
      <c r="E1010" s="7"/>
      <c r="F1010" s="7"/>
      <c r="G1010" s="7"/>
      <c r="H1010" s="7"/>
      <c r="I1010" s="7"/>
      <c r="J1010" s="7"/>
      <c r="K1010" s="7"/>
      <c r="L1010" s="7"/>
      <c r="M1010" s="7"/>
      <c r="N1010" s="7"/>
      <c r="O1010" s="7"/>
      <c r="P1010" s="7"/>
      <c r="Q1010" s="7"/>
      <c r="R1010" s="7"/>
      <c r="S1010" s="7"/>
      <c r="T1010" s="7"/>
      <c r="U1010" s="7"/>
      <c r="Y1010" s="7"/>
      <c r="Z1010" s="17"/>
      <c r="AC1010" s="7"/>
      <c r="AD1010" s="7"/>
      <c r="AE1010" s="7"/>
      <c r="AF1010" s="7"/>
      <c r="AG1010" s="7"/>
      <c r="AH1010" s="7"/>
      <c r="AJ1010" s="7"/>
      <c r="AK1010" s="7"/>
      <c r="AL1010" s="7"/>
      <c r="AM1010" s="7"/>
      <c r="AN1010" s="7"/>
      <c r="AO1010" s="7"/>
      <c r="AR1010" s="7"/>
      <c r="AS1010" s="7"/>
      <c r="AT1010" s="7"/>
      <c r="AU1010" s="7"/>
      <c r="AW1010" s="7"/>
      <c r="CE1010" s="7"/>
      <c r="FZ1010" s="2"/>
    </row>
    <row r="1011" spans="1:182">
      <c r="A1011" s="7"/>
      <c r="D1011" s="7"/>
      <c r="E1011" s="7"/>
      <c r="F1011" s="7"/>
      <c r="G1011" s="7"/>
      <c r="H1011" s="7"/>
      <c r="I1011" s="7"/>
      <c r="J1011" s="7"/>
      <c r="K1011" s="7"/>
      <c r="L1011" s="7"/>
      <c r="M1011" s="7"/>
      <c r="N1011" s="7"/>
      <c r="O1011" s="7"/>
      <c r="P1011" s="7"/>
      <c r="Q1011" s="7"/>
      <c r="R1011" s="7"/>
      <c r="S1011" s="7"/>
      <c r="T1011" s="7"/>
      <c r="U1011" s="7"/>
      <c r="Y1011" s="7"/>
      <c r="Z1011" s="17"/>
      <c r="AC1011" s="7"/>
      <c r="AD1011" s="7"/>
      <c r="AE1011" s="7"/>
      <c r="AF1011" s="7"/>
      <c r="AG1011" s="7"/>
      <c r="AH1011" s="7"/>
      <c r="AJ1011" s="7"/>
      <c r="AK1011" s="7"/>
      <c r="AL1011" s="7"/>
      <c r="AM1011" s="7"/>
      <c r="AN1011" s="7"/>
      <c r="AO1011" s="7"/>
      <c r="AR1011" s="7"/>
      <c r="AS1011" s="7"/>
      <c r="AT1011" s="7"/>
      <c r="AU1011" s="7"/>
      <c r="AW1011" s="7"/>
      <c r="CE1011" s="7"/>
      <c r="FZ1011" s="2"/>
    </row>
    <row r="1012" spans="1:182">
      <c r="A1012" s="7"/>
      <c r="D1012" s="7"/>
      <c r="E1012" s="7"/>
      <c r="F1012" s="7"/>
      <c r="G1012" s="7"/>
      <c r="H1012" s="7"/>
      <c r="I1012" s="7"/>
      <c r="J1012" s="7"/>
      <c r="K1012" s="7"/>
      <c r="L1012" s="7"/>
      <c r="M1012" s="7"/>
      <c r="N1012" s="7"/>
      <c r="O1012" s="7"/>
      <c r="P1012" s="7"/>
      <c r="Q1012" s="7"/>
      <c r="R1012" s="7"/>
      <c r="S1012" s="7"/>
      <c r="T1012" s="7"/>
      <c r="U1012" s="7"/>
      <c r="Y1012" s="7"/>
      <c r="Z1012" s="17"/>
      <c r="AC1012" s="7"/>
      <c r="AD1012" s="7"/>
      <c r="AE1012" s="7"/>
      <c r="AF1012" s="7"/>
      <c r="AG1012" s="7"/>
      <c r="AH1012" s="7"/>
      <c r="AJ1012" s="7"/>
      <c r="AK1012" s="7"/>
      <c r="AL1012" s="7"/>
      <c r="AM1012" s="7"/>
      <c r="AN1012" s="7"/>
      <c r="AO1012" s="7"/>
      <c r="AR1012" s="7"/>
      <c r="AS1012" s="7"/>
      <c r="AT1012" s="7"/>
      <c r="AU1012" s="7"/>
      <c r="AW1012" s="7"/>
      <c r="CE1012" s="7"/>
      <c r="FZ1012" s="2"/>
    </row>
    <row r="1013" spans="1:182">
      <c r="A1013" s="7"/>
      <c r="D1013" s="7"/>
      <c r="E1013" s="7"/>
      <c r="F1013" s="7"/>
      <c r="G1013" s="7"/>
      <c r="H1013" s="7"/>
      <c r="I1013" s="7"/>
      <c r="J1013" s="7"/>
      <c r="K1013" s="7"/>
      <c r="L1013" s="7"/>
      <c r="M1013" s="7"/>
      <c r="N1013" s="7"/>
      <c r="O1013" s="7"/>
      <c r="P1013" s="7"/>
      <c r="Q1013" s="7"/>
      <c r="R1013" s="7"/>
      <c r="S1013" s="7"/>
      <c r="T1013" s="7"/>
      <c r="U1013" s="7"/>
      <c r="Y1013" s="7"/>
      <c r="Z1013" s="17"/>
      <c r="AC1013" s="7"/>
      <c r="AD1013" s="7"/>
      <c r="AE1013" s="7"/>
      <c r="AF1013" s="7"/>
      <c r="AG1013" s="7"/>
      <c r="AH1013" s="7"/>
      <c r="AJ1013" s="7"/>
      <c r="AK1013" s="7"/>
      <c r="AL1013" s="7"/>
      <c r="AM1013" s="7"/>
      <c r="AN1013" s="7"/>
      <c r="AO1013" s="7"/>
      <c r="AR1013" s="7"/>
      <c r="AS1013" s="7"/>
      <c r="AT1013" s="7"/>
      <c r="AU1013" s="7"/>
      <c r="AW1013" s="7"/>
      <c r="CE1013" s="7"/>
      <c r="FZ1013" s="2"/>
    </row>
    <row r="1014" spans="1:182">
      <c r="A1014" s="7"/>
      <c r="D1014" s="7"/>
      <c r="E1014" s="7"/>
      <c r="F1014" s="7"/>
      <c r="G1014" s="7"/>
      <c r="H1014" s="7"/>
      <c r="I1014" s="7"/>
      <c r="J1014" s="7"/>
      <c r="K1014" s="7"/>
      <c r="L1014" s="7"/>
      <c r="M1014" s="7"/>
      <c r="N1014" s="7"/>
      <c r="O1014" s="7"/>
      <c r="P1014" s="7"/>
      <c r="Q1014" s="7"/>
      <c r="R1014" s="7"/>
      <c r="S1014" s="7"/>
      <c r="T1014" s="7"/>
      <c r="U1014" s="7"/>
      <c r="Y1014" s="7"/>
      <c r="Z1014" s="17"/>
      <c r="AC1014" s="7"/>
      <c r="AD1014" s="7"/>
      <c r="AE1014" s="7"/>
      <c r="AF1014" s="7"/>
      <c r="AG1014" s="7"/>
      <c r="AH1014" s="7"/>
      <c r="AJ1014" s="7"/>
      <c r="AK1014" s="7"/>
      <c r="AL1014" s="7"/>
      <c r="AM1014" s="7"/>
      <c r="AN1014" s="7"/>
      <c r="AO1014" s="7"/>
      <c r="AR1014" s="7"/>
      <c r="AS1014" s="7"/>
      <c r="AT1014" s="7"/>
      <c r="AU1014" s="7"/>
      <c r="AW1014" s="7"/>
      <c r="CE1014" s="7"/>
      <c r="FZ1014" s="2"/>
    </row>
    <row r="1015" spans="1:182">
      <c r="A1015" s="7"/>
      <c r="D1015" s="7"/>
      <c r="E1015" s="7"/>
      <c r="F1015" s="7"/>
      <c r="G1015" s="7"/>
      <c r="H1015" s="7"/>
      <c r="I1015" s="7"/>
      <c r="J1015" s="7"/>
      <c r="K1015" s="7"/>
      <c r="L1015" s="7"/>
      <c r="M1015" s="7"/>
      <c r="N1015" s="7"/>
      <c r="O1015" s="7"/>
      <c r="P1015" s="7"/>
      <c r="Q1015" s="7"/>
      <c r="R1015" s="7"/>
      <c r="S1015" s="7"/>
      <c r="T1015" s="7"/>
      <c r="U1015" s="7"/>
      <c r="Y1015" s="7"/>
      <c r="Z1015" s="17"/>
      <c r="AC1015" s="7"/>
      <c r="AD1015" s="7"/>
      <c r="AE1015" s="7"/>
      <c r="AF1015" s="7"/>
      <c r="AG1015" s="7"/>
      <c r="AH1015" s="7"/>
      <c r="AJ1015" s="7"/>
      <c r="AK1015" s="7"/>
      <c r="AL1015" s="7"/>
      <c r="AM1015" s="7"/>
      <c r="AN1015" s="7"/>
      <c r="AO1015" s="7"/>
      <c r="AR1015" s="7"/>
      <c r="AS1015" s="7"/>
      <c r="AT1015" s="7"/>
      <c r="AU1015" s="7"/>
      <c r="AW1015" s="7"/>
      <c r="CE1015" s="7"/>
      <c r="FZ1015" s="2"/>
    </row>
    <row r="1016" spans="1:182">
      <c r="A1016" s="7"/>
      <c r="D1016" s="7"/>
      <c r="E1016" s="7"/>
      <c r="F1016" s="7"/>
      <c r="G1016" s="7"/>
      <c r="H1016" s="7"/>
      <c r="I1016" s="7"/>
      <c r="J1016" s="7"/>
      <c r="K1016" s="7"/>
      <c r="L1016" s="7"/>
      <c r="M1016" s="7"/>
      <c r="N1016" s="7"/>
      <c r="O1016" s="7"/>
      <c r="P1016" s="7"/>
      <c r="Q1016" s="7"/>
      <c r="R1016" s="7"/>
      <c r="S1016" s="7"/>
      <c r="T1016" s="7"/>
      <c r="U1016" s="7"/>
      <c r="Y1016" s="7"/>
      <c r="Z1016" s="17"/>
      <c r="AC1016" s="7"/>
      <c r="AD1016" s="7"/>
      <c r="AE1016" s="7"/>
      <c r="AF1016" s="7"/>
      <c r="AG1016" s="7"/>
      <c r="AH1016" s="7"/>
      <c r="AJ1016" s="7"/>
      <c r="AK1016" s="7"/>
      <c r="AL1016" s="7"/>
      <c r="AM1016" s="7"/>
      <c r="AN1016" s="7"/>
      <c r="AO1016" s="7"/>
      <c r="AR1016" s="7"/>
      <c r="AS1016" s="7"/>
      <c r="AT1016" s="7"/>
      <c r="AU1016" s="7"/>
      <c r="AW1016" s="7"/>
      <c r="CE1016" s="7"/>
      <c r="FZ1016" s="2"/>
    </row>
    <row r="1017" spans="1:182">
      <c r="A1017" s="7"/>
      <c r="D1017" s="7"/>
      <c r="E1017" s="7"/>
      <c r="F1017" s="7"/>
      <c r="G1017" s="7"/>
      <c r="H1017" s="7"/>
      <c r="I1017" s="7"/>
      <c r="J1017" s="7"/>
      <c r="K1017" s="7"/>
      <c r="L1017" s="7"/>
      <c r="M1017" s="7"/>
      <c r="N1017" s="7"/>
      <c r="O1017" s="7"/>
      <c r="P1017" s="7"/>
      <c r="Q1017" s="7"/>
      <c r="R1017" s="7"/>
      <c r="S1017" s="7"/>
      <c r="T1017" s="7"/>
      <c r="U1017" s="7"/>
      <c r="Y1017" s="7"/>
      <c r="Z1017" s="17"/>
      <c r="AC1017" s="7"/>
      <c r="AD1017" s="7"/>
      <c r="AE1017" s="7"/>
      <c r="AF1017" s="7"/>
      <c r="AG1017" s="7"/>
      <c r="AH1017" s="7"/>
      <c r="AJ1017" s="7"/>
      <c r="AK1017" s="7"/>
      <c r="AL1017" s="7"/>
      <c r="AM1017" s="7"/>
      <c r="AN1017" s="7"/>
      <c r="AO1017" s="7"/>
      <c r="AR1017" s="7"/>
      <c r="AS1017" s="7"/>
      <c r="AT1017" s="7"/>
      <c r="AU1017" s="7"/>
      <c r="AW1017" s="7"/>
      <c r="CE1017" s="7"/>
      <c r="FZ1017" s="2"/>
    </row>
    <row r="1018" spans="1:182">
      <c r="A1018" s="7"/>
      <c r="D1018" s="7"/>
      <c r="E1018" s="7"/>
      <c r="F1018" s="7"/>
      <c r="G1018" s="7"/>
      <c r="H1018" s="7"/>
      <c r="I1018" s="7"/>
      <c r="J1018" s="7"/>
      <c r="K1018" s="7"/>
      <c r="L1018" s="7"/>
      <c r="M1018" s="7"/>
      <c r="N1018" s="7"/>
      <c r="O1018" s="7"/>
      <c r="P1018" s="7"/>
      <c r="Q1018" s="7"/>
      <c r="R1018" s="7"/>
      <c r="S1018" s="7"/>
      <c r="T1018" s="7"/>
      <c r="U1018" s="7"/>
      <c r="Y1018" s="7"/>
      <c r="Z1018" s="17"/>
      <c r="AC1018" s="7"/>
      <c r="AD1018" s="7"/>
      <c r="AE1018" s="7"/>
      <c r="AF1018" s="7"/>
      <c r="AG1018" s="7"/>
      <c r="AH1018" s="7"/>
      <c r="AJ1018" s="7"/>
      <c r="AK1018" s="7"/>
      <c r="AL1018" s="7"/>
      <c r="AM1018" s="7"/>
      <c r="AN1018" s="7"/>
      <c r="AO1018" s="7"/>
      <c r="AR1018" s="7"/>
      <c r="AS1018" s="7"/>
      <c r="AT1018" s="7"/>
      <c r="AU1018" s="7"/>
      <c r="AW1018" s="7"/>
      <c r="CE1018" s="7"/>
      <c r="FZ1018" s="2"/>
    </row>
    <row r="1019" spans="1:182">
      <c r="A1019" s="7"/>
      <c r="D1019" s="7"/>
      <c r="E1019" s="7"/>
      <c r="F1019" s="7"/>
      <c r="G1019" s="7"/>
      <c r="H1019" s="7"/>
      <c r="I1019" s="7"/>
      <c r="J1019" s="7"/>
      <c r="K1019" s="7"/>
      <c r="L1019" s="7"/>
      <c r="M1019" s="7"/>
      <c r="N1019" s="7"/>
      <c r="O1019" s="7"/>
      <c r="P1019" s="7"/>
      <c r="Q1019" s="7"/>
      <c r="R1019" s="7"/>
      <c r="S1019" s="7"/>
      <c r="T1019" s="7"/>
      <c r="U1019" s="7"/>
      <c r="Y1019" s="7"/>
      <c r="Z1019" s="17"/>
      <c r="AC1019" s="7"/>
      <c r="AD1019" s="7"/>
      <c r="AE1019" s="7"/>
      <c r="AF1019" s="7"/>
      <c r="AG1019" s="7"/>
      <c r="AH1019" s="7"/>
      <c r="AJ1019" s="7"/>
      <c r="AK1019" s="7"/>
      <c r="AL1019" s="7"/>
      <c r="AM1019" s="7"/>
      <c r="AN1019" s="7"/>
      <c r="AO1019" s="7"/>
      <c r="AR1019" s="7"/>
      <c r="AS1019" s="7"/>
      <c r="AT1019" s="7"/>
      <c r="AU1019" s="7"/>
      <c r="AW1019" s="7"/>
      <c r="CE1019" s="7"/>
      <c r="FZ1019" s="2"/>
    </row>
    <row r="1020" spans="1:182">
      <c r="A1020" s="7"/>
      <c r="D1020" s="7"/>
      <c r="E1020" s="7"/>
      <c r="F1020" s="7"/>
      <c r="G1020" s="7"/>
      <c r="H1020" s="7"/>
      <c r="I1020" s="7"/>
      <c r="J1020" s="7"/>
      <c r="K1020" s="7"/>
      <c r="L1020" s="7"/>
      <c r="M1020" s="7"/>
      <c r="N1020" s="7"/>
      <c r="O1020" s="7"/>
      <c r="P1020" s="7"/>
      <c r="Q1020" s="7"/>
      <c r="R1020" s="7"/>
      <c r="S1020" s="7"/>
      <c r="T1020" s="7"/>
      <c r="U1020" s="7"/>
      <c r="Y1020" s="7"/>
      <c r="Z1020" s="17"/>
      <c r="AC1020" s="7"/>
      <c r="AD1020" s="7"/>
      <c r="AE1020" s="7"/>
      <c r="AF1020" s="7"/>
      <c r="AG1020" s="7"/>
      <c r="AH1020" s="7"/>
      <c r="AJ1020" s="7"/>
      <c r="AK1020" s="7"/>
      <c r="AL1020" s="7"/>
      <c r="AM1020" s="7"/>
      <c r="AN1020" s="7"/>
      <c r="AO1020" s="7"/>
      <c r="AR1020" s="7"/>
      <c r="AS1020" s="7"/>
      <c r="AT1020" s="7"/>
      <c r="AU1020" s="7"/>
      <c r="AW1020" s="7"/>
      <c r="CE1020" s="7"/>
      <c r="FZ1020" s="2"/>
    </row>
    <row r="1021" spans="1:182">
      <c r="A1021" s="7"/>
      <c r="D1021" s="7"/>
      <c r="E1021" s="7"/>
      <c r="F1021" s="7"/>
      <c r="G1021" s="7"/>
      <c r="H1021" s="7"/>
      <c r="I1021" s="7"/>
      <c r="J1021" s="7"/>
      <c r="K1021" s="7"/>
      <c r="L1021" s="7"/>
      <c r="M1021" s="7"/>
      <c r="N1021" s="7"/>
      <c r="O1021" s="7"/>
      <c r="P1021" s="7"/>
      <c r="Q1021" s="7"/>
      <c r="R1021" s="7"/>
      <c r="S1021" s="7"/>
      <c r="T1021" s="7"/>
      <c r="U1021" s="7"/>
      <c r="Y1021" s="7"/>
      <c r="Z1021" s="17"/>
      <c r="AC1021" s="7"/>
      <c r="AD1021" s="7"/>
      <c r="AE1021" s="7"/>
      <c r="AF1021" s="7"/>
      <c r="AG1021" s="7"/>
      <c r="AH1021" s="7"/>
      <c r="AJ1021" s="7"/>
      <c r="AK1021" s="7"/>
      <c r="AL1021" s="7"/>
      <c r="AM1021" s="7"/>
      <c r="AN1021" s="7"/>
      <c r="AO1021" s="7"/>
      <c r="AR1021" s="7"/>
      <c r="AS1021" s="7"/>
      <c r="AT1021" s="7"/>
      <c r="AU1021" s="7"/>
      <c r="AW1021" s="7"/>
      <c r="CE1021" s="7"/>
      <c r="FZ1021" s="2"/>
    </row>
    <row r="1022" spans="1:182">
      <c r="A1022" s="7"/>
      <c r="D1022" s="7"/>
      <c r="E1022" s="7"/>
      <c r="F1022" s="7"/>
      <c r="G1022" s="7"/>
      <c r="H1022" s="7"/>
      <c r="I1022" s="7"/>
      <c r="J1022" s="7"/>
      <c r="K1022" s="7"/>
      <c r="L1022" s="7"/>
      <c r="M1022" s="7"/>
      <c r="N1022" s="7"/>
      <c r="O1022" s="7"/>
      <c r="P1022" s="7"/>
      <c r="Q1022" s="7"/>
      <c r="R1022" s="7"/>
      <c r="S1022" s="7"/>
      <c r="T1022" s="7"/>
      <c r="U1022" s="7"/>
      <c r="Y1022" s="7"/>
      <c r="Z1022" s="17"/>
      <c r="AC1022" s="7"/>
      <c r="AD1022" s="7"/>
      <c r="AE1022" s="7"/>
      <c r="AF1022" s="7"/>
      <c r="AG1022" s="7"/>
      <c r="AH1022" s="7"/>
      <c r="AJ1022" s="7"/>
      <c r="AK1022" s="7"/>
      <c r="AL1022" s="7"/>
      <c r="AM1022" s="7"/>
      <c r="AN1022" s="7"/>
      <c r="AO1022" s="7"/>
      <c r="AR1022" s="7"/>
      <c r="AS1022" s="7"/>
      <c r="AT1022" s="7"/>
      <c r="AU1022" s="7"/>
      <c r="AW1022" s="7"/>
      <c r="CE1022" s="7"/>
      <c r="FZ1022" s="2"/>
    </row>
    <row r="1023" spans="1:182">
      <c r="A1023" s="7"/>
      <c r="D1023" s="7"/>
      <c r="E1023" s="7"/>
      <c r="F1023" s="7"/>
      <c r="G1023" s="7"/>
      <c r="H1023" s="7"/>
      <c r="I1023" s="7"/>
      <c r="J1023" s="7"/>
      <c r="K1023" s="7"/>
      <c r="L1023" s="7"/>
      <c r="M1023" s="7"/>
      <c r="N1023" s="7"/>
      <c r="O1023" s="7"/>
      <c r="P1023" s="7"/>
      <c r="Q1023" s="7"/>
      <c r="R1023" s="7"/>
      <c r="S1023" s="7"/>
      <c r="T1023" s="7"/>
      <c r="U1023" s="7"/>
      <c r="Y1023" s="7"/>
      <c r="Z1023" s="17"/>
      <c r="AC1023" s="7"/>
      <c r="AD1023" s="7"/>
      <c r="AE1023" s="7"/>
      <c r="AF1023" s="7"/>
      <c r="AG1023" s="7"/>
      <c r="AH1023" s="7"/>
      <c r="AJ1023" s="7"/>
      <c r="AK1023" s="7"/>
      <c r="AL1023" s="7"/>
      <c r="AM1023" s="7"/>
      <c r="AN1023" s="7"/>
      <c r="AO1023" s="7"/>
      <c r="AR1023" s="7"/>
      <c r="AS1023" s="7"/>
      <c r="AT1023" s="7"/>
      <c r="AU1023" s="7"/>
      <c r="AW1023" s="7"/>
      <c r="CE1023" s="7"/>
      <c r="FZ1023" s="2"/>
    </row>
    <row r="1024" spans="1:182">
      <c r="A1024" s="7"/>
      <c r="D1024" s="7"/>
      <c r="E1024" s="7"/>
      <c r="F1024" s="7"/>
      <c r="G1024" s="7"/>
      <c r="H1024" s="7"/>
      <c r="I1024" s="7"/>
      <c r="J1024" s="7"/>
      <c r="K1024" s="7"/>
      <c r="L1024" s="7"/>
      <c r="M1024" s="7"/>
      <c r="N1024" s="7"/>
      <c r="O1024" s="7"/>
      <c r="P1024" s="7"/>
      <c r="Q1024" s="7"/>
      <c r="R1024" s="7"/>
      <c r="S1024" s="7"/>
      <c r="T1024" s="7"/>
      <c r="U1024" s="7"/>
      <c r="Y1024" s="7"/>
      <c r="Z1024" s="17"/>
      <c r="AC1024" s="7"/>
      <c r="AD1024" s="7"/>
      <c r="AE1024" s="7"/>
      <c r="AF1024" s="7"/>
      <c r="AG1024" s="7"/>
      <c r="AH1024" s="7"/>
      <c r="AJ1024" s="7"/>
      <c r="AK1024" s="7"/>
      <c r="AL1024" s="7"/>
      <c r="AM1024" s="7"/>
      <c r="AN1024" s="7"/>
      <c r="AO1024" s="7"/>
      <c r="AR1024" s="7"/>
      <c r="AS1024" s="7"/>
      <c r="AT1024" s="7"/>
      <c r="AU1024" s="7"/>
      <c r="AW1024" s="7"/>
      <c r="CE1024" s="7"/>
      <c r="FZ1024" s="2"/>
    </row>
    <row r="1025" spans="1:182">
      <c r="A1025" s="7"/>
      <c r="D1025" s="7"/>
      <c r="E1025" s="7"/>
      <c r="F1025" s="7"/>
      <c r="G1025" s="7"/>
      <c r="H1025" s="7"/>
      <c r="I1025" s="7"/>
      <c r="J1025" s="7"/>
      <c r="K1025" s="7"/>
      <c r="L1025" s="7"/>
      <c r="M1025" s="7"/>
      <c r="N1025" s="7"/>
      <c r="O1025" s="7"/>
      <c r="P1025" s="7"/>
      <c r="Q1025" s="7"/>
      <c r="R1025" s="7"/>
      <c r="S1025" s="7"/>
      <c r="T1025" s="7"/>
      <c r="U1025" s="7"/>
      <c r="Y1025" s="7"/>
      <c r="Z1025" s="17"/>
      <c r="AC1025" s="7"/>
      <c r="AD1025" s="7"/>
      <c r="AE1025" s="7"/>
      <c r="AF1025" s="7"/>
      <c r="AG1025" s="7"/>
      <c r="AH1025" s="7"/>
      <c r="AJ1025" s="7"/>
      <c r="AK1025" s="7"/>
      <c r="AL1025" s="7"/>
      <c r="AM1025" s="7"/>
      <c r="AN1025" s="7"/>
      <c r="AO1025" s="7"/>
      <c r="AR1025" s="7"/>
      <c r="AS1025" s="7"/>
      <c r="AT1025" s="7"/>
      <c r="AU1025" s="7"/>
      <c r="AW1025" s="7"/>
      <c r="CE1025" s="7"/>
      <c r="FZ1025" s="2"/>
    </row>
    <row r="1026" spans="1:182">
      <c r="A1026" s="7"/>
      <c r="D1026" s="7"/>
      <c r="E1026" s="7"/>
      <c r="F1026" s="7"/>
      <c r="G1026" s="7"/>
      <c r="H1026" s="7"/>
      <c r="I1026" s="7"/>
      <c r="J1026" s="7"/>
      <c r="K1026" s="7"/>
      <c r="L1026" s="7"/>
      <c r="M1026" s="7"/>
      <c r="N1026" s="7"/>
      <c r="O1026" s="7"/>
      <c r="P1026" s="7"/>
      <c r="Q1026" s="7"/>
      <c r="R1026" s="7"/>
      <c r="S1026" s="7"/>
      <c r="T1026" s="7"/>
      <c r="U1026" s="7"/>
      <c r="Y1026" s="7"/>
      <c r="Z1026" s="17"/>
      <c r="AC1026" s="7"/>
      <c r="AD1026" s="7"/>
      <c r="AE1026" s="7"/>
      <c r="AF1026" s="7"/>
      <c r="AG1026" s="7"/>
      <c r="AH1026" s="7"/>
      <c r="AJ1026" s="7"/>
      <c r="AK1026" s="7"/>
      <c r="AL1026" s="7"/>
      <c r="AM1026" s="7"/>
      <c r="AN1026" s="7"/>
      <c r="AO1026" s="7"/>
      <c r="AR1026" s="7"/>
      <c r="AS1026" s="7"/>
      <c r="AT1026" s="7"/>
      <c r="AU1026" s="7"/>
      <c r="AW1026" s="7"/>
      <c r="CE1026" s="7"/>
      <c r="FZ1026" s="2"/>
    </row>
    <row r="1027" spans="1:182">
      <c r="A1027" s="7"/>
      <c r="D1027" s="7"/>
      <c r="E1027" s="7"/>
      <c r="F1027" s="7"/>
      <c r="G1027" s="7"/>
      <c r="H1027" s="7"/>
      <c r="I1027" s="7"/>
      <c r="J1027" s="7"/>
      <c r="K1027" s="7"/>
      <c r="L1027" s="7"/>
      <c r="M1027" s="7"/>
      <c r="N1027" s="7"/>
      <c r="O1027" s="7"/>
      <c r="P1027" s="7"/>
      <c r="Q1027" s="7"/>
      <c r="R1027" s="7"/>
      <c r="S1027" s="7"/>
      <c r="T1027" s="7"/>
      <c r="U1027" s="7"/>
      <c r="Y1027" s="7"/>
      <c r="Z1027" s="17"/>
      <c r="AC1027" s="7"/>
      <c r="AD1027" s="7"/>
      <c r="AE1027" s="7"/>
      <c r="AF1027" s="7"/>
      <c r="AG1027" s="7"/>
      <c r="AH1027" s="7"/>
      <c r="AJ1027" s="7"/>
      <c r="AK1027" s="7"/>
      <c r="AL1027" s="7"/>
      <c r="AM1027" s="7"/>
      <c r="AN1027" s="7"/>
      <c r="AO1027" s="7"/>
      <c r="AR1027" s="7"/>
      <c r="AS1027" s="7"/>
      <c r="AT1027" s="7"/>
      <c r="AU1027" s="7"/>
      <c r="AW1027" s="7"/>
      <c r="CE1027" s="7"/>
      <c r="FZ1027" s="2"/>
    </row>
    <row r="1028" spans="1:182">
      <c r="A1028" s="7"/>
      <c r="D1028" s="7"/>
      <c r="E1028" s="7"/>
      <c r="F1028" s="7"/>
      <c r="G1028" s="7"/>
      <c r="H1028" s="7"/>
      <c r="I1028" s="7"/>
      <c r="J1028" s="7"/>
      <c r="K1028" s="7"/>
      <c r="L1028" s="7"/>
      <c r="M1028" s="7"/>
      <c r="N1028" s="7"/>
      <c r="O1028" s="7"/>
      <c r="P1028" s="7"/>
      <c r="Q1028" s="7"/>
      <c r="R1028" s="7"/>
      <c r="S1028" s="7"/>
      <c r="T1028" s="7"/>
      <c r="U1028" s="7"/>
      <c r="Y1028" s="7"/>
      <c r="Z1028" s="17"/>
      <c r="AC1028" s="7"/>
      <c r="AD1028" s="7"/>
      <c r="AE1028" s="7"/>
      <c r="AF1028" s="7"/>
      <c r="AG1028" s="7"/>
      <c r="AH1028" s="7"/>
      <c r="AJ1028" s="7"/>
      <c r="AK1028" s="7"/>
      <c r="AL1028" s="7"/>
      <c r="AM1028" s="7"/>
      <c r="AN1028" s="7"/>
      <c r="AO1028" s="7"/>
      <c r="AR1028" s="7"/>
      <c r="AS1028" s="7"/>
      <c r="AT1028" s="7"/>
      <c r="AU1028" s="7"/>
      <c r="AW1028" s="7"/>
      <c r="CE1028" s="7"/>
      <c r="FZ1028" s="2"/>
    </row>
    <row r="1029" spans="1:182">
      <c r="A1029" s="7"/>
      <c r="D1029" s="7"/>
      <c r="E1029" s="7"/>
      <c r="F1029" s="7"/>
      <c r="G1029" s="7"/>
      <c r="H1029" s="7"/>
      <c r="I1029" s="7"/>
      <c r="J1029" s="7"/>
      <c r="K1029" s="7"/>
      <c r="L1029" s="7"/>
      <c r="M1029" s="7"/>
      <c r="N1029" s="7"/>
      <c r="O1029" s="7"/>
      <c r="P1029" s="7"/>
      <c r="Q1029" s="7"/>
      <c r="R1029" s="7"/>
      <c r="S1029" s="7"/>
      <c r="T1029" s="7"/>
      <c r="U1029" s="7"/>
      <c r="Y1029" s="7"/>
      <c r="Z1029" s="17"/>
      <c r="AC1029" s="7"/>
      <c r="AD1029" s="7"/>
      <c r="AE1029" s="7"/>
      <c r="AF1029" s="7"/>
      <c r="AG1029" s="7"/>
      <c r="AH1029" s="7"/>
      <c r="AJ1029" s="7"/>
      <c r="AK1029" s="7"/>
      <c r="AL1029" s="7"/>
      <c r="AM1029" s="7"/>
      <c r="AN1029" s="7"/>
      <c r="AO1029" s="7"/>
      <c r="AR1029" s="7"/>
      <c r="AS1029" s="7"/>
      <c r="AT1029" s="7"/>
      <c r="AU1029" s="7"/>
      <c r="AW1029" s="7"/>
      <c r="CE1029" s="7"/>
      <c r="FZ1029" s="2"/>
    </row>
    <row r="1030" spans="1:182">
      <c r="A1030" s="7"/>
      <c r="D1030" s="7"/>
      <c r="E1030" s="7"/>
      <c r="F1030" s="7"/>
      <c r="G1030" s="7"/>
      <c r="H1030" s="7"/>
      <c r="I1030" s="7"/>
      <c r="J1030" s="7"/>
      <c r="K1030" s="7"/>
      <c r="L1030" s="7"/>
      <c r="M1030" s="7"/>
      <c r="N1030" s="7"/>
      <c r="O1030" s="7"/>
      <c r="P1030" s="7"/>
      <c r="Q1030" s="7"/>
      <c r="R1030" s="7"/>
      <c r="S1030" s="7"/>
      <c r="T1030" s="7"/>
      <c r="U1030" s="7"/>
      <c r="Y1030" s="7"/>
      <c r="Z1030" s="17"/>
      <c r="AC1030" s="7"/>
      <c r="AD1030" s="7"/>
      <c r="AE1030" s="7"/>
      <c r="AF1030" s="7"/>
      <c r="AG1030" s="7"/>
      <c r="AH1030" s="7"/>
      <c r="AJ1030" s="7"/>
      <c r="AK1030" s="7"/>
      <c r="AL1030" s="7"/>
      <c r="AM1030" s="7"/>
      <c r="AN1030" s="7"/>
      <c r="AO1030" s="7"/>
      <c r="AR1030" s="7"/>
      <c r="AS1030" s="7"/>
      <c r="AT1030" s="7"/>
      <c r="AU1030" s="7"/>
      <c r="AW1030" s="7"/>
      <c r="CE1030" s="7"/>
      <c r="FZ1030" s="2"/>
    </row>
    <row r="1031" spans="1:182">
      <c r="A1031" s="7"/>
      <c r="D1031" s="7"/>
      <c r="E1031" s="7"/>
      <c r="F1031" s="7"/>
      <c r="G1031" s="7"/>
      <c r="H1031" s="7"/>
      <c r="I1031" s="7"/>
      <c r="J1031" s="7"/>
      <c r="K1031" s="7"/>
      <c r="L1031" s="7"/>
      <c r="M1031" s="7"/>
      <c r="N1031" s="7"/>
      <c r="O1031" s="7"/>
      <c r="P1031" s="7"/>
      <c r="Q1031" s="7"/>
      <c r="R1031" s="7"/>
      <c r="S1031" s="7"/>
      <c r="T1031" s="7"/>
      <c r="U1031" s="7"/>
      <c r="Y1031" s="7"/>
      <c r="Z1031" s="17"/>
      <c r="AC1031" s="7"/>
      <c r="AD1031" s="7"/>
      <c r="AE1031" s="7"/>
      <c r="AF1031" s="7"/>
      <c r="AG1031" s="7"/>
      <c r="AH1031" s="7"/>
      <c r="AJ1031" s="7"/>
      <c r="AK1031" s="7"/>
      <c r="AL1031" s="7"/>
      <c r="AM1031" s="7"/>
      <c r="AN1031" s="7"/>
      <c r="AO1031" s="7"/>
      <c r="AR1031" s="7"/>
      <c r="AS1031" s="7"/>
      <c r="AT1031" s="7"/>
      <c r="AU1031" s="7"/>
      <c r="AW1031" s="7"/>
      <c r="CE1031" s="7"/>
      <c r="FZ1031" s="2"/>
    </row>
    <row r="1032" spans="1:182">
      <c r="A1032" s="7"/>
      <c r="D1032" s="7"/>
      <c r="E1032" s="7"/>
      <c r="F1032" s="7"/>
      <c r="G1032" s="7"/>
      <c r="H1032" s="7"/>
      <c r="I1032" s="7"/>
      <c r="J1032" s="7"/>
      <c r="K1032" s="7"/>
      <c r="L1032" s="7"/>
      <c r="M1032" s="7"/>
      <c r="N1032" s="7"/>
      <c r="O1032" s="7"/>
      <c r="P1032" s="7"/>
      <c r="Q1032" s="7"/>
      <c r="R1032" s="7"/>
      <c r="S1032" s="7"/>
      <c r="T1032" s="7"/>
      <c r="U1032" s="7"/>
      <c r="Y1032" s="7"/>
      <c r="Z1032" s="17"/>
      <c r="AC1032" s="7"/>
      <c r="AD1032" s="7"/>
      <c r="AE1032" s="7"/>
      <c r="AF1032" s="7"/>
      <c r="AG1032" s="7"/>
      <c r="AH1032" s="7"/>
      <c r="AJ1032" s="7"/>
      <c r="AK1032" s="7"/>
      <c r="AL1032" s="7"/>
      <c r="AM1032" s="7"/>
      <c r="AN1032" s="7"/>
      <c r="AO1032" s="7"/>
      <c r="AR1032" s="7"/>
      <c r="AS1032" s="7"/>
      <c r="AT1032" s="7"/>
      <c r="AU1032" s="7"/>
      <c r="AW1032" s="7"/>
      <c r="CE1032" s="7"/>
      <c r="FZ1032" s="2"/>
    </row>
    <row r="1033" spans="1:182">
      <c r="A1033" s="7"/>
      <c r="D1033" s="7"/>
      <c r="E1033" s="7"/>
      <c r="F1033" s="7"/>
      <c r="G1033" s="7"/>
      <c r="H1033" s="7"/>
      <c r="I1033" s="7"/>
      <c r="J1033" s="7"/>
      <c r="K1033" s="7"/>
      <c r="L1033" s="7"/>
      <c r="M1033" s="7"/>
      <c r="N1033" s="7"/>
      <c r="O1033" s="7"/>
      <c r="P1033" s="7"/>
      <c r="Q1033" s="7"/>
      <c r="R1033" s="7"/>
      <c r="S1033" s="7"/>
      <c r="T1033" s="7"/>
      <c r="U1033" s="7"/>
      <c r="Y1033" s="7"/>
      <c r="Z1033" s="17"/>
      <c r="AC1033" s="7"/>
      <c r="AD1033" s="7"/>
      <c r="AE1033" s="7"/>
      <c r="AF1033" s="7"/>
      <c r="AG1033" s="7"/>
      <c r="AH1033" s="7"/>
      <c r="AJ1033" s="7"/>
      <c r="AK1033" s="7"/>
      <c r="AL1033" s="7"/>
      <c r="AM1033" s="7"/>
      <c r="AN1033" s="7"/>
      <c r="AO1033" s="7"/>
      <c r="AR1033" s="7"/>
      <c r="AS1033" s="7"/>
      <c r="AT1033" s="7"/>
      <c r="AU1033" s="7"/>
      <c r="AW1033" s="7"/>
      <c r="CE1033" s="7"/>
      <c r="FZ1033" s="2"/>
    </row>
    <row r="1034" spans="1:182">
      <c r="A1034" s="7"/>
      <c r="D1034" s="7"/>
      <c r="E1034" s="7"/>
      <c r="F1034" s="7"/>
      <c r="G1034" s="7"/>
      <c r="H1034" s="7"/>
      <c r="I1034" s="7"/>
      <c r="J1034" s="7"/>
      <c r="K1034" s="7"/>
      <c r="L1034" s="7"/>
      <c r="M1034" s="7"/>
      <c r="N1034" s="7"/>
      <c r="O1034" s="7"/>
      <c r="P1034" s="7"/>
      <c r="Q1034" s="7"/>
      <c r="R1034" s="7"/>
      <c r="S1034" s="7"/>
      <c r="T1034" s="7"/>
      <c r="U1034" s="7"/>
      <c r="Y1034" s="7"/>
      <c r="Z1034" s="17"/>
      <c r="AC1034" s="7"/>
      <c r="AD1034" s="7"/>
      <c r="AE1034" s="7"/>
      <c r="AF1034" s="7"/>
      <c r="AG1034" s="7"/>
      <c r="AH1034" s="7"/>
      <c r="AJ1034" s="7"/>
      <c r="AK1034" s="7"/>
      <c r="AL1034" s="7"/>
      <c r="AM1034" s="7"/>
      <c r="AN1034" s="7"/>
      <c r="AO1034" s="7"/>
      <c r="AR1034" s="7"/>
      <c r="AS1034" s="7"/>
      <c r="AT1034" s="7"/>
      <c r="AU1034" s="7"/>
      <c r="AW1034" s="7"/>
      <c r="CE1034" s="7"/>
      <c r="FZ1034" s="2"/>
    </row>
    <row r="1035" spans="1:182">
      <c r="A1035" s="7"/>
      <c r="D1035" s="7"/>
      <c r="E1035" s="7"/>
      <c r="F1035" s="7"/>
      <c r="G1035" s="7"/>
      <c r="H1035" s="7"/>
      <c r="I1035" s="7"/>
      <c r="J1035" s="7"/>
      <c r="K1035" s="7"/>
      <c r="L1035" s="7"/>
      <c r="M1035" s="7"/>
      <c r="N1035" s="7"/>
      <c r="O1035" s="7"/>
      <c r="P1035" s="7"/>
      <c r="Q1035" s="7"/>
      <c r="R1035" s="7"/>
      <c r="S1035" s="7"/>
      <c r="T1035" s="7"/>
      <c r="U1035" s="7"/>
      <c r="Y1035" s="7"/>
      <c r="Z1035" s="17"/>
      <c r="AC1035" s="7"/>
      <c r="AD1035" s="7"/>
      <c r="AE1035" s="7"/>
      <c r="AF1035" s="7"/>
      <c r="AG1035" s="7"/>
      <c r="AH1035" s="7"/>
      <c r="AJ1035" s="7"/>
      <c r="AK1035" s="7"/>
      <c r="AL1035" s="7"/>
      <c r="AM1035" s="7"/>
      <c r="AN1035" s="7"/>
      <c r="AO1035" s="7"/>
      <c r="AR1035" s="7"/>
      <c r="AS1035" s="7"/>
      <c r="AT1035" s="7"/>
      <c r="AU1035" s="7"/>
      <c r="AW1035" s="7"/>
      <c r="CE1035" s="7"/>
      <c r="FZ1035" s="2"/>
    </row>
    <row r="1036" spans="1:182">
      <c r="A1036" s="7"/>
      <c r="D1036" s="7"/>
      <c r="E1036" s="7"/>
      <c r="F1036" s="7"/>
      <c r="G1036" s="7"/>
      <c r="H1036" s="7"/>
      <c r="I1036" s="7"/>
      <c r="J1036" s="7"/>
      <c r="K1036" s="7"/>
      <c r="L1036" s="7"/>
      <c r="M1036" s="7"/>
      <c r="N1036" s="7"/>
      <c r="O1036" s="7"/>
      <c r="P1036" s="7"/>
      <c r="Q1036" s="7"/>
      <c r="R1036" s="7"/>
      <c r="S1036" s="7"/>
      <c r="T1036" s="7"/>
      <c r="U1036" s="7"/>
      <c r="Y1036" s="7"/>
      <c r="Z1036" s="17"/>
      <c r="AC1036" s="7"/>
      <c r="AD1036" s="7"/>
      <c r="AE1036" s="7"/>
      <c r="AF1036" s="7"/>
      <c r="AG1036" s="7"/>
      <c r="AH1036" s="7"/>
      <c r="AJ1036" s="7"/>
      <c r="AK1036" s="7"/>
      <c r="AL1036" s="7"/>
      <c r="AM1036" s="7"/>
      <c r="AN1036" s="7"/>
      <c r="AO1036" s="7"/>
      <c r="AR1036" s="7"/>
      <c r="AS1036" s="7"/>
      <c r="AT1036" s="7"/>
      <c r="AU1036" s="7"/>
      <c r="AW1036" s="7"/>
      <c r="CE1036" s="7"/>
      <c r="FZ1036" s="2"/>
    </row>
    <row r="1037" spans="1:182">
      <c r="A1037" s="7"/>
      <c r="D1037" s="7"/>
      <c r="E1037" s="7"/>
      <c r="F1037" s="7"/>
      <c r="G1037" s="7"/>
      <c r="H1037" s="7"/>
      <c r="I1037" s="7"/>
      <c r="J1037" s="7"/>
      <c r="K1037" s="7"/>
      <c r="L1037" s="7"/>
      <c r="M1037" s="7"/>
      <c r="N1037" s="7"/>
      <c r="O1037" s="7"/>
      <c r="P1037" s="7"/>
      <c r="Q1037" s="7"/>
      <c r="R1037" s="7"/>
      <c r="S1037" s="7"/>
      <c r="T1037" s="7"/>
      <c r="U1037" s="7"/>
      <c r="Y1037" s="7"/>
      <c r="Z1037" s="17"/>
      <c r="AC1037" s="7"/>
      <c r="AD1037" s="7"/>
      <c r="AE1037" s="7"/>
      <c r="AF1037" s="7"/>
      <c r="AG1037" s="7"/>
      <c r="AH1037" s="7"/>
      <c r="AJ1037" s="7"/>
      <c r="AK1037" s="7"/>
      <c r="AL1037" s="7"/>
      <c r="AM1037" s="7"/>
      <c r="AN1037" s="7"/>
      <c r="AO1037" s="7"/>
      <c r="AR1037" s="7"/>
      <c r="AS1037" s="7"/>
      <c r="AT1037" s="7"/>
      <c r="AU1037" s="7"/>
      <c r="AW1037" s="7"/>
      <c r="CE1037" s="7"/>
      <c r="FZ1037" s="2"/>
    </row>
    <row r="1038" spans="1:182">
      <c r="A1038" s="7"/>
      <c r="D1038" s="7"/>
      <c r="E1038" s="7"/>
      <c r="F1038" s="7"/>
      <c r="G1038" s="7"/>
      <c r="H1038" s="7"/>
      <c r="I1038" s="7"/>
      <c r="J1038" s="7"/>
      <c r="K1038" s="7"/>
      <c r="L1038" s="7"/>
      <c r="M1038" s="7"/>
      <c r="N1038" s="7"/>
      <c r="O1038" s="7"/>
      <c r="P1038" s="7"/>
      <c r="Q1038" s="7"/>
      <c r="R1038" s="7"/>
      <c r="S1038" s="7"/>
      <c r="T1038" s="7"/>
      <c r="U1038" s="7"/>
      <c r="Y1038" s="7"/>
      <c r="Z1038" s="17"/>
      <c r="AC1038" s="7"/>
      <c r="AD1038" s="7"/>
      <c r="AE1038" s="7"/>
      <c r="AF1038" s="7"/>
      <c r="AG1038" s="7"/>
      <c r="AH1038" s="7"/>
      <c r="AJ1038" s="7"/>
      <c r="AK1038" s="7"/>
      <c r="AL1038" s="7"/>
      <c r="AM1038" s="7"/>
      <c r="AN1038" s="7"/>
      <c r="AO1038" s="7"/>
      <c r="AR1038" s="7"/>
      <c r="AS1038" s="7"/>
      <c r="AT1038" s="7"/>
      <c r="AU1038" s="7"/>
      <c r="AW1038" s="7"/>
      <c r="CE1038" s="7"/>
      <c r="FZ1038" s="2"/>
    </row>
    <row r="1039" spans="1:182">
      <c r="A1039" s="7"/>
      <c r="D1039" s="7"/>
      <c r="E1039" s="7"/>
      <c r="F1039" s="7"/>
      <c r="G1039" s="7"/>
      <c r="H1039" s="7"/>
      <c r="I1039" s="7"/>
      <c r="J1039" s="7"/>
      <c r="K1039" s="7"/>
      <c r="L1039" s="7"/>
      <c r="M1039" s="7"/>
      <c r="N1039" s="7"/>
      <c r="O1039" s="7"/>
      <c r="P1039" s="7"/>
      <c r="Q1039" s="7"/>
      <c r="R1039" s="7"/>
      <c r="S1039" s="7"/>
      <c r="T1039" s="7"/>
      <c r="U1039" s="7"/>
      <c r="Y1039" s="7"/>
      <c r="Z1039" s="17"/>
      <c r="AC1039" s="7"/>
      <c r="AD1039" s="7"/>
      <c r="AE1039" s="7"/>
      <c r="AF1039" s="7"/>
      <c r="AG1039" s="7"/>
      <c r="AH1039" s="7"/>
      <c r="AJ1039" s="7"/>
      <c r="AK1039" s="7"/>
      <c r="AL1039" s="7"/>
      <c r="AM1039" s="7"/>
      <c r="AN1039" s="7"/>
      <c r="AO1039" s="7"/>
      <c r="AR1039" s="7"/>
      <c r="AS1039" s="7"/>
      <c r="AT1039" s="7"/>
      <c r="AU1039" s="7"/>
      <c r="AW1039" s="7"/>
      <c r="CE1039" s="7"/>
      <c r="FZ1039" s="2"/>
    </row>
    <row r="1040" spans="1:182">
      <c r="A1040" s="7"/>
      <c r="D1040" s="7"/>
      <c r="E1040" s="7"/>
      <c r="F1040" s="7"/>
      <c r="G1040" s="7"/>
      <c r="H1040" s="7"/>
      <c r="I1040" s="7"/>
      <c r="J1040" s="7"/>
      <c r="K1040" s="7"/>
      <c r="L1040" s="7"/>
      <c r="M1040" s="7"/>
      <c r="N1040" s="7"/>
      <c r="O1040" s="7"/>
      <c r="P1040" s="7"/>
      <c r="Q1040" s="7"/>
      <c r="R1040" s="7"/>
      <c r="S1040" s="7"/>
      <c r="T1040" s="7"/>
      <c r="U1040" s="7"/>
      <c r="Y1040" s="7"/>
      <c r="Z1040" s="17"/>
      <c r="AC1040" s="7"/>
      <c r="AD1040" s="7"/>
      <c r="AE1040" s="7"/>
      <c r="AF1040" s="7"/>
      <c r="AG1040" s="7"/>
      <c r="AH1040" s="7"/>
      <c r="AJ1040" s="7"/>
      <c r="AK1040" s="7"/>
      <c r="AL1040" s="7"/>
      <c r="AM1040" s="7"/>
      <c r="AN1040" s="7"/>
      <c r="AO1040" s="7"/>
      <c r="AR1040" s="7"/>
      <c r="AS1040" s="7"/>
      <c r="AT1040" s="7"/>
      <c r="AU1040" s="7"/>
      <c r="AW1040" s="7"/>
      <c r="CE1040" s="7"/>
      <c r="FZ1040" s="2"/>
    </row>
    <row r="1041" spans="1:182">
      <c r="A1041" s="7"/>
      <c r="D1041" s="7"/>
      <c r="E1041" s="7"/>
      <c r="F1041" s="7"/>
      <c r="G1041" s="7"/>
      <c r="H1041" s="7"/>
      <c r="I1041" s="7"/>
      <c r="J1041" s="7"/>
      <c r="K1041" s="7"/>
      <c r="L1041" s="7"/>
      <c r="M1041" s="7"/>
      <c r="N1041" s="7"/>
      <c r="O1041" s="7"/>
      <c r="P1041" s="7"/>
      <c r="Q1041" s="7"/>
      <c r="R1041" s="7"/>
      <c r="S1041" s="7"/>
      <c r="T1041" s="7"/>
      <c r="U1041" s="7"/>
      <c r="Y1041" s="7"/>
      <c r="Z1041" s="17"/>
      <c r="AC1041" s="7"/>
      <c r="AD1041" s="7"/>
      <c r="AE1041" s="7"/>
      <c r="AF1041" s="7"/>
      <c r="AG1041" s="7"/>
      <c r="AH1041" s="7"/>
      <c r="AJ1041" s="7"/>
      <c r="AK1041" s="7"/>
      <c r="AL1041" s="7"/>
      <c r="AM1041" s="7"/>
      <c r="AN1041" s="7"/>
      <c r="AO1041" s="7"/>
      <c r="AR1041" s="7"/>
      <c r="AS1041" s="7"/>
      <c r="AT1041" s="7"/>
      <c r="AU1041" s="7"/>
      <c r="AW1041" s="7"/>
      <c r="CE1041" s="7"/>
      <c r="FZ1041" s="2"/>
    </row>
    <row r="1042" spans="1:182">
      <c r="A1042" s="7"/>
      <c r="D1042" s="7"/>
      <c r="E1042" s="7"/>
      <c r="F1042" s="7"/>
      <c r="G1042" s="7"/>
      <c r="H1042" s="7"/>
      <c r="I1042" s="7"/>
      <c r="J1042" s="7"/>
      <c r="K1042" s="7"/>
      <c r="L1042" s="7"/>
      <c r="M1042" s="7"/>
      <c r="N1042" s="7"/>
      <c r="O1042" s="7"/>
      <c r="P1042" s="7"/>
      <c r="Q1042" s="7"/>
      <c r="R1042" s="7"/>
      <c r="S1042" s="7"/>
      <c r="T1042" s="7"/>
      <c r="U1042" s="7"/>
      <c r="Y1042" s="7"/>
      <c r="Z1042" s="17"/>
      <c r="AC1042" s="7"/>
      <c r="AD1042" s="7"/>
      <c r="AE1042" s="7"/>
      <c r="AF1042" s="7"/>
      <c r="AG1042" s="7"/>
      <c r="AH1042" s="7"/>
      <c r="AJ1042" s="7"/>
      <c r="AK1042" s="7"/>
      <c r="AL1042" s="7"/>
      <c r="AM1042" s="7"/>
      <c r="AN1042" s="7"/>
      <c r="AO1042" s="7"/>
      <c r="AR1042" s="7"/>
      <c r="AS1042" s="7"/>
      <c r="AT1042" s="7"/>
      <c r="AU1042" s="7"/>
      <c r="AW1042" s="7"/>
      <c r="CE1042" s="7"/>
      <c r="FZ1042" s="2"/>
    </row>
    <row r="1043" spans="1:182">
      <c r="A1043" s="7"/>
      <c r="D1043" s="7"/>
      <c r="E1043" s="7"/>
      <c r="F1043" s="7"/>
      <c r="G1043" s="7"/>
      <c r="H1043" s="7"/>
      <c r="I1043" s="7"/>
      <c r="J1043" s="7"/>
      <c r="K1043" s="7"/>
      <c r="L1043" s="7"/>
      <c r="M1043" s="7"/>
      <c r="N1043" s="7"/>
      <c r="O1043" s="7"/>
      <c r="P1043" s="7"/>
      <c r="Q1043" s="7"/>
      <c r="R1043" s="7"/>
      <c r="S1043" s="7"/>
      <c r="T1043" s="7"/>
      <c r="U1043" s="7"/>
      <c r="Y1043" s="7"/>
      <c r="Z1043" s="17"/>
      <c r="AC1043" s="7"/>
      <c r="AD1043" s="7"/>
      <c r="AE1043" s="7"/>
      <c r="AF1043" s="7"/>
      <c r="AG1043" s="7"/>
      <c r="AH1043" s="7"/>
      <c r="AJ1043" s="7"/>
      <c r="AK1043" s="7"/>
      <c r="AL1043" s="7"/>
      <c r="AM1043" s="7"/>
      <c r="AN1043" s="7"/>
      <c r="AO1043" s="7"/>
      <c r="AR1043" s="7"/>
      <c r="AS1043" s="7"/>
      <c r="AT1043" s="7"/>
      <c r="AU1043" s="7"/>
      <c r="AW1043" s="7"/>
      <c r="CE1043" s="7"/>
      <c r="FZ1043" s="2"/>
    </row>
    <row r="1044" spans="1:182">
      <c r="A1044" s="7"/>
      <c r="D1044" s="7"/>
      <c r="E1044" s="7"/>
      <c r="F1044" s="7"/>
      <c r="G1044" s="7"/>
      <c r="H1044" s="7"/>
      <c r="I1044" s="7"/>
      <c r="J1044" s="7"/>
      <c r="K1044" s="7"/>
      <c r="L1044" s="7"/>
      <c r="M1044" s="7"/>
      <c r="N1044" s="7"/>
      <c r="O1044" s="7"/>
      <c r="P1044" s="7"/>
      <c r="Q1044" s="7"/>
      <c r="R1044" s="7"/>
      <c r="S1044" s="7"/>
      <c r="T1044" s="7"/>
      <c r="U1044" s="7"/>
      <c r="Y1044" s="7"/>
      <c r="Z1044" s="17"/>
      <c r="AC1044" s="7"/>
      <c r="AD1044" s="7"/>
      <c r="AE1044" s="7"/>
      <c r="AF1044" s="7"/>
      <c r="AG1044" s="7"/>
      <c r="AH1044" s="7"/>
      <c r="AJ1044" s="7"/>
      <c r="AK1044" s="7"/>
      <c r="AL1044" s="7"/>
      <c r="AM1044" s="7"/>
      <c r="AN1044" s="7"/>
      <c r="AO1044" s="7"/>
      <c r="AR1044" s="7"/>
      <c r="AS1044" s="7"/>
      <c r="AT1044" s="7"/>
      <c r="AU1044" s="7"/>
      <c r="AW1044" s="7"/>
      <c r="CE1044" s="7"/>
      <c r="FZ1044" s="2"/>
    </row>
    <row r="1045" spans="1:182">
      <c r="A1045" s="7"/>
      <c r="D1045" s="7"/>
      <c r="E1045" s="7"/>
      <c r="F1045" s="7"/>
      <c r="G1045" s="7"/>
      <c r="H1045" s="7"/>
      <c r="I1045" s="7"/>
      <c r="J1045" s="7"/>
      <c r="K1045" s="7"/>
      <c r="L1045" s="7"/>
      <c r="M1045" s="7"/>
      <c r="N1045" s="7"/>
      <c r="O1045" s="7"/>
      <c r="P1045" s="7"/>
      <c r="Q1045" s="7"/>
      <c r="R1045" s="7"/>
      <c r="S1045" s="7"/>
      <c r="T1045" s="7"/>
      <c r="U1045" s="7"/>
      <c r="Y1045" s="7"/>
      <c r="Z1045" s="17"/>
      <c r="AC1045" s="7"/>
      <c r="AD1045" s="7"/>
      <c r="AE1045" s="7"/>
      <c r="AF1045" s="7"/>
      <c r="AG1045" s="7"/>
      <c r="AH1045" s="7"/>
      <c r="AJ1045" s="7"/>
      <c r="AK1045" s="7"/>
      <c r="AL1045" s="7"/>
      <c r="AM1045" s="7"/>
      <c r="AN1045" s="7"/>
      <c r="AO1045" s="7"/>
      <c r="AR1045" s="7"/>
      <c r="AS1045" s="7"/>
      <c r="AT1045" s="7"/>
      <c r="AU1045" s="7"/>
      <c r="AW1045" s="7"/>
      <c r="CE1045" s="7"/>
      <c r="FZ1045" s="2"/>
    </row>
    <row r="1046" spans="1:182">
      <c r="A1046" s="7"/>
      <c r="D1046" s="7"/>
      <c r="E1046" s="7"/>
      <c r="F1046" s="7"/>
      <c r="G1046" s="7"/>
      <c r="H1046" s="7"/>
      <c r="I1046" s="7"/>
      <c r="J1046" s="7"/>
      <c r="K1046" s="7"/>
      <c r="L1046" s="7"/>
      <c r="M1046" s="7"/>
      <c r="N1046" s="7"/>
      <c r="O1046" s="7"/>
      <c r="P1046" s="7"/>
      <c r="Q1046" s="7"/>
      <c r="R1046" s="7"/>
      <c r="S1046" s="7"/>
      <c r="T1046" s="7"/>
      <c r="U1046" s="7"/>
      <c r="Y1046" s="7"/>
      <c r="Z1046" s="17"/>
      <c r="AC1046" s="7"/>
      <c r="AD1046" s="7"/>
      <c r="AE1046" s="7"/>
      <c r="AF1046" s="7"/>
      <c r="AG1046" s="7"/>
      <c r="AH1046" s="7"/>
      <c r="AJ1046" s="7"/>
      <c r="AK1046" s="7"/>
      <c r="AL1046" s="7"/>
      <c r="AM1046" s="7"/>
      <c r="AN1046" s="7"/>
      <c r="AO1046" s="7"/>
      <c r="AR1046" s="7"/>
      <c r="AS1046" s="7"/>
      <c r="AT1046" s="7"/>
      <c r="AU1046" s="7"/>
      <c r="AW1046" s="7"/>
      <c r="CE1046" s="7"/>
      <c r="FZ1046" s="2"/>
    </row>
    <row r="1047" spans="1:182">
      <c r="A1047" s="7"/>
      <c r="D1047" s="7"/>
      <c r="E1047" s="7"/>
      <c r="F1047" s="7"/>
      <c r="G1047" s="7"/>
      <c r="H1047" s="7"/>
      <c r="I1047" s="7"/>
      <c r="J1047" s="7"/>
      <c r="K1047" s="7"/>
      <c r="L1047" s="7"/>
      <c r="M1047" s="7"/>
      <c r="N1047" s="7"/>
      <c r="O1047" s="7"/>
      <c r="P1047" s="7"/>
      <c r="Q1047" s="7"/>
      <c r="R1047" s="7"/>
      <c r="S1047" s="7"/>
      <c r="T1047" s="7"/>
      <c r="U1047" s="7"/>
      <c r="Y1047" s="7"/>
      <c r="Z1047" s="17"/>
      <c r="AC1047" s="7"/>
      <c r="AD1047" s="7"/>
      <c r="AE1047" s="7"/>
      <c r="AF1047" s="7"/>
      <c r="AG1047" s="7"/>
      <c r="AH1047" s="7"/>
      <c r="AJ1047" s="7"/>
      <c r="AK1047" s="7"/>
      <c r="AL1047" s="7"/>
      <c r="AM1047" s="7"/>
      <c r="AN1047" s="7"/>
      <c r="AO1047" s="7"/>
      <c r="AR1047" s="7"/>
      <c r="AS1047" s="7"/>
      <c r="AT1047" s="7"/>
      <c r="AU1047" s="7"/>
      <c r="AW1047" s="7"/>
      <c r="CE1047" s="7"/>
      <c r="FZ1047" s="2"/>
    </row>
    <row r="1048" spans="1:182">
      <c r="A1048" s="7"/>
      <c r="D1048" s="7"/>
      <c r="E1048" s="7"/>
      <c r="F1048" s="7"/>
      <c r="G1048" s="7"/>
      <c r="H1048" s="7"/>
      <c r="I1048" s="7"/>
      <c r="J1048" s="7"/>
      <c r="K1048" s="7"/>
      <c r="L1048" s="7"/>
      <c r="M1048" s="7"/>
      <c r="N1048" s="7"/>
      <c r="O1048" s="7"/>
      <c r="P1048" s="7"/>
      <c r="Q1048" s="7"/>
      <c r="R1048" s="7"/>
      <c r="S1048" s="7"/>
      <c r="T1048" s="7"/>
      <c r="U1048" s="7"/>
      <c r="Y1048" s="7"/>
      <c r="Z1048" s="17"/>
      <c r="AC1048" s="7"/>
      <c r="AD1048" s="7"/>
      <c r="AE1048" s="7"/>
      <c r="AF1048" s="7"/>
      <c r="AG1048" s="7"/>
      <c r="AH1048" s="7"/>
      <c r="AJ1048" s="7"/>
      <c r="AK1048" s="7"/>
      <c r="AL1048" s="7"/>
      <c r="AM1048" s="7"/>
      <c r="AN1048" s="7"/>
      <c r="AO1048" s="7"/>
      <c r="AR1048" s="7"/>
      <c r="AS1048" s="7"/>
      <c r="AT1048" s="7"/>
      <c r="AU1048" s="7"/>
      <c r="AW1048" s="7"/>
      <c r="CE1048" s="7"/>
      <c r="FZ1048" s="2"/>
    </row>
    <row r="1049" spans="1:182">
      <c r="A1049" s="7"/>
      <c r="D1049" s="7"/>
      <c r="E1049" s="7"/>
      <c r="F1049" s="7"/>
      <c r="G1049" s="7"/>
      <c r="H1049" s="7"/>
      <c r="I1049" s="7"/>
      <c r="J1049" s="7"/>
      <c r="K1049" s="7"/>
      <c r="L1049" s="7"/>
      <c r="M1049" s="7"/>
      <c r="N1049" s="7"/>
      <c r="O1049" s="7"/>
      <c r="P1049" s="7"/>
      <c r="Q1049" s="7"/>
      <c r="R1049" s="7"/>
      <c r="S1049" s="7"/>
      <c r="T1049" s="7"/>
      <c r="U1049" s="7"/>
      <c r="Y1049" s="7"/>
      <c r="Z1049" s="17"/>
      <c r="AC1049" s="7"/>
      <c r="AD1049" s="7"/>
      <c r="AE1049" s="7"/>
      <c r="AF1049" s="7"/>
      <c r="AG1049" s="7"/>
      <c r="AH1049" s="7"/>
      <c r="AJ1049" s="7"/>
      <c r="AK1049" s="7"/>
      <c r="AL1049" s="7"/>
      <c r="AM1049" s="7"/>
      <c r="AN1049" s="7"/>
      <c r="AO1049" s="7"/>
      <c r="AR1049" s="7"/>
      <c r="AS1049" s="7"/>
      <c r="AT1049" s="7"/>
      <c r="AU1049" s="7"/>
      <c r="AW1049" s="7"/>
      <c r="CE1049" s="7"/>
      <c r="FZ1049" s="2"/>
    </row>
    <row r="1050" spans="1:182">
      <c r="A1050" s="7"/>
      <c r="D1050" s="7"/>
      <c r="E1050" s="7"/>
      <c r="F1050" s="7"/>
      <c r="G1050" s="7"/>
      <c r="H1050" s="7"/>
      <c r="I1050" s="7"/>
      <c r="J1050" s="7"/>
      <c r="K1050" s="7"/>
      <c r="L1050" s="7"/>
      <c r="M1050" s="7"/>
      <c r="N1050" s="7"/>
      <c r="O1050" s="7"/>
      <c r="P1050" s="7"/>
      <c r="Q1050" s="7"/>
      <c r="R1050" s="7"/>
      <c r="S1050" s="7"/>
      <c r="T1050" s="7"/>
      <c r="U1050" s="7"/>
      <c r="Y1050" s="7"/>
      <c r="Z1050" s="17"/>
      <c r="AC1050" s="7"/>
      <c r="AD1050" s="7"/>
      <c r="AE1050" s="7"/>
      <c r="AF1050" s="7"/>
      <c r="AG1050" s="7"/>
      <c r="AH1050" s="7"/>
      <c r="AJ1050" s="7"/>
      <c r="AK1050" s="7"/>
      <c r="AL1050" s="7"/>
      <c r="AM1050" s="7"/>
      <c r="AN1050" s="7"/>
      <c r="AO1050" s="7"/>
      <c r="AR1050" s="7"/>
      <c r="AS1050" s="7"/>
      <c r="AT1050" s="7"/>
      <c r="AU1050" s="7"/>
      <c r="AW1050" s="7"/>
      <c r="CE1050" s="7"/>
      <c r="FZ1050" s="2"/>
    </row>
    <row r="1051" spans="1:182">
      <c r="A1051" s="7"/>
      <c r="D1051" s="7"/>
      <c r="E1051" s="7"/>
      <c r="F1051" s="7"/>
      <c r="G1051" s="7"/>
      <c r="H1051" s="7"/>
      <c r="I1051" s="7"/>
      <c r="J1051" s="7"/>
      <c r="K1051" s="7"/>
      <c r="L1051" s="7"/>
      <c r="M1051" s="7"/>
      <c r="N1051" s="7"/>
      <c r="O1051" s="7"/>
      <c r="P1051" s="7"/>
      <c r="Q1051" s="7"/>
      <c r="R1051" s="7"/>
      <c r="S1051" s="7"/>
      <c r="T1051" s="7"/>
      <c r="U1051" s="7"/>
      <c r="Y1051" s="7"/>
      <c r="Z1051" s="17"/>
      <c r="AC1051" s="7"/>
      <c r="AD1051" s="7"/>
      <c r="AE1051" s="7"/>
      <c r="AF1051" s="7"/>
      <c r="AG1051" s="7"/>
      <c r="AH1051" s="7"/>
      <c r="AJ1051" s="7"/>
      <c r="AK1051" s="7"/>
      <c r="AL1051" s="7"/>
      <c r="AM1051" s="7"/>
      <c r="AN1051" s="7"/>
      <c r="AO1051" s="7"/>
      <c r="AR1051" s="7"/>
      <c r="AS1051" s="7"/>
      <c r="AT1051" s="7"/>
      <c r="AU1051" s="7"/>
      <c r="AW1051" s="7"/>
      <c r="CE1051" s="7"/>
      <c r="FZ1051" s="2"/>
    </row>
    <row r="1052" spans="1:182">
      <c r="A1052" s="7"/>
      <c r="D1052" s="7"/>
      <c r="E1052" s="7"/>
      <c r="F1052" s="7"/>
      <c r="G1052" s="7"/>
      <c r="H1052" s="7"/>
      <c r="I1052" s="7"/>
      <c r="J1052" s="7"/>
      <c r="K1052" s="7"/>
      <c r="L1052" s="7"/>
      <c r="M1052" s="7"/>
      <c r="N1052" s="7"/>
      <c r="O1052" s="7"/>
      <c r="P1052" s="7"/>
      <c r="Q1052" s="7"/>
      <c r="R1052" s="7"/>
      <c r="S1052" s="7"/>
      <c r="T1052" s="7"/>
      <c r="U1052" s="7"/>
      <c r="Y1052" s="7"/>
      <c r="Z1052" s="17"/>
      <c r="AC1052" s="7"/>
      <c r="AD1052" s="7"/>
      <c r="AE1052" s="7"/>
      <c r="AF1052" s="7"/>
      <c r="AG1052" s="7"/>
      <c r="AH1052" s="7"/>
      <c r="AJ1052" s="7"/>
      <c r="AK1052" s="7"/>
      <c r="AL1052" s="7"/>
      <c r="AM1052" s="7"/>
      <c r="AN1052" s="7"/>
      <c r="AO1052" s="7"/>
      <c r="AR1052" s="7"/>
      <c r="AS1052" s="7"/>
      <c r="AT1052" s="7"/>
      <c r="AU1052" s="7"/>
      <c r="AW1052" s="7"/>
      <c r="CE1052" s="7"/>
      <c r="FZ1052" s="2"/>
    </row>
    <row r="1053" spans="1:182">
      <c r="A1053" s="7"/>
      <c r="D1053" s="7"/>
      <c r="E1053" s="7"/>
      <c r="F1053" s="7"/>
      <c r="G1053" s="7"/>
      <c r="H1053" s="7"/>
      <c r="I1053" s="7"/>
      <c r="J1053" s="7"/>
      <c r="K1053" s="7"/>
      <c r="L1053" s="7"/>
      <c r="M1053" s="7"/>
      <c r="N1053" s="7"/>
      <c r="O1053" s="7"/>
      <c r="P1053" s="7"/>
      <c r="Q1053" s="7"/>
      <c r="R1053" s="7"/>
      <c r="S1053" s="7"/>
      <c r="T1053" s="7"/>
      <c r="U1053" s="7"/>
      <c r="Y1053" s="7"/>
      <c r="Z1053" s="17"/>
      <c r="AC1053" s="7"/>
      <c r="AD1053" s="7"/>
      <c r="AE1053" s="7"/>
      <c r="AF1053" s="7"/>
      <c r="AG1053" s="7"/>
      <c r="AH1053" s="7"/>
      <c r="AJ1053" s="7"/>
      <c r="AK1053" s="7"/>
      <c r="AL1053" s="7"/>
      <c r="AM1053" s="7"/>
      <c r="AN1053" s="7"/>
      <c r="AO1053" s="7"/>
      <c r="AR1053" s="7"/>
      <c r="AS1053" s="7"/>
      <c r="AT1053" s="7"/>
      <c r="AU1053" s="7"/>
      <c r="AW1053" s="7"/>
      <c r="CE1053" s="7"/>
      <c r="FZ1053" s="2"/>
    </row>
    <row r="1054" spans="1:182">
      <c r="A1054" s="7"/>
      <c r="D1054" s="7"/>
      <c r="E1054" s="7"/>
      <c r="F1054" s="7"/>
      <c r="G1054" s="7"/>
      <c r="H1054" s="7"/>
      <c r="I1054" s="7"/>
      <c r="J1054" s="7"/>
      <c r="K1054" s="7"/>
      <c r="L1054" s="7"/>
      <c r="M1054" s="7"/>
      <c r="N1054" s="7"/>
      <c r="O1054" s="7"/>
      <c r="P1054" s="7"/>
      <c r="Q1054" s="7"/>
      <c r="R1054" s="7"/>
      <c r="S1054" s="7"/>
      <c r="T1054" s="7"/>
      <c r="U1054" s="7"/>
      <c r="Y1054" s="7"/>
      <c r="Z1054" s="17"/>
      <c r="AC1054" s="7"/>
      <c r="AD1054" s="7"/>
      <c r="AE1054" s="7"/>
      <c r="AF1054" s="7"/>
      <c r="AG1054" s="7"/>
      <c r="AH1054" s="7"/>
      <c r="AJ1054" s="7"/>
      <c r="AK1054" s="7"/>
      <c r="AL1054" s="7"/>
      <c r="AM1054" s="7"/>
      <c r="AN1054" s="7"/>
      <c r="AO1054" s="7"/>
      <c r="AR1054" s="7"/>
      <c r="AS1054" s="7"/>
      <c r="AT1054" s="7"/>
      <c r="AU1054" s="7"/>
      <c r="AW1054" s="7"/>
      <c r="CE1054" s="7"/>
      <c r="FZ1054" s="2"/>
    </row>
    <row r="1055" spans="1:182">
      <c r="A1055" s="7"/>
      <c r="D1055" s="7"/>
      <c r="E1055" s="7"/>
      <c r="F1055" s="7"/>
      <c r="G1055" s="7"/>
      <c r="H1055" s="7"/>
      <c r="I1055" s="7"/>
      <c r="J1055" s="7"/>
      <c r="K1055" s="7"/>
      <c r="L1055" s="7"/>
      <c r="M1055" s="7"/>
      <c r="N1055" s="7"/>
      <c r="O1055" s="7"/>
      <c r="P1055" s="7"/>
      <c r="Q1055" s="7"/>
      <c r="R1055" s="7"/>
      <c r="S1055" s="7"/>
      <c r="T1055" s="7"/>
      <c r="U1055" s="7"/>
      <c r="Y1055" s="7"/>
      <c r="Z1055" s="17"/>
      <c r="AC1055" s="7"/>
      <c r="AD1055" s="7"/>
      <c r="AE1055" s="7"/>
      <c r="AF1055" s="7"/>
      <c r="AG1055" s="7"/>
      <c r="AH1055" s="7"/>
      <c r="AJ1055" s="7"/>
      <c r="AK1055" s="7"/>
      <c r="AL1055" s="7"/>
      <c r="AM1055" s="7"/>
      <c r="AN1055" s="7"/>
      <c r="AO1055" s="7"/>
      <c r="AR1055" s="7"/>
      <c r="AS1055" s="7"/>
      <c r="AT1055" s="7"/>
      <c r="AU1055" s="7"/>
      <c r="AW1055" s="7"/>
      <c r="CE1055" s="7"/>
      <c r="FZ1055" s="2"/>
    </row>
    <row r="1056" spans="1:182">
      <c r="A1056" s="7"/>
      <c r="D1056" s="7"/>
      <c r="E1056" s="7"/>
      <c r="F1056" s="7"/>
      <c r="G1056" s="7"/>
      <c r="H1056" s="7"/>
      <c r="I1056" s="7"/>
      <c r="J1056" s="7"/>
      <c r="K1056" s="7"/>
      <c r="L1056" s="7"/>
      <c r="M1056" s="7"/>
      <c r="N1056" s="7"/>
      <c r="O1056" s="7"/>
      <c r="P1056" s="7"/>
      <c r="Q1056" s="7"/>
      <c r="R1056" s="7"/>
      <c r="S1056" s="7"/>
      <c r="T1056" s="7"/>
      <c r="U1056" s="7"/>
      <c r="Y1056" s="7"/>
      <c r="Z1056" s="17"/>
      <c r="AC1056" s="7"/>
      <c r="AD1056" s="7"/>
      <c r="AE1056" s="7"/>
      <c r="AF1056" s="7"/>
      <c r="AG1056" s="7"/>
      <c r="AH1056" s="7"/>
      <c r="AJ1056" s="7"/>
      <c r="AK1056" s="7"/>
      <c r="AL1056" s="7"/>
      <c r="AM1056" s="7"/>
      <c r="AN1056" s="7"/>
      <c r="AO1056" s="7"/>
      <c r="AR1056" s="7"/>
      <c r="AS1056" s="7"/>
      <c r="AT1056" s="7"/>
      <c r="AU1056" s="7"/>
      <c r="AW1056" s="7"/>
      <c r="CE1056" s="7"/>
      <c r="FZ1056" s="2"/>
    </row>
    <row r="1057" spans="1:182">
      <c r="A1057" s="7"/>
      <c r="D1057" s="7"/>
      <c r="E1057" s="7"/>
      <c r="F1057" s="7"/>
      <c r="G1057" s="7"/>
      <c r="H1057" s="7"/>
      <c r="I1057" s="7"/>
      <c r="J1057" s="7"/>
      <c r="K1057" s="7"/>
      <c r="L1057" s="7"/>
      <c r="M1057" s="7"/>
      <c r="N1057" s="7"/>
      <c r="O1057" s="7"/>
      <c r="P1057" s="7"/>
      <c r="Q1057" s="7"/>
      <c r="R1057" s="7"/>
      <c r="S1057" s="7"/>
      <c r="T1057" s="7"/>
      <c r="U1057" s="7"/>
      <c r="Y1057" s="7"/>
      <c r="Z1057" s="17"/>
      <c r="AC1057" s="7"/>
      <c r="AD1057" s="7"/>
      <c r="AE1057" s="7"/>
      <c r="AF1057" s="7"/>
      <c r="AG1057" s="7"/>
      <c r="AH1057" s="7"/>
      <c r="AJ1057" s="7"/>
      <c r="AK1057" s="7"/>
      <c r="AL1057" s="7"/>
      <c r="AM1057" s="7"/>
      <c r="AN1057" s="7"/>
      <c r="AO1057" s="7"/>
      <c r="AR1057" s="7"/>
      <c r="AS1057" s="7"/>
      <c r="AT1057" s="7"/>
      <c r="AU1057" s="7"/>
      <c r="AW1057" s="7"/>
      <c r="CE1057" s="7"/>
      <c r="FZ1057" s="2"/>
    </row>
    <row r="1058" spans="1:182">
      <c r="A1058" s="7"/>
      <c r="D1058" s="7"/>
      <c r="E1058" s="7"/>
      <c r="F1058" s="7"/>
      <c r="G1058" s="7"/>
      <c r="H1058" s="7"/>
      <c r="I1058" s="7"/>
      <c r="J1058" s="7"/>
      <c r="K1058" s="7"/>
      <c r="L1058" s="7"/>
      <c r="M1058" s="7"/>
      <c r="N1058" s="7"/>
      <c r="O1058" s="7"/>
      <c r="P1058" s="7"/>
      <c r="Q1058" s="7"/>
      <c r="R1058" s="7"/>
      <c r="S1058" s="7"/>
      <c r="T1058" s="7"/>
      <c r="U1058" s="7"/>
      <c r="Y1058" s="7"/>
      <c r="Z1058" s="17"/>
      <c r="AC1058" s="7"/>
      <c r="AD1058" s="7"/>
      <c r="AE1058" s="7"/>
      <c r="AF1058" s="7"/>
      <c r="AG1058" s="7"/>
      <c r="AH1058" s="7"/>
      <c r="AJ1058" s="7"/>
      <c r="AK1058" s="7"/>
      <c r="AL1058" s="7"/>
      <c r="AM1058" s="7"/>
      <c r="AN1058" s="7"/>
      <c r="AO1058" s="7"/>
      <c r="AR1058" s="7"/>
      <c r="AS1058" s="7"/>
      <c r="AT1058" s="7"/>
      <c r="AU1058" s="7"/>
      <c r="AW1058" s="7"/>
      <c r="CE1058" s="7"/>
      <c r="FZ1058" s="2"/>
    </row>
    <row r="1059" spans="1:182">
      <c r="A1059" s="7"/>
      <c r="D1059" s="7"/>
      <c r="E1059" s="7"/>
      <c r="F1059" s="7"/>
      <c r="G1059" s="7"/>
      <c r="H1059" s="7"/>
      <c r="I1059" s="7"/>
      <c r="J1059" s="7"/>
      <c r="K1059" s="7"/>
      <c r="L1059" s="7"/>
      <c r="M1059" s="7"/>
      <c r="N1059" s="7"/>
      <c r="O1059" s="7"/>
      <c r="P1059" s="7"/>
      <c r="Q1059" s="7"/>
      <c r="R1059" s="7"/>
      <c r="S1059" s="7"/>
      <c r="T1059" s="7"/>
      <c r="U1059" s="7"/>
      <c r="Y1059" s="7"/>
      <c r="Z1059" s="17"/>
      <c r="AC1059" s="7"/>
      <c r="AD1059" s="7"/>
      <c r="AE1059" s="7"/>
      <c r="AF1059" s="7"/>
      <c r="AG1059" s="7"/>
      <c r="AH1059" s="7"/>
      <c r="AJ1059" s="7"/>
      <c r="AK1059" s="7"/>
      <c r="AL1059" s="7"/>
      <c r="AM1059" s="7"/>
      <c r="AN1059" s="7"/>
      <c r="AO1059" s="7"/>
      <c r="AR1059" s="7"/>
      <c r="AS1059" s="7"/>
      <c r="AT1059" s="7"/>
      <c r="AU1059" s="7"/>
      <c r="AW1059" s="7"/>
      <c r="CE1059" s="7"/>
      <c r="FZ1059" s="2"/>
    </row>
    <row r="1060" spans="1:182">
      <c r="A1060" s="7"/>
      <c r="D1060" s="7"/>
      <c r="E1060" s="7"/>
      <c r="F1060" s="7"/>
      <c r="G1060" s="7"/>
      <c r="H1060" s="7"/>
      <c r="I1060" s="7"/>
      <c r="J1060" s="7"/>
      <c r="K1060" s="7"/>
      <c r="L1060" s="7"/>
      <c r="M1060" s="7"/>
      <c r="N1060" s="7"/>
      <c r="O1060" s="7"/>
      <c r="P1060" s="7"/>
      <c r="Q1060" s="7"/>
      <c r="R1060" s="7"/>
      <c r="S1060" s="7"/>
      <c r="T1060" s="7"/>
      <c r="U1060" s="7"/>
      <c r="Y1060" s="7"/>
      <c r="Z1060" s="17"/>
      <c r="AC1060" s="7"/>
      <c r="AD1060" s="7"/>
      <c r="AE1060" s="7"/>
      <c r="AF1060" s="7"/>
      <c r="AG1060" s="7"/>
      <c r="AH1060" s="7"/>
      <c r="AJ1060" s="7"/>
      <c r="AK1060" s="7"/>
      <c r="AL1060" s="7"/>
      <c r="AM1060" s="7"/>
      <c r="AN1060" s="7"/>
      <c r="AO1060" s="7"/>
      <c r="AR1060" s="7"/>
      <c r="AS1060" s="7"/>
      <c r="AT1060" s="7"/>
      <c r="AU1060" s="7"/>
      <c r="AW1060" s="7"/>
      <c r="CE1060" s="7"/>
      <c r="FZ1060" s="2"/>
    </row>
    <row r="1061" spans="1:182">
      <c r="A1061" s="7"/>
      <c r="D1061" s="7"/>
      <c r="E1061" s="7"/>
      <c r="F1061" s="7"/>
      <c r="G1061" s="7"/>
      <c r="H1061" s="7"/>
      <c r="I1061" s="7"/>
      <c r="J1061" s="7"/>
      <c r="K1061" s="7"/>
      <c r="L1061" s="7"/>
      <c r="M1061" s="7"/>
      <c r="N1061" s="7"/>
      <c r="O1061" s="7"/>
      <c r="P1061" s="7"/>
      <c r="Q1061" s="7"/>
      <c r="R1061" s="7"/>
      <c r="S1061" s="7"/>
      <c r="T1061" s="7"/>
      <c r="U1061" s="7"/>
      <c r="Y1061" s="7"/>
      <c r="Z1061" s="17"/>
      <c r="AC1061" s="7"/>
      <c r="AD1061" s="7"/>
      <c r="AE1061" s="7"/>
      <c r="AF1061" s="7"/>
      <c r="AG1061" s="7"/>
      <c r="AH1061" s="7"/>
      <c r="AJ1061" s="7"/>
      <c r="AK1061" s="7"/>
      <c r="AL1061" s="7"/>
      <c r="AM1061" s="7"/>
      <c r="AN1061" s="7"/>
      <c r="AO1061" s="7"/>
      <c r="AR1061" s="7"/>
      <c r="AS1061" s="7"/>
      <c r="AT1061" s="7"/>
      <c r="AU1061" s="7"/>
      <c r="AW1061" s="7"/>
      <c r="CE1061" s="7"/>
      <c r="FZ1061" s="2"/>
    </row>
    <row r="1062" spans="1:182">
      <c r="A1062" s="7"/>
      <c r="D1062" s="7"/>
      <c r="E1062" s="7"/>
      <c r="F1062" s="7"/>
      <c r="G1062" s="7"/>
      <c r="H1062" s="7"/>
      <c r="I1062" s="7"/>
      <c r="J1062" s="7"/>
      <c r="K1062" s="7"/>
      <c r="L1062" s="7"/>
      <c r="M1062" s="7"/>
      <c r="N1062" s="7"/>
      <c r="O1062" s="7"/>
      <c r="P1062" s="7"/>
      <c r="Q1062" s="7"/>
      <c r="R1062" s="7"/>
      <c r="S1062" s="7"/>
      <c r="T1062" s="7"/>
      <c r="U1062" s="7"/>
      <c r="Y1062" s="7"/>
      <c r="Z1062" s="17"/>
      <c r="AC1062" s="7"/>
      <c r="AD1062" s="7"/>
      <c r="AE1062" s="7"/>
      <c r="AF1062" s="7"/>
      <c r="AG1062" s="7"/>
      <c r="AH1062" s="7"/>
      <c r="AJ1062" s="7"/>
      <c r="AK1062" s="7"/>
      <c r="AL1062" s="7"/>
      <c r="AM1062" s="7"/>
      <c r="AN1062" s="7"/>
      <c r="AO1062" s="7"/>
      <c r="AR1062" s="7"/>
      <c r="AS1062" s="7"/>
      <c r="AT1062" s="7"/>
      <c r="AU1062" s="7"/>
      <c r="AW1062" s="7"/>
      <c r="CE1062" s="7"/>
      <c r="FZ1062" s="2"/>
    </row>
    <row r="1063" spans="1:182">
      <c r="A1063" s="7"/>
      <c r="D1063" s="7"/>
      <c r="E1063" s="7"/>
      <c r="F1063" s="7"/>
      <c r="G1063" s="7"/>
      <c r="H1063" s="7"/>
      <c r="I1063" s="7"/>
      <c r="J1063" s="7"/>
      <c r="K1063" s="7"/>
      <c r="L1063" s="7"/>
      <c r="M1063" s="7"/>
      <c r="N1063" s="7"/>
      <c r="O1063" s="7"/>
      <c r="P1063" s="7"/>
      <c r="Q1063" s="7"/>
      <c r="R1063" s="7"/>
      <c r="S1063" s="7"/>
      <c r="T1063" s="7"/>
      <c r="U1063" s="7"/>
      <c r="Y1063" s="7"/>
      <c r="Z1063" s="17"/>
      <c r="AC1063" s="7"/>
      <c r="AD1063" s="7"/>
      <c r="AE1063" s="7"/>
      <c r="AF1063" s="7"/>
      <c r="AG1063" s="7"/>
      <c r="AH1063" s="7"/>
      <c r="AJ1063" s="7"/>
      <c r="AK1063" s="7"/>
      <c r="AL1063" s="7"/>
      <c r="AM1063" s="7"/>
      <c r="AN1063" s="7"/>
      <c r="AO1063" s="7"/>
      <c r="AR1063" s="7"/>
      <c r="AS1063" s="7"/>
      <c r="AT1063" s="7"/>
      <c r="AU1063" s="7"/>
      <c r="AW1063" s="7"/>
      <c r="CE1063" s="7"/>
      <c r="FZ1063" s="2"/>
    </row>
    <row r="1064" spans="1:182">
      <c r="A1064" s="7"/>
      <c r="D1064" s="7"/>
      <c r="E1064" s="7"/>
      <c r="F1064" s="7"/>
      <c r="G1064" s="7"/>
      <c r="H1064" s="7"/>
      <c r="I1064" s="7"/>
      <c r="J1064" s="7"/>
      <c r="K1064" s="7"/>
      <c r="L1064" s="7"/>
      <c r="M1064" s="7"/>
      <c r="N1064" s="7"/>
      <c r="O1064" s="7"/>
      <c r="P1064" s="7"/>
      <c r="Q1064" s="7"/>
      <c r="R1064" s="7"/>
      <c r="S1064" s="7"/>
      <c r="T1064" s="7"/>
      <c r="U1064" s="7"/>
      <c r="Y1064" s="7"/>
      <c r="Z1064" s="17"/>
      <c r="AC1064" s="7"/>
      <c r="AD1064" s="7"/>
      <c r="AE1064" s="7"/>
      <c r="AF1064" s="7"/>
      <c r="AG1064" s="7"/>
      <c r="AH1064" s="7"/>
      <c r="AJ1064" s="7"/>
      <c r="AK1064" s="7"/>
      <c r="AL1064" s="7"/>
      <c r="AM1064" s="7"/>
      <c r="AN1064" s="7"/>
      <c r="AO1064" s="7"/>
      <c r="AR1064" s="7"/>
      <c r="AS1064" s="7"/>
      <c r="AT1064" s="7"/>
      <c r="AU1064" s="7"/>
      <c r="AW1064" s="7"/>
      <c r="CE1064" s="7"/>
      <c r="FZ1064" s="2"/>
    </row>
    <row r="1065" spans="1:182">
      <c r="A1065" s="7"/>
      <c r="D1065" s="7"/>
      <c r="E1065" s="7"/>
      <c r="F1065" s="7"/>
      <c r="G1065" s="7"/>
      <c r="H1065" s="7"/>
      <c r="I1065" s="7"/>
      <c r="J1065" s="7"/>
      <c r="K1065" s="7"/>
      <c r="L1065" s="7"/>
      <c r="M1065" s="7"/>
      <c r="N1065" s="7"/>
      <c r="O1065" s="7"/>
      <c r="P1065" s="7"/>
      <c r="Q1065" s="7"/>
      <c r="R1065" s="7"/>
      <c r="S1065" s="7"/>
      <c r="T1065" s="7"/>
      <c r="U1065" s="7"/>
      <c r="Y1065" s="7"/>
      <c r="Z1065" s="17"/>
      <c r="AC1065" s="7"/>
      <c r="AD1065" s="7"/>
      <c r="AE1065" s="7"/>
      <c r="AF1065" s="7"/>
      <c r="AG1065" s="7"/>
      <c r="AH1065" s="7"/>
      <c r="AJ1065" s="7"/>
      <c r="AK1065" s="7"/>
      <c r="AL1065" s="7"/>
      <c r="AM1065" s="7"/>
      <c r="AN1065" s="7"/>
      <c r="AO1065" s="7"/>
      <c r="AR1065" s="7"/>
      <c r="AS1065" s="7"/>
      <c r="AT1065" s="7"/>
      <c r="AU1065" s="7"/>
      <c r="AW1065" s="7"/>
      <c r="CE1065" s="7"/>
      <c r="FZ1065" s="2"/>
    </row>
    <row r="1066" spans="1:182">
      <c r="A1066" s="7"/>
      <c r="D1066" s="7"/>
      <c r="E1066" s="7"/>
      <c r="F1066" s="7"/>
      <c r="G1066" s="7"/>
      <c r="H1066" s="7"/>
      <c r="I1066" s="7"/>
      <c r="J1066" s="7"/>
      <c r="K1066" s="7"/>
      <c r="L1066" s="7"/>
      <c r="M1066" s="7"/>
      <c r="N1066" s="7"/>
      <c r="O1066" s="7"/>
      <c r="P1066" s="7"/>
      <c r="Q1066" s="7"/>
      <c r="R1066" s="7"/>
      <c r="S1066" s="7"/>
      <c r="T1066" s="7"/>
      <c r="U1066" s="7"/>
      <c r="Y1066" s="7"/>
      <c r="Z1066" s="17"/>
      <c r="AC1066" s="7"/>
      <c r="AD1066" s="7"/>
      <c r="AE1066" s="7"/>
      <c r="AF1066" s="7"/>
      <c r="AG1066" s="7"/>
      <c r="AH1066" s="7"/>
      <c r="AJ1066" s="7"/>
      <c r="AK1066" s="7"/>
      <c r="AL1066" s="7"/>
      <c r="AM1066" s="7"/>
      <c r="AN1066" s="7"/>
      <c r="AO1066" s="7"/>
      <c r="AR1066" s="7"/>
      <c r="AS1066" s="7"/>
      <c r="AT1066" s="7"/>
      <c r="AU1066" s="7"/>
      <c r="AW1066" s="7"/>
      <c r="CE1066" s="7"/>
      <c r="FZ1066" s="2"/>
    </row>
    <row r="1067" spans="1:182">
      <c r="A1067" s="7"/>
      <c r="D1067" s="7"/>
      <c r="E1067" s="7"/>
      <c r="F1067" s="7"/>
      <c r="G1067" s="7"/>
      <c r="H1067" s="7"/>
      <c r="I1067" s="7"/>
      <c r="J1067" s="7"/>
      <c r="K1067" s="7"/>
      <c r="L1067" s="7"/>
      <c r="M1067" s="7"/>
      <c r="N1067" s="7"/>
      <c r="O1067" s="7"/>
      <c r="P1067" s="7"/>
      <c r="Q1067" s="7"/>
      <c r="R1067" s="7"/>
      <c r="S1067" s="7"/>
      <c r="T1067" s="7"/>
      <c r="U1067" s="7"/>
      <c r="Y1067" s="7"/>
      <c r="Z1067" s="17"/>
      <c r="AC1067" s="7"/>
      <c r="AD1067" s="7"/>
      <c r="AE1067" s="7"/>
      <c r="AF1067" s="7"/>
      <c r="AG1067" s="7"/>
      <c r="AH1067" s="7"/>
      <c r="AJ1067" s="7"/>
      <c r="AK1067" s="7"/>
      <c r="AL1067" s="7"/>
      <c r="AM1067" s="7"/>
      <c r="AN1067" s="7"/>
      <c r="AO1067" s="7"/>
      <c r="AR1067" s="7"/>
      <c r="AS1067" s="7"/>
      <c r="AT1067" s="7"/>
      <c r="AU1067" s="7"/>
      <c r="AW1067" s="7"/>
      <c r="CE1067" s="7"/>
      <c r="FZ1067" s="2"/>
    </row>
    <row r="1068" spans="1:182">
      <c r="A1068" s="7"/>
      <c r="D1068" s="7"/>
      <c r="E1068" s="7"/>
      <c r="F1068" s="7"/>
      <c r="G1068" s="7"/>
      <c r="H1068" s="7"/>
      <c r="I1068" s="7"/>
      <c r="J1068" s="7"/>
      <c r="K1068" s="7"/>
      <c r="L1068" s="7"/>
      <c r="M1068" s="7"/>
      <c r="N1068" s="7"/>
      <c r="O1068" s="7"/>
      <c r="P1068" s="7"/>
      <c r="Q1068" s="7"/>
      <c r="R1068" s="7"/>
      <c r="S1068" s="7"/>
      <c r="T1068" s="7"/>
      <c r="U1068" s="7"/>
      <c r="Y1068" s="7"/>
      <c r="Z1068" s="17"/>
      <c r="AC1068" s="7"/>
      <c r="AD1068" s="7"/>
      <c r="AE1068" s="7"/>
      <c r="AF1068" s="7"/>
      <c r="AG1068" s="7"/>
      <c r="AH1068" s="7"/>
      <c r="AJ1068" s="7"/>
      <c r="AK1068" s="7"/>
      <c r="AL1068" s="7"/>
      <c r="AM1068" s="7"/>
      <c r="AN1068" s="7"/>
      <c r="AO1068" s="7"/>
      <c r="AR1068" s="7"/>
      <c r="AS1068" s="7"/>
      <c r="AT1068" s="7"/>
      <c r="AU1068" s="7"/>
      <c r="AW1068" s="7"/>
      <c r="CE1068" s="7"/>
      <c r="FZ1068" s="2"/>
    </row>
    <row r="1069" spans="1:182">
      <c r="A1069" s="7"/>
      <c r="D1069" s="7"/>
      <c r="E1069" s="7"/>
      <c r="F1069" s="7"/>
      <c r="G1069" s="7"/>
      <c r="H1069" s="7"/>
      <c r="I1069" s="7"/>
      <c r="J1069" s="7"/>
      <c r="K1069" s="7"/>
      <c r="L1069" s="7"/>
      <c r="M1069" s="7"/>
      <c r="N1069" s="7"/>
      <c r="O1069" s="7"/>
      <c r="P1069" s="7"/>
      <c r="Q1069" s="7"/>
      <c r="R1069" s="7"/>
      <c r="S1069" s="7"/>
      <c r="T1069" s="7"/>
      <c r="U1069" s="7"/>
      <c r="Y1069" s="7"/>
      <c r="Z1069" s="17"/>
      <c r="AC1069" s="7"/>
      <c r="AD1069" s="7"/>
      <c r="AE1069" s="7"/>
      <c r="AF1069" s="7"/>
      <c r="AG1069" s="7"/>
      <c r="AH1069" s="7"/>
      <c r="AJ1069" s="7"/>
      <c r="AK1069" s="7"/>
      <c r="AL1069" s="7"/>
      <c r="AM1069" s="7"/>
      <c r="AN1069" s="7"/>
      <c r="AO1069" s="7"/>
      <c r="AR1069" s="7"/>
      <c r="AS1069" s="7"/>
      <c r="AT1069" s="7"/>
      <c r="AU1069" s="7"/>
      <c r="AW1069" s="7"/>
      <c r="CE1069" s="7"/>
      <c r="FZ1069" s="2"/>
    </row>
    <row r="1070" spans="1:182">
      <c r="A1070" s="7"/>
      <c r="D1070" s="7"/>
      <c r="E1070" s="7"/>
      <c r="F1070" s="7"/>
      <c r="G1070" s="7"/>
      <c r="H1070" s="7"/>
      <c r="I1070" s="7"/>
      <c r="J1070" s="7"/>
      <c r="K1070" s="7"/>
      <c r="L1070" s="7"/>
      <c r="M1070" s="7"/>
      <c r="N1070" s="7"/>
      <c r="O1070" s="7"/>
      <c r="P1070" s="7"/>
      <c r="Q1070" s="7"/>
      <c r="R1070" s="7"/>
      <c r="S1070" s="7"/>
      <c r="T1070" s="7"/>
      <c r="U1070" s="7"/>
      <c r="Y1070" s="7"/>
      <c r="Z1070" s="17"/>
      <c r="AC1070" s="7"/>
      <c r="AD1070" s="7"/>
      <c r="AE1070" s="7"/>
      <c r="AF1070" s="7"/>
      <c r="AG1070" s="7"/>
      <c r="AH1070" s="7"/>
      <c r="AJ1070" s="7"/>
      <c r="AK1070" s="7"/>
      <c r="AL1070" s="7"/>
      <c r="AM1070" s="7"/>
      <c r="AN1070" s="7"/>
      <c r="AO1070" s="7"/>
      <c r="AR1070" s="7"/>
      <c r="AS1070" s="7"/>
      <c r="AT1070" s="7"/>
      <c r="AU1070" s="7"/>
      <c r="AW1070" s="7"/>
      <c r="CE1070" s="7"/>
      <c r="FZ1070" s="2"/>
    </row>
    <row r="1071" spans="1:182">
      <c r="A1071" s="7"/>
      <c r="D1071" s="7"/>
      <c r="E1071" s="7"/>
      <c r="F1071" s="7"/>
      <c r="G1071" s="7"/>
      <c r="H1071" s="7"/>
      <c r="I1071" s="7"/>
      <c r="J1071" s="7"/>
      <c r="K1071" s="7"/>
      <c r="L1071" s="7"/>
      <c r="M1071" s="7"/>
      <c r="N1071" s="7"/>
      <c r="O1071" s="7"/>
      <c r="P1071" s="7"/>
      <c r="Q1071" s="7"/>
      <c r="R1071" s="7"/>
      <c r="S1071" s="7"/>
      <c r="T1071" s="7"/>
      <c r="U1071" s="7"/>
      <c r="Y1071" s="7"/>
      <c r="Z1071" s="17"/>
      <c r="AC1071" s="7"/>
      <c r="AD1071" s="7"/>
      <c r="AE1071" s="7"/>
      <c r="AF1071" s="7"/>
      <c r="AG1071" s="7"/>
      <c r="AH1071" s="7"/>
      <c r="AJ1071" s="7"/>
      <c r="AK1071" s="7"/>
      <c r="AL1071" s="7"/>
      <c r="AM1071" s="7"/>
      <c r="AN1071" s="7"/>
      <c r="AO1071" s="7"/>
      <c r="AR1071" s="7"/>
      <c r="AS1071" s="7"/>
      <c r="AT1071" s="7"/>
      <c r="AU1071" s="7"/>
      <c r="AW1071" s="7"/>
      <c r="CE1071" s="7"/>
      <c r="FZ1071" s="2"/>
    </row>
    <row r="1072" spans="1:182">
      <c r="A1072" s="7"/>
      <c r="D1072" s="7"/>
      <c r="E1072" s="7"/>
      <c r="F1072" s="7"/>
      <c r="G1072" s="7"/>
      <c r="H1072" s="7"/>
      <c r="I1072" s="7"/>
      <c r="J1072" s="7"/>
      <c r="K1072" s="7"/>
      <c r="L1072" s="7"/>
      <c r="M1072" s="7"/>
      <c r="N1072" s="7"/>
      <c r="O1072" s="7"/>
      <c r="P1072" s="7"/>
      <c r="Q1072" s="7"/>
      <c r="R1072" s="7"/>
      <c r="S1072" s="7"/>
      <c r="T1072" s="7"/>
      <c r="U1072" s="7"/>
      <c r="Y1072" s="7"/>
      <c r="Z1072" s="17"/>
      <c r="AC1072" s="7"/>
      <c r="AD1072" s="7"/>
      <c r="AE1072" s="7"/>
      <c r="AF1072" s="7"/>
      <c r="AG1072" s="7"/>
      <c r="AH1072" s="7"/>
      <c r="AJ1072" s="7"/>
      <c r="AK1072" s="7"/>
      <c r="AL1072" s="7"/>
      <c r="AM1072" s="7"/>
      <c r="AN1072" s="7"/>
      <c r="AO1072" s="7"/>
      <c r="AR1072" s="7"/>
      <c r="AS1072" s="7"/>
      <c r="AT1072" s="7"/>
      <c r="AU1072" s="7"/>
      <c r="AW1072" s="7"/>
      <c r="CE1072" s="7"/>
      <c r="FZ1072" s="2"/>
    </row>
    <row r="1073" spans="1:182">
      <c r="A1073" s="7"/>
      <c r="D1073" s="7"/>
      <c r="E1073" s="7"/>
      <c r="F1073" s="7"/>
      <c r="G1073" s="7"/>
      <c r="H1073" s="7"/>
      <c r="I1073" s="7"/>
      <c r="J1073" s="7"/>
      <c r="K1073" s="7"/>
      <c r="L1073" s="7"/>
      <c r="M1073" s="7"/>
      <c r="N1073" s="7"/>
      <c r="O1073" s="7"/>
      <c r="P1073" s="7"/>
      <c r="Q1073" s="7"/>
      <c r="R1073" s="7"/>
      <c r="S1073" s="7"/>
      <c r="T1073" s="7"/>
      <c r="U1073" s="7"/>
      <c r="Y1073" s="7"/>
      <c r="Z1073" s="17"/>
      <c r="AC1073" s="7"/>
      <c r="AD1073" s="7"/>
      <c r="AE1073" s="7"/>
      <c r="AF1073" s="7"/>
      <c r="AG1073" s="7"/>
      <c r="AH1073" s="7"/>
      <c r="AJ1073" s="7"/>
      <c r="AK1073" s="7"/>
      <c r="AL1073" s="7"/>
      <c r="AM1073" s="7"/>
      <c r="AN1073" s="7"/>
      <c r="AO1073" s="7"/>
      <c r="AR1073" s="7"/>
      <c r="AS1073" s="7"/>
      <c r="AT1073" s="7"/>
      <c r="AU1073" s="7"/>
      <c r="AW1073" s="7"/>
      <c r="CE1073" s="7"/>
      <c r="FZ1073" s="2"/>
    </row>
    <row r="1074" spans="1:182">
      <c r="A1074" s="7"/>
      <c r="D1074" s="7"/>
      <c r="E1074" s="7"/>
      <c r="F1074" s="7"/>
      <c r="G1074" s="7"/>
      <c r="H1074" s="7"/>
      <c r="I1074" s="7"/>
      <c r="J1074" s="7"/>
      <c r="K1074" s="7"/>
      <c r="L1074" s="7"/>
      <c r="M1074" s="7"/>
      <c r="N1074" s="7"/>
      <c r="O1074" s="7"/>
      <c r="P1074" s="7"/>
      <c r="Q1074" s="7"/>
      <c r="R1074" s="7"/>
      <c r="S1074" s="7"/>
      <c r="T1074" s="7"/>
      <c r="U1074" s="7"/>
      <c r="Y1074" s="7"/>
      <c r="Z1074" s="17"/>
      <c r="AC1074" s="7"/>
      <c r="AD1074" s="7"/>
      <c r="AE1074" s="7"/>
      <c r="AF1074" s="7"/>
      <c r="AG1074" s="7"/>
      <c r="AH1074" s="7"/>
      <c r="AJ1074" s="7"/>
      <c r="AK1074" s="7"/>
      <c r="AL1074" s="7"/>
      <c r="AM1074" s="7"/>
      <c r="AN1074" s="7"/>
      <c r="AO1074" s="7"/>
      <c r="AR1074" s="7"/>
      <c r="AS1074" s="7"/>
      <c r="AT1074" s="7"/>
      <c r="AU1074" s="7"/>
      <c r="AW1074" s="7"/>
      <c r="CE1074" s="7"/>
      <c r="FZ1074" s="2"/>
    </row>
    <row r="1075" spans="1:182">
      <c r="A1075" s="7"/>
      <c r="D1075" s="7"/>
      <c r="E1075" s="7"/>
      <c r="F1075" s="7"/>
      <c r="G1075" s="7"/>
      <c r="H1075" s="7"/>
      <c r="I1075" s="7"/>
      <c r="J1075" s="7"/>
      <c r="K1075" s="7"/>
      <c r="L1075" s="7"/>
      <c r="M1075" s="7"/>
      <c r="N1075" s="7"/>
      <c r="O1075" s="7"/>
      <c r="P1075" s="7"/>
      <c r="Q1075" s="7"/>
      <c r="R1075" s="7"/>
      <c r="S1075" s="7"/>
      <c r="T1075" s="7"/>
      <c r="U1075" s="7"/>
      <c r="Y1075" s="7"/>
      <c r="Z1075" s="17"/>
      <c r="AC1075" s="7"/>
      <c r="AD1075" s="7"/>
      <c r="AE1075" s="7"/>
      <c r="AF1075" s="7"/>
      <c r="AG1075" s="7"/>
      <c r="AH1075" s="7"/>
      <c r="AJ1075" s="7"/>
      <c r="AK1075" s="7"/>
      <c r="AL1075" s="7"/>
      <c r="AM1075" s="7"/>
      <c r="AN1075" s="7"/>
      <c r="AO1075" s="7"/>
      <c r="AR1075" s="7"/>
      <c r="AS1075" s="7"/>
      <c r="AT1075" s="7"/>
      <c r="AU1075" s="7"/>
      <c r="AW1075" s="7"/>
      <c r="CE1075" s="7"/>
      <c r="FZ1075" s="2"/>
    </row>
    <row r="1076" spans="1:182">
      <c r="A1076" s="7"/>
      <c r="D1076" s="7"/>
      <c r="E1076" s="7"/>
      <c r="F1076" s="7"/>
      <c r="G1076" s="7"/>
      <c r="H1076" s="7"/>
      <c r="I1076" s="7"/>
      <c r="J1076" s="7"/>
      <c r="K1076" s="7"/>
      <c r="L1076" s="7"/>
      <c r="M1076" s="7"/>
      <c r="N1076" s="7"/>
      <c r="O1076" s="7"/>
      <c r="P1076" s="7"/>
      <c r="Q1076" s="7"/>
      <c r="R1076" s="7"/>
      <c r="S1076" s="7"/>
      <c r="T1076" s="7"/>
      <c r="U1076" s="7"/>
      <c r="Y1076" s="7"/>
      <c r="Z1076" s="17"/>
      <c r="AC1076" s="7"/>
      <c r="AD1076" s="7"/>
      <c r="AE1076" s="7"/>
      <c r="AF1076" s="7"/>
      <c r="AG1076" s="7"/>
      <c r="AH1076" s="7"/>
      <c r="AJ1076" s="7"/>
      <c r="AK1076" s="7"/>
      <c r="AL1076" s="7"/>
      <c r="AM1076" s="7"/>
      <c r="AN1076" s="7"/>
      <c r="AO1076" s="7"/>
      <c r="AR1076" s="7"/>
      <c r="AS1076" s="7"/>
      <c r="AT1076" s="7"/>
      <c r="AU1076" s="7"/>
      <c r="AW1076" s="7"/>
      <c r="CE1076" s="7"/>
      <c r="FZ1076" s="2"/>
    </row>
    <row r="1077" spans="1:182">
      <c r="A1077" s="7"/>
      <c r="D1077" s="7"/>
      <c r="E1077" s="7"/>
      <c r="F1077" s="7"/>
      <c r="G1077" s="7"/>
      <c r="H1077" s="7"/>
      <c r="I1077" s="7"/>
      <c r="J1077" s="7"/>
      <c r="K1077" s="7"/>
      <c r="L1077" s="7"/>
      <c r="M1077" s="7"/>
      <c r="N1077" s="7"/>
      <c r="O1077" s="7"/>
      <c r="P1077" s="7"/>
      <c r="Q1077" s="7"/>
      <c r="R1077" s="7"/>
      <c r="S1077" s="7"/>
      <c r="T1077" s="7"/>
      <c r="U1077" s="7"/>
      <c r="Y1077" s="7"/>
      <c r="Z1077" s="17"/>
      <c r="AC1077" s="7"/>
      <c r="AD1077" s="7"/>
      <c r="AE1077" s="7"/>
      <c r="AF1077" s="7"/>
      <c r="AG1077" s="7"/>
      <c r="AH1077" s="7"/>
      <c r="AJ1077" s="7"/>
      <c r="AK1077" s="7"/>
      <c r="AL1077" s="7"/>
      <c r="AM1077" s="7"/>
      <c r="AN1077" s="7"/>
      <c r="AO1077" s="7"/>
      <c r="AR1077" s="7"/>
      <c r="AS1077" s="7"/>
      <c r="AT1077" s="7"/>
      <c r="AU1077" s="7"/>
      <c r="AW1077" s="7"/>
      <c r="CE1077" s="7"/>
      <c r="FZ1077" s="2"/>
    </row>
    <row r="1078" spans="1:182">
      <c r="A1078" s="7"/>
      <c r="D1078" s="7"/>
      <c r="E1078" s="7"/>
      <c r="F1078" s="7"/>
      <c r="G1078" s="7"/>
      <c r="H1078" s="7"/>
      <c r="I1078" s="7"/>
      <c r="J1078" s="7"/>
      <c r="K1078" s="7"/>
      <c r="L1078" s="7"/>
      <c r="M1078" s="7"/>
      <c r="N1078" s="7"/>
      <c r="O1078" s="7"/>
      <c r="P1078" s="7"/>
      <c r="Q1078" s="7"/>
      <c r="R1078" s="7"/>
      <c r="S1078" s="7"/>
      <c r="T1078" s="7"/>
      <c r="U1078" s="7"/>
      <c r="Y1078" s="7"/>
      <c r="Z1078" s="17"/>
      <c r="AC1078" s="7"/>
      <c r="AD1078" s="7"/>
      <c r="AE1078" s="7"/>
      <c r="AF1078" s="7"/>
      <c r="AG1078" s="7"/>
      <c r="AH1078" s="7"/>
      <c r="AJ1078" s="7"/>
      <c r="AK1078" s="7"/>
      <c r="AL1078" s="7"/>
      <c r="AM1078" s="7"/>
      <c r="AN1078" s="7"/>
      <c r="AO1078" s="7"/>
      <c r="AR1078" s="7"/>
      <c r="AS1078" s="7"/>
      <c r="AT1078" s="7"/>
      <c r="AU1078" s="7"/>
      <c r="AW1078" s="7"/>
      <c r="CE1078" s="7"/>
      <c r="FZ1078" s="2"/>
    </row>
    <row r="1079" spans="1:182">
      <c r="A1079" s="7"/>
      <c r="D1079" s="7"/>
      <c r="E1079" s="7"/>
      <c r="F1079" s="7"/>
      <c r="G1079" s="7"/>
      <c r="H1079" s="7"/>
      <c r="I1079" s="7"/>
      <c r="J1079" s="7"/>
      <c r="K1079" s="7"/>
      <c r="L1079" s="7"/>
      <c r="M1079" s="7"/>
      <c r="N1079" s="7"/>
      <c r="O1079" s="7"/>
      <c r="P1079" s="7"/>
      <c r="Q1079" s="7"/>
      <c r="R1079" s="7"/>
      <c r="S1079" s="7"/>
      <c r="T1079" s="7"/>
      <c r="U1079" s="7"/>
      <c r="Y1079" s="7"/>
      <c r="Z1079" s="17"/>
      <c r="AC1079" s="7"/>
      <c r="AD1079" s="7"/>
      <c r="AE1079" s="7"/>
      <c r="AF1079" s="7"/>
      <c r="AG1079" s="7"/>
      <c r="AH1079" s="7"/>
      <c r="AJ1079" s="7"/>
      <c r="AK1079" s="7"/>
      <c r="AL1079" s="7"/>
      <c r="AM1079" s="7"/>
      <c r="AN1079" s="7"/>
      <c r="AO1079" s="7"/>
      <c r="AR1079" s="7"/>
      <c r="AS1079" s="7"/>
      <c r="AT1079" s="7"/>
      <c r="AU1079" s="7"/>
      <c r="AW1079" s="7"/>
      <c r="CE1079" s="7"/>
      <c r="FZ1079" s="2"/>
    </row>
    <row r="1080" spans="1:182">
      <c r="A1080" s="7"/>
      <c r="D1080" s="7"/>
      <c r="E1080" s="7"/>
      <c r="F1080" s="7"/>
      <c r="G1080" s="7"/>
      <c r="H1080" s="7"/>
      <c r="I1080" s="7"/>
      <c r="J1080" s="7"/>
      <c r="K1080" s="7"/>
      <c r="L1080" s="7"/>
      <c r="M1080" s="7"/>
      <c r="N1080" s="7"/>
      <c r="O1080" s="7"/>
      <c r="P1080" s="7"/>
      <c r="Q1080" s="7"/>
      <c r="R1080" s="7"/>
      <c r="S1080" s="7"/>
      <c r="T1080" s="7"/>
      <c r="U1080" s="7"/>
      <c r="Y1080" s="7"/>
      <c r="Z1080" s="17"/>
      <c r="AC1080" s="7"/>
      <c r="AD1080" s="7"/>
      <c r="AE1080" s="7"/>
      <c r="AF1080" s="7"/>
      <c r="AG1080" s="7"/>
      <c r="AH1080" s="7"/>
      <c r="AJ1080" s="7"/>
      <c r="AK1080" s="7"/>
      <c r="AL1080" s="7"/>
      <c r="AM1080" s="7"/>
      <c r="AN1080" s="7"/>
      <c r="AO1080" s="7"/>
      <c r="AR1080" s="7"/>
      <c r="AS1080" s="7"/>
      <c r="AT1080" s="7"/>
      <c r="AU1080" s="7"/>
      <c r="AW1080" s="7"/>
      <c r="CE1080" s="7"/>
      <c r="FZ1080" s="2"/>
    </row>
    <row r="1081" spans="1:182">
      <c r="A1081" s="7"/>
      <c r="D1081" s="7"/>
      <c r="E1081" s="7"/>
      <c r="F1081" s="7"/>
      <c r="G1081" s="7"/>
      <c r="H1081" s="7"/>
      <c r="I1081" s="7"/>
      <c r="J1081" s="7"/>
      <c r="K1081" s="7"/>
      <c r="L1081" s="7"/>
      <c r="M1081" s="7"/>
      <c r="N1081" s="7"/>
      <c r="O1081" s="7"/>
      <c r="P1081" s="7"/>
      <c r="Q1081" s="7"/>
      <c r="R1081" s="7"/>
      <c r="S1081" s="7"/>
      <c r="T1081" s="7"/>
      <c r="U1081" s="7"/>
      <c r="Y1081" s="7"/>
      <c r="Z1081" s="17"/>
      <c r="AC1081" s="7"/>
      <c r="AD1081" s="7"/>
      <c r="AE1081" s="7"/>
      <c r="AF1081" s="7"/>
      <c r="AG1081" s="7"/>
      <c r="AH1081" s="7"/>
      <c r="AJ1081" s="7"/>
      <c r="AK1081" s="7"/>
      <c r="AL1081" s="7"/>
      <c r="AM1081" s="7"/>
      <c r="AN1081" s="7"/>
      <c r="AO1081" s="7"/>
      <c r="AR1081" s="7"/>
      <c r="AS1081" s="7"/>
      <c r="AT1081" s="7"/>
      <c r="AU1081" s="7"/>
      <c r="AW1081" s="7"/>
      <c r="CE1081" s="7"/>
      <c r="FZ1081" s="2"/>
    </row>
    <row r="1082" spans="1:182">
      <c r="A1082" s="7"/>
      <c r="D1082" s="7"/>
      <c r="E1082" s="7"/>
      <c r="F1082" s="7"/>
      <c r="G1082" s="7"/>
      <c r="H1082" s="7"/>
      <c r="I1082" s="7"/>
      <c r="J1082" s="7"/>
      <c r="K1082" s="7"/>
      <c r="L1082" s="7"/>
      <c r="M1082" s="7"/>
      <c r="N1082" s="7"/>
      <c r="O1082" s="7"/>
      <c r="P1082" s="7"/>
      <c r="Q1082" s="7"/>
      <c r="R1082" s="7"/>
      <c r="S1082" s="7"/>
      <c r="T1082" s="7"/>
      <c r="U1082" s="7"/>
      <c r="Y1082" s="7"/>
      <c r="Z1082" s="17"/>
      <c r="AC1082" s="7"/>
      <c r="AD1082" s="7"/>
      <c r="AE1082" s="7"/>
      <c r="AF1082" s="7"/>
      <c r="AG1082" s="7"/>
      <c r="AH1082" s="7"/>
      <c r="AJ1082" s="7"/>
      <c r="AK1082" s="7"/>
      <c r="AL1082" s="7"/>
      <c r="AM1082" s="7"/>
      <c r="AN1082" s="7"/>
      <c r="AO1082" s="7"/>
      <c r="AR1082" s="7"/>
      <c r="AS1082" s="7"/>
      <c r="AT1082" s="7"/>
      <c r="AU1082" s="7"/>
      <c r="AW1082" s="7"/>
      <c r="CE1082" s="7"/>
      <c r="FZ1082" s="2"/>
    </row>
    <row r="1083" spans="1:182">
      <c r="A1083" s="7"/>
      <c r="D1083" s="7"/>
      <c r="E1083" s="7"/>
      <c r="F1083" s="7"/>
      <c r="G1083" s="7"/>
      <c r="H1083" s="7"/>
      <c r="I1083" s="7"/>
      <c r="J1083" s="7"/>
      <c r="K1083" s="7"/>
      <c r="L1083" s="7"/>
      <c r="M1083" s="7"/>
      <c r="N1083" s="7"/>
      <c r="O1083" s="7"/>
      <c r="P1083" s="7"/>
      <c r="Q1083" s="7"/>
      <c r="R1083" s="7"/>
      <c r="S1083" s="7"/>
      <c r="T1083" s="7"/>
      <c r="U1083" s="7"/>
      <c r="Y1083" s="7"/>
      <c r="Z1083" s="17"/>
      <c r="AC1083" s="7"/>
      <c r="AD1083" s="7"/>
      <c r="AE1083" s="7"/>
      <c r="AF1083" s="7"/>
      <c r="AG1083" s="7"/>
      <c r="AH1083" s="7"/>
      <c r="AJ1083" s="7"/>
      <c r="AK1083" s="7"/>
      <c r="AL1083" s="7"/>
      <c r="AM1083" s="7"/>
      <c r="AN1083" s="7"/>
      <c r="AO1083" s="7"/>
      <c r="AR1083" s="7"/>
      <c r="AS1083" s="7"/>
      <c r="AT1083" s="7"/>
      <c r="AU1083" s="7"/>
      <c r="AW1083" s="7"/>
      <c r="CE1083" s="7"/>
      <c r="FZ1083" s="2"/>
    </row>
    <row r="1084" spans="1:182">
      <c r="A1084" s="7"/>
      <c r="D1084" s="7"/>
      <c r="E1084" s="7"/>
      <c r="F1084" s="7"/>
      <c r="G1084" s="7"/>
      <c r="H1084" s="7"/>
      <c r="I1084" s="7"/>
      <c r="J1084" s="7"/>
      <c r="K1084" s="7"/>
      <c r="L1084" s="7"/>
      <c r="M1084" s="7"/>
      <c r="N1084" s="7"/>
      <c r="O1084" s="7"/>
      <c r="P1084" s="7"/>
      <c r="Q1084" s="7"/>
      <c r="R1084" s="7"/>
      <c r="S1084" s="7"/>
      <c r="T1084" s="7"/>
      <c r="U1084" s="7"/>
      <c r="Y1084" s="7"/>
      <c r="Z1084" s="17"/>
      <c r="AC1084" s="7"/>
      <c r="AD1084" s="7"/>
      <c r="AE1084" s="7"/>
      <c r="AF1084" s="7"/>
      <c r="AG1084" s="7"/>
      <c r="AH1084" s="7"/>
      <c r="AJ1084" s="7"/>
      <c r="AK1084" s="7"/>
      <c r="AL1084" s="7"/>
      <c r="AM1084" s="7"/>
      <c r="AN1084" s="7"/>
      <c r="AO1084" s="7"/>
      <c r="AR1084" s="7"/>
      <c r="AS1084" s="7"/>
      <c r="AT1084" s="7"/>
      <c r="AU1084" s="7"/>
      <c r="AW1084" s="7"/>
      <c r="CE1084" s="7"/>
      <c r="FZ1084" s="2"/>
    </row>
    <row r="1085" spans="1:182">
      <c r="A1085" s="7"/>
      <c r="D1085" s="7"/>
      <c r="E1085" s="7"/>
      <c r="F1085" s="7"/>
      <c r="G1085" s="7"/>
      <c r="H1085" s="7"/>
      <c r="I1085" s="7"/>
      <c r="J1085" s="7"/>
      <c r="K1085" s="7"/>
      <c r="L1085" s="7"/>
      <c r="M1085" s="7"/>
      <c r="N1085" s="7"/>
      <c r="O1085" s="7"/>
      <c r="P1085" s="7"/>
      <c r="Q1085" s="7"/>
      <c r="R1085" s="7"/>
      <c r="S1085" s="7"/>
      <c r="T1085" s="7"/>
      <c r="U1085" s="7"/>
      <c r="Y1085" s="7"/>
      <c r="Z1085" s="17"/>
      <c r="AC1085" s="7"/>
      <c r="AD1085" s="7"/>
      <c r="AE1085" s="7"/>
      <c r="AF1085" s="7"/>
      <c r="AG1085" s="7"/>
      <c r="AH1085" s="7"/>
      <c r="AJ1085" s="7"/>
      <c r="AK1085" s="7"/>
      <c r="AL1085" s="7"/>
      <c r="AM1085" s="7"/>
      <c r="AN1085" s="7"/>
      <c r="AO1085" s="7"/>
      <c r="AR1085" s="7"/>
      <c r="AS1085" s="7"/>
      <c r="AT1085" s="7"/>
      <c r="AU1085" s="7"/>
      <c r="AW1085" s="7"/>
      <c r="CE1085" s="7"/>
      <c r="FZ1085" s="2"/>
    </row>
    <row r="1086" spans="1:182">
      <c r="A1086" s="7"/>
      <c r="D1086" s="7"/>
      <c r="E1086" s="7"/>
      <c r="F1086" s="7"/>
      <c r="G1086" s="7"/>
      <c r="H1086" s="7"/>
      <c r="I1086" s="7"/>
      <c r="J1086" s="7"/>
      <c r="K1086" s="7"/>
      <c r="L1086" s="7"/>
      <c r="M1086" s="7"/>
      <c r="N1086" s="7"/>
      <c r="O1086" s="7"/>
      <c r="P1086" s="7"/>
      <c r="Q1086" s="7"/>
      <c r="R1086" s="7"/>
      <c r="S1086" s="7"/>
      <c r="T1086" s="7"/>
      <c r="U1086" s="7"/>
      <c r="Y1086" s="7"/>
      <c r="Z1086" s="17"/>
      <c r="AC1086" s="7"/>
      <c r="AD1086" s="7"/>
      <c r="AE1086" s="7"/>
      <c r="AF1086" s="7"/>
      <c r="AG1086" s="7"/>
      <c r="AH1086" s="7"/>
      <c r="AJ1086" s="7"/>
      <c r="AK1086" s="7"/>
      <c r="AL1086" s="7"/>
      <c r="AM1086" s="7"/>
      <c r="AN1086" s="7"/>
      <c r="AO1086" s="7"/>
      <c r="AR1086" s="7"/>
      <c r="AS1086" s="7"/>
      <c r="AT1086" s="7"/>
      <c r="AU1086" s="7"/>
      <c r="AW1086" s="7"/>
      <c r="CE1086" s="7"/>
      <c r="FZ1086" s="2"/>
    </row>
    <row r="1087" spans="1:182">
      <c r="A1087" s="7"/>
      <c r="D1087" s="7"/>
      <c r="E1087" s="7"/>
      <c r="F1087" s="7"/>
      <c r="G1087" s="7"/>
      <c r="H1087" s="7"/>
      <c r="I1087" s="7"/>
      <c r="J1087" s="7"/>
      <c r="K1087" s="7"/>
      <c r="L1087" s="7"/>
      <c r="M1087" s="7"/>
      <c r="N1087" s="7"/>
      <c r="O1087" s="7"/>
      <c r="P1087" s="7"/>
      <c r="Q1087" s="7"/>
      <c r="R1087" s="7"/>
      <c r="S1087" s="7"/>
      <c r="T1087" s="7"/>
      <c r="U1087" s="7"/>
      <c r="Y1087" s="7"/>
      <c r="Z1087" s="17"/>
      <c r="AC1087" s="7"/>
      <c r="AD1087" s="7"/>
      <c r="AE1087" s="7"/>
      <c r="AF1087" s="7"/>
      <c r="AG1087" s="7"/>
      <c r="AH1087" s="7"/>
      <c r="AJ1087" s="7"/>
      <c r="AK1087" s="7"/>
      <c r="AL1087" s="7"/>
      <c r="AM1087" s="7"/>
      <c r="AN1087" s="7"/>
      <c r="AO1087" s="7"/>
      <c r="AR1087" s="7"/>
      <c r="AS1087" s="7"/>
      <c r="AT1087" s="7"/>
      <c r="AU1087" s="7"/>
      <c r="AW1087" s="7"/>
      <c r="CE1087" s="7"/>
      <c r="FZ1087" s="2"/>
    </row>
    <row r="1088" spans="1:182">
      <c r="A1088" s="7"/>
      <c r="D1088" s="7"/>
      <c r="E1088" s="7"/>
      <c r="F1088" s="7"/>
      <c r="G1088" s="7"/>
      <c r="H1088" s="7"/>
      <c r="I1088" s="7"/>
      <c r="J1088" s="7"/>
      <c r="K1088" s="7"/>
      <c r="L1088" s="7"/>
      <c r="M1088" s="7"/>
      <c r="N1088" s="7"/>
      <c r="O1088" s="7"/>
      <c r="P1088" s="7"/>
      <c r="Q1088" s="7"/>
      <c r="R1088" s="7"/>
      <c r="S1088" s="7"/>
      <c r="T1088" s="7"/>
      <c r="U1088" s="7"/>
      <c r="Y1088" s="7"/>
      <c r="Z1088" s="17"/>
      <c r="AC1088" s="7"/>
      <c r="AD1088" s="7"/>
      <c r="AE1088" s="7"/>
      <c r="AF1088" s="7"/>
      <c r="AG1088" s="7"/>
      <c r="AH1088" s="7"/>
      <c r="AJ1088" s="7"/>
      <c r="AK1088" s="7"/>
      <c r="AL1088" s="7"/>
      <c r="AM1088" s="7"/>
      <c r="AN1088" s="7"/>
      <c r="AO1088" s="7"/>
      <c r="AR1088" s="7"/>
      <c r="AS1088" s="7"/>
      <c r="AT1088" s="7"/>
      <c r="AU1088" s="7"/>
      <c r="AW1088" s="7"/>
      <c r="CE1088" s="7"/>
      <c r="FZ1088" s="2"/>
    </row>
    <row r="1089" spans="1:182">
      <c r="A1089" s="7"/>
      <c r="D1089" s="7"/>
      <c r="E1089" s="7"/>
      <c r="F1089" s="7"/>
      <c r="G1089" s="7"/>
      <c r="H1089" s="7"/>
      <c r="I1089" s="7"/>
      <c r="J1089" s="7"/>
      <c r="K1089" s="7"/>
      <c r="L1089" s="7"/>
      <c r="M1089" s="7"/>
      <c r="N1089" s="7"/>
      <c r="O1089" s="7"/>
      <c r="P1089" s="7"/>
      <c r="Q1089" s="7"/>
      <c r="R1089" s="7"/>
      <c r="S1089" s="7"/>
      <c r="T1089" s="7"/>
      <c r="U1089" s="7"/>
      <c r="Y1089" s="7"/>
      <c r="Z1089" s="17"/>
      <c r="AC1089" s="7"/>
      <c r="AD1089" s="7"/>
      <c r="AE1089" s="7"/>
      <c r="AF1089" s="7"/>
      <c r="AG1089" s="7"/>
      <c r="AH1089" s="7"/>
      <c r="AJ1089" s="7"/>
      <c r="AK1089" s="7"/>
      <c r="AL1089" s="7"/>
      <c r="AM1089" s="7"/>
      <c r="AN1089" s="7"/>
      <c r="AO1089" s="7"/>
      <c r="AR1089" s="7"/>
      <c r="AS1089" s="7"/>
      <c r="AT1089" s="7"/>
      <c r="AU1089" s="7"/>
      <c r="AW1089" s="7"/>
      <c r="CE1089" s="7"/>
      <c r="FZ1089" s="2"/>
    </row>
    <row r="1090" spans="1:182">
      <c r="A1090" s="7"/>
      <c r="D1090" s="7"/>
      <c r="E1090" s="7"/>
      <c r="F1090" s="7"/>
      <c r="G1090" s="7"/>
      <c r="H1090" s="7"/>
      <c r="I1090" s="7"/>
      <c r="J1090" s="7"/>
      <c r="K1090" s="7"/>
      <c r="L1090" s="7"/>
      <c r="M1090" s="7"/>
      <c r="N1090" s="7"/>
      <c r="O1090" s="7"/>
      <c r="P1090" s="7"/>
      <c r="Q1090" s="7"/>
      <c r="R1090" s="7"/>
      <c r="S1090" s="7"/>
      <c r="T1090" s="7"/>
      <c r="U1090" s="7"/>
      <c r="Y1090" s="7"/>
      <c r="Z1090" s="17"/>
      <c r="AC1090" s="7"/>
      <c r="AD1090" s="7"/>
      <c r="AE1090" s="7"/>
      <c r="AF1090" s="7"/>
      <c r="AG1090" s="7"/>
      <c r="AH1090" s="7"/>
      <c r="AJ1090" s="7"/>
      <c r="AK1090" s="7"/>
      <c r="AL1090" s="7"/>
      <c r="AM1090" s="7"/>
      <c r="AN1090" s="7"/>
      <c r="AO1090" s="7"/>
      <c r="AR1090" s="7"/>
      <c r="AS1090" s="7"/>
      <c r="AT1090" s="7"/>
      <c r="AU1090" s="7"/>
      <c r="AW1090" s="7"/>
      <c r="CE1090" s="7"/>
      <c r="FZ1090" s="2"/>
    </row>
    <row r="1091" spans="1:182">
      <c r="A1091" s="7"/>
      <c r="D1091" s="7"/>
      <c r="E1091" s="7"/>
      <c r="F1091" s="7"/>
      <c r="G1091" s="7"/>
      <c r="H1091" s="7"/>
      <c r="I1091" s="7"/>
      <c r="J1091" s="7"/>
      <c r="K1091" s="7"/>
      <c r="L1091" s="7"/>
      <c r="M1091" s="7"/>
      <c r="N1091" s="7"/>
      <c r="O1091" s="7"/>
      <c r="P1091" s="7"/>
      <c r="Q1091" s="7"/>
      <c r="R1091" s="7"/>
      <c r="S1091" s="7"/>
      <c r="T1091" s="7"/>
      <c r="U1091" s="7"/>
      <c r="Y1091" s="7"/>
      <c r="Z1091" s="17"/>
      <c r="AC1091" s="7"/>
      <c r="AD1091" s="7"/>
      <c r="AE1091" s="7"/>
      <c r="AF1091" s="7"/>
      <c r="AG1091" s="7"/>
      <c r="AH1091" s="7"/>
      <c r="AJ1091" s="7"/>
      <c r="AK1091" s="7"/>
      <c r="AL1091" s="7"/>
      <c r="AM1091" s="7"/>
      <c r="AN1091" s="7"/>
      <c r="AO1091" s="7"/>
      <c r="AR1091" s="7"/>
      <c r="AS1091" s="7"/>
      <c r="AT1091" s="7"/>
      <c r="AU1091" s="7"/>
      <c r="AW1091" s="7"/>
      <c r="CE1091" s="7"/>
      <c r="FZ1091" s="2"/>
    </row>
    <row r="1092" spans="1:182">
      <c r="A1092" s="7"/>
      <c r="D1092" s="7"/>
      <c r="E1092" s="7"/>
      <c r="F1092" s="7"/>
      <c r="G1092" s="7"/>
      <c r="H1092" s="7"/>
      <c r="I1092" s="7"/>
      <c r="J1092" s="7"/>
      <c r="K1092" s="7"/>
      <c r="L1092" s="7"/>
      <c r="M1092" s="7"/>
      <c r="N1092" s="7"/>
      <c r="O1092" s="7"/>
      <c r="P1092" s="7"/>
      <c r="Q1092" s="7"/>
      <c r="R1092" s="7"/>
      <c r="S1092" s="7"/>
      <c r="T1092" s="7"/>
      <c r="U1092" s="7"/>
      <c r="Y1092" s="7"/>
      <c r="Z1092" s="17"/>
      <c r="AC1092" s="7"/>
      <c r="AD1092" s="7"/>
      <c r="AE1092" s="7"/>
      <c r="AF1092" s="7"/>
      <c r="AG1092" s="7"/>
      <c r="AH1092" s="7"/>
      <c r="AJ1092" s="7"/>
      <c r="AK1092" s="7"/>
      <c r="AL1092" s="7"/>
      <c r="AM1092" s="7"/>
      <c r="AN1092" s="7"/>
      <c r="AO1092" s="7"/>
      <c r="AR1092" s="7"/>
      <c r="AS1092" s="7"/>
      <c r="AT1092" s="7"/>
      <c r="AU1092" s="7"/>
      <c r="AW1092" s="7"/>
      <c r="CE1092" s="7"/>
      <c r="FZ1092" s="2"/>
    </row>
    <row r="1093" spans="1:182">
      <c r="A1093" s="7"/>
      <c r="D1093" s="7"/>
      <c r="E1093" s="7"/>
      <c r="F1093" s="7"/>
      <c r="G1093" s="7"/>
      <c r="H1093" s="7"/>
      <c r="I1093" s="7"/>
      <c r="J1093" s="7"/>
      <c r="K1093" s="7"/>
      <c r="L1093" s="7"/>
      <c r="M1093" s="7"/>
      <c r="N1093" s="7"/>
      <c r="O1093" s="7"/>
      <c r="P1093" s="7"/>
      <c r="Q1093" s="7"/>
      <c r="R1093" s="7"/>
      <c r="S1093" s="7"/>
      <c r="T1093" s="7"/>
      <c r="U1093" s="7"/>
      <c r="Y1093" s="7"/>
      <c r="Z1093" s="17"/>
      <c r="AC1093" s="7"/>
      <c r="AD1093" s="7"/>
      <c r="AE1093" s="7"/>
      <c r="AF1093" s="7"/>
      <c r="AG1093" s="7"/>
      <c r="AH1093" s="7"/>
      <c r="AJ1093" s="7"/>
      <c r="AK1093" s="7"/>
      <c r="AL1093" s="7"/>
      <c r="AM1093" s="7"/>
      <c r="AN1093" s="7"/>
      <c r="AO1093" s="7"/>
      <c r="AR1093" s="7"/>
      <c r="AS1093" s="7"/>
      <c r="AT1093" s="7"/>
      <c r="AU1093" s="7"/>
      <c r="AW1093" s="7"/>
      <c r="CE1093" s="7"/>
      <c r="FZ1093" s="2"/>
    </row>
    <row r="1094" spans="1:182">
      <c r="A1094" s="7"/>
      <c r="D1094" s="7"/>
      <c r="E1094" s="7"/>
      <c r="F1094" s="7"/>
      <c r="G1094" s="7"/>
      <c r="H1094" s="7"/>
      <c r="I1094" s="7"/>
      <c r="J1094" s="7"/>
      <c r="K1094" s="7"/>
      <c r="L1094" s="7"/>
      <c r="M1094" s="7"/>
      <c r="N1094" s="7"/>
      <c r="O1094" s="7"/>
      <c r="P1094" s="7"/>
      <c r="Q1094" s="7"/>
      <c r="R1094" s="7"/>
      <c r="S1094" s="7"/>
      <c r="T1094" s="7"/>
      <c r="U1094" s="7"/>
      <c r="Y1094" s="7"/>
      <c r="Z1094" s="17"/>
      <c r="AC1094" s="7"/>
      <c r="AD1094" s="7"/>
      <c r="AE1094" s="7"/>
      <c r="AF1094" s="7"/>
      <c r="AG1094" s="7"/>
      <c r="AH1094" s="7"/>
      <c r="AJ1094" s="7"/>
      <c r="AK1094" s="7"/>
      <c r="AL1094" s="7"/>
      <c r="AM1094" s="7"/>
      <c r="AN1094" s="7"/>
      <c r="AO1094" s="7"/>
      <c r="AR1094" s="7"/>
      <c r="AS1094" s="7"/>
      <c r="AT1094" s="7"/>
      <c r="AU1094" s="7"/>
      <c r="AW1094" s="7"/>
      <c r="CE1094" s="7"/>
      <c r="FZ1094" s="2"/>
    </row>
    <row r="1095" spans="1:182">
      <c r="A1095" s="7"/>
      <c r="D1095" s="7"/>
      <c r="E1095" s="7"/>
      <c r="F1095" s="7"/>
      <c r="G1095" s="7"/>
      <c r="H1095" s="7"/>
      <c r="I1095" s="7"/>
      <c r="J1095" s="7"/>
      <c r="K1095" s="7"/>
      <c r="L1095" s="7"/>
      <c r="M1095" s="7"/>
      <c r="N1095" s="7"/>
      <c r="O1095" s="7"/>
      <c r="P1095" s="7"/>
      <c r="Q1095" s="7"/>
      <c r="R1095" s="7"/>
      <c r="S1095" s="7"/>
      <c r="T1095" s="7"/>
      <c r="U1095" s="7"/>
      <c r="Y1095" s="7"/>
      <c r="Z1095" s="17"/>
      <c r="AC1095" s="7"/>
      <c r="AD1095" s="7"/>
      <c r="AE1095" s="7"/>
      <c r="AF1095" s="7"/>
      <c r="AG1095" s="7"/>
      <c r="AH1095" s="7"/>
      <c r="AJ1095" s="7"/>
      <c r="AK1095" s="7"/>
      <c r="AL1095" s="7"/>
      <c r="AM1095" s="7"/>
      <c r="AN1095" s="7"/>
      <c r="AO1095" s="7"/>
      <c r="AR1095" s="7"/>
      <c r="AS1095" s="7"/>
      <c r="AT1095" s="7"/>
      <c r="AU1095" s="7"/>
      <c r="AW1095" s="7"/>
      <c r="CE1095" s="7"/>
      <c r="FZ1095" s="2"/>
    </row>
    <row r="1096" spans="1:182">
      <c r="A1096" s="7"/>
      <c r="D1096" s="7"/>
      <c r="E1096" s="7"/>
      <c r="F1096" s="7"/>
      <c r="G1096" s="7"/>
      <c r="H1096" s="7"/>
      <c r="I1096" s="7"/>
      <c r="J1096" s="7"/>
      <c r="K1096" s="7"/>
      <c r="L1096" s="7"/>
      <c r="M1096" s="7"/>
      <c r="N1096" s="7"/>
      <c r="O1096" s="7"/>
      <c r="P1096" s="7"/>
      <c r="Q1096" s="7"/>
      <c r="R1096" s="7"/>
      <c r="S1096" s="7"/>
      <c r="T1096" s="7"/>
      <c r="U1096" s="7"/>
      <c r="Y1096" s="7"/>
      <c r="Z1096" s="17"/>
      <c r="AC1096" s="7"/>
      <c r="AD1096" s="7"/>
      <c r="AE1096" s="7"/>
      <c r="AF1096" s="7"/>
      <c r="AG1096" s="7"/>
      <c r="AH1096" s="7"/>
      <c r="AJ1096" s="7"/>
      <c r="AK1096" s="7"/>
      <c r="AL1096" s="7"/>
      <c r="AM1096" s="7"/>
      <c r="AN1096" s="7"/>
      <c r="AO1096" s="7"/>
      <c r="AR1096" s="7"/>
      <c r="AS1096" s="7"/>
      <c r="AT1096" s="7"/>
      <c r="AU1096" s="7"/>
      <c r="AW1096" s="7"/>
      <c r="CE1096" s="7"/>
      <c r="FZ1096" s="2"/>
    </row>
    <row r="1097" spans="1:182">
      <c r="A1097" s="7"/>
      <c r="D1097" s="7"/>
      <c r="E1097" s="7"/>
      <c r="F1097" s="7"/>
      <c r="G1097" s="7"/>
      <c r="H1097" s="7"/>
      <c r="I1097" s="7"/>
      <c r="J1097" s="7"/>
      <c r="K1097" s="7"/>
      <c r="L1097" s="7"/>
      <c r="M1097" s="7"/>
      <c r="N1097" s="7"/>
      <c r="O1097" s="7"/>
      <c r="P1097" s="7"/>
      <c r="Q1097" s="7"/>
      <c r="R1097" s="7"/>
      <c r="S1097" s="7"/>
      <c r="T1097" s="7"/>
      <c r="U1097" s="7"/>
      <c r="Y1097" s="7"/>
      <c r="Z1097" s="17"/>
      <c r="AC1097" s="7"/>
      <c r="AD1097" s="7"/>
      <c r="AE1097" s="7"/>
      <c r="AF1097" s="7"/>
      <c r="AG1097" s="7"/>
      <c r="AH1097" s="7"/>
      <c r="AJ1097" s="7"/>
      <c r="AK1097" s="7"/>
      <c r="AL1097" s="7"/>
      <c r="AM1097" s="7"/>
      <c r="AN1097" s="7"/>
      <c r="AO1097" s="7"/>
      <c r="AR1097" s="7"/>
      <c r="AS1097" s="7"/>
      <c r="AT1097" s="7"/>
      <c r="AU1097" s="7"/>
      <c r="AW1097" s="7"/>
      <c r="CE1097" s="7"/>
      <c r="FZ1097" s="2"/>
    </row>
    <row r="1098" spans="1:182">
      <c r="A1098" s="7"/>
      <c r="D1098" s="7"/>
      <c r="E1098" s="7"/>
      <c r="F1098" s="7"/>
      <c r="G1098" s="7"/>
      <c r="H1098" s="7"/>
      <c r="I1098" s="7"/>
      <c r="J1098" s="7"/>
      <c r="K1098" s="7"/>
      <c r="L1098" s="7"/>
      <c r="M1098" s="7"/>
      <c r="N1098" s="7"/>
      <c r="O1098" s="7"/>
      <c r="P1098" s="7"/>
      <c r="Q1098" s="7"/>
      <c r="R1098" s="7"/>
      <c r="S1098" s="7"/>
      <c r="T1098" s="7"/>
      <c r="U1098" s="7"/>
      <c r="Y1098" s="7"/>
      <c r="Z1098" s="17"/>
      <c r="AC1098" s="7"/>
      <c r="AD1098" s="7"/>
      <c r="AE1098" s="7"/>
      <c r="AF1098" s="7"/>
      <c r="AG1098" s="7"/>
      <c r="AH1098" s="7"/>
      <c r="AJ1098" s="7"/>
      <c r="AK1098" s="7"/>
      <c r="AL1098" s="7"/>
      <c r="AM1098" s="7"/>
      <c r="AN1098" s="7"/>
      <c r="AO1098" s="7"/>
      <c r="AR1098" s="7"/>
      <c r="AS1098" s="7"/>
      <c r="AT1098" s="7"/>
      <c r="AU1098" s="7"/>
      <c r="AW1098" s="7"/>
      <c r="CE1098" s="7"/>
      <c r="FZ1098" s="2"/>
    </row>
    <row r="1099" spans="1:182">
      <c r="A1099" s="7"/>
      <c r="D1099" s="7"/>
      <c r="E1099" s="7"/>
      <c r="F1099" s="7"/>
      <c r="G1099" s="7"/>
      <c r="H1099" s="7"/>
      <c r="I1099" s="7"/>
      <c r="J1099" s="7"/>
      <c r="K1099" s="7"/>
      <c r="L1099" s="7"/>
      <c r="M1099" s="7"/>
      <c r="N1099" s="7"/>
      <c r="O1099" s="7"/>
      <c r="P1099" s="7"/>
      <c r="Q1099" s="7"/>
      <c r="R1099" s="7"/>
      <c r="S1099" s="7"/>
      <c r="T1099" s="7"/>
      <c r="U1099" s="7"/>
      <c r="Y1099" s="7"/>
      <c r="Z1099" s="17"/>
      <c r="AC1099" s="7"/>
      <c r="AD1099" s="7"/>
      <c r="AE1099" s="7"/>
      <c r="AF1099" s="7"/>
      <c r="AG1099" s="7"/>
      <c r="AH1099" s="7"/>
      <c r="AJ1099" s="7"/>
      <c r="AK1099" s="7"/>
      <c r="AL1099" s="7"/>
      <c r="AM1099" s="7"/>
      <c r="AN1099" s="7"/>
      <c r="AO1099" s="7"/>
      <c r="AR1099" s="7"/>
      <c r="AS1099" s="7"/>
      <c r="AT1099" s="7"/>
      <c r="AU1099" s="7"/>
      <c r="AW1099" s="7"/>
      <c r="CE1099" s="7"/>
      <c r="FZ1099" s="2"/>
    </row>
    <row r="1100" spans="1:182">
      <c r="A1100" s="7"/>
      <c r="D1100" s="7"/>
      <c r="E1100" s="7"/>
      <c r="F1100" s="7"/>
      <c r="G1100" s="7"/>
      <c r="H1100" s="7"/>
      <c r="I1100" s="7"/>
      <c r="J1100" s="7"/>
      <c r="K1100" s="7"/>
      <c r="L1100" s="7"/>
      <c r="M1100" s="7"/>
      <c r="N1100" s="7"/>
      <c r="O1100" s="7"/>
      <c r="P1100" s="7"/>
      <c r="Q1100" s="7"/>
      <c r="R1100" s="7"/>
      <c r="S1100" s="7"/>
      <c r="T1100" s="7"/>
      <c r="U1100" s="7"/>
      <c r="Y1100" s="7"/>
      <c r="Z1100" s="17"/>
      <c r="AC1100" s="7"/>
      <c r="AD1100" s="7"/>
      <c r="AE1100" s="7"/>
      <c r="AF1100" s="7"/>
      <c r="AG1100" s="7"/>
      <c r="AH1100" s="7"/>
      <c r="AJ1100" s="7"/>
      <c r="AK1100" s="7"/>
      <c r="AL1100" s="7"/>
      <c r="AM1100" s="7"/>
      <c r="AN1100" s="7"/>
      <c r="AO1100" s="7"/>
      <c r="AR1100" s="7"/>
      <c r="AS1100" s="7"/>
      <c r="AT1100" s="7"/>
      <c r="AU1100" s="7"/>
      <c r="AW1100" s="7"/>
      <c r="CE1100" s="7"/>
      <c r="FZ1100" s="2"/>
    </row>
    <row r="1101" spans="1:182">
      <c r="A1101" s="7"/>
      <c r="D1101" s="7"/>
      <c r="E1101" s="7"/>
      <c r="F1101" s="7"/>
      <c r="G1101" s="7"/>
      <c r="H1101" s="7"/>
      <c r="I1101" s="7"/>
      <c r="J1101" s="7"/>
      <c r="K1101" s="7"/>
      <c r="L1101" s="7"/>
      <c r="M1101" s="7"/>
      <c r="N1101" s="7"/>
      <c r="O1101" s="7"/>
      <c r="P1101" s="7"/>
      <c r="Q1101" s="7"/>
      <c r="R1101" s="7"/>
      <c r="S1101" s="7"/>
      <c r="T1101" s="7"/>
      <c r="U1101" s="7"/>
      <c r="Y1101" s="7"/>
      <c r="Z1101" s="17"/>
      <c r="AC1101" s="7"/>
      <c r="AD1101" s="7"/>
      <c r="AE1101" s="7"/>
      <c r="AF1101" s="7"/>
      <c r="AG1101" s="7"/>
      <c r="AH1101" s="7"/>
      <c r="AJ1101" s="7"/>
      <c r="AK1101" s="7"/>
      <c r="AL1101" s="7"/>
      <c r="AM1101" s="7"/>
      <c r="AN1101" s="7"/>
      <c r="AO1101" s="7"/>
      <c r="AR1101" s="7"/>
      <c r="AS1101" s="7"/>
      <c r="AT1101" s="7"/>
      <c r="AU1101" s="7"/>
      <c r="AW1101" s="7"/>
      <c r="CE1101" s="7"/>
      <c r="FZ1101" s="2"/>
    </row>
    <row r="1102" spans="1:182">
      <c r="A1102" s="7"/>
      <c r="D1102" s="7"/>
      <c r="E1102" s="7"/>
      <c r="F1102" s="7"/>
      <c r="G1102" s="7"/>
      <c r="H1102" s="7"/>
      <c r="I1102" s="7"/>
      <c r="J1102" s="7"/>
      <c r="K1102" s="7"/>
      <c r="L1102" s="7"/>
      <c r="M1102" s="7"/>
      <c r="N1102" s="7"/>
      <c r="O1102" s="7"/>
      <c r="P1102" s="7"/>
      <c r="Q1102" s="7"/>
      <c r="R1102" s="7"/>
      <c r="S1102" s="7"/>
      <c r="T1102" s="7"/>
      <c r="U1102" s="7"/>
      <c r="Y1102" s="7"/>
      <c r="Z1102" s="17"/>
      <c r="AC1102" s="7"/>
      <c r="AD1102" s="7"/>
      <c r="AE1102" s="7"/>
      <c r="AF1102" s="7"/>
      <c r="AG1102" s="7"/>
      <c r="AH1102" s="7"/>
      <c r="AJ1102" s="7"/>
      <c r="AK1102" s="7"/>
      <c r="AL1102" s="7"/>
      <c r="AM1102" s="7"/>
      <c r="AN1102" s="7"/>
      <c r="AO1102" s="7"/>
      <c r="AR1102" s="7"/>
      <c r="AS1102" s="7"/>
      <c r="AT1102" s="7"/>
      <c r="AU1102" s="7"/>
      <c r="AW1102" s="7"/>
      <c r="CE1102" s="7"/>
      <c r="FZ1102" s="2"/>
    </row>
    <row r="1103" spans="1:182">
      <c r="A1103" s="7"/>
      <c r="D1103" s="7"/>
      <c r="E1103" s="7"/>
      <c r="F1103" s="7"/>
      <c r="G1103" s="7"/>
      <c r="H1103" s="7"/>
      <c r="I1103" s="7"/>
      <c r="J1103" s="7"/>
      <c r="K1103" s="7"/>
      <c r="L1103" s="7"/>
      <c r="M1103" s="7"/>
      <c r="N1103" s="7"/>
      <c r="O1103" s="7"/>
      <c r="P1103" s="7"/>
      <c r="Q1103" s="7"/>
      <c r="R1103" s="7"/>
      <c r="S1103" s="7"/>
      <c r="T1103" s="7"/>
      <c r="U1103" s="7"/>
      <c r="Y1103" s="7"/>
      <c r="Z1103" s="17"/>
      <c r="AC1103" s="7"/>
      <c r="AD1103" s="7"/>
      <c r="AE1103" s="7"/>
      <c r="AF1103" s="7"/>
      <c r="AG1103" s="7"/>
      <c r="AH1103" s="7"/>
      <c r="AJ1103" s="7"/>
      <c r="AK1103" s="7"/>
      <c r="AL1103" s="7"/>
      <c r="AM1103" s="7"/>
      <c r="AN1103" s="7"/>
      <c r="AO1103" s="7"/>
      <c r="AR1103" s="7"/>
      <c r="AS1103" s="7"/>
      <c r="AT1103" s="7"/>
      <c r="AU1103" s="7"/>
      <c r="AW1103" s="7"/>
      <c r="CE1103" s="7"/>
      <c r="FZ1103" s="2"/>
    </row>
    <row r="1104" spans="1:182">
      <c r="A1104" s="7"/>
      <c r="D1104" s="7"/>
      <c r="E1104" s="7"/>
      <c r="F1104" s="7"/>
      <c r="G1104" s="7"/>
      <c r="H1104" s="7"/>
      <c r="I1104" s="7"/>
      <c r="J1104" s="7"/>
      <c r="K1104" s="7"/>
      <c r="L1104" s="7"/>
      <c r="M1104" s="7"/>
      <c r="N1104" s="7"/>
      <c r="O1104" s="7"/>
      <c r="P1104" s="7"/>
      <c r="Q1104" s="7"/>
      <c r="R1104" s="7"/>
      <c r="S1104" s="7"/>
      <c r="T1104" s="7"/>
      <c r="U1104" s="7"/>
      <c r="Y1104" s="7"/>
      <c r="Z1104" s="17"/>
      <c r="AC1104" s="7"/>
      <c r="AD1104" s="7"/>
      <c r="AE1104" s="7"/>
      <c r="AF1104" s="7"/>
      <c r="AG1104" s="7"/>
      <c r="AH1104" s="7"/>
      <c r="AJ1104" s="7"/>
      <c r="AK1104" s="7"/>
      <c r="AL1104" s="7"/>
      <c r="AM1104" s="7"/>
      <c r="AN1104" s="7"/>
      <c r="AO1104" s="7"/>
      <c r="AR1104" s="7"/>
      <c r="AS1104" s="7"/>
      <c r="AT1104" s="7"/>
      <c r="AU1104" s="7"/>
      <c r="AW1104" s="7"/>
      <c r="CE1104" s="7"/>
      <c r="FZ1104" s="2"/>
    </row>
    <row r="1105" spans="1:182">
      <c r="A1105" s="7"/>
      <c r="D1105" s="7"/>
      <c r="E1105" s="7"/>
      <c r="F1105" s="7"/>
      <c r="G1105" s="7"/>
      <c r="H1105" s="7"/>
      <c r="I1105" s="7"/>
      <c r="J1105" s="7"/>
      <c r="K1105" s="7"/>
      <c r="L1105" s="7"/>
      <c r="M1105" s="7"/>
      <c r="N1105" s="7"/>
      <c r="O1105" s="7"/>
      <c r="P1105" s="7"/>
      <c r="Q1105" s="7"/>
      <c r="R1105" s="7"/>
      <c r="S1105" s="7"/>
      <c r="T1105" s="7"/>
      <c r="U1105" s="7"/>
      <c r="Y1105" s="7"/>
      <c r="Z1105" s="17"/>
      <c r="AC1105" s="7"/>
      <c r="AD1105" s="7"/>
      <c r="AE1105" s="7"/>
      <c r="AF1105" s="7"/>
      <c r="AG1105" s="7"/>
      <c r="AH1105" s="7"/>
      <c r="AJ1105" s="7"/>
      <c r="AK1105" s="7"/>
      <c r="AL1105" s="7"/>
      <c r="AM1105" s="7"/>
      <c r="AN1105" s="7"/>
      <c r="AO1105" s="7"/>
      <c r="AR1105" s="7"/>
      <c r="AS1105" s="7"/>
      <c r="AT1105" s="7"/>
      <c r="AU1105" s="7"/>
      <c r="AW1105" s="7"/>
      <c r="CE1105" s="7"/>
      <c r="FZ1105" s="2"/>
    </row>
    <row r="1106" spans="1:182">
      <c r="A1106" s="7"/>
      <c r="D1106" s="7"/>
      <c r="E1106" s="7"/>
      <c r="F1106" s="7"/>
      <c r="G1106" s="7"/>
      <c r="H1106" s="7"/>
      <c r="I1106" s="7"/>
      <c r="J1106" s="7"/>
      <c r="K1106" s="7"/>
      <c r="L1106" s="7"/>
      <c r="M1106" s="7"/>
      <c r="N1106" s="7"/>
      <c r="O1106" s="7"/>
      <c r="P1106" s="7"/>
      <c r="Q1106" s="7"/>
      <c r="R1106" s="7"/>
      <c r="S1106" s="7"/>
      <c r="T1106" s="7"/>
      <c r="U1106" s="7"/>
      <c r="Y1106" s="7"/>
      <c r="Z1106" s="17"/>
      <c r="AC1106" s="7"/>
      <c r="AD1106" s="7"/>
      <c r="AE1106" s="7"/>
      <c r="AF1106" s="7"/>
      <c r="AG1106" s="7"/>
      <c r="AH1106" s="7"/>
      <c r="AJ1106" s="7"/>
      <c r="AK1106" s="7"/>
      <c r="AL1106" s="7"/>
      <c r="AM1106" s="7"/>
      <c r="AN1106" s="7"/>
      <c r="AO1106" s="7"/>
      <c r="AR1106" s="7"/>
      <c r="AS1106" s="7"/>
      <c r="AT1106" s="7"/>
      <c r="AU1106" s="7"/>
      <c r="AW1106" s="7"/>
      <c r="CE1106" s="7"/>
      <c r="FZ1106" s="2"/>
    </row>
    <row r="1107" spans="1:182">
      <c r="A1107" s="7"/>
      <c r="D1107" s="7"/>
      <c r="E1107" s="7"/>
      <c r="F1107" s="7"/>
      <c r="G1107" s="7"/>
      <c r="H1107" s="7"/>
      <c r="I1107" s="7"/>
      <c r="J1107" s="7"/>
      <c r="K1107" s="7"/>
      <c r="L1107" s="7"/>
      <c r="M1107" s="7"/>
      <c r="N1107" s="7"/>
      <c r="O1107" s="7"/>
      <c r="P1107" s="7"/>
      <c r="Q1107" s="7"/>
      <c r="R1107" s="7"/>
      <c r="S1107" s="7"/>
      <c r="T1107" s="7"/>
      <c r="U1107" s="7"/>
      <c r="Y1107" s="7"/>
      <c r="Z1107" s="17"/>
      <c r="AC1107" s="7"/>
      <c r="AD1107" s="7"/>
      <c r="AE1107" s="7"/>
      <c r="AF1107" s="7"/>
      <c r="AG1107" s="7"/>
      <c r="AH1107" s="7"/>
      <c r="AJ1107" s="7"/>
      <c r="AK1107" s="7"/>
      <c r="AL1107" s="7"/>
      <c r="AM1107" s="7"/>
      <c r="AN1107" s="7"/>
      <c r="AO1107" s="7"/>
      <c r="AR1107" s="7"/>
      <c r="AS1107" s="7"/>
      <c r="AT1107" s="7"/>
      <c r="AU1107" s="7"/>
      <c r="AW1107" s="7"/>
      <c r="CE1107" s="7"/>
      <c r="FZ1107" s="2"/>
    </row>
    <row r="1108" spans="1:182">
      <c r="A1108" s="7"/>
      <c r="D1108" s="7"/>
      <c r="E1108" s="7"/>
      <c r="F1108" s="7"/>
      <c r="G1108" s="7"/>
      <c r="H1108" s="7"/>
      <c r="I1108" s="7"/>
      <c r="J1108" s="7"/>
      <c r="K1108" s="7"/>
      <c r="L1108" s="7"/>
      <c r="M1108" s="7"/>
      <c r="N1108" s="7"/>
      <c r="O1108" s="7"/>
      <c r="P1108" s="7"/>
      <c r="Q1108" s="7"/>
      <c r="R1108" s="7"/>
      <c r="S1108" s="7"/>
      <c r="T1108" s="7"/>
      <c r="U1108" s="7"/>
      <c r="Y1108" s="7"/>
      <c r="Z1108" s="17"/>
      <c r="AC1108" s="7"/>
      <c r="AD1108" s="7"/>
      <c r="AE1108" s="7"/>
      <c r="AF1108" s="7"/>
      <c r="AG1108" s="7"/>
      <c r="AH1108" s="7"/>
      <c r="AJ1108" s="7"/>
      <c r="AK1108" s="7"/>
      <c r="AL1108" s="7"/>
      <c r="AM1108" s="7"/>
      <c r="AN1108" s="7"/>
      <c r="AO1108" s="7"/>
      <c r="AR1108" s="7"/>
      <c r="AS1108" s="7"/>
      <c r="AT1108" s="7"/>
      <c r="AU1108" s="7"/>
      <c r="AW1108" s="7"/>
      <c r="CE1108" s="7"/>
      <c r="FZ1108" s="2"/>
    </row>
    <row r="1109" spans="1:182">
      <c r="A1109" s="7"/>
      <c r="D1109" s="7"/>
      <c r="E1109" s="7"/>
      <c r="F1109" s="7"/>
      <c r="G1109" s="7"/>
      <c r="H1109" s="7"/>
      <c r="I1109" s="7"/>
      <c r="J1109" s="7"/>
      <c r="K1109" s="7"/>
      <c r="L1109" s="7"/>
      <c r="M1109" s="7"/>
      <c r="N1109" s="7"/>
      <c r="O1109" s="7"/>
      <c r="P1109" s="7"/>
      <c r="Q1109" s="7"/>
      <c r="R1109" s="7"/>
      <c r="S1109" s="7"/>
      <c r="T1109" s="7"/>
      <c r="U1109" s="7"/>
      <c r="Y1109" s="7"/>
      <c r="Z1109" s="17"/>
      <c r="AC1109" s="7"/>
      <c r="AD1109" s="7"/>
      <c r="AE1109" s="7"/>
      <c r="AF1109" s="7"/>
      <c r="AG1109" s="7"/>
      <c r="AH1109" s="7"/>
      <c r="AJ1109" s="7"/>
      <c r="AK1109" s="7"/>
      <c r="AL1109" s="7"/>
      <c r="AM1109" s="7"/>
      <c r="AN1109" s="7"/>
      <c r="AO1109" s="7"/>
      <c r="AR1109" s="7"/>
      <c r="AS1109" s="7"/>
      <c r="AT1109" s="7"/>
      <c r="AU1109" s="7"/>
      <c r="AW1109" s="7"/>
      <c r="CE1109" s="7"/>
      <c r="FZ1109" s="2"/>
    </row>
    <row r="1110" spans="1:182">
      <c r="A1110" s="7"/>
      <c r="D1110" s="7"/>
      <c r="E1110" s="7"/>
      <c r="F1110" s="7"/>
      <c r="G1110" s="7"/>
      <c r="H1110" s="7"/>
      <c r="I1110" s="7"/>
      <c r="J1110" s="7"/>
      <c r="K1110" s="7"/>
      <c r="L1110" s="7"/>
      <c r="M1110" s="7"/>
      <c r="N1110" s="7"/>
      <c r="O1110" s="7"/>
      <c r="P1110" s="7"/>
      <c r="Q1110" s="7"/>
      <c r="R1110" s="7"/>
      <c r="S1110" s="7"/>
      <c r="T1110" s="7"/>
      <c r="U1110" s="7"/>
      <c r="Y1110" s="7"/>
      <c r="Z1110" s="17"/>
      <c r="AC1110" s="7"/>
      <c r="AD1110" s="7"/>
      <c r="AE1110" s="7"/>
      <c r="AF1110" s="7"/>
      <c r="AG1110" s="7"/>
      <c r="AH1110" s="7"/>
      <c r="AJ1110" s="7"/>
      <c r="AK1110" s="7"/>
      <c r="AL1110" s="7"/>
      <c r="AM1110" s="7"/>
      <c r="AN1110" s="7"/>
      <c r="AO1110" s="7"/>
      <c r="AR1110" s="7"/>
      <c r="AS1110" s="7"/>
      <c r="AT1110" s="7"/>
      <c r="AU1110" s="7"/>
      <c r="AW1110" s="7"/>
      <c r="CE1110" s="7"/>
      <c r="FZ1110" s="2"/>
    </row>
    <row r="1111" spans="1:182">
      <c r="A1111" s="7"/>
      <c r="D1111" s="7"/>
      <c r="E1111" s="7"/>
      <c r="F1111" s="7"/>
      <c r="G1111" s="7"/>
      <c r="H1111" s="7"/>
      <c r="I1111" s="7"/>
      <c r="J1111" s="7"/>
      <c r="K1111" s="7"/>
      <c r="L1111" s="7"/>
      <c r="M1111" s="7"/>
      <c r="N1111" s="7"/>
      <c r="O1111" s="7"/>
      <c r="P1111" s="7"/>
      <c r="Q1111" s="7"/>
      <c r="R1111" s="7"/>
      <c r="S1111" s="7"/>
      <c r="T1111" s="7"/>
      <c r="U1111" s="7"/>
      <c r="Y1111" s="7"/>
      <c r="Z1111" s="17"/>
      <c r="AC1111" s="7"/>
      <c r="AD1111" s="7"/>
      <c r="AE1111" s="7"/>
      <c r="AF1111" s="7"/>
      <c r="AG1111" s="7"/>
      <c r="AH1111" s="7"/>
      <c r="AJ1111" s="7"/>
      <c r="AK1111" s="7"/>
      <c r="AL1111" s="7"/>
      <c r="AM1111" s="7"/>
      <c r="AN1111" s="7"/>
      <c r="AO1111" s="7"/>
      <c r="AR1111" s="7"/>
      <c r="AS1111" s="7"/>
      <c r="AT1111" s="7"/>
      <c r="AU1111" s="7"/>
      <c r="AW1111" s="7"/>
      <c r="CE1111" s="7"/>
      <c r="FZ1111" s="2"/>
    </row>
    <row r="1112" spans="1:182">
      <c r="A1112" s="7"/>
      <c r="D1112" s="7"/>
      <c r="E1112" s="7"/>
      <c r="F1112" s="7"/>
      <c r="G1112" s="7"/>
      <c r="H1112" s="7"/>
      <c r="I1112" s="7"/>
      <c r="J1112" s="7"/>
      <c r="K1112" s="7"/>
      <c r="L1112" s="7"/>
      <c r="M1112" s="7"/>
      <c r="N1112" s="7"/>
      <c r="O1112" s="7"/>
      <c r="P1112" s="7"/>
      <c r="Q1112" s="7"/>
      <c r="R1112" s="7"/>
      <c r="S1112" s="7"/>
      <c r="T1112" s="7"/>
      <c r="U1112" s="7"/>
      <c r="Y1112" s="7"/>
      <c r="Z1112" s="17"/>
      <c r="AC1112" s="7"/>
      <c r="AD1112" s="7"/>
      <c r="AE1112" s="7"/>
      <c r="AF1112" s="7"/>
      <c r="AG1112" s="7"/>
      <c r="AH1112" s="7"/>
      <c r="AJ1112" s="7"/>
      <c r="AK1112" s="7"/>
      <c r="AL1112" s="7"/>
      <c r="AM1112" s="7"/>
      <c r="AN1112" s="7"/>
      <c r="AO1112" s="7"/>
      <c r="AR1112" s="7"/>
      <c r="AS1112" s="7"/>
      <c r="AT1112" s="7"/>
      <c r="AU1112" s="7"/>
      <c r="AW1112" s="7"/>
      <c r="CE1112" s="7"/>
      <c r="FZ1112" s="2"/>
    </row>
    <row r="1113" spans="1:182">
      <c r="A1113" s="7"/>
      <c r="D1113" s="7"/>
      <c r="E1113" s="7"/>
      <c r="F1113" s="7"/>
      <c r="G1113" s="7"/>
      <c r="H1113" s="7"/>
      <c r="I1113" s="7"/>
      <c r="J1113" s="7"/>
      <c r="K1113" s="7"/>
      <c r="L1113" s="7"/>
      <c r="M1113" s="7"/>
      <c r="N1113" s="7"/>
      <c r="O1113" s="7"/>
      <c r="P1113" s="7"/>
      <c r="Q1113" s="7"/>
      <c r="R1113" s="7"/>
      <c r="S1113" s="7"/>
      <c r="T1113" s="7"/>
      <c r="U1113" s="7"/>
      <c r="Y1113" s="7"/>
      <c r="Z1113" s="17"/>
      <c r="AC1113" s="7"/>
      <c r="AD1113" s="7"/>
      <c r="AE1113" s="7"/>
      <c r="AF1113" s="7"/>
      <c r="AG1113" s="7"/>
      <c r="AH1113" s="7"/>
      <c r="AJ1113" s="7"/>
      <c r="AK1113" s="7"/>
      <c r="AL1113" s="7"/>
      <c r="AM1113" s="7"/>
      <c r="AN1113" s="7"/>
      <c r="AO1113" s="7"/>
      <c r="AR1113" s="7"/>
      <c r="AS1113" s="7"/>
      <c r="AT1113" s="7"/>
      <c r="AU1113" s="7"/>
      <c r="AW1113" s="7"/>
      <c r="CE1113" s="7"/>
      <c r="FZ1113" s="2"/>
    </row>
    <row r="1114" spans="1:182">
      <c r="A1114" s="7"/>
      <c r="D1114" s="7"/>
      <c r="E1114" s="7"/>
      <c r="F1114" s="7"/>
      <c r="G1114" s="7"/>
      <c r="H1114" s="7"/>
      <c r="I1114" s="7"/>
      <c r="J1114" s="7"/>
      <c r="K1114" s="7"/>
      <c r="L1114" s="7"/>
      <c r="M1114" s="7"/>
      <c r="N1114" s="7"/>
      <c r="O1114" s="7"/>
      <c r="P1114" s="7"/>
      <c r="Q1114" s="7"/>
      <c r="R1114" s="7"/>
      <c r="S1114" s="7"/>
      <c r="T1114" s="7"/>
      <c r="U1114" s="7"/>
      <c r="Y1114" s="7"/>
      <c r="Z1114" s="17"/>
      <c r="AC1114" s="7"/>
      <c r="AD1114" s="7"/>
      <c r="AE1114" s="7"/>
      <c r="AF1114" s="7"/>
      <c r="AG1114" s="7"/>
      <c r="AH1114" s="7"/>
      <c r="AJ1114" s="7"/>
      <c r="AK1114" s="7"/>
      <c r="AL1114" s="7"/>
      <c r="AM1114" s="7"/>
      <c r="AN1114" s="7"/>
      <c r="AO1114" s="7"/>
      <c r="AR1114" s="7"/>
      <c r="AS1114" s="7"/>
      <c r="AT1114" s="7"/>
      <c r="AU1114" s="7"/>
      <c r="AW1114" s="7"/>
      <c r="CE1114" s="7"/>
      <c r="FZ1114" s="2"/>
    </row>
    <row r="1115" spans="1:182">
      <c r="A1115" s="7"/>
      <c r="D1115" s="7"/>
      <c r="E1115" s="7"/>
      <c r="F1115" s="7"/>
      <c r="G1115" s="7"/>
      <c r="H1115" s="7"/>
      <c r="I1115" s="7"/>
      <c r="J1115" s="7"/>
      <c r="K1115" s="7"/>
      <c r="L1115" s="7"/>
      <c r="M1115" s="7"/>
      <c r="N1115" s="7"/>
      <c r="O1115" s="7"/>
      <c r="P1115" s="7"/>
      <c r="Q1115" s="7"/>
      <c r="R1115" s="7"/>
      <c r="S1115" s="7"/>
      <c r="T1115" s="7"/>
      <c r="U1115" s="7"/>
      <c r="Y1115" s="7"/>
      <c r="Z1115" s="17"/>
      <c r="AC1115" s="7"/>
      <c r="AD1115" s="7"/>
      <c r="AE1115" s="7"/>
      <c r="AF1115" s="7"/>
      <c r="AG1115" s="7"/>
      <c r="AH1115" s="7"/>
      <c r="AJ1115" s="7"/>
      <c r="AK1115" s="7"/>
      <c r="AL1115" s="7"/>
      <c r="AM1115" s="7"/>
      <c r="AN1115" s="7"/>
      <c r="AO1115" s="7"/>
      <c r="AR1115" s="7"/>
      <c r="AS1115" s="7"/>
      <c r="AT1115" s="7"/>
      <c r="AU1115" s="7"/>
      <c r="AW1115" s="7"/>
      <c r="CE1115" s="7"/>
      <c r="FZ1115" s="2"/>
    </row>
    <row r="1116" spans="1:182">
      <c r="A1116" s="7"/>
      <c r="D1116" s="7"/>
      <c r="E1116" s="7"/>
      <c r="F1116" s="7"/>
      <c r="G1116" s="7"/>
      <c r="H1116" s="7"/>
      <c r="I1116" s="7"/>
      <c r="J1116" s="7"/>
      <c r="K1116" s="7"/>
      <c r="L1116" s="7"/>
      <c r="M1116" s="7"/>
      <c r="N1116" s="7"/>
      <c r="O1116" s="7"/>
      <c r="P1116" s="7"/>
      <c r="Q1116" s="7"/>
      <c r="R1116" s="7"/>
      <c r="S1116" s="7"/>
      <c r="T1116" s="7"/>
      <c r="U1116" s="7"/>
      <c r="Y1116" s="7"/>
      <c r="Z1116" s="17"/>
      <c r="AC1116" s="7"/>
      <c r="AD1116" s="7"/>
      <c r="AE1116" s="7"/>
      <c r="AF1116" s="7"/>
      <c r="AG1116" s="7"/>
      <c r="AH1116" s="7"/>
      <c r="AJ1116" s="7"/>
      <c r="AK1116" s="7"/>
      <c r="AL1116" s="7"/>
      <c r="AM1116" s="7"/>
      <c r="AN1116" s="7"/>
      <c r="AO1116" s="7"/>
      <c r="AR1116" s="7"/>
      <c r="AS1116" s="7"/>
      <c r="AT1116" s="7"/>
      <c r="AU1116" s="7"/>
      <c r="AW1116" s="7"/>
      <c r="CE1116" s="7"/>
      <c r="FZ1116" s="2"/>
    </row>
    <row r="1117" spans="1:182">
      <c r="A1117" s="7"/>
      <c r="D1117" s="7"/>
      <c r="E1117" s="7"/>
      <c r="F1117" s="7"/>
      <c r="G1117" s="7"/>
      <c r="H1117" s="7"/>
      <c r="I1117" s="7"/>
      <c r="J1117" s="7"/>
      <c r="K1117" s="7"/>
      <c r="L1117" s="7"/>
      <c r="M1117" s="7"/>
      <c r="N1117" s="7"/>
      <c r="O1117" s="7"/>
      <c r="P1117" s="7"/>
      <c r="Q1117" s="7"/>
      <c r="R1117" s="7"/>
      <c r="S1117" s="7"/>
      <c r="T1117" s="7"/>
      <c r="U1117" s="7"/>
      <c r="Y1117" s="7"/>
      <c r="Z1117" s="17"/>
      <c r="AC1117" s="7"/>
      <c r="AD1117" s="7"/>
      <c r="AE1117" s="7"/>
      <c r="AF1117" s="7"/>
      <c r="AG1117" s="7"/>
      <c r="AH1117" s="7"/>
      <c r="AJ1117" s="7"/>
      <c r="AK1117" s="7"/>
      <c r="AL1117" s="7"/>
      <c r="AM1117" s="7"/>
      <c r="AN1117" s="7"/>
      <c r="AO1117" s="7"/>
      <c r="AR1117" s="7"/>
      <c r="AS1117" s="7"/>
      <c r="AT1117" s="7"/>
      <c r="AU1117" s="7"/>
      <c r="AW1117" s="7"/>
      <c r="CE1117" s="7"/>
      <c r="FZ1117" s="2"/>
    </row>
    <row r="1118" spans="1:182">
      <c r="A1118" s="7"/>
      <c r="D1118" s="7"/>
      <c r="E1118" s="7"/>
      <c r="F1118" s="7"/>
      <c r="G1118" s="7"/>
      <c r="H1118" s="7"/>
      <c r="I1118" s="7"/>
      <c r="J1118" s="7"/>
      <c r="K1118" s="7"/>
      <c r="L1118" s="7"/>
      <c r="M1118" s="7"/>
      <c r="N1118" s="7"/>
      <c r="O1118" s="7"/>
      <c r="P1118" s="7"/>
      <c r="Q1118" s="7"/>
      <c r="R1118" s="7"/>
      <c r="S1118" s="7"/>
      <c r="T1118" s="7"/>
      <c r="U1118" s="7"/>
      <c r="Y1118" s="7"/>
      <c r="Z1118" s="17"/>
      <c r="AC1118" s="7"/>
      <c r="AD1118" s="7"/>
      <c r="AE1118" s="7"/>
      <c r="AF1118" s="7"/>
      <c r="AG1118" s="7"/>
      <c r="AH1118" s="7"/>
      <c r="AJ1118" s="7"/>
      <c r="AK1118" s="7"/>
      <c r="AL1118" s="7"/>
      <c r="AM1118" s="7"/>
      <c r="AN1118" s="7"/>
      <c r="AO1118" s="7"/>
      <c r="AR1118" s="7"/>
      <c r="AS1118" s="7"/>
      <c r="AT1118" s="7"/>
      <c r="AU1118" s="7"/>
      <c r="AW1118" s="7"/>
      <c r="CE1118" s="7"/>
      <c r="FZ1118" s="2"/>
    </row>
    <row r="1119" spans="1:182">
      <c r="A1119" s="7"/>
      <c r="D1119" s="7"/>
      <c r="E1119" s="7"/>
      <c r="F1119" s="7"/>
      <c r="G1119" s="7"/>
      <c r="H1119" s="7"/>
      <c r="I1119" s="7"/>
      <c r="J1119" s="7"/>
      <c r="K1119" s="7"/>
      <c r="L1119" s="7"/>
      <c r="M1119" s="7"/>
      <c r="N1119" s="7"/>
      <c r="O1119" s="7"/>
      <c r="P1119" s="7"/>
      <c r="Q1119" s="7"/>
      <c r="R1119" s="7"/>
      <c r="S1119" s="7"/>
      <c r="T1119" s="7"/>
      <c r="U1119" s="7"/>
      <c r="Y1119" s="7"/>
      <c r="Z1119" s="17"/>
      <c r="AC1119" s="7"/>
      <c r="AD1119" s="7"/>
      <c r="AE1119" s="7"/>
      <c r="AF1119" s="7"/>
      <c r="AG1119" s="7"/>
      <c r="AH1119" s="7"/>
      <c r="AJ1119" s="7"/>
      <c r="AK1119" s="7"/>
      <c r="AL1119" s="7"/>
      <c r="AM1119" s="7"/>
      <c r="AN1119" s="7"/>
      <c r="AO1119" s="7"/>
      <c r="AR1119" s="7"/>
      <c r="AS1119" s="7"/>
      <c r="AT1119" s="7"/>
      <c r="AU1119" s="7"/>
      <c r="AW1119" s="7"/>
      <c r="CE1119" s="7"/>
      <c r="FZ1119" s="2"/>
    </row>
    <row r="1120" spans="1:182">
      <c r="A1120" s="7"/>
      <c r="D1120" s="7"/>
      <c r="E1120" s="7"/>
      <c r="F1120" s="7"/>
      <c r="G1120" s="7"/>
      <c r="H1120" s="7"/>
      <c r="I1120" s="7"/>
      <c r="J1120" s="7"/>
      <c r="K1120" s="7"/>
      <c r="L1120" s="7"/>
      <c r="M1120" s="7"/>
      <c r="N1120" s="7"/>
      <c r="O1120" s="7"/>
      <c r="P1120" s="7"/>
      <c r="Q1120" s="7"/>
      <c r="R1120" s="7"/>
      <c r="S1120" s="7"/>
      <c r="T1120" s="7"/>
      <c r="U1120" s="7"/>
      <c r="Y1120" s="7"/>
      <c r="Z1120" s="17"/>
      <c r="AC1120" s="7"/>
      <c r="AD1120" s="7"/>
      <c r="AE1120" s="7"/>
      <c r="AF1120" s="7"/>
      <c r="AG1120" s="7"/>
      <c r="AH1120" s="7"/>
      <c r="AJ1120" s="7"/>
      <c r="AK1120" s="7"/>
      <c r="AL1120" s="7"/>
      <c r="AM1120" s="7"/>
      <c r="AN1120" s="7"/>
      <c r="AO1120" s="7"/>
      <c r="AR1120" s="7"/>
      <c r="AS1120" s="7"/>
      <c r="AT1120" s="7"/>
      <c r="AU1120" s="7"/>
      <c r="AW1120" s="7"/>
      <c r="CE1120" s="7"/>
      <c r="FZ1120" s="2"/>
    </row>
    <row r="1121" spans="1:182">
      <c r="A1121" s="7"/>
      <c r="D1121" s="7"/>
      <c r="E1121" s="7"/>
      <c r="F1121" s="7"/>
      <c r="G1121" s="7"/>
      <c r="H1121" s="7"/>
      <c r="I1121" s="7"/>
      <c r="J1121" s="7"/>
      <c r="K1121" s="7"/>
      <c r="L1121" s="7"/>
      <c r="M1121" s="7"/>
      <c r="N1121" s="7"/>
      <c r="O1121" s="7"/>
      <c r="P1121" s="7"/>
      <c r="Q1121" s="7"/>
      <c r="R1121" s="7"/>
      <c r="S1121" s="7"/>
      <c r="T1121" s="7"/>
      <c r="U1121" s="7"/>
      <c r="Y1121" s="7"/>
      <c r="Z1121" s="17"/>
      <c r="AC1121" s="7"/>
      <c r="AD1121" s="7"/>
      <c r="AE1121" s="7"/>
      <c r="AF1121" s="7"/>
      <c r="AG1121" s="7"/>
      <c r="AH1121" s="7"/>
      <c r="AJ1121" s="7"/>
      <c r="AK1121" s="7"/>
      <c r="AL1121" s="7"/>
      <c r="AM1121" s="7"/>
      <c r="AN1121" s="7"/>
      <c r="AO1121" s="7"/>
      <c r="AR1121" s="7"/>
      <c r="AS1121" s="7"/>
      <c r="AT1121" s="7"/>
      <c r="AU1121" s="7"/>
      <c r="AW1121" s="7"/>
      <c r="CE1121" s="7"/>
      <c r="FZ1121" s="2"/>
    </row>
    <row r="1122" spans="1:182">
      <c r="A1122" s="7"/>
      <c r="D1122" s="7"/>
      <c r="E1122" s="7"/>
      <c r="F1122" s="7"/>
      <c r="G1122" s="7"/>
      <c r="H1122" s="7"/>
      <c r="I1122" s="7"/>
      <c r="J1122" s="7"/>
      <c r="K1122" s="7"/>
      <c r="L1122" s="7"/>
      <c r="M1122" s="7"/>
      <c r="N1122" s="7"/>
      <c r="O1122" s="7"/>
      <c r="P1122" s="7"/>
      <c r="Q1122" s="7"/>
      <c r="R1122" s="7"/>
      <c r="S1122" s="7"/>
      <c r="T1122" s="7"/>
      <c r="U1122" s="7"/>
      <c r="Y1122" s="7"/>
      <c r="Z1122" s="17"/>
      <c r="AC1122" s="7"/>
      <c r="AD1122" s="7"/>
      <c r="AE1122" s="7"/>
      <c r="AF1122" s="7"/>
      <c r="AG1122" s="7"/>
      <c r="AH1122" s="7"/>
      <c r="AJ1122" s="7"/>
      <c r="AK1122" s="7"/>
      <c r="AL1122" s="7"/>
      <c r="AM1122" s="7"/>
      <c r="AN1122" s="7"/>
      <c r="AO1122" s="7"/>
      <c r="AR1122" s="7"/>
      <c r="AS1122" s="7"/>
      <c r="AT1122" s="7"/>
      <c r="AU1122" s="7"/>
      <c r="AW1122" s="7"/>
      <c r="CE1122" s="7"/>
      <c r="FZ1122" s="2"/>
    </row>
    <row r="1123" spans="1:182">
      <c r="A1123" s="7"/>
      <c r="D1123" s="7"/>
      <c r="E1123" s="7"/>
      <c r="F1123" s="7"/>
      <c r="G1123" s="7"/>
      <c r="H1123" s="7"/>
      <c r="I1123" s="7"/>
      <c r="J1123" s="7"/>
      <c r="K1123" s="7"/>
      <c r="L1123" s="7"/>
      <c r="M1123" s="7"/>
      <c r="N1123" s="7"/>
      <c r="O1123" s="7"/>
      <c r="P1123" s="7"/>
      <c r="Q1123" s="7"/>
      <c r="R1123" s="7"/>
      <c r="S1123" s="7"/>
      <c r="T1123" s="7"/>
      <c r="U1123" s="7"/>
      <c r="Y1123" s="7"/>
      <c r="Z1123" s="17"/>
      <c r="AC1123" s="7"/>
      <c r="AD1123" s="7"/>
      <c r="AE1123" s="7"/>
      <c r="AF1123" s="7"/>
      <c r="AG1123" s="7"/>
      <c r="AH1123" s="7"/>
      <c r="AJ1123" s="7"/>
      <c r="AK1123" s="7"/>
      <c r="AL1123" s="7"/>
      <c r="AM1123" s="7"/>
      <c r="AN1123" s="7"/>
      <c r="AO1123" s="7"/>
      <c r="AR1123" s="7"/>
      <c r="AS1123" s="7"/>
      <c r="AT1123" s="7"/>
      <c r="AU1123" s="7"/>
      <c r="AW1123" s="7"/>
      <c r="CE1123" s="7"/>
      <c r="FZ1123" s="2"/>
    </row>
    <row r="1124" spans="1:182">
      <c r="A1124" s="7"/>
      <c r="D1124" s="7"/>
      <c r="E1124" s="7"/>
      <c r="F1124" s="7"/>
      <c r="G1124" s="7"/>
      <c r="H1124" s="7"/>
      <c r="I1124" s="7"/>
      <c r="J1124" s="7"/>
      <c r="K1124" s="7"/>
      <c r="L1124" s="7"/>
      <c r="M1124" s="7"/>
      <c r="N1124" s="7"/>
      <c r="O1124" s="7"/>
      <c r="P1124" s="7"/>
      <c r="Q1124" s="7"/>
      <c r="R1124" s="7"/>
      <c r="S1124" s="7"/>
      <c r="T1124" s="7"/>
      <c r="U1124" s="7"/>
      <c r="Y1124" s="7"/>
      <c r="Z1124" s="17"/>
      <c r="AC1124" s="7"/>
      <c r="AD1124" s="7"/>
      <c r="AE1124" s="7"/>
      <c r="AF1124" s="7"/>
      <c r="AG1124" s="7"/>
      <c r="AH1124" s="7"/>
      <c r="AJ1124" s="7"/>
      <c r="AK1124" s="7"/>
      <c r="AL1124" s="7"/>
      <c r="AM1124" s="7"/>
      <c r="AN1124" s="7"/>
      <c r="AO1124" s="7"/>
      <c r="AR1124" s="7"/>
      <c r="AS1124" s="7"/>
      <c r="AT1124" s="7"/>
      <c r="AU1124" s="7"/>
      <c r="AW1124" s="7"/>
      <c r="CE1124" s="7"/>
      <c r="FZ1124" s="2"/>
    </row>
    <row r="1125" spans="1:182">
      <c r="A1125" s="7"/>
      <c r="D1125" s="7"/>
      <c r="E1125" s="7"/>
      <c r="F1125" s="7"/>
      <c r="G1125" s="7"/>
      <c r="H1125" s="7"/>
      <c r="I1125" s="7"/>
      <c r="J1125" s="7"/>
      <c r="K1125" s="7"/>
      <c r="L1125" s="7"/>
      <c r="M1125" s="7"/>
      <c r="N1125" s="7"/>
      <c r="O1125" s="7"/>
      <c r="P1125" s="7"/>
      <c r="Q1125" s="7"/>
      <c r="R1125" s="7"/>
      <c r="S1125" s="7"/>
      <c r="T1125" s="7"/>
      <c r="U1125" s="7"/>
      <c r="Y1125" s="7"/>
      <c r="Z1125" s="17"/>
      <c r="AC1125" s="7"/>
      <c r="AD1125" s="7"/>
      <c r="AE1125" s="7"/>
      <c r="AF1125" s="7"/>
      <c r="AG1125" s="7"/>
      <c r="AH1125" s="7"/>
      <c r="AJ1125" s="7"/>
      <c r="AK1125" s="7"/>
      <c r="AL1125" s="7"/>
      <c r="AM1125" s="7"/>
      <c r="AN1125" s="7"/>
      <c r="AO1125" s="7"/>
      <c r="AR1125" s="7"/>
      <c r="AS1125" s="7"/>
      <c r="AT1125" s="7"/>
      <c r="AU1125" s="7"/>
      <c r="AW1125" s="7"/>
      <c r="CE1125" s="7"/>
      <c r="FZ1125" s="2"/>
    </row>
    <row r="1126" spans="1:182">
      <c r="A1126" s="7"/>
      <c r="D1126" s="7"/>
      <c r="E1126" s="7"/>
      <c r="F1126" s="7"/>
      <c r="G1126" s="7"/>
      <c r="H1126" s="7"/>
      <c r="I1126" s="7"/>
      <c r="J1126" s="7"/>
      <c r="K1126" s="7"/>
      <c r="L1126" s="7"/>
      <c r="M1126" s="7"/>
      <c r="N1126" s="7"/>
      <c r="O1126" s="7"/>
      <c r="P1126" s="7"/>
      <c r="Q1126" s="7"/>
      <c r="R1126" s="7"/>
      <c r="S1126" s="7"/>
      <c r="T1126" s="7"/>
      <c r="U1126" s="7"/>
      <c r="Y1126" s="7"/>
      <c r="Z1126" s="17"/>
      <c r="AC1126" s="7"/>
      <c r="AD1126" s="7"/>
      <c r="AE1126" s="7"/>
      <c r="AF1126" s="7"/>
      <c r="AG1126" s="7"/>
      <c r="AH1126" s="7"/>
      <c r="AJ1126" s="7"/>
      <c r="AK1126" s="7"/>
      <c r="AL1126" s="7"/>
      <c r="AM1126" s="7"/>
      <c r="AN1126" s="7"/>
      <c r="AO1126" s="7"/>
      <c r="AR1126" s="7"/>
      <c r="AS1126" s="7"/>
      <c r="AT1126" s="7"/>
      <c r="AU1126" s="7"/>
      <c r="AW1126" s="7"/>
      <c r="CE1126" s="7"/>
      <c r="FZ1126" s="2"/>
    </row>
    <row r="1127" spans="1:182">
      <c r="A1127" s="7"/>
      <c r="D1127" s="7"/>
      <c r="E1127" s="7"/>
      <c r="F1127" s="7"/>
      <c r="G1127" s="7"/>
      <c r="H1127" s="7"/>
      <c r="I1127" s="7"/>
      <c r="J1127" s="7"/>
      <c r="K1127" s="7"/>
      <c r="L1127" s="7"/>
      <c r="M1127" s="7"/>
      <c r="N1127" s="7"/>
      <c r="O1127" s="7"/>
      <c r="P1127" s="7"/>
      <c r="Q1127" s="7"/>
      <c r="R1127" s="7"/>
      <c r="S1127" s="7"/>
      <c r="T1127" s="7"/>
      <c r="U1127" s="7"/>
      <c r="Y1127" s="7"/>
      <c r="Z1127" s="17"/>
      <c r="AC1127" s="7"/>
      <c r="AD1127" s="7"/>
      <c r="AE1127" s="7"/>
      <c r="AF1127" s="7"/>
      <c r="AG1127" s="7"/>
      <c r="AH1127" s="7"/>
      <c r="AJ1127" s="7"/>
      <c r="AK1127" s="7"/>
      <c r="AL1127" s="7"/>
      <c r="AM1127" s="7"/>
      <c r="AN1127" s="7"/>
      <c r="AO1127" s="7"/>
      <c r="AR1127" s="7"/>
      <c r="AS1127" s="7"/>
      <c r="AT1127" s="7"/>
      <c r="AU1127" s="7"/>
      <c r="AW1127" s="7"/>
      <c r="CE1127" s="7"/>
      <c r="FZ1127" s="2"/>
    </row>
    <row r="1128" spans="1:182">
      <c r="A1128" s="7"/>
      <c r="D1128" s="7"/>
      <c r="E1128" s="7"/>
      <c r="F1128" s="7"/>
      <c r="G1128" s="7"/>
      <c r="H1128" s="7"/>
      <c r="I1128" s="7"/>
      <c r="J1128" s="7"/>
      <c r="K1128" s="7"/>
      <c r="L1128" s="7"/>
      <c r="M1128" s="7"/>
      <c r="N1128" s="7"/>
      <c r="O1128" s="7"/>
      <c r="P1128" s="7"/>
      <c r="Q1128" s="7"/>
      <c r="R1128" s="7"/>
      <c r="S1128" s="7"/>
      <c r="T1128" s="7"/>
      <c r="U1128" s="7"/>
      <c r="Y1128" s="7"/>
      <c r="Z1128" s="17"/>
      <c r="AC1128" s="7"/>
      <c r="AD1128" s="7"/>
      <c r="AE1128" s="7"/>
      <c r="AF1128" s="7"/>
      <c r="AG1128" s="7"/>
      <c r="AH1128" s="7"/>
      <c r="AJ1128" s="7"/>
      <c r="AK1128" s="7"/>
      <c r="AL1128" s="7"/>
      <c r="AM1128" s="7"/>
      <c r="AN1128" s="7"/>
      <c r="AO1128" s="7"/>
      <c r="AR1128" s="7"/>
      <c r="AS1128" s="7"/>
      <c r="AT1128" s="7"/>
      <c r="AU1128" s="7"/>
      <c r="AW1128" s="7"/>
      <c r="CE1128" s="7"/>
      <c r="FZ1128" s="2"/>
    </row>
    <row r="1129" spans="1:182">
      <c r="A1129" s="7"/>
      <c r="D1129" s="7"/>
      <c r="E1129" s="7"/>
      <c r="F1129" s="7"/>
      <c r="G1129" s="7"/>
      <c r="H1129" s="7"/>
      <c r="I1129" s="7"/>
      <c r="J1129" s="7"/>
      <c r="K1129" s="7"/>
      <c r="L1129" s="7"/>
      <c r="M1129" s="7"/>
      <c r="N1129" s="7"/>
      <c r="O1129" s="7"/>
      <c r="P1129" s="7"/>
      <c r="Q1129" s="7"/>
      <c r="R1129" s="7"/>
      <c r="S1129" s="7"/>
      <c r="T1129" s="7"/>
      <c r="U1129" s="7"/>
      <c r="Y1129" s="7"/>
      <c r="Z1129" s="17"/>
      <c r="AC1129" s="7"/>
      <c r="AD1129" s="7"/>
      <c r="AE1129" s="7"/>
      <c r="AF1129" s="7"/>
      <c r="AG1129" s="7"/>
      <c r="AH1129" s="7"/>
      <c r="AJ1129" s="7"/>
      <c r="AK1129" s="7"/>
      <c r="AL1129" s="7"/>
      <c r="AM1129" s="7"/>
      <c r="AN1129" s="7"/>
      <c r="AO1129" s="7"/>
      <c r="AR1129" s="7"/>
      <c r="AS1129" s="7"/>
      <c r="AT1129" s="7"/>
      <c r="AU1129" s="7"/>
      <c r="AW1129" s="7"/>
      <c r="CE1129" s="7"/>
      <c r="FZ1129" s="2"/>
    </row>
    <row r="1130" spans="1:182">
      <c r="A1130" s="7"/>
      <c r="D1130" s="7"/>
      <c r="E1130" s="7"/>
      <c r="F1130" s="7"/>
      <c r="G1130" s="7"/>
      <c r="H1130" s="7"/>
      <c r="I1130" s="7"/>
      <c r="J1130" s="7"/>
      <c r="K1130" s="7"/>
      <c r="L1130" s="7"/>
      <c r="M1130" s="7"/>
      <c r="N1130" s="7"/>
      <c r="O1130" s="7"/>
      <c r="P1130" s="7"/>
      <c r="Q1130" s="7"/>
      <c r="R1130" s="7"/>
      <c r="S1130" s="7"/>
      <c r="T1130" s="7"/>
      <c r="U1130" s="7"/>
      <c r="Y1130" s="7"/>
      <c r="Z1130" s="17"/>
      <c r="AC1130" s="7"/>
      <c r="AD1130" s="7"/>
      <c r="AE1130" s="7"/>
      <c r="AF1130" s="7"/>
      <c r="AG1130" s="7"/>
      <c r="AH1130" s="7"/>
      <c r="AJ1130" s="7"/>
      <c r="AK1130" s="7"/>
      <c r="AL1130" s="7"/>
      <c r="AM1130" s="7"/>
      <c r="AN1130" s="7"/>
      <c r="AO1130" s="7"/>
      <c r="AR1130" s="7"/>
      <c r="AS1130" s="7"/>
      <c r="AT1130" s="7"/>
      <c r="AU1130" s="7"/>
      <c r="AW1130" s="7"/>
      <c r="CE1130" s="7"/>
      <c r="FZ1130" s="2"/>
    </row>
    <row r="1131" spans="1:182">
      <c r="A1131" s="7"/>
      <c r="D1131" s="7"/>
      <c r="E1131" s="7"/>
      <c r="F1131" s="7"/>
      <c r="G1131" s="7"/>
      <c r="H1131" s="7"/>
      <c r="I1131" s="7"/>
      <c r="J1131" s="7"/>
      <c r="K1131" s="7"/>
      <c r="L1131" s="7"/>
      <c r="M1131" s="7"/>
      <c r="N1131" s="7"/>
      <c r="O1131" s="7"/>
      <c r="P1131" s="7"/>
      <c r="Q1131" s="7"/>
      <c r="R1131" s="7"/>
      <c r="S1131" s="7"/>
      <c r="T1131" s="7"/>
      <c r="U1131" s="7"/>
      <c r="Y1131" s="7"/>
      <c r="Z1131" s="17"/>
      <c r="AC1131" s="7"/>
      <c r="AD1131" s="7"/>
      <c r="AE1131" s="7"/>
      <c r="AF1131" s="7"/>
      <c r="AG1131" s="7"/>
      <c r="AH1131" s="7"/>
      <c r="AJ1131" s="7"/>
      <c r="AK1131" s="7"/>
      <c r="AL1131" s="7"/>
      <c r="AM1131" s="7"/>
      <c r="AN1131" s="7"/>
      <c r="AO1131" s="7"/>
      <c r="AR1131" s="7"/>
      <c r="AS1131" s="7"/>
      <c r="AT1131" s="7"/>
      <c r="AU1131" s="7"/>
      <c r="AW1131" s="7"/>
      <c r="CE1131" s="7"/>
      <c r="FZ1131" s="2"/>
    </row>
    <row r="1132" spans="1:182">
      <c r="A1132" s="7"/>
      <c r="D1132" s="7"/>
      <c r="E1132" s="7"/>
      <c r="F1132" s="7"/>
      <c r="G1132" s="7"/>
      <c r="H1132" s="7"/>
      <c r="I1132" s="7"/>
      <c r="J1132" s="7"/>
      <c r="K1132" s="7"/>
      <c r="L1132" s="7"/>
      <c r="M1132" s="7"/>
      <c r="N1132" s="7"/>
      <c r="O1132" s="7"/>
      <c r="P1132" s="7"/>
      <c r="Q1132" s="7"/>
      <c r="R1132" s="7"/>
      <c r="S1132" s="7"/>
      <c r="T1132" s="7"/>
      <c r="U1132" s="7"/>
      <c r="Y1132" s="7"/>
      <c r="Z1132" s="17"/>
      <c r="AC1132" s="7"/>
      <c r="AD1132" s="7"/>
      <c r="AE1132" s="7"/>
      <c r="AF1132" s="7"/>
      <c r="AG1132" s="7"/>
      <c r="AH1132" s="7"/>
      <c r="AJ1132" s="7"/>
      <c r="AK1132" s="7"/>
      <c r="AL1132" s="7"/>
      <c r="AM1132" s="7"/>
      <c r="AN1132" s="7"/>
      <c r="AO1132" s="7"/>
      <c r="AR1132" s="7"/>
      <c r="AS1132" s="7"/>
      <c r="AT1132" s="7"/>
      <c r="AU1132" s="7"/>
      <c r="AW1132" s="7"/>
      <c r="CE1132" s="7"/>
      <c r="FZ1132" s="2"/>
    </row>
    <row r="1133" spans="1:182">
      <c r="A1133" s="7"/>
      <c r="D1133" s="7"/>
      <c r="E1133" s="7"/>
      <c r="F1133" s="7"/>
      <c r="G1133" s="7"/>
      <c r="H1133" s="7"/>
      <c r="I1133" s="7"/>
      <c r="J1133" s="7"/>
      <c r="K1133" s="7"/>
      <c r="L1133" s="7"/>
      <c r="M1133" s="7"/>
      <c r="N1133" s="7"/>
      <c r="O1133" s="7"/>
      <c r="P1133" s="7"/>
      <c r="Q1133" s="7"/>
      <c r="R1133" s="7"/>
      <c r="S1133" s="7"/>
      <c r="T1133" s="7"/>
      <c r="U1133" s="7"/>
      <c r="Y1133" s="7"/>
      <c r="Z1133" s="17"/>
      <c r="AC1133" s="7"/>
      <c r="AD1133" s="7"/>
      <c r="AE1133" s="7"/>
      <c r="AF1133" s="7"/>
      <c r="AG1133" s="7"/>
      <c r="AH1133" s="7"/>
      <c r="AJ1133" s="7"/>
      <c r="AK1133" s="7"/>
      <c r="AL1133" s="7"/>
      <c r="AM1133" s="7"/>
      <c r="AN1133" s="7"/>
      <c r="AO1133" s="7"/>
      <c r="AR1133" s="7"/>
      <c r="AS1133" s="7"/>
      <c r="AT1133" s="7"/>
      <c r="AU1133" s="7"/>
      <c r="AW1133" s="7"/>
      <c r="CE1133" s="7"/>
      <c r="FZ1133" s="2"/>
    </row>
    <row r="1134" spans="1:182">
      <c r="A1134" s="7"/>
      <c r="D1134" s="7"/>
      <c r="E1134" s="7"/>
      <c r="F1134" s="7"/>
      <c r="G1134" s="7"/>
      <c r="H1134" s="7"/>
      <c r="I1134" s="7"/>
      <c r="J1134" s="7"/>
      <c r="K1134" s="7"/>
      <c r="L1134" s="7"/>
      <c r="M1134" s="7"/>
      <c r="N1134" s="7"/>
      <c r="O1134" s="7"/>
      <c r="P1134" s="7"/>
      <c r="Q1134" s="7"/>
      <c r="R1134" s="7"/>
      <c r="S1134" s="7"/>
      <c r="T1134" s="7"/>
      <c r="U1134" s="7"/>
      <c r="Y1134" s="7"/>
      <c r="Z1134" s="17"/>
      <c r="AC1134" s="7"/>
      <c r="AD1134" s="7"/>
      <c r="AE1134" s="7"/>
      <c r="AF1134" s="7"/>
      <c r="AG1134" s="7"/>
      <c r="AH1134" s="7"/>
      <c r="AJ1134" s="7"/>
      <c r="AK1134" s="7"/>
      <c r="AL1134" s="7"/>
      <c r="AM1134" s="7"/>
      <c r="AN1134" s="7"/>
      <c r="AO1134" s="7"/>
      <c r="AR1134" s="7"/>
      <c r="AS1134" s="7"/>
      <c r="AT1134" s="7"/>
      <c r="AU1134" s="7"/>
      <c r="AW1134" s="7"/>
      <c r="CE1134" s="7"/>
      <c r="FZ1134" s="2"/>
    </row>
    <row r="1135" spans="1:182">
      <c r="A1135" s="7"/>
      <c r="D1135" s="7"/>
      <c r="E1135" s="7"/>
      <c r="F1135" s="7"/>
      <c r="G1135" s="7"/>
      <c r="H1135" s="7"/>
      <c r="I1135" s="7"/>
      <c r="J1135" s="7"/>
      <c r="K1135" s="7"/>
      <c r="L1135" s="7"/>
      <c r="M1135" s="7"/>
      <c r="N1135" s="7"/>
      <c r="O1135" s="7"/>
      <c r="P1135" s="7"/>
      <c r="Q1135" s="7"/>
      <c r="R1135" s="7"/>
      <c r="S1135" s="7"/>
      <c r="T1135" s="7"/>
      <c r="U1135" s="7"/>
      <c r="Y1135" s="7"/>
      <c r="Z1135" s="17"/>
      <c r="AC1135" s="7"/>
      <c r="AD1135" s="7"/>
      <c r="AE1135" s="7"/>
      <c r="AF1135" s="7"/>
      <c r="AG1135" s="7"/>
      <c r="AH1135" s="7"/>
      <c r="AJ1135" s="7"/>
      <c r="AK1135" s="7"/>
      <c r="AL1135" s="7"/>
      <c r="AM1135" s="7"/>
      <c r="AN1135" s="7"/>
      <c r="AO1135" s="7"/>
      <c r="AR1135" s="7"/>
      <c r="AS1135" s="7"/>
      <c r="AT1135" s="7"/>
      <c r="AU1135" s="7"/>
      <c r="AW1135" s="7"/>
      <c r="CE1135" s="7"/>
      <c r="FZ1135" s="2"/>
    </row>
    <row r="1136" spans="1:182">
      <c r="A1136" s="7"/>
      <c r="D1136" s="7"/>
      <c r="E1136" s="7"/>
      <c r="F1136" s="7"/>
      <c r="G1136" s="7"/>
      <c r="H1136" s="7"/>
      <c r="I1136" s="7"/>
      <c r="J1136" s="7"/>
      <c r="K1136" s="7"/>
      <c r="L1136" s="7"/>
      <c r="M1136" s="7"/>
      <c r="N1136" s="7"/>
      <c r="O1136" s="7"/>
      <c r="P1136" s="7"/>
      <c r="Q1136" s="7"/>
      <c r="R1136" s="7"/>
      <c r="S1136" s="7"/>
      <c r="T1136" s="7"/>
      <c r="U1136" s="7"/>
      <c r="Y1136" s="7"/>
      <c r="Z1136" s="17"/>
      <c r="AC1136" s="7"/>
      <c r="AD1136" s="7"/>
      <c r="AE1136" s="7"/>
      <c r="AF1136" s="7"/>
      <c r="AG1136" s="7"/>
      <c r="AH1136" s="7"/>
      <c r="AJ1136" s="7"/>
      <c r="AK1136" s="7"/>
      <c r="AL1136" s="7"/>
      <c r="AM1136" s="7"/>
      <c r="AN1136" s="7"/>
      <c r="AO1136" s="7"/>
      <c r="AR1136" s="7"/>
      <c r="AS1136" s="7"/>
      <c r="AT1136" s="7"/>
      <c r="AU1136" s="7"/>
      <c r="AW1136" s="7"/>
      <c r="CE1136" s="7"/>
      <c r="FZ1136" s="2"/>
    </row>
    <row r="1137" spans="1:182">
      <c r="A1137" s="7"/>
      <c r="D1137" s="7"/>
      <c r="E1137" s="7"/>
      <c r="F1137" s="7"/>
      <c r="G1137" s="7"/>
      <c r="H1137" s="7"/>
      <c r="I1137" s="7"/>
      <c r="J1137" s="7"/>
      <c r="K1137" s="7"/>
      <c r="L1137" s="7"/>
      <c r="M1137" s="7"/>
      <c r="N1137" s="7"/>
      <c r="O1137" s="7"/>
      <c r="P1137" s="7"/>
      <c r="Q1137" s="7"/>
      <c r="R1137" s="7"/>
      <c r="S1137" s="7"/>
      <c r="T1137" s="7"/>
      <c r="U1137" s="7"/>
      <c r="Y1137" s="7"/>
      <c r="Z1137" s="17"/>
      <c r="AC1137" s="7"/>
      <c r="AD1137" s="7"/>
      <c r="AE1137" s="7"/>
      <c r="AF1137" s="7"/>
      <c r="AG1137" s="7"/>
      <c r="AH1137" s="7"/>
      <c r="AJ1137" s="7"/>
      <c r="AK1137" s="7"/>
      <c r="AL1137" s="7"/>
      <c r="AM1137" s="7"/>
      <c r="AN1137" s="7"/>
      <c r="AO1137" s="7"/>
      <c r="AR1137" s="7"/>
      <c r="AS1137" s="7"/>
      <c r="AT1137" s="7"/>
      <c r="AU1137" s="7"/>
      <c r="AW1137" s="7"/>
      <c r="CE1137" s="7"/>
      <c r="FZ1137" s="2"/>
    </row>
    <row r="1138" spans="1:182">
      <c r="A1138" s="7"/>
      <c r="D1138" s="7"/>
      <c r="E1138" s="7"/>
      <c r="F1138" s="7"/>
      <c r="G1138" s="7"/>
      <c r="H1138" s="7"/>
      <c r="I1138" s="7"/>
      <c r="J1138" s="7"/>
      <c r="K1138" s="7"/>
      <c r="L1138" s="7"/>
      <c r="M1138" s="7"/>
      <c r="N1138" s="7"/>
      <c r="O1138" s="7"/>
      <c r="P1138" s="7"/>
      <c r="Q1138" s="7"/>
      <c r="R1138" s="7"/>
      <c r="S1138" s="7"/>
      <c r="T1138" s="7"/>
      <c r="U1138" s="7"/>
      <c r="Y1138" s="7"/>
      <c r="Z1138" s="17"/>
      <c r="AC1138" s="7"/>
      <c r="AD1138" s="7"/>
      <c r="AE1138" s="7"/>
      <c r="AF1138" s="7"/>
      <c r="AG1138" s="7"/>
      <c r="AH1138" s="7"/>
      <c r="AJ1138" s="7"/>
      <c r="AK1138" s="7"/>
      <c r="AL1138" s="7"/>
      <c r="AM1138" s="7"/>
      <c r="AN1138" s="7"/>
      <c r="AO1138" s="7"/>
      <c r="AR1138" s="7"/>
      <c r="AS1138" s="7"/>
      <c r="AT1138" s="7"/>
      <c r="AU1138" s="7"/>
      <c r="AW1138" s="7"/>
      <c r="CE1138" s="7"/>
      <c r="FZ1138" s="2"/>
    </row>
    <row r="1139" spans="1:182">
      <c r="A1139" s="7"/>
      <c r="D1139" s="7"/>
      <c r="E1139" s="7"/>
      <c r="F1139" s="7"/>
      <c r="G1139" s="7"/>
      <c r="H1139" s="7"/>
      <c r="I1139" s="7"/>
      <c r="J1139" s="7"/>
      <c r="K1139" s="7"/>
      <c r="L1139" s="7"/>
      <c r="M1139" s="7"/>
      <c r="N1139" s="7"/>
      <c r="O1139" s="7"/>
      <c r="P1139" s="7"/>
      <c r="Q1139" s="7"/>
      <c r="R1139" s="7"/>
      <c r="S1139" s="7"/>
      <c r="T1139" s="7"/>
      <c r="U1139" s="7"/>
      <c r="Y1139" s="7"/>
      <c r="Z1139" s="17"/>
      <c r="AC1139" s="7"/>
      <c r="AD1139" s="7"/>
      <c r="AE1139" s="7"/>
      <c r="AF1139" s="7"/>
      <c r="AG1139" s="7"/>
      <c r="AH1139" s="7"/>
      <c r="AJ1139" s="7"/>
      <c r="AK1139" s="7"/>
      <c r="AL1139" s="7"/>
      <c r="AM1139" s="7"/>
      <c r="AN1139" s="7"/>
      <c r="AO1139" s="7"/>
      <c r="AR1139" s="7"/>
      <c r="AS1139" s="7"/>
      <c r="AT1139" s="7"/>
      <c r="AU1139" s="7"/>
      <c r="AW1139" s="7"/>
      <c r="CE1139" s="7"/>
      <c r="FZ1139" s="2"/>
    </row>
    <row r="1140" spans="1:182">
      <c r="A1140" s="7"/>
      <c r="D1140" s="7"/>
      <c r="E1140" s="7"/>
      <c r="F1140" s="7"/>
      <c r="G1140" s="7"/>
      <c r="H1140" s="7"/>
      <c r="I1140" s="7"/>
      <c r="J1140" s="7"/>
      <c r="K1140" s="7"/>
      <c r="L1140" s="7"/>
      <c r="M1140" s="7"/>
      <c r="N1140" s="7"/>
      <c r="O1140" s="7"/>
      <c r="P1140" s="7"/>
      <c r="Q1140" s="7"/>
      <c r="R1140" s="7"/>
      <c r="S1140" s="7"/>
      <c r="T1140" s="7"/>
      <c r="U1140" s="7"/>
      <c r="Y1140" s="7"/>
      <c r="Z1140" s="17"/>
      <c r="AC1140" s="7"/>
      <c r="AD1140" s="7"/>
      <c r="AE1140" s="7"/>
      <c r="AF1140" s="7"/>
      <c r="AG1140" s="7"/>
      <c r="AH1140" s="7"/>
      <c r="AJ1140" s="7"/>
      <c r="AK1140" s="7"/>
      <c r="AL1140" s="7"/>
      <c r="AM1140" s="7"/>
      <c r="AN1140" s="7"/>
      <c r="AO1140" s="7"/>
      <c r="AR1140" s="7"/>
      <c r="AS1140" s="7"/>
      <c r="AT1140" s="7"/>
      <c r="AU1140" s="7"/>
      <c r="AW1140" s="7"/>
      <c r="CE1140" s="7"/>
      <c r="FZ1140" s="2"/>
    </row>
    <row r="1141" spans="1:182">
      <c r="A1141" s="7"/>
      <c r="D1141" s="7"/>
      <c r="E1141" s="7"/>
      <c r="F1141" s="7"/>
      <c r="G1141" s="7"/>
      <c r="H1141" s="7"/>
      <c r="I1141" s="7"/>
      <c r="J1141" s="7"/>
      <c r="K1141" s="7"/>
      <c r="L1141" s="7"/>
      <c r="M1141" s="7"/>
      <c r="N1141" s="7"/>
      <c r="O1141" s="7"/>
      <c r="P1141" s="7"/>
      <c r="Q1141" s="7"/>
      <c r="R1141" s="7"/>
      <c r="S1141" s="7"/>
      <c r="T1141" s="7"/>
      <c r="U1141" s="7"/>
      <c r="Y1141" s="7"/>
      <c r="Z1141" s="17"/>
      <c r="AC1141" s="7"/>
      <c r="AD1141" s="7"/>
      <c r="AE1141" s="7"/>
      <c r="AF1141" s="7"/>
      <c r="AG1141" s="7"/>
      <c r="AH1141" s="7"/>
      <c r="AJ1141" s="7"/>
      <c r="AK1141" s="7"/>
      <c r="AL1141" s="7"/>
      <c r="AM1141" s="7"/>
      <c r="AN1141" s="7"/>
      <c r="AO1141" s="7"/>
      <c r="AR1141" s="7"/>
      <c r="AS1141" s="7"/>
      <c r="AT1141" s="7"/>
      <c r="AU1141" s="7"/>
      <c r="AW1141" s="7"/>
      <c r="CE1141" s="7"/>
      <c r="FZ1141" s="2"/>
    </row>
    <row r="1142" spans="1:182">
      <c r="A1142" s="7"/>
      <c r="D1142" s="7"/>
      <c r="E1142" s="7"/>
      <c r="F1142" s="7"/>
      <c r="G1142" s="7"/>
      <c r="H1142" s="7"/>
      <c r="I1142" s="7"/>
      <c r="J1142" s="7"/>
      <c r="K1142" s="7"/>
      <c r="L1142" s="7"/>
      <c r="M1142" s="7"/>
      <c r="N1142" s="7"/>
      <c r="O1142" s="7"/>
      <c r="P1142" s="7"/>
      <c r="Q1142" s="7"/>
      <c r="R1142" s="7"/>
      <c r="S1142" s="7"/>
      <c r="T1142" s="7"/>
      <c r="U1142" s="7"/>
      <c r="Y1142" s="7"/>
      <c r="Z1142" s="17"/>
      <c r="AC1142" s="7"/>
      <c r="AD1142" s="7"/>
      <c r="AE1142" s="7"/>
      <c r="AF1142" s="7"/>
      <c r="AG1142" s="7"/>
      <c r="AH1142" s="7"/>
      <c r="AJ1142" s="7"/>
      <c r="AK1142" s="7"/>
      <c r="AL1142" s="7"/>
      <c r="AM1142" s="7"/>
      <c r="AN1142" s="7"/>
      <c r="AO1142" s="7"/>
      <c r="AR1142" s="7"/>
      <c r="AS1142" s="7"/>
      <c r="AT1142" s="7"/>
      <c r="AU1142" s="7"/>
      <c r="AW1142" s="7"/>
      <c r="CE1142" s="7"/>
      <c r="FZ1142" s="2"/>
    </row>
    <row r="1143" spans="1:182">
      <c r="A1143" s="7"/>
      <c r="D1143" s="7"/>
      <c r="E1143" s="7"/>
      <c r="F1143" s="7"/>
      <c r="G1143" s="7"/>
      <c r="H1143" s="7"/>
      <c r="I1143" s="7"/>
      <c r="J1143" s="7"/>
      <c r="K1143" s="7"/>
      <c r="L1143" s="7"/>
      <c r="M1143" s="7"/>
      <c r="N1143" s="7"/>
      <c r="O1143" s="7"/>
      <c r="P1143" s="7"/>
      <c r="Q1143" s="7"/>
      <c r="R1143" s="7"/>
      <c r="S1143" s="7"/>
      <c r="T1143" s="7"/>
      <c r="U1143" s="7"/>
      <c r="Y1143" s="7"/>
      <c r="Z1143" s="17"/>
      <c r="AC1143" s="7"/>
      <c r="AD1143" s="7"/>
      <c r="AE1143" s="7"/>
      <c r="AF1143" s="7"/>
      <c r="AG1143" s="7"/>
      <c r="AH1143" s="7"/>
      <c r="AJ1143" s="7"/>
      <c r="AK1143" s="7"/>
      <c r="AL1143" s="7"/>
      <c r="AM1143" s="7"/>
      <c r="AN1143" s="7"/>
      <c r="AO1143" s="7"/>
      <c r="AR1143" s="7"/>
      <c r="AS1143" s="7"/>
      <c r="AT1143" s="7"/>
      <c r="AU1143" s="7"/>
      <c r="AW1143" s="7"/>
      <c r="CE1143" s="7"/>
      <c r="FZ1143" s="2"/>
    </row>
    <row r="1144" spans="1:182">
      <c r="A1144" s="7"/>
      <c r="D1144" s="7"/>
      <c r="E1144" s="7"/>
      <c r="F1144" s="7"/>
      <c r="G1144" s="7"/>
      <c r="H1144" s="7"/>
      <c r="I1144" s="7"/>
      <c r="J1144" s="7"/>
      <c r="K1144" s="7"/>
      <c r="L1144" s="7"/>
      <c r="M1144" s="7"/>
      <c r="N1144" s="7"/>
      <c r="O1144" s="7"/>
      <c r="P1144" s="7"/>
      <c r="Q1144" s="7"/>
      <c r="R1144" s="7"/>
      <c r="S1144" s="7"/>
      <c r="T1144" s="7"/>
      <c r="U1144" s="7"/>
      <c r="Y1144" s="7"/>
      <c r="Z1144" s="17"/>
      <c r="AC1144" s="7"/>
      <c r="AD1144" s="7"/>
      <c r="AE1144" s="7"/>
      <c r="AF1144" s="7"/>
      <c r="AG1144" s="7"/>
      <c r="AH1144" s="7"/>
      <c r="AJ1144" s="7"/>
      <c r="AK1144" s="7"/>
      <c r="AL1144" s="7"/>
      <c r="AM1144" s="7"/>
      <c r="AN1144" s="7"/>
      <c r="AO1144" s="7"/>
      <c r="AR1144" s="7"/>
      <c r="AS1144" s="7"/>
      <c r="AT1144" s="7"/>
      <c r="AU1144" s="7"/>
      <c r="AW1144" s="7"/>
      <c r="CE1144" s="7"/>
      <c r="FZ1144" s="2"/>
    </row>
    <row r="1145" spans="1:182">
      <c r="A1145" s="7"/>
      <c r="D1145" s="7"/>
      <c r="E1145" s="7"/>
      <c r="F1145" s="7"/>
      <c r="G1145" s="7"/>
      <c r="H1145" s="7"/>
      <c r="I1145" s="7"/>
      <c r="J1145" s="7"/>
      <c r="K1145" s="7"/>
      <c r="L1145" s="7"/>
      <c r="M1145" s="7"/>
      <c r="N1145" s="7"/>
      <c r="O1145" s="7"/>
      <c r="P1145" s="7"/>
      <c r="Q1145" s="7"/>
      <c r="R1145" s="7"/>
      <c r="S1145" s="7"/>
      <c r="T1145" s="7"/>
      <c r="U1145" s="7"/>
      <c r="Y1145" s="7"/>
      <c r="Z1145" s="17"/>
      <c r="AC1145" s="7"/>
      <c r="AD1145" s="7"/>
      <c r="AE1145" s="7"/>
      <c r="AF1145" s="7"/>
      <c r="AG1145" s="7"/>
      <c r="AH1145" s="7"/>
      <c r="AJ1145" s="7"/>
      <c r="AK1145" s="7"/>
      <c r="AL1145" s="7"/>
      <c r="AM1145" s="7"/>
      <c r="AN1145" s="7"/>
      <c r="AO1145" s="7"/>
      <c r="AR1145" s="7"/>
      <c r="AS1145" s="7"/>
      <c r="AT1145" s="7"/>
      <c r="AU1145" s="7"/>
      <c r="AW1145" s="7"/>
      <c r="CE1145" s="7"/>
      <c r="FZ1145" s="2"/>
    </row>
    <row r="1146" spans="1:182">
      <c r="A1146" s="7"/>
      <c r="D1146" s="7"/>
      <c r="E1146" s="7"/>
      <c r="F1146" s="7"/>
      <c r="G1146" s="7"/>
      <c r="H1146" s="7"/>
      <c r="I1146" s="7"/>
      <c r="J1146" s="7"/>
      <c r="K1146" s="7"/>
      <c r="L1146" s="7"/>
      <c r="M1146" s="7"/>
      <c r="N1146" s="7"/>
      <c r="O1146" s="7"/>
      <c r="P1146" s="7"/>
      <c r="Q1146" s="7"/>
      <c r="R1146" s="7"/>
      <c r="S1146" s="7"/>
      <c r="T1146" s="7"/>
      <c r="U1146" s="7"/>
      <c r="Y1146" s="7"/>
      <c r="Z1146" s="17"/>
      <c r="AC1146" s="7"/>
      <c r="AD1146" s="7"/>
      <c r="AE1146" s="7"/>
      <c r="AF1146" s="7"/>
      <c r="AG1146" s="7"/>
      <c r="AH1146" s="7"/>
      <c r="AJ1146" s="7"/>
      <c r="AK1146" s="7"/>
      <c r="AL1146" s="7"/>
      <c r="AM1146" s="7"/>
      <c r="AN1146" s="7"/>
      <c r="AO1146" s="7"/>
      <c r="AR1146" s="7"/>
      <c r="AS1146" s="7"/>
      <c r="AT1146" s="7"/>
      <c r="AU1146" s="7"/>
      <c r="AW1146" s="7"/>
      <c r="CE1146" s="7"/>
      <c r="FZ1146" s="2"/>
    </row>
    <row r="1147" spans="1:182">
      <c r="A1147" s="7"/>
      <c r="D1147" s="7"/>
      <c r="E1147" s="7"/>
      <c r="F1147" s="7"/>
      <c r="G1147" s="7"/>
      <c r="H1147" s="7"/>
      <c r="I1147" s="7"/>
      <c r="J1147" s="7"/>
      <c r="K1147" s="7"/>
      <c r="L1147" s="7"/>
      <c r="M1147" s="7"/>
      <c r="N1147" s="7"/>
      <c r="O1147" s="7"/>
      <c r="P1147" s="7"/>
      <c r="Q1147" s="7"/>
      <c r="R1147" s="7"/>
      <c r="S1147" s="7"/>
      <c r="T1147" s="7"/>
      <c r="U1147" s="7"/>
      <c r="Y1147" s="7"/>
      <c r="Z1147" s="17"/>
      <c r="AC1147" s="7"/>
      <c r="AD1147" s="7"/>
      <c r="AE1147" s="7"/>
      <c r="AF1147" s="7"/>
      <c r="AG1147" s="7"/>
      <c r="AH1147" s="7"/>
      <c r="AJ1147" s="7"/>
      <c r="AK1147" s="7"/>
      <c r="AL1147" s="7"/>
      <c r="AM1147" s="7"/>
      <c r="AN1147" s="7"/>
      <c r="AO1147" s="7"/>
      <c r="AR1147" s="7"/>
      <c r="AS1147" s="7"/>
      <c r="AT1147" s="7"/>
      <c r="AU1147" s="7"/>
      <c r="AW1147" s="7"/>
      <c r="CE1147" s="7"/>
      <c r="FZ1147" s="2"/>
    </row>
    <row r="1148" spans="1:182">
      <c r="A1148" s="7"/>
      <c r="D1148" s="7"/>
      <c r="E1148" s="7"/>
      <c r="F1148" s="7"/>
      <c r="G1148" s="7"/>
      <c r="H1148" s="7"/>
      <c r="I1148" s="7"/>
      <c r="J1148" s="7"/>
      <c r="K1148" s="7"/>
      <c r="L1148" s="7"/>
      <c r="M1148" s="7"/>
      <c r="N1148" s="7"/>
      <c r="O1148" s="7"/>
      <c r="P1148" s="7"/>
      <c r="Q1148" s="7"/>
      <c r="R1148" s="7"/>
      <c r="S1148" s="7"/>
      <c r="T1148" s="7"/>
      <c r="U1148" s="7"/>
      <c r="Y1148" s="7"/>
      <c r="Z1148" s="17"/>
      <c r="AC1148" s="7"/>
      <c r="AD1148" s="7"/>
      <c r="AE1148" s="7"/>
      <c r="AF1148" s="7"/>
      <c r="AG1148" s="7"/>
      <c r="AH1148" s="7"/>
      <c r="AJ1148" s="7"/>
      <c r="AK1148" s="7"/>
      <c r="AL1148" s="7"/>
      <c r="AM1148" s="7"/>
      <c r="AN1148" s="7"/>
      <c r="AO1148" s="7"/>
      <c r="AR1148" s="7"/>
      <c r="AS1148" s="7"/>
      <c r="AT1148" s="7"/>
      <c r="AU1148" s="7"/>
      <c r="AW1148" s="7"/>
      <c r="CE1148" s="7"/>
      <c r="FZ1148" s="2"/>
    </row>
    <row r="1149" spans="1:182">
      <c r="A1149" s="7"/>
      <c r="D1149" s="7"/>
      <c r="E1149" s="7"/>
      <c r="F1149" s="7"/>
      <c r="G1149" s="7"/>
      <c r="H1149" s="7"/>
      <c r="I1149" s="7"/>
      <c r="J1149" s="7"/>
      <c r="K1149" s="7"/>
      <c r="L1149" s="7"/>
      <c r="M1149" s="7"/>
      <c r="N1149" s="7"/>
      <c r="O1149" s="7"/>
      <c r="P1149" s="7"/>
      <c r="Q1149" s="7"/>
      <c r="R1149" s="7"/>
      <c r="S1149" s="7"/>
      <c r="T1149" s="7"/>
      <c r="U1149" s="7"/>
      <c r="Y1149" s="7"/>
      <c r="Z1149" s="17"/>
      <c r="AC1149" s="7"/>
      <c r="AD1149" s="7"/>
      <c r="AE1149" s="7"/>
      <c r="AF1149" s="7"/>
      <c r="AG1149" s="7"/>
      <c r="AH1149" s="7"/>
      <c r="AJ1149" s="7"/>
      <c r="AK1149" s="7"/>
      <c r="AL1149" s="7"/>
      <c r="AM1149" s="7"/>
      <c r="AN1149" s="7"/>
      <c r="AO1149" s="7"/>
      <c r="AR1149" s="7"/>
      <c r="AS1149" s="7"/>
      <c r="AT1149" s="7"/>
      <c r="AU1149" s="7"/>
      <c r="AW1149" s="7"/>
      <c r="CE1149" s="7"/>
      <c r="FZ1149" s="2"/>
    </row>
    <row r="1150" spans="1:182">
      <c r="A1150" s="7"/>
      <c r="D1150" s="7"/>
      <c r="E1150" s="7"/>
      <c r="F1150" s="7"/>
      <c r="G1150" s="7"/>
      <c r="H1150" s="7"/>
      <c r="I1150" s="7"/>
      <c r="J1150" s="7"/>
      <c r="K1150" s="7"/>
      <c r="L1150" s="7"/>
      <c r="M1150" s="7"/>
      <c r="N1150" s="7"/>
      <c r="O1150" s="7"/>
      <c r="P1150" s="7"/>
      <c r="Q1150" s="7"/>
      <c r="R1150" s="7"/>
      <c r="S1150" s="7"/>
      <c r="T1150" s="7"/>
      <c r="U1150" s="7"/>
      <c r="Y1150" s="7"/>
      <c r="Z1150" s="17"/>
      <c r="AC1150" s="7"/>
      <c r="AD1150" s="7"/>
      <c r="AE1150" s="7"/>
      <c r="AF1150" s="7"/>
      <c r="AG1150" s="7"/>
      <c r="AH1150" s="7"/>
      <c r="AJ1150" s="7"/>
      <c r="AK1150" s="7"/>
      <c r="AL1150" s="7"/>
      <c r="AM1150" s="7"/>
      <c r="AN1150" s="7"/>
      <c r="AO1150" s="7"/>
      <c r="AR1150" s="7"/>
      <c r="AS1150" s="7"/>
      <c r="AT1150" s="7"/>
      <c r="AU1150" s="7"/>
      <c r="AW1150" s="7"/>
      <c r="CE1150" s="7"/>
      <c r="FZ1150" s="2"/>
    </row>
    <row r="1151" spans="1:182">
      <c r="A1151" s="7"/>
      <c r="D1151" s="7"/>
      <c r="E1151" s="7"/>
      <c r="F1151" s="7"/>
      <c r="G1151" s="7"/>
      <c r="H1151" s="7"/>
      <c r="I1151" s="7"/>
      <c r="J1151" s="7"/>
      <c r="K1151" s="7"/>
      <c r="L1151" s="7"/>
      <c r="M1151" s="7"/>
      <c r="N1151" s="7"/>
      <c r="O1151" s="7"/>
      <c r="P1151" s="7"/>
      <c r="Q1151" s="7"/>
      <c r="R1151" s="7"/>
      <c r="S1151" s="7"/>
      <c r="T1151" s="7"/>
      <c r="U1151" s="7"/>
      <c r="Y1151" s="7"/>
      <c r="Z1151" s="17"/>
      <c r="AC1151" s="7"/>
      <c r="AD1151" s="7"/>
      <c r="AE1151" s="7"/>
      <c r="AF1151" s="7"/>
      <c r="AG1151" s="7"/>
      <c r="AH1151" s="7"/>
      <c r="AJ1151" s="7"/>
      <c r="AK1151" s="7"/>
      <c r="AL1151" s="7"/>
      <c r="AM1151" s="7"/>
      <c r="AN1151" s="7"/>
      <c r="AO1151" s="7"/>
      <c r="AR1151" s="7"/>
      <c r="AS1151" s="7"/>
      <c r="AT1151" s="7"/>
      <c r="AU1151" s="7"/>
      <c r="AW1151" s="7"/>
      <c r="CE1151" s="7"/>
      <c r="FZ1151" s="2"/>
    </row>
    <row r="1152" spans="1:182">
      <c r="A1152" s="7"/>
      <c r="D1152" s="7"/>
      <c r="E1152" s="7"/>
      <c r="F1152" s="7"/>
      <c r="G1152" s="7"/>
      <c r="H1152" s="7"/>
      <c r="I1152" s="7"/>
      <c r="J1152" s="7"/>
      <c r="K1152" s="7"/>
      <c r="L1152" s="7"/>
      <c r="M1152" s="7"/>
      <c r="N1152" s="7"/>
      <c r="O1152" s="7"/>
      <c r="P1152" s="7"/>
      <c r="Q1152" s="7"/>
      <c r="R1152" s="7"/>
      <c r="S1152" s="7"/>
      <c r="T1152" s="7"/>
      <c r="U1152" s="7"/>
      <c r="Y1152" s="7"/>
      <c r="Z1152" s="17"/>
      <c r="AC1152" s="7"/>
      <c r="AD1152" s="7"/>
      <c r="AE1152" s="7"/>
      <c r="AF1152" s="7"/>
      <c r="AG1152" s="7"/>
      <c r="AH1152" s="7"/>
      <c r="AJ1152" s="7"/>
      <c r="AK1152" s="7"/>
      <c r="AL1152" s="7"/>
      <c r="AM1152" s="7"/>
      <c r="AN1152" s="7"/>
      <c r="AO1152" s="7"/>
      <c r="AR1152" s="7"/>
      <c r="AS1152" s="7"/>
      <c r="AT1152" s="7"/>
      <c r="AU1152" s="7"/>
      <c r="AW1152" s="7"/>
      <c r="CE1152" s="7"/>
      <c r="FZ1152" s="2"/>
    </row>
    <row r="1153" spans="1:182">
      <c r="A1153" s="7"/>
      <c r="D1153" s="7"/>
      <c r="E1153" s="7"/>
      <c r="F1153" s="7"/>
      <c r="G1153" s="7"/>
      <c r="H1153" s="7"/>
      <c r="I1153" s="7"/>
      <c r="J1153" s="7"/>
      <c r="K1153" s="7"/>
      <c r="L1153" s="7"/>
      <c r="M1153" s="7"/>
      <c r="N1153" s="7"/>
      <c r="O1153" s="7"/>
      <c r="P1153" s="7"/>
      <c r="Q1153" s="7"/>
      <c r="R1153" s="7"/>
      <c r="S1153" s="7"/>
      <c r="T1153" s="7"/>
      <c r="U1153" s="7"/>
      <c r="Y1153" s="7"/>
      <c r="Z1153" s="17"/>
      <c r="AC1153" s="7"/>
      <c r="AD1153" s="7"/>
      <c r="AE1153" s="7"/>
      <c r="AF1153" s="7"/>
      <c r="AG1153" s="7"/>
      <c r="AH1153" s="7"/>
      <c r="AJ1153" s="7"/>
      <c r="AK1153" s="7"/>
      <c r="AL1153" s="7"/>
      <c r="AM1153" s="7"/>
      <c r="AN1153" s="7"/>
      <c r="AO1153" s="7"/>
      <c r="AR1153" s="7"/>
      <c r="AS1153" s="7"/>
      <c r="AT1153" s="7"/>
      <c r="AU1153" s="7"/>
      <c r="AW1153" s="7"/>
      <c r="CE1153" s="7"/>
      <c r="FZ1153" s="2"/>
    </row>
    <row r="1154" spans="1:182">
      <c r="A1154" s="7"/>
      <c r="D1154" s="7"/>
      <c r="E1154" s="7"/>
      <c r="F1154" s="7"/>
      <c r="G1154" s="7"/>
      <c r="H1154" s="7"/>
      <c r="I1154" s="7"/>
      <c r="J1154" s="7"/>
      <c r="K1154" s="7"/>
      <c r="L1154" s="7"/>
      <c r="M1154" s="7"/>
      <c r="N1154" s="7"/>
      <c r="O1154" s="7"/>
      <c r="P1154" s="7"/>
      <c r="Q1154" s="7"/>
      <c r="R1154" s="7"/>
      <c r="S1154" s="7"/>
      <c r="T1154" s="7"/>
      <c r="U1154" s="7"/>
      <c r="Y1154" s="7"/>
      <c r="Z1154" s="17"/>
      <c r="AC1154" s="7"/>
      <c r="AD1154" s="7"/>
      <c r="AE1154" s="7"/>
      <c r="AF1154" s="7"/>
      <c r="AG1154" s="7"/>
      <c r="AH1154" s="7"/>
      <c r="AJ1154" s="7"/>
      <c r="AK1154" s="7"/>
      <c r="AL1154" s="7"/>
      <c r="AM1154" s="7"/>
      <c r="AN1154" s="7"/>
      <c r="AO1154" s="7"/>
      <c r="AR1154" s="7"/>
      <c r="AS1154" s="7"/>
      <c r="AT1154" s="7"/>
      <c r="AU1154" s="7"/>
      <c r="AW1154" s="7"/>
      <c r="CE1154" s="7"/>
      <c r="FZ1154" s="2"/>
    </row>
    <row r="1155" spans="1:182">
      <c r="A1155" s="7"/>
      <c r="D1155" s="7"/>
      <c r="E1155" s="7"/>
      <c r="F1155" s="7"/>
      <c r="G1155" s="7"/>
      <c r="H1155" s="7"/>
      <c r="I1155" s="7"/>
      <c r="J1155" s="7"/>
      <c r="K1155" s="7"/>
      <c r="L1155" s="7"/>
      <c r="M1155" s="7"/>
      <c r="N1155" s="7"/>
      <c r="O1155" s="7"/>
      <c r="P1155" s="7"/>
      <c r="Q1155" s="7"/>
      <c r="R1155" s="7"/>
      <c r="S1155" s="7"/>
      <c r="T1155" s="7"/>
      <c r="U1155" s="7"/>
      <c r="Y1155" s="7"/>
      <c r="Z1155" s="17"/>
      <c r="AC1155" s="7"/>
      <c r="AD1155" s="7"/>
      <c r="AE1155" s="7"/>
      <c r="AF1155" s="7"/>
      <c r="AG1155" s="7"/>
      <c r="AH1155" s="7"/>
      <c r="AJ1155" s="7"/>
      <c r="AK1155" s="7"/>
      <c r="AL1155" s="7"/>
      <c r="AM1155" s="7"/>
      <c r="AN1155" s="7"/>
      <c r="AO1155" s="7"/>
      <c r="AR1155" s="7"/>
      <c r="AS1155" s="7"/>
      <c r="AT1155" s="7"/>
      <c r="AU1155" s="7"/>
      <c r="AW1155" s="7"/>
      <c r="CE1155" s="7"/>
      <c r="FZ1155" s="2"/>
    </row>
    <row r="1156" spans="1:182">
      <c r="A1156" s="7"/>
      <c r="D1156" s="7"/>
      <c r="E1156" s="7"/>
      <c r="F1156" s="7"/>
      <c r="G1156" s="7"/>
      <c r="H1156" s="7"/>
      <c r="I1156" s="7"/>
      <c r="J1156" s="7"/>
      <c r="K1156" s="7"/>
      <c r="L1156" s="7"/>
      <c r="M1156" s="7"/>
      <c r="N1156" s="7"/>
      <c r="O1156" s="7"/>
      <c r="P1156" s="7"/>
      <c r="Q1156" s="7"/>
      <c r="R1156" s="7"/>
      <c r="S1156" s="7"/>
      <c r="T1156" s="7"/>
      <c r="U1156" s="7"/>
      <c r="Y1156" s="7"/>
      <c r="Z1156" s="17"/>
      <c r="AC1156" s="7"/>
      <c r="AD1156" s="7"/>
      <c r="AE1156" s="7"/>
      <c r="AF1156" s="7"/>
      <c r="AG1156" s="7"/>
      <c r="AH1156" s="7"/>
      <c r="AJ1156" s="7"/>
      <c r="AK1156" s="7"/>
      <c r="AL1156" s="7"/>
      <c r="AM1156" s="7"/>
      <c r="AN1156" s="7"/>
      <c r="AO1156" s="7"/>
      <c r="AR1156" s="7"/>
      <c r="AS1156" s="7"/>
      <c r="AT1156" s="7"/>
      <c r="AU1156" s="7"/>
      <c r="AW1156" s="7"/>
      <c r="CE1156" s="7"/>
      <c r="FZ1156" s="2"/>
    </row>
    <row r="1157" spans="1:182">
      <c r="A1157" s="7"/>
      <c r="D1157" s="7"/>
      <c r="E1157" s="7"/>
      <c r="F1157" s="7"/>
      <c r="G1157" s="7"/>
      <c r="H1157" s="7"/>
      <c r="I1157" s="7"/>
      <c r="J1157" s="7"/>
      <c r="K1157" s="7"/>
      <c r="L1157" s="7"/>
      <c r="M1157" s="7"/>
      <c r="N1157" s="7"/>
      <c r="O1157" s="7"/>
      <c r="P1157" s="7"/>
      <c r="Q1157" s="7"/>
      <c r="R1157" s="7"/>
      <c r="S1157" s="7"/>
      <c r="T1157" s="7"/>
      <c r="U1157" s="7"/>
      <c r="Y1157" s="7"/>
      <c r="Z1157" s="17"/>
      <c r="AC1157" s="7"/>
      <c r="AD1157" s="7"/>
      <c r="AE1157" s="7"/>
      <c r="AF1157" s="7"/>
      <c r="AG1157" s="7"/>
      <c r="AH1157" s="7"/>
      <c r="AJ1157" s="7"/>
      <c r="AK1157" s="7"/>
      <c r="AL1157" s="7"/>
      <c r="AM1157" s="7"/>
      <c r="AN1157" s="7"/>
      <c r="AO1157" s="7"/>
      <c r="AR1157" s="7"/>
      <c r="AS1157" s="7"/>
      <c r="AT1157" s="7"/>
      <c r="AU1157" s="7"/>
      <c r="AW1157" s="7"/>
      <c r="CE1157" s="7"/>
      <c r="FZ1157" s="2"/>
    </row>
    <row r="1158" spans="1:182">
      <c r="A1158" s="7"/>
      <c r="D1158" s="7"/>
      <c r="E1158" s="7"/>
      <c r="F1158" s="7"/>
      <c r="G1158" s="7"/>
      <c r="H1158" s="7"/>
      <c r="I1158" s="7"/>
      <c r="J1158" s="7"/>
      <c r="K1158" s="7"/>
      <c r="L1158" s="7"/>
      <c r="M1158" s="7"/>
      <c r="N1158" s="7"/>
      <c r="O1158" s="7"/>
      <c r="P1158" s="7"/>
      <c r="Q1158" s="7"/>
      <c r="R1158" s="7"/>
      <c r="S1158" s="7"/>
      <c r="T1158" s="7"/>
      <c r="U1158" s="7"/>
      <c r="Y1158" s="7"/>
      <c r="Z1158" s="17"/>
      <c r="AC1158" s="7"/>
      <c r="AD1158" s="7"/>
      <c r="AE1158" s="7"/>
      <c r="AF1158" s="7"/>
      <c r="AG1158" s="7"/>
      <c r="AH1158" s="7"/>
      <c r="AJ1158" s="7"/>
      <c r="AK1158" s="7"/>
      <c r="AL1158" s="7"/>
      <c r="AM1158" s="7"/>
      <c r="AN1158" s="7"/>
      <c r="AO1158" s="7"/>
      <c r="AR1158" s="7"/>
      <c r="AS1158" s="7"/>
      <c r="AT1158" s="7"/>
      <c r="AU1158" s="7"/>
      <c r="AW1158" s="7"/>
      <c r="CE1158" s="7"/>
      <c r="FZ1158" s="2"/>
    </row>
    <row r="1159" spans="1:182">
      <c r="A1159" s="7"/>
      <c r="D1159" s="7"/>
      <c r="E1159" s="7"/>
      <c r="F1159" s="7"/>
      <c r="G1159" s="7"/>
      <c r="H1159" s="7"/>
      <c r="I1159" s="7"/>
      <c r="J1159" s="7"/>
      <c r="K1159" s="7"/>
      <c r="L1159" s="7"/>
      <c r="M1159" s="7"/>
      <c r="N1159" s="7"/>
      <c r="O1159" s="7"/>
      <c r="P1159" s="7"/>
      <c r="Q1159" s="7"/>
      <c r="R1159" s="7"/>
      <c r="S1159" s="7"/>
      <c r="T1159" s="7"/>
      <c r="U1159" s="7"/>
      <c r="Y1159" s="7"/>
      <c r="Z1159" s="17"/>
      <c r="AC1159" s="7"/>
      <c r="AD1159" s="7"/>
      <c r="AE1159" s="7"/>
      <c r="AF1159" s="7"/>
      <c r="AG1159" s="7"/>
      <c r="AH1159" s="7"/>
      <c r="AJ1159" s="7"/>
      <c r="AK1159" s="7"/>
      <c r="AL1159" s="7"/>
      <c r="AM1159" s="7"/>
      <c r="AN1159" s="7"/>
      <c r="AO1159" s="7"/>
      <c r="AR1159" s="7"/>
      <c r="AS1159" s="7"/>
      <c r="AT1159" s="7"/>
      <c r="AU1159" s="7"/>
      <c r="AW1159" s="7"/>
      <c r="CE1159" s="7"/>
      <c r="FZ1159" s="2"/>
    </row>
    <row r="1160" spans="1:182">
      <c r="A1160" s="7"/>
      <c r="D1160" s="7"/>
      <c r="E1160" s="7"/>
      <c r="F1160" s="7"/>
      <c r="G1160" s="7"/>
      <c r="H1160" s="7"/>
      <c r="I1160" s="7"/>
      <c r="J1160" s="7"/>
      <c r="K1160" s="7"/>
      <c r="L1160" s="7"/>
      <c r="M1160" s="7"/>
      <c r="N1160" s="7"/>
      <c r="O1160" s="7"/>
      <c r="P1160" s="7"/>
      <c r="Q1160" s="7"/>
      <c r="R1160" s="7"/>
      <c r="S1160" s="7"/>
      <c r="T1160" s="7"/>
      <c r="U1160" s="7"/>
      <c r="Y1160" s="7"/>
      <c r="Z1160" s="17"/>
      <c r="AC1160" s="7"/>
      <c r="AD1160" s="7"/>
      <c r="AE1160" s="7"/>
      <c r="AF1160" s="7"/>
      <c r="AG1160" s="7"/>
      <c r="AH1160" s="7"/>
      <c r="AJ1160" s="7"/>
      <c r="AK1160" s="7"/>
      <c r="AL1160" s="7"/>
      <c r="AM1160" s="7"/>
      <c r="AN1160" s="7"/>
      <c r="AO1160" s="7"/>
      <c r="AR1160" s="7"/>
      <c r="AS1160" s="7"/>
      <c r="AT1160" s="7"/>
      <c r="AU1160" s="7"/>
      <c r="AW1160" s="7"/>
      <c r="CE1160" s="7"/>
      <c r="FZ1160" s="2"/>
    </row>
    <row r="1161" spans="1:182">
      <c r="A1161" s="7"/>
      <c r="D1161" s="7"/>
      <c r="E1161" s="7"/>
      <c r="F1161" s="7"/>
      <c r="G1161" s="7"/>
      <c r="H1161" s="7"/>
      <c r="I1161" s="7"/>
      <c r="J1161" s="7"/>
      <c r="K1161" s="7"/>
      <c r="L1161" s="7"/>
      <c r="M1161" s="7"/>
      <c r="N1161" s="7"/>
      <c r="O1161" s="7"/>
      <c r="P1161" s="7"/>
      <c r="Q1161" s="7"/>
      <c r="R1161" s="7"/>
      <c r="S1161" s="7"/>
      <c r="T1161" s="7"/>
      <c r="U1161" s="7"/>
      <c r="Y1161" s="7"/>
      <c r="Z1161" s="17"/>
      <c r="AC1161" s="7"/>
      <c r="AD1161" s="7"/>
      <c r="AE1161" s="7"/>
      <c r="AF1161" s="7"/>
      <c r="AG1161" s="7"/>
      <c r="AH1161" s="7"/>
      <c r="AJ1161" s="7"/>
      <c r="AK1161" s="7"/>
      <c r="AL1161" s="7"/>
      <c r="AM1161" s="7"/>
      <c r="AN1161" s="7"/>
      <c r="AO1161" s="7"/>
      <c r="AR1161" s="7"/>
      <c r="AS1161" s="7"/>
      <c r="AT1161" s="7"/>
      <c r="AU1161" s="7"/>
      <c r="AW1161" s="7"/>
      <c r="CE1161" s="7"/>
      <c r="FZ1161" s="2"/>
    </row>
    <row r="1162" spans="1:182">
      <c r="A1162" s="7"/>
      <c r="D1162" s="7"/>
      <c r="E1162" s="7"/>
      <c r="F1162" s="7"/>
      <c r="G1162" s="7"/>
      <c r="H1162" s="7"/>
      <c r="I1162" s="7"/>
      <c r="J1162" s="7"/>
      <c r="K1162" s="7"/>
      <c r="L1162" s="7"/>
      <c r="M1162" s="7"/>
      <c r="N1162" s="7"/>
      <c r="O1162" s="7"/>
      <c r="P1162" s="7"/>
      <c r="Q1162" s="7"/>
      <c r="R1162" s="7"/>
      <c r="S1162" s="7"/>
      <c r="T1162" s="7"/>
      <c r="U1162" s="7"/>
      <c r="Y1162" s="7"/>
      <c r="Z1162" s="17"/>
      <c r="AC1162" s="7"/>
      <c r="AD1162" s="7"/>
      <c r="AE1162" s="7"/>
      <c r="AF1162" s="7"/>
      <c r="AG1162" s="7"/>
      <c r="AH1162" s="7"/>
      <c r="AJ1162" s="7"/>
      <c r="AK1162" s="7"/>
      <c r="AL1162" s="7"/>
      <c r="AM1162" s="7"/>
      <c r="AN1162" s="7"/>
      <c r="AO1162" s="7"/>
      <c r="AR1162" s="7"/>
      <c r="AS1162" s="7"/>
      <c r="AT1162" s="7"/>
      <c r="AU1162" s="7"/>
      <c r="AW1162" s="7"/>
      <c r="CE1162" s="7"/>
      <c r="FZ1162" s="2"/>
    </row>
    <row r="1163" spans="1:182">
      <c r="A1163" s="7"/>
      <c r="D1163" s="7"/>
      <c r="E1163" s="7"/>
      <c r="F1163" s="7"/>
      <c r="G1163" s="7"/>
      <c r="H1163" s="7"/>
      <c r="I1163" s="7"/>
      <c r="J1163" s="7"/>
      <c r="K1163" s="7"/>
      <c r="L1163" s="7"/>
      <c r="M1163" s="7"/>
      <c r="N1163" s="7"/>
      <c r="O1163" s="7"/>
      <c r="P1163" s="7"/>
      <c r="Q1163" s="7"/>
      <c r="R1163" s="7"/>
      <c r="S1163" s="7"/>
      <c r="T1163" s="7"/>
      <c r="U1163" s="7"/>
      <c r="Y1163" s="7"/>
      <c r="Z1163" s="17"/>
      <c r="AC1163" s="7"/>
      <c r="AD1163" s="7"/>
      <c r="AE1163" s="7"/>
      <c r="AF1163" s="7"/>
      <c r="AG1163" s="7"/>
      <c r="AH1163" s="7"/>
      <c r="AJ1163" s="7"/>
      <c r="AK1163" s="7"/>
      <c r="AL1163" s="7"/>
      <c r="AM1163" s="7"/>
      <c r="AN1163" s="7"/>
      <c r="AO1163" s="7"/>
      <c r="AR1163" s="7"/>
      <c r="AS1163" s="7"/>
      <c r="AT1163" s="7"/>
      <c r="AU1163" s="7"/>
      <c r="AW1163" s="7"/>
      <c r="CE1163" s="7"/>
      <c r="FZ1163" s="2"/>
    </row>
    <row r="1164" spans="1:182">
      <c r="A1164" s="7"/>
      <c r="D1164" s="7"/>
      <c r="E1164" s="7"/>
      <c r="F1164" s="7"/>
      <c r="G1164" s="7"/>
      <c r="H1164" s="7"/>
      <c r="I1164" s="7"/>
      <c r="J1164" s="7"/>
      <c r="K1164" s="7"/>
      <c r="L1164" s="7"/>
      <c r="M1164" s="7"/>
      <c r="N1164" s="7"/>
      <c r="O1164" s="7"/>
      <c r="P1164" s="7"/>
      <c r="Q1164" s="7"/>
      <c r="R1164" s="7"/>
      <c r="S1164" s="7"/>
      <c r="T1164" s="7"/>
      <c r="U1164" s="7"/>
      <c r="Y1164" s="7"/>
      <c r="Z1164" s="17"/>
      <c r="AC1164" s="7"/>
      <c r="AD1164" s="7"/>
      <c r="AE1164" s="7"/>
      <c r="AF1164" s="7"/>
      <c r="AG1164" s="7"/>
      <c r="AH1164" s="7"/>
      <c r="AJ1164" s="7"/>
      <c r="AK1164" s="7"/>
      <c r="AL1164" s="7"/>
      <c r="AM1164" s="7"/>
      <c r="AN1164" s="7"/>
      <c r="AO1164" s="7"/>
      <c r="AR1164" s="7"/>
      <c r="AS1164" s="7"/>
      <c r="AT1164" s="7"/>
      <c r="AU1164" s="7"/>
      <c r="AW1164" s="7"/>
      <c r="CE1164" s="7"/>
      <c r="FZ1164" s="2"/>
    </row>
    <row r="1165" spans="1:182">
      <c r="A1165" s="7"/>
      <c r="D1165" s="7"/>
      <c r="E1165" s="7"/>
      <c r="F1165" s="7"/>
      <c r="G1165" s="7"/>
      <c r="H1165" s="7"/>
      <c r="I1165" s="7"/>
      <c r="J1165" s="7"/>
      <c r="K1165" s="7"/>
      <c r="L1165" s="7"/>
      <c r="M1165" s="7"/>
      <c r="N1165" s="7"/>
      <c r="O1165" s="7"/>
      <c r="P1165" s="7"/>
      <c r="Q1165" s="7"/>
      <c r="R1165" s="7"/>
      <c r="S1165" s="7"/>
      <c r="T1165" s="7"/>
      <c r="U1165" s="7"/>
      <c r="Y1165" s="7"/>
      <c r="Z1165" s="17"/>
      <c r="AC1165" s="7"/>
      <c r="AD1165" s="7"/>
      <c r="AE1165" s="7"/>
      <c r="AF1165" s="7"/>
      <c r="AG1165" s="7"/>
      <c r="AH1165" s="7"/>
      <c r="AJ1165" s="7"/>
      <c r="AK1165" s="7"/>
      <c r="AL1165" s="7"/>
      <c r="AM1165" s="7"/>
      <c r="AN1165" s="7"/>
      <c r="AO1165" s="7"/>
      <c r="AR1165" s="7"/>
      <c r="AS1165" s="7"/>
      <c r="AT1165" s="7"/>
      <c r="AU1165" s="7"/>
      <c r="AW1165" s="7"/>
      <c r="CE1165" s="7"/>
      <c r="FZ1165" s="2"/>
    </row>
    <row r="1166" spans="1:182">
      <c r="A1166" s="7"/>
      <c r="D1166" s="7"/>
      <c r="E1166" s="7"/>
      <c r="F1166" s="7"/>
      <c r="G1166" s="7"/>
      <c r="H1166" s="7"/>
      <c r="I1166" s="7"/>
      <c r="J1166" s="7"/>
      <c r="K1166" s="7"/>
      <c r="L1166" s="7"/>
      <c r="M1166" s="7"/>
      <c r="N1166" s="7"/>
      <c r="O1166" s="7"/>
      <c r="P1166" s="7"/>
      <c r="Q1166" s="7"/>
      <c r="R1166" s="7"/>
      <c r="S1166" s="7"/>
      <c r="T1166" s="7"/>
      <c r="U1166" s="7"/>
      <c r="Y1166" s="7"/>
      <c r="Z1166" s="17"/>
      <c r="AC1166" s="7"/>
      <c r="AD1166" s="7"/>
      <c r="AE1166" s="7"/>
      <c r="AF1166" s="7"/>
      <c r="AG1166" s="7"/>
      <c r="AH1166" s="7"/>
      <c r="AJ1166" s="7"/>
      <c r="AK1166" s="7"/>
      <c r="AL1166" s="7"/>
      <c r="AM1166" s="7"/>
      <c r="AN1166" s="7"/>
      <c r="AO1166" s="7"/>
      <c r="AR1166" s="7"/>
      <c r="AS1166" s="7"/>
      <c r="AT1166" s="7"/>
      <c r="AU1166" s="7"/>
      <c r="AW1166" s="7"/>
      <c r="CE1166" s="7"/>
      <c r="FZ1166" s="2"/>
    </row>
    <row r="1167" spans="1:182">
      <c r="A1167" s="7"/>
      <c r="D1167" s="7"/>
      <c r="E1167" s="7"/>
      <c r="F1167" s="7"/>
      <c r="G1167" s="7"/>
      <c r="H1167" s="7"/>
      <c r="I1167" s="7"/>
      <c r="J1167" s="7"/>
      <c r="K1167" s="7"/>
      <c r="L1167" s="7"/>
      <c r="M1167" s="7"/>
      <c r="N1167" s="7"/>
      <c r="O1167" s="7"/>
      <c r="P1167" s="7"/>
      <c r="Q1167" s="7"/>
      <c r="R1167" s="7"/>
      <c r="S1167" s="7"/>
      <c r="T1167" s="7"/>
      <c r="U1167" s="7"/>
      <c r="Y1167" s="7"/>
      <c r="Z1167" s="17"/>
      <c r="AC1167" s="7"/>
      <c r="AD1167" s="7"/>
      <c r="AE1167" s="7"/>
      <c r="AF1167" s="7"/>
      <c r="AG1167" s="7"/>
      <c r="AH1167" s="7"/>
      <c r="AJ1167" s="7"/>
      <c r="AK1167" s="7"/>
      <c r="AL1167" s="7"/>
      <c r="AM1167" s="7"/>
      <c r="AN1167" s="7"/>
      <c r="AO1167" s="7"/>
      <c r="AR1167" s="7"/>
      <c r="AS1167" s="7"/>
      <c r="AT1167" s="7"/>
      <c r="AU1167" s="7"/>
      <c r="AW1167" s="7"/>
      <c r="CE1167" s="7"/>
      <c r="FZ1167" s="2"/>
    </row>
    <row r="1168" spans="1:182">
      <c r="A1168" s="7"/>
      <c r="D1168" s="7"/>
      <c r="E1168" s="7"/>
      <c r="F1168" s="7"/>
      <c r="G1168" s="7"/>
      <c r="H1168" s="7"/>
      <c r="I1168" s="7"/>
      <c r="J1168" s="7"/>
      <c r="K1168" s="7"/>
      <c r="L1168" s="7"/>
      <c r="M1168" s="7"/>
      <c r="N1168" s="7"/>
      <c r="O1168" s="7"/>
      <c r="P1168" s="7"/>
      <c r="Q1168" s="7"/>
      <c r="R1168" s="7"/>
      <c r="S1168" s="7"/>
      <c r="T1168" s="7"/>
      <c r="U1168" s="7"/>
      <c r="Y1168" s="7"/>
      <c r="Z1168" s="17"/>
      <c r="AC1168" s="7"/>
      <c r="AD1168" s="7"/>
      <c r="AE1168" s="7"/>
      <c r="AF1168" s="7"/>
      <c r="AG1168" s="7"/>
      <c r="AH1168" s="7"/>
      <c r="AJ1168" s="7"/>
      <c r="AK1168" s="7"/>
      <c r="AL1168" s="7"/>
      <c r="AM1168" s="7"/>
      <c r="AN1168" s="7"/>
      <c r="AO1168" s="7"/>
      <c r="AR1168" s="7"/>
      <c r="AS1168" s="7"/>
      <c r="AT1168" s="7"/>
      <c r="AU1168" s="7"/>
      <c r="AW1168" s="7"/>
      <c r="CE1168" s="7"/>
      <c r="FZ1168" s="2"/>
    </row>
    <row r="1169" spans="1:182">
      <c r="A1169" s="7"/>
      <c r="D1169" s="7"/>
      <c r="E1169" s="7"/>
      <c r="F1169" s="7"/>
      <c r="G1169" s="7"/>
      <c r="H1169" s="7"/>
      <c r="I1169" s="7"/>
      <c r="J1169" s="7"/>
      <c r="K1169" s="7"/>
      <c r="L1169" s="7"/>
      <c r="M1169" s="7"/>
      <c r="N1169" s="7"/>
      <c r="O1169" s="7"/>
      <c r="P1169" s="7"/>
      <c r="Q1169" s="7"/>
      <c r="R1169" s="7"/>
      <c r="S1169" s="7"/>
      <c r="T1169" s="7"/>
      <c r="U1169" s="7"/>
      <c r="Y1169" s="7"/>
      <c r="Z1169" s="17"/>
      <c r="AC1169" s="7"/>
      <c r="AD1169" s="7"/>
      <c r="AE1169" s="7"/>
      <c r="AF1169" s="7"/>
      <c r="AG1169" s="7"/>
      <c r="AH1169" s="7"/>
      <c r="AJ1169" s="7"/>
      <c r="AK1169" s="7"/>
      <c r="AL1169" s="7"/>
      <c r="AM1169" s="7"/>
      <c r="AN1169" s="7"/>
      <c r="AO1169" s="7"/>
      <c r="AR1169" s="7"/>
      <c r="AS1169" s="7"/>
      <c r="AT1169" s="7"/>
      <c r="AU1169" s="7"/>
      <c r="AW1169" s="7"/>
      <c r="CE1169" s="7"/>
      <c r="FZ1169" s="2"/>
    </row>
    <row r="1170" spans="1:182">
      <c r="A1170" s="7"/>
      <c r="D1170" s="7"/>
      <c r="E1170" s="7"/>
      <c r="F1170" s="7"/>
      <c r="G1170" s="7"/>
      <c r="H1170" s="7"/>
      <c r="I1170" s="7"/>
      <c r="J1170" s="7"/>
      <c r="K1170" s="7"/>
      <c r="L1170" s="7"/>
      <c r="M1170" s="7"/>
      <c r="N1170" s="7"/>
      <c r="O1170" s="7"/>
      <c r="P1170" s="7"/>
      <c r="Q1170" s="7"/>
      <c r="R1170" s="7"/>
      <c r="S1170" s="7"/>
      <c r="T1170" s="7"/>
      <c r="U1170" s="7"/>
      <c r="Y1170" s="7"/>
      <c r="Z1170" s="17"/>
      <c r="AC1170" s="7"/>
      <c r="AD1170" s="7"/>
      <c r="AE1170" s="7"/>
      <c r="AF1170" s="7"/>
      <c r="AG1170" s="7"/>
      <c r="AH1170" s="7"/>
      <c r="AJ1170" s="7"/>
      <c r="AK1170" s="7"/>
      <c r="AL1170" s="7"/>
      <c r="AM1170" s="7"/>
      <c r="AN1170" s="7"/>
      <c r="AO1170" s="7"/>
      <c r="AR1170" s="7"/>
      <c r="AS1170" s="7"/>
      <c r="AT1170" s="7"/>
      <c r="AU1170" s="7"/>
      <c r="AW1170" s="7"/>
      <c r="CE1170" s="7"/>
      <c r="FZ1170" s="2"/>
    </row>
    <row r="1171" spans="1:182">
      <c r="A1171" s="7"/>
      <c r="D1171" s="7"/>
      <c r="E1171" s="7"/>
      <c r="F1171" s="7"/>
      <c r="G1171" s="7"/>
      <c r="H1171" s="7"/>
      <c r="I1171" s="7"/>
      <c r="J1171" s="7"/>
      <c r="K1171" s="7"/>
      <c r="L1171" s="7"/>
      <c r="M1171" s="7"/>
      <c r="N1171" s="7"/>
      <c r="O1171" s="7"/>
      <c r="P1171" s="7"/>
      <c r="Q1171" s="7"/>
      <c r="R1171" s="7"/>
      <c r="S1171" s="7"/>
      <c r="T1171" s="7"/>
      <c r="U1171" s="7"/>
      <c r="Y1171" s="7"/>
      <c r="Z1171" s="17"/>
      <c r="AC1171" s="7"/>
      <c r="AD1171" s="7"/>
      <c r="AE1171" s="7"/>
      <c r="AF1171" s="7"/>
      <c r="AG1171" s="7"/>
      <c r="AH1171" s="7"/>
      <c r="AJ1171" s="7"/>
      <c r="AK1171" s="7"/>
      <c r="AL1171" s="7"/>
      <c r="AM1171" s="7"/>
      <c r="AN1171" s="7"/>
      <c r="AO1171" s="7"/>
      <c r="AR1171" s="7"/>
      <c r="AS1171" s="7"/>
      <c r="AT1171" s="7"/>
      <c r="AU1171" s="7"/>
      <c r="AW1171" s="7"/>
      <c r="CE1171" s="7"/>
      <c r="FZ1171" s="2"/>
    </row>
    <row r="1172" spans="1:182">
      <c r="A1172" s="7"/>
      <c r="D1172" s="7"/>
      <c r="E1172" s="7"/>
      <c r="F1172" s="7"/>
      <c r="G1172" s="7"/>
      <c r="H1172" s="7"/>
      <c r="I1172" s="7"/>
      <c r="J1172" s="7"/>
      <c r="K1172" s="7"/>
      <c r="L1172" s="7"/>
      <c r="M1172" s="7"/>
      <c r="N1172" s="7"/>
      <c r="O1172" s="7"/>
      <c r="P1172" s="7"/>
      <c r="Q1172" s="7"/>
      <c r="R1172" s="7"/>
      <c r="S1172" s="7"/>
      <c r="T1172" s="7"/>
      <c r="U1172" s="7"/>
      <c r="Y1172" s="7"/>
      <c r="Z1172" s="17"/>
      <c r="AC1172" s="7"/>
      <c r="AD1172" s="7"/>
      <c r="AE1172" s="7"/>
      <c r="AF1172" s="7"/>
      <c r="AG1172" s="7"/>
      <c r="AH1172" s="7"/>
      <c r="AJ1172" s="7"/>
      <c r="AK1172" s="7"/>
      <c r="AL1172" s="7"/>
      <c r="AM1172" s="7"/>
      <c r="AN1172" s="7"/>
      <c r="AO1172" s="7"/>
      <c r="AR1172" s="7"/>
      <c r="AS1172" s="7"/>
      <c r="AT1172" s="7"/>
      <c r="AU1172" s="7"/>
      <c r="AW1172" s="7"/>
      <c r="CE1172" s="7"/>
      <c r="FZ1172" s="2"/>
    </row>
    <row r="1173" spans="1:182">
      <c r="A1173" s="7"/>
      <c r="D1173" s="7"/>
      <c r="E1173" s="7"/>
      <c r="F1173" s="7"/>
      <c r="G1173" s="7"/>
      <c r="H1173" s="7"/>
      <c r="I1173" s="7"/>
      <c r="J1173" s="7"/>
      <c r="K1173" s="7"/>
      <c r="L1173" s="7"/>
      <c r="M1173" s="7"/>
      <c r="N1173" s="7"/>
      <c r="O1173" s="7"/>
      <c r="P1173" s="7"/>
      <c r="Q1173" s="7"/>
      <c r="R1173" s="7"/>
      <c r="S1173" s="7"/>
      <c r="T1173" s="7"/>
      <c r="U1173" s="7"/>
      <c r="Y1173" s="7"/>
      <c r="Z1173" s="17"/>
      <c r="AC1173" s="7"/>
      <c r="AD1173" s="7"/>
      <c r="AE1173" s="7"/>
      <c r="AF1173" s="7"/>
      <c r="AG1173" s="7"/>
      <c r="AH1173" s="7"/>
      <c r="AJ1173" s="7"/>
      <c r="AK1173" s="7"/>
      <c r="AL1173" s="7"/>
      <c r="AM1173" s="7"/>
      <c r="AN1173" s="7"/>
      <c r="AO1173" s="7"/>
      <c r="AR1173" s="7"/>
      <c r="AS1173" s="7"/>
      <c r="AT1173" s="7"/>
      <c r="AU1173" s="7"/>
      <c r="AW1173" s="7"/>
      <c r="CE1173" s="7"/>
      <c r="FZ1173" s="2"/>
    </row>
    <row r="1174" spans="1:182">
      <c r="A1174" s="7"/>
      <c r="D1174" s="7"/>
      <c r="E1174" s="7"/>
      <c r="F1174" s="7"/>
      <c r="G1174" s="7"/>
      <c r="H1174" s="7"/>
      <c r="I1174" s="7"/>
      <c r="J1174" s="7"/>
      <c r="K1174" s="7"/>
      <c r="L1174" s="7"/>
      <c r="M1174" s="7"/>
      <c r="N1174" s="7"/>
      <c r="O1174" s="7"/>
      <c r="P1174" s="7"/>
      <c r="Q1174" s="7"/>
      <c r="R1174" s="7"/>
      <c r="S1174" s="7"/>
      <c r="T1174" s="7"/>
      <c r="U1174" s="7"/>
      <c r="Y1174" s="7"/>
      <c r="Z1174" s="17"/>
      <c r="AC1174" s="7"/>
      <c r="AD1174" s="7"/>
      <c r="AE1174" s="7"/>
      <c r="AF1174" s="7"/>
      <c r="AG1174" s="7"/>
      <c r="AH1174" s="7"/>
      <c r="AJ1174" s="7"/>
      <c r="AK1174" s="7"/>
      <c r="AL1174" s="7"/>
      <c r="AM1174" s="7"/>
      <c r="AN1174" s="7"/>
      <c r="AO1174" s="7"/>
      <c r="AR1174" s="7"/>
      <c r="AS1174" s="7"/>
      <c r="AT1174" s="7"/>
      <c r="AU1174" s="7"/>
      <c r="AW1174" s="7"/>
      <c r="CE1174" s="7"/>
      <c r="FZ1174" s="2"/>
    </row>
    <row r="1175" spans="1:182">
      <c r="A1175" s="7"/>
      <c r="D1175" s="7"/>
      <c r="E1175" s="7"/>
      <c r="F1175" s="7"/>
      <c r="G1175" s="7"/>
      <c r="H1175" s="7"/>
      <c r="I1175" s="7"/>
      <c r="J1175" s="7"/>
      <c r="K1175" s="7"/>
      <c r="L1175" s="7"/>
      <c r="M1175" s="7"/>
      <c r="N1175" s="7"/>
      <c r="O1175" s="7"/>
      <c r="P1175" s="7"/>
      <c r="Q1175" s="7"/>
      <c r="R1175" s="7"/>
      <c r="S1175" s="7"/>
      <c r="T1175" s="7"/>
      <c r="U1175" s="7"/>
      <c r="Y1175" s="7"/>
      <c r="Z1175" s="17"/>
      <c r="AC1175" s="7"/>
      <c r="AD1175" s="7"/>
      <c r="AE1175" s="7"/>
      <c r="AF1175" s="7"/>
      <c r="AG1175" s="7"/>
      <c r="AH1175" s="7"/>
      <c r="AJ1175" s="7"/>
      <c r="AK1175" s="7"/>
      <c r="AL1175" s="7"/>
      <c r="AM1175" s="7"/>
      <c r="AN1175" s="7"/>
      <c r="AO1175" s="7"/>
      <c r="AR1175" s="7"/>
      <c r="AS1175" s="7"/>
      <c r="AT1175" s="7"/>
      <c r="AU1175" s="7"/>
      <c r="AW1175" s="7"/>
      <c r="CE1175" s="7"/>
      <c r="FZ1175" s="2"/>
    </row>
    <row r="1176" spans="1:182">
      <c r="A1176" s="7"/>
      <c r="D1176" s="7"/>
      <c r="E1176" s="7"/>
      <c r="F1176" s="7"/>
      <c r="G1176" s="7"/>
      <c r="H1176" s="7"/>
      <c r="I1176" s="7"/>
      <c r="J1176" s="7"/>
      <c r="K1176" s="7"/>
      <c r="L1176" s="7"/>
      <c r="M1176" s="7"/>
      <c r="N1176" s="7"/>
      <c r="O1176" s="7"/>
      <c r="P1176" s="7"/>
      <c r="Q1176" s="7"/>
      <c r="R1176" s="7"/>
      <c r="S1176" s="7"/>
      <c r="T1176" s="7"/>
      <c r="U1176" s="7"/>
      <c r="Y1176" s="7"/>
      <c r="Z1176" s="17"/>
      <c r="AC1176" s="7"/>
      <c r="AD1176" s="7"/>
      <c r="AE1176" s="7"/>
      <c r="AF1176" s="7"/>
      <c r="AG1176" s="7"/>
      <c r="AH1176" s="7"/>
      <c r="AJ1176" s="7"/>
      <c r="AK1176" s="7"/>
      <c r="AL1176" s="7"/>
      <c r="AM1176" s="7"/>
      <c r="AN1176" s="7"/>
      <c r="AO1176" s="7"/>
      <c r="AR1176" s="7"/>
      <c r="AS1176" s="7"/>
      <c r="AT1176" s="7"/>
      <c r="AU1176" s="7"/>
      <c r="AW1176" s="7"/>
      <c r="CE1176" s="7"/>
      <c r="FZ1176" s="2"/>
    </row>
    <row r="1177" spans="1:182">
      <c r="A1177" s="7"/>
      <c r="D1177" s="7"/>
      <c r="E1177" s="7"/>
      <c r="F1177" s="7"/>
      <c r="G1177" s="7"/>
      <c r="H1177" s="7"/>
      <c r="I1177" s="7"/>
      <c r="J1177" s="7"/>
      <c r="K1177" s="7"/>
      <c r="L1177" s="7"/>
      <c r="M1177" s="7"/>
      <c r="N1177" s="7"/>
      <c r="O1177" s="7"/>
      <c r="P1177" s="7"/>
      <c r="Q1177" s="7"/>
      <c r="R1177" s="7"/>
      <c r="S1177" s="7"/>
      <c r="T1177" s="7"/>
      <c r="U1177" s="7"/>
      <c r="Y1177" s="7"/>
      <c r="Z1177" s="17"/>
      <c r="AC1177" s="7"/>
      <c r="AD1177" s="7"/>
      <c r="AE1177" s="7"/>
      <c r="AF1177" s="7"/>
      <c r="AG1177" s="7"/>
      <c r="AH1177" s="7"/>
      <c r="AJ1177" s="7"/>
      <c r="AK1177" s="7"/>
      <c r="AL1177" s="7"/>
      <c r="AM1177" s="7"/>
      <c r="AN1177" s="7"/>
      <c r="AO1177" s="7"/>
      <c r="AR1177" s="7"/>
      <c r="AS1177" s="7"/>
      <c r="AT1177" s="7"/>
      <c r="AU1177" s="7"/>
      <c r="AW1177" s="7"/>
      <c r="CE1177" s="7"/>
      <c r="FZ1177" s="2"/>
    </row>
    <row r="1178" spans="1:182">
      <c r="A1178" s="7"/>
      <c r="D1178" s="7"/>
      <c r="E1178" s="7"/>
      <c r="F1178" s="7"/>
      <c r="G1178" s="7"/>
      <c r="H1178" s="7"/>
      <c r="I1178" s="7"/>
      <c r="J1178" s="7"/>
      <c r="K1178" s="7"/>
      <c r="L1178" s="7"/>
      <c r="M1178" s="7"/>
      <c r="N1178" s="7"/>
      <c r="O1178" s="7"/>
      <c r="P1178" s="7"/>
      <c r="Q1178" s="7"/>
      <c r="R1178" s="7"/>
      <c r="S1178" s="7"/>
      <c r="T1178" s="7"/>
      <c r="U1178" s="7"/>
      <c r="Y1178" s="7"/>
      <c r="Z1178" s="17"/>
      <c r="AC1178" s="7"/>
      <c r="AD1178" s="7"/>
      <c r="AE1178" s="7"/>
      <c r="AF1178" s="7"/>
      <c r="AG1178" s="7"/>
      <c r="AH1178" s="7"/>
      <c r="AJ1178" s="7"/>
      <c r="AK1178" s="7"/>
      <c r="AL1178" s="7"/>
      <c r="AM1178" s="7"/>
      <c r="AN1178" s="7"/>
      <c r="AO1178" s="7"/>
      <c r="AR1178" s="7"/>
      <c r="AS1178" s="7"/>
      <c r="AT1178" s="7"/>
      <c r="AU1178" s="7"/>
      <c r="AW1178" s="7"/>
      <c r="CE1178" s="7"/>
      <c r="FZ1178" s="2"/>
    </row>
    <row r="1179" spans="1:182">
      <c r="A1179" s="7"/>
      <c r="D1179" s="7"/>
      <c r="E1179" s="7"/>
      <c r="F1179" s="7"/>
      <c r="G1179" s="7"/>
      <c r="H1179" s="7"/>
      <c r="I1179" s="7"/>
      <c r="J1179" s="7"/>
      <c r="K1179" s="7"/>
      <c r="L1179" s="7"/>
      <c r="M1179" s="7"/>
      <c r="N1179" s="7"/>
      <c r="O1179" s="7"/>
      <c r="P1179" s="7"/>
      <c r="Q1179" s="7"/>
      <c r="R1179" s="7"/>
      <c r="S1179" s="7"/>
      <c r="T1179" s="7"/>
      <c r="U1179" s="7"/>
      <c r="Y1179" s="7"/>
      <c r="Z1179" s="17"/>
      <c r="AC1179" s="7"/>
      <c r="AD1179" s="7"/>
      <c r="AE1179" s="7"/>
      <c r="AF1179" s="7"/>
      <c r="AG1179" s="7"/>
      <c r="AH1179" s="7"/>
      <c r="AJ1179" s="7"/>
      <c r="AK1179" s="7"/>
      <c r="AL1179" s="7"/>
      <c r="AM1179" s="7"/>
      <c r="AN1179" s="7"/>
      <c r="AO1179" s="7"/>
      <c r="AR1179" s="7"/>
      <c r="AS1179" s="7"/>
      <c r="AT1179" s="7"/>
      <c r="AU1179" s="7"/>
      <c r="AW1179" s="7"/>
      <c r="CE1179" s="7"/>
      <c r="FZ1179" s="2"/>
    </row>
    <row r="1180" spans="1:182">
      <c r="A1180" s="7"/>
      <c r="D1180" s="7"/>
      <c r="E1180" s="7"/>
      <c r="F1180" s="7"/>
      <c r="G1180" s="7"/>
      <c r="H1180" s="7"/>
      <c r="I1180" s="7"/>
      <c r="J1180" s="7"/>
      <c r="K1180" s="7"/>
      <c r="L1180" s="7"/>
      <c r="M1180" s="7"/>
      <c r="N1180" s="7"/>
      <c r="O1180" s="7"/>
      <c r="P1180" s="7"/>
      <c r="Q1180" s="7"/>
      <c r="R1180" s="7"/>
      <c r="S1180" s="7"/>
      <c r="T1180" s="7"/>
      <c r="U1180" s="7"/>
      <c r="Y1180" s="7"/>
      <c r="Z1180" s="17"/>
      <c r="AC1180" s="7"/>
      <c r="AD1180" s="7"/>
      <c r="AE1180" s="7"/>
      <c r="AF1180" s="7"/>
      <c r="AG1180" s="7"/>
      <c r="AH1180" s="7"/>
      <c r="AJ1180" s="7"/>
      <c r="AK1180" s="7"/>
      <c r="AL1180" s="7"/>
      <c r="AM1180" s="7"/>
      <c r="AN1180" s="7"/>
      <c r="AO1180" s="7"/>
      <c r="AR1180" s="7"/>
      <c r="AS1180" s="7"/>
      <c r="AT1180" s="7"/>
      <c r="AU1180" s="7"/>
      <c r="AW1180" s="7"/>
      <c r="CE1180" s="7"/>
      <c r="FZ1180" s="2"/>
    </row>
    <row r="1181" spans="1:182">
      <c r="A1181" s="7"/>
      <c r="D1181" s="7"/>
      <c r="E1181" s="7"/>
      <c r="F1181" s="7"/>
      <c r="G1181" s="7"/>
      <c r="H1181" s="7"/>
      <c r="I1181" s="7"/>
      <c r="J1181" s="7"/>
      <c r="K1181" s="7"/>
      <c r="L1181" s="7"/>
      <c r="M1181" s="7"/>
      <c r="N1181" s="7"/>
      <c r="O1181" s="7"/>
      <c r="P1181" s="7"/>
      <c r="Q1181" s="7"/>
      <c r="R1181" s="7"/>
      <c r="S1181" s="7"/>
      <c r="T1181" s="7"/>
      <c r="U1181" s="7"/>
      <c r="Y1181" s="7"/>
      <c r="Z1181" s="17"/>
      <c r="AC1181" s="7"/>
      <c r="AD1181" s="7"/>
      <c r="AE1181" s="7"/>
      <c r="AF1181" s="7"/>
      <c r="AG1181" s="7"/>
      <c r="AH1181" s="7"/>
      <c r="AJ1181" s="7"/>
      <c r="AK1181" s="7"/>
      <c r="AL1181" s="7"/>
      <c r="AM1181" s="7"/>
      <c r="AN1181" s="7"/>
      <c r="AO1181" s="7"/>
      <c r="AR1181" s="7"/>
      <c r="AS1181" s="7"/>
      <c r="AT1181" s="7"/>
      <c r="AU1181" s="7"/>
      <c r="AW1181" s="7"/>
      <c r="CE1181" s="7"/>
      <c r="FZ1181" s="2"/>
    </row>
    <row r="1182" spans="1:182">
      <c r="A1182" s="7"/>
      <c r="D1182" s="7"/>
      <c r="E1182" s="7"/>
      <c r="F1182" s="7"/>
      <c r="G1182" s="7"/>
      <c r="H1182" s="7"/>
      <c r="I1182" s="7"/>
      <c r="J1182" s="7"/>
      <c r="K1182" s="7"/>
      <c r="L1182" s="7"/>
      <c r="M1182" s="7"/>
      <c r="N1182" s="7"/>
      <c r="O1182" s="7"/>
      <c r="P1182" s="7"/>
      <c r="Q1182" s="7"/>
      <c r="R1182" s="7"/>
      <c r="S1182" s="7"/>
      <c r="T1182" s="7"/>
      <c r="U1182" s="7"/>
      <c r="Y1182" s="7"/>
      <c r="Z1182" s="17"/>
      <c r="AC1182" s="7"/>
      <c r="AD1182" s="7"/>
      <c r="AE1182" s="7"/>
      <c r="AF1182" s="7"/>
      <c r="AG1182" s="7"/>
      <c r="AH1182" s="7"/>
      <c r="AJ1182" s="7"/>
      <c r="AK1182" s="7"/>
      <c r="AL1182" s="7"/>
      <c r="AM1182" s="7"/>
      <c r="AN1182" s="7"/>
      <c r="AO1182" s="7"/>
      <c r="AR1182" s="7"/>
      <c r="AS1182" s="7"/>
      <c r="AT1182" s="7"/>
      <c r="AU1182" s="7"/>
      <c r="AW1182" s="7"/>
      <c r="CE1182" s="7"/>
      <c r="FZ1182" s="2"/>
    </row>
    <row r="1183" spans="1:182">
      <c r="A1183" s="7"/>
      <c r="D1183" s="7"/>
      <c r="E1183" s="7"/>
      <c r="F1183" s="7"/>
      <c r="G1183" s="7"/>
      <c r="H1183" s="7"/>
      <c r="I1183" s="7"/>
      <c r="J1183" s="7"/>
      <c r="K1183" s="7"/>
      <c r="L1183" s="7"/>
      <c r="M1183" s="7"/>
      <c r="N1183" s="7"/>
      <c r="O1183" s="7"/>
      <c r="P1183" s="7"/>
      <c r="Q1183" s="7"/>
      <c r="R1183" s="7"/>
      <c r="S1183" s="7"/>
      <c r="T1183" s="7"/>
      <c r="U1183" s="7"/>
      <c r="Y1183" s="7"/>
      <c r="Z1183" s="17"/>
      <c r="AC1183" s="7"/>
      <c r="AD1183" s="7"/>
      <c r="AE1183" s="7"/>
      <c r="AF1183" s="7"/>
      <c r="AG1183" s="7"/>
      <c r="AH1183" s="7"/>
      <c r="AJ1183" s="7"/>
      <c r="AK1183" s="7"/>
      <c r="AL1183" s="7"/>
      <c r="AM1183" s="7"/>
      <c r="AN1183" s="7"/>
      <c r="AO1183" s="7"/>
      <c r="AR1183" s="7"/>
      <c r="AS1183" s="7"/>
      <c r="AT1183" s="7"/>
      <c r="AU1183" s="7"/>
      <c r="AW1183" s="7"/>
      <c r="CE1183" s="7"/>
      <c r="FZ1183" s="2"/>
    </row>
    <row r="1184" spans="1:182">
      <c r="A1184" s="7"/>
      <c r="D1184" s="7"/>
      <c r="E1184" s="7"/>
      <c r="F1184" s="7"/>
      <c r="G1184" s="7"/>
      <c r="H1184" s="7"/>
      <c r="I1184" s="7"/>
      <c r="J1184" s="7"/>
      <c r="K1184" s="7"/>
      <c r="L1184" s="7"/>
      <c r="M1184" s="7"/>
      <c r="N1184" s="7"/>
      <c r="O1184" s="7"/>
      <c r="P1184" s="7"/>
      <c r="Q1184" s="7"/>
      <c r="R1184" s="7"/>
      <c r="S1184" s="7"/>
      <c r="T1184" s="7"/>
      <c r="U1184" s="7"/>
      <c r="Y1184" s="7"/>
      <c r="Z1184" s="17"/>
      <c r="AC1184" s="7"/>
      <c r="AD1184" s="7"/>
      <c r="AE1184" s="7"/>
      <c r="AF1184" s="7"/>
      <c r="AG1184" s="7"/>
      <c r="AH1184" s="7"/>
      <c r="AJ1184" s="7"/>
      <c r="AK1184" s="7"/>
      <c r="AL1184" s="7"/>
      <c r="AM1184" s="7"/>
      <c r="AN1184" s="7"/>
      <c r="AO1184" s="7"/>
      <c r="AR1184" s="7"/>
      <c r="AS1184" s="7"/>
      <c r="AT1184" s="7"/>
      <c r="AU1184" s="7"/>
      <c r="AW1184" s="7"/>
      <c r="CE1184" s="7"/>
      <c r="FZ1184" s="2"/>
    </row>
    <row r="1185" spans="1:182">
      <c r="A1185" s="7"/>
      <c r="D1185" s="7"/>
      <c r="E1185" s="7"/>
      <c r="F1185" s="7"/>
      <c r="G1185" s="7"/>
      <c r="H1185" s="7"/>
      <c r="I1185" s="7"/>
      <c r="J1185" s="7"/>
      <c r="K1185" s="7"/>
      <c r="L1185" s="7"/>
      <c r="M1185" s="7"/>
      <c r="N1185" s="7"/>
      <c r="O1185" s="7"/>
      <c r="P1185" s="7"/>
      <c r="Q1185" s="7"/>
      <c r="R1185" s="7"/>
      <c r="S1185" s="7"/>
      <c r="T1185" s="7"/>
      <c r="U1185" s="7"/>
      <c r="Y1185" s="7"/>
      <c r="Z1185" s="17"/>
      <c r="AC1185" s="7"/>
      <c r="AD1185" s="7"/>
      <c r="AE1185" s="7"/>
      <c r="AF1185" s="7"/>
      <c r="AG1185" s="7"/>
      <c r="AH1185" s="7"/>
      <c r="AJ1185" s="7"/>
      <c r="AK1185" s="7"/>
      <c r="AL1185" s="7"/>
      <c r="AM1185" s="7"/>
      <c r="AN1185" s="7"/>
      <c r="AO1185" s="7"/>
      <c r="AR1185" s="7"/>
      <c r="AS1185" s="7"/>
      <c r="AT1185" s="7"/>
      <c r="AU1185" s="7"/>
      <c r="AW1185" s="7"/>
      <c r="CE1185" s="7"/>
      <c r="FZ1185" s="2"/>
    </row>
    <row r="1186" spans="1:182">
      <c r="A1186" s="7"/>
      <c r="D1186" s="7"/>
      <c r="E1186" s="7"/>
      <c r="F1186" s="7"/>
      <c r="G1186" s="7"/>
      <c r="H1186" s="7"/>
      <c r="I1186" s="7"/>
      <c r="J1186" s="7"/>
      <c r="K1186" s="7"/>
      <c r="L1186" s="7"/>
      <c r="M1186" s="7"/>
      <c r="N1186" s="7"/>
      <c r="O1186" s="7"/>
      <c r="P1186" s="7"/>
      <c r="Q1186" s="7"/>
      <c r="R1186" s="7"/>
      <c r="S1186" s="7"/>
      <c r="T1186" s="7"/>
      <c r="U1186" s="7"/>
      <c r="Y1186" s="7"/>
      <c r="Z1186" s="17"/>
      <c r="AC1186" s="7"/>
      <c r="AD1186" s="7"/>
      <c r="AE1186" s="7"/>
      <c r="AF1186" s="7"/>
      <c r="AG1186" s="7"/>
      <c r="AH1186" s="7"/>
      <c r="AJ1186" s="7"/>
      <c r="AK1186" s="7"/>
      <c r="AL1186" s="7"/>
      <c r="AM1186" s="7"/>
      <c r="AN1186" s="7"/>
      <c r="AO1186" s="7"/>
      <c r="AR1186" s="7"/>
      <c r="AS1186" s="7"/>
      <c r="AT1186" s="7"/>
      <c r="AU1186" s="7"/>
      <c r="AW1186" s="7"/>
      <c r="CE1186" s="7"/>
      <c r="FZ1186" s="2"/>
    </row>
    <row r="1187" spans="1:182">
      <c r="A1187" s="7"/>
      <c r="D1187" s="7"/>
      <c r="E1187" s="7"/>
      <c r="F1187" s="7"/>
      <c r="G1187" s="7"/>
      <c r="H1187" s="7"/>
      <c r="I1187" s="7"/>
      <c r="J1187" s="7"/>
      <c r="K1187" s="7"/>
      <c r="L1187" s="7"/>
      <c r="M1187" s="7"/>
      <c r="N1187" s="7"/>
      <c r="O1187" s="7"/>
      <c r="P1187" s="7"/>
      <c r="Q1187" s="7"/>
      <c r="R1187" s="7"/>
      <c r="S1187" s="7"/>
      <c r="T1187" s="7"/>
      <c r="U1187" s="7"/>
      <c r="Y1187" s="7"/>
      <c r="Z1187" s="17"/>
      <c r="AC1187" s="7"/>
      <c r="AD1187" s="7"/>
      <c r="AE1187" s="7"/>
      <c r="AF1187" s="7"/>
      <c r="AG1187" s="7"/>
      <c r="AH1187" s="7"/>
      <c r="AJ1187" s="7"/>
      <c r="AK1187" s="7"/>
      <c r="AL1187" s="7"/>
      <c r="AM1187" s="7"/>
      <c r="AN1187" s="7"/>
      <c r="AO1187" s="7"/>
      <c r="AR1187" s="7"/>
      <c r="AS1187" s="7"/>
      <c r="AT1187" s="7"/>
      <c r="AU1187" s="7"/>
      <c r="AW1187" s="7"/>
      <c r="CE1187" s="7"/>
      <c r="FZ1187" s="2"/>
    </row>
    <row r="1188" spans="1:182">
      <c r="A1188" s="7"/>
      <c r="D1188" s="7"/>
      <c r="E1188" s="7"/>
      <c r="F1188" s="7"/>
      <c r="G1188" s="7"/>
      <c r="H1188" s="7"/>
      <c r="I1188" s="7"/>
      <c r="J1188" s="7"/>
      <c r="K1188" s="7"/>
      <c r="L1188" s="7"/>
      <c r="M1188" s="7"/>
      <c r="N1188" s="7"/>
      <c r="O1188" s="7"/>
      <c r="P1188" s="7"/>
      <c r="Q1188" s="7"/>
      <c r="R1188" s="7"/>
      <c r="S1188" s="7"/>
      <c r="T1188" s="7"/>
      <c r="U1188" s="7"/>
      <c r="Y1188" s="7"/>
      <c r="Z1188" s="17"/>
      <c r="AC1188" s="7"/>
      <c r="AD1188" s="7"/>
      <c r="AE1188" s="7"/>
      <c r="AF1188" s="7"/>
      <c r="AG1188" s="7"/>
      <c r="AH1188" s="7"/>
      <c r="AJ1188" s="7"/>
      <c r="AK1188" s="7"/>
      <c r="AL1188" s="7"/>
      <c r="AM1188" s="7"/>
      <c r="AN1188" s="7"/>
      <c r="AO1188" s="7"/>
      <c r="AR1188" s="7"/>
      <c r="AS1188" s="7"/>
      <c r="AT1188" s="7"/>
      <c r="AU1188" s="7"/>
      <c r="AW1188" s="7"/>
      <c r="CE1188" s="7"/>
      <c r="FZ1188" s="2"/>
    </row>
    <row r="1189" spans="1:182">
      <c r="A1189" s="7"/>
      <c r="D1189" s="7"/>
      <c r="E1189" s="7"/>
      <c r="F1189" s="7"/>
      <c r="G1189" s="7"/>
      <c r="H1189" s="7"/>
      <c r="I1189" s="7"/>
      <c r="J1189" s="7"/>
      <c r="K1189" s="7"/>
      <c r="L1189" s="7"/>
      <c r="M1189" s="7"/>
      <c r="N1189" s="7"/>
      <c r="O1189" s="7"/>
      <c r="P1189" s="7"/>
      <c r="Q1189" s="7"/>
      <c r="R1189" s="7"/>
      <c r="S1189" s="7"/>
      <c r="T1189" s="7"/>
      <c r="U1189" s="7"/>
      <c r="Y1189" s="7"/>
      <c r="Z1189" s="17"/>
      <c r="AC1189" s="7"/>
      <c r="AD1189" s="7"/>
      <c r="AE1189" s="7"/>
      <c r="AF1189" s="7"/>
      <c r="AG1189" s="7"/>
      <c r="AH1189" s="7"/>
      <c r="AJ1189" s="7"/>
      <c r="AK1189" s="7"/>
      <c r="AL1189" s="7"/>
      <c r="AM1189" s="7"/>
      <c r="AN1189" s="7"/>
      <c r="AO1189" s="7"/>
      <c r="AR1189" s="7"/>
      <c r="AS1189" s="7"/>
      <c r="AT1189" s="7"/>
      <c r="AU1189" s="7"/>
      <c r="AW1189" s="7"/>
      <c r="CE1189" s="7"/>
      <c r="FZ1189" s="2"/>
    </row>
    <row r="1190" spans="1:182">
      <c r="A1190" s="7"/>
      <c r="D1190" s="7"/>
      <c r="E1190" s="7"/>
      <c r="F1190" s="7"/>
      <c r="G1190" s="7"/>
      <c r="H1190" s="7"/>
      <c r="I1190" s="7"/>
      <c r="J1190" s="7"/>
      <c r="K1190" s="7"/>
      <c r="L1190" s="7"/>
      <c r="M1190" s="7"/>
      <c r="N1190" s="7"/>
      <c r="O1190" s="7"/>
      <c r="P1190" s="7"/>
      <c r="Q1190" s="7"/>
      <c r="R1190" s="7"/>
      <c r="S1190" s="7"/>
      <c r="T1190" s="7"/>
      <c r="U1190" s="7"/>
      <c r="Y1190" s="7"/>
      <c r="Z1190" s="17"/>
      <c r="AC1190" s="7"/>
      <c r="AD1190" s="7"/>
      <c r="AE1190" s="7"/>
      <c r="AF1190" s="7"/>
      <c r="AG1190" s="7"/>
      <c r="AH1190" s="7"/>
      <c r="AJ1190" s="7"/>
      <c r="AK1190" s="7"/>
      <c r="AL1190" s="7"/>
      <c r="AM1190" s="7"/>
      <c r="AN1190" s="7"/>
      <c r="AO1190" s="7"/>
      <c r="AR1190" s="7"/>
      <c r="AS1190" s="7"/>
      <c r="AT1190" s="7"/>
      <c r="AU1190" s="7"/>
      <c r="AW1190" s="7"/>
      <c r="CE1190" s="7"/>
      <c r="FZ1190" s="2"/>
    </row>
    <row r="1191" spans="1:182">
      <c r="A1191" s="7"/>
      <c r="D1191" s="7"/>
      <c r="E1191" s="7"/>
      <c r="F1191" s="7"/>
      <c r="G1191" s="7"/>
      <c r="H1191" s="7"/>
      <c r="I1191" s="7"/>
      <c r="J1191" s="7"/>
      <c r="K1191" s="7"/>
      <c r="L1191" s="7"/>
      <c r="M1191" s="7"/>
      <c r="N1191" s="7"/>
      <c r="O1191" s="7"/>
      <c r="P1191" s="7"/>
      <c r="Q1191" s="7"/>
      <c r="R1191" s="7"/>
      <c r="S1191" s="7"/>
      <c r="T1191" s="7"/>
      <c r="U1191" s="7"/>
      <c r="Y1191" s="7"/>
      <c r="Z1191" s="17"/>
      <c r="AC1191" s="7"/>
      <c r="AD1191" s="7"/>
      <c r="AE1191" s="7"/>
      <c r="AF1191" s="7"/>
      <c r="AG1191" s="7"/>
      <c r="AH1191" s="7"/>
      <c r="AJ1191" s="7"/>
      <c r="AK1191" s="7"/>
      <c r="AL1191" s="7"/>
      <c r="AM1191" s="7"/>
      <c r="AN1191" s="7"/>
      <c r="AO1191" s="7"/>
      <c r="AR1191" s="7"/>
      <c r="AS1191" s="7"/>
      <c r="AT1191" s="7"/>
      <c r="AU1191" s="7"/>
      <c r="AW1191" s="7"/>
      <c r="CE1191" s="7"/>
      <c r="FZ1191" s="2"/>
    </row>
    <row r="1192" spans="1:182">
      <c r="A1192" s="7"/>
      <c r="D1192" s="7"/>
      <c r="E1192" s="7"/>
      <c r="F1192" s="7"/>
      <c r="G1192" s="7"/>
      <c r="H1192" s="7"/>
      <c r="I1192" s="7"/>
      <c r="J1192" s="7"/>
      <c r="K1192" s="7"/>
      <c r="L1192" s="7"/>
      <c r="M1192" s="7"/>
      <c r="N1192" s="7"/>
      <c r="O1192" s="7"/>
      <c r="P1192" s="7"/>
      <c r="Q1192" s="7"/>
      <c r="R1192" s="7"/>
      <c r="S1192" s="7"/>
      <c r="T1192" s="7"/>
      <c r="U1192" s="7"/>
      <c r="Y1192" s="7"/>
      <c r="Z1192" s="17"/>
      <c r="AC1192" s="7"/>
      <c r="AD1192" s="7"/>
      <c r="AE1192" s="7"/>
      <c r="AF1192" s="7"/>
      <c r="AG1192" s="7"/>
      <c r="AH1192" s="7"/>
      <c r="AJ1192" s="7"/>
      <c r="AK1192" s="7"/>
      <c r="AL1192" s="7"/>
      <c r="AM1192" s="7"/>
      <c r="AN1192" s="7"/>
      <c r="AO1192" s="7"/>
      <c r="AR1192" s="7"/>
      <c r="AS1192" s="7"/>
      <c r="AT1192" s="7"/>
      <c r="AU1192" s="7"/>
      <c r="AW1192" s="7"/>
      <c r="CE1192" s="7"/>
      <c r="FZ1192" s="2"/>
    </row>
    <row r="1193" spans="1:182">
      <c r="A1193" s="7"/>
      <c r="D1193" s="7"/>
      <c r="E1193" s="7"/>
      <c r="F1193" s="7"/>
      <c r="G1193" s="7"/>
      <c r="H1193" s="7"/>
      <c r="I1193" s="7"/>
      <c r="J1193" s="7"/>
      <c r="K1193" s="7"/>
      <c r="L1193" s="7"/>
      <c r="M1193" s="7"/>
      <c r="N1193" s="7"/>
      <c r="O1193" s="7"/>
      <c r="P1193" s="7"/>
      <c r="Q1193" s="7"/>
      <c r="R1193" s="7"/>
      <c r="S1193" s="7"/>
      <c r="T1193" s="7"/>
      <c r="U1193" s="7"/>
      <c r="Y1193" s="7"/>
      <c r="Z1193" s="17"/>
      <c r="AC1193" s="7"/>
      <c r="AD1193" s="7"/>
      <c r="AE1193" s="7"/>
      <c r="AF1193" s="7"/>
      <c r="AG1193" s="7"/>
      <c r="AH1193" s="7"/>
      <c r="AJ1193" s="7"/>
      <c r="AK1193" s="7"/>
      <c r="AL1193" s="7"/>
      <c r="AM1193" s="7"/>
      <c r="AN1193" s="7"/>
      <c r="AO1193" s="7"/>
      <c r="AR1193" s="7"/>
      <c r="AS1193" s="7"/>
      <c r="AT1193" s="7"/>
      <c r="AU1193" s="7"/>
      <c r="AW1193" s="7"/>
      <c r="CE1193" s="7"/>
      <c r="FZ1193" s="2"/>
    </row>
    <row r="1194" spans="1:182">
      <c r="A1194" s="7"/>
      <c r="D1194" s="7"/>
      <c r="E1194" s="7"/>
      <c r="F1194" s="7"/>
      <c r="G1194" s="7"/>
      <c r="H1194" s="7"/>
      <c r="I1194" s="7"/>
      <c r="J1194" s="7"/>
      <c r="K1194" s="7"/>
      <c r="L1194" s="7"/>
      <c r="M1194" s="7"/>
      <c r="N1194" s="7"/>
      <c r="O1194" s="7"/>
      <c r="P1194" s="7"/>
      <c r="Q1194" s="7"/>
      <c r="R1194" s="7"/>
      <c r="S1194" s="7"/>
      <c r="T1194" s="7"/>
      <c r="U1194" s="7"/>
      <c r="Y1194" s="7"/>
      <c r="Z1194" s="17"/>
      <c r="AC1194" s="7"/>
      <c r="AD1194" s="7"/>
      <c r="AE1194" s="7"/>
      <c r="AF1194" s="7"/>
      <c r="AG1194" s="7"/>
      <c r="AH1194" s="7"/>
      <c r="AJ1194" s="7"/>
      <c r="AK1194" s="7"/>
      <c r="AL1194" s="7"/>
      <c r="AM1194" s="7"/>
      <c r="AN1194" s="7"/>
      <c r="AO1194" s="7"/>
      <c r="AR1194" s="7"/>
      <c r="AS1194" s="7"/>
      <c r="AT1194" s="7"/>
      <c r="AU1194" s="7"/>
      <c r="AW1194" s="7"/>
      <c r="CE1194" s="7"/>
      <c r="FZ1194" s="2"/>
    </row>
    <row r="1195" spans="1:182">
      <c r="A1195" s="7"/>
      <c r="D1195" s="7"/>
      <c r="E1195" s="7"/>
      <c r="F1195" s="7"/>
      <c r="G1195" s="7"/>
      <c r="H1195" s="7"/>
      <c r="I1195" s="7"/>
      <c r="J1195" s="7"/>
      <c r="K1195" s="7"/>
      <c r="L1195" s="7"/>
      <c r="M1195" s="7"/>
      <c r="N1195" s="7"/>
      <c r="O1195" s="7"/>
      <c r="P1195" s="7"/>
      <c r="Q1195" s="7"/>
      <c r="R1195" s="7"/>
      <c r="S1195" s="7"/>
      <c r="T1195" s="7"/>
      <c r="U1195" s="7"/>
      <c r="Y1195" s="7"/>
      <c r="Z1195" s="17"/>
      <c r="AC1195" s="7"/>
      <c r="AD1195" s="7"/>
      <c r="AE1195" s="7"/>
      <c r="AF1195" s="7"/>
      <c r="AG1195" s="7"/>
      <c r="AH1195" s="7"/>
      <c r="AJ1195" s="7"/>
      <c r="AK1195" s="7"/>
      <c r="AL1195" s="7"/>
      <c r="AM1195" s="7"/>
      <c r="AN1195" s="7"/>
      <c r="AO1195" s="7"/>
      <c r="AR1195" s="7"/>
      <c r="AS1195" s="7"/>
      <c r="AT1195" s="7"/>
      <c r="AU1195" s="7"/>
      <c r="AW1195" s="7"/>
      <c r="CE1195" s="7"/>
      <c r="FZ1195" s="2"/>
    </row>
    <row r="1196" spans="1:182">
      <c r="A1196" s="7"/>
      <c r="D1196" s="7"/>
      <c r="E1196" s="7"/>
      <c r="F1196" s="7"/>
      <c r="G1196" s="7"/>
      <c r="H1196" s="7"/>
      <c r="I1196" s="7"/>
      <c r="J1196" s="7"/>
      <c r="K1196" s="7"/>
      <c r="L1196" s="7"/>
      <c r="M1196" s="7"/>
      <c r="N1196" s="7"/>
      <c r="O1196" s="7"/>
      <c r="P1196" s="7"/>
      <c r="Q1196" s="7"/>
      <c r="R1196" s="7"/>
      <c r="S1196" s="7"/>
      <c r="T1196" s="7"/>
      <c r="U1196" s="7"/>
      <c r="Y1196" s="7"/>
      <c r="Z1196" s="17"/>
      <c r="AC1196" s="7"/>
      <c r="AD1196" s="7"/>
      <c r="AE1196" s="7"/>
      <c r="AF1196" s="7"/>
      <c r="AG1196" s="7"/>
      <c r="AH1196" s="7"/>
      <c r="AJ1196" s="7"/>
      <c r="AK1196" s="7"/>
      <c r="AL1196" s="7"/>
      <c r="AM1196" s="7"/>
      <c r="AN1196" s="7"/>
      <c r="AO1196" s="7"/>
      <c r="AR1196" s="7"/>
      <c r="AS1196" s="7"/>
      <c r="AT1196" s="7"/>
      <c r="AU1196" s="7"/>
      <c r="AW1196" s="7"/>
      <c r="CE1196" s="7"/>
      <c r="FZ1196" s="2"/>
    </row>
    <row r="1197" spans="1:182">
      <c r="A1197" s="7"/>
      <c r="D1197" s="7"/>
      <c r="E1197" s="7"/>
      <c r="F1197" s="7"/>
      <c r="G1197" s="7"/>
      <c r="H1197" s="7"/>
      <c r="I1197" s="7"/>
      <c r="J1197" s="7"/>
      <c r="K1197" s="7"/>
      <c r="L1197" s="7"/>
      <c r="M1197" s="7"/>
      <c r="N1197" s="7"/>
      <c r="O1197" s="7"/>
      <c r="P1197" s="7"/>
      <c r="Q1197" s="7"/>
      <c r="R1197" s="7"/>
      <c r="S1197" s="7"/>
      <c r="T1197" s="7"/>
      <c r="U1197" s="7"/>
      <c r="Y1197" s="7"/>
      <c r="Z1197" s="17"/>
      <c r="AC1197" s="7"/>
      <c r="AD1197" s="7"/>
      <c r="AE1197" s="7"/>
      <c r="AF1197" s="7"/>
      <c r="AG1197" s="7"/>
      <c r="AH1197" s="7"/>
      <c r="AJ1197" s="7"/>
      <c r="AK1197" s="7"/>
      <c r="AL1197" s="7"/>
      <c r="AM1197" s="7"/>
      <c r="AN1197" s="7"/>
      <c r="AO1197" s="7"/>
      <c r="AR1197" s="7"/>
      <c r="AS1197" s="7"/>
      <c r="AT1197" s="7"/>
      <c r="AU1197" s="7"/>
      <c r="AW1197" s="7"/>
      <c r="CE1197" s="7"/>
      <c r="FZ1197" s="2"/>
    </row>
    <row r="1198" spans="1:182">
      <c r="A1198" s="7"/>
      <c r="D1198" s="7"/>
      <c r="E1198" s="7"/>
      <c r="F1198" s="7"/>
      <c r="G1198" s="7"/>
      <c r="H1198" s="7"/>
      <c r="I1198" s="7"/>
      <c r="J1198" s="7"/>
      <c r="K1198" s="7"/>
      <c r="L1198" s="7"/>
      <c r="M1198" s="7"/>
      <c r="N1198" s="7"/>
      <c r="O1198" s="7"/>
      <c r="P1198" s="7"/>
      <c r="Q1198" s="7"/>
      <c r="R1198" s="7"/>
      <c r="S1198" s="7"/>
      <c r="T1198" s="7"/>
      <c r="U1198" s="7"/>
      <c r="Y1198" s="7"/>
      <c r="Z1198" s="17"/>
      <c r="AC1198" s="7"/>
      <c r="AD1198" s="7"/>
      <c r="AE1198" s="7"/>
      <c r="AF1198" s="7"/>
      <c r="AG1198" s="7"/>
      <c r="AH1198" s="7"/>
      <c r="AJ1198" s="7"/>
      <c r="AK1198" s="7"/>
      <c r="AL1198" s="7"/>
      <c r="AM1198" s="7"/>
      <c r="AN1198" s="7"/>
      <c r="AO1198" s="7"/>
      <c r="AR1198" s="7"/>
      <c r="AS1198" s="7"/>
      <c r="AT1198" s="7"/>
      <c r="AU1198" s="7"/>
      <c r="AW1198" s="7"/>
      <c r="CE1198" s="7"/>
      <c r="FZ1198" s="2"/>
    </row>
    <row r="1199" spans="1:182">
      <c r="A1199" s="7"/>
      <c r="D1199" s="7"/>
      <c r="E1199" s="7"/>
      <c r="F1199" s="7"/>
      <c r="G1199" s="7"/>
      <c r="H1199" s="7"/>
      <c r="I1199" s="7"/>
      <c r="J1199" s="7"/>
      <c r="K1199" s="7"/>
      <c r="L1199" s="7"/>
      <c r="M1199" s="7"/>
      <c r="N1199" s="7"/>
      <c r="O1199" s="7"/>
      <c r="P1199" s="7"/>
      <c r="Q1199" s="7"/>
      <c r="R1199" s="7"/>
      <c r="S1199" s="7"/>
      <c r="T1199" s="7"/>
      <c r="U1199" s="7"/>
      <c r="Y1199" s="7"/>
      <c r="Z1199" s="17"/>
      <c r="AC1199" s="7"/>
      <c r="AD1199" s="7"/>
      <c r="AE1199" s="7"/>
      <c r="AF1199" s="7"/>
      <c r="AG1199" s="7"/>
      <c r="AH1199" s="7"/>
      <c r="AJ1199" s="7"/>
      <c r="AK1199" s="7"/>
      <c r="AL1199" s="7"/>
      <c r="AM1199" s="7"/>
      <c r="AN1199" s="7"/>
      <c r="AO1199" s="7"/>
      <c r="AR1199" s="7"/>
      <c r="AS1199" s="7"/>
      <c r="AT1199" s="7"/>
      <c r="AU1199" s="7"/>
      <c r="AW1199" s="7"/>
      <c r="CE1199" s="7"/>
      <c r="FZ1199" s="2"/>
    </row>
    <row r="1200" spans="1:182">
      <c r="A1200" s="7"/>
      <c r="D1200" s="7"/>
      <c r="E1200" s="7"/>
      <c r="F1200" s="7"/>
      <c r="G1200" s="7"/>
      <c r="H1200" s="7"/>
      <c r="I1200" s="7"/>
      <c r="J1200" s="7"/>
      <c r="K1200" s="7"/>
      <c r="L1200" s="7"/>
      <c r="M1200" s="7"/>
      <c r="N1200" s="7"/>
      <c r="O1200" s="7"/>
      <c r="P1200" s="7"/>
      <c r="Q1200" s="7"/>
      <c r="R1200" s="7"/>
      <c r="S1200" s="7"/>
      <c r="T1200" s="7"/>
      <c r="U1200" s="7"/>
      <c r="Y1200" s="7"/>
      <c r="Z1200" s="17"/>
      <c r="AC1200" s="7"/>
      <c r="AD1200" s="7"/>
      <c r="AE1200" s="7"/>
      <c r="AF1200" s="7"/>
      <c r="AG1200" s="7"/>
      <c r="AH1200" s="7"/>
      <c r="AJ1200" s="7"/>
      <c r="AK1200" s="7"/>
      <c r="AL1200" s="7"/>
      <c r="AM1200" s="7"/>
      <c r="AN1200" s="7"/>
      <c r="AO1200" s="7"/>
      <c r="AR1200" s="7"/>
      <c r="AS1200" s="7"/>
      <c r="AT1200" s="7"/>
      <c r="AU1200" s="7"/>
      <c r="AW1200" s="7"/>
      <c r="CE1200" s="7"/>
      <c r="FZ1200" s="2"/>
    </row>
    <row r="1201" spans="1:182">
      <c r="A1201" s="7"/>
      <c r="D1201" s="7"/>
      <c r="E1201" s="7"/>
      <c r="F1201" s="7"/>
      <c r="G1201" s="7"/>
      <c r="H1201" s="7"/>
      <c r="I1201" s="7"/>
      <c r="J1201" s="7"/>
      <c r="K1201" s="7"/>
      <c r="L1201" s="7"/>
      <c r="M1201" s="7"/>
      <c r="N1201" s="7"/>
      <c r="O1201" s="7"/>
      <c r="P1201" s="7"/>
      <c r="Q1201" s="7"/>
      <c r="R1201" s="7"/>
      <c r="S1201" s="7"/>
      <c r="T1201" s="7"/>
      <c r="U1201" s="7"/>
      <c r="Y1201" s="7"/>
      <c r="Z1201" s="17"/>
      <c r="AC1201" s="7"/>
      <c r="AD1201" s="7"/>
      <c r="AE1201" s="7"/>
      <c r="AF1201" s="7"/>
      <c r="AG1201" s="7"/>
      <c r="AH1201" s="7"/>
      <c r="AJ1201" s="7"/>
      <c r="AK1201" s="7"/>
      <c r="AL1201" s="7"/>
      <c r="AM1201" s="7"/>
      <c r="AN1201" s="7"/>
      <c r="AO1201" s="7"/>
      <c r="AR1201" s="7"/>
      <c r="AS1201" s="7"/>
      <c r="AT1201" s="7"/>
      <c r="AU1201" s="7"/>
      <c r="AW1201" s="7"/>
      <c r="CE1201" s="7"/>
      <c r="FZ1201" s="2"/>
    </row>
    <row r="1202" spans="1:182">
      <c r="A1202" s="7"/>
      <c r="D1202" s="7"/>
      <c r="E1202" s="7"/>
      <c r="F1202" s="7"/>
      <c r="G1202" s="7"/>
      <c r="H1202" s="7"/>
      <c r="I1202" s="7"/>
      <c r="J1202" s="7"/>
      <c r="K1202" s="7"/>
      <c r="L1202" s="7"/>
      <c r="M1202" s="7"/>
      <c r="N1202" s="7"/>
      <c r="O1202" s="7"/>
      <c r="P1202" s="7"/>
      <c r="Q1202" s="7"/>
      <c r="R1202" s="7"/>
      <c r="S1202" s="7"/>
      <c r="T1202" s="7"/>
      <c r="U1202" s="7"/>
      <c r="Y1202" s="7"/>
      <c r="Z1202" s="17"/>
      <c r="AC1202" s="7"/>
      <c r="AD1202" s="7"/>
      <c r="AE1202" s="7"/>
      <c r="AF1202" s="7"/>
      <c r="AG1202" s="7"/>
      <c r="AH1202" s="7"/>
      <c r="AJ1202" s="7"/>
      <c r="AK1202" s="7"/>
      <c r="AL1202" s="7"/>
      <c r="AM1202" s="7"/>
      <c r="AN1202" s="7"/>
      <c r="AO1202" s="7"/>
      <c r="AR1202" s="7"/>
      <c r="AS1202" s="7"/>
      <c r="AT1202" s="7"/>
      <c r="AU1202" s="7"/>
      <c r="AW1202" s="7"/>
      <c r="CE1202" s="7"/>
      <c r="FZ1202" s="2"/>
    </row>
    <row r="1203" spans="1:182">
      <c r="A1203" s="7"/>
      <c r="D1203" s="7"/>
      <c r="E1203" s="7"/>
      <c r="F1203" s="7"/>
      <c r="G1203" s="7"/>
      <c r="H1203" s="7"/>
      <c r="I1203" s="7"/>
      <c r="J1203" s="7"/>
      <c r="K1203" s="7"/>
      <c r="L1203" s="7"/>
      <c r="M1203" s="7"/>
      <c r="N1203" s="7"/>
      <c r="O1203" s="7"/>
      <c r="P1203" s="7"/>
      <c r="Q1203" s="7"/>
      <c r="R1203" s="7"/>
      <c r="S1203" s="7"/>
      <c r="T1203" s="7"/>
      <c r="U1203" s="7"/>
      <c r="Y1203" s="7"/>
      <c r="Z1203" s="17"/>
      <c r="AC1203" s="7"/>
      <c r="AD1203" s="7"/>
      <c r="AE1203" s="7"/>
      <c r="AF1203" s="7"/>
      <c r="AG1203" s="7"/>
      <c r="AH1203" s="7"/>
      <c r="AJ1203" s="7"/>
      <c r="AK1203" s="7"/>
      <c r="AL1203" s="7"/>
      <c r="AM1203" s="7"/>
      <c r="AN1203" s="7"/>
      <c r="AO1203" s="7"/>
      <c r="AR1203" s="7"/>
      <c r="AS1203" s="7"/>
      <c r="AT1203" s="7"/>
      <c r="AU1203" s="7"/>
      <c r="AW1203" s="7"/>
      <c r="CE1203" s="7"/>
      <c r="FZ1203" s="2"/>
    </row>
    <row r="1204" spans="1:182">
      <c r="A1204" s="7"/>
      <c r="D1204" s="7"/>
      <c r="E1204" s="7"/>
      <c r="F1204" s="7"/>
      <c r="G1204" s="7"/>
      <c r="H1204" s="7"/>
      <c r="I1204" s="7"/>
      <c r="J1204" s="7"/>
      <c r="K1204" s="7"/>
      <c r="L1204" s="7"/>
      <c r="M1204" s="7"/>
      <c r="N1204" s="7"/>
      <c r="O1204" s="7"/>
      <c r="P1204" s="7"/>
      <c r="Q1204" s="7"/>
      <c r="R1204" s="7"/>
      <c r="S1204" s="7"/>
      <c r="T1204" s="7"/>
      <c r="U1204" s="7"/>
      <c r="Y1204" s="7"/>
      <c r="Z1204" s="17"/>
      <c r="AC1204" s="7"/>
      <c r="AD1204" s="7"/>
      <c r="AE1204" s="7"/>
      <c r="AF1204" s="7"/>
      <c r="AG1204" s="7"/>
      <c r="AH1204" s="7"/>
      <c r="AJ1204" s="7"/>
      <c r="AK1204" s="7"/>
      <c r="AL1204" s="7"/>
      <c r="AM1204" s="7"/>
      <c r="AN1204" s="7"/>
      <c r="AO1204" s="7"/>
      <c r="AR1204" s="7"/>
      <c r="AS1204" s="7"/>
      <c r="AT1204" s="7"/>
      <c r="AU1204" s="7"/>
      <c r="AW1204" s="7"/>
      <c r="CE1204" s="7"/>
      <c r="FZ1204" s="2"/>
    </row>
    <row r="1205" spans="1:182">
      <c r="A1205" s="7"/>
      <c r="D1205" s="7"/>
      <c r="E1205" s="7"/>
      <c r="F1205" s="7"/>
      <c r="G1205" s="7"/>
      <c r="H1205" s="7"/>
      <c r="I1205" s="7"/>
      <c r="J1205" s="7"/>
      <c r="K1205" s="7"/>
      <c r="L1205" s="7"/>
      <c r="M1205" s="7"/>
      <c r="N1205" s="7"/>
      <c r="O1205" s="7"/>
      <c r="P1205" s="7"/>
      <c r="Q1205" s="7"/>
      <c r="R1205" s="7"/>
      <c r="S1205" s="7"/>
      <c r="T1205" s="7"/>
      <c r="U1205" s="7"/>
      <c r="Y1205" s="7"/>
      <c r="Z1205" s="17"/>
      <c r="AC1205" s="7"/>
      <c r="AD1205" s="7"/>
      <c r="AE1205" s="7"/>
      <c r="AF1205" s="7"/>
      <c r="AG1205" s="7"/>
      <c r="AH1205" s="7"/>
      <c r="AJ1205" s="7"/>
      <c r="AK1205" s="7"/>
      <c r="AL1205" s="7"/>
      <c r="AM1205" s="7"/>
      <c r="AN1205" s="7"/>
      <c r="AO1205" s="7"/>
      <c r="AR1205" s="7"/>
      <c r="AS1205" s="7"/>
      <c r="AT1205" s="7"/>
      <c r="AU1205" s="7"/>
      <c r="AW1205" s="7"/>
      <c r="CE1205" s="7"/>
      <c r="FZ1205" s="2"/>
    </row>
    <row r="1206" spans="1:182">
      <c r="A1206" s="7"/>
      <c r="D1206" s="7"/>
      <c r="E1206" s="7"/>
      <c r="F1206" s="7"/>
      <c r="G1206" s="7"/>
      <c r="H1206" s="7"/>
      <c r="I1206" s="7"/>
      <c r="J1206" s="7"/>
      <c r="K1206" s="7"/>
      <c r="L1206" s="7"/>
      <c r="M1206" s="7"/>
      <c r="N1206" s="7"/>
      <c r="O1206" s="7"/>
      <c r="P1206" s="7"/>
      <c r="Q1206" s="7"/>
      <c r="R1206" s="7"/>
      <c r="S1206" s="7"/>
      <c r="T1206" s="7"/>
      <c r="U1206" s="7"/>
      <c r="Y1206" s="7"/>
      <c r="Z1206" s="17"/>
      <c r="AC1206" s="7"/>
      <c r="AD1206" s="7"/>
      <c r="AE1206" s="7"/>
      <c r="AF1206" s="7"/>
      <c r="AG1206" s="7"/>
      <c r="AH1206" s="7"/>
      <c r="AJ1206" s="7"/>
      <c r="AK1206" s="7"/>
      <c r="AL1206" s="7"/>
      <c r="AM1206" s="7"/>
      <c r="AN1206" s="7"/>
      <c r="AO1206" s="7"/>
      <c r="AR1206" s="7"/>
      <c r="AS1206" s="7"/>
      <c r="AT1206" s="7"/>
      <c r="AU1206" s="7"/>
      <c r="AW1206" s="7"/>
      <c r="CE1206" s="7"/>
      <c r="FZ1206" s="2"/>
    </row>
    <row r="1207" spans="1:182">
      <c r="A1207" s="7"/>
      <c r="D1207" s="7"/>
      <c r="E1207" s="7"/>
      <c r="F1207" s="7"/>
      <c r="G1207" s="7"/>
      <c r="H1207" s="7"/>
      <c r="I1207" s="7"/>
      <c r="J1207" s="7"/>
      <c r="K1207" s="7"/>
      <c r="L1207" s="7"/>
      <c r="M1207" s="7"/>
      <c r="N1207" s="7"/>
      <c r="O1207" s="7"/>
      <c r="P1207" s="7"/>
      <c r="Q1207" s="7"/>
      <c r="R1207" s="7"/>
      <c r="S1207" s="7"/>
      <c r="T1207" s="7"/>
      <c r="U1207" s="7"/>
      <c r="Y1207" s="7"/>
      <c r="Z1207" s="17"/>
      <c r="AC1207" s="7"/>
      <c r="AD1207" s="7"/>
      <c r="AE1207" s="7"/>
      <c r="AF1207" s="7"/>
      <c r="AG1207" s="7"/>
      <c r="AH1207" s="7"/>
      <c r="AJ1207" s="7"/>
      <c r="AK1207" s="7"/>
      <c r="AL1207" s="7"/>
      <c r="AM1207" s="7"/>
      <c r="AN1207" s="7"/>
      <c r="AO1207" s="7"/>
      <c r="AR1207" s="7"/>
      <c r="AS1207" s="7"/>
      <c r="AT1207" s="7"/>
      <c r="AU1207" s="7"/>
      <c r="AW1207" s="7"/>
      <c r="CE1207" s="7"/>
      <c r="FZ1207" s="2"/>
    </row>
    <row r="1208" spans="1:182">
      <c r="A1208" s="7"/>
      <c r="D1208" s="7"/>
      <c r="E1208" s="7"/>
      <c r="F1208" s="7"/>
      <c r="G1208" s="7"/>
      <c r="H1208" s="7"/>
      <c r="I1208" s="7"/>
      <c r="J1208" s="7"/>
      <c r="K1208" s="7"/>
      <c r="L1208" s="7"/>
      <c r="M1208" s="7"/>
      <c r="N1208" s="7"/>
      <c r="O1208" s="7"/>
      <c r="P1208" s="7"/>
      <c r="Q1208" s="7"/>
      <c r="R1208" s="7"/>
      <c r="S1208" s="7"/>
      <c r="T1208" s="7"/>
      <c r="U1208" s="7"/>
      <c r="Y1208" s="7"/>
      <c r="Z1208" s="17"/>
      <c r="AC1208" s="7"/>
      <c r="AD1208" s="7"/>
      <c r="AE1208" s="7"/>
      <c r="AF1208" s="7"/>
      <c r="AG1208" s="7"/>
      <c r="AH1208" s="7"/>
      <c r="AJ1208" s="7"/>
      <c r="AK1208" s="7"/>
      <c r="AL1208" s="7"/>
      <c r="AM1208" s="7"/>
      <c r="AN1208" s="7"/>
      <c r="AO1208" s="7"/>
      <c r="AR1208" s="7"/>
      <c r="AS1208" s="7"/>
      <c r="AT1208" s="7"/>
      <c r="AU1208" s="7"/>
      <c r="AW1208" s="7"/>
      <c r="CE1208" s="7"/>
      <c r="FZ1208" s="2"/>
    </row>
    <row r="1209" spans="1:182">
      <c r="A1209" s="7"/>
      <c r="D1209" s="7"/>
      <c r="E1209" s="7"/>
      <c r="F1209" s="7"/>
      <c r="G1209" s="7"/>
      <c r="H1209" s="7"/>
      <c r="I1209" s="7"/>
      <c r="J1209" s="7"/>
      <c r="K1209" s="7"/>
      <c r="L1209" s="7"/>
      <c r="M1209" s="7"/>
      <c r="N1209" s="7"/>
      <c r="O1209" s="7"/>
      <c r="P1209" s="7"/>
      <c r="Q1209" s="7"/>
      <c r="R1209" s="7"/>
      <c r="S1209" s="7"/>
      <c r="T1209" s="7"/>
      <c r="U1209" s="7"/>
      <c r="Y1209" s="7"/>
      <c r="Z1209" s="17"/>
      <c r="AC1209" s="7"/>
      <c r="AD1209" s="7"/>
      <c r="AE1209" s="7"/>
      <c r="AF1209" s="7"/>
      <c r="AG1209" s="7"/>
      <c r="AH1209" s="7"/>
      <c r="AJ1209" s="7"/>
      <c r="AK1209" s="7"/>
      <c r="AL1209" s="7"/>
      <c r="AM1209" s="7"/>
      <c r="AN1209" s="7"/>
      <c r="AO1209" s="7"/>
      <c r="AR1209" s="7"/>
      <c r="AS1209" s="7"/>
      <c r="AT1209" s="7"/>
      <c r="AU1209" s="7"/>
      <c r="AW1209" s="7"/>
      <c r="CE1209" s="7"/>
      <c r="FZ1209" s="2"/>
    </row>
    <row r="1210" spans="1:182">
      <c r="A1210" s="7"/>
      <c r="D1210" s="7"/>
      <c r="E1210" s="7"/>
      <c r="F1210" s="7"/>
      <c r="G1210" s="7"/>
      <c r="H1210" s="7"/>
      <c r="I1210" s="7"/>
      <c r="J1210" s="7"/>
      <c r="K1210" s="7"/>
      <c r="L1210" s="7"/>
      <c r="M1210" s="7"/>
      <c r="N1210" s="7"/>
      <c r="O1210" s="7"/>
      <c r="P1210" s="7"/>
      <c r="Q1210" s="7"/>
      <c r="R1210" s="7"/>
      <c r="S1210" s="7"/>
      <c r="T1210" s="7"/>
      <c r="U1210" s="7"/>
      <c r="Y1210" s="7"/>
      <c r="Z1210" s="17"/>
      <c r="AC1210" s="7"/>
      <c r="AD1210" s="7"/>
      <c r="AE1210" s="7"/>
      <c r="AF1210" s="7"/>
      <c r="AG1210" s="7"/>
      <c r="AH1210" s="7"/>
      <c r="AJ1210" s="7"/>
      <c r="AK1210" s="7"/>
      <c r="AL1210" s="7"/>
      <c r="AM1210" s="7"/>
      <c r="AN1210" s="7"/>
      <c r="AO1210" s="7"/>
      <c r="AR1210" s="7"/>
      <c r="AS1210" s="7"/>
      <c r="AT1210" s="7"/>
      <c r="AU1210" s="7"/>
      <c r="AW1210" s="7"/>
      <c r="CE1210" s="7"/>
      <c r="FZ1210" s="2"/>
    </row>
    <row r="1211" spans="1:182">
      <c r="A1211" s="7"/>
      <c r="D1211" s="7"/>
      <c r="E1211" s="7"/>
      <c r="F1211" s="7"/>
      <c r="G1211" s="7"/>
      <c r="H1211" s="7"/>
      <c r="I1211" s="7"/>
      <c r="J1211" s="7"/>
      <c r="K1211" s="7"/>
      <c r="L1211" s="7"/>
      <c r="M1211" s="7"/>
      <c r="N1211" s="7"/>
      <c r="O1211" s="7"/>
      <c r="P1211" s="7"/>
      <c r="Q1211" s="7"/>
      <c r="R1211" s="7"/>
      <c r="S1211" s="7"/>
      <c r="T1211" s="7"/>
      <c r="U1211" s="7"/>
      <c r="Y1211" s="7"/>
      <c r="Z1211" s="17"/>
      <c r="AC1211" s="7"/>
      <c r="AD1211" s="7"/>
      <c r="AE1211" s="7"/>
      <c r="AF1211" s="7"/>
      <c r="AG1211" s="7"/>
      <c r="AH1211" s="7"/>
      <c r="AJ1211" s="7"/>
      <c r="AK1211" s="7"/>
      <c r="AL1211" s="7"/>
      <c r="AM1211" s="7"/>
      <c r="AN1211" s="7"/>
      <c r="AO1211" s="7"/>
      <c r="AR1211" s="7"/>
      <c r="AS1211" s="7"/>
      <c r="AT1211" s="7"/>
      <c r="AU1211" s="7"/>
      <c r="AW1211" s="7"/>
      <c r="CE1211" s="7"/>
      <c r="FZ1211" s="2"/>
    </row>
    <row r="1212" spans="1:182">
      <c r="A1212" s="7"/>
      <c r="D1212" s="7"/>
      <c r="E1212" s="7"/>
      <c r="F1212" s="7"/>
      <c r="G1212" s="7"/>
      <c r="H1212" s="7"/>
      <c r="I1212" s="7"/>
      <c r="J1212" s="7"/>
      <c r="K1212" s="7"/>
      <c r="L1212" s="7"/>
      <c r="M1212" s="7"/>
      <c r="N1212" s="7"/>
      <c r="O1212" s="7"/>
      <c r="P1212" s="7"/>
      <c r="Q1212" s="7"/>
      <c r="R1212" s="7"/>
      <c r="S1212" s="7"/>
      <c r="T1212" s="7"/>
      <c r="U1212" s="7"/>
      <c r="Y1212" s="7"/>
      <c r="Z1212" s="17"/>
      <c r="AC1212" s="7"/>
      <c r="AD1212" s="7"/>
      <c r="AE1212" s="7"/>
      <c r="AF1212" s="7"/>
      <c r="AG1212" s="7"/>
      <c r="AH1212" s="7"/>
      <c r="AJ1212" s="7"/>
      <c r="AK1212" s="7"/>
      <c r="AL1212" s="7"/>
      <c r="AM1212" s="7"/>
      <c r="AN1212" s="7"/>
      <c r="AO1212" s="7"/>
      <c r="AR1212" s="7"/>
      <c r="AS1212" s="7"/>
      <c r="AT1212" s="7"/>
      <c r="AU1212" s="7"/>
      <c r="AW1212" s="7"/>
      <c r="CE1212" s="7"/>
      <c r="FZ1212" s="2"/>
    </row>
    <row r="1213" spans="1:182">
      <c r="A1213" s="7"/>
      <c r="D1213" s="7"/>
      <c r="E1213" s="7"/>
      <c r="F1213" s="7"/>
      <c r="G1213" s="7"/>
      <c r="H1213" s="7"/>
      <c r="I1213" s="7"/>
      <c r="J1213" s="7"/>
      <c r="K1213" s="7"/>
      <c r="L1213" s="7"/>
      <c r="M1213" s="7"/>
      <c r="N1213" s="7"/>
      <c r="O1213" s="7"/>
      <c r="P1213" s="7"/>
      <c r="Q1213" s="7"/>
      <c r="R1213" s="7"/>
      <c r="S1213" s="7"/>
      <c r="T1213" s="7"/>
      <c r="U1213" s="7"/>
      <c r="Y1213" s="7"/>
      <c r="Z1213" s="17"/>
      <c r="AC1213" s="7"/>
      <c r="AD1213" s="7"/>
      <c r="AE1213" s="7"/>
      <c r="AF1213" s="7"/>
      <c r="AG1213" s="7"/>
      <c r="AH1213" s="7"/>
      <c r="AJ1213" s="7"/>
      <c r="AK1213" s="7"/>
      <c r="AL1213" s="7"/>
      <c r="AM1213" s="7"/>
      <c r="AN1213" s="7"/>
      <c r="AO1213" s="7"/>
      <c r="AR1213" s="7"/>
      <c r="AS1213" s="7"/>
      <c r="AT1213" s="7"/>
      <c r="AU1213" s="7"/>
      <c r="AW1213" s="7"/>
      <c r="CE1213" s="7"/>
      <c r="FZ1213" s="2"/>
    </row>
    <row r="1214" spans="1:182">
      <c r="A1214" s="7"/>
      <c r="D1214" s="7"/>
      <c r="E1214" s="7"/>
      <c r="F1214" s="7"/>
      <c r="G1214" s="7"/>
      <c r="H1214" s="7"/>
      <c r="I1214" s="7"/>
      <c r="J1214" s="7"/>
      <c r="K1214" s="7"/>
      <c r="L1214" s="7"/>
      <c r="M1214" s="7"/>
      <c r="N1214" s="7"/>
      <c r="O1214" s="7"/>
      <c r="P1214" s="7"/>
      <c r="Q1214" s="7"/>
      <c r="R1214" s="7"/>
      <c r="S1214" s="7"/>
      <c r="T1214" s="7"/>
      <c r="U1214" s="7"/>
      <c r="Y1214" s="7"/>
      <c r="Z1214" s="17"/>
      <c r="AC1214" s="7"/>
      <c r="AD1214" s="7"/>
      <c r="AE1214" s="7"/>
      <c r="AF1214" s="7"/>
      <c r="AG1214" s="7"/>
      <c r="AH1214" s="7"/>
      <c r="AJ1214" s="7"/>
      <c r="AK1214" s="7"/>
      <c r="AL1214" s="7"/>
      <c r="AM1214" s="7"/>
      <c r="AN1214" s="7"/>
      <c r="AO1214" s="7"/>
      <c r="AR1214" s="7"/>
      <c r="AS1214" s="7"/>
      <c r="AT1214" s="7"/>
      <c r="AU1214" s="7"/>
      <c r="AW1214" s="7"/>
      <c r="CE1214" s="7"/>
      <c r="FZ1214" s="2"/>
    </row>
    <row r="1215" spans="1:182">
      <c r="A1215" s="7"/>
      <c r="D1215" s="7"/>
      <c r="E1215" s="7"/>
      <c r="F1215" s="7"/>
      <c r="G1215" s="7"/>
      <c r="H1215" s="7"/>
      <c r="I1215" s="7"/>
      <c r="J1215" s="7"/>
      <c r="K1215" s="7"/>
      <c r="L1215" s="7"/>
      <c r="M1215" s="7"/>
      <c r="N1215" s="7"/>
      <c r="O1215" s="7"/>
      <c r="P1215" s="7"/>
      <c r="Q1215" s="7"/>
      <c r="R1215" s="7"/>
      <c r="S1215" s="7"/>
      <c r="T1215" s="7"/>
      <c r="U1215" s="7"/>
      <c r="Y1215" s="7"/>
      <c r="Z1215" s="17"/>
      <c r="AC1215" s="7"/>
      <c r="AD1215" s="7"/>
      <c r="AE1215" s="7"/>
      <c r="AF1215" s="7"/>
      <c r="AG1215" s="7"/>
      <c r="AH1215" s="7"/>
      <c r="AJ1215" s="7"/>
      <c r="AK1215" s="7"/>
      <c r="AL1215" s="7"/>
      <c r="AM1215" s="7"/>
      <c r="AN1215" s="7"/>
      <c r="AO1215" s="7"/>
      <c r="AR1215" s="7"/>
      <c r="AS1215" s="7"/>
      <c r="AT1215" s="7"/>
      <c r="AU1215" s="7"/>
      <c r="AW1215" s="7"/>
      <c r="CE1215" s="7"/>
      <c r="FZ1215" s="2"/>
    </row>
    <row r="1216" spans="1:182">
      <c r="A1216" s="7"/>
      <c r="D1216" s="7"/>
      <c r="E1216" s="7"/>
      <c r="F1216" s="7"/>
      <c r="G1216" s="7"/>
      <c r="H1216" s="7"/>
      <c r="I1216" s="7"/>
      <c r="J1216" s="7"/>
      <c r="K1216" s="7"/>
      <c r="L1216" s="7"/>
      <c r="M1216" s="7"/>
      <c r="N1216" s="7"/>
      <c r="O1216" s="7"/>
      <c r="P1216" s="7"/>
      <c r="Q1216" s="7"/>
      <c r="R1216" s="7"/>
      <c r="S1216" s="7"/>
      <c r="T1216" s="7"/>
      <c r="U1216" s="7"/>
      <c r="Y1216" s="7"/>
      <c r="Z1216" s="17"/>
      <c r="AC1216" s="7"/>
      <c r="AD1216" s="7"/>
      <c r="AE1216" s="7"/>
      <c r="AF1216" s="7"/>
      <c r="AG1216" s="7"/>
      <c r="AH1216" s="7"/>
      <c r="AJ1216" s="7"/>
      <c r="AK1216" s="7"/>
      <c r="AL1216" s="7"/>
      <c r="AM1216" s="7"/>
      <c r="AN1216" s="7"/>
      <c r="AO1216" s="7"/>
      <c r="AR1216" s="7"/>
      <c r="AS1216" s="7"/>
      <c r="AT1216" s="7"/>
      <c r="AU1216" s="7"/>
      <c r="AW1216" s="7"/>
      <c r="CE1216" s="7"/>
      <c r="FZ1216" s="2"/>
    </row>
    <row r="1217" spans="1:182">
      <c r="A1217" s="7"/>
      <c r="D1217" s="7"/>
      <c r="E1217" s="7"/>
      <c r="F1217" s="7"/>
      <c r="G1217" s="7"/>
      <c r="H1217" s="7"/>
      <c r="I1217" s="7"/>
      <c r="J1217" s="7"/>
      <c r="K1217" s="7"/>
      <c r="L1217" s="7"/>
      <c r="M1217" s="7"/>
      <c r="N1217" s="7"/>
      <c r="O1217" s="7"/>
      <c r="P1217" s="7"/>
      <c r="Q1217" s="7"/>
      <c r="R1217" s="7"/>
      <c r="S1217" s="7"/>
      <c r="T1217" s="7"/>
      <c r="U1217" s="7"/>
      <c r="Y1217" s="7"/>
      <c r="Z1217" s="17"/>
      <c r="AC1217" s="7"/>
      <c r="AD1217" s="7"/>
      <c r="AE1217" s="7"/>
      <c r="AF1217" s="7"/>
      <c r="AG1217" s="7"/>
      <c r="AH1217" s="7"/>
      <c r="AJ1217" s="7"/>
      <c r="AK1217" s="7"/>
      <c r="AL1217" s="7"/>
      <c r="AM1217" s="7"/>
      <c r="AN1217" s="7"/>
      <c r="AO1217" s="7"/>
      <c r="AR1217" s="7"/>
      <c r="AS1217" s="7"/>
      <c r="AT1217" s="7"/>
      <c r="AU1217" s="7"/>
      <c r="AW1217" s="7"/>
      <c r="CE1217" s="7"/>
      <c r="FZ1217" s="2"/>
    </row>
    <row r="1218" spans="1:182">
      <c r="A1218" s="7"/>
      <c r="D1218" s="7"/>
      <c r="E1218" s="7"/>
      <c r="F1218" s="7"/>
      <c r="G1218" s="7"/>
      <c r="H1218" s="7"/>
      <c r="I1218" s="7"/>
      <c r="J1218" s="7"/>
      <c r="K1218" s="7"/>
      <c r="L1218" s="7"/>
      <c r="M1218" s="7"/>
      <c r="N1218" s="7"/>
      <c r="O1218" s="7"/>
      <c r="P1218" s="7"/>
      <c r="Q1218" s="7"/>
      <c r="R1218" s="7"/>
      <c r="S1218" s="7"/>
      <c r="T1218" s="7"/>
      <c r="U1218" s="7"/>
      <c r="Y1218" s="7"/>
      <c r="Z1218" s="17"/>
      <c r="AC1218" s="7"/>
      <c r="AD1218" s="7"/>
      <c r="AE1218" s="7"/>
      <c r="AF1218" s="7"/>
      <c r="AG1218" s="7"/>
      <c r="AH1218" s="7"/>
      <c r="AJ1218" s="7"/>
      <c r="AK1218" s="7"/>
      <c r="AL1218" s="7"/>
      <c r="AM1218" s="7"/>
      <c r="AN1218" s="7"/>
      <c r="AO1218" s="7"/>
      <c r="AR1218" s="7"/>
      <c r="AS1218" s="7"/>
      <c r="AT1218" s="7"/>
      <c r="AU1218" s="7"/>
      <c r="AW1218" s="7"/>
      <c r="CE1218" s="7"/>
      <c r="FZ1218" s="2"/>
    </row>
    <row r="1219" spans="1:182">
      <c r="A1219" s="7"/>
      <c r="D1219" s="7"/>
      <c r="E1219" s="7"/>
      <c r="F1219" s="7"/>
      <c r="G1219" s="7"/>
      <c r="H1219" s="7"/>
      <c r="I1219" s="7"/>
      <c r="J1219" s="7"/>
      <c r="K1219" s="7"/>
      <c r="L1219" s="7"/>
      <c r="M1219" s="7"/>
      <c r="N1219" s="7"/>
      <c r="O1219" s="7"/>
      <c r="P1219" s="7"/>
      <c r="Q1219" s="7"/>
      <c r="R1219" s="7"/>
      <c r="S1219" s="7"/>
      <c r="T1219" s="7"/>
      <c r="U1219" s="7"/>
      <c r="Y1219" s="7"/>
      <c r="Z1219" s="17"/>
      <c r="AC1219" s="7"/>
      <c r="AD1219" s="7"/>
      <c r="AE1219" s="7"/>
      <c r="AF1219" s="7"/>
      <c r="AG1219" s="7"/>
      <c r="AH1219" s="7"/>
      <c r="AJ1219" s="7"/>
      <c r="AK1219" s="7"/>
      <c r="AL1219" s="7"/>
      <c r="AM1219" s="7"/>
      <c r="AN1219" s="7"/>
      <c r="AO1219" s="7"/>
      <c r="AR1219" s="7"/>
      <c r="AS1219" s="7"/>
      <c r="AT1219" s="7"/>
      <c r="AU1219" s="7"/>
      <c r="AW1219" s="7"/>
      <c r="CE1219" s="7"/>
      <c r="FZ1219" s="2"/>
    </row>
    <row r="1220" spans="1:182">
      <c r="A1220" s="7"/>
      <c r="D1220" s="7"/>
      <c r="E1220" s="7"/>
      <c r="F1220" s="7"/>
      <c r="G1220" s="7"/>
      <c r="H1220" s="7"/>
      <c r="I1220" s="7"/>
      <c r="J1220" s="7"/>
      <c r="K1220" s="7"/>
      <c r="L1220" s="7"/>
      <c r="M1220" s="7"/>
      <c r="N1220" s="7"/>
      <c r="O1220" s="7"/>
      <c r="P1220" s="7"/>
      <c r="Q1220" s="7"/>
      <c r="R1220" s="7"/>
      <c r="S1220" s="7"/>
      <c r="T1220" s="7"/>
      <c r="U1220" s="7"/>
      <c r="Y1220" s="7"/>
      <c r="Z1220" s="17"/>
      <c r="AC1220" s="7"/>
      <c r="AD1220" s="7"/>
      <c r="AE1220" s="7"/>
      <c r="AF1220" s="7"/>
      <c r="AG1220" s="7"/>
      <c r="AH1220" s="7"/>
      <c r="AJ1220" s="7"/>
      <c r="AK1220" s="7"/>
      <c r="AL1220" s="7"/>
      <c r="AM1220" s="7"/>
      <c r="AN1220" s="7"/>
      <c r="AO1220" s="7"/>
      <c r="AR1220" s="7"/>
      <c r="AS1220" s="7"/>
      <c r="AT1220" s="7"/>
      <c r="AU1220" s="7"/>
      <c r="AW1220" s="7"/>
      <c r="CE1220" s="7"/>
      <c r="FZ1220" s="2"/>
    </row>
    <row r="1221" spans="1:182">
      <c r="A1221" s="7"/>
      <c r="D1221" s="7"/>
      <c r="E1221" s="7"/>
      <c r="F1221" s="7"/>
      <c r="G1221" s="7"/>
      <c r="H1221" s="7"/>
      <c r="I1221" s="7"/>
      <c r="J1221" s="7"/>
      <c r="K1221" s="7"/>
      <c r="L1221" s="7"/>
      <c r="M1221" s="7"/>
      <c r="N1221" s="7"/>
      <c r="O1221" s="7"/>
      <c r="P1221" s="7"/>
      <c r="Q1221" s="7"/>
      <c r="R1221" s="7"/>
      <c r="S1221" s="7"/>
      <c r="T1221" s="7"/>
      <c r="U1221" s="7"/>
      <c r="Y1221" s="7"/>
      <c r="Z1221" s="17"/>
      <c r="AC1221" s="7"/>
      <c r="AD1221" s="7"/>
      <c r="AE1221" s="7"/>
      <c r="AF1221" s="7"/>
      <c r="AG1221" s="7"/>
      <c r="AH1221" s="7"/>
      <c r="AJ1221" s="7"/>
      <c r="AK1221" s="7"/>
      <c r="AL1221" s="7"/>
      <c r="AM1221" s="7"/>
      <c r="AN1221" s="7"/>
      <c r="AO1221" s="7"/>
      <c r="AR1221" s="7"/>
      <c r="AS1221" s="7"/>
      <c r="AT1221" s="7"/>
      <c r="AU1221" s="7"/>
      <c r="AW1221" s="7"/>
      <c r="CE1221" s="7"/>
      <c r="FZ1221" s="2"/>
    </row>
    <row r="1222" spans="1:182">
      <c r="A1222" s="7"/>
      <c r="D1222" s="7"/>
      <c r="E1222" s="7"/>
      <c r="F1222" s="7"/>
      <c r="G1222" s="7"/>
      <c r="H1222" s="7"/>
      <c r="I1222" s="7"/>
      <c r="J1222" s="7"/>
      <c r="K1222" s="7"/>
      <c r="L1222" s="7"/>
      <c r="M1222" s="7"/>
      <c r="N1222" s="7"/>
      <c r="O1222" s="7"/>
      <c r="P1222" s="7"/>
      <c r="Q1222" s="7"/>
      <c r="R1222" s="7"/>
      <c r="S1222" s="7"/>
      <c r="T1222" s="7"/>
      <c r="U1222" s="7"/>
      <c r="Y1222" s="7"/>
      <c r="Z1222" s="17"/>
      <c r="AC1222" s="7"/>
      <c r="AD1222" s="7"/>
      <c r="AE1222" s="7"/>
      <c r="AF1222" s="7"/>
      <c r="AG1222" s="7"/>
      <c r="AH1222" s="7"/>
      <c r="AJ1222" s="7"/>
      <c r="AK1222" s="7"/>
      <c r="AL1222" s="7"/>
      <c r="AM1222" s="7"/>
      <c r="AN1222" s="7"/>
      <c r="AO1222" s="7"/>
      <c r="AR1222" s="7"/>
      <c r="AS1222" s="7"/>
      <c r="AT1222" s="7"/>
      <c r="AU1222" s="7"/>
      <c r="AW1222" s="7"/>
      <c r="CE1222" s="7"/>
      <c r="FZ1222" s="2"/>
    </row>
    <row r="1223" spans="1:182">
      <c r="A1223" s="7"/>
      <c r="D1223" s="7"/>
      <c r="E1223" s="7"/>
      <c r="F1223" s="7"/>
      <c r="G1223" s="7"/>
      <c r="H1223" s="7"/>
      <c r="I1223" s="7"/>
      <c r="J1223" s="7"/>
      <c r="K1223" s="7"/>
      <c r="L1223" s="7"/>
      <c r="M1223" s="7"/>
      <c r="N1223" s="7"/>
      <c r="O1223" s="7"/>
      <c r="P1223" s="7"/>
      <c r="Q1223" s="7"/>
      <c r="R1223" s="7"/>
      <c r="S1223" s="7"/>
      <c r="T1223" s="7"/>
      <c r="U1223" s="7"/>
      <c r="Y1223" s="7"/>
      <c r="Z1223" s="17"/>
      <c r="AC1223" s="7"/>
      <c r="AD1223" s="7"/>
      <c r="AE1223" s="7"/>
      <c r="AF1223" s="7"/>
      <c r="AG1223" s="7"/>
      <c r="AH1223" s="7"/>
      <c r="AJ1223" s="7"/>
      <c r="AK1223" s="7"/>
      <c r="AL1223" s="7"/>
      <c r="AM1223" s="7"/>
      <c r="AN1223" s="7"/>
      <c r="AO1223" s="7"/>
      <c r="AR1223" s="7"/>
      <c r="AS1223" s="7"/>
      <c r="AT1223" s="7"/>
      <c r="AU1223" s="7"/>
      <c r="AW1223" s="7"/>
      <c r="CE1223" s="7"/>
      <c r="FZ1223" s="2"/>
    </row>
    <row r="1224" spans="1:182">
      <c r="A1224" s="7"/>
      <c r="D1224" s="7"/>
      <c r="E1224" s="7"/>
      <c r="F1224" s="7"/>
      <c r="G1224" s="7"/>
      <c r="H1224" s="7"/>
      <c r="I1224" s="7"/>
      <c r="J1224" s="7"/>
      <c r="K1224" s="7"/>
      <c r="L1224" s="7"/>
      <c r="M1224" s="7"/>
      <c r="N1224" s="7"/>
      <c r="O1224" s="7"/>
      <c r="P1224" s="7"/>
      <c r="Q1224" s="7"/>
      <c r="R1224" s="7"/>
      <c r="S1224" s="7"/>
      <c r="T1224" s="7"/>
      <c r="U1224" s="7"/>
      <c r="Y1224" s="7"/>
      <c r="Z1224" s="17"/>
      <c r="AC1224" s="7"/>
      <c r="AD1224" s="7"/>
      <c r="AE1224" s="7"/>
      <c r="AF1224" s="7"/>
      <c r="AG1224" s="7"/>
      <c r="AH1224" s="7"/>
      <c r="AJ1224" s="7"/>
      <c r="AK1224" s="7"/>
      <c r="AL1224" s="7"/>
      <c r="AM1224" s="7"/>
      <c r="AN1224" s="7"/>
      <c r="AO1224" s="7"/>
      <c r="AR1224" s="7"/>
      <c r="AS1224" s="7"/>
      <c r="AT1224" s="7"/>
      <c r="AU1224" s="7"/>
      <c r="AW1224" s="7"/>
      <c r="CE1224" s="7"/>
      <c r="FZ1224" s="2"/>
    </row>
    <row r="1225" spans="1:182">
      <c r="A1225" s="7"/>
      <c r="D1225" s="7"/>
      <c r="E1225" s="7"/>
      <c r="F1225" s="7"/>
      <c r="G1225" s="7"/>
      <c r="H1225" s="7"/>
      <c r="I1225" s="7"/>
      <c r="J1225" s="7"/>
      <c r="K1225" s="7"/>
      <c r="L1225" s="7"/>
      <c r="M1225" s="7"/>
      <c r="N1225" s="7"/>
      <c r="O1225" s="7"/>
      <c r="P1225" s="7"/>
      <c r="Q1225" s="7"/>
      <c r="R1225" s="7"/>
      <c r="S1225" s="7"/>
      <c r="T1225" s="7"/>
      <c r="U1225" s="7"/>
      <c r="Y1225" s="7"/>
      <c r="Z1225" s="17"/>
      <c r="AC1225" s="7"/>
      <c r="AD1225" s="7"/>
      <c r="AE1225" s="7"/>
      <c r="AF1225" s="7"/>
      <c r="AG1225" s="7"/>
      <c r="AH1225" s="7"/>
      <c r="AJ1225" s="7"/>
      <c r="AK1225" s="7"/>
      <c r="AL1225" s="7"/>
      <c r="AM1225" s="7"/>
      <c r="AN1225" s="7"/>
      <c r="AO1225" s="7"/>
      <c r="AR1225" s="7"/>
      <c r="AS1225" s="7"/>
      <c r="AT1225" s="7"/>
      <c r="AU1225" s="7"/>
      <c r="AW1225" s="7"/>
      <c r="CE1225" s="7"/>
      <c r="FZ1225" s="2"/>
    </row>
    <row r="1226" spans="1:182">
      <c r="A1226" s="7"/>
      <c r="D1226" s="7"/>
      <c r="E1226" s="7"/>
      <c r="F1226" s="7"/>
      <c r="G1226" s="7"/>
      <c r="H1226" s="7"/>
      <c r="I1226" s="7"/>
      <c r="J1226" s="7"/>
      <c r="K1226" s="7"/>
      <c r="L1226" s="7"/>
      <c r="M1226" s="7"/>
      <c r="N1226" s="7"/>
      <c r="O1226" s="7"/>
      <c r="P1226" s="7"/>
      <c r="Q1226" s="7"/>
      <c r="R1226" s="7"/>
      <c r="S1226" s="7"/>
      <c r="T1226" s="7"/>
      <c r="U1226" s="7"/>
      <c r="Y1226" s="7"/>
      <c r="Z1226" s="17"/>
      <c r="AC1226" s="7"/>
      <c r="AD1226" s="7"/>
      <c r="AE1226" s="7"/>
      <c r="AF1226" s="7"/>
      <c r="AG1226" s="7"/>
      <c r="AH1226" s="7"/>
      <c r="AJ1226" s="7"/>
      <c r="AK1226" s="7"/>
      <c r="AL1226" s="7"/>
      <c r="AM1226" s="7"/>
      <c r="AN1226" s="7"/>
      <c r="AO1226" s="7"/>
      <c r="AR1226" s="7"/>
      <c r="AS1226" s="7"/>
      <c r="AT1226" s="7"/>
      <c r="AU1226" s="7"/>
      <c r="AW1226" s="7"/>
      <c r="CE1226" s="7"/>
      <c r="FZ1226" s="2"/>
    </row>
    <row r="1227" spans="1:182">
      <c r="A1227" s="7"/>
      <c r="D1227" s="7"/>
      <c r="E1227" s="7"/>
      <c r="F1227" s="7"/>
      <c r="G1227" s="7"/>
      <c r="H1227" s="7"/>
      <c r="I1227" s="7"/>
      <c r="J1227" s="7"/>
      <c r="K1227" s="7"/>
      <c r="L1227" s="7"/>
      <c r="M1227" s="7"/>
      <c r="N1227" s="7"/>
      <c r="O1227" s="7"/>
      <c r="P1227" s="7"/>
      <c r="Q1227" s="7"/>
      <c r="R1227" s="7"/>
      <c r="S1227" s="7"/>
      <c r="T1227" s="7"/>
      <c r="U1227" s="7"/>
      <c r="Y1227" s="7"/>
      <c r="Z1227" s="17"/>
      <c r="AC1227" s="7"/>
      <c r="AD1227" s="7"/>
      <c r="AE1227" s="7"/>
      <c r="AF1227" s="7"/>
      <c r="AG1227" s="7"/>
      <c r="AH1227" s="7"/>
      <c r="AJ1227" s="7"/>
      <c r="AK1227" s="7"/>
      <c r="AL1227" s="7"/>
      <c r="AM1227" s="7"/>
      <c r="AN1227" s="7"/>
      <c r="AO1227" s="7"/>
      <c r="AR1227" s="7"/>
      <c r="AS1227" s="7"/>
      <c r="AT1227" s="7"/>
      <c r="AU1227" s="7"/>
      <c r="AW1227" s="7"/>
      <c r="CE1227" s="7"/>
      <c r="FZ1227" s="2"/>
    </row>
    <row r="1228" spans="1:182">
      <c r="A1228" s="7"/>
      <c r="D1228" s="7"/>
      <c r="E1228" s="7"/>
      <c r="F1228" s="7"/>
      <c r="G1228" s="7"/>
      <c r="H1228" s="7"/>
      <c r="I1228" s="7"/>
      <c r="J1228" s="7"/>
      <c r="K1228" s="7"/>
      <c r="L1228" s="7"/>
      <c r="M1228" s="7"/>
      <c r="N1228" s="7"/>
      <c r="O1228" s="7"/>
      <c r="P1228" s="7"/>
      <c r="Q1228" s="7"/>
      <c r="R1228" s="7"/>
      <c r="S1228" s="7"/>
      <c r="T1228" s="7"/>
      <c r="U1228" s="7"/>
      <c r="Y1228" s="7"/>
      <c r="Z1228" s="17"/>
      <c r="AC1228" s="7"/>
      <c r="AD1228" s="7"/>
      <c r="AE1228" s="7"/>
      <c r="AF1228" s="7"/>
      <c r="AG1228" s="7"/>
      <c r="AH1228" s="7"/>
      <c r="AJ1228" s="7"/>
      <c r="AK1228" s="7"/>
      <c r="AL1228" s="7"/>
      <c r="AM1228" s="7"/>
      <c r="AN1228" s="7"/>
      <c r="AO1228" s="7"/>
      <c r="AR1228" s="7"/>
      <c r="AS1228" s="7"/>
      <c r="AT1228" s="7"/>
      <c r="AU1228" s="7"/>
      <c r="AW1228" s="7"/>
      <c r="CE1228" s="7"/>
      <c r="FZ1228" s="2"/>
    </row>
    <row r="1229" spans="1:182">
      <c r="A1229" s="7"/>
      <c r="D1229" s="7"/>
      <c r="E1229" s="7"/>
      <c r="F1229" s="7"/>
      <c r="G1229" s="7"/>
      <c r="H1229" s="7"/>
      <c r="I1229" s="7"/>
      <c r="J1229" s="7"/>
      <c r="K1229" s="7"/>
      <c r="L1229" s="7"/>
      <c r="M1229" s="7"/>
      <c r="N1229" s="7"/>
      <c r="O1229" s="7"/>
      <c r="P1229" s="7"/>
      <c r="Q1229" s="7"/>
      <c r="R1229" s="7"/>
      <c r="S1229" s="7"/>
      <c r="T1229" s="7"/>
      <c r="U1229" s="7"/>
      <c r="Y1229" s="7"/>
      <c r="Z1229" s="17"/>
      <c r="AC1229" s="7"/>
      <c r="AD1229" s="7"/>
      <c r="AE1229" s="7"/>
      <c r="AF1229" s="7"/>
      <c r="AG1229" s="7"/>
      <c r="AH1229" s="7"/>
      <c r="AJ1229" s="7"/>
      <c r="AK1229" s="7"/>
      <c r="AL1229" s="7"/>
      <c r="AM1229" s="7"/>
      <c r="AN1229" s="7"/>
      <c r="AO1229" s="7"/>
      <c r="AR1229" s="7"/>
      <c r="AS1229" s="7"/>
      <c r="AT1229" s="7"/>
      <c r="AU1229" s="7"/>
      <c r="AW1229" s="7"/>
      <c r="CE1229" s="7"/>
      <c r="FZ1229" s="2"/>
    </row>
    <row r="1230" spans="1:182">
      <c r="A1230" s="7"/>
      <c r="D1230" s="7"/>
      <c r="E1230" s="7"/>
      <c r="F1230" s="7"/>
      <c r="G1230" s="7"/>
      <c r="H1230" s="7"/>
      <c r="I1230" s="7"/>
      <c r="J1230" s="7"/>
      <c r="K1230" s="7"/>
      <c r="L1230" s="7"/>
      <c r="M1230" s="7"/>
      <c r="N1230" s="7"/>
      <c r="O1230" s="7"/>
      <c r="P1230" s="7"/>
      <c r="Q1230" s="7"/>
      <c r="R1230" s="7"/>
      <c r="S1230" s="7"/>
      <c r="T1230" s="7"/>
      <c r="U1230" s="7"/>
      <c r="Y1230" s="7"/>
      <c r="Z1230" s="17"/>
      <c r="AC1230" s="7"/>
      <c r="AD1230" s="7"/>
      <c r="AE1230" s="7"/>
      <c r="AF1230" s="7"/>
      <c r="AG1230" s="7"/>
      <c r="AH1230" s="7"/>
      <c r="AJ1230" s="7"/>
      <c r="AK1230" s="7"/>
      <c r="AL1230" s="7"/>
      <c r="AM1230" s="7"/>
      <c r="AN1230" s="7"/>
      <c r="AO1230" s="7"/>
      <c r="AR1230" s="7"/>
      <c r="AS1230" s="7"/>
      <c r="AT1230" s="7"/>
      <c r="AU1230" s="7"/>
      <c r="AW1230" s="7"/>
      <c r="CE1230" s="7"/>
      <c r="FZ1230" s="2"/>
    </row>
    <row r="1231" spans="1:182">
      <c r="A1231" s="7"/>
      <c r="D1231" s="7"/>
      <c r="E1231" s="7"/>
      <c r="F1231" s="7"/>
      <c r="G1231" s="7"/>
      <c r="H1231" s="7"/>
      <c r="I1231" s="7"/>
      <c r="J1231" s="7"/>
      <c r="K1231" s="7"/>
      <c r="L1231" s="7"/>
      <c r="M1231" s="7"/>
      <c r="N1231" s="7"/>
      <c r="O1231" s="7"/>
      <c r="P1231" s="7"/>
      <c r="Q1231" s="7"/>
      <c r="R1231" s="7"/>
      <c r="S1231" s="7"/>
      <c r="T1231" s="7"/>
      <c r="U1231" s="7"/>
      <c r="Y1231" s="7"/>
      <c r="Z1231" s="17"/>
      <c r="AC1231" s="7"/>
      <c r="AD1231" s="7"/>
      <c r="AE1231" s="7"/>
      <c r="AF1231" s="7"/>
      <c r="AG1231" s="7"/>
      <c r="AH1231" s="7"/>
      <c r="AJ1231" s="7"/>
      <c r="AK1231" s="7"/>
      <c r="AL1231" s="7"/>
      <c r="AM1231" s="7"/>
      <c r="AN1231" s="7"/>
      <c r="AO1231" s="7"/>
      <c r="AR1231" s="7"/>
      <c r="AS1231" s="7"/>
      <c r="AT1231" s="7"/>
      <c r="AU1231" s="7"/>
      <c r="AW1231" s="7"/>
      <c r="CE1231" s="7"/>
      <c r="FZ1231" s="2"/>
    </row>
    <row r="1232" spans="1:182">
      <c r="A1232" s="7"/>
      <c r="D1232" s="7"/>
      <c r="E1232" s="7"/>
      <c r="F1232" s="7"/>
      <c r="G1232" s="7"/>
      <c r="H1232" s="7"/>
      <c r="I1232" s="7"/>
      <c r="J1232" s="7"/>
      <c r="K1232" s="7"/>
      <c r="L1232" s="7"/>
      <c r="M1232" s="7"/>
      <c r="N1232" s="7"/>
      <c r="O1232" s="7"/>
      <c r="P1232" s="7"/>
      <c r="Q1232" s="7"/>
      <c r="R1232" s="7"/>
      <c r="S1232" s="7"/>
      <c r="T1232" s="7"/>
      <c r="U1232" s="7"/>
      <c r="Y1232" s="7"/>
      <c r="Z1232" s="17"/>
      <c r="AC1232" s="7"/>
      <c r="AD1232" s="7"/>
      <c r="AE1232" s="7"/>
      <c r="AF1232" s="7"/>
      <c r="AG1232" s="7"/>
      <c r="AH1232" s="7"/>
      <c r="AJ1232" s="7"/>
      <c r="AK1232" s="7"/>
      <c r="AL1232" s="7"/>
      <c r="AM1232" s="7"/>
      <c r="AN1232" s="7"/>
      <c r="AO1232" s="7"/>
      <c r="AR1232" s="7"/>
      <c r="AS1232" s="7"/>
      <c r="AT1232" s="7"/>
      <c r="AU1232" s="7"/>
      <c r="AW1232" s="7"/>
      <c r="CE1232" s="7"/>
      <c r="FZ1232" s="2"/>
    </row>
    <row r="1233" spans="1:182">
      <c r="A1233" s="7"/>
      <c r="D1233" s="7"/>
      <c r="E1233" s="7"/>
      <c r="F1233" s="7"/>
      <c r="G1233" s="7"/>
      <c r="H1233" s="7"/>
      <c r="I1233" s="7"/>
      <c r="J1233" s="7"/>
      <c r="K1233" s="7"/>
      <c r="L1233" s="7"/>
      <c r="M1233" s="7"/>
      <c r="N1233" s="7"/>
      <c r="O1233" s="7"/>
      <c r="P1233" s="7"/>
      <c r="Q1233" s="7"/>
      <c r="R1233" s="7"/>
      <c r="S1233" s="7"/>
      <c r="T1233" s="7"/>
      <c r="U1233" s="7"/>
      <c r="Y1233" s="7"/>
      <c r="Z1233" s="17"/>
      <c r="AC1233" s="7"/>
      <c r="AD1233" s="7"/>
      <c r="AE1233" s="7"/>
      <c r="AF1233" s="7"/>
      <c r="AG1233" s="7"/>
      <c r="AH1233" s="7"/>
      <c r="AJ1233" s="7"/>
      <c r="AK1233" s="7"/>
      <c r="AL1233" s="7"/>
      <c r="AM1233" s="7"/>
      <c r="AN1233" s="7"/>
      <c r="AO1233" s="7"/>
      <c r="AR1233" s="7"/>
      <c r="AS1233" s="7"/>
      <c r="AT1233" s="7"/>
      <c r="AU1233" s="7"/>
      <c r="AW1233" s="7"/>
      <c r="CE1233" s="7"/>
      <c r="FZ1233" s="2"/>
    </row>
    <row r="1234" spans="1:182">
      <c r="A1234" s="7"/>
      <c r="D1234" s="7"/>
      <c r="E1234" s="7"/>
      <c r="F1234" s="7"/>
      <c r="G1234" s="7"/>
      <c r="H1234" s="7"/>
      <c r="I1234" s="7"/>
      <c r="J1234" s="7"/>
      <c r="K1234" s="7"/>
      <c r="L1234" s="7"/>
      <c r="M1234" s="7"/>
      <c r="N1234" s="7"/>
      <c r="O1234" s="7"/>
      <c r="P1234" s="7"/>
      <c r="Q1234" s="7"/>
      <c r="R1234" s="7"/>
      <c r="S1234" s="7"/>
      <c r="T1234" s="7"/>
      <c r="U1234" s="7"/>
      <c r="Y1234" s="7"/>
      <c r="Z1234" s="17"/>
      <c r="AC1234" s="7"/>
      <c r="AD1234" s="7"/>
      <c r="AE1234" s="7"/>
      <c r="AF1234" s="7"/>
      <c r="AG1234" s="7"/>
      <c r="AH1234" s="7"/>
      <c r="AJ1234" s="7"/>
      <c r="AK1234" s="7"/>
      <c r="AL1234" s="7"/>
      <c r="AM1234" s="7"/>
      <c r="AN1234" s="7"/>
      <c r="AO1234" s="7"/>
      <c r="AR1234" s="7"/>
      <c r="AS1234" s="7"/>
      <c r="AT1234" s="7"/>
      <c r="AU1234" s="7"/>
      <c r="AW1234" s="7"/>
      <c r="CE1234" s="7"/>
      <c r="FZ1234" s="2"/>
    </row>
    <row r="1235" spans="1:182">
      <c r="A1235" s="7"/>
      <c r="D1235" s="7"/>
      <c r="E1235" s="7"/>
      <c r="F1235" s="7"/>
      <c r="G1235" s="7"/>
      <c r="H1235" s="7"/>
      <c r="I1235" s="7"/>
      <c r="J1235" s="7"/>
      <c r="K1235" s="7"/>
      <c r="L1235" s="7"/>
      <c r="M1235" s="7"/>
      <c r="N1235" s="7"/>
      <c r="O1235" s="7"/>
      <c r="P1235" s="7"/>
      <c r="Q1235" s="7"/>
      <c r="R1235" s="7"/>
      <c r="S1235" s="7"/>
      <c r="T1235" s="7"/>
      <c r="U1235" s="7"/>
      <c r="Y1235" s="7"/>
      <c r="Z1235" s="17"/>
      <c r="AC1235" s="7"/>
      <c r="AD1235" s="7"/>
      <c r="AE1235" s="7"/>
      <c r="AF1235" s="7"/>
      <c r="AG1235" s="7"/>
      <c r="AH1235" s="7"/>
      <c r="AJ1235" s="7"/>
      <c r="AK1235" s="7"/>
      <c r="AL1235" s="7"/>
      <c r="AM1235" s="7"/>
      <c r="AN1235" s="7"/>
      <c r="AO1235" s="7"/>
      <c r="AR1235" s="7"/>
      <c r="AS1235" s="7"/>
      <c r="AT1235" s="7"/>
      <c r="AU1235" s="7"/>
      <c r="AW1235" s="7"/>
      <c r="CE1235" s="7"/>
      <c r="FZ1235" s="2"/>
    </row>
    <row r="1236" spans="1:182">
      <c r="A1236" s="7"/>
      <c r="D1236" s="7"/>
      <c r="E1236" s="7"/>
      <c r="F1236" s="7"/>
      <c r="G1236" s="7"/>
      <c r="H1236" s="7"/>
      <c r="I1236" s="7"/>
      <c r="J1236" s="7"/>
      <c r="K1236" s="7"/>
      <c r="L1236" s="7"/>
      <c r="M1236" s="7"/>
      <c r="N1236" s="7"/>
      <c r="O1236" s="7"/>
      <c r="P1236" s="7"/>
      <c r="Q1236" s="7"/>
      <c r="R1236" s="7"/>
      <c r="S1236" s="7"/>
      <c r="T1236" s="7"/>
      <c r="U1236" s="7"/>
      <c r="Y1236" s="7"/>
      <c r="Z1236" s="17"/>
      <c r="AC1236" s="7"/>
      <c r="AD1236" s="7"/>
      <c r="AE1236" s="7"/>
      <c r="AF1236" s="7"/>
      <c r="AG1236" s="7"/>
      <c r="AH1236" s="7"/>
      <c r="AJ1236" s="7"/>
      <c r="AK1236" s="7"/>
      <c r="AL1236" s="7"/>
      <c r="AM1236" s="7"/>
      <c r="AN1236" s="7"/>
      <c r="AO1236" s="7"/>
      <c r="AR1236" s="7"/>
      <c r="AS1236" s="7"/>
      <c r="AT1236" s="7"/>
      <c r="AU1236" s="7"/>
      <c r="AW1236" s="7"/>
      <c r="CE1236" s="7"/>
      <c r="FZ1236" s="2"/>
    </row>
    <row r="1237" spans="1:182">
      <c r="A1237" s="7"/>
      <c r="D1237" s="7"/>
      <c r="E1237" s="7"/>
      <c r="F1237" s="7"/>
      <c r="G1237" s="7"/>
      <c r="H1237" s="7"/>
      <c r="I1237" s="7"/>
      <c r="J1237" s="7"/>
      <c r="K1237" s="7"/>
      <c r="L1237" s="7"/>
      <c r="M1237" s="7"/>
      <c r="N1237" s="7"/>
      <c r="O1237" s="7"/>
      <c r="P1237" s="7"/>
      <c r="Q1237" s="7"/>
      <c r="R1237" s="7"/>
      <c r="S1237" s="7"/>
      <c r="T1237" s="7"/>
      <c r="U1237" s="7"/>
      <c r="Y1237" s="7"/>
      <c r="Z1237" s="17"/>
      <c r="AC1237" s="7"/>
      <c r="AD1237" s="7"/>
      <c r="AE1237" s="7"/>
      <c r="AF1237" s="7"/>
      <c r="AG1237" s="7"/>
      <c r="AH1237" s="7"/>
      <c r="AJ1237" s="7"/>
      <c r="AK1237" s="7"/>
      <c r="AL1237" s="7"/>
      <c r="AM1237" s="7"/>
      <c r="AN1237" s="7"/>
      <c r="AO1237" s="7"/>
      <c r="AR1237" s="7"/>
      <c r="AS1237" s="7"/>
      <c r="AT1237" s="7"/>
      <c r="AU1237" s="7"/>
      <c r="AW1237" s="7"/>
      <c r="CE1237" s="7"/>
      <c r="FZ1237" s="2"/>
    </row>
    <row r="1238" spans="1:182">
      <c r="A1238" s="7"/>
      <c r="D1238" s="7"/>
      <c r="E1238" s="7"/>
      <c r="F1238" s="7"/>
      <c r="G1238" s="7"/>
      <c r="H1238" s="7"/>
      <c r="I1238" s="7"/>
      <c r="J1238" s="7"/>
      <c r="K1238" s="7"/>
      <c r="L1238" s="7"/>
      <c r="M1238" s="7"/>
      <c r="N1238" s="7"/>
      <c r="O1238" s="7"/>
      <c r="P1238" s="7"/>
      <c r="Q1238" s="7"/>
      <c r="R1238" s="7"/>
      <c r="S1238" s="7"/>
      <c r="T1238" s="7"/>
      <c r="U1238" s="7"/>
      <c r="Y1238" s="7"/>
      <c r="Z1238" s="17"/>
      <c r="AC1238" s="7"/>
      <c r="AD1238" s="7"/>
      <c r="AE1238" s="7"/>
      <c r="AF1238" s="7"/>
      <c r="AG1238" s="7"/>
      <c r="AH1238" s="7"/>
      <c r="AJ1238" s="7"/>
      <c r="AK1238" s="7"/>
      <c r="AL1238" s="7"/>
      <c r="AM1238" s="7"/>
      <c r="AN1238" s="7"/>
      <c r="AO1238" s="7"/>
      <c r="AR1238" s="7"/>
      <c r="AS1238" s="7"/>
      <c r="AT1238" s="7"/>
      <c r="AU1238" s="7"/>
      <c r="AW1238" s="7"/>
      <c r="CE1238" s="7"/>
      <c r="FZ1238" s="2"/>
    </row>
    <row r="1239" spans="1:182">
      <c r="A1239" s="7"/>
      <c r="D1239" s="7"/>
      <c r="E1239" s="7"/>
      <c r="F1239" s="7"/>
      <c r="G1239" s="7"/>
      <c r="H1239" s="7"/>
      <c r="I1239" s="7"/>
      <c r="J1239" s="7"/>
      <c r="K1239" s="7"/>
      <c r="L1239" s="7"/>
      <c r="M1239" s="7"/>
      <c r="N1239" s="7"/>
      <c r="O1239" s="7"/>
      <c r="P1239" s="7"/>
      <c r="Q1239" s="7"/>
      <c r="R1239" s="7"/>
      <c r="S1239" s="7"/>
      <c r="T1239" s="7"/>
      <c r="U1239" s="7"/>
      <c r="Y1239" s="7"/>
      <c r="Z1239" s="17"/>
      <c r="AC1239" s="7"/>
      <c r="AD1239" s="7"/>
      <c r="AE1239" s="7"/>
      <c r="AF1239" s="7"/>
      <c r="AG1239" s="7"/>
      <c r="AH1239" s="7"/>
      <c r="AJ1239" s="7"/>
      <c r="AK1239" s="7"/>
      <c r="AL1239" s="7"/>
      <c r="AM1239" s="7"/>
      <c r="AN1239" s="7"/>
      <c r="AO1239" s="7"/>
      <c r="AR1239" s="7"/>
      <c r="AS1239" s="7"/>
      <c r="AT1239" s="7"/>
      <c r="AU1239" s="7"/>
      <c r="AW1239" s="7"/>
      <c r="CE1239" s="7"/>
      <c r="FZ1239" s="2"/>
    </row>
    <row r="1240" spans="1:182">
      <c r="A1240" s="7"/>
      <c r="D1240" s="7"/>
      <c r="E1240" s="7"/>
      <c r="F1240" s="7"/>
      <c r="G1240" s="7"/>
      <c r="H1240" s="7"/>
      <c r="I1240" s="7"/>
      <c r="J1240" s="7"/>
      <c r="K1240" s="7"/>
      <c r="L1240" s="7"/>
      <c r="M1240" s="7"/>
      <c r="N1240" s="7"/>
      <c r="O1240" s="7"/>
      <c r="P1240" s="7"/>
      <c r="Q1240" s="7"/>
      <c r="R1240" s="7"/>
      <c r="S1240" s="7"/>
      <c r="T1240" s="7"/>
      <c r="U1240" s="7"/>
      <c r="Y1240" s="7"/>
      <c r="Z1240" s="17"/>
      <c r="AC1240" s="7"/>
      <c r="AD1240" s="7"/>
      <c r="AE1240" s="7"/>
      <c r="AF1240" s="7"/>
      <c r="AG1240" s="7"/>
      <c r="AH1240" s="7"/>
      <c r="AJ1240" s="7"/>
      <c r="AK1240" s="7"/>
      <c r="AL1240" s="7"/>
      <c r="AM1240" s="7"/>
      <c r="AN1240" s="7"/>
      <c r="AO1240" s="7"/>
      <c r="AR1240" s="7"/>
      <c r="AS1240" s="7"/>
      <c r="AT1240" s="7"/>
      <c r="AU1240" s="7"/>
      <c r="AW1240" s="7"/>
      <c r="CE1240" s="7"/>
      <c r="FZ1240" s="2"/>
    </row>
    <row r="1241" spans="1:182">
      <c r="A1241" s="7"/>
      <c r="D1241" s="7"/>
      <c r="E1241" s="7"/>
      <c r="F1241" s="7"/>
      <c r="G1241" s="7"/>
      <c r="H1241" s="7"/>
      <c r="I1241" s="7"/>
      <c r="J1241" s="7"/>
      <c r="K1241" s="7"/>
      <c r="L1241" s="7"/>
      <c r="M1241" s="7"/>
      <c r="N1241" s="7"/>
      <c r="O1241" s="7"/>
      <c r="P1241" s="7"/>
      <c r="Q1241" s="7"/>
      <c r="R1241" s="7"/>
      <c r="S1241" s="7"/>
      <c r="T1241" s="7"/>
      <c r="U1241" s="7"/>
      <c r="Y1241" s="7"/>
      <c r="Z1241" s="17"/>
      <c r="AC1241" s="7"/>
      <c r="AD1241" s="7"/>
      <c r="AE1241" s="7"/>
      <c r="AF1241" s="7"/>
      <c r="AG1241" s="7"/>
      <c r="AH1241" s="7"/>
      <c r="AJ1241" s="7"/>
      <c r="AK1241" s="7"/>
      <c r="AL1241" s="7"/>
      <c r="AM1241" s="7"/>
      <c r="AN1241" s="7"/>
      <c r="AO1241" s="7"/>
      <c r="AR1241" s="7"/>
      <c r="AS1241" s="7"/>
      <c r="AT1241" s="7"/>
      <c r="AU1241" s="7"/>
      <c r="AW1241" s="7"/>
      <c r="CE1241" s="7"/>
      <c r="FZ1241" s="2"/>
    </row>
    <row r="1242" spans="1:182">
      <c r="A1242" s="7"/>
      <c r="D1242" s="7"/>
      <c r="E1242" s="7"/>
      <c r="F1242" s="7"/>
      <c r="G1242" s="7"/>
      <c r="H1242" s="7"/>
      <c r="I1242" s="7"/>
      <c r="J1242" s="7"/>
      <c r="K1242" s="7"/>
      <c r="L1242" s="7"/>
      <c r="M1242" s="7"/>
      <c r="N1242" s="7"/>
      <c r="O1242" s="7"/>
      <c r="P1242" s="7"/>
      <c r="Q1242" s="7"/>
      <c r="R1242" s="7"/>
      <c r="S1242" s="7"/>
      <c r="T1242" s="7"/>
      <c r="U1242" s="7"/>
      <c r="Y1242" s="7"/>
      <c r="Z1242" s="17"/>
      <c r="AC1242" s="7"/>
      <c r="AD1242" s="7"/>
      <c r="AE1242" s="7"/>
      <c r="AF1242" s="7"/>
      <c r="AG1242" s="7"/>
      <c r="AH1242" s="7"/>
      <c r="AJ1242" s="7"/>
      <c r="AK1242" s="7"/>
      <c r="AL1242" s="7"/>
      <c r="AM1242" s="7"/>
      <c r="AN1242" s="7"/>
      <c r="AO1242" s="7"/>
      <c r="AR1242" s="7"/>
      <c r="AS1242" s="7"/>
      <c r="AT1242" s="7"/>
      <c r="AU1242" s="7"/>
      <c r="AW1242" s="7"/>
      <c r="CE1242" s="7"/>
      <c r="FZ1242" s="2"/>
    </row>
    <row r="1243" spans="1:182">
      <c r="A1243" s="7"/>
      <c r="D1243" s="7"/>
      <c r="E1243" s="7"/>
      <c r="F1243" s="7"/>
      <c r="G1243" s="7"/>
      <c r="H1243" s="7"/>
      <c r="I1243" s="7"/>
      <c r="J1243" s="7"/>
      <c r="K1243" s="7"/>
      <c r="L1243" s="7"/>
      <c r="M1243" s="7"/>
      <c r="N1243" s="7"/>
      <c r="O1243" s="7"/>
      <c r="P1243" s="7"/>
      <c r="Q1243" s="7"/>
      <c r="R1243" s="7"/>
      <c r="S1243" s="7"/>
      <c r="T1243" s="7"/>
      <c r="U1243" s="7"/>
      <c r="Y1243" s="7"/>
      <c r="Z1243" s="17"/>
      <c r="AC1243" s="7"/>
      <c r="AD1243" s="7"/>
      <c r="AE1243" s="7"/>
      <c r="AF1243" s="7"/>
      <c r="AG1243" s="7"/>
      <c r="AH1243" s="7"/>
      <c r="AJ1243" s="7"/>
      <c r="AK1243" s="7"/>
      <c r="AL1243" s="7"/>
      <c r="AM1243" s="7"/>
      <c r="AN1243" s="7"/>
      <c r="AO1243" s="7"/>
      <c r="AR1243" s="7"/>
      <c r="AS1243" s="7"/>
      <c r="AT1243" s="7"/>
      <c r="AU1243" s="7"/>
      <c r="AW1243" s="7"/>
      <c r="CE1243" s="7"/>
      <c r="FZ1243" s="2"/>
    </row>
    <row r="1244" spans="1:182">
      <c r="A1244" s="7"/>
      <c r="D1244" s="7"/>
      <c r="E1244" s="7"/>
      <c r="F1244" s="7"/>
      <c r="G1244" s="7"/>
      <c r="H1244" s="7"/>
      <c r="I1244" s="7"/>
      <c r="J1244" s="7"/>
      <c r="K1244" s="7"/>
      <c r="L1244" s="7"/>
      <c r="M1244" s="7"/>
      <c r="N1244" s="7"/>
      <c r="O1244" s="7"/>
      <c r="P1244" s="7"/>
      <c r="Q1244" s="7"/>
      <c r="R1244" s="7"/>
      <c r="S1244" s="7"/>
      <c r="T1244" s="7"/>
      <c r="U1244" s="7"/>
      <c r="Y1244" s="7"/>
      <c r="Z1244" s="17"/>
      <c r="AC1244" s="7"/>
      <c r="AD1244" s="7"/>
      <c r="AE1244" s="7"/>
      <c r="AF1244" s="7"/>
      <c r="AG1244" s="7"/>
      <c r="AH1244" s="7"/>
      <c r="AJ1244" s="7"/>
      <c r="AK1244" s="7"/>
      <c r="AL1244" s="7"/>
      <c r="AM1244" s="7"/>
      <c r="AN1244" s="7"/>
      <c r="AO1244" s="7"/>
      <c r="AR1244" s="7"/>
      <c r="AS1244" s="7"/>
      <c r="AT1244" s="7"/>
      <c r="AU1244" s="7"/>
      <c r="AW1244" s="7"/>
      <c r="CE1244" s="7"/>
      <c r="FZ1244" s="2"/>
    </row>
    <row r="1245" spans="1:182">
      <c r="A1245" s="7"/>
      <c r="D1245" s="7"/>
      <c r="E1245" s="7"/>
      <c r="F1245" s="7"/>
      <c r="G1245" s="7"/>
      <c r="H1245" s="7"/>
      <c r="I1245" s="7"/>
      <c r="J1245" s="7"/>
      <c r="K1245" s="7"/>
      <c r="L1245" s="7"/>
      <c r="M1245" s="7"/>
      <c r="N1245" s="7"/>
      <c r="O1245" s="7"/>
      <c r="P1245" s="7"/>
      <c r="Q1245" s="7"/>
      <c r="R1245" s="7"/>
      <c r="S1245" s="7"/>
      <c r="T1245" s="7"/>
      <c r="U1245" s="7"/>
      <c r="Y1245" s="7"/>
      <c r="Z1245" s="17"/>
      <c r="AC1245" s="7"/>
      <c r="AD1245" s="7"/>
      <c r="AE1245" s="7"/>
      <c r="AF1245" s="7"/>
      <c r="AG1245" s="7"/>
      <c r="AH1245" s="7"/>
      <c r="AJ1245" s="7"/>
      <c r="AK1245" s="7"/>
      <c r="AL1245" s="7"/>
      <c r="AM1245" s="7"/>
      <c r="AN1245" s="7"/>
      <c r="AO1245" s="7"/>
      <c r="AR1245" s="7"/>
      <c r="AS1245" s="7"/>
      <c r="AT1245" s="7"/>
      <c r="AU1245" s="7"/>
      <c r="AW1245" s="7"/>
      <c r="CE1245" s="7"/>
      <c r="FZ1245" s="2"/>
    </row>
    <row r="1246" spans="1:182">
      <c r="A1246" s="7"/>
      <c r="D1246" s="7"/>
      <c r="E1246" s="7"/>
      <c r="F1246" s="7"/>
      <c r="G1246" s="7"/>
      <c r="H1246" s="7"/>
      <c r="I1246" s="7"/>
      <c r="J1246" s="7"/>
      <c r="K1246" s="7"/>
      <c r="L1246" s="7"/>
      <c r="M1246" s="7"/>
      <c r="N1246" s="7"/>
      <c r="O1246" s="7"/>
      <c r="P1246" s="7"/>
      <c r="Q1246" s="7"/>
      <c r="R1246" s="7"/>
      <c r="S1246" s="7"/>
      <c r="T1246" s="7"/>
      <c r="U1246" s="7"/>
      <c r="Y1246" s="7"/>
      <c r="Z1246" s="17"/>
      <c r="AC1246" s="7"/>
      <c r="AD1246" s="7"/>
      <c r="AE1246" s="7"/>
      <c r="AF1246" s="7"/>
      <c r="AG1246" s="7"/>
      <c r="AH1246" s="7"/>
      <c r="AJ1246" s="7"/>
      <c r="AK1246" s="7"/>
      <c r="AL1246" s="7"/>
      <c r="AM1246" s="7"/>
      <c r="AN1246" s="7"/>
      <c r="AO1246" s="7"/>
      <c r="AR1246" s="7"/>
      <c r="AS1246" s="7"/>
      <c r="AT1246" s="7"/>
      <c r="AU1246" s="7"/>
      <c r="AW1246" s="7"/>
      <c r="CE1246" s="7"/>
      <c r="FZ1246" s="2"/>
    </row>
    <row r="1247" spans="1:182">
      <c r="A1247" s="7"/>
      <c r="D1247" s="7"/>
      <c r="E1247" s="7"/>
      <c r="F1247" s="7"/>
      <c r="G1247" s="7"/>
      <c r="H1247" s="7"/>
      <c r="I1247" s="7"/>
      <c r="J1247" s="7"/>
      <c r="K1247" s="7"/>
      <c r="L1247" s="7"/>
      <c r="M1247" s="7"/>
      <c r="N1247" s="7"/>
      <c r="O1247" s="7"/>
      <c r="P1247" s="7"/>
      <c r="Q1247" s="7"/>
      <c r="R1247" s="7"/>
      <c r="S1247" s="7"/>
      <c r="T1247" s="7"/>
      <c r="U1247" s="7"/>
      <c r="Y1247" s="7"/>
      <c r="Z1247" s="17"/>
      <c r="AC1247" s="7"/>
      <c r="AD1247" s="7"/>
      <c r="AE1247" s="7"/>
      <c r="AF1247" s="7"/>
      <c r="AG1247" s="7"/>
      <c r="AH1247" s="7"/>
      <c r="AJ1247" s="7"/>
      <c r="AK1247" s="7"/>
      <c r="AL1247" s="7"/>
      <c r="AM1247" s="7"/>
      <c r="AN1247" s="7"/>
      <c r="AO1247" s="7"/>
      <c r="AR1247" s="7"/>
      <c r="AS1247" s="7"/>
      <c r="AT1247" s="7"/>
      <c r="AU1247" s="7"/>
      <c r="AW1247" s="7"/>
      <c r="CE1247" s="7"/>
      <c r="FZ1247" s="2"/>
    </row>
    <row r="1248" spans="1:182">
      <c r="A1248" s="7"/>
      <c r="D1248" s="7"/>
      <c r="E1248" s="7"/>
      <c r="F1248" s="7"/>
      <c r="G1248" s="7"/>
      <c r="H1248" s="7"/>
      <c r="I1248" s="7"/>
      <c r="J1248" s="7"/>
      <c r="K1248" s="7"/>
      <c r="L1248" s="7"/>
      <c r="M1248" s="7"/>
      <c r="N1248" s="7"/>
      <c r="O1248" s="7"/>
      <c r="P1248" s="7"/>
      <c r="Q1248" s="7"/>
      <c r="R1248" s="7"/>
      <c r="S1248" s="7"/>
      <c r="T1248" s="7"/>
      <c r="U1248" s="7"/>
      <c r="Y1248" s="7"/>
      <c r="Z1248" s="17"/>
      <c r="AC1248" s="7"/>
      <c r="AD1248" s="7"/>
      <c r="AE1248" s="7"/>
      <c r="AF1248" s="7"/>
      <c r="AG1248" s="7"/>
      <c r="AH1248" s="7"/>
      <c r="AJ1248" s="7"/>
      <c r="AK1248" s="7"/>
      <c r="AL1248" s="7"/>
      <c r="AM1248" s="7"/>
      <c r="AN1248" s="7"/>
      <c r="AO1248" s="7"/>
      <c r="AR1248" s="7"/>
      <c r="AS1248" s="7"/>
      <c r="AT1248" s="7"/>
      <c r="AU1248" s="7"/>
      <c r="AW1248" s="7"/>
      <c r="CE1248" s="7"/>
      <c r="FZ1248" s="2"/>
    </row>
    <row r="1249" spans="1:182">
      <c r="A1249" s="7"/>
      <c r="D1249" s="7"/>
      <c r="E1249" s="7"/>
      <c r="F1249" s="7"/>
      <c r="G1249" s="7"/>
      <c r="H1249" s="7"/>
      <c r="I1249" s="7"/>
      <c r="J1249" s="7"/>
      <c r="K1249" s="7"/>
      <c r="L1249" s="7"/>
      <c r="M1249" s="7"/>
      <c r="N1249" s="7"/>
      <c r="O1249" s="7"/>
      <c r="P1249" s="7"/>
      <c r="Q1249" s="7"/>
      <c r="R1249" s="7"/>
      <c r="S1249" s="7"/>
      <c r="T1249" s="7"/>
      <c r="U1249" s="7"/>
      <c r="Y1249" s="7"/>
      <c r="Z1249" s="17"/>
      <c r="AC1249" s="7"/>
      <c r="AD1249" s="7"/>
      <c r="AE1249" s="7"/>
      <c r="AF1249" s="7"/>
      <c r="AG1249" s="7"/>
      <c r="AH1249" s="7"/>
      <c r="AJ1249" s="7"/>
      <c r="AK1249" s="7"/>
      <c r="AL1249" s="7"/>
      <c r="AM1249" s="7"/>
      <c r="AN1249" s="7"/>
      <c r="AO1249" s="7"/>
      <c r="AR1249" s="7"/>
      <c r="AS1249" s="7"/>
      <c r="AT1249" s="7"/>
      <c r="AU1249" s="7"/>
      <c r="AW1249" s="7"/>
      <c r="CE1249" s="7"/>
      <c r="FZ1249" s="2"/>
    </row>
    <row r="1250" spans="1:182">
      <c r="A1250" s="7"/>
      <c r="D1250" s="7"/>
      <c r="E1250" s="7"/>
      <c r="F1250" s="7"/>
      <c r="G1250" s="7"/>
      <c r="H1250" s="7"/>
      <c r="I1250" s="7"/>
      <c r="J1250" s="7"/>
      <c r="K1250" s="7"/>
      <c r="L1250" s="7"/>
      <c r="M1250" s="7"/>
      <c r="N1250" s="7"/>
      <c r="O1250" s="7"/>
      <c r="P1250" s="7"/>
      <c r="Q1250" s="7"/>
      <c r="R1250" s="7"/>
      <c r="S1250" s="7"/>
      <c r="T1250" s="7"/>
      <c r="U1250" s="7"/>
      <c r="Y1250" s="7"/>
      <c r="Z1250" s="17"/>
      <c r="AC1250" s="7"/>
      <c r="AD1250" s="7"/>
      <c r="AE1250" s="7"/>
      <c r="AF1250" s="7"/>
      <c r="AG1250" s="7"/>
      <c r="AH1250" s="7"/>
      <c r="AJ1250" s="7"/>
      <c r="AK1250" s="7"/>
      <c r="AL1250" s="7"/>
      <c r="AM1250" s="7"/>
      <c r="AN1250" s="7"/>
      <c r="AO1250" s="7"/>
      <c r="AR1250" s="7"/>
      <c r="AS1250" s="7"/>
      <c r="AT1250" s="7"/>
      <c r="AU1250" s="7"/>
      <c r="AW1250" s="7"/>
      <c r="CE1250" s="7"/>
      <c r="FZ1250" s="2"/>
    </row>
    <row r="1251" spans="1:182">
      <c r="A1251" s="7"/>
      <c r="D1251" s="7"/>
      <c r="E1251" s="7"/>
      <c r="F1251" s="7"/>
      <c r="G1251" s="7"/>
      <c r="H1251" s="7"/>
      <c r="I1251" s="7"/>
      <c r="J1251" s="7"/>
      <c r="K1251" s="7"/>
      <c r="L1251" s="7"/>
      <c r="M1251" s="7"/>
      <c r="N1251" s="7"/>
      <c r="O1251" s="7"/>
      <c r="P1251" s="7"/>
      <c r="Q1251" s="7"/>
      <c r="R1251" s="7"/>
      <c r="S1251" s="7"/>
      <c r="T1251" s="7"/>
      <c r="U1251" s="7"/>
      <c r="Y1251" s="7"/>
      <c r="Z1251" s="17"/>
      <c r="AC1251" s="7"/>
      <c r="AD1251" s="7"/>
      <c r="AE1251" s="7"/>
      <c r="AF1251" s="7"/>
      <c r="AG1251" s="7"/>
      <c r="AH1251" s="7"/>
      <c r="AJ1251" s="7"/>
      <c r="AK1251" s="7"/>
      <c r="AL1251" s="7"/>
      <c r="AM1251" s="7"/>
      <c r="AN1251" s="7"/>
      <c r="AO1251" s="7"/>
      <c r="AR1251" s="7"/>
      <c r="AS1251" s="7"/>
      <c r="AT1251" s="7"/>
      <c r="AU1251" s="7"/>
      <c r="AW1251" s="7"/>
      <c r="CE1251" s="7"/>
      <c r="FZ1251" s="2"/>
    </row>
    <row r="1252" spans="1:182">
      <c r="A1252" s="7"/>
      <c r="D1252" s="7"/>
      <c r="E1252" s="7"/>
      <c r="F1252" s="7"/>
      <c r="G1252" s="7"/>
      <c r="H1252" s="7"/>
      <c r="I1252" s="7"/>
      <c r="J1252" s="7"/>
      <c r="K1252" s="7"/>
      <c r="L1252" s="7"/>
      <c r="M1252" s="7"/>
      <c r="N1252" s="7"/>
      <c r="O1252" s="7"/>
      <c r="P1252" s="7"/>
      <c r="Q1252" s="7"/>
      <c r="R1252" s="7"/>
      <c r="S1252" s="7"/>
      <c r="T1252" s="7"/>
      <c r="U1252" s="7"/>
      <c r="Y1252" s="7"/>
      <c r="Z1252" s="17"/>
      <c r="AC1252" s="7"/>
      <c r="AD1252" s="7"/>
      <c r="AE1252" s="7"/>
      <c r="AF1252" s="7"/>
      <c r="AG1252" s="7"/>
      <c r="AH1252" s="7"/>
      <c r="AJ1252" s="7"/>
      <c r="AK1252" s="7"/>
      <c r="AL1252" s="7"/>
      <c r="AM1252" s="7"/>
      <c r="AN1252" s="7"/>
      <c r="AO1252" s="7"/>
      <c r="AR1252" s="7"/>
      <c r="AS1252" s="7"/>
      <c r="AT1252" s="7"/>
      <c r="AU1252" s="7"/>
      <c r="AW1252" s="7"/>
      <c r="CE1252" s="7"/>
      <c r="FZ1252" s="2"/>
    </row>
    <row r="1253" spans="1:182">
      <c r="A1253" s="7"/>
      <c r="D1253" s="7"/>
      <c r="E1253" s="7"/>
      <c r="F1253" s="7"/>
      <c r="G1253" s="7"/>
      <c r="H1253" s="7"/>
      <c r="I1253" s="7"/>
      <c r="J1253" s="7"/>
      <c r="K1253" s="7"/>
      <c r="L1253" s="7"/>
      <c r="M1253" s="7"/>
      <c r="N1253" s="7"/>
      <c r="O1253" s="7"/>
      <c r="P1253" s="7"/>
      <c r="Q1253" s="7"/>
      <c r="R1253" s="7"/>
      <c r="S1253" s="7"/>
      <c r="T1253" s="7"/>
      <c r="U1253" s="7"/>
      <c r="Y1253" s="7"/>
      <c r="Z1253" s="17"/>
      <c r="AC1253" s="7"/>
      <c r="AD1253" s="7"/>
      <c r="AE1253" s="7"/>
      <c r="AF1253" s="7"/>
      <c r="AG1253" s="7"/>
      <c r="AH1253" s="7"/>
      <c r="AJ1253" s="7"/>
      <c r="AK1253" s="7"/>
      <c r="AL1253" s="7"/>
      <c r="AM1253" s="7"/>
      <c r="AN1253" s="7"/>
      <c r="AO1253" s="7"/>
      <c r="AR1253" s="7"/>
      <c r="AS1253" s="7"/>
      <c r="AT1253" s="7"/>
      <c r="AU1253" s="7"/>
      <c r="AW1253" s="7"/>
      <c r="CE1253" s="7"/>
      <c r="FZ1253" s="2"/>
    </row>
    <row r="1254" spans="1:182">
      <c r="A1254" s="7"/>
      <c r="D1254" s="7"/>
      <c r="E1254" s="7"/>
      <c r="F1254" s="7"/>
      <c r="G1254" s="7"/>
      <c r="H1254" s="7"/>
      <c r="I1254" s="7"/>
      <c r="J1254" s="7"/>
      <c r="K1254" s="7"/>
      <c r="L1254" s="7"/>
      <c r="M1254" s="7"/>
      <c r="N1254" s="7"/>
      <c r="O1254" s="7"/>
      <c r="P1254" s="7"/>
      <c r="Q1254" s="7"/>
      <c r="R1254" s="7"/>
      <c r="S1254" s="7"/>
      <c r="T1254" s="7"/>
      <c r="U1254" s="7"/>
      <c r="Y1254" s="7"/>
      <c r="Z1254" s="17"/>
      <c r="AC1254" s="7"/>
      <c r="AD1254" s="7"/>
      <c r="AE1254" s="7"/>
      <c r="AF1254" s="7"/>
      <c r="AG1254" s="7"/>
      <c r="AH1254" s="7"/>
      <c r="AJ1254" s="7"/>
      <c r="AK1254" s="7"/>
      <c r="AL1254" s="7"/>
      <c r="AM1254" s="7"/>
      <c r="AN1254" s="7"/>
      <c r="AO1254" s="7"/>
      <c r="AR1254" s="7"/>
      <c r="AS1254" s="7"/>
      <c r="AT1254" s="7"/>
      <c r="AU1254" s="7"/>
      <c r="AW1254" s="7"/>
      <c r="CE1254" s="7"/>
      <c r="FZ1254" s="2"/>
    </row>
    <row r="1255" spans="1:182">
      <c r="A1255" s="7"/>
      <c r="D1255" s="7"/>
      <c r="E1255" s="7"/>
      <c r="F1255" s="7"/>
      <c r="G1255" s="7"/>
      <c r="H1255" s="7"/>
      <c r="I1255" s="7"/>
      <c r="J1255" s="7"/>
      <c r="K1255" s="7"/>
      <c r="L1255" s="7"/>
      <c r="M1255" s="7"/>
      <c r="N1255" s="7"/>
      <c r="O1255" s="7"/>
      <c r="P1255" s="7"/>
      <c r="Q1255" s="7"/>
      <c r="R1255" s="7"/>
      <c r="S1255" s="7"/>
      <c r="T1255" s="7"/>
      <c r="U1255" s="7"/>
      <c r="Y1255" s="7"/>
      <c r="Z1255" s="17"/>
      <c r="AC1255" s="7"/>
      <c r="AD1255" s="7"/>
      <c r="AE1255" s="7"/>
      <c r="AF1255" s="7"/>
      <c r="AG1255" s="7"/>
      <c r="AH1255" s="7"/>
      <c r="AJ1255" s="7"/>
      <c r="AK1255" s="7"/>
      <c r="AL1255" s="7"/>
      <c r="AM1255" s="7"/>
      <c r="AN1255" s="7"/>
      <c r="AO1255" s="7"/>
      <c r="AR1255" s="7"/>
      <c r="AS1255" s="7"/>
      <c r="AT1255" s="7"/>
      <c r="AU1255" s="7"/>
      <c r="AW1255" s="7"/>
      <c r="CE1255" s="7"/>
      <c r="FZ1255" s="2"/>
    </row>
    <row r="1256" spans="1:182">
      <c r="A1256" s="7"/>
      <c r="D1256" s="7"/>
      <c r="E1256" s="7"/>
      <c r="F1256" s="7"/>
      <c r="G1256" s="7"/>
      <c r="H1256" s="7"/>
      <c r="I1256" s="7"/>
      <c r="J1256" s="7"/>
      <c r="K1256" s="7"/>
      <c r="L1256" s="7"/>
      <c r="M1256" s="7"/>
      <c r="N1256" s="7"/>
      <c r="O1256" s="7"/>
      <c r="P1256" s="7"/>
      <c r="Q1256" s="7"/>
      <c r="R1256" s="7"/>
      <c r="S1256" s="7"/>
      <c r="T1256" s="7"/>
      <c r="U1256" s="7"/>
      <c r="Y1256" s="7"/>
      <c r="Z1256" s="17"/>
      <c r="AC1256" s="7"/>
      <c r="AD1256" s="7"/>
      <c r="AE1256" s="7"/>
      <c r="AF1256" s="7"/>
      <c r="AG1256" s="7"/>
      <c r="AH1256" s="7"/>
      <c r="AJ1256" s="7"/>
      <c r="AK1256" s="7"/>
      <c r="AL1256" s="7"/>
      <c r="AM1256" s="7"/>
      <c r="AN1256" s="7"/>
      <c r="AO1256" s="7"/>
      <c r="AR1256" s="7"/>
      <c r="AS1256" s="7"/>
      <c r="AT1256" s="7"/>
      <c r="AU1256" s="7"/>
      <c r="AW1256" s="7"/>
      <c r="CE1256" s="7"/>
      <c r="FZ1256" s="2"/>
    </row>
    <row r="1257" spans="1:182">
      <c r="A1257" s="7"/>
      <c r="D1257" s="7"/>
      <c r="E1257" s="7"/>
      <c r="F1257" s="7"/>
      <c r="G1257" s="7"/>
      <c r="H1257" s="7"/>
      <c r="I1257" s="7"/>
      <c r="J1257" s="7"/>
      <c r="K1257" s="7"/>
      <c r="L1257" s="7"/>
      <c r="M1257" s="7"/>
      <c r="N1257" s="7"/>
      <c r="O1257" s="7"/>
      <c r="P1257" s="7"/>
      <c r="Q1257" s="7"/>
      <c r="R1257" s="7"/>
      <c r="S1257" s="7"/>
      <c r="T1257" s="7"/>
      <c r="U1257" s="7"/>
      <c r="Y1257" s="7"/>
      <c r="Z1257" s="17"/>
      <c r="AC1257" s="7"/>
      <c r="AD1257" s="7"/>
      <c r="AE1257" s="7"/>
      <c r="AF1257" s="7"/>
      <c r="AG1257" s="7"/>
      <c r="AH1257" s="7"/>
      <c r="AJ1257" s="7"/>
      <c r="AK1257" s="7"/>
      <c r="AL1257" s="7"/>
      <c r="AM1257" s="7"/>
      <c r="AN1257" s="7"/>
      <c r="AO1257" s="7"/>
      <c r="AR1257" s="7"/>
      <c r="AS1257" s="7"/>
      <c r="AT1257" s="7"/>
      <c r="AU1257" s="7"/>
      <c r="AW1257" s="7"/>
      <c r="CE1257" s="7"/>
      <c r="FZ1257" s="2"/>
    </row>
    <row r="1258" spans="1:182">
      <c r="A1258" s="7"/>
      <c r="D1258" s="7"/>
      <c r="E1258" s="7"/>
      <c r="F1258" s="7"/>
      <c r="G1258" s="7"/>
      <c r="H1258" s="7"/>
      <c r="I1258" s="7"/>
      <c r="J1258" s="7"/>
      <c r="K1258" s="7"/>
      <c r="L1258" s="7"/>
      <c r="M1258" s="7"/>
      <c r="N1258" s="7"/>
      <c r="O1258" s="7"/>
      <c r="P1258" s="7"/>
      <c r="Q1258" s="7"/>
      <c r="R1258" s="7"/>
      <c r="S1258" s="7"/>
      <c r="T1258" s="7"/>
      <c r="U1258" s="7"/>
      <c r="Y1258" s="7"/>
      <c r="Z1258" s="17"/>
      <c r="AC1258" s="7"/>
      <c r="AD1258" s="7"/>
      <c r="AE1258" s="7"/>
      <c r="AF1258" s="7"/>
      <c r="AG1258" s="7"/>
      <c r="AH1258" s="7"/>
      <c r="AJ1258" s="7"/>
      <c r="AK1258" s="7"/>
      <c r="AL1258" s="7"/>
      <c r="AM1258" s="7"/>
      <c r="AN1258" s="7"/>
      <c r="AO1258" s="7"/>
      <c r="AR1258" s="7"/>
      <c r="AS1258" s="7"/>
      <c r="AT1258" s="7"/>
      <c r="AU1258" s="7"/>
      <c r="AW1258" s="7"/>
      <c r="CE1258" s="7"/>
      <c r="FZ1258" s="2"/>
    </row>
    <row r="1259" spans="1:182">
      <c r="A1259" s="7"/>
      <c r="D1259" s="7"/>
      <c r="E1259" s="7"/>
      <c r="F1259" s="7"/>
      <c r="G1259" s="7"/>
      <c r="H1259" s="7"/>
      <c r="I1259" s="7"/>
      <c r="J1259" s="7"/>
      <c r="K1259" s="7"/>
      <c r="L1259" s="7"/>
      <c r="M1259" s="7"/>
      <c r="N1259" s="7"/>
      <c r="O1259" s="7"/>
      <c r="P1259" s="7"/>
      <c r="Q1259" s="7"/>
      <c r="R1259" s="7"/>
      <c r="S1259" s="7"/>
      <c r="T1259" s="7"/>
      <c r="U1259" s="7"/>
      <c r="Y1259" s="7"/>
      <c r="Z1259" s="17"/>
      <c r="AC1259" s="7"/>
      <c r="AD1259" s="7"/>
      <c r="AE1259" s="7"/>
      <c r="AF1259" s="7"/>
      <c r="AG1259" s="7"/>
      <c r="AH1259" s="7"/>
      <c r="AJ1259" s="7"/>
      <c r="AK1259" s="7"/>
      <c r="AL1259" s="7"/>
      <c r="AM1259" s="7"/>
      <c r="AN1259" s="7"/>
      <c r="AO1259" s="7"/>
      <c r="AR1259" s="7"/>
      <c r="AS1259" s="7"/>
      <c r="AT1259" s="7"/>
      <c r="AU1259" s="7"/>
      <c r="AW1259" s="7"/>
      <c r="CE1259" s="7"/>
      <c r="FZ1259" s="2"/>
    </row>
    <row r="1260" spans="1:182">
      <c r="A1260" s="7"/>
      <c r="D1260" s="7"/>
      <c r="E1260" s="7"/>
      <c r="F1260" s="7"/>
      <c r="G1260" s="7"/>
      <c r="H1260" s="7"/>
      <c r="I1260" s="7"/>
      <c r="J1260" s="7"/>
      <c r="K1260" s="7"/>
      <c r="L1260" s="7"/>
      <c r="M1260" s="7"/>
      <c r="N1260" s="7"/>
      <c r="O1260" s="7"/>
      <c r="P1260" s="7"/>
      <c r="Q1260" s="7"/>
      <c r="R1260" s="7"/>
      <c r="S1260" s="7"/>
      <c r="T1260" s="7"/>
      <c r="U1260" s="7"/>
      <c r="Y1260" s="7"/>
      <c r="Z1260" s="17"/>
      <c r="AC1260" s="7"/>
      <c r="AD1260" s="7"/>
      <c r="AE1260" s="7"/>
      <c r="AF1260" s="7"/>
      <c r="AG1260" s="7"/>
      <c r="AH1260" s="7"/>
      <c r="AJ1260" s="7"/>
      <c r="AK1260" s="7"/>
      <c r="AL1260" s="7"/>
      <c r="AM1260" s="7"/>
      <c r="AN1260" s="7"/>
      <c r="AO1260" s="7"/>
      <c r="AR1260" s="7"/>
      <c r="AS1260" s="7"/>
      <c r="AT1260" s="7"/>
      <c r="AU1260" s="7"/>
      <c r="AW1260" s="7"/>
      <c r="CE1260" s="7"/>
      <c r="FZ1260" s="2"/>
    </row>
    <row r="1261" spans="1:182">
      <c r="A1261" s="7"/>
      <c r="D1261" s="7"/>
      <c r="E1261" s="7"/>
      <c r="F1261" s="7"/>
      <c r="G1261" s="7"/>
      <c r="H1261" s="7"/>
      <c r="I1261" s="7"/>
      <c r="J1261" s="7"/>
      <c r="K1261" s="7"/>
      <c r="L1261" s="7"/>
      <c r="M1261" s="7"/>
      <c r="N1261" s="7"/>
      <c r="O1261" s="7"/>
      <c r="P1261" s="7"/>
      <c r="Q1261" s="7"/>
      <c r="R1261" s="7"/>
      <c r="S1261" s="7"/>
      <c r="T1261" s="7"/>
      <c r="U1261" s="7"/>
      <c r="Y1261" s="7"/>
      <c r="Z1261" s="17"/>
      <c r="AC1261" s="7"/>
      <c r="AD1261" s="7"/>
      <c r="AE1261" s="7"/>
      <c r="AF1261" s="7"/>
      <c r="AG1261" s="7"/>
      <c r="AH1261" s="7"/>
      <c r="AJ1261" s="7"/>
      <c r="AK1261" s="7"/>
      <c r="AL1261" s="7"/>
      <c r="AM1261" s="7"/>
      <c r="AN1261" s="7"/>
      <c r="AO1261" s="7"/>
      <c r="AR1261" s="7"/>
      <c r="AS1261" s="7"/>
      <c r="AT1261" s="7"/>
      <c r="AU1261" s="7"/>
      <c r="AW1261" s="7"/>
      <c r="CE1261" s="7"/>
      <c r="FZ1261" s="2"/>
    </row>
    <row r="1262" spans="1:182">
      <c r="A1262" s="7"/>
      <c r="D1262" s="7"/>
      <c r="E1262" s="7"/>
      <c r="F1262" s="7"/>
      <c r="G1262" s="7"/>
      <c r="H1262" s="7"/>
      <c r="I1262" s="7"/>
      <c r="J1262" s="7"/>
      <c r="K1262" s="7"/>
      <c r="L1262" s="7"/>
      <c r="M1262" s="7"/>
      <c r="N1262" s="7"/>
      <c r="O1262" s="7"/>
      <c r="P1262" s="7"/>
      <c r="Q1262" s="7"/>
      <c r="R1262" s="7"/>
      <c r="S1262" s="7"/>
      <c r="T1262" s="7"/>
      <c r="U1262" s="7"/>
      <c r="Y1262" s="7"/>
      <c r="Z1262" s="17"/>
      <c r="AC1262" s="7"/>
      <c r="AD1262" s="7"/>
      <c r="AE1262" s="7"/>
      <c r="AF1262" s="7"/>
      <c r="AG1262" s="7"/>
      <c r="AH1262" s="7"/>
      <c r="AJ1262" s="7"/>
      <c r="AK1262" s="7"/>
      <c r="AL1262" s="7"/>
      <c r="AM1262" s="7"/>
      <c r="AN1262" s="7"/>
      <c r="AO1262" s="7"/>
      <c r="AR1262" s="7"/>
      <c r="AS1262" s="7"/>
      <c r="AT1262" s="7"/>
      <c r="AU1262" s="7"/>
      <c r="AW1262" s="7"/>
      <c r="CE1262" s="7"/>
      <c r="FZ1262" s="2"/>
    </row>
    <row r="1263" spans="1:182">
      <c r="A1263" s="7"/>
      <c r="D1263" s="7"/>
      <c r="E1263" s="7"/>
      <c r="F1263" s="7"/>
      <c r="G1263" s="7"/>
      <c r="H1263" s="7"/>
      <c r="I1263" s="7"/>
      <c r="J1263" s="7"/>
      <c r="K1263" s="7"/>
      <c r="L1263" s="7"/>
      <c r="M1263" s="7"/>
      <c r="N1263" s="7"/>
      <c r="O1263" s="7"/>
      <c r="P1263" s="7"/>
      <c r="Q1263" s="7"/>
      <c r="R1263" s="7"/>
      <c r="S1263" s="7"/>
      <c r="T1263" s="7"/>
      <c r="U1263" s="7"/>
      <c r="Y1263" s="7"/>
      <c r="Z1263" s="17"/>
      <c r="AC1263" s="7"/>
      <c r="AD1263" s="7"/>
      <c r="AE1263" s="7"/>
      <c r="AF1263" s="7"/>
      <c r="AG1263" s="7"/>
      <c r="AH1263" s="7"/>
      <c r="AJ1263" s="7"/>
      <c r="AK1263" s="7"/>
      <c r="AL1263" s="7"/>
      <c r="AM1263" s="7"/>
      <c r="AN1263" s="7"/>
      <c r="AO1263" s="7"/>
      <c r="AR1263" s="7"/>
      <c r="AS1263" s="7"/>
      <c r="AT1263" s="7"/>
      <c r="AU1263" s="7"/>
      <c r="AW1263" s="7"/>
      <c r="CE1263" s="7"/>
      <c r="FZ1263" s="2"/>
    </row>
    <row r="1264" spans="1:182">
      <c r="A1264" s="7"/>
      <c r="D1264" s="7"/>
      <c r="E1264" s="7"/>
      <c r="F1264" s="7"/>
      <c r="G1264" s="7"/>
      <c r="H1264" s="7"/>
      <c r="I1264" s="7"/>
      <c r="J1264" s="7"/>
      <c r="K1264" s="7"/>
      <c r="L1264" s="7"/>
      <c r="M1264" s="7"/>
      <c r="N1264" s="7"/>
      <c r="O1264" s="7"/>
      <c r="P1264" s="7"/>
      <c r="Q1264" s="7"/>
      <c r="R1264" s="7"/>
      <c r="S1264" s="7"/>
      <c r="T1264" s="7"/>
      <c r="U1264" s="7"/>
      <c r="Y1264" s="7"/>
      <c r="Z1264" s="17"/>
      <c r="AC1264" s="7"/>
      <c r="AD1264" s="7"/>
      <c r="AE1264" s="7"/>
      <c r="AF1264" s="7"/>
      <c r="AG1264" s="7"/>
      <c r="AH1264" s="7"/>
      <c r="AJ1264" s="7"/>
      <c r="AK1264" s="7"/>
      <c r="AL1264" s="7"/>
      <c r="AM1264" s="7"/>
      <c r="AN1264" s="7"/>
      <c r="AO1264" s="7"/>
      <c r="AR1264" s="7"/>
      <c r="AS1264" s="7"/>
      <c r="AT1264" s="7"/>
      <c r="AU1264" s="7"/>
      <c r="AW1264" s="7"/>
      <c r="CE1264" s="7"/>
      <c r="FZ1264" s="2"/>
    </row>
    <row r="1265" spans="1:182">
      <c r="A1265" s="7"/>
      <c r="D1265" s="7"/>
      <c r="E1265" s="7"/>
      <c r="F1265" s="7"/>
      <c r="G1265" s="7"/>
      <c r="H1265" s="7"/>
      <c r="I1265" s="7"/>
      <c r="J1265" s="7"/>
      <c r="K1265" s="7"/>
      <c r="L1265" s="7"/>
      <c r="M1265" s="7"/>
      <c r="N1265" s="7"/>
      <c r="O1265" s="7"/>
      <c r="P1265" s="7"/>
      <c r="Q1265" s="7"/>
      <c r="R1265" s="7"/>
      <c r="S1265" s="7"/>
      <c r="T1265" s="7"/>
      <c r="U1265" s="7"/>
      <c r="Y1265" s="7"/>
      <c r="Z1265" s="17"/>
      <c r="AC1265" s="7"/>
      <c r="AD1265" s="7"/>
      <c r="AE1265" s="7"/>
      <c r="AF1265" s="7"/>
      <c r="AG1265" s="7"/>
      <c r="AH1265" s="7"/>
      <c r="AJ1265" s="7"/>
      <c r="AK1265" s="7"/>
      <c r="AL1265" s="7"/>
      <c r="AM1265" s="7"/>
      <c r="AN1265" s="7"/>
      <c r="AO1265" s="7"/>
      <c r="AR1265" s="7"/>
      <c r="AS1265" s="7"/>
      <c r="AT1265" s="7"/>
      <c r="AU1265" s="7"/>
      <c r="AW1265" s="7"/>
      <c r="CE1265" s="7"/>
      <c r="FZ1265" s="2"/>
    </row>
    <row r="1266" spans="1:182">
      <c r="A1266" s="7"/>
      <c r="D1266" s="7"/>
      <c r="E1266" s="7"/>
      <c r="F1266" s="7"/>
      <c r="G1266" s="7"/>
      <c r="H1266" s="7"/>
      <c r="I1266" s="7"/>
      <c r="J1266" s="7"/>
      <c r="K1266" s="7"/>
      <c r="L1266" s="7"/>
      <c r="M1266" s="7"/>
      <c r="N1266" s="7"/>
      <c r="O1266" s="7"/>
      <c r="P1266" s="7"/>
      <c r="Q1266" s="7"/>
      <c r="R1266" s="7"/>
      <c r="S1266" s="7"/>
      <c r="T1266" s="7"/>
      <c r="U1266" s="7"/>
      <c r="Y1266" s="7"/>
      <c r="Z1266" s="17"/>
      <c r="AC1266" s="7"/>
      <c r="AD1266" s="7"/>
      <c r="AE1266" s="7"/>
      <c r="AF1266" s="7"/>
      <c r="AG1266" s="7"/>
      <c r="AH1266" s="7"/>
      <c r="AJ1266" s="7"/>
      <c r="AK1266" s="7"/>
      <c r="AL1266" s="7"/>
      <c r="AM1266" s="7"/>
      <c r="AN1266" s="7"/>
      <c r="AO1266" s="7"/>
      <c r="AR1266" s="7"/>
      <c r="AS1266" s="7"/>
      <c r="AT1266" s="7"/>
      <c r="AU1266" s="7"/>
      <c r="AW1266" s="7"/>
      <c r="CE1266" s="7"/>
      <c r="FZ1266" s="2"/>
    </row>
    <row r="1267" spans="1:182">
      <c r="A1267" s="7"/>
      <c r="D1267" s="7"/>
      <c r="E1267" s="7"/>
      <c r="F1267" s="7"/>
      <c r="G1267" s="7"/>
      <c r="H1267" s="7"/>
      <c r="I1267" s="7"/>
      <c r="J1267" s="7"/>
      <c r="K1267" s="7"/>
      <c r="L1267" s="7"/>
      <c r="M1267" s="7"/>
      <c r="N1267" s="7"/>
      <c r="O1267" s="7"/>
      <c r="P1267" s="7"/>
      <c r="Q1267" s="7"/>
      <c r="R1267" s="7"/>
      <c r="S1267" s="7"/>
      <c r="T1267" s="7"/>
      <c r="U1267" s="7"/>
      <c r="Y1267" s="7"/>
      <c r="Z1267" s="17"/>
      <c r="AC1267" s="7"/>
      <c r="AD1267" s="7"/>
      <c r="AE1267" s="7"/>
      <c r="AF1267" s="7"/>
      <c r="AG1267" s="7"/>
      <c r="AH1267" s="7"/>
      <c r="AJ1267" s="7"/>
      <c r="AK1267" s="7"/>
      <c r="AL1267" s="7"/>
      <c r="AM1267" s="7"/>
      <c r="AN1267" s="7"/>
      <c r="AO1267" s="7"/>
      <c r="AR1267" s="7"/>
      <c r="AS1267" s="7"/>
      <c r="AT1267" s="7"/>
      <c r="AU1267" s="7"/>
      <c r="AW1267" s="7"/>
      <c r="CE1267" s="7"/>
      <c r="FZ1267" s="2"/>
    </row>
    <row r="1268" spans="1:182">
      <c r="A1268" s="7"/>
      <c r="D1268" s="7"/>
      <c r="E1268" s="7"/>
      <c r="F1268" s="7"/>
      <c r="G1268" s="7"/>
      <c r="H1268" s="7"/>
      <c r="I1268" s="7"/>
      <c r="J1268" s="7"/>
      <c r="K1268" s="7"/>
      <c r="L1268" s="7"/>
      <c r="M1268" s="7"/>
      <c r="N1268" s="7"/>
      <c r="O1268" s="7"/>
      <c r="P1268" s="7"/>
      <c r="Q1268" s="7"/>
      <c r="R1268" s="7"/>
      <c r="S1268" s="7"/>
      <c r="T1268" s="7"/>
      <c r="U1268" s="7"/>
      <c r="Y1268" s="7"/>
      <c r="Z1268" s="17"/>
      <c r="AC1268" s="7"/>
      <c r="AD1268" s="7"/>
      <c r="AE1268" s="7"/>
      <c r="AF1268" s="7"/>
      <c r="AG1268" s="7"/>
      <c r="AH1268" s="7"/>
      <c r="AJ1268" s="7"/>
      <c r="AK1268" s="7"/>
      <c r="AL1268" s="7"/>
      <c r="AM1268" s="7"/>
      <c r="AN1268" s="7"/>
      <c r="AO1268" s="7"/>
      <c r="AR1268" s="7"/>
      <c r="AS1268" s="7"/>
      <c r="AT1268" s="7"/>
      <c r="AU1268" s="7"/>
      <c r="AW1268" s="7"/>
      <c r="CE1268" s="7"/>
      <c r="FZ1268" s="2"/>
    </row>
    <row r="1269" spans="1:182">
      <c r="A1269" s="7"/>
      <c r="D1269" s="7"/>
      <c r="E1269" s="7"/>
      <c r="F1269" s="7"/>
      <c r="G1269" s="7"/>
      <c r="H1269" s="7"/>
      <c r="I1269" s="7"/>
      <c r="J1269" s="7"/>
      <c r="K1269" s="7"/>
      <c r="L1269" s="7"/>
      <c r="M1269" s="7"/>
      <c r="N1269" s="7"/>
      <c r="O1269" s="7"/>
      <c r="P1269" s="7"/>
      <c r="Q1269" s="7"/>
      <c r="R1269" s="7"/>
      <c r="S1269" s="7"/>
      <c r="T1269" s="7"/>
      <c r="U1269" s="7"/>
      <c r="Y1269" s="7"/>
      <c r="Z1269" s="17"/>
      <c r="AC1269" s="7"/>
      <c r="AD1269" s="7"/>
      <c r="AE1269" s="7"/>
      <c r="AF1269" s="7"/>
      <c r="AG1269" s="7"/>
      <c r="AH1269" s="7"/>
      <c r="AJ1269" s="7"/>
      <c r="AK1269" s="7"/>
      <c r="AL1269" s="7"/>
      <c r="AM1269" s="7"/>
      <c r="AN1269" s="7"/>
      <c r="AO1269" s="7"/>
      <c r="AR1269" s="7"/>
      <c r="AS1269" s="7"/>
      <c r="AT1269" s="7"/>
      <c r="AU1269" s="7"/>
      <c r="AW1269" s="7"/>
      <c r="CE1269" s="7"/>
      <c r="FZ1269" s="2"/>
    </row>
    <row r="1270" spans="1:182">
      <c r="A1270" s="7"/>
      <c r="D1270" s="7"/>
      <c r="E1270" s="7"/>
      <c r="F1270" s="7"/>
      <c r="G1270" s="7"/>
      <c r="H1270" s="7"/>
      <c r="I1270" s="7"/>
      <c r="J1270" s="7"/>
      <c r="K1270" s="7"/>
      <c r="L1270" s="7"/>
      <c r="M1270" s="7"/>
      <c r="N1270" s="7"/>
      <c r="O1270" s="7"/>
      <c r="P1270" s="7"/>
      <c r="Q1270" s="7"/>
      <c r="R1270" s="7"/>
      <c r="S1270" s="7"/>
      <c r="T1270" s="7"/>
      <c r="U1270" s="7"/>
      <c r="Y1270" s="7"/>
      <c r="Z1270" s="17"/>
      <c r="AC1270" s="7"/>
      <c r="AD1270" s="7"/>
      <c r="AE1270" s="7"/>
      <c r="AF1270" s="7"/>
      <c r="AG1270" s="7"/>
      <c r="AH1270" s="7"/>
      <c r="AJ1270" s="7"/>
      <c r="AK1270" s="7"/>
      <c r="AL1270" s="7"/>
      <c r="AM1270" s="7"/>
      <c r="AN1270" s="7"/>
      <c r="AO1270" s="7"/>
      <c r="AR1270" s="7"/>
      <c r="AS1270" s="7"/>
      <c r="AT1270" s="7"/>
      <c r="AU1270" s="7"/>
      <c r="AW1270" s="7"/>
      <c r="CE1270" s="7"/>
      <c r="FZ1270" s="2"/>
    </row>
    <row r="1271" spans="1:182">
      <c r="A1271" s="7"/>
      <c r="D1271" s="7"/>
      <c r="E1271" s="7"/>
      <c r="F1271" s="7"/>
      <c r="G1271" s="7"/>
      <c r="H1271" s="7"/>
      <c r="I1271" s="7"/>
      <c r="J1271" s="7"/>
      <c r="K1271" s="7"/>
      <c r="L1271" s="7"/>
      <c r="M1271" s="7"/>
      <c r="N1271" s="7"/>
      <c r="O1271" s="7"/>
      <c r="P1271" s="7"/>
      <c r="Q1271" s="7"/>
      <c r="R1271" s="7"/>
      <c r="S1271" s="7"/>
      <c r="T1271" s="7"/>
      <c r="U1271" s="7"/>
      <c r="Y1271" s="7"/>
      <c r="Z1271" s="17"/>
      <c r="AC1271" s="7"/>
      <c r="AD1271" s="7"/>
      <c r="AE1271" s="7"/>
      <c r="AF1271" s="7"/>
      <c r="AG1271" s="7"/>
      <c r="AH1271" s="7"/>
      <c r="AJ1271" s="7"/>
      <c r="AK1271" s="7"/>
      <c r="AL1271" s="7"/>
      <c r="AM1271" s="7"/>
      <c r="AN1271" s="7"/>
      <c r="AO1271" s="7"/>
      <c r="AR1271" s="7"/>
      <c r="AS1271" s="7"/>
      <c r="AT1271" s="7"/>
      <c r="AU1271" s="7"/>
      <c r="AW1271" s="7"/>
      <c r="CE1271" s="7"/>
      <c r="FZ1271" s="2"/>
    </row>
    <row r="1272" spans="1:182">
      <c r="A1272" s="7"/>
      <c r="D1272" s="7"/>
      <c r="E1272" s="7"/>
      <c r="F1272" s="7"/>
      <c r="G1272" s="7"/>
      <c r="H1272" s="7"/>
      <c r="I1272" s="7"/>
      <c r="J1272" s="7"/>
      <c r="K1272" s="7"/>
      <c r="L1272" s="7"/>
      <c r="M1272" s="7"/>
      <c r="N1272" s="7"/>
      <c r="O1272" s="7"/>
      <c r="P1272" s="7"/>
      <c r="Q1272" s="7"/>
      <c r="R1272" s="7"/>
      <c r="S1272" s="7"/>
      <c r="T1272" s="7"/>
      <c r="U1272" s="7"/>
      <c r="Y1272" s="7"/>
      <c r="Z1272" s="17"/>
      <c r="AC1272" s="7"/>
      <c r="AD1272" s="7"/>
      <c r="AE1272" s="7"/>
      <c r="AF1272" s="7"/>
      <c r="AG1272" s="7"/>
      <c r="AH1272" s="7"/>
      <c r="AJ1272" s="7"/>
      <c r="AK1272" s="7"/>
      <c r="AL1272" s="7"/>
      <c r="AM1272" s="7"/>
      <c r="AN1272" s="7"/>
      <c r="AO1272" s="7"/>
      <c r="AR1272" s="7"/>
      <c r="AS1272" s="7"/>
      <c r="AT1272" s="7"/>
      <c r="AU1272" s="7"/>
      <c r="AW1272" s="7"/>
      <c r="CE1272" s="7"/>
      <c r="FZ1272" s="2"/>
    </row>
    <row r="1273" spans="1:182">
      <c r="A1273" s="7"/>
      <c r="D1273" s="7"/>
      <c r="E1273" s="7"/>
      <c r="F1273" s="7"/>
      <c r="G1273" s="7"/>
      <c r="H1273" s="7"/>
      <c r="I1273" s="7"/>
      <c r="J1273" s="7"/>
      <c r="K1273" s="7"/>
      <c r="L1273" s="7"/>
      <c r="M1273" s="7"/>
      <c r="N1273" s="7"/>
      <c r="O1273" s="7"/>
      <c r="P1273" s="7"/>
      <c r="Q1273" s="7"/>
      <c r="R1273" s="7"/>
      <c r="S1273" s="7"/>
      <c r="T1273" s="7"/>
      <c r="U1273" s="7"/>
      <c r="Y1273" s="7"/>
      <c r="Z1273" s="17"/>
      <c r="AC1273" s="7"/>
      <c r="AD1273" s="7"/>
      <c r="AE1273" s="7"/>
      <c r="AF1273" s="7"/>
      <c r="AG1273" s="7"/>
      <c r="AH1273" s="7"/>
      <c r="AJ1273" s="7"/>
      <c r="AK1273" s="7"/>
      <c r="AL1273" s="7"/>
      <c r="AM1273" s="7"/>
      <c r="AN1273" s="7"/>
      <c r="AO1273" s="7"/>
      <c r="AR1273" s="7"/>
      <c r="AS1273" s="7"/>
      <c r="AT1273" s="7"/>
      <c r="AU1273" s="7"/>
      <c r="AW1273" s="7"/>
      <c r="CE1273" s="7"/>
      <c r="FZ1273" s="2"/>
    </row>
    <row r="1274" spans="1:182">
      <c r="A1274" s="7"/>
      <c r="D1274" s="7"/>
      <c r="E1274" s="7"/>
      <c r="F1274" s="7"/>
      <c r="G1274" s="7"/>
      <c r="H1274" s="7"/>
      <c r="I1274" s="7"/>
      <c r="J1274" s="7"/>
      <c r="K1274" s="7"/>
      <c r="L1274" s="7"/>
      <c r="M1274" s="7"/>
      <c r="N1274" s="7"/>
      <c r="O1274" s="7"/>
      <c r="P1274" s="7"/>
      <c r="Q1274" s="7"/>
      <c r="R1274" s="7"/>
      <c r="S1274" s="7"/>
      <c r="T1274" s="7"/>
      <c r="U1274" s="7"/>
      <c r="Y1274" s="7"/>
      <c r="Z1274" s="17"/>
      <c r="AC1274" s="7"/>
      <c r="AD1274" s="7"/>
      <c r="AE1274" s="7"/>
      <c r="AF1274" s="7"/>
      <c r="AG1274" s="7"/>
      <c r="AH1274" s="7"/>
      <c r="AJ1274" s="7"/>
      <c r="AK1274" s="7"/>
      <c r="AL1274" s="7"/>
      <c r="AM1274" s="7"/>
      <c r="AN1274" s="7"/>
      <c r="AO1274" s="7"/>
      <c r="AR1274" s="7"/>
      <c r="AS1274" s="7"/>
      <c r="AT1274" s="7"/>
      <c r="AU1274" s="7"/>
      <c r="AW1274" s="7"/>
      <c r="CE1274" s="7"/>
      <c r="FZ1274" s="2"/>
    </row>
    <row r="1275" spans="1:182">
      <c r="A1275" s="7"/>
      <c r="D1275" s="7"/>
      <c r="E1275" s="7"/>
      <c r="F1275" s="7"/>
      <c r="G1275" s="7"/>
      <c r="H1275" s="7"/>
      <c r="I1275" s="7"/>
      <c r="J1275" s="7"/>
      <c r="K1275" s="7"/>
      <c r="L1275" s="7"/>
      <c r="M1275" s="7"/>
      <c r="N1275" s="7"/>
      <c r="O1275" s="7"/>
      <c r="P1275" s="7"/>
      <c r="Q1275" s="7"/>
      <c r="R1275" s="7"/>
      <c r="S1275" s="7"/>
      <c r="T1275" s="7"/>
      <c r="U1275" s="7"/>
      <c r="Y1275" s="7"/>
      <c r="Z1275" s="17"/>
      <c r="AC1275" s="7"/>
      <c r="AD1275" s="7"/>
      <c r="AE1275" s="7"/>
      <c r="AF1275" s="7"/>
      <c r="AG1275" s="7"/>
      <c r="AH1275" s="7"/>
      <c r="AJ1275" s="7"/>
      <c r="AK1275" s="7"/>
      <c r="AL1275" s="7"/>
      <c r="AM1275" s="7"/>
      <c r="AN1275" s="7"/>
      <c r="AO1275" s="7"/>
      <c r="AR1275" s="7"/>
      <c r="AS1275" s="7"/>
      <c r="AT1275" s="7"/>
      <c r="AU1275" s="7"/>
      <c r="AW1275" s="7"/>
      <c r="CE1275" s="7"/>
      <c r="FZ1275" s="2"/>
    </row>
    <row r="1276" spans="1:182">
      <c r="A1276" s="7"/>
      <c r="D1276" s="7"/>
      <c r="E1276" s="7"/>
      <c r="F1276" s="7"/>
      <c r="G1276" s="7"/>
      <c r="H1276" s="7"/>
      <c r="I1276" s="7"/>
      <c r="J1276" s="7"/>
      <c r="K1276" s="7"/>
      <c r="L1276" s="7"/>
      <c r="M1276" s="7"/>
      <c r="N1276" s="7"/>
      <c r="O1276" s="7"/>
      <c r="P1276" s="7"/>
      <c r="Q1276" s="7"/>
      <c r="R1276" s="7"/>
      <c r="S1276" s="7"/>
      <c r="T1276" s="7"/>
      <c r="U1276" s="7"/>
      <c r="Y1276" s="7"/>
      <c r="Z1276" s="17"/>
      <c r="AC1276" s="7"/>
      <c r="AD1276" s="7"/>
      <c r="AE1276" s="7"/>
      <c r="AF1276" s="7"/>
      <c r="AG1276" s="7"/>
      <c r="AH1276" s="7"/>
      <c r="AJ1276" s="7"/>
      <c r="AK1276" s="7"/>
      <c r="AL1276" s="7"/>
      <c r="AM1276" s="7"/>
      <c r="AN1276" s="7"/>
      <c r="AO1276" s="7"/>
      <c r="AR1276" s="7"/>
      <c r="AS1276" s="7"/>
      <c r="AT1276" s="7"/>
      <c r="AU1276" s="7"/>
      <c r="AW1276" s="7"/>
      <c r="CE1276" s="7"/>
      <c r="FZ1276" s="2"/>
    </row>
    <row r="1277" spans="1:182">
      <c r="A1277" s="7"/>
      <c r="D1277" s="7"/>
      <c r="E1277" s="7"/>
      <c r="F1277" s="7"/>
      <c r="G1277" s="7"/>
      <c r="H1277" s="7"/>
      <c r="I1277" s="7"/>
      <c r="J1277" s="7"/>
      <c r="K1277" s="7"/>
      <c r="L1277" s="7"/>
      <c r="M1277" s="7"/>
      <c r="N1277" s="7"/>
      <c r="O1277" s="7"/>
      <c r="P1277" s="7"/>
      <c r="Q1277" s="7"/>
      <c r="R1277" s="7"/>
      <c r="S1277" s="7"/>
      <c r="T1277" s="7"/>
      <c r="U1277" s="7"/>
      <c r="Y1277" s="7"/>
      <c r="Z1277" s="17"/>
      <c r="AC1277" s="7"/>
      <c r="AD1277" s="7"/>
      <c r="AE1277" s="7"/>
      <c r="AF1277" s="7"/>
      <c r="AG1277" s="7"/>
      <c r="AH1277" s="7"/>
      <c r="AJ1277" s="7"/>
      <c r="AK1277" s="7"/>
      <c r="AL1277" s="7"/>
      <c r="AM1277" s="7"/>
      <c r="AN1277" s="7"/>
      <c r="AO1277" s="7"/>
      <c r="AR1277" s="7"/>
      <c r="AS1277" s="7"/>
      <c r="AT1277" s="7"/>
      <c r="AU1277" s="7"/>
      <c r="AW1277" s="7"/>
      <c r="CE1277" s="7"/>
      <c r="FZ1277" s="2"/>
    </row>
    <row r="1278" spans="1:182">
      <c r="A1278" s="7"/>
      <c r="D1278" s="7"/>
      <c r="E1278" s="7"/>
      <c r="F1278" s="7"/>
      <c r="G1278" s="7"/>
      <c r="H1278" s="7"/>
      <c r="I1278" s="7"/>
      <c r="J1278" s="7"/>
      <c r="K1278" s="7"/>
      <c r="L1278" s="7"/>
      <c r="M1278" s="7"/>
      <c r="N1278" s="7"/>
      <c r="O1278" s="7"/>
      <c r="P1278" s="7"/>
      <c r="Q1278" s="7"/>
      <c r="R1278" s="7"/>
      <c r="S1278" s="7"/>
      <c r="T1278" s="7"/>
      <c r="U1278" s="7"/>
      <c r="Y1278" s="7"/>
      <c r="Z1278" s="17"/>
      <c r="AC1278" s="7"/>
      <c r="AD1278" s="7"/>
      <c r="AE1278" s="7"/>
      <c r="AF1278" s="7"/>
      <c r="AG1278" s="7"/>
      <c r="AH1278" s="7"/>
      <c r="AJ1278" s="7"/>
      <c r="AK1278" s="7"/>
      <c r="AL1278" s="7"/>
      <c r="AM1278" s="7"/>
      <c r="AN1278" s="7"/>
      <c r="AO1278" s="7"/>
      <c r="AR1278" s="7"/>
      <c r="AS1278" s="7"/>
      <c r="AT1278" s="7"/>
      <c r="AU1278" s="7"/>
      <c r="AW1278" s="7"/>
      <c r="CE1278" s="7"/>
      <c r="FZ1278" s="2"/>
    </row>
    <row r="1279" spans="1:182">
      <c r="A1279" s="7"/>
      <c r="D1279" s="7"/>
      <c r="E1279" s="7"/>
      <c r="F1279" s="7"/>
      <c r="G1279" s="7"/>
      <c r="H1279" s="7"/>
      <c r="I1279" s="7"/>
      <c r="J1279" s="7"/>
      <c r="K1279" s="7"/>
      <c r="L1279" s="7"/>
      <c r="M1279" s="7"/>
      <c r="N1279" s="7"/>
      <c r="O1279" s="7"/>
      <c r="P1279" s="7"/>
      <c r="Q1279" s="7"/>
      <c r="R1279" s="7"/>
      <c r="S1279" s="7"/>
      <c r="T1279" s="7"/>
      <c r="U1279" s="7"/>
      <c r="Y1279" s="7"/>
      <c r="Z1279" s="17"/>
      <c r="AC1279" s="7"/>
      <c r="AD1279" s="7"/>
      <c r="AE1279" s="7"/>
      <c r="AF1279" s="7"/>
      <c r="AG1279" s="7"/>
      <c r="AH1279" s="7"/>
      <c r="AJ1279" s="7"/>
      <c r="AK1279" s="7"/>
      <c r="AL1279" s="7"/>
      <c r="AM1279" s="7"/>
      <c r="AN1279" s="7"/>
      <c r="AO1279" s="7"/>
      <c r="AR1279" s="7"/>
      <c r="AS1279" s="7"/>
      <c r="AT1279" s="7"/>
      <c r="AU1279" s="7"/>
      <c r="AW1279" s="7"/>
      <c r="CE1279" s="7"/>
      <c r="FZ1279" s="2"/>
    </row>
    <row r="1280" spans="1:182">
      <c r="A1280" s="7"/>
      <c r="D1280" s="7"/>
      <c r="E1280" s="7"/>
      <c r="F1280" s="7"/>
      <c r="G1280" s="7"/>
      <c r="H1280" s="7"/>
      <c r="I1280" s="7"/>
      <c r="J1280" s="7"/>
      <c r="K1280" s="7"/>
      <c r="L1280" s="7"/>
      <c r="M1280" s="7"/>
      <c r="N1280" s="7"/>
      <c r="O1280" s="7"/>
      <c r="P1280" s="7"/>
      <c r="Q1280" s="7"/>
      <c r="R1280" s="7"/>
      <c r="S1280" s="7"/>
      <c r="T1280" s="7"/>
      <c r="U1280" s="7"/>
      <c r="Y1280" s="7"/>
      <c r="Z1280" s="17"/>
      <c r="AC1280" s="7"/>
      <c r="AD1280" s="7"/>
      <c r="AE1280" s="7"/>
      <c r="AF1280" s="7"/>
      <c r="AG1280" s="7"/>
      <c r="AH1280" s="7"/>
      <c r="AJ1280" s="7"/>
      <c r="AK1280" s="7"/>
      <c r="AL1280" s="7"/>
      <c r="AM1280" s="7"/>
      <c r="AN1280" s="7"/>
      <c r="AO1280" s="7"/>
      <c r="AR1280" s="7"/>
      <c r="AS1280" s="7"/>
      <c r="AT1280" s="7"/>
      <c r="AU1280" s="7"/>
      <c r="AW1280" s="7"/>
      <c r="CE1280" s="7"/>
      <c r="FZ1280" s="2"/>
    </row>
    <row r="1281" spans="1:182">
      <c r="A1281" s="7"/>
      <c r="D1281" s="7"/>
      <c r="E1281" s="7"/>
      <c r="F1281" s="7"/>
      <c r="G1281" s="7"/>
      <c r="H1281" s="7"/>
      <c r="I1281" s="7"/>
      <c r="J1281" s="7"/>
      <c r="K1281" s="7"/>
      <c r="L1281" s="7"/>
      <c r="M1281" s="7"/>
      <c r="N1281" s="7"/>
      <c r="O1281" s="7"/>
      <c r="P1281" s="7"/>
      <c r="Q1281" s="7"/>
      <c r="R1281" s="7"/>
      <c r="S1281" s="7"/>
      <c r="T1281" s="7"/>
      <c r="U1281" s="7"/>
      <c r="Y1281" s="7"/>
      <c r="Z1281" s="17"/>
      <c r="AC1281" s="7"/>
      <c r="AD1281" s="7"/>
      <c r="AE1281" s="7"/>
      <c r="AF1281" s="7"/>
      <c r="AG1281" s="7"/>
      <c r="AH1281" s="7"/>
      <c r="AJ1281" s="7"/>
      <c r="AK1281" s="7"/>
      <c r="AL1281" s="7"/>
      <c r="AM1281" s="7"/>
      <c r="AN1281" s="7"/>
      <c r="AO1281" s="7"/>
      <c r="AR1281" s="7"/>
      <c r="AS1281" s="7"/>
      <c r="AT1281" s="7"/>
      <c r="AU1281" s="7"/>
      <c r="AW1281" s="7"/>
      <c r="CE1281" s="7"/>
      <c r="FZ1281" s="2"/>
    </row>
    <row r="1282" spans="1:182">
      <c r="A1282" s="7"/>
      <c r="D1282" s="7"/>
      <c r="E1282" s="7"/>
      <c r="F1282" s="7"/>
      <c r="G1282" s="7"/>
      <c r="H1282" s="7"/>
      <c r="I1282" s="7"/>
      <c r="J1282" s="7"/>
      <c r="K1282" s="7"/>
      <c r="L1282" s="7"/>
      <c r="M1282" s="7"/>
      <c r="N1282" s="7"/>
      <c r="O1282" s="7"/>
      <c r="P1282" s="7"/>
      <c r="Q1282" s="7"/>
      <c r="R1282" s="7"/>
      <c r="S1282" s="7"/>
      <c r="T1282" s="7"/>
      <c r="U1282" s="7"/>
      <c r="Y1282" s="7"/>
      <c r="Z1282" s="17"/>
      <c r="AC1282" s="7"/>
      <c r="AD1282" s="7"/>
      <c r="AE1282" s="7"/>
      <c r="AF1282" s="7"/>
      <c r="AG1282" s="7"/>
      <c r="AH1282" s="7"/>
      <c r="AJ1282" s="7"/>
      <c r="AK1282" s="7"/>
      <c r="AL1282" s="7"/>
      <c r="AM1282" s="7"/>
      <c r="AN1282" s="7"/>
      <c r="AO1282" s="7"/>
      <c r="AR1282" s="7"/>
      <c r="AS1282" s="7"/>
      <c r="AT1282" s="7"/>
      <c r="AU1282" s="7"/>
      <c r="AW1282" s="7"/>
      <c r="CE1282" s="7"/>
      <c r="FZ1282" s="2"/>
    </row>
    <row r="1283" spans="1:182">
      <c r="A1283" s="7"/>
      <c r="D1283" s="7"/>
      <c r="E1283" s="7"/>
      <c r="F1283" s="7"/>
      <c r="G1283" s="7"/>
      <c r="H1283" s="7"/>
      <c r="I1283" s="7"/>
      <c r="J1283" s="7"/>
      <c r="K1283" s="7"/>
      <c r="L1283" s="7"/>
      <c r="M1283" s="7"/>
      <c r="N1283" s="7"/>
      <c r="O1283" s="7"/>
      <c r="P1283" s="7"/>
      <c r="Q1283" s="7"/>
      <c r="R1283" s="7"/>
      <c r="S1283" s="7"/>
      <c r="T1283" s="7"/>
      <c r="U1283" s="7"/>
      <c r="Y1283" s="7"/>
      <c r="Z1283" s="17"/>
      <c r="AC1283" s="7"/>
      <c r="AD1283" s="7"/>
      <c r="AE1283" s="7"/>
      <c r="AF1283" s="7"/>
      <c r="AG1283" s="7"/>
      <c r="AH1283" s="7"/>
      <c r="AJ1283" s="7"/>
      <c r="AK1283" s="7"/>
      <c r="AL1283" s="7"/>
      <c r="AM1283" s="7"/>
      <c r="AN1283" s="7"/>
      <c r="AO1283" s="7"/>
      <c r="AR1283" s="7"/>
      <c r="AS1283" s="7"/>
      <c r="AT1283" s="7"/>
      <c r="AU1283" s="7"/>
      <c r="AW1283" s="7"/>
      <c r="CE1283" s="7"/>
      <c r="FZ1283" s="2"/>
    </row>
    <row r="1284" spans="1:182">
      <c r="A1284" s="7"/>
      <c r="D1284" s="7"/>
      <c r="E1284" s="7"/>
      <c r="F1284" s="7"/>
      <c r="G1284" s="7"/>
      <c r="H1284" s="7"/>
      <c r="I1284" s="7"/>
      <c r="J1284" s="7"/>
      <c r="K1284" s="7"/>
      <c r="L1284" s="7"/>
      <c r="M1284" s="7"/>
      <c r="N1284" s="7"/>
      <c r="O1284" s="7"/>
      <c r="P1284" s="7"/>
      <c r="Q1284" s="7"/>
      <c r="R1284" s="7"/>
      <c r="S1284" s="7"/>
      <c r="T1284" s="7"/>
      <c r="U1284" s="7"/>
      <c r="Y1284" s="7"/>
      <c r="Z1284" s="17"/>
      <c r="AC1284" s="7"/>
      <c r="AD1284" s="7"/>
      <c r="AE1284" s="7"/>
      <c r="AF1284" s="7"/>
      <c r="AG1284" s="7"/>
      <c r="AH1284" s="7"/>
      <c r="AJ1284" s="7"/>
      <c r="AK1284" s="7"/>
      <c r="AL1284" s="7"/>
      <c r="AM1284" s="7"/>
      <c r="AN1284" s="7"/>
      <c r="AO1284" s="7"/>
      <c r="AR1284" s="7"/>
      <c r="AS1284" s="7"/>
      <c r="AT1284" s="7"/>
      <c r="AU1284" s="7"/>
      <c r="AW1284" s="7"/>
      <c r="CE1284" s="7"/>
      <c r="FZ1284" s="2"/>
    </row>
    <row r="1285" spans="1:182">
      <c r="A1285" s="7"/>
      <c r="D1285" s="7"/>
      <c r="E1285" s="7"/>
      <c r="F1285" s="7"/>
      <c r="G1285" s="7"/>
      <c r="H1285" s="7"/>
      <c r="I1285" s="7"/>
      <c r="J1285" s="7"/>
      <c r="K1285" s="7"/>
      <c r="L1285" s="7"/>
      <c r="M1285" s="7"/>
      <c r="N1285" s="7"/>
      <c r="O1285" s="7"/>
      <c r="P1285" s="7"/>
      <c r="Q1285" s="7"/>
      <c r="R1285" s="7"/>
      <c r="S1285" s="7"/>
      <c r="T1285" s="7"/>
      <c r="U1285" s="7"/>
      <c r="Y1285" s="7"/>
      <c r="Z1285" s="17"/>
      <c r="AC1285" s="7"/>
      <c r="AD1285" s="7"/>
      <c r="AE1285" s="7"/>
      <c r="AF1285" s="7"/>
      <c r="AG1285" s="7"/>
      <c r="AH1285" s="7"/>
      <c r="AJ1285" s="7"/>
      <c r="AK1285" s="7"/>
      <c r="AL1285" s="7"/>
      <c r="AM1285" s="7"/>
      <c r="AN1285" s="7"/>
      <c r="AO1285" s="7"/>
      <c r="AR1285" s="7"/>
      <c r="AS1285" s="7"/>
      <c r="AT1285" s="7"/>
      <c r="AU1285" s="7"/>
      <c r="AW1285" s="7"/>
      <c r="CE1285" s="7"/>
      <c r="FZ1285" s="2"/>
    </row>
    <row r="1286" spans="1:182">
      <c r="A1286" s="7"/>
      <c r="D1286" s="7"/>
      <c r="E1286" s="7"/>
      <c r="F1286" s="7"/>
      <c r="G1286" s="7"/>
      <c r="H1286" s="7"/>
      <c r="I1286" s="7"/>
      <c r="J1286" s="7"/>
      <c r="K1286" s="7"/>
      <c r="L1286" s="7"/>
      <c r="M1286" s="7"/>
      <c r="N1286" s="7"/>
      <c r="O1286" s="7"/>
      <c r="P1286" s="7"/>
      <c r="Q1286" s="7"/>
      <c r="R1286" s="7"/>
      <c r="S1286" s="7"/>
      <c r="T1286" s="7"/>
      <c r="U1286" s="7"/>
      <c r="Y1286" s="7"/>
      <c r="Z1286" s="17"/>
      <c r="AC1286" s="7"/>
      <c r="AD1286" s="7"/>
      <c r="AE1286" s="7"/>
      <c r="AF1286" s="7"/>
      <c r="AG1286" s="7"/>
      <c r="AH1286" s="7"/>
      <c r="AJ1286" s="7"/>
      <c r="AK1286" s="7"/>
      <c r="AL1286" s="7"/>
      <c r="AM1286" s="7"/>
      <c r="AN1286" s="7"/>
      <c r="AO1286" s="7"/>
      <c r="AR1286" s="7"/>
      <c r="AS1286" s="7"/>
      <c r="AT1286" s="7"/>
      <c r="AU1286" s="7"/>
      <c r="AW1286" s="7"/>
      <c r="CE1286" s="7"/>
      <c r="FZ1286" s="2"/>
    </row>
    <row r="1287" spans="1:182">
      <c r="A1287" s="7"/>
      <c r="D1287" s="7"/>
      <c r="E1287" s="7"/>
      <c r="F1287" s="7"/>
      <c r="G1287" s="7"/>
      <c r="H1287" s="7"/>
      <c r="I1287" s="7"/>
      <c r="J1287" s="7"/>
      <c r="K1287" s="7"/>
      <c r="L1287" s="7"/>
      <c r="M1287" s="7"/>
      <c r="N1287" s="7"/>
      <c r="O1287" s="7"/>
      <c r="P1287" s="7"/>
      <c r="Q1287" s="7"/>
      <c r="R1287" s="7"/>
      <c r="S1287" s="7"/>
      <c r="T1287" s="7"/>
      <c r="U1287" s="7"/>
      <c r="Y1287" s="7"/>
      <c r="Z1287" s="17"/>
      <c r="AC1287" s="7"/>
      <c r="AD1287" s="7"/>
      <c r="AE1287" s="7"/>
      <c r="AF1287" s="7"/>
      <c r="AG1287" s="7"/>
      <c r="AH1287" s="7"/>
      <c r="AJ1287" s="7"/>
      <c r="AK1287" s="7"/>
      <c r="AL1287" s="7"/>
      <c r="AM1287" s="7"/>
      <c r="AN1287" s="7"/>
      <c r="AO1287" s="7"/>
      <c r="AR1287" s="7"/>
      <c r="AS1287" s="7"/>
      <c r="AT1287" s="7"/>
      <c r="AU1287" s="7"/>
      <c r="AW1287" s="7"/>
      <c r="CE1287" s="7"/>
      <c r="FZ1287" s="2"/>
    </row>
    <row r="1288" spans="1:182">
      <c r="A1288" s="7"/>
      <c r="D1288" s="7"/>
      <c r="E1288" s="7"/>
      <c r="F1288" s="7"/>
      <c r="G1288" s="7"/>
      <c r="H1288" s="7"/>
      <c r="I1288" s="7"/>
      <c r="J1288" s="7"/>
      <c r="K1288" s="7"/>
      <c r="L1288" s="7"/>
      <c r="M1288" s="7"/>
      <c r="N1288" s="7"/>
      <c r="O1288" s="7"/>
      <c r="P1288" s="7"/>
      <c r="Q1288" s="7"/>
      <c r="R1288" s="7"/>
      <c r="S1288" s="7"/>
      <c r="T1288" s="7"/>
      <c r="U1288" s="7"/>
      <c r="Y1288" s="7"/>
      <c r="Z1288" s="17"/>
      <c r="AC1288" s="7"/>
      <c r="AD1288" s="7"/>
      <c r="AE1288" s="7"/>
      <c r="AF1288" s="7"/>
      <c r="AG1288" s="7"/>
      <c r="AH1288" s="7"/>
      <c r="AJ1288" s="7"/>
      <c r="AK1288" s="7"/>
      <c r="AL1288" s="7"/>
      <c r="AM1288" s="7"/>
      <c r="AN1288" s="7"/>
      <c r="AO1288" s="7"/>
      <c r="AR1288" s="7"/>
      <c r="AS1288" s="7"/>
      <c r="AT1288" s="7"/>
      <c r="AU1288" s="7"/>
      <c r="AW1288" s="7"/>
      <c r="CE1288" s="7"/>
      <c r="FZ1288" s="2"/>
    </row>
    <row r="1289" spans="1:182">
      <c r="A1289" s="7"/>
      <c r="D1289" s="7"/>
      <c r="E1289" s="7"/>
      <c r="F1289" s="7"/>
      <c r="G1289" s="7"/>
      <c r="H1289" s="7"/>
      <c r="I1289" s="7"/>
      <c r="J1289" s="7"/>
      <c r="K1289" s="7"/>
      <c r="L1289" s="7"/>
      <c r="M1289" s="7"/>
      <c r="N1289" s="7"/>
      <c r="O1289" s="7"/>
      <c r="P1289" s="7"/>
      <c r="Q1289" s="7"/>
      <c r="R1289" s="7"/>
      <c r="S1289" s="7"/>
      <c r="T1289" s="7"/>
      <c r="U1289" s="7"/>
      <c r="Y1289" s="7"/>
      <c r="Z1289" s="17"/>
      <c r="AC1289" s="7"/>
      <c r="AD1289" s="7"/>
      <c r="AE1289" s="7"/>
      <c r="AF1289" s="7"/>
      <c r="AG1289" s="7"/>
      <c r="AH1289" s="7"/>
      <c r="AJ1289" s="7"/>
      <c r="AK1289" s="7"/>
      <c r="AL1289" s="7"/>
      <c r="AM1289" s="7"/>
      <c r="AN1289" s="7"/>
      <c r="AO1289" s="7"/>
      <c r="AR1289" s="7"/>
      <c r="AS1289" s="7"/>
      <c r="AT1289" s="7"/>
      <c r="AU1289" s="7"/>
      <c r="AW1289" s="7"/>
      <c r="CE1289" s="7"/>
      <c r="FZ1289" s="2"/>
    </row>
    <row r="1290" spans="1:182">
      <c r="A1290" s="7"/>
      <c r="D1290" s="7"/>
      <c r="E1290" s="7"/>
      <c r="F1290" s="7"/>
      <c r="G1290" s="7"/>
      <c r="H1290" s="7"/>
      <c r="I1290" s="7"/>
      <c r="J1290" s="7"/>
      <c r="K1290" s="7"/>
      <c r="L1290" s="7"/>
      <c r="M1290" s="7"/>
      <c r="N1290" s="7"/>
      <c r="O1290" s="7"/>
      <c r="P1290" s="7"/>
      <c r="Q1290" s="7"/>
      <c r="R1290" s="7"/>
      <c r="S1290" s="7"/>
      <c r="T1290" s="7"/>
      <c r="U1290" s="7"/>
      <c r="Y1290" s="7"/>
      <c r="Z1290" s="17"/>
      <c r="AC1290" s="7"/>
      <c r="AD1290" s="7"/>
      <c r="AE1290" s="7"/>
      <c r="AF1290" s="7"/>
      <c r="AG1290" s="7"/>
      <c r="AH1290" s="7"/>
      <c r="AJ1290" s="7"/>
      <c r="AK1290" s="7"/>
      <c r="AL1290" s="7"/>
      <c r="AM1290" s="7"/>
      <c r="AN1290" s="7"/>
      <c r="AO1290" s="7"/>
      <c r="AR1290" s="7"/>
      <c r="AS1290" s="7"/>
      <c r="AT1290" s="7"/>
      <c r="AU1290" s="7"/>
      <c r="AW1290" s="7"/>
      <c r="CE1290" s="7"/>
      <c r="FZ1290" s="2"/>
    </row>
    <row r="1291" spans="1:182">
      <c r="A1291" s="7"/>
      <c r="D1291" s="7"/>
      <c r="E1291" s="7"/>
      <c r="F1291" s="7"/>
      <c r="G1291" s="7"/>
      <c r="H1291" s="7"/>
      <c r="I1291" s="7"/>
      <c r="J1291" s="7"/>
      <c r="K1291" s="7"/>
      <c r="L1291" s="7"/>
      <c r="M1291" s="7"/>
      <c r="N1291" s="7"/>
      <c r="O1291" s="7"/>
      <c r="P1291" s="7"/>
      <c r="Q1291" s="7"/>
      <c r="R1291" s="7"/>
      <c r="S1291" s="7"/>
      <c r="T1291" s="7"/>
      <c r="U1291" s="7"/>
      <c r="Y1291" s="7"/>
      <c r="Z1291" s="17"/>
      <c r="AC1291" s="7"/>
      <c r="AD1291" s="7"/>
      <c r="AE1291" s="7"/>
      <c r="AF1291" s="7"/>
      <c r="AG1291" s="7"/>
      <c r="AH1291" s="7"/>
      <c r="AJ1291" s="7"/>
      <c r="AK1291" s="7"/>
      <c r="AL1291" s="7"/>
      <c r="AM1291" s="7"/>
      <c r="AN1291" s="7"/>
      <c r="AO1291" s="7"/>
      <c r="AR1291" s="7"/>
      <c r="AS1291" s="7"/>
      <c r="AT1291" s="7"/>
      <c r="AU1291" s="7"/>
      <c r="AW1291" s="7"/>
      <c r="CE1291" s="7"/>
      <c r="FZ1291" s="2"/>
    </row>
    <row r="1292" spans="1:182">
      <c r="A1292" s="7"/>
      <c r="D1292" s="7"/>
      <c r="E1292" s="7"/>
      <c r="F1292" s="7"/>
      <c r="G1292" s="7"/>
      <c r="H1292" s="7"/>
      <c r="I1292" s="7"/>
      <c r="J1292" s="7"/>
      <c r="K1292" s="7"/>
      <c r="L1292" s="7"/>
      <c r="M1292" s="7"/>
      <c r="N1292" s="7"/>
      <c r="O1292" s="7"/>
      <c r="P1292" s="7"/>
      <c r="Q1292" s="7"/>
      <c r="R1292" s="7"/>
      <c r="S1292" s="7"/>
      <c r="T1292" s="7"/>
      <c r="U1292" s="7"/>
      <c r="Y1292" s="7"/>
      <c r="Z1292" s="17"/>
      <c r="AC1292" s="7"/>
      <c r="AD1292" s="7"/>
      <c r="AE1292" s="7"/>
      <c r="AF1292" s="7"/>
      <c r="AG1292" s="7"/>
      <c r="AH1292" s="7"/>
      <c r="AJ1292" s="7"/>
      <c r="AK1292" s="7"/>
      <c r="AL1292" s="7"/>
      <c r="AM1292" s="7"/>
      <c r="AN1292" s="7"/>
      <c r="AO1292" s="7"/>
      <c r="AR1292" s="7"/>
      <c r="AS1292" s="7"/>
      <c r="AT1292" s="7"/>
      <c r="AU1292" s="7"/>
      <c r="AW1292" s="7"/>
      <c r="CE1292" s="7"/>
      <c r="FZ1292" s="2"/>
    </row>
    <row r="1293" spans="1:182">
      <c r="A1293" s="7"/>
      <c r="D1293" s="7"/>
      <c r="E1293" s="7"/>
      <c r="F1293" s="7"/>
      <c r="G1293" s="7"/>
      <c r="H1293" s="7"/>
      <c r="I1293" s="7"/>
      <c r="J1293" s="7"/>
      <c r="K1293" s="7"/>
      <c r="L1293" s="7"/>
      <c r="M1293" s="7"/>
      <c r="N1293" s="7"/>
      <c r="O1293" s="7"/>
      <c r="P1293" s="7"/>
      <c r="Q1293" s="7"/>
      <c r="R1293" s="7"/>
      <c r="S1293" s="7"/>
      <c r="T1293" s="7"/>
      <c r="U1293" s="7"/>
      <c r="Y1293" s="7"/>
      <c r="Z1293" s="17"/>
      <c r="AC1293" s="7"/>
      <c r="AD1293" s="7"/>
      <c r="AE1293" s="7"/>
      <c r="AF1293" s="7"/>
      <c r="AG1293" s="7"/>
      <c r="AH1293" s="7"/>
      <c r="AJ1293" s="7"/>
      <c r="AK1293" s="7"/>
      <c r="AL1293" s="7"/>
      <c r="AM1293" s="7"/>
      <c r="AN1293" s="7"/>
      <c r="AO1293" s="7"/>
      <c r="AR1293" s="7"/>
      <c r="AS1293" s="7"/>
      <c r="AT1293" s="7"/>
      <c r="AU1293" s="7"/>
      <c r="AW1293" s="7"/>
      <c r="CE1293" s="7"/>
      <c r="FZ1293" s="2"/>
    </row>
    <row r="1294" spans="1:182">
      <c r="A1294" s="7"/>
      <c r="D1294" s="7"/>
      <c r="E1294" s="7"/>
      <c r="F1294" s="7"/>
      <c r="G1294" s="7"/>
      <c r="H1294" s="7"/>
      <c r="I1294" s="7"/>
      <c r="J1294" s="7"/>
      <c r="K1294" s="7"/>
      <c r="L1294" s="7"/>
      <c r="M1294" s="7"/>
      <c r="N1294" s="7"/>
      <c r="O1294" s="7"/>
      <c r="P1294" s="7"/>
      <c r="Q1294" s="7"/>
      <c r="R1294" s="7"/>
      <c r="S1294" s="7"/>
      <c r="T1294" s="7"/>
      <c r="U1294" s="7"/>
      <c r="Y1294" s="7"/>
      <c r="Z1294" s="17"/>
      <c r="AC1294" s="7"/>
      <c r="AD1294" s="7"/>
      <c r="AE1294" s="7"/>
      <c r="AF1294" s="7"/>
      <c r="AG1294" s="7"/>
      <c r="AH1294" s="7"/>
      <c r="AJ1294" s="7"/>
      <c r="AK1294" s="7"/>
      <c r="AL1294" s="7"/>
      <c r="AM1294" s="7"/>
      <c r="AN1294" s="7"/>
      <c r="AO1294" s="7"/>
      <c r="AR1294" s="7"/>
      <c r="AS1294" s="7"/>
      <c r="AT1294" s="7"/>
      <c r="AU1294" s="7"/>
      <c r="AW1294" s="7"/>
      <c r="CE1294" s="7"/>
      <c r="FZ1294" s="2"/>
    </row>
    <row r="1295" spans="1:182">
      <c r="A1295" s="7"/>
      <c r="D1295" s="7"/>
      <c r="E1295" s="7"/>
      <c r="F1295" s="7"/>
      <c r="G1295" s="7"/>
      <c r="H1295" s="7"/>
      <c r="I1295" s="7"/>
      <c r="J1295" s="7"/>
      <c r="K1295" s="7"/>
      <c r="L1295" s="7"/>
      <c r="M1295" s="7"/>
      <c r="N1295" s="7"/>
      <c r="O1295" s="7"/>
      <c r="P1295" s="7"/>
      <c r="Q1295" s="7"/>
      <c r="R1295" s="7"/>
      <c r="S1295" s="7"/>
      <c r="T1295" s="7"/>
      <c r="U1295" s="7"/>
      <c r="Y1295" s="7"/>
      <c r="Z1295" s="17"/>
      <c r="AC1295" s="7"/>
      <c r="AD1295" s="7"/>
      <c r="AE1295" s="7"/>
      <c r="AF1295" s="7"/>
      <c r="AG1295" s="7"/>
      <c r="AH1295" s="7"/>
      <c r="AJ1295" s="7"/>
      <c r="AK1295" s="7"/>
      <c r="AL1295" s="7"/>
      <c r="AM1295" s="7"/>
      <c r="AN1295" s="7"/>
      <c r="AO1295" s="7"/>
      <c r="AR1295" s="7"/>
      <c r="AS1295" s="7"/>
      <c r="AT1295" s="7"/>
      <c r="AU1295" s="7"/>
      <c r="AW1295" s="7"/>
      <c r="CE1295" s="7"/>
      <c r="FZ1295" s="2"/>
    </row>
    <row r="1296" spans="1:182">
      <c r="A1296" s="7"/>
      <c r="D1296" s="7"/>
      <c r="E1296" s="7"/>
      <c r="F1296" s="7"/>
      <c r="G1296" s="7"/>
      <c r="H1296" s="7"/>
      <c r="I1296" s="7"/>
      <c r="J1296" s="7"/>
      <c r="K1296" s="7"/>
      <c r="L1296" s="7"/>
      <c r="M1296" s="7"/>
      <c r="N1296" s="7"/>
      <c r="O1296" s="7"/>
      <c r="P1296" s="7"/>
      <c r="Q1296" s="7"/>
      <c r="R1296" s="7"/>
      <c r="S1296" s="7"/>
      <c r="T1296" s="7"/>
      <c r="U1296" s="7"/>
      <c r="Y1296" s="7"/>
      <c r="Z1296" s="17"/>
      <c r="AC1296" s="7"/>
      <c r="AD1296" s="7"/>
      <c r="AE1296" s="7"/>
      <c r="AF1296" s="7"/>
      <c r="AG1296" s="7"/>
      <c r="AH1296" s="7"/>
      <c r="AJ1296" s="7"/>
      <c r="AK1296" s="7"/>
      <c r="AL1296" s="7"/>
      <c r="AM1296" s="7"/>
      <c r="AN1296" s="7"/>
      <c r="AO1296" s="7"/>
      <c r="AR1296" s="7"/>
      <c r="AS1296" s="7"/>
      <c r="AT1296" s="7"/>
      <c r="AU1296" s="7"/>
      <c r="AW1296" s="7"/>
      <c r="CE1296" s="7"/>
      <c r="FZ1296" s="2"/>
    </row>
    <row r="1297" spans="1:182">
      <c r="A1297" s="7"/>
      <c r="D1297" s="7"/>
      <c r="E1297" s="7"/>
      <c r="F1297" s="7"/>
      <c r="G1297" s="7"/>
      <c r="H1297" s="7"/>
      <c r="I1297" s="7"/>
      <c r="J1297" s="7"/>
      <c r="K1297" s="7"/>
      <c r="L1297" s="7"/>
      <c r="M1297" s="7"/>
      <c r="N1297" s="7"/>
      <c r="O1297" s="7"/>
      <c r="P1297" s="7"/>
      <c r="Q1297" s="7"/>
      <c r="R1297" s="7"/>
      <c r="S1297" s="7"/>
      <c r="T1297" s="7"/>
      <c r="U1297" s="7"/>
      <c r="Y1297" s="7"/>
      <c r="Z1297" s="17"/>
      <c r="AC1297" s="7"/>
      <c r="AD1297" s="7"/>
      <c r="AE1297" s="7"/>
      <c r="AF1297" s="7"/>
      <c r="AG1297" s="7"/>
      <c r="AH1297" s="7"/>
      <c r="AJ1297" s="7"/>
      <c r="AK1297" s="7"/>
      <c r="AL1297" s="7"/>
      <c r="AM1297" s="7"/>
      <c r="AN1297" s="7"/>
      <c r="AO1297" s="7"/>
      <c r="AR1297" s="7"/>
      <c r="AS1297" s="7"/>
      <c r="AT1297" s="7"/>
      <c r="AU1297" s="7"/>
      <c r="AW1297" s="7"/>
      <c r="CE1297" s="7"/>
      <c r="FZ1297" s="2"/>
    </row>
    <row r="1298" spans="1:182">
      <c r="A1298" s="7"/>
      <c r="D1298" s="7"/>
      <c r="E1298" s="7"/>
      <c r="F1298" s="7"/>
      <c r="G1298" s="7"/>
      <c r="H1298" s="7"/>
      <c r="I1298" s="7"/>
      <c r="J1298" s="7"/>
      <c r="K1298" s="7"/>
      <c r="L1298" s="7"/>
      <c r="M1298" s="7"/>
      <c r="N1298" s="7"/>
      <c r="O1298" s="7"/>
      <c r="P1298" s="7"/>
      <c r="Q1298" s="7"/>
      <c r="R1298" s="7"/>
      <c r="S1298" s="7"/>
      <c r="T1298" s="7"/>
      <c r="U1298" s="7"/>
      <c r="Y1298" s="7"/>
      <c r="Z1298" s="17"/>
      <c r="AC1298" s="7"/>
      <c r="AD1298" s="7"/>
      <c r="AE1298" s="7"/>
      <c r="AF1298" s="7"/>
      <c r="AG1298" s="7"/>
      <c r="AH1298" s="7"/>
      <c r="AJ1298" s="7"/>
      <c r="AK1298" s="7"/>
      <c r="AL1298" s="7"/>
      <c r="AM1298" s="7"/>
      <c r="AN1298" s="7"/>
      <c r="AO1298" s="7"/>
      <c r="AR1298" s="7"/>
      <c r="AS1298" s="7"/>
      <c r="AT1298" s="7"/>
      <c r="AU1298" s="7"/>
      <c r="AW1298" s="7"/>
      <c r="CE1298" s="7"/>
      <c r="FZ1298" s="2"/>
    </row>
    <row r="1299" spans="1:182">
      <c r="A1299" s="7"/>
      <c r="D1299" s="7"/>
      <c r="E1299" s="7"/>
      <c r="F1299" s="7"/>
      <c r="G1299" s="7"/>
      <c r="H1299" s="7"/>
      <c r="I1299" s="7"/>
      <c r="J1299" s="7"/>
      <c r="K1299" s="7"/>
      <c r="L1299" s="7"/>
      <c r="M1299" s="7"/>
      <c r="N1299" s="7"/>
      <c r="O1299" s="7"/>
      <c r="P1299" s="7"/>
      <c r="Q1299" s="7"/>
      <c r="R1299" s="7"/>
      <c r="S1299" s="7"/>
      <c r="T1299" s="7"/>
      <c r="U1299" s="7"/>
      <c r="Y1299" s="7"/>
      <c r="Z1299" s="17"/>
      <c r="AC1299" s="7"/>
      <c r="AD1299" s="7"/>
      <c r="AE1299" s="7"/>
      <c r="AF1299" s="7"/>
      <c r="AG1299" s="7"/>
      <c r="AH1299" s="7"/>
      <c r="AJ1299" s="7"/>
      <c r="AK1299" s="7"/>
      <c r="AL1299" s="7"/>
      <c r="AM1299" s="7"/>
      <c r="AN1299" s="7"/>
      <c r="AO1299" s="7"/>
      <c r="AR1299" s="7"/>
      <c r="AS1299" s="7"/>
      <c r="AT1299" s="7"/>
      <c r="AU1299" s="7"/>
      <c r="AW1299" s="7"/>
      <c r="CE1299" s="7"/>
      <c r="FZ1299" s="2"/>
    </row>
    <row r="1300" spans="1:182">
      <c r="A1300" s="7"/>
      <c r="D1300" s="7"/>
      <c r="E1300" s="7"/>
      <c r="F1300" s="7"/>
      <c r="G1300" s="7"/>
      <c r="H1300" s="7"/>
      <c r="I1300" s="7"/>
      <c r="J1300" s="7"/>
      <c r="K1300" s="7"/>
      <c r="L1300" s="7"/>
      <c r="M1300" s="7"/>
      <c r="N1300" s="7"/>
      <c r="O1300" s="7"/>
      <c r="P1300" s="7"/>
      <c r="Q1300" s="7"/>
      <c r="R1300" s="7"/>
      <c r="S1300" s="7"/>
      <c r="T1300" s="7"/>
      <c r="U1300" s="7"/>
      <c r="Y1300" s="7"/>
      <c r="Z1300" s="17"/>
      <c r="AC1300" s="7"/>
      <c r="AD1300" s="7"/>
      <c r="AE1300" s="7"/>
      <c r="AF1300" s="7"/>
      <c r="AG1300" s="7"/>
      <c r="AH1300" s="7"/>
      <c r="AJ1300" s="7"/>
      <c r="AK1300" s="7"/>
      <c r="AL1300" s="7"/>
      <c r="AM1300" s="7"/>
      <c r="AN1300" s="7"/>
      <c r="AO1300" s="7"/>
      <c r="AR1300" s="7"/>
      <c r="AS1300" s="7"/>
      <c r="AT1300" s="7"/>
      <c r="AU1300" s="7"/>
      <c r="AW1300" s="7"/>
      <c r="CE1300" s="7"/>
      <c r="FZ1300" s="2"/>
    </row>
    <row r="1301" spans="1:182">
      <c r="A1301" s="7"/>
      <c r="D1301" s="7"/>
      <c r="E1301" s="7"/>
      <c r="F1301" s="7"/>
      <c r="G1301" s="7"/>
      <c r="H1301" s="7"/>
      <c r="I1301" s="7"/>
      <c r="J1301" s="7"/>
      <c r="K1301" s="7"/>
      <c r="L1301" s="7"/>
      <c r="M1301" s="7"/>
      <c r="N1301" s="7"/>
      <c r="O1301" s="7"/>
      <c r="P1301" s="7"/>
      <c r="Q1301" s="7"/>
      <c r="R1301" s="7"/>
      <c r="S1301" s="7"/>
      <c r="T1301" s="7"/>
      <c r="U1301" s="7"/>
      <c r="Y1301" s="7"/>
      <c r="Z1301" s="17"/>
      <c r="AC1301" s="7"/>
      <c r="AD1301" s="7"/>
      <c r="AE1301" s="7"/>
      <c r="AF1301" s="7"/>
      <c r="AG1301" s="7"/>
      <c r="AH1301" s="7"/>
      <c r="AJ1301" s="7"/>
      <c r="AK1301" s="7"/>
      <c r="AL1301" s="7"/>
      <c r="AM1301" s="7"/>
      <c r="AN1301" s="7"/>
      <c r="AO1301" s="7"/>
      <c r="AR1301" s="7"/>
      <c r="AS1301" s="7"/>
      <c r="AT1301" s="7"/>
      <c r="AU1301" s="7"/>
      <c r="AW1301" s="7"/>
      <c r="CE1301" s="7"/>
      <c r="FZ1301" s="2"/>
    </row>
    <row r="1302" spans="1:182">
      <c r="A1302" s="7"/>
      <c r="D1302" s="7"/>
      <c r="E1302" s="7"/>
      <c r="F1302" s="7"/>
      <c r="G1302" s="7"/>
      <c r="H1302" s="7"/>
      <c r="I1302" s="7"/>
      <c r="J1302" s="7"/>
      <c r="K1302" s="7"/>
      <c r="L1302" s="7"/>
      <c r="M1302" s="7"/>
      <c r="N1302" s="7"/>
      <c r="O1302" s="7"/>
      <c r="P1302" s="7"/>
      <c r="Q1302" s="7"/>
      <c r="R1302" s="7"/>
      <c r="S1302" s="7"/>
      <c r="T1302" s="7"/>
      <c r="U1302" s="7"/>
      <c r="Y1302" s="7"/>
      <c r="Z1302" s="17"/>
      <c r="AC1302" s="7"/>
      <c r="AD1302" s="7"/>
      <c r="AE1302" s="7"/>
      <c r="AF1302" s="7"/>
      <c r="AG1302" s="7"/>
      <c r="AH1302" s="7"/>
      <c r="AJ1302" s="7"/>
      <c r="AK1302" s="7"/>
      <c r="AL1302" s="7"/>
      <c r="AM1302" s="7"/>
      <c r="AN1302" s="7"/>
      <c r="AO1302" s="7"/>
      <c r="AR1302" s="7"/>
      <c r="AS1302" s="7"/>
      <c r="AT1302" s="7"/>
      <c r="AU1302" s="7"/>
      <c r="AW1302" s="7"/>
      <c r="CE1302" s="7"/>
      <c r="FZ1302" s="2"/>
    </row>
    <row r="1303" spans="1:182">
      <c r="A1303" s="7"/>
      <c r="D1303" s="7"/>
      <c r="E1303" s="7"/>
      <c r="F1303" s="7"/>
      <c r="G1303" s="7"/>
      <c r="H1303" s="7"/>
      <c r="I1303" s="7"/>
      <c r="J1303" s="7"/>
      <c r="K1303" s="7"/>
      <c r="L1303" s="7"/>
      <c r="M1303" s="7"/>
      <c r="N1303" s="7"/>
      <c r="O1303" s="7"/>
      <c r="P1303" s="7"/>
      <c r="Q1303" s="7"/>
      <c r="R1303" s="7"/>
      <c r="S1303" s="7"/>
      <c r="T1303" s="7"/>
      <c r="U1303" s="7"/>
      <c r="Y1303" s="7"/>
      <c r="Z1303" s="17"/>
      <c r="AC1303" s="7"/>
      <c r="AD1303" s="7"/>
      <c r="AE1303" s="7"/>
      <c r="AF1303" s="7"/>
      <c r="AG1303" s="7"/>
      <c r="AH1303" s="7"/>
      <c r="AJ1303" s="7"/>
      <c r="AK1303" s="7"/>
      <c r="AL1303" s="7"/>
      <c r="AM1303" s="7"/>
      <c r="AN1303" s="7"/>
      <c r="AO1303" s="7"/>
      <c r="AR1303" s="7"/>
      <c r="AS1303" s="7"/>
      <c r="AT1303" s="7"/>
      <c r="AU1303" s="7"/>
      <c r="AW1303" s="7"/>
      <c r="CE1303" s="7"/>
      <c r="FZ1303" s="2"/>
    </row>
    <row r="1304" spans="1:182">
      <c r="A1304" s="7"/>
      <c r="D1304" s="7"/>
      <c r="E1304" s="7"/>
      <c r="F1304" s="7"/>
      <c r="G1304" s="7"/>
      <c r="H1304" s="7"/>
      <c r="I1304" s="7"/>
      <c r="J1304" s="7"/>
      <c r="K1304" s="7"/>
      <c r="L1304" s="7"/>
      <c r="M1304" s="7"/>
      <c r="N1304" s="7"/>
      <c r="O1304" s="7"/>
      <c r="P1304" s="7"/>
      <c r="Q1304" s="7"/>
      <c r="R1304" s="7"/>
      <c r="S1304" s="7"/>
      <c r="T1304" s="7"/>
      <c r="U1304" s="7"/>
      <c r="Y1304" s="7"/>
      <c r="Z1304" s="17"/>
      <c r="AC1304" s="7"/>
      <c r="AD1304" s="7"/>
      <c r="AE1304" s="7"/>
      <c r="AF1304" s="7"/>
      <c r="AG1304" s="7"/>
      <c r="AH1304" s="7"/>
      <c r="AJ1304" s="7"/>
      <c r="AK1304" s="7"/>
      <c r="AL1304" s="7"/>
      <c r="AM1304" s="7"/>
      <c r="AN1304" s="7"/>
      <c r="AO1304" s="7"/>
      <c r="AR1304" s="7"/>
      <c r="AS1304" s="7"/>
      <c r="AT1304" s="7"/>
      <c r="AU1304" s="7"/>
      <c r="AW1304" s="7"/>
      <c r="CE1304" s="7"/>
      <c r="FZ1304" s="2"/>
    </row>
    <row r="1305" spans="1:182">
      <c r="A1305" s="7"/>
      <c r="D1305" s="7"/>
      <c r="E1305" s="7"/>
      <c r="F1305" s="7"/>
      <c r="G1305" s="7"/>
      <c r="H1305" s="7"/>
      <c r="I1305" s="7"/>
      <c r="J1305" s="7"/>
      <c r="K1305" s="7"/>
      <c r="L1305" s="7"/>
      <c r="M1305" s="7"/>
      <c r="N1305" s="7"/>
      <c r="O1305" s="7"/>
      <c r="P1305" s="7"/>
      <c r="Q1305" s="7"/>
      <c r="R1305" s="7"/>
      <c r="S1305" s="7"/>
      <c r="T1305" s="7"/>
      <c r="U1305" s="7"/>
      <c r="Y1305" s="7"/>
      <c r="Z1305" s="17"/>
      <c r="AC1305" s="7"/>
      <c r="AD1305" s="7"/>
      <c r="AE1305" s="7"/>
      <c r="AF1305" s="7"/>
      <c r="AG1305" s="7"/>
      <c r="AH1305" s="7"/>
      <c r="AJ1305" s="7"/>
      <c r="AK1305" s="7"/>
      <c r="AL1305" s="7"/>
      <c r="AM1305" s="7"/>
      <c r="AN1305" s="7"/>
      <c r="AO1305" s="7"/>
      <c r="AR1305" s="7"/>
      <c r="AS1305" s="7"/>
      <c r="AT1305" s="7"/>
      <c r="AU1305" s="7"/>
      <c r="AW1305" s="7"/>
      <c r="CE1305" s="7"/>
      <c r="FZ1305" s="2"/>
    </row>
    <row r="1306" spans="1:182">
      <c r="A1306" s="7"/>
      <c r="D1306" s="7"/>
      <c r="E1306" s="7"/>
      <c r="F1306" s="7"/>
      <c r="G1306" s="7"/>
      <c r="H1306" s="7"/>
      <c r="I1306" s="7"/>
      <c r="J1306" s="7"/>
      <c r="K1306" s="7"/>
      <c r="L1306" s="7"/>
      <c r="M1306" s="7"/>
      <c r="N1306" s="7"/>
      <c r="O1306" s="7"/>
      <c r="P1306" s="7"/>
      <c r="Q1306" s="7"/>
      <c r="R1306" s="7"/>
      <c r="S1306" s="7"/>
      <c r="T1306" s="7"/>
      <c r="U1306" s="7"/>
      <c r="Y1306" s="7"/>
      <c r="Z1306" s="17"/>
      <c r="AC1306" s="7"/>
      <c r="AD1306" s="7"/>
      <c r="AE1306" s="7"/>
      <c r="AF1306" s="7"/>
      <c r="AG1306" s="7"/>
      <c r="AH1306" s="7"/>
      <c r="AJ1306" s="7"/>
      <c r="AK1306" s="7"/>
      <c r="AL1306" s="7"/>
      <c r="AM1306" s="7"/>
      <c r="AN1306" s="7"/>
      <c r="AO1306" s="7"/>
      <c r="AR1306" s="7"/>
      <c r="AS1306" s="7"/>
      <c r="AT1306" s="7"/>
      <c r="AU1306" s="7"/>
      <c r="AW1306" s="7"/>
      <c r="CE1306" s="7"/>
      <c r="FZ1306" s="2"/>
    </row>
    <row r="1307" spans="1:182">
      <c r="A1307" s="7"/>
      <c r="D1307" s="7"/>
      <c r="E1307" s="7"/>
      <c r="F1307" s="7"/>
      <c r="G1307" s="7"/>
      <c r="H1307" s="7"/>
      <c r="I1307" s="7"/>
      <c r="J1307" s="7"/>
      <c r="K1307" s="7"/>
      <c r="L1307" s="7"/>
      <c r="M1307" s="7"/>
      <c r="N1307" s="7"/>
      <c r="O1307" s="7"/>
      <c r="P1307" s="7"/>
      <c r="Q1307" s="7"/>
      <c r="R1307" s="7"/>
      <c r="S1307" s="7"/>
      <c r="T1307" s="7"/>
      <c r="U1307" s="7"/>
      <c r="Y1307" s="7"/>
      <c r="Z1307" s="17"/>
      <c r="AC1307" s="7"/>
      <c r="AD1307" s="7"/>
      <c r="AE1307" s="7"/>
      <c r="AF1307" s="7"/>
      <c r="AG1307" s="7"/>
      <c r="AH1307" s="7"/>
      <c r="AJ1307" s="7"/>
      <c r="AK1307" s="7"/>
      <c r="AL1307" s="7"/>
      <c r="AM1307" s="7"/>
      <c r="AN1307" s="7"/>
      <c r="AO1307" s="7"/>
      <c r="AR1307" s="7"/>
      <c r="AS1307" s="7"/>
      <c r="AT1307" s="7"/>
      <c r="AU1307" s="7"/>
      <c r="AW1307" s="7"/>
      <c r="CE1307" s="7"/>
      <c r="FZ1307" s="2"/>
    </row>
    <row r="1308" spans="1:182">
      <c r="A1308" s="7"/>
      <c r="D1308" s="7"/>
      <c r="E1308" s="7"/>
      <c r="F1308" s="7"/>
      <c r="G1308" s="7"/>
      <c r="H1308" s="7"/>
      <c r="I1308" s="7"/>
      <c r="J1308" s="7"/>
      <c r="K1308" s="7"/>
      <c r="L1308" s="7"/>
      <c r="M1308" s="7"/>
      <c r="N1308" s="7"/>
      <c r="O1308" s="7"/>
      <c r="P1308" s="7"/>
      <c r="Q1308" s="7"/>
      <c r="R1308" s="7"/>
      <c r="S1308" s="7"/>
      <c r="T1308" s="7"/>
      <c r="U1308" s="7"/>
      <c r="Y1308" s="7"/>
      <c r="Z1308" s="17"/>
      <c r="AC1308" s="7"/>
      <c r="AD1308" s="7"/>
      <c r="AE1308" s="7"/>
      <c r="AF1308" s="7"/>
      <c r="AG1308" s="7"/>
      <c r="AH1308" s="7"/>
      <c r="AJ1308" s="7"/>
      <c r="AK1308" s="7"/>
      <c r="AL1308" s="7"/>
      <c r="AM1308" s="7"/>
      <c r="AN1308" s="7"/>
      <c r="AO1308" s="7"/>
      <c r="AR1308" s="7"/>
      <c r="AS1308" s="7"/>
      <c r="AT1308" s="7"/>
      <c r="AU1308" s="7"/>
      <c r="AW1308" s="7"/>
      <c r="CE1308" s="7"/>
      <c r="FZ1308" s="2"/>
    </row>
    <row r="1309" spans="1:182">
      <c r="A1309" s="7"/>
      <c r="D1309" s="7"/>
      <c r="E1309" s="7"/>
      <c r="F1309" s="7"/>
      <c r="G1309" s="7"/>
      <c r="H1309" s="7"/>
      <c r="I1309" s="7"/>
      <c r="J1309" s="7"/>
      <c r="K1309" s="7"/>
      <c r="L1309" s="7"/>
      <c r="M1309" s="7"/>
      <c r="N1309" s="7"/>
      <c r="O1309" s="7"/>
      <c r="P1309" s="7"/>
      <c r="Q1309" s="7"/>
      <c r="R1309" s="7"/>
      <c r="S1309" s="7"/>
      <c r="T1309" s="7"/>
      <c r="U1309" s="7"/>
      <c r="Y1309" s="7"/>
      <c r="Z1309" s="17"/>
      <c r="AC1309" s="7"/>
      <c r="AD1309" s="7"/>
      <c r="AE1309" s="7"/>
      <c r="AF1309" s="7"/>
      <c r="AG1309" s="7"/>
      <c r="AH1309" s="7"/>
      <c r="AJ1309" s="7"/>
      <c r="AK1309" s="7"/>
      <c r="AL1309" s="7"/>
      <c r="AM1309" s="7"/>
      <c r="AN1309" s="7"/>
      <c r="AO1309" s="7"/>
      <c r="AR1309" s="7"/>
      <c r="AS1309" s="7"/>
      <c r="AT1309" s="7"/>
      <c r="AU1309" s="7"/>
      <c r="AW1309" s="7"/>
      <c r="CE1309" s="7"/>
      <c r="FZ1309" s="2"/>
    </row>
    <row r="1310" spans="1:182">
      <c r="A1310" s="7"/>
      <c r="D1310" s="7"/>
      <c r="E1310" s="7"/>
      <c r="F1310" s="7"/>
      <c r="G1310" s="7"/>
      <c r="H1310" s="7"/>
      <c r="I1310" s="7"/>
      <c r="J1310" s="7"/>
      <c r="K1310" s="7"/>
      <c r="L1310" s="7"/>
      <c r="M1310" s="7"/>
      <c r="N1310" s="7"/>
      <c r="O1310" s="7"/>
      <c r="P1310" s="7"/>
      <c r="Q1310" s="7"/>
      <c r="R1310" s="7"/>
      <c r="S1310" s="7"/>
      <c r="T1310" s="7"/>
      <c r="U1310" s="7"/>
      <c r="Y1310" s="7"/>
      <c r="Z1310" s="17"/>
      <c r="AC1310" s="7"/>
      <c r="AD1310" s="7"/>
      <c r="AE1310" s="7"/>
      <c r="AF1310" s="7"/>
      <c r="AG1310" s="7"/>
      <c r="AH1310" s="7"/>
      <c r="AJ1310" s="7"/>
      <c r="AK1310" s="7"/>
      <c r="AL1310" s="7"/>
      <c r="AM1310" s="7"/>
      <c r="AN1310" s="7"/>
      <c r="AO1310" s="7"/>
      <c r="AR1310" s="7"/>
      <c r="AS1310" s="7"/>
      <c r="AT1310" s="7"/>
      <c r="AU1310" s="7"/>
      <c r="AW1310" s="7"/>
      <c r="CE1310" s="7"/>
      <c r="FZ1310" s="2"/>
    </row>
    <row r="1311" spans="1:182">
      <c r="A1311" s="7"/>
      <c r="D1311" s="7"/>
      <c r="E1311" s="7"/>
      <c r="F1311" s="7"/>
      <c r="G1311" s="7"/>
      <c r="H1311" s="7"/>
      <c r="I1311" s="7"/>
      <c r="J1311" s="7"/>
      <c r="K1311" s="7"/>
      <c r="L1311" s="7"/>
      <c r="M1311" s="7"/>
      <c r="N1311" s="7"/>
      <c r="O1311" s="7"/>
      <c r="P1311" s="7"/>
      <c r="Q1311" s="7"/>
      <c r="R1311" s="7"/>
      <c r="S1311" s="7"/>
      <c r="T1311" s="7"/>
      <c r="U1311" s="7"/>
      <c r="Y1311" s="7"/>
      <c r="Z1311" s="17"/>
      <c r="AC1311" s="7"/>
      <c r="AD1311" s="7"/>
      <c r="AE1311" s="7"/>
      <c r="AF1311" s="7"/>
      <c r="AG1311" s="7"/>
      <c r="AH1311" s="7"/>
      <c r="AJ1311" s="7"/>
      <c r="AK1311" s="7"/>
      <c r="AL1311" s="7"/>
      <c r="AM1311" s="7"/>
      <c r="AN1311" s="7"/>
      <c r="AO1311" s="7"/>
      <c r="AR1311" s="7"/>
      <c r="AS1311" s="7"/>
      <c r="AT1311" s="7"/>
      <c r="AU1311" s="7"/>
      <c r="AW1311" s="7"/>
      <c r="CE1311" s="7"/>
      <c r="FZ1311" s="2"/>
    </row>
    <row r="1312" spans="1:182">
      <c r="A1312" s="7"/>
      <c r="D1312" s="7"/>
      <c r="E1312" s="7"/>
      <c r="F1312" s="7"/>
      <c r="G1312" s="7"/>
      <c r="H1312" s="7"/>
      <c r="I1312" s="7"/>
      <c r="J1312" s="7"/>
      <c r="K1312" s="7"/>
      <c r="L1312" s="7"/>
      <c r="M1312" s="7"/>
      <c r="N1312" s="7"/>
      <c r="O1312" s="7"/>
      <c r="P1312" s="7"/>
      <c r="Q1312" s="7"/>
      <c r="R1312" s="7"/>
      <c r="S1312" s="7"/>
      <c r="T1312" s="7"/>
      <c r="U1312" s="7"/>
      <c r="Y1312" s="7"/>
      <c r="Z1312" s="17"/>
      <c r="AC1312" s="7"/>
      <c r="AD1312" s="7"/>
      <c r="AE1312" s="7"/>
      <c r="AF1312" s="7"/>
      <c r="AG1312" s="7"/>
      <c r="AH1312" s="7"/>
      <c r="AJ1312" s="7"/>
      <c r="AK1312" s="7"/>
      <c r="AL1312" s="7"/>
      <c r="AM1312" s="7"/>
      <c r="AN1312" s="7"/>
      <c r="AO1312" s="7"/>
      <c r="AR1312" s="7"/>
      <c r="AS1312" s="7"/>
      <c r="AT1312" s="7"/>
      <c r="AU1312" s="7"/>
      <c r="AW1312" s="7"/>
      <c r="CE1312" s="7"/>
      <c r="FZ1312" s="2"/>
    </row>
    <row r="1313" spans="1:182">
      <c r="A1313" s="7"/>
      <c r="D1313" s="7"/>
      <c r="E1313" s="7"/>
      <c r="F1313" s="7"/>
      <c r="G1313" s="7"/>
      <c r="H1313" s="7"/>
      <c r="I1313" s="7"/>
      <c r="J1313" s="7"/>
      <c r="K1313" s="7"/>
      <c r="L1313" s="7"/>
      <c r="M1313" s="7"/>
      <c r="N1313" s="7"/>
      <c r="O1313" s="7"/>
      <c r="P1313" s="7"/>
      <c r="Q1313" s="7"/>
      <c r="R1313" s="7"/>
      <c r="S1313" s="7"/>
      <c r="T1313" s="7"/>
      <c r="U1313" s="7"/>
      <c r="Y1313" s="7"/>
      <c r="Z1313" s="17"/>
      <c r="AC1313" s="7"/>
      <c r="AD1313" s="7"/>
      <c r="AE1313" s="7"/>
      <c r="AF1313" s="7"/>
      <c r="AG1313" s="7"/>
      <c r="AH1313" s="7"/>
      <c r="AJ1313" s="7"/>
      <c r="AK1313" s="7"/>
      <c r="AL1313" s="7"/>
      <c r="AM1313" s="7"/>
      <c r="AN1313" s="7"/>
      <c r="AO1313" s="7"/>
      <c r="AR1313" s="7"/>
      <c r="AS1313" s="7"/>
      <c r="AT1313" s="7"/>
      <c r="AU1313" s="7"/>
      <c r="AW1313" s="7"/>
      <c r="CE1313" s="7"/>
      <c r="FZ1313" s="2"/>
    </row>
    <row r="1314" spans="1:182">
      <c r="A1314" s="7"/>
      <c r="D1314" s="7"/>
      <c r="E1314" s="7"/>
      <c r="F1314" s="7"/>
      <c r="G1314" s="7"/>
      <c r="H1314" s="7"/>
      <c r="I1314" s="7"/>
      <c r="J1314" s="7"/>
      <c r="K1314" s="7"/>
      <c r="L1314" s="7"/>
      <c r="M1314" s="7"/>
      <c r="N1314" s="7"/>
      <c r="O1314" s="7"/>
      <c r="P1314" s="7"/>
      <c r="Q1314" s="7"/>
      <c r="R1314" s="7"/>
      <c r="S1314" s="7"/>
      <c r="T1314" s="7"/>
      <c r="U1314" s="7"/>
      <c r="Y1314" s="7"/>
      <c r="Z1314" s="17"/>
      <c r="AC1314" s="7"/>
      <c r="AD1314" s="7"/>
      <c r="AE1314" s="7"/>
      <c r="AF1314" s="7"/>
      <c r="AG1314" s="7"/>
      <c r="AH1314" s="7"/>
      <c r="AJ1314" s="7"/>
      <c r="AK1314" s="7"/>
      <c r="AL1314" s="7"/>
      <c r="AM1314" s="7"/>
      <c r="AN1314" s="7"/>
      <c r="AO1314" s="7"/>
      <c r="AR1314" s="7"/>
      <c r="AS1314" s="7"/>
      <c r="AT1314" s="7"/>
      <c r="AU1314" s="7"/>
      <c r="AW1314" s="7"/>
      <c r="CE1314" s="7"/>
      <c r="FZ1314" s="2"/>
    </row>
    <row r="1315" spans="1:182">
      <c r="A1315" s="7"/>
      <c r="D1315" s="7"/>
      <c r="E1315" s="7"/>
      <c r="F1315" s="7"/>
      <c r="G1315" s="7"/>
      <c r="H1315" s="7"/>
      <c r="I1315" s="7"/>
      <c r="J1315" s="7"/>
      <c r="K1315" s="7"/>
      <c r="L1315" s="7"/>
      <c r="M1315" s="7"/>
      <c r="N1315" s="7"/>
      <c r="O1315" s="7"/>
      <c r="P1315" s="7"/>
      <c r="Q1315" s="7"/>
      <c r="R1315" s="7"/>
      <c r="S1315" s="7"/>
      <c r="T1315" s="7"/>
      <c r="U1315" s="7"/>
      <c r="Y1315" s="7"/>
      <c r="Z1315" s="17"/>
      <c r="AC1315" s="7"/>
      <c r="AD1315" s="7"/>
      <c r="AE1315" s="7"/>
      <c r="AF1315" s="7"/>
      <c r="AG1315" s="7"/>
      <c r="AH1315" s="7"/>
      <c r="AJ1315" s="7"/>
      <c r="AK1315" s="7"/>
      <c r="AL1315" s="7"/>
      <c r="AM1315" s="7"/>
      <c r="AN1315" s="7"/>
      <c r="AO1315" s="7"/>
      <c r="AR1315" s="7"/>
      <c r="AS1315" s="7"/>
      <c r="AT1315" s="7"/>
      <c r="AU1315" s="7"/>
      <c r="AW1315" s="7"/>
      <c r="CE1315" s="7"/>
      <c r="FZ1315" s="2"/>
    </row>
    <row r="1316" spans="1:182">
      <c r="A1316" s="7"/>
      <c r="D1316" s="7"/>
      <c r="E1316" s="7"/>
      <c r="F1316" s="7"/>
      <c r="G1316" s="7"/>
      <c r="H1316" s="7"/>
      <c r="I1316" s="7"/>
      <c r="J1316" s="7"/>
      <c r="K1316" s="7"/>
      <c r="L1316" s="7"/>
      <c r="M1316" s="7"/>
      <c r="N1316" s="7"/>
      <c r="O1316" s="7"/>
      <c r="P1316" s="7"/>
      <c r="Q1316" s="7"/>
      <c r="R1316" s="7"/>
      <c r="S1316" s="7"/>
      <c r="T1316" s="7"/>
      <c r="U1316" s="7"/>
      <c r="Y1316" s="7"/>
      <c r="Z1316" s="17"/>
      <c r="AC1316" s="7"/>
      <c r="AD1316" s="7"/>
      <c r="AE1316" s="7"/>
      <c r="AF1316" s="7"/>
      <c r="AG1316" s="7"/>
      <c r="AH1316" s="7"/>
      <c r="AJ1316" s="7"/>
      <c r="AK1316" s="7"/>
      <c r="AL1316" s="7"/>
      <c r="AM1316" s="7"/>
      <c r="AN1316" s="7"/>
      <c r="AO1316" s="7"/>
      <c r="AR1316" s="7"/>
      <c r="AS1316" s="7"/>
      <c r="AT1316" s="7"/>
      <c r="AU1316" s="7"/>
      <c r="AW1316" s="7"/>
      <c r="CE1316" s="7"/>
      <c r="FZ1316" s="2"/>
    </row>
    <row r="1317" spans="1:182">
      <c r="A1317" s="7"/>
      <c r="D1317" s="7"/>
      <c r="E1317" s="7"/>
      <c r="F1317" s="7"/>
      <c r="G1317" s="7"/>
      <c r="H1317" s="7"/>
      <c r="I1317" s="7"/>
      <c r="J1317" s="7"/>
      <c r="K1317" s="7"/>
      <c r="L1317" s="7"/>
      <c r="M1317" s="7"/>
      <c r="N1317" s="7"/>
      <c r="O1317" s="7"/>
      <c r="P1317" s="7"/>
      <c r="Q1317" s="7"/>
      <c r="R1317" s="7"/>
      <c r="S1317" s="7"/>
      <c r="T1317" s="7"/>
      <c r="U1317" s="7"/>
      <c r="Y1317" s="7"/>
      <c r="Z1317" s="17"/>
      <c r="AC1317" s="7"/>
      <c r="AD1317" s="7"/>
      <c r="AE1317" s="7"/>
      <c r="AF1317" s="7"/>
      <c r="AG1317" s="7"/>
      <c r="AH1317" s="7"/>
      <c r="AJ1317" s="7"/>
      <c r="AK1317" s="7"/>
      <c r="AL1317" s="7"/>
      <c r="AM1317" s="7"/>
      <c r="AN1317" s="7"/>
      <c r="AO1317" s="7"/>
      <c r="AR1317" s="7"/>
      <c r="AS1317" s="7"/>
      <c r="AT1317" s="7"/>
      <c r="AU1317" s="7"/>
      <c r="AW1317" s="7"/>
      <c r="CE1317" s="7"/>
      <c r="FZ1317" s="2"/>
    </row>
    <row r="1318" spans="1:182">
      <c r="A1318" s="7"/>
      <c r="D1318" s="7"/>
      <c r="E1318" s="7"/>
      <c r="F1318" s="7"/>
      <c r="G1318" s="7"/>
      <c r="H1318" s="7"/>
      <c r="I1318" s="7"/>
      <c r="J1318" s="7"/>
      <c r="K1318" s="7"/>
      <c r="L1318" s="7"/>
      <c r="M1318" s="7"/>
      <c r="N1318" s="7"/>
      <c r="O1318" s="7"/>
      <c r="P1318" s="7"/>
      <c r="Q1318" s="7"/>
      <c r="R1318" s="7"/>
      <c r="S1318" s="7"/>
      <c r="T1318" s="7"/>
      <c r="U1318" s="7"/>
      <c r="Y1318" s="7"/>
      <c r="Z1318" s="17"/>
      <c r="AC1318" s="7"/>
      <c r="AD1318" s="7"/>
      <c r="AE1318" s="7"/>
      <c r="AF1318" s="7"/>
      <c r="AG1318" s="7"/>
      <c r="AH1318" s="7"/>
      <c r="AJ1318" s="7"/>
      <c r="AK1318" s="7"/>
      <c r="AL1318" s="7"/>
      <c r="AM1318" s="7"/>
      <c r="AN1318" s="7"/>
      <c r="AO1318" s="7"/>
      <c r="AR1318" s="7"/>
      <c r="AS1318" s="7"/>
      <c r="AT1318" s="7"/>
      <c r="AU1318" s="7"/>
      <c r="AW1318" s="7"/>
      <c r="CE1318" s="7"/>
      <c r="FZ1318" s="2"/>
    </row>
    <row r="1319" spans="1:182">
      <c r="A1319" s="7"/>
      <c r="D1319" s="7"/>
      <c r="E1319" s="7"/>
      <c r="F1319" s="7"/>
      <c r="G1319" s="7"/>
      <c r="H1319" s="7"/>
      <c r="I1319" s="7"/>
      <c r="J1319" s="7"/>
      <c r="K1319" s="7"/>
      <c r="L1319" s="7"/>
      <c r="M1319" s="7"/>
      <c r="N1319" s="7"/>
      <c r="O1319" s="7"/>
      <c r="P1319" s="7"/>
      <c r="Q1319" s="7"/>
      <c r="R1319" s="7"/>
      <c r="S1319" s="7"/>
      <c r="T1319" s="7"/>
      <c r="U1319" s="7"/>
      <c r="Y1319" s="7"/>
      <c r="Z1319" s="17"/>
      <c r="AC1319" s="7"/>
      <c r="AD1319" s="7"/>
      <c r="AE1319" s="7"/>
      <c r="AF1319" s="7"/>
      <c r="AG1319" s="7"/>
      <c r="AH1319" s="7"/>
      <c r="AJ1319" s="7"/>
      <c r="AK1319" s="7"/>
      <c r="AL1319" s="7"/>
      <c r="AM1319" s="7"/>
      <c r="AN1319" s="7"/>
      <c r="AO1319" s="7"/>
      <c r="AR1319" s="7"/>
      <c r="AS1319" s="7"/>
      <c r="AT1319" s="7"/>
      <c r="AU1319" s="7"/>
      <c r="AW1319" s="7"/>
      <c r="CE1319" s="7"/>
      <c r="FZ1319" s="2"/>
    </row>
    <row r="1320" spans="1:182">
      <c r="A1320" s="7"/>
      <c r="D1320" s="7"/>
      <c r="E1320" s="7"/>
      <c r="F1320" s="7"/>
      <c r="G1320" s="7"/>
      <c r="H1320" s="7"/>
      <c r="I1320" s="7"/>
      <c r="J1320" s="7"/>
      <c r="K1320" s="7"/>
      <c r="L1320" s="7"/>
      <c r="M1320" s="7"/>
      <c r="N1320" s="7"/>
      <c r="O1320" s="7"/>
      <c r="P1320" s="7"/>
      <c r="Q1320" s="7"/>
      <c r="R1320" s="7"/>
      <c r="S1320" s="7"/>
      <c r="T1320" s="7"/>
      <c r="U1320" s="7"/>
      <c r="Y1320" s="7"/>
      <c r="Z1320" s="17"/>
      <c r="AC1320" s="7"/>
      <c r="AD1320" s="7"/>
      <c r="AE1320" s="7"/>
      <c r="AF1320" s="7"/>
      <c r="AG1320" s="7"/>
      <c r="AH1320" s="7"/>
      <c r="AJ1320" s="7"/>
      <c r="AK1320" s="7"/>
      <c r="AL1320" s="7"/>
      <c r="AM1320" s="7"/>
      <c r="AN1320" s="7"/>
      <c r="AO1320" s="7"/>
      <c r="AR1320" s="7"/>
      <c r="AS1320" s="7"/>
      <c r="AT1320" s="7"/>
      <c r="AU1320" s="7"/>
      <c r="AW1320" s="7"/>
      <c r="CE1320" s="7"/>
      <c r="FZ1320" s="2"/>
    </row>
    <row r="1321" spans="1:182">
      <c r="A1321" s="7"/>
      <c r="D1321" s="7"/>
      <c r="E1321" s="7"/>
      <c r="F1321" s="7"/>
      <c r="G1321" s="7"/>
      <c r="H1321" s="7"/>
      <c r="I1321" s="7"/>
      <c r="J1321" s="7"/>
      <c r="K1321" s="7"/>
      <c r="L1321" s="7"/>
      <c r="M1321" s="7"/>
      <c r="N1321" s="7"/>
      <c r="O1321" s="7"/>
      <c r="P1321" s="7"/>
      <c r="Q1321" s="7"/>
      <c r="R1321" s="7"/>
      <c r="S1321" s="7"/>
      <c r="T1321" s="7"/>
      <c r="U1321" s="7"/>
      <c r="Y1321" s="7"/>
      <c r="Z1321" s="17"/>
      <c r="AC1321" s="7"/>
      <c r="AD1321" s="7"/>
      <c r="AE1321" s="7"/>
      <c r="AF1321" s="7"/>
      <c r="AG1321" s="7"/>
      <c r="AH1321" s="7"/>
      <c r="AJ1321" s="7"/>
      <c r="AK1321" s="7"/>
      <c r="AL1321" s="7"/>
      <c r="AM1321" s="7"/>
      <c r="AN1321" s="7"/>
      <c r="AO1321" s="7"/>
      <c r="AR1321" s="7"/>
      <c r="AS1321" s="7"/>
      <c r="AT1321" s="7"/>
      <c r="AU1321" s="7"/>
      <c r="AW1321" s="7"/>
      <c r="CE1321" s="7"/>
      <c r="FZ1321" s="2"/>
    </row>
    <row r="1322" spans="1:182">
      <c r="A1322" s="7"/>
      <c r="D1322" s="7"/>
      <c r="E1322" s="7"/>
      <c r="F1322" s="7"/>
      <c r="G1322" s="7"/>
      <c r="H1322" s="7"/>
      <c r="I1322" s="7"/>
      <c r="J1322" s="7"/>
      <c r="K1322" s="7"/>
      <c r="L1322" s="7"/>
      <c r="M1322" s="7"/>
      <c r="N1322" s="7"/>
      <c r="O1322" s="7"/>
      <c r="P1322" s="7"/>
      <c r="Q1322" s="7"/>
      <c r="R1322" s="7"/>
      <c r="S1322" s="7"/>
      <c r="T1322" s="7"/>
      <c r="U1322" s="7"/>
      <c r="Y1322" s="7"/>
      <c r="Z1322" s="17"/>
      <c r="AC1322" s="7"/>
      <c r="AD1322" s="7"/>
      <c r="AE1322" s="7"/>
      <c r="AF1322" s="7"/>
      <c r="AG1322" s="7"/>
      <c r="AH1322" s="7"/>
      <c r="AJ1322" s="7"/>
      <c r="AK1322" s="7"/>
      <c r="AL1322" s="7"/>
      <c r="AM1322" s="7"/>
      <c r="AN1322" s="7"/>
      <c r="AO1322" s="7"/>
      <c r="AR1322" s="7"/>
      <c r="AS1322" s="7"/>
      <c r="AT1322" s="7"/>
      <c r="AU1322" s="7"/>
      <c r="AW1322" s="7"/>
      <c r="CE1322" s="7"/>
      <c r="FZ1322" s="2"/>
    </row>
    <row r="1323" spans="1:182">
      <c r="A1323" s="7"/>
      <c r="D1323" s="7"/>
      <c r="E1323" s="7"/>
      <c r="F1323" s="7"/>
      <c r="G1323" s="7"/>
      <c r="H1323" s="7"/>
      <c r="I1323" s="7"/>
      <c r="J1323" s="7"/>
      <c r="K1323" s="7"/>
      <c r="L1323" s="7"/>
      <c r="M1323" s="7"/>
      <c r="N1323" s="7"/>
      <c r="O1323" s="7"/>
      <c r="P1323" s="7"/>
      <c r="Q1323" s="7"/>
      <c r="R1323" s="7"/>
      <c r="S1323" s="7"/>
      <c r="T1323" s="7"/>
      <c r="U1323" s="7"/>
      <c r="Y1323" s="7"/>
      <c r="Z1323" s="17"/>
      <c r="AC1323" s="7"/>
      <c r="AD1323" s="7"/>
      <c r="AE1323" s="7"/>
      <c r="AF1323" s="7"/>
      <c r="AG1323" s="7"/>
      <c r="AH1323" s="7"/>
      <c r="AJ1323" s="7"/>
      <c r="AK1323" s="7"/>
      <c r="AL1323" s="7"/>
      <c r="AM1323" s="7"/>
      <c r="AN1323" s="7"/>
      <c r="AO1323" s="7"/>
      <c r="AR1323" s="7"/>
      <c r="AS1323" s="7"/>
      <c r="AT1323" s="7"/>
      <c r="AU1323" s="7"/>
      <c r="AW1323" s="7"/>
      <c r="CE1323" s="7"/>
      <c r="FZ1323" s="2"/>
    </row>
    <row r="1324" spans="1:182">
      <c r="A1324" s="7"/>
      <c r="D1324" s="7"/>
      <c r="E1324" s="7"/>
      <c r="F1324" s="7"/>
      <c r="G1324" s="7"/>
      <c r="H1324" s="7"/>
      <c r="I1324" s="7"/>
      <c r="J1324" s="7"/>
      <c r="K1324" s="7"/>
      <c r="L1324" s="7"/>
      <c r="M1324" s="7"/>
      <c r="N1324" s="7"/>
      <c r="O1324" s="7"/>
      <c r="P1324" s="7"/>
      <c r="Q1324" s="7"/>
      <c r="R1324" s="7"/>
      <c r="S1324" s="7"/>
      <c r="T1324" s="7"/>
      <c r="U1324" s="7"/>
      <c r="Y1324" s="7"/>
      <c r="Z1324" s="17"/>
      <c r="AC1324" s="7"/>
      <c r="AD1324" s="7"/>
      <c r="AE1324" s="7"/>
      <c r="AF1324" s="7"/>
      <c r="AG1324" s="7"/>
      <c r="AH1324" s="7"/>
      <c r="AJ1324" s="7"/>
      <c r="AK1324" s="7"/>
      <c r="AL1324" s="7"/>
      <c r="AM1324" s="7"/>
      <c r="AN1324" s="7"/>
      <c r="AO1324" s="7"/>
      <c r="AR1324" s="7"/>
      <c r="AS1324" s="7"/>
      <c r="AT1324" s="7"/>
      <c r="AU1324" s="7"/>
      <c r="AW1324" s="7"/>
      <c r="CE1324" s="7"/>
      <c r="FZ1324" s="2"/>
    </row>
    <row r="1325" spans="1:182">
      <c r="A1325" s="7"/>
      <c r="D1325" s="7"/>
      <c r="E1325" s="7"/>
      <c r="F1325" s="7"/>
      <c r="G1325" s="7"/>
      <c r="H1325" s="7"/>
      <c r="I1325" s="7"/>
      <c r="J1325" s="7"/>
      <c r="K1325" s="7"/>
      <c r="L1325" s="7"/>
      <c r="M1325" s="7"/>
      <c r="N1325" s="7"/>
      <c r="O1325" s="7"/>
      <c r="P1325" s="7"/>
      <c r="Q1325" s="7"/>
      <c r="R1325" s="7"/>
      <c r="S1325" s="7"/>
      <c r="T1325" s="7"/>
      <c r="U1325" s="7"/>
      <c r="Y1325" s="7"/>
      <c r="Z1325" s="17"/>
      <c r="AC1325" s="7"/>
      <c r="AD1325" s="7"/>
      <c r="AE1325" s="7"/>
      <c r="AF1325" s="7"/>
      <c r="AG1325" s="7"/>
      <c r="AH1325" s="7"/>
      <c r="AJ1325" s="7"/>
      <c r="AK1325" s="7"/>
      <c r="AL1325" s="7"/>
      <c r="AM1325" s="7"/>
      <c r="AN1325" s="7"/>
      <c r="AO1325" s="7"/>
      <c r="AR1325" s="7"/>
      <c r="AS1325" s="7"/>
      <c r="AT1325" s="7"/>
      <c r="AU1325" s="7"/>
      <c r="AW1325" s="7"/>
      <c r="CE1325" s="7"/>
      <c r="FZ1325" s="2"/>
    </row>
    <row r="1326" spans="1:182">
      <c r="A1326" s="7"/>
      <c r="D1326" s="7"/>
      <c r="E1326" s="7"/>
      <c r="F1326" s="7"/>
      <c r="G1326" s="7"/>
      <c r="H1326" s="7"/>
      <c r="I1326" s="7"/>
      <c r="J1326" s="7"/>
      <c r="K1326" s="7"/>
      <c r="L1326" s="7"/>
      <c r="M1326" s="7"/>
      <c r="N1326" s="7"/>
      <c r="O1326" s="7"/>
      <c r="P1326" s="7"/>
      <c r="Q1326" s="7"/>
      <c r="R1326" s="7"/>
      <c r="S1326" s="7"/>
      <c r="T1326" s="7"/>
      <c r="U1326" s="7"/>
      <c r="Y1326" s="7"/>
      <c r="Z1326" s="17"/>
      <c r="AC1326" s="7"/>
      <c r="AD1326" s="7"/>
      <c r="AE1326" s="7"/>
      <c r="AF1326" s="7"/>
      <c r="AG1326" s="7"/>
      <c r="AH1326" s="7"/>
      <c r="AJ1326" s="7"/>
      <c r="AK1326" s="7"/>
      <c r="AL1326" s="7"/>
      <c r="AM1326" s="7"/>
      <c r="AN1326" s="7"/>
      <c r="AO1326" s="7"/>
      <c r="AR1326" s="7"/>
      <c r="AS1326" s="7"/>
      <c r="AT1326" s="7"/>
      <c r="AU1326" s="7"/>
      <c r="AW1326" s="7"/>
      <c r="CE1326" s="7"/>
      <c r="FZ1326" s="2"/>
    </row>
    <row r="1327" spans="1:182">
      <c r="A1327" s="7"/>
      <c r="D1327" s="7"/>
      <c r="E1327" s="7"/>
      <c r="F1327" s="7"/>
      <c r="G1327" s="7"/>
      <c r="H1327" s="7"/>
      <c r="I1327" s="7"/>
      <c r="J1327" s="7"/>
      <c r="K1327" s="7"/>
      <c r="L1327" s="7"/>
      <c r="M1327" s="7"/>
      <c r="N1327" s="7"/>
      <c r="O1327" s="7"/>
      <c r="P1327" s="7"/>
      <c r="Q1327" s="7"/>
      <c r="R1327" s="7"/>
      <c r="S1327" s="7"/>
      <c r="T1327" s="7"/>
      <c r="U1327" s="7"/>
      <c r="Y1327" s="7"/>
      <c r="Z1327" s="17"/>
      <c r="AC1327" s="7"/>
      <c r="AD1327" s="7"/>
      <c r="AE1327" s="7"/>
      <c r="AF1327" s="7"/>
      <c r="AG1327" s="7"/>
      <c r="AH1327" s="7"/>
      <c r="AJ1327" s="7"/>
      <c r="AK1327" s="7"/>
      <c r="AL1327" s="7"/>
      <c r="AM1327" s="7"/>
      <c r="AN1327" s="7"/>
      <c r="AO1327" s="7"/>
      <c r="AR1327" s="7"/>
      <c r="AS1327" s="7"/>
      <c r="AT1327" s="7"/>
      <c r="AU1327" s="7"/>
      <c r="AW1327" s="7"/>
      <c r="CE1327" s="7"/>
      <c r="FZ1327" s="2"/>
    </row>
    <row r="1328" spans="1:182">
      <c r="A1328" s="7"/>
      <c r="D1328" s="7"/>
      <c r="E1328" s="7"/>
      <c r="F1328" s="7"/>
      <c r="G1328" s="7"/>
      <c r="H1328" s="7"/>
      <c r="I1328" s="7"/>
      <c r="J1328" s="7"/>
      <c r="K1328" s="7"/>
      <c r="L1328" s="7"/>
      <c r="M1328" s="7"/>
      <c r="N1328" s="7"/>
      <c r="O1328" s="7"/>
      <c r="P1328" s="7"/>
      <c r="Q1328" s="7"/>
      <c r="R1328" s="7"/>
      <c r="S1328" s="7"/>
      <c r="T1328" s="7"/>
      <c r="U1328" s="7"/>
      <c r="Y1328" s="7"/>
      <c r="Z1328" s="17"/>
      <c r="AC1328" s="7"/>
      <c r="AD1328" s="7"/>
      <c r="AE1328" s="7"/>
      <c r="AF1328" s="7"/>
      <c r="AG1328" s="7"/>
      <c r="AH1328" s="7"/>
      <c r="AJ1328" s="7"/>
      <c r="AK1328" s="7"/>
      <c r="AL1328" s="7"/>
      <c r="AM1328" s="7"/>
      <c r="AN1328" s="7"/>
      <c r="AO1328" s="7"/>
      <c r="AR1328" s="7"/>
      <c r="AS1328" s="7"/>
      <c r="AT1328" s="7"/>
      <c r="AU1328" s="7"/>
      <c r="AW1328" s="7"/>
      <c r="CE1328" s="7"/>
      <c r="FZ1328" s="2"/>
    </row>
    <row r="1329" spans="1:182">
      <c r="A1329" s="7"/>
      <c r="D1329" s="7"/>
      <c r="E1329" s="7"/>
      <c r="F1329" s="7"/>
      <c r="G1329" s="7"/>
      <c r="H1329" s="7"/>
      <c r="I1329" s="7"/>
      <c r="J1329" s="7"/>
      <c r="K1329" s="7"/>
      <c r="L1329" s="7"/>
      <c r="M1329" s="7"/>
      <c r="N1329" s="7"/>
      <c r="O1329" s="7"/>
      <c r="P1329" s="7"/>
      <c r="Q1329" s="7"/>
      <c r="R1329" s="7"/>
      <c r="S1329" s="7"/>
      <c r="T1329" s="7"/>
      <c r="U1329" s="7"/>
      <c r="Y1329" s="7"/>
      <c r="Z1329" s="17"/>
      <c r="AC1329" s="7"/>
      <c r="AD1329" s="7"/>
      <c r="AE1329" s="7"/>
      <c r="AF1329" s="7"/>
      <c r="AG1329" s="7"/>
      <c r="AH1329" s="7"/>
      <c r="AJ1329" s="7"/>
      <c r="AK1329" s="7"/>
      <c r="AL1329" s="7"/>
      <c r="AM1329" s="7"/>
      <c r="AN1329" s="7"/>
      <c r="AO1329" s="7"/>
      <c r="AR1329" s="7"/>
      <c r="AS1329" s="7"/>
      <c r="AT1329" s="7"/>
      <c r="AU1329" s="7"/>
      <c r="AW1329" s="7"/>
      <c r="CE1329" s="7"/>
      <c r="FZ1329" s="2"/>
    </row>
    <row r="1330" spans="1:182">
      <c r="A1330" s="7"/>
      <c r="D1330" s="7"/>
      <c r="E1330" s="7"/>
      <c r="F1330" s="7"/>
      <c r="G1330" s="7"/>
      <c r="H1330" s="7"/>
      <c r="I1330" s="7"/>
      <c r="J1330" s="7"/>
      <c r="K1330" s="7"/>
      <c r="L1330" s="7"/>
      <c r="M1330" s="7"/>
      <c r="N1330" s="7"/>
      <c r="O1330" s="7"/>
      <c r="P1330" s="7"/>
      <c r="Q1330" s="7"/>
      <c r="R1330" s="7"/>
      <c r="S1330" s="7"/>
      <c r="T1330" s="7"/>
      <c r="U1330" s="7"/>
      <c r="Y1330" s="7"/>
      <c r="Z1330" s="17"/>
      <c r="AC1330" s="7"/>
      <c r="AD1330" s="7"/>
      <c r="AE1330" s="7"/>
      <c r="AF1330" s="7"/>
      <c r="AG1330" s="7"/>
      <c r="AH1330" s="7"/>
      <c r="AJ1330" s="7"/>
      <c r="AK1330" s="7"/>
      <c r="AL1330" s="7"/>
      <c r="AM1330" s="7"/>
      <c r="AN1330" s="7"/>
      <c r="AO1330" s="7"/>
      <c r="AR1330" s="7"/>
      <c r="AS1330" s="7"/>
      <c r="AT1330" s="7"/>
      <c r="AU1330" s="7"/>
      <c r="AW1330" s="7"/>
      <c r="CE1330" s="7"/>
      <c r="FZ1330" s="2"/>
    </row>
    <row r="1331" spans="1:182">
      <c r="A1331" s="7"/>
      <c r="D1331" s="7"/>
      <c r="E1331" s="7"/>
      <c r="F1331" s="7"/>
      <c r="G1331" s="7"/>
      <c r="H1331" s="7"/>
      <c r="I1331" s="7"/>
      <c r="J1331" s="7"/>
      <c r="K1331" s="7"/>
      <c r="L1331" s="7"/>
      <c r="M1331" s="7"/>
      <c r="N1331" s="7"/>
      <c r="O1331" s="7"/>
      <c r="P1331" s="7"/>
      <c r="Q1331" s="7"/>
      <c r="R1331" s="7"/>
      <c r="S1331" s="7"/>
      <c r="T1331" s="7"/>
      <c r="U1331" s="7"/>
      <c r="Y1331" s="7"/>
      <c r="Z1331" s="17"/>
      <c r="AC1331" s="7"/>
      <c r="AD1331" s="7"/>
      <c r="AE1331" s="7"/>
      <c r="AF1331" s="7"/>
      <c r="AG1331" s="7"/>
      <c r="AH1331" s="7"/>
      <c r="AJ1331" s="7"/>
      <c r="AK1331" s="7"/>
      <c r="AL1331" s="7"/>
      <c r="AM1331" s="7"/>
      <c r="AN1331" s="7"/>
      <c r="AO1331" s="7"/>
      <c r="AR1331" s="7"/>
      <c r="AS1331" s="7"/>
      <c r="AT1331" s="7"/>
      <c r="AU1331" s="7"/>
      <c r="AW1331" s="7"/>
      <c r="CE1331" s="7"/>
      <c r="FZ1331" s="2"/>
    </row>
    <row r="1332" spans="1:182">
      <c r="A1332" s="7"/>
      <c r="D1332" s="7"/>
      <c r="E1332" s="7"/>
      <c r="F1332" s="7"/>
      <c r="G1332" s="7"/>
      <c r="H1332" s="7"/>
      <c r="I1332" s="7"/>
      <c r="J1332" s="7"/>
      <c r="K1332" s="7"/>
      <c r="L1332" s="7"/>
      <c r="M1332" s="7"/>
      <c r="N1332" s="7"/>
      <c r="O1332" s="7"/>
      <c r="P1332" s="7"/>
      <c r="Q1332" s="7"/>
      <c r="R1332" s="7"/>
      <c r="S1332" s="7"/>
      <c r="T1332" s="7"/>
      <c r="U1332" s="7"/>
      <c r="Y1332" s="7"/>
      <c r="Z1332" s="17"/>
      <c r="AC1332" s="7"/>
      <c r="AD1332" s="7"/>
      <c r="AE1332" s="7"/>
      <c r="AF1332" s="7"/>
      <c r="AG1332" s="7"/>
      <c r="AH1332" s="7"/>
      <c r="AJ1332" s="7"/>
      <c r="AK1332" s="7"/>
      <c r="AL1332" s="7"/>
      <c r="AM1332" s="7"/>
      <c r="AN1332" s="7"/>
      <c r="AO1332" s="7"/>
      <c r="AR1332" s="7"/>
      <c r="AS1332" s="7"/>
      <c r="AT1332" s="7"/>
      <c r="AU1332" s="7"/>
      <c r="AW1332" s="7"/>
      <c r="CE1332" s="7"/>
      <c r="FZ1332" s="2"/>
    </row>
    <row r="1333" spans="1:182">
      <c r="A1333" s="7"/>
      <c r="D1333" s="7"/>
      <c r="E1333" s="7"/>
      <c r="F1333" s="7"/>
      <c r="G1333" s="7"/>
      <c r="H1333" s="7"/>
      <c r="I1333" s="7"/>
      <c r="J1333" s="7"/>
      <c r="K1333" s="7"/>
      <c r="L1333" s="7"/>
      <c r="M1333" s="7"/>
      <c r="N1333" s="7"/>
      <c r="O1333" s="7"/>
      <c r="P1333" s="7"/>
      <c r="Q1333" s="7"/>
      <c r="R1333" s="7"/>
      <c r="S1333" s="7"/>
      <c r="T1333" s="7"/>
      <c r="U1333" s="7"/>
      <c r="Y1333" s="7"/>
      <c r="Z1333" s="17"/>
      <c r="AC1333" s="7"/>
      <c r="AD1333" s="7"/>
      <c r="AE1333" s="7"/>
      <c r="AF1333" s="7"/>
      <c r="AG1333" s="7"/>
      <c r="AH1333" s="7"/>
      <c r="AJ1333" s="7"/>
      <c r="AK1333" s="7"/>
      <c r="AL1333" s="7"/>
      <c r="AM1333" s="7"/>
      <c r="AN1333" s="7"/>
      <c r="AO1333" s="7"/>
      <c r="AR1333" s="7"/>
      <c r="AS1333" s="7"/>
      <c r="AT1333" s="7"/>
      <c r="AU1333" s="7"/>
      <c r="AW1333" s="7"/>
      <c r="CE1333" s="7"/>
      <c r="FZ1333" s="2"/>
    </row>
    <row r="1334" spans="1:182">
      <c r="A1334" s="7"/>
      <c r="D1334" s="7"/>
      <c r="E1334" s="7"/>
      <c r="F1334" s="7"/>
      <c r="G1334" s="7"/>
      <c r="H1334" s="7"/>
      <c r="I1334" s="7"/>
      <c r="J1334" s="7"/>
      <c r="K1334" s="7"/>
      <c r="L1334" s="7"/>
      <c r="M1334" s="7"/>
      <c r="N1334" s="7"/>
      <c r="O1334" s="7"/>
      <c r="P1334" s="7"/>
      <c r="Q1334" s="7"/>
      <c r="R1334" s="7"/>
      <c r="S1334" s="7"/>
      <c r="T1334" s="7"/>
      <c r="U1334" s="7"/>
      <c r="Y1334" s="7"/>
      <c r="Z1334" s="17"/>
      <c r="AC1334" s="7"/>
      <c r="AD1334" s="7"/>
      <c r="AE1334" s="7"/>
      <c r="AF1334" s="7"/>
      <c r="AG1334" s="7"/>
      <c r="AH1334" s="7"/>
      <c r="AJ1334" s="7"/>
      <c r="AK1334" s="7"/>
      <c r="AL1334" s="7"/>
      <c r="AM1334" s="7"/>
      <c r="AN1334" s="7"/>
      <c r="AO1334" s="7"/>
      <c r="AR1334" s="7"/>
      <c r="AS1334" s="7"/>
      <c r="AT1334" s="7"/>
      <c r="AU1334" s="7"/>
      <c r="AW1334" s="7"/>
      <c r="CE1334" s="7"/>
      <c r="FZ1334" s="2"/>
    </row>
    <row r="1335" spans="1:182">
      <c r="A1335" s="7"/>
      <c r="D1335" s="7"/>
      <c r="E1335" s="7"/>
      <c r="F1335" s="7"/>
      <c r="G1335" s="7"/>
      <c r="H1335" s="7"/>
      <c r="I1335" s="7"/>
      <c r="J1335" s="7"/>
      <c r="K1335" s="7"/>
      <c r="L1335" s="7"/>
      <c r="M1335" s="7"/>
      <c r="N1335" s="7"/>
      <c r="O1335" s="7"/>
      <c r="P1335" s="7"/>
      <c r="Q1335" s="7"/>
      <c r="R1335" s="7"/>
      <c r="S1335" s="7"/>
      <c r="T1335" s="7"/>
      <c r="U1335" s="7"/>
      <c r="Y1335" s="7"/>
      <c r="Z1335" s="17"/>
      <c r="AC1335" s="7"/>
      <c r="AD1335" s="7"/>
      <c r="AE1335" s="7"/>
      <c r="AF1335" s="7"/>
      <c r="AG1335" s="7"/>
      <c r="AH1335" s="7"/>
      <c r="AJ1335" s="7"/>
      <c r="AK1335" s="7"/>
      <c r="AL1335" s="7"/>
      <c r="AM1335" s="7"/>
      <c r="AN1335" s="7"/>
      <c r="AO1335" s="7"/>
      <c r="AR1335" s="7"/>
      <c r="AS1335" s="7"/>
      <c r="AT1335" s="7"/>
      <c r="AU1335" s="7"/>
      <c r="AW1335" s="7"/>
      <c r="CE1335" s="7"/>
      <c r="FZ1335" s="2"/>
    </row>
    <row r="1336" spans="1:182">
      <c r="A1336" s="7"/>
      <c r="D1336" s="7"/>
      <c r="E1336" s="7"/>
      <c r="F1336" s="7"/>
      <c r="G1336" s="7"/>
      <c r="H1336" s="7"/>
      <c r="I1336" s="7"/>
      <c r="J1336" s="7"/>
      <c r="K1336" s="7"/>
      <c r="L1336" s="7"/>
      <c r="M1336" s="7"/>
      <c r="N1336" s="7"/>
      <c r="O1336" s="7"/>
      <c r="P1336" s="7"/>
      <c r="Q1336" s="7"/>
      <c r="R1336" s="7"/>
      <c r="S1336" s="7"/>
      <c r="T1336" s="7"/>
      <c r="U1336" s="7"/>
      <c r="Y1336" s="7"/>
      <c r="Z1336" s="17"/>
      <c r="AC1336" s="7"/>
      <c r="AD1336" s="7"/>
      <c r="AE1336" s="7"/>
      <c r="AF1336" s="7"/>
      <c r="AG1336" s="7"/>
      <c r="AH1336" s="7"/>
      <c r="AJ1336" s="7"/>
      <c r="AK1336" s="7"/>
      <c r="AL1336" s="7"/>
      <c r="AM1336" s="7"/>
      <c r="AN1336" s="7"/>
      <c r="AO1336" s="7"/>
      <c r="AR1336" s="7"/>
      <c r="AS1336" s="7"/>
      <c r="AT1336" s="7"/>
      <c r="AU1336" s="7"/>
      <c r="AW1336" s="7"/>
      <c r="CE1336" s="7"/>
      <c r="FZ1336" s="2"/>
    </row>
    <row r="1337" spans="1:182">
      <c r="A1337" s="7"/>
      <c r="D1337" s="7"/>
      <c r="E1337" s="7"/>
      <c r="F1337" s="7"/>
      <c r="G1337" s="7"/>
      <c r="H1337" s="7"/>
      <c r="I1337" s="7"/>
      <c r="J1337" s="7"/>
      <c r="K1337" s="7"/>
      <c r="L1337" s="7"/>
      <c r="M1337" s="7"/>
      <c r="N1337" s="7"/>
      <c r="O1337" s="7"/>
      <c r="P1337" s="7"/>
      <c r="Q1337" s="7"/>
      <c r="R1337" s="7"/>
      <c r="S1337" s="7"/>
      <c r="T1337" s="7"/>
      <c r="U1337" s="7"/>
      <c r="Y1337" s="7"/>
      <c r="Z1337" s="17"/>
      <c r="AC1337" s="7"/>
      <c r="AD1337" s="7"/>
      <c r="AE1337" s="7"/>
      <c r="AF1337" s="7"/>
      <c r="AG1337" s="7"/>
      <c r="AH1337" s="7"/>
      <c r="AJ1337" s="7"/>
      <c r="AK1337" s="7"/>
      <c r="AL1337" s="7"/>
      <c r="AM1337" s="7"/>
      <c r="AN1337" s="7"/>
      <c r="AO1337" s="7"/>
      <c r="AR1337" s="7"/>
      <c r="AS1337" s="7"/>
      <c r="AT1337" s="7"/>
      <c r="AU1337" s="7"/>
      <c r="AW1337" s="7"/>
      <c r="CE1337" s="7"/>
      <c r="FZ1337" s="2"/>
    </row>
    <row r="1338" spans="1:182">
      <c r="A1338" s="7"/>
      <c r="D1338" s="7"/>
      <c r="E1338" s="7"/>
      <c r="F1338" s="7"/>
      <c r="G1338" s="7"/>
      <c r="H1338" s="7"/>
      <c r="I1338" s="7"/>
      <c r="J1338" s="7"/>
      <c r="K1338" s="7"/>
      <c r="L1338" s="7"/>
      <c r="M1338" s="7"/>
      <c r="N1338" s="7"/>
      <c r="O1338" s="7"/>
      <c r="P1338" s="7"/>
      <c r="Q1338" s="7"/>
      <c r="R1338" s="7"/>
      <c r="S1338" s="7"/>
      <c r="T1338" s="7"/>
      <c r="U1338" s="7"/>
      <c r="Y1338" s="7"/>
      <c r="Z1338" s="17"/>
      <c r="AC1338" s="7"/>
      <c r="AD1338" s="7"/>
      <c r="AE1338" s="7"/>
      <c r="AF1338" s="7"/>
      <c r="AG1338" s="7"/>
      <c r="AH1338" s="7"/>
      <c r="AJ1338" s="7"/>
      <c r="AK1338" s="7"/>
      <c r="AL1338" s="7"/>
      <c r="AM1338" s="7"/>
      <c r="AN1338" s="7"/>
      <c r="AO1338" s="7"/>
      <c r="AR1338" s="7"/>
      <c r="AS1338" s="7"/>
      <c r="AT1338" s="7"/>
      <c r="AU1338" s="7"/>
      <c r="AW1338" s="7"/>
      <c r="CE1338" s="7"/>
      <c r="FZ1338" s="2"/>
    </row>
    <row r="1339" spans="1:182">
      <c r="A1339" s="7"/>
      <c r="D1339" s="7"/>
      <c r="E1339" s="7"/>
      <c r="F1339" s="7"/>
      <c r="G1339" s="7"/>
      <c r="H1339" s="7"/>
      <c r="I1339" s="7"/>
      <c r="J1339" s="7"/>
      <c r="K1339" s="7"/>
      <c r="L1339" s="7"/>
      <c r="M1339" s="7"/>
      <c r="N1339" s="7"/>
      <c r="O1339" s="7"/>
      <c r="P1339" s="7"/>
      <c r="Q1339" s="7"/>
      <c r="R1339" s="7"/>
      <c r="S1339" s="7"/>
      <c r="T1339" s="7"/>
      <c r="U1339" s="7"/>
      <c r="Y1339" s="7"/>
      <c r="Z1339" s="17"/>
      <c r="AC1339" s="7"/>
      <c r="AD1339" s="7"/>
      <c r="AE1339" s="7"/>
      <c r="AF1339" s="7"/>
      <c r="AG1339" s="7"/>
      <c r="AH1339" s="7"/>
      <c r="AJ1339" s="7"/>
      <c r="AK1339" s="7"/>
      <c r="AL1339" s="7"/>
      <c r="AM1339" s="7"/>
      <c r="AN1339" s="7"/>
      <c r="AO1339" s="7"/>
      <c r="AR1339" s="7"/>
      <c r="AS1339" s="7"/>
      <c r="AT1339" s="7"/>
      <c r="AU1339" s="7"/>
      <c r="AW1339" s="7"/>
      <c r="CE1339" s="7"/>
      <c r="FZ1339" s="2"/>
    </row>
    <row r="1340" spans="1:182">
      <c r="A1340" s="7"/>
      <c r="D1340" s="7"/>
      <c r="E1340" s="7"/>
      <c r="F1340" s="7"/>
      <c r="G1340" s="7"/>
      <c r="H1340" s="7"/>
      <c r="I1340" s="7"/>
      <c r="J1340" s="7"/>
      <c r="K1340" s="7"/>
      <c r="L1340" s="7"/>
      <c r="M1340" s="7"/>
      <c r="N1340" s="7"/>
      <c r="O1340" s="7"/>
      <c r="P1340" s="7"/>
      <c r="Q1340" s="7"/>
      <c r="R1340" s="7"/>
      <c r="S1340" s="7"/>
      <c r="T1340" s="7"/>
      <c r="U1340" s="7"/>
      <c r="Y1340" s="7"/>
      <c r="Z1340" s="17"/>
      <c r="AC1340" s="7"/>
      <c r="AD1340" s="7"/>
      <c r="AE1340" s="7"/>
      <c r="AF1340" s="7"/>
      <c r="AG1340" s="7"/>
      <c r="AH1340" s="7"/>
      <c r="AJ1340" s="7"/>
      <c r="AK1340" s="7"/>
      <c r="AL1340" s="7"/>
      <c r="AM1340" s="7"/>
      <c r="AN1340" s="7"/>
      <c r="AO1340" s="7"/>
      <c r="AR1340" s="7"/>
      <c r="AS1340" s="7"/>
      <c r="AT1340" s="7"/>
      <c r="AU1340" s="7"/>
      <c r="AW1340" s="7"/>
      <c r="CE1340" s="7"/>
      <c r="FZ1340" s="2"/>
    </row>
    <row r="1341" spans="1:182">
      <c r="A1341" s="7"/>
      <c r="D1341" s="7"/>
      <c r="E1341" s="7"/>
      <c r="F1341" s="7"/>
      <c r="G1341" s="7"/>
      <c r="H1341" s="7"/>
      <c r="I1341" s="7"/>
      <c r="J1341" s="7"/>
      <c r="K1341" s="7"/>
      <c r="L1341" s="7"/>
      <c r="M1341" s="7"/>
      <c r="N1341" s="7"/>
      <c r="O1341" s="7"/>
      <c r="P1341" s="7"/>
      <c r="Q1341" s="7"/>
      <c r="R1341" s="7"/>
      <c r="S1341" s="7"/>
      <c r="T1341" s="7"/>
      <c r="U1341" s="7"/>
      <c r="Y1341" s="7"/>
      <c r="Z1341" s="17"/>
      <c r="AC1341" s="7"/>
      <c r="AD1341" s="7"/>
      <c r="AE1341" s="7"/>
      <c r="AF1341" s="7"/>
      <c r="AG1341" s="7"/>
      <c r="AH1341" s="7"/>
      <c r="AJ1341" s="7"/>
      <c r="AK1341" s="7"/>
      <c r="AL1341" s="7"/>
      <c r="AM1341" s="7"/>
      <c r="AN1341" s="7"/>
      <c r="AO1341" s="7"/>
      <c r="AR1341" s="7"/>
      <c r="AS1341" s="7"/>
      <c r="AT1341" s="7"/>
      <c r="AU1341" s="7"/>
      <c r="AW1341" s="7"/>
      <c r="CE1341" s="7"/>
      <c r="FZ1341" s="2"/>
    </row>
    <row r="1342" spans="1:182">
      <c r="A1342" s="7"/>
      <c r="D1342" s="7"/>
      <c r="E1342" s="7"/>
      <c r="F1342" s="7"/>
      <c r="G1342" s="7"/>
      <c r="H1342" s="7"/>
      <c r="I1342" s="7"/>
      <c r="J1342" s="7"/>
      <c r="K1342" s="7"/>
      <c r="L1342" s="7"/>
      <c r="M1342" s="7"/>
      <c r="N1342" s="7"/>
      <c r="O1342" s="7"/>
      <c r="P1342" s="7"/>
      <c r="Q1342" s="7"/>
      <c r="R1342" s="7"/>
      <c r="S1342" s="7"/>
      <c r="T1342" s="7"/>
      <c r="U1342" s="7"/>
      <c r="Y1342" s="7"/>
      <c r="Z1342" s="17"/>
      <c r="AC1342" s="7"/>
      <c r="AD1342" s="7"/>
      <c r="AE1342" s="7"/>
      <c r="AF1342" s="7"/>
      <c r="AG1342" s="7"/>
      <c r="AH1342" s="7"/>
      <c r="AJ1342" s="7"/>
      <c r="AK1342" s="7"/>
      <c r="AL1342" s="7"/>
      <c r="AM1342" s="7"/>
      <c r="AN1342" s="7"/>
      <c r="AO1342" s="7"/>
      <c r="AR1342" s="7"/>
      <c r="AS1342" s="7"/>
      <c r="AT1342" s="7"/>
      <c r="AU1342" s="7"/>
      <c r="AW1342" s="7"/>
      <c r="CE1342" s="7"/>
      <c r="FZ1342" s="2"/>
    </row>
    <row r="1343" spans="1:182">
      <c r="A1343" s="7"/>
      <c r="D1343" s="7"/>
      <c r="E1343" s="7"/>
      <c r="F1343" s="7"/>
      <c r="G1343" s="7"/>
      <c r="H1343" s="7"/>
      <c r="I1343" s="7"/>
      <c r="J1343" s="7"/>
      <c r="K1343" s="7"/>
      <c r="L1343" s="7"/>
      <c r="M1343" s="7"/>
      <c r="N1343" s="7"/>
      <c r="O1343" s="7"/>
      <c r="P1343" s="7"/>
      <c r="Q1343" s="7"/>
      <c r="R1343" s="7"/>
      <c r="S1343" s="7"/>
      <c r="T1343" s="7"/>
      <c r="U1343" s="7"/>
      <c r="Y1343" s="7"/>
      <c r="Z1343" s="17"/>
      <c r="AC1343" s="7"/>
      <c r="AD1343" s="7"/>
      <c r="AE1343" s="7"/>
      <c r="AF1343" s="7"/>
      <c r="AG1343" s="7"/>
      <c r="AH1343" s="7"/>
      <c r="AJ1343" s="7"/>
      <c r="AK1343" s="7"/>
      <c r="AL1343" s="7"/>
      <c r="AM1343" s="7"/>
      <c r="AN1343" s="7"/>
      <c r="AO1343" s="7"/>
      <c r="AR1343" s="7"/>
      <c r="AS1343" s="7"/>
      <c r="AT1343" s="7"/>
      <c r="AU1343" s="7"/>
      <c r="AW1343" s="7"/>
      <c r="CE1343" s="7"/>
      <c r="FZ1343" s="2"/>
    </row>
    <row r="1344" spans="1:182">
      <c r="A1344" s="7"/>
      <c r="D1344" s="7"/>
      <c r="E1344" s="7"/>
      <c r="F1344" s="7"/>
      <c r="G1344" s="7"/>
      <c r="H1344" s="7"/>
      <c r="I1344" s="7"/>
      <c r="J1344" s="7"/>
      <c r="K1344" s="7"/>
      <c r="L1344" s="7"/>
      <c r="M1344" s="7"/>
      <c r="N1344" s="7"/>
      <c r="O1344" s="7"/>
      <c r="P1344" s="7"/>
      <c r="Q1344" s="7"/>
      <c r="R1344" s="7"/>
      <c r="S1344" s="7"/>
      <c r="T1344" s="7"/>
      <c r="U1344" s="7"/>
      <c r="Y1344" s="7"/>
      <c r="Z1344" s="17"/>
      <c r="AC1344" s="7"/>
      <c r="AD1344" s="7"/>
      <c r="AE1344" s="7"/>
      <c r="AF1344" s="7"/>
      <c r="AG1344" s="7"/>
      <c r="AH1344" s="7"/>
      <c r="AJ1344" s="7"/>
      <c r="AK1344" s="7"/>
      <c r="AL1344" s="7"/>
      <c r="AM1344" s="7"/>
      <c r="AN1344" s="7"/>
      <c r="AO1344" s="7"/>
      <c r="AR1344" s="7"/>
      <c r="AS1344" s="7"/>
      <c r="AT1344" s="7"/>
      <c r="AU1344" s="7"/>
      <c r="AW1344" s="7"/>
      <c r="CE1344" s="7"/>
      <c r="FZ1344" s="2"/>
    </row>
    <row r="1345" spans="1:182">
      <c r="A1345" s="7"/>
      <c r="D1345" s="7"/>
      <c r="E1345" s="7"/>
      <c r="F1345" s="7"/>
      <c r="G1345" s="7"/>
      <c r="H1345" s="7"/>
      <c r="I1345" s="7"/>
      <c r="J1345" s="7"/>
      <c r="K1345" s="7"/>
      <c r="L1345" s="7"/>
      <c r="M1345" s="7"/>
      <c r="N1345" s="7"/>
      <c r="O1345" s="7"/>
      <c r="P1345" s="7"/>
      <c r="Q1345" s="7"/>
      <c r="R1345" s="7"/>
      <c r="S1345" s="7"/>
      <c r="T1345" s="7"/>
      <c r="U1345" s="7"/>
      <c r="Y1345" s="7"/>
      <c r="Z1345" s="17"/>
      <c r="AC1345" s="7"/>
      <c r="AD1345" s="7"/>
      <c r="AE1345" s="7"/>
      <c r="AF1345" s="7"/>
      <c r="AG1345" s="7"/>
      <c r="AH1345" s="7"/>
      <c r="AJ1345" s="7"/>
      <c r="AK1345" s="7"/>
      <c r="AL1345" s="7"/>
      <c r="AM1345" s="7"/>
      <c r="AN1345" s="7"/>
      <c r="AO1345" s="7"/>
      <c r="AR1345" s="7"/>
      <c r="AS1345" s="7"/>
      <c r="AT1345" s="7"/>
      <c r="AU1345" s="7"/>
      <c r="AW1345" s="7"/>
      <c r="CE1345" s="7"/>
      <c r="FZ1345" s="2"/>
    </row>
    <row r="1346" spans="1:182">
      <c r="A1346" s="7"/>
      <c r="D1346" s="7"/>
      <c r="E1346" s="7"/>
      <c r="F1346" s="7"/>
      <c r="G1346" s="7"/>
      <c r="H1346" s="7"/>
      <c r="I1346" s="7"/>
      <c r="J1346" s="7"/>
      <c r="K1346" s="7"/>
      <c r="L1346" s="7"/>
      <c r="M1346" s="7"/>
      <c r="N1346" s="7"/>
      <c r="O1346" s="7"/>
      <c r="P1346" s="7"/>
      <c r="Q1346" s="7"/>
      <c r="R1346" s="7"/>
      <c r="S1346" s="7"/>
      <c r="T1346" s="7"/>
      <c r="U1346" s="7"/>
      <c r="Y1346" s="7"/>
      <c r="Z1346" s="17"/>
      <c r="AC1346" s="7"/>
      <c r="AD1346" s="7"/>
      <c r="AE1346" s="7"/>
      <c r="AF1346" s="7"/>
      <c r="AG1346" s="7"/>
      <c r="AH1346" s="7"/>
      <c r="AJ1346" s="7"/>
      <c r="AK1346" s="7"/>
      <c r="AL1346" s="7"/>
      <c r="AM1346" s="7"/>
      <c r="AN1346" s="7"/>
      <c r="AO1346" s="7"/>
      <c r="AR1346" s="7"/>
      <c r="AS1346" s="7"/>
      <c r="AT1346" s="7"/>
      <c r="AU1346" s="7"/>
      <c r="AW1346" s="7"/>
      <c r="CE1346" s="7"/>
      <c r="FZ1346" s="2"/>
    </row>
    <row r="1347" spans="1:182">
      <c r="A1347" s="7"/>
      <c r="D1347" s="7"/>
      <c r="E1347" s="7"/>
      <c r="F1347" s="7"/>
      <c r="G1347" s="7"/>
      <c r="H1347" s="7"/>
      <c r="I1347" s="7"/>
      <c r="J1347" s="7"/>
      <c r="K1347" s="7"/>
      <c r="L1347" s="7"/>
      <c r="M1347" s="7"/>
      <c r="N1347" s="7"/>
      <c r="O1347" s="7"/>
      <c r="P1347" s="7"/>
      <c r="Q1347" s="7"/>
      <c r="R1347" s="7"/>
      <c r="S1347" s="7"/>
      <c r="T1347" s="7"/>
      <c r="U1347" s="7"/>
      <c r="Y1347" s="7"/>
      <c r="Z1347" s="17"/>
      <c r="AC1347" s="7"/>
      <c r="AD1347" s="7"/>
      <c r="AE1347" s="7"/>
      <c r="AF1347" s="7"/>
      <c r="AG1347" s="7"/>
      <c r="AH1347" s="7"/>
      <c r="AJ1347" s="7"/>
      <c r="AK1347" s="7"/>
      <c r="AL1347" s="7"/>
      <c r="AM1347" s="7"/>
      <c r="AN1347" s="7"/>
      <c r="AO1347" s="7"/>
      <c r="AR1347" s="7"/>
      <c r="AS1347" s="7"/>
      <c r="AT1347" s="7"/>
      <c r="AU1347" s="7"/>
      <c r="AW1347" s="7"/>
      <c r="CE1347" s="7"/>
      <c r="FZ1347" s="2"/>
    </row>
    <row r="1348" spans="1:182">
      <c r="A1348" s="7"/>
      <c r="D1348" s="7"/>
      <c r="E1348" s="7"/>
      <c r="F1348" s="7"/>
      <c r="G1348" s="7"/>
      <c r="H1348" s="7"/>
      <c r="I1348" s="7"/>
      <c r="J1348" s="7"/>
      <c r="K1348" s="7"/>
      <c r="L1348" s="7"/>
      <c r="M1348" s="7"/>
      <c r="N1348" s="7"/>
      <c r="O1348" s="7"/>
      <c r="P1348" s="7"/>
      <c r="Q1348" s="7"/>
      <c r="R1348" s="7"/>
      <c r="S1348" s="7"/>
      <c r="T1348" s="7"/>
      <c r="U1348" s="7"/>
      <c r="Y1348" s="7"/>
      <c r="Z1348" s="17"/>
      <c r="AC1348" s="7"/>
      <c r="AD1348" s="7"/>
      <c r="AE1348" s="7"/>
      <c r="AF1348" s="7"/>
      <c r="AG1348" s="7"/>
      <c r="AH1348" s="7"/>
      <c r="AJ1348" s="7"/>
      <c r="AK1348" s="7"/>
      <c r="AL1348" s="7"/>
      <c r="AM1348" s="7"/>
      <c r="AN1348" s="7"/>
      <c r="AO1348" s="7"/>
      <c r="AR1348" s="7"/>
      <c r="AS1348" s="7"/>
      <c r="AT1348" s="7"/>
      <c r="AU1348" s="7"/>
      <c r="AW1348" s="7"/>
      <c r="CE1348" s="7"/>
      <c r="FZ1348" s="2"/>
    </row>
    <row r="1349" spans="1:182">
      <c r="A1349" s="7"/>
      <c r="D1349" s="7"/>
      <c r="E1349" s="7"/>
      <c r="F1349" s="7"/>
      <c r="G1349" s="7"/>
      <c r="H1349" s="7"/>
      <c r="I1349" s="7"/>
      <c r="J1349" s="7"/>
      <c r="K1349" s="7"/>
      <c r="L1349" s="7"/>
      <c r="M1349" s="7"/>
      <c r="N1349" s="7"/>
      <c r="O1349" s="7"/>
      <c r="P1349" s="7"/>
      <c r="Q1349" s="7"/>
      <c r="R1349" s="7"/>
      <c r="S1349" s="7"/>
      <c r="T1349" s="7"/>
      <c r="U1349" s="7"/>
      <c r="Y1349" s="7"/>
      <c r="Z1349" s="17"/>
      <c r="AC1349" s="7"/>
      <c r="AD1349" s="7"/>
      <c r="AE1349" s="7"/>
      <c r="AF1349" s="7"/>
      <c r="AG1349" s="7"/>
      <c r="AH1349" s="7"/>
      <c r="AJ1349" s="7"/>
      <c r="AK1349" s="7"/>
      <c r="AL1349" s="7"/>
      <c r="AM1349" s="7"/>
      <c r="AN1349" s="7"/>
      <c r="AO1349" s="7"/>
      <c r="AR1349" s="7"/>
      <c r="AS1349" s="7"/>
      <c r="AT1349" s="7"/>
      <c r="AU1349" s="7"/>
      <c r="AW1349" s="7"/>
      <c r="CE1349" s="7"/>
      <c r="FZ1349" s="2"/>
    </row>
    <row r="1350" spans="1:182">
      <c r="A1350" s="7"/>
      <c r="D1350" s="7"/>
      <c r="E1350" s="7"/>
      <c r="F1350" s="7"/>
      <c r="G1350" s="7"/>
      <c r="H1350" s="7"/>
      <c r="I1350" s="7"/>
      <c r="J1350" s="7"/>
      <c r="K1350" s="7"/>
      <c r="L1350" s="7"/>
      <c r="M1350" s="7"/>
      <c r="N1350" s="7"/>
      <c r="O1350" s="7"/>
      <c r="P1350" s="7"/>
      <c r="Q1350" s="7"/>
      <c r="R1350" s="7"/>
      <c r="S1350" s="7"/>
      <c r="T1350" s="7"/>
      <c r="U1350" s="7"/>
      <c r="Y1350" s="7"/>
      <c r="Z1350" s="17"/>
      <c r="AC1350" s="7"/>
      <c r="AD1350" s="7"/>
      <c r="AE1350" s="7"/>
      <c r="AF1350" s="7"/>
      <c r="AG1350" s="7"/>
      <c r="AH1350" s="7"/>
      <c r="AJ1350" s="7"/>
      <c r="AK1350" s="7"/>
      <c r="AL1350" s="7"/>
      <c r="AM1350" s="7"/>
      <c r="AN1350" s="7"/>
      <c r="AO1350" s="7"/>
      <c r="AR1350" s="7"/>
      <c r="AS1350" s="7"/>
      <c r="AT1350" s="7"/>
      <c r="AU1350" s="7"/>
      <c r="AW1350" s="7"/>
      <c r="CE1350" s="7"/>
      <c r="FZ1350" s="2"/>
    </row>
    <row r="1351" spans="1:182">
      <c r="A1351" s="7"/>
      <c r="D1351" s="7"/>
      <c r="E1351" s="7"/>
      <c r="F1351" s="7"/>
      <c r="G1351" s="7"/>
      <c r="H1351" s="7"/>
      <c r="I1351" s="7"/>
      <c r="J1351" s="7"/>
      <c r="K1351" s="7"/>
      <c r="L1351" s="7"/>
      <c r="M1351" s="7"/>
      <c r="N1351" s="7"/>
      <c r="O1351" s="7"/>
      <c r="P1351" s="7"/>
      <c r="Q1351" s="7"/>
      <c r="R1351" s="7"/>
      <c r="S1351" s="7"/>
      <c r="T1351" s="7"/>
      <c r="U1351" s="7"/>
      <c r="Y1351" s="7"/>
      <c r="Z1351" s="17"/>
      <c r="AC1351" s="7"/>
      <c r="AD1351" s="7"/>
      <c r="AE1351" s="7"/>
      <c r="AF1351" s="7"/>
      <c r="AG1351" s="7"/>
      <c r="AH1351" s="7"/>
      <c r="AJ1351" s="7"/>
      <c r="AK1351" s="7"/>
      <c r="AL1351" s="7"/>
      <c r="AM1351" s="7"/>
      <c r="AN1351" s="7"/>
      <c r="AO1351" s="7"/>
      <c r="AR1351" s="7"/>
      <c r="AS1351" s="7"/>
      <c r="AT1351" s="7"/>
      <c r="AU1351" s="7"/>
      <c r="AW1351" s="7"/>
      <c r="CE1351" s="7"/>
      <c r="FZ1351" s="2"/>
    </row>
    <row r="1352" spans="1:182">
      <c r="A1352" s="7"/>
      <c r="D1352" s="7"/>
      <c r="E1352" s="7"/>
      <c r="F1352" s="7"/>
      <c r="G1352" s="7"/>
      <c r="H1352" s="7"/>
      <c r="I1352" s="7"/>
      <c r="J1352" s="7"/>
      <c r="K1352" s="7"/>
      <c r="L1352" s="7"/>
      <c r="M1352" s="7"/>
      <c r="N1352" s="7"/>
      <c r="O1352" s="7"/>
      <c r="P1352" s="7"/>
      <c r="Q1352" s="7"/>
      <c r="R1352" s="7"/>
      <c r="S1352" s="7"/>
      <c r="T1352" s="7"/>
      <c r="U1352" s="7"/>
      <c r="Y1352" s="7"/>
      <c r="Z1352" s="17"/>
      <c r="AC1352" s="7"/>
      <c r="AD1352" s="7"/>
      <c r="AE1352" s="7"/>
      <c r="AF1352" s="7"/>
      <c r="AG1352" s="7"/>
      <c r="AH1352" s="7"/>
      <c r="AJ1352" s="7"/>
      <c r="AK1352" s="7"/>
      <c r="AL1352" s="7"/>
      <c r="AM1352" s="7"/>
      <c r="AN1352" s="7"/>
      <c r="AO1352" s="7"/>
      <c r="AR1352" s="7"/>
      <c r="AS1352" s="7"/>
      <c r="AT1352" s="7"/>
      <c r="AU1352" s="7"/>
      <c r="AW1352" s="7"/>
      <c r="CE1352" s="7"/>
      <c r="FZ1352" s="2"/>
    </row>
    <row r="1353" spans="1:182">
      <c r="A1353" s="7"/>
      <c r="D1353" s="7"/>
      <c r="E1353" s="7"/>
      <c r="F1353" s="7"/>
      <c r="G1353" s="7"/>
      <c r="H1353" s="7"/>
      <c r="I1353" s="7"/>
      <c r="J1353" s="7"/>
      <c r="K1353" s="7"/>
      <c r="L1353" s="7"/>
      <c r="M1353" s="7"/>
      <c r="N1353" s="7"/>
      <c r="O1353" s="7"/>
      <c r="P1353" s="7"/>
      <c r="Q1353" s="7"/>
      <c r="R1353" s="7"/>
      <c r="S1353" s="7"/>
      <c r="T1353" s="7"/>
      <c r="U1353" s="7"/>
      <c r="Y1353" s="7"/>
      <c r="Z1353" s="17"/>
      <c r="AC1353" s="7"/>
      <c r="AD1353" s="7"/>
      <c r="AE1353" s="7"/>
      <c r="AF1353" s="7"/>
      <c r="AG1353" s="7"/>
      <c r="AH1353" s="7"/>
      <c r="AJ1353" s="7"/>
      <c r="AK1353" s="7"/>
      <c r="AL1353" s="7"/>
      <c r="AM1353" s="7"/>
      <c r="AN1353" s="7"/>
      <c r="AO1353" s="7"/>
      <c r="AR1353" s="7"/>
      <c r="AS1353" s="7"/>
      <c r="AT1353" s="7"/>
      <c r="AU1353" s="7"/>
      <c r="AW1353" s="7"/>
      <c r="CE1353" s="7"/>
      <c r="FZ1353" s="2"/>
    </row>
    <row r="1354" spans="1:182">
      <c r="A1354" s="7"/>
      <c r="D1354" s="7"/>
      <c r="E1354" s="7"/>
      <c r="F1354" s="7"/>
      <c r="G1354" s="7"/>
      <c r="H1354" s="7"/>
      <c r="I1354" s="7"/>
      <c r="J1354" s="7"/>
      <c r="K1354" s="7"/>
      <c r="L1354" s="7"/>
      <c r="M1354" s="7"/>
      <c r="N1354" s="7"/>
      <c r="O1354" s="7"/>
      <c r="P1354" s="7"/>
      <c r="Q1354" s="7"/>
      <c r="R1354" s="7"/>
      <c r="S1354" s="7"/>
      <c r="T1354" s="7"/>
      <c r="U1354" s="7"/>
      <c r="Y1354" s="7"/>
      <c r="Z1354" s="17"/>
      <c r="AC1354" s="7"/>
      <c r="AD1354" s="7"/>
      <c r="AE1354" s="7"/>
      <c r="AF1354" s="7"/>
      <c r="AG1354" s="7"/>
      <c r="AH1354" s="7"/>
      <c r="AJ1354" s="7"/>
      <c r="AK1354" s="7"/>
      <c r="AL1354" s="7"/>
      <c r="AM1354" s="7"/>
      <c r="AN1354" s="7"/>
      <c r="AO1354" s="7"/>
      <c r="AR1354" s="7"/>
      <c r="AS1354" s="7"/>
      <c r="AT1354" s="7"/>
      <c r="AU1354" s="7"/>
      <c r="AW1354" s="7"/>
      <c r="CE1354" s="7"/>
      <c r="FZ1354" s="2"/>
    </row>
    <row r="1355" spans="1:182">
      <c r="A1355" s="7"/>
      <c r="D1355" s="7"/>
      <c r="E1355" s="7"/>
      <c r="F1355" s="7"/>
      <c r="G1355" s="7"/>
      <c r="H1355" s="7"/>
      <c r="I1355" s="7"/>
      <c r="J1355" s="7"/>
      <c r="K1355" s="7"/>
      <c r="L1355" s="7"/>
      <c r="M1355" s="7"/>
      <c r="N1355" s="7"/>
      <c r="O1355" s="7"/>
      <c r="P1355" s="7"/>
      <c r="Q1355" s="7"/>
      <c r="R1355" s="7"/>
      <c r="S1355" s="7"/>
      <c r="T1355" s="7"/>
      <c r="U1355" s="7"/>
      <c r="Y1355" s="7"/>
      <c r="Z1355" s="17"/>
      <c r="AC1355" s="7"/>
      <c r="AD1355" s="7"/>
      <c r="AE1355" s="7"/>
      <c r="AF1355" s="7"/>
      <c r="AG1355" s="7"/>
      <c r="AH1355" s="7"/>
      <c r="AJ1355" s="7"/>
      <c r="AK1355" s="7"/>
      <c r="AL1355" s="7"/>
      <c r="AM1355" s="7"/>
      <c r="AN1355" s="7"/>
      <c r="AO1355" s="7"/>
      <c r="AR1355" s="7"/>
      <c r="AS1355" s="7"/>
      <c r="AT1355" s="7"/>
      <c r="AU1355" s="7"/>
      <c r="AW1355" s="7"/>
      <c r="CE1355" s="7"/>
      <c r="FZ1355" s="2"/>
    </row>
    <row r="1356" spans="1:182">
      <c r="A1356" s="7"/>
      <c r="D1356" s="7"/>
      <c r="E1356" s="7"/>
      <c r="F1356" s="7"/>
      <c r="G1356" s="7"/>
      <c r="H1356" s="7"/>
      <c r="I1356" s="7"/>
      <c r="J1356" s="7"/>
      <c r="K1356" s="7"/>
      <c r="L1356" s="7"/>
      <c r="M1356" s="7"/>
      <c r="N1356" s="7"/>
      <c r="O1356" s="7"/>
      <c r="P1356" s="7"/>
      <c r="Q1356" s="7"/>
      <c r="R1356" s="7"/>
      <c r="S1356" s="7"/>
      <c r="T1356" s="7"/>
      <c r="U1356" s="7"/>
      <c r="Y1356" s="7"/>
      <c r="Z1356" s="17"/>
      <c r="AC1356" s="7"/>
      <c r="AD1356" s="7"/>
      <c r="AE1356" s="7"/>
      <c r="AF1356" s="7"/>
      <c r="AG1356" s="7"/>
      <c r="AH1356" s="7"/>
      <c r="AJ1356" s="7"/>
      <c r="AK1356" s="7"/>
      <c r="AL1356" s="7"/>
      <c r="AM1356" s="7"/>
      <c r="AN1356" s="7"/>
      <c r="AO1356" s="7"/>
      <c r="AR1356" s="7"/>
      <c r="AS1356" s="7"/>
      <c r="AT1356" s="7"/>
      <c r="AU1356" s="7"/>
      <c r="AW1356" s="7"/>
      <c r="CE1356" s="7"/>
      <c r="FZ1356" s="2"/>
    </row>
    <row r="1357" spans="1:182">
      <c r="A1357" s="7"/>
      <c r="D1357" s="7"/>
      <c r="E1357" s="7"/>
      <c r="F1357" s="7"/>
      <c r="G1357" s="7"/>
      <c r="H1357" s="7"/>
      <c r="I1357" s="7"/>
      <c r="J1357" s="7"/>
      <c r="K1357" s="7"/>
      <c r="L1357" s="7"/>
      <c r="M1357" s="7"/>
      <c r="N1357" s="7"/>
      <c r="O1357" s="7"/>
      <c r="P1357" s="7"/>
      <c r="Q1357" s="7"/>
      <c r="R1357" s="7"/>
      <c r="S1357" s="7"/>
      <c r="T1357" s="7"/>
      <c r="U1357" s="7"/>
      <c r="Y1357" s="7"/>
      <c r="Z1357" s="17"/>
      <c r="AC1357" s="7"/>
      <c r="AD1357" s="7"/>
      <c r="AE1357" s="7"/>
      <c r="AF1357" s="7"/>
      <c r="AG1357" s="7"/>
      <c r="AH1357" s="7"/>
      <c r="AJ1357" s="7"/>
      <c r="AK1357" s="7"/>
      <c r="AL1357" s="7"/>
      <c r="AM1357" s="7"/>
      <c r="AN1357" s="7"/>
      <c r="AO1357" s="7"/>
      <c r="AR1357" s="7"/>
      <c r="AS1357" s="7"/>
      <c r="AT1357" s="7"/>
      <c r="AU1357" s="7"/>
      <c r="AW1357" s="7"/>
      <c r="CE1357" s="7"/>
      <c r="FZ1357" s="2"/>
    </row>
    <row r="1358" spans="1:182">
      <c r="A1358" s="7"/>
      <c r="D1358" s="7"/>
      <c r="E1358" s="7"/>
      <c r="F1358" s="7"/>
      <c r="G1358" s="7"/>
      <c r="H1358" s="7"/>
      <c r="I1358" s="7"/>
      <c r="J1358" s="7"/>
      <c r="K1358" s="7"/>
      <c r="L1358" s="7"/>
      <c r="M1358" s="7"/>
      <c r="N1358" s="7"/>
      <c r="O1358" s="7"/>
      <c r="P1358" s="7"/>
      <c r="Q1358" s="7"/>
      <c r="R1358" s="7"/>
      <c r="S1358" s="7"/>
      <c r="T1358" s="7"/>
      <c r="U1358" s="7"/>
      <c r="Y1358" s="7"/>
      <c r="Z1358" s="17"/>
      <c r="AC1358" s="7"/>
      <c r="AD1358" s="7"/>
      <c r="AE1358" s="7"/>
      <c r="AF1358" s="7"/>
      <c r="AG1358" s="7"/>
      <c r="AH1358" s="7"/>
      <c r="AJ1358" s="7"/>
      <c r="AK1358" s="7"/>
      <c r="AL1358" s="7"/>
      <c r="AM1358" s="7"/>
      <c r="AN1358" s="7"/>
      <c r="AO1358" s="7"/>
      <c r="AR1358" s="7"/>
      <c r="AS1358" s="7"/>
      <c r="AT1358" s="7"/>
      <c r="AU1358" s="7"/>
      <c r="AW1358" s="7"/>
      <c r="CE1358" s="7"/>
      <c r="FZ1358" s="2"/>
    </row>
    <row r="1359" spans="1:182">
      <c r="A1359" s="7"/>
      <c r="D1359" s="7"/>
      <c r="E1359" s="7"/>
      <c r="F1359" s="7"/>
      <c r="G1359" s="7"/>
      <c r="H1359" s="7"/>
      <c r="I1359" s="7"/>
      <c r="J1359" s="7"/>
      <c r="K1359" s="7"/>
      <c r="L1359" s="7"/>
      <c r="M1359" s="7"/>
      <c r="N1359" s="7"/>
      <c r="O1359" s="7"/>
      <c r="P1359" s="7"/>
      <c r="Q1359" s="7"/>
      <c r="R1359" s="7"/>
      <c r="S1359" s="7"/>
      <c r="T1359" s="7"/>
      <c r="U1359" s="7"/>
      <c r="Y1359" s="7"/>
      <c r="Z1359" s="17"/>
      <c r="AC1359" s="7"/>
      <c r="AD1359" s="7"/>
      <c r="AE1359" s="7"/>
      <c r="AF1359" s="7"/>
      <c r="AG1359" s="7"/>
      <c r="AH1359" s="7"/>
      <c r="AJ1359" s="7"/>
      <c r="AK1359" s="7"/>
      <c r="AL1359" s="7"/>
      <c r="AM1359" s="7"/>
      <c r="AN1359" s="7"/>
      <c r="AO1359" s="7"/>
      <c r="AR1359" s="7"/>
      <c r="AS1359" s="7"/>
      <c r="AT1359" s="7"/>
      <c r="AU1359" s="7"/>
      <c r="AW1359" s="7"/>
      <c r="CE1359" s="7"/>
      <c r="FZ1359" s="2"/>
    </row>
    <row r="1360" spans="1:182">
      <c r="A1360" s="7"/>
      <c r="D1360" s="7"/>
      <c r="E1360" s="7"/>
      <c r="F1360" s="7"/>
      <c r="G1360" s="7"/>
      <c r="H1360" s="7"/>
      <c r="I1360" s="7"/>
      <c r="J1360" s="7"/>
      <c r="K1360" s="7"/>
      <c r="L1360" s="7"/>
      <c r="M1360" s="7"/>
      <c r="N1360" s="7"/>
      <c r="O1360" s="7"/>
      <c r="P1360" s="7"/>
      <c r="Q1360" s="7"/>
      <c r="R1360" s="7"/>
      <c r="S1360" s="7"/>
      <c r="T1360" s="7"/>
      <c r="U1360" s="7"/>
      <c r="Y1360" s="7"/>
      <c r="Z1360" s="17"/>
      <c r="AC1360" s="7"/>
      <c r="AD1360" s="7"/>
      <c r="AE1360" s="7"/>
      <c r="AF1360" s="7"/>
      <c r="AG1360" s="7"/>
      <c r="AH1360" s="7"/>
      <c r="AJ1360" s="7"/>
      <c r="AK1360" s="7"/>
      <c r="AL1360" s="7"/>
      <c r="AM1360" s="7"/>
      <c r="AN1360" s="7"/>
      <c r="AO1360" s="7"/>
      <c r="AR1360" s="7"/>
      <c r="AS1360" s="7"/>
      <c r="AT1360" s="7"/>
      <c r="AU1360" s="7"/>
      <c r="AW1360" s="7"/>
      <c r="CE1360" s="7"/>
      <c r="FZ1360" s="2"/>
    </row>
    <row r="1361" spans="1:182">
      <c r="A1361" s="7"/>
      <c r="D1361" s="7"/>
      <c r="E1361" s="7"/>
      <c r="F1361" s="7"/>
      <c r="G1361" s="7"/>
      <c r="H1361" s="7"/>
      <c r="I1361" s="7"/>
      <c r="J1361" s="7"/>
      <c r="K1361" s="7"/>
      <c r="L1361" s="7"/>
      <c r="M1361" s="7"/>
      <c r="N1361" s="7"/>
      <c r="O1361" s="7"/>
      <c r="P1361" s="7"/>
      <c r="Q1361" s="7"/>
      <c r="R1361" s="7"/>
      <c r="S1361" s="7"/>
      <c r="T1361" s="7"/>
      <c r="U1361" s="7"/>
      <c r="Y1361" s="7"/>
      <c r="Z1361" s="17"/>
      <c r="AC1361" s="7"/>
      <c r="AD1361" s="7"/>
      <c r="AE1361" s="7"/>
      <c r="AF1361" s="7"/>
      <c r="AG1361" s="7"/>
      <c r="AH1361" s="7"/>
      <c r="AJ1361" s="7"/>
      <c r="AK1361" s="7"/>
      <c r="AL1361" s="7"/>
      <c r="AM1361" s="7"/>
      <c r="AN1361" s="7"/>
      <c r="AO1361" s="7"/>
      <c r="AR1361" s="7"/>
      <c r="AS1361" s="7"/>
      <c r="AT1361" s="7"/>
      <c r="AU1361" s="7"/>
      <c r="AW1361" s="7"/>
      <c r="CE1361" s="7"/>
      <c r="FZ1361" s="2"/>
    </row>
    <row r="1362" spans="1:182">
      <c r="A1362" s="7"/>
      <c r="D1362" s="7"/>
      <c r="E1362" s="7"/>
      <c r="F1362" s="7"/>
      <c r="G1362" s="7"/>
      <c r="H1362" s="7"/>
      <c r="I1362" s="7"/>
      <c r="J1362" s="7"/>
      <c r="K1362" s="7"/>
      <c r="L1362" s="7"/>
      <c r="M1362" s="7"/>
      <c r="N1362" s="7"/>
      <c r="O1362" s="7"/>
      <c r="P1362" s="7"/>
      <c r="Q1362" s="7"/>
      <c r="R1362" s="7"/>
      <c r="S1362" s="7"/>
      <c r="T1362" s="7"/>
      <c r="U1362" s="7"/>
      <c r="Y1362" s="7"/>
      <c r="Z1362" s="17"/>
      <c r="AC1362" s="7"/>
      <c r="AD1362" s="7"/>
      <c r="AE1362" s="7"/>
      <c r="AF1362" s="7"/>
      <c r="AG1362" s="7"/>
      <c r="AH1362" s="7"/>
      <c r="AJ1362" s="7"/>
      <c r="AK1362" s="7"/>
      <c r="AL1362" s="7"/>
      <c r="AM1362" s="7"/>
      <c r="AN1362" s="7"/>
      <c r="AO1362" s="7"/>
      <c r="AR1362" s="7"/>
      <c r="AS1362" s="7"/>
      <c r="AT1362" s="7"/>
      <c r="AU1362" s="7"/>
      <c r="AW1362" s="7"/>
      <c r="CE1362" s="7"/>
      <c r="FZ1362" s="2"/>
    </row>
    <row r="1363" spans="1:182">
      <c r="A1363" s="7"/>
      <c r="D1363" s="7"/>
      <c r="E1363" s="7"/>
      <c r="F1363" s="7"/>
      <c r="G1363" s="7"/>
      <c r="H1363" s="7"/>
      <c r="I1363" s="7"/>
      <c r="J1363" s="7"/>
      <c r="K1363" s="7"/>
      <c r="L1363" s="7"/>
      <c r="M1363" s="7"/>
      <c r="N1363" s="7"/>
      <c r="O1363" s="7"/>
      <c r="P1363" s="7"/>
      <c r="Q1363" s="7"/>
      <c r="R1363" s="7"/>
      <c r="S1363" s="7"/>
      <c r="T1363" s="7"/>
      <c r="U1363" s="7"/>
      <c r="Y1363" s="7"/>
      <c r="Z1363" s="17"/>
      <c r="AC1363" s="7"/>
      <c r="AD1363" s="7"/>
      <c r="AE1363" s="7"/>
      <c r="AF1363" s="7"/>
      <c r="AG1363" s="7"/>
      <c r="AH1363" s="7"/>
      <c r="AJ1363" s="7"/>
      <c r="AK1363" s="7"/>
      <c r="AL1363" s="7"/>
      <c r="AM1363" s="7"/>
      <c r="AN1363" s="7"/>
      <c r="AO1363" s="7"/>
      <c r="AR1363" s="7"/>
      <c r="AS1363" s="7"/>
      <c r="AT1363" s="7"/>
      <c r="AU1363" s="7"/>
      <c r="AW1363" s="7"/>
      <c r="CE1363" s="7"/>
      <c r="FZ1363" s="2"/>
    </row>
    <row r="1364" spans="1:182">
      <c r="A1364" s="7"/>
      <c r="D1364" s="7"/>
      <c r="E1364" s="7"/>
      <c r="F1364" s="7"/>
      <c r="G1364" s="7"/>
      <c r="H1364" s="7"/>
      <c r="I1364" s="7"/>
      <c r="J1364" s="7"/>
      <c r="K1364" s="7"/>
      <c r="L1364" s="7"/>
      <c r="M1364" s="7"/>
      <c r="N1364" s="7"/>
      <c r="O1364" s="7"/>
      <c r="P1364" s="7"/>
      <c r="Q1364" s="7"/>
      <c r="R1364" s="7"/>
      <c r="S1364" s="7"/>
      <c r="T1364" s="7"/>
      <c r="U1364" s="7"/>
      <c r="Y1364" s="7"/>
      <c r="Z1364" s="17"/>
      <c r="AC1364" s="7"/>
      <c r="AD1364" s="7"/>
      <c r="AE1364" s="7"/>
      <c r="AF1364" s="7"/>
      <c r="AG1364" s="7"/>
      <c r="AH1364" s="7"/>
      <c r="AJ1364" s="7"/>
      <c r="AK1364" s="7"/>
      <c r="AL1364" s="7"/>
      <c r="AM1364" s="7"/>
      <c r="AN1364" s="7"/>
      <c r="AO1364" s="7"/>
      <c r="AR1364" s="7"/>
      <c r="AS1364" s="7"/>
      <c r="AT1364" s="7"/>
      <c r="AU1364" s="7"/>
      <c r="AW1364" s="7"/>
      <c r="CE1364" s="7"/>
      <c r="FZ1364" s="2"/>
    </row>
    <row r="1365" spans="1:182">
      <c r="A1365" s="7"/>
      <c r="D1365" s="7"/>
      <c r="E1365" s="7"/>
      <c r="F1365" s="7"/>
      <c r="G1365" s="7"/>
      <c r="H1365" s="7"/>
      <c r="I1365" s="7"/>
      <c r="J1365" s="7"/>
      <c r="K1365" s="7"/>
      <c r="L1365" s="7"/>
      <c r="M1365" s="7"/>
      <c r="N1365" s="7"/>
      <c r="O1365" s="7"/>
      <c r="P1365" s="7"/>
      <c r="Q1365" s="7"/>
      <c r="R1365" s="7"/>
      <c r="S1365" s="7"/>
      <c r="T1365" s="7"/>
      <c r="U1365" s="7"/>
      <c r="Y1365" s="7"/>
      <c r="Z1365" s="17"/>
      <c r="AC1365" s="7"/>
      <c r="AD1365" s="7"/>
      <c r="AE1365" s="7"/>
      <c r="AF1365" s="7"/>
      <c r="AG1365" s="7"/>
      <c r="AH1365" s="7"/>
      <c r="AJ1365" s="7"/>
      <c r="AK1365" s="7"/>
      <c r="AL1365" s="7"/>
      <c r="AM1365" s="7"/>
      <c r="AN1365" s="7"/>
      <c r="AO1365" s="7"/>
      <c r="AR1365" s="7"/>
      <c r="AS1365" s="7"/>
      <c r="AT1365" s="7"/>
      <c r="AU1365" s="7"/>
      <c r="AW1365" s="7"/>
      <c r="CE1365" s="7"/>
      <c r="FZ1365" s="2"/>
    </row>
    <row r="1366" spans="1:182">
      <c r="A1366" s="7"/>
      <c r="D1366" s="7"/>
      <c r="E1366" s="7"/>
      <c r="F1366" s="7"/>
      <c r="G1366" s="7"/>
      <c r="H1366" s="7"/>
      <c r="I1366" s="7"/>
      <c r="J1366" s="7"/>
      <c r="K1366" s="7"/>
      <c r="L1366" s="7"/>
      <c r="M1366" s="7"/>
      <c r="N1366" s="7"/>
      <c r="O1366" s="7"/>
      <c r="P1366" s="7"/>
      <c r="Q1366" s="7"/>
      <c r="R1366" s="7"/>
      <c r="S1366" s="7"/>
      <c r="T1366" s="7"/>
      <c r="U1366" s="7"/>
      <c r="Y1366" s="7"/>
      <c r="Z1366" s="17"/>
      <c r="AC1366" s="7"/>
      <c r="AD1366" s="7"/>
      <c r="AE1366" s="7"/>
      <c r="AF1366" s="7"/>
      <c r="AG1366" s="7"/>
      <c r="AH1366" s="7"/>
      <c r="AJ1366" s="7"/>
      <c r="AK1366" s="7"/>
      <c r="AL1366" s="7"/>
      <c r="AM1366" s="7"/>
      <c r="AN1366" s="7"/>
      <c r="AO1366" s="7"/>
      <c r="AR1366" s="7"/>
      <c r="AS1366" s="7"/>
      <c r="AT1366" s="7"/>
      <c r="AU1366" s="7"/>
      <c r="AW1366" s="7"/>
      <c r="CE1366" s="7"/>
      <c r="FZ1366" s="2"/>
    </row>
    <row r="1367" spans="1:182">
      <c r="A1367" s="7"/>
      <c r="D1367" s="7"/>
      <c r="E1367" s="7"/>
      <c r="F1367" s="7"/>
      <c r="G1367" s="7"/>
      <c r="H1367" s="7"/>
      <c r="I1367" s="7"/>
      <c r="J1367" s="7"/>
      <c r="K1367" s="7"/>
      <c r="L1367" s="7"/>
      <c r="M1367" s="7"/>
      <c r="N1367" s="7"/>
      <c r="O1367" s="7"/>
      <c r="P1367" s="7"/>
      <c r="Q1367" s="7"/>
      <c r="R1367" s="7"/>
      <c r="S1367" s="7"/>
      <c r="T1367" s="7"/>
      <c r="U1367" s="7"/>
      <c r="Y1367" s="7"/>
      <c r="Z1367" s="17"/>
      <c r="AC1367" s="7"/>
      <c r="AD1367" s="7"/>
      <c r="AE1367" s="7"/>
      <c r="AF1367" s="7"/>
      <c r="AG1367" s="7"/>
      <c r="AH1367" s="7"/>
      <c r="AJ1367" s="7"/>
      <c r="AK1367" s="7"/>
      <c r="AL1367" s="7"/>
      <c r="AM1367" s="7"/>
      <c r="AN1367" s="7"/>
      <c r="AO1367" s="7"/>
      <c r="AR1367" s="7"/>
      <c r="AS1367" s="7"/>
      <c r="AT1367" s="7"/>
      <c r="AU1367" s="7"/>
      <c r="AW1367" s="7"/>
      <c r="CE1367" s="7"/>
      <c r="FZ1367" s="2"/>
    </row>
    <row r="1368" spans="1:182">
      <c r="A1368" s="7"/>
      <c r="D1368" s="7"/>
      <c r="E1368" s="7"/>
      <c r="F1368" s="7"/>
      <c r="G1368" s="7"/>
      <c r="H1368" s="7"/>
      <c r="I1368" s="7"/>
      <c r="J1368" s="7"/>
      <c r="K1368" s="7"/>
      <c r="L1368" s="7"/>
      <c r="M1368" s="7"/>
      <c r="N1368" s="7"/>
      <c r="O1368" s="7"/>
      <c r="P1368" s="7"/>
      <c r="Q1368" s="7"/>
      <c r="R1368" s="7"/>
      <c r="S1368" s="7"/>
      <c r="T1368" s="7"/>
      <c r="U1368" s="7"/>
      <c r="Y1368" s="7"/>
      <c r="Z1368" s="17"/>
      <c r="AC1368" s="7"/>
      <c r="AD1368" s="7"/>
      <c r="AE1368" s="7"/>
      <c r="AF1368" s="7"/>
      <c r="AG1368" s="7"/>
      <c r="AH1368" s="7"/>
      <c r="AJ1368" s="7"/>
      <c r="AK1368" s="7"/>
      <c r="AL1368" s="7"/>
      <c r="AM1368" s="7"/>
      <c r="AN1368" s="7"/>
      <c r="AO1368" s="7"/>
      <c r="AR1368" s="7"/>
      <c r="AS1368" s="7"/>
      <c r="AT1368" s="7"/>
      <c r="AU1368" s="7"/>
      <c r="AW1368" s="7"/>
      <c r="CE1368" s="7"/>
      <c r="FZ1368" s="2"/>
    </row>
    <row r="1369" spans="1:182">
      <c r="A1369" s="7"/>
      <c r="D1369" s="7"/>
      <c r="E1369" s="7"/>
      <c r="F1369" s="7"/>
      <c r="G1369" s="7"/>
      <c r="H1369" s="7"/>
      <c r="I1369" s="7"/>
      <c r="J1369" s="7"/>
      <c r="K1369" s="7"/>
      <c r="L1369" s="7"/>
      <c r="M1369" s="7"/>
      <c r="N1369" s="7"/>
      <c r="O1369" s="7"/>
      <c r="P1369" s="7"/>
      <c r="Q1369" s="7"/>
      <c r="R1369" s="7"/>
      <c r="S1369" s="7"/>
      <c r="T1369" s="7"/>
      <c r="U1369" s="7"/>
      <c r="Y1369" s="7"/>
      <c r="Z1369" s="17"/>
      <c r="AC1369" s="7"/>
      <c r="AD1369" s="7"/>
      <c r="AE1369" s="7"/>
      <c r="AF1369" s="7"/>
      <c r="AG1369" s="7"/>
      <c r="AH1369" s="7"/>
      <c r="AJ1369" s="7"/>
      <c r="AK1369" s="7"/>
      <c r="AL1369" s="7"/>
      <c r="AM1369" s="7"/>
      <c r="AN1369" s="7"/>
      <c r="AO1369" s="7"/>
      <c r="AR1369" s="7"/>
      <c r="AS1369" s="7"/>
      <c r="AT1369" s="7"/>
      <c r="AU1369" s="7"/>
      <c r="AW1369" s="7"/>
      <c r="CE1369" s="7"/>
      <c r="FZ1369" s="2"/>
    </row>
    <row r="1370" spans="1:182">
      <c r="A1370" s="7"/>
      <c r="D1370" s="7"/>
      <c r="E1370" s="7"/>
      <c r="F1370" s="7"/>
      <c r="G1370" s="7"/>
      <c r="H1370" s="7"/>
      <c r="I1370" s="7"/>
      <c r="J1370" s="7"/>
      <c r="K1370" s="7"/>
      <c r="L1370" s="7"/>
      <c r="M1370" s="7"/>
      <c r="N1370" s="7"/>
      <c r="O1370" s="7"/>
      <c r="P1370" s="7"/>
      <c r="Q1370" s="7"/>
      <c r="R1370" s="7"/>
      <c r="S1370" s="7"/>
      <c r="T1370" s="7"/>
      <c r="U1370" s="7"/>
      <c r="Y1370" s="7"/>
      <c r="Z1370" s="17"/>
      <c r="AC1370" s="7"/>
      <c r="AD1370" s="7"/>
      <c r="AE1370" s="7"/>
      <c r="AF1370" s="7"/>
      <c r="AG1370" s="7"/>
      <c r="AH1370" s="7"/>
      <c r="AJ1370" s="7"/>
      <c r="AK1370" s="7"/>
      <c r="AL1370" s="7"/>
      <c r="AM1370" s="7"/>
      <c r="AN1370" s="7"/>
      <c r="AO1370" s="7"/>
      <c r="AR1370" s="7"/>
      <c r="AS1370" s="7"/>
      <c r="AT1370" s="7"/>
      <c r="AU1370" s="7"/>
      <c r="AW1370" s="7"/>
      <c r="CE1370" s="7"/>
      <c r="FZ1370" s="2"/>
    </row>
    <row r="1371" spans="1:182">
      <c r="A1371" s="7"/>
      <c r="D1371" s="7"/>
      <c r="E1371" s="7"/>
      <c r="F1371" s="7"/>
      <c r="G1371" s="7"/>
      <c r="H1371" s="7"/>
      <c r="I1371" s="7"/>
      <c r="J1371" s="7"/>
      <c r="K1371" s="7"/>
      <c r="L1371" s="7"/>
      <c r="M1371" s="7"/>
      <c r="N1371" s="7"/>
      <c r="O1371" s="7"/>
      <c r="P1371" s="7"/>
      <c r="Q1371" s="7"/>
      <c r="R1371" s="7"/>
      <c r="S1371" s="7"/>
      <c r="T1371" s="7"/>
      <c r="U1371" s="7"/>
      <c r="Y1371" s="7"/>
      <c r="Z1371" s="17"/>
      <c r="AC1371" s="7"/>
      <c r="AD1371" s="7"/>
      <c r="AE1371" s="7"/>
      <c r="AF1371" s="7"/>
      <c r="AG1371" s="7"/>
      <c r="AH1371" s="7"/>
      <c r="AJ1371" s="7"/>
      <c r="AK1371" s="7"/>
      <c r="AL1371" s="7"/>
      <c r="AM1371" s="7"/>
      <c r="AN1371" s="7"/>
      <c r="AO1371" s="7"/>
      <c r="AR1371" s="7"/>
      <c r="AS1371" s="7"/>
      <c r="AT1371" s="7"/>
      <c r="AU1371" s="7"/>
      <c r="AW1371" s="7"/>
      <c r="CE1371" s="7"/>
      <c r="FZ1371" s="2"/>
    </row>
    <row r="1372" spans="1:182">
      <c r="A1372" s="7"/>
      <c r="D1372" s="7"/>
      <c r="E1372" s="7"/>
      <c r="F1372" s="7"/>
      <c r="G1372" s="7"/>
      <c r="H1372" s="7"/>
      <c r="I1372" s="7"/>
      <c r="J1372" s="7"/>
      <c r="K1372" s="7"/>
      <c r="L1372" s="7"/>
      <c r="M1372" s="7"/>
      <c r="N1372" s="7"/>
      <c r="O1372" s="7"/>
      <c r="P1372" s="7"/>
      <c r="Q1372" s="7"/>
      <c r="R1372" s="7"/>
      <c r="S1372" s="7"/>
      <c r="T1372" s="7"/>
      <c r="U1372" s="7"/>
      <c r="Y1372" s="7"/>
      <c r="Z1372" s="17"/>
      <c r="AC1372" s="7"/>
      <c r="AD1372" s="7"/>
      <c r="AE1372" s="7"/>
      <c r="AF1372" s="7"/>
      <c r="AG1372" s="7"/>
      <c r="AH1372" s="7"/>
      <c r="AJ1372" s="7"/>
      <c r="AK1372" s="7"/>
      <c r="AL1372" s="7"/>
      <c r="AM1372" s="7"/>
      <c r="AN1372" s="7"/>
      <c r="AO1372" s="7"/>
      <c r="AR1372" s="7"/>
      <c r="AS1372" s="7"/>
      <c r="AT1372" s="7"/>
      <c r="AU1372" s="7"/>
      <c r="AW1372" s="7"/>
      <c r="CE1372" s="7"/>
      <c r="FZ1372" s="2"/>
    </row>
    <row r="1373" spans="1:182">
      <c r="A1373" s="7"/>
      <c r="D1373" s="7"/>
      <c r="E1373" s="7"/>
      <c r="F1373" s="7"/>
      <c r="G1373" s="7"/>
      <c r="H1373" s="7"/>
      <c r="I1373" s="7"/>
      <c r="J1373" s="7"/>
      <c r="K1373" s="7"/>
      <c r="L1373" s="7"/>
      <c r="M1373" s="7"/>
      <c r="N1373" s="7"/>
      <c r="O1373" s="7"/>
      <c r="P1373" s="7"/>
      <c r="Q1373" s="7"/>
      <c r="R1373" s="7"/>
      <c r="S1373" s="7"/>
      <c r="T1373" s="7"/>
      <c r="U1373" s="7"/>
      <c r="Y1373" s="7"/>
      <c r="Z1373" s="17"/>
      <c r="AC1373" s="7"/>
      <c r="AD1373" s="7"/>
      <c r="AE1373" s="7"/>
      <c r="AF1373" s="7"/>
      <c r="AG1373" s="7"/>
      <c r="AH1373" s="7"/>
      <c r="AJ1373" s="7"/>
      <c r="AK1373" s="7"/>
      <c r="AL1373" s="7"/>
      <c r="AM1373" s="7"/>
      <c r="AN1373" s="7"/>
      <c r="AO1373" s="7"/>
      <c r="AR1373" s="7"/>
      <c r="AS1373" s="7"/>
      <c r="AT1373" s="7"/>
      <c r="AU1373" s="7"/>
      <c r="AW1373" s="7"/>
      <c r="CE1373" s="7"/>
      <c r="FZ1373" s="2"/>
    </row>
    <row r="1374" spans="1:182">
      <c r="A1374" s="7"/>
      <c r="D1374" s="7"/>
      <c r="E1374" s="7"/>
      <c r="F1374" s="7"/>
      <c r="G1374" s="7"/>
      <c r="H1374" s="7"/>
      <c r="I1374" s="7"/>
      <c r="J1374" s="7"/>
      <c r="K1374" s="7"/>
      <c r="L1374" s="7"/>
      <c r="M1374" s="7"/>
      <c r="N1374" s="7"/>
      <c r="O1374" s="7"/>
      <c r="P1374" s="7"/>
      <c r="Q1374" s="7"/>
      <c r="R1374" s="7"/>
      <c r="S1374" s="7"/>
      <c r="T1374" s="7"/>
      <c r="U1374" s="7"/>
      <c r="Y1374" s="7"/>
      <c r="Z1374" s="17"/>
      <c r="AC1374" s="7"/>
      <c r="AD1374" s="7"/>
      <c r="AE1374" s="7"/>
      <c r="AF1374" s="7"/>
      <c r="AG1374" s="7"/>
      <c r="AH1374" s="7"/>
      <c r="AJ1374" s="7"/>
      <c r="AK1374" s="7"/>
      <c r="AL1374" s="7"/>
      <c r="AM1374" s="7"/>
      <c r="AN1374" s="7"/>
      <c r="AO1374" s="7"/>
      <c r="AR1374" s="7"/>
      <c r="AS1374" s="7"/>
      <c r="AT1374" s="7"/>
      <c r="AU1374" s="7"/>
      <c r="AW1374" s="7"/>
      <c r="CE1374" s="7"/>
      <c r="FZ1374" s="2"/>
    </row>
    <row r="1375" spans="1:182">
      <c r="A1375" s="7"/>
      <c r="D1375" s="7"/>
      <c r="E1375" s="7"/>
      <c r="F1375" s="7"/>
      <c r="G1375" s="7"/>
      <c r="H1375" s="7"/>
      <c r="I1375" s="7"/>
      <c r="J1375" s="7"/>
      <c r="K1375" s="7"/>
      <c r="L1375" s="7"/>
      <c r="M1375" s="7"/>
      <c r="N1375" s="7"/>
      <c r="O1375" s="7"/>
      <c r="P1375" s="7"/>
      <c r="Q1375" s="7"/>
      <c r="R1375" s="7"/>
      <c r="S1375" s="7"/>
      <c r="T1375" s="7"/>
      <c r="U1375" s="7"/>
      <c r="Y1375" s="7"/>
      <c r="Z1375" s="17"/>
      <c r="AC1375" s="7"/>
      <c r="AD1375" s="7"/>
      <c r="AE1375" s="7"/>
      <c r="AF1375" s="7"/>
      <c r="AG1375" s="7"/>
      <c r="AH1375" s="7"/>
      <c r="AJ1375" s="7"/>
      <c r="AK1375" s="7"/>
      <c r="AL1375" s="7"/>
      <c r="AM1375" s="7"/>
      <c r="AN1375" s="7"/>
      <c r="AO1375" s="7"/>
      <c r="AR1375" s="7"/>
      <c r="AS1375" s="7"/>
      <c r="AT1375" s="7"/>
      <c r="AU1375" s="7"/>
      <c r="AW1375" s="7"/>
      <c r="CE1375" s="7"/>
      <c r="FZ1375" s="2"/>
    </row>
    <row r="1376" spans="1:182">
      <c r="A1376" s="7"/>
      <c r="D1376" s="7"/>
      <c r="E1376" s="7"/>
      <c r="F1376" s="7"/>
      <c r="G1376" s="7"/>
      <c r="H1376" s="7"/>
      <c r="I1376" s="7"/>
      <c r="J1376" s="7"/>
      <c r="K1376" s="7"/>
      <c r="L1376" s="7"/>
      <c r="M1376" s="7"/>
      <c r="N1376" s="7"/>
      <c r="O1376" s="7"/>
      <c r="P1376" s="7"/>
      <c r="Q1376" s="7"/>
      <c r="R1376" s="7"/>
      <c r="S1376" s="7"/>
      <c r="T1376" s="7"/>
      <c r="U1376" s="7"/>
      <c r="Y1376" s="7"/>
      <c r="Z1376" s="17"/>
      <c r="AC1376" s="7"/>
      <c r="AD1376" s="7"/>
      <c r="AE1376" s="7"/>
      <c r="AF1376" s="7"/>
      <c r="AG1376" s="7"/>
      <c r="AH1376" s="7"/>
      <c r="AJ1376" s="7"/>
      <c r="AK1376" s="7"/>
      <c r="AL1376" s="7"/>
      <c r="AM1376" s="7"/>
      <c r="AN1376" s="7"/>
      <c r="AO1376" s="7"/>
      <c r="AR1376" s="7"/>
      <c r="AS1376" s="7"/>
      <c r="AT1376" s="7"/>
      <c r="AU1376" s="7"/>
      <c r="AW1376" s="7"/>
      <c r="CE1376" s="7"/>
      <c r="FZ1376" s="2"/>
    </row>
    <row r="1377" spans="1:182">
      <c r="A1377" s="7"/>
      <c r="D1377" s="7"/>
      <c r="E1377" s="7"/>
      <c r="F1377" s="7"/>
      <c r="G1377" s="7"/>
      <c r="H1377" s="7"/>
      <c r="I1377" s="7"/>
      <c r="J1377" s="7"/>
      <c r="K1377" s="7"/>
      <c r="L1377" s="7"/>
      <c r="M1377" s="7"/>
      <c r="N1377" s="7"/>
      <c r="O1377" s="7"/>
      <c r="P1377" s="7"/>
      <c r="Q1377" s="7"/>
      <c r="R1377" s="7"/>
      <c r="S1377" s="7"/>
      <c r="T1377" s="7"/>
      <c r="U1377" s="7"/>
      <c r="Y1377" s="7"/>
      <c r="Z1377" s="17"/>
      <c r="AC1377" s="7"/>
      <c r="AD1377" s="7"/>
      <c r="AE1377" s="7"/>
      <c r="AF1377" s="7"/>
      <c r="AG1377" s="7"/>
      <c r="AH1377" s="7"/>
      <c r="AJ1377" s="7"/>
      <c r="AK1377" s="7"/>
      <c r="AL1377" s="7"/>
      <c r="AM1377" s="7"/>
      <c r="AN1377" s="7"/>
      <c r="AO1377" s="7"/>
      <c r="AR1377" s="7"/>
      <c r="AS1377" s="7"/>
      <c r="AT1377" s="7"/>
      <c r="AU1377" s="7"/>
      <c r="AW1377" s="7"/>
      <c r="CE1377" s="7"/>
      <c r="FZ1377" s="2"/>
    </row>
    <row r="1378" spans="1:182">
      <c r="A1378" s="7"/>
      <c r="D1378" s="7"/>
      <c r="E1378" s="7"/>
      <c r="F1378" s="7"/>
      <c r="G1378" s="7"/>
      <c r="H1378" s="7"/>
      <c r="I1378" s="7"/>
      <c r="J1378" s="7"/>
      <c r="K1378" s="7"/>
      <c r="L1378" s="7"/>
      <c r="M1378" s="7"/>
      <c r="N1378" s="7"/>
      <c r="O1378" s="7"/>
      <c r="P1378" s="7"/>
      <c r="Q1378" s="7"/>
      <c r="R1378" s="7"/>
      <c r="S1378" s="7"/>
      <c r="T1378" s="7"/>
      <c r="U1378" s="7"/>
      <c r="Y1378" s="7"/>
      <c r="Z1378" s="17"/>
      <c r="AC1378" s="7"/>
      <c r="AD1378" s="7"/>
      <c r="AE1378" s="7"/>
      <c r="AF1378" s="7"/>
      <c r="AG1378" s="7"/>
      <c r="AH1378" s="7"/>
      <c r="AJ1378" s="7"/>
      <c r="AK1378" s="7"/>
      <c r="AL1378" s="7"/>
      <c r="AM1378" s="7"/>
      <c r="AN1378" s="7"/>
      <c r="AO1378" s="7"/>
      <c r="AR1378" s="7"/>
      <c r="AS1378" s="7"/>
      <c r="AT1378" s="7"/>
      <c r="AU1378" s="7"/>
      <c r="AW1378" s="7"/>
      <c r="CE1378" s="7"/>
      <c r="FZ1378" s="2"/>
    </row>
    <row r="1379" spans="1:182">
      <c r="A1379" s="7"/>
      <c r="D1379" s="7"/>
      <c r="E1379" s="7"/>
      <c r="F1379" s="7"/>
      <c r="G1379" s="7"/>
      <c r="H1379" s="7"/>
      <c r="I1379" s="7"/>
      <c r="J1379" s="7"/>
      <c r="K1379" s="7"/>
      <c r="L1379" s="7"/>
      <c r="M1379" s="7"/>
      <c r="N1379" s="7"/>
      <c r="O1379" s="7"/>
      <c r="P1379" s="7"/>
      <c r="Q1379" s="7"/>
      <c r="R1379" s="7"/>
      <c r="S1379" s="7"/>
      <c r="T1379" s="7"/>
      <c r="U1379" s="7"/>
      <c r="Y1379" s="7"/>
      <c r="Z1379" s="17"/>
      <c r="AC1379" s="7"/>
      <c r="AD1379" s="7"/>
      <c r="AE1379" s="7"/>
      <c r="AF1379" s="7"/>
      <c r="AG1379" s="7"/>
      <c r="AH1379" s="7"/>
      <c r="AJ1379" s="7"/>
      <c r="AK1379" s="7"/>
      <c r="AL1379" s="7"/>
      <c r="AM1379" s="7"/>
      <c r="AN1379" s="7"/>
      <c r="AO1379" s="7"/>
      <c r="AR1379" s="7"/>
      <c r="AS1379" s="7"/>
      <c r="AT1379" s="7"/>
      <c r="AU1379" s="7"/>
      <c r="AW1379" s="7"/>
      <c r="CE1379" s="7"/>
      <c r="FZ1379" s="2"/>
    </row>
    <row r="1380" spans="1:182">
      <c r="A1380" s="7"/>
      <c r="D1380" s="7"/>
      <c r="E1380" s="7"/>
      <c r="F1380" s="7"/>
      <c r="G1380" s="7"/>
      <c r="H1380" s="7"/>
      <c r="I1380" s="7"/>
      <c r="J1380" s="7"/>
      <c r="K1380" s="7"/>
      <c r="L1380" s="7"/>
      <c r="M1380" s="7"/>
      <c r="N1380" s="7"/>
      <c r="O1380" s="7"/>
      <c r="P1380" s="7"/>
      <c r="Q1380" s="7"/>
      <c r="R1380" s="7"/>
      <c r="S1380" s="7"/>
      <c r="T1380" s="7"/>
      <c r="U1380" s="7"/>
      <c r="Y1380" s="7"/>
      <c r="Z1380" s="17"/>
      <c r="AC1380" s="7"/>
      <c r="AD1380" s="7"/>
      <c r="AE1380" s="7"/>
      <c r="AF1380" s="7"/>
      <c r="AG1380" s="7"/>
      <c r="AH1380" s="7"/>
      <c r="AJ1380" s="7"/>
      <c r="AK1380" s="7"/>
      <c r="AL1380" s="7"/>
      <c r="AM1380" s="7"/>
      <c r="AN1380" s="7"/>
      <c r="AO1380" s="7"/>
      <c r="AR1380" s="7"/>
      <c r="AS1380" s="7"/>
      <c r="AT1380" s="7"/>
      <c r="AU1380" s="7"/>
      <c r="AW1380" s="7"/>
      <c r="CE1380" s="7"/>
      <c r="FZ1380" s="2"/>
    </row>
    <row r="1381" spans="1:182">
      <c r="A1381" s="7"/>
      <c r="D1381" s="7"/>
      <c r="E1381" s="7"/>
      <c r="F1381" s="7"/>
      <c r="G1381" s="7"/>
      <c r="H1381" s="7"/>
      <c r="I1381" s="7"/>
      <c r="J1381" s="7"/>
      <c r="K1381" s="7"/>
      <c r="L1381" s="7"/>
      <c r="M1381" s="7"/>
      <c r="N1381" s="7"/>
      <c r="O1381" s="7"/>
      <c r="P1381" s="7"/>
      <c r="Q1381" s="7"/>
      <c r="R1381" s="7"/>
      <c r="S1381" s="7"/>
      <c r="T1381" s="7"/>
      <c r="U1381" s="7"/>
      <c r="Y1381" s="7"/>
      <c r="Z1381" s="17"/>
      <c r="AC1381" s="7"/>
      <c r="AD1381" s="7"/>
      <c r="AE1381" s="7"/>
      <c r="AF1381" s="7"/>
      <c r="AG1381" s="7"/>
      <c r="AH1381" s="7"/>
      <c r="AJ1381" s="7"/>
      <c r="AK1381" s="7"/>
      <c r="AL1381" s="7"/>
      <c r="AM1381" s="7"/>
      <c r="AN1381" s="7"/>
      <c r="AO1381" s="7"/>
      <c r="AR1381" s="7"/>
      <c r="AS1381" s="7"/>
      <c r="AT1381" s="7"/>
      <c r="AU1381" s="7"/>
      <c r="AW1381" s="7"/>
      <c r="CE1381" s="7"/>
      <c r="FZ1381" s="2"/>
    </row>
    <row r="1382" spans="1:182">
      <c r="A1382" s="7"/>
      <c r="D1382" s="7"/>
      <c r="E1382" s="7"/>
      <c r="F1382" s="7"/>
      <c r="G1382" s="7"/>
      <c r="H1382" s="7"/>
      <c r="I1382" s="7"/>
      <c r="J1382" s="7"/>
      <c r="K1382" s="7"/>
      <c r="L1382" s="7"/>
      <c r="M1382" s="7"/>
      <c r="N1382" s="7"/>
      <c r="O1382" s="7"/>
      <c r="P1382" s="7"/>
      <c r="Q1382" s="7"/>
      <c r="R1382" s="7"/>
      <c r="S1382" s="7"/>
      <c r="T1382" s="7"/>
      <c r="U1382" s="7"/>
      <c r="Y1382" s="7"/>
      <c r="Z1382" s="17"/>
      <c r="AC1382" s="7"/>
      <c r="AD1382" s="7"/>
      <c r="AE1382" s="7"/>
      <c r="AF1382" s="7"/>
      <c r="AG1382" s="7"/>
      <c r="AH1382" s="7"/>
      <c r="AJ1382" s="7"/>
      <c r="AK1382" s="7"/>
      <c r="AL1382" s="7"/>
      <c r="AM1382" s="7"/>
      <c r="AN1382" s="7"/>
      <c r="AO1382" s="7"/>
      <c r="AR1382" s="7"/>
      <c r="AS1382" s="7"/>
      <c r="AT1382" s="7"/>
      <c r="AU1382" s="7"/>
      <c r="AW1382" s="7"/>
      <c r="CE1382" s="7"/>
      <c r="FZ1382" s="2"/>
    </row>
    <row r="1383" spans="1:182">
      <c r="A1383" s="7"/>
      <c r="D1383" s="7"/>
      <c r="E1383" s="7"/>
      <c r="F1383" s="7"/>
      <c r="G1383" s="7"/>
      <c r="H1383" s="7"/>
      <c r="I1383" s="7"/>
      <c r="J1383" s="7"/>
      <c r="K1383" s="7"/>
      <c r="L1383" s="7"/>
      <c r="M1383" s="7"/>
      <c r="N1383" s="7"/>
      <c r="O1383" s="7"/>
      <c r="P1383" s="7"/>
      <c r="Q1383" s="7"/>
      <c r="R1383" s="7"/>
      <c r="S1383" s="7"/>
      <c r="T1383" s="7"/>
      <c r="U1383" s="7"/>
      <c r="Y1383" s="7"/>
      <c r="Z1383" s="17"/>
      <c r="AC1383" s="7"/>
      <c r="AD1383" s="7"/>
      <c r="AE1383" s="7"/>
      <c r="AF1383" s="7"/>
      <c r="AG1383" s="7"/>
      <c r="AH1383" s="7"/>
      <c r="AJ1383" s="7"/>
      <c r="AK1383" s="7"/>
      <c r="AL1383" s="7"/>
      <c r="AM1383" s="7"/>
      <c r="AN1383" s="7"/>
      <c r="AO1383" s="7"/>
      <c r="AR1383" s="7"/>
      <c r="AS1383" s="7"/>
      <c r="AT1383" s="7"/>
      <c r="AU1383" s="7"/>
      <c r="AW1383" s="7"/>
      <c r="CE1383" s="7"/>
      <c r="FZ1383" s="2"/>
    </row>
    <row r="1384" spans="1:182">
      <c r="A1384" s="7"/>
      <c r="D1384" s="7"/>
      <c r="E1384" s="7"/>
      <c r="F1384" s="7"/>
      <c r="G1384" s="7"/>
      <c r="H1384" s="7"/>
      <c r="I1384" s="7"/>
      <c r="J1384" s="7"/>
      <c r="K1384" s="7"/>
      <c r="L1384" s="7"/>
      <c r="M1384" s="7"/>
      <c r="N1384" s="7"/>
      <c r="O1384" s="7"/>
      <c r="P1384" s="7"/>
      <c r="Q1384" s="7"/>
      <c r="R1384" s="7"/>
      <c r="S1384" s="7"/>
      <c r="T1384" s="7"/>
      <c r="U1384" s="7"/>
      <c r="Y1384" s="7"/>
      <c r="Z1384" s="17"/>
      <c r="AC1384" s="7"/>
      <c r="AD1384" s="7"/>
      <c r="AE1384" s="7"/>
      <c r="AF1384" s="7"/>
      <c r="AG1384" s="7"/>
      <c r="AH1384" s="7"/>
      <c r="AJ1384" s="7"/>
      <c r="AK1384" s="7"/>
      <c r="AL1384" s="7"/>
      <c r="AM1384" s="7"/>
      <c r="AN1384" s="7"/>
      <c r="AO1384" s="7"/>
      <c r="AR1384" s="7"/>
      <c r="AS1384" s="7"/>
      <c r="AT1384" s="7"/>
      <c r="AU1384" s="7"/>
      <c r="AW1384" s="7"/>
      <c r="CE1384" s="7"/>
      <c r="FZ1384" s="2"/>
    </row>
    <row r="1385" spans="1:182">
      <c r="A1385" s="7"/>
      <c r="D1385" s="7"/>
      <c r="E1385" s="7"/>
      <c r="F1385" s="7"/>
      <c r="G1385" s="7"/>
      <c r="H1385" s="7"/>
      <c r="I1385" s="7"/>
      <c r="J1385" s="7"/>
      <c r="K1385" s="7"/>
      <c r="L1385" s="7"/>
      <c r="M1385" s="7"/>
      <c r="N1385" s="7"/>
      <c r="O1385" s="7"/>
      <c r="P1385" s="7"/>
      <c r="Q1385" s="7"/>
      <c r="R1385" s="7"/>
      <c r="S1385" s="7"/>
      <c r="T1385" s="7"/>
      <c r="U1385" s="7"/>
      <c r="Y1385" s="7"/>
      <c r="Z1385" s="17"/>
      <c r="AC1385" s="7"/>
      <c r="AD1385" s="7"/>
      <c r="AE1385" s="7"/>
      <c r="AF1385" s="7"/>
      <c r="AG1385" s="7"/>
      <c r="AH1385" s="7"/>
      <c r="AJ1385" s="7"/>
      <c r="AK1385" s="7"/>
      <c r="AL1385" s="7"/>
      <c r="AM1385" s="7"/>
      <c r="AN1385" s="7"/>
      <c r="AO1385" s="7"/>
      <c r="AR1385" s="7"/>
      <c r="AS1385" s="7"/>
      <c r="AT1385" s="7"/>
      <c r="AU1385" s="7"/>
      <c r="AW1385" s="7"/>
      <c r="CE1385" s="7"/>
      <c r="FZ1385" s="2"/>
    </row>
    <row r="1386" spans="1:182">
      <c r="A1386" s="7"/>
      <c r="D1386" s="7"/>
      <c r="E1386" s="7"/>
      <c r="F1386" s="7"/>
      <c r="G1386" s="7"/>
      <c r="H1386" s="7"/>
      <c r="I1386" s="7"/>
      <c r="J1386" s="7"/>
      <c r="K1386" s="7"/>
      <c r="L1386" s="7"/>
      <c r="M1386" s="7"/>
      <c r="N1386" s="7"/>
      <c r="O1386" s="7"/>
      <c r="P1386" s="7"/>
      <c r="Q1386" s="7"/>
      <c r="R1386" s="7"/>
      <c r="S1386" s="7"/>
      <c r="T1386" s="7"/>
      <c r="U1386" s="7"/>
      <c r="Y1386" s="7"/>
      <c r="Z1386" s="17"/>
      <c r="AC1386" s="7"/>
      <c r="AD1386" s="7"/>
      <c r="AE1386" s="7"/>
      <c r="AF1386" s="7"/>
      <c r="AG1386" s="7"/>
      <c r="AH1386" s="7"/>
      <c r="AJ1386" s="7"/>
      <c r="AK1386" s="7"/>
      <c r="AL1386" s="7"/>
      <c r="AM1386" s="7"/>
      <c r="AN1386" s="7"/>
      <c r="AO1386" s="7"/>
      <c r="AR1386" s="7"/>
      <c r="AS1386" s="7"/>
      <c r="AT1386" s="7"/>
      <c r="AU1386" s="7"/>
      <c r="AW1386" s="7"/>
      <c r="CE1386" s="7"/>
      <c r="FZ1386" s="2"/>
    </row>
    <row r="1387" spans="1:182">
      <c r="A1387" s="7"/>
      <c r="D1387" s="7"/>
      <c r="E1387" s="7"/>
      <c r="F1387" s="7"/>
      <c r="G1387" s="7"/>
      <c r="H1387" s="7"/>
      <c r="I1387" s="7"/>
      <c r="J1387" s="7"/>
      <c r="K1387" s="7"/>
      <c r="L1387" s="7"/>
      <c r="M1387" s="7"/>
      <c r="N1387" s="7"/>
      <c r="O1387" s="7"/>
      <c r="P1387" s="7"/>
      <c r="Q1387" s="7"/>
      <c r="R1387" s="7"/>
      <c r="S1387" s="7"/>
      <c r="T1387" s="7"/>
      <c r="U1387" s="7"/>
      <c r="Y1387" s="7"/>
      <c r="Z1387" s="17"/>
      <c r="AC1387" s="7"/>
      <c r="AD1387" s="7"/>
      <c r="AE1387" s="7"/>
      <c r="AF1387" s="7"/>
      <c r="AG1387" s="7"/>
      <c r="AH1387" s="7"/>
      <c r="AJ1387" s="7"/>
      <c r="AK1387" s="7"/>
      <c r="AL1387" s="7"/>
      <c r="AM1387" s="7"/>
      <c r="AN1387" s="7"/>
      <c r="AO1387" s="7"/>
      <c r="AR1387" s="7"/>
      <c r="AS1387" s="7"/>
      <c r="AT1387" s="7"/>
      <c r="AU1387" s="7"/>
      <c r="AW1387" s="7"/>
      <c r="CE1387" s="7"/>
      <c r="FZ1387" s="2"/>
    </row>
    <row r="1388" spans="1:182">
      <c r="A1388" s="7"/>
      <c r="D1388" s="7"/>
      <c r="E1388" s="7"/>
      <c r="F1388" s="7"/>
      <c r="G1388" s="7"/>
      <c r="H1388" s="7"/>
      <c r="I1388" s="7"/>
      <c r="J1388" s="7"/>
      <c r="K1388" s="7"/>
      <c r="L1388" s="7"/>
      <c r="M1388" s="7"/>
      <c r="N1388" s="7"/>
      <c r="O1388" s="7"/>
      <c r="P1388" s="7"/>
      <c r="Q1388" s="7"/>
      <c r="R1388" s="7"/>
      <c r="S1388" s="7"/>
      <c r="T1388" s="7"/>
      <c r="U1388" s="7"/>
      <c r="Y1388" s="7"/>
      <c r="Z1388" s="17"/>
      <c r="AC1388" s="7"/>
      <c r="AD1388" s="7"/>
      <c r="AE1388" s="7"/>
      <c r="AF1388" s="7"/>
      <c r="AG1388" s="7"/>
      <c r="AH1388" s="7"/>
      <c r="AJ1388" s="7"/>
      <c r="AK1388" s="7"/>
      <c r="AL1388" s="7"/>
      <c r="AM1388" s="7"/>
      <c r="AN1388" s="7"/>
      <c r="AO1388" s="7"/>
      <c r="AR1388" s="7"/>
      <c r="AS1388" s="7"/>
      <c r="AT1388" s="7"/>
      <c r="AU1388" s="7"/>
      <c r="AW1388" s="7"/>
      <c r="CE1388" s="7"/>
      <c r="FZ1388" s="2"/>
    </row>
    <row r="1389" spans="1:182">
      <c r="A1389" s="7"/>
      <c r="D1389" s="7"/>
      <c r="E1389" s="7"/>
      <c r="F1389" s="7"/>
      <c r="G1389" s="7"/>
      <c r="H1389" s="7"/>
      <c r="I1389" s="7"/>
      <c r="J1389" s="7"/>
      <c r="K1389" s="7"/>
      <c r="L1389" s="7"/>
      <c r="M1389" s="7"/>
      <c r="N1389" s="7"/>
      <c r="O1389" s="7"/>
      <c r="P1389" s="7"/>
      <c r="Q1389" s="7"/>
      <c r="R1389" s="7"/>
      <c r="S1389" s="7"/>
      <c r="T1389" s="7"/>
      <c r="U1389" s="7"/>
      <c r="Y1389" s="7"/>
      <c r="Z1389" s="17"/>
      <c r="AC1389" s="7"/>
      <c r="AD1389" s="7"/>
      <c r="AE1389" s="7"/>
      <c r="AF1389" s="7"/>
      <c r="AG1389" s="7"/>
      <c r="AH1389" s="7"/>
      <c r="AJ1389" s="7"/>
      <c r="AK1389" s="7"/>
      <c r="AL1389" s="7"/>
      <c r="AM1389" s="7"/>
      <c r="AN1389" s="7"/>
      <c r="AO1389" s="7"/>
      <c r="AR1389" s="7"/>
      <c r="AS1389" s="7"/>
      <c r="AT1389" s="7"/>
      <c r="AU1389" s="7"/>
      <c r="AW1389" s="7"/>
      <c r="CE1389" s="7"/>
      <c r="FZ1389" s="2"/>
    </row>
    <row r="1390" spans="1:182">
      <c r="A1390" s="7"/>
      <c r="D1390" s="7"/>
      <c r="E1390" s="7"/>
      <c r="F1390" s="7"/>
      <c r="G1390" s="7"/>
      <c r="H1390" s="7"/>
      <c r="I1390" s="7"/>
      <c r="J1390" s="7"/>
      <c r="K1390" s="7"/>
      <c r="L1390" s="7"/>
      <c r="M1390" s="7"/>
      <c r="N1390" s="7"/>
      <c r="O1390" s="7"/>
      <c r="P1390" s="7"/>
      <c r="Q1390" s="7"/>
      <c r="R1390" s="7"/>
      <c r="S1390" s="7"/>
      <c r="T1390" s="7"/>
      <c r="U1390" s="7"/>
      <c r="Y1390" s="7"/>
      <c r="Z1390" s="17"/>
      <c r="AC1390" s="7"/>
      <c r="AD1390" s="7"/>
      <c r="AE1390" s="7"/>
      <c r="AF1390" s="7"/>
      <c r="AG1390" s="7"/>
      <c r="AH1390" s="7"/>
      <c r="AJ1390" s="7"/>
      <c r="AK1390" s="7"/>
      <c r="AL1390" s="7"/>
      <c r="AM1390" s="7"/>
      <c r="AN1390" s="7"/>
      <c r="AO1390" s="7"/>
      <c r="AR1390" s="7"/>
      <c r="AS1390" s="7"/>
      <c r="AT1390" s="7"/>
      <c r="AU1390" s="7"/>
      <c r="AW1390" s="7"/>
      <c r="CE1390" s="7"/>
      <c r="FZ1390" s="2"/>
    </row>
    <row r="1391" spans="1:182">
      <c r="A1391" s="7"/>
      <c r="D1391" s="7"/>
      <c r="E1391" s="7"/>
      <c r="F1391" s="7"/>
      <c r="G1391" s="7"/>
      <c r="H1391" s="7"/>
      <c r="I1391" s="7"/>
      <c r="J1391" s="7"/>
      <c r="K1391" s="7"/>
      <c r="L1391" s="7"/>
      <c r="M1391" s="7"/>
      <c r="N1391" s="7"/>
      <c r="O1391" s="7"/>
      <c r="P1391" s="7"/>
      <c r="Q1391" s="7"/>
      <c r="R1391" s="7"/>
      <c r="S1391" s="7"/>
      <c r="T1391" s="7"/>
      <c r="U1391" s="7"/>
      <c r="Y1391" s="7"/>
      <c r="Z1391" s="17"/>
      <c r="AC1391" s="7"/>
      <c r="AD1391" s="7"/>
      <c r="AE1391" s="7"/>
      <c r="AF1391" s="7"/>
      <c r="AG1391" s="7"/>
      <c r="AH1391" s="7"/>
      <c r="AJ1391" s="7"/>
      <c r="AK1391" s="7"/>
      <c r="AL1391" s="7"/>
      <c r="AM1391" s="7"/>
      <c r="AN1391" s="7"/>
      <c r="AO1391" s="7"/>
      <c r="AR1391" s="7"/>
      <c r="AS1391" s="7"/>
      <c r="AT1391" s="7"/>
      <c r="AU1391" s="7"/>
      <c r="AW1391" s="7"/>
      <c r="CE1391" s="7"/>
      <c r="FZ1391" s="2"/>
    </row>
    <row r="1392" spans="1:182">
      <c r="A1392" s="7"/>
      <c r="D1392" s="7"/>
      <c r="E1392" s="7"/>
      <c r="F1392" s="7"/>
      <c r="G1392" s="7"/>
      <c r="H1392" s="7"/>
      <c r="I1392" s="7"/>
      <c r="J1392" s="7"/>
      <c r="K1392" s="7"/>
      <c r="L1392" s="7"/>
      <c r="M1392" s="7"/>
      <c r="N1392" s="7"/>
      <c r="O1392" s="7"/>
      <c r="P1392" s="7"/>
      <c r="Q1392" s="7"/>
      <c r="R1392" s="7"/>
      <c r="S1392" s="7"/>
      <c r="T1392" s="7"/>
      <c r="U1392" s="7"/>
      <c r="Y1392" s="7"/>
      <c r="Z1392" s="17"/>
      <c r="AC1392" s="7"/>
      <c r="AD1392" s="7"/>
      <c r="AE1392" s="7"/>
      <c r="AF1392" s="7"/>
      <c r="AG1392" s="7"/>
      <c r="AH1392" s="7"/>
      <c r="AJ1392" s="7"/>
      <c r="AK1392" s="7"/>
      <c r="AL1392" s="7"/>
      <c r="AM1392" s="7"/>
      <c r="AN1392" s="7"/>
      <c r="AO1392" s="7"/>
      <c r="AR1392" s="7"/>
      <c r="AS1392" s="7"/>
      <c r="AT1392" s="7"/>
      <c r="AU1392" s="7"/>
      <c r="AW1392" s="7"/>
      <c r="CE1392" s="7"/>
      <c r="FZ1392" s="2"/>
    </row>
    <row r="1393" spans="1:182">
      <c r="A1393" s="7"/>
      <c r="D1393" s="7"/>
      <c r="E1393" s="7"/>
      <c r="F1393" s="7"/>
      <c r="G1393" s="7"/>
      <c r="H1393" s="7"/>
      <c r="I1393" s="7"/>
      <c r="J1393" s="7"/>
      <c r="K1393" s="7"/>
      <c r="L1393" s="7"/>
      <c r="M1393" s="7"/>
      <c r="N1393" s="7"/>
      <c r="O1393" s="7"/>
      <c r="P1393" s="7"/>
      <c r="Q1393" s="7"/>
      <c r="R1393" s="7"/>
      <c r="S1393" s="7"/>
      <c r="T1393" s="7"/>
      <c r="U1393" s="7"/>
      <c r="Y1393" s="7"/>
      <c r="Z1393" s="17"/>
      <c r="AC1393" s="7"/>
      <c r="AD1393" s="7"/>
      <c r="AE1393" s="7"/>
      <c r="AF1393" s="7"/>
      <c r="AG1393" s="7"/>
      <c r="AH1393" s="7"/>
      <c r="AJ1393" s="7"/>
      <c r="AK1393" s="7"/>
      <c r="AL1393" s="7"/>
      <c r="AM1393" s="7"/>
      <c r="AN1393" s="7"/>
      <c r="AO1393" s="7"/>
      <c r="AR1393" s="7"/>
      <c r="AS1393" s="7"/>
      <c r="AT1393" s="7"/>
      <c r="AU1393" s="7"/>
      <c r="AW1393" s="7"/>
      <c r="CE1393" s="7"/>
      <c r="FZ1393" s="2"/>
    </row>
    <row r="1394" spans="1:182">
      <c r="A1394" s="7"/>
      <c r="D1394" s="7"/>
      <c r="E1394" s="7"/>
      <c r="F1394" s="7"/>
      <c r="G1394" s="7"/>
      <c r="H1394" s="7"/>
      <c r="I1394" s="7"/>
      <c r="J1394" s="7"/>
      <c r="K1394" s="7"/>
      <c r="L1394" s="7"/>
      <c r="M1394" s="7"/>
      <c r="N1394" s="7"/>
      <c r="O1394" s="7"/>
      <c r="P1394" s="7"/>
      <c r="Q1394" s="7"/>
      <c r="R1394" s="7"/>
      <c r="S1394" s="7"/>
      <c r="T1394" s="7"/>
      <c r="U1394" s="7"/>
      <c r="Y1394" s="7"/>
      <c r="Z1394" s="17"/>
      <c r="AC1394" s="7"/>
      <c r="AD1394" s="7"/>
      <c r="AE1394" s="7"/>
      <c r="AF1394" s="7"/>
      <c r="AG1394" s="7"/>
      <c r="AH1394" s="7"/>
      <c r="AJ1394" s="7"/>
      <c r="AK1394" s="7"/>
      <c r="AL1394" s="7"/>
      <c r="AM1394" s="7"/>
      <c r="AN1394" s="7"/>
      <c r="AO1394" s="7"/>
      <c r="AR1394" s="7"/>
      <c r="AS1394" s="7"/>
      <c r="AT1394" s="7"/>
      <c r="AU1394" s="7"/>
      <c r="AW1394" s="7"/>
      <c r="CE1394" s="7"/>
      <c r="FZ1394" s="2"/>
    </row>
    <row r="1395" spans="1:182">
      <c r="A1395" s="7"/>
      <c r="D1395" s="7"/>
      <c r="E1395" s="7"/>
      <c r="F1395" s="7"/>
      <c r="G1395" s="7"/>
      <c r="H1395" s="7"/>
      <c r="I1395" s="7"/>
      <c r="J1395" s="7"/>
      <c r="K1395" s="7"/>
      <c r="L1395" s="7"/>
      <c r="M1395" s="7"/>
      <c r="N1395" s="7"/>
      <c r="O1395" s="7"/>
      <c r="P1395" s="7"/>
      <c r="Q1395" s="7"/>
      <c r="R1395" s="7"/>
      <c r="S1395" s="7"/>
      <c r="T1395" s="7"/>
      <c r="U1395" s="7"/>
      <c r="Y1395" s="7"/>
      <c r="Z1395" s="17"/>
      <c r="AC1395" s="7"/>
      <c r="AD1395" s="7"/>
      <c r="AE1395" s="7"/>
      <c r="AF1395" s="7"/>
      <c r="AG1395" s="7"/>
      <c r="AH1395" s="7"/>
      <c r="AJ1395" s="7"/>
      <c r="AK1395" s="7"/>
      <c r="AL1395" s="7"/>
      <c r="AM1395" s="7"/>
      <c r="AN1395" s="7"/>
      <c r="AO1395" s="7"/>
      <c r="AR1395" s="7"/>
      <c r="AS1395" s="7"/>
      <c r="AT1395" s="7"/>
      <c r="AU1395" s="7"/>
      <c r="AW1395" s="7"/>
      <c r="CE1395" s="7"/>
      <c r="FZ1395" s="2"/>
    </row>
    <row r="1396" spans="1:182">
      <c r="A1396" s="7"/>
      <c r="D1396" s="7"/>
      <c r="E1396" s="7"/>
      <c r="F1396" s="7"/>
      <c r="G1396" s="7"/>
      <c r="H1396" s="7"/>
      <c r="I1396" s="7"/>
      <c r="J1396" s="7"/>
      <c r="K1396" s="7"/>
      <c r="L1396" s="7"/>
      <c r="M1396" s="7"/>
      <c r="N1396" s="7"/>
      <c r="O1396" s="7"/>
      <c r="P1396" s="7"/>
      <c r="Q1396" s="7"/>
      <c r="R1396" s="7"/>
      <c r="S1396" s="7"/>
      <c r="T1396" s="7"/>
      <c r="U1396" s="7"/>
      <c r="Y1396" s="7"/>
      <c r="Z1396" s="17"/>
      <c r="AC1396" s="7"/>
      <c r="AD1396" s="7"/>
      <c r="AE1396" s="7"/>
      <c r="AF1396" s="7"/>
      <c r="AG1396" s="7"/>
      <c r="AH1396" s="7"/>
      <c r="AJ1396" s="7"/>
      <c r="AK1396" s="7"/>
      <c r="AL1396" s="7"/>
      <c r="AM1396" s="7"/>
      <c r="AN1396" s="7"/>
      <c r="AO1396" s="7"/>
      <c r="AR1396" s="7"/>
      <c r="AS1396" s="7"/>
      <c r="AT1396" s="7"/>
      <c r="AU1396" s="7"/>
      <c r="AW1396" s="7"/>
      <c r="CE1396" s="7"/>
      <c r="FZ1396" s="2"/>
    </row>
    <row r="1397" spans="1:182">
      <c r="A1397" s="7"/>
      <c r="D1397" s="7"/>
      <c r="E1397" s="7"/>
      <c r="F1397" s="7"/>
      <c r="G1397" s="7"/>
      <c r="H1397" s="7"/>
      <c r="I1397" s="7"/>
      <c r="J1397" s="7"/>
      <c r="K1397" s="7"/>
      <c r="L1397" s="7"/>
      <c r="M1397" s="7"/>
      <c r="N1397" s="7"/>
      <c r="O1397" s="7"/>
      <c r="P1397" s="7"/>
      <c r="Q1397" s="7"/>
      <c r="R1397" s="7"/>
      <c r="S1397" s="7"/>
      <c r="T1397" s="7"/>
      <c r="U1397" s="7"/>
      <c r="Y1397" s="7"/>
      <c r="Z1397" s="17"/>
      <c r="AC1397" s="7"/>
      <c r="AD1397" s="7"/>
      <c r="AE1397" s="7"/>
      <c r="AF1397" s="7"/>
      <c r="AG1397" s="7"/>
      <c r="AH1397" s="7"/>
      <c r="AJ1397" s="7"/>
      <c r="AK1397" s="7"/>
      <c r="AL1397" s="7"/>
      <c r="AM1397" s="7"/>
      <c r="AN1397" s="7"/>
      <c r="AO1397" s="7"/>
      <c r="AR1397" s="7"/>
      <c r="AS1397" s="7"/>
      <c r="AT1397" s="7"/>
      <c r="AU1397" s="7"/>
      <c r="AW1397" s="7"/>
      <c r="CE1397" s="7"/>
      <c r="FZ1397" s="2"/>
    </row>
    <row r="1398" spans="1:182">
      <c r="A1398" s="7"/>
      <c r="D1398" s="7"/>
      <c r="E1398" s="7"/>
      <c r="F1398" s="7"/>
      <c r="G1398" s="7"/>
      <c r="H1398" s="7"/>
      <c r="I1398" s="7"/>
      <c r="J1398" s="7"/>
      <c r="K1398" s="7"/>
      <c r="L1398" s="7"/>
      <c r="M1398" s="7"/>
      <c r="N1398" s="7"/>
      <c r="O1398" s="7"/>
      <c r="P1398" s="7"/>
      <c r="Q1398" s="7"/>
      <c r="R1398" s="7"/>
      <c r="S1398" s="7"/>
      <c r="T1398" s="7"/>
      <c r="U1398" s="7"/>
      <c r="Y1398" s="7"/>
      <c r="Z1398" s="17"/>
      <c r="AC1398" s="7"/>
      <c r="AD1398" s="7"/>
      <c r="AE1398" s="7"/>
      <c r="AF1398" s="7"/>
      <c r="AG1398" s="7"/>
      <c r="AH1398" s="7"/>
      <c r="AJ1398" s="7"/>
      <c r="AK1398" s="7"/>
      <c r="AL1398" s="7"/>
      <c r="AM1398" s="7"/>
      <c r="AN1398" s="7"/>
      <c r="AO1398" s="7"/>
      <c r="AR1398" s="7"/>
      <c r="AS1398" s="7"/>
      <c r="AT1398" s="7"/>
      <c r="AU1398" s="7"/>
      <c r="AW1398" s="7"/>
      <c r="CE1398" s="7"/>
      <c r="FZ1398" s="2"/>
    </row>
    <row r="1399" spans="1:182">
      <c r="A1399" s="7"/>
      <c r="D1399" s="7"/>
      <c r="E1399" s="7"/>
      <c r="F1399" s="7"/>
      <c r="G1399" s="7"/>
      <c r="H1399" s="7"/>
      <c r="I1399" s="7"/>
      <c r="J1399" s="7"/>
      <c r="K1399" s="7"/>
      <c r="L1399" s="7"/>
      <c r="M1399" s="7"/>
      <c r="N1399" s="7"/>
      <c r="O1399" s="7"/>
      <c r="P1399" s="7"/>
      <c r="Q1399" s="7"/>
      <c r="R1399" s="7"/>
      <c r="S1399" s="7"/>
      <c r="T1399" s="7"/>
      <c r="U1399" s="7"/>
      <c r="Y1399" s="7"/>
      <c r="Z1399" s="17"/>
      <c r="AC1399" s="7"/>
      <c r="AD1399" s="7"/>
      <c r="AE1399" s="7"/>
      <c r="AF1399" s="7"/>
      <c r="AG1399" s="7"/>
      <c r="AH1399" s="7"/>
      <c r="AJ1399" s="7"/>
      <c r="AK1399" s="7"/>
      <c r="AL1399" s="7"/>
      <c r="AM1399" s="7"/>
      <c r="AN1399" s="7"/>
      <c r="AO1399" s="7"/>
      <c r="AR1399" s="7"/>
      <c r="AS1399" s="7"/>
      <c r="AT1399" s="7"/>
      <c r="AU1399" s="7"/>
      <c r="AW1399" s="7"/>
      <c r="CE1399" s="7"/>
      <c r="FZ1399"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R1105"/>
  <sheetViews>
    <sheetView workbookViewId="0"/>
  </sheetViews>
  <sheetFormatPr defaultColWidth="12.6640625" defaultRowHeight="15.75" customHeight="1"/>
  <cols>
    <col min="1" max="1" width="29.77734375" customWidth="1"/>
    <col min="2" max="2" width="22.21875" customWidth="1"/>
    <col min="3" max="3" width="9.33203125" customWidth="1"/>
    <col min="4" max="4" width="13.21875" customWidth="1"/>
    <col min="5" max="5" width="8" customWidth="1"/>
    <col min="6" max="6" width="15.21875" customWidth="1"/>
    <col min="7" max="7" width="10.88671875" customWidth="1"/>
    <col min="8" max="8" width="12.21875" customWidth="1"/>
    <col min="9" max="9" width="35" customWidth="1"/>
    <col min="10" max="10" width="52.21875" customWidth="1"/>
  </cols>
  <sheetData>
    <row r="1" spans="1:10">
      <c r="A1" s="7" t="s">
        <v>2567</v>
      </c>
      <c r="B1" s="7" t="s">
        <v>6974</v>
      </c>
      <c r="C1" s="7" t="s">
        <v>6984</v>
      </c>
      <c r="D1" s="7" t="s">
        <v>6985</v>
      </c>
      <c r="E1" s="7" t="s">
        <v>6986</v>
      </c>
      <c r="F1" s="7" t="s">
        <v>8526</v>
      </c>
      <c r="G1" s="7" t="s">
        <v>6987</v>
      </c>
      <c r="H1" s="7" t="s">
        <v>6988</v>
      </c>
      <c r="I1" s="7" t="s">
        <v>8527</v>
      </c>
      <c r="J1" s="7" t="s">
        <v>8528</v>
      </c>
    </row>
    <row r="2" spans="1:10">
      <c r="A2" s="7" t="s">
        <v>2571</v>
      </c>
      <c r="B2" s="7" t="s">
        <v>396</v>
      </c>
      <c r="C2" s="2" t="s">
        <v>7138</v>
      </c>
      <c r="D2" s="2">
        <v>1988</v>
      </c>
      <c r="E2" s="2" t="s">
        <v>7139</v>
      </c>
      <c r="F2" s="2" t="s">
        <v>400</v>
      </c>
      <c r="G2" s="2" t="s">
        <v>7140</v>
      </c>
      <c r="H2" s="2" t="s">
        <v>7225</v>
      </c>
      <c r="I2" s="7" t="s">
        <v>7142</v>
      </c>
      <c r="J2" s="7" t="s">
        <v>8529</v>
      </c>
    </row>
    <row r="3" spans="1:10">
      <c r="A3" s="7" t="s">
        <v>2573</v>
      </c>
      <c r="B3" s="7" t="s">
        <v>406</v>
      </c>
      <c r="C3" s="2" t="s">
        <v>7138</v>
      </c>
      <c r="D3" s="2">
        <v>1976</v>
      </c>
      <c r="E3" s="2" t="s">
        <v>7139</v>
      </c>
      <c r="F3" s="2" t="s">
        <v>409</v>
      </c>
      <c r="G3" s="2" t="s">
        <v>7140</v>
      </c>
      <c r="H3" s="2" t="s">
        <v>7225</v>
      </c>
      <c r="I3" s="7" t="s">
        <v>7142</v>
      </c>
      <c r="J3" s="7" t="s">
        <v>8530</v>
      </c>
    </row>
    <row r="4" spans="1:10">
      <c r="A4" s="7" t="s">
        <v>2575</v>
      </c>
      <c r="B4" s="7" t="s">
        <v>443</v>
      </c>
      <c r="C4" s="2" t="s">
        <v>7138</v>
      </c>
      <c r="D4" s="2">
        <v>1963</v>
      </c>
      <c r="E4" s="2" t="s">
        <v>7139</v>
      </c>
      <c r="F4" s="2" t="s">
        <v>447</v>
      </c>
      <c r="G4" s="2" t="s">
        <v>7140</v>
      </c>
      <c r="H4" s="2" t="s">
        <v>7141</v>
      </c>
      <c r="I4" s="7" t="s">
        <v>7142</v>
      </c>
      <c r="J4" s="7" t="s">
        <v>8531</v>
      </c>
    </row>
    <row r="5" spans="1:10">
      <c r="A5" s="7" t="s">
        <v>2577</v>
      </c>
      <c r="B5" s="7" t="s">
        <v>454</v>
      </c>
      <c r="C5" s="2" t="s">
        <v>7138</v>
      </c>
      <c r="D5" s="2">
        <v>1967</v>
      </c>
      <c r="E5" s="2" t="s">
        <v>7139</v>
      </c>
      <c r="F5" s="2" t="s">
        <v>457</v>
      </c>
      <c r="G5" s="2" t="s">
        <v>7140</v>
      </c>
      <c r="H5" s="2" t="s">
        <v>7225</v>
      </c>
      <c r="I5" s="7" t="s">
        <v>7142</v>
      </c>
      <c r="J5" s="7" t="s">
        <v>8529</v>
      </c>
    </row>
    <row r="6" spans="1:10">
      <c r="A6" s="7" t="s">
        <v>2578</v>
      </c>
      <c r="B6" s="7" t="s">
        <v>523</v>
      </c>
      <c r="C6" s="2" t="s">
        <v>7138</v>
      </c>
      <c r="D6" s="2">
        <v>1973</v>
      </c>
      <c r="E6" s="2" t="s">
        <v>7139</v>
      </c>
      <c r="F6" s="2" t="s">
        <v>525</v>
      </c>
      <c r="G6" s="2" t="s">
        <v>7140</v>
      </c>
      <c r="H6" s="2" t="s">
        <v>7141</v>
      </c>
      <c r="I6" s="7" t="s">
        <v>7142</v>
      </c>
      <c r="J6" s="7" t="s">
        <v>8532</v>
      </c>
    </row>
    <row r="7" spans="1:10">
      <c r="A7" s="7" t="s">
        <v>2580</v>
      </c>
      <c r="B7" s="7" t="s">
        <v>663</v>
      </c>
      <c r="C7" s="2" t="s">
        <v>7138</v>
      </c>
      <c r="D7" s="2">
        <v>1974</v>
      </c>
      <c r="E7" s="2" t="s">
        <v>7139</v>
      </c>
      <c r="F7" s="2" t="s">
        <v>667</v>
      </c>
      <c r="G7" s="2" t="s">
        <v>7140</v>
      </c>
      <c r="H7" s="2" t="s">
        <v>7141</v>
      </c>
      <c r="I7" s="7" t="s">
        <v>7142</v>
      </c>
      <c r="J7" s="7" t="s">
        <v>8529</v>
      </c>
    </row>
    <row r="8" spans="1:10">
      <c r="A8" s="7" t="s">
        <v>2581</v>
      </c>
      <c r="B8" s="7" t="s">
        <v>693</v>
      </c>
      <c r="C8" s="2" t="s">
        <v>7138</v>
      </c>
      <c r="D8" s="2">
        <v>1993</v>
      </c>
      <c r="E8" s="2" t="s">
        <v>7139</v>
      </c>
      <c r="F8" s="2" t="s">
        <v>224</v>
      </c>
      <c r="G8" s="2" t="s">
        <v>7140</v>
      </c>
      <c r="H8" s="2" t="s">
        <v>7225</v>
      </c>
      <c r="I8" s="7" t="s">
        <v>7142</v>
      </c>
      <c r="J8" s="7" t="s">
        <v>8529</v>
      </c>
    </row>
    <row r="9" spans="1:10">
      <c r="A9" s="7" t="s">
        <v>2582</v>
      </c>
      <c r="B9" s="7" t="s">
        <v>745</v>
      </c>
      <c r="C9" s="2" t="s">
        <v>7138</v>
      </c>
      <c r="D9" s="2">
        <v>1972</v>
      </c>
      <c r="E9" s="2" t="s">
        <v>7139</v>
      </c>
      <c r="F9" s="2" t="s">
        <v>748</v>
      </c>
      <c r="G9" s="2" t="s">
        <v>7140</v>
      </c>
      <c r="H9" s="2" t="s">
        <v>7395</v>
      </c>
      <c r="I9" s="7" t="s">
        <v>7142</v>
      </c>
      <c r="J9" s="7" t="s">
        <v>8531</v>
      </c>
    </row>
    <row r="10" spans="1:10">
      <c r="A10" s="7" t="s">
        <v>2583</v>
      </c>
      <c r="B10" s="7" t="s">
        <v>799</v>
      </c>
      <c r="C10" s="2" t="s">
        <v>7138</v>
      </c>
      <c r="D10" s="2">
        <v>2001</v>
      </c>
      <c r="E10" s="2" t="s">
        <v>7139</v>
      </c>
      <c r="F10" s="2" t="s">
        <v>802</v>
      </c>
      <c r="G10" s="2" t="s">
        <v>7140</v>
      </c>
      <c r="H10" s="2" t="s">
        <v>7141</v>
      </c>
      <c r="I10" s="7" t="s">
        <v>7142</v>
      </c>
      <c r="J10" s="7" t="s">
        <v>8531</v>
      </c>
    </row>
    <row r="11" spans="1:10">
      <c r="A11" s="7" t="s">
        <v>2584</v>
      </c>
      <c r="B11" s="7" t="s">
        <v>820</v>
      </c>
      <c r="C11" s="2" t="s">
        <v>7138</v>
      </c>
      <c r="D11" s="2">
        <v>2000</v>
      </c>
      <c r="E11" s="2" t="s">
        <v>7139</v>
      </c>
      <c r="F11" s="2" t="s">
        <v>2585</v>
      </c>
      <c r="G11" s="2" t="s">
        <v>7140</v>
      </c>
      <c r="H11" s="2" t="s">
        <v>7182</v>
      </c>
      <c r="I11" s="7" t="s">
        <v>7142</v>
      </c>
      <c r="J11" s="7" t="s">
        <v>8531</v>
      </c>
    </row>
    <row r="12" spans="1:10">
      <c r="A12" s="7" t="s">
        <v>2586</v>
      </c>
      <c r="B12" s="7" t="s">
        <v>919</v>
      </c>
      <c r="C12" s="2" t="s">
        <v>7138</v>
      </c>
      <c r="D12" s="2">
        <v>1979</v>
      </c>
      <c r="E12" s="2" t="s">
        <v>7139</v>
      </c>
      <c r="F12" s="2" t="s">
        <v>922</v>
      </c>
      <c r="G12" s="2" t="s">
        <v>7140</v>
      </c>
      <c r="H12" s="2" t="s">
        <v>7225</v>
      </c>
      <c r="I12" s="7" t="s">
        <v>7142</v>
      </c>
      <c r="J12" s="7" t="s">
        <v>8529</v>
      </c>
    </row>
    <row r="13" spans="1:10">
      <c r="A13" s="7" t="s">
        <v>2587</v>
      </c>
      <c r="B13" s="7" t="s">
        <v>936</v>
      </c>
      <c r="C13" s="2" t="s">
        <v>7138</v>
      </c>
      <c r="D13" s="2">
        <v>2000</v>
      </c>
      <c r="E13" s="2" t="s">
        <v>7139</v>
      </c>
      <c r="F13" s="2" t="s">
        <v>939</v>
      </c>
      <c r="G13" s="2" t="s">
        <v>7140</v>
      </c>
      <c r="H13" s="2" t="s">
        <v>7141</v>
      </c>
      <c r="I13" s="7" t="s">
        <v>7142</v>
      </c>
      <c r="J13" s="7" t="s">
        <v>8531</v>
      </c>
    </row>
    <row r="14" spans="1:10">
      <c r="A14" s="7" t="s">
        <v>2588</v>
      </c>
      <c r="B14" s="7" t="s">
        <v>968</v>
      </c>
      <c r="C14" s="2" t="s">
        <v>7138</v>
      </c>
      <c r="D14" s="2">
        <v>1976</v>
      </c>
      <c r="E14" s="2" t="s">
        <v>7139</v>
      </c>
      <c r="F14" s="2" t="s">
        <v>2589</v>
      </c>
      <c r="G14" s="2" t="s">
        <v>7140</v>
      </c>
      <c r="H14" s="2" t="s">
        <v>7141</v>
      </c>
      <c r="I14" s="7" t="s">
        <v>7142</v>
      </c>
      <c r="J14" s="7" t="s">
        <v>8529</v>
      </c>
    </row>
    <row r="15" spans="1:10">
      <c r="A15" s="7" t="s">
        <v>2590</v>
      </c>
      <c r="B15" s="7" t="s">
        <v>1004</v>
      </c>
      <c r="C15" s="2" t="s">
        <v>7138</v>
      </c>
      <c r="D15" s="2">
        <v>1978</v>
      </c>
      <c r="E15" s="2" t="s">
        <v>7139</v>
      </c>
      <c r="F15" s="2" t="s">
        <v>1006</v>
      </c>
      <c r="G15" s="2" t="s">
        <v>7140</v>
      </c>
      <c r="H15" s="2" t="s">
        <v>7225</v>
      </c>
      <c r="I15" s="7" t="s">
        <v>7142</v>
      </c>
      <c r="J15" s="7" t="s">
        <v>8531</v>
      </c>
    </row>
    <row r="16" spans="1:10">
      <c r="A16" s="7" t="s">
        <v>2591</v>
      </c>
      <c r="B16" s="7" t="s">
        <v>1016</v>
      </c>
      <c r="C16" s="2" t="s">
        <v>7138</v>
      </c>
      <c r="D16" s="2">
        <v>1968</v>
      </c>
      <c r="E16" s="2" t="s">
        <v>7139</v>
      </c>
      <c r="F16" s="2" t="s">
        <v>1019</v>
      </c>
      <c r="G16" s="2" t="s">
        <v>7140</v>
      </c>
      <c r="H16" s="2" t="s">
        <v>7395</v>
      </c>
      <c r="I16" s="7" t="s">
        <v>7142</v>
      </c>
      <c r="J16" s="7" t="s">
        <v>8529</v>
      </c>
    </row>
    <row r="17" spans="1:10">
      <c r="A17" s="7" t="s">
        <v>2592</v>
      </c>
      <c r="B17" s="7" t="s">
        <v>1044</v>
      </c>
      <c r="C17" s="2" t="s">
        <v>7138</v>
      </c>
      <c r="D17" s="2">
        <v>1994</v>
      </c>
      <c r="E17" s="2" t="s">
        <v>7139</v>
      </c>
      <c r="F17" s="2" t="s">
        <v>1046</v>
      </c>
      <c r="G17" s="2" t="s">
        <v>7140</v>
      </c>
      <c r="I17" s="7" t="s">
        <v>7142</v>
      </c>
      <c r="J17" s="7" t="s">
        <v>8529</v>
      </c>
    </row>
    <row r="18" spans="1:10">
      <c r="A18" s="7" t="s">
        <v>2593</v>
      </c>
      <c r="B18" s="7" t="s">
        <v>1062</v>
      </c>
      <c r="C18" s="2" t="s">
        <v>7138</v>
      </c>
      <c r="D18" s="2">
        <v>1987</v>
      </c>
      <c r="E18" s="2" t="s">
        <v>7139</v>
      </c>
      <c r="F18" s="2" t="s">
        <v>1064</v>
      </c>
      <c r="G18" s="2" t="s">
        <v>7140</v>
      </c>
      <c r="H18" s="2" t="s">
        <v>7225</v>
      </c>
      <c r="I18" s="7" t="s">
        <v>7142</v>
      </c>
      <c r="J18" s="7" t="s">
        <v>8529</v>
      </c>
    </row>
    <row r="19" spans="1:10">
      <c r="A19" s="7" t="s">
        <v>2594</v>
      </c>
      <c r="B19" s="7" t="s">
        <v>1072</v>
      </c>
      <c r="C19" s="7" t="s">
        <v>7138</v>
      </c>
      <c r="D19" s="7">
        <v>1993</v>
      </c>
      <c r="E19" s="7" t="s">
        <v>7180</v>
      </c>
      <c r="F19" s="7" t="s">
        <v>1073</v>
      </c>
      <c r="G19" s="7" t="s">
        <v>7140</v>
      </c>
      <c r="H19" s="7" t="s">
        <v>7141</v>
      </c>
      <c r="I19" s="7" t="s">
        <v>7142</v>
      </c>
      <c r="J19" s="7" t="s">
        <v>8529</v>
      </c>
    </row>
    <row r="20" spans="1:10">
      <c r="A20" s="7" t="s">
        <v>2595</v>
      </c>
      <c r="B20" s="7" t="s">
        <v>1082</v>
      </c>
      <c r="C20" s="2" t="s">
        <v>7138</v>
      </c>
      <c r="D20" s="2">
        <v>1985</v>
      </c>
      <c r="E20" s="2" t="s">
        <v>7139</v>
      </c>
      <c r="F20" s="2" t="s">
        <v>1084</v>
      </c>
      <c r="G20" s="2" t="s">
        <v>7140</v>
      </c>
      <c r="H20" s="2" t="s">
        <v>7225</v>
      </c>
      <c r="I20" s="7" t="s">
        <v>7142</v>
      </c>
      <c r="J20" s="7" t="s">
        <v>8529</v>
      </c>
    </row>
    <row r="21" spans="1:10">
      <c r="A21" s="7" t="s">
        <v>2596</v>
      </c>
      <c r="B21" s="7" t="s">
        <v>728</v>
      </c>
      <c r="C21" s="7" t="s">
        <v>7138</v>
      </c>
      <c r="D21" s="7">
        <v>1995</v>
      </c>
      <c r="E21" s="7" t="s">
        <v>7139</v>
      </c>
      <c r="F21" s="7" t="s">
        <v>2597</v>
      </c>
      <c r="G21" s="7" t="s">
        <v>7140</v>
      </c>
      <c r="H21" s="7" t="s">
        <v>7182</v>
      </c>
      <c r="I21" s="7" t="s">
        <v>7142</v>
      </c>
      <c r="J21" s="7" t="s">
        <v>8533</v>
      </c>
    </row>
    <row r="22" spans="1:10">
      <c r="A22" s="7" t="s">
        <v>2599</v>
      </c>
      <c r="B22" s="7" t="s">
        <v>531</v>
      </c>
      <c r="C22" s="7" t="s">
        <v>7179</v>
      </c>
      <c r="D22" s="7">
        <v>1975</v>
      </c>
      <c r="E22" s="7" t="s">
        <v>7139</v>
      </c>
      <c r="F22" s="7" t="s">
        <v>2600</v>
      </c>
      <c r="G22" s="7" t="s">
        <v>7181</v>
      </c>
      <c r="H22" s="7" t="s">
        <v>7225</v>
      </c>
      <c r="I22" s="7" t="s">
        <v>7142</v>
      </c>
      <c r="J22" s="7" t="s">
        <v>8534</v>
      </c>
    </row>
    <row r="23" spans="1:10">
      <c r="A23" s="7" t="s">
        <v>2602</v>
      </c>
      <c r="B23" s="7" t="s">
        <v>531</v>
      </c>
      <c r="C23" s="7"/>
      <c r="D23" s="7"/>
      <c r="E23" s="7"/>
      <c r="F23" s="7"/>
      <c r="G23" s="7"/>
      <c r="H23" s="7"/>
      <c r="I23" s="7"/>
      <c r="J23" s="7" t="s">
        <v>8535</v>
      </c>
    </row>
    <row r="24" spans="1:10">
      <c r="A24" s="7" t="s">
        <v>2604</v>
      </c>
      <c r="B24" s="7" t="s">
        <v>531</v>
      </c>
      <c r="C24" s="7" t="s">
        <v>7138</v>
      </c>
      <c r="D24" s="7">
        <v>1974</v>
      </c>
      <c r="E24" s="7" t="s">
        <v>7139</v>
      </c>
      <c r="F24" s="7" t="s">
        <v>534</v>
      </c>
      <c r="G24" s="7" t="s">
        <v>7140</v>
      </c>
      <c r="H24" s="7" t="s">
        <v>7141</v>
      </c>
      <c r="I24" s="7" t="s">
        <v>7142</v>
      </c>
      <c r="J24" s="7" t="s">
        <v>8536</v>
      </c>
    </row>
    <row r="25" spans="1:10">
      <c r="A25" s="7" t="s">
        <v>2606</v>
      </c>
      <c r="B25" s="7" t="s">
        <v>557</v>
      </c>
      <c r="C25" s="2" t="s">
        <v>7138</v>
      </c>
      <c r="D25" s="2">
        <v>1965</v>
      </c>
      <c r="E25" s="2" t="s">
        <v>7139</v>
      </c>
      <c r="F25" s="2" t="s">
        <v>2607</v>
      </c>
      <c r="G25" s="2" t="s">
        <v>7140</v>
      </c>
      <c r="H25" s="2" t="s">
        <v>7225</v>
      </c>
      <c r="I25" s="7" t="s">
        <v>7142</v>
      </c>
      <c r="J25" s="7" t="s">
        <v>8529</v>
      </c>
    </row>
    <row r="26" spans="1:10">
      <c r="A26" s="7" t="s">
        <v>2608</v>
      </c>
      <c r="B26" s="7" t="s">
        <v>541</v>
      </c>
      <c r="C26" s="2" t="s">
        <v>7138</v>
      </c>
      <c r="D26" s="2">
        <v>1987</v>
      </c>
      <c r="E26" s="2" t="s">
        <v>7139</v>
      </c>
      <c r="F26" s="2" t="s">
        <v>543</v>
      </c>
      <c r="G26" s="2" t="s">
        <v>7140</v>
      </c>
      <c r="H26" s="2" t="s">
        <v>7225</v>
      </c>
      <c r="I26" s="7" t="s">
        <v>7142</v>
      </c>
      <c r="J26" s="7" t="s">
        <v>8533</v>
      </c>
    </row>
    <row r="27" spans="1:10">
      <c r="A27" s="7" t="s">
        <v>2609</v>
      </c>
      <c r="B27" s="7" t="s">
        <v>583</v>
      </c>
      <c r="C27" s="2" t="s">
        <v>7138</v>
      </c>
      <c r="D27" s="2">
        <v>1973</v>
      </c>
      <c r="E27" s="2" t="s">
        <v>7139</v>
      </c>
      <c r="F27" s="2" t="s">
        <v>585</v>
      </c>
      <c r="G27" s="2" t="s">
        <v>7140</v>
      </c>
      <c r="H27" s="2" t="s">
        <v>7225</v>
      </c>
      <c r="I27" s="7" t="s">
        <v>7142</v>
      </c>
      <c r="J27" s="7" t="s">
        <v>8533</v>
      </c>
    </row>
    <row r="28" spans="1:10">
      <c r="A28" s="7" t="s">
        <v>2610</v>
      </c>
      <c r="B28" s="7" t="s">
        <v>472</v>
      </c>
      <c r="C28" s="2" t="s">
        <v>7138</v>
      </c>
      <c r="D28" s="2">
        <v>1962</v>
      </c>
      <c r="E28" s="2" t="s">
        <v>7139</v>
      </c>
      <c r="F28" s="2" t="s">
        <v>2611</v>
      </c>
      <c r="G28" s="2" t="s">
        <v>7140</v>
      </c>
      <c r="H28" s="2" t="s">
        <v>7225</v>
      </c>
      <c r="I28" s="7" t="s">
        <v>7142</v>
      </c>
      <c r="J28" s="2" t="s">
        <v>8537</v>
      </c>
    </row>
    <row r="29" spans="1:10">
      <c r="A29" s="7" t="s">
        <v>2613</v>
      </c>
      <c r="B29" s="7" t="s">
        <v>499</v>
      </c>
      <c r="C29" s="2" t="s">
        <v>7138</v>
      </c>
      <c r="D29" s="2">
        <v>1976</v>
      </c>
      <c r="E29" s="2" t="s">
        <v>7139</v>
      </c>
      <c r="F29" s="2" t="s">
        <v>501</v>
      </c>
      <c r="G29" s="2" t="s">
        <v>7140</v>
      </c>
      <c r="H29" s="2" t="s">
        <v>7225</v>
      </c>
      <c r="I29" s="7" t="s">
        <v>7142</v>
      </c>
      <c r="J29" s="7" t="s">
        <v>8533</v>
      </c>
    </row>
    <row r="30" spans="1:10">
      <c r="A30" s="7" t="s">
        <v>2614</v>
      </c>
      <c r="B30" s="7" t="s">
        <v>423</v>
      </c>
      <c r="C30" s="2" t="s">
        <v>7179</v>
      </c>
      <c r="D30" s="2">
        <v>1990</v>
      </c>
      <c r="E30" s="2" t="s">
        <v>7139</v>
      </c>
      <c r="F30" s="2" t="s">
        <v>427</v>
      </c>
      <c r="G30" s="2" t="s">
        <v>7181</v>
      </c>
      <c r="H30" s="2" t="s">
        <v>7225</v>
      </c>
      <c r="I30" s="7" t="s">
        <v>7142</v>
      </c>
      <c r="J30" s="7" t="s">
        <v>8529</v>
      </c>
    </row>
    <row r="31" spans="1:10">
      <c r="A31" s="7" t="s">
        <v>2615</v>
      </c>
      <c r="B31" s="7" t="s">
        <v>771</v>
      </c>
      <c r="C31" s="2" t="s">
        <v>7179</v>
      </c>
      <c r="D31" s="2">
        <v>1964</v>
      </c>
      <c r="E31" s="2" t="s">
        <v>7139</v>
      </c>
      <c r="F31" s="2" t="s">
        <v>774</v>
      </c>
      <c r="G31" s="2" t="s">
        <v>7140</v>
      </c>
      <c r="H31" s="2" t="s">
        <v>7225</v>
      </c>
      <c r="I31" s="7" t="s">
        <v>7142</v>
      </c>
      <c r="J31" s="7" t="s">
        <v>8529</v>
      </c>
    </row>
    <row r="32" spans="1:10">
      <c r="A32" s="7" t="s">
        <v>2616</v>
      </c>
      <c r="B32" s="7" t="s">
        <v>710</v>
      </c>
      <c r="C32" s="2" t="s">
        <v>7138</v>
      </c>
      <c r="D32" s="2">
        <v>2007</v>
      </c>
      <c r="E32" s="2" t="s">
        <v>7139</v>
      </c>
      <c r="F32" s="2" t="s">
        <v>713</v>
      </c>
      <c r="G32" s="2" t="s">
        <v>7192</v>
      </c>
      <c r="H32" s="2" t="s">
        <v>7141</v>
      </c>
      <c r="I32" s="7" t="s">
        <v>7142</v>
      </c>
      <c r="J32" s="7" t="s">
        <v>8530</v>
      </c>
    </row>
    <row r="33" spans="1:10">
      <c r="A33" s="7" t="s">
        <v>2617</v>
      </c>
      <c r="B33" s="7" t="s">
        <v>1158</v>
      </c>
      <c r="C33" s="7" t="s">
        <v>7138</v>
      </c>
      <c r="D33" s="7">
        <v>1983</v>
      </c>
      <c r="E33" s="7" t="s">
        <v>7139</v>
      </c>
      <c r="F33" s="7" t="s">
        <v>1162</v>
      </c>
      <c r="G33" s="7" t="s">
        <v>7140</v>
      </c>
      <c r="H33" s="7" t="s">
        <v>7225</v>
      </c>
      <c r="I33" s="7" t="s">
        <v>7142</v>
      </c>
      <c r="J33" s="7" t="s">
        <v>8533</v>
      </c>
    </row>
    <row r="34" spans="1:10">
      <c r="A34" s="7" t="s">
        <v>2618</v>
      </c>
      <c r="B34" s="7" t="s">
        <v>1158</v>
      </c>
      <c r="C34" s="7" t="s">
        <v>7138</v>
      </c>
      <c r="D34" s="7">
        <v>2005</v>
      </c>
      <c r="E34" s="7" t="s">
        <v>7139</v>
      </c>
      <c r="F34" s="7" t="s">
        <v>2619</v>
      </c>
      <c r="G34" s="7" t="s">
        <v>7192</v>
      </c>
      <c r="H34" s="7" t="s">
        <v>7141</v>
      </c>
      <c r="I34" s="7" t="s">
        <v>7142</v>
      </c>
      <c r="J34" s="7" t="s">
        <v>8530</v>
      </c>
    </row>
    <row r="35" spans="1:10">
      <c r="A35" s="7" t="s">
        <v>2620</v>
      </c>
      <c r="B35" s="7" t="s">
        <v>1178</v>
      </c>
      <c r="C35" s="2" t="s">
        <v>7179</v>
      </c>
      <c r="D35" s="2">
        <v>1991</v>
      </c>
      <c r="E35" s="2" t="s">
        <v>7139</v>
      </c>
      <c r="F35" s="2" t="s">
        <v>1180</v>
      </c>
      <c r="G35" s="2" t="s">
        <v>7181</v>
      </c>
      <c r="H35" s="2" t="s">
        <v>7141</v>
      </c>
      <c r="I35" s="7" t="s">
        <v>7142</v>
      </c>
      <c r="J35" s="7" t="s">
        <v>8538</v>
      </c>
    </row>
    <row r="36" spans="1:10">
      <c r="A36" s="7" t="s">
        <v>2622</v>
      </c>
      <c r="B36" s="7" t="s">
        <v>1190</v>
      </c>
      <c r="C36" s="2" t="s">
        <v>7138</v>
      </c>
      <c r="D36" s="2">
        <v>1980</v>
      </c>
      <c r="E36" s="2" t="s">
        <v>7139</v>
      </c>
      <c r="F36" s="2" t="s">
        <v>548</v>
      </c>
      <c r="G36" s="2" t="s">
        <v>7140</v>
      </c>
      <c r="H36" s="2" t="s">
        <v>7225</v>
      </c>
      <c r="I36" s="7" t="s">
        <v>7142</v>
      </c>
      <c r="J36" s="2" t="s">
        <v>8529</v>
      </c>
    </row>
    <row r="37" spans="1:10">
      <c r="A37" s="7" t="s">
        <v>2623</v>
      </c>
      <c r="B37" s="7" t="s">
        <v>1201</v>
      </c>
      <c r="C37" s="2" t="s">
        <v>7138</v>
      </c>
      <c r="D37" s="2">
        <v>1984</v>
      </c>
      <c r="E37" s="2" t="s">
        <v>7139</v>
      </c>
      <c r="F37" s="2" t="s">
        <v>1203</v>
      </c>
      <c r="G37" s="2" t="s">
        <v>7140</v>
      </c>
      <c r="H37" s="2" t="s">
        <v>7141</v>
      </c>
      <c r="I37" s="7" t="s">
        <v>7142</v>
      </c>
      <c r="J37" s="7" t="s">
        <v>8533</v>
      </c>
    </row>
    <row r="38" spans="1:10">
      <c r="A38" s="7" t="s">
        <v>2624</v>
      </c>
      <c r="B38" s="7" t="s">
        <v>789</v>
      </c>
      <c r="C38" s="2" t="s">
        <v>7138</v>
      </c>
      <c r="D38" s="2">
        <v>1989</v>
      </c>
      <c r="E38" s="2" t="s">
        <v>7139</v>
      </c>
      <c r="F38" s="2" t="s">
        <v>794</v>
      </c>
      <c r="G38" s="2" t="s">
        <v>7140</v>
      </c>
      <c r="H38" s="2" t="s">
        <v>7182</v>
      </c>
      <c r="I38" s="7" t="s">
        <v>7142</v>
      </c>
      <c r="J38" s="7" t="s">
        <v>8533</v>
      </c>
    </row>
    <row r="39" spans="1:10">
      <c r="A39" s="7" t="s">
        <v>2625</v>
      </c>
      <c r="B39" s="7" t="s">
        <v>867</v>
      </c>
      <c r="C39" s="2" t="s">
        <v>7138</v>
      </c>
      <c r="D39" s="2">
        <v>1979</v>
      </c>
      <c r="E39" s="2" t="s">
        <v>7139</v>
      </c>
      <c r="F39" s="2" t="s">
        <v>657</v>
      </c>
      <c r="G39" s="2" t="s">
        <v>7140</v>
      </c>
      <c r="H39" s="2" t="s">
        <v>7141</v>
      </c>
      <c r="I39" s="7" t="s">
        <v>7142</v>
      </c>
      <c r="J39" s="2" t="s">
        <v>8533</v>
      </c>
    </row>
    <row r="40" spans="1:10">
      <c r="A40" s="7" t="s">
        <v>2626</v>
      </c>
      <c r="B40" s="7" t="s">
        <v>1104</v>
      </c>
      <c r="C40" s="7" t="s">
        <v>7179</v>
      </c>
      <c r="D40" s="7">
        <v>1999</v>
      </c>
      <c r="E40" s="7" t="s">
        <v>7139</v>
      </c>
      <c r="F40" s="7" t="s">
        <v>1106</v>
      </c>
      <c r="G40" s="7" t="s">
        <v>7181</v>
      </c>
      <c r="H40" s="7" t="s">
        <v>7225</v>
      </c>
      <c r="I40" s="7" t="s">
        <v>7142</v>
      </c>
      <c r="J40" s="7" t="s">
        <v>8538</v>
      </c>
    </row>
    <row r="41" spans="1:10">
      <c r="A41" s="7" t="s">
        <v>2627</v>
      </c>
      <c r="B41" s="7" t="s">
        <v>1104</v>
      </c>
      <c r="C41" s="7" t="s">
        <v>7138</v>
      </c>
      <c r="D41" s="7">
        <v>1995</v>
      </c>
      <c r="E41" s="7" t="s">
        <v>7139</v>
      </c>
      <c r="F41" s="7" t="s">
        <v>1107</v>
      </c>
      <c r="G41" s="7" t="s">
        <v>7140</v>
      </c>
      <c r="H41" s="7" t="s">
        <v>7225</v>
      </c>
      <c r="I41" s="7" t="s">
        <v>7142</v>
      </c>
      <c r="J41" s="7" t="s">
        <v>8529</v>
      </c>
    </row>
    <row r="42" spans="1:10">
      <c r="A42" s="7" t="s">
        <v>2628</v>
      </c>
      <c r="B42" s="7" t="s">
        <v>292</v>
      </c>
      <c r="I42" s="7" t="s">
        <v>7142</v>
      </c>
      <c r="J42" s="7" t="s">
        <v>8539</v>
      </c>
    </row>
    <row r="43" spans="1:10">
      <c r="A43" s="7" t="s">
        <v>2630</v>
      </c>
      <c r="B43" s="7" t="s">
        <v>320</v>
      </c>
      <c r="C43" s="2" t="s">
        <v>7179</v>
      </c>
      <c r="E43" s="2" t="s">
        <v>7139</v>
      </c>
      <c r="F43" s="2" t="s">
        <v>2631</v>
      </c>
      <c r="G43" s="2" t="s">
        <v>7181</v>
      </c>
      <c r="H43" s="2" t="s">
        <v>7225</v>
      </c>
      <c r="I43" s="7" t="s">
        <v>7142</v>
      </c>
      <c r="J43" s="2" t="s">
        <v>8540</v>
      </c>
    </row>
    <row r="44" spans="1:10">
      <c r="A44" s="7" t="s">
        <v>2633</v>
      </c>
      <c r="B44" s="7" t="s">
        <v>337</v>
      </c>
      <c r="C44" s="2" t="s">
        <v>7179</v>
      </c>
      <c r="D44" s="2">
        <v>1993</v>
      </c>
      <c r="E44" s="2" t="s">
        <v>7139</v>
      </c>
      <c r="F44" s="2" t="s">
        <v>2634</v>
      </c>
      <c r="G44" s="2" t="s">
        <v>7181</v>
      </c>
      <c r="H44" s="2" t="s">
        <v>7225</v>
      </c>
      <c r="I44" s="7" t="s">
        <v>7142</v>
      </c>
      <c r="J44" s="7" t="s">
        <v>8541</v>
      </c>
    </row>
    <row r="45" spans="1:10">
      <c r="A45" s="7" t="s">
        <v>2636</v>
      </c>
      <c r="B45" s="7" t="s">
        <v>349</v>
      </c>
      <c r="I45" s="7" t="s">
        <v>7142</v>
      </c>
    </row>
    <row r="46" spans="1:10">
      <c r="A46" s="7" t="s">
        <v>2637</v>
      </c>
      <c r="B46" s="7" t="s">
        <v>355</v>
      </c>
      <c r="C46" s="2" t="s">
        <v>7179</v>
      </c>
      <c r="D46" s="2">
        <v>1990</v>
      </c>
      <c r="E46" s="2" t="s">
        <v>7139</v>
      </c>
      <c r="F46" s="2" t="s">
        <v>2638</v>
      </c>
      <c r="G46" s="2" t="s">
        <v>7181</v>
      </c>
      <c r="H46" s="2" t="s">
        <v>7141</v>
      </c>
      <c r="I46" s="7" t="s">
        <v>7142</v>
      </c>
      <c r="J46" s="7" t="s">
        <v>8541</v>
      </c>
    </row>
    <row r="47" spans="1:10">
      <c r="A47" s="7" t="s">
        <v>2639</v>
      </c>
      <c r="B47" s="7" t="s">
        <v>359</v>
      </c>
      <c r="I47" s="7" t="s">
        <v>7142</v>
      </c>
      <c r="J47" s="7" t="s">
        <v>8539</v>
      </c>
    </row>
    <row r="48" spans="1:10">
      <c r="A48" s="7" t="s">
        <v>2640</v>
      </c>
      <c r="B48" s="7" t="s">
        <v>368</v>
      </c>
      <c r="I48" s="7" t="s">
        <v>7142</v>
      </c>
      <c r="J48" s="7" t="s">
        <v>8539</v>
      </c>
    </row>
    <row r="49" spans="1:10">
      <c r="A49" s="7" t="s">
        <v>2641</v>
      </c>
      <c r="B49" s="7" t="s">
        <v>375</v>
      </c>
      <c r="I49" s="7" t="s">
        <v>7142</v>
      </c>
      <c r="J49" s="7" t="s">
        <v>8539</v>
      </c>
    </row>
    <row r="50" spans="1:10">
      <c r="A50" s="7" t="s">
        <v>2642</v>
      </c>
      <c r="B50" s="7" t="s">
        <v>384</v>
      </c>
      <c r="I50" s="7" t="s">
        <v>7142</v>
      </c>
      <c r="J50" s="7" t="s">
        <v>8542</v>
      </c>
    </row>
    <row r="51" spans="1:10">
      <c r="A51" s="7" t="s">
        <v>2644</v>
      </c>
      <c r="B51" s="7" t="s">
        <v>1168</v>
      </c>
      <c r="I51" s="7" t="s">
        <v>7142</v>
      </c>
      <c r="J51" s="7" t="s">
        <v>8539</v>
      </c>
    </row>
    <row r="52" spans="1:10">
      <c r="A52" s="7" t="s">
        <v>2645</v>
      </c>
      <c r="B52" s="7" t="s">
        <v>1193</v>
      </c>
      <c r="I52" s="7" t="s">
        <v>7142</v>
      </c>
      <c r="J52" s="7" t="s">
        <v>8539</v>
      </c>
    </row>
    <row r="53" spans="1:10">
      <c r="A53" s="7" t="s">
        <v>2646</v>
      </c>
      <c r="B53" s="7" t="s">
        <v>861</v>
      </c>
      <c r="I53" s="7" t="s">
        <v>7142</v>
      </c>
      <c r="J53" s="7" t="s">
        <v>8543</v>
      </c>
    </row>
    <row r="54" spans="1:10">
      <c r="A54" s="7" t="s">
        <v>2648</v>
      </c>
      <c r="B54" s="7" t="s">
        <v>900</v>
      </c>
      <c r="I54" s="7" t="s">
        <v>7143</v>
      </c>
    </row>
    <row r="55" spans="1:10">
      <c r="A55" s="7" t="s">
        <v>2649</v>
      </c>
      <c r="B55" s="7" t="s">
        <v>978</v>
      </c>
      <c r="I55" s="7" t="s">
        <v>7142</v>
      </c>
      <c r="J55" s="7" t="s">
        <v>8544</v>
      </c>
    </row>
    <row r="56" spans="1:10">
      <c r="A56" s="7" t="s">
        <v>2651</v>
      </c>
      <c r="B56" s="7" t="s">
        <v>1012</v>
      </c>
      <c r="I56" s="7" t="s">
        <v>7142</v>
      </c>
      <c r="J56" s="7" t="s">
        <v>8543</v>
      </c>
    </row>
    <row r="57" spans="1:10">
      <c r="A57" s="7" t="s">
        <v>2652</v>
      </c>
      <c r="B57" s="7" t="s">
        <v>1051</v>
      </c>
      <c r="C57" s="2" t="s">
        <v>7138</v>
      </c>
      <c r="D57" s="2">
        <v>1987</v>
      </c>
      <c r="E57" s="2" t="s">
        <v>7139</v>
      </c>
      <c r="F57" s="2" t="s">
        <v>1052</v>
      </c>
      <c r="G57" s="2" t="s">
        <v>7140</v>
      </c>
      <c r="H57" s="2" t="s">
        <v>7141</v>
      </c>
      <c r="I57" s="7" t="s">
        <v>7142</v>
      </c>
      <c r="J57" s="7" t="s">
        <v>8543</v>
      </c>
    </row>
    <row r="58" spans="1:10">
      <c r="A58" s="7" t="s">
        <v>2653</v>
      </c>
      <c r="B58" s="7" t="s">
        <v>1069</v>
      </c>
      <c r="C58" s="7" t="s">
        <v>7179</v>
      </c>
      <c r="D58" s="7">
        <v>2003</v>
      </c>
      <c r="E58" s="7" t="s">
        <v>7139</v>
      </c>
      <c r="F58" s="7" t="s">
        <v>2654</v>
      </c>
      <c r="G58" s="7" t="s">
        <v>7181</v>
      </c>
      <c r="H58" s="7" t="s">
        <v>7141</v>
      </c>
      <c r="I58" s="7" t="s">
        <v>7142</v>
      </c>
      <c r="J58" s="7" t="s">
        <v>8543</v>
      </c>
    </row>
    <row r="59" spans="1:10">
      <c r="A59" s="7" t="s">
        <v>2655</v>
      </c>
      <c r="B59" s="7" t="s">
        <v>1089</v>
      </c>
      <c r="C59" s="7" t="s">
        <v>7179</v>
      </c>
      <c r="D59" s="7">
        <v>1989</v>
      </c>
      <c r="E59" s="7" t="s">
        <v>7139</v>
      </c>
      <c r="F59" s="7" t="s">
        <v>2656</v>
      </c>
      <c r="G59" s="7" t="s">
        <v>7181</v>
      </c>
      <c r="H59" s="7" t="s">
        <v>7141</v>
      </c>
      <c r="I59" s="7" t="s">
        <v>7142</v>
      </c>
      <c r="J59" s="7" t="s">
        <v>8543</v>
      </c>
    </row>
    <row r="60" spans="1:10">
      <c r="A60" s="7" t="s">
        <v>2657</v>
      </c>
      <c r="B60" s="7" t="s">
        <v>563</v>
      </c>
      <c r="C60" s="2" t="s">
        <v>7138</v>
      </c>
      <c r="D60" s="2">
        <v>1964</v>
      </c>
      <c r="E60" s="2" t="s">
        <v>7139</v>
      </c>
      <c r="F60" s="2" t="s">
        <v>566</v>
      </c>
      <c r="G60" s="2" t="s">
        <v>7140</v>
      </c>
      <c r="H60" s="2" t="s">
        <v>7225</v>
      </c>
      <c r="I60" s="7" t="s">
        <v>7142</v>
      </c>
      <c r="J60" s="7" t="s">
        <v>8545</v>
      </c>
    </row>
    <row r="61" spans="1:10">
      <c r="A61" s="7" t="s">
        <v>2659</v>
      </c>
      <c r="B61" s="7" t="s">
        <v>2086</v>
      </c>
      <c r="C61" s="7" t="s">
        <v>7179</v>
      </c>
      <c r="D61" s="7">
        <v>1971</v>
      </c>
      <c r="E61" s="7" t="s">
        <v>7180</v>
      </c>
      <c r="F61" s="7" t="s">
        <v>2088</v>
      </c>
      <c r="G61" s="7" t="s">
        <v>7140</v>
      </c>
      <c r="H61" s="7" t="s">
        <v>7141</v>
      </c>
      <c r="I61" s="7" t="s">
        <v>7142</v>
      </c>
      <c r="J61" s="7" t="s">
        <v>8546</v>
      </c>
    </row>
    <row r="62" spans="1:10">
      <c r="A62" s="7" t="s">
        <v>2661</v>
      </c>
      <c r="B62" s="7" t="s">
        <v>2086</v>
      </c>
      <c r="C62" s="7" t="s">
        <v>7138</v>
      </c>
      <c r="D62" s="7">
        <v>2001</v>
      </c>
      <c r="E62" s="7" t="s">
        <v>7180</v>
      </c>
      <c r="F62" s="7" t="s">
        <v>2662</v>
      </c>
      <c r="G62" s="7" t="s">
        <v>7192</v>
      </c>
      <c r="H62" s="7" t="s">
        <v>7182</v>
      </c>
      <c r="I62" s="7" t="s">
        <v>7143</v>
      </c>
    </row>
    <row r="63" spans="1:10">
      <c r="A63" s="7" t="s">
        <v>2663</v>
      </c>
      <c r="B63" s="7" t="s">
        <v>2241</v>
      </c>
      <c r="C63" s="7" t="s">
        <v>7138</v>
      </c>
      <c r="D63" s="7">
        <v>1976</v>
      </c>
      <c r="E63" s="7" t="s">
        <v>7180</v>
      </c>
      <c r="F63" s="7" t="s">
        <v>2243</v>
      </c>
      <c r="G63" s="7" t="s">
        <v>7140</v>
      </c>
      <c r="H63" s="7" t="s">
        <v>7182</v>
      </c>
      <c r="I63" s="7" t="s">
        <v>7142</v>
      </c>
      <c r="J63" s="7" t="s">
        <v>8533</v>
      </c>
    </row>
    <row r="64" spans="1:10">
      <c r="A64" s="7" t="s">
        <v>2664</v>
      </c>
      <c r="B64" s="7" t="s">
        <v>2241</v>
      </c>
      <c r="C64" s="7" t="s">
        <v>7179</v>
      </c>
      <c r="D64" s="7">
        <v>1982</v>
      </c>
      <c r="E64" s="7" t="s">
        <v>7180</v>
      </c>
      <c r="F64" s="7" t="s">
        <v>2665</v>
      </c>
      <c r="G64" s="7" t="s">
        <v>7181</v>
      </c>
      <c r="H64" s="7" t="s">
        <v>7182</v>
      </c>
      <c r="I64" s="7" t="s">
        <v>7142</v>
      </c>
      <c r="J64" s="7" t="s">
        <v>8547</v>
      </c>
    </row>
    <row r="65" spans="1:10">
      <c r="A65" s="7" t="s">
        <v>2667</v>
      </c>
      <c r="B65" s="7" t="s">
        <v>2271</v>
      </c>
      <c r="C65" s="7" t="s">
        <v>7179</v>
      </c>
      <c r="D65" s="7">
        <v>1982</v>
      </c>
      <c r="E65" s="7" t="s">
        <v>7490</v>
      </c>
      <c r="F65" s="7" t="s">
        <v>2668</v>
      </c>
      <c r="G65" s="7" t="s">
        <v>7181</v>
      </c>
      <c r="H65" s="7" t="s">
        <v>7225</v>
      </c>
      <c r="I65" s="7" t="s">
        <v>7142</v>
      </c>
      <c r="J65" s="7" t="s">
        <v>8535</v>
      </c>
    </row>
    <row r="66" spans="1:10">
      <c r="A66" s="7" t="s">
        <v>2669</v>
      </c>
      <c r="B66" s="7" t="s">
        <v>2271</v>
      </c>
      <c r="C66" s="7" t="s">
        <v>7138</v>
      </c>
      <c r="D66" s="7">
        <v>1988</v>
      </c>
      <c r="E66" s="7" t="s">
        <v>7490</v>
      </c>
      <c r="F66" s="7" t="s">
        <v>2670</v>
      </c>
      <c r="G66" s="7" t="s">
        <v>7140</v>
      </c>
      <c r="H66" s="7" t="s">
        <v>7182</v>
      </c>
      <c r="I66" s="7" t="s">
        <v>7142</v>
      </c>
      <c r="J66" s="7" t="s">
        <v>8543</v>
      </c>
    </row>
    <row r="67" spans="1:10">
      <c r="A67" s="7" t="s">
        <v>2671</v>
      </c>
      <c r="B67" s="7" t="s">
        <v>2358</v>
      </c>
      <c r="C67" s="7" t="s">
        <v>7138</v>
      </c>
      <c r="D67" s="7">
        <v>1999</v>
      </c>
      <c r="E67" s="7" t="s">
        <v>7490</v>
      </c>
      <c r="F67" s="7" t="s">
        <v>2361</v>
      </c>
      <c r="G67" s="7" t="s">
        <v>7140</v>
      </c>
      <c r="H67" s="7" t="s">
        <v>7225</v>
      </c>
      <c r="I67" s="7" t="s">
        <v>7142</v>
      </c>
      <c r="J67" s="7" t="s">
        <v>8529</v>
      </c>
    </row>
    <row r="68" spans="1:10">
      <c r="A68" s="7" t="s">
        <v>2672</v>
      </c>
      <c r="B68" s="7" t="s">
        <v>2369</v>
      </c>
      <c r="C68" s="7" t="s">
        <v>7179</v>
      </c>
      <c r="D68" s="7">
        <v>1992</v>
      </c>
      <c r="E68" s="7" t="s">
        <v>7490</v>
      </c>
      <c r="F68" s="7" t="s">
        <v>2373</v>
      </c>
      <c r="G68" s="7" t="s">
        <v>7140</v>
      </c>
      <c r="H68" s="7" t="s">
        <v>7225</v>
      </c>
      <c r="I68" s="7" t="s">
        <v>7142</v>
      </c>
      <c r="J68" s="7" t="s">
        <v>8529</v>
      </c>
    </row>
    <row r="69" spans="1:10">
      <c r="A69" s="7" t="s">
        <v>2673</v>
      </c>
      <c r="B69" s="7" t="s">
        <v>2369</v>
      </c>
      <c r="C69" s="7" t="s">
        <v>7179</v>
      </c>
      <c r="D69" s="7">
        <v>2020</v>
      </c>
      <c r="E69" s="7" t="s">
        <v>7490</v>
      </c>
      <c r="F69" s="7" t="s">
        <v>2674</v>
      </c>
      <c r="G69" s="7" t="s">
        <v>7192</v>
      </c>
      <c r="H69" s="7" t="s">
        <v>7579</v>
      </c>
      <c r="I69" s="7" t="s">
        <v>7143</v>
      </c>
    </row>
    <row r="70" spans="1:10">
      <c r="A70" s="7" t="s">
        <v>2675</v>
      </c>
      <c r="B70" s="7" t="s">
        <v>2369</v>
      </c>
      <c r="C70" s="7" t="s">
        <v>7179</v>
      </c>
      <c r="D70" s="7">
        <v>2018</v>
      </c>
      <c r="E70" s="7" t="s">
        <v>7490</v>
      </c>
      <c r="F70" s="7" t="s">
        <v>2676</v>
      </c>
      <c r="G70" s="7" t="s">
        <v>7192</v>
      </c>
      <c r="H70" s="7" t="s">
        <v>7579</v>
      </c>
      <c r="I70" s="7" t="s">
        <v>7143</v>
      </c>
    </row>
    <row r="71" spans="1:10">
      <c r="A71" s="7" t="s">
        <v>2677</v>
      </c>
      <c r="B71" s="7" t="s">
        <v>2466</v>
      </c>
      <c r="C71" s="7" t="s">
        <v>7179</v>
      </c>
      <c r="E71" s="7" t="s">
        <v>7180</v>
      </c>
      <c r="F71" s="7" t="s">
        <v>2678</v>
      </c>
      <c r="G71" s="7" t="s">
        <v>7181</v>
      </c>
      <c r="H71" s="2" t="s">
        <v>7141</v>
      </c>
      <c r="I71" s="2" t="s">
        <v>7142</v>
      </c>
      <c r="J71" s="2" t="s">
        <v>8538</v>
      </c>
    </row>
    <row r="72" spans="1:10">
      <c r="A72" s="7" t="s">
        <v>2679</v>
      </c>
      <c r="B72" s="7" t="s">
        <v>2470</v>
      </c>
      <c r="C72" s="7" t="s">
        <v>7179</v>
      </c>
      <c r="D72" s="7">
        <v>1975</v>
      </c>
      <c r="E72" s="7" t="s">
        <v>7180</v>
      </c>
      <c r="F72" s="7" t="s">
        <v>2680</v>
      </c>
      <c r="G72" s="7" t="s">
        <v>7181</v>
      </c>
      <c r="H72" s="7" t="s">
        <v>7182</v>
      </c>
      <c r="I72" s="7" t="s">
        <v>7142</v>
      </c>
      <c r="J72" s="7" t="s">
        <v>8548</v>
      </c>
    </row>
    <row r="73" spans="1:10">
      <c r="A73" s="7" t="s">
        <v>2682</v>
      </c>
      <c r="B73" s="7" t="s">
        <v>2523</v>
      </c>
      <c r="C73" s="7" t="s">
        <v>7138</v>
      </c>
      <c r="D73" s="7">
        <v>2008</v>
      </c>
      <c r="E73" s="7" t="s">
        <v>7180</v>
      </c>
      <c r="F73" s="7" t="s">
        <v>2683</v>
      </c>
      <c r="G73" s="7" t="s">
        <v>7192</v>
      </c>
      <c r="H73" s="7" t="s">
        <v>7182</v>
      </c>
      <c r="I73" s="7" t="s">
        <v>7142</v>
      </c>
      <c r="J73" s="7" t="s">
        <v>8549</v>
      </c>
    </row>
    <row r="74" spans="1:10">
      <c r="A74" s="7" t="s">
        <v>2685</v>
      </c>
      <c r="B74" s="7" t="s">
        <v>2523</v>
      </c>
      <c r="C74" s="7" t="s">
        <v>7179</v>
      </c>
      <c r="D74" s="7">
        <v>1975</v>
      </c>
      <c r="E74" s="7" t="s">
        <v>7180</v>
      </c>
      <c r="F74" s="7" t="s">
        <v>2686</v>
      </c>
      <c r="G74" s="7" t="s">
        <v>7181</v>
      </c>
      <c r="H74" s="7" t="s">
        <v>7141</v>
      </c>
      <c r="I74" s="7" t="s">
        <v>7142</v>
      </c>
      <c r="J74" s="7" t="s">
        <v>8541</v>
      </c>
    </row>
    <row r="75" spans="1:10">
      <c r="A75" s="7" t="s">
        <v>2687</v>
      </c>
      <c r="B75" s="7" t="s">
        <v>2547</v>
      </c>
      <c r="C75" s="7" t="s">
        <v>7179</v>
      </c>
      <c r="D75" s="7">
        <v>1980</v>
      </c>
      <c r="E75" s="7" t="s">
        <v>7490</v>
      </c>
      <c r="F75" s="7" t="s">
        <v>2688</v>
      </c>
      <c r="G75" s="7" t="s">
        <v>7181</v>
      </c>
      <c r="H75" s="7" t="s">
        <v>7225</v>
      </c>
      <c r="I75" s="7" t="s">
        <v>7142</v>
      </c>
      <c r="J75" s="7" t="s">
        <v>8550</v>
      </c>
    </row>
    <row r="76" spans="1:10">
      <c r="A76" s="7" t="s">
        <v>2690</v>
      </c>
      <c r="B76" s="7" t="s">
        <v>2547</v>
      </c>
      <c r="C76" s="7" t="s">
        <v>7179</v>
      </c>
      <c r="D76" s="7">
        <v>2005</v>
      </c>
      <c r="E76" s="7" t="s">
        <v>7490</v>
      </c>
      <c r="F76" s="7" t="s">
        <v>2691</v>
      </c>
      <c r="G76" s="7" t="s">
        <v>7192</v>
      </c>
      <c r="H76" s="7" t="s">
        <v>7141</v>
      </c>
      <c r="I76" s="7" t="s">
        <v>7142</v>
      </c>
      <c r="J76" s="7" t="s">
        <v>8550</v>
      </c>
    </row>
    <row r="77" spans="1:10">
      <c r="A77" s="7" t="s">
        <v>2692</v>
      </c>
      <c r="B77" s="7" t="s">
        <v>2547</v>
      </c>
      <c r="C77" s="7" t="s">
        <v>7138</v>
      </c>
      <c r="D77" s="7">
        <v>2000</v>
      </c>
      <c r="E77" s="7" t="s">
        <v>7490</v>
      </c>
      <c r="F77" s="7" t="s">
        <v>2693</v>
      </c>
      <c r="G77" s="7" t="s">
        <v>7192</v>
      </c>
      <c r="H77" s="7" t="s">
        <v>7225</v>
      </c>
      <c r="I77" s="7" t="s">
        <v>7142</v>
      </c>
      <c r="J77" s="7" t="s">
        <v>8543</v>
      </c>
    </row>
    <row r="78" spans="1:10">
      <c r="A78" s="7" t="s">
        <v>2694</v>
      </c>
      <c r="B78" s="7" t="s">
        <v>2565</v>
      </c>
      <c r="C78" s="7" t="s">
        <v>7179</v>
      </c>
      <c r="D78" s="7">
        <v>1990</v>
      </c>
      <c r="E78" s="7" t="s">
        <v>7490</v>
      </c>
      <c r="F78" s="7" t="s">
        <v>2695</v>
      </c>
      <c r="G78" s="7" t="s">
        <v>7181</v>
      </c>
      <c r="H78" s="7" t="s">
        <v>7225</v>
      </c>
      <c r="I78" s="7" t="s">
        <v>7142</v>
      </c>
      <c r="J78" s="7" t="s">
        <v>8541</v>
      </c>
    </row>
    <row r="79" spans="1:10">
      <c r="A79" s="7" t="s">
        <v>2696</v>
      </c>
      <c r="B79" s="7" t="s">
        <v>2565</v>
      </c>
      <c r="C79" s="7" t="s">
        <v>7179</v>
      </c>
      <c r="D79" s="7">
        <v>2016</v>
      </c>
      <c r="E79" s="7" t="s">
        <v>7490</v>
      </c>
      <c r="F79" s="7" t="s">
        <v>2697</v>
      </c>
      <c r="G79" s="7" t="s">
        <v>7192</v>
      </c>
      <c r="H79" s="7" t="s">
        <v>7141</v>
      </c>
      <c r="I79" s="7" t="s">
        <v>7143</v>
      </c>
    </row>
    <row r="80" spans="1:10">
      <c r="A80" s="7" t="s">
        <v>2698</v>
      </c>
      <c r="B80" s="7" t="s">
        <v>2565</v>
      </c>
      <c r="C80" s="7" t="s">
        <v>7138</v>
      </c>
      <c r="D80" s="7">
        <v>2009</v>
      </c>
      <c r="E80" s="7" t="s">
        <v>7490</v>
      </c>
      <c r="F80" s="7" t="s">
        <v>2699</v>
      </c>
      <c r="G80" s="7" t="s">
        <v>7192</v>
      </c>
      <c r="H80" s="7" t="s">
        <v>7182</v>
      </c>
      <c r="I80" s="7" t="s">
        <v>7143</v>
      </c>
    </row>
    <row r="81" spans="1:10">
      <c r="A81" s="2" t="s">
        <v>2700</v>
      </c>
      <c r="B81" s="2" t="s">
        <v>292</v>
      </c>
      <c r="C81" s="2" t="s">
        <v>7179</v>
      </c>
      <c r="D81" s="2">
        <v>1979</v>
      </c>
      <c r="E81" s="2" t="s">
        <v>7139</v>
      </c>
      <c r="F81" s="2" t="s">
        <v>2701</v>
      </c>
      <c r="G81" s="2" t="s">
        <v>7181</v>
      </c>
      <c r="H81" s="2" t="s">
        <v>7395</v>
      </c>
      <c r="I81" s="2" t="s">
        <v>7142</v>
      </c>
      <c r="J81" s="2" t="s">
        <v>8541</v>
      </c>
    </row>
    <row r="82" spans="1:10">
      <c r="A82" s="2" t="s">
        <v>2702</v>
      </c>
      <c r="B82" s="2" t="s">
        <v>305</v>
      </c>
      <c r="C82" s="2" t="s">
        <v>7179</v>
      </c>
      <c r="D82" s="2">
        <v>1962</v>
      </c>
      <c r="E82" s="2" t="s">
        <v>7139</v>
      </c>
      <c r="F82" s="2" t="s">
        <v>2703</v>
      </c>
      <c r="G82" s="2" t="s">
        <v>7181</v>
      </c>
      <c r="H82" s="2" t="s">
        <v>7395</v>
      </c>
      <c r="I82" s="2" t="s">
        <v>7142</v>
      </c>
      <c r="J82" s="2" t="s">
        <v>8541</v>
      </c>
    </row>
    <row r="83" spans="1:10">
      <c r="A83" s="2" t="s">
        <v>2704</v>
      </c>
      <c r="B83" s="2" t="s">
        <v>799</v>
      </c>
      <c r="C83" s="2" t="s">
        <v>7179</v>
      </c>
      <c r="D83" s="2">
        <v>2001</v>
      </c>
      <c r="E83" s="2" t="s">
        <v>7139</v>
      </c>
      <c r="F83" s="2" t="s">
        <v>2705</v>
      </c>
      <c r="G83" s="2" t="s">
        <v>7181</v>
      </c>
      <c r="H83" s="2" t="s">
        <v>7141</v>
      </c>
      <c r="I83" s="2" t="s">
        <v>7142</v>
      </c>
      <c r="J83" s="2" t="s">
        <v>8540</v>
      </c>
    </row>
    <row r="84" spans="1:10">
      <c r="A84" s="2" t="s">
        <v>2706</v>
      </c>
      <c r="B84" s="2" t="s">
        <v>349</v>
      </c>
      <c r="C84" s="2" t="s">
        <v>7138</v>
      </c>
      <c r="D84" s="2">
        <v>1988</v>
      </c>
      <c r="E84" s="2" t="s">
        <v>7139</v>
      </c>
      <c r="F84" s="2" t="s">
        <v>351</v>
      </c>
      <c r="G84" s="2" t="s">
        <v>7140</v>
      </c>
      <c r="H84" s="2" t="s">
        <v>7141</v>
      </c>
      <c r="I84" s="2" t="s">
        <v>7142</v>
      </c>
      <c r="J84" s="2" t="s">
        <v>8543</v>
      </c>
    </row>
    <row r="85" spans="1:10">
      <c r="A85" s="2" t="s">
        <v>2707</v>
      </c>
      <c r="B85" s="2" t="s">
        <v>820</v>
      </c>
      <c r="C85" s="2" t="s">
        <v>7179</v>
      </c>
      <c r="D85" s="2">
        <v>2001</v>
      </c>
      <c r="E85" s="2" t="s">
        <v>7139</v>
      </c>
      <c r="F85" s="2" t="s">
        <v>2708</v>
      </c>
      <c r="G85" s="2" t="s">
        <v>7181</v>
      </c>
      <c r="H85" s="2" t="s">
        <v>7141</v>
      </c>
      <c r="I85" s="2" t="s">
        <v>7142</v>
      </c>
      <c r="J85" s="2" t="s">
        <v>8540</v>
      </c>
    </row>
    <row r="86" spans="1:10">
      <c r="A86" s="2" t="s">
        <v>2709</v>
      </c>
      <c r="B86" s="2" t="s">
        <v>820</v>
      </c>
      <c r="C86" s="2" t="s">
        <v>7179</v>
      </c>
      <c r="D86" s="2">
        <v>2021</v>
      </c>
      <c r="E86" s="2" t="s">
        <v>7139</v>
      </c>
      <c r="F86" s="2" t="s">
        <v>2710</v>
      </c>
      <c r="G86" s="2" t="s">
        <v>7192</v>
      </c>
      <c r="H86" s="2" t="s">
        <v>7579</v>
      </c>
      <c r="I86" s="2" t="s">
        <v>7143</v>
      </c>
    </row>
    <row r="87" spans="1:10">
      <c r="A87" s="2" t="s">
        <v>2711</v>
      </c>
      <c r="B87" s="2" t="s">
        <v>919</v>
      </c>
      <c r="C87" s="2" t="s">
        <v>7179</v>
      </c>
      <c r="D87" s="2">
        <v>2008</v>
      </c>
      <c r="E87" s="2" t="s">
        <v>7139</v>
      </c>
      <c r="F87" s="2" t="s">
        <v>2712</v>
      </c>
      <c r="G87" s="2" t="s">
        <v>7192</v>
      </c>
      <c r="H87" s="2" t="s">
        <v>7141</v>
      </c>
      <c r="I87" s="2" t="s">
        <v>7142</v>
      </c>
      <c r="J87" s="2" t="s">
        <v>8540</v>
      </c>
    </row>
    <row r="88" spans="1:10">
      <c r="A88" s="2" t="s">
        <v>2713</v>
      </c>
      <c r="B88" s="2" t="s">
        <v>919</v>
      </c>
      <c r="C88" s="2" t="s">
        <v>7179</v>
      </c>
      <c r="D88" s="2">
        <v>1984</v>
      </c>
      <c r="E88" s="2" t="s">
        <v>7139</v>
      </c>
      <c r="F88" s="2" t="s">
        <v>921</v>
      </c>
      <c r="G88" s="2" t="s">
        <v>7181</v>
      </c>
      <c r="H88" s="2" t="s">
        <v>7225</v>
      </c>
      <c r="I88" s="2" t="s">
        <v>7142</v>
      </c>
      <c r="J88" s="2" t="s">
        <v>8540</v>
      </c>
    </row>
    <row r="89" spans="1:10">
      <c r="A89" s="2" t="s">
        <v>2714</v>
      </c>
      <c r="B89" s="2" t="s">
        <v>919</v>
      </c>
      <c r="C89" s="2" t="s">
        <v>7138</v>
      </c>
      <c r="D89" s="2">
        <v>2005</v>
      </c>
      <c r="E89" s="2" t="s">
        <v>7139</v>
      </c>
      <c r="F89" s="2" t="s">
        <v>2715</v>
      </c>
      <c r="G89" s="2" t="s">
        <v>7192</v>
      </c>
      <c r="H89" s="2" t="s">
        <v>7141</v>
      </c>
      <c r="I89" s="2" t="s">
        <v>7142</v>
      </c>
      <c r="J89" s="2" t="s">
        <v>8551</v>
      </c>
    </row>
    <row r="90" spans="1:10">
      <c r="A90" s="2" t="s">
        <v>2717</v>
      </c>
      <c r="B90" s="2" t="s">
        <v>936</v>
      </c>
      <c r="C90" s="2" t="s">
        <v>7179</v>
      </c>
      <c r="D90" s="2">
        <v>2000</v>
      </c>
      <c r="E90" s="2" t="s">
        <v>7139</v>
      </c>
      <c r="F90" s="2" t="s">
        <v>938</v>
      </c>
      <c r="G90" s="2" t="s">
        <v>7181</v>
      </c>
      <c r="H90" s="2" t="s">
        <v>7141</v>
      </c>
      <c r="I90" s="2" t="s">
        <v>7142</v>
      </c>
      <c r="J90" s="2" t="s">
        <v>8540</v>
      </c>
    </row>
    <row r="91" spans="1:10">
      <c r="A91" s="2" t="s">
        <v>2718</v>
      </c>
      <c r="B91" s="2" t="s">
        <v>936</v>
      </c>
      <c r="C91" s="2" t="s">
        <v>7138</v>
      </c>
      <c r="D91" s="2">
        <v>2022</v>
      </c>
      <c r="E91" s="2" t="s">
        <v>7139</v>
      </c>
      <c r="F91" s="2" t="s">
        <v>2719</v>
      </c>
      <c r="G91" s="2" t="s">
        <v>7192</v>
      </c>
      <c r="H91" s="2" t="s">
        <v>7579</v>
      </c>
      <c r="I91" s="2" t="s">
        <v>7143</v>
      </c>
    </row>
    <row r="92" spans="1:10">
      <c r="A92" s="2" t="s">
        <v>2720</v>
      </c>
      <c r="B92" s="2" t="s">
        <v>936</v>
      </c>
      <c r="C92" s="2" t="s">
        <v>7179</v>
      </c>
      <c r="D92" s="2">
        <v>2019</v>
      </c>
      <c r="E92" s="2" t="s">
        <v>7139</v>
      </c>
      <c r="F92" s="2" t="s">
        <v>2721</v>
      </c>
      <c r="G92" s="2" t="s">
        <v>7192</v>
      </c>
      <c r="H92" s="2" t="s">
        <v>7225</v>
      </c>
      <c r="I92" s="2" t="s">
        <v>7143</v>
      </c>
    </row>
    <row r="93" spans="1:10">
      <c r="A93" s="2" t="s">
        <v>2722</v>
      </c>
      <c r="B93" s="2" t="s">
        <v>2547</v>
      </c>
      <c r="C93" s="2" t="s">
        <v>7138</v>
      </c>
      <c r="D93" s="2">
        <v>1980</v>
      </c>
      <c r="E93" s="2" t="s">
        <v>7490</v>
      </c>
      <c r="F93" s="2" t="s">
        <v>2549</v>
      </c>
      <c r="G93" s="2" t="s">
        <v>7140</v>
      </c>
      <c r="H93" s="2" t="s">
        <v>7225</v>
      </c>
      <c r="I93" s="2" t="s">
        <v>7142</v>
      </c>
      <c r="J93" s="2" t="s">
        <v>8543</v>
      </c>
    </row>
    <row r="94" spans="1:10">
      <c r="A94" s="2" t="s">
        <v>2723</v>
      </c>
      <c r="B94" s="2" t="s">
        <v>2523</v>
      </c>
      <c r="C94" s="2" t="s">
        <v>7138</v>
      </c>
      <c r="D94" s="2">
        <v>1962</v>
      </c>
      <c r="E94" s="2" t="s">
        <v>7180</v>
      </c>
      <c r="F94" s="2" t="s">
        <v>2525</v>
      </c>
      <c r="G94" s="2" t="s">
        <v>7140</v>
      </c>
      <c r="H94" s="2" t="s">
        <v>7141</v>
      </c>
      <c r="I94" s="2" t="s">
        <v>7142</v>
      </c>
      <c r="J94" s="2" t="s">
        <v>8543</v>
      </c>
    </row>
    <row r="95" spans="1:10">
      <c r="A95" s="2" t="s">
        <v>2724</v>
      </c>
      <c r="B95" s="2" t="s">
        <v>364</v>
      </c>
      <c r="C95" s="2" t="s">
        <v>7179</v>
      </c>
      <c r="D95" s="2">
        <v>1959</v>
      </c>
      <c r="E95" s="2" t="s">
        <v>7139</v>
      </c>
      <c r="F95" s="2" t="s">
        <v>2725</v>
      </c>
      <c r="G95" s="2" t="s">
        <v>7181</v>
      </c>
      <c r="H95" s="2" t="s">
        <v>7395</v>
      </c>
      <c r="I95" s="2" t="s">
        <v>7142</v>
      </c>
      <c r="J95" s="2" t="s">
        <v>8541</v>
      </c>
    </row>
    <row r="96" spans="1:10">
      <c r="A96" s="2" t="s">
        <v>2726</v>
      </c>
      <c r="B96" s="2" t="s">
        <v>2497</v>
      </c>
      <c r="C96" s="2" t="s">
        <v>7138</v>
      </c>
      <c r="D96" s="2">
        <v>1971</v>
      </c>
      <c r="E96" s="2" t="s">
        <v>7180</v>
      </c>
      <c r="F96" s="2" t="s">
        <v>2499</v>
      </c>
      <c r="G96" s="2" t="s">
        <v>7140</v>
      </c>
      <c r="H96" s="2" t="s">
        <v>7182</v>
      </c>
      <c r="I96" s="2" t="s">
        <v>7142</v>
      </c>
      <c r="J96" s="2" t="s">
        <v>8543</v>
      </c>
    </row>
    <row r="97" spans="1:10">
      <c r="A97" s="2" t="s">
        <v>2727</v>
      </c>
      <c r="B97" s="2" t="s">
        <v>2497</v>
      </c>
      <c r="C97" s="2" t="s">
        <v>7138</v>
      </c>
      <c r="D97" s="2">
        <v>2001</v>
      </c>
      <c r="E97" s="2" t="s">
        <v>7180</v>
      </c>
      <c r="F97" s="2" t="s">
        <v>2728</v>
      </c>
      <c r="G97" s="2" t="s">
        <v>7192</v>
      </c>
      <c r="H97" s="2" t="s">
        <v>7182</v>
      </c>
      <c r="I97" s="2" t="s">
        <v>7143</v>
      </c>
    </row>
    <row r="98" spans="1:10">
      <c r="A98" s="2" t="s">
        <v>2729</v>
      </c>
      <c r="B98" s="2" t="s">
        <v>2497</v>
      </c>
      <c r="C98" s="2" t="s">
        <v>7179</v>
      </c>
      <c r="D98" s="2">
        <v>1975</v>
      </c>
      <c r="E98" s="2" t="s">
        <v>7180</v>
      </c>
      <c r="F98" s="2" t="s">
        <v>1933</v>
      </c>
      <c r="H98" s="2" t="s">
        <v>7182</v>
      </c>
      <c r="I98" s="2" t="s">
        <v>7142</v>
      </c>
      <c r="J98" s="2" t="s">
        <v>8550</v>
      </c>
    </row>
    <row r="99" spans="1:10">
      <c r="A99" s="2" t="s">
        <v>2730</v>
      </c>
      <c r="B99" s="2" t="s">
        <v>2486</v>
      </c>
      <c r="C99" s="2" t="s">
        <v>7179</v>
      </c>
      <c r="D99" s="2">
        <v>1986</v>
      </c>
      <c r="E99" s="2" t="s">
        <v>7180</v>
      </c>
      <c r="F99" s="2" t="s">
        <v>2731</v>
      </c>
      <c r="G99" s="2" t="s">
        <v>7181</v>
      </c>
      <c r="H99" s="2" t="s">
        <v>7182</v>
      </c>
      <c r="I99" s="2" t="s">
        <v>7142</v>
      </c>
      <c r="J99" s="2" t="s">
        <v>8550</v>
      </c>
    </row>
    <row r="100" spans="1:10">
      <c r="A100" s="2" t="s">
        <v>2732</v>
      </c>
      <c r="B100" s="2" t="s">
        <v>2486</v>
      </c>
      <c r="C100" s="2" t="s">
        <v>7179</v>
      </c>
      <c r="D100" s="2">
        <v>2009</v>
      </c>
      <c r="E100" s="2" t="s">
        <v>7180</v>
      </c>
      <c r="F100" s="2" t="s">
        <v>2733</v>
      </c>
      <c r="G100" s="2" t="s">
        <v>7192</v>
      </c>
      <c r="H100" s="2" t="s">
        <v>7579</v>
      </c>
      <c r="I100" s="2" t="s">
        <v>7143</v>
      </c>
    </row>
    <row r="101" spans="1:10">
      <c r="A101" s="2" t="s">
        <v>2734</v>
      </c>
      <c r="B101" s="2" t="s">
        <v>2486</v>
      </c>
      <c r="C101" s="2" t="s">
        <v>7138</v>
      </c>
      <c r="D101" s="2">
        <v>1978</v>
      </c>
      <c r="E101" s="2" t="s">
        <v>7180</v>
      </c>
      <c r="F101" s="2" t="s">
        <v>2488</v>
      </c>
      <c r="G101" s="2" t="s">
        <v>7140</v>
      </c>
      <c r="H101" s="2" t="s">
        <v>7182</v>
      </c>
      <c r="I101" s="2" t="s">
        <v>7142</v>
      </c>
      <c r="J101" s="2" t="s">
        <v>8543</v>
      </c>
    </row>
    <row r="102" spans="1:10">
      <c r="A102" s="2" t="s">
        <v>2735</v>
      </c>
      <c r="B102" s="2" t="s">
        <v>2470</v>
      </c>
      <c r="C102" s="2" t="s">
        <v>7138</v>
      </c>
      <c r="D102" s="2">
        <v>1971</v>
      </c>
      <c r="E102" s="2" t="s">
        <v>7180</v>
      </c>
      <c r="F102" s="2" t="s">
        <v>2472</v>
      </c>
      <c r="H102" s="2" t="s">
        <v>7141</v>
      </c>
      <c r="I102" s="2" t="s">
        <v>7142</v>
      </c>
      <c r="J102" s="2" t="s">
        <v>8552</v>
      </c>
    </row>
    <row r="103" spans="1:10">
      <c r="A103" s="2" t="s">
        <v>2737</v>
      </c>
      <c r="B103" s="2" t="s">
        <v>368</v>
      </c>
      <c r="C103" s="2" t="s">
        <v>7179</v>
      </c>
      <c r="D103" s="2">
        <v>1988</v>
      </c>
      <c r="E103" s="2" t="s">
        <v>7139</v>
      </c>
      <c r="F103" s="2" t="s">
        <v>371</v>
      </c>
      <c r="G103" s="2" t="s">
        <v>7140</v>
      </c>
      <c r="H103" s="2" t="s">
        <v>7225</v>
      </c>
      <c r="I103" s="2" t="s">
        <v>7142</v>
      </c>
      <c r="J103" s="2" t="s">
        <v>8541</v>
      </c>
    </row>
    <row r="104" spans="1:10">
      <c r="A104" s="2" t="s">
        <v>2738</v>
      </c>
      <c r="B104" s="2" t="s">
        <v>283</v>
      </c>
      <c r="C104" s="2" t="s">
        <v>7138</v>
      </c>
      <c r="D104" s="2">
        <v>1974</v>
      </c>
      <c r="E104" s="2" t="s">
        <v>7139</v>
      </c>
      <c r="F104" s="2" t="s">
        <v>2739</v>
      </c>
      <c r="G104" s="2" t="s">
        <v>7181</v>
      </c>
      <c r="H104" s="2" t="s">
        <v>7225</v>
      </c>
      <c r="I104" s="2" t="s">
        <v>7142</v>
      </c>
      <c r="J104" s="2" t="s">
        <v>8543</v>
      </c>
    </row>
    <row r="105" spans="1:10">
      <c r="A105" s="2" t="s">
        <v>2740</v>
      </c>
      <c r="B105" s="2" t="s">
        <v>588</v>
      </c>
      <c r="C105" s="2" t="s">
        <v>7179</v>
      </c>
      <c r="D105" s="2">
        <v>2001</v>
      </c>
      <c r="E105" s="2" t="s">
        <v>7139</v>
      </c>
      <c r="F105" s="2" t="s">
        <v>2741</v>
      </c>
      <c r="G105" s="2" t="s">
        <v>7192</v>
      </c>
      <c r="H105" s="2" t="s">
        <v>7182</v>
      </c>
      <c r="I105" s="2" t="s">
        <v>7142</v>
      </c>
      <c r="J105" s="2" t="s">
        <v>8553</v>
      </c>
    </row>
    <row r="106" spans="1:10">
      <c r="A106" s="2" t="s">
        <v>2743</v>
      </c>
      <c r="B106" s="2" t="s">
        <v>588</v>
      </c>
      <c r="C106" s="2" t="s">
        <v>7138</v>
      </c>
      <c r="D106" s="2">
        <v>1978</v>
      </c>
      <c r="E106" s="2" t="s">
        <v>7139</v>
      </c>
      <c r="F106" s="2" t="s">
        <v>593</v>
      </c>
      <c r="G106" s="2" t="s">
        <v>7181</v>
      </c>
      <c r="H106" s="2" t="s">
        <v>7141</v>
      </c>
      <c r="I106" s="2" t="s">
        <v>7142</v>
      </c>
      <c r="J106" s="2" t="s">
        <v>8533</v>
      </c>
    </row>
    <row r="107" spans="1:10">
      <c r="A107" s="2" t="s">
        <v>2744</v>
      </c>
      <c r="B107" s="2" t="s">
        <v>2470</v>
      </c>
      <c r="C107" s="2" t="s">
        <v>7138</v>
      </c>
      <c r="D107" s="2">
        <v>2008</v>
      </c>
      <c r="E107" s="2" t="s">
        <v>7180</v>
      </c>
      <c r="F107" s="2" t="s">
        <v>2745</v>
      </c>
      <c r="G107" s="2" t="s">
        <v>7192</v>
      </c>
      <c r="H107" s="2" t="s">
        <v>7182</v>
      </c>
      <c r="I107" s="2" t="s">
        <v>7143</v>
      </c>
    </row>
    <row r="108" spans="1:10">
      <c r="A108" s="2" t="s">
        <v>2746</v>
      </c>
      <c r="B108" s="2" t="s">
        <v>968</v>
      </c>
      <c r="C108" s="2" t="s">
        <v>7179</v>
      </c>
      <c r="D108" s="2">
        <v>1979</v>
      </c>
      <c r="E108" s="2" t="s">
        <v>7139</v>
      </c>
      <c r="F108" s="2" t="s">
        <v>2747</v>
      </c>
      <c r="G108" s="2" t="s">
        <v>7181</v>
      </c>
      <c r="H108" s="2" t="s">
        <v>7225</v>
      </c>
      <c r="I108" s="2" t="s">
        <v>7142</v>
      </c>
      <c r="J108" s="2" t="s">
        <v>8540</v>
      </c>
    </row>
    <row r="109" spans="1:10">
      <c r="A109" s="2" t="s">
        <v>2748</v>
      </c>
      <c r="B109" s="2" t="s">
        <v>968</v>
      </c>
      <c r="C109" s="2" t="s">
        <v>7138</v>
      </c>
      <c r="D109" s="2">
        <v>2009</v>
      </c>
      <c r="E109" s="2" t="s">
        <v>7139</v>
      </c>
      <c r="F109" s="2" t="s">
        <v>971</v>
      </c>
      <c r="G109" s="2" t="s">
        <v>7192</v>
      </c>
      <c r="H109" s="2" t="s">
        <v>7141</v>
      </c>
      <c r="I109" s="2" t="s">
        <v>7142</v>
      </c>
      <c r="J109" s="2" t="s">
        <v>8554</v>
      </c>
    </row>
    <row r="110" spans="1:10">
      <c r="A110" s="2" t="s">
        <v>2750</v>
      </c>
      <c r="B110" s="2" t="s">
        <v>1004</v>
      </c>
      <c r="C110" s="2" t="s">
        <v>7138</v>
      </c>
      <c r="D110" s="2">
        <v>2016</v>
      </c>
      <c r="E110" s="2" t="s">
        <v>7139</v>
      </c>
      <c r="F110" s="2" t="s">
        <v>1387</v>
      </c>
      <c r="G110" s="2" t="s">
        <v>7192</v>
      </c>
      <c r="H110" s="2" t="s">
        <v>7225</v>
      </c>
      <c r="I110" s="2" t="s">
        <v>7143</v>
      </c>
    </row>
    <row r="111" spans="1:10">
      <c r="A111" s="2" t="s">
        <v>2751</v>
      </c>
      <c r="B111" s="2" t="s">
        <v>1004</v>
      </c>
      <c r="C111" s="2" t="s">
        <v>7179</v>
      </c>
      <c r="D111" s="2">
        <v>1995</v>
      </c>
      <c r="E111" s="2" t="s">
        <v>7139</v>
      </c>
      <c r="F111" s="2" t="s">
        <v>2752</v>
      </c>
      <c r="G111" s="2" t="s">
        <v>7181</v>
      </c>
      <c r="H111" s="2" t="s">
        <v>7225</v>
      </c>
      <c r="I111" s="2" t="s">
        <v>7142</v>
      </c>
      <c r="J111" s="2" t="s">
        <v>8540</v>
      </c>
    </row>
    <row r="112" spans="1:10">
      <c r="A112" s="2" t="s">
        <v>2753</v>
      </c>
      <c r="B112" s="2" t="s">
        <v>1004</v>
      </c>
      <c r="C112" s="2" t="s">
        <v>7138</v>
      </c>
      <c r="D112" s="2">
        <v>2012</v>
      </c>
      <c r="E112" s="2" t="s">
        <v>7139</v>
      </c>
      <c r="F112" s="2" t="s">
        <v>2754</v>
      </c>
      <c r="G112" s="2" t="s">
        <v>7192</v>
      </c>
      <c r="H112" s="2" t="s">
        <v>7141</v>
      </c>
      <c r="I112" s="2" t="s">
        <v>7143</v>
      </c>
    </row>
    <row r="113" spans="1:10">
      <c r="A113" s="2" t="s">
        <v>2755</v>
      </c>
      <c r="B113" s="2" t="s">
        <v>620</v>
      </c>
      <c r="C113" s="2" t="s">
        <v>7138</v>
      </c>
      <c r="D113" s="2">
        <v>1999</v>
      </c>
      <c r="E113" s="2" t="s">
        <v>7139</v>
      </c>
      <c r="F113" s="2" t="s">
        <v>2756</v>
      </c>
      <c r="G113" s="2" t="s">
        <v>7192</v>
      </c>
      <c r="H113" s="2" t="s">
        <v>7141</v>
      </c>
      <c r="I113" s="2" t="s">
        <v>7142</v>
      </c>
      <c r="J113" s="2" t="s">
        <v>8530</v>
      </c>
    </row>
    <row r="114" spans="1:10">
      <c r="A114" s="2" t="s">
        <v>2757</v>
      </c>
      <c r="B114" s="2" t="s">
        <v>588</v>
      </c>
      <c r="C114" s="2" t="s">
        <v>7179</v>
      </c>
      <c r="D114" s="2">
        <v>1979</v>
      </c>
      <c r="E114" s="2" t="s">
        <v>7139</v>
      </c>
      <c r="F114" s="2" t="s">
        <v>592</v>
      </c>
      <c r="G114" s="2" t="s">
        <v>7181</v>
      </c>
      <c r="H114" s="2" t="s">
        <v>7225</v>
      </c>
      <c r="I114" s="2" t="s">
        <v>7142</v>
      </c>
      <c r="J114" s="2" t="s">
        <v>8555</v>
      </c>
    </row>
    <row r="115" spans="1:10">
      <c r="A115" s="2" t="s">
        <v>2759</v>
      </c>
      <c r="B115" s="2" t="s">
        <v>620</v>
      </c>
      <c r="C115" s="2" t="s">
        <v>7138</v>
      </c>
      <c r="D115" s="2">
        <v>1965</v>
      </c>
      <c r="E115" s="2" t="s">
        <v>7139</v>
      </c>
      <c r="F115" s="2" t="s">
        <v>622</v>
      </c>
      <c r="G115" s="2" t="s">
        <v>7140</v>
      </c>
      <c r="H115" s="2" t="s">
        <v>7225</v>
      </c>
      <c r="I115" s="2" t="s">
        <v>7142</v>
      </c>
      <c r="J115" s="2" t="s">
        <v>8533</v>
      </c>
    </row>
    <row r="116" spans="1:10">
      <c r="A116" s="2" t="s">
        <v>2760</v>
      </c>
      <c r="B116" s="2" t="s">
        <v>1016</v>
      </c>
      <c r="C116" s="2" t="s">
        <v>7179</v>
      </c>
      <c r="D116" s="2">
        <v>1998</v>
      </c>
      <c r="E116" s="2" t="s">
        <v>7139</v>
      </c>
      <c r="F116" s="2" t="s">
        <v>2761</v>
      </c>
      <c r="G116" s="2" t="s">
        <v>7192</v>
      </c>
      <c r="H116" s="2" t="s">
        <v>7182</v>
      </c>
      <c r="I116" s="2" t="s">
        <v>7142</v>
      </c>
      <c r="J116" s="2" t="s">
        <v>8540</v>
      </c>
    </row>
    <row r="117" spans="1:10">
      <c r="A117" s="2" t="s">
        <v>2762</v>
      </c>
      <c r="B117" s="2" t="s">
        <v>1016</v>
      </c>
      <c r="C117" s="2" t="s">
        <v>7179</v>
      </c>
      <c r="D117" s="2">
        <v>1972</v>
      </c>
      <c r="E117" s="2" t="s">
        <v>7139</v>
      </c>
      <c r="F117" s="2" t="s">
        <v>1018</v>
      </c>
      <c r="G117" s="2" t="s">
        <v>7181</v>
      </c>
      <c r="H117" s="2" t="s">
        <v>7395</v>
      </c>
      <c r="I117" s="2" t="s">
        <v>7142</v>
      </c>
      <c r="J117" s="2" t="s">
        <v>8540</v>
      </c>
    </row>
    <row r="118" spans="1:10">
      <c r="A118" s="2" t="s">
        <v>2763</v>
      </c>
      <c r="B118" s="2" t="s">
        <v>626</v>
      </c>
      <c r="C118" s="2" t="s">
        <v>7138</v>
      </c>
      <c r="D118" s="2">
        <v>2003</v>
      </c>
      <c r="E118" s="2" t="s">
        <v>7139</v>
      </c>
      <c r="F118" s="2" t="s">
        <v>2764</v>
      </c>
      <c r="G118" s="2" t="s">
        <v>7192</v>
      </c>
      <c r="H118" s="2" t="s">
        <v>7182</v>
      </c>
      <c r="I118" s="2" t="s">
        <v>7142</v>
      </c>
      <c r="J118" s="2" t="s">
        <v>8532</v>
      </c>
    </row>
    <row r="119" spans="1:10">
      <c r="A119" s="2" t="s">
        <v>2765</v>
      </c>
      <c r="B119" s="2" t="s">
        <v>626</v>
      </c>
      <c r="C119" s="2" t="s">
        <v>7179</v>
      </c>
      <c r="D119" s="2">
        <v>1974</v>
      </c>
      <c r="E119" s="2" t="s">
        <v>7139</v>
      </c>
      <c r="F119" s="2" t="s">
        <v>628</v>
      </c>
      <c r="G119" s="2" t="s">
        <v>7181</v>
      </c>
      <c r="H119" s="2" t="s">
        <v>7225</v>
      </c>
      <c r="I119" s="2" t="s">
        <v>7142</v>
      </c>
      <c r="J119" s="2" t="s">
        <v>8556</v>
      </c>
    </row>
    <row r="120" spans="1:10">
      <c r="A120" s="2" t="s">
        <v>2767</v>
      </c>
      <c r="B120" s="2" t="s">
        <v>626</v>
      </c>
      <c r="C120" s="2" t="s">
        <v>7138</v>
      </c>
      <c r="D120" s="2">
        <v>1974</v>
      </c>
      <c r="E120" s="2" t="s">
        <v>7139</v>
      </c>
      <c r="F120" s="2" t="s">
        <v>2768</v>
      </c>
      <c r="G120" s="2" t="s">
        <v>7140</v>
      </c>
      <c r="H120" s="2" t="s">
        <v>7141</v>
      </c>
      <c r="I120" s="2" t="s">
        <v>7142</v>
      </c>
      <c r="J120" s="2" t="s">
        <v>8533</v>
      </c>
    </row>
    <row r="121" spans="1:10">
      <c r="A121" s="2" t="s">
        <v>2769</v>
      </c>
      <c r="B121" s="2" t="s">
        <v>626</v>
      </c>
      <c r="C121" s="2" t="s">
        <v>7138</v>
      </c>
      <c r="D121" s="2">
        <v>1996</v>
      </c>
      <c r="E121" s="2" t="s">
        <v>7139</v>
      </c>
      <c r="F121" s="2" t="s">
        <v>2770</v>
      </c>
      <c r="G121" s="2" t="s">
        <v>7192</v>
      </c>
      <c r="H121" s="2" t="s">
        <v>7141</v>
      </c>
      <c r="I121" s="2" t="s">
        <v>7142</v>
      </c>
      <c r="J121" s="2" t="s">
        <v>8532</v>
      </c>
    </row>
    <row r="122" spans="1:10">
      <c r="A122" s="2" t="s">
        <v>2771</v>
      </c>
      <c r="B122" s="2" t="s">
        <v>626</v>
      </c>
      <c r="C122" s="2" t="s">
        <v>7138</v>
      </c>
      <c r="D122" s="2">
        <v>2009</v>
      </c>
      <c r="E122" s="2" t="s">
        <v>7139</v>
      </c>
      <c r="F122" s="2" t="s">
        <v>2772</v>
      </c>
      <c r="G122" s="2" t="s">
        <v>7192</v>
      </c>
      <c r="H122" s="2" t="s">
        <v>7579</v>
      </c>
      <c r="I122" s="2" t="s">
        <v>7142</v>
      </c>
      <c r="J122" s="2" t="s">
        <v>8531</v>
      </c>
    </row>
    <row r="123" spans="1:10">
      <c r="A123" s="2" t="s">
        <v>2773</v>
      </c>
      <c r="B123" s="2" t="s">
        <v>634</v>
      </c>
      <c r="C123" s="2" t="s">
        <v>7179</v>
      </c>
      <c r="D123" s="2">
        <v>1974</v>
      </c>
      <c r="E123" s="2" t="s">
        <v>7139</v>
      </c>
      <c r="F123" s="2" t="s">
        <v>636</v>
      </c>
      <c r="G123" s="2" t="s">
        <v>7181</v>
      </c>
      <c r="H123" s="2" t="s">
        <v>7395</v>
      </c>
      <c r="I123" s="2" t="s">
        <v>7142</v>
      </c>
      <c r="J123" s="2" t="s">
        <v>8540</v>
      </c>
    </row>
    <row r="124" spans="1:10">
      <c r="A124" s="2" t="s">
        <v>2774</v>
      </c>
      <c r="B124" s="2" t="s">
        <v>634</v>
      </c>
      <c r="C124" s="2" t="s">
        <v>7138</v>
      </c>
      <c r="D124" s="2">
        <v>1964</v>
      </c>
      <c r="E124" s="2" t="s">
        <v>7139</v>
      </c>
      <c r="F124" s="2" t="s">
        <v>2775</v>
      </c>
      <c r="G124" s="2" t="s">
        <v>7140</v>
      </c>
      <c r="H124" s="2" t="s">
        <v>7141</v>
      </c>
      <c r="I124" s="2" t="s">
        <v>7142</v>
      </c>
      <c r="J124" s="2" t="s">
        <v>8531</v>
      </c>
    </row>
    <row r="125" spans="1:10">
      <c r="A125" s="2" t="s">
        <v>2776</v>
      </c>
      <c r="B125" s="2" t="s">
        <v>634</v>
      </c>
      <c r="C125" s="2" t="s">
        <v>7179</v>
      </c>
      <c r="D125" s="2">
        <v>2004</v>
      </c>
      <c r="E125" s="2" t="s">
        <v>7139</v>
      </c>
      <c r="F125" s="2" t="s">
        <v>2777</v>
      </c>
      <c r="G125" s="2" t="s">
        <v>7192</v>
      </c>
      <c r="H125" s="2" t="s">
        <v>7182</v>
      </c>
      <c r="I125" s="2" t="s">
        <v>7142</v>
      </c>
      <c r="J125" s="2" t="s">
        <v>8557</v>
      </c>
    </row>
    <row r="126" spans="1:10">
      <c r="A126" s="2" t="s">
        <v>2779</v>
      </c>
      <c r="B126" s="2" t="s">
        <v>978</v>
      </c>
      <c r="C126" s="2" t="s">
        <v>7138</v>
      </c>
      <c r="D126" s="2">
        <v>1989</v>
      </c>
      <c r="E126" s="2" t="s">
        <v>7139</v>
      </c>
      <c r="F126" s="2" t="s">
        <v>2780</v>
      </c>
      <c r="G126" s="2" t="s">
        <v>7140</v>
      </c>
      <c r="H126" s="2" t="s">
        <v>7141</v>
      </c>
      <c r="I126" s="2" t="s">
        <v>7142</v>
      </c>
      <c r="J126" s="2" t="s">
        <v>8533</v>
      </c>
    </row>
    <row r="127" spans="1:10">
      <c r="A127" s="2" t="s">
        <v>2781</v>
      </c>
      <c r="B127" s="2" t="s">
        <v>634</v>
      </c>
      <c r="C127" s="2" t="s">
        <v>7138</v>
      </c>
      <c r="D127" s="2">
        <v>2010</v>
      </c>
      <c r="E127" s="2" t="s">
        <v>7139</v>
      </c>
      <c r="F127" s="2" t="s">
        <v>2782</v>
      </c>
      <c r="G127" s="2" t="s">
        <v>7192</v>
      </c>
      <c r="H127" s="2" t="s">
        <v>7579</v>
      </c>
      <c r="I127" s="2" t="s">
        <v>7142</v>
      </c>
      <c r="J127" s="2" t="s">
        <v>8558</v>
      </c>
    </row>
    <row r="128" spans="1:10">
      <c r="A128" s="2" t="s">
        <v>2784</v>
      </c>
      <c r="B128" s="2" t="s">
        <v>1062</v>
      </c>
      <c r="C128" s="2" t="s">
        <v>7179</v>
      </c>
      <c r="D128" s="2">
        <v>2011</v>
      </c>
      <c r="E128" s="2" t="s">
        <v>7139</v>
      </c>
      <c r="F128" s="2" t="s">
        <v>2785</v>
      </c>
      <c r="G128" s="2" t="s">
        <v>7192</v>
      </c>
      <c r="H128" s="2" t="s">
        <v>7141</v>
      </c>
      <c r="I128" s="2" t="s">
        <v>7143</v>
      </c>
    </row>
    <row r="129" spans="1:10">
      <c r="A129" s="2" t="s">
        <v>2786</v>
      </c>
      <c r="B129" s="2" t="s">
        <v>1062</v>
      </c>
      <c r="C129" s="2" t="s">
        <v>7179</v>
      </c>
      <c r="D129" s="2">
        <v>2007</v>
      </c>
      <c r="E129" s="2" t="s">
        <v>7139</v>
      </c>
      <c r="F129" s="2" t="s">
        <v>2787</v>
      </c>
      <c r="G129" s="2" t="s">
        <v>7192</v>
      </c>
      <c r="H129" s="2" t="s">
        <v>7141</v>
      </c>
      <c r="I129" s="2" t="s">
        <v>7142</v>
      </c>
      <c r="J129" s="2" t="s">
        <v>8559</v>
      </c>
    </row>
    <row r="130" spans="1:10">
      <c r="A130" s="2" t="s">
        <v>2789</v>
      </c>
      <c r="B130" s="2" t="s">
        <v>1062</v>
      </c>
      <c r="C130" s="2" t="s">
        <v>7179</v>
      </c>
      <c r="D130" s="2">
        <v>1986</v>
      </c>
      <c r="E130" s="2" t="s">
        <v>7139</v>
      </c>
      <c r="F130" s="2" t="s">
        <v>2790</v>
      </c>
      <c r="G130" s="2" t="s">
        <v>7181</v>
      </c>
      <c r="H130" s="2" t="s">
        <v>7395</v>
      </c>
      <c r="I130" s="2" t="s">
        <v>7142</v>
      </c>
      <c r="J130" s="2" t="s">
        <v>8540</v>
      </c>
    </row>
    <row r="131" spans="1:10">
      <c r="A131" s="2" t="s">
        <v>2791</v>
      </c>
      <c r="B131" s="2" t="s">
        <v>639</v>
      </c>
      <c r="C131" s="2" t="s">
        <v>7138</v>
      </c>
      <c r="D131" s="2">
        <v>1958</v>
      </c>
      <c r="E131" s="2" t="s">
        <v>7139</v>
      </c>
      <c r="F131" s="2" t="s">
        <v>643</v>
      </c>
      <c r="G131" s="2" t="s">
        <v>7140</v>
      </c>
      <c r="H131" s="2" t="s">
        <v>7141</v>
      </c>
      <c r="I131" s="2" t="s">
        <v>7142</v>
      </c>
      <c r="J131" s="2" t="s">
        <v>8533</v>
      </c>
    </row>
    <row r="132" spans="1:10">
      <c r="A132" s="2" t="s">
        <v>2792</v>
      </c>
      <c r="B132" s="2" t="s">
        <v>639</v>
      </c>
      <c r="C132" s="2" t="s">
        <v>7138</v>
      </c>
      <c r="D132" s="2">
        <v>1987</v>
      </c>
      <c r="E132" s="2" t="s">
        <v>7139</v>
      </c>
      <c r="F132" s="2" t="s">
        <v>2793</v>
      </c>
      <c r="G132" s="2" t="s">
        <v>7192</v>
      </c>
      <c r="H132" s="2" t="s">
        <v>7182</v>
      </c>
      <c r="I132" s="2" t="s">
        <v>7142</v>
      </c>
      <c r="J132" s="2" t="s">
        <v>8532</v>
      </c>
    </row>
    <row r="133" spans="1:10">
      <c r="A133" s="2" t="s">
        <v>2794</v>
      </c>
      <c r="B133" s="2" t="s">
        <v>639</v>
      </c>
      <c r="C133" s="2" t="s">
        <v>7179</v>
      </c>
      <c r="D133" s="2">
        <v>1979</v>
      </c>
      <c r="E133" s="2" t="s">
        <v>7139</v>
      </c>
      <c r="F133" s="2" t="s">
        <v>2795</v>
      </c>
      <c r="G133" s="2" t="s">
        <v>7192</v>
      </c>
      <c r="H133" s="2" t="s">
        <v>7182</v>
      </c>
      <c r="I133" s="2" t="s">
        <v>7142</v>
      </c>
      <c r="J133" s="2" t="s">
        <v>8532</v>
      </c>
    </row>
    <row r="134" spans="1:10">
      <c r="A134" s="2" t="s">
        <v>2796</v>
      </c>
      <c r="B134" s="2" t="s">
        <v>1072</v>
      </c>
      <c r="C134" s="2" t="s">
        <v>7179</v>
      </c>
      <c r="D134" s="2">
        <v>2018</v>
      </c>
      <c r="E134" s="2" t="s">
        <v>7180</v>
      </c>
      <c r="F134" s="2" t="s">
        <v>2797</v>
      </c>
      <c r="G134" s="2" t="s">
        <v>8451</v>
      </c>
      <c r="H134" s="2" t="s">
        <v>7225</v>
      </c>
      <c r="I134" s="2" t="s">
        <v>7143</v>
      </c>
    </row>
    <row r="135" spans="1:10">
      <c r="A135" s="2" t="s">
        <v>2798</v>
      </c>
      <c r="B135" s="2" t="s">
        <v>648</v>
      </c>
      <c r="C135" s="2" t="s">
        <v>7179</v>
      </c>
      <c r="D135" s="2">
        <v>1991</v>
      </c>
      <c r="E135" s="2" t="s">
        <v>7139</v>
      </c>
      <c r="F135" s="2" t="s">
        <v>2799</v>
      </c>
      <c r="G135" s="2" t="s">
        <v>7192</v>
      </c>
      <c r="H135" s="2" t="s">
        <v>7141</v>
      </c>
      <c r="I135" s="2" t="s">
        <v>7142</v>
      </c>
      <c r="J135" s="2" t="s">
        <v>8555</v>
      </c>
    </row>
    <row r="136" spans="1:10">
      <c r="A136" s="2" t="s">
        <v>2800</v>
      </c>
      <c r="B136" s="2" t="s">
        <v>648</v>
      </c>
      <c r="C136" s="2" t="s">
        <v>7138</v>
      </c>
      <c r="D136" s="2">
        <v>1968</v>
      </c>
      <c r="E136" s="2" t="s">
        <v>7139</v>
      </c>
      <c r="F136" s="2" t="s">
        <v>643</v>
      </c>
      <c r="G136" s="2" t="s">
        <v>7140</v>
      </c>
      <c r="H136" s="2" t="s">
        <v>7141</v>
      </c>
      <c r="I136" s="2" t="s">
        <v>7142</v>
      </c>
      <c r="J136" s="2" t="s">
        <v>8533</v>
      </c>
    </row>
    <row r="137" spans="1:10">
      <c r="A137" s="2" t="s">
        <v>2801</v>
      </c>
      <c r="B137" s="2" t="s">
        <v>648</v>
      </c>
      <c r="C137" s="2" t="s">
        <v>7179</v>
      </c>
      <c r="D137" s="2">
        <v>1972</v>
      </c>
      <c r="E137" s="2" t="s">
        <v>7139</v>
      </c>
      <c r="F137" s="2" t="s">
        <v>650</v>
      </c>
      <c r="G137" s="2" t="s">
        <v>7181</v>
      </c>
      <c r="H137" s="2" t="s">
        <v>7225</v>
      </c>
      <c r="I137" s="2" t="s">
        <v>7142</v>
      </c>
      <c r="J137" s="2" t="s">
        <v>8555</v>
      </c>
    </row>
    <row r="138" spans="1:10">
      <c r="A138" s="2" t="s">
        <v>2802</v>
      </c>
      <c r="B138" s="2" t="s">
        <v>1082</v>
      </c>
      <c r="C138" s="2" t="s">
        <v>7138</v>
      </c>
      <c r="D138" s="2">
        <v>2006</v>
      </c>
      <c r="E138" s="2" t="s">
        <v>7139</v>
      </c>
      <c r="F138" s="2" t="s">
        <v>2803</v>
      </c>
      <c r="G138" s="2" t="s">
        <v>7192</v>
      </c>
      <c r="H138" s="2" t="s">
        <v>7141</v>
      </c>
      <c r="I138" s="2" t="s">
        <v>7142</v>
      </c>
      <c r="J138" s="2" t="s">
        <v>8530</v>
      </c>
    </row>
    <row r="139" spans="1:10">
      <c r="A139" s="2" t="s">
        <v>2804</v>
      </c>
      <c r="B139" s="2" t="s">
        <v>1082</v>
      </c>
      <c r="C139" s="2" t="s">
        <v>7179</v>
      </c>
      <c r="D139" s="2">
        <v>1987</v>
      </c>
      <c r="E139" s="2" t="s">
        <v>7139</v>
      </c>
      <c r="F139" s="2" t="s">
        <v>2805</v>
      </c>
      <c r="G139" s="2" t="s">
        <v>7181</v>
      </c>
      <c r="I139" s="2" t="s">
        <v>7142</v>
      </c>
      <c r="J139" s="2" t="s">
        <v>8540</v>
      </c>
    </row>
    <row r="140" spans="1:10">
      <c r="A140" s="2" t="s">
        <v>2806</v>
      </c>
      <c r="B140" s="2" t="s">
        <v>1082</v>
      </c>
      <c r="C140" s="2" t="s">
        <v>7138</v>
      </c>
      <c r="D140" s="2">
        <v>2008</v>
      </c>
      <c r="E140" s="2" t="s">
        <v>7139</v>
      </c>
      <c r="F140" s="2" t="s">
        <v>2807</v>
      </c>
      <c r="G140" s="2" t="s">
        <v>7192</v>
      </c>
      <c r="H140" s="2" t="s">
        <v>7141</v>
      </c>
      <c r="I140" s="2" t="s">
        <v>7142</v>
      </c>
      <c r="J140" s="2" t="s">
        <v>8560</v>
      </c>
    </row>
    <row r="141" spans="1:10">
      <c r="A141" s="2" t="s">
        <v>2809</v>
      </c>
      <c r="B141" s="2" t="s">
        <v>1082</v>
      </c>
      <c r="C141" s="2" t="s">
        <v>7179</v>
      </c>
      <c r="D141" s="2">
        <v>2012</v>
      </c>
      <c r="E141" s="2" t="s">
        <v>7139</v>
      </c>
      <c r="F141" s="2" t="s">
        <v>2810</v>
      </c>
      <c r="G141" s="2" t="s">
        <v>7192</v>
      </c>
      <c r="H141" s="2" t="s">
        <v>7225</v>
      </c>
      <c r="I141" s="2" t="s">
        <v>7143</v>
      </c>
    </row>
    <row r="142" spans="1:10">
      <c r="A142" s="2" t="s">
        <v>2811</v>
      </c>
      <c r="B142" s="2" t="s">
        <v>1276</v>
      </c>
      <c r="C142" s="2" t="s">
        <v>7138</v>
      </c>
      <c r="E142" s="2" t="s">
        <v>7180</v>
      </c>
      <c r="F142" s="2" t="s">
        <v>2812</v>
      </c>
      <c r="G142" s="2" t="s">
        <v>7192</v>
      </c>
      <c r="H142" s="2" t="s">
        <v>7182</v>
      </c>
      <c r="I142" s="2" t="s">
        <v>7142</v>
      </c>
      <c r="J142" s="2" t="s">
        <v>8561</v>
      </c>
    </row>
    <row r="143" spans="1:10">
      <c r="A143" s="2" t="s">
        <v>2814</v>
      </c>
      <c r="B143" s="2" t="s">
        <v>1276</v>
      </c>
      <c r="C143" s="2" t="s">
        <v>7179</v>
      </c>
      <c r="D143" s="2">
        <v>1996</v>
      </c>
      <c r="E143" s="2" t="s">
        <v>7180</v>
      </c>
      <c r="F143" s="2" t="s">
        <v>1973</v>
      </c>
      <c r="G143" s="2" t="s">
        <v>7192</v>
      </c>
      <c r="H143" s="2" t="s">
        <v>7428</v>
      </c>
      <c r="I143" s="2" t="s">
        <v>7143</v>
      </c>
    </row>
    <row r="144" spans="1:10">
      <c r="A144" s="2" t="s">
        <v>2815</v>
      </c>
      <c r="B144" s="2" t="s">
        <v>1276</v>
      </c>
      <c r="C144" s="2" t="s">
        <v>7138</v>
      </c>
      <c r="E144" s="2" t="s">
        <v>7180</v>
      </c>
      <c r="F144" s="2" t="s">
        <v>2816</v>
      </c>
      <c r="G144" s="2" t="s">
        <v>7192</v>
      </c>
      <c r="H144" s="2" t="s">
        <v>7141</v>
      </c>
      <c r="I144" s="2" t="s">
        <v>7143</v>
      </c>
    </row>
    <row r="145" spans="1:10">
      <c r="A145" s="2" t="s">
        <v>2817</v>
      </c>
      <c r="B145" s="2" t="s">
        <v>1276</v>
      </c>
      <c r="C145" s="2" t="s">
        <v>7138</v>
      </c>
      <c r="D145" s="2">
        <v>1973</v>
      </c>
      <c r="E145" s="2" t="s">
        <v>7180</v>
      </c>
      <c r="F145" s="2" t="s">
        <v>2818</v>
      </c>
      <c r="G145" s="2" t="s">
        <v>7140</v>
      </c>
      <c r="H145" s="2" t="s">
        <v>7141</v>
      </c>
      <c r="I145" s="2" t="s">
        <v>7142</v>
      </c>
      <c r="J145" s="2" t="s">
        <v>8533</v>
      </c>
    </row>
    <row r="146" spans="1:10">
      <c r="A146" s="2" t="s">
        <v>2819</v>
      </c>
      <c r="B146" s="2" t="s">
        <v>1276</v>
      </c>
      <c r="C146" s="2" t="s">
        <v>7179</v>
      </c>
      <c r="D146" s="2">
        <v>1982</v>
      </c>
      <c r="E146" s="2" t="s">
        <v>7180</v>
      </c>
      <c r="F146" s="2" t="s">
        <v>2820</v>
      </c>
      <c r="G146" s="2" t="s">
        <v>7181</v>
      </c>
      <c r="H146" s="2" t="s">
        <v>7141</v>
      </c>
      <c r="I146" s="2" t="s">
        <v>7142</v>
      </c>
      <c r="J146" s="2" t="s">
        <v>8562</v>
      </c>
    </row>
    <row r="147" spans="1:10">
      <c r="A147" s="2" t="s">
        <v>2822</v>
      </c>
      <c r="B147" s="2" t="s">
        <v>1322</v>
      </c>
      <c r="C147" s="2" t="s">
        <v>7138</v>
      </c>
      <c r="D147" s="2">
        <v>2004</v>
      </c>
      <c r="E147" s="2" t="s">
        <v>7180</v>
      </c>
      <c r="F147" s="2" t="s">
        <v>2823</v>
      </c>
      <c r="G147" s="2" t="s">
        <v>7192</v>
      </c>
      <c r="H147" s="2" t="s">
        <v>7182</v>
      </c>
      <c r="I147" s="2" t="s">
        <v>7143</v>
      </c>
    </row>
    <row r="148" spans="1:10">
      <c r="A148" s="2" t="s">
        <v>2824</v>
      </c>
      <c r="B148" s="2" t="s">
        <v>1322</v>
      </c>
      <c r="C148" s="2" t="s">
        <v>7179</v>
      </c>
      <c r="D148" s="2">
        <v>1983</v>
      </c>
      <c r="E148" s="2" t="s">
        <v>7180</v>
      </c>
      <c r="F148" s="2" t="s">
        <v>2825</v>
      </c>
      <c r="G148" s="2" t="s">
        <v>7181</v>
      </c>
      <c r="H148" s="2" t="s">
        <v>7141</v>
      </c>
      <c r="I148" s="2" t="s">
        <v>7142</v>
      </c>
      <c r="J148" s="2" t="s">
        <v>8533</v>
      </c>
    </row>
    <row r="149" spans="1:10">
      <c r="A149" s="2" t="s">
        <v>2826</v>
      </c>
      <c r="B149" s="2" t="s">
        <v>1322</v>
      </c>
      <c r="C149" s="2" t="s">
        <v>7179</v>
      </c>
      <c r="D149" s="2">
        <v>2002</v>
      </c>
      <c r="E149" s="2" t="s">
        <v>7180</v>
      </c>
      <c r="F149" s="2" t="s">
        <v>2827</v>
      </c>
      <c r="G149" s="2" t="s">
        <v>7192</v>
      </c>
      <c r="H149" s="2" t="s">
        <v>7182</v>
      </c>
      <c r="I149" s="2" t="s">
        <v>7143</v>
      </c>
    </row>
    <row r="150" spans="1:10">
      <c r="A150" s="2" t="s">
        <v>2828</v>
      </c>
      <c r="B150" s="2" t="s">
        <v>1322</v>
      </c>
      <c r="C150" s="2" t="s">
        <v>7138</v>
      </c>
      <c r="D150" s="2">
        <v>2019</v>
      </c>
      <c r="E150" s="2" t="s">
        <v>7180</v>
      </c>
      <c r="F150" s="2" t="s">
        <v>2829</v>
      </c>
      <c r="G150" s="2" t="s">
        <v>7192</v>
      </c>
      <c r="H150" s="2" t="s">
        <v>7428</v>
      </c>
      <c r="I150" s="2" t="s">
        <v>7143</v>
      </c>
    </row>
    <row r="151" spans="1:10">
      <c r="A151" s="2" t="s">
        <v>2830</v>
      </c>
      <c r="B151" s="2" t="s">
        <v>1322</v>
      </c>
      <c r="C151" s="2" t="s">
        <v>7138</v>
      </c>
      <c r="D151" s="2">
        <v>1978</v>
      </c>
      <c r="E151" s="2" t="s">
        <v>7180</v>
      </c>
      <c r="F151" s="2" t="s">
        <v>1324</v>
      </c>
      <c r="G151" s="2" t="s">
        <v>7140</v>
      </c>
      <c r="H151" s="2" t="s">
        <v>7141</v>
      </c>
      <c r="I151" s="2" t="s">
        <v>7142</v>
      </c>
      <c r="J151" s="2" t="s">
        <v>8533</v>
      </c>
    </row>
    <row r="152" spans="1:10">
      <c r="A152" s="2" t="s">
        <v>2831</v>
      </c>
      <c r="B152" s="2" t="s">
        <v>1354</v>
      </c>
      <c r="C152" s="2" t="s">
        <v>7179</v>
      </c>
      <c r="D152" s="2">
        <v>2011</v>
      </c>
      <c r="E152" s="2" t="s">
        <v>7180</v>
      </c>
      <c r="F152" s="2" t="s">
        <v>2832</v>
      </c>
      <c r="G152" s="2" t="s">
        <v>7192</v>
      </c>
      <c r="H152" s="2" t="s">
        <v>7141</v>
      </c>
      <c r="I152" s="2" t="s">
        <v>7142</v>
      </c>
      <c r="J152" s="2" t="s">
        <v>8563</v>
      </c>
    </row>
    <row r="153" spans="1:10">
      <c r="A153" s="2" t="s">
        <v>2834</v>
      </c>
      <c r="B153" s="2" t="s">
        <v>1354</v>
      </c>
      <c r="C153" s="2" t="s">
        <v>7138</v>
      </c>
      <c r="D153" s="2">
        <v>1981</v>
      </c>
      <c r="E153" s="2" t="s">
        <v>7180</v>
      </c>
      <c r="F153" s="2" t="s">
        <v>1356</v>
      </c>
      <c r="G153" s="2" t="s">
        <v>7140</v>
      </c>
      <c r="H153" s="2" t="s">
        <v>7428</v>
      </c>
      <c r="I153" s="2" t="s">
        <v>7142</v>
      </c>
      <c r="J153" s="2" t="s">
        <v>8529</v>
      </c>
    </row>
    <row r="154" spans="1:10">
      <c r="A154" s="2" t="s">
        <v>2835</v>
      </c>
      <c r="B154" s="2" t="s">
        <v>1354</v>
      </c>
      <c r="C154" s="2" t="s">
        <v>7179</v>
      </c>
      <c r="D154" s="2">
        <v>2015</v>
      </c>
      <c r="E154" s="2" t="s">
        <v>7180</v>
      </c>
      <c r="F154" s="2" t="s">
        <v>2836</v>
      </c>
      <c r="G154" s="2" t="s">
        <v>7192</v>
      </c>
      <c r="H154" s="2" t="s">
        <v>7225</v>
      </c>
      <c r="I154" s="2" t="s">
        <v>7143</v>
      </c>
    </row>
    <row r="155" spans="1:10">
      <c r="A155" s="2" t="s">
        <v>2837</v>
      </c>
      <c r="B155" s="2" t="s">
        <v>1354</v>
      </c>
      <c r="C155" s="2" t="s">
        <v>7179</v>
      </c>
      <c r="D155" s="2">
        <v>1987</v>
      </c>
      <c r="E155" s="2" t="s">
        <v>7180</v>
      </c>
      <c r="F155" s="2" t="s">
        <v>1355</v>
      </c>
      <c r="G155" s="2" t="s">
        <v>7181</v>
      </c>
      <c r="H155" s="2" t="s">
        <v>7141</v>
      </c>
      <c r="I155" s="2" t="s">
        <v>7142</v>
      </c>
      <c r="J155" s="2" t="s">
        <v>8533</v>
      </c>
    </row>
    <row r="156" spans="1:10">
      <c r="A156" s="2" t="s">
        <v>2838</v>
      </c>
      <c r="B156" s="2" t="s">
        <v>1396</v>
      </c>
      <c r="C156" s="2" t="s">
        <v>7138</v>
      </c>
      <c r="D156" s="2">
        <v>1990</v>
      </c>
      <c r="E156" s="2" t="s">
        <v>7180</v>
      </c>
      <c r="F156" s="2" t="s">
        <v>2839</v>
      </c>
      <c r="G156" s="2" t="s">
        <v>7192</v>
      </c>
      <c r="H156" s="2" t="s">
        <v>7182</v>
      </c>
      <c r="I156" s="2" t="s">
        <v>7142</v>
      </c>
      <c r="J156" s="2" t="s">
        <v>8551</v>
      </c>
    </row>
    <row r="157" spans="1:10">
      <c r="A157" s="2" t="s">
        <v>2840</v>
      </c>
      <c r="B157" s="2" t="s">
        <v>1396</v>
      </c>
      <c r="C157" s="2" t="s">
        <v>7138</v>
      </c>
      <c r="D157" s="2">
        <v>1996</v>
      </c>
      <c r="E157" s="2" t="s">
        <v>7180</v>
      </c>
      <c r="F157" s="2" t="s">
        <v>2841</v>
      </c>
      <c r="G157" s="2" t="s">
        <v>7192</v>
      </c>
      <c r="H157" s="2" t="s">
        <v>7141</v>
      </c>
      <c r="I157" s="2" t="s">
        <v>7143</v>
      </c>
    </row>
    <row r="158" spans="1:10">
      <c r="A158" s="2" t="s">
        <v>2842</v>
      </c>
      <c r="B158" s="2" t="s">
        <v>1396</v>
      </c>
      <c r="C158" s="2" t="s">
        <v>7138</v>
      </c>
      <c r="D158" s="2">
        <v>1989</v>
      </c>
      <c r="E158" s="2" t="s">
        <v>7180</v>
      </c>
      <c r="F158" s="2" t="s">
        <v>2843</v>
      </c>
      <c r="G158" s="2" t="s">
        <v>7192</v>
      </c>
      <c r="H158" s="2" t="s">
        <v>7182</v>
      </c>
      <c r="I158" s="2" t="s">
        <v>7143</v>
      </c>
    </row>
    <row r="159" spans="1:10">
      <c r="A159" s="2" t="s">
        <v>2844</v>
      </c>
      <c r="B159" s="2" t="s">
        <v>1396</v>
      </c>
      <c r="C159" s="2" t="s">
        <v>7138</v>
      </c>
      <c r="D159" s="2">
        <v>1966</v>
      </c>
      <c r="E159" s="2" t="s">
        <v>7180</v>
      </c>
      <c r="F159" s="2" t="s">
        <v>1398</v>
      </c>
      <c r="G159" s="2" t="s">
        <v>7140</v>
      </c>
      <c r="H159" s="2" t="s">
        <v>7225</v>
      </c>
      <c r="I159" s="2" t="s">
        <v>7142</v>
      </c>
      <c r="J159" s="2" t="s">
        <v>8533</v>
      </c>
    </row>
    <row r="160" spans="1:10">
      <c r="A160" s="2" t="s">
        <v>2845</v>
      </c>
      <c r="B160" s="2" t="s">
        <v>1396</v>
      </c>
      <c r="C160" s="2" t="s">
        <v>7179</v>
      </c>
      <c r="D160" s="2">
        <v>1967</v>
      </c>
      <c r="E160" s="2" t="s">
        <v>7180</v>
      </c>
      <c r="F160" s="2" t="s">
        <v>2846</v>
      </c>
      <c r="G160" s="2" t="s">
        <v>7181</v>
      </c>
      <c r="H160" s="2" t="s">
        <v>7225</v>
      </c>
      <c r="I160" s="2" t="s">
        <v>7142</v>
      </c>
      <c r="J160" s="2" t="s">
        <v>8533</v>
      </c>
    </row>
    <row r="161" spans="1:10">
      <c r="A161" s="2" t="s">
        <v>2847</v>
      </c>
      <c r="B161" s="2" t="s">
        <v>1409</v>
      </c>
      <c r="C161" s="2" t="s">
        <v>7179</v>
      </c>
      <c r="D161" s="2">
        <v>2016</v>
      </c>
      <c r="E161" s="2" t="s">
        <v>7180</v>
      </c>
      <c r="F161" s="2" t="s">
        <v>2848</v>
      </c>
      <c r="G161" s="2" t="s">
        <v>7192</v>
      </c>
      <c r="H161" s="2" t="s">
        <v>7225</v>
      </c>
      <c r="I161" s="2" t="s">
        <v>7143</v>
      </c>
    </row>
    <row r="162" spans="1:10">
      <c r="A162" s="2" t="s">
        <v>2849</v>
      </c>
      <c r="B162" s="2" t="s">
        <v>1409</v>
      </c>
      <c r="C162" s="2" t="s">
        <v>7138</v>
      </c>
      <c r="D162" s="2">
        <v>1994</v>
      </c>
      <c r="E162" s="2" t="s">
        <v>7180</v>
      </c>
      <c r="F162" s="2" t="s">
        <v>1412</v>
      </c>
      <c r="G162" s="2" t="s">
        <v>7140</v>
      </c>
      <c r="H162" s="2" t="s">
        <v>7182</v>
      </c>
      <c r="I162" s="2" t="s">
        <v>7143</v>
      </c>
      <c r="J162" s="2" t="s">
        <v>8564</v>
      </c>
    </row>
    <row r="163" spans="1:10">
      <c r="A163" s="2" t="s">
        <v>2851</v>
      </c>
      <c r="B163" s="2" t="s">
        <v>1409</v>
      </c>
      <c r="C163" s="2" t="s">
        <v>7138</v>
      </c>
      <c r="D163" s="2">
        <v>2019</v>
      </c>
      <c r="E163" s="2" t="s">
        <v>7180</v>
      </c>
      <c r="F163" s="2" t="s">
        <v>2852</v>
      </c>
      <c r="G163" s="2" t="s">
        <v>7192</v>
      </c>
      <c r="H163" s="2" t="s">
        <v>7225</v>
      </c>
      <c r="I163" s="2" t="s">
        <v>7143</v>
      </c>
    </row>
    <row r="164" spans="1:10">
      <c r="A164" s="2" t="s">
        <v>2853</v>
      </c>
      <c r="B164" s="2" t="s">
        <v>1409</v>
      </c>
      <c r="C164" s="2" t="s">
        <v>7179</v>
      </c>
      <c r="D164" s="2">
        <v>1996</v>
      </c>
      <c r="E164" s="2" t="s">
        <v>7180</v>
      </c>
      <c r="F164" s="2" t="s">
        <v>1411</v>
      </c>
      <c r="G164" s="2" t="s">
        <v>7181</v>
      </c>
      <c r="H164" s="2" t="s">
        <v>7182</v>
      </c>
      <c r="I164" s="2" t="s">
        <v>7142</v>
      </c>
      <c r="J164" s="2" t="s">
        <v>8533</v>
      </c>
    </row>
    <row r="165" spans="1:10">
      <c r="A165" s="2" t="s">
        <v>2854</v>
      </c>
      <c r="B165" s="2" t="s">
        <v>1514</v>
      </c>
      <c r="C165" s="2" t="s">
        <v>7138</v>
      </c>
      <c r="D165" s="2">
        <v>1974</v>
      </c>
      <c r="E165" s="2" t="s">
        <v>7180</v>
      </c>
      <c r="F165" s="2" t="s">
        <v>1517</v>
      </c>
      <c r="G165" s="2" t="s">
        <v>7140</v>
      </c>
      <c r="H165" s="2" t="s">
        <v>7141</v>
      </c>
      <c r="I165" s="2" t="s">
        <v>7142</v>
      </c>
      <c r="J165" s="2" t="s">
        <v>8531</v>
      </c>
    </row>
    <row r="166" spans="1:10">
      <c r="A166" s="2" t="s">
        <v>2855</v>
      </c>
      <c r="B166" s="2" t="s">
        <v>1514</v>
      </c>
      <c r="C166" s="2" t="s">
        <v>7179</v>
      </c>
      <c r="D166" s="2">
        <v>1973</v>
      </c>
      <c r="E166" s="2" t="s">
        <v>7180</v>
      </c>
      <c r="F166" s="2" t="s">
        <v>1516</v>
      </c>
      <c r="G166" s="2" t="s">
        <v>7181</v>
      </c>
      <c r="H166" s="2" t="s">
        <v>7182</v>
      </c>
      <c r="I166" s="2" t="s">
        <v>7142</v>
      </c>
      <c r="J166" s="2" t="s">
        <v>8540</v>
      </c>
    </row>
    <row r="167" spans="1:10">
      <c r="A167" s="2" t="s">
        <v>2856</v>
      </c>
      <c r="B167" s="2" t="s">
        <v>1514</v>
      </c>
      <c r="C167" s="2" t="s">
        <v>7138</v>
      </c>
      <c r="D167" s="2">
        <v>2010</v>
      </c>
      <c r="E167" s="2" t="s">
        <v>7180</v>
      </c>
      <c r="F167" s="2" t="s">
        <v>2857</v>
      </c>
      <c r="G167" s="2" t="s">
        <v>7192</v>
      </c>
      <c r="H167" s="2" t="s">
        <v>7182</v>
      </c>
      <c r="I167" s="2" t="s">
        <v>7143</v>
      </c>
    </row>
    <row r="168" spans="1:10">
      <c r="A168" s="2" t="s">
        <v>2858</v>
      </c>
      <c r="B168" s="2" t="s">
        <v>2369</v>
      </c>
      <c r="C168" s="2" t="s">
        <v>7138</v>
      </c>
      <c r="D168" s="2">
        <v>2000</v>
      </c>
      <c r="E168" s="2" t="s">
        <v>7490</v>
      </c>
      <c r="F168" s="2" t="s">
        <v>2859</v>
      </c>
      <c r="G168" s="2" t="s">
        <v>7181</v>
      </c>
      <c r="H168" s="2" t="s">
        <v>7395</v>
      </c>
      <c r="I168" s="2" t="s">
        <v>7142</v>
      </c>
      <c r="J168" s="2" t="s">
        <v>8529</v>
      </c>
    </row>
    <row r="169" spans="1:10">
      <c r="A169" s="2" t="s">
        <v>2860</v>
      </c>
      <c r="B169" s="2" t="s">
        <v>1554</v>
      </c>
      <c r="C169" s="2" t="s">
        <v>7179</v>
      </c>
      <c r="D169" s="2">
        <v>2009</v>
      </c>
      <c r="E169" s="2" t="s">
        <v>7180</v>
      </c>
      <c r="F169" s="2" t="s">
        <v>2861</v>
      </c>
      <c r="G169" s="2" t="s">
        <v>7192</v>
      </c>
      <c r="H169" s="2" t="s">
        <v>7182</v>
      </c>
      <c r="I169" s="2" t="s">
        <v>7143</v>
      </c>
    </row>
    <row r="170" spans="1:10">
      <c r="A170" s="2" t="s">
        <v>2862</v>
      </c>
      <c r="B170" s="2" t="s">
        <v>1554</v>
      </c>
      <c r="C170" s="2" t="s">
        <v>7138</v>
      </c>
      <c r="D170" s="2">
        <v>1979</v>
      </c>
      <c r="E170" s="2" t="s">
        <v>7180</v>
      </c>
      <c r="F170" s="2" t="s">
        <v>1556</v>
      </c>
      <c r="G170" s="2" t="s">
        <v>7140</v>
      </c>
      <c r="H170" s="2" t="s">
        <v>7141</v>
      </c>
      <c r="I170" s="2" t="s">
        <v>7142</v>
      </c>
      <c r="J170" s="2" t="s">
        <v>8532</v>
      </c>
    </row>
    <row r="171" spans="1:10">
      <c r="A171" s="2" t="s">
        <v>2863</v>
      </c>
      <c r="B171" s="2" t="s">
        <v>1554</v>
      </c>
      <c r="C171" s="2" t="s">
        <v>7138</v>
      </c>
      <c r="D171" s="2">
        <v>2005</v>
      </c>
      <c r="E171" s="2" t="s">
        <v>7180</v>
      </c>
      <c r="F171" s="2" t="s">
        <v>2864</v>
      </c>
      <c r="G171" s="2" t="s">
        <v>7192</v>
      </c>
      <c r="H171" s="2" t="s">
        <v>7428</v>
      </c>
      <c r="I171" s="2" t="s">
        <v>7143</v>
      </c>
    </row>
    <row r="172" spans="1:10">
      <c r="A172" s="2" t="s">
        <v>2865</v>
      </c>
      <c r="B172" s="2" t="s">
        <v>1554</v>
      </c>
      <c r="C172" s="2" t="s">
        <v>7138</v>
      </c>
      <c r="D172" s="2">
        <v>2012</v>
      </c>
      <c r="E172" s="2" t="s">
        <v>7180</v>
      </c>
      <c r="F172" s="2" t="s">
        <v>2866</v>
      </c>
      <c r="G172" s="2" t="s">
        <v>7192</v>
      </c>
      <c r="H172" s="2" t="s">
        <v>7141</v>
      </c>
      <c r="I172" s="2" t="s">
        <v>7143</v>
      </c>
    </row>
    <row r="173" spans="1:10">
      <c r="A173" s="2" t="s">
        <v>2867</v>
      </c>
      <c r="B173" s="2" t="s">
        <v>1554</v>
      </c>
      <c r="C173" s="2" t="s">
        <v>7179</v>
      </c>
      <c r="D173" s="2">
        <v>1984</v>
      </c>
      <c r="E173" s="2" t="s">
        <v>7180</v>
      </c>
      <c r="F173" s="2" t="s">
        <v>2868</v>
      </c>
      <c r="G173" s="2" t="s">
        <v>7181</v>
      </c>
      <c r="H173" s="2" t="s">
        <v>7141</v>
      </c>
      <c r="I173" s="2" t="s">
        <v>7142</v>
      </c>
      <c r="J173" s="2" t="s">
        <v>8540</v>
      </c>
    </row>
    <row r="174" spans="1:10">
      <c r="A174" s="2" t="s">
        <v>2869</v>
      </c>
      <c r="B174" s="2" t="s">
        <v>2358</v>
      </c>
      <c r="C174" s="2" t="s">
        <v>7179</v>
      </c>
      <c r="D174" s="2">
        <v>2004</v>
      </c>
      <c r="E174" s="2" t="s">
        <v>7490</v>
      </c>
      <c r="F174" s="2" t="s">
        <v>2870</v>
      </c>
      <c r="G174" s="2" t="s">
        <v>7181</v>
      </c>
      <c r="H174" s="2" t="s">
        <v>7225</v>
      </c>
      <c r="I174" s="2" t="s">
        <v>7142</v>
      </c>
      <c r="J174" s="2" t="s">
        <v>8565</v>
      </c>
    </row>
    <row r="175" spans="1:10">
      <c r="A175" s="2" t="s">
        <v>2872</v>
      </c>
      <c r="B175" s="2" t="s">
        <v>1577</v>
      </c>
      <c r="C175" s="2" t="s">
        <v>7179</v>
      </c>
      <c r="D175" s="2">
        <v>1971</v>
      </c>
      <c r="E175" s="2" t="s">
        <v>7180</v>
      </c>
      <c r="F175" s="2" t="s">
        <v>2873</v>
      </c>
      <c r="G175" s="2" t="s">
        <v>7181</v>
      </c>
      <c r="H175" s="2" t="s">
        <v>7141</v>
      </c>
      <c r="I175" s="2" t="s">
        <v>7142</v>
      </c>
      <c r="J175" s="2" t="s">
        <v>8538</v>
      </c>
    </row>
    <row r="176" spans="1:10">
      <c r="A176" s="2" t="s">
        <v>2874</v>
      </c>
      <c r="B176" s="2" t="s">
        <v>1577</v>
      </c>
      <c r="C176" s="2" t="s">
        <v>7138</v>
      </c>
      <c r="D176" s="2">
        <v>1986</v>
      </c>
      <c r="E176" s="2" t="s">
        <v>7180</v>
      </c>
      <c r="F176" s="2" t="s">
        <v>1579</v>
      </c>
      <c r="G176" s="2" t="s">
        <v>7140</v>
      </c>
      <c r="H176" s="2" t="s">
        <v>7141</v>
      </c>
      <c r="I176" s="2" t="s">
        <v>7142</v>
      </c>
      <c r="J176" s="2" t="s">
        <v>8533</v>
      </c>
    </row>
    <row r="177" spans="1:10">
      <c r="A177" s="2" t="s">
        <v>2875</v>
      </c>
      <c r="B177" s="2" t="s">
        <v>1577</v>
      </c>
      <c r="C177" s="2" t="s">
        <v>7138</v>
      </c>
      <c r="D177" s="2">
        <v>1992</v>
      </c>
      <c r="E177" s="2" t="s">
        <v>7180</v>
      </c>
      <c r="F177" s="2" t="s">
        <v>2876</v>
      </c>
      <c r="G177" s="2" t="s">
        <v>7192</v>
      </c>
      <c r="H177" s="2" t="s">
        <v>7428</v>
      </c>
      <c r="I177" s="2" t="s">
        <v>7143</v>
      </c>
    </row>
    <row r="178" spans="1:10">
      <c r="A178" s="2" t="s">
        <v>2877</v>
      </c>
      <c r="B178" s="2" t="s">
        <v>2347</v>
      </c>
      <c r="C178" s="2" t="s">
        <v>7179</v>
      </c>
      <c r="D178" s="2">
        <v>1977</v>
      </c>
      <c r="E178" s="2" t="s">
        <v>7490</v>
      </c>
      <c r="F178" s="2" t="s">
        <v>2878</v>
      </c>
      <c r="G178" s="2" t="s">
        <v>7181</v>
      </c>
      <c r="H178" s="2" t="s">
        <v>7395</v>
      </c>
      <c r="I178" s="2" t="s">
        <v>7142</v>
      </c>
      <c r="J178" s="2" t="s">
        <v>8566</v>
      </c>
    </row>
    <row r="179" spans="1:10">
      <c r="A179" s="2" t="s">
        <v>2880</v>
      </c>
      <c r="B179" s="2" t="s">
        <v>2347</v>
      </c>
      <c r="C179" s="2" t="s">
        <v>7138</v>
      </c>
      <c r="D179" s="2">
        <v>1972</v>
      </c>
      <c r="E179" s="2" t="s">
        <v>7490</v>
      </c>
      <c r="F179" s="2" t="s">
        <v>2349</v>
      </c>
      <c r="G179" s="2" t="s">
        <v>7140</v>
      </c>
      <c r="H179" s="2" t="s">
        <v>7225</v>
      </c>
      <c r="I179" s="2" t="s">
        <v>7142</v>
      </c>
      <c r="J179" s="2" t="s">
        <v>8529</v>
      </c>
    </row>
    <row r="180" spans="1:10">
      <c r="A180" s="2" t="s">
        <v>2881</v>
      </c>
      <c r="B180" s="2" t="s">
        <v>2347</v>
      </c>
      <c r="C180" s="2" t="s">
        <v>7179</v>
      </c>
      <c r="D180" s="2">
        <v>2000</v>
      </c>
      <c r="E180" s="2" t="s">
        <v>7490</v>
      </c>
      <c r="F180" s="2" t="s">
        <v>2882</v>
      </c>
      <c r="G180" s="2" t="s">
        <v>7192</v>
      </c>
      <c r="H180" s="2" t="s">
        <v>7225</v>
      </c>
      <c r="I180" s="2" t="s">
        <v>7142</v>
      </c>
      <c r="J180" s="2" t="s">
        <v>8567</v>
      </c>
    </row>
    <row r="181" spans="1:10">
      <c r="A181" s="2" t="s">
        <v>2884</v>
      </c>
      <c r="B181" s="2" t="s">
        <v>1613</v>
      </c>
      <c r="C181" s="2" t="s">
        <v>7179</v>
      </c>
      <c r="D181" s="2">
        <v>1998</v>
      </c>
      <c r="E181" s="2" t="s">
        <v>7139</v>
      </c>
      <c r="F181" s="2" t="s">
        <v>1616</v>
      </c>
      <c r="G181" s="2" t="s">
        <v>7181</v>
      </c>
      <c r="H181" s="2" t="s">
        <v>7141</v>
      </c>
      <c r="I181" s="2" t="s">
        <v>7142</v>
      </c>
      <c r="J181" s="2" t="s">
        <v>8556</v>
      </c>
    </row>
    <row r="182" spans="1:10">
      <c r="A182" s="2" t="s">
        <v>2885</v>
      </c>
      <c r="B182" s="2" t="s">
        <v>1613</v>
      </c>
      <c r="C182" s="2" t="s">
        <v>7138</v>
      </c>
      <c r="D182" s="2">
        <v>2017</v>
      </c>
      <c r="E182" s="2" t="s">
        <v>7139</v>
      </c>
      <c r="F182" s="2" t="s">
        <v>2886</v>
      </c>
      <c r="G182" s="2" t="s">
        <v>7192</v>
      </c>
      <c r="H182" s="2" t="s">
        <v>7225</v>
      </c>
      <c r="I182" s="2" t="s">
        <v>7143</v>
      </c>
    </row>
    <row r="183" spans="1:10">
      <c r="A183" s="2" t="s">
        <v>2887</v>
      </c>
      <c r="B183" s="2" t="s">
        <v>1613</v>
      </c>
      <c r="C183" s="2" t="s">
        <v>7138</v>
      </c>
      <c r="D183" s="2">
        <v>1997</v>
      </c>
      <c r="E183" s="2" t="s">
        <v>7139</v>
      </c>
      <c r="F183" s="2" t="s">
        <v>1617</v>
      </c>
      <c r="G183" s="2" t="s">
        <v>7140</v>
      </c>
      <c r="H183" s="2" t="s">
        <v>7141</v>
      </c>
      <c r="I183" s="2" t="s">
        <v>7142</v>
      </c>
      <c r="J183" s="2" t="s">
        <v>8533</v>
      </c>
    </row>
    <row r="184" spans="1:10">
      <c r="A184" s="2" t="s">
        <v>2888</v>
      </c>
      <c r="B184" s="2" t="s">
        <v>1051</v>
      </c>
      <c r="C184" s="2" t="s">
        <v>7179</v>
      </c>
      <c r="D184" s="2">
        <v>1989</v>
      </c>
      <c r="E184" s="2" t="s">
        <v>7139</v>
      </c>
      <c r="F184" s="2" t="s">
        <v>2889</v>
      </c>
      <c r="G184" s="2" t="s">
        <v>7181</v>
      </c>
      <c r="H184" s="2" t="s">
        <v>7225</v>
      </c>
      <c r="I184" s="2" t="s">
        <v>7142</v>
      </c>
      <c r="J184" s="2" t="s">
        <v>8540</v>
      </c>
    </row>
    <row r="185" spans="1:10">
      <c r="A185" s="2" t="s">
        <v>2890</v>
      </c>
      <c r="B185" s="2" t="s">
        <v>2271</v>
      </c>
      <c r="C185" s="2" t="s">
        <v>7138</v>
      </c>
      <c r="D185" s="2">
        <v>2008</v>
      </c>
      <c r="E185" s="2" t="s">
        <v>7490</v>
      </c>
      <c r="F185" s="2" t="s">
        <v>2891</v>
      </c>
      <c r="G185" s="2" t="s">
        <v>7192</v>
      </c>
      <c r="H185" s="2" t="s">
        <v>7141</v>
      </c>
      <c r="I185" s="2" t="s">
        <v>7142</v>
      </c>
      <c r="J185" s="2" t="s">
        <v>8568</v>
      </c>
    </row>
    <row r="186" spans="1:10">
      <c r="A186" s="2" t="s">
        <v>2893</v>
      </c>
      <c r="B186" s="2" t="s">
        <v>1634</v>
      </c>
      <c r="C186" s="2" t="s">
        <v>7179</v>
      </c>
      <c r="D186" s="2">
        <v>1977</v>
      </c>
      <c r="E186" s="2" t="s">
        <v>7139</v>
      </c>
      <c r="F186" s="2" t="s">
        <v>1636</v>
      </c>
      <c r="G186" s="2" t="s">
        <v>7181</v>
      </c>
      <c r="H186" s="2" t="s">
        <v>7395</v>
      </c>
      <c r="I186" s="2" t="s">
        <v>7142</v>
      </c>
      <c r="J186" s="2" t="s">
        <v>8529</v>
      </c>
    </row>
    <row r="187" spans="1:10">
      <c r="A187" s="2" t="s">
        <v>2894</v>
      </c>
      <c r="B187" s="2" t="s">
        <v>1634</v>
      </c>
      <c r="C187" s="2" t="s">
        <v>7138</v>
      </c>
      <c r="D187" s="2">
        <v>2005</v>
      </c>
      <c r="E187" s="2" t="s">
        <v>7139</v>
      </c>
      <c r="F187" s="2" t="s">
        <v>2895</v>
      </c>
      <c r="G187" s="2" t="s">
        <v>7192</v>
      </c>
      <c r="H187" s="2" t="s">
        <v>7141</v>
      </c>
      <c r="I187" s="2" t="s">
        <v>7142</v>
      </c>
      <c r="J187" s="2" t="s">
        <v>8557</v>
      </c>
    </row>
    <row r="188" spans="1:10">
      <c r="A188" s="2" t="s">
        <v>2896</v>
      </c>
      <c r="B188" s="2" t="s">
        <v>1634</v>
      </c>
      <c r="C188" s="2" t="s">
        <v>7138</v>
      </c>
      <c r="D188" s="2">
        <v>1977</v>
      </c>
      <c r="E188" s="2" t="s">
        <v>7139</v>
      </c>
      <c r="F188" s="2" t="s">
        <v>1353</v>
      </c>
      <c r="G188" s="2" t="s">
        <v>7140</v>
      </c>
      <c r="H188" s="2" t="s">
        <v>7395</v>
      </c>
      <c r="I188" s="2" t="s">
        <v>7142</v>
      </c>
      <c r="J188" s="2" t="s">
        <v>8529</v>
      </c>
    </row>
    <row r="189" spans="1:10">
      <c r="A189" s="2" t="s">
        <v>2897</v>
      </c>
      <c r="B189" s="2" t="s">
        <v>1634</v>
      </c>
      <c r="C189" s="2" t="s">
        <v>7138</v>
      </c>
      <c r="D189" s="2">
        <v>1996</v>
      </c>
      <c r="E189" s="2" t="s">
        <v>7139</v>
      </c>
      <c r="F189" s="2" t="s">
        <v>2898</v>
      </c>
      <c r="G189" s="2" t="s">
        <v>7192</v>
      </c>
      <c r="H189" s="2" t="s">
        <v>7141</v>
      </c>
      <c r="I189" s="2" t="s">
        <v>7142</v>
      </c>
      <c r="J189" s="2" t="s">
        <v>8557</v>
      </c>
    </row>
    <row r="190" spans="1:10">
      <c r="A190" s="2" t="s">
        <v>2899</v>
      </c>
      <c r="B190" s="2" t="s">
        <v>1729</v>
      </c>
      <c r="C190" s="2" t="s">
        <v>7179</v>
      </c>
      <c r="D190" s="2">
        <v>1978</v>
      </c>
      <c r="E190" s="2" t="s">
        <v>7180</v>
      </c>
      <c r="F190" s="2" t="s">
        <v>2900</v>
      </c>
      <c r="G190" s="2" t="s">
        <v>7140</v>
      </c>
      <c r="H190" s="2" t="s">
        <v>7182</v>
      </c>
      <c r="I190" s="2" t="s">
        <v>7142</v>
      </c>
      <c r="J190" s="2" t="s">
        <v>8529</v>
      </c>
    </row>
    <row r="191" spans="1:10">
      <c r="A191" s="2" t="s">
        <v>2901</v>
      </c>
      <c r="B191" s="2" t="s">
        <v>1729</v>
      </c>
      <c r="C191" s="2" t="s">
        <v>7138</v>
      </c>
      <c r="D191" s="2">
        <v>2007</v>
      </c>
      <c r="E191" s="2" t="s">
        <v>7180</v>
      </c>
      <c r="F191" s="2" t="s">
        <v>2902</v>
      </c>
      <c r="G191" s="2" t="s">
        <v>7192</v>
      </c>
      <c r="H191" s="2" t="s">
        <v>7428</v>
      </c>
      <c r="I191" s="2" t="s">
        <v>7143</v>
      </c>
    </row>
    <row r="192" spans="1:10">
      <c r="A192" s="2" t="s">
        <v>2903</v>
      </c>
      <c r="B192" s="2" t="s">
        <v>1729</v>
      </c>
      <c r="C192" s="2" t="s">
        <v>7179</v>
      </c>
      <c r="D192" s="2">
        <v>2002</v>
      </c>
      <c r="E192" s="2" t="s">
        <v>7180</v>
      </c>
      <c r="F192" s="2" t="s">
        <v>2904</v>
      </c>
      <c r="G192" s="2" t="s">
        <v>7192</v>
      </c>
      <c r="H192" s="2" t="s">
        <v>7182</v>
      </c>
      <c r="I192" s="2" t="s">
        <v>7143</v>
      </c>
    </row>
    <row r="193" spans="1:10">
      <c r="A193" s="2" t="s">
        <v>2905</v>
      </c>
      <c r="B193" s="2" t="s">
        <v>1729</v>
      </c>
      <c r="C193" s="2" t="s">
        <v>7138</v>
      </c>
      <c r="D193" s="2">
        <v>2004</v>
      </c>
      <c r="E193" s="2" t="s">
        <v>7180</v>
      </c>
      <c r="F193" s="2" t="s">
        <v>2906</v>
      </c>
      <c r="G193" s="2" t="s">
        <v>7192</v>
      </c>
      <c r="H193" s="2" t="s">
        <v>7428</v>
      </c>
      <c r="I193" s="2" t="s">
        <v>7143</v>
      </c>
    </row>
    <row r="194" spans="1:10">
      <c r="A194" s="2" t="s">
        <v>2907</v>
      </c>
      <c r="B194" s="2" t="s">
        <v>2203</v>
      </c>
      <c r="C194" s="2" t="s">
        <v>7138</v>
      </c>
      <c r="D194" s="2">
        <v>1954</v>
      </c>
      <c r="E194" s="2" t="s">
        <v>7180</v>
      </c>
      <c r="F194" s="2" t="s">
        <v>2206</v>
      </c>
      <c r="G194" s="2" t="s">
        <v>7140</v>
      </c>
      <c r="H194" s="2" t="s">
        <v>8308</v>
      </c>
      <c r="I194" s="2" t="s">
        <v>7143</v>
      </c>
    </row>
    <row r="195" spans="1:10">
      <c r="A195" s="2" t="s">
        <v>2908</v>
      </c>
      <c r="B195" s="2" t="s">
        <v>2203</v>
      </c>
      <c r="C195" s="2" t="s">
        <v>7138</v>
      </c>
      <c r="D195" s="2">
        <v>1980</v>
      </c>
      <c r="E195" s="2" t="s">
        <v>7180</v>
      </c>
      <c r="F195" s="2" t="s">
        <v>2909</v>
      </c>
      <c r="G195" s="2" t="s">
        <v>7192</v>
      </c>
      <c r="H195" s="2" t="s">
        <v>7182</v>
      </c>
      <c r="I195" s="2" t="s">
        <v>7142</v>
      </c>
      <c r="J195" s="2" t="s">
        <v>8533</v>
      </c>
    </row>
    <row r="196" spans="1:10">
      <c r="A196" s="2" t="s">
        <v>2910</v>
      </c>
      <c r="B196" s="2" t="s">
        <v>2203</v>
      </c>
      <c r="C196" s="2" t="s">
        <v>7179</v>
      </c>
      <c r="D196" s="2">
        <v>1983</v>
      </c>
      <c r="E196" s="2" t="s">
        <v>7180</v>
      </c>
      <c r="F196" s="2" t="s">
        <v>2911</v>
      </c>
      <c r="G196" s="2" t="s">
        <v>7192</v>
      </c>
      <c r="H196" s="2" t="s">
        <v>7182</v>
      </c>
      <c r="I196" s="2" t="s">
        <v>7142</v>
      </c>
      <c r="J196" s="2" t="s">
        <v>8569</v>
      </c>
    </row>
    <row r="197" spans="1:10">
      <c r="A197" s="2" t="s">
        <v>2913</v>
      </c>
      <c r="B197" s="2" t="s">
        <v>1737</v>
      </c>
      <c r="C197" s="2" t="s">
        <v>7179</v>
      </c>
      <c r="D197" s="2">
        <v>1976</v>
      </c>
      <c r="E197" s="2" t="s">
        <v>7180</v>
      </c>
      <c r="F197" s="2" t="s">
        <v>1739</v>
      </c>
      <c r="G197" s="2" t="s">
        <v>7140</v>
      </c>
      <c r="H197" s="2" t="s">
        <v>7141</v>
      </c>
      <c r="I197" s="2" t="s">
        <v>7142</v>
      </c>
      <c r="J197" s="2" t="s">
        <v>8529</v>
      </c>
    </row>
    <row r="198" spans="1:10">
      <c r="A198" s="2" t="s">
        <v>2914</v>
      </c>
      <c r="B198" s="2" t="s">
        <v>1737</v>
      </c>
      <c r="C198" s="2" t="s">
        <v>7138</v>
      </c>
      <c r="D198" s="2">
        <v>2013</v>
      </c>
      <c r="E198" s="2" t="s">
        <v>7180</v>
      </c>
      <c r="F198" s="2" t="s">
        <v>2915</v>
      </c>
      <c r="G198" s="2" t="s">
        <v>7192</v>
      </c>
      <c r="H198" s="2" t="s">
        <v>7141</v>
      </c>
      <c r="I198" s="2" t="s">
        <v>7142</v>
      </c>
      <c r="J198" s="2" t="s">
        <v>8570</v>
      </c>
    </row>
    <row r="199" spans="1:10">
      <c r="A199" s="2" t="s">
        <v>2917</v>
      </c>
      <c r="B199" s="2" t="s">
        <v>1197</v>
      </c>
      <c r="C199" s="2" t="s">
        <v>7138</v>
      </c>
      <c r="D199" s="2">
        <v>1989</v>
      </c>
      <c r="E199" s="2" t="s">
        <v>7139</v>
      </c>
      <c r="F199" s="2" t="s">
        <v>1199</v>
      </c>
      <c r="G199" s="2" t="s">
        <v>7140</v>
      </c>
      <c r="H199" s="2" t="s">
        <v>7141</v>
      </c>
      <c r="I199" s="2" t="s">
        <v>7142</v>
      </c>
      <c r="J199" s="2" t="s">
        <v>8533</v>
      </c>
    </row>
    <row r="200" spans="1:10">
      <c r="A200" s="2" t="s">
        <v>2918</v>
      </c>
      <c r="B200" s="2" t="s">
        <v>1775</v>
      </c>
      <c r="C200" s="2" t="s">
        <v>7179</v>
      </c>
      <c r="D200" s="2">
        <v>1971</v>
      </c>
      <c r="E200" s="2" t="s">
        <v>7180</v>
      </c>
      <c r="F200" s="2" t="s">
        <v>1777</v>
      </c>
      <c r="G200" s="2" t="s">
        <v>7181</v>
      </c>
      <c r="H200" s="2" t="s">
        <v>7182</v>
      </c>
      <c r="I200" s="2" t="s">
        <v>7142</v>
      </c>
      <c r="J200" s="2" t="s">
        <v>8538</v>
      </c>
    </row>
    <row r="201" spans="1:10">
      <c r="A201" s="2" t="s">
        <v>2919</v>
      </c>
      <c r="B201" s="2" t="s">
        <v>1775</v>
      </c>
      <c r="C201" s="2" t="s">
        <v>7138</v>
      </c>
      <c r="D201" s="2">
        <v>1996</v>
      </c>
      <c r="E201" s="2" t="s">
        <v>7180</v>
      </c>
      <c r="F201" s="2" t="s">
        <v>2920</v>
      </c>
      <c r="G201" s="2" t="s">
        <v>7192</v>
      </c>
      <c r="H201" s="2" t="s">
        <v>7141</v>
      </c>
      <c r="I201" s="2" t="s">
        <v>7142</v>
      </c>
      <c r="J201" s="2" t="s">
        <v>8530</v>
      </c>
    </row>
    <row r="202" spans="1:10">
      <c r="A202" s="2" t="s">
        <v>2921</v>
      </c>
      <c r="B202" s="2" t="s">
        <v>1775</v>
      </c>
      <c r="C202" s="2" t="s">
        <v>7138</v>
      </c>
      <c r="D202" s="2">
        <v>1962</v>
      </c>
      <c r="E202" s="2" t="s">
        <v>7180</v>
      </c>
      <c r="F202" s="2" t="s">
        <v>1778</v>
      </c>
      <c r="G202" s="2" t="s">
        <v>7140</v>
      </c>
      <c r="H202" s="2" t="s">
        <v>7141</v>
      </c>
      <c r="I202" s="2" t="s">
        <v>7142</v>
      </c>
      <c r="J202" s="2" t="s">
        <v>8531</v>
      </c>
    </row>
    <row r="203" spans="1:10">
      <c r="A203" s="2" t="s">
        <v>2922</v>
      </c>
      <c r="B203" s="2" t="s">
        <v>1775</v>
      </c>
      <c r="C203" s="2" t="s">
        <v>7179</v>
      </c>
      <c r="D203" s="2">
        <v>1996</v>
      </c>
      <c r="E203" s="2" t="s">
        <v>7180</v>
      </c>
      <c r="F203" s="2" t="s">
        <v>2923</v>
      </c>
      <c r="G203" s="2" t="s">
        <v>7192</v>
      </c>
      <c r="H203" s="2" t="s">
        <v>7141</v>
      </c>
      <c r="I203" s="2" t="s">
        <v>7142</v>
      </c>
      <c r="J203" s="2" t="s">
        <v>8551</v>
      </c>
    </row>
    <row r="204" spans="1:10">
      <c r="A204" s="2" t="s">
        <v>2924</v>
      </c>
      <c r="B204" s="2" t="s">
        <v>1826</v>
      </c>
      <c r="C204" s="2" t="s">
        <v>7138</v>
      </c>
      <c r="D204" s="2">
        <v>1978</v>
      </c>
      <c r="E204" s="2" t="s">
        <v>7180</v>
      </c>
      <c r="F204" s="2" t="s">
        <v>1828</v>
      </c>
      <c r="G204" s="2" t="s">
        <v>7140</v>
      </c>
      <c r="H204" s="2" t="s">
        <v>7182</v>
      </c>
      <c r="I204" s="2" t="s">
        <v>7142</v>
      </c>
      <c r="J204" s="2" t="s">
        <v>8532</v>
      </c>
    </row>
    <row r="205" spans="1:10">
      <c r="A205" s="2" t="s">
        <v>2925</v>
      </c>
      <c r="B205" s="2" t="s">
        <v>1826</v>
      </c>
      <c r="C205" s="2" t="s">
        <v>7138</v>
      </c>
      <c r="D205" s="2">
        <v>2008</v>
      </c>
      <c r="E205" s="2" t="s">
        <v>7180</v>
      </c>
      <c r="F205" s="2" t="s">
        <v>2926</v>
      </c>
      <c r="G205" s="2" t="s">
        <v>7192</v>
      </c>
      <c r="H205" s="2" t="s">
        <v>7182</v>
      </c>
      <c r="I205" s="2" t="s">
        <v>7142</v>
      </c>
      <c r="J205" s="2" t="s">
        <v>8571</v>
      </c>
    </row>
    <row r="206" spans="1:10">
      <c r="A206" s="2" t="s">
        <v>2928</v>
      </c>
      <c r="B206" s="2" t="s">
        <v>1826</v>
      </c>
      <c r="C206" s="2" t="s">
        <v>7179</v>
      </c>
      <c r="D206" s="2">
        <v>1978</v>
      </c>
      <c r="E206" s="2" t="s">
        <v>7180</v>
      </c>
      <c r="F206" s="2" t="s">
        <v>2929</v>
      </c>
      <c r="G206" s="2" t="s">
        <v>7181</v>
      </c>
      <c r="H206" s="2" t="s">
        <v>7141</v>
      </c>
      <c r="I206" s="2" t="s">
        <v>7142</v>
      </c>
      <c r="J206" s="2" t="s">
        <v>8538</v>
      </c>
    </row>
    <row r="207" spans="1:10">
      <c r="A207" s="2" t="s">
        <v>2930</v>
      </c>
      <c r="B207" s="2" t="s">
        <v>1826</v>
      </c>
      <c r="C207" s="2" t="s">
        <v>7138</v>
      </c>
      <c r="D207" s="2">
        <v>2004</v>
      </c>
      <c r="E207" s="2" t="s">
        <v>7180</v>
      </c>
      <c r="F207" s="2" t="s">
        <v>2931</v>
      </c>
      <c r="G207" s="2" t="s">
        <v>7192</v>
      </c>
      <c r="H207" s="2" t="s">
        <v>7182</v>
      </c>
      <c r="I207" s="2" t="s">
        <v>7143</v>
      </c>
    </row>
    <row r="208" spans="1:10">
      <c r="A208" s="2" t="s">
        <v>2932</v>
      </c>
      <c r="B208" s="2" t="s">
        <v>1852</v>
      </c>
      <c r="C208" s="2" t="s">
        <v>7179</v>
      </c>
      <c r="E208" s="2" t="s">
        <v>7180</v>
      </c>
      <c r="F208" s="2" t="s">
        <v>2933</v>
      </c>
      <c r="G208" s="2" t="s">
        <v>7192</v>
      </c>
      <c r="H208" s="2" t="s">
        <v>7182</v>
      </c>
      <c r="I208" s="2" t="s">
        <v>7143</v>
      </c>
    </row>
    <row r="209" spans="1:10">
      <c r="A209" s="2" t="s">
        <v>2934</v>
      </c>
      <c r="B209" s="2" t="s">
        <v>1852</v>
      </c>
      <c r="C209" s="2" t="s">
        <v>7138</v>
      </c>
      <c r="D209" s="2">
        <v>1995</v>
      </c>
      <c r="E209" s="2" t="s">
        <v>7180</v>
      </c>
      <c r="F209" s="2" t="s">
        <v>2935</v>
      </c>
      <c r="G209" s="2" t="s">
        <v>7192</v>
      </c>
      <c r="H209" s="2" t="s">
        <v>7182</v>
      </c>
      <c r="I209" s="2" t="s">
        <v>7143</v>
      </c>
    </row>
    <row r="210" spans="1:10">
      <c r="A210" s="2" t="s">
        <v>2936</v>
      </c>
      <c r="B210" s="2" t="s">
        <v>1852</v>
      </c>
      <c r="C210" s="2" t="s">
        <v>7138</v>
      </c>
      <c r="D210" s="2">
        <v>2008</v>
      </c>
      <c r="E210" s="2" t="s">
        <v>7180</v>
      </c>
      <c r="F210" s="2" t="s">
        <v>2937</v>
      </c>
      <c r="G210" s="2" t="s">
        <v>7192</v>
      </c>
      <c r="H210" s="2" t="s">
        <v>7182</v>
      </c>
      <c r="I210" s="2" t="s">
        <v>7143</v>
      </c>
    </row>
    <row r="211" spans="1:10">
      <c r="A211" s="2" t="s">
        <v>2938</v>
      </c>
      <c r="B211" s="2" t="s">
        <v>1852</v>
      </c>
      <c r="C211" s="2" t="s">
        <v>7179</v>
      </c>
      <c r="D211" s="2">
        <v>1976</v>
      </c>
      <c r="E211" s="2" t="s">
        <v>7180</v>
      </c>
      <c r="F211" s="2" t="s">
        <v>1855</v>
      </c>
      <c r="G211" s="2" t="s">
        <v>7181</v>
      </c>
      <c r="H211" s="2" t="s">
        <v>7141</v>
      </c>
      <c r="I211" s="2" t="s">
        <v>7142</v>
      </c>
      <c r="J211" s="2" t="s">
        <v>8540</v>
      </c>
    </row>
    <row r="212" spans="1:10">
      <c r="A212" s="2" t="s">
        <v>2939</v>
      </c>
      <c r="B212" s="2" t="s">
        <v>1852</v>
      </c>
      <c r="C212" s="2" t="s">
        <v>7138</v>
      </c>
      <c r="D212" s="2">
        <v>1970</v>
      </c>
      <c r="E212" s="2" t="s">
        <v>7180</v>
      </c>
      <c r="F212" s="2" t="s">
        <v>1856</v>
      </c>
      <c r="G212" s="2" t="s">
        <v>7140</v>
      </c>
      <c r="H212" s="2" t="s">
        <v>7182</v>
      </c>
      <c r="I212" s="2" t="s">
        <v>7142</v>
      </c>
      <c r="J212" s="2" t="s">
        <v>8532</v>
      </c>
    </row>
    <row r="213" spans="1:10">
      <c r="A213" s="2" t="s">
        <v>2940</v>
      </c>
      <c r="B213" s="2" t="s">
        <v>1890</v>
      </c>
      <c r="C213" s="2" t="s">
        <v>7138</v>
      </c>
      <c r="D213" s="2">
        <v>1975</v>
      </c>
      <c r="E213" s="2" t="s">
        <v>7180</v>
      </c>
      <c r="F213" s="2" t="s">
        <v>1893</v>
      </c>
      <c r="G213" s="2" t="s">
        <v>7140</v>
      </c>
      <c r="H213" s="2" t="s">
        <v>7141</v>
      </c>
      <c r="I213" s="2" t="s">
        <v>7142</v>
      </c>
      <c r="J213" s="2" t="s">
        <v>8532</v>
      </c>
    </row>
    <row r="214" spans="1:10">
      <c r="A214" s="2" t="s">
        <v>2941</v>
      </c>
      <c r="B214" s="2" t="s">
        <v>1890</v>
      </c>
      <c r="C214" s="2" t="s">
        <v>7179</v>
      </c>
      <c r="D214" s="2">
        <v>1983</v>
      </c>
      <c r="E214" s="2" t="s">
        <v>7180</v>
      </c>
      <c r="F214" s="2" t="s">
        <v>1892</v>
      </c>
      <c r="G214" s="2" t="s">
        <v>7181</v>
      </c>
      <c r="H214" s="2" t="s">
        <v>7141</v>
      </c>
      <c r="I214" s="2" t="s">
        <v>7142</v>
      </c>
      <c r="J214" s="2" t="s">
        <v>8538</v>
      </c>
    </row>
    <row r="215" spans="1:10">
      <c r="A215" s="2" t="s">
        <v>2942</v>
      </c>
      <c r="B215" s="2" t="s">
        <v>1890</v>
      </c>
      <c r="C215" s="2" t="s">
        <v>7179</v>
      </c>
      <c r="D215" s="2">
        <v>2005</v>
      </c>
      <c r="E215" s="2" t="s">
        <v>7180</v>
      </c>
      <c r="F215" s="2" t="s">
        <v>2943</v>
      </c>
      <c r="G215" s="2" t="s">
        <v>7192</v>
      </c>
      <c r="H215" s="2" t="s">
        <v>7428</v>
      </c>
      <c r="I215" s="2" t="s">
        <v>7143</v>
      </c>
    </row>
    <row r="216" spans="1:10">
      <c r="A216" s="2" t="s">
        <v>2944</v>
      </c>
      <c r="B216" s="2" t="s">
        <v>1890</v>
      </c>
      <c r="C216" s="2" t="s">
        <v>7179</v>
      </c>
      <c r="D216" s="2">
        <v>2003</v>
      </c>
      <c r="E216" s="2" t="s">
        <v>7180</v>
      </c>
      <c r="F216" s="2" t="s">
        <v>2945</v>
      </c>
      <c r="G216" s="2" t="s">
        <v>7192</v>
      </c>
      <c r="H216" s="2" t="s">
        <v>7428</v>
      </c>
      <c r="I216" s="2" t="s">
        <v>7143</v>
      </c>
    </row>
    <row r="217" spans="1:10">
      <c r="A217" s="2" t="s">
        <v>2946</v>
      </c>
      <c r="B217" s="2" t="s">
        <v>1890</v>
      </c>
      <c r="C217" s="2" t="s">
        <v>7179</v>
      </c>
      <c r="D217" s="2">
        <v>2013</v>
      </c>
      <c r="E217" s="2" t="s">
        <v>7180</v>
      </c>
      <c r="F217" s="2" t="s">
        <v>2947</v>
      </c>
      <c r="G217" s="2" t="s">
        <v>7192</v>
      </c>
      <c r="H217" s="2" t="s">
        <v>7141</v>
      </c>
      <c r="I217" s="2" t="s">
        <v>7142</v>
      </c>
      <c r="J217" s="2" t="s">
        <v>8572</v>
      </c>
    </row>
    <row r="218" spans="1:10">
      <c r="A218" s="2" t="s">
        <v>2949</v>
      </c>
      <c r="B218" s="2" t="s">
        <v>1944</v>
      </c>
      <c r="C218" s="2" t="s">
        <v>7138</v>
      </c>
      <c r="D218" s="2">
        <v>1960</v>
      </c>
      <c r="E218" s="2" t="s">
        <v>7180</v>
      </c>
      <c r="F218" s="2" t="s">
        <v>2950</v>
      </c>
      <c r="G218" s="2" t="s">
        <v>7192</v>
      </c>
      <c r="H218" s="2" t="s">
        <v>7141</v>
      </c>
      <c r="I218" s="2" t="s">
        <v>7143</v>
      </c>
    </row>
    <row r="219" spans="1:10">
      <c r="A219" s="2" t="s">
        <v>2951</v>
      </c>
      <c r="B219" s="2" t="s">
        <v>1944</v>
      </c>
      <c r="C219" s="2" t="s">
        <v>7179</v>
      </c>
      <c r="D219" s="2">
        <v>1964</v>
      </c>
      <c r="E219" s="2" t="s">
        <v>7180</v>
      </c>
      <c r="F219" s="2" t="s">
        <v>1945</v>
      </c>
      <c r="G219" s="2" t="s">
        <v>7140</v>
      </c>
      <c r="H219" s="2" t="s">
        <v>7141</v>
      </c>
      <c r="I219" s="2" t="s">
        <v>7142</v>
      </c>
      <c r="J219" s="2" t="s">
        <v>8529</v>
      </c>
    </row>
    <row r="220" spans="1:10">
      <c r="A220" s="2" t="s">
        <v>2952</v>
      </c>
      <c r="B220" s="2" t="s">
        <v>396</v>
      </c>
      <c r="C220" s="2" t="s">
        <v>7179</v>
      </c>
      <c r="D220" s="2">
        <v>1954</v>
      </c>
      <c r="E220" s="2" t="s">
        <v>7139</v>
      </c>
      <c r="F220" s="2" t="s">
        <v>2953</v>
      </c>
      <c r="G220" s="2" t="s">
        <v>8451</v>
      </c>
      <c r="H220" s="2" t="s">
        <v>7395</v>
      </c>
      <c r="I220" s="2" t="s">
        <v>7143</v>
      </c>
    </row>
    <row r="221" spans="1:10">
      <c r="A221" s="2" t="s">
        <v>2954</v>
      </c>
      <c r="B221" s="2" t="s">
        <v>396</v>
      </c>
      <c r="C221" s="2" t="s">
        <v>7179</v>
      </c>
      <c r="D221" s="2">
        <v>2013</v>
      </c>
      <c r="E221" s="2" t="s">
        <v>7139</v>
      </c>
      <c r="F221" s="2" t="s">
        <v>2955</v>
      </c>
      <c r="G221" s="2" t="s">
        <v>7192</v>
      </c>
      <c r="H221" s="2" t="s">
        <v>7141</v>
      </c>
      <c r="I221" s="2" t="s">
        <v>7143</v>
      </c>
    </row>
    <row r="222" spans="1:10">
      <c r="A222" s="2" t="s">
        <v>2956</v>
      </c>
      <c r="B222" s="2" t="s">
        <v>396</v>
      </c>
      <c r="C222" s="2" t="s">
        <v>7179</v>
      </c>
      <c r="D222" s="2">
        <v>1994</v>
      </c>
      <c r="E222" s="2" t="s">
        <v>7139</v>
      </c>
      <c r="F222" s="2" t="s">
        <v>2957</v>
      </c>
      <c r="G222" s="2" t="s">
        <v>7181</v>
      </c>
      <c r="H222" s="2" t="s">
        <v>7225</v>
      </c>
      <c r="I222" s="2" t="s">
        <v>7142</v>
      </c>
      <c r="J222" s="2" t="s">
        <v>8551</v>
      </c>
    </row>
    <row r="223" spans="1:10">
      <c r="A223" s="2" t="s">
        <v>2958</v>
      </c>
      <c r="B223" s="2" t="s">
        <v>406</v>
      </c>
      <c r="C223" s="2" t="s">
        <v>7138</v>
      </c>
      <c r="D223" s="2">
        <v>2009</v>
      </c>
      <c r="E223" s="2" t="s">
        <v>7139</v>
      </c>
      <c r="F223" s="2" t="s">
        <v>2959</v>
      </c>
      <c r="G223" s="2" t="s">
        <v>7192</v>
      </c>
      <c r="H223" s="2" t="s">
        <v>7141</v>
      </c>
      <c r="I223" s="2" t="s">
        <v>7143</v>
      </c>
    </row>
    <row r="224" spans="1:10">
      <c r="A224" s="2" t="s">
        <v>2960</v>
      </c>
      <c r="B224" s="2" t="s">
        <v>406</v>
      </c>
      <c r="C224" s="2" t="s">
        <v>7138</v>
      </c>
      <c r="D224" s="2">
        <v>2008</v>
      </c>
      <c r="E224" s="2" t="s">
        <v>7139</v>
      </c>
      <c r="F224" s="2" t="s">
        <v>2961</v>
      </c>
      <c r="G224" s="2" t="s">
        <v>7192</v>
      </c>
      <c r="H224" s="2" t="s">
        <v>7141</v>
      </c>
      <c r="I224" s="2" t="s">
        <v>7143</v>
      </c>
    </row>
    <row r="225" spans="1:10">
      <c r="A225" s="2" t="s">
        <v>2962</v>
      </c>
      <c r="B225" s="2" t="s">
        <v>406</v>
      </c>
      <c r="C225" s="2" t="s">
        <v>7138</v>
      </c>
      <c r="D225" s="2">
        <v>2004</v>
      </c>
      <c r="E225" s="2" t="s">
        <v>7139</v>
      </c>
      <c r="F225" s="2" t="s">
        <v>2963</v>
      </c>
      <c r="G225" s="2" t="s">
        <v>7192</v>
      </c>
      <c r="H225" s="2" t="s">
        <v>7141</v>
      </c>
      <c r="I225" s="2" t="s">
        <v>7142</v>
      </c>
      <c r="J225" s="2" t="s">
        <v>8573</v>
      </c>
    </row>
    <row r="226" spans="1:10">
      <c r="A226" s="2" t="s">
        <v>2965</v>
      </c>
      <c r="B226" s="2" t="s">
        <v>406</v>
      </c>
      <c r="C226" s="2" t="s">
        <v>7179</v>
      </c>
      <c r="D226" s="2">
        <v>1981</v>
      </c>
      <c r="E226" s="2" t="s">
        <v>7139</v>
      </c>
      <c r="F226" s="2" t="s">
        <v>407</v>
      </c>
      <c r="G226" s="2" t="s">
        <v>7181</v>
      </c>
      <c r="H226" s="2" t="s">
        <v>7395</v>
      </c>
      <c r="I226" s="2" t="s">
        <v>7142</v>
      </c>
      <c r="J226" s="2" t="s">
        <v>8540</v>
      </c>
    </row>
    <row r="227" spans="1:10">
      <c r="A227" s="2" t="s">
        <v>2966</v>
      </c>
      <c r="B227" s="2" t="s">
        <v>406</v>
      </c>
      <c r="C227" s="2" t="s">
        <v>7138</v>
      </c>
      <c r="D227" s="2">
        <v>2000</v>
      </c>
      <c r="E227" s="2" t="s">
        <v>7139</v>
      </c>
      <c r="F227" s="2" t="s">
        <v>2967</v>
      </c>
      <c r="G227" s="2" t="s">
        <v>7192</v>
      </c>
      <c r="H227" s="2" t="s">
        <v>7141</v>
      </c>
      <c r="I227" s="2" t="s">
        <v>7142</v>
      </c>
      <c r="J227" s="2" t="s">
        <v>8557</v>
      </c>
    </row>
    <row r="228" spans="1:10">
      <c r="A228" s="2" t="s">
        <v>2968</v>
      </c>
      <c r="B228" s="2" t="s">
        <v>406</v>
      </c>
      <c r="C228" s="2" t="s">
        <v>7138</v>
      </c>
      <c r="D228" s="2">
        <v>2025</v>
      </c>
      <c r="E228" s="2" t="s">
        <v>7139</v>
      </c>
      <c r="F228" s="2" t="s">
        <v>2969</v>
      </c>
      <c r="G228" s="2" t="s">
        <v>7503</v>
      </c>
      <c r="H228" s="2" t="s">
        <v>7579</v>
      </c>
      <c r="I228" s="2" t="s">
        <v>7143</v>
      </c>
    </row>
    <row r="229" spans="1:10">
      <c r="A229" s="2" t="s">
        <v>2970</v>
      </c>
      <c r="B229" s="2" t="s">
        <v>415</v>
      </c>
      <c r="C229" s="2" t="s">
        <v>7138</v>
      </c>
      <c r="D229" s="2">
        <v>2016</v>
      </c>
      <c r="E229" s="2" t="s">
        <v>7139</v>
      </c>
      <c r="F229" s="2" t="s">
        <v>2971</v>
      </c>
      <c r="G229" s="2" t="s">
        <v>7192</v>
      </c>
      <c r="H229" s="2" t="s">
        <v>7225</v>
      </c>
      <c r="I229" s="2" t="s">
        <v>7143</v>
      </c>
    </row>
    <row r="230" spans="1:10">
      <c r="A230" s="2" t="s">
        <v>2972</v>
      </c>
      <c r="B230" s="2" t="s">
        <v>415</v>
      </c>
      <c r="C230" s="2" t="s">
        <v>7179</v>
      </c>
      <c r="D230" s="2">
        <v>1997</v>
      </c>
      <c r="E230" s="2" t="s">
        <v>7139</v>
      </c>
      <c r="F230" s="2" t="s">
        <v>417</v>
      </c>
      <c r="G230" s="2" t="s">
        <v>7181</v>
      </c>
      <c r="H230" s="2" t="s">
        <v>7182</v>
      </c>
      <c r="I230" s="2" t="s">
        <v>7142</v>
      </c>
      <c r="J230" s="2" t="s">
        <v>8551</v>
      </c>
    </row>
    <row r="231" spans="1:10">
      <c r="A231" s="2" t="s">
        <v>2973</v>
      </c>
      <c r="B231" s="2" t="s">
        <v>415</v>
      </c>
      <c r="C231" s="2" t="s">
        <v>7138</v>
      </c>
      <c r="D231" s="2">
        <v>2023</v>
      </c>
      <c r="E231" s="2" t="s">
        <v>7139</v>
      </c>
      <c r="F231" s="2" t="s">
        <v>2974</v>
      </c>
      <c r="G231" s="2" t="s">
        <v>7192</v>
      </c>
      <c r="H231" s="2" t="s">
        <v>7579</v>
      </c>
      <c r="I231" s="2" t="s">
        <v>7143</v>
      </c>
    </row>
    <row r="232" spans="1:10">
      <c r="A232" s="2" t="s">
        <v>2975</v>
      </c>
      <c r="B232" s="2" t="s">
        <v>415</v>
      </c>
      <c r="C232" s="2" t="s">
        <v>7138</v>
      </c>
      <c r="D232" s="2">
        <v>1990</v>
      </c>
      <c r="E232" s="2" t="s">
        <v>7139</v>
      </c>
      <c r="F232" s="2" t="s">
        <v>418</v>
      </c>
      <c r="G232" s="2" t="s">
        <v>7140</v>
      </c>
      <c r="H232" s="2" t="s">
        <v>7182</v>
      </c>
      <c r="I232" s="2" t="s">
        <v>7142</v>
      </c>
      <c r="J232" s="2" t="s">
        <v>8529</v>
      </c>
    </row>
    <row r="233" spans="1:10">
      <c r="A233" s="2" t="s">
        <v>2976</v>
      </c>
      <c r="B233" s="2" t="s">
        <v>434</v>
      </c>
      <c r="C233" s="2" t="s">
        <v>7138</v>
      </c>
      <c r="D233" s="2">
        <v>1968</v>
      </c>
      <c r="E233" s="2" t="s">
        <v>7139</v>
      </c>
      <c r="F233" s="2" t="s">
        <v>2977</v>
      </c>
      <c r="G233" s="2" t="s">
        <v>7140</v>
      </c>
      <c r="H233" s="2" t="s">
        <v>7141</v>
      </c>
      <c r="I233" s="2" t="s">
        <v>7142</v>
      </c>
      <c r="J233" s="2" t="s">
        <v>8529</v>
      </c>
    </row>
    <row r="234" spans="1:10">
      <c r="A234" s="2" t="s">
        <v>2978</v>
      </c>
      <c r="B234" s="2" t="s">
        <v>434</v>
      </c>
      <c r="C234" s="2" t="s">
        <v>7179</v>
      </c>
      <c r="D234" s="2">
        <v>2013</v>
      </c>
      <c r="E234" s="2" t="s">
        <v>7139</v>
      </c>
      <c r="F234" s="2" t="s">
        <v>2979</v>
      </c>
      <c r="G234" s="2" t="s">
        <v>7192</v>
      </c>
      <c r="H234" s="2" t="s">
        <v>7579</v>
      </c>
      <c r="I234" s="2" t="s">
        <v>7143</v>
      </c>
    </row>
    <row r="235" spans="1:10">
      <c r="A235" s="2" t="s">
        <v>2980</v>
      </c>
      <c r="B235" s="2" t="s">
        <v>434</v>
      </c>
      <c r="C235" s="2" t="s">
        <v>7179</v>
      </c>
      <c r="D235" s="2">
        <v>1999</v>
      </c>
      <c r="E235" s="2" t="s">
        <v>7139</v>
      </c>
      <c r="F235" s="2" t="s">
        <v>2981</v>
      </c>
      <c r="G235" s="2" t="s">
        <v>7192</v>
      </c>
      <c r="H235" s="2" t="s">
        <v>7182</v>
      </c>
      <c r="I235" s="2" t="s">
        <v>7142</v>
      </c>
      <c r="J235" s="2" t="s">
        <v>8574</v>
      </c>
    </row>
    <row r="236" spans="1:10">
      <c r="A236" s="2" t="s">
        <v>2983</v>
      </c>
      <c r="B236" s="2" t="s">
        <v>434</v>
      </c>
      <c r="C236" s="2" t="s">
        <v>7138</v>
      </c>
      <c r="E236" s="2" t="s">
        <v>7139</v>
      </c>
      <c r="F236" s="2" t="s">
        <v>436</v>
      </c>
      <c r="G236" s="2" t="s">
        <v>7192</v>
      </c>
      <c r="H236" s="2" t="s">
        <v>7141</v>
      </c>
      <c r="I236" s="2" t="s">
        <v>7142</v>
      </c>
      <c r="J236" s="2" t="s">
        <v>8551</v>
      </c>
    </row>
    <row r="237" spans="1:10">
      <c r="A237" s="2" t="s">
        <v>2984</v>
      </c>
      <c r="B237" s="2" t="s">
        <v>434</v>
      </c>
      <c r="C237" s="2" t="s">
        <v>7179</v>
      </c>
      <c r="D237" s="2">
        <v>1971</v>
      </c>
      <c r="E237" s="2" t="s">
        <v>7139</v>
      </c>
      <c r="F237" s="2" t="s">
        <v>2985</v>
      </c>
      <c r="G237" s="2" t="s">
        <v>7181</v>
      </c>
      <c r="H237" s="2" t="s">
        <v>7225</v>
      </c>
      <c r="I237" s="2" t="s">
        <v>7142</v>
      </c>
      <c r="J237" s="2" t="s">
        <v>8551</v>
      </c>
    </row>
    <row r="238" spans="1:10">
      <c r="A238" s="2" t="s">
        <v>2986</v>
      </c>
      <c r="B238" s="2" t="s">
        <v>443</v>
      </c>
      <c r="C238" s="2" t="s">
        <v>7138</v>
      </c>
      <c r="D238" s="2">
        <v>1999</v>
      </c>
      <c r="E238" s="2" t="s">
        <v>7139</v>
      </c>
      <c r="F238" s="2" t="s">
        <v>2987</v>
      </c>
      <c r="G238" s="2" t="s">
        <v>7192</v>
      </c>
      <c r="H238" s="2" t="s">
        <v>7182</v>
      </c>
      <c r="I238" s="2" t="s">
        <v>7142</v>
      </c>
      <c r="J238" s="2" t="s">
        <v>8555</v>
      </c>
    </row>
    <row r="239" spans="1:10">
      <c r="A239" s="2" t="s">
        <v>2988</v>
      </c>
      <c r="B239" s="2" t="s">
        <v>443</v>
      </c>
      <c r="C239" s="2" t="s">
        <v>7179</v>
      </c>
      <c r="D239" s="2">
        <v>1968</v>
      </c>
      <c r="E239" s="2" t="s">
        <v>7139</v>
      </c>
      <c r="F239" s="2" t="s">
        <v>2989</v>
      </c>
      <c r="G239" s="2" t="s">
        <v>7181</v>
      </c>
      <c r="H239" s="2" t="s">
        <v>7225</v>
      </c>
      <c r="I239" s="2" t="s">
        <v>7142</v>
      </c>
      <c r="J239" s="2" t="s">
        <v>8540</v>
      </c>
    </row>
    <row r="240" spans="1:10">
      <c r="A240" s="2" t="s">
        <v>2990</v>
      </c>
      <c r="B240" s="2" t="s">
        <v>454</v>
      </c>
      <c r="C240" s="2" t="s">
        <v>7179</v>
      </c>
      <c r="D240" s="2">
        <v>1972</v>
      </c>
      <c r="E240" s="2" t="s">
        <v>7139</v>
      </c>
      <c r="F240" s="2" t="s">
        <v>2991</v>
      </c>
      <c r="G240" s="2" t="s">
        <v>7181</v>
      </c>
      <c r="H240" s="2" t="s">
        <v>7225</v>
      </c>
      <c r="I240" s="2" t="s">
        <v>7142</v>
      </c>
      <c r="J240" s="2" t="s">
        <v>8540</v>
      </c>
    </row>
    <row r="241" spans="1:10">
      <c r="A241" s="2" t="s">
        <v>2992</v>
      </c>
      <c r="B241" s="2" t="s">
        <v>523</v>
      </c>
      <c r="C241" s="2" t="s">
        <v>7179</v>
      </c>
      <c r="D241" s="2">
        <v>2006</v>
      </c>
      <c r="E241" s="2" t="s">
        <v>7139</v>
      </c>
      <c r="F241" s="2" t="s">
        <v>2993</v>
      </c>
      <c r="G241" s="2" t="s">
        <v>7192</v>
      </c>
      <c r="H241" s="2" t="s">
        <v>7182</v>
      </c>
      <c r="I241" s="2" t="s">
        <v>7142</v>
      </c>
      <c r="J241" s="2" t="s">
        <v>8551</v>
      </c>
    </row>
    <row r="242" spans="1:10">
      <c r="A242" s="2" t="s">
        <v>2994</v>
      </c>
      <c r="B242" s="2" t="s">
        <v>523</v>
      </c>
      <c r="C242" s="2" t="s">
        <v>7179</v>
      </c>
      <c r="D242" s="2">
        <v>1974</v>
      </c>
      <c r="E242" s="2" t="s">
        <v>7139</v>
      </c>
      <c r="F242" s="2" t="s">
        <v>2995</v>
      </c>
      <c r="G242" s="2" t="s">
        <v>7181</v>
      </c>
      <c r="H242" s="2" t="s">
        <v>7225</v>
      </c>
      <c r="I242" s="2" t="s">
        <v>7142</v>
      </c>
      <c r="J242" s="2" t="s">
        <v>8538</v>
      </c>
    </row>
    <row r="243" spans="1:10">
      <c r="A243" s="2" t="s">
        <v>2996</v>
      </c>
      <c r="B243" s="2" t="s">
        <v>663</v>
      </c>
      <c r="C243" s="2" t="s">
        <v>7138</v>
      </c>
      <c r="D243" s="2">
        <v>1997</v>
      </c>
      <c r="E243" s="2" t="s">
        <v>7139</v>
      </c>
      <c r="F243" s="2" t="s">
        <v>2997</v>
      </c>
      <c r="G243" s="2" t="s">
        <v>7192</v>
      </c>
      <c r="H243" s="2" t="s">
        <v>7182</v>
      </c>
      <c r="I243" s="2" t="s">
        <v>7142</v>
      </c>
      <c r="J243" s="2" t="s">
        <v>8575</v>
      </c>
    </row>
    <row r="244" spans="1:10">
      <c r="A244" s="2" t="s">
        <v>2999</v>
      </c>
      <c r="B244" s="2" t="s">
        <v>663</v>
      </c>
      <c r="C244" s="2" t="s">
        <v>7179</v>
      </c>
      <c r="D244" s="2">
        <v>1999</v>
      </c>
      <c r="E244" s="2" t="s">
        <v>7139</v>
      </c>
      <c r="F244" s="2" t="s">
        <v>3000</v>
      </c>
      <c r="G244" s="2" t="s">
        <v>7192</v>
      </c>
      <c r="H244" s="2" t="s">
        <v>7182</v>
      </c>
      <c r="I244" s="2" t="s">
        <v>7142</v>
      </c>
      <c r="J244" s="2" t="s">
        <v>8575</v>
      </c>
    </row>
    <row r="245" spans="1:10">
      <c r="A245" s="2" t="s">
        <v>3001</v>
      </c>
      <c r="B245" s="2" t="s">
        <v>663</v>
      </c>
      <c r="C245" s="2" t="s">
        <v>7179</v>
      </c>
      <c r="D245" s="2">
        <v>1980</v>
      </c>
      <c r="E245" s="2" t="s">
        <v>7139</v>
      </c>
      <c r="F245" s="2" t="s">
        <v>666</v>
      </c>
      <c r="G245" s="2" t="s">
        <v>7181</v>
      </c>
      <c r="H245" s="2" t="s">
        <v>7141</v>
      </c>
      <c r="I245" s="2" t="s">
        <v>7142</v>
      </c>
      <c r="J245" s="2" t="s">
        <v>8538</v>
      </c>
    </row>
    <row r="246" spans="1:10">
      <c r="A246" s="2" t="s">
        <v>3002</v>
      </c>
      <c r="B246" s="2" t="s">
        <v>663</v>
      </c>
      <c r="C246" s="2" t="s">
        <v>7138</v>
      </c>
      <c r="D246" s="2">
        <v>2001</v>
      </c>
      <c r="E246" s="2" t="s">
        <v>7139</v>
      </c>
      <c r="F246" s="2" t="s">
        <v>3003</v>
      </c>
      <c r="G246" s="2" t="s">
        <v>7192</v>
      </c>
      <c r="H246" s="2" t="s">
        <v>7182</v>
      </c>
      <c r="I246" s="2" t="s">
        <v>7142</v>
      </c>
      <c r="J246" s="2" t="s">
        <v>8576</v>
      </c>
    </row>
    <row r="247" spans="1:10">
      <c r="A247" s="2" t="s">
        <v>3005</v>
      </c>
      <c r="B247" s="2" t="s">
        <v>663</v>
      </c>
      <c r="C247" s="2" t="s">
        <v>7179</v>
      </c>
      <c r="D247" s="2">
        <v>2006</v>
      </c>
      <c r="E247" s="2" t="s">
        <v>7139</v>
      </c>
      <c r="F247" s="2" t="s">
        <v>3006</v>
      </c>
      <c r="G247" s="2" t="s">
        <v>7192</v>
      </c>
      <c r="I247" s="2" t="s">
        <v>7142</v>
      </c>
      <c r="J247" s="2" t="s">
        <v>8577</v>
      </c>
    </row>
    <row r="248" spans="1:10">
      <c r="A248" s="2" t="s">
        <v>3008</v>
      </c>
      <c r="B248" s="2" t="s">
        <v>674</v>
      </c>
      <c r="C248" s="2" t="s">
        <v>7179</v>
      </c>
      <c r="D248" s="2">
        <v>2023</v>
      </c>
      <c r="E248" s="2" t="s">
        <v>7139</v>
      </c>
      <c r="F248" s="2" t="s">
        <v>3009</v>
      </c>
      <c r="G248" s="2" t="s">
        <v>7192</v>
      </c>
      <c r="I248" s="2" t="s">
        <v>7143</v>
      </c>
    </row>
    <row r="249" spans="1:10">
      <c r="A249" s="2" t="s">
        <v>3010</v>
      </c>
      <c r="B249" s="2" t="s">
        <v>674</v>
      </c>
      <c r="C249" s="2" t="s">
        <v>7138</v>
      </c>
      <c r="D249" s="2">
        <v>2002</v>
      </c>
      <c r="E249" s="2" t="s">
        <v>7139</v>
      </c>
      <c r="F249" s="2" t="s">
        <v>3011</v>
      </c>
      <c r="G249" s="2" t="s">
        <v>7140</v>
      </c>
      <c r="H249" s="2" t="s">
        <v>7182</v>
      </c>
      <c r="I249" s="2" t="s">
        <v>7142</v>
      </c>
      <c r="J249" s="2" t="s">
        <v>8529</v>
      </c>
    </row>
    <row r="250" spans="1:10">
      <c r="A250" s="2" t="s">
        <v>3012</v>
      </c>
      <c r="B250" s="2" t="s">
        <v>674</v>
      </c>
      <c r="C250" s="2" t="s">
        <v>7179</v>
      </c>
      <c r="D250" s="2">
        <v>2001</v>
      </c>
      <c r="E250" s="2" t="s">
        <v>7139</v>
      </c>
      <c r="F250" s="2" t="s">
        <v>676</v>
      </c>
      <c r="G250" s="2" t="s">
        <v>7181</v>
      </c>
      <c r="H250" s="2" t="s">
        <v>7182</v>
      </c>
      <c r="I250" s="2" t="s">
        <v>7142</v>
      </c>
      <c r="J250" s="2" t="s">
        <v>8540</v>
      </c>
    </row>
    <row r="251" spans="1:10">
      <c r="A251" s="2" t="s">
        <v>3013</v>
      </c>
      <c r="B251" s="2" t="s">
        <v>682</v>
      </c>
      <c r="C251" s="2" t="s">
        <v>7179</v>
      </c>
      <c r="D251" s="2">
        <v>2002</v>
      </c>
      <c r="E251" s="2" t="s">
        <v>7180</v>
      </c>
      <c r="F251" s="2" t="s">
        <v>3014</v>
      </c>
      <c r="G251" s="2" t="s">
        <v>7192</v>
      </c>
      <c r="H251" s="2" t="s">
        <v>7182</v>
      </c>
      <c r="I251" s="2" t="s">
        <v>7143</v>
      </c>
    </row>
    <row r="252" spans="1:10">
      <c r="A252" s="2" t="s">
        <v>3015</v>
      </c>
      <c r="B252" s="2" t="s">
        <v>682</v>
      </c>
      <c r="C252" s="2" t="s">
        <v>7138</v>
      </c>
      <c r="D252" s="2">
        <v>2006</v>
      </c>
      <c r="E252" s="2" t="s">
        <v>7180</v>
      </c>
      <c r="F252" s="2" t="s">
        <v>3016</v>
      </c>
      <c r="G252" s="2" t="s">
        <v>7192</v>
      </c>
      <c r="I252" s="2" t="s">
        <v>7143</v>
      </c>
    </row>
    <row r="253" spans="1:10">
      <c r="A253" s="2" t="s">
        <v>3017</v>
      </c>
      <c r="B253" s="2" t="s">
        <v>682</v>
      </c>
      <c r="C253" s="2" t="s">
        <v>7179</v>
      </c>
      <c r="D253" s="2">
        <v>1979</v>
      </c>
      <c r="E253" s="2" t="s">
        <v>7180</v>
      </c>
      <c r="F253" s="2" t="s">
        <v>3018</v>
      </c>
      <c r="G253" s="2" t="s">
        <v>7181</v>
      </c>
      <c r="H253" s="2" t="s">
        <v>7182</v>
      </c>
      <c r="I253" s="2" t="s">
        <v>7142</v>
      </c>
      <c r="J253" s="2" t="s">
        <v>8529</v>
      </c>
    </row>
    <row r="254" spans="1:10">
      <c r="A254" s="2" t="s">
        <v>3019</v>
      </c>
      <c r="B254" s="2" t="s">
        <v>682</v>
      </c>
      <c r="C254" s="2" t="s">
        <v>7138</v>
      </c>
      <c r="D254" s="2">
        <v>1976</v>
      </c>
      <c r="E254" s="2" t="s">
        <v>7180</v>
      </c>
      <c r="F254" s="2" t="s">
        <v>684</v>
      </c>
      <c r="G254" s="2" t="s">
        <v>7140</v>
      </c>
      <c r="H254" s="2" t="s">
        <v>7428</v>
      </c>
      <c r="I254" s="2" t="s">
        <v>7142</v>
      </c>
      <c r="J254" s="2" t="s">
        <v>8578</v>
      </c>
    </row>
    <row r="255" spans="1:10">
      <c r="A255" s="2" t="s">
        <v>3021</v>
      </c>
      <c r="B255" s="2" t="s">
        <v>655</v>
      </c>
      <c r="C255" s="2" t="s">
        <v>7179</v>
      </c>
      <c r="D255" s="2">
        <v>1980</v>
      </c>
      <c r="E255" s="2" t="s">
        <v>7139</v>
      </c>
      <c r="F255" s="2" t="s">
        <v>3022</v>
      </c>
      <c r="G255" s="2" t="s">
        <v>7181</v>
      </c>
      <c r="H255" s="2" t="s">
        <v>7141</v>
      </c>
      <c r="I255" s="2" t="s">
        <v>7142</v>
      </c>
      <c r="J255" s="2" t="s">
        <v>8555</v>
      </c>
    </row>
    <row r="256" spans="1:10">
      <c r="A256" s="2" t="s">
        <v>3023</v>
      </c>
      <c r="B256" s="2" t="s">
        <v>655</v>
      </c>
      <c r="C256" s="2" t="s">
        <v>7138</v>
      </c>
      <c r="D256" s="2">
        <v>2007</v>
      </c>
      <c r="E256" s="2" t="s">
        <v>7139</v>
      </c>
      <c r="F256" s="2" t="s">
        <v>3024</v>
      </c>
      <c r="G256" s="2" t="s">
        <v>7192</v>
      </c>
      <c r="H256" s="2" t="s">
        <v>7182</v>
      </c>
      <c r="I256" s="2" t="s">
        <v>7142</v>
      </c>
      <c r="J256" s="2" t="s">
        <v>8531</v>
      </c>
    </row>
    <row r="257" spans="1:10">
      <c r="A257" s="2" t="s">
        <v>3025</v>
      </c>
      <c r="B257" s="2" t="s">
        <v>655</v>
      </c>
      <c r="C257" s="2" t="s">
        <v>7138</v>
      </c>
      <c r="D257" s="2">
        <v>1981</v>
      </c>
      <c r="E257" s="2" t="s">
        <v>7139</v>
      </c>
      <c r="F257" s="2" t="s">
        <v>657</v>
      </c>
      <c r="G257" s="2" t="s">
        <v>7140</v>
      </c>
      <c r="H257" s="2" t="s">
        <v>7141</v>
      </c>
      <c r="I257" s="2" t="s">
        <v>7142</v>
      </c>
      <c r="J257" s="2" t="s">
        <v>8533</v>
      </c>
    </row>
    <row r="258" spans="1:10">
      <c r="A258" s="2" t="s">
        <v>3026</v>
      </c>
      <c r="B258" s="2" t="s">
        <v>715</v>
      </c>
      <c r="C258" s="2" t="s">
        <v>7179</v>
      </c>
      <c r="D258" s="2">
        <v>1952</v>
      </c>
      <c r="E258" s="2" t="s">
        <v>7139</v>
      </c>
      <c r="F258" s="2" t="s">
        <v>3027</v>
      </c>
      <c r="G258" s="2" t="s">
        <v>7181</v>
      </c>
      <c r="H258" s="2" t="s">
        <v>7395</v>
      </c>
      <c r="I258" s="2" t="s">
        <v>7142</v>
      </c>
      <c r="J258" s="2" t="s">
        <v>8555</v>
      </c>
    </row>
    <row r="259" spans="1:10">
      <c r="A259" s="2" t="s">
        <v>3028</v>
      </c>
      <c r="B259" s="2" t="s">
        <v>715</v>
      </c>
      <c r="C259" s="2" t="s">
        <v>7138</v>
      </c>
      <c r="D259" s="2">
        <v>1993</v>
      </c>
      <c r="E259" s="2" t="s">
        <v>7139</v>
      </c>
      <c r="F259" s="2" t="s">
        <v>3029</v>
      </c>
      <c r="G259" s="2" t="s">
        <v>7192</v>
      </c>
      <c r="H259" s="2" t="s">
        <v>7182</v>
      </c>
      <c r="I259" s="2" t="s">
        <v>7142</v>
      </c>
      <c r="J259" s="2" t="s">
        <v>8531</v>
      </c>
    </row>
    <row r="260" spans="1:10">
      <c r="A260" s="2" t="s">
        <v>3030</v>
      </c>
      <c r="B260" s="2" t="s">
        <v>715</v>
      </c>
      <c r="C260" s="2" t="s">
        <v>7138</v>
      </c>
      <c r="D260" s="2">
        <v>1952</v>
      </c>
      <c r="E260" s="2" t="s">
        <v>7139</v>
      </c>
      <c r="F260" s="2" t="s">
        <v>719</v>
      </c>
      <c r="G260" s="2" t="s">
        <v>7140</v>
      </c>
      <c r="H260" s="2" t="s">
        <v>7395</v>
      </c>
      <c r="I260" s="2" t="s">
        <v>7142</v>
      </c>
      <c r="J260" s="2" t="s">
        <v>8529</v>
      </c>
    </row>
    <row r="261" spans="1:10">
      <c r="A261" s="2" t="s">
        <v>3031</v>
      </c>
      <c r="B261" s="2" t="s">
        <v>715</v>
      </c>
      <c r="C261" s="2" t="s">
        <v>7179</v>
      </c>
      <c r="D261" s="2">
        <v>1994</v>
      </c>
      <c r="E261" s="2" t="s">
        <v>7139</v>
      </c>
      <c r="F261" s="2" t="s">
        <v>718</v>
      </c>
      <c r="G261" s="2" t="s">
        <v>7192</v>
      </c>
      <c r="H261" s="2" t="s">
        <v>7182</v>
      </c>
      <c r="I261" s="2" t="s">
        <v>7142</v>
      </c>
      <c r="J261" s="2" t="s">
        <v>8555</v>
      </c>
    </row>
    <row r="262" spans="1:10">
      <c r="A262" s="2" t="s">
        <v>3032</v>
      </c>
      <c r="B262" s="2" t="s">
        <v>761</v>
      </c>
      <c r="C262" s="2" t="s">
        <v>7179</v>
      </c>
      <c r="D262" s="2">
        <v>2002</v>
      </c>
      <c r="E262" s="2" t="s">
        <v>7139</v>
      </c>
      <c r="F262" s="2" t="s">
        <v>764</v>
      </c>
      <c r="G262" s="2" t="s">
        <v>7181</v>
      </c>
      <c r="H262" s="2" t="s">
        <v>7141</v>
      </c>
      <c r="I262" s="2" t="s">
        <v>7142</v>
      </c>
      <c r="J262" s="2" t="s">
        <v>8538</v>
      </c>
    </row>
    <row r="263" spans="1:10">
      <c r="A263" s="2" t="s">
        <v>3033</v>
      </c>
      <c r="B263" s="2" t="s">
        <v>761</v>
      </c>
      <c r="C263" s="2" t="s">
        <v>7138</v>
      </c>
      <c r="D263" s="2">
        <v>1996</v>
      </c>
      <c r="E263" s="2" t="s">
        <v>7139</v>
      </c>
      <c r="F263" s="2" t="s">
        <v>765</v>
      </c>
      <c r="G263" s="2" t="s">
        <v>7140</v>
      </c>
      <c r="H263" s="2" t="s">
        <v>7225</v>
      </c>
      <c r="I263" s="2" t="s">
        <v>7142</v>
      </c>
      <c r="J263" s="2" t="s">
        <v>8532</v>
      </c>
    </row>
    <row r="264" spans="1:10">
      <c r="A264" s="2" t="s">
        <v>3034</v>
      </c>
      <c r="B264" s="2" t="s">
        <v>776</v>
      </c>
      <c r="C264" s="2" t="s">
        <v>7138</v>
      </c>
      <c r="D264" s="2">
        <v>1982</v>
      </c>
      <c r="E264" s="2" t="s">
        <v>7139</v>
      </c>
      <c r="F264" s="2" t="s">
        <v>780</v>
      </c>
      <c r="G264" s="2" t="s">
        <v>7140</v>
      </c>
      <c r="H264" s="2" t="s">
        <v>7141</v>
      </c>
      <c r="I264" s="2" t="s">
        <v>7142</v>
      </c>
      <c r="J264" s="2" t="s">
        <v>8529</v>
      </c>
    </row>
    <row r="265" spans="1:10">
      <c r="A265" s="2" t="s">
        <v>3035</v>
      </c>
      <c r="B265" s="2" t="s">
        <v>776</v>
      </c>
      <c r="C265" s="2" t="s">
        <v>7179</v>
      </c>
      <c r="D265" s="2">
        <v>1984</v>
      </c>
      <c r="E265" s="2" t="s">
        <v>7139</v>
      </c>
      <c r="F265" s="2" t="s">
        <v>3036</v>
      </c>
      <c r="G265" s="2" t="s">
        <v>7181</v>
      </c>
      <c r="H265" s="2" t="s">
        <v>7395</v>
      </c>
      <c r="I265" s="2" t="s">
        <v>7142</v>
      </c>
      <c r="J265" s="2" t="s">
        <v>8555</v>
      </c>
    </row>
    <row r="266" spans="1:10">
      <c r="A266" s="2" t="s">
        <v>3037</v>
      </c>
      <c r="B266" s="2" t="s">
        <v>693</v>
      </c>
      <c r="C266" s="2" t="s">
        <v>7179</v>
      </c>
      <c r="D266" s="2">
        <v>1998</v>
      </c>
      <c r="E266" s="2" t="s">
        <v>7139</v>
      </c>
      <c r="F266" s="2" t="s">
        <v>695</v>
      </c>
      <c r="G266" s="2" t="s">
        <v>7181</v>
      </c>
      <c r="H266" s="2" t="s">
        <v>7225</v>
      </c>
      <c r="I266" s="2" t="s">
        <v>7142</v>
      </c>
      <c r="J266" s="2" t="s">
        <v>8540</v>
      </c>
    </row>
    <row r="267" spans="1:10">
      <c r="A267" s="2" t="s">
        <v>3038</v>
      </c>
      <c r="B267" s="2" t="s">
        <v>693</v>
      </c>
      <c r="C267" s="2" t="s">
        <v>7138</v>
      </c>
      <c r="D267" s="2">
        <v>2022</v>
      </c>
      <c r="E267" s="2" t="s">
        <v>7139</v>
      </c>
      <c r="F267" s="2" t="s">
        <v>3039</v>
      </c>
      <c r="G267" s="2" t="s">
        <v>7192</v>
      </c>
      <c r="I267" s="2" t="s">
        <v>7143</v>
      </c>
    </row>
    <row r="268" spans="1:10">
      <c r="A268" s="2" t="s">
        <v>3040</v>
      </c>
      <c r="B268" s="2" t="s">
        <v>266</v>
      </c>
      <c r="C268" s="2" t="s">
        <v>7138</v>
      </c>
      <c r="D268" s="2">
        <v>1974</v>
      </c>
      <c r="E268" s="2" t="s">
        <v>7139</v>
      </c>
      <c r="F268" s="2" t="s">
        <v>268</v>
      </c>
      <c r="G268" s="2" t="s">
        <v>7140</v>
      </c>
      <c r="H268" s="2" t="s">
        <v>7225</v>
      </c>
      <c r="I268" s="2" t="s">
        <v>7142</v>
      </c>
      <c r="J268" s="2" t="s">
        <v>8529</v>
      </c>
    </row>
    <row r="269" spans="1:10">
      <c r="A269" s="2" t="s">
        <v>3041</v>
      </c>
      <c r="B269" s="2" t="s">
        <v>783</v>
      </c>
      <c r="C269" s="2" t="s">
        <v>7138</v>
      </c>
      <c r="D269" s="2">
        <v>1995</v>
      </c>
      <c r="E269" s="2" t="s">
        <v>7139</v>
      </c>
      <c r="F269" s="2" t="s">
        <v>785</v>
      </c>
      <c r="G269" s="2" t="s">
        <v>7140</v>
      </c>
      <c r="H269" s="2" t="s">
        <v>7141</v>
      </c>
      <c r="I269" s="2" t="s">
        <v>7142</v>
      </c>
      <c r="J269" s="2" t="s">
        <v>8529</v>
      </c>
    </row>
    <row r="270" spans="1:10">
      <c r="A270" s="2" t="s">
        <v>3042</v>
      </c>
      <c r="B270" s="2" t="s">
        <v>783</v>
      </c>
      <c r="C270" s="2" t="s">
        <v>7179</v>
      </c>
      <c r="D270" s="2">
        <v>1996</v>
      </c>
      <c r="E270" s="2" t="s">
        <v>7139</v>
      </c>
      <c r="F270" s="2" t="s">
        <v>3043</v>
      </c>
      <c r="G270" s="2" t="s">
        <v>7181</v>
      </c>
      <c r="H270" s="2" t="s">
        <v>7225</v>
      </c>
      <c r="I270" s="2" t="s">
        <v>7142</v>
      </c>
      <c r="J270" s="2" t="s">
        <v>8555</v>
      </c>
    </row>
    <row r="271" spans="1:10">
      <c r="A271" s="2" t="s">
        <v>3044</v>
      </c>
      <c r="B271" s="2" t="s">
        <v>745</v>
      </c>
      <c r="C271" s="2" t="s">
        <v>7138</v>
      </c>
      <c r="D271" s="2">
        <v>2011</v>
      </c>
      <c r="E271" s="2" t="s">
        <v>7139</v>
      </c>
      <c r="F271" s="2" t="s">
        <v>3045</v>
      </c>
      <c r="G271" s="2" t="s">
        <v>7503</v>
      </c>
      <c r="H271" s="2" t="s">
        <v>7141</v>
      </c>
      <c r="I271" s="2" t="s">
        <v>7142</v>
      </c>
      <c r="J271" s="2" t="s">
        <v>8575</v>
      </c>
    </row>
    <row r="272" spans="1:10">
      <c r="A272" s="2" t="s">
        <v>3046</v>
      </c>
      <c r="B272" s="2" t="s">
        <v>745</v>
      </c>
      <c r="C272" s="2" t="s">
        <v>7138</v>
      </c>
      <c r="D272" s="2">
        <v>1990</v>
      </c>
      <c r="E272" s="2" t="s">
        <v>7139</v>
      </c>
      <c r="F272" s="2" t="s">
        <v>747</v>
      </c>
      <c r="G272" s="2" t="s">
        <v>7192</v>
      </c>
      <c r="H272" s="2" t="s">
        <v>7141</v>
      </c>
      <c r="I272" s="2" t="s">
        <v>7142</v>
      </c>
      <c r="J272" s="2" t="s">
        <v>8530</v>
      </c>
    </row>
    <row r="273" spans="1:10">
      <c r="A273" s="2" t="s">
        <v>3047</v>
      </c>
      <c r="B273" s="2" t="s">
        <v>745</v>
      </c>
      <c r="C273" s="2" t="s">
        <v>7179</v>
      </c>
      <c r="D273" s="2">
        <v>1993</v>
      </c>
      <c r="E273" s="2" t="s">
        <v>7139</v>
      </c>
      <c r="F273" s="2" t="s">
        <v>3048</v>
      </c>
      <c r="G273" s="2" t="s">
        <v>7192</v>
      </c>
      <c r="H273" s="2" t="s">
        <v>7141</v>
      </c>
      <c r="I273" s="2" t="s">
        <v>7142</v>
      </c>
      <c r="J273" s="2" t="s">
        <v>8557</v>
      </c>
    </row>
    <row r="274" spans="1:10">
      <c r="A274" s="2" t="s">
        <v>3049</v>
      </c>
      <c r="B274" s="2" t="s">
        <v>745</v>
      </c>
      <c r="C274" s="2" t="s">
        <v>7179</v>
      </c>
      <c r="D274" s="2">
        <v>1974</v>
      </c>
      <c r="E274" s="2" t="s">
        <v>7139</v>
      </c>
      <c r="F274" s="2" t="s">
        <v>3050</v>
      </c>
      <c r="G274" s="2" t="s">
        <v>7181</v>
      </c>
      <c r="H274" s="2" t="s">
        <v>7225</v>
      </c>
      <c r="I274" s="2" t="s">
        <v>7142</v>
      </c>
      <c r="J274" s="2" t="s">
        <v>8529</v>
      </c>
    </row>
    <row r="275" spans="1:10">
      <c r="A275" s="2" t="s">
        <v>3051</v>
      </c>
      <c r="B275" s="2" t="s">
        <v>745</v>
      </c>
      <c r="C275" s="2" t="s">
        <v>7138</v>
      </c>
      <c r="D275" s="2">
        <v>2015</v>
      </c>
      <c r="E275" s="2" t="s">
        <v>7139</v>
      </c>
      <c r="F275" s="2" t="s">
        <v>3052</v>
      </c>
      <c r="G275" s="2" t="s">
        <v>7503</v>
      </c>
      <c r="H275" s="2" t="s">
        <v>7141</v>
      </c>
      <c r="I275" s="2" t="s">
        <v>7143</v>
      </c>
    </row>
    <row r="276" spans="1:10">
      <c r="A276" s="2" t="s">
        <v>3053</v>
      </c>
      <c r="B276" s="2" t="s">
        <v>1245</v>
      </c>
      <c r="C276" s="2" t="s">
        <v>7138</v>
      </c>
      <c r="D276" s="2">
        <v>1972</v>
      </c>
      <c r="E276" s="2" t="s">
        <v>7180</v>
      </c>
      <c r="F276" s="2" t="s">
        <v>1248</v>
      </c>
      <c r="G276" s="2" t="s">
        <v>7140</v>
      </c>
      <c r="H276" s="2" t="s">
        <v>7141</v>
      </c>
      <c r="I276" s="2" t="s">
        <v>7142</v>
      </c>
      <c r="J276" s="2" t="s">
        <v>8533</v>
      </c>
    </row>
    <row r="277" spans="1:10">
      <c r="A277" s="2" t="s">
        <v>3054</v>
      </c>
      <c r="B277" s="2" t="s">
        <v>839</v>
      </c>
      <c r="C277" s="2" t="s">
        <v>7138</v>
      </c>
      <c r="D277" s="2">
        <v>1966</v>
      </c>
      <c r="E277" s="2" t="s">
        <v>7180</v>
      </c>
      <c r="F277" s="2" t="s">
        <v>843</v>
      </c>
      <c r="G277" s="2" t="s">
        <v>7140</v>
      </c>
      <c r="H277" s="2" t="s">
        <v>7141</v>
      </c>
      <c r="I277" s="2" t="s">
        <v>7142</v>
      </c>
      <c r="J277" s="2" t="s">
        <v>8531</v>
      </c>
    </row>
    <row r="278" spans="1:10">
      <c r="A278" s="2" t="s">
        <v>3055</v>
      </c>
      <c r="B278" s="2" t="s">
        <v>839</v>
      </c>
      <c r="C278" s="2" t="s">
        <v>7179</v>
      </c>
      <c r="D278" s="2">
        <v>1969</v>
      </c>
      <c r="E278" s="2" t="s">
        <v>7180</v>
      </c>
      <c r="F278" s="2" t="s">
        <v>842</v>
      </c>
      <c r="G278" s="2" t="s">
        <v>7181</v>
      </c>
      <c r="H278" s="2" t="s">
        <v>7141</v>
      </c>
      <c r="I278" s="2" t="s">
        <v>7142</v>
      </c>
      <c r="J278" s="2" t="s">
        <v>8529</v>
      </c>
    </row>
    <row r="279" spans="1:10">
      <c r="A279" s="2" t="s">
        <v>3056</v>
      </c>
      <c r="B279" s="2" t="s">
        <v>257</v>
      </c>
      <c r="C279" s="2" t="s">
        <v>7138</v>
      </c>
      <c r="D279" s="2">
        <v>1974</v>
      </c>
      <c r="E279" s="2" t="s">
        <v>7139</v>
      </c>
      <c r="F279" s="2" t="s">
        <v>259</v>
      </c>
      <c r="G279" s="2" t="s">
        <v>7140</v>
      </c>
      <c r="H279" s="2" t="s">
        <v>7225</v>
      </c>
      <c r="I279" s="2" t="s">
        <v>7142</v>
      </c>
      <c r="J279" s="2" t="s">
        <v>8529</v>
      </c>
    </row>
    <row r="280" spans="1:10">
      <c r="A280" s="2" t="s">
        <v>3057</v>
      </c>
      <c r="B280" s="2" t="s">
        <v>873</v>
      </c>
      <c r="C280" s="2" t="s">
        <v>7179</v>
      </c>
      <c r="D280" s="2">
        <v>1990</v>
      </c>
      <c r="E280" s="2" t="s">
        <v>7180</v>
      </c>
      <c r="F280" s="2" t="s">
        <v>3058</v>
      </c>
      <c r="G280" s="2" t="s">
        <v>7181</v>
      </c>
      <c r="H280" s="2" t="s">
        <v>7182</v>
      </c>
      <c r="I280" s="2" t="s">
        <v>7142</v>
      </c>
      <c r="J280" s="2" t="s">
        <v>8538</v>
      </c>
    </row>
    <row r="281" spans="1:10">
      <c r="A281" s="2" t="s">
        <v>3059</v>
      </c>
      <c r="B281" s="2" t="s">
        <v>873</v>
      </c>
      <c r="C281" s="2" t="s">
        <v>7138</v>
      </c>
      <c r="D281" s="2">
        <v>1988</v>
      </c>
      <c r="E281" s="2" t="s">
        <v>7180</v>
      </c>
      <c r="F281" s="2" t="s">
        <v>876</v>
      </c>
      <c r="G281" s="2" t="s">
        <v>7140</v>
      </c>
      <c r="H281" s="2" t="s">
        <v>7428</v>
      </c>
      <c r="I281" s="2" t="s">
        <v>7142</v>
      </c>
      <c r="J281" s="2" t="s">
        <v>8532</v>
      </c>
    </row>
    <row r="282" spans="1:10">
      <c r="A282" s="2" t="s">
        <v>3060</v>
      </c>
      <c r="B282" s="2" t="s">
        <v>220</v>
      </c>
      <c r="C282" s="2" t="s">
        <v>7138</v>
      </c>
      <c r="D282" s="2">
        <v>1960</v>
      </c>
      <c r="E282" s="2" t="s">
        <v>7180</v>
      </c>
      <c r="F282" s="2" t="s">
        <v>222</v>
      </c>
      <c r="G282" s="2" t="s">
        <v>7140</v>
      </c>
      <c r="H282" s="2" t="s">
        <v>7182</v>
      </c>
      <c r="I282" s="2" t="s">
        <v>7142</v>
      </c>
      <c r="J282" s="2" t="s">
        <v>8533</v>
      </c>
    </row>
    <row r="283" spans="1:10">
      <c r="A283" s="2" t="s">
        <v>3061</v>
      </c>
      <c r="B283" s="2" t="s">
        <v>945</v>
      </c>
      <c r="C283" s="2" t="s">
        <v>7138</v>
      </c>
      <c r="D283" s="2">
        <v>1996</v>
      </c>
      <c r="E283" s="2" t="s">
        <v>7139</v>
      </c>
      <c r="F283" s="2" t="s">
        <v>947</v>
      </c>
      <c r="G283" s="2" t="s">
        <v>7140</v>
      </c>
      <c r="H283" s="2" t="s">
        <v>7141</v>
      </c>
      <c r="I283" s="2" t="s">
        <v>7142</v>
      </c>
      <c r="J283" s="2" t="s">
        <v>8533</v>
      </c>
    </row>
    <row r="284" spans="1:10">
      <c r="A284" s="2" t="s">
        <v>3062</v>
      </c>
      <c r="B284" s="2" t="s">
        <v>945</v>
      </c>
      <c r="C284" s="2" t="s">
        <v>7138</v>
      </c>
      <c r="D284" s="2">
        <v>2021</v>
      </c>
      <c r="E284" s="2" t="s">
        <v>7490</v>
      </c>
      <c r="F284" s="2" t="s">
        <v>3063</v>
      </c>
      <c r="G284" s="2" t="s">
        <v>7192</v>
      </c>
      <c r="H284" s="2" t="s">
        <v>7579</v>
      </c>
      <c r="I284" s="2" t="s">
        <v>7143</v>
      </c>
    </row>
    <row r="285" spans="1:10">
      <c r="A285" s="2" t="s">
        <v>3064</v>
      </c>
      <c r="B285" s="2" t="s">
        <v>945</v>
      </c>
      <c r="C285" s="2" t="s">
        <v>7179</v>
      </c>
      <c r="D285" s="2">
        <v>1997</v>
      </c>
      <c r="E285" s="2" t="s">
        <v>7490</v>
      </c>
      <c r="F285" s="2" t="s">
        <v>3065</v>
      </c>
      <c r="G285" s="2" t="s">
        <v>7181</v>
      </c>
      <c r="H285" s="2" t="s">
        <v>7225</v>
      </c>
      <c r="I285" s="2" t="s">
        <v>7142</v>
      </c>
      <c r="J285" s="2" t="s">
        <v>8555</v>
      </c>
    </row>
    <row r="286" spans="1:10">
      <c r="A286" s="2" t="s">
        <v>3066</v>
      </c>
      <c r="B286" s="2" t="s">
        <v>1331</v>
      </c>
      <c r="C286" s="2" t="s">
        <v>7138</v>
      </c>
      <c r="D286" s="2">
        <v>1965</v>
      </c>
      <c r="E286" s="2" t="s">
        <v>7180</v>
      </c>
      <c r="F286" s="2" t="s">
        <v>1333</v>
      </c>
      <c r="G286" s="2" t="s">
        <v>7140</v>
      </c>
      <c r="H286" s="2" t="s">
        <v>7141</v>
      </c>
      <c r="I286" s="2" t="s">
        <v>7142</v>
      </c>
      <c r="J286" s="2" t="s">
        <v>8533</v>
      </c>
    </row>
    <row r="287" spans="1:10">
      <c r="A287" s="2" t="s">
        <v>3067</v>
      </c>
      <c r="B287" s="2" t="s">
        <v>892</v>
      </c>
      <c r="C287" s="2" t="s">
        <v>7179</v>
      </c>
      <c r="D287" s="2">
        <v>1975</v>
      </c>
      <c r="E287" s="2" t="s">
        <v>7139</v>
      </c>
      <c r="F287" s="2" t="s">
        <v>895</v>
      </c>
      <c r="G287" s="2" t="s">
        <v>7140</v>
      </c>
      <c r="H287" s="2" t="s">
        <v>7225</v>
      </c>
      <c r="I287" s="2" t="s">
        <v>7142</v>
      </c>
      <c r="J287" s="2" t="s">
        <v>8538</v>
      </c>
    </row>
    <row r="288" spans="1:10">
      <c r="A288" s="2" t="s">
        <v>3068</v>
      </c>
      <c r="B288" s="2" t="s">
        <v>892</v>
      </c>
      <c r="C288" s="2" t="s">
        <v>7179</v>
      </c>
      <c r="D288" s="2">
        <v>1972</v>
      </c>
      <c r="E288" s="2" t="s">
        <v>7139</v>
      </c>
      <c r="F288" s="2" t="s">
        <v>894</v>
      </c>
      <c r="G288" s="2" t="s">
        <v>7503</v>
      </c>
      <c r="H288" s="2" t="s">
        <v>7225</v>
      </c>
      <c r="I288" s="2" t="s">
        <v>7142</v>
      </c>
      <c r="J288" s="2" t="s">
        <v>8579</v>
      </c>
    </row>
    <row r="289" spans="1:10">
      <c r="A289" s="2" t="s">
        <v>3070</v>
      </c>
      <c r="B289" s="2" t="s">
        <v>244</v>
      </c>
      <c r="C289" s="2" t="s">
        <v>7138</v>
      </c>
      <c r="D289" s="2">
        <v>1990</v>
      </c>
      <c r="E289" s="2" t="s">
        <v>7139</v>
      </c>
      <c r="F289" s="2" t="s">
        <v>3071</v>
      </c>
      <c r="G289" s="2" t="s">
        <v>7140</v>
      </c>
      <c r="H289" s="2" t="s">
        <v>7182</v>
      </c>
      <c r="I289" s="2" t="s">
        <v>7142</v>
      </c>
      <c r="J289" s="2" t="s">
        <v>8533</v>
      </c>
    </row>
    <row r="290" spans="1:10">
      <c r="A290" s="2" t="s">
        <v>3072</v>
      </c>
      <c r="B290" s="2" t="s">
        <v>1971</v>
      </c>
      <c r="C290" s="2" t="s">
        <v>7138</v>
      </c>
      <c r="D290" s="2">
        <v>1968</v>
      </c>
      <c r="E290" s="2" t="s">
        <v>7180</v>
      </c>
      <c r="F290" s="2" t="s">
        <v>3073</v>
      </c>
      <c r="G290" s="2" t="s">
        <v>7140</v>
      </c>
      <c r="H290" s="2" t="s">
        <v>7141</v>
      </c>
      <c r="I290" s="2" t="s">
        <v>7142</v>
      </c>
      <c r="J290" s="2" t="s">
        <v>8580</v>
      </c>
    </row>
    <row r="291" spans="1:10">
      <c r="A291" s="2" t="s">
        <v>3075</v>
      </c>
      <c r="B291" s="2" t="s">
        <v>1971</v>
      </c>
      <c r="C291" s="2" t="s">
        <v>7179</v>
      </c>
      <c r="D291" s="2">
        <v>1964</v>
      </c>
      <c r="E291" s="2" t="s">
        <v>7180</v>
      </c>
      <c r="F291" s="2" t="s">
        <v>1973</v>
      </c>
      <c r="G291" s="2" t="s">
        <v>7181</v>
      </c>
      <c r="I291" s="2" t="s">
        <v>7142</v>
      </c>
      <c r="J291" s="2" t="s">
        <v>8538</v>
      </c>
    </row>
    <row r="292" spans="1:10">
      <c r="A292" s="2" t="s">
        <v>3076</v>
      </c>
      <c r="B292" s="2" t="s">
        <v>2042</v>
      </c>
      <c r="C292" s="2" t="s">
        <v>7179</v>
      </c>
      <c r="D292" s="2">
        <v>1982</v>
      </c>
      <c r="E292" s="2" t="s">
        <v>7180</v>
      </c>
      <c r="F292" s="2" t="s">
        <v>3077</v>
      </c>
      <c r="G292" s="2" t="s">
        <v>7181</v>
      </c>
      <c r="H292" s="2" t="s">
        <v>7141</v>
      </c>
      <c r="I292" s="2" t="s">
        <v>7142</v>
      </c>
      <c r="J292" s="2" t="s">
        <v>8555</v>
      </c>
    </row>
    <row r="293" spans="1:10">
      <c r="A293" s="2" t="s">
        <v>3078</v>
      </c>
      <c r="B293" s="2" t="s">
        <v>2042</v>
      </c>
      <c r="C293" s="2" t="s">
        <v>7138</v>
      </c>
      <c r="D293" s="2">
        <v>2003</v>
      </c>
      <c r="E293" s="2" t="s">
        <v>7180</v>
      </c>
      <c r="F293" s="2" t="s">
        <v>2683</v>
      </c>
      <c r="G293" s="2" t="s">
        <v>7192</v>
      </c>
      <c r="H293" s="2" t="s">
        <v>7182</v>
      </c>
      <c r="I293" s="2" t="s">
        <v>7143</v>
      </c>
    </row>
    <row r="294" spans="1:10">
      <c r="A294" s="2" t="s">
        <v>3079</v>
      </c>
      <c r="B294" s="2" t="s">
        <v>2042</v>
      </c>
      <c r="C294" s="2" t="s">
        <v>7138</v>
      </c>
      <c r="D294" s="2">
        <v>2017</v>
      </c>
      <c r="E294" s="2" t="s">
        <v>7180</v>
      </c>
      <c r="F294" s="2" t="s">
        <v>3080</v>
      </c>
      <c r="G294" s="2" t="s">
        <v>7192</v>
      </c>
      <c r="H294" s="2" t="s">
        <v>7141</v>
      </c>
      <c r="I294" s="2" t="s">
        <v>7143</v>
      </c>
    </row>
    <row r="295" spans="1:10">
      <c r="A295" s="2" t="s">
        <v>3081</v>
      </c>
      <c r="B295" s="2" t="s">
        <v>2042</v>
      </c>
      <c r="C295" s="2" t="s">
        <v>7138</v>
      </c>
      <c r="D295" s="2">
        <v>1965</v>
      </c>
      <c r="E295" s="2" t="s">
        <v>7180</v>
      </c>
      <c r="F295" s="2" t="s">
        <v>1967</v>
      </c>
      <c r="G295" s="2" t="s">
        <v>7140</v>
      </c>
      <c r="H295" s="2" t="s">
        <v>7182</v>
      </c>
      <c r="I295" s="2" t="s">
        <v>7142</v>
      </c>
      <c r="J295" s="2" t="s">
        <v>8529</v>
      </c>
    </row>
    <row r="296" spans="1:10">
      <c r="A296" s="2" t="s">
        <v>3082</v>
      </c>
      <c r="B296" s="2" t="s">
        <v>234</v>
      </c>
      <c r="C296" s="2" t="s">
        <v>7179</v>
      </c>
      <c r="D296" s="2">
        <v>2001</v>
      </c>
      <c r="E296" s="2" t="s">
        <v>7139</v>
      </c>
      <c r="F296" s="2" t="s">
        <v>235</v>
      </c>
      <c r="G296" s="2" t="s">
        <v>7192</v>
      </c>
      <c r="H296" s="2" t="s">
        <v>7182</v>
      </c>
      <c r="I296" s="2" t="s">
        <v>7142</v>
      </c>
      <c r="J296" s="2" t="s">
        <v>8533</v>
      </c>
    </row>
    <row r="297" spans="1:10">
      <c r="A297" s="2" t="s">
        <v>3083</v>
      </c>
      <c r="B297" s="2" t="s">
        <v>234</v>
      </c>
      <c r="C297" s="2" t="s">
        <v>7138</v>
      </c>
      <c r="D297" s="2">
        <v>1975</v>
      </c>
      <c r="E297" s="2" t="s">
        <v>7139</v>
      </c>
      <c r="F297" s="2" t="s">
        <v>236</v>
      </c>
      <c r="G297" s="2" t="s">
        <v>7140</v>
      </c>
      <c r="H297" s="2" t="s">
        <v>7225</v>
      </c>
      <c r="I297" s="2" t="s">
        <v>7142</v>
      </c>
      <c r="J297" s="2" t="s">
        <v>8533</v>
      </c>
    </row>
    <row r="298" spans="1:10">
      <c r="A298" s="2" t="s">
        <v>3084</v>
      </c>
      <c r="B298" s="2" t="s">
        <v>176</v>
      </c>
      <c r="C298" s="2" t="s">
        <v>7138</v>
      </c>
      <c r="D298" s="2">
        <v>1997</v>
      </c>
      <c r="E298" s="2" t="s">
        <v>7139</v>
      </c>
      <c r="F298" s="2" t="s">
        <v>181</v>
      </c>
      <c r="G298" s="2" t="s">
        <v>7140</v>
      </c>
      <c r="H298" s="2" t="s">
        <v>7141</v>
      </c>
      <c r="I298" s="2" t="s">
        <v>7142</v>
      </c>
      <c r="J298" s="2" t="s">
        <v>8533</v>
      </c>
    </row>
    <row r="299" spans="1:10">
      <c r="A299" s="2" t="s">
        <v>3085</v>
      </c>
      <c r="B299" s="2" t="s">
        <v>2094</v>
      </c>
      <c r="C299" s="2" t="s">
        <v>7138</v>
      </c>
      <c r="D299" s="2">
        <v>2007</v>
      </c>
      <c r="E299" s="2" t="s">
        <v>7180</v>
      </c>
      <c r="F299" s="2" t="s">
        <v>3086</v>
      </c>
      <c r="G299" s="2" t="s">
        <v>7192</v>
      </c>
      <c r="H299" s="2" t="s">
        <v>7450</v>
      </c>
      <c r="I299" s="2" t="s">
        <v>7143</v>
      </c>
    </row>
    <row r="300" spans="1:10">
      <c r="A300" s="2" t="s">
        <v>3087</v>
      </c>
      <c r="B300" s="2" t="s">
        <v>2094</v>
      </c>
      <c r="C300" s="2" t="s">
        <v>7179</v>
      </c>
      <c r="D300" s="2">
        <v>1981</v>
      </c>
      <c r="E300" s="2" t="s">
        <v>7180</v>
      </c>
      <c r="F300" s="2" t="s">
        <v>1739</v>
      </c>
      <c r="G300" s="2" t="s">
        <v>7181</v>
      </c>
      <c r="H300" s="2" t="s">
        <v>7141</v>
      </c>
      <c r="I300" s="2" t="s">
        <v>7142</v>
      </c>
      <c r="J300" s="2" t="s">
        <v>8540</v>
      </c>
    </row>
    <row r="301" spans="1:10">
      <c r="A301" s="2" t="s">
        <v>3088</v>
      </c>
      <c r="B301" s="2" t="s">
        <v>2094</v>
      </c>
      <c r="C301" s="2" t="s">
        <v>7138</v>
      </c>
      <c r="D301" s="2">
        <v>1975</v>
      </c>
      <c r="E301" s="2" t="s">
        <v>7180</v>
      </c>
      <c r="F301" s="2" t="s">
        <v>3089</v>
      </c>
      <c r="G301" s="2" t="s">
        <v>7140</v>
      </c>
      <c r="H301" s="2" t="s">
        <v>7141</v>
      </c>
      <c r="I301" s="2" t="s">
        <v>7142</v>
      </c>
      <c r="J301" s="2" t="s">
        <v>8580</v>
      </c>
    </row>
    <row r="302" spans="1:10">
      <c r="A302" s="2" t="s">
        <v>3090</v>
      </c>
      <c r="B302" s="2" t="s">
        <v>2094</v>
      </c>
      <c r="C302" s="2" t="s">
        <v>7138</v>
      </c>
      <c r="D302" s="2">
        <v>2001</v>
      </c>
      <c r="E302" s="2" t="s">
        <v>7180</v>
      </c>
      <c r="F302" s="2" t="s">
        <v>3091</v>
      </c>
      <c r="G302" s="2" t="s">
        <v>7192</v>
      </c>
      <c r="H302" s="2" t="s">
        <v>7182</v>
      </c>
      <c r="I302" s="2" t="s">
        <v>7143</v>
      </c>
    </row>
    <row r="303" spans="1:10">
      <c r="A303" s="2" t="s">
        <v>3092</v>
      </c>
      <c r="B303" s="2" t="s">
        <v>2171</v>
      </c>
      <c r="C303" s="2" t="s">
        <v>7138</v>
      </c>
      <c r="D303" s="2">
        <v>2008</v>
      </c>
      <c r="E303" s="2" t="s">
        <v>7180</v>
      </c>
      <c r="F303" s="2" t="s">
        <v>3093</v>
      </c>
      <c r="G303" s="2" t="s">
        <v>7192</v>
      </c>
      <c r="H303" s="2" t="s">
        <v>7182</v>
      </c>
      <c r="I303" s="2" t="s">
        <v>7142</v>
      </c>
      <c r="J303" s="2" t="s">
        <v>8581</v>
      </c>
    </row>
    <row r="304" spans="1:10">
      <c r="A304" s="2" t="s">
        <v>3095</v>
      </c>
      <c r="B304" s="2" t="s">
        <v>2171</v>
      </c>
      <c r="C304" s="2" t="s">
        <v>7179</v>
      </c>
      <c r="D304" s="2">
        <v>2004</v>
      </c>
      <c r="E304" s="2" t="s">
        <v>7180</v>
      </c>
      <c r="F304" s="2" t="s">
        <v>3096</v>
      </c>
      <c r="G304" s="2" t="s">
        <v>7192</v>
      </c>
      <c r="H304" s="2" t="s">
        <v>7428</v>
      </c>
      <c r="I304" s="2" t="s">
        <v>7143</v>
      </c>
    </row>
    <row r="305" spans="1:10">
      <c r="A305" s="2" t="s">
        <v>3097</v>
      </c>
      <c r="B305" s="2" t="s">
        <v>2171</v>
      </c>
      <c r="C305" s="2" t="s">
        <v>7179</v>
      </c>
      <c r="D305" s="2">
        <v>1979</v>
      </c>
      <c r="E305" s="2" t="s">
        <v>7180</v>
      </c>
      <c r="F305" s="2" t="s">
        <v>1785</v>
      </c>
      <c r="G305" s="2" t="s">
        <v>7181</v>
      </c>
      <c r="H305" s="2" t="s">
        <v>7141</v>
      </c>
      <c r="I305" s="2" t="s">
        <v>7142</v>
      </c>
      <c r="J305" s="2" t="s">
        <v>8538</v>
      </c>
    </row>
    <row r="306" spans="1:10">
      <c r="A306" s="2" t="s">
        <v>3098</v>
      </c>
      <c r="B306" s="2" t="s">
        <v>2171</v>
      </c>
      <c r="C306" s="2" t="s">
        <v>7138</v>
      </c>
      <c r="D306" s="2">
        <v>1976</v>
      </c>
      <c r="E306" s="2" t="s">
        <v>7180</v>
      </c>
      <c r="F306" s="2" t="s">
        <v>2174</v>
      </c>
      <c r="G306" s="2" t="s">
        <v>7140</v>
      </c>
      <c r="H306" s="2" t="s">
        <v>7141</v>
      </c>
      <c r="I306" s="2" t="s">
        <v>7142</v>
      </c>
      <c r="J306" s="2" t="s">
        <v>8532</v>
      </c>
    </row>
    <row r="307" spans="1:10">
      <c r="A307" s="2" t="s">
        <v>3099</v>
      </c>
      <c r="B307" s="2" t="s">
        <v>2195</v>
      </c>
      <c r="C307" s="2" t="s">
        <v>7138</v>
      </c>
      <c r="D307" s="2">
        <v>2003</v>
      </c>
      <c r="E307" s="2" t="s">
        <v>7180</v>
      </c>
      <c r="F307" s="2" t="s">
        <v>3100</v>
      </c>
      <c r="G307" s="2" t="s">
        <v>7192</v>
      </c>
      <c r="H307" s="2" t="s">
        <v>7428</v>
      </c>
      <c r="I307" s="2" t="s">
        <v>7143</v>
      </c>
    </row>
    <row r="308" spans="1:10">
      <c r="A308" s="2" t="s">
        <v>3101</v>
      </c>
      <c r="B308" s="2" t="s">
        <v>2195</v>
      </c>
      <c r="C308" s="2" t="s">
        <v>7138</v>
      </c>
      <c r="D308" s="2">
        <v>1994</v>
      </c>
      <c r="E308" s="2" t="s">
        <v>7180</v>
      </c>
      <c r="F308" s="2" t="s">
        <v>3102</v>
      </c>
      <c r="G308" s="2" t="s">
        <v>7192</v>
      </c>
      <c r="H308" s="2" t="s">
        <v>7141</v>
      </c>
      <c r="I308" s="2" t="s">
        <v>7143</v>
      </c>
    </row>
    <row r="309" spans="1:10">
      <c r="A309" s="2" t="s">
        <v>3103</v>
      </c>
      <c r="B309" s="2" t="s">
        <v>2195</v>
      </c>
      <c r="C309" s="2" t="s">
        <v>7179</v>
      </c>
      <c r="D309" s="2">
        <v>1973</v>
      </c>
      <c r="E309" s="2" t="s">
        <v>7180</v>
      </c>
      <c r="F309" s="2" t="s">
        <v>3104</v>
      </c>
      <c r="G309" s="2" t="s">
        <v>7181</v>
      </c>
      <c r="H309" s="2" t="s">
        <v>7141</v>
      </c>
      <c r="I309" s="2" t="s">
        <v>7142</v>
      </c>
      <c r="J309" s="2" t="s">
        <v>8540</v>
      </c>
    </row>
    <row r="310" spans="1:10">
      <c r="A310" s="2" t="s">
        <v>3105</v>
      </c>
      <c r="B310" s="2" t="s">
        <v>2195</v>
      </c>
      <c r="C310" s="2" t="s">
        <v>7138</v>
      </c>
      <c r="D310" s="2">
        <v>1972</v>
      </c>
      <c r="E310" s="2" t="s">
        <v>7180</v>
      </c>
      <c r="F310" s="2" t="s">
        <v>2198</v>
      </c>
      <c r="G310" s="2" t="s">
        <v>7140</v>
      </c>
      <c r="H310" s="2" t="s">
        <v>7141</v>
      </c>
      <c r="I310" s="2" t="s">
        <v>7142</v>
      </c>
      <c r="J310" s="2" t="s">
        <v>8531</v>
      </c>
    </row>
    <row r="311" spans="1:10">
      <c r="A311" s="2" t="s">
        <v>3106</v>
      </c>
      <c r="B311" s="2" t="s">
        <v>2234</v>
      </c>
      <c r="C311" s="2" t="s">
        <v>7179</v>
      </c>
      <c r="D311" s="2">
        <v>1976</v>
      </c>
      <c r="E311" s="2" t="s">
        <v>7180</v>
      </c>
      <c r="F311" s="2" t="s">
        <v>3107</v>
      </c>
      <c r="G311" s="2" t="s">
        <v>7181</v>
      </c>
      <c r="H311" s="2" t="s">
        <v>7141</v>
      </c>
      <c r="I311" s="2" t="s">
        <v>7142</v>
      </c>
      <c r="J311" s="2" t="s">
        <v>8538</v>
      </c>
    </row>
    <row r="312" spans="1:10">
      <c r="A312" s="2" t="s">
        <v>3108</v>
      </c>
      <c r="B312" s="2" t="s">
        <v>2234</v>
      </c>
      <c r="C312" s="2" t="s">
        <v>7138</v>
      </c>
      <c r="D312" s="2">
        <v>1998</v>
      </c>
      <c r="E312" s="2" t="s">
        <v>7180</v>
      </c>
      <c r="F312" s="2" t="s">
        <v>3109</v>
      </c>
      <c r="G312" s="2" t="s">
        <v>7192</v>
      </c>
      <c r="H312" s="2" t="s">
        <v>7182</v>
      </c>
      <c r="I312" s="2" t="s">
        <v>7143</v>
      </c>
    </row>
    <row r="313" spans="1:10">
      <c r="A313" s="2" t="s">
        <v>3110</v>
      </c>
      <c r="B313" s="2" t="s">
        <v>2234</v>
      </c>
      <c r="C313" s="2" t="s">
        <v>7179</v>
      </c>
      <c r="D313" s="2">
        <v>2006</v>
      </c>
      <c r="E313" s="2" t="s">
        <v>7180</v>
      </c>
      <c r="F313" s="2" t="s">
        <v>3111</v>
      </c>
      <c r="G313" s="2" t="s">
        <v>7192</v>
      </c>
      <c r="H313" s="2" t="s">
        <v>7182</v>
      </c>
      <c r="I313" s="2" t="s">
        <v>7143</v>
      </c>
    </row>
    <row r="314" spans="1:10">
      <c r="A314" s="2" t="s">
        <v>3112</v>
      </c>
      <c r="B314" s="2" t="s">
        <v>2234</v>
      </c>
      <c r="C314" s="2" t="s">
        <v>7138</v>
      </c>
      <c r="D314" s="2">
        <v>2003</v>
      </c>
      <c r="E314" s="2" t="s">
        <v>7180</v>
      </c>
      <c r="F314" s="2" t="s">
        <v>3113</v>
      </c>
      <c r="G314" s="2" t="s">
        <v>7192</v>
      </c>
      <c r="H314" s="2" t="s">
        <v>7182</v>
      </c>
      <c r="I314" s="2" t="s">
        <v>7143</v>
      </c>
    </row>
    <row r="315" spans="1:10">
      <c r="A315" s="2" t="s">
        <v>3114</v>
      </c>
      <c r="B315" s="2" t="s">
        <v>2234</v>
      </c>
      <c r="C315" s="2" t="s">
        <v>7138</v>
      </c>
      <c r="D315" s="2">
        <v>1971</v>
      </c>
      <c r="E315" s="2" t="s">
        <v>7180</v>
      </c>
      <c r="F315" s="2" t="s">
        <v>2236</v>
      </c>
      <c r="G315" s="2" t="s">
        <v>7140</v>
      </c>
      <c r="H315" s="2" t="s">
        <v>7141</v>
      </c>
      <c r="I315" s="2" t="s">
        <v>7142</v>
      </c>
      <c r="J315" s="2" t="s">
        <v>8532</v>
      </c>
    </row>
    <row r="316" spans="1:10">
      <c r="A316" s="2" t="s">
        <v>3115</v>
      </c>
      <c r="B316" s="2" t="s">
        <v>2209</v>
      </c>
      <c r="C316" s="2" t="s">
        <v>7179</v>
      </c>
      <c r="D316" s="2">
        <v>1970</v>
      </c>
      <c r="E316" s="2" t="s">
        <v>7180</v>
      </c>
      <c r="F316" s="2" t="s">
        <v>3116</v>
      </c>
      <c r="G316" s="2" t="s">
        <v>7181</v>
      </c>
      <c r="H316" s="2" t="s">
        <v>7141</v>
      </c>
      <c r="I316" s="2" t="s">
        <v>7142</v>
      </c>
      <c r="J316" s="2" t="s">
        <v>8538</v>
      </c>
    </row>
    <row r="317" spans="1:10">
      <c r="A317" s="2" t="s">
        <v>3117</v>
      </c>
      <c r="B317" s="2" t="s">
        <v>2313</v>
      </c>
      <c r="C317" s="2" t="s">
        <v>7138</v>
      </c>
      <c r="E317" s="2" t="s">
        <v>7490</v>
      </c>
      <c r="F317" s="2" t="s">
        <v>3118</v>
      </c>
      <c r="G317" s="2" t="s">
        <v>7140</v>
      </c>
      <c r="H317" s="2" t="s">
        <v>7225</v>
      </c>
      <c r="I317" s="2" t="s">
        <v>7142</v>
      </c>
      <c r="J317" s="2" t="s">
        <v>8533</v>
      </c>
    </row>
    <row r="318" spans="1:10">
      <c r="A318" s="2" t="s">
        <v>3119</v>
      </c>
      <c r="B318" s="2" t="s">
        <v>2263</v>
      </c>
      <c r="C318" s="2" t="s">
        <v>7138</v>
      </c>
      <c r="D318" s="2">
        <v>1970</v>
      </c>
      <c r="E318" s="2" t="s">
        <v>7180</v>
      </c>
      <c r="F318" s="2" t="s">
        <v>2266</v>
      </c>
      <c r="G318" s="2" t="s">
        <v>7140</v>
      </c>
      <c r="H318" s="2" t="s">
        <v>7141</v>
      </c>
      <c r="I318" s="2" t="s">
        <v>7142</v>
      </c>
      <c r="J318" s="2" t="s">
        <v>8532</v>
      </c>
    </row>
    <row r="319" spans="1:10">
      <c r="A319" s="2" t="s">
        <v>3120</v>
      </c>
      <c r="B319" s="2" t="s">
        <v>2263</v>
      </c>
      <c r="C319" s="2" t="s">
        <v>7138</v>
      </c>
      <c r="D319" s="2">
        <v>2003</v>
      </c>
      <c r="E319" s="2" t="s">
        <v>7180</v>
      </c>
      <c r="F319" s="2" t="s">
        <v>2456</v>
      </c>
      <c r="G319" s="2" t="s">
        <v>7192</v>
      </c>
      <c r="H319" s="2" t="s">
        <v>7182</v>
      </c>
      <c r="I319" s="2" t="s">
        <v>7143</v>
      </c>
    </row>
    <row r="320" spans="1:10">
      <c r="A320" s="2" t="s">
        <v>3121</v>
      </c>
      <c r="B320" s="2" t="s">
        <v>2263</v>
      </c>
      <c r="C320" s="2" t="s">
        <v>7179</v>
      </c>
      <c r="D320" s="2">
        <v>1972</v>
      </c>
      <c r="E320" s="2" t="s">
        <v>7180</v>
      </c>
      <c r="F320" s="2" t="s">
        <v>3122</v>
      </c>
      <c r="G320" s="2" t="s">
        <v>7181</v>
      </c>
      <c r="H320" s="2" t="s">
        <v>7182</v>
      </c>
      <c r="I320" s="2" t="s">
        <v>7142</v>
      </c>
      <c r="J320" s="2" t="s">
        <v>8540</v>
      </c>
    </row>
    <row r="321" spans="1:10">
      <c r="A321" s="2" t="s">
        <v>3123</v>
      </c>
      <c r="B321" s="2" t="s">
        <v>2325</v>
      </c>
      <c r="C321" s="2" t="s">
        <v>7138</v>
      </c>
      <c r="D321" s="2">
        <v>1984</v>
      </c>
      <c r="E321" s="2" t="s">
        <v>7490</v>
      </c>
      <c r="F321" s="2" t="s">
        <v>2327</v>
      </c>
      <c r="G321" s="2" t="s">
        <v>7140</v>
      </c>
      <c r="H321" s="2" t="s">
        <v>7395</v>
      </c>
      <c r="I321" s="2" t="s">
        <v>7142</v>
      </c>
      <c r="J321" s="2" t="s">
        <v>8533</v>
      </c>
    </row>
    <row r="322" spans="1:10">
      <c r="A322" s="2" t="s">
        <v>3124</v>
      </c>
      <c r="B322" s="2" t="s">
        <v>2285</v>
      </c>
      <c r="C322" s="2" t="s">
        <v>7179</v>
      </c>
      <c r="D322" s="2">
        <v>2004</v>
      </c>
      <c r="E322" s="2" t="s">
        <v>7490</v>
      </c>
      <c r="F322" s="2" t="s">
        <v>2289</v>
      </c>
      <c r="G322" s="2" t="s">
        <v>7140</v>
      </c>
      <c r="H322" s="2" t="s">
        <v>7141</v>
      </c>
      <c r="I322" s="2" t="s">
        <v>7142</v>
      </c>
      <c r="J322" s="2" t="s">
        <v>8540</v>
      </c>
    </row>
    <row r="323" spans="1:10">
      <c r="A323" s="2" t="s">
        <v>3125</v>
      </c>
      <c r="B323" s="2" t="s">
        <v>2285</v>
      </c>
      <c r="C323" s="2" t="s">
        <v>7138</v>
      </c>
      <c r="D323" s="2">
        <v>2001</v>
      </c>
      <c r="E323" s="2" t="s">
        <v>7490</v>
      </c>
      <c r="F323" s="2" t="s">
        <v>3126</v>
      </c>
      <c r="G323" s="2" t="s">
        <v>7181</v>
      </c>
      <c r="H323" s="2" t="s">
        <v>7225</v>
      </c>
      <c r="I323" s="2" t="s">
        <v>7142</v>
      </c>
      <c r="J323" s="2" t="s">
        <v>8529</v>
      </c>
    </row>
    <row r="324" spans="1:10">
      <c r="A324" s="2" t="s">
        <v>3127</v>
      </c>
      <c r="B324" s="2" t="s">
        <v>2285</v>
      </c>
      <c r="C324" s="2" t="s">
        <v>7138</v>
      </c>
      <c r="D324" s="2">
        <v>2021</v>
      </c>
      <c r="E324" s="2" t="s">
        <v>7490</v>
      </c>
      <c r="F324" s="2" t="s">
        <v>3128</v>
      </c>
      <c r="G324" s="2" t="s">
        <v>7192</v>
      </c>
      <c r="H324" s="2" t="s">
        <v>7579</v>
      </c>
      <c r="I324" s="2" t="s">
        <v>7143</v>
      </c>
    </row>
    <row r="325" spans="1:10">
      <c r="A325" s="2" t="s">
        <v>3129</v>
      </c>
      <c r="B325" s="2" t="s">
        <v>2306</v>
      </c>
      <c r="C325" s="2" t="s">
        <v>7179</v>
      </c>
      <c r="D325" s="2">
        <v>2012</v>
      </c>
      <c r="E325" s="2" t="s">
        <v>7490</v>
      </c>
      <c r="F325" s="2" t="s">
        <v>3130</v>
      </c>
      <c r="G325" s="2" t="s">
        <v>7192</v>
      </c>
      <c r="H325" s="2" t="s">
        <v>7141</v>
      </c>
      <c r="I325" s="2" t="s">
        <v>7142</v>
      </c>
      <c r="J325" s="2" t="s">
        <v>8582</v>
      </c>
    </row>
    <row r="326" spans="1:10">
      <c r="A326" s="2" t="s">
        <v>3132</v>
      </c>
      <c r="B326" s="2" t="s">
        <v>2306</v>
      </c>
      <c r="C326" s="2" t="s">
        <v>7179</v>
      </c>
      <c r="D326" s="2">
        <v>1996</v>
      </c>
      <c r="E326" s="2" t="s">
        <v>7490</v>
      </c>
      <c r="F326" s="2" t="s">
        <v>2309</v>
      </c>
      <c r="G326" s="2" t="s">
        <v>7140</v>
      </c>
      <c r="H326" s="2" t="s">
        <v>7225</v>
      </c>
      <c r="I326" s="2" t="s">
        <v>7142</v>
      </c>
      <c r="J326" s="2" t="s">
        <v>8529</v>
      </c>
    </row>
    <row r="327" spans="1:10">
      <c r="A327" s="2" t="s">
        <v>3133</v>
      </c>
      <c r="B327" s="2" t="s">
        <v>2306</v>
      </c>
      <c r="C327" s="2" t="s">
        <v>7179</v>
      </c>
      <c r="D327" s="2">
        <v>2019</v>
      </c>
      <c r="E327" s="2" t="s">
        <v>7490</v>
      </c>
      <c r="F327" s="2" t="s">
        <v>3134</v>
      </c>
      <c r="G327" s="2" t="s">
        <v>7192</v>
      </c>
      <c r="H327" s="2" t="s">
        <v>7225</v>
      </c>
      <c r="I327" s="2" t="s">
        <v>7143</v>
      </c>
    </row>
    <row r="328" spans="1:10">
      <c r="A328" s="2" t="s">
        <v>3135</v>
      </c>
      <c r="B328" s="2" t="s">
        <v>2306</v>
      </c>
      <c r="C328" s="2" t="s">
        <v>7138</v>
      </c>
      <c r="D328" s="2">
        <v>1996</v>
      </c>
      <c r="E328" s="2" t="s">
        <v>7490</v>
      </c>
      <c r="F328" s="2" t="s">
        <v>3136</v>
      </c>
      <c r="G328" s="2" t="s">
        <v>7181</v>
      </c>
      <c r="H328" s="2" t="s">
        <v>7225</v>
      </c>
      <c r="I328" s="2" t="s">
        <v>7142</v>
      </c>
      <c r="J328" s="2" t="s">
        <v>8529</v>
      </c>
    </row>
    <row r="329" spans="1:10">
      <c r="A329" s="2" t="s">
        <v>3137</v>
      </c>
      <c r="B329" s="2" t="s">
        <v>2441</v>
      </c>
      <c r="C329" s="2" t="s">
        <v>7179</v>
      </c>
      <c r="D329" s="2">
        <v>1968</v>
      </c>
      <c r="E329" s="2" t="s">
        <v>7180</v>
      </c>
      <c r="F329" s="2" t="s">
        <v>3138</v>
      </c>
      <c r="G329" s="2" t="s">
        <v>8451</v>
      </c>
      <c r="H329" s="2" t="s">
        <v>7225</v>
      </c>
      <c r="I329" s="2" t="s">
        <v>7142</v>
      </c>
      <c r="J329" s="2" t="s">
        <v>8583</v>
      </c>
    </row>
    <row r="330" spans="1:10">
      <c r="A330" s="2" t="s">
        <v>3140</v>
      </c>
      <c r="B330" s="2" t="s">
        <v>2458</v>
      </c>
      <c r="C330" s="2" t="s">
        <v>7179</v>
      </c>
      <c r="D330" s="2">
        <v>1977</v>
      </c>
      <c r="E330" s="2" t="s">
        <v>7180</v>
      </c>
      <c r="F330" s="2" t="s">
        <v>3141</v>
      </c>
      <c r="G330" s="2" t="s">
        <v>7181</v>
      </c>
      <c r="H330" s="2" t="s">
        <v>7141</v>
      </c>
      <c r="I330" s="2" t="s">
        <v>7142</v>
      </c>
      <c r="J330" s="2" t="s">
        <v>8540</v>
      </c>
    </row>
    <row r="331" spans="1:10">
      <c r="A331" s="2" t="s">
        <v>3142</v>
      </c>
      <c r="B331" s="2" t="s">
        <v>2334</v>
      </c>
      <c r="C331" s="2" t="s">
        <v>7138</v>
      </c>
      <c r="D331" s="2">
        <v>2011</v>
      </c>
      <c r="E331" s="2" t="s">
        <v>7490</v>
      </c>
      <c r="F331" s="2" t="s">
        <v>3143</v>
      </c>
      <c r="G331" s="2" t="s">
        <v>7192</v>
      </c>
      <c r="H331" s="2" t="s">
        <v>7225</v>
      </c>
      <c r="I331" s="2" t="s">
        <v>7143</v>
      </c>
    </row>
    <row r="332" spans="1:10">
      <c r="A332" s="2" t="s">
        <v>3144</v>
      </c>
      <c r="B332" s="2" t="s">
        <v>2334</v>
      </c>
      <c r="C332" s="2" t="s">
        <v>7138</v>
      </c>
      <c r="D332" s="2">
        <v>1988</v>
      </c>
      <c r="E332" s="2" t="s">
        <v>7490</v>
      </c>
      <c r="F332" s="2" t="s">
        <v>2337</v>
      </c>
      <c r="G332" s="2" t="s">
        <v>7140</v>
      </c>
      <c r="H332" s="2" t="s">
        <v>7141</v>
      </c>
      <c r="I332" s="2" t="s">
        <v>7142</v>
      </c>
      <c r="J332" s="2" t="s">
        <v>8529</v>
      </c>
    </row>
    <row r="333" spans="1:10">
      <c r="A333" s="2" t="s">
        <v>3145</v>
      </c>
      <c r="B333" s="2" t="s">
        <v>2334</v>
      </c>
      <c r="C333" s="2" t="s">
        <v>7138</v>
      </c>
      <c r="D333" s="2">
        <v>1994</v>
      </c>
      <c r="E333" s="2" t="s">
        <v>7490</v>
      </c>
      <c r="F333" s="2" t="s">
        <v>3146</v>
      </c>
      <c r="G333" s="2" t="s">
        <v>7181</v>
      </c>
      <c r="H333" s="2" t="s">
        <v>7141</v>
      </c>
      <c r="I333" s="2" t="s">
        <v>7142</v>
      </c>
      <c r="J333" s="2" t="s">
        <v>8531</v>
      </c>
    </row>
    <row r="334" spans="1:10">
      <c r="A334" s="2" t="s">
        <v>3147</v>
      </c>
      <c r="B334" s="2" t="s">
        <v>2334</v>
      </c>
      <c r="C334" s="2" t="s">
        <v>7179</v>
      </c>
      <c r="D334" s="2">
        <v>2017</v>
      </c>
      <c r="E334" s="2" t="s">
        <v>7490</v>
      </c>
      <c r="F334" s="2" t="s">
        <v>3148</v>
      </c>
      <c r="G334" s="2" t="s">
        <v>7192</v>
      </c>
      <c r="H334" s="2" t="s">
        <v>7225</v>
      </c>
      <c r="I334" s="2" t="s">
        <v>7143</v>
      </c>
    </row>
    <row r="335" spans="1:10">
      <c r="A335" s="2" t="s">
        <v>3149</v>
      </c>
      <c r="B335" s="2" t="s">
        <v>2334</v>
      </c>
      <c r="C335" s="2" t="s">
        <v>7179</v>
      </c>
      <c r="D335" s="2">
        <v>2024</v>
      </c>
      <c r="E335" s="2" t="s">
        <v>7490</v>
      </c>
      <c r="F335" s="2" t="s">
        <v>3150</v>
      </c>
      <c r="G335" s="2" t="s">
        <v>7192</v>
      </c>
      <c r="H335" s="2" t="s">
        <v>7579</v>
      </c>
      <c r="I335" s="2" t="s">
        <v>7143</v>
      </c>
    </row>
    <row r="336" spans="1:10">
      <c r="A336" s="2" t="s">
        <v>3151</v>
      </c>
      <c r="B336" s="2" t="s">
        <v>2475</v>
      </c>
      <c r="C336" s="2" t="s">
        <v>7138</v>
      </c>
      <c r="D336" s="2">
        <v>1967</v>
      </c>
      <c r="E336" s="2" t="s">
        <v>7180</v>
      </c>
      <c r="F336" s="2" t="s">
        <v>2476</v>
      </c>
      <c r="G336" s="2" t="s">
        <v>7140</v>
      </c>
      <c r="H336" s="2" t="s">
        <v>7141</v>
      </c>
      <c r="I336" s="2" t="s">
        <v>7142</v>
      </c>
      <c r="J336" s="2" t="s">
        <v>8532</v>
      </c>
    </row>
    <row r="337" spans="1:10">
      <c r="A337" s="2" t="s">
        <v>3152</v>
      </c>
      <c r="B337" s="2" t="s">
        <v>2501</v>
      </c>
      <c r="C337" s="2" t="s">
        <v>7179</v>
      </c>
      <c r="D337" s="2">
        <v>1975</v>
      </c>
      <c r="E337" s="2" t="s">
        <v>7180</v>
      </c>
      <c r="F337" s="2" t="s">
        <v>3153</v>
      </c>
      <c r="G337" s="2" t="s">
        <v>7181</v>
      </c>
      <c r="H337" s="2" t="s">
        <v>7141</v>
      </c>
      <c r="I337" s="2" t="s">
        <v>7142</v>
      </c>
      <c r="J337" s="2" t="s">
        <v>8538</v>
      </c>
    </row>
    <row r="338" spans="1:10">
      <c r="A338" s="2" t="s">
        <v>3154</v>
      </c>
      <c r="B338" s="2" t="s">
        <v>2501</v>
      </c>
      <c r="C338" s="2" t="s">
        <v>7138</v>
      </c>
      <c r="D338" s="2">
        <v>2000</v>
      </c>
      <c r="E338" s="2" t="s">
        <v>7180</v>
      </c>
      <c r="F338" s="2" t="s">
        <v>3155</v>
      </c>
      <c r="G338" s="2" t="s">
        <v>7192</v>
      </c>
      <c r="H338" s="2" t="s">
        <v>7141</v>
      </c>
      <c r="I338" s="2" t="s">
        <v>7142</v>
      </c>
      <c r="J338" s="2" t="s">
        <v>8532</v>
      </c>
    </row>
    <row r="339" spans="1:10">
      <c r="A339" s="2" t="s">
        <v>3156</v>
      </c>
      <c r="B339" s="2" t="s">
        <v>2504</v>
      </c>
      <c r="C339" s="2" t="s">
        <v>7179</v>
      </c>
      <c r="D339" s="2">
        <v>1988</v>
      </c>
      <c r="E339" s="2" t="s">
        <v>7180</v>
      </c>
      <c r="F339" s="2" t="s">
        <v>3157</v>
      </c>
      <c r="G339" s="2" t="s">
        <v>7181</v>
      </c>
      <c r="H339" s="2" t="s">
        <v>7182</v>
      </c>
      <c r="I339" s="2" t="s">
        <v>7142</v>
      </c>
      <c r="J339" s="2" t="s">
        <v>8540</v>
      </c>
    </row>
    <row r="340" spans="1:10">
      <c r="A340" s="2" t="s">
        <v>3158</v>
      </c>
      <c r="B340" s="2" t="s">
        <v>2509</v>
      </c>
      <c r="C340" s="2" t="s">
        <v>7179</v>
      </c>
      <c r="E340" s="2" t="s">
        <v>7180</v>
      </c>
      <c r="F340" s="2" t="s">
        <v>3159</v>
      </c>
      <c r="G340" s="2" t="s">
        <v>7181</v>
      </c>
      <c r="H340" s="2" t="s">
        <v>7182</v>
      </c>
      <c r="I340" s="2" t="s">
        <v>7142</v>
      </c>
      <c r="J340" s="2" t="s">
        <v>8540</v>
      </c>
    </row>
    <row r="341" spans="1:10">
      <c r="A341" s="2" t="s">
        <v>3160</v>
      </c>
      <c r="B341" s="2" t="s">
        <v>2364</v>
      </c>
      <c r="C341" s="2" t="s">
        <v>7138</v>
      </c>
      <c r="D341" s="2">
        <v>2008</v>
      </c>
      <c r="E341" s="2" t="s">
        <v>7490</v>
      </c>
      <c r="F341" s="2" t="s">
        <v>3161</v>
      </c>
      <c r="G341" s="2" t="s">
        <v>7192</v>
      </c>
      <c r="H341" s="2" t="s">
        <v>7225</v>
      </c>
      <c r="I341" s="2" t="s">
        <v>7142</v>
      </c>
      <c r="J341" s="2" t="s">
        <v>8557</v>
      </c>
    </row>
    <row r="342" spans="1:10">
      <c r="A342" s="2" t="s">
        <v>3162</v>
      </c>
      <c r="B342" s="2" t="s">
        <v>2364</v>
      </c>
      <c r="C342" s="2" t="s">
        <v>7179</v>
      </c>
      <c r="D342" s="2">
        <v>1979</v>
      </c>
      <c r="E342" s="2" t="s">
        <v>7490</v>
      </c>
      <c r="F342" s="2" t="s">
        <v>3163</v>
      </c>
      <c r="G342" s="2" t="s">
        <v>7140</v>
      </c>
      <c r="H342" s="2" t="s">
        <v>7395</v>
      </c>
      <c r="I342" s="2" t="s">
        <v>7142</v>
      </c>
      <c r="J342" s="2" t="s">
        <v>8540</v>
      </c>
    </row>
    <row r="343" spans="1:10">
      <c r="A343" s="2" t="s">
        <v>3164</v>
      </c>
      <c r="B343" s="2" t="s">
        <v>2364</v>
      </c>
      <c r="C343" s="2" t="s">
        <v>7179</v>
      </c>
      <c r="D343" s="2">
        <v>2017</v>
      </c>
      <c r="E343" s="2" t="s">
        <v>7490</v>
      </c>
      <c r="F343" s="2" t="s">
        <v>3165</v>
      </c>
      <c r="G343" s="2" t="s">
        <v>7192</v>
      </c>
      <c r="H343" s="2" t="s">
        <v>7579</v>
      </c>
      <c r="I343" s="2" t="s">
        <v>7143</v>
      </c>
    </row>
    <row r="344" spans="1:10">
      <c r="A344" s="2" t="s">
        <v>3166</v>
      </c>
      <c r="B344" s="2" t="s">
        <v>2364</v>
      </c>
      <c r="C344" s="2" t="s">
        <v>7179</v>
      </c>
      <c r="D344" s="2">
        <v>2005</v>
      </c>
      <c r="E344" s="2" t="s">
        <v>7490</v>
      </c>
      <c r="F344" s="2" t="s">
        <v>3167</v>
      </c>
      <c r="G344" s="2" t="s">
        <v>7192</v>
      </c>
      <c r="H344" s="2" t="s">
        <v>7225</v>
      </c>
      <c r="I344" s="2" t="s">
        <v>7142</v>
      </c>
      <c r="J344" s="2" t="s">
        <v>8551</v>
      </c>
    </row>
    <row r="345" spans="1:10">
      <c r="A345" s="2" t="s">
        <v>3168</v>
      </c>
      <c r="B345" s="2" t="s">
        <v>2364</v>
      </c>
      <c r="C345" s="2" t="s">
        <v>7138</v>
      </c>
      <c r="D345" s="2">
        <v>1979</v>
      </c>
      <c r="E345" s="2" t="s">
        <v>7490</v>
      </c>
      <c r="F345" s="2" t="s">
        <v>3169</v>
      </c>
      <c r="G345" s="2" t="s">
        <v>7181</v>
      </c>
      <c r="H345" s="2" t="s">
        <v>7225</v>
      </c>
      <c r="I345" s="2" t="s">
        <v>7142</v>
      </c>
      <c r="J345" s="2" t="s">
        <v>8529</v>
      </c>
    </row>
    <row r="346" spans="1:10">
      <c r="A346" s="2" t="s">
        <v>3170</v>
      </c>
      <c r="B346" s="2" t="s">
        <v>2399</v>
      </c>
      <c r="C346" s="2" t="s">
        <v>7138</v>
      </c>
      <c r="D346" s="2">
        <v>2007</v>
      </c>
      <c r="E346" s="2" t="s">
        <v>7490</v>
      </c>
      <c r="F346" s="2" t="s">
        <v>3171</v>
      </c>
      <c r="G346" s="2" t="s">
        <v>7192</v>
      </c>
      <c r="H346" s="2" t="s">
        <v>7141</v>
      </c>
      <c r="I346" s="2" t="s">
        <v>7142</v>
      </c>
      <c r="J346" s="2" t="s">
        <v>8571</v>
      </c>
    </row>
    <row r="347" spans="1:10">
      <c r="A347" s="2" t="s">
        <v>3172</v>
      </c>
      <c r="B347" s="2" t="s">
        <v>2399</v>
      </c>
      <c r="C347" s="2" t="s">
        <v>7138</v>
      </c>
      <c r="D347" s="2">
        <v>2015</v>
      </c>
      <c r="E347" s="2" t="s">
        <v>7490</v>
      </c>
      <c r="F347" s="2" t="s">
        <v>3173</v>
      </c>
      <c r="G347" s="2" t="s">
        <v>7192</v>
      </c>
      <c r="H347" s="2" t="s">
        <v>7225</v>
      </c>
      <c r="I347" s="2" t="s">
        <v>7143</v>
      </c>
    </row>
    <row r="348" spans="1:10">
      <c r="A348" s="2" t="s">
        <v>3174</v>
      </c>
      <c r="B348" s="2" t="s">
        <v>2399</v>
      </c>
      <c r="C348" s="2" t="s">
        <v>7138</v>
      </c>
      <c r="D348" s="2">
        <v>1987</v>
      </c>
      <c r="E348" s="2" t="s">
        <v>7490</v>
      </c>
      <c r="F348" s="2" t="s">
        <v>3175</v>
      </c>
      <c r="G348" s="2" t="s">
        <v>7181</v>
      </c>
      <c r="H348" s="2" t="s">
        <v>7225</v>
      </c>
      <c r="I348" s="2" t="s">
        <v>7142</v>
      </c>
      <c r="J348" s="2" t="s">
        <v>8529</v>
      </c>
    </row>
    <row r="349" spans="1:10">
      <c r="A349" s="2" t="s">
        <v>3176</v>
      </c>
      <c r="B349" s="2" t="s">
        <v>2399</v>
      </c>
      <c r="C349" s="2" t="s">
        <v>7179</v>
      </c>
      <c r="D349" s="2">
        <v>2023</v>
      </c>
      <c r="E349" s="2" t="s">
        <v>7490</v>
      </c>
      <c r="F349" s="2" t="s">
        <v>3177</v>
      </c>
      <c r="G349" s="2" t="s">
        <v>7192</v>
      </c>
      <c r="H349" s="2" t="s">
        <v>7579</v>
      </c>
      <c r="I349" s="2" t="s">
        <v>7143</v>
      </c>
    </row>
    <row r="350" spans="1:10">
      <c r="A350" s="2" t="s">
        <v>3178</v>
      </c>
      <c r="B350" s="2" t="s">
        <v>2399</v>
      </c>
      <c r="C350" s="2" t="s">
        <v>7179</v>
      </c>
      <c r="D350" s="2">
        <v>1990</v>
      </c>
      <c r="E350" s="2" t="s">
        <v>7490</v>
      </c>
      <c r="F350" s="2" t="s">
        <v>3179</v>
      </c>
      <c r="G350" s="2" t="s">
        <v>7140</v>
      </c>
      <c r="H350" s="2" t="s">
        <v>7395</v>
      </c>
      <c r="I350" s="2" t="s">
        <v>7142</v>
      </c>
      <c r="J350" s="2" t="s">
        <v>8540</v>
      </c>
    </row>
    <row r="351" spans="1:10">
      <c r="A351" s="2" t="s">
        <v>3180</v>
      </c>
      <c r="B351" s="2" t="s">
        <v>2444</v>
      </c>
      <c r="C351" s="2" t="s">
        <v>7179</v>
      </c>
      <c r="D351" s="2">
        <v>1974</v>
      </c>
      <c r="E351" s="2" t="s">
        <v>7180</v>
      </c>
      <c r="F351" s="2" t="s">
        <v>3181</v>
      </c>
      <c r="G351" s="2" t="s">
        <v>7181</v>
      </c>
      <c r="H351" s="2" t="s">
        <v>7141</v>
      </c>
      <c r="I351" s="2" t="s">
        <v>7142</v>
      </c>
      <c r="J351" s="2" t="s">
        <v>8540</v>
      </c>
    </row>
    <row r="352" spans="1:10">
      <c r="A352" s="2" t="s">
        <v>3182</v>
      </c>
      <c r="B352" s="2" t="s">
        <v>2444</v>
      </c>
      <c r="C352" s="2" t="s">
        <v>7138</v>
      </c>
      <c r="D352" s="2">
        <v>2013</v>
      </c>
      <c r="E352" s="2" t="s">
        <v>7180</v>
      </c>
      <c r="F352" s="2" t="s">
        <v>3183</v>
      </c>
      <c r="G352" s="2" t="s">
        <v>7192</v>
      </c>
      <c r="H352" s="2" t="s">
        <v>7141</v>
      </c>
      <c r="I352" s="2" t="s">
        <v>7143</v>
      </c>
    </row>
    <row r="353" spans="1:10">
      <c r="A353" s="2" t="s">
        <v>3184</v>
      </c>
      <c r="B353" s="2" t="s">
        <v>2444</v>
      </c>
      <c r="C353" s="2" t="s">
        <v>7138</v>
      </c>
      <c r="D353" s="2">
        <v>1968</v>
      </c>
      <c r="E353" s="2" t="s">
        <v>7180</v>
      </c>
      <c r="F353" s="2" t="s">
        <v>3185</v>
      </c>
      <c r="G353" s="2" t="s">
        <v>7140</v>
      </c>
      <c r="H353" s="2" t="s">
        <v>7141</v>
      </c>
      <c r="I353" s="2" t="s">
        <v>7142</v>
      </c>
      <c r="J353" s="2" t="s">
        <v>8532</v>
      </c>
    </row>
    <row r="354" spans="1:10">
      <c r="A354" s="2" t="s">
        <v>3186</v>
      </c>
      <c r="B354" s="2" t="s">
        <v>2444</v>
      </c>
      <c r="C354" s="2" t="s">
        <v>7179</v>
      </c>
      <c r="D354" s="2">
        <v>2003</v>
      </c>
      <c r="E354" s="2" t="s">
        <v>7180</v>
      </c>
      <c r="F354" s="2" t="s">
        <v>3187</v>
      </c>
      <c r="G354" s="2" t="s">
        <v>7192</v>
      </c>
      <c r="H354" s="2" t="s">
        <v>7182</v>
      </c>
      <c r="I354" s="2" t="s">
        <v>7143</v>
      </c>
    </row>
    <row r="355" spans="1:10">
      <c r="A355" s="2" t="s">
        <v>3188</v>
      </c>
      <c r="B355" s="2" t="s">
        <v>2444</v>
      </c>
      <c r="C355" s="2" t="s">
        <v>7138</v>
      </c>
      <c r="D355" s="2">
        <v>2001</v>
      </c>
      <c r="E355" s="2" t="s">
        <v>7180</v>
      </c>
      <c r="F355" s="2" t="s">
        <v>3189</v>
      </c>
      <c r="G355" s="2" t="s">
        <v>7192</v>
      </c>
      <c r="H355" s="2" t="s">
        <v>7428</v>
      </c>
      <c r="I355" s="2" t="s">
        <v>7143</v>
      </c>
    </row>
    <row r="356" spans="1:10">
      <c r="A356" s="2" t="s">
        <v>3190</v>
      </c>
      <c r="B356" s="2" t="s">
        <v>2479</v>
      </c>
      <c r="C356" s="2" t="s">
        <v>7138</v>
      </c>
      <c r="D356" s="2">
        <v>1997</v>
      </c>
      <c r="E356" s="2" t="s">
        <v>7180</v>
      </c>
      <c r="F356" s="2" t="s">
        <v>3191</v>
      </c>
      <c r="G356" s="2" t="s">
        <v>7192</v>
      </c>
      <c r="H356" s="2" t="s">
        <v>7182</v>
      </c>
      <c r="I356" s="2" t="s">
        <v>7142</v>
      </c>
      <c r="J356" s="2" t="s">
        <v>8530</v>
      </c>
    </row>
    <row r="357" spans="1:10">
      <c r="A357" s="2" t="s">
        <v>3192</v>
      </c>
      <c r="B357" s="2" t="s">
        <v>2479</v>
      </c>
      <c r="C357" s="2" t="s">
        <v>7179</v>
      </c>
      <c r="D357" s="2">
        <v>2001</v>
      </c>
      <c r="E357" s="2" t="s">
        <v>7180</v>
      </c>
      <c r="F357" s="2" t="s">
        <v>3193</v>
      </c>
      <c r="G357" s="2" t="s">
        <v>7192</v>
      </c>
      <c r="H357" s="2" t="s">
        <v>7182</v>
      </c>
      <c r="I357" s="2" t="s">
        <v>7143</v>
      </c>
    </row>
    <row r="358" spans="1:10">
      <c r="A358" s="2" t="s">
        <v>3194</v>
      </c>
      <c r="B358" s="2" t="s">
        <v>2479</v>
      </c>
      <c r="C358" s="2" t="s">
        <v>7138</v>
      </c>
      <c r="D358" s="2">
        <v>1995</v>
      </c>
      <c r="E358" s="2" t="s">
        <v>7180</v>
      </c>
      <c r="F358" s="2" t="s">
        <v>3195</v>
      </c>
      <c r="G358" s="2" t="s">
        <v>7192</v>
      </c>
      <c r="H358" s="2" t="s">
        <v>7182</v>
      </c>
      <c r="I358" s="2" t="s">
        <v>7142</v>
      </c>
      <c r="J358" s="2" t="s">
        <v>8530</v>
      </c>
    </row>
    <row r="359" spans="1:10">
      <c r="A359" s="2" t="s">
        <v>3196</v>
      </c>
      <c r="B359" s="2" t="s">
        <v>2479</v>
      </c>
      <c r="C359" s="2" t="s">
        <v>7179</v>
      </c>
      <c r="D359" s="2">
        <v>1969</v>
      </c>
      <c r="E359" s="2" t="s">
        <v>7180</v>
      </c>
      <c r="F359" s="2" t="s">
        <v>3197</v>
      </c>
      <c r="G359" s="2" t="s">
        <v>7181</v>
      </c>
      <c r="H359" s="2" t="s">
        <v>7182</v>
      </c>
      <c r="I359" s="2" t="s">
        <v>7142</v>
      </c>
      <c r="J359" s="2" t="s">
        <v>8540</v>
      </c>
    </row>
    <row r="360" spans="1:10">
      <c r="A360" s="2" t="s">
        <v>3198</v>
      </c>
      <c r="B360" s="2" t="s">
        <v>2479</v>
      </c>
      <c r="C360" s="2" t="s">
        <v>7138</v>
      </c>
      <c r="D360" s="2">
        <v>1966</v>
      </c>
      <c r="E360" s="2" t="s">
        <v>7180</v>
      </c>
      <c r="F360" s="2" t="s">
        <v>2481</v>
      </c>
      <c r="G360" s="2" t="s">
        <v>7140</v>
      </c>
      <c r="H360" s="2" t="s">
        <v>7141</v>
      </c>
      <c r="I360" s="2" t="s">
        <v>7142</v>
      </c>
      <c r="J360" s="2" t="s">
        <v>8531</v>
      </c>
    </row>
    <row r="361" spans="1:10">
      <c r="A361" s="2" t="s">
        <v>3199</v>
      </c>
      <c r="B361" s="2" t="s">
        <v>2490</v>
      </c>
      <c r="C361" s="2" t="s">
        <v>7179</v>
      </c>
      <c r="D361" s="2">
        <v>2011</v>
      </c>
      <c r="E361" s="2" t="s">
        <v>7180</v>
      </c>
      <c r="F361" s="2" t="s">
        <v>3200</v>
      </c>
      <c r="G361" s="2" t="s">
        <v>7192</v>
      </c>
      <c r="H361" s="2" t="s">
        <v>7141</v>
      </c>
      <c r="I361" s="2" t="s">
        <v>7142</v>
      </c>
      <c r="J361" s="2" t="s">
        <v>8584</v>
      </c>
    </row>
    <row r="362" spans="1:10">
      <c r="A362" s="2" t="s">
        <v>3202</v>
      </c>
      <c r="B362" s="2" t="s">
        <v>2490</v>
      </c>
      <c r="C362" s="2" t="s">
        <v>7179</v>
      </c>
      <c r="D362" s="2">
        <v>2009</v>
      </c>
      <c r="E362" s="2" t="s">
        <v>7180</v>
      </c>
      <c r="F362" s="2" t="s">
        <v>3203</v>
      </c>
      <c r="G362" s="2" t="s">
        <v>7192</v>
      </c>
      <c r="H362" s="2" t="s">
        <v>7182</v>
      </c>
      <c r="I362" s="2" t="s">
        <v>7142</v>
      </c>
      <c r="J362" s="2" t="s">
        <v>8563</v>
      </c>
    </row>
    <row r="363" spans="1:10">
      <c r="A363" s="2" t="s">
        <v>3204</v>
      </c>
      <c r="B363" s="2" t="s">
        <v>2490</v>
      </c>
      <c r="C363" s="2" t="s">
        <v>7138</v>
      </c>
      <c r="D363" s="2">
        <v>1983</v>
      </c>
      <c r="E363" s="2" t="s">
        <v>7180</v>
      </c>
      <c r="F363" s="2" t="s">
        <v>2493</v>
      </c>
      <c r="G363" s="2" t="s">
        <v>7140</v>
      </c>
      <c r="H363" s="2" t="s">
        <v>7141</v>
      </c>
      <c r="I363" s="2" t="s">
        <v>7142</v>
      </c>
      <c r="J363" s="2" t="s">
        <v>8531</v>
      </c>
    </row>
    <row r="364" spans="1:10">
      <c r="A364" s="2" t="s">
        <v>3205</v>
      </c>
      <c r="B364" s="2" t="s">
        <v>2490</v>
      </c>
      <c r="C364" s="2" t="s">
        <v>7179</v>
      </c>
      <c r="D364" s="2">
        <v>1988</v>
      </c>
      <c r="E364" s="2" t="s">
        <v>7180</v>
      </c>
      <c r="F364" s="2" t="s">
        <v>2492</v>
      </c>
      <c r="G364" s="2" t="s">
        <v>7181</v>
      </c>
      <c r="H364" s="2" t="s">
        <v>7225</v>
      </c>
      <c r="I364" s="2" t="s">
        <v>7142</v>
      </c>
      <c r="J364" s="2" t="s">
        <v>8540</v>
      </c>
    </row>
    <row r="365" spans="1:10">
      <c r="A365" s="2" t="s">
        <v>3206</v>
      </c>
      <c r="B365" s="2" t="s">
        <v>2490</v>
      </c>
      <c r="C365" s="2" t="s">
        <v>7179</v>
      </c>
      <c r="D365" s="2">
        <v>2020</v>
      </c>
      <c r="E365" s="2" t="s">
        <v>7180</v>
      </c>
      <c r="F365" s="2" t="s">
        <v>3207</v>
      </c>
      <c r="G365" s="2" t="s">
        <v>7192</v>
      </c>
      <c r="H365" s="2" t="s">
        <v>7225</v>
      </c>
      <c r="I365" s="2" t="s">
        <v>7143</v>
      </c>
    </row>
    <row r="366" spans="1:10">
      <c r="A366" s="2" t="s">
        <v>3208</v>
      </c>
      <c r="B366" s="2" t="s">
        <v>2490</v>
      </c>
      <c r="C366" s="2" t="s">
        <v>7179</v>
      </c>
      <c r="D366" s="2">
        <v>2013</v>
      </c>
      <c r="E366" s="2" t="s">
        <v>7180</v>
      </c>
      <c r="F366" s="2" t="s">
        <v>3209</v>
      </c>
      <c r="G366" s="2" t="s">
        <v>7192</v>
      </c>
      <c r="H366" s="2" t="s">
        <v>7141</v>
      </c>
      <c r="I366" s="2" t="s">
        <v>7143</v>
      </c>
    </row>
    <row r="367" spans="1:10">
      <c r="A367" s="2" t="s">
        <v>3210</v>
      </c>
      <c r="B367" s="2" t="s">
        <v>2512</v>
      </c>
      <c r="C367" s="2" t="s">
        <v>7179</v>
      </c>
      <c r="D367" s="2">
        <v>1956</v>
      </c>
      <c r="E367" s="2" t="s">
        <v>7180</v>
      </c>
      <c r="F367" s="2" t="s">
        <v>2514</v>
      </c>
      <c r="G367" s="2" t="s">
        <v>7181</v>
      </c>
      <c r="H367" s="2" t="s">
        <v>7395</v>
      </c>
      <c r="I367" s="2" t="s">
        <v>7142</v>
      </c>
      <c r="J367" s="2" t="s">
        <v>8556</v>
      </c>
    </row>
    <row r="368" spans="1:10">
      <c r="A368" s="2" t="s">
        <v>3211</v>
      </c>
      <c r="B368" s="2" t="s">
        <v>2512</v>
      </c>
      <c r="C368" s="2" t="s">
        <v>7138</v>
      </c>
      <c r="D368" s="2">
        <v>1991</v>
      </c>
      <c r="E368" s="2" t="s">
        <v>7180</v>
      </c>
      <c r="F368" s="2" t="s">
        <v>3212</v>
      </c>
      <c r="G368" s="2" t="s">
        <v>7192</v>
      </c>
      <c r="H368" s="2" t="s">
        <v>7141</v>
      </c>
      <c r="I368" s="2" t="s">
        <v>7142</v>
      </c>
      <c r="J368" s="2" t="s">
        <v>8531</v>
      </c>
    </row>
    <row r="369" spans="1:10">
      <c r="A369" s="2" t="s">
        <v>3213</v>
      </c>
      <c r="B369" s="2" t="s">
        <v>2512</v>
      </c>
      <c r="C369" s="2" t="s">
        <v>7138</v>
      </c>
      <c r="D369" s="2">
        <v>1950</v>
      </c>
      <c r="E369" s="2" t="s">
        <v>7180</v>
      </c>
      <c r="F369" s="2" t="s">
        <v>3214</v>
      </c>
      <c r="G369" s="2" t="s">
        <v>7140</v>
      </c>
      <c r="H369" s="2" t="s">
        <v>7395</v>
      </c>
      <c r="I369" s="2" t="s">
        <v>7142</v>
      </c>
      <c r="J369" s="2" t="s">
        <v>8555</v>
      </c>
    </row>
    <row r="370" spans="1:10">
      <c r="A370" s="2" t="s">
        <v>3215</v>
      </c>
      <c r="B370" s="2" t="s">
        <v>2530</v>
      </c>
      <c r="C370" s="2" t="s">
        <v>7138</v>
      </c>
      <c r="D370" s="2">
        <v>1962</v>
      </c>
      <c r="E370" s="2" t="s">
        <v>7180</v>
      </c>
      <c r="F370" s="2" t="s">
        <v>2532</v>
      </c>
      <c r="G370" s="2" t="s">
        <v>7140</v>
      </c>
      <c r="H370" s="2" t="s">
        <v>7141</v>
      </c>
      <c r="I370" s="2" t="s">
        <v>7142</v>
      </c>
      <c r="J370" s="2" t="s">
        <v>8531</v>
      </c>
    </row>
    <row r="371" spans="1:10">
      <c r="A371" s="2" t="s">
        <v>3216</v>
      </c>
      <c r="B371" s="2" t="s">
        <v>2530</v>
      </c>
      <c r="C371" s="2" t="s">
        <v>7179</v>
      </c>
      <c r="D371" s="2">
        <v>1957</v>
      </c>
      <c r="E371" s="2" t="s">
        <v>7180</v>
      </c>
      <c r="F371" s="2" t="s">
        <v>3217</v>
      </c>
      <c r="G371" s="2" t="s">
        <v>7181</v>
      </c>
      <c r="H371" s="2" t="s">
        <v>7141</v>
      </c>
      <c r="I371" s="2" t="s">
        <v>7142</v>
      </c>
      <c r="J371" s="2" t="s">
        <v>8540</v>
      </c>
    </row>
    <row r="372" spans="1:10">
      <c r="A372" s="2" t="s">
        <v>3218</v>
      </c>
      <c r="B372" s="2" t="s">
        <v>2557</v>
      </c>
      <c r="C372" s="2" t="s">
        <v>7138</v>
      </c>
      <c r="D372" s="2">
        <v>2001</v>
      </c>
      <c r="E372" s="2" t="s">
        <v>8521</v>
      </c>
      <c r="F372" s="2" t="s">
        <v>3219</v>
      </c>
      <c r="G372" s="2" t="s">
        <v>7192</v>
      </c>
      <c r="H372" s="2" t="s">
        <v>7141</v>
      </c>
      <c r="I372" s="2" t="s">
        <v>7142</v>
      </c>
      <c r="J372" s="2" t="s">
        <v>8554</v>
      </c>
    </row>
    <row r="373" spans="1:10">
      <c r="A373" s="2" t="s">
        <v>3220</v>
      </c>
      <c r="B373" s="2" t="s">
        <v>2557</v>
      </c>
      <c r="C373" s="2" t="s">
        <v>7179</v>
      </c>
      <c r="D373" s="2">
        <v>2004</v>
      </c>
      <c r="E373" s="2" t="s">
        <v>8521</v>
      </c>
      <c r="F373" s="2" t="s">
        <v>3221</v>
      </c>
      <c r="G373" s="2" t="s">
        <v>7192</v>
      </c>
      <c r="H373" s="2" t="s">
        <v>7182</v>
      </c>
      <c r="I373" s="2" t="s">
        <v>7142</v>
      </c>
      <c r="J373" s="2" t="s">
        <v>8575</v>
      </c>
    </row>
    <row r="374" spans="1:10">
      <c r="A374" s="2" t="s">
        <v>3222</v>
      </c>
      <c r="B374" s="2" t="s">
        <v>2557</v>
      </c>
      <c r="C374" s="2" t="s">
        <v>7179</v>
      </c>
      <c r="D374" s="2">
        <v>1973</v>
      </c>
      <c r="E374" s="2" t="s">
        <v>8521</v>
      </c>
      <c r="F374" s="2" t="s">
        <v>3223</v>
      </c>
      <c r="G374" s="2" t="s">
        <v>7181</v>
      </c>
      <c r="H374" s="2" t="s">
        <v>7141</v>
      </c>
      <c r="I374" s="2" t="s">
        <v>7142</v>
      </c>
      <c r="J374" s="2" t="s">
        <v>8540</v>
      </c>
    </row>
    <row r="375" spans="1:10">
      <c r="A375" s="2" t="s">
        <v>3224</v>
      </c>
      <c r="B375" s="2" t="s">
        <v>2557</v>
      </c>
      <c r="C375" s="2" t="s">
        <v>7138</v>
      </c>
      <c r="D375" s="2">
        <v>1973</v>
      </c>
      <c r="E375" s="2" t="s">
        <v>8521</v>
      </c>
      <c r="F375" s="2" t="s">
        <v>3225</v>
      </c>
      <c r="G375" s="2" t="s">
        <v>7140</v>
      </c>
      <c r="H375" s="2" t="s">
        <v>7141</v>
      </c>
      <c r="I375" s="2" t="s">
        <v>7142</v>
      </c>
      <c r="J375" s="2" t="s">
        <v>8529</v>
      </c>
    </row>
    <row r="376" spans="1:10">
      <c r="A376" s="2" t="s">
        <v>3226</v>
      </c>
      <c r="B376" s="2" t="s">
        <v>315</v>
      </c>
      <c r="C376" s="2" t="s">
        <v>7179</v>
      </c>
      <c r="D376" s="2">
        <v>1969</v>
      </c>
      <c r="E376" s="2" t="s">
        <v>7139</v>
      </c>
      <c r="F376" s="2" t="s">
        <v>3227</v>
      </c>
      <c r="G376" s="2" t="s">
        <v>7181</v>
      </c>
      <c r="H376" s="2" t="s">
        <v>7395</v>
      </c>
      <c r="I376" s="2" t="s">
        <v>7142</v>
      </c>
      <c r="J376" s="2" t="s">
        <v>8538</v>
      </c>
    </row>
    <row r="377" spans="1:10">
      <c r="A377" s="2" t="s">
        <v>3228</v>
      </c>
      <c r="B377" s="2" t="s">
        <v>328</v>
      </c>
      <c r="C377" s="2" t="s">
        <v>7138</v>
      </c>
      <c r="E377" s="2" t="s">
        <v>7139</v>
      </c>
      <c r="F377" s="2" t="s">
        <v>3229</v>
      </c>
      <c r="G377" s="2" t="s">
        <v>7140</v>
      </c>
      <c r="H377" s="2" t="s">
        <v>7225</v>
      </c>
      <c r="I377" s="2" t="s">
        <v>7142</v>
      </c>
      <c r="J377" s="2" t="s">
        <v>8533</v>
      </c>
    </row>
    <row r="378" spans="1:10">
      <c r="A378" s="2" t="s">
        <v>3230</v>
      </c>
      <c r="B378" s="2" t="s">
        <v>982</v>
      </c>
      <c r="C378" s="2" t="s">
        <v>7138</v>
      </c>
      <c r="D378" s="2">
        <v>1969</v>
      </c>
      <c r="E378" s="2" t="s">
        <v>7139</v>
      </c>
      <c r="F378" s="2" t="s">
        <v>984</v>
      </c>
      <c r="G378" s="2" t="s">
        <v>7140</v>
      </c>
      <c r="H378" s="2" t="s">
        <v>7579</v>
      </c>
      <c r="I378" s="2" t="s">
        <v>7142</v>
      </c>
      <c r="J378" s="2" t="s">
        <v>8585</v>
      </c>
    </row>
    <row r="379" spans="1:10">
      <c r="A379" s="2" t="s">
        <v>3232</v>
      </c>
      <c r="B379" s="2" t="s">
        <v>982</v>
      </c>
      <c r="C379" s="2" t="s">
        <v>7179</v>
      </c>
      <c r="D379" s="2">
        <v>1974</v>
      </c>
      <c r="E379" s="2" t="s">
        <v>7490</v>
      </c>
      <c r="F379" s="2" t="s">
        <v>3233</v>
      </c>
      <c r="G379" s="2" t="s">
        <v>7181</v>
      </c>
      <c r="H379" s="2" t="s">
        <v>7395</v>
      </c>
      <c r="I379" s="2" t="s">
        <v>7142</v>
      </c>
      <c r="J379" s="2" t="s">
        <v>8586</v>
      </c>
    </row>
    <row r="380" spans="1:10">
      <c r="A380" s="2" t="s">
        <v>3235</v>
      </c>
      <c r="B380" s="2" t="s">
        <v>2068</v>
      </c>
      <c r="C380" s="2" t="s">
        <v>7138</v>
      </c>
      <c r="D380" s="2">
        <v>1973</v>
      </c>
      <c r="E380" s="2" t="s">
        <v>7490</v>
      </c>
      <c r="F380" s="2" t="s">
        <v>3236</v>
      </c>
      <c r="G380" s="2" t="s">
        <v>7140</v>
      </c>
      <c r="H380" s="2" t="s">
        <v>7225</v>
      </c>
      <c r="I380" s="2" t="s">
        <v>7142</v>
      </c>
      <c r="J380" s="2" t="s">
        <v>8529</v>
      </c>
    </row>
    <row r="381" spans="1:10">
      <c r="A381" s="2" t="s">
        <v>3237</v>
      </c>
      <c r="B381" s="2" t="s">
        <v>2068</v>
      </c>
      <c r="C381" s="2" t="s">
        <v>7138</v>
      </c>
      <c r="D381" s="2">
        <v>2002</v>
      </c>
      <c r="E381" s="2" t="s">
        <v>7490</v>
      </c>
      <c r="F381" s="2" t="s">
        <v>3238</v>
      </c>
      <c r="G381" s="2" t="s">
        <v>7192</v>
      </c>
      <c r="H381" s="2" t="s">
        <v>7141</v>
      </c>
      <c r="I381" s="2" t="s">
        <v>7142</v>
      </c>
      <c r="J381" s="2" t="s">
        <v>8530</v>
      </c>
    </row>
    <row r="382" spans="1:10">
      <c r="A382" s="2" t="s">
        <v>3239</v>
      </c>
      <c r="B382" s="2" t="s">
        <v>2068</v>
      </c>
      <c r="C382" s="2" t="s">
        <v>7179</v>
      </c>
      <c r="D382" s="2">
        <v>1976</v>
      </c>
      <c r="E382" s="2" t="s">
        <v>7490</v>
      </c>
      <c r="F382" s="2" t="s">
        <v>3240</v>
      </c>
      <c r="G382" s="2" t="s">
        <v>7181</v>
      </c>
      <c r="H382" s="2" t="s">
        <v>7225</v>
      </c>
      <c r="I382" s="2" t="s">
        <v>7142</v>
      </c>
      <c r="J382" s="2" t="s">
        <v>8566</v>
      </c>
    </row>
    <row r="383" spans="1:10">
      <c r="A383" s="2" t="s">
        <v>3241</v>
      </c>
      <c r="B383" s="2" t="s">
        <v>1054</v>
      </c>
      <c r="C383" s="2" t="s">
        <v>7179</v>
      </c>
      <c r="D383" s="2">
        <v>2022</v>
      </c>
      <c r="E383" s="2" t="s">
        <v>7180</v>
      </c>
      <c r="F383" s="2" t="s">
        <v>3242</v>
      </c>
      <c r="G383" s="2" t="s">
        <v>7192</v>
      </c>
      <c r="H383" s="2" t="s">
        <v>7579</v>
      </c>
      <c r="I383" s="2" t="s">
        <v>7143</v>
      </c>
    </row>
    <row r="384" spans="1:10">
      <c r="A384" s="2" t="s">
        <v>3243</v>
      </c>
      <c r="B384" s="2" t="s">
        <v>1054</v>
      </c>
      <c r="C384" s="2" t="s">
        <v>7138</v>
      </c>
      <c r="D384" s="2">
        <v>1994</v>
      </c>
      <c r="E384" s="2" t="s">
        <v>7180</v>
      </c>
      <c r="F384" s="2" t="s">
        <v>1056</v>
      </c>
      <c r="G384" s="2" t="s">
        <v>7140</v>
      </c>
      <c r="H384" s="2" t="s">
        <v>7182</v>
      </c>
      <c r="I384" s="2" t="s">
        <v>7142</v>
      </c>
      <c r="J384" s="2" t="s">
        <v>8587</v>
      </c>
    </row>
    <row r="385" spans="1:10">
      <c r="A385" s="2" t="s">
        <v>3245</v>
      </c>
      <c r="B385" s="2" t="s">
        <v>1054</v>
      </c>
      <c r="C385" s="2" t="s">
        <v>7179</v>
      </c>
      <c r="D385" s="2">
        <v>1998</v>
      </c>
      <c r="E385" s="2" t="s">
        <v>7180</v>
      </c>
      <c r="F385" s="2" t="s">
        <v>3246</v>
      </c>
      <c r="G385" s="2" t="s">
        <v>7181</v>
      </c>
      <c r="H385" s="2" t="s">
        <v>7428</v>
      </c>
      <c r="I385" s="2" t="s">
        <v>7142</v>
      </c>
      <c r="J385" s="2" t="s">
        <v>8588</v>
      </c>
    </row>
    <row r="386" spans="1:10">
      <c r="A386" s="2" t="s">
        <v>3248</v>
      </c>
      <c r="B386" s="2" t="s">
        <v>2056</v>
      </c>
      <c r="C386" s="2" t="s">
        <v>7138</v>
      </c>
      <c r="D386" s="2">
        <v>1999</v>
      </c>
      <c r="E386" s="2" t="s">
        <v>7490</v>
      </c>
      <c r="F386" s="2" t="s">
        <v>2059</v>
      </c>
      <c r="G386" s="2" t="s">
        <v>7140</v>
      </c>
      <c r="H386" s="2" t="s">
        <v>7141</v>
      </c>
      <c r="I386" s="2" t="s">
        <v>7142</v>
      </c>
      <c r="J386" s="2" t="s">
        <v>8529</v>
      </c>
    </row>
    <row r="387" spans="1:10">
      <c r="A387" s="2" t="s">
        <v>3249</v>
      </c>
      <c r="B387" s="2" t="s">
        <v>2056</v>
      </c>
      <c r="C387" s="2" t="s">
        <v>7179</v>
      </c>
      <c r="D387" s="2">
        <v>2001</v>
      </c>
      <c r="E387" s="2" t="s">
        <v>7490</v>
      </c>
      <c r="F387" s="2" t="s">
        <v>3250</v>
      </c>
      <c r="G387" s="2" t="s">
        <v>7181</v>
      </c>
      <c r="H387" s="2" t="s">
        <v>7141</v>
      </c>
      <c r="I387" s="2" t="s">
        <v>7142</v>
      </c>
      <c r="J387" s="2" t="s">
        <v>8589</v>
      </c>
    </row>
    <row r="388" spans="1:10">
      <c r="A388" s="2" t="s">
        <v>3252</v>
      </c>
      <c r="B388" s="2" t="s">
        <v>2014</v>
      </c>
      <c r="C388" s="2" t="s">
        <v>7138</v>
      </c>
      <c r="D388" s="2">
        <v>1974</v>
      </c>
      <c r="E388" s="2" t="s">
        <v>7180</v>
      </c>
      <c r="F388" s="2" t="s">
        <v>2017</v>
      </c>
      <c r="G388" s="2" t="s">
        <v>7140</v>
      </c>
      <c r="H388" s="2" t="s">
        <v>7182</v>
      </c>
      <c r="I388" s="2" t="s">
        <v>7142</v>
      </c>
      <c r="J388" s="2" t="s">
        <v>8531</v>
      </c>
    </row>
    <row r="389" spans="1:10">
      <c r="A389" s="2" t="s">
        <v>3253</v>
      </c>
      <c r="B389" s="2" t="s">
        <v>2014</v>
      </c>
      <c r="C389" s="2" t="s">
        <v>7179</v>
      </c>
      <c r="D389" s="2">
        <v>1974</v>
      </c>
      <c r="E389" s="2" t="s">
        <v>7180</v>
      </c>
      <c r="F389" s="2" t="s">
        <v>2016</v>
      </c>
      <c r="G389" s="2" t="s">
        <v>7181</v>
      </c>
      <c r="H389" s="2" t="s">
        <v>7141</v>
      </c>
      <c r="I389" s="2" t="s">
        <v>7142</v>
      </c>
      <c r="J389" s="2" t="s">
        <v>8566</v>
      </c>
    </row>
    <row r="390" spans="1:10">
      <c r="A390" s="2" t="s">
        <v>3254</v>
      </c>
      <c r="B390" s="2" t="s">
        <v>848</v>
      </c>
      <c r="C390" s="2" t="s">
        <v>7179</v>
      </c>
      <c r="D390" s="2">
        <v>1989</v>
      </c>
      <c r="E390" s="2" t="s">
        <v>7180</v>
      </c>
      <c r="F390" s="2" t="s">
        <v>850</v>
      </c>
      <c r="G390" s="2" t="s">
        <v>7140</v>
      </c>
      <c r="H390" s="2" t="s">
        <v>7141</v>
      </c>
      <c r="I390" s="2" t="s">
        <v>7142</v>
      </c>
      <c r="J390" s="2" t="s">
        <v>8533</v>
      </c>
    </row>
    <row r="391" spans="1:10">
      <c r="A391" s="2" t="s">
        <v>3255</v>
      </c>
      <c r="B391" s="2" t="s">
        <v>1963</v>
      </c>
      <c r="C391" s="2" t="s">
        <v>7138</v>
      </c>
      <c r="D391" s="2">
        <v>1976</v>
      </c>
      <c r="E391" s="2" t="s">
        <v>7180</v>
      </c>
      <c r="F391" s="2" t="s">
        <v>1967</v>
      </c>
      <c r="G391" s="2" t="s">
        <v>7140</v>
      </c>
      <c r="H391" s="2" t="s">
        <v>7141</v>
      </c>
      <c r="I391" s="2" t="s">
        <v>7142</v>
      </c>
      <c r="J391" s="2" t="s">
        <v>8533</v>
      </c>
    </row>
    <row r="392" spans="1:10">
      <c r="A392" s="2" t="s">
        <v>3256</v>
      </c>
      <c r="B392" s="2" t="s">
        <v>1963</v>
      </c>
      <c r="C392" s="2" t="s">
        <v>7179</v>
      </c>
      <c r="D392" s="2">
        <v>1976</v>
      </c>
      <c r="E392" s="2" t="s">
        <v>7180</v>
      </c>
      <c r="F392" s="2" t="s">
        <v>3257</v>
      </c>
      <c r="G392" s="2" t="s">
        <v>7181</v>
      </c>
      <c r="H392" s="2" t="s">
        <v>7182</v>
      </c>
      <c r="I392" s="2" t="s">
        <v>7142</v>
      </c>
      <c r="J392" s="2" t="s">
        <v>8590</v>
      </c>
    </row>
    <row r="393" spans="1:10">
      <c r="A393" s="2" t="s">
        <v>3259</v>
      </c>
      <c r="B393" s="2" t="s">
        <v>886</v>
      </c>
      <c r="C393" s="2" t="s">
        <v>7179</v>
      </c>
      <c r="D393" s="2">
        <v>1983</v>
      </c>
      <c r="E393" s="2" t="s">
        <v>7180</v>
      </c>
      <c r="F393" s="2" t="s">
        <v>887</v>
      </c>
      <c r="G393" s="2" t="s">
        <v>7181</v>
      </c>
      <c r="H393" s="2" t="s">
        <v>7141</v>
      </c>
      <c r="I393" s="2" t="s">
        <v>7142</v>
      </c>
      <c r="J393" s="2" t="s">
        <v>8533</v>
      </c>
    </row>
    <row r="394" spans="1:10">
      <c r="A394" s="2" t="s">
        <v>3260</v>
      </c>
      <c r="B394" s="2" t="s">
        <v>886</v>
      </c>
      <c r="C394" s="2" t="s">
        <v>7138</v>
      </c>
      <c r="D394" s="2">
        <v>1983</v>
      </c>
      <c r="E394" s="2" t="s">
        <v>7180</v>
      </c>
      <c r="F394" s="2" t="s">
        <v>888</v>
      </c>
      <c r="G394" s="2" t="s">
        <v>7140</v>
      </c>
      <c r="H394" s="2" t="s">
        <v>7141</v>
      </c>
      <c r="I394" s="2" t="s">
        <v>7142</v>
      </c>
      <c r="J394" s="2" t="s">
        <v>8533</v>
      </c>
    </row>
    <row r="395" spans="1:10">
      <c r="A395" s="2" t="s">
        <v>3261</v>
      </c>
      <c r="B395" s="2" t="s">
        <v>889</v>
      </c>
      <c r="C395" s="2" t="s">
        <v>7179</v>
      </c>
      <c r="D395" s="2">
        <v>1965</v>
      </c>
      <c r="E395" s="2" t="s">
        <v>7180</v>
      </c>
      <c r="F395" s="2" t="s">
        <v>890</v>
      </c>
      <c r="G395" s="2" t="s">
        <v>7181</v>
      </c>
      <c r="H395" s="2" t="s">
        <v>7141</v>
      </c>
      <c r="I395" s="2" t="s">
        <v>7142</v>
      </c>
      <c r="J395" s="2" t="s">
        <v>8533</v>
      </c>
    </row>
    <row r="396" spans="1:10">
      <c r="A396" s="2" t="s">
        <v>3262</v>
      </c>
      <c r="B396" s="2" t="s">
        <v>889</v>
      </c>
      <c r="C396" s="2" t="s">
        <v>7138</v>
      </c>
      <c r="D396" s="2">
        <v>1963</v>
      </c>
      <c r="E396" s="2" t="s">
        <v>7180</v>
      </c>
      <c r="F396" s="2" t="s">
        <v>891</v>
      </c>
      <c r="G396" s="2" t="s">
        <v>7140</v>
      </c>
      <c r="H396" s="2" t="s">
        <v>7141</v>
      </c>
      <c r="I396" s="2" t="s">
        <v>7142</v>
      </c>
      <c r="J396" s="2" t="s">
        <v>8533</v>
      </c>
    </row>
    <row r="397" spans="1:10">
      <c r="A397" s="2" t="s">
        <v>3263</v>
      </c>
      <c r="B397" s="2" t="s">
        <v>1959</v>
      </c>
      <c r="C397" s="2" t="s">
        <v>7138</v>
      </c>
      <c r="D397" s="2">
        <v>1993</v>
      </c>
      <c r="E397" s="2" t="s">
        <v>7490</v>
      </c>
      <c r="F397" s="2" t="s">
        <v>1961</v>
      </c>
      <c r="G397" s="2" t="s">
        <v>7140</v>
      </c>
      <c r="H397" s="2" t="s">
        <v>7225</v>
      </c>
      <c r="I397" s="2" t="s">
        <v>7142</v>
      </c>
      <c r="J397" s="2" t="s">
        <v>8533</v>
      </c>
    </row>
    <row r="398" spans="1:10">
      <c r="A398" s="2" t="s">
        <v>3264</v>
      </c>
      <c r="B398" s="2" t="s">
        <v>1959</v>
      </c>
      <c r="C398" s="2" t="s">
        <v>7179</v>
      </c>
      <c r="D398" s="2">
        <v>1993</v>
      </c>
      <c r="E398" s="2" t="s">
        <v>7490</v>
      </c>
      <c r="F398" s="2" t="s">
        <v>3265</v>
      </c>
      <c r="G398" s="2" t="s">
        <v>7181</v>
      </c>
      <c r="H398" s="2" t="s">
        <v>7225</v>
      </c>
      <c r="I398" s="2" t="s">
        <v>7142</v>
      </c>
      <c r="J398" s="2" t="s">
        <v>8534</v>
      </c>
    </row>
    <row r="399" spans="1:10">
      <c r="A399" s="2" t="s">
        <v>3266</v>
      </c>
      <c r="B399" s="2" t="s">
        <v>1093</v>
      </c>
      <c r="C399" s="2" t="s">
        <v>7138</v>
      </c>
      <c r="D399" s="2">
        <v>1991</v>
      </c>
      <c r="E399" s="2" t="s">
        <v>7180</v>
      </c>
      <c r="F399" s="2" t="s">
        <v>1096</v>
      </c>
      <c r="G399" s="2" t="s">
        <v>7140</v>
      </c>
      <c r="H399" s="2" t="s">
        <v>7650</v>
      </c>
      <c r="I399" s="2" t="s">
        <v>7142</v>
      </c>
      <c r="J399" s="2" t="s">
        <v>8587</v>
      </c>
    </row>
    <row r="400" spans="1:10">
      <c r="A400" s="2" t="s">
        <v>3267</v>
      </c>
      <c r="B400" s="2" t="s">
        <v>1093</v>
      </c>
      <c r="C400" s="2" t="s">
        <v>7179</v>
      </c>
      <c r="D400" s="2">
        <v>1994</v>
      </c>
      <c r="E400" s="2" t="s">
        <v>7180</v>
      </c>
      <c r="F400" s="2" t="s">
        <v>3268</v>
      </c>
      <c r="G400" s="2" t="s">
        <v>7181</v>
      </c>
      <c r="H400" s="2" t="s">
        <v>7428</v>
      </c>
      <c r="I400" s="2" t="s">
        <v>7142</v>
      </c>
      <c r="J400" s="2" t="s">
        <v>8588</v>
      </c>
    </row>
    <row r="401" spans="1:10">
      <c r="A401" s="2" t="s">
        <v>3269</v>
      </c>
      <c r="B401" s="2" t="s">
        <v>1093</v>
      </c>
      <c r="C401" s="2" t="s">
        <v>7138</v>
      </c>
      <c r="D401" s="2">
        <v>2014</v>
      </c>
      <c r="E401" s="2" t="s">
        <v>7180</v>
      </c>
      <c r="F401" s="2" t="s">
        <v>3270</v>
      </c>
      <c r="G401" s="2" t="s">
        <v>7192</v>
      </c>
      <c r="H401" s="2" t="s">
        <v>7579</v>
      </c>
      <c r="I401" s="2" t="s">
        <v>7143</v>
      </c>
    </row>
    <row r="402" spans="1:10">
      <c r="A402" s="2" t="s">
        <v>3271</v>
      </c>
      <c r="B402" s="2" t="s">
        <v>1093</v>
      </c>
      <c r="C402" s="2" t="s">
        <v>7179</v>
      </c>
      <c r="D402" s="2">
        <v>2017</v>
      </c>
      <c r="E402" s="2" t="s">
        <v>7180</v>
      </c>
      <c r="F402" s="2" t="s">
        <v>3272</v>
      </c>
      <c r="G402" s="2" t="s">
        <v>7192</v>
      </c>
      <c r="H402" s="2" t="s">
        <v>7579</v>
      </c>
      <c r="I402" s="2" t="s">
        <v>7143</v>
      </c>
    </row>
    <row r="403" spans="1:10">
      <c r="A403" s="2" t="s">
        <v>3273</v>
      </c>
      <c r="B403" s="2" t="s">
        <v>943</v>
      </c>
      <c r="C403" s="2" t="s">
        <v>7138</v>
      </c>
      <c r="D403" s="2">
        <v>1988</v>
      </c>
      <c r="E403" s="2" t="s">
        <v>7139</v>
      </c>
      <c r="F403" s="2" t="s">
        <v>944</v>
      </c>
      <c r="G403" s="2" t="s">
        <v>7140</v>
      </c>
      <c r="H403" s="2" t="s">
        <v>7395</v>
      </c>
      <c r="I403" s="2" t="s">
        <v>7142</v>
      </c>
      <c r="J403" s="2" t="s">
        <v>8533</v>
      </c>
    </row>
    <row r="404" spans="1:10">
      <c r="A404" s="2" t="s">
        <v>3274</v>
      </c>
      <c r="B404" s="2" t="s">
        <v>1666</v>
      </c>
      <c r="C404" s="2" t="s">
        <v>7138</v>
      </c>
      <c r="D404" s="2">
        <v>2012</v>
      </c>
      <c r="E404" s="2" t="s">
        <v>7180</v>
      </c>
      <c r="F404" s="2" t="s">
        <v>3275</v>
      </c>
      <c r="G404" s="2" t="s">
        <v>7192</v>
      </c>
      <c r="H404" s="2" t="s">
        <v>7579</v>
      </c>
      <c r="I404" s="2" t="s">
        <v>7143</v>
      </c>
    </row>
    <row r="405" spans="1:10">
      <c r="A405" s="2" t="s">
        <v>3276</v>
      </c>
      <c r="B405" s="2" t="s">
        <v>1666</v>
      </c>
      <c r="C405" s="2" t="s">
        <v>7179</v>
      </c>
      <c r="D405" s="2">
        <v>1990</v>
      </c>
      <c r="E405" s="2" t="s">
        <v>7180</v>
      </c>
      <c r="F405" s="2" t="s">
        <v>3277</v>
      </c>
      <c r="G405" s="2" t="s">
        <v>7181</v>
      </c>
      <c r="H405" s="2" t="s">
        <v>7182</v>
      </c>
      <c r="I405" s="2" t="s">
        <v>7142</v>
      </c>
      <c r="J405" s="2" t="s">
        <v>8589</v>
      </c>
    </row>
    <row r="406" spans="1:10">
      <c r="A406" s="2" t="s">
        <v>3278</v>
      </c>
      <c r="B406" s="2" t="s">
        <v>1666</v>
      </c>
      <c r="C406" s="2" t="s">
        <v>7138</v>
      </c>
      <c r="D406" s="2">
        <v>1986</v>
      </c>
      <c r="E406" s="2" t="s">
        <v>7180</v>
      </c>
      <c r="F406" s="2" t="s">
        <v>1669</v>
      </c>
      <c r="G406" s="2" t="s">
        <v>7140</v>
      </c>
      <c r="H406" s="2" t="s">
        <v>7182</v>
      </c>
      <c r="I406" s="2" t="s">
        <v>7142</v>
      </c>
      <c r="J406" s="2" t="s">
        <v>8533</v>
      </c>
    </row>
    <row r="407" spans="1:10">
      <c r="A407" s="2" t="s">
        <v>3279</v>
      </c>
      <c r="B407" s="2" t="s">
        <v>1111</v>
      </c>
      <c r="C407" s="2" t="s">
        <v>7138</v>
      </c>
      <c r="D407" s="2">
        <v>2005</v>
      </c>
      <c r="E407" s="2" t="s">
        <v>7180</v>
      </c>
      <c r="F407" s="2" t="s">
        <v>3280</v>
      </c>
      <c r="G407" s="2" t="s">
        <v>7192</v>
      </c>
      <c r="H407" s="2" t="s">
        <v>7428</v>
      </c>
      <c r="I407" s="2" t="s">
        <v>7143</v>
      </c>
    </row>
    <row r="408" spans="1:10">
      <c r="A408" s="2" t="s">
        <v>3281</v>
      </c>
      <c r="B408" s="2" t="s">
        <v>1111</v>
      </c>
      <c r="C408" s="2" t="s">
        <v>7179</v>
      </c>
      <c r="D408" s="2">
        <v>1970</v>
      </c>
      <c r="E408" s="2" t="s">
        <v>7180</v>
      </c>
      <c r="F408" s="2" t="s">
        <v>3282</v>
      </c>
      <c r="G408" s="2" t="s">
        <v>7181</v>
      </c>
      <c r="H408" s="2" t="s">
        <v>7141</v>
      </c>
      <c r="I408" s="2" t="s">
        <v>7142</v>
      </c>
      <c r="J408" s="2" t="s">
        <v>8588</v>
      </c>
    </row>
    <row r="409" spans="1:10">
      <c r="A409" s="2" t="s">
        <v>3283</v>
      </c>
      <c r="B409" s="2" t="s">
        <v>1111</v>
      </c>
      <c r="C409" s="2" t="s">
        <v>7138</v>
      </c>
      <c r="D409" s="2">
        <v>1969</v>
      </c>
      <c r="E409" s="2" t="s">
        <v>7180</v>
      </c>
      <c r="F409" s="2" t="s">
        <v>1114</v>
      </c>
      <c r="G409" s="2" t="s">
        <v>7140</v>
      </c>
      <c r="H409" s="2" t="s">
        <v>7141</v>
      </c>
      <c r="I409" s="2" t="s">
        <v>7142</v>
      </c>
      <c r="J409" s="2" t="s">
        <v>8591</v>
      </c>
    </row>
    <row r="410" spans="1:10">
      <c r="A410" s="2" t="s">
        <v>3285</v>
      </c>
      <c r="B410" s="2" t="s">
        <v>1137</v>
      </c>
      <c r="C410" s="2" t="s">
        <v>7138</v>
      </c>
      <c r="D410" s="2">
        <v>1952</v>
      </c>
      <c r="E410" s="2" t="s">
        <v>7180</v>
      </c>
      <c r="F410" s="2" t="s">
        <v>1138</v>
      </c>
      <c r="G410" s="2" t="s">
        <v>7140</v>
      </c>
      <c r="H410" s="2" t="s">
        <v>7141</v>
      </c>
      <c r="I410" s="2" t="s">
        <v>7142</v>
      </c>
      <c r="J410" s="2" t="s">
        <v>8533</v>
      </c>
    </row>
    <row r="411" spans="1:10">
      <c r="A411" s="2" t="s">
        <v>3286</v>
      </c>
      <c r="B411" s="2" t="s">
        <v>1117</v>
      </c>
      <c r="C411" s="2" t="s">
        <v>7138</v>
      </c>
      <c r="D411" s="2">
        <v>1989</v>
      </c>
      <c r="E411" s="2" t="s">
        <v>7180</v>
      </c>
      <c r="F411" s="2" t="s">
        <v>1119</v>
      </c>
      <c r="G411" s="2" t="s">
        <v>7140</v>
      </c>
      <c r="H411" s="2" t="s">
        <v>7182</v>
      </c>
      <c r="I411" s="2" t="s">
        <v>7142</v>
      </c>
      <c r="J411" s="2" t="s">
        <v>8587</v>
      </c>
    </row>
    <row r="412" spans="1:10">
      <c r="A412" s="2" t="s">
        <v>3287</v>
      </c>
      <c r="B412" s="2" t="s">
        <v>1117</v>
      </c>
      <c r="C412" s="2" t="s">
        <v>7179</v>
      </c>
      <c r="D412" s="2">
        <v>1990</v>
      </c>
      <c r="E412" s="2" t="s">
        <v>7180</v>
      </c>
      <c r="F412" s="2" t="s">
        <v>3288</v>
      </c>
      <c r="G412" s="2" t="s">
        <v>7181</v>
      </c>
      <c r="H412" s="2" t="s">
        <v>7182</v>
      </c>
      <c r="I412" s="2" t="s">
        <v>7142</v>
      </c>
      <c r="J412" s="2" t="s">
        <v>8588</v>
      </c>
    </row>
    <row r="413" spans="1:10">
      <c r="A413" s="2" t="s">
        <v>3289</v>
      </c>
      <c r="B413" s="2" t="s">
        <v>1156</v>
      </c>
      <c r="C413" s="2" t="s">
        <v>7138</v>
      </c>
      <c r="D413" s="2">
        <v>1956</v>
      </c>
      <c r="E413" s="2" t="s">
        <v>7180</v>
      </c>
      <c r="F413" s="2" t="s">
        <v>1157</v>
      </c>
      <c r="G413" s="2" t="s">
        <v>7140</v>
      </c>
      <c r="H413" s="2" t="s">
        <v>7141</v>
      </c>
      <c r="I413" s="2" t="s">
        <v>7142</v>
      </c>
      <c r="J413" s="2" t="s">
        <v>8533</v>
      </c>
    </row>
    <row r="414" spans="1:10">
      <c r="A414" s="2" t="s">
        <v>3290</v>
      </c>
      <c r="B414" s="2" t="s">
        <v>1694</v>
      </c>
      <c r="C414" s="2" t="s">
        <v>7138</v>
      </c>
      <c r="D414" s="2">
        <v>1971</v>
      </c>
      <c r="E414" s="2" t="s">
        <v>7180</v>
      </c>
      <c r="F414" s="2" t="s">
        <v>1696</v>
      </c>
      <c r="H414" s="2" t="s">
        <v>7182</v>
      </c>
      <c r="I414" s="2" t="s">
        <v>7142</v>
      </c>
      <c r="J414" s="2" t="s">
        <v>8533</v>
      </c>
    </row>
    <row r="415" spans="1:10">
      <c r="A415" s="2" t="s">
        <v>3291</v>
      </c>
      <c r="B415" s="2" t="s">
        <v>1694</v>
      </c>
      <c r="C415" s="2" t="s">
        <v>7179</v>
      </c>
      <c r="D415" s="2">
        <v>2007</v>
      </c>
      <c r="E415" s="2" t="s">
        <v>7180</v>
      </c>
      <c r="F415" s="2" t="s">
        <v>3292</v>
      </c>
      <c r="G415" s="2" t="s">
        <v>7192</v>
      </c>
      <c r="H415" s="2" t="s">
        <v>7182</v>
      </c>
      <c r="I415" s="2" t="s">
        <v>7143</v>
      </c>
    </row>
    <row r="416" spans="1:10">
      <c r="A416" s="2" t="s">
        <v>3293</v>
      </c>
      <c r="B416" s="2" t="s">
        <v>1694</v>
      </c>
      <c r="C416" s="2" t="s">
        <v>7179</v>
      </c>
      <c r="D416" s="2">
        <v>1975</v>
      </c>
      <c r="E416" s="2" t="s">
        <v>7180</v>
      </c>
      <c r="F416" s="2" t="s">
        <v>1695</v>
      </c>
      <c r="G416" s="2" t="s">
        <v>7181</v>
      </c>
      <c r="H416" s="2" t="s">
        <v>7141</v>
      </c>
      <c r="I416" s="2" t="s">
        <v>7142</v>
      </c>
      <c r="J416" s="2" t="s">
        <v>8547</v>
      </c>
    </row>
    <row r="417" spans="1:10">
      <c r="A417" s="2" t="s">
        <v>3294</v>
      </c>
      <c r="B417" s="2" t="s">
        <v>1694</v>
      </c>
      <c r="C417" s="2" t="s">
        <v>7179</v>
      </c>
      <c r="D417" s="2">
        <v>2001</v>
      </c>
      <c r="E417" s="2" t="s">
        <v>7180</v>
      </c>
      <c r="F417" s="2" t="s">
        <v>3295</v>
      </c>
      <c r="G417" s="2" t="s">
        <v>7192</v>
      </c>
      <c r="H417" s="2" t="s">
        <v>7428</v>
      </c>
      <c r="I417" s="2" t="s">
        <v>7143</v>
      </c>
    </row>
    <row r="418" spans="1:10">
      <c r="A418" s="2" t="s">
        <v>3296</v>
      </c>
      <c r="B418" s="2" t="s">
        <v>1154</v>
      </c>
      <c r="C418" s="2" t="s">
        <v>7138</v>
      </c>
      <c r="D418" s="2">
        <v>1957</v>
      </c>
      <c r="E418" s="2" t="s">
        <v>7180</v>
      </c>
      <c r="F418" s="2" t="s">
        <v>1155</v>
      </c>
      <c r="G418" s="2" t="s">
        <v>7140</v>
      </c>
      <c r="H418" s="2" t="s">
        <v>7182</v>
      </c>
      <c r="I418" s="2" t="s">
        <v>7142</v>
      </c>
      <c r="J418" s="2" t="s">
        <v>8532</v>
      </c>
    </row>
    <row r="419" spans="1:10">
      <c r="A419" s="2" t="s">
        <v>3297</v>
      </c>
      <c r="B419" s="2" t="s">
        <v>1122</v>
      </c>
      <c r="C419" s="2" t="s">
        <v>7179</v>
      </c>
      <c r="D419" s="2">
        <v>1977</v>
      </c>
      <c r="E419" s="2" t="s">
        <v>7490</v>
      </c>
      <c r="F419" s="2" t="s">
        <v>3298</v>
      </c>
      <c r="G419" s="2" t="s">
        <v>7181</v>
      </c>
      <c r="H419" s="2" t="s">
        <v>7225</v>
      </c>
      <c r="I419" s="2" t="s">
        <v>7142</v>
      </c>
      <c r="J419" s="2" t="s">
        <v>8588</v>
      </c>
    </row>
    <row r="420" spans="1:10">
      <c r="A420" s="2" t="s">
        <v>3299</v>
      </c>
      <c r="B420" s="2" t="s">
        <v>1122</v>
      </c>
      <c r="C420" s="2" t="s">
        <v>7138</v>
      </c>
      <c r="D420" s="2">
        <v>2002</v>
      </c>
      <c r="E420" s="2" t="s">
        <v>7490</v>
      </c>
      <c r="F420" s="2" t="s">
        <v>1124</v>
      </c>
      <c r="G420" s="2" t="s">
        <v>7192</v>
      </c>
      <c r="H420" s="2" t="s">
        <v>7395</v>
      </c>
      <c r="I420" s="2" t="s">
        <v>7142</v>
      </c>
      <c r="J420" s="2" t="s">
        <v>8592</v>
      </c>
    </row>
    <row r="421" spans="1:10">
      <c r="A421" s="2" t="s">
        <v>3301</v>
      </c>
      <c r="B421" s="2" t="s">
        <v>1122</v>
      </c>
      <c r="C421" s="2" t="s">
        <v>7138</v>
      </c>
      <c r="D421" s="2">
        <v>1977</v>
      </c>
      <c r="E421" s="2" t="s">
        <v>7490</v>
      </c>
      <c r="F421" s="2" t="s">
        <v>1125</v>
      </c>
      <c r="G421" s="2" t="s">
        <v>7140</v>
      </c>
      <c r="H421" s="2" t="s">
        <v>7225</v>
      </c>
      <c r="I421" s="2" t="s">
        <v>7142</v>
      </c>
      <c r="J421" s="2" t="s">
        <v>8587</v>
      </c>
    </row>
    <row r="422" spans="1:10">
      <c r="A422" s="2" t="s">
        <v>3302</v>
      </c>
      <c r="B422" s="2" t="s">
        <v>1128</v>
      </c>
      <c r="C422" s="2" t="s">
        <v>7138</v>
      </c>
      <c r="D422" s="2">
        <v>1988</v>
      </c>
      <c r="E422" s="2" t="s">
        <v>7180</v>
      </c>
      <c r="F422" s="2" t="s">
        <v>1129</v>
      </c>
      <c r="G422" s="2" t="s">
        <v>7140</v>
      </c>
      <c r="H422" s="2" t="s">
        <v>7182</v>
      </c>
      <c r="I422" s="2" t="s">
        <v>7142</v>
      </c>
      <c r="J422" s="2" t="s">
        <v>8533</v>
      </c>
    </row>
    <row r="423" spans="1:10">
      <c r="A423" s="2" t="s">
        <v>3303</v>
      </c>
      <c r="B423" s="2" t="s">
        <v>1720</v>
      </c>
      <c r="C423" s="2" t="s">
        <v>7179</v>
      </c>
      <c r="D423" s="2">
        <v>2005</v>
      </c>
      <c r="E423" s="2" t="s">
        <v>7180</v>
      </c>
      <c r="F423" s="2" t="s">
        <v>3304</v>
      </c>
      <c r="G423" s="2" t="s">
        <v>7192</v>
      </c>
      <c r="H423" s="2" t="s">
        <v>7428</v>
      </c>
      <c r="I423" s="2" t="s">
        <v>7143</v>
      </c>
    </row>
    <row r="424" spans="1:10">
      <c r="A424" s="2" t="s">
        <v>3305</v>
      </c>
      <c r="B424" s="2" t="s">
        <v>1720</v>
      </c>
      <c r="C424" s="2" t="s">
        <v>7179</v>
      </c>
      <c r="D424" s="2">
        <v>1966</v>
      </c>
      <c r="E424" s="2" t="s">
        <v>7180</v>
      </c>
      <c r="F424" s="2" t="s">
        <v>1722</v>
      </c>
      <c r="G424" s="2" t="s">
        <v>7140</v>
      </c>
      <c r="H424" s="2" t="s">
        <v>7141</v>
      </c>
      <c r="I424" s="2" t="s">
        <v>7142</v>
      </c>
      <c r="J424" s="2" t="s">
        <v>8593</v>
      </c>
    </row>
    <row r="425" spans="1:10">
      <c r="A425" s="2" t="s">
        <v>3307</v>
      </c>
      <c r="B425" s="2" t="s">
        <v>1720</v>
      </c>
      <c r="C425" s="2" t="s">
        <v>7179</v>
      </c>
      <c r="D425" s="2">
        <v>2002</v>
      </c>
      <c r="E425" s="2" t="s">
        <v>7180</v>
      </c>
      <c r="F425" s="2" t="s">
        <v>3308</v>
      </c>
      <c r="G425" s="2" t="s">
        <v>7192</v>
      </c>
      <c r="H425" s="2" t="s">
        <v>7182</v>
      </c>
      <c r="I425" s="2" t="s">
        <v>7143</v>
      </c>
    </row>
    <row r="426" spans="1:10">
      <c r="A426" s="2" t="s">
        <v>3309</v>
      </c>
      <c r="B426" s="2" t="s">
        <v>1131</v>
      </c>
      <c r="C426" s="2" t="s">
        <v>7138</v>
      </c>
      <c r="D426" s="2">
        <v>2017</v>
      </c>
      <c r="E426" s="2" t="s">
        <v>7180</v>
      </c>
      <c r="F426" s="2" t="s">
        <v>3310</v>
      </c>
      <c r="G426" s="2" t="s">
        <v>7192</v>
      </c>
      <c r="H426" s="2" t="s">
        <v>7579</v>
      </c>
      <c r="I426" s="2" t="s">
        <v>7143</v>
      </c>
    </row>
    <row r="427" spans="1:10">
      <c r="A427" s="2" t="s">
        <v>3311</v>
      </c>
      <c r="B427" s="2" t="s">
        <v>1131</v>
      </c>
      <c r="C427" s="2" t="s">
        <v>7138</v>
      </c>
      <c r="D427" s="2">
        <v>1985</v>
      </c>
      <c r="E427" s="2" t="s">
        <v>7180</v>
      </c>
      <c r="F427" s="2" t="s">
        <v>1134</v>
      </c>
      <c r="G427" s="2" t="s">
        <v>7140</v>
      </c>
      <c r="H427" s="2" t="s">
        <v>7182</v>
      </c>
      <c r="I427" s="2" t="s">
        <v>7142</v>
      </c>
      <c r="J427" s="2" t="s">
        <v>8587</v>
      </c>
    </row>
    <row r="428" spans="1:10">
      <c r="A428" s="2" t="s">
        <v>3312</v>
      </c>
      <c r="B428" s="2" t="s">
        <v>1131</v>
      </c>
      <c r="C428" s="2" t="s">
        <v>7179</v>
      </c>
      <c r="D428" s="2">
        <v>1990</v>
      </c>
      <c r="E428" s="2" t="s">
        <v>7180</v>
      </c>
      <c r="F428" s="2" t="s">
        <v>1133</v>
      </c>
      <c r="G428" s="2" t="s">
        <v>7181</v>
      </c>
      <c r="H428" s="2" t="s">
        <v>7182</v>
      </c>
      <c r="I428" s="2" t="s">
        <v>7142</v>
      </c>
      <c r="J428" s="2" t="s">
        <v>8594</v>
      </c>
    </row>
    <row r="429" spans="1:10">
      <c r="A429" s="2" t="s">
        <v>3314</v>
      </c>
      <c r="B429" s="2" t="s">
        <v>1131</v>
      </c>
      <c r="C429" s="2" t="s">
        <v>7138</v>
      </c>
      <c r="D429" s="2">
        <v>2012</v>
      </c>
      <c r="E429" s="2" t="s">
        <v>7180</v>
      </c>
      <c r="F429" s="2" t="s">
        <v>3315</v>
      </c>
      <c r="G429" s="2" t="s">
        <v>7192</v>
      </c>
      <c r="H429" s="2" t="s">
        <v>7579</v>
      </c>
      <c r="I429" s="2" t="s">
        <v>7143</v>
      </c>
    </row>
    <row r="430" spans="1:10">
      <c r="A430" s="2" t="s">
        <v>3316</v>
      </c>
      <c r="B430" s="2" t="s">
        <v>1023</v>
      </c>
      <c r="C430" s="2" t="s">
        <v>7138</v>
      </c>
      <c r="D430" s="2">
        <v>1998</v>
      </c>
      <c r="E430" s="2" t="s">
        <v>7490</v>
      </c>
      <c r="F430" s="2" t="s">
        <v>1025</v>
      </c>
      <c r="G430" s="2" t="s">
        <v>7140</v>
      </c>
      <c r="H430" s="2" t="s">
        <v>7225</v>
      </c>
      <c r="I430" s="2" t="s">
        <v>7142</v>
      </c>
      <c r="J430" s="2" t="s">
        <v>8533</v>
      </c>
    </row>
    <row r="431" spans="1:10">
      <c r="A431" s="2" t="s">
        <v>3317</v>
      </c>
      <c r="B431" s="2" t="s">
        <v>1023</v>
      </c>
      <c r="C431" s="2" t="s">
        <v>7179</v>
      </c>
      <c r="D431" s="2">
        <v>1999</v>
      </c>
      <c r="E431" s="2" t="s">
        <v>7490</v>
      </c>
      <c r="F431" s="2" t="s">
        <v>1024</v>
      </c>
      <c r="G431" s="2" t="s">
        <v>7181</v>
      </c>
      <c r="H431" s="2" t="s">
        <v>7141</v>
      </c>
      <c r="I431" s="2" t="s">
        <v>7142</v>
      </c>
      <c r="J431" s="2" t="s">
        <v>8538</v>
      </c>
    </row>
    <row r="432" spans="1:10">
      <c r="A432" s="2" t="s">
        <v>3318</v>
      </c>
      <c r="B432" s="2" t="s">
        <v>1139</v>
      </c>
      <c r="C432" s="2" t="s">
        <v>7138</v>
      </c>
      <c r="D432" s="2">
        <v>1961</v>
      </c>
      <c r="E432" s="2" t="s">
        <v>7180</v>
      </c>
      <c r="F432" s="2" t="s">
        <v>1142</v>
      </c>
      <c r="G432" s="2" t="s">
        <v>7140</v>
      </c>
      <c r="H432" s="2" t="s">
        <v>7141</v>
      </c>
      <c r="I432" s="2" t="s">
        <v>7142</v>
      </c>
      <c r="J432" s="2" t="s">
        <v>8587</v>
      </c>
    </row>
    <row r="433" spans="1:10">
      <c r="A433" s="2" t="s">
        <v>3319</v>
      </c>
      <c r="B433" s="2" t="s">
        <v>1139</v>
      </c>
      <c r="C433" s="2" t="s">
        <v>7179</v>
      </c>
      <c r="D433" s="2">
        <v>1963</v>
      </c>
      <c r="E433" s="2" t="s">
        <v>7180</v>
      </c>
      <c r="F433" s="2" t="s">
        <v>3320</v>
      </c>
      <c r="G433" s="2" t="s">
        <v>7181</v>
      </c>
      <c r="H433" s="2" t="s">
        <v>7141</v>
      </c>
      <c r="I433" s="2" t="s">
        <v>7142</v>
      </c>
      <c r="J433" s="2" t="s">
        <v>8588</v>
      </c>
    </row>
    <row r="434" spans="1:10">
      <c r="A434" s="2" t="s">
        <v>3321</v>
      </c>
      <c r="B434" s="2" t="s">
        <v>1762</v>
      </c>
      <c r="C434" s="2" t="s">
        <v>7138</v>
      </c>
      <c r="D434" s="2">
        <v>2004</v>
      </c>
      <c r="E434" s="2" t="s">
        <v>7180</v>
      </c>
      <c r="F434" s="2" t="s">
        <v>3322</v>
      </c>
      <c r="G434" s="2" t="s">
        <v>7192</v>
      </c>
      <c r="H434" s="2" t="s">
        <v>7428</v>
      </c>
      <c r="I434" s="2" t="s">
        <v>7143</v>
      </c>
    </row>
    <row r="435" spans="1:10">
      <c r="A435" s="2" t="s">
        <v>3323</v>
      </c>
      <c r="B435" s="2" t="s">
        <v>1762</v>
      </c>
      <c r="C435" s="2" t="s">
        <v>7138</v>
      </c>
      <c r="D435" s="2">
        <v>1984</v>
      </c>
      <c r="E435" s="2" t="s">
        <v>7180</v>
      </c>
      <c r="F435" s="2" t="s">
        <v>1764</v>
      </c>
      <c r="G435" s="2" t="s">
        <v>7140</v>
      </c>
      <c r="H435" s="2" t="s">
        <v>7182</v>
      </c>
      <c r="I435" s="2" t="s">
        <v>7142</v>
      </c>
      <c r="J435" s="2" t="s">
        <v>8533</v>
      </c>
    </row>
    <row r="436" spans="1:10">
      <c r="A436" s="2" t="s">
        <v>3324</v>
      </c>
      <c r="B436" s="2" t="s">
        <v>952</v>
      </c>
      <c r="C436" s="2" t="s">
        <v>7138</v>
      </c>
      <c r="D436" s="2">
        <v>1972</v>
      </c>
      <c r="E436" s="2" t="s">
        <v>7490</v>
      </c>
      <c r="F436" s="2" t="s">
        <v>953</v>
      </c>
      <c r="G436" s="2" t="s">
        <v>7140</v>
      </c>
      <c r="H436" s="2" t="s">
        <v>7225</v>
      </c>
      <c r="I436" s="2" t="s">
        <v>7142</v>
      </c>
      <c r="J436" s="2" t="s">
        <v>8595</v>
      </c>
    </row>
    <row r="437" spans="1:10">
      <c r="A437" s="2" t="s">
        <v>3326</v>
      </c>
      <c r="B437" s="2" t="s">
        <v>1148</v>
      </c>
      <c r="C437" s="2" t="s">
        <v>7179</v>
      </c>
      <c r="D437" s="2">
        <v>1962</v>
      </c>
      <c r="E437" s="2" t="s">
        <v>7180</v>
      </c>
      <c r="F437" s="2" t="s">
        <v>1150</v>
      </c>
      <c r="G437" s="2" t="s">
        <v>7140</v>
      </c>
      <c r="H437" s="2" t="s">
        <v>7141</v>
      </c>
      <c r="I437" s="2" t="s">
        <v>7142</v>
      </c>
      <c r="J437" s="2" t="s">
        <v>8591</v>
      </c>
    </row>
    <row r="438" spans="1:10">
      <c r="A438" s="2" t="s">
        <v>3327</v>
      </c>
      <c r="B438" s="2" t="s">
        <v>1042</v>
      </c>
      <c r="C438" s="2" t="s">
        <v>7138</v>
      </c>
      <c r="D438" s="2">
        <v>1949</v>
      </c>
      <c r="E438" s="2" t="s">
        <v>7490</v>
      </c>
      <c r="F438" s="2" t="s">
        <v>1043</v>
      </c>
      <c r="G438" s="2" t="s">
        <v>7140</v>
      </c>
      <c r="H438" s="2" t="s">
        <v>7225</v>
      </c>
      <c r="I438" s="2" t="s">
        <v>7142</v>
      </c>
      <c r="J438" s="2" t="s">
        <v>8533</v>
      </c>
    </row>
    <row r="439" spans="1:10">
      <c r="A439" s="2" t="s">
        <v>3328</v>
      </c>
      <c r="B439" s="2" t="s">
        <v>1210</v>
      </c>
      <c r="C439" s="2" t="s">
        <v>7138</v>
      </c>
      <c r="D439" s="2">
        <v>2014</v>
      </c>
      <c r="E439" s="2" t="s">
        <v>7139</v>
      </c>
      <c r="F439" s="2" t="s">
        <v>3329</v>
      </c>
      <c r="G439" s="2" t="s">
        <v>7192</v>
      </c>
      <c r="H439" s="2" t="s">
        <v>7579</v>
      </c>
      <c r="I439" s="2" t="s">
        <v>7143</v>
      </c>
    </row>
    <row r="440" spans="1:10">
      <c r="A440" s="2" t="s">
        <v>3330</v>
      </c>
      <c r="B440" s="2" t="s">
        <v>1210</v>
      </c>
      <c r="C440" s="2" t="s">
        <v>7179</v>
      </c>
      <c r="D440" s="2">
        <v>1990</v>
      </c>
      <c r="E440" s="2" t="s">
        <v>7139</v>
      </c>
      <c r="F440" s="2" t="s">
        <v>1213</v>
      </c>
      <c r="G440" s="2" t="s">
        <v>7140</v>
      </c>
      <c r="H440" s="2" t="s">
        <v>7225</v>
      </c>
      <c r="I440" s="2" t="s">
        <v>7142</v>
      </c>
      <c r="J440" s="2" t="s">
        <v>8594</v>
      </c>
    </row>
    <row r="441" spans="1:10">
      <c r="A441" s="2" t="s">
        <v>3331</v>
      </c>
      <c r="B441" s="2" t="s">
        <v>1210</v>
      </c>
      <c r="C441" s="2" t="s">
        <v>7138</v>
      </c>
      <c r="D441" s="2">
        <v>1989</v>
      </c>
      <c r="E441" s="2" t="s">
        <v>7490</v>
      </c>
      <c r="F441" s="2" t="s">
        <v>3332</v>
      </c>
      <c r="G441" s="2" t="s">
        <v>7181</v>
      </c>
      <c r="H441" s="2" t="s">
        <v>7395</v>
      </c>
      <c r="I441" s="2" t="s">
        <v>7142</v>
      </c>
      <c r="J441" s="2" t="s">
        <v>8592</v>
      </c>
    </row>
    <row r="442" spans="1:10">
      <c r="A442" s="2" t="s">
        <v>3333</v>
      </c>
      <c r="B442" s="2" t="s">
        <v>1210</v>
      </c>
      <c r="C442" s="2" t="s">
        <v>7138</v>
      </c>
      <c r="D442" s="2">
        <v>2013</v>
      </c>
      <c r="E442" s="2" t="s">
        <v>7139</v>
      </c>
      <c r="F442" s="2" t="s">
        <v>3334</v>
      </c>
      <c r="G442" s="2" t="s">
        <v>7192</v>
      </c>
      <c r="H442" s="2" t="s">
        <v>7579</v>
      </c>
      <c r="I442" s="2" t="s">
        <v>7143</v>
      </c>
    </row>
    <row r="443" spans="1:10">
      <c r="A443" s="2" t="s">
        <v>3335</v>
      </c>
      <c r="B443" s="2" t="s">
        <v>1795</v>
      </c>
      <c r="C443" s="2" t="s">
        <v>7179</v>
      </c>
      <c r="D443" s="2">
        <v>1978</v>
      </c>
      <c r="E443" s="2" t="s">
        <v>7180</v>
      </c>
      <c r="F443" s="2" t="s">
        <v>3336</v>
      </c>
      <c r="G443" s="2" t="s">
        <v>7181</v>
      </c>
      <c r="H443" s="2" t="s">
        <v>7182</v>
      </c>
      <c r="I443" s="2" t="s">
        <v>7142</v>
      </c>
      <c r="J443" s="2" t="s">
        <v>8566</v>
      </c>
    </row>
    <row r="444" spans="1:10">
      <c r="A444" s="2" t="s">
        <v>3337</v>
      </c>
      <c r="B444" s="2" t="s">
        <v>1795</v>
      </c>
      <c r="C444" s="2" t="s">
        <v>7138</v>
      </c>
      <c r="D444" s="2">
        <v>2010</v>
      </c>
      <c r="E444" s="2" t="s">
        <v>7180</v>
      </c>
      <c r="F444" s="2" t="s">
        <v>3338</v>
      </c>
      <c r="G444" s="2" t="s">
        <v>7192</v>
      </c>
      <c r="H444" s="2" t="s">
        <v>7579</v>
      </c>
      <c r="I444" s="2" t="s">
        <v>7143</v>
      </c>
    </row>
    <row r="445" spans="1:10">
      <c r="A445" s="2" t="s">
        <v>3339</v>
      </c>
      <c r="B445" s="2" t="s">
        <v>1795</v>
      </c>
      <c r="C445" s="2" t="s">
        <v>7138</v>
      </c>
      <c r="D445" s="2">
        <v>1983</v>
      </c>
      <c r="E445" s="2" t="s">
        <v>7180</v>
      </c>
      <c r="F445" s="2" t="s">
        <v>1714</v>
      </c>
      <c r="G445" s="2" t="s">
        <v>7140</v>
      </c>
      <c r="H445" s="2" t="s">
        <v>7182</v>
      </c>
      <c r="I445" s="2" t="s">
        <v>7142</v>
      </c>
      <c r="J445" s="2" t="s">
        <v>8533</v>
      </c>
    </row>
    <row r="446" spans="1:10">
      <c r="A446" s="2" t="s">
        <v>3340</v>
      </c>
      <c r="B446" s="2" t="s">
        <v>1795</v>
      </c>
      <c r="C446" s="2" t="s">
        <v>7138</v>
      </c>
      <c r="D446" s="2">
        <v>2012</v>
      </c>
      <c r="E446" s="2" t="s">
        <v>7180</v>
      </c>
      <c r="F446" s="2" t="s">
        <v>3341</v>
      </c>
      <c r="G446" s="2" t="s">
        <v>7192</v>
      </c>
      <c r="H446" s="2" t="s">
        <v>7579</v>
      </c>
      <c r="I446" s="2" t="s">
        <v>7143</v>
      </c>
    </row>
    <row r="447" spans="1:10">
      <c r="A447" s="2" t="s">
        <v>3342</v>
      </c>
      <c r="B447" s="2" t="s">
        <v>1585</v>
      </c>
      <c r="C447" s="2" t="s">
        <v>7179</v>
      </c>
      <c r="D447" s="2">
        <v>2021</v>
      </c>
      <c r="E447" s="2" t="s">
        <v>7139</v>
      </c>
      <c r="F447" s="2" t="s">
        <v>3343</v>
      </c>
      <c r="G447" s="2" t="s">
        <v>7192</v>
      </c>
      <c r="H447" s="2" t="s">
        <v>7395</v>
      </c>
      <c r="I447" s="2" t="s">
        <v>7143</v>
      </c>
    </row>
    <row r="448" spans="1:10">
      <c r="A448" s="2" t="s">
        <v>3344</v>
      </c>
      <c r="B448" s="2" t="s">
        <v>1585</v>
      </c>
      <c r="C448" s="2" t="s">
        <v>7179</v>
      </c>
      <c r="D448" s="2">
        <v>1996</v>
      </c>
      <c r="E448" s="2" t="s">
        <v>7139</v>
      </c>
      <c r="F448" s="2" t="s">
        <v>3345</v>
      </c>
      <c r="G448" s="2" t="s">
        <v>7181</v>
      </c>
      <c r="H448" s="2" t="s">
        <v>7141</v>
      </c>
      <c r="I448" s="2" t="s">
        <v>7142</v>
      </c>
      <c r="J448" s="2" t="s">
        <v>8533</v>
      </c>
    </row>
    <row r="449" spans="1:10">
      <c r="A449" s="2" t="s">
        <v>3346</v>
      </c>
      <c r="B449" s="2" t="s">
        <v>1585</v>
      </c>
      <c r="C449" s="2" t="s">
        <v>7138</v>
      </c>
      <c r="D449" s="2">
        <v>2013</v>
      </c>
      <c r="E449" s="2" t="s">
        <v>7139</v>
      </c>
      <c r="F449" s="2" t="s">
        <v>3347</v>
      </c>
      <c r="G449" s="2" t="s">
        <v>7192</v>
      </c>
      <c r="H449" s="2" t="s">
        <v>7141</v>
      </c>
      <c r="I449" s="2" t="s">
        <v>7143</v>
      </c>
    </row>
    <row r="450" spans="1:10">
      <c r="A450" s="2" t="s">
        <v>3348</v>
      </c>
      <c r="B450" s="2" t="s">
        <v>1585</v>
      </c>
      <c r="C450" s="2" t="s">
        <v>7138</v>
      </c>
      <c r="D450" s="2">
        <v>1993</v>
      </c>
      <c r="E450" s="2" t="s">
        <v>7139</v>
      </c>
      <c r="F450" s="2" t="s">
        <v>1586</v>
      </c>
      <c r="G450" s="2" t="s">
        <v>7140</v>
      </c>
      <c r="H450" s="2" t="s">
        <v>7141</v>
      </c>
      <c r="I450" s="2" t="s">
        <v>7142</v>
      </c>
      <c r="J450" s="2" t="s">
        <v>8533</v>
      </c>
    </row>
    <row r="451" spans="1:10">
      <c r="A451" s="2" t="s">
        <v>3349</v>
      </c>
      <c r="B451" s="2" t="s">
        <v>1217</v>
      </c>
      <c r="C451" s="2" t="s">
        <v>7179</v>
      </c>
      <c r="D451" s="2">
        <v>2021</v>
      </c>
      <c r="E451" s="2" t="s">
        <v>7139</v>
      </c>
      <c r="F451" s="2" t="s">
        <v>3350</v>
      </c>
      <c r="G451" s="2" t="s">
        <v>7192</v>
      </c>
      <c r="H451" s="2" t="s">
        <v>7579</v>
      </c>
      <c r="I451" s="2" t="s">
        <v>7143</v>
      </c>
    </row>
    <row r="452" spans="1:10">
      <c r="A452" s="2" t="s">
        <v>3351</v>
      </c>
      <c r="B452" s="2" t="s">
        <v>1217</v>
      </c>
      <c r="C452" s="2" t="s">
        <v>7138</v>
      </c>
      <c r="D452" s="2">
        <v>1983</v>
      </c>
      <c r="E452" s="2" t="s">
        <v>7480</v>
      </c>
      <c r="F452" s="2" t="s">
        <v>3352</v>
      </c>
      <c r="G452" s="2" t="s">
        <v>7140</v>
      </c>
      <c r="H452" s="2" t="s">
        <v>7225</v>
      </c>
      <c r="I452" s="2" t="s">
        <v>7142</v>
      </c>
      <c r="J452" s="2" t="s">
        <v>8592</v>
      </c>
    </row>
    <row r="453" spans="1:10">
      <c r="A453" s="2" t="s">
        <v>3353</v>
      </c>
      <c r="B453" s="2" t="s">
        <v>1217</v>
      </c>
      <c r="C453" s="2" t="s">
        <v>7179</v>
      </c>
      <c r="D453" s="2">
        <v>2017</v>
      </c>
      <c r="E453" s="2" t="s">
        <v>7139</v>
      </c>
      <c r="F453" s="2" t="s">
        <v>3354</v>
      </c>
      <c r="G453" s="2" t="s">
        <v>7192</v>
      </c>
      <c r="H453" s="2" t="s">
        <v>7579</v>
      </c>
      <c r="I453" s="2" t="s">
        <v>7143</v>
      </c>
    </row>
    <row r="454" spans="1:10">
      <c r="A454" s="2" t="s">
        <v>3355</v>
      </c>
      <c r="B454" s="2" t="s">
        <v>1217</v>
      </c>
      <c r="C454" s="2" t="s">
        <v>7179</v>
      </c>
      <c r="D454" s="2">
        <v>1983</v>
      </c>
      <c r="E454" s="2" t="s">
        <v>7139</v>
      </c>
      <c r="F454" s="2" t="s">
        <v>1220</v>
      </c>
      <c r="G454" s="2" t="s">
        <v>7181</v>
      </c>
      <c r="H454" s="2" t="s">
        <v>7395</v>
      </c>
      <c r="I454" s="2" t="s">
        <v>7142</v>
      </c>
      <c r="J454" s="2" t="s">
        <v>8594</v>
      </c>
    </row>
    <row r="455" spans="1:10">
      <c r="A455" s="2" t="s">
        <v>3356</v>
      </c>
      <c r="B455" s="2" t="s">
        <v>1844</v>
      </c>
      <c r="C455" s="2" t="s">
        <v>7138</v>
      </c>
      <c r="D455" s="2">
        <v>1974</v>
      </c>
      <c r="E455" s="2" t="s">
        <v>7180</v>
      </c>
      <c r="F455" s="2" t="s">
        <v>1846</v>
      </c>
      <c r="G455" s="2" t="s">
        <v>7140</v>
      </c>
      <c r="H455" s="2" t="s">
        <v>7141</v>
      </c>
      <c r="I455" s="2" t="s">
        <v>7142</v>
      </c>
      <c r="J455" s="2" t="s">
        <v>8596</v>
      </c>
    </row>
    <row r="456" spans="1:10">
      <c r="A456" s="2" t="s">
        <v>3358</v>
      </c>
      <c r="B456" s="2" t="s">
        <v>1844</v>
      </c>
      <c r="C456" s="2" t="s">
        <v>7179</v>
      </c>
      <c r="D456" s="2">
        <v>1979</v>
      </c>
      <c r="E456" s="2" t="s">
        <v>7180</v>
      </c>
      <c r="F456" s="2" t="s">
        <v>3359</v>
      </c>
      <c r="G456" s="2" t="s">
        <v>7181</v>
      </c>
      <c r="H456" s="2" t="s">
        <v>7182</v>
      </c>
      <c r="I456" s="2" t="s">
        <v>7142</v>
      </c>
      <c r="J456" s="2" t="s">
        <v>8597</v>
      </c>
    </row>
    <row r="457" spans="1:10">
      <c r="A457" s="2" t="s">
        <v>3361</v>
      </c>
      <c r="B457" s="2" t="s">
        <v>1844</v>
      </c>
      <c r="C457" s="2" t="s">
        <v>7138</v>
      </c>
      <c r="D457" s="2">
        <v>2002</v>
      </c>
      <c r="E457" s="2" t="s">
        <v>7180</v>
      </c>
      <c r="F457" s="2" t="s">
        <v>3362</v>
      </c>
      <c r="G457" s="2" t="s">
        <v>7192</v>
      </c>
      <c r="H457" s="2" t="s">
        <v>7428</v>
      </c>
      <c r="I457" s="2" t="s">
        <v>7143</v>
      </c>
    </row>
    <row r="458" spans="1:10">
      <c r="A458" s="2" t="s">
        <v>3363</v>
      </c>
      <c r="B458" s="2" t="s">
        <v>1562</v>
      </c>
      <c r="C458" s="2" t="s">
        <v>7138</v>
      </c>
      <c r="E458" s="2" t="s">
        <v>7139</v>
      </c>
      <c r="F458" s="2" t="s">
        <v>1563</v>
      </c>
      <c r="G458" s="2" t="s">
        <v>7140</v>
      </c>
      <c r="H458" s="2" t="s">
        <v>7225</v>
      </c>
      <c r="I458" s="2" t="s">
        <v>7142</v>
      </c>
      <c r="J458" s="2" t="s">
        <v>8598</v>
      </c>
    </row>
    <row r="459" spans="1:10">
      <c r="A459" s="2" t="s">
        <v>3365</v>
      </c>
      <c r="B459" s="2" t="s">
        <v>1562</v>
      </c>
      <c r="C459" s="2" t="s">
        <v>7179</v>
      </c>
      <c r="D459" s="2">
        <v>1982</v>
      </c>
      <c r="E459" s="2" t="s">
        <v>7139</v>
      </c>
      <c r="F459" s="2" t="s">
        <v>3366</v>
      </c>
      <c r="G459" s="2" t="s">
        <v>7181</v>
      </c>
      <c r="H459" s="2" t="s">
        <v>7225</v>
      </c>
      <c r="I459" s="2" t="s">
        <v>7142</v>
      </c>
      <c r="J459" s="2" t="s">
        <v>8538</v>
      </c>
    </row>
    <row r="460" spans="1:10">
      <c r="A460" s="2" t="s">
        <v>3367</v>
      </c>
      <c r="B460" s="2" t="s">
        <v>1240</v>
      </c>
      <c r="C460" s="2" t="s">
        <v>7179</v>
      </c>
      <c r="D460" s="2">
        <v>2018</v>
      </c>
      <c r="E460" s="2" t="s">
        <v>7139</v>
      </c>
      <c r="F460" s="2" t="s">
        <v>3368</v>
      </c>
      <c r="G460" s="2" t="s">
        <v>7192</v>
      </c>
      <c r="H460" s="2" t="s">
        <v>7579</v>
      </c>
      <c r="I460" s="2" t="s">
        <v>7143</v>
      </c>
    </row>
    <row r="461" spans="1:10">
      <c r="A461" s="2" t="s">
        <v>3369</v>
      </c>
      <c r="B461" s="2" t="s">
        <v>1240</v>
      </c>
      <c r="C461" s="2" t="s">
        <v>7138</v>
      </c>
      <c r="D461" s="2">
        <v>2014</v>
      </c>
      <c r="E461" s="2" t="s">
        <v>7139</v>
      </c>
      <c r="F461" s="2" t="s">
        <v>3370</v>
      </c>
      <c r="G461" s="2" t="s">
        <v>7192</v>
      </c>
      <c r="H461" s="2" t="s">
        <v>7579</v>
      </c>
      <c r="I461" s="2" t="s">
        <v>7143</v>
      </c>
    </row>
    <row r="462" spans="1:10">
      <c r="A462" s="2" t="s">
        <v>3371</v>
      </c>
      <c r="B462" s="2" t="s">
        <v>1240</v>
      </c>
      <c r="C462" s="2" t="s">
        <v>7138</v>
      </c>
      <c r="D462" s="2">
        <v>1993</v>
      </c>
      <c r="E462" s="2" t="s">
        <v>7139</v>
      </c>
      <c r="F462" s="2" t="s">
        <v>3372</v>
      </c>
      <c r="G462" s="2" t="s">
        <v>7140</v>
      </c>
      <c r="H462" s="2" t="s">
        <v>7141</v>
      </c>
      <c r="I462" s="2" t="s">
        <v>7142</v>
      </c>
      <c r="J462" s="2" t="s">
        <v>8587</v>
      </c>
    </row>
    <row r="463" spans="1:10">
      <c r="A463" s="2" t="s">
        <v>3373</v>
      </c>
      <c r="B463" s="2" t="s">
        <v>1240</v>
      </c>
      <c r="C463" s="2" t="s">
        <v>7179</v>
      </c>
      <c r="D463" s="2">
        <v>1993</v>
      </c>
      <c r="E463" s="2" t="s">
        <v>7139</v>
      </c>
      <c r="F463" s="2" t="s">
        <v>3374</v>
      </c>
      <c r="G463" s="2" t="s">
        <v>7181</v>
      </c>
      <c r="H463" s="2" t="s">
        <v>7141</v>
      </c>
      <c r="I463" s="2" t="s">
        <v>7142</v>
      </c>
      <c r="J463" s="2" t="s">
        <v>8588</v>
      </c>
    </row>
    <row r="464" spans="1:10">
      <c r="A464" s="2" t="s">
        <v>3375</v>
      </c>
      <c r="B464" s="2" t="s">
        <v>1240</v>
      </c>
      <c r="C464" s="2" t="s">
        <v>7179</v>
      </c>
      <c r="D464" s="2">
        <v>2012</v>
      </c>
      <c r="E464" s="2" t="s">
        <v>7139</v>
      </c>
      <c r="F464" s="2" t="s">
        <v>3376</v>
      </c>
      <c r="G464" s="2" t="s">
        <v>7192</v>
      </c>
      <c r="H464" s="2" t="s">
        <v>7579</v>
      </c>
      <c r="I464" s="2" t="s">
        <v>7143</v>
      </c>
    </row>
    <row r="465" spans="1:10">
      <c r="A465" s="2" t="s">
        <v>3377</v>
      </c>
      <c r="B465" s="2" t="s">
        <v>1293</v>
      </c>
      <c r="C465" s="2" t="s">
        <v>7179</v>
      </c>
      <c r="D465" s="2">
        <v>1996</v>
      </c>
      <c r="E465" s="2" t="s">
        <v>7139</v>
      </c>
      <c r="F465" s="2" t="s">
        <v>3378</v>
      </c>
      <c r="G465" s="2" t="s">
        <v>7181</v>
      </c>
      <c r="H465" s="2" t="s">
        <v>7225</v>
      </c>
      <c r="I465" s="2" t="s">
        <v>7142</v>
      </c>
      <c r="J465" s="2" t="s">
        <v>8588</v>
      </c>
    </row>
    <row r="466" spans="1:10">
      <c r="A466" s="2" t="s">
        <v>3379</v>
      </c>
      <c r="B466" s="2" t="s">
        <v>1293</v>
      </c>
      <c r="C466" s="2" t="s">
        <v>7138</v>
      </c>
      <c r="D466" s="2">
        <v>2016</v>
      </c>
      <c r="E466" s="2" t="s">
        <v>7139</v>
      </c>
      <c r="F466" s="2" t="s">
        <v>3380</v>
      </c>
      <c r="G466" s="2" t="s">
        <v>7192</v>
      </c>
      <c r="H466" s="2" t="s">
        <v>7579</v>
      </c>
      <c r="I466" s="2" t="s">
        <v>7143</v>
      </c>
    </row>
    <row r="467" spans="1:10">
      <c r="A467" s="2" t="s">
        <v>3381</v>
      </c>
      <c r="B467" s="2" t="s">
        <v>1293</v>
      </c>
      <c r="C467" s="2" t="s">
        <v>7138</v>
      </c>
      <c r="D467" s="2">
        <v>1997</v>
      </c>
      <c r="E467" s="2" t="s">
        <v>7139</v>
      </c>
      <c r="F467" s="2" t="s">
        <v>3372</v>
      </c>
      <c r="G467" s="2" t="s">
        <v>7140</v>
      </c>
      <c r="H467" s="2" t="s">
        <v>7225</v>
      </c>
      <c r="I467" s="2" t="s">
        <v>7142</v>
      </c>
      <c r="J467" s="2" t="s">
        <v>8592</v>
      </c>
    </row>
    <row r="468" spans="1:10">
      <c r="A468" s="2" t="s">
        <v>3382</v>
      </c>
      <c r="B468" s="2" t="s">
        <v>1293</v>
      </c>
      <c r="C468" s="2" t="s">
        <v>7138</v>
      </c>
      <c r="D468" s="2">
        <v>2020</v>
      </c>
      <c r="E468" s="2" t="s">
        <v>7139</v>
      </c>
      <c r="F468" s="2" t="s">
        <v>3383</v>
      </c>
      <c r="G468" s="2" t="s">
        <v>7192</v>
      </c>
      <c r="H468" s="2" t="s">
        <v>7579</v>
      </c>
      <c r="I468" s="2" t="s">
        <v>7143</v>
      </c>
    </row>
    <row r="469" spans="1:10">
      <c r="A469" s="2" t="s">
        <v>3384</v>
      </c>
      <c r="B469" s="2" t="s">
        <v>1877</v>
      </c>
      <c r="C469" s="2" t="s">
        <v>7138</v>
      </c>
      <c r="D469" s="2">
        <v>2010</v>
      </c>
      <c r="E469" s="2" t="s">
        <v>7180</v>
      </c>
      <c r="F469" s="2" t="s">
        <v>3385</v>
      </c>
      <c r="G469" s="2" t="s">
        <v>7192</v>
      </c>
      <c r="H469" s="2" t="s">
        <v>7579</v>
      </c>
      <c r="I469" s="2" t="s">
        <v>7143</v>
      </c>
    </row>
    <row r="470" spans="1:10">
      <c r="A470" s="2" t="s">
        <v>3386</v>
      </c>
      <c r="B470" s="2" t="s">
        <v>1877</v>
      </c>
      <c r="C470" s="2" t="s">
        <v>7179</v>
      </c>
      <c r="D470" s="2">
        <v>1988</v>
      </c>
      <c r="E470" s="2" t="s">
        <v>7180</v>
      </c>
      <c r="F470" s="2" t="s">
        <v>1879</v>
      </c>
      <c r="G470" s="2" t="s">
        <v>7181</v>
      </c>
      <c r="H470" s="2" t="s">
        <v>7182</v>
      </c>
      <c r="I470" s="2" t="s">
        <v>7142</v>
      </c>
      <c r="J470" s="2" t="s">
        <v>8540</v>
      </c>
    </row>
    <row r="471" spans="1:10">
      <c r="A471" s="2" t="s">
        <v>3387</v>
      </c>
      <c r="B471" s="2" t="s">
        <v>1877</v>
      </c>
      <c r="C471" s="2" t="s">
        <v>7179</v>
      </c>
      <c r="D471" s="2">
        <v>2012</v>
      </c>
      <c r="E471" s="2" t="s">
        <v>7180</v>
      </c>
      <c r="F471" s="2" t="s">
        <v>3388</v>
      </c>
      <c r="G471" s="2" t="s">
        <v>7192</v>
      </c>
      <c r="H471" s="2" t="s">
        <v>7579</v>
      </c>
      <c r="I471" s="2" t="s">
        <v>7143</v>
      </c>
    </row>
    <row r="472" spans="1:10">
      <c r="A472" s="2" t="s">
        <v>3389</v>
      </c>
      <c r="B472" s="2" t="s">
        <v>1877</v>
      </c>
      <c r="C472" s="2" t="s">
        <v>7138</v>
      </c>
      <c r="D472" s="2">
        <v>1986</v>
      </c>
      <c r="E472" s="2" t="s">
        <v>7180</v>
      </c>
      <c r="F472" s="2" t="s">
        <v>1880</v>
      </c>
      <c r="G472" s="2" t="s">
        <v>7140</v>
      </c>
      <c r="H472" s="2" t="s">
        <v>7182</v>
      </c>
      <c r="I472" s="2" t="s">
        <v>7142</v>
      </c>
      <c r="J472" s="2" t="s">
        <v>8533</v>
      </c>
    </row>
    <row r="473" spans="1:10">
      <c r="A473" s="2" t="s">
        <v>3390</v>
      </c>
      <c r="B473" s="2" t="s">
        <v>1906</v>
      </c>
      <c r="C473" s="2" t="s">
        <v>7138</v>
      </c>
      <c r="D473" s="2">
        <v>1974</v>
      </c>
      <c r="E473" s="2" t="s">
        <v>7180</v>
      </c>
      <c r="F473" s="2" t="s">
        <v>1909</v>
      </c>
      <c r="G473" s="2" t="s">
        <v>7140</v>
      </c>
      <c r="H473" s="2" t="s">
        <v>7182</v>
      </c>
      <c r="I473" s="2" t="s">
        <v>7142</v>
      </c>
      <c r="J473" s="2" t="s">
        <v>8533</v>
      </c>
    </row>
    <row r="474" spans="1:10">
      <c r="A474" s="2" t="s">
        <v>3391</v>
      </c>
      <c r="B474" s="2" t="s">
        <v>1906</v>
      </c>
      <c r="C474" s="2" t="s">
        <v>7179</v>
      </c>
      <c r="D474" s="2">
        <v>1983</v>
      </c>
      <c r="E474" s="2" t="s">
        <v>7180</v>
      </c>
      <c r="F474" s="2" t="s">
        <v>1908</v>
      </c>
      <c r="G474" s="2" t="s">
        <v>7181</v>
      </c>
      <c r="H474" s="2" t="s">
        <v>7182</v>
      </c>
      <c r="I474" s="2" t="s">
        <v>7142</v>
      </c>
      <c r="J474" s="2" t="s">
        <v>8599</v>
      </c>
    </row>
    <row r="475" spans="1:10">
      <c r="A475" s="2" t="s">
        <v>3393</v>
      </c>
      <c r="B475" s="2" t="s">
        <v>1906</v>
      </c>
      <c r="C475" s="2" t="s">
        <v>7138</v>
      </c>
      <c r="D475" s="2">
        <v>2003</v>
      </c>
      <c r="E475" s="2" t="s">
        <v>7180</v>
      </c>
      <c r="F475" s="2" t="s">
        <v>3394</v>
      </c>
      <c r="G475" s="2" t="s">
        <v>7192</v>
      </c>
      <c r="H475" s="2" t="s">
        <v>7428</v>
      </c>
      <c r="I475" s="2" t="s">
        <v>7143</v>
      </c>
    </row>
    <row r="476" spans="1:10">
      <c r="A476" s="2" t="s">
        <v>3395</v>
      </c>
      <c r="B476" s="2" t="s">
        <v>1906</v>
      </c>
      <c r="C476" s="2" t="s">
        <v>7179</v>
      </c>
      <c r="D476" s="2">
        <v>2005</v>
      </c>
      <c r="E476" s="2" t="s">
        <v>7180</v>
      </c>
      <c r="F476" s="2" t="s">
        <v>3396</v>
      </c>
      <c r="G476" s="2" t="s">
        <v>7192</v>
      </c>
      <c r="H476" s="2" t="s">
        <v>7428</v>
      </c>
      <c r="I476" s="2" t="s">
        <v>7143</v>
      </c>
    </row>
    <row r="477" spans="1:10">
      <c r="A477" s="2" t="s">
        <v>3397</v>
      </c>
      <c r="B477" s="2" t="s">
        <v>1927</v>
      </c>
      <c r="C477" s="2" t="s">
        <v>7179</v>
      </c>
      <c r="D477" s="2">
        <v>1974</v>
      </c>
      <c r="E477" s="2" t="s">
        <v>7180</v>
      </c>
      <c r="F477" s="2" t="s">
        <v>1928</v>
      </c>
      <c r="G477" s="2" t="s">
        <v>7181</v>
      </c>
      <c r="H477" s="2" t="s">
        <v>7182</v>
      </c>
      <c r="I477" s="2" t="s">
        <v>7142</v>
      </c>
      <c r="J477" s="2" t="s">
        <v>8589</v>
      </c>
    </row>
    <row r="478" spans="1:10">
      <c r="A478" s="2" t="s">
        <v>3398</v>
      </c>
      <c r="B478" s="2" t="s">
        <v>1927</v>
      </c>
      <c r="C478" s="2" t="s">
        <v>7138</v>
      </c>
      <c r="D478" s="2">
        <v>1970</v>
      </c>
      <c r="E478" s="2" t="s">
        <v>7180</v>
      </c>
      <c r="F478" s="2" t="s">
        <v>1929</v>
      </c>
      <c r="G478" s="2" t="s">
        <v>7140</v>
      </c>
      <c r="H478" s="2" t="s">
        <v>7182</v>
      </c>
      <c r="I478" s="2" t="s">
        <v>7142</v>
      </c>
      <c r="J478" s="2" t="s">
        <v>8533</v>
      </c>
    </row>
    <row r="479" spans="1:10">
      <c r="A479" s="2" t="s">
        <v>3399</v>
      </c>
      <c r="B479" s="2" t="s">
        <v>1539</v>
      </c>
      <c r="C479" s="2" t="s">
        <v>7179</v>
      </c>
      <c r="D479" s="2">
        <v>1999</v>
      </c>
      <c r="E479" s="2" t="s">
        <v>7139</v>
      </c>
      <c r="F479" s="2" t="s">
        <v>3400</v>
      </c>
      <c r="G479" s="2" t="s">
        <v>7181</v>
      </c>
      <c r="H479" s="2" t="s">
        <v>7141</v>
      </c>
      <c r="I479" s="2" t="s">
        <v>7142</v>
      </c>
      <c r="J479" s="2" t="s">
        <v>8538</v>
      </c>
    </row>
    <row r="480" spans="1:10">
      <c r="A480" s="2" t="s">
        <v>3401</v>
      </c>
      <c r="B480" s="2" t="s">
        <v>1539</v>
      </c>
      <c r="C480" s="2" t="s">
        <v>7138</v>
      </c>
      <c r="D480" s="2">
        <v>1997</v>
      </c>
      <c r="E480" s="2" t="s">
        <v>7139</v>
      </c>
      <c r="F480" s="2" t="s">
        <v>1540</v>
      </c>
      <c r="G480" s="2" t="s">
        <v>7140</v>
      </c>
      <c r="H480" s="2" t="s">
        <v>7225</v>
      </c>
      <c r="I480" s="2" t="s">
        <v>7142</v>
      </c>
      <c r="J480" s="2" t="s">
        <v>8533</v>
      </c>
    </row>
    <row r="481" spans="1:10">
      <c r="A481" s="2" t="s">
        <v>3402</v>
      </c>
      <c r="B481" s="2" t="s">
        <v>1526</v>
      </c>
      <c r="C481" s="2" t="s">
        <v>7138</v>
      </c>
      <c r="D481" s="2">
        <v>1993</v>
      </c>
      <c r="E481" s="2" t="s">
        <v>7139</v>
      </c>
      <c r="F481" s="2" t="s">
        <v>427</v>
      </c>
      <c r="G481" s="2" t="s">
        <v>7140</v>
      </c>
      <c r="H481" s="2" t="s">
        <v>7141</v>
      </c>
      <c r="I481" s="2" t="s">
        <v>7142</v>
      </c>
      <c r="J481" s="2" t="s">
        <v>8533</v>
      </c>
    </row>
    <row r="482" spans="1:10">
      <c r="A482" s="2" t="s">
        <v>3403</v>
      </c>
      <c r="B482" s="2" t="s">
        <v>1485</v>
      </c>
      <c r="C482" s="2" t="s">
        <v>7138</v>
      </c>
      <c r="D482" s="2">
        <v>1989</v>
      </c>
      <c r="E482" s="2" t="s">
        <v>7139</v>
      </c>
      <c r="F482" s="2" t="s">
        <v>1487</v>
      </c>
      <c r="G482" s="2" t="s">
        <v>7140</v>
      </c>
      <c r="H482" s="2" t="s">
        <v>7182</v>
      </c>
      <c r="I482" s="2" t="s">
        <v>7142</v>
      </c>
      <c r="J482" s="2" t="s">
        <v>8533</v>
      </c>
    </row>
    <row r="483" spans="1:10">
      <c r="A483" s="2" t="s">
        <v>3404</v>
      </c>
      <c r="B483" s="2" t="s">
        <v>1485</v>
      </c>
      <c r="C483" s="2" t="s">
        <v>7179</v>
      </c>
      <c r="D483" s="2">
        <v>1996</v>
      </c>
      <c r="E483" s="2" t="s">
        <v>7490</v>
      </c>
      <c r="F483" s="2" t="s">
        <v>1486</v>
      </c>
      <c r="G483" s="2" t="s">
        <v>7181</v>
      </c>
      <c r="H483" s="2" t="s">
        <v>7141</v>
      </c>
      <c r="I483" s="2" t="s">
        <v>7142</v>
      </c>
      <c r="J483" s="2" t="s">
        <v>8538</v>
      </c>
    </row>
    <row r="484" spans="1:10">
      <c r="A484" s="2" t="s">
        <v>3405</v>
      </c>
      <c r="B484" s="2" t="s">
        <v>1317</v>
      </c>
      <c r="C484" s="2" t="s">
        <v>7179</v>
      </c>
      <c r="D484" s="2">
        <v>2007</v>
      </c>
      <c r="E484" s="2" t="s">
        <v>7139</v>
      </c>
      <c r="F484" s="2" t="s">
        <v>1319</v>
      </c>
      <c r="G484" s="2" t="s">
        <v>7181</v>
      </c>
      <c r="H484" s="2" t="s">
        <v>7141</v>
      </c>
      <c r="I484" s="2" t="s">
        <v>7142</v>
      </c>
      <c r="J484" s="2" t="s">
        <v>8555</v>
      </c>
    </row>
    <row r="485" spans="1:10">
      <c r="A485" s="2" t="s">
        <v>3406</v>
      </c>
      <c r="B485" s="2" t="s">
        <v>1317</v>
      </c>
      <c r="C485" s="2" t="s">
        <v>7138</v>
      </c>
      <c r="D485" s="2">
        <v>2002</v>
      </c>
      <c r="E485" s="2" t="s">
        <v>7139</v>
      </c>
      <c r="F485" s="2" t="s">
        <v>1320</v>
      </c>
      <c r="G485" s="2" t="s">
        <v>7140</v>
      </c>
      <c r="H485" s="2" t="s">
        <v>7141</v>
      </c>
      <c r="I485" s="2" t="s">
        <v>7142</v>
      </c>
      <c r="J485" s="2" t="s">
        <v>8529</v>
      </c>
    </row>
    <row r="486" spans="1:10">
      <c r="A486" s="2" t="s">
        <v>3407</v>
      </c>
      <c r="B486" s="2" t="s">
        <v>1317</v>
      </c>
      <c r="C486" s="2" t="s">
        <v>7179</v>
      </c>
      <c r="D486" s="2">
        <v>2023</v>
      </c>
      <c r="E486" s="2" t="s">
        <v>7139</v>
      </c>
      <c r="F486" s="2" t="s">
        <v>3408</v>
      </c>
      <c r="G486" s="2" t="s">
        <v>7192</v>
      </c>
      <c r="H486" s="2" t="s">
        <v>7579</v>
      </c>
      <c r="I486" s="2" t="s">
        <v>7143</v>
      </c>
    </row>
    <row r="487" spans="1:10">
      <c r="A487" s="2" t="s">
        <v>3409</v>
      </c>
      <c r="B487" s="2" t="s">
        <v>1476</v>
      </c>
      <c r="C487" s="2" t="s">
        <v>7179</v>
      </c>
      <c r="D487" s="2">
        <v>1962</v>
      </c>
      <c r="E487" s="2" t="s">
        <v>7180</v>
      </c>
      <c r="F487" s="2" t="s">
        <v>3410</v>
      </c>
      <c r="G487" s="2" t="s">
        <v>8451</v>
      </c>
      <c r="H487" s="2" t="s">
        <v>7225</v>
      </c>
      <c r="I487" s="2" t="s">
        <v>7143</v>
      </c>
    </row>
    <row r="488" spans="1:10">
      <c r="A488" s="2" t="s">
        <v>3411</v>
      </c>
      <c r="B488" s="2" t="s">
        <v>1476</v>
      </c>
      <c r="C488" s="2" t="s">
        <v>7138</v>
      </c>
      <c r="D488" s="2">
        <v>1959</v>
      </c>
      <c r="E488" s="2" t="s">
        <v>7180</v>
      </c>
      <c r="F488" s="2" t="s">
        <v>3412</v>
      </c>
      <c r="G488" s="2" t="s">
        <v>8451</v>
      </c>
      <c r="H488" s="2" t="s">
        <v>7225</v>
      </c>
      <c r="I488" s="2" t="s">
        <v>7143</v>
      </c>
    </row>
    <row r="489" spans="1:10">
      <c r="A489" s="2" t="s">
        <v>3413</v>
      </c>
      <c r="B489" s="2" t="s">
        <v>1476</v>
      </c>
      <c r="C489" s="2" t="s">
        <v>7138</v>
      </c>
      <c r="D489" s="2">
        <v>1987</v>
      </c>
      <c r="E489" s="2" t="s">
        <v>7180</v>
      </c>
      <c r="F489" s="2" t="s">
        <v>1477</v>
      </c>
      <c r="G489" s="2" t="s">
        <v>7140</v>
      </c>
      <c r="H489" s="2" t="s">
        <v>7141</v>
      </c>
      <c r="I489" s="2" t="s">
        <v>7142</v>
      </c>
      <c r="J489" s="2" t="s">
        <v>8533</v>
      </c>
    </row>
    <row r="490" spans="1:10">
      <c r="A490" s="2" t="s">
        <v>3414</v>
      </c>
      <c r="B490" s="2" t="s">
        <v>1455</v>
      </c>
      <c r="C490" s="2" t="s">
        <v>7179</v>
      </c>
      <c r="D490" s="2">
        <v>1972</v>
      </c>
      <c r="E490" s="2" t="s">
        <v>7139</v>
      </c>
      <c r="F490" s="2" t="s">
        <v>1456</v>
      </c>
      <c r="G490" s="2" t="s">
        <v>7140</v>
      </c>
      <c r="H490" s="2" t="s">
        <v>7395</v>
      </c>
      <c r="I490" s="2" t="s">
        <v>7142</v>
      </c>
      <c r="J490" s="2" t="s">
        <v>8533</v>
      </c>
    </row>
    <row r="491" spans="1:10">
      <c r="A491" s="2" t="s">
        <v>3415</v>
      </c>
      <c r="B491" s="2" t="s">
        <v>1433</v>
      </c>
      <c r="C491" s="2" t="s">
        <v>7138</v>
      </c>
      <c r="D491" s="2">
        <v>2012</v>
      </c>
      <c r="E491" s="2" t="s">
        <v>7180</v>
      </c>
      <c r="F491" s="2" t="s">
        <v>3416</v>
      </c>
      <c r="G491" s="2" t="s">
        <v>7192</v>
      </c>
      <c r="H491" s="2" t="s">
        <v>7141</v>
      </c>
      <c r="I491" s="2" t="s">
        <v>7143</v>
      </c>
    </row>
    <row r="492" spans="1:10">
      <c r="A492" s="2" t="s">
        <v>3417</v>
      </c>
      <c r="B492" s="2" t="s">
        <v>1433</v>
      </c>
      <c r="C492" s="2" t="s">
        <v>7138</v>
      </c>
      <c r="D492" s="2">
        <v>1984</v>
      </c>
      <c r="E492" s="2" t="s">
        <v>7180</v>
      </c>
      <c r="F492" s="2" t="s">
        <v>1434</v>
      </c>
      <c r="G492" s="2" t="s">
        <v>7140</v>
      </c>
      <c r="H492" s="2" t="s">
        <v>7225</v>
      </c>
      <c r="I492" s="2" t="s">
        <v>7142</v>
      </c>
      <c r="J492" s="2" t="s">
        <v>8533</v>
      </c>
    </row>
    <row r="493" spans="1:10">
      <c r="A493" s="2" t="s">
        <v>3418</v>
      </c>
      <c r="B493" s="2" t="s">
        <v>1433</v>
      </c>
      <c r="C493" s="2" t="s">
        <v>7179</v>
      </c>
      <c r="D493" s="2">
        <v>2022</v>
      </c>
      <c r="E493" s="2" t="s">
        <v>7180</v>
      </c>
      <c r="F493" s="2" t="s">
        <v>3419</v>
      </c>
      <c r="G493" s="2" t="s">
        <v>7192</v>
      </c>
      <c r="H493" s="2" t="s">
        <v>7395</v>
      </c>
      <c r="I493" s="2" t="s">
        <v>7143</v>
      </c>
    </row>
    <row r="494" spans="1:10">
      <c r="A494" s="2" t="s">
        <v>3420</v>
      </c>
      <c r="B494" s="2" t="s">
        <v>1433</v>
      </c>
      <c r="C494" s="2" t="s">
        <v>7179</v>
      </c>
      <c r="D494" s="2">
        <v>1988</v>
      </c>
      <c r="E494" s="2" t="s">
        <v>7139</v>
      </c>
      <c r="F494" s="2" t="s">
        <v>3421</v>
      </c>
      <c r="G494" s="2" t="s">
        <v>7181</v>
      </c>
      <c r="H494" s="2" t="s">
        <v>7141</v>
      </c>
      <c r="I494" s="2" t="s">
        <v>7142</v>
      </c>
      <c r="J494" s="2" t="s">
        <v>8579</v>
      </c>
    </row>
    <row r="495" spans="1:10">
      <c r="A495" s="2" t="s">
        <v>3422</v>
      </c>
      <c r="B495" s="2" t="s">
        <v>1433</v>
      </c>
      <c r="C495" s="2" t="s">
        <v>7138</v>
      </c>
      <c r="D495" s="2">
        <v>2009</v>
      </c>
      <c r="E495" s="2" t="s">
        <v>7180</v>
      </c>
      <c r="F495" s="2" t="s">
        <v>3423</v>
      </c>
      <c r="G495" s="2" t="s">
        <v>7192</v>
      </c>
      <c r="H495" s="2" t="s">
        <v>7141</v>
      </c>
      <c r="I495" s="2" t="s">
        <v>7143</v>
      </c>
    </row>
    <row r="496" spans="1:10">
      <c r="A496" s="2" t="s">
        <v>3424</v>
      </c>
      <c r="B496" s="2" t="s">
        <v>1433</v>
      </c>
      <c r="C496" s="2" t="s">
        <v>7179</v>
      </c>
      <c r="D496" s="2">
        <v>2014</v>
      </c>
      <c r="E496" s="2" t="s">
        <v>7180</v>
      </c>
      <c r="F496" s="2" t="s">
        <v>3425</v>
      </c>
      <c r="G496" s="2" t="s">
        <v>7192</v>
      </c>
      <c r="H496" s="2" t="s">
        <v>7225</v>
      </c>
      <c r="I496" s="2" t="s">
        <v>7143</v>
      </c>
    </row>
    <row r="497" spans="1:10">
      <c r="A497" s="2" t="s">
        <v>3426</v>
      </c>
      <c r="B497" s="2" t="s">
        <v>1361</v>
      </c>
      <c r="C497" s="2" t="s">
        <v>7138</v>
      </c>
      <c r="D497" s="2">
        <v>2019</v>
      </c>
      <c r="E497" s="2" t="s">
        <v>7139</v>
      </c>
      <c r="F497" s="2" t="s">
        <v>3427</v>
      </c>
      <c r="G497" s="2" t="s">
        <v>7192</v>
      </c>
      <c r="H497" s="2" t="s">
        <v>7579</v>
      </c>
      <c r="I497" s="2" t="s">
        <v>7143</v>
      </c>
    </row>
    <row r="498" spans="1:10">
      <c r="A498" s="2" t="s">
        <v>3428</v>
      </c>
      <c r="B498" s="2" t="s">
        <v>1361</v>
      </c>
      <c r="C498" s="2" t="s">
        <v>7138</v>
      </c>
      <c r="D498" s="2">
        <v>1999</v>
      </c>
      <c r="E498" s="2" t="s">
        <v>7139</v>
      </c>
      <c r="F498" s="2" t="s">
        <v>1365</v>
      </c>
      <c r="G498" s="2" t="s">
        <v>7140</v>
      </c>
      <c r="H498" s="2" t="s">
        <v>7225</v>
      </c>
      <c r="I498" s="2" t="s">
        <v>7142</v>
      </c>
      <c r="J498" s="2" t="s">
        <v>8532</v>
      </c>
    </row>
    <row r="499" spans="1:10">
      <c r="A499" s="2" t="s">
        <v>3429</v>
      </c>
      <c r="B499" s="2" t="s">
        <v>1361</v>
      </c>
      <c r="C499" s="2" t="s">
        <v>7138</v>
      </c>
      <c r="D499" s="2">
        <v>2022</v>
      </c>
      <c r="E499" s="2" t="s">
        <v>7139</v>
      </c>
      <c r="F499" s="2" t="s">
        <v>3430</v>
      </c>
      <c r="G499" s="2" t="s">
        <v>7192</v>
      </c>
      <c r="H499" s="2" t="s">
        <v>7579</v>
      </c>
      <c r="I499" s="2" t="s">
        <v>7143</v>
      </c>
    </row>
    <row r="500" spans="1:10">
      <c r="A500" s="2" t="s">
        <v>3431</v>
      </c>
      <c r="B500" s="2" t="s">
        <v>1361</v>
      </c>
      <c r="C500" s="2" t="s">
        <v>7179</v>
      </c>
      <c r="D500" s="2">
        <v>2000</v>
      </c>
      <c r="E500" s="2" t="s">
        <v>7139</v>
      </c>
      <c r="F500" s="2" t="s">
        <v>1364</v>
      </c>
      <c r="G500" s="2" t="s">
        <v>7181</v>
      </c>
      <c r="H500" s="2" t="s">
        <v>7225</v>
      </c>
      <c r="I500" s="2" t="s">
        <v>7142</v>
      </c>
      <c r="J500" s="2" t="s">
        <v>8540</v>
      </c>
    </row>
    <row r="501" spans="1:10">
      <c r="A501" s="2" t="s">
        <v>3432</v>
      </c>
      <c r="B501" s="2" t="s">
        <v>1361</v>
      </c>
      <c r="C501" s="2" t="s">
        <v>7179</v>
      </c>
      <c r="D501" s="2">
        <v>2025</v>
      </c>
      <c r="E501" s="2" t="s">
        <v>7139</v>
      </c>
      <c r="F501" s="2" t="s">
        <v>3433</v>
      </c>
      <c r="G501" s="2" t="s">
        <v>7192</v>
      </c>
      <c r="H501" s="2" t="s">
        <v>7579</v>
      </c>
      <c r="I501" s="2" t="s">
        <v>7143</v>
      </c>
    </row>
    <row r="502" spans="1:10">
      <c r="A502" s="2" t="s">
        <v>3434</v>
      </c>
      <c r="B502" s="2" t="s">
        <v>1389</v>
      </c>
      <c r="C502" s="2" t="s">
        <v>7138</v>
      </c>
      <c r="D502" s="2">
        <v>1978</v>
      </c>
      <c r="E502" s="2" t="s">
        <v>7139</v>
      </c>
      <c r="F502" s="2" t="s">
        <v>1390</v>
      </c>
      <c r="G502" s="2" t="s">
        <v>7140</v>
      </c>
      <c r="H502" s="2" t="s">
        <v>7225</v>
      </c>
      <c r="I502" s="2" t="s">
        <v>7142</v>
      </c>
      <c r="J502" s="2" t="s">
        <v>8529</v>
      </c>
    </row>
    <row r="503" spans="1:10">
      <c r="A503" s="2" t="s">
        <v>3435</v>
      </c>
      <c r="B503" s="2" t="s">
        <v>1389</v>
      </c>
      <c r="C503" s="2" t="s">
        <v>7179</v>
      </c>
      <c r="D503" s="2">
        <v>1982</v>
      </c>
      <c r="E503" s="2" t="s">
        <v>7139</v>
      </c>
      <c r="F503" s="2" t="s">
        <v>436</v>
      </c>
      <c r="G503" s="2" t="s">
        <v>7181</v>
      </c>
      <c r="H503" s="2" t="s">
        <v>7395</v>
      </c>
      <c r="I503" s="2" t="s">
        <v>7142</v>
      </c>
      <c r="J503" s="2" t="s">
        <v>8540</v>
      </c>
    </row>
    <row r="504" spans="1:10">
      <c r="A504" s="2" t="s">
        <v>3436</v>
      </c>
      <c r="B504" s="2" t="s">
        <v>1383</v>
      </c>
      <c r="C504" s="2" t="s">
        <v>7179</v>
      </c>
      <c r="D504" s="2">
        <v>2004</v>
      </c>
      <c r="E504" s="2" t="s">
        <v>7139</v>
      </c>
      <c r="F504" s="2" t="s">
        <v>1386</v>
      </c>
      <c r="G504" s="2" t="s">
        <v>7181</v>
      </c>
      <c r="H504" s="2" t="s">
        <v>7141</v>
      </c>
      <c r="I504" s="2" t="s">
        <v>7142</v>
      </c>
      <c r="J504" s="2" t="s">
        <v>8540</v>
      </c>
    </row>
    <row r="505" spans="1:10">
      <c r="A505" s="2" t="s">
        <v>3437</v>
      </c>
      <c r="B505" s="2" t="s">
        <v>1383</v>
      </c>
      <c r="C505" s="2" t="s">
        <v>7138</v>
      </c>
      <c r="D505" s="2">
        <v>2023</v>
      </c>
      <c r="E505" s="2" t="s">
        <v>7139</v>
      </c>
      <c r="F505" s="2" t="s">
        <v>3438</v>
      </c>
      <c r="G505" s="2" t="s">
        <v>7192</v>
      </c>
      <c r="H505" s="2" t="s">
        <v>7579</v>
      </c>
      <c r="I505" s="2" t="s">
        <v>7143</v>
      </c>
    </row>
    <row r="506" spans="1:10">
      <c r="A506" s="2" t="s">
        <v>3439</v>
      </c>
      <c r="B506" s="2" t="s">
        <v>1383</v>
      </c>
      <c r="C506" s="2" t="s">
        <v>7138</v>
      </c>
      <c r="D506" s="2">
        <v>2020</v>
      </c>
      <c r="E506" s="2" t="s">
        <v>7139</v>
      </c>
      <c r="F506" s="2" t="s">
        <v>3440</v>
      </c>
      <c r="G506" s="2" t="s">
        <v>7192</v>
      </c>
      <c r="H506" s="2" t="s">
        <v>7579</v>
      </c>
      <c r="I506" s="2" t="s">
        <v>7143</v>
      </c>
    </row>
    <row r="507" spans="1:10">
      <c r="A507" s="2" t="s">
        <v>3441</v>
      </c>
      <c r="B507" s="2" t="s">
        <v>1383</v>
      </c>
      <c r="C507" s="2" t="s">
        <v>7138</v>
      </c>
      <c r="D507" s="2">
        <v>2001</v>
      </c>
      <c r="E507" s="2" t="s">
        <v>7139</v>
      </c>
      <c r="F507" s="2" t="s">
        <v>1387</v>
      </c>
      <c r="G507" s="2" t="s">
        <v>7140</v>
      </c>
      <c r="H507" s="2" t="s">
        <v>7225</v>
      </c>
      <c r="I507" s="2" t="s">
        <v>7142</v>
      </c>
      <c r="J507" s="2" t="s">
        <v>8531</v>
      </c>
    </row>
    <row r="508" spans="1:10">
      <c r="A508" s="2" t="s">
        <v>3442</v>
      </c>
      <c r="B508" s="2" t="s">
        <v>1424</v>
      </c>
      <c r="C508" s="2" t="s">
        <v>7138</v>
      </c>
      <c r="D508" s="2">
        <v>1997</v>
      </c>
      <c r="E508" s="2" t="s">
        <v>7139</v>
      </c>
      <c r="F508" s="2" t="s">
        <v>1426</v>
      </c>
      <c r="G508" s="2" t="s">
        <v>7140</v>
      </c>
      <c r="H508" s="2" t="s">
        <v>7395</v>
      </c>
      <c r="I508" s="2" t="s">
        <v>7142</v>
      </c>
      <c r="J508" s="2" t="s">
        <v>8529</v>
      </c>
    </row>
    <row r="509" spans="1:10">
      <c r="A509" s="2" t="s">
        <v>3443</v>
      </c>
      <c r="B509" s="2" t="s">
        <v>1424</v>
      </c>
      <c r="C509" s="2" t="s">
        <v>7179</v>
      </c>
      <c r="D509" s="2">
        <v>1960</v>
      </c>
      <c r="E509" s="2" t="s">
        <v>7139</v>
      </c>
      <c r="F509" s="2" t="s">
        <v>3444</v>
      </c>
      <c r="G509" s="2" t="s">
        <v>8451</v>
      </c>
      <c r="H509" s="2" t="s">
        <v>7225</v>
      </c>
      <c r="I509" s="2" t="s">
        <v>7142</v>
      </c>
      <c r="J509" s="2" t="s">
        <v>8555</v>
      </c>
    </row>
    <row r="510" spans="1:10">
      <c r="A510" s="2" t="s">
        <v>3445</v>
      </c>
      <c r="B510" s="2" t="s">
        <v>1424</v>
      </c>
      <c r="C510" s="2" t="s">
        <v>7138</v>
      </c>
      <c r="D510" s="2">
        <v>1962</v>
      </c>
      <c r="E510" s="2" t="s">
        <v>7139</v>
      </c>
      <c r="F510" s="2" t="s">
        <v>1427</v>
      </c>
      <c r="G510" s="2" t="s">
        <v>8451</v>
      </c>
      <c r="H510" s="2" t="s">
        <v>7225</v>
      </c>
      <c r="I510" s="2" t="s">
        <v>7142</v>
      </c>
      <c r="J510" s="2" t="s">
        <v>8531</v>
      </c>
    </row>
    <row r="511" spans="1:10">
      <c r="A511" s="2" t="s">
        <v>3446</v>
      </c>
      <c r="B511" s="2" t="s">
        <v>1351</v>
      </c>
      <c r="C511" s="2" t="s">
        <v>7179</v>
      </c>
      <c r="D511" s="2">
        <v>2006</v>
      </c>
      <c r="E511" s="2" t="s">
        <v>7139</v>
      </c>
      <c r="F511" s="2" t="s">
        <v>3447</v>
      </c>
      <c r="G511" s="2" t="s">
        <v>7192</v>
      </c>
      <c r="H511" s="2" t="s">
        <v>7225</v>
      </c>
      <c r="I511" s="2" t="s">
        <v>7142</v>
      </c>
      <c r="J511" s="2" t="s">
        <v>8555</v>
      </c>
    </row>
    <row r="512" spans="1:10">
      <c r="A512" s="2" t="s">
        <v>3448</v>
      </c>
      <c r="B512" s="2" t="s">
        <v>1351</v>
      </c>
      <c r="C512" s="2" t="s">
        <v>7138</v>
      </c>
      <c r="D512" s="2">
        <v>1978</v>
      </c>
      <c r="E512" s="2" t="s">
        <v>7139</v>
      </c>
      <c r="F512" s="2" t="s">
        <v>3449</v>
      </c>
      <c r="G512" s="2" t="s">
        <v>7140</v>
      </c>
      <c r="H512" s="2" t="s">
        <v>7225</v>
      </c>
      <c r="I512" s="2" t="s">
        <v>7142</v>
      </c>
      <c r="J512" s="2" t="s">
        <v>8529</v>
      </c>
    </row>
    <row r="513" spans="1:10">
      <c r="A513" s="2" t="s">
        <v>3450</v>
      </c>
      <c r="B513" s="2" t="s">
        <v>1351</v>
      </c>
      <c r="C513" s="2" t="s">
        <v>7138</v>
      </c>
      <c r="D513" s="2">
        <v>2005</v>
      </c>
      <c r="E513" s="2" t="s">
        <v>7139</v>
      </c>
      <c r="F513" s="2" t="s">
        <v>1352</v>
      </c>
      <c r="G513" s="2" t="s">
        <v>7192</v>
      </c>
      <c r="H513" s="2" t="s">
        <v>7141</v>
      </c>
      <c r="I513" s="2" t="s">
        <v>7142</v>
      </c>
      <c r="J513" s="2" t="s">
        <v>8529</v>
      </c>
    </row>
    <row r="514" spans="1:10">
      <c r="A514" s="2" t="s">
        <v>3451</v>
      </c>
      <c r="B514" s="2" t="s">
        <v>1449</v>
      </c>
      <c r="C514" s="2" t="s">
        <v>7179</v>
      </c>
      <c r="D514" s="2">
        <v>2000</v>
      </c>
      <c r="E514" s="2" t="s">
        <v>7139</v>
      </c>
      <c r="F514" s="2" t="s">
        <v>3452</v>
      </c>
      <c r="G514" s="2" t="s">
        <v>7192</v>
      </c>
      <c r="H514" s="2" t="s">
        <v>7182</v>
      </c>
      <c r="I514" s="2" t="s">
        <v>7142</v>
      </c>
      <c r="J514" s="2" t="s">
        <v>8555</v>
      </c>
    </row>
    <row r="515" spans="1:10">
      <c r="A515" s="2" t="s">
        <v>3453</v>
      </c>
      <c r="B515" s="2" t="s">
        <v>1449</v>
      </c>
      <c r="C515" s="2" t="s">
        <v>7179</v>
      </c>
      <c r="D515" s="2">
        <v>1982</v>
      </c>
      <c r="E515" s="2" t="s">
        <v>7139</v>
      </c>
      <c r="F515" s="2" t="s">
        <v>3454</v>
      </c>
      <c r="G515" s="2" t="s">
        <v>7181</v>
      </c>
      <c r="H515" s="2" t="s">
        <v>7395</v>
      </c>
      <c r="I515" s="2" t="s">
        <v>7142</v>
      </c>
      <c r="J515" s="2" t="s">
        <v>8540</v>
      </c>
    </row>
    <row r="516" spans="1:10">
      <c r="A516" s="2" t="s">
        <v>3455</v>
      </c>
      <c r="B516" s="2" t="s">
        <v>1449</v>
      </c>
      <c r="C516" s="2" t="s">
        <v>7138</v>
      </c>
      <c r="D516" s="2">
        <v>1977</v>
      </c>
      <c r="E516" s="2" t="s">
        <v>7139</v>
      </c>
      <c r="F516" s="2" t="s">
        <v>1452</v>
      </c>
      <c r="G516" s="2" t="s">
        <v>7140</v>
      </c>
      <c r="H516" s="2" t="s">
        <v>7141</v>
      </c>
      <c r="I516" s="2" t="s">
        <v>7142</v>
      </c>
      <c r="J516" s="2" t="s">
        <v>8532</v>
      </c>
    </row>
    <row r="517" spans="1:10">
      <c r="A517" s="2" t="s">
        <v>3456</v>
      </c>
      <c r="B517" s="2" t="s">
        <v>1297</v>
      </c>
      <c r="C517" s="2" t="s">
        <v>7179</v>
      </c>
      <c r="D517" s="2">
        <v>2008</v>
      </c>
      <c r="E517" s="2" t="s">
        <v>7139</v>
      </c>
      <c r="F517" s="2" t="s">
        <v>3457</v>
      </c>
      <c r="G517" s="2" t="s">
        <v>7192</v>
      </c>
      <c r="H517" s="2" t="s">
        <v>7182</v>
      </c>
      <c r="I517" s="2" t="s">
        <v>7143</v>
      </c>
    </row>
    <row r="518" spans="1:10">
      <c r="A518" s="2" t="s">
        <v>3458</v>
      </c>
      <c r="B518" s="2" t="s">
        <v>1297</v>
      </c>
      <c r="C518" s="2" t="s">
        <v>7138</v>
      </c>
      <c r="D518" s="2">
        <v>2011</v>
      </c>
      <c r="E518" s="2" t="s">
        <v>7139</v>
      </c>
      <c r="F518" s="2" t="s">
        <v>3459</v>
      </c>
      <c r="G518" s="2" t="s">
        <v>7192</v>
      </c>
      <c r="H518" s="2" t="s">
        <v>7141</v>
      </c>
      <c r="I518" s="2" t="s">
        <v>7143</v>
      </c>
    </row>
    <row r="519" spans="1:10">
      <c r="A519" s="2" t="s">
        <v>3460</v>
      </c>
      <c r="B519" s="2" t="s">
        <v>1297</v>
      </c>
      <c r="C519" s="2" t="s">
        <v>7138</v>
      </c>
      <c r="D519" s="2">
        <v>1980</v>
      </c>
      <c r="E519" s="2" t="s">
        <v>7139</v>
      </c>
      <c r="F519" s="2" t="s">
        <v>1298</v>
      </c>
      <c r="G519" s="2" t="s">
        <v>7140</v>
      </c>
      <c r="H519" s="2" t="s">
        <v>7225</v>
      </c>
      <c r="I519" s="2" t="s">
        <v>7142</v>
      </c>
      <c r="J519" s="2" t="s">
        <v>8533</v>
      </c>
    </row>
    <row r="520" spans="1:10">
      <c r="A520" s="2" t="s">
        <v>3461</v>
      </c>
      <c r="B520" s="2" t="s">
        <v>1297</v>
      </c>
      <c r="C520" s="2" t="s">
        <v>7179</v>
      </c>
      <c r="D520" s="2">
        <v>1992</v>
      </c>
      <c r="E520" s="2" t="s">
        <v>7139</v>
      </c>
      <c r="F520" s="2" t="s">
        <v>3462</v>
      </c>
      <c r="G520" s="2" t="s">
        <v>7181</v>
      </c>
      <c r="H520" s="2" t="s">
        <v>7141</v>
      </c>
      <c r="I520" s="2" t="s">
        <v>7142</v>
      </c>
      <c r="J520" s="2" t="s">
        <v>8540</v>
      </c>
    </row>
    <row r="521" spans="1:10">
      <c r="A521" s="2" t="s">
        <v>3463</v>
      </c>
      <c r="B521" s="2" t="s">
        <v>1297</v>
      </c>
      <c r="C521" s="2" t="s">
        <v>7179</v>
      </c>
      <c r="D521" s="2">
        <v>2014</v>
      </c>
      <c r="E521" s="2" t="s">
        <v>7139</v>
      </c>
      <c r="F521" s="2" t="s">
        <v>1198</v>
      </c>
      <c r="H521" s="2" t="s">
        <v>7225</v>
      </c>
      <c r="I521" s="2" t="s">
        <v>7143</v>
      </c>
    </row>
    <row r="522" spans="1:10">
      <c r="A522" s="2" t="s">
        <v>3464</v>
      </c>
      <c r="B522" s="2" t="s">
        <v>728</v>
      </c>
      <c r="C522" s="2" t="s">
        <v>7179</v>
      </c>
      <c r="D522" s="2">
        <v>1998</v>
      </c>
      <c r="E522" s="2" t="s">
        <v>7139</v>
      </c>
      <c r="F522" s="2" t="s">
        <v>3465</v>
      </c>
      <c r="G522" s="2" t="s">
        <v>7181</v>
      </c>
      <c r="H522" s="2" t="s">
        <v>7182</v>
      </c>
      <c r="I522" s="2" t="s">
        <v>7142</v>
      </c>
      <c r="J522" s="2" t="s">
        <v>8566</v>
      </c>
    </row>
    <row r="523" spans="1:10">
      <c r="A523" s="2" t="s">
        <v>3466</v>
      </c>
      <c r="B523" s="2" t="s">
        <v>1469</v>
      </c>
      <c r="C523" s="2" t="s">
        <v>7179</v>
      </c>
      <c r="D523" s="2">
        <v>1985</v>
      </c>
      <c r="E523" s="2" t="s">
        <v>7139</v>
      </c>
      <c r="F523" s="2" t="s">
        <v>1471</v>
      </c>
      <c r="G523" s="2" t="s">
        <v>7181</v>
      </c>
      <c r="H523" s="2" t="s">
        <v>7141</v>
      </c>
      <c r="I523" s="2" t="s">
        <v>7142</v>
      </c>
      <c r="J523" s="2" t="s">
        <v>8540</v>
      </c>
    </row>
    <row r="524" spans="1:10">
      <c r="A524" s="2" t="s">
        <v>3467</v>
      </c>
      <c r="B524" s="2" t="s">
        <v>1469</v>
      </c>
      <c r="C524" s="2" t="s">
        <v>7138</v>
      </c>
      <c r="D524" s="2">
        <v>1982</v>
      </c>
      <c r="E524" s="2" t="s">
        <v>7139</v>
      </c>
      <c r="F524" s="2" t="s">
        <v>1472</v>
      </c>
      <c r="G524" s="2" t="s">
        <v>7140</v>
      </c>
      <c r="H524" s="2" t="s">
        <v>7395</v>
      </c>
      <c r="I524" s="2" t="s">
        <v>7142</v>
      </c>
      <c r="J524" s="2" t="s">
        <v>8532</v>
      </c>
    </row>
    <row r="525" spans="1:10">
      <c r="A525" s="2" t="s">
        <v>3468</v>
      </c>
      <c r="B525" s="2" t="s">
        <v>1469</v>
      </c>
      <c r="C525" s="2" t="s">
        <v>7138</v>
      </c>
      <c r="D525" s="2">
        <v>2017</v>
      </c>
      <c r="E525" s="2" t="s">
        <v>7139</v>
      </c>
      <c r="F525" s="2" t="s">
        <v>3469</v>
      </c>
      <c r="G525" s="2" t="s">
        <v>7192</v>
      </c>
      <c r="H525" s="2" t="s">
        <v>7579</v>
      </c>
      <c r="I525" s="2" t="s">
        <v>7143</v>
      </c>
    </row>
    <row r="526" spans="1:10">
      <c r="A526" s="2" t="s">
        <v>3470</v>
      </c>
      <c r="B526" s="2" t="s">
        <v>1469</v>
      </c>
      <c r="C526" s="2" t="s">
        <v>7138</v>
      </c>
      <c r="D526" s="2">
        <v>2011</v>
      </c>
      <c r="E526" s="2" t="s">
        <v>7139</v>
      </c>
      <c r="F526" s="2" t="s">
        <v>802</v>
      </c>
      <c r="G526" s="2" t="s">
        <v>7192</v>
      </c>
      <c r="H526" s="2" t="s">
        <v>7579</v>
      </c>
      <c r="I526" s="2" t="s">
        <v>7143</v>
      </c>
    </row>
    <row r="527" spans="1:10">
      <c r="A527" s="2" t="s">
        <v>3471</v>
      </c>
      <c r="B527" s="2" t="s">
        <v>1469</v>
      </c>
      <c r="C527" s="2" t="s">
        <v>7138</v>
      </c>
      <c r="D527" s="2">
        <v>2013</v>
      </c>
      <c r="E527" s="2" t="s">
        <v>7139</v>
      </c>
      <c r="F527" s="2" t="s">
        <v>3472</v>
      </c>
      <c r="G527" s="2" t="s">
        <v>7192</v>
      </c>
      <c r="H527" s="2" t="s">
        <v>7579</v>
      </c>
      <c r="I527" s="2" t="s">
        <v>7143</v>
      </c>
    </row>
    <row r="528" spans="1:10">
      <c r="A528" s="2" t="s">
        <v>3473</v>
      </c>
      <c r="B528" s="2" t="s">
        <v>1469</v>
      </c>
      <c r="C528" s="2" t="s">
        <v>7138</v>
      </c>
      <c r="D528" s="2">
        <v>2008</v>
      </c>
      <c r="E528" s="2" t="s">
        <v>7139</v>
      </c>
      <c r="F528" s="2" t="s">
        <v>1013</v>
      </c>
      <c r="G528" s="2" t="s">
        <v>7192</v>
      </c>
      <c r="H528" s="2" t="s">
        <v>7182</v>
      </c>
      <c r="I528" s="2" t="s">
        <v>7142</v>
      </c>
      <c r="J528" s="2" t="s">
        <v>8531</v>
      </c>
    </row>
    <row r="529" spans="1:10">
      <c r="A529" s="2" t="s">
        <v>3474</v>
      </c>
      <c r="B529" s="2" t="s">
        <v>1250</v>
      </c>
      <c r="C529" s="2" t="s">
        <v>7179</v>
      </c>
      <c r="D529" s="2">
        <v>2018</v>
      </c>
      <c r="E529" s="2" t="s">
        <v>7139</v>
      </c>
      <c r="F529" s="2" t="s">
        <v>3475</v>
      </c>
      <c r="G529" s="2" t="s">
        <v>7192</v>
      </c>
      <c r="H529" s="2" t="s">
        <v>7225</v>
      </c>
      <c r="I529" s="2" t="s">
        <v>7143</v>
      </c>
    </row>
    <row r="530" spans="1:10">
      <c r="A530" s="2" t="s">
        <v>3476</v>
      </c>
      <c r="B530" s="2" t="s">
        <v>1250</v>
      </c>
      <c r="C530" s="2" t="s">
        <v>7138</v>
      </c>
      <c r="D530" s="2">
        <v>1993</v>
      </c>
      <c r="E530" s="2" t="s">
        <v>7139</v>
      </c>
      <c r="F530" s="2" t="s">
        <v>1251</v>
      </c>
      <c r="G530" s="2" t="s">
        <v>7140</v>
      </c>
      <c r="H530" s="2" t="s">
        <v>7225</v>
      </c>
      <c r="I530" s="2" t="s">
        <v>7142</v>
      </c>
      <c r="J530" s="2" t="s">
        <v>8531</v>
      </c>
    </row>
    <row r="531" spans="1:10">
      <c r="A531" s="2" t="s">
        <v>3477</v>
      </c>
      <c r="B531" s="2" t="s">
        <v>1250</v>
      </c>
      <c r="C531" s="2" t="s">
        <v>7179</v>
      </c>
      <c r="D531" s="2">
        <v>1993</v>
      </c>
      <c r="E531" s="2" t="s">
        <v>7139</v>
      </c>
      <c r="F531" s="2" t="s">
        <v>3478</v>
      </c>
      <c r="G531" s="2" t="s">
        <v>7181</v>
      </c>
      <c r="H531" s="2" t="s">
        <v>7225</v>
      </c>
      <c r="I531" s="2" t="s">
        <v>7142</v>
      </c>
      <c r="J531" s="2" t="s">
        <v>8540</v>
      </c>
    </row>
    <row r="532" spans="1:10">
      <c r="A532" s="2" t="s">
        <v>3479</v>
      </c>
      <c r="B532" s="2" t="s">
        <v>1250</v>
      </c>
      <c r="C532" s="2" t="s">
        <v>7138</v>
      </c>
      <c r="D532" s="2">
        <v>2012</v>
      </c>
      <c r="E532" s="2" t="s">
        <v>7139</v>
      </c>
      <c r="F532" s="2" t="s">
        <v>3480</v>
      </c>
      <c r="G532" s="2" t="s">
        <v>7192</v>
      </c>
      <c r="H532" s="2" t="s">
        <v>7225</v>
      </c>
      <c r="I532" s="2" t="s">
        <v>7143</v>
      </c>
    </row>
    <row r="533" spans="1:10">
      <c r="A533" s="2" t="s">
        <v>3481</v>
      </c>
      <c r="B533" s="2" t="s">
        <v>1479</v>
      </c>
      <c r="C533" s="2" t="s">
        <v>7138</v>
      </c>
      <c r="D533" s="2">
        <v>2018</v>
      </c>
      <c r="E533" s="2" t="s">
        <v>7139</v>
      </c>
      <c r="F533" s="2" t="s">
        <v>3482</v>
      </c>
      <c r="G533" s="2" t="s">
        <v>7192</v>
      </c>
      <c r="H533" s="2" t="s">
        <v>7579</v>
      </c>
      <c r="I533" s="2" t="s">
        <v>7143</v>
      </c>
    </row>
    <row r="534" spans="1:10">
      <c r="A534" s="2" t="s">
        <v>3483</v>
      </c>
      <c r="B534" s="2" t="s">
        <v>1479</v>
      </c>
      <c r="C534" s="2" t="s">
        <v>7179</v>
      </c>
      <c r="D534" s="2">
        <v>2001</v>
      </c>
      <c r="E534" s="2" t="s">
        <v>7139</v>
      </c>
      <c r="F534" s="2" t="s">
        <v>1481</v>
      </c>
      <c r="G534" s="2" t="s">
        <v>7181</v>
      </c>
      <c r="H534" s="2" t="s">
        <v>7225</v>
      </c>
      <c r="I534" s="2" t="s">
        <v>7142</v>
      </c>
      <c r="J534" s="2" t="s">
        <v>8540</v>
      </c>
    </row>
    <row r="535" spans="1:10">
      <c r="A535" s="2" t="s">
        <v>3484</v>
      </c>
      <c r="B535" s="2" t="s">
        <v>1479</v>
      </c>
      <c r="C535" s="2" t="s">
        <v>7138</v>
      </c>
      <c r="D535" s="2">
        <v>2001</v>
      </c>
      <c r="E535" s="2" t="s">
        <v>7139</v>
      </c>
      <c r="F535" s="2" t="s">
        <v>1482</v>
      </c>
      <c r="G535" s="2" t="s">
        <v>7140</v>
      </c>
      <c r="H535" s="2" t="s">
        <v>7225</v>
      </c>
      <c r="I535" s="2" t="s">
        <v>7142</v>
      </c>
      <c r="J535" s="2" t="s">
        <v>8531</v>
      </c>
    </row>
    <row r="536" spans="1:10">
      <c r="A536" s="2" t="s">
        <v>3485</v>
      </c>
      <c r="B536" s="2" t="s">
        <v>1205</v>
      </c>
      <c r="C536" s="2" t="s">
        <v>7138</v>
      </c>
      <c r="D536" s="2">
        <v>1984</v>
      </c>
      <c r="E536" s="2" t="s">
        <v>7139</v>
      </c>
      <c r="F536" s="2" t="s">
        <v>1209</v>
      </c>
      <c r="G536" s="2" t="s">
        <v>7140</v>
      </c>
      <c r="H536" s="2" t="s">
        <v>7225</v>
      </c>
      <c r="I536" s="2" t="s">
        <v>7142</v>
      </c>
      <c r="J536" s="2" t="s">
        <v>8600</v>
      </c>
    </row>
    <row r="537" spans="1:10">
      <c r="A537" s="2" t="s">
        <v>3487</v>
      </c>
      <c r="B537" s="2" t="s">
        <v>1205</v>
      </c>
      <c r="C537" s="2" t="s">
        <v>7179</v>
      </c>
      <c r="D537" s="2">
        <v>1986</v>
      </c>
      <c r="E537" s="2" t="s">
        <v>7139</v>
      </c>
      <c r="F537" s="2" t="s">
        <v>1208</v>
      </c>
      <c r="G537" s="2" t="s">
        <v>7181</v>
      </c>
      <c r="H537" s="2" t="s">
        <v>7141</v>
      </c>
      <c r="I537" s="2" t="s">
        <v>7142</v>
      </c>
      <c r="J537" s="2" t="s">
        <v>8556</v>
      </c>
    </row>
    <row r="538" spans="1:10">
      <c r="A538" s="2" t="s">
        <v>3488</v>
      </c>
      <c r="B538" s="2" t="s">
        <v>557</v>
      </c>
      <c r="C538" s="2" t="s">
        <v>7179</v>
      </c>
      <c r="D538" s="2">
        <v>1969</v>
      </c>
      <c r="E538" s="2" t="s">
        <v>7139</v>
      </c>
      <c r="F538" s="2" t="s">
        <v>559</v>
      </c>
      <c r="G538" s="2" t="s">
        <v>7181</v>
      </c>
      <c r="H538" s="2" t="s">
        <v>7225</v>
      </c>
      <c r="I538" s="2" t="s">
        <v>7142</v>
      </c>
      <c r="J538" s="2" t="s">
        <v>8548</v>
      </c>
    </row>
    <row r="539" spans="1:10">
      <c r="A539" s="2" t="s">
        <v>3489</v>
      </c>
      <c r="B539" s="2" t="s">
        <v>1956</v>
      </c>
      <c r="C539" s="2" t="s">
        <v>7179</v>
      </c>
      <c r="D539" s="2">
        <v>1991</v>
      </c>
      <c r="E539" s="2" t="s">
        <v>7180</v>
      </c>
      <c r="F539" s="2" t="s">
        <v>3490</v>
      </c>
      <c r="G539" s="2" t="s">
        <v>7192</v>
      </c>
      <c r="H539" s="2" t="s">
        <v>7450</v>
      </c>
      <c r="I539" s="2" t="s">
        <v>7143</v>
      </c>
    </row>
    <row r="540" spans="1:10">
      <c r="A540" s="2" t="s">
        <v>3491</v>
      </c>
      <c r="B540" s="2" t="s">
        <v>1956</v>
      </c>
      <c r="C540" s="2" t="s">
        <v>7179</v>
      </c>
      <c r="D540" s="2">
        <v>1962</v>
      </c>
      <c r="E540" s="2" t="s">
        <v>7180</v>
      </c>
      <c r="F540" s="2" t="s">
        <v>3492</v>
      </c>
      <c r="G540" s="2" t="s">
        <v>7181</v>
      </c>
      <c r="H540" s="2" t="s">
        <v>7141</v>
      </c>
      <c r="I540" s="2" t="s">
        <v>7142</v>
      </c>
      <c r="J540" s="2" t="s">
        <v>8538</v>
      </c>
    </row>
    <row r="541" spans="1:10">
      <c r="A541" s="2" t="s">
        <v>3493</v>
      </c>
      <c r="B541" s="2" t="s">
        <v>1956</v>
      </c>
      <c r="C541" s="2" t="s">
        <v>7138</v>
      </c>
      <c r="D541" s="2">
        <v>1957</v>
      </c>
      <c r="E541" s="2" t="s">
        <v>7180</v>
      </c>
      <c r="F541" s="2" t="s">
        <v>1957</v>
      </c>
      <c r="G541" s="2" t="s">
        <v>7140</v>
      </c>
      <c r="H541" s="2" t="s">
        <v>7141</v>
      </c>
      <c r="I541" s="2" t="s">
        <v>7142</v>
      </c>
      <c r="J541" s="2" t="s">
        <v>8533</v>
      </c>
    </row>
    <row r="542" spans="1:10">
      <c r="A542" s="2" t="s">
        <v>3494</v>
      </c>
      <c r="B542" s="2" t="s">
        <v>1956</v>
      </c>
      <c r="C542" s="2" t="s">
        <v>7138</v>
      </c>
      <c r="D542" s="2">
        <v>1998</v>
      </c>
      <c r="E542" s="2" t="s">
        <v>7180</v>
      </c>
      <c r="F542" s="2" t="s">
        <v>3495</v>
      </c>
      <c r="G542" s="2" t="s">
        <v>7192</v>
      </c>
      <c r="H542" s="2" t="s">
        <v>7450</v>
      </c>
      <c r="I542" s="2" t="s">
        <v>7143</v>
      </c>
    </row>
    <row r="543" spans="1:10">
      <c r="A543" s="2" t="s">
        <v>3496</v>
      </c>
      <c r="B543" s="2" t="s">
        <v>1956</v>
      </c>
      <c r="C543" s="2" t="s">
        <v>7138</v>
      </c>
      <c r="D543" s="2">
        <v>1988</v>
      </c>
      <c r="E543" s="2" t="s">
        <v>7180</v>
      </c>
      <c r="F543" s="2" t="s">
        <v>3497</v>
      </c>
      <c r="G543" s="2" t="s">
        <v>7192</v>
      </c>
      <c r="H543" s="2" t="s">
        <v>7141</v>
      </c>
      <c r="I543" s="2" t="s">
        <v>7142</v>
      </c>
      <c r="J543" s="2" t="s">
        <v>8532</v>
      </c>
    </row>
    <row r="544" spans="1:10">
      <c r="A544" s="2" t="s">
        <v>3498</v>
      </c>
      <c r="B544" s="2" t="s">
        <v>541</v>
      </c>
      <c r="C544" s="2" t="s">
        <v>7179</v>
      </c>
      <c r="D544" s="2">
        <v>1993</v>
      </c>
      <c r="E544" s="2" t="s">
        <v>7139</v>
      </c>
      <c r="F544" s="2" t="s">
        <v>3499</v>
      </c>
      <c r="G544" s="2" t="s">
        <v>7181</v>
      </c>
      <c r="H544" s="2" t="s">
        <v>7141</v>
      </c>
      <c r="I544" s="2" t="s">
        <v>7142</v>
      </c>
      <c r="J544" s="2" t="s">
        <v>8540</v>
      </c>
    </row>
    <row r="545" spans="1:10">
      <c r="A545" s="2" t="s">
        <v>3500</v>
      </c>
      <c r="B545" s="2" t="s">
        <v>1488</v>
      </c>
      <c r="C545" s="2" t="s">
        <v>7138</v>
      </c>
      <c r="D545" s="2">
        <v>2012</v>
      </c>
      <c r="E545" s="2" t="s">
        <v>7139</v>
      </c>
      <c r="F545" s="2" t="s">
        <v>3501</v>
      </c>
      <c r="G545" s="2" t="s">
        <v>7192</v>
      </c>
      <c r="H545" s="2" t="s">
        <v>7141</v>
      </c>
      <c r="I545" s="2" t="s">
        <v>7142</v>
      </c>
      <c r="J545" s="2" t="s">
        <v>8555</v>
      </c>
    </row>
    <row r="546" spans="1:10">
      <c r="A546" s="2" t="s">
        <v>3502</v>
      </c>
      <c r="B546" s="2" t="s">
        <v>1488</v>
      </c>
      <c r="C546" s="2" t="s">
        <v>7179</v>
      </c>
      <c r="D546" s="2">
        <v>2014</v>
      </c>
      <c r="E546" s="2" t="s">
        <v>7139</v>
      </c>
      <c r="F546" s="2" t="s">
        <v>3478</v>
      </c>
      <c r="G546" s="2" t="s">
        <v>7192</v>
      </c>
      <c r="H546" s="2" t="s">
        <v>7579</v>
      </c>
      <c r="I546" s="2" t="s">
        <v>7143</v>
      </c>
    </row>
    <row r="547" spans="1:10">
      <c r="A547" s="2" t="s">
        <v>3503</v>
      </c>
      <c r="B547" s="2" t="s">
        <v>1488</v>
      </c>
      <c r="C547" s="2" t="s">
        <v>7179</v>
      </c>
      <c r="D547" s="2">
        <v>1983</v>
      </c>
      <c r="E547" s="2" t="s">
        <v>7139</v>
      </c>
      <c r="F547" s="2" t="s">
        <v>3504</v>
      </c>
      <c r="G547" s="2" t="s">
        <v>7181</v>
      </c>
      <c r="H547" s="2" t="s">
        <v>7395</v>
      </c>
      <c r="I547" s="2" t="s">
        <v>7142</v>
      </c>
      <c r="J547" s="2" t="s">
        <v>8540</v>
      </c>
    </row>
    <row r="548" spans="1:10">
      <c r="A548" s="2" t="s">
        <v>3505</v>
      </c>
      <c r="B548" s="2" t="s">
        <v>1488</v>
      </c>
      <c r="C548" s="2" t="s">
        <v>7138</v>
      </c>
      <c r="D548" s="2">
        <v>1995</v>
      </c>
      <c r="E548" s="2" t="s">
        <v>7139</v>
      </c>
      <c r="F548" s="2" t="s">
        <v>1490</v>
      </c>
      <c r="G548" s="2" t="s">
        <v>7140</v>
      </c>
      <c r="H548" s="2" t="s">
        <v>7141</v>
      </c>
      <c r="I548" s="2" t="s">
        <v>7142</v>
      </c>
      <c r="J548" s="2" t="s">
        <v>8529</v>
      </c>
    </row>
    <row r="549" spans="1:10">
      <c r="A549" s="2" t="s">
        <v>3506</v>
      </c>
      <c r="B549" s="2" t="s">
        <v>1488</v>
      </c>
      <c r="C549" s="2" t="s">
        <v>7179</v>
      </c>
      <c r="D549" s="2">
        <v>2001</v>
      </c>
      <c r="E549" s="2" t="s">
        <v>7139</v>
      </c>
      <c r="F549" s="2" t="s">
        <v>3507</v>
      </c>
      <c r="G549" s="2" t="s">
        <v>7192</v>
      </c>
      <c r="H549" s="2" t="s">
        <v>7579</v>
      </c>
      <c r="I549" s="2" t="s">
        <v>7143</v>
      </c>
    </row>
    <row r="550" spans="1:10">
      <c r="A550" s="2" t="s">
        <v>3508</v>
      </c>
      <c r="B550" s="2" t="s">
        <v>1488</v>
      </c>
      <c r="C550" s="2" t="s">
        <v>7179</v>
      </c>
      <c r="D550" s="2">
        <v>2002</v>
      </c>
      <c r="E550" s="2" t="s">
        <v>7139</v>
      </c>
      <c r="F550" s="2" t="s">
        <v>3509</v>
      </c>
      <c r="G550" s="2" t="s">
        <v>7192</v>
      </c>
      <c r="H550" s="2" t="s">
        <v>7579</v>
      </c>
      <c r="I550" s="2" t="s">
        <v>7143</v>
      </c>
    </row>
    <row r="551" spans="1:10">
      <c r="A551" s="2" t="s">
        <v>3510</v>
      </c>
      <c r="B551" s="2" t="s">
        <v>1925</v>
      </c>
      <c r="C551" s="2" t="s">
        <v>7138</v>
      </c>
      <c r="D551" s="2">
        <v>2000</v>
      </c>
      <c r="E551" s="2" t="s">
        <v>7180</v>
      </c>
      <c r="F551" s="2" t="s">
        <v>3511</v>
      </c>
      <c r="G551" s="2" t="s">
        <v>7192</v>
      </c>
      <c r="H551" s="2" t="s">
        <v>7450</v>
      </c>
      <c r="I551" s="2" t="s">
        <v>7143</v>
      </c>
    </row>
    <row r="552" spans="1:10">
      <c r="A552" s="2" t="s">
        <v>3512</v>
      </c>
      <c r="B552" s="2" t="s">
        <v>1925</v>
      </c>
      <c r="C552" s="2" t="s">
        <v>7179</v>
      </c>
      <c r="D552" s="2">
        <v>2011</v>
      </c>
      <c r="E552" s="2" t="s">
        <v>7180</v>
      </c>
      <c r="F552" s="2" t="s">
        <v>3513</v>
      </c>
      <c r="G552" s="2" t="s">
        <v>7192</v>
      </c>
      <c r="H552" s="2" t="s">
        <v>7141</v>
      </c>
      <c r="I552" s="2" t="s">
        <v>7143</v>
      </c>
    </row>
    <row r="553" spans="1:10">
      <c r="A553" s="2" t="s">
        <v>3514</v>
      </c>
      <c r="B553" s="2" t="s">
        <v>1925</v>
      </c>
      <c r="C553" s="2" t="s">
        <v>7138</v>
      </c>
      <c r="D553" s="2">
        <v>1972</v>
      </c>
      <c r="E553" s="2" t="s">
        <v>7180</v>
      </c>
      <c r="F553" s="2" t="s">
        <v>3515</v>
      </c>
      <c r="G553" s="2" t="s">
        <v>7140</v>
      </c>
      <c r="H553" s="2" t="s">
        <v>7182</v>
      </c>
      <c r="I553" s="2" t="s">
        <v>7142</v>
      </c>
      <c r="J553" s="2" t="s">
        <v>8533</v>
      </c>
    </row>
    <row r="554" spans="1:10">
      <c r="A554" s="2" t="s">
        <v>3516</v>
      </c>
      <c r="B554" s="2" t="s">
        <v>1925</v>
      </c>
      <c r="C554" s="2" t="s">
        <v>7179</v>
      </c>
      <c r="D554" s="2">
        <v>1999</v>
      </c>
      <c r="E554" s="2" t="s">
        <v>7180</v>
      </c>
      <c r="F554" s="2" t="s">
        <v>3517</v>
      </c>
      <c r="G554" s="2" t="s">
        <v>7192</v>
      </c>
      <c r="H554" s="2" t="s">
        <v>7141</v>
      </c>
      <c r="I554" s="2" t="s">
        <v>7143</v>
      </c>
    </row>
    <row r="555" spans="1:10">
      <c r="A555" s="2" t="s">
        <v>3518</v>
      </c>
      <c r="B555" s="2" t="s">
        <v>1925</v>
      </c>
      <c r="C555" s="2" t="s">
        <v>7179</v>
      </c>
      <c r="D555" s="2">
        <v>1973</v>
      </c>
      <c r="E555" s="2" t="s">
        <v>7180</v>
      </c>
      <c r="F555" s="2" t="s">
        <v>1926</v>
      </c>
      <c r="G555" s="2" t="s">
        <v>7181</v>
      </c>
      <c r="H555" s="2" t="s">
        <v>7141</v>
      </c>
      <c r="I555" s="2" t="s">
        <v>7142</v>
      </c>
      <c r="J555" s="2" t="s">
        <v>8538</v>
      </c>
    </row>
    <row r="556" spans="1:10">
      <c r="A556" s="2" t="s">
        <v>3519</v>
      </c>
      <c r="B556" s="2" t="s">
        <v>1493</v>
      </c>
      <c r="C556" s="2" t="s">
        <v>7179</v>
      </c>
      <c r="D556" s="2">
        <v>2012</v>
      </c>
      <c r="E556" s="2" t="s">
        <v>7139</v>
      </c>
      <c r="F556" s="2" t="s">
        <v>3520</v>
      </c>
      <c r="G556" s="2" t="s">
        <v>7192</v>
      </c>
      <c r="H556" s="2" t="s">
        <v>7579</v>
      </c>
      <c r="I556" s="2" t="s">
        <v>7143</v>
      </c>
    </row>
    <row r="557" spans="1:10">
      <c r="A557" s="2" t="s">
        <v>3521</v>
      </c>
      <c r="B557" s="2" t="s">
        <v>1493</v>
      </c>
      <c r="C557" s="2" t="s">
        <v>7179</v>
      </c>
      <c r="D557" s="2">
        <v>2009</v>
      </c>
      <c r="E557" s="2" t="s">
        <v>7139</v>
      </c>
      <c r="F557" s="2" t="s">
        <v>3522</v>
      </c>
      <c r="G557" s="2" t="s">
        <v>7192</v>
      </c>
      <c r="H557" s="2" t="s">
        <v>7141</v>
      </c>
      <c r="I557" s="2" t="s">
        <v>7142</v>
      </c>
      <c r="J557" s="2" t="s">
        <v>8551</v>
      </c>
    </row>
    <row r="558" spans="1:10">
      <c r="A558" s="2" t="s">
        <v>3523</v>
      </c>
      <c r="B558" s="2" t="s">
        <v>1493</v>
      </c>
      <c r="C558" s="2" t="s">
        <v>7138</v>
      </c>
      <c r="D558" s="2">
        <v>1994</v>
      </c>
      <c r="E558" s="2" t="s">
        <v>7139</v>
      </c>
      <c r="F558" s="2" t="s">
        <v>1495</v>
      </c>
      <c r="G558" s="2" t="s">
        <v>7140</v>
      </c>
      <c r="H558" s="2" t="s">
        <v>7141</v>
      </c>
      <c r="I558" s="2" t="s">
        <v>7142</v>
      </c>
      <c r="J558" s="2" t="s">
        <v>8531</v>
      </c>
    </row>
    <row r="559" spans="1:10">
      <c r="A559" s="2" t="s">
        <v>3524</v>
      </c>
      <c r="B559" s="2" t="s">
        <v>1493</v>
      </c>
      <c r="C559" s="2" t="s">
        <v>7179</v>
      </c>
      <c r="D559" s="2">
        <v>1991</v>
      </c>
      <c r="E559" s="2" t="s">
        <v>7139</v>
      </c>
      <c r="F559" s="2" t="s">
        <v>3525</v>
      </c>
      <c r="G559" s="2" t="s">
        <v>7181</v>
      </c>
      <c r="H559" s="2" t="s">
        <v>7141</v>
      </c>
      <c r="I559" s="2" t="s">
        <v>7142</v>
      </c>
      <c r="J559" s="2" t="s">
        <v>8540</v>
      </c>
    </row>
    <row r="560" spans="1:10">
      <c r="A560" s="2" t="s">
        <v>3526</v>
      </c>
      <c r="B560" s="2" t="s">
        <v>1493</v>
      </c>
      <c r="C560" s="2" t="s">
        <v>7179</v>
      </c>
      <c r="D560" s="2">
        <v>2012</v>
      </c>
      <c r="E560" s="2" t="s">
        <v>7139</v>
      </c>
      <c r="F560" s="2" t="s">
        <v>3527</v>
      </c>
      <c r="G560" s="2" t="s">
        <v>7192</v>
      </c>
      <c r="H560" s="2" t="s">
        <v>7141</v>
      </c>
      <c r="I560" s="2" t="s">
        <v>7142</v>
      </c>
      <c r="J560" s="2" t="s">
        <v>8551</v>
      </c>
    </row>
    <row r="561" spans="1:10">
      <c r="A561" s="2" t="s">
        <v>3528</v>
      </c>
      <c r="B561" s="2" t="s">
        <v>1493</v>
      </c>
      <c r="C561" s="2" t="s">
        <v>7138</v>
      </c>
      <c r="D561" s="2">
        <v>2014</v>
      </c>
      <c r="E561" s="2" t="s">
        <v>7139</v>
      </c>
      <c r="F561" s="2" t="s">
        <v>3529</v>
      </c>
      <c r="G561" s="2" t="s">
        <v>7192</v>
      </c>
      <c r="H561" s="2" t="s">
        <v>7579</v>
      </c>
      <c r="I561" s="2" t="s">
        <v>7143</v>
      </c>
    </row>
    <row r="562" spans="1:10">
      <c r="A562" s="2" t="s">
        <v>3530</v>
      </c>
      <c r="B562" s="2" t="s">
        <v>1899</v>
      </c>
      <c r="C562" s="2" t="s">
        <v>7138</v>
      </c>
      <c r="D562" s="2">
        <v>1969</v>
      </c>
      <c r="E562" s="2" t="s">
        <v>7180</v>
      </c>
      <c r="F562" s="2" t="s">
        <v>1901</v>
      </c>
      <c r="G562" s="2" t="s">
        <v>7140</v>
      </c>
      <c r="H562" s="2" t="s">
        <v>7141</v>
      </c>
      <c r="I562" s="2" t="s">
        <v>7142</v>
      </c>
      <c r="J562" s="2" t="s">
        <v>8533</v>
      </c>
    </row>
    <row r="563" spans="1:10">
      <c r="A563" s="2" t="s">
        <v>3531</v>
      </c>
      <c r="B563" s="2" t="s">
        <v>1899</v>
      </c>
      <c r="C563" s="2" t="s">
        <v>7138</v>
      </c>
      <c r="D563" s="2">
        <v>2001</v>
      </c>
      <c r="E563" s="2" t="s">
        <v>7180</v>
      </c>
      <c r="F563" s="2" t="s">
        <v>3532</v>
      </c>
      <c r="G563" s="2" t="s">
        <v>7192</v>
      </c>
      <c r="H563" s="2" t="s">
        <v>7428</v>
      </c>
      <c r="I563" s="2" t="s">
        <v>7143</v>
      </c>
    </row>
    <row r="564" spans="1:10">
      <c r="A564" s="2" t="s">
        <v>3533</v>
      </c>
      <c r="B564" s="2" t="s">
        <v>1899</v>
      </c>
      <c r="C564" s="2" t="s">
        <v>7179</v>
      </c>
      <c r="D564" s="2">
        <v>2006</v>
      </c>
      <c r="E564" s="2" t="s">
        <v>7180</v>
      </c>
      <c r="F564" s="2" t="s">
        <v>2492</v>
      </c>
      <c r="G564" s="2" t="s">
        <v>7192</v>
      </c>
      <c r="H564" s="2" t="s">
        <v>7428</v>
      </c>
      <c r="I564" s="2" t="s">
        <v>7143</v>
      </c>
    </row>
    <row r="565" spans="1:10">
      <c r="A565" s="2" t="s">
        <v>3534</v>
      </c>
      <c r="B565" s="2" t="s">
        <v>1899</v>
      </c>
      <c r="C565" s="2" t="s">
        <v>7179</v>
      </c>
      <c r="D565" s="2">
        <v>1982</v>
      </c>
      <c r="E565" s="2" t="s">
        <v>7180</v>
      </c>
      <c r="F565" s="2" t="s">
        <v>1900</v>
      </c>
      <c r="G565" s="2" t="s">
        <v>7181</v>
      </c>
      <c r="H565" s="2" t="s">
        <v>7141</v>
      </c>
      <c r="I565" s="2" t="s">
        <v>7142</v>
      </c>
      <c r="J565" s="2" t="s">
        <v>8538</v>
      </c>
    </row>
    <row r="566" spans="1:10">
      <c r="A566" s="2" t="s">
        <v>3535</v>
      </c>
      <c r="B566" s="2" t="s">
        <v>583</v>
      </c>
      <c r="C566" s="2" t="s">
        <v>7179</v>
      </c>
      <c r="D566" s="2">
        <v>1979</v>
      </c>
      <c r="E566" s="2" t="s">
        <v>7139</v>
      </c>
      <c r="F566" s="2" t="s">
        <v>3536</v>
      </c>
      <c r="G566" s="2" t="s">
        <v>7181</v>
      </c>
      <c r="H566" s="2" t="s">
        <v>7225</v>
      </c>
      <c r="I566" s="2" t="s">
        <v>7142</v>
      </c>
      <c r="J566" s="2" t="s">
        <v>8601</v>
      </c>
    </row>
    <row r="567" spans="1:10">
      <c r="A567" s="2" t="s">
        <v>3538</v>
      </c>
      <c r="B567" s="2" t="s">
        <v>1499</v>
      </c>
      <c r="C567" s="2" t="s">
        <v>7179</v>
      </c>
      <c r="D567" s="2">
        <v>2002</v>
      </c>
      <c r="E567" s="2" t="s">
        <v>7139</v>
      </c>
      <c r="F567" s="2" t="s">
        <v>1501</v>
      </c>
      <c r="G567" s="2" t="s">
        <v>7181</v>
      </c>
      <c r="H567" s="2" t="s">
        <v>7141</v>
      </c>
      <c r="I567" s="2" t="s">
        <v>7142</v>
      </c>
      <c r="J567" s="2" t="s">
        <v>8540</v>
      </c>
    </row>
    <row r="568" spans="1:10">
      <c r="A568" s="2" t="s">
        <v>3539</v>
      </c>
      <c r="B568" s="2" t="s">
        <v>1499</v>
      </c>
      <c r="C568" s="2" t="s">
        <v>7138</v>
      </c>
      <c r="D568" s="2">
        <v>1997</v>
      </c>
      <c r="E568" s="2" t="s">
        <v>7139</v>
      </c>
      <c r="F568" s="2" t="s">
        <v>1502</v>
      </c>
      <c r="G568" s="2" t="s">
        <v>7140</v>
      </c>
      <c r="H568" s="2" t="s">
        <v>7225</v>
      </c>
      <c r="I568" s="2" t="s">
        <v>7142</v>
      </c>
      <c r="J568" s="2" t="s">
        <v>8531</v>
      </c>
    </row>
    <row r="569" spans="1:10">
      <c r="A569" s="2" t="s">
        <v>3540</v>
      </c>
      <c r="B569" s="2" t="s">
        <v>1499</v>
      </c>
      <c r="C569" s="2" t="s">
        <v>7179</v>
      </c>
      <c r="D569" s="2">
        <v>2020</v>
      </c>
      <c r="E569" s="2" t="s">
        <v>7139</v>
      </c>
      <c r="F569" s="2" t="s">
        <v>3541</v>
      </c>
      <c r="G569" s="2" t="s">
        <v>7192</v>
      </c>
      <c r="H569" s="2" t="s">
        <v>7579</v>
      </c>
      <c r="I569" s="2" t="s">
        <v>7143</v>
      </c>
    </row>
    <row r="570" spans="1:10">
      <c r="A570" s="2" t="s">
        <v>3542</v>
      </c>
      <c r="B570" s="2" t="s">
        <v>1871</v>
      </c>
      <c r="C570" s="2" t="s">
        <v>7179</v>
      </c>
      <c r="D570" s="2">
        <v>1998</v>
      </c>
      <c r="E570" s="2" t="s">
        <v>7180</v>
      </c>
      <c r="F570" s="2" t="s">
        <v>3543</v>
      </c>
      <c r="G570" s="2" t="s">
        <v>7192</v>
      </c>
      <c r="H570" s="2" t="s">
        <v>7428</v>
      </c>
      <c r="I570" s="2" t="s">
        <v>7143</v>
      </c>
    </row>
    <row r="571" spans="1:10">
      <c r="A571" s="2" t="s">
        <v>3544</v>
      </c>
      <c r="B571" s="2" t="s">
        <v>1871</v>
      </c>
      <c r="C571" s="2" t="s">
        <v>7179</v>
      </c>
      <c r="D571" s="2">
        <v>1975</v>
      </c>
      <c r="E571" s="2" t="s">
        <v>7180</v>
      </c>
      <c r="F571" s="2" t="s">
        <v>1872</v>
      </c>
      <c r="G571" s="2" t="s">
        <v>7181</v>
      </c>
      <c r="H571" s="2" t="s">
        <v>7141</v>
      </c>
      <c r="I571" s="2" t="s">
        <v>7142</v>
      </c>
      <c r="J571" s="2" t="s">
        <v>8538</v>
      </c>
    </row>
    <row r="572" spans="1:10">
      <c r="A572" s="2" t="s">
        <v>3545</v>
      </c>
      <c r="B572" s="2" t="s">
        <v>1871</v>
      </c>
      <c r="C572" s="2" t="s">
        <v>7138</v>
      </c>
      <c r="D572" s="2">
        <v>2013</v>
      </c>
      <c r="E572" s="2" t="s">
        <v>7180</v>
      </c>
      <c r="F572" s="2" t="s">
        <v>3546</v>
      </c>
      <c r="G572" s="2" t="s">
        <v>7192</v>
      </c>
      <c r="H572" s="2" t="s">
        <v>7141</v>
      </c>
      <c r="I572" s="2" t="s">
        <v>7143</v>
      </c>
    </row>
    <row r="573" spans="1:10">
      <c r="A573" s="2" t="s">
        <v>3547</v>
      </c>
      <c r="B573" s="2" t="s">
        <v>1871</v>
      </c>
      <c r="C573" s="2" t="s">
        <v>7179</v>
      </c>
      <c r="D573" s="2">
        <v>2005</v>
      </c>
      <c r="E573" s="2" t="s">
        <v>7180</v>
      </c>
      <c r="F573" s="2" t="s">
        <v>3548</v>
      </c>
      <c r="G573" s="2" t="s">
        <v>7192</v>
      </c>
      <c r="H573" s="2" t="s">
        <v>7450</v>
      </c>
      <c r="I573" s="2" t="s">
        <v>7143</v>
      </c>
    </row>
    <row r="574" spans="1:10">
      <c r="A574" s="2" t="s">
        <v>3549</v>
      </c>
      <c r="B574" s="2" t="s">
        <v>1871</v>
      </c>
      <c r="C574" s="2" t="s">
        <v>7138</v>
      </c>
      <c r="D574" s="2">
        <v>1974</v>
      </c>
      <c r="E574" s="2" t="s">
        <v>7180</v>
      </c>
      <c r="F574" s="2" t="s">
        <v>3550</v>
      </c>
      <c r="G574" s="2" t="s">
        <v>7140</v>
      </c>
      <c r="H574" s="2" t="s">
        <v>7141</v>
      </c>
      <c r="I574" s="2" t="s">
        <v>7142</v>
      </c>
      <c r="J574" s="2" t="s">
        <v>8533</v>
      </c>
    </row>
    <row r="575" spans="1:10">
      <c r="A575" s="2" t="s">
        <v>3551</v>
      </c>
      <c r="B575" s="2" t="s">
        <v>1547</v>
      </c>
      <c r="C575" s="2" t="s">
        <v>7179</v>
      </c>
      <c r="D575" s="2">
        <v>1988</v>
      </c>
      <c r="E575" s="2" t="s">
        <v>7139</v>
      </c>
      <c r="F575" s="2" t="s">
        <v>3552</v>
      </c>
      <c r="G575" s="2" t="s">
        <v>7181</v>
      </c>
      <c r="H575" s="2" t="s">
        <v>7225</v>
      </c>
      <c r="I575" s="2" t="s">
        <v>7142</v>
      </c>
      <c r="J575" s="2" t="s">
        <v>8540</v>
      </c>
    </row>
    <row r="576" spans="1:10">
      <c r="A576" s="2" t="s">
        <v>3553</v>
      </c>
      <c r="B576" s="2" t="s">
        <v>1547</v>
      </c>
      <c r="C576" s="2" t="s">
        <v>7138</v>
      </c>
      <c r="D576" s="2">
        <v>1978</v>
      </c>
      <c r="E576" s="2" t="s">
        <v>7139</v>
      </c>
      <c r="F576" s="2" t="s">
        <v>1549</v>
      </c>
      <c r="G576" s="2" t="s">
        <v>7140</v>
      </c>
      <c r="H576" s="2" t="s">
        <v>7395</v>
      </c>
      <c r="I576" s="2" t="s">
        <v>7142</v>
      </c>
      <c r="J576" s="2" t="s">
        <v>8532</v>
      </c>
    </row>
    <row r="577" spans="1:10">
      <c r="A577" s="2" t="s">
        <v>3554</v>
      </c>
      <c r="B577" s="2" t="s">
        <v>1547</v>
      </c>
      <c r="C577" s="2" t="s">
        <v>7179</v>
      </c>
      <c r="D577" s="2">
        <v>2011</v>
      </c>
      <c r="E577" s="2" t="s">
        <v>7139</v>
      </c>
      <c r="F577" s="2" t="s">
        <v>3555</v>
      </c>
      <c r="G577" s="2" t="s">
        <v>7192</v>
      </c>
      <c r="H577" s="2" t="s">
        <v>7141</v>
      </c>
      <c r="I577" s="2" t="s">
        <v>7142</v>
      </c>
      <c r="J577" s="2" t="s">
        <v>8551</v>
      </c>
    </row>
    <row r="578" spans="1:10">
      <c r="A578" s="2" t="s">
        <v>3556</v>
      </c>
      <c r="B578" s="2" t="s">
        <v>1547</v>
      </c>
      <c r="C578" s="2" t="s">
        <v>7138</v>
      </c>
      <c r="D578" s="2">
        <v>2019</v>
      </c>
      <c r="E578" s="2" t="s">
        <v>7139</v>
      </c>
      <c r="F578" s="2" t="s">
        <v>3557</v>
      </c>
      <c r="G578" s="2" t="s">
        <v>7192</v>
      </c>
      <c r="H578" s="2" t="s">
        <v>7579</v>
      </c>
      <c r="I578" s="2" t="s">
        <v>7143</v>
      </c>
    </row>
    <row r="579" spans="1:10">
      <c r="A579" s="2" t="s">
        <v>3558</v>
      </c>
      <c r="B579" s="2" t="s">
        <v>1547</v>
      </c>
      <c r="C579" s="2" t="s">
        <v>7138</v>
      </c>
      <c r="D579" s="2">
        <v>2007</v>
      </c>
      <c r="E579" s="2" t="s">
        <v>7139</v>
      </c>
      <c r="F579" s="2" t="s">
        <v>3559</v>
      </c>
      <c r="G579" s="2" t="s">
        <v>7192</v>
      </c>
      <c r="H579" s="2" t="s">
        <v>7225</v>
      </c>
      <c r="I579" s="2" t="s">
        <v>7142</v>
      </c>
      <c r="J579" s="2" t="s">
        <v>8531</v>
      </c>
    </row>
    <row r="580" spans="1:10">
      <c r="A580" s="2" t="s">
        <v>3560</v>
      </c>
      <c r="B580" s="2" t="s">
        <v>1547</v>
      </c>
      <c r="C580" s="2" t="s">
        <v>7179</v>
      </c>
      <c r="D580" s="2">
        <v>2013</v>
      </c>
      <c r="E580" s="2" t="s">
        <v>7139</v>
      </c>
      <c r="F580" s="2" t="s">
        <v>3478</v>
      </c>
      <c r="G580" s="2" t="s">
        <v>7192</v>
      </c>
      <c r="H580" s="2" t="s">
        <v>7141</v>
      </c>
      <c r="I580" s="2" t="s">
        <v>7142</v>
      </c>
      <c r="J580" s="2" t="s">
        <v>8551</v>
      </c>
    </row>
    <row r="581" spans="1:10">
      <c r="A581" s="2" t="s">
        <v>3561</v>
      </c>
      <c r="B581" s="2" t="s">
        <v>1838</v>
      </c>
      <c r="C581" s="2" t="s">
        <v>7138</v>
      </c>
      <c r="D581" s="2">
        <v>2006</v>
      </c>
      <c r="E581" s="2" t="s">
        <v>7180</v>
      </c>
      <c r="F581" s="2" t="s">
        <v>3562</v>
      </c>
      <c r="G581" s="2" t="s">
        <v>7192</v>
      </c>
      <c r="H581" s="2" t="s">
        <v>7182</v>
      </c>
      <c r="I581" s="2" t="s">
        <v>7143</v>
      </c>
    </row>
    <row r="582" spans="1:10">
      <c r="A582" s="2" t="s">
        <v>3563</v>
      </c>
      <c r="B582" s="2" t="s">
        <v>1838</v>
      </c>
      <c r="C582" s="2" t="s">
        <v>7138</v>
      </c>
      <c r="D582" s="2">
        <v>2001</v>
      </c>
      <c r="E582" s="2" t="s">
        <v>7180</v>
      </c>
      <c r="F582" s="2" t="s">
        <v>3564</v>
      </c>
      <c r="G582" s="2" t="s">
        <v>7192</v>
      </c>
      <c r="H582" s="2" t="s">
        <v>7182</v>
      </c>
      <c r="I582" s="2" t="s">
        <v>7143</v>
      </c>
    </row>
    <row r="583" spans="1:10">
      <c r="A583" s="2" t="s">
        <v>3565</v>
      </c>
      <c r="B583" s="2" t="s">
        <v>1838</v>
      </c>
      <c r="C583" s="2" t="s">
        <v>7179</v>
      </c>
      <c r="D583" s="2">
        <v>1978</v>
      </c>
      <c r="E583" s="2" t="s">
        <v>7180</v>
      </c>
      <c r="F583" s="2" t="s">
        <v>1839</v>
      </c>
      <c r="G583" s="2" t="s">
        <v>7181</v>
      </c>
      <c r="H583" s="2" t="s">
        <v>7141</v>
      </c>
      <c r="I583" s="2" t="s">
        <v>7142</v>
      </c>
      <c r="J583" s="2" t="s">
        <v>8538</v>
      </c>
    </row>
    <row r="584" spans="1:10">
      <c r="A584" s="2" t="s">
        <v>3566</v>
      </c>
      <c r="B584" s="2" t="s">
        <v>1838</v>
      </c>
      <c r="C584" s="2" t="s">
        <v>7138</v>
      </c>
      <c r="D584" s="2">
        <v>1977</v>
      </c>
      <c r="E584" s="2" t="s">
        <v>7180</v>
      </c>
      <c r="F584" s="2" t="s">
        <v>1840</v>
      </c>
      <c r="G584" s="2" t="s">
        <v>7140</v>
      </c>
      <c r="H584" s="2" t="s">
        <v>7141</v>
      </c>
      <c r="I584" s="2" t="s">
        <v>7142</v>
      </c>
      <c r="J584" s="2" t="s">
        <v>8533</v>
      </c>
    </row>
    <row r="585" spans="1:10">
      <c r="A585" s="2" t="s">
        <v>3567</v>
      </c>
      <c r="B585" s="2" t="s">
        <v>1570</v>
      </c>
      <c r="C585" s="2" t="s">
        <v>7138</v>
      </c>
      <c r="D585" s="2">
        <v>1993</v>
      </c>
      <c r="E585" s="2" t="s">
        <v>7139</v>
      </c>
      <c r="F585" s="2" t="s">
        <v>1573</v>
      </c>
      <c r="G585" s="2" t="s">
        <v>7140</v>
      </c>
      <c r="H585" s="2" t="s">
        <v>7225</v>
      </c>
      <c r="I585" s="2" t="s">
        <v>7142</v>
      </c>
      <c r="J585" s="2" t="s">
        <v>8531</v>
      </c>
    </row>
    <row r="586" spans="1:10">
      <c r="A586" s="2" t="s">
        <v>3568</v>
      </c>
      <c r="B586" s="2" t="s">
        <v>1570</v>
      </c>
      <c r="C586" s="2" t="s">
        <v>7179</v>
      </c>
      <c r="D586" s="2">
        <v>1994</v>
      </c>
      <c r="E586" s="2" t="s">
        <v>7139</v>
      </c>
      <c r="F586" s="2" t="s">
        <v>1572</v>
      </c>
      <c r="G586" s="2" t="s">
        <v>7181</v>
      </c>
      <c r="H586" s="2" t="s">
        <v>7141</v>
      </c>
      <c r="I586" s="2" t="s">
        <v>7142</v>
      </c>
      <c r="J586" s="2" t="s">
        <v>8533</v>
      </c>
    </row>
    <row r="587" spans="1:10">
      <c r="A587" s="2" t="s">
        <v>3569</v>
      </c>
      <c r="B587" s="2" t="s">
        <v>1570</v>
      </c>
      <c r="C587" s="2" t="s">
        <v>7179</v>
      </c>
      <c r="D587" s="2">
        <v>2025</v>
      </c>
      <c r="E587" s="2" t="s">
        <v>7139</v>
      </c>
      <c r="F587" s="2" t="s">
        <v>3570</v>
      </c>
      <c r="G587" s="2" t="s">
        <v>7192</v>
      </c>
      <c r="H587" s="2" t="s">
        <v>7579</v>
      </c>
      <c r="I587" s="2" t="s">
        <v>7143</v>
      </c>
    </row>
    <row r="588" spans="1:10">
      <c r="A588" s="2" t="s">
        <v>3571</v>
      </c>
      <c r="B588" s="2" t="s">
        <v>1570</v>
      </c>
      <c r="C588" s="2" t="s">
        <v>7179</v>
      </c>
      <c r="D588" s="2">
        <v>2013</v>
      </c>
      <c r="E588" s="2" t="s">
        <v>7139</v>
      </c>
      <c r="F588" s="2" t="s">
        <v>3572</v>
      </c>
      <c r="G588" s="2" t="s">
        <v>7192</v>
      </c>
      <c r="H588" s="2" t="s">
        <v>7579</v>
      </c>
      <c r="I588" s="2" t="s">
        <v>7143</v>
      </c>
    </row>
    <row r="589" spans="1:10">
      <c r="A589" s="2" t="s">
        <v>3573</v>
      </c>
      <c r="B589" s="2" t="s">
        <v>472</v>
      </c>
      <c r="C589" s="2" t="s">
        <v>7179</v>
      </c>
      <c r="D589" s="2">
        <v>1991</v>
      </c>
      <c r="E589" s="2" t="s">
        <v>7139</v>
      </c>
      <c r="F589" s="2" t="s">
        <v>474</v>
      </c>
      <c r="G589" s="2" t="s">
        <v>7192</v>
      </c>
      <c r="H589" s="2" t="s">
        <v>7141</v>
      </c>
      <c r="I589" s="2" t="s">
        <v>7142</v>
      </c>
      <c r="J589" s="2" t="s">
        <v>8589</v>
      </c>
    </row>
    <row r="590" spans="1:10">
      <c r="A590" s="2" t="s">
        <v>3574</v>
      </c>
      <c r="B590" s="2" t="s">
        <v>1792</v>
      </c>
      <c r="C590" s="2" t="s">
        <v>7138</v>
      </c>
      <c r="D590" s="2">
        <v>2001</v>
      </c>
      <c r="E590" s="2" t="s">
        <v>7180</v>
      </c>
      <c r="F590" s="2" t="s">
        <v>1793</v>
      </c>
      <c r="G590" s="2" t="s">
        <v>7192</v>
      </c>
      <c r="H590" s="2" t="s">
        <v>7141</v>
      </c>
      <c r="I590" s="2" t="s">
        <v>7142</v>
      </c>
      <c r="J590" s="2" t="s">
        <v>8602</v>
      </c>
    </row>
    <row r="591" spans="1:10">
      <c r="A591" s="2" t="s">
        <v>3576</v>
      </c>
      <c r="B591" s="2" t="s">
        <v>1792</v>
      </c>
      <c r="C591" s="2" t="s">
        <v>7138</v>
      </c>
      <c r="D591" s="2">
        <v>2000</v>
      </c>
      <c r="E591" s="2" t="s">
        <v>7180</v>
      </c>
      <c r="F591" s="2" t="s">
        <v>3577</v>
      </c>
      <c r="G591" s="2" t="s">
        <v>7192</v>
      </c>
      <c r="H591" s="2" t="s">
        <v>7182</v>
      </c>
      <c r="I591" s="2" t="s">
        <v>7142</v>
      </c>
      <c r="J591" s="2" t="s">
        <v>8530</v>
      </c>
    </row>
    <row r="592" spans="1:10">
      <c r="A592" s="2" t="s">
        <v>3578</v>
      </c>
      <c r="B592" s="2" t="s">
        <v>1792</v>
      </c>
      <c r="C592" s="2" t="s">
        <v>7138</v>
      </c>
      <c r="D592" s="2">
        <v>1974</v>
      </c>
      <c r="E592" s="2" t="s">
        <v>7180</v>
      </c>
      <c r="F592" s="2" t="s">
        <v>1794</v>
      </c>
      <c r="G592" s="2" t="s">
        <v>7140</v>
      </c>
      <c r="H592" s="2" t="s">
        <v>7141</v>
      </c>
      <c r="I592" s="2" t="s">
        <v>7142</v>
      </c>
      <c r="J592" s="2" t="s">
        <v>8533</v>
      </c>
    </row>
    <row r="593" spans="1:10">
      <c r="A593" s="2" t="s">
        <v>3579</v>
      </c>
      <c r="B593" s="2" t="s">
        <v>472</v>
      </c>
      <c r="C593" s="2" t="s">
        <v>7138</v>
      </c>
      <c r="D593" s="2">
        <v>1991</v>
      </c>
      <c r="E593" s="2" t="s">
        <v>7139</v>
      </c>
      <c r="F593" s="2" t="s">
        <v>3580</v>
      </c>
      <c r="G593" s="2" t="s">
        <v>7192</v>
      </c>
      <c r="H593" s="2" t="s">
        <v>7141</v>
      </c>
      <c r="I593" s="2" t="s">
        <v>7142</v>
      </c>
      <c r="J593" s="2" t="s">
        <v>8533</v>
      </c>
    </row>
    <row r="594" spans="1:10">
      <c r="A594" s="2" t="s">
        <v>3581</v>
      </c>
      <c r="B594" s="2" t="s">
        <v>1792</v>
      </c>
      <c r="C594" s="2" t="s">
        <v>7138</v>
      </c>
      <c r="D594" s="2">
        <v>1980</v>
      </c>
      <c r="E594" s="2" t="s">
        <v>7180</v>
      </c>
      <c r="F594" s="2" t="s">
        <v>1801</v>
      </c>
      <c r="G594" s="2" t="s">
        <v>7181</v>
      </c>
      <c r="H594" s="2" t="s">
        <v>7141</v>
      </c>
      <c r="I594" s="2" t="s">
        <v>7142</v>
      </c>
      <c r="J594" s="2" t="s">
        <v>8538</v>
      </c>
    </row>
    <row r="595" spans="1:10">
      <c r="A595" s="2" t="s">
        <v>3582</v>
      </c>
      <c r="B595" s="2" t="s">
        <v>1589</v>
      </c>
      <c r="C595" s="2" t="s">
        <v>7138</v>
      </c>
      <c r="D595" s="2">
        <v>1996</v>
      </c>
      <c r="E595" s="2" t="s">
        <v>7139</v>
      </c>
      <c r="F595" s="2" t="s">
        <v>1591</v>
      </c>
      <c r="G595" s="2" t="s">
        <v>7140</v>
      </c>
      <c r="H595" s="2" t="s">
        <v>7182</v>
      </c>
      <c r="I595" s="2" t="s">
        <v>7142</v>
      </c>
      <c r="J595" s="2" t="s">
        <v>8533</v>
      </c>
    </row>
    <row r="596" spans="1:10">
      <c r="A596" s="2" t="s">
        <v>3583</v>
      </c>
      <c r="B596" s="2" t="s">
        <v>1589</v>
      </c>
      <c r="C596" s="2" t="s">
        <v>7179</v>
      </c>
      <c r="D596" s="2">
        <v>1996</v>
      </c>
      <c r="E596" s="2" t="s">
        <v>7139</v>
      </c>
      <c r="F596" s="2" t="s">
        <v>3584</v>
      </c>
      <c r="G596" s="2" t="s">
        <v>7181</v>
      </c>
      <c r="H596" s="2" t="s">
        <v>7182</v>
      </c>
      <c r="I596" s="2" t="s">
        <v>7142</v>
      </c>
      <c r="J596" s="2" t="s">
        <v>8555</v>
      </c>
    </row>
    <row r="597" spans="1:10">
      <c r="A597" s="2" t="s">
        <v>3585</v>
      </c>
      <c r="B597" s="2" t="s">
        <v>1589</v>
      </c>
      <c r="C597" s="2" t="s">
        <v>7138</v>
      </c>
      <c r="D597" s="2">
        <v>2019</v>
      </c>
      <c r="E597" s="2" t="s">
        <v>7139</v>
      </c>
      <c r="F597" s="2" t="s">
        <v>3586</v>
      </c>
      <c r="G597" s="2" t="s">
        <v>7192</v>
      </c>
      <c r="H597" s="2" t="s">
        <v>7579</v>
      </c>
      <c r="I597" s="2" t="s">
        <v>7143</v>
      </c>
    </row>
    <row r="598" spans="1:10">
      <c r="A598" s="2" t="s">
        <v>3587</v>
      </c>
      <c r="B598" s="2" t="s">
        <v>1589</v>
      </c>
      <c r="C598" s="2" t="s">
        <v>7179</v>
      </c>
      <c r="D598" s="2">
        <v>2017</v>
      </c>
      <c r="E598" s="2" t="s">
        <v>7139</v>
      </c>
      <c r="F598" s="2" t="s">
        <v>3588</v>
      </c>
      <c r="G598" s="2" t="s">
        <v>7192</v>
      </c>
      <c r="H598" s="2" t="s">
        <v>7579</v>
      </c>
      <c r="I598" s="2" t="s">
        <v>7143</v>
      </c>
    </row>
    <row r="599" spans="1:10">
      <c r="A599" s="2" t="s">
        <v>3589</v>
      </c>
      <c r="B599" s="2" t="s">
        <v>1727</v>
      </c>
      <c r="C599" s="2" t="s">
        <v>7179</v>
      </c>
      <c r="D599" s="2">
        <v>1976</v>
      </c>
      <c r="E599" s="2" t="s">
        <v>7180</v>
      </c>
      <c r="F599" s="2" t="s">
        <v>1728</v>
      </c>
      <c r="G599" s="2" t="s">
        <v>7181</v>
      </c>
      <c r="H599" s="2" t="s">
        <v>7141</v>
      </c>
      <c r="I599" s="2" t="s">
        <v>7142</v>
      </c>
      <c r="J599" s="2" t="s">
        <v>8579</v>
      </c>
    </row>
    <row r="600" spans="1:10">
      <c r="A600" s="2" t="s">
        <v>3590</v>
      </c>
      <c r="B600" s="2" t="s">
        <v>1727</v>
      </c>
      <c r="C600" s="2" t="s">
        <v>7138</v>
      </c>
      <c r="D600" s="2">
        <v>1976</v>
      </c>
      <c r="E600" s="2" t="s">
        <v>7180</v>
      </c>
      <c r="F600" s="2" t="s">
        <v>3591</v>
      </c>
      <c r="G600" s="2" t="s">
        <v>7140</v>
      </c>
      <c r="H600" s="2" t="s">
        <v>7141</v>
      </c>
      <c r="I600" s="2" t="s">
        <v>7142</v>
      </c>
      <c r="J600" s="2" t="s">
        <v>8533</v>
      </c>
    </row>
    <row r="601" spans="1:10">
      <c r="A601" s="2" t="s">
        <v>3592</v>
      </c>
      <c r="B601" s="2" t="s">
        <v>1727</v>
      </c>
      <c r="C601" s="2" t="s">
        <v>7179</v>
      </c>
      <c r="D601" s="2">
        <v>2003</v>
      </c>
      <c r="E601" s="2" t="s">
        <v>7180</v>
      </c>
      <c r="F601" s="2" t="s">
        <v>3593</v>
      </c>
      <c r="G601" s="2" t="s">
        <v>7192</v>
      </c>
      <c r="H601" s="2" t="s">
        <v>7182</v>
      </c>
      <c r="I601" s="2" t="s">
        <v>7143</v>
      </c>
    </row>
    <row r="602" spans="1:10">
      <c r="A602" s="2" t="s">
        <v>3594</v>
      </c>
      <c r="B602" s="2" t="s">
        <v>491</v>
      </c>
      <c r="C602" s="2" t="s">
        <v>7138</v>
      </c>
      <c r="D602" s="2">
        <v>1974</v>
      </c>
      <c r="E602" s="2" t="s">
        <v>7139</v>
      </c>
      <c r="F602" s="2" t="s">
        <v>493</v>
      </c>
      <c r="G602" s="2" t="s">
        <v>7140</v>
      </c>
      <c r="H602" s="2" t="s">
        <v>7225</v>
      </c>
      <c r="I602" s="2" t="s">
        <v>7142</v>
      </c>
      <c r="J602" s="2" t="s">
        <v>8533</v>
      </c>
    </row>
    <row r="603" spans="1:10">
      <c r="A603" s="2" t="s">
        <v>3595</v>
      </c>
      <c r="B603" s="2" t="s">
        <v>491</v>
      </c>
      <c r="C603" s="2" t="s">
        <v>7179</v>
      </c>
      <c r="D603" s="2">
        <v>1975</v>
      </c>
      <c r="E603" s="2" t="s">
        <v>7139</v>
      </c>
      <c r="F603" s="2" t="s">
        <v>3596</v>
      </c>
      <c r="G603" s="2" t="s">
        <v>7181</v>
      </c>
      <c r="H603" s="2" t="s">
        <v>7225</v>
      </c>
      <c r="I603" s="2" t="s">
        <v>7142</v>
      </c>
      <c r="J603" s="2" t="s">
        <v>8589</v>
      </c>
    </row>
    <row r="604" spans="1:10">
      <c r="A604" s="2" t="s">
        <v>3597</v>
      </c>
      <c r="B604" s="2" t="s">
        <v>1769</v>
      </c>
      <c r="C604" s="2" t="s">
        <v>7179</v>
      </c>
      <c r="D604" s="2">
        <v>1980</v>
      </c>
      <c r="E604" s="2" t="s">
        <v>7180</v>
      </c>
      <c r="F604" s="2" t="s">
        <v>1770</v>
      </c>
      <c r="G604" s="2" t="s">
        <v>7181</v>
      </c>
      <c r="H604" s="2" t="s">
        <v>7141</v>
      </c>
      <c r="I604" s="2" t="s">
        <v>7142</v>
      </c>
      <c r="J604" s="2" t="s">
        <v>8538</v>
      </c>
    </row>
    <row r="605" spans="1:10">
      <c r="A605" s="2" t="s">
        <v>3598</v>
      </c>
      <c r="B605" s="2" t="s">
        <v>1769</v>
      </c>
      <c r="C605" s="2" t="s">
        <v>7179</v>
      </c>
      <c r="D605" s="2">
        <v>2007</v>
      </c>
      <c r="E605" s="2" t="s">
        <v>7180</v>
      </c>
      <c r="F605" s="2" t="s">
        <v>1879</v>
      </c>
      <c r="G605" s="2" t="s">
        <v>7192</v>
      </c>
      <c r="H605" s="2" t="s">
        <v>7428</v>
      </c>
      <c r="I605" s="2" t="s">
        <v>7143</v>
      </c>
    </row>
    <row r="606" spans="1:10">
      <c r="A606" s="2" t="s">
        <v>3599</v>
      </c>
      <c r="B606" s="2" t="s">
        <v>1769</v>
      </c>
      <c r="C606" s="2" t="s">
        <v>7138</v>
      </c>
      <c r="D606" s="2">
        <v>1974</v>
      </c>
      <c r="E606" s="2" t="s">
        <v>7180</v>
      </c>
      <c r="F606" s="2" t="s">
        <v>1771</v>
      </c>
      <c r="G606" s="2" t="s">
        <v>7140</v>
      </c>
      <c r="H606" s="2" t="s">
        <v>7141</v>
      </c>
      <c r="I606" s="2" t="s">
        <v>7142</v>
      </c>
      <c r="J606" s="2" t="s">
        <v>8533</v>
      </c>
    </row>
    <row r="607" spans="1:10">
      <c r="A607" s="2" t="s">
        <v>3600</v>
      </c>
      <c r="B607" s="2" t="s">
        <v>1769</v>
      </c>
      <c r="C607" s="2" t="s">
        <v>7138</v>
      </c>
      <c r="D607" s="2">
        <v>2002</v>
      </c>
      <c r="E607" s="2" t="s">
        <v>7180</v>
      </c>
      <c r="F607" s="2" t="s">
        <v>3601</v>
      </c>
      <c r="G607" s="2" t="s">
        <v>7192</v>
      </c>
      <c r="H607" s="2" t="s">
        <v>7182</v>
      </c>
      <c r="I607" s="2" t="s">
        <v>7143</v>
      </c>
    </row>
    <row r="608" spans="1:10">
      <c r="A608" s="2" t="s">
        <v>3602</v>
      </c>
      <c r="B608" s="2" t="s">
        <v>1672</v>
      </c>
      <c r="C608" s="2" t="s">
        <v>7179</v>
      </c>
      <c r="D608" s="2">
        <v>2013</v>
      </c>
      <c r="E608" s="2" t="s">
        <v>7180</v>
      </c>
      <c r="F608" s="2" t="s">
        <v>3221</v>
      </c>
      <c r="G608" s="2" t="s">
        <v>7192</v>
      </c>
      <c r="H608" s="2" t="s">
        <v>7579</v>
      </c>
      <c r="I608" s="2" t="s">
        <v>7143</v>
      </c>
    </row>
    <row r="609" spans="1:10">
      <c r="A609" s="2" t="s">
        <v>3603</v>
      </c>
      <c r="B609" s="2" t="s">
        <v>1672</v>
      </c>
      <c r="C609" s="2" t="s">
        <v>7138</v>
      </c>
      <c r="D609" s="2">
        <v>2004</v>
      </c>
      <c r="E609" s="2" t="s">
        <v>7180</v>
      </c>
      <c r="F609" s="2" t="s">
        <v>3604</v>
      </c>
      <c r="G609" s="2" t="s">
        <v>7192</v>
      </c>
      <c r="H609" s="2" t="s">
        <v>7182</v>
      </c>
      <c r="I609" s="2" t="s">
        <v>7143</v>
      </c>
    </row>
    <row r="610" spans="1:10">
      <c r="A610" s="2" t="s">
        <v>3605</v>
      </c>
      <c r="B610" s="2" t="s">
        <v>1672</v>
      </c>
      <c r="C610" s="2" t="s">
        <v>7138</v>
      </c>
      <c r="D610" s="2">
        <v>1976</v>
      </c>
      <c r="E610" s="2" t="s">
        <v>7180</v>
      </c>
      <c r="F610" s="2" t="s">
        <v>1675</v>
      </c>
      <c r="G610" s="2" t="s">
        <v>7140</v>
      </c>
      <c r="H610" s="2" t="s">
        <v>7182</v>
      </c>
      <c r="I610" s="2" t="s">
        <v>7142</v>
      </c>
      <c r="J610" s="2" t="s">
        <v>8580</v>
      </c>
    </row>
    <row r="611" spans="1:10">
      <c r="A611" s="2" t="s">
        <v>3606</v>
      </c>
      <c r="B611" s="2" t="s">
        <v>1672</v>
      </c>
      <c r="C611" s="2" t="s">
        <v>7179</v>
      </c>
      <c r="D611" s="2">
        <v>1999</v>
      </c>
      <c r="E611" s="2" t="s">
        <v>7180</v>
      </c>
      <c r="F611" s="2" t="s">
        <v>3607</v>
      </c>
      <c r="G611" s="2" t="s">
        <v>7192</v>
      </c>
      <c r="H611" s="2" t="s">
        <v>7428</v>
      </c>
      <c r="I611" s="2" t="s">
        <v>7143</v>
      </c>
    </row>
    <row r="612" spans="1:10">
      <c r="A612" s="2" t="s">
        <v>3608</v>
      </c>
      <c r="B612" s="2" t="s">
        <v>1672</v>
      </c>
      <c r="C612" s="2" t="s">
        <v>7179</v>
      </c>
      <c r="D612" s="2">
        <v>1978</v>
      </c>
      <c r="E612" s="2" t="s">
        <v>7180</v>
      </c>
      <c r="F612" s="2" t="s">
        <v>1785</v>
      </c>
      <c r="G612" s="2" t="s">
        <v>7181</v>
      </c>
      <c r="H612" s="2" t="s">
        <v>7141</v>
      </c>
      <c r="I612" s="2" t="s">
        <v>7142</v>
      </c>
      <c r="J612" s="2" t="s">
        <v>8538</v>
      </c>
    </row>
    <row r="613" spans="1:10">
      <c r="A613" s="2" t="s">
        <v>3609</v>
      </c>
      <c r="B613" s="2" t="s">
        <v>1691</v>
      </c>
      <c r="C613" s="2" t="s">
        <v>7179</v>
      </c>
      <c r="D613" s="2">
        <v>1975</v>
      </c>
      <c r="E613" s="2" t="s">
        <v>7180</v>
      </c>
      <c r="F613" s="2" t="s">
        <v>1693</v>
      </c>
      <c r="G613" s="2" t="s">
        <v>7140</v>
      </c>
      <c r="H613" s="2" t="s">
        <v>7141</v>
      </c>
      <c r="I613" s="2" t="s">
        <v>7142</v>
      </c>
      <c r="J613" s="2" t="s">
        <v>8579</v>
      </c>
    </row>
    <row r="614" spans="1:10">
      <c r="A614" s="2" t="s">
        <v>3610</v>
      </c>
      <c r="B614" s="2" t="s">
        <v>1691</v>
      </c>
      <c r="C614" s="2" t="s">
        <v>7138</v>
      </c>
      <c r="D614" s="2">
        <v>1974</v>
      </c>
      <c r="E614" s="2" t="s">
        <v>7180</v>
      </c>
      <c r="F614" s="2" t="s">
        <v>3611</v>
      </c>
      <c r="G614" s="2" t="s">
        <v>7181</v>
      </c>
      <c r="H614" s="2" t="s">
        <v>7141</v>
      </c>
      <c r="I614" s="2" t="s">
        <v>7142</v>
      </c>
      <c r="J614" s="2" t="s">
        <v>8533</v>
      </c>
    </row>
    <row r="615" spans="1:10">
      <c r="A615" s="2" t="s">
        <v>3612</v>
      </c>
      <c r="B615" s="2" t="s">
        <v>1691</v>
      </c>
      <c r="C615" s="2" t="s">
        <v>7138</v>
      </c>
      <c r="D615" s="2">
        <v>2005</v>
      </c>
      <c r="E615" s="2" t="s">
        <v>7180</v>
      </c>
      <c r="F615" s="2" t="s">
        <v>3613</v>
      </c>
      <c r="G615" s="2" t="s">
        <v>7192</v>
      </c>
      <c r="H615" s="2" t="s">
        <v>8308</v>
      </c>
      <c r="I615" s="2" t="s">
        <v>7143</v>
      </c>
    </row>
    <row r="616" spans="1:10">
      <c r="A616" s="2" t="s">
        <v>3614</v>
      </c>
      <c r="B616" s="2" t="s">
        <v>1691</v>
      </c>
      <c r="C616" s="2" t="s">
        <v>7138</v>
      </c>
      <c r="D616" s="2">
        <v>2001</v>
      </c>
      <c r="E616" s="2" t="s">
        <v>7180</v>
      </c>
      <c r="F616" s="2" t="s">
        <v>3615</v>
      </c>
      <c r="G616" s="2" t="s">
        <v>7192</v>
      </c>
      <c r="H616" s="2" t="s">
        <v>7428</v>
      </c>
      <c r="I616" s="2" t="s">
        <v>7143</v>
      </c>
    </row>
    <row r="617" spans="1:10">
      <c r="A617" s="2" t="s">
        <v>3616</v>
      </c>
      <c r="B617" s="2" t="s">
        <v>1700</v>
      </c>
      <c r="C617" s="2" t="s">
        <v>7138</v>
      </c>
      <c r="D617" s="2">
        <v>1976</v>
      </c>
      <c r="E617" s="2" t="s">
        <v>7180</v>
      </c>
      <c r="F617" s="2" t="s">
        <v>3617</v>
      </c>
      <c r="G617" s="2" t="s">
        <v>7181</v>
      </c>
      <c r="H617" s="2" t="s">
        <v>7141</v>
      </c>
      <c r="I617" s="2" t="s">
        <v>7142</v>
      </c>
      <c r="J617" s="2" t="s">
        <v>8555</v>
      </c>
    </row>
    <row r="618" spans="1:10">
      <c r="A618" s="2" t="s">
        <v>3618</v>
      </c>
      <c r="B618" s="2" t="s">
        <v>1700</v>
      </c>
      <c r="C618" s="2" t="s">
        <v>7179</v>
      </c>
      <c r="D618" s="2">
        <v>1978</v>
      </c>
      <c r="E618" s="2" t="s">
        <v>7180</v>
      </c>
      <c r="F618" s="2" t="s">
        <v>1702</v>
      </c>
      <c r="G618" s="2" t="s">
        <v>7140</v>
      </c>
      <c r="H618" s="2" t="s">
        <v>7141</v>
      </c>
      <c r="I618" s="2" t="s">
        <v>7142</v>
      </c>
      <c r="J618" s="2" t="s">
        <v>8538</v>
      </c>
    </row>
    <row r="619" spans="1:10">
      <c r="A619" s="2" t="s">
        <v>3619</v>
      </c>
      <c r="B619" s="2" t="s">
        <v>1700</v>
      </c>
      <c r="C619" s="2" t="s">
        <v>7138</v>
      </c>
      <c r="D619" s="2">
        <v>2000</v>
      </c>
      <c r="E619" s="2" t="s">
        <v>7180</v>
      </c>
      <c r="F619" s="2" t="s">
        <v>1774</v>
      </c>
      <c r="G619" s="2" t="s">
        <v>7192</v>
      </c>
      <c r="H619" s="2" t="s">
        <v>7428</v>
      </c>
      <c r="I619" s="2" t="s">
        <v>7142</v>
      </c>
      <c r="J619" s="2" t="s">
        <v>8551</v>
      </c>
    </row>
    <row r="620" spans="1:10">
      <c r="A620" s="2" t="s">
        <v>3620</v>
      </c>
      <c r="B620" s="2" t="s">
        <v>1700</v>
      </c>
      <c r="C620" s="2" t="s">
        <v>7179</v>
      </c>
      <c r="D620" s="2">
        <v>2007</v>
      </c>
      <c r="E620" s="2" t="s">
        <v>7180</v>
      </c>
      <c r="F620" s="2" t="s">
        <v>3621</v>
      </c>
      <c r="G620" s="2" t="s">
        <v>7192</v>
      </c>
      <c r="H620" s="2" t="s">
        <v>7428</v>
      </c>
      <c r="I620" s="2" t="s">
        <v>7143</v>
      </c>
    </row>
    <row r="621" spans="1:10">
      <c r="A621" s="2" t="s">
        <v>3622</v>
      </c>
      <c r="B621" s="2" t="s">
        <v>1663</v>
      </c>
      <c r="C621" s="2" t="s">
        <v>7179</v>
      </c>
      <c r="D621" s="2">
        <v>1977</v>
      </c>
      <c r="E621" s="2" t="s">
        <v>7180</v>
      </c>
      <c r="F621" s="2" t="s">
        <v>3623</v>
      </c>
      <c r="G621" s="2" t="s">
        <v>7140</v>
      </c>
      <c r="H621" s="2" t="s">
        <v>7182</v>
      </c>
      <c r="I621" s="2" t="s">
        <v>7142</v>
      </c>
      <c r="J621" s="2" t="s">
        <v>8538</v>
      </c>
    </row>
    <row r="622" spans="1:10">
      <c r="A622" s="2" t="s">
        <v>3624</v>
      </c>
      <c r="B622" s="2" t="s">
        <v>1663</v>
      </c>
      <c r="C622" s="2" t="s">
        <v>7138</v>
      </c>
      <c r="D622" s="2">
        <v>1999</v>
      </c>
      <c r="E622" s="2" t="s">
        <v>7180</v>
      </c>
      <c r="F622" s="2" t="s">
        <v>3625</v>
      </c>
      <c r="G622" s="2" t="s">
        <v>7192</v>
      </c>
      <c r="H622" s="2" t="s">
        <v>7182</v>
      </c>
      <c r="I622" s="2" t="s">
        <v>7143</v>
      </c>
    </row>
    <row r="623" spans="1:10">
      <c r="A623" s="2" t="s">
        <v>3626</v>
      </c>
      <c r="B623" s="2" t="s">
        <v>1663</v>
      </c>
      <c r="C623" s="2" t="s">
        <v>7179</v>
      </c>
      <c r="D623" s="2">
        <v>2005</v>
      </c>
      <c r="E623" s="2" t="s">
        <v>7180</v>
      </c>
      <c r="F623" s="2" t="s">
        <v>3627</v>
      </c>
      <c r="G623" s="2" t="s">
        <v>7192</v>
      </c>
      <c r="H623" s="2" t="s">
        <v>7428</v>
      </c>
      <c r="I623" s="2" t="s">
        <v>7143</v>
      </c>
    </row>
    <row r="624" spans="1:10">
      <c r="A624" s="2" t="s">
        <v>3628</v>
      </c>
      <c r="B624" s="2" t="s">
        <v>1745</v>
      </c>
      <c r="C624" s="2" t="s">
        <v>7138</v>
      </c>
      <c r="D624" s="2">
        <v>2001</v>
      </c>
      <c r="E624" s="2" t="s">
        <v>7180</v>
      </c>
      <c r="F624" s="2" t="s">
        <v>3629</v>
      </c>
      <c r="G624" s="2" t="s">
        <v>7192</v>
      </c>
      <c r="H624" s="2" t="s">
        <v>7428</v>
      </c>
      <c r="I624" s="2" t="s">
        <v>7143</v>
      </c>
    </row>
    <row r="625" spans="1:10">
      <c r="A625" s="2" t="s">
        <v>3630</v>
      </c>
      <c r="B625" s="2" t="s">
        <v>1745</v>
      </c>
      <c r="C625" s="2" t="s">
        <v>7138</v>
      </c>
      <c r="D625" s="2">
        <v>1999</v>
      </c>
      <c r="E625" s="2" t="s">
        <v>7180</v>
      </c>
      <c r="F625" s="2" t="s">
        <v>3631</v>
      </c>
      <c r="G625" s="2" t="s">
        <v>7192</v>
      </c>
      <c r="H625" s="2" t="s">
        <v>7428</v>
      </c>
      <c r="I625" s="2" t="s">
        <v>7143</v>
      </c>
    </row>
    <row r="626" spans="1:10">
      <c r="A626" s="2" t="s">
        <v>3632</v>
      </c>
      <c r="B626" s="2" t="s">
        <v>1745</v>
      </c>
      <c r="C626" s="2" t="s">
        <v>7138</v>
      </c>
      <c r="D626" s="2">
        <v>1974</v>
      </c>
      <c r="E626" s="2" t="s">
        <v>7180</v>
      </c>
      <c r="F626" s="2" t="s">
        <v>1748</v>
      </c>
      <c r="G626" s="2" t="s">
        <v>7140</v>
      </c>
      <c r="H626" s="2" t="s">
        <v>7141</v>
      </c>
      <c r="I626" s="2" t="s">
        <v>7142</v>
      </c>
      <c r="J626" s="2" t="s">
        <v>8531</v>
      </c>
    </row>
    <row r="627" spans="1:10">
      <c r="A627" s="2" t="s">
        <v>3633</v>
      </c>
      <c r="B627" s="2" t="s">
        <v>1745</v>
      </c>
      <c r="C627" s="2" t="s">
        <v>7179</v>
      </c>
      <c r="D627" s="2">
        <v>1972</v>
      </c>
      <c r="E627" s="2" t="s">
        <v>7180</v>
      </c>
      <c r="F627" s="2" t="s">
        <v>1747</v>
      </c>
      <c r="G627" s="2" t="s">
        <v>7181</v>
      </c>
      <c r="H627" s="2" t="s">
        <v>7141</v>
      </c>
      <c r="I627" s="2" t="s">
        <v>7142</v>
      </c>
      <c r="J627" s="2" t="s">
        <v>8540</v>
      </c>
    </row>
    <row r="628" spans="1:10">
      <c r="A628" s="2" t="s">
        <v>3634</v>
      </c>
      <c r="B628" s="2" t="s">
        <v>1799</v>
      </c>
      <c r="C628" s="2" t="s">
        <v>7179</v>
      </c>
      <c r="D628" s="2">
        <v>1980</v>
      </c>
      <c r="E628" s="2" t="s">
        <v>7180</v>
      </c>
      <c r="F628" s="2" t="s">
        <v>1801</v>
      </c>
      <c r="G628" s="2" t="s">
        <v>7140</v>
      </c>
      <c r="H628" s="2" t="s">
        <v>7225</v>
      </c>
      <c r="I628" s="2" t="s">
        <v>7142</v>
      </c>
      <c r="J628" s="2" t="s">
        <v>8538</v>
      </c>
    </row>
    <row r="629" spans="1:10">
      <c r="A629" s="2" t="s">
        <v>3635</v>
      </c>
      <c r="B629" s="2" t="s">
        <v>1799</v>
      </c>
      <c r="C629" s="2" t="s">
        <v>7138</v>
      </c>
      <c r="D629" s="2">
        <v>2000</v>
      </c>
      <c r="E629" s="2" t="s">
        <v>7180</v>
      </c>
      <c r="F629" s="2" t="s">
        <v>3577</v>
      </c>
      <c r="G629" s="2" t="s">
        <v>7192</v>
      </c>
      <c r="H629" s="2" t="s">
        <v>7182</v>
      </c>
      <c r="I629" s="2" t="s">
        <v>7142</v>
      </c>
      <c r="J629" s="2" t="s">
        <v>8551</v>
      </c>
    </row>
    <row r="630" spans="1:10">
      <c r="A630" s="2" t="s">
        <v>3636</v>
      </c>
      <c r="B630" s="2" t="s">
        <v>1799</v>
      </c>
      <c r="C630" s="2" t="s">
        <v>7138</v>
      </c>
      <c r="D630" s="2">
        <v>2001</v>
      </c>
      <c r="E630" s="2" t="s">
        <v>7180</v>
      </c>
      <c r="F630" s="2" t="s">
        <v>3637</v>
      </c>
      <c r="G630" s="2" t="s">
        <v>7192</v>
      </c>
      <c r="H630" s="2" t="s">
        <v>7182</v>
      </c>
      <c r="I630" s="2" t="s">
        <v>7142</v>
      </c>
      <c r="J630" s="2" t="s">
        <v>8551</v>
      </c>
    </row>
    <row r="631" spans="1:10">
      <c r="A631" s="2" t="s">
        <v>3638</v>
      </c>
      <c r="B631" s="2" t="s">
        <v>1799</v>
      </c>
      <c r="C631" s="2" t="s">
        <v>7138</v>
      </c>
      <c r="D631" s="2">
        <v>1974</v>
      </c>
      <c r="E631" s="2" t="s">
        <v>7180</v>
      </c>
      <c r="F631" s="2" t="s">
        <v>1794</v>
      </c>
      <c r="G631" s="2" t="s">
        <v>7181</v>
      </c>
      <c r="H631" s="2" t="s">
        <v>7225</v>
      </c>
      <c r="I631" s="2" t="s">
        <v>7142</v>
      </c>
      <c r="J631" s="2" t="s">
        <v>8532</v>
      </c>
    </row>
    <row r="632" spans="1:10">
      <c r="A632" s="2" t="s">
        <v>3639</v>
      </c>
      <c r="B632" s="2" t="s">
        <v>2565</v>
      </c>
      <c r="C632" s="2" t="s">
        <v>7138</v>
      </c>
      <c r="D632" s="2">
        <v>1987</v>
      </c>
      <c r="E632" s="2" t="s">
        <v>7139</v>
      </c>
      <c r="F632" s="2" t="s">
        <v>2381</v>
      </c>
      <c r="G632" s="2" t="s">
        <v>7140</v>
      </c>
      <c r="H632" s="2" t="s">
        <v>7141</v>
      </c>
      <c r="I632" s="2" t="s">
        <v>7142</v>
      </c>
      <c r="J632" s="2" t="s">
        <v>8532</v>
      </c>
    </row>
    <row r="633" spans="1:10">
      <c r="A633" s="2" t="s">
        <v>3640</v>
      </c>
      <c r="B633" s="2" t="s">
        <v>1833</v>
      </c>
      <c r="C633" s="2" t="s">
        <v>7179</v>
      </c>
      <c r="D633" s="2">
        <v>1972</v>
      </c>
      <c r="E633" s="2" t="s">
        <v>7180</v>
      </c>
      <c r="F633" s="2" t="s">
        <v>1835</v>
      </c>
      <c r="G633" s="2" t="s">
        <v>7140</v>
      </c>
      <c r="H633" s="2" t="s">
        <v>7182</v>
      </c>
      <c r="I633" s="2" t="s">
        <v>7142</v>
      </c>
      <c r="J633" s="2" t="s">
        <v>8533</v>
      </c>
    </row>
    <row r="634" spans="1:10">
      <c r="A634" s="2" t="s">
        <v>3641</v>
      </c>
      <c r="B634" s="2" t="s">
        <v>1833</v>
      </c>
      <c r="C634" s="2" t="s">
        <v>7138</v>
      </c>
      <c r="D634" s="2">
        <v>2015</v>
      </c>
      <c r="E634" s="2" t="s">
        <v>7180</v>
      </c>
      <c r="F634" s="2" t="s">
        <v>3642</v>
      </c>
      <c r="G634" s="2" t="s">
        <v>7192</v>
      </c>
      <c r="H634" s="2" t="s">
        <v>7579</v>
      </c>
      <c r="I634" s="2" t="s">
        <v>7143</v>
      </c>
    </row>
    <row r="635" spans="1:10">
      <c r="A635" s="2" t="s">
        <v>3643</v>
      </c>
      <c r="B635" s="2" t="s">
        <v>1833</v>
      </c>
      <c r="C635" s="2" t="s">
        <v>7138</v>
      </c>
      <c r="D635" s="2">
        <v>1969</v>
      </c>
      <c r="E635" s="2" t="s">
        <v>7180</v>
      </c>
      <c r="F635" s="2" t="s">
        <v>3644</v>
      </c>
      <c r="G635" s="2" t="s">
        <v>7181</v>
      </c>
      <c r="H635" s="2" t="s">
        <v>7141</v>
      </c>
      <c r="I635" s="2" t="s">
        <v>7142</v>
      </c>
      <c r="J635" s="2" t="s">
        <v>8531</v>
      </c>
    </row>
    <row r="636" spans="1:10">
      <c r="A636" s="2" t="s">
        <v>3645</v>
      </c>
      <c r="B636" s="2" t="s">
        <v>2260</v>
      </c>
      <c r="C636" s="2" t="s">
        <v>7138</v>
      </c>
      <c r="D636" s="2">
        <v>1984</v>
      </c>
      <c r="E636" s="2" t="s">
        <v>7490</v>
      </c>
      <c r="F636" s="2" t="s">
        <v>2261</v>
      </c>
      <c r="G636" s="2" t="s">
        <v>7140</v>
      </c>
      <c r="H636" s="2" t="s">
        <v>7225</v>
      </c>
      <c r="I636" s="2" t="s">
        <v>7142</v>
      </c>
      <c r="J636" s="2" t="s">
        <v>8529</v>
      </c>
    </row>
    <row r="637" spans="1:10">
      <c r="A637" s="2" t="s">
        <v>3646</v>
      </c>
      <c r="B637" s="2" t="s">
        <v>1848</v>
      </c>
      <c r="C637" s="2" t="s">
        <v>7138</v>
      </c>
      <c r="D637" s="2">
        <v>2000</v>
      </c>
      <c r="E637" s="2" t="s">
        <v>7180</v>
      </c>
      <c r="F637" s="2" t="s">
        <v>3647</v>
      </c>
      <c r="G637" s="2" t="s">
        <v>7192</v>
      </c>
      <c r="H637" s="2" t="s">
        <v>7428</v>
      </c>
      <c r="I637" s="2" t="s">
        <v>7143</v>
      </c>
    </row>
    <row r="638" spans="1:10">
      <c r="A638" s="2" t="s">
        <v>3648</v>
      </c>
      <c r="B638" s="2" t="s">
        <v>1848</v>
      </c>
      <c r="C638" s="2" t="s">
        <v>7138</v>
      </c>
      <c r="D638" s="2">
        <v>1977</v>
      </c>
      <c r="E638" s="2" t="s">
        <v>7180</v>
      </c>
      <c r="F638" s="2" t="s">
        <v>1851</v>
      </c>
      <c r="G638" s="2" t="s">
        <v>7140</v>
      </c>
      <c r="H638" s="2" t="s">
        <v>7141</v>
      </c>
      <c r="I638" s="2" t="s">
        <v>7142</v>
      </c>
      <c r="J638" s="2" t="s">
        <v>8531</v>
      </c>
    </row>
    <row r="639" spans="1:10">
      <c r="A639" s="2" t="s">
        <v>3649</v>
      </c>
      <c r="B639" s="2" t="s">
        <v>1848</v>
      </c>
      <c r="C639" s="2" t="s">
        <v>7179</v>
      </c>
      <c r="D639" s="2">
        <v>2007</v>
      </c>
      <c r="E639" s="2" t="s">
        <v>7180</v>
      </c>
      <c r="F639" s="2" t="s">
        <v>3650</v>
      </c>
      <c r="G639" s="2" t="s">
        <v>7192</v>
      </c>
      <c r="H639" s="2" t="s">
        <v>7450</v>
      </c>
      <c r="I639" s="2" t="s">
        <v>7143</v>
      </c>
    </row>
    <row r="640" spans="1:10">
      <c r="A640" s="2" t="s">
        <v>3651</v>
      </c>
      <c r="B640" s="2" t="s">
        <v>1848</v>
      </c>
      <c r="C640" s="2" t="s">
        <v>7179</v>
      </c>
      <c r="D640" s="2">
        <v>1982</v>
      </c>
      <c r="E640" s="2" t="s">
        <v>7180</v>
      </c>
      <c r="F640" s="2" t="s">
        <v>1850</v>
      </c>
      <c r="G640" s="2" t="s">
        <v>7181</v>
      </c>
      <c r="H640" s="2" t="s">
        <v>7141</v>
      </c>
      <c r="I640" s="2" t="s">
        <v>7142</v>
      </c>
      <c r="J640" s="2" t="s">
        <v>8529</v>
      </c>
    </row>
    <row r="641" spans="1:10">
      <c r="A641" s="2" t="s">
        <v>3652</v>
      </c>
      <c r="B641" s="2" t="s">
        <v>1848</v>
      </c>
      <c r="C641" s="2" t="s">
        <v>7179</v>
      </c>
      <c r="D641" s="2">
        <v>2019</v>
      </c>
      <c r="E641" s="2" t="s">
        <v>7180</v>
      </c>
      <c r="F641" s="2" t="s">
        <v>3653</v>
      </c>
      <c r="G641" s="2" t="s">
        <v>7192</v>
      </c>
      <c r="H641" s="2" t="s">
        <v>7579</v>
      </c>
      <c r="I641" s="2" t="s">
        <v>7143</v>
      </c>
    </row>
    <row r="642" spans="1:10">
      <c r="A642" s="2" t="s">
        <v>3654</v>
      </c>
      <c r="B642" s="2" t="s">
        <v>2232</v>
      </c>
      <c r="C642" s="2" t="s">
        <v>7138</v>
      </c>
      <c r="D642" s="2">
        <v>2017</v>
      </c>
      <c r="E642" s="2" t="s">
        <v>7490</v>
      </c>
      <c r="F642" s="2" t="s">
        <v>3655</v>
      </c>
      <c r="G642" s="2" t="s">
        <v>7192</v>
      </c>
      <c r="H642" s="2" t="s">
        <v>7225</v>
      </c>
      <c r="I642" s="2" t="s">
        <v>7143</v>
      </c>
    </row>
    <row r="643" spans="1:10">
      <c r="A643" s="2" t="s">
        <v>3656</v>
      </c>
      <c r="B643" s="2" t="s">
        <v>2232</v>
      </c>
      <c r="C643" s="2" t="s">
        <v>7138</v>
      </c>
      <c r="D643" s="2">
        <v>1985</v>
      </c>
      <c r="E643" s="2" t="s">
        <v>7490</v>
      </c>
      <c r="F643" s="2" t="s">
        <v>3657</v>
      </c>
      <c r="G643" s="2" t="s">
        <v>7140</v>
      </c>
      <c r="H643" s="2" t="s">
        <v>7225</v>
      </c>
      <c r="I643" s="2" t="s">
        <v>7142</v>
      </c>
      <c r="J643" s="2" t="s">
        <v>8603</v>
      </c>
    </row>
    <row r="644" spans="1:10">
      <c r="A644" s="2" t="s">
        <v>3659</v>
      </c>
      <c r="B644" s="2" t="s">
        <v>2232</v>
      </c>
      <c r="C644" s="2" t="s">
        <v>7179</v>
      </c>
      <c r="D644" s="2">
        <v>2011</v>
      </c>
      <c r="E644" s="2" t="s">
        <v>7490</v>
      </c>
      <c r="F644" s="2" t="s">
        <v>3660</v>
      </c>
      <c r="G644" s="2" t="s">
        <v>7192</v>
      </c>
      <c r="H644" s="2" t="s">
        <v>7141</v>
      </c>
      <c r="I644" s="2" t="s">
        <v>7143</v>
      </c>
    </row>
    <row r="645" spans="1:10">
      <c r="A645" s="2" t="s">
        <v>3661</v>
      </c>
      <c r="B645" s="2" t="s">
        <v>2232</v>
      </c>
      <c r="C645" s="2" t="s">
        <v>7179</v>
      </c>
      <c r="D645" s="2">
        <v>1990</v>
      </c>
      <c r="E645" s="2" t="s">
        <v>7490</v>
      </c>
      <c r="F645" s="2" t="s">
        <v>3662</v>
      </c>
      <c r="G645" s="2" t="s">
        <v>7181</v>
      </c>
      <c r="H645" s="2" t="s">
        <v>7225</v>
      </c>
      <c r="I645" s="2" t="s">
        <v>7142</v>
      </c>
      <c r="J645" s="2" t="s">
        <v>8540</v>
      </c>
    </row>
    <row r="646" spans="1:10">
      <c r="A646" s="2" t="s">
        <v>3663</v>
      </c>
      <c r="B646" s="2" t="s">
        <v>2232</v>
      </c>
      <c r="C646" s="2" t="s">
        <v>7138</v>
      </c>
      <c r="D646" s="2">
        <v>2008</v>
      </c>
      <c r="E646" s="2" t="s">
        <v>7490</v>
      </c>
      <c r="F646" s="2" t="s">
        <v>3664</v>
      </c>
      <c r="G646" s="2" t="s">
        <v>7192</v>
      </c>
      <c r="H646" s="2" t="s">
        <v>7141</v>
      </c>
      <c r="I646" s="2" t="s">
        <v>7143</v>
      </c>
    </row>
    <row r="647" spans="1:10">
      <c r="A647" s="2" t="s">
        <v>3665</v>
      </c>
      <c r="B647" s="2" t="s">
        <v>1912</v>
      </c>
      <c r="C647" s="2" t="s">
        <v>7179</v>
      </c>
      <c r="D647" s="2">
        <v>1982</v>
      </c>
      <c r="E647" s="2" t="s">
        <v>7180</v>
      </c>
      <c r="F647" s="2" t="s">
        <v>1914</v>
      </c>
      <c r="G647" s="2" t="s">
        <v>7181</v>
      </c>
      <c r="H647" s="2" t="s">
        <v>7141</v>
      </c>
      <c r="I647" s="2" t="s">
        <v>7142</v>
      </c>
      <c r="J647" s="2" t="s">
        <v>8533</v>
      </c>
    </row>
    <row r="648" spans="1:10">
      <c r="A648" s="2" t="s">
        <v>3666</v>
      </c>
      <c r="B648" s="2" t="s">
        <v>1912</v>
      </c>
      <c r="C648" s="2" t="s">
        <v>7138</v>
      </c>
      <c r="D648" s="2">
        <v>2000</v>
      </c>
      <c r="E648" s="2" t="s">
        <v>7180</v>
      </c>
      <c r="F648" s="2" t="s">
        <v>3667</v>
      </c>
      <c r="G648" s="2" t="s">
        <v>7192</v>
      </c>
      <c r="H648" s="2" t="s">
        <v>7428</v>
      </c>
      <c r="I648" s="2" t="s">
        <v>7143</v>
      </c>
    </row>
    <row r="649" spans="1:10">
      <c r="A649" s="2" t="s">
        <v>3668</v>
      </c>
      <c r="B649" s="2" t="s">
        <v>1912</v>
      </c>
      <c r="C649" s="2" t="s">
        <v>7138</v>
      </c>
      <c r="D649" s="2">
        <v>1974</v>
      </c>
      <c r="E649" s="2" t="s">
        <v>7180</v>
      </c>
      <c r="F649" s="2" t="s">
        <v>3669</v>
      </c>
      <c r="G649" s="2" t="s">
        <v>7140</v>
      </c>
      <c r="H649" s="2" t="s">
        <v>7141</v>
      </c>
      <c r="I649" s="2" t="s">
        <v>7142</v>
      </c>
      <c r="J649" s="2" t="s">
        <v>8532</v>
      </c>
    </row>
    <row r="650" spans="1:10">
      <c r="A650" s="2" t="s">
        <v>3670</v>
      </c>
      <c r="B650" s="2" t="s">
        <v>1912</v>
      </c>
      <c r="C650" s="2" t="s">
        <v>7138</v>
      </c>
      <c r="D650" s="2">
        <v>2003</v>
      </c>
      <c r="E650" s="2" t="s">
        <v>7180</v>
      </c>
      <c r="F650" s="2" t="s">
        <v>2154</v>
      </c>
      <c r="G650" s="2" t="s">
        <v>7192</v>
      </c>
      <c r="H650" s="2" t="s">
        <v>7450</v>
      </c>
      <c r="I650" s="2" t="s">
        <v>7143</v>
      </c>
    </row>
    <row r="651" spans="1:10">
      <c r="A651" s="2" t="s">
        <v>3671</v>
      </c>
      <c r="B651" s="2" t="s">
        <v>1951</v>
      </c>
      <c r="C651" s="2" t="s">
        <v>7138</v>
      </c>
      <c r="D651" s="2">
        <v>1971</v>
      </c>
      <c r="E651" s="2" t="s">
        <v>7180</v>
      </c>
      <c r="F651" s="2" t="s">
        <v>3672</v>
      </c>
      <c r="G651" s="2" t="s">
        <v>7140</v>
      </c>
      <c r="H651" s="2" t="s">
        <v>7182</v>
      </c>
      <c r="I651" s="2" t="s">
        <v>7142</v>
      </c>
      <c r="J651" s="2" t="s">
        <v>8533</v>
      </c>
    </row>
    <row r="652" spans="1:10">
      <c r="A652" s="2" t="s">
        <v>3673</v>
      </c>
      <c r="B652" s="2" t="s">
        <v>1951</v>
      </c>
      <c r="C652" s="2" t="s">
        <v>7179</v>
      </c>
      <c r="D652" s="2">
        <v>1978</v>
      </c>
      <c r="E652" s="2" t="s">
        <v>7180</v>
      </c>
      <c r="F652" s="2" t="s">
        <v>1953</v>
      </c>
      <c r="G652" s="2" t="s">
        <v>7181</v>
      </c>
      <c r="H652" s="2" t="s">
        <v>7141</v>
      </c>
      <c r="I652" s="2" t="s">
        <v>7142</v>
      </c>
      <c r="J652" s="2" t="s">
        <v>8532</v>
      </c>
    </row>
    <row r="653" spans="1:10">
      <c r="A653" s="2" t="s">
        <v>3674</v>
      </c>
      <c r="B653" s="2" t="s">
        <v>517</v>
      </c>
      <c r="C653" s="2" t="s">
        <v>7138</v>
      </c>
      <c r="D653" s="2">
        <v>1986</v>
      </c>
      <c r="E653" s="2" t="s">
        <v>7180</v>
      </c>
      <c r="F653" s="2" t="s">
        <v>3675</v>
      </c>
      <c r="G653" s="2" t="s">
        <v>7140</v>
      </c>
      <c r="H653" s="2" t="s">
        <v>7182</v>
      </c>
      <c r="I653" s="2" t="s">
        <v>7142</v>
      </c>
      <c r="J653" s="2" t="s">
        <v>8533</v>
      </c>
    </row>
    <row r="654" spans="1:10">
      <c r="A654" s="2" t="s">
        <v>3676</v>
      </c>
      <c r="B654" s="2" t="s">
        <v>517</v>
      </c>
      <c r="C654" s="2" t="s">
        <v>7179</v>
      </c>
      <c r="D654" s="2">
        <v>1978</v>
      </c>
      <c r="E654" s="2" t="s">
        <v>7139</v>
      </c>
      <c r="F654" s="2" t="s">
        <v>519</v>
      </c>
      <c r="G654" s="2" t="s">
        <v>7181</v>
      </c>
      <c r="H654" s="2" t="s">
        <v>7141</v>
      </c>
      <c r="I654" s="2" t="s">
        <v>7142</v>
      </c>
      <c r="J654" s="2" t="s">
        <v>8540</v>
      </c>
    </row>
    <row r="655" spans="1:10">
      <c r="A655" s="2" t="s">
        <v>3677</v>
      </c>
      <c r="B655" s="2" t="s">
        <v>463</v>
      </c>
      <c r="C655" s="2" t="s">
        <v>7179</v>
      </c>
      <c r="D655" s="2">
        <v>1983</v>
      </c>
      <c r="E655" s="2" t="s">
        <v>7139</v>
      </c>
      <c r="F655" s="2" t="s">
        <v>3678</v>
      </c>
      <c r="G655" s="2" t="s">
        <v>7181</v>
      </c>
      <c r="H655" s="2" t="s">
        <v>7225</v>
      </c>
      <c r="I655" s="2" t="s">
        <v>7142</v>
      </c>
      <c r="J655" s="2" t="s">
        <v>8589</v>
      </c>
    </row>
    <row r="656" spans="1:10">
      <c r="A656" s="2" t="s">
        <v>3679</v>
      </c>
      <c r="B656" s="2" t="s">
        <v>463</v>
      </c>
      <c r="C656" s="2" t="s">
        <v>7138</v>
      </c>
      <c r="D656" s="2">
        <v>1976</v>
      </c>
      <c r="E656" s="2" t="s">
        <v>7139</v>
      </c>
      <c r="F656" s="2" t="s">
        <v>3680</v>
      </c>
      <c r="G656" s="2" t="s">
        <v>7140</v>
      </c>
      <c r="H656" s="2" t="s">
        <v>7141</v>
      </c>
      <c r="I656" s="2" t="s">
        <v>7142</v>
      </c>
      <c r="J656" s="2" t="s">
        <v>8533</v>
      </c>
    </row>
    <row r="657" spans="1:10">
      <c r="A657" s="2" t="s">
        <v>3681</v>
      </c>
      <c r="B657" s="2" t="s">
        <v>423</v>
      </c>
      <c r="C657" s="2" t="s">
        <v>7138</v>
      </c>
      <c r="D657" s="2">
        <v>1990</v>
      </c>
      <c r="E657" s="2" t="s">
        <v>7139</v>
      </c>
      <c r="F657" s="2" t="s">
        <v>428</v>
      </c>
      <c r="G657" s="2" t="s">
        <v>7140</v>
      </c>
      <c r="H657" s="2" t="s">
        <v>7225</v>
      </c>
      <c r="I657" s="2" t="s">
        <v>7142</v>
      </c>
      <c r="J657" s="2" t="s">
        <v>8529</v>
      </c>
    </row>
    <row r="658" spans="1:10">
      <c r="A658" s="2" t="s">
        <v>3682</v>
      </c>
      <c r="B658" s="2" t="s">
        <v>710</v>
      </c>
      <c r="C658" s="2" t="s">
        <v>7179</v>
      </c>
      <c r="D658" s="2">
        <v>1972</v>
      </c>
      <c r="E658" s="2" t="s">
        <v>7139</v>
      </c>
      <c r="F658" s="2" t="s">
        <v>3683</v>
      </c>
      <c r="G658" s="2" t="s">
        <v>7181</v>
      </c>
      <c r="H658" s="2" t="s">
        <v>7225</v>
      </c>
      <c r="I658" s="2" t="s">
        <v>7142</v>
      </c>
      <c r="J658" s="2" t="s">
        <v>8590</v>
      </c>
    </row>
    <row r="659" spans="1:10">
      <c r="A659" s="2" t="s">
        <v>3684</v>
      </c>
      <c r="B659" s="2" t="s">
        <v>710</v>
      </c>
      <c r="C659" s="2" t="s">
        <v>7138</v>
      </c>
      <c r="D659" s="2">
        <v>1968</v>
      </c>
      <c r="E659" s="2" t="s">
        <v>7139</v>
      </c>
      <c r="F659" s="2" t="s">
        <v>714</v>
      </c>
      <c r="G659" s="2" t="s">
        <v>7140</v>
      </c>
      <c r="H659" s="2" t="s">
        <v>7225</v>
      </c>
      <c r="I659" s="2" t="s">
        <v>7142</v>
      </c>
      <c r="J659" s="2" t="s">
        <v>8529</v>
      </c>
    </row>
    <row r="660" spans="1:10">
      <c r="A660" s="2" t="s">
        <v>3685</v>
      </c>
      <c r="B660" s="2" t="s">
        <v>1994</v>
      </c>
      <c r="C660" s="2" t="s">
        <v>7138</v>
      </c>
      <c r="D660" s="2">
        <v>1987</v>
      </c>
      <c r="E660" s="2" t="s">
        <v>7180</v>
      </c>
      <c r="F660" s="2" t="s">
        <v>1997</v>
      </c>
      <c r="G660" s="2" t="s">
        <v>7140</v>
      </c>
      <c r="H660" s="2" t="s">
        <v>7141</v>
      </c>
      <c r="I660" s="2" t="s">
        <v>7142</v>
      </c>
      <c r="J660" s="2" t="s">
        <v>8533</v>
      </c>
    </row>
    <row r="661" spans="1:10">
      <c r="A661" s="2" t="s">
        <v>3686</v>
      </c>
      <c r="B661" s="2" t="s">
        <v>1994</v>
      </c>
      <c r="C661" s="2" t="s">
        <v>7138</v>
      </c>
      <c r="D661" s="2">
        <v>2018</v>
      </c>
      <c r="E661" s="2" t="s">
        <v>7180</v>
      </c>
      <c r="F661" s="2" t="s">
        <v>3687</v>
      </c>
      <c r="G661" s="2" t="s">
        <v>7192</v>
      </c>
      <c r="H661" s="2" t="s">
        <v>7579</v>
      </c>
      <c r="I661" s="2" t="s">
        <v>7143</v>
      </c>
    </row>
    <row r="662" spans="1:10">
      <c r="A662" s="2" t="s">
        <v>3688</v>
      </c>
      <c r="B662" s="2" t="s">
        <v>1994</v>
      </c>
      <c r="C662" s="2" t="s">
        <v>7138</v>
      </c>
      <c r="D662" s="2">
        <v>2016</v>
      </c>
      <c r="E662" s="2" t="s">
        <v>7180</v>
      </c>
      <c r="F662" s="2" t="s">
        <v>3689</v>
      </c>
      <c r="G662" s="2" t="s">
        <v>7192</v>
      </c>
      <c r="H662" s="2" t="s">
        <v>7579</v>
      </c>
      <c r="I662" s="2" t="s">
        <v>7143</v>
      </c>
    </row>
    <row r="663" spans="1:10">
      <c r="A663" s="2" t="s">
        <v>3690</v>
      </c>
      <c r="B663" s="2" t="s">
        <v>1994</v>
      </c>
      <c r="C663" s="2" t="s">
        <v>7179</v>
      </c>
      <c r="D663" s="2">
        <v>1993</v>
      </c>
      <c r="E663" s="2" t="s">
        <v>7180</v>
      </c>
      <c r="F663" s="2" t="s">
        <v>3691</v>
      </c>
      <c r="G663" s="2" t="s">
        <v>7181</v>
      </c>
      <c r="H663" s="2" t="s">
        <v>7141</v>
      </c>
      <c r="I663" s="2" t="s">
        <v>7142</v>
      </c>
      <c r="J663" s="2" t="s">
        <v>8555</v>
      </c>
    </row>
    <row r="664" spans="1:10">
      <c r="A664" s="2" t="s">
        <v>3692</v>
      </c>
      <c r="B664" s="2" t="s">
        <v>1994</v>
      </c>
      <c r="C664" s="2" t="s">
        <v>7138</v>
      </c>
      <c r="D664" s="2">
        <v>2025</v>
      </c>
      <c r="E664" s="2" t="s">
        <v>7180</v>
      </c>
      <c r="F664" s="2" t="s">
        <v>3693</v>
      </c>
      <c r="G664" s="2" t="s">
        <v>7192</v>
      </c>
      <c r="H664" s="2" t="s">
        <v>7579</v>
      </c>
      <c r="I664" s="2" t="s">
        <v>7143</v>
      </c>
    </row>
    <row r="665" spans="1:10">
      <c r="A665" s="2" t="s">
        <v>3694</v>
      </c>
      <c r="B665" s="2" t="s">
        <v>789</v>
      </c>
      <c r="C665" s="2" t="s">
        <v>7179</v>
      </c>
      <c r="D665" s="2">
        <v>1991</v>
      </c>
      <c r="E665" s="2" t="s">
        <v>7139</v>
      </c>
      <c r="F665" s="2" t="s">
        <v>793</v>
      </c>
      <c r="G665" s="2" t="s">
        <v>7181</v>
      </c>
      <c r="H665" s="2" t="s">
        <v>7141</v>
      </c>
      <c r="I665" s="2" t="s">
        <v>7142</v>
      </c>
      <c r="J665" s="2" t="s">
        <v>8589</v>
      </c>
    </row>
    <row r="666" spans="1:10">
      <c r="A666" s="2" t="s">
        <v>3695</v>
      </c>
      <c r="B666" s="2" t="s">
        <v>2036</v>
      </c>
      <c r="C666" s="2" t="s">
        <v>7138</v>
      </c>
      <c r="D666" s="2">
        <v>2006</v>
      </c>
      <c r="E666" s="2" t="s">
        <v>7180</v>
      </c>
      <c r="F666" s="2" t="s">
        <v>3696</v>
      </c>
      <c r="G666" s="2" t="s">
        <v>7192</v>
      </c>
      <c r="H666" s="2" t="s">
        <v>7450</v>
      </c>
      <c r="I666" s="2" t="s">
        <v>7143</v>
      </c>
    </row>
    <row r="667" spans="1:10">
      <c r="A667" s="2" t="s">
        <v>3697</v>
      </c>
      <c r="B667" s="2" t="s">
        <v>2036</v>
      </c>
      <c r="C667" s="2" t="s">
        <v>7179</v>
      </c>
      <c r="D667" s="2">
        <v>2012</v>
      </c>
      <c r="E667" s="2" t="s">
        <v>7180</v>
      </c>
      <c r="F667" s="2" t="s">
        <v>3698</v>
      </c>
      <c r="G667" s="2" t="s">
        <v>7192</v>
      </c>
      <c r="H667" s="2" t="s">
        <v>7579</v>
      </c>
      <c r="I667" s="2" t="s">
        <v>7143</v>
      </c>
    </row>
    <row r="668" spans="1:10">
      <c r="A668" s="2" t="s">
        <v>3699</v>
      </c>
      <c r="B668" s="2" t="s">
        <v>2036</v>
      </c>
      <c r="C668" s="2" t="s">
        <v>7138</v>
      </c>
      <c r="D668" s="2">
        <v>1982</v>
      </c>
      <c r="E668" s="2" t="s">
        <v>7180</v>
      </c>
      <c r="F668" s="2" t="s">
        <v>3700</v>
      </c>
      <c r="G668" s="2" t="s">
        <v>7140</v>
      </c>
      <c r="H668" s="2" t="s">
        <v>7141</v>
      </c>
      <c r="I668" s="2" t="s">
        <v>7142</v>
      </c>
      <c r="J668" s="2" t="s">
        <v>8532</v>
      </c>
    </row>
    <row r="669" spans="1:10">
      <c r="A669" s="2" t="s">
        <v>3701</v>
      </c>
      <c r="B669" s="2" t="s">
        <v>2036</v>
      </c>
      <c r="C669" s="2" t="s">
        <v>7179</v>
      </c>
      <c r="D669" s="2">
        <v>1982</v>
      </c>
      <c r="E669" s="2" t="s">
        <v>7180</v>
      </c>
      <c r="F669" s="2" t="s">
        <v>2038</v>
      </c>
      <c r="G669" s="2" t="s">
        <v>7181</v>
      </c>
      <c r="H669" s="2" t="s">
        <v>7182</v>
      </c>
      <c r="I669" s="2" t="s">
        <v>7142</v>
      </c>
      <c r="J669" s="2" t="s">
        <v>8538</v>
      </c>
    </row>
    <row r="670" spans="1:10">
      <c r="A670" s="2" t="s">
        <v>3702</v>
      </c>
      <c r="B670" s="2" t="s">
        <v>2075</v>
      </c>
      <c r="C670" s="2" t="s">
        <v>7179</v>
      </c>
      <c r="D670" s="2">
        <v>2007</v>
      </c>
      <c r="E670" s="2" t="s">
        <v>7180</v>
      </c>
      <c r="F670" s="2" t="s">
        <v>3703</v>
      </c>
      <c r="G670" s="2" t="s">
        <v>7192</v>
      </c>
      <c r="H670" s="2" t="s">
        <v>7450</v>
      </c>
      <c r="I670" s="2" t="s">
        <v>7143</v>
      </c>
    </row>
    <row r="671" spans="1:10">
      <c r="A671" s="2" t="s">
        <v>3704</v>
      </c>
      <c r="B671" s="2" t="s">
        <v>2075</v>
      </c>
      <c r="C671" s="2" t="s">
        <v>7179</v>
      </c>
      <c r="D671" s="2">
        <v>1979</v>
      </c>
      <c r="E671" s="2" t="s">
        <v>7180</v>
      </c>
      <c r="F671" s="2" t="s">
        <v>2077</v>
      </c>
      <c r="G671" s="2" t="s">
        <v>7181</v>
      </c>
      <c r="H671" s="2" t="s">
        <v>7141</v>
      </c>
      <c r="I671" s="2" t="s">
        <v>7142</v>
      </c>
      <c r="J671" s="2" t="s">
        <v>8533</v>
      </c>
    </row>
    <row r="672" spans="1:10">
      <c r="A672" s="2" t="s">
        <v>3705</v>
      </c>
      <c r="B672" s="2" t="s">
        <v>2075</v>
      </c>
      <c r="C672" s="2" t="s">
        <v>7138</v>
      </c>
      <c r="D672" s="2">
        <v>1979</v>
      </c>
      <c r="E672" s="2" t="s">
        <v>7180</v>
      </c>
      <c r="F672" s="2" t="s">
        <v>3706</v>
      </c>
      <c r="G672" s="2" t="s">
        <v>7140</v>
      </c>
      <c r="H672" s="2" t="s">
        <v>7141</v>
      </c>
      <c r="I672" s="2" t="s">
        <v>7142</v>
      </c>
      <c r="J672" s="2" t="s">
        <v>8532</v>
      </c>
    </row>
    <row r="673" spans="1:10">
      <c r="A673" s="2" t="s">
        <v>3707</v>
      </c>
      <c r="B673" s="2" t="s">
        <v>2101</v>
      </c>
      <c r="C673" s="2" t="s">
        <v>7138</v>
      </c>
      <c r="D673" s="2">
        <v>1962</v>
      </c>
      <c r="E673" s="2" t="s">
        <v>7180</v>
      </c>
      <c r="F673" s="2" t="s">
        <v>2104</v>
      </c>
      <c r="G673" s="2" t="s">
        <v>7140</v>
      </c>
      <c r="H673" s="2" t="s">
        <v>7225</v>
      </c>
      <c r="I673" s="2" t="s">
        <v>7142</v>
      </c>
      <c r="J673" s="2" t="s">
        <v>8579</v>
      </c>
    </row>
    <row r="674" spans="1:10">
      <c r="A674" s="2" t="s">
        <v>3708</v>
      </c>
      <c r="B674" s="2" t="s">
        <v>2101</v>
      </c>
      <c r="C674" s="2" t="s">
        <v>7138</v>
      </c>
      <c r="D674" s="2">
        <v>2000</v>
      </c>
      <c r="E674" s="2" t="s">
        <v>7180</v>
      </c>
      <c r="F674" s="2" t="s">
        <v>3709</v>
      </c>
      <c r="G674" s="2" t="s">
        <v>7192</v>
      </c>
      <c r="H674" s="2" t="s">
        <v>7428</v>
      </c>
      <c r="I674" s="2" t="s">
        <v>7143</v>
      </c>
    </row>
    <row r="675" spans="1:10">
      <c r="A675" s="2" t="s">
        <v>3710</v>
      </c>
      <c r="B675" s="2" t="s">
        <v>2101</v>
      </c>
      <c r="C675" s="2" t="s">
        <v>7179</v>
      </c>
      <c r="D675" s="2">
        <v>1968</v>
      </c>
      <c r="E675" s="2" t="s">
        <v>7180</v>
      </c>
      <c r="F675" s="2" t="s">
        <v>2103</v>
      </c>
      <c r="G675" s="2" t="s">
        <v>7181</v>
      </c>
      <c r="H675" s="2" t="s">
        <v>7225</v>
      </c>
      <c r="I675" s="2" t="s">
        <v>7142</v>
      </c>
      <c r="J675" s="2" t="s">
        <v>8533</v>
      </c>
    </row>
    <row r="676" spans="1:10">
      <c r="A676" s="2" t="s">
        <v>3711</v>
      </c>
      <c r="B676" s="2" t="s">
        <v>867</v>
      </c>
      <c r="C676" s="2" t="s">
        <v>7179</v>
      </c>
      <c r="D676" s="2">
        <v>2005</v>
      </c>
      <c r="E676" s="2" t="s">
        <v>7139</v>
      </c>
      <c r="F676" s="2" t="s">
        <v>3712</v>
      </c>
      <c r="G676" s="2" t="s">
        <v>7192</v>
      </c>
      <c r="H676" s="2" t="s">
        <v>7182</v>
      </c>
      <c r="I676" s="2" t="s">
        <v>7142</v>
      </c>
      <c r="J676" s="2" t="s">
        <v>8551</v>
      </c>
    </row>
    <row r="677" spans="1:10">
      <c r="A677" s="2" t="s">
        <v>3713</v>
      </c>
      <c r="B677" s="2" t="s">
        <v>867</v>
      </c>
      <c r="C677" s="2" t="s">
        <v>7138</v>
      </c>
      <c r="D677" s="2">
        <v>2016</v>
      </c>
      <c r="E677" s="2" t="s">
        <v>7139</v>
      </c>
      <c r="F677" s="2" t="s">
        <v>3714</v>
      </c>
      <c r="G677" s="2" t="s">
        <v>7192</v>
      </c>
      <c r="H677" s="2" t="s">
        <v>7579</v>
      </c>
      <c r="I677" s="2" t="s">
        <v>7143</v>
      </c>
    </row>
    <row r="678" spans="1:10">
      <c r="A678" s="2" t="s">
        <v>3715</v>
      </c>
      <c r="B678" s="2" t="s">
        <v>867</v>
      </c>
      <c r="C678" s="2" t="s">
        <v>7179</v>
      </c>
      <c r="D678" s="2">
        <v>1985</v>
      </c>
      <c r="E678" s="2" t="s">
        <v>7139</v>
      </c>
      <c r="F678" s="2" t="s">
        <v>3716</v>
      </c>
      <c r="G678" s="2" t="s">
        <v>7181</v>
      </c>
      <c r="H678" s="2" t="s">
        <v>7141</v>
      </c>
      <c r="I678" s="2" t="s">
        <v>7142</v>
      </c>
      <c r="J678" s="2" t="s">
        <v>8590</v>
      </c>
    </row>
    <row r="679" spans="1:10">
      <c r="A679" s="2" t="s">
        <v>3717</v>
      </c>
      <c r="B679" s="2" t="s">
        <v>867</v>
      </c>
      <c r="C679" s="2" t="s">
        <v>7179</v>
      </c>
      <c r="D679" s="2">
        <v>2003</v>
      </c>
      <c r="E679" s="2" t="s">
        <v>7139</v>
      </c>
      <c r="F679" s="2" t="s">
        <v>3718</v>
      </c>
      <c r="G679" s="2" t="s">
        <v>7192</v>
      </c>
      <c r="H679" s="2" t="s">
        <v>7141</v>
      </c>
      <c r="I679" s="2" t="s">
        <v>7142</v>
      </c>
      <c r="J679" s="2" t="s">
        <v>8551</v>
      </c>
    </row>
    <row r="680" spans="1:10">
      <c r="A680" s="2" t="s">
        <v>3719</v>
      </c>
      <c r="B680" s="2" t="s">
        <v>2116</v>
      </c>
      <c r="C680" s="2" t="s">
        <v>7138</v>
      </c>
      <c r="D680" s="2">
        <v>1954</v>
      </c>
      <c r="E680" s="2" t="s">
        <v>7180</v>
      </c>
      <c r="F680" s="2" t="s">
        <v>2118</v>
      </c>
      <c r="G680" s="2" t="s">
        <v>7140</v>
      </c>
      <c r="H680" s="2" t="s">
        <v>7225</v>
      </c>
      <c r="I680" s="2" t="s">
        <v>7142</v>
      </c>
      <c r="J680" s="2" t="s">
        <v>8533</v>
      </c>
    </row>
    <row r="681" spans="1:10">
      <c r="A681" s="2" t="s">
        <v>3720</v>
      </c>
      <c r="B681" s="2" t="s">
        <v>2116</v>
      </c>
      <c r="C681" s="2" t="s">
        <v>7179</v>
      </c>
      <c r="D681" s="2">
        <v>1954</v>
      </c>
      <c r="E681" s="2" t="s">
        <v>7180</v>
      </c>
      <c r="F681" s="2" t="s">
        <v>3721</v>
      </c>
      <c r="G681" s="2" t="s">
        <v>7181</v>
      </c>
      <c r="H681" s="2" t="s">
        <v>7141</v>
      </c>
      <c r="I681" s="2" t="s">
        <v>7142</v>
      </c>
      <c r="J681" s="2" t="s">
        <v>8604</v>
      </c>
    </row>
    <row r="682" spans="1:10">
      <c r="A682" s="2" t="s">
        <v>3723</v>
      </c>
      <c r="B682" s="2" t="s">
        <v>2152</v>
      </c>
      <c r="C682" s="2" t="s">
        <v>7138</v>
      </c>
      <c r="D682" s="2">
        <v>1965</v>
      </c>
      <c r="E682" s="2" t="s">
        <v>7180</v>
      </c>
      <c r="F682" s="2" t="s">
        <v>2154</v>
      </c>
      <c r="G682" s="2" t="s">
        <v>7140</v>
      </c>
      <c r="H682" s="2" t="s">
        <v>7225</v>
      </c>
      <c r="I682" s="2" t="s">
        <v>7142</v>
      </c>
      <c r="J682" s="2" t="s">
        <v>8533</v>
      </c>
    </row>
    <row r="683" spans="1:10">
      <c r="A683" s="2" t="s">
        <v>3724</v>
      </c>
      <c r="B683" s="2" t="s">
        <v>2152</v>
      </c>
      <c r="C683" s="2" t="s">
        <v>7179</v>
      </c>
      <c r="D683" s="2">
        <v>1965</v>
      </c>
      <c r="E683" s="2" t="s">
        <v>7180</v>
      </c>
      <c r="F683" s="2" t="s">
        <v>3725</v>
      </c>
      <c r="G683" s="2" t="s">
        <v>7181</v>
      </c>
      <c r="H683" s="2" t="s">
        <v>7225</v>
      </c>
      <c r="I683" s="2" t="s">
        <v>7142</v>
      </c>
      <c r="J683" s="2" t="s">
        <v>8532</v>
      </c>
    </row>
    <row r="684" spans="1:10">
      <c r="A684" s="2" t="s">
        <v>3726</v>
      </c>
      <c r="B684" s="2" t="s">
        <v>914</v>
      </c>
      <c r="C684" s="2" t="s">
        <v>7138</v>
      </c>
      <c r="D684" s="2">
        <v>1968</v>
      </c>
      <c r="E684" s="2" t="s">
        <v>7139</v>
      </c>
      <c r="F684" s="2" t="s">
        <v>3727</v>
      </c>
      <c r="G684" s="2" t="s">
        <v>7140</v>
      </c>
      <c r="H684" s="2" t="s">
        <v>7395</v>
      </c>
      <c r="I684" s="2" t="s">
        <v>7142</v>
      </c>
      <c r="J684" s="2" t="s">
        <v>8529</v>
      </c>
    </row>
    <row r="685" spans="1:10">
      <c r="A685" s="2" t="s">
        <v>3728</v>
      </c>
      <c r="B685" s="2" t="s">
        <v>914</v>
      </c>
      <c r="C685" s="2" t="s">
        <v>7179</v>
      </c>
      <c r="D685" s="2">
        <v>2001</v>
      </c>
      <c r="E685" s="2" t="s">
        <v>7139</v>
      </c>
      <c r="F685" s="2" t="s">
        <v>3729</v>
      </c>
      <c r="G685" s="2" t="s">
        <v>7192</v>
      </c>
      <c r="H685" s="2" t="s">
        <v>7141</v>
      </c>
      <c r="I685" s="2" t="s">
        <v>7142</v>
      </c>
      <c r="J685" s="2" t="s">
        <v>8605</v>
      </c>
    </row>
    <row r="686" spans="1:10">
      <c r="A686" s="2" t="s">
        <v>3731</v>
      </c>
      <c r="B686" s="2" t="s">
        <v>914</v>
      </c>
      <c r="C686" s="2" t="s">
        <v>7179</v>
      </c>
      <c r="D686" s="2">
        <v>2019</v>
      </c>
      <c r="E686" s="2" t="s">
        <v>7139</v>
      </c>
      <c r="F686" s="2" t="s">
        <v>3732</v>
      </c>
      <c r="G686" s="2" t="s">
        <v>7503</v>
      </c>
      <c r="H686" s="2" t="s">
        <v>7579</v>
      </c>
      <c r="I686" s="2" t="s">
        <v>7143</v>
      </c>
    </row>
    <row r="687" spans="1:10">
      <c r="A687" s="2" t="s">
        <v>3733</v>
      </c>
      <c r="B687" s="2" t="s">
        <v>914</v>
      </c>
      <c r="C687" s="2" t="s">
        <v>7138</v>
      </c>
      <c r="D687" s="2">
        <v>2000</v>
      </c>
      <c r="E687" s="2" t="s">
        <v>7139</v>
      </c>
      <c r="F687" s="2" t="s">
        <v>3734</v>
      </c>
      <c r="G687" s="2" t="s">
        <v>7192</v>
      </c>
      <c r="H687" s="2" t="s">
        <v>7141</v>
      </c>
      <c r="I687" s="2" t="s">
        <v>7142</v>
      </c>
      <c r="J687" s="2" t="s">
        <v>8530</v>
      </c>
    </row>
    <row r="688" spans="1:10">
      <c r="A688" s="2" t="s">
        <v>3735</v>
      </c>
      <c r="B688" s="2" t="s">
        <v>914</v>
      </c>
      <c r="C688" s="2" t="s">
        <v>7179</v>
      </c>
      <c r="D688" s="2">
        <v>1974</v>
      </c>
      <c r="E688" s="2" t="s">
        <v>7139</v>
      </c>
      <c r="F688" s="2" t="s">
        <v>3736</v>
      </c>
      <c r="G688" s="2" t="s">
        <v>7181</v>
      </c>
      <c r="H688" s="2" t="s">
        <v>7225</v>
      </c>
      <c r="I688" s="2" t="s">
        <v>7142</v>
      </c>
      <c r="J688" s="2" t="s">
        <v>8540</v>
      </c>
    </row>
    <row r="689" spans="1:10">
      <c r="A689" s="2" t="s">
        <v>3737</v>
      </c>
      <c r="B689" s="2" t="s">
        <v>2166</v>
      </c>
      <c r="C689" s="2" t="s">
        <v>7138</v>
      </c>
      <c r="D689" s="2">
        <v>1966</v>
      </c>
      <c r="E689" s="2" t="s">
        <v>7180</v>
      </c>
      <c r="F689" s="2" t="s">
        <v>3738</v>
      </c>
      <c r="G689" s="2" t="s">
        <v>7140</v>
      </c>
      <c r="H689" s="2" t="s">
        <v>7182</v>
      </c>
      <c r="I689" s="2" t="s">
        <v>7143</v>
      </c>
    </row>
    <row r="690" spans="1:10">
      <c r="A690" s="2" t="s">
        <v>3739</v>
      </c>
      <c r="B690" s="2" t="s">
        <v>2166</v>
      </c>
      <c r="C690" s="2" t="s">
        <v>7179</v>
      </c>
      <c r="D690" s="2">
        <v>1973</v>
      </c>
      <c r="E690" s="2" t="s">
        <v>7180</v>
      </c>
      <c r="F690" s="2" t="s">
        <v>2168</v>
      </c>
      <c r="G690" s="2" t="s">
        <v>7181</v>
      </c>
      <c r="H690" s="2" t="s">
        <v>7182</v>
      </c>
      <c r="I690" s="2" t="s">
        <v>7142</v>
      </c>
      <c r="J690" s="2" t="s">
        <v>8533</v>
      </c>
    </row>
    <row r="691" spans="1:10">
      <c r="A691" s="2" t="s">
        <v>3740</v>
      </c>
      <c r="B691" s="2" t="s">
        <v>2191</v>
      </c>
      <c r="C691" s="2" t="s">
        <v>7179</v>
      </c>
      <c r="D691" s="2">
        <v>2020</v>
      </c>
      <c r="E691" s="2" t="s">
        <v>7180</v>
      </c>
      <c r="F691" s="2" t="s">
        <v>3741</v>
      </c>
      <c r="G691" s="2" t="s">
        <v>7192</v>
      </c>
      <c r="H691" s="2" t="s">
        <v>7579</v>
      </c>
      <c r="I691" s="2" t="s">
        <v>7143</v>
      </c>
    </row>
    <row r="692" spans="1:10">
      <c r="A692" s="2" t="s">
        <v>3742</v>
      </c>
      <c r="B692" s="2" t="s">
        <v>2191</v>
      </c>
      <c r="C692" s="2" t="s">
        <v>7179</v>
      </c>
      <c r="D692" s="2">
        <v>1988</v>
      </c>
      <c r="E692" s="2" t="s">
        <v>7180</v>
      </c>
      <c r="F692" s="2" t="s">
        <v>3743</v>
      </c>
      <c r="G692" s="2" t="s">
        <v>7181</v>
      </c>
      <c r="H692" s="2" t="s">
        <v>7182</v>
      </c>
      <c r="I692" s="2" t="s">
        <v>7142</v>
      </c>
      <c r="J692" s="2" t="s">
        <v>8529</v>
      </c>
    </row>
    <row r="693" spans="1:10">
      <c r="A693" s="2" t="s">
        <v>3744</v>
      </c>
      <c r="B693" s="2" t="s">
        <v>2191</v>
      </c>
      <c r="C693" s="2" t="s">
        <v>7138</v>
      </c>
      <c r="D693" s="2">
        <v>1988</v>
      </c>
      <c r="E693" s="2" t="s">
        <v>7180</v>
      </c>
      <c r="F693" s="2" t="s">
        <v>2193</v>
      </c>
      <c r="G693" s="2" t="s">
        <v>7140</v>
      </c>
      <c r="H693" s="2" t="s">
        <v>7141</v>
      </c>
      <c r="I693" s="2" t="s">
        <v>7142</v>
      </c>
      <c r="J693" s="2" t="s">
        <v>8532</v>
      </c>
    </row>
    <row r="694" spans="1:10">
      <c r="A694" s="2" t="s">
        <v>3745</v>
      </c>
      <c r="B694" s="2" t="s">
        <v>2191</v>
      </c>
      <c r="C694" s="2" t="s">
        <v>7138</v>
      </c>
      <c r="D694" s="2">
        <v>2018</v>
      </c>
      <c r="E694" s="2" t="s">
        <v>7180</v>
      </c>
      <c r="F694" s="2" t="s">
        <v>3746</v>
      </c>
      <c r="G694" s="2" t="s">
        <v>7192</v>
      </c>
      <c r="H694" s="2" t="s">
        <v>7579</v>
      </c>
      <c r="I694" s="2" t="s">
        <v>7143</v>
      </c>
    </row>
    <row r="695" spans="1:10">
      <c r="A695" s="2" t="s">
        <v>3747</v>
      </c>
      <c r="B695" s="2" t="s">
        <v>2222</v>
      </c>
      <c r="C695" s="2" t="s">
        <v>7179</v>
      </c>
      <c r="D695" s="2">
        <v>1970</v>
      </c>
      <c r="E695" s="2" t="s">
        <v>7180</v>
      </c>
      <c r="F695" s="2" t="s">
        <v>2224</v>
      </c>
      <c r="G695" s="2" t="s">
        <v>7181</v>
      </c>
      <c r="H695" s="2" t="s">
        <v>7141</v>
      </c>
      <c r="I695" s="2" t="s">
        <v>7142</v>
      </c>
      <c r="J695" s="2" t="s">
        <v>8533</v>
      </c>
    </row>
    <row r="696" spans="1:10">
      <c r="A696" s="2" t="s">
        <v>3748</v>
      </c>
      <c r="B696" s="2" t="s">
        <v>2222</v>
      </c>
      <c r="C696" s="2" t="s">
        <v>7138</v>
      </c>
      <c r="D696" s="2">
        <v>1976</v>
      </c>
      <c r="E696" s="2" t="s">
        <v>7180</v>
      </c>
      <c r="F696" s="2" t="s">
        <v>2225</v>
      </c>
      <c r="G696" s="2" t="s">
        <v>7140</v>
      </c>
      <c r="H696" s="2" t="s">
        <v>7225</v>
      </c>
      <c r="I696" s="2" t="s">
        <v>7142</v>
      </c>
      <c r="J696" s="2" t="s">
        <v>8531</v>
      </c>
    </row>
    <row r="697" spans="1:10">
      <c r="A697" s="2" t="s">
        <v>3749</v>
      </c>
      <c r="B697" s="2" t="s">
        <v>2254</v>
      </c>
      <c r="C697" s="2" t="s">
        <v>7179</v>
      </c>
      <c r="D697" s="2">
        <v>1999</v>
      </c>
      <c r="E697" s="2" t="s">
        <v>7490</v>
      </c>
      <c r="F697" s="2" t="s">
        <v>3750</v>
      </c>
      <c r="G697" s="2" t="s">
        <v>7181</v>
      </c>
      <c r="H697" s="2" t="s">
        <v>7182</v>
      </c>
      <c r="I697" s="2" t="s">
        <v>7142</v>
      </c>
      <c r="J697" s="2" t="s">
        <v>8540</v>
      </c>
    </row>
    <row r="698" spans="1:10">
      <c r="A698" s="2" t="s">
        <v>3751</v>
      </c>
      <c r="B698" s="2" t="s">
        <v>2254</v>
      </c>
      <c r="C698" s="2" t="s">
        <v>7138</v>
      </c>
      <c r="D698" s="2">
        <v>2000</v>
      </c>
      <c r="E698" s="2" t="s">
        <v>7490</v>
      </c>
      <c r="F698" s="2" t="s">
        <v>2257</v>
      </c>
      <c r="G698" s="2" t="s">
        <v>7140</v>
      </c>
      <c r="H698" s="2" t="s">
        <v>7225</v>
      </c>
      <c r="I698" s="2" t="s">
        <v>7142</v>
      </c>
      <c r="J698" s="2" t="s">
        <v>8532</v>
      </c>
    </row>
    <row r="699" spans="1:10">
      <c r="A699" s="2" t="s">
        <v>3752</v>
      </c>
      <c r="B699" s="2" t="s">
        <v>931</v>
      </c>
      <c r="C699" s="2" t="s">
        <v>7138</v>
      </c>
      <c r="D699" s="2">
        <v>1976</v>
      </c>
      <c r="E699" s="2" t="s">
        <v>7139</v>
      </c>
      <c r="F699" s="2" t="s">
        <v>934</v>
      </c>
      <c r="G699" s="2" t="s">
        <v>7140</v>
      </c>
      <c r="H699" s="2" t="s">
        <v>7225</v>
      </c>
      <c r="I699" s="2" t="s">
        <v>7142</v>
      </c>
      <c r="J699" s="2" t="s">
        <v>8529</v>
      </c>
    </row>
    <row r="700" spans="1:10">
      <c r="A700" s="2" t="s">
        <v>3753</v>
      </c>
      <c r="B700" s="2" t="s">
        <v>931</v>
      </c>
      <c r="C700" s="2" t="s">
        <v>7179</v>
      </c>
      <c r="D700" s="2">
        <v>2002</v>
      </c>
      <c r="E700" s="2" t="s">
        <v>7139</v>
      </c>
      <c r="F700" s="2" t="s">
        <v>3754</v>
      </c>
      <c r="G700" s="2" t="s">
        <v>7192</v>
      </c>
      <c r="H700" s="2" t="s">
        <v>7182</v>
      </c>
      <c r="I700" s="2" t="s">
        <v>7142</v>
      </c>
      <c r="J700" s="2" t="s">
        <v>8605</v>
      </c>
    </row>
    <row r="701" spans="1:10">
      <c r="A701" s="2" t="s">
        <v>3755</v>
      </c>
      <c r="B701" s="2" t="s">
        <v>931</v>
      </c>
      <c r="C701" s="2" t="s">
        <v>7179</v>
      </c>
      <c r="D701" s="2">
        <v>1978</v>
      </c>
      <c r="E701" s="2" t="s">
        <v>7139</v>
      </c>
      <c r="F701" s="2" t="s">
        <v>3756</v>
      </c>
      <c r="G701" s="2" t="s">
        <v>7181</v>
      </c>
      <c r="H701" s="2" t="s">
        <v>7225</v>
      </c>
      <c r="I701" s="2" t="s">
        <v>7142</v>
      </c>
      <c r="J701" s="2" t="s">
        <v>8590</v>
      </c>
    </row>
    <row r="702" spans="1:10">
      <c r="A702" s="2" t="s">
        <v>3757</v>
      </c>
      <c r="B702" s="2" t="s">
        <v>931</v>
      </c>
      <c r="C702" s="2" t="s">
        <v>7138</v>
      </c>
      <c r="D702" s="2">
        <v>2019</v>
      </c>
      <c r="E702" s="2" t="s">
        <v>7139</v>
      </c>
      <c r="F702" s="2" t="s">
        <v>3758</v>
      </c>
      <c r="G702" s="2" t="s">
        <v>7503</v>
      </c>
      <c r="H702" s="2" t="s">
        <v>7579</v>
      </c>
      <c r="I702" s="2" t="s">
        <v>7143</v>
      </c>
    </row>
    <row r="703" spans="1:10">
      <c r="A703" s="2" t="s">
        <v>3759</v>
      </c>
      <c r="B703" s="2" t="s">
        <v>931</v>
      </c>
      <c r="C703" s="2" t="s">
        <v>7179</v>
      </c>
      <c r="D703" s="2">
        <v>2020</v>
      </c>
      <c r="E703" s="2" t="s">
        <v>7139</v>
      </c>
      <c r="F703" s="2" t="s">
        <v>3760</v>
      </c>
      <c r="G703" s="2" t="s">
        <v>7503</v>
      </c>
      <c r="H703" s="2" t="s">
        <v>7579</v>
      </c>
      <c r="I703" s="2" t="s">
        <v>7143</v>
      </c>
    </row>
    <row r="704" spans="1:10">
      <c r="A704" s="2" t="s">
        <v>3761</v>
      </c>
      <c r="B704" s="2" t="s">
        <v>931</v>
      </c>
      <c r="C704" s="2" t="s">
        <v>7138</v>
      </c>
      <c r="D704" s="2">
        <v>1997</v>
      </c>
      <c r="E704" s="2" t="s">
        <v>7139</v>
      </c>
      <c r="F704" s="2" t="s">
        <v>3762</v>
      </c>
      <c r="G704" s="2" t="s">
        <v>7192</v>
      </c>
      <c r="H704" s="2" t="s">
        <v>7182</v>
      </c>
      <c r="I704" s="2" t="s">
        <v>7142</v>
      </c>
      <c r="J704" s="2" t="s">
        <v>8533</v>
      </c>
    </row>
    <row r="705" spans="1:10">
      <c r="A705" s="2" t="s">
        <v>3763</v>
      </c>
      <c r="B705" s="2" t="s">
        <v>962</v>
      </c>
      <c r="C705" s="2" t="s">
        <v>7179</v>
      </c>
      <c r="D705" s="2">
        <v>2025</v>
      </c>
      <c r="E705" s="2" t="s">
        <v>7139</v>
      </c>
      <c r="F705" s="2" t="s">
        <v>3764</v>
      </c>
      <c r="G705" s="2" t="s">
        <v>7192</v>
      </c>
      <c r="H705" s="2" t="s">
        <v>7579</v>
      </c>
      <c r="I705" s="2" t="s">
        <v>7143</v>
      </c>
    </row>
    <row r="706" spans="1:10">
      <c r="A706" s="2" t="s">
        <v>3765</v>
      </c>
      <c r="B706" s="2" t="s">
        <v>962</v>
      </c>
      <c r="C706" s="2" t="s">
        <v>7179</v>
      </c>
      <c r="D706" s="2">
        <v>2018</v>
      </c>
      <c r="E706" s="2" t="s">
        <v>7139</v>
      </c>
      <c r="F706" s="2" t="s">
        <v>3766</v>
      </c>
      <c r="G706" s="2" t="s">
        <v>7192</v>
      </c>
      <c r="H706" s="2" t="s">
        <v>7579</v>
      </c>
      <c r="I706" s="2" t="s">
        <v>7143</v>
      </c>
    </row>
    <row r="707" spans="1:10">
      <c r="A707" s="2" t="s">
        <v>3767</v>
      </c>
      <c r="B707" s="2" t="s">
        <v>962</v>
      </c>
      <c r="C707" s="2" t="s">
        <v>7138</v>
      </c>
      <c r="D707" s="2">
        <v>1996</v>
      </c>
      <c r="E707" s="2" t="s">
        <v>7139</v>
      </c>
      <c r="F707" s="2" t="s">
        <v>965</v>
      </c>
      <c r="G707" s="2" t="s">
        <v>7140</v>
      </c>
      <c r="H707" s="2" t="s">
        <v>7395</v>
      </c>
      <c r="I707" s="2" t="s">
        <v>7142</v>
      </c>
      <c r="J707" s="2" t="s">
        <v>8531</v>
      </c>
    </row>
    <row r="708" spans="1:10">
      <c r="A708" s="2" t="s">
        <v>3768</v>
      </c>
      <c r="B708" s="2" t="s">
        <v>962</v>
      </c>
      <c r="C708" s="2" t="s">
        <v>7179</v>
      </c>
      <c r="D708" s="2">
        <v>1998</v>
      </c>
      <c r="E708" s="2" t="s">
        <v>7139</v>
      </c>
      <c r="F708" s="2" t="s">
        <v>964</v>
      </c>
      <c r="G708" s="2" t="s">
        <v>7181</v>
      </c>
      <c r="H708" s="2" t="s">
        <v>7225</v>
      </c>
      <c r="I708" s="2" t="s">
        <v>7142</v>
      </c>
      <c r="J708" s="2" t="s">
        <v>8606</v>
      </c>
    </row>
    <row r="709" spans="1:10">
      <c r="A709" s="2" t="s">
        <v>3770</v>
      </c>
      <c r="B709" s="2" t="s">
        <v>992</v>
      </c>
      <c r="C709" s="2" t="s">
        <v>7179</v>
      </c>
      <c r="D709" s="2">
        <v>2017</v>
      </c>
      <c r="E709" s="2" t="s">
        <v>7139</v>
      </c>
      <c r="F709" s="2" t="s">
        <v>3771</v>
      </c>
      <c r="G709" s="2" t="s">
        <v>7192</v>
      </c>
      <c r="H709" s="2" t="s">
        <v>7579</v>
      </c>
      <c r="I709" s="2" t="s">
        <v>7143</v>
      </c>
    </row>
    <row r="710" spans="1:10">
      <c r="A710" s="2" t="s">
        <v>3772</v>
      </c>
      <c r="B710" s="2" t="s">
        <v>992</v>
      </c>
      <c r="C710" s="2" t="s">
        <v>7179</v>
      </c>
      <c r="D710" s="2">
        <v>2019</v>
      </c>
      <c r="E710" s="2" t="s">
        <v>7139</v>
      </c>
      <c r="F710" s="2" t="s">
        <v>3773</v>
      </c>
      <c r="G710" s="2" t="s">
        <v>7192</v>
      </c>
      <c r="H710" s="2" t="s">
        <v>7579</v>
      </c>
      <c r="I710" s="2" t="s">
        <v>7143</v>
      </c>
    </row>
    <row r="711" spans="1:10">
      <c r="A711" s="2" t="s">
        <v>3774</v>
      </c>
      <c r="B711" s="2" t="s">
        <v>992</v>
      </c>
      <c r="C711" s="2" t="s">
        <v>7179</v>
      </c>
      <c r="D711" s="2">
        <v>1993</v>
      </c>
      <c r="E711" s="2" t="s">
        <v>7139</v>
      </c>
      <c r="F711" s="2" t="s">
        <v>894</v>
      </c>
      <c r="G711" s="2" t="s">
        <v>7181</v>
      </c>
      <c r="H711" s="2" t="s">
        <v>7225</v>
      </c>
      <c r="I711" s="2" t="s">
        <v>7142</v>
      </c>
      <c r="J711" s="2" t="s">
        <v>8590</v>
      </c>
    </row>
    <row r="712" spans="1:10">
      <c r="A712" s="2" t="s">
        <v>3775</v>
      </c>
      <c r="B712" s="2" t="s">
        <v>992</v>
      </c>
      <c r="C712" s="2" t="s">
        <v>7179</v>
      </c>
      <c r="D712" s="2">
        <v>2022</v>
      </c>
      <c r="E712" s="2" t="s">
        <v>7139</v>
      </c>
      <c r="F712" s="2" t="s">
        <v>3776</v>
      </c>
      <c r="G712" s="2" t="s">
        <v>7192</v>
      </c>
      <c r="H712" s="2" t="s">
        <v>7579</v>
      </c>
      <c r="I712" s="2" t="s">
        <v>7143</v>
      </c>
    </row>
    <row r="713" spans="1:10">
      <c r="A713" s="2" t="s">
        <v>3777</v>
      </c>
      <c r="B713" s="2" t="s">
        <v>992</v>
      </c>
      <c r="C713" s="2" t="s">
        <v>7138</v>
      </c>
      <c r="D713" s="2">
        <v>1989</v>
      </c>
      <c r="E713" s="2" t="s">
        <v>7139</v>
      </c>
      <c r="F713" s="2" t="s">
        <v>994</v>
      </c>
      <c r="G713" s="2" t="s">
        <v>7140</v>
      </c>
      <c r="H713" s="2" t="s">
        <v>7225</v>
      </c>
      <c r="I713" s="2" t="s">
        <v>7142</v>
      </c>
      <c r="J713" s="2" t="s">
        <v>8533</v>
      </c>
    </row>
    <row r="714" spans="1:10">
      <c r="A714" s="2" t="s">
        <v>3778</v>
      </c>
      <c r="B714" s="2" t="s">
        <v>1035</v>
      </c>
      <c r="C714" s="2" t="s">
        <v>7179</v>
      </c>
      <c r="D714" s="2">
        <v>1998</v>
      </c>
      <c r="E714" s="2" t="s">
        <v>7139</v>
      </c>
      <c r="F714" s="2" t="s">
        <v>3332</v>
      </c>
      <c r="G714" s="2" t="s">
        <v>7181</v>
      </c>
      <c r="H714" s="2" t="s">
        <v>7141</v>
      </c>
      <c r="I714" s="2" t="s">
        <v>7142</v>
      </c>
      <c r="J714" s="2" t="s">
        <v>8529</v>
      </c>
    </row>
    <row r="715" spans="1:10">
      <c r="A715" s="2" t="s">
        <v>3779</v>
      </c>
      <c r="B715" s="2" t="s">
        <v>1035</v>
      </c>
      <c r="C715" s="2" t="s">
        <v>7138</v>
      </c>
      <c r="D715" s="2">
        <v>1996</v>
      </c>
      <c r="E715" s="2" t="s">
        <v>7139</v>
      </c>
      <c r="F715" s="2" t="s">
        <v>1038</v>
      </c>
      <c r="G715" s="2" t="s">
        <v>7140</v>
      </c>
      <c r="H715" s="2" t="s">
        <v>7225</v>
      </c>
      <c r="I715" s="2" t="s">
        <v>7142</v>
      </c>
      <c r="J715" s="2" t="s">
        <v>8529</v>
      </c>
    </row>
    <row r="716" spans="1:10">
      <c r="A716" s="2" t="s">
        <v>3780</v>
      </c>
      <c r="B716" s="2" t="s">
        <v>1035</v>
      </c>
      <c r="C716" s="2" t="s">
        <v>7138</v>
      </c>
      <c r="D716" s="2">
        <v>2016</v>
      </c>
      <c r="E716" s="2" t="s">
        <v>7139</v>
      </c>
      <c r="F716" s="2" t="s">
        <v>3781</v>
      </c>
      <c r="G716" s="2" t="s">
        <v>7192</v>
      </c>
      <c r="H716" s="2" t="s">
        <v>7579</v>
      </c>
      <c r="I716" s="2" t="s">
        <v>7143</v>
      </c>
    </row>
    <row r="717" spans="1:10">
      <c r="A717" s="2" t="s">
        <v>3782</v>
      </c>
      <c r="B717" s="2" t="s">
        <v>1077</v>
      </c>
      <c r="C717" s="2" t="s">
        <v>7138</v>
      </c>
      <c r="D717" s="2">
        <v>1955</v>
      </c>
      <c r="E717" s="2" t="s">
        <v>7139</v>
      </c>
      <c r="F717" s="2" t="s">
        <v>1079</v>
      </c>
      <c r="G717" s="2" t="s">
        <v>7140</v>
      </c>
      <c r="H717" s="2" t="s">
        <v>7225</v>
      </c>
      <c r="I717" s="2" t="s">
        <v>7142</v>
      </c>
      <c r="J717" s="2" t="s">
        <v>8533</v>
      </c>
    </row>
    <row r="718" spans="1:10">
      <c r="A718" s="2" t="s">
        <v>3783</v>
      </c>
      <c r="B718" s="2" t="s">
        <v>1077</v>
      </c>
      <c r="C718" s="2" t="s">
        <v>7179</v>
      </c>
      <c r="D718" s="2">
        <v>1960</v>
      </c>
      <c r="E718" s="2" t="s">
        <v>7139</v>
      </c>
      <c r="F718" s="2" t="s">
        <v>3784</v>
      </c>
      <c r="G718" s="2" t="s">
        <v>7181</v>
      </c>
      <c r="H718" s="2" t="s">
        <v>7395</v>
      </c>
      <c r="I718" s="2" t="s">
        <v>7142</v>
      </c>
      <c r="J718" s="2" t="s">
        <v>8590</v>
      </c>
    </row>
    <row r="719" spans="1:10">
      <c r="A719" s="2" t="s">
        <v>3785</v>
      </c>
      <c r="B719" s="2" t="s">
        <v>1077</v>
      </c>
      <c r="C719" s="2" t="s">
        <v>7138</v>
      </c>
      <c r="D719" s="2">
        <v>2016</v>
      </c>
      <c r="E719" s="2" t="s">
        <v>7139</v>
      </c>
      <c r="F719" s="2" t="s">
        <v>3786</v>
      </c>
      <c r="G719" s="2" t="s">
        <v>7503</v>
      </c>
      <c r="H719" s="2" t="s">
        <v>7579</v>
      </c>
      <c r="I719" s="2" t="s">
        <v>7143</v>
      </c>
    </row>
    <row r="720" spans="1:10">
      <c r="A720" s="2" t="s">
        <v>3787</v>
      </c>
      <c r="B720" s="2" t="s">
        <v>2296</v>
      </c>
      <c r="C720" s="2" t="s">
        <v>7179</v>
      </c>
      <c r="D720" s="2">
        <v>1975</v>
      </c>
      <c r="E720" s="2" t="s">
        <v>7490</v>
      </c>
      <c r="F720" s="2" t="s">
        <v>3788</v>
      </c>
      <c r="G720" s="2" t="s">
        <v>7181</v>
      </c>
      <c r="H720" s="2" t="s">
        <v>7395</v>
      </c>
      <c r="I720" s="2" t="s">
        <v>7142</v>
      </c>
      <c r="J720" s="2" t="s">
        <v>8555</v>
      </c>
    </row>
    <row r="721" spans="1:10">
      <c r="A721" s="2" t="s">
        <v>3789</v>
      </c>
      <c r="B721" s="2" t="s">
        <v>2296</v>
      </c>
      <c r="C721" s="2" t="s">
        <v>7138</v>
      </c>
      <c r="D721" s="2">
        <v>2000</v>
      </c>
      <c r="E721" s="2" t="s">
        <v>7490</v>
      </c>
      <c r="F721" s="2" t="s">
        <v>3790</v>
      </c>
      <c r="G721" s="2" t="s">
        <v>7192</v>
      </c>
      <c r="H721" s="2" t="s">
        <v>7141</v>
      </c>
      <c r="I721" s="2" t="s">
        <v>7142</v>
      </c>
      <c r="J721" s="2" t="s">
        <v>8530</v>
      </c>
    </row>
    <row r="722" spans="1:10">
      <c r="A722" s="2" t="s">
        <v>3791</v>
      </c>
      <c r="B722" s="2" t="s">
        <v>2296</v>
      </c>
      <c r="C722" s="2" t="s">
        <v>7179</v>
      </c>
      <c r="D722" s="2">
        <v>2000</v>
      </c>
      <c r="E722" s="2" t="s">
        <v>7490</v>
      </c>
      <c r="F722" s="2" t="s">
        <v>3792</v>
      </c>
      <c r="G722" s="2" t="s">
        <v>7192</v>
      </c>
      <c r="H722" s="2" t="s">
        <v>7141</v>
      </c>
      <c r="I722" s="2" t="s">
        <v>7142</v>
      </c>
      <c r="J722" s="2" t="s">
        <v>8551</v>
      </c>
    </row>
    <row r="723" spans="1:10">
      <c r="A723" s="2" t="s">
        <v>3793</v>
      </c>
      <c r="B723" s="2" t="s">
        <v>2296</v>
      </c>
      <c r="C723" s="2" t="s">
        <v>7138</v>
      </c>
      <c r="D723" s="2">
        <v>1968</v>
      </c>
      <c r="E723" s="2" t="s">
        <v>7490</v>
      </c>
      <c r="F723" s="2" t="s">
        <v>3794</v>
      </c>
      <c r="G723" s="2" t="s">
        <v>7140</v>
      </c>
      <c r="H723" s="2" t="s">
        <v>7225</v>
      </c>
      <c r="I723" s="2" t="s">
        <v>7142</v>
      </c>
      <c r="J723" s="2" t="s">
        <v>8529</v>
      </c>
    </row>
    <row r="724" spans="1:10">
      <c r="A724" s="2" t="s">
        <v>3795</v>
      </c>
      <c r="B724" s="2" t="s">
        <v>1104</v>
      </c>
      <c r="C724" s="2" t="s">
        <v>7138</v>
      </c>
      <c r="D724" s="2">
        <v>2017</v>
      </c>
      <c r="E724" s="2" t="s">
        <v>7139</v>
      </c>
      <c r="F724" s="2" t="s">
        <v>3329</v>
      </c>
      <c r="G724" s="2" t="s">
        <v>7192</v>
      </c>
      <c r="H724" s="2" t="s">
        <v>7579</v>
      </c>
      <c r="I724" s="2" t="s">
        <v>7143</v>
      </c>
    </row>
    <row r="725" spans="1:10">
      <c r="A725" s="2" t="s">
        <v>3796</v>
      </c>
      <c r="B725" s="2" t="s">
        <v>2329</v>
      </c>
      <c r="C725" s="2" t="s">
        <v>7138</v>
      </c>
      <c r="D725" s="2">
        <v>2019</v>
      </c>
      <c r="E725" s="2" t="s">
        <v>7490</v>
      </c>
      <c r="F725" s="2" t="s">
        <v>3797</v>
      </c>
      <c r="G725" s="2" t="s">
        <v>7192</v>
      </c>
      <c r="H725" s="2" t="s">
        <v>7579</v>
      </c>
      <c r="I725" s="2" t="s">
        <v>7143</v>
      </c>
    </row>
    <row r="726" spans="1:10">
      <c r="A726" s="2" t="s">
        <v>3798</v>
      </c>
      <c r="B726" s="2" t="s">
        <v>2329</v>
      </c>
      <c r="C726" s="2" t="s">
        <v>7138</v>
      </c>
      <c r="D726" s="2">
        <v>1993</v>
      </c>
      <c r="E726" s="2" t="s">
        <v>7490</v>
      </c>
      <c r="F726" s="2" t="s">
        <v>2331</v>
      </c>
      <c r="G726" s="2" t="s">
        <v>7140</v>
      </c>
      <c r="H726" s="2" t="s">
        <v>7225</v>
      </c>
      <c r="I726" s="2" t="s">
        <v>7142</v>
      </c>
      <c r="J726" s="2" t="s">
        <v>8533</v>
      </c>
    </row>
    <row r="727" spans="1:10">
      <c r="A727" s="2" t="s">
        <v>3799</v>
      </c>
      <c r="B727" s="2" t="s">
        <v>2329</v>
      </c>
      <c r="C727" s="2" t="s">
        <v>7179</v>
      </c>
      <c r="D727" s="2">
        <v>2012</v>
      </c>
      <c r="E727" s="2" t="s">
        <v>7490</v>
      </c>
      <c r="F727" s="2" t="s">
        <v>3800</v>
      </c>
      <c r="G727" s="2" t="s">
        <v>7192</v>
      </c>
      <c r="H727" s="2" t="s">
        <v>7579</v>
      </c>
      <c r="I727" s="2" t="s">
        <v>7143</v>
      </c>
    </row>
    <row r="728" spans="1:10">
      <c r="A728" s="2" t="s">
        <v>3801</v>
      </c>
      <c r="B728" s="2" t="s">
        <v>2329</v>
      </c>
      <c r="C728" s="2" t="s">
        <v>7179</v>
      </c>
      <c r="D728" s="2">
        <v>1993</v>
      </c>
      <c r="E728" s="2" t="s">
        <v>7490</v>
      </c>
      <c r="F728" s="2" t="s">
        <v>3802</v>
      </c>
      <c r="G728" s="2" t="s">
        <v>7181</v>
      </c>
      <c r="H728" s="2" t="s">
        <v>7225</v>
      </c>
      <c r="I728" s="2" t="s">
        <v>7142</v>
      </c>
      <c r="J728" s="2" t="s">
        <v>8555</v>
      </c>
    </row>
    <row r="729" spans="1:10">
      <c r="A729" s="2" t="s">
        <v>3803</v>
      </c>
      <c r="B729" s="2" t="s">
        <v>2378</v>
      </c>
      <c r="C729" s="2" t="s">
        <v>7179</v>
      </c>
      <c r="D729" s="2">
        <v>1987</v>
      </c>
      <c r="E729" s="2" t="s">
        <v>7490</v>
      </c>
      <c r="F729" s="2" t="s">
        <v>2381</v>
      </c>
      <c r="G729" s="2" t="s">
        <v>7181</v>
      </c>
      <c r="H729" s="2" t="s">
        <v>7225</v>
      </c>
      <c r="I729" s="2" t="s">
        <v>7142</v>
      </c>
      <c r="J729" s="2" t="s">
        <v>8555</v>
      </c>
    </row>
    <row r="730" spans="1:10">
      <c r="A730" s="2" t="s">
        <v>3804</v>
      </c>
      <c r="B730" s="2" t="s">
        <v>2378</v>
      </c>
      <c r="C730" s="2" t="s">
        <v>7138</v>
      </c>
      <c r="D730" s="2">
        <v>1990</v>
      </c>
      <c r="E730" s="2" t="s">
        <v>7490</v>
      </c>
      <c r="F730" s="2" t="s">
        <v>2382</v>
      </c>
      <c r="G730" s="2" t="s">
        <v>7140</v>
      </c>
      <c r="H730" s="2" t="s">
        <v>7225</v>
      </c>
      <c r="I730" s="2" t="s">
        <v>7142</v>
      </c>
      <c r="J730" s="2" t="s">
        <v>8532</v>
      </c>
    </row>
    <row r="731" spans="1:10">
      <c r="A731" s="2" t="s">
        <v>3805</v>
      </c>
      <c r="B731" s="2" t="s">
        <v>1158</v>
      </c>
      <c r="C731" s="2" t="s">
        <v>7179</v>
      </c>
      <c r="D731" s="2">
        <v>1986</v>
      </c>
      <c r="E731" s="2" t="s">
        <v>7139</v>
      </c>
      <c r="F731" s="2" t="s">
        <v>1161</v>
      </c>
      <c r="G731" s="2" t="s">
        <v>7181</v>
      </c>
      <c r="H731" s="2" t="s">
        <v>7141</v>
      </c>
      <c r="I731" s="2" t="s">
        <v>7142</v>
      </c>
      <c r="J731" s="2" t="s">
        <v>8566</v>
      </c>
    </row>
    <row r="732" spans="1:10">
      <c r="A732" s="2" t="s">
        <v>3806</v>
      </c>
      <c r="B732" s="2" t="s">
        <v>2413</v>
      </c>
      <c r="C732" s="2" t="s">
        <v>7138</v>
      </c>
      <c r="D732" s="2">
        <v>1984</v>
      </c>
      <c r="E732" s="2" t="s">
        <v>7490</v>
      </c>
      <c r="F732" s="2" t="s">
        <v>2415</v>
      </c>
      <c r="G732" s="2" t="s">
        <v>7140</v>
      </c>
      <c r="H732" s="2" t="s">
        <v>7225</v>
      </c>
      <c r="I732" s="2" t="s">
        <v>7142</v>
      </c>
      <c r="J732" s="2" t="s">
        <v>8533</v>
      </c>
    </row>
    <row r="733" spans="1:10">
      <c r="A733" s="2" t="s">
        <v>3807</v>
      </c>
      <c r="B733" s="2" t="s">
        <v>2413</v>
      </c>
      <c r="C733" s="2" t="s">
        <v>7179</v>
      </c>
      <c r="D733" s="2">
        <v>1982</v>
      </c>
      <c r="E733" s="2" t="s">
        <v>7490</v>
      </c>
      <c r="F733" s="2" t="s">
        <v>3808</v>
      </c>
      <c r="G733" s="2" t="s">
        <v>7181</v>
      </c>
      <c r="H733" s="2" t="s">
        <v>7225</v>
      </c>
      <c r="I733" s="2" t="s">
        <v>7142</v>
      </c>
      <c r="J733" s="2" t="s">
        <v>8555</v>
      </c>
    </row>
    <row r="734" spans="1:10">
      <c r="A734" s="2" t="s">
        <v>3809</v>
      </c>
      <c r="B734" s="2" t="s">
        <v>2413</v>
      </c>
      <c r="C734" s="2" t="s">
        <v>7138</v>
      </c>
      <c r="D734" s="2">
        <v>2009</v>
      </c>
      <c r="E734" s="2" t="s">
        <v>7490</v>
      </c>
      <c r="F734" s="2" t="s">
        <v>3810</v>
      </c>
      <c r="G734" s="2" t="s">
        <v>7192</v>
      </c>
      <c r="H734" s="2" t="s">
        <v>7579</v>
      </c>
      <c r="I734" s="2" t="s">
        <v>7142</v>
      </c>
      <c r="J734" s="2" t="s">
        <v>8607</v>
      </c>
    </row>
    <row r="735" spans="1:10">
      <c r="A735" s="2" t="s">
        <v>3812</v>
      </c>
      <c r="B735" s="2" t="s">
        <v>2429</v>
      </c>
      <c r="C735" s="2" t="s">
        <v>7179</v>
      </c>
      <c r="D735" s="2">
        <v>2000</v>
      </c>
      <c r="E735" s="2" t="s">
        <v>7490</v>
      </c>
      <c r="F735" s="2" t="s">
        <v>3813</v>
      </c>
      <c r="G735" s="2" t="s">
        <v>7140</v>
      </c>
      <c r="H735" s="2" t="s">
        <v>7141</v>
      </c>
      <c r="I735" s="2" t="s">
        <v>7142</v>
      </c>
      <c r="J735" s="2" t="s">
        <v>8538</v>
      </c>
    </row>
    <row r="736" spans="1:10">
      <c r="A736" s="2" t="s">
        <v>3814</v>
      </c>
      <c r="B736" s="2" t="s">
        <v>2429</v>
      </c>
      <c r="C736" s="2" t="s">
        <v>7179</v>
      </c>
      <c r="D736" s="2">
        <v>1959</v>
      </c>
      <c r="E736" s="2" t="s">
        <v>7490</v>
      </c>
      <c r="F736" s="2" t="s">
        <v>3815</v>
      </c>
      <c r="G736" s="2" t="s">
        <v>8451</v>
      </c>
      <c r="H736" s="2" t="s">
        <v>7395</v>
      </c>
      <c r="I736" s="2" t="s">
        <v>7142</v>
      </c>
      <c r="J736" s="2" t="s">
        <v>8531</v>
      </c>
    </row>
    <row r="737" spans="1:10">
      <c r="A737" s="2" t="s">
        <v>3816</v>
      </c>
      <c r="B737" s="2" t="s">
        <v>2451</v>
      </c>
      <c r="C737" s="2" t="s">
        <v>7138</v>
      </c>
      <c r="D737" s="2">
        <v>1993</v>
      </c>
      <c r="E737" s="2" t="s">
        <v>7490</v>
      </c>
      <c r="F737" s="2" t="s">
        <v>3817</v>
      </c>
      <c r="G737" s="2" t="s">
        <v>7140</v>
      </c>
      <c r="H737" s="2" t="s">
        <v>7141</v>
      </c>
      <c r="I737" s="2" t="s">
        <v>7142</v>
      </c>
      <c r="J737" s="2" t="s">
        <v>8533</v>
      </c>
    </row>
    <row r="738" spans="1:10">
      <c r="A738" s="2" t="s">
        <v>3818</v>
      </c>
      <c r="B738" s="2" t="s">
        <v>2451</v>
      </c>
      <c r="C738" s="2" t="s">
        <v>7138</v>
      </c>
      <c r="D738" s="2">
        <v>2023</v>
      </c>
      <c r="E738" s="2" t="s">
        <v>7490</v>
      </c>
      <c r="F738" s="2" t="s">
        <v>3819</v>
      </c>
      <c r="G738" s="2" t="s">
        <v>7192</v>
      </c>
      <c r="H738" s="2" t="s">
        <v>7579</v>
      </c>
      <c r="I738" s="2" t="s">
        <v>7143</v>
      </c>
    </row>
    <row r="739" spans="1:10">
      <c r="A739" s="2" t="s">
        <v>3820</v>
      </c>
      <c r="B739" s="2" t="s">
        <v>2451</v>
      </c>
      <c r="C739" s="2" t="s">
        <v>7179</v>
      </c>
      <c r="D739" s="2">
        <v>1999</v>
      </c>
      <c r="E739" s="2" t="s">
        <v>7490</v>
      </c>
      <c r="F739" s="2" t="s">
        <v>3821</v>
      </c>
      <c r="G739" s="2" t="s">
        <v>7181</v>
      </c>
      <c r="H739" s="2" t="s">
        <v>7141</v>
      </c>
      <c r="I739" s="2" t="s">
        <v>7142</v>
      </c>
      <c r="J739" s="2" t="s">
        <v>8555</v>
      </c>
    </row>
    <row r="740" spans="1:10">
      <c r="A740" s="2" t="s">
        <v>3822</v>
      </c>
      <c r="B740" s="2" t="s">
        <v>2451</v>
      </c>
      <c r="C740" s="2" t="s">
        <v>7179</v>
      </c>
      <c r="D740" s="2">
        <v>2017</v>
      </c>
      <c r="E740" s="2" t="s">
        <v>7490</v>
      </c>
      <c r="F740" s="2" t="s">
        <v>3823</v>
      </c>
      <c r="G740" s="2" t="s">
        <v>7192</v>
      </c>
      <c r="H740" s="2" t="s">
        <v>7579</v>
      </c>
      <c r="I740" s="2" t="s">
        <v>7143</v>
      </c>
    </row>
    <row r="741" spans="1:10">
      <c r="A741" s="2" t="s">
        <v>3824</v>
      </c>
      <c r="B741" s="2" t="s">
        <v>2461</v>
      </c>
      <c r="C741" s="2" t="s">
        <v>7179</v>
      </c>
      <c r="D741" s="2">
        <v>2001</v>
      </c>
      <c r="E741" s="2" t="s">
        <v>7180</v>
      </c>
      <c r="F741" s="2" t="s">
        <v>3825</v>
      </c>
      <c r="G741" s="2" t="s">
        <v>7181</v>
      </c>
      <c r="H741" s="2" t="s">
        <v>7182</v>
      </c>
      <c r="I741" s="2" t="s">
        <v>7142</v>
      </c>
      <c r="J741" s="2" t="s">
        <v>8608</v>
      </c>
    </row>
    <row r="742" spans="1:10">
      <c r="A742" s="2" t="s">
        <v>3827</v>
      </c>
      <c r="B742" s="2" t="s">
        <v>2461</v>
      </c>
      <c r="C742" s="2" t="s">
        <v>7138</v>
      </c>
      <c r="D742" s="2">
        <v>1998</v>
      </c>
      <c r="E742" s="2" t="s">
        <v>7180</v>
      </c>
      <c r="F742" s="2" t="s">
        <v>2464</v>
      </c>
      <c r="G742" s="2" t="s">
        <v>7140</v>
      </c>
      <c r="H742" s="2" t="s">
        <v>7428</v>
      </c>
      <c r="I742" s="2" t="s">
        <v>7142</v>
      </c>
      <c r="J742" s="2" t="s">
        <v>8532</v>
      </c>
    </row>
    <row r="743" spans="1:10">
      <c r="A743" s="2" t="s">
        <v>3828</v>
      </c>
      <c r="B743" s="2" t="s">
        <v>1173</v>
      </c>
      <c r="C743" s="2" t="s">
        <v>7138</v>
      </c>
      <c r="D743" s="2">
        <v>1975</v>
      </c>
      <c r="E743" s="2" t="s">
        <v>7139</v>
      </c>
      <c r="F743" s="2" t="s">
        <v>1176</v>
      </c>
      <c r="G743" s="2" t="s">
        <v>7140</v>
      </c>
      <c r="H743" s="2" t="s">
        <v>7225</v>
      </c>
      <c r="I743" s="2" t="s">
        <v>7142</v>
      </c>
      <c r="J743" s="2" t="s">
        <v>8533</v>
      </c>
    </row>
    <row r="744" spans="1:10">
      <c r="A744" s="2" t="s">
        <v>3829</v>
      </c>
      <c r="B744" s="2" t="s">
        <v>1173</v>
      </c>
      <c r="C744" s="2" t="s">
        <v>7179</v>
      </c>
      <c r="D744" s="2">
        <v>2001</v>
      </c>
      <c r="E744" s="2" t="s">
        <v>7139</v>
      </c>
      <c r="F744" s="2" t="s">
        <v>3830</v>
      </c>
      <c r="G744" s="2" t="s">
        <v>7192</v>
      </c>
      <c r="H744" s="2" t="s">
        <v>7141</v>
      </c>
      <c r="I744" s="2" t="s">
        <v>7142</v>
      </c>
      <c r="J744" s="2" t="s">
        <v>8605</v>
      </c>
    </row>
    <row r="745" spans="1:10">
      <c r="A745" s="2" t="s">
        <v>3831</v>
      </c>
      <c r="B745" s="2" t="s">
        <v>1173</v>
      </c>
      <c r="C745" s="2" t="s">
        <v>7138</v>
      </c>
      <c r="D745" s="2">
        <v>2000</v>
      </c>
      <c r="E745" s="2" t="s">
        <v>7139</v>
      </c>
      <c r="F745" s="2" t="s">
        <v>1175</v>
      </c>
      <c r="G745" s="2" t="s">
        <v>7192</v>
      </c>
      <c r="H745" s="2" t="s">
        <v>7141</v>
      </c>
      <c r="I745" s="2" t="s">
        <v>7142</v>
      </c>
      <c r="J745" s="2" t="s">
        <v>8609</v>
      </c>
    </row>
    <row r="746" spans="1:10">
      <c r="A746" s="2" t="s">
        <v>3833</v>
      </c>
      <c r="B746" s="2" t="s">
        <v>2518</v>
      </c>
      <c r="C746" s="2" t="s">
        <v>7138</v>
      </c>
      <c r="D746" s="2">
        <v>1990</v>
      </c>
      <c r="E746" s="2" t="s">
        <v>7490</v>
      </c>
      <c r="F746" s="2" t="s">
        <v>2520</v>
      </c>
      <c r="G746" s="2" t="s">
        <v>7140</v>
      </c>
      <c r="H746" s="2" t="s">
        <v>7141</v>
      </c>
      <c r="I746" s="2" t="s">
        <v>7142</v>
      </c>
      <c r="J746" s="2" t="s">
        <v>8532</v>
      </c>
    </row>
    <row r="747" spans="1:10">
      <c r="A747" s="2" t="s">
        <v>3834</v>
      </c>
      <c r="B747" s="2" t="s">
        <v>2518</v>
      </c>
      <c r="C747" s="2" t="s">
        <v>7179</v>
      </c>
      <c r="D747" s="2">
        <v>1997</v>
      </c>
      <c r="E747" s="2" t="s">
        <v>7490</v>
      </c>
      <c r="F747" s="2" t="s">
        <v>3835</v>
      </c>
      <c r="G747" s="2" t="s">
        <v>7181</v>
      </c>
      <c r="H747" s="2" t="s">
        <v>7141</v>
      </c>
      <c r="I747" s="2" t="s">
        <v>7142</v>
      </c>
      <c r="J747" s="2" t="s">
        <v>8540</v>
      </c>
    </row>
    <row r="748" spans="1:10">
      <c r="A748" s="2" t="s">
        <v>3836</v>
      </c>
      <c r="B748" s="2" t="s">
        <v>1178</v>
      </c>
      <c r="C748" s="2" t="s">
        <v>7138</v>
      </c>
      <c r="D748" s="2">
        <v>1991</v>
      </c>
      <c r="E748" s="2" t="s">
        <v>7139</v>
      </c>
      <c r="F748" s="2" t="s">
        <v>3837</v>
      </c>
      <c r="G748" s="2" t="s">
        <v>7140</v>
      </c>
      <c r="H748" s="2" t="s">
        <v>7141</v>
      </c>
      <c r="I748" s="2" t="s">
        <v>7142</v>
      </c>
      <c r="J748" s="2" t="s">
        <v>8533</v>
      </c>
    </row>
    <row r="749" spans="1:10">
      <c r="A749" s="2" t="s">
        <v>3838</v>
      </c>
      <c r="B749" s="2" t="s">
        <v>1201</v>
      </c>
      <c r="C749" s="2" t="s">
        <v>7179</v>
      </c>
      <c r="D749" s="2">
        <v>1986</v>
      </c>
      <c r="E749" s="2" t="s">
        <v>7139</v>
      </c>
      <c r="F749" s="2" t="s">
        <v>3839</v>
      </c>
      <c r="G749" s="2" t="s">
        <v>7181</v>
      </c>
      <c r="H749" s="2" t="s">
        <v>7182</v>
      </c>
      <c r="I749" s="2" t="s">
        <v>7142</v>
      </c>
      <c r="J749" s="2" t="s">
        <v>8610</v>
      </c>
    </row>
    <row r="750" spans="1:10">
      <c r="A750" s="2" t="s">
        <v>3841</v>
      </c>
      <c r="B750" s="2" t="s">
        <v>1201</v>
      </c>
      <c r="C750" s="2" t="s">
        <v>7179</v>
      </c>
      <c r="D750" s="2">
        <v>2015</v>
      </c>
      <c r="E750" s="2" t="s">
        <v>7139</v>
      </c>
      <c r="F750" s="2" t="s">
        <v>3842</v>
      </c>
      <c r="G750" s="2" t="s">
        <v>7192</v>
      </c>
      <c r="H750" s="2" t="s">
        <v>7579</v>
      </c>
      <c r="I750" s="2" t="s">
        <v>7143</v>
      </c>
    </row>
    <row r="751" spans="1:10">
      <c r="A751" s="2" t="s">
        <v>3843</v>
      </c>
      <c r="B751" s="2" t="s">
        <v>2536</v>
      </c>
      <c r="C751" s="2" t="s">
        <v>7138</v>
      </c>
      <c r="D751" s="2">
        <v>1995</v>
      </c>
      <c r="E751" s="2" t="s">
        <v>7490</v>
      </c>
      <c r="F751" s="2" t="s">
        <v>2538</v>
      </c>
      <c r="G751" s="2" t="s">
        <v>7140</v>
      </c>
      <c r="H751" s="2" t="s">
        <v>7225</v>
      </c>
      <c r="I751" s="2" t="s">
        <v>7142</v>
      </c>
      <c r="J751" s="2" t="s">
        <v>8532</v>
      </c>
    </row>
    <row r="752" spans="1:10">
      <c r="A752" s="2" t="s">
        <v>3844</v>
      </c>
      <c r="B752" s="2" t="s">
        <v>2536</v>
      </c>
      <c r="C752" s="2" t="s">
        <v>7179</v>
      </c>
      <c r="D752" s="2">
        <v>1989</v>
      </c>
      <c r="E752" s="2" t="s">
        <v>7490</v>
      </c>
      <c r="F752" s="2" t="s">
        <v>3845</v>
      </c>
      <c r="G752" s="2" t="s">
        <v>7181</v>
      </c>
      <c r="H752" s="2" t="s">
        <v>7225</v>
      </c>
      <c r="I752" s="2" t="s">
        <v>7142</v>
      </c>
      <c r="J752" s="2" t="s">
        <v>8611</v>
      </c>
    </row>
    <row r="753" spans="1:10">
      <c r="A753" s="2" t="s">
        <v>3847</v>
      </c>
      <c r="B753" s="2" t="s">
        <v>2540</v>
      </c>
      <c r="C753" s="2" t="s">
        <v>7138</v>
      </c>
      <c r="D753" s="2">
        <v>2000</v>
      </c>
      <c r="E753" s="2" t="s">
        <v>7490</v>
      </c>
      <c r="F753" s="2" t="s">
        <v>3848</v>
      </c>
      <c r="G753" s="2" t="s">
        <v>7181</v>
      </c>
      <c r="H753" s="2" t="s">
        <v>7141</v>
      </c>
      <c r="I753" s="2" t="s">
        <v>7142</v>
      </c>
      <c r="J753" s="2" t="s">
        <v>8532</v>
      </c>
    </row>
    <row r="754" spans="1:10">
      <c r="A754" s="2" t="s">
        <v>3849</v>
      </c>
      <c r="B754" s="2" t="s">
        <v>2540</v>
      </c>
      <c r="C754" s="2" t="s">
        <v>7179</v>
      </c>
      <c r="D754" s="2">
        <v>2005</v>
      </c>
      <c r="E754" s="2" t="s">
        <v>7490</v>
      </c>
      <c r="F754" s="2" t="s">
        <v>2542</v>
      </c>
      <c r="G754" s="2" t="s">
        <v>7140</v>
      </c>
      <c r="H754" s="2" t="s">
        <v>7141</v>
      </c>
      <c r="I754" s="2" t="s">
        <v>7142</v>
      </c>
      <c r="J754" s="2" t="s">
        <v>8533</v>
      </c>
    </row>
    <row r="755" spans="1:10">
      <c r="A755" s="2" t="s">
        <v>3850</v>
      </c>
      <c r="B755" s="2" t="s">
        <v>2544</v>
      </c>
      <c r="C755" s="2" t="s">
        <v>7179</v>
      </c>
      <c r="D755" s="2">
        <v>1986</v>
      </c>
      <c r="E755" s="2" t="s">
        <v>7490</v>
      </c>
      <c r="F755" s="2" t="s">
        <v>3851</v>
      </c>
      <c r="G755" s="2" t="s">
        <v>7181</v>
      </c>
      <c r="H755" s="2" t="s">
        <v>7225</v>
      </c>
      <c r="I755" s="2" t="s">
        <v>7142</v>
      </c>
      <c r="J755" s="2" t="s">
        <v>8538</v>
      </c>
    </row>
    <row r="756" spans="1:10">
      <c r="A756" s="2" t="s">
        <v>3852</v>
      </c>
      <c r="B756" s="2" t="s">
        <v>2544</v>
      </c>
      <c r="C756" s="2" t="s">
        <v>7138</v>
      </c>
      <c r="D756" s="2">
        <v>1993</v>
      </c>
      <c r="E756" s="2" t="s">
        <v>7490</v>
      </c>
      <c r="F756" s="2" t="s">
        <v>2546</v>
      </c>
      <c r="G756" s="2" t="s">
        <v>7140</v>
      </c>
      <c r="H756" s="2" t="s">
        <v>7225</v>
      </c>
      <c r="I756" s="2" t="s">
        <v>7142</v>
      </c>
      <c r="J756" s="2" t="s">
        <v>8531</v>
      </c>
    </row>
    <row r="757" spans="1:10">
      <c r="A757" s="2" t="s">
        <v>3853</v>
      </c>
      <c r="B757" s="2" t="s">
        <v>1261</v>
      </c>
      <c r="C757" s="2" t="s">
        <v>7138</v>
      </c>
      <c r="D757" s="2">
        <v>1974</v>
      </c>
      <c r="E757" s="2" t="s">
        <v>7180</v>
      </c>
      <c r="F757" s="2" t="s">
        <v>1264</v>
      </c>
      <c r="G757" s="2" t="s">
        <v>7140</v>
      </c>
      <c r="H757" s="2" t="s">
        <v>7182</v>
      </c>
      <c r="I757" s="2" t="s">
        <v>7142</v>
      </c>
      <c r="J757" s="2" t="s">
        <v>8533</v>
      </c>
    </row>
    <row r="758" spans="1:10">
      <c r="A758" s="2" t="s">
        <v>3854</v>
      </c>
      <c r="B758" s="2" t="s">
        <v>1261</v>
      </c>
      <c r="C758" s="2" t="s">
        <v>7179</v>
      </c>
      <c r="D758" s="2">
        <v>1982</v>
      </c>
      <c r="E758" s="2" t="s">
        <v>7180</v>
      </c>
      <c r="F758" s="2" t="s">
        <v>3855</v>
      </c>
      <c r="G758" s="2" t="s">
        <v>7181</v>
      </c>
      <c r="H758" s="2" t="s">
        <v>7428</v>
      </c>
      <c r="I758" s="2" t="s">
        <v>7142</v>
      </c>
      <c r="J758" s="2" t="s">
        <v>8612</v>
      </c>
    </row>
    <row r="759" spans="1:10">
      <c r="A759" s="2" t="s">
        <v>3857</v>
      </c>
      <c r="B759" s="2" t="s">
        <v>1261</v>
      </c>
      <c r="C759" s="2" t="s">
        <v>7179</v>
      </c>
      <c r="D759" s="2">
        <v>2008</v>
      </c>
      <c r="E759" s="2" t="s">
        <v>7180</v>
      </c>
      <c r="F759" s="2" t="s">
        <v>3858</v>
      </c>
      <c r="G759" s="2" t="s">
        <v>7192</v>
      </c>
      <c r="H759" s="2" t="s">
        <v>7182</v>
      </c>
      <c r="I759" s="2" t="s">
        <v>7143</v>
      </c>
    </row>
    <row r="760" spans="1:10">
      <c r="A760" s="2" t="s">
        <v>3859</v>
      </c>
      <c r="B760" s="2" t="s">
        <v>478</v>
      </c>
      <c r="C760" s="2" t="s">
        <v>7179</v>
      </c>
      <c r="D760" s="2">
        <v>1997</v>
      </c>
      <c r="E760" s="2" t="s">
        <v>7139</v>
      </c>
      <c r="F760" s="2" t="s">
        <v>3860</v>
      </c>
      <c r="G760" s="2" t="s">
        <v>7503</v>
      </c>
      <c r="H760" s="2" t="s">
        <v>7225</v>
      </c>
      <c r="I760" s="2" t="s">
        <v>7142</v>
      </c>
      <c r="J760" s="2" t="s">
        <v>8613</v>
      </c>
    </row>
    <row r="761" spans="1:10">
      <c r="A761" s="2" t="s">
        <v>3862</v>
      </c>
      <c r="B761" s="2" t="s">
        <v>478</v>
      </c>
      <c r="C761" s="2" t="s">
        <v>7138</v>
      </c>
      <c r="D761" s="2">
        <v>2015</v>
      </c>
      <c r="E761" s="2" t="s">
        <v>7139</v>
      </c>
      <c r="F761" s="2" t="s">
        <v>3863</v>
      </c>
      <c r="G761" s="2" t="s">
        <v>7503</v>
      </c>
      <c r="H761" s="2" t="s">
        <v>7225</v>
      </c>
      <c r="I761" s="2" t="s">
        <v>7143</v>
      </c>
    </row>
    <row r="762" spans="1:10">
      <c r="A762" s="2" t="s">
        <v>3864</v>
      </c>
      <c r="B762" s="2" t="s">
        <v>478</v>
      </c>
      <c r="C762" s="2" t="s">
        <v>7138</v>
      </c>
      <c r="D762" s="2">
        <v>2018</v>
      </c>
      <c r="E762" s="2" t="s">
        <v>7139</v>
      </c>
      <c r="F762" s="2" t="s">
        <v>3865</v>
      </c>
      <c r="G762" s="2" t="s">
        <v>7503</v>
      </c>
      <c r="H762" s="2" t="s">
        <v>7579</v>
      </c>
      <c r="I762" s="2" t="s">
        <v>7143</v>
      </c>
    </row>
    <row r="763" spans="1:10">
      <c r="A763" s="2" t="s">
        <v>3866</v>
      </c>
      <c r="B763" s="2" t="s">
        <v>478</v>
      </c>
      <c r="C763" s="2" t="s">
        <v>7138</v>
      </c>
      <c r="D763" s="2">
        <v>2003</v>
      </c>
      <c r="E763" s="2" t="s">
        <v>7139</v>
      </c>
      <c r="F763" s="2" t="s">
        <v>3867</v>
      </c>
      <c r="G763" s="2" t="s">
        <v>7503</v>
      </c>
      <c r="H763" s="2" t="s">
        <v>7141</v>
      </c>
      <c r="I763" s="2" t="s">
        <v>7142</v>
      </c>
      <c r="J763" s="2" t="s">
        <v>8530</v>
      </c>
    </row>
    <row r="764" spans="1:10">
      <c r="A764" s="2" t="s">
        <v>3868</v>
      </c>
      <c r="B764" s="2" t="s">
        <v>478</v>
      </c>
      <c r="C764" s="2" t="s">
        <v>7179</v>
      </c>
      <c r="D764" s="2">
        <v>1967</v>
      </c>
      <c r="E764" s="2" t="s">
        <v>7139</v>
      </c>
      <c r="F764" s="2" t="s">
        <v>483</v>
      </c>
      <c r="G764" s="2" t="s">
        <v>7140</v>
      </c>
      <c r="H764" s="2" t="s">
        <v>7225</v>
      </c>
      <c r="I764" s="2" t="s">
        <v>7143</v>
      </c>
    </row>
    <row r="765" spans="1:10">
      <c r="A765" s="2" t="s">
        <v>3869</v>
      </c>
      <c r="B765" s="2" t="s">
        <v>2226</v>
      </c>
      <c r="C765" s="2" t="s">
        <v>7138</v>
      </c>
      <c r="D765" s="2">
        <v>1988</v>
      </c>
      <c r="E765" s="2" t="s">
        <v>7490</v>
      </c>
      <c r="F765" s="2" t="s">
        <v>2227</v>
      </c>
      <c r="G765" s="2" t="s">
        <v>7140</v>
      </c>
      <c r="H765" s="2" t="s">
        <v>7225</v>
      </c>
      <c r="I765" s="2" t="s">
        <v>7142</v>
      </c>
      <c r="J765" s="2" t="s">
        <v>8533</v>
      </c>
    </row>
    <row r="766" spans="1:10">
      <c r="A766" s="2" t="s">
        <v>3870</v>
      </c>
      <c r="B766" s="2" t="s">
        <v>2226</v>
      </c>
      <c r="C766" s="2" t="s">
        <v>7179</v>
      </c>
      <c r="D766" s="2">
        <v>1992</v>
      </c>
      <c r="E766" s="2" t="s">
        <v>7490</v>
      </c>
      <c r="F766" s="2" t="s">
        <v>3871</v>
      </c>
      <c r="G766" s="2" t="s">
        <v>7181</v>
      </c>
      <c r="H766" s="2" t="s">
        <v>7225</v>
      </c>
      <c r="I766" s="2" t="s">
        <v>7142</v>
      </c>
      <c r="J766" s="2" t="s">
        <v>8540</v>
      </c>
    </row>
    <row r="767" spans="1:10">
      <c r="A767" s="2" t="s">
        <v>3872</v>
      </c>
      <c r="B767" s="2" t="s">
        <v>2189</v>
      </c>
      <c r="C767" s="2" t="s">
        <v>7138</v>
      </c>
      <c r="D767" s="2">
        <v>1966</v>
      </c>
      <c r="E767" s="2" t="s">
        <v>7180</v>
      </c>
      <c r="F767" s="2" t="s">
        <v>2190</v>
      </c>
      <c r="G767" s="2" t="s">
        <v>7140</v>
      </c>
      <c r="H767" s="2" t="s">
        <v>7141</v>
      </c>
      <c r="I767" s="2" t="s">
        <v>7142</v>
      </c>
      <c r="J767" s="2" t="s">
        <v>8533</v>
      </c>
    </row>
    <row r="768" spans="1:10">
      <c r="A768" s="2" t="s">
        <v>3873</v>
      </c>
      <c r="B768" s="2" t="s">
        <v>2189</v>
      </c>
      <c r="C768" s="2" t="s">
        <v>7138</v>
      </c>
      <c r="D768" s="2">
        <v>1994</v>
      </c>
      <c r="E768" s="2" t="s">
        <v>7180</v>
      </c>
      <c r="F768" s="2" t="s">
        <v>3874</v>
      </c>
      <c r="G768" s="2" t="s">
        <v>7192</v>
      </c>
      <c r="H768" s="2" t="s">
        <v>7225</v>
      </c>
      <c r="I768" s="2" t="s">
        <v>7142</v>
      </c>
      <c r="J768" s="2" t="s">
        <v>8531</v>
      </c>
    </row>
    <row r="769" spans="1:10">
      <c r="A769" s="2" t="s">
        <v>3875</v>
      </c>
      <c r="B769" s="2" t="s">
        <v>2189</v>
      </c>
      <c r="C769" s="2" t="s">
        <v>7179</v>
      </c>
      <c r="D769" s="2">
        <v>1968</v>
      </c>
      <c r="E769" s="2" t="s">
        <v>7180</v>
      </c>
      <c r="F769" s="2" t="s">
        <v>3876</v>
      </c>
      <c r="G769" s="2" t="s">
        <v>7181</v>
      </c>
      <c r="H769" s="2" t="s">
        <v>7141</v>
      </c>
      <c r="I769" s="2" t="s">
        <v>7142</v>
      </c>
      <c r="J769" s="2" t="s">
        <v>8540</v>
      </c>
    </row>
    <row r="770" spans="1:10">
      <c r="A770" s="2" t="s">
        <v>3877</v>
      </c>
      <c r="B770" s="2" t="s">
        <v>1299</v>
      </c>
      <c r="C770" s="2" t="s">
        <v>7179</v>
      </c>
      <c r="D770" s="2">
        <v>1968</v>
      </c>
      <c r="E770" s="2" t="s">
        <v>7180</v>
      </c>
      <c r="F770" s="2" t="s">
        <v>3878</v>
      </c>
      <c r="G770" s="2" t="s">
        <v>7181</v>
      </c>
      <c r="H770" s="2" t="s">
        <v>7141</v>
      </c>
      <c r="I770" s="2" t="s">
        <v>7142</v>
      </c>
      <c r="J770" s="2" t="s">
        <v>8590</v>
      </c>
    </row>
    <row r="771" spans="1:10">
      <c r="A771" s="2" t="s">
        <v>3879</v>
      </c>
      <c r="B771" s="2" t="s">
        <v>1299</v>
      </c>
      <c r="C771" s="2" t="s">
        <v>7138</v>
      </c>
      <c r="D771" s="2">
        <v>1970</v>
      </c>
      <c r="E771" s="2" t="s">
        <v>7180</v>
      </c>
      <c r="F771" s="2" t="s">
        <v>1300</v>
      </c>
      <c r="G771" s="2" t="s">
        <v>7140</v>
      </c>
      <c r="H771" s="2" t="s">
        <v>7225</v>
      </c>
      <c r="I771" s="2" t="s">
        <v>7142</v>
      </c>
      <c r="J771" s="2" t="s">
        <v>8533</v>
      </c>
    </row>
    <row r="772" spans="1:10">
      <c r="A772" s="2" t="s">
        <v>3880</v>
      </c>
      <c r="B772" s="2" t="s">
        <v>2164</v>
      </c>
      <c r="C772" s="2" t="s">
        <v>7138</v>
      </c>
      <c r="D772" s="2">
        <v>2011</v>
      </c>
      <c r="E772" s="2" t="s">
        <v>7180</v>
      </c>
      <c r="F772" s="2" t="s">
        <v>3881</v>
      </c>
      <c r="G772" s="2" t="s">
        <v>7192</v>
      </c>
      <c r="H772" s="2" t="s">
        <v>7141</v>
      </c>
      <c r="I772" s="2" t="s">
        <v>7143</v>
      </c>
    </row>
    <row r="773" spans="1:10">
      <c r="A773" s="2" t="s">
        <v>3882</v>
      </c>
      <c r="B773" s="2" t="s">
        <v>2164</v>
      </c>
      <c r="C773" s="2" t="s">
        <v>7179</v>
      </c>
      <c r="D773" s="2">
        <v>1984</v>
      </c>
      <c r="E773" s="2" t="s">
        <v>8278</v>
      </c>
      <c r="F773" s="2" t="s">
        <v>2165</v>
      </c>
      <c r="G773" s="2" t="s">
        <v>7181</v>
      </c>
      <c r="H773" s="2" t="s">
        <v>7225</v>
      </c>
      <c r="I773" s="2" t="s">
        <v>7142</v>
      </c>
      <c r="J773" s="2" t="s">
        <v>8538</v>
      </c>
    </row>
    <row r="774" spans="1:10">
      <c r="A774" s="2" t="s">
        <v>3883</v>
      </c>
      <c r="B774" s="2" t="s">
        <v>2164</v>
      </c>
      <c r="C774" s="2" t="s">
        <v>7138</v>
      </c>
      <c r="D774" s="2">
        <v>2012</v>
      </c>
      <c r="E774" s="2" t="s">
        <v>7180</v>
      </c>
      <c r="F774" s="2" t="s">
        <v>3884</v>
      </c>
      <c r="G774" s="2" t="s">
        <v>7192</v>
      </c>
      <c r="H774" s="2" t="s">
        <v>7141</v>
      </c>
      <c r="I774" s="2" t="s">
        <v>7143</v>
      </c>
    </row>
    <row r="775" spans="1:10">
      <c r="A775" s="2" t="s">
        <v>3885</v>
      </c>
      <c r="B775" s="2" t="s">
        <v>2164</v>
      </c>
      <c r="C775" s="2" t="s">
        <v>7138</v>
      </c>
      <c r="D775" s="2">
        <v>1984</v>
      </c>
      <c r="E775" s="2" t="s">
        <v>7180</v>
      </c>
      <c r="F775" s="2" t="s">
        <v>3886</v>
      </c>
      <c r="G775" s="2" t="s">
        <v>7140</v>
      </c>
      <c r="H775" s="2" t="s">
        <v>7141</v>
      </c>
      <c r="I775" s="2" t="s">
        <v>7142</v>
      </c>
      <c r="J775" s="2" t="s">
        <v>8533</v>
      </c>
    </row>
    <row r="776" spans="1:10">
      <c r="A776" s="2" t="s">
        <v>3887</v>
      </c>
      <c r="B776" s="2" t="s">
        <v>2164</v>
      </c>
      <c r="C776" s="2" t="s">
        <v>7179</v>
      </c>
      <c r="D776" s="2">
        <v>2019</v>
      </c>
      <c r="E776" s="2" t="s">
        <v>7180</v>
      </c>
      <c r="F776" s="2" t="s">
        <v>3888</v>
      </c>
      <c r="G776" s="2" t="s">
        <v>7192</v>
      </c>
      <c r="H776" s="2" t="s">
        <v>7225</v>
      </c>
      <c r="I776" s="2" t="s">
        <v>7143</v>
      </c>
    </row>
    <row r="777" spans="1:10">
      <c r="A777" s="2" t="s">
        <v>3889</v>
      </c>
      <c r="B777" s="2" t="s">
        <v>1344</v>
      </c>
      <c r="C777" s="2" t="s">
        <v>7179</v>
      </c>
      <c r="D777" s="2">
        <v>2005</v>
      </c>
      <c r="E777" s="2" t="s">
        <v>7180</v>
      </c>
      <c r="F777" s="2" t="s">
        <v>3890</v>
      </c>
      <c r="G777" s="2" t="s">
        <v>7192</v>
      </c>
      <c r="H777" s="2" t="s">
        <v>7182</v>
      </c>
      <c r="I777" s="2" t="s">
        <v>7142</v>
      </c>
      <c r="J777" s="2" t="s">
        <v>8614</v>
      </c>
    </row>
    <row r="778" spans="1:10">
      <c r="A778" s="2" t="s">
        <v>3892</v>
      </c>
      <c r="B778" s="2" t="s">
        <v>1344</v>
      </c>
      <c r="C778" s="2" t="s">
        <v>7138</v>
      </c>
      <c r="D778" s="2">
        <v>1973</v>
      </c>
      <c r="E778" s="2" t="s">
        <v>7180</v>
      </c>
      <c r="F778" s="2" t="s">
        <v>1347</v>
      </c>
      <c r="G778" s="2" t="s">
        <v>7140</v>
      </c>
      <c r="H778" s="2" t="s">
        <v>7141</v>
      </c>
      <c r="I778" s="2" t="s">
        <v>7142</v>
      </c>
      <c r="J778" s="2" t="s">
        <v>8580</v>
      </c>
    </row>
    <row r="779" spans="1:10">
      <c r="A779" s="2" t="s">
        <v>3893</v>
      </c>
      <c r="B779" s="2" t="s">
        <v>1344</v>
      </c>
      <c r="C779" s="2" t="s">
        <v>7179</v>
      </c>
      <c r="D779" s="2">
        <v>1975</v>
      </c>
      <c r="E779" s="2" t="s">
        <v>7180</v>
      </c>
      <c r="F779" s="2" t="s">
        <v>3894</v>
      </c>
      <c r="G779" s="2" t="s">
        <v>7181</v>
      </c>
      <c r="H779" s="2" t="s">
        <v>7141</v>
      </c>
      <c r="I779" s="2" t="s">
        <v>7142</v>
      </c>
      <c r="J779" s="2" t="s">
        <v>8538</v>
      </c>
    </row>
    <row r="780" spans="1:10">
      <c r="A780" s="2" t="s">
        <v>3895</v>
      </c>
      <c r="B780" s="2" t="s">
        <v>1344</v>
      </c>
      <c r="C780" s="2" t="s">
        <v>7138</v>
      </c>
      <c r="D780" s="2">
        <v>2013</v>
      </c>
      <c r="E780" s="2" t="s">
        <v>7180</v>
      </c>
      <c r="F780" s="2" t="s">
        <v>3896</v>
      </c>
      <c r="G780" s="2" t="s">
        <v>7192</v>
      </c>
      <c r="H780" s="2" t="s">
        <v>7579</v>
      </c>
      <c r="I780" s="2" t="s">
        <v>7143</v>
      </c>
    </row>
    <row r="781" spans="1:10">
      <c r="A781" s="2" t="s">
        <v>3897</v>
      </c>
      <c r="B781" s="2" t="s">
        <v>2148</v>
      </c>
      <c r="C781" s="2" t="s">
        <v>7138</v>
      </c>
      <c r="D781" s="2">
        <v>2001</v>
      </c>
      <c r="E781" s="2" t="s">
        <v>8278</v>
      </c>
      <c r="F781" s="2" t="s">
        <v>3898</v>
      </c>
      <c r="G781" s="2" t="s">
        <v>7192</v>
      </c>
      <c r="H781" s="2" t="s">
        <v>7141</v>
      </c>
      <c r="I781" s="2" t="s">
        <v>7143</v>
      </c>
    </row>
    <row r="782" spans="1:10">
      <c r="A782" s="2" t="s">
        <v>3899</v>
      </c>
      <c r="B782" s="2" t="s">
        <v>2148</v>
      </c>
      <c r="C782" s="2" t="s">
        <v>7138</v>
      </c>
      <c r="D782" s="2">
        <v>1977</v>
      </c>
      <c r="E782" s="2" t="s">
        <v>8278</v>
      </c>
      <c r="F782" s="2" t="s">
        <v>2150</v>
      </c>
      <c r="G782" s="2" t="s">
        <v>7140</v>
      </c>
      <c r="H782" s="2" t="s">
        <v>7395</v>
      </c>
      <c r="I782" s="2" t="s">
        <v>7142</v>
      </c>
      <c r="J782" s="2" t="s">
        <v>8529</v>
      </c>
    </row>
    <row r="783" spans="1:10">
      <c r="A783" s="2" t="s">
        <v>3900</v>
      </c>
      <c r="B783" s="2" t="s">
        <v>2148</v>
      </c>
      <c r="C783" s="2" t="s">
        <v>7179</v>
      </c>
      <c r="D783" s="2">
        <v>1977</v>
      </c>
      <c r="E783" s="2" t="s">
        <v>8278</v>
      </c>
      <c r="F783" s="2" t="s">
        <v>2149</v>
      </c>
      <c r="G783" s="2" t="s">
        <v>7181</v>
      </c>
      <c r="H783" s="2" t="s">
        <v>7395</v>
      </c>
      <c r="I783" s="2" t="s">
        <v>7142</v>
      </c>
      <c r="J783" s="2" t="s">
        <v>8538</v>
      </c>
    </row>
    <row r="784" spans="1:10">
      <c r="A784" s="2" t="s">
        <v>3901</v>
      </c>
      <c r="B784" s="2" t="s">
        <v>2148</v>
      </c>
      <c r="C784" s="2" t="s">
        <v>7138</v>
      </c>
      <c r="D784" s="2">
        <v>1999</v>
      </c>
      <c r="E784" s="2" t="s">
        <v>8278</v>
      </c>
      <c r="F784" s="2" t="s">
        <v>3902</v>
      </c>
      <c r="H784" s="2" t="s">
        <v>7141</v>
      </c>
      <c r="I784" s="2" t="s">
        <v>7143</v>
      </c>
    </row>
    <row r="785" spans="1:10">
      <c r="A785" s="2" t="s">
        <v>3903</v>
      </c>
      <c r="B785" s="2" t="s">
        <v>1371</v>
      </c>
      <c r="C785" s="2" t="s">
        <v>7138</v>
      </c>
      <c r="D785" s="2">
        <v>1970</v>
      </c>
      <c r="E785" s="2" t="s">
        <v>7180</v>
      </c>
      <c r="F785" s="2" t="s">
        <v>1372</v>
      </c>
      <c r="G785" s="2" t="s">
        <v>7140</v>
      </c>
      <c r="H785" s="2" t="s">
        <v>7182</v>
      </c>
      <c r="I785" s="2" t="s">
        <v>7142</v>
      </c>
      <c r="J785" s="2" t="s">
        <v>8533</v>
      </c>
    </row>
    <row r="786" spans="1:10">
      <c r="A786" s="2" t="s">
        <v>3904</v>
      </c>
      <c r="B786" s="2" t="s">
        <v>1371</v>
      </c>
      <c r="C786" s="2" t="s">
        <v>7179</v>
      </c>
      <c r="D786" s="2">
        <v>1973</v>
      </c>
      <c r="E786" s="2" t="s">
        <v>7180</v>
      </c>
      <c r="F786" s="2" t="s">
        <v>3905</v>
      </c>
      <c r="G786" s="2" t="s">
        <v>7181</v>
      </c>
      <c r="H786" s="2" t="s">
        <v>7141</v>
      </c>
      <c r="I786" s="2" t="s">
        <v>7142</v>
      </c>
      <c r="J786" s="2" t="s">
        <v>8610</v>
      </c>
    </row>
    <row r="787" spans="1:10">
      <c r="A787" s="2" t="s">
        <v>3906</v>
      </c>
      <c r="B787" s="2" t="s">
        <v>2137</v>
      </c>
      <c r="C787" s="2" t="s">
        <v>7179</v>
      </c>
      <c r="D787" s="2">
        <v>2024</v>
      </c>
      <c r="E787" s="2" t="s">
        <v>7180</v>
      </c>
      <c r="F787" s="2" t="s">
        <v>3907</v>
      </c>
      <c r="G787" s="2" t="s">
        <v>7192</v>
      </c>
      <c r="H787" s="2" t="s">
        <v>7395</v>
      </c>
      <c r="I787" s="2" t="s">
        <v>7143</v>
      </c>
    </row>
    <row r="788" spans="1:10">
      <c r="A788" s="2" t="s">
        <v>3908</v>
      </c>
      <c r="B788" s="2" t="s">
        <v>2137</v>
      </c>
      <c r="C788" s="2" t="s">
        <v>7179</v>
      </c>
      <c r="D788" s="2">
        <v>2015</v>
      </c>
      <c r="E788" s="2" t="s">
        <v>7180</v>
      </c>
      <c r="F788" s="2" t="s">
        <v>3909</v>
      </c>
      <c r="G788" s="2" t="s">
        <v>7192</v>
      </c>
      <c r="H788" s="2" t="s">
        <v>7225</v>
      </c>
      <c r="I788" s="2" t="s">
        <v>7143</v>
      </c>
    </row>
    <row r="789" spans="1:10">
      <c r="A789" s="2" t="s">
        <v>3910</v>
      </c>
      <c r="B789" s="2" t="s">
        <v>2137</v>
      </c>
      <c r="C789" s="2" t="s">
        <v>7179</v>
      </c>
      <c r="D789" s="2">
        <v>1996</v>
      </c>
      <c r="E789" s="2" t="s">
        <v>7180</v>
      </c>
      <c r="F789" s="2" t="s">
        <v>3911</v>
      </c>
      <c r="G789" s="2" t="s">
        <v>7181</v>
      </c>
      <c r="H789" s="2" t="s">
        <v>7141</v>
      </c>
      <c r="I789" s="2" t="s">
        <v>7142</v>
      </c>
      <c r="J789" s="2" t="s">
        <v>8540</v>
      </c>
    </row>
    <row r="790" spans="1:10">
      <c r="A790" s="2" t="s">
        <v>3912</v>
      </c>
      <c r="B790" s="2" t="s">
        <v>2137</v>
      </c>
      <c r="C790" s="2" t="s">
        <v>7138</v>
      </c>
      <c r="D790" s="2">
        <v>1992</v>
      </c>
      <c r="E790" s="2" t="s">
        <v>7180</v>
      </c>
      <c r="F790" s="2" t="s">
        <v>2138</v>
      </c>
      <c r="G790" s="2" t="s">
        <v>7140</v>
      </c>
      <c r="H790" s="2" t="s">
        <v>7182</v>
      </c>
      <c r="I790" s="2" t="s">
        <v>7142</v>
      </c>
      <c r="J790" s="2" t="s">
        <v>8533</v>
      </c>
    </row>
    <row r="791" spans="1:10">
      <c r="A791" s="2" t="s">
        <v>3913</v>
      </c>
      <c r="B791" s="2" t="s">
        <v>2135</v>
      </c>
      <c r="C791" s="2" t="s">
        <v>7179</v>
      </c>
      <c r="D791" s="2">
        <v>1980</v>
      </c>
      <c r="E791" s="2" t="s">
        <v>7180</v>
      </c>
      <c r="F791" s="2" t="s">
        <v>3914</v>
      </c>
      <c r="G791" s="2" t="s">
        <v>7181</v>
      </c>
      <c r="H791" s="2" t="s">
        <v>7141</v>
      </c>
      <c r="I791" s="2" t="s">
        <v>7142</v>
      </c>
      <c r="J791" s="2" t="s">
        <v>8540</v>
      </c>
    </row>
    <row r="792" spans="1:10">
      <c r="A792" s="2" t="s">
        <v>3915</v>
      </c>
      <c r="B792" s="2" t="s">
        <v>2135</v>
      </c>
      <c r="C792" s="2" t="s">
        <v>7138</v>
      </c>
      <c r="D792" s="2">
        <v>1973</v>
      </c>
      <c r="E792" s="2" t="s">
        <v>7180</v>
      </c>
      <c r="F792" s="2" t="s">
        <v>2136</v>
      </c>
      <c r="G792" s="2" t="s">
        <v>7140</v>
      </c>
      <c r="H792" s="2" t="s">
        <v>7225</v>
      </c>
      <c r="I792" s="2" t="s">
        <v>7142</v>
      </c>
      <c r="J792" s="2" t="s">
        <v>8593</v>
      </c>
    </row>
    <row r="793" spans="1:10">
      <c r="A793" s="2" t="s">
        <v>3916</v>
      </c>
      <c r="B793" s="2" t="s">
        <v>2135</v>
      </c>
      <c r="C793" s="2" t="s">
        <v>7138</v>
      </c>
      <c r="D793" s="2">
        <v>2001</v>
      </c>
      <c r="E793" s="2" t="s">
        <v>7180</v>
      </c>
      <c r="F793" s="2" t="s">
        <v>3917</v>
      </c>
      <c r="G793" s="2" t="s">
        <v>7192</v>
      </c>
      <c r="H793" s="2" t="s">
        <v>7141</v>
      </c>
      <c r="I793" s="2" t="s">
        <v>7143</v>
      </c>
    </row>
    <row r="794" spans="1:10">
      <c r="A794" s="2" t="s">
        <v>3918</v>
      </c>
      <c r="B794" s="2" t="s">
        <v>1404</v>
      </c>
      <c r="C794" s="2" t="s">
        <v>7179</v>
      </c>
      <c r="D794" s="2">
        <v>1991</v>
      </c>
      <c r="E794" s="2" t="s">
        <v>7180</v>
      </c>
      <c r="F794" s="2" t="s">
        <v>3919</v>
      </c>
      <c r="G794" s="2" t="s">
        <v>7181</v>
      </c>
      <c r="H794" s="2" t="s">
        <v>7450</v>
      </c>
      <c r="I794" s="2" t="s">
        <v>7142</v>
      </c>
      <c r="J794" s="2" t="s">
        <v>8606</v>
      </c>
    </row>
    <row r="795" spans="1:10">
      <c r="A795" s="2" t="s">
        <v>3920</v>
      </c>
      <c r="B795" s="2" t="s">
        <v>1404</v>
      </c>
      <c r="C795" s="2" t="s">
        <v>7138</v>
      </c>
      <c r="D795" s="2">
        <v>1991</v>
      </c>
      <c r="E795" s="2" t="s">
        <v>7180</v>
      </c>
      <c r="F795" s="2" t="s">
        <v>1406</v>
      </c>
      <c r="G795" s="2" t="s">
        <v>7140</v>
      </c>
      <c r="H795" s="2" t="s">
        <v>8308</v>
      </c>
      <c r="I795" s="2" t="s">
        <v>7142</v>
      </c>
      <c r="J795" s="2" t="s">
        <v>8533</v>
      </c>
    </row>
    <row r="796" spans="1:10">
      <c r="A796" s="2" t="s">
        <v>3921</v>
      </c>
      <c r="B796" s="2" t="s">
        <v>2135</v>
      </c>
      <c r="C796" s="2" t="s">
        <v>7138</v>
      </c>
      <c r="D796" s="2">
        <v>1999</v>
      </c>
      <c r="E796" s="2" t="s">
        <v>7180</v>
      </c>
      <c r="F796" s="2" t="s">
        <v>3922</v>
      </c>
      <c r="G796" s="2" t="s">
        <v>7192</v>
      </c>
      <c r="H796" s="2" t="s">
        <v>7182</v>
      </c>
      <c r="I796" s="2" t="s">
        <v>7143</v>
      </c>
    </row>
    <row r="797" spans="1:10">
      <c r="A797" s="2" t="s">
        <v>3923</v>
      </c>
      <c r="B797" s="2" t="s">
        <v>2124</v>
      </c>
      <c r="C797" s="2" t="s">
        <v>7138</v>
      </c>
      <c r="D797" s="2">
        <v>1980</v>
      </c>
      <c r="E797" s="2" t="s">
        <v>7180</v>
      </c>
      <c r="F797" s="2" t="s">
        <v>2125</v>
      </c>
      <c r="G797" s="2" t="s">
        <v>7140</v>
      </c>
      <c r="H797" s="2" t="s">
        <v>7141</v>
      </c>
      <c r="I797" s="2" t="s">
        <v>7142</v>
      </c>
      <c r="J797" s="2" t="s">
        <v>8533</v>
      </c>
    </row>
    <row r="798" spans="1:10">
      <c r="A798" s="2" t="s">
        <v>3924</v>
      </c>
      <c r="B798" s="2" t="s">
        <v>2124</v>
      </c>
      <c r="C798" s="2" t="s">
        <v>7138</v>
      </c>
      <c r="D798" s="2">
        <v>2001</v>
      </c>
      <c r="E798" s="2" t="s">
        <v>7180</v>
      </c>
      <c r="F798" s="2" t="s">
        <v>3925</v>
      </c>
      <c r="G798" s="2" t="s">
        <v>7192</v>
      </c>
      <c r="H798" s="2" t="s">
        <v>7182</v>
      </c>
      <c r="I798" s="2" t="s">
        <v>7143</v>
      </c>
    </row>
    <row r="799" spans="1:10">
      <c r="A799" s="2" t="s">
        <v>3926</v>
      </c>
      <c r="B799" s="2" t="s">
        <v>2124</v>
      </c>
      <c r="C799" s="2" t="s">
        <v>7179</v>
      </c>
      <c r="D799" s="2">
        <v>1979</v>
      </c>
      <c r="E799" s="2" t="s">
        <v>7180</v>
      </c>
      <c r="F799" s="2" t="s">
        <v>3927</v>
      </c>
      <c r="G799" s="2" t="s">
        <v>7181</v>
      </c>
      <c r="H799" s="2" t="s">
        <v>7225</v>
      </c>
      <c r="I799" s="2" t="s">
        <v>7142</v>
      </c>
      <c r="J799" s="2" t="s">
        <v>8540</v>
      </c>
    </row>
    <row r="800" spans="1:10">
      <c r="A800" s="2" t="s">
        <v>3928</v>
      </c>
      <c r="B800" s="2" t="s">
        <v>2124</v>
      </c>
      <c r="C800" s="2" t="s">
        <v>7179</v>
      </c>
      <c r="D800" s="2">
        <v>2007</v>
      </c>
      <c r="E800" s="2" t="s">
        <v>7180</v>
      </c>
      <c r="F800" s="2" t="s">
        <v>3929</v>
      </c>
      <c r="G800" s="2" t="s">
        <v>7192</v>
      </c>
      <c r="H800" s="2" t="s">
        <v>7182</v>
      </c>
      <c r="I800" s="2" t="s">
        <v>7143</v>
      </c>
    </row>
    <row r="801" spans="1:10">
      <c r="A801" s="2" t="s">
        <v>3930</v>
      </c>
      <c r="B801" s="2" t="s">
        <v>2124</v>
      </c>
      <c r="C801" s="2" t="s">
        <v>7179</v>
      </c>
      <c r="D801" s="2">
        <v>2015</v>
      </c>
      <c r="E801" s="2" t="s">
        <v>7180</v>
      </c>
      <c r="F801" s="2" t="s">
        <v>3931</v>
      </c>
      <c r="G801" s="2" t="s">
        <v>7192</v>
      </c>
      <c r="H801" s="2" t="s">
        <v>7225</v>
      </c>
      <c r="I801" s="2" t="s">
        <v>7143</v>
      </c>
    </row>
    <row r="802" spans="1:10">
      <c r="A802" s="2" t="s">
        <v>3932</v>
      </c>
      <c r="B802" s="2" t="s">
        <v>1430</v>
      </c>
      <c r="C802" s="2" t="s">
        <v>7179</v>
      </c>
      <c r="D802" s="2">
        <v>1955</v>
      </c>
      <c r="E802" s="2" t="s">
        <v>7180</v>
      </c>
      <c r="F802" s="2" t="s">
        <v>1431</v>
      </c>
      <c r="G802" s="2" t="s">
        <v>7140</v>
      </c>
      <c r="H802" s="2" t="s">
        <v>7141</v>
      </c>
      <c r="I802" s="2" t="s">
        <v>7142</v>
      </c>
      <c r="J802" s="2" t="s">
        <v>8615</v>
      </c>
    </row>
    <row r="803" spans="1:10">
      <c r="A803" s="2" t="s">
        <v>3934</v>
      </c>
      <c r="B803" s="2" t="s">
        <v>1430</v>
      </c>
      <c r="C803" s="2" t="s">
        <v>7179</v>
      </c>
      <c r="D803" s="2">
        <v>2007</v>
      </c>
      <c r="E803" s="2" t="s">
        <v>7180</v>
      </c>
      <c r="F803" s="2" t="s">
        <v>3935</v>
      </c>
      <c r="G803" s="2" t="s">
        <v>7503</v>
      </c>
      <c r="H803" s="2" t="s">
        <v>7182</v>
      </c>
      <c r="I803" s="2" t="s">
        <v>7143</v>
      </c>
    </row>
    <row r="804" spans="1:10">
      <c r="A804" s="2" t="s">
        <v>3936</v>
      </c>
      <c r="B804" s="2" t="s">
        <v>2114</v>
      </c>
      <c r="C804" s="2" t="s">
        <v>7138</v>
      </c>
      <c r="D804" s="2">
        <v>1976</v>
      </c>
      <c r="E804" s="2" t="s">
        <v>7180</v>
      </c>
      <c r="F804" s="2" t="s">
        <v>2115</v>
      </c>
      <c r="G804" s="2" t="s">
        <v>7140</v>
      </c>
      <c r="H804" s="2" t="s">
        <v>7225</v>
      </c>
      <c r="I804" s="2" t="s">
        <v>7142</v>
      </c>
      <c r="J804" s="2" t="s">
        <v>8616</v>
      </c>
    </row>
    <row r="805" spans="1:10">
      <c r="A805" s="2" t="s">
        <v>3938</v>
      </c>
      <c r="B805" s="2" t="s">
        <v>2114</v>
      </c>
      <c r="C805" s="2" t="s">
        <v>7179</v>
      </c>
      <c r="D805" s="2">
        <v>1978</v>
      </c>
      <c r="E805" s="2" t="s">
        <v>7180</v>
      </c>
      <c r="F805" s="2" t="s">
        <v>3939</v>
      </c>
      <c r="G805" s="2" t="s">
        <v>7181</v>
      </c>
      <c r="H805" s="2" t="s">
        <v>7225</v>
      </c>
      <c r="I805" s="2" t="s">
        <v>7142</v>
      </c>
      <c r="J805" s="2" t="s">
        <v>8540</v>
      </c>
    </row>
    <row r="806" spans="1:10">
      <c r="A806" s="2" t="s">
        <v>3940</v>
      </c>
      <c r="B806" s="2" t="s">
        <v>2083</v>
      </c>
      <c r="C806" s="2" t="s">
        <v>7138</v>
      </c>
      <c r="D806" s="2">
        <v>1982</v>
      </c>
      <c r="E806" s="2" t="s">
        <v>7180</v>
      </c>
      <c r="F806" s="2" t="s">
        <v>3941</v>
      </c>
      <c r="G806" s="2" t="s">
        <v>7181</v>
      </c>
      <c r="H806" s="2" t="s">
        <v>7141</v>
      </c>
      <c r="I806" s="2" t="s">
        <v>7142</v>
      </c>
      <c r="J806" s="2" t="s">
        <v>8533</v>
      </c>
    </row>
    <row r="807" spans="1:10">
      <c r="A807" s="2" t="s">
        <v>3942</v>
      </c>
      <c r="B807" s="2" t="s">
        <v>2083</v>
      </c>
      <c r="C807" s="2" t="s">
        <v>7138</v>
      </c>
      <c r="D807" s="2">
        <v>2004</v>
      </c>
      <c r="E807" s="2" t="s">
        <v>7180</v>
      </c>
      <c r="F807" s="2" t="s">
        <v>3943</v>
      </c>
      <c r="G807" s="2" t="s">
        <v>7192</v>
      </c>
      <c r="H807" s="2" t="s">
        <v>7450</v>
      </c>
      <c r="I807" s="2" t="s">
        <v>7143</v>
      </c>
    </row>
    <row r="808" spans="1:10">
      <c r="A808" s="2" t="s">
        <v>3944</v>
      </c>
      <c r="B808" s="2" t="s">
        <v>2083</v>
      </c>
      <c r="C808" s="2" t="s">
        <v>7138</v>
      </c>
      <c r="D808" s="2">
        <v>2018</v>
      </c>
      <c r="E808" s="2" t="s">
        <v>7180</v>
      </c>
      <c r="F808" s="2" t="s">
        <v>3945</v>
      </c>
      <c r="G808" s="2" t="s">
        <v>7192</v>
      </c>
      <c r="H808" s="2" t="s">
        <v>7225</v>
      </c>
      <c r="I808" s="2" t="s">
        <v>7143</v>
      </c>
    </row>
    <row r="809" spans="1:10">
      <c r="A809" s="2" t="s">
        <v>3946</v>
      </c>
      <c r="B809" s="2" t="s">
        <v>2083</v>
      </c>
      <c r="C809" s="2" t="s">
        <v>7179</v>
      </c>
      <c r="D809" s="2">
        <v>1984</v>
      </c>
      <c r="E809" s="2" t="s">
        <v>7180</v>
      </c>
      <c r="F809" s="2" t="s">
        <v>2084</v>
      </c>
      <c r="G809" s="2" t="s">
        <v>7140</v>
      </c>
      <c r="H809" s="2" t="s">
        <v>7141</v>
      </c>
      <c r="I809" s="2" t="s">
        <v>7142</v>
      </c>
      <c r="J809" s="2" t="s">
        <v>8538</v>
      </c>
    </row>
    <row r="810" spans="1:10">
      <c r="A810" s="2" t="s">
        <v>3947</v>
      </c>
      <c r="B810" s="2" t="s">
        <v>2083</v>
      </c>
      <c r="C810" s="2" t="s">
        <v>7138</v>
      </c>
      <c r="D810" s="2">
        <v>2015</v>
      </c>
      <c r="E810" s="2" t="s">
        <v>7180</v>
      </c>
      <c r="F810" s="2" t="s">
        <v>3948</v>
      </c>
      <c r="G810" s="2" t="s">
        <v>7192</v>
      </c>
      <c r="H810" s="2" t="s">
        <v>7225</v>
      </c>
      <c r="I810" s="2" t="s">
        <v>7143</v>
      </c>
    </row>
    <row r="811" spans="1:10">
      <c r="A811" s="2" t="s">
        <v>3949</v>
      </c>
      <c r="B811" s="2" t="s">
        <v>2083</v>
      </c>
      <c r="C811" s="2" t="s">
        <v>7138</v>
      </c>
      <c r="D811" s="2">
        <v>2000</v>
      </c>
      <c r="E811" s="2" t="s">
        <v>7180</v>
      </c>
      <c r="F811" s="2" t="s">
        <v>3950</v>
      </c>
      <c r="G811" s="2" t="s">
        <v>7192</v>
      </c>
      <c r="H811" s="2" t="s">
        <v>7428</v>
      </c>
      <c r="I811" s="2" t="s">
        <v>7143</v>
      </c>
    </row>
    <row r="812" spans="1:10">
      <c r="A812" s="2" t="s">
        <v>3951</v>
      </c>
      <c r="B812" s="2" t="s">
        <v>1443</v>
      </c>
      <c r="C812" s="2" t="s">
        <v>7179</v>
      </c>
      <c r="D812" s="2">
        <v>1971</v>
      </c>
      <c r="E812" s="2" t="s">
        <v>7180</v>
      </c>
      <c r="F812" s="2" t="s">
        <v>1445</v>
      </c>
      <c r="G812" s="2" t="s">
        <v>7181</v>
      </c>
      <c r="H812" s="2" t="s">
        <v>7141</v>
      </c>
      <c r="I812" s="2" t="s">
        <v>7142</v>
      </c>
      <c r="J812" s="2" t="s">
        <v>8617</v>
      </c>
    </row>
    <row r="813" spans="1:10">
      <c r="A813" s="2" t="s">
        <v>3953</v>
      </c>
      <c r="B813" s="2" t="s">
        <v>1443</v>
      </c>
      <c r="C813" s="2" t="s">
        <v>7138</v>
      </c>
      <c r="D813" s="2">
        <v>1971</v>
      </c>
      <c r="E813" s="2" t="s">
        <v>7180</v>
      </c>
      <c r="F813" s="2" t="s">
        <v>1446</v>
      </c>
      <c r="G813" s="2" t="s">
        <v>7140</v>
      </c>
      <c r="H813" s="2" t="s">
        <v>7141</v>
      </c>
      <c r="I813" s="2" t="s">
        <v>7142</v>
      </c>
      <c r="J813" s="2" t="s">
        <v>8618</v>
      </c>
    </row>
    <row r="814" spans="1:10">
      <c r="A814" s="2" t="s">
        <v>3955</v>
      </c>
      <c r="B814" s="2" t="s">
        <v>2073</v>
      </c>
      <c r="C814" s="2" t="s">
        <v>7138</v>
      </c>
      <c r="D814" s="2">
        <v>2002</v>
      </c>
      <c r="E814" s="2" t="s">
        <v>7180</v>
      </c>
      <c r="F814" s="2" t="s">
        <v>3956</v>
      </c>
      <c r="G814" s="2" t="s">
        <v>7192</v>
      </c>
      <c r="H814" s="2" t="s">
        <v>7182</v>
      </c>
      <c r="I814" s="2" t="s">
        <v>7143</v>
      </c>
    </row>
    <row r="815" spans="1:10">
      <c r="A815" s="2" t="s">
        <v>3957</v>
      </c>
      <c r="B815" s="2" t="s">
        <v>2073</v>
      </c>
      <c r="C815" s="2" t="s">
        <v>7138</v>
      </c>
      <c r="D815" s="2">
        <v>1973</v>
      </c>
      <c r="E815" s="2" t="s">
        <v>7180</v>
      </c>
      <c r="F815" s="2" t="s">
        <v>2074</v>
      </c>
      <c r="G815" s="2" t="s">
        <v>7140</v>
      </c>
      <c r="H815" s="2" t="s">
        <v>7225</v>
      </c>
      <c r="I815" s="2" t="s">
        <v>7142</v>
      </c>
      <c r="J815" s="2" t="s">
        <v>8529</v>
      </c>
    </row>
    <row r="816" spans="1:10">
      <c r="A816" s="2" t="s">
        <v>3958</v>
      </c>
      <c r="B816" s="2" t="s">
        <v>2073</v>
      </c>
      <c r="C816" s="2" t="s">
        <v>7179</v>
      </c>
      <c r="D816" s="2">
        <v>1983</v>
      </c>
      <c r="E816" s="2" t="s">
        <v>7180</v>
      </c>
      <c r="F816" s="2" t="s">
        <v>3959</v>
      </c>
      <c r="G816" s="2" t="s">
        <v>7181</v>
      </c>
      <c r="H816" s="2" t="s">
        <v>7225</v>
      </c>
      <c r="I816" s="2" t="s">
        <v>7142</v>
      </c>
      <c r="J816" s="2" t="s">
        <v>8540</v>
      </c>
    </row>
    <row r="817" spans="1:10">
      <c r="A817" s="2" t="s">
        <v>3960</v>
      </c>
      <c r="B817" s="2" t="s">
        <v>2011</v>
      </c>
      <c r="C817" s="2" t="s">
        <v>7179</v>
      </c>
      <c r="D817" s="2">
        <v>1975</v>
      </c>
      <c r="E817" s="2" t="s">
        <v>7180</v>
      </c>
      <c r="F817" s="2" t="s">
        <v>2013</v>
      </c>
      <c r="G817" s="2" t="s">
        <v>7181</v>
      </c>
      <c r="H817" s="2" t="s">
        <v>7141</v>
      </c>
      <c r="I817" s="2" t="s">
        <v>7142</v>
      </c>
      <c r="J817" s="2" t="s">
        <v>8538</v>
      </c>
    </row>
    <row r="818" spans="1:10">
      <c r="A818" s="2" t="s">
        <v>3961</v>
      </c>
      <c r="B818" s="2" t="s">
        <v>2011</v>
      </c>
      <c r="C818" s="2" t="s">
        <v>7138</v>
      </c>
      <c r="D818" s="2">
        <v>1971</v>
      </c>
      <c r="E818" s="2" t="s">
        <v>7180</v>
      </c>
      <c r="F818" s="2" t="s">
        <v>1856</v>
      </c>
      <c r="G818" s="2" t="s">
        <v>7140</v>
      </c>
      <c r="H818" s="2" t="s">
        <v>7182</v>
      </c>
      <c r="I818" s="2" t="s">
        <v>7142</v>
      </c>
      <c r="J818" s="2" t="s">
        <v>8533</v>
      </c>
    </row>
    <row r="819" spans="1:10">
      <c r="A819" s="2" t="s">
        <v>3962</v>
      </c>
      <c r="B819" s="2" t="s">
        <v>1505</v>
      </c>
      <c r="C819" s="2" t="s">
        <v>7138</v>
      </c>
      <c r="D819" s="2">
        <v>1992</v>
      </c>
      <c r="E819" s="2" t="s">
        <v>7180</v>
      </c>
      <c r="F819" s="2" t="s">
        <v>1507</v>
      </c>
      <c r="G819" s="2" t="s">
        <v>7140</v>
      </c>
      <c r="H819" s="2" t="s">
        <v>7182</v>
      </c>
      <c r="I819" s="2" t="s">
        <v>7142</v>
      </c>
      <c r="J819" s="2" t="s">
        <v>8533</v>
      </c>
    </row>
    <row r="820" spans="1:10">
      <c r="A820" s="2" t="s">
        <v>3963</v>
      </c>
      <c r="B820" s="2" t="s">
        <v>1505</v>
      </c>
      <c r="C820" s="2" t="s">
        <v>7179</v>
      </c>
      <c r="D820" s="2">
        <v>1992</v>
      </c>
      <c r="E820" s="2" t="s">
        <v>7180</v>
      </c>
      <c r="F820" s="2" t="s">
        <v>3964</v>
      </c>
      <c r="G820" s="2" t="s">
        <v>7181</v>
      </c>
      <c r="H820" s="2" t="s">
        <v>7182</v>
      </c>
      <c r="I820" s="2" t="s">
        <v>7142</v>
      </c>
      <c r="J820" s="2" t="s">
        <v>8566</v>
      </c>
    </row>
    <row r="821" spans="1:10">
      <c r="A821" s="2" t="s">
        <v>3965</v>
      </c>
      <c r="B821" s="2" t="s">
        <v>503</v>
      </c>
      <c r="C821" s="2" t="s">
        <v>7179</v>
      </c>
      <c r="D821" s="2">
        <v>1960</v>
      </c>
      <c r="E821" s="2" t="s">
        <v>7139</v>
      </c>
      <c r="F821" s="2" t="s">
        <v>3966</v>
      </c>
      <c r="G821" s="2" t="s">
        <v>8451</v>
      </c>
      <c r="H821" s="2" t="s">
        <v>7395</v>
      </c>
      <c r="I821" s="2" t="s">
        <v>7143</v>
      </c>
    </row>
    <row r="822" spans="1:10">
      <c r="A822" s="2" t="s">
        <v>3967</v>
      </c>
      <c r="B822" s="2" t="s">
        <v>2000</v>
      </c>
      <c r="C822" s="2" t="s">
        <v>7179</v>
      </c>
      <c r="D822" s="2">
        <v>2006</v>
      </c>
      <c r="E822" s="2" t="s">
        <v>7180</v>
      </c>
      <c r="F822" s="2" t="s">
        <v>3968</v>
      </c>
      <c r="G822" s="2" t="s">
        <v>7192</v>
      </c>
      <c r="H822" s="2" t="s">
        <v>7182</v>
      </c>
      <c r="I822" s="2" t="s">
        <v>7143</v>
      </c>
    </row>
    <row r="823" spans="1:10">
      <c r="A823" s="2" t="s">
        <v>3969</v>
      </c>
      <c r="B823" s="2" t="s">
        <v>503</v>
      </c>
      <c r="C823" s="2" t="s">
        <v>7179</v>
      </c>
      <c r="D823" s="2">
        <v>2015</v>
      </c>
      <c r="E823" s="2" t="s">
        <v>7139</v>
      </c>
      <c r="F823" s="2" t="s">
        <v>2561</v>
      </c>
      <c r="G823" s="2" t="s">
        <v>7503</v>
      </c>
      <c r="H823" s="2" t="s">
        <v>7579</v>
      </c>
      <c r="I823" s="2" t="s">
        <v>7143</v>
      </c>
    </row>
    <row r="824" spans="1:10">
      <c r="A824" s="2" t="s">
        <v>3970</v>
      </c>
      <c r="B824" s="2" t="s">
        <v>503</v>
      </c>
      <c r="C824" s="2" t="s">
        <v>7179</v>
      </c>
      <c r="D824" s="2">
        <v>1991</v>
      </c>
      <c r="E824" s="2" t="s">
        <v>7139</v>
      </c>
      <c r="F824" s="2" t="s">
        <v>3971</v>
      </c>
      <c r="G824" s="2" t="s">
        <v>7503</v>
      </c>
      <c r="H824" s="2" t="s">
        <v>7141</v>
      </c>
      <c r="I824" s="2" t="s">
        <v>7142</v>
      </c>
      <c r="J824" s="2" t="s">
        <v>8588</v>
      </c>
    </row>
    <row r="825" spans="1:10">
      <c r="A825" s="2" t="s">
        <v>3972</v>
      </c>
      <c r="B825" s="2" t="s">
        <v>503</v>
      </c>
      <c r="C825" s="2" t="s">
        <v>7179</v>
      </c>
      <c r="D825" s="2">
        <v>2013</v>
      </c>
      <c r="E825" s="2" t="s">
        <v>7139</v>
      </c>
      <c r="F825" s="2" t="s">
        <v>3973</v>
      </c>
      <c r="G825" s="2" t="s">
        <v>7503</v>
      </c>
      <c r="H825" s="2" t="s">
        <v>7579</v>
      </c>
      <c r="I825" s="2" t="s">
        <v>7143</v>
      </c>
    </row>
    <row r="826" spans="1:10">
      <c r="A826" s="2" t="s">
        <v>3974</v>
      </c>
      <c r="B826" s="2" t="s">
        <v>2000</v>
      </c>
      <c r="C826" s="2" t="s">
        <v>7179</v>
      </c>
      <c r="D826" s="2">
        <v>1999</v>
      </c>
      <c r="E826" s="2" t="s">
        <v>7180</v>
      </c>
      <c r="F826" s="2" t="s">
        <v>3975</v>
      </c>
      <c r="G826" s="2" t="s">
        <v>7192</v>
      </c>
      <c r="H826" s="2" t="s">
        <v>7428</v>
      </c>
      <c r="I826" s="2" t="s">
        <v>7143</v>
      </c>
    </row>
    <row r="827" spans="1:10">
      <c r="A827" s="2" t="s">
        <v>3976</v>
      </c>
      <c r="B827" s="2" t="s">
        <v>2000</v>
      </c>
      <c r="C827" s="2" t="s">
        <v>7179</v>
      </c>
      <c r="D827" s="2">
        <v>2009</v>
      </c>
      <c r="E827" s="2" t="s">
        <v>7180</v>
      </c>
      <c r="F827" s="2" t="s">
        <v>3977</v>
      </c>
      <c r="G827" s="2" t="s">
        <v>7192</v>
      </c>
      <c r="H827" s="2" t="s">
        <v>7141</v>
      </c>
      <c r="I827" s="2" t="s">
        <v>7143</v>
      </c>
    </row>
    <row r="828" spans="1:10">
      <c r="A828" s="2" t="s">
        <v>3978</v>
      </c>
      <c r="B828" s="2" t="s">
        <v>2000</v>
      </c>
      <c r="C828" s="2" t="s">
        <v>7179</v>
      </c>
      <c r="D828" s="2">
        <v>1978</v>
      </c>
      <c r="E828" s="2" t="s">
        <v>7180</v>
      </c>
      <c r="F828" s="2" t="s">
        <v>2002</v>
      </c>
      <c r="G828" s="2" t="s">
        <v>7181</v>
      </c>
      <c r="H828" s="2" t="s">
        <v>7141</v>
      </c>
      <c r="I828" s="2" t="s">
        <v>7142</v>
      </c>
      <c r="J828" s="2" t="s">
        <v>8538</v>
      </c>
    </row>
    <row r="829" spans="1:10">
      <c r="A829" s="2" t="s">
        <v>3979</v>
      </c>
      <c r="B829" s="2" t="s">
        <v>2000</v>
      </c>
      <c r="C829" s="2" t="s">
        <v>7138</v>
      </c>
      <c r="D829" s="2">
        <v>1976</v>
      </c>
      <c r="E829" s="2" t="s">
        <v>7180</v>
      </c>
      <c r="F829" s="2" t="s">
        <v>2003</v>
      </c>
      <c r="G829" s="2" t="s">
        <v>7140</v>
      </c>
      <c r="H829" s="2" t="s">
        <v>7141</v>
      </c>
      <c r="I829" s="2" t="s">
        <v>7142</v>
      </c>
      <c r="J829" s="2" t="s">
        <v>8533</v>
      </c>
    </row>
    <row r="830" spans="1:10">
      <c r="A830" s="2" t="s">
        <v>3980</v>
      </c>
      <c r="B830" s="2" t="s">
        <v>2000</v>
      </c>
      <c r="C830" s="2" t="s">
        <v>7138</v>
      </c>
      <c r="D830" s="2">
        <v>2012</v>
      </c>
      <c r="E830" s="2" t="s">
        <v>7180</v>
      </c>
      <c r="F830" s="2" t="s">
        <v>3981</v>
      </c>
      <c r="G830" s="2" t="s">
        <v>7192</v>
      </c>
      <c r="H830" s="2" t="s">
        <v>7141</v>
      </c>
      <c r="I830" s="2" t="s">
        <v>7143</v>
      </c>
    </row>
    <row r="831" spans="1:10">
      <c r="A831" s="2" t="s">
        <v>3982</v>
      </c>
      <c r="B831" s="2" t="s">
        <v>2033</v>
      </c>
      <c r="C831" s="2" t="s">
        <v>7138</v>
      </c>
      <c r="D831" s="2">
        <v>2023</v>
      </c>
      <c r="E831" s="2" t="s">
        <v>7180</v>
      </c>
      <c r="F831" s="2" t="s">
        <v>3983</v>
      </c>
      <c r="G831" s="2" t="s">
        <v>7192</v>
      </c>
      <c r="H831" s="2" t="s">
        <v>7395</v>
      </c>
      <c r="I831" s="2" t="s">
        <v>7143</v>
      </c>
    </row>
    <row r="832" spans="1:10">
      <c r="A832" s="2" t="s">
        <v>3984</v>
      </c>
      <c r="B832" s="2" t="s">
        <v>2033</v>
      </c>
      <c r="C832" s="2" t="s">
        <v>7138</v>
      </c>
      <c r="D832" s="2">
        <v>1982</v>
      </c>
      <c r="E832" s="2" t="s">
        <v>7180</v>
      </c>
      <c r="F832" s="2" t="s">
        <v>2035</v>
      </c>
      <c r="G832" s="2" t="s">
        <v>7140</v>
      </c>
      <c r="H832" s="2" t="s">
        <v>7141</v>
      </c>
      <c r="I832" s="2" t="s">
        <v>7142</v>
      </c>
      <c r="J832" s="2" t="s">
        <v>8533</v>
      </c>
    </row>
    <row r="833" spans="1:10">
      <c r="A833" s="2" t="s">
        <v>3985</v>
      </c>
      <c r="B833" s="2" t="s">
        <v>2033</v>
      </c>
      <c r="C833" s="2" t="s">
        <v>7179</v>
      </c>
      <c r="D833" s="2">
        <v>1983</v>
      </c>
      <c r="E833" s="2" t="s">
        <v>7180</v>
      </c>
      <c r="F833" s="2" t="s">
        <v>2034</v>
      </c>
      <c r="G833" s="2" t="s">
        <v>7181</v>
      </c>
      <c r="H833" s="2" t="s">
        <v>7141</v>
      </c>
      <c r="I833" s="2" t="s">
        <v>7142</v>
      </c>
      <c r="J833" s="2" t="s">
        <v>8538</v>
      </c>
    </row>
    <row r="834" spans="1:10">
      <c r="A834" s="2" t="s">
        <v>3986</v>
      </c>
      <c r="B834" s="2" t="s">
        <v>2033</v>
      </c>
      <c r="C834" s="2" t="s">
        <v>7179</v>
      </c>
      <c r="D834" s="2">
        <v>2013</v>
      </c>
      <c r="E834" s="2" t="s">
        <v>7180</v>
      </c>
      <c r="F834" s="2" t="s">
        <v>3987</v>
      </c>
      <c r="G834" s="2" t="s">
        <v>7192</v>
      </c>
      <c r="H834" s="2" t="s">
        <v>7141</v>
      </c>
      <c r="I834" s="2" t="s">
        <v>7143</v>
      </c>
    </row>
    <row r="835" spans="1:10">
      <c r="A835" s="2" t="s">
        <v>3988</v>
      </c>
      <c r="B835" s="2" t="s">
        <v>2033</v>
      </c>
      <c r="C835" s="2" t="s">
        <v>7138</v>
      </c>
      <c r="D835" s="2">
        <v>2016</v>
      </c>
      <c r="E835" s="2" t="s">
        <v>7180</v>
      </c>
      <c r="F835" s="2" t="s">
        <v>3989</v>
      </c>
      <c r="G835" s="2" t="s">
        <v>7192</v>
      </c>
      <c r="H835" s="2" t="s">
        <v>7225</v>
      </c>
      <c r="I835" s="2" t="s">
        <v>7143</v>
      </c>
    </row>
    <row r="836" spans="1:10">
      <c r="A836" s="2" t="s">
        <v>3990</v>
      </c>
      <c r="B836" s="2" t="s">
        <v>2554</v>
      </c>
      <c r="C836" s="2" t="s">
        <v>7179</v>
      </c>
      <c r="D836" s="2">
        <v>1945</v>
      </c>
      <c r="E836" s="2" t="s">
        <v>7180</v>
      </c>
      <c r="F836" s="2" t="s">
        <v>2556</v>
      </c>
      <c r="G836" s="2" t="s">
        <v>7140</v>
      </c>
      <c r="H836" s="2" t="s">
        <v>7225</v>
      </c>
      <c r="I836" s="2" t="s">
        <v>7143</v>
      </c>
    </row>
    <row r="837" spans="1:10">
      <c r="A837" s="2" t="s">
        <v>3991</v>
      </c>
      <c r="B837" s="2" t="s">
        <v>2554</v>
      </c>
      <c r="C837" s="2" t="s">
        <v>7138</v>
      </c>
      <c r="D837" s="2">
        <v>1990</v>
      </c>
      <c r="E837" s="2" t="s">
        <v>7180</v>
      </c>
      <c r="F837" s="2" t="s">
        <v>2555</v>
      </c>
      <c r="G837" s="2" t="s">
        <v>7192</v>
      </c>
      <c r="H837" s="2" t="s">
        <v>7225</v>
      </c>
      <c r="I837" s="2" t="s">
        <v>7142</v>
      </c>
      <c r="J837" s="2" t="s">
        <v>8529</v>
      </c>
    </row>
    <row r="838" spans="1:10">
      <c r="A838" s="2" t="s">
        <v>3992</v>
      </c>
      <c r="B838" s="2" t="s">
        <v>2554</v>
      </c>
      <c r="C838" s="2" t="s">
        <v>7179</v>
      </c>
      <c r="D838" s="2">
        <v>1987</v>
      </c>
      <c r="E838" s="2" t="s">
        <v>7490</v>
      </c>
      <c r="F838" s="2" t="s">
        <v>3993</v>
      </c>
      <c r="G838" s="2" t="s">
        <v>7192</v>
      </c>
      <c r="H838" s="2" t="s">
        <v>7225</v>
      </c>
      <c r="I838" s="2" t="s">
        <v>7142</v>
      </c>
      <c r="J838" s="2" t="s">
        <v>8555</v>
      </c>
    </row>
    <row r="839" spans="1:10">
      <c r="A839" s="2" t="s">
        <v>3994</v>
      </c>
      <c r="B839" s="2" t="s">
        <v>2528</v>
      </c>
      <c r="C839" s="2" t="s">
        <v>7179</v>
      </c>
      <c r="D839" s="2">
        <v>1987</v>
      </c>
      <c r="E839" s="2" t="s">
        <v>7490</v>
      </c>
      <c r="F839" s="2" t="s">
        <v>3995</v>
      </c>
      <c r="G839" s="2" t="s">
        <v>7181</v>
      </c>
      <c r="H839" s="2" t="s">
        <v>7225</v>
      </c>
      <c r="I839" s="2" t="s">
        <v>7142</v>
      </c>
      <c r="J839" s="2" t="s">
        <v>8540</v>
      </c>
    </row>
    <row r="840" spans="1:10">
      <c r="A840" s="2" t="s">
        <v>3996</v>
      </c>
      <c r="B840" s="2" t="s">
        <v>2528</v>
      </c>
      <c r="C840" s="2" t="s">
        <v>7138</v>
      </c>
      <c r="D840" s="2">
        <v>1984</v>
      </c>
      <c r="E840" s="2" t="s">
        <v>7490</v>
      </c>
      <c r="F840" s="2" t="s">
        <v>2529</v>
      </c>
      <c r="G840" s="2" t="s">
        <v>7140</v>
      </c>
      <c r="H840" s="2" t="s">
        <v>7225</v>
      </c>
      <c r="I840" s="2" t="s">
        <v>7142</v>
      </c>
      <c r="J840" s="2" t="s">
        <v>8529</v>
      </c>
    </row>
    <row r="841" spans="1:10">
      <c r="A841" s="2" t="s">
        <v>3997</v>
      </c>
      <c r="B841" s="2" t="s">
        <v>1520</v>
      </c>
      <c r="C841" s="2" t="s">
        <v>7179</v>
      </c>
      <c r="D841" s="2">
        <v>1989</v>
      </c>
      <c r="E841" s="2" t="s">
        <v>7180</v>
      </c>
      <c r="F841" s="2" t="s">
        <v>3998</v>
      </c>
      <c r="G841" s="2" t="s">
        <v>7181</v>
      </c>
      <c r="H841" s="2" t="s">
        <v>7182</v>
      </c>
      <c r="I841" s="2" t="s">
        <v>7142</v>
      </c>
      <c r="J841" s="2" t="s">
        <v>8619</v>
      </c>
    </row>
    <row r="842" spans="1:10">
      <c r="A842" s="2" t="s">
        <v>4000</v>
      </c>
      <c r="B842" s="2" t="s">
        <v>1520</v>
      </c>
      <c r="C842" s="2" t="s">
        <v>7179</v>
      </c>
      <c r="D842" s="2">
        <v>2012</v>
      </c>
      <c r="E842" s="2" t="s">
        <v>7180</v>
      </c>
      <c r="F842" s="2" t="s">
        <v>4001</v>
      </c>
      <c r="G842" s="2" t="s">
        <v>7192</v>
      </c>
      <c r="H842" s="2" t="s">
        <v>7579</v>
      </c>
      <c r="I842" s="2" t="s">
        <v>7143</v>
      </c>
    </row>
    <row r="843" spans="1:10">
      <c r="A843" s="2" t="s">
        <v>4002</v>
      </c>
      <c r="B843" s="2" t="s">
        <v>1520</v>
      </c>
      <c r="C843" s="2" t="s">
        <v>7138</v>
      </c>
      <c r="D843" s="2">
        <v>1980</v>
      </c>
      <c r="E843" s="2" t="s">
        <v>7180</v>
      </c>
      <c r="F843" s="2" t="s">
        <v>1522</v>
      </c>
      <c r="G843" s="2" t="s">
        <v>7140</v>
      </c>
      <c r="H843" s="2" t="s">
        <v>7182</v>
      </c>
      <c r="I843" s="2" t="s">
        <v>7142</v>
      </c>
      <c r="J843" s="2" t="s">
        <v>8533</v>
      </c>
    </row>
    <row r="844" spans="1:10">
      <c r="A844" s="2" t="s">
        <v>4003</v>
      </c>
      <c r="B844" s="2" t="s">
        <v>2455</v>
      </c>
      <c r="C844" s="2" t="s">
        <v>7179</v>
      </c>
      <c r="D844" s="2">
        <v>1987</v>
      </c>
      <c r="E844" s="2" t="s">
        <v>7180</v>
      </c>
      <c r="F844" s="2" t="s">
        <v>1693</v>
      </c>
      <c r="G844" s="2" t="s">
        <v>7140</v>
      </c>
      <c r="H844" s="2" t="s">
        <v>7141</v>
      </c>
      <c r="I844" s="2" t="s">
        <v>7142</v>
      </c>
      <c r="J844" s="2" t="s">
        <v>8555</v>
      </c>
    </row>
    <row r="845" spans="1:10">
      <c r="A845" s="2" t="s">
        <v>4004</v>
      </c>
      <c r="B845" s="2" t="s">
        <v>2455</v>
      </c>
      <c r="C845" s="2" t="s">
        <v>7138</v>
      </c>
      <c r="D845" s="2">
        <v>1961</v>
      </c>
      <c r="E845" s="2" t="s">
        <v>7180</v>
      </c>
      <c r="F845" s="2" t="s">
        <v>2456</v>
      </c>
      <c r="G845" s="2" t="s">
        <v>8451</v>
      </c>
      <c r="H845" s="2" t="s">
        <v>7225</v>
      </c>
      <c r="I845" s="2" t="s">
        <v>7142</v>
      </c>
      <c r="J845" s="2" t="s">
        <v>8529</v>
      </c>
    </row>
    <row r="846" spans="1:10">
      <c r="A846" s="2" t="s">
        <v>4005</v>
      </c>
      <c r="B846" s="2" t="s">
        <v>2455</v>
      </c>
      <c r="C846" s="2" t="s">
        <v>7179</v>
      </c>
      <c r="D846" s="2">
        <v>1963</v>
      </c>
      <c r="E846" s="2" t="s">
        <v>7180</v>
      </c>
      <c r="F846" s="2" t="s">
        <v>4006</v>
      </c>
      <c r="G846" s="2" t="s">
        <v>8451</v>
      </c>
      <c r="H846" s="2" t="s">
        <v>7225</v>
      </c>
      <c r="I846" s="2" t="s">
        <v>7142</v>
      </c>
      <c r="J846" s="2" t="s">
        <v>8540</v>
      </c>
    </row>
    <row r="847" spans="1:10">
      <c r="A847" s="2" t="s">
        <v>4007</v>
      </c>
      <c r="B847" s="2" t="s">
        <v>546</v>
      </c>
      <c r="C847" s="2" t="s">
        <v>7138</v>
      </c>
      <c r="D847" s="2">
        <v>1951</v>
      </c>
      <c r="E847" s="2" t="s">
        <v>7139</v>
      </c>
      <c r="F847" s="2" t="s">
        <v>4008</v>
      </c>
      <c r="G847" s="2" t="s">
        <v>7140</v>
      </c>
      <c r="H847" s="2" t="s">
        <v>7225</v>
      </c>
      <c r="I847" s="2" t="s">
        <v>7143</v>
      </c>
      <c r="J847" s="2" t="s">
        <v>8529</v>
      </c>
    </row>
    <row r="848" spans="1:10">
      <c r="A848" s="2" t="s">
        <v>4009</v>
      </c>
      <c r="B848" s="2" t="s">
        <v>546</v>
      </c>
      <c r="C848" s="2" t="s">
        <v>7179</v>
      </c>
      <c r="D848" s="2">
        <v>1986</v>
      </c>
      <c r="E848" s="2" t="s">
        <v>7139</v>
      </c>
      <c r="F848" s="2" t="s">
        <v>4010</v>
      </c>
      <c r="G848" s="2" t="s">
        <v>7503</v>
      </c>
      <c r="H848" s="2" t="s">
        <v>7141</v>
      </c>
      <c r="I848" s="2" t="s">
        <v>7142</v>
      </c>
      <c r="J848" s="2" t="s">
        <v>8540</v>
      </c>
    </row>
    <row r="849" spans="1:10">
      <c r="A849" s="2" t="s">
        <v>4011</v>
      </c>
      <c r="B849" s="2" t="s">
        <v>546</v>
      </c>
      <c r="C849" s="2" t="s">
        <v>7179</v>
      </c>
      <c r="D849" s="2">
        <v>2009</v>
      </c>
      <c r="E849" s="2" t="s">
        <v>7139</v>
      </c>
      <c r="F849" s="2" t="s">
        <v>1038</v>
      </c>
      <c r="G849" s="2" t="s">
        <v>7503</v>
      </c>
      <c r="H849" s="2" t="s">
        <v>7141</v>
      </c>
      <c r="I849" s="2" t="s">
        <v>7143</v>
      </c>
    </row>
    <row r="850" spans="1:10">
      <c r="A850" s="2" t="s">
        <v>4012</v>
      </c>
      <c r="B850" s="2" t="s">
        <v>546</v>
      </c>
      <c r="C850" s="2" t="s">
        <v>7179</v>
      </c>
      <c r="D850" s="2">
        <v>2016</v>
      </c>
      <c r="E850" s="2" t="s">
        <v>7139</v>
      </c>
      <c r="F850" s="2" t="s">
        <v>4013</v>
      </c>
      <c r="H850" s="2" t="s">
        <v>7579</v>
      </c>
      <c r="I850" s="2" t="s">
        <v>7143</v>
      </c>
    </row>
    <row r="851" spans="1:10">
      <c r="A851" s="2" t="s">
        <v>4014</v>
      </c>
      <c r="B851" s="2" t="s">
        <v>546</v>
      </c>
      <c r="C851" s="2" t="s">
        <v>7138</v>
      </c>
      <c r="D851" s="2">
        <v>2007</v>
      </c>
      <c r="E851" s="2" t="s">
        <v>7139</v>
      </c>
      <c r="F851" s="2" t="s">
        <v>4015</v>
      </c>
      <c r="G851" s="2" t="s">
        <v>7503</v>
      </c>
      <c r="H851" s="2" t="s">
        <v>7141</v>
      </c>
      <c r="I851" s="2" t="s">
        <v>7142</v>
      </c>
      <c r="J851" s="2" t="s">
        <v>8620</v>
      </c>
    </row>
    <row r="852" spans="1:10">
      <c r="A852" s="2" t="s">
        <v>4017</v>
      </c>
      <c r="B852" s="2" t="s">
        <v>546</v>
      </c>
      <c r="C852" s="2" t="s">
        <v>7179</v>
      </c>
      <c r="D852" s="2">
        <v>1951</v>
      </c>
      <c r="E852" s="2" t="s">
        <v>7139</v>
      </c>
      <c r="F852" s="2" t="s">
        <v>4018</v>
      </c>
      <c r="G852" s="2" t="s">
        <v>7181</v>
      </c>
      <c r="H852" s="2" t="s">
        <v>7395</v>
      </c>
      <c r="I852" s="2" t="s">
        <v>7143</v>
      </c>
    </row>
    <row r="853" spans="1:10">
      <c r="A853" s="2" t="s">
        <v>4019</v>
      </c>
      <c r="B853" s="2" t="s">
        <v>2425</v>
      </c>
      <c r="C853" s="2" t="s">
        <v>7138</v>
      </c>
      <c r="D853" s="2">
        <v>2014</v>
      </c>
      <c r="E853" s="2" t="s">
        <v>7490</v>
      </c>
      <c r="F853" s="2" t="s">
        <v>4020</v>
      </c>
      <c r="G853" s="2" t="s">
        <v>7192</v>
      </c>
      <c r="H853" s="2" t="s">
        <v>7225</v>
      </c>
      <c r="I853" s="2" t="s">
        <v>7143</v>
      </c>
    </row>
    <row r="854" spans="1:10">
      <c r="A854" s="2" t="s">
        <v>4021</v>
      </c>
      <c r="B854" s="2" t="s">
        <v>2425</v>
      </c>
      <c r="C854" s="2" t="s">
        <v>7179</v>
      </c>
      <c r="D854" s="2">
        <v>2012</v>
      </c>
      <c r="E854" s="2" t="s">
        <v>7490</v>
      </c>
      <c r="F854" s="2" t="s">
        <v>4022</v>
      </c>
      <c r="G854" s="2" t="s">
        <v>7192</v>
      </c>
      <c r="H854" s="2" t="s">
        <v>7225</v>
      </c>
      <c r="I854" s="2" t="s">
        <v>7143</v>
      </c>
    </row>
    <row r="855" spans="1:10">
      <c r="A855" s="2" t="s">
        <v>4023</v>
      </c>
      <c r="B855" s="2" t="s">
        <v>2425</v>
      </c>
      <c r="C855" s="2" t="s">
        <v>7179</v>
      </c>
      <c r="D855" s="2">
        <v>1991</v>
      </c>
      <c r="E855" s="2" t="s">
        <v>7490</v>
      </c>
      <c r="F855" s="2" t="s">
        <v>2426</v>
      </c>
      <c r="G855" s="2" t="s">
        <v>7181</v>
      </c>
      <c r="H855" s="2" t="s">
        <v>7225</v>
      </c>
      <c r="I855" s="2" t="s">
        <v>7142</v>
      </c>
      <c r="J855" s="2" t="s">
        <v>8540</v>
      </c>
    </row>
    <row r="856" spans="1:10">
      <c r="A856" s="2" t="s">
        <v>4024</v>
      </c>
      <c r="B856" s="2" t="s">
        <v>2425</v>
      </c>
      <c r="C856" s="2" t="s">
        <v>7138</v>
      </c>
      <c r="D856" s="2">
        <v>1996</v>
      </c>
      <c r="E856" s="2" t="s">
        <v>7490</v>
      </c>
      <c r="F856" s="2" t="s">
        <v>2428</v>
      </c>
      <c r="G856" s="2" t="s">
        <v>7140</v>
      </c>
      <c r="H856" s="2" t="s">
        <v>7225</v>
      </c>
      <c r="I856" s="2" t="s">
        <v>7142</v>
      </c>
      <c r="J856" s="2" t="s">
        <v>8529</v>
      </c>
    </row>
    <row r="857" spans="1:10">
      <c r="A857" s="2" t="s">
        <v>4025</v>
      </c>
      <c r="B857" s="2" t="s">
        <v>1535</v>
      </c>
      <c r="C857" s="2" t="s">
        <v>7138</v>
      </c>
      <c r="D857" s="2">
        <v>1976</v>
      </c>
      <c r="E857" s="2" t="s">
        <v>7180</v>
      </c>
      <c r="F857" s="2" t="s">
        <v>1537</v>
      </c>
      <c r="G857" s="2" t="s">
        <v>7140</v>
      </c>
      <c r="H857" s="2" t="s">
        <v>7182</v>
      </c>
      <c r="I857" s="2" t="s">
        <v>7142</v>
      </c>
      <c r="J857" s="2" t="s">
        <v>8533</v>
      </c>
    </row>
    <row r="858" spans="1:10">
      <c r="A858" s="2" t="s">
        <v>4026</v>
      </c>
      <c r="B858" s="2" t="s">
        <v>1535</v>
      </c>
      <c r="C858" s="2" t="s">
        <v>7179</v>
      </c>
      <c r="D858" s="2">
        <v>1982</v>
      </c>
      <c r="E858" s="2" t="s">
        <v>7180</v>
      </c>
      <c r="F858" s="2" t="s">
        <v>4027</v>
      </c>
      <c r="G858" s="2" t="s">
        <v>7181</v>
      </c>
      <c r="H858" s="2" t="s">
        <v>7182</v>
      </c>
      <c r="I858" s="2" t="s">
        <v>7142</v>
      </c>
      <c r="J858" s="2" t="s">
        <v>8590</v>
      </c>
    </row>
    <row r="859" spans="1:10">
      <c r="A859" s="2" t="s">
        <v>4028</v>
      </c>
      <c r="B859" s="2" t="s">
        <v>2391</v>
      </c>
      <c r="C859" s="2" t="s">
        <v>7138</v>
      </c>
      <c r="D859" s="2">
        <v>1987</v>
      </c>
      <c r="E859" s="2" t="s">
        <v>7490</v>
      </c>
      <c r="F859" s="2" t="s">
        <v>2393</v>
      </c>
      <c r="G859" s="2" t="s">
        <v>7140</v>
      </c>
      <c r="H859" s="2" t="s">
        <v>7225</v>
      </c>
      <c r="I859" s="2" t="s">
        <v>7142</v>
      </c>
      <c r="J859" s="2" t="s">
        <v>8603</v>
      </c>
    </row>
    <row r="860" spans="1:10">
      <c r="A860" s="2" t="s">
        <v>4029</v>
      </c>
      <c r="B860" s="2" t="s">
        <v>2391</v>
      </c>
      <c r="C860" s="2" t="s">
        <v>7179</v>
      </c>
      <c r="D860" s="2">
        <v>2006</v>
      </c>
      <c r="E860" s="2" t="s">
        <v>7490</v>
      </c>
      <c r="F860" s="2" t="s">
        <v>2392</v>
      </c>
      <c r="G860" s="2" t="s">
        <v>7192</v>
      </c>
      <c r="H860" s="2" t="s">
        <v>7141</v>
      </c>
      <c r="I860" s="2" t="s">
        <v>7142</v>
      </c>
      <c r="J860" s="2" t="s">
        <v>8540</v>
      </c>
    </row>
    <row r="861" spans="1:10">
      <c r="A861" s="2" t="s">
        <v>4030</v>
      </c>
      <c r="B861" s="2" t="s">
        <v>2391</v>
      </c>
      <c r="C861" s="2" t="s">
        <v>7138</v>
      </c>
      <c r="D861" s="2">
        <v>1999</v>
      </c>
      <c r="E861" s="2" t="s">
        <v>7490</v>
      </c>
      <c r="F861" s="2" t="s">
        <v>4031</v>
      </c>
      <c r="G861" s="2" t="s">
        <v>7192</v>
      </c>
      <c r="H861" s="2" t="s">
        <v>7141</v>
      </c>
      <c r="I861" s="2" t="s">
        <v>7142</v>
      </c>
      <c r="J861" s="2" t="s">
        <v>8529</v>
      </c>
    </row>
    <row r="862" spans="1:10">
      <c r="A862" s="2" t="s">
        <v>4032</v>
      </c>
      <c r="B862" s="2" t="s">
        <v>2391</v>
      </c>
      <c r="C862" s="2" t="s">
        <v>7179</v>
      </c>
      <c r="D862" s="2">
        <v>2023</v>
      </c>
      <c r="E862" s="2" t="s">
        <v>7490</v>
      </c>
      <c r="F862" s="2" t="s">
        <v>4033</v>
      </c>
      <c r="G862" s="2" t="s">
        <v>7503</v>
      </c>
      <c r="H862" s="2" t="s">
        <v>7395</v>
      </c>
      <c r="I862" s="2" t="s">
        <v>7143</v>
      </c>
    </row>
    <row r="863" spans="1:10">
      <c r="A863" s="2" t="s">
        <v>4034</v>
      </c>
      <c r="B863" s="2" t="s">
        <v>1552</v>
      </c>
      <c r="C863" s="2" t="s">
        <v>7179</v>
      </c>
      <c r="D863" s="2">
        <v>1969</v>
      </c>
      <c r="E863" s="2" t="s">
        <v>7180</v>
      </c>
      <c r="F863" s="2" t="s">
        <v>3058</v>
      </c>
      <c r="G863" s="2" t="s">
        <v>7181</v>
      </c>
      <c r="H863" s="2" t="s">
        <v>7141</v>
      </c>
      <c r="I863" s="2" t="s">
        <v>7142</v>
      </c>
      <c r="J863" s="2" t="s">
        <v>8621</v>
      </c>
    </row>
    <row r="864" spans="1:10">
      <c r="A864" s="2" t="s">
        <v>4036</v>
      </c>
      <c r="B864" s="2" t="s">
        <v>1552</v>
      </c>
      <c r="C864" s="2" t="s">
        <v>7138</v>
      </c>
      <c r="D864" s="2">
        <v>1966</v>
      </c>
      <c r="E864" s="2" t="s">
        <v>7180</v>
      </c>
      <c r="F864" s="2" t="s">
        <v>1553</v>
      </c>
      <c r="G864" s="2" t="s">
        <v>7140</v>
      </c>
      <c r="H864" s="2" t="s">
        <v>7141</v>
      </c>
      <c r="I864" s="2" t="s">
        <v>7142</v>
      </c>
      <c r="J864" s="2" t="s">
        <v>8531</v>
      </c>
    </row>
    <row r="865" spans="1:10">
      <c r="A865" s="2" t="s">
        <v>4037</v>
      </c>
      <c r="B865" s="2" t="s">
        <v>2385</v>
      </c>
      <c r="C865" s="2" t="s">
        <v>7138</v>
      </c>
      <c r="D865" s="2">
        <v>1982</v>
      </c>
      <c r="E865" s="2" t="s">
        <v>7490</v>
      </c>
      <c r="F865" s="2" t="s">
        <v>2387</v>
      </c>
      <c r="G865" s="2" t="s">
        <v>7140</v>
      </c>
      <c r="H865" s="2" t="s">
        <v>7225</v>
      </c>
      <c r="I865" s="2" t="s">
        <v>7142</v>
      </c>
      <c r="J865" s="2" t="s">
        <v>8540</v>
      </c>
    </row>
    <row r="866" spans="1:10">
      <c r="A866" s="2" t="s">
        <v>4038</v>
      </c>
      <c r="B866" s="2" t="s">
        <v>2385</v>
      </c>
      <c r="C866" s="2" t="s">
        <v>7179</v>
      </c>
      <c r="D866" s="2">
        <v>2004</v>
      </c>
      <c r="E866" s="2" t="s">
        <v>7490</v>
      </c>
      <c r="F866" s="2" t="s">
        <v>2386</v>
      </c>
      <c r="G866" s="2" t="s">
        <v>7192</v>
      </c>
      <c r="H866" s="2" t="s">
        <v>7141</v>
      </c>
      <c r="I866" s="2" t="s">
        <v>7142</v>
      </c>
      <c r="J866" s="2" t="s">
        <v>8589</v>
      </c>
    </row>
    <row r="867" spans="1:10">
      <c r="A867" s="2" t="s">
        <v>4039</v>
      </c>
      <c r="B867" s="2" t="s">
        <v>2385</v>
      </c>
      <c r="C867" s="2" t="s">
        <v>7138</v>
      </c>
      <c r="D867" s="2">
        <v>2020</v>
      </c>
      <c r="E867" s="2" t="s">
        <v>7490</v>
      </c>
      <c r="F867" s="2" t="s">
        <v>4040</v>
      </c>
      <c r="G867" s="2" t="s">
        <v>7503</v>
      </c>
      <c r="H867" s="2" t="s">
        <v>7225</v>
      </c>
      <c r="I867" s="2" t="s">
        <v>7143</v>
      </c>
    </row>
    <row r="868" spans="1:10">
      <c r="A868" s="2" t="s">
        <v>4041</v>
      </c>
      <c r="B868" s="2" t="s">
        <v>1620</v>
      </c>
      <c r="C868" s="2" t="s">
        <v>7179</v>
      </c>
      <c r="D868" s="2">
        <v>1970</v>
      </c>
      <c r="E868" s="2" t="s">
        <v>7139</v>
      </c>
      <c r="F868" s="2" t="s">
        <v>1622</v>
      </c>
      <c r="G868" s="2" t="s">
        <v>7181</v>
      </c>
      <c r="H868" s="2" t="s">
        <v>7395</v>
      </c>
      <c r="I868" s="2" t="s">
        <v>7142</v>
      </c>
      <c r="J868" s="2" t="s">
        <v>8529</v>
      </c>
    </row>
    <row r="869" spans="1:10">
      <c r="A869" s="2" t="s">
        <v>4042</v>
      </c>
      <c r="B869" s="2" t="s">
        <v>1620</v>
      </c>
      <c r="C869" s="2" t="s">
        <v>7138</v>
      </c>
      <c r="D869" s="2">
        <v>1970</v>
      </c>
      <c r="E869" s="2" t="s">
        <v>7139</v>
      </c>
      <c r="F869" s="2" t="s">
        <v>4043</v>
      </c>
      <c r="G869" s="2" t="s">
        <v>7140</v>
      </c>
      <c r="H869" s="2" t="s">
        <v>7225</v>
      </c>
      <c r="I869" s="2" t="s">
        <v>7142</v>
      </c>
      <c r="J869" s="2" t="s">
        <v>8529</v>
      </c>
    </row>
    <row r="870" spans="1:10">
      <c r="A870" s="2" t="s">
        <v>4044</v>
      </c>
      <c r="B870" s="2" t="s">
        <v>2354</v>
      </c>
      <c r="C870" s="2" t="s">
        <v>7179</v>
      </c>
      <c r="D870" s="2">
        <v>2009</v>
      </c>
      <c r="E870" s="2" t="s">
        <v>7490</v>
      </c>
      <c r="F870" s="2" t="s">
        <v>4045</v>
      </c>
      <c r="G870" s="2" t="s">
        <v>7192</v>
      </c>
      <c r="H870" s="2" t="s">
        <v>7141</v>
      </c>
      <c r="I870" s="2" t="s">
        <v>7143</v>
      </c>
    </row>
    <row r="871" spans="1:10">
      <c r="A871" s="2" t="s">
        <v>4046</v>
      </c>
      <c r="B871" s="2" t="s">
        <v>2354</v>
      </c>
      <c r="C871" s="2" t="s">
        <v>7138</v>
      </c>
      <c r="D871" s="2">
        <v>2000</v>
      </c>
      <c r="E871" s="2" t="s">
        <v>7490</v>
      </c>
      <c r="F871" s="2" t="s">
        <v>4047</v>
      </c>
      <c r="G871" s="2" t="s">
        <v>7192</v>
      </c>
      <c r="H871" s="2" t="s">
        <v>7225</v>
      </c>
      <c r="I871" s="2" t="s">
        <v>7142</v>
      </c>
      <c r="J871" s="2" t="s">
        <v>8529</v>
      </c>
    </row>
    <row r="872" spans="1:10">
      <c r="A872" s="2" t="s">
        <v>4048</v>
      </c>
      <c r="B872" s="2" t="s">
        <v>2354</v>
      </c>
      <c r="C872" s="2" t="s">
        <v>7179</v>
      </c>
      <c r="D872" s="2">
        <v>1979</v>
      </c>
      <c r="E872" s="2" t="s">
        <v>7490</v>
      </c>
      <c r="F872" s="2" t="s">
        <v>2355</v>
      </c>
      <c r="G872" s="2" t="s">
        <v>7140</v>
      </c>
      <c r="H872" s="2" t="s">
        <v>7225</v>
      </c>
      <c r="I872" s="2" t="s">
        <v>7142</v>
      </c>
      <c r="J872" s="2" t="s">
        <v>8529</v>
      </c>
    </row>
    <row r="873" spans="1:10">
      <c r="A873" s="2" t="s">
        <v>4049</v>
      </c>
      <c r="B873" s="2" t="s">
        <v>2354</v>
      </c>
      <c r="C873" s="2" t="s">
        <v>7179</v>
      </c>
      <c r="D873" s="2">
        <v>2002</v>
      </c>
      <c r="E873" s="2" t="s">
        <v>7490</v>
      </c>
      <c r="F873" s="2" t="s">
        <v>4050</v>
      </c>
      <c r="G873" s="2" t="s">
        <v>7192</v>
      </c>
      <c r="H873" s="2" t="s">
        <v>7225</v>
      </c>
      <c r="I873" s="2" t="s">
        <v>7143</v>
      </c>
    </row>
    <row r="874" spans="1:10">
      <c r="A874" s="2" t="s">
        <v>4051</v>
      </c>
      <c r="B874" s="2" t="s">
        <v>2354</v>
      </c>
      <c r="C874" s="2" t="s">
        <v>7138</v>
      </c>
      <c r="D874" s="2">
        <v>1979</v>
      </c>
      <c r="E874" s="2" t="s">
        <v>7490</v>
      </c>
      <c r="F874" s="2" t="s">
        <v>4052</v>
      </c>
      <c r="G874" s="2" t="s">
        <v>7181</v>
      </c>
      <c r="H874" s="2" t="s">
        <v>7395</v>
      </c>
      <c r="I874" s="2" t="s">
        <v>7143</v>
      </c>
    </row>
    <row r="875" spans="1:10">
      <c r="A875" s="2" t="s">
        <v>4053</v>
      </c>
      <c r="B875" s="2" t="s">
        <v>2322</v>
      </c>
      <c r="C875" s="2" t="s">
        <v>7138</v>
      </c>
      <c r="D875" s="2">
        <v>1996</v>
      </c>
      <c r="E875" s="2" t="s">
        <v>7490</v>
      </c>
      <c r="F875" s="2" t="s">
        <v>2323</v>
      </c>
      <c r="G875" s="2" t="s">
        <v>7192</v>
      </c>
      <c r="H875" s="2" t="s">
        <v>7182</v>
      </c>
      <c r="I875" s="2" t="s">
        <v>7142</v>
      </c>
      <c r="J875" s="2" t="s">
        <v>8529</v>
      </c>
    </row>
    <row r="876" spans="1:10">
      <c r="A876" s="2" t="s">
        <v>4054</v>
      </c>
      <c r="B876" s="2" t="s">
        <v>2322</v>
      </c>
      <c r="C876" s="2" t="s">
        <v>7179</v>
      </c>
      <c r="D876" s="2">
        <v>2002</v>
      </c>
      <c r="E876" s="2" t="s">
        <v>7490</v>
      </c>
      <c r="F876" s="2" t="s">
        <v>4055</v>
      </c>
      <c r="G876" s="2" t="s">
        <v>7192</v>
      </c>
      <c r="H876" s="2" t="s">
        <v>7141</v>
      </c>
      <c r="I876" s="2" t="s">
        <v>7142</v>
      </c>
      <c r="J876" s="2" t="s">
        <v>8540</v>
      </c>
    </row>
    <row r="877" spans="1:10">
      <c r="A877" s="2" t="s">
        <v>4056</v>
      </c>
      <c r="B877" s="2" t="s">
        <v>2322</v>
      </c>
      <c r="C877" s="2" t="s">
        <v>7138</v>
      </c>
      <c r="D877" s="2">
        <v>1980</v>
      </c>
      <c r="E877" s="2" t="s">
        <v>7490</v>
      </c>
      <c r="F877" s="2" t="s">
        <v>2324</v>
      </c>
      <c r="G877" s="2" t="s">
        <v>7140</v>
      </c>
      <c r="H877" s="2" t="s">
        <v>7225</v>
      </c>
      <c r="I877" s="2" t="s">
        <v>7142</v>
      </c>
      <c r="J877" s="2" t="s">
        <v>8529</v>
      </c>
    </row>
    <row r="878" spans="1:10">
      <c r="A878" s="2" t="s">
        <v>4057</v>
      </c>
      <c r="B878" s="2" t="s">
        <v>2322</v>
      </c>
      <c r="C878" s="2" t="s">
        <v>7138</v>
      </c>
      <c r="D878" s="2">
        <v>2022</v>
      </c>
      <c r="E878" s="2" t="s">
        <v>7490</v>
      </c>
      <c r="F878" s="2" t="s">
        <v>4058</v>
      </c>
      <c r="G878" s="2" t="s">
        <v>7503</v>
      </c>
      <c r="H878" s="2" t="s">
        <v>7395</v>
      </c>
      <c r="I878" s="2" t="s">
        <v>7143</v>
      </c>
    </row>
    <row r="879" spans="1:10">
      <c r="A879" s="2" t="s">
        <v>4059</v>
      </c>
      <c r="B879" s="2" t="s">
        <v>2319</v>
      </c>
      <c r="C879" s="2" t="s">
        <v>7138</v>
      </c>
      <c r="D879" s="2">
        <v>1993</v>
      </c>
      <c r="E879" s="2" t="s">
        <v>7490</v>
      </c>
      <c r="F879" s="2" t="s">
        <v>4060</v>
      </c>
      <c r="G879" s="2" t="s">
        <v>7140</v>
      </c>
      <c r="H879" s="2" t="s">
        <v>7225</v>
      </c>
      <c r="I879" s="2" t="s">
        <v>7142</v>
      </c>
      <c r="J879" s="2" t="s">
        <v>8529</v>
      </c>
    </row>
    <row r="880" spans="1:10">
      <c r="A880" s="2" t="s">
        <v>4061</v>
      </c>
      <c r="B880" s="2" t="s">
        <v>2319</v>
      </c>
      <c r="C880" s="2" t="s">
        <v>7179</v>
      </c>
      <c r="D880" s="2">
        <v>2011</v>
      </c>
      <c r="E880" s="2" t="s">
        <v>7490</v>
      </c>
      <c r="F880" s="2" t="s">
        <v>4062</v>
      </c>
      <c r="G880" s="2" t="s">
        <v>7192</v>
      </c>
      <c r="H880" s="2" t="s">
        <v>7225</v>
      </c>
      <c r="I880" s="2" t="s">
        <v>7143</v>
      </c>
    </row>
    <row r="881" spans="1:10">
      <c r="A881" s="2" t="s">
        <v>4063</v>
      </c>
      <c r="B881" s="2" t="s">
        <v>2319</v>
      </c>
      <c r="C881" s="2" t="s">
        <v>7179</v>
      </c>
      <c r="D881" s="2">
        <v>1990</v>
      </c>
      <c r="E881" s="2" t="s">
        <v>7490</v>
      </c>
      <c r="F881" s="2" t="s">
        <v>4064</v>
      </c>
      <c r="G881" s="2" t="s">
        <v>7181</v>
      </c>
      <c r="H881" s="2" t="s">
        <v>7141</v>
      </c>
      <c r="I881" s="2" t="s">
        <v>7142</v>
      </c>
      <c r="J881" s="2" t="s">
        <v>8538</v>
      </c>
    </row>
    <row r="882" spans="1:10">
      <c r="A882" s="2" t="s">
        <v>4065</v>
      </c>
      <c r="B882" s="2" t="s">
        <v>2319</v>
      </c>
      <c r="C882" s="2" t="s">
        <v>7179</v>
      </c>
      <c r="D882" s="2">
        <v>2020</v>
      </c>
      <c r="E882" s="2" t="s">
        <v>7490</v>
      </c>
      <c r="F882" s="2" t="s">
        <v>4066</v>
      </c>
      <c r="G882" s="2" t="s">
        <v>7192</v>
      </c>
      <c r="H882" s="2" t="s">
        <v>7395</v>
      </c>
      <c r="I882" s="2" t="s">
        <v>7143</v>
      </c>
    </row>
    <row r="883" spans="1:10">
      <c r="A883" s="2" t="s">
        <v>4067</v>
      </c>
      <c r="B883" s="2" t="s">
        <v>2319</v>
      </c>
      <c r="C883" s="2" t="s">
        <v>7179</v>
      </c>
      <c r="D883" s="2">
        <v>2017</v>
      </c>
      <c r="E883" s="2" t="s">
        <v>7490</v>
      </c>
      <c r="F883" s="2" t="s">
        <v>4068</v>
      </c>
      <c r="G883" s="2" t="s">
        <v>7192</v>
      </c>
      <c r="H883" s="2" t="s">
        <v>7225</v>
      </c>
      <c r="I883" s="2" t="s">
        <v>7143</v>
      </c>
    </row>
    <row r="884" spans="1:10">
      <c r="A884" s="2" t="s">
        <v>4069</v>
      </c>
      <c r="B884" s="2" t="s">
        <v>2293</v>
      </c>
      <c r="C884" s="2" t="s">
        <v>7138</v>
      </c>
      <c r="D884" s="2">
        <v>1978</v>
      </c>
      <c r="E884" s="2" t="s">
        <v>7490</v>
      </c>
      <c r="F884" s="2" t="s">
        <v>2295</v>
      </c>
      <c r="G884" s="2" t="s">
        <v>7140</v>
      </c>
      <c r="H884" s="2" t="s">
        <v>7141</v>
      </c>
      <c r="I884" s="2" t="s">
        <v>7142</v>
      </c>
      <c r="J884" s="2" t="s">
        <v>8533</v>
      </c>
    </row>
    <row r="885" spans="1:10">
      <c r="A885" s="2" t="s">
        <v>4070</v>
      </c>
      <c r="B885" s="2" t="s">
        <v>2293</v>
      </c>
      <c r="C885" s="2" t="s">
        <v>7179</v>
      </c>
      <c r="D885" s="2">
        <v>1984</v>
      </c>
      <c r="E885" s="2" t="s">
        <v>7490</v>
      </c>
      <c r="F885" s="2" t="s">
        <v>4071</v>
      </c>
      <c r="G885" s="2" t="s">
        <v>7181</v>
      </c>
      <c r="H885" s="2" t="s">
        <v>7225</v>
      </c>
      <c r="I885" s="2" t="s">
        <v>7142</v>
      </c>
      <c r="J885" s="2" t="s">
        <v>8540</v>
      </c>
    </row>
    <row r="886" spans="1:10">
      <c r="A886" s="2" t="s">
        <v>4072</v>
      </c>
      <c r="B886" s="2" t="s">
        <v>563</v>
      </c>
      <c r="C886" s="2" t="s">
        <v>7179</v>
      </c>
      <c r="D886" s="2">
        <v>1963</v>
      </c>
      <c r="E886" s="2" t="s">
        <v>7139</v>
      </c>
      <c r="F886" s="2" t="s">
        <v>4073</v>
      </c>
      <c r="G886" s="2" t="s">
        <v>7181</v>
      </c>
      <c r="H886" s="2" t="s">
        <v>7225</v>
      </c>
      <c r="I886" s="2" t="s">
        <v>7143</v>
      </c>
    </row>
    <row r="887" spans="1:10">
      <c r="A887" s="2" t="s">
        <v>4074</v>
      </c>
      <c r="B887" s="2" t="s">
        <v>563</v>
      </c>
      <c r="C887" s="2" t="s">
        <v>7138</v>
      </c>
      <c r="D887" s="2">
        <v>1989</v>
      </c>
      <c r="E887" s="2" t="s">
        <v>7139</v>
      </c>
      <c r="F887" s="2" t="s">
        <v>4075</v>
      </c>
      <c r="G887" s="2" t="s">
        <v>7192</v>
      </c>
      <c r="H887" s="2" t="s">
        <v>7141</v>
      </c>
      <c r="I887" s="2" t="s">
        <v>7142</v>
      </c>
      <c r="J887" s="2" t="s">
        <v>8529</v>
      </c>
    </row>
    <row r="888" spans="1:10">
      <c r="A888" s="2" t="s">
        <v>4076</v>
      </c>
      <c r="B888" s="2" t="s">
        <v>573</v>
      </c>
      <c r="C888" s="2" t="s">
        <v>7138</v>
      </c>
      <c r="D888" s="2">
        <v>2012</v>
      </c>
      <c r="E888" s="2" t="s">
        <v>7139</v>
      </c>
      <c r="F888" s="2" t="s">
        <v>4077</v>
      </c>
      <c r="G888" s="2" t="s">
        <v>7192</v>
      </c>
      <c r="H888" s="2" t="s">
        <v>7579</v>
      </c>
      <c r="I888" s="2" t="s">
        <v>7143</v>
      </c>
    </row>
    <row r="889" spans="1:10">
      <c r="A889" s="2" t="s">
        <v>4078</v>
      </c>
      <c r="B889" s="2" t="s">
        <v>573</v>
      </c>
      <c r="C889" s="2" t="s">
        <v>7138</v>
      </c>
      <c r="D889" s="2">
        <v>1975</v>
      </c>
      <c r="E889" s="2" t="s">
        <v>7139</v>
      </c>
      <c r="F889" s="2" t="s">
        <v>4079</v>
      </c>
      <c r="G889" s="2" t="s">
        <v>7140</v>
      </c>
      <c r="H889" s="2" t="s">
        <v>7225</v>
      </c>
      <c r="I889" s="2" t="s">
        <v>7142</v>
      </c>
      <c r="J889" s="2" t="s">
        <v>8533</v>
      </c>
    </row>
    <row r="890" spans="1:10">
      <c r="A890" s="2" t="s">
        <v>4080</v>
      </c>
      <c r="B890" s="2" t="s">
        <v>599</v>
      </c>
      <c r="C890" s="2" t="s">
        <v>7138</v>
      </c>
      <c r="D890" s="2">
        <v>1997</v>
      </c>
      <c r="E890" s="2" t="s">
        <v>7139</v>
      </c>
      <c r="F890" s="2" t="s">
        <v>4081</v>
      </c>
      <c r="G890" s="2" t="s">
        <v>7192</v>
      </c>
      <c r="H890" s="2" t="s">
        <v>7141</v>
      </c>
      <c r="I890" s="2" t="s">
        <v>7142</v>
      </c>
      <c r="J890" s="2" t="s">
        <v>8533</v>
      </c>
    </row>
    <row r="891" spans="1:10">
      <c r="A891" s="2" t="s">
        <v>4082</v>
      </c>
      <c r="B891" s="2" t="s">
        <v>599</v>
      </c>
      <c r="C891" s="2" t="s">
        <v>7179</v>
      </c>
      <c r="D891" s="2">
        <v>1997</v>
      </c>
      <c r="E891" s="2" t="s">
        <v>7139</v>
      </c>
      <c r="F891" s="2" t="s">
        <v>4083</v>
      </c>
      <c r="G891" s="2" t="s">
        <v>7503</v>
      </c>
      <c r="H891" s="2" t="s">
        <v>7141</v>
      </c>
      <c r="I891" s="2" t="s">
        <v>7142</v>
      </c>
      <c r="J891" s="2" t="s">
        <v>8622</v>
      </c>
    </row>
    <row r="892" spans="1:10">
      <c r="A892" s="2" t="s">
        <v>4085</v>
      </c>
      <c r="B892" s="2" t="s">
        <v>608</v>
      </c>
      <c r="C892" s="2" t="s">
        <v>7138</v>
      </c>
      <c r="D892" s="2">
        <v>1988</v>
      </c>
      <c r="E892" s="2" t="s">
        <v>7139</v>
      </c>
      <c r="F892" s="2" t="s">
        <v>4086</v>
      </c>
      <c r="G892" s="2" t="s">
        <v>7140</v>
      </c>
      <c r="H892" s="2" t="s">
        <v>7141</v>
      </c>
      <c r="I892" s="2" t="s">
        <v>7142</v>
      </c>
      <c r="J892" s="2" t="s">
        <v>8533</v>
      </c>
    </row>
    <row r="893" spans="1:10">
      <c r="A893" s="2" t="s">
        <v>4087</v>
      </c>
      <c r="B893" s="2" t="s">
        <v>608</v>
      </c>
      <c r="C893" s="2" t="s">
        <v>7138</v>
      </c>
      <c r="D893" s="2">
        <v>2017</v>
      </c>
      <c r="E893" s="2" t="s">
        <v>7139</v>
      </c>
      <c r="F893" s="2" t="s">
        <v>4088</v>
      </c>
      <c r="G893" s="2" t="s">
        <v>7192</v>
      </c>
      <c r="H893" s="2" t="s">
        <v>7579</v>
      </c>
      <c r="I893" s="2" t="s">
        <v>7143</v>
      </c>
    </row>
    <row r="894" spans="1:10">
      <c r="A894" s="2" t="s">
        <v>4089</v>
      </c>
      <c r="B894" s="2" t="s">
        <v>699</v>
      </c>
      <c r="C894" s="2" t="s">
        <v>7138</v>
      </c>
      <c r="D894" s="2">
        <v>2017</v>
      </c>
      <c r="E894" s="2" t="s">
        <v>7139</v>
      </c>
      <c r="F894" s="2" t="s">
        <v>4090</v>
      </c>
      <c r="G894" s="2" t="s">
        <v>7503</v>
      </c>
      <c r="H894" s="2" t="s">
        <v>7579</v>
      </c>
      <c r="I894" s="2" t="s">
        <v>7143</v>
      </c>
    </row>
    <row r="895" spans="1:10">
      <c r="A895" s="2" t="s">
        <v>4091</v>
      </c>
      <c r="B895" s="2" t="s">
        <v>699</v>
      </c>
      <c r="C895" s="2" t="s">
        <v>7179</v>
      </c>
      <c r="D895" s="2">
        <v>2000</v>
      </c>
      <c r="E895" s="2" t="s">
        <v>7139</v>
      </c>
      <c r="F895" s="2" t="s">
        <v>4092</v>
      </c>
      <c r="G895" s="2" t="s">
        <v>7503</v>
      </c>
      <c r="H895" s="2" t="s">
        <v>7141</v>
      </c>
      <c r="I895" s="2" t="s">
        <v>7142</v>
      </c>
      <c r="J895" s="2" t="s">
        <v>8579</v>
      </c>
    </row>
    <row r="896" spans="1:10">
      <c r="A896" s="2" t="s">
        <v>4093</v>
      </c>
      <c r="B896" s="2" t="s">
        <v>699</v>
      </c>
      <c r="C896" s="2" t="s">
        <v>7179</v>
      </c>
      <c r="D896" s="2">
        <v>1972</v>
      </c>
      <c r="E896" s="2" t="s">
        <v>7139</v>
      </c>
      <c r="F896" s="2" t="s">
        <v>703</v>
      </c>
      <c r="G896" s="2" t="s">
        <v>7140</v>
      </c>
      <c r="H896" s="2" t="s">
        <v>7225</v>
      </c>
      <c r="I896" s="2" t="s">
        <v>7142</v>
      </c>
      <c r="J896" s="2" t="s">
        <v>8623</v>
      </c>
    </row>
    <row r="897" spans="1:10">
      <c r="A897" s="2" t="s">
        <v>4095</v>
      </c>
      <c r="B897" s="2" t="s">
        <v>699</v>
      </c>
      <c r="C897" s="2" t="s">
        <v>7179</v>
      </c>
      <c r="D897" s="2">
        <v>2021</v>
      </c>
      <c r="E897" s="2" t="s">
        <v>7139</v>
      </c>
      <c r="F897" s="2" t="s">
        <v>4096</v>
      </c>
      <c r="G897" s="2" t="s">
        <v>7503</v>
      </c>
      <c r="H897" s="2" t="s">
        <v>7579</v>
      </c>
      <c r="I897" s="2" t="s">
        <v>7143</v>
      </c>
    </row>
    <row r="898" spans="1:10">
      <c r="A898" s="2" t="s">
        <v>4097</v>
      </c>
      <c r="B898" s="2" t="s">
        <v>753</v>
      </c>
      <c r="C898" s="2" t="s">
        <v>7179</v>
      </c>
      <c r="D898" s="2">
        <v>1965</v>
      </c>
      <c r="E898" s="2" t="s">
        <v>7139</v>
      </c>
      <c r="F898" s="2" t="s">
        <v>4098</v>
      </c>
      <c r="H898" s="2" t="s">
        <v>7225</v>
      </c>
      <c r="I898" s="2" t="s">
        <v>7142</v>
      </c>
      <c r="J898" s="2" t="s">
        <v>8624</v>
      </c>
    </row>
    <row r="899" spans="1:10">
      <c r="A899" s="2" t="s">
        <v>4100</v>
      </c>
      <c r="B899" s="2" t="s">
        <v>734</v>
      </c>
      <c r="C899" s="2" t="s">
        <v>7179</v>
      </c>
      <c r="D899" s="2">
        <v>2010</v>
      </c>
      <c r="E899" s="2" t="s">
        <v>7139</v>
      </c>
      <c r="F899" s="2" t="s">
        <v>4101</v>
      </c>
      <c r="H899" s="2" t="s">
        <v>7182</v>
      </c>
      <c r="I899" s="2" t="s">
        <v>7143</v>
      </c>
    </row>
    <row r="900" spans="1:10">
      <c r="A900" s="2" t="s">
        <v>4102</v>
      </c>
      <c r="B900" s="2" t="s">
        <v>734</v>
      </c>
      <c r="C900" s="2" t="s">
        <v>7138</v>
      </c>
      <c r="D900" s="2">
        <v>1979</v>
      </c>
      <c r="E900" s="2" t="s">
        <v>7139</v>
      </c>
      <c r="F900" s="2" t="s">
        <v>4103</v>
      </c>
      <c r="G900" s="2" t="s">
        <v>7503</v>
      </c>
      <c r="H900" s="2" t="s">
        <v>7182</v>
      </c>
      <c r="I900" s="2" t="s">
        <v>7142</v>
      </c>
      <c r="J900" s="2" t="s">
        <v>8533</v>
      </c>
    </row>
    <row r="901" spans="1:10">
      <c r="A901" s="2" t="s">
        <v>4104</v>
      </c>
      <c r="B901" s="2" t="s">
        <v>734</v>
      </c>
      <c r="C901" s="2" t="s">
        <v>7138</v>
      </c>
      <c r="D901" s="2">
        <v>1950</v>
      </c>
      <c r="E901" s="2" t="s">
        <v>7139</v>
      </c>
      <c r="F901" s="2" t="s">
        <v>738</v>
      </c>
      <c r="G901" s="2" t="s">
        <v>7140</v>
      </c>
      <c r="H901" s="2" t="s">
        <v>7182</v>
      </c>
      <c r="I901" s="2" t="s">
        <v>7143</v>
      </c>
    </row>
    <row r="902" spans="1:10">
      <c r="A902" s="2" t="s">
        <v>4105</v>
      </c>
      <c r="B902" s="2" t="s">
        <v>829</v>
      </c>
      <c r="C902" s="2" t="s">
        <v>7179</v>
      </c>
      <c r="D902" s="2">
        <v>2015</v>
      </c>
      <c r="E902" s="2" t="s">
        <v>7490</v>
      </c>
      <c r="F902" s="2" t="s">
        <v>4106</v>
      </c>
      <c r="G902" s="2" t="s">
        <v>7192</v>
      </c>
      <c r="H902" s="2" t="s">
        <v>7579</v>
      </c>
      <c r="I902" s="2" t="s">
        <v>7143</v>
      </c>
    </row>
    <row r="903" spans="1:10">
      <c r="A903" s="2" t="s">
        <v>4107</v>
      </c>
      <c r="B903" s="2" t="s">
        <v>829</v>
      </c>
      <c r="C903" s="2" t="s">
        <v>7179</v>
      </c>
      <c r="D903" s="2">
        <v>1996</v>
      </c>
      <c r="E903" s="2" t="s">
        <v>7490</v>
      </c>
      <c r="F903" s="2" t="s">
        <v>1502</v>
      </c>
      <c r="G903" s="2" t="s">
        <v>7181</v>
      </c>
      <c r="H903" s="2" t="s">
        <v>7141</v>
      </c>
      <c r="I903" s="2" t="s">
        <v>7142</v>
      </c>
      <c r="J903" s="2" t="s">
        <v>8625</v>
      </c>
    </row>
    <row r="904" spans="1:10">
      <c r="A904" s="2" t="s">
        <v>4109</v>
      </c>
      <c r="B904" s="2" t="s">
        <v>852</v>
      </c>
      <c r="C904" s="2" t="s">
        <v>7138</v>
      </c>
      <c r="D904" s="2">
        <v>2022</v>
      </c>
      <c r="E904" s="2" t="s">
        <v>7490</v>
      </c>
      <c r="F904" s="2" t="s">
        <v>4110</v>
      </c>
      <c r="G904" s="2" t="s">
        <v>7503</v>
      </c>
      <c r="H904" s="2" t="s">
        <v>7579</v>
      </c>
      <c r="I904" s="2" t="s">
        <v>7143</v>
      </c>
    </row>
    <row r="905" spans="1:10">
      <c r="A905" s="2" t="s">
        <v>4111</v>
      </c>
      <c r="B905" s="2" t="s">
        <v>852</v>
      </c>
      <c r="C905" s="2" t="s">
        <v>7138</v>
      </c>
      <c r="D905" s="2">
        <v>2004</v>
      </c>
      <c r="E905" s="2" t="s">
        <v>7490</v>
      </c>
      <c r="F905" s="2" t="s">
        <v>4112</v>
      </c>
      <c r="G905" s="2" t="s">
        <v>7192</v>
      </c>
      <c r="H905" s="2" t="s">
        <v>7225</v>
      </c>
      <c r="I905" s="2" t="s">
        <v>7142</v>
      </c>
      <c r="J905" s="2" t="s">
        <v>8531</v>
      </c>
    </row>
    <row r="906" spans="1:10">
      <c r="A906" s="2" t="s">
        <v>4113</v>
      </c>
      <c r="B906" s="2" t="s">
        <v>852</v>
      </c>
      <c r="C906" s="2" t="s">
        <v>7138</v>
      </c>
      <c r="D906" s="2">
        <v>1968</v>
      </c>
      <c r="E906" s="2" t="s">
        <v>7490</v>
      </c>
      <c r="F906" s="2" t="s">
        <v>856</v>
      </c>
      <c r="G906" s="2" t="s">
        <v>7140</v>
      </c>
      <c r="H906" s="2" t="s">
        <v>7395</v>
      </c>
      <c r="I906" s="2" t="s">
        <v>7142</v>
      </c>
      <c r="J906" s="2" t="s">
        <v>8529</v>
      </c>
    </row>
    <row r="907" spans="1:10">
      <c r="A907" s="2" t="s">
        <v>4114</v>
      </c>
      <c r="B907" s="2" t="s">
        <v>852</v>
      </c>
      <c r="C907" s="2" t="s">
        <v>7179</v>
      </c>
      <c r="D907" s="2">
        <v>1968</v>
      </c>
      <c r="E907" s="2" t="s">
        <v>7490</v>
      </c>
      <c r="F907" s="2" t="s">
        <v>4115</v>
      </c>
      <c r="G907" s="2" t="s">
        <v>7181</v>
      </c>
      <c r="H907" s="2" t="s">
        <v>7395</v>
      </c>
      <c r="I907" s="2" t="s">
        <v>7142</v>
      </c>
      <c r="J907" s="2" t="s">
        <v>8626</v>
      </c>
    </row>
    <row r="908" spans="1:10">
      <c r="A908" s="2" t="s">
        <v>4117</v>
      </c>
      <c r="B908" s="2" t="s">
        <v>879</v>
      </c>
      <c r="C908" s="2" t="s">
        <v>7138</v>
      </c>
      <c r="D908" s="2">
        <v>1975</v>
      </c>
      <c r="E908" s="2" t="s">
        <v>7180</v>
      </c>
      <c r="F908" s="2" t="s">
        <v>882</v>
      </c>
      <c r="G908" s="2" t="s">
        <v>7140</v>
      </c>
      <c r="H908" s="2" t="s">
        <v>7141</v>
      </c>
      <c r="I908" s="2" t="s">
        <v>7142</v>
      </c>
      <c r="J908" s="2" t="s">
        <v>8533</v>
      </c>
    </row>
    <row r="909" spans="1:10">
      <c r="A909" s="2" t="s">
        <v>4118</v>
      </c>
      <c r="B909" s="2" t="s">
        <v>879</v>
      </c>
      <c r="C909" s="2" t="s">
        <v>7138</v>
      </c>
      <c r="D909" s="2">
        <v>2010</v>
      </c>
      <c r="E909" s="2" t="s">
        <v>7180</v>
      </c>
      <c r="F909" s="2" t="s">
        <v>4119</v>
      </c>
      <c r="G909" s="2" t="s">
        <v>7192</v>
      </c>
      <c r="H909" s="2" t="s">
        <v>7579</v>
      </c>
      <c r="I909" s="2" t="s">
        <v>7143</v>
      </c>
    </row>
    <row r="910" spans="1:10">
      <c r="A910" s="2" t="s">
        <v>4120</v>
      </c>
      <c r="B910" s="2" t="s">
        <v>879</v>
      </c>
      <c r="C910" s="2" t="s">
        <v>7138</v>
      </c>
      <c r="D910" s="2">
        <v>1999</v>
      </c>
      <c r="E910" s="2" t="s">
        <v>7180</v>
      </c>
      <c r="F910" s="2" t="s">
        <v>4121</v>
      </c>
      <c r="G910" s="2" t="s">
        <v>7192</v>
      </c>
      <c r="H910" s="2" t="s">
        <v>7182</v>
      </c>
      <c r="I910" s="2" t="s">
        <v>7143</v>
      </c>
    </row>
    <row r="911" spans="1:10">
      <c r="A911" s="2" t="s">
        <v>4122</v>
      </c>
      <c r="B911" s="2" t="s">
        <v>905</v>
      </c>
      <c r="C911" s="2" t="s">
        <v>7138</v>
      </c>
      <c r="D911" s="2">
        <v>2011</v>
      </c>
      <c r="E911" s="2" t="s">
        <v>7180</v>
      </c>
      <c r="F911" s="2" t="s">
        <v>4123</v>
      </c>
      <c r="G911" s="2" t="s">
        <v>7192</v>
      </c>
      <c r="H911" s="2" t="s">
        <v>7579</v>
      </c>
      <c r="I911" s="2" t="s">
        <v>7143</v>
      </c>
    </row>
    <row r="912" spans="1:10">
      <c r="A912" s="2" t="s">
        <v>4124</v>
      </c>
      <c r="B912" s="2" t="s">
        <v>905</v>
      </c>
      <c r="C912" s="2" t="s">
        <v>7179</v>
      </c>
      <c r="D912" s="2">
        <v>1989</v>
      </c>
      <c r="E912" s="2" t="s">
        <v>7180</v>
      </c>
      <c r="F912" s="2" t="s">
        <v>4125</v>
      </c>
      <c r="G912" s="2" t="s">
        <v>7181</v>
      </c>
      <c r="H912" s="2" t="s">
        <v>7141</v>
      </c>
      <c r="I912" s="2" t="s">
        <v>7142</v>
      </c>
      <c r="J912" s="2" t="s">
        <v>8538</v>
      </c>
    </row>
    <row r="913" spans="1:10">
      <c r="A913" s="2" t="s">
        <v>4126</v>
      </c>
      <c r="B913" s="2" t="s">
        <v>905</v>
      </c>
      <c r="C913" s="2" t="s">
        <v>7179</v>
      </c>
      <c r="D913" s="2">
        <v>2009</v>
      </c>
      <c r="E913" s="2" t="s">
        <v>7180</v>
      </c>
      <c r="F913" s="2" t="s">
        <v>4127</v>
      </c>
      <c r="G913" s="2" t="s">
        <v>7192</v>
      </c>
      <c r="H913" s="2" t="s">
        <v>7579</v>
      </c>
      <c r="I913" s="2" t="s">
        <v>7143</v>
      </c>
    </row>
    <row r="914" spans="1:10">
      <c r="A914" s="2" t="s">
        <v>4128</v>
      </c>
      <c r="B914" s="2" t="s">
        <v>905</v>
      </c>
      <c r="C914" s="2" t="s">
        <v>7138</v>
      </c>
      <c r="D914" s="2">
        <v>2015</v>
      </c>
      <c r="E914" s="2" t="s">
        <v>7180</v>
      </c>
      <c r="F914" s="2" t="s">
        <v>4129</v>
      </c>
      <c r="H914" s="2" t="s">
        <v>7579</v>
      </c>
      <c r="I914" s="2" t="s">
        <v>7143</v>
      </c>
    </row>
    <row r="915" spans="1:10">
      <c r="A915" s="2" t="s">
        <v>4130</v>
      </c>
      <c r="B915" s="2" t="s">
        <v>954</v>
      </c>
      <c r="C915" s="2" t="s">
        <v>7179</v>
      </c>
      <c r="D915" s="2">
        <v>2016</v>
      </c>
      <c r="E915" s="2" t="s">
        <v>7490</v>
      </c>
      <c r="F915" s="2" t="s">
        <v>4131</v>
      </c>
      <c r="G915" s="2" t="s">
        <v>7192</v>
      </c>
      <c r="H915" s="2" t="s">
        <v>7579</v>
      </c>
      <c r="I915" s="2" t="s">
        <v>7143</v>
      </c>
    </row>
    <row r="916" spans="1:10">
      <c r="A916" s="2" t="s">
        <v>4132</v>
      </c>
      <c r="B916" s="2" t="s">
        <v>954</v>
      </c>
      <c r="C916" s="2" t="s">
        <v>7138</v>
      </c>
      <c r="D916" s="2">
        <v>2017</v>
      </c>
      <c r="E916" s="2" t="s">
        <v>7490</v>
      </c>
      <c r="F916" s="2" t="s">
        <v>4133</v>
      </c>
      <c r="G916" s="2" t="s">
        <v>7192</v>
      </c>
      <c r="H916" s="2" t="s">
        <v>7579</v>
      </c>
      <c r="I916" s="2" t="s">
        <v>7143</v>
      </c>
    </row>
    <row r="917" spans="1:10">
      <c r="A917" s="2" t="s">
        <v>4134</v>
      </c>
      <c r="B917" s="2" t="s">
        <v>954</v>
      </c>
      <c r="C917" s="2" t="s">
        <v>7179</v>
      </c>
      <c r="D917" s="2">
        <v>2000</v>
      </c>
      <c r="E917" s="2" t="s">
        <v>7490</v>
      </c>
      <c r="F917" s="2" t="s">
        <v>4135</v>
      </c>
      <c r="G917" s="2" t="s">
        <v>7181</v>
      </c>
      <c r="H917" s="2" t="s">
        <v>7141</v>
      </c>
      <c r="I917" s="2" t="s">
        <v>7142</v>
      </c>
      <c r="J917" s="2" t="s">
        <v>8627</v>
      </c>
    </row>
    <row r="918" spans="1:10">
      <c r="A918" s="2" t="s">
        <v>4137</v>
      </c>
      <c r="B918" s="2" t="s">
        <v>996</v>
      </c>
      <c r="C918" s="2" t="s">
        <v>7179</v>
      </c>
      <c r="D918" s="2">
        <v>1994</v>
      </c>
      <c r="E918" s="2" t="s">
        <v>7490</v>
      </c>
      <c r="F918" s="2" t="s">
        <v>4138</v>
      </c>
      <c r="G918" s="2" t="s">
        <v>7181</v>
      </c>
      <c r="H918" s="2" t="s">
        <v>7141</v>
      </c>
      <c r="I918" s="2" t="s">
        <v>7142</v>
      </c>
      <c r="J918" s="2" t="s">
        <v>8540</v>
      </c>
    </row>
    <row r="919" spans="1:10">
      <c r="A919" s="2" t="s">
        <v>4139</v>
      </c>
      <c r="B919" s="2" t="s">
        <v>996</v>
      </c>
      <c r="C919" s="2" t="s">
        <v>7138</v>
      </c>
      <c r="D919" s="2">
        <v>2016</v>
      </c>
      <c r="E919" s="2" t="s">
        <v>7490</v>
      </c>
      <c r="F919" s="2" t="s">
        <v>4140</v>
      </c>
      <c r="G919" s="2" t="s">
        <v>7192</v>
      </c>
      <c r="H919" s="2" t="s">
        <v>7579</v>
      </c>
      <c r="I919" s="2" t="s">
        <v>7143</v>
      </c>
      <c r="J919" s="2"/>
    </row>
    <row r="920" spans="1:10">
      <c r="A920" s="2" t="s">
        <v>4141</v>
      </c>
      <c r="B920" s="2" t="s">
        <v>996</v>
      </c>
      <c r="C920" s="2" t="s">
        <v>7179</v>
      </c>
      <c r="D920" s="2">
        <v>2013</v>
      </c>
      <c r="E920" s="2" t="s">
        <v>7490</v>
      </c>
      <c r="F920" s="2" t="s">
        <v>4142</v>
      </c>
      <c r="G920" s="2" t="s">
        <v>7192</v>
      </c>
      <c r="H920" s="2" t="s">
        <v>7579</v>
      </c>
      <c r="I920" s="2" t="s">
        <v>7143</v>
      </c>
      <c r="J920" s="2"/>
    </row>
    <row r="921" spans="1:10">
      <c r="A921" s="2" t="s">
        <v>4143</v>
      </c>
      <c r="B921" s="2" t="s">
        <v>996</v>
      </c>
      <c r="C921" s="2" t="s">
        <v>7179</v>
      </c>
      <c r="D921" s="2">
        <v>2013</v>
      </c>
      <c r="E921" s="2" t="s">
        <v>7490</v>
      </c>
      <c r="F921" s="2" t="s">
        <v>4144</v>
      </c>
      <c r="G921" s="2" t="s">
        <v>7192</v>
      </c>
      <c r="H921" s="2" t="s">
        <v>7579</v>
      </c>
      <c r="I921" s="2" t="s">
        <v>7143</v>
      </c>
      <c r="J921" s="2"/>
    </row>
    <row r="922" spans="1:10">
      <c r="A922" s="2" t="s">
        <v>4145</v>
      </c>
      <c r="B922" s="2" t="s">
        <v>1026</v>
      </c>
      <c r="C922" s="2" t="s">
        <v>7179</v>
      </c>
      <c r="D922" s="2">
        <v>1971</v>
      </c>
      <c r="E922" s="2" t="s">
        <v>7180</v>
      </c>
      <c r="F922" s="2" t="s">
        <v>4146</v>
      </c>
      <c r="G922" s="2" t="s">
        <v>7181</v>
      </c>
      <c r="H922" s="2" t="s">
        <v>7182</v>
      </c>
      <c r="I922" s="2" t="s">
        <v>7142</v>
      </c>
      <c r="J922" s="2" t="s">
        <v>8628</v>
      </c>
    </row>
    <row r="923" spans="1:10">
      <c r="A923" s="2" t="s">
        <v>4148</v>
      </c>
      <c r="B923" s="2" t="s">
        <v>1224</v>
      </c>
      <c r="C923" s="2" t="s">
        <v>7138</v>
      </c>
      <c r="D923" s="2">
        <v>2009</v>
      </c>
      <c r="E923" s="2" t="s">
        <v>7139</v>
      </c>
      <c r="F923" s="2" t="s">
        <v>482</v>
      </c>
      <c r="G923" s="2" t="s">
        <v>7192</v>
      </c>
      <c r="H923" s="2" t="s">
        <v>7225</v>
      </c>
      <c r="I923" s="2" t="s">
        <v>7142</v>
      </c>
      <c r="J923" s="2" t="s">
        <v>8558</v>
      </c>
    </row>
    <row r="924" spans="1:10">
      <c r="A924" s="2" t="s">
        <v>4149</v>
      </c>
      <c r="B924" s="2" t="s">
        <v>1224</v>
      </c>
      <c r="C924" s="2" t="s">
        <v>7138</v>
      </c>
      <c r="D924" s="2">
        <v>2013</v>
      </c>
      <c r="E924" s="2" t="s">
        <v>7139</v>
      </c>
      <c r="F924" s="2" t="s">
        <v>4150</v>
      </c>
      <c r="G924" s="2" t="s">
        <v>7192</v>
      </c>
      <c r="H924" s="2" t="s">
        <v>7579</v>
      </c>
      <c r="I924" s="2" t="s">
        <v>7143</v>
      </c>
      <c r="J924" s="2"/>
    </row>
    <row r="925" spans="1:10">
      <c r="A925" s="2" t="s">
        <v>4151</v>
      </c>
      <c r="B925" s="2" t="s">
        <v>1224</v>
      </c>
      <c r="C925" s="2" t="s">
        <v>7138</v>
      </c>
      <c r="D925" s="2">
        <v>1984</v>
      </c>
      <c r="E925" s="2" t="s">
        <v>7139</v>
      </c>
      <c r="F925" s="2" t="s">
        <v>1227</v>
      </c>
      <c r="G925" s="2" t="s">
        <v>7140</v>
      </c>
      <c r="H925" s="2" t="s">
        <v>7141</v>
      </c>
      <c r="I925" s="2" t="s">
        <v>7142</v>
      </c>
      <c r="J925" s="2" t="s">
        <v>8533</v>
      </c>
    </row>
    <row r="926" spans="1:10">
      <c r="A926" s="2" t="s">
        <v>4152</v>
      </c>
      <c r="B926" s="2" t="s">
        <v>1224</v>
      </c>
      <c r="C926" s="2" t="s">
        <v>7138</v>
      </c>
      <c r="D926" s="2">
        <v>2020</v>
      </c>
      <c r="E926" s="2" t="s">
        <v>7139</v>
      </c>
      <c r="F926" s="2" t="s">
        <v>4153</v>
      </c>
      <c r="G926" s="2" t="s">
        <v>7192</v>
      </c>
      <c r="H926" s="2" t="s">
        <v>7579</v>
      </c>
      <c r="I926" s="2" t="s">
        <v>7143</v>
      </c>
      <c r="J926" s="2"/>
    </row>
    <row r="927" spans="1:10">
      <c r="A927" s="2" t="s">
        <v>4154</v>
      </c>
      <c r="B927" s="2" t="s">
        <v>1233</v>
      </c>
      <c r="C927" s="2" t="s">
        <v>7179</v>
      </c>
      <c r="D927" s="2">
        <v>2017</v>
      </c>
      <c r="E927" s="2" t="s">
        <v>7139</v>
      </c>
      <c r="F927" s="2" t="s">
        <v>4155</v>
      </c>
      <c r="G927" s="2" t="s">
        <v>7192</v>
      </c>
      <c r="H927" s="2" t="s">
        <v>7579</v>
      </c>
      <c r="I927" s="2" t="s">
        <v>7143</v>
      </c>
      <c r="J927" s="2"/>
    </row>
    <row r="928" spans="1:10">
      <c r="A928" s="2" t="s">
        <v>4156</v>
      </c>
      <c r="B928" s="2" t="s">
        <v>1233</v>
      </c>
      <c r="C928" s="2" t="s">
        <v>7179</v>
      </c>
      <c r="D928" s="2">
        <v>2020</v>
      </c>
      <c r="E928" s="2" t="s">
        <v>7139</v>
      </c>
      <c r="F928" s="2" t="s">
        <v>4157</v>
      </c>
      <c r="G928" s="2" t="s">
        <v>7192</v>
      </c>
      <c r="H928" s="2" t="s">
        <v>7579</v>
      </c>
      <c r="I928" s="2" t="s">
        <v>7143</v>
      </c>
      <c r="J928" s="2"/>
    </row>
    <row r="929" spans="1:10">
      <c r="A929" s="2" t="s">
        <v>4158</v>
      </c>
      <c r="B929" s="2" t="s">
        <v>1233</v>
      </c>
      <c r="C929" s="2" t="s">
        <v>7138</v>
      </c>
      <c r="D929" s="2">
        <v>1987</v>
      </c>
      <c r="E929" s="2" t="s">
        <v>7139</v>
      </c>
      <c r="F929" s="2" t="s">
        <v>1237</v>
      </c>
      <c r="G929" s="2" t="s">
        <v>7140</v>
      </c>
      <c r="H929" s="2" t="s">
        <v>7141</v>
      </c>
      <c r="I929" s="2" t="s">
        <v>7142</v>
      </c>
      <c r="J929" s="2" t="s">
        <v>8533</v>
      </c>
    </row>
    <row r="930" spans="1:10">
      <c r="A930" s="2" t="s">
        <v>4159</v>
      </c>
      <c r="B930" s="2" t="s">
        <v>1252</v>
      </c>
      <c r="C930" s="2" t="s">
        <v>7138</v>
      </c>
      <c r="D930" s="2">
        <v>1997</v>
      </c>
      <c r="E930" s="2" t="s">
        <v>7139</v>
      </c>
      <c r="F930" s="2" t="s">
        <v>1256</v>
      </c>
      <c r="G930" s="2" t="s">
        <v>7140</v>
      </c>
      <c r="H930" s="2" t="s">
        <v>7182</v>
      </c>
      <c r="I930" s="2" t="s">
        <v>7142</v>
      </c>
      <c r="J930" s="2" t="s">
        <v>8533</v>
      </c>
    </row>
    <row r="931" spans="1:10">
      <c r="A931" s="2" t="s">
        <v>4160</v>
      </c>
      <c r="B931" s="2" t="s">
        <v>1252</v>
      </c>
      <c r="C931" s="2" t="s">
        <v>7179</v>
      </c>
      <c r="D931" s="2">
        <v>2023</v>
      </c>
      <c r="E931" s="2" t="s">
        <v>7139</v>
      </c>
      <c r="F931" s="2" t="s">
        <v>4161</v>
      </c>
      <c r="G931" s="2" t="s">
        <v>7192</v>
      </c>
      <c r="H931" s="2" t="s">
        <v>7579</v>
      </c>
      <c r="I931" s="2" t="s">
        <v>7143</v>
      </c>
      <c r="J931" s="2"/>
    </row>
    <row r="932" spans="1:10">
      <c r="A932" s="2" t="s">
        <v>4162</v>
      </c>
      <c r="B932" s="2" t="s">
        <v>1285</v>
      </c>
      <c r="C932" s="2" t="s">
        <v>7179</v>
      </c>
      <c r="D932" s="2">
        <v>2014</v>
      </c>
      <c r="E932" s="2" t="s">
        <v>7139</v>
      </c>
      <c r="F932" s="2" t="s">
        <v>4163</v>
      </c>
      <c r="G932" s="2" t="s">
        <v>7192</v>
      </c>
      <c r="H932" s="2" t="s">
        <v>7579</v>
      </c>
      <c r="I932" s="2" t="s">
        <v>7143</v>
      </c>
      <c r="J932" s="2"/>
    </row>
    <row r="933" spans="1:10">
      <c r="A933" s="2" t="s">
        <v>4164</v>
      </c>
      <c r="B933" s="2" t="s">
        <v>1285</v>
      </c>
      <c r="C933" s="2" t="s">
        <v>7138</v>
      </c>
      <c r="D933" s="2">
        <v>2017</v>
      </c>
      <c r="E933" s="2" t="s">
        <v>7139</v>
      </c>
      <c r="F933" s="2" t="s">
        <v>4165</v>
      </c>
      <c r="G933" s="2" t="s">
        <v>7192</v>
      </c>
      <c r="H933" s="2" t="s">
        <v>7579</v>
      </c>
      <c r="I933" s="2" t="s">
        <v>7143</v>
      </c>
      <c r="J933" s="2"/>
    </row>
    <row r="934" spans="1:10">
      <c r="A934" s="2" t="s">
        <v>4166</v>
      </c>
      <c r="B934" s="2" t="s">
        <v>1285</v>
      </c>
      <c r="C934" s="2" t="s">
        <v>7138</v>
      </c>
      <c r="D934" s="2">
        <v>1993</v>
      </c>
      <c r="E934" s="2" t="s">
        <v>7139</v>
      </c>
      <c r="F934" s="2" t="s">
        <v>4167</v>
      </c>
      <c r="G934" s="2" t="s">
        <v>7140</v>
      </c>
      <c r="H934" s="2" t="s">
        <v>7141</v>
      </c>
      <c r="I934" s="2" t="s">
        <v>7142</v>
      </c>
      <c r="J934" s="2" t="s">
        <v>8585</v>
      </c>
    </row>
    <row r="935" spans="1:10">
      <c r="A935" s="2" t="s">
        <v>4168</v>
      </c>
      <c r="B935" s="2" t="s">
        <v>1310</v>
      </c>
      <c r="C935" s="2" t="s">
        <v>7138</v>
      </c>
      <c r="D935" s="2">
        <v>2022</v>
      </c>
      <c r="E935" s="2" t="s">
        <v>7139</v>
      </c>
      <c r="F935" s="2" t="s">
        <v>4169</v>
      </c>
      <c r="G935" s="2" t="s">
        <v>7192</v>
      </c>
      <c r="H935" s="2" t="s">
        <v>7579</v>
      </c>
      <c r="I935" s="2" t="s">
        <v>7143</v>
      </c>
      <c r="J935" s="2"/>
    </row>
    <row r="936" spans="1:10">
      <c r="A936" s="2" t="s">
        <v>4170</v>
      </c>
      <c r="B936" s="2" t="s">
        <v>1310</v>
      </c>
      <c r="C936" s="2" t="s">
        <v>7179</v>
      </c>
      <c r="D936" s="2">
        <v>1993</v>
      </c>
      <c r="E936" s="2" t="s">
        <v>7139</v>
      </c>
      <c r="F936" s="2" t="s">
        <v>4171</v>
      </c>
      <c r="G936" s="2" t="s">
        <v>7181</v>
      </c>
      <c r="H936" s="2" t="s">
        <v>7225</v>
      </c>
      <c r="I936" s="2" t="s">
        <v>7142</v>
      </c>
      <c r="J936" s="2" t="s">
        <v>8585</v>
      </c>
    </row>
    <row r="937" spans="1:10">
      <c r="A937" s="2" t="s">
        <v>4172</v>
      </c>
      <c r="B937" s="2" t="s">
        <v>1310</v>
      </c>
      <c r="C937" s="2" t="s">
        <v>7179</v>
      </c>
      <c r="D937" s="2">
        <v>2016</v>
      </c>
      <c r="E937" s="2" t="s">
        <v>7139</v>
      </c>
      <c r="F937" s="2" t="s">
        <v>4173</v>
      </c>
      <c r="G937" s="2" t="s">
        <v>7192</v>
      </c>
      <c r="H937" s="2" t="s">
        <v>7225</v>
      </c>
      <c r="I937" s="2" t="s">
        <v>7143</v>
      </c>
      <c r="J937" s="2"/>
    </row>
    <row r="938" spans="1:10">
      <c r="A938" s="2" t="s">
        <v>4174</v>
      </c>
      <c r="B938" s="2" t="s">
        <v>1310</v>
      </c>
      <c r="C938" s="2" t="s">
        <v>7179</v>
      </c>
      <c r="D938" s="2">
        <v>2008</v>
      </c>
      <c r="E938" s="2" t="s">
        <v>7139</v>
      </c>
      <c r="F938" s="2" t="s">
        <v>4175</v>
      </c>
      <c r="G938" s="2" t="s">
        <v>7192</v>
      </c>
      <c r="H938" s="2" t="s">
        <v>7182</v>
      </c>
      <c r="I938" s="2" t="s">
        <v>7142</v>
      </c>
      <c r="J938" s="2" t="s">
        <v>8586</v>
      </c>
    </row>
    <row r="939" spans="1:10">
      <c r="A939" s="2" t="s">
        <v>4176</v>
      </c>
      <c r="B939" s="2" t="s">
        <v>1336</v>
      </c>
      <c r="C939" s="2" t="s">
        <v>7179</v>
      </c>
      <c r="D939" s="2">
        <v>2011</v>
      </c>
      <c r="E939" s="2" t="s">
        <v>7139</v>
      </c>
      <c r="F939" s="2" t="s">
        <v>4177</v>
      </c>
      <c r="G939" s="2" t="s">
        <v>7192</v>
      </c>
      <c r="H939" s="2" t="s">
        <v>7579</v>
      </c>
      <c r="I939" s="2" t="s">
        <v>7143</v>
      </c>
      <c r="J939" s="2"/>
    </row>
    <row r="940" spans="1:10">
      <c r="A940" s="2" t="s">
        <v>4178</v>
      </c>
      <c r="B940" s="2" t="s">
        <v>1336</v>
      </c>
      <c r="C940" s="2" t="s">
        <v>7179</v>
      </c>
      <c r="D940" s="2">
        <v>1991</v>
      </c>
      <c r="E940" s="2" t="s">
        <v>7139</v>
      </c>
      <c r="F940" s="2" t="s">
        <v>4179</v>
      </c>
      <c r="G940" s="2" t="s">
        <v>7181</v>
      </c>
      <c r="H940" s="2" t="s">
        <v>7141</v>
      </c>
      <c r="I940" s="2" t="s">
        <v>7142</v>
      </c>
      <c r="J940" s="2" t="s">
        <v>8629</v>
      </c>
    </row>
    <row r="941" spans="1:10">
      <c r="A941" s="2" t="s">
        <v>4181</v>
      </c>
      <c r="B941" s="2" t="s">
        <v>1336</v>
      </c>
      <c r="C941" s="2" t="s">
        <v>7179</v>
      </c>
      <c r="D941" s="2">
        <v>2010</v>
      </c>
      <c r="E941" s="2" t="s">
        <v>7139</v>
      </c>
      <c r="F941" s="2" t="s">
        <v>4182</v>
      </c>
      <c r="G941" s="2" t="s">
        <v>7192</v>
      </c>
      <c r="H941" s="2" t="s">
        <v>7579</v>
      </c>
      <c r="I941" s="2" t="s">
        <v>7143</v>
      </c>
      <c r="J941" s="2"/>
    </row>
    <row r="942" spans="1:10">
      <c r="A942" s="2" t="s">
        <v>4183</v>
      </c>
      <c r="B942" s="2" t="s">
        <v>1336</v>
      </c>
      <c r="C942" s="2" t="s">
        <v>7138</v>
      </c>
      <c r="D942" s="2">
        <v>2015</v>
      </c>
      <c r="E942" s="2" t="s">
        <v>7139</v>
      </c>
      <c r="F942" s="2" t="s">
        <v>4184</v>
      </c>
      <c r="G942" s="2" t="s">
        <v>7192</v>
      </c>
      <c r="H942" s="2" t="s">
        <v>7579</v>
      </c>
      <c r="I942" s="2" t="s">
        <v>7143</v>
      </c>
      <c r="J942" s="2"/>
    </row>
    <row r="943" spans="1:10">
      <c r="A943" s="2" t="s">
        <v>4185</v>
      </c>
      <c r="B943" s="2" t="s">
        <v>1374</v>
      </c>
      <c r="C943" s="2" t="s">
        <v>7179</v>
      </c>
      <c r="D943" s="2">
        <v>1986</v>
      </c>
      <c r="E943" s="2" t="s">
        <v>7139</v>
      </c>
      <c r="F943" s="2" t="s">
        <v>4186</v>
      </c>
      <c r="G943" s="2" t="s">
        <v>7181</v>
      </c>
      <c r="H943" s="2" t="s">
        <v>7225</v>
      </c>
      <c r="I943" s="2" t="s">
        <v>7142</v>
      </c>
      <c r="J943" s="2" t="s">
        <v>8630</v>
      </c>
    </row>
    <row r="944" spans="1:10">
      <c r="A944" s="2" t="s">
        <v>4188</v>
      </c>
      <c r="B944" s="2" t="s">
        <v>1374</v>
      </c>
      <c r="C944" s="2" t="s">
        <v>7138</v>
      </c>
      <c r="D944" s="2">
        <v>1996</v>
      </c>
      <c r="E944" s="2" t="s">
        <v>7139</v>
      </c>
      <c r="F944" s="2" t="s">
        <v>4189</v>
      </c>
      <c r="G944" s="2" t="s">
        <v>7192</v>
      </c>
      <c r="H944" s="2" t="s">
        <v>7182</v>
      </c>
      <c r="I944" s="2" t="s">
        <v>7142</v>
      </c>
      <c r="J944" s="2" t="s">
        <v>8631</v>
      </c>
    </row>
    <row r="945" spans="1:10">
      <c r="A945" s="2" t="s">
        <v>4191</v>
      </c>
      <c r="B945" s="2" t="s">
        <v>1374</v>
      </c>
      <c r="C945" s="2" t="s">
        <v>7138</v>
      </c>
      <c r="D945" s="2">
        <v>2025</v>
      </c>
      <c r="E945" s="2" t="s">
        <v>7139</v>
      </c>
      <c r="F945" s="2" t="s">
        <v>1038</v>
      </c>
      <c r="G945" s="2" t="s">
        <v>7192</v>
      </c>
      <c r="H945" s="2" t="s">
        <v>7579</v>
      </c>
      <c r="I945" s="2" t="s">
        <v>7143</v>
      </c>
      <c r="J945" s="2"/>
    </row>
    <row r="946" spans="1:10">
      <c r="A946" s="2" t="s">
        <v>4192</v>
      </c>
      <c r="B946" s="2" t="s">
        <v>1374</v>
      </c>
      <c r="C946" s="2" t="s">
        <v>7138</v>
      </c>
      <c r="D946" s="2">
        <v>2005</v>
      </c>
      <c r="E946" s="2" t="s">
        <v>7139</v>
      </c>
      <c r="F946" s="2" t="s">
        <v>4193</v>
      </c>
      <c r="G946" s="2" t="s">
        <v>7192</v>
      </c>
      <c r="H946" s="2" t="s">
        <v>7225</v>
      </c>
      <c r="I946" s="2" t="s">
        <v>7142</v>
      </c>
      <c r="J946" s="2" t="s">
        <v>8632</v>
      </c>
    </row>
    <row r="947" spans="1:10">
      <c r="A947" s="2" t="s">
        <v>4195</v>
      </c>
      <c r="B947" s="2" t="s">
        <v>1374</v>
      </c>
      <c r="C947" s="2" t="s">
        <v>7138</v>
      </c>
      <c r="D947" s="2">
        <v>2001</v>
      </c>
      <c r="E947" s="2" t="s">
        <v>7139</v>
      </c>
      <c r="F947" s="2" t="s">
        <v>4196</v>
      </c>
      <c r="G947" s="2" t="s">
        <v>7192</v>
      </c>
      <c r="H947" s="2" t="s">
        <v>7141</v>
      </c>
      <c r="I947" s="2" t="s">
        <v>7142</v>
      </c>
      <c r="J947" s="2" t="s">
        <v>8591</v>
      </c>
    </row>
    <row r="948" spans="1:10">
      <c r="A948" s="2" t="s">
        <v>4197</v>
      </c>
      <c r="B948" s="2" t="s">
        <v>1605</v>
      </c>
      <c r="C948" s="2" t="s">
        <v>7138</v>
      </c>
      <c r="D948" s="2">
        <v>1963</v>
      </c>
      <c r="E948" s="2" t="s">
        <v>7139</v>
      </c>
      <c r="F948" s="2" t="s">
        <v>4198</v>
      </c>
      <c r="G948" s="2" t="s">
        <v>7140</v>
      </c>
      <c r="H948" s="2" t="s">
        <v>7225</v>
      </c>
      <c r="I948" s="2" t="s">
        <v>7142</v>
      </c>
      <c r="J948" s="2" t="s">
        <v>8533</v>
      </c>
    </row>
    <row r="949" spans="1:10">
      <c r="A949" s="2" t="s">
        <v>4199</v>
      </c>
      <c r="B949" s="2" t="s">
        <v>1605</v>
      </c>
      <c r="C949" s="2" t="s">
        <v>7179</v>
      </c>
      <c r="D949" s="2">
        <v>1960</v>
      </c>
      <c r="E949" s="2" t="s">
        <v>7139</v>
      </c>
      <c r="F949" s="2" t="s">
        <v>4200</v>
      </c>
      <c r="G949" s="2" t="s">
        <v>7181</v>
      </c>
      <c r="H949" s="2" t="s">
        <v>7225</v>
      </c>
      <c r="I949" s="2" t="s">
        <v>7142</v>
      </c>
      <c r="J949" s="2" t="s">
        <v>8633</v>
      </c>
    </row>
    <row r="950" spans="1:10">
      <c r="A950" s="2" t="s">
        <v>4202</v>
      </c>
      <c r="B950" s="2" t="s">
        <v>1594</v>
      </c>
      <c r="C950" s="2" t="s">
        <v>7179</v>
      </c>
      <c r="D950" s="2">
        <v>1990</v>
      </c>
      <c r="E950" s="2" t="s">
        <v>7139</v>
      </c>
      <c r="F950" s="2" t="s">
        <v>4203</v>
      </c>
      <c r="G950" s="2" t="s">
        <v>7181</v>
      </c>
      <c r="H950" s="2" t="s">
        <v>7225</v>
      </c>
      <c r="I950" s="2" t="s">
        <v>7142</v>
      </c>
      <c r="J950" s="2" t="s">
        <v>8634</v>
      </c>
    </row>
    <row r="951" spans="1:10">
      <c r="A951" s="2" t="s">
        <v>4205</v>
      </c>
      <c r="B951" s="2" t="s">
        <v>1594</v>
      </c>
      <c r="C951" s="2" t="s">
        <v>7138</v>
      </c>
      <c r="D951" s="2">
        <v>2022</v>
      </c>
      <c r="E951" s="2" t="s">
        <v>7139</v>
      </c>
      <c r="F951" s="2" t="s">
        <v>4206</v>
      </c>
      <c r="G951" s="2" t="s">
        <v>7192</v>
      </c>
      <c r="H951" s="2" t="s">
        <v>7579</v>
      </c>
      <c r="I951" s="2" t="s">
        <v>7143</v>
      </c>
      <c r="J951" s="2"/>
    </row>
    <row r="952" spans="1:10">
      <c r="A952" s="2" t="s">
        <v>4207</v>
      </c>
      <c r="B952" s="2" t="s">
        <v>1594</v>
      </c>
      <c r="C952" s="2" t="s">
        <v>7138</v>
      </c>
      <c r="D952" s="2">
        <v>2013</v>
      </c>
      <c r="E952" s="2" t="s">
        <v>7139</v>
      </c>
      <c r="F952" s="2" t="s">
        <v>4208</v>
      </c>
      <c r="G952" s="2" t="s">
        <v>7192</v>
      </c>
      <c r="H952" s="2" t="s">
        <v>7579</v>
      </c>
      <c r="I952" s="2" t="s">
        <v>7143</v>
      </c>
      <c r="J952" s="2"/>
    </row>
    <row r="953" spans="1:10">
      <c r="A953" s="2" t="s">
        <v>4209</v>
      </c>
      <c r="B953" s="2" t="s">
        <v>1599</v>
      </c>
      <c r="C953" s="2" t="s">
        <v>7179</v>
      </c>
      <c r="D953" s="2">
        <v>1997</v>
      </c>
      <c r="E953" s="2" t="s">
        <v>7139</v>
      </c>
      <c r="F953" s="2" t="s">
        <v>4210</v>
      </c>
      <c r="G953" s="2" t="s">
        <v>7181</v>
      </c>
      <c r="H953" s="2" t="s">
        <v>7225</v>
      </c>
      <c r="I953" s="2" t="s">
        <v>7142</v>
      </c>
      <c r="J953" s="2" t="s">
        <v>8635</v>
      </c>
    </row>
    <row r="954" spans="1:10">
      <c r="A954" s="2" t="s">
        <v>4212</v>
      </c>
      <c r="B954" s="2" t="s">
        <v>1599</v>
      </c>
      <c r="C954" s="2" t="s">
        <v>7179</v>
      </c>
      <c r="D954" s="2">
        <v>2016</v>
      </c>
      <c r="E954" s="2" t="s">
        <v>7139</v>
      </c>
      <c r="F954" s="2" t="s">
        <v>4213</v>
      </c>
      <c r="G954" s="2" t="s">
        <v>7192</v>
      </c>
      <c r="H954" s="2" t="s">
        <v>7579</v>
      </c>
      <c r="I954" s="2" t="s">
        <v>7143</v>
      </c>
      <c r="J954" s="2"/>
    </row>
    <row r="955" spans="1:10">
      <c r="A955" s="2" t="s">
        <v>4214</v>
      </c>
      <c r="B955" s="2" t="s">
        <v>1599</v>
      </c>
      <c r="C955" s="2" t="s">
        <v>7138</v>
      </c>
      <c r="D955" s="2">
        <v>2010</v>
      </c>
      <c r="E955" s="2" t="s">
        <v>7139</v>
      </c>
      <c r="F955" s="2" t="s">
        <v>4215</v>
      </c>
      <c r="G955" s="2" t="s">
        <v>7192</v>
      </c>
      <c r="H955" s="2" t="s">
        <v>7225</v>
      </c>
      <c r="I955" s="2" t="s">
        <v>7142</v>
      </c>
      <c r="J955" s="2" t="s">
        <v>8636</v>
      </c>
    </row>
    <row r="956" spans="1:10">
      <c r="A956" s="2" t="s">
        <v>4217</v>
      </c>
      <c r="B956" s="2" t="s">
        <v>1461</v>
      </c>
      <c r="C956" s="2" t="s">
        <v>7179</v>
      </c>
      <c r="D956" s="2">
        <v>1975</v>
      </c>
      <c r="E956" s="2" t="s">
        <v>7139</v>
      </c>
      <c r="F956" s="2" t="s">
        <v>4218</v>
      </c>
      <c r="G956" s="2" t="s">
        <v>7181</v>
      </c>
      <c r="H956" s="2" t="s">
        <v>7395</v>
      </c>
      <c r="I956" s="2" t="s">
        <v>7142</v>
      </c>
      <c r="J956" s="2" t="s">
        <v>8637</v>
      </c>
    </row>
    <row r="957" spans="1:10">
      <c r="A957" s="2" t="s">
        <v>4220</v>
      </c>
      <c r="B957" s="2" t="s">
        <v>1461</v>
      </c>
      <c r="C957" s="2" t="s">
        <v>7138</v>
      </c>
      <c r="D957" s="2">
        <v>1970</v>
      </c>
      <c r="E957" s="2" t="s">
        <v>7139</v>
      </c>
      <c r="F957" s="2" t="s">
        <v>4221</v>
      </c>
      <c r="G957" s="2" t="s">
        <v>7140</v>
      </c>
      <c r="H957" s="2" t="s">
        <v>7225</v>
      </c>
      <c r="I957" s="2" t="s">
        <v>7142</v>
      </c>
      <c r="J957" s="2" t="s">
        <v>8533</v>
      </c>
    </row>
    <row r="958" spans="1:10">
      <c r="A958" s="2" t="s">
        <v>4222</v>
      </c>
      <c r="B958" s="2" t="s">
        <v>1461</v>
      </c>
      <c r="C958" s="2" t="s">
        <v>7179</v>
      </c>
      <c r="D958" s="2">
        <v>2001</v>
      </c>
      <c r="E958" s="2" t="s">
        <v>7139</v>
      </c>
      <c r="F958" s="2" t="s">
        <v>4223</v>
      </c>
      <c r="G958" s="2" t="s">
        <v>7192</v>
      </c>
      <c r="H958" s="2" t="s">
        <v>7225</v>
      </c>
      <c r="I958" s="2" t="s">
        <v>7142</v>
      </c>
      <c r="J958" s="2" t="s">
        <v>8638</v>
      </c>
    </row>
    <row r="959" spans="1:10">
      <c r="A959" s="2" t="s">
        <v>4225</v>
      </c>
      <c r="B959" s="2" t="s">
        <v>1461</v>
      </c>
      <c r="C959" s="2" t="s">
        <v>7138</v>
      </c>
      <c r="D959" s="2">
        <v>2011</v>
      </c>
      <c r="E959" s="2" t="s">
        <v>7139</v>
      </c>
      <c r="F959" s="2" t="s">
        <v>4226</v>
      </c>
      <c r="G959" s="2" t="s">
        <v>7192</v>
      </c>
      <c r="H959" s="2" t="s">
        <v>7141</v>
      </c>
      <c r="I959" s="2" t="s">
        <v>7143</v>
      </c>
      <c r="J959" s="2"/>
    </row>
    <row r="960" spans="1:10">
      <c r="A960" s="2" t="s">
        <v>4227</v>
      </c>
      <c r="B960" s="2" t="s">
        <v>1435</v>
      </c>
      <c r="C960" s="2" t="s">
        <v>7179</v>
      </c>
      <c r="D960" s="2">
        <v>1981</v>
      </c>
      <c r="E960" s="2" t="s">
        <v>7139</v>
      </c>
      <c r="F960" s="2" t="s">
        <v>4110</v>
      </c>
      <c r="G960" s="2" t="s">
        <v>7181</v>
      </c>
      <c r="H960" s="2" t="s">
        <v>7395</v>
      </c>
      <c r="I960" s="2" t="s">
        <v>7142</v>
      </c>
      <c r="J960" s="2" t="s">
        <v>8639</v>
      </c>
    </row>
    <row r="961" spans="1:10">
      <c r="A961" s="2" t="s">
        <v>4229</v>
      </c>
      <c r="B961" s="2" t="s">
        <v>1435</v>
      </c>
      <c r="C961" s="2" t="s">
        <v>7179</v>
      </c>
      <c r="D961" s="2">
        <v>2019</v>
      </c>
      <c r="E961" s="2" t="s">
        <v>7139</v>
      </c>
      <c r="F961" s="2" t="s">
        <v>1064</v>
      </c>
      <c r="G961" s="2" t="s">
        <v>7192</v>
      </c>
      <c r="H961" s="2" t="s">
        <v>7579</v>
      </c>
      <c r="I961" s="2" t="s">
        <v>7143</v>
      </c>
      <c r="J961" s="2"/>
    </row>
    <row r="962" spans="1:10">
      <c r="A962" s="2" t="s">
        <v>4230</v>
      </c>
      <c r="B962" s="2" t="s">
        <v>1435</v>
      </c>
      <c r="C962" s="2" t="s">
        <v>7179</v>
      </c>
      <c r="D962" s="2">
        <v>2020</v>
      </c>
      <c r="E962" s="2" t="s">
        <v>7139</v>
      </c>
      <c r="F962" s="2" t="s">
        <v>4231</v>
      </c>
      <c r="G962" s="2" t="s">
        <v>7192</v>
      </c>
      <c r="H962" s="2" t="s">
        <v>7579</v>
      </c>
      <c r="I962" s="2" t="s">
        <v>7143</v>
      </c>
      <c r="J962" s="2"/>
    </row>
    <row r="963" spans="1:10">
      <c r="A963" s="2" t="s">
        <v>4232</v>
      </c>
      <c r="B963" s="2" t="s">
        <v>1435</v>
      </c>
      <c r="C963" s="2" t="s">
        <v>7138</v>
      </c>
      <c r="D963" s="2">
        <v>2003</v>
      </c>
      <c r="E963" s="2" t="s">
        <v>7139</v>
      </c>
      <c r="F963" s="2" t="s">
        <v>4233</v>
      </c>
      <c r="G963" s="2" t="s">
        <v>7192</v>
      </c>
      <c r="H963" s="2" t="s">
        <v>7225</v>
      </c>
      <c r="I963" s="2" t="s">
        <v>7142</v>
      </c>
      <c r="J963" s="2" t="s">
        <v>8580</v>
      </c>
    </row>
    <row r="964" spans="1:10">
      <c r="A964" s="2" t="s">
        <v>4234</v>
      </c>
      <c r="B964" s="2" t="s">
        <v>1435</v>
      </c>
      <c r="C964" s="2" t="s">
        <v>7138</v>
      </c>
      <c r="D964" s="2">
        <v>2005</v>
      </c>
      <c r="E964" s="2" t="s">
        <v>7139</v>
      </c>
      <c r="F964" s="2" t="s">
        <v>4235</v>
      </c>
      <c r="G964" s="2" t="s">
        <v>7192</v>
      </c>
      <c r="H964" s="2" t="s">
        <v>7225</v>
      </c>
      <c r="I964" s="2" t="s">
        <v>7142</v>
      </c>
      <c r="J964" s="2" t="s">
        <v>8530</v>
      </c>
    </row>
    <row r="965" spans="1:10">
      <c r="A965" s="2" t="s">
        <v>4236</v>
      </c>
      <c r="B965" s="2" t="s">
        <v>1435</v>
      </c>
      <c r="C965" s="2" t="s">
        <v>7138</v>
      </c>
      <c r="D965" s="2">
        <v>2015</v>
      </c>
      <c r="E965" s="2" t="s">
        <v>7139</v>
      </c>
      <c r="F965" s="2" t="s">
        <v>4237</v>
      </c>
      <c r="G965" s="2" t="s">
        <v>7192</v>
      </c>
      <c r="H965" s="2" t="s">
        <v>7579</v>
      </c>
      <c r="I965" s="2" t="s">
        <v>7143</v>
      </c>
      <c r="J965" s="2"/>
    </row>
    <row r="966" spans="1:10">
      <c r="A966" s="2" t="s">
        <v>4238</v>
      </c>
      <c r="B966" s="2" t="s">
        <v>1435</v>
      </c>
      <c r="C966" s="2" t="s">
        <v>7138</v>
      </c>
      <c r="D966" s="2">
        <v>2013</v>
      </c>
      <c r="E966" s="2" t="s">
        <v>7139</v>
      </c>
      <c r="F966" s="2" t="s">
        <v>4239</v>
      </c>
      <c r="G966" s="2" t="s">
        <v>7192</v>
      </c>
      <c r="H966" s="2" t="s">
        <v>7579</v>
      </c>
      <c r="I966" s="2" t="s">
        <v>7143</v>
      </c>
      <c r="J966" s="2"/>
    </row>
    <row r="967" spans="1:10">
      <c r="A967" s="2" t="s">
        <v>4240</v>
      </c>
      <c r="B967" s="2" t="s">
        <v>1625</v>
      </c>
      <c r="C967" s="2" t="s">
        <v>7179</v>
      </c>
      <c r="D967" s="2">
        <v>1960</v>
      </c>
      <c r="E967" s="2" t="s">
        <v>7139</v>
      </c>
      <c r="F967" s="2" t="s">
        <v>4241</v>
      </c>
      <c r="G967" s="2" t="s">
        <v>7181</v>
      </c>
      <c r="H967" s="2" t="s">
        <v>7225</v>
      </c>
      <c r="I967" s="2" t="s">
        <v>7143</v>
      </c>
      <c r="J967" s="2"/>
    </row>
    <row r="968" spans="1:10">
      <c r="A968" s="2" t="s">
        <v>4242</v>
      </c>
      <c r="B968" s="2" t="s">
        <v>1625</v>
      </c>
      <c r="C968" s="2" t="s">
        <v>7179</v>
      </c>
      <c r="D968" s="2">
        <v>2002</v>
      </c>
      <c r="E968" s="2" t="s">
        <v>7139</v>
      </c>
      <c r="F968" s="2" t="s">
        <v>4243</v>
      </c>
      <c r="G968" s="2" t="s">
        <v>7192</v>
      </c>
      <c r="H968" s="2" t="s">
        <v>7141</v>
      </c>
      <c r="I968" s="2" t="s">
        <v>7142</v>
      </c>
      <c r="J968" s="2" t="s">
        <v>8581</v>
      </c>
    </row>
    <row r="969" spans="1:10">
      <c r="A969" s="2" t="s">
        <v>4244</v>
      </c>
      <c r="B969" s="2" t="s">
        <v>1647</v>
      </c>
      <c r="C969" s="2" t="s">
        <v>7138</v>
      </c>
      <c r="D969" s="2">
        <v>2001</v>
      </c>
      <c r="E969" s="2" t="s">
        <v>7180</v>
      </c>
      <c r="F969" s="2" t="s">
        <v>4245</v>
      </c>
      <c r="G969" s="2" t="s">
        <v>7192</v>
      </c>
      <c r="H969" s="2" t="s">
        <v>7450</v>
      </c>
      <c r="I969" s="2" t="s">
        <v>7143</v>
      </c>
      <c r="J969" s="2"/>
    </row>
    <row r="970" spans="1:10">
      <c r="A970" s="2" t="s">
        <v>4246</v>
      </c>
      <c r="B970" s="2" t="s">
        <v>1647</v>
      </c>
      <c r="C970" s="2" t="s">
        <v>7179</v>
      </c>
      <c r="D970" s="2">
        <v>2004</v>
      </c>
      <c r="E970" s="2" t="s">
        <v>7180</v>
      </c>
      <c r="F970" s="2" t="s">
        <v>4247</v>
      </c>
      <c r="G970" s="2" t="s">
        <v>7192</v>
      </c>
      <c r="H970" s="2" t="s">
        <v>7428</v>
      </c>
      <c r="I970" s="2" t="s">
        <v>7143</v>
      </c>
      <c r="J970" s="2"/>
    </row>
    <row r="971" spans="1:10">
      <c r="A971" s="2" t="s">
        <v>4248</v>
      </c>
      <c r="B971" s="2" t="s">
        <v>1682</v>
      </c>
      <c r="C971" s="2" t="s">
        <v>7138</v>
      </c>
      <c r="D971" s="2">
        <v>1974</v>
      </c>
      <c r="E971" s="2" t="s">
        <v>7180</v>
      </c>
      <c r="F971" s="2" t="s">
        <v>4249</v>
      </c>
      <c r="G971" s="2" t="s">
        <v>7140</v>
      </c>
      <c r="H971" s="2" t="s">
        <v>7141</v>
      </c>
      <c r="I971" s="2" t="s">
        <v>7142</v>
      </c>
      <c r="J971" s="2" t="s">
        <v>8533</v>
      </c>
    </row>
    <row r="972" spans="1:10">
      <c r="A972" s="2" t="s">
        <v>4250</v>
      </c>
      <c r="B972" s="2" t="s">
        <v>1682</v>
      </c>
      <c r="C972" s="2" t="s">
        <v>7138</v>
      </c>
      <c r="D972" s="2">
        <v>2003</v>
      </c>
      <c r="E972" s="2" t="s">
        <v>7180</v>
      </c>
      <c r="F972" s="2" t="s">
        <v>4251</v>
      </c>
      <c r="G972" s="2" t="s">
        <v>7192</v>
      </c>
      <c r="H972" s="2" t="s">
        <v>7450</v>
      </c>
      <c r="I972" s="2" t="s">
        <v>7143</v>
      </c>
      <c r="J972" s="2"/>
    </row>
    <row r="973" spans="1:10">
      <c r="A973" s="2" t="s">
        <v>4252</v>
      </c>
      <c r="B973" s="2" t="s">
        <v>1682</v>
      </c>
      <c r="C973" s="2" t="s">
        <v>7138</v>
      </c>
      <c r="D973" s="2">
        <v>2000</v>
      </c>
      <c r="E973" s="2" t="s">
        <v>7180</v>
      </c>
      <c r="F973" s="2" t="s">
        <v>4253</v>
      </c>
      <c r="G973" s="2" t="s">
        <v>7192</v>
      </c>
      <c r="H973" s="2" t="s">
        <v>7450</v>
      </c>
      <c r="I973" s="2" t="s">
        <v>7143</v>
      </c>
      <c r="J973" s="2"/>
    </row>
    <row r="974" spans="1:10">
      <c r="A974" s="2" t="s">
        <v>4254</v>
      </c>
      <c r="B974" s="2" t="s">
        <v>1711</v>
      </c>
      <c r="C974" s="2" t="s">
        <v>7138</v>
      </c>
      <c r="D974" s="2">
        <v>1983</v>
      </c>
      <c r="E974" s="2" t="s">
        <v>7180</v>
      </c>
      <c r="F974" s="2" t="s">
        <v>1714</v>
      </c>
      <c r="G974" s="2" t="s">
        <v>7140</v>
      </c>
      <c r="H974" s="2" t="s">
        <v>7141</v>
      </c>
      <c r="I974" s="2" t="s">
        <v>7142</v>
      </c>
      <c r="J974" s="2" t="s">
        <v>8533</v>
      </c>
    </row>
    <row r="975" spans="1:10">
      <c r="A975" s="2" t="s">
        <v>4255</v>
      </c>
      <c r="B975" s="2" t="s">
        <v>1711</v>
      </c>
      <c r="C975" s="2" t="s">
        <v>7138</v>
      </c>
      <c r="D975" s="2">
        <v>2010</v>
      </c>
      <c r="E975" s="2" t="s">
        <v>7180</v>
      </c>
      <c r="F975" s="2" t="s">
        <v>4256</v>
      </c>
      <c r="G975" s="2" t="s">
        <v>7192</v>
      </c>
      <c r="H975" s="2" t="s">
        <v>7141</v>
      </c>
      <c r="I975" s="2" t="s">
        <v>7143</v>
      </c>
      <c r="J975" s="2"/>
    </row>
    <row r="976" spans="1:10">
      <c r="A976" s="2" t="s">
        <v>4257</v>
      </c>
      <c r="B976" s="2" t="s">
        <v>1711</v>
      </c>
      <c r="C976" s="2" t="s">
        <v>7138</v>
      </c>
      <c r="D976" s="2">
        <v>2013</v>
      </c>
      <c r="E976" s="2" t="s">
        <v>7180</v>
      </c>
      <c r="F976" s="2" t="s">
        <v>4258</v>
      </c>
      <c r="G976" s="2" t="s">
        <v>7192</v>
      </c>
      <c r="H976" s="2" t="s">
        <v>7579</v>
      </c>
      <c r="I976" s="2" t="s">
        <v>7143</v>
      </c>
      <c r="J976" s="2"/>
    </row>
    <row r="977" spans="1:18">
      <c r="A977" s="2" t="s">
        <v>4259</v>
      </c>
      <c r="B977" s="2" t="s">
        <v>1753</v>
      </c>
      <c r="C977" s="2" t="s">
        <v>7138</v>
      </c>
      <c r="D977" s="2">
        <v>2015</v>
      </c>
      <c r="E977" s="2" t="s">
        <v>7180</v>
      </c>
      <c r="F977" s="2" t="s">
        <v>4260</v>
      </c>
      <c r="G977" s="2" t="s">
        <v>7192</v>
      </c>
      <c r="H977" s="2" t="s">
        <v>7579</v>
      </c>
      <c r="I977" s="2" t="s">
        <v>7143</v>
      </c>
      <c r="J977" s="2"/>
    </row>
    <row r="978" spans="1:18">
      <c r="A978" s="2" t="s">
        <v>4261</v>
      </c>
      <c r="B978" s="2" t="s">
        <v>1753</v>
      </c>
      <c r="C978" s="2" t="s">
        <v>7138</v>
      </c>
      <c r="D978" s="2">
        <v>2012</v>
      </c>
      <c r="E978" s="2" t="s">
        <v>7180</v>
      </c>
      <c r="F978" s="2" t="s">
        <v>4262</v>
      </c>
      <c r="G978" s="2" t="s">
        <v>7192</v>
      </c>
      <c r="H978" s="2" t="s">
        <v>7579</v>
      </c>
      <c r="I978" s="2" t="s">
        <v>7143</v>
      </c>
      <c r="J978" s="2"/>
    </row>
    <row r="979" spans="1:18">
      <c r="A979" s="2" t="s">
        <v>4263</v>
      </c>
      <c r="B979" s="2" t="s">
        <v>1783</v>
      </c>
      <c r="C979" s="2" t="s">
        <v>7179</v>
      </c>
      <c r="D979" s="2">
        <v>2003</v>
      </c>
      <c r="E979" s="2" t="s">
        <v>7180</v>
      </c>
      <c r="F979" s="2" t="s">
        <v>4264</v>
      </c>
      <c r="G979" s="2" t="s">
        <v>7192</v>
      </c>
      <c r="H979" s="2" t="s">
        <v>7428</v>
      </c>
      <c r="I979" s="2" t="s">
        <v>7143</v>
      </c>
      <c r="J979" s="2"/>
    </row>
    <row r="980" spans="1:18">
      <c r="A980" s="2" t="s">
        <v>4265</v>
      </c>
      <c r="B980" s="2" t="s">
        <v>1783</v>
      </c>
      <c r="C980" s="2" t="s">
        <v>7138</v>
      </c>
      <c r="D980" s="2">
        <v>1977</v>
      </c>
      <c r="E980" s="2" t="s">
        <v>7180</v>
      </c>
      <c r="F980" s="2" t="s">
        <v>1675</v>
      </c>
      <c r="G980" s="2" t="s">
        <v>7140</v>
      </c>
      <c r="H980" s="2" t="s">
        <v>7141</v>
      </c>
      <c r="I980" s="2" t="s">
        <v>7142</v>
      </c>
      <c r="J980" s="2" t="s">
        <v>8533</v>
      </c>
    </row>
    <row r="981" spans="1:18">
      <c r="A981" s="2" t="s">
        <v>4266</v>
      </c>
      <c r="B981" s="2" t="s">
        <v>1783</v>
      </c>
      <c r="C981" s="2" t="s">
        <v>7179</v>
      </c>
      <c r="D981" s="2">
        <v>2000</v>
      </c>
      <c r="E981" s="2" t="s">
        <v>7180</v>
      </c>
      <c r="F981" s="2" t="s">
        <v>4267</v>
      </c>
      <c r="G981" s="2" t="s">
        <v>7192</v>
      </c>
      <c r="H981" s="2" t="s">
        <v>7428</v>
      </c>
      <c r="I981" s="2" t="s">
        <v>7143</v>
      </c>
      <c r="J981" s="2"/>
    </row>
    <row r="982" spans="1:18">
      <c r="A982" s="2" t="s">
        <v>4268</v>
      </c>
      <c r="B982" s="2" t="s">
        <v>1803</v>
      </c>
      <c r="C982" s="2" t="s">
        <v>7179</v>
      </c>
      <c r="D982" s="2">
        <v>2016</v>
      </c>
      <c r="E982" s="2" t="s">
        <v>7180</v>
      </c>
      <c r="F982" s="2" t="s">
        <v>4269</v>
      </c>
      <c r="G982" s="2" t="s">
        <v>7192</v>
      </c>
      <c r="H982" s="2" t="s">
        <v>7579</v>
      </c>
      <c r="I982" s="2" t="s">
        <v>7143</v>
      </c>
      <c r="J982" s="2"/>
    </row>
    <row r="983" spans="1:18">
      <c r="A983" s="2" t="s">
        <v>4270</v>
      </c>
      <c r="B983" s="2" t="s">
        <v>1803</v>
      </c>
      <c r="C983" s="2" t="s">
        <v>7138</v>
      </c>
      <c r="D983" s="2">
        <v>1979</v>
      </c>
      <c r="E983" s="2" t="s">
        <v>7180</v>
      </c>
      <c r="F983" s="2" t="s">
        <v>1806</v>
      </c>
      <c r="G983" s="2" t="s">
        <v>7140</v>
      </c>
      <c r="H983" s="2" t="s">
        <v>7141</v>
      </c>
      <c r="I983" s="2" t="s">
        <v>7142</v>
      </c>
      <c r="J983" s="2" t="s">
        <v>8640</v>
      </c>
    </row>
    <row r="984" spans="1:18">
      <c r="A984" s="2" t="s">
        <v>4272</v>
      </c>
      <c r="B984" s="2" t="s">
        <v>1803</v>
      </c>
      <c r="C984" s="2" t="s">
        <v>7138</v>
      </c>
      <c r="D984" s="2">
        <v>2008</v>
      </c>
      <c r="E984" s="2" t="s">
        <v>7180</v>
      </c>
      <c r="F984" s="2" t="s">
        <v>4273</v>
      </c>
      <c r="G984" s="2" t="s">
        <v>7192</v>
      </c>
      <c r="H984" s="2" t="s">
        <v>7182</v>
      </c>
      <c r="I984" s="2" t="s">
        <v>7143</v>
      </c>
      <c r="J984" s="2"/>
    </row>
    <row r="985" spans="1:18">
      <c r="A985" s="2" t="s">
        <v>4274</v>
      </c>
      <c r="B985" s="2" t="s">
        <v>1803</v>
      </c>
      <c r="C985" s="2" t="s">
        <v>7138</v>
      </c>
      <c r="D985" s="2">
        <v>2005</v>
      </c>
      <c r="E985" s="2" t="s">
        <v>7180</v>
      </c>
      <c r="F985" s="2" t="s">
        <v>4275</v>
      </c>
      <c r="G985" s="2" t="s">
        <v>7192</v>
      </c>
      <c r="H985" s="2" t="s">
        <v>7428</v>
      </c>
      <c r="I985" s="2" t="s">
        <v>7143</v>
      </c>
      <c r="J985" s="2"/>
    </row>
    <row r="986" spans="1:18">
      <c r="A986" s="2" t="s">
        <v>4276</v>
      </c>
      <c r="B986" s="2" t="s">
        <v>1817</v>
      </c>
      <c r="C986" s="2" t="s">
        <v>7179</v>
      </c>
      <c r="D986" s="2">
        <v>2022</v>
      </c>
      <c r="E986" s="2" t="s">
        <v>7180</v>
      </c>
      <c r="F986" s="2" t="s">
        <v>2904</v>
      </c>
      <c r="G986" s="2" t="s">
        <v>7192</v>
      </c>
      <c r="H986" s="2" t="s">
        <v>7428</v>
      </c>
      <c r="I986" s="2" t="s">
        <v>7143</v>
      </c>
      <c r="J986" s="2"/>
    </row>
    <row r="987" spans="1:18">
      <c r="A987" s="2" t="s">
        <v>4277</v>
      </c>
      <c r="B987" s="2" t="s">
        <v>1817</v>
      </c>
      <c r="C987" s="2" t="s">
        <v>7138</v>
      </c>
      <c r="D987" s="2">
        <v>2004</v>
      </c>
      <c r="E987" s="2" t="s">
        <v>7180</v>
      </c>
      <c r="F987" s="2" t="s">
        <v>2906</v>
      </c>
      <c r="G987" s="2"/>
      <c r="H987" s="2" t="s">
        <v>7428</v>
      </c>
      <c r="I987" s="2" t="s">
        <v>7143</v>
      </c>
      <c r="J987" s="2"/>
    </row>
    <row r="988" spans="1:18">
      <c r="A988" s="2" t="s">
        <v>4278</v>
      </c>
      <c r="B988" s="2" t="s">
        <v>1817</v>
      </c>
      <c r="C988" s="2" t="s">
        <v>7138</v>
      </c>
      <c r="D988" s="2">
        <v>2007</v>
      </c>
      <c r="E988" s="2" t="s">
        <v>7180</v>
      </c>
      <c r="F988" s="2" t="s">
        <v>4279</v>
      </c>
      <c r="G988" s="2" t="s">
        <v>7192</v>
      </c>
      <c r="H988" s="2" t="s">
        <v>7428</v>
      </c>
      <c r="I988" s="2" t="s">
        <v>7143</v>
      </c>
      <c r="J988" s="2"/>
    </row>
    <row r="989" spans="1:18">
      <c r="A989" s="2" t="s">
        <v>4280</v>
      </c>
      <c r="B989" s="2" t="s">
        <v>1917</v>
      </c>
      <c r="C989" s="2" t="s">
        <v>7138</v>
      </c>
      <c r="D989" s="2">
        <v>2006</v>
      </c>
      <c r="E989" s="2" t="s">
        <v>7180</v>
      </c>
      <c r="F989" s="2" t="s">
        <v>4281</v>
      </c>
      <c r="G989" s="2" t="s">
        <v>7192</v>
      </c>
      <c r="H989" s="2" t="s">
        <v>7182</v>
      </c>
      <c r="I989" s="2" t="s">
        <v>7143</v>
      </c>
      <c r="J989" s="2"/>
      <c r="R989" s="22"/>
    </row>
    <row r="990" spans="1:18">
      <c r="A990" s="2" t="s">
        <v>4282</v>
      </c>
      <c r="B990" s="2" t="s">
        <v>1917</v>
      </c>
      <c r="C990" s="2" t="s">
        <v>7138</v>
      </c>
      <c r="D990" s="2">
        <v>2012</v>
      </c>
      <c r="E990" s="2" t="s">
        <v>7180</v>
      </c>
      <c r="F990" s="2" t="s">
        <v>4283</v>
      </c>
      <c r="G990" s="2" t="s">
        <v>7192</v>
      </c>
      <c r="H990" s="2"/>
      <c r="I990" s="2"/>
      <c r="J990" s="2"/>
      <c r="R990" s="22"/>
    </row>
    <row r="991" spans="1:18">
      <c r="A991" s="2" t="s">
        <v>4284</v>
      </c>
      <c r="B991" s="2" t="s">
        <v>1917</v>
      </c>
      <c r="C991" s="2" t="s">
        <v>7179</v>
      </c>
      <c r="D991" s="2">
        <v>2011</v>
      </c>
      <c r="E991" s="2" t="s">
        <v>7180</v>
      </c>
      <c r="F991" s="2" t="s">
        <v>4285</v>
      </c>
      <c r="G991" s="2" t="s">
        <v>7192</v>
      </c>
      <c r="H991" s="2" t="s">
        <v>7141</v>
      </c>
      <c r="I991" s="2" t="s">
        <v>7143</v>
      </c>
      <c r="J991" s="2"/>
      <c r="R991" s="23"/>
    </row>
    <row r="992" spans="1:18">
      <c r="A992" s="2" t="s">
        <v>4286</v>
      </c>
      <c r="B992" s="2" t="s">
        <v>1917</v>
      </c>
      <c r="C992" s="2" t="s">
        <v>7138</v>
      </c>
      <c r="D992" s="2">
        <v>1965</v>
      </c>
      <c r="E992" s="2" t="s">
        <v>7180</v>
      </c>
      <c r="F992" s="2" t="s">
        <v>4287</v>
      </c>
      <c r="G992" s="2" t="s">
        <v>7140</v>
      </c>
      <c r="H992" s="2" t="s">
        <v>7141</v>
      </c>
      <c r="I992" s="2" t="s">
        <v>7142</v>
      </c>
      <c r="J992" s="2" t="s">
        <v>8533</v>
      </c>
      <c r="R992" s="22"/>
    </row>
    <row r="993" spans="1:10">
      <c r="A993" s="2" t="s">
        <v>4288</v>
      </c>
      <c r="B993" s="2" t="s">
        <v>1862</v>
      </c>
      <c r="C993" s="2" t="s">
        <v>7138</v>
      </c>
      <c r="D993" s="2">
        <v>2016</v>
      </c>
      <c r="E993" s="2" t="s">
        <v>7180</v>
      </c>
      <c r="F993" s="2" t="s">
        <v>4289</v>
      </c>
      <c r="G993" s="2" t="s">
        <v>7192</v>
      </c>
      <c r="H993" s="2" t="s">
        <v>7579</v>
      </c>
      <c r="I993" s="2" t="s">
        <v>7143</v>
      </c>
      <c r="J993" s="2"/>
    </row>
    <row r="994" spans="1:10">
      <c r="A994" s="2" t="s">
        <v>4290</v>
      </c>
      <c r="B994" s="2" t="s">
        <v>1862</v>
      </c>
      <c r="C994" s="2" t="s">
        <v>7138</v>
      </c>
      <c r="D994" s="2">
        <v>1988</v>
      </c>
      <c r="E994" s="2" t="s">
        <v>7180</v>
      </c>
      <c r="F994" s="2" t="s">
        <v>3497</v>
      </c>
      <c r="G994" s="2" t="s">
        <v>7140</v>
      </c>
      <c r="H994" s="2" t="s">
        <v>7182</v>
      </c>
      <c r="I994" s="2" t="s">
        <v>7142</v>
      </c>
      <c r="J994" s="2" t="s">
        <v>8533</v>
      </c>
    </row>
    <row r="995" spans="1:10">
      <c r="A995" s="2" t="s">
        <v>4291</v>
      </c>
      <c r="B995" s="2" t="s">
        <v>1862</v>
      </c>
      <c r="C995" s="2" t="s">
        <v>7179</v>
      </c>
      <c r="D995" s="2">
        <v>2012</v>
      </c>
      <c r="E995" s="2" t="s">
        <v>7180</v>
      </c>
      <c r="F995" s="2" t="s">
        <v>4292</v>
      </c>
      <c r="G995" s="2" t="s">
        <v>7192</v>
      </c>
      <c r="H995" s="2" t="s">
        <v>7579</v>
      </c>
      <c r="I995" s="2" t="s">
        <v>7143</v>
      </c>
      <c r="J995" s="2"/>
    </row>
    <row r="996" spans="1:10">
      <c r="A996" s="2" t="s">
        <v>4293</v>
      </c>
      <c r="B996" s="2" t="s">
        <v>1881</v>
      </c>
      <c r="C996" s="2" t="s">
        <v>7138</v>
      </c>
      <c r="D996" s="2">
        <v>1985</v>
      </c>
      <c r="E996" s="2" t="s">
        <v>7180</v>
      </c>
      <c r="F996" s="2" t="s">
        <v>4294</v>
      </c>
      <c r="G996" s="2" t="s">
        <v>7140</v>
      </c>
      <c r="H996" s="2" t="s">
        <v>7141</v>
      </c>
      <c r="I996" s="2" t="s">
        <v>7142</v>
      </c>
      <c r="J996" s="2" t="s">
        <v>8598</v>
      </c>
    </row>
    <row r="997" spans="1:10">
      <c r="A997" s="2" t="s">
        <v>4295</v>
      </c>
      <c r="B997" s="2" t="s">
        <v>1881</v>
      </c>
      <c r="C997" s="2" t="s">
        <v>7138</v>
      </c>
      <c r="D997" s="2">
        <v>2013</v>
      </c>
      <c r="E997" s="2" t="s">
        <v>7180</v>
      </c>
      <c r="F997" s="2" t="s">
        <v>4296</v>
      </c>
      <c r="G997" s="2" t="s">
        <v>7192</v>
      </c>
      <c r="H997" s="2" t="s">
        <v>7579</v>
      </c>
      <c r="I997" s="2" t="s">
        <v>7143</v>
      </c>
      <c r="J997" s="2"/>
    </row>
    <row r="998" spans="1:10">
      <c r="A998" s="2" t="s">
        <v>4297</v>
      </c>
      <c r="B998" s="2" t="s">
        <v>1881</v>
      </c>
      <c r="C998" s="2" t="s">
        <v>7138</v>
      </c>
      <c r="D998" s="2">
        <v>2015</v>
      </c>
      <c r="E998" s="2" t="s">
        <v>7180</v>
      </c>
      <c r="F998" s="2" t="s">
        <v>4298</v>
      </c>
      <c r="G998" s="2" t="s">
        <v>7192</v>
      </c>
      <c r="H998" s="2" t="s">
        <v>7579</v>
      </c>
      <c r="I998" s="2" t="s">
        <v>7143</v>
      </c>
      <c r="J998" s="2"/>
    </row>
    <row r="999" spans="1:10">
      <c r="A999" s="2" t="s">
        <v>4299</v>
      </c>
      <c r="B999" s="2" t="s">
        <v>1881</v>
      </c>
      <c r="C999" s="2" t="s">
        <v>7138</v>
      </c>
      <c r="D999" s="2">
        <v>2022</v>
      </c>
      <c r="E999" s="2" t="s">
        <v>7180</v>
      </c>
      <c r="F999" s="2" t="s">
        <v>4300</v>
      </c>
      <c r="G999" s="2" t="s">
        <v>7192</v>
      </c>
      <c r="H999" s="2" t="s">
        <v>7579</v>
      </c>
      <c r="I999" s="2"/>
      <c r="J999" s="2"/>
    </row>
    <row r="1000" spans="1:10">
      <c r="A1000" s="2" t="s">
        <v>4301</v>
      </c>
      <c r="B1000" s="2" t="s">
        <v>1935</v>
      </c>
      <c r="C1000" s="2" t="s">
        <v>7138</v>
      </c>
      <c r="D1000" s="2">
        <v>2006</v>
      </c>
      <c r="E1000" s="2" t="s">
        <v>7180</v>
      </c>
      <c r="F1000" s="2" t="s">
        <v>4302</v>
      </c>
      <c r="G1000" s="2" t="s">
        <v>7192</v>
      </c>
      <c r="H1000" s="2" t="s">
        <v>7428</v>
      </c>
      <c r="I1000" s="2" t="s">
        <v>7143</v>
      </c>
      <c r="J1000" s="2"/>
    </row>
    <row r="1001" spans="1:10">
      <c r="A1001" s="2" t="s">
        <v>4303</v>
      </c>
      <c r="B1001" s="2" t="s">
        <v>1935</v>
      </c>
      <c r="C1001" s="2" t="s">
        <v>7179</v>
      </c>
      <c r="D1001" s="2">
        <v>2010</v>
      </c>
      <c r="E1001" s="2" t="s">
        <v>7180</v>
      </c>
      <c r="F1001" s="2" t="s">
        <v>4304</v>
      </c>
      <c r="G1001" s="2" t="s">
        <v>7192</v>
      </c>
      <c r="H1001" s="2" t="s">
        <v>7579</v>
      </c>
      <c r="I1001" s="2" t="s">
        <v>7143</v>
      </c>
      <c r="J1001" s="2"/>
    </row>
    <row r="1002" spans="1:10">
      <c r="A1002" s="2" t="s">
        <v>4305</v>
      </c>
      <c r="B1002" s="2" t="s">
        <v>1935</v>
      </c>
      <c r="C1002" s="2" t="s">
        <v>7138</v>
      </c>
      <c r="D1002" s="2">
        <v>1978</v>
      </c>
      <c r="E1002" s="2" t="s">
        <v>7180</v>
      </c>
      <c r="F1002" s="2" t="s">
        <v>4306</v>
      </c>
      <c r="G1002" s="2" t="s">
        <v>7140</v>
      </c>
      <c r="H1002" s="2" t="s">
        <v>7141</v>
      </c>
      <c r="I1002" s="2" t="s">
        <v>7142</v>
      </c>
      <c r="J1002" s="2" t="s">
        <v>8533</v>
      </c>
    </row>
    <row r="1003" spans="1:10">
      <c r="A1003" s="2" t="s">
        <v>4307</v>
      </c>
      <c r="B1003" s="2" t="s">
        <v>1935</v>
      </c>
      <c r="C1003" s="2" t="s">
        <v>7179</v>
      </c>
      <c r="D1003" s="2">
        <v>2002</v>
      </c>
      <c r="E1003" s="2" t="s">
        <v>7180</v>
      </c>
      <c r="F1003" s="2" t="s">
        <v>4308</v>
      </c>
      <c r="G1003" s="2"/>
      <c r="H1003" s="2" t="s">
        <v>7428</v>
      </c>
      <c r="I1003" s="2" t="s">
        <v>7143</v>
      </c>
      <c r="J1003" s="2"/>
    </row>
    <row r="1004" spans="1:10">
      <c r="A1004" s="2" t="s">
        <v>4309</v>
      </c>
      <c r="B1004" s="2" t="s">
        <v>1981</v>
      </c>
      <c r="C1004" s="2" t="s">
        <v>7138</v>
      </c>
      <c r="D1004" s="2">
        <v>2009</v>
      </c>
      <c r="E1004" s="2" t="s">
        <v>7180</v>
      </c>
      <c r="F1004" s="2" t="s">
        <v>4310</v>
      </c>
      <c r="G1004" s="2" t="s">
        <v>7192</v>
      </c>
      <c r="H1004" s="2" t="s">
        <v>7579</v>
      </c>
      <c r="I1004" s="2" t="s">
        <v>7143</v>
      </c>
      <c r="J1004" s="2"/>
    </row>
    <row r="1005" spans="1:10">
      <c r="A1005" s="2" t="s">
        <v>4311</v>
      </c>
      <c r="B1005" s="2" t="s">
        <v>1981</v>
      </c>
      <c r="C1005" s="2" t="s">
        <v>7138</v>
      </c>
      <c r="D1005" s="2">
        <v>1983</v>
      </c>
      <c r="E1005" s="2" t="s">
        <v>7180</v>
      </c>
      <c r="F1005" s="2" t="s">
        <v>1985</v>
      </c>
      <c r="G1005" s="2" t="s">
        <v>7140</v>
      </c>
      <c r="H1005" s="2" t="s">
        <v>7182</v>
      </c>
      <c r="I1005" s="2" t="s">
        <v>7143</v>
      </c>
      <c r="J1005" s="2"/>
    </row>
    <row r="1006" spans="1:10">
      <c r="A1006" s="2" t="s">
        <v>4312</v>
      </c>
      <c r="B1006" s="2" t="s">
        <v>2004</v>
      </c>
      <c r="C1006" s="2" t="s">
        <v>7138</v>
      </c>
      <c r="D1006" s="2">
        <v>1977</v>
      </c>
      <c r="E1006" s="2" t="s">
        <v>7180</v>
      </c>
      <c r="F1006" s="2" t="s">
        <v>4313</v>
      </c>
      <c r="G1006" s="2" t="s">
        <v>7140</v>
      </c>
      <c r="H1006" s="2" t="s">
        <v>7225</v>
      </c>
      <c r="I1006" s="2" t="s">
        <v>7142</v>
      </c>
      <c r="J1006" s="2" t="s">
        <v>8533</v>
      </c>
    </row>
    <row r="1007" spans="1:10">
      <c r="A1007" s="2" t="s">
        <v>4314</v>
      </c>
      <c r="B1007" s="2" t="s">
        <v>2004</v>
      </c>
      <c r="C1007" s="2" t="s">
        <v>7138</v>
      </c>
      <c r="D1007" s="2">
        <v>2008</v>
      </c>
      <c r="E1007" s="2" t="s">
        <v>7180</v>
      </c>
      <c r="F1007" s="2" t="s">
        <v>4315</v>
      </c>
      <c r="G1007" s="2" t="s">
        <v>7192</v>
      </c>
      <c r="H1007" s="2" t="s">
        <v>7182</v>
      </c>
      <c r="I1007" s="2" t="s">
        <v>7142</v>
      </c>
      <c r="J1007" s="2" t="s">
        <v>8580</v>
      </c>
    </row>
    <row r="1008" spans="1:10">
      <c r="A1008" s="2" t="s">
        <v>4316</v>
      </c>
      <c r="B1008" s="2" t="s">
        <v>2004</v>
      </c>
      <c r="C1008" s="2" t="s">
        <v>7179</v>
      </c>
      <c r="D1008" s="2">
        <v>2010</v>
      </c>
      <c r="E1008" s="2" t="s">
        <v>7180</v>
      </c>
      <c r="F1008" s="2" t="s">
        <v>4317</v>
      </c>
      <c r="G1008" s="2" t="s">
        <v>7192</v>
      </c>
      <c r="H1008" s="2" t="s">
        <v>7579</v>
      </c>
      <c r="I1008" s="2" t="s">
        <v>7143</v>
      </c>
      <c r="J1008" s="2"/>
    </row>
    <row r="1009" spans="1:10">
      <c r="A1009" s="2" t="s">
        <v>4318</v>
      </c>
      <c r="B1009" s="2" t="s">
        <v>2021</v>
      </c>
      <c r="C1009" s="2" t="s">
        <v>7179</v>
      </c>
      <c r="D1009" s="2">
        <v>2000</v>
      </c>
      <c r="E1009" s="2" t="s">
        <v>7180</v>
      </c>
      <c r="F1009" s="2" t="s">
        <v>4319</v>
      </c>
      <c r="G1009" s="2" t="s">
        <v>7192</v>
      </c>
      <c r="H1009" s="2" t="s">
        <v>7428</v>
      </c>
      <c r="I1009" s="2" t="s">
        <v>7143</v>
      </c>
      <c r="J1009" s="2"/>
    </row>
    <row r="1010" spans="1:10">
      <c r="A1010" s="2" t="s">
        <v>4320</v>
      </c>
      <c r="B1010" s="2" t="s">
        <v>2021</v>
      </c>
      <c r="C1010" s="2" t="s">
        <v>7138</v>
      </c>
      <c r="D1010" s="2">
        <v>2011</v>
      </c>
      <c r="E1010" s="2" t="s">
        <v>7180</v>
      </c>
      <c r="F1010" s="2" t="s">
        <v>4321</v>
      </c>
      <c r="G1010" s="2" t="s">
        <v>7192</v>
      </c>
      <c r="H1010" s="2" t="s">
        <v>7579</v>
      </c>
      <c r="I1010" s="2" t="s">
        <v>7143</v>
      </c>
      <c r="J1010" s="2"/>
    </row>
    <row r="1011" spans="1:10">
      <c r="A1011" s="2" t="s">
        <v>4322</v>
      </c>
      <c r="B1011" s="2" t="s">
        <v>2021</v>
      </c>
      <c r="C1011" s="2" t="s">
        <v>7138</v>
      </c>
      <c r="D1011" s="2">
        <v>1977</v>
      </c>
      <c r="E1011" s="2" t="s">
        <v>7180</v>
      </c>
      <c r="F1011" s="2" t="s">
        <v>2024</v>
      </c>
      <c r="G1011" s="2" t="s">
        <v>7140</v>
      </c>
      <c r="H1011" s="2" t="s">
        <v>7225</v>
      </c>
      <c r="I1011" s="2" t="s">
        <v>7142</v>
      </c>
      <c r="J1011" s="2" t="s">
        <v>8533</v>
      </c>
    </row>
    <row r="1012" spans="1:10">
      <c r="A1012" s="2" t="s">
        <v>4323</v>
      </c>
      <c r="B1012" s="2" t="s">
        <v>2021</v>
      </c>
      <c r="C1012" s="2" t="s">
        <v>7138</v>
      </c>
      <c r="D1012" s="2">
        <v>2006</v>
      </c>
      <c r="E1012" s="2" t="s">
        <v>7180</v>
      </c>
      <c r="F1012" s="2" t="s">
        <v>4324</v>
      </c>
      <c r="G1012" s="2" t="s">
        <v>7192</v>
      </c>
      <c r="H1012" s="2" t="s">
        <v>7428</v>
      </c>
      <c r="I1012" s="2" t="s">
        <v>7143</v>
      </c>
      <c r="J1012" s="2"/>
    </row>
    <row r="1013" spans="1:10">
      <c r="A1013" s="2" t="s">
        <v>4325</v>
      </c>
      <c r="B1013" s="2" t="s">
        <v>2049</v>
      </c>
      <c r="C1013" s="2" t="s">
        <v>7179</v>
      </c>
      <c r="D1013" s="2">
        <v>2016</v>
      </c>
      <c r="E1013" s="2" t="s">
        <v>7180</v>
      </c>
      <c r="F1013" s="2" t="s">
        <v>4326</v>
      </c>
      <c r="G1013" s="2" t="s">
        <v>7192</v>
      </c>
      <c r="H1013" s="2" t="s">
        <v>7579</v>
      </c>
      <c r="I1013" s="2" t="s">
        <v>7143</v>
      </c>
      <c r="J1013" s="2"/>
    </row>
    <row r="1014" spans="1:10">
      <c r="A1014" s="2" t="s">
        <v>4327</v>
      </c>
      <c r="B1014" s="2" t="s">
        <v>2049</v>
      </c>
      <c r="C1014" s="2" t="s">
        <v>7179</v>
      </c>
      <c r="D1014" s="2">
        <v>1993</v>
      </c>
      <c r="E1014" s="2" t="s">
        <v>7180</v>
      </c>
      <c r="F1014" s="2" t="s">
        <v>4328</v>
      </c>
      <c r="G1014" s="2" t="s">
        <v>7181</v>
      </c>
      <c r="H1014" s="2" t="s">
        <v>7182</v>
      </c>
      <c r="I1014" s="2" t="s">
        <v>7142</v>
      </c>
      <c r="J1014" s="2" t="s">
        <v>8538</v>
      </c>
    </row>
    <row r="1015" spans="1:10">
      <c r="A1015" s="2" t="s">
        <v>4329</v>
      </c>
      <c r="B1015" s="2" t="s">
        <v>2049</v>
      </c>
      <c r="C1015" s="2" t="s">
        <v>7179</v>
      </c>
      <c r="D1015" s="2">
        <v>2018</v>
      </c>
      <c r="E1015" s="2" t="s">
        <v>7180</v>
      </c>
      <c r="F1015" s="2" t="s">
        <v>4330</v>
      </c>
      <c r="G1015" s="2" t="s">
        <v>7192</v>
      </c>
      <c r="H1015" s="2" t="s">
        <v>7579</v>
      </c>
      <c r="I1015" s="2" t="s">
        <v>7143</v>
      </c>
      <c r="J1015" s="2"/>
    </row>
    <row r="1016" spans="1:10">
      <c r="A1016" s="2" t="s">
        <v>4331</v>
      </c>
      <c r="B1016" s="2" t="s">
        <v>2106</v>
      </c>
      <c r="C1016" s="2" t="s">
        <v>7138</v>
      </c>
      <c r="D1016" s="2">
        <v>2004</v>
      </c>
      <c r="E1016" s="2" t="s">
        <v>7180</v>
      </c>
      <c r="F1016" s="2" t="s">
        <v>4332</v>
      </c>
      <c r="G1016" s="2" t="s">
        <v>7192</v>
      </c>
      <c r="H1016" s="2" t="s">
        <v>7428</v>
      </c>
      <c r="I1016" s="2" t="s">
        <v>7143</v>
      </c>
      <c r="J1016" s="2"/>
    </row>
    <row r="1017" spans="1:10">
      <c r="A1017" s="2" t="s">
        <v>4333</v>
      </c>
      <c r="B1017" s="2" t="s">
        <v>2106</v>
      </c>
      <c r="C1017" s="2" t="s">
        <v>7179</v>
      </c>
      <c r="D1017" s="2">
        <v>2001</v>
      </c>
      <c r="E1017" s="2" t="s">
        <v>7180</v>
      </c>
      <c r="F1017" s="2" t="s">
        <v>4334</v>
      </c>
      <c r="G1017" s="2" t="s">
        <v>7192</v>
      </c>
      <c r="H1017" s="2" t="s">
        <v>7428</v>
      </c>
      <c r="I1017" s="2" t="s">
        <v>7143</v>
      </c>
      <c r="J1017" s="2"/>
    </row>
    <row r="1018" spans="1:10">
      <c r="A1018" s="2" t="s">
        <v>4335</v>
      </c>
      <c r="B1018" s="2" t="s">
        <v>2106</v>
      </c>
      <c r="C1018" s="2" t="s">
        <v>7179</v>
      </c>
      <c r="D1018" s="2">
        <v>2012</v>
      </c>
      <c r="E1018" s="2" t="s">
        <v>7180</v>
      </c>
      <c r="F1018" s="2" t="s">
        <v>4336</v>
      </c>
      <c r="G1018" s="2" t="s">
        <v>7192</v>
      </c>
      <c r="H1018" s="2" t="s">
        <v>7579</v>
      </c>
      <c r="I1018" s="2" t="s">
        <v>7143</v>
      </c>
      <c r="J1018" s="2"/>
    </row>
    <row r="1019" spans="1:10">
      <c r="A1019" s="2" t="s">
        <v>4337</v>
      </c>
      <c r="B1019" s="2" t="s">
        <v>2106</v>
      </c>
      <c r="C1019" s="2" t="s">
        <v>7179</v>
      </c>
      <c r="D1019" s="2">
        <v>1979</v>
      </c>
      <c r="E1019" s="2" t="s">
        <v>7180</v>
      </c>
      <c r="F1019" s="2" t="s">
        <v>4338</v>
      </c>
      <c r="G1019" s="2" t="s">
        <v>7181</v>
      </c>
      <c r="H1019" s="2" t="s">
        <v>7141</v>
      </c>
      <c r="I1019" s="2" t="s">
        <v>7142</v>
      </c>
      <c r="J1019" s="2" t="s">
        <v>8615</v>
      </c>
    </row>
    <row r="1020" spans="1:10">
      <c r="A1020" s="2" t="s">
        <v>4339</v>
      </c>
      <c r="B1020" s="2" t="s">
        <v>2126</v>
      </c>
      <c r="C1020" s="2" t="s">
        <v>7179</v>
      </c>
      <c r="D1020" s="2">
        <v>2000</v>
      </c>
      <c r="E1020" s="2" t="s">
        <v>7180</v>
      </c>
      <c r="F1020" s="2" t="s">
        <v>4340</v>
      </c>
      <c r="G1020" s="2" t="s">
        <v>7192</v>
      </c>
      <c r="H1020" s="2" t="s">
        <v>7182</v>
      </c>
      <c r="I1020" s="2" t="s">
        <v>7143</v>
      </c>
      <c r="J1020" s="2"/>
    </row>
    <row r="1021" spans="1:10">
      <c r="A1021" s="2" t="s">
        <v>4341</v>
      </c>
      <c r="B1021" s="2" t="s">
        <v>2126</v>
      </c>
      <c r="C1021" s="2" t="s">
        <v>7179</v>
      </c>
      <c r="D1021" s="2">
        <v>1975</v>
      </c>
      <c r="E1021" s="2" t="s">
        <v>7180</v>
      </c>
      <c r="F1021" s="2" t="s">
        <v>4342</v>
      </c>
      <c r="G1021" s="2" t="s">
        <v>7140</v>
      </c>
      <c r="H1021" s="2" t="s">
        <v>7225</v>
      </c>
      <c r="I1021" s="2" t="s">
        <v>7142</v>
      </c>
      <c r="J1021" s="2" t="s">
        <v>8533</v>
      </c>
    </row>
    <row r="1022" spans="1:10">
      <c r="A1022" s="2" t="s">
        <v>4343</v>
      </c>
      <c r="B1022" s="2" t="s">
        <v>2126</v>
      </c>
      <c r="C1022" s="2" t="s">
        <v>7138</v>
      </c>
      <c r="D1022" s="2">
        <v>2004</v>
      </c>
      <c r="E1022" s="2" t="s">
        <v>7180</v>
      </c>
      <c r="F1022" s="2" t="s">
        <v>4344</v>
      </c>
      <c r="G1022" s="2" t="s">
        <v>7192</v>
      </c>
      <c r="H1022" s="2" t="s">
        <v>7428</v>
      </c>
      <c r="I1022" s="2" t="s">
        <v>7143</v>
      </c>
      <c r="J1022" s="2"/>
    </row>
    <row r="1023" spans="1:10">
      <c r="A1023" s="2" t="s">
        <v>4345</v>
      </c>
      <c r="B1023" s="2" t="s">
        <v>2141</v>
      </c>
      <c r="C1023" s="2" t="s">
        <v>7179</v>
      </c>
      <c r="D1023" s="2">
        <v>2012</v>
      </c>
      <c r="E1023" s="2" t="s">
        <v>7180</v>
      </c>
      <c r="F1023" s="2" t="s">
        <v>4346</v>
      </c>
      <c r="G1023" s="2" t="s">
        <v>7192</v>
      </c>
      <c r="H1023" s="2" t="s">
        <v>7579</v>
      </c>
      <c r="I1023" s="2" t="s">
        <v>7143</v>
      </c>
      <c r="J1023" s="2"/>
    </row>
    <row r="1024" spans="1:10">
      <c r="A1024" s="2" t="s">
        <v>4347</v>
      </c>
      <c r="B1024" s="2" t="s">
        <v>2141</v>
      </c>
      <c r="C1024" s="2" t="s">
        <v>7179</v>
      </c>
      <c r="D1024" s="2">
        <v>2016</v>
      </c>
      <c r="E1024" s="2" t="s">
        <v>7180</v>
      </c>
      <c r="F1024" s="2" t="s">
        <v>4348</v>
      </c>
      <c r="G1024" s="2" t="s">
        <v>7192</v>
      </c>
      <c r="H1024" s="2" t="s">
        <v>7579</v>
      </c>
      <c r="I1024" s="2" t="s">
        <v>7143</v>
      </c>
      <c r="J1024" s="2"/>
    </row>
    <row r="1025" spans="1:10">
      <c r="A1025" s="2" t="s">
        <v>4349</v>
      </c>
      <c r="B1025" s="2" t="s">
        <v>2141</v>
      </c>
      <c r="C1025" s="2" t="s">
        <v>7138</v>
      </c>
      <c r="D1025" s="2">
        <v>1983</v>
      </c>
      <c r="E1025" s="2" t="s">
        <v>7180</v>
      </c>
      <c r="F1025" s="2" t="s">
        <v>1828</v>
      </c>
      <c r="G1025" s="2" t="s">
        <v>7140</v>
      </c>
      <c r="H1025" s="2" t="s">
        <v>7225</v>
      </c>
      <c r="I1025" s="2" t="s">
        <v>7142</v>
      </c>
      <c r="J1025" s="2" t="s">
        <v>8533</v>
      </c>
    </row>
    <row r="1026" spans="1:10">
      <c r="A1026" s="2" t="s">
        <v>4350</v>
      </c>
      <c r="B1026" s="2" t="s">
        <v>2157</v>
      </c>
      <c r="C1026" s="2" t="s">
        <v>7179</v>
      </c>
      <c r="D1026" s="2">
        <v>2009</v>
      </c>
      <c r="E1026" s="2" t="s">
        <v>7180</v>
      </c>
      <c r="F1026" s="2" t="s">
        <v>4351</v>
      </c>
      <c r="G1026" s="2" t="s">
        <v>7192</v>
      </c>
      <c r="H1026" s="2" t="s">
        <v>7579</v>
      </c>
      <c r="I1026" s="2" t="s">
        <v>7143</v>
      </c>
      <c r="J1026" s="2"/>
    </row>
    <row r="1027" spans="1:10">
      <c r="A1027" s="2" t="s">
        <v>4352</v>
      </c>
      <c r="B1027" s="2" t="s">
        <v>2157</v>
      </c>
      <c r="C1027" s="2" t="s">
        <v>7179</v>
      </c>
      <c r="D1027" s="2">
        <v>2002</v>
      </c>
      <c r="E1027" s="2" t="s">
        <v>7180</v>
      </c>
      <c r="F1027" s="2" t="s">
        <v>4353</v>
      </c>
      <c r="G1027" s="2" t="s">
        <v>7192</v>
      </c>
      <c r="H1027" s="2" t="s">
        <v>7428</v>
      </c>
      <c r="I1027" s="2" t="s">
        <v>7143</v>
      </c>
      <c r="J1027" s="2"/>
    </row>
    <row r="1028" spans="1:10">
      <c r="A1028" s="2" t="s">
        <v>4354</v>
      </c>
      <c r="B1028" s="2" t="s">
        <v>2157</v>
      </c>
      <c r="C1028" s="2" t="s">
        <v>7179</v>
      </c>
      <c r="D1028" s="2">
        <v>1983</v>
      </c>
      <c r="E1028" s="2" t="s">
        <v>7180</v>
      </c>
      <c r="F1028" s="2" t="s">
        <v>4355</v>
      </c>
      <c r="G1028" s="2" t="s">
        <v>7181</v>
      </c>
      <c r="H1028" s="2" t="s">
        <v>7225</v>
      </c>
      <c r="I1028" s="2" t="s">
        <v>7142</v>
      </c>
      <c r="J1028" s="2" t="s">
        <v>8640</v>
      </c>
    </row>
    <row r="1029" spans="1:10">
      <c r="A1029" s="2" t="s">
        <v>4356</v>
      </c>
      <c r="B1029" s="2" t="s">
        <v>2179</v>
      </c>
      <c r="C1029" s="2" t="s">
        <v>7138</v>
      </c>
      <c r="D1029" s="2">
        <v>2001</v>
      </c>
      <c r="E1029" s="2" t="s">
        <v>7180</v>
      </c>
      <c r="F1029" s="2" t="s">
        <v>1774</v>
      </c>
      <c r="G1029" s="2" t="s">
        <v>7192</v>
      </c>
      <c r="H1029" s="2" t="s">
        <v>7141</v>
      </c>
      <c r="I1029" s="2" t="s">
        <v>7142</v>
      </c>
      <c r="J1029" s="2" t="s">
        <v>8587</v>
      </c>
    </row>
    <row r="1030" spans="1:10">
      <c r="A1030" s="2" t="s">
        <v>4357</v>
      </c>
      <c r="B1030" s="2" t="s">
        <v>2179</v>
      </c>
      <c r="C1030" s="2" t="s">
        <v>7179</v>
      </c>
      <c r="D1030" s="2">
        <v>1971</v>
      </c>
      <c r="E1030" s="2" t="s">
        <v>7180</v>
      </c>
      <c r="F1030" s="2" t="s">
        <v>4358</v>
      </c>
      <c r="G1030" s="2" t="s">
        <v>7181</v>
      </c>
      <c r="H1030" s="2" t="s">
        <v>7141</v>
      </c>
      <c r="I1030" s="2" t="s">
        <v>7142</v>
      </c>
      <c r="J1030" s="2" t="s">
        <v>8641</v>
      </c>
    </row>
    <row r="1031" spans="1:10">
      <c r="A1031" s="2" t="s">
        <v>4360</v>
      </c>
      <c r="B1031" s="2" t="s">
        <v>2179</v>
      </c>
      <c r="C1031" s="2" t="s">
        <v>7138</v>
      </c>
      <c r="D1031" s="2">
        <v>2000</v>
      </c>
      <c r="E1031" s="2" t="s">
        <v>7180</v>
      </c>
      <c r="F1031" s="2" t="s">
        <v>4361</v>
      </c>
      <c r="G1031" s="2" t="s">
        <v>7192</v>
      </c>
      <c r="H1031" s="2" t="s">
        <v>7182</v>
      </c>
      <c r="I1031" s="2" t="s">
        <v>7142</v>
      </c>
      <c r="J1031" s="2" t="s">
        <v>8642</v>
      </c>
    </row>
    <row r="1032" spans="1:10">
      <c r="A1032" s="2" t="s">
        <v>4363</v>
      </c>
      <c r="B1032" s="2" t="s">
        <v>2179</v>
      </c>
      <c r="C1032" s="2" t="s">
        <v>7138</v>
      </c>
      <c r="D1032" s="2">
        <v>2015</v>
      </c>
      <c r="E1032" s="2" t="s">
        <v>7180</v>
      </c>
      <c r="F1032" s="2" t="s">
        <v>4364</v>
      </c>
      <c r="G1032" s="2" t="s">
        <v>7192</v>
      </c>
      <c r="H1032" s="2" t="s">
        <v>7579</v>
      </c>
      <c r="I1032" s="2" t="s">
        <v>7143</v>
      </c>
      <c r="J1032" s="2"/>
    </row>
    <row r="1033" spans="1:10">
      <c r="A1033" s="2" t="s">
        <v>4365</v>
      </c>
      <c r="B1033" s="2" t="s">
        <v>2212</v>
      </c>
      <c r="C1033" s="2" t="s">
        <v>7179</v>
      </c>
      <c r="D1033" s="2">
        <v>2018</v>
      </c>
      <c r="E1033" s="2" t="s">
        <v>7139</v>
      </c>
      <c r="F1033" s="2" t="s">
        <v>4366</v>
      </c>
      <c r="G1033" s="2" t="s">
        <v>7192</v>
      </c>
      <c r="H1033" s="2" t="s">
        <v>7579</v>
      </c>
      <c r="I1033" s="2" t="s">
        <v>7143</v>
      </c>
      <c r="J1033" s="2"/>
    </row>
    <row r="1034" spans="1:10">
      <c r="A1034" s="2" t="s">
        <v>4367</v>
      </c>
      <c r="B1034" s="2" t="s">
        <v>2212</v>
      </c>
      <c r="C1034" s="2" t="s">
        <v>7138</v>
      </c>
      <c r="D1034" s="2">
        <v>2009</v>
      </c>
      <c r="E1034" s="2" t="s">
        <v>7139</v>
      </c>
      <c r="F1034" s="2" t="s">
        <v>4368</v>
      </c>
      <c r="G1034" s="2" t="s">
        <v>7192</v>
      </c>
      <c r="H1034" s="2" t="s">
        <v>7579</v>
      </c>
      <c r="I1034" s="2" t="s">
        <v>7143</v>
      </c>
      <c r="J1034" s="2"/>
    </row>
    <row r="1035" spans="1:10">
      <c r="A1035" s="2" t="s">
        <v>4369</v>
      </c>
      <c r="B1035" s="2" t="s">
        <v>2212</v>
      </c>
      <c r="C1035" s="2" t="s">
        <v>7179</v>
      </c>
      <c r="D1035" s="2">
        <v>1989</v>
      </c>
      <c r="E1035" s="2" t="s">
        <v>7139</v>
      </c>
      <c r="F1035" s="2" t="s">
        <v>4370</v>
      </c>
      <c r="G1035" s="2" t="s">
        <v>7181</v>
      </c>
      <c r="H1035" s="2" t="s">
        <v>7225</v>
      </c>
      <c r="I1035" s="2" t="s">
        <v>7142</v>
      </c>
      <c r="J1035" s="2" t="s">
        <v>8643</v>
      </c>
    </row>
    <row r="1036" spans="1:10">
      <c r="A1036" s="2" t="s">
        <v>4372</v>
      </c>
      <c r="B1036" s="2" t="s">
        <v>2247</v>
      </c>
      <c r="C1036" s="2" t="s">
        <v>7138</v>
      </c>
      <c r="D1036" s="2">
        <v>1979</v>
      </c>
      <c r="E1036" s="2" t="s">
        <v>7490</v>
      </c>
      <c r="F1036" s="2" t="s">
        <v>4373</v>
      </c>
      <c r="G1036" s="2" t="s">
        <v>7181</v>
      </c>
      <c r="H1036" s="2" t="s">
        <v>7225</v>
      </c>
      <c r="I1036" s="2" t="s">
        <v>7142</v>
      </c>
      <c r="J1036" s="2" t="s">
        <v>8644</v>
      </c>
    </row>
    <row r="1037" spans="1:10">
      <c r="A1037" s="2" t="s">
        <v>4375</v>
      </c>
      <c r="B1037" s="2" t="s">
        <v>2247</v>
      </c>
      <c r="C1037" s="2" t="s">
        <v>7179</v>
      </c>
      <c r="D1037" s="2">
        <v>2008</v>
      </c>
      <c r="E1037" s="2" t="s">
        <v>7490</v>
      </c>
      <c r="F1037" s="2" t="s">
        <v>4376</v>
      </c>
      <c r="G1037" s="2" t="s">
        <v>7192</v>
      </c>
      <c r="H1037" s="2" t="s">
        <v>7579</v>
      </c>
      <c r="I1037" s="2" t="s">
        <v>7143</v>
      </c>
      <c r="J1037" s="2"/>
    </row>
    <row r="1038" spans="1:10">
      <c r="A1038" s="2" t="s">
        <v>4377</v>
      </c>
      <c r="B1038" s="2" t="s">
        <v>2277</v>
      </c>
      <c r="C1038" s="2" t="s">
        <v>7138</v>
      </c>
      <c r="D1038" s="2">
        <v>2001</v>
      </c>
      <c r="E1038" s="2" t="s">
        <v>7490</v>
      </c>
      <c r="F1038" s="2" t="s">
        <v>4378</v>
      </c>
      <c r="G1038" s="2" t="s">
        <v>7192</v>
      </c>
      <c r="H1038" s="2" t="s">
        <v>7182</v>
      </c>
      <c r="I1038" s="2" t="s">
        <v>7143</v>
      </c>
      <c r="J1038" s="2"/>
    </row>
    <row r="1039" spans="1:10">
      <c r="A1039" s="2" t="s">
        <v>4379</v>
      </c>
      <c r="B1039" s="2" t="s">
        <v>2277</v>
      </c>
      <c r="C1039" s="2" t="s">
        <v>7179</v>
      </c>
      <c r="D1039" s="2">
        <v>1964</v>
      </c>
      <c r="E1039" s="2" t="s">
        <v>7490</v>
      </c>
      <c r="F1039" s="2" t="s">
        <v>4380</v>
      </c>
      <c r="G1039" s="2" t="s">
        <v>7181</v>
      </c>
      <c r="H1039" s="2" t="s">
        <v>7395</v>
      </c>
      <c r="I1039" s="2" t="s">
        <v>7142</v>
      </c>
      <c r="J1039" s="2" t="s">
        <v>8645</v>
      </c>
    </row>
    <row r="1040" spans="1:10">
      <c r="A1040" s="2" t="s">
        <v>4382</v>
      </c>
      <c r="B1040" s="2" t="s">
        <v>2300</v>
      </c>
      <c r="C1040" s="2" t="s">
        <v>7179</v>
      </c>
      <c r="D1040" s="2">
        <v>1977</v>
      </c>
      <c r="E1040" s="2" t="s">
        <v>7490</v>
      </c>
      <c r="F1040" s="2" t="s">
        <v>4383</v>
      </c>
      <c r="G1040" s="2" t="s">
        <v>7181</v>
      </c>
      <c r="H1040" s="2" t="s">
        <v>7225</v>
      </c>
      <c r="I1040" s="2" t="s">
        <v>7142</v>
      </c>
      <c r="J1040" s="2" t="s">
        <v>8646</v>
      </c>
    </row>
    <row r="1041" spans="1:10">
      <c r="A1041" s="2" t="s">
        <v>4385</v>
      </c>
      <c r="B1041" s="2" t="s">
        <v>2300</v>
      </c>
      <c r="C1041" s="2" t="s">
        <v>7179</v>
      </c>
      <c r="D1041" s="2">
        <v>2002</v>
      </c>
      <c r="E1041" s="2" t="s">
        <v>7490</v>
      </c>
      <c r="F1041" s="2" t="s">
        <v>4386</v>
      </c>
      <c r="G1041" s="2" t="s">
        <v>7192</v>
      </c>
      <c r="H1041" s="2" t="s">
        <v>7141</v>
      </c>
      <c r="I1041" s="2" t="s">
        <v>7143</v>
      </c>
      <c r="J1041" s="2"/>
    </row>
    <row r="1042" spans="1:10">
      <c r="A1042" s="2" t="s">
        <v>4387</v>
      </c>
      <c r="B1042" s="2" t="s">
        <v>2300</v>
      </c>
      <c r="C1042" s="2" t="s">
        <v>7138</v>
      </c>
      <c r="D1042" s="2">
        <v>2012</v>
      </c>
      <c r="E1042" s="2" t="s">
        <v>7490</v>
      </c>
      <c r="F1042" s="2" t="s">
        <v>4388</v>
      </c>
      <c r="G1042" s="2" t="s">
        <v>7192</v>
      </c>
      <c r="H1042" s="2" t="s">
        <v>7579</v>
      </c>
      <c r="I1042" s="2" t="s">
        <v>7143</v>
      </c>
      <c r="J1042" s="2"/>
    </row>
    <row r="1043" spans="1:10">
      <c r="A1043" s="2" t="s">
        <v>4389</v>
      </c>
      <c r="B1043" s="2" t="s">
        <v>2341</v>
      </c>
      <c r="C1043" s="2" t="s">
        <v>7179</v>
      </c>
      <c r="D1043" s="2">
        <v>1981</v>
      </c>
      <c r="E1043" s="2" t="s">
        <v>7490</v>
      </c>
      <c r="F1043" s="2" t="s">
        <v>4390</v>
      </c>
      <c r="G1043" s="2" t="s">
        <v>7181</v>
      </c>
      <c r="H1043" s="2" t="s">
        <v>7225</v>
      </c>
      <c r="I1043" s="2" t="s">
        <v>7142</v>
      </c>
      <c r="J1043" s="2" t="s">
        <v>8643</v>
      </c>
    </row>
    <row r="1044" spans="1:10">
      <c r="A1044" s="2" t="s">
        <v>4391</v>
      </c>
      <c r="B1044" s="2" t="s">
        <v>2341</v>
      </c>
      <c r="C1044" s="2" t="s">
        <v>7179</v>
      </c>
      <c r="D1044" s="2">
        <v>2010</v>
      </c>
      <c r="E1044" s="2" t="s">
        <v>7490</v>
      </c>
      <c r="F1044" s="2" t="s">
        <v>4392</v>
      </c>
      <c r="G1044" s="2" t="s">
        <v>7192</v>
      </c>
      <c r="H1044" s="2" t="s">
        <v>7141</v>
      </c>
      <c r="I1044" s="2" t="s">
        <v>7143</v>
      </c>
      <c r="J1044" s="2"/>
    </row>
    <row r="1045" spans="1:10">
      <c r="A1045" s="2" t="s">
        <v>4393</v>
      </c>
      <c r="B1045" s="2" t="s">
        <v>2341</v>
      </c>
      <c r="C1045" s="2" t="s">
        <v>7138</v>
      </c>
      <c r="D1045" s="2">
        <v>2013</v>
      </c>
      <c r="E1045" s="2" t="s">
        <v>7490</v>
      </c>
      <c r="F1045" s="2" t="s">
        <v>4394</v>
      </c>
      <c r="G1045" s="2" t="s">
        <v>7192</v>
      </c>
      <c r="H1045" s="2" t="s">
        <v>7579</v>
      </c>
      <c r="I1045" s="2" t="s">
        <v>7143</v>
      </c>
      <c r="J1045" s="2"/>
    </row>
    <row r="1046" spans="1:10">
      <c r="A1046" s="2" t="s">
        <v>4395</v>
      </c>
      <c r="B1046" s="2" t="s">
        <v>2417</v>
      </c>
      <c r="C1046" s="2" t="s">
        <v>7179</v>
      </c>
      <c r="D1046" s="2">
        <v>2017</v>
      </c>
      <c r="E1046" s="2" t="s">
        <v>7490</v>
      </c>
      <c r="F1046" s="2" t="s">
        <v>4396</v>
      </c>
      <c r="G1046" s="2" t="s">
        <v>7192</v>
      </c>
      <c r="H1046" s="2" t="s">
        <v>7579</v>
      </c>
      <c r="I1046" s="2" t="s">
        <v>7143</v>
      </c>
      <c r="J1046" s="2"/>
    </row>
    <row r="1047" spans="1:10">
      <c r="A1047" s="2" t="s">
        <v>4397</v>
      </c>
      <c r="B1047" s="2" t="s">
        <v>2417</v>
      </c>
      <c r="C1047" s="2" t="s">
        <v>7179</v>
      </c>
      <c r="D1047" s="2">
        <v>2011</v>
      </c>
      <c r="E1047" s="2" t="s">
        <v>7490</v>
      </c>
      <c r="F1047" s="2" t="s">
        <v>4398</v>
      </c>
      <c r="G1047" s="2" t="s">
        <v>7192</v>
      </c>
      <c r="H1047" s="2" t="s">
        <v>7579</v>
      </c>
      <c r="I1047" s="2" t="s">
        <v>7143</v>
      </c>
      <c r="J1047" s="2"/>
    </row>
    <row r="1048" spans="1:10">
      <c r="A1048" s="2" t="s">
        <v>4399</v>
      </c>
      <c r="B1048" s="2" t="s">
        <v>2417</v>
      </c>
      <c r="C1048" s="2" t="s">
        <v>7138</v>
      </c>
      <c r="D1048" s="2">
        <v>1991</v>
      </c>
      <c r="E1048" s="2" t="s">
        <v>7490</v>
      </c>
      <c r="F1048" s="2" t="s">
        <v>4400</v>
      </c>
      <c r="G1048" s="2" t="s">
        <v>7181</v>
      </c>
      <c r="H1048" s="2" t="s">
        <v>7141</v>
      </c>
      <c r="I1048" s="2" t="s">
        <v>7142</v>
      </c>
      <c r="J1048" s="2" t="s">
        <v>8647</v>
      </c>
    </row>
    <row r="1049" spans="1:10">
      <c r="A1049" s="2" t="s">
        <v>4402</v>
      </c>
      <c r="B1049" s="2" t="s">
        <v>2434</v>
      </c>
      <c r="C1049" s="2" t="s">
        <v>7179</v>
      </c>
      <c r="D1049" s="2">
        <v>2024</v>
      </c>
      <c r="E1049" s="2" t="s">
        <v>7490</v>
      </c>
      <c r="F1049" s="2" t="s">
        <v>4403</v>
      </c>
      <c r="G1049" s="2" t="s">
        <v>7192</v>
      </c>
      <c r="H1049" s="2" t="s">
        <v>7579</v>
      </c>
      <c r="I1049" s="2" t="s">
        <v>7143</v>
      </c>
      <c r="J1049" s="2"/>
    </row>
    <row r="1050" spans="1:10">
      <c r="A1050" s="2" t="s">
        <v>4404</v>
      </c>
      <c r="B1050" s="2" t="s">
        <v>2434</v>
      </c>
      <c r="C1050" s="2" t="s">
        <v>7179</v>
      </c>
      <c r="D1050" s="2">
        <v>1997</v>
      </c>
      <c r="E1050" s="2" t="s">
        <v>7490</v>
      </c>
      <c r="F1050" s="2" t="s">
        <v>4405</v>
      </c>
      <c r="G1050" s="2" t="s">
        <v>7181</v>
      </c>
      <c r="H1050" s="2" t="s">
        <v>7141</v>
      </c>
      <c r="I1050" s="2" t="s">
        <v>7142</v>
      </c>
      <c r="J1050" s="2" t="s">
        <v>8648</v>
      </c>
    </row>
    <row r="1051" spans="1:10">
      <c r="A1051" s="2" t="s">
        <v>4407</v>
      </c>
      <c r="B1051" s="2" t="s">
        <v>2394</v>
      </c>
      <c r="C1051" s="2" t="s">
        <v>7179</v>
      </c>
      <c r="D1051" s="2">
        <v>1997</v>
      </c>
      <c r="E1051" s="2" t="s">
        <v>7490</v>
      </c>
      <c r="F1051" s="2" t="s">
        <v>4408</v>
      </c>
      <c r="G1051" s="2" t="s">
        <v>7181</v>
      </c>
      <c r="H1051" s="2" t="s">
        <v>7141</v>
      </c>
      <c r="I1051" s="2" t="s">
        <v>7142</v>
      </c>
      <c r="J1051" s="2" t="s">
        <v>8588</v>
      </c>
    </row>
    <row r="1052" spans="1:10">
      <c r="A1052" s="2" t="s">
        <v>4409</v>
      </c>
      <c r="B1052" s="2" t="s">
        <v>2394</v>
      </c>
      <c r="C1052" s="2" t="s">
        <v>7179</v>
      </c>
      <c r="D1052" s="2">
        <v>2016</v>
      </c>
      <c r="E1052" s="2" t="s">
        <v>7490</v>
      </c>
      <c r="F1052" s="2" t="s">
        <v>4410</v>
      </c>
      <c r="G1052" s="2" t="s">
        <v>7192</v>
      </c>
      <c r="H1052" s="2" t="s">
        <v>7579</v>
      </c>
      <c r="I1052" s="2" t="s">
        <v>7143</v>
      </c>
      <c r="J1052" s="2"/>
    </row>
    <row r="1053" spans="1:10">
      <c r="A1053" s="2" t="s">
        <v>4411</v>
      </c>
      <c r="B1053" s="2" t="s">
        <v>2406</v>
      </c>
      <c r="C1053" s="2" t="s">
        <v>7138</v>
      </c>
      <c r="D1053" s="2">
        <v>1992</v>
      </c>
      <c r="E1053" s="2" t="s">
        <v>7490</v>
      </c>
      <c r="F1053" s="2" t="s">
        <v>4412</v>
      </c>
      <c r="G1053" s="2" t="s">
        <v>7140</v>
      </c>
      <c r="H1053" s="2" t="s">
        <v>7225</v>
      </c>
      <c r="I1053" s="2" t="s">
        <v>7142</v>
      </c>
      <c r="J1053" s="2" t="s">
        <v>8533</v>
      </c>
    </row>
    <row r="1054" spans="1:10">
      <c r="A1054" s="2" t="s">
        <v>4413</v>
      </c>
      <c r="B1054" s="2" t="s">
        <v>2406</v>
      </c>
      <c r="C1054" s="2" t="s">
        <v>7138</v>
      </c>
      <c r="D1054" s="2">
        <v>2016</v>
      </c>
      <c r="E1054" s="2" t="s">
        <v>7490</v>
      </c>
      <c r="F1054" s="2" t="s">
        <v>4414</v>
      </c>
      <c r="G1054" s="2" t="s">
        <v>7192</v>
      </c>
      <c r="H1054" s="2" t="s">
        <v>7579</v>
      </c>
      <c r="I1054" s="2" t="s">
        <v>7143</v>
      </c>
      <c r="J1054" s="2"/>
    </row>
    <row r="1055" spans="1:10">
      <c r="A1055" s="2" t="s">
        <v>4415</v>
      </c>
      <c r="B1055" s="2" t="s">
        <v>2406</v>
      </c>
      <c r="C1055" s="2" t="s">
        <v>7138</v>
      </c>
      <c r="D1055" s="2">
        <v>2010</v>
      </c>
      <c r="E1055" s="2" t="s">
        <v>7490</v>
      </c>
      <c r="F1055" s="2" t="s">
        <v>4416</v>
      </c>
      <c r="G1055" s="2" t="s">
        <v>7192</v>
      </c>
      <c r="H1055" s="2" t="s">
        <v>7141</v>
      </c>
      <c r="I1055" s="2" t="s">
        <v>7143</v>
      </c>
      <c r="J1055" s="2"/>
    </row>
    <row r="1056" spans="1:10">
      <c r="A1056" s="2" t="s">
        <v>4417</v>
      </c>
      <c r="B1056" s="2" t="s">
        <v>2090</v>
      </c>
      <c r="C1056" s="2" t="s">
        <v>7138</v>
      </c>
      <c r="D1056" s="2">
        <v>1995</v>
      </c>
      <c r="E1056" s="2" t="s">
        <v>7180</v>
      </c>
      <c r="F1056" s="2" t="s">
        <v>2092</v>
      </c>
      <c r="G1056" s="2" t="s">
        <v>7140</v>
      </c>
      <c r="H1056" s="2" t="s">
        <v>7182</v>
      </c>
      <c r="I1056" s="2" t="s">
        <v>7142</v>
      </c>
      <c r="J1056" s="2" t="s">
        <v>8532</v>
      </c>
    </row>
    <row r="1057" spans="1:10">
      <c r="A1057" s="2" t="s">
        <v>4418</v>
      </c>
      <c r="B1057" s="2" t="s">
        <v>2063</v>
      </c>
      <c r="C1057" s="2" t="s">
        <v>7138</v>
      </c>
      <c r="D1057" s="2">
        <v>1959</v>
      </c>
      <c r="E1057" s="2" t="s">
        <v>7180</v>
      </c>
      <c r="F1057" s="2" t="s">
        <v>2065</v>
      </c>
      <c r="G1057" s="2" t="s">
        <v>7140</v>
      </c>
      <c r="H1057" s="2" t="s">
        <v>7141</v>
      </c>
      <c r="I1057" s="2" t="s">
        <v>7142</v>
      </c>
      <c r="J1057" s="2" t="s">
        <v>8533</v>
      </c>
    </row>
    <row r="1058" spans="1:10">
      <c r="A1058" s="2" t="s">
        <v>4419</v>
      </c>
      <c r="B1058" s="2" t="s">
        <v>1418</v>
      </c>
      <c r="C1058" s="2" t="s">
        <v>7138</v>
      </c>
      <c r="D1058" s="2">
        <v>1985</v>
      </c>
      <c r="E1058" s="2" t="s">
        <v>7139</v>
      </c>
      <c r="F1058" s="2" t="s">
        <v>1420</v>
      </c>
      <c r="G1058" s="2" t="s">
        <v>7140</v>
      </c>
      <c r="H1058" s="2" t="s">
        <v>7225</v>
      </c>
      <c r="I1058" s="2" t="s">
        <v>7142</v>
      </c>
      <c r="J1058" s="2" t="s">
        <v>8529</v>
      </c>
    </row>
    <row r="1059" spans="1:10">
      <c r="A1059" s="2" t="s">
        <v>4420</v>
      </c>
      <c r="B1059" s="2" t="s">
        <v>503</v>
      </c>
      <c r="C1059" s="2" t="s">
        <v>7138</v>
      </c>
      <c r="D1059" s="2">
        <v>1992</v>
      </c>
      <c r="E1059" s="2" t="s">
        <v>7139</v>
      </c>
      <c r="F1059" s="2" t="s">
        <v>506</v>
      </c>
      <c r="G1059" s="2" t="s">
        <v>7140</v>
      </c>
      <c r="H1059" s="2" t="s">
        <v>7141</v>
      </c>
      <c r="I1059" s="2" t="s">
        <v>7142</v>
      </c>
      <c r="J1059" s="2" t="s">
        <v>8529</v>
      </c>
    </row>
    <row r="1060" spans="1:10">
      <c r="A1060" s="2" t="s">
        <v>4421</v>
      </c>
      <c r="B1060" s="2" t="s">
        <v>1803</v>
      </c>
      <c r="C1060" s="2" t="s">
        <v>7179</v>
      </c>
      <c r="D1060" s="2">
        <v>1986</v>
      </c>
      <c r="E1060" s="2" t="s">
        <v>7180</v>
      </c>
      <c r="F1060" s="2" t="s">
        <v>4422</v>
      </c>
      <c r="G1060" s="2" t="s">
        <v>7181</v>
      </c>
      <c r="H1060" s="2" t="s">
        <v>7182</v>
      </c>
      <c r="I1060" s="2" t="s">
        <v>7142</v>
      </c>
      <c r="J1060" s="2" t="s">
        <v>8540</v>
      </c>
    </row>
    <row r="1061" spans="1:10">
      <c r="A1061" s="2" t="s">
        <v>4423</v>
      </c>
      <c r="B1061" s="2" t="s">
        <v>1418</v>
      </c>
      <c r="C1061" s="2" t="s">
        <v>7179</v>
      </c>
      <c r="D1061" s="2">
        <v>1986</v>
      </c>
      <c r="E1061" s="2" t="s">
        <v>7139</v>
      </c>
      <c r="F1061" s="2" t="s">
        <v>4424</v>
      </c>
      <c r="G1061" s="2" t="s">
        <v>7181</v>
      </c>
      <c r="H1061" s="2" t="s">
        <v>7225</v>
      </c>
      <c r="I1061" s="2" t="s">
        <v>7142</v>
      </c>
      <c r="J1061" s="2" t="s">
        <v>8649</v>
      </c>
    </row>
    <row r="1062" spans="1:10">
      <c r="A1062" s="2" t="s">
        <v>4426</v>
      </c>
      <c r="B1062" s="2" t="s">
        <v>1418</v>
      </c>
      <c r="C1062" s="2" t="s">
        <v>7179</v>
      </c>
      <c r="D1062" s="2">
        <v>2007</v>
      </c>
      <c r="E1062" s="2" t="s">
        <v>7139</v>
      </c>
      <c r="F1062" s="2" t="s">
        <v>4427</v>
      </c>
      <c r="G1062" s="2" t="s">
        <v>7192</v>
      </c>
      <c r="H1062" s="2" t="s">
        <v>7182</v>
      </c>
      <c r="I1062" s="2" t="s">
        <v>7143</v>
      </c>
      <c r="J1062" s="2"/>
    </row>
    <row r="1063" spans="1:10">
      <c r="A1063" s="2" t="s">
        <v>4428</v>
      </c>
      <c r="B1063" s="2" t="s">
        <v>1418</v>
      </c>
      <c r="C1063" s="2" t="s">
        <v>7138</v>
      </c>
      <c r="D1063" s="2">
        <v>2009</v>
      </c>
      <c r="E1063" s="2" t="s">
        <v>7139</v>
      </c>
      <c r="F1063" s="2" t="s">
        <v>4429</v>
      </c>
      <c r="G1063" s="2" t="s">
        <v>7192</v>
      </c>
      <c r="H1063" s="2" t="s">
        <v>7141</v>
      </c>
      <c r="I1063" s="2" t="s">
        <v>7143</v>
      </c>
      <c r="J1063" s="2"/>
    </row>
    <row r="1064" spans="1:10">
      <c r="A1064" s="2" t="s">
        <v>4430</v>
      </c>
      <c r="B1064" s="2" t="s">
        <v>1418</v>
      </c>
      <c r="C1064" s="2" t="s">
        <v>7138</v>
      </c>
      <c r="D1064" s="2">
        <v>2013</v>
      </c>
      <c r="E1064" s="2" t="s">
        <v>7139</v>
      </c>
      <c r="F1064" s="2" t="s">
        <v>4431</v>
      </c>
      <c r="G1064" s="2" t="s">
        <v>7192</v>
      </c>
      <c r="H1064" s="2" t="s">
        <v>7579</v>
      </c>
      <c r="I1064" s="2" t="s">
        <v>7143</v>
      </c>
      <c r="J1064" s="2"/>
    </row>
    <row r="1065" spans="1:10">
      <c r="A1065" s="2" t="s">
        <v>4432</v>
      </c>
      <c r="B1065" s="2" t="s">
        <v>829</v>
      </c>
      <c r="C1065" s="2" t="s">
        <v>7138</v>
      </c>
      <c r="D1065" s="2">
        <v>1996</v>
      </c>
      <c r="E1065" s="2" t="s">
        <v>7490</v>
      </c>
      <c r="F1065" s="2" t="s">
        <v>833</v>
      </c>
      <c r="G1065" s="2" t="s">
        <v>7140</v>
      </c>
      <c r="H1065" s="2" t="s">
        <v>7141</v>
      </c>
      <c r="I1065" s="2" t="s">
        <v>7142</v>
      </c>
      <c r="J1065" s="2" t="s">
        <v>8529</v>
      </c>
    </row>
    <row r="1066" spans="1:10">
      <c r="A1066" s="2" t="s">
        <v>4433</v>
      </c>
      <c r="B1066" s="2" t="s">
        <v>852</v>
      </c>
      <c r="C1066" s="2" t="s">
        <v>7179</v>
      </c>
      <c r="D1066" s="2">
        <v>2005</v>
      </c>
      <c r="E1066" s="2" t="s">
        <v>7490</v>
      </c>
      <c r="F1066" s="2" t="s">
        <v>855</v>
      </c>
      <c r="G1066" s="2" t="s">
        <v>7503</v>
      </c>
      <c r="H1066" s="2" t="s">
        <v>7141</v>
      </c>
      <c r="I1066" s="2" t="s">
        <v>7142</v>
      </c>
      <c r="J1066" s="2" t="s">
        <v>8581</v>
      </c>
    </row>
    <row r="1067" spans="1:10">
      <c r="A1067" s="2" t="s">
        <v>4434</v>
      </c>
      <c r="B1067" s="2" t="s">
        <v>879</v>
      </c>
      <c r="C1067" s="2" t="s">
        <v>7179</v>
      </c>
      <c r="D1067" s="2">
        <v>1981</v>
      </c>
      <c r="E1067" s="2" t="s">
        <v>7180</v>
      </c>
      <c r="F1067" s="2" t="s">
        <v>881</v>
      </c>
      <c r="G1067" s="2" t="s">
        <v>7181</v>
      </c>
      <c r="H1067" s="2" t="s">
        <v>7141</v>
      </c>
      <c r="I1067" s="2" t="s">
        <v>7142</v>
      </c>
      <c r="J1067" s="2" t="s">
        <v>8650</v>
      </c>
    </row>
    <row r="1068" spans="1:10">
      <c r="A1068" s="2" t="s">
        <v>4436</v>
      </c>
      <c r="B1068" s="2" t="s">
        <v>905</v>
      </c>
      <c r="C1068" s="2" t="s">
        <v>7138</v>
      </c>
      <c r="D1068" s="2">
        <v>1985</v>
      </c>
      <c r="E1068" s="2" t="s">
        <v>7180</v>
      </c>
      <c r="F1068" s="2" t="s">
        <v>4437</v>
      </c>
      <c r="G1068" s="2" t="s">
        <v>7140</v>
      </c>
      <c r="H1068" s="2" t="s">
        <v>7141</v>
      </c>
      <c r="I1068" s="2" t="s">
        <v>7142</v>
      </c>
      <c r="J1068" s="2" t="s">
        <v>8533</v>
      </c>
    </row>
    <row r="1069" spans="1:10">
      <c r="A1069" s="2" t="s">
        <v>4438</v>
      </c>
      <c r="B1069" s="2" t="s">
        <v>954</v>
      </c>
      <c r="C1069" s="2" t="s">
        <v>7138</v>
      </c>
      <c r="D1069" s="2">
        <v>1990</v>
      </c>
      <c r="E1069" s="2" t="s">
        <v>7490</v>
      </c>
      <c r="F1069" s="2" t="s">
        <v>956</v>
      </c>
      <c r="G1069" s="2" t="s">
        <v>7140</v>
      </c>
      <c r="H1069" s="2" t="s">
        <v>7225</v>
      </c>
      <c r="I1069" s="2" t="s">
        <v>7142</v>
      </c>
      <c r="J1069" s="2" t="s">
        <v>8529</v>
      </c>
    </row>
    <row r="1070" spans="1:10">
      <c r="A1070" s="2" t="s">
        <v>4439</v>
      </c>
      <c r="B1070" s="2" t="s">
        <v>996</v>
      </c>
      <c r="C1070" s="2" t="s">
        <v>7138</v>
      </c>
      <c r="D1070" s="2">
        <v>1993</v>
      </c>
      <c r="E1070" s="2" t="s">
        <v>7490</v>
      </c>
      <c r="F1070" s="2" t="s">
        <v>999</v>
      </c>
      <c r="G1070" s="2" t="s">
        <v>7140</v>
      </c>
      <c r="H1070" s="2" t="s">
        <v>7141</v>
      </c>
      <c r="I1070" s="2" t="s">
        <v>7142</v>
      </c>
      <c r="J1070" s="2" t="s">
        <v>8529</v>
      </c>
    </row>
    <row r="1071" spans="1:10">
      <c r="A1071" s="2" t="s">
        <v>4440</v>
      </c>
      <c r="B1071" s="2" t="s">
        <v>1026</v>
      </c>
      <c r="C1071" s="2" t="s">
        <v>7138</v>
      </c>
      <c r="D1071" s="2">
        <v>1971</v>
      </c>
      <c r="E1071" s="2" t="s">
        <v>7180</v>
      </c>
      <c r="F1071" s="2" t="s">
        <v>1029</v>
      </c>
      <c r="G1071" s="2" t="s">
        <v>7140</v>
      </c>
      <c r="H1071" s="2" t="s">
        <v>7182</v>
      </c>
      <c r="I1071" s="2" t="s">
        <v>7142</v>
      </c>
      <c r="J1071" s="2" t="s">
        <v>8533</v>
      </c>
    </row>
    <row r="1072" spans="1:10">
      <c r="A1072" s="2" t="s">
        <v>4441</v>
      </c>
      <c r="B1072" s="2" t="s">
        <v>1224</v>
      </c>
      <c r="C1072" s="2" t="s">
        <v>7179</v>
      </c>
      <c r="D1072" s="2">
        <v>1990</v>
      </c>
      <c r="E1072" s="2" t="s">
        <v>7139</v>
      </c>
      <c r="F1072" s="2" t="s">
        <v>1226</v>
      </c>
      <c r="G1072" s="2" t="s">
        <v>7181</v>
      </c>
      <c r="H1072" s="2" t="s">
        <v>7225</v>
      </c>
      <c r="I1072" s="2" t="s">
        <v>7142</v>
      </c>
      <c r="J1072" s="2" t="s">
        <v>8540</v>
      </c>
    </row>
    <row r="1073" spans="1:10">
      <c r="A1073" s="2" t="s">
        <v>4442</v>
      </c>
      <c r="B1073" s="2" t="s">
        <v>1233</v>
      </c>
      <c r="C1073" s="2" t="s">
        <v>7179</v>
      </c>
      <c r="D1073" s="2">
        <v>1988</v>
      </c>
      <c r="E1073" s="2" t="s">
        <v>7139</v>
      </c>
      <c r="F1073" s="2" t="s">
        <v>1236</v>
      </c>
      <c r="G1073" s="2" t="s">
        <v>7181</v>
      </c>
      <c r="H1073" s="2" t="s">
        <v>7141</v>
      </c>
      <c r="I1073" s="2" t="s">
        <v>7142</v>
      </c>
      <c r="J1073" s="2" t="s">
        <v>8540</v>
      </c>
    </row>
    <row r="1074" spans="1:10">
      <c r="A1074" s="2" t="s">
        <v>4443</v>
      </c>
      <c r="B1074" s="2" t="s">
        <v>1252</v>
      </c>
      <c r="C1074" s="2" t="s">
        <v>7179</v>
      </c>
      <c r="D1074" s="2">
        <v>2003</v>
      </c>
      <c r="E1074" s="2" t="s">
        <v>7139</v>
      </c>
      <c r="F1074" s="2" t="s">
        <v>1255</v>
      </c>
      <c r="G1074" s="2" t="s">
        <v>7181</v>
      </c>
      <c r="H1074" s="2" t="s">
        <v>7182</v>
      </c>
      <c r="I1074" s="2" t="s">
        <v>7142</v>
      </c>
      <c r="J1074" s="2" t="s">
        <v>8651</v>
      </c>
    </row>
    <row r="1075" spans="1:10">
      <c r="A1075" s="2" t="s">
        <v>4445</v>
      </c>
      <c r="B1075" s="2" t="s">
        <v>1285</v>
      </c>
      <c r="C1075" s="2" t="s">
        <v>7179</v>
      </c>
      <c r="D1075" s="2">
        <v>1996</v>
      </c>
      <c r="E1075" s="2" t="s">
        <v>7139</v>
      </c>
      <c r="F1075" s="2" t="s">
        <v>1287</v>
      </c>
      <c r="G1075" s="2" t="s">
        <v>7181</v>
      </c>
      <c r="H1075" s="2" t="s">
        <v>7225</v>
      </c>
      <c r="I1075" s="2" t="s">
        <v>7142</v>
      </c>
      <c r="J1075" s="2" t="s">
        <v>8540</v>
      </c>
    </row>
    <row r="1076" spans="1:10">
      <c r="A1076" s="2" t="s">
        <v>4446</v>
      </c>
      <c r="B1076" s="2" t="s">
        <v>1310</v>
      </c>
      <c r="C1076" s="2" t="s">
        <v>7138</v>
      </c>
      <c r="D1076" s="2">
        <v>1987</v>
      </c>
      <c r="E1076" s="2" t="s">
        <v>7139</v>
      </c>
      <c r="F1076" s="2" t="s">
        <v>1312</v>
      </c>
      <c r="G1076" s="2" t="s">
        <v>7140</v>
      </c>
      <c r="H1076" s="2" t="s">
        <v>7141</v>
      </c>
      <c r="I1076" s="2" t="s">
        <v>7142</v>
      </c>
      <c r="J1076" s="2" t="s">
        <v>8529</v>
      </c>
    </row>
    <row r="1077" spans="1:10">
      <c r="A1077" s="2" t="s">
        <v>4447</v>
      </c>
      <c r="B1077" s="2" t="s">
        <v>1336</v>
      </c>
      <c r="C1077" s="2" t="s">
        <v>7138</v>
      </c>
      <c r="D1077" s="2">
        <v>1985</v>
      </c>
      <c r="E1077" s="2" t="s">
        <v>7139</v>
      </c>
      <c r="F1077" s="2" t="s">
        <v>1339</v>
      </c>
      <c r="G1077" s="2" t="s">
        <v>7140</v>
      </c>
      <c r="H1077" s="2" t="s">
        <v>7182</v>
      </c>
      <c r="I1077" s="2" t="s">
        <v>7142</v>
      </c>
      <c r="J1077" s="2" t="s">
        <v>8529</v>
      </c>
    </row>
    <row r="1078" spans="1:10">
      <c r="A1078" s="2" t="s">
        <v>4448</v>
      </c>
      <c r="B1078" s="2" t="s">
        <v>1374</v>
      </c>
      <c r="C1078" s="2" t="s">
        <v>7138</v>
      </c>
      <c r="D1078" s="2">
        <v>1975</v>
      </c>
      <c r="E1078" s="2" t="s">
        <v>7139</v>
      </c>
      <c r="F1078" s="2" t="s">
        <v>1376</v>
      </c>
      <c r="G1078" s="2" t="s">
        <v>7140</v>
      </c>
      <c r="H1078" s="2" t="s">
        <v>7225</v>
      </c>
      <c r="I1078" s="2" t="s">
        <v>7142</v>
      </c>
      <c r="J1078" s="2" t="s">
        <v>8531</v>
      </c>
    </row>
    <row r="1079" spans="1:10">
      <c r="A1079" s="2" t="s">
        <v>4449</v>
      </c>
      <c r="B1079" s="2" t="s">
        <v>1435</v>
      </c>
      <c r="C1079" s="2" t="s">
        <v>7138</v>
      </c>
      <c r="D1079" s="2">
        <v>1976</v>
      </c>
      <c r="E1079" s="2" t="s">
        <v>7139</v>
      </c>
      <c r="F1079" s="2" t="s">
        <v>1438</v>
      </c>
      <c r="G1079" s="2" t="s">
        <v>7140</v>
      </c>
      <c r="H1079" s="2" t="s">
        <v>7395</v>
      </c>
      <c r="I1079" s="2" t="s">
        <v>7142</v>
      </c>
      <c r="J1079" s="2" t="s">
        <v>8531</v>
      </c>
    </row>
    <row r="1080" spans="1:10">
      <c r="A1080" s="2" t="s">
        <v>4450</v>
      </c>
      <c r="B1080" s="2" t="s">
        <v>1461</v>
      </c>
      <c r="C1080" s="2" t="s">
        <v>7179</v>
      </c>
      <c r="D1080" s="2">
        <v>2004</v>
      </c>
      <c r="E1080" s="2" t="s">
        <v>7139</v>
      </c>
      <c r="F1080" s="2" t="s">
        <v>1463</v>
      </c>
      <c r="G1080" s="2" t="s">
        <v>7192</v>
      </c>
      <c r="H1080" s="2" t="s">
        <v>7225</v>
      </c>
      <c r="I1080" s="2" t="s">
        <v>7142</v>
      </c>
      <c r="J1080" s="2" t="s">
        <v>8652</v>
      </c>
    </row>
    <row r="1081" spans="1:10">
      <c r="A1081" s="2" t="s">
        <v>4452</v>
      </c>
      <c r="B1081" s="2" t="s">
        <v>1594</v>
      </c>
      <c r="C1081" s="2" t="s">
        <v>7138</v>
      </c>
      <c r="D1081" s="2">
        <v>1984</v>
      </c>
      <c r="E1081" s="2" t="s">
        <v>7139</v>
      </c>
      <c r="F1081" s="2" t="s">
        <v>922</v>
      </c>
      <c r="G1081" s="2" t="s">
        <v>7140</v>
      </c>
      <c r="H1081" s="2" t="s">
        <v>7225</v>
      </c>
      <c r="I1081" s="2" t="s">
        <v>7142</v>
      </c>
      <c r="J1081" s="2" t="s">
        <v>8653</v>
      </c>
    </row>
    <row r="1082" spans="1:10">
      <c r="A1082" s="2" t="s">
        <v>4454</v>
      </c>
      <c r="B1082" s="2" t="s">
        <v>1599</v>
      </c>
      <c r="C1082" s="2" t="s">
        <v>7138</v>
      </c>
      <c r="D1082" s="2">
        <v>1990</v>
      </c>
      <c r="E1082" s="2" t="s">
        <v>7139</v>
      </c>
      <c r="F1082" s="2" t="s">
        <v>1601</v>
      </c>
      <c r="G1082" s="2" t="s">
        <v>7140</v>
      </c>
      <c r="H1082" s="2" t="s">
        <v>7141</v>
      </c>
      <c r="I1082" s="2" t="s">
        <v>7142</v>
      </c>
      <c r="J1082" s="2" t="s">
        <v>8654</v>
      </c>
    </row>
    <row r="1083" spans="1:10">
      <c r="A1083" s="2" t="s">
        <v>4456</v>
      </c>
      <c r="B1083" s="2" t="s">
        <v>1605</v>
      </c>
      <c r="C1083" s="2" t="s">
        <v>7138</v>
      </c>
      <c r="D1083" s="2">
        <v>2001</v>
      </c>
      <c r="E1083" s="2" t="s">
        <v>7139</v>
      </c>
      <c r="F1083" s="2" t="s">
        <v>1607</v>
      </c>
      <c r="G1083" s="2" t="s">
        <v>7192</v>
      </c>
      <c r="H1083" s="2" t="s">
        <v>7225</v>
      </c>
      <c r="I1083" s="2" t="s">
        <v>7142</v>
      </c>
      <c r="J1083" s="2" t="s">
        <v>8571</v>
      </c>
    </row>
    <row r="1084" spans="1:10">
      <c r="A1084" s="2" t="s">
        <v>4457</v>
      </c>
      <c r="B1084" s="2" t="s">
        <v>1625</v>
      </c>
      <c r="C1084" s="2" t="s">
        <v>7138</v>
      </c>
      <c r="D1084" s="2">
        <v>1965</v>
      </c>
      <c r="E1084" s="2" t="s">
        <v>7139</v>
      </c>
      <c r="F1084" s="2" t="s">
        <v>1627</v>
      </c>
      <c r="G1084" s="2" t="s">
        <v>7140</v>
      </c>
      <c r="H1084" s="2" t="s">
        <v>7225</v>
      </c>
      <c r="I1084" s="2" t="s">
        <v>7142</v>
      </c>
      <c r="J1084" s="2" t="s">
        <v>8655</v>
      </c>
    </row>
    <row r="1085" spans="1:10">
      <c r="A1085" s="2" t="s">
        <v>4459</v>
      </c>
      <c r="B1085" s="2" t="s">
        <v>1647</v>
      </c>
      <c r="C1085" s="2" t="s">
        <v>7179</v>
      </c>
      <c r="D1085" s="2">
        <v>1969</v>
      </c>
      <c r="E1085" s="2" t="s">
        <v>7180</v>
      </c>
      <c r="F1085" s="2" t="s">
        <v>1651</v>
      </c>
      <c r="G1085" s="2" t="s">
        <v>7140</v>
      </c>
      <c r="H1085" s="2" t="s">
        <v>7182</v>
      </c>
      <c r="I1085" s="2" t="s">
        <v>7142</v>
      </c>
      <c r="J1085" s="2" t="s">
        <v>8656</v>
      </c>
    </row>
    <row r="1086" spans="1:10">
      <c r="A1086" s="2" t="s">
        <v>4461</v>
      </c>
      <c r="B1086" s="2" t="s">
        <v>1682</v>
      </c>
      <c r="C1086" s="2" t="s">
        <v>7179</v>
      </c>
      <c r="D1086" s="2">
        <v>1971</v>
      </c>
      <c r="E1086" s="2" t="s">
        <v>7180</v>
      </c>
      <c r="F1086" s="2" t="s">
        <v>1684</v>
      </c>
      <c r="G1086" s="2" t="s">
        <v>7181</v>
      </c>
      <c r="H1086" s="2" t="s">
        <v>7182</v>
      </c>
      <c r="I1086" s="2" t="s">
        <v>7142</v>
      </c>
      <c r="J1086" s="2" t="s">
        <v>8657</v>
      </c>
    </row>
    <row r="1087" spans="1:10">
      <c r="A1087" s="2" t="s">
        <v>4463</v>
      </c>
      <c r="B1087" s="2" t="s">
        <v>1753</v>
      </c>
      <c r="C1087" s="2" t="s">
        <v>7179</v>
      </c>
      <c r="D1087" s="2">
        <v>1983</v>
      </c>
      <c r="E1087" s="2" t="s">
        <v>7180</v>
      </c>
      <c r="F1087" s="2" t="s">
        <v>1755</v>
      </c>
      <c r="G1087" s="2" t="s">
        <v>7181</v>
      </c>
      <c r="H1087" s="2" t="s">
        <v>7141</v>
      </c>
      <c r="I1087" s="2" t="s">
        <v>7142</v>
      </c>
      <c r="J1087" s="2" t="s">
        <v>8529</v>
      </c>
    </row>
    <row r="1088" spans="1:10">
      <c r="A1088" s="2" t="s">
        <v>4464</v>
      </c>
      <c r="B1088" s="2" t="s">
        <v>1783</v>
      </c>
      <c r="C1088" s="2" t="s">
        <v>7179</v>
      </c>
      <c r="D1088" s="2">
        <v>1978</v>
      </c>
      <c r="E1088" s="2" t="s">
        <v>7180</v>
      </c>
      <c r="F1088" s="2" t="s">
        <v>1785</v>
      </c>
      <c r="G1088" s="2" t="s">
        <v>7181</v>
      </c>
      <c r="H1088" s="2" t="s">
        <v>7141</v>
      </c>
      <c r="I1088" s="2" t="s">
        <v>7142</v>
      </c>
      <c r="J1088" s="2" t="s">
        <v>8540</v>
      </c>
    </row>
    <row r="1089" spans="1:10">
      <c r="A1089" s="2" t="s">
        <v>4465</v>
      </c>
      <c r="B1089" s="2" t="s">
        <v>1817</v>
      </c>
      <c r="C1089" s="2" t="s">
        <v>7138</v>
      </c>
      <c r="D1089" s="2">
        <v>1973</v>
      </c>
      <c r="E1089" s="2" t="s">
        <v>7180</v>
      </c>
      <c r="F1089" s="2" t="s">
        <v>1819</v>
      </c>
      <c r="G1089" s="2" t="s">
        <v>7140</v>
      </c>
      <c r="H1089" s="2" t="s">
        <v>7182</v>
      </c>
      <c r="I1089" s="2" t="s">
        <v>7142</v>
      </c>
      <c r="J1089" s="2" t="s">
        <v>8529</v>
      </c>
    </row>
    <row r="1090" spans="1:10">
      <c r="A1090" s="2" t="s">
        <v>4466</v>
      </c>
      <c r="B1090" s="2" t="s">
        <v>1862</v>
      </c>
      <c r="C1090" s="2" t="s">
        <v>7179</v>
      </c>
      <c r="D1090" s="2">
        <v>1991</v>
      </c>
      <c r="E1090" s="2" t="s">
        <v>7180</v>
      </c>
      <c r="F1090" s="2" t="s">
        <v>1864</v>
      </c>
      <c r="G1090" s="2" t="s">
        <v>7140</v>
      </c>
      <c r="H1090" s="2" t="s">
        <v>7182</v>
      </c>
      <c r="I1090" s="2" t="s">
        <v>7142</v>
      </c>
      <c r="J1090" s="2" t="s">
        <v>8540</v>
      </c>
    </row>
    <row r="1091" spans="1:10">
      <c r="A1091" s="2" t="s">
        <v>4467</v>
      </c>
      <c r="B1091" s="2" t="s">
        <v>1881</v>
      </c>
      <c r="C1091" s="2" t="s">
        <v>7179</v>
      </c>
      <c r="D1091" s="2">
        <v>1990</v>
      </c>
      <c r="E1091" s="2" t="s">
        <v>7180</v>
      </c>
      <c r="F1091" s="2" t="s">
        <v>1883</v>
      </c>
      <c r="G1091" s="2" t="s">
        <v>7181</v>
      </c>
      <c r="H1091" s="2" t="s">
        <v>7225</v>
      </c>
      <c r="I1091" s="2" t="s">
        <v>7142</v>
      </c>
      <c r="J1091" s="2" t="s">
        <v>8655</v>
      </c>
    </row>
    <row r="1092" spans="1:10">
      <c r="A1092" s="2" t="s">
        <v>4468</v>
      </c>
      <c r="B1092" s="2" t="s">
        <v>1917</v>
      </c>
      <c r="C1092" s="2" t="s">
        <v>7179</v>
      </c>
      <c r="D1092" s="2">
        <v>1984</v>
      </c>
      <c r="E1092" s="2" t="s">
        <v>7180</v>
      </c>
      <c r="F1092" s="2" t="s">
        <v>1919</v>
      </c>
      <c r="G1092" s="2" t="s">
        <v>7181</v>
      </c>
      <c r="H1092" s="2" t="s">
        <v>7141</v>
      </c>
      <c r="I1092" s="2" t="s">
        <v>7142</v>
      </c>
      <c r="J1092" s="2" t="s">
        <v>8540</v>
      </c>
    </row>
    <row r="1093" spans="1:10">
      <c r="A1093" s="2" t="s">
        <v>4469</v>
      </c>
      <c r="B1093" s="2" t="s">
        <v>1935</v>
      </c>
      <c r="C1093" s="2" t="s">
        <v>7179</v>
      </c>
      <c r="D1093" s="2">
        <v>1983</v>
      </c>
      <c r="E1093" s="2" t="s">
        <v>7180</v>
      </c>
      <c r="F1093" s="2" t="s">
        <v>1937</v>
      </c>
      <c r="G1093" s="2" t="s">
        <v>7181</v>
      </c>
      <c r="H1093" s="2" t="s">
        <v>7141</v>
      </c>
      <c r="I1093" s="2" t="s">
        <v>7142</v>
      </c>
      <c r="J1093" s="2" t="s">
        <v>8651</v>
      </c>
    </row>
    <row r="1094" spans="1:10">
      <c r="A1094" s="2" t="s">
        <v>4470</v>
      </c>
      <c r="B1094" s="2" t="s">
        <v>478</v>
      </c>
      <c r="C1094" s="2" t="s">
        <v>7138</v>
      </c>
      <c r="D1094" s="2">
        <v>1995</v>
      </c>
      <c r="E1094" s="2" t="s">
        <v>7139</v>
      </c>
      <c r="F1094" s="2" t="s">
        <v>482</v>
      </c>
      <c r="G1094" s="2" t="s">
        <v>7192</v>
      </c>
      <c r="H1094" s="2" t="s">
        <v>7225</v>
      </c>
      <c r="I1094" s="2" t="s">
        <v>7142</v>
      </c>
      <c r="J1094" s="2" t="s">
        <v>8577</v>
      </c>
    </row>
    <row r="1095" spans="1:10">
      <c r="A1095" s="2" t="s">
        <v>4471</v>
      </c>
      <c r="B1095" s="2" t="s">
        <v>546</v>
      </c>
      <c r="C1095" s="2" t="s">
        <v>7138</v>
      </c>
      <c r="D1095" s="2">
        <v>1985</v>
      </c>
      <c r="E1095" s="2" t="s">
        <v>7139</v>
      </c>
      <c r="F1095" s="2" t="s">
        <v>548</v>
      </c>
      <c r="G1095" s="2" t="s">
        <v>7192</v>
      </c>
      <c r="H1095" s="2" t="s">
        <v>7141</v>
      </c>
      <c r="I1095" s="2" t="s">
        <v>7142</v>
      </c>
      <c r="J1095" s="2" t="s">
        <v>8529</v>
      </c>
    </row>
    <row r="1096" spans="1:10">
      <c r="A1096" s="2" t="s">
        <v>4472</v>
      </c>
      <c r="B1096" s="2" t="s">
        <v>573</v>
      </c>
      <c r="C1096" s="2" t="s">
        <v>7179</v>
      </c>
      <c r="D1096" s="2">
        <v>1982</v>
      </c>
      <c r="E1096" s="2" t="s">
        <v>7139</v>
      </c>
      <c r="F1096" s="2" t="s">
        <v>575</v>
      </c>
      <c r="G1096" s="2" t="s">
        <v>7181</v>
      </c>
      <c r="H1096" s="2" t="s">
        <v>7225</v>
      </c>
      <c r="I1096" s="2" t="s">
        <v>7142</v>
      </c>
      <c r="J1096" s="2" t="s">
        <v>8540</v>
      </c>
    </row>
    <row r="1097" spans="1:10">
      <c r="A1097" s="2" t="s">
        <v>4473</v>
      </c>
      <c r="B1097" s="2" t="s">
        <v>599</v>
      </c>
      <c r="C1097" s="2" t="s">
        <v>7138</v>
      </c>
      <c r="D1097" s="2">
        <v>1967</v>
      </c>
      <c r="E1097" s="2" t="s">
        <v>7139</v>
      </c>
      <c r="F1097" s="2" t="s">
        <v>601</v>
      </c>
      <c r="G1097" s="2" t="s">
        <v>7140</v>
      </c>
      <c r="H1097" s="2" t="s">
        <v>7395</v>
      </c>
      <c r="I1097" s="2" t="s">
        <v>7143</v>
      </c>
      <c r="J1097" s="2"/>
    </row>
    <row r="1098" spans="1:10">
      <c r="A1098" s="2" t="s">
        <v>4474</v>
      </c>
      <c r="B1098" s="2" t="s">
        <v>608</v>
      </c>
      <c r="C1098" s="2" t="s">
        <v>7179</v>
      </c>
      <c r="D1098" s="2">
        <v>1991</v>
      </c>
      <c r="E1098" s="2" t="s">
        <v>7139</v>
      </c>
      <c r="F1098" s="2" t="s">
        <v>386</v>
      </c>
      <c r="G1098" s="2" t="s">
        <v>7181</v>
      </c>
      <c r="H1098" s="2" t="s">
        <v>7225</v>
      </c>
      <c r="I1098" s="2" t="s">
        <v>7142</v>
      </c>
      <c r="J1098" s="2" t="s">
        <v>8540</v>
      </c>
    </row>
    <row r="1099" spans="1:10">
      <c r="A1099" s="2" t="s">
        <v>4475</v>
      </c>
      <c r="B1099" s="2" t="s">
        <v>699</v>
      </c>
      <c r="C1099" s="2" t="s">
        <v>7138</v>
      </c>
      <c r="D1099" s="2">
        <v>1999</v>
      </c>
      <c r="E1099" s="2" t="s">
        <v>7139</v>
      </c>
      <c r="F1099" s="2" t="s">
        <v>702</v>
      </c>
      <c r="G1099" s="2" t="s">
        <v>7192</v>
      </c>
      <c r="H1099" s="2" t="s">
        <v>7182</v>
      </c>
      <c r="I1099" s="2" t="s">
        <v>7142</v>
      </c>
      <c r="J1099" s="2" t="s">
        <v>8554</v>
      </c>
    </row>
    <row r="1100" spans="1:10">
      <c r="A1100" s="2" t="s">
        <v>4476</v>
      </c>
      <c r="B1100" s="2" t="s">
        <v>734</v>
      </c>
      <c r="C1100" s="2" t="s">
        <v>7179</v>
      </c>
      <c r="D1100" s="2">
        <v>1973</v>
      </c>
      <c r="E1100" s="2" t="s">
        <v>7139</v>
      </c>
      <c r="F1100" s="2" t="s">
        <v>737</v>
      </c>
      <c r="G1100" s="2" t="s">
        <v>7192</v>
      </c>
      <c r="H1100" s="2" t="s">
        <v>7450</v>
      </c>
      <c r="I1100" s="2" t="s">
        <v>7143</v>
      </c>
      <c r="J1100" s="2"/>
    </row>
    <row r="1101" spans="1:10">
      <c r="A1101" s="2" t="s">
        <v>4477</v>
      </c>
      <c r="B1101" s="2" t="s">
        <v>753</v>
      </c>
      <c r="C1101" s="2" t="s">
        <v>7138</v>
      </c>
      <c r="D1101" s="2">
        <v>1964</v>
      </c>
      <c r="E1101" s="2" t="s">
        <v>7139</v>
      </c>
      <c r="F1101" s="2" t="s">
        <v>756</v>
      </c>
      <c r="G1101" s="2" t="s">
        <v>7140</v>
      </c>
      <c r="H1101" s="2" t="s">
        <v>7182</v>
      </c>
      <c r="I1101" s="2" t="s">
        <v>7142</v>
      </c>
      <c r="J1101" s="2" t="s">
        <v>8529</v>
      </c>
    </row>
    <row r="1102" spans="1:10">
      <c r="A1102" s="2" t="s">
        <v>4478</v>
      </c>
      <c r="B1102" s="2" t="s">
        <v>1981</v>
      </c>
      <c r="C1102" s="2" t="s">
        <v>7179</v>
      </c>
      <c r="D1102" s="2">
        <v>1991</v>
      </c>
      <c r="E1102" s="2" t="s">
        <v>7180</v>
      </c>
      <c r="F1102" s="2" t="s">
        <v>1984</v>
      </c>
      <c r="G1102" s="2" t="s">
        <v>7181</v>
      </c>
      <c r="H1102" s="2" t="s">
        <v>7141</v>
      </c>
      <c r="I1102" s="2" t="s">
        <v>7142</v>
      </c>
      <c r="J1102" s="2" t="s">
        <v>8658</v>
      </c>
    </row>
    <row r="1103" spans="1:10">
      <c r="A1103" s="2" t="s">
        <v>4480</v>
      </c>
      <c r="B1103" s="2" t="s">
        <v>2004</v>
      </c>
      <c r="C1103" s="2" t="s">
        <v>7179</v>
      </c>
      <c r="D1103" s="2">
        <v>1977</v>
      </c>
      <c r="E1103" s="2" t="s">
        <v>7180</v>
      </c>
      <c r="F1103" s="2" t="s">
        <v>2006</v>
      </c>
      <c r="G1103" s="2" t="s">
        <v>7181</v>
      </c>
      <c r="H1103" s="2" t="s">
        <v>7225</v>
      </c>
      <c r="I1103" s="2" t="s">
        <v>7142</v>
      </c>
      <c r="J1103" s="2" t="s">
        <v>8659</v>
      </c>
    </row>
    <row r="1104" spans="1:10">
      <c r="A1104" s="2" t="s">
        <v>4482</v>
      </c>
      <c r="B1104" s="2" t="s">
        <v>2021</v>
      </c>
      <c r="C1104" s="2" t="s">
        <v>7179</v>
      </c>
      <c r="D1104" s="2">
        <v>1978</v>
      </c>
      <c r="E1104" s="2" t="s">
        <v>7180</v>
      </c>
      <c r="F1104" s="2" t="s">
        <v>2023</v>
      </c>
      <c r="G1104" s="2" t="s">
        <v>7181</v>
      </c>
      <c r="H1104" s="2" t="s">
        <v>7225</v>
      </c>
      <c r="I1104" s="2" t="s">
        <v>7142</v>
      </c>
      <c r="J1104" s="2" t="s">
        <v>8540</v>
      </c>
    </row>
    <row r="1105" spans="1:10">
      <c r="A1105" s="2" t="s">
        <v>4483</v>
      </c>
      <c r="B1105" s="2" t="s">
        <v>2049</v>
      </c>
      <c r="C1105" s="2" t="s">
        <v>7138</v>
      </c>
      <c r="D1105" s="2">
        <v>1993</v>
      </c>
      <c r="E1105" s="2" t="s">
        <v>7180</v>
      </c>
      <c r="F1105" s="2" t="s">
        <v>2052</v>
      </c>
      <c r="G1105" s="2" t="s">
        <v>7140</v>
      </c>
      <c r="H1105" s="2" t="s">
        <v>7182</v>
      </c>
      <c r="I1105" s="2" t="s">
        <v>7142</v>
      </c>
      <c r="J1105" s="2" t="s">
        <v>8540</v>
      </c>
    </row>
  </sheetData>
  <conditionalFormatting sqref="A1:A1105">
    <cfRule type="expression" dxfId="3" priority="2">
      <formula>COUNTIF(A:A,A1)&gt;1</formula>
    </cfRule>
  </conditionalFormatting>
  <conditionalFormatting sqref="B1:B1105">
    <cfRule type="expression" dxfId="2" priority="1">
      <formula>COUNT(B:B,B1)&gt;1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1000"/>
  <sheetViews>
    <sheetView workbookViewId="0">
      <selection activeCell="D20" sqref="D20"/>
    </sheetView>
  </sheetViews>
  <sheetFormatPr defaultColWidth="12.6640625" defaultRowHeight="15.75" customHeight="1"/>
  <cols>
    <col min="1" max="1" width="22.21875" customWidth="1"/>
    <col min="2" max="2" width="24.77734375" customWidth="1"/>
    <col min="3" max="3" width="51.6640625" customWidth="1"/>
    <col min="4" max="4" width="49.77734375" customWidth="1"/>
    <col min="5" max="5" width="22" customWidth="1"/>
    <col min="6" max="7" width="12.6640625" customWidth="1"/>
  </cols>
  <sheetData>
    <row r="1" spans="1:5">
      <c r="A1" s="7" t="s">
        <v>6974</v>
      </c>
      <c r="B1" s="7" t="s">
        <v>4484</v>
      </c>
      <c r="C1" s="7" t="s">
        <v>4485</v>
      </c>
      <c r="D1" s="7" t="s">
        <v>2567</v>
      </c>
      <c r="E1" s="7" t="s">
        <v>4487</v>
      </c>
    </row>
    <row r="2" spans="1:5">
      <c r="A2" s="7" t="s">
        <v>728</v>
      </c>
      <c r="B2" s="7" t="s">
        <v>2596</v>
      </c>
      <c r="C2" s="7" t="s">
        <v>4488</v>
      </c>
      <c r="D2" s="7" t="s">
        <v>4489</v>
      </c>
      <c r="E2" s="7"/>
    </row>
    <row r="3" spans="1:5">
      <c r="A3" s="7" t="s">
        <v>434</v>
      </c>
      <c r="B3" s="7" t="s">
        <v>4490</v>
      </c>
      <c r="C3" s="7" t="s">
        <v>4491</v>
      </c>
      <c r="D3" s="7" t="s">
        <v>4492</v>
      </c>
      <c r="E3" s="7" t="s">
        <v>4493</v>
      </c>
    </row>
    <row r="4" spans="1:5">
      <c r="A4" s="7" t="s">
        <v>563</v>
      </c>
      <c r="B4" s="7" t="s">
        <v>2657</v>
      </c>
      <c r="C4" s="7" t="s">
        <v>4494</v>
      </c>
      <c r="D4" s="2" t="s">
        <v>4495</v>
      </c>
    </row>
    <row r="5" spans="1:5">
      <c r="A5" s="7" t="s">
        <v>599</v>
      </c>
      <c r="B5" s="7" t="s">
        <v>4496</v>
      </c>
      <c r="C5" s="7" t="s">
        <v>4497</v>
      </c>
      <c r="D5" s="2" t="s">
        <v>4498</v>
      </c>
    </row>
    <row r="6" spans="1:5">
      <c r="A6" s="7" t="s">
        <v>176</v>
      </c>
      <c r="B6" s="7" t="s">
        <v>4499</v>
      </c>
      <c r="C6" s="7" t="s">
        <v>4500</v>
      </c>
      <c r="D6" s="7" t="s">
        <v>4501</v>
      </c>
      <c r="E6" s="7" t="s">
        <v>181</v>
      </c>
    </row>
    <row r="7" spans="1:5">
      <c r="A7" s="7" t="s">
        <v>531</v>
      </c>
      <c r="B7" s="7" t="s">
        <v>2599</v>
      </c>
      <c r="C7" s="7" t="s">
        <v>4502</v>
      </c>
      <c r="D7" s="2" t="s">
        <v>4503</v>
      </c>
    </row>
    <row r="8" spans="1:5">
      <c r="A8" s="7" t="s">
        <v>626</v>
      </c>
      <c r="B8" s="7" t="s">
        <v>4504</v>
      </c>
      <c r="C8" s="7" t="s">
        <v>4505</v>
      </c>
      <c r="D8" s="7" t="s">
        <v>4506</v>
      </c>
      <c r="E8" s="7" t="s">
        <v>628</v>
      </c>
    </row>
    <row r="9" spans="1:5">
      <c r="A9" s="7" t="s">
        <v>292</v>
      </c>
      <c r="B9" s="7" t="s">
        <v>2628</v>
      </c>
      <c r="C9" s="7" t="s">
        <v>4507</v>
      </c>
      <c r="D9" s="7" t="s">
        <v>4508</v>
      </c>
      <c r="E9" s="7" t="s">
        <v>4509</v>
      </c>
    </row>
    <row r="10" spans="1:5">
      <c r="A10" s="7" t="s">
        <v>396</v>
      </c>
      <c r="B10" s="7" t="s">
        <v>2571</v>
      </c>
      <c r="C10" s="7" t="s">
        <v>4510</v>
      </c>
      <c r="D10" s="7" t="s">
        <v>4511</v>
      </c>
      <c r="E10" s="7" t="s">
        <v>3716</v>
      </c>
    </row>
    <row r="11" spans="1:5">
      <c r="A11" s="7" t="s">
        <v>305</v>
      </c>
      <c r="B11" s="7" t="s">
        <v>2702</v>
      </c>
      <c r="C11" s="7" t="s">
        <v>4512</v>
      </c>
      <c r="D11" s="7" t="s">
        <v>4513</v>
      </c>
      <c r="E11" s="7" t="s">
        <v>307</v>
      </c>
    </row>
    <row r="12" spans="1:5">
      <c r="A12" s="7" t="s">
        <v>315</v>
      </c>
      <c r="B12" s="7" t="s">
        <v>4514</v>
      </c>
      <c r="C12" s="7" t="s">
        <v>4515</v>
      </c>
      <c r="D12" s="7" t="s">
        <v>4516</v>
      </c>
      <c r="E12" s="7" t="s">
        <v>317</v>
      </c>
    </row>
    <row r="13" spans="1:5">
      <c r="A13" s="7" t="s">
        <v>546</v>
      </c>
      <c r="B13" s="7" t="s">
        <v>4517</v>
      </c>
      <c r="C13" s="7" t="s">
        <v>4518</v>
      </c>
      <c r="D13" s="7" t="s">
        <v>4519</v>
      </c>
      <c r="E13" s="7" t="s">
        <v>4520</v>
      </c>
    </row>
    <row r="14" spans="1:5">
      <c r="A14" s="7" t="s">
        <v>406</v>
      </c>
      <c r="B14" s="7" t="s">
        <v>2573</v>
      </c>
      <c r="C14" s="7" t="s">
        <v>4521</v>
      </c>
      <c r="D14" s="7" t="s">
        <v>4522</v>
      </c>
      <c r="E14" s="7" t="s">
        <v>3716</v>
      </c>
    </row>
    <row r="15" spans="1:5">
      <c r="A15" s="7" t="s">
        <v>557</v>
      </c>
      <c r="B15" s="7" t="s">
        <v>2606</v>
      </c>
      <c r="C15" s="7" t="s">
        <v>4523</v>
      </c>
      <c r="D15" s="2" t="s">
        <v>4524</v>
      </c>
    </row>
    <row r="16" spans="1:5">
      <c r="A16" s="7" t="s">
        <v>320</v>
      </c>
      <c r="B16" s="7" t="s">
        <v>2630</v>
      </c>
      <c r="C16" s="7" t="s">
        <v>4525</v>
      </c>
      <c r="D16" s="7" t="s">
        <v>4526</v>
      </c>
      <c r="E16" s="7" t="s">
        <v>4527</v>
      </c>
    </row>
    <row r="17" spans="1:27">
      <c r="A17" s="7" t="s">
        <v>415</v>
      </c>
      <c r="B17" s="7" t="s">
        <v>4528</v>
      </c>
      <c r="C17" s="7" t="s">
        <v>4529</v>
      </c>
      <c r="D17" s="2" t="s">
        <v>4530</v>
      </c>
    </row>
    <row r="18" spans="1:27">
      <c r="A18" s="7" t="s">
        <v>620</v>
      </c>
      <c r="B18" s="7" t="s">
        <v>4531</v>
      </c>
      <c r="C18" s="7" t="s">
        <v>4532</v>
      </c>
      <c r="D18" s="7" t="s">
        <v>4533</v>
      </c>
      <c r="E18" s="7" t="s">
        <v>622</v>
      </c>
    </row>
    <row r="19" spans="1:27">
      <c r="A19" s="7" t="s">
        <v>328</v>
      </c>
      <c r="B19" s="7" t="s">
        <v>4534</v>
      </c>
      <c r="C19" s="7" t="s">
        <v>4535</v>
      </c>
      <c r="D19" s="7" t="s">
        <v>4536</v>
      </c>
      <c r="E19" s="7" t="s">
        <v>330</v>
      </c>
    </row>
    <row r="20" spans="1:27">
      <c r="A20" s="7" t="s">
        <v>220</v>
      </c>
      <c r="B20" s="7" t="s">
        <v>4537</v>
      </c>
      <c r="C20" s="7" t="s">
        <v>4538</v>
      </c>
      <c r="D20" s="2" t="s">
        <v>4539</v>
      </c>
    </row>
    <row r="21" spans="1:27">
      <c r="A21" s="7" t="s">
        <v>541</v>
      </c>
      <c r="B21" s="7" t="s">
        <v>2608</v>
      </c>
      <c r="C21" s="7" t="s">
        <v>4540</v>
      </c>
      <c r="D21" s="2" t="s">
        <v>4541</v>
      </c>
    </row>
    <row r="22" spans="1:27">
      <c r="A22" s="7" t="s">
        <v>573</v>
      </c>
      <c r="B22" s="7" t="s">
        <v>4542</v>
      </c>
      <c r="C22" s="7" t="s">
        <v>4543</v>
      </c>
      <c r="D22" s="2" t="s">
        <v>4544</v>
      </c>
    </row>
    <row r="23" spans="1:27">
      <c r="A23" s="7" t="s">
        <v>583</v>
      </c>
      <c r="B23" s="7" t="s">
        <v>2609</v>
      </c>
      <c r="C23" s="7" t="s">
        <v>4545</v>
      </c>
      <c r="D23" s="2" t="s">
        <v>4546</v>
      </c>
    </row>
    <row r="24" spans="1:27">
      <c r="A24" s="7" t="s">
        <v>634</v>
      </c>
      <c r="B24" s="7" t="s">
        <v>4547</v>
      </c>
      <c r="C24" s="7" t="s">
        <v>4548</v>
      </c>
      <c r="D24" s="7" t="s">
        <v>4549</v>
      </c>
      <c r="E24" s="7" t="s">
        <v>4550</v>
      </c>
    </row>
    <row r="25" spans="1:27">
      <c r="A25" s="7" t="s">
        <v>443</v>
      </c>
      <c r="B25" s="7" t="s">
        <v>2575</v>
      </c>
      <c r="C25" s="7" t="s">
        <v>4551</v>
      </c>
      <c r="D25" s="2" t="s">
        <v>4552</v>
      </c>
    </row>
    <row r="26" spans="1:27">
      <c r="A26" s="7" t="s">
        <v>337</v>
      </c>
      <c r="B26" s="7" t="s">
        <v>2633</v>
      </c>
      <c r="C26" s="7" t="s">
        <v>4553</v>
      </c>
      <c r="D26" s="7" t="s">
        <v>4554</v>
      </c>
      <c r="E26" s="7" t="s">
        <v>338</v>
      </c>
    </row>
    <row r="27" spans="1:27">
      <c r="A27" s="7" t="s">
        <v>344</v>
      </c>
      <c r="B27" s="7" t="s">
        <v>4555</v>
      </c>
      <c r="C27" s="7" t="s">
        <v>4556</v>
      </c>
      <c r="D27" s="7" t="s">
        <v>4557</v>
      </c>
      <c r="E27" s="7" t="s">
        <v>345</v>
      </c>
    </row>
    <row r="28" spans="1:27">
      <c r="A28" s="7" t="s">
        <v>454</v>
      </c>
      <c r="B28" s="7" t="s">
        <v>2577</v>
      </c>
      <c r="C28" s="7" t="s">
        <v>4558</v>
      </c>
      <c r="D28" s="7" t="s">
        <v>4559</v>
      </c>
      <c r="E28" s="7" t="s">
        <v>4493</v>
      </c>
    </row>
    <row r="29" spans="1:27">
      <c r="A29" s="7" t="s">
        <v>588</v>
      </c>
      <c r="B29" s="7" t="s">
        <v>4560</v>
      </c>
      <c r="C29" s="7" t="s">
        <v>4561</v>
      </c>
      <c r="D29" s="7" t="s">
        <v>4562</v>
      </c>
      <c r="E29" s="7" t="s">
        <v>4563</v>
      </c>
    </row>
    <row r="30" spans="1:27">
      <c r="A30" s="7" t="s">
        <v>349</v>
      </c>
      <c r="B30" s="7" t="s">
        <v>2636</v>
      </c>
      <c r="C30" s="7" t="s">
        <v>4564</v>
      </c>
      <c r="D30" s="7" t="s">
        <v>4565</v>
      </c>
      <c r="E30" s="7" t="s">
        <v>4566</v>
      </c>
    </row>
    <row r="31" spans="1:27">
      <c r="A31" s="14"/>
      <c r="B31" s="14"/>
      <c r="C31" s="14" t="s">
        <v>4567</v>
      </c>
      <c r="D31" s="14" t="s">
        <v>4568</v>
      </c>
      <c r="E31" s="14" t="s">
        <v>629</v>
      </c>
      <c r="G31" s="14"/>
      <c r="H31" s="14"/>
      <c r="I31" s="14"/>
      <c r="J31" s="14"/>
      <c r="K31" s="14"/>
      <c r="L31" s="14"/>
      <c r="M31" s="14"/>
      <c r="N31" s="14"/>
      <c r="O31" s="14"/>
      <c r="P31" s="14"/>
      <c r="Q31" s="14"/>
      <c r="R31" s="14"/>
      <c r="S31" s="14"/>
      <c r="T31" s="14"/>
      <c r="U31" s="14"/>
      <c r="V31" s="14"/>
      <c r="W31" s="14"/>
      <c r="X31" s="14"/>
      <c r="Y31" s="14"/>
      <c r="Z31" s="14"/>
      <c r="AA31" s="14"/>
    </row>
    <row r="32" spans="1:27">
      <c r="A32" s="7" t="s">
        <v>472</v>
      </c>
      <c r="B32" s="7" t="s">
        <v>2610</v>
      </c>
      <c r="C32" s="7" t="s">
        <v>4569</v>
      </c>
      <c r="D32" s="2" t="s">
        <v>4570</v>
      </c>
    </row>
    <row r="33" spans="1:5">
      <c r="A33" s="7" t="s">
        <v>776</v>
      </c>
      <c r="B33" s="7" t="s">
        <v>4571</v>
      </c>
      <c r="C33" s="7" t="s">
        <v>4572</v>
      </c>
      <c r="D33" s="7" t="s">
        <v>4573</v>
      </c>
      <c r="E33" s="7" t="s">
        <v>279</v>
      </c>
    </row>
    <row r="34" spans="1:5">
      <c r="A34" s="7" t="s">
        <v>355</v>
      </c>
      <c r="B34" s="7" t="s">
        <v>2637</v>
      </c>
      <c r="C34" s="7" t="s">
        <v>4574</v>
      </c>
      <c r="D34" s="7" t="s">
        <v>4575</v>
      </c>
      <c r="E34" s="7" t="s">
        <v>356</v>
      </c>
    </row>
    <row r="35" spans="1:5">
      <c r="A35" s="7" t="s">
        <v>234</v>
      </c>
      <c r="B35" s="7" t="s">
        <v>4576</v>
      </c>
      <c r="C35" s="7" t="s">
        <v>4577</v>
      </c>
      <c r="D35" s="2" t="s">
        <v>4578</v>
      </c>
    </row>
    <row r="36" spans="1:5">
      <c r="A36" s="7" t="s">
        <v>491</v>
      </c>
      <c r="B36" s="7" t="s">
        <v>4579</v>
      </c>
      <c r="C36" s="7" t="s">
        <v>4580</v>
      </c>
      <c r="D36" s="2" t="s">
        <v>4581</v>
      </c>
    </row>
    <row r="37" spans="1:5">
      <c r="A37" s="7" t="s">
        <v>608</v>
      </c>
      <c r="B37" s="7" t="s">
        <v>4582</v>
      </c>
      <c r="C37" s="7" t="s">
        <v>4583</v>
      </c>
      <c r="D37" s="2" t="s">
        <v>4584</v>
      </c>
    </row>
    <row r="38" spans="1:5">
      <c r="A38" s="7" t="s">
        <v>783</v>
      </c>
      <c r="B38" s="7" t="s">
        <v>4585</v>
      </c>
      <c r="C38" s="7" t="s">
        <v>4586</v>
      </c>
      <c r="D38" s="7" t="s">
        <v>4587</v>
      </c>
      <c r="E38" s="7" t="s">
        <v>185</v>
      </c>
    </row>
    <row r="39" spans="1:5">
      <c r="A39" s="7" t="s">
        <v>359</v>
      </c>
      <c r="B39" s="7" t="s">
        <v>2639</v>
      </c>
      <c r="C39" s="7" t="s">
        <v>4588</v>
      </c>
      <c r="D39" s="7" t="s">
        <v>4589</v>
      </c>
      <c r="E39" s="7" t="s">
        <v>360</v>
      </c>
    </row>
    <row r="40" spans="1:5">
      <c r="A40" s="7" t="s">
        <v>499</v>
      </c>
      <c r="B40" s="7" t="s">
        <v>2613</v>
      </c>
      <c r="C40" s="7" t="s">
        <v>4590</v>
      </c>
      <c r="D40" s="2" t="s">
        <v>4591</v>
      </c>
    </row>
    <row r="41" spans="1:5">
      <c r="A41" s="7" t="s">
        <v>244</v>
      </c>
      <c r="B41" s="7" t="s">
        <v>4592</v>
      </c>
      <c r="C41" s="7" t="s">
        <v>4593</v>
      </c>
      <c r="D41" s="2" t="s">
        <v>4594</v>
      </c>
    </row>
    <row r="42" spans="1:5">
      <c r="A42" s="7" t="s">
        <v>499</v>
      </c>
      <c r="B42" s="7" t="s">
        <v>4595</v>
      </c>
      <c r="C42" s="7" t="s">
        <v>4596</v>
      </c>
      <c r="D42" s="2" t="s">
        <v>4597</v>
      </c>
    </row>
    <row r="43" spans="1:5">
      <c r="A43" s="7" t="s">
        <v>517</v>
      </c>
      <c r="B43" s="7" t="s">
        <v>4598</v>
      </c>
      <c r="C43" s="7" t="s">
        <v>4599</v>
      </c>
      <c r="D43" s="2" t="s">
        <v>4600</v>
      </c>
    </row>
    <row r="44" spans="1:5">
      <c r="A44" s="7" t="s">
        <v>251</v>
      </c>
      <c r="B44" s="7" t="s">
        <v>4601</v>
      </c>
      <c r="C44" s="7" t="s">
        <v>4602</v>
      </c>
      <c r="D44" s="2" t="s">
        <v>4603</v>
      </c>
    </row>
    <row r="45" spans="1:5">
      <c r="A45" s="7" t="s">
        <v>655</v>
      </c>
      <c r="B45" s="7" t="s">
        <v>4604</v>
      </c>
      <c r="C45" s="7" t="s">
        <v>4605</v>
      </c>
      <c r="D45" s="7" t="s">
        <v>4606</v>
      </c>
      <c r="E45" s="7" t="s">
        <v>185</v>
      </c>
    </row>
    <row r="46" spans="1:5">
      <c r="A46" s="7" t="s">
        <v>463</v>
      </c>
      <c r="B46" s="7" t="s">
        <v>4607</v>
      </c>
      <c r="C46" s="7" t="s">
        <v>4608</v>
      </c>
      <c r="D46" s="2" t="s">
        <v>4609</v>
      </c>
    </row>
    <row r="47" spans="1:5">
      <c r="A47" s="7" t="s">
        <v>364</v>
      </c>
      <c r="B47" s="7" t="s">
        <v>4610</v>
      </c>
      <c r="C47" s="7" t="s">
        <v>4611</v>
      </c>
      <c r="D47" s="7" t="s">
        <v>4612</v>
      </c>
      <c r="E47" s="7" t="s">
        <v>365</v>
      </c>
    </row>
    <row r="48" spans="1:5">
      <c r="A48" s="7" t="s">
        <v>257</v>
      </c>
      <c r="B48" s="7" t="s">
        <v>4613</v>
      </c>
      <c r="C48" s="7" t="s">
        <v>4614</v>
      </c>
      <c r="D48" s="2" t="s">
        <v>4615</v>
      </c>
    </row>
    <row r="49" spans="1:5">
      <c r="A49" s="7" t="s">
        <v>523</v>
      </c>
      <c r="B49" s="7" t="s">
        <v>2578</v>
      </c>
      <c r="C49" s="7" t="s">
        <v>4616</v>
      </c>
      <c r="D49" s="7" t="s">
        <v>4617</v>
      </c>
      <c r="E49" s="7" t="s">
        <v>4618</v>
      </c>
    </row>
    <row r="50" spans="1:5">
      <c r="A50" s="7" t="s">
        <v>368</v>
      </c>
      <c r="B50" s="7" t="s">
        <v>2640</v>
      </c>
      <c r="C50" s="7" t="s">
        <v>4619</v>
      </c>
      <c r="D50" s="7" t="s">
        <v>4620</v>
      </c>
      <c r="E50" s="7" t="s">
        <v>370</v>
      </c>
    </row>
    <row r="51" spans="1:5">
      <c r="A51" s="7" t="s">
        <v>639</v>
      </c>
      <c r="B51" s="7" t="s">
        <v>4621</v>
      </c>
      <c r="C51" s="7" t="s">
        <v>4622</v>
      </c>
      <c r="D51" s="7" t="s">
        <v>4623</v>
      </c>
      <c r="E51" s="7" t="s">
        <v>237</v>
      </c>
    </row>
    <row r="52" spans="1:5">
      <c r="A52" s="7" t="s">
        <v>423</v>
      </c>
      <c r="B52" s="7" t="s">
        <v>2614</v>
      </c>
      <c r="C52" s="7" t="s">
        <v>4624</v>
      </c>
      <c r="D52" s="2" t="s">
        <v>4625</v>
      </c>
    </row>
    <row r="53" spans="1:5">
      <c r="A53" s="7" t="s">
        <v>264</v>
      </c>
      <c r="B53" s="7" t="s">
        <v>4626</v>
      </c>
      <c r="C53" s="7" t="s">
        <v>4627</v>
      </c>
      <c r="D53" s="2" t="s">
        <v>4628</v>
      </c>
    </row>
    <row r="54" spans="1:5">
      <c r="A54" s="7" t="s">
        <v>503</v>
      </c>
      <c r="B54" s="7" t="s">
        <v>4629</v>
      </c>
      <c r="C54" s="7" t="s">
        <v>4630</v>
      </c>
      <c r="D54" s="7" t="s">
        <v>4631</v>
      </c>
      <c r="E54" s="7" t="s">
        <v>4632</v>
      </c>
    </row>
    <row r="55" spans="1:5">
      <c r="A55" s="7" t="s">
        <v>478</v>
      </c>
      <c r="B55" s="7" t="s">
        <v>4633</v>
      </c>
      <c r="C55" s="7" t="s">
        <v>4634</v>
      </c>
      <c r="D55" s="7" t="s">
        <v>4635</v>
      </c>
      <c r="E55" s="7" t="s">
        <v>482</v>
      </c>
    </row>
    <row r="56" spans="1:5">
      <c r="A56" s="7" t="s">
        <v>648</v>
      </c>
      <c r="B56" s="7" t="s">
        <v>4636</v>
      </c>
      <c r="C56" s="7" t="s">
        <v>4637</v>
      </c>
      <c r="D56" s="7" t="s">
        <v>4638</v>
      </c>
      <c r="E56" s="7" t="s">
        <v>4563</v>
      </c>
    </row>
    <row r="57" spans="1:5">
      <c r="A57" s="7" t="s">
        <v>266</v>
      </c>
      <c r="B57" s="7" t="s">
        <v>4639</v>
      </c>
      <c r="C57" s="7" t="s">
        <v>4640</v>
      </c>
      <c r="D57" s="2" t="s">
        <v>4641</v>
      </c>
    </row>
    <row r="58" spans="1:5">
      <c r="A58" s="7" t="s">
        <v>682</v>
      </c>
      <c r="B58" s="7" t="s">
        <v>4642</v>
      </c>
      <c r="C58" s="7" t="s">
        <v>4643</v>
      </c>
      <c r="D58" s="2" t="s">
        <v>4644</v>
      </c>
    </row>
    <row r="59" spans="1:5">
      <c r="A59" s="7" t="s">
        <v>771</v>
      </c>
      <c r="B59" s="7" t="s">
        <v>2615</v>
      </c>
      <c r="C59" s="7" t="s">
        <v>4645</v>
      </c>
      <c r="D59" s="7" t="s">
        <v>4646</v>
      </c>
      <c r="E59" s="7"/>
    </row>
    <row r="60" spans="1:5">
      <c r="A60" s="7" t="s">
        <v>375</v>
      </c>
      <c r="B60" s="7" t="s">
        <v>2641</v>
      </c>
      <c r="C60" s="7" t="s">
        <v>4647</v>
      </c>
      <c r="D60" s="7" t="s">
        <v>4648</v>
      </c>
      <c r="E60" s="7" t="s">
        <v>377</v>
      </c>
    </row>
    <row r="61" spans="1:5">
      <c r="A61" s="7" t="s">
        <v>277</v>
      </c>
      <c r="B61" s="7" t="s">
        <v>4649</v>
      </c>
      <c r="C61" s="7" t="s">
        <v>4650</v>
      </c>
      <c r="D61" s="7" t="s">
        <v>4651</v>
      </c>
      <c r="E61" s="7" t="s">
        <v>185</v>
      </c>
    </row>
    <row r="62" spans="1:5">
      <c r="A62" s="7" t="s">
        <v>761</v>
      </c>
      <c r="B62" s="7" t="s">
        <v>4652</v>
      </c>
      <c r="C62" s="7" t="s">
        <v>4653</v>
      </c>
      <c r="D62" s="7" t="s">
        <v>4654</v>
      </c>
      <c r="E62" s="7" t="s">
        <v>279</v>
      </c>
    </row>
    <row r="63" spans="1:5">
      <c r="A63" s="7" t="s">
        <v>753</v>
      </c>
      <c r="B63" s="7" t="s">
        <v>4655</v>
      </c>
      <c r="C63" s="7" t="s">
        <v>4656</v>
      </c>
      <c r="D63" s="2" t="s">
        <v>4657</v>
      </c>
    </row>
    <row r="64" spans="1:5">
      <c r="A64" s="7" t="s">
        <v>663</v>
      </c>
      <c r="B64" s="7" t="s">
        <v>2580</v>
      </c>
      <c r="C64" s="7" t="s">
        <v>4658</v>
      </c>
      <c r="D64" s="2" t="s">
        <v>4659</v>
      </c>
    </row>
    <row r="65" spans="1:5">
      <c r="A65" s="7" t="s">
        <v>674</v>
      </c>
      <c r="B65" s="7" t="s">
        <v>4660</v>
      </c>
      <c r="C65" s="7" t="s">
        <v>4661</v>
      </c>
      <c r="D65" s="2" t="s">
        <v>4662</v>
      </c>
    </row>
    <row r="66" spans="1:5">
      <c r="A66" s="7" t="s">
        <v>693</v>
      </c>
      <c r="B66" s="7" t="s">
        <v>2581</v>
      </c>
      <c r="C66" s="7" t="s">
        <v>4663</v>
      </c>
      <c r="D66" s="2" t="s">
        <v>4664</v>
      </c>
    </row>
    <row r="67" spans="1:5">
      <c r="A67" s="7" t="s">
        <v>699</v>
      </c>
      <c r="B67" s="7" t="s">
        <v>4665</v>
      </c>
      <c r="C67" s="7" t="s">
        <v>4666</v>
      </c>
      <c r="D67" s="2" t="s">
        <v>4667</v>
      </c>
    </row>
    <row r="68" spans="1:5">
      <c r="A68" s="7" t="s">
        <v>283</v>
      </c>
      <c r="B68" s="7" t="s">
        <v>4668</v>
      </c>
      <c r="C68" s="7" t="s">
        <v>4669</v>
      </c>
      <c r="D68" s="2" t="s">
        <v>4670</v>
      </c>
    </row>
    <row r="69" spans="1:5">
      <c r="A69" s="7" t="s">
        <v>710</v>
      </c>
      <c r="B69" s="7" t="s">
        <v>2616</v>
      </c>
      <c r="C69" s="7" t="s">
        <v>4671</v>
      </c>
      <c r="D69" s="2" t="s">
        <v>4672</v>
      </c>
    </row>
    <row r="70" spans="1:5">
      <c r="A70" s="7" t="s">
        <v>384</v>
      </c>
      <c r="B70" s="7" t="s">
        <v>2642</v>
      </c>
      <c r="C70" s="7" t="s">
        <v>4673</v>
      </c>
      <c r="D70" s="7" t="s">
        <v>4674</v>
      </c>
      <c r="E70" s="7" t="s">
        <v>386</v>
      </c>
    </row>
    <row r="71" spans="1:5">
      <c r="A71" s="7" t="s">
        <v>715</v>
      </c>
      <c r="B71" s="7" t="s">
        <v>4675</v>
      </c>
      <c r="C71" s="7" t="s">
        <v>4676</v>
      </c>
      <c r="D71" s="7" t="s">
        <v>4677</v>
      </c>
      <c r="E71" s="7" t="s">
        <v>237</v>
      </c>
    </row>
    <row r="72" spans="1:5">
      <c r="A72" s="7" t="s">
        <v>734</v>
      </c>
      <c r="B72" s="7" t="s">
        <v>4678</v>
      </c>
      <c r="C72" s="7" t="s">
        <v>4679</v>
      </c>
      <c r="D72" s="2" t="s">
        <v>4680</v>
      </c>
    </row>
    <row r="73" spans="1:5">
      <c r="A73" s="7" t="s">
        <v>745</v>
      </c>
      <c r="B73" s="7" t="s">
        <v>2582</v>
      </c>
      <c r="C73" s="7" t="s">
        <v>4681</v>
      </c>
      <c r="D73" s="2" t="s">
        <v>4682</v>
      </c>
    </row>
    <row r="74" spans="1:5">
      <c r="A74" s="7" t="s">
        <v>557</v>
      </c>
      <c r="B74" s="7" t="s">
        <v>4683</v>
      </c>
      <c r="C74" s="7" t="s">
        <v>4684</v>
      </c>
      <c r="D74" s="2" t="s">
        <v>4568</v>
      </c>
    </row>
    <row r="75" spans="1:5">
      <c r="A75" s="7" t="s">
        <v>789</v>
      </c>
      <c r="B75" s="7" t="s">
        <v>2624</v>
      </c>
      <c r="C75" s="7" t="s">
        <v>4685</v>
      </c>
      <c r="D75" s="2" t="s">
        <v>4686</v>
      </c>
    </row>
    <row r="76" spans="1:5">
      <c r="A76" s="7" t="s">
        <v>4687</v>
      </c>
      <c r="B76" s="7" t="s">
        <v>4688</v>
      </c>
      <c r="C76" s="7" t="s">
        <v>4689</v>
      </c>
      <c r="D76" s="2" t="s">
        <v>4690</v>
      </c>
    </row>
    <row r="77" spans="1:5">
      <c r="A77" s="7" t="s">
        <v>799</v>
      </c>
      <c r="B77" s="7" t="s">
        <v>2583</v>
      </c>
      <c r="C77" s="7" t="s">
        <v>4691</v>
      </c>
      <c r="D77" s="2" t="s">
        <v>4692</v>
      </c>
    </row>
    <row r="78" spans="1:5">
      <c r="A78" s="7" t="s">
        <v>808</v>
      </c>
      <c r="B78" s="7" t="s">
        <v>4693</v>
      </c>
      <c r="C78" s="7" t="s">
        <v>4694</v>
      </c>
      <c r="D78" s="7" t="s">
        <v>4695</v>
      </c>
      <c r="E78" s="7" t="s">
        <v>809</v>
      </c>
    </row>
    <row r="79" spans="1:5">
      <c r="A79" s="7" t="s">
        <v>813</v>
      </c>
      <c r="B79" s="7" t="s">
        <v>4696</v>
      </c>
      <c r="C79" s="7" t="s">
        <v>4697</v>
      </c>
      <c r="D79" s="7" t="s">
        <v>4698</v>
      </c>
      <c r="E79" s="7" t="s">
        <v>814</v>
      </c>
    </row>
    <row r="80" spans="1:5">
      <c r="A80" s="7" t="s">
        <v>820</v>
      </c>
      <c r="B80" s="7" t="s">
        <v>2584</v>
      </c>
      <c r="C80" s="7" t="s">
        <v>4699</v>
      </c>
      <c r="D80" s="2" t="s">
        <v>4700</v>
      </c>
    </row>
    <row r="81" spans="1:5">
      <c r="A81" s="7" t="s">
        <v>829</v>
      </c>
      <c r="B81" s="7" t="s">
        <v>4701</v>
      </c>
      <c r="C81" s="7" t="s">
        <v>4702</v>
      </c>
      <c r="D81" s="7" t="s">
        <v>4703</v>
      </c>
      <c r="E81" s="7" t="s">
        <v>833</v>
      </c>
    </row>
    <row r="82" spans="1:5">
      <c r="A82" s="7" t="s">
        <v>839</v>
      </c>
      <c r="B82" s="7" t="s">
        <v>4704</v>
      </c>
      <c r="C82" s="7" t="s">
        <v>4705</v>
      </c>
      <c r="D82" s="7" t="s">
        <v>4706</v>
      </c>
      <c r="E82" s="7" t="s">
        <v>4550</v>
      </c>
    </row>
    <row r="83" spans="1:5">
      <c r="A83" s="7" t="s">
        <v>848</v>
      </c>
      <c r="B83" s="7" t="s">
        <v>4707</v>
      </c>
      <c r="C83" s="7" t="s">
        <v>4708</v>
      </c>
      <c r="D83" s="2" t="s">
        <v>4709</v>
      </c>
    </row>
    <row r="84" spans="1:5">
      <c r="A84" s="7" t="s">
        <v>852</v>
      </c>
      <c r="B84" s="7" t="s">
        <v>4710</v>
      </c>
      <c r="C84" s="7" t="s">
        <v>4711</v>
      </c>
      <c r="D84" s="7" t="s">
        <v>4712</v>
      </c>
      <c r="E84" s="7" t="s">
        <v>855</v>
      </c>
    </row>
    <row r="85" spans="1:5">
      <c r="A85" s="7" t="s">
        <v>861</v>
      </c>
      <c r="B85" s="7" t="s">
        <v>2646</v>
      </c>
      <c r="C85" s="7" t="s">
        <v>4713</v>
      </c>
      <c r="D85" s="7" t="s">
        <v>4714</v>
      </c>
      <c r="E85" s="7" t="s">
        <v>4715</v>
      </c>
    </row>
    <row r="86" spans="1:5">
      <c r="A86" s="7" t="s">
        <v>867</v>
      </c>
      <c r="B86" s="7" t="s">
        <v>2625</v>
      </c>
      <c r="C86" s="7" t="s">
        <v>4716</v>
      </c>
      <c r="D86" s="2" t="s">
        <v>4717</v>
      </c>
    </row>
    <row r="87" spans="1:5">
      <c r="A87" s="7" t="s">
        <v>873</v>
      </c>
      <c r="B87" s="7" t="s">
        <v>4718</v>
      </c>
      <c r="C87" s="7" t="s">
        <v>4719</v>
      </c>
      <c r="D87" s="7" t="s">
        <v>4720</v>
      </c>
      <c r="E87" s="7" t="s">
        <v>185</v>
      </c>
    </row>
    <row r="88" spans="1:5">
      <c r="A88" s="7" t="s">
        <v>879</v>
      </c>
      <c r="B88" s="7" t="s">
        <v>4721</v>
      </c>
      <c r="C88" s="7" t="s">
        <v>4722</v>
      </c>
      <c r="D88" s="7" t="s">
        <v>4723</v>
      </c>
      <c r="E88" s="7" t="s">
        <v>4724</v>
      </c>
    </row>
    <row r="89" spans="1:5">
      <c r="A89" s="7" t="s">
        <v>886</v>
      </c>
      <c r="B89" s="7" t="s">
        <v>4725</v>
      </c>
      <c r="C89" s="7" t="s">
        <v>4726</v>
      </c>
      <c r="D89" s="2" t="s">
        <v>4727</v>
      </c>
    </row>
    <row r="90" spans="1:5">
      <c r="A90" s="7" t="s">
        <v>889</v>
      </c>
      <c r="B90" s="7" t="s">
        <v>4728</v>
      </c>
      <c r="C90" s="7" t="s">
        <v>4729</v>
      </c>
      <c r="D90" s="2" t="s">
        <v>4730</v>
      </c>
    </row>
    <row r="91" spans="1:5">
      <c r="A91" s="7" t="s">
        <v>892</v>
      </c>
      <c r="B91" s="7" t="s">
        <v>4731</v>
      </c>
      <c r="C91" s="7" t="s">
        <v>4732</v>
      </c>
      <c r="D91" s="7" t="s">
        <v>4733</v>
      </c>
      <c r="E91" s="7" t="s">
        <v>4734</v>
      </c>
    </row>
    <row r="92" spans="1:5">
      <c r="A92" s="7" t="s">
        <v>900</v>
      </c>
      <c r="B92" s="7" t="s">
        <v>2648</v>
      </c>
      <c r="C92" s="7" t="s">
        <v>4735</v>
      </c>
      <c r="D92" s="2" t="s">
        <v>4736</v>
      </c>
    </row>
    <row r="93" spans="1:5">
      <c r="A93" s="7" t="s">
        <v>905</v>
      </c>
      <c r="B93" s="7" t="s">
        <v>4737</v>
      </c>
      <c r="C93" s="7" t="s">
        <v>4738</v>
      </c>
      <c r="D93" s="7" t="s">
        <v>4739</v>
      </c>
      <c r="E93" s="7" t="s">
        <v>908</v>
      </c>
    </row>
    <row r="94" spans="1:5">
      <c r="A94" s="7" t="s">
        <v>914</v>
      </c>
      <c r="B94" s="7" t="s">
        <v>4740</v>
      </c>
      <c r="C94" s="7" t="s">
        <v>4741</v>
      </c>
      <c r="D94" s="2" t="s">
        <v>4742</v>
      </c>
    </row>
    <row r="95" spans="1:5">
      <c r="A95" s="7" t="s">
        <v>919</v>
      </c>
      <c r="B95" s="7" t="s">
        <v>2586</v>
      </c>
      <c r="C95" s="7" t="s">
        <v>4743</v>
      </c>
      <c r="D95" s="2" t="s">
        <v>4744</v>
      </c>
    </row>
    <row r="96" spans="1:5">
      <c r="A96" s="7" t="s">
        <v>927</v>
      </c>
      <c r="B96" s="7" t="s">
        <v>4745</v>
      </c>
      <c r="C96" s="7" t="s">
        <v>4746</v>
      </c>
      <c r="D96" s="7" t="s">
        <v>4747</v>
      </c>
      <c r="E96" s="7" t="s">
        <v>928</v>
      </c>
    </row>
    <row r="97" spans="1:5">
      <c r="A97" s="7" t="s">
        <v>931</v>
      </c>
      <c r="B97" s="7" t="s">
        <v>4748</v>
      </c>
      <c r="C97" s="7" t="s">
        <v>4749</v>
      </c>
      <c r="D97" s="2" t="s">
        <v>4750</v>
      </c>
    </row>
    <row r="98" spans="1:5">
      <c r="A98" s="7" t="s">
        <v>936</v>
      </c>
      <c r="B98" s="7" t="s">
        <v>2587</v>
      </c>
      <c r="C98" s="7" t="s">
        <v>4751</v>
      </c>
      <c r="D98" s="2" t="s">
        <v>4752</v>
      </c>
    </row>
    <row r="99" spans="1:5">
      <c r="A99" s="7" t="s">
        <v>943</v>
      </c>
      <c r="B99" s="7" t="s">
        <v>4753</v>
      </c>
      <c r="C99" s="7" t="s">
        <v>4754</v>
      </c>
      <c r="D99" s="2" t="s">
        <v>4755</v>
      </c>
    </row>
    <row r="100" spans="1:5">
      <c r="A100" s="7" t="s">
        <v>945</v>
      </c>
      <c r="B100" s="7" t="s">
        <v>4756</v>
      </c>
      <c r="C100" s="7" t="s">
        <v>4757</v>
      </c>
      <c r="D100" s="7" t="s">
        <v>4758</v>
      </c>
      <c r="E100" s="7" t="s">
        <v>185</v>
      </c>
    </row>
    <row r="101" spans="1:5">
      <c r="A101" s="7" t="s">
        <v>952</v>
      </c>
      <c r="B101" s="7" t="s">
        <v>4759</v>
      </c>
      <c r="C101" s="7" t="s">
        <v>4760</v>
      </c>
      <c r="D101" s="2" t="s">
        <v>4761</v>
      </c>
    </row>
    <row r="102" spans="1:5">
      <c r="A102" s="7" t="s">
        <v>954</v>
      </c>
      <c r="B102" s="7" t="s">
        <v>4762</v>
      </c>
      <c r="C102" s="7" t="s">
        <v>4763</v>
      </c>
      <c r="D102" s="7" t="s">
        <v>4764</v>
      </c>
      <c r="E102" s="7" t="s">
        <v>4765</v>
      </c>
    </row>
    <row r="103" spans="1:5">
      <c r="A103" s="7" t="s">
        <v>962</v>
      </c>
      <c r="B103" s="7" t="s">
        <v>4766</v>
      </c>
      <c r="C103" s="7" t="s">
        <v>4767</v>
      </c>
      <c r="D103" s="2" t="s">
        <v>4768</v>
      </c>
    </row>
    <row r="104" spans="1:5">
      <c r="A104" s="7" t="s">
        <v>968</v>
      </c>
      <c r="B104" s="7" t="s">
        <v>2588</v>
      </c>
      <c r="C104" s="7" t="s">
        <v>4769</v>
      </c>
      <c r="D104" s="2" t="s">
        <v>4770</v>
      </c>
    </row>
    <row r="105" spans="1:5">
      <c r="A105" s="7" t="s">
        <v>978</v>
      </c>
      <c r="B105" s="7" t="s">
        <v>2649</v>
      </c>
      <c r="C105" s="7" t="s">
        <v>4771</v>
      </c>
      <c r="D105" s="7" t="s">
        <v>4772</v>
      </c>
      <c r="E105" s="7" t="s">
        <v>979</v>
      </c>
    </row>
    <row r="106" spans="1:5">
      <c r="A106" s="7" t="s">
        <v>982</v>
      </c>
      <c r="B106" s="7" t="s">
        <v>4773</v>
      </c>
      <c r="C106" s="7" t="s">
        <v>4774</v>
      </c>
      <c r="D106" s="7" t="s">
        <v>4775</v>
      </c>
      <c r="E106" s="7" t="s">
        <v>185</v>
      </c>
    </row>
    <row r="107" spans="1:5">
      <c r="A107" s="7" t="s">
        <v>4776</v>
      </c>
      <c r="B107" s="7" t="s">
        <v>4777</v>
      </c>
      <c r="C107" s="7" t="s">
        <v>4778</v>
      </c>
      <c r="D107" s="2" t="s">
        <v>4779</v>
      </c>
    </row>
    <row r="108" spans="1:5">
      <c r="A108" s="7" t="s">
        <v>992</v>
      </c>
      <c r="B108" s="7" t="s">
        <v>4780</v>
      </c>
      <c r="C108" s="7" t="s">
        <v>4781</v>
      </c>
      <c r="D108" s="2" t="s">
        <v>4782</v>
      </c>
    </row>
    <row r="109" spans="1:5">
      <c r="A109" s="7" t="s">
        <v>996</v>
      </c>
      <c r="B109" s="7" t="s">
        <v>4783</v>
      </c>
      <c r="C109" s="7" t="s">
        <v>4784</v>
      </c>
      <c r="D109" s="7" t="s">
        <v>4785</v>
      </c>
      <c r="E109" s="7" t="s">
        <v>999</v>
      </c>
    </row>
    <row r="110" spans="1:5">
      <c r="A110" s="7" t="s">
        <v>1004</v>
      </c>
      <c r="B110" s="7" t="s">
        <v>2590</v>
      </c>
      <c r="C110" s="7" t="s">
        <v>4786</v>
      </c>
      <c r="D110" s="2" t="s">
        <v>4787</v>
      </c>
    </row>
    <row r="111" spans="1:5">
      <c r="A111" s="7" t="s">
        <v>1012</v>
      </c>
      <c r="B111" s="7" t="s">
        <v>2651</v>
      </c>
      <c r="C111" s="7" t="s">
        <v>4788</v>
      </c>
      <c r="D111" s="7" t="s">
        <v>4789</v>
      </c>
      <c r="E111" s="7" t="s">
        <v>1013</v>
      </c>
    </row>
    <row r="112" spans="1:5">
      <c r="A112" s="7" t="s">
        <v>1016</v>
      </c>
      <c r="B112" s="7" t="s">
        <v>2591</v>
      </c>
      <c r="C112" s="7" t="s">
        <v>4790</v>
      </c>
      <c r="D112" s="7" t="s">
        <v>4791</v>
      </c>
      <c r="E112" s="7" t="s">
        <v>1018</v>
      </c>
    </row>
    <row r="113" spans="1:5">
      <c r="A113" s="7" t="s">
        <v>1023</v>
      </c>
      <c r="B113" s="7" t="s">
        <v>4792</v>
      </c>
      <c r="C113" s="7" t="s">
        <v>4793</v>
      </c>
      <c r="D113" s="2" t="s">
        <v>4794</v>
      </c>
    </row>
    <row r="114" spans="1:5">
      <c r="A114" s="7" t="s">
        <v>1026</v>
      </c>
      <c r="B114" s="7" t="s">
        <v>4795</v>
      </c>
      <c r="C114" s="7" t="s">
        <v>4796</v>
      </c>
      <c r="D114" s="7" t="s">
        <v>4797</v>
      </c>
      <c r="E114" s="7" t="s">
        <v>1030</v>
      </c>
    </row>
    <row r="115" spans="1:5">
      <c r="A115" s="7" t="s">
        <v>1035</v>
      </c>
      <c r="B115" s="7" t="s">
        <v>4798</v>
      </c>
      <c r="C115" s="7" t="s">
        <v>4799</v>
      </c>
      <c r="D115" s="2" t="s">
        <v>4800</v>
      </c>
    </row>
    <row r="116" spans="1:5">
      <c r="A116" s="7" t="s">
        <v>1042</v>
      </c>
      <c r="B116" s="7" t="s">
        <v>4801</v>
      </c>
      <c r="C116" s="7" t="s">
        <v>4802</v>
      </c>
      <c r="D116" s="2" t="s">
        <v>4803</v>
      </c>
    </row>
    <row r="117" spans="1:5">
      <c r="A117" s="7" t="s">
        <v>1044</v>
      </c>
      <c r="B117" s="7" t="s">
        <v>2592</v>
      </c>
      <c r="C117" s="7" t="s">
        <v>4804</v>
      </c>
      <c r="D117" s="2" t="s">
        <v>4805</v>
      </c>
    </row>
    <row r="118" spans="1:5">
      <c r="A118" s="7" t="s">
        <v>1054</v>
      </c>
      <c r="B118" s="7" t="s">
        <v>4806</v>
      </c>
      <c r="C118" s="7" t="s">
        <v>4807</v>
      </c>
      <c r="D118" s="7" t="s">
        <v>4808</v>
      </c>
      <c r="E118" s="7" t="s">
        <v>185</v>
      </c>
    </row>
    <row r="119" spans="1:5">
      <c r="A119" s="7" t="s">
        <v>1051</v>
      </c>
      <c r="B119" s="7" t="s">
        <v>2652</v>
      </c>
      <c r="C119" s="7" t="s">
        <v>4809</v>
      </c>
      <c r="D119" s="7" t="s">
        <v>4810</v>
      </c>
      <c r="E119" s="7" t="s">
        <v>1052</v>
      </c>
    </row>
    <row r="120" spans="1:5">
      <c r="A120" s="7" t="s">
        <v>1062</v>
      </c>
      <c r="B120" s="7" t="s">
        <v>2593</v>
      </c>
      <c r="C120" s="7" t="s">
        <v>4811</v>
      </c>
      <c r="D120" s="2" t="s">
        <v>4812</v>
      </c>
    </row>
    <row r="121" spans="1:5">
      <c r="A121" s="7" t="s">
        <v>1069</v>
      </c>
      <c r="B121" s="7" t="s">
        <v>2653</v>
      </c>
      <c r="C121" s="7" t="s">
        <v>4813</v>
      </c>
      <c r="D121" s="7" t="s">
        <v>4814</v>
      </c>
      <c r="E121" s="7" t="s">
        <v>1070</v>
      </c>
    </row>
    <row r="122" spans="1:5">
      <c r="A122" s="7" t="s">
        <v>1072</v>
      </c>
      <c r="B122" s="7" t="s">
        <v>2594</v>
      </c>
      <c r="C122" s="7" t="s">
        <v>4815</v>
      </c>
      <c r="D122" s="2" t="s">
        <v>4816</v>
      </c>
    </row>
    <row r="123" spans="1:5">
      <c r="A123" s="7" t="s">
        <v>1077</v>
      </c>
      <c r="B123" s="7" t="s">
        <v>4817</v>
      </c>
      <c r="C123" s="7" t="s">
        <v>4818</v>
      </c>
      <c r="D123" s="2" t="s">
        <v>4819</v>
      </c>
    </row>
    <row r="124" spans="1:5">
      <c r="A124" s="7" t="s">
        <v>1082</v>
      </c>
      <c r="B124" s="7" t="s">
        <v>2595</v>
      </c>
      <c r="C124" s="7" t="s">
        <v>4820</v>
      </c>
      <c r="D124" s="2" t="s">
        <v>4821</v>
      </c>
    </row>
    <row r="125" spans="1:5">
      <c r="A125" s="7" t="s">
        <v>1089</v>
      </c>
      <c r="B125" s="7" t="s">
        <v>2655</v>
      </c>
      <c r="C125" s="7" t="s">
        <v>4822</v>
      </c>
      <c r="D125" s="7" t="s">
        <v>4823</v>
      </c>
      <c r="E125" s="7" t="s">
        <v>1090</v>
      </c>
    </row>
    <row r="126" spans="1:5">
      <c r="A126" s="7" t="s">
        <v>1093</v>
      </c>
      <c r="B126" s="7" t="s">
        <v>4824</v>
      </c>
      <c r="C126" s="7" t="s">
        <v>4825</v>
      </c>
      <c r="D126" s="7" t="s">
        <v>4826</v>
      </c>
      <c r="E126" s="7" t="s">
        <v>185</v>
      </c>
    </row>
    <row r="127" spans="1:5">
      <c r="A127" s="7" t="s">
        <v>1093</v>
      </c>
      <c r="B127" s="7" t="s">
        <v>4824</v>
      </c>
      <c r="C127" s="7" t="s">
        <v>4827</v>
      </c>
      <c r="D127" s="7" t="s">
        <v>4828</v>
      </c>
      <c r="E127" s="7" t="s">
        <v>185</v>
      </c>
    </row>
    <row r="128" spans="1:5">
      <c r="A128" s="7" t="s">
        <v>1104</v>
      </c>
      <c r="B128" s="7" t="s">
        <v>2626</v>
      </c>
      <c r="C128" s="7" t="s">
        <v>4829</v>
      </c>
      <c r="D128" s="2" t="s">
        <v>4830</v>
      </c>
    </row>
    <row r="129" spans="1:5">
      <c r="A129" s="7" t="s">
        <v>1111</v>
      </c>
      <c r="B129" s="7" t="s">
        <v>4831</v>
      </c>
      <c r="C129" s="7" t="s">
        <v>4832</v>
      </c>
      <c r="D129" s="7" t="s">
        <v>4833</v>
      </c>
      <c r="E129" s="7" t="s">
        <v>185</v>
      </c>
    </row>
    <row r="130" spans="1:5">
      <c r="A130" s="7" t="s">
        <v>1117</v>
      </c>
      <c r="B130" s="7" t="s">
        <v>4834</v>
      </c>
      <c r="C130" s="7" t="s">
        <v>4835</v>
      </c>
      <c r="D130" s="7" t="s">
        <v>4836</v>
      </c>
      <c r="E130" s="7" t="s">
        <v>185</v>
      </c>
    </row>
    <row r="131" spans="1:5">
      <c r="A131" s="7" t="s">
        <v>1122</v>
      </c>
      <c r="B131" s="7" t="s">
        <v>4837</v>
      </c>
      <c r="C131" s="7" t="s">
        <v>4838</v>
      </c>
      <c r="D131" s="7" t="s">
        <v>4839</v>
      </c>
      <c r="E131" s="7" t="s">
        <v>4840</v>
      </c>
    </row>
    <row r="132" spans="1:5">
      <c r="A132" s="7" t="s">
        <v>4841</v>
      </c>
      <c r="B132" s="7" t="s">
        <v>4842</v>
      </c>
      <c r="C132" s="7" t="s">
        <v>4843</v>
      </c>
      <c r="D132" s="7" t="s">
        <v>4844</v>
      </c>
      <c r="E132" s="7" t="s">
        <v>4840</v>
      </c>
    </row>
    <row r="133" spans="1:5">
      <c r="A133" s="7" t="s">
        <v>1128</v>
      </c>
      <c r="B133" s="7" t="s">
        <v>4845</v>
      </c>
      <c r="C133" s="7" t="s">
        <v>4846</v>
      </c>
      <c r="D133" s="2" t="s">
        <v>4847</v>
      </c>
    </row>
    <row r="134" spans="1:5">
      <c r="A134" s="7" t="s">
        <v>1131</v>
      </c>
      <c r="B134" s="7" t="s">
        <v>4848</v>
      </c>
      <c r="C134" s="7" t="s">
        <v>4849</v>
      </c>
      <c r="D134" s="7" t="s">
        <v>4850</v>
      </c>
      <c r="E134" s="7" t="s">
        <v>279</v>
      </c>
    </row>
    <row r="135" spans="1:5">
      <c r="A135" s="7" t="s">
        <v>1137</v>
      </c>
      <c r="B135" s="7" t="s">
        <v>4851</v>
      </c>
      <c r="C135" s="7" t="s">
        <v>4852</v>
      </c>
      <c r="D135" s="2" t="s">
        <v>4853</v>
      </c>
    </row>
    <row r="136" spans="1:5">
      <c r="A136" s="7" t="s">
        <v>1139</v>
      </c>
      <c r="B136" s="7" t="s">
        <v>4854</v>
      </c>
      <c r="C136" s="7" t="s">
        <v>4855</v>
      </c>
      <c r="D136" s="7" t="s">
        <v>4856</v>
      </c>
      <c r="E136" s="7" t="s">
        <v>185</v>
      </c>
    </row>
    <row r="137" spans="1:5">
      <c r="A137" s="7" t="s">
        <v>1148</v>
      </c>
      <c r="B137" s="7" t="s">
        <v>4857</v>
      </c>
      <c r="C137" s="7" t="s">
        <v>4858</v>
      </c>
      <c r="D137" s="7" t="s">
        <v>4859</v>
      </c>
      <c r="E137" s="7" t="s">
        <v>185</v>
      </c>
    </row>
    <row r="138" spans="1:5">
      <c r="A138" s="7" t="s">
        <v>1154</v>
      </c>
      <c r="B138" s="7" t="s">
        <v>4860</v>
      </c>
      <c r="C138" s="7" t="s">
        <v>4861</v>
      </c>
      <c r="D138" s="2" t="s">
        <v>4862</v>
      </c>
    </row>
    <row r="139" spans="1:5">
      <c r="A139" s="7" t="s">
        <v>1156</v>
      </c>
      <c r="B139" s="7" t="s">
        <v>4863</v>
      </c>
      <c r="C139" s="7" t="s">
        <v>4864</v>
      </c>
      <c r="D139" s="2" t="s">
        <v>4865</v>
      </c>
    </row>
    <row r="140" spans="1:5">
      <c r="A140" s="7" t="s">
        <v>1158</v>
      </c>
      <c r="B140" s="7" t="s">
        <v>2617</v>
      </c>
      <c r="C140" s="7" t="s">
        <v>4866</v>
      </c>
      <c r="D140" s="2" t="s">
        <v>4867</v>
      </c>
    </row>
    <row r="141" spans="1:5">
      <c r="A141" s="7" t="s">
        <v>1168</v>
      </c>
      <c r="B141" s="7" t="s">
        <v>2644</v>
      </c>
      <c r="C141" s="7" t="s">
        <v>4868</v>
      </c>
      <c r="D141" s="7" t="s">
        <v>4869</v>
      </c>
      <c r="E141" s="7" t="s">
        <v>1169</v>
      </c>
    </row>
    <row r="142" spans="1:5">
      <c r="A142" s="7" t="s">
        <v>1173</v>
      </c>
      <c r="B142" s="7" t="s">
        <v>4870</v>
      </c>
      <c r="C142" s="7" t="s">
        <v>4871</v>
      </c>
      <c r="D142" s="2" t="s">
        <v>4872</v>
      </c>
    </row>
    <row r="143" spans="1:5">
      <c r="A143" s="7" t="s">
        <v>4873</v>
      </c>
      <c r="B143" s="7" t="s">
        <v>4874</v>
      </c>
      <c r="C143" s="7" t="s">
        <v>4875</v>
      </c>
      <c r="D143" s="2" t="s">
        <v>4876</v>
      </c>
    </row>
    <row r="144" spans="1:5">
      <c r="A144" s="7" t="s">
        <v>4877</v>
      </c>
      <c r="B144" s="7" t="s">
        <v>4878</v>
      </c>
      <c r="C144" s="7" t="s">
        <v>4879</v>
      </c>
      <c r="D144" s="2" t="s">
        <v>4880</v>
      </c>
    </row>
    <row r="145" spans="1:5">
      <c r="A145" s="7" t="s">
        <v>1178</v>
      </c>
      <c r="B145" s="7" t="s">
        <v>2620</v>
      </c>
      <c r="C145" s="7" t="s">
        <v>4881</v>
      </c>
      <c r="D145" s="2" t="s">
        <v>4882</v>
      </c>
    </row>
    <row r="146" spans="1:5">
      <c r="A146" s="7" t="s">
        <v>1185</v>
      </c>
      <c r="B146" s="7" t="s">
        <v>4883</v>
      </c>
      <c r="C146" s="7" t="s">
        <v>4884</v>
      </c>
      <c r="D146" s="7" t="s">
        <v>4885</v>
      </c>
      <c r="E146" s="7" t="s">
        <v>1186</v>
      </c>
    </row>
    <row r="147" spans="1:5">
      <c r="A147" s="7" t="s">
        <v>1190</v>
      </c>
      <c r="B147" s="7" t="s">
        <v>2622</v>
      </c>
      <c r="C147" s="7" t="s">
        <v>4886</v>
      </c>
      <c r="D147" s="2" t="s">
        <v>4887</v>
      </c>
    </row>
    <row r="148" spans="1:5">
      <c r="A148" s="7" t="s">
        <v>1193</v>
      </c>
      <c r="B148" s="7" t="s">
        <v>2645</v>
      </c>
      <c r="C148" s="7" t="s">
        <v>4888</v>
      </c>
      <c r="D148" s="7" t="s">
        <v>4889</v>
      </c>
      <c r="E148" s="7" t="s">
        <v>1195</v>
      </c>
    </row>
    <row r="149" spans="1:5">
      <c r="A149" s="7" t="s">
        <v>1193</v>
      </c>
      <c r="B149" s="7" t="s">
        <v>4890</v>
      </c>
      <c r="C149" s="7" t="s">
        <v>4891</v>
      </c>
      <c r="D149" s="2" t="s">
        <v>4892</v>
      </c>
    </row>
    <row r="150" spans="1:5">
      <c r="A150" s="7" t="s">
        <v>1197</v>
      </c>
      <c r="B150" s="7" t="s">
        <v>4893</v>
      </c>
      <c r="C150" s="7" t="s">
        <v>4894</v>
      </c>
      <c r="D150" s="7" t="s">
        <v>4895</v>
      </c>
      <c r="E150" s="7" t="s">
        <v>1198</v>
      </c>
    </row>
    <row r="151" spans="1:5">
      <c r="A151" s="7" t="s">
        <v>1201</v>
      </c>
      <c r="B151" s="7" t="s">
        <v>2623</v>
      </c>
      <c r="C151" s="7" t="s">
        <v>4896</v>
      </c>
      <c r="D151" s="2" t="s">
        <v>4897</v>
      </c>
    </row>
    <row r="152" spans="1:5">
      <c r="A152" s="7" t="s">
        <v>4898</v>
      </c>
      <c r="B152" s="7" t="s">
        <v>4899</v>
      </c>
      <c r="C152" s="7" t="s">
        <v>4900</v>
      </c>
      <c r="D152" s="2" t="s">
        <v>4901</v>
      </c>
    </row>
    <row r="153" spans="1:5">
      <c r="A153" s="7" t="s">
        <v>1205</v>
      </c>
      <c r="B153" s="7" t="s">
        <v>4902</v>
      </c>
      <c r="C153" s="7" t="s">
        <v>4903</v>
      </c>
      <c r="D153" s="2" t="s">
        <v>4904</v>
      </c>
    </row>
    <row r="154" spans="1:5">
      <c r="A154" s="7" t="s">
        <v>1210</v>
      </c>
      <c r="B154" s="7" t="s">
        <v>4905</v>
      </c>
      <c r="C154" s="7" t="s">
        <v>4906</v>
      </c>
      <c r="D154" s="7" t="s">
        <v>4907</v>
      </c>
      <c r="E154" s="7" t="s">
        <v>185</v>
      </c>
    </row>
    <row r="155" spans="1:5">
      <c r="A155" s="7" t="s">
        <v>1217</v>
      </c>
      <c r="B155" s="7" t="s">
        <v>4908</v>
      </c>
      <c r="C155" s="7" t="s">
        <v>4909</v>
      </c>
      <c r="D155" s="7" t="s">
        <v>4910</v>
      </c>
      <c r="E155" s="7" t="s">
        <v>185</v>
      </c>
    </row>
    <row r="156" spans="1:5">
      <c r="A156" s="7" t="s">
        <v>1224</v>
      </c>
      <c r="B156" s="7" t="s">
        <v>4911</v>
      </c>
      <c r="C156" s="7" t="s">
        <v>4912</v>
      </c>
      <c r="D156" s="2" t="s">
        <v>4913</v>
      </c>
    </row>
    <row r="157" spans="1:5">
      <c r="A157" s="7" t="s">
        <v>1233</v>
      </c>
      <c r="B157" s="7" t="s">
        <v>4914</v>
      </c>
      <c r="C157" s="7" t="s">
        <v>4915</v>
      </c>
      <c r="D157" s="7" t="s">
        <v>4916</v>
      </c>
      <c r="E157" s="7" t="s">
        <v>1236</v>
      </c>
    </row>
    <row r="158" spans="1:5">
      <c r="A158" s="7" t="s">
        <v>1240</v>
      </c>
      <c r="B158" s="7" t="s">
        <v>4917</v>
      </c>
      <c r="C158" s="7" t="s">
        <v>4918</v>
      </c>
      <c r="D158" s="7" t="s">
        <v>4919</v>
      </c>
      <c r="E158" s="7" t="s">
        <v>185</v>
      </c>
    </row>
    <row r="159" spans="1:5">
      <c r="A159" s="7" t="s">
        <v>1245</v>
      </c>
      <c r="B159" s="7" t="s">
        <v>4920</v>
      </c>
      <c r="C159" s="7" t="s">
        <v>4921</v>
      </c>
      <c r="D159" s="7" t="s">
        <v>4922</v>
      </c>
      <c r="E159" s="7" t="s">
        <v>1247</v>
      </c>
    </row>
    <row r="160" spans="1:5">
      <c r="A160" s="7" t="s">
        <v>1250</v>
      </c>
      <c r="B160" s="7" t="s">
        <v>4923</v>
      </c>
      <c r="C160" s="7" t="s">
        <v>4924</v>
      </c>
      <c r="D160" s="2" t="s">
        <v>4925</v>
      </c>
    </row>
    <row r="161" spans="1:5">
      <c r="A161" s="7" t="s">
        <v>1252</v>
      </c>
      <c r="B161" s="7" t="s">
        <v>4926</v>
      </c>
      <c r="C161" s="7" t="s">
        <v>4927</v>
      </c>
      <c r="D161" s="7" t="s">
        <v>4928</v>
      </c>
      <c r="E161" s="7" t="s">
        <v>1255</v>
      </c>
    </row>
    <row r="162" spans="1:5">
      <c r="A162" s="7" t="s">
        <v>1261</v>
      </c>
      <c r="B162" s="7" t="s">
        <v>4929</v>
      </c>
      <c r="C162" s="7" t="s">
        <v>4930</v>
      </c>
      <c r="D162" s="2" t="s">
        <v>4931</v>
      </c>
    </row>
    <row r="163" spans="1:5">
      <c r="A163" s="7" t="s">
        <v>1270</v>
      </c>
      <c r="B163" s="7" t="s">
        <v>4932</v>
      </c>
      <c r="C163" s="7" t="s">
        <v>4933</v>
      </c>
      <c r="D163" s="7" t="s">
        <v>4934</v>
      </c>
      <c r="E163" s="7" t="s">
        <v>1271</v>
      </c>
    </row>
    <row r="164" spans="1:5">
      <c r="A164" s="7" t="s">
        <v>1276</v>
      </c>
      <c r="B164" s="7" t="s">
        <v>4935</v>
      </c>
      <c r="C164" s="7" t="s">
        <v>4936</v>
      </c>
      <c r="D164" s="2" t="s">
        <v>4937</v>
      </c>
    </row>
    <row r="165" spans="1:5">
      <c r="A165" s="7" t="s">
        <v>1285</v>
      </c>
      <c r="B165" s="7" t="s">
        <v>4938</v>
      </c>
      <c r="C165" s="7" t="s">
        <v>4939</v>
      </c>
      <c r="D165" s="2" t="s">
        <v>4940</v>
      </c>
    </row>
    <row r="166" spans="1:5">
      <c r="A166" s="7" t="s">
        <v>1293</v>
      </c>
      <c r="B166" s="7" t="s">
        <v>4941</v>
      </c>
      <c r="C166" s="7" t="s">
        <v>4942</v>
      </c>
      <c r="D166" s="7" t="s">
        <v>4943</v>
      </c>
      <c r="E166" s="7" t="s">
        <v>279</v>
      </c>
    </row>
    <row r="167" spans="1:5">
      <c r="A167" s="7" t="s">
        <v>1297</v>
      </c>
      <c r="B167" s="7" t="s">
        <v>4944</v>
      </c>
      <c r="C167" s="7" t="s">
        <v>4945</v>
      </c>
      <c r="D167" s="2" t="s">
        <v>4946</v>
      </c>
    </row>
    <row r="168" spans="1:5">
      <c r="A168" s="7" t="s">
        <v>1299</v>
      </c>
      <c r="B168" s="7" t="s">
        <v>4947</v>
      </c>
      <c r="C168" s="7" t="s">
        <v>4948</v>
      </c>
      <c r="D168" s="2" t="s">
        <v>4949</v>
      </c>
    </row>
    <row r="169" spans="1:5">
      <c r="A169" s="7" t="s">
        <v>1306</v>
      </c>
      <c r="B169" s="7" t="s">
        <v>4950</v>
      </c>
      <c r="C169" s="7" t="s">
        <v>4951</v>
      </c>
      <c r="D169" s="7" t="s">
        <v>4952</v>
      </c>
      <c r="E169" s="7" t="s">
        <v>1307</v>
      </c>
    </row>
    <row r="170" spans="1:5">
      <c r="A170" s="7" t="s">
        <v>1310</v>
      </c>
      <c r="B170" s="7" t="s">
        <v>4953</v>
      </c>
      <c r="C170" s="7" t="s">
        <v>4954</v>
      </c>
      <c r="D170" s="2" t="s">
        <v>4955</v>
      </c>
    </row>
    <row r="171" spans="1:5">
      <c r="A171" s="7" t="s">
        <v>1317</v>
      </c>
      <c r="B171" s="7" t="s">
        <v>4956</v>
      </c>
      <c r="C171" s="7" t="s">
        <v>4957</v>
      </c>
      <c r="D171" s="7" t="s">
        <v>4958</v>
      </c>
      <c r="E171" s="7" t="s">
        <v>279</v>
      </c>
    </row>
    <row r="172" spans="1:5">
      <c r="A172" s="7" t="s">
        <v>1322</v>
      </c>
      <c r="B172" s="7" t="s">
        <v>4959</v>
      </c>
      <c r="C172" s="7" t="s">
        <v>4960</v>
      </c>
      <c r="D172" s="2" t="s">
        <v>4961</v>
      </c>
    </row>
    <row r="173" spans="1:5">
      <c r="A173" s="7" t="s">
        <v>1336</v>
      </c>
      <c r="B173" s="7" t="s">
        <v>4962</v>
      </c>
      <c r="C173" s="7" t="s">
        <v>4963</v>
      </c>
      <c r="D173" s="7" t="s">
        <v>4964</v>
      </c>
      <c r="E173" s="7" t="s">
        <v>1339</v>
      </c>
    </row>
    <row r="174" spans="1:5">
      <c r="A174" s="7" t="s">
        <v>1344</v>
      </c>
      <c r="B174" s="7" t="s">
        <v>4965</v>
      </c>
      <c r="C174" s="7" t="s">
        <v>4966</v>
      </c>
      <c r="D174" s="2" t="s">
        <v>4967</v>
      </c>
    </row>
    <row r="175" spans="1:5">
      <c r="A175" s="7" t="s">
        <v>1331</v>
      </c>
      <c r="B175" s="7" t="s">
        <v>4968</v>
      </c>
      <c r="C175" s="7" t="s">
        <v>4969</v>
      </c>
      <c r="D175" s="7" t="s">
        <v>4970</v>
      </c>
      <c r="E175" s="7" t="s">
        <v>4971</v>
      </c>
    </row>
    <row r="176" spans="1:5">
      <c r="A176" s="7" t="s">
        <v>1351</v>
      </c>
      <c r="B176" s="7" t="s">
        <v>4972</v>
      </c>
      <c r="C176" s="7" t="s">
        <v>4973</v>
      </c>
      <c r="D176" s="2" t="s">
        <v>4974</v>
      </c>
    </row>
    <row r="177" spans="1:5">
      <c r="A177" s="7" t="s">
        <v>1354</v>
      </c>
      <c r="B177" s="7" t="s">
        <v>4975</v>
      </c>
      <c r="C177" s="7" t="s">
        <v>4976</v>
      </c>
      <c r="D177" s="2" t="s">
        <v>4977</v>
      </c>
    </row>
    <row r="178" spans="1:5">
      <c r="A178" s="7" t="s">
        <v>1361</v>
      </c>
      <c r="B178" s="7" t="s">
        <v>4978</v>
      </c>
      <c r="C178" s="7" t="s">
        <v>4979</v>
      </c>
      <c r="D178" s="7" t="s">
        <v>4980</v>
      </c>
      <c r="E178" s="7" t="s">
        <v>279</v>
      </c>
    </row>
    <row r="179" spans="1:5">
      <c r="A179" s="7" t="s">
        <v>1367</v>
      </c>
      <c r="B179" s="7" t="s">
        <v>4981</v>
      </c>
      <c r="C179" s="7" t="s">
        <v>4982</v>
      </c>
      <c r="D179" s="7" t="s">
        <v>4983</v>
      </c>
      <c r="E179" s="7" t="s">
        <v>1368</v>
      </c>
    </row>
    <row r="180" spans="1:5">
      <c r="A180" s="7" t="s">
        <v>1371</v>
      </c>
      <c r="B180" s="7" t="s">
        <v>4984</v>
      </c>
      <c r="C180" s="7" t="s">
        <v>4985</v>
      </c>
      <c r="D180" s="2" t="s">
        <v>4986</v>
      </c>
    </row>
    <row r="181" spans="1:5">
      <c r="A181" s="7" t="s">
        <v>1374</v>
      </c>
      <c r="B181" s="7" t="s">
        <v>4987</v>
      </c>
      <c r="C181" s="7" t="s">
        <v>4988</v>
      </c>
      <c r="D181" s="7" t="s">
        <v>4989</v>
      </c>
      <c r="E181" s="7" t="s">
        <v>1376</v>
      </c>
    </row>
    <row r="182" spans="1:5">
      <c r="A182" s="7" t="s">
        <v>1383</v>
      </c>
      <c r="B182" s="7" t="s">
        <v>4990</v>
      </c>
      <c r="C182" s="7" t="s">
        <v>4991</v>
      </c>
      <c r="D182" s="7" t="s">
        <v>4992</v>
      </c>
      <c r="E182" s="7" t="s">
        <v>279</v>
      </c>
    </row>
    <row r="183" spans="1:5">
      <c r="A183" s="7" t="s">
        <v>1389</v>
      </c>
      <c r="B183" s="7" t="s">
        <v>4993</v>
      </c>
      <c r="C183" s="7" t="s">
        <v>4994</v>
      </c>
      <c r="D183" s="2" t="s">
        <v>4995</v>
      </c>
    </row>
    <row r="184" spans="1:5">
      <c r="A184" s="7" t="s">
        <v>1392</v>
      </c>
      <c r="B184" s="7" t="s">
        <v>4996</v>
      </c>
      <c r="C184" s="7" t="s">
        <v>4997</v>
      </c>
      <c r="D184" s="7" t="s">
        <v>4998</v>
      </c>
      <c r="E184" s="7" t="s">
        <v>1393</v>
      </c>
    </row>
    <row r="185" spans="1:5">
      <c r="A185" s="7" t="s">
        <v>1396</v>
      </c>
      <c r="B185" s="7" t="s">
        <v>4999</v>
      </c>
      <c r="C185" s="7" t="s">
        <v>5000</v>
      </c>
      <c r="D185" s="2" t="s">
        <v>5001</v>
      </c>
    </row>
    <row r="186" spans="1:5">
      <c r="A186" s="7" t="s">
        <v>1404</v>
      </c>
      <c r="B186" s="7" t="s">
        <v>5002</v>
      </c>
      <c r="C186" s="7" t="s">
        <v>5003</v>
      </c>
      <c r="D186" s="2" t="s">
        <v>5004</v>
      </c>
    </row>
    <row r="187" spans="1:5">
      <c r="A187" s="7" t="s">
        <v>1409</v>
      </c>
      <c r="B187" s="7" t="s">
        <v>5005</v>
      </c>
      <c r="C187" s="7" t="s">
        <v>5006</v>
      </c>
      <c r="D187" s="2" t="s">
        <v>5007</v>
      </c>
    </row>
    <row r="188" spans="1:5">
      <c r="A188" s="7" t="s">
        <v>1418</v>
      </c>
      <c r="B188" s="7" t="s">
        <v>5008</v>
      </c>
      <c r="C188" s="7" t="s">
        <v>5009</v>
      </c>
      <c r="D188" s="7" t="s">
        <v>5010</v>
      </c>
      <c r="E188" s="7" t="s">
        <v>1420</v>
      </c>
    </row>
    <row r="189" spans="1:5">
      <c r="A189" s="7" t="s">
        <v>1424</v>
      </c>
      <c r="B189" s="7" t="s">
        <v>5011</v>
      </c>
      <c r="C189" s="7" t="s">
        <v>5012</v>
      </c>
      <c r="D189" s="7" t="s">
        <v>5013</v>
      </c>
      <c r="E189" s="7" t="s">
        <v>237</v>
      </c>
    </row>
    <row r="190" spans="1:5">
      <c r="A190" s="7" t="s">
        <v>1430</v>
      </c>
      <c r="B190" s="7" t="s">
        <v>5014</v>
      </c>
      <c r="C190" s="7" t="s">
        <v>5015</v>
      </c>
      <c r="D190" s="2" t="s">
        <v>5016</v>
      </c>
    </row>
    <row r="191" spans="1:5">
      <c r="A191" s="7" t="s">
        <v>1433</v>
      </c>
      <c r="B191" s="7" t="s">
        <v>5017</v>
      </c>
      <c r="C191" s="7" t="s">
        <v>5018</v>
      </c>
      <c r="D191" s="2" t="s">
        <v>5019</v>
      </c>
    </row>
    <row r="192" spans="1:5">
      <c r="A192" s="7" t="s">
        <v>1435</v>
      </c>
      <c r="B192" s="7" t="s">
        <v>5020</v>
      </c>
      <c r="C192" s="7" t="s">
        <v>5021</v>
      </c>
      <c r="D192" s="7" t="s">
        <v>5022</v>
      </c>
      <c r="E192" s="7" t="s">
        <v>1438</v>
      </c>
    </row>
    <row r="193" spans="1:5">
      <c r="A193" s="7" t="s">
        <v>1443</v>
      </c>
      <c r="B193" s="7" t="s">
        <v>5023</v>
      </c>
      <c r="C193" s="7" t="s">
        <v>5024</v>
      </c>
      <c r="D193" s="2" t="s">
        <v>5025</v>
      </c>
    </row>
    <row r="194" spans="1:5">
      <c r="A194" s="7" t="s">
        <v>1455</v>
      </c>
      <c r="B194" s="7" t="s">
        <v>5026</v>
      </c>
      <c r="C194" s="7" t="s">
        <v>5027</v>
      </c>
      <c r="D194" s="2" t="s">
        <v>5028</v>
      </c>
    </row>
    <row r="195" spans="1:5">
      <c r="A195" s="7" t="s">
        <v>1449</v>
      </c>
      <c r="B195" s="7" t="s">
        <v>5029</v>
      </c>
      <c r="C195" s="7" t="s">
        <v>5030</v>
      </c>
      <c r="D195" s="7" t="s">
        <v>5031</v>
      </c>
      <c r="E195" s="7" t="s">
        <v>237</v>
      </c>
    </row>
    <row r="196" spans="1:5">
      <c r="A196" s="7" t="s">
        <v>1457</v>
      </c>
      <c r="B196" s="7" t="s">
        <v>5032</v>
      </c>
      <c r="C196" s="7" t="s">
        <v>5033</v>
      </c>
      <c r="D196" s="7" t="s">
        <v>5034</v>
      </c>
      <c r="E196" s="7" t="s">
        <v>1459</v>
      </c>
    </row>
    <row r="197" spans="1:5">
      <c r="A197" s="7" t="s">
        <v>1443</v>
      </c>
      <c r="B197" s="7" t="s">
        <v>5035</v>
      </c>
      <c r="C197" s="7" t="s">
        <v>5036</v>
      </c>
      <c r="D197" s="2" t="s">
        <v>5037</v>
      </c>
    </row>
    <row r="198" spans="1:5">
      <c r="A198" s="7" t="s">
        <v>1461</v>
      </c>
      <c r="B198" s="7" t="s">
        <v>5038</v>
      </c>
      <c r="C198" s="7" t="s">
        <v>5039</v>
      </c>
      <c r="D198" s="7" t="s">
        <v>5040</v>
      </c>
      <c r="E198" s="7" t="s">
        <v>1463</v>
      </c>
    </row>
    <row r="199" spans="1:5">
      <c r="A199" s="7" t="s">
        <v>1469</v>
      </c>
      <c r="B199" s="7" t="s">
        <v>5041</v>
      </c>
      <c r="C199" s="7" t="s">
        <v>5042</v>
      </c>
      <c r="D199" s="7" t="s">
        <v>5043</v>
      </c>
      <c r="E199" s="7" t="s">
        <v>279</v>
      </c>
    </row>
    <row r="200" spans="1:5">
      <c r="A200" s="7" t="s">
        <v>1476</v>
      </c>
      <c r="B200" s="7" t="s">
        <v>5044</v>
      </c>
      <c r="C200" s="7" t="s">
        <v>5045</v>
      </c>
      <c r="D200" s="2" t="s">
        <v>5046</v>
      </c>
    </row>
    <row r="201" spans="1:5">
      <c r="A201" s="7" t="s">
        <v>1479</v>
      </c>
      <c r="B201" s="7" t="s">
        <v>5047</v>
      </c>
      <c r="C201" s="7" t="s">
        <v>5048</v>
      </c>
      <c r="D201" s="7" t="s">
        <v>5049</v>
      </c>
      <c r="E201" s="7" t="s">
        <v>279</v>
      </c>
    </row>
    <row r="202" spans="1:5">
      <c r="A202" s="7" t="s">
        <v>1485</v>
      </c>
      <c r="B202" s="7" t="s">
        <v>5050</v>
      </c>
      <c r="C202" s="7" t="s">
        <v>5051</v>
      </c>
      <c r="D202" s="2" t="s">
        <v>5052</v>
      </c>
    </row>
    <row r="203" spans="1:5">
      <c r="A203" s="7" t="s">
        <v>1488</v>
      </c>
      <c r="B203" s="7" t="s">
        <v>5053</v>
      </c>
      <c r="C203" s="7" t="s">
        <v>5054</v>
      </c>
      <c r="D203" s="7" t="s">
        <v>5055</v>
      </c>
      <c r="E203" s="7" t="s">
        <v>185</v>
      </c>
    </row>
    <row r="204" spans="1:5">
      <c r="A204" s="7" t="s">
        <v>1493</v>
      </c>
      <c r="B204" s="7" t="s">
        <v>5056</v>
      </c>
      <c r="C204" s="7" t="s">
        <v>5057</v>
      </c>
      <c r="D204" s="7" t="s">
        <v>5058</v>
      </c>
      <c r="E204" s="7" t="s">
        <v>185</v>
      </c>
    </row>
    <row r="205" spans="1:5">
      <c r="A205" s="7" t="s">
        <v>1499</v>
      </c>
      <c r="B205" s="7" t="s">
        <v>5059</v>
      </c>
      <c r="C205" s="7" t="s">
        <v>5060</v>
      </c>
      <c r="D205" s="7" t="s">
        <v>5061</v>
      </c>
      <c r="E205" s="7" t="s">
        <v>279</v>
      </c>
    </row>
    <row r="206" spans="1:5">
      <c r="A206" s="7" t="s">
        <v>1505</v>
      </c>
      <c r="B206" s="7" t="s">
        <v>5062</v>
      </c>
      <c r="C206" s="7" t="s">
        <v>5063</v>
      </c>
      <c r="D206" s="2" t="s">
        <v>5064</v>
      </c>
    </row>
    <row r="207" spans="1:5">
      <c r="A207" s="7" t="s">
        <v>1510</v>
      </c>
      <c r="B207" s="7" t="s">
        <v>5065</v>
      </c>
      <c r="C207" s="7" t="s">
        <v>5066</v>
      </c>
      <c r="D207" s="7" t="s">
        <v>5067</v>
      </c>
      <c r="E207" s="7" t="s">
        <v>1511</v>
      </c>
    </row>
    <row r="208" spans="1:5">
      <c r="A208" s="7" t="s">
        <v>1514</v>
      </c>
      <c r="B208" s="7" t="s">
        <v>5068</v>
      </c>
      <c r="C208" s="7" t="s">
        <v>5069</v>
      </c>
      <c r="D208" s="2" t="s">
        <v>5070</v>
      </c>
    </row>
    <row r="209" spans="1:5">
      <c r="A209" s="7" t="s">
        <v>1520</v>
      </c>
      <c r="B209" s="7" t="s">
        <v>5071</v>
      </c>
      <c r="C209" s="7" t="s">
        <v>5072</v>
      </c>
      <c r="D209" s="2" t="s">
        <v>5073</v>
      </c>
    </row>
    <row r="210" spans="1:5">
      <c r="A210" s="7" t="s">
        <v>1520</v>
      </c>
      <c r="B210" s="7" t="s">
        <v>5071</v>
      </c>
      <c r="C210" s="7" t="s">
        <v>5074</v>
      </c>
      <c r="D210" s="2" t="s">
        <v>5075</v>
      </c>
    </row>
    <row r="211" spans="1:5">
      <c r="A211" s="7" t="s">
        <v>1526</v>
      </c>
      <c r="B211" s="7" t="s">
        <v>5076</v>
      </c>
      <c r="C211" s="7" t="s">
        <v>5077</v>
      </c>
      <c r="D211" s="2" t="s">
        <v>5078</v>
      </c>
    </row>
    <row r="212" spans="1:5">
      <c r="A212" s="7" t="s">
        <v>1530</v>
      </c>
      <c r="B212" s="7" t="s">
        <v>5079</v>
      </c>
      <c r="C212" s="7" t="s">
        <v>5080</v>
      </c>
      <c r="D212" s="7" t="s">
        <v>5081</v>
      </c>
      <c r="E212" s="7" t="s">
        <v>1531</v>
      </c>
    </row>
    <row r="213" spans="1:5">
      <c r="A213" s="7" t="s">
        <v>1535</v>
      </c>
      <c r="B213" s="7" t="s">
        <v>5082</v>
      </c>
      <c r="C213" s="7" t="s">
        <v>5083</v>
      </c>
      <c r="D213" s="2" t="s">
        <v>5084</v>
      </c>
    </row>
    <row r="214" spans="1:5">
      <c r="A214" s="7" t="s">
        <v>1539</v>
      </c>
      <c r="B214" s="7" t="s">
        <v>5085</v>
      </c>
      <c r="C214" s="7" t="s">
        <v>5086</v>
      </c>
      <c r="D214" s="2" t="s">
        <v>5087</v>
      </c>
    </row>
    <row r="215" spans="1:5">
      <c r="A215" s="7" t="s">
        <v>1542</v>
      </c>
      <c r="B215" s="7" t="s">
        <v>5088</v>
      </c>
      <c r="C215" s="7" t="s">
        <v>5089</v>
      </c>
      <c r="D215" s="7" t="s">
        <v>5090</v>
      </c>
      <c r="E215" s="7" t="s">
        <v>1544</v>
      </c>
    </row>
    <row r="216" spans="1:5">
      <c r="A216" s="7" t="s">
        <v>1547</v>
      </c>
      <c r="B216" s="7" t="s">
        <v>5091</v>
      </c>
      <c r="C216" s="7" t="s">
        <v>5092</v>
      </c>
      <c r="D216" s="7" t="s">
        <v>5093</v>
      </c>
      <c r="E216" s="7" t="s">
        <v>185</v>
      </c>
    </row>
    <row r="217" spans="1:5">
      <c r="A217" s="7" t="s">
        <v>1552</v>
      </c>
      <c r="B217" s="7" t="s">
        <v>5094</v>
      </c>
      <c r="C217" s="7" t="s">
        <v>5095</v>
      </c>
      <c r="D217" s="2" t="s">
        <v>5096</v>
      </c>
    </row>
    <row r="218" spans="1:5">
      <c r="A218" s="7" t="s">
        <v>1554</v>
      </c>
      <c r="B218" s="7" t="s">
        <v>5097</v>
      </c>
      <c r="C218" s="7" t="s">
        <v>5098</v>
      </c>
      <c r="D218" s="2" t="s">
        <v>5099</v>
      </c>
    </row>
    <row r="219" spans="1:5">
      <c r="A219" s="7" t="s">
        <v>1562</v>
      </c>
      <c r="B219" s="7" t="s">
        <v>5100</v>
      </c>
      <c r="C219" s="7" t="s">
        <v>5101</v>
      </c>
      <c r="D219" s="2" t="s">
        <v>5102</v>
      </c>
    </row>
    <row r="220" spans="1:5">
      <c r="A220" s="7" t="s">
        <v>1565</v>
      </c>
      <c r="B220" s="7" t="s">
        <v>5103</v>
      </c>
      <c r="C220" s="7" t="s">
        <v>5104</v>
      </c>
      <c r="D220" s="7" t="s">
        <v>5105</v>
      </c>
      <c r="E220" s="7" t="s">
        <v>1567</v>
      </c>
    </row>
    <row r="221" spans="1:5">
      <c r="A221" s="7" t="s">
        <v>1570</v>
      </c>
      <c r="B221" s="7" t="s">
        <v>5106</v>
      </c>
      <c r="C221" s="7" t="s">
        <v>5107</v>
      </c>
      <c r="D221" s="7" t="s">
        <v>5108</v>
      </c>
      <c r="E221" s="7" t="s">
        <v>279</v>
      </c>
    </row>
    <row r="222" spans="1:5">
      <c r="A222" s="7" t="s">
        <v>1577</v>
      </c>
      <c r="B222" s="7" t="s">
        <v>5109</v>
      </c>
      <c r="C222" s="7" t="s">
        <v>5110</v>
      </c>
      <c r="D222" s="2" t="s">
        <v>5111</v>
      </c>
    </row>
    <row r="223" spans="1:5">
      <c r="A223" s="7" t="s">
        <v>1585</v>
      </c>
      <c r="B223" s="7" t="s">
        <v>5112</v>
      </c>
      <c r="C223" s="7" t="s">
        <v>5113</v>
      </c>
      <c r="D223" s="2" t="s">
        <v>5114</v>
      </c>
    </row>
    <row r="224" spans="1:5">
      <c r="A224" s="7" t="s">
        <v>1587</v>
      </c>
      <c r="B224" s="7" t="s">
        <v>5115</v>
      </c>
      <c r="C224" s="7" t="s">
        <v>5116</v>
      </c>
      <c r="D224" s="7" t="s">
        <v>5117</v>
      </c>
      <c r="E224" s="7" t="s">
        <v>1588</v>
      </c>
    </row>
    <row r="225" spans="1:5">
      <c r="A225" s="7" t="s">
        <v>1589</v>
      </c>
      <c r="B225" s="7" t="s">
        <v>5118</v>
      </c>
      <c r="C225" s="7" t="s">
        <v>5119</v>
      </c>
      <c r="D225" s="7" t="s">
        <v>5120</v>
      </c>
      <c r="E225" s="7" t="s">
        <v>185</v>
      </c>
    </row>
    <row r="226" spans="1:5">
      <c r="A226" s="7" t="s">
        <v>1594</v>
      </c>
      <c r="B226" s="7" t="s">
        <v>5121</v>
      </c>
      <c r="C226" s="7" t="s">
        <v>5122</v>
      </c>
      <c r="D226" s="7" t="s">
        <v>5123</v>
      </c>
      <c r="E226" s="7" t="s">
        <v>922</v>
      </c>
    </row>
    <row r="227" spans="1:5">
      <c r="A227" s="7" t="s">
        <v>1599</v>
      </c>
      <c r="B227" s="7" t="s">
        <v>5124</v>
      </c>
      <c r="C227" s="7" t="s">
        <v>5125</v>
      </c>
      <c r="D227" s="7" t="s">
        <v>5126</v>
      </c>
      <c r="E227" s="7" t="s">
        <v>1601</v>
      </c>
    </row>
    <row r="228" spans="1:5">
      <c r="A228" s="7" t="s">
        <v>1605</v>
      </c>
      <c r="B228" s="7" t="s">
        <v>5127</v>
      </c>
      <c r="C228" s="7" t="s">
        <v>5128</v>
      </c>
      <c r="D228" s="7" t="s">
        <v>5129</v>
      </c>
      <c r="E228" s="7" t="s">
        <v>5130</v>
      </c>
    </row>
    <row r="229" spans="1:5">
      <c r="A229" s="7" t="s">
        <v>5131</v>
      </c>
      <c r="B229" s="7" t="s">
        <v>5132</v>
      </c>
      <c r="C229" s="7" t="s">
        <v>5133</v>
      </c>
      <c r="D229" s="7" t="s">
        <v>5134</v>
      </c>
      <c r="E229" s="7" t="s">
        <v>5135</v>
      </c>
    </row>
    <row r="230" spans="1:5">
      <c r="A230" s="7" t="s">
        <v>1613</v>
      </c>
      <c r="B230" s="7" t="s">
        <v>5136</v>
      </c>
      <c r="C230" s="7" t="s">
        <v>5137</v>
      </c>
      <c r="D230" s="2" t="s">
        <v>5138</v>
      </c>
    </row>
    <row r="231" spans="1:5">
      <c r="A231" s="7" t="s">
        <v>1620</v>
      </c>
      <c r="B231" s="7" t="s">
        <v>5139</v>
      </c>
      <c r="C231" s="7" t="s">
        <v>5140</v>
      </c>
      <c r="D231" s="2" t="s">
        <v>5141</v>
      </c>
    </row>
    <row r="232" spans="1:5">
      <c r="A232" s="7"/>
      <c r="B232" s="7"/>
      <c r="C232" s="7"/>
    </row>
    <row r="233" spans="1:5">
      <c r="A233" s="7" t="s">
        <v>1625</v>
      </c>
      <c r="B233" s="7" t="s">
        <v>5142</v>
      </c>
      <c r="C233" s="7" t="s">
        <v>5143</v>
      </c>
      <c r="D233" s="7" t="s">
        <v>5144</v>
      </c>
      <c r="E233" s="7" t="s">
        <v>1627</v>
      </c>
    </row>
    <row r="234" spans="1:5">
      <c r="A234" s="7" t="s">
        <v>1632</v>
      </c>
      <c r="B234" s="7" t="s">
        <v>5145</v>
      </c>
      <c r="C234" s="7" t="s">
        <v>5146</v>
      </c>
      <c r="D234" s="7" t="s">
        <v>5147</v>
      </c>
      <c r="E234" s="7" t="s">
        <v>1633</v>
      </c>
    </row>
    <row r="235" spans="1:5">
      <c r="A235" s="7" t="s">
        <v>1634</v>
      </c>
      <c r="B235" s="7" t="s">
        <v>5148</v>
      </c>
      <c r="C235" s="7" t="s">
        <v>5149</v>
      </c>
      <c r="D235" s="2" t="s">
        <v>5150</v>
      </c>
    </row>
    <row r="236" spans="1:5">
      <c r="A236" s="7" t="s">
        <v>1640</v>
      </c>
      <c r="B236" s="7" t="s">
        <v>5151</v>
      </c>
      <c r="C236" s="7" t="s">
        <v>5152</v>
      </c>
      <c r="D236" s="7" t="s">
        <v>5153</v>
      </c>
      <c r="E236" s="7" t="s">
        <v>1641</v>
      </c>
    </row>
    <row r="237" spans="1:5">
      <c r="A237" s="7" t="s">
        <v>1643</v>
      </c>
      <c r="B237" s="7" t="s">
        <v>5154</v>
      </c>
      <c r="C237" s="7" t="s">
        <v>5155</v>
      </c>
      <c r="D237" s="2" t="s">
        <v>5156</v>
      </c>
    </row>
    <row r="238" spans="1:5">
      <c r="A238" s="7" t="s">
        <v>1647</v>
      </c>
      <c r="B238" s="7" t="s">
        <v>5157</v>
      </c>
      <c r="C238" s="7" t="s">
        <v>5158</v>
      </c>
      <c r="D238" s="7" t="s">
        <v>5159</v>
      </c>
      <c r="E238" s="7" t="s">
        <v>1652</v>
      </c>
    </row>
    <row r="239" spans="1:5">
      <c r="A239" s="7" t="s">
        <v>1658</v>
      </c>
      <c r="B239" s="7" t="s">
        <v>5160</v>
      </c>
      <c r="C239" s="7" t="s">
        <v>5161</v>
      </c>
      <c r="D239" s="7" t="s">
        <v>5162</v>
      </c>
      <c r="E239" s="7" t="s">
        <v>1660</v>
      </c>
    </row>
    <row r="240" spans="1:5">
      <c r="A240" s="7" t="s">
        <v>1661</v>
      </c>
      <c r="B240" s="7" t="s">
        <v>5163</v>
      </c>
      <c r="C240" s="7" t="s">
        <v>5164</v>
      </c>
      <c r="D240" s="7" t="s">
        <v>5165</v>
      </c>
      <c r="E240" s="7" t="s">
        <v>1662</v>
      </c>
    </row>
    <row r="241" spans="1:5">
      <c r="A241" s="7" t="s">
        <v>1663</v>
      </c>
      <c r="B241" s="7" t="s">
        <v>5166</v>
      </c>
      <c r="C241" s="7" t="s">
        <v>5167</v>
      </c>
      <c r="D241" s="2" t="s">
        <v>5168</v>
      </c>
    </row>
    <row r="242" spans="1:5">
      <c r="A242" s="7" t="s">
        <v>1666</v>
      </c>
      <c r="B242" s="7" t="s">
        <v>5169</v>
      </c>
      <c r="C242" s="7" t="s">
        <v>5170</v>
      </c>
      <c r="D242" s="2" t="s">
        <v>5171</v>
      </c>
    </row>
    <row r="243" spans="1:5">
      <c r="A243" s="7" t="s">
        <v>1672</v>
      </c>
      <c r="B243" s="7" t="s">
        <v>5172</v>
      </c>
      <c r="C243" s="7" t="s">
        <v>5173</v>
      </c>
      <c r="D243" s="7" t="s">
        <v>5174</v>
      </c>
      <c r="E243" s="7" t="s">
        <v>185</v>
      </c>
    </row>
    <row r="244" spans="1:5">
      <c r="A244" s="7" t="s">
        <v>1679</v>
      </c>
      <c r="B244" s="7" t="s">
        <v>5175</v>
      </c>
      <c r="C244" s="7" t="s">
        <v>5176</v>
      </c>
      <c r="D244" s="7" t="s">
        <v>5177</v>
      </c>
      <c r="E244" s="7" t="s">
        <v>1680</v>
      </c>
    </row>
    <row r="245" spans="1:5">
      <c r="A245" s="7" t="s">
        <v>1682</v>
      </c>
      <c r="B245" s="7" t="s">
        <v>5178</v>
      </c>
      <c r="C245" s="7" t="s">
        <v>5179</v>
      </c>
      <c r="D245" s="7" t="s">
        <v>5180</v>
      </c>
      <c r="E245" s="7" t="s">
        <v>5181</v>
      </c>
    </row>
    <row r="246" spans="1:5">
      <c r="A246" s="7" t="s">
        <v>1691</v>
      </c>
      <c r="B246" s="7" t="s">
        <v>5182</v>
      </c>
      <c r="C246" s="7" t="s">
        <v>5183</v>
      </c>
      <c r="D246" s="2" t="s">
        <v>5184</v>
      </c>
    </row>
    <row r="247" spans="1:5">
      <c r="A247" s="7" t="s">
        <v>1694</v>
      </c>
      <c r="B247" s="7" t="s">
        <v>5185</v>
      </c>
      <c r="C247" s="7" t="s">
        <v>5186</v>
      </c>
      <c r="D247" s="2" t="s">
        <v>5187</v>
      </c>
    </row>
    <row r="248" spans="1:5">
      <c r="A248" s="7" t="s">
        <v>1697</v>
      </c>
      <c r="B248" s="7" t="s">
        <v>5188</v>
      </c>
      <c r="C248" s="7" t="s">
        <v>5189</v>
      </c>
      <c r="D248" s="7" t="s">
        <v>5190</v>
      </c>
      <c r="E248" s="7" t="s">
        <v>1698</v>
      </c>
    </row>
    <row r="249" spans="1:5">
      <c r="A249" s="7" t="s">
        <v>1700</v>
      </c>
      <c r="B249" s="7" t="s">
        <v>5191</v>
      </c>
      <c r="C249" s="7" t="s">
        <v>5192</v>
      </c>
      <c r="D249" s="7" t="s">
        <v>5193</v>
      </c>
      <c r="E249" s="7" t="s">
        <v>185</v>
      </c>
    </row>
    <row r="250" spans="1:5">
      <c r="A250" s="7" t="s">
        <v>1707</v>
      </c>
      <c r="B250" s="7" t="s">
        <v>5194</v>
      </c>
      <c r="C250" s="7" t="s">
        <v>5195</v>
      </c>
      <c r="D250" s="7" t="s">
        <v>5196</v>
      </c>
      <c r="E250" s="7" t="s">
        <v>1708</v>
      </c>
    </row>
    <row r="251" spans="1:5">
      <c r="A251" s="7" t="s">
        <v>1711</v>
      </c>
      <c r="B251" s="7" t="s">
        <v>5197</v>
      </c>
      <c r="C251" s="7" t="s">
        <v>5198</v>
      </c>
      <c r="D251" s="7" t="s">
        <v>5199</v>
      </c>
      <c r="E251" s="7" t="s">
        <v>5200</v>
      </c>
    </row>
    <row r="252" spans="1:5">
      <c r="A252" s="7" t="s">
        <v>1720</v>
      </c>
      <c r="B252" s="7" t="s">
        <v>5201</v>
      </c>
      <c r="C252" s="7" t="s">
        <v>5202</v>
      </c>
      <c r="D252" s="2" t="s">
        <v>5203</v>
      </c>
    </row>
    <row r="253" spans="1:5">
      <c r="A253" s="7" t="s">
        <v>1725</v>
      </c>
      <c r="B253" s="7" t="s">
        <v>5204</v>
      </c>
      <c r="C253" s="7" t="s">
        <v>5205</v>
      </c>
      <c r="D253" s="7" t="s">
        <v>5206</v>
      </c>
      <c r="E253" s="7" t="s">
        <v>1726</v>
      </c>
    </row>
    <row r="254" spans="1:5">
      <c r="A254" s="7" t="s">
        <v>1727</v>
      </c>
      <c r="B254" s="7" t="s">
        <v>5207</v>
      </c>
      <c r="C254" s="7" t="s">
        <v>5208</v>
      </c>
      <c r="D254" s="2" t="s">
        <v>5209</v>
      </c>
    </row>
    <row r="255" spans="1:5">
      <c r="A255" s="7" t="s">
        <v>1729</v>
      </c>
      <c r="B255" s="7" t="s">
        <v>5210</v>
      </c>
      <c r="C255" s="7" t="s">
        <v>5211</v>
      </c>
      <c r="D255" s="2" t="s">
        <v>5212</v>
      </c>
    </row>
    <row r="256" spans="1:5">
      <c r="A256" s="7" t="s">
        <v>1737</v>
      </c>
      <c r="B256" s="7" t="s">
        <v>5213</v>
      </c>
      <c r="C256" s="7" t="s">
        <v>5214</v>
      </c>
      <c r="D256" s="2" t="s">
        <v>5215</v>
      </c>
    </row>
    <row r="257" spans="1:5">
      <c r="A257" s="7" t="s">
        <v>1745</v>
      </c>
      <c r="B257" s="7" t="s">
        <v>5216</v>
      </c>
      <c r="C257" s="7" t="s">
        <v>5217</v>
      </c>
      <c r="D257" s="7" t="s">
        <v>5218</v>
      </c>
      <c r="E257" s="7" t="s">
        <v>4550</v>
      </c>
    </row>
    <row r="258" spans="1:5">
      <c r="A258" s="7" t="s">
        <v>1753</v>
      </c>
      <c r="B258" s="7" t="s">
        <v>5219</v>
      </c>
      <c r="C258" s="7" t="s">
        <v>5220</v>
      </c>
      <c r="D258" s="7" t="s">
        <v>5221</v>
      </c>
      <c r="E258" s="7" t="s">
        <v>1756</v>
      </c>
    </row>
    <row r="259" spans="1:5">
      <c r="A259" s="7" t="s">
        <v>1762</v>
      </c>
      <c r="B259" s="7" t="s">
        <v>5222</v>
      </c>
      <c r="C259" s="7" t="s">
        <v>5223</v>
      </c>
      <c r="D259" s="2" t="s">
        <v>5224</v>
      </c>
    </row>
    <row r="260" spans="1:5">
      <c r="A260" s="7" t="s">
        <v>1767</v>
      </c>
      <c r="B260" s="7" t="s">
        <v>5225</v>
      </c>
      <c r="C260" s="7" t="s">
        <v>5226</v>
      </c>
      <c r="D260" s="7" t="s">
        <v>5227</v>
      </c>
      <c r="E260" s="7" t="s">
        <v>1768</v>
      </c>
    </row>
    <row r="261" spans="1:5">
      <c r="A261" s="7" t="s">
        <v>1769</v>
      </c>
      <c r="B261" s="7" t="s">
        <v>5228</v>
      </c>
      <c r="C261" s="7" t="s">
        <v>5229</v>
      </c>
      <c r="D261" s="2" t="s">
        <v>5230</v>
      </c>
    </row>
    <row r="262" spans="1:5">
      <c r="A262" s="7" t="s">
        <v>1773</v>
      </c>
      <c r="B262" s="7" t="s">
        <v>5231</v>
      </c>
      <c r="C262" s="7" t="s">
        <v>5232</v>
      </c>
      <c r="D262" s="7" t="s">
        <v>5233</v>
      </c>
      <c r="E262" s="7" t="s">
        <v>1774</v>
      </c>
    </row>
    <row r="263" spans="1:5">
      <c r="A263" s="7" t="s">
        <v>1775</v>
      </c>
      <c r="B263" s="7" t="s">
        <v>5234</v>
      </c>
      <c r="C263" s="7" t="s">
        <v>5235</v>
      </c>
      <c r="D263" s="2" t="s">
        <v>5236</v>
      </c>
    </row>
    <row r="264" spans="1:5">
      <c r="A264" s="7" t="s">
        <v>1783</v>
      </c>
      <c r="B264" s="7" t="s">
        <v>5237</v>
      </c>
      <c r="C264" s="7" t="s">
        <v>5238</v>
      </c>
      <c r="D264" s="7" t="s">
        <v>5239</v>
      </c>
      <c r="E264" s="7" t="s">
        <v>5240</v>
      </c>
    </row>
    <row r="265" spans="1:5">
      <c r="A265" s="7" t="s">
        <v>1792</v>
      </c>
      <c r="B265" s="7" t="s">
        <v>5241</v>
      </c>
      <c r="C265" s="7" t="s">
        <v>5242</v>
      </c>
      <c r="D265" s="2" t="s">
        <v>5243</v>
      </c>
    </row>
    <row r="266" spans="1:5">
      <c r="A266" s="7" t="s">
        <v>1795</v>
      </c>
      <c r="B266" s="7" t="s">
        <v>5244</v>
      </c>
      <c r="C266" s="7" t="s">
        <v>5245</v>
      </c>
      <c r="D266" s="2" t="s">
        <v>5246</v>
      </c>
    </row>
    <row r="267" spans="1:5">
      <c r="A267" s="7" t="s">
        <v>1799</v>
      </c>
      <c r="B267" s="7" t="s">
        <v>5247</v>
      </c>
      <c r="C267" s="7" t="s">
        <v>5248</v>
      </c>
      <c r="D267" s="7" t="s">
        <v>5249</v>
      </c>
      <c r="E267" s="7" t="s">
        <v>185</v>
      </c>
    </row>
    <row r="268" spans="1:5">
      <c r="A268" s="7" t="s">
        <v>1803</v>
      </c>
      <c r="B268" s="7" t="s">
        <v>5250</v>
      </c>
      <c r="C268" s="7" t="s">
        <v>5251</v>
      </c>
      <c r="D268" s="7" t="s">
        <v>5252</v>
      </c>
      <c r="E268" s="7" t="s">
        <v>5253</v>
      </c>
    </row>
    <row r="269" spans="1:5">
      <c r="A269" s="7" t="s">
        <v>1813</v>
      </c>
      <c r="B269" s="7" t="s">
        <v>5254</v>
      </c>
      <c r="C269" s="7" t="s">
        <v>5255</v>
      </c>
      <c r="D269" s="7" t="s">
        <v>5256</v>
      </c>
      <c r="E269" s="7" t="s">
        <v>1814</v>
      </c>
    </row>
    <row r="270" spans="1:5">
      <c r="A270" s="7" t="s">
        <v>1817</v>
      </c>
      <c r="B270" s="7" t="s">
        <v>5257</v>
      </c>
      <c r="C270" s="7" t="s">
        <v>5258</v>
      </c>
      <c r="D270" s="7" t="s">
        <v>5259</v>
      </c>
      <c r="E270" s="7" t="s">
        <v>1820</v>
      </c>
    </row>
    <row r="271" spans="1:5">
      <c r="A271" s="7" t="s">
        <v>1826</v>
      </c>
      <c r="B271" s="7" t="s">
        <v>5260</v>
      </c>
      <c r="C271" s="7" t="s">
        <v>5261</v>
      </c>
      <c r="D271" s="2" t="s">
        <v>5262</v>
      </c>
    </row>
    <row r="272" spans="1:5">
      <c r="A272" s="7" t="s">
        <v>1833</v>
      </c>
      <c r="B272" s="7" t="s">
        <v>5263</v>
      </c>
      <c r="C272" s="7" t="s">
        <v>5264</v>
      </c>
      <c r="D272" s="7" t="s">
        <v>5265</v>
      </c>
      <c r="E272" s="7" t="s">
        <v>5266</v>
      </c>
    </row>
    <row r="273" spans="1:5">
      <c r="A273" s="7" t="s">
        <v>1838</v>
      </c>
      <c r="B273" s="7" t="s">
        <v>5267</v>
      </c>
      <c r="C273" s="7" t="s">
        <v>5268</v>
      </c>
      <c r="D273" s="2" t="s">
        <v>5269</v>
      </c>
    </row>
    <row r="274" spans="1:5">
      <c r="A274" s="7" t="s">
        <v>1841</v>
      </c>
      <c r="B274" s="7" t="s">
        <v>5270</v>
      </c>
      <c r="C274" s="7" t="s">
        <v>5271</v>
      </c>
      <c r="D274" s="7" t="s">
        <v>5272</v>
      </c>
      <c r="E274" s="7" t="s">
        <v>1842</v>
      </c>
    </row>
    <row r="275" spans="1:5">
      <c r="A275" s="7" t="s">
        <v>1844</v>
      </c>
      <c r="B275" s="7" t="s">
        <v>5273</v>
      </c>
      <c r="C275" s="7" t="s">
        <v>5274</v>
      </c>
      <c r="D275" s="2" t="s">
        <v>5275</v>
      </c>
    </row>
    <row r="276" spans="1:5">
      <c r="A276" s="7" t="s">
        <v>1848</v>
      </c>
      <c r="B276" s="7" t="s">
        <v>5276</v>
      </c>
      <c r="C276" s="7" t="s">
        <v>5277</v>
      </c>
      <c r="D276" s="7" t="s">
        <v>5278</v>
      </c>
      <c r="E276" s="7" t="s">
        <v>279</v>
      </c>
    </row>
    <row r="277" spans="1:5">
      <c r="A277" s="7" t="s">
        <v>1852</v>
      </c>
      <c r="B277" s="7" t="s">
        <v>5279</v>
      </c>
      <c r="C277" s="7" t="s">
        <v>5280</v>
      </c>
      <c r="D277" s="2" t="s">
        <v>5281</v>
      </c>
    </row>
    <row r="278" spans="1:5">
      <c r="A278" s="7" t="s">
        <v>1862</v>
      </c>
      <c r="B278" s="7" t="s">
        <v>5282</v>
      </c>
      <c r="C278" s="7" t="s">
        <v>5283</v>
      </c>
      <c r="D278" s="7" t="s">
        <v>5284</v>
      </c>
      <c r="E278" s="7" t="s">
        <v>5285</v>
      </c>
    </row>
    <row r="279" spans="1:5">
      <c r="A279" s="7" t="s">
        <v>1871</v>
      </c>
      <c r="B279" s="7" t="s">
        <v>5286</v>
      </c>
      <c r="C279" s="7" t="s">
        <v>5287</v>
      </c>
      <c r="D279" s="2" t="s">
        <v>5288</v>
      </c>
    </row>
    <row r="280" spans="1:5">
      <c r="A280" s="7" t="s">
        <v>1874</v>
      </c>
      <c r="B280" s="7" t="s">
        <v>5289</v>
      </c>
      <c r="C280" s="7" t="s">
        <v>5290</v>
      </c>
      <c r="D280" s="7" t="s">
        <v>5291</v>
      </c>
      <c r="E280" s="7" t="s">
        <v>1875</v>
      </c>
    </row>
    <row r="281" spans="1:5">
      <c r="A281" s="7" t="s">
        <v>1877</v>
      </c>
      <c r="B281" s="7" t="s">
        <v>5292</v>
      </c>
      <c r="C281" s="7" t="s">
        <v>5293</v>
      </c>
      <c r="D281" s="2" t="s">
        <v>5294</v>
      </c>
    </row>
    <row r="282" spans="1:5">
      <c r="A282" s="7" t="s">
        <v>1881</v>
      </c>
      <c r="B282" s="7" t="s">
        <v>5295</v>
      </c>
      <c r="C282" s="7" t="s">
        <v>5296</v>
      </c>
      <c r="D282" s="7" t="s">
        <v>5297</v>
      </c>
      <c r="E282" s="7" t="s">
        <v>5253</v>
      </c>
    </row>
    <row r="283" spans="1:5">
      <c r="A283" s="7" t="s">
        <v>1890</v>
      </c>
      <c r="B283" s="7" t="s">
        <v>5298</v>
      </c>
      <c r="C283" s="7" t="s">
        <v>5299</v>
      </c>
      <c r="D283" s="2" t="s">
        <v>5300</v>
      </c>
    </row>
    <row r="284" spans="1:5">
      <c r="A284" s="7" t="s">
        <v>1899</v>
      </c>
      <c r="B284" s="7" t="s">
        <v>5301</v>
      </c>
      <c r="C284" s="7" t="s">
        <v>5302</v>
      </c>
      <c r="D284" s="2" t="s">
        <v>5303</v>
      </c>
    </row>
    <row r="285" spans="1:5">
      <c r="A285" s="7" t="s">
        <v>1902</v>
      </c>
      <c r="B285" s="7" t="s">
        <v>5304</v>
      </c>
      <c r="C285" s="7" t="s">
        <v>5305</v>
      </c>
      <c r="D285" s="7" t="s">
        <v>5306</v>
      </c>
      <c r="E285" s="7" t="s">
        <v>1903</v>
      </c>
    </row>
    <row r="286" spans="1:5">
      <c r="A286" s="7" t="s">
        <v>1906</v>
      </c>
      <c r="B286" s="7" t="s">
        <v>5307</v>
      </c>
      <c r="C286" s="7" t="s">
        <v>5308</v>
      </c>
      <c r="D286" s="2" t="s">
        <v>5309</v>
      </c>
    </row>
    <row r="287" spans="1:5">
      <c r="A287" s="7" t="s">
        <v>1912</v>
      </c>
      <c r="B287" s="7" t="s">
        <v>5310</v>
      </c>
      <c r="C287" s="7" t="s">
        <v>5311</v>
      </c>
      <c r="D287" s="7" t="s">
        <v>5312</v>
      </c>
      <c r="E287" s="7" t="s">
        <v>4550</v>
      </c>
    </row>
    <row r="288" spans="1:5">
      <c r="A288" s="7" t="s">
        <v>1917</v>
      </c>
      <c r="B288" s="7" t="s">
        <v>5313</v>
      </c>
      <c r="C288" s="7" t="s">
        <v>5314</v>
      </c>
      <c r="D288" s="7" t="s">
        <v>5315</v>
      </c>
      <c r="E288" s="7" t="s">
        <v>5316</v>
      </c>
    </row>
    <row r="289" spans="1:5">
      <c r="A289" s="7" t="s">
        <v>1925</v>
      </c>
      <c r="B289" s="7" t="s">
        <v>5317</v>
      </c>
      <c r="C289" s="7" t="s">
        <v>5318</v>
      </c>
      <c r="D289" s="2" t="s">
        <v>5319</v>
      </c>
    </row>
    <row r="290" spans="1:5">
      <c r="A290" s="7" t="s">
        <v>1927</v>
      </c>
      <c r="B290" s="7" t="s">
        <v>5320</v>
      </c>
      <c r="C290" s="7" t="s">
        <v>5321</v>
      </c>
      <c r="D290" s="2" t="s">
        <v>5322</v>
      </c>
    </row>
    <row r="291" spans="1:5">
      <c r="A291" s="7" t="s">
        <v>1932</v>
      </c>
      <c r="B291" s="7" t="s">
        <v>5323</v>
      </c>
      <c r="C291" s="7" t="s">
        <v>5324</v>
      </c>
      <c r="D291" s="7" t="s">
        <v>5325</v>
      </c>
      <c r="E291" s="7" t="s">
        <v>1933</v>
      </c>
    </row>
    <row r="292" spans="1:5">
      <c r="A292" s="7" t="s">
        <v>1935</v>
      </c>
      <c r="B292" s="7" t="s">
        <v>5326</v>
      </c>
      <c r="C292" s="7" t="s">
        <v>5327</v>
      </c>
      <c r="D292" s="7" t="s">
        <v>5328</v>
      </c>
      <c r="E292" s="7" t="s">
        <v>5329</v>
      </c>
    </row>
    <row r="293" spans="1:5">
      <c r="A293" s="7" t="s">
        <v>1944</v>
      </c>
      <c r="B293" s="7" t="s">
        <v>5330</v>
      </c>
      <c r="C293" s="7" t="s">
        <v>5331</v>
      </c>
      <c r="D293" s="2" t="s">
        <v>5332</v>
      </c>
    </row>
    <row r="294" spans="1:5">
      <c r="A294" s="7" t="s">
        <v>1951</v>
      </c>
      <c r="B294" s="7" t="s">
        <v>5333</v>
      </c>
      <c r="C294" s="7" t="s">
        <v>5334</v>
      </c>
      <c r="D294" s="7" t="s">
        <v>5335</v>
      </c>
      <c r="E294" s="7" t="s">
        <v>279</v>
      </c>
    </row>
    <row r="295" spans="1:5">
      <c r="A295" s="7" t="s">
        <v>1956</v>
      </c>
      <c r="B295" s="7" t="s">
        <v>5336</v>
      </c>
      <c r="C295" s="7" t="s">
        <v>5337</v>
      </c>
      <c r="D295" s="2" t="s">
        <v>5338</v>
      </c>
    </row>
    <row r="296" spans="1:5">
      <c r="A296" s="7" t="s">
        <v>1959</v>
      </c>
      <c r="B296" s="7" t="s">
        <v>5339</v>
      </c>
      <c r="C296" s="7" t="s">
        <v>5340</v>
      </c>
      <c r="D296" s="2" t="s">
        <v>5341</v>
      </c>
    </row>
    <row r="297" spans="1:5">
      <c r="A297" s="7" t="s">
        <v>1963</v>
      </c>
      <c r="B297" s="7" t="s">
        <v>5342</v>
      </c>
      <c r="C297" s="7" t="s">
        <v>5343</v>
      </c>
      <c r="D297" s="2" t="s">
        <v>5344</v>
      </c>
    </row>
    <row r="298" spans="1:5">
      <c r="A298" s="7" t="s">
        <v>1971</v>
      </c>
      <c r="B298" s="7" t="s">
        <v>5345</v>
      </c>
      <c r="C298" s="7" t="s">
        <v>5346</v>
      </c>
      <c r="D298" s="2" t="s">
        <v>5347</v>
      </c>
    </row>
    <row r="299" spans="1:5">
      <c r="A299" s="7" t="s">
        <v>1981</v>
      </c>
      <c r="B299" s="7" t="s">
        <v>5348</v>
      </c>
      <c r="C299" s="7" t="s">
        <v>5349</v>
      </c>
      <c r="D299" s="7" t="s">
        <v>5350</v>
      </c>
      <c r="E299" s="7" t="s">
        <v>5351</v>
      </c>
    </row>
    <row r="300" spans="1:5">
      <c r="A300" s="7" t="s">
        <v>1989</v>
      </c>
      <c r="B300" s="7" t="s">
        <v>5352</v>
      </c>
      <c r="C300" s="7" t="s">
        <v>5353</v>
      </c>
      <c r="D300" s="7" t="s">
        <v>5354</v>
      </c>
      <c r="E300" s="7" t="s">
        <v>1991</v>
      </c>
    </row>
    <row r="301" spans="1:5">
      <c r="A301" s="7" t="s">
        <v>1994</v>
      </c>
      <c r="B301" s="7" t="s">
        <v>5355</v>
      </c>
      <c r="C301" s="7" t="s">
        <v>5356</v>
      </c>
      <c r="D301" s="7" t="s">
        <v>5357</v>
      </c>
      <c r="E301" s="7" t="s">
        <v>185</v>
      </c>
    </row>
    <row r="302" spans="1:5">
      <c r="A302" s="7" t="s">
        <v>2000</v>
      </c>
      <c r="B302" s="7" t="s">
        <v>5358</v>
      </c>
      <c r="C302" s="7" t="s">
        <v>5359</v>
      </c>
      <c r="D302" s="2" t="s">
        <v>5360</v>
      </c>
    </row>
    <row r="303" spans="1:5">
      <c r="A303" s="7" t="s">
        <v>2004</v>
      </c>
      <c r="B303" s="7" t="s">
        <v>5361</v>
      </c>
      <c r="C303" s="7" t="s">
        <v>5362</v>
      </c>
      <c r="D303" s="7" t="s">
        <v>5363</v>
      </c>
      <c r="E303" s="7" t="s">
        <v>5364</v>
      </c>
    </row>
    <row r="304" spans="1:5">
      <c r="A304" s="7" t="s">
        <v>2011</v>
      </c>
      <c r="B304" s="7" t="s">
        <v>5365</v>
      </c>
      <c r="C304" s="7" t="s">
        <v>5366</v>
      </c>
      <c r="D304" s="2" t="s">
        <v>5367</v>
      </c>
    </row>
    <row r="305" spans="1:5">
      <c r="A305" s="7" t="s">
        <v>2014</v>
      </c>
      <c r="B305" s="7" t="s">
        <v>5368</v>
      </c>
      <c r="C305" s="7" t="s">
        <v>5369</v>
      </c>
      <c r="D305" s="2" t="s">
        <v>5370</v>
      </c>
    </row>
    <row r="306" spans="1:5">
      <c r="A306" s="7" t="s">
        <v>2021</v>
      </c>
      <c r="B306" s="7" t="s">
        <v>5371</v>
      </c>
      <c r="C306" s="7" t="s">
        <v>5372</v>
      </c>
      <c r="D306" s="7" t="s">
        <v>5373</v>
      </c>
      <c r="E306" s="7" t="s">
        <v>2023</v>
      </c>
    </row>
    <row r="307" spans="1:5">
      <c r="A307" s="7" t="s">
        <v>2030</v>
      </c>
      <c r="B307" s="7" t="s">
        <v>5374</v>
      </c>
      <c r="C307" s="7" t="s">
        <v>5375</v>
      </c>
      <c r="D307" s="7" t="s">
        <v>5376</v>
      </c>
      <c r="E307" s="7" t="s">
        <v>2031</v>
      </c>
    </row>
    <row r="308" spans="1:5">
      <c r="A308" s="7" t="s">
        <v>2033</v>
      </c>
      <c r="B308" s="7" t="s">
        <v>5377</v>
      </c>
      <c r="C308" s="7" t="s">
        <v>5378</v>
      </c>
      <c r="D308" s="2" t="s">
        <v>5379</v>
      </c>
    </row>
    <row r="309" spans="1:5">
      <c r="A309" s="7" t="s">
        <v>2036</v>
      </c>
      <c r="B309" s="7" t="s">
        <v>5380</v>
      </c>
      <c r="C309" s="7" t="s">
        <v>5381</v>
      </c>
      <c r="D309" s="7" t="s">
        <v>5382</v>
      </c>
      <c r="E309" s="7" t="s">
        <v>4550</v>
      </c>
    </row>
    <row r="310" spans="1:5">
      <c r="A310" s="7" t="s">
        <v>2042</v>
      </c>
      <c r="B310" s="7" t="s">
        <v>5383</v>
      </c>
      <c r="C310" s="7" t="s">
        <v>5384</v>
      </c>
      <c r="D310" s="2" t="s">
        <v>5385</v>
      </c>
    </row>
    <row r="311" spans="1:5">
      <c r="A311" s="7" t="s">
        <v>2049</v>
      </c>
      <c r="B311" s="7" t="s">
        <v>5386</v>
      </c>
      <c r="C311" s="7" t="s">
        <v>5387</v>
      </c>
      <c r="D311" s="7" t="s">
        <v>5388</v>
      </c>
      <c r="E311" s="7" t="s">
        <v>2052</v>
      </c>
    </row>
    <row r="312" spans="1:5">
      <c r="A312" s="7" t="s">
        <v>2056</v>
      </c>
      <c r="B312" s="7" t="s">
        <v>5389</v>
      </c>
      <c r="C312" s="7" t="s">
        <v>5390</v>
      </c>
      <c r="D312" s="2" t="s">
        <v>5391</v>
      </c>
    </row>
    <row r="313" spans="1:5">
      <c r="A313" s="7" t="s">
        <v>2063</v>
      </c>
      <c r="B313" s="7" t="s">
        <v>5392</v>
      </c>
      <c r="C313" s="7" t="s">
        <v>5393</v>
      </c>
      <c r="D313" s="2" t="s">
        <v>5394</v>
      </c>
    </row>
    <row r="314" spans="1:5">
      <c r="A314" s="7" t="s">
        <v>2068</v>
      </c>
      <c r="B314" s="7" t="s">
        <v>5395</v>
      </c>
      <c r="C314" s="7" t="s">
        <v>5396</v>
      </c>
      <c r="D314" s="2" t="s">
        <v>5397</v>
      </c>
    </row>
    <row r="315" spans="1:5">
      <c r="A315" s="7" t="s">
        <v>2073</v>
      </c>
      <c r="B315" s="7" t="s">
        <v>5398</v>
      </c>
      <c r="C315" s="7" t="s">
        <v>5399</v>
      </c>
      <c r="D315" s="2" t="s">
        <v>5400</v>
      </c>
    </row>
    <row r="316" spans="1:5">
      <c r="A316" s="7" t="s">
        <v>2075</v>
      </c>
      <c r="B316" s="7" t="s">
        <v>5401</v>
      </c>
      <c r="C316" s="7" t="s">
        <v>5402</v>
      </c>
      <c r="D316" s="7" t="s">
        <v>5403</v>
      </c>
      <c r="E316" s="7" t="s">
        <v>4550</v>
      </c>
    </row>
    <row r="317" spans="1:5">
      <c r="A317" s="7" t="s">
        <v>2079</v>
      </c>
      <c r="B317" s="7" t="s">
        <v>5404</v>
      </c>
      <c r="C317" s="7" t="s">
        <v>5405</v>
      </c>
      <c r="D317" s="7" t="s">
        <v>5406</v>
      </c>
      <c r="E317" s="7" t="s">
        <v>2080</v>
      </c>
    </row>
    <row r="318" spans="1:5">
      <c r="A318" s="7" t="s">
        <v>2083</v>
      </c>
      <c r="B318" s="7" t="s">
        <v>5407</v>
      </c>
      <c r="C318" s="7" t="s">
        <v>5408</v>
      </c>
      <c r="D318" s="2" t="s">
        <v>5409</v>
      </c>
    </row>
    <row r="319" spans="1:5">
      <c r="A319" s="7" t="s">
        <v>2086</v>
      </c>
      <c r="B319" s="7" t="s">
        <v>2659</v>
      </c>
      <c r="C319" s="7" t="s">
        <v>5410</v>
      </c>
      <c r="D319" s="2" t="s">
        <v>5411</v>
      </c>
    </row>
    <row r="320" spans="1:5">
      <c r="A320" s="7" t="s">
        <v>2090</v>
      </c>
      <c r="B320" s="7" t="s">
        <v>5412</v>
      </c>
      <c r="C320" s="7" t="s">
        <v>5413</v>
      </c>
      <c r="D320" s="7" t="s">
        <v>5414</v>
      </c>
      <c r="E320" s="7" t="s">
        <v>2091</v>
      </c>
    </row>
    <row r="321" spans="1:5">
      <c r="A321" s="7" t="s">
        <v>2094</v>
      </c>
      <c r="B321" s="7" t="s">
        <v>5415</v>
      </c>
      <c r="C321" s="7" t="s">
        <v>5416</v>
      </c>
      <c r="D321" s="7" t="s">
        <v>5417</v>
      </c>
      <c r="E321" s="7" t="s">
        <v>1739</v>
      </c>
    </row>
    <row r="322" spans="1:5">
      <c r="A322" s="7" t="s">
        <v>2101</v>
      </c>
      <c r="B322" s="7" t="s">
        <v>5418</v>
      </c>
      <c r="C322" s="7" t="s">
        <v>5419</v>
      </c>
      <c r="D322" s="7" t="s">
        <v>5420</v>
      </c>
      <c r="E322" s="7" t="s">
        <v>4550</v>
      </c>
    </row>
    <row r="323" spans="1:5">
      <c r="A323" s="7" t="s">
        <v>2106</v>
      </c>
      <c r="B323" s="7" t="s">
        <v>5421</v>
      </c>
      <c r="C323" s="7" t="s">
        <v>5422</v>
      </c>
      <c r="D323" s="7" t="s">
        <v>5423</v>
      </c>
      <c r="E323" s="7" t="s">
        <v>5424</v>
      </c>
    </row>
    <row r="324" spans="1:5">
      <c r="A324" s="7" t="s">
        <v>2114</v>
      </c>
      <c r="B324" s="7" t="s">
        <v>5425</v>
      </c>
      <c r="C324" s="7" t="s">
        <v>5426</v>
      </c>
      <c r="D324" s="2" t="s">
        <v>5427</v>
      </c>
    </row>
    <row r="325" spans="1:5">
      <c r="A325" s="7" t="s">
        <v>2116</v>
      </c>
      <c r="B325" s="7" t="s">
        <v>5428</v>
      </c>
      <c r="C325" s="7" t="s">
        <v>5429</v>
      </c>
      <c r="D325" s="7" t="s">
        <v>5430</v>
      </c>
      <c r="E325" s="7" t="s">
        <v>185</v>
      </c>
    </row>
    <row r="326" spans="1:5">
      <c r="A326" s="7" t="s">
        <v>2120</v>
      </c>
      <c r="B326" s="7" t="s">
        <v>5431</v>
      </c>
      <c r="C326" s="7" t="s">
        <v>5432</v>
      </c>
      <c r="D326" s="7" t="s">
        <v>5433</v>
      </c>
      <c r="E326" s="7" t="s">
        <v>2121</v>
      </c>
    </row>
    <row r="327" spans="1:5">
      <c r="A327" s="7" t="s">
        <v>2124</v>
      </c>
      <c r="B327" s="7" t="s">
        <v>5434</v>
      </c>
      <c r="C327" s="7" t="s">
        <v>5435</v>
      </c>
      <c r="D327" s="2" t="s">
        <v>5436</v>
      </c>
    </row>
    <row r="328" spans="1:5">
      <c r="A328" s="7" t="s">
        <v>2126</v>
      </c>
      <c r="B328" s="7" t="s">
        <v>5437</v>
      </c>
      <c r="C328" s="7" t="s">
        <v>5438</v>
      </c>
      <c r="D328" s="7" t="s">
        <v>5439</v>
      </c>
      <c r="E328" s="7" t="s">
        <v>2128</v>
      </c>
    </row>
    <row r="329" spans="1:5">
      <c r="A329" s="7" t="s">
        <v>2135</v>
      </c>
      <c r="B329" s="7" t="s">
        <v>5440</v>
      </c>
      <c r="C329" s="7" t="s">
        <v>5441</v>
      </c>
      <c r="D329" s="2" t="s">
        <v>5442</v>
      </c>
    </row>
    <row r="330" spans="1:5">
      <c r="A330" s="7" t="s">
        <v>2137</v>
      </c>
      <c r="B330" s="7" t="s">
        <v>5443</v>
      </c>
      <c r="C330" s="7" t="s">
        <v>5444</v>
      </c>
      <c r="D330" s="2" t="s">
        <v>5445</v>
      </c>
    </row>
    <row r="331" spans="1:5">
      <c r="A331" s="7" t="s">
        <v>2141</v>
      </c>
      <c r="B331" s="7" t="s">
        <v>5446</v>
      </c>
      <c r="C331" s="7" t="s">
        <v>5447</v>
      </c>
      <c r="D331" s="7" t="s">
        <v>5448</v>
      </c>
      <c r="E331" s="7" t="s">
        <v>5449</v>
      </c>
    </row>
    <row r="332" spans="1:5">
      <c r="A332" s="7" t="s">
        <v>2148</v>
      </c>
      <c r="B332" s="7" t="s">
        <v>5450</v>
      </c>
      <c r="C332" s="7" t="s">
        <v>5451</v>
      </c>
      <c r="D332" s="2" t="s">
        <v>5452</v>
      </c>
    </row>
    <row r="333" spans="1:5">
      <c r="A333" s="7" t="s">
        <v>2152</v>
      </c>
      <c r="B333" s="7" t="s">
        <v>5453</v>
      </c>
      <c r="C333" s="7" t="s">
        <v>5454</v>
      </c>
      <c r="D333" s="7" t="s">
        <v>5455</v>
      </c>
      <c r="E333" s="7" t="s">
        <v>185</v>
      </c>
    </row>
    <row r="334" spans="1:5">
      <c r="A334" s="7" t="s">
        <v>2157</v>
      </c>
      <c r="B334" s="7" t="s">
        <v>5456</v>
      </c>
      <c r="C334" s="7" t="s">
        <v>5457</v>
      </c>
      <c r="D334" s="7" t="s">
        <v>5458</v>
      </c>
      <c r="E334" s="7" t="s">
        <v>5459</v>
      </c>
    </row>
    <row r="335" spans="1:5">
      <c r="A335" s="7" t="s">
        <v>2164</v>
      </c>
      <c r="B335" s="7" t="s">
        <v>5460</v>
      </c>
      <c r="C335" s="7" t="s">
        <v>5461</v>
      </c>
      <c r="D335" s="2" t="s">
        <v>5462</v>
      </c>
    </row>
    <row r="336" spans="1:5">
      <c r="A336" s="7" t="s">
        <v>2166</v>
      </c>
      <c r="B336" s="7" t="s">
        <v>5463</v>
      </c>
      <c r="C336" s="7" t="s">
        <v>5464</v>
      </c>
      <c r="D336" s="7" t="s">
        <v>5465</v>
      </c>
      <c r="E336" s="7" t="s">
        <v>4550</v>
      </c>
    </row>
    <row r="337" spans="1:5">
      <c r="A337" s="7" t="s">
        <v>2171</v>
      </c>
      <c r="B337" s="7" t="s">
        <v>5466</v>
      </c>
      <c r="C337" s="7" t="s">
        <v>5467</v>
      </c>
      <c r="D337" s="2" t="s">
        <v>5468</v>
      </c>
    </row>
    <row r="338" spans="1:5">
      <c r="A338" s="7" t="s">
        <v>2179</v>
      </c>
      <c r="B338" s="7" t="s">
        <v>5469</v>
      </c>
      <c r="C338" s="7" t="s">
        <v>5470</v>
      </c>
      <c r="D338" s="7" t="s">
        <v>5471</v>
      </c>
      <c r="E338" s="7" t="s">
        <v>2182</v>
      </c>
    </row>
    <row r="339" spans="1:5">
      <c r="A339" s="7" t="s">
        <v>2189</v>
      </c>
      <c r="B339" s="7" t="s">
        <v>5472</v>
      </c>
      <c r="C339" s="7" t="s">
        <v>5473</v>
      </c>
      <c r="D339" s="2" t="s">
        <v>5474</v>
      </c>
    </row>
    <row r="340" spans="1:5">
      <c r="A340" s="7" t="s">
        <v>2191</v>
      </c>
      <c r="B340" s="7" t="s">
        <v>5475</v>
      </c>
      <c r="C340" s="7" t="s">
        <v>5476</v>
      </c>
      <c r="D340" s="7" t="s">
        <v>5477</v>
      </c>
      <c r="E340" s="7" t="s">
        <v>185</v>
      </c>
    </row>
    <row r="341" spans="1:5">
      <c r="A341" s="7" t="s">
        <v>2195</v>
      </c>
      <c r="B341" s="7" t="s">
        <v>5478</v>
      </c>
      <c r="C341" s="7" t="s">
        <v>5479</v>
      </c>
      <c r="D341" s="2" t="s">
        <v>5480</v>
      </c>
    </row>
    <row r="342" spans="1:5">
      <c r="A342" s="7" t="s">
        <v>2203</v>
      </c>
      <c r="B342" s="7" t="s">
        <v>5481</v>
      </c>
      <c r="C342" s="7" t="s">
        <v>5482</v>
      </c>
      <c r="D342" s="2" t="s">
        <v>5483</v>
      </c>
    </row>
    <row r="343" spans="1:5">
      <c r="A343" s="7" t="s">
        <v>2203</v>
      </c>
      <c r="B343" s="7" t="s">
        <v>5484</v>
      </c>
      <c r="C343" s="7" t="s">
        <v>5485</v>
      </c>
      <c r="D343" s="2" t="s">
        <v>5486</v>
      </c>
    </row>
    <row r="344" spans="1:5">
      <c r="A344" s="7" t="s">
        <v>2209</v>
      </c>
      <c r="B344" s="7" t="s">
        <v>5487</v>
      </c>
      <c r="C344" s="7" t="s">
        <v>5488</v>
      </c>
      <c r="D344" s="7" t="s">
        <v>5489</v>
      </c>
      <c r="E344" s="7" t="s">
        <v>2210</v>
      </c>
    </row>
    <row r="345" spans="1:5">
      <c r="A345" s="7" t="s">
        <v>2212</v>
      </c>
      <c r="B345" s="7" t="s">
        <v>5490</v>
      </c>
      <c r="C345" s="7" t="s">
        <v>5491</v>
      </c>
      <c r="D345" s="7" t="s">
        <v>5492</v>
      </c>
      <c r="E345" s="7" t="s">
        <v>5493</v>
      </c>
    </row>
    <row r="346" spans="1:5">
      <c r="A346" s="7" t="s">
        <v>2222</v>
      </c>
      <c r="B346" s="7" t="s">
        <v>5494</v>
      </c>
      <c r="C346" s="7" t="s">
        <v>5495</v>
      </c>
      <c r="D346" s="7" t="s">
        <v>5496</v>
      </c>
      <c r="E346" s="7" t="s">
        <v>4550</v>
      </c>
    </row>
    <row r="347" spans="1:5">
      <c r="A347" s="7" t="s">
        <v>2226</v>
      </c>
      <c r="B347" s="7" t="s">
        <v>5497</v>
      </c>
      <c r="C347" s="7" t="s">
        <v>5498</v>
      </c>
      <c r="D347" s="2" t="s">
        <v>5499</v>
      </c>
    </row>
    <row r="348" spans="1:5">
      <c r="A348" s="7" t="s">
        <v>2228</v>
      </c>
      <c r="B348" s="7" t="s">
        <v>5500</v>
      </c>
      <c r="C348" s="7" t="s">
        <v>5501</v>
      </c>
      <c r="D348" s="7" t="s">
        <v>5502</v>
      </c>
      <c r="E348" s="7" t="s">
        <v>2230</v>
      </c>
    </row>
    <row r="349" spans="1:5">
      <c r="A349" s="7" t="s">
        <v>2232</v>
      </c>
      <c r="B349" s="7" t="s">
        <v>5503</v>
      </c>
      <c r="C349" s="7" t="s">
        <v>5504</v>
      </c>
      <c r="D349" s="2" t="s">
        <v>5505</v>
      </c>
    </row>
    <row r="350" spans="1:5">
      <c r="A350" s="7" t="s">
        <v>2234</v>
      </c>
      <c r="B350" s="7" t="s">
        <v>5506</v>
      </c>
      <c r="C350" s="7" t="s">
        <v>5507</v>
      </c>
      <c r="D350" s="2" t="s">
        <v>5508</v>
      </c>
    </row>
    <row r="351" spans="1:5">
      <c r="A351" s="7" t="s">
        <v>2241</v>
      </c>
      <c r="B351" s="7" t="s">
        <v>2663</v>
      </c>
      <c r="C351" s="7" t="s">
        <v>5509</v>
      </c>
      <c r="D351" s="2" t="s">
        <v>5510</v>
      </c>
    </row>
    <row r="352" spans="1:5">
      <c r="A352" s="7" t="s">
        <v>2241</v>
      </c>
      <c r="B352" s="7" t="s">
        <v>2664</v>
      </c>
      <c r="C352" s="7" t="s">
        <v>5511</v>
      </c>
      <c r="D352" s="2" t="s">
        <v>5512</v>
      </c>
    </row>
    <row r="353" spans="1:5">
      <c r="A353" s="7" t="s">
        <v>2247</v>
      </c>
      <c r="B353" s="7" t="s">
        <v>5513</v>
      </c>
      <c r="C353" s="7" t="s">
        <v>5514</v>
      </c>
      <c r="D353" s="7" t="s">
        <v>5515</v>
      </c>
      <c r="E353" s="7" t="s">
        <v>5516</v>
      </c>
    </row>
    <row r="354" spans="1:5">
      <c r="A354" s="7" t="s">
        <v>2254</v>
      </c>
      <c r="B354" s="7" t="s">
        <v>5517</v>
      </c>
      <c r="C354" s="7" t="s">
        <v>5518</v>
      </c>
      <c r="D354" s="7" t="s">
        <v>5519</v>
      </c>
      <c r="E354" s="7" t="s">
        <v>4550</v>
      </c>
    </row>
    <row r="355" spans="1:5">
      <c r="A355" s="7" t="s">
        <v>2260</v>
      </c>
      <c r="B355" s="7" t="s">
        <v>5520</v>
      </c>
      <c r="C355" s="7" t="s">
        <v>5521</v>
      </c>
      <c r="D355" s="2" t="s">
        <v>5522</v>
      </c>
    </row>
    <row r="356" spans="1:5">
      <c r="A356" s="7" t="s">
        <v>2263</v>
      </c>
      <c r="B356" s="7" t="s">
        <v>5523</v>
      </c>
      <c r="C356" s="7" t="s">
        <v>5524</v>
      </c>
      <c r="D356" s="2" t="s">
        <v>5525</v>
      </c>
    </row>
    <row r="357" spans="1:5">
      <c r="A357" s="7" t="s">
        <v>2271</v>
      </c>
      <c r="B357" s="7" t="s">
        <v>2669</v>
      </c>
      <c r="C357" s="7" t="s">
        <v>5526</v>
      </c>
      <c r="D357" s="2" t="s">
        <v>5527</v>
      </c>
    </row>
    <row r="358" spans="1:5">
      <c r="A358" s="7" t="s">
        <v>2277</v>
      </c>
      <c r="B358" s="7" t="s">
        <v>5528</v>
      </c>
      <c r="C358" s="7" t="s">
        <v>5529</v>
      </c>
      <c r="D358" s="7" t="s">
        <v>5530</v>
      </c>
      <c r="E358" s="7" t="s">
        <v>5531</v>
      </c>
    </row>
    <row r="359" spans="1:5">
      <c r="A359" s="7" t="s">
        <v>2285</v>
      </c>
      <c r="B359" s="7" t="s">
        <v>5532</v>
      </c>
      <c r="C359" s="7" t="s">
        <v>5533</v>
      </c>
      <c r="D359" s="2" t="s">
        <v>5534</v>
      </c>
    </row>
    <row r="360" spans="1:5">
      <c r="A360" s="7" t="s">
        <v>2293</v>
      </c>
      <c r="B360" s="7" t="s">
        <v>5535</v>
      </c>
      <c r="C360" s="7" t="s">
        <v>5536</v>
      </c>
      <c r="D360" s="2" t="s">
        <v>5537</v>
      </c>
    </row>
    <row r="361" spans="1:5">
      <c r="A361" s="7" t="s">
        <v>2296</v>
      </c>
      <c r="B361" s="7" t="s">
        <v>5538</v>
      </c>
      <c r="C361" s="7" t="s">
        <v>5539</v>
      </c>
      <c r="D361" s="7" t="s">
        <v>5540</v>
      </c>
      <c r="E361" s="7" t="s">
        <v>185</v>
      </c>
    </row>
    <row r="362" spans="1:5">
      <c r="A362" s="7" t="s">
        <v>2306</v>
      </c>
      <c r="B362" s="7" t="s">
        <v>5541</v>
      </c>
      <c r="C362" s="7" t="s">
        <v>5542</v>
      </c>
      <c r="D362" s="2" t="s">
        <v>5543</v>
      </c>
    </row>
    <row r="363" spans="1:5">
      <c r="A363" s="7" t="s">
        <v>2300</v>
      </c>
      <c r="B363" s="7" t="s">
        <v>5544</v>
      </c>
      <c r="C363" s="7" t="s">
        <v>5545</v>
      </c>
      <c r="D363" s="7" t="s">
        <v>5546</v>
      </c>
      <c r="E363" s="7" t="s">
        <v>5547</v>
      </c>
    </row>
    <row r="364" spans="1:5">
      <c r="A364" s="7" t="s">
        <v>2313</v>
      </c>
      <c r="B364" s="7" t="s">
        <v>5548</v>
      </c>
      <c r="C364" s="7" t="s">
        <v>5549</v>
      </c>
      <c r="D364" s="7" t="s">
        <v>5550</v>
      </c>
      <c r="E364" s="7" t="s">
        <v>2315</v>
      </c>
    </row>
    <row r="365" spans="1:5">
      <c r="A365" s="7" t="s">
        <v>2319</v>
      </c>
      <c r="B365" s="7" t="s">
        <v>5551</v>
      </c>
      <c r="C365" s="7" t="s">
        <v>5552</v>
      </c>
      <c r="D365" s="2" t="s">
        <v>5553</v>
      </c>
    </row>
    <row r="366" spans="1:5">
      <c r="A366" s="7" t="s">
        <v>2322</v>
      </c>
      <c r="B366" s="7" t="s">
        <v>5554</v>
      </c>
      <c r="C366" s="7" t="s">
        <v>5555</v>
      </c>
      <c r="D366" s="2" t="s">
        <v>5556</v>
      </c>
    </row>
    <row r="367" spans="1:5">
      <c r="A367" s="7" t="s">
        <v>2325</v>
      </c>
      <c r="B367" s="7" t="s">
        <v>5557</v>
      </c>
      <c r="C367" s="7" t="s">
        <v>5558</v>
      </c>
      <c r="D367" s="2" t="s">
        <v>5559</v>
      </c>
    </row>
    <row r="368" spans="1:5">
      <c r="A368" s="7" t="s">
        <v>2325</v>
      </c>
      <c r="B368" s="7" t="s">
        <v>5560</v>
      </c>
      <c r="C368" s="7" t="s">
        <v>5561</v>
      </c>
      <c r="D368" s="2" t="s">
        <v>5562</v>
      </c>
    </row>
    <row r="369" spans="1:5">
      <c r="A369" s="7" t="s">
        <v>2329</v>
      </c>
      <c r="B369" s="7" t="s">
        <v>5563</v>
      </c>
      <c r="C369" s="7" t="s">
        <v>5564</v>
      </c>
      <c r="D369" s="7" t="s">
        <v>5565</v>
      </c>
      <c r="E369" s="7" t="s">
        <v>185</v>
      </c>
    </row>
    <row r="370" spans="1:5">
      <c r="A370" s="7" t="s">
        <v>2334</v>
      </c>
      <c r="B370" s="7" t="s">
        <v>5566</v>
      </c>
      <c r="C370" s="7" t="s">
        <v>5567</v>
      </c>
      <c r="D370" s="2" t="s">
        <v>5568</v>
      </c>
    </row>
    <row r="371" spans="1:5">
      <c r="A371" s="7" t="s">
        <v>2341</v>
      </c>
      <c r="B371" s="7" t="s">
        <v>5569</v>
      </c>
      <c r="C371" s="7" t="s">
        <v>5570</v>
      </c>
      <c r="D371" s="7" t="s">
        <v>5571</v>
      </c>
      <c r="E371" s="7" t="s">
        <v>5572</v>
      </c>
    </row>
    <row r="372" spans="1:5">
      <c r="A372" s="7" t="s">
        <v>2347</v>
      </c>
      <c r="B372" s="7" t="s">
        <v>5573</v>
      </c>
      <c r="C372" s="7" t="s">
        <v>5574</v>
      </c>
      <c r="D372" s="2" t="s">
        <v>5575</v>
      </c>
    </row>
    <row r="373" spans="1:5">
      <c r="A373" s="7" t="s">
        <v>2351</v>
      </c>
      <c r="B373" s="7" t="s">
        <v>5576</v>
      </c>
      <c r="C373" s="7" t="s">
        <v>5577</v>
      </c>
      <c r="D373" s="7" t="s">
        <v>5578</v>
      </c>
      <c r="E373" s="7" t="s">
        <v>2353</v>
      </c>
    </row>
    <row r="374" spans="1:5">
      <c r="A374" s="7" t="s">
        <v>2354</v>
      </c>
      <c r="B374" s="7" t="s">
        <v>5579</v>
      </c>
      <c r="C374" s="7" t="s">
        <v>5580</v>
      </c>
      <c r="D374" s="2" t="s">
        <v>5581</v>
      </c>
    </row>
    <row r="375" spans="1:5">
      <c r="A375" s="7" t="s">
        <v>2358</v>
      </c>
      <c r="B375" s="7" t="s">
        <v>2671</v>
      </c>
      <c r="C375" s="7" t="s">
        <v>5582</v>
      </c>
      <c r="D375" s="2" t="s">
        <v>5583</v>
      </c>
    </row>
    <row r="376" spans="1:5">
      <c r="A376" s="7" t="s">
        <v>2364</v>
      </c>
      <c r="B376" s="7" t="s">
        <v>5584</v>
      </c>
      <c r="C376" s="7" t="s">
        <v>5585</v>
      </c>
      <c r="D376" s="2" t="s">
        <v>5586</v>
      </c>
    </row>
    <row r="377" spans="1:5">
      <c r="A377" s="7" t="s">
        <v>2369</v>
      </c>
      <c r="B377" s="7" t="s">
        <v>2672</v>
      </c>
      <c r="C377" s="7" t="s">
        <v>5587</v>
      </c>
      <c r="D377" s="2" t="s">
        <v>5588</v>
      </c>
    </row>
    <row r="378" spans="1:5">
      <c r="A378" s="7" t="s">
        <v>2378</v>
      </c>
      <c r="B378" s="7" t="s">
        <v>5589</v>
      </c>
      <c r="C378" s="7" t="s">
        <v>5590</v>
      </c>
      <c r="D378" s="7" t="s">
        <v>5591</v>
      </c>
      <c r="E378" s="7" t="s">
        <v>4550</v>
      </c>
    </row>
    <row r="379" spans="1:5">
      <c r="A379" s="7" t="s">
        <v>2385</v>
      </c>
      <c r="B379" s="7" t="s">
        <v>5592</v>
      </c>
      <c r="C379" s="7" t="s">
        <v>5593</v>
      </c>
      <c r="D379" s="2" t="s">
        <v>5594</v>
      </c>
    </row>
    <row r="380" spans="1:5">
      <c r="A380" s="7" t="s">
        <v>2388</v>
      </c>
      <c r="B380" s="7" t="s">
        <v>5595</v>
      </c>
      <c r="C380" s="7" t="s">
        <v>5596</v>
      </c>
      <c r="D380" s="2" t="s">
        <v>5597</v>
      </c>
    </row>
    <row r="381" spans="1:5">
      <c r="A381" s="7" t="s">
        <v>2391</v>
      </c>
      <c r="B381" s="7" t="s">
        <v>5598</v>
      </c>
      <c r="C381" s="7" t="s">
        <v>5599</v>
      </c>
      <c r="D381" s="2" t="s">
        <v>5600</v>
      </c>
    </row>
    <row r="382" spans="1:5">
      <c r="A382" s="7" t="s">
        <v>2394</v>
      </c>
      <c r="B382" s="7" t="s">
        <v>5601</v>
      </c>
      <c r="C382" s="7" t="s">
        <v>5602</v>
      </c>
      <c r="D382" s="7" t="s">
        <v>5603</v>
      </c>
      <c r="E382" s="7" t="s">
        <v>2803</v>
      </c>
    </row>
    <row r="383" spans="1:5">
      <c r="A383" s="7" t="s">
        <v>2399</v>
      </c>
      <c r="B383" s="7" t="s">
        <v>5604</v>
      </c>
      <c r="C383" s="7" t="s">
        <v>5605</v>
      </c>
      <c r="D383" s="2" t="s">
        <v>5606</v>
      </c>
    </row>
    <row r="384" spans="1:5">
      <c r="A384" s="7" t="s">
        <v>2406</v>
      </c>
      <c r="B384" s="7" t="s">
        <v>5607</v>
      </c>
      <c r="C384" s="7" t="s">
        <v>5608</v>
      </c>
      <c r="D384" s="7" t="s">
        <v>5609</v>
      </c>
      <c r="E384" s="7" t="s">
        <v>5610</v>
      </c>
    </row>
    <row r="385" spans="1:5">
      <c r="A385" s="7" t="s">
        <v>2413</v>
      </c>
      <c r="B385" s="7" t="s">
        <v>5611</v>
      </c>
      <c r="C385" s="7" t="s">
        <v>5612</v>
      </c>
      <c r="D385" s="7" t="s">
        <v>5613</v>
      </c>
      <c r="E385" s="7" t="s">
        <v>185</v>
      </c>
    </row>
    <row r="386" spans="1:5">
      <c r="A386" s="7" t="s">
        <v>2417</v>
      </c>
      <c r="B386" s="7" t="s">
        <v>5614</v>
      </c>
      <c r="C386" s="7" t="s">
        <v>5615</v>
      </c>
      <c r="D386" s="7" t="s">
        <v>5616</v>
      </c>
      <c r="E386" s="7" t="s">
        <v>5617</v>
      </c>
    </row>
    <row r="387" spans="1:5">
      <c r="A387" s="7" t="s">
        <v>2425</v>
      </c>
      <c r="B387" s="7" t="s">
        <v>5618</v>
      </c>
      <c r="C387" s="7" t="s">
        <v>5619</v>
      </c>
      <c r="D387" s="2" t="s">
        <v>5620</v>
      </c>
    </row>
    <row r="388" spans="1:5">
      <c r="A388" s="7" t="s">
        <v>2429</v>
      </c>
      <c r="B388" s="7" t="s">
        <v>5621</v>
      </c>
      <c r="C388" s="7" t="s">
        <v>5622</v>
      </c>
      <c r="D388" s="7" t="s">
        <v>5623</v>
      </c>
      <c r="E388" s="7" t="s">
        <v>185</v>
      </c>
    </row>
    <row r="389" spans="1:5">
      <c r="A389" s="7" t="s">
        <v>2434</v>
      </c>
      <c r="B389" s="7" t="s">
        <v>5624</v>
      </c>
      <c r="C389" s="7" t="s">
        <v>5625</v>
      </c>
      <c r="D389" s="7" t="s">
        <v>5626</v>
      </c>
      <c r="E389" s="7" t="s">
        <v>5627</v>
      </c>
    </row>
    <row r="390" spans="1:5">
      <c r="A390" s="7" t="s">
        <v>2441</v>
      </c>
      <c r="B390" s="7" t="s">
        <v>5628</v>
      </c>
      <c r="C390" s="7" t="s">
        <v>5629</v>
      </c>
      <c r="D390" s="7" t="s">
        <v>5630</v>
      </c>
      <c r="E390" s="7" t="s">
        <v>2442</v>
      </c>
    </row>
    <row r="391" spans="1:5">
      <c r="A391" s="7" t="s">
        <v>2444</v>
      </c>
      <c r="B391" s="7" t="s">
        <v>5631</v>
      </c>
      <c r="C391" s="7" t="s">
        <v>5632</v>
      </c>
      <c r="D391" s="2" t="s">
        <v>5633</v>
      </c>
      <c r="E391" s="2" t="s">
        <v>5634</v>
      </c>
    </row>
    <row r="392" spans="1:5">
      <c r="A392" s="7" t="s">
        <v>2451</v>
      </c>
      <c r="B392" s="7" t="s">
        <v>5635</v>
      </c>
      <c r="C392" s="7" t="s">
        <v>5636</v>
      </c>
      <c r="D392" s="7" t="s">
        <v>5637</v>
      </c>
      <c r="E392" s="7" t="s">
        <v>185</v>
      </c>
    </row>
    <row r="393" spans="1:5">
      <c r="A393" s="7" t="s">
        <v>2455</v>
      </c>
      <c r="B393" s="7" t="s">
        <v>5638</v>
      </c>
      <c r="C393" s="7" t="s">
        <v>5639</v>
      </c>
      <c r="D393" s="2" t="s">
        <v>5640</v>
      </c>
    </row>
    <row r="394" spans="1:5">
      <c r="A394" s="7" t="s">
        <v>2458</v>
      </c>
      <c r="B394" s="7" t="s">
        <v>5641</v>
      </c>
      <c r="C394" s="7" t="s">
        <v>5642</v>
      </c>
      <c r="D394" s="7" t="s">
        <v>5643</v>
      </c>
      <c r="E394" s="7" t="s">
        <v>2459</v>
      </c>
    </row>
    <row r="395" spans="1:5">
      <c r="A395" s="7" t="s">
        <v>2461</v>
      </c>
      <c r="B395" s="7" t="s">
        <v>5644</v>
      </c>
      <c r="C395" s="7" t="s">
        <v>5645</v>
      </c>
      <c r="D395" s="7" t="s">
        <v>5646</v>
      </c>
      <c r="E395" s="7" t="s">
        <v>185</v>
      </c>
    </row>
    <row r="396" spans="1:5">
      <c r="A396" s="7" t="s">
        <v>2466</v>
      </c>
      <c r="B396" s="7" t="s">
        <v>2677</v>
      </c>
      <c r="C396" s="7" t="s">
        <v>5647</v>
      </c>
      <c r="D396" s="7" t="s">
        <v>5648</v>
      </c>
      <c r="E396" s="7" t="s">
        <v>2467</v>
      </c>
    </row>
    <row r="397" spans="1:5">
      <c r="A397" s="7" t="s">
        <v>2470</v>
      </c>
      <c r="B397" s="7" t="s">
        <v>2679</v>
      </c>
      <c r="C397" s="7" t="s">
        <v>5649</v>
      </c>
      <c r="D397" s="2" t="s">
        <v>5650</v>
      </c>
    </row>
    <row r="398" spans="1:5">
      <c r="A398" s="7" t="s">
        <v>2475</v>
      </c>
      <c r="B398" s="7" t="s">
        <v>5651</v>
      </c>
      <c r="C398" s="7" t="s">
        <v>5652</v>
      </c>
      <c r="D398" s="7" t="s">
        <v>5653</v>
      </c>
      <c r="E398" s="7" t="s">
        <v>1785</v>
      </c>
    </row>
    <row r="399" spans="1:5">
      <c r="A399" s="7" t="s">
        <v>2479</v>
      </c>
      <c r="B399" s="7" t="s">
        <v>5654</v>
      </c>
      <c r="C399" s="7" t="s">
        <v>5655</v>
      </c>
      <c r="D399" s="2" t="s">
        <v>5656</v>
      </c>
    </row>
    <row r="400" spans="1:5">
      <c r="A400" s="7" t="s">
        <v>2486</v>
      </c>
      <c r="B400" s="7" t="s">
        <v>5657</v>
      </c>
      <c r="C400" s="7" t="s">
        <v>5658</v>
      </c>
      <c r="D400" s="2" t="s">
        <v>5659</v>
      </c>
    </row>
    <row r="401" spans="1:5">
      <c r="A401" s="7" t="s">
        <v>2490</v>
      </c>
      <c r="B401" s="7" t="s">
        <v>5660</v>
      </c>
      <c r="C401" s="7" t="s">
        <v>5661</v>
      </c>
      <c r="D401" s="2" t="s">
        <v>5662</v>
      </c>
    </row>
    <row r="402" spans="1:5">
      <c r="A402" s="7" t="s">
        <v>2497</v>
      </c>
      <c r="B402" s="7" t="s">
        <v>5663</v>
      </c>
      <c r="C402" s="7" t="s">
        <v>5664</v>
      </c>
      <c r="D402" s="2" t="s">
        <v>5665</v>
      </c>
    </row>
    <row r="403" spans="1:5">
      <c r="A403" s="7" t="s">
        <v>2501</v>
      </c>
      <c r="B403" s="7" t="s">
        <v>5666</v>
      </c>
      <c r="C403" s="7" t="s">
        <v>5667</v>
      </c>
      <c r="D403" s="2" t="s">
        <v>5668</v>
      </c>
    </row>
    <row r="404" spans="1:5">
      <c r="A404" s="7" t="s">
        <v>2504</v>
      </c>
      <c r="B404" s="7" t="s">
        <v>5669</v>
      </c>
      <c r="C404" s="7" t="s">
        <v>5670</v>
      </c>
      <c r="D404" s="7" t="s">
        <v>5671</v>
      </c>
      <c r="E404" s="7" t="s">
        <v>2506</v>
      </c>
    </row>
    <row r="405" spans="1:5">
      <c r="A405" s="7" t="s">
        <v>2509</v>
      </c>
      <c r="B405" s="7" t="s">
        <v>5672</v>
      </c>
      <c r="C405" s="7" t="s">
        <v>5673</v>
      </c>
      <c r="D405" s="7" t="s">
        <v>5674</v>
      </c>
      <c r="E405" s="7" t="s">
        <v>2510</v>
      </c>
    </row>
    <row r="406" spans="1:5">
      <c r="A406" s="7" t="s">
        <v>2512</v>
      </c>
      <c r="B406" s="7" t="s">
        <v>5675</v>
      </c>
      <c r="C406" s="7" t="s">
        <v>5676</v>
      </c>
      <c r="D406" s="2" t="s">
        <v>5677</v>
      </c>
    </row>
    <row r="407" spans="1:5">
      <c r="A407" s="7" t="s">
        <v>2518</v>
      </c>
      <c r="B407" s="7" t="s">
        <v>5678</v>
      </c>
      <c r="C407" s="7" t="s">
        <v>5679</v>
      </c>
      <c r="D407" s="7" t="s">
        <v>5680</v>
      </c>
      <c r="E407" s="7" t="s">
        <v>185</v>
      </c>
    </row>
    <row r="408" spans="1:5">
      <c r="A408" s="7" t="s">
        <v>2523</v>
      </c>
      <c r="B408" s="7" t="s">
        <v>2685</v>
      </c>
      <c r="C408" s="7" t="s">
        <v>5681</v>
      </c>
      <c r="D408" s="2" t="s">
        <v>5682</v>
      </c>
    </row>
    <row r="409" spans="1:5">
      <c r="A409" s="7" t="s">
        <v>2523</v>
      </c>
      <c r="B409" s="7" t="s">
        <v>2682</v>
      </c>
      <c r="C409" s="7" t="s">
        <v>5683</v>
      </c>
      <c r="D409" s="2" t="s">
        <v>5684</v>
      </c>
    </row>
    <row r="410" spans="1:5">
      <c r="A410" s="7" t="s">
        <v>2528</v>
      </c>
      <c r="B410" s="7" t="s">
        <v>5685</v>
      </c>
      <c r="C410" s="7" t="s">
        <v>5686</v>
      </c>
      <c r="D410" s="2" t="s">
        <v>5687</v>
      </c>
    </row>
    <row r="411" spans="1:5">
      <c r="A411" s="7" t="s">
        <v>2530</v>
      </c>
      <c r="B411" s="7" t="s">
        <v>5688</v>
      </c>
      <c r="C411" s="7" t="s">
        <v>5689</v>
      </c>
      <c r="D411" s="2" t="s">
        <v>5690</v>
      </c>
    </row>
    <row r="412" spans="1:5">
      <c r="A412" s="7" t="s">
        <v>2536</v>
      </c>
      <c r="B412" s="7" t="s">
        <v>5691</v>
      </c>
      <c r="C412" s="7" t="s">
        <v>5692</v>
      </c>
      <c r="D412" s="7" t="s">
        <v>5693</v>
      </c>
      <c r="E412" s="7" t="s">
        <v>185</v>
      </c>
    </row>
    <row r="413" spans="1:5">
      <c r="A413" s="7" t="s">
        <v>2540</v>
      </c>
      <c r="B413" s="7" t="s">
        <v>5694</v>
      </c>
      <c r="C413" s="7" t="s">
        <v>5695</v>
      </c>
      <c r="D413" s="7" t="s">
        <v>5696</v>
      </c>
      <c r="E413" s="7" t="s">
        <v>185</v>
      </c>
    </row>
    <row r="414" spans="1:5">
      <c r="A414" s="7" t="s">
        <v>2544</v>
      </c>
      <c r="B414" s="7" t="s">
        <v>5697</v>
      </c>
      <c r="C414" s="7" t="s">
        <v>5698</v>
      </c>
      <c r="D414" s="7" t="s">
        <v>5699</v>
      </c>
      <c r="E414" s="7" t="s">
        <v>185</v>
      </c>
    </row>
    <row r="415" spans="1:5">
      <c r="A415" s="7" t="s">
        <v>2547</v>
      </c>
      <c r="B415" s="7" t="s">
        <v>2687</v>
      </c>
      <c r="C415" s="7" t="s">
        <v>5700</v>
      </c>
      <c r="D415" s="2" t="s">
        <v>5701</v>
      </c>
    </row>
    <row r="416" spans="1:5">
      <c r="A416" s="7" t="s">
        <v>2554</v>
      </c>
      <c r="B416" s="7" t="s">
        <v>5702</v>
      </c>
      <c r="C416" s="7" t="s">
        <v>5703</v>
      </c>
      <c r="D416" s="2" t="s">
        <v>5704</v>
      </c>
    </row>
    <row r="417" spans="1:5">
      <c r="A417" s="7" t="s">
        <v>2557</v>
      </c>
      <c r="B417" s="7" t="s">
        <v>5705</v>
      </c>
      <c r="C417" s="7" t="s">
        <v>5706</v>
      </c>
      <c r="D417" s="2" t="s">
        <v>5707</v>
      </c>
    </row>
    <row r="418" spans="1:5">
      <c r="A418" s="7" t="s">
        <v>2565</v>
      </c>
      <c r="B418" s="7" t="s">
        <v>2694</v>
      </c>
      <c r="C418" s="7" t="s">
        <v>5708</v>
      </c>
      <c r="D418" s="2" t="s">
        <v>5709</v>
      </c>
    </row>
    <row r="419" spans="1:5">
      <c r="A419" s="2" t="s">
        <v>599</v>
      </c>
      <c r="B419" s="2" t="s">
        <v>5710</v>
      </c>
    </row>
    <row r="420" spans="1:5">
      <c r="A420" s="2" t="s">
        <v>608</v>
      </c>
      <c r="B420" s="2" t="s">
        <v>5711</v>
      </c>
      <c r="D420" s="2"/>
      <c r="E420" s="2" t="s">
        <v>5712</v>
      </c>
    </row>
    <row r="421" spans="1:5"/>
    <row r="422" spans="1:5"/>
    <row r="423" spans="1:5"/>
    <row r="424" spans="1:5"/>
    <row r="425" spans="1:5"/>
    <row r="426" spans="1:5"/>
    <row r="427" spans="1:5"/>
    <row r="428" spans="1:5"/>
    <row r="429" spans="1:5"/>
    <row r="430" spans="1:5"/>
    <row r="431" spans="1:5"/>
    <row r="432" spans="1:5"/>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T993"/>
  <sheetViews>
    <sheetView workbookViewId="0"/>
  </sheetViews>
  <sheetFormatPr defaultColWidth="12.6640625" defaultRowHeight="15.75" customHeight="1"/>
  <cols>
    <col min="1" max="1" width="33.109375" customWidth="1"/>
    <col min="2" max="2" width="22.21875" customWidth="1"/>
    <col min="3" max="3" width="30.6640625" customWidth="1"/>
    <col min="4" max="4" width="9.21875" customWidth="1"/>
    <col min="5" max="5" width="7.6640625" customWidth="1"/>
    <col min="6" max="6" width="15.44140625" customWidth="1"/>
    <col min="7" max="7" width="9.77734375" customWidth="1"/>
    <col min="8" max="8" width="14" customWidth="1"/>
    <col min="9" max="9" width="25.44140625" customWidth="1"/>
    <col min="10" max="10" width="22.88671875" customWidth="1"/>
    <col min="11" max="11" width="11.109375" customWidth="1"/>
    <col min="12" max="12" width="9.21875" customWidth="1"/>
    <col min="13" max="13" width="13.44140625" customWidth="1"/>
    <col min="14" max="14" width="18.6640625" customWidth="1"/>
    <col min="15" max="15" width="8.77734375" customWidth="1"/>
    <col min="16" max="16" width="10.6640625" customWidth="1"/>
    <col min="17" max="17" width="18.77734375" customWidth="1"/>
    <col min="18" max="18" width="25.109375" customWidth="1"/>
    <col min="19" max="19" width="13.109375" customWidth="1"/>
    <col min="20" max="20" width="14.77734375" customWidth="1"/>
  </cols>
  <sheetData>
    <row r="1" spans="1:20">
      <c r="A1" s="7" t="s">
        <v>45</v>
      </c>
      <c r="B1" s="11" t="s">
        <v>6974</v>
      </c>
      <c r="C1" s="11" t="s">
        <v>5713</v>
      </c>
      <c r="D1" s="11" t="s">
        <v>8660</v>
      </c>
      <c r="E1" s="11" t="s">
        <v>8661</v>
      </c>
      <c r="F1" s="11" t="s">
        <v>8662</v>
      </c>
      <c r="G1" s="11" t="s">
        <v>8663</v>
      </c>
      <c r="H1" s="11" t="s">
        <v>8664</v>
      </c>
      <c r="I1" s="11" t="s">
        <v>8665</v>
      </c>
      <c r="J1" s="11" t="s">
        <v>8666</v>
      </c>
      <c r="K1" s="11" t="s">
        <v>8667</v>
      </c>
      <c r="L1" s="11" t="s">
        <v>8668</v>
      </c>
      <c r="M1" s="11" t="s">
        <v>8669</v>
      </c>
      <c r="N1" s="11" t="s">
        <v>8670</v>
      </c>
      <c r="O1" s="11" t="s">
        <v>8671</v>
      </c>
      <c r="P1" s="11" t="s">
        <v>8672</v>
      </c>
      <c r="Q1" s="11" t="s">
        <v>8673</v>
      </c>
      <c r="R1" s="11" t="s">
        <v>8674</v>
      </c>
      <c r="S1" s="11" t="s">
        <v>8675</v>
      </c>
      <c r="T1" s="11" t="s">
        <v>8676</v>
      </c>
    </row>
    <row r="2" spans="1:20">
      <c r="B2" s="7" t="s">
        <v>523</v>
      </c>
      <c r="C2" s="7" t="s">
        <v>5730</v>
      </c>
      <c r="D2" s="7" t="s">
        <v>5731</v>
      </c>
      <c r="E2" s="7">
        <v>0.27</v>
      </c>
      <c r="G2" s="7">
        <v>200</v>
      </c>
      <c r="H2" s="7" t="s">
        <v>7142</v>
      </c>
      <c r="I2" s="2" t="s">
        <v>8677</v>
      </c>
      <c r="J2" s="2" t="s">
        <v>5733</v>
      </c>
      <c r="K2" s="7">
        <v>0</v>
      </c>
      <c r="L2" s="7">
        <v>0</v>
      </c>
      <c r="M2" s="7" t="s">
        <v>8678</v>
      </c>
      <c r="O2" s="7">
        <v>2010</v>
      </c>
      <c r="P2" s="7">
        <v>2024</v>
      </c>
      <c r="Q2" s="2" t="s">
        <v>8679</v>
      </c>
      <c r="S2" s="2">
        <v>15</v>
      </c>
      <c r="T2" s="7" t="s">
        <v>7143</v>
      </c>
    </row>
    <row r="3" spans="1:20">
      <c r="B3" s="7" t="s">
        <v>523</v>
      </c>
      <c r="C3" s="7" t="s">
        <v>2578</v>
      </c>
      <c r="D3" s="7" t="s">
        <v>5736</v>
      </c>
      <c r="E3" s="7">
        <v>0.2</v>
      </c>
      <c r="G3" s="7">
        <v>198</v>
      </c>
      <c r="H3" s="7" t="s">
        <v>7143</v>
      </c>
      <c r="I3" s="7"/>
      <c r="K3" s="7">
        <v>0.2</v>
      </c>
      <c r="L3" s="2">
        <v>2</v>
      </c>
      <c r="M3" s="7" t="s">
        <v>8680</v>
      </c>
      <c r="O3" s="7">
        <v>2010</v>
      </c>
      <c r="P3" s="7">
        <v>2010</v>
      </c>
      <c r="Q3" s="7" t="s">
        <v>8681</v>
      </c>
      <c r="S3" s="2">
        <v>15</v>
      </c>
      <c r="T3" s="7" t="s">
        <v>7142</v>
      </c>
    </row>
    <row r="4" spans="1:20">
      <c r="B4" s="7" t="s">
        <v>423</v>
      </c>
      <c r="C4" s="7" t="s">
        <v>2614</v>
      </c>
      <c r="D4" s="16" t="s">
        <v>8682</v>
      </c>
      <c r="E4" s="7">
        <v>0.9</v>
      </c>
      <c r="F4" s="7">
        <v>0</v>
      </c>
      <c r="G4" s="7">
        <v>900</v>
      </c>
      <c r="H4" s="7" t="s">
        <v>7143</v>
      </c>
      <c r="K4" s="7">
        <v>0.9</v>
      </c>
      <c r="L4" s="7">
        <v>2</v>
      </c>
      <c r="M4" s="7" t="s">
        <v>8678</v>
      </c>
      <c r="O4" s="7">
        <v>2014</v>
      </c>
      <c r="P4" s="7">
        <v>2014</v>
      </c>
      <c r="Q4" s="7" t="s">
        <v>8683</v>
      </c>
      <c r="S4" s="7">
        <v>5</v>
      </c>
      <c r="T4" s="7" t="s">
        <v>7143</v>
      </c>
    </row>
    <row r="5" spans="1:20">
      <c r="B5" s="7" t="s">
        <v>531</v>
      </c>
      <c r="C5" s="7" t="s">
        <v>2599</v>
      </c>
      <c r="D5" s="16" t="s">
        <v>8682</v>
      </c>
      <c r="E5" s="7">
        <v>0.4</v>
      </c>
      <c r="F5" s="21">
        <v>0</v>
      </c>
      <c r="G5" s="7">
        <v>400</v>
      </c>
      <c r="H5" s="7" t="s">
        <v>7143</v>
      </c>
      <c r="K5" s="7">
        <v>0.4</v>
      </c>
      <c r="L5" s="7">
        <v>1.6</v>
      </c>
      <c r="M5" s="7" t="s">
        <v>8680</v>
      </c>
      <c r="O5" s="7">
        <v>1995</v>
      </c>
      <c r="P5" s="7">
        <v>2010</v>
      </c>
      <c r="Q5" s="7" t="s">
        <v>8679</v>
      </c>
      <c r="S5" s="7">
        <v>2</v>
      </c>
      <c r="T5" s="7" t="s">
        <v>7143</v>
      </c>
    </row>
    <row r="6" spans="1:20">
      <c r="B6" s="7" t="s">
        <v>531</v>
      </c>
      <c r="C6" s="7" t="s">
        <v>2602</v>
      </c>
      <c r="D6" s="16" t="s">
        <v>8684</v>
      </c>
      <c r="E6" s="7">
        <v>0.4</v>
      </c>
      <c r="F6" s="21">
        <v>0</v>
      </c>
      <c r="G6" s="7">
        <v>400</v>
      </c>
      <c r="H6" s="7" t="s">
        <v>7143</v>
      </c>
      <c r="K6" s="7">
        <v>0.4</v>
      </c>
      <c r="L6" s="7">
        <v>1.5</v>
      </c>
      <c r="M6" s="7" t="s">
        <v>8680</v>
      </c>
      <c r="O6" s="7">
        <v>1995</v>
      </c>
      <c r="P6" s="7">
        <v>2012</v>
      </c>
      <c r="Q6" s="7" t="s">
        <v>8679</v>
      </c>
      <c r="S6" s="7">
        <v>2</v>
      </c>
      <c r="T6" s="7" t="s">
        <v>7143</v>
      </c>
    </row>
    <row r="7" spans="1:20">
      <c r="B7" s="7" t="s">
        <v>531</v>
      </c>
      <c r="C7" s="7" t="s">
        <v>5740</v>
      </c>
      <c r="D7" s="16" t="s">
        <v>8685</v>
      </c>
      <c r="E7" s="7">
        <v>0.2</v>
      </c>
      <c r="F7" s="21">
        <v>0</v>
      </c>
      <c r="G7" s="7">
        <v>200</v>
      </c>
      <c r="H7" s="7" t="s">
        <v>7143</v>
      </c>
      <c r="K7" s="7">
        <v>0.2</v>
      </c>
      <c r="L7" s="7">
        <v>0.4</v>
      </c>
      <c r="M7" s="7" t="s">
        <v>8678</v>
      </c>
      <c r="O7" s="7">
        <v>2010</v>
      </c>
      <c r="P7" s="7">
        <v>2010</v>
      </c>
      <c r="Q7" s="7" t="s">
        <v>8681</v>
      </c>
      <c r="S7" s="7">
        <v>4</v>
      </c>
      <c r="T7" s="7" t="s">
        <v>7143</v>
      </c>
    </row>
    <row r="8" spans="1:20">
      <c r="B8" s="7" t="s">
        <v>1062</v>
      </c>
      <c r="C8" s="7" t="s">
        <v>2593</v>
      </c>
      <c r="D8" s="7" t="s">
        <v>5731</v>
      </c>
      <c r="E8" s="7">
        <v>0.18</v>
      </c>
      <c r="G8" s="7">
        <v>180</v>
      </c>
      <c r="H8" s="7" t="s">
        <v>7143</v>
      </c>
      <c r="K8" s="7">
        <v>0.18</v>
      </c>
      <c r="L8" s="7">
        <v>0.5</v>
      </c>
      <c r="M8" s="7" t="s">
        <v>8678</v>
      </c>
      <c r="O8" s="7">
        <v>2015</v>
      </c>
      <c r="P8" s="7">
        <v>2015</v>
      </c>
      <c r="Q8" s="7" t="s">
        <v>8679</v>
      </c>
      <c r="S8" s="7">
        <v>1</v>
      </c>
      <c r="T8" s="7" t="s">
        <v>7143</v>
      </c>
    </row>
    <row r="9" spans="1:20">
      <c r="B9" s="7" t="s">
        <v>1072</v>
      </c>
      <c r="C9" s="7" t="s">
        <v>2594</v>
      </c>
      <c r="D9" s="7" t="s">
        <v>5741</v>
      </c>
      <c r="E9" s="7">
        <v>0.6</v>
      </c>
      <c r="G9" s="7">
        <v>600</v>
      </c>
      <c r="H9" s="7" t="s">
        <v>7143</v>
      </c>
      <c r="K9" s="7">
        <v>0.6</v>
      </c>
      <c r="L9" s="7">
        <v>1.5</v>
      </c>
      <c r="M9" s="7" t="s">
        <v>8680</v>
      </c>
      <c r="O9" s="7">
        <v>2018</v>
      </c>
      <c r="P9" s="7">
        <v>2018</v>
      </c>
      <c r="Q9" s="7" t="s">
        <v>8681</v>
      </c>
      <c r="S9" s="7">
        <v>10</v>
      </c>
      <c r="T9" s="7" t="s">
        <v>7142</v>
      </c>
    </row>
    <row r="10" spans="1:20">
      <c r="B10" s="7" t="s">
        <v>2241</v>
      </c>
      <c r="C10" s="7" t="s">
        <v>2664</v>
      </c>
      <c r="D10" s="16" t="s">
        <v>8685</v>
      </c>
      <c r="E10" s="7">
        <v>0.8</v>
      </c>
      <c r="F10" s="7">
        <v>0</v>
      </c>
      <c r="G10" s="7">
        <v>800</v>
      </c>
      <c r="H10" s="7" t="s">
        <v>7142</v>
      </c>
      <c r="I10" s="7" t="s">
        <v>8686</v>
      </c>
      <c r="K10" s="2">
        <v>0.8</v>
      </c>
      <c r="L10" s="2">
        <v>3.5</v>
      </c>
      <c r="M10" s="7" t="s">
        <v>8680</v>
      </c>
      <c r="O10" s="7">
        <v>1999</v>
      </c>
      <c r="P10" s="7">
        <v>2016</v>
      </c>
      <c r="Q10" s="7" t="s">
        <v>8679</v>
      </c>
      <c r="S10" s="7">
        <v>3</v>
      </c>
      <c r="T10" s="7" t="s">
        <v>7142</v>
      </c>
    </row>
    <row r="11" spans="1:20">
      <c r="B11" s="7" t="s">
        <v>2241</v>
      </c>
      <c r="C11" s="7" t="s">
        <v>2663</v>
      </c>
      <c r="D11" s="16" t="s">
        <v>8682</v>
      </c>
      <c r="E11" s="7">
        <v>0.9</v>
      </c>
      <c r="F11" s="7">
        <v>0</v>
      </c>
      <c r="G11" s="7">
        <v>1000</v>
      </c>
      <c r="H11" s="7" t="s">
        <v>7142</v>
      </c>
      <c r="I11" s="7" t="s">
        <v>8687</v>
      </c>
      <c r="K11" s="7">
        <v>0</v>
      </c>
      <c r="L11" s="7">
        <v>0</v>
      </c>
      <c r="M11" s="7" t="s">
        <v>8680</v>
      </c>
      <c r="O11" s="7">
        <v>1999</v>
      </c>
      <c r="P11" s="7">
        <v>2025</v>
      </c>
      <c r="Q11" s="7" t="s">
        <v>8681</v>
      </c>
      <c r="S11" s="7">
        <v>3</v>
      </c>
      <c r="T11" s="7" t="s">
        <v>7142</v>
      </c>
    </row>
    <row r="12" spans="1:20">
      <c r="B12" s="7" t="s">
        <v>2271</v>
      </c>
      <c r="C12" s="7" t="s">
        <v>2667</v>
      </c>
      <c r="D12" s="16" t="s">
        <v>8684</v>
      </c>
      <c r="E12" s="7">
        <v>0.2</v>
      </c>
      <c r="F12" s="7">
        <v>0</v>
      </c>
      <c r="G12" s="7">
        <v>200</v>
      </c>
      <c r="H12" s="7" t="s">
        <v>7143</v>
      </c>
      <c r="K12" s="7">
        <v>0.2</v>
      </c>
      <c r="L12" s="7">
        <v>0.4</v>
      </c>
      <c r="M12" s="7" t="s">
        <v>8678</v>
      </c>
      <c r="O12" s="7">
        <v>2016</v>
      </c>
      <c r="P12" s="7">
        <v>2016</v>
      </c>
      <c r="Q12" s="7" t="s">
        <v>8681</v>
      </c>
      <c r="S12" s="7">
        <v>30</v>
      </c>
      <c r="T12" s="7" t="s">
        <v>7143</v>
      </c>
    </row>
    <row r="13" spans="1:20">
      <c r="B13" s="7" t="s">
        <v>2271</v>
      </c>
      <c r="C13" s="7" t="s">
        <v>2669</v>
      </c>
      <c r="D13" s="16" t="s">
        <v>8682</v>
      </c>
      <c r="E13" s="7">
        <v>0.4</v>
      </c>
      <c r="F13" s="7">
        <v>0</v>
      </c>
      <c r="G13" s="7">
        <v>400</v>
      </c>
      <c r="H13" s="7" t="s">
        <v>7142</v>
      </c>
      <c r="I13" s="7" t="s">
        <v>8687</v>
      </c>
      <c r="K13" s="7">
        <v>0.4</v>
      </c>
      <c r="L13" s="7">
        <v>0.8</v>
      </c>
      <c r="M13" s="7" t="s">
        <v>8678</v>
      </c>
      <c r="O13" s="7">
        <v>2003</v>
      </c>
      <c r="P13" s="7">
        <v>2020</v>
      </c>
      <c r="Q13" s="7" t="s">
        <v>8679</v>
      </c>
      <c r="S13" s="7">
        <v>30</v>
      </c>
      <c r="T13" s="7" t="s">
        <v>7143</v>
      </c>
    </row>
    <row r="14" spans="1:20">
      <c r="B14" s="7" t="s">
        <v>2369</v>
      </c>
      <c r="C14" s="7" t="s">
        <v>2675</v>
      </c>
      <c r="D14" s="16" t="s">
        <v>8684</v>
      </c>
      <c r="E14" s="7">
        <v>0.4</v>
      </c>
      <c r="F14" s="7">
        <v>0</v>
      </c>
      <c r="G14" s="7">
        <v>400</v>
      </c>
      <c r="H14" s="7" t="s">
        <v>7143</v>
      </c>
      <c r="K14" s="7">
        <v>0.4</v>
      </c>
      <c r="L14" s="7">
        <v>0.6</v>
      </c>
      <c r="M14" s="7" t="s">
        <v>8678</v>
      </c>
      <c r="O14" s="7">
        <v>1995</v>
      </c>
      <c r="P14" s="7">
        <v>2018</v>
      </c>
      <c r="Q14" s="7" t="s">
        <v>8679</v>
      </c>
      <c r="S14" s="7">
        <v>30</v>
      </c>
      <c r="T14" s="7" t="s">
        <v>7143</v>
      </c>
    </row>
    <row r="15" spans="1:20">
      <c r="B15" s="7" t="s">
        <v>2369</v>
      </c>
      <c r="C15" s="7" t="s">
        <v>2672</v>
      </c>
      <c r="D15" s="16" t="s">
        <v>8682</v>
      </c>
      <c r="E15" s="7">
        <v>0.3</v>
      </c>
      <c r="F15" s="7">
        <v>0</v>
      </c>
      <c r="G15" s="7">
        <v>300</v>
      </c>
      <c r="H15" s="7" t="s">
        <v>7143</v>
      </c>
      <c r="K15" s="7">
        <v>0.3</v>
      </c>
      <c r="L15" s="7">
        <v>0.4</v>
      </c>
      <c r="M15" s="7" t="s">
        <v>8678</v>
      </c>
      <c r="O15" s="7">
        <v>1995</v>
      </c>
      <c r="P15" s="7">
        <v>8</v>
      </c>
      <c r="Q15" s="7" t="s">
        <v>8679</v>
      </c>
      <c r="S15" s="7">
        <v>30</v>
      </c>
      <c r="T15" s="7" t="s">
        <v>7143</v>
      </c>
    </row>
    <row r="16" spans="1:20">
      <c r="B16" s="7" t="s">
        <v>2523</v>
      </c>
      <c r="C16" s="7" t="s">
        <v>2682</v>
      </c>
      <c r="D16" s="16" t="s">
        <v>8684</v>
      </c>
      <c r="E16" s="7">
        <v>2</v>
      </c>
      <c r="F16" s="7">
        <v>0</v>
      </c>
      <c r="G16" s="7">
        <v>2000</v>
      </c>
      <c r="H16" s="7" t="s">
        <v>7142</v>
      </c>
      <c r="I16" s="7" t="s">
        <v>8687</v>
      </c>
      <c r="K16" s="7">
        <v>0</v>
      </c>
      <c r="L16" s="7">
        <v>0</v>
      </c>
      <c r="M16" s="7" t="s">
        <v>8680</v>
      </c>
      <c r="O16" s="7">
        <v>2024</v>
      </c>
      <c r="P16" s="7">
        <v>2024</v>
      </c>
      <c r="Q16" s="7" t="s">
        <v>8688</v>
      </c>
      <c r="S16" s="7">
        <v>25</v>
      </c>
      <c r="T16" s="7" t="s">
        <v>7142</v>
      </c>
    </row>
    <row r="17" spans="2:20">
      <c r="B17" s="7" t="s">
        <v>2523</v>
      </c>
      <c r="C17" s="7" t="s">
        <v>2685</v>
      </c>
      <c r="D17" s="16" t="s">
        <v>8682</v>
      </c>
      <c r="E17" s="7">
        <v>2</v>
      </c>
      <c r="F17" s="7">
        <v>0</v>
      </c>
      <c r="G17" s="7">
        <v>2000</v>
      </c>
      <c r="H17" s="7" t="s">
        <v>7143</v>
      </c>
      <c r="K17" s="7">
        <v>2</v>
      </c>
      <c r="L17" s="7">
        <v>8</v>
      </c>
      <c r="M17" s="7" t="s">
        <v>8680</v>
      </c>
      <c r="O17" s="7">
        <v>2007</v>
      </c>
      <c r="P17" s="7">
        <v>2007</v>
      </c>
      <c r="Q17" s="7" t="s">
        <v>8688</v>
      </c>
      <c r="S17" s="7">
        <v>25</v>
      </c>
      <c r="T17" s="7" t="s">
        <v>7142</v>
      </c>
    </row>
    <row r="18" spans="2:20">
      <c r="B18" s="7" t="s">
        <v>2547</v>
      </c>
      <c r="C18" s="7" t="s">
        <v>2687</v>
      </c>
      <c r="D18" s="16" t="s">
        <v>8682</v>
      </c>
      <c r="E18" s="7">
        <v>0.4</v>
      </c>
      <c r="F18" s="7">
        <v>0</v>
      </c>
      <c r="G18" s="7">
        <v>400</v>
      </c>
      <c r="H18" s="7" t="s">
        <v>7142</v>
      </c>
      <c r="I18" s="7" t="s">
        <v>8687</v>
      </c>
      <c r="K18" s="7">
        <v>0.4</v>
      </c>
      <c r="L18" s="2">
        <v>0.8</v>
      </c>
      <c r="M18" s="7" t="s">
        <v>8680</v>
      </c>
      <c r="O18" s="2">
        <v>1999</v>
      </c>
      <c r="P18" s="2">
        <v>1999</v>
      </c>
      <c r="Q18" s="7" t="s">
        <v>8681</v>
      </c>
      <c r="S18" s="2">
        <v>30</v>
      </c>
      <c r="T18" s="2" t="s">
        <v>7142</v>
      </c>
    </row>
    <row r="19" spans="2:20">
      <c r="B19" s="7" t="s">
        <v>2547</v>
      </c>
      <c r="C19" s="7" t="s">
        <v>2690</v>
      </c>
      <c r="D19" s="16" t="s">
        <v>8684</v>
      </c>
      <c r="E19" s="7">
        <v>0.9</v>
      </c>
      <c r="F19" s="7">
        <v>0</v>
      </c>
      <c r="G19" s="7">
        <v>900</v>
      </c>
      <c r="H19" s="7" t="s">
        <v>7142</v>
      </c>
      <c r="I19" s="7" t="s">
        <v>8687</v>
      </c>
      <c r="K19" s="7">
        <v>0.9</v>
      </c>
      <c r="L19" s="2">
        <v>1.8</v>
      </c>
      <c r="M19" s="7" t="s">
        <v>8680</v>
      </c>
      <c r="O19" s="2">
        <v>2000</v>
      </c>
      <c r="P19" s="2">
        <v>2000</v>
      </c>
      <c r="Q19" s="2" t="s">
        <v>8681</v>
      </c>
      <c r="S19" s="2">
        <v>30</v>
      </c>
      <c r="T19" s="2" t="s">
        <v>7142</v>
      </c>
    </row>
    <row r="20" spans="2:20">
      <c r="B20" s="7" t="s">
        <v>2565</v>
      </c>
      <c r="C20" s="7" t="s">
        <v>2694</v>
      </c>
      <c r="D20" s="7" t="s">
        <v>5731</v>
      </c>
      <c r="E20" s="7">
        <v>0.5</v>
      </c>
      <c r="G20" s="7">
        <v>500</v>
      </c>
      <c r="H20" s="7" t="s">
        <v>7143</v>
      </c>
      <c r="K20" s="7">
        <v>0.5</v>
      </c>
      <c r="L20" s="7">
        <v>1.5</v>
      </c>
      <c r="M20" s="7" t="s">
        <v>8680</v>
      </c>
      <c r="O20" s="7">
        <v>2005</v>
      </c>
      <c r="P20" s="7">
        <v>2005</v>
      </c>
      <c r="Q20" s="7" t="s">
        <v>8681</v>
      </c>
      <c r="S20" s="7">
        <v>15</v>
      </c>
      <c r="T20" s="7" t="s">
        <v>7142</v>
      </c>
    </row>
    <row r="21" spans="2:20">
      <c r="B21" s="7" t="s">
        <v>2565</v>
      </c>
      <c r="C21" s="7" t="s">
        <v>2698</v>
      </c>
      <c r="D21" s="7" t="s">
        <v>5743</v>
      </c>
      <c r="E21" s="7">
        <v>0.35</v>
      </c>
      <c r="G21" s="7">
        <v>350</v>
      </c>
      <c r="H21" s="7" t="s">
        <v>7143</v>
      </c>
      <c r="K21" s="7">
        <v>0.35</v>
      </c>
      <c r="L21" s="7">
        <v>1</v>
      </c>
      <c r="M21" s="7" t="s">
        <v>8678</v>
      </c>
      <c r="O21" s="2">
        <v>2005</v>
      </c>
      <c r="P21" s="2">
        <v>2005</v>
      </c>
      <c r="Q21" s="2" t="s">
        <v>8681</v>
      </c>
      <c r="S21" s="2">
        <v>10</v>
      </c>
      <c r="T21" s="7" t="s">
        <v>7143</v>
      </c>
    </row>
    <row r="22" spans="2:20">
      <c r="B22" s="2" t="s">
        <v>292</v>
      </c>
      <c r="C22" s="2" t="s">
        <v>2628</v>
      </c>
      <c r="D22" s="2"/>
      <c r="E22" s="2">
        <v>0.5</v>
      </c>
      <c r="F22" s="2">
        <v>0</v>
      </c>
      <c r="G22" s="2">
        <v>500</v>
      </c>
      <c r="H22" s="2" t="s">
        <v>7143</v>
      </c>
      <c r="K22" s="2">
        <v>0.5</v>
      </c>
      <c r="L22" s="2">
        <v>1.2</v>
      </c>
      <c r="M22" s="2" t="s">
        <v>8680</v>
      </c>
      <c r="O22" s="2">
        <v>1996</v>
      </c>
      <c r="P22" s="2">
        <v>2013</v>
      </c>
      <c r="Q22" s="2" t="s">
        <v>8679</v>
      </c>
      <c r="T22" s="2" t="s">
        <v>7142</v>
      </c>
    </row>
    <row r="23" spans="2:20">
      <c r="B23" s="2" t="s">
        <v>292</v>
      </c>
      <c r="C23" s="2" t="s">
        <v>5744</v>
      </c>
      <c r="D23" s="2" t="s">
        <v>5745</v>
      </c>
      <c r="E23" s="2">
        <v>0.2</v>
      </c>
      <c r="F23" s="2"/>
      <c r="G23" s="2">
        <v>200</v>
      </c>
      <c r="H23" s="2" t="s">
        <v>7143</v>
      </c>
      <c r="K23" s="2">
        <v>0.2</v>
      </c>
      <c r="L23" s="2">
        <v>0.8</v>
      </c>
      <c r="M23" s="2" t="s">
        <v>8680</v>
      </c>
      <c r="O23" s="2">
        <v>2013</v>
      </c>
      <c r="P23" s="2">
        <v>2013</v>
      </c>
      <c r="Q23" s="2" t="s">
        <v>8679</v>
      </c>
      <c r="T23" s="2" t="s">
        <v>7143</v>
      </c>
    </row>
    <row r="24" spans="2:20">
      <c r="B24" s="2" t="s">
        <v>292</v>
      </c>
      <c r="C24" s="2" t="s">
        <v>2700</v>
      </c>
      <c r="D24" s="2" t="s">
        <v>5745</v>
      </c>
      <c r="E24" s="2">
        <v>0.2</v>
      </c>
      <c r="F24" s="2"/>
      <c r="G24" s="2">
        <v>200</v>
      </c>
      <c r="H24" s="2" t="s">
        <v>7143</v>
      </c>
      <c r="K24" s="2">
        <v>0.2</v>
      </c>
      <c r="L24" s="2">
        <v>1</v>
      </c>
      <c r="M24" s="2" t="s">
        <v>8680</v>
      </c>
      <c r="O24" s="2">
        <v>1996</v>
      </c>
      <c r="P24" s="2">
        <v>2014</v>
      </c>
      <c r="Q24" s="2" t="s">
        <v>8679</v>
      </c>
      <c r="T24" s="2" t="s">
        <v>7142</v>
      </c>
    </row>
    <row r="25" spans="2:20">
      <c r="B25" s="2" t="s">
        <v>305</v>
      </c>
      <c r="C25" s="2" t="s">
        <v>5746</v>
      </c>
      <c r="D25" s="2" t="s">
        <v>5747</v>
      </c>
      <c r="E25" s="2">
        <v>0.1</v>
      </c>
      <c r="F25" s="2"/>
      <c r="G25" s="2">
        <v>100</v>
      </c>
      <c r="H25" s="2" t="s">
        <v>7142</v>
      </c>
      <c r="I25" s="2" t="s">
        <v>8687</v>
      </c>
      <c r="K25" s="2">
        <v>0.1</v>
      </c>
      <c r="M25" s="2" t="s">
        <v>8680</v>
      </c>
      <c r="O25" s="2">
        <v>2013</v>
      </c>
      <c r="Q25" s="2" t="s">
        <v>8679</v>
      </c>
      <c r="T25" s="2" t="s">
        <v>7142</v>
      </c>
    </row>
    <row r="26" spans="2:20">
      <c r="B26" s="2" t="s">
        <v>305</v>
      </c>
      <c r="C26" s="2" t="s">
        <v>2702</v>
      </c>
      <c r="D26" s="2" t="s">
        <v>5745</v>
      </c>
      <c r="E26" s="2">
        <v>0.2</v>
      </c>
      <c r="F26" s="2"/>
      <c r="G26" s="2">
        <v>200</v>
      </c>
      <c r="H26" s="2" t="s">
        <v>7142</v>
      </c>
      <c r="I26" s="2" t="s">
        <v>8687</v>
      </c>
      <c r="K26" s="2">
        <v>0.2</v>
      </c>
      <c r="L26" s="2">
        <v>0.8</v>
      </c>
      <c r="M26" s="2" t="s">
        <v>8680</v>
      </c>
      <c r="O26" s="2">
        <v>1996</v>
      </c>
      <c r="P26" s="2">
        <v>2013</v>
      </c>
      <c r="Q26" s="2" t="s">
        <v>8679</v>
      </c>
      <c r="T26" s="2" t="s">
        <v>7142</v>
      </c>
    </row>
    <row r="27" spans="2:20">
      <c r="B27" s="2" t="s">
        <v>315</v>
      </c>
      <c r="C27" s="2" t="s">
        <v>5748</v>
      </c>
      <c r="D27" s="2" t="s">
        <v>5749</v>
      </c>
      <c r="E27" s="2">
        <v>0.2</v>
      </c>
      <c r="F27" s="2"/>
      <c r="G27" s="2">
        <v>200</v>
      </c>
      <c r="H27" s="2" t="s">
        <v>7142</v>
      </c>
      <c r="I27" s="2" t="s">
        <v>8687</v>
      </c>
      <c r="K27" s="2">
        <v>0.2</v>
      </c>
      <c r="L27" s="2">
        <v>0.81</v>
      </c>
      <c r="M27" s="2" t="s">
        <v>8678</v>
      </c>
      <c r="O27" s="2">
        <v>2013</v>
      </c>
      <c r="P27" s="2">
        <v>2013</v>
      </c>
      <c r="Q27" s="2" t="s">
        <v>8689</v>
      </c>
      <c r="T27" s="2" t="s">
        <v>7142</v>
      </c>
    </row>
    <row r="28" spans="2:20">
      <c r="B28" s="2" t="s">
        <v>315</v>
      </c>
      <c r="C28" s="2" t="s">
        <v>4514</v>
      </c>
      <c r="D28" s="2" t="s">
        <v>5751</v>
      </c>
      <c r="E28" s="2">
        <v>0.5</v>
      </c>
      <c r="F28" s="2"/>
      <c r="G28" s="2">
        <v>500</v>
      </c>
      <c r="H28" s="2" t="s">
        <v>7143</v>
      </c>
      <c r="K28" s="2">
        <v>0.5</v>
      </c>
      <c r="L28" s="2">
        <v>1.5</v>
      </c>
      <c r="M28" s="2" t="s">
        <v>8680</v>
      </c>
      <c r="P28" s="2">
        <v>1996</v>
      </c>
      <c r="Q28" s="2" t="s">
        <v>8679</v>
      </c>
      <c r="T28" s="2" t="s">
        <v>7142</v>
      </c>
    </row>
    <row r="29" spans="2:20">
      <c r="B29" s="2" t="s">
        <v>315</v>
      </c>
      <c r="C29" s="2" t="s">
        <v>5752</v>
      </c>
      <c r="D29" s="2" t="s">
        <v>5753</v>
      </c>
      <c r="E29" s="2">
        <v>0.3</v>
      </c>
      <c r="F29" s="2"/>
      <c r="G29" s="2">
        <v>300</v>
      </c>
      <c r="H29" s="2" t="s">
        <v>7142</v>
      </c>
      <c r="I29" s="2" t="s">
        <v>8687</v>
      </c>
      <c r="K29" s="2">
        <v>0.3</v>
      </c>
      <c r="L29" s="2">
        <v>1</v>
      </c>
      <c r="M29" s="2" t="s">
        <v>8680</v>
      </c>
      <c r="P29" s="2">
        <v>2010</v>
      </c>
      <c r="Q29" s="2" t="s">
        <v>8689</v>
      </c>
    </row>
    <row r="30" spans="2:20">
      <c r="B30" s="2" t="s">
        <v>315</v>
      </c>
      <c r="C30" s="2" t="s">
        <v>5754</v>
      </c>
      <c r="D30" s="2" t="s">
        <v>5745</v>
      </c>
      <c r="E30" s="2">
        <v>0.2</v>
      </c>
      <c r="F30" s="2"/>
      <c r="G30" s="2">
        <v>200</v>
      </c>
      <c r="H30" s="2" t="s">
        <v>7143</v>
      </c>
      <c r="K30" s="2">
        <v>0.2</v>
      </c>
      <c r="L30" s="2">
        <v>0.82</v>
      </c>
      <c r="M30" s="2" t="s">
        <v>8678</v>
      </c>
      <c r="O30" s="2">
        <v>2016</v>
      </c>
      <c r="P30" s="2">
        <v>2016</v>
      </c>
      <c r="Q30" s="2" t="s">
        <v>8683</v>
      </c>
      <c r="T30" s="2" t="s">
        <v>7143</v>
      </c>
    </row>
    <row r="31" spans="2:20">
      <c r="B31" s="2" t="s">
        <v>799</v>
      </c>
      <c r="C31" s="2" t="s">
        <v>5755</v>
      </c>
      <c r="D31" s="2" t="s">
        <v>5736</v>
      </c>
      <c r="E31" s="2">
        <v>0.3</v>
      </c>
      <c r="G31" s="2">
        <v>300</v>
      </c>
      <c r="H31" s="2" t="s">
        <v>7143</v>
      </c>
      <c r="K31" s="2">
        <v>0.3</v>
      </c>
      <c r="L31" s="2">
        <v>0.5</v>
      </c>
      <c r="M31" s="2" t="s">
        <v>8678</v>
      </c>
      <c r="O31" s="2">
        <v>2012</v>
      </c>
      <c r="P31" s="2">
        <v>2012</v>
      </c>
      <c r="Q31" s="2" t="s">
        <v>8681</v>
      </c>
      <c r="S31" s="2">
        <v>30</v>
      </c>
      <c r="T31" s="2" t="s">
        <v>7143</v>
      </c>
    </row>
    <row r="32" spans="2:20">
      <c r="B32" s="2" t="s">
        <v>799</v>
      </c>
      <c r="C32" s="2" t="s">
        <v>5756</v>
      </c>
      <c r="D32" s="2" t="s">
        <v>5731</v>
      </c>
      <c r="E32" s="2">
        <v>0.4</v>
      </c>
      <c r="G32" s="2">
        <v>400</v>
      </c>
      <c r="H32" s="2" t="s">
        <v>7143</v>
      </c>
      <c r="K32" s="2">
        <v>0.4</v>
      </c>
      <c r="L32" s="2">
        <v>0.7</v>
      </c>
      <c r="M32" s="2" t="s">
        <v>8678</v>
      </c>
      <c r="O32" s="2">
        <v>2018</v>
      </c>
      <c r="P32" s="2">
        <v>2018</v>
      </c>
      <c r="Q32" s="2" t="s">
        <v>8681</v>
      </c>
      <c r="S32" s="2">
        <v>30</v>
      </c>
      <c r="T32" s="2" t="s">
        <v>7143</v>
      </c>
    </row>
    <row r="33" spans="2:20">
      <c r="B33" s="2" t="s">
        <v>799</v>
      </c>
      <c r="C33" s="2" t="s">
        <v>5757</v>
      </c>
      <c r="D33" s="2" t="s">
        <v>5758</v>
      </c>
      <c r="E33" s="2">
        <v>0.2</v>
      </c>
      <c r="G33" s="2">
        <v>200</v>
      </c>
      <c r="H33" s="2" t="s">
        <v>7143</v>
      </c>
      <c r="K33" s="2">
        <v>0.2</v>
      </c>
      <c r="L33" s="2">
        <v>0.3</v>
      </c>
      <c r="M33" s="2" t="s">
        <v>8678</v>
      </c>
      <c r="O33" s="2">
        <v>2015</v>
      </c>
      <c r="P33" s="2">
        <v>2015</v>
      </c>
      <c r="Q33" s="2" t="s">
        <v>8681</v>
      </c>
      <c r="S33" s="2">
        <v>30</v>
      </c>
      <c r="T33" s="2" t="s">
        <v>7143</v>
      </c>
    </row>
    <row r="34" spans="2:20">
      <c r="B34" s="2" t="s">
        <v>799</v>
      </c>
      <c r="C34" s="2" t="s">
        <v>5759</v>
      </c>
      <c r="D34" s="2" t="s">
        <v>5743</v>
      </c>
      <c r="E34" s="2">
        <v>0.2</v>
      </c>
      <c r="G34" s="2">
        <v>200</v>
      </c>
      <c r="H34" s="2" t="s">
        <v>7143</v>
      </c>
      <c r="K34" s="2">
        <v>0.2</v>
      </c>
      <c r="L34" s="2">
        <v>0.5</v>
      </c>
      <c r="M34" s="2" t="s">
        <v>8678</v>
      </c>
      <c r="O34" s="2">
        <v>2013</v>
      </c>
      <c r="P34" s="2">
        <v>2013</v>
      </c>
      <c r="Q34" s="2" t="s">
        <v>8681</v>
      </c>
      <c r="S34" s="2">
        <v>30</v>
      </c>
      <c r="T34" s="2" t="s">
        <v>7143</v>
      </c>
    </row>
    <row r="35" spans="2:20">
      <c r="B35" s="2" t="s">
        <v>337</v>
      </c>
      <c r="C35" s="2" t="s">
        <v>5760</v>
      </c>
      <c r="E35" s="2">
        <v>0.5</v>
      </c>
      <c r="G35" s="2">
        <v>500</v>
      </c>
      <c r="H35" s="2" t="s">
        <v>7143</v>
      </c>
      <c r="K35" s="2">
        <v>0.5</v>
      </c>
      <c r="L35" s="2">
        <v>1</v>
      </c>
      <c r="M35" s="2" t="s">
        <v>8678</v>
      </c>
      <c r="P35" s="2">
        <v>2022</v>
      </c>
      <c r="Q35" s="2" t="s">
        <v>8683</v>
      </c>
      <c r="T35" s="2" t="s">
        <v>7142</v>
      </c>
    </row>
    <row r="36" spans="2:20">
      <c r="B36" s="2" t="s">
        <v>337</v>
      </c>
      <c r="C36" s="2" t="s">
        <v>5761</v>
      </c>
      <c r="E36" s="2">
        <v>0.7</v>
      </c>
      <c r="G36" s="2">
        <v>700</v>
      </c>
      <c r="H36" s="2" t="s">
        <v>7142</v>
      </c>
      <c r="I36" s="2" t="s">
        <v>8687</v>
      </c>
      <c r="K36" s="2">
        <v>0.7</v>
      </c>
      <c r="L36" s="2">
        <v>2</v>
      </c>
      <c r="M36" s="2" t="s">
        <v>8680</v>
      </c>
      <c r="P36" s="2">
        <v>2016</v>
      </c>
      <c r="Q36" s="2" t="s">
        <v>8679</v>
      </c>
      <c r="T36" s="2" t="s">
        <v>7142</v>
      </c>
    </row>
    <row r="37" spans="2:20">
      <c r="B37" s="2" t="s">
        <v>344</v>
      </c>
      <c r="C37" s="2" t="s">
        <v>5762</v>
      </c>
      <c r="E37" s="2">
        <v>1.5</v>
      </c>
      <c r="G37" s="2">
        <v>1500</v>
      </c>
      <c r="H37" s="2" t="s">
        <v>7142</v>
      </c>
      <c r="I37" s="2" t="s">
        <v>8687</v>
      </c>
      <c r="K37" s="2">
        <v>0.5</v>
      </c>
      <c r="L37" s="2">
        <v>2</v>
      </c>
      <c r="M37" s="2" t="s">
        <v>8678</v>
      </c>
      <c r="O37" s="2">
        <v>2023</v>
      </c>
      <c r="Q37" s="2" t="s">
        <v>8679</v>
      </c>
      <c r="T37" s="2" t="s">
        <v>7142</v>
      </c>
    </row>
    <row r="38" spans="2:20">
      <c r="B38" s="2" t="s">
        <v>344</v>
      </c>
      <c r="C38" s="2" t="s">
        <v>5763</v>
      </c>
      <c r="E38" s="2">
        <v>3.5</v>
      </c>
      <c r="G38" s="2">
        <v>3500</v>
      </c>
      <c r="H38" s="2" t="s">
        <v>7142</v>
      </c>
      <c r="I38" s="2" t="s">
        <v>8686</v>
      </c>
      <c r="K38" s="2">
        <v>3.5</v>
      </c>
      <c r="L38" s="2">
        <v>10</v>
      </c>
      <c r="M38" s="2" t="s">
        <v>8680</v>
      </c>
      <c r="O38" s="2">
        <v>1998</v>
      </c>
      <c r="P38" s="2">
        <v>2014</v>
      </c>
      <c r="Q38" s="2" t="s">
        <v>8679</v>
      </c>
      <c r="T38" s="2" t="s">
        <v>7142</v>
      </c>
    </row>
    <row r="39" spans="2:20">
      <c r="B39" s="2" t="s">
        <v>349</v>
      </c>
      <c r="C39" s="2" t="s">
        <v>5764</v>
      </c>
      <c r="E39" s="2">
        <v>0.1</v>
      </c>
      <c r="G39" s="2">
        <v>100</v>
      </c>
      <c r="H39" s="2" t="s">
        <v>7142</v>
      </c>
      <c r="I39" s="2" t="s">
        <v>8686</v>
      </c>
      <c r="K39" s="2">
        <v>0.1</v>
      </c>
      <c r="L39" s="2">
        <v>0.75</v>
      </c>
      <c r="M39" s="2" t="s">
        <v>8680</v>
      </c>
      <c r="P39" s="2">
        <v>2022</v>
      </c>
      <c r="Q39" s="2" t="s">
        <v>8679</v>
      </c>
      <c r="T39" s="2" t="s">
        <v>7142</v>
      </c>
    </row>
    <row r="40" spans="2:20">
      <c r="B40" s="2" t="s">
        <v>349</v>
      </c>
      <c r="C40" s="2" t="s">
        <v>5765</v>
      </c>
      <c r="E40" s="2">
        <v>0.4</v>
      </c>
      <c r="G40" s="2">
        <v>400</v>
      </c>
      <c r="H40" s="2" t="s">
        <v>7142</v>
      </c>
      <c r="I40" s="2" t="s">
        <v>8690</v>
      </c>
      <c r="K40" s="2">
        <v>0.4</v>
      </c>
      <c r="L40" s="2">
        <v>1.5</v>
      </c>
      <c r="M40" s="2" t="s">
        <v>8680</v>
      </c>
      <c r="O40" s="2">
        <v>2010</v>
      </c>
      <c r="Q40" s="2" t="s">
        <v>8679</v>
      </c>
      <c r="T40" s="2" t="s">
        <v>7142</v>
      </c>
    </row>
    <row r="41" spans="2:20">
      <c r="B41" s="2" t="s">
        <v>349</v>
      </c>
      <c r="C41" s="2" t="s">
        <v>5767</v>
      </c>
      <c r="E41" s="2">
        <v>0.2</v>
      </c>
      <c r="G41" s="2">
        <v>200</v>
      </c>
      <c r="H41" s="2" t="s">
        <v>7142</v>
      </c>
      <c r="I41" s="2" t="s">
        <v>8686</v>
      </c>
      <c r="L41" s="2">
        <v>0.2</v>
      </c>
      <c r="M41" s="2" t="s">
        <v>8680</v>
      </c>
      <c r="O41" s="2">
        <v>2018</v>
      </c>
      <c r="Q41" s="2" t="s">
        <v>8679</v>
      </c>
      <c r="S41" s="2">
        <v>50</v>
      </c>
      <c r="T41" s="2" t="s">
        <v>7142</v>
      </c>
    </row>
    <row r="42" spans="2:20">
      <c r="B42" s="2" t="s">
        <v>349</v>
      </c>
      <c r="C42" s="2" t="s">
        <v>5768</v>
      </c>
      <c r="E42" s="2">
        <v>0.1</v>
      </c>
      <c r="G42" s="2">
        <v>100</v>
      </c>
      <c r="H42" s="2" t="s">
        <v>7143</v>
      </c>
      <c r="K42" s="2">
        <v>0.1</v>
      </c>
      <c r="L42" s="2">
        <v>0.75</v>
      </c>
      <c r="M42" s="2" t="s">
        <v>8680</v>
      </c>
      <c r="P42" s="2">
        <v>2018</v>
      </c>
      <c r="Q42" s="2" t="s">
        <v>8679</v>
      </c>
      <c r="T42" s="2" t="s">
        <v>7142</v>
      </c>
    </row>
    <row r="43" spans="2:20">
      <c r="B43" s="2" t="s">
        <v>820</v>
      </c>
      <c r="C43" s="2" t="s">
        <v>5769</v>
      </c>
      <c r="D43" s="2" t="s">
        <v>5736</v>
      </c>
      <c r="E43" s="2">
        <v>0.2</v>
      </c>
      <c r="G43" s="2">
        <v>200</v>
      </c>
      <c r="H43" s="2" t="s">
        <v>7143</v>
      </c>
      <c r="K43" s="2">
        <v>0</v>
      </c>
      <c r="L43" s="2">
        <v>0</v>
      </c>
      <c r="M43" s="2" t="s">
        <v>8678</v>
      </c>
      <c r="O43" s="2">
        <v>2024</v>
      </c>
      <c r="P43" s="2">
        <v>2024</v>
      </c>
      <c r="Q43" s="2" t="s">
        <v>8679</v>
      </c>
      <c r="S43" s="2">
        <v>30</v>
      </c>
      <c r="T43" s="2" t="s">
        <v>7143</v>
      </c>
    </row>
    <row r="44" spans="2:20">
      <c r="B44" s="2" t="s">
        <v>820</v>
      </c>
      <c r="C44" s="2" t="s">
        <v>5770</v>
      </c>
      <c r="D44" s="2" t="s">
        <v>5731</v>
      </c>
      <c r="E44" s="2">
        <v>1</v>
      </c>
      <c r="G44" s="2">
        <v>1100</v>
      </c>
      <c r="H44" s="2" t="s">
        <v>7142</v>
      </c>
      <c r="I44" s="2" t="s">
        <v>8686</v>
      </c>
      <c r="K44" s="2">
        <v>0</v>
      </c>
      <c r="L44" s="2">
        <v>0</v>
      </c>
      <c r="M44" s="2" t="s">
        <v>8680</v>
      </c>
      <c r="O44" s="2">
        <v>2024</v>
      </c>
      <c r="P44" s="2">
        <v>2024</v>
      </c>
      <c r="Q44" s="2" t="s">
        <v>8691</v>
      </c>
      <c r="S44" s="2">
        <v>20</v>
      </c>
      <c r="T44" s="2" t="s">
        <v>7142</v>
      </c>
    </row>
    <row r="45" spans="2:20">
      <c r="B45" s="2" t="s">
        <v>919</v>
      </c>
      <c r="C45" s="2" t="s">
        <v>5772</v>
      </c>
      <c r="D45" s="2" t="s">
        <v>5731</v>
      </c>
      <c r="E45" s="2">
        <v>0.4</v>
      </c>
      <c r="G45" s="2">
        <v>500</v>
      </c>
      <c r="H45" s="2" t="s">
        <v>7142</v>
      </c>
      <c r="I45" s="2" t="s">
        <v>8692</v>
      </c>
      <c r="K45" s="2">
        <v>0.4</v>
      </c>
      <c r="L45" s="2">
        <v>1</v>
      </c>
      <c r="M45" s="2" t="s">
        <v>8680</v>
      </c>
      <c r="O45" s="2">
        <v>1999</v>
      </c>
      <c r="P45" s="2">
        <v>1999</v>
      </c>
      <c r="Q45" s="2" t="s">
        <v>8681</v>
      </c>
      <c r="S45" s="2">
        <v>20</v>
      </c>
      <c r="T45" s="2" t="s">
        <v>7142</v>
      </c>
    </row>
    <row r="46" spans="2:20">
      <c r="B46" s="2" t="s">
        <v>919</v>
      </c>
      <c r="C46" s="2" t="s">
        <v>5774</v>
      </c>
      <c r="D46" s="2" t="s">
        <v>5758</v>
      </c>
      <c r="E46" s="2">
        <v>0.2</v>
      </c>
      <c r="G46" s="2">
        <v>200</v>
      </c>
      <c r="H46" s="2" t="s">
        <v>7143</v>
      </c>
      <c r="K46" s="2">
        <v>0.2</v>
      </c>
      <c r="L46" s="2">
        <v>0.6</v>
      </c>
      <c r="M46" s="2" t="s">
        <v>8680</v>
      </c>
      <c r="O46" s="2">
        <v>2014</v>
      </c>
      <c r="P46" s="2">
        <v>2014</v>
      </c>
      <c r="Q46" s="2" t="s">
        <v>8681</v>
      </c>
      <c r="S46" s="2">
        <v>10</v>
      </c>
      <c r="T46" s="2" t="s">
        <v>7142</v>
      </c>
    </row>
    <row r="47" spans="2:20">
      <c r="B47" s="2" t="s">
        <v>919</v>
      </c>
      <c r="C47" s="2" t="s">
        <v>5775</v>
      </c>
      <c r="D47" s="2" t="s">
        <v>5731</v>
      </c>
      <c r="E47" s="2">
        <v>0.2</v>
      </c>
      <c r="G47" s="2">
        <v>200</v>
      </c>
      <c r="H47" s="2" t="s">
        <v>7143</v>
      </c>
      <c r="K47" s="2">
        <v>0.2</v>
      </c>
      <c r="L47" s="2">
        <v>0.8</v>
      </c>
      <c r="M47" s="2" t="s">
        <v>8680</v>
      </c>
      <c r="O47" s="2">
        <v>2015</v>
      </c>
      <c r="P47" s="2">
        <v>2015</v>
      </c>
      <c r="Q47" s="2" t="s">
        <v>8688</v>
      </c>
      <c r="S47" s="2">
        <v>20</v>
      </c>
      <c r="T47" s="2" t="s">
        <v>7142</v>
      </c>
    </row>
    <row r="48" spans="2:20">
      <c r="B48" s="2" t="s">
        <v>919</v>
      </c>
      <c r="C48" s="2" t="s">
        <v>5776</v>
      </c>
      <c r="D48" s="2" t="s">
        <v>5743</v>
      </c>
      <c r="E48" s="2">
        <v>0.2</v>
      </c>
      <c r="G48" s="2">
        <v>200</v>
      </c>
      <c r="H48" s="2" t="s">
        <v>7143</v>
      </c>
      <c r="K48" s="2">
        <v>0.2</v>
      </c>
      <c r="L48" s="2">
        <v>0.6</v>
      </c>
      <c r="M48" s="2" t="s">
        <v>8680</v>
      </c>
      <c r="O48" s="2">
        <v>2014</v>
      </c>
      <c r="P48" s="2">
        <v>2014</v>
      </c>
      <c r="Q48" s="2" t="s">
        <v>8679</v>
      </c>
      <c r="S48" s="2">
        <v>10</v>
      </c>
      <c r="T48" s="2" t="s">
        <v>7142</v>
      </c>
    </row>
    <row r="49" spans="2:20">
      <c r="B49" s="2" t="s">
        <v>936</v>
      </c>
      <c r="C49" s="2" t="s">
        <v>5777</v>
      </c>
      <c r="D49" s="2" t="s">
        <v>5736</v>
      </c>
      <c r="E49" s="2">
        <v>0.4</v>
      </c>
      <c r="G49" s="2">
        <v>400</v>
      </c>
      <c r="H49" s="2" t="s">
        <v>7143</v>
      </c>
      <c r="K49" s="2">
        <v>0.4</v>
      </c>
      <c r="L49" s="2">
        <v>1.9</v>
      </c>
      <c r="M49" s="2" t="s">
        <v>8678</v>
      </c>
      <c r="O49" s="2">
        <v>2008</v>
      </c>
      <c r="P49" s="2">
        <v>2008</v>
      </c>
      <c r="Q49" s="2" t="s">
        <v>8681</v>
      </c>
      <c r="S49" s="2">
        <v>30</v>
      </c>
      <c r="T49" s="2" t="s">
        <v>7143</v>
      </c>
    </row>
    <row r="50" spans="2:20">
      <c r="B50" s="2" t="s">
        <v>936</v>
      </c>
      <c r="C50" s="2" t="s">
        <v>5778</v>
      </c>
      <c r="D50" s="2" t="s">
        <v>5731</v>
      </c>
      <c r="E50" s="2">
        <v>0.5</v>
      </c>
      <c r="G50" s="2">
        <v>480</v>
      </c>
      <c r="H50" s="2" t="s">
        <v>7142</v>
      </c>
      <c r="I50" s="2" t="s">
        <v>8687</v>
      </c>
      <c r="K50" s="2">
        <v>0.5</v>
      </c>
      <c r="L50" s="2">
        <v>2.1</v>
      </c>
      <c r="M50" s="2" t="s">
        <v>8678</v>
      </c>
      <c r="O50" s="2">
        <v>2007</v>
      </c>
      <c r="P50" s="2">
        <v>2008</v>
      </c>
      <c r="Q50" s="2" t="s">
        <v>8681</v>
      </c>
      <c r="S50" s="2">
        <v>30</v>
      </c>
      <c r="T50" s="2" t="s">
        <v>7143</v>
      </c>
    </row>
    <row r="51" spans="2:20">
      <c r="B51" s="2" t="s">
        <v>355</v>
      </c>
      <c r="C51" s="2" t="s">
        <v>5779</v>
      </c>
      <c r="E51" s="2">
        <v>0.5</v>
      </c>
      <c r="G51" s="2">
        <v>500</v>
      </c>
      <c r="H51" s="2" t="s">
        <v>7143</v>
      </c>
      <c r="K51" s="2">
        <v>0.5</v>
      </c>
      <c r="L51" s="2">
        <v>0.3</v>
      </c>
      <c r="M51" s="2" t="s">
        <v>8680</v>
      </c>
      <c r="Q51" s="2" t="s">
        <v>8679</v>
      </c>
      <c r="T51" s="2" t="s">
        <v>7142</v>
      </c>
    </row>
    <row r="52" spans="2:20">
      <c r="B52" s="2" t="s">
        <v>355</v>
      </c>
      <c r="C52" s="2" t="s">
        <v>5780</v>
      </c>
      <c r="E52" s="2">
        <v>0.6</v>
      </c>
      <c r="G52" s="2">
        <v>600</v>
      </c>
      <c r="H52" s="2" t="s">
        <v>7143</v>
      </c>
      <c r="K52" s="2">
        <v>0.6</v>
      </c>
      <c r="L52" s="2">
        <v>0.6</v>
      </c>
      <c r="M52" s="2" t="s">
        <v>8680</v>
      </c>
      <c r="O52" s="2">
        <v>2020</v>
      </c>
      <c r="Q52" s="2" t="s">
        <v>8689</v>
      </c>
      <c r="T52" s="2" t="s">
        <v>7143</v>
      </c>
    </row>
    <row r="53" spans="2:20">
      <c r="B53" s="2" t="s">
        <v>355</v>
      </c>
      <c r="C53" s="2" t="s">
        <v>5781</v>
      </c>
      <c r="E53" s="2">
        <v>0.5</v>
      </c>
      <c r="G53" s="2">
        <v>500</v>
      </c>
      <c r="H53" s="2" t="s">
        <v>7142</v>
      </c>
      <c r="I53" s="2" t="s">
        <v>8686</v>
      </c>
      <c r="M53" s="2" t="s">
        <v>8678</v>
      </c>
      <c r="O53" s="2">
        <v>2024</v>
      </c>
      <c r="Q53" s="2" t="s">
        <v>8683</v>
      </c>
      <c r="T53" s="2" t="s">
        <v>7143</v>
      </c>
    </row>
    <row r="54" spans="2:20">
      <c r="B54" s="2" t="s">
        <v>355</v>
      </c>
      <c r="C54" s="2" t="s">
        <v>5782</v>
      </c>
      <c r="E54" s="2">
        <v>0.6</v>
      </c>
      <c r="G54" s="2">
        <v>600</v>
      </c>
      <c r="H54" s="2" t="s">
        <v>7143</v>
      </c>
      <c r="K54" s="2">
        <v>0.6</v>
      </c>
      <c r="L54" s="2">
        <v>0.3</v>
      </c>
      <c r="M54" s="2" t="s">
        <v>8680</v>
      </c>
      <c r="Q54" s="2" t="s">
        <v>8679</v>
      </c>
      <c r="T54" s="2" t="s">
        <v>7142</v>
      </c>
    </row>
    <row r="55" spans="2:20">
      <c r="B55" s="2" t="s">
        <v>2547</v>
      </c>
      <c r="C55" s="2" t="s">
        <v>5783</v>
      </c>
      <c r="D55" s="19" t="s">
        <v>8685</v>
      </c>
      <c r="E55" s="2">
        <v>0.3</v>
      </c>
      <c r="F55" s="2">
        <v>0</v>
      </c>
      <c r="G55" s="2">
        <v>300</v>
      </c>
      <c r="H55" s="2" t="s">
        <v>7142</v>
      </c>
      <c r="I55" s="2" t="s">
        <v>8687</v>
      </c>
      <c r="K55" s="2">
        <v>0.3</v>
      </c>
      <c r="L55" s="2">
        <v>0.6</v>
      </c>
      <c r="M55" s="2" t="s">
        <v>8680</v>
      </c>
      <c r="O55" s="2">
        <v>2000</v>
      </c>
      <c r="P55" s="2">
        <v>2000</v>
      </c>
      <c r="Q55" s="2" t="s">
        <v>8681</v>
      </c>
      <c r="S55" s="2">
        <v>30</v>
      </c>
      <c r="T55" s="2" t="s">
        <v>7142</v>
      </c>
    </row>
    <row r="56" spans="2:20">
      <c r="B56" s="2" t="s">
        <v>359</v>
      </c>
      <c r="C56" s="2" t="s">
        <v>5784</v>
      </c>
      <c r="E56" s="2">
        <v>0.2</v>
      </c>
      <c r="G56" s="2">
        <v>200</v>
      </c>
      <c r="H56" s="2" t="s">
        <v>7142</v>
      </c>
      <c r="I56" s="2" t="s">
        <v>8686</v>
      </c>
      <c r="K56" s="2">
        <v>0.2</v>
      </c>
      <c r="L56" s="2">
        <v>0.3</v>
      </c>
      <c r="M56" s="2" t="s">
        <v>8678</v>
      </c>
      <c r="O56" s="2">
        <v>2023</v>
      </c>
      <c r="Q56" s="2" t="s">
        <v>8683</v>
      </c>
      <c r="T56" s="2" t="s">
        <v>7142</v>
      </c>
    </row>
    <row r="57" spans="2:20">
      <c r="B57" s="2" t="s">
        <v>359</v>
      </c>
      <c r="C57" s="2" t="s">
        <v>5785</v>
      </c>
      <c r="E57" s="2">
        <v>0.5</v>
      </c>
      <c r="G57" s="2">
        <v>500</v>
      </c>
      <c r="H57" s="2" t="s">
        <v>7143</v>
      </c>
      <c r="K57" s="2">
        <v>0.5</v>
      </c>
      <c r="L57" s="2">
        <v>2.2000000000000002</v>
      </c>
      <c r="M57" s="2" t="s">
        <v>8678</v>
      </c>
      <c r="O57" s="2">
        <v>2007</v>
      </c>
      <c r="Q57" s="2" t="s">
        <v>8679</v>
      </c>
      <c r="T57" s="2" t="s">
        <v>7143</v>
      </c>
    </row>
    <row r="58" spans="2:20">
      <c r="B58" s="2" t="s">
        <v>364</v>
      </c>
      <c r="C58" s="2" t="s">
        <v>5786</v>
      </c>
      <c r="E58" s="2">
        <v>1</v>
      </c>
      <c r="G58" s="2">
        <v>1000</v>
      </c>
      <c r="H58" s="2" t="s">
        <v>7142</v>
      </c>
      <c r="I58" s="2" t="s">
        <v>8687</v>
      </c>
      <c r="K58" s="2">
        <v>1</v>
      </c>
      <c r="L58" s="2">
        <v>4</v>
      </c>
      <c r="M58" s="2" t="s">
        <v>8680</v>
      </c>
      <c r="O58" s="2">
        <v>1997</v>
      </c>
      <c r="Q58" s="2" t="s">
        <v>8679</v>
      </c>
      <c r="T58" s="2" t="s">
        <v>7142</v>
      </c>
    </row>
    <row r="59" spans="2:20">
      <c r="B59" s="2" t="s">
        <v>364</v>
      </c>
      <c r="C59" s="2" t="s">
        <v>5787</v>
      </c>
      <c r="E59" s="2">
        <v>0.8</v>
      </c>
      <c r="G59" s="2">
        <v>800</v>
      </c>
      <c r="H59" s="2" t="s">
        <v>7142</v>
      </c>
      <c r="I59" s="2" t="s">
        <v>8687</v>
      </c>
      <c r="K59" s="2">
        <v>0.8</v>
      </c>
      <c r="L59" s="2">
        <v>3</v>
      </c>
      <c r="M59" s="2" t="s">
        <v>8678</v>
      </c>
      <c r="O59" s="2">
        <v>2013</v>
      </c>
      <c r="Q59" s="2" t="s">
        <v>8679</v>
      </c>
      <c r="T59" s="2" t="s">
        <v>7143</v>
      </c>
    </row>
    <row r="60" spans="2:20">
      <c r="B60" s="2" t="s">
        <v>2497</v>
      </c>
      <c r="C60" s="2" t="s">
        <v>5788</v>
      </c>
      <c r="D60" s="19" t="s">
        <v>8682</v>
      </c>
      <c r="E60" s="2">
        <v>1.2</v>
      </c>
      <c r="F60" s="2">
        <v>0</v>
      </c>
      <c r="G60" s="2">
        <v>1300</v>
      </c>
      <c r="H60" s="2" t="s">
        <v>7142</v>
      </c>
      <c r="I60" s="2" t="s">
        <v>8687</v>
      </c>
      <c r="K60" s="2">
        <v>1.2</v>
      </c>
      <c r="L60" s="2">
        <v>4</v>
      </c>
      <c r="M60" s="2" t="s">
        <v>8680</v>
      </c>
      <c r="O60" s="2">
        <v>2020</v>
      </c>
      <c r="P60" s="2">
        <v>2020</v>
      </c>
      <c r="Q60" s="2" t="s">
        <v>8688</v>
      </c>
      <c r="S60" s="2">
        <v>35</v>
      </c>
      <c r="T60" s="2" t="s">
        <v>7142</v>
      </c>
    </row>
    <row r="61" spans="2:20">
      <c r="B61" s="2" t="s">
        <v>2486</v>
      </c>
      <c r="C61" s="2" t="s">
        <v>5789</v>
      </c>
      <c r="D61" s="19" t="s">
        <v>8682</v>
      </c>
      <c r="E61" s="2">
        <v>1</v>
      </c>
      <c r="F61" s="2">
        <v>0</v>
      </c>
      <c r="G61" s="2">
        <v>1000</v>
      </c>
      <c r="H61" s="2" t="s">
        <v>7142</v>
      </c>
      <c r="I61" s="2" t="s">
        <v>8686</v>
      </c>
      <c r="K61" s="2">
        <v>1</v>
      </c>
      <c r="L61" s="2">
        <v>3</v>
      </c>
      <c r="M61" s="2" t="s">
        <v>8680</v>
      </c>
      <c r="O61" s="2">
        <v>2000</v>
      </c>
      <c r="P61" s="2">
        <v>2000</v>
      </c>
      <c r="Q61" s="2" t="s">
        <v>8681</v>
      </c>
      <c r="S61" s="2">
        <v>35</v>
      </c>
      <c r="T61" s="2" t="s">
        <v>7142</v>
      </c>
    </row>
    <row r="62" spans="2:20">
      <c r="B62" s="2" t="s">
        <v>368</v>
      </c>
      <c r="C62" s="2" t="s">
        <v>5790</v>
      </c>
      <c r="E62" s="2">
        <v>0.5</v>
      </c>
      <c r="G62" s="2">
        <v>500</v>
      </c>
      <c r="H62" s="2" t="s">
        <v>7142</v>
      </c>
      <c r="I62" s="2" t="s">
        <v>8693</v>
      </c>
      <c r="K62" s="2">
        <v>0.5</v>
      </c>
      <c r="L62" s="2">
        <v>1.7</v>
      </c>
      <c r="M62" s="2" t="s">
        <v>8680</v>
      </c>
      <c r="O62" s="2">
        <v>2013</v>
      </c>
      <c r="Q62" s="2" t="s">
        <v>8679</v>
      </c>
      <c r="T62" s="2" t="s">
        <v>7142</v>
      </c>
    </row>
    <row r="63" spans="2:20">
      <c r="B63" s="2" t="s">
        <v>368</v>
      </c>
      <c r="C63" s="2" t="s">
        <v>5792</v>
      </c>
      <c r="E63" s="2">
        <v>1.5</v>
      </c>
      <c r="G63" s="2">
        <v>1500</v>
      </c>
      <c r="H63" s="2" t="s">
        <v>7143</v>
      </c>
      <c r="K63" s="2">
        <v>1.5</v>
      </c>
      <c r="L63" s="2">
        <v>3.6</v>
      </c>
      <c r="M63" s="2" t="s">
        <v>8678</v>
      </c>
      <c r="O63" s="2">
        <v>2021</v>
      </c>
      <c r="Q63" s="2" t="s">
        <v>8683</v>
      </c>
      <c r="T63" s="2" t="s">
        <v>7143</v>
      </c>
    </row>
    <row r="64" spans="2:20">
      <c r="B64" s="2" t="s">
        <v>368</v>
      </c>
      <c r="C64" s="2" t="s">
        <v>5793</v>
      </c>
      <c r="E64" s="2">
        <v>1</v>
      </c>
      <c r="G64" s="2">
        <v>1000</v>
      </c>
      <c r="H64" s="2" t="s">
        <v>7142</v>
      </c>
      <c r="I64" s="2" t="s">
        <v>8694</v>
      </c>
      <c r="K64" s="2">
        <v>1</v>
      </c>
      <c r="L64" s="2">
        <v>5</v>
      </c>
      <c r="M64" s="2" t="s">
        <v>8680</v>
      </c>
      <c r="Q64" s="2" t="s">
        <v>8679</v>
      </c>
      <c r="T64" s="2" t="s">
        <v>7143</v>
      </c>
    </row>
    <row r="65" spans="2:20">
      <c r="B65" s="2" t="s">
        <v>375</v>
      </c>
      <c r="C65" s="2" t="s">
        <v>5795</v>
      </c>
      <c r="E65" s="2">
        <v>1</v>
      </c>
      <c r="G65" s="2">
        <v>1000</v>
      </c>
      <c r="H65" s="2" t="s">
        <v>7142</v>
      </c>
      <c r="I65" s="2" t="s">
        <v>8686</v>
      </c>
      <c r="K65" s="2">
        <v>1</v>
      </c>
      <c r="L65" s="2">
        <v>3</v>
      </c>
      <c r="M65" s="2" t="s">
        <v>8678</v>
      </c>
      <c r="O65" s="2">
        <v>2023</v>
      </c>
      <c r="Q65" s="2" t="s">
        <v>8683</v>
      </c>
      <c r="T65" s="2" t="s">
        <v>7143</v>
      </c>
    </row>
    <row r="66" spans="2:20">
      <c r="B66" s="2" t="s">
        <v>375</v>
      </c>
      <c r="C66" s="2" t="s">
        <v>5796</v>
      </c>
      <c r="E66" s="2">
        <v>2</v>
      </c>
      <c r="G66" s="2">
        <v>2000</v>
      </c>
      <c r="H66" s="2" t="s">
        <v>7142</v>
      </c>
      <c r="I66" s="2" t="s">
        <v>8695</v>
      </c>
      <c r="K66" s="2">
        <v>2</v>
      </c>
      <c r="L66" s="2">
        <v>8</v>
      </c>
      <c r="M66" s="2" t="s">
        <v>8680</v>
      </c>
      <c r="O66" s="2">
        <v>1997</v>
      </c>
      <c r="Q66" s="2" t="s">
        <v>8679</v>
      </c>
      <c r="T66" s="2" t="s">
        <v>7142</v>
      </c>
    </row>
    <row r="67" spans="2:20">
      <c r="B67" s="2" t="s">
        <v>375</v>
      </c>
      <c r="C67" s="2" t="s">
        <v>5798</v>
      </c>
      <c r="E67" s="2">
        <v>1</v>
      </c>
      <c r="G67" s="2">
        <v>1000</v>
      </c>
      <c r="H67" s="2" t="s">
        <v>7142</v>
      </c>
      <c r="I67" s="2" t="s">
        <v>8694</v>
      </c>
      <c r="K67" s="2">
        <v>1</v>
      </c>
      <c r="L67" s="2">
        <v>5</v>
      </c>
      <c r="M67" s="2" t="s">
        <v>8680</v>
      </c>
      <c r="O67" s="2">
        <v>2013</v>
      </c>
      <c r="Q67" s="2" t="s">
        <v>8679</v>
      </c>
    </row>
    <row r="68" spans="2:20">
      <c r="B68" s="2" t="s">
        <v>384</v>
      </c>
      <c r="C68" s="2" t="s">
        <v>5799</v>
      </c>
      <c r="E68" s="2">
        <v>1.3</v>
      </c>
      <c r="G68" s="2">
        <v>1300</v>
      </c>
      <c r="H68" s="2" t="s">
        <v>7142</v>
      </c>
      <c r="I68" s="2" t="s">
        <v>8696</v>
      </c>
      <c r="K68" s="2">
        <v>1.3</v>
      </c>
      <c r="L68" s="2">
        <v>5</v>
      </c>
      <c r="M68" s="2" t="s">
        <v>8680</v>
      </c>
      <c r="P68" s="2">
        <v>2007</v>
      </c>
      <c r="Q68" s="2" t="s">
        <v>8679</v>
      </c>
      <c r="T68" s="2" t="s">
        <v>7142</v>
      </c>
    </row>
    <row r="69" spans="2:20">
      <c r="B69" s="2" t="s">
        <v>808</v>
      </c>
      <c r="C69" s="2" t="s">
        <v>5801</v>
      </c>
      <c r="E69" s="2">
        <v>1</v>
      </c>
      <c r="G69" s="2">
        <v>1000</v>
      </c>
      <c r="H69" s="2" t="s">
        <v>7142</v>
      </c>
      <c r="I69" s="2" t="s">
        <v>8695</v>
      </c>
      <c r="K69" s="2">
        <v>1</v>
      </c>
      <c r="L69" s="2">
        <v>1.8</v>
      </c>
      <c r="M69" s="2" t="s">
        <v>8680</v>
      </c>
      <c r="O69" s="2">
        <v>2013</v>
      </c>
      <c r="Q69" s="2" t="s">
        <v>8679</v>
      </c>
      <c r="T69" s="2" t="s">
        <v>7142</v>
      </c>
    </row>
    <row r="70" spans="2:20">
      <c r="B70" s="2" t="s">
        <v>808</v>
      </c>
      <c r="C70" s="2" t="s">
        <v>5802</v>
      </c>
      <c r="E70" s="2">
        <v>0.5</v>
      </c>
      <c r="G70" s="2">
        <v>500</v>
      </c>
      <c r="H70" s="2" t="s">
        <v>7142</v>
      </c>
      <c r="I70" s="2" t="s">
        <v>8695</v>
      </c>
      <c r="K70" s="2">
        <v>0.5</v>
      </c>
      <c r="L70" s="2">
        <v>1</v>
      </c>
      <c r="M70" s="2" t="s">
        <v>8680</v>
      </c>
      <c r="O70" s="2">
        <v>2015</v>
      </c>
      <c r="Q70" s="2" t="s">
        <v>8679</v>
      </c>
      <c r="T70" s="2" t="s">
        <v>7142</v>
      </c>
    </row>
    <row r="71" spans="2:20">
      <c r="B71" s="2" t="s">
        <v>808</v>
      </c>
      <c r="C71" s="2" t="s">
        <v>5803</v>
      </c>
      <c r="E71" s="2">
        <v>0.5</v>
      </c>
      <c r="G71" s="2">
        <v>500</v>
      </c>
      <c r="H71" s="2" t="s">
        <v>7142</v>
      </c>
      <c r="I71" s="2" t="s">
        <v>8687</v>
      </c>
      <c r="K71" s="2">
        <v>0.5</v>
      </c>
      <c r="L71" s="2">
        <v>0.4</v>
      </c>
      <c r="M71" s="2" t="s">
        <v>8678</v>
      </c>
      <c r="P71" s="2">
        <v>2024</v>
      </c>
      <c r="Q71" s="2" t="s">
        <v>8683</v>
      </c>
      <c r="T71" s="2" t="s">
        <v>7143</v>
      </c>
    </row>
    <row r="72" spans="2:20">
      <c r="B72" s="2" t="s">
        <v>813</v>
      </c>
      <c r="C72" s="2" t="s">
        <v>5804</v>
      </c>
      <c r="E72" s="2">
        <v>0.3</v>
      </c>
      <c r="G72" s="2">
        <v>300</v>
      </c>
      <c r="H72" s="2" t="s">
        <v>7142</v>
      </c>
      <c r="I72" s="2" t="s">
        <v>8695</v>
      </c>
      <c r="K72" s="2">
        <v>0.3</v>
      </c>
      <c r="L72" s="2">
        <v>1</v>
      </c>
      <c r="M72" s="2" t="s">
        <v>8680</v>
      </c>
      <c r="Q72" s="2" t="s">
        <v>8679</v>
      </c>
      <c r="T72" s="2" t="s">
        <v>7142</v>
      </c>
    </row>
    <row r="73" spans="2:20">
      <c r="B73" s="2" t="s">
        <v>813</v>
      </c>
      <c r="C73" s="2" t="s">
        <v>5805</v>
      </c>
      <c r="E73" s="2">
        <v>0.2</v>
      </c>
      <c r="G73" s="2">
        <v>200</v>
      </c>
      <c r="H73" s="2" t="s">
        <v>7142</v>
      </c>
      <c r="I73" s="2" t="s">
        <v>8686</v>
      </c>
      <c r="K73" s="2">
        <v>0.2</v>
      </c>
      <c r="L73" s="2">
        <v>0.5</v>
      </c>
      <c r="M73" s="2" t="s">
        <v>8678</v>
      </c>
      <c r="Q73" s="2" t="s">
        <v>8683</v>
      </c>
      <c r="T73" s="2" t="s">
        <v>7143</v>
      </c>
    </row>
    <row r="74" spans="2:20">
      <c r="B74" s="2" t="s">
        <v>813</v>
      </c>
      <c r="C74" s="2" t="s">
        <v>5806</v>
      </c>
      <c r="E74" s="2">
        <v>0.5</v>
      </c>
      <c r="G74" s="2">
        <v>500</v>
      </c>
      <c r="H74" s="2" t="s">
        <v>7142</v>
      </c>
      <c r="I74" s="2" t="s">
        <v>8695</v>
      </c>
      <c r="K74" s="2">
        <v>0.5</v>
      </c>
      <c r="L74" s="2">
        <v>1.5</v>
      </c>
      <c r="M74" s="2" t="s">
        <v>8680</v>
      </c>
      <c r="P74" s="2">
        <v>2000</v>
      </c>
      <c r="Q74" s="2" t="s">
        <v>8679</v>
      </c>
      <c r="T74" s="2" t="s">
        <v>7142</v>
      </c>
    </row>
    <row r="75" spans="2:20">
      <c r="B75" s="2" t="s">
        <v>283</v>
      </c>
      <c r="C75" s="2" t="s">
        <v>5807</v>
      </c>
      <c r="D75" s="19" t="s">
        <v>8684</v>
      </c>
      <c r="E75" s="2">
        <v>0.1</v>
      </c>
      <c r="G75" s="2">
        <v>300</v>
      </c>
      <c r="H75" s="2" t="s">
        <v>7143</v>
      </c>
      <c r="K75" s="2">
        <v>0</v>
      </c>
      <c r="L75" s="2">
        <v>0</v>
      </c>
      <c r="M75" s="2" t="s">
        <v>8680</v>
      </c>
      <c r="O75" s="2">
        <v>2025</v>
      </c>
      <c r="Q75" s="2" t="s">
        <v>8679</v>
      </c>
      <c r="S75" s="2">
        <v>25</v>
      </c>
      <c r="T75" s="2" t="s">
        <v>7142</v>
      </c>
    </row>
    <row r="76" spans="2:20">
      <c r="B76" s="2" t="s">
        <v>283</v>
      </c>
      <c r="C76" s="2" t="s">
        <v>5808</v>
      </c>
      <c r="D76" s="19" t="s">
        <v>8682</v>
      </c>
      <c r="E76" s="2">
        <v>0.4</v>
      </c>
      <c r="G76" s="2">
        <v>400</v>
      </c>
      <c r="H76" s="2" t="s">
        <v>7143</v>
      </c>
      <c r="K76" s="2">
        <v>0.4</v>
      </c>
      <c r="L76" s="2">
        <v>1.7</v>
      </c>
      <c r="M76" s="2" t="s">
        <v>8678</v>
      </c>
      <c r="O76" s="2">
        <v>2019</v>
      </c>
      <c r="P76" s="2">
        <v>2019</v>
      </c>
      <c r="Q76" s="2" t="s">
        <v>8681</v>
      </c>
      <c r="S76" s="2">
        <v>25</v>
      </c>
      <c r="T76" s="2" t="s">
        <v>7143</v>
      </c>
    </row>
    <row r="77" spans="2:20">
      <c r="B77" s="2" t="s">
        <v>588</v>
      </c>
      <c r="C77" s="2" t="s">
        <v>5809</v>
      </c>
      <c r="D77" s="19" t="s">
        <v>8684</v>
      </c>
      <c r="E77" s="2">
        <v>0.4</v>
      </c>
      <c r="F77" s="2">
        <v>0</v>
      </c>
      <c r="G77" s="2">
        <v>420</v>
      </c>
      <c r="H77" s="2" t="s">
        <v>7142</v>
      </c>
      <c r="I77" s="2" t="s">
        <v>8686</v>
      </c>
      <c r="K77" s="2">
        <v>0.4</v>
      </c>
      <c r="L77" s="2">
        <v>1.1000000000000001</v>
      </c>
      <c r="M77" s="2" t="s">
        <v>8680</v>
      </c>
      <c r="O77" s="2">
        <v>1998</v>
      </c>
      <c r="P77" s="2">
        <v>2019</v>
      </c>
      <c r="Q77" s="2" t="s">
        <v>8697</v>
      </c>
      <c r="R77" s="2" t="s">
        <v>5810</v>
      </c>
      <c r="S77" s="2">
        <v>25</v>
      </c>
      <c r="T77" s="2" t="s">
        <v>7142</v>
      </c>
    </row>
    <row r="78" spans="2:20">
      <c r="B78" s="2" t="s">
        <v>588</v>
      </c>
      <c r="C78" s="2" t="s">
        <v>5811</v>
      </c>
      <c r="D78" s="19" t="s">
        <v>8682</v>
      </c>
      <c r="E78" s="2">
        <v>2.1</v>
      </c>
      <c r="F78" s="2">
        <v>0</v>
      </c>
      <c r="G78" s="2">
        <v>2300</v>
      </c>
      <c r="H78" s="2" t="s">
        <v>7142</v>
      </c>
      <c r="I78" s="2" t="s">
        <v>8686</v>
      </c>
      <c r="K78" s="2">
        <v>2.1</v>
      </c>
      <c r="L78" s="2">
        <v>8.5</v>
      </c>
      <c r="M78" s="2" t="s">
        <v>8680</v>
      </c>
      <c r="O78" s="2">
        <v>2001</v>
      </c>
      <c r="P78" s="2">
        <v>2023</v>
      </c>
      <c r="Q78" s="2" t="s">
        <v>8697</v>
      </c>
      <c r="R78" s="2" t="s">
        <v>5810</v>
      </c>
      <c r="S78" s="2">
        <v>15</v>
      </c>
      <c r="T78" s="2" t="s">
        <v>7142</v>
      </c>
    </row>
    <row r="79" spans="2:20">
      <c r="B79" s="2" t="s">
        <v>968</v>
      </c>
      <c r="C79" s="2" t="s">
        <v>5812</v>
      </c>
      <c r="D79" s="2" t="s">
        <v>5743</v>
      </c>
      <c r="E79" s="2">
        <v>0.4</v>
      </c>
      <c r="G79" s="2">
        <v>400</v>
      </c>
      <c r="H79" s="2" t="s">
        <v>7143</v>
      </c>
      <c r="K79" s="2">
        <v>0.4</v>
      </c>
      <c r="L79" s="2">
        <v>0.8</v>
      </c>
      <c r="M79" s="2" t="s">
        <v>8678</v>
      </c>
      <c r="O79" s="2">
        <v>2015</v>
      </c>
      <c r="P79" s="2">
        <v>2015</v>
      </c>
      <c r="Q79" s="2" t="s">
        <v>8681</v>
      </c>
      <c r="S79" s="2">
        <v>1</v>
      </c>
      <c r="T79" s="2" t="s">
        <v>7143</v>
      </c>
    </row>
    <row r="80" spans="2:20">
      <c r="B80" s="2" t="s">
        <v>968</v>
      </c>
      <c r="C80" s="2" t="s">
        <v>5813</v>
      </c>
      <c r="D80" s="2" t="s">
        <v>5736</v>
      </c>
      <c r="E80" s="2">
        <v>0.3</v>
      </c>
      <c r="G80" s="2">
        <v>300</v>
      </c>
      <c r="H80" s="2" t="s">
        <v>7143</v>
      </c>
      <c r="K80" s="2">
        <v>0.3</v>
      </c>
      <c r="L80" s="2">
        <v>0.5</v>
      </c>
      <c r="M80" s="2" t="s">
        <v>8680</v>
      </c>
      <c r="O80" s="2">
        <v>2018</v>
      </c>
      <c r="P80" s="2">
        <v>2018</v>
      </c>
      <c r="Q80" s="2" t="s">
        <v>8681</v>
      </c>
      <c r="S80" s="2">
        <v>2</v>
      </c>
      <c r="T80" s="2" t="s">
        <v>7143</v>
      </c>
    </row>
    <row r="81" spans="2:20">
      <c r="B81" s="2" t="s">
        <v>968</v>
      </c>
      <c r="C81" s="2" t="s">
        <v>5814</v>
      </c>
      <c r="D81" s="2" t="s">
        <v>5731</v>
      </c>
      <c r="E81" s="2">
        <v>0.6</v>
      </c>
      <c r="G81" s="2">
        <v>600</v>
      </c>
      <c r="H81" s="2" t="s">
        <v>7143</v>
      </c>
      <c r="K81" s="2">
        <v>0.6</v>
      </c>
      <c r="L81" s="2">
        <v>1.4</v>
      </c>
      <c r="M81" s="2" t="s">
        <v>8678</v>
      </c>
      <c r="O81" s="2">
        <v>2017</v>
      </c>
      <c r="P81" s="2">
        <v>2017</v>
      </c>
      <c r="Q81" s="2" t="s">
        <v>8681</v>
      </c>
      <c r="S81" s="2">
        <v>5</v>
      </c>
      <c r="T81" s="2" t="s">
        <v>7143</v>
      </c>
    </row>
    <row r="82" spans="2:20">
      <c r="B82" s="2" t="s">
        <v>968</v>
      </c>
      <c r="C82" s="2" t="s">
        <v>5815</v>
      </c>
      <c r="D82" s="2" t="s">
        <v>5816</v>
      </c>
      <c r="E82" s="2">
        <v>0.2</v>
      </c>
      <c r="G82" s="2">
        <v>200</v>
      </c>
      <c r="H82" s="2" t="s">
        <v>7143</v>
      </c>
      <c r="K82" s="2">
        <v>0.2</v>
      </c>
      <c r="L82" s="2">
        <v>0.4</v>
      </c>
      <c r="M82" s="2" t="s">
        <v>8678</v>
      </c>
      <c r="O82" s="2">
        <v>2016</v>
      </c>
      <c r="P82" s="2">
        <v>2016</v>
      </c>
      <c r="Q82" s="2" t="s">
        <v>8681</v>
      </c>
      <c r="S82" s="2">
        <v>2</v>
      </c>
      <c r="T82" s="2" t="s">
        <v>7143</v>
      </c>
    </row>
    <row r="83" spans="2:20">
      <c r="B83" s="2" t="s">
        <v>968</v>
      </c>
      <c r="C83" s="2" t="s">
        <v>5817</v>
      </c>
      <c r="D83" s="2" t="s">
        <v>5758</v>
      </c>
      <c r="E83" s="2">
        <v>0.4</v>
      </c>
      <c r="G83" s="2">
        <v>400</v>
      </c>
      <c r="H83" s="2" t="s">
        <v>7143</v>
      </c>
      <c r="K83" s="2">
        <v>0.4</v>
      </c>
      <c r="L83" s="2">
        <v>0.9</v>
      </c>
      <c r="M83" s="2" t="s">
        <v>8678</v>
      </c>
      <c r="O83" s="2">
        <v>2015</v>
      </c>
      <c r="P83" s="2">
        <v>2015</v>
      </c>
      <c r="Q83" s="2" t="s">
        <v>8683</v>
      </c>
      <c r="S83" s="2">
        <v>1</v>
      </c>
      <c r="T83" s="2" t="s">
        <v>7143</v>
      </c>
    </row>
    <row r="84" spans="2:20">
      <c r="B84" s="2" t="s">
        <v>1004</v>
      </c>
      <c r="C84" s="2" t="s">
        <v>5818</v>
      </c>
      <c r="D84" s="2" t="s">
        <v>5731</v>
      </c>
      <c r="E84" s="2">
        <v>0.3</v>
      </c>
      <c r="G84" s="2">
        <v>300</v>
      </c>
      <c r="H84" s="2" t="s">
        <v>7143</v>
      </c>
      <c r="K84" s="2">
        <v>0.3</v>
      </c>
      <c r="L84" s="2">
        <v>0.4</v>
      </c>
      <c r="M84" s="2" t="s">
        <v>8678</v>
      </c>
      <c r="O84" s="2">
        <v>2016</v>
      </c>
      <c r="P84" s="2">
        <v>2016</v>
      </c>
      <c r="Q84" s="2" t="s">
        <v>8681</v>
      </c>
      <c r="S84" s="2">
        <v>4</v>
      </c>
      <c r="T84" s="2" t="s">
        <v>7143</v>
      </c>
    </row>
    <row r="85" spans="2:20">
      <c r="B85" s="2" t="s">
        <v>861</v>
      </c>
      <c r="C85" s="2" t="s">
        <v>5819</v>
      </c>
      <c r="E85" s="2">
        <v>0.5</v>
      </c>
      <c r="G85" s="2">
        <v>500</v>
      </c>
      <c r="H85" s="2" t="s">
        <v>7142</v>
      </c>
      <c r="I85" s="2" t="s">
        <v>8695</v>
      </c>
      <c r="K85" s="2">
        <v>0.5</v>
      </c>
      <c r="L85" s="2">
        <v>0.8</v>
      </c>
      <c r="M85" s="2" t="s">
        <v>8680</v>
      </c>
      <c r="Q85" s="2" t="s">
        <v>8679</v>
      </c>
      <c r="T85" s="2" t="s">
        <v>7142</v>
      </c>
    </row>
    <row r="86" spans="2:20">
      <c r="B86" s="2" t="s">
        <v>861</v>
      </c>
      <c r="C86" s="2" t="s">
        <v>5820</v>
      </c>
      <c r="E86" s="2">
        <v>0.3</v>
      </c>
      <c r="G86" s="2">
        <v>300</v>
      </c>
      <c r="H86" s="2" t="s">
        <v>7142</v>
      </c>
      <c r="K86" s="2">
        <v>0.3</v>
      </c>
      <c r="L86" s="2">
        <v>0.4</v>
      </c>
      <c r="O86" s="2">
        <v>2022</v>
      </c>
      <c r="Q86" s="2" t="s">
        <v>8683</v>
      </c>
    </row>
    <row r="87" spans="2:20">
      <c r="B87" s="2" t="s">
        <v>1004</v>
      </c>
      <c r="C87" s="2" t="s">
        <v>5821</v>
      </c>
      <c r="D87" s="2" t="s">
        <v>5736</v>
      </c>
      <c r="E87" s="2">
        <v>0.4</v>
      </c>
      <c r="G87" s="2">
        <v>400</v>
      </c>
      <c r="H87" s="2" t="s">
        <v>7143</v>
      </c>
      <c r="K87" s="2">
        <v>0.4</v>
      </c>
      <c r="L87" s="2">
        <v>0.6</v>
      </c>
      <c r="M87" s="2" t="s">
        <v>8678</v>
      </c>
      <c r="O87" s="2">
        <v>2016</v>
      </c>
      <c r="P87" s="2">
        <v>2016</v>
      </c>
      <c r="Q87" s="2" t="s">
        <v>8681</v>
      </c>
      <c r="S87" s="2">
        <v>4</v>
      </c>
      <c r="T87" s="2" t="s">
        <v>7143</v>
      </c>
    </row>
    <row r="88" spans="2:20">
      <c r="B88" s="2" t="s">
        <v>861</v>
      </c>
      <c r="C88" s="2" t="s">
        <v>5822</v>
      </c>
      <c r="E88" s="2">
        <v>0.2</v>
      </c>
      <c r="G88" s="2">
        <v>200</v>
      </c>
      <c r="H88" s="2" t="s">
        <v>7142</v>
      </c>
      <c r="I88" s="2" t="s">
        <v>8695</v>
      </c>
      <c r="K88" s="2">
        <v>0.2</v>
      </c>
      <c r="L88" s="2">
        <v>0.2</v>
      </c>
      <c r="M88" s="2" t="s">
        <v>8678</v>
      </c>
      <c r="O88" s="2">
        <v>2024</v>
      </c>
      <c r="Q88" s="2" t="s">
        <v>8683</v>
      </c>
      <c r="T88" s="2" t="s">
        <v>7143</v>
      </c>
    </row>
    <row r="89" spans="2:20">
      <c r="B89" s="2" t="s">
        <v>620</v>
      </c>
      <c r="C89" s="2" t="s">
        <v>5823</v>
      </c>
      <c r="D89" s="19" t="s">
        <v>8685</v>
      </c>
      <c r="E89" s="2">
        <v>0.2</v>
      </c>
      <c r="F89" s="2">
        <v>0</v>
      </c>
      <c r="G89" s="2">
        <v>300</v>
      </c>
      <c r="H89" s="2" t="s">
        <v>7143</v>
      </c>
      <c r="K89" s="2">
        <v>0.2</v>
      </c>
      <c r="L89" s="2">
        <v>0.2</v>
      </c>
      <c r="M89" s="2" t="s">
        <v>8680</v>
      </c>
      <c r="O89" s="2">
        <v>1984</v>
      </c>
      <c r="P89" s="2">
        <v>2023</v>
      </c>
      <c r="Q89" s="2" t="s">
        <v>8697</v>
      </c>
      <c r="R89" s="2" t="s">
        <v>5810</v>
      </c>
      <c r="S89" s="2">
        <v>25</v>
      </c>
      <c r="T89" s="2" t="s">
        <v>7143</v>
      </c>
    </row>
    <row r="90" spans="2:20">
      <c r="B90" s="2" t="s">
        <v>620</v>
      </c>
      <c r="C90" s="2" t="s">
        <v>5824</v>
      </c>
      <c r="D90" s="19" t="s">
        <v>8684</v>
      </c>
      <c r="E90" s="2">
        <v>1</v>
      </c>
      <c r="F90" s="2">
        <v>0</v>
      </c>
      <c r="G90" s="2">
        <v>1200</v>
      </c>
      <c r="H90" s="2" t="s">
        <v>7142</v>
      </c>
      <c r="I90" s="2" t="s">
        <v>8686</v>
      </c>
      <c r="K90" s="2">
        <v>1</v>
      </c>
      <c r="L90" s="2">
        <v>1</v>
      </c>
      <c r="M90" s="2" t="s">
        <v>8680</v>
      </c>
      <c r="O90" s="2">
        <v>1984</v>
      </c>
      <c r="P90" s="2">
        <v>2023</v>
      </c>
      <c r="Q90" s="2" t="s">
        <v>8697</v>
      </c>
      <c r="R90" s="2" t="s">
        <v>5825</v>
      </c>
      <c r="S90" s="2">
        <v>25</v>
      </c>
      <c r="T90" s="2" t="s">
        <v>7143</v>
      </c>
    </row>
    <row r="91" spans="2:20">
      <c r="B91" s="2" t="s">
        <v>620</v>
      </c>
      <c r="C91" s="2" t="s">
        <v>5826</v>
      </c>
      <c r="D91" s="19" t="s">
        <v>8682</v>
      </c>
      <c r="E91" s="2">
        <v>0.8</v>
      </c>
      <c r="F91" s="2">
        <v>0</v>
      </c>
      <c r="G91" s="2">
        <v>800</v>
      </c>
      <c r="H91" s="2" t="s">
        <v>7143</v>
      </c>
      <c r="K91" s="2">
        <v>0.8</v>
      </c>
      <c r="L91" s="2">
        <v>1</v>
      </c>
      <c r="M91" s="2" t="s">
        <v>8678</v>
      </c>
      <c r="O91" s="2">
        <v>1990</v>
      </c>
      <c r="P91" s="2">
        <v>2010</v>
      </c>
      <c r="Q91" s="2" t="s">
        <v>8697</v>
      </c>
      <c r="R91" s="2" t="s">
        <v>5827</v>
      </c>
      <c r="S91" s="2">
        <v>25</v>
      </c>
      <c r="T91" s="2" t="s">
        <v>7143</v>
      </c>
    </row>
    <row r="92" spans="2:20">
      <c r="B92" s="2" t="s">
        <v>900</v>
      </c>
      <c r="C92" s="2" t="s">
        <v>5828</v>
      </c>
      <c r="E92" s="2">
        <v>0.3</v>
      </c>
      <c r="G92" s="2">
        <v>350</v>
      </c>
      <c r="H92" s="2" t="s">
        <v>7142</v>
      </c>
      <c r="I92" s="2" t="s">
        <v>8695</v>
      </c>
      <c r="K92" s="2">
        <v>0.3</v>
      </c>
      <c r="M92" s="2" t="s">
        <v>8678</v>
      </c>
      <c r="Q92" s="2" t="s">
        <v>8683</v>
      </c>
      <c r="T92" s="2" t="s">
        <v>7143</v>
      </c>
    </row>
    <row r="93" spans="2:20">
      <c r="B93" s="2" t="s">
        <v>900</v>
      </c>
      <c r="C93" s="2" t="s">
        <v>5829</v>
      </c>
      <c r="E93" s="2">
        <v>0.5</v>
      </c>
      <c r="G93" s="2">
        <v>500</v>
      </c>
      <c r="H93" s="2" t="s">
        <v>7142</v>
      </c>
      <c r="I93" s="2" t="s">
        <v>8695</v>
      </c>
      <c r="K93" s="2">
        <v>0.5</v>
      </c>
      <c r="L93" s="2">
        <v>1</v>
      </c>
      <c r="M93" s="2" t="s">
        <v>8680</v>
      </c>
      <c r="Q93" s="2" t="s">
        <v>8679</v>
      </c>
    </row>
    <row r="94" spans="2:20">
      <c r="B94" s="2" t="s">
        <v>900</v>
      </c>
      <c r="C94" s="2" t="s">
        <v>5830</v>
      </c>
      <c r="E94" s="2">
        <v>1</v>
      </c>
      <c r="G94" s="2">
        <v>1000</v>
      </c>
      <c r="H94" s="2" t="s">
        <v>7142</v>
      </c>
      <c r="I94" s="2" t="s">
        <v>8695</v>
      </c>
      <c r="K94" s="2">
        <v>1</v>
      </c>
      <c r="L94" s="2">
        <v>2.5</v>
      </c>
      <c r="M94" s="2" t="s">
        <v>8680</v>
      </c>
      <c r="Q94" s="2" t="s">
        <v>8679</v>
      </c>
      <c r="T94" s="2" t="s">
        <v>7142</v>
      </c>
    </row>
    <row r="95" spans="2:20">
      <c r="B95" s="2" t="s">
        <v>1016</v>
      </c>
      <c r="C95" s="2" t="s">
        <v>5831</v>
      </c>
      <c r="D95" s="2" t="s">
        <v>5743</v>
      </c>
      <c r="E95" s="2">
        <v>0.3</v>
      </c>
      <c r="G95" s="2">
        <v>300</v>
      </c>
      <c r="H95" s="2" t="s">
        <v>7142</v>
      </c>
      <c r="I95" s="2" t="s">
        <v>8686</v>
      </c>
      <c r="K95" s="2">
        <v>0.3</v>
      </c>
      <c r="L95" s="2">
        <v>1.1000000000000001</v>
      </c>
      <c r="M95" s="2" t="s">
        <v>8680</v>
      </c>
      <c r="O95" s="2">
        <v>2002</v>
      </c>
      <c r="P95" s="2">
        <v>2002</v>
      </c>
      <c r="Q95" s="2" t="s">
        <v>8681</v>
      </c>
      <c r="S95" s="2">
        <v>4</v>
      </c>
      <c r="T95" s="2" t="s">
        <v>7142</v>
      </c>
    </row>
    <row r="96" spans="2:20">
      <c r="B96" s="2" t="s">
        <v>1016</v>
      </c>
      <c r="C96" s="2" t="s">
        <v>5832</v>
      </c>
      <c r="D96" s="2" t="s">
        <v>5731</v>
      </c>
      <c r="E96" s="2">
        <v>0.2</v>
      </c>
      <c r="G96" s="2">
        <v>200</v>
      </c>
      <c r="H96" s="2" t="s">
        <v>7143</v>
      </c>
      <c r="K96" s="2">
        <v>0.2</v>
      </c>
      <c r="L96" s="2">
        <v>0.6</v>
      </c>
      <c r="M96" s="2" t="s">
        <v>8680</v>
      </c>
      <c r="O96" s="2">
        <v>2001</v>
      </c>
      <c r="P96" s="2">
        <v>2001</v>
      </c>
      <c r="Q96" s="2" t="s">
        <v>8681</v>
      </c>
      <c r="S96" s="2">
        <v>3</v>
      </c>
      <c r="T96" s="2" t="s">
        <v>7142</v>
      </c>
    </row>
    <row r="97" spans="2:20">
      <c r="B97" s="2" t="s">
        <v>1016</v>
      </c>
      <c r="C97" s="2" t="s">
        <v>5833</v>
      </c>
      <c r="D97" s="2" t="s">
        <v>5736</v>
      </c>
      <c r="E97" s="2">
        <v>0.4</v>
      </c>
      <c r="G97" s="2">
        <v>400</v>
      </c>
      <c r="H97" s="2" t="s">
        <v>7143</v>
      </c>
      <c r="K97" s="2">
        <v>0.4</v>
      </c>
      <c r="L97" s="2">
        <v>1.3</v>
      </c>
      <c r="M97" s="2" t="s">
        <v>8680</v>
      </c>
      <c r="O97" s="2">
        <v>2000</v>
      </c>
      <c r="P97" s="2">
        <v>2000</v>
      </c>
      <c r="Q97" s="2" t="s">
        <v>8681</v>
      </c>
      <c r="S97" s="2">
        <v>4</v>
      </c>
      <c r="T97" s="2" t="s">
        <v>7142</v>
      </c>
    </row>
    <row r="98" spans="2:20">
      <c r="B98" s="2" t="s">
        <v>1016</v>
      </c>
      <c r="C98" s="2" t="s">
        <v>5834</v>
      </c>
      <c r="D98" s="2" t="s">
        <v>5758</v>
      </c>
      <c r="E98" s="2">
        <v>0.3</v>
      </c>
      <c r="G98" s="2">
        <v>300</v>
      </c>
      <c r="H98" s="2" t="s">
        <v>7143</v>
      </c>
      <c r="K98" s="2">
        <v>0.3</v>
      </c>
      <c r="L98" s="2">
        <v>1</v>
      </c>
      <c r="M98" s="2" t="s">
        <v>8680</v>
      </c>
      <c r="O98" s="2">
        <v>2002</v>
      </c>
      <c r="P98" s="2">
        <v>2002</v>
      </c>
      <c r="Q98" s="2" t="s">
        <v>8681</v>
      </c>
      <c r="S98" s="2">
        <v>3</v>
      </c>
      <c r="T98" s="2" t="s">
        <v>7142</v>
      </c>
    </row>
    <row r="99" spans="2:20">
      <c r="B99" s="2" t="s">
        <v>927</v>
      </c>
      <c r="C99" s="2" t="s">
        <v>5835</v>
      </c>
      <c r="E99" s="2">
        <v>0.4</v>
      </c>
      <c r="G99" s="2">
        <v>400</v>
      </c>
      <c r="H99" s="2" t="s">
        <v>7142</v>
      </c>
      <c r="I99" s="2" t="s">
        <v>8695</v>
      </c>
      <c r="K99" s="2">
        <v>0.4</v>
      </c>
      <c r="L99" s="2">
        <v>0.2</v>
      </c>
      <c r="M99" s="2" t="s">
        <v>8678</v>
      </c>
      <c r="O99" s="2">
        <v>2023</v>
      </c>
      <c r="Q99" s="2" t="s">
        <v>8683</v>
      </c>
      <c r="T99" s="2" t="s">
        <v>7143</v>
      </c>
    </row>
    <row r="100" spans="2:20">
      <c r="B100" s="2" t="s">
        <v>927</v>
      </c>
      <c r="C100" s="2" t="s">
        <v>5836</v>
      </c>
      <c r="E100" s="2">
        <v>0.6</v>
      </c>
      <c r="G100" s="2">
        <v>600</v>
      </c>
      <c r="H100" s="2" t="s">
        <v>7142</v>
      </c>
      <c r="I100" s="2" t="s">
        <v>8695</v>
      </c>
      <c r="K100" s="2">
        <v>0.6</v>
      </c>
      <c r="L100" s="2">
        <v>2</v>
      </c>
      <c r="M100" s="2" t="s">
        <v>8680</v>
      </c>
      <c r="Q100" s="2" t="s">
        <v>8679</v>
      </c>
      <c r="T100" s="2" t="s">
        <v>7142</v>
      </c>
    </row>
    <row r="101" spans="2:20">
      <c r="B101" s="2" t="s">
        <v>626</v>
      </c>
      <c r="C101" s="2" t="s">
        <v>5837</v>
      </c>
      <c r="D101" s="19" t="s">
        <v>8684</v>
      </c>
      <c r="E101" s="2">
        <v>1</v>
      </c>
      <c r="F101" s="2">
        <v>0</v>
      </c>
      <c r="G101" s="2">
        <v>1000</v>
      </c>
      <c r="H101" s="2" t="s">
        <v>7143</v>
      </c>
      <c r="K101" s="2">
        <v>1</v>
      </c>
      <c r="L101" s="2">
        <v>2.8</v>
      </c>
      <c r="M101" s="2" t="s">
        <v>8678</v>
      </c>
      <c r="O101" s="2">
        <v>2016</v>
      </c>
      <c r="P101" s="2">
        <v>2016</v>
      </c>
      <c r="Q101" s="2" t="s">
        <v>8688</v>
      </c>
      <c r="S101" s="2">
        <v>30</v>
      </c>
      <c r="T101" s="2" t="s">
        <v>7143</v>
      </c>
    </row>
    <row r="102" spans="2:20">
      <c r="B102" s="2" t="s">
        <v>626</v>
      </c>
      <c r="C102" s="2" t="s">
        <v>5838</v>
      </c>
      <c r="D102" s="19" t="s">
        <v>8682</v>
      </c>
      <c r="E102" s="2">
        <v>0.3</v>
      </c>
      <c r="F102" s="2">
        <v>0</v>
      </c>
      <c r="G102" s="2">
        <v>330</v>
      </c>
      <c r="H102" s="2" t="s">
        <v>7143</v>
      </c>
      <c r="K102" s="2">
        <v>0.3</v>
      </c>
      <c r="L102" s="2">
        <v>0.2</v>
      </c>
      <c r="M102" s="2" t="s">
        <v>8678</v>
      </c>
      <c r="O102" s="2">
        <v>2013</v>
      </c>
      <c r="P102" s="2">
        <v>2013</v>
      </c>
      <c r="Q102" s="2" t="s">
        <v>8697</v>
      </c>
      <c r="R102" s="2" t="s">
        <v>5839</v>
      </c>
      <c r="S102" s="2">
        <v>30</v>
      </c>
      <c r="T102" s="2" t="s">
        <v>7143</v>
      </c>
    </row>
    <row r="103" spans="2:20">
      <c r="B103" s="2" t="s">
        <v>978</v>
      </c>
      <c r="C103" s="2" t="s">
        <v>5840</v>
      </c>
      <c r="E103" s="2">
        <v>0.1</v>
      </c>
      <c r="G103" s="2">
        <v>100</v>
      </c>
      <c r="H103" s="2" t="s">
        <v>7142</v>
      </c>
      <c r="I103" s="2" t="s">
        <v>8695</v>
      </c>
      <c r="K103" s="2">
        <v>0.1</v>
      </c>
      <c r="L103" s="2">
        <v>0.2</v>
      </c>
      <c r="M103" s="2" t="s">
        <v>8678</v>
      </c>
      <c r="O103" s="2">
        <v>2019</v>
      </c>
      <c r="Q103" s="2" t="s">
        <v>8679</v>
      </c>
      <c r="T103" s="2" t="s">
        <v>7143</v>
      </c>
    </row>
    <row r="104" spans="2:20">
      <c r="B104" s="2" t="s">
        <v>978</v>
      </c>
      <c r="C104" s="2" t="s">
        <v>5841</v>
      </c>
      <c r="E104" s="2">
        <v>0.2</v>
      </c>
      <c r="G104" s="2">
        <v>200</v>
      </c>
      <c r="H104" s="2" t="s">
        <v>7142</v>
      </c>
      <c r="I104" s="2" t="s">
        <v>8695</v>
      </c>
      <c r="M104" s="2" t="s">
        <v>8680</v>
      </c>
      <c r="O104" s="2">
        <v>2007</v>
      </c>
      <c r="P104" s="2">
        <v>2019</v>
      </c>
      <c r="Q104" s="2" t="s">
        <v>8679</v>
      </c>
      <c r="T104" s="2" t="s">
        <v>7142</v>
      </c>
    </row>
    <row r="105" spans="2:20">
      <c r="B105" s="2" t="s">
        <v>978</v>
      </c>
      <c r="C105" s="2" t="s">
        <v>5842</v>
      </c>
      <c r="E105" s="2">
        <v>0.3</v>
      </c>
      <c r="G105" s="2">
        <v>300</v>
      </c>
      <c r="H105" s="2" t="s">
        <v>7142</v>
      </c>
      <c r="I105" s="2" t="s">
        <v>8698</v>
      </c>
      <c r="K105" s="2">
        <v>0.3</v>
      </c>
      <c r="L105" s="2">
        <v>0.3</v>
      </c>
      <c r="M105" s="2" t="s">
        <v>8678</v>
      </c>
      <c r="O105" s="2">
        <v>2023</v>
      </c>
      <c r="Q105" s="2" t="s">
        <v>8683</v>
      </c>
      <c r="T105" s="2" t="s">
        <v>7143</v>
      </c>
    </row>
    <row r="106" spans="2:20">
      <c r="B106" s="2" t="s">
        <v>978</v>
      </c>
      <c r="C106" s="2" t="s">
        <v>5844</v>
      </c>
      <c r="E106" s="2">
        <v>0.2</v>
      </c>
      <c r="G106" s="2">
        <v>200</v>
      </c>
      <c r="H106" s="2" t="s">
        <v>7142</v>
      </c>
      <c r="I106" s="2" t="s">
        <v>8695</v>
      </c>
      <c r="K106" s="2">
        <v>0.2</v>
      </c>
      <c r="L106" s="2">
        <v>0.4</v>
      </c>
      <c r="M106" s="2" t="s">
        <v>8680</v>
      </c>
      <c r="P106" s="2">
        <v>2013</v>
      </c>
      <c r="Q106" s="2" t="s">
        <v>8679</v>
      </c>
      <c r="T106" s="2" t="s">
        <v>7142</v>
      </c>
    </row>
    <row r="107" spans="2:20">
      <c r="B107" s="2" t="s">
        <v>634</v>
      </c>
      <c r="C107" s="2" t="s">
        <v>5845</v>
      </c>
      <c r="D107" s="19" t="s">
        <v>8682</v>
      </c>
      <c r="E107" s="2">
        <v>0.7</v>
      </c>
      <c r="F107" s="2">
        <v>0</v>
      </c>
      <c r="G107" s="2">
        <v>700</v>
      </c>
      <c r="H107" s="2" t="s">
        <v>7143</v>
      </c>
      <c r="I107" s="2" t="s">
        <v>8690</v>
      </c>
      <c r="K107" s="2">
        <v>0.7</v>
      </c>
      <c r="L107" s="2">
        <v>2.2000000000000002</v>
      </c>
      <c r="M107" s="2" t="s">
        <v>8680</v>
      </c>
      <c r="O107" s="2">
        <v>2012</v>
      </c>
      <c r="P107" s="2">
        <v>2012</v>
      </c>
      <c r="Q107" s="2" t="s">
        <v>8683</v>
      </c>
      <c r="S107" s="2">
        <v>30</v>
      </c>
      <c r="T107" s="2" t="s">
        <v>7143</v>
      </c>
    </row>
    <row r="108" spans="2:20">
      <c r="B108" s="2" t="s">
        <v>1044</v>
      </c>
      <c r="C108" s="2" t="s">
        <v>5846</v>
      </c>
      <c r="D108" s="2" t="s">
        <v>5743</v>
      </c>
      <c r="E108" s="2">
        <v>0.3</v>
      </c>
      <c r="G108" s="2">
        <v>300</v>
      </c>
      <c r="H108" s="2" t="s">
        <v>7143</v>
      </c>
      <c r="K108" s="2">
        <v>0.3</v>
      </c>
      <c r="L108" s="2">
        <v>1</v>
      </c>
      <c r="M108" s="2" t="s">
        <v>8678</v>
      </c>
      <c r="O108" s="2">
        <v>2014</v>
      </c>
      <c r="P108" s="2">
        <v>2014</v>
      </c>
      <c r="Q108" s="2" t="s">
        <v>8681</v>
      </c>
      <c r="S108" s="2">
        <v>5</v>
      </c>
      <c r="T108" s="2" t="s">
        <v>7142</v>
      </c>
    </row>
    <row r="109" spans="2:20">
      <c r="B109" s="2" t="s">
        <v>1044</v>
      </c>
      <c r="C109" s="2" t="s">
        <v>5847</v>
      </c>
      <c r="D109" s="2" t="s">
        <v>5736</v>
      </c>
      <c r="E109" s="2">
        <v>0.2</v>
      </c>
      <c r="G109" s="2">
        <v>200</v>
      </c>
      <c r="H109" s="2" t="s">
        <v>7143</v>
      </c>
      <c r="K109" s="2">
        <v>0.2</v>
      </c>
      <c r="L109" s="2">
        <v>0.7</v>
      </c>
      <c r="M109" s="2" t="s">
        <v>8678</v>
      </c>
      <c r="O109" s="2">
        <v>2016</v>
      </c>
      <c r="P109" s="2">
        <v>2016</v>
      </c>
      <c r="Q109" s="2" t="s">
        <v>8681</v>
      </c>
      <c r="S109" s="2">
        <v>4</v>
      </c>
      <c r="T109" s="2" t="s">
        <v>7142</v>
      </c>
    </row>
    <row r="110" spans="2:20">
      <c r="B110" s="2" t="s">
        <v>1044</v>
      </c>
      <c r="C110" s="2" t="s">
        <v>5848</v>
      </c>
      <c r="D110" s="2" t="s">
        <v>5731</v>
      </c>
      <c r="E110" s="2">
        <v>0.1</v>
      </c>
      <c r="G110" s="2">
        <v>100</v>
      </c>
      <c r="H110" s="2" t="s">
        <v>7143</v>
      </c>
      <c r="K110" s="2">
        <v>0.1</v>
      </c>
      <c r="L110" s="2">
        <v>0.3</v>
      </c>
      <c r="M110" s="2" t="s">
        <v>8678</v>
      </c>
      <c r="O110" s="2">
        <v>2015</v>
      </c>
      <c r="P110" s="2">
        <v>2015</v>
      </c>
      <c r="Q110" s="2" t="s">
        <v>8681</v>
      </c>
      <c r="S110" s="2">
        <v>3</v>
      </c>
      <c r="T110" s="2" t="s">
        <v>7142</v>
      </c>
    </row>
    <row r="111" spans="2:20">
      <c r="B111" s="2" t="s">
        <v>639</v>
      </c>
      <c r="C111" s="2" t="s">
        <v>5849</v>
      </c>
      <c r="D111" s="19" t="s">
        <v>8685</v>
      </c>
      <c r="E111" s="2">
        <v>0.5</v>
      </c>
      <c r="F111" s="2">
        <v>0</v>
      </c>
      <c r="G111" s="2">
        <v>550</v>
      </c>
      <c r="H111" s="2" t="s">
        <v>7143</v>
      </c>
      <c r="K111" s="2">
        <v>0.5</v>
      </c>
      <c r="L111" s="2">
        <v>2.2000000000000002</v>
      </c>
      <c r="M111" s="2" t="s">
        <v>8680</v>
      </c>
      <c r="O111" s="2">
        <v>2000</v>
      </c>
      <c r="P111" s="2">
        <v>2000</v>
      </c>
      <c r="Q111" s="2" t="s">
        <v>8697</v>
      </c>
      <c r="R111" s="2" t="s">
        <v>5810</v>
      </c>
      <c r="S111" s="2">
        <v>25</v>
      </c>
      <c r="T111" s="2" t="s">
        <v>7142</v>
      </c>
    </row>
    <row r="112" spans="2:20">
      <c r="B112" s="2" t="s">
        <v>639</v>
      </c>
      <c r="C112" s="2" t="s">
        <v>5850</v>
      </c>
      <c r="D112" s="19" t="s">
        <v>8699</v>
      </c>
      <c r="E112" s="2">
        <v>0.4</v>
      </c>
      <c r="F112" s="2">
        <v>0</v>
      </c>
      <c r="G112" s="2">
        <v>400</v>
      </c>
      <c r="H112" s="2" t="s">
        <v>7143</v>
      </c>
      <c r="K112" s="2">
        <v>0.4</v>
      </c>
      <c r="L112" s="2">
        <v>1.7</v>
      </c>
      <c r="M112" s="2" t="s">
        <v>8678</v>
      </c>
      <c r="O112" s="2">
        <v>2010</v>
      </c>
      <c r="P112" s="2">
        <v>2010</v>
      </c>
      <c r="Q112" s="2" t="s">
        <v>8688</v>
      </c>
      <c r="S112" s="2">
        <v>25</v>
      </c>
      <c r="T112" s="2" t="s">
        <v>7143</v>
      </c>
    </row>
    <row r="113" spans="2:20">
      <c r="B113" s="2" t="s">
        <v>639</v>
      </c>
      <c r="C113" s="2" t="s">
        <v>5851</v>
      </c>
      <c r="D113" s="19" t="s">
        <v>8682</v>
      </c>
      <c r="E113" s="2">
        <v>0.35</v>
      </c>
      <c r="F113" s="2">
        <v>0</v>
      </c>
      <c r="G113" s="2">
        <v>370</v>
      </c>
      <c r="H113" s="2" t="s">
        <v>7143</v>
      </c>
      <c r="K113" s="2">
        <v>0.35</v>
      </c>
      <c r="L113" s="2">
        <v>1.1000000000000001</v>
      </c>
      <c r="M113" s="2" t="s">
        <v>8680</v>
      </c>
      <c r="O113" s="2">
        <v>2007</v>
      </c>
      <c r="P113" s="2">
        <v>2007</v>
      </c>
      <c r="Q113" s="2" t="s">
        <v>8697</v>
      </c>
      <c r="R113" s="2" t="s">
        <v>5810</v>
      </c>
      <c r="S113" s="2">
        <v>30</v>
      </c>
      <c r="T113" s="2" t="s">
        <v>7142</v>
      </c>
    </row>
    <row r="114" spans="2:20">
      <c r="B114" s="2" t="s">
        <v>639</v>
      </c>
      <c r="C114" s="2" t="s">
        <v>5852</v>
      </c>
      <c r="D114" s="19" t="s">
        <v>8684</v>
      </c>
      <c r="E114" s="2">
        <v>0.3</v>
      </c>
      <c r="F114" s="2">
        <v>0</v>
      </c>
      <c r="G114" s="2">
        <v>340</v>
      </c>
      <c r="H114" s="2" t="s">
        <v>7143</v>
      </c>
      <c r="K114" s="2">
        <v>0.3</v>
      </c>
      <c r="L114" s="2">
        <v>1</v>
      </c>
      <c r="M114" s="2" t="s">
        <v>8678</v>
      </c>
      <c r="O114" s="2">
        <v>2000</v>
      </c>
      <c r="P114" s="2">
        <v>2000</v>
      </c>
      <c r="Q114" s="2" t="s">
        <v>8679</v>
      </c>
      <c r="S114" s="2">
        <v>30</v>
      </c>
      <c r="T114" s="2" t="s">
        <v>7143</v>
      </c>
    </row>
    <row r="115" spans="2:20">
      <c r="B115" s="2" t="s">
        <v>648</v>
      </c>
      <c r="C115" s="2" t="s">
        <v>5853</v>
      </c>
      <c r="D115" s="19" t="s">
        <v>8684</v>
      </c>
      <c r="E115" s="2">
        <v>0.2</v>
      </c>
      <c r="F115" s="2">
        <v>0</v>
      </c>
      <c r="G115" s="2">
        <v>200</v>
      </c>
      <c r="H115" s="2" t="s">
        <v>7143</v>
      </c>
      <c r="K115" s="2">
        <v>0.2</v>
      </c>
      <c r="L115" s="2">
        <v>0.6</v>
      </c>
      <c r="M115" s="2" t="s">
        <v>8680</v>
      </c>
      <c r="O115" s="2">
        <v>2016</v>
      </c>
      <c r="P115" s="2">
        <v>2016</v>
      </c>
      <c r="Q115" s="2" t="s">
        <v>8697</v>
      </c>
      <c r="R115" s="2" t="s">
        <v>308</v>
      </c>
      <c r="S115" s="2">
        <v>30</v>
      </c>
      <c r="T115" s="2" t="s">
        <v>7142</v>
      </c>
    </row>
    <row r="116" spans="2:20">
      <c r="B116" s="2" t="s">
        <v>648</v>
      </c>
      <c r="C116" s="2" t="s">
        <v>5854</v>
      </c>
      <c r="D116" s="19" t="s">
        <v>8682</v>
      </c>
      <c r="E116" s="2">
        <v>0.8</v>
      </c>
      <c r="F116" s="2">
        <v>0</v>
      </c>
      <c r="G116" s="2">
        <v>800</v>
      </c>
      <c r="H116" s="2" t="s">
        <v>7142</v>
      </c>
      <c r="I116" s="2" t="s">
        <v>8686</v>
      </c>
      <c r="K116" s="2">
        <v>0.8</v>
      </c>
      <c r="L116" s="2">
        <v>3</v>
      </c>
      <c r="M116" s="2" t="s">
        <v>8680</v>
      </c>
      <c r="O116" s="2">
        <v>2020</v>
      </c>
      <c r="P116" s="2">
        <v>2020</v>
      </c>
      <c r="Q116" s="2" t="s">
        <v>8697</v>
      </c>
      <c r="R116" s="2" t="s">
        <v>308</v>
      </c>
      <c r="S116" s="2">
        <v>30</v>
      </c>
      <c r="T116" s="2" t="s">
        <v>7142</v>
      </c>
    </row>
    <row r="117" spans="2:20">
      <c r="B117" s="2" t="s">
        <v>1082</v>
      </c>
      <c r="C117" s="2" t="s">
        <v>5855</v>
      </c>
      <c r="D117" s="2" t="s">
        <v>5731</v>
      </c>
      <c r="E117" s="2">
        <v>0.4</v>
      </c>
      <c r="G117" s="2">
        <v>400</v>
      </c>
      <c r="H117" s="2" t="s">
        <v>7143</v>
      </c>
      <c r="K117" s="2">
        <v>0.4</v>
      </c>
      <c r="L117" s="2">
        <v>1.5</v>
      </c>
      <c r="M117" s="2" t="s">
        <v>8678</v>
      </c>
      <c r="O117" s="2">
        <v>2015</v>
      </c>
      <c r="P117" s="2">
        <v>2015</v>
      </c>
      <c r="Q117" s="2" t="s">
        <v>8681</v>
      </c>
      <c r="S117" s="2">
        <v>5</v>
      </c>
      <c r="T117" s="2" t="s">
        <v>7142</v>
      </c>
    </row>
    <row r="118" spans="2:20">
      <c r="B118" s="2" t="s">
        <v>1276</v>
      </c>
      <c r="C118" s="2" t="s">
        <v>5856</v>
      </c>
      <c r="D118" s="2" t="s">
        <v>5758</v>
      </c>
      <c r="E118" s="2">
        <v>0.2</v>
      </c>
      <c r="G118" s="2">
        <v>200</v>
      </c>
      <c r="H118" s="2" t="s">
        <v>7143</v>
      </c>
      <c r="K118" s="2">
        <v>0.2</v>
      </c>
      <c r="L118" s="2">
        <v>0.4</v>
      </c>
      <c r="M118" s="2" t="s">
        <v>8680</v>
      </c>
      <c r="O118" s="2">
        <v>2009</v>
      </c>
      <c r="P118" s="2">
        <v>2009</v>
      </c>
      <c r="Q118" s="2" t="s">
        <v>8681</v>
      </c>
      <c r="S118" s="2">
        <v>20</v>
      </c>
      <c r="T118" s="2" t="s">
        <v>7142</v>
      </c>
    </row>
    <row r="119" spans="2:20">
      <c r="B119" s="2" t="s">
        <v>1276</v>
      </c>
      <c r="C119" s="2" t="s">
        <v>5857</v>
      </c>
      <c r="D119" s="2" t="s">
        <v>5743</v>
      </c>
      <c r="E119" s="2">
        <v>0.3</v>
      </c>
      <c r="G119" s="2">
        <v>300</v>
      </c>
      <c r="H119" s="2" t="s">
        <v>7142</v>
      </c>
      <c r="I119" s="2" t="s">
        <v>8690</v>
      </c>
      <c r="J119" s="2" t="s">
        <v>5733</v>
      </c>
      <c r="K119" s="2">
        <v>0.3</v>
      </c>
      <c r="L119" s="2">
        <v>0.6</v>
      </c>
      <c r="M119" s="2" t="s">
        <v>8680</v>
      </c>
      <c r="O119" s="2">
        <v>2009</v>
      </c>
      <c r="P119" s="2">
        <v>2009</v>
      </c>
      <c r="Q119" s="2" t="s">
        <v>8681</v>
      </c>
      <c r="S119" s="2">
        <v>20</v>
      </c>
      <c r="T119" s="2" t="s">
        <v>7142</v>
      </c>
    </row>
    <row r="120" spans="2:20">
      <c r="B120" s="2" t="s">
        <v>1276</v>
      </c>
      <c r="C120" s="2" t="s">
        <v>5858</v>
      </c>
      <c r="D120" s="2" t="s">
        <v>5736</v>
      </c>
      <c r="E120" s="2">
        <v>0.5</v>
      </c>
      <c r="G120" s="2">
        <v>500</v>
      </c>
      <c r="H120" s="2" t="s">
        <v>7143</v>
      </c>
      <c r="K120" s="2">
        <v>0.5</v>
      </c>
      <c r="L120" s="2">
        <v>2</v>
      </c>
      <c r="M120" s="2" t="s">
        <v>8680</v>
      </c>
      <c r="O120" s="2">
        <v>2008</v>
      </c>
      <c r="P120" s="2">
        <v>2008</v>
      </c>
      <c r="Q120" s="2" t="s">
        <v>8681</v>
      </c>
      <c r="S120" s="2">
        <v>20</v>
      </c>
      <c r="T120" s="2" t="s">
        <v>7142</v>
      </c>
    </row>
    <row r="121" spans="2:20">
      <c r="B121" s="2" t="s">
        <v>1276</v>
      </c>
      <c r="C121" s="2" t="s">
        <v>5859</v>
      </c>
      <c r="D121" s="2" t="s">
        <v>5731</v>
      </c>
      <c r="E121" s="2">
        <v>3</v>
      </c>
      <c r="G121" s="2">
        <v>3000</v>
      </c>
      <c r="H121" s="2" t="s">
        <v>7142</v>
      </c>
      <c r="I121" s="2" t="s">
        <v>8690</v>
      </c>
      <c r="J121" s="2" t="s">
        <v>5733</v>
      </c>
      <c r="K121" s="2">
        <v>3</v>
      </c>
      <c r="L121" s="2">
        <v>12</v>
      </c>
      <c r="M121" s="2" t="s">
        <v>8680</v>
      </c>
      <c r="O121" s="2">
        <v>2007</v>
      </c>
      <c r="P121" s="2">
        <v>2007</v>
      </c>
      <c r="Q121" s="2" t="s">
        <v>8681</v>
      </c>
      <c r="S121" s="2">
        <v>20</v>
      </c>
      <c r="T121" s="2" t="s">
        <v>7142</v>
      </c>
    </row>
    <row r="122" spans="2:20">
      <c r="B122" s="2" t="s">
        <v>1322</v>
      </c>
      <c r="C122" s="2" t="s">
        <v>5860</v>
      </c>
      <c r="D122" s="2" t="s">
        <v>5758</v>
      </c>
      <c r="E122" s="2">
        <v>0.5</v>
      </c>
      <c r="G122" s="2">
        <v>500</v>
      </c>
      <c r="H122" s="2" t="s">
        <v>7143</v>
      </c>
      <c r="K122" s="2">
        <v>0.5</v>
      </c>
      <c r="L122" s="2">
        <v>2.8</v>
      </c>
      <c r="M122" s="2" t="s">
        <v>8680</v>
      </c>
      <c r="O122" s="2">
        <v>2000</v>
      </c>
      <c r="P122" s="2">
        <v>2000</v>
      </c>
      <c r="Q122" s="2" t="s">
        <v>8681</v>
      </c>
      <c r="S122" s="2">
        <v>7</v>
      </c>
      <c r="T122" s="2" t="s">
        <v>7142</v>
      </c>
    </row>
    <row r="123" spans="2:20">
      <c r="B123" s="2" t="s">
        <v>1322</v>
      </c>
      <c r="C123" s="2" t="s">
        <v>5861</v>
      </c>
      <c r="D123" s="2" t="s">
        <v>5743</v>
      </c>
      <c r="E123" s="2">
        <v>0.6</v>
      </c>
      <c r="G123" s="2">
        <v>600</v>
      </c>
      <c r="H123" s="2" t="s">
        <v>7143</v>
      </c>
      <c r="K123" s="2">
        <v>0.6</v>
      </c>
      <c r="L123" s="2">
        <v>3.2</v>
      </c>
      <c r="M123" s="2" t="s">
        <v>8680</v>
      </c>
      <c r="O123" s="2">
        <v>2000</v>
      </c>
      <c r="P123" s="2">
        <v>2000</v>
      </c>
      <c r="Q123" s="2" t="s">
        <v>8681</v>
      </c>
      <c r="S123" s="2">
        <v>7</v>
      </c>
      <c r="T123" s="2" t="s">
        <v>7142</v>
      </c>
    </row>
    <row r="124" spans="2:20">
      <c r="B124" s="2" t="s">
        <v>1322</v>
      </c>
      <c r="C124" s="2" t="s">
        <v>5862</v>
      </c>
      <c r="D124" s="2" t="s">
        <v>5736</v>
      </c>
      <c r="E124" s="2">
        <v>0.8</v>
      </c>
      <c r="G124" s="2">
        <v>800</v>
      </c>
      <c r="H124" s="2" t="s">
        <v>7143</v>
      </c>
      <c r="K124" s="2">
        <v>0.8</v>
      </c>
      <c r="L124" s="2">
        <v>4</v>
      </c>
      <c r="M124" s="2" t="s">
        <v>8680</v>
      </c>
      <c r="O124" s="2">
        <v>1999</v>
      </c>
      <c r="P124" s="2">
        <v>1999</v>
      </c>
      <c r="Q124" s="2" t="s">
        <v>8681</v>
      </c>
      <c r="S124" s="2">
        <v>5</v>
      </c>
      <c r="T124" s="2" t="s">
        <v>7142</v>
      </c>
    </row>
    <row r="125" spans="2:20">
      <c r="B125" s="2" t="s">
        <v>1322</v>
      </c>
      <c r="C125" s="2" t="s">
        <v>5863</v>
      </c>
      <c r="D125" s="2" t="s">
        <v>5731</v>
      </c>
      <c r="E125" s="2">
        <v>1.7</v>
      </c>
      <c r="G125" s="2">
        <v>1700</v>
      </c>
      <c r="H125" s="2" t="s">
        <v>7143</v>
      </c>
      <c r="K125" s="2">
        <v>1.7</v>
      </c>
      <c r="L125" s="2">
        <v>9</v>
      </c>
      <c r="M125" s="2" t="s">
        <v>8680</v>
      </c>
      <c r="O125" s="2">
        <v>1998</v>
      </c>
      <c r="P125" s="2">
        <v>1998</v>
      </c>
      <c r="Q125" s="2" t="s">
        <v>8681</v>
      </c>
      <c r="S125" s="2">
        <v>5</v>
      </c>
      <c r="T125" s="2" t="s">
        <v>7142</v>
      </c>
    </row>
    <row r="126" spans="2:20">
      <c r="B126" s="2" t="s">
        <v>1322</v>
      </c>
      <c r="C126" s="2" t="s">
        <v>5864</v>
      </c>
      <c r="D126" s="2" t="s">
        <v>5816</v>
      </c>
      <c r="E126" s="2">
        <v>0.3</v>
      </c>
      <c r="G126" s="2">
        <v>300</v>
      </c>
      <c r="H126" s="2" t="s">
        <v>7143</v>
      </c>
      <c r="K126" s="2">
        <v>0.3</v>
      </c>
      <c r="L126" s="2">
        <v>1</v>
      </c>
      <c r="M126" s="2" t="s">
        <v>8680</v>
      </c>
      <c r="O126" s="2">
        <v>2001</v>
      </c>
      <c r="P126" s="2">
        <v>2001</v>
      </c>
      <c r="Q126" s="2" t="s">
        <v>8681</v>
      </c>
      <c r="S126" s="2">
        <v>6</v>
      </c>
      <c r="T126" s="2" t="s">
        <v>7142</v>
      </c>
    </row>
    <row r="127" spans="2:20">
      <c r="B127" s="2" t="s">
        <v>1354</v>
      </c>
      <c r="C127" s="2" t="s">
        <v>5865</v>
      </c>
      <c r="D127" s="2" t="s">
        <v>5743</v>
      </c>
      <c r="E127" s="2">
        <v>0.5</v>
      </c>
      <c r="G127" s="2">
        <v>500</v>
      </c>
      <c r="H127" s="2" t="s">
        <v>7143</v>
      </c>
      <c r="K127" s="2">
        <v>0.5</v>
      </c>
      <c r="L127" s="2">
        <v>2.5</v>
      </c>
      <c r="M127" s="2" t="s">
        <v>8680</v>
      </c>
      <c r="O127" s="2">
        <v>2015</v>
      </c>
      <c r="P127" s="2">
        <v>2015</v>
      </c>
      <c r="Q127" s="2" t="s">
        <v>8681</v>
      </c>
      <c r="S127" s="2">
        <v>10</v>
      </c>
      <c r="T127" s="2" t="s">
        <v>7142</v>
      </c>
    </row>
    <row r="128" spans="2:20">
      <c r="B128" s="2" t="s">
        <v>1354</v>
      </c>
      <c r="C128" s="2" t="s">
        <v>5866</v>
      </c>
      <c r="D128" s="2" t="s">
        <v>5731</v>
      </c>
      <c r="E128" s="2">
        <v>0.8</v>
      </c>
      <c r="G128" s="2">
        <v>800</v>
      </c>
      <c r="H128" s="2" t="s">
        <v>7142</v>
      </c>
      <c r="I128" s="2" t="s">
        <v>8690</v>
      </c>
      <c r="J128" s="2" t="s">
        <v>5867</v>
      </c>
      <c r="K128" s="2">
        <v>0.8</v>
      </c>
      <c r="L128" s="2">
        <v>2.5</v>
      </c>
      <c r="M128" s="2" t="s">
        <v>8680</v>
      </c>
      <c r="O128" s="2">
        <v>2015</v>
      </c>
      <c r="P128" s="2">
        <v>2015</v>
      </c>
      <c r="Q128" s="2" t="s">
        <v>8681</v>
      </c>
      <c r="S128" s="2">
        <v>10</v>
      </c>
      <c r="T128" s="2" t="s">
        <v>7142</v>
      </c>
    </row>
    <row r="129" spans="2:20">
      <c r="B129" s="2" t="s">
        <v>1354</v>
      </c>
      <c r="C129" s="2" t="s">
        <v>5868</v>
      </c>
      <c r="D129" s="2" t="s">
        <v>5736</v>
      </c>
      <c r="E129" s="2">
        <v>0.8</v>
      </c>
      <c r="G129" s="2">
        <v>800</v>
      </c>
      <c r="H129" s="2" t="s">
        <v>7143</v>
      </c>
      <c r="K129" s="2">
        <v>0.8</v>
      </c>
      <c r="L129" s="2">
        <v>2.8</v>
      </c>
      <c r="M129" s="2" t="s">
        <v>8680</v>
      </c>
      <c r="O129" s="2">
        <v>2016</v>
      </c>
      <c r="P129" s="2">
        <v>2016</v>
      </c>
      <c r="Q129" s="2" t="s">
        <v>8681</v>
      </c>
      <c r="S129" s="2">
        <v>11</v>
      </c>
      <c r="T129" s="2" t="s">
        <v>7142</v>
      </c>
    </row>
    <row r="130" spans="2:20">
      <c r="B130" s="2" t="s">
        <v>1354</v>
      </c>
      <c r="C130" s="2" t="s">
        <v>5869</v>
      </c>
      <c r="D130" s="2" t="s">
        <v>5758</v>
      </c>
      <c r="E130" s="2">
        <v>0.8</v>
      </c>
      <c r="G130" s="2">
        <v>800</v>
      </c>
      <c r="H130" s="2" t="s">
        <v>7143</v>
      </c>
      <c r="K130" s="2">
        <v>0.8</v>
      </c>
      <c r="L130" s="2">
        <v>2.2000000000000002</v>
      </c>
      <c r="M130" s="2" t="s">
        <v>8680</v>
      </c>
      <c r="O130" s="2">
        <v>2022</v>
      </c>
      <c r="P130" s="2">
        <v>2022</v>
      </c>
      <c r="Q130" s="2" t="s">
        <v>8681</v>
      </c>
      <c r="S130" s="2">
        <v>10</v>
      </c>
      <c r="T130" s="2" t="s">
        <v>7142</v>
      </c>
    </row>
    <row r="131" spans="2:20">
      <c r="B131" s="2" t="s">
        <v>1396</v>
      </c>
      <c r="C131" s="2" t="s">
        <v>5870</v>
      </c>
      <c r="D131" s="2" t="s">
        <v>5731</v>
      </c>
      <c r="E131" s="2">
        <v>4</v>
      </c>
      <c r="G131" s="2">
        <v>4000</v>
      </c>
      <c r="H131" s="2" t="s">
        <v>7142</v>
      </c>
      <c r="I131" s="2" t="s">
        <v>8690</v>
      </c>
      <c r="J131" s="2" t="s">
        <v>1545</v>
      </c>
      <c r="K131" s="2">
        <v>4</v>
      </c>
      <c r="L131" s="2">
        <v>16</v>
      </c>
      <c r="M131" s="2" t="s">
        <v>8680</v>
      </c>
      <c r="O131" s="2">
        <v>1999</v>
      </c>
      <c r="P131" s="2">
        <v>2018</v>
      </c>
      <c r="Q131" s="2" t="s">
        <v>8679</v>
      </c>
      <c r="S131" s="2">
        <v>10</v>
      </c>
      <c r="T131" s="2" t="s">
        <v>7142</v>
      </c>
    </row>
    <row r="132" spans="2:20">
      <c r="B132" s="2" t="s">
        <v>1409</v>
      </c>
      <c r="C132" s="2" t="s">
        <v>5871</v>
      </c>
      <c r="D132" s="2" t="s">
        <v>5731</v>
      </c>
      <c r="E132" s="2">
        <v>0.5</v>
      </c>
      <c r="G132" s="2">
        <v>500</v>
      </c>
      <c r="H132" s="2" t="s">
        <v>7142</v>
      </c>
      <c r="I132" s="2" t="s">
        <v>8687</v>
      </c>
      <c r="K132" s="2">
        <v>0.5</v>
      </c>
      <c r="L132" s="2">
        <v>2</v>
      </c>
      <c r="M132" s="2" t="s">
        <v>8680</v>
      </c>
      <c r="O132" s="2">
        <v>2019</v>
      </c>
      <c r="P132" s="2">
        <v>2019</v>
      </c>
      <c r="Q132" s="2" t="s">
        <v>8681</v>
      </c>
      <c r="S132" s="2">
        <v>15</v>
      </c>
      <c r="T132" s="2" t="s">
        <v>7142</v>
      </c>
    </row>
    <row r="133" spans="2:20">
      <c r="B133" s="2" t="s">
        <v>2470</v>
      </c>
      <c r="C133" s="2" t="s">
        <v>5872</v>
      </c>
      <c r="D133" s="19" t="s">
        <v>8682</v>
      </c>
      <c r="E133" s="2">
        <v>1</v>
      </c>
      <c r="F133" s="2">
        <v>0</v>
      </c>
      <c r="G133" s="2">
        <v>1000</v>
      </c>
      <c r="H133" s="2" t="s">
        <v>7143</v>
      </c>
      <c r="K133" s="2">
        <v>1</v>
      </c>
      <c r="L133" s="2">
        <v>5</v>
      </c>
      <c r="M133" s="2" t="s">
        <v>8680</v>
      </c>
      <c r="O133" s="2">
        <v>1999</v>
      </c>
      <c r="P133" s="2">
        <v>1999</v>
      </c>
      <c r="Q133" s="2" t="s">
        <v>8681</v>
      </c>
      <c r="S133" s="2">
        <v>48</v>
      </c>
      <c r="T133" s="2" t="s">
        <v>7142</v>
      </c>
    </row>
    <row r="134" spans="2:20">
      <c r="B134" s="2" t="s">
        <v>2470</v>
      </c>
      <c r="C134" s="2" t="s">
        <v>5873</v>
      </c>
      <c r="D134" s="19" t="s">
        <v>8685</v>
      </c>
      <c r="E134" s="2">
        <v>0.8</v>
      </c>
      <c r="F134" s="2">
        <v>0</v>
      </c>
      <c r="G134" s="2">
        <v>800</v>
      </c>
      <c r="H134" s="2" t="s">
        <v>7142</v>
      </c>
      <c r="I134" s="2" t="s">
        <v>8686</v>
      </c>
      <c r="K134" s="2">
        <v>0</v>
      </c>
      <c r="L134" s="2">
        <v>0</v>
      </c>
      <c r="M134" s="2" t="s">
        <v>8680</v>
      </c>
      <c r="O134" s="2">
        <v>2024</v>
      </c>
      <c r="P134" s="2">
        <v>2024</v>
      </c>
      <c r="Q134" s="2" t="s">
        <v>8688</v>
      </c>
      <c r="S134" s="2">
        <v>48</v>
      </c>
      <c r="T134" s="2" t="s">
        <v>7142</v>
      </c>
    </row>
    <row r="135" spans="2:20">
      <c r="B135" s="2" t="s">
        <v>2470</v>
      </c>
      <c r="C135" s="2" t="s">
        <v>5874</v>
      </c>
      <c r="D135" s="19" t="s">
        <v>8684</v>
      </c>
      <c r="E135" s="2">
        <v>1.2</v>
      </c>
      <c r="F135" s="2">
        <v>0</v>
      </c>
      <c r="G135" s="2">
        <v>1200</v>
      </c>
      <c r="H135" s="2" t="s">
        <v>7142</v>
      </c>
      <c r="I135" s="2" t="s">
        <v>8686</v>
      </c>
      <c r="K135" s="2">
        <v>0</v>
      </c>
      <c r="L135" s="2">
        <v>0</v>
      </c>
      <c r="M135" s="2" t="s">
        <v>8680</v>
      </c>
      <c r="O135" s="2">
        <v>2025</v>
      </c>
      <c r="P135" s="2">
        <v>2025</v>
      </c>
      <c r="Q135" s="2" t="s">
        <v>8688</v>
      </c>
      <c r="S135" s="2">
        <v>48</v>
      </c>
      <c r="T135" s="2" t="s">
        <v>7142</v>
      </c>
    </row>
    <row r="136" spans="2:20">
      <c r="B136" s="2" t="s">
        <v>1514</v>
      </c>
      <c r="C136" s="2" t="s">
        <v>5875</v>
      </c>
      <c r="D136" s="2" t="s">
        <v>5731</v>
      </c>
      <c r="E136" s="2">
        <v>0.6</v>
      </c>
      <c r="G136" s="2">
        <v>600</v>
      </c>
      <c r="H136" s="2" t="s">
        <v>7143</v>
      </c>
      <c r="K136" s="2">
        <v>0.6</v>
      </c>
      <c r="L136" s="2">
        <v>2.5</v>
      </c>
      <c r="M136" s="2" t="s">
        <v>8678</v>
      </c>
      <c r="O136" s="2">
        <v>1998</v>
      </c>
      <c r="P136" s="2">
        <v>1998</v>
      </c>
      <c r="Q136" s="2" t="s">
        <v>8681</v>
      </c>
      <c r="S136" s="2">
        <v>15</v>
      </c>
      <c r="T136" s="2" t="s">
        <v>7143</v>
      </c>
    </row>
    <row r="137" spans="2:20">
      <c r="B137" s="2" t="s">
        <v>1554</v>
      </c>
      <c r="C137" s="2" t="s">
        <v>5876</v>
      </c>
      <c r="D137" s="2" t="s">
        <v>5736</v>
      </c>
      <c r="E137" s="2">
        <v>0.5</v>
      </c>
      <c r="G137" s="2">
        <v>500</v>
      </c>
      <c r="H137" s="2" t="s">
        <v>7142</v>
      </c>
      <c r="I137" s="2" t="s">
        <v>8690</v>
      </c>
      <c r="J137" s="2" t="s">
        <v>1471</v>
      </c>
      <c r="K137" s="2">
        <v>0.5</v>
      </c>
      <c r="L137" s="2">
        <v>3.5</v>
      </c>
      <c r="M137" s="2" t="s">
        <v>8680</v>
      </c>
      <c r="O137" s="2">
        <v>1995</v>
      </c>
      <c r="P137" s="2">
        <v>1995</v>
      </c>
      <c r="Q137" s="2" t="s">
        <v>8681</v>
      </c>
      <c r="S137" s="2">
        <v>15</v>
      </c>
      <c r="T137" s="2" t="s">
        <v>7142</v>
      </c>
    </row>
    <row r="138" spans="2:20">
      <c r="B138" s="2" t="s">
        <v>1554</v>
      </c>
      <c r="C138" s="2" t="s">
        <v>5877</v>
      </c>
      <c r="D138" s="2" t="s">
        <v>5731</v>
      </c>
      <c r="E138" s="2">
        <v>0.8</v>
      </c>
      <c r="G138" s="2">
        <v>800</v>
      </c>
      <c r="H138" s="2" t="s">
        <v>7142</v>
      </c>
      <c r="I138" s="2" t="s">
        <v>8690</v>
      </c>
      <c r="J138" s="2" t="s">
        <v>5878</v>
      </c>
      <c r="K138" s="2">
        <v>0.8</v>
      </c>
      <c r="L138" s="2">
        <v>4.5</v>
      </c>
      <c r="M138" s="2" t="s">
        <v>8680</v>
      </c>
      <c r="O138" s="2">
        <v>1995</v>
      </c>
      <c r="P138" s="2">
        <v>1995</v>
      </c>
      <c r="Q138" s="2" t="s">
        <v>8681</v>
      </c>
      <c r="S138" s="2">
        <v>15</v>
      </c>
      <c r="T138" s="2" t="s">
        <v>7142</v>
      </c>
    </row>
    <row r="139" spans="2:20">
      <c r="B139" s="2" t="s">
        <v>2358</v>
      </c>
      <c r="C139" s="2" t="s">
        <v>5879</v>
      </c>
      <c r="D139" s="19" t="s">
        <v>8682</v>
      </c>
      <c r="E139" s="2">
        <v>0.4</v>
      </c>
      <c r="F139" s="2">
        <v>0</v>
      </c>
      <c r="G139" s="2">
        <v>400</v>
      </c>
      <c r="H139" s="2" t="s">
        <v>7143</v>
      </c>
      <c r="K139" s="2">
        <v>0.4</v>
      </c>
      <c r="L139" s="2">
        <v>0.7</v>
      </c>
      <c r="M139" s="2" t="s">
        <v>8678</v>
      </c>
      <c r="O139" s="2">
        <v>1998</v>
      </c>
      <c r="P139" s="2">
        <v>1998</v>
      </c>
      <c r="Q139" s="2" t="s">
        <v>8681</v>
      </c>
      <c r="S139" s="2">
        <v>35</v>
      </c>
      <c r="T139" s="2" t="s">
        <v>7143</v>
      </c>
    </row>
    <row r="140" spans="2:20">
      <c r="B140" s="2" t="s">
        <v>1577</v>
      </c>
      <c r="C140" s="2" t="s">
        <v>5880</v>
      </c>
      <c r="D140" s="2" t="s">
        <v>5881</v>
      </c>
      <c r="E140" s="2">
        <v>0.5</v>
      </c>
      <c r="G140" s="2">
        <v>500</v>
      </c>
      <c r="H140" s="2" t="s">
        <v>7143</v>
      </c>
      <c r="K140" s="2">
        <v>0.5</v>
      </c>
      <c r="L140" s="2">
        <v>1</v>
      </c>
      <c r="M140" s="2" t="s">
        <v>8680</v>
      </c>
      <c r="O140" s="2">
        <v>2000</v>
      </c>
      <c r="P140" s="2">
        <v>2000</v>
      </c>
      <c r="Q140" s="2" t="s">
        <v>8681</v>
      </c>
      <c r="S140" s="2">
        <v>16</v>
      </c>
      <c r="T140" s="2" t="s">
        <v>7142</v>
      </c>
    </row>
    <row r="141" spans="2:20">
      <c r="B141" s="2" t="s">
        <v>1577</v>
      </c>
      <c r="C141" s="2" t="s">
        <v>5882</v>
      </c>
      <c r="D141" s="2" t="s">
        <v>5736</v>
      </c>
      <c r="E141" s="2">
        <v>1</v>
      </c>
      <c r="G141" s="2">
        <v>1000</v>
      </c>
      <c r="H141" s="2" t="s">
        <v>7142</v>
      </c>
      <c r="I141" s="2" t="s">
        <v>8690</v>
      </c>
      <c r="J141" s="2" t="s">
        <v>5867</v>
      </c>
      <c r="K141" s="2">
        <v>1</v>
      </c>
      <c r="L141" s="2">
        <v>3</v>
      </c>
      <c r="M141" s="2" t="s">
        <v>8680</v>
      </c>
      <c r="O141" s="2">
        <v>1999</v>
      </c>
      <c r="P141" s="2">
        <v>1999</v>
      </c>
      <c r="Q141" s="2" t="s">
        <v>8681</v>
      </c>
      <c r="S141" s="2">
        <v>15</v>
      </c>
      <c r="T141" s="2" t="s">
        <v>7142</v>
      </c>
    </row>
    <row r="142" spans="2:20">
      <c r="B142" s="2" t="s">
        <v>1577</v>
      </c>
      <c r="C142" s="2" t="s">
        <v>5883</v>
      </c>
      <c r="D142" s="2" t="s">
        <v>5731</v>
      </c>
      <c r="E142" s="2">
        <v>1.5</v>
      </c>
      <c r="G142" s="2">
        <v>1500</v>
      </c>
      <c r="H142" s="2" t="s">
        <v>7142</v>
      </c>
      <c r="I142" s="2" t="s">
        <v>8690</v>
      </c>
      <c r="J142" s="2" t="s">
        <v>5884</v>
      </c>
      <c r="K142" s="2">
        <v>1.5</v>
      </c>
      <c r="L142" s="2">
        <v>4</v>
      </c>
      <c r="M142" s="2" t="s">
        <v>8680</v>
      </c>
      <c r="O142" s="2">
        <v>1999</v>
      </c>
      <c r="P142" s="2">
        <v>1999</v>
      </c>
      <c r="Q142" s="2" t="s">
        <v>8681</v>
      </c>
      <c r="S142" s="2">
        <v>15</v>
      </c>
      <c r="T142" s="2" t="s">
        <v>7142</v>
      </c>
    </row>
    <row r="143" spans="2:20">
      <c r="B143" s="2" t="s">
        <v>1012</v>
      </c>
      <c r="C143" s="2" t="s">
        <v>5885</v>
      </c>
      <c r="D143" s="2" t="s">
        <v>5886</v>
      </c>
      <c r="E143" s="2">
        <v>0.2</v>
      </c>
      <c r="G143" s="2">
        <v>200</v>
      </c>
      <c r="H143" s="2" t="s">
        <v>7142</v>
      </c>
      <c r="I143" s="2" t="s">
        <v>8696</v>
      </c>
      <c r="K143" s="2">
        <v>0.2</v>
      </c>
      <c r="L143" s="2">
        <v>0.7</v>
      </c>
      <c r="M143" s="2" t="s">
        <v>8680</v>
      </c>
      <c r="O143" s="2">
        <v>2019</v>
      </c>
      <c r="Q143" s="2" t="s">
        <v>8679</v>
      </c>
      <c r="T143" s="2" t="s">
        <v>7142</v>
      </c>
    </row>
    <row r="144" spans="2:20">
      <c r="B144" s="2" t="s">
        <v>2347</v>
      </c>
      <c r="C144" s="2" t="s">
        <v>5887</v>
      </c>
      <c r="D144" s="19" t="s">
        <v>8682</v>
      </c>
      <c r="E144" s="2">
        <v>0.45</v>
      </c>
      <c r="F144" s="2">
        <v>0</v>
      </c>
      <c r="G144" s="2">
        <v>500</v>
      </c>
      <c r="H144" s="2" t="s">
        <v>7143</v>
      </c>
      <c r="K144" s="2">
        <v>0.45</v>
      </c>
      <c r="L144" s="2">
        <v>1.5</v>
      </c>
      <c r="M144" s="2" t="s">
        <v>8680</v>
      </c>
      <c r="O144" s="2">
        <v>1995</v>
      </c>
      <c r="P144" s="2">
        <v>2013</v>
      </c>
      <c r="Q144" s="2" t="s">
        <v>8679</v>
      </c>
      <c r="S144" s="2">
        <v>40</v>
      </c>
      <c r="T144" s="2" t="s">
        <v>7142</v>
      </c>
    </row>
    <row r="145" spans="2:20">
      <c r="B145" s="2" t="s">
        <v>1613</v>
      </c>
      <c r="C145" s="2" t="s">
        <v>5888</v>
      </c>
      <c r="D145" s="2" t="s">
        <v>5736</v>
      </c>
      <c r="E145" s="2">
        <v>0.5</v>
      </c>
      <c r="G145" s="2">
        <v>500</v>
      </c>
      <c r="H145" s="2" t="s">
        <v>7143</v>
      </c>
      <c r="K145" s="2">
        <v>0.5</v>
      </c>
      <c r="L145" s="2">
        <v>0.5</v>
      </c>
      <c r="M145" s="2" t="s">
        <v>8678</v>
      </c>
      <c r="O145" s="2">
        <v>2019</v>
      </c>
      <c r="P145" s="2">
        <v>2019</v>
      </c>
      <c r="Q145" s="2" t="s">
        <v>8681</v>
      </c>
      <c r="S145" s="2">
        <v>3</v>
      </c>
      <c r="T145" s="2" t="s">
        <v>7143</v>
      </c>
    </row>
    <row r="146" spans="2:20">
      <c r="B146" s="2" t="s">
        <v>1613</v>
      </c>
      <c r="C146" s="2" t="s">
        <v>5889</v>
      </c>
      <c r="D146" s="2" t="s">
        <v>5731</v>
      </c>
      <c r="E146" s="2">
        <v>0.5</v>
      </c>
      <c r="G146" s="2">
        <v>500</v>
      </c>
      <c r="H146" s="2" t="s">
        <v>7143</v>
      </c>
      <c r="K146" s="2">
        <v>0.5</v>
      </c>
      <c r="L146" s="2">
        <v>0.7</v>
      </c>
      <c r="M146" s="2" t="s">
        <v>8678</v>
      </c>
      <c r="O146" s="2">
        <v>2017</v>
      </c>
      <c r="P146" s="2">
        <v>2017</v>
      </c>
      <c r="Q146" s="2" t="s">
        <v>8681</v>
      </c>
      <c r="S146" s="2">
        <v>4</v>
      </c>
      <c r="T146" s="2" t="s">
        <v>7143</v>
      </c>
    </row>
    <row r="147" spans="2:20">
      <c r="B147" s="2" t="s">
        <v>1051</v>
      </c>
      <c r="C147" s="2" t="s">
        <v>5890</v>
      </c>
      <c r="E147" s="2">
        <v>0.35</v>
      </c>
      <c r="G147" s="2">
        <v>300</v>
      </c>
      <c r="H147" s="2" t="s">
        <v>7142</v>
      </c>
      <c r="I147" s="2" t="s">
        <v>8695</v>
      </c>
      <c r="K147" s="2">
        <v>0.35</v>
      </c>
      <c r="L147" s="2">
        <v>1</v>
      </c>
      <c r="M147" s="2" t="s">
        <v>8678</v>
      </c>
      <c r="O147" s="2">
        <v>2014</v>
      </c>
      <c r="Q147" s="2" t="s">
        <v>8679</v>
      </c>
      <c r="T147" s="2" t="s">
        <v>7143</v>
      </c>
    </row>
    <row r="148" spans="2:20">
      <c r="B148" s="2" t="s">
        <v>1051</v>
      </c>
      <c r="C148" s="2" t="s">
        <v>5891</v>
      </c>
      <c r="E148" s="2">
        <v>0.4</v>
      </c>
      <c r="G148" s="2">
        <v>300</v>
      </c>
      <c r="H148" s="2" t="s">
        <v>7142</v>
      </c>
      <c r="I148" s="2" t="s">
        <v>8696</v>
      </c>
      <c r="J148" s="2" t="s">
        <v>2469</v>
      </c>
      <c r="K148" s="2">
        <v>0.4</v>
      </c>
      <c r="L148" s="2">
        <v>1.3</v>
      </c>
      <c r="M148" s="2" t="s">
        <v>8680</v>
      </c>
      <c r="O148" s="2">
        <v>2000</v>
      </c>
      <c r="Q148" s="2" t="s">
        <v>8679</v>
      </c>
      <c r="T148" s="2" t="s">
        <v>7142</v>
      </c>
    </row>
    <row r="149" spans="2:20">
      <c r="B149" s="2" t="s">
        <v>1051</v>
      </c>
      <c r="C149" s="2" t="s">
        <v>5892</v>
      </c>
      <c r="E149" s="2">
        <v>0.15</v>
      </c>
      <c r="G149" s="2">
        <v>150</v>
      </c>
      <c r="H149" s="2" t="s">
        <v>7142</v>
      </c>
      <c r="I149" s="2" t="s">
        <v>8696</v>
      </c>
      <c r="J149" s="2" t="s">
        <v>2469</v>
      </c>
      <c r="K149" s="2">
        <v>0.5</v>
      </c>
      <c r="L149" s="2">
        <v>0.25</v>
      </c>
      <c r="M149" s="2" t="s">
        <v>8678</v>
      </c>
      <c r="O149" s="2">
        <v>2023</v>
      </c>
      <c r="Q149" s="2" t="s">
        <v>8683</v>
      </c>
      <c r="T149" s="2" t="s">
        <v>7143</v>
      </c>
    </row>
    <row r="150" spans="2:20">
      <c r="B150" s="2" t="s">
        <v>2271</v>
      </c>
      <c r="C150" s="2" t="s">
        <v>5893</v>
      </c>
      <c r="D150" s="19" t="s">
        <v>8685</v>
      </c>
      <c r="E150" s="2">
        <v>0.2</v>
      </c>
      <c r="F150" s="2">
        <v>0</v>
      </c>
      <c r="G150" s="2">
        <v>200</v>
      </c>
      <c r="H150" s="2" t="s">
        <v>7142</v>
      </c>
      <c r="I150" s="2" t="s">
        <v>8687</v>
      </c>
      <c r="K150" s="2">
        <v>0.2</v>
      </c>
      <c r="L150" s="2">
        <v>0.4</v>
      </c>
      <c r="M150" s="2" t="s">
        <v>8678</v>
      </c>
      <c r="O150" s="2">
        <v>2003</v>
      </c>
      <c r="P150" s="2">
        <v>2016</v>
      </c>
      <c r="Q150" s="2" t="s">
        <v>8679</v>
      </c>
      <c r="S150" s="2">
        <v>30</v>
      </c>
      <c r="T150" s="2" t="s">
        <v>7143</v>
      </c>
    </row>
    <row r="151" spans="2:20">
      <c r="B151" s="2" t="s">
        <v>2271</v>
      </c>
      <c r="C151" s="2" t="s">
        <v>5894</v>
      </c>
      <c r="D151" s="19" t="s">
        <v>8699</v>
      </c>
      <c r="E151" s="2">
        <v>0.2</v>
      </c>
      <c r="F151" s="2">
        <v>0</v>
      </c>
      <c r="G151" s="2">
        <v>200</v>
      </c>
      <c r="H151" s="2" t="s">
        <v>7143</v>
      </c>
      <c r="K151" s="2">
        <v>0.2</v>
      </c>
      <c r="L151" s="2">
        <v>0.4</v>
      </c>
      <c r="M151" s="2" t="s">
        <v>8678</v>
      </c>
      <c r="O151" s="2">
        <v>2003</v>
      </c>
      <c r="P151" s="2">
        <v>2016</v>
      </c>
      <c r="Q151" s="2" t="s">
        <v>8679</v>
      </c>
      <c r="S151" s="2">
        <v>30</v>
      </c>
      <c r="T151" s="2" t="s">
        <v>7143</v>
      </c>
    </row>
    <row r="152" spans="2:20">
      <c r="B152" s="2" t="s">
        <v>1634</v>
      </c>
      <c r="C152" s="2" t="s">
        <v>5895</v>
      </c>
      <c r="D152" s="2" t="s">
        <v>5758</v>
      </c>
      <c r="E152" s="2">
        <v>0.4</v>
      </c>
      <c r="G152" s="2">
        <v>400</v>
      </c>
      <c r="H152" s="2" t="s">
        <v>7143</v>
      </c>
      <c r="K152" s="2">
        <v>0.4</v>
      </c>
      <c r="L152" s="2">
        <v>0.6</v>
      </c>
      <c r="M152" s="2" t="s">
        <v>8678</v>
      </c>
      <c r="O152" s="2">
        <v>1996</v>
      </c>
      <c r="P152" s="2">
        <v>2017</v>
      </c>
      <c r="Q152" s="2" t="s">
        <v>8679</v>
      </c>
      <c r="S152" s="2">
        <v>14</v>
      </c>
      <c r="T152" s="2" t="s">
        <v>7143</v>
      </c>
    </row>
    <row r="153" spans="2:20">
      <c r="B153" s="2" t="s">
        <v>1634</v>
      </c>
      <c r="C153" s="2" t="s">
        <v>5896</v>
      </c>
      <c r="D153" s="2" t="s">
        <v>5736</v>
      </c>
      <c r="E153" s="2">
        <v>0.4</v>
      </c>
      <c r="G153" s="2">
        <v>400</v>
      </c>
      <c r="H153" s="2" t="s">
        <v>7143</v>
      </c>
      <c r="K153" s="2">
        <v>0.4</v>
      </c>
      <c r="L153" s="2">
        <v>0.8</v>
      </c>
      <c r="M153" s="2" t="s">
        <v>8678</v>
      </c>
      <c r="O153" s="2">
        <v>1995</v>
      </c>
      <c r="P153" s="2">
        <v>1995</v>
      </c>
      <c r="Q153" s="2" t="s">
        <v>8681</v>
      </c>
      <c r="S153" s="2">
        <v>15</v>
      </c>
      <c r="T153" s="2" t="s">
        <v>7143</v>
      </c>
    </row>
    <row r="154" spans="2:20">
      <c r="B154" s="2" t="s">
        <v>1634</v>
      </c>
      <c r="C154" s="2" t="s">
        <v>5897</v>
      </c>
      <c r="D154" s="2" t="s">
        <v>5731</v>
      </c>
      <c r="E154" s="2">
        <v>1</v>
      </c>
      <c r="G154" s="2">
        <v>1000</v>
      </c>
      <c r="H154" s="2" t="s">
        <v>7143</v>
      </c>
      <c r="K154" s="2">
        <v>1</v>
      </c>
      <c r="L154" s="2">
        <v>1.5</v>
      </c>
      <c r="M154" s="2" t="s">
        <v>8678</v>
      </c>
      <c r="O154" s="2">
        <v>1995</v>
      </c>
      <c r="P154" s="2">
        <v>2016</v>
      </c>
      <c r="Q154" s="2" t="s">
        <v>8679</v>
      </c>
      <c r="S154" s="2">
        <v>10</v>
      </c>
      <c r="T154" s="2" t="s">
        <v>7143</v>
      </c>
    </row>
    <row r="155" spans="2:20">
      <c r="B155" s="2" t="s">
        <v>1634</v>
      </c>
      <c r="C155" s="2" t="s">
        <v>5898</v>
      </c>
      <c r="D155" s="2" t="s">
        <v>5743</v>
      </c>
      <c r="E155" s="2">
        <v>0.3</v>
      </c>
      <c r="G155" s="2">
        <v>300</v>
      </c>
      <c r="H155" s="2" t="s">
        <v>7143</v>
      </c>
      <c r="K155" s="2">
        <v>0.3</v>
      </c>
      <c r="L155" s="2">
        <v>0.6</v>
      </c>
      <c r="M155" s="2" t="s">
        <v>8678</v>
      </c>
      <c r="O155" s="2">
        <v>1999</v>
      </c>
      <c r="P155" s="2">
        <v>2016</v>
      </c>
      <c r="Q155" s="2" t="s">
        <v>8679</v>
      </c>
      <c r="S155" s="2">
        <v>14</v>
      </c>
      <c r="T155" s="2" t="s">
        <v>7143</v>
      </c>
    </row>
    <row r="156" spans="2:20">
      <c r="B156" s="2" t="s">
        <v>1069</v>
      </c>
      <c r="C156" s="2" t="s">
        <v>5899</v>
      </c>
      <c r="E156" s="2">
        <v>0.5</v>
      </c>
      <c r="G156" s="2">
        <v>500</v>
      </c>
      <c r="H156" s="2" t="s">
        <v>7142</v>
      </c>
      <c r="I156" s="2" t="s">
        <v>8698</v>
      </c>
      <c r="J156" s="2" t="s">
        <v>5733</v>
      </c>
      <c r="K156" s="2">
        <v>0.5</v>
      </c>
      <c r="L156" s="2">
        <v>1.5</v>
      </c>
      <c r="M156" s="2" t="s">
        <v>8680</v>
      </c>
      <c r="O156" s="2">
        <v>2017</v>
      </c>
      <c r="Q156" s="2" t="s">
        <v>8679</v>
      </c>
      <c r="T156" s="2" t="s">
        <v>7142</v>
      </c>
    </row>
    <row r="157" spans="2:20">
      <c r="B157" s="2" t="s">
        <v>1089</v>
      </c>
      <c r="C157" s="2" t="s">
        <v>5900</v>
      </c>
      <c r="E157" s="2">
        <v>1</v>
      </c>
      <c r="G157" s="2">
        <v>1000</v>
      </c>
      <c r="H157" s="2" t="s">
        <v>7142</v>
      </c>
      <c r="I157" s="2" t="s">
        <v>8698</v>
      </c>
      <c r="J157" s="2" t="s">
        <v>5733</v>
      </c>
      <c r="K157" s="2">
        <v>1</v>
      </c>
      <c r="L157" s="2">
        <v>2.5</v>
      </c>
      <c r="M157" s="2" t="s">
        <v>8678</v>
      </c>
      <c r="O157" s="2">
        <v>1997</v>
      </c>
      <c r="P157" s="2">
        <v>2016</v>
      </c>
      <c r="Q157" s="2" t="s">
        <v>8679</v>
      </c>
      <c r="T157" s="2" t="s">
        <v>7142</v>
      </c>
    </row>
    <row r="158" spans="2:20">
      <c r="B158" s="2" t="s">
        <v>2241</v>
      </c>
      <c r="C158" s="2" t="s">
        <v>5901</v>
      </c>
      <c r="D158" s="19" t="s">
        <v>8684</v>
      </c>
      <c r="E158" s="2">
        <v>0.3</v>
      </c>
      <c r="F158" s="2">
        <v>0</v>
      </c>
      <c r="G158" s="2">
        <v>300</v>
      </c>
      <c r="H158" s="2" t="s">
        <v>7142</v>
      </c>
      <c r="I158" s="2" t="s">
        <v>8695</v>
      </c>
      <c r="K158" s="2">
        <v>0.3</v>
      </c>
      <c r="L158" s="2">
        <v>1.5</v>
      </c>
      <c r="M158" s="2" t="s">
        <v>8680</v>
      </c>
      <c r="O158" s="2">
        <v>1999</v>
      </c>
      <c r="P158" s="2">
        <v>2018</v>
      </c>
      <c r="Q158" s="2" t="s">
        <v>8679</v>
      </c>
      <c r="S158" s="2">
        <v>4</v>
      </c>
      <c r="T158" s="2" t="s">
        <v>7142</v>
      </c>
    </row>
    <row r="159" spans="2:20">
      <c r="B159" s="2" t="s">
        <v>1729</v>
      </c>
      <c r="C159" s="2" t="s">
        <v>5902</v>
      </c>
      <c r="D159" s="2" t="s">
        <v>5743</v>
      </c>
      <c r="E159" s="2">
        <v>0.38</v>
      </c>
      <c r="G159" s="2">
        <v>380</v>
      </c>
      <c r="H159" s="2" t="s">
        <v>7143</v>
      </c>
      <c r="K159" s="2">
        <v>0.38</v>
      </c>
      <c r="L159" s="2">
        <v>0.8</v>
      </c>
      <c r="M159" s="2" t="s">
        <v>8700</v>
      </c>
      <c r="O159" s="2">
        <v>1999</v>
      </c>
      <c r="P159" s="2">
        <v>1999</v>
      </c>
      <c r="Q159" s="2" t="s">
        <v>8681</v>
      </c>
      <c r="S159" s="2">
        <v>17</v>
      </c>
      <c r="T159" s="2" t="s">
        <v>7142</v>
      </c>
    </row>
    <row r="160" spans="2:20">
      <c r="B160" s="2" t="s">
        <v>1729</v>
      </c>
      <c r="C160" s="2" t="s">
        <v>5904</v>
      </c>
      <c r="D160" s="2" t="s">
        <v>5731</v>
      </c>
      <c r="E160" s="2">
        <v>1.2</v>
      </c>
      <c r="G160" s="2">
        <v>1250</v>
      </c>
      <c r="H160" s="2" t="s">
        <v>7142</v>
      </c>
      <c r="I160" s="2" t="s">
        <v>8690</v>
      </c>
      <c r="J160" s="2" t="s">
        <v>5733</v>
      </c>
      <c r="K160" s="2">
        <v>1.2</v>
      </c>
      <c r="L160" s="2">
        <v>3</v>
      </c>
      <c r="M160" s="2" t="s">
        <v>8680</v>
      </c>
      <c r="O160" s="2">
        <v>2010</v>
      </c>
      <c r="P160" s="2">
        <v>2010</v>
      </c>
      <c r="Q160" s="2" t="s">
        <v>8681</v>
      </c>
      <c r="S160" s="2">
        <v>20</v>
      </c>
      <c r="T160" s="2" t="s">
        <v>7142</v>
      </c>
    </row>
    <row r="161" spans="2:20">
      <c r="B161" s="2" t="s">
        <v>1729</v>
      </c>
      <c r="C161" s="2" t="s">
        <v>5905</v>
      </c>
      <c r="D161" s="2" t="s">
        <v>5736</v>
      </c>
      <c r="E161" s="2">
        <v>0.43</v>
      </c>
      <c r="G161" s="2">
        <v>430</v>
      </c>
      <c r="H161" s="2" t="s">
        <v>7143</v>
      </c>
      <c r="K161" s="2">
        <v>0.43</v>
      </c>
      <c r="L161" s="2">
        <v>1.2</v>
      </c>
      <c r="M161" s="2" t="s">
        <v>8700</v>
      </c>
      <c r="O161" s="2">
        <v>1999</v>
      </c>
      <c r="P161" s="2">
        <v>1999</v>
      </c>
      <c r="Q161" s="2" t="s">
        <v>8681</v>
      </c>
      <c r="S161" s="2">
        <v>15</v>
      </c>
      <c r="T161" s="2" t="s">
        <v>7142</v>
      </c>
    </row>
    <row r="162" spans="2:20">
      <c r="B162" s="2" t="s">
        <v>1168</v>
      </c>
      <c r="C162" s="2" t="s">
        <v>5906</v>
      </c>
      <c r="E162" s="2">
        <v>0.2</v>
      </c>
      <c r="G162" s="2">
        <v>200</v>
      </c>
      <c r="H162" s="2" t="s">
        <v>7142</v>
      </c>
      <c r="I162" s="2" t="s">
        <v>8698</v>
      </c>
      <c r="J162" s="2" t="s">
        <v>5733</v>
      </c>
      <c r="K162" s="2">
        <v>0.2</v>
      </c>
      <c r="L162" s="2">
        <v>0.4</v>
      </c>
      <c r="M162" s="2" t="s">
        <v>8680</v>
      </c>
      <c r="O162" s="2">
        <v>2012</v>
      </c>
      <c r="Q162" s="2" t="s">
        <v>8679</v>
      </c>
      <c r="T162" s="2" t="s">
        <v>7142</v>
      </c>
    </row>
    <row r="163" spans="2:20">
      <c r="B163" s="2" t="s">
        <v>1168</v>
      </c>
      <c r="C163" s="2" t="s">
        <v>5907</v>
      </c>
      <c r="E163" s="2">
        <v>0.5</v>
      </c>
      <c r="G163" s="2">
        <v>500</v>
      </c>
      <c r="H163" s="2" t="s">
        <v>7142</v>
      </c>
      <c r="I163" s="2" t="s">
        <v>8698</v>
      </c>
      <c r="J163" s="2" t="s">
        <v>5733</v>
      </c>
      <c r="K163" s="2">
        <v>0.5</v>
      </c>
      <c r="L163" s="2">
        <v>1.2</v>
      </c>
      <c r="M163" s="2" t="s">
        <v>8680</v>
      </c>
      <c r="O163" s="2">
        <v>2013</v>
      </c>
      <c r="Q163" s="2" t="s">
        <v>8679</v>
      </c>
      <c r="T163" s="2" t="s">
        <v>7142</v>
      </c>
    </row>
    <row r="164" spans="2:20">
      <c r="B164" s="2" t="s">
        <v>1168</v>
      </c>
      <c r="C164" s="2" t="s">
        <v>5908</v>
      </c>
      <c r="E164" s="2">
        <v>0.2</v>
      </c>
      <c r="G164" s="2">
        <v>200</v>
      </c>
      <c r="H164" s="2" t="s">
        <v>7142</v>
      </c>
      <c r="I164" s="2" t="s">
        <v>8698</v>
      </c>
      <c r="J164" s="2" t="s">
        <v>2469</v>
      </c>
      <c r="M164" s="2" t="s">
        <v>8678</v>
      </c>
      <c r="O164" s="2">
        <v>2021</v>
      </c>
      <c r="Q164" s="2" t="s">
        <v>8683</v>
      </c>
      <c r="T164" s="2" t="s">
        <v>7143</v>
      </c>
    </row>
    <row r="165" spans="2:20">
      <c r="B165" s="2" t="s">
        <v>1168</v>
      </c>
      <c r="C165" s="2" t="s">
        <v>5909</v>
      </c>
      <c r="E165" s="2">
        <v>0.25</v>
      </c>
      <c r="G165" s="2">
        <v>250</v>
      </c>
      <c r="H165" s="2" t="s">
        <v>7142</v>
      </c>
      <c r="I165" s="2" t="s">
        <v>8698</v>
      </c>
      <c r="J165" s="2" t="s">
        <v>5733</v>
      </c>
      <c r="K165" s="2">
        <v>0.25</v>
      </c>
      <c r="L165" s="2">
        <v>0.5</v>
      </c>
      <c r="M165" s="2" t="s">
        <v>8678</v>
      </c>
      <c r="O165" s="2">
        <v>2023</v>
      </c>
      <c r="Q165" s="2" t="s">
        <v>8689</v>
      </c>
      <c r="T165" s="2" t="s">
        <v>7143</v>
      </c>
    </row>
    <row r="166" spans="2:20">
      <c r="B166" s="2" t="s">
        <v>1168</v>
      </c>
      <c r="C166" s="2" t="s">
        <v>5910</v>
      </c>
      <c r="E166" s="2">
        <v>0.15</v>
      </c>
      <c r="G166" s="2">
        <v>150</v>
      </c>
      <c r="H166" s="2" t="s">
        <v>7142</v>
      </c>
      <c r="I166" s="2" t="s">
        <v>8687</v>
      </c>
      <c r="K166" s="2">
        <v>0.15</v>
      </c>
      <c r="L166" s="2">
        <v>0.3</v>
      </c>
      <c r="M166" s="2" t="s">
        <v>8678</v>
      </c>
      <c r="O166" s="2">
        <v>2022</v>
      </c>
      <c r="Q166" s="2" t="s">
        <v>8679</v>
      </c>
      <c r="T166" s="2" t="s">
        <v>7142</v>
      </c>
    </row>
    <row r="167" spans="2:20">
      <c r="B167" s="2" t="s">
        <v>1168</v>
      </c>
      <c r="C167" s="2" t="s">
        <v>5911</v>
      </c>
      <c r="E167" s="2">
        <v>0.2</v>
      </c>
      <c r="G167" s="2">
        <v>200</v>
      </c>
      <c r="H167" s="2" t="s">
        <v>7142</v>
      </c>
      <c r="I167" s="2" t="s">
        <v>8695</v>
      </c>
      <c r="K167" s="2">
        <v>0.2</v>
      </c>
      <c r="L167" s="2">
        <v>0.4</v>
      </c>
      <c r="M167" s="2" t="s">
        <v>8680</v>
      </c>
      <c r="O167" s="2">
        <v>2013</v>
      </c>
      <c r="Q167" s="2" t="s">
        <v>8679</v>
      </c>
      <c r="T167" s="2" t="s">
        <v>7142</v>
      </c>
    </row>
    <row r="168" spans="2:20">
      <c r="B168" s="2" t="s">
        <v>2203</v>
      </c>
      <c r="C168" s="2" t="s">
        <v>5912</v>
      </c>
      <c r="D168" s="19" t="s">
        <v>8682</v>
      </c>
      <c r="E168" s="2">
        <v>1</v>
      </c>
      <c r="F168" s="2">
        <v>0</v>
      </c>
      <c r="G168" s="2">
        <v>1000</v>
      </c>
      <c r="H168" s="2" t="s">
        <v>7142</v>
      </c>
      <c r="I168" s="2" t="s">
        <v>8695</v>
      </c>
      <c r="K168" s="2">
        <v>1</v>
      </c>
      <c r="L168" s="2">
        <v>4</v>
      </c>
      <c r="M168" s="2" t="s">
        <v>8680</v>
      </c>
      <c r="O168" s="2">
        <v>1994</v>
      </c>
      <c r="P168" s="2">
        <v>2015</v>
      </c>
      <c r="Q168" s="2" t="s">
        <v>8679</v>
      </c>
      <c r="S168" s="2">
        <v>3</v>
      </c>
      <c r="T168" s="2" t="s">
        <v>7142</v>
      </c>
    </row>
    <row r="169" spans="2:20">
      <c r="B169" s="2" t="s">
        <v>2203</v>
      </c>
      <c r="C169" s="2" t="s">
        <v>5913</v>
      </c>
      <c r="D169" s="19" t="s">
        <v>8684</v>
      </c>
      <c r="E169" s="2">
        <v>3.5</v>
      </c>
      <c r="F169" s="2">
        <v>0</v>
      </c>
      <c r="G169" s="2">
        <v>3500</v>
      </c>
      <c r="H169" s="2" t="s">
        <v>7142</v>
      </c>
      <c r="I169" s="2" t="s">
        <v>8695</v>
      </c>
      <c r="K169" s="2">
        <v>3.5</v>
      </c>
      <c r="L169" s="2">
        <v>6</v>
      </c>
      <c r="M169" s="2" t="s">
        <v>8680</v>
      </c>
      <c r="O169" s="2">
        <v>1998</v>
      </c>
      <c r="P169" s="2">
        <v>1998</v>
      </c>
      <c r="Q169" s="2" t="s">
        <v>8681</v>
      </c>
      <c r="S169" s="2">
        <v>3</v>
      </c>
      <c r="T169" s="2" t="s">
        <v>7142</v>
      </c>
    </row>
    <row r="170" spans="2:20">
      <c r="B170" s="2" t="s">
        <v>1185</v>
      </c>
      <c r="C170" s="2" t="s">
        <v>5914</v>
      </c>
      <c r="E170" s="2">
        <v>25</v>
      </c>
      <c r="G170" s="2">
        <v>250</v>
      </c>
      <c r="H170" s="2" t="s">
        <v>7142</v>
      </c>
      <c r="I170" s="2" t="s">
        <v>8696</v>
      </c>
      <c r="J170" s="2" t="s">
        <v>5733</v>
      </c>
      <c r="K170" s="2">
        <v>0.25</v>
      </c>
      <c r="L170" s="2">
        <v>0.6</v>
      </c>
      <c r="M170" s="2" t="s">
        <v>8680</v>
      </c>
      <c r="O170" s="2">
        <v>1997</v>
      </c>
      <c r="P170" s="2">
        <v>2014</v>
      </c>
      <c r="Q170" s="2" t="s">
        <v>8679</v>
      </c>
      <c r="T170" s="2" t="s">
        <v>7142</v>
      </c>
    </row>
    <row r="171" spans="2:20">
      <c r="B171" s="2" t="s">
        <v>1737</v>
      </c>
      <c r="C171" s="2" t="s">
        <v>5915</v>
      </c>
      <c r="D171" s="2" t="s">
        <v>5736</v>
      </c>
      <c r="E171" s="2">
        <v>0.4</v>
      </c>
      <c r="G171" s="2">
        <v>400</v>
      </c>
      <c r="H171" s="2" t="s">
        <v>7143</v>
      </c>
      <c r="K171" s="2">
        <v>0.4</v>
      </c>
      <c r="L171" s="2">
        <v>1.5</v>
      </c>
      <c r="M171" s="2" t="s">
        <v>8700</v>
      </c>
      <c r="O171" s="2">
        <v>1997</v>
      </c>
      <c r="P171" s="2">
        <v>1997</v>
      </c>
      <c r="Q171" s="2" t="s">
        <v>8681</v>
      </c>
      <c r="S171" s="2">
        <v>15</v>
      </c>
      <c r="T171" s="2" t="s">
        <v>7142</v>
      </c>
    </row>
    <row r="172" spans="2:20">
      <c r="B172" s="2" t="s">
        <v>1737</v>
      </c>
      <c r="C172" s="2" t="s">
        <v>5916</v>
      </c>
      <c r="D172" s="2" t="s">
        <v>5731</v>
      </c>
      <c r="E172" s="2">
        <v>0.6</v>
      </c>
      <c r="G172" s="2">
        <v>600</v>
      </c>
      <c r="H172" s="2" t="s">
        <v>7143</v>
      </c>
      <c r="K172" s="2">
        <v>0.6</v>
      </c>
      <c r="L172" s="2">
        <v>2.5</v>
      </c>
      <c r="M172" s="2" t="s">
        <v>8700</v>
      </c>
      <c r="O172" s="2">
        <v>1997</v>
      </c>
      <c r="P172" s="2">
        <v>1997</v>
      </c>
      <c r="Q172" s="2" t="s">
        <v>8681</v>
      </c>
      <c r="S172" s="2">
        <v>15</v>
      </c>
      <c r="T172" s="2" t="s">
        <v>7142</v>
      </c>
    </row>
    <row r="173" spans="2:20">
      <c r="B173" s="2" t="s">
        <v>2086</v>
      </c>
      <c r="C173" s="2" t="s">
        <v>5917</v>
      </c>
      <c r="D173" s="19" t="s">
        <v>8682</v>
      </c>
      <c r="E173" s="2">
        <v>0.5</v>
      </c>
      <c r="F173" s="2">
        <v>0</v>
      </c>
      <c r="G173" s="2">
        <v>450</v>
      </c>
      <c r="H173" s="2" t="s">
        <v>7142</v>
      </c>
      <c r="I173" s="2" t="s">
        <v>8701</v>
      </c>
      <c r="J173" s="2" t="s">
        <v>5919</v>
      </c>
      <c r="K173" s="2">
        <v>0.5</v>
      </c>
      <c r="L173" s="2">
        <v>2.2000000000000002</v>
      </c>
      <c r="M173" s="2" t="s">
        <v>8680</v>
      </c>
      <c r="O173" s="2">
        <v>1994</v>
      </c>
      <c r="P173" s="2">
        <v>2020</v>
      </c>
      <c r="Q173" s="2" t="s">
        <v>8679</v>
      </c>
      <c r="S173" s="2">
        <v>4</v>
      </c>
      <c r="T173" s="2" t="s">
        <v>7142</v>
      </c>
    </row>
    <row r="174" spans="2:20">
      <c r="B174" s="2" t="s">
        <v>1193</v>
      </c>
      <c r="C174" s="2" t="s">
        <v>5920</v>
      </c>
      <c r="E174" s="2">
        <v>1</v>
      </c>
      <c r="G174" s="2">
        <v>950</v>
      </c>
      <c r="H174" s="2" t="s">
        <v>7142</v>
      </c>
      <c r="I174" s="2" t="s">
        <v>8698</v>
      </c>
      <c r="J174" s="2" t="s">
        <v>5733</v>
      </c>
      <c r="K174" s="2">
        <v>1</v>
      </c>
      <c r="L174" s="2">
        <v>4</v>
      </c>
      <c r="M174" s="2" t="s">
        <v>8680</v>
      </c>
      <c r="O174" s="2">
        <v>2007</v>
      </c>
      <c r="Q174" s="2" t="s">
        <v>8679</v>
      </c>
      <c r="T174" s="2" t="s">
        <v>7142</v>
      </c>
    </row>
    <row r="175" spans="2:20">
      <c r="B175" s="2" t="s">
        <v>1193</v>
      </c>
      <c r="C175" s="2" t="s">
        <v>5921</v>
      </c>
      <c r="E175" s="2">
        <v>1.5</v>
      </c>
      <c r="G175" s="2">
        <v>1400</v>
      </c>
      <c r="H175" s="2" t="s">
        <v>7142</v>
      </c>
      <c r="I175" s="2" t="s">
        <v>8698</v>
      </c>
      <c r="J175" s="2" t="s">
        <v>5733</v>
      </c>
      <c r="K175" s="2">
        <v>1.5</v>
      </c>
      <c r="L175" s="2">
        <v>6</v>
      </c>
      <c r="M175" s="2" t="s">
        <v>8678</v>
      </c>
      <c r="O175" s="2">
        <v>2014</v>
      </c>
      <c r="Q175" s="2" t="s">
        <v>8679</v>
      </c>
      <c r="T175" s="2" t="s">
        <v>7142</v>
      </c>
    </row>
    <row r="176" spans="2:20">
      <c r="B176" s="2" t="s">
        <v>1197</v>
      </c>
      <c r="C176" s="2" t="s">
        <v>5922</v>
      </c>
      <c r="E176" s="2">
        <v>1</v>
      </c>
      <c r="G176" s="2">
        <v>1000</v>
      </c>
      <c r="H176" s="2" t="s">
        <v>7142</v>
      </c>
      <c r="I176" s="2" t="s">
        <v>8696</v>
      </c>
      <c r="J176" s="2" t="s">
        <v>5733</v>
      </c>
      <c r="K176" s="2">
        <v>1</v>
      </c>
      <c r="L176" s="2">
        <v>3.5</v>
      </c>
      <c r="M176" s="2" t="s">
        <v>8680</v>
      </c>
      <c r="O176" s="2">
        <v>2019</v>
      </c>
      <c r="Q176" s="2" t="s">
        <v>8679</v>
      </c>
      <c r="T176" s="2" t="s">
        <v>7142</v>
      </c>
    </row>
    <row r="177" spans="2:20">
      <c r="B177" s="2" t="s">
        <v>1197</v>
      </c>
      <c r="C177" s="2" t="s">
        <v>5923</v>
      </c>
      <c r="E177" s="2">
        <v>1</v>
      </c>
      <c r="G177" s="2">
        <v>1000</v>
      </c>
      <c r="H177" s="2" t="s">
        <v>7142</v>
      </c>
      <c r="I177" s="2" t="s">
        <v>8698</v>
      </c>
      <c r="J177" s="2" t="s">
        <v>5733</v>
      </c>
      <c r="K177" s="2">
        <v>1</v>
      </c>
      <c r="L177" s="2">
        <v>0.8</v>
      </c>
      <c r="M177" s="2" t="s">
        <v>8678</v>
      </c>
      <c r="O177" s="2">
        <v>2023</v>
      </c>
      <c r="Q177" s="2" t="s">
        <v>8683</v>
      </c>
      <c r="T177" s="2" t="s">
        <v>7143</v>
      </c>
    </row>
    <row r="178" spans="2:20">
      <c r="B178" s="2" t="s">
        <v>1775</v>
      </c>
      <c r="C178" s="2" t="s">
        <v>5924</v>
      </c>
      <c r="D178" s="2" t="s">
        <v>5731</v>
      </c>
      <c r="E178" s="2">
        <v>1.5</v>
      </c>
      <c r="G178" s="2">
        <v>1600</v>
      </c>
      <c r="H178" s="2" t="s">
        <v>7142</v>
      </c>
      <c r="I178" s="2" t="s">
        <v>8690</v>
      </c>
      <c r="J178" s="2" t="s">
        <v>5925</v>
      </c>
      <c r="K178" s="2">
        <v>1.5</v>
      </c>
      <c r="L178" s="2">
        <v>8</v>
      </c>
      <c r="M178" s="2" t="s">
        <v>8680</v>
      </c>
      <c r="O178" s="2">
        <v>1998</v>
      </c>
      <c r="P178" s="2">
        <v>1998</v>
      </c>
      <c r="Q178" s="2" t="s">
        <v>8681</v>
      </c>
      <c r="S178" s="2">
        <v>16</v>
      </c>
      <c r="T178" s="2" t="s">
        <v>7142</v>
      </c>
    </row>
    <row r="179" spans="2:20">
      <c r="B179" s="2" t="s">
        <v>1775</v>
      </c>
      <c r="C179" s="2" t="s">
        <v>5926</v>
      </c>
      <c r="D179" s="2" t="s">
        <v>5736</v>
      </c>
      <c r="E179" s="2">
        <v>1.3</v>
      </c>
      <c r="G179" s="2">
        <v>1300</v>
      </c>
      <c r="H179" s="2" t="s">
        <v>7142</v>
      </c>
      <c r="I179" s="2" t="s">
        <v>8690</v>
      </c>
      <c r="J179" s="2" t="s">
        <v>5733</v>
      </c>
      <c r="K179" s="2">
        <v>1.3</v>
      </c>
      <c r="L179" s="2">
        <v>5</v>
      </c>
      <c r="M179" s="2" t="s">
        <v>8680</v>
      </c>
      <c r="O179" s="2">
        <v>1998</v>
      </c>
      <c r="P179" s="2">
        <v>1998</v>
      </c>
      <c r="Q179" s="2" t="s">
        <v>8681</v>
      </c>
      <c r="S179" s="2">
        <v>15</v>
      </c>
      <c r="T179" s="2" t="s">
        <v>7142</v>
      </c>
    </row>
    <row r="180" spans="2:20">
      <c r="B180" s="2" t="s">
        <v>1775</v>
      </c>
      <c r="C180" s="2" t="s">
        <v>5927</v>
      </c>
      <c r="D180" s="2" t="s">
        <v>5743</v>
      </c>
      <c r="E180" s="2">
        <v>0.4</v>
      </c>
      <c r="G180" s="2">
        <v>400</v>
      </c>
      <c r="H180" s="2" t="s">
        <v>7142</v>
      </c>
      <c r="I180" s="2" t="s">
        <v>8687</v>
      </c>
      <c r="M180" s="2" t="s">
        <v>8680</v>
      </c>
      <c r="O180" s="2">
        <v>1998</v>
      </c>
      <c r="P180" s="2">
        <v>2023</v>
      </c>
      <c r="Q180" s="2" t="s">
        <v>8679</v>
      </c>
      <c r="S180" s="2">
        <v>15</v>
      </c>
      <c r="T180" s="2" t="s">
        <v>7142</v>
      </c>
    </row>
    <row r="181" spans="2:20">
      <c r="B181" s="2" t="s">
        <v>1826</v>
      </c>
      <c r="C181" s="2" t="s">
        <v>5928</v>
      </c>
      <c r="D181" s="2" t="s">
        <v>5816</v>
      </c>
      <c r="E181" s="2">
        <v>0.7</v>
      </c>
      <c r="G181" s="2">
        <v>700</v>
      </c>
      <c r="H181" s="2" t="s">
        <v>7143</v>
      </c>
      <c r="K181" s="2">
        <v>0.7</v>
      </c>
      <c r="L181" s="2">
        <v>3</v>
      </c>
      <c r="M181" s="2" t="s">
        <v>8678</v>
      </c>
      <c r="O181" s="2">
        <v>1998</v>
      </c>
      <c r="P181" s="2">
        <v>1998</v>
      </c>
      <c r="Q181" s="2" t="s">
        <v>8681</v>
      </c>
      <c r="S181" s="2">
        <v>15</v>
      </c>
      <c r="T181" s="2" t="s">
        <v>7143</v>
      </c>
    </row>
    <row r="182" spans="2:20">
      <c r="B182" s="2" t="s">
        <v>1826</v>
      </c>
      <c r="C182" s="2" t="s">
        <v>5929</v>
      </c>
      <c r="D182" s="2" t="s">
        <v>5731</v>
      </c>
      <c r="E182" s="2">
        <v>0.4</v>
      </c>
      <c r="G182" s="2">
        <v>400</v>
      </c>
      <c r="H182" s="2" t="s">
        <v>7143</v>
      </c>
      <c r="K182" s="2">
        <v>0.4</v>
      </c>
      <c r="L182" s="2">
        <v>2</v>
      </c>
      <c r="M182" s="2" t="s">
        <v>8678</v>
      </c>
      <c r="O182" s="2">
        <v>1007</v>
      </c>
      <c r="P182" s="2">
        <v>2015</v>
      </c>
      <c r="Q182" s="2" t="s">
        <v>8679</v>
      </c>
      <c r="S182" s="2">
        <v>14</v>
      </c>
      <c r="T182" s="2" t="s">
        <v>7143</v>
      </c>
    </row>
    <row r="183" spans="2:20">
      <c r="B183" s="2" t="s">
        <v>1826</v>
      </c>
      <c r="C183" s="2" t="s">
        <v>5930</v>
      </c>
      <c r="D183" s="2" t="s">
        <v>5731</v>
      </c>
      <c r="E183" s="2">
        <v>0.3</v>
      </c>
      <c r="G183" s="2">
        <v>300</v>
      </c>
      <c r="H183" s="2" t="s">
        <v>7142</v>
      </c>
      <c r="I183" s="2" t="s">
        <v>8690</v>
      </c>
      <c r="J183" s="2" t="s">
        <v>5733</v>
      </c>
      <c r="K183" s="2">
        <v>0.3</v>
      </c>
      <c r="L183" s="2">
        <v>1</v>
      </c>
      <c r="M183" s="2" t="s">
        <v>8678</v>
      </c>
      <c r="O183" s="2">
        <v>1996</v>
      </c>
      <c r="P183" s="2">
        <v>1996</v>
      </c>
      <c r="Q183" s="2" t="s">
        <v>8681</v>
      </c>
      <c r="S183" s="2">
        <v>13</v>
      </c>
      <c r="T183" s="2" t="s">
        <v>7143</v>
      </c>
    </row>
    <row r="184" spans="2:20">
      <c r="B184" s="2" t="s">
        <v>1826</v>
      </c>
      <c r="C184" s="2" t="s">
        <v>5931</v>
      </c>
      <c r="D184" s="2" t="s">
        <v>5743</v>
      </c>
      <c r="E184" s="2">
        <v>0.8</v>
      </c>
      <c r="G184" s="2">
        <v>800</v>
      </c>
      <c r="H184" s="2" t="s">
        <v>7143</v>
      </c>
      <c r="K184" s="2">
        <v>0.8</v>
      </c>
      <c r="L184" s="2">
        <v>4.5</v>
      </c>
      <c r="M184" s="2" t="s">
        <v>8678</v>
      </c>
      <c r="O184" s="2">
        <v>1997</v>
      </c>
      <c r="P184" s="2">
        <v>1997</v>
      </c>
      <c r="Q184" s="2" t="s">
        <v>8681</v>
      </c>
      <c r="S184" s="2">
        <v>13</v>
      </c>
      <c r="T184" s="2" t="s">
        <v>7143</v>
      </c>
    </row>
    <row r="185" spans="2:20">
      <c r="B185" s="2" t="s">
        <v>1826</v>
      </c>
      <c r="C185" s="2" t="s">
        <v>5932</v>
      </c>
      <c r="D185" s="2" t="s">
        <v>5758</v>
      </c>
      <c r="E185" s="2">
        <v>1</v>
      </c>
      <c r="G185" s="2">
        <v>1000</v>
      </c>
      <c r="H185" s="2" t="s">
        <v>7143</v>
      </c>
      <c r="K185" s="2">
        <v>1</v>
      </c>
      <c r="L185" s="2">
        <v>4.5</v>
      </c>
      <c r="M185" s="2" t="s">
        <v>8678</v>
      </c>
      <c r="O185" s="2">
        <v>1998</v>
      </c>
      <c r="P185" s="2">
        <v>1998</v>
      </c>
      <c r="Q185" s="2" t="s">
        <v>8681</v>
      </c>
      <c r="S185" s="2">
        <v>15</v>
      </c>
      <c r="T185" s="2" t="s">
        <v>7143</v>
      </c>
    </row>
    <row r="186" spans="2:20">
      <c r="B186" s="2" t="s">
        <v>1852</v>
      </c>
      <c r="C186" s="2" t="s">
        <v>5933</v>
      </c>
      <c r="D186" s="2" t="s">
        <v>5736</v>
      </c>
      <c r="E186" s="2">
        <v>0.8</v>
      </c>
      <c r="G186" s="2">
        <v>800</v>
      </c>
      <c r="H186" s="2" t="s">
        <v>7142</v>
      </c>
      <c r="I186" s="2" t="s">
        <v>8687</v>
      </c>
      <c r="K186" s="2">
        <v>0.8</v>
      </c>
      <c r="L186" s="2">
        <v>2</v>
      </c>
      <c r="M186" s="2" t="s">
        <v>8700</v>
      </c>
      <c r="O186" s="2">
        <v>2007</v>
      </c>
      <c r="P186" s="2">
        <v>2007</v>
      </c>
      <c r="Q186" s="2" t="s">
        <v>8681</v>
      </c>
      <c r="S186" s="2">
        <v>17</v>
      </c>
      <c r="T186" s="2" t="s">
        <v>7142</v>
      </c>
    </row>
    <row r="187" spans="2:20">
      <c r="B187" s="2" t="s">
        <v>1852</v>
      </c>
      <c r="C187" s="2" t="s">
        <v>5934</v>
      </c>
      <c r="D187" s="2" t="s">
        <v>5731</v>
      </c>
      <c r="E187" s="2">
        <v>1.2</v>
      </c>
      <c r="G187" s="2">
        <v>1200</v>
      </c>
      <c r="H187" s="2" t="s">
        <v>7142</v>
      </c>
      <c r="I187" s="2" t="s">
        <v>8690</v>
      </c>
      <c r="J187" s="2" t="s">
        <v>5935</v>
      </c>
      <c r="K187" s="2">
        <v>1.2</v>
      </c>
      <c r="L187" s="2">
        <v>8</v>
      </c>
      <c r="M187" s="2" t="s">
        <v>8680</v>
      </c>
      <c r="O187" s="2">
        <v>2006</v>
      </c>
      <c r="P187" s="2">
        <v>2006</v>
      </c>
      <c r="Q187" s="2" t="s">
        <v>8681</v>
      </c>
      <c r="S187" s="2">
        <v>15</v>
      </c>
      <c r="T187" s="2" t="s">
        <v>7142</v>
      </c>
    </row>
    <row r="188" spans="2:20">
      <c r="B188" s="2" t="s">
        <v>1890</v>
      </c>
      <c r="C188" s="2" t="s">
        <v>5936</v>
      </c>
      <c r="D188" s="2" t="s">
        <v>5743</v>
      </c>
      <c r="E188" s="2">
        <v>0.6</v>
      </c>
      <c r="G188" s="2">
        <v>600</v>
      </c>
      <c r="H188" s="2" t="s">
        <v>7142</v>
      </c>
      <c r="I188" s="2" t="s">
        <v>8690</v>
      </c>
      <c r="J188" s="2" t="s">
        <v>5937</v>
      </c>
      <c r="K188" s="2">
        <v>0.6</v>
      </c>
      <c r="L188" s="2">
        <v>1.5</v>
      </c>
      <c r="M188" s="2" t="s">
        <v>8680</v>
      </c>
      <c r="O188" s="2">
        <v>1999</v>
      </c>
      <c r="P188" s="2">
        <v>1999</v>
      </c>
      <c r="Q188" s="2" t="s">
        <v>8681</v>
      </c>
      <c r="S188" s="2">
        <v>17</v>
      </c>
      <c r="T188" s="2" t="s">
        <v>7142</v>
      </c>
    </row>
    <row r="189" spans="2:20">
      <c r="B189" s="2" t="s">
        <v>1890</v>
      </c>
      <c r="C189" s="2" t="s">
        <v>5938</v>
      </c>
      <c r="D189" s="2" t="s">
        <v>5731</v>
      </c>
      <c r="E189" s="2">
        <v>1.4</v>
      </c>
      <c r="G189" s="2">
        <v>1400</v>
      </c>
      <c r="H189" s="2" t="s">
        <v>7142</v>
      </c>
      <c r="I189" s="2" t="s">
        <v>8690</v>
      </c>
      <c r="J189" s="2" t="s">
        <v>5733</v>
      </c>
      <c r="K189" s="2">
        <v>1.4</v>
      </c>
      <c r="L189" s="2">
        <v>5</v>
      </c>
      <c r="M189" s="2" t="s">
        <v>8680</v>
      </c>
      <c r="O189" s="2">
        <v>2000</v>
      </c>
      <c r="P189" s="2">
        <v>2000</v>
      </c>
      <c r="Q189" s="2" t="s">
        <v>8681</v>
      </c>
      <c r="S189" s="2">
        <v>17</v>
      </c>
      <c r="T189" s="2" t="s">
        <v>7142</v>
      </c>
    </row>
    <row r="190" spans="2:20">
      <c r="B190" s="2" t="s">
        <v>1890</v>
      </c>
      <c r="C190" s="2" t="s">
        <v>5939</v>
      </c>
      <c r="D190" s="2" t="s">
        <v>5736</v>
      </c>
      <c r="E190" s="2">
        <v>1.3</v>
      </c>
      <c r="G190" s="2">
        <v>1300</v>
      </c>
      <c r="H190" s="2" t="s">
        <v>7143</v>
      </c>
      <c r="K190" s="2">
        <v>1.3</v>
      </c>
      <c r="L190" s="2">
        <v>4.5</v>
      </c>
      <c r="M190" s="2" t="s">
        <v>8700</v>
      </c>
      <c r="O190" s="2">
        <v>2009</v>
      </c>
      <c r="P190" s="2">
        <v>2018</v>
      </c>
      <c r="Q190" s="2" t="s">
        <v>8679</v>
      </c>
      <c r="S190" s="2">
        <v>16</v>
      </c>
      <c r="T190" s="2" t="s">
        <v>7142</v>
      </c>
    </row>
    <row r="191" spans="2:20">
      <c r="B191" s="2" t="s">
        <v>1944</v>
      </c>
      <c r="C191" s="2" t="s">
        <v>5940</v>
      </c>
      <c r="D191" s="19" t="s">
        <v>8682</v>
      </c>
      <c r="E191" s="2">
        <v>1</v>
      </c>
      <c r="G191" s="2">
        <v>1000</v>
      </c>
      <c r="H191" s="2" t="s">
        <v>7143</v>
      </c>
      <c r="K191" s="2">
        <v>1</v>
      </c>
      <c r="L191" s="2">
        <v>4</v>
      </c>
      <c r="M191" s="2" t="s">
        <v>8700</v>
      </c>
      <c r="O191" s="2">
        <v>1996</v>
      </c>
      <c r="P191" s="2">
        <v>1996</v>
      </c>
      <c r="Q191" s="2" t="s">
        <v>8681</v>
      </c>
      <c r="S191" s="2">
        <v>17</v>
      </c>
      <c r="T191" s="2" t="s">
        <v>7142</v>
      </c>
    </row>
    <row r="192" spans="2:20">
      <c r="B192" s="2" t="s">
        <v>1944</v>
      </c>
      <c r="C192" s="2" t="s">
        <v>5941</v>
      </c>
      <c r="D192" s="2" t="s">
        <v>5731</v>
      </c>
      <c r="E192" s="2">
        <v>1</v>
      </c>
      <c r="G192" s="2">
        <v>1000</v>
      </c>
      <c r="H192" s="2" t="s">
        <v>7143</v>
      </c>
      <c r="K192" s="2">
        <v>1</v>
      </c>
      <c r="L192" s="2">
        <v>2</v>
      </c>
      <c r="M192" s="2" t="s">
        <v>8680</v>
      </c>
      <c r="O192" s="2">
        <v>1995</v>
      </c>
      <c r="P192" s="2">
        <v>2023</v>
      </c>
      <c r="Q192" s="2" t="s">
        <v>8679</v>
      </c>
      <c r="S192" s="2">
        <v>30</v>
      </c>
      <c r="T192" s="2" t="s">
        <v>7142</v>
      </c>
    </row>
    <row r="193" spans="2:20">
      <c r="B193" s="2" t="s">
        <v>1944</v>
      </c>
      <c r="C193" s="2" t="s">
        <v>5942</v>
      </c>
      <c r="D193" s="2" t="s">
        <v>5736</v>
      </c>
      <c r="E193" s="2">
        <v>0.4</v>
      </c>
      <c r="G193" s="2">
        <v>400</v>
      </c>
      <c r="H193" s="2" t="s">
        <v>7143</v>
      </c>
      <c r="K193" s="2">
        <v>0.4</v>
      </c>
      <c r="L193" s="2">
        <v>3</v>
      </c>
      <c r="M193" s="2" t="s">
        <v>8680</v>
      </c>
      <c r="O193" s="2">
        <v>1996</v>
      </c>
      <c r="P193" s="2">
        <v>1996</v>
      </c>
      <c r="Q193" s="2" t="s">
        <v>8681</v>
      </c>
      <c r="S193" s="2">
        <v>27</v>
      </c>
      <c r="T193" s="2" t="s">
        <v>7142</v>
      </c>
    </row>
    <row r="194" spans="2:20">
      <c r="B194" s="2" t="s">
        <v>396</v>
      </c>
      <c r="C194" s="2" t="s">
        <v>5943</v>
      </c>
      <c r="D194" s="2" t="s">
        <v>5731</v>
      </c>
      <c r="E194" s="2">
        <v>0.25</v>
      </c>
      <c r="G194" s="2">
        <v>250</v>
      </c>
      <c r="H194" s="2" t="s">
        <v>7142</v>
      </c>
      <c r="I194" s="2" t="s">
        <v>8690</v>
      </c>
      <c r="J194" s="2" t="s">
        <v>5733</v>
      </c>
      <c r="K194" s="2">
        <v>0.25</v>
      </c>
      <c r="L194" s="2">
        <v>0.35</v>
      </c>
      <c r="M194" s="2" t="s">
        <v>8680</v>
      </c>
      <c r="O194" s="2">
        <v>2014</v>
      </c>
      <c r="P194" s="2">
        <v>2014</v>
      </c>
      <c r="Q194" s="2" t="s">
        <v>8681</v>
      </c>
      <c r="S194" s="2">
        <v>20</v>
      </c>
      <c r="T194" s="2" t="s">
        <v>7142</v>
      </c>
    </row>
    <row r="195" spans="2:20">
      <c r="B195" s="2" t="s">
        <v>396</v>
      </c>
      <c r="C195" s="2" t="s">
        <v>5944</v>
      </c>
      <c r="D195" s="2" t="s">
        <v>5743</v>
      </c>
      <c r="E195" s="2">
        <v>0.1</v>
      </c>
      <c r="G195" s="2">
        <v>100</v>
      </c>
      <c r="H195" s="2" t="s">
        <v>7143</v>
      </c>
      <c r="K195" s="2">
        <v>0.1</v>
      </c>
      <c r="L195" s="2">
        <v>0.1</v>
      </c>
      <c r="M195" s="2" t="s">
        <v>8678</v>
      </c>
      <c r="O195" s="2">
        <v>2014</v>
      </c>
      <c r="P195" s="2">
        <v>2014</v>
      </c>
      <c r="Q195" s="2" t="s">
        <v>8681</v>
      </c>
      <c r="S195" s="2">
        <v>22</v>
      </c>
      <c r="T195" s="2" t="s">
        <v>7143</v>
      </c>
    </row>
    <row r="196" spans="2:20">
      <c r="B196" s="2" t="s">
        <v>396</v>
      </c>
      <c r="C196" s="2" t="s">
        <v>5945</v>
      </c>
      <c r="D196" s="2" t="s">
        <v>5736</v>
      </c>
      <c r="E196" s="2">
        <v>0.1</v>
      </c>
      <c r="G196" s="2">
        <v>100</v>
      </c>
      <c r="H196" s="2" t="s">
        <v>7143</v>
      </c>
      <c r="K196" s="2">
        <v>0.1</v>
      </c>
      <c r="L196" s="2">
        <v>0.15</v>
      </c>
      <c r="M196" s="2" t="s">
        <v>8680</v>
      </c>
      <c r="O196" s="2">
        <v>2013</v>
      </c>
      <c r="P196" s="2">
        <v>2013</v>
      </c>
      <c r="Q196" s="2" t="s">
        <v>8681</v>
      </c>
      <c r="S196" s="2">
        <v>20</v>
      </c>
      <c r="T196" s="2" t="s">
        <v>7142</v>
      </c>
    </row>
    <row r="197" spans="2:20">
      <c r="B197" s="2" t="s">
        <v>396</v>
      </c>
      <c r="C197" s="2" t="s">
        <v>5946</v>
      </c>
      <c r="D197" s="2" t="s">
        <v>5758</v>
      </c>
      <c r="E197" s="2">
        <v>0.45</v>
      </c>
      <c r="G197" s="2">
        <v>450</v>
      </c>
      <c r="H197" s="2" t="s">
        <v>7143</v>
      </c>
      <c r="K197" s="2">
        <v>0.45</v>
      </c>
      <c r="L197" s="2">
        <v>0.6</v>
      </c>
      <c r="M197" s="2" t="s">
        <v>8678</v>
      </c>
      <c r="O197" s="2">
        <v>2015</v>
      </c>
      <c r="P197" s="2">
        <v>2015</v>
      </c>
      <c r="Q197" s="2" t="s">
        <v>8681</v>
      </c>
      <c r="S197" s="2">
        <v>20</v>
      </c>
      <c r="T197" s="2" t="s">
        <v>7143</v>
      </c>
    </row>
    <row r="198" spans="2:20">
      <c r="B198" s="2" t="s">
        <v>406</v>
      </c>
      <c r="C198" s="2" t="s">
        <v>5947</v>
      </c>
      <c r="D198" s="2" t="s">
        <v>5736</v>
      </c>
      <c r="E198" s="2">
        <v>0.3</v>
      </c>
      <c r="G198" s="2">
        <v>300</v>
      </c>
      <c r="H198" s="2" t="s">
        <v>7143</v>
      </c>
      <c r="K198" s="2">
        <v>0.3</v>
      </c>
      <c r="L198" s="2">
        <v>1</v>
      </c>
      <c r="M198" s="2" t="s">
        <v>8680</v>
      </c>
      <c r="O198" s="2">
        <v>2016</v>
      </c>
      <c r="P198" s="2">
        <v>2016</v>
      </c>
      <c r="Q198" s="2" t="s">
        <v>8681</v>
      </c>
      <c r="S198" s="2">
        <v>20</v>
      </c>
      <c r="T198" s="2" t="s">
        <v>7142</v>
      </c>
    </row>
    <row r="199" spans="2:20">
      <c r="B199" s="2" t="s">
        <v>406</v>
      </c>
      <c r="C199" s="2" t="s">
        <v>5948</v>
      </c>
      <c r="D199" s="2" t="s">
        <v>5743</v>
      </c>
      <c r="E199" s="2">
        <v>0.1</v>
      </c>
      <c r="G199" s="2">
        <v>100</v>
      </c>
      <c r="H199" s="2" t="s">
        <v>7143</v>
      </c>
      <c r="K199" s="2">
        <v>0.1</v>
      </c>
      <c r="L199" s="2">
        <v>0.5</v>
      </c>
      <c r="M199" s="2" t="s">
        <v>8680</v>
      </c>
      <c r="S199" s="2">
        <v>17</v>
      </c>
      <c r="T199" s="2" t="s">
        <v>7142</v>
      </c>
    </row>
    <row r="200" spans="2:20">
      <c r="B200" s="2" t="s">
        <v>406</v>
      </c>
      <c r="C200" s="2" t="s">
        <v>5949</v>
      </c>
      <c r="D200" s="2" t="s">
        <v>5731</v>
      </c>
      <c r="E200" s="2">
        <v>0.4</v>
      </c>
      <c r="G200" s="2">
        <v>400</v>
      </c>
      <c r="H200" s="2" t="s">
        <v>7143</v>
      </c>
      <c r="K200" s="2">
        <v>0.4</v>
      </c>
      <c r="L200" s="2">
        <v>1.5</v>
      </c>
      <c r="M200" s="2" t="s">
        <v>8680</v>
      </c>
      <c r="O200" s="2">
        <v>2015</v>
      </c>
      <c r="P200" s="2">
        <v>2015</v>
      </c>
      <c r="Q200" s="2" t="s">
        <v>8681</v>
      </c>
      <c r="S200" s="2">
        <v>20</v>
      </c>
      <c r="T200" s="2" t="s">
        <v>7142</v>
      </c>
    </row>
    <row r="201" spans="2:20">
      <c r="B201" s="2" t="s">
        <v>415</v>
      </c>
      <c r="C201" s="2" t="s">
        <v>5950</v>
      </c>
      <c r="D201" s="2" t="s">
        <v>5816</v>
      </c>
      <c r="E201" s="2">
        <v>0.11</v>
      </c>
      <c r="G201" s="2">
        <v>114</v>
      </c>
      <c r="H201" s="2" t="s">
        <v>7143</v>
      </c>
      <c r="K201" s="2">
        <v>0.11</v>
      </c>
      <c r="L201" s="2">
        <v>0.5</v>
      </c>
      <c r="M201" s="2" t="s">
        <v>8680</v>
      </c>
      <c r="O201" s="2">
        <v>2006</v>
      </c>
      <c r="P201" s="2">
        <v>2006</v>
      </c>
      <c r="Q201" s="2" t="s">
        <v>8681</v>
      </c>
      <c r="S201" s="2">
        <v>19</v>
      </c>
      <c r="T201" s="2" t="s">
        <v>7142</v>
      </c>
    </row>
    <row r="202" spans="2:20">
      <c r="B202" s="2" t="s">
        <v>415</v>
      </c>
      <c r="C202" s="2" t="s">
        <v>5951</v>
      </c>
      <c r="D202" s="2" t="s">
        <v>5731</v>
      </c>
      <c r="E202" s="2">
        <v>0.35</v>
      </c>
      <c r="G202" s="2">
        <v>350</v>
      </c>
      <c r="H202" s="2" t="s">
        <v>7142</v>
      </c>
      <c r="I202" s="2" t="s">
        <v>8702</v>
      </c>
      <c r="K202" s="2">
        <v>0.35</v>
      </c>
      <c r="L202" s="2">
        <v>1.5</v>
      </c>
      <c r="M202" s="2" t="s">
        <v>8680</v>
      </c>
      <c r="O202" s="2">
        <v>2005</v>
      </c>
      <c r="P202" s="2">
        <v>2005</v>
      </c>
      <c r="Q202" s="2" t="s">
        <v>8688</v>
      </c>
      <c r="S202" s="2">
        <v>20</v>
      </c>
      <c r="T202" s="2" t="s">
        <v>7142</v>
      </c>
    </row>
    <row r="203" spans="2:20">
      <c r="B203" s="2" t="s">
        <v>415</v>
      </c>
      <c r="C203" s="2" t="s">
        <v>5952</v>
      </c>
      <c r="D203" s="2" t="s">
        <v>5743</v>
      </c>
      <c r="E203" s="2">
        <v>0.12</v>
      </c>
      <c r="G203" s="2">
        <v>120</v>
      </c>
      <c r="H203" s="2" t="s">
        <v>7143</v>
      </c>
      <c r="K203" s="2">
        <v>0.12</v>
      </c>
      <c r="L203" s="2">
        <v>0.4</v>
      </c>
      <c r="M203" s="2" t="s">
        <v>8680</v>
      </c>
      <c r="O203" s="2">
        <v>2014</v>
      </c>
      <c r="P203" s="2">
        <v>2014</v>
      </c>
      <c r="Q203" s="2" t="s">
        <v>8681</v>
      </c>
      <c r="S203" s="2">
        <v>21</v>
      </c>
      <c r="T203" s="2" t="s">
        <v>7142</v>
      </c>
    </row>
    <row r="204" spans="2:20">
      <c r="B204" s="2" t="s">
        <v>415</v>
      </c>
      <c r="C204" s="2" t="s">
        <v>5953</v>
      </c>
      <c r="D204" s="2" t="s">
        <v>5758</v>
      </c>
      <c r="E204" s="2">
        <v>0.21</v>
      </c>
      <c r="G204" s="2">
        <v>210</v>
      </c>
      <c r="H204" s="2" t="s">
        <v>7143</v>
      </c>
      <c r="K204" s="2">
        <v>0.21</v>
      </c>
      <c r="M204" s="2" t="s">
        <v>8680</v>
      </c>
      <c r="O204" s="2">
        <v>2022</v>
      </c>
      <c r="P204" s="2">
        <v>2022</v>
      </c>
      <c r="Q204" s="2" t="s">
        <v>8681</v>
      </c>
      <c r="S204" s="2">
        <v>18</v>
      </c>
      <c r="T204" s="2" t="s">
        <v>7142</v>
      </c>
    </row>
    <row r="205" spans="2:20">
      <c r="B205" s="2" t="s">
        <v>415</v>
      </c>
      <c r="C205" s="2" t="s">
        <v>5954</v>
      </c>
      <c r="D205" s="2" t="s">
        <v>5736</v>
      </c>
      <c r="E205" s="2">
        <v>0.16</v>
      </c>
      <c r="G205" s="2">
        <v>160</v>
      </c>
      <c r="H205" s="2" t="s">
        <v>7143</v>
      </c>
      <c r="K205" s="2">
        <v>0.16</v>
      </c>
      <c r="L205" s="2">
        <v>0.6</v>
      </c>
      <c r="M205" s="2" t="s">
        <v>8680</v>
      </c>
      <c r="O205" s="2">
        <v>2013</v>
      </c>
      <c r="P205" s="2">
        <v>2013</v>
      </c>
      <c r="Q205" s="2" t="s">
        <v>8681</v>
      </c>
      <c r="S205" s="2">
        <v>20</v>
      </c>
      <c r="T205" s="2" t="s">
        <v>7142</v>
      </c>
    </row>
    <row r="206" spans="2:20">
      <c r="B206" s="2" t="s">
        <v>415</v>
      </c>
      <c r="C206" s="2" t="s">
        <v>5955</v>
      </c>
      <c r="D206" s="2" t="s">
        <v>5956</v>
      </c>
      <c r="E206" s="2">
        <v>0.22</v>
      </c>
      <c r="G206" s="2">
        <v>220</v>
      </c>
      <c r="H206" s="2" t="s">
        <v>7143</v>
      </c>
      <c r="K206" s="2">
        <v>0.22</v>
      </c>
      <c r="L206" s="2">
        <v>1</v>
      </c>
      <c r="M206" s="2" t="s">
        <v>8680</v>
      </c>
      <c r="O206" s="2">
        <v>2006</v>
      </c>
      <c r="P206" s="2">
        <v>2006</v>
      </c>
      <c r="Q206" s="2" t="s">
        <v>8681</v>
      </c>
      <c r="S206" s="2">
        <v>21</v>
      </c>
      <c r="T206" s="2" t="s">
        <v>7142</v>
      </c>
    </row>
    <row r="207" spans="2:20">
      <c r="B207" s="2" t="s">
        <v>434</v>
      </c>
      <c r="C207" s="2" t="s">
        <v>5957</v>
      </c>
      <c r="D207" s="2" t="s">
        <v>5956</v>
      </c>
      <c r="E207" s="2">
        <v>0.13</v>
      </c>
      <c r="G207" s="2">
        <v>1300</v>
      </c>
      <c r="H207" s="2" t="s">
        <v>7143</v>
      </c>
      <c r="K207" s="2">
        <v>0.13</v>
      </c>
      <c r="L207" s="2">
        <v>0.5</v>
      </c>
      <c r="M207" s="2" t="s">
        <v>8678</v>
      </c>
      <c r="O207" s="2">
        <v>2016</v>
      </c>
      <c r="P207" s="2">
        <v>2016</v>
      </c>
      <c r="Q207" s="2" t="s">
        <v>8681</v>
      </c>
      <c r="S207" s="2">
        <v>19</v>
      </c>
      <c r="T207" s="2" t="s">
        <v>7143</v>
      </c>
    </row>
    <row r="208" spans="2:20">
      <c r="B208" s="2" t="s">
        <v>434</v>
      </c>
      <c r="C208" s="2" t="s">
        <v>5958</v>
      </c>
      <c r="D208" s="2" t="s">
        <v>5743</v>
      </c>
      <c r="E208" s="2">
        <v>0.1</v>
      </c>
      <c r="G208" s="2">
        <v>100</v>
      </c>
      <c r="H208" s="2" t="s">
        <v>7143</v>
      </c>
      <c r="K208" s="2">
        <v>0.1</v>
      </c>
      <c r="L208" s="2">
        <v>0.5</v>
      </c>
      <c r="M208" s="2" t="s">
        <v>8680</v>
      </c>
      <c r="O208" s="2">
        <v>2012</v>
      </c>
      <c r="P208" s="2">
        <v>2012</v>
      </c>
      <c r="Q208" s="2" t="s">
        <v>8681</v>
      </c>
      <c r="S208" s="2">
        <v>20</v>
      </c>
      <c r="T208" s="2" t="s">
        <v>7142</v>
      </c>
    </row>
    <row r="209" spans="2:20">
      <c r="B209" s="2" t="s">
        <v>434</v>
      </c>
      <c r="C209" s="2" t="s">
        <v>5959</v>
      </c>
      <c r="D209" s="2" t="s">
        <v>5758</v>
      </c>
      <c r="E209" s="2">
        <v>0.14000000000000001</v>
      </c>
      <c r="G209" s="2">
        <v>140</v>
      </c>
      <c r="H209" s="2" t="s">
        <v>7143</v>
      </c>
      <c r="K209" s="2">
        <v>0.14000000000000001</v>
      </c>
      <c r="L209" s="2">
        <v>0.4</v>
      </c>
      <c r="M209" s="2" t="s">
        <v>8680</v>
      </c>
      <c r="O209" s="2">
        <v>2015</v>
      </c>
      <c r="P209" s="2">
        <v>2015</v>
      </c>
      <c r="Q209" s="2" t="s">
        <v>8681</v>
      </c>
      <c r="S209" s="2">
        <v>20</v>
      </c>
      <c r="T209" s="2" t="s">
        <v>7142</v>
      </c>
    </row>
    <row r="210" spans="2:20">
      <c r="B210" s="2" t="s">
        <v>434</v>
      </c>
      <c r="C210" s="2" t="s">
        <v>5960</v>
      </c>
      <c r="D210" s="2" t="s">
        <v>5731</v>
      </c>
      <c r="E210" s="2">
        <v>0.2</v>
      </c>
      <c r="G210" s="2">
        <v>200</v>
      </c>
      <c r="H210" s="2" t="s">
        <v>7143</v>
      </c>
      <c r="K210" s="2">
        <v>0.2</v>
      </c>
      <c r="L210" s="2">
        <v>0.7</v>
      </c>
      <c r="M210" s="2" t="s">
        <v>8680</v>
      </c>
      <c r="O210" s="2">
        <v>2012</v>
      </c>
      <c r="P210" s="2">
        <v>2012</v>
      </c>
      <c r="Q210" s="2" t="s">
        <v>8681</v>
      </c>
      <c r="S210" s="2">
        <v>20</v>
      </c>
      <c r="T210" s="2" t="s">
        <v>7142</v>
      </c>
    </row>
    <row r="211" spans="2:20">
      <c r="B211" s="2" t="s">
        <v>434</v>
      </c>
      <c r="C211" s="2" t="s">
        <v>5961</v>
      </c>
      <c r="D211" s="2" t="s">
        <v>5736</v>
      </c>
      <c r="E211" s="2">
        <v>0.1</v>
      </c>
      <c r="G211" s="2">
        <v>100</v>
      </c>
      <c r="H211" s="2" t="s">
        <v>7143</v>
      </c>
      <c r="K211" s="2">
        <v>0.1</v>
      </c>
      <c r="L211" s="2">
        <v>0.4</v>
      </c>
      <c r="M211" s="2" t="s">
        <v>8680</v>
      </c>
      <c r="O211" s="2">
        <v>2013</v>
      </c>
      <c r="P211" s="2">
        <v>2013</v>
      </c>
      <c r="Q211" s="2" t="s">
        <v>8681</v>
      </c>
      <c r="S211" s="2">
        <v>23</v>
      </c>
      <c r="T211" s="2" t="s">
        <v>7142</v>
      </c>
    </row>
    <row r="212" spans="2:20">
      <c r="B212" s="2" t="s">
        <v>434</v>
      </c>
      <c r="C212" s="2" t="s">
        <v>5962</v>
      </c>
      <c r="D212" s="2" t="s">
        <v>5816</v>
      </c>
      <c r="E212" s="2">
        <v>0.14000000000000001</v>
      </c>
      <c r="G212" s="2">
        <v>140</v>
      </c>
      <c r="H212" s="2" t="s">
        <v>7143</v>
      </c>
      <c r="K212" s="2">
        <v>0.14000000000000001</v>
      </c>
      <c r="L212" s="2">
        <v>0.5</v>
      </c>
      <c r="M212" s="2" t="s">
        <v>8680</v>
      </c>
      <c r="O212" s="2">
        <v>2014</v>
      </c>
      <c r="P212" s="2">
        <v>2014</v>
      </c>
      <c r="S212" s="2">
        <v>20</v>
      </c>
      <c r="T212" s="2" t="s">
        <v>7142</v>
      </c>
    </row>
    <row r="213" spans="2:20">
      <c r="B213" s="2" t="s">
        <v>443</v>
      </c>
      <c r="C213" s="2" t="s">
        <v>5963</v>
      </c>
      <c r="D213" s="2" t="s">
        <v>5731</v>
      </c>
      <c r="E213" s="2">
        <v>0.1</v>
      </c>
      <c r="G213" s="2">
        <v>100</v>
      </c>
      <c r="H213" s="2" t="s">
        <v>7143</v>
      </c>
      <c r="K213" s="2">
        <v>0.1</v>
      </c>
      <c r="L213" s="2">
        <v>0.3</v>
      </c>
      <c r="M213" s="2" t="s">
        <v>8680</v>
      </c>
      <c r="O213" s="2">
        <v>2017</v>
      </c>
      <c r="P213" s="2">
        <v>2017</v>
      </c>
      <c r="Q213" s="2" t="s">
        <v>8681</v>
      </c>
      <c r="S213" s="2">
        <v>23</v>
      </c>
      <c r="T213" s="2" t="s">
        <v>7142</v>
      </c>
    </row>
    <row r="214" spans="2:20">
      <c r="B214" s="2" t="s">
        <v>443</v>
      </c>
      <c r="C214" s="2" t="s">
        <v>5964</v>
      </c>
      <c r="D214" s="2" t="s">
        <v>5758</v>
      </c>
      <c r="E214" s="2">
        <v>0.7</v>
      </c>
      <c r="G214" s="2">
        <v>700</v>
      </c>
      <c r="H214" s="2" t="s">
        <v>7143</v>
      </c>
      <c r="K214" s="2">
        <v>0.7</v>
      </c>
      <c r="L214" s="2">
        <v>1</v>
      </c>
      <c r="M214" s="2" t="s">
        <v>8680</v>
      </c>
      <c r="O214" s="2">
        <v>2019</v>
      </c>
      <c r="P214" s="2">
        <v>2019</v>
      </c>
      <c r="Q214" s="2" t="s">
        <v>8681</v>
      </c>
      <c r="S214" s="2">
        <v>20</v>
      </c>
      <c r="T214" s="2" t="s">
        <v>7142</v>
      </c>
    </row>
    <row r="215" spans="2:20">
      <c r="B215" s="2" t="s">
        <v>443</v>
      </c>
      <c r="C215" s="2" t="s">
        <v>5965</v>
      </c>
      <c r="D215" s="2" t="s">
        <v>5736</v>
      </c>
      <c r="E215" s="2">
        <v>1</v>
      </c>
      <c r="G215" s="2">
        <v>1000</v>
      </c>
      <c r="H215" s="2" t="s">
        <v>7143</v>
      </c>
      <c r="K215" s="2">
        <v>1</v>
      </c>
      <c r="L215" s="2">
        <v>1.5</v>
      </c>
      <c r="M215" s="2" t="s">
        <v>8680</v>
      </c>
      <c r="O215" s="2">
        <v>2017</v>
      </c>
      <c r="P215" s="2">
        <v>2017</v>
      </c>
      <c r="Q215" s="2" t="s">
        <v>8681</v>
      </c>
      <c r="S215" s="2">
        <v>20</v>
      </c>
      <c r="T215" s="2" t="s">
        <v>7142</v>
      </c>
    </row>
    <row r="216" spans="2:20">
      <c r="B216" s="2" t="s">
        <v>443</v>
      </c>
      <c r="C216" s="2" t="s">
        <v>5966</v>
      </c>
      <c r="D216" s="2" t="s">
        <v>5743</v>
      </c>
      <c r="E216" s="2">
        <v>0.1</v>
      </c>
      <c r="G216" s="2">
        <v>100</v>
      </c>
      <c r="H216" s="2" t="s">
        <v>7143</v>
      </c>
      <c r="K216" s="2">
        <v>0.1</v>
      </c>
      <c r="L216" s="2">
        <v>0.2</v>
      </c>
      <c r="M216" s="2" t="s">
        <v>8678</v>
      </c>
      <c r="O216" s="2">
        <v>2018</v>
      </c>
      <c r="P216" s="2">
        <v>2018</v>
      </c>
      <c r="Q216" s="2" t="s">
        <v>8681</v>
      </c>
      <c r="S216" s="2">
        <v>20</v>
      </c>
      <c r="T216" s="2" t="s">
        <v>7143</v>
      </c>
    </row>
    <row r="217" spans="2:20">
      <c r="B217" s="2" t="s">
        <v>454</v>
      </c>
      <c r="C217" s="2" t="s">
        <v>5967</v>
      </c>
      <c r="D217" s="2" t="s">
        <v>5758</v>
      </c>
      <c r="E217" s="2">
        <v>0.1</v>
      </c>
      <c r="G217" s="2">
        <v>100</v>
      </c>
      <c r="H217" s="2" t="s">
        <v>7143</v>
      </c>
      <c r="K217" s="2">
        <v>0.1</v>
      </c>
      <c r="L217" s="2">
        <v>0.3</v>
      </c>
      <c r="M217" s="2" t="s">
        <v>8680</v>
      </c>
      <c r="O217" s="2">
        <v>2017</v>
      </c>
      <c r="P217" s="2">
        <v>2017</v>
      </c>
      <c r="Q217" s="2" t="s">
        <v>8681</v>
      </c>
      <c r="S217" s="2">
        <v>21</v>
      </c>
      <c r="T217" s="2" t="s">
        <v>7142</v>
      </c>
    </row>
    <row r="218" spans="2:20">
      <c r="B218" s="2" t="s">
        <v>454</v>
      </c>
      <c r="C218" s="2" t="s">
        <v>5968</v>
      </c>
      <c r="D218" s="2" t="s">
        <v>5736</v>
      </c>
      <c r="E218" s="2">
        <v>0.2</v>
      </c>
      <c r="G218" s="2">
        <v>200</v>
      </c>
      <c r="H218" s="2" t="s">
        <v>7143</v>
      </c>
      <c r="K218" s="2">
        <v>0.2</v>
      </c>
      <c r="L218" s="2">
        <v>0.5</v>
      </c>
      <c r="M218" s="2" t="s">
        <v>8680</v>
      </c>
      <c r="O218" s="2">
        <v>2016</v>
      </c>
      <c r="P218" s="2">
        <v>2016</v>
      </c>
      <c r="Q218" s="2" t="s">
        <v>8703</v>
      </c>
      <c r="S218" s="2">
        <v>20</v>
      </c>
      <c r="T218" s="2" t="s">
        <v>7142</v>
      </c>
    </row>
    <row r="219" spans="2:20">
      <c r="B219" s="2" t="s">
        <v>454</v>
      </c>
      <c r="C219" s="2" t="s">
        <v>5970</v>
      </c>
      <c r="D219" s="2" t="s">
        <v>5731</v>
      </c>
      <c r="E219" s="2">
        <v>0.5</v>
      </c>
      <c r="G219" s="2">
        <v>500</v>
      </c>
      <c r="H219" s="2" t="s">
        <v>7143</v>
      </c>
      <c r="K219" s="2">
        <v>0.5</v>
      </c>
      <c r="L219" s="2">
        <v>1.3</v>
      </c>
      <c r="M219" s="2" t="s">
        <v>8680</v>
      </c>
      <c r="O219" s="2">
        <v>2015</v>
      </c>
      <c r="P219" s="2">
        <v>2015</v>
      </c>
      <c r="Q219" s="2" t="s">
        <v>8681</v>
      </c>
      <c r="S219" s="2">
        <v>25</v>
      </c>
      <c r="T219" s="2" t="s">
        <v>7142</v>
      </c>
    </row>
    <row r="220" spans="2:20">
      <c r="B220" s="2" t="s">
        <v>454</v>
      </c>
      <c r="C220" s="2" t="s">
        <v>5971</v>
      </c>
      <c r="D220" s="2" t="s">
        <v>5816</v>
      </c>
      <c r="E220" s="2">
        <v>0.2</v>
      </c>
      <c r="G220" s="2">
        <v>200</v>
      </c>
      <c r="H220" s="2" t="s">
        <v>7142</v>
      </c>
      <c r="I220" s="2" t="s">
        <v>8690</v>
      </c>
      <c r="J220" s="2" t="s">
        <v>5733</v>
      </c>
      <c r="M220" s="2" t="s">
        <v>8680</v>
      </c>
      <c r="O220" s="2">
        <v>2024</v>
      </c>
      <c r="P220" s="2">
        <v>2024</v>
      </c>
      <c r="Q220" s="2" t="s">
        <v>8681</v>
      </c>
      <c r="S220" s="2">
        <v>21</v>
      </c>
      <c r="T220" s="2" t="s">
        <v>7142</v>
      </c>
    </row>
    <row r="221" spans="2:20">
      <c r="B221" s="2" t="s">
        <v>454</v>
      </c>
      <c r="C221" s="2" t="s">
        <v>5972</v>
      </c>
      <c r="D221" s="2" t="s">
        <v>5743</v>
      </c>
      <c r="E221" s="2">
        <v>0.15</v>
      </c>
      <c r="G221" s="2">
        <v>150</v>
      </c>
      <c r="H221" s="2" t="s">
        <v>7142</v>
      </c>
      <c r="I221" s="2" t="s">
        <v>8702</v>
      </c>
      <c r="K221" s="2">
        <v>0.15</v>
      </c>
      <c r="L221" s="2">
        <v>0.4</v>
      </c>
      <c r="M221" s="2" t="s">
        <v>8680</v>
      </c>
      <c r="O221" s="2">
        <v>2017</v>
      </c>
      <c r="P221" s="2">
        <v>2017</v>
      </c>
      <c r="Q221" s="2" t="s">
        <v>8681</v>
      </c>
      <c r="S221" s="2">
        <v>21</v>
      </c>
      <c r="T221" s="2" t="s">
        <v>7142</v>
      </c>
    </row>
    <row r="222" spans="2:20">
      <c r="B222" s="2" t="s">
        <v>523</v>
      </c>
      <c r="C222" s="2" t="s">
        <v>5973</v>
      </c>
      <c r="D222" s="2" t="s">
        <v>5743</v>
      </c>
      <c r="E222" s="2">
        <v>1.8</v>
      </c>
      <c r="G222" s="2">
        <v>2000</v>
      </c>
      <c r="H222" s="2" t="s">
        <v>7142</v>
      </c>
      <c r="I222" s="2" t="s">
        <v>8690</v>
      </c>
      <c r="J222" s="2" t="s">
        <v>5733</v>
      </c>
      <c r="K222" s="2">
        <v>1.8</v>
      </c>
      <c r="L222" s="2">
        <v>10</v>
      </c>
      <c r="M222" s="2" t="s">
        <v>8680</v>
      </c>
      <c r="O222" s="2">
        <v>2015</v>
      </c>
      <c r="P222" s="2">
        <v>2015</v>
      </c>
      <c r="Q222" s="2" t="s">
        <v>8681</v>
      </c>
      <c r="S222" s="2">
        <v>20</v>
      </c>
      <c r="T222" s="2" t="s">
        <v>7142</v>
      </c>
    </row>
    <row r="223" spans="2:20">
      <c r="B223" s="2" t="s">
        <v>663</v>
      </c>
      <c r="C223" s="2" t="s">
        <v>5974</v>
      </c>
      <c r="D223" s="2" t="s">
        <v>5736</v>
      </c>
      <c r="E223" s="2">
        <v>1</v>
      </c>
      <c r="G223" s="2">
        <v>1100</v>
      </c>
      <c r="H223" s="2" t="s">
        <v>7142</v>
      </c>
      <c r="I223" s="2" t="s">
        <v>8690</v>
      </c>
      <c r="J223" s="2" t="s">
        <v>5733</v>
      </c>
      <c r="K223" s="2">
        <v>1</v>
      </c>
      <c r="L223" s="2">
        <v>2</v>
      </c>
      <c r="M223" s="2" t="s">
        <v>8680</v>
      </c>
      <c r="O223" s="2">
        <v>2001</v>
      </c>
      <c r="P223" s="2">
        <v>2001</v>
      </c>
      <c r="Q223" s="2" t="s">
        <v>8681</v>
      </c>
      <c r="S223" s="2">
        <v>20</v>
      </c>
      <c r="T223" s="2" t="s">
        <v>7142</v>
      </c>
    </row>
    <row r="224" spans="2:20">
      <c r="B224" s="2" t="s">
        <v>663</v>
      </c>
      <c r="C224" s="2" t="s">
        <v>5975</v>
      </c>
      <c r="D224" s="2" t="s">
        <v>5731</v>
      </c>
      <c r="E224" s="2">
        <v>1</v>
      </c>
      <c r="G224" s="2">
        <v>1100</v>
      </c>
      <c r="H224" s="2" t="s">
        <v>7143</v>
      </c>
      <c r="K224" s="2">
        <v>1</v>
      </c>
      <c r="L224" s="2">
        <v>2</v>
      </c>
      <c r="M224" s="2" t="s">
        <v>8680</v>
      </c>
      <c r="O224" s="2">
        <v>2000</v>
      </c>
      <c r="P224" s="2">
        <v>2000</v>
      </c>
      <c r="Q224" s="2" t="s">
        <v>8681</v>
      </c>
      <c r="S224" s="2">
        <v>21</v>
      </c>
      <c r="T224" s="2" t="s">
        <v>7142</v>
      </c>
    </row>
    <row r="225" spans="2:20">
      <c r="B225" s="2" t="s">
        <v>663</v>
      </c>
      <c r="C225" s="2" t="s">
        <v>5976</v>
      </c>
      <c r="D225" s="2" t="s">
        <v>5743</v>
      </c>
      <c r="E225" s="2">
        <v>1</v>
      </c>
      <c r="G225" s="2">
        <v>1000</v>
      </c>
      <c r="H225" s="2" t="s">
        <v>7142</v>
      </c>
      <c r="I225" s="2" t="s">
        <v>8690</v>
      </c>
      <c r="J225" s="2" t="s">
        <v>5733</v>
      </c>
      <c r="K225" s="2">
        <v>1</v>
      </c>
      <c r="L225" s="2">
        <v>2</v>
      </c>
      <c r="M225" s="2" t="s">
        <v>8680</v>
      </c>
      <c r="O225" s="2">
        <v>2000</v>
      </c>
      <c r="P225" s="2">
        <v>2000</v>
      </c>
      <c r="Q225" s="2" t="s">
        <v>8681</v>
      </c>
      <c r="S225" s="2">
        <v>20</v>
      </c>
      <c r="T225" s="2" t="s">
        <v>7143</v>
      </c>
    </row>
    <row r="226" spans="2:20">
      <c r="B226" s="2" t="s">
        <v>674</v>
      </c>
      <c r="C226" s="2" t="s">
        <v>5977</v>
      </c>
      <c r="D226" s="2" t="s">
        <v>5731</v>
      </c>
      <c r="E226" s="2">
        <v>1</v>
      </c>
      <c r="G226" s="2">
        <v>1000</v>
      </c>
      <c r="H226" s="2" t="s">
        <v>7143</v>
      </c>
      <c r="K226" s="2">
        <v>0.3</v>
      </c>
      <c r="L226" s="2">
        <v>1.2</v>
      </c>
      <c r="M226" s="2" t="s">
        <v>8680</v>
      </c>
      <c r="O226" s="2">
        <v>2016</v>
      </c>
      <c r="P226" s="2">
        <v>2023</v>
      </c>
      <c r="Q226" s="2" t="s">
        <v>8681</v>
      </c>
      <c r="S226" s="2">
        <v>20</v>
      </c>
      <c r="T226" s="2" t="s">
        <v>7142</v>
      </c>
    </row>
    <row r="227" spans="2:20">
      <c r="B227" s="2" t="s">
        <v>674</v>
      </c>
      <c r="C227" s="2" t="s">
        <v>5978</v>
      </c>
      <c r="D227" s="2" t="s">
        <v>5736</v>
      </c>
      <c r="E227" s="2">
        <v>0.5</v>
      </c>
      <c r="G227" s="2">
        <v>500</v>
      </c>
      <c r="H227" s="2" t="s">
        <v>7142</v>
      </c>
      <c r="I227" s="2" t="s">
        <v>8690</v>
      </c>
      <c r="J227" s="2" t="s">
        <v>5733</v>
      </c>
      <c r="M227" s="2" t="s">
        <v>8680</v>
      </c>
      <c r="O227" s="2">
        <v>2016</v>
      </c>
      <c r="P227" s="2">
        <v>2014</v>
      </c>
      <c r="Q227" s="2" t="s">
        <v>8679</v>
      </c>
      <c r="S227" s="2">
        <v>20</v>
      </c>
      <c r="T227" s="2" t="s">
        <v>7142</v>
      </c>
    </row>
    <row r="228" spans="2:20">
      <c r="B228" s="2" t="s">
        <v>682</v>
      </c>
      <c r="C228" s="2" t="s">
        <v>5979</v>
      </c>
      <c r="D228" s="2" t="s">
        <v>5731</v>
      </c>
      <c r="E228" s="2">
        <v>0.53</v>
      </c>
      <c r="G228" s="2">
        <v>600</v>
      </c>
      <c r="H228" s="2" t="s">
        <v>7143</v>
      </c>
      <c r="K228" s="2">
        <v>0.53</v>
      </c>
      <c r="L228" s="2">
        <v>2</v>
      </c>
      <c r="M228" s="2" t="s">
        <v>8680</v>
      </c>
      <c r="O228" s="2">
        <v>2006</v>
      </c>
      <c r="P228" s="2">
        <v>2006</v>
      </c>
      <c r="Q228" s="2" t="s">
        <v>8681</v>
      </c>
      <c r="S228" s="2">
        <v>20</v>
      </c>
      <c r="T228" s="2" t="s">
        <v>7142</v>
      </c>
    </row>
    <row r="229" spans="2:20">
      <c r="B229" s="2" t="s">
        <v>682</v>
      </c>
      <c r="C229" s="2" t="s">
        <v>5980</v>
      </c>
      <c r="D229" s="2" t="s">
        <v>5736</v>
      </c>
      <c r="E229" s="2">
        <v>0.62</v>
      </c>
      <c r="G229" s="2">
        <v>700</v>
      </c>
      <c r="H229" s="2" t="s">
        <v>7143</v>
      </c>
      <c r="K229" s="2">
        <v>0.62</v>
      </c>
      <c r="L229" s="2">
        <v>3</v>
      </c>
      <c r="M229" s="2" t="s">
        <v>8680</v>
      </c>
      <c r="O229" s="2">
        <v>2013</v>
      </c>
      <c r="P229" s="2">
        <v>2013</v>
      </c>
      <c r="Q229" s="2" t="s">
        <v>8681</v>
      </c>
      <c r="S229" s="2">
        <v>20</v>
      </c>
      <c r="T229" s="2" t="s">
        <v>7142</v>
      </c>
    </row>
    <row r="230" spans="2:20">
      <c r="B230" s="2" t="s">
        <v>655</v>
      </c>
      <c r="C230" s="2" t="s">
        <v>5981</v>
      </c>
      <c r="D230" s="19" t="s">
        <v>8684</v>
      </c>
      <c r="E230" s="2">
        <v>0.8</v>
      </c>
      <c r="F230" s="2">
        <v>0</v>
      </c>
      <c r="G230" s="2">
        <v>800</v>
      </c>
      <c r="H230" s="2" t="s">
        <v>7143</v>
      </c>
      <c r="K230" s="2">
        <v>0.8</v>
      </c>
      <c r="L230" s="2">
        <v>2</v>
      </c>
      <c r="M230" s="2" t="s">
        <v>8678</v>
      </c>
      <c r="O230" s="2">
        <v>2009</v>
      </c>
      <c r="P230" s="2">
        <v>2009</v>
      </c>
      <c r="Q230" s="2" t="s">
        <v>8683</v>
      </c>
      <c r="S230" s="2">
        <v>35</v>
      </c>
      <c r="T230" s="2" t="s">
        <v>7143</v>
      </c>
    </row>
    <row r="231" spans="2:20">
      <c r="B231" s="2" t="s">
        <v>655</v>
      </c>
      <c r="C231" s="2" t="s">
        <v>5982</v>
      </c>
      <c r="D231" s="19" t="s">
        <v>8685</v>
      </c>
      <c r="E231" s="2">
        <v>0.5</v>
      </c>
      <c r="F231" s="2">
        <v>0</v>
      </c>
      <c r="G231" s="2">
        <v>500</v>
      </c>
      <c r="H231" s="2" t="s">
        <v>7143</v>
      </c>
      <c r="K231" s="2">
        <v>0.5</v>
      </c>
      <c r="L231" s="2">
        <v>1</v>
      </c>
      <c r="M231" s="2" t="s">
        <v>8678</v>
      </c>
      <c r="O231" s="2">
        <v>2016</v>
      </c>
      <c r="P231" s="2">
        <v>2016</v>
      </c>
      <c r="Q231" s="2" t="s">
        <v>8683</v>
      </c>
      <c r="S231" s="2">
        <v>30</v>
      </c>
      <c r="T231" s="2" t="s">
        <v>7143</v>
      </c>
    </row>
    <row r="232" spans="2:20">
      <c r="B232" s="2" t="s">
        <v>655</v>
      </c>
      <c r="C232" s="2" t="s">
        <v>5983</v>
      </c>
      <c r="D232" s="19" t="s">
        <v>8699</v>
      </c>
      <c r="E232" s="2">
        <v>0.5</v>
      </c>
      <c r="F232" s="2">
        <v>0</v>
      </c>
      <c r="G232" s="2">
        <v>500</v>
      </c>
      <c r="H232" s="2" t="s">
        <v>7143</v>
      </c>
      <c r="K232" s="2">
        <v>0.5</v>
      </c>
      <c r="L232" s="2">
        <v>1</v>
      </c>
      <c r="M232" s="2" t="s">
        <v>8678</v>
      </c>
      <c r="O232" s="2">
        <v>2018</v>
      </c>
      <c r="P232" s="2">
        <v>2018</v>
      </c>
      <c r="Q232" s="2" t="s">
        <v>8683</v>
      </c>
      <c r="S232" s="2">
        <v>25</v>
      </c>
      <c r="T232" s="2" t="s">
        <v>7143</v>
      </c>
    </row>
    <row r="233" spans="2:20">
      <c r="B233" s="2" t="s">
        <v>655</v>
      </c>
      <c r="C233" s="2" t="s">
        <v>5984</v>
      </c>
      <c r="D233" s="19" t="s">
        <v>8682</v>
      </c>
      <c r="E233" s="2">
        <v>1.5</v>
      </c>
      <c r="F233" s="2">
        <v>0</v>
      </c>
      <c r="G233" s="2">
        <v>2000</v>
      </c>
      <c r="H233" s="2" t="s">
        <v>7143</v>
      </c>
      <c r="K233" s="2">
        <v>1.5</v>
      </c>
      <c r="L233" s="2">
        <v>4</v>
      </c>
      <c r="M233" s="2" t="s">
        <v>8680</v>
      </c>
      <c r="O233" s="2">
        <v>2000</v>
      </c>
      <c r="P233" s="2">
        <v>2000</v>
      </c>
      <c r="Q233" s="2" t="s">
        <v>8704</v>
      </c>
      <c r="S233" s="2">
        <v>15</v>
      </c>
      <c r="T233" s="2" t="s">
        <v>7143</v>
      </c>
    </row>
    <row r="234" spans="2:20">
      <c r="B234" s="2" t="s">
        <v>715</v>
      </c>
      <c r="C234" s="2" t="s">
        <v>5986</v>
      </c>
      <c r="D234" s="19" t="s">
        <v>8682</v>
      </c>
      <c r="E234" s="2">
        <v>0.4</v>
      </c>
      <c r="F234" s="2">
        <v>0</v>
      </c>
      <c r="G234" s="2">
        <v>400</v>
      </c>
      <c r="H234" s="2" t="s">
        <v>7143</v>
      </c>
      <c r="K234" s="2">
        <v>0.4</v>
      </c>
      <c r="L234" s="2">
        <v>1.3</v>
      </c>
      <c r="M234" s="2" t="s">
        <v>8678</v>
      </c>
      <c r="O234" s="2">
        <v>2014</v>
      </c>
      <c r="P234" s="2">
        <v>2014</v>
      </c>
      <c r="Q234" s="2" t="s">
        <v>8683</v>
      </c>
      <c r="S234" s="2">
        <v>30</v>
      </c>
      <c r="T234" s="2" t="s">
        <v>7143</v>
      </c>
    </row>
    <row r="235" spans="2:20">
      <c r="B235" s="2" t="s">
        <v>761</v>
      </c>
      <c r="C235" s="2" t="s">
        <v>5987</v>
      </c>
      <c r="D235" s="19" t="s">
        <v>8682</v>
      </c>
      <c r="E235" s="2">
        <v>0.5</v>
      </c>
      <c r="G235" s="2">
        <v>500</v>
      </c>
      <c r="H235" s="2" t="s">
        <v>7143</v>
      </c>
      <c r="K235" s="2">
        <v>0.5</v>
      </c>
      <c r="L235" s="2">
        <v>2</v>
      </c>
      <c r="M235" s="2" t="s">
        <v>8680</v>
      </c>
      <c r="O235" s="2">
        <v>2008</v>
      </c>
      <c r="P235" s="2">
        <v>2008</v>
      </c>
      <c r="Q235" s="2" t="s">
        <v>8697</v>
      </c>
      <c r="R235" s="2" t="s">
        <v>5825</v>
      </c>
      <c r="S235" s="2">
        <v>25</v>
      </c>
      <c r="T235" s="2" t="s">
        <v>7143</v>
      </c>
    </row>
    <row r="236" spans="2:20">
      <c r="B236" s="2" t="s">
        <v>776</v>
      </c>
      <c r="C236" s="2" t="s">
        <v>5988</v>
      </c>
      <c r="D236" s="19" t="s">
        <v>8682</v>
      </c>
      <c r="E236" s="2">
        <v>0.4</v>
      </c>
      <c r="F236" s="2">
        <v>0</v>
      </c>
      <c r="G236" s="2">
        <v>410</v>
      </c>
      <c r="H236" s="2" t="s">
        <v>7143</v>
      </c>
      <c r="K236" s="2">
        <v>0.4</v>
      </c>
      <c r="L236" s="2">
        <v>1</v>
      </c>
      <c r="M236" s="2" t="s">
        <v>8678</v>
      </c>
      <c r="O236" s="2">
        <v>2002</v>
      </c>
      <c r="P236" s="2">
        <v>2002</v>
      </c>
      <c r="Q236" s="2" t="s">
        <v>8683</v>
      </c>
      <c r="S236" s="2">
        <v>30</v>
      </c>
      <c r="T236" s="2" t="s">
        <v>7143</v>
      </c>
    </row>
    <row r="237" spans="2:20">
      <c r="B237" s="2" t="s">
        <v>693</v>
      </c>
      <c r="C237" s="2" t="s">
        <v>5989</v>
      </c>
      <c r="D237" s="2" t="s">
        <v>5731</v>
      </c>
      <c r="E237" s="2">
        <v>0.2</v>
      </c>
      <c r="G237" s="2">
        <v>250</v>
      </c>
      <c r="H237" s="2" t="s">
        <v>7142</v>
      </c>
      <c r="I237" s="2" t="s">
        <v>8690</v>
      </c>
      <c r="J237" s="2" t="s">
        <v>5733</v>
      </c>
      <c r="K237" s="2">
        <v>0.2</v>
      </c>
      <c r="L237" s="2">
        <v>0.5</v>
      </c>
      <c r="M237" s="2" t="s">
        <v>8678</v>
      </c>
      <c r="O237" s="2">
        <v>2016</v>
      </c>
      <c r="P237" s="2">
        <v>2016</v>
      </c>
      <c r="Q237" s="2" t="s">
        <v>8681</v>
      </c>
      <c r="S237" s="2">
        <v>20</v>
      </c>
      <c r="T237" s="2" t="s">
        <v>7143</v>
      </c>
    </row>
    <row r="238" spans="2:20">
      <c r="B238" s="2" t="s">
        <v>693</v>
      </c>
      <c r="C238" s="2" t="s">
        <v>5990</v>
      </c>
      <c r="D238" s="2" t="s">
        <v>5736</v>
      </c>
      <c r="E238" s="2">
        <v>0.2</v>
      </c>
      <c r="G238" s="2">
        <v>250</v>
      </c>
      <c r="H238" s="2" t="s">
        <v>7143</v>
      </c>
      <c r="K238" s="2">
        <v>0.2</v>
      </c>
      <c r="L238" s="2">
        <v>0.5</v>
      </c>
      <c r="M238" s="2" t="s">
        <v>8678</v>
      </c>
      <c r="O238" s="2">
        <v>2017</v>
      </c>
      <c r="P238" s="2">
        <v>2017</v>
      </c>
      <c r="Q238" s="2" t="s">
        <v>8681</v>
      </c>
      <c r="S238" s="2">
        <v>20</v>
      </c>
      <c r="T238" s="2" t="s">
        <v>7143</v>
      </c>
    </row>
    <row r="239" spans="2:20">
      <c r="B239" s="2" t="s">
        <v>277</v>
      </c>
      <c r="C239" s="2" t="s">
        <v>5991</v>
      </c>
      <c r="D239" s="2" t="s">
        <v>5992</v>
      </c>
      <c r="E239" s="2">
        <v>0.25</v>
      </c>
      <c r="G239" s="2">
        <v>250</v>
      </c>
      <c r="H239" s="2" t="s">
        <v>7143</v>
      </c>
      <c r="K239" s="2">
        <v>0.25</v>
      </c>
      <c r="L239" s="2">
        <v>1</v>
      </c>
      <c r="M239" s="2" t="s">
        <v>8678</v>
      </c>
      <c r="O239" s="2">
        <v>2015</v>
      </c>
      <c r="P239" s="2">
        <v>2015</v>
      </c>
      <c r="Q239" s="2" t="s">
        <v>8691</v>
      </c>
      <c r="S239" s="2">
        <v>35</v>
      </c>
      <c r="T239" s="2" t="s">
        <v>7143</v>
      </c>
    </row>
    <row r="240" spans="2:20">
      <c r="B240" s="2" t="s">
        <v>277</v>
      </c>
      <c r="C240" s="2" t="s">
        <v>5993</v>
      </c>
      <c r="D240" s="2" t="s">
        <v>5994</v>
      </c>
      <c r="E240" s="2">
        <v>0.45</v>
      </c>
      <c r="G240" s="2">
        <v>420</v>
      </c>
      <c r="H240" s="2" t="s">
        <v>7143</v>
      </c>
      <c r="K240" s="2">
        <v>0.45</v>
      </c>
      <c r="L240" s="2">
        <v>2</v>
      </c>
      <c r="M240" s="2" t="s">
        <v>8678</v>
      </c>
      <c r="O240" s="2">
        <v>2015</v>
      </c>
      <c r="P240" s="2">
        <v>2015</v>
      </c>
      <c r="Q240" s="2" t="s">
        <v>8679</v>
      </c>
      <c r="S240" s="2">
        <v>35</v>
      </c>
      <c r="T240" s="2" t="s">
        <v>7143</v>
      </c>
    </row>
    <row r="241" spans="2:20">
      <c r="B241" s="2" t="s">
        <v>266</v>
      </c>
      <c r="C241" s="2" t="s">
        <v>5995</v>
      </c>
      <c r="D241" s="19" t="s">
        <v>8682</v>
      </c>
      <c r="E241" s="2">
        <v>0.5</v>
      </c>
      <c r="G241" s="2">
        <v>500</v>
      </c>
      <c r="H241" s="2" t="s">
        <v>7142</v>
      </c>
      <c r="I241" s="2" t="s">
        <v>8686</v>
      </c>
      <c r="K241" s="2">
        <v>0.5</v>
      </c>
      <c r="L241" s="2">
        <v>2</v>
      </c>
      <c r="M241" s="2" t="s">
        <v>8680</v>
      </c>
      <c r="O241" s="2">
        <v>2019</v>
      </c>
      <c r="P241" s="2">
        <v>2019</v>
      </c>
      <c r="Q241" s="2" t="s">
        <v>8691</v>
      </c>
      <c r="S241" s="2">
        <v>15</v>
      </c>
      <c r="T241" s="2" t="s">
        <v>7143</v>
      </c>
    </row>
    <row r="242" spans="2:20">
      <c r="B242" s="2" t="s">
        <v>783</v>
      </c>
      <c r="C242" s="2" t="s">
        <v>5996</v>
      </c>
      <c r="D242" s="19" t="s">
        <v>8682</v>
      </c>
      <c r="E242" s="2">
        <v>0.2</v>
      </c>
      <c r="F242" s="2">
        <v>0</v>
      </c>
      <c r="G242" s="2">
        <v>220</v>
      </c>
      <c r="H242" s="2" t="s">
        <v>7143</v>
      </c>
      <c r="K242" s="2">
        <v>0.2</v>
      </c>
      <c r="L242" s="2">
        <v>1.1000000000000001</v>
      </c>
      <c r="M242" s="2" t="s">
        <v>8678</v>
      </c>
      <c r="O242" s="2">
        <v>2021</v>
      </c>
      <c r="P242" s="2">
        <v>2021</v>
      </c>
      <c r="Q242" s="2" t="s">
        <v>8688</v>
      </c>
      <c r="S242" s="2">
        <v>25</v>
      </c>
      <c r="T242" s="2" t="s">
        <v>7143</v>
      </c>
    </row>
    <row r="243" spans="2:20">
      <c r="B243" s="2" t="s">
        <v>745</v>
      </c>
      <c r="C243" s="2" t="s">
        <v>5997</v>
      </c>
      <c r="D243" s="2" t="s">
        <v>5743</v>
      </c>
      <c r="E243" s="2">
        <v>0.12</v>
      </c>
      <c r="G243" s="2">
        <v>100</v>
      </c>
      <c r="H243" s="2" t="s">
        <v>7143</v>
      </c>
      <c r="K243" s="2">
        <v>0.12</v>
      </c>
      <c r="L243" s="2">
        <v>0.6</v>
      </c>
      <c r="M243" s="2" t="s">
        <v>8678</v>
      </c>
      <c r="O243" s="2">
        <v>2016</v>
      </c>
      <c r="P243" s="2">
        <v>2016</v>
      </c>
      <c r="Q243" s="2" t="s">
        <v>8681</v>
      </c>
      <c r="S243" s="2">
        <v>21</v>
      </c>
      <c r="T243" s="2" t="s">
        <v>7143</v>
      </c>
    </row>
    <row r="244" spans="2:20">
      <c r="B244" s="2" t="s">
        <v>745</v>
      </c>
      <c r="C244" s="2" t="s">
        <v>5998</v>
      </c>
      <c r="D244" s="2" t="s">
        <v>5736</v>
      </c>
      <c r="E244" s="2">
        <v>0.2</v>
      </c>
      <c r="G244" s="2">
        <v>210</v>
      </c>
      <c r="H244" s="2" t="s">
        <v>7142</v>
      </c>
      <c r="I244" s="2" t="s">
        <v>8702</v>
      </c>
      <c r="K244" s="2">
        <v>0.2</v>
      </c>
      <c r="L244" s="2">
        <v>1</v>
      </c>
      <c r="M244" s="2" t="s">
        <v>8678</v>
      </c>
      <c r="O244" s="2">
        <v>2016</v>
      </c>
      <c r="P244" s="2">
        <v>2016</v>
      </c>
      <c r="Q244" s="2" t="s">
        <v>8681</v>
      </c>
      <c r="S244" s="2">
        <v>21</v>
      </c>
      <c r="T244" s="2" t="s">
        <v>7143</v>
      </c>
    </row>
    <row r="245" spans="2:20">
      <c r="B245" s="2" t="s">
        <v>745</v>
      </c>
      <c r="C245" s="2" t="s">
        <v>5999</v>
      </c>
      <c r="D245" s="2" t="s">
        <v>5731</v>
      </c>
      <c r="E245" s="2">
        <v>0.4</v>
      </c>
      <c r="G245" s="2">
        <v>450</v>
      </c>
      <c r="H245" s="2" t="s">
        <v>7143</v>
      </c>
      <c r="K245" s="2">
        <v>0.4</v>
      </c>
      <c r="L245" s="2">
        <v>1.9</v>
      </c>
      <c r="M245" s="2" t="s">
        <v>8680</v>
      </c>
      <c r="O245" s="2">
        <v>2015</v>
      </c>
      <c r="P245" s="2">
        <v>2015</v>
      </c>
      <c r="Q245" s="2" t="s">
        <v>8681</v>
      </c>
      <c r="S245" s="2">
        <v>23</v>
      </c>
      <c r="T245" s="2" t="s">
        <v>7142</v>
      </c>
    </row>
    <row r="246" spans="2:20">
      <c r="B246" s="2" t="s">
        <v>264</v>
      </c>
      <c r="C246" s="2" t="s">
        <v>6000</v>
      </c>
      <c r="D246" s="19" t="s">
        <v>8684</v>
      </c>
      <c r="E246" s="2">
        <v>0.5</v>
      </c>
      <c r="G246" s="2">
        <v>520</v>
      </c>
      <c r="H246" s="2" t="s">
        <v>7143</v>
      </c>
      <c r="K246" s="2">
        <v>0.5</v>
      </c>
      <c r="L246" s="2">
        <v>2.4</v>
      </c>
      <c r="M246" s="2" t="s">
        <v>8680</v>
      </c>
      <c r="O246" s="2">
        <v>2006</v>
      </c>
      <c r="P246" s="2">
        <v>2006</v>
      </c>
      <c r="Q246" s="2" t="s">
        <v>8681</v>
      </c>
      <c r="S246" s="2">
        <v>20</v>
      </c>
      <c r="T246" s="2" t="s">
        <v>7143</v>
      </c>
    </row>
    <row r="247" spans="2:20">
      <c r="B247" s="2" t="s">
        <v>264</v>
      </c>
      <c r="C247" s="2" t="s">
        <v>6001</v>
      </c>
      <c r="D247" s="19" t="s">
        <v>8682</v>
      </c>
      <c r="E247" s="2">
        <v>0.34</v>
      </c>
      <c r="G247" s="2">
        <v>300</v>
      </c>
      <c r="H247" s="2" t="s">
        <v>7143</v>
      </c>
      <c r="K247" s="2">
        <v>0.34</v>
      </c>
      <c r="L247" s="2">
        <v>1.6</v>
      </c>
      <c r="M247" s="2" t="s">
        <v>8680</v>
      </c>
      <c r="O247" s="2">
        <v>2022</v>
      </c>
      <c r="P247" s="2">
        <v>2022</v>
      </c>
      <c r="Q247" s="2" t="s">
        <v>8679</v>
      </c>
      <c r="S247" s="2">
        <v>3</v>
      </c>
      <c r="T247" s="2" t="s">
        <v>7143</v>
      </c>
    </row>
    <row r="248" spans="2:20">
      <c r="B248" s="2" t="s">
        <v>264</v>
      </c>
      <c r="C248" s="2" t="s">
        <v>6002</v>
      </c>
      <c r="D248" s="19" t="s">
        <v>8699</v>
      </c>
      <c r="E248" s="2">
        <v>0.8</v>
      </c>
      <c r="G248" s="2">
        <v>900</v>
      </c>
      <c r="H248" s="2" t="s">
        <v>7143</v>
      </c>
      <c r="M248" s="2" t="s">
        <v>8680</v>
      </c>
      <c r="O248" s="2">
        <v>2006</v>
      </c>
      <c r="P248" s="2">
        <v>2025</v>
      </c>
      <c r="T248" s="2" t="s">
        <v>7143</v>
      </c>
    </row>
    <row r="249" spans="2:20">
      <c r="B249" s="2" t="s">
        <v>264</v>
      </c>
      <c r="C249" s="2" t="s">
        <v>6003</v>
      </c>
      <c r="D249" s="19" t="s">
        <v>8685</v>
      </c>
      <c r="E249" s="2">
        <v>0.2</v>
      </c>
      <c r="G249" s="2">
        <v>200</v>
      </c>
      <c r="H249" s="2" t="s">
        <v>7143</v>
      </c>
      <c r="K249" s="2">
        <v>0.2</v>
      </c>
      <c r="L249" s="2">
        <v>0.5</v>
      </c>
      <c r="M249" s="2" t="s">
        <v>8680</v>
      </c>
      <c r="O249" s="2">
        <v>2006</v>
      </c>
      <c r="P249" s="2">
        <v>2006</v>
      </c>
      <c r="Q249" s="2" t="s">
        <v>8681</v>
      </c>
      <c r="S249" s="2">
        <v>4</v>
      </c>
      <c r="T249" s="2" t="s">
        <v>7143</v>
      </c>
    </row>
    <row r="250" spans="2:20">
      <c r="B250" s="2" t="s">
        <v>1245</v>
      </c>
      <c r="C250" s="2" t="s">
        <v>6004</v>
      </c>
      <c r="E250" s="2">
        <v>1.9</v>
      </c>
      <c r="G250" s="2">
        <v>1700</v>
      </c>
      <c r="H250" s="2" t="s">
        <v>7142</v>
      </c>
      <c r="I250" s="2" t="s">
        <v>8698</v>
      </c>
      <c r="J250" s="2" t="s">
        <v>5733</v>
      </c>
      <c r="K250" s="2">
        <v>1.9</v>
      </c>
      <c r="L250" s="2">
        <v>9.5</v>
      </c>
      <c r="M250" s="2" t="s">
        <v>8680</v>
      </c>
      <c r="O250" s="2">
        <v>1995</v>
      </c>
      <c r="Q250" s="2" t="s">
        <v>8679</v>
      </c>
      <c r="T250" s="2" t="s">
        <v>7142</v>
      </c>
    </row>
    <row r="251" spans="2:20">
      <c r="B251" s="2" t="s">
        <v>839</v>
      </c>
      <c r="C251" s="2" t="s">
        <v>6005</v>
      </c>
      <c r="D251" s="19" t="s">
        <v>8682</v>
      </c>
      <c r="E251" s="2">
        <v>1</v>
      </c>
      <c r="F251" s="2">
        <v>0</v>
      </c>
      <c r="G251" s="2">
        <v>1100</v>
      </c>
      <c r="H251" s="2" t="s">
        <v>7142</v>
      </c>
      <c r="I251" s="2" t="s">
        <v>8687</v>
      </c>
      <c r="K251" s="2">
        <v>1</v>
      </c>
      <c r="L251" s="2">
        <v>3.5</v>
      </c>
      <c r="M251" s="2" t="s">
        <v>8678</v>
      </c>
      <c r="O251" s="2">
        <v>1994</v>
      </c>
      <c r="P251" s="2">
        <v>1994</v>
      </c>
      <c r="Q251" s="2" t="s">
        <v>8683</v>
      </c>
      <c r="S251" s="2">
        <v>15</v>
      </c>
      <c r="T251" s="2" t="s">
        <v>7143</v>
      </c>
    </row>
    <row r="252" spans="2:20">
      <c r="B252" s="2" t="s">
        <v>257</v>
      </c>
      <c r="C252" s="2" t="s">
        <v>6006</v>
      </c>
      <c r="D252" s="19" t="s">
        <v>8682</v>
      </c>
      <c r="E252" s="2">
        <v>0.45</v>
      </c>
      <c r="G252" s="2">
        <v>400</v>
      </c>
      <c r="H252" s="2" t="s">
        <v>7143</v>
      </c>
      <c r="K252" s="2">
        <v>0.45</v>
      </c>
      <c r="L252" s="2">
        <v>1.6</v>
      </c>
      <c r="M252" s="2" t="s">
        <v>8680</v>
      </c>
      <c r="O252" s="2">
        <v>2016</v>
      </c>
      <c r="P252" s="2">
        <v>2016</v>
      </c>
      <c r="Q252" s="2" t="s">
        <v>8683</v>
      </c>
      <c r="S252" s="2">
        <v>10</v>
      </c>
      <c r="T252" s="2" t="s">
        <v>7143</v>
      </c>
    </row>
    <row r="253" spans="2:20">
      <c r="B253" s="2" t="s">
        <v>1270</v>
      </c>
      <c r="C253" s="2" t="s">
        <v>6007</v>
      </c>
      <c r="E253" s="2">
        <v>1.2</v>
      </c>
      <c r="G253" s="2">
        <v>100</v>
      </c>
      <c r="H253" s="2" t="s">
        <v>7142</v>
      </c>
      <c r="I253" s="2" t="s">
        <v>8696</v>
      </c>
      <c r="J253" s="2" t="s">
        <v>6008</v>
      </c>
      <c r="K253" s="2">
        <v>1.2</v>
      </c>
      <c r="L253" s="2">
        <v>3</v>
      </c>
      <c r="M253" s="2" t="s">
        <v>8680</v>
      </c>
      <c r="O253" s="2">
        <v>1996</v>
      </c>
      <c r="P253" s="2">
        <v>2017</v>
      </c>
      <c r="Q253" s="2" t="s">
        <v>8679</v>
      </c>
      <c r="T253" s="2" t="s">
        <v>7142</v>
      </c>
    </row>
    <row r="254" spans="2:20">
      <c r="B254" s="2" t="s">
        <v>251</v>
      </c>
      <c r="C254" s="2" t="s">
        <v>6009</v>
      </c>
      <c r="D254" s="19" t="s">
        <v>8684</v>
      </c>
      <c r="E254" s="2">
        <v>0.4</v>
      </c>
      <c r="G254" s="2">
        <v>430</v>
      </c>
      <c r="H254" s="2" t="s">
        <v>7143</v>
      </c>
      <c r="K254" s="2">
        <v>0.4</v>
      </c>
      <c r="L254" s="2">
        <v>1.5</v>
      </c>
      <c r="M254" s="2" t="s">
        <v>8678</v>
      </c>
      <c r="O254" s="2">
        <v>2020</v>
      </c>
      <c r="P254" s="2">
        <v>2020</v>
      </c>
      <c r="Q254" s="2" t="s">
        <v>8679</v>
      </c>
      <c r="S254" s="2">
        <v>50</v>
      </c>
      <c r="T254" s="2" t="s">
        <v>7143</v>
      </c>
    </row>
    <row r="255" spans="2:20">
      <c r="B255" s="2" t="s">
        <v>251</v>
      </c>
      <c r="C255" s="2" t="s">
        <v>6010</v>
      </c>
      <c r="D255" s="19" t="s">
        <v>8682</v>
      </c>
      <c r="E255" s="2">
        <v>0.4</v>
      </c>
      <c r="G255" s="2">
        <v>430</v>
      </c>
      <c r="H255" s="2" t="s">
        <v>7142</v>
      </c>
      <c r="I255" s="2" t="s">
        <v>8687</v>
      </c>
      <c r="K255" s="2">
        <v>0.4</v>
      </c>
      <c r="L255" s="2">
        <v>1.5</v>
      </c>
      <c r="M255" s="2" t="s">
        <v>8680</v>
      </c>
      <c r="O255" s="2">
        <v>2006</v>
      </c>
      <c r="P255" s="2">
        <v>2006</v>
      </c>
      <c r="Q255" s="2" t="s">
        <v>8681</v>
      </c>
      <c r="S255" s="2">
        <v>20</v>
      </c>
      <c r="T255" s="2" t="s">
        <v>7143</v>
      </c>
    </row>
    <row r="256" spans="2:20">
      <c r="B256" s="2" t="s">
        <v>1306</v>
      </c>
      <c r="C256" s="2" t="s">
        <v>6011</v>
      </c>
      <c r="E256" s="2">
        <v>0.5</v>
      </c>
      <c r="G256" s="2">
        <v>500</v>
      </c>
      <c r="H256" s="2" t="s">
        <v>7142</v>
      </c>
      <c r="I256" s="2" t="s">
        <v>8705</v>
      </c>
      <c r="J256" s="2" t="s">
        <v>5733</v>
      </c>
      <c r="K256" s="2">
        <v>0.5</v>
      </c>
      <c r="L256" s="2">
        <v>2.2999999999999998</v>
      </c>
      <c r="M256" s="2" t="s">
        <v>8680</v>
      </c>
      <c r="O256" s="2">
        <v>1995</v>
      </c>
      <c r="P256" s="2">
        <v>2015</v>
      </c>
      <c r="Q256" s="2" t="s">
        <v>8679</v>
      </c>
      <c r="T256" s="2" t="s">
        <v>7142</v>
      </c>
    </row>
    <row r="257" spans="2:20">
      <c r="B257" s="2" t="s">
        <v>873</v>
      </c>
      <c r="C257" s="2" t="s">
        <v>6013</v>
      </c>
      <c r="D257" s="19" t="s">
        <v>8685</v>
      </c>
      <c r="E257" s="2">
        <v>0.4</v>
      </c>
      <c r="F257" s="2">
        <v>0</v>
      </c>
      <c r="G257" s="2">
        <v>370</v>
      </c>
      <c r="H257" s="2" t="s">
        <v>7143</v>
      </c>
      <c r="K257" s="2">
        <v>0</v>
      </c>
      <c r="L257" s="2">
        <v>0</v>
      </c>
      <c r="M257" s="2" t="s">
        <v>8678</v>
      </c>
      <c r="O257" s="2">
        <v>2024</v>
      </c>
      <c r="P257" s="2">
        <v>2024</v>
      </c>
      <c r="Q257" s="2" t="s">
        <v>8683</v>
      </c>
      <c r="S257" s="2">
        <v>5</v>
      </c>
      <c r="T257" s="2" t="s">
        <v>7143</v>
      </c>
    </row>
    <row r="258" spans="2:20">
      <c r="B258" s="2" t="s">
        <v>873</v>
      </c>
      <c r="C258" s="2" t="s">
        <v>6014</v>
      </c>
      <c r="D258" s="19" t="s">
        <v>8682</v>
      </c>
      <c r="E258" s="2">
        <v>0.2</v>
      </c>
      <c r="F258" s="2">
        <v>0</v>
      </c>
      <c r="G258" s="2">
        <v>240</v>
      </c>
      <c r="H258" s="2" t="s">
        <v>7143</v>
      </c>
      <c r="K258" s="2">
        <v>0.2</v>
      </c>
      <c r="L258" s="2">
        <v>0.3</v>
      </c>
      <c r="M258" s="2" t="s">
        <v>8680</v>
      </c>
      <c r="O258" s="2">
        <v>2023</v>
      </c>
      <c r="P258" s="2">
        <v>2023</v>
      </c>
      <c r="Q258" s="2" t="s">
        <v>8683</v>
      </c>
      <c r="S258" s="2">
        <v>20</v>
      </c>
      <c r="T258" s="2" t="s">
        <v>7143</v>
      </c>
    </row>
    <row r="259" spans="2:20">
      <c r="B259" s="2" t="s">
        <v>873</v>
      </c>
      <c r="C259" s="2" t="s">
        <v>6015</v>
      </c>
      <c r="D259" s="19" t="s">
        <v>8684</v>
      </c>
      <c r="E259" s="2">
        <v>0.4</v>
      </c>
      <c r="F259" s="2">
        <v>0</v>
      </c>
      <c r="G259" s="2">
        <v>460</v>
      </c>
      <c r="H259" s="2" t="s">
        <v>7143</v>
      </c>
      <c r="K259" s="2">
        <v>0.4</v>
      </c>
      <c r="L259" s="2">
        <v>0.7</v>
      </c>
      <c r="M259" s="2" t="s">
        <v>8680</v>
      </c>
      <c r="O259" s="2">
        <v>2020</v>
      </c>
      <c r="P259" s="2">
        <v>2020</v>
      </c>
      <c r="Q259" s="2" t="s">
        <v>8683</v>
      </c>
      <c r="S259" s="2">
        <v>25</v>
      </c>
      <c r="T259" s="2" t="s">
        <v>7143</v>
      </c>
    </row>
    <row r="260" spans="2:20">
      <c r="B260" s="2" t="s">
        <v>220</v>
      </c>
      <c r="C260" s="2" t="s">
        <v>6016</v>
      </c>
      <c r="D260" s="19" t="s">
        <v>8684</v>
      </c>
      <c r="E260" s="2">
        <v>0.5</v>
      </c>
      <c r="G260" s="2">
        <v>500</v>
      </c>
      <c r="H260" s="2" t="s">
        <v>7143</v>
      </c>
      <c r="K260" s="2">
        <v>0.5</v>
      </c>
      <c r="L260" s="2">
        <v>2</v>
      </c>
      <c r="M260" s="2" t="s">
        <v>8680</v>
      </c>
      <c r="O260" s="2">
        <v>2009</v>
      </c>
      <c r="P260" s="2">
        <v>2009</v>
      </c>
      <c r="Q260" s="2" t="s">
        <v>8681</v>
      </c>
      <c r="S260" s="2">
        <v>5</v>
      </c>
      <c r="T260" s="2" t="s">
        <v>7142</v>
      </c>
    </row>
    <row r="261" spans="2:20">
      <c r="B261" s="2" t="s">
        <v>220</v>
      </c>
      <c r="C261" s="2" t="s">
        <v>6017</v>
      </c>
      <c r="D261" s="19" t="s">
        <v>8682</v>
      </c>
      <c r="E261" s="2">
        <v>0.5</v>
      </c>
      <c r="G261" s="2">
        <v>500</v>
      </c>
      <c r="H261" s="2" t="s">
        <v>7142</v>
      </c>
      <c r="I261" s="2" t="s">
        <v>8687</v>
      </c>
      <c r="K261" s="2">
        <v>0.5</v>
      </c>
      <c r="L261" s="2">
        <v>2</v>
      </c>
      <c r="M261" s="2" t="s">
        <v>8680</v>
      </c>
      <c r="O261" s="2">
        <v>2009</v>
      </c>
      <c r="P261" s="2">
        <v>2009</v>
      </c>
      <c r="Q261" s="2" t="s">
        <v>8681</v>
      </c>
      <c r="S261" s="2">
        <v>5</v>
      </c>
      <c r="T261" s="2" t="s">
        <v>7142</v>
      </c>
    </row>
    <row r="262" spans="2:20">
      <c r="B262" s="2" t="s">
        <v>892</v>
      </c>
      <c r="C262" s="2" t="s">
        <v>6018</v>
      </c>
      <c r="D262" s="19" t="s">
        <v>8682</v>
      </c>
      <c r="E262" s="2">
        <v>0.5</v>
      </c>
      <c r="F262" s="2">
        <v>0</v>
      </c>
      <c r="G262" s="2">
        <v>500</v>
      </c>
      <c r="H262" s="2" t="s">
        <v>7143</v>
      </c>
      <c r="K262" s="2">
        <v>0.5</v>
      </c>
      <c r="L262" s="2">
        <v>1</v>
      </c>
      <c r="M262" s="2" t="s">
        <v>8680</v>
      </c>
      <c r="O262" s="2">
        <v>2017</v>
      </c>
      <c r="P262" s="2">
        <v>2017</v>
      </c>
      <c r="Q262" s="2" t="s">
        <v>8679</v>
      </c>
      <c r="S262" s="2">
        <v>20</v>
      </c>
      <c r="T262" s="2" t="s">
        <v>7143</v>
      </c>
    </row>
    <row r="263" spans="2:20">
      <c r="B263" s="2" t="s">
        <v>892</v>
      </c>
      <c r="C263" s="2" t="s">
        <v>6019</v>
      </c>
      <c r="D263" s="19" t="s">
        <v>8684</v>
      </c>
      <c r="E263" s="2">
        <v>0.5</v>
      </c>
      <c r="F263" s="2">
        <v>0</v>
      </c>
      <c r="G263" s="2">
        <v>500</v>
      </c>
      <c r="H263" s="2" t="s">
        <v>7143</v>
      </c>
      <c r="K263" s="2">
        <v>0.5</v>
      </c>
      <c r="L263" s="2">
        <v>1</v>
      </c>
      <c r="M263" s="2" t="s">
        <v>8680</v>
      </c>
      <c r="O263" s="2">
        <v>2017</v>
      </c>
      <c r="P263" s="2">
        <v>2017</v>
      </c>
      <c r="Q263" s="2" t="s">
        <v>8679</v>
      </c>
      <c r="S263" s="2">
        <v>20</v>
      </c>
      <c r="T263" s="2" t="s">
        <v>7143</v>
      </c>
    </row>
    <row r="264" spans="2:20">
      <c r="B264" s="2" t="s">
        <v>1331</v>
      </c>
      <c r="C264" s="2" t="s">
        <v>6020</v>
      </c>
      <c r="E264" s="2">
        <v>1</v>
      </c>
      <c r="G264" s="2">
        <v>1000</v>
      </c>
      <c r="H264" s="2" t="s">
        <v>7142</v>
      </c>
      <c r="I264" s="2" t="s">
        <v>8706</v>
      </c>
      <c r="J264" s="2" t="s">
        <v>6022</v>
      </c>
      <c r="K264" s="2">
        <v>1</v>
      </c>
      <c r="L264" s="2">
        <v>5</v>
      </c>
      <c r="M264" s="2" t="s">
        <v>8680</v>
      </c>
      <c r="O264" s="2">
        <v>1995</v>
      </c>
      <c r="P264" s="2">
        <v>2017</v>
      </c>
      <c r="Q264" s="2" t="s">
        <v>8679</v>
      </c>
      <c r="T264" s="2" t="s">
        <v>7142</v>
      </c>
    </row>
    <row r="265" spans="2:20">
      <c r="B265" s="2" t="s">
        <v>244</v>
      </c>
      <c r="C265" s="2" t="s">
        <v>6023</v>
      </c>
      <c r="D265" s="19" t="s">
        <v>8682</v>
      </c>
      <c r="E265" s="2">
        <v>0.9</v>
      </c>
      <c r="G265" s="2">
        <v>900</v>
      </c>
      <c r="H265" s="2" t="s">
        <v>7143</v>
      </c>
      <c r="K265" s="2">
        <v>0.9</v>
      </c>
      <c r="L265" s="2">
        <v>4</v>
      </c>
      <c r="M265" s="2" t="s">
        <v>8680</v>
      </c>
      <c r="O265" s="2">
        <v>2021</v>
      </c>
      <c r="P265" s="2">
        <v>2021</v>
      </c>
      <c r="Q265" s="2" t="s">
        <v>8679</v>
      </c>
      <c r="T265" s="2" t="s">
        <v>7142</v>
      </c>
    </row>
    <row r="266" spans="2:20">
      <c r="B266" s="2" t="s">
        <v>244</v>
      </c>
      <c r="C266" s="2" t="s">
        <v>6024</v>
      </c>
      <c r="D266" s="19" t="s">
        <v>8685</v>
      </c>
      <c r="E266" s="2">
        <v>0.15</v>
      </c>
      <c r="G266" s="2">
        <v>150</v>
      </c>
      <c r="H266" s="2" t="s">
        <v>7143</v>
      </c>
      <c r="K266" s="2">
        <v>0.15</v>
      </c>
      <c r="L266" s="2">
        <v>1</v>
      </c>
      <c r="M266" s="2" t="s">
        <v>8680</v>
      </c>
      <c r="O266" s="2">
        <v>2020</v>
      </c>
      <c r="P266" s="2">
        <v>2020</v>
      </c>
      <c r="Q266" s="2" t="s">
        <v>8679</v>
      </c>
      <c r="S266" s="2">
        <v>10</v>
      </c>
      <c r="T266" s="2" t="s">
        <v>7142</v>
      </c>
    </row>
    <row r="267" spans="2:20">
      <c r="B267" s="2" t="s">
        <v>244</v>
      </c>
      <c r="C267" s="2" t="s">
        <v>6025</v>
      </c>
      <c r="D267" s="19" t="s">
        <v>8699</v>
      </c>
      <c r="E267" s="2">
        <v>0.7</v>
      </c>
      <c r="G267" s="2">
        <v>700</v>
      </c>
      <c r="H267" s="2" t="s">
        <v>7143</v>
      </c>
      <c r="K267" s="2">
        <v>0.7</v>
      </c>
      <c r="L267" s="2">
        <v>3</v>
      </c>
      <c r="M267" s="2" t="s">
        <v>8680</v>
      </c>
      <c r="O267" s="2">
        <v>2020</v>
      </c>
      <c r="P267" s="2">
        <v>2020</v>
      </c>
      <c r="Q267" s="2" t="s">
        <v>8679</v>
      </c>
      <c r="S267" s="2">
        <v>10</v>
      </c>
      <c r="T267" s="2" t="s">
        <v>7142</v>
      </c>
    </row>
    <row r="268" spans="2:20">
      <c r="B268" s="2" t="s">
        <v>244</v>
      </c>
      <c r="C268" s="2" t="s">
        <v>6026</v>
      </c>
      <c r="D268" s="19" t="s">
        <v>8684</v>
      </c>
      <c r="E268" s="2">
        <v>2.2000000000000002</v>
      </c>
      <c r="G268" s="2">
        <v>2200</v>
      </c>
      <c r="H268" s="2" t="s">
        <v>7143</v>
      </c>
      <c r="K268" s="2">
        <v>0.5</v>
      </c>
      <c r="L268" s="2">
        <v>1.1000000000000001</v>
      </c>
      <c r="O268" s="2">
        <v>2023</v>
      </c>
      <c r="P268" s="2">
        <v>2023</v>
      </c>
      <c r="Q268" s="2" t="s">
        <v>8679</v>
      </c>
      <c r="S268" s="2">
        <v>10</v>
      </c>
      <c r="T268" s="2" t="s">
        <v>7142</v>
      </c>
    </row>
    <row r="269" spans="2:20">
      <c r="B269" s="2" t="s">
        <v>945</v>
      </c>
      <c r="C269" s="2" t="s">
        <v>6027</v>
      </c>
      <c r="D269" s="19" t="s">
        <v>8682</v>
      </c>
      <c r="E269" s="2">
        <v>1.1000000000000001</v>
      </c>
      <c r="F269" s="2">
        <v>0</v>
      </c>
      <c r="G269" s="2">
        <v>1300</v>
      </c>
      <c r="H269" s="2" t="s">
        <v>7143</v>
      </c>
      <c r="K269" s="2">
        <v>0.7</v>
      </c>
      <c r="L269" s="2">
        <v>1.2</v>
      </c>
      <c r="M269" s="2" t="s">
        <v>8678</v>
      </c>
      <c r="O269" s="2">
        <v>2015</v>
      </c>
      <c r="P269" s="2">
        <v>2025</v>
      </c>
      <c r="Q269" s="2" t="s">
        <v>8707</v>
      </c>
      <c r="R269" s="2" t="s">
        <v>6029</v>
      </c>
      <c r="S269" s="2">
        <v>6</v>
      </c>
      <c r="T269" s="2" t="s">
        <v>7143</v>
      </c>
    </row>
    <row r="270" spans="2:20">
      <c r="B270" s="2" t="s">
        <v>1971</v>
      </c>
      <c r="C270" s="2" t="s">
        <v>6030</v>
      </c>
      <c r="D270" s="2" t="s">
        <v>5731</v>
      </c>
      <c r="E270" s="2">
        <v>0.5</v>
      </c>
      <c r="G270" s="2">
        <v>500</v>
      </c>
      <c r="H270" s="2" t="s">
        <v>7142</v>
      </c>
      <c r="I270" s="2" t="s">
        <v>8698</v>
      </c>
      <c r="J270" s="2" t="s">
        <v>6031</v>
      </c>
      <c r="K270" s="2">
        <v>0.5</v>
      </c>
      <c r="L270" s="2">
        <v>1.1000000000000001</v>
      </c>
      <c r="M270" s="2" t="s">
        <v>8680</v>
      </c>
      <c r="O270" s="2">
        <v>2001</v>
      </c>
      <c r="P270" s="2">
        <v>2019</v>
      </c>
      <c r="Q270" s="2" t="s">
        <v>8679</v>
      </c>
      <c r="S270" s="2">
        <v>4</v>
      </c>
      <c r="T270" s="2" t="s">
        <v>7142</v>
      </c>
    </row>
    <row r="271" spans="2:20">
      <c r="B271" s="2" t="s">
        <v>1367</v>
      </c>
      <c r="C271" s="2" t="s">
        <v>6032</v>
      </c>
      <c r="E271" s="2">
        <v>0.6</v>
      </c>
      <c r="G271" s="2">
        <v>600</v>
      </c>
      <c r="H271" s="2" t="s">
        <v>7142</v>
      </c>
      <c r="I271" s="2" t="s">
        <v>8698</v>
      </c>
      <c r="J271" s="2" t="s">
        <v>6033</v>
      </c>
      <c r="K271" s="2">
        <v>0.6</v>
      </c>
      <c r="L271" s="2">
        <v>3</v>
      </c>
      <c r="M271" s="2" t="s">
        <v>8680</v>
      </c>
      <c r="O271" s="2">
        <v>2010</v>
      </c>
      <c r="Q271" s="2" t="s">
        <v>8679</v>
      </c>
      <c r="T271" s="2" t="s">
        <v>7142</v>
      </c>
    </row>
    <row r="272" spans="2:20">
      <c r="B272" s="2" t="s">
        <v>1367</v>
      </c>
      <c r="C272" s="2" t="s">
        <v>6034</v>
      </c>
      <c r="E272" s="2">
        <v>0.5</v>
      </c>
      <c r="H272" s="2" t="s">
        <v>7142</v>
      </c>
      <c r="I272" s="2" t="s">
        <v>8706</v>
      </c>
      <c r="J272" s="2" t="s">
        <v>6035</v>
      </c>
      <c r="K272" s="2">
        <v>0.5</v>
      </c>
      <c r="M272" s="2" t="s">
        <v>8680</v>
      </c>
      <c r="Q272" s="2" t="s">
        <v>8688</v>
      </c>
      <c r="T272" s="2" t="s">
        <v>7142</v>
      </c>
    </row>
    <row r="273" spans="2:20">
      <c r="B273" s="2" t="s">
        <v>2042</v>
      </c>
      <c r="C273" s="2" t="s">
        <v>6036</v>
      </c>
      <c r="D273" s="2" t="s">
        <v>5731</v>
      </c>
      <c r="E273" s="2">
        <v>0.6</v>
      </c>
      <c r="G273" s="2">
        <v>600</v>
      </c>
      <c r="H273" s="2" t="s">
        <v>7143</v>
      </c>
      <c r="K273" s="2">
        <v>0.6</v>
      </c>
      <c r="L273" s="2">
        <v>3</v>
      </c>
      <c r="M273" s="2" t="s">
        <v>8680</v>
      </c>
      <c r="O273" s="2">
        <v>2007</v>
      </c>
      <c r="P273" s="2">
        <v>2007</v>
      </c>
      <c r="Q273" s="2" t="s">
        <v>8681</v>
      </c>
      <c r="S273" s="2">
        <v>10</v>
      </c>
      <c r="T273" s="2" t="s">
        <v>7142</v>
      </c>
    </row>
    <row r="274" spans="2:20">
      <c r="B274" s="2" t="s">
        <v>234</v>
      </c>
      <c r="C274" s="2" t="s">
        <v>6037</v>
      </c>
      <c r="D274" s="19" t="s">
        <v>8682</v>
      </c>
      <c r="E274" s="2">
        <v>0.8</v>
      </c>
      <c r="G274" s="2">
        <v>800</v>
      </c>
      <c r="H274" s="2" t="s">
        <v>7143</v>
      </c>
      <c r="K274" s="2">
        <v>0.8</v>
      </c>
      <c r="L274" s="2">
        <v>0.7</v>
      </c>
      <c r="M274" s="2" t="s">
        <v>8680</v>
      </c>
      <c r="O274" s="2">
        <v>2006</v>
      </c>
      <c r="P274" s="2">
        <v>2006</v>
      </c>
      <c r="Q274" s="2" t="s">
        <v>8681</v>
      </c>
      <c r="S274" s="2">
        <v>6</v>
      </c>
      <c r="T274" s="2" t="s">
        <v>7143</v>
      </c>
    </row>
    <row r="275" spans="2:20">
      <c r="B275" s="2" t="s">
        <v>234</v>
      </c>
      <c r="C275" s="2" t="s">
        <v>6038</v>
      </c>
      <c r="D275" s="19" t="s">
        <v>8708</v>
      </c>
      <c r="E275" s="2">
        <v>0.25</v>
      </c>
      <c r="G275" s="2">
        <v>250</v>
      </c>
      <c r="H275" s="2" t="s">
        <v>7143</v>
      </c>
      <c r="K275" s="2">
        <v>0.25</v>
      </c>
      <c r="L275" s="2">
        <v>0.3</v>
      </c>
      <c r="M275" s="2" t="s">
        <v>8678</v>
      </c>
      <c r="O275" s="2">
        <v>2006</v>
      </c>
      <c r="P275" s="2">
        <v>2006</v>
      </c>
      <c r="Q275" s="2" t="s">
        <v>8681</v>
      </c>
      <c r="S275" s="2">
        <v>10</v>
      </c>
      <c r="T275" s="2" t="s">
        <v>7142</v>
      </c>
    </row>
    <row r="276" spans="2:20">
      <c r="B276" s="2" t="s">
        <v>234</v>
      </c>
      <c r="C276" s="2" t="s">
        <v>6039</v>
      </c>
      <c r="D276" s="19" t="s">
        <v>8684</v>
      </c>
      <c r="E276" s="2">
        <v>0.8</v>
      </c>
      <c r="G276" s="2">
        <v>800</v>
      </c>
      <c r="H276" s="2" t="s">
        <v>7142</v>
      </c>
      <c r="I276" s="2" t="s">
        <v>8690</v>
      </c>
      <c r="J276" s="2" t="s">
        <v>6040</v>
      </c>
      <c r="K276" s="2">
        <v>0.8</v>
      </c>
      <c r="L276" s="2">
        <v>0.4</v>
      </c>
      <c r="M276" s="2" t="s">
        <v>8678</v>
      </c>
      <c r="O276" s="2">
        <v>2023</v>
      </c>
      <c r="P276" s="2">
        <v>2023</v>
      </c>
      <c r="Q276" s="2" t="s">
        <v>8679</v>
      </c>
    </row>
    <row r="277" spans="2:20">
      <c r="B277" s="2" t="s">
        <v>234</v>
      </c>
      <c r="C277" s="2" t="s">
        <v>6041</v>
      </c>
      <c r="D277" s="19" t="s">
        <v>8685</v>
      </c>
      <c r="E277" s="2">
        <v>0.15</v>
      </c>
      <c r="G277" s="2">
        <v>150</v>
      </c>
      <c r="H277" s="2" t="s">
        <v>7143</v>
      </c>
      <c r="K277" s="2">
        <v>0.15</v>
      </c>
      <c r="L277" s="2">
        <v>0.2</v>
      </c>
      <c r="M277" s="2" t="s">
        <v>8680</v>
      </c>
      <c r="O277" s="2">
        <v>2006</v>
      </c>
      <c r="P277" s="2">
        <v>2006</v>
      </c>
      <c r="Q277" s="2" t="s">
        <v>8681</v>
      </c>
      <c r="S277" s="2">
        <v>8</v>
      </c>
      <c r="T277" s="2" t="s">
        <v>7142</v>
      </c>
    </row>
    <row r="278" spans="2:20">
      <c r="B278" s="2" t="s">
        <v>234</v>
      </c>
      <c r="C278" s="2" t="s">
        <v>6042</v>
      </c>
      <c r="D278" s="19" t="s">
        <v>8699</v>
      </c>
      <c r="E278" s="2">
        <v>0.4</v>
      </c>
      <c r="G278" s="2">
        <v>400</v>
      </c>
      <c r="H278" s="2" t="s">
        <v>7143</v>
      </c>
      <c r="K278" s="2">
        <v>0.4</v>
      </c>
      <c r="L278" s="2">
        <v>0.4</v>
      </c>
      <c r="M278" s="2" t="s">
        <v>8678</v>
      </c>
      <c r="O278" s="2">
        <v>2010</v>
      </c>
      <c r="P278" s="2">
        <v>2010</v>
      </c>
      <c r="Q278" s="2" t="s">
        <v>8679</v>
      </c>
      <c r="S278" s="2">
        <v>10</v>
      </c>
      <c r="T278" s="2" t="s">
        <v>7142</v>
      </c>
    </row>
    <row r="279" spans="2:20">
      <c r="B279" s="2" t="s">
        <v>1392</v>
      </c>
      <c r="C279" s="2" t="s">
        <v>6043</v>
      </c>
      <c r="E279" s="2">
        <v>0.5</v>
      </c>
      <c r="G279" s="2">
        <v>500</v>
      </c>
      <c r="H279" s="2" t="s">
        <v>7142</v>
      </c>
      <c r="I279" s="2" t="s">
        <v>8705</v>
      </c>
      <c r="J279" s="2" t="s">
        <v>5937</v>
      </c>
      <c r="K279" s="2">
        <v>0.5</v>
      </c>
      <c r="L279" s="2">
        <v>2.5</v>
      </c>
      <c r="M279" s="2" t="s">
        <v>8678</v>
      </c>
      <c r="Q279" s="2" t="s">
        <v>8679</v>
      </c>
      <c r="T279" s="2" t="s">
        <v>7142</v>
      </c>
    </row>
    <row r="280" spans="2:20">
      <c r="B280" s="2" t="s">
        <v>1392</v>
      </c>
      <c r="C280" s="2" t="s">
        <v>6044</v>
      </c>
      <c r="E280" s="2">
        <v>0.5</v>
      </c>
      <c r="G280" s="2">
        <v>400</v>
      </c>
      <c r="H280" s="2" t="s">
        <v>7142</v>
      </c>
      <c r="I280" s="2" t="s">
        <v>8705</v>
      </c>
      <c r="J280" s="2" t="s">
        <v>6045</v>
      </c>
      <c r="K280" s="2">
        <v>0.5</v>
      </c>
      <c r="L280" s="2">
        <v>2</v>
      </c>
      <c r="M280" s="2" t="s">
        <v>8678</v>
      </c>
      <c r="Q280" s="2" t="s">
        <v>8679</v>
      </c>
      <c r="T280" s="2" t="s">
        <v>7142</v>
      </c>
    </row>
    <row r="281" spans="2:20">
      <c r="B281" s="2" t="s">
        <v>1392</v>
      </c>
      <c r="C281" s="2" t="s">
        <v>6046</v>
      </c>
      <c r="E281" s="2">
        <v>1</v>
      </c>
      <c r="G281" s="2">
        <v>1000</v>
      </c>
      <c r="H281" s="2" t="s">
        <v>7142</v>
      </c>
      <c r="I281" s="2" t="s">
        <v>8705</v>
      </c>
      <c r="J281" s="2" t="s">
        <v>6045</v>
      </c>
      <c r="K281" s="2">
        <v>1</v>
      </c>
      <c r="L281" s="2">
        <v>5</v>
      </c>
      <c r="M281" s="2" t="s">
        <v>8680</v>
      </c>
      <c r="O281" s="2">
        <v>2010</v>
      </c>
      <c r="Q281" s="2" t="s">
        <v>8679</v>
      </c>
      <c r="T281" s="2" t="s">
        <v>7142</v>
      </c>
    </row>
    <row r="282" spans="2:20">
      <c r="B282" s="2" t="s">
        <v>1457</v>
      </c>
      <c r="C282" s="2" t="s">
        <v>6047</v>
      </c>
      <c r="D282" s="2" t="s">
        <v>6048</v>
      </c>
      <c r="E282" s="2">
        <v>3</v>
      </c>
      <c r="G282" s="2">
        <v>3000</v>
      </c>
      <c r="H282" s="2" t="s">
        <v>7142</v>
      </c>
      <c r="I282" s="2" t="s">
        <v>8698</v>
      </c>
      <c r="J282" s="2" t="s">
        <v>6045</v>
      </c>
      <c r="K282" s="2">
        <v>3</v>
      </c>
      <c r="L282" s="2">
        <v>8</v>
      </c>
      <c r="M282" s="2" t="s">
        <v>8680</v>
      </c>
      <c r="O282" s="2">
        <v>2010</v>
      </c>
      <c r="Q282" s="2" t="s">
        <v>8679</v>
      </c>
      <c r="T282" s="2" t="s">
        <v>7142</v>
      </c>
    </row>
    <row r="283" spans="2:20">
      <c r="B283" s="2" t="s">
        <v>1457</v>
      </c>
      <c r="C283" s="2" t="s">
        <v>6049</v>
      </c>
      <c r="E283" s="2">
        <v>1</v>
      </c>
      <c r="G283" s="2">
        <v>800</v>
      </c>
      <c r="H283" s="2" t="s">
        <v>7142</v>
      </c>
      <c r="I283" s="2" t="s">
        <v>8698</v>
      </c>
      <c r="J283" s="2" t="s">
        <v>5937</v>
      </c>
      <c r="K283" s="2">
        <v>1</v>
      </c>
      <c r="L283" s="2">
        <v>2</v>
      </c>
      <c r="M283" s="2" t="s">
        <v>8680</v>
      </c>
      <c r="O283" s="2">
        <v>2015</v>
      </c>
      <c r="Q283" s="2" t="s">
        <v>8679</v>
      </c>
      <c r="T283" s="2" t="s">
        <v>7142</v>
      </c>
    </row>
    <row r="284" spans="2:20">
      <c r="B284" s="2" t="s">
        <v>176</v>
      </c>
      <c r="C284" s="2" t="s">
        <v>6050</v>
      </c>
      <c r="D284" s="19" t="s">
        <v>8682</v>
      </c>
      <c r="E284" s="2">
        <v>0.15</v>
      </c>
      <c r="G284" s="2">
        <v>160</v>
      </c>
      <c r="H284" s="2" t="s">
        <v>7143</v>
      </c>
      <c r="K284" s="2">
        <v>0.15</v>
      </c>
      <c r="L284" s="2">
        <v>0.25</v>
      </c>
      <c r="M284" s="2" t="s">
        <v>8680</v>
      </c>
      <c r="O284" s="2">
        <v>2011</v>
      </c>
      <c r="P284" s="2">
        <v>2011</v>
      </c>
      <c r="S284" s="2">
        <v>10</v>
      </c>
      <c r="T284" s="2" t="s">
        <v>7142</v>
      </c>
    </row>
    <row r="285" spans="2:20">
      <c r="B285" s="2" t="s">
        <v>176</v>
      </c>
      <c r="C285" s="2" t="s">
        <v>6051</v>
      </c>
      <c r="D285" s="19" t="s">
        <v>8684</v>
      </c>
      <c r="E285" s="2">
        <v>0.45</v>
      </c>
      <c r="G285" s="2">
        <v>460</v>
      </c>
      <c r="H285" s="2" t="s">
        <v>7143</v>
      </c>
      <c r="K285" s="2">
        <v>0.46</v>
      </c>
      <c r="L285" s="2">
        <v>0.75</v>
      </c>
      <c r="M285" s="2" t="s">
        <v>8680</v>
      </c>
      <c r="O285" s="2">
        <v>2014</v>
      </c>
      <c r="P285" s="2">
        <v>2014</v>
      </c>
      <c r="Q285" s="2" t="s">
        <v>8679</v>
      </c>
      <c r="S285" s="2">
        <v>10</v>
      </c>
      <c r="T285" s="2" t="s">
        <v>7142</v>
      </c>
    </row>
    <row r="286" spans="2:20">
      <c r="B286" s="2" t="s">
        <v>2094</v>
      </c>
      <c r="C286" s="2" t="s">
        <v>6052</v>
      </c>
      <c r="D286" s="2" t="s">
        <v>5736</v>
      </c>
      <c r="E286" s="2">
        <v>0.4</v>
      </c>
      <c r="G286" s="2">
        <v>400</v>
      </c>
      <c r="H286" s="2" t="s">
        <v>7142</v>
      </c>
      <c r="I286" s="2" t="s">
        <v>8690</v>
      </c>
      <c r="J286" s="2" t="s">
        <v>6053</v>
      </c>
      <c r="K286" s="2">
        <v>0.4</v>
      </c>
      <c r="L286" s="2">
        <v>1.2</v>
      </c>
      <c r="M286" s="2" t="s">
        <v>8680</v>
      </c>
      <c r="O286" s="2">
        <v>2001</v>
      </c>
      <c r="P286" s="2">
        <v>2001</v>
      </c>
      <c r="Q286" s="2" t="s">
        <v>8681</v>
      </c>
      <c r="S286" s="2">
        <v>1</v>
      </c>
      <c r="T286" s="2" t="s">
        <v>7142</v>
      </c>
    </row>
    <row r="287" spans="2:20">
      <c r="B287" s="2" t="s">
        <v>2094</v>
      </c>
      <c r="C287" s="2" t="s">
        <v>6054</v>
      </c>
      <c r="D287" s="2" t="s">
        <v>5731</v>
      </c>
      <c r="E287" s="2">
        <v>0.37</v>
      </c>
      <c r="G287" s="2">
        <v>370</v>
      </c>
      <c r="H287" s="2" t="s">
        <v>7142</v>
      </c>
      <c r="I287" s="2" t="s">
        <v>8698</v>
      </c>
      <c r="J287" s="2" t="s">
        <v>6055</v>
      </c>
      <c r="K287" s="2">
        <v>0.37</v>
      </c>
      <c r="L287" s="2">
        <v>0.8</v>
      </c>
      <c r="M287" s="2" t="s">
        <v>8680</v>
      </c>
      <c r="O287" s="2">
        <v>2000</v>
      </c>
      <c r="P287" s="2">
        <v>2000</v>
      </c>
      <c r="Q287" s="2" t="s">
        <v>8681</v>
      </c>
      <c r="S287" s="2">
        <v>6</v>
      </c>
      <c r="T287" s="2" t="s">
        <v>7142</v>
      </c>
    </row>
    <row r="288" spans="2:20">
      <c r="B288" s="2" t="s">
        <v>2094</v>
      </c>
      <c r="C288" s="2" t="s">
        <v>6056</v>
      </c>
      <c r="D288" s="2" t="s">
        <v>5743</v>
      </c>
      <c r="E288" s="2">
        <v>0.5</v>
      </c>
      <c r="G288" s="2">
        <v>500</v>
      </c>
      <c r="H288" s="2" t="s">
        <v>7142</v>
      </c>
      <c r="I288" s="2" t="s">
        <v>8690</v>
      </c>
      <c r="J288" s="2" t="s">
        <v>6057</v>
      </c>
      <c r="K288" s="2">
        <v>0.5</v>
      </c>
      <c r="L288" s="2">
        <v>2</v>
      </c>
      <c r="M288" s="2" t="s">
        <v>8678</v>
      </c>
      <c r="O288" s="2">
        <v>2001</v>
      </c>
      <c r="P288" s="2">
        <v>2001</v>
      </c>
      <c r="Q288" s="2" t="s">
        <v>8681</v>
      </c>
      <c r="S288" s="2">
        <v>4</v>
      </c>
      <c r="T288" s="2" t="s">
        <v>7143</v>
      </c>
    </row>
    <row r="289" spans="2:20">
      <c r="B289" s="2" t="s">
        <v>1510</v>
      </c>
      <c r="C289" s="2" t="s">
        <v>6058</v>
      </c>
      <c r="E289" s="2">
        <v>1.3</v>
      </c>
      <c r="G289" s="2">
        <v>1100</v>
      </c>
      <c r="H289" s="2" t="s">
        <v>7142</v>
      </c>
      <c r="I289" s="2" t="s">
        <v>8696</v>
      </c>
      <c r="J289" s="2" t="s">
        <v>5937</v>
      </c>
      <c r="K289" s="2">
        <v>1.3</v>
      </c>
      <c r="L289" s="2">
        <v>5</v>
      </c>
      <c r="M289" s="2" t="s">
        <v>8680</v>
      </c>
      <c r="O289" s="2">
        <v>2010</v>
      </c>
      <c r="P289" s="2">
        <v>2019</v>
      </c>
      <c r="Q289" s="2" t="s">
        <v>8679</v>
      </c>
      <c r="T289" s="2" t="s">
        <v>7142</v>
      </c>
    </row>
    <row r="290" spans="2:20">
      <c r="B290" s="2" t="s">
        <v>1530</v>
      </c>
      <c r="C290" s="2" t="s">
        <v>6059</v>
      </c>
      <c r="E290" s="2">
        <v>0.5</v>
      </c>
      <c r="G290" s="2">
        <v>400</v>
      </c>
      <c r="H290" s="2" t="s">
        <v>7142</v>
      </c>
      <c r="I290" s="2" t="s">
        <v>8696</v>
      </c>
      <c r="J290" s="2" t="s">
        <v>5937</v>
      </c>
      <c r="K290" s="2">
        <v>0.5</v>
      </c>
      <c r="L290" s="2">
        <v>2</v>
      </c>
      <c r="M290" s="2" t="s">
        <v>8680</v>
      </c>
      <c r="P290" s="2">
        <v>2010</v>
      </c>
      <c r="Q290" s="2" t="s">
        <v>8679</v>
      </c>
      <c r="T290" s="2" t="s">
        <v>7142</v>
      </c>
    </row>
    <row r="291" spans="2:20">
      <c r="B291" s="2" t="s">
        <v>1530</v>
      </c>
      <c r="C291" s="2" t="s">
        <v>6060</v>
      </c>
      <c r="E291" s="2">
        <v>1</v>
      </c>
      <c r="G291" s="2">
        <v>1000</v>
      </c>
      <c r="H291" s="2" t="s">
        <v>7142</v>
      </c>
      <c r="I291" s="2" t="s">
        <v>8696</v>
      </c>
      <c r="J291" s="2" t="s">
        <v>2211</v>
      </c>
      <c r="K291" s="2">
        <v>1</v>
      </c>
      <c r="L291" s="2">
        <v>3.5</v>
      </c>
      <c r="M291" s="2" t="s">
        <v>8680</v>
      </c>
      <c r="Q291" s="2" t="s">
        <v>8679</v>
      </c>
      <c r="T291" s="2" t="s">
        <v>7142</v>
      </c>
    </row>
    <row r="292" spans="2:20">
      <c r="B292" s="2" t="s">
        <v>2171</v>
      </c>
      <c r="C292" s="2" t="s">
        <v>6061</v>
      </c>
      <c r="D292" s="2" t="s">
        <v>5736</v>
      </c>
      <c r="E292" s="2">
        <v>0.7</v>
      </c>
      <c r="G292" s="2">
        <v>750</v>
      </c>
      <c r="H292" s="2" t="s">
        <v>7142</v>
      </c>
      <c r="I292" s="2" t="s">
        <v>8690</v>
      </c>
      <c r="J292" s="2" t="s">
        <v>6057</v>
      </c>
      <c r="K292" s="2">
        <v>0.7</v>
      </c>
      <c r="L292" s="2">
        <v>2.5</v>
      </c>
      <c r="M292" s="2" t="s">
        <v>8680</v>
      </c>
      <c r="O292" s="2">
        <v>1996</v>
      </c>
      <c r="P292" s="2">
        <v>1996</v>
      </c>
      <c r="Q292" s="2" t="s">
        <v>8681</v>
      </c>
      <c r="S292" s="2">
        <v>3</v>
      </c>
      <c r="T292" s="2" t="s">
        <v>7142</v>
      </c>
    </row>
    <row r="293" spans="2:20">
      <c r="B293" s="2" t="s">
        <v>2171</v>
      </c>
      <c r="C293" s="2" t="s">
        <v>6062</v>
      </c>
      <c r="D293" s="2" t="s">
        <v>5731</v>
      </c>
      <c r="E293" s="2">
        <v>1</v>
      </c>
      <c r="G293" s="2">
        <v>1100</v>
      </c>
      <c r="H293" s="2" t="s">
        <v>7142</v>
      </c>
      <c r="I293" s="2" t="s">
        <v>8690</v>
      </c>
      <c r="J293" s="2" t="s">
        <v>1512</v>
      </c>
      <c r="K293" s="2">
        <v>1</v>
      </c>
      <c r="L293" s="2">
        <v>4</v>
      </c>
      <c r="M293" s="2" t="s">
        <v>8700</v>
      </c>
      <c r="O293" s="2">
        <v>1997</v>
      </c>
      <c r="P293" s="2">
        <v>1997</v>
      </c>
      <c r="Q293" s="2" t="s">
        <v>8681</v>
      </c>
      <c r="S293" s="2">
        <v>3</v>
      </c>
      <c r="T293" s="2" t="s">
        <v>7142</v>
      </c>
    </row>
    <row r="294" spans="2:20">
      <c r="B294" s="2" t="s">
        <v>2171</v>
      </c>
      <c r="C294" s="2" t="s">
        <v>6063</v>
      </c>
      <c r="D294" s="2" t="s">
        <v>5743</v>
      </c>
      <c r="E294" s="2">
        <v>0.5</v>
      </c>
      <c r="G294" s="2">
        <v>500</v>
      </c>
      <c r="H294" s="2" t="s">
        <v>7142</v>
      </c>
      <c r="I294" s="2" t="s">
        <v>8690</v>
      </c>
      <c r="J294" s="2" t="s">
        <v>6057</v>
      </c>
      <c r="K294" s="2">
        <v>0.5</v>
      </c>
      <c r="L294" s="2">
        <v>2.5</v>
      </c>
      <c r="M294" s="2" t="s">
        <v>8680</v>
      </c>
      <c r="O294" s="2">
        <v>1997</v>
      </c>
      <c r="P294" s="2">
        <v>1997</v>
      </c>
      <c r="Q294" s="2" t="s">
        <v>8681</v>
      </c>
      <c r="S294" s="2">
        <v>1</v>
      </c>
      <c r="T294" s="2" t="s">
        <v>7142</v>
      </c>
    </row>
    <row r="295" spans="2:20">
      <c r="B295" s="2" t="s">
        <v>1542</v>
      </c>
      <c r="C295" s="2" t="s">
        <v>6064</v>
      </c>
      <c r="E295" s="2">
        <v>1.1000000000000001</v>
      </c>
      <c r="G295" s="2">
        <v>1000</v>
      </c>
      <c r="H295" s="2" t="s">
        <v>7142</v>
      </c>
      <c r="I295" s="2" t="s">
        <v>8698</v>
      </c>
      <c r="J295" s="2" t="s">
        <v>5733</v>
      </c>
      <c r="K295" s="2">
        <v>1.1000000000000001</v>
      </c>
      <c r="L295" s="2">
        <v>4.5</v>
      </c>
      <c r="M295" s="2" t="s">
        <v>8680</v>
      </c>
      <c r="O295" s="2">
        <v>1996</v>
      </c>
      <c r="Q295" s="2" t="s">
        <v>8679</v>
      </c>
      <c r="T295" s="2" t="s">
        <v>7142</v>
      </c>
    </row>
    <row r="296" spans="2:20">
      <c r="B296" s="2" t="s">
        <v>1565</v>
      </c>
      <c r="C296" s="2" t="s">
        <v>6065</v>
      </c>
      <c r="E296" s="2">
        <v>1.5</v>
      </c>
      <c r="G296" s="2">
        <v>1000</v>
      </c>
      <c r="H296" s="2" t="s">
        <v>7142</v>
      </c>
      <c r="I296" s="2" t="s">
        <v>8698</v>
      </c>
      <c r="J296" s="2" t="s">
        <v>6066</v>
      </c>
      <c r="K296" s="2">
        <v>1.5</v>
      </c>
      <c r="L296" s="2">
        <v>4</v>
      </c>
      <c r="M296" s="2" t="s">
        <v>8680</v>
      </c>
      <c r="O296" s="2">
        <v>2010</v>
      </c>
      <c r="Q296" s="2" t="s">
        <v>8679</v>
      </c>
      <c r="T296" s="2" t="s">
        <v>7142</v>
      </c>
    </row>
    <row r="297" spans="2:20">
      <c r="B297" s="2" t="s">
        <v>1587</v>
      </c>
      <c r="C297" s="2" t="s">
        <v>6067</v>
      </c>
      <c r="E297" s="2">
        <v>0.5</v>
      </c>
      <c r="G297" s="2">
        <v>400</v>
      </c>
      <c r="H297" s="2" t="s">
        <v>7142</v>
      </c>
      <c r="I297" s="2" t="s">
        <v>8696</v>
      </c>
      <c r="J297" s="2" t="s">
        <v>6045</v>
      </c>
      <c r="L297" s="2">
        <v>2</v>
      </c>
      <c r="M297" s="2" t="s">
        <v>8680</v>
      </c>
      <c r="Q297" s="2" t="s">
        <v>8679</v>
      </c>
      <c r="T297" s="2" t="s">
        <v>7142</v>
      </c>
    </row>
    <row r="298" spans="2:20">
      <c r="B298" s="2" t="s">
        <v>1587</v>
      </c>
      <c r="C298" s="2" t="s">
        <v>6068</v>
      </c>
      <c r="E298" s="2">
        <v>0.6</v>
      </c>
      <c r="G298" s="2">
        <v>600</v>
      </c>
      <c r="H298" s="2" t="s">
        <v>7142</v>
      </c>
      <c r="I298" s="2" t="s">
        <v>8696</v>
      </c>
      <c r="J298" s="2" t="s">
        <v>5733</v>
      </c>
      <c r="K298" s="2">
        <v>0.6</v>
      </c>
      <c r="L298" s="2">
        <v>3</v>
      </c>
      <c r="M298" s="2" t="s">
        <v>8680</v>
      </c>
      <c r="O298" s="2">
        <v>2010</v>
      </c>
      <c r="Q298" s="2" t="s">
        <v>8679</v>
      </c>
      <c r="T298" s="2" t="s">
        <v>7142</v>
      </c>
    </row>
    <row r="299" spans="2:20">
      <c r="B299" s="2" t="s">
        <v>1632</v>
      </c>
      <c r="C299" s="2" t="s">
        <v>6069</v>
      </c>
      <c r="E299" s="2">
        <v>1.5</v>
      </c>
      <c r="G299" s="2">
        <v>1500</v>
      </c>
      <c r="H299" s="2" t="s">
        <v>7142</v>
      </c>
      <c r="I299" s="2" t="s">
        <v>8696</v>
      </c>
      <c r="J299" s="2" t="s">
        <v>5937</v>
      </c>
      <c r="K299" s="2">
        <v>1.5</v>
      </c>
      <c r="L299" s="2">
        <v>5</v>
      </c>
      <c r="O299" s="2">
        <v>2000</v>
      </c>
      <c r="P299" s="2">
        <v>2010</v>
      </c>
      <c r="Q299" s="2" t="s">
        <v>8679</v>
      </c>
      <c r="T299" s="2" t="s">
        <v>7142</v>
      </c>
    </row>
    <row r="300" spans="2:20">
      <c r="B300" s="2" t="s">
        <v>1640</v>
      </c>
      <c r="C300" s="2" t="s">
        <v>6070</v>
      </c>
      <c r="E300" s="2">
        <v>1</v>
      </c>
      <c r="G300" s="2">
        <v>100</v>
      </c>
      <c r="H300" s="2" t="s">
        <v>7142</v>
      </c>
      <c r="I300" s="2" t="s">
        <v>8696</v>
      </c>
      <c r="J300" s="2" t="s">
        <v>5733</v>
      </c>
      <c r="K300" s="2">
        <v>1</v>
      </c>
      <c r="L300" s="2">
        <v>5</v>
      </c>
      <c r="M300" s="2" t="s">
        <v>8680</v>
      </c>
      <c r="Q300" s="2" t="s">
        <v>8679</v>
      </c>
      <c r="T300" s="2" t="s">
        <v>7142</v>
      </c>
    </row>
    <row r="301" spans="2:20">
      <c r="B301" s="2" t="s">
        <v>1640</v>
      </c>
      <c r="C301" s="2" t="s">
        <v>6071</v>
      </c>
      <c r="E301" s="2">
        <v>0.5</v>
      </c>
      <c r="G301" s="2">
        <v>400</v>
      </c>
      <c r="H301" s="2" t="s">
        <v>7142</v>
      </c>
      <c r="I301" s="2" t="s">
        <v>8696</v>
      </c>
      <c r="J301" s="2" t="s">
        <v>6033</v>
      </c>
      <c r="K301" s="2">
        <v>0.5</v>
      </c>
      <c r="L301" s="2">
        <v>2.5</v>
      </c>
      <c r="M301" s="2" t="s">
        <v>8678</v>
      </c>
      <c r="Q301" s="2" t="s">
        <v>8689</v>
      </c>
      <c r="T301" s="2" t="s">
        <v>7142</v>
      </c>
    </row>
    <row r="302" spans="2:20">
      <c r="B302" s="2" t="s">
        <v>1643</v>
      </c>
      <c r="C302" s="2" t="s">
        <v>6072</v>
      </c>
      <c r="E302" s="2">
        <v>1</v>
      </c>
      <c r="G302" s="2">
        <v>1000</v>
      </c>
      <c r="H302" s="2" t="s">
        <v>7142</v>
      </c>
      <c r="I302" s="2" t="s">
        <v>8696</v>
      </c>
      <c r="J302" s="2" t="s">
        <v>6033</v>
      </c>
      <c r="K302" s="2">
        <v>1</v>
      </c>
      <c r="L302" s="2">
        <v>2.5</v>
      </c>
      <c r="M302" s="2" t="s">
        <v>8680</v>
      </c>
      <c r="O302" s="2">
        <v>1995</v>
      </c>
      <c r="P302" s="2">
        <v>2017</v>
      </c>
      <c r="Q302" s="2" t="s">
        <v>8679</v>
      </c>
      <c r="T302" s="2" t="s">
        <v>7142</v>
      </c>
    </row>
    <row r="303" spans="2:20">
      <c r="B303" s="2" t="s">
        <v>1658</v>
      </c>
      <c r="C303" s="2" t="s">
        <v>6073</v>
      </c>
      <c r="E303" s="2">
        <v>2.2999999999999998</v>
      </c>
      <c r="G303" s="2">
        <v>2300</v>
      </c>
      <c r="H303" s="2" t="s">
        <v>7142</v>
      </c>
      <c r="I303" s="2" t="s">
        <v>8696</v>
      </c>
      <c r="J303" s="2" t="s">
        <v>6022</v>
      </c>
      <c r="K303" s="2">
        <v>2.2999999999999998</v>
      </c>
      <c r="L303" s="2">
        <v>13</v>
      </c>
      <c r="M303" s="2" t="s">
        <v>8680</v>
      </c>
      <c r="O303" s="2">
        <v>1997</v>
      </c>
      <c r="P303" s="2">
        <v>2017</v>
      </c>
      <c r="Q303" s="2" t="s">
        <v>8679</v>
      </c>
      <c r="T303" s="2" t="s">
        <v>7142</v>
      </c>
    </row>
    <row r="304" spans="2:20">
      <c r="B304" s="2" t="s">
        <v>1661</v>
      </c>
      <c r="C304" s="2" t="s">
        <v>6074</v>
      </c>
      <c r="E304" s="2">
        <v>2</v>
      </c>
      <c r="G304" s="2">
        <v>2000</v>
      </c>
      <c r="H304" s="2" t="s">
        <v>7142</v>
      </c>
      <c r="I304" s="2" t="s">
        <v>8687</v>
      </c>
      <c r="K304" s="2">
        <v>2</v>
      </c>
      <c r="L304" s="2">
        <v>10</v>
      </c>
      <c r="M304" s="2" t="s">
        <v>8680</v>
      </c>
      <c r="O304" s="2">
        <v>2006</v>
      </c>
      <c r="P304" s="2">
        <v>2015</v>
      </c>
      <c r="Q304" s="2" t="s">
        <v>8679</v>
      </c>
      <c r="T304" s="2" t="s">
        <v>7142</v>
      </c>
    </row>
    <row r="305" spans="2:20">
      <c r="B305" s="2" t="s">
        <v>1661</v>
      </c>
      <c r="C305" s="2" t="s">
        <v>6075</v>
      </c>
      <c r="E305" s="2">
        <v>1</v>
      </c>
      <c r="G305" s="2">
        <v>1000</v>
      </c>
      <c r="H305" s="2" t="s">
        <v>7142</v>
      </c>
      <c r="I305" s="2" t="s">
        <v>8698</v>
      </c>
      <c r="J305" s="2" t="s">
        <v>5733</v>
      </c>
      <c r="K305" s="2">
        <v>1</v>
      </c>
      <c r="L305" s="2">
        <v>5</v>
      </c>
      <c r="M305" s="2" t="s">
        <v>8678</v>
      </c>
      <c r="O305" s="2">
        <v>2015</v>
      </c>
      <c r="Q305" s="2" t="s">
        <v>8679</v>
      </c>
      <c r="T305" s="2" t="s">
        <v>7142</v>
      </c>
    </row>
    <row r="306" spans="2:20">
      <c r="B306" s="2" t="s">
        <v>1661</v>
      </c>
      <c r="C306" s="2" t="s">
        <v>6076</v>
      </c>
      <c r="E306" s="2">
        <v>1</v>
      </c>
      <c r="G306" s="2">
        <v>1000</v>
      </c>
      <c r="H306" s="2" t="s">
        <v>7142</v>
      </c>
      <c r="I306" s="2" t="s">
        <v>8687</v>
      </c>
      <c r="K306" s="2">
        <v>1</v>
      </c>
      <c r="L306" s="2">
        <v>5</v>
      </c>
      <c r="M306" s="2" t="s">
        <v>8680</v>
      </c>
      <c r="O306" s="2">
        <v>2010</v>
      </c>
      <c r="Q306" s="2" t="s">
        <v>8679</v>
      </c>
      <c r="T306" s="2" t="s">
        <v>7142</v>
      </c>
    </row>
    <row r="307" spans="2:20">
      <c r="B307" s="2" t="s">
        <v>1679</v>
      </c>
      <c r="C307" s="2" t="s">
        <v>6077</v>
      </c>
      <c r="E307" s="2">
        <v>2</v>
      </c>
      <c r="G307" s="2">
        <v>2000</v>
      </c>
      <c r="H307" s="2" t="s">
        <v>7142</v>
      </c>
      <c r="I307" s="2" t="s">
        <v>8696</v>
      </c>
      <c r="J307" s="2" t="s">
        <v>6078</v>
      </c>
      <c r="K307" s="2">
        <v>2</v>
      </c>
      <c r="L307" s="2">
        <v>6</v>
      </c>
      <c r="M307" s="2" t="s">
        <v>8680</v>
      </c>
      <c r="Q307" s="2" t="s">
        <v>8679</v>
      </c>
      <c r="T307" s="2" t="s">
        <v>7142</v>
      </c>
    </row>
    <row r="308" spans="2:20">
      <c r="B308" s="2" t="s">
        <v>1697</v>
      </c>
      <c r="C308" s="2" t="s">
        <v>6079</v>
      </c>
      <c r="E308" s="2">
        <v>1.5</v>
      </c>
      <c r="G308" s="2">
        <v>1500</v>
      </c>
      <c r="H308" s="2" t="s">
        <v>7142</v>
      </c>
      <c r="I308" s="2" t="s">
        <v>8687</v>
      </c>
      <c r="K308" s="2">
        <v>1.5</v>
      </c>
      <c r="L308" s="2">
        <v>6</v>
      </c>
      <c r="M308" s="2" t="s">
        <v>8680</v>
      </c>
      <c r="O308" s="2">
        <v>1998</v>
      </c>
      <c r="Q308" s="2" t="s">
        <v>8679</v>
      </c>
      <c r="T308" s="2" t="s">
        <v>7142</v>
      </c>
    </row>
    <row r="309" spans="2:20">
      <c r="B309" s="2" t="s">
        <v>1707</v>
      </c>
      <c r="C309" s="2" t="s">
        <v>6080</v>
      </c>
      <c r="E309" s="2">
        <v>2</v>
      </c>
      <c r="G309" s="2">
        <v>2000</v>
      </c>
      <c r="H309" s="2" t="s">
        <v>7142</v>
      </c>
      <c r="I309" s="2" t="s">
        <v>8687</v>
      </c>
      <c r="K309" s="2">
        <v>2</v>
      </c>
      <c r="L309" s="2">
        <v>6</v>
      </c>
      <c r="M309" s="2" t="s">
        <v>8680</v>
      </c>
      <c r="O309" s="2">
        <v>1998</v>
      </c>
      <c r="Q309" s="2" t="s">
        <v>8679</v>
      </c>
      <c r="T309" s="2" t="s">
        <v>7142</v>
      </c>
    </row>
    <row r="310" spans="2:20">
      <c r="B310" s="2" t="s">
        <v>1707</v>
      </c>
      <c r="C310" s="2" t="s">
        <v>6081</v>
      </c>
      <c r="E310" s="2">
        <v>0.5</v>
      </c>
      <c r="G310" s="2">
        <v>500</v>
      </c>
      <c r="H310" s="2" t="s">
        <v>7142</v>
      </c>
      <c r="I310" s="2" t="s">
        <v>8687</v>
      </c>
      <c r="M310" s="2" t="s">
        <v>8678</v>
      </c>
      <c r="O310" s="2">
        <v>2024</v>
      </c>
      <c r="Q310" s="2" t="s">
        <v>8689</v>
      </c>
      <c r="T310" s="2" t="s">
        <v>7142</v>
      </c>
    </row>
    <row r="311" spans="2:20">
      <c r="B311" s="2" t="s">
        <v>1707</v>
      </c>
      <c r="C311" s="2" t="s">
        <v>6082</v>
      </c>
      <c r="E311" s="2">
        <v>0.2</v>
      </c>
      <c r="G311" s="2">
        <v>100</v>
      </c>
      <c r="H311" s="2" t="s">
        <v>7142</v>
      </c>
      <c r="I311" s="2" t="s">
        <v>8696</v>
      </c>
      <c r="J311" s="2" t="s">
        <v>8709</v>
      </c>
      <c r="K311" s="2">
        <v>0.1</v>
      </c>
      <c r="L311" s="2">
        <v>0.7</v>
      </c>
      <c r="M311" s="2" t="s">
        <v>8680</v>
      </c>
      <c r="O311" s="2">
        <v>1998</v>
      </c>
      <c r="Q311" s="2" t="s">
        <v>8679</v>
      </c>
      <c r="T311" s="2" t="s">
        <v>7142</v>
      </c>
    </row>
    <row r="312" spans="2:20">
      <c r="B312" s="2" t="s">
        <v>1725</v>
      </c>
      <c r="C312" s="2" t="s">
        <v>6084</v>
      </c>
      <c r="E312" s="2">
        <v>1</v>
      </c>
      <c r="G312" s="2">
        <v>900</v>
      </c>
      <c r="H312" s="2" t="s">
        <v>7142</v>
      </c>
      <c r="I312" s="2" t="s">
        <v>8687</v>
      </c>
      <c r="K312" s="2">
        <v>1</v>
      </c>
      <c r="L312" s="2">
        <v>4</v>
      </c>
      <c r="O312" s="2">
        <v>2014</v>
      </c>
      <c r="Q312" s="2" t="s">
        <v>8679</v>
      </c>
      <c r="T312" s="2" t="s">
        <v>7142</v>
      </c>
    </row>
    <row r="313" spans="2:20">
      <c r="B313" s="2" t="s">
        <v>1725</v>
      </c>
      <c r="C313" s="2" t="s">
        <v>6085</v>
      </c>
      <c r="E313" s="2">
        <v>1</v>
      </c>
      <c r="G313" s="2">
        <v>1000</v>
      </c>
      <c r="H313" s="2" t="s">
        <v>7142</v>
      </c>
      <c r="I313" s="2" t="s">
        <v>8687</v>
      </c>
      <c r="K313" s="2">
        <v>1</v>
      </c>
      <c r="L313" s="2">
        <v>5</v>
      </c>
      <c r="M313" s="2" t="s">
        <v>8680</v>
      </c>
      <c r="O313" s="2">
        <v>2006</v>
      </c>
      <c r="Q313" s="2" t="s">
        <v>8679</v>
      </c>
      <c r="T313" s="2" t="s">
        <v>7142</v>
      </c>
    </row>
    <row r="314" spans="2:20">
      <c r="B314" s="2" t="s">
        <v>1767</v>
      </c>
      <c r="C314" s="2" t="s">
        <v>6086</v>
      </c>
      <c r="E314" s="2">
        <v>1</v>
      </c>
      <c r="G314" s="2">
        <v>1000</v>
      </c>
      <c r="H314" s="2" t="s">
        <v>7142</v>
      </c>
      <c r="I314" s="2" t="s">
        <v>8687</v>
      </c>
      <c r="K314" s="2">
        <v>1</v>
      </c>
      <c r="L314" s="2">
        <v>5</v>
      </c>
      <c r="M314" s="2" t="s">
        <v>8680</v>
      </c>
      <c r="O314" s="2">
        <v>1997</v>
      </c>
      <c r="Q314" s="2" t="s">
        <v>8679</v>
      </c>
      <c r="T314" s="2" t="s">
        <v>7142</v>
      </c>
    </row>
    <row r="315" spans="2:20">
      <c r="B315" s="2" t="s">
        <v>1767</v>
      </c>
      <c r="C315" s="2" t="s">
        <v>6087</v>
      </c>
      <c r="E315" s="2">
        <v>1</v>
      </c>
      <c r="G315" s="2">
        <v>1000</v>
      </c>
      <c r="H315" s="2" t="s">
        <v>7142</v>
      </c>
      <c r="I315" s="2" t="s">
        <v>8687</v>
      </c>
      <c r="K315" s="2">
        <v>1</v>
      </c>
      <c r="L315" s="2">
        <v>4</v>
      </c>
      <c r="M315" s="2" t="s">
        <v>8700</v>
      </c>
      <c r="O315" s="2">
        <v>1997</v>
      </c>
      <c r="Q315" s="2" t="s">
        <v>8679</v>
      </c>
      <c r="T315" s="2" t="s">
        <v>7142</v>
      </c>
    </row>
    <row r="316" spans="2:20">
      <c r="B316" s="2" t="s">
        <v>1773</v>
      </c>
      <c r="C316" s="2" t="s">
        <v>6088</v>
      </c>
      <c r="E316" s="2">
        <v>1.5</v>
      </c>
      <c r="G316" s="2">
        <v>1500</v>
      </c>
      <c r="H316" s="2" t="s">
        <v>7143</v>
      </c>
      <c r="K316" s="2">
        <v>1.5</v>
      </c>
      <c r="L316" s="2">
        <v>6</v>
      </c>
      <c r="M316" s="2" t="s">
        <v>8680</v>
      </c>
      <c r="O316" s="2">
        <v>1997</v>
      </c>
      <c r="Q316" s="2" t="s">
        <v>8679</v>
      </c>
      <c r="T316" s="2" t="s">
        <v>7142</v>
      </c>
    </row>
    <row r="317" spans="2:20">
      <c r="B317" s="2" t="s">
        <v>1813</v>
      </c>
      <c r="C317" s="2" t="s">
        <v>6089</v>
      </c>
      <c r="E317" s="2">
        <v>0.5</v>
      </c>
      <c r="G317" s="2">
        <v>500</v>
      </c>
      <c r="H317" s="2" t="s">
        <v>7143</v>
      </c>
      <c r="K317" s="2">
        <v>0.5</v>
      </c>
      <c r="L317" s="2">
        <v>2.5</v>
      </c>
      <c r="M317" s="2" t="s">
        <v>8700</v>
      </c>
      <c r="O317" s="2">
        <v>1997</v>
      </c>
      <c r="Q317" s="2" t="s">
        <v>8679</v>
      </c>
      <c r="T317" s="2" t="s">
        <v>7142</v>
      </c>
    </row>
    <row r="318" spans="2:20">
      <c r="B318" s="2" t="s">
        <v>1813</v>
      </c>
      <c r="C318" s="2" t="s">
        <v>6090</v>
      </c>
      <c r="E318" s="2">
        <v>1.5</v>
      </c>
      <c r="G318" s="2">
        <v>1500</v>
      </c>
      <c r="H318" s="2" t="s">
        <v>7142</v>
      </c>
      <c r="I318" s="2" t="s">
        <v>8687</v>
      </c>
      <c r="K318" s="2">
        <v>1.5</v>
      </c>
      <c r="L318" s="2">
        <v>7</v>
      </c>
      <c r="M318" s="2" t="s">
        <v>8680</v>
      </c>
      <c r="O318" s="2">
        <v>1997</v>
      </c>
      <c r="Q318" s="2" t="s">
        <v>8679</v>
      </c>
      <c r="T318" s="2" t="s">
        <v>7142</v>
      </c>
    </row>
    <row r="319" spans="2:20">
      <c r="B319" s="2" t="s">
        <v>1841</v>
      </c>
      <c r="C319" s="2" t="s">
        <v>6091</v>
      </c>
      <c r="E319" s="2">
        <v>1</v>
      </c>
      <c r="G319" s="2">
        <v>100</v>
      </c>
      <c r="H319" s="2" t="s">
        <v>7142</v>
      </c>
      <c r="I319" s="2" t="s">
        <v>8687</v>
      </c>
      <c r="K319" s="2">
        <v>1</v>
      </c>
      <c r="L319" s="2">
        <v>5</v>
      </c>
      <c r="M319" s="2" t="s">
        <v>8680</v>
      </c>
      <c r="O319" s="2">
        <v>1998</v>
      </c>
      <c r="Q319" s="2" t="s">
        <v>8679</v>
      </c>
      <c r="T319" s="2" t="s">
        <v>7142</v>
      </c>
    </row>
    <row r="320" spans="2:20">
      <c r="B320" s="2" t="s">
        <v>1841</v>
      </c>
      <c r="C320" s="2" t="s">
        <v>6092</v>
      </c>
      <c r="E320" s="2">
        <v>1</v>
      </c>
      <c r="G320" s="2">
        <v>1000</v>
      </c>
      <c r="H320" s="2" t="s">
        <v>7142</v>
      </c>
      <c r="I320" s="2" t="s">
        <v>8687</v>
      </c>
      <c r="K320" s="2">
        <v>1</v>
      </c>
      <c r="L320" s="2">
        <v>4</v>
      </c>
      <c r="M320" s="2" t="s">
        <v>8700</v>
      </c>
      <c r="O320" s="2">
        <v>1998</v>
      </c>
      <c r="P320" s="2">
        <v>2018</v>
      </c>
      <c r="Q320" s="2" t="s">
        <v>8679</v>
      </c>
      <c r="T320" s="2" t="s">
        <v>7142</v>
      </c>
    </row>
    <row r="321" spans="2:20">
      <c r="B321" s="2" t="s">
        <v>1841</v>
      </c>
      <c r="C321" s="2" t="s">
        <v>6093</v>
      </c>
      <c r="E321" s="2">
        <v>1</v>
      </c>
      <c r="G321" s="2">
        <v>100</v>
      </c>
      <c r="H321" s="2" t="s">
        <v>7142</v>
      </c>
      <c r="I321" s="2" t="s">
        <v>8687</v>
      </c>
      <c r="K321" s="2">
        <v>1</v>
      </c>
      <c r="L321" s="2">
        <v>5</v>
      </c>
      <c r="M321" s="2" t="s">
        <v>8680</v>
      </c>
      <c r="Q321" s="2" t="s">
        <v>8679</v>
      </c>
      <c r="T321" s="2" t="s">
        <v>7142</v>
      </c>
    </row>
    <row r="322" spans="2:20">
      <c r="B322" s="2" t="s">
        <v>1841</v>
      </c>
      <c r="C322" s="2" t="s">
        <v>6094</v>
      </c>
      <c r="E322" s="2">
        <v>0.5</v>
      </c>
      <c r="G322" s="2">
        <v>500</v>
      </c>
      <c r="H322" s="2" t="s">
        <v>7142</v>
      </c>
      <c r="I322" s="2" t="s">
        <v>8687</v>
      </c>
      <c r="K322" s="2">
        <v>0.5</v>
      </c>
      <c r="L322" s="2">
        <v>2.5</v>
      </c>
      <c r="M322" s="2" t="s">
        <v>8700</v>
      </c>
      <c r="O322" s="2">
        <v>1998</v>
      </c>
      <c r="P322" s="2">
        <v>2015</v>
      </c>
      <c r="Q322" s="2" t="s">
        <v>8679</v>
      </c>
      <c r="T322" s="2" t="s">
        <v>7142</v>
      </c>
    </row>
    <row r="323" spans="2:20">
      <c r="B323" s="2" t="s">
        <v>1874</v>
      </c>
      <c r="C323" s="2" t="s">
        <v>6095</v>
      </c>
      <c r="E323" s="2">
        <v>0.5</v>
      </c>
      <c r="G323" s="2">
        <v>500</v>
      </c>
      <c r="H323" s="2" t="s">
        <v>7142</v>
      </c>
      <c r="I323" s="2" t="s">
        <v>8687</v>
      </c>
      <c r="K323" s="2">
        <v>0.5</v>
      </c>
      <c r="L323" s="2">
        <v>2.5</v>
      </c>
      <c r="M323" s="2" t="s">
        <v>8700</v>
      </c>
      <c r="O323" s="2">
        <v>1997</v>
      </c>
      <c r="P323" s="2">
        <v>2009</v>
      </c>
      <c r="Q323" s="2" t="s">
        <v>8679</v>
      </c>
      <c r="T323" s="2" t="s">
        <v>7142</v>
      </c>
    </row>
    <row r="324" spans="2:20">
      <c r="B324" s="2" t="s">
        <v>1874</v>
      </c>
      <c r="C324" s="2" t="s">
        <v>6096</v>
      </c>
      <c r="E324" s="2">
        <v>1.5</v>
      </c>
      <c r="G324" s="2">
        <v>1500</v>
      </c>
      <c r="H324" s="2" t="s">
        <v>7142</v>
      </c>
      <c r="I324" s="2" t="s">
        <v>8698</v>
      </c>
      <c r="J324" s="2" t="s">
        <v>6078</v>
      </c>
      <c r="K324" s="2">
        <v>1.5</v>
      </c>
      <c r="L324" s="2">
        <v>7.5</v>
      </c>
      <c r="M324" s="2" t="s">
        <v>8680</v>
      </c>
      <c r="O324" s="2">
        <v>2005</v>
      </c>
      <c r="Q324" s="2" t="s">
        <v>8679</v>
      </c>
      <c r="T324" s="2" t="s">
        <v>7142</v>
      </c>
    </row>
    <row r="325" spans="2:20">
      <c r="B325" s="2" t="s">
        <v>1902</v>
      </c>
      <c r="C325" s="2" t="s">
        <v>6097</v>
      </c>
      <c r="E325" s="2">
        <v>2</v>
      </c>
      <c r="G325" s="2">
        <v>2000</v>
      </c>
      <c r="H325" s="2" t="s">
        <v>7142</v>
      </c>
      <c r="I325" s="2" t="s">
        <v>8687</v>
      </c>
      <c r="L325" s="2">
        <v>10</v>
      </c>
      <c r="M325" s="2" t="s">
        <v>8680</v>
      </c>
      <c r="Q325" s="2" t="s">
        <v>8679</v>
      </c>
      <c r="T325" s="2" t="s">
        <v>7142</v>
      </c>
    </row>
    <row r="326" spans="2:20">
      <c r="B326" s="2" t="s">
        <v>1932</v>
      </c>
      <c r="C326" s="2" t="s">
        <v>6098</v>
      </c>
      <c r="E326" s="2">
        <v>0.5</v>
      </c>
      <c r="G326" s="2">
        <v>500</v>
      </c>
      <c r="H326" s="2" t="s">
        <v>7142</v>
      </c>
      <c r="I326" s="2" t="s">
        <v>8687</v>
      </c>
      <c r="K326" s="2">
        <v>0.5</v>
      </c>
      <c r="L326" s="2">
        <v>2.5</v>
      </c>
      <c r="M326" s="2" t="s">
        <v>8700</v>
      </c>
      <c r="O326" s="2">
        <v>1995</v>
      </c>
      <c r="P326" s="2">
        <v>2017</v>
      </c>
      <c r="Q326" s="2" t="s">
        <v>8679</v>
      </c>
      <c r="T326" s="2" t="s">
        <v>7142</v>
      </c>
    </row>
    <row r="327" spans="2:20">
      <c r="B327" s="2" t="s">
        <v>1932</v>
      </c>
      <c r="C327" s="2" t="s">
        <v>6099</v>
      </c>
      <c r="E327" s="2">
        <v>1.5</v>
      </c>
      <c r="G327" s="2">
        <v>1500</v>
      </c>
      <c r="H327" s="2" t="s">
        <v>7142</v>
      </c>
      <c r="I327" s="2" t="s">
        <v>8698</v>
      </c>
      <c r="J327" s="2" t="s">
        <v>5733</v>
      </c>
      <c r="K327" s="2">
        <v>1.5</v>
      </c>
      <c r="L327" s="2">
        <v>7.5</v>
      </c>
      <c r="M327" s="2" t="s">
        <v>8680</v>
      </c>
      <c r="O327" s="2">
        <v>2005</v>
      </c>
      <c r="Q327" s="2" t="s">
        <v>8679</v>
      </c>
      <c r="T327" s="2" t="s">
        <v>7142</v>
      </c>
    </row>
    <row r="328" spans="2:20">
      <c r="B328" s="2" t="s">
        <v>1989</v>
      </c>
      <c r="C328" s="2" t="s">
        <v>6100</v>
      </c>
      <c r="E328" s="2">
        <v>0.5</v>
      </c>
      <c r="G328" s="2">
        <v>400</v>
      </c>
      <c r="H328" s="2" t="s">
        <v>7142</v>
      </c>
      <c r="I328" s="2" t="s">
        <v>8696</v>
      </c>
      <c r="J328" s="2" t="s">
        <v>2093</v>
      </c>
      <c r="K328" s="2">
        <v>0.5</v>
      </c>
      <c r="L328" s="2">
        <v>1</v>
      </c>
      <c r="M328" s="2" t="s">
        <v>8678</v>
      </c>
      <c r="O328" s="2">
        <v>2024</v>
      </c>
      <c r="Q328" s="2" t="s">
        <v>8683</v>
      </c>
      <c r="T328" s="2" t="s">
        <v>7142</v>
      </c>
    </row>
    <row r="329" spans="2:20">
      <c r="B329" s="2" t="s">
        <v>1989</v>
      </c>
      <c r="C329" s="2" t="s">
        <v>6101</v>
      </c>
      <c r="E329" s="2">
        <v>1.8</v>
      </c>
      <c r="G329" s="2">
        <v>1700</v>
      </c>
      <c r="H329" s="2" t="s">
        <v>7142</v>
      </c>
      <c r="I329" s="2" t="s">
        <v>8696</v>
      </c>
      <c r="J329" s="2" t="s">
        <v>6102</v>
      </c>
      <c r="K329" s="2">
        <v>1.8</v>
      </c>
      <c r="L329" s="2">
        <v>9</v>
      </c>
      <c r="M329" s="2" t="s">
        <v>8680</v>
      </c>
      <c r="O329" s="2">
        <v>2007</v>
      </c>
      <c r="Q329" s="2" t="s">
        <v>8679</v>
      </c>
      <c r="T329" s="2" t="s">
        <v>7142</v>
      </c>
    </row>
    <row r="330" spans="2:20">
      <c r="B330" s="2" t="s">
        <v>2030</v>
      </c>
      <c r="C330" s="2" t="s">
        <v>6103</v>
      </c>
      <c r="E330" s="2">
        <v>1.5</v>
      </c>
      <c r="G330" s="2">
        <v>1500</v>
      </c>
      <c r="H330" s="2" t="s">
        <v>7142</v>
      </c>
      <c r="I330" s="2" t="s">
        <v>8698</v>
      </c>
      <c r="J330" s="2" t="s">
        <v>5733</v>
      </c>
      <c r="K330" s="2">
        <v>1.5</v>
      </c>
      <c r="L330" s="2">
        <v>7</v>
      </c>
      <c r="M330" s="2" t="s">
        <v>8680</v>
      </c>
      <c r="O330" s="2">
        <v>1999</v>
      </c>
      <c r="P330" s="2">
        <v>2022</v>
      </c>
      <c r="Q330" s="2" t="s">
        <v>8679</v>
      </c>
      <c r="T330" s="2" t="s">
        <v>7142</v>
      </c>
    </row>
    <row r="331" spans="2:20">
      <c r="B331" s="2" t="s">
        <v>2195</v>
      </c>
      <c r="C331" s="2" t="s">
        <v>6104</v>
      </c>
      <c r="D331" s="2" t="s">
        <v>5736</v>
      </c>
      <c r="E331" s="2">
        <v>0.6</v>
      </c>
      <c r="G331" s="2">
        <v>600</v>
      </c>
      <c r="H331" s="2" t="s">
        <v>7143</v>
      </c>
      <c r="K331" s="2">
        <v>0.6</v>
      </c>
      <c r="L331" s="2">
        <v>2</v>
      </c>
      <c r="M331" s="2" t="s">
        <v>8680</v>
      </c>
      <c r="O331" s="2">
        <v>1996</v>
      </c>
      <c r="P331" s="2">
        <v>1996</v>
      </c>
      <c r="Q331" s="2" t="s">
        <v>8681</v>
      </c>
      <c r="S331" s="2">
        <v>20</v>
      </c>
      <c r="T331" s="2" t="s">
        <v>7142</v>
      </c>
    </row>
    <row r="332" spans="2:20">
      <c r="B332" s="2" t="s">
        <v>2195</v>
      </c>
      <c r="C332" s="2" t="s">
        <v>6105</v>
      </c>
      <c r="D332" s="2" t="s">
        <v>5743</v>
      </c>
      <c r="E332" s="2">
        <v>0.35</v>
      </c>
      <c r="G332" s="2">
        <v>350</v>
      </c>
      <c r="H332" s="2" t="s">
        <v>7143</v>
      </c>
      <c r="K332" s="2">
        <v>0.35</v>
      </c>
      <c r="L332" s="2">
        <v>1.5</v>
      </c>
      <c r="M332" s="2" t="s">
        <v>8680</v>
      </c>
      <c r="O332" s="2">
        <v>1996</v>
      </c>
      <c r="P332" s="2">
        <v>1996</v>
      </c>
      <c r="Q332" s="2" t="s">
        <v>8681</v>
      </c>
      <c r="S332" s="2">
        <v>20</v>
      </c>
      <c r="T332" s="2" t="s">
        <v>7142</v>
      </c>
    </row>
    <row r="333" spans="2:20">
      <c r="B333" s="2" t="s">
        <v>2195</v>
      </c>
      <c r="C333" s="2" t="s">
        <v>6106</v>
      </c>
      <c r="D333" s="2" t="s">
        <v>5731</v>
      </c>
      <c r="E333" s="2">
        <v>0.96</v>
      </c>
      <c r="G333" s="2">
        <v>960</v>
      </c>
      <c r="H333" s="2" t="s">
        <v>7142</v>
      </c>
      <c r="I333" s="2" t="s">
        <v>8698</v>
      </c>
      <c r="J333" s="2" t="s">
        <v>5733</v>
      </c>
      <c r="K333" s="2">
        <v>0.96</v>
      </c>
      <c r="L333" s="2">
        <v>3</v>
      </c>
      <c r="M333" s="2" t="s">
        <v>8680</v>
      </c>
      <c r="O333" s="2">
        <v>1996</v>
      </c>
      <c r="P333" s="2">
        <v>1996</v>
      </c>
      <c r="Q333" s="2" t="s">
        <v>8681</v>
      </c>
      <c r="S333" s="2">
        <v>18</v>
      </c>
      <c r="T333" s="2" t="s">
        <v>7142</v>
      </c>
    </row>
    <row r="334" spans="2:20">
      <c r="B334" s="2" t="s">
        <v>2063</v>
      </c>
      <c r="C334" s="2" t="s">
        <v>6107</v>
      </c>
      <c r="D334" s="2" t="s">
        <v>6108</v>
      </c>
      <c r="E334" s="2">
        <v>0.4</v>
      </c>
      <c r="G334" s="2">
        <v>300</v>
      </c>
      <c r="H334" s="2" t="s">
        <v>7142</v>
      </c>
      <c r="I334" s="2" t="s">
        <v>8698</v>
      </c>
      <c r="J334" s="2" t="s">
        <v>6102</v>
      </c>
      <c r="K334" s="2">
        <v>0.5</v>
      </c>
      <c r="L334" s="2">
        <v>0.4</v>
      </c>
      <c r="M334" s="2" t="s">
        <v>8680</v>
      </c>
      <c r="O334" s="2">
        <v>2023</v>
      </c>
      <c r="Q334" s="2" t="s">
        <v>8683</v>
      </c>
      <c r="T334" s="2" t="s">
        <v>7142</v>
      </c>
    </row>
    <row r="335" spans="2:20">
      <c r="B335" s="2" t="s">
        <v>2063</v>
      </c>
      <c r="C335" s="2" t="s">
        <v>6109</v>
      </c>
      <c r="E335" s="2">
        <v>1.5</v>
      </c>
      <c r="G335" s="2">
        <v>900</v>
      </c>
      <c r="H335" s="2" t="s">
        <v>7142</v>
      </c>
      <c r="I335" s="2" t="s">
        <v>8696</v>
      </c>
      <c r="J335" s="2" t="s">
        <v>5733</v>
      </c>
      <c r="K335" s="2">
        <v>1.3</v>
      </c>
      <c r="L335" s="2">
        <v>4.5999999999999996</v>
      </c>
      <c r="M335" s="2" t="s">
        <v>8680</v>
      </c>
      <c r="O335" s="2">
        <v>2019</v>
      </c>
      <c r="Q335" s="2" t="s">
        <v>8679</v>
      </c>
      <c r="T335" s="2" t="s">
        <v>7142</v>
      </c>
    </row>
    <row r="336" spans="2:20">
      <c r="B336" s="2" t="s">
        <v>2079</v>
      </c>
      <c r="C336" s="2" t="s">
        <v>6110</v>
      </c>
      <c r="E336" s="2">
        <v>2.5</v>
      </c>
      <c r="G336" s="2">
        <v>2500</v>
      </c>
      <c r="H336" s="2" t="s">
        <v>7142</v>
      </c>
      <c r="I336" s="2" t="s">
        <v>8698</v>
      </c>
      <c r="J336" s="2" t="s">
        <v>5733</v>
      </c>
      <c r="K336" s="2">
        <v>2.5</v>
      </c>
      <c r="L336" s="2">
        <v>3.5</v>
      </c>
      <c r="M336" s="2" t="s">
        <v>8680</v>
      </c>
      <c r="O336" s="2">
        <v>2019</v>
      </c>
      <c r="Q336" s="2" t="s">
        <v>8679</v>
      </c>
      <c r="T336" s="2" t="s">
        <v>7142</v>
      </c>
    </row>
    <row r="337" spans="2:20">
      <c r="B337" s="2" t="s">
        <v>2079</v>
      </c>
      <c r="C337" s="2" t="s">
        <v>6111</v>
      </c>
      <c r="E337" s="2">
        <v>1</v>
      </c>
      <c r="G337" s="2">
        <v>1000</v>
      </c>
      <c r="H337" s="2" t="s">
        <v>7142</v>
      </c>
      <c r="I337" s="2" t="s">
        <v>8690</v>
      </c>
      <c r="J337" s="2" t="s">
        <v>2469</v>
      </c>
      <c r="M337" s="2" t="s">
        <v>8678</v>
      </c>
      <c r="O337" s="2">
        <v>2025</v>
      </c>
      <c r="Q337" s="2" t="s">
        <v>8683</v>
      </c>
      <c r="T337" s="2" t="s">
        <v>7142</v>
      </c>
    </row>
    <row r="338" spans="2:20">
      <c r="B338" s="2" t="s">
        <v>2234</v>
      </c>
      <c r="C338" s="2" t="s">
        <v>6112</v>
      </c>
      <c r="D338" s="2" t="s">
        <v>5736</v>
      </c>
      <c r="E338" s="2">
        <v>0.8</v>
      </c>
      <c r="G338" s="2">
        <v>800</v>
      </c>
      <c r="H338" s="2" t="s">
        <v>7142</v>
      </c>
      <c r="I338" s="2" t="s">
        <v>8690</v>
      </c>
      <c r="J338" s="2" t="s">
        <v>6113</v>
      </c>
      <c r="L338" s="2">
        <v>0</v>
      </c>
      <c r="M338" s="2" t="s">
        <v>8680</v>
      </c>
      <c r="O338" s="2">
        <v>1998</v>
      </c>
      <c r="P338" s="2">
        <v>2025</v>
      </c>
      <c r="Q338" s="2" t="s">
        <v>8679</v>
      </c>
      <c r="S338" s="2">
        <v>2</v>
      </c>
      <c r="T338" s="2" t="s">
        <v>7142</v>
      </c>
    </row>
    <row r="339" spans="2:20">
      <c r="B339" s="2" t="s">
        <v>2234</v>
      </c>
      <c r="C339" s="2" t="s">
        <v>6114</v>
      </c>
      <c r="D339" s="2" t="s">
        <v>5731</v>
      </c>
      <c r="E339" s="2">
        <v>1</v>
      </c>
      <c r="G339" s="2">
        <v>1100</v>
      </c>
      <c r="H339" s="2" t="s">
        <v>7142</v>
      </c>
      <c r="I339" s="2" t="s">
        <v>8690</v>
      </c>
      <c r="J339" s="2" t="s">
        <v>1187</v>
      </c>
      <c r="K339" s="2">
        <v>1</v>
      </c>
      <c r="L339" s="2">
        <v>3</v>
      </c>
      <c r="M339" s="2" t="s">
        <v>8680</v>
      </c>
      <c r="O339" s="2">
        <v>1997</v>
      </c>
      <c r="P339" s="2">
        <v>2023</v>
      </c>
      <c r="Q339" s="2" t="s">
        <v>8679</v>
      </c>
      <c r="S339" s="2">
        <v>2</v>
      </c>
      <c r="T339" s="2" t="s">
        <v>7142</v>
      </c>
    </row>
    <row r="340" spans="2:20">
      <c r="B340" s="2" t="s">
        <v>2090</v>
      </c>
      <c r="C340" s="2" t="s">
        <v>6115</v>
      </c>
      <c r="D340" s="2" t="s">
        <v>6116</v>
      </c>
      <c r="E340" s="2">
        <v>1</v>
      </c>
      <c r="G340" s="2">
        <v>1000</v>
      </c>
      <c r="H340" s="2" t="s">
        <v>7142</v>
      </c>
      <c r="I340" s="2" t="s">
        <v>8698</v>
      </c>
      <c r="J340" s="2" t="s">
        <v>5733</v>
      </c>
      <c r="K340" s="2">
        <v>1</v>
      </c>
      <c r="L340" s="2">
        <v>3.5</v>
      </c>
      <c r="M340" s="2" t="s">
        <v>8680</v>
      </c>
      <c r="O340" s="2">
        <v>2016</v>
      </c>
      <c r="Q340" s="2" t="s">
        <v>8679</v>
      </c>
      <c r="T340" s="2" t="s">
        <v>7142</v>
      </c>
    </row>
    <row r="341" spans="2:20">
      <c r="B341" s="2" t="s">
        <v>2090</v>
      </c>
      <c r="C341" s="2" t="s">
        <v>6117</v>
      </c>
      <c r="D341" s="2" t="s">
        <v>6118</v>
      </c>
      <c r="E341" s="2">
        <v>1</v>
      </c>
      <c r="G341" s="2">
        <v>1000</v>
      </c>
      <c r="H341" s="2" t="s">
        <v>7142</v>
      </c>
      <c r="I341" s="2" t="s">
        <v>8690</v>
      </c>
      <c r="J341" s="2" t="s">
        <v>2469</v>
      </c>
      <c r="M341" s="2" t="s">
        <v>8678</v>
      </c>
      <c r="O341" s="2">
        <v>2025</v>
      </c>
      <c r="Q341" s="2" t="s">
        <v>8683</v>
      </c>
      <c r="T341" s="2" t="s">
        <v>7142</v>
      </c>
    </row>
    <row r="342" spans="2:20">
      <c r="B342" s="2" t="s">
        <v>2120</v>
      </c>
      <c r="C342" s="2" t="s">
        <v>6119</v>
      </c>
      <c r="E342" s="2">
        <v>1.2</v>
      </c>
      <c r="G342" s="2">
        <v>1000</v>
      </c>
      <c r="H342" s="2" t="s">
        <v>7142</v>
      </c>
      <c r="I342" s="2" t="s">
        <v>8706</v>
      </c>
      <c r="J342" s="2" t="s">
        <v>6120</v>
      </c>
      <c r="K342" s="2">
        <v>1.2</v>
      </c>
      <c r="L342" s="2">
        <v>3</v>
      </c>
      <c r="M342" s="2" t="s">
        <v>8680</v>
      </c>
      <c r="P342" s="2">
        <v>1996</v>
      </c>
      <c r="Q342" s="2" t="s">
        <v>8679</v>
      </c>
      <c r="T342" s="2" t="s">
        <v>7142</v>
      </c>
    </row>
    <row r="343" spans="2:20">
      <c r="B343" s="2" t="s">
        <v>2120</v>
      </c>
      <c r="C343" s="2" t="s">
        <v>6121</v>
      </c>
      <c r="E343" s="2">
        <v>1</v>
      </c>
      <c r="G343" s="2">
        <v>1000</v>
      </c>
      <c r="H343" s="2" t="s">
        <v>7142</v>
      </c>
      <c r="I343" s="2" t="s">
        <v>8706</v>
      </c>
      <c r="J343" s="2" t="s">
        <v>6122</v>
      </c>
      <c r="K343" s="2">
        <v>1</v>
      </c>
      <c r="L343" s="2">
        <v>3</v>
      </c>
      <c r="M343" s="2" t="s">
        <v>8678</v>
      </c>
      <c r="O343" s="2">
        <v>2021</v>
      </c>
      <c r="Q343" s="2" t="s">
        <v>8679</v>
      </c>
      <c r="T343" s="2" t="s">
        <v>7142</v>
      </c>
    </row>
    <row r="344" spans="2:20">
      <c r="B344" s="2" t="s">
        <v>2209</v>
      </c>
      <c r="C344" s="2" t="s">
        <v>6123</v>
      </c>
      <c r="E344" s="2">
        <v>1</v>
      </c>
      <c r="G344" s="2">
        <v>1000</v>
      </c>
      <c r="H344" s="2" t="s">
        <v>7142</v>
      </c>
      <c r="I344" s="2" t="s">
        <v>8698</v>
      </c>
      <c r="J344" s="2" t="s">
        <v>6033</v>
      </c>
      <c r="K344" s="2">
        <v>1</v>
      </c>
      <c r="L344" s="2">
        <v>3.5</v>
      </c>
      <c r="M344" s="2" t="s">
        <v>8680</v>
      </c>
      <c r="O344" s="2">
        <v>2000</v>
      </c>
      <c r="Q344" s="2" t="s">
        <v>8679</v>
      </c>
      <c r="T344" s="2" t="s">
        <v>7142</v>
      </c>
    </row>
    <row r="345" spans="2:20">
      <c r="B345" s="2" t="s">
        <v>2228</v>
      </c>
      <c r="C345" s="2" t="s">
        <v>6124</v>
      </c>
      <c r="E345" s="2">
        <v>4</v>
      </c>
      <c r="G345" s="2">
        <v>3200</v>
      </c>
      <c r="H345" s="2" t="s">
        <v>7142</v>
      </c>
      <c r="I345" s="2" t="s">
        <v>8706</v>
      </c>
      <c r="J345" s="2" t="s">
        <v>6045</v>
      </c>
      <c r="K345" s="2">
        <v>4</v>
      </c>
      <c r="L345" s="2">
        <v>12</v>
      </c>
      <c r="M345" s="2" t="s">
        <v>8680</v>
      </c>
      <c r="O345" s="2">
        <v>1995</v>
      </c>
      <c r="P345" s="2">
        <v>2022</v>
      </c>
      <c r="Q345" s="2" t="s">
        <v>8679</v>
      </c>
      <c r="T345" s="2" t="s">
        <v>7142</v>
      </c>
    </row>
    <row r="346" spans="2:20">
      <c r="B346" s="2" t="s">
        <v>2313</v>
      </c>
      <c r="C346" s="2" t="s">
        <v>6125</v>
      </c>
      <c r="E346" s="2">
        <v>0.8</v>
      </c>
      <c r="G346" s="2">
        <v>800</v>
      </c>
      <c r="H346" s="2" t="s">
        <v>7143</v>
      </c>
      <c r="K346" s="2">
        <v>0.8</v>
      </c>
      <c r="L346" s="2">
        <v>2</v>
      </c>
      <c r="M346" s="2" t="s">
        <v>8680</v>
      </c>
      <c r="Q346" s="2" t="s">
        <v>8679</v>
      </c>
      <c r="T346" s="2" t="s">
        <v>7142</v>
      </c>
    </row>
    <row r="347" spans="2:20">
      <c r="B347" s="2" t="s">
        <v>2263</v>
      </c>
      <c r="C347" s="2" t="s">
        <v>6126</v>
      </c>
      <c r="D347" s="2" t="s">
        <v>5731</v>
      </c>
      <c r="E347" s="2">
        <v>1</v>
      </c>
      <c r="G347" s="2">
        <v>1100</v>
      </c>
      <c r="H347" s="2" t="s">
        <v>7142</v>
      </c>
      <c r="I347" s="2" t="s">
        <v>8690</v>
      </c>
      <c r="J347" s="2" t="s">
        <v>5733</v>
      </c>
      <c r="K347" s="2">
        <v>1</v>
      </c>
      <c r="L347" s="2">
        <v>3</v>
      </c>
      <c r="M347" s="2" t="s">
        <v>8680</v>
      </c>
      <c r="O347" s="2">
        <v>1996</v>
      </c>
      <c r="P347" s="2">
        <v>1996</v>
      </c>
      <c r="Q347" s="2" t="s">
        <v>8681</v>
      </c>
      <c r="S347" s="2">
        <v>5</v>
      </c>
      <c r="T347" s="2" t="s">
        <v>7142</v>
      </c>
    </row>
    <row r="348" spans="2:20">
      <c r="B348" s="2" t="s">
        <v>2263</v>
      </c>
      <c r="C348" s="2" t="s">
        <v>6127</v>
      </c>
      <c r="D348" s="2" t="s">
        <v>5736</v>
      </c>
      <c r="E348" s="2">
        <v>1</v>
      </c>
      <c r="G348" s="2">
        <v>1100</v>
      </c>
      <c r="H348" s="2" t="s">
        <v>7142</v>
      </c>
      <c r="I348" s="2" t="s">
        <v>8690</v>
      </c>
      <c r="J348" s="2" t="s">
        <v>1187</v>
      </c>
      <c r="K348" s="2">
        <v>1</v>
      </c>
      <c r="L348" s="2">
        <v>3</v>
      </c>
      <c r="M348" s="2" t="s">
        <v>8680</v>
      </c>
      <c r="O348" s="2">
        <v>1996</v>
      </c>
      <c r="P348" s="2">
        <v>1996</v>
      </c>
      <c r="Q348" s="2" t="s">
        <v>8681</v>
      </c>
      <c r="S348" s="2">
        <v>5</v>
      </c>
      <c r="T348" s="2" t="s">
        <v>7142</v>
      </c>
    </row>
    <row r="349" spans="2:20">
      <c r="B349" s="2" t="s">
        <v>2325</v>
      </c>
      <c r="C349" s="2" t="s">
        <v>6128</v>
      </c>
      <c r="E349" s="2">
        <v>0.8</v>
      </c>
      <c r="G349" s="2">
        <v>600</v>
      </c>
      <c r="H349" s="2" t="s">
        <v>7142</v>
      </c>
      <c r="I349" s="2" t="s">
        <v>8687</v>
      </c>
      <c r="K349" s="2">
        <v>0.8</v>
      </c>
      <c r="L349" s="2">
        <v>2</v>
      </c>
      <c r="M349" s="2" t="s">
        <v>8680</v>
      </c>
      <c r="O349" s="2">
        <v>2016</v>
      </c>
      <c r="Q349" s="2" t="s">
        <v>8679</v>
      </c>
      <c r="T349" s="2" t="s">
        <v>7142</v>
      </c>
    </row>
    <row r="350" spans="2:20">
      <c r="B350" s="2" t="s">
        <v>2351</v>
      </c>
      <c r="C350" s="2" t="s">
        <v>6129</v>
      </c>
      <c r="E350" s="2">
        <v>1</v>
      </c>
      <c r="G350" s="2">
        <v>1000</v>
      </c>
      <c r="H350" s="2" t="s">
        <v>7142</v>
      </c>
      <c r="I350" s="2" t="s">
        <v>8687</v>
      </c>
      <c r="K350" s="2">
        <v>1</v>
      </c>
      <c r="L350" s="2">
        <v>0.9</v>
      </c>
      <c r="M350" s="2" t="s">
        <v>8680</v>
      </c>
      <c r="O350" s="2">
        <v>2021</v>
      </c>
      <c r="Q350" s="2" t="s">
        <v>8679</v>
      </c>
      <c r="T350" s="2" t="s">
        <v>7142</v>
      </c>
    </row>
    <row r="351" spans="2:20">
      <c r="B351" s="2" t="s">
        <v>2285</v>
      </c>
      <c r="C351" s="2" t="s">
        <v>6130</v>
      </c>
      <c r="D351" s="2" t="s">
        <v>5736</v>
      </c>
      <c r="E351" s="2">
        <v>0.4</v>
      </c>
      <c r="G351" s="2">
        <v>400</v>
      </c>
      <c r="H351" s="2" t="s">
        <v>7143</v>
      </c>
      <c r="K351" s="2">
        <v>0.4</v>
      </c>
      <c r="L351" s="2">
        <v>1.2</v>
      </c>
      <c r="M351" s="2" t="s">
        <v>8678</v>
      </c>
      <c r="O351" s="2">
        <v>2014</v>
      </c>
      <c r="P351" s="2">
        <v>2019</v>
      </c>
      <c r="Q351" s="2" t="s">
        <v>8679</v>
      </c>
      <c r="S351" s="2">
        <v>6</v>
      </c>
      <c r="T351" s="2" t="s">
        <v>7143</v>
      </c>
    </row>
    <row r="352" spans="2:20">
      <c r="B352" s="2" t="s">
        <v>2285</v>
      </c>
      <c r="C352" s="2" t="s">
        <v>6131</v>
      </c>
      <c r="D352" s="2" t="s">
        <v>5731</v>
      </c>
      <c r="E352" s="2">
        <v>0.8</v>
      </c>
      <c r="G352" s="2">
        <v>800</v>
      </c>
      <c r="H352" s="2" t="s">
        <v>7142</v>
      </c>
      <c r="I352" s="2" t="s">
        <v>8690</v>
      </c>
      <c r="J352" s="2" t="s">
        <v>5733</v>
      </c>
      <c r="K352" s="2">
        <v>0.8</v>
      </c>
      <c r="L352" s="2">
        <v>2.5</v>
      </c>
      <c r="M352" s="2" t="s">
        <v>8680</v>
      </c>
      <c r="O352" s="2">
        <v>2013</v>
      </c>
      <c r="P352" s="2">
        <v>2013</v>
      </c>
      <c r="Q352" s="2" t="s">
        <v>8681</v>
      </c>
      <c r="S352" s="2">
        <v>7</v>
      </c>
      <c r="T352" s="2" t="s">
        <v>7142</v>
      </c>
    </row>
    <row r="353" spans="2:20">
      <c r="B353" s="2" t="s">
        <v>2285</v>
      </c>
      <c r="C353" s="2" t="s">
        <v>6132</v>
      </c>
      <c r="D353" s="2" t="s">
        <v>5743</v>
      </c>
      <c r="E353" s="2">
        <v>0.4</v>
      </c>
      <c r="G353" s="2">
        <v>400</v>
      </c>
      <c r="H353" s="2" t="s">
        <v>7143</v>
      </c>
      <c r="K353" s="2">
        <v>0.4</v>
      </c>
      <c r="L353" s="2">
        <v>1</v>
      </c>
      <c r="M353" s="2" t="s">
        <v>8678</v>
      </c>
      <c r="O353" s="2">
        <v>2013</v>
      </c>
      <c r="P353" s="2">
        <v>2019</v>
      </c>
      <c r="Q353" s="2" t="s">
        <v>8679</v>
      </c>
      <c r="S353" s="2">
        <v>5</v>
      </c>
      <c r="T353" s="2" t="s">
        <v>7143</v>
      </c>
    </row>
    <row r="354" spans="2:20">
      <c r="B354" s="2" t="s">
        <v>2388</v>
      </c>
      <c r="C354" s="2" t="s">
        <v>6133</v>
      </c>
      <c r="E354" s="2">
        <v>1</v>
      </c>
      <c r="G354" s="2">
        <v>1000</v>
      </c>
      <c r="H354" s="2" t="s">
        <v>7142</v>
      </c>
      <c r="I354" s="2" t="s">
        <v>8687</v>
      </c>
      <c r="K354" s="2">
        <v>1</v>
      </c>
      <c r="L354" s="2">
        <v>1</v>
      </c>
      <c r="M354" s="2" t="s">
        <v>8680</v>
      </c>
      <c r="O354" s="2">
        <v>2010</v>
      </c>
      <c r="Q354" s="2" t="s">
        <v>8703</v>
      </c>
      <c r="T354" s="2" t="s">
        <v>7142</v>
      </c>
    </row>
    <row r="355" spans="2:20">
      <c r="B355" s="2" t="s">
        <v>2306</v>
      </c>
      <c r="C355" s="2" t="s">
        <v>6134</v>
      </c>
      <c r="D355" s="2" t="s">
        <v>5736</v>
      </c>
      <c r="E355" s="2">
        <v>0.3</v>
      </c>
      <c r="G355" s="2">
        <v>300</v>
      </c>
      <c r="H355" s="2" t="s">
        <v>7143</v>
      </c>
      <c r="M355" s="2" t="s">
        <v>8678</v>
      </c>
      <c r="O355" s="2">
        <v>2017</v>
      </c>
      <c r="P355" s="2">
        <v>2025</v>
      </c>
      <c r="Q355" s="2" t="s">
        <v>8679</v>
      </c>
      <c r="S355" s="2">
        <v>5</v>
      </c>
      <c r="T355" s="2" t="s">
        <v>7143</v>
      </c>
    </row>
    <row r="356" spans="2:20">
      <c r="B356" s="2" t="s">
        <v>2306</v>
      </c>
      <c r="C356" s="2" t="s">
        <v>6135</v>
      </c>
      <c r="D356" s="2" t="s">
        <v>5731</v>
      </c>
      <c r="E356" s="2">
        <v>0.5</v>
      </c>
      <c r="G356" s="2">
        <v>500</v>
      </c>
      <c r="H356" s="2" t="s">
        <v>7143</v>
      </c>
      <c r="K356" s="2">
        <v>0.5</v>
      </c>
      <c r="L356" s="2">
        <v>1.5</v>
      </c>
      <c r="M356" s="2" t="s">
        <v>8678</v>
      </c>
      <c r="O356" s="2">
        <v>2017</v>
      </c>
      <c r="P356" s="2">
        <v>2017</v>
      </c>
      <c r="Q356" s="2" t="s">
        <v>8681</v>
      </c>
      <c r="S356" s="2">
        <v>12</v>
      </c>
      <c r="T356" s="2" t="s">
        <v>7143</v>
      </c>
    </row>
    <row r="357" spans="2:20">
      <c r="B357" s="2" t="s">
        <v>2441</v>
      </c>
      <c r="C357" s="2" t="s">
        <v>6136</v>
      </c>
      <c r="E357" s="2">
        <v>0.6</v>
      </c>
      <c r="G357" s="2">
        <v>500</v>
      </c>
      <c r="H357" s="2" t="s">
        <v>7142</v>
      </c>
      <c r="I357" s="2" t="s">
        <v>8698</v>
      </c>
      <c r="J357" s="2" t="s">
        <v>5937</v>
      </c>
      <c r="K357" s="2">
        <v>0.6</v>
      </c>
      <c r="L357" s="2">
        <v>2.5</v>
      </c>
      <c r="M357" s="2" t="s">
        <v>8680</v>
      </c>
      <c r="O357" s="2">
        <v>2012</v>
      </c>
      <c r="P357" s="2">
        <v>2017</v>
      </c>
      <c r="Q357" s="2" t="s">
        <v>8679</v>
      </c>
      <c r="T357" s="2" t="s">
        <v>7142</v>
      </c>
    </row>
    <row r="358" spans="2:20">
      <c r="B358" s="2" t="s">
        <v>2458</v>
      </c>
      <c r="C358" s="2" t="s">
        <v>6137</v>
      </c>
      <c r="E358" s="2">
        <v>2</v>
      </c>
      <c r="G358" s="2">
        <v>2000</v>
      </c>
      <c r="H358" s="2" t="s">
        <v>7142</v>
      </c>
      <c r="I358" s="2" t="s">
        <v>8698</v>
      </c>
      <c r="J358" s="2" t="s">
        <v>5937</v>
      </c>
      <c r="K358" s="2">
        <v>2</v>
      </c>
      <c r="L358" s="2">
        <v>10</v>
      </c>
      <c r="M358" s="2" t="s">
        <v>8680</v>
      </c>
      <c r="Q358" s="2" t="s">
        <v>8679</v>
      </c>
      <c r="T358" s="2" t="s">
        <v>7142</v>
      </c>
    </row>
    <row r="359" spans="2:20">
      <c r="B359" s="2" t="s">
        <v>2334</v>
      </c>
      <c r="C359" s="2" t="s">
        <v>6138</v>
      </c>
      <c r="D359" s="2" t="s">
        <v>5736</v>
      </c>
      <c r="E359" s="2">
        <v>0.2</v>
      </c>
      <c r="G359" s="2">
        <v>200</v>
      </c>
      <c r="H359" s="2" t="s">
        <v>7143</v>
      </c>
      <c r="K359" s="2">
        <v>0.2</v>
      </c>
      <c r="L359" s="2">
        <v>0.4</v>
      </c>
      <c r="M359" s="2" t="s">
        <v>8680</v>
      </c>
      <c r="O359" s="2">
        <v>2018</v>
      </c>
      <c r="P359" s="2">
        <v>2018</v>
      </c>
      <c r="Q359" s="2" t="s">
        <v>8681</v>
      </c>
      <c r="S359" s="2">
        <v>6</v>
      </c>
      <c r="T359" s="2" t="s">
        <v>7143</v>
      </c>
    </row>
    <row r="360" spans="2:20">
      <c r="B360" s="2" t="s">
        <v>2334</v>
      </c>
      <c r="C360" s="2" t="s">
        <v>6139</v>
      </c>
      <c r="D360" s="2" t="s">
        <v>5731</v>
      </c>
      <c r="E360" s="2">
        <v>0.3</v>
      </c>
      <c r="G360" s="2">
        <v>300</v>
      </c>
      <c r="H360" s="2" t="s">
        <v>7143</v>
      </c>
      <c r="K360" s="2">
        <v>0.3</v>
      </c>
      <c r="L360" s="2">
        <v>0.6</v>
      </c>
      <c r="M360" s="2" t="s">
        <v>8680</v>
      </c>
      <c r="O360" s="2">
        <v>2018</v>
      </c>
      <c r="P360" s="2">
        <v>2018</v>
      </c>
      <c r="Q360" s="2" t="s">
        <v>8681</v>
      </c>
      <c r="S360" s="2">
        <v>6</v>
      </c>
      <c r="T360" s="2" t="s">
        <v>7142</v>
      </c>
    </row>
    <row r="361" spans="2:20">
      <c r="B361" s="2" t="s">
        <v>2334</v>
      </c>
      <c r="C361" s="2" t="s">
        <v>6140</v>
      </c>
      <c r="D361" s="2" t="s">
        <v>5758</v>
      </c>
      <c r="E361" s="2">
        <v>0.2</v>
      </c>
      <c r="G361" s="2">
        <v>200</v>
      </c>
      <c r="H361" s="2" t="s">
        <v>7143</v>
      </c>
      <c r="K361" s="2">
        <v>0.2</v>
      </c>
      <c r="L361" s="2">
        <v>0.4</v>
      </c>
      <c r="M361" s="2" t="s">
        <v>8680</v>
      </c>
      <c r="O361" s="2">
        <v>2020</v>
      </c>
      <c r="P361" s="2">
        <v>2020</v>
      </c>
      <c r="Q361" s="2" t="s">
        <v>8681</v>
      </c>
      <c r="S361" s="2">
        <v>5</v>
      </c>
      <c r="T361" s="2" t="s">
        <v>7143</v>
      </c>
    </row>
    <row r="362" spans="2:20">
      <c r="B362" s="2" t="s">
        <v>2334</v>
      </c>
      <c r="C362" s="2" t="s">
        <v>6141</v>
      </c>
      <c r="D362" s="2" t="s">
        <v>5743</v>
      </c>
      <c r="E362" s="2">
        <v>0.3</v>
      </c>
      <c r="G362" s="2">
        <v>300</v>
      </c>
      <c r="H362" s="2" t="s">
        <v>7143</v>
      </c>
      <c r="K362" s="2">
        <v>0.3</v>
      </c>
      <c r="L362" s="2">
        <v>0.6</v>
      </c>
      <c r="M362" s="2" t="s">
        <v>8680</v>
      </c>
      <c r="O362" s="2">
        <v>2019</v>
      </c>
      <c r="P362" s="2">
        <v>2019</v>
      </c>
      <c r="Q362" s="2" t="s">
        <v>8681</v>
      </c>
      <c r="S362" s="2">
        <v>6</v>
      </c>
      <c r="T362" s="2" t="s">
        <v>7142</v>
      </c>
    </row>
    <row r="363" spans="2:20">
      <c r="B363" s="2" t="s">
        <v>2466</v>
      </c>
      <c r="C363" s="2" t="s">
        <v>6142</v>
      </c>
      <c r="E363" s="2">
        <v>1</v>
      </c>
      <c r="G363" s="2">
        <v>1000</v>
      </c>
      <c r="H363" s="2" t="s">
        <v>7142</v>
      </c>
      <c r="I363" s="2" t="s">
        <v>8698</v>
      </c>
      <c r="J363" s="2" t="s">
        <v>5733</v>
      </c>
      <c r="K363" s="2">
        <v>1</v>
      </c>
      <c r="L363" s="2">
        <v>3.5</v>
      </c>
      <c r="M363" s="2" t="s">
        <v>8680</v>
      </c>
      <c r="P363" s="2">
        <v>2012</v>
      </c>
      <c r="Q363" s="2" t="s">
        <v>8679</v>
      </c>
      <c r="T363" s="2" t="s">
        <v>7142</v>
      </c>
    </row>
    <row r="364" spans="2:20">
      <c r="B364" s="2" t="s">
        <v>2466</v>
      </c>
      <c r="C364" s="2" t="s">
        <v>6143</v>
      </c>
      <c r="E364" s="2">
        <v>0.5</v>
      </c>
      <c r="G364" s="2">
        <v>500</v>
      </c>
      <c r="H364" s="2" t="s">
        <v>7142</v>
      </c>
      <c r="I364" s="2" t="s">
        <v>8698</v>
      </c>
      <c r="J364" s="2" t="s">
        <v>6144</v>
      </c>
      <c r="K364" s="2">
        <v>0.5</v>
      </c>
      <c r="L364" s="2">
        <v>1.5</v>
      </c>
      <c r="M364" s="2" t="s">
        <v>8678</v>
      </c>
      <c r="O364" s="2">
        <v>2014</v>
      </c>
      <c r="Q364" s="2" t="s">
        <v>8683</v>
      </c>
      <c r="T364" s="2" t="s">
        <v>7142</v>
      </c>
    </row>
    <row r="365" spans="2:20">
      <c r="B365" s="2" t="s">
        <v>2475</v>
      </c>
      <c r="C365" s="2" t="s">
        <v>6145</v>
      </c>
      <c r="E365" s="2">
        <v>1.5</v>
      </c>
      <c r="G365" s="2">
        <v>1500</v>
      </c>
      <c r="H365" s="2" t="s">
        <v>7142</v>
      </c>
      <c r="I365" s="2" t="s">
        <v>8698</v>
      </c>
      <c r="J365" s="2" t="s">
        <v>5937</v>
      </c>
      <c r="K365" s="2">
        <v>1.5</v>
      </c>
      <c r="L365" s="2">
        <v>4.5</v>
      </c>
      <c r="M365" s="2" t="s">
        <v>8680</v>
      </c>
      <c r="P365" s="2">
        <v>2012</v>
      </c>
      <c r="Q365" s="2" t="s">
        <v>8679</v>
      </c>
      <c r="T365" s="2" t="s">
        <v>7142</v>
      </c>
    </row>
    <row r="366" spans="2:20">
      <c r="B366" s="2" t="s">
        <v>2501</v>
      </c>
      <c r="C366" s="2" t="s">
        <v>6146</v>
      </c>
      <c r="E366" s="2">
        <v>2.5</v>
      </c>
      <c r="G366" s="2">
        <v>2500</v>
      </c>
      <c r="H366" s="2" t="s">
        <v>7142</v>
      </c>
      <c r="I366" s="2" t="s">
        <v>8705</v>
      </c>
      <c r="J366" s="2" t="s">
        <v>6147</v>
      </c>
      <c r="K366" s="2">
        <v>2.5</v>
      </c>
      <c r="L366" s="2">
        <v>13</v>
      </c>
      <c r="M366" s="2" t="s">
        <v>8680</v>
      </c>
      <c r="O366" s="2">
        <v>2013</v>
      </c>
      <c r="Q366" s="2" t="s">
        <v>8679</v>
      </c>
      <c r="T366" s="2" t="s">
        <v>7142</v>
      </c>
    </row>
    <row r="367" spans="2:20">
      <c r="B367" s="2" t="s">
        <v>2501</v>
      </c>
      <c r="C367" s="2" t="s">
        <v>6148</v>
      </c>
      <c r="E367" s="2">
        <v>1</v>
      </c>
      <c r="G367" s="2">
        <v>1000</v>
      </c>
      <c r="H367" s="2" t="s">
        <v>7142</v>
      </c>
      <c r="I367" s="2" t="s">
        <v>8690</v>
      </c>
      <c r="J367" s="2" t="s">
        <v>6149</v>
      </c>
      <c r="M367" s="2" t="s">
        <v>8678</v>
      </c>
      <c r="O367" s="2">
        <v>2024</v>
      </c>
      <c r="Q367" s="2" t="s">
        <v>8683</v>
      </c>
      <c r="T367" s="2" t="s">
        <v>7142</v>
      </c>
    </row>
    <row r="368" spans="2:20">
      <c r="B368" s="2" t="s">
        <v>2504</v>
      </c>
      <c r="C368" s="2" t="s">
        <v>6150</v>
      </c>
      <c r="E368" s="2">
        <v>2.5</v>
      </c>
      <c r="G368" s="2">
        <v>800</v>
      </c>
      <c r="H368" s="2" t="s">
        <v>7142</v>
      </c>
      <c r="I368" s="2" t="s">
        <v>8705</v>
      </c>
      <c r="J368" s="2" t="s">
        <v>6151</v>
      </c>
      <c r="K368" s="2">
        <v>2.5</v>
      </c>
      <c r="L368" s="2">
        <v>8</v>
      </c>
      <c r="M368" s="2" t="s">
        <v>8680</v>
      </c>
      <c r="O368" s="2">
        <v>2017</v>
      </c>
      <c r="Q368" s="2" t="s">
        <v>8679</v>
      </c>
      <c r="T368" s="2" t="s">
        <v>7142</v>
      </c>
    </row>
    <row r="369" spans="2:20">
      <c r="B369" s="2" t="s">
        <v>2504</v>
      </c>
      <c r="C369" s="2" t="s">
        <v>6152</v>
      </c>
      <c r="E369" s="2">
        <v>1</v>
      </c>
      <c r="G369" s="2">
        <v>600</v>
      </c>
      <c r="H369" s="2" t="s">
        <v>7142</v>
      </c>
      <c r="I369" s="2" t="s">
        <v>8705</v>
      </c>
      <c r="J369" s="2" t="s">
        <v>6153</v>
      </c>
      <c r="M369" s="2" t="s">
        <v>8678</v>
      </c>
      <c r="O369" s="2">
        <v>2025</v>
      </c>
      <c r="Q369" s="2" t="s">
        <v>8681</v>
      </c>
      <c r="T369" s="2" t="s">
        <v>7142</v>
      </c>
    </row>
    <row r="370" spans="2:20">
      <c r="B370" s="2" t="s">
        <v>2509</v>
      </c>
      <c r="C370" s="2" t="s">
        <v>6154</v>
      </c>
      <c r="E370" s="2">
        <v>1</v>
      </c>
      <c r="G370" s="2">
        <v>1000</v>
      </c>
      <c r="H370" s="2" t="s">
        <v>7142</v>
      </c>
      <c r="I370" s="2" t="s">
        <v>8690</v>
      </c>
      <c r="J370" s="2" t="s">
        <v>6155</v>
      </c>
      <c r="K370" s="2">
        <v>1</v>
      </c>
      <c r="L370" s="2">
        <v>1</v>
      </c>
      <c r="M370" s="2" t="s">
        <v>8678</v>
      </c>
      <c r="O370" s="2">
        <v>2024</v>
      </c>
      <c r="Q370" s="2" t="s">
        <v>8681</v>
      </c>
      <c r="T370" s="2" t="s">
        <v>7142</v>
      </c>
    </row>
    <row r="371" spans="2:20">
      <c r="B371" s="2" t="s">
        <v>2509</v>
      </c>
      <c r="C371" s="2" t="s">
        <v>6156</v>
      </c>
      <c r="E371" s="2">
        <v>2</v>
      </c>
      <c r="G371" s="2">
        <v>800</v>
      </c>
      <c r="H371" s="2" t="s">
        <v>7142</v>
      </c>
      <c r="I371" s="2" t="s">
        <v>8705</v>
      </c>
      <c r="J371" s="2" t="s">
        <v>6157</v>
      </c>
      <c r="K371" s="2">
        <v>2</v>
      </c>
      <c r="L371" s="2">
        <v>7</v>
      </c>
      <c r="M371" s="2" t="s">
        <v>8680</v>
      </c>
      <c r="O371" s="2">
        <v>2017</v>
      </c>
      <c r="Q371" s="2" t="s">
        <v>8679</v>
      </c>
      <c r="T371" s="2" t="s">
        <v>7142</v>
      </c>
    </row>
    <row r="372" spans="2:20">
      <c r="B372" s="2" t="s">
        <v>2364</v>
      </c>
      <c r="C372" s="2" t="s">
        <v>6158</v>
      </c>
      <c r="D372" s="2" t="s">
        <v>5731</v>
      </c>
      <c r="E372" s="2">
        <v>0.5</v>
      </c>
      <c r="G372" s="2">
        <v>500</v>
      </c>
      <c r="H372" s="2" t="s">
        <v>7143</v>
      </c>
      <c r="K372" s="2">
        <v>0.5</v>
      </c>
      <c r="L372" s="2">
        <v>1</v>
      </c>
      <c r="M372" s="2" t="s">
        <v>8678</v>
      </c>
      <c r="O372" s="2">
        <v>2016</v>
      </c>
      <c r="P372" s="2">
        <v>2016</v>
      </c>
      <c r="Q372" s="2" t="s">
        <v>8681</v>
      </c>
      <c r="S372" s="2">
        <v>5</v>
      </c>
      <c r="T372" s="2" t="s">
        <v>7143</v>
      </c>
    </row>
    <row r="373" spans="2:20">
      <c r="B373" s="2" t="s">
        <v>2399</v>
      </c>
      <c r="C373" s="2" t="s">
        <v>6159</v>
      </c>
      <c r="D373" s="2" t="s">
        <v>5731</v>
      </c>
      <c r="E373" s="2">
        <v>0.3</v>
      </c>
      <c r="G373" s="2">
        <v>300</v>
      </c>
      <c r="H373" s="2" t="s">
        <v>7143</v>
      </c>
      <c r="K373" s="2">
        <v>0.3</v>
      </c>
      <c r="L373" s="2">
        <v>0.5</v>
      </c>
      <c r="M373" s="2" t="s">
        <v>8678</v>
      </c>
      <c r="O373" s="2">
        <v>2019</v>
      </c>
      <c r="P373" s="2">
        <v>2019</v>
      </c>
      <c r="Q373" s="2" t="s">
        <v>8681</v>
      </c>
      <c r="S373" s="2">
        <v>7</v>
      </c>
      <c r="T373" s="2" t="s">
        <v>7143</v>
      </c>
    </row>
    <row r="374" spans="2:20">
      <c r="B374" s="2" t="s">
        <v>2399</v>
      </c>
      <c r="C374" s="2" t="s">
        <v>6160</v>
      </c>
      <c r="D374" s="2" t="s">
        <v>5736</v>
      </c>
      <c r="E374" s="2">
        <v>0.2</v>
      </c>
      <c r="G374" s="2">
        <v>200</v>
      </c>
      <c r="H374" s="2" t="s">
        <v>7143</v>
      </c>
      <c r="K374" s="2">
        <v>0.2</v>
      </c>
      <c r="L374" s="2">
        <v>0.4</v>
      </c>
      <c r="M374" s="2" t="s">
        <v>8678</v>
      </c>
      <c r="O374" s="2">
        <v>2019</v>
      </c>
      <c r="P374" s="2">
        <v>2019</v>
      </c>
      <c r="Q374" s="2" t="s">
        <v>8681</v>
      </c>
      <c r="S374" s="2">
        <v>5</v>
      </c>
      <c r="T374" s="2" t="s">
        <v>7143</v>
      </c>
    </row>
    <row r="375" spans="2:20">
      <c r="B375" s="2" t="s">
        <v>2444</v>
      </c>
      <c r="C375" s="2" t="s">
        <v>6161</v>
      </c>
      <c r="D375" s="2" t="s">
        <v>5731</v>
      </c>
      <c r="E375" s="2">
        <v>0.9</v>
      </c>
      <c r="G375" s="2">
        <v>900</v>
      </c>
      <c r="H375" s="2" t="s">
        <v>7143</v>
      </c>
      <c r="K375" s="2">
        <v>0.9</v>
      </c>
      <c r="L375" s="2">
        <v>3</v>
      </c>
      <c r="M375" s="2" t="s">
        <v>8680</v>
      </c>
      <c r="O375" s="2">
        <v>2000</v>
      </c>
      <c r="P375" s="2">
        <v>2000</v>
      </c>
      <c r="Q375" s="2" t="s">
        <v>8681</v>
      </c>
      <c r="S375" s="2">
        <v>15</v>
      </c>
      <c r="T375" s="2" t="s">
        <v>7142</v>
      </c>
    </row>
    <row r="376" spans="2:20">
      <c r="B376" s="2" t="s">
        <v>2479</v>
      </c>
      <c r="C376" s="2" t="s">
        <v>6162</v>
      </c>
      <c r="D376" s="2" t="s">
        <v>5731</v>
      </c>
      <c r="E376" s="2">
        <v>0.8</v>
      </c>
      <c r="G376" s="2">
        <v>800</v>
      </c>
      <c r="H376" s="2" t="s">
        <v>7142</v>
      </c>
      <c r="I376" s="2" t="s">
        <v>8690</v>
      </c>
      <c r="J376" s="2" t="s">
        <v>5733</v>
      </c>
      <c r="K376" s="2">
        <v>0.8</v>
      </c>
      <c r="L376" s="2">
        <v>2</v>
      </c>
      <c r="M376" s="2" t="s">
        <v>8680</v>
      </c>
      <c r="O376" s="2">
        <v>2021</v>
      </c>
      <c r="P376" s="2">
        <v>2021</v>
      </c>
      <c r="Q376" s="2" t="s">
        <v>8681</v>
      </c>
      <c r="S376" s="2">
        <v>10</v>
      </c>
      <c r="T376" s="2" t="s">
        <v>7142</v>
      </c>
    </row>
    <row r="377" spans="2:20">
      <c r="B377" s="2" t="s">
        <v>2479</v>
      </c>
      <c r="C377" s="2" t="s">
        <v>6163</v>
      </c>
      <c r="D377" s="2" t="s">
        <v>5743</v>
      </c>
      <c r="E377" s="2">
        <v>1.2</v>
      </c>
      <c r="G377" s="2">
        <v>1300</v>
      </c>
      <c r="H377" s="2" t="s">
        <v>7142</v>
      </c>
      <c r="I377" s="2" t="s">
        <v>8690</v>
      </c>
      <c r="J377" s="2" t="s">
        <v>5733</v>
      </c>
      <c r="K377" s="2">
        <v>1.2</v>
      </c>
      <c r="L377" s="2">
        <v>4</v>
      </c>
      <c r="M377" s="2" t="s">
        <v>8680</v>
      </c>
      <c r="O377" s="2">
        <v>2021</v>
      </c>
      <c r="P377" s="2">
        <v>2021</v>
      </c>
      <c r="Q377" s="2" t="s">
        <v>8681</v>
      </c>
      <c r="S377" s="2">
        <v>7</v>
      </c>
      <c r="T377" s="2" t="s">
        <v>7142</v>
      </c>
    </row>
    <row r="378" spans="2:20">
      <c r="B378" s="2" t="s">
        <v>2479</v>
      </c>
      <c r="C378" s="2" t="s">
        <v>6164</v>
      </c>
      <c r="D378" s="2" t="s">
        <v>5736</v>
      </c>
      <c r="E378" s="2">
        <v>1</v>
      </c>
      <c r="G378" s="2">
        <v>1100</v>
      </c>
      <c r="H378" s="2" t="s">
        <v>7142</v>
      </c>
      <c r="I378" s="2" t="s">
        <v>8690</v>
      </c>
      <c r="J378" s="2" t="s">
        <v>5733</v>
      </c>
      <c r="K378" s="2">
        <v>1</v>
      </c>
      <c r="L378" s="2">
        <v>4</v>
      </c>
      <c r="M378" s="2" t="s">
        <v>8680</v>
      </c>
      <c r="O378" s="2">
        <v>2021</v>
      </c>
      <c r="P378" s="2">
        <v>2021</v>
      </c>
      <c r="Q378" s="2" t="s">
        <v>8681</v>
      </c>
      <c r="S378" s="2">
        <v>8</v>
      </c>
      <c r="T378" s="2" t="s">
        <v>7142</v>
      </c>
    </row>
    <row r="379" spans="2:20">
      <c r="B379" s="2" t="s">
        <v>2479</v>
      </c>
      <c r="C379" s="2" t="s">
        <v>6165</v>
      </c>
      <c r="D379" s="2" t="s">
        <v>5758</v>
      </c>
      <c r="E379" s="2">
        <v>0.4</v>
      </c>
      <c r="G379" s="2">
        <v>400</v>
      </c>
      <c r="H379" s="2" t="s">
        <v>7143</v>
      </c>
      <c r="K379" s="2">
        <v>0.4</v>
      </c>
      <c r="L379" s="2">
        <v>1</v>
      </c>
      <c r="M379" s="2" t="s">
        <v>8678</v>
      </c>
      <c r="O379" s="2">
        <v>2022</v>
      </c>
      <c r="P379" s="2">
        <v>2022</v>
      </c>
      <c r="S379" s="2">
        <v>6</v>
      </c>
      <c r="T379" s="2" t="s">
        <v>7143</v>
      </c>
    </row>
    <row r="380" spans="2:20">
      <c r="B380" s="2" t="s">
        <v>2490</v>
      </c>
      <c r="C380" s="2" t="s">
        <v>6166</v>
      </c>
      <c r="D380" s="2" t="s">
        <v>5731</v>
      </c>
      <c r="E380" s="2">
        <v>0.7</v>
      </c>
      <c r="G380" s="2">
        <v>500</v>
      </c>
      <c r="H380" s="2" t="s">
        <v>7142</v>
      </c>
      <c r="I380" s="2" t="s">
        <v>8690</v>
      </c>
      <c r="J380" s="2" t="s">
        <v>5733</v>
      </c>
      <c r="K380" s="2">
        <v>0.7</v>
      </c>
      <c r="L380" s="2">
        <v>2.4</v>
      </c>
      <c r="M380" s="2" t="s">
        <v>8680</v>
      </c>
      <c r="O380" s="2">
        <v>1999</v>
      </c>
      <c r="P380" s="2">
        <v>1999</v>
      </c>
      <c r="Q380" s="2" t="s">
        <v>8681</v>
      </c>
      <c r="S380" s="2">
        <v>10</v>
      </c>
      <c r="T380" s="2" t="s">
        <v>7142</v>
      </c>
    </row>
    <row r="381" spans="2:20">
      <c r="B381" s="2" t="s">
        <v>2512</v>
      </c>
      <c r="C381" s="2" t="s">
        <v>6167</v>
      </c>
      <c r="D381" s="2" t="s">
        <v>5731</v>
      </c>
      <c r="E381" s="2">
        <v>2</v>
      </c>
      <c r="G381" s="2">
        <v>2000</v>
      </c>
      <c r="H381" s="2" t="s">
        <v>7142</v>
      </c>
      <c r="I381" s="2" t="s">
        <v>8690</v>
      </c>
      <c r="J381" s="2" t="s">
        <v>6168</v>
      </c>
      <c r="K381" s="2">
        <v>2</v>
      </c>
      <c r="L381" s="2">
        <v>4</v>
      </c>
      <c r="M381" s="2" t="s">
        <v>8680</v>
      </c>
      <c r="O381" s="2">
        <v>2019</v>
      </c>
      <c r="P381" s="2">
        <v>2019</v>
      </c>
      <c r="Q381" s="2" t="s">
        <v>8681</v>
      </c>
      <c r="S381" s="2">
        <v>15</v>
      </c>
      <c r="T381" s="2" t="s">
        <v>7142</v>
      </c>
    </row>
    <row r="382" spans="2:20">
      <c r="B382" s="2" t="s">
        <v>2530</v>
      </c>
      <c r="C382" s="2" t="s">
        <v>6169</v>
      </c>
      <c r="D382" s="2" t="s">
        <v>5731</v>
      </c>
      <c r="E382" s="2">
        <v>0.85</v>
      </c>
      <c r="G382" s="2">
        <v>850</v>
      </c>
      <c r="H382" s="2" t="s">
        <v>7142</v>
      </c>
      <c r="I382" s="2" t="s">
        <v>8690</v>
      </c>
      <c r="J382" s="2" t="s">
        <v>1187</v>
      </c>
      <c r="K382" s="2">
        <v>0.85</v>
      </c>
      <c r="L382" s="2">
        <v>3.5</v>
      </c>
      <c r="M382" s="2" t="s">
        <v>8680</v>
      </c>
      <c r="O382" s="2">
        <v>2019</v>
      </c>
      <c r="P382" s="2">
        <v>2019</v>
      </c>
      <c r="Q382" s="2" t="s">
        <v>8681</v>
      </c>
      <c r="S382" s="2">
        <v>13</v>
      </c>
      <c r="T382" s="2" t="s">
        <v>7142</v>
      </c>
    </row>
    <row r="383" spans="2:20">
      <c r="B383" s="2" t="s">
        <v>2557</v>
      </c>
      <c r="C383" s="2" t="s">
        <v>6170</v>
      </c>
      <c r="D383" s="2" t="s">
        <v>5731</v>
      </c>
      <c r="E383" s="2">
        <v>0.3</v>
      </c>
      <c r="G383" s="2">
        <v>300</v>
      </c>
      <c r="H383" s="2" t="s">
        <v>7142</v>
      </c>
      <c r="I383" s="2" t="s">
        <v>8687</v>
      </c>
      <c r="K383" s="2">
        <v>0.3</v>
      </c>
      <c r="L383" s="2">
        <v>1</v>
      </c>
      <c r="M383" s="2" t="s">
        <v>8678</v>
      </c>
      <c r="O383" s="2">
        <v>2018</v>
      </c>
      <c r="P383" s="2">
        <v>2018</v>
      </c>
      <c r="Q383" s="2" t="s">
        <v>8681</v>
      </c>
      <c r="S383" s="2">
        <v>14</v>
      </c>
      <c r="T383" s="2" t="s">
        <v>7143</v>
      </c>
    </row>
    <row r="384" spans="2:20">
      <c r="B384" s="2" t="s">
        <v>320</v>
      </c>
      <c r="C384" s="2" t="s">
        <v>6171</v>
      </c>
      <c r="E384" s="2">
        <v>1</v>
      </c>
      <c r="G384" s="2">
        <v>1000</v>
      </c>
      <c r="H384" s="2" t="s">
        <v>7142</v>
      </c>
      <c r="I384" s="2" t="s">
        <v>8687</v>
      </c>
      <c r="K384" s="2">
        <v>1</v>
      </c>
      <c r="L384" s="2">
        <v>3</v>
      </c>
      <c r="M384" s="2" t="s">
        <v>8680</v>
      </c>
      <c r="O384" s="2">
        <v>2010</v>
      </c>
      <c r="Q384" s="2" t="s">
        <v>8679</v>
      </c>
      <c r="T384" s="2" t="s">
        <v>7142</v>
      </c>
    </row>
    <row r="385" spans="2:20">
      <c r="B385" s="2" t="s">
        <v>328</v>
      </c>
      <c r="C385" s="2" t="s">
        <v>6172</v>
      </c>
      <c r="E385" s="2">
        <v>0.4</v>
      </c>
      <c r="G385" s="2">
        <v>400</v>
      </c>
      <c r="H385" s="2" t="s">
        <v>7142</v>
      </c>
      <c r="I385" s="2" t="s">
        <v>8687</v>
      </c>
      <c r="K385" s="2">
        <v>0.4</v>
      </c>
      <c r="L385" s="2">
        <v>0.2</v>
      </c>
      <c r="M385" s="2" t="s">
        <v>8680</v>
      </c>
      <c r="O385" s="2">
        <v>2007</v>
      </c>
      <c r="Q385" s="2" t="s">
        <v>8679</v>
      </c>
      <c r="T385" s="2" t="s">
        <v>7142</v>
      </c>
    </row>
    <row r="386" spans="2:20">
      <c r="B386" s="2" t="s">
        <v>982</v>
      </c>
      <c r="C386" s="2" t="s">
        <v>6173</v>
      </c>
      <c r="D386" s="19" t="s">
        <v>8682</v>
      </c>
      <c r="E386" s="2">
        <v>0.25</v>
      </c>
      <c r="F386" s="2">
        <v>0</v>
      </c>
      <c r="G386" s="2">
        <v>200</v>
      </c>
      <c r="H386" s="2" t="s">
        <v>7143</v>
      </c>
      <c r="K386" s="2">
        <v>0.25</v>
      </c>
      <c r="L386" s="2">
        <v>0.4</v>
      </c>
      <c r="M386" s="2" t="s">
        <v>8678</v>
      </c>
      <c r="O386" s="2">
        <v>1996</v>
      </c>
      <c r="P386" s="2">
        <v>1996</v>
      </c>
      <c r="Q386" s="2" t="s">
        <v>8679</v>
      </c>
      <c r="S386" s="2">
        <v>10</v>
      </c>
      <c r="T386" s="2" t="s">
        <v>7143</v>
      </c>
    </row>
    <row r="387" spans="2:20">
      <c r="B387" s="2" t="s">
        <v>2068</v>
      </c>
      <c r="C387" s="2" t="s">
        <v>6174</v>
      </c>
      <c r="D387" s="19" t="s">
        <v>8682</v>
      </c>
      <c r="E387" s="2">
        <v>0.5</v>
      </c>
      <c r="F387" s="2">
        <v>0</v>
      </c>
      <c r="G387" s="2">
        <v>500</v>
      </c>
      <c r="H387" s="2" t="s">
        <v>7143</v>
      </c>
      <c r="K387" s="2">
        <v>0.5</v>
      </c>
      <c r="L387" s="2">
        <v>1.4</v>
      </c>
      <c r="M387" s="2" t="s">
        <v>8680</v>
      </c>
      <c r="O387" s="2">
        <v>1998</v>
      </c>
      <c r="P387" s="2">
        <v>1998</v>
      </c>
      <c r="Q387" s="2" t="s">
        <v>8681</v>
      </c>
      <c r="S387" s="2">
        <v>5</v>
      </c>
      <c r="T387" s="2" t="s">
        <v>7143</v>
      </c>
    </row>
    <row r="388" spans="2:20">
      <c r="B388" s="2" t="s">
        <v>1054</v>
      </c>
      <c r="C388" s="2" t="s">
        <v>6175</v>
      </c>
      <c r="D388" s="19" t="s">
        <v>8684</v>
      </c>
      <c r="E388" s="2">
        <v>0.35</v>
      </c>
      <c r="F388" s="2">
        <v>0</v>
      </c>
      <c r="G388" s="2">
        <v>400</v>
      </c>
      <c r="H388" s="2" t="s">
        <v>7142</v>
      </c>
      <c r="I388" s="2" t="s">
        <v>8686</v>
      </c>
      <c r="K388" s="2">
        <v>0.35</v>
      </c>
      <c r="L388" s="2">
        <v>1</v>
      </c>
      <c r="M388" s="2" t="s">
        <v>8680</v>
      </c>
      <c r="O388" s="2">
        <v>2023</v>
      </c>
      <c r="P388" s="2">
        <v>2023</v>
      </c>
      <c r="Q388" s="2" t="s">
        <v>8679</v>
      </c>
      <c r="S388" s="2">
        <v>20</v>
      </c>
      <c r="T388" s="2" t="s">
        <v>7143</v>
      </c>
    </row>
    <row r="389" spans="2:20">
      <c r="B389" s="2" t="s">
        <v>1054</v>
      </c>
      <c r="C389" s="2" t="s">
        <v>6176</v>
      </c>
      <c r="D389" s="19" t="s">
        <v>8685</v>
      </c>
      <c r="E389" s="2">
        <v>0.15</v>
      </c>
      <c r="F389" s="2">
        <v>0</v>
      </c>
      <c r="G389" s="2">
        <v>220</v>
      </c>
      <c r="H389" s="2" t="s">
        <v>7142</v>
      </c>
      <c r="I389" s="2" t="s">
        <v>8687</v>
      </c>
      <c r="K389" s="2">
        <v>0</v>
      </c>
      <c r="L389" s="2">
        <v>0</v>
      </c>
      <c r="M389" s="2" t="s">
        <v>8678</v>
      </c>
      <c r="O389" s="2">
        <v>2025</v>
      </c>
      <c r="P389" s="2">
        <v>2025</v>
      </c>
      <c r="Q389" s="2" t="s">
        <v>8697</v>
      </c>
      <c r="R389" s="2" t="s">
        <v>308</v>
      </c>
      <c r="S389" s="2">
        <v>10</v>
      </c>
      <c r="T389" s="2" t="s">
        <v>7143</v>
      </c>
    </row>
    <row r="390" spans="2:20">
      <c r="B390" s="2" t="s">
        <v>1054</v>
      </c>
      <c r="C390" s="2" t="s">
        <v>6177</v>
      </c>
      <c r="D390" s="19" t="s">
        <v>8682</v>
      </c>
      <c r="E390" s="2">
        <v>1</v>
      </c>
      <c r="F390" s="2">
        <v>0</v>
      </c>
      <c r="G390" s="2">
        <v>1000</v>
      </c>
      <c r="H390" s="2" t="s">
        <v>7143</v>
      </c>
      <c r="K390" s="2">
        <v>1</v>
      </c>
      <c r="L390" s="2">
        <v>5</v>
      </c>
      <c r="M390" s="2" t="s">
        <v>8680</v>
      </c>
      <c r="O390" s="2">
        <v>2017</v>
      </c>
      <c r="P390" s="2">
        <v>2017</v>
      </c>
      <c r="Q390" s="2" t="s">
        <v>8688</v>
      </c>
      <c r="S390" s="2">
        <v>25</v>
      </c>
      <c r="T390" s="2" t="s">
        <v>7143</v>
      </c>
    </row>
    <row r="391" spans="2:20">
      <c r="B391" s="2" t="s">
        <v>2056</v>
      </c>
      <c r="C391" s="2" t="s">
        <v>6178</v>
      </c>
      <c r="D391" s="19" t="s">
        <v>8682</v>
      </c>
      <c r="E391" s="2">
        <v>0.7</v>
      </c>
      <c r="F391" s="2">
        <v>0</v>
      </c>
      <c r="G391" s="2">
        <v>700</v>
      </c>
      <c r="H391" s="2" t="s">
        <v>7142</v>
      </c>
      <c r="I391" s="2" t="s">
        <v>8686</v>
      </c>
      <c r="K391" s="2">
        <v>0</v>
      </c>
      <c r="L391" s="2">
        <v>0</v>
      </c>
      <c r="M391" s="2" t="s">
        <v>8680</v>
      </c>
      <c r="O391" s="2">
        <v>1995</v>
      </c>
      <c r="P391" s="2">
        <v>2025</v>
      </c>
      <c r="Q391" s="2" t="s">
        <v>8679</v>
      </c>
      <c r="S391" s="2">
        <v>5</v>
      </c>
      <c r="T391" s="2" t="s">
        <v>7143</v>
      </c>
    </row>
    <row r="392" spans="2:20">
      <c r="B392" s="2" t="s">
        <v>2056</v>
      </c>
      <c r="C392" s="2" t="s">
        <v>6179</v>
      </c>
      <c r="D392" s="19" t="s">
        <v>8685</v>
      </c>
      <c r="E392" s="2">
        <v>0.5</v>
      </c>
      <c r="F392" s="2">
        <v>0</v>
      </c>
      <c r="G392" s="2">
        <v>500</v>
      </c>
      <c r="H392" s="2" t="s">
        <v>7142</v>
      </c>
      <c r="I392" s="2" t="s">
        <v>8687</v>
      </c>
      <c r="K392" s="2">
        <v>0</v>
      </c>
      <c r="L392" s="2">
        <v>0</v>
      </c>
      <c r="M392" s="2" t="s">
        <v>8680</v>
      </c>
      <c r="O392" s="2">
        <v>1995</v>
      </c>
      <c r="P392" s="2">
        <v>2024</v>
      </c>
      <c r="Q392" s="2" t="s">
        <v>8679</v>
      </c>
      <c r="S392" s="2">
        <v>5</v>
      </c>
      <c r="T392" s="2" t="s">
        <v>7143</v>
      </c>
    </row>
    <row r="393" spans="2:20">
      <c r="B393" s="2" t="s">
        <v>2056</v>
      </c>
      <c r="C393" s="2" t="s">
        <v>6180</v>
      </c>
      <c r="D393" s="19" t="s">
        <v>8684</v>
      </c>
      <c r="E393" s="2">
        <v>1.2</v>
      </c>
      <c r="F393" s="2">
        <v>0</v>
      </c>
      <c r="G393" s="2">
        <v>1200</v>
      </c>
      <c r="H393" s="2" t="s">
        <v>7142</v>
      </c>
      <c r="I393" s="2" t="s">
        <v>8687</v>
      </c>
      <c r="K393" s="2">
        <v>0</v>
      </c>
      <c r="L393" s="2">
        <v>0</v>
      </c>
      <c r="M393" s="2" t="s">
        <v>8680</v>
      </c>
      <c r="O393" s="2">
        <v>1995</v>
      </c>
      <c r="P393" s="2">
        <v>2024</v>
      </c>
      <c r="Q393" s="2" t="s">
        <v>8679</v>
      </c>
      <c r="S393" s="2">
        <v>5</v>
      </c>
      <c r="T393" s="2" t="s">
        <v>7143</v>
      </c>
    </row>
    <row r="394" spans="2:20">
      <c r="B394" s="2" t="s">
        <v>2014</v>
      </c>
      <c r="C394" s="2" t="s">
        <v>6181</v>
      </c>
      <c r="D394" s="19" t="s">
        <v>8684</v>
      </c>
      <c r="E394" s="2">
        <v>0.7</v>
      </c>
      <c r="F394" s="2">
        <v>0</v>
      </c>
      <c r="G394" s="2">
        <v>700</v>
      </c>
      <c r="H394" s="2" t="s">
        <v>7142</v>
      </c>
      <c r="I394" s="2" t="s">
        <v>8695</v>
      </c>
      <c r="K394" s="2">
        <v>0</v>
      </c>
      <c r="L394" s="2">
        <v>0</v>
      </c>
      <c r="M394" s="2" t="s">
        <v>8680</v>
      </c>
      <c r="O394" s="2">
        <v>1985</v>
      </c>
      <c r="P394" s="2">
        <v>2023</v>
      </c>
      <c r="Q394" s="2" t="s">
        <v>8679</v>
      </c>
      <c r="S394" s="2">
        <v>10</v>
      </c>
      <c r="T394" s="2" t="s">
        <v>7143</v>
      </c>
    </row>
    <row r="395" spans="2:20">
      <c r="B395" s="2" t="s">
        <v>2014</v>
      </c>
      <c r="C395" s="2" t="s">
        <v>6182</v>
      </c>
      <c r="D395" s="19" t="s">
        <v>8682</v>
      </c>
      <c r="E395" s="2">
        <v>0.4</v>
      </c>
      <c r="F395" s="2">
        <v>0</v>
      </c>
      <c r="G395" s="2">
        <v>400</v>
      </c>
      <c r="H395" s="2" t="s">
        <v>7142</v>
      </c>
      <c r="I395" s="2" t="s">
        <v>8695</v>
      </c>
      <c r="K395" s="2">
        <v>0.4</v>
      </c>
      <c r="L395" s="2">
        <v>1.3</v>
      </c>
      <c r="M395" s="2" t="s">
        <v>8680</v>
      </c>
      <c r="O395" s="2">
        <v>1985</v>
      </c>
      <c r="P395" s="2">
        <v>2020</v>
      </c>
      <c r="Q395" s="2" t="s">
        <v>8679</v>
      </c>
      <c r="S395" s="2">
        <v>10</v>
      </c>
      <c r="T395" s="2" t="s">
        <v>7143</v>
      </c>
    </row>
    <row r="396" spans="2:20">
      <c r="B396" s="2" t="s">
        <v>848</v>
      </c>
      <c r="C396" s="2" t="s">
        <v>6183</v>
      </c>
      <c r="D396" s="19" t="s">
        <v>8682</v>
      </c>
      <c r="E396" s="2">
        <v>0.3</v>
      </c>
      <c r="G396" s="2">
        <v>200</v>
      </c>
      <c r="H396" s="2" t="s">
        <v>7143</v>
      </c>
      <c r="K396" s="2">
        <v>0.3</v>
      </c>
      <c r="L396" s="2">
        <v>0.4</v>
      </c>
      <c r="M396" s="2" t="s">
        <v>8680</v>
      </c>
      <c r="O396" s="2">
        <v>1993</v>
      </c>
      <c r="P396" s="2">
        <v>1993</v>
      </c>
      <c r="Q396" s="2" t="s">
        <v>8681</v>
      </c>
      <c r="S396" s="2">
        <v>4</v>
      </c>
      <c r="T396" s="2" t="s">
        <v>7143</v>
      </c>
    </row>
    <row r="397" spans="2:20">
      <c r="B397" s="2" t="s">
        <v>848</v>
      </c>
      <c r="C397" s="2" t="s">
        <v>6184</v>
      </c>
      <c r="D397" s="19" t="s">
        <v>8684</v>
      </c>
      <c r="E397" s="2">
        <v>0.4</v>
      </c>
      <c r="G397" s="2">
        <v>300</v>
      </c>
      <c r="H397" s="2" t="s">
        <v>7143</v>
      </c>
      <c r="K397" s="2">
        <v>0.4</v>
      </c>
      <c r="L397" s="2">
        <v>0.6</v>
      </c>
      <c r="M397" s="2" t="s">
        <v>8680</v>
      </c>
      <c r="O397" s="2">
        <v>1993</v>
      </c>
      <c r="P397" s="2">
        <v>2019</v>
      </c>
      <c r="Q397" s="2" t="s">
        <v>8679</v>
      </c>
      <c r="S397" s="2">
        <v>5</v>
      </c>
      <c r="T397" s="2" t="s">
        <v>7143</v>
      </c>
    </row>
    <row r="398" spans="2:20">
      <c r="B398" s="2" t="s">
        <v>1963</v>
      </c>
      <c r="C398" s="2" t="s">
        <v>6185</v>
      </c>
      <c r="D398" s="19" t="s">
        <v>8682</v>
      </c>
      <c r="E398" s="2">
        <v>0.5</v>
      </c>
      <c r="F398" s="2">
        <v>0</v>
      </c>
      <c r="G398" s="2">
        <v>500</v>
      </c>
      <c r="H398" s="2" t="s">
        <v>7143</v>
      </c>
      <c r="K398" s="2">
        <v>0</v>
      </c>
      <c r="L398" s="2">
        <v>0</v>
      </c>
      <c r="M398" s="2" t="s">
        <v>8680</v>
      </c>
      <c r="O398" s="2">
        <v>1993</v>
      </c>
      <c r="P398" s="2">
        <v>2025</v>
      </c>
      <c r="Q398" s="2" t="s">
        <v>8679</v>
      </c>
      <c r="S398" s="2">
        <v>10</v>
      </c>
      <c r="T398" s="2" t="s">
        <v>7143</v>
      </c>
    </row>
    <row r="399" spans="2:20">
      <c r="B399" s="2" t="s">
        <v>1963</v>
      </c>
      <c r="C399" s="2" t="s">
        <v>6186</v>
      </c>
      <c r="D399" s="19" t="s">
        <v>8685</v>
      </c>
      <c r="E399" s="2">
        <v>0.5</v>
      </c>
      <c r="F399" s="2">
        <v>0</v>
      </c>
      <c r="G399" s="2">
        <v>500</v>
      </c>
      <c r="H399" s="2" t="s">
        <v>7143</v>
      </c>
      <c r="K399" s="2">
        <v>0.5</v>
      </c>
      <c r="L399" s="2">
        <v>2.2999999999999998</v>
      </c>
      <c r="M399" s="2" t="s">
        <v>8680</v>
      </c>
      <c r="O399" s="2">
        <v>1993</v>
      </c>
      <c r="P399" s="2">
        <v>2010</v>
      </c>
      <c r="Q399" s="2" t="s">
        <v>8679</v>
      </c>
      <c r="S399" s="2">
        <v>10</v>
      </c>
      <c r="T399" s="2" t="s">
        <v>7143</v>
      </c>
    </row>
    <row r="400" spans="2:20">
      <c r="B400" s="2" t="s">
        <v>1963</v>
      </c>
      <c r="C400" s="2" t="s">
        <v>6187</v>
      </c>
      <c r="D400" s="19" t="s">
        <v>8684</v>
      </c>
      <c r="E400" s="2">
        <v>0.5</v>
      </c>
      <c r="F400" s="2">
        <v>0</v>
      </c>
      <c r="G400" s="2">
        <v>500</v>
      </c>
      <c r="H400" s="2" t="s">
        <v>7143</v>
      </c>
      <c r="K400" s="2">
        <v>0.5</v>
      </c>
      <c r="L400" s="2">
        <v>1.7</v>
      </c>
      <c r="M400" s="2" t="s">
        <v>8680</v>
      </c>
      <c r="O400" s="2">
        <v>1995</v>
      </c>
      <c r="P400" s="2">
        <v>1995</v>
      </c>
      <c r="Q400" s="2" t="s">
        <v>8681</v>
      </c>
      <c r="S400" s="2">
        <v>7</v>
      </c>
      <c r="T400" s="2" t="s">
        <v>7143</v>
      </c>
    </row>
    <row r="401" spans="2:20">
      <c r="B401" s="2" t="s">
        <v>886</v>
      </c>
      <c r="C401" s="2" t="s">
        <v>6188</v>
      </c>
      <c r="D401" s="19" t="s">
        <v>8684</v>
      </c>
      <c r="E401" s="2">
        <v>2</v>
      </c>
      <c r="G401" s="2">
        <v>2200</v>
      </c>
      <c r="H401" s="2" t="s">
        <v>7142</v>
      </c>
      <c r="I401" s="2" t="s">
        <v>8692</v>
      </c>
      <c r="K401" s="2">
        <v>2</v>
      </c>
      <c r="L401" s="2">
        <v>5</v>
      </c>
      <c r="M401" s="2" t="s">
        <v>8680</v>
      </c>
      <c r="O401" s="2">
        <v>2000</v>
      </c>
      <c r="P401" s="2">
        <v>2000</v>
      </c>
      <c r="Q401" s="2" t="s">
        <v>8681</v>
      </c>
      <c r="S401" s="2">
        <v>5</v>
      </c>
      <c r="T401" s="2" t="s">
        <v>7142</v>
      </c>
    </row>
    <row r="402" spans="2:20">
      <c r="B402" s="2" t="s">
        <v>886</v>
      </c>
      <c r="C402" s="2" t="s">
        <v>6189</v>
      </c>
      <c r="D402" s="19" t="s">
        <v>8682</v>
      </c>
      <c r="E402" s="2">
        <v>1</v>
      </c>
      <c r="G402" s="2">
        <v>1000</v>
      </c>
      <c r="H402" s="2" t="s">
        <v>7142</v>
      </c>
      <c r="I402" s="2" t="s">
        <v>8692</v>
      </c>
      <c r="K402" s="2">
        <v>1</v>
      </c>
      <c r="L402" s="2">
        <v>3</v>
      </c>
      <c r="M402" s="2" t="s">
        <v>8680</v>
      </c>
      <c r="O402" s="2">
        <v>2000</v>
      </c>
      <c r="P402" s="2">
        <v>2000</v>
      </c>
      <c r="Q402" s="2" t="s">
        <v>8681</v>
      </c>
      <c r="S402" s="2">
        <v>5</v>
      </c>
      <c r="T402" s="2" t="s">
        <v>7142</v>
      </c>
    </row>
    <row r="403" spans="2:20">
      <c r="B403" s="2" t="s">
        <v>889</v>
      </c>
      <c r="C403" s="2" t="s">
        <v>6190</v>
      </c>
      <c r="D403" s="19" t="s">
        <v>8684</v>
      </c>
      <c r="E403" s="2">
        <v>0.4</v>
      </c>
      <c r="G403" s="2">
        <v>520</v>
      </c>
      <c r="H403" s="2" t="s">
        <v>7143</v>
      </c>
      <c r="K403" s="2">
        <v>0.4</v>
      </c>
      <c r="L403" s="2">
        <v>1.1000000000000001</v>
      </c>
      <c r="M403" s="2" t="s">
        <v>8680</v>
      </c>
      <c r="O403" s="2">
        <v>2000</v>
      </c>
      <c r="P403" s="2">
        <v>2000</v>
      </c>
      <c r="Q403" s="2" t="s">
        <v>8679</v>
      </c>
      <c r="S403" s="2">
        <v>5</v>
      </c>
      <c r="T403" s="2" t="s">
        <v>7143</v>
      </c>
    </row>
    <row r="404" spans="2:20">
      <c r="B404" s="2" t="s">
        <v>889</v>
      </c>
      <c r="C404" s="2" t="s">
        <v>6191</v>
      </c>
      <c r="D404" s="19" t="s">
        <v>8685</v>
      </c>
      <c r="E404" s="2">
        <v>0.6</v>
      </c>
      <c r="G404" s="2">
        <v>680</v>
      </c>
      <c r="H404" s="2" t="s">
        <v>7142</v>
      </c>
      <c r="I404" s="2" t="s">
        <v>8686</v>
      </c>
      <c r="K404" s="2">
        <v>0.6</v>
      </c>
      <c r="L404" s="2">
        <v>1.3</v>
      </c>
      <c r="M404" s="2" t="s">
        <v>8680</v>
      </c>
      <c r="O404" s="2">
        <v>2019</v>
      </c>
      <c r="P404" s="2">
        <v>2019</v>
      </c>
      <c r="Q404" s="2" t="s">
        <v>8697</v>
      </c>
      <c r="R404" s="2" t="s">
        <v>308</v>
      </c>
      <c r="S404" s="2">
        <v>5</v>
      </c>
      <c r="T404" s="2" t="s">
        <v>7143</v>
      </c>
    </row>
    <row r="405" spans="2:20">
      <c r="B405" s="2" t="s">
        <v>889</v>
      </c>
      <c r="C405" s="2" t="s">
        <v>6192</v>
      </c>
      <c r="D405" s="19" t="s">
        <v>8682</v>
      </c>
      <c r="E405" s="2">
        <v>0.4</v>
      </c>
      <c r="G405" s="2">
        <v>520</v>
      </c>
      <c r="H405" s="2" t="s">
        <v>7143</v>
      </c>
      <c r="K405" s="2">
        <v>0.5</v>
      </c>
      <c r="L405" s="2">
        <v>1.1000000000000001</v>
      </c>
      <c r="M405" s="2" t="s">
        <v>8680</v>
      </c>
      <c r="O405" s="2">
        <v>2000</v>
      </c>
      <c r="P405" s="2">
        <v>2000</v>
      </c>
      <c r="Q405" s="2" t="s">
        <v>8679</v>
      </c>
      <c r="S405" s="2">
        <v>5</v>
      </c>
      <c r="T405" s="2" t="s">
        <v>7142</v>
      </c>
    </row>
    <row r="406" spans="2:20">
      <c r="B406" s="2" t="s">
        <v>1959</v>
      </c>
      <c r="C406" s="2" t="s">
        <v>6193</v>
      </c>
      <c r="D406" s="19" t="s">
        <v>8685</v>
      </c>
      <c r="E406" s="2">
        <v>0.4</v>
      </c>
      <c r="F406" s="2">
        <v>0</v>
      </c>
      <c r="G406" s="2">
        <v>400</v>
      </c>
      <c r="H406" s="2" t="s">
        <v>7143</v>
      </c>
      <c r="K406" s="2">
        <v>0.4</v>
      </c>
      <c r="L406" s="2">
        <v>1</v>
      </c>
      <c r="M406" s="2" t="s">
        <v>8680</v>
      </c>
      <c r="O406" s="2">
        <v>1995</v>
      </c>
      <c r="P406" s="2">
        <v>1995</v>
      </c>
      <c r="Q406" s="2" t="s">
        <v>8681</v>
      </c>
      <c r="S406" s="2">
        <v>7</v>
      </c>
      <c r="T406" s="2" t="s">
        <v>7143</v>
      </c>
    </row>
    <row r="407" spans="2:20">
      <c r="B407" s="2" t="s">
        <v>1959</v>
      </c>
      <c r="C407" s="2" t="s">
        <v>6194</v>
      </c>
      <c r="D407" s="19" t="s">
        <v>8682</v>
      </c>
      <c r="E407" s="2">
        <v>0.4</v>
      </c>
      <c r="F407" s="2">
        <v>0</v>
      </c>
      <c r="G407" s="2">
        <v>400</v>
      </c>
      <c r="H407" s="2" t="s">
        <v>7143</v>
      </c>
      <c r="K407" s="2">
        <v>0.4</v>
      </c>
      <c r="L407" s="2">
        <v>1</v>
      </c>
      <c r="M407" s="2" t="s">
        <v>8680</v>
      </c>
      <c r="O407" s="2">
        <v>1995</v>
      </c>
      <c r="P407" s="2">
        <v>1995</v>
      </c>
      <c r="Q407" s="2" t="s">
        <v>8681</v>
      </c>
      <c r="S407" s="2">
        <v>10</v>
      </c>
      <c r="T407" s="2" t="s">
        <v>7143</v>
      </c>
    </row>
    <row r="408" spans="2:20">
      <c r="B408" s="2" t="s">
        <v>1959</v>
      </c>
      <c r="C408" s="2" t="s">
        <v>6195</v>
      </c>
      <c r="D408" s="19" t="s">
        <v>8684</v>
      </c>
      <c r="E408" s="2">
        <v>0.2</v>
      </c>
      <c r="F408" s="2">
        <v>0</v>
      </c>
      <c r="G408" s="2">
        <v>200</v>
      </c>
      <c r="H408" s="2" t="s">
        <v>7143</v>
      </c>
      <c r="K408" s="2">
        <v>0.2</v>
      </c>
      <c r="L408" s="2">
        <v>0.6</v>
      </c>
      <c r="M408" s="2" t="s">
        <v>8680</v>
      </c>
      <c r="O408" s="2">
        <v>1995</v>
      </c>
      <c r="P408" s="2">
        <v>1995</v>
      </c>
      <c r="Q408" s="2" t="s">
        <v>8681</v>
      </c>
      <c r="S408" s="2">
        <v>10</v>
      </c>
      <c r="T408" s="2" t="s">
        <v>7143</v>
      </c>
    </row>
    <row r="409" spans="2:20">
      <c r="B409" s="2" t="s">
        <v>1093</v>
      </c>
      <c r="C409" s="2" t="s">
        <v>6196</v>
      </c>
      <c r="D409" s="19" t="s">
        <v>8684</v>
      </c>
      <c r="E409" s="2">
        <v>0.5</v>
      </c>
      <c r="F409" s="2">
        <v>0</v>
      </c>
      <c r="G409" s="2">
        <v>500</v>
      </c>
      <c r="H409" s="2" t="s">
        <v>7143</v>
      </c>
      <c r="K409" s="2">
        <v>0.5</v>
      </c>
      <c r="L409" s="2">
        <v>0.8</v>
      </c>
      <c r="M409" s="2" t="s">
        <v>8680</v>
      </c>
      <c r="O409" s="2">
        <v>2016</v>
      </c>
      <c r="P409" s="2">
        <v>2016</v>
      </c>
      <c r="Q409" s="2" t="s">
        <v>8679</v>
      </c>
      <c r="S409" s="2">
        <v>25</v>
      </c>
      <c r="T409" s="2" t="s">
        <v>7143</v>
      </c>
    </row>
    <row r="410" spans="2:20">
      <c r="B410" s="2" t="s">
        <v>1093</v>
      </c>
      <c r="C410" s="2" t="s">
        <v>6197</v>
      </c>
      <c r="D410" s="19" t="s">
        <v>8685</v>
      </c>
      <c r="E410" s="2">
        <v>0.8</v>
      </c>
      <c r="F410" s="2">
        <v>0</v>
      </c>
      <c r="G410" s="2">
        <v>800</v>
      </c>
      <c r="H410" s="2" t="s">
        <v>7143</v>
      </c>
      <c r="K410" s="2">
        <v>0.8</v>
      </c>
      <c r="L410" s="2">
        <v>1.3</v>
      </c>
      <c r="M410" s="2" t="s">
        <v>8680</v>
      </c>
      <c r="O410" s="2">
        <v>2000</v>
      </c>
      <c r="P410" s="2">
        <v>2000</v>
      </c>
      <c r="Q410" s="2" t="s">
        <v>8679</v>
      </c>
      <c r="S410" s="2">
        <v>20</v>
      </c>
      <c r="T410" s="2" t="s">
        <v>7143</v>
      </c>
    </row>
    <row r="411" spans="2:20">
      <c r="B411" s="2" t="s">
        <v>1093</v>
      </c>
      <c r="C411" s="2" t="s">
        <v>6198</v>
      </c>
      <c r="D411" s="19" t="s">
        <v>8699</v>
      </c>
      <c r="E411" s="2">
        <v>0.7</v>
      </c>
      <c r="F411" s="2">
        <v>0</v>
      </c>
      <c r="G411" s="2">
        <v>700</v>
      </c>
      <c r="H411" s="2" t="s">
        <v>7143</v>
      </c>
      <c r="K411" s="2">
        <v>0.7</v>
      </c>
      <c r="L411" s="2">
        <v>1.2</v>
      </c>
      <c r="M411" s="2" t="s">
        <v>8680</v>
      </c>
      <c r="O411" s="2">
        <v>2000</v>
      </c>
      <c r="P411" s="2">
        <v>2000</v>
      </c>
      <c r="Q411" s="2" t="s">
        <v>8679</v>
      </c>
      <c r="S411" s="2">
        <v>20</v>
      </c>
      <c r="T411" s="2" t="s">
        <v>7143</v>
      </c>
    </row>
    <row r="412" spans="2:20">
      <c r="B412" s="2" t="s">
        <v>1093</v>
      </c>
      <c r="C412" s="2" t="s">
        <v>6199</v>
      </c>
      <c r="D412" s="19" t="s">
        <v>8682</v>
      </c>
      <c r="E412" s="2">
        <v>0.7</v>
      </c>
      <c r="F412" s="2">
        <v>0</v>
      </c>
      <c r="G412" s="2">
        <v>700</v>
      </c>
      <c r="H412" s="2" t="s">
        <v>7143</v>
      </c>
      <c r="K412" s="2">
        <v>0.7</v>
      </c>
      <c r="L412" s="2">
        <v>1.2</v>
      </c>
      <c r="M412" s="2" t="s">
        <v>8678</v>
      </c>
      <c r="O412" s="2">
        <v>2000</v>
      </c>
      <c r="P412" s="2">
        <v>2000</v>
      </c>
      <c r="Q412" s="2" t="s">
        <v>8679</v>
      </c>
      <c r="S412" s="2">
        <v>25</v>
      </c>
      <c r="T412" s="2" t="s">
        <v>7143</v>
      </c>
    </row>
    <row r="413" spans="2:20">
      <c r="B413" s="2" t="s">
        <v>943</v>
      </c>
      <c r="C413" s="2" t="s">
        <v>6200</v>
      </c>
      <c r="D413" s="19" t="s">
        <v>8682</v>
      </c>
      <c r="E413" s="2">
        <v>0.2</v>
      </c>
      <c r="G413" s="2">
        <v>350</v>
      </c>
      <c r="H413" s="2" t="s">
        <v>7143</v>
      </c>
      <c r="K413" s="2">
        <v>0.2</v>
      </c>
      <c r="L413" s="2">
        <v>0.5</v>
      </c>
      <c r="M413" s="2" t="s">
        <v>8678</v>
      </c>
      <c r="O413" s="2">
        <v>2007</v>
      </c>
      <c r="P413" s="2">
        <v>2007</v>
      </c>
      <c r="Q413" s="2" t="s">
        <v>8681</v>
      </c>
      <c r="S413" s="2">
        <v>5</v>
      </c>
      <c r="T413" s="2" t="s">
        <v>7143</v>
      </c>
    </row>
    <row r="414" spans="2:20">
      <c r="B414" s="2" t="s">
        <v>1666</v>
      </c>
      <c r="C414" s="2" t="s">
        <v>6201</v>
      </c>
      <c r="D414" s="19" t="s">
        <v>8684</v>
      </c>
      <c r="E414" s="2">
        <v>1.8</v>
      </c>
      <c r="F414" s="2">
        <v>0</v>
      </c>
      <c r="G414" s="2">
        <v>1800</v>
      </c>
      <c r="H414" s="2" t="s">
        <v>7142</v>
      </c>
      <c r="I414" s="2" t="s">
        <v>8686</v>
      </c>
      <c r="K414" s="2">
        <v>1.8</v>
      </c>
      <c r="L414" s="2">
        <v>5.5</v>
      </c>
      <c r="M414" s="2" t="s">
        <v>8700</v>
      </c>
      <c r="O414" s="2">
        <v>1994</v>
      </c>
      <c r="P414" s="2">
        <v>2011</v>
      </c>
      <c r="Q414" s="2" t="s">
        <v>8679</v>
      </c>
      <c r="S414" s="2">
        <v>20</v>
      </c>
      <c r="T414" s="2" t="s">
        <v>7143</v>
      </c>
    </row>
    <row r="415" spans="2:20">
      <c r="B415" s="2" t="s">
        <v>1666</v>
      </c>
      <c r="C415" s="2" t="s">
        <v>6202</v>
      </c>
      <c r="D415" s="19" t="s">
        <v>8682</v>
      </c>
      <c r="E415" s="2">
        <v>2</v>
      </c>
      <c r="F415" s="2">
        <v>0</v>
      </c>
      <c r="G415" s="2">
        <v>2000</v>
      </c>
      <c r="H415" s="2" t="s">
        <v>7142</v>
      </c>
      <c r="I415" s="2" t="s">
        <v>8686</v>
      </c>
      <c r="K415" s="2">
        <v>2</v>
      </c>
      <c r="L415" s="2">
        <v>7.8</v>
      </c>
      <c r="M415" s="2" t="s">
        <v>8680</v>
      </c>
      <c r="O415" s="2">
        <v>1994</v>
      </c>
      <c r="P415" s="2">
        <v>2007</v>
      </c>
      <c r="Q415" s="2" t="s">
        <v>8679</v>
      </c>
      <c r="S415" s="2">
        <v>20</v>
      </c>
      <c r="T415" s="2" t="s">
        <v>7143</v>
      </c>
    </row>
    <row r="416" spans="2:20">
      <c r="B416" s="2" t="s">
        <v>1111</v>
      </c>
      <c r="C416" s="2" t="s">
        <v>6203</v>
      </c>
      <c r="D416" s="19" t="s">
        <v>8682</v>
      </c>
      <c r="E416" s="2">
        <v>3</v>
      </c>
      <c r="F416" s="2">
        <v>0</v>
      </c>
      <c r="G416" s="2">
        <v>3000</v>
      </c>
      <c r="H416" s="2" t="s">
        <v>7143</v>
      </c>
      <c r="K416" s="2">
        <v>3</v>
      </c>
      <c r="L416" s="2">
        <v>10</v>
      </c>
      <c r="M416" s="2" t="s">
        <v>8680</v>
      </c>
      <c r="O416" s="2">
        <v>2020</v>
      </c>
      <c r="P416" s="2">
        <v>2020</v>
      </c>
      <c r="Q416" s="2" t="s">
        <v>8679</v>
      </c>
      <c r="S416" s="2">
        <v>30</v>
      </c>
      <c r="T416" s="2" t="s">
        <v>7143</v>
      </c>
    </row>
    <row r="417" spans="2:20">
      <c r="B417" s="2" t="s">
        <v>1137</v>
      </c>
      <c r="C417" s="2" t="s">
        <v>6204</v>
      </c>
      <c r="D417" s="19" t="s">
        <v>8682</v>
      </c>
      <c r="E417" s="2">
        <v>0.7</v>
      </c>
      <c r="G417" s="2">
        <v>700</v>
      </c>
      <c r="I417" s="2" t="s">
        <v>8692</v>
      </c>
      <c r="K417" s="2">
        <v>0.7</v>
      </c>
      <c r="L417" s="2">
        <v>2.2000000000000002</v>
      </c>
      <c r="M417" s="2" t="s">
        <v>8680</v>
      </c>
      <c r="O417" s="2">
        <v>2010</v>
      </c>
      <c r="P417" s="2">
        <v>2010</v>
      </c>
      <c r="Q417" s="2" t="s">
        <v>8681</v>
      </c>
      <c r="S417" s="2">
        <v>8</v>
      </c>
      <c r="T417" s="2" t="s">
        <v>7143</v>
      </c>
    </row>
    <row r="418" spans="2:20">
      <c r="B418" s="2" t="s">
        <v>1117</v>
      </c>
      <c r="C418" s="2" t="s">
        <v>6205</v>
      </c>
      <c r="D418" s="19" t="s">
        <v>8682</v>
      </c>
      <c r="E418" s="2">
        <v>1</v>
      </c>
      <c r="F418" s="2">
        <v>0</v>
      </c>
      <c r="G418" s="2">
        <v>1000</v>
      </c>
      <c r="H418" s="2" t="s">
        <v>7143</v>
      </c>
      <c r="K418" s="2">
        <v>1</v>
      </c>
      <c r="L418" s="2">
        <v>4</v>
      </c>
      <c r="M418" s="2" t="s">
        <v>8680</v>
      </c>
      <c r="O418" s="2">
        <v>2000</v>
      </c>
      <c r="P418" s="2">
        <v>2000</v>
      </c>
      <c r="Q418" s="2" t="s">
        <v>8683</v>
      </c>
      <c r="S418" s="2">
        <v>30</v>
      </c>
      <c r="T418" s="2" t="s">
        <v>7143</v>
      </c>
    </row>
    <row r="419" spans="2:20">
      <c r="B419" s="2" t="s">
        <v>1117</v>
      </c>
      <c r="C419" s="2" t="s">
        <v>6206</v>
      </c>
      <c r="D419" s="19" t="s">
        <v>8684</v>
      </c>
      <c r="E419" s="2">
        <v>1</v>
      </c>
      <c r="F419" s="2">
        <v>0</v>
      </c>
      <c r="G419" s="2">
        <v>1000</v>
      </c>
      <c r="H419" s="2" t="s">
        <v>7143</v>
      </c>
      <c r="K419" s="2">
        <v>1</v>
      </c>
      <c r="L419" s="2">
        <v>3.5</v>
      </c>
      <c r="M419" s="2" t="s">
        <v>8678</v>
      </c>
      <c r="O419" s="2">
        <v>2000</v>
      </c>
      <c r="P419" s="2">
        <v>2000</v>
      </c>
      <c r="Q419" s="2" t="s">
        <v>8683</v>
      </c>
      <c r="S419" s="2">
        <v>20</v>
      </c>
      <c r="T419" s="2" t="s">
        <v>7143</v>
      </c>
    </row>
    <row r="420" spans="2:20">
      <c r="B420" s="2" t="s">
        <v>1156</v>
      </c>
      <c r="C420" s="2" t="s">
        <v>6207</v>
      </c>
      <c r="D420" s="19" t="s">
        <v>8682</v>
      </c>
      <c r="E420" s="2">
        <v>0.15</v>
      </c>
      <c r="G420" s="2">
        <v>150</v>
      </c>
      <c r="H420" s="2" t="s">
        <v>7142</v>
      </c>
      <c r="I420" s="2" t="s">
        <v>8687</v>
      </c>
      <c r="K420" s="2">
        <v>0.15</v>
      </c>
      <c r="L420" s="2">
        <v>0.35</v>
      </c>
      <c r="M420" s="2" t="s">
        <v>8680</v>
      </c>
      <c r="O420" s="2">
        <v>1999</v>
      </c>
      <c r="P420" s="2">
        <v>1999</v>
      </c>
      <c r="Q420" s="2" t="s">
        <v>8679</v>
      </c>
      <c r="S420" s="2">
        <v>7</v>
      </c>
      <c r="T420" s="2" t="s">
        <v>7143</v>
      </c>
    </row>
    <row r="421" spans="2:20">
      <c r="B421" s="2" t="s">
        <v>1156</v>
      </c>
      <c r="C421" s="2" t="s">
        <v>6208</v>
      </c>
      <c r="D421" s="19" t="s">
        <v>8684</v>
      </c>
      <c r="E421" s="2">
        <v>0.15</v>
      </c>
      <c r="G421" s="2">
        <v>150</v>
      </c>
      <c r="H421" s="2" t="s">
        <v>7142</v>
      </c>
      <c r="I421" s="2" t="s">
        <v>8687</v>
      </c>
      <c r="M421" s="2" t="s">
        <v>8680</v>
      </c>
      <c r="O421" s="2">
        <v>2025</v>
      </c>
      <c r="P421" s="2">
        <v>2025</v>
      </c>
      <c r="Q421" s="2" t="s">
        <v>8697</v>
      </c>
      <c r="R421" s="2" t="s">
        <v>6209</v>
      </c>
      <c r="S421" s="2">
        <v>8</v>
      </c>
      <c r="T421" s="2" t="s">
        <v>7143</v>
      </c>
    </row>
    <row r="422" spans="2:20">
      <c r="B422" s="2" t="s">
        <v>1694</v>
      </c>
      <c r="C422" s="2" t="s">
        <v>6210</v>
      </c>
      <c r="D422" s="19" t="s">
        <v>8684</v>
      </c>
      <c r="E422" s="2">
        <v>0.7</v>
      </c>
      <c r="F422" s="2">
        <v>0</v>
      </c>
      <c r="G422" s="2">
        <v>700</v>
      </c>
      <c r="H422" s="2" t="s">
        <v>7143</v>
      </c>
      <c r="K422" s="2">
        <v>0.7</v>
      </c>
      <c r="L422" s="2">
        <v>2.4</v>
      </c>
      <c r="M422" s="2" t="s">
        <v>8700</v>
      </c>
      <c r="O422" s="2">
        <v>1997</v>
      </c>
      <c r="P422" s="2">
        <v>1997</v>
      </c>
      <c r="Q422" s="2" t="s">
        <v>8681</v>
      </c>
      <c r="S422" s="2">
        <v>20</v>
      </c>
      <c r="T422" s="2" t="s">
        <v>7143</v>
      </c>
    </row>
    <row r="423" spans="2:20">
      <c r="B423" s="2" t="s">
        <v>1694</v>
      </c>
      <c r="C423" s="2" t="s">
        <v>6211</v>
      </c>
      <c r="D423" s="19" t="s">
        <v>8682</v>
      </c>
      <c r="E423" s="2">
        <v>0.8</v>
      </c>
      <c r="F423" s="2">
        <v>0</v>
      </c>
      <c r="G423" s="2">
        <v>800</v>
      </c>
      <c r="H423" s="2" t="s">
        <v>7143</v>
      </c>
      <c r="K423" s="2">
        <v>0.8</v>
      </c>
      <c r="L423" s="2">
        <v>3</v>
      </c>
      <c r="M423" s="2" t="s">
        <v>8678</v>
      </c>
      <c r="O423" s="2">
        <v>1997</v>
      </c>
      <c r="P423" s="2">
        <v>1997</v>
      </c>
      <c r="Q423" s="2" t="s">
        <v>8681</v>
      </c>
      <c r="S423" s="2">
        <v>20</v>
      </c>
      <c r="T423" s="2" t="s">
        <v>7143</v>
      </c>
    </row>
    <row r="424" spans="2:20">
      <c r="B424" s="2" t="s">
        <v>1154</v>
      </c>
      <c r="C424" s="2" t="s">
        <v>6212</v>
      </c>
      <c r="D424" s="19" t="s">
        <v>8682</v>
      </c>
      <c r="E424" s="2">
        <v>0.4</v>
      </c>
      <c r="G424" s="2">
        <v>420</v>
      </c>
      <c r="H424" s="2" t="s">
        <v>7143</v>
      </c>
      <c r="K424" s="2">
        <v>0.4</v>
      </c>
      <c r="L424" s="2">
        <v>1.3</v>
      </c>
      <c r="M424" s="2" t="s">
        <v>8680</v>
      </c>
      <c r="O424" s="2">
        <v>1994</v>
      </c>
      <c r="P424" s="2">
        <v>2012</v>
      </c>
      <c r="Q424" s="2" t="s">
        <v>8679</v>
      </c>
      <c r="S424" s="2">
        <v>8</v>
      </c>
      <c r="T424" s="2" t="s">
        <v>7143</v>
      </c>
    </row>
    <row r="425" spans="2:20">
      <c r="B425" s="2" t="s">
        <v>1122</v>
      </c>
      <c r="C425" s="2" t="s">
        <v>6213</v>
      </c>
      <c r="D425" s="19" t="s">
        <v>8682</v>
      </c>
      <c r="E425" s="2">
        <v>1</v>
      </c>
      <c r="F425" s="2">
        <v>0</v>
      </c>
      <c r="G425" s="2">
        <v>1000</v>
      </c>
      <c r="H425" s="2" t="s">
        <v>7143</v>
      </c>
      <c r="K425" s="2">
        <v>1</v>
      </c>
      <c r="L425" s="2">
        <v>2.5</v>
      </c>
      <c r="M425" s="2" t="s">
        <v>8680</v>
      </c>
      <c r="O425" s="2">
        <v>2015</v>
      </c>
      <c r="P425" s="2">
        <v>2015</v>
      </c>
      <c r="Q425" s="2" t="s">
        <v>8683</v>
      </c>
      <c r="S425" s="2">
        <v>25</v>
      </c>
      <c r="T425" s="2" t="s">
        <v>7143</v>
      </c>
    </row>
    <row r="426" spans="2:20">
      <c r="B426" s="2" t="s">
        <v>1128</v>
      </c>
      <c r="C426" s="2" t="s">
        <v>6214</v>
      </c>
      <c r="D426" s="19" t="s">
        <v>8682</v>
      </c>
      <c r="E426" s="2">
        <v>2.2000000000000002</v>
      </c>
      <c r="G426" s="2">
        <v>1800</v>
      </c>
      <c r="H426" s="2" t="s">
        <v>7142</v>
      </c>
      <c r="I426" s="2" t="s">
        <v>8687</v>
      </c>
      <c r="K426" s="2">
        <v>2.2000000000000002</v>
      </c>
      <c r="L426" s="2">
        <v>4.5999999999999996</v>
      </c>
      <c r="M426" s="2" t="s">
        <v>8680</v>
      </c>
      <c r="O426" s="2">
        <v>2016</v>
      </c>
      <c r="P426" s="2">
        <v>2016</v>
      </c>
      <c r="Q426" s="2" t="s">
        <v>8679</v>
      </c>
      <c r="S426" s="2">
        <v>9</v>
      </c>
      <c r="T426" s="2" t="s">
        <v>7143</v>
      </c>
    </row>
    <row r="427" spans="2:20">
      <c r="B427" s="2" t="s">
        <v>1720</v>
      </c>
      <c r="C427" s="2" t="s">
        <v>6215</v>
      </c>
      <c r="D427" s="19" t="s">
        <v>8682</v>
      </c>
      <c r="E427" s="2">
        <v>0.5</v>
      </c>
      <c r="F427" s="2">
        <v>0</v>
      </c>
      <c r="G427" s="2">
        <v>500</v>
      </c>
      <c r="H427" s="2" t="s">
        <v>7143</v>
      </c>
      <c r="K427" s="2">
        <v>0.5</v>
      </c>
      <c r="L427" s="2">
        <v>1</v>
      </c>
      <c r="M427" s="2" t="s">
        <v>8680</v>
      </c>
      <c r="O427" s="2">
        <v>1995</v>
      </c>
      <c r="P427" s="2">
        <v>2005</v>
      </c>
      <c r="Q427" s="2" t="s">
        <v>8679</v>
      </c>
      <c r="S427" s="2">
        <v>25</v>
      </c>
      <c r="T427" s="2" t="s">
        <v>7143</v>
      </c>
    </row>
    <row r="428" spans="2:20">
      <c r="B428" s="2" t="s">
        <v>1720</v>
      </c>
      <c r="C428" s="2" t="s">
        <v>6216</v>
      </c>
      <c r="D428" s="19" t="s">
        <v>8684</v>
      </c>
      <c r="E428" s="2">
        <v>0.9</v>
      </c>
      <c r="F428" s="2">
        <v>0</v>
      </c>
      <c r="G428" s="2">
        <v>900</v>
      </c>
      <c r="H428" s="2" t="s">
        <v>7143</v>
      </c>
      <c r="K428" s="2">
        <v>0.9</v>
      </c>
      <c r="L428" s="2">
        <v>4</v>
      </c>
      <c r="M428" s="2" t="s">
        <v>8700</v>
      </c>
      <c r="O428" s="2">
        <v>1997</v>
      </c>
      <c r="P428" s="2">
        <v>1997</v>
      </c>
      <c r="Q428" s="2" t="s">
        <v>8681</v>
      </c>
      <c r="S428" s="2">
        <v>25</v>
      </c>
      <c r="T428" s="2" t="s">
        <v>7143</v>
      </c>
    </row>
    <row r="429" spans="2:20">
      <c r="B429" s="2" t="s">
        <v>1131</v>
      </c>
      <c r="C429" s="2" t="s">
        <v>6217</v>
      </c>
      <c r="D429" s="19" t="s">
        <v>8682</v>
      </c>
      <c r="E429" s="2">
        <v>1</v>
      </c>
      <c r="F429" s="2">
        <v>0</v>
      </c>
      <c r="G429" s="2">
        <v>1000</v>
      </c>
      <c r="H429" s="2" t="s">
        <v>7142</v>
      </c>
      <c r="I429" s="2" t="s">
        <v>8687</v>
      </c>
      <c r="K429" s="2">
        <v>1</v>
      </c>
      <c r="L429" s="2">
        <v>3</v>
      </c>
      <c r="M429" s="2" t="s">
        <v>8680</v>
      </c>
      <c r="O429" s="2">
        <v>2010</v>
      </c>
      <c r="P429" s="2">
        <v>2010</v>
      </c>
      <c r="Q429" s="2" t="s">
        <v>8679</v>
      </c>
      <c r="S429" s="2">
        <v>20</v>
      </c>
      <c r="T429" s="2" t="s">
        <v>7143</v>
      </c>
    </row>
    <row r="430" spans="2:20">
      <c r="B430" s="2" t="s">
        <v>1023</v>
      </c>
      <c r="C430" s="2" t="s">
        <v>6218</v>
      </c>
      <c r="D430" s="19" t="s">
        <v>8682</v>
      </c>
      <c r="E430" s="2">
        <v>0.32</v>
      </c>
      <c r="G430" s="2">
        <v>320</v>
      </c>
      <c r="H430" s="2" t="s">
        <v>7143</v>
      </c>
      <c r="K430" s="2">
        <v>0.32</v>
      </c>
      <c r="L430" s="2">
        <v>0.65</v>
      </c>
      <c r="M430" s="2" t="s">
        <v>8680</v>
      </c>
      <c r="O430" s="2">
        <v>2017</v>
      </c>
      <c r="P430" s="2">
        <v>2017</v>
      </c>
      <c r="Q430" s="2" t="s">
        <v>8679</v>
      </c>
      <c r="S430" s="2">
        <v>6</v>
      </c>
      <c r="T430" s="2" t="s">
        <v>7143</v>
      </c>
    </row>
    <row r="431" spans="2:20">
      <c r="B431" s="2" t="s">
        <v>1023</v>
      </c>
      <c r="C431" s="2" t="s">
        <v>6219</v>
      </c>
      <c r="D431" s="19" t="s">
        <v>8684</v>
      </c>
      <c r="E431" s="2">
        <v>0.28000000000000003</v>
      </c>
      <c r="G431" s="2">
        <v>280</v>
      </c>
      <c r="H431" s="2" t="s">
        <v>7143</v>
      </c>
      <c r="K431" s="2">
        <v>0.28000000000000003</v>
      </c>
      <c r="L431" s="2">
        <v>0.45</v>
      </c>
      <c r="M431" s="2" t="s">
        <v>8680</v>
      </c>
      <c r="O431" s="2">
        <v>2017</v>
      </c>
      <c r="P431" s="2">
        <v>2017</v>
      </c>
      <c r="Q431" s="2" t="s">
        <v>8697</v>
      </c>
      <c r="R431" s="2" t="s">
        <v>6220</v>
      </c>
      <c r="S431" s="2">
        <v>7</v>
      </c>
      <c r="T431" s="2" t="s">
        <v>7143</v>
      </c>
    </row>
    <row r="432" spans="2:20">
      <c r="B432" s="2" t="s">
        <v>1023</v>
      </c>
      <c r="C432" s="2" t="s">
        <v>6221</v>
      </c>
      <c r="D432" s="19" t="s">
        <v>8699</v>
      </c>
      <c r="E432" s="2">
        <v>0.24</v>
      </c>
      <c r="G432" s="2">
        <v>240</v>
      </c>
      <c r="H432" s="2" t="s">
        <v>7143</v>
      </c>
      <c r="K432" s="2">
        <v>0.24</v>
      </c>
      <c r="L432" s="2">
        <v>0.4</v>
      </c>
      <c r="M432" s="2" t="s">
        <v>8678</v>
      </c>
      <c r="O432" s="2">
        <v>2022</v>
      </c>
      <c r="P432" s="2">
        <v>2022</v>
      </c>
      <c r="Q432" s="2" t="s">
        <v>8679</v>
      </c>
      <c r="S432" s="2">
        <v>7</v>
      </c>
      <c r="T432" s="2" t="s">
        <v>7143</v>
      </c>
    </row>
    <row r="433" spans="2:20">
      <c r="B433" s="2" t="s">
        <v>1023</v>
      </c>
      <c r="C433" s="2" t="s">
        <v>6222</v>
      </c>
      <c r="D433" s="19" t="s">
        <v>8685</v>
      </c>
      <c r="E433" s="2">
        <v>0.2</v>
      </c>
      <c r="G433" s="2">
        <v>200</v>
      </c>
      <c r="H433" s="2" t="s">
        <v>7143</v>
      </c>
      <c r="K433" s="2">
        <v>0.2</v>
      </c>
      <c r="L433" s="2">
        <v>0.3</v>
      </c>
      <c r="M433" s="2" t="s">
        <v>8680</v>
      </c>
      <c r="O433" s="2">
        <v>2023</v>
      </c>
      <c r="P433" s="2">
        <v>2023</v>
      </c>
      <c r="Q433" s="2" t="s">
        <v>8697</v>
      </c>
      <c r="R433" s="2" t="s">
        <v>308</v>
      </c>
      <c r="S433" s="2">
        <v>7</v>
      </c>
      <c r="T433" s="2" t="s">
        <v>7143</v>
      </c>
    </row>
    <row r="434" spans="2:20">
      <c r="B434" s="2" t="s">
        <v>1139</v>
      </c>
      <c r="C434" s="2" t="s">
        <v>6223</v>
      </c>
      <c r="D434" s="19" t="s">
        <v>8682</v>
      </c>
      <c r="E434" s="2">
        <v>0.7</v>
      </c>
      <c r="F434" s="2">
        <v>0</v>
      </c>
      <c r="G434" s="2">
        <v>700</v>
      </c>
      <c r="H434" s="2" t="s">
        <v>7143</v>
      </c>
      <c r="K434" s="2">
        <v>0.7</v>
      </c>
      <c r="L434" s="2">
        <v>2</v>
      </c>
      <c r="M434" s="2" t="s">
        <v>8680</v>
      </c>
      <c r="O434" s="2">
        <v>2005</v>
      </c>
      <c r="P434" s="2">
        <v>2005</v>
      </c>
      <c r="Q434" s="2" t="s">
        <v>8683</v>
      </c>
      <c r="S434" s="2">
        <v>20</v>
      </c>
      <c r="T434" s="2" t="s">
        <v>7143</v>
      </c>
    </row>
    <row r="435" spans="2:20">
      <c r="B435" s="2" t="s">
        <v>1762</v>
      </c>
      <c r="C435" s="2" t="s">
        <v>6224</v>
      </c>
      <c r="D435" s="19" t="s">
        <v>8682</v>
      </c>
      <c r="E435" s="2">
        <v>1</v>
      </c>
      <c r="F435" s="2">
        <v>0</v>
      </c>
      <c r="G435" s="2">
        <v>1000</v>
      </c>
      <c r="H435" s="2" t="s">
        <v>7143</v>
      </c>
      <c r="K435" s="2">
        <v>1</v>
      </c>
      <c r="L435" s="2">
        <v>4</v>
      </c>
      <c r="M435" s="2" t="s">
        <v>8700</v>
      </c>
      <c r="O435" s="2">
        <v>1997</v>
      </c>
      <c r="P435" s="2">
        <v>1997</v>
      </c>
      <c r="Q435" s="2" t="s">
        <v>8688</v>
      </c>
      <c r="S435" s="2">
        <v>18</v>
      </c>
      <c r="T435" s="2" t="s">
        <v>7143</v>
      </c>
    </row>
    <row r="436" spans="2:20">
      <c r="B436" s="2" t="s">
        <v>952</v>
      </c>
      <c r="C436" s="2" t="s">
        <v>6225</v>
      </c>
      <c r="D436" s="19" t="s">
        <v>8684</v>
      </c>
      <c r="E436" s="2">
        <v>0.1</v>
      </c>
      <c r="G436" s="2">
        <v>120</v>
      </c>
      <c r="H436" s="2" t="s">
        <v>7143</v>
      </c>
      <c r="K436" s="2">
        <v>0.1</v>
      </c>
      <c r="L436" s="2">
        <v>0.1</v>
      </c>
      <c r="M436" s="2" t="s">
        <v>8678</v>
      </c>
      <c r="O436" s="2">
        <v>1996</v>
      </c>
      <c r="P436" s="2">
        <v>1996</v>
      </c>
      <c r="Q436" s="2" t="s">
        <v>8681</v>
      </c>
      <c r="S436" s="2">
        <v>7</v>
      </c>
      <c r="T436" s="2" t="s">
        <v>7143</v>
      </c>
    </row>
    <row r="437" spans="2:20">
      <c r="B437" s="2" t="s">
        <v>952</v>
      </c>
      <c r="C437" s="2" t="s">
        <v>6226</v>
      </c>
      <c r="D437" s="19" t="s">
        <v>8699</v>
      </c>
      <c r="E437" s="2">
        <v>0.1</v>
      </c>
      <c r="G437" s="2">
        <v>120</v>
      </c>
      <c r="H437" s="2" t="s">
        <v>7143</v>
      </c>
      <c r="K437" s="2">
        <v>0.1</v>
      </c>
      <c r="L437" s="2">
        <v>0.1</v>
      </c>
      <c r="M437" s="2" t="s">
        <v>8678</v>
      </c>
      <c r="O437" s="2">
        <v>1996</v>
      </c>
      <c r="P437" s="2">
        <v>1996</v>
      </c>
      <c r="Q437" s="2" t="s">
        <v>8681</v>
      </c>
      <c r="S437" s="2">
        <v>7</v>
      </c>
      <c r="T437" s="2" t="s">
        <v>7143</v>
      </c>
    </row>
    <row r="438" spans="2:20">
      <c r="B438" s="2" t="s">
        <v>952</v>
      </c>
      <c r="C438" s="2" t="s">
        <v>6227</v>
      </c>
      <c r="D438" s="19" t="s">
        <v>8682</v>
      </c>
      <c r="E438" s="2">
        <v>0.3</v>
      </c>
      <c r="G438" s="2">
        <v>300</v>
      </c>
      <c r="H438" s="2" t="s">
        <v>7143</v>
      </c>
      <c r="K438" s="2">
        <v>0.3</v>
      </c>
      <c r="L438" s="2">
        <v>0.4</v>
      </c>
      <c r="M438" s="2" t="s">
        <v>8680</v>
      </c>
      <c r="O438" s="2">
        <v>2018</v>
      </c>
      <c r="P438" s="2">
        <v>2018</v>
      </c>
      <c r="Q438" s="2" t="s">
        <v>8710</v>
      </c>
      <c r="R438" s="2" t="s">
        <v>6220</v>
      </c>
      <c r="S438" s="2">
        <v>8</v>
      </c>
      <c r="T438" s="2" t="s">
        <v>7143</v>
      </c>
    </row>
    <row r="439" spans="2:20">
      <c r="B439" s="2" t="s">
        <v>952</v>
      </c>
      <c r="C439" s="2" t="s">
        <v>6229</v>
      </c>
      <c r="D439" s="19" t="s">
        <v>8685</v>
      </c>
      <c r="E439" s="2">
        <v>0.1</v>
      </c>
      <c r="G439" s="2">
        <v>120</v>
      </c>
      <c r="H439" s="2" t="s">
        <v>7143</v>
      </c>
      <c r="K439" s="2">
        <v>0.1</v>
      </c>
      <c r="L439" s="2">
        <v>0.1</v>
      </c>
      <c r="M439" s="2" t="s">
        <v>8678</v>
      </c>
      <c r="O439" s="2">
        <v>1996</v>
      </c>
      <c r="P439" s="2">
        <v>1996</v>
      </c>
      <c r="Q439" s="2" t="s">
        <v>8681</v>
      </c>
      <c r="S439" s="2">
        <v>7</v>
      </c>
      <c r="T439" s="2" t="s">
        <v>7143</v>
      </c>
    </row>
    <row r="440" spans="2:20">
      <c r="B440" s="2" t="s">
        <v>1148</v>
      </c>
      <c r="C440" s="2" t="s">
        <v>6230</v>
      </c>
      <c r="D440" s="19" t="s">
        <v>8682</v>
      </c>
      <c r="E440" s="2">
        <v>0.5</v>
      </c>
      <c r="F440" s="2">
        <v>0</v>
      </c>
      <c r="G440" s="2">
        <v>500</v>
      </c>
      <c r="H440" s="2" t="s">
        <v>7142</v>
      </c>
      <c r="I440" s="2" t="s">
        <v>8686</v>
      </c>
      <c r="K440" s="2">
        <v>0.5</v>
      </c>
      <c r="L440" s="2">
        <v>1.2</v>
      </c>
      <c r="M440" s="2" t="s">
        <v>8680</v>
      </c>
      <c r="O440" s="2">
        <v>1996</v>
      </c>
      <c r="P440" s="2">
        <v>1996</v>
      </c>
      <c r="Q440" s="2" t="s">
        <v>8697</v>
      </c>
      <c r="R440" s="2" t="s">
        <v>308</v>
      </c>
      <c r="S440" s="2">
        <v>25</v>
      </c>
      <c r="T440" s="2" t="s">
        <v>7143</v>
      </c>
    </row>
    <row r="441" spans="2:20">
      <c r="B441" s="2" t="s">
        <v>1042</v>
      </c>
      <c r="C441" s="2" t="s">
        <v>6231</v>
      </c>
      <c r="D441" s="19" t="s">
        <v>8708</v>
      </c>
      <c r="E441" s="2">
        <v>0.2</v>
      </c>
      <c r="G441" s="2">
        <v>220</v>
      </c>
      <c r="H441" s="2" t="s">
        <v>7143</v>
      </c>
      <c r="K441" s="2">
        <v>0.2</v>
      </c>
      <c r="L441" s="2">
        <v>0.2</v>
      </c>
      <c r="M441" s="2" t="s">
        <v>8678</v>
      </c>
      <c r="O441" s="2">
        <v>1993</v>
      </c>
      <c r="P441" s="2">
        <v>2017</v>
      </c>
      <c r="Q441" s="2" t="s">
        <v>8679</v>
      </c>
      <c r="S441" s="2">
        <v>10</v>
      </c>
      <c r="T441" s="2" t="s">
        <v>7143</v>
      </c>
    </row>
    <row r="442" spans="2:20">
      <c r="B442" s="2" t="s">
        <v>1042</v>
      </c>
      <c r="C442" s="2" t="s">
        <v>6232</v>
      </c>
      <c r="D442" s="19" t="s">
        <v>8684</v>
      </c>
      <c r="E442" s="2">
        <v>0.4</v>
      </c>
      <c r="G442" s="2">
        <v>400</v>
      </c>
      <c r="H442" s="2" t="s">
        <v>7143</v>
      </c>
      <c r="K442" s="2">
        <v>0.4</v>
      </c>
      <c r="L442" s="2">
        <v>0.4</v>
      </c>
      <c r="M442" s="2" t="s">
        <v>8678</v>
      </c>
      <c r="O442" s="2">
        <v>1993</v>
      </c>
      <c r="P442" s="2">
        <v>1993</v>
      </c>
      <c r="Q442" s="2" t="s">
        <v>8681</v>
      </c>
      <c r="S442" s="2">
        <v>10</v>
      </c>
      <c r="T442" s="2" t="s">
        <v>7143</v>
      </c>
    </row>
    <row r="443" spans="2:20">
      <c r="B443" s="2" t="s">
        <v>1042</v>
      </c>
      <c r="C443" s="2" t="s">
        <v>6233</v>
      </c>
      <c r="D443" s="19" t="s">
        <v>8685</v>
      </c>
      <c r="E443" s="2">
        <v>0.4</v>
      </c>
      <c r="G443" s="2">
        <v>400</v>
      </c>
      <c r="H443" s="2" t="s">
        <v>7143</v>
      </c>
      <c r="K443" s="2">
        <v>0.4</v>
      </c>
      <c r="L443" s="2">
        <v>0.4</v>
      </c>
      <c r="M443" s="2" t="s">
        <v>8678</v>
      </c>
      <c r="O443" s="2">
        <v>1993</v>
      </c>
      <c r="P443" s="2">
        <v>2017</v>
      </c>
      <c r="Q443" s="2" t="s">
        <v>8679</v>
      </c>
      <c r="S443" s="2">
        <v>10</v>
      </c>
      <c r="T443" s="2" t="s">
        <v>7143</v>
      </c>
    </row>
    <row r="444" spans="2:20">
      <c r="B444" s="2" t="s">
        <v>1042</v>
      </c>
      <c r="C444" s="2" t="s">
        <v>6234</v>
      </c>
      <c r="D444" s="19" t="s">
        <v>8699</v>
      </c>
      <c r="E444" s="2">
        <v>0.6</v>
      </c>
      <c r="G444" s="2">
        <v>600</v>
      </c>
      <c r="H444" s="2" t="s">
        <v>7143</v>
      </c>
      <c r="K444" s="2">
        <v>0.6</v>
      </c>
      <c r="L444" s="2">
        <v>0.6</v>
      </c>
      <c r="M444" s="2" t="s">
        <v>8678</v>
      </c>
      <c r="O444" s="2">
        <v>1993</v>
      </c>
      <c r="P444" s="2">
        <v>2017</v>
      </c>
      <c r="Q444" s="2" t="s">
        <v>8679</v>
      </c>
      <c r="S444" s="2">
        <v>10</v>
      </c>
      <c r="T444" s="2" t="s">
        <v>7143</v>
      </c>
    </row>
    <row r="445" spans="2:20">
      <c r="B445" s="2" t="s">
        <v>1042</v>
      </c>
      <c r="C445" s="2" t="s">
        <v>6235</v>
      </c>
      <c r="D445" s="19" t="s">
        <v>8682</v>
      </c>
      <c r="E445" s="2">
        <v>0.4</v>
      </c>
      <c r="G445" s="2">
        <v>410</v>
      </c>
      <c r="H445" s="2" t="s">
        <v>7143</v>
      </c>
      <c r="K445" s="2">
        <v>0.4</v>
      </c>
      <c r="L445" s="2">
        <v>0.4</v>
      </c>
      <c r="M445" s="2" t="s">
        <v>8680</v>
      </c>
      <c r="O445" s="2">
        <v>2017</v>
      </c>
      <c r="P445" s="2">
        <v>2017</v>
      </c>
      <c r="Q445" s="2" t="s">
        <v>8710</v>
      </c>
      <c r="R445" s="2" t="s">
        <v>6220</v>
      </c>
      <c r="S445" s="2">
        <v>10</v>
      </c>
      <c r="T445" s="2" t="s">
        <v>7143</v>
      </c>
    </row>
    <row r="446" spans="2:20">
      <c r="B446" s="2" t="s">
        <v>1210</v>
      </c>
      <c r="C446" s="2" t="s">
        <v>6236</v>
      </c>
      <c r="D446" s="19" t="s">
        <v>8682</v>
      </c>
      <c r="E446" s="2">
        <v>0.3</v>
      </c>
      <c r="F446" s="2">
        <v>0</v>
      </c>
      <c r="G446" s="2">
        <v>300</v>
      </c>
      <c r="H446" s="2" t="s">
        <v>7143</v>
      </c>
      <c r="K446" s="2">
        <v>0.3</v>
      </c>
      <c r="L446" s="2">
        <v>0.6</v>
      </c>
      <c r="M446" s="2" t="s">
        <v>8680</v>
      </c>
      <c r="O446" s="2">
        <v>2010</v>
      </c>
      <c r="P446" s="2">
        <v>2010</v>
      </c>
      <c r="Q446" s="2" t="s">
        <v>8697</v>
      </c>
      <c r="R446" s="2" t="s">
        <v>5810</v>
      </c>
      <c r="S446" s="2">
        <v>20</v>
      </c>
      <c r="T446" s="2" t="s">
        <v>7143</v>
      </c>
    </row>
    <row r="447" spans="2:20">
      <c r="B447" s="2" t="s">
        <v>1795</v>
      </c>
      <c r="C447" s="2" t="s">
        <v>6237</v>
      </c>
      <c r="D447" s="19" t="s">
        <v>8685</v>
      </c>
      <c r="E447" s="2">
        <v>0.8</v>
      </c>
      <c r="F447" s="2">
        <v>0</v>
      </c>
      <c r="G447" s="2">
        <v>800</v>
      </c>
      <c r="H447" s="2" t="s">
        <v>7142</v>
      </c>
      <c r="I447" s="2" t="s">
        <v>8702</v>
      </c>
      <c r="K447" s="2">
        <v>0.8</v>
      </c>
      <c r="L447" s="2">
        <v>2.5</v>
      </c>
      <c r="M447" s="2" t="s">
        <v>8680</v>
      </c>
      <c r="O447" s="2">
        <v>1997</v>
      </c>
      <c r="P447" s="2">
        <v>2022</v>
      </c>
      <c r="Q447" s="2" t="s">
        <v>8679</v>
      </c>
      <c r="S447" s="2">
        <v>30</v>
      </c>
      <c r="T447" s="2" t="s">
        <v>7143</v>
      </c>
    </row>
    <row r="448" spans="2:20">
      <c r="B448" s="2" t="s">
        <v>1795</v>
      </c>
      <c r="C448" s="2" t="s">
        <v>6238</v>
      </c>
      <c r="D448" s="19" t="s">
        <v>8699</v>
      </c>
      <c r="E448" s="2">
        <v>0.9</v>
      </c>
      <c r="F448" s="2">
        <v>0</v>
      </c>
      <c r="G448" s="2">
        <v>900</v>
      </c>
      <c r="H448" s="2" t="s">
        <v>7143</v>
      </c>
      <c r="K448" s="2">
        <v>0.9</v>
      </c>
      <c r="L448" s="2">
        <v>5</v>
      </c>
      <c r="M448" s="2" t="s">
        <v>8680</v>
      </c>
      <c r="O448" s="2">
        <v>1997</v>
      </c>
      <c r="P448" s="2">
        <v>1997</v>
      </c>
      <c r="Q448" s="2" t="s">
        <v>8681</v>
      </c>
      <c r="S448" s="2">
        <v>25</v>
      </c>
      <c r="T448" s="2" t="s">
        <v>7143</v>
      </c>
    </row>
    <row r="449" spans="2:20">
      <c r="B449" s="2" t="s">
        <v>1795</v>
      </c>
      <c r="C449" s="2" t="s">
        <v>6239</v>
      </c>
      <c r="D449" s="19" t="s">
        <v>8682</v>
      </c>
      <c r="E449" s="2">
        <v>0.8</v>
      </c>
      <c r="F449" s="2">
        <v>0</v>
      </c>
      <c r="G449" s="2">
        <v>800</v>
      </c>
      <c r="H449" s="2" t="s">
        <v>7143</v>
      </c>
      <c r="K449" s="2">
        <v>0.8</v>
      </c>
      <c r="L449" s="2">
        <v>4</v>
      </c>
      <c r="M449" s="2" t="s">
        <v>8700</v>
      </c>
      <c r="O449" s="2">
        <v>2006</v>
      </c>
      <c r="P449" s="2">
        <v>2006</v>
      </c>
      <c r="Q449" s="2" t="s">
        <v>8688</v>
      </c>
      <c r="S449" s="2">
        <v>25</v>
      </c>
      <c r="T449" s="2" t="s">
        <v>7143</v>
      </c>
    </row>
    <row r="450" spans="2:20">
      <c r="B450" s="2" t="s">
        <v>1795</v>
      </c>
      <c r="C450" s="2" t="s">
        <v>6240</v>
      </c>
      <c r="D450" s="19" t="s">
        <v>8708</v>
      </c>
      <c r="E450" s="2">
        <v>0.55000000000000004</v>
      </c>
      <c r="F450" s="2">
        <v>0</v>
      </c>
      <c r="G450" s="2">
        <v>500</v>
      </c>
      <c r="H450" s="2" t="s">
        <v>7142</v>
      </c>
      <c r="I450" s="2" t="s">
        <v>8711</v>
      </c>
      <c r="K450" s="2">
        <v>0.55000000000000004</v>
      </c>
      <c r="L450" s="2">
        <v>3</v>
      </c>
      <c r="M450" s="2" t="s">
        <v>8680</v>
      </c>
      <c r="O450" s="2">
        <v>2000</v>
      </c>
      <c r="P450" s="2">
        <v>2000</v>
      </c>
      <c r="Q450" s="2" t="s">
        <v>8681</v>
      </c>
      <c r="S450" s="2">
        <v>25</v>
      </c>
      <c r="T450" s="2" t="s">
        <v>7143</v>
      </c>
    </row>
    <row r="451" spans="2:20">
      <c r="B451" s="2" t="s">
        <v>1795</v>
      </c>
      <c r="C451" s="2" t="s">
        <v>6242</v>
      </c>
      <c r="D451" s="19" t="s">
        <v>8684</v>
      </c>
      <c r="E451" s="2">
        <v>1.1000000000000001</v>
      </c>
      <c r="F451" s="2">
        <v>0</v>
      </c>
      <c r="G451" s="2">
        <v>1100</v>
      </c>
      <c r="H451" s="2" t="s">
        <v>7142</v>
      </c>
      <c r="I451" s="2" t="s">
        <v>8686</v>
      </c>
      <c r="K451" s="2">
        <v>1.1000000000000001</v>
      </c>
      <c r="L451" s="2">
        <v>4.5</v>
      </c>
      <c r="M451" s="2" t="s">
        <v>8680</v>
      </c>
      <c r="O451" s="2">
        <v>1997</v>
      </c>
      <c r="P451" s="2">
        <v>1997</v>
      </c>
      <c r="Q451" s="2" t="s">
        <v>8681</v>
      </c>
      <c r="S451" s="2">
        <v>30</v>
      </c>
      <c r="T451" s="2" t="s">
        <v>7143</v>
      </c>
    </row>
    <row r="452" spans="2:20">
      <c r="B452" s="2" t="s">
        <v>1585</v>
      </c>
      <c r="C452" s="2" t="s">
        <v>6243</v>
      </c>
      <c r="D452" s="19" t="s">
        <v>8682</v>
      </c>
      <c r="E452" s="2">
        <v>1</v>
      </c>
      <c r="G452" s="2">
        <v>1000</v>
      </c>
      <c r="H452" s="2" t="s">
        <v>7143</v>
      </c>
      <c r="K452" s="2">
        <v>1</v>
      </c>
      <c r="L452" s="2">
        <v>1.4</v>
      </c>
      <c r="M452" s="2" t="s">
        <v>8680</v>
      </c>
      <c r="O452" s="2">
        <v>2015</v>
      </c>
      <c r="P452" s="2">
        <v>2015</v>
      </c>
      <c r="Q452" s="2" t="s">
        <v>8679</v>
      </c>
      <c r="S452" s="2">
        <v>9</v>
      </c>
      <c r="T452" s="2" t="s">
        <v>7143</v>
      </c>
    </row>
    <row r="453" spans="2:20">
      <c r="B453" s="2" t="s">
        <v>1585</v>
      </c>
      <c r="C453" s="2" t="s">
        <v>6244</v>
      </c>
      <c r="D453" s="19" t="s">
        <v>8684</v>
      </c>
      <c r="E453" s="2">
        <v>0.5</v>
      </c>
      <c r="G453" s="2">
        <v>500</v>
      </c>
      <c r="H453" s="2" t="s">
        <v>7143</v>
      </c>
      <c r="K453" s="2">
        <v>0.5</v>
      </c>
      <c r="L453" s="2">
        <v>0.7</v>
      </c>
      <c r="M453" s="2" t="s">
        <v>8678</v>
      </c>
      <c r="O453" s="2">
        <v>2013</v>
      </c>
      <c r="P453" s="2">
        <v>2013</v>
      </c>
      <c r="Q453" s="2" t="s">
        <v>8679</v>
      </c>
      <c r="S453" s="2">
        <v>10</v>
      </c>
      <c r="T453" s="2" t="s">
        <v>7143</v>
      </c>
    </row>
    <row r="454" spans="2:20">
      <c r="B454" s="2" t="s">
        <v>1585</v>
      </c>
      <c r="C454" s="2" t="s">
        <v>6245</v>
      </c>
      <c r="D454" s="19" t="s">
        <v>8685</v>
      </c>
      <c r="E454" s="2">
        <v>0.2</v>
      </c>
      <c r="G454" s="2">
        <v>200</v>
      </c>
      <c r="H454" s="2" t="s">
        <v>7143</v>
      </c>
      <c r="K454" s="2">
        <v>0.2</v>
      </c>
      <c r="L454" s="2">
        <v>0.7</v>
      </c>
      <c r="M454" s="2" t="s">
        <v>8678</v>
      </c>
      <c r="O454" s="2">
        <v>2013</v>
      </c>
      <c r="P454" s="2">
        <v>2013</v>
      </c>
      <c r="Q454" s="2" t="s">
        <v>8679</v>
      </c>
      <c r="S454" s="2">
        <v>10</v>
      </c>
      <c r="T454" s="2" t="s">
        <v>7143</v>
      </c>
    </row>
    <row r="455" spans="2:20">
      <c r="B455" s="2" t="s">
        <v>1217</v>
      </c>
      <c r="C455" s="2" t="s">
        <v>6246</v>
      </c>
      <c r="D455" s="19" t="s">
        <v>8684</v>
      </c>
      <c r="E455" s="2">
        <v>0.4</v>
      </c>
      <c r="F455" s="2">
        <v>0</v>
      </c>
      <c r="G455" s="2">
        <v>400</v>
      </c>
      <c r="H455" s="2" t="s">
        <v>7143</v>
      </c>
      <c r="K455" s="2">
        <v>0.4</v>
      </c>
      <c r="L455" s="2">
        <v>0.5</v>
      </c>
      <c r="M455" s="2" t="s">
        <v>8680</v>
      </c>
      <c r="O455" s="2">
        <v>2019</v>
      </c>
      <c r="P455" s="2">
        <v>2019</v>
      </c>
      <c r="Q455" s="2" t="s">
        <v>8697</v>
      </c>
      <c r="R455" s="2" t="s">
        <v>5810</v>
      </c>
      <c r="S455" s="2">
        <v>20</v>
      </c>
      <c r="T455" s="2" t="s">
        <v>7143</v>
      </c>
    </row>
    <row r="456" spans="2:20">
      <c r="B456" s="2" t="s">
        <v>1217</v>
      </c>
      <c r="C456" s="2" t="s">
        <v>6247</v>
      </c>
      <c r="D456" s="19" t="s">
        <v>8682</v>
      </c>
      <c r="E456" s="2">
        <v>0.5</v>
      </c>
      <c r="F456" s="2">
        <v>0</v>
      </c>
      <c r="G456" s="2">
        <v>500</v>
      </c>
      <c r="H456" s="2" t="s">
        <v>7143</v>
      </c>
      <c r="K456" s="2">
        <v>0.5</v>
      </c>
      <c r="L456" s="2">
        <v>0.8</v>
      </c>
      <c r="M456" s="2" t="s">
        <v>8680</v>
      </c>
      <c r="O456" s="2">
        <v>2008</v>
      </c>
      <c r="P456" s="2">
        <v>2008</v>
      </c>
      <c r="Q456" s="2" t="s">
        <v>8697</v>
      </c>
      <c r="R456" s="2" t="s">
        <v>6248</v>
      </c>
      <c r="S456" s="2">
        <v>30</v>
      </c>
      <c r="T456" s="2" t="s">
        <v>7143</v>
      </c>
    </row>
    <row r="457" spans="2:20">
      <c r="B457" s="2" t="s">
        <v>1217</v>
      </c>
      <c r="C457" s="2" t="s">
        <v>6249</v>
      </c>
      <c r="D457" s="19" t="s">
        <v>8685</v>
      </c>
      <c r="E457" s="2">
        <v>0.3</v>
      </c>
      <c r="F457" s="2">
        <v>0</v>
      </c>
      <c r="G457" s="2">
        <v>300</v>
      </c>
      <c r="H457" s="2" t="s">
        <v>7143</v>
      </c>
      <c r="K457" s="2">
        <v>0.3</v>
      </c>
      <c r="L457" s="2">
        <v>0.2</v>
      </c>
      <c r="M457" s="2" t="s">
        <v>8680</v>
      </c>
      <c r="O457" s="2">
        <v>2024</v>
      </c>
      <c r="P457" s="2">
        <v>2024</v>
      </c>
      <c r="Q457" s="2" t="s">
        <v>8688</v>
      </c>
      <c r="S457" s="2">
        <v>10</v>
      </c>
      <c r="T457" s="2" t="s">
        <v>7143</v>
      </c>
    </row>
    <row r="458" spans="2:20">
      <c r="B458" s="2" t="s">
        <v>1844</v>
      </c>
      <c r="C458" s="2" t="s">
        <v>6250</v>
      </c>
      <c r="D458" s="19" t="s">
        <v>8682</v>
      </c>
      <c r="E458" s="2">
        <v>1.1499999999999999</v>
      </c>
      <c r="F458" s="2">
        <v>0</v>
      </c>
      <c r="G458" s="2">
        <v>1000</v>
      </c>
      <c r="H458" s="2" t="s">
        <v>7142</v>
      </c>
      <c r="I458" s="2" t="s">
        <v>8686</v>
      </c>
      <c r="K458" s="2">
        <v>1.1499999999999999</v>
      </c>
      <c r="L458" s="2">
        <v>4.8</v>
      </c>
      <c r="M458" s="2" t="s">
        <v>8680</v>
      </c>
      <c r="O458" s="2">
        <v>1995</v>
      </c>
      <c r="P458" s="2">
        <v>2019</v>
      </c>
      <c r="Q458" s="2" t="s">
        <v>8679</v>
      </c>
      <c r="S458" s="2">
        <v>50</v>
      </c>
      <c r="T458" s="2" t="s">
        <v>7143</v>
      </c>
    </row>
    <row r="459" spans="2:20">
      <c r="B459" s="2" t="s">
        <v>1562</v>
      </c>
      <c r="C459" s="2" t="s">
        <v>6251</v>
      </c>
      <c r="D459" s="19" t="s">
        <v>8682</v>
      </c>
      <c r="E459" s="2">
        <v>1.5</v>
      </c>
      <c r="G459" s="2">
        <v>1400</v>
      </c>
      <c r="H459" s="2" t="s">
        <v>7143</v>
      </c>
      <c r="K459" s="2">
        <v>1.5</v>
      </c>
      <c r="L459" s="2">
        <v>2.2000000000000002</v>
      </c>
      <c r="M459" s="2" t="s">
        <v>8680</v>
      </c>
      <c r="O459" s="2">
        <v>2021</v>
      </c>
      <c r="P459" s="2">
        <v>2021</v>
      </c>
      <c r="Q459" s="2" t="s">
        <v>8681</v>
      </c>
      <c r="S459" s="2">
        <v>10</v>
      </c>
      <c r="T459" s="2" t="s">
        <v>7142</v>
      </c>
    </row>
    <row r="460" spans="2:20">
      <c r="B460" s="2" t="s">
        <v>1240</v>
      </c>
      <c r="C460" s="2" t="s">
        <v>6252</v>
      </c>
      <c r="D460" s="19" t="s">
        <v>8682</v>
      </c>
      <c r="E460" s="2">
        <v>0.6</v>
      </c>
      <c r="F460" s="2">
        <v>0</v>
      </c>
      <c r="G460" s="2">
        <v>600</v>
      </c>
      <c r="H460" s="2" t="s">
        <v>7143</v>
      </c>
      <c r="K460" s="2">
        <v>0.6</v>
      </c>
      <c r="L460" s="2">
        <v>0.7</v>
      </c>
      <c r="M460" s="2" t="s">
        <v>8678</v>
      </c>
      <c r="O460" s="2">
        <v>2017</v>
      </c>
      <c r="P460" s="2">
        <v>2017</v>
      </c>
      <c r="Q460" s="2" t="s">
        <v>8697</v>
      </c>
      <c r="R460" s="2" t="s">
        <v>5810</v>
      </c>
      <c r="S460" s="2">
        <v>30</v>
      </c>
      <c r="T460" s="2" t="s">
        <v>7143</v>
      </c>
    </row>
    <row r="461" spans="2:20">
      <c r="B461" s="2" t="s">
        <v>1240</v>
      </c>
      <c r="C461" s="2" t="s">
        <v>6253</v>
      </c>
      <c r="D461" s="19" t="s">
        <v>8684</v>
      </c>
      <c r="E461" s="2">
        <v>0.5</v>
      </c>
      <c r="F461" s="2">
        <v>0</v>
      </c>
      <c r="G461" s="2">
        <v>500</v>
      </c>
      <c r="H461" s="2" t="s">
        <v>7143</v>
      </c>
      <c r="K461" s="2">
        <v>0.5</v>
      </c>
      <c r="L461" s="2">
        <v>0.5</v>
      </c>
      <c r="M461" s="2" t="s">
        <v>8678</v>
      </c>
      <c r="O461" s="2">
        <v>2024</v>
      </c>
      <c r="P461" s="2">
        <v>2024</v>
      </c>
      <c r="Q461" s="2" t="s">
        <v>8697</v>
      </c>
      <c r="R461" s="2" t="s">
        <v>5810</v>
      </c>
      <c r="S461" s="2">
        <v>20</v>
      </c>
      <c r="T461" s="2" t="s">
        <v>7143</v>
      </c>
    </row>
    <row r="462" spans="2:20">
      <c r="B462" s="2" t="s">
        <v>1293</v>
      </c>
      <c r="C462" s="2" t="s">
        <v>6254</v>
      </c>
      <c r="D462" s="19" t="s">
        <v>8685</v>
      </c>
      <c r="E462" s="2">
        <v>0.4</v>
      </c>
      <c r="F462" s="2">
        <v>0</v>
      </c>
      <c r="G462" s="2">
        <v>400</v>
      </c>
      <c r="H462" s="2" t="s">
        <v>7143</v>
      </c>
      <c r="K462" s="2">
        <v>0.4</v>
      </c>
      <c r="L462" s="2">
        <v>0.5</v>
      </c>
      <c r="M462" s="2" t="s">
        <v>8678</v>
      </c>
      <c r="O462" s="2">
        <v>2019</v>
      </c>
      <c r="P462" s="2">
        <v>2019</v>
      </c>
      <c r="Q462" s="2" t="s">
        <v>8697</v>
      </c>
      <c r="R462" s="2" t="s">
        <v>5810</v>
      </c>
      <c r="S462" s="2">
        <v>14</v>
      </c>
      <c r="T462" s="2" t="s">
        <v>7143</v>
      </c>
    </row>
    <row r="463" spans="2:20">
      <c r="B463" s="2" t="s">
        <v>1293</v>
      </c>
      <c r="C463" s="2" t="s">
        <v>6255</v>
      </c>
      <c r="D463" s="19" t="s">
        <v>8682</v>
      </c>
      <c r="E463" s="2">
        <v>0.4</v>
      </c>
      <c r="F463" s="2">
        <v>0</v>
      </c>
      <c r="G463" s="2">
        <v>400</v>
      </c>
      <c r="H463" s="2" t="s">
        <v>7143</v>
      </c>
      <c r="K463" s="2">
        <v>0.4</v>
      </c>
      <c r="L463" s="2">
        <v>0.5</v>
      </c>
      <c r="M463" s="2" t="s">
        <v>8680</v>
      </c>
      <c r="O463" s="2">
        <v>2016</v>
      </c>
      <c r="P463" s="2">
        <v>2016</v>
      </c>
      <c r="Q463" s="2" t="s">
        <v>8688</v>
      </c>
      <c r="S463" s="2">
        <v>15</v>
      </c>
      <c r="T463" s="2" t="s">
        <v>7143</v>
      </c>
    </row>
    <row r="464" spans="2:20">
      <c r="B464" s="2" t="s">
        <v>1293</v>
      </c>
      <c r="C464" s="2" t="s">
        <v>6256</v>
      </c>
      <c r="D464" s="19" t="s">
        <v>8684</v>
      </c>
      <c r="E464" s="2">
        <v>0.2</v>
      </c>
      <c r="F464" s="2">
        <v>0</v>
      </c>
      <c r="G464" s="2">
        <v>200</v>
      </c>
      <c r="H464" s="2" t="s">
        <v>7143</v>
      </c>
      <c r="K464" s="2">
        <v>0.2</v>
      </c>
      <c r="L464" s="2">
        <v>0.3</v>
      </c>
      <c r="M464" s="2" t="s">
        <v>8680</v>
      </c>
      <c r="O464" s="2">
        <v>2016</v>
      </c>
      <c r="P464" s="2">
        <v>2016</v>
      </c>
      <c r="Q464" s="2" t="s">
        <v>8688</v>
      </c>
      <c r="S464" s="2">
        <v>30</v>
      </c>
      <c r="T464" s="2" t="s">
        <v>7143</v>
      </c>
    </row>
    <row r="465" spans="2:20">
      <c r="B465" s="2" t="s">
        <v>1877</v>
      </c>
      <c r="C465" s="2" t="s">
        <v>6257</v>
      </c>
      <c r="D465" s="19" t="s">
        <v>8699</v>
      </c>
      <c r="E465" s="2">
        <v>0.5</v>
      </c>
      <c r="F465" s="2">
        <v>0</v>
      </c>
      <c r="G465" s="2">
        <v>500</v>
      </c>
      <c r="H465" s="2" t="s">
        <v>7143</v>
      </c>
      <c r="K465" s="2">
        <v>0.5</v>
      </c>
      <c r="L465" s="2">
        <v>2.2999999999999998</v>
      </c>
      <c r="M465" s="2" t="s">
        <v>8712</v>
      </c>
      <c r="O465" s="2">
        <v>1999</v>
      </c>
      <c r="P465" s="2">
        <v>1999</v>
      </c>
      <c r="Q465" s="2" t="s">
        <v>8681</v>
      </c>
      <c r="S465" s="2">
        <v>40</v>
      </c>
      <c r="T465" s="2" t="s">
        <v>7143</v>
      </c>
    </row>
    <row r="466" spans="2:20">
      <c r="B466" s="2" t="s">
        <v>1877</v>
      </c>
      <c r="C466" s="2" t="s">
        <v>6259</v>
      </c>
      <c r="D466" s="19" t="s">
        <v>8682</v>
      </c>
      <c r="E466" s="2">
        <v>1.2</v>
      </c>
      <c r="F466" s="2">
        <v>0</v>
      </c>
      <c r="G466" s="2">
        <v>1200</v>
      </c>
      <c r="H466" s="2" t="s">
        <v>7143</v>
      </c>
      <c r="K466" s="2">
        <v>1.2</v>
      </c>
      <c r="L466" s="2">
        <v>5.3</v>
      </c>
      <c r="M466" s="2" t="s">
        <v>8680</v>
      </c>
      <c r="O466" s="2">
        <v>2005</v>
      </c>
      <c r="P466" s="2">
        <v>2005</v>
      </c>
      <c r="Q466" s="2" t="s">
        <v>8681</v>
      </c>
      <c r="S466" s="2">
        <v>40</v>
      </c>
      <c r="T466" s="2" t="s">
        <v>7143</v>
      </c>
    </row>
    <row r="467" spans="2:20">
      <c r="B467" s="2" t="s">
        <v>1877</v>
      </c>
      <c r="C467" s="2" t="s">
        <v>6260</v>
      </c>
      <c r="D467" s="19" t="s">
        <v>8684</v>
      </c>
      <c r="E467" s="2">
        <v>1.3</v>
      </c>
      <c r="F467" s="2">
        <v>0</v>
      </c>
      <c r="G467" s="2">
        <v>1300</v>
      </c>
      <c r="H467" s="2" t="s">
        <v>7143</v>
      </c>
      <c r="K467" s="2">
        <v>1.3</v>
      </c>
      <c r="L467" s="2">
        <v>3.5</v>
      </c>
      <c r="M467" s="2" t="s">
        <v>8680</v>
      </c>
      <c r="O467" s="2">
        <v>1995</v>
      </c>
      <c r="P467" s="2">
        <v>1995</v>
      </c>
      <c r="Q467" s="2" t="s">
        <v>8681</v>
      </c>
      <c r="S467" s="2">
        <v>35</v>
      </c>
      <c r="T467" s="2" t="s">
        <v>7143</v>
      </c>
    </row>
    <row r="468" spans="2:20">
      <c r="B468" s="2" t="s">
        <v>1877</v>
      </c>
      <c r="C468" s="2" t="s">
        <v>6261</v>
      </c>
      <c r="D468" s="19" t="s">
        <v>8685</v>
      </c>
      <c r="E468" s="2">
        <v>0.8</v>
      </c>
      <c r="F468" s="2">
        <v>0</v>
      </c>
      <c r="G468" s="2">
        <v>800</v>
      </c>
      <c r="H468" s="2" t="s">
        <v>7142</v>
      </c>
      <c r="I468" s="2" t="s">
        <v>8687</v>
      </c>
      <c r="K468" s="2">
        <v>0.8</v>
      </c>
      <c r="L468" s="2">
        <v>2.5</v>
      </c>
      <c r="M468" s="2" t="s">
        <v>8712</v>
      </c>
      <c r="O468" s="2">
        <v>1995</v>
      </c>
      <c r="P468" s="2">
        <v>2014</v>
      </c>
      <c r="Q468" s="2" t="s">
        <v>8679</v>
      </c>
      <c r="S468" s="2">
        <v>40</v>
      </c>
      <c r="T468" s="2" t="s">
        <v>7143</v>
      </c>
    </row>
    <row r="469" spans="2:20">
      <c r="B469" s="2" t="s">
        <v>1906</v>
      </c>
      <c r="C469" s="2" t="s">
        <v>6262</v>
      </c>
      <c r="D469" s="19" t="s">
        <v>8685</v>
      </c>
      <c r="E469" s="2">
        <v>0.3</v>
      </c>
      <c r="F469" s="2">
        <v>0</v>
      </c>
      <c r="G469" s="2">
        <v>300</v>
      </c>
      <c r="H469" s="2" t="s">
        <v>7142</v>
      </c>
      <c r="I469" s="2" t="s">
        <v>8687</v>
      </c>
      <c r="K469" s="2">
        <v>0.3</v>
      </c>
      <c r="L469" s="2">
        <v>2</v>
      </c>
      <c r="M469" s="2" t="s">
        <v>8680</v>
      </c>
      <c r="O469" s="2">
        <v>1994</v>
      </c>
      <c r="P469" s="2">
        <v>1994</v>
      </c>
      <c r="Q469" s="2" t="s">
        <v>8681</v>
      </c>
      <c r="S469" s="2">
        <v>40</v>
      </c>
      <c r="T469" s="2" t="s">
        <v>7143</v>
      </c>
    </row>
    <row r="470" spans="2:20">
      <c r="B470" s="2" t="s">
        <v>1906</v>
      </c>
      <c r="C470" s="2" t="s">
        <v>6263</v>
      </c>
      <c r="D470" s="19" t="s">
        <v>8682</v>
      </c>
      <c r="E470" s="2">
        <v>1.2</v>
      </c>
      <c r="F470" s="2">
        <v>0</v>
      </c>
      <c r="G470" s="2">
        <v>1200</v>
      </c>
      <c r="H470" s="2" t="s">
        <v>7142</v>
      </c>
      <c r="I470" s="2" t="s">
        <v>8687</v>
      </c>
      <c r="K470" s="2">
        <v>1.2</v>
      </c>
      <c r="L470" s="2">
        <v>5.5</v>
      </c>
      <c r="M470" s="2" t="s">
        <v>8680</v>
      </c>
      <c r="O470" s="2">
        <v>2000</v>
      </c>
      <c r="P470" s="2">
        <v>2000</v>
      </c>
      <c r="Q470" s="2" t="s">
        <v>8681</v>
      </c>
      <c r="S470" s="2">
        <v>40</v>
      </c>
      <c r="T470" s="2" t="s">
        <v>7143</v>
      </c>
    </row>
    <row r="471" spans="2:20">
      <c r="B471" s="2" t="s">
        <v>1906</v>
      </c>
      <c r="C471" s="2" t="s">
        <v>6264</v>
      </c>
      <c r="D471" s="19" t="s">
        <v>8684</v>
      </c>
      <c r="E471" s="2">
        <v>1</v>
      </c>
      <c r="F471" s="2">
        <v>0</v>
      </c>
      <c r="G471" s="2">
        <v>1000</v>
      </c>
      <c r="H471" s="2" t="s">
        <v>7142</v>
      </c>
      <c r="I471" s="2" t="s">
        <v>8687</v>
      </c>
      <c r="K471" s="2">
        <v>1</v>
      </c>
      <c r="L471" s="2">
        <v>4.5</v>
      </c>
      <c r="M471" s="2" t="s">
        <v>8680</v>
      </c>
      <c r="O471" s="2">
        <v>2000</v>
      </c>
      <c r="P471" s="2">
        <v>2000</v>
      </c>
      <c r="Q471" s="2" t="s">
        <v>8681</v>
      </c>
      <c r="S471" s="2">
        <v>40</v>
      </c>
      <c r="T471" s="2" t="s">
        <v>7143</v>
      </c>
    </row>
    <row r="472" spans="2:20">
      <c r="B472" s="2" t="s">
        <v>1927</v>
      </c>
      <c r="C472" s="2" t="s">
        <v>6265</v>
      </c>
      <c r="D472" s="19" t="s">
        <v>8682</v>
      </c>
      <c r="E472" s="2">
        <v>1</v>
      </c>
      <c r="F472" s="2">
        <v>0</v>
      </c>
      <c r="G472" s="2">
        <v>1000</v>
      </c>
      <c r="H472" s="2" t="s">
        <v>7143</v>
      </c>
      <c r="K472" s="2">
        <v>1</v>
      </c>
      <c r="L472" s="2">
        <v>5</v>
      </c>
      <c r="M472" s="2" t="s">
        <v>8680</v>
      </c>
      <c r="O472" s="2">
        <v>1998</v>
      </c>
      <c r="P472" s="2">
        <v>1998</v>
      </c>
      <c r="Q472" s="2" t="s">
        <v>8681</v>
      </c>
      <c r="S472" s="2">
        <v>27</v>
      </c>
      <c r="T472" s="2" t="s">
        <v>7143</v>
      </c>
    </row>
    <row r="473" spans="2:20">
      <c r="B473" s="2" t="s">
        <v>1927</v>
      </c>
      <c r="C473" s="2" t="s">
        <v>6266</v>
      </c>
      <c r="D473" s="19" t="s">
        <v>8684</v>
      </c>
      <c r="E473" s="2">
        <v>0.5</v>
      </c>
      <c r="F473" s="2">
        <v>0</v>
      </c>
      <c r="G473" s="2">
        <v>500</v>
      </c>
      <c r="H473" s="2" t="s">
        <v>7143</v>
      </c>
      <c r="K473" s="2">
        <v>0.5</v>
      </c>
      <c r="L473" s="2">
        <v>3</v>
      </c>
      <c r="M473" s="2" t="s">
        <v>8680</v>
      </c>
      <c r="O473" s="2">
        <v>1995</v>
      </c>
      <c r="P473" s="2">
        <v>2019</v>
      </c>
      <c r="Q473" s="2" t="s">
        <v>8679</v>
      </c>
      <c r="S473" s="2">
        <v>30</v>
      </c>
      <c r="T473" s="2" t="s">
        <v>7143</v>
      </c>
    </row>
    <row r="474" spans="2:20">
      <c r="B474" s="2" t="s">
        <v>1539</v>
      </c>
      <c r="C474" s="2" t="s">
        <v>6267</v>
      </c>
      <c r="D474" s="19" t="s">
        <v>8684</v>
      </c>
      <c r="E474" s="2">
        <v>0.2</v>
      </c>
      <c r="G474" s="2">
        <v>200</v>
      </c>
      <c r="H474" s="2" t="s">
        <v>7143</v>
      </c>
      <c r="K474" s="2">
        <v>0.2</v>
      </c>
      <c r="L474" s="2">
        <v>0.18</v>
      </c>
      <c r="M474" s="2" t="s">
        <v>8678</v>
      </c>
      <c r="O474" s="2">
        <v>2019</v>
      </c>
      <c r="Q474" s="2" t="s">
        <v>8683</v>
      </c>
      <c r="S474" s="2">
        <v>20</v>
      </c>
      <c r="T474" s="2" t="s">
        <v>7143</v>
      </c>
    </row>
    <row r="475" spans="2:20">
      <c r="B475" s="2" t="s">
        <v>1539</v>
      </c>
      <c r="C475" s="2" t="s">
        <v>6268</v>
      </c>
      <c r="D475" s="19" t="s">
        <v>8682</v>
      </c>
      <c r="E475" s="2">
        <v>0.3</v>
      </c>
      <c r="G475" s="2">
        <v>300</v>
      </c>
      <c r="H475" s="2" t="s">
        <v>7143</v>
      </c>
      <c r="K475" s="2">
        <v>0.3</v>
      </c>
      <c r="L475" s="2">
        <v>0.18</v>
      </c>
      <c r="M475" s="2" t="s">
        <v>8678</v>
      </c>
      <c r="O475" s="2">
        <v>2019</v>
      </c>
      <c r="P475" s="2">
        <v>2019</v>
      </c>
      <c r="Q475" s="2" t="s">
        <v>8681</v>
      </c>
      <c r="S475" s="2">
        <v>20</v>
      </c>
      <c r="T475" s="2" t="s">
        <v>7143</v>
      </c>
    </row>
    <row r="476" spans="2:20">
      <c r="B476" s="2" t="s">
        <v>1526</v>
      </c>
      <c r="C476" s="2" t="s">
        <v>6269</v>
      </c>
      <c r="D476" s="19" t="s">
        <v>8684</v>
      </c>
      <c r="E476" s="2">
        <v>0.5</v>
      </c>
      <c r="G476" s="2">
        <v>500</v>
      </c>
      <c r="H476" s="2" t="s">
        <v>7143</v>
      </c>
      <c r="K476" s="2">
        <v>0.5</v>
      </c>
      <c r="L476" s="2">
        <v>1.8</v>
      </c>
      <c r="M476" s="2" t="s">
        <v>8680</v>
      </c>
      <c r="O476" s="2">
        <v>2015</v>
      </c>
      <c r="P476" s="2">
        <v>2015</v>
      </c>
      <c r="Q476" s="2" t="s">
        <v>8679</v>
      </c>
      <c r="S476" s="2">
        <v>10</v>
      </c>
      <c r="T476" s="2" t="s">
        <v>7142</v>
      </c>
    </row>
    <row r="477" spans="2:20">
      <c r="B477" s="2" t="s">
        <v>1526</v>
      </c>
      <c r="C477" s="2" t="s">
        <v>6270</v>
      </c>
      <c r="D477" s="19" t="s">
        <v>8682</v>
      </c>
      <c r="E477" s="2">
        <v>0.5</v>
      </c>
      <c r="G477" s="2">
        <v>500</v>
      </c>
      <c r="H477" s="2" t="s">
        <v>7143</v>
      </c>
      <c r="K477" s="2">
        <v>0.5</v>
      </c>
      <c r="L477" s="2">
        <v>1.8</v>
      </c>
      <c r="M477" s="2" t="s">
        <v>8680</v>
      </c>
      <c r="O477" s="2">
        <v>2009</v>
      </c>
      <c r="P477" s="2">
        <v>2009</v>
      </c>
      <c r="Q477" s="2" t="s">
        <v>8681</v>
      </c>
      <c r="S477" s="2">
        <v>10</v>
      </c>
      <c r="T477" s="2" t="s">
        <v>7142</v>
      </c>
    </row>
    <row r="478" spans="2:20">
      <c r="B478" s="2" t="s">
        <v>1526</v>
      </c>
      <c r="C478" s="2" t="s">
        <v>6271</v>
      </c>
      <c r="D478" s="19" t="s">
        <v>8685</v>
      </c>
      <c r="E478" s="2">
        <v>1</v>
      </c>
      <c r="G478" s="2">
        <v>1000</v>
      </c>
      <c r="H478" s="2" t="s">
        <v>7143</v>
      </c>
      <c r="K478" s="2">
        <v>1</v>
      </c>
      <c r="L478" s="2">
        <v>0.1</v>
      </c>
      <c r="M478" s="2" t="s">
        <v>8680</v>
      </c>
      <c r="O478" s="2">
        <v>2009</v>
      </c>
      <c r="P478" s="2">
        <v>2023</v>
      </c>
      <c r="Q478" s="2" t="s">
        <v>8679</v>
      </c>
      <c r="S478" s="2">
        <v>10</v>
      </c>
      <c r="T478" s="2" t="s">
        <v>7142</v>
      </c>
    </row>
    <row r="479" spans="2:20">
      <c r="B479" s="2" t="s">
        <v>1485</v>
      </c>
      <c r="C479" s="2" t="s">
        <v>6272</v>
      </c>
      <c r="D479" s="19" t="s">
        <v>8682</v>
      </c>
      <c r="E479" s="2">
        <v>0.3</v>
      </c>
      <c r="G479" s="2">
        <v>300</v>
      </c>
      <c r="H479" s="2" t="s">
        <v>7143</v>
      </c>
      <c r="K479" s="2">
        <v>0.3</v>
      </c>
      <c r="L479" s="2">
        <v>0.6</v>
      </c>
      <c r="M479" s="2" t="s">
        <v>8680</v>
      </c>
      <c r="O479" s="2">
        <v>2015</v>
      </c>
      <c r="P479" s="2">
        <v>2015</v>
      </c>
      <c r="Q479" s="2" t="s">
        <v>8681</v>
      </c>
      <c r="S479" s="2">
        <v>10</v>
      </c>
      <c r="T479" s="2" t="s">
        <v>7143</v>
      </c>
    </row>
    <row r="480" spans="2:20">
      <c r="B480" s="2" t="s">
        <v>1485</v>
      </c>
      <c r="C480" s="2" t="s">
        <v>6273</v>
      </c>
      <c r="D480" s="19" t="s">
        <v>8684</v>
      </c>
      <c r="E480" s="2">
        <v>0.3</v>
      </c>
      <c r="G480" s="2">
        <v>300</v>
      </c>
      <c r="H480" s="2" t="s">
        <v>7143</v>
      </c>
      <c r="K480" s="2">
        <v>0</v>
      </c>
      <c r="L480" s="2">
        <v>0</v>
      </c>
      <c r="M480" s="2" t="s">
        <v>8680</v>
      </c>
      <c r="O480" s="2">
        <v>2025</v>
      </c>
      <c r="P480" s="2">
        <v>2025</v>
      </c>
      <c r="Q480" s="2" t="s">
        <v>8679</v>
      </c>
      <c r="S480" s="2">
        <v>10</v>
      </c>
      <c r="T480" s="2" t="s">
        <v>7143</v>
      </c>
    </row>
    <row r="481" spans="2:20">
      <c r="B481" s="2" t="s">
        <v>1317</v>
      </c>
      <c r="C481" s="2" t="s">
        <v>6274</v>
      </c>
      <c r="D481" s="19" t="s">
        <v>8684</v>
      </c>
      <c r="E481" s="2">
        <v>0.2</v>
      </c>
      <c r="F481" s="2">
        <v>0</v>
      </c>
      <c r="G481" s="2">
        <v>270</v>
      </c>
      <c r="H481" s="2" t="s">
        <v>7143</v>
      </c>
      <c r="K481" s="2">
        <v>0</v>
      </c>
      <c r="L481" s="2">
        <v>0</v>
      </c>
      <c r="M481" s="2" t="s">
        <v>8678</v>
      </c>
      <c r="O481" s="2">
        <v>2025</v>
      </c>
      <c r="P481" s="2">
        <v>2025</v>
      </c>
      <c r="Q481" s="2" t="s">
        <v>8681</v>
      </c>
      <c r="S481" s="2">
        <v>15</v>
      </c>
      <c r="T481" s="2" t="s">
        <v>7143</v>
      </c>
    </row>
    <row r="482" spans="2:20">
      <c r="B482" s="2" t="s">
        <v>1317</v>
      </c>
      <c r="C482" s="2" t="s">
        <v>6275</v>
      </c>
      <c r="D482" s="19" t="s">
        <v>8685</v>
      </c>
      <c r="E482" s="2">
        <v>0.4</v>
      </c>
      <c r="F482" s="2">
        <v>0</v>
      </c>
      <c r="G482" s="2">
        <v>400</v>
      </c>
      <c r="H482" s="2" t="s">
        <v>7143</v>
      </c>
      <c r="K482" s="2">
        <v>0</v>
      </c>
      <c r="L482" s="2">
        <v>0</v>
      </c>
      <c r="M482" s="2" t="s">
        <v>8678</v>
      </c>
      <c r="O482" s="2">
        <v>2025</v>
      </c>
      <c r="P482" s="2">
        <v>2025</v>
      </c>
      <c r="Q482" s="2" t="s">
        <v>8681</v>
      </c>
      <c r="S482" s="2">
        <v>30</v>
      </c>
      <c r="T482" s="2" t="s">
        <v>7143</v>
      </c>
    </row>
    <row r="483" spans="2:20">
      <c r="B483" s="2" t="s">
        <v>1317</v>
      </c>
      <c r="C483" s="2" t="s">
        <v>6276</v>
      </c>
      <c r="D483" s="19" t="s">
        <v>8682</v>
      </c>
      <c r="E483" s="2">
        <v>0.4</v>
      </c>
      <c r="F483" s="2">
        <v>0</v>
      </c>
      <c r="G483" s="2">
        <v>400</v>
      </c>
      <c r="H483" s="2" t="s">
        <v>7143</v>
      </c>
      <c r="K483" s="2">
        <v>0.4</v>
      </c>
      <c r="L483" s="2">
        <v>0.7</v>
      </c>
      <c r="M483" s="2" t="s">
        <v>8678</v>
      </c>
      <c r="O483" s="2">
        <v>2019</v>
      </c>
      <c r="P483" s="2">
        <v>2019</v>
      </c>
      <c r="Q483" s="2" t="s">
        <v>8681</v>
      </c>
      <c r="S483" s="2">
        <v>5</v>
      </c>
      <c r="T483" s="2" t="s">
        <v>7143</v>
      </c>
    </row>
    <row r="484" spans="2:20">
      <c r="B484" s="2" t="s">
        <v>1476</v>
      </c>
      <c r="C484" s="2" t="s">
        <v>6277</v>
      </c>
      <c r="D484" s="19" t="s">
        <v>8682</v>
      </c>
      <c r="E484" s="2">
        <v>1</v>
      </c>
      <c r="G484" s="2">
        <v>1000</v>
      </c>
      <c r="H484" s="2" t="s">
        <v>7143</v>
      </c>
      <c r="K484" s="2">
        <v>1</v>
      </c>
      <c r="L484" s="2">
        <v>2.9</v>
      </c>
      <c r="M484" s="2" t="s">
        <v>8680</v>
      </c>
      <c r="O484" s="2">
        <v>2012</v>
      </c>
      <c r="P484" s="2">
        <v>2012</v>
      </c>
      <c r="Q484" s="2" t="s">
        <v>8679</v>
      </c>
      <c r="S484" s="2">
        <v>10</v>
      </c>
      <c r="T484" s="2" t="s">
        <v>7143</v>
      </c>
    </row>
    <row r="485" spans="2:20">
      <c r="B485" s="2" t="s">
        <v>1476</v>
      </c>
      <c r="C485" s="2" t="s">
        <v>6278</v>
      </c>
      <c r="D485" s="19" t="s">
        <v>8684</v>
      </c>
      <c r="E485" s="2">
        <v>0.6</v>
      </c>
      <c r="G485" s="2">
        <v>500</v>
      </c>
      <c r="H485" s="2" t="s">
        <v>7143</v>
      </c>
      <c r="K485" s="2">
        <v>0.6</v>
      </c>
      <c r="L485" s="2">
        <v>1</v>
      </c>
      <c r="M485" s="2" t="s">
        <v>8678</v>
      </c>
      <c r="O485" s="2">
        <v>2017</v>
      </c>
      <c r="P485" s="2">
        <v>2017</v>
      </c>
      <c r="Q485" s="2" t="s">
        <v>8679</v>
      </c>
      <c r="S485" s="2">
        <v>10</v>
      </c>
      <c r="T485" s="2" t="s">
        <v>7143</v>
      </c>
    </row>
    <row r="486" spans="2:20">
      <c r="B486" s="2" t="s">
        <v>1455</v>
      </c>
      <c r="C486" s="2" t="s">
        <v>6279</v>
      </c>
      <c r="D486" s="19" t="s">
        <v>8682</v>
      </c>
      <c r="E486" s="2">
        <v>0.3</v>
      </c>
      <c r="G486" s="2">
        <v>300</v>
      </c>
      <c r="H486" s="2" t="s">
        <v>7143</v>
      </c>
      <c r="K486" s="2">
        <v>0.3</v>
      </c>
      <c r="L486" s="2">
        <v>0.36</v>
      </c>
      <c r="M486" s="2" t="s">
        <v>8680</v>
      </c>
      <c r="O486" s="2">
        <v>1996</v>
      </c>
      <c r="P486" s="2">
        <v>1996</v>
      </c>
      <c r="Q486" s="2" t="s">
        <v>8681</v>
      </c>
      <c r="S486" s="2">
        <v>10</v>
      </c>
      <c r="T486" s="2" t="s">
        <v>7143</v>
      </c>
    </row>
    <row r="487" spans="2:20">
      <c r="B487" s="2" t="s">
        <v>1455</v>
      </c>
      <c r="C487" s="2" t="s">
        <v>6280</v>
      </c>
      <c r="D487" s="19" t="s">
        <v>8684</v>
      </c>
      <c r="E487" s="2">
        <v>0.1</v>
      </c>
      <c r="G487" s="2">
        <v>100</v>
      </c>
      <c r="H487" s="2" t="s">
        <v>7143</v>
      </c>
      <c r="K487" s="2">
        <v>0.1</v>
      </c>
      <c r="L487" s="2">
        <v>0.15</v>
      </c>
      <c r="M487" s="2" t="s">
        <v>8680</v>
      </c>
      <c r="O487" s="2">
        <v>2016</v>
      </c>
      <c r="P487" s="2">
        <v>2016</v>
      </c>
      <c r="Q487" s="2" t="s">
        <v>8681</v>
      </c>
      <c r="S487" s="2">
        <v>10</v>
      </c>
      <c r="T487" s="2" t="s">
        <v>7143</v>
      </c>
    </row>
    <row r="488" spans="2:20">
      <c r="B488" s="2" t="s">
        <v>1433</v>
      </c>
      <c r="C488" s="2" t="s">
        <v>6281</v>
      </c>
      <c r="D488" s="19" t="s">
        <v>8685</v>
      </c>
      <c r="E488" s="2">
        <v>0.2</v>
      </c>
      <c r="G488" s="2">
        <v>170</v>
      </c>
      <c r="H488" s="2" t="s">
        <v>7143</v>
      </c>
      <c r="K488" s="2">
        <v>0.2</v>
      </c>
      <c r="L488" s="2">
        <v>0.48</v>
      </c>
      <c r="M488" s="2" t="s">
        <v>8680</v>
      </c>
      <c r="O488" s="2">
        <v>2015</v>
      </c>
      <c r="P488" s="2">
        <v>2015</v>
      </c>
      <c r="Q488" s="2" t="s">
        <v>8681</v>
      </c>
      <c r="S488" s="2">
        <v>11</v>
      </c>
      <c r="T488" s="2" t="s">
        <v>7143</v>
      </c>
    </row>
    <row r="489" spans="2:20">
      <c r="B489" s="2" t="s">
        <v>1433</v>
      </c>
      <c r="C489" s="2" t="s">
        <v>6282</v>
      </c>
      <c r="D489" s="19" t="s">
        <v>8682</v>
      </c>
      <c r="E489" s="2">
        <v>0.4</v>
      </c>
      <c r="G489" s="2">
        <v>450</v>
      </c>
      <c r="H489" s="2" t="s">
        <v>7142</v>
      </c>
      <c r="I489" s="2" t="s">
        <v>8687</v>
      </c>
      <c r="K489" s="2">
        <v>0.4</v>
      </c>
      <c r="L489" s="2">
        <v>0.55000000000000004</v>
      </c>
      <c r="M489" s="2" t="s">
        <v>8680</v>
      </c>
      <c r="O489" s="2">
        <v>2015</v>
      </c>
      <c r="P489" s="2">
        <v>2015</v>
      </c>
      <c r="Q489" s="2" t="s">
        <v>8679</v>
      </c>
      <c r="S489" s="2">
        <v>11</v>
      </c>
      <c r="T489" s="2" t="s">
        <v>7143</v>
      </c>
    </row>
    <row r="490" spans="2:20">
      <c r="B490" s="2" t="s">
        <v>1433</v>
      </c>
      <c r="C490" s="2" t="s">
        <v>6283</v>
      </c>
      <c r="D490" s="19" t="s">
        <v>8699</v>
      </c>
      <c r="E490" s="2">
        <v>0.8</v>
      </c>
      <c r="G490" s="2">
        <v>900</v>
      </c>
      <c r="H490" s="2" t="s">
        <v>7143</v>
      </c>
      <c r="K490" s="2">
        <v>0.3</v>
      </c>
      <c r="L490" s="2">
        <v>0.6</v>
      </c>
      <c r="M490" s="2" t="s">
        <v>8680</v>
      </c>
      <c r="O490" s="2">
        <v>2015</v>
      </c>
      <c r="P490" s="2">
        <v>2024</v>
      </c>
      <c r="Q490" s="2" t="s">
        <v>8679</v>
      </c>
      <c r="S490" s="2">
        <v>11</v>
      </c>
      <c r="T490" s="2" t="s">
        <v>7143</v>
      </c>
    </row>
    <row r="491" spans="2:20">
      <c r="B491" s="2" t="s">
        <v>1433</v>
      </c>
      <c r="C491" s="2" t="s">
        <v>6284</v>
      </c>
      <c r="D491" s="19" t="s">
        <v>8684</v>
      </c>
      <c r="E491" s="2">
        <v>0.6</v>
      </c>
      <c r="G491" s="2">
        <v>700</v>
      </c>
      <c r="H491" s="2" t="s">
        <v>7142</v>
      </c>
      <c r="I491" s="2" t="s">
        <v>8687</v>
      </c>
      <c r="K491" s="2">
        <v>0.6</v>
      </c>
      <c r="L491" s="2">
        <v>0.73</v>
      </c>
      <c r="M491" s="2" t="s">
        <v>8680</v>
      </c>
      <c r="O491" s="2">
        <v>2015</v>
      </c>
      <c r="P491" s="2">
        <v>2015</v>
      </c>
      <c r="Q491" s="2" t="s">
        <v>8679</v>
      </c>
      <c r="S491" s="2">
        <v>11</v>
      </c>
      <c r="T491" s="2" t="s">
        <v>7143</v>
      </c>
    </row>
    <row r="492" spans="2:20">
      <c r="B492" s="2" t="s">
        <v>1361</v>
      </c>
      <c r="C492" s="2" t="s">
        <v>6285</v>
      </c>
      <c r="D492" s="19" t="s">
        <v>8682</v>
      </c>
      <c r="E492" s="2">
        <v>0.4</v>
      </c>
      <c r="F492" s="2">
        <v>0</v>
      </c>
      <c r="G492" s="2">
        <v>400</v>
      </c>
      <c r="H492" s="2" t="s">
        <v>7143</v>
      </c>
      <c r="K492" s="2">
        <v>0.4</v>
      </c>
      <c r="L492" s="2">
        <v>0.6</v>
      </c>
      <c r="M492" s="2" t="s">
        <v>8678</v>
      </c>
      <c r="O492" s="2">
        <v>2020</v>
      </c>
      <c r="P492" s="2">
        <v>2020</v>
      </c>
      <c r="Q492" s="2" t="s">
        <v>8681</v>
      </c>
      <c r="S492" s="2">
        <v>10</v>
      </c>
      <c r="T492" s="2" t="s">
        <v>7143</v>
      </c>
    </row>
    <row r="493" spans="2:20">
      <c r="B493" s="2" t="s">
        <v>1361</v>
      </c>
      <c r="C493" s="2" t="s">
        <v>6286</v>
      </c>
      <c r="D493" s="19" t="s">
        <v>8684</v>
      </c>
      <c r="E493" s="2">
        <v>0.15</v>
      </c>
      <c r="F493" s="2">
        <v>0</v>
      </c>
      <c r="G493" s="2">
        <v>150</v>
      </c>
      <c r="H493" s="2" t="s">
        <v>7143</v>
      </c>
      <c r="K493" s="2">
        <v>0</v>
      </c>
      <c r="L493" s="2">
        <v>0</v>
      </c>
      <c r="M493" s="2" t="s">
        <v>8680</v>
      </c>
      <c r="O493" s="2">
        <v>2024</v>
      </c>
      <c r="P493" s="2">
        <v>2024</v>
      </c>
      <c r="Q493" s="2" t="s">
        <v>8681</v>
      </c>
      <c r="S493" s="2">
        <v>15</v>
      </c>
      <c r="T493" s="2" t="s">
        <v>7143</v>
      </c>
    </row>
    <row r="494" spans="2:20">
      <c r="B494" s="2" t="s">
        <v>1389</v>
      </c>
      <c r="C494" s="2" t="s">
        <v>6287</v>
      </c>
      <c r="D494" s="19" t="s">
        <v>8685</v>
      </c>
      <c r="E494" s="2">
        <v>0.6</v>
      </c>
      <c r="G494" s="2">
        <v>600</v>
      </c>
      <c r="H494" s="2" t="s">
        <v>7143</v>
      </c>
      <c r="K494" s="2">
        <v>0.6</v>
      </c>
      <c r="L494" s="2">
        <v>0.8</v>
      </c>
      <c r="M494" s="2" t="s">
        <v>8680</v>
      </c>
      <c r="O494" s="2">
        <v>2022</v>
      </c>
      <c r="P494" s="2">
        <v>2022</v>
      </c>
      <c r="S494" s="2">
        <v>11</v>
      </c>
    </row>
    <row r="495" spans="2:20">
      <c r="B495" s="2" t="s">
        <v>1389</v>
      </c>
      <c r="C495" s="2" t="s">
        <v>6288</v>
      </c>
      <c r="D495" s="19" t="s">
        <v>8682</v>
      </c>
      <c r="E495" s="2">
        <v>0.4</v>
      </c>
      <c r="G495" s="2">
        <v>400</v>
      </c>
      <c r="H495" s="2" t="s">
        <v>7142</v>
      </c>
      <c r="I495" s="2" t="s">
        <v>8690</v>
      </c>
      <c r="J495" s="2" t="s">
        <v>5867</v>
      </c>
      <c r="K495" s="2">
        <v>0.4</v>
      </c>
      <c r="L495" s="2">
        <v>0.4</v>
      </c>
      <c r="M495" s="2" t="s">
        <v>8678</v>
      </c>
      <c r="O495" s="2">
        <v>2011</v>
      </c>
      <c r="P495" s="2">
        <v>2011</v>
      </c>
      <c r="Q495" s="2" t="s">
        <v>8681</v>
      </c>
      <c r="S495" s="2">
        <v>10</v>
      </c>
      <c r="T495" s="2" t="s">
        <v>7143</v>
      </c>
    </row>
    <row r="496" spans="2:20">
      <c r="B496" s="2" t="s">
        <v>1389</v>
      </c>
      <c r="C496" s="2" t="s">
        <v>6289</v>
      </c>
      <c r="D496" s="19" t="s">
        <v>8684</v>
      </c>
      <c r="E496" s="2">
        <v>0.55000000000000004</v>
      </c>
      <c r="G496" s="2">
        <v>550</v>
      </c>
      <c r="H496" s="2" t="s">
        <v>7143</v>
      </c>
      <c r="K496" s="2">
        <v>0.55000000000000004</v>
      </c>
      <c r="L496" s="2">
        <v>0.7</v>
      </c>
      <c r="M496" s="2" t="s">
        <v>8680</v>
      </c>
      <c r="O496" s="2">
        <v>2020</v>
      </c>
      <c r="P496" s="2">
        <v>2020</v>
      </c>
      <c r="Q496" s="2" t="s">
        <v>8679</v>
      </c>
      <c r="S496" s="2">
        <v>11</v>
      </c>
      <c r="T496" s="2" t="s">
        <v>7143</v>
      </c>
    </row>
    <row r="497" spans="2:20">
      <c r="B497" s="2" t="s">
        <v>1383</v>
      </c>
      <c r="C497" s="2" t="s">
        <v>6290</v>
      </c>
      <c r="D497" s="19" t="s">
        <v>8684</v>
      </c>
      <c r="E497" s="2">
        <v>0.1</v>
      </c>
      <c r="F497" s="2">
        <v>0</v>
      </c>
      <c r="G497" s="2">
        <v>100</v>
      </c>
      <c r="H497" s="2" t="s">
        <v>7143</v>
      </c>
      <c r="K497" s="2">
        <v>0.1</v>
      </c>
      <c r="L497" s="2">
        <v>0.2</v>
      </c>
      <c r="M497" s="2" t="s">
        <v>8680</v>
      </c>
      <c r="O497" s="2">
        <v>2018</v>
      </c>
      <c r="P497" s="2">
        <v>2018</v>
      </c>
      <c r="Q497" s="2" t="s">
        <v>8681</v>
      </c>
      <c r="S497" s="2">
        <v>25</v>
      </c>
      <c r="T497" s="2" t="s">
        <v>7143</v>
      </c>
    </row>
    <row r="498" spans="2:20">
      <c r="B498" s="2" t="s">
        <v>1383</v>
      </c>
      <c r="C498" s="2" t="s">
        <v>6291</v>
      </c>
      <c r="D498" s="19" t="s">
        <v>8682</v>
      </c>
      <c r="E498" s="2">
        <v>0.3</v>
      </c>
      <c r="F498" s="2">
        <v>0</v>
      </c>
      <c r="G498" s="2">
        <v>300</v>
      </c>
      <c r="H498" s="2" t="s">
        <v>7143</v>
      </c>
      <c r="K498" s="2">
        <v>0.3</v>
      </c>
      <c r="L498" s="2">
        <v>0.5</v>
      </c>
      <c r="M498" s="2" t="s">
        <v>8678</v>
      </c>
      <c r="O498" s="2">
        <v>2022</v>
      </c>
      <c r="P498" s="2">
        <v>2022</v>
      </c>
      <c r="Q498" s="2" t="s">
        <v>8681</v>
      </c>
      <c r="S498" s="2">
        <v>20</v>
      </c>
      <c r="T498" s="2" t="s">
        <v>7143</v>
      </c>
    </row>
    <row r="499" spans="2:20">
      <c r="B499" s="2" t="s">
        <v>1424</v>
      </c>
      <c r="C499" s="2" t="s">
        <v>6292</v>
      </c>
      <c r="D499" s="19" t="s">
        <v>8684</v>
      </c>
      <c r="E499" s="2">
        <v>0.2</v>
      </c>
      <c r="F499" s="2">
        <v>0</v>
      </c>
      <c r="G499" s="2">
        <v>250</v>
      </c>
      <c r="H499" s="2" t="s">
        <v>7143</v>
      </c>
      <c r="M499" s="2" t="s">
        <v>8680</v>
      </c>
      <c r="O499" s="2">
        <v>2024</v>
      </c>
      <c r="P499" s="2">
        <v>2024</v>
      </c>
      <c r="Q499" s="2" t="s">
        <v>8681</v>
      </c>
      <c r="S499" s="2">
        <v>20</v>
      </c>
      <c r="T499" s="2" t="s">
        <v>7143</v>
      </c>
    </row>
    <row r="500" spans="2:20">
      <c r="B500" s="2" t="s">
        <v>1424</v>
      </c>
      <c r="C500" s="2" t="s">
        <v>6293</v>
      </c>
      <c r="D500" s="19" t="s">
        <v>8685</v>
      </c>
      <c r="E500" s="2">
        <v>0.3</v>
      </c>
      <c r="F500" s="2">
        <v>0</v>
      </c>
      <c r="G500" s="2">
        <v>300</v>
      </c>
      <c r="H500" s="2" t="s">
        <v>7143</v>
      </c>
      <c r="K500" s="2">
        <v>0.3</v>
      </c>
      <c r="L500" s="2">
        <v>0.5</v>
      </c>
      <c r="M500" s="2" t="s">
        <v>8680</v>
      </c>
      <c r="O500" s="2">
        <v>2023</v>
      </c>
      <c r="P500" s="2">
        <v>2023</v>
      </c>
      <c r="Q500" s="2" t="s">
        <v>8681</v>
      </c>
      <c r="S500" s="2">
        <v>26</v>
      </c>
      <c r="T500" s="2" t="s">
        <v>7143</v>
      </c>
    </row>
    <row r="501" spans="2:20">
      <c r="B501" s="2" t="s">
        <v>1424</v>
      </c>
      <c r="C501" s="2" t="s">
        <v>6294</v>
      </c>
      <c r="D501" s="19" t="s">
        <v>8682</v>
      </c>
      <c r="E501" s="2">
        <v>0.9</v>
      </c>
      <c r="F501" s="2">
        <v>0</v>
      </c>
      <c r="G501" s="2">
        <v>900</v>
      </c>
      <c r="H501" s="2" t="s">
        <v>7143</v>
      </c>
      <c r="K501" s="2">
        <v>0.9</v>
      </c>
      <c r="L501" s="2">
        <v>1</v>
      </c>
      <c r="M501" s="2" t="s">
        <v>8680</v>
      </c>
      <c r="O501" s="2">
        <v>2018</v>
      </c>
      <c r="P501" s="2">
        <v>2018</v>
      </c>
      <c r="Q501" s="2" t="s">
        <v>8681</v>
      </c>
      <c r="S501" s="2">
        <v>26</v>
      </c>
      <c r="T501" s="2" t="s">
        <v>7143</v>
      </c>
    </row>
    <row r="502" spans="2:20">
      <c r="B502" s="2" t="s">
        <v>1351</v>
      </c>
      <c r="C502" s="2" t="s">
        <v>6295</v>
      </c>
      <c r="D502" s="19" t="s">
        <v>8684</v>
      </c>
      <c r="E502" s="2">
        <v>0.2</v>
      </c>
      <c r="G502" s="2">
        <v>200</v>
      </c>
      <c r="H502" s="2" t="s">
        <v>7143</v>
      </c>
      <c r="K502" s="2">
        <v>0.2</v>
      </c>
      <c r="L502" s="2">
        <v>0.6</v>
      </c>
      <c r="M502" s="2" t="s">
        <v>8680</v>
      </c>
      <c r="O502" s="2">
        <v>2008</v>
      </c>
      <c r="P502" s="2">
        <v>2008</v>
      </c>
      <c r="S502" s="2">
        <v>11</v>
      </c>
      <c r="T502" s="2" t="s">
        <v>7143</v>
      </c>
    </row>
    <row r="503" spans="2:20">
      <c r="B503" s="2" t="s">
        <v>1351</v>
      </c>
      <c r="C503" s="2" t="s">
        <v>6296</v>
      </c>
      <c r="D503" s="19" t="s">
        <v>8685</v>
      </c>
      <c r="E503" s="2">
        <v>0.3</v>
      </c>
      <c r="G503" s="2">
        <v>300</v>
      </c>
      <c r="H503" s="2" t="s">
        <v>7143</v>
      </c>
      <c r="K503" s="2">
        <v>0.3</v>
      </c>
      <c r="L503" s="2">
        <v>0.7</v>
      </c>
      <c r="M503" s="2" t="s">
        <v>8680</v>
      </c>
      <c r="O503" s="2">
        <v>2008</v>
      </c>
      <c r="P503" s="2">
        <v>2008</v>
      </c>
      <c r="Q503" s="2" t="s">
        <v>8681</v>
      </c>
      <c r="S503" s="2">
        <v>11</v>
      </c>
      <c r="T503" s="2" t="s">
        <v>7143</v>
      </c>
    </row>
    <row r="504" spans="2:20">
      <c r="B504" s="2" t="s">
        <v>1351</v>
      </c>
      <c r="C504" s="2" t="s">
        <v>6297</v>
      </c>
      <c r="D504" s="19" t="s">
        <v>8682</v>
      </c>
      <c r="E504" s="2">
        <v>0.4</v>
      </c>
      <c r="G504" s="2">
        <v>450</v>
      </c>
      <c r="H504" s="2" t="s">
        <v>7143</v>
      </c>
      <c r="K504" s="2">
        <v>0</v>
      </c>
      <c r="L504" s="2">
        <v>0</v>
      </c>
      <c r="M504" s="2" t="s">
        <v>8680</v>
      </c>
      <c r="O504" s="2">
        <v>2024</v>
      </c>
      <c r="P504" s="2">
        <v>2024</v>
      </c>
      <c r="Q504" s="2" t="s">
        <v>8681</v>
      </c>
      <c r="S504" s="2">
        <v>15</v>
      </c>
      <c r="T504" s="2" t="s">
        <v>7143</v>
      </c>
    </row>
    <row r="505" spans="2:20">
      <c r="B505" s="2" t="s">
        <v>1351</v>
      </c>
      <c r="C505" s="2" t="s">
        <v>6298</v>
      </c>
      <c r="D505" s="19" t="s">
        <v>8699</v>
      </c>
      <c r="E505" s="2">
        <v>0.5</v>
      </c>
      <c r="G505" s="2">
        <v>500</v>
      </c>
      <c r="H505" s="2" t="s">
        <v>7143</v>
      </c>
      <c r="K505" s="2">
        <v>0.5</v>
      </c>
      <c r="L505" s="2">
        <v>1.3</v>
      </c>
      <c r="O505" s="2">
        <v>2008</v>
      </c>
      <c r="P505" s="2">
        <v>2008</v>
      </c>
      <c r="Q505" s="2" t="s">
        <v>8681</v>
      </c>
      <c r="S505" s="2">
        <v>11</v>
      </c>
      <c r="T505" s="2" t="s">
        <v>7143</v>
      </c>
    </row>
    <row r="506" spans="2:20">
      <c r="B506" s="2" t="s">
        <v>1449</v>
      </c>
      <c r="C506" s="2" t="s">
        <v>6299</v>
      </c>
      <c r="D506" s="19" t="s">
        <v>8682</v>
      </c>
      <c r="E506" s="2">
        <v>1</v>
      </c>
      <c r="F506" s="2">
        <v>0</v>
      </c>
      <c r="G506" s="2">
        <v>1000</v>
      </c>
      <c r="H506" s="2" t="s">
        <v>7143</v>
      </c>
      <c r="K506" s="2">
        <v>1</v>
      </c>
      <c r="L506" s="2">
        <v>1.2</v>
      </c>
      <c r="M506" s="2" t="s">
        <v>8678</v>
      </c>
      <c r="O506" s="2">
        <v>2022</v>
      </c>
      <c r="P506" s="2">
        <v>2022</v>
      </c>
      <c r="Q506" s="2" t="s">
        <v>8681</v>
      </c>
      <c r="S506" s="2">
        <v>5</v>
      </c>
      <c r="T506" s="2" t="s">
        <v>7143</v>
      </c>
    </row>
    <row r="507" spans="2:20">
      <c r="B507" s="2" t="s">
        <v>1449</v>
      </c>
      <c r="C507" s="2" t="s">
        <v>6300</v>
      </c>
      <c r="D507" s="19" t="s">
        <v>8684</v>
      </c>
      <c r="E507" s="2">
        <v>0.5</v>
      </c>
      <c r="F507" s="2">
        <v>0</v>
      </c>
      <c r="G507" s="2">
        <v>500</v>
      </c>
      <c r="H507" s="2" t="s">
        <v>7143</v>
      </c>
      <c r="K507" s="2">
        <v>0.5</v>
      </c>
      <c r="L507" s="2">
        <v>0.6</v>
      </c>
      <c r="M507" s="2" t="s">
        <v>8678</v>
      </c>
      <c r="O507" s="2">
        <v>2019</v>
      </c>
      <c r="P507" s="2">
        <v>2019</v>
      </c>
      <c r="Q507" s="2" t="s">
        <v>8681</v>
      </c>
      <c r="S507" s="2">
        <v>5</v>
      </c>
      <c r="T507" s="2" t="s">
        <v>7143</v>
      </c>
    </row>
    <row r="508" spans="2:20">
      <c r="B508" s="2" t="s">
        <v>1297</v>
      </c>
      <c r="C508" s="2" t="s">
        <v>6301</v>
      </c>
      <c r="D508" s="19" t="s">
        <v>8684</v>
      </c>
      <c r="E508" s="2">
        <v>1</v>
      </c>
      <c r="G508" s="2">
        <v>1000</v>
      </c>
      <c r="H508" s="2" t="s">
        <v>7142</v>
      </c>
      <c r="I508" s="2" t="s">
        <v>8690</v>
      </c>
      <c r="J508" s="2" t="s">
        <v>5867</v>
      </c>
      <c r="K508" s="2">
        <v>1</v>
      </c>
      <c r="L508" s="2">
        <v>1.5</v>
      </c>
      <c r="M508" s="2" t="s">
        <v>8680</v>
      </c>
      <c r="O508" s="2">
        <v>2009</v>
      </c>
      <c r="P508" s="2">
        <v>2009</v>
      </c>
      <c r="Q508" s="2" t="s">
        <v>8681</v>
      </c>
      <c r="S508" s="2">
        <v>11</v>
      </c>
      <c r="T508" s="2" t="s">
        <v>7142</v>
      </c>
    </row>
    <row r="509" spans="2:20">
      <c r="B509" s="2" t="s">
        <v>1297</v>
      </c>
      <c r="C509" s="2" t="s">
        <v>6302</v>
      </c>
      <c r="D509" s="19" t="s">
        <v>8685</v>
      </c>
      <c r="E509" s="2">
        <v>1</v>
      </c>
      <c r="G509" s="2">
        <v>1000</v>
      </c>
      <c r="H509" s="2" t="s">
        <v>7143</v>
      </c>
      <c r="K509" s="2">
        <v>1</v>
      </c>
      <c r="L509" s="2">
        <v>0.48</v>
      </c>
      <c r="M509" s="2" t="s">
        <v>8678</v>
      </c>
      <c r="O509" s="2">
        <v>2022</v>
      </c>
      <c r="P509" s="2">
        <v>2022</v>
      </c>
      <c r="S509" s="2">
        <v>11</v>
      </c>
      <c r="T509" s="2" t="s">
        <v>7143</v>
      </c>
    </row>
    <row r="510" spans="2:20">
      <c r="B510" s="2" t="s">
        <v>1297</v>
      </c>
      <c r="C510" s="2" t="s">
        <v>6303</v>
      </c>
      <c r="D510" s="19" t="s">
        <v>8699</v>
      </c>
      <c r="E510" s="2">
        <v>0.2</v>
      </c>
      <c r="G510" s="2">
        <v>200</v>
      </c>
      <c r="H510" s="2" t="s">
        <v>7143</v>
      </c>
      <c r="K510" s="2">
        <v>0.2</v>
      </c>
      <c r="L510" s="2">
        <v>0.15</v>
      </c>
      <c r="M510" s="2" t="s">
        <v>8678</v>
      </c>
      <c r="O510" s="2">
        <v>2021</v>
      </c>
      <c r="P510" s="2">
        <v>2021</v>
      </c>
      <c r="Q510" s="2" t="s">
        <v>8691</v>
      </c>
      <c r="S510" s="2">
        <v>10</v>
      </c>
      <c r="T510" s="2" t="s">
        <v>7143</v>
      </c>
    </row>
    <row r="511" spans="2:20">
      <c r="B511" s="2" t="s">
        <v>1297</v>
      </c>
      <c r="C511" s="2" t="s">
        <v>6304</v>
      </c>
      <c r="D511" s="19" t="s">
        <v>8682</v>
      </c>
      <c r="E511" s="2">
        <v>0.4</v>
      </c>
      <c r="G511" s="2">
        <v>460</v>
      </c>
      <c r="H511" s="2" t="s">
        <v>7143</v>
      </c>
      <c r="K511" s="2">
        <v>0.4</v>
      </c>
      <c r="L511" s="2">
        <v>1.1000000000000001</v>
      </c>
      <c r="M511" s="2" t="s">
        <v>8680</v>
      </c>
      <c r="O511" s="2">
        <v>2008</v>
      </c>
      <c r="P511" s="2">
        <v>2008</v>
      </c>
      <c r="Q511" s="2" t="s">
        <v>8681</v>
      </c>
      <c r="S511" s="2">
        <v>10</v>
      </c>
      <c r="T511" s="2" t="s">
        <v>7142</v>
      </c>
    </row>
    <row r="512" spans="2:20">
      <c r="B512" s="2" t="s">
        <v>728</v>
      </c>
      <c r="C512" s="2" t="s">
        <v>6305</v>
      </c>
      <c r="D512" s="19" t="s">
        <v>8684</v>
      </c>
      <c r="E512" s="2">
        <v>0.3</v>
      </c>
      <c r="F512" s="2">
        <v>0</v>
      </c>
      <c r="G512" s="2">
        <v>360</v>
      </c>
      <c r="H512" s="2" t="s">
        <v>7143</v>
      </c>
      <c r="K512" s="2">
        <v>0.3</v>
      </c>
      <c r="L512" s="2">
        <v>1</v>
      </c>
      <c r="M512" s="2" t="s">
        <v>8678</v>
      </c>
      <c r="O512" s="2">
        <v>1995</v>
      </c>
      <c r="P512" s="2">
        <v>2013</v>
      </c>
      <c r="Q512" s="2" t="s">
        <v>8679</v>
      </c>
      <c r="S512" s="2">
        <v>30</v>
      </c>
      <c r="T512" s="2" t="s">
        <v>7143</v>
      </c>
    </row>
    <row r="513" spans="2:20">
      <c r="B513" s="2" t="s">
        <v>728</v>
      </c>
      <c r="C513" s="2" t="s">
        <v>6306</v>
      </c>
      <c r="D513" s="19" t="s">
        <v>8682</v>
      </c>
      <c r="E513" s="2">
        <v>0.4</v>
      </c>
      <c r="F513" s="2">
        <v>0</v>
      </c>
      <c r="G513" s="2">
        <v>500</v>
      </c>
      <c r="H513" s="2" t="s">
        <v>7142</v>
      </c>
      <c r="I513" s="2" t="s">
        <v>8686</v>
      </c>
      <c r="K513" s="2">
        <v>0.4</v>
      </c>
      <c r="L513" s="2">
        <v>1.5</v>
      </c>
      <c r="M513" s="2" t="s">
        <v>8678</v>
      </c>
      <c r="O513" s="2">
        <v>1995</v>
      </c>
      <c r="P513" s="2">
        <v>2017</v>
      </c>
      <c r="Q513" s="2" t="s">
        <v>8679</v>
      </c>
      <c r="S513" s="2">
        <v>30</v>
      </c>
      <c r="T513" s="2" t="s">
        <v>7143</v>
      </c>
    </row>
    <row r="514" spans="2:20">
      <c r="B514" s="2" t="s">
        <v>728</v>
      </c>
      <c r="C514" s="2" t="s">
        <v>6307</v>
      </c>
      <c r="D514" s="19" t="s">
        <v>8685</v>
      </c>
      <c r="E514" s="2">
        <v>0.2</v>
      </c>
      <c r="F514" s="2">
        <v>0</v>
      </c>
      <c r="G514" s="2">
        <v>240</v>
      </c>
      <c r="H514" s="2" t="s">
        <v>7143</v>
      </c>
      <c r="K514" s="2">
        <v>0.2</v>
      </c>
      <c r="L514" s="2">
        <v>1</v>
      </c>
      <c r="M514" s="2" t="s">
        <v>8678</v>
      </c>
      <c r="O514" s="2">
        <v>1995</v>
      </c>
      <c r="P514" s="2">
        <v>2010</v>
      </c>
      <c r="Q514" s="2" t="s">
        <v>8679</v>
      </c>
      <c r="S514" s="2">
        <v>30</v>
      </c>
      <c r="T514" s="2" t="s">
        <v>7143</v>
      </c>
    </row>
    <row r="515" spans="2:20">
      <c r="B515" s="2" t="s">
        <v>1469</v>
      </c>
      <c r="C515" s="2" t="s">
        <v>6308</v>
      </c>
      <c r="D515" s="19" t="s">
        <v>8682</v>
      </c>
      <c r="E515" s="2">
        <v>0.8</v>
      </c>
      <c r="F515" s="2">
        <v>0</v>
      </c>
      <c r="G515" s="2">
        <v>800</v>
      </c>
      <c r="H515" s="2" t="s">
        <v>7143</v>
      </c>
      <c r="K515" s="2">
        <v>0.8</v>
      </c>
      <c r="L515" s="2">
        <v>1.3</v>
      </c>
      <c r="M515" s="2" t="s">
        <v>8680</v>
      </c>
      <c r="O515" s="2">
        <v>2009</v>
      </c>
      <c r="P515" s="2">
        <v>2009</v>
      </c>
      <c r="Q515" s="2" t="s">
        <v>8681</v>
      </c>
      <c r="S515" s="2">
        <v>15</v>
      </c>
      <c r="T515" s="2" t="s">
        <v>7143</v>
      </c>
    </row>
    <row r="516" spans="2:20">
      <c r="B516" s="2" t="s">
        <v>1469</v>
      </c>
      <c r="C516" s="2" t="s">
        <v>6309</v>
      </c>
      <c r="D516" s="19" t="s">
        <v>8684</v>
      </c>
      <c r="E516" s="2">
        <v>0.5</v>
      </c>
      <c r="F516" s="2">
        <v>0</v>
      </c>
      <c r="G516" s="2">
        <v>500</v>
      </c>
      <c r="H516" s="2" t="s">
        <v>7143</v>
      </c>
      <c r="K516" s="2">
        <v>0.5</v>
      </c>
      <c r="L516" s="2">
        <v>0.8</v>
      </c>
      <c r="M516" s="2" t="s">
        <v>8680</v>
      </c>
      <c r="O516" s="2">
        <v>2016</v>
      </c>
      <c r="P516" s="2">
        <v>2016</v>
      </c>
      <c r="Q516" s="2" t="s">
        <v>8681</v>
      </c>
      <c r="S516" s="2">
        <v>20</v>
      </c>
      <c r="T516" s="2" t="s">
        <v>7143</v>
      </c>
    </row>
    <row r="517" spans="2:20">
      <c r="B517" s="2" t="s">
        <v>1250</v>
      </c>
      <c r="C517" s="2" t="s">
        <v>6310</v>
      </c>
      <c r="D517" s="19" t="s">
        <v>8684</v>
      </c>
      <c r="E517" s="2">
        <v>0.2</v>
      </c>
      <c r="G517" s="2">
        <v>200</v>
      </c>
      <c r="H517" s="2" t="s">
        <v>7142</v>
      </c>
      <c r="I517" s="2" t="s">
        <v>8690</v>
      </c>
      <c r="J517" s="2" t="s">
        <v>6311</v>
      </c>
      <c r="K517" s="2">
        <v>0.2</v>
      </c>
      <c r="L517" s="2">
        <v>0.4</v>
      </c>
      <c r="M517" s="2" t="s">
        <v>8680</v>
      </c>
      <c r="O517" s="2">
        <v>2018</v>
      </c>
      <c r="P517" s="2">
        <v>2018</v>
      </c>
      <c r="Q517" s="2" t="s">
        <v>8681</v>
      </c>
      <c r="S517" s="2">
        <v>10</v>
      </c>
      <c r="T517" s="2" t="s">
        <v>7143</v>
      </c>
    </row>
    <row r="518" spans="2:20">
      <c r="B518" s="2" t="s">
        <v>1250</v>
      </c>
      <c r="C518" s="2" t="s">
        <v>6312</v>
      </c>
      <c r="D518" s="19" t="s">
        <v>8685</v>
      </c>
      <c r="E518" s="2">
        <v>0.45</v>
      </c>
      <c r="G518" s="2">
        <v>860</v>
      </c>
      <c r="H518" s="2" t="s">
        <v>7143</v>
      </c>
      <c r="K518" s="2">
        <v>0</v>
      </c>
      <c r="L518" s="2">
        <v>0</v>
      </c>
      <c r="M518" s="2" t="s">
        <v>8680</v>
      </c>
      <c r="O518" s="2">
        <v>2025</v>
      </c>
      <c r="P518" s="2">
        <v>2025</v>
      </c>
      <c r="Q518" s="2" t="s">
        <v>8679</v>
      </c>
      <c r="S518" s="2">
        <v>10</v>
      </c>
      <c r="T518" s="2" t="s">
        <v>7143</v>
      </c>
    </row>
    <row r="519" spans="2:20">
      <c r="B519" s="2" t="s">
        <v>1250</v>
      </c>
      <c r="C519" s="2" t="s">
        <v>6313</v>
      </c>
      <c r="D519" s="19" t="s">
        <v>8682</v>
      </c>
      <c r="E519" s="2">
        <v>0.5</v>
      </c>
      <c r="G519" s="2">
        <v>500</v>
      </c>
      <c r="H519" s="2" t="s">
        <v>7142</v>
      </c>
      <c r="I519" s="2" t="s">
        <v>8690</v>
      </c>
      <c r="J519" s="2" t="s">
        <v>6311</v>
      </c>
      <c r="K519" s="2">
        <v>0.5</v>
      </c>
      <c r="L519" s="2">
        <v>1.1000000000000001</v>
      </c>
      <c r="M519" s="2" t="s">
        <v>8680</v>
      </c>
      <c r="O519" s="2">
        <v>2018</v>
      </c>
      <c r="P519" s="2">
        <v>2018</v>
      </c>
      <c r="Q519" s="2" t="s">
        <v>8681</v>
      </c>
      <c r="S519" s="2">
        <v>10</v>
      </c>
      <c r="T519" s="2" t="s">
        <v>7143</v>
      </c>
    </row>
    <row r="520" spans="2:20">
      <c r="B520" s="2" t="s">
        <v>1479</v>
      </c>
      <c r="C520" s="2" t="s">
        <v>6314</v>
      </c>
      <c r="D520" s="19" t="s">
        <v>8682</v>
      </c>
      <c r="E520" s="2">
        <v>0.4</v>
      </c>
      <c r="F520" s="2">
        <v>0</v>
      </c>
      <c r="G520" s="2">
        <v>400</v>
      </c>
      <c r="H520" s="2" t="s">
        <v>7143</v>
      </c>
      <c r="K520" s="2">
        <v>0.4</v>
      </c>
      <c r="L520" s="2">
        <v>1</v>
      </c>
      <c r="M520" s="2" t="s">
        <v>8678</v>
      </c>
      <c r="O520" s="2">
        <v>2017</v>
      </c>
      <c r="P520" s="2">
        <v>2017</v>
      </c>
      <c r="Q520" s="2" t="s">
        <v>8681</v>
      </c>
      <c r="S520" s="2">
        <v>30</v>
      </c>
      <c r="T520" s="2" t="s">
        <v>7143</v>
      </c>
    </row>
    <row r="521" spans="2:20">
      <c r="B521" s="2" t="s">
        <v>1479</v>
      </c>
      <c r="C521" s="2" t="s">
        <v>6315</v>
      </c>
      <c r="D521" s="19" t="s">
        <v>8684</v>
      </c>
      <c r="E521" s="2">
        <v>0.2</v>
      </c>
      <c r="F521" s="2">
        <v>0</v>
      </c>
      <c r="G521" s="2">
        <v>200</v>
      </c>
      <c r="H521" s="2" t="s">
        <v>7143</v>
      </c>
      <c r="K521" s="2">
        <v>0.2</v>
      </c>
      <c r="L521" s="2">
        <v>0.5</v>
      </c>
      <c r="M521" s="2" t="s">
        <v>8678</v>
      </c>
      <c r="O521" s="2">
        <v>2023</v>
      </c>
      <c r="P521" s="2">
        <v>2023</v>
      </c>
      <c r="Q521" s="2" t="s">
        <v>8681</v>
      </c>
      <c r="S521" s="2">
        <v>25</v>
      </c>
      <c r="T521" s="2" t="s">
        <v>7143</v>
      </c>
    </row>
    <row r="522" spans="2:20">
      <c r="B522" s="2" t="s">
        <v>1205</v>
      </c>
      <c r="C522" s="2" t="s">
        <v>6316</v>
      </c>
      <c r="D522" s="19" t="s">
        <v>8685</v>
      </c>
      <c r="E522" s="2">
        <v>1.7</v>
      </c>
      <c r="G522" s="2">
        <v>1800</v>
      </c>
      <c r="H522" s="2" t="s">
        <v>7143</v>
      </c>
      <c r="K522" s="2">
        <v>1</v>
      </c>
      <c r="L522" s="2">
        <v>1.2</v>
      </c>
      <c r="M522" s="2" t="s">
        <v>8680</v>
      </c>
      <c r="O522" s="2">
        <v>2009</v>
      </c>
      <c r="P522" s="2">
        <v>2025</v>
      </c>
      <c r="Q522" s="2" t="s">
        <v>8679</v>
      </c>
      <c r="S522" s="2">
        <v>25</v>
      </c>
      <c r="T522" s="2" t="s">
        <v>7142</v>
      </c>
    </row>
    <row r="523" spans="2:20">
      <c r="B523" s="2" t="s">
        <v>1205</v>
      </c>
      <c r="C523" s="2" t="s">
        <v>6317</v>
      </c>
      <c r="D523" s="19" t="s">
        <v>8682</v>
      </c>
      <c r="E523" s="2">
        <v>0.9</v>
      </c>
      <c r="G523" s="2">
        <v>1000</v>
      </c>
      <c r="H523" s="2" t="s">
        <v>7142</v>
      </c>
      <c r="I523" s="2" t="s">
        <v>8692</v>
      </c>
      <c r="K523" s="2">
        <v>0.9</v>
      </c>
      <c r="L523" s="2">
        <v>1.5</v>
      </c>
      <c r="M523" s="2" t="s">
        <v>8680</v>
      </c>
      <c r="O523" s="2">
        <v>2009</v>
      </c>
      <c r="P523" s="2">
        <v>2009</v>
      </c>
      <c r="Q523" s="2" t="s">
        <v>8681</v>
      </c>
      <c r="S523" s="2">
        <v>25</v>
      </c>
      <c r="T523" s="2" t="s">
        <v>7142</v>
      </c>
    </row>
    <row r="524" spans="2:20">
      <c r="B524" s="2" t="s">
        <v>1205</v>
      </c>
      <c r="C524" s="2" t="s">
        <v>6318</v>
      </c>
      <c r="D524" s="19" t="s">
        <v>8684</v>
      </c>
      <c r="E524" s="2">
        <v>2</v>
      </c>
      <c r="G524" s="2">
        <v>1800</v>
      </c>
      <c r="H524" s="2" t="s">
        <v>7143</v>
      </c>
      <c r="K524" s="2">
        <v>0</v>
      </c>
      <c r="L524" s="2">
        <v>0</v>
      </c>
      <c r="M524" s="2" t="s">
        <v>8680</v>
      </c>
      <c r="O524" s="2">
        <v>2024</v>
      </c>
      <c r="P524" s="2">
        <v>2024</v>
      </c>
      <c r="Q524" s="2" t="s">
        <v>8681</v>
      </c>
      <c r="S524" s="2">
        <v>4</v>
      </c>
      <c r="T524" s="2" t="s">
        <v>7143</v>
      </c>
    </row>
    <row r="525" spans="2:20">
      <c r="B525" s="2" t="s">
        <v>557</v>
      </c>
      <c r="C525" s="2" t="s">
        <v>6319</v>
      </c>
      <c r="D525" s="19" t="s">
        <v>8682</v>
      </c>
      <c r="E525" s="2">
        <v>0.5</v>
      </c>
      <c r="F525" s="2">
        <v>0</v>
      </c>
      <c r="G525" s="2">
        <v>600</v>
      </c>
      <c r="H525" s="2" t="s">
        <v>7143</v>
      </c>
      <c r="K525" s="2">
        <v>0.5</v>
      </c>
      <c r="L525" s="2">
        <v>1</v>
      </c>
      <c r="M525" s="2" t="s">
        <v>8680</v>
      </c>
      <c r="O525" s="2">
        <v>2006</v>
      </c>
      <c r="P525" s="2">
        <v>2006</v>
      </c>
      <c r="Q525" s="2" t="s">
        <v>8683</v>
      </c>
      <c r="S525" s="2">
        <v>30</v>
      </c>
      <c r="T525" s="2" t="s">
        <v>7143</v>
      </c>
    </row>
    <row r="526" spans="2:20">
      <c r="B526" s="2" t="s">
        <v>1956</v>
      </c>
      <c r="C526" s="2" t="s">
        <v>6320</v>
      </c>
      <c r="D526" s="19" t="s">
        <v>8684</v>
      </c>
      <c r="E526" s="2">
        <v>0.6</v>
      </c>
      <c r="G526" s="2">
        <v>600</v>
      </c>
      <c r="H526" s="2" t="s">
        <v>7143</v>
      </c>
      <c r="K526" s="2">
        <v>0.6</v>
      </c>
      <c r="L526" s="2">
        <v>2.9</v>
      </c>
      <c r="O526" s="2">
        <v>2000</v>
      </c>
      <c r="P526" s="2">
        <v>2000</v>
      </c>
      <c r="Q526" s="2" t="s">
        <v>8679</v>
      </c>
      <c r="S526" s="2">
        <v>20</v>
      </c>
      <c r="T526" s="2" t="s">
        <v>7142</v>
      </c>
    </row>
    <row r="527" spans="2:20">
      <c r="B527" s="2" t="s">
        <v>1956</v>
      </c>
      <c r="C527" s="2" t="s">
        <v>6321</v>
      </c>
      <c r="D527" s="19" t="s">
        <v>8682</v>
      </c>
      <c r="E527" s="2">
        <v>0.8</v>
      </c>
      <c r="G527" s="2">
        <v>700</v>
      </c>
      <c r="H527" s="2" t="s">
        <v>7143</v>
      </c>
      <c r="K527" s="2">
        <v>0.8</v>
      </c>
      <c r="L527" s="2">
        <v>1</v>
      </c>
      <c r="M527" s="2" t="s">
        <v>8680</v>
      </c>
      <c r="O527" s="2">
        <v>1995</v>
      </c>
      <c r="P527" s="2">
        <v>2023</v>
      </c>
      <c r="Q527" s="2" t="s">
        <v>8679</v>
      </c>
      <c r="S527" s="2">
        <v>20</v>
      </c>
      <c r="T527" s="2" t="s">
        <v>7142</v>
      </c>
    </row>
    <row r="528" spans="2:20">
      <c r="B528" s="2" t="s">
        <v>1956</v>
      </c>
      <c r="C528" s="2" t="s">
        <v>6322</v>
      </c>
      <c r="D528" s="19" t="s">
        <v>8685</v>
      </c>
      <c r="E528" s="2">
        <v>0.4</v>
      </c>
      <c r="G528" s="2">
        <v>400</v>
      </c>
      <c r="H528" s="2" t="s">
        <v>7143</v>
      </c>
      <c r="K528" s="2">
        <v>0.4</v>
      </c>
      <c r="L528" s="2">
        <v>0.9</v>
      </c>
      <c r="M528" s="2" t="s">
        <v>8700</v>
      </c>
      <c r="O528" s="2">
        <v>2000</v>
      </c>
      <c r="P528" s="2">
        <v>2000</v>
      </c>
      <c r="Q528" s="2" t="s">
        <v>8679</v>
      </c>
      <c r="S528" s="2">
        <v>20</v>
      </c>
      <c r="T528" s="2" t="s">
        <v>7142</v>
      </c>
    </row>
    <row r="529" spans="2:20">
      <c r="B529" s="2" t="s">
        <v>541</v>
      </c>
      <c r="C529" s="2" t="s">
        <v>6323</v>
      </c>
      <c r="D529" s="19" t="s">
        <v>8682</v>
      </c>
      <c r="E529" s="2">
        <v>0.33</v>
      </c>
      <c r="F529" s="2">
        <v>0</v>
      </c>
      <c r="G529" s="2">
        <v>400</v>
      </c>
      <c r="H529" s="2" t="s">
        <v>7142</v>
      </c>
      <c r="I529" s="2" t="s">
        <v>8686</v>
      </c>
      <c r="K529" s="2">
        <v>0.33</v>
      </c>
      <c r="L529" s="2">
        <v>1.2</v>
      </c>
      <c r="M529" s="2" t="s">
        <v>8680</v>
      </c>
      <c r="O529" s="2">
        <v>2014</v>
      </c>
      <c r="P529" s="2">
        <v>2014</v>
      </c>
      <c r="Q529" s="2" t="s">
        <v>8683</v>
      </c>
      <c r="S529" s="2">
        <v>8</v>
      </c>
      <c r="T529" s="2" t="s">
        <v>7143</v>
      </c>
    </row>
    <row r="530" spans="2:20">
      <c r="B530" s="2" t="s">
        <v>541</v>
      </c>
      <c r="C530" s="2" t="s">
        <v>6324</v>
      </c>
      <c r="D530" s="19" t="s">
        <v>8684</v>
      </c>
      <c r="E530" s="2">
        <v>0.2</v>
      </c>
      <c r="F530" s="2">
        <v>0</v>
      </c>
      <c r="G530" s="2">
        <v>200</v>
      </c>
      <c r="H530" s="2" t="s">
        <v>7142</v>
      </c>
      <c r="I530" s="2" t="s">
        <v>8686</v>
      </c>
      <c r="K530" s="2">
        <v>0.2</v>
      </c>
      <c r="L530" s="2">
        <v>0.8</v>
      </c>
      <c r="M530" s="2" t="s">
        <v>8680</v>
      </c>
      <c r="O530" s="2">
        <v>2014</v>
      </c>
      <c r="P530" s="2">
        <v>2014</v>
      </c>
      <c r="Q530" s="2" t="s">
        <v>8683</v>
      </c>
      <c r="S530" s="2">
        <v>8</v>
      </c>
      <c r="T530" s="2" t="s">
        <v>7143</v>
      </c>
    </row>
    <row r="531" spans="2:20">
      <c r="B531" s="2" t="s">
        <v>1488</v>
      </c>
      <c r="C531" s="2" t="s">
        <v>6325</v>
      </c>
      <c r="D531" s="19" t="s">
        <v>8682</v>
      </c>
      <c r="E531" s="2">
        <v>0.7</v>
      </c>
      <c r="F531" s="2">
        <v>0</v>
      </c>
      <c r="G531" s="2">
        <v>700</v>
      </c>
      <c r="H531" s="2" t="s">
        <v>7143</v>
      </c>
      <c r="K531" s="2">
        <v>0.7</v>
      </c>
      <c r="L531" s="2">
        <v>0.6</v>
      </c>
      <c r="M531" s="2" t="s">
        <v>8680</v>
      </c>
      <c r="O531" s="2">
        <v>2012</v>
      </c>
      <c r="P531" s="2">
        <v>2012</v>
      </c>
      <c r="Q531" s="2" t="s">
        <v>8688</v>
      </c>
      <c r="S531" s="2">
        <v>25</v>
      </c>
      <c r="T531" s="2" t="s">
        <v>7143</v>
      </c>
    </row>
    <row r="532" spans="2:20">
      <c r="B532" s="2" t="s">
        <v>1925</v>
      </c>
      <c r="C532" s="2" t="s">
        <v>6326</v>
      </c>
      <c r="D532" s="19" t="s">
        <v>8684</v>
      </c>
      <c r="E532" s="2">
        <v>1.2</v>
      </c>
      <c r="G532" s="2">
        <v>1300</v>
      </c>
      <c r="H532" s="2" t="s">
        <v>7143</v>
      </c>
      <c r="K532" s="2">
        <v>1.2</v>
      </c>
      <c r="L532" s="2">
        <v>4.8</v>
      </c>
      <c r="M532" s="2" t="s">
        <v>8678</v>
      </c>
      <c r="O532" s="2">
        <v>1997</v>
      </c>
      <c r="P532" s="2">
        <v>1997</v>
      </c>
      <c r="Q532" s="2" t="s">
        <v>8679</v>
      </c>
      <c r="S532" s="2">
        <v>20</v>
      </c>
      <c r="T532" s="2" t="s">
        <v>7142</v>
      </c>
    </row>
    <row r="533" spans="2:20">
      <c r="B533" s="2" t="s">
        <v>1925</v>
      </c>
      <c r="C533" s="2" t="s">
        <v>6327</v>
      </c>
      <c r="D533" s="19" t="s">
        <v>8682</v>
      </c>
      <c r="E533" s="2">
        <v>0.2</v>
      </c>
      <c r="G533" s="2">
        <v>250</v>
      </c>
      <c r="H533" s="2" t="s">
        <v>7143</v>
      </c>
      <c r="K533" s="2">
        <v>0.2</v>
      </c>
      <c r="L533" s="2">
        <v>0.73</v>
      </c>
      <c r="M533" s="2" t="s">
        <v>8678</v>
      </c>
      <c r="O533" s="2">
        <v>2009</v>
      </c>
      <c r="P533" s="2">
        <v>2009</v>
      </c>
      <c r="Q533" s="2" t="s">
        <v>8679</v>
      </c>
      <c r="S533" s="2">
        <v>20</v>
      </c>
      <c r="T533" s="2" t="s">
        <v>7142</v>
      </c>
    </row>
    <row r="534" spans="2:20">
      <c r="B534" s="2" t="s">
        <v>1493</v>
      </c>
      <c r="C534" s="2" t="s">
        <v>6328</v>
      </c>
      <c r="D534" s="19" t="s">
        <v>8684</v>
      </c>
      <c r="E534" s="2">
        <v>0.3</v>
      </c>
      <c r="F534" s="2">
        <v>0</v>
      </c>
      <c r="G534" s="2">
        <v>300</v>
      </c>
      <c r="H534" s="2" t="s">
        <v>7143</v>
      </c>
      <c r="K534" s="2">
        <v>0.3</v>
      </c>
      <c r="L534" s="2">
        <v>0.3</v>
      </c>
      <c r="M534" s="2" t="s">
        <v>8680</v>
      </c>
      <c r="O534" s="2">
        <v>2009</v>
      </c>
      <c r="P534" s="2">
        <v>2009</v>
      </c>
      <c r="Q534" s="2" t="s">
        <v>8681</v>
      </c>
      <c r="S534" s="2">
        <v>1</v>
      </c>
      <c r="T534" s="2" t="s">
        <v>7143</v>
      </c>
    </row>
    <row r="535" spans="2:20">
      <c r="B535" s="2" t="s">
        <v>1493</v>
      </c>
      <c r="C535" s="2" t="s">
        <v>6329</v>
      </c>
      <c r="D535" s="19" t="s">
        <v>8682</v>
      </c>
      <c r="E535" s="2">
        <v>0.5</v>
      </c>
      <c r="F535" s="2">
        <v>0</v>
      </c>
      <c r="G535" s="2">
        <v>500</v>
      </c>
      <c r="H535" s="2" t="s">
        <v>7143</v>
      </c>
      <c r="K535" s="2">
        <v>0.5</v>
      </c>
      <c r="L535" s="2">
        <v>0.7</v>
      </c>
      <c r="M535" s="2" t="s">
        <v>8680</v>
      </c>
      <c r="O535" s="2">
        <v>2009</v>
      </c>
      <c r="P535" s="2">
        <v>2009</v>
      </c>
      <c r="Q535" s="2" t="s">
        <v>8681</v>
      </c>
      <c r="S535" s="2">
        <v>1</v>
      </c>
      <c r="T535" s="2" t="s">
        <v>7143</v>
      </c>
    </row>
    <row r="536" spans="2:20">
      <c r="B536" s="2" t="s">
        <v>583</v>
      </c>
      <c r="C536" s="2" t="s">
        <v>6330</v>
      </c>
      <c r="D536" s="19" t="s">
        <v>8684</v>
      </c>
      <c r="E536" s="2">
        <v>0.4</v>
      </c>
      <c r="F536" s="2">
        <v>0</v>
      </c>
      <c r="G536" s="2">
        <v>400</v>
      </c>
      <c r="H536" s="2" t="s">
        <v>7142</v>
      </c>
      <c r="I536" s="2" t="s">
        <v>8686</v>
      </c>
      <c r="K536" s="2">
        <v>0.4</v>
      </c>
      <c r="L536" s="2">
        <v>1</v>
      </c>
      <c r="M536" s="2" t="s">
        <v>8680</v>
      </c>
      <c r="O536" s="2">
        <v>2010</v>
      </c>
      <c r="P536" s="2">
        <v>2010</v>
      </c>
      <c r="Q536" s="2" t="s">
        <v>8681</v>
      </c>
      <c r="S536" s="2">
        <v>10</v>
      </c>
      <c r="T536" s="2" t="s">
        <v>7143</v>
      </c>
    </row>
    <row r="537" spans="2:20">
      <c r="B537" s="2" t="s">
        <v>583</v>
      </c>
      <c r="C537" s="2" t="s">
        <v>6331</v>
      </c>
      <c r="D537" s="19" t="s">
        <v>8682</v>
      </c>
      <c r="E537" s="2">
        <v>0.7</v>
      </c>
      <c r="F537" s="2">
        <v>0</v>
      </c>
      <c r="G537" s="2">
        <v>700</v>
      </c>
      <c r="H537" s="2" t="s">
        <v>7143</v>
      </c>
      <c r="K537" s="2">
        <v>0.7</v>
      </c>
      <c r="L537" s="2">
        <v>2</v>
      </c>
      <c r="M537" s="2" t="s">
        <v>8678</v>
      </c>
      <c r="O537" s="2">
        <v>2012</v>
      </c>
      <c r="P537" s="2">
        <v>1995</v>
      </c>
      <c r="Q537" s="2" t="s">
        <v>8679</v>
      </c>
      <c r="S537" s="2">
        <v>10</v>
      </c>
      <c r="T537" s="2" t="s">
        <v>7143</v>
      </c>
    </row>
    <row r="538" spans="2:20">
      <c r="B538" s="2" t="s">
        <v>583</v>
      </c>
      <c r="C538" s="2" t="s">
        <v>6332</v>
      </c>
      <c r="D538" s="19" t="s">
        <v>8685</v>
      </c>
      <c r="E538" s="2">
        <v>0.4</v>
      </c>
      <c r="F538" s="2">
        <v>0</v>
      </c>
      <c r="G538" s="2">
        <v>400</v>
      </c>
      <c r="H538" s="2" t="s">
        <v>7143</v>
      </c>
      <c r="K538" s="2">
        <v>0.4</v>
      </c>
      <c r="L538" s="2">
        <v>1</v>
      </c>
      <c r="M538" s="2" t="s">
        <v>8678</v>
      </c>
      <c r="O538" s="2">
        <v>2012</v>
      </c>
      <c r="P538" s="2">
        <v>2012</v>
      </c>
      <c r="Q538" s="2" t="s">
        <v>8681</v>
      </c>
      <c r="S538" s="2">
        <v>10</v>
      </c>
      <c r="T538" s="2" t="s">
        <v>7143</v>
      </c>
    </row>
    <row r="539" spans="2:20">
      <c r="B539" s="2" t="s">
        <v>1899</v>
      </c>
      <c r="C539" s="2" t="s">
        <v>6333</v>
      </c>
      <c r="D539" s="19" t="s">
        <v>8682</v>
      </c>
      <c r="E539" s="2">
        <v>1</v>
      </c>
      <c r="G539" s="2">
        <v>600</v>
      </c>
      <c r="H539" s="2" t="s">
        <v>7143</v>
      </c>
      <c r="K539" s="2">
        <v>1</v>
      </c>
      <c r="L539" s="2">
        <v>3.2</v>
      </c>
      <c r="M539" s="2" t="s">
        <v>8680</v>
      </c>
      <c r="O539" s="2">
        <v>1995</v>
      </c>
      <c r="P539" s="2">
        <v>1995</v>
      </c>
      <c r="Q539" s="2" t="s">
        <v>8681</v>
      </c>
      <c r="S539" s="2">
        <v>20</v>
      </c>
      <c r="T539" s="2" t="s">
        <v>7142</v>
      </c>
    </row>
    <row r="540" spans="2:20">
      <c r="B540" s="2" t="s">
        <v>583</v>
      </c>
      <c r="C540" s="2" t="s">
        <v>6334</v>
      </c>
      <c r="D540" s="19" t="s">
        <v>8699</v>
      </c>
      <c r="E540" s="2">
        <v>0.5</v>
      </c>
      <c r="F540" s="2">
        <v>0</v>
      </c>
      <c r="G540" s="2">
        <v>500</v>
      </c>
      <c r="H540" s="2" t="s">
        <v>7143</v>
      </c>
      <c r="K540" s="2">
        <v>0.5</v>
      </c>
      <c r="L540" s="2">
        <v>1</v>
      </c>
      <c r="M540" s="2" t="s">
        <v>8678</v>
      </c>
      <c r="O540" s="2">
        <v>1995</v>
      </c>
      <c r="P540" s="2">
        <v>2018</v>
      </c>
      <c r="Q540" s="2" t="s">
        <v>8679</v>
      </c>
      <c r="S540" s="2">
        <v>10</v>
      </c>
      <c r="T540" s="2" t="s">
        <v>7143</v>
      </c>
    </row>
    <row r="541" spans="2:20">
      <c r="B541" s="2" t="s">
        <v>1899</v>
      </c>
      <c r="C541" s="2" t="s">
        <v>6335</v>
      </c>
      <c r="D541" s="19" t="s">
        <v>8685</v>
      </c>
      <c r="E541" s="2">
        <v>0.6</v>
      </c>
      <c r="G541" s="2">
        <v>600</v>
      </c>
      <c r="H541" s="2" t="s">
        <v>7143</v>
      </c>
      <c r="K541" s="2">
        <v>0.6</v>
      </c>
      <c r="L541" s="2">
        <v>3.2</v>
      </c>
      <c r="M541" s="2" t="s">
        <v>8680</v>
      </c>
      <c r="O541" s="2">
        <v>2013</v>
      </c>
      <c r="P541" s="2">
        <v>2013</v>
      </c>
      <c r="Q541" s="2" t="s">
        <v>8679</v>
      </c>
      <c r="S541" s="2">
        <v>20</v>
      </c>
      <c r="T541" s="2" t="s">
        <v>7142</v>
      </c>
    </row>
    <row r="542" spans="2:20">
      <c r="B542" s="2" t="s">
        <v>1899</v>
      </c>
      <c r="C542" s="2" t="s">
        <v>6336</v>
      </c>
      <c r="D542" s="19" t="s">
        <v>8684</v>
      </c>
      <c r="E542" s="2">
        <v>1</v>
      </c>
      <c r="G542" s="2">
        <v>1000</v>
      </c>
      <c r="H542" s="2" t="s">
        <v>7143</v>
      </c>
      <c r="K542" s="2">
        <v>1</v>
      </c>
      <c r="L542" s="2">
        <v>6.3</v>
      </c>
      <c r="M542" s="2" t="s">
        <v>8680</v>
      </c>
      <c r="O542" s="2">
        <v>2009</v>
      </c>
      <c r="P542" s="2">
        <v>2009</v>
      </c>
      <c r="Q542" s="2" t="s">
        <v>8679</v>
      </c>
      <c r="S542" s="2">
        <v>20</v>
      </c>
      <c r="T542" s="2" t="s">
        <v>7142</v>
      </c>
    </row>
    <row r="543" spans="2:20">
      <c r="B543" s="2" t="s">
        <v>1499</v>
      </c>
      <c r="C543" s="2" t="s">
        <v>6337</v>
      </c>
      <c r="D543" s="19" t="s">
        <v>8684</v>
      </c>
      <c r="E543" s="2">
        <v>0.3</v>
      </c>
      <c r="F543" s="2">
        <v>0</v>
      </c>
      <c r="G543" s="2">
        <v>300</v>
      </c>
      <c r="H543" s="2" t="s">
        <v>7143</v>
      </c>
      <c r="K543" s="2">
        <v>0.3</v>
      </c>
      <c r="L543" s="2">
        <v>0.5</v>
      </c>
      <c r="M543" s="2" t="s">
        <v>8678</v>
      </c>
      <c r="O543" s="2">
        <v>2020</v>
      </c>
      <c r="P543" s="2">
        <v>2020</v>
      </c>
      <c r="Q543" s="2" t="s">
        <v>8681</v>
      </c>
      <c r="S543" s="2">
        <v>25</v>
      </c>
      <c r="T543" s="2" t="s">
        <v>7143</v>
      </c>
    </row>
    <row r="544" spans="2:20">
      <c r="B544" s="2" t="s">
        <v>1499</v>
      </c>
      <c r="C544" s="2" t="s">
        <v>6338</v>
      </c>
      <c r="D544" s="19" t="s">
        <v>8682</v>
      </c>
      <c r="E544" s="2">
        <v>0.5</v>
      </c>
      <c r="G544" s="2">
        <v>550</v>
      </c>
      <c r="H544" s="2" t="s">
        <v>7143</v>
      </c>
      <c r="K544" s="2">
        <v>0.5</v>
      </c>
      <c r="L544" s="2">
        <v>1.3</v>
      </c>
      <c r="M544" s="2" t="s">
        <v>8678</v>
      </c>
      <c r="O544" s="2">
        <v>2018</v>
      </c>
      <c r="P544" s="2">
        <v>2018</v>
      </c>
      <c r="Q544" s="2" t="s">
        <v>8681</v>
      </c>
      <c r="S544" s="2">
        <v>25</v>
      </c>
      <c r="T544" s="2" t="s">
        <v>7143</v>
      </c>
    </row>
    <row r="545" spans="2:20">
      <c r="B545" s="2" t="s">
        <v>1871</v>
      </c>
      <c r="C545" s="2" t="s">
        <v>6339</v>
      </c>
      <c r="D545" s="19" t="s">
        <v>8684</v>
      </c>
      <c r="E545" s="2">
        <v>0.4</v>
      </c>
      <c r="G545" s="2">
        <v>400</v>
      </c>
      <c r="H545" s="2" t="s">
        <v>7142</v>
      </c>
      <c r="I545" s="2" t="s">
        <v>8690</v>
      </c>
      <c r="J545" s="2" t="s">
        <v>6340</v>
      </c>
      <c r="K545" s="2">
        <v>0.4</v>
      </c>
      <c r="L545" s="2">
        <v>2.4</v>
      </c>
      <c r="M545" s="2" t="s">
        <v>8680</v>
      </c>
      <c r="O545" s="2">
        <v>2007</v>
      </c>
      <c r="P545" s="2">
        <v>2007</v>
      </c>
      <c r="Q545" s="2" t="s">
        <v>8679</v>
      </c>
      <c r="S545" s="2">
        <v>20</v>
      </c>
      <c r="T545" s="2" t="s">
        <v>7142</v>
      </c>
    </row>
    <row r="546" spans="2:20">
      <c r="B546" s="2" t="s">
        <v>1871</v>
      </c>
      <c r="C546" s="2" t="s">
        <v>6341</v>
      </c>
      <c r="D546" s="19" t="s">
        <v>8682</v>
      </c>
      <c r="E546" s="2">
        <v>1.2</v>
      </c>
      <c r="G546" s="2">
        <v>1200</v>
      </c>
      <c r="H546" s="2" t="s">
        <v>7142</v>
      </c>
      <c r="I546" s="2" t="s">
        <v>8690</v>
      </c>
      <c r="J546" s="2" t="s">
        <v>6342</v>
      </c>
      <c r="K546" s="2">
        <v>1.2</v>
      </c>
      <c r="L546" s="2">
        <v>5.8</v>
      </c>
      <c r="M546" s="2" t="s">
        <v>8680</v>
      </c>
      <c r="O546" s="2">
        <v>1999</v>
      </c>
      <c r="P546" s="2">
        <v>1999</v>
      </c>
      <c r="Q546" s="2" t="s">
        <v>8679</v>
      </c>
      <c r="S546" s="2">
        <v>20</v>
      </c>
      <c r="T546" s="2" t="s">
        <v>7142</v>
      </c>
    </row>
    <row r="547" spans="2:20">
      <c r="B547" s="2" t="s">
        <v>1871</v>
      </c>
      <c r="C547" s="2" t="s">
        <v>6343</v>
      </c>
      <c r="D547" s="19" t="s">
        <v>8685</v>
      </c>
      <c r="E547" s="2">
        <v>0.4</v>
      </c>
      <c r="G547" s="2">
        <v>400</v>
      </c>
      <c r="H547" s="2" t="s">
        <v>7143</v>
      </c>
      <c r="K547" s="2">
        <v>0.4</v>
      </c>
      <c r="L547" s="2">
        <v>1</v>
      </c>
      <c r="M547" s="2" t="s">
        <v>8680</v>
      </c>
      <c r="O547" s="2">
        <v>2022</v>
      </c>
      <c r="P547" s="2">
        <v>2022</v>
      </c>
      <c r="Q547" s="2" t="s">
        <v>8679</v>
      </c>
      <c r="S547" s="2">
        <v>20</v>
      </c>
      <c r="T547" s="2" t="s">
        <v>7142</v>
      </c>
    </row>
    <row r="548" spans="2:20">
      <c r="B548" s="2" t="s">
        <v>1547</v>
      </c>
      <c r="C548" s="2" t="s">
        <v>6344</v>
      </c>
      <c r="D548" s="19" t="s">
        <v>8682</v>
      </c>
      <c r="E548" s="2">
        <v>0.1</v>
      </c>
      <c r="F548" s="2">
        <v>0</v>
      </c>
      <c r="G548" s="2">
        <v>100</v>
      </c>
      <c r="H548" s="2" t="s">
        <v>7143</v>
      </c>
      <c r="K548" s="2">
        <v>0.1</v>
      </c>
      <c r="L548" s="2">
        <v>0.2</v>
      </c>
      <c r="M548" s="2" t="s">
        <v>8680</v>
      </c>
      <c r="O548" s="2">
        <v>2017</v>
      </c>
      <c r="P548" s="2">
        <v>2017</v>
      </c>
      <c r="Q548" s="2" t="s">
        <v>8681</v>
      </c>
      <c r="S548" s="2">
        <v>20</v>
      </c>
      <c r="T548" s="2" t="s">
        <v>7143</v>
      </c>
    </row>
    <row r="549" spans="2:20">
      <c r="B549" s="2" t="s">
        <v>1547</v>
      </c>
      <c r="C549" s="2" t="s">
        <v>6345</v>
      </c>
      <c r="D549" s="19" t="s">
        <v>8684</v>
      </c>
      <c r="E549" s="2">
        <v>0.6</v>
      </c>
      <c r="F549" s="2">
        <v>0</v>
      </c>
      <c r="G549" s="2">
        <v>600</v>
      </c>
      <c r="H549" s="2" t="s">
        <v>7143</v>
      </c>
      <c r="K549" s="2">
        <v>0.6</v>
      </c>
      <c r="L549" s="2">
        <v>1</v>
      </c>
      <c r="M549" s="2" t="s">
        <v>8680</v>
      </c>
      <c r="O549" s="2">
        <v>2017</v>
      </c>
      <c r="P549" s="2">
        <v>2017</v>
      </c>
      <c r="Q549" s="2" t="s">
        <v>8681</v>
      </c>
      <c r="S549" s="2">
        <v>25</v>
      </c>
      <c r="T549" s="2" t="s">
        <v>7143</v>
      </c>
    </row>
    <row r="550" spans="2:20">
      <c r="B550" s="2" t="s">
        <v>1838</v>
      </c>
      <c r="C550" s="2" t="s">
        <v>6346</v>
      </c>
      <c r="D550" s="19" t="s">
        <v>8684</v>
      </c>
      <c r="E550" s="2">
        <v>1</v>
      </c>
      <c r="G550" s="2">
        <v>1000</v>
      </c>
      <c r="H550" s="2" t="s">
        <v>7143</v>
      </c>
      <c r="K550" s="2">
        <v>1</v>
      </c>
      <c r="L550" s="2">
        <v>5.6</v>
      </c>
      <c r="M550" s="2" t="s">
        <v>8680</v>
      </c>
      <c r="O550" s="2">
        <v>2013</v>
      </c>
      <c r="P550" s="2">
        <v>2013</v>
      </c>
      <c r="Q550" s="2" t="s">
        <v>8679</v>
      </c>
      <c r="S550" s="2">
        <v>20</v>
      </c>
      <c r="T550" s="2" t="s">
        <v>7142</v>
      </c>
    </row>
    <row r="551" spans="2:20">
      <c r="B551" s="2" t="s">
        <v>1838</v>
      </c>
      <c r="C551" s="2" t="s">
        <v>6347</v>
      </c>
      <c r="D551" s="19" t="s">
        <v>8682</v>
      </c>
      <c r="E551" s="2">
        <v>1</v>
      </c>
      <c r="G551" s="2">
        <v>1000</v>
      </c>
      <c r="H551" s="2" t="s">
        <v>7143</v>
      </c>
      <c r="K551" s="2">
        <v>1</v>
      </c>
      <c r="L551" s="2">
        <v>4.3899999999999997</v>
      </c>
      <c r="M551" s="2" t="s">
        <v>8700</v>
      </c>
      <c r="O551" s="2">
        <v>1999</v>
      </c>
      <c r="P551" s="2">
        <v>1999</v>
      </c>
      <c r="Q551" s="2" t="s">
        <v>8679</v>
      </c>
      <c r="S551" s="2">
        <v>20</v>
      </c>
      <c r="T551" s="2" t="s">
        <v>7142</v>
      </c>
    </row>
    <row r="552" spans="2:20">
      <c r="B552" s="2" t="s">
        <v>1570</v>
      </c>
      <c r="C552" s="2" t="s">
        <v>6348</v>
      </c>
      <c r="D552" s="19" t="s">
        <v>8685</v>
      </c>
      <c r="E552" s="2">
        <v>0.2</v>
      </c>
      <c r="G552" s="2">
        <v>200</v>
      </c>
      <c r="H552" s="2" t="s">
        <v>7143</v>
      </c>
      <c r="K552" s="2">
        <v>0.2</v>
      </c>
      <c r="L552" s="2">
        <v>0.2</v>
      </c>
      <c r="M552" s="2" t="s">
        <v>8678</v>
      </c>
      <c r="O552" s="2">
        <v>2020</v>
      </c>
      <c r="P552" s="2">
        <v>2020</v>
      </c>
      <c r="Q552" s="2" t="s">
        <v>8681</v>
      </c>
      <c r="S552" s="2">
        <v>30</v>
      </c>
      <c r="T552" s="2" t="s">
        <v>7143</v>
      </c>
    </row>
    <row r="553" spans="2:20">
      <c r="B553" s="2" t="s">
        <v>1570</v>
      </c>
      <c r="C553" s="2" t="s">
        <v>6349</v>
      </c>
      <c r="D553" s="19" t="s">
        <v>8684</v>
      </c>
      <c r="E553" s="2">
        <v>0.6</v>
      </c>
      <c r="F553" s="2">
        <v>0</v>
      </c>
      <c r="G553" s="2">
        <v>600</v>
      </c>
      <c r="H553" s="2" t="s">
        <v>7143</v>
      </c>
      <c r="K553" s="2">
        <v>0</v>
      </c>
      <c r="L553" s="2">
        <v>0</v>
      </c>
      <c r="M553" s="2" t="s">
        <v>8678</v>
      </c>
      <c r="O553" s="2">
        <v>2025</v>
      </c>
      <c r="P553" s="2">
        <v>2025</v>
      </c>
      <c r="Q553" s="2" t="s">
        <v>8681</v>
      </c>
      <c r="S553" s="2">
        <v>30</v>
      </c>
      <c r="T553" s="2" t="s">
        <v>7143</v>
      </c>
    </row>
    <row r="554" spans="2:20">
      <c r="B554" s="2" t="s">
        <v>1570</v>
      </c>
      <c r="C554" s="2" t="s">
        <v>6350</v>
      </c>
      <c r="D554" s="19" t="s">
        <v>8682</v>
      </c>
      <c r="E554" s="2">
        <v>0.3</v>
      </c>
      <c r="F554" s="2">
        <v>0</v>
      </c>
      <c r="G554" s="2">
        <v>300</v>
      </c>
      <c r="H554" s="2" t="s">
        <v>7143</v>
      </c>
      <c r="K554" s="2">
        <v>0.3</v>
      </c>
      <c r="L554" s="2">
        <v>1</v>
      </c>
      <c r="M554" s="2" t="s">
        <v>8678</v>
      </c>
      <c r="O554" s="2">
        <v>2012</v>
      </c>
      <c r="P554" s="2">
        <v>2012</v>
      </c>
      <c r="Q554" s="2" t="s">
        <v>8679</v>
      </c>
      <c r="S554" s="2">
        <v>20</v>
      </c>
      <c r="T554" s="2" t="s">
        <v>7143</v>
      </c>
    </row>
    <row r="555" spans="2:20">
      <c r="B555" s="2" t="s">
        <v>472</v>
      </c>
      <c r="C555" s="2" t="s">
        <v>6351</v>
      </c>
      <c r="D555" s="19" t="s">
        <v>8699</v>
      </c>
      <c r="E555" s="2">
        <v>0.55000000000000004</v>
      </c>
      <c r="F555" s="2">
        <v>0</v>
      </c>
      <c r="G555" s="2">
        <v>500</v>
      </c>
      <c r="H555" s="2" t="s">
        <v>7142</v>
      </c>
      <c r="I555" s="2" t="s">
        <v>8695</v>
      </c>
      <c r="K555" s="2">
        <v>0.55000000000000004</v>
      </c>
      <c r="L555" s="2">
        <v>2</v>
      </c>
      <c r="M555" s="2" t="s">
        <v>8680</v>
      </c>
      <c r="O555" s="2">
        <v>2014</v>
      </c>
      <c r="P555" s="2">
        <v>2014</v>
      </c>
      <c r="Q555" s="2" t="s">
        <v>8703</v>
      </c>
      <c r="S555" s="2">
        <v>35</v>
      </c>
      <c r="T555" s="2" t="s">
        <v>7143</v>
      </c>
    </row>
    <row r="556" spans="2:20">
      <c r="B556" s="2" t="s">
        <v>472</v>
      </c>
      <c r="C556" s="2" t="s">
        <v>6352</v>
      </c>
      <c r="D556" s="19" t="s">
        <v>8708</v>
      </c>
      <c r="E556" s="2">
        <v>0.22</v>
      </c>
      <c r="F556" s="2">
        <v>0</v>
      </c>
      <c r="G556" s="2">
        <v>200</v>
      </c>
      <c r="H556" s="2" t="s">
        <v>7143</v>
      </c>
      <c r="K556" s="2">
        <v>0.22</v>
      </c>
      <c r="L556" s="2">
        <v>1</v>
      </c>
      <c r="M556" s="2" t="s">
        <v>8680</v>
      </c>
      <c r="O556" s="2">
        <v>2013</v>
      </c>
      <c r="P556" s="2">
        <v>2013</v>
      </c>
      <c r="Q556" s="2" t="s">
        <v>8681</v>
      </c>
      <c r="S556" s="2">
        <v>35</v>
      </c>
      <c r="T556" s="2" t="s">
        <v>7143</v>
      </c>
    </row>
    <row r="557" spans="2:20">
      <c r="B557" s="2" t="s">
        <v>472</v>
      </c>
      <c r="C557" s="2" t="s">
        <v>6353</v>
      </c>
      <c r="D557" s="19" t="s">
        <v>8713</v>
      </c>
      <c r="E557" s="2">
        <v>0.22</v>
      </c>
      <c r="F557" s="2">
        <v>0</v>
      </c>
      <c r="G557" s="2">
        <v>200</v>
      </c>
      <c r="H557" s="2" t="s">
        <v>7143</v>
      </c>
      <c r="K557" s="2">
        <v>0.22</v>
      </c>
      <c r="L557" s="2">
        <v>1</v>
      </c>
      <c r="M557" s="2" t="s">
        <v>8680</v>
      </c>
      <c r="O557" s="2">
        <v>2015</v>
      </c>
      <c r="P557" s="2">
        <v>2015</v>
      </c>
      <c r="Q557" s="2" t="s">
        <v>8681</v>
      </c>
      <c r="S557" s="2">
        <v>40</v>
      </c>
      <c r="T557" s="2" t="s">
        <v>7143</v>
      </c>
    </row>
    <row r="558" spans="2:20">
      <c r="B558" s="2" t="s">
        <v>472</v>
      </c>
      <c r="C558" s="2" t="s">
        <v>6354</v>
      </c>
      <c r="D558" s="19" t="s">
        <v>8684</v>
      </c>
      <c r="E558" s="2">
        <v>0.45</v>
      </c>
      <c r="F558" s="2">
        <v>0</v>
      </c>
      <c r="G558" s="2">
        <v>500</v>
      </c>
      <c r="H558" s="2" t="s">
        <v>7143</v>
      </c>
      <c r="K558" s="2">
        <v>0.45</v>
      </c>
      <c r="L558" s="2">
        <v>1.5</v>
      </c>
      <c r="M558" s="2" t="s">
        <v>8678</v>
      </c>
      <c r="O558" s="2">
        <v>2014</v>
      </c>
      <c r="P558" s="2">
        <v>2014</v>
      </c>
      <c r="Q558" s="2" t="s">
        <v>8681</v>
      </c>
      <c r="S558" s="2">
        <v>35</v>
      </c>
      <c r="T558" s="2" t="s">
        <v>7143</v>
      </c>
    </row>
    <row r="559" spans="2:20">
      <c r="B559" s="2" t="s">
        <v>472</v>
      </c>
      <c r="C559" s="2" t="s">
        <v>6355</v>
      </c>
      <c r="D559" s="19" t="s">
        <v>8714</v>
      </c>
      <c r="E559" s="2">
        <v>0.18</v>
      </c>
      <c r="F559" s="2">
        <v>0</v>
      </c>
      <c r="G559" s="2">
        <v>200</v>
      </c>
      <c r="H559" s="2" t="s">
        <v>7143</v>
      </c>
      <c r="K559" s="2">
        <v>0.18</v>
      </c>
      <c r="L559" s="2">
        <v>1</v>
      </c>
      <c r="M559" s="2" t="s">
        <v>8680</v>
      </c>
      <c r="O559" s="2">
        <v>1995</v>
      </c>
      <c r="P559" s="2">
        <v>2019</v>
      </c>
      <c r="Q559" s="2" t="s">
        <v>8679</v>
      </c>
      <c r="S559" s="2">
        <v>40</v>
      </c>
      <c r="T559" s="2" t="s">
        <v>7143</v>
      </c>
    </row>
    <row r="560" spans="2:20">
      <c r="B560" s="2" t="s">
        <v>472</v>
      </c>
      <c r="C560" s="2" t="s">
        <v>6356</v>
      </c>
      <c r="D560" s="19" t="s">
        <v>8685</v>
      </c>
      <c r="E560" s="2">
        <v>0.45</v>
      </c>
      <c r="F560" s="2">
        <v>0</v>
      </c>
      <c r="G560" s="2">
        <v>500</v>
      </c>
      <c r="H560" s="2" t="s">
        <v>7143</v>
      </c>
      <c r="K560" s="2">
        <v>0.45</v>
      </c>
      <c r="L560" s="2">
        <v>1.5</v>
      </c>
      <c r="M560" s="2" t="s">
        <v>8678</v>
      </c>
      <c r="O560" s="2">
        <v>2012</v>
      </c>
      <c r="P560" s="2">
        <v>2012</v>
      </c>
      <c r="Q560" s="2" t="s">
        <v>8681</v>
      </c>
      <c r="S560" s="2">
        <v>35</v>
      </c>
      <c r="T560" s="2" t="s">
        <v>7143</v>
      </c>
    </row>
    <row r="561" spans="2:20">
      <c r="B561" s="2" t="s">
        <v>472</v>
      </c>
      <c r="C561" s="2" t="s">
        <v>6357</v>
      </c>
      <c r="D561" s="19" t="s">
        <v>8715</v>
      </c>
      <c r="E561" s="2">
        <v>0.3</v>
      </c>
      <c r="F561" s="2">
        <v>0</v>
      </c>
      <c r="G561" s="2">
        <v>300</v>
      </c>
      <c r="H561" s="2" t="s">
        <v>7143</v>
      </c>
      <c r="K561" s="2">
        <v>0.3</v>
      </c>
      <c r="L561" s="2">
        <v>1.5</v>
      </c>
      <c r="M561" s="2" t="s">
        <v>8680</v>
      </c>
      <c r="O561" s="2">
        <v>1995</v>
      </c>
      <c r="P561" s="2">
        <v>2018</v>
      </c>
      <c r="Q561" s="2" t="s">
        <v>8679</v>
      </c>
      <c r="S561" s="2">
        <v>40</v>
      </c>
      <c r="T561" s="2" t="s">
        <v>7143</v>
      </c>
    </row>
    <row r="562" spans="2:20">
      <c r="B562" s="2" t="s">
        <v>1792</v>
      </c>
      <c r="C562" s="2" t="s">
        <v>6358</v>
      </c>
      <c r="D562" s="19" t="s">
        <v>8682</v>
      </c>
      <c r="E562" s="2">
        <v>1.2</v>
      </c>
      <c r="G562" s="2">
        <v>1300</v>
      </c>
      <c r="H562" s="2" t="s">
        <v>7143</v>
      </c>
      <c r="K562" s="2">
        <v>1.2</v>
      </c>
      <c r="L562" s="2">
        <v>3.6</v>
      </c>
      <c r="M562" s="2" t="s">
        <v>8678</v>
      </c>
      <c r="O562" s="2">
        <v>1999</v>
      </c>
      <c r="P562" s="2">
        <v>1999</v>
      </c>
      <c r="Q562" s="2" t="s">
        <v>8681</v>
      </c>
      <c r="S562" s="2">
        <v>20</v>
      </c>
      <c r="T562" s="2" t="s">
        <v>7142</v>
      </c>
    </row>
    <row r="563" spans="2:20">
      <c r="B563" s="2" t="s">
        <v>472</v>
      </c>
      <c r="C563" s="2" t="s">
        <v>6359</v>
      </c>
      <c r="D563" s="19" t="s">
        <v>8682</v>
      </c>
      <c r="E563" s="2">
        <v>1.1000000000000001</v>
      </c>
      <c r="F563" s="2">
        <v>0</v>
      </c>
      <c r="G563" s="2">
        <v>1100</v>
      </c>
      <c r="H563" s="2" t="s">
        <v>7143</v>
      </c>
      <c r="K563" s="2">
        <v>1.1000000000000001</v>
      </c>
      <c r="L563" s="2">
        <v>3.5</v>
      </c>
      <c r="M563" s="2" t="s">
        <v>8680</v>
      </c>
      <c r="O563" s="2">
        <v>2003</v>
      </c>
      <c r="P563" s="2">
        <v>2003</v>
      </c>
      <c r="Q563" s="2" t="s">
        <v>8683</v>
      </c>
      <c r="S563" s="2">
        <v>40</v>
      </c>
      <c r="T563" s="2" t="s">
        <v>7143</v>
      </c>
    </row>
    <row r="564" spans="2:20">
      <c r="B564" s="2" t="s">
        <v>1589</v>
      </c>
      <c r="C564" s="2" t="s">
        <v>6360</v>
      </c>
      <c r="D564" s="19" t="s">
        <v>8682</v>
      </c>
      <c r="E564" s="2">
        <v>0.8</v>
      </c>
      <c r="F564" s="2">
        <v>0</v>
      </c>
      <c r="G564" s="2">
        <v>800</v>
      </c>
      <c r="H564" s="2" t="s">
        <v>7143</v>
      </c>
      <c r="K564" s="2">
        <v>0.8</v>
      </c>
      <c r="L564" s="2">
        <v>1.6</v>
      </c>
      <c r="M564" s="2" t="s">
        <v>8678</v>
      </c>
      <c r="O564" s="2">
        <v>2017</v>
      </c>
      <c r="P564" s="2">
        <v>2017</v>
      </c>
      <c r="Q564" s="2" t="s">
        <v>8681</v>
      </c>
      <c r="S564" s="2">
        <v>15</v>
      </c>
      <c r="T564" s="2" t="s">
        <v>7143</v>
      </c>
    </row>
    <row r="565" spans="2:20">
      <c r="B565" s="2" t="s">
        <v>1589</v>
      </c>
      <c r="C565" s="2" t="s">
        <v>6361</v>
      </c>
      <c r="D565" s="19" t="s">
        <v>8685</v>
      </c>
      <c r="E565" s="2">
        <v>0.2</v>
      </c>
      <c r="G565" s="2">
        <v>200</v>
      </c>
      <c r="H565" s="2" t="s">
        <v>7143</v>
      </c>
      <c r="M565" s="2" t="s">
        <v>8678</v>
      </c>
      <c r="O565" s="2">
        <v>2025</v>
      </c>
      <c r="P565" s="2">
        <v>2025</v>
      </c>
      <c r="Q565" s="2" t="s">
        <v>8679</v>
      </c>
      <c r="S565" s="2">
        <v>20</v>
      </c>
      <c r="T565" s="2" t="s">
        <v>7143</v>
      </c>
    </row>
    <row r="566" spans="2:20">
      <c r="B566" s="2" t="s">
        <v>1589</v>
      </c>
      <c r="C566" s="2" t="s">
        <v>6362</v>
      </c>
      <c r="D566" s="19" t="s">
        <v>8699</v>
      </c>
      <c r="E566" s="2">
        <v>0.2</v>
      </c>
      <c r="G566" s="2">
        <v>200</v>
      </c>
      <c r="H566" s="2" t="s">
        <v>7143</v>
      </c>
      <c r="K566" s="2">
        <v>0.2</v>
      </c>
      <c r="L566" s="2">
        <v>0.6</v>
      </c>
      <c r="M566" s="2" t="s">
        <v>8678</v>
      </c>
      <c r="O566" s="2">
        <v>2017</v>
      </c>
      <c r="P566" s="2">
        <v>2017</v>
      </c>
      <c r="Q566" s="2" t="s">
        <v>8681</v>
      </c>
      <c r="S566" s="2">
        <v>20</v>
      </c>
      <c r="T566" s="2" t="s">
        <v>7143</v>
      </c>
    </row>
    <row r="567" spans="2:20">
      <c r="B567" s="2" t="s">
        <v>1589</v>
      </c>
      <c r="C567" s="2" t="s">
        <v>6363</v>
      </c>
      <c r="D567" s="19" t="s">
        <v>8684</v>
      </c>
      <c r="E567" s="2">
        <v>0.6</v>
      </c>
      <c r="G567" s="2">
        <v>600</v>
      </c>
      <c r="H567" s="2" t="s">
        <v>7143</v>
      </c>
      <c r="K567" s="2">
        <v>0.6</v>
      </c>
      <c r="L567" s="2">
        <v>1.2</v>
      </c>
      <c r="M567" s="2" t="s">
        <v>8678</v>
      </c>
      <c r="O567" s="2">
        <v>2016</v>
      </c>
      <c r="P567" s="2">
        <v>2016</v>
      </c>
      <c r="Q567" s="2" t="s">
        <v>8681</v>
      </c>
      <c r="S567" s="2">
        <v>30</v>
      </c>
      <c r="T567" s="2" t="s">
        <v>7143</v>
      </c>
    </row>
    <row r="568" spans="2:20">
      <c r="B568" s="2" t="s">
        <v>1727</v>
      </c>
      <c r="C568" s="2" t="s">
        <v>6364</v>
      </c>
      <c r="D568" s="19" t="s">
        <v>8682</v>
      </c>
      <c r="E568" s="2">
        <v>1.2</v>
      </c>
      <c r="G568" s="2">
        <v>1200</v>
      </c>
      <c r="H568" s="2" t="s">
        <v>7143</v>
      </c>
      <c r="K568" s="2">
        <v>1.2</v>
      </c>
      <c r="L568" s="2">
        <v>2.4</v>
      </c>
      <c r="M568" s="2" t="s">
        <v>8680</v>
      </c>
      <c r="O568" s="2">
        <v>1997</v>
      </c>
      <c r="P568" s="2">
        <v>1997</v>
      </c>
      <c r="Q568" s="2" t="s">
        <v>8679</v>
      </c>
      <c r="S568" s="2">
        <v>20</v>
      </c>
      <c r="T568" s="2" t="s">
        <v>7142</v>
      </c>
    </row>
    <row r="569" spans="2:20">
      <c r="B569" s="2" t="s">
        <v>491</v>
      </c>
      <c r="C569" s="2" t="s">
        <v>6365</v>
      </c>
      <c r="D569" s="19" t="s">
        <v>8682</v>
      </c>
      <c r="E569" s="2">
        <v>0.9</v>
      </c>
      <c r="F569" s="2">
        <v>0</v>
      </c>
      <c r="G569" s="2">
        <v>900</v>
      </c>
      <c r="H569" s="2" t="s">
        <v>7143</v>
      </c>
      <c r="K569" s="2">
        <v>0.9</v>
      </c>
      <c r="L569" s="2">
        <v>2.5</v>
      </c>
      <c r="M569" s="2" t="s">
        <v>8678</v>
      </c>
      <c r="O569" s="2">
        <v>1998</v>
      </c>
      <c r="P569" s="2">
        <v>1998</v>
      </c>
      <c r="Q569" s="2" t="s">
        <v>8703</v>
      </c>
      <c r="S569" s="2">
        <v>30</v>
      </c>
      <c r="T569" s="2" t="s">
        <v>7143</v>
      </c>
    </row>
    <row r="570" spans="2:20">
      <c r="B570" s="2" t="s">
        <v>1769</v>
      </c>
      <c r="C570" s="2" t="s">
        <v>6366</v>
      </c>
      <c r="D570" s="19" t="s">
        <v>8682</v>
      </c>
      <c r="E570" s="2">
        <v>1</v>
      </c>
      <c r="G570" s="2">
        <v>975</v>
      </c>
      <c r="H570" s="2" t="s">
        <v>7143</v>
      </c>
      <c r="K570" s="2">
        <v>1</v>
      </c>
      <c r="L570" s="2">
        <v>3.4</v>
      </c>
      <c r="M570" s="2" t="s">
        <v>8680</v>
      </c>
      <c r="O570" s="2">
        <v>1998</v>
      </c>
      <c r="P570" s="2">
        <v>2021</v>
      </c>
      <c r="Q570" s="2" t="s">
        <v>8679</v>
      </c>
      <c r="S570" s="2">
        <v>20</v>
      </c>
      <c r="T570" s="2" t="s">
        <v>7142</v>
      </c>
    </row>
    <row r="571" spans="2:20">
      <c r="B571" s="2" t="s">
        <v>1672</v>
      </c>
      <c r="C571" s="2" t="s">
        <v>6367</v>
      </c>
      <c r="D571" s="19" t="s">
        <v>8682</v>
      </c>
      <c r="E571" s="2">
        <v>0.8</v>
      </c>
      <c r="G571" s="2">
        <v>890</v>
      </c>
      <c r="H571" s="2" t="s">
        <v>7143</v>
      </c>
      <c r="K571" s="2">
        <v>0.8</v>
      </c>
      <c r="L571" s="2">
        <v>4</v>
      </c>
      <c r="M571" s="2" t="s">
        <v>8678</v>
      </c>
      <c r="O571" s="2">
        <v>1997</v>
      </c>
      <c r="P571" s="2">
        <v>1997</v>
      </c>
      <c r="Q571" s="2" t="s">
        <v>8683</v>
      </c>
      <c r="S571" s="2">
        <v>20</v>
      </c>
      <c r="T571" s="2" t="s">
        <v>7143</v>
      </c>
    </row>
    <row r="572" spans="2:20">
      <c r="B572" s="2" t="s">
        <v>1672</v>
      </c>
      <c r="C572" s="2" t="s">
        <v>6368</v>
      </c>
      <c r="D572" s="19" t="s">
        <v>8685</v>
      </c>
      <c r="E572" s="2">
        <v>0.8</v>
      </c>
      <c r="G572" s="2">
        <v>815</v>
      </c>
      <c r="H572" s="2" t="s">
        <v>7143</v>
      </c>
      <c r="K572" s="2">
        <v>0.8</v>
      </c>
      <c r="L572" s="2">
        <v>3</v>
      </c>
      <c r="M572" s="2" t="s">
        <v>8678</v>
      </c>
      <c r="O572" s="2">
        <v>1997</v>
      </c>
      <c r="P572" s="2">
        <v>1997</v>
      </c>
      <c r="Q572" s="2" t="s">
        <v>8683</v>
      </c>
      <c r="S572" s="2">
        <v>30</v>
      </c>
      <c r="T572" s="2" t="s">
        <v>7143</v>
      </c>
    </row>
    <row r="573" spans="2:20">
      <c r="B573" s="2" t="s">
        <v>1672</v>
      </c>
      <c r="C573" s="2" t="s">
        <v>6369</v>
      </c>
      <c r="D573" s="19" t="s">
        <v>8684</v>
      </c>
      <c r="E573" s="2">
        <v>0.8</v>
      </c>
      <c r="G573" s="2">
        <v>890</v>
      </c>
      <c r="H573" s="2" t="s">
        <v>7143</v>
      </c>
      <c r="K573" s="2">
        <v>0.8</v>
      </c>
      <c r="L573" s="2">
        <v>3.5</v>
      </c>
      <c r="M573" s="2" t="s">
        <v>8678</v>
      </c>
      <c r="O573" s="2">
        <v>1997</v>
      </c>
      <c r="P573" s="2">
        <v>1997</v>
      </c>
      <c r="Q573" s="2" t="s">
        <v>8683</v>
      </c>
      <c r="S573" s="2">
        <v>30</v>
      </c>
      <c r="T573" s="2" t="s">
        <v>7143</v>
      </c>
    </row>
    <row r="574" spans="2:20">
      <c r="B574" s="2" t="s">
        <v>499</v>
      </c>
      <c r="C574" s="2" t="s">
        <v>6370</v>
      </c>
      <c r="D574" s="19" t="s">
        <v>8685</v>
      </c>
      <c r="E574" s="2">
        <v>0.22</v>
      </c>
      <c r="F574" s="2">
        <v>0</v>
      </c>
      <c r="G574" s="2">
        <v>200</v>
      </c>
      <c r="H574" s="2" t="s">
        <v>7143</v>
      </c>
      <c r="K574" s="2">
        <v>0.22</v>
      </c>
      <c r="L574" s="2">
        <v>0.5</v>
      </c>
      <c r="M574" s="2" t="s">
        <v>8678</v>
      </c>
      <c r="O574" s="2">
        <v>2005</v>
      </c>
      <c r="P574" s="2">
        <v>2005</v>
      </c>
      <c r="Q574" s="2" t="s">
        <v>8681</v>
      </c>
      <c r="S574" s="2">
        <v>30</v>
      </c>
      <c r="T574" s="2" t="s">
        <v>7143</v>
      </c>
    </row>
    <row r="575" spans="2:20">
      <c r="B575" s="2" t="s">
        <v>499</v>
      </c>
      <c r="C575" s="2" t="s">
        <v>6371</v>
      </c>
      <c r="D575" s="19" t="s">
        <v>8684</v>
      </c>
      <c r="E575" s="2">
        <v>0.27</v>
      </c>
      <c r="F575" s="2">
        <v>0</v>
      </c>
      <c r="G575" s="2">
        <v>300</v>
      </c>
      <c r="H575" s="2" t="s">
        <v>7143</v>
      </c>
      <c r="K575" s="2">
        <v>0.27</v>
      </c>
      <c r="L575" s="2">
        <v>1</v>
      </c>
      <c r="M575" s="2" t="s">
        <v>8680</v>
      </c>
      <c r="O575" s="2">
        <v>2005</v>
      </c>
      <c r="P575" s="2">
        <v>2005</v>
      </c>
      <c r="Q575" s="2" t="s">
        <v>8683</v>
      </c>
      <c r="S575" s="2">
        <v>30</v>
      </c>
      <c r="T575" s="2" t="s">
        <v>7143</v>
      </c>
    </row>
    <row r="576" spans="2:20">
      <c r="B576" s="2" t="s">
        <v>499</v>
      </c>
      <c r="C576" s="2" t="s">
        <v>6372</v>
      </c>
      <c r="D576" s="19" t="s">
        <v>8682</v>
      </c>
      <c r="E576" s="2">
        <v>0.4</v>
      </c>
      <c r="F576" s="2">
        <v>0</v>
      </c>
      <c r="G576" s="2">
        <v>400</v>
      </c>
      <c r="H576" s="2" t="s">
        <v>7143</v>
      </c>
      <c r="K576" s="2">
        <v>0.4</v>
      </c>
      <c r="L576" s="2">
        <v>1.5</v>
      </c>
      <c r="M576" s="2" t="s">
        <v>8680</v>
      </c>
      <c r="O576" s="2">
        <v>2005</v>
      </c>
      <c r="P576" s="2">
        <v>2005</v>
      </c>
      <c r="Q576" s="2" t="s">
        <v>8681</v>
      </c>
      <c r="S576" s="2">
        <v>30</v>
      </c>
      <c r="T576" s="2" t="s">
        <v>7143</v>
      </c>
    </row>
    <row r="577" spans="2:20">
      <c r="B577" s="2" t="s">
        <v>1691</v>
      </c>
      <c r="C577" s="2" t="s">
        <v>6373</v>
      </c>
      <c r="D577" s="19" t="s">
        <v>8685</v>
      </c>
      <c r="E577" s="2">
        <v>1</v>
      </c>
      <c r="G577" s="2">
        <v>1100</v>
      </c>
      <c r="H577" s="2" t="s">
        <v>7143</v>
      </c>
      <c r="K577" s="2">
        <v>1</v>
      </c>
      <c r="L577" s="2">
        <v>4</v>
      </c>
      <c r="M577" s="2" t="s">
        <v>8680</v>
      </c>
      <c r="O577" s="2">
        <v>1998</v>
      </c>
      <c r="P577" s="2">
        <v>1998</v>
      </c>
      <c r="Q577" s="2" t="s">
        <v>8679</v>
      </c>
      <c r="S577" s="2">
        <v>20</v>
      </c>
      <c r="T577" s="2" t="s">
        <v>7142</v>
      </c>
    </row>
    <row r="578" spans="2:20">
      <c r="B578" s="2" t="s">
        <v>1691</v>
      </c>
      <c r="C578" s="2" t="s">
        <v>6374</v>
      </c>
      <c r="D578" s="19" t="s">
        <v>8682</v>
      </c>
      <c r="E578" s="2">
        <v>0.3</v>
      </c>
      <c r="G578" s="2">
        <v>420</v>
      </c>
      <c r="H578" s="2" t="s">
        <v>7143</v>
      </c>
      <c r="K578" s="2">
        <v>0.3</v>
      </c>
      <c r="L578" s="2">
        <v>1.2</v>
      </c>
      <c r="M578" s="2" t="s">
        <v>8680</v>
      </c>
      <c r="O578" s="2">
        <v>1998</v>
      </c>
      <c r="P578" s="2">
        <v>1998</v>
      </c>
      <c r="Q578" s="2" t="s">
        <v>8679</v>
      </c>
      <c r="S578" s="2">
        <v>20</v>
      </c>
      <c r="T578" s="2" t="s">
        <v>7142</v>
      </c>
    </row>
    <row r="579" spans="2:20">
      <c r="B579" s="2" t="s">
        <v>1691</v>
      </c>
      <c r="C579" s="2" t="s">
        <v>6375</v>
      </c>
      <c r="D579" s="19" t="s">
        <v>8684</v>
      </c>
      <c r="E579" s="2">
        <v>0.7</v>
      </c>
      <c r="G579" s="2">
        <v>800</v>
      </c>
      <c r="H579" s="2" t="s">
        <v>7143</v>
      </c>
      <c r="K579" s="2">
        <v>0.7</v>
      </c>
      <c r="L579" s="2">
        <v>2.6</v>
      </c>
      <c r="M579" s="2" t="s">
        <v>8680</v>
      </c>
      <c r="O579" s="2">
        <v>1998</v>
      </c>
      <c r="P579" s="2">
        <v>1998</v>
      </c>
      <c r="Q579" s="2" t="s">
        <v>8679</v>
      </c>
      <c r="S579" s="2">
        <v>20</v>
      </c>
      <c r="T579" s="2" t="s">
        <v>7142</v>
      </c>
    </row>
    <row r="580" spans="2:20">
      <c r="B580" s="2" t="s">
        <v>1700</v>
      </c>
      <c r="C580" s="2" t="s">
        <v>6376</v>
      </c>
      <c r="D580" s="19" t="s">
        <v>8682</v>
      </c>
      <c r="E580" s="2">
        <v>1.7</v>
      </c>
      <c r="F580" s="2">
        <v>0</v>
      </c>
      <c r="G580" s="2">
        <v>1700</v>
      </c>
      <c r="H580" s="2" t="s">
        <v>7143</v>
      </c>
      <c r="K580" s="2">
        <v>1.7</v>
      </c>
      <c r="L580" s="2">
        <v>5.5</v>
      </c>
      <c r="M580" s="2" t="s">
        <v>8678</v>
      </c>
      <c r="O580" s="2">
        <v>1997</v>
      </c>
      <c r="P580" s="2">
        <v>1997</v>
      </c>
      <c r="Q580" s="2" t="s">
        <v>8683</v>
      </c>
      <c r="S580" s="2">
        <v>25</v>
      </c>
      <c r="T580" s="2" t="s">
        <v>7143</v>
      </c>
    </row>
    <row r="581" spans="2:20">
      <c r="B581" s="2" t="s">
        <v>1663</v>
      </c>
      <c r="C581" s="2" t="s">
        <v>6377</v>
      </c>
      <c r="D581" s="19" t="s">
        <v>8682</v>
      </c>
      <c r="E581" s="2">
        <v>0.8</v>
      </c>
      <c r="G581" s="2">
        <v>925</v>
      </c>
      <c r="H581" s="2" t="s">
        <v>7143</v>
      </c>
      <c r="K581" s="2">
        <v>0.8</v>
      </c>
      <c r="L581" s="2">
        <v>3.8</v>
      </c>
      <c r="M581" s="2" t="s">
        <v>8680</v>
      </c>
      <c r="O581" s="2">
        <v>1997</v>
      </c>
      <c r="P581" s="2">
        <v>1997</v>
      </c>
      <c r="Q581" s="2" t="s">
        <v>8679</v>
      </c>
      <c r="S581" s="2">
        <v>20</v>
      </c>
      <c r="T581" s="2" t="s">
        <v>7142</v>
      </c>
    </row>
    <row r="582" spans="2:20">
      <c r="B582" s="2" t="s">
        <v>1663</v>
      </c>
      <c r="C582" s="2" t="s">
        <v>6378</v>
      </c>
      <c r="D582" s="19" t="s">
        <v>8684</v>
      </c>
      <c r="E582" s="2">
        <v>0.75</v>
      </c>
      <c r="G582" s="2">
        <v>700</v>
      </c>
      <c r="H582" s="2" t="s">
        <v>7143</v>
      </c>
      <c r="K582" s="2">
        <v>0.75</v>
      </c>
      <c r="L582" s="2">
        <v>3</v>
      </c>
      <c r="M582" s="2" t="s">
        <v>8680</v>
      </c>
      <c r="O582" s="2">
        <v>1997</v>
      </c>
      <c r="P582" s="2">
        <v>1997</v>
      </c>
      <c r="Q582" s="2" t="s">
        <v>8679</v>
      </c>
      <c r="S582" s="2">
        <v>20</v>
      </c>
      <c r="T582" s="2" t="s">
        <v>7142</v>
      </c>
    </row>
    <row r="583" spans="2:20">
      <c r="B583" s="2" t="s">
        <v>1745</v>
      </c>
      <c r="C583" s="2" t="s">
        <v>6379</v>
      </c>
      <c r="D583" s="19" t="s">
        <v>8684</v>
      </c>
      <c r="E583" s="2">
        <v>0.5</v>
      </c>
      <c r="G583" s="2">
        <v>500</v>
      </c>
      <c r="H583" s="2" t="s">
        <v>7143</v>
      </c>
      <c r="K583" s="2">
        <v>0.5</v>
      </c>
      <c r="L583" s="2">
        <v>2</v>
      </c>
      <c r="M583" s="2" t="s">
        <v>8678</v>
      </c>
      <c r="O583" s="2">
        <v>2000</v>
      </c>
      <c r="P583" s="2">
        <v>2000</v>
      </c>
      <c r="Q583" s="2" t="s">
        <v>8704</v>
      </c>
      <c r="S583" s="2">
        <v>15</v>
      </c>
      <c r="T583" s="2" t="s">
        <v>7143</v>
      </c>
    </row>
    <row r="584" spans="2:20">
      <c r="B584" s="2" t="s">
        <v>1745</v>
      </c>
      <c r="C584" s="2" t="s">
        <v>6380</v>
      </c>
      <c r="D584" s="19" t="s">
        <v>8682</v>
      </c>
      <c r="E584" s="2">
        <v>1</v>
      </c>
      <c r="G584" s="2">
        <v>1000</v>
      </c>
      <c r="H584" s="2" t="s">
        <v>7143</v>
      </c>
      <c r="K584" s="2">
        <v>1</v>
      </c>
      <c r="L584" s="2">
        <v>4</v>
      </c>
      <c r="M584" s="2" t="s">
        <v>8678</v>
      </c>
      <c r="O584" s="2">
        <v>1998</v>
      </c>
      <c r="P584" s="2">
        <v>1998</v>
      </c>
      <c r="Q584" s="2" t="s">
        <v>8704</v>
      </c>
      <c r="S584" s="2">
        <v>15</v>
      </c>
      <c r="T584" s="2" t="s">
        <v>7143</v>
      </c>
    </row>
    <row r="585" spans="2:20">
      <c r="B585" s="2" t="s">
        <v>1799</v>
      </c>
      <c r="C585" s="2" t="s">
        <v>6381</v>
      </c>
      <c r="D585" s="19" t="s">
        <v>8682</v>
      </c>
      <c r="E585" s="2">
        <v>1.2</v>
      </c>
      <c r="G585" s="2">
        <v>1300</v>
      </c>
      <c r="H585" s="2" t="s">
        <v>7143</v>
      </c>
      <c r="K585" s="2">
        <v>1.2</v>
      </c>
      <c r="L585" s="2">
        <v>4</v>
      </c>
      <c r="M585" s="2" t="s">
        <v>8678</v>
      </c>
      <c r="O585" s="2">
        <v>1998</v>
      </c>
      <c r="P585" s="2">
        <v>1998</v>
      </c>
      <c r="Q585" s="2" t="s">
        <v>8683</v>
      </c>
      <c r="S585" s="2">
        <v>15</v>
      </c>
      <c r="T585" s="2" t="s">
        <v>7143</v>
      </c>
    </row>
    <row r="586" spans="2:20">
      <c r="B586" s="2" t="s">
        <v>2565</v>
      </c>
      <c r="C586" s="2" t="s">
        <v>6382</v>
      </c>
      <c r="D586" s="2" t="s">
        <v>5736</v>
      </c>
      <c r="E586" s="2">
        <v>0.35</v>
      </c>
      <c r="G586" s="2">
        <v>350</v>
      </c>
      <c r="H586" s="2" t="s">
        <v>7143</v>
      </c>
      <c r="K586" s="2">
        <v>0.35</v>
      </c>
      <c r="L586" s="2">
        <v>1</v>
      </c>
      <c r="M586" s="2" t="s">
        <v>8680</v>
      </c>
      <c r="O586" s="2">
        <v>2005</v>
      </c>
      <c r="P586" s="2">
        <v>2005</v>
      </c>
      <c r="Q586" s="2" t="s">
        <v>8681</v>
      </c>
      <c r="S586" s="2">
        <v>10</v>
      </c>
      <c r="T586" s="2" t="s">
        <v>7142</v>
      </c>
    </row>
    <row r="587" spans="2:20">
      <c r="B587" s="2" t="s">
        <v>1833</v>
      </c>
      <c r="C587" s="2" t="s">
        <v>6383</v>
      </c>
      <c r="D587" s="19" t="s">
        <v>8682</v>
      </c>
      <c r="E587" s="2">
        <v>0.8</v>
      </c>
      <c r="G587" s="2">
        <v>800</v>
      </c>
      <c r="H587" s="2" t="s">
        <v>7143</v>
      </c>
      <c r="K587" s="2">
        <v>0.8</v>
      </c>
      <c r="L587" s="2">
        <v>3.3</v>
      </c>
      <c r="M587" s="2" t="s">
        <v>8678</v>
      </c>
      <c r="O587" s="2">
        <v>1997</v>
      </c>
      <c r="P587" s="2">
        <v>1997</v>
      </c>
      <c r="Q587" s="2" t="s">
        <v>8704</v>
      </c>
      <c r="S587" s="2">
        <v>15</v>
      </c>
      <c r="T587" s="2" t="s">
        <v>7143</v>
      </c>
    </row>
    <row r="588" spans="2:20">
      <c r="B588" s="2" t="s">
        <v>1833</v>
      </c>
      <c r="C588" s="2" t="s">
        <v>6384</v>
      </c>
      <c r="D588" s="19" t="s">
        <v>8684</v>
      </c>
      <c r="E588" s="2">
        <v>1.2</v>
      </c>
      <c r="G588" s="2">
        <v>1200</v>
      </c>
      <c r="H588" s="2" t="s">
        <v>7143</v>
      </c>
      <c r="K588" s="2">
        <v>1.2</v>
      </c>
      <c r="L588" s="2">
        <v>5</v>
      </c>
      <c r="M588" s="2" t="s">
        <v>8678</v>
      </c>
      <c r="O588" s="2">
        <v>1997</v>
      </c>
      <c r="P588" s="2">
        <v>1997</v>
      </c>
      <c r="Q588" s="2" t="s">
        <v>8704</v>
      </c>
      <c r="S588" s="2">
        <v>15</v>
      </c>
      <c r="T588" s="2" t="s">
        <v>7143</v>
      </c>
    </row>
    <row r="589" spans="2:20">
      <c r="B589" s="2" t="s">
        <v>2260</v>
      </c>
      <c r="C589" s="2" t="s">
        <v>6385</v>
      </c>
      <c r="D589" s="19" t="s">
        <v>8682</v>
      </c>
      <c r="E589" s="2">
        <v>0.5</v>
      </c>
      <c r="G589" s="2">
        <v>500</v>
      </c>
      <c r="H589" s="2" t="s">
        <v>7143</v>
      </c>
      <c r="K589" s="2">
        <v>0.5</v>
      </c>
      <c r="L589" s="2">
        <v>0.8</v>
      </c>
      <c r="M589" s="2" t="s">
        <v>8680</v>
      </c>
      <c r="O589" s="2">
        <v>2007</v>
      </c>
      <c r="P589" s="2">
        <v>2007</v>
      </c>
      <c r="Q589" s="2" t="s">
        <v>8681</v>
      </c>
      <c r="S589" s="2">
        <v>10</v>
      </c>
      <c r="T589" s="2" t="s">
        <v>7143</v>
      </c>
    </row>
    <row r="590" spans="2:20">
      <c r="B590" s="2" t="s">
        <v>1848</v>
      </c>
      <c r="C590" s="2" t="s">
        <v>6386</v>
      </c>
      <c r="D590" s="19" t="s">
        <v>8682</v>
      </c>
      <c r="E590" s="2">
        <v>0.7</v>
      </c>
      <c r="G590" s="2">
        <v>1000</v>
      </c>
      <c r="H590" s="2" t="s">
        <v>7143</v>
      </c>
      <c r="K590" s="2">
        <v>0.7</v>
      </c>
      <c r="L590" s="2">
        <v>5</v>
      </c>
      <c r="M590" s="2" t="s">
        <v>8680</v>
      </c>
      <c r="O590" s="2">
        <v>1999</v>
      </c>
      <c r="P590" s="2">
        <v>1999</v>
      </c>
      <c r="Q590" s="2" t="s">
        <v>8679</v>
      </c>
      <c r="S590" s="2">
        <v>15</v>
      </c>
      <c r="T590" s="2" t="s">
        <v>7143</v>
      </c>
    </row>
    <row r="591" spans="2:20">
      <c r="B591" s="2" t="s">
        <v>1848</v>
      </c>
      <c r="C591" s="2" t="s">
        <v>6387</v>
      </c>
      <c r="D591" s="19" t="s">
        <v>8685</v>
      </c>
      <c r="E591" s="2">
        <v>0.2</v>
      </c>
      <c r="G591" s="2">
        <v>200</v>
      </c>
      <c r="H591" s="2" t="s">
        <v>7142</v>
      </c>
      <c r="I591" s="2" t="s">
        <v>8686</v>
      </c>
      <c r="K591" s="2">
        <v>0.2</v>
      </c>
      <c r="L591" s="2">
        <v>1</v>
      </c>
      <c r="M591" s="2" t="s">
        <v>8680</v>
      </c>
      <c r="O591" s="2">
        <v>2007</v>
      </c>
      <c r="P591" s="2">
        <v>2017</v>
      </c>
      <c r="Q591" s="2" t="s">
        <v>8681</v>
      </c>
      <c r="S591" s="2">
        <v>20</v>
      </c>
      <c r="T591" s="2" t="s">
        <v>7143</v>
      </c>
    </row>
    <row r="592" spans="2:20">
      <c r="B592" s="2" t="s">
        <v>1848</v>
      </c>
      <c r="C592" s="2" t="s">
        <v>6388</v>
      </c>
      <c r="D592" s="19" t="s">
        <v>8684</v>
      </c>
      <c r="E592" s="2">
        <v>0.6</v>
      </c>
      <c r="G592" s="2">
        <v>600</v>
      </c>
      <c r="H592" s="2" t="s">
        <v>7142</v>
      </c>
      <c r="I592" s="2" t="s">
        <v>8687</v>
      </c>
      <c r="K592" s="2">
        <v>0.6</v>
      </c>
      <c r="L592" s="2">
        <v>3</v>
      </c>
      <c r="M592" s="2" t="s">
        <v>8680</v>
      </c>
      <c r="O592" s="2">
        <v>2000</v>
      </c>
      <c r="P592" s="2">
        <v>2019</v>
      </c>
      <c r="Q592" s="2" t="s">
        <v>8679</v>
      </c>
      <c r="S592" s="2">
        <v>20</v>
      </c>
      <c r="T592" s="2" t="s">
        <v>7143</v>
      </c>
    </row>
    <row r="593" spans="2:20">
      <c r="B593" s="2" t="s">
        <v>2232</v>
      </c>
      <c r="C593" s="2" t="s">
        <v>6389</v>
      </c>
      <c r="D593" s="19" t="s">
        <v>8682</v>
      </c>
      <c r="E593" s="2">
        <v>0.5</v>
      </c>
      <c r="G593" s="2">
        <v>500</v>
      </c>
      <c r="H593" s="2" t="s">
        <v>7143</v>
      </c>
      <c r="K593" s="2">
        <v>0.5</v>
      </c>
      <c r="L593" s="2">
        <v>0.97</v>
      </c>
      <c r="M593" s="2" t="s">
        <v>8678</v>
      </c>
      <c r="O593" s="2">
        <v>2010</v>
      </c>
      <c r="P593" s="2">
        <v>2010</v>
      </c>
      <c r="Q593" s="2" t="s">
        <v>8681</v>
      </c>
      <c r="S593" s="2">
        <v>10</v>
      </c>
      <c r="T593" s="2" t="s">
        <v>7143</v>
      </c>
    </row>
    <row r="594" spans="2:20">
      <c r="B594" s="2" t="s">
        <v>2232</v>
      </c>
      <c r="C594" s="2" t="s">
        <v>6390</v>
      </c>
      <c r="D594" s="19" t="s">
        <v>8685</v>
      </c>
      <c r="E594" s="2">
        <v>0.2</v>
      </c>
      <c r="G594" s="2">
        <v>200</v>
      </c>
      <c r="H594" s="2" t="s">
        <v>7143</v>
      </c>
      <c r="K594" s="2">
        <v>0.2</v>
      </c>
      <c r="L594" s="2">
        <v>0.24</v>
      </c>
      <c r="M594" s="2" t="s">
        <v>8678</v>
      </c>
      <c r="O594" s="2">
        <v>2011</v>
      </c>
      <c r="P594" s="2">
        <v>2011</v>
      </c>
      <c r="Q594" s="2" t="s">
        <v>8679</v>
      </c>
      <c r="S594" s="2">
        <v>10</v>
      </c>
      <c r="T594" s="2" t="s">
        <v>7143</v>
      </c>
    </row>
    <row r="595" spans="2:20">
      <c r="B595" s="2" t="s">
        <v>2232</v>
      </c>
      <c r="C595" s="2" t="s">
        <v>6391</v>
      </c>
      <c r="D595" s="19" t="s">
        <v>8684</v>
      </c>
      <c r="E595" s="2">
        <v>0.2</v>
      </c>
      <c r="G595" s="2">
        <v>200</v>
      </c>
      <c r="H595" s="2" t="s">
        <v>7143</v>
      </c>
      <c r="K595" s="2">
        <v>0.2</v>
      </c>
      <c r="L595" s="2">
        <v>0.12</v>
      </c>
      <c r="M595" s="2" t="s">
        <v>8678</v>
      </c>
      <c r="O595" s="2">
        <v>2022</v>
      </c>
      <c r="P595" s="2">
        <v>2022</v>
      </c>
      <c r="Q595" s="2" t="s">
        <v>8681</v>
      </c>
      <c r="S595" s="2">
        <v>10</v>
      </c>
      <c r="T595" s="2" t="s">
        <v>7143</v>
      </c>
    </row>
    <row r="596" spans="2:20">
      <c r="B596" s="2" t="s">
        <v>1912</v>
      </c>
      <c r="C596" s="2" t="s">
        <v>6392</v>
      </c>
      <c r="D596" s="19" t="s">
        <v>8715</v>
      </c>
      <c r="E596" s="2">
        <v>0.2</v>
      </c>
      <c r="G596" s="2">
        <v>200</v>
      </c>
      <c r="H596" s="2" t="s">
        <v>7142</v>
      </c>
      <c r="I596" s="2" t="s">
        <v>8687</v>
      </c>
      <c r="K596" s="2">
        <v>0.2</v>
      </c>
      <c r="L596" s="2">
        <v>0.5</v>
      </c>
      <c r="M596" s="2" t="s">
        <v>8680</v>
      </c>
      <c r="O596" s="2">
        <v>2023</v>
      </c>
      <c r="P596" s="2">
        <v>2023</v>
      </c>
      <c r="Q596" s="2" t="s">
        <v>8697</v>
      </c>
      <c r="R596" s="2" t="s">
        <v>308</v>
      </c>
      <c r="S596" s="2">
        <v>25</v>
      </c>
      <c r="T596" s="2" t="s">
        <v>7143</v>
      </c>
    </row>
    <row r="597" spans="2:20">
      <c r="B597" s="2" t="s">
        <v>1912</v>
      </c>
      <c r="C597" s="2" t="s">
        <v>6393</v>
      </c>
      <c r="D597" s="19" t="s">
        <v>8685</v>
      </c>
      <c r="E597" s="2">
        <v>0.6</v>
      </c>
      <c r="G597" s="2">
        <v>600</v>
      </c>
      <c r="H597" s="2" t="s">
        <v>7143</v>
      </c>
      <c r="K597" s="2">
        <v>0.6</v>
      </c>
      <c r="L597" s="2">
        <v>3</v>
      </c>
      <c r="M597" s="2" t="s">
        <v>8680</v>
      </c>
      <c r="O597" s="2">
        <v>200</v>
      </c>
      <c r="P597" s="2">
        <v>2000</v>
      </c>
      <c r="Q597" s="2" t="s">
        <v>8683</v>
      </c>
      <c r="S597" s="2">
        <v>30</v>
      </c>
      <c r="T597" s="2" t="s">
        <v>7143</v>
      </c>
    </row>
    <row r="598" spans="2:20">
      <c r="B598" s="2" t="s">
        <v>1912</v>
      </c>
      <c r="C598" s="2" t="s">
        <v>6394</v>
      </c>
      <c r="D598" s="19" t="s">
        <v>8708</v>
      </c>
      <c r="E598" s="2">
        <v>0.4</v>
      </c>
      <c r="G598" s="2">
        <v>400</v>
      </c>
      <c r="H598" s="2" t="s">
        <v>7142</v>
      </c>
      <c r="I598" s="2" t="s">
        <v>8687</v>
      </c>
      <c r="K598" s="2">
        <v>0.4</v>
      </c>
      <c r="L598" s="2">
        <v>1</v>
      </c>
      <c r="M598" s="2" t="s">
        <v>8680</v>
      </c>
      <c r="O598" s="2">
        <v>2023</v>
      </c>
      <c r="P598" s="2">
        <v>2023</v>
      </c>
      <c r="Q598" s="2" t="s">
        <v>8697</v>
      </c>
      <c r="R598" s="2" t="s">
        <v>308</v>
      </c>
      <c r="S598" s="2">
        <v>30</v>
      </c>
      <c r="T598" s="2" t="s">
        <v>7143</v>
      </c>
    </row>
    <row r="599" spans="2:20">
      <c r="B599" s="2" t="s">
        <v>1912</v>
      </c>
      <c r="C599" s="2" t="s">
        <v>6395</v>
      </c>
      <c r="D599" s="19" t="s">
        <v>8684</v>
      </c>
      <c r="E599" s="2">
        <v>1.2</v>
      </c>
      <c r="G599" s="2">
        <v>1200</v>
      </c>
      <c r="H599" s="2" t="s">
        <v>7143</v>
      </c>
      <c r="K599" s="2">
        <v>1.2</v>
      </c>
      <c r="L599" s="2">
        <v>5</v>
      </c>
      <c r="M599" s="2" t="s">
        <v>8680</v>
      </c>
      <c r="O599" s="2">
        <v>1995</v>
      </c>
      <c r="P599" s="2">
        <v>1995</v>
      </c>
      <c r="Q599" s="2" t="s">
        <v>8704</v>
      </c>
      <c r="S599" s="2">
        <v>25</v>
      </c>
      <c r="T599" s="2" t="s">
        <v>7143</v>
      </c>
    </row>
    <row r="600" spans="2:20">
      <c r="B600" s="2" t="s">
        <v>1912</v>
      </c>
      <c r="C600" s="2" t="s">
        <v>6396</v>
      </c>
      <c r="D600" s="19" t="s">
        <v>8699</v>
      </c>
      <c r="E600" s="2">
        <v>1.6</v>
      </c>
      <c r="G600" s="2">
        <v>1600</v>
      </c>
      <c r="H600" s="2" t="s">
        <v>7143</v>
      </c>
      <c r="K600" s="2">
        <v>1.6</v>
      </c>
      <c r="L600" s="2">
        <v>6</v>
      </c>
      <c r="M600" s="2" t="s">
        <v>8680</v>
      </c>
      <c r="O600" s="2">
        <v>1998</v>
      </c>
      <c r="P600" s="2">
        <v>1998</v>
      </c>
      <c r="Q600" s="2" t="s">
        <v>8683</v>
      </c>
      <c r="S600" s="2">
        <v>30</v>
      </c>
      <c r="T600" s="2" t="s">
        <v>7143</v>
      </c>
    </row>
    <row r="601" spans="2:20">
      <c r="B601" s="2" t="s">
        <v>1912</v>
      </c>
      <c r="C601" s="2" t="s">
        <v>6397</v>
      </c>
      <c r="D601" s="19" t="s">
        <v>8682</v>
      </c>
      <c r="E601" s="2">
        <v>1</v>
      </c>
      <c r="G601" s="2">
        <v>1000</v>
      </c>
      <c r="H601" s="2" t="s">
        <v>7143</v>
      </c>
      <c r="K601" s="2">
        <v>1</v>
      </c>
      <c r="L601" s="2">
        <v>5</v>
      </c>
      <c r="M601" s="2" t="s">
        <v>8680</v>
      </c>
      <c r="O601" s="2">
        <v>1995</v>
      </c>
      <c r="P601" s="2">
        <v>1995</v>
      </c>
      <c r="Q601" s="2" t="s">
        <v>8704</v>
      </c>
      <c r="S601" s="2">
        <v>30</v>
      </c>
      <c r="T601" s="2" t="s">
        <v>7143</v>
      </c>
    </row>
    <row r="602" spans="2:20">
      <c r="B602" s="2" t="s">
        <v>1951</v>
      </c>
      <c r="C602" s="2" t="s">
        <v>6398</v>
      </c>
      <c r="D602" s="19" t="s">
        <v>8684</v>
      </c>
      <c r="E602" s="2">
        <v>0.2</v>
      </c>
      <c r="G602" s="2">
        <v>200</v>
      </c>
      <c r="H602" s="2" t="s">
        <v>7143</v>
      </c>
      <c r="K602" s="2">
        <v>0.2</v>
      </c>
      <c r="L602" s="2">
        <v>0.7</v>
      </c>
      <c r="M602" s="2" t="s">
        <v>8680</v>
      </c>
      <c r="O602" s="2">
        <v>2000</v>
      </c>
      <c r="P602" s="2">
        <v>2000</v>
      </c>
      <c r="Q602" s="2" t="s">
        <v>8683</v>
      </c>
      <c r="S602" s="2">
        <v>25</v>
      </c>
      <c r="T602" s="2" t="s">
        <v>7143</v>
      </c>
    </row>
    <row r="603" spans="2:20">
      <c r="B603" s="2" t="s">
        <v>1951</v>
      </c>
      <c r="C603" s="2" t="s">
        <v>6399</v>
      </c>
      <c r="D603" s="19" t="s">
        <v>8685</v>
      </c>
      <c r="E603" s="2">
        <v>0.5</v>
      </c>
      <c r="G603" s="2">
        <v>500</v>
      </c>
      <c r="H603" s="2" t="s">
        <v>7143</v>
      </c>
      <c r="K603" s="2">
        <v>0.5</v>
      </c>
      <c r="L603" s="2">
        <v>3</v>
      </c>
      <c r="M603" s="2" t="s">
        <v>8680</v>
      </c>
      <c r="O603" s="2">
        <v>2007</v>
      </c>
      <c r="P603" s="2">
        <v>2007</v>
      </c>
      <c r="Q603" s="2" t="s">
        <v>8683</v>
      </c>
      <c r="S603" s="2">
        <v>30</v>
      </c>
      <c r="T603" s="2" t="s">
        <v>7143</v>
      </c>
    </row>
    <row r="604" spans="2:20">
      <c r="B604" s="2" t="s">
        <v>1951</v>
      </c>
      <c r="C604" s="2" t="s">
        <v>6400</v>
      </c>
      <c r="D604" s="19" t="s">
        <v>8682</v>
      </c>
      <c r="E604" s="2">
        <v>0.5</v>
      </c>
      <c r="G604" s="2">
        <v>350</v>
      </c>
      <c r="H604" s="2" t="s">
        <v>7142</v>
      </c>
      <c r="I604" s="2" t="s">
        <v>8686</v>
      </c>
      <c r="K604" s="2">
        <v>0.5</v>
      </c>
      <c r="L604" s="2">
        <v>1</v>
      </c>
      <c r="M604" s="2" t="s">
        <v>8680</v>
      </c>
      <c r="O604" s="2">
        <v>1995</v>
      </c>
      <c r="P604" s="2">
        <v>1995</v>
      </c>
      <c r="Q604" s="2" t="s">
        <v>8683</v>
      </c>
      <c r="S604" s="2">
        <v>30</v>
      </c>
      <c r="T604" s="2" t="s">
        <v>7143</v>
      </c>
    </row>
    <row r="605" spans="2:20">
      <c r="B605" s="2" t="s">
        <v>517</v>
      </c>
      <c r="C605" s="2" t="s">
        <v>6401</v>
      </c>
      <c r="D605" s="19" t="s">
        <v>8684</v>
      </c>
      <c r="E605" s="2">
        <v>0.4</v>
      </c>
      <c r="F605" s="2">
        <v>0</v>
      </c>
      <c r="G605" s="2">
        <v>400</v>
      </c>
      <c r="H605" s="2" t="s">
        <v>7142</v>
      </c>
      <c r="I605" s="2" t="s">
        <v>8687</v>
      </c>
      <c r="K605" s="2">
        <v>0.04</v>
      </c>
      <c r="L605" s="2">
        <v>1.5</v>
      </c>
      <c r="M605" s="2" t="s">
        <v>8680</v>
      </c>
      <c r="O605" s="2">
        <v>2017</v>
      </c>
      <c r="P605" s="2">
        <v>2017</v>
      </c>
      <c r="Q605" s="2" t="s">
        <v>8681</v>
      </c>
      <c r="S605" s="2">
        <v>30</v>
      </c>
      <c r="T605" s="2" t="s">
        <v>7143</v>
      </c>
    </row>
    <row r="606" spans="2:20">
      <c r="B606" s="2" t="s">
        <v>517</v>
      </c>
      <c r="C606" s="2" t="s">
        <v>6402</v>
      </c>
      <c r="D606" s="19" t="s">
        <v>8682</v>
      </c>
      <c r="E606" s="2">
        <v>0.4</v>
      </c>
      <c r="F606" s="2">
        <v>0</v>
      </c>
      <c r="G606" s="2">
        <v>400</v>
      </c>
      <c r="H606" s="2" t="s">
        <v>7142</v>
      </c>
      <c r="I606" s="2" t="s">
        <v>8687</v>
      </c>
      <c r="K606" s="2">
        <v>0.4</v>
      </c>
      <c r="L606" s="2">
        <v>1.5</v>
      </c>
      <c r="M606" s="2" t="s">
        <v>8680</v>
      </c>
      <c r="O606" s="2">
        <v>2019</v>
      </c>
      <c r="P606" s="2">
        <v>2019</v>
      </c>
      <c r="Q606" s="2" t="s">
        <v>8681</v>
      </c>
      <c r="S606" s="2">
        <v>30</v>
      </c>
      <c r="T606" s="2" t="s">
        <v>7143</v>
      </c>
    </row>
    <row r="607" spans="2:20">
      <c r="B607" s="2" t="s">
        <v>463</v>
      </c>
      <c r="C607" s="2" t="s">
        <v>6403</v>
      </c>
      <c r="D607" s="19" t="s">
        <v>8699</v>
      </c>
      <c r="E607" s="2">
        <v>0.3</v>
      </c>
      <c r="F607" s="2">
        <v>0</v>
      </c>
      <c r="G607" s="2">
        <v>300</v>
      </c>
      <c r="H607" s="2" t="s">
        <v>7142</v>
      </c>
      <c r="I607" s="2" t="s">
        <v>8695</v>
      </c>
      <c r="K607" s="2">
        <v>0.3</v>
      </c>
      <c r="L607" s="2">
        <v>1.3</v>
      </c>
      <c r="M607" s="2" t="s">
        <v>8678</v>
      </c>
      <c r="O607" s="2">
        <v>2003</v>
      </c>
      <c r="P607" s="2">
        <v>2003</v>
      </c>
      <c r="Q607" s="2" t="s">
        <v>8683</v>
      </c>
      <c r="S607" s="2">
        <v>50</v>
      </c>
      <c r="T607" s="2" t="s">
        <v>7143</v>
      </c>
    </row>
    <row r="608" spans="2:20">
      <c r="B608" s="2" t="s">
        <v>463</v>
      </c>
      <c r="C608" s="2" t="s">
        <v>6404</v>
      </c>
      <c r="D608" s="19" t="s">
        <v>8684</v>
      </c>
      <c r="E608" s="2">
        <v>0.1</v>
      </c>
      <c r="F608" s="2">
        <v>0</v>
      </c>
      <c r="G608" s="2">
        <v>100</v>
      </c>
      <c r="H608" s="2" t="s">
        <v>7143</v>
      </c>
      <c r="K608" s="2">
        <v>0.1</v>
      </c>
      <c r="L608" s="2">
        <v>0.4</v>
      </c>
      <c r="M608" s="2" t="s">
        <v>8678</v>
      </c>
      <c r="O608" s="2">
        <v>2005</v>
      </c>
      <c r="P608" s="2">
        <v>2005</v>
      </c>
      <c r="Q608" s="2" t="s">
        <v>8683</v>
      </c>
      <c r="S608" s="2">
        <v>45</v>
      </c>
      <c r="T608" s="2" t="s">
        <v>7143</v>
      </c>
    </row>
    <row r="609" spans="2:20">
      <c r="B609" s="2" t="s">
        <v>463</v>
      </c>
      <c r="C609" s="2" t="s">
        <v>6405</v>
      </c>
      <c r="D609" s="19" t="s">
        <v>8715</v>
      </c>
      <c r="E609" s="2">
        <v>0.3</v>
      </c>
      <c r="F609" s="2">
        <v>0</v>
      </c>
      <c r="G609" s="2">
        <v>300</v>
      </c>
      <c r="H609" s="2" t="s">
        <v>7142</v>
      </c>
      <c r="I609" s="2" t="s">
        <v>8695</v>
      </c>
      <c r="K609" s="2">
        <v>0</v>
      </c>
      <c r="L609" s="2">
        <v>0</v>
      </c>
      <c r="M609" s="2" t="s">
        <v>8678</v>
      </c>
      <c r="O609" s="2">
        <v>2000</v>
      </c>
      <c r="P609" s="2">
        <v>2024</v>
      </c>
      <c r="Q609" s="2" t="s">
        <v>8679</v>
      </c>
      <c r="S609" s="2">
        <v>45</v>
      </c>
      <c r="T609" s="2" t="s">
        <v>7143</v>
      </c>
    </row>
    <row r="610" spans="2:20">
      <c r="B610" s="2" t="s">
        <v>463</v>
      </c>
      <c r="C610" s="2" t="s">
        <v>6406</v>
      </c>
      <c r="D610" s="19" t="s">
        <v>8685</v>
      </c>
      <c r="E610" s="2">
        <v>0.3</v>
      </c>
      <c r="F610" s="2">
        <v>0</v>
      </c>
      <c r="G610" s="2">
        <v>300</v>
      </c>
      <c r="H610" s="2" t="s">
        <v>7142</v>
      </c>
      <c r="I610" s="2" t="s">
        <v>8686</v>
      </c>
      <c r="K610" s="2">
        <v>0.3</v>
      </c>
      <c r="L610" s="2">
        <v>1.3</v>
      </c>
      <c r="M610" s="2" t="s">
        <v>8678</v>
      </c>
      <c r="O610" s="2">
        <v>2005</v>
      </c>
      <c r="P610" s="2">
        <v>2005</v>
      </c>
      <c r="Q610" s="2" t="s">
        <v>8681</v>
      </c>
      <c r="S610" s="2">
        <v>45</v>
      </c>
      <c r="T610" s="2" t="s">
        <v>7143</v>
      </c>
    </row>
    <row r="611" spans="2:20">
      <c r="B611" s="2" t="s">
        <v>463</v>
      </c>
      <c r="C611" s="2" t="s">
        <v>6407</v>
      </c>
      <c r="D611" s="19" t="s">
        <v>8708</v>
      </c>
      <c r="E611" s="2">
        <v>0.3</v>
      </c>
      <c r="F611" s="2">
        <v>0</v>
      </c>
      <c r="G611" s="2">
        <v>300</v>
      </c>
      <c r="H611" s="2" t="s">
        <v>7143</v>
      </c>
      <c r="K611" s="2">
        <v>0</v>
      </c>
      <c r="L611" s="2">
        <v>0</v>
      </c>
      <c r="M611" s="2" t="s">
        <v>8678</v>
      </c>
      <c r="O611" s="2">
        <v>2000</v>
      </c>
      <c r="P611" s="2">
        <v>2025</v>
      </c>
      <c r="Q611" s="2" t="s">
        <v>8679</v>
      </c>
      <c r="S611" s="2">
        <v>45</v>
      </c>
      <c r="T611" s="2" t="s">
        <v>7143</v>
      </c>
    </row>
    <row r="612" spans="2:20">
      <c r="B612" s="2" t="s">
        <v>463</v>
      </c>
      <c r="C612" s="2" t="s">
        <v>6408</v>
      </c>
      <c r="D612" s="19" t="s">
        <v>8682</v>
      </c>
      <c r="E612" s="2">
        <v>0.2</v>
      </c>
      <c r="F612" s="2">
        <v>0</v>
      </c>
      <c r="G612" s="2">
        <v>200</v>
      </c>
      <c r="H612" s="2" t="s">
        <v>7142</v>
      </c>
      <c r="I612" s="2" t="s">
        <v>8687</v>
      </c>
      <c r="K612" s="2">
        <v>0.2</v>
      </c>
      <c r="L612" s="2">
        <v>0.8</v>
      </c>
      <c r="M612" s="2" t="s">
        <v>8678</v>
      </c>
      <c r="O612" s="2">
        <v>2000</v>
      </c>
      <c r="P612" s="2">
        <v>2000</v>
      </c>
      <c r="Q612" s="2" t="s">
        <v>8681</v>
      </c>
      <c r="S612" s="2">
        <v>50</v>
      </c>
      <c r="T612" s="2" t="s">
        <v>7143</v>
      </c>
    </row>
    <row r="613" spans="2:20">
      <c r="B613" s="2" t="s">
        <v>771</v>
      </c>
      <c r="C613" s="2" t="s">
        <v>6409</v>
      </c>
      <c r="D613" s="19" t="s">
        <v>8685</v>
      </c>
      <c r="E613" s="2">
        <v>0.1</v>
      </c>
      <c r="F613" s="2">
        <v>0</v>
      </c>
      <c r="G613" s="2">
        <v>100</v>
      </c>
      <c r="H613" s="2" t="s">
        <v>7143</v>
      </c>
      <c r="K613" s="2">
        <v>0.1</v>
      </c>
      <c r="L613" s="2">
        <v>0.3</v>
      </c>
      <c r="M613" s="2" t="s">
        <v>8680</v>
      </c>
      <c r="O613" s="2">
        <v>1995</v>
      </c>
      <c r="P613" s="2">
        <v>2013</v>
      </c>
      <c r="Q613" s="2" t="s">
        <v>8679</v>
      </c>
      <c r="S613" s="2">
        <v>40</v>
      </c>
      <c r="T613" s="2" t="s">
        <v>7143</v>
      </c>
    </row>
    <row r="614" spans="2:20">
      <c r="B614" s="2" t="s">
        <v>771</v>
      </c>
      <c r="C614" s="2" t="s">
        <v>6410</v>
      </c>
      <c r="D614" s="19" t="s">
        <v>8684</v>
      </c>
      <c r="E614" s="2">
        <v>0.1</v>
      </c>
      <c r="F614" s="2">
        <v>0</v>
      </c>
      <c r="G614" s="2">
        <v>100</v>
      </c>
      <c r="H614" s="2" t="s">
        <v>7143</v>
      </c>
      <c r="K614" s="2">
        <v>0.1</v>
      </c>
      <c r="L614" s="2">
        <v>0.4</v>
      </c>
      <c r="M614" s="2" t="s">
        <v>8680</v>
      </c>
      <c r="O614" s="2">
        <v>2013</v>
      </c>
      <c r="P614" s="2">
        <v>2013</v>
      </c>
      <c r="Q614" s="2" t="s">
        <v>8681</v>
      </c>
      <c r="S614" s="2">
        <v>40</v>
      </c>
      <c r="T614" s="2" t="s">
        <v>7143</v>
      </c>
    </row>
    <row r="615" spans="2:20">
      <c r="B615" s="2" t="s">
        <v>771</v>
      </c>
      <c r="C615" s="2" t="s">
        <v>6411</v>
      </c>
      <c r="D615" s="19" t="s">
        <v>8682</v>
      </c>
      <c r="E615" s="2">
        <v>0.1</v>
      </c>
      <c r="F615" s="2">
        <v>0</v>
      </c>
      <c r="G615" s="2">
        <v>100</v>
      </c>
      <c r="H615" s="2" t="s">
        <v>7143</v>
      </c>
      <c r="K615" s="2">
        <v>0.1</v>
      </c>
      <c r="L615" s="2">
        <v>0.3</v>
      </c>
      <c r="M615" s="2" t="s">
        <v>8680</v>
      </c>
      <c r="O615" s="2">
        <v>1995</v>
      </c>
      <c r="P615" s="2">
        <v>2013</v>
      </c>
      <c r="Q615" s="2" t="s">
        <v>8679</v>
      </c>
      <c r="S615" s="2">
        <v>40</v>
      </c>
      <c r="T615" s="2" t="s">
        <v>7143</v>
      </c>
    </row>
    <row r="616" spans="2:20">
      <c r="B616" s="2" t="s">
        <v>710</v>
      </c>
      <c r="C616" s="2" t="s">
        <v>6412</v>
      </c>
      <c r="D616" s="19" t="s">
        <v>8682</v>
      </c>
      <c r="E616" s="2">
        <v>0.3</v>
      </c>
      <c r="F616" s="2">
        <v>0</v>
      </c>
      <c r="G616" s="2">
        <v>320</v>
      </c>
      <c r="H616" s="2" t="s">
        <v>7142</v>
      </c>
      <c r="I616" s="2" t="s">
        <v>8686</v>
      </c>
      <c r="K616" s="2">
        <v>0.3</v>
      </c>
      <c r="L616" s="2">
        <v>1.3</v>
      </c>
      <c r="M616" s="2" t="s">
        <v>8678</v>
      </c>
      <c r="O616" s="2">
        <v>2000</v>
      </c>
      <c r="P616" s="2">
        <v>2017</v>
      </c>
      <c r="Q616" s="2" t="s">
        <v>8679</v>
      </c>
      <c r="S616" s="2">
        <v>7</v>
      </c>
      <c r="T616" s="2" t="s">
        <v>7143</v>
      </c>
    </row>
    <row r="617" spans="2:20">
      <c r="B617" s="2" t="s">
        <v>1994</v>
      </c>
      <c r="C617" s="2" t="s">
        <v>6413</v>
      </c>
      <c r="D617" s="19" t="s">
        <v>8684</v>
      </c>
      <c r="E617" s="2">
        <v>0.2</v>
      </c>
      <c r="G617" s="2">
        <v>200</v>
      </c>
      <c r="H617" s="2" t="s">
        <v>7143</v>
      </c>
      <c r="K617" s="2">
        <v>0.2</v>
      </c>
      <c r="L617" s="2">
        <v>1</v>
      </c>
      <c r="M617" s="2" t="s">
        <v>8680</v>
      </c>
      <c r="O617" s="2">
        <v>1995</v>
      </c>
      <c r="P617" s="2">
        <v>2018</v>
      </c>
      <c r="Q617" s="2" t="s">
        <v>8679</v>
      </c>
      <c r="S617" s="2">
        <v>6</v>
      </c>
      <c r="T617" s="2" t="s">
        <v>7143</v>
      </c>
    </row>
    <row r="618" spans="2:20">
      <c r="B618" s="2" t="s">
        <v>1994</v>
      </c>
      <c r="C618" s="2" t="s">
        <v>6414</v>
      </c>
      <c r="D618" s="19" t="s">
        <v>8682</v>
      </c>
      <c r="E618" s="2">
        <v>1.2</v>
      </c>
      <c r="G618" s="2">
        <v>1200</v>
      </c>
      <c r="H618" s="2" t="s">
        <v>7143</v>
      </c>
      <c r="K618" s="2">
        <v>1.2</v>
      </c>
      <c r="L618" s="2">
        <v>4</v>
      </c>
      <c r="M618" s="2" t="s">
        <v>8680</v>
      </c>
      <c r="O618" s="2">
        <v>2006</v>
      </c>
      <c r="P618" s="2">
        <v>2006</v>
      </c>
      <c r="Q618" s="2" t="s">
        <v>8683</v>
      </c>
      <c r="S618" s="2">
        <v>3</v>
      </c>
      <c r="T618" s="2" t="s">
        <v>7143</v>
      </c>
    </row>
    <row r="619" spans="2:20">
      <c r="B619" s="2" t="s">
        <v>789</v>
      </c>
      <c r="C619" s="2" t="s">
        <v>6415</v>
      </c>
      <c r="D619" s="19" t="s">
        <v>8684</v>
      </c>
      <c r="E619" s="2">
        <v>0.3</v>
      </c>
      <c r="F619" s="2">
        <v>0</v>
      </c>
      <c r="G619" s="2">
        <v>300</v>
      </c>
      <c r="H619" s="2" t="s">
        <v>7143</v>
      </c>
      <c r="K619" s="2">
        <v>0</v>
      </c>
      <c r="L619" s="2">
        <v>0</v>
      </c>
      <c r="M619" s="2" t="s">
        <v>8678</v>
      </c>
      <c r="O619" s="2">
        <v>1995</v>
      </c>
      <c r="P619" s="2">
        <v>2025</v>
      </c>
      <c r="Q619" s="2" t="s">
        <v>8679</v>
      </c>
      <c r="S619" s="2">
        <v>10</v>
      </c>
      <c r="T619" s="2" t="s">
        <v>7143</v>
      </c>
    </row>
    <row r="620" spans="2:20">
      <c r="B620" s="2" t="s">
        <v>789</v>
      </c>
      <c r="C620" s="2" t="s">
        <v>6416</v>
      </c>
      <c r="D620" s="19" t="s">
        <v>8682</v>
      </c>
      <c r="E620" s="2">
        <v>1.5</v>
      </c>
      <c r="F620" s="2">
        <v>0</v>
      </c>
      <c r="G620" s="2">
        <v>1500</v>
      </c>
      <c r="H620" s="2" t="s">
        <v>7143</v>
      </c>
      <c r="K620" s="2">
        <v>1.5</v>
      </c>
      <c r="L620" s="2">
        <v>4</v>
      </c>
      <c r="M620" s="2" t="s">
        <v>8680</v>
      </c>
      <c r="P620" s="2">
        <v>2010</v>
      </c>
      <c r="Q620" s="2" t="s">
        <v>8681</v>
      </c>
      <c r="S620" s="2">
        <v>10</v>
      </c>
      <c r="T620" s="2" t="s">
        <v>7143</v>
      </c>
    </row>
    <row r="621" spans="2:20">
      <c r="B621" s="2" t="s">
        <v>789</v>
      </c>
      <c r="C621" s="2" t="s">
        <v>6417</v>
      </c>
      <c r="D621" s="19" t="s">
        <v>8685</v>
      </c>
      <c r="E621" s="2">
        <v>0.2</v>
      </c>
      <c r="F621" s="2">
        <v>0</v>
      </c>
      <c r="G621" s="2">
        <v>200</v>
      </c>
      <c r="H621" s="2" t="s">
        <v>7143</v>
      </c>
      <c r="K621" s="2">
        <v>0</v>
      </c>
      <c r="L621" s="2">
        <v>0</v>
      </c>
      <c r="M621" s="2" t="s">
        <v>8680</v>
      </c>
      <c r="O621" s="2">
        <v>1995</v>
      </c>
      <c r="P621" s="2">
        <v>2024</v>
      </c>
      <c r="Q621" s="2" t="s">
        <v>8679</v>
      </c>
      <c r="S621" s="2">
        <v>10</v>
      </c>
      <c r="T621" s="2" t="s">
        <v>7143</v>
      </c>
    </row>
    <row r="622" spans="2:20">
      <c r="B622" s="2" t="s">
        <v>2036</v>
      </c>
      <c r="C622" s="2" t="s">
        <v>6418</v>
      </c>
      <c r="D622" s="19" t="s">
        <v>8682</v>
      </c>
      <c r="E622" s="2">
        <v>1</v>
      </c>
      <c r="G622" s="2">
        <v>1000</v>
      </c>
      <c r="H622" s="2" t="s">
        <v>7143</v>
      </c>
      <c r="K622" s="2">
        <v>1</v>
      </c>
      <c r="L622" s="2">
        <v>4</v>
      </c>
      <c r="M622" s="2" t="s">
        <v>8680</v>
      </c>
      <c r="O622" s="2">
        <v>2000</v>
      </c>
      <c r="P622" s="2">
        <v>2000</v>
      </c>
      <c r="Q622" s="2" t="s">
        <v>8704</v>
      </c>
      <c r="S622" s="2">
        <v>6</v>
      </c>
      <c r="T622" s="2" t="s">
        <v>7143</v>
      </c>
    </row>
    <row r="623" spans="2:20">
      <c r="B623" s="2" t="s">
        <v>2036</v>
      </c>
      <c r="C623" s="2" t="s">
        <v>6419</v>
      </c>
      <c r="D623" s="19" t="s">
        <v>8684</v>
      </c>
      <c r="E623" s="2">
        <v>0.3</v>
      </c>
      <c r="G623" s="2">
        <v>300</v>
      </c>
      <c r="H623" s="2" t="s">
        <v>7143</v>
      </c>
      <c r="K623" s="2">
        <v>0.3</v>
      </c>
      <c r="L623" s="2">
        <v>0.7</v>
      </c>
      <c r="M623" s="2" t="s">
        <v>8680</v>
      </c>
      <c r="O623" s="2">
        <v>2006</v>
      </c>
      <c r="P623" s="2">
        <v>2006</v>
      </c>
      <c r="Q623" s="2" t="s">
        <v>8704</v>
      </c>
      <c r="S623" s="2">
        <v>8</v>
      </c>
      <c r="T623" s="2" t="s">
        <v>7143</v>
      </c>
    </row>
    <row r="624" spans="2:20">
      <c r="B624" s="2" t="s">
        <v>2075</v>
      </c>
      <c r="C624" s="2" t="s">
        <v>6420</v>
      </c>
      <c r="D624" s="19" t="s">
        <v>8682</v>
      </c>
      <c r="E624" s="2">
        <v>0.9</v>
      </c>
      <c r="G624" s="2">
        <v>1200</v>
      </c>
      <c r="H624" s="2" t="s">
        <v>7142</v>
      </c>
      <c r="I624" s="2" t="s">
        <v>8687</v>
      </c>
      <c r="K624" s="2">
        <v>0.9</v>
      </c>
      <c r="L624" s="2">
        <v>1.3</v>
      </c>
      <c r="M624" s="2" t="s">
        <v>8680</v>
      </c>
      <c r="O624" s="2">
        <v>2000</v>
      </c>
      <c r="P624" s="2">
        <v>2023</v>
      </c>
      <c r="Q624" s="2" t="s">
        <v>8683</v>
      </c>
      <c r="S624" s="2">
        <v>10</v>
      </c>
      <c r="T624" s="2" t="s">
        <v>7143</v>
      </c>
    </row>
    <row r="625" spans="2:20">
      <c r="B625" s="2" t="s">
        <v>2101</v>
      </c>
      <c r="C625" s="2" t="s">
        <v>6421</v>
      </c>
      <c r="D625" s="19" t="s">
        <v>8682</v>
      </c>
      <c r="E625" s="2">
        <v>1.4</v>
      </c>
      <c r="G625" s="2">
        <v>1400</v>
      </c>
      <c r="H625" s="2" t="s">
        <v>7142</v>
      </c>
      <c r="I625" s="2" t="s">
        <v>8695</v>
      </c>
      <c r="K625" s="2">
        <v>1.4</v>
      </c>
      <c r="L625" s="2">
        <v>3</v>
      </c>
      <c r="M625" s="2" t="s">
        <v>8680</v>
      </c>
      <c r="O625" s="2">
        <v>1999</v>
      </c>
      <c r="P625" s="2">
        <v>2021</v>
      </c>
      <c r="Q625" s="2" t="s">
        <v>8683</v>
      </c>
      <c r="S625" s="2">
        <v>10</v>
      </c>
      <c r="T625" s="2" t="s">
        <v>7143</v>
      </c>
    </row>
    <row r="626" spans="2:20">
      <c r="B626" s="2" t="s">
        <v>2101</v>
      </c>
      <c r="C626" s="2" t="s">
        <v>6422</v>
      </c>
      <c r="D626" s="19" t="s">
        <v>8684</v>
      </c>
      <c r="E626" s="2">
        <v>0.2</v>
      </c>
      <c r="G626" s="2">
        <v>250</v>
      </c>
      <c r="H626" s="2" t="s">
        <v>7143</v>
      </c>
      <c r="K626" s="2">
        <v>0.2</v>
      </c>
      <c r="L626" s="2">
        <v>0.5</v>
      </c>
      <c r="M626" s="2" t="s">
        <v>8678</v>
      </c>
      <c r="O626" s="2">
        <v>2003</v>
      </c>
      <c r="P626" s="2">
        <v>2003</v>
      </c>
      <c r="Q626" s="2" t="s">
        <v>8681</v>
      </c>
      <c r="S626" s="2">
        <v>5</v>
      </c>
      <c r="T626" s="2" t="s">
        <v>7142</v>
      </c>
    </row>
    <row r="627" spans="2:20">
      <c r="B627" s="2" t="s">
        <v>867</v>
      </c>
      <c r="C627" s="2" t="s">
        <v>6423</v>
      </c>
      <c r="D627" s="19" t="s">
        <v>8699</v>
      </c>
      <c r="E627" s="2">
        <v>0.5</v>
      </c>
      <c r="F627" s="2">
        <v>0</v>
      </c>
      <c r="G627" s="2">
        <v>500</v>
      </c>
      <c r="H627" s="2" t="s">
        <v>7143</v>
      </c>
      <c r="K627" s="2">
        <v>0.5</v>
      </c>
      <c r="L627" s="2">
        <v>0.7</v>
      </c>
      <c r="M627" s="2" t="s">
        <v>8678</v>
      </c>
      <c r="O627" s="2">
        <v>2016</v>
      </c>
      <c r="P627" s="2">
        <v>2016</v>
      </c>
      <c r="Q627" s="2" t="s">
        <v>8688</v>
      </c>
      <c r="S627" s="2">
        <v>17</v>
      </c>
      <c r="T627" s="2" t="s">
        <v>7143</v>
      </c>
    </row>
    <row r="628" spans="2:20">
      <c r="B628" s="2" t="s">
        <v>867</v>
      </c>
      <c r="C628" s="2" t="s">
        <v>6424</v>
      </c>
      <c r="D628" s="19" t="s">
        <v>8685</v>
      </c>
      <c r="E628" s="2">
        <v>0.4</v>
      </c>
      <c r="F628" s="2">
        <v>0</v>
      </c>
      <c r="G628" s="2">
        <v>400</v>
      </c>
      <c r="H628" s="2" t="s">
        <v>7143</v>
      </c>
      <c r="K628" s="2">
        <v>0.4</v>
      </c>
      <c r="L628" s="2">
        <v>0.5</v>
      </c>
      <c r="M628" s="2" t="s">
        <v>8678</v>
      </c>
      <c r="O628" s="2">
        <v>2016</v>
      </c>
      <c r="P628" s="2">
        <v>2016</v>
      </c>
      <c r="Q628" s="2" t="s">
        <v>8688</v>
      </c>
      <c r="S628" s="2">
        <v>17</v>
      </c>
      <c r="T628" s="2" t="s">
        <v>7143</v>
      </c>
    </row>
    <row r="629" spans="2:20">
      <c r="B629" s="2" t="s">
        <v>867</v>
      </c>
      <c r="C629" s="2" t="s">
        <v>6425</v>
      </c>
      <c r="D629" s="19" t="s">
        <v>8684</v>
      </c>
      <c r="E629" s="2">
        <v>0.4</v>
      </c>
      <c r="F629" s="2">
        <v>0</v>
      </c>
      <c r="G629" s="2">
        <v>400</v>
      </c>
      <c r="H629" s="2" t="s">
        <v>7143</v>
      </c>
      <c r="K629" s="2">
        <v>0.4</v>
      </c>
      <c r="L629" s="2">
        <v>0.6</v>
      </c>
      <c r="M629" s="2" t="s">
        <v>8680</v>
      </c>
      <c r="O629" s="2">
        <v>2005</v>
      </c>
      <c r="P629" s="2">
        <v>2005</v>
      </c>
      <c r="Q629" s="2" t="s">
        <v>8688</v>
      </c>
      <c r="S629" s="2">
        <v>15</v>
      </c>
      <c r="T629" s="2" t="s">
        <v>7143</v>
      </c>
    </row>
    <row r="630" spans="2:20">
      <c r="B630" s="2" t="s">
        <v>867</v>
      </c>
      <c r="C630" s="2" t="s">
        <v>6426</v>
      </c>
      <c r="D630" s="19" t="s">
        <v>8682</v>
      </c>
      <c r="E630" s="2">
        <v>0.7</v>
      </c>
      <c r="F630" s="2">
        <v>0</v>
      </c>
      <c r="G630" s="2">
        <v>700</v>
      </c>
      <c r="H630" s="2" t="s">
        <v>7143</v>
      </c>
      <c r="K630" s="2">
        <v>0.7</v>
      </c>
      <c r="L630" s="2">
        <v>1.2</v>
      </c>
      <c r="M630" s="2" t="s">
        <v>8678</v>
      </c>
      <c r="O630" s="2">
        <v>2006</v>
      </c>
      <c r="P630" s="2">
        <v>2006</v>
      </c>
      <c r="Q630" s="2" t="s">
        <v>8688</v>
      </c>
      <c r="S630" s="2">
        <v>16</v>
      </c>
      <c r="T630" s="2" t="s">
        <v>7143</v>
      </c>
    </row>
    <row r="631" spans="2:20">
      <c r="B631" s="2" t="s">
        <v>2116</v>
      </c>
      <c r="C631" s="2" t="s">
        <v>6427</v>
      </c>
      <c r="D631" s="19" t="s">
        <v>8684</v>
      </c>
      <c r="E631" s="2">
        <v>0.2</v>
      </c>
      <c r="G631" s="2">
        <v>200</v>
      </c>
      <c r="H631" s="2" t="s">
        <v>7142</v>
      </c>
      <c r="I631" s="2" t="s">
        <v>8687</v>
      </c>
      <c r="M631" s="2" t="s">
        <v>8680</v>
      </c>
      <c r="O631" s="2">
        <v>2025</v>
      </c>
      <c r="P631" s="2">
        <v>2025</v>
      </c>
      <c r="Q631" s="2" t="s">
        <v>8679</v>
      </c>
      <c r="S631" s="2">
        <v>5</v>
      </c>
      <c r="T631" s="2" t="s">
        <v>7143</v>
      </c>
    </row>
    <row r="632" spans="2:20">
      <c r="B632" s="2" t="s">
        <v>2116</v>
      </c>
      <c r="C632" s="2" t="s">
        <v>6428</v>
      </c>
      <c r="D632" s="19" t="s">
        <v>8682</v>
      </c>
      <c r="E632" s="2">
        <v>1</v>
      </c>
      <c r="G632" s="2">
        <v>1000</v>
      </c>
      <c r="H632" s="2" t="s">
        <v>7142</v>
      </c>
      <c r="I632" s="2" t="s">
        <v>8687</v>
      </c>
      <c r="K632" s="2">
        <v>1</v>
      </c>
      <c r="L632" s="2">
        <v>1.5</v>
      </c>
      <c r="M632" s="2" t="s">
        <v>8680</v>
      </c>
      <c r="O632" s="2">
        <v>1995</v>
      </c>
      <c r="P632" s="2">
        <v>2021</v>
      </c>
      <c r="Q632" s="2" t="s">
        <v>8697</v>
      </c>
      <c r="R632" s="2" t="s">
        <v>6429</v>
      </c>
      <c r="S632" s="2">
        <v>7</v>
      </c>
      <c r="T632" s="2" t="s">
        <v>7143</v>
      </c>
    </row>
    <row r="633" spans="2:20">
      <c r="B633" s="2" t="s">
        <v>2152</v>
      </c>
      <c r="C633" s="2" t="s">
        <v>6430</v>
      </c>
      <c r="D633" s="19" t="s">
        <v>8682</v>
      </c>
      <c r="E633" s="2">
        <v>1.5</v>
      </c>
      <c r="G633" s="2">
        <v>1500</v>
      </c>
      <c r="H633" s="2" t="s">
        <v>7143</v>
      </c>
      <c r="K633" s="2">
        <v>1.5</v>
      </c>
      <c r="L633" s="2">
        <v>2.5</v>
      </c>
      <c r="M633" s="2" t="s">
        <v>8678</v>
      </c>
      <c r="O633" s="2">
        <v>1995</v>
      </c>
      <c r="P633" s="2">
        <v>2023</v>
      </c>
      <c r="Q633" s="2" t="s">
        <v>8716</v>
      </c>
      <c r="R633" s="2" t="s">
        <v>6432</v>
      </c>
      <c r="S633" s="2">
        <v>5</v>
      </c>
      <c r="T633" s="2" t="s">
        <v>7143</v>
      </c>
    </row>
    <row r="634" spans="2:20">
      <c r="B634" s="2" t="s">
        <v>914</v>
      </c>
      <c r="C634" s="2" t="s">
        <v>6433</v>
      </c>
      <c r="D634" s="19" t="s">
        <v>8682</v>
      </c>
      <c r="E634" s="2">
        <v>0.3</v>
      </c>
      <c r="F634" s="2">
        <v>0</v>
      </c>
      <c r="G634" s="2">
        <v>300</v>
      </c>
      <c r="H634" s="2" t="s">
        <v>7142</v>
      </c>
      <c r="I634" s="2" t="s">
        <v>8686</v>
      </c>
      <c r="K634" s="2">
        <v>0.3</v>
      </c>
      <c r="L634" s="2">
        <v>0.7</v>
      </c>
      <c r="M634" s="2" t="s">
        <v>8680</v>
      </c>
      <c r="O634" s="2">
        <v>1995</v>
      </c>
      <c r="P634" s="2">
        <v>2011</v>
      </c>
      <c r="Q634" s="2" t="s">
        <v>8679</v>
      </c>
      <c r="S634" s="2">
        <v>20</v>
      </c>
      <c r="T634" s="2" t="s">
        <v>7143</v>
      </c>
    </row>
    <row r="635" spans="2:20">
      <c r="B635" s="2" t="s">
        <v>914</v>
      </c>
      <c r="C635" s="2" t="s">
        <v>6434</v>
      </c>
      <c r="D635" s="19" t="s">
        <v>8685</v>
      </c>
      <c r="E635" s="2">
        <v>0.1</v>
      </c>
      <c r="F635" s="2">
        <v>0</v>
      </c>
      <c r="G635" s="2">
        <v>100</v>
      </c>
      <c r="H635" s="2" t="s">
        <v>7143</v>
      </c>
      <c r="K635" s="2">
        <v>0.1</v>
      </c>
      <c r="L635" s="2">
        <v>0.4</v>
      </c>
      <c r="M635" s="2" t="s">
        <v>8680</v>
      </c>
      <c r="O635" s="2">
        <v>2011</v>
      </c>
      <c r="P635" s="2">
        <v>2011</v>
      </c>
      <c r="Q635" s="2" t="s">
        <v>8681</v>
      </c>
      <c r="S635" s="2">
        <v>20</v>
      </c>
      <c r="T635" s="2" t="s">
        <v>7143</v>
      </c>
    </row>
    <row r="636" spans="2:20">
      <c r="B636" s="2" t="s">
        <v>914</v>
      </c>
      <c r="C636" s="2" t="s">
        <v>6435</v>
      </c>
      <c r="D636" s="19" t="s">
        <v>8684</v>
      </c>
      <c r="E636" s="2">
        <v>0.3</v>
      </c>
      <c r="F636" s="2">
        <v>0</v>
      </c>
      <c r="G636" s="2">
        <v>300</v>
      </c>
      <c r="H636" s="2" t="s">
        <v>7142</v>
      </c>
      <c r="I636" s="2" t="s">
        <v>8686</v>
      </c>
      <c r="K636" s="2">
        <v>0.3</v>
      </c>
      <c r="L636" s="2">
        <v>0.7</v>
      </c>
      <c r="M636" s="2" t="s">
        <v>8680</v>
      </c>
      <c r="O636" s="2">
        <v>1995</v>
      </c>
      <c r="P636" s="2">
        <v>2011</v>
      </c>
      <c r="Q636" s="2" t="s">
        <v>8679</v>
      </c>
      <c r="S636" s="2">
        <v>20</v>
      </c>
      <c r="T636" s="2" t="s">
        <v>7143</v>
      </c>
    </row>
    <row r="637" spans="2:20">
      <c r="B637" s="2" t="s">
        <v>2166</v>
      </c>
      <c r="C637" s="2" t="s">
        <v>6436</v>
      </c>
      <c r="D637" s="19" t="s">
        <v>8699</v>
      </c>
      <c r="E637" s="2">
        <v>0.7</v>
      </c>
      <c r="G637" s="2">
        <v>770</v>
      </c>
      <c r="H637" s="2" t="s">
        <v>7142</v>
      </c>
      <c r="I637" s="2" t="s">
        <v>8687</v>
      </c>
      <c r="K637" s="2">
        <v>0.7</v>
      </c>
      <c r="L637" s="2">
        <v>2.5</v>
      </c>
      <c r="M637" s="2" t="s">
        <v>8678</v>
      </c>
      <c r="O637" s="2">
        <v>2000</v>
      </c>
      <c r="P637" s="2">
        <v>2000</v>
      </c>
      <c r="Q637" s="2" t="s">
        <v>8683</v>
      </c>
      <c r="S637" s="2">
        <v>3</v>
      </c>
      <c r="T637" s="2" t="s">
        <v>7143</v>
      </c>
    </row>
    <row r="638" spans="2:20">
      <c r="B638" s="2" t="s">
        <v>2166</v>
      </c>
      <c r="C638" s="2" t="s">
        <v>6437</v>
      </c>
      <c r="D638" s="19" t="s">
        <v>8684</v>
      </c>
      <c r="E638" s="2">
        <v>0.4</v>
      </c>
      <c r="G638" s="2">
        <v>440</v>
      </c>
      <c r="H638" s="2" t="s">
        <v>7143</v>
      </c>
      <c r="K638" s="2">
        <v>0.4</v>
      </c>
      <c r="L638" s="2">
        <v>1.8</v>
      </c>
      <c r="M638" s="2" t="s">
        <v>8680</v>
      </c>
      <c r="O638" s="2">
        <v>2000</v>
      </c>
      <c r="P638" s="2">
        <v>2000</v>
      </c>
      <c r="Q638" s="2" t="s">
        <v>8683</v>
      </c>
      <c r="S638" s="2">
        <v>1</v>
      </c>
      <c r="T638" s="2" t="s">
        <v>7143</v>
      </c>
    </row>
    <row r="639" spans="2:20">
      <c r="B639" s="2" t="s">
        <v>2166</v>
      </c>
      <c r="C639" s="2" t="s">
        <v>6438</v>
      </c>
      <c r="D639" s="19" t="s">
        <v>8685</v>
      </c>
      <c r="E639" s="2">
        <v>0.14000000000000001</v>
      </c>
      <c r="G639" s="2">
        <v>150</v>
      </c>
      <c r="H639" s="2" t="s">
        <v>7143</v>
      </c>
      <c r="K639" s="2">
        <v>0.15</v>
      </c>
      <c r="L639" s="2">
        <v>0.8</v>
      </c>
      <c r="M639" s="2" t="s">
        <v>8678</v>
      </c>
      <c r="O639" s="2">
        <v>1999</v>
      </c>
      <c r="P639" s="2">
        <v>1999</v>
      </c>
      <c r="Q639" s="2" t="s">
        <v>8683</v>
      </c>
      <c r="S639" s="2">
        <v>2</v>
      </c>
      <c r="T639" s="2" t="s">
        <v>7143</v>
      </c>
    </row>
    <row r="640" spans="2:20">
      <c r="B640" s="2" t="s">
        <v>2166</v>
      </c>
      <c r="C640" s="2" t="s">
        <v>6439</v>
      </c>
      <c r="D640" s="19" t="s">
        <v>8682</v>
      </c>
      <c r="E640" s="2">
        <v>1</v>
      </c>
      <c r="G640" s="2">
        <v>1100</v>
      </c>
      <c r="H640" s="2" t="s">
        <v>7143</v>
      </c>
      <c r="K640" s="2">
        <v>0</v>
      </c>
      <c r="L640" s="2">
        <v>0</v>
      </c>
      <c r="M640" s="2" t="s">
        <v>8712</v>
      </c>
      <c r="O640" s="2">
        <v>1995</v>
      </c>
      <c r="P640" s="2">
        <v>2025</v>
      </c>
      <c r="Q640" s="2" t="s">
        <v>8697</v>
      </c>
      <c r="R640" s="2" t="s">
        <v>6440</v>
      </c>
      <c r="S640" s="2">
        <v>1</v>
      </c>
      <c r="T640" s="2" t="s">
        <v>7142</v>
      </c>
    </row>
    <row r="641" spans="2:20">
      <c r="B641" s="2" t="s">
        <v>2191</v>
      </c>
      <c r="C641" s="2" t="s">
        <v>6441</v>
      </c>
      <c r="D641" s="19" t="s">
        <v>8682</v>
      </c>
      <c r="E641" s="2">
        <v>0.3</v>
      </c>
      <c r="G641" s="2">
        <v>300</v>
      </c>
      <c r="H641" s="2" t="s">
        <v>7143</v>
      </c>
      <c r="K641" s="2">
        <v>0.3</v>
      </c>
      <c r="L641" s="2">
        <v>0.6</v>
      </c>
      <c r="M641" s="2" t="s">
        <v>8680</v>
      </c>
      <c r="O641" s="2">
        <v>2009</v>
      </c>
      <c r="P641" s="2">
        <v>2019</v>
      </c>
      <c r="Q641" s="2" t="s">
        <v>8683</v>
      </c>
      <c r="S641" s="2">
        <v>15</v>
      </c>
      <c r="T641" s="2" t="s">
        <v>7143</v>
      </c>
    </row>
    <row r="642" spans="2:20">
      <c r="B642" s="2" t="s">
        <v>2191</v>
      </c>
      <c r="C642" s="2" t="s">
        <v>6442</v>
      </c>
      <c r="D642" s="19" t="s">
        <v>8684</v>
      </c>
      <c r="E642" s="2">
        <v>0.7</v>
      </c>
      <c r="G642" s="2">
        <v>750</v>
      </c>
      <c r="H642" s="2" t="s">
        <v>7142</v>
      </c>
      <c r="I642" s="2" t="s">
        <v>8687</v>
      </c>
      <c r="K642" s="2">
        <v>0</v>
      </c>
      <c r="L642" s="2">
        <v>0</v>
      </c>
      <c r="M642" s="2" t="s">
        <v>8680</v>
      </c>
      <c r="O642" s="2">
        <v>2004</v>
      </c>
      <c r="P642" s="2">
        <v>2025</v>
      </c>
      <c r="Q642" s="2" t="s">
        <v>8683</v>
      </c>
      <c r="S642" s="2">
        <v>3</v>
      </c>
      <c r="T642" s="2" t="s">
        <v>7143</v>
      </c>
    </row>
    <row r="643" spans="2:20">
      <c r="B643" s="2" t="s">
        <v>2191</v>
      </c>
      <c r="C643" s="2" t="s">
        <v>6443</v>
      </c>
      <c r="D643" s="19" t="s">
        <v>8685</v>
      </c>
      <c r="E643" s="2">
        <v>1</v>
      </c>
      <c r="G643" s="2">
        <v>1000</v>
      </c>
      <c r="H643" s="2" t="s">
        <v>7142</v>
      </c>
      <c r="I643" s="2" t="s">
        <v>8687</v>
      </c>
      <c r="M643" s="2" t="s">
        <v>8712</v>
      </c>
      <c r="O643" s="2">
        <v>2005</v>
      </c>
      <c r="P643" s="2">
        <v>2025</v>
      </c>
      <c r="Q643" s="2" t="s">
        <v>8681</v>
      </c>
      <c r="S643" s="2">
        <v>4</v>
      </c>
      <c r="T643" s="2" t="s">
        <v>7143</v>
      </c>
    </row>
    <row r="644" spans="2:20">
      <c r="B644" s="2" t="s">
        <v>2222</v>
      </c>
      <c r="C644" s="2" t="s">
        <v>6444</v>
      </c>
      <c r="D644" s="19" t="s">
        <v>8684</v>
      </c>
      <c r="E644" s="2">
        <v>0.3</v>
      </c>
      <c r="G644" s="2">
        <v>300</v>
      </c>
      <c r="H644" s="2" t="s">
        <v>7143</v>
      </c>
      <c r="K644" s="2">
        <v>0.3</v>
      </c>
      <c r="L644" s="2">
        <v>0.5</v>
      </c>
      <c r="M644" s="2" t="s">
        <v>8712</v>
      </c>
      <c r="O644" s="2">
        <v>2018</v>
      </c>
      <c r="P644" s="2">
        <v>2018</v>
      </c>
      <c r="Q644" s="2" t="s">
        <v>8683</v>
      </c>
      <c r="S644" s="2">
        <v>1</v>
      </c>
      <c r="T644" s="2" t="s">
        <v>7143</v>
      </c>
    </row>
    <row r="645" spans="2:20">
      <c r="B645" s="2" t="s">
        <v>2222</v>
      </c>
      <c r="C645" s="2" t="s">
        <v>6445</v>
      </c>
      <c r="D645" s="19" t="s">
        <v>8682</v>
      </c>
      <c r="E645" s="2">
        <v>1</v>
      </c>
      <c r="G645" s="2">
        <v>1000</v>
      </c>
      <c r="H645" s="2" t="s">
        <v>7142</v>
      </c>
      <c r="I645" s="2" t="s">
        <v>8694</v>
      </c>
      <c r="K645" s="2">
        <v>1</v>
      </c>
      <c r="L645" s="2">
        <v>2</v>
      </c>
      <c r="M645" s="2" t="s">
        <v>8680</v>
      </c>
      <c r="O645" s="2">
        <v>1998</v>
      </c>
      <c r="P645" s="2">
        <v>2020</v>
      </c>
      <c r="Q645" s="2" t="s">
        <v>8697</v>
      </c>
      <c r="R645" s="2" t="s">
        <v>6446</v>
      </c>
      <c r="S645" s="2">
        <v>1</v>
      </c>
      <c r="T645" s="2" t="s">
        <v>7143</v>
      </c>
    </row>
    <row r="646" spans="2:20">
      <c r="B646" s="2" t="s">
        <v>2254</v>
      </c>
      <c r="C646" s="2" t="s">
        <v>6447</v>
      </c>
      <c r="D646" s="19" t="s">
        <v>8682</v>
      </c>
      <c r="E646" s="2">
        <v>0.3</v>
      </c>
      <c r="G646" s="2">
        <v>310</v>
      </c>
      <c r="H646" s="2" t="s">
        <v>7143</v>
      </c>
      <c r="K646" s="2">
        <v>0.3</v>
      </c>
      <c r="L646" s="2">
        <v>0.5</v>
      </c>
      <c r="M646" s="2" t="s">
        <v>8678</v>
      </c>
      <c r="O646" s="2">
        <v>2017</v>
      </c>
      <c r="P646" s="2">
        <v>2017</v>
      </c>
      <c r="Q646" s="2" t="s">
        <v>8679</v>
      </c>
      <c r="S646" s="2">
        <v>10</v>
      </c>
      <c r="T646" s="2" t="s">
        <v>7143</v>
      </c>
    </row>
    <row r="647" spans="2:20">
      <c r="B647" s="2" t="s">
        <v>2254</v>
      </c>
      <c r="C647" s="2" t="s">
        <v>6448</v>
      </c>
      <c r="D647" s="19" t="s">
        <v>8684</v>
      </c>
      <c r="E647" s="2">
        <v>0.3</v>
      </c>
      <c r="G647" s="2">
        <v>310</v>
      </c>
      <c r="H647" s="2" t="s">
        <v>7143</v>
      </c>
      <c r="K647" s="2">
        <v>0.3</v>
      </c>
      <c r="L647" s="2">
        <v>0.7</v>
      </c>
      <c r="M647" s="2" t="s">
        <v>8678</v>
      </c>
      <c r="O647" s="2">
        <v>2017</v>
      </c>
      <c r="P647" s="2">
        <v>2017</v>
      </c>
      <c r="Q647" s="2" t="s">
        <v>8679</v>
      </c>
      <c r="S647" s="2">
        <v>10</v>
      </c>
      <c r="T647" s="2" t="s">
        <v>7143</v>
      </c>
    </row>
    <row r="648" spans="2:20">
      <c r="B648" s="2" t="s">
        <v>2254</v>
      </c>
      <c r="C648" s="2" t="s">
        <v>6449</v>
      </c>
      <c r="D648" s="19" t="s">
        <v>8685</v>
      </c>
      <c r="E648" s="2">
        <v>0.3</v>
      </c>
      <c r="G648" s="2">
        <v>300</v>
      </c>
      <c r="H648" s="2" t="s">
        <v>7143</v>
      </c>
      <c r="K648" s="2">
        <v>0.3</v>
      </c>
      <c r="L648" s="2">
        <v>0.8</v>
      </c>
      <c r="M648" s="2" t="s">
        <v>8678</v>
      </c>
      <c r="O648" s="2">
        <v>2017</v>
      </c>
      <c r="P648" s="2">
        <v>2017</v>
      </c>
      <c r="Q648" s="2" t="s">
        <v>8679</v>
      </c>
      <c r="S648" s="2">
        <v>8</v>
      </c>
      <c r="T648" s="2" t="s">
        <v>7143</v>
      </c>
    </row>
    <row r="649" spans="2:20">
      <c r="B649" s="2" t="s">
        <v>931</v>
      </c>
      <c r="C649" s="2" t="s">
        <v>6450</v>
      </c>
      <c r="D649" s="19" t="s">
        <v>8682</v>
      </c>
      <c r="E649" s="2">
        <v>0.3</v>
      </c>
      <c r="F649" s="2">
        <v>0</v>
      </c>
      <c r="G649" s="2">
        <v>300</v>
      </c>
      <c r="H649" s="2" t="s">
        <v>7143</v>
      </c>
      <c r="K649" s="2">
        <v>0.3</v>
      </c>
      <c r="L649" s="2">
        <v>1.2</v>
      </c>
      <c r="M649" s="2" t="s">
        <v>8678</v>
      </c>
      <c r="O649" s="2">
        <v>1998</v>
      </c>
      <c r="P649" s="2">
        <v>1998</v>
      </c>
      <c r="Q649" s="2" t="s">
        <v>8683</v>
      </c>
      <c r="S649" s="2">
        <v>30</v>
      </c>
      <c r="T649" s="2" t="s">
        <v>7143</v>
      </c>
    </row>
    <row r="650" spans="2:20">
      <c r="B650" s="2" t="s">
        <v>931</v>
      </c>
      <c r="C650" s="2" t="s">
        <v>6451</v>
      </c>
      <c r="D650" s="19" t="s">
        <v>8684</v>
      </c>
      <c r="E650" s="2">
        <v>0.4</v>
      </c>
      <c r="F650" s="2">
        <v>0</v>
      </c>
      <c r="G650" s="2">
        <v>300</v>
      </c>
      <c r="H650" s="2" t="s">
        <v>7142</v>
      </c>
      <c r="I650" s="2" t="s">
        <v>8695</v>
      </c>
      <c r="K650" s="2">
        <v>0.4</v>
      </c>
      <c r="L650" s="2">
        <v>2</v>
      </c>
      <c r="M650" s="2" t="s">
        <v>8678</v>
      </c>
      <c r="O650" s="2">
        <v>2010</v>
      </c>
      <c r="P650" s="2">
        <v>2010</v>
      </c>
      <c r="Q650" s="2" t="s">
        <v>8688</v>
      </c>
      <c r="S650" s="2">
        <v>30</v>
      </c>
      <c r="T650" s="2" t="s">
        <v>7143</v>
      </c>
    </row>
    <row r="651" spans="2:20">
      <c r="B651" s="2" t="s">
        <v>931</v>
      </c>
      <c r="C651" s="2" t="s">
        <v>6452</v>
      </c>
      <c r="D651" s="19" t="s">
        <v>8708</v>
      </c>
      <c r="E651" s="2">
        <v>0.1</v>
      </c>
      <c r="F651" s="2">
        <v>0</v>
      </c>
      <c r="G651" s="2">
        <v>100</v>
      </c>
      <c r="H651" s="2" t="s">
        <v>7143</v>
      </c>
      <c r="K651" s="2">
        <v>0.1</v>
      </c>
      <c r="L651" s="2">
        <v>0.3</v>
      </c>
      <c r="M651" s="2" t="s">
        <v>8678</v>
      </c>
      <c r="O651" s="2">
        <v>2010</v>
      </c>
      <c r="P651" s="2">
        <v>2010</v>
      </c>
      <c r="Q651" s="2" t="s">
        <v>8688</v>
      </c>
      <c r="S651" s="2">
        <v>30</v>
      </c>
      <c r="T651" s="2" t="s">
        <v>7143</v>
      </c>
    </row>
    <row r="652" spans="2:20">
      <c r="B652" s="2" t="s">
        <v>931</v>
      </c>
      <c r="C652" s="2" t="s">
        <v>6453</v>
      </c>
      <c r="D652" s="19" t="s">
        <v>8699</v>
      </c>
      <c r="E652" s="2">
        <v>0.1</v>
      </c>
      <c r="F652" s="2">
        <v>0</v>
      </c>
      <c r="G652" s="2">
        <v>100</v>
      </c>
      <c r="H652" s="2" t="s">
        <v>7143</v>
      </c>
      <c r="K652" s="2">
        <v>0.1</v>
      </c>
      <c r="L652" s="2">
        <v>0.3</v>
      </c>
      <c r="M652" s="2" t="s">
        <v>8678</v>
      </c>
      <c r="O652" s="2">
        <v>2010</v>
      </c>
      <c r="P652" s="2">
        <v>2010</v>
      </c>
      <c r="Q652" s="2" t="s">
        <v>8681</v>
      </c>
      <c r="S652" s="2">
        <v>30</v>
      </c>
      <c r="T652" s="2" t="s">
        <v>7143</v>
      </c>
    </row>
    <row r="653" spans="2:20">
      <c r="B653" s="2" t="s">
        <v>931</v>
      </c>
      <c r="C653" s="2" t="s">
        <v>6454</v>
      </c>
      <c r="D653" s="19" t="s">
        <v>8685</v>
      </c>
      <c r="E653" s="2">
        <v>0.3</v>
      </c>
      <c r="F653" s="2">
        <v>0</v>
      </c>
      <c r="G653" s="2">
        <v>300</v>
      </c>
      <c r="H653" s="2" t="s">
        <v>7142</v>
      </c>
      <c r="I653" s="2" t="s">
        <v>8686</v>
      </c>
      <c r="K653" s="2">
        <v>0.3</v>
      </c>
      <c r="L653" s="2">
        <v>1.2</v>
      </c>
      <c r="M653" s="2" t="s">
        <v>8678</v>
      </c>
      <c r="O653" s="2">
        <v>1998</v>
      </c>
      <c r="P653" s="2">
        <v>2010</v>
      </c>
      <c r="Q653" s="2" t="s">
        <v>8679</v>
      </c>
      <c r="S653" s="2">
        <v>27</v>
      </c>
      <c r="T653" s="2" t="s">
        <v>7143</v>
      </c>
    </row>
    <row r="654" spans="2:20">
      <c r="B654" s="2" t="s">
        <v>962</v>
      </c>
      <c r="C654" s="2" t="s">
        <v>6455</v>
      </c>
      <c r="D654" s="19" t="s">
        <v>8682</v>
      </c>
      <c r="E654" s="2">
        <v>1</v>
      </c>
      <c r="F654" s="2">
        <v>0</v>
      </c>
      <c r="G654" s="2">
        <v>1100</v>
      </c>
      <c r="H654" s="2" t="s">
        <v>7143</v>
      </c>
      <c r="K654" s="2">
        <v>1</v>
      </c>
      <c r="L654" s="2">
        <v>1.1000000000000001</v>
      </c>
      <c r="M654" s="2" t="s">
        <v>8680</v>
      </c>
      <c r="O654" s="2">
        <v>2016</v>
      </c>
      <c r="P654" s="2">
        <v>2016</v>
      </c>
      <c r="Q654" s="2" t="s">
        <v>8681</v>
      </c>
      <c r="S654" s="2">
        <v>25</v>
      </c>
      <c r="T654" s="2" t="s">
        <v>7143</v>
      </c>
    </row>
    <row r="655" spans="2:20">
      <c r="B655" s="2" t="s">
        <v>992</v>
      </c>
      <c r="C655" s="2" t="s">
        <v>6456</v>
      </c>
      <c r="D655" s="19" t="s">
        <v>8684</v>
      </c>
      <c r="E655" s="2">
        <v>0.3</v>
      </c>
      <c r="F655" s="2">
        <v>0</v>
      </c>
      <c r="G655" s="2">
        <v>300</v>
      </c>
      <c r="H655" s="2" t="s">
        <v>7143</v>
      </c>
      <c r="K655" s="2">
        <v>0.3</v>
      </c>
      <c r="L655" s="2">
        <v>0.4</v>
      </c>
      <c r="M655" s="2" t="s">
        <v>8678</v>
      </c>
      <c r="O655" s="2">
        <v>2014</v>
      </c>
      <c r="P655" s="2">
        <v>2014</v>
      </c>
      <c r="Q655" s="2" t="s">
        <v>8681</v>
      </c>
      <c r="S655" s="2">
        <v>3</v>
      </c>
      <c r="T655" s="2" t="s">
        <v>7143</v>
      </c>
    </row>
    <row r="656" spans="2:20">
      <c r="B656" s="2" t="s">
        <v>992</v>
      </c>
      <c r="C656" s="2" t="s">
        <v>6457</v>
      </c>
      <c r="D656" s="19" t="s">
        <v>8682</v>
      </c>
      <c r="E656" s="2">
        <v>0.4</v>
      </c>
      <c r="F656" s="2">
        <v>0</v>
      </c>
      <c r="G656" s="2">
        <v>400</v>
      </c>
      <c r="H656" s="2" t="s">
        <v>7143</v>
      </c>
      <c r="K656" s="2">
        <v>0.4</v>
      </c>
      <c r="L656" s="2">
        <v>0.6</v>
      </c>
      <c r="M656" s="2" t="s">
        <v>8680</v>
      </c>
      <c r="O656" s="2">
        <v>2014</v>
      </c>
      <c r="P656" s="2">
        <v>2014</v>
      </c>
      <c r="Q656" s="2" t="s">
        <v>8681</v>
      </c>
      <c r="S656" s="2">
        <v>2</v>
      </c>
      <c r="T656" s="2" t="s">
        <v>7143</v>
      </c>
    </row>
    <row r="657" spans="2:20">
      <c r="B657" s="2" t="s">
        <v>1035</v>
      </c>
      <c r="C657" s="2" t="s">
        <v>6458</v>
      </c>
      <c r="D657" s="19" t="s">
        <v>8682</v>
      </c>
      <c r="E657" s="2">
        <v>0.4</v>
      </c>
      <c r="F657" s="2">
        <v>0</v>
      </c>
      <c r="G657" s="2">
        <v>400</v>
      </c>
      <c r="H657" s="2" t="s">
        <v>7143</v>
      </c>
      <c r="K657" s="2">
        <v>0.4</v>
      </c>
      <c r="L657" s="2">
        <v>1.1000000000000001</v>
      </c>
      <c r="M657" s="2" t="s">
        <v>8680</v>
      </c>
      <c r="O657" s="2">
        <v>2014</v>
      </c>
      <c r="P657" s="2">
        <v>2014</v>
      </c>
      <c r="Q657" s="2" t="s">
        <v>8681</v>
      </c>
      <c r="S657" s="2">
        <v>0.3</v>
      </c>
      <c r="T657" s="2" t="s">
        <v>7143</v>
      </c>
    </row>
    <row r="658" spans="2:20">
      <c r="B658" s="2" t="s">
        <v>1035</v>
      </c>
      <c r="C658" s="2" t="s">
        <v>6459</v>
      </c>
      <c r="D658" s="19" t="s">
        <v>8684</v>
      </c>
      <c r="E658" s="2">
        <v>0.3</v>
      </c>
      <c r="F658" s="2">
        <v>0</v>
      </c>
      <c r="G658" s="2">
        <v>300</v>
      </c>
      <c r="H658" s="2" t="s">
        <v>7143</v>
      </c>
      <c r="K658" s="2">
        <v>0.3</v>
      </c>
      <c r="L658" s="2">
        <v>0.9</v>
      </c>
      <c r="M658" s="2" t="s">
        <v>8680</v>
      </c>
      <c r="O658" s="2">
        <v>2014</v>
      </c>
      <c r="P658" s="2">
        <v>2014</v>
      </c>
      <c r="Q658" s="2" t="s">
        <v>8681</v>
      </c>
      <c r="S658" s="2">
        <v>1</v>
      </c>
      <c r="T658" s="2" t="s">
        <v>7143</v>
      </c>
    </row>
    <row r="659" spans="2:20">
      <c r="B659" s="2" t="s">
        <v>1077</v>
      </c>
      <c r="C659" s="2" t="s">
        <v>6460</v>
      </c>
      <c r="D659" s="19" t="s">
        <v>8682</v>
      </c>
      <c r="E659" s="2">
        <v>0.3</v>
      </c>
      <c r="F659" s="2">
        <v>0</v>
      </c>
      <c r="G659" s="2">
        <v>300</v>
      </c>
      <c r="H659" s="2" t="s">
        <v>7143</v>
      </c>
      <c r="K659" s="2">
        <v>0.3</v>
      </c>
      <c r="L659" s="2">
        <v>0.5</v>
      </c>
      <c r="M659" s="2" t="s">
        <v>8680</v>
      </c>
      <c r="O659" s="2">
        <v>1995</v>
      </c>
      <c r="P659" s="2">
        <v>2017</v>
      </c>
      <c r="Q659" s="2" t="s">
        <v>8679</v>
      </c>
      <c r="S659" s="2">
        <v>30</v>
      </c>
      <c r="T659" s="2" t="s">
        <v>7143</v>
      </c>
    </row>
    <row r="660" spans="2:20">
      <c r="B660" s="2" t="s">
        <v>2296</v>
      </c>
      <c r="C660" s="2" t="s">
        <v>6461</v>
      </c>
      <c r="D660" s="19" t="s">
        <v>8682</v>
      </c>
      <c r="E660" s="2">
        <v>0.3</v>
      </c>
      <c r="G660" s="2">
        <v>300</v>
      </c>
      <c r="H660" s="2" t="s">
        <v>7143</v>
      </c>
      <c r="K660" s="2">
        <v>0.3</v>
      </c>
      <c r="L660" s="2">
        <v>0.2</v>
      </c>
      <c r="M660" s="2" t="s">
        <v>8680</v>
      </c>
      <c r="O660" s="2">
        <v>2012</v>
      </c>
      <c r="P660" s="2">
        <v>2012</v>
      </c>
      <c r="Q660" s="2" t="s">
        <v>8683</v>
      </c>
      <c r="S660" s="2">
        <v>25</v>
      </c>
      <c r="T660" s="2" t="s">
        <v>7143</v>
      </c>
    </row>
    <row r="661" spans="2:20">
      <c r="B661" s="2" t="s">
        <v>2296</v>
      </c>
      <c r="C661" s="2" t="s">
        <v>6462</v>
      </c>
      <c r="D661" s="19" t="s">
        <v>8684</v>
      </c>
      <c r="E661" s="2">
        <v>1</v>
      </c>
      <c r="G661" s="2">
        <v>1000</v>
      </c>
      <c r="H661" s="2" t="s">
        <v>7143</v>
      </c>
      <c r="K661" s="2">
        <v>1</v>
      </c>
      <c r="L661" s="2">
        <v>2.2999999999999998</v>
      </c>
      <c r="M661" s="2" t="s">
        <v>8678</v>
      </c>
      <c r="O661" s="2">
        <v>2000</v>
      </c>
      <c r="P661" s="2">
        <v>2018</v>
      </c>
      <c r="Q661" s="2" t="s">
        <v>8683</v>
      </c>
      <c r="S661" s="2">
        <v>30</v>
      </c>
      <c r="T661" s="2" t="s">
        <v>7143</v>
      </c>
    </row>
    <row r="662" spans="2:20">
      <c r="B662" s="2" t="s">
        <v>1104</v>
      </c>
      <c r="C662" s="2" t="s">
        <v>6463</v>
      </c>
      <c r="D662" s="19" t="s">
        <v>8699</v>
      </c>
      <c r="E662" s="2">
        <v>0.1</v>
      </c>
      <c r="F662" s="2">
        <v>0</v>
      </c>
      <c r="G662" s="2">
        <v>100</v>
      </c>
      <c r="H662" s="2" t="s">
        <v>7143</v>
      </c>
      <c r="K662" s="2">
        <v>0.1</v>
      </c>
      <c r="L662" s="2">
        <v>0.3</v>
      </c>
      <c r="M662" s="2" t="s">
        <v>8680</v>
      </c>
      <c r="O662" s="2">
        <v>2014</v>
      </c>
      <c r="P662" s="2">
        <v>2014</v>
      </c>
      <c r="Q662" s="2" t="s">
        <v>8688</v>
      </c>
      <c r="S662" s="2">
        <v>30</v>
      </c>
      <c r="T662" s="2" t="s">
        <v>7143</v>
      </c>
    </row>
    <row r="663" spans="2:20">
      <c r="B663" s="2" t="s">
        <v>1104</v>
      </c>
      <c r="C663" s="2" t="s">
        <v>6464</v>
      </c>
      <c r="D663" s="19" t="s">
        <v>8684</v>
      </c>
      <c r="E663" s="2">
        <v>0.2</v>
      </c>
      <c r="F663" s="2">
        <v>0</v>
      </c>
      <c r="G663" s="2">
        <v>200</v>
      </c>
      <c r="H663" s="2" t="s">
        <v>7143</v>
      </c>
      <c r="K663" s="2">
        <v>0.2</v>
      </c>
      <c r="L663" s="2">
        <v>0.5</v>
      </c>
      <c r="M663" s="2" t="s">
        <v>8680</v>
      </c>
      <c r="O663" s="2">
        <v>2014</v>
      </c>
      <c r="P663" s="2">
        <v>2014</v>
      </c>
      <c r="Q663" s="2" t="s">
        <v>8688</v>
      </c>
      <c r="S663" s="2">
        <v>35</v>
      </c>
      <c r="T663" s="2" t="s">
        <v>7143</v>
      </c>
    </row>
    <row r="664" spans="2:20">
      <c r="B664" s="2" t="s">
        <v>1104</v>
      </c>
      <c r="C664" s="2" t="s">
        <v>6465</v>
      </c>
      <c r="D664" s="19" t="s">
        <v>8685</v>
      </c>
      <c r="E664" s="2">
        <v>0.2</v>
      </c>
      <c r="F664" s="2">
        <v>0</v>
      </c>
      <c r="G664" s="2">
        <v>200</v>
      </c>
      <c r="H664" s="2" t="s">
        <v>7143</v>
      </c>
      <c r="K664" s="2">
        <v>0.2</v>
      </c>
      <c r="L664" s="2">
        <v>0.5</v>
      </c>
      <c r="M664" s="2" t="s">
        <v>8680</v>
      </c>
      <c r="O664" s="2">
        <v>2014</v>
      </c>
      <c r="P664" s="2">
        <v>2014</v>
      </c>
      <c r="Q664" s="2" t="s">
        <v>8688</v>
      </c>
      <c r="S664" s="2">
        <v>35</v>
      </c>
      <c r="T664" s="2" t="s">
        <v>7143</v>
      </c>
    </row>
    <row r="665" spans="2:20">
      <c r="B665" s="2" t="s">
        <v>1104</v>
      </c>
      <c r="C665" s="2" t="s">
        <v>6466</v>
      </c>
      <c r="D665" s="19" t="s">
        <v>8682</v>
      </c>
      <c r="E665" s="2">
        <v>0.2</v>
      </c>
      <c r="F665" s="2">
        <v>0</v>
      </c>
      <c r="G665" s="2">
        <v>200</v>
      </c>
      <c r="H665" s="2" t="s">
        <v>7143</v>
      </c>
      <c r="K665" s="2">
        <v>0.2</v>
      </c>
      <c r="L665" s="2">
        <v>0.5</v>
      </c>
      <c r="M665" s="2" t="s">
        <v>8680</v>
      </c>
      <c r="O665" s="2">
        <v>2014</v>
      </c>
      <c r="P665" s="2">
        <v>2014</v>
      </c>
      <c r="Q665" s="2" t="s">
        <v>8688</v>
      </c>
      <c r="S665" s="2">
        <v>35</v>
      </c>
      <c r="T665" s="2" t="s">
        <v>7143</v>
      </c>
    </row>
    <row r="666" spans="2:20">
      <c r="B666" s="2" t="s">
        <v>2329</v>
      </c>
      <c r="C666" s="2" t="s">
        <v>6467</v>
      </c>
      <c r="D666" s="19" t="s">
        <v>8682</v>
      </c>
      <c r="E666" s="2">
        <v>0.45</v>
      </c>
      <c r="G666" s="2">
        <v>470</v>
      </c>
      <c r="H666" s="2" t="s">
        <v>7143</v>
      </c>
      <c r="K666" s="2">
        <v>0.45</v>
      </c>
      <c r="L666" s="2">
        <v>1.6</v>
      </c>
      <c r="M666" s="2" t="s">
        <v>8678</v>
      </c>
      <c r="O666" s="2">
        <v>2014</v>
      </c>
      <c r="P666" s="2">
        <v>2014</v>
      </c>
      <c r="Q666" s="2" t="s">
        <v>8688</v>
      </c>
      <c r="S666" s="2">
        <v>30</v>
      </c>
      <c r="T666" s="2" t="s">
        <v>7143</v>
      </c>
    </row>
    <row r="667" spans="2:20">
      <c r="B667" s="2" t="s">
        <v>1158</v>
      </c>
      <c r="C667" s="2" t="s">
        <v>6468</v>
      </c>
      <c r="D667" s="19" t="s">
        <v>8684</v>
      </c>
      <c r="E667" s="2">
        <v>0.2</v>
      </c>
      <c r="F667" s="2">
        <v>0</v>
      </c>
      <c r="G667" s="2">
        <v>200</v>
      </c>
      <c r="H667" s="2" t="s">
        <v>7143</v>
      </c>
      <c r="K667" s="2">
        <v>0.2</v>
      </c>
      <c r="L667" s="2">
        <v>0.6</v>
      </c>
      <c r="M667" s="2" t="s">
        <v>8680</v>
      </c>
      <c r="O667" s="2">
        <v>2003</v>
      </c>
      <c r="P667" s="2">
        <v>2003</v>
      </c>
      <c r="Q667" s="2" t="s">
        <v>8683</v>
      </c>
      <c r="S667" s="2">
        <v>30</v>
      </c>
      <c r="T667" s="2" t="s">
        <v>7143</v>
      </c>
    </row>
    <row r="668" spans="2:20">
      <c r="B668" s="2" t="s">
        <v>1158</v>
      </c>
      <c r="C668" s="2" t="s">
        <v>6469</v>
      </c>
      <c r="D668" s="19" t="s">
        <v>8682</v>
      </c>
      <c r="E668" s="2">
        <v>0.2</v>
      </c>
      <c r="F668" s="2">
        <v>0</v>
      </c>
      <c r="G668" s="2">
        <v>200</v>
      </c>
      <c r="H668" s="2" t="s">
        <v>7143</v>
      </c>
      <c r="K668" s="2">
        <v>0.2</v>
      </c>
      <c r="L668" s="2">
        <v>0.5</v>
      </c>
      <c r="M668" s="2" t="s">
        <v>8680</v>
      </c>
      <c r="O668" s="2">
        <v>2003</v>
      </c>
      <c r="P668" s="2">
        <v>2003</v>
      </c>
      <c r="Q668" s="2" t="s">
        <v>8683</v>
      </c>
      <c r="S668" s="2">
        <v>25</v>
      </c>
      <c r="T668" s="2" t="s">
        <v>7143</v>
      </c>
    </row>
    <row r="669" spans="2:20">
      <c r="B669" s="2" t="s">
        <v>2378</v>
      </c>
      <c r="C669" s="2" t="s">
        <v>6470</v>
      </c>
      <c r="D669" s="19" t="s">
        <v>8682</v>
      </c>
      <c r="E669" s="2">
        <v>0.5</v>
      </c>
      <c r="G669" s="2">
        <v>500</v>
      </c>
      <c r="H669" s="2" t="s">
        <v>7143</v>
      </c>
      <c r="K669" s="2">
        <v>1</v>
      </c>
      <c r="L669" s="2">
        <v>1</v>
      </c>
      <c r="M669" s="2" t="s">
        <v>8678</v>
      </c>
      <c r="O669" s="2">
        <v>2010</v>
      </c>
      <c r="P669" s="2">
        <v>2010</v>
      </c>
      <c r="Q669" s="2" t="s">
        <v>8697</v>
      </c>
      <c r="R669" s="2" t="s">
        <v>6471</v>
      </c>
      <c r="S669" s="2">
        <v>30</v>
      </c>
      <c r="T669" s="2" t="s">
        <v>7143</v>
      </c>
    </row>
    <row r="670" spans="2:20">
      <c r="B670" s="2" t="s">
        <v>1158</v>
      </c>
      <c r="C670" s="2" t="s">
        <v>6472</v>
      </c>
      <c r="D670" s="19" t="s">
        <v>8699</v>
      </c>
      <c r="E670" s="2">
        <v>0.1</v>
      </c>
      <c r="F670" s="2">
        <v>0</v>
      </c>
      <c r="G670" s="2">
        <v>100</v>
      </c>
      <c r="H670" s="2" t="s">
        <v>7143</v>
      </c>
      <c r="K670" s="2">
        <v>0.1</v>
      </c>
      <c r="L670" s="2">
        <v>0.3</v>
      </c>
      <c r="M670" s="2" t="s">
        <v>8680</v>
      </c>
      <c r="O670" s="2">
        <v>2020</v>
      </c>
      <c r="P670" s="2">
        <v>2020</v>
      </c>
      <c r="Q670" s="2" t="s">
        <v>8679</v>
      </c>
      <c r="S670" s="2">
        <v>30</v>
      </c>
      <c r="T670" s="2" t="s">
        <v>7143</v>
      </c>
    </row>
    <row r="671" spans="2:20">
      <c r="B671" s="2" t="s">
        <v>1158</v>
      </c>
      <c r="C671" s="2" t="s">
        <v>6473</v>
      </c>
      <c r="D671" s="19" t="s">
        <v>8685</v>
      </c>
      <c r="E671" s="2">
        <v>0.2</v>
      </c>
      <c r="F671" s="2">
        <v>0</v>
      </c>
      <c r="G671" s="2">
        <v>200</v>
      </c>
      <c r="H671" s="2" t="s">
        <v>7143</v>
      </c>
      <c r="K671" s="2">
        <v>0.2</v>
      </c>
      <c r="L671" s="2">
        <v>0.6</v>
      </c>
      <c r="M671" s="2" t="s">
        <v>8680</v>
      </c>
      <c r="O671" s="2">
        <v>2003</v>
      </c>
      <c r="P671" s="2">
        <v>2003</v>
      </c>
      <c r="Q671" s="2" t="s">
        <v>8683</v>
      </c>
      <c r="S671" s="2">
        <v>30</v>
      </c>
      <c r="T671" s="2" t="s">
        <v>7143</v>
      </c>
    </row>
    <row r="672" spans="2:20">
      <c r="B672" s="2" t="s">
        <v>2413</v>
      </c>
      <c r="C672" s="2" t="s">
        <v>6474</v>
      </c>
      <c r="D672" s="19" t="s">
        <v>8682</v>
      </c>
      <c r="E672" s="2">
        <v>1</v>
      </c>
      <c r="G672" s="2">
        <v>1000</v>
      </c>
      <c r="H672" s="2" t="s">
        <v>7143</v>
      </c>
      <c r="K672" s="2">
        <v>1</v>
      </c>
      <c r="L672" s="2">
        <v>2</v>
      </c>
      <c r="M672" s="2" t="s">
        <v>8678</v>
      </c>
      <c r="O672" s="2">
        <v>2002</v>
      </c>
      <c r="P672" s="2">
        <v>2002</v>
      </c>
      <c r="Q672" s="2" t="s">
        <v>8683</v>
      </c>
      <c r="S672" s="2">
        <v>30</v>
      </c>
      <c r="T672" s="2" t="s">
        <v>7143</v>
      </c>
    </row>
    <row r="673" spans="2:20">
      <c r="B673" s="2" t="s">
        <v>2429</v>
      </c>
      <c r="C673" s="2" t="s">
        <v>6475</v>
      </c>
      <c r="D673" s="19" t="s">
        <v>8682</v>
      </c>
      <c r="E673" s="2">
        <v>0.6</v>
      </c>
      <c r="G673" s="2">
        <v>600</v>
      </c>
      <c r="H673" s="2" t="s">
        <v>7143</v>
      </c>
      <c r="K673" s="2">
        <v>2008</v>
      </c>
      <c r="L673" s="2">
        <v>1</v>
      </c>
      <c r="M673" s="2" t="s">
        <v>8678</v>
      </c>
      <c r="O673" s="2">
        <v>2008</v>
      </c>
      <c r="P673" s="2">
        <v>2008</v>
      </c>
      <c r="Q673" s="2" t="s">
        <v>8697</v>
      </c>
      <c r="R673" s="2" t="s">
        <v>6476</v>
      </c>
      <c r="S673" s="2">
        <v>20</v>
      </c>
      <c r="T673" s="2" t="s">
        <v>7143</v>
      </c>
    </row>
    <row r="674" spans="2:20">
      <c r="B674" s="2" t="s">
        <v>2451</v>
      </c>
      <c r="C674" s="2" t="s">
        <v>6477</v>
      </c>
      <c r="D674" s="19" t="s">
        <v>8684</v>
      </c>
      <c r="E674" s="2">
        <v>0.25</v>
      </c>
      <c r="G674" s="2">
        <v>260</v>
      </c>
      <c r="H674" s="2" t="s">
        <v>7143</v>
      </c>
      <c r="K674" s="2">
        <v>0.25</v>
      </c>
      <c r="L674" s="2">
        <v>0.3</v>
      </c>
      <c r="M674" s="2" t="s">
        <v>8678</v>
      </c>
      <c r="O674" s="2">
        <v>2018</v>
      </c>
      <c r="P674" s="2">
        <v>2024</v>
      </c>
      <c r="Q674" s="2" t="s">
        <v>8679</v>
      </c>
      <c r="S674" s="2">
        <v>25</v>
      </c>
      <c r="T674" s="2" t="s">
        <v>7143</v>
      </c>
    </row>
    <row r="675" spans="2:20">
      <c r="B675" s="2" t="s">
        <v>2451</v>
      </c>
      <c r="C675" s="2" t="s">
        <v>6478</v>
      </c>
      <c r="D675" s="19" t="s">
        <v>8682</v>
      </c>
      <c r="E675" s="2">
        <v>0.3</v>
      </c>
      <c r="G675" s="2">
        <v>350</v>
      </c>
      <c r="H675" s="2" t="s">
        <v>7143</v>
      </c>
      <c r="K675" s="2">
        <v>0.3</v>
      </c>
      <c r="L675" s="2">
        <v>0.5</v>
      </c>
      <c r="M675" s="2" t="s">
        <v>8680</v>
      </c>
      <c r="O675" s="2">
        <v>2018</v>
      </c>
      <c r="P675" s="2">
        <v>2018</v>
      </c>
      <c r="Q675" s="2" t="s">
        <v>8697</v>
      </c>
      <c r="R675" s="2" t="s">
        <v>6479</v>
      </c>
      <c r="S675" s="2">
        <v>25</v>
      </c>
      <c r="T675" s="2" t="s">
        <v>7143</v>
      </c>
    </row>
    <row r="676" spans="2:20">
      <c r="B676" s="2" t="s">
        <v>2461</v>
      </c>
      <c r="C676" s="2" t="s">
        <v>6480</v>
      </c>
      <c r="D676" s="19" t="s">
        <v>8682</v>
      </c>
      <c r="E676" s="2">
        <v>0.6</v>
      </c>
      <c r="G676" s="2">
        <v>600</v>
      </c>
      <c r="H676" s="2" t="s">
        <v>7142</v>
      </c>
      <c r="I676" s="2" t="s">
        <v>8686</v>
      </c>
      <c r="K676" s="2">
        <v>0.6</v>
      </c>
      <c r="L676" s="2">
        <v>2</v>
      </c>
      <c r="M676" s="2" t="s">
        <v>8680</v>
      </c>
      <c r="O676" s="2">
        <v>2015</v>
      </c>
      <c r="P676" s="2">
        <v>2023</v>
      </c>
      <c r="Q676" s="2" t="s">
        <v>8697</v>
      </c>
      <c r="R676" s="2" t="s">
        <v>6481</v>
      </c>
      <c r="S676" s="2">
        <v>30</v>
      </c>
      <c r="T676" s="2" t="s">
        <v>7143</v>
      </c>
    </row>
    <row r="677" spans="2:20">
      <c r="B677" s="2" t="s">
        <v>1173</v>
      </c>
      <c r="C677" s="2" t="s">
        <v>6482</v>
      </c>
      <c r="D677" s="19" t="s">
        <v>8682</v>
      </c>
      <c r="E677" s="2">
        <v>0.1</v>
      </c>
      <c r="F677" s="2">
        <v>0</v>
      </c>
      <c r="G677" s="2">
        <v>100</v>
      </c>
      <c r="H677" s="2" t="s">
        <v>7143</v>
      </c>
      <c r="K677" s="2">
        <v>0.1</v>
      </c>
      <c r="L677" s="2">
        <v>0.4</v>
      </c>
      <c r="M677" s="2" t="s">
        <v>8680</v>
      </c>
      <c r="O677" s="2">
        <v>1995</v>
      </c>
      <c r="P677" s="2">
        <v>2022</v>
      </c>
      <c r="Q677" s="2" t="s">
        <v>8679</v>
      </c>
      <c r="S677" s="2">
        <v>30</v>
      </c>
      <c r="T677" s="2" t="s">
        <v>7143</v>
      </c>
    </row>
    <row r="678" spans="2:20">
      <c r="B678" s="2" t="s">
        <v>1173</v>
      </c>
      <c r="C678" s="2" t="s">
        <v>6483</v>
      </c>
      <c r="D678" s="19" t="s">
        <v>8684</v>
      </c>
      <c r="E678" s="2">
        <v>0.1</v>
      </c>
      <c r="F678" s="2">
        <v>0</v>
      </c>
      <c r="G678" s="2">
        <v>100</v>
      </c>
      <c r="H678" s="2" t="s">
        <v>7143</v>
      </c>
      <c r="K678" s="2">
        <v>0.1</v>
      </c>
      <c r="L678" s="2">
        <v>0.3</v>
      </c>
      <c r="M678" s="2" t="s">
        <v>8680</v>
      </c>
      <c r="O678" s="2">
        <v>1994</v>
      </c>
      <c r="P678" s="2">
        <v>2022</v>
      </c>
      <c r="Q678" s="2" t="s">
        <v>8679</v>
      </c>
      <c r="S678" s="2">
        <v>30</v>
      </c>
      <c r="T678" s="2" t="s">
        <v>7143</v>
      </c>
    </row>
    <row r="679" spans="2:20">
      <c r="B679" s="2" t="s">
        <v>1173</v>
      </c>
      <c r="C679" s="2" t="s">
        <v>6484</v>
      </c>
      <c r="D679" s="19" t="s">
        <v>8685</v>
      </c>
      <c r="E679" s="2">
        <v>0.1</v>
      </c>
      <c r="F679" s="2">
        <v>0</v>
      </c>
      <c r="G679" s="2">
        <v>100</v>
      </c>
      <c r="H679" s="2" t="s">
        <v>7143</v>
      </c>
      <c r="K679" s="2">
        <v>0.1</v>
      </c>
      <c r="L679" s="2">
        <v>0.4</v>
      </c>
      <c r="M679" s="2" t="s">
        <v>8680</v>
      </c>
      <c r="O679" s="2">
        <v>1995</v>
      </c>
      <c r="P679" s="2">
        <v>2022</v>
      </c>
      <c r="Q679" s="2" t="s">
        <v>8679</v>
      </c>
      <c r="S679" s="2">
        <v>30</v>
      </c>
      <c r="T679" s="2" t="s">
        <v>7143</v>
      </c>
    </row>
    <row r="680" spans="2:20">
      <c r="B680" s="2" t="s">
        <v>1173</v>
      </c>
      <c r="C680" s="2" t="s">
        <v>6485</v>
      </c>
      <c r="D680" s="19" t="s">
        <v>8699</v>
      </c>
      <c r="E680" s="2">
        <v>0.1</v>
      </c>
      <c r="F680" s="2">
        <v>0</v>
      </c>
      <c r="G680" s="2">
        <v>100</v>
      </c>
      <c r="H680" s="2" t="s">
        <v>7143</v>
      </c>
      <c r="K680" s="2">
        <v>0.1</v>
      </c>
      <c r="L680" s="2">
        <v>0.4</v>
      </c>
      <c r="M680" s="2" t="s">
        <v>8680</v>
      </c>
      <c r="O680" s="2">
        <v>1995</v>
      </c>
      <c r="P680" s="2">
        <v>2022</v>
      </c>
      <c r="Q680" s="2" t="s">
        <v>8679</v>
      </c>
      <c r="S680" s="2">
        <v>30</v>
      </c>
      <c r="T680" s="2" t="s">
        <v>7143</v>
      </c>
    </row>
    <row r="681" spans="2:20">
      <c r="B681" s="2" t="s">
        <v>2518</v>
      </c>
      <c r="C681" s="2" t="s">
        <v>6486</v>
      </c>
      <c r="D681" s="19" t="s">
        <v>8682</v>
      </c>
      <c r="E681" s="2">
        <v>1</v>
      </c>
      <c r="G681" s="2">
        <v>1000</v>
      </c>
      <c r="H681" s="2" t="s">
        <v>7143</v>
      </c>
      <c r="K681" s="2">
        <v>1</v>
      </c>
      <c r="L681" s="2">
        <v>1.5</v>
      </c>
      <c r="M681" s="2" t="s">
        <v>8678</v>
      </c>
      <c r="O681" s="2">
        <v>2012</v>
      </c>
      <c r="P681" s="2">
        <v>2012</v>
      </c>
      <c r="Q681" s="2" t="s">
        <v>8683</v>
      </c>
      <c r="S681" s="2">
        <v>1</v>
      </c>
      <c r="T681" s="2" t="s">
        <v>7143</v>
      </c>
    </row>
    <row r="682" spans="2:20">
      <c r="B682" s="2" t="s">
        <v>1178</v>
      </c>
      <c r="C682" s="2" t="s">
        <v>6487</v>
      </c>
      <c r="D682" s="19" t="s">
        <v>8682</v>
      </c>
      <c r="E682" s="2">
        <v>0.6</v>
      </c>
      <c r="F682" s="2">
        <v>0</v>
      </c>
      <c r="G682" s="2">
        <v>600</v>
      </c>
      <c r="H682" s="2" t="s">
        <v>7142</v>
      </c>
      <c r="I682" s="2" t="s">
        <v>8717</v>
      </c>
      <c r="K682" s="2">
        <v>0.6</v>
      </c>
      <c r="L682" s="2">
        <v>2.2999999999999998</v>
      </c>
      <c r="M682" s="2" t="s">
        <v>8680</v>
      </c>
      <c r="O682" s="2">
        <v>2011</v>
      </c>
      <c r="P682" s="2">
        <v>2011</v>
      </c>
      <c r="Q682" s="2" t="s">
        <v>8703</v>
      </c>
      <c r="S682" s="2">
        <v>30</v>
      </c>
      <c r="T682" s="2" t="s">
        <v>7143</v>
      </c>
    </row>
    <row r="683" spans="2:20">
      <c r="B683" s="2" t="s">
        <v>1178</v>
      </c>
      <c r="C683" s="2" t="s">
        <v>6489</v>
      </c>
      <c r="D683" s="19" t="s">
        <v>8699</v>
      </c>
      <c r="E683" s="2">
        <v>0.1</v>
      </c>
      <c r="F683" s="2">
        <v>0</v>
      </c>
      <c r="G683" s="2">
        <v>100</v>
      </c>
      <c r="H683" s="2" t="s">
        <v>7143</v>
      </c>
      <c r="K683" s="2">
        <v>0.1</v>
      </c>
      <c r="L683" s="2">
        <v>0.4</v>
      </c>
      <c r="M683" s="2" t="s">
        <v>8680</v>
      </c>
      <c r="O683" s="2">
        <v>2012</v>
      </c>
      <c r="P683" s="2">
        <v>2012</v>
      </c>
      <c r="Q683" s="2" t="s">
        <v>8681</v>
      </c>
      <c r="S683" s="2">
        <v>30</v>
      </c>
      <c r="T683" s="2" t="s">
        <v>7143</v>
      </c>
    </row>
    <row r="684" spans="2:20">
      <c r="B684" s="2" t="s">
        <v>1178</v>
      </c>
      <c r="C684" s="2" t="s">
        <v>6490</v>
      </c>
      <c r="D684" s="19" t="s">
        <v>8685</v>
      </c>
      <c r="E684" s="2">
        <v>0.4</v>
      </c>
      <c r="F684" s="2">
        <v>0</v>
      </c>
      <c r="G684" s="2">
        <v>400</v>
      </c>
      <c r="H684" s="2" t="s">
        <v>7142</v>
      </c>
      <c r="I684" s="2" t="s">
        <v>8717</v>
      </c>
      <c r="K684" s="2">
        <v>0.4</v>
      </c>
      <c r="L684" s="2">
        <v>1.5</v>
      </c>
      <c r="M684" s="2" t="s">
        <v>8680</v>
      </c>
      <c r="O684" s="2">
        <v>2012</v>
      </c>
      <c r="P684" s="2">
        <v>2012</v>
      </c>
      <c r="Q684" s="2" t="s">
        <v>8703</v>
      </c>
      <c r="S684" s="2">
        <v>30</v>
      </c>
      <c r="T684" s="2" t="s">
        <v>7143</v>
      </c>
    </row>
    <row r="685" spans="2:20">
      <c r="B685" s="2" t="s">
        <v>1178</v>
      </c>
      <c r="C685" s="2" t="s">
        <v>6491</v>
      </c>
      <c r="D685" s="19" t="s">
        <v>8684</v>
      </c>
      <c r="E685" s="2">
        <v>0.3</v>
      </c>
      <c r="F685" s="2">
        <v>0</v>
      </c>
      <c r="G685" s="2">
        <v>300</v>
      </c>
      <c r="H685" s="2" t="s">
        <v>7142</v>
      </c>
      <c r="I685" s="2" t="s">
        <v>8717</v>
      </c>
      <c r="K685" s="2">
        <v>0.3</v>
      </c>
      <c r="L685" s="2">
        <v>1</v>
      </c>
      <c r="M685" s="2" t="s">
        <v>8680</v>
      </c>
      <c r="O685" s="2">
        <v>2012</v>
      </c>
      <c r="P685" s="2">
        <v>2012</v>
      </c>
      <c r="Q685" s="2" t="s">
        <v>8681</v>
      </c>
      <c r="S685" s="2">
        <v>30</v>
      </c>
      <c r="T685" s="2" t="s">
        <v>7143</v>
      </c>
    </row>
    <row r="686" spans="2:20">
      <c r="B686" s="2" t="s">
        <v>1190</v>
      </c>
      <c r="C686" s="2" t="s">
        <v>6492</v>
      </c>
      <c r="D686" s="19" t="s">
        <v>8682</v>
      </c>
      <c r="E686" s="2">
        <v>0.4</v>
      </c>
      <c r="F686" s="2">
        <v>0</v>
      </c>
      <c r="G686" s="2">
        <v>400</v>
      </c>
      <c r="H686" s="2" t="s">
        <v>7142</v>
      </c>
      <c r="I686" s="2" t="s">
        <v>8687</v>
      </c>
      <c r="K686" s="2">
        <v>0.4</v>
      </c>
      <c r="L686" s="2">
        <v>0.8</v>
      </c>
      <c r="M686" s="2" t="s">
        <v>8680</v>
      </c>
      <c r="O686" s="2">
        <v>1995</v>
      </c>
      <c r="P686" s="2">
        <v>1995</v>
      </c>
      <c r="Q686" s="2" t="s">
        <v>8681</v>
      </c>
      <c r="S686" s="2">
        <v>30</v>
      </c>
      <c r="T686" s="2" t="s">
        <v>7143</v>
      </c>
    </row>
    <row r="687" spans="2:20">
      <c r="B687" s="2" t="s">
        <v>1201</v>
      </c>
      <c r="C687" s="2" t="s">
        <v>6493</v>
      </c>
      <c r="D687" s="19" t="s">
        <v>8682</v>
      </c>
      <c r="E687" s="2">
        <v>0.5</v>
      </c>
      <c r="F687" s="2">
        <v>0</v>
      </c>
      <c r="G687" s="2">
        <v>500</v>
      </c>
      <c r="H687" s="2" t="s">
        <v>7143</v>
      </c>
      <c r="K687" s="2">
        <v>0</v>
      </c>
      <c r="M687" s="2" t="s">
        <v>8680</v>
      </c>
      <c r="O687" s="2">
        <v>2012</v>
      </c>
      <c r="P687" s="2">
        <v>2025</v>
      </c>
      <c r="Q687" s="2" t="s">
        <v>8679</v>
      </c>
      <c r="S687" s="2">
        <v>30</v>
      </c>
      <c r="T687" s="2" t="s">
        <v>7143</v>
      </c>
    </row>
    <row r="688" spans="2:20">
      <c r="B688" s="2" t="s">
        <v>1201</v>
      </c>
      <c r="C688" s="2" t="s">
        <v>6494</v>
      </c>
      <c r="D688" s="19" t="s">
        <v>8708</v>
      </c>
      <c r="E688" s="2">
        <v>0.3</v>
      </c>
      <c r="F688" s="2">
        <v>0</v>
      </c>
      <c r="G688" s="2">
        <v>300</v>
      </c>
      <c r="H688" s="2" t="s">
        <v>7143</v>
      </c>
      <c r="K688" s="2">
        <v>0.3</v>
      </c>
      <c r="L688" s="2">
        <v>1.6</v>
      </c>
      <c r="M688" s="2" t="s">
        <v>8680</v>
      </c>
      <c r="O688" s="2">
        <v>2015</v>
      </c>
      <c r="P688" s="2">
        <v>2015</v>
      </c>
      <c r="Q688" s="2" t="s">
        <v>8681</v>
      </c>
      <c r="S688" s="2">
        <v>30</v>
      </c>
      <c r="T688" s="2" t="s">
        <v>7143</v>
      </c>
    </row>
    <row r="689" spans="2:20">
      <c r="B689" s="2" t="s">
        <v>1201</v>
      </c>
      <c r="C689" s="2" t="s">
        <v>6495</v>
      </c>
      <c r="D689" s="19" t="s">
        <v>8699</v>
      </c>
      <c r="E689" s="2">
        <v>0.2</v>
      </c>
      <c r="F689" s="2">
        <v>0</v>
      </c>
      <c r="G689" s="2">
        <v>200</v>
      </c>
      <c r="H689" s="2" t="s">
        <v>7143</v>
      </c>
      <c r="K689" s="2">
        <v>0.2</v>
      </c>
      <c r="L689" s="2">
        <v>0.8</v>
      </c>
      <c r="M689" s="2" t="s">
        <v>8680</v>
      </c>
      <c r="O689" s="2">
        <v>2012</v>
      </c>
      <c r="P689" s="2">
        <v>2012</v>
      </c>
      <c r="Q689" s="2" t="s">
        <v>8703</v>
      </c>
      <c r="S689" s="2">
        <v>30</v>
      </c>
      <c r="T689" s="2" t="s">
        <v>7143</v>
      </c>
    </row>
    <row r="690" spans="2:20">
      <c r="B690" s="2" t="s">
        <v>1201</v>
      </c>
      <c r="C690" s="2" t="s">
        <v>6496</v>
      </c>
      <c r="D690" s="19" t="s">
        <v>8684</v>
      </c>
      <c r="E690" s="2">
        <v>0.2</v>
      </c>
      <c r="F690" s="2">
        <v>0</v>
      </c>
      <c r="G690" s="2">
        <v>200</v>
      </c>
      <c r="H690" s="2" t="s">
        <v>7143</v>
      </c>
      <c r="K690" s="2">
        <v>0.2</v>
      </c>
      <c r="L690" s="2">
        <v>0.8</v>
      </c>
      <c r="M690" s="2" t="s">
        <v>8680</v>
      </c>
      <c r="O690" s="2">
        <v>2012</v>
      </c>
      <c r="P690" s="2">
        <v>2012</v>
      </c>
      <c r="Q690" s="2" t="s">
        <v>8681</v>
      </c>
      <c r="S690" s="2">
        <v>30</v>
      </c>
      <c r="T690" s="2" t="s">
        <v>7143</v>
      </c>
    </row>
    <row r="691" spans="2:20">
      <c r="B691" s="2" t="s">
        <v>1201</v>
      </c>
      <c r="C691" s="2" t="s">
        <v>6497</v>
      </c>
      <c r="D691" s="19" t="s">
        <v>8685</v>
      </c>
      <c r="E691" s="2">
        <v>0.15</v>
      </c>
      <c r="F691" s="2">
        <v>0</v>
      </c>
      <c r="G691" s="2">
        <v>150</v>
      </c>
      <c r="H691" s="2" t="s">
        <v>7143</v>
      </c>
      <c r="K691" s="2">
        <v>0.15</v>
      </c>
      <c r="L691" s="2">
        <v>0.6</v>
      </c>
      <c r="M691" s="2" t="s">
        <v>8680</v>
      </c>
      <c r="O691" s="2">
        <v>2012</v>
      </c>
      <c r="P691" s="2">
        <v>2012</v>
      </c>
      <c r="Q691" s="2" t="s">
        <v>8681</v>
      </c>
      <c r="S691" s="2">
        <v>30</v>
      </c>
      <c r="T691" s="2" t="s">
        <v>7143</v>
      </c>
    </row>
    <row r="692" spans="2:20">
      <c r="B692" s="2" t="s">
        <v>2536</v>
      </c>
      <c r="C692" s="2" t="s">
        <v>6498</v>
      </c>
      <c r="D692" s="19" t="s">
        <v>8682</v>
      </c>
      <c r="E692" s="2">
        <v>0.5</v>
      </c>
      <c r="G692" s="2">
        <v>500</v>
      </c>
      <c r="H692" s="2" t="s">
        <v>7143</v>
      </c>
      <c r="K692" s="2">
        <v>0.2</v>
      </c>
      <c r="L692" s="2">
        <v>0.4</v>
      </c>
      <c r="M692" s="2" t="s">
        <v>8678</v>
      </c>
      <c r="O692" s="2">
        <v>2013</v>
      </c>
      <c r="P692" s="2">
        <v>2013</v>
      </c>
      <c r="Q692" s="2" t="s">
        <v>8683</v>
      </c>
      <c r="S692" s="2">
        <v>6</v>
      </c>
      <c r="T692" s="2" t="s">
        <v>7143</v>
      </c>
    </row>
    <row r="693" spans="2:20">
      <c r="B693" s="2" t="s">
        <v>2540</v>
      </c>
      <c r="C693" s="2" t="s">
        <v>6499</v>
      </c>
      <c r="D693" s="19" t="s">
        <v>8682</v>
      </c>
      <c r="E693" s="2">
        <v>0.22</v>
      </c>
      <c r="G693" s="2">
        <v>250</v>
      </c>
      <c r="H693" s="2" t="s">
        <v>7143</v>
      </c>
      <c r="K693" s="2">
        <v>0.22</v>
      </c>
      <c r="L693" s="2">
        <v>0.3</v>
      </c>
      <c r="M693" s="2" t="s">
        <v>8678</v>
      </c>
      <c r="O693" s="2">
        <v>2018</v>
      </c>
      <c r="P693" s="2">
        <v>2018</v>
      </c>
      <c r="Q693" s="2" t="s">
        <v>8683</v>
      </c>
      <c r="S693" s="2">
        <v>30</v>
      </c>
      <c r="T693" s="2" t="s">
        <v>7143</v>
      </c>
    </row>
    <row r="694" spans="2:20">
      <c r="B694" s="2" t="s">
        <v>2544</v>
      </c>
      <c r="C694" s="2" t="s">
        <v>6500</v>
      </c>
      <c r="D694" s="19" t="s">
        <v>8682</v>
      </c>
      <c r="E694" s="2">
        <v>1</v>
      </c>
      <c r="G694" s="2">
        <v>1000</v>
      </c>
      <c r="H694" s="2" t="s">
        <v>7143</v>
      </c>
      <c r="K694" s="2">
        <v>1</v>
      </c>
      <c r="L694" s="2">
        <v>1.5</v>
      </c>
      <c r="M694" s="2" t="s">
        <v>8678</v>
      </c>
      <c r="O694" s="2">
        <v>2013</v>
      </c>
      <c r="P694" s="2">
        <v>2013</v>
      </c>
      <c r="Q694" s="2" t="s">
        <v>8683</v>
      </c>
      <c r="S694" s="2">
        <v>25</v>
      </c>
      <c r="T694" s="2" t="s">
        <v>7143</v>
      </c>
    </row>
    <row r="695" spans="2:20">
      <c r="B695" s="2" t="s">
        <v>1261</v>
      </c>
      <c r="C695" s="2" t="s">
        <v>6501</v>
      </c>
      <c r="D695" s="19" t="s">
        <v>8682</v>
      </c>
      <c r="E695" s="2">
        <v>2.5</v>
      </c>
      <c r="F695" s="2">
        <v>0</v>
      </c>
      <c r="G695" s="2">
        <v>2500</v>
      </c>
      <c r="H695" s="2" t="s">
        <v>7142</v>
      </c>
      <c r="I695" s="2" t="s">
        <v>8717</v>
      </c>
      <c r="K695" s="2">
        <v>2.5</v>
      </c>
      <c r="L695" s="2">
        <v>9</v>
      </c>
      <c r="M695" s="2" t="s">
        <v>8680</v>
      </c>
      <c r="O695" s="2">
        <v>2003</v>
      </c>
      <c r="P695" s="2">
        <v>2003</v>
      </c>
      <c r="Q695" s="2" t="s">
        <v>8683</v>
      </c>
      <c r="S695" s="2">
        <v>20</v>
      </c>
      <c r="T695" s="2" t="s">
        <v>7143</v>
      </c>
    </row>
    <row r="696" spans="2:20">
      <c r="B696" s="2" t="s">
        <v>1261</v>
      </c>
      <c r="C696" s="2" t="s">
        <v>6502</v>
      </c>
      <c r="D696" s="19" t="s">
        <v>8685</v>
      </c>
      <c r="E696" s="2">
        <v>0.3</v>
      </c>
      <c r="F696" s="2">
        <v>0</v>
      </c>
      <c r="G696" s="2">
        <v>300</v>
      </c>
      <c r="H696" s="2" t="s">
        <v>7142</v>
      </c>
      <c r="I696" s="2" t="s">
        <v>8692</v>
      </c>
      <c r="K696" s="2">
        <v>0.3</v>
      </c>
      <c r="L696" s="2">
        <v>1</v>
      </c>
      <c r="M696" s="2" t="s">
        <v>8680</v>
      </c>
      <c r="O696" s="2">
        <v>1995</v>
      </c>
      <c r="P696" s="2">
        <v>2020</v>
      </c>
      <c r="Q696" s="2" t="s">
        <v>8679</v>
      </c>
      <c r="S696" s="2">
        <v>20</v>
      </c>
      <c r="T696" s="2" t="s">
        <v>7143</v>
      </c>
    </row>
    <row r="697" spans="2:20">
      <c r="B697" s="2" t="s">
        <v>1261</v>
      </c>
      <c r="C697" s="2" t="s">
        <v>6503</v>
      </c>
      <c r="D697" s="19" t="s">
        <v>8684</v>
      </c>
      <c r="E697" s="2">
        <v>1.2</v>
      </c>
      <c r="F697" s="2">
        <v>0</v>
      </c>
      <c r="G697" s="2">
        <v>1200</v>
      </c>
      <c r="H697" s="2" t="s">
        <v>7142</v>
      </c>
      <c r="I697" s="2" t="s">
        <v>8717</v>
      </c>
      <c r="K697" s="2">
        <v>1.2</v>
      </c>
      <c r="L697" s="2">
        <v>4</v>
      </c>
      <c r="M697" s="2" t="s">
        <v>8680</v>
      </c>
      <c r="O697" s="2">
        <v>1995</v>
      </c>
      <c r="P697" s="2">
        <v>2009</v>
      </c>
      <c r="Q697" s="2" t="s">
        <v>8679</v>
      </c>
      <c r="S697" s="2">
        <v>20</v>
      </c>
      <c r="T697" s="2" t="s">
        <v>7143</v>
      </c>
    </row>
    <row r="698" spans="2:20">
      <c r="B698" s="2" t="s">
        <v>478</v>
      </c>
      <c r="C698" s="2" t="s">
        <v>6504</v>
      </c>
      <c r="D698" s="19" t="s">
        <v>8682</v>
      </c>
      <c r="E698" s="2">
        <v>1</v>
      </c>
      <c r="F698" s="2">
        <v>0</v>
      </c>
      <c r="G698" s="2">
        <v>1100</v>
      </c>
      <c r="H698" s="2" t="s">
        <v>7143</v>
      </c>
      <c r="I698" s="2"/>
      <c r="J698" s="2"/>
      <c r="K698" s="2">
        <v>1</v>
      </c>
      <c r="L698" s="2">
        <v>3</v>
      </c>
      <c r="M698" s="2" t="s">
        <v>8680</v>
      </c>
      <c r="O698" s="2">
        <v>2014</v>
      </c>
      <c r="P698" s="2">
        <v>2014</v>
      </c>
      <c r="Q698" s="2" t="s">
        <v>8681</v>
      </c>
      <c r="S698" s="2">
        <v>20</v>
      </c>
      <c r="T698" s="2" t="s">
        <v>7142</v>
      </c>
    </row>
    <row r="699" spans="2:20">
      <c r="B699" s="2" t="s">
        <v>2226</v>
      </c>
      <c r="C699" s="2" t="s">
        <v>6505</v>
      </c>
      <c r="D699" s="19" t="s">
        <v>8699</v>
      </c>
      <c r="E699" s="2">
        <v>0.2</v>
      </c>
      <c r="F699" s="2">
        <v>0</v>
      </c>
      <c r="G699" s="2">
        <v>200</v>
      </c>
      <c r="H699" s="2" t="s">
        <v>7143</v>
      </c>
      <c r="I699" s="2" t="s">
        <v>8690</v>
      </c>
      <c r="J699" s="2" t="s">
        <v>188</v>
      </c>
      <c r="K699" s="2">
        <v>0.2</v>
      </c>
      <c r="L699" s="2">
        <v>0.3</v>
      </c>
      <c r="M699" s="2" t="s">
        <v>8680</v>
      </c>
      <c r="O699" s="2">
        <v>2017</v>
      </c>
      <c r="P699" s="2">
        <v>2017</v>
      </c>
      <c r="Q699" s="2" t="s">
        <v>8679</v>
      </c>
      <c r="S699" s="2">
        <v>10</v>
      </c>
      <c r="T699" s="2" t="s">
        <v>7143</v>
      </c>
    </row>
    <row r="700" spans="2:20">
      <c r="B700" s="2" t="s">
        <v>2226</v>
      </c>
      <c r="C700" s="2" t="s">
        <v>6506</v>
      </c>
      <c r="D700" s="19" t="s">
        <v>8708</v>
      </c>
      <c r="E700" s="2">
        <v>0.1</v>
      </c>
      <c r="F700" s="2">
        <v>0</v>
      </c>
      <c r="G700" s="2">
        <v>100</v>
      </c>
      <c r="H700" s="2" t="s">
        <v>7143</v>
      </c>
      <c r="I700" s="2" t="s">
        <v>8690</v>
      </c>
      <c r="J700" s="2" t="s">
        <v>188</v>
      </c>
      <c r="K700" s="2">
        <v>0</v>
      </c>
      <c r="L700" s="2">
        <v>0</v>
      </c>
      <c r="M700" s="2" t="s">
        <v>8680</v>
      </c>
      <c r="O700" s="2">
        <v>2012</v>
      </c>
      <c r="P700" s="2">
        <v>2025</v>
      </c>
      <c r="Q700" s="2" t="s">
        <v>8679</v>
      </c>
      <c r="S700" s="2">
        <v>10</v>
      </c>
      <c r="T700" s="2" t="s">
        <v>7143</v>
      </c>
    </row>
    <row r="701" spans="2:20">
      <c r="B701" s="2" t="s">
        <v>2226</v>
      </c>
      <c r="C701" s="2" t="s">
        <v>6507</v>
      </c>
      <c r="D701" s="19" t="s">
        <v>8684</v>
      </c>
      <c r="E701" s="2">
        <v>0.48</v>
      </c>
      <c r="F701" s="2">
        <v>0</v>
      </c>
      <c r="G701" s="2">
        <v>480</v>
      </c>
      <c r="H701" s="2" t="s">
        <v>7143</v>
      </c>
      <c r="I701" s="2" t="s">
        <v>8690</v>
      </c>
      <c r="J701" s="2" t="s">
        <v>188</v>
      </c>
      <c r="K701" s="2">
        <v>0.48</v>
      </c>
      <c r="L701" s="2">
        <v>1.3</v>
      </c>
      <c r="M701" s="2" t="s">
        <v>8678</v>
      </c>
      <c r="O701" s="2">
        <v>2012</v>
      </c>
      <c r="P701" s="2">
        <v>2012</v>
      </c>
      <c r="Q701" s="2" t="s">
        <v>8681</v>
      </c>
      <c r="S701" s="2">
        <v>10</v>
      </c>
      <c r="T701" s="2" t="s">
        <v>7143</v>
      </c>
    </row>
    <row r="702" spans="2:20">
      <c r="B702" s="2" t="s">
        <v>2226</v>
      </c>
      <c r="C702" s="2" t="s">
        <v>6508</v>
      </c>
      <c r="D702" s="19" t="s">
        <v>8682</v>
      </c>
      <c r="E702" s="2">
        <v>0.3</v>
      </c>
      <c r="F702" s="2">
        <v>0</v>
      </c>
      <c r="G702" s="2">
        <v>330</v>
      </c>
      <c r="H702" s="2" t="s">
        <v>7143</v>
      </c>
      <c r="I702" s="2" t="s">
        <v>8690</v>
      </c>
      <c r="J702" s="2" t="s">
        <v>188</v>
      </c>
      <c r="K702" s="2">
        <v>0.3</v>
      </c>
      <c r="L702" s="2">
        <v>0.5</v>
      </c>
      <c r="M702" s="2" t="s">
        <v>8678</v>
      </c>
      <c r="O702" s="2">
        <v>2021</v>
      </c>
      <c r="P702" s="2">
        <v>2021</v>
      </c>
      <c r="Q702" s="2" t="s">
        <v>8679</v>
      </c>
      <c r="S702" s="2">
        <v>10</v>
      </c>
      <c r="T702" s="2" t="s">
        <v>7143</v>
      </c>
    </row>
    <row r="703" spans="2:20">
      <c r="B703" s="2" t="s">
        <v>2226</v>
      </c>
      <c r="C703" s="2" t="s">
        <v>6509</v>
      </c>
      <c r="D703" s="19" t="s">
        <v>8685</v>
      </c>
      <c r="E703" s="2">
        <v>0.3</v>
      </c>
      <c r="F703" s="2">
        <v>0</v>
      </c>
      <c r="G703" s="2">
        <v>320</v>
      </c>
      <c r="H703" s="2" t="s">
        <v>7143</v>
      </c>
      <c r="I703" s="2" t="s">
        <v>8690</v>
      </c>
      <c r="J703" s="2" t="s">
        <v>188</v>
      </c>
      <c r="K703" s="2">
        <v>0.3</v>
      </c>
      <c r="L703" s="2">
        <v>0.5</v>
      </c>
      <c r="M703" s="2" t="s">
        <v>8678</v>
      </c>
      <c r="O703" s="2">
        <v>2012</v>
      </c>
      <c r="P703" s="2">
        <v>2022</v>
      </c>
      <c r="Q703" s="2" t="s">
        <v>8679</v>
      </c>
      <c r="S703" s="2">
        <v>10</v>
      </c>
      <c r="T703" s="2" t="s">
        <v>7143</v>
      </c>
    </row>
    <row r="704" spans="2:20">
      <c r="B704" s="2" t="s">
        <v>2189</v>
      </c>
      <c r="C704" s="2" t="s">
        <v>6510</v>
      </c>
      <c r="D704" s="19" t="s">
        <v>8682</v>
      </c>
      <c r="E704" s="2">
        <v>0.24</v>
      </c>
      <c r="F704" s="2">
        <v>0</v>
      </c>
      <c r="G704" s="2">
        <v>150</v>
      </c>
      <c r="H704" s="2" t="s">
        <v>7143</v>
      </c>
      <c r="I704" s="2" t="s">
        <v>8690</v>
      </c>
      <c r="J704" s="2" t="s">
        <v>188</v>
      </c>
      <c r="K704" s="2">
        <v>0.24</v>
      </c>
      <c r="L704" s="2">
        <v>0.24</v>
      </c>
      <c r="M704" s="2" t="s">
        <v>8680</v>
      </c>
      <c r="O704" s="2">
        <v>2020</v>
      </c>
      <c r="P704" s="2">
        <v>2024</v>
      </c>
      <c r="Q704" s="2" t="s">
        <v>8679</v>
      </c>
      <c r="S704" s="2">
        <v>10</v>
      </c>
      <c r="T704" s="2" t="s">
        <v>7143</v>
      </c>
    </row>
    <row r="705" spans="2:20">
      <c r="B705" s="2" t="s">
        <v>1299</v>
      </c>
      <c r="C705" s="2" t="s">
        <v>6511</v>
      </c>
      <c r="D705" s="19" t="s">
        <v>8682</v>
      </c>
      <c r="E705" s="2">
        <v>3</v>
      </c>
      <c r="F705" s="2">
        <v>0</v>
      </c>
      <c r="G705" s="2">
        <v>3000</v>
      </c>
      <c r="H705" s="2" t="s">
        <v>7142</v>
      </c>
      <c r="I705" s="2" t="s">
        <v>8711</v>
      </c>
      <c r="K705" s="2">
        <v>3</v>
      </c>
      <c r="L705" s="2">
        <v>12</v>
      </c>
      <c r="M705" s="2" t="s">
        <v>8680</v>
      </c>
      <c r="O705" s="2">
        <v>1995</v>
      </c>
      <c r="P705" s="2">
        <v>1995</v>
      </c>
      <c r="Q705" s="2" t="s">
        <v>8681</v>
      </c>
      <c r="S705" s="2">
        <v>8</v>
      </c>
      <c r="T705" s="2" t="s">
        <v>7143</v>
      </c>
    </row>
    <row r="706" spans="2:20">
      <c r="B706" s="2" t="s">
        <v>2164</v>
      </c>
      <c r="C706" s="2" t="s">
        <v>6512</v>
      </c>
      <c r="D706" s="19" t="s">
        <v>8685</v>
      </c>
      <c r="E706" s="2">
        <v>0.1</v>
      </c>
      <c r="G706" s="2">
        <v>120</v>
      </c>
      <c r="H706" s="2" t="s">
        <v>7143</v>
      </c>
      <c r="K706" s="2">
        <v>0.1</v>
      </c>
      <c r="L706" s="2">
        <v>0.2</v>
      </c>
      <c r="M706" s="2" t="s">
        <v>8680</v>
      </c>
      <c r="O706" s="2">
        <v>2018</v>
      </c>
      <c r="P706" s="2">
        <v>2018</v>
      </c>
      <c r="Q706" s="2" t="s">
        <v>8679</v>
      </c>
      <c r="S706" s="2">
        <v>15</v>
      </c>
      <c r="T706" s="2" t="s">
        <v>7142</v>
      </c>
    </row>
    <row r="707" spans="2:20">
      <c r="B707" s="2" t="s">
        <v>2164</v>
      </c>
      <c r="C707" s="2" t="s">
        <v>6513</v>
      </c>
      <c r="D707" s="19" t="s">
        <v>8682</v>
      </c>
      <c r="E707" s="2">
        <v>0.8</v>
      </c>
      <c r="G707" s="2">
        <v>950</v>
      </c>
      <c r="H707" s="2" t="s">
        <v>7142</v>
      </c>
      <c r="I707" s="2" t="s">
        <v>8690</v>
      </c>
      <c r="J707" s="2" t="s">
        <v>5867</v>
      </c>
      <c r="K707" s="2">
        <v>0</v>
      </c>
      <c r="L707" s="2">
        <v>0</v>
      </c>
      <c r="M707" s="2" t="s">
        <v>8680</v>
      </c>
      <c r="O707" s="2">
        <v>2018</v>
      </c>
      <c r="P707" s="2">
        <v>2024</v>
      </c>
      <c r="Q707" s="2" t="s">
        <v>8679</v>
      </c>
      <c r="S707" s="2">
        <v>15</v>
      </c>
      <c r="T707" s="2" t="s">
        <v>7142</v>
      </c>
    </row>
    <row r="708" spans="2:20">
      <c r="B708" s="2" t="s">
        <v>2164</v>
      </c>
      <c r="C708" s="2" t="s">
        <v>6514</v>
      </c>
      <c r="D708" s="19" t="s">
        <v>8684</v>
      </c>
      <c r="E708" s="2">
        <v>0.6</v>
      </c>
      <c r="F708" s="2">
        <v>0</v>
      </c>
      <c r="G708" s="2">
        <v>600</v>
      </c>
      <c r="H708" s="2" t="s">
        <v>7142</v>
      </c>
      <c r="I708" s="2" t="s">
        <v>8687</v>
      </c>
      <c r="K708" s="2">
        <v>0.6</v>
      </c>
      <c r="L708" s="2">
        <v>1.4</v>
      </c>
      <c r="M708" s="2" t="s">
        <v>8680</v>
      </c>
      <c r="O708" s="2">
        <v>2018</v>
      </c>
      <c r="P708" s="2">
        <v>2018</v>
      </c>
      <c r="Q708" s="2" t="s">
        <v>8679</v>
      </c>
      <c r="S708" s="2">
        <v>15</v>
      </c>
      <c r="T708" s="2" t="s">
        <v>7142</v>
      </c>
    </row>
    <row r="709" spans="2:20">
      <c r="B709" s="2" t="s">
        <v>1344</v>
      </c>
      <c r="C709" s="2" t="s">
        <v>6515</v>
      </c>
      <c r="D709" s="19" t="s">
        <v>8684</v>
      </c>
      <c r="E709" s="2">
        <v>0.5</v>
      </c>
      <c r="F709" s="2">
        <v>0</v>
      </c>
      <c r="G709" s="2">
        <v>500</v>
      </c>
      <c r="H709" s="2" t="s">
        <v>7142</v>
      </c>
      <c r="I709" s="2" t="s">
        <v>8686</v>
      </c>
      <c r="K709" s="2">
        <v>0</v>
      </c>
      <c r="L709" s="2">
        <v>0</v>
      </c>
      <c r="M709" s="2" t="s">
        <v>8678</v>
      </c>
      <c r="O709" s="2">
        <v>1995</v>
      </c>
      <c r="P709" s="2">
        <v>2024</v>
      </c>
      <c r="Q709" s="2" t="s">
        <v>8679</v>
      </c>
      <c r="S709" s="2">
        <v>30</v>
      </c>
      <c r="T709" s="2" t="s">
        <v>7143</v>
      </c>
    </row>
    <row r="710" spans="2:20">
      <c r="B710" s="2" t="s">
        <v>1344</v>
      </c>
      <c r="C710" s="2" t="s">
        <v>6516</v>
      </c>
      <c r="D710" s="19" t="s">
        <v>8682</v>
      </c>
      <c r="E710" s="2">
        <v>2</v>
      </c>
      <c r="F710" s="2">
        <v>0</v>
      </c>
      <c r="G710" s="2">
        <v>1800</v>
      </c>
      <c r="H710" s="2" t="s">
        <v>7142</v>
      </c>
      <c r="I710" s="2" t="s">
        <v>8686</v>
      </c>
      <c r="K710" s="2">
        <v>2</v>
      </c>
      <c r="L710" s="2">
        <v>12</v>
      </c>
      <c r="M710" s="2" t="s">
        <v>8680</v>
      </c>
      <c r="O710" s="2">
        <v>1995</v>
      </c>
      <c r="P710" s="2">
        <v>2012</v>
      </c>
      <c r="Q710" s="2" t="s">
        <v>8679</v>
      </c>
      <c r="S710" s="2">
        <v>30</v>
      </c>
      <c r="T710" s="2" t="s">
        <v>7143</v>
      </c>
    </row>
    <row r="711" spans="2:20">
      <c r="B711" s="2" t="s">
        <v>2148</v>
      </c>
      <c r="C711" s="2" t="s">
        <v>6517</v>
      </c>
      <c r="D711" s="19" t="s">
        <v>8685</v>
      </c>
      <c r="E711" s="2">
        <v>0.25</v>
      </c>
      <c r="G711" s="2">
        <v>220</v>
      </c>
      <c r="H711" s="2" t="s">
        <v>7143</v>
      </c>
      <c r="K711" s="2">
        <v>0</v>
      </c>
      <c r="L711" s="2">
        <v>0</v>
      </c>
      <c r="M711" s="2" t="s">
        <v>8680</v>
      </c>
      <c r="O711" s="2">
        <v>2007</v>
      </c>
      <c r="P711" s="2">
        <v>2024</v>
      </c>
      <c r="Q711" s="2" t="s">
        <v>8679</v>
      </c>
      <c r="S711" s="2">
        <v>15</v>
      </c>
      <c r="T711" s="2" t="s">
        <v>7143</v>
      </c>
    </row>
    <row r="712" spans="2:20">
      <c r="B712" s="2" t="s">
        <v>2148</v>
      </c>
      <c r="C712" s="2" t="s">
        <v>6518</v>
      </c>
      <c r="D712" s="19" t="s">
        <v>8684</v>
      </c>
      <c r="E712" s="2">
        <v>0.3</v>
      </c>
      <c r="G712" s="2">
        <v>300</v>
      </c>
      <c r="H712" s="2" t="s">
        <v>7143</v>
      </c>
      <c r="K712" s="2">
        <v>0</v>
      </c>
      <c r="L712" s="2">
        <v>0</v>
      </c>
      <c r="M712" s="2" t="s">
        <v>8680</v>
      </c>
      <c r="O712" s="2">
        <v>2007</v>
      </c>
      <c r="P712" s="2">
        <v>2024</v>
      </c>
      <c r="Q712" s="2" t="s">
        <v>8679</v>
      </c>
      <c r="S712" s="2">
        <v>15</v>
      </c>
      <c r="T712" s="2" t="s">
        <v>7143</v>
      </c>
    </row>
    <row r="713" spans="2:20">
      <c r="B713" s="2" t="s">
        <v>2148</v>
      </c>
      <c r="C713" s="2" t="s">
        <v>6519</v>
      </c>
      <c r="D713" s="19" t="s">
        <v>8682</v>
      </c>
      <c r="E713" s="2">
        <v>0.45</v>
      </c>
      <c r="G713" s="2">
        <v>700</v>
      </c>
      <c r="H713" s="2" t="s">
        <v>7143</v>
      </c>
      <c r="K713" s="2">
        <v>0</v>
      </c>
      <c r="L713" s="2">
        <v>0</v>
      </c>
      <c r="M713" s="2" t="s">
        <v>8680</v>
      </c>
      <c r="O713" s="2">
        <v>2007</v>
      </c>
      <c r="P713" s="2">
        <v>2025</v>
      </c>
      <c r="Q713" s="2" t="s">
        <v>8679</v>
      </c>
      <c r="S713" s="2">
        <v>15</v>
      </c>
      <c r="T713" s="2" t="s">
        <v>7143</v>
      </c>
    </row>
    <row r="714" spans="2:20">
      <c r="B714" s="2" t="s">
        <v>1371</v>
      </c>
      <c r="C714" s="2" t="s">
        <v>6520</v>
      </c>
      <c r="D714" s="19" t="s">
        <v>8682</v>
      </c>
      <c r="E714" s="2">
        <v>1</v>
      </c>
      <c r="F714" s="2">
        <v>0</v>
      </c>
      <c r="G714" s="2">
        <v>1000</v>
      </c>
      <c r="H714" s="2" t="s">
        <v>7142</v>
      </c>
      <c r="I714" s="2" t="s">
        <v>8686</v>
      </c>
      <c r="K714" s="2">
        <v>1</v>
      </c>
      <c r="L714" s="2">
        <v>4</v>
      </c>
      <c r="M714" s="2" t="s">
        <v>8680</v>
      </c>
      <c r="O714" s="2">
        <v>1995</v>
      </c>
      <c r="P714" s="2">
        <v>2015</v>
      </c>
      <c r="Q714" s="2" t="s">
        <v>8679</v>
      </c>
      <c r="S714" s="2">
        <v>20</v>
      </c>
      <c r="T714" s="2" t="s">
        <v>7143</v>
      </c>
    </row>
    <row r="715" spans="2:20">
      <c r="B715" s="2" t="s">
        <v>1371</v>
      </c>
      <c r="C715" s="2" t="s">
        <v>6521</v>
      </c>
      <c r="D715" s="19" t="s">
        <v>8684</v>
      </c>
      <c r="E715" s="2">
        <v>0.5</v>
      </c>
      <c r="F715" s="2">
        <v>0</v>
      </c>
      <c r="G715" s="2">
        <v>500</v>
      </c>
      <c r="H715" s="2" t="s">
        <v>7143</v>
      </c>
      <c r="K715" s="2">
        <v>0.5</v>
      </c>
      <c r="L715" s="2">
        <v>1.5</v>
      </c>
      <c r="M715" s="2" t="s">
        <v>8680</v>
      </c>
      <c r="O715" s="2">
        <v>1995</v>
      </c>
      <c r="P715" s="2">
        <v>2019</v>
      </c>
      <c r="Q715" s="2" t="s">
        <v>8679</v>
      </c>
      <c r="S715" s="2">
        <v>20</v>
      </c>
      <c r="T715" s="2" t="s">
        <v>7143</v>
      </c>
    </row>
    <row r="716" spans="2:20">
      <c r="B716" s="2" t="s">
        <v>1371</v>
      </c>
      <c r="C716" s="2" t="s">
        <v>6522</v>
      </c>
      <c r="D716" s="19" t="s">
        <v>8708</v>
      </c>
      <c r="E716" s="2">
        <v>0.6</v>
      </c>
      <c r="F716" s="2">
        <v>0</v>
      </c>
      <c r="G716" s="2">
        <v>600</v>
      </c>
      <c r="H716" s="2" t="s">
        <v>7143</v>
      </c>
      <c r="K716" s="2">
        <v>0</v>
      </c>
      <c r="L716" s="2">
        <v>0</v>
      </c>
      <c r="M716" s="2" t="s">
        <v>8680</v>
      </c>
      <c r="O716" s="2">
        <v>1995</v>
      </c>
      <c r="P716" s="2">
        <v>2025</v>
      </c>
      <c r="Q716" s="2" t="s">
        <v>8679</v>
      </c>
      <c r="S716" s="2">
        <v>20</v>
      </c>
      <c r="T716" s="2" t="s">
        <v>7143</v>
      </c>
    </row>
    <row r="717" spans="2:20">
      <c r="B717" s="2" t="s">
        <v>1371</v>
      </c>
      <c r="C717" s="2" t="s">
        <v>6523</v>
      </c>
      <c r="D717" s="19" t="s">
        <v>8685</v>
      </c>
      <c r="E717" s="2">
        <v>0.4</v>
      </c>
      <c r="F717" s="2">
        <v>0</v>
      </c>
      <c r="G717" s="2">
        <v>400</v>
      </c>
      <c r="H717" s="2" t="s">
        <v>7143</v>
      </c>
      <c r="K717" s="2">
        <v>0.4</v>
      </c>
      <c r="L717" s="2">
        <v>1.2</v>
      </c>
      <c r="M717" s="2" t="s">
        <v>8680</v>
      </c>
      <c r="O717" s="2">
        <v>1995</v>
      </c>
      <c r="P717" s="2">
        <v>2010</v>
      </c>
      <c r="Q717" s="2" t="s">
        <v>8679</v>
      </c>
      <c r="S717" s="2">
        <v>20</v>
      </c>
      <c r="T717" s="2" t="s">
        <v>7143</v>
      </c>
    </row>
    <row r="718" spans="2:20">
      <c r="B718" s="2" t="s">
        <v>1371</v>
      </c>
      <c r="C718" s="2" t="s">
        <v>6524</v>
      </c>
      <c r="D718" s="19" t="s">
        <v>8699</v>
      </c>
      <c r="E718" s="2">
        <v>0.5</v>
      </c>
      <c r="F718" s="2">
        <v>0</v>
      </c>
      <c r="G718" s="2">
        <v>500</v>
      </c>
      <c r="H718" s="2" t="s">
        <v>7143</v>
      </c>
      <c r="K718" s="2">
        <v>0.5</v>
      </c>
      <c r="L718" s="2">
        <v>1.3</v>
      </c>
      <c r="M718" s="2" t="s">
        <v>8680</v>
      </c>
      <c r="O718" s="2">
        <v>1995</v>
      </c>
      <c r="P718" s="2">
        <v>2019</v>
      </c>
      <c r="Q718" s="2" t="s">
        <v>8679</v>
      </c>
      <c r="S718" s="2">
        <v>22</v>
      </c>
      <c r="T718" s="2" t="s">
        <v>7143</v>
      </c>
    </row>
    <row r="719" spans="2:20">
      <c r="B719" s="2" t="s">
        <v>2137</v>
      </c>
      <c r="C719" s="2" t="s">
        <v>6525</v>
      </c>
      <c r="D719" s="19" t="s">
        <v>8682</v>
      </c>
      <c r="E719" s="2">
        <v>0.8</v>
      </c>
      <c r="G719" s="2">
        <v>850</v>
      </c>
      <c r="H719" s="2" t="s">
        <v>7142</v>
      </c>
      <c r="I719" s="2" t="s">
        <v>8690</v>
      </c>
      <c r="J719" s="2" t="s">
        <v>5867</v>
      </c>
      <c r="K719" s="2">
        <v>0.8</v>
      </c>
      <c r="L719" s="2">
        <v>3.2</v>
      </c>
      <c r="M719" s="2" t="s">
        <v>8680</v>
      </c>
      <c r="O719" s="2">
        <v>1995</v>
      </c>
      <c r="P719" s="2">
        <v>2022</v>
      </c>
      <c r="Q719" s="2" t="s">
        <v>8679</v>
      </c>
      <c r="S719" s="2">
        <v>15</v>
      </c>
      <c r="T719" s="2" t="s">
        <v>7142</v>
      </c>
    </row>
    <row r="720" spans="2:20">
      <c r="B720" s="2" t="s">
        <v>2137</v>
      </c>
      <c r="C720" s="2" t="s">
        <v>6526</v>
      </c>
      <c r="D720" s="19" t="s">
        <v>8684</v>
      </c>
      <c r="E720" s="2">
        <v>0.6</v>
      </c>
      <c r="G720" s="2">
        <v>400</v>
      </c>
      <c r="H720" s="2" t="s">
        <v>7143</v>
      </c>
      <c r="K720" s="2">
        <v>0.6</v>
      </c>
      <c r="L720" s="2">
        <v>1.5</v>
      </c>
      <c r="M720" s="2" t="s">
        <v>8680</v>
      </c>
      <c r="O720" s="2">
        <v>2008</v>
      </c>
      <c r="P720" s="2">
        <v>2008</v>
      </c>
      <c r="Q720" s="2" t="s">
        <v>8681</v>
      </c>
      <c r="S720" s="2">
        <v>15</v>
      </c>
      <c r="T720" s="2" t="s">
        <v>7142</v>
      </c>
    </row>
    <row r="721" spans="2:20">
      <c r="B721" s="2" t="s">
        <v>1404</v>
      </c>
      <c r="C721" s="2" t="s">
        <v>6527</v>
      </c>
      <c r="D721" s="19" t="s">
        <v>8685</v>
      </c>
      <c r="E721" s="2">
        <v>0.2</v>
      </c>
      <c r="F721" s="2">
        <v>0</v>
      </c>
      <c r="G721" s="2">
        <v>200</v>
      </c>
      <c r="H721" s="2" t="s">
        <v>7143</v>
      </c>
      <c r="K721" s="2">
        <v>0.2</v>
      </c>
      <c r="L721" s="2">
        <v>1</v>
      </c>
      <c r="M721" s="2" t="s">
        <v>8680</v>
      </c>
      <c r="O721" s="2">
        <v>2009</v>
      </c>
      <c r="P721" s="2">
        <v>2009</v>
      </c>
      <c r="Q721" s="2" t="s">
        <v>8681</v>
      </c>
      <c r="S721" s="2">
        <v>20</v>
      </c>
      <c r="T721" s="2" t="s">
        <v>7143</v>
      </c>
    </row>
    <row r="722" spans="2:20">
      <c r="B722" s="2" t="s">
        <v>2135</v>
      </c>
      <c r="C722" s="2" t="s">
        <v>6528</v>
      </c>
      <c r="D722" s="19" t="s">
        <v>8682</v>
      </c>
      <c r="E722" s="2">
        <v>0.15</v>
      </c>
      <c r="G722" s="2">
        <v>100</v>
      </c>
      <c r="H722" s="2" t="s">
        <v>7143</v>
      </c>
      <c r="K722" s="2">
        <v>0.15</v>
      </c>
      <c r="L722" s="2">
        <v>0.9</v>
      </c>
      <c r="M722" s="2" t="s">
        <v>8680</v>
      </c>
      <c r="O722" s="2">
        <v>1996</v>
      </c>
      <c r="P722" s="2">
        <v>2018</v>
      </c>
      <c r="Q722" s="2" t="s">
        <v>8679</v>
      </c>
      <c r="S722" s="2">
        <v>15</v>
      </c>
      <c r="T722" s="2" t="s">
        <v>7142</v>
      </c>
    </row>
    <row r="723" spans="2:20">
      <c r="B723" s="2" t="s">
        <v>1404</v>
      </c>
      <c r="C723" s="2" t="s">
        <v>6529</v>
      </c>
      <c r="D723" s="19" t="s">
        <v>8682</v>
      </c>
      <c r="E723" s="2">
        <v>0.7</v>
      </c>
      <c r="F723" s="2">
        <v>0</v>
      </c>
      <c r="G723" s="2">
        <v>700</v>
      </c>
      <c r="H723" s="2" t="s">
        <v>7143</v>
      </c>
      <c r="K723" s="2">
        <v>0.7</v>
      </c>
      <c r="L723" s="2">
        <v>4.5</v>
      </c>
      <c r="M723" s="2" t="s">
        <v>8680</v>
      </c>
      <c r="O723" s="2">
        <v>2003</v>
      </c>
      <c r="P723" s="2">
        <v>2018</v>
      </c>
      <c r="Q723" s="2" t="s">
        <v>8679</v>
      </c>
      <c r="S723" s="2">
        <v>20</v>
      </c>
      <c r="T723" s="2" t="s">
        <v>7143</v>
      </c>
    </row>
    <row r="724" spans="2:20">
      <c r="B724" s="2" t="s">
        <v>2135</v>
      </c>
      <c r="C724" s="2" t="s">
        <v>6530</v>
      </c>
      <c r="D724" s="19" t="s">
        <v>8684</v>
      </c>
      <c r="E724" s="2">
        <v>0.6</v>
      </c>
      <c r="G724" s="2">
        <v>800</v>
      </c>
      <c r="H724" s="2" t="s">
        <v>7143</v>
      </c>
      <c r="K724" s="2">
        <v>0.6</v>
      </c>
      <c r="L724" s="2">
        <v>3.9</v>
      </c>
      <c r="M724" s="2" t="s">
        <v>8680</v>
      </c>
      <c r="O724" s="2">
        <v>2010</v>
      </c>
      <c r="P724" s="2">
        <v>2010</v>
      </c>
      <c r="Q724" s="2" t="s">
        <v>8681</v>
      </c>
      <c r="S724" s="2">
        <v>15</v>
      </c>
      <c r="T724" s="2" t="s">
        <v>7142</v>
      </c>
    </row>
    <row r="725" spans="2:20">
      <c r="B725" s="2" t="s">
        <v>1404</v>
      </c>
      <c r="C725" s="2" t="s">
        <v>6531</v>
      </c>
      <c r="D725" s="19" t="s">
        <v>8684</v>
      </c>
      <c r="E725" s="2">
        <v>0.3</v>
      </c>
      <c r="F725" s="2">
        <v>0</v>
      </c>
      <c r="G725" s="2">
        <v>300</v>
      </c>
      <c r="H725" s="2" t="s">
        <v>7143</v>
      </c>
      <c r="K725" s="2">
        <v>0.3</v>
      </c>
      <c r="L725" s="2">
        <v>1.3</v>
      </c>
      <c r="M725" s="2" t="s">
        <v>8680</v>
      </c>
      <c r="O725" s="2">
        <v>2003</v>
      </c>
      <c r="P725" s="2">
        <v>2018</v>
      </c>
      <c r="Q725" s="2" t="s">
        <v>8679</v>
      </c>
      <c r="S725" s="2">
        <v>20</v>
      </c>
      <c r="T725" s="2" t="s">
        <v>7143</v>
      </c>
    </row>
    <row r="726" spans="2:20">
      <c r="B726" s="2" t="s">
        <v>2135</v>
      </c>
      <c r="C726" s="2" t="s">
        <v>6532</v>
      </c>
      <c r="D726" s="19" t="s">
        <v>8685</v>
      </c>
      <c r="E726" s="2">
        <v>0.6</v>
      </c>
      <c r="G726" s="2">
        <v>800</v>
      </c>
      <c r="H726" s="2" t="s">
        <v>7143</v>
      </c>
      <c r="K726" s="2">
        <v>0.6</v>
      </c>
      <c r="L726" s="2">
        <v>3.9</v>
      </c>
      <c r="M726" s="2" t="s">
        <v>8680</v>
      </c>
      <c r="O726" s="2">
        <v>2010</v>
      </c>
      <c r="P726" s="2">
        <v>2010</v>
      </c>
      <c r="Q726" s="2" t="s">
        <v>8679</v>
      </c>
      <c r="S726" s="2">
        <v>15</v>
      </c>
      <c r="T726" s="2" t="s">
        <v>7142</v>
      </c>
    </row>
    <row r="727" spans="2:20">
      <c r="B727" s="2" t="s">
        <v>2135</v>
      </c>
      <c r="C727" s="2" t="s">
        <v>6533</v>
      </c>
      <c r="D727" s="19" t="s">
        <v>8699</v>
      </c>
      <c r="E727" s="2">
        <v>0.65</v>
      </c>
      <c r="G727" s="2">
        <v>700</v>
      </c>
      <c r="H727" s="2" t="s">
        <v>7143</v>
      </c>
      <c r="K727" s="2">
        <v>0.65</v>
      </c>
      <c r="L727" s="2">
        <v>3.3</v>
      </c>
      <c r="M727" s="2" t="s">
        <v>8680</v>
      </c>
      <c r="O727" s="2">
        <v>2010</v>
      </c>
      <c r="P727" s="2">
        <v>2010</v>
      </c>
      <c r="Q727" s="2" t="s">
        <v>8679</v>
      </c>
      <c r="S727" s="2">
        <v>15</v>
      </c>
      <c r="T727" s="2" t="s">
        <v>7142</v>
      </c>
    </row>
    <row r="728" spans="2:20">
      <c r="B728" s="2" t="s">
        <v>2124</v>
      </c>
      <c r="C728" s="2" t="s">
        <v>6534</v>
      </c>
      <c r="D728" s="19" t="s">
        <v>8684</v>
      </c>
      <c r="E728" s="2">
        <v>0.3</v>
      </c>
      <c r="G728" s="2">
        <v>400</v>
      </c>
      <c r="H728" s="2" t="s">
        <v>7142</v>
      </c>
      <c r="I728" s="2" t="s">
        <v>8686</v>
      </c>
      <c r="K728" s="2">
        <v>0</v>
      </c>
      <c r="L728" s="2">
        <v>0</v>
      </c>
      <c r="M728" s="2" t="s">
        <v>8680</v>
      </c>
      <c r="O728" s="2">
        <v>2025</v>
      </c>
      <c r="P728" s="2">
        <v>2025</v>
      </c>
      <c r="Q728" s="2" t="s">
        <v>8681</v>
      </c>
      <c r="S728" s="2">
        <v>15</v>
      </c>
      <c r="T728" s="2" t="s">
        <v>7142</v>
      </c>
    </row>
    <row r="729" spans="2:20">
      <c r="B729" s="2" t="s">
        <v>2124</v>
      </c>
      <c r="C729" s="2" t="s">
        <v>6535</v>
      </c>
      <c r="D729" s="19" t="s">
        <v>8685</v>
      </c>
      <c r="E729" s="2">
        <v>0.5</v>
      </c>
      <c r="G729" s="2">
        <v>600</v>
      </c>
      <c r="H729" s="2" t="s">
        <v>7142</v>
      </c>
      <c r="I729" s="2" t="s">
        <v>8686</v>
      </c>
      <c r="K729" s="2">
        <v>0.5</v>
      </c>
      <c r="L729" s="2">
        <v>1.9</v>
      </c>
      <c r="M729" s="2" t="s">
        <v>8680</v>
      </c>
      <c r="O729" s="2">
        <v>1998</v>
      </c>
      <c r="P729" s="2">
        <v>2022</v>
      </c>
      <c r="Q729" s="2" t="s">
        <v>8679</v>
      </c>
      <c r="S729" s="2">
        <v>15</v>
      </c>
      <c r="T729" s="2" t="s">
        <v>7142</v>
      </c>
    </row>
    <row r="730" spans="2:20">
      <c r="B730" s="2" t="s">
        <v>2124</v>
      </c>
      <c r="C730" s="2" t="s">
        <v>6536</v>
      </c>
      <c r="D730" s="19" t="s">
        <v>8682</v>
      </c>
      <c r="E730" s="2">
        <v>1</v>
      </c>
      <c r="G730" s="2">
        <v>600</v>
      </c>
      <c r="H730" s="2" t="s">
        <v>7142</v>
      </c>
      <c r="I730" s="2" t="s">
        <v>8698</v>
      </c>
      <c r="J730" s="2" t="s">
        <v>5867</v>
      </c>
      <c r="K730" s="2">
        <v>1</v>
      </c>
      <c r="L730" s="2">
        <v>4.0999999999999996</v>
      </c>
      <c r="M730" s="2" t="s">
        <v>8680</v>
      </c>
      <c r="O730" s="2">
        <v>1998</v>
      </c>
      <c r="P730" s="2">
        <v>1998</v>
      </c>
      <c r="Q730" s="2" t="s">
        <v>8681</v>
      </c>
      <c r="S730" s="2">
        <v>15</v>
      </c>
      <c r="T730" s="2" t="s">
        <v>7142</v>
      </c>
    </row>
    <row r="731" spans="2:20">
      <c r="B731" s="2" t="s">
        <v>1430</v>
      </c>
      <c r="C731" s="2" t="s">
        <v>6537</v>
      </c>
      <c r="D731" s="19" t="s">
        <v>8682</v>
      </c>
      <c r="E731" s="2">
        <v>1</v>
      </c>
      <c r="F731" s="2">
        <v>0</v>
      </c>
      <c r="G731" s="2">
        <v>1000</v>
      </c>
      <c r="H731" s="2" t="s">
        <v>7143</v>
      </c>
      <c r="K731" s="2">
        <v>1</v>
      </c>
      <c r="L731" s="2">
        <v>4.5</v>
      </c>
      <c r="M731" s="2" t="s">
        <v>8680</v>
      </c>
      <c r="O731" s="2">
        <v>1995</v>
      </c>
      <c r="P731" s="2">
        <v>2010</v>
      </c>
      <c r="Q731" s="2" t="s">
        <v>8679</v>
      </c>
      <c r="S731" s="2">
        <v>20</v>
      </c>
      <c r="T731" s="2" t="s">
        <v>7143</v>
      </c>
    </row>
    <row r="732" spans="2:20">
      <c r="B732" s="2" t="s">
        <v>2114</v>
      </c>
      <c r="C732" s="2" t="s">
        <v>6538</v>
      </c>
      <c r="D732" s="19" t="s">
        <v>8682</v>
      </c>
      <c r="E732" s="2">
        <v>0.5</v>
      </c>
      <c r="G732" s="2">
        <v>500</v>
      </c>
      <c r="H732" s="2" t="s">
        <v>7143</v>
      </c>
      <c r="K732" s="2">
        <v>0</v>
      </c>
      <c r="L732" s="2">
        <v>0</v>
      </c>
      <c r="M732" s="2" t="s">
        <v>8680</v>
      </c>
      <c r="O732" s="2">
        <v>1997</v>
      </c>
      <c r="P732" s="2">
        <v>2024</v>
      </c>
      <c r="Q732" s="2" t="s">
        <v>8679</v>
      </c>
      <c r="S732" s="2">
        <v>15</v>
      </c>
      <c r="T732" s="2" t="s">
        <v>7143</v>
      </c>
    </row>
    <row r="733" spans="2:20">
      <c r="B733" s="2" t="s">
        <v>2083</v>
      </c>
      <c r="C733" s="2" t="s">
        <v>6539</v>
      </c>
      <c r="D733" s="19" t="s">
        <v>8684</v>
      </c>
      <c r="E733" s="2">
        <v>0.5</v>
      </c>
      <c r="G733" s="2">
        <v>550</v>
      </c>
      <c r="H733" s="2" t="s">
        <v>7142</v>
      </c>
      <c r="I733" s="2" t="s">
        <v>8687</v>
      </c>
      <c r="K733" s="2">
        <v>0</v>
      </c>
      <c r="L733" s="2">
        <v>0</v>
      </c>
      <c r="M733" s="2" t="s">
        <v>8680</v>
      </c>
      <c r="O733" s="2">
        <v>2024</v>
      </c>
      <c r="P733" s="2">
        <v>2024</v>
      </c>
      <c r="Q733" s="2" t="s">
        <v>8681</v>
      </c>
      <c r="S733" s="2">
        <v>15</v>
      </c>
      <c r="T733" s="2" t="s">
        <v>7142</v>
      </c>
    </row>
    <row r="734" spans="2:20">
      <c r="B734" s="2" t="s">
        <v>2083</v>
      </c>
      <c r="C734" s="2" t="s">
        <v>6540</v>
      </c>
      <c r="D734" s="19" t="s">
        <v>8699</v>
      </c>
      <c r="E734" s="2">
        <v>1.5</v>
      </c>
      <c r="G734" s="2">
        <v>3000</v>
      </c>
      <c r="H734" s="2" t="s">
        <v>7143</v>
      </c>
      <c r="K734" s="2">
        <v>0</v>
      </c>
      <c r="L734" s="2">
        <v>0</v>
      </c>
      <c r="M734" s="2" t="s">
        <v>8680</v>
      </c>
      <c r="O734" s="2">
        <v>2024</v>
      </c>
      <c r="P734" s="2">
        <v>2024</v>
      </c>
      <c r="Q734" s="2" t="s">
        <v>8681</v>
      </c>
      <c r="S734" s="2">
        <v>15</v>
      </c>
      <c r="T734" s="2" t="s">
        <v>7142</v>
      </c>
    </row>
    <row r="735" spans="2:20">
      <c r="B735" s="2" t="s">
        <v>2083</v>
      </c>
      <c r="C735" s="2" t="s">
        <v>6541</v>
      </c>
      <c r="D735" s="19" t="s">
        <v>8682</v>
      </c>
      <c r="E735" s="2">
        <v>0.5</v>
      </c>
      <c r="G735" s="2">
        <v>550</v>
      </c>
      <c r="H735" s="2" t="s">
        <v>7142</v>
      </c>
      <c r="I735" s="2" t="s">
        <v>8690</v>
      </c>
      <c r="J735" s="2" t="s">
        <v>5867</v>
      </c>
      <c r="K735" s="2">
        <v>0.6</v>
      </c>
      <c r="L735" s="2">
        <v>2.2000000000000002</v>
      </c>
      <c r="M735" s="2" t="s">
        <v>8680</v>
      </c>
      <c r="O735" s="2">
        <v>2015</v>
      </c>
      <c r="P735" s="2">
        <v>2015</v>
      </c>
      <c r="Q735" s="2" t="s">
        <v>8679</v>
      </c>
      <c r="S735" s="2">
        <v>15</v>
      </c>
      <c r="T735" s="2" t="s">
        <v>7142</v>
      </c>
    </row>
    <row r="736" spans="2:20">
      <c r="B736" s="2" t="s">
        <v>2083</v>
      </c>
      <c r="C736" s="2" t="s">
        <v>6542</v>
      </c>
      <c r="D736" s="19" t="s">
        <v>8685</v>
      </c>
      <c r="E736" s="2">
        <v>0.5</v>
      </c>
      <c r="G736" s="2">
        <v>550</v>
      </c>
      <c r="H736" s="2" t="s">
        <v>7143</v>
      </c>
      <c r="K736" s="2">
        <v>0</v>
      </c>
      <c r="L736" s="2">
        <v>0</v>
      </c>
      <c r="M736" s="2" t="s">
        <v>8680</v>
      </c>
      <c r="O736" s="2">
        <v>2024</v>
      </c>
      <c r="P736" s="2">
        <v>2024</v>
      </c>
      <c r="Q736" s="2" t="s">
        <v>8681</v>
      </c>
      <c r="S736" s="2">
        <v>15</v>
      </c>
      <c r="T736" s="2" t="s">
        <v>7142</v>
      </c>
    </row>
    <row r="737" spans="2:20">
      <c r="B737" s="2" t="s">
        <v>2083</v>
      </c>
      <c r="C737" s="2" t="s">
        <v>6543</v>
      </c>
      <c r="D737" s="19" t="s">
        <v>8708</v>
      </c>
      <c r="E737" s="2">
        <v>1</v>
      </c>
      <c r="G737" s="2">
        <v>1080</v>
      </c>
      <c r="H737" s="2" t="s">
        <v>7143</v>
      </c>
      <c r="K737" s="2">
        <v>1</v>
      </c>
      <c r="L737" s="2">
        <v>4.4000000000000004</v>
      </c>
      <c r="M737" s="2" t="s">
        <v>8700</v>
      </c>
      <c r="O737" s="2">
        <v>2016</v>
      </c>
      <c r="P737" s="2">
        <v>2016</v>
      </c>
      <c r="Q737" s="2" t="s">
        <v>8679</v>
      </c>
      <c r="S737" s="2">
        <v>15</v>
      </c>
      <c r="T737" s="2" t="s">
        <v>7142</v>
      </c>
    </row>
    <row r="738" spans="2:20">
      <c r="B738" s="2" t="s">
        <v>1443</v>
      </c>
      <c r="C738" s="2" t="s">
        <v>6544</v>
      </c>
      <c r="D738" s="19" t="s">
        <v>8682</v>
      </c>
      <c r="E738" s="2">
        <v>1.5</v>
      </c>
      <c r="F738" s="2">
        <v>0</v>
      </c>
      <c r="G738" s="2">
        <v>1300</v>
      </c>
      <c r="H738" s="2" t="s">
        <v>7142</v>
      </c>
      <c r="I738" s="2" t="s">
        <v>8687</v>
      </c>
      <c r="K738" s="2">
        <v>1.5</v>
      </c>
      <c r="L738" s="2">
        <v>7</v>
      </c>
      <c r="M738" s="2" t="s">
        <v>8680</v>
      </c>
      <c r="O738" s="2">
        <v>1995</v>
      </c>
      <c r="P738" s="2">
        <v>1995</v>
      </c>
      <c r="Q738" s="2" t="s">
        <v>8681</v>
      </c>
      <c r="S738" s="2">
        <v>30</v>
      </c>
      <c r="T738" s="2" t="s">
        <v>7143</v>
      </c>
    </row>
    <row r="739" spans="2:20">
      <c r="B739" s="2" t="s">
        <v>2073</v>
      </c>
      <c r="C739" s="2" t="s">
        <v>6545</v>
      </c>
      <c r="D739" s="19" t="s">
        <v>8682</v>
      </c>
      <c r="E739" s="2">
        <v>0.3</v>
      </c>
      <c r="G739" s="2">
        <v>600</v>
      </c>
      <c r="H739" s="2" t="s">
        <v>7143</v>
      </c>
      <c r="K739" s="2">
        <v>0.3</v>
      </c>
      <c r="L739" s="2">
        <v>2.6</v>
      </c>
      <c r="M739" s="2" t="s">
        <v>8680</v>
      </c>
      <c r="O739" s="2">
        <v>1996</v>
      </c>
      <c r="P739" s="2">
        <v>1996</v>
      </c>
      <c r="Q739" s="2" t="s">
        <v>8681</v>
      </c>
      <c r="S739" s="2">
        <v>15</v>
      </c>
      <c r="T739" s="2" t="s">
        <v>7143</v>
      </c>
    </row>
    <row r="740" spans="2:20">
      <c r="B740" s="2" t="s">
        <v>2011</v>
      </c>
      <c r="C740" s="2" t="s">
        <v>6546</v>
      </c>
      <c r="D740" s="19" t="s">
        <v>8699</v>
      </c>
      <c r="E740" s="2">
        <v>0.7</v>
      </c>
      <c r="G740" s="2">
        <v>650</v>
      </c>
      <c r="H740" s="2" t="s">
        <v>7143</v>
      </c>
      <c r="K740" s="2">
        <v>0.7</v>
      </c>
      <c r="L740" s="2">
        <v>3.6</v>
      </c>
      <c r="M740" s="2" t="s">
        <v>8680</v>
      </c>
      <c r="Q740" s="2" t="s">
        <v>8679</v>
      </c>
      <c r="S740" s="2">
        <v>15</v>
      </c>
      <c r="T740" s="2" t="s">
        <v>7142</v>
      </c>
    </row>
    <row r="741" spans="2:20">
      <c r="B741" s="2" t="s">
        <v>2011</v>
      </c>
      <c r="C741" s="2" t="s">
        <v>6547</v>
      </c>
      <c r="D741" s="19" t="s">
        <v>8685</v>
      </c>
      <c r="E741" s="2">
        <v>0.52</v>
      </c>
      <c r="G741" s="2">
        <v>500</v>
      </c>
      <c r="H741" s="2" t="s">
        <v>7143</v>
      </c>
      <c r="K741" s="2">
        <v>0.52</v>
      </c>
      <c r="L741" s="2">
        <v>2.4</v>
      </c>
      <c r="M741" s="2" t="s">
        <v>8680</v>
      </c>
      <c r="O741" s="2">
        <v>1999</v>
      </c>
      <c r="P741" s="2">
        <v>1999</v>
      </c>
      <c r="Q741" s="2" t="s">
        <v>8679</v>
      </c>
      <c r="S741" s="2">
        <v>10</v>
      </c>
      <c r="T741" s="2" t="s">
        <v>7142</v>
      </c>
    </row>
    <row r="742" spans="2:20">
      <c r="B742" s="2" t="s">
        <v>2011</v>
      </c>
      <c r="C742" s="2" t="s">
        <v>6548</v>
      </c>
      <c r="D742" s="19" t="s">
        <v>8684</v>
      </c>
      <c r="E742" s="2">
        <v>0.86</v>
      </c>
      <c r="G742" s="2">
        <v>900</v>
      </c>
      <c r="H742" s="2" t="s">
        <v>7143</v>
      </c>
      <c r="K742" s="2">
        <v>0.86</v>
      </c>
      <c r="L742" s="2">
        <v>4.3</v>
      </c>
      <c r="M742" s="2" t="s">
        <v>8680</v>
      </c>
      <c r="O742" s="2">
        <v>1999</v>
      </c>
      <c r="P742" s="2">
        <v>1999</v>
      </c>
      <c r="S742" s="2">
        <v>10</v>
      </c>
      <c r="T742" s="2" t="s">
        <v>7142</v>
      </c>
    </row>
    <row r="743" spans="2:20">
      <c r="B743" s="2" t="s">
        <v>2011</v>
      </c>
      <c r="C743" s="2" t="s">
        <v>6549</v>
      </c>
      <c r="D743" s="19" t="s">
        <v>8682</v>
      </c>
      <c r="E743" s="2">
        <v>0.6</v>
      </c>
      <c r="G743" s="2">
        <v>600</v>
      </c>
      <c r="H743" s="2" t="s">
        <v>7143</v>
      </c>
      <c r="K743" s="2">
        <v>0.6</v>
      </c>
      <c r="L743" s="2">
        <v>2</v>
      </c>
      <c r="M743" s="2" t="s">
        <v>8680</v>
      </c>
      <c r="O743" s="2">
        <v>1995</v>
      </c>
      <c r="P743" s="2">
        <v>1995</v>
      </c>
      <c r="Q743" s="2" t="s">
        <v>8679</v>
      </c>
      <c r="S743" s="2">
        <v>15</v>
      </c>
      <c r="T743" s="2" t="s">
        <v>7142</v>
      </c>
    </row>
    <row r="744" spans="2:20">
      <c r="B744" s="2" t="s">
        <v>1505</v>
      </c>
      <c r="C744" s="2" t="s">
        <v>6550</v>
      </c>
      <c r="D744" s="19" t="s">
        <v>8682</v>
      </c>
      <c r="E744" s="2">
        <v>1.2</v>
      </c>
      <c r="F744" s="2">
        <v>0</v>
      </c>
      <c r="G744" s="2">
        <v>1200</v>
      </c>
      <c r="H744" s="2" t="s">
        <v>7142</v>
      </c>
      <c r="I744" s="2" t="s">
        <v>8686</v>
      </c>
      <c r="K744" s="2">
        <v>1.2</v>
      </c>
      <c r="L744" s="2">
        <v>5.3</v>
      </c>
      <c r="M744" s="2" t="s">
        <v>8680</v>
      </c>
      <c r="O744" s="2">
        <v>1995</v>
      </c>
      <c r="P744" s="2">
        <v>1995</v>
      </c>
      <c r="Q744" s="2" t="s">
        <v>8681</v>
      </c>
      <c r="S744" s="2">
        <v>8</v>
      </c>
      <c r="T744" s="2" t="s">
        <v>7143</v>
      </c>
    </row>
    <row r="745" spans="2:20">
      <c r="B745" s="2" t="s">
        <v>2000</v>
      </c>
      <c r="C745" s="2" t="s">
        <v>6551</v>
      </c>
      <c r="D745" s="19" t="s">
        <v>8682</v>
      </c>
      <c r="E745" s="2">
        <v>0.7</v>
      </c>
      <c r="G745" s="2">
        <v>700</v>
      </c>
      <c r="H745" s="2" t="s">
        <v>7143</v>
      </c>
      <c r="K745" s="2">
        <v>0.7</v>
      </c>
      <c r="L745" s="2">
        <v>2.7</v>
      </c>
      <c r="M745" s="2" t="s">
        <v>8680</v>
      </c>
      <c r="O745" s="2">
        <v>1995</v>
      </c>
      <c r="P745" s="2">
        <v>1995</v>
      </c>
      <c r="Q745" s="2" t="s">
        <v>8679</v>
      </c>
      <c r="S745" s="2">
        <v>15</v>
      </c>
      <c r="T745" s="2" t="s">
        <v>7142</v>
      </c>
    </row>
    <row r="746" spans="2:20">
      <c r="B746" s="2" t="s">
        <v>503</v>
      </c>
      <c r="C746" s="2" t="s">
        <v>6552</v>
      </c>
      <c r="D746" s="19" t="s">
        <v>8682</v>
      </c>
      <c r="E746" s="2">
        <v>0.5</v>
      </c>
      <c r="F746" s="2">
        <v>0</v>
      </c>
      <c r="G746" s="2">
        <v>550</v>
      </c>
      <c r="H746" s="2" t="s">
        <v>7143</v>
      </c>
      <c r="K746" s="2">
        <v>0.5</v>
      </c>
      <c r="L746" s="2">
        <v>1.5</v>
      </c>
      <c r="M746" s="2" t="s">
        <v>8678</v>
      </c>
      <c r="O746" s="2">
        <v>2012</v>
      </c>
      <c r="P746" s="2">
        <v>2012</v>
      </c>
      <c r="Q746" s="2" t="s">
        <v>8688</v>
      </c>
      <c r="R746" s="2" t="s">
        <v>6553</v>
      </c>
      <c r="S746" s="2">
        <v>20</v>
      </c>
      <c r="T746" s="2" t="s">
        <v>7142</v>
      </c>
    </row>
    <row r="747" spans="2:20">
      <c r="B747" s="2" t="s">
        <v>503</v>
      </c>
      <c r="C747" s="2" t="s">
        <v>6554</v>
      </c>
      <c r="D747" s="19" t="s">
        <v>8684</v>
      </c>
      <c r="E747" s="2">
        <v>0.5</v>
      </c>
      <c r="F747" s="2">
        <v>0</v>
      </c>
      <c r="G747" s="2">
        <v>550</v>
      </c>
      <c r="H747" s="2" t="s">
        <v>7143</v>
      </c>
      <c r="K747" s="2">
        <v>0.5</v>
      </c>
      <c r="L747" s="2">
        <v>1.5</v>
      </c>
      <c r="M747" s="2" t="s">
        <v>8678</v>
      </c>
      <c r="O747" s="2">
        <v>2013</v>
      </c>
      <c r="P747" s="2">
        <v>2013</v>
      </c>
      <c r="Q747" s="2" t="s">
        <v>8681</v>
      </c>
      <c r="S747" s="2">
        <v>20</v>
      </c>
      <c r="T747" s="2" t="s">
        <v>7142</v>
      </c>
    </row>
    <row r="748" spans="2:20">
      <c r="B748" s="2" t="s">
        <v>2000</v>
      </c>
      <c r="C748" s="2" t="s">
        <v>6555</v>
      </c>
      <c r="D748" s="19" t="s">
        <v>8685</v>
      </c>
      <c r="E748" s="2">
        <v>0.5</v>
      </c>
      <c r="G748" s="2">
        <v>500</v>
      </c>
      <c r="H748" s="2" t="s">
        <v>7143</v>
      </c>
      <c r="K748" s="2">
        <v>0.5</v>
      </c>
      <c r="L748" s="2">
        <v>1.9</v>
      </c>
      <c r="M748" s="2" t="s">
        <v>8680</v>
      </c>
      <c r="O748" s="2">
        <v>1998</v>
      </c>
      <c r="Q748" s="2" t="s">
        <v>8679</v>
      </c>
      <c r="S748" s="2">
        <v>15</v>
      </c>
      <c r="T748" s="2" t="s">
        <v>7142</v>
      </c>
    </row>
    <row r="749" spans="2:20">
      <c r="B749" s="2" t="s">
        <v>2000</v>
      </c>
      <c r="C749" s="2" t="s">
        <v>6556</v>
      </c>
      <c r="D749" s="19" t="s">
        <v>8699</v>
      </c>
      <c r="E749" s="2">
        <v>0.5</v>
      </c>
      <c r="G749" s="2">
        <v>500</v>
      </c>
      <c r="H749" s="2" t="s">
        <v>7143</v>
      </c>
      <c r="K749" s="2">
        <v>0.5</v>
      </c>
      <c r="L749" s="2">
        <v>1.9</v>
      </c>
      <c r="M749" s="2" t="s">
        <v>8680</v>
      </c>
      <c r="O749" s="2">
        <v>1999</v>
      </c>
      <c r="P749" s="2">
        <v>1999</v>
      </c>
      <c r="Q749" s="2" t="s">
        <v>8679</v>
      </c>
      <c r="S749" s="2">
        <v>15</v>
      </c>
      <c r="T749" s="2" t="s">
        <v>7142</v>
      </c>
    </row>
    <row r="750" spans="2:20">
      <c r="B750" s="2" t="s">
        <v>2000</v>
      </c>
      <c r="C750" s="2" t="s">
        <v>6557</v>
      </c>
      <c r="D750" s="19" t="s">
        <v>8708</v>
      </c>
      <c r="E750" s="2">
        <v>0.5</v>
      </c>
      <c r="G750" s="2">
        <v>500</v>
      </c>
      <c r="H750" s="2" t="s">
        <v>7143</v>
      </c>
      <c r="K750" s="2">
        <v>0.5</v>
      </c>
      <c r="L750" s="2">
        <v>1.9</v>
      </c>
      <c r="M750" s="2" t="s">
        <v>8680</v>
      </c>
      <c r="O750" s="2">
        <v>1999</v>
      </c>
      <c r="P750" s="2">
        <v>1999</v>
      </c>
      <c r="Q750" s="2" t="s">
        <v>8679</v>
      </c>
      <c r="S750" s="2">
        <v>15</v>
      </c>
      <c r="T750" s="2" t="s">
        <v>7142</v>
      </c>
    </row>
    <row r="751" spans="2:20">
      <c r="B751" s="2" t="s">
        <v>2000</v>
      </c>
      <c r="C751" s="2" t="s">
        <v>6558</v>
      </c>
      <c r="D751" s="19" t="s">
        <v>8684</v>
      </c>
      <c r="E751" s="2">
        <v>0.9</v>
      </c>
      <c r="G751" s="2">
        <v>1000</v>
      </c>
      <c r="H751" s="2" t="s">
        <v>7143</v>
      </c>
      <c r="K751" s="2">
        <v>0.9</v>
      </c>
      <c r="L751" s="2">
        <v>3.6</v>
      </c>
      <c r="M751" s="2" t="s">
        <v>8680</v>
      </c>
      <c r="O751" s="2">
        <v>1999</v>
      </c>
      <c r="P751" s="2">
        <v>1999</v>
      </c>
      <c r="Q751" s="2" t="s">
        <v>8679</v>
      </c>
      <c r="S751" s="2">
        <v>15</v>
      </c>
      <c r="T751" s="2" t="s">
        <v>7142</v>
      </c>
    </row>
    <row r="752" spans="2:20">
      <c r="B752" s="2" t="s">
        <v>2033</v>
      </c>
      <c r="C752" s="2" t="s">
        <v>6559</v>
      </c>
      <c r="D752" s="19" t="s">
        <v>8682</v>
      </c>
      <c r="E752" s="2">
        <v>0.82</v>
      </c>
      <c r="G752" s="2">
        <v>800</v>
      </c>
      <c r="H752" s="2" t="s">
        <v>7143</v>
      </c>
      <c r="K752" s="2">
        <v>0.82</v>
      </c>
      <c r="L752" s="2">
        <v>1.5</v>
      </c>
      <c r="M752" s="2" t="s">
        <v>8680</v>
      </c>
      <c r="O752" s="2">
        <v>2010</v>
      </c>
      <c r="P752" s="2">
        <v>2023</v>
      </c>
      <c r="Q752" s="2" t="s">
        <v>8679</v>
      </c>
      <c r="S752" s="2">
        <v>15</v>
      </c>
      <c r="T752" s="2" t="s">
        <v>7142</v>
      </c>
    </row>
    <row r="753" spans="2:20">
      <c r="B753" s="2" t="s">
        <v>2033</v>
      </c>
      <c r="C753" s="2" t="s">
        <v>6560</v>
      </c>
      <c r="D753" s="19" t="s">
        <v>8684</v>
      </c>
      <c r="E753" s="2">
        <v>0.68</v>
      </c>
      <c r="G753" s="2">
        <v>700</v>
      </c>
      <c r="H753" s="2" t="s">
        <v>7143</v>
      </c>
      <c r="K753" s="2">
        <v>0.68</v>
      </c>
      <c r="L753" s="2">
        <v>3.9</v>
      </c>
      <c r="M753" s="2" t="s">
        <v>8680</v>
      </c>
      <c r="O753" s="2">
        <v>2010</v>
      </c>
      <c r="P753" s="2">
        <v>2010</v>
      </c>
      <c r="Q753" s="2" t="s">
        <v>8679</v>
      </c>
      <c r="S753" s="2">
        <v>15</v>
      </c>
      <c r="T753" s="2" t="s">
        <v>7142</v>
      </c>
    </row>
    <row r="754" spans="2:20">
      <c r="B754" s="2" t="s">
        <v>2554</v>
      </c>
      <c r="C754" s="2" t="s">
        <v>6561</v>
      </c>
      <c r="D754" s="19" t="s">
        <v>8682</v>
      </c>
      <c r="E754" s="2">
        <v>0.8</v>
      </c>
      <c r="G754" s="2">
        <v>800</v>
      </c>
      <c r="H754" s="2" t="s">
        <v>7143</v>
      </c>
      <c r="K754" s="2">
        <v>0.8</v>
      </c>
      <c r="L754" s="2">
        <v>0.4</v>
      </c>
      <c r="M754" s="2" t="s">
        <v>8678</v>
      </c>
      <c r="O754" s="2">
        <v>2004</v>
      </c>
      <c r="P754" s="2">
        <v>2004</v>
      </c>
      <c r="Q754" s="2" t="s">
        <v>8691</v>
      </c>
      <c r="S754" s="2">
        <v>15</v>
      </c>
      <c r="T754" s="2" t="s">
        <v>7143</v>
      </c>
    </row>
    <row r="755" spans="2:20">
      <c r="B755" s="2" t="s">
        <v>2528</v>
      </c>
      <c r="C755" s="2" t="s">
        <v>6562</v>
      </c>
      <c r="D755" s="19" t="s">
        <v>8699</v>
      </c>
      <c r="E755" s="2">
        <v>0.4</v>
      </c>
      <c r="G755" s="2">
        <v>600</v>
      </c>
      <c r="H755" s="2" t="s">
        <v>7143</v>
      </c>
      <c r="K755" s="2">
        <v>0.4</v>
      </c>
      <c r="L755" s="2">
        <v>0.6</v>
      </c>
      <c r="M755" s="2" t="s">
        <v>8678</v>
      </c>
      <c r="O755" s="2">
        <v>2006</v>
      </c>
      <c r="P755" s="2">
        <v>2023</v>
      </c>
      <c r="Q755" s="2" t="s">
        <v>8679</v>
      </c>
      <c r="S755" s="2">
        <v>10</v>
      </c>
      <c r="T755" s="2" t="s">
        <v>7143</v>
      </c>
    </row>
    <row r="756" spans="2:20">
      <c r="B756" s="2" t="s">
        <v>2528</v>
      </c>
      <c r="C756" s="2" t="s">
        <v>6563</v>
      </c>
      <c r="D756" s="19" t="s">
        <v>8685</v>
      </c>
      <c r="E756" s="2">
        <v>0.4</v>
      </c>
      <c r="G756" s="2">
        <v>400</v>
      </c>
      <c r="H756" s="2" t="s">
        <v>7143</v>
      </c>
      <c r="K756" s="2">
        <v>0.4</v>
      </c>
      <c r="L756" s="2">
        <v>0.6</v>
      </c>
      <c r="M756" s="2" t="s">
        <v>8678</v>
      </c>
      <c r="O756" s="2">
        <v>2006</v>
      </c>
      <c r="P756" s="2">
        <v>2006</v>
      </c>
      <c r="Q756" s="2" t="s">
        <v>8681</v>
      </c>
      <c r="S756" s="2">
        <v>12</v>
      </c>
      <c r="T756" s="2" t="s">
        <v>7143</v>
      </c>
    </row>
    <row r="757" spans="2:20">
      <c r="B757" s="2" t="s">
        <v>2528</v>
      </c>
      <c r="C757" s="2" t="s">
        <v>6564</v>
      </c>
      <c r="D757" s="19" t="s">
        <v>8682</v>
      </c>
      <c r="E757" s="2">
        <v>0.3</v>
      </c>
      <c r="G757" s="2">
        <v>300</v>
      </c>
      <c r="H757" s="2" t="s">
        <v>7143</v>
      </c>
      <c r="K757" s="2">
        <v>0.3</v>
      </c>
      <c r="L757" s="2">
        <v>0.3</v>
      </c>
      <c r="M757" s="2" t="s">
        <v>8678</v>
      </c>
      <c r="O757" s="2">
        <v>2006</v>
      </c>
      <c r="P757" s="2">
        <v>2006</v>
      </c>
      <c r="Q757" s="2" t="s">
        <v>8681</v>
      </c>
      <c r="S757" s="2">
        <v>10</v>
      </c>
      <c r="T757" s="2" t="s">
        <v>7143</v>
      </c>
    </row>
    <row r="758" spans="2:20">
      <c r="B758" s="2" t="s">
        <v>2528</v>
      </c>
      <c r="C758" s="2" t="s">
        <v>6565</v>
      </c>
      <c r="D758" s="19" t="s">
        <v>8684</v>
      </c>
      <c r="E758" s="2">
        <v>0.4</v>
      </c>
      <c r="G758" s="2">
        <v>700</v>
      </c>
      <c r="H758" s="2" t="s">
        <v>7143</v>
      </c>
      <c r="K758" s="2">
        <v>0.7</v>
      </c>
      <c r="L758" s="2">
        <v>1</v>
      </c>
      <c r="M758" s="2" t="s">
        <v>8678</v>
      </c>
      <c r="O758" s="2">
        <v>2006</v>
      </c>
      <c r="P758" s="2">
        <v>2006</v>
      </c>
      <c r="Q758" s="2" t="s">
        <v>8681</v>
      </c>
      <c r="S758" s="2">
        <v>12</v>
      </c>
      <c r="T758" s="2" t="s">
        <v>7143</v>
      </c>
    </row>
    <row r="759" spans="2:20">
      <c r="B759" s="2" t="s">
        <v>1520</v>
      </c>
      <c r="C759" s="2" t="s">
        <v>6566</v>
      </c>
      <c r="D759" s="19" t="s">
        <v>8682</v>
      </c>
      <c r="E759" s="2">
        <v>1</v>
      </c>
      <c r="F759" s="2">
        <v>0</v>
      </c>
      <c r="G759" s="2">
        <v>1000</v>
      </c>
      <c r="H759" s="2" t="s">
        <v>7142</v>
      </c>
      <c r="I759" s="2" t="s">
        <v>8717</v>
      </c>
      <c r="K759" s="2">
        <v>1</v>
      </c>
      <c r="L759" s="2">
        <v>5.8</v>
      </c>
      <c r="M759" s="2" t="s">
        <v>8680</v>
      </c>
      <c r="O759" s="2">
        <v>1996</v>
      </c>
      <c r="P759" s="2">
        <v>1996</v>
      </c>
      <c r="Q759" s="2" t="s">
        <v>8718</v>
      </c>
      <c r="S759" s="2">
        <v>20</v>
      </c>
      <c r="T759" s="2" t="s">
        <v>7143</v>
      </c>
    </row>
    <row r="760" spans="2:20">
      <c r="B760" s="2" t="s">
        <v>2455</v>
      </c>
      <c r="C760" s="2" t="s">
        <v>6568</v>
      </c>
      <c r="D760" s="19" t="s">
        <v>8682</v>
      </c>
      <c r="E760" s="2">
        <v>0.7</v>
      </c>
      <c r="G760" s="2">
        <v>700</v>
      </c>
      <c r="H760" s="2" t="s">
        <v>7143</v>
      </c>
      <c r="K760" s="2">
        <v>0.7</v>
      </c>
      <c r="L760" s="2">
        <v>3.8</v>
      </c>
      <c r="M760" s="2" t="s">
        <v>8680</v>
      </c>
      <c r="O760" s="2">
        <v>2005</v>
      </c>
      <c r="P760" s="2">
        <v>2005</v>
      </c>
      <c r="Q760" s="2" t="s">
        <v>8691</v>
      </c>
      <c r="S760" s="2">
        <v>20</v>
      </c>
      <c r="T760" s="2" t="s">
        <v>7143</v>
      </c>
    </row>
    <row r="761" spans="2:20">
      <c r="B761" s="2" t="s">
        <v>546</v>
      </c>
      <c r="C761" s="2" t="s">
        <v>6569</v>
      </c>
      <c r="D761" s="19" t="s">
        <v>8685</v>
      </c>
      <c r="E761" s="2">
        <v>0.7</v>
      </c>
      <c r="F761" s="2">
        <v>0</v>
      </c>
      <c r="G761" s="2">
        <v>770</v>
      </c>
      <c r="H761" s="2" t="s">
        <v>7143</v>
      </c>
      <c r="K761" s="2">
        <v>0.7</v>
      </c>
      <c r="L761" s="2">
        <v>3</v>
      </c>
      <c r="M761" s="2" t="s">
        <v>8680</v>
      </c>
      <c r="O761" s="2">
        <v>2020</v>
      </c>
      <c r="P761" s="2">
        <v>2020</v>
      </c>
      <c r="Q761" s="2" t="s">
        <v>8679</v>
      </c>
      <c r="S761" s="2">
        <v>20</v>
      </c>
      <c r="T761" s="2" t="s">
        <v>7142</v>
      </c>
    </row>
    <row r="762" spans="2:20">
      <c r="B762" s="2" t="s">
        <v>546</v>
      </c>
      <c r="C762" s="2" t="s">
        <v>6570</v>
      </c>
      <c r="D762" s="19" t="s">
        <v>8684</v>
      </c>
      <c r="E762" s="2">
        <v>0.2</v>
      </c>
      <c r="F762" s="2">
        <v>0</v>
      </c>
      <c r="G762" s="2">
        <v>220</v>
      </c>
      <c r="H762" s="2" t="s">
        <v>7143</v>
      </c>
      <c r="K762" s="2">
        <v>0.2</v>
      </c>
      <c r="L762" s="2">
        <v>0.7</v>
      </c>
      <c r="M762" s="2" t="s">
        <v>8680</v>
      </c>
      <c r="O762" s="2">
        <v>2019</v>
      </c>
      <c r="P762" s="2">
        <v>2019</v>
      </c>
      <c r="Q762" s="2" t="s">
        <v>8688</v>
      </c>
      <c r="S762" s="2">
        <v>20</v>
      </c>
      <c r="T762" s="2" t="s">
        <v>7142</v>
      </c>
    </row>
    <row r="763" spans="2:20">
      <c r="B763" s="2" t="s">
        <v>546</v>
      </c>
      <c r="C763" s="2" t="s">
        <v>6571</v>
      </c>
      <c r="D763" s="19" t="s">
        <v>8699</v>
      </c>
      <c r="E763" s="2">
        <v>0.3</v>
      </c>
      <c r="F763" s="2">
        <v>0</v>
      </c>
      <c r="G763" s="2">
        <v>330</v>
      </c>
      <c r="H763" s="2" t="s">
        <v>7143</v>
      </c>
      <c r="K763" s="2">
        <v>0</v>
      </c>
      <c r="L763" s="2">
        <v>0</v>
      </c>
      <c r="M763" s="2" t="s">
        <v>8680</v>
      </c>
      <c r="O763" s="2">
        <v>2019</v>
      </c>
      <c r="P763" s="2">
        <v>2024</v>
      </c>
      <c r="Q763" s="2" t="s">
        <v>8679</v>
      </c>
      <c r="S763" s="2">
        <v>20</v>
      </c>
      <c r="T763" s="2" t="s">
        <v>7142</v>
      </c>
    </row>
    <row r="764" spans="2:20">
      <c r="B764" s="2" t="s">
        <v>546</v>
      </c>
      <c r="C764" s="2" t="s">
        <v>6572</v>
      </c>
      <c r="D764" s="19" t="s">
        <v>8682</v>
      </c>
      <c r="E764" s="2">
        <v>0.5</v>
      </c>
      <c r="F764" s="2">
        <v>0</v>
      </c>
      <c r="G764" s="2">
        <v>500</v>
      </c>
      <c r="H764" s="2" t="s">
        <v>7143</v>
      </c>
      <c r="K764" s="2">
        <v>0.5</v>
      </c>
      <c r="L764" s="2">
        <v>1.3</v>
      </c>
      <c r="M764" s="2" t="s">
        <v>8680</v>
      </c>
      <c r="O764" s="2">
        <v>2015</v>
      </c>
      <c r="P764" s="2">
        <v>2015</v>
      </c>
      <c r="Q764" s="2" t="s">
        <v>8681</v>
      </c>
      <c r="S764" s="2">
        <v>20</v>
      </c>
      <c r="T764" s="2" t="s">
        <v>7142</v>
      </c>
    </row>
    <row r="765" spans="2:20">
      <c r="B765" s="2" t="s">
        <v>2425</v>
      </c>
      <c r="C765" s="2" t="s">
        <v>6573</v>
      </c>
      <c r="D765" s="19" t="s">
        <v>8682</v>
      </c>
      <c r="E765" s="2">
        <v>0.4</v>
      </c>
      <c r="G765" s="2">
        <v>400</v>
      </c>
      <c r="H765" s="2" t="s">
        <v>7143</v>
      </c>
      <c r="K765" s="2">
        <v>0.4</v>
      </c>
      <c r="L765" s="2">
        <v>0.45</v>
      </c>
      <c r="M765" s="2" t="s">
        <v>8678</v>
      </c>
      <c r="O765" s="2">
        <v>2015</v>
      </c>
      <c r="P765" s="2">
        <v>2015</v>
      </c>
      <c r="Q765" s="2" t="s">
        <v>8679</v>
      </c>
      <c r="S765" s="2">
        <v>15</v>
      </c>
      <c r="T765" s="2" t="s">
        <v>7143</v>
      </c>
    </row>
    <row r="766" spans="2:20">
      <c r="B766" s="2" t="s">
        <v>1535</v>
      </c>
      <c r="C766" s="2" t="s">
        <v>6574</v>
      </c>
      <c r="D766" s="19" t="s">
        <v>8682</v>
      </c>
      <c r="E766" s="2">
        <v>1.2</v>
      </c>
      <c r="F766" s="2">
        <v>0</v>
      </c>
      <c r="G766" s="2">
        <v>1200</v>
      </c>
      <c r="H766" s="2" t="s">
        <v>7142</v>
      </c>
      <c r="I766" s="2" t="s">
        <v>8686</v>
      </c>
      <c r="K766" s="2">
        <v>1.2</v>
      </c>
      <c r="L766" s="2">
        <v>4</v>
      </c>
      <c r="M766" s="2" t="s">
        <v>8680</v>
      </c>
      <c r="O766" s="2">
        <v>1994</v>
      </c>
      <c r="P766" s="2">
        <v>2000</v>
      </c>
      <c r="Q766" s="2" t="s">
        <v>8718</v>
      </c>
      <c r="S766" s="2">
        <v>10</v>
      </c>
      <c r="T766" s="2" t="s">
        <v>7143</v>
      </c>
    </row>
    <row r="767" spans="2:20">
      <c r="B767" s="2" t="s">
        <v>2391</v>
      </c>
      <c r="C767" s="2" t="s">
        <v>6575</v>
      </c>
      <c r="D767" s="19" t="s">
        <v>8684</v>
      </c>
      <c r="E767" s="2">
        <v>0.1</v>
      </c>
      <c r="G767" s="2">
        <v>180</v>
      </c>
      <c r="H767" s="2" t="s">
        <v>7143</v>
      </c>
      <c r="K767" s="2">
        <v>0.1</v>
      </c>
      <c r="L767" s="2">
        <v>0.2</v>
      </c>
      <c r="M767" s="2" t="s">
        <v>8680</v>
      </c>
      <c r="O767" s="2">
        <v>2015</v>
      </c>
      <c r="P767" s="2">
        <v>2015</v>
      </c>
      <c r="Q767" s="2" t="s">
        <v>8679</v>
      </c>
      <c r="S767" s="2">
        <v>15</v>
      </c>
      <c r="T767" s="2" t="s">
        <v>7143</v>
      </c>
    </row>
    <row r="768" spans="2:20">
      <c r="B768" s="2" t="s">
        <v>2391</v>
      </c>
      <c r="C768" s="2" t="s">
        <v>6576</v>
      </c>
      <c r="D768" s="19" t="s">
        <v>8682</v>
      </c>
      <c r="E768" s="2">
        <v>0.2</v>
      </c>
      <c r="G768" s="2">
        <v>200</v>
      </c>
      <c r="H768" s="2" t="s">
        <v>7143</v>
      </c>
      <c r="K768" s="2">
        <v>0.2</v>
      </c>
      <c r="L768" s="2">
        <v>0.4</v>
      </c>
      <c r="M768" s="2" t="s">
        <v>8680</v>
      </c>
      <c r="O768" s="2">
        <v>2015</v>
      </c>
      <c r="P768" s="2">
        <v>2015</v>
      </c>
      <c r="Q768" s="2" t="s">
        <v>8679</v>
      </c>
      <c r="S768" s="2">
        <v>15</v>
      </c>
      <c r="T768" s="2" t="s">
        <v>7143</v>
      </c>
    </row>
    <row r="769" spans="2:20">
      <c r="B769" s="2" t="s">
        <v>1552</v>
      </c>
      <c r="C769" s="2" t="s">
        <v>6577</v>
      </c>
      <c r="D769" s="19" t="s">
        <v>8685</v>
      </c>
      <c r="E769" s="2">
        <v>1.2</v>
      </c>
      <c r="F769" s="2">
        <v>0</v>
      </c>
      <c r="G769" s="2">
        <v>1100</v>
      </c>
      <c r="H769" s="2" t="s">
        <v>7142</v>
      </c>
      <c r="I769" s="2" t="s">
        <v>8686</v>
      </c>
      <c r="K769" s="2">
        <v>1.2</v>
      </c>
      <c r="L769" s="2">
        <v>2.5</v>
      </c>
      <c r="M769" s="2" t="s">
        <v>8680</v>
      </c>
      <c r="O769" s="2">
        <v>1994</v>
      </c>
      <c r="P769" s="2">
        <v>2010</v>
      </c>
      <c r="Q769" s="2" t="s">
        <v>8679</v>
      </c>
      <c r="S769" s="2">
        <v>20</v>
      </c>
      <c r="T769" s="2" t="s">
        <v>7143</v>
      </c>
    </row>
    <row r="770" spans="2:20">
      <c r="B770" s="2" t="s">
        <v>1552</v>
      </c>
      <c r="C770" s="2" t="s">
        <v>6578</v>
      </c>
      <c r="D770" s="19" t="s">
        <v>8684</v>
      </c>
      <c r="E770" s="2">
        <v>1.2</v>
      </c>
      <c r="F770" s="2">
        <v>0</v>
      </c>
      <c r="G770" s="2">
        <v>1200</v>
      </c>
      <c r="H770" s="2" t="s">
        <v>7143</v>
      </c>
      <c r="K770" s="2">
        <v>1.2</v>
      </c>
      <c r="L770" s="2">
        <v>3.5</v>
      </c>
      <c r="M770" s="2" t="s">
        <v>8680</v>
      </c>
      <c r="O770" s="2">
        <v>1994</v>
      </c>
      <c r="P770" s="2">
        <v>2009</v>
      </c>
      <c r="Q770" s="2" t="s">
        <v>8679</v>
      </c>
      <c r="S770" s="2">
        <v>20</v>
      </c>
      <c r="T770" s="2" t="s">
        <v>7143</v>
      </c>
    </row>
    <row r="771" spans="2:20">
      <c r="B771" s="2" t="s">
        <v>1552</v>
      </c>
      <c r="C771" s="2" t="s">
        <v>6579</v>
      </c>
      <c r="D771" s="19" t="s">
        <v>8682</v>
      </c>
      <c r="E771" s="2">
        <v>0.7</v>
      </c>
      <c r="F771" s="2">
        <v>0</v>
      </c>
      <c r="G771" s="2">
        <v>700</v>
      </c>
      <c r="H771" s="2" t="s">
        <v>7143</v>
      </c>
      <c r="K771" s="2">
        <v>0.7</v>
      </c>
      <c r="L771" s="2">
        <v>2</v>
      </c>
      <c r="M771" s="2" t="s">
        <v>8680</v>
      </c>
      <c r="O771" s="2">
        <v>1994</v>
      </c>
      <c r="P771" s="2">
        <v>2010</v>
      </c>
      <c r="Q771" s="2" t="s">
        <v>8679</v>
      </c>
      <c r="S771" s="2">
        <v>20</v>
      </c>
      <c r="T771" s="2" t="s">
        <v>7143</v>
      </c>
    </row>
    <row r="772" spans="2:20">
      <c r="B772" s="2" t="s">
        <v>2385</v>
      </c>
      <c r="C772" s="2" t="s">
        <v>6580</v>
      </c>
      <c r="D772" s="19" t="s">
        <v>8684</v>
      </c>
      <c r="E772" s="2">
        <v>0.4</v>
      </c>
      <c r="G772" s="2">
        <v>400</v>
      </c>
      <c r="H772" s="2" t="s">
        <v>7143</v>
      </c>
      <c r="K772" s="2">
        <v>0.4</v>
      </c>
      <c r="L772" s="2">
        <v>1.9</v>
      </c>
      <c r="M772" s="2" t="s">
        <v>8680</v>
      </c>
      <c r="O772" s="2">
        <v>2015</v>
      </c>
      <c r="P772" s="2">
        <v>2015</v>
      </c>
      <c r="Q772" s="2" t="s">
        <v>8679</v>
      </c>
      <c r="S772" s="2">
        <v>10</v>
      </c>
      <c r="T772" s="2" t="s">
        <v>7143</v>
      </c>
    </row>
    <row r="773" spans="2:20">
      <c r="B773" s="2" t="s">
        <v>2385</v>
      </c>
      <c r="C773" s="2" t="s">
        <v>6581</v>
      </c>
      <c r="D773" s="19" t="s">
        <v>8685</v>
      </c>
      <c r="E773" s="2">
        <v>0.1</v>
      </c>
      <c r="G773" s="2">
        <v>150</v>
      </c>
      <c r="H773" s="2" t="s">
        <v>7143</v>
      </c>
      <c r="K773" s="2">
        <v>0.1</v>
      </c>
      <c r="L773" s="2">
        <v>0.4</v>
      </c>
      <c r="M773" s="2" t="s">
        <v>8680</v>
      </c>
      <c r="O773" s="2">
        <v>2015</v>
      </c>
      <c r="P773" s="2">
        <v>2015</v>
      </c>
      <c r="S773" s="2">
        <v>10</v>
      </c>
      <c r="T773" s="2" t="s">
        <v>7143</v>
      </c>
    </row>
    <row r="774" spans="2:20">
      <c r="B774" s="2" t="s">
        <v>2385</v>
      </c>
      <c r="C774" s="2" t="s">
        <v>6582</v>
      </c>
      <c r="D774" s="19" t="s">
        <v>8682</v>
      </c>
      <c r="E774" s="2">
        <v>0.2</v>
      </c>
      <c r="G774" s="2">
        <v>200</v>
      </c>
      <c r="H774" s="2" t="s">
        <v>7143</v>
      </c>
      <c r="K774" s="2">
        <v>0</v>
      </c>
      <c r="L774" s="2">
        <v>0</v>
      </c>
      <c r="M774" s="2" t="s">
        <v>8680</v>
      </c>
      <c r="O774" s="2">
        <v>2015</v>
      </c>
      <c r="P774" s="2">
        <v>2024</v>
      </c>
      <c r="Q774" s="2" t="s">
        <v>8679</v>
      </c>
      <c r="S774" s="2">
        <v>10</v>
      </c>
      <c r="T774" s="2" t="s">
        <v>7143</v>
      </c>
    </row>
    <row r="775" spans="2:20">
      <c r="B775" s="2" t="s">
        <v>2385</v>
      </c>
      <c r="C775" s="2" t="s">
        <v>6583</v>
      </c>
      <c r="D775" s="19" t="s">
        <v>8699</v>
      </c>
      <c r="E775" s="2">
        <v>0.3</v>
      </c>
      <c r="G775" s="2">
        <v>350</v>
      </c>
      <c r="H775" s="2" t="s">
        <v>7143</v>
      </c>
      <c r="K775" s="2">
        <v>0.3</v>
      </c>
      <c r="L775" s="2">
        <v>0.9</v>
      </c>
      <c r="M775" s="2" t="s">
        <v>8678</v>
      </c>
      <c r="O775" s="2">
        <v>2015</v>
      </c>
      <c r="P775" s="2">
        <v>2015</v>
      </c>
      <c r="Q775" s="2" t="s">
        <v>8679</v>
      </c>
      <c r="S775" s="2">
        <v>10</v>
      </c>
      <c r="T775" s="2" t="s">
        <v>7143</v>
      </c>
    </row>
    <row r="776" spans="2:20">
      <c r="B776" s="2" t="s">
        <v>1620</v>
      </c>
      <c r="C776" s="2" t="s">
        <v>6584</v>
      </c>
      <c r="D776" s="19" t="s">
        <v>8682</v>
      </c>
      <c r="E776" s="2">
        <v>1.2</v>
      </c>
      <c r="F776" s="2">
        <v>0</v>
      </c>
      <c r="G776" s="2">
        <v>1300</v>
      </c>
      <c r="H776" s="2" t="s">
        <v>7143</v>
      </c>
      <c r="K776" s="2">
        <v>1.2</v>
      </c>
      <c r="L776" s="2">
        <v>3</v>
      </c>
      <c r="M776" s="2" t="s">
        <v>8680</v>
      </c>
      <c r="O776" s="2">
        <v>1995</v>
      </c>
      <c r="P776" s="2">
        <v>1995</v>
      </c>
      <c r="Q776" s="2" t="s">
        <v>8703</v>
      </c>
      <c r="S776" s="2">
        <v>20</v>
      </c>
      <c r="T776" s="2" t="s">
        <v>7143</v>
      </c>
    </row>
    <row r="777" spans="2:20">
      <c r="B777" s="2" t="s">
        <v>2354</v>
      </c>
      <c r="C777" s="2" t="s">
        <v>6585</v>
      </c>
      <c r="D777" s="19" t="s">
        <v>8682</v>
      </c>
      <c r="E777" s="2">
        <v>0.6</v>
      </c>
      <c r="G777" s="2">
        <v>600</v>
      </c>
      <c r="H777" s="2" t="s">
        <v>7143</v>
      </c>
      <c r="K777" s="2">
        <v>0.6</v>
      </c>
      <c r="L777" s="2">
        <v>1</v>
      </c>
      <c r="M777" s="2" t="s">
        <v>8680</v>
      </c>
      <c r="O777" s="2">
        <v>2020</v>
      </c>
      <c r="P777" s="2">
        <v>2020</v>
      </c>
      <c r="Q777" s="2" t="s">
        <v>8679</v>
      </c>
      <c r="S777" s="2">
        <v>10</v>
      </c>
      <c r="T777" s="2" t="s">
        <v>7143</v>
      </c>
    </row>
    <row r="778" spans="2:20">
      <c r="B778" s="2" t="s">
        <v>2322</v>
      </c>
      <c r="C778" s="2" t="s">
        <v>6586</v>
      </c>
      <c r="D778" s="19" t="s">
        <v>8682</v>
      </c>
      <c r="E778" s="2">
        <v>0.4</v>
      </c>
      <c r="G778" s="2">
        <v>400</v>
      </c>
      <c r="H778" s="2" t="s">
        <v>7143</v>
      </c>
      <c r="K778" s="2">
        <v>0.4</v>
      </c>
      <c r="L778" s="2">
        <v>0.6</v>
      </c>
      <c r="M778" s="2" t="s">
        <v>8680</v>
      </c>
      <c r="O778" s="2">
        <v>2015</v>
      </c>
      <c r="P778" s="2">
        <v>2015</v>
      </c>
      <c r="Q778" s="2" t="s">
        <v>8679</v>
      </c>
      <c r="S778" s="2">
        <v>10</v>
      </c>
      <c r="T778" s="2" t="s">
        <v>7143</v>
      </c>
    </row>
    <row r="779" spans="2:20">
      <c r="B779" s="2" t="s">
        <v>2322</v>
      </c>
      <c r="C779" s="2" t="s">
        <v>6587</v>
      </c>
      <c r="D779" s="19" t="s">
        <v>8684</v>
      </c>
      <c r="E779" s="2">
        <v>0.2</v>
      </c>
      <c r="G779" s="2">
        <v>250</v>
      </c>
      <c r="H779" s="2" t="s">
        <v>7143</v>
      </c>
      <c r="K779" s="2">
        <v>0.2</v>
      </c>
      <c r="L779" s="2">
        <v>0.4</v>
      </c>
      <c r="M779" s="2" t="s">
        <v>8680</v>
      </c>
      <c r="O779" s="2">
        <v>2015</v>
      </c>
      <c r="P779" s="2">
        <v>2015</v>
      </c>
      <c r="Q779" s="2" t="s">
        <v>8679</v>
      </c>
      <c r="S779" s="2">
        <v>10</v>
      </c>
      <c r="T779" s="2" t="s">
        <v>7143</v>
      </c>
    </row>
    <row r="780" spans="2:20">
      <c r="B780" s="2" t="s">
        <v>2322</v>
      </c>
      <c r="C780" s="2" t="s">
        <v>6588</v>
      </c>
      <c r="D780" s="19" t="s">
        <v>8685</v>
      </c>
      <c r="E780" s="2">
        <v>0.1</v>
      </c>
      <c r="G780" s="2">
        <v>150</v>
      </c>
      <c r="H780" s="2" t="s">
        <v>7143</v>
      </c>
      <c r="K780" s="2">
        <v>0.1</v>
      </c>
      <c r="L780" s="2">
        <v>0.2</v>
      </c>
      <c r="M780" s="2" t="s">
        <v>8678</v>
      </c>
      <c r="O780" s="2">
        <v>2015</v>
      </c>
      <c r="P780" s="2">
        <v>2015</v>
      </c>
      <c r="Q780" s="2" t="s">
        <v>8679</v>
      </c>
      <c r="S780" s="2">
        <v>10</v>
      </c>
      <c r="T780" s="2" t="s">
        <v>7143</v>
      </c>
    </row>
    <row r="781" spans="2:20">
      <c r="B781" s="2" t="s">
        <v>2319</v>
      </c>
      <c r="C781" s="2" t="s">
        <v>6589</v>
      </c>
      <c r="D781" s="19" t="s">
        <v>8682</v>
      </c>
      <c r="E781" s="2">
        <v>0.4</v>
      </c>
      <c r="G781" s="2">
        <v>400</v>
      </c>
      <c r="H781" s="2" t="s">
        <v>7143</v>
      </c>
      <c r="K781" s="2">
        <v>0.4</v>
      </c>
      <c r="L781" s="2">
        <v>0.73</v>
      </c>
      <c r="M781" s="2" t="s">
        <v>8678</v>
      </c>
      <c r="O781" s="2">
        <v>2011</v>
      </c>
      <c r="P781" s="2">
        <v>2011</v>
      </c>
      <c r="Q781" s="2" t="s">
        <v>8679</v>
      </c>
      <c r="S781" s="2">
        <v>10</v>
      </c>
      <c r="T781" s="2" t="s">
        <v>7143</v>
      </c>
    </row>
    <row r="782" spans="2:20">
      <c r="B782" s="2" t="s">
        <v>2319</v>
      </c>
      <c r="C782" s="2" t="s">
        <v>6590</v>
      </c>
      <c r="D782" s="19" t="s">
        <v>8684</v>
      </c>
      <c r="E782" s="2">
        <v>0.2</v>
      </c>
      <c r="G782" s="2">
        <v>200</v>
      </c>
      <c r="H782" s="2" t="s">
        <v>7143</v>
      </c>
      <c r="K782" s="2">
        <v>0.2</v>
      </c>
      <c r="L782" s="2">
        <v>0.3</v>
      </c>
      <c r="M782" s="2" t="s">
        <v>8678</v>
      </c>
      <c r="O782" s="2">
        <v>2011</v>
      </c>
      <c r="P782" s="2">
        <v>2011</v>
      </c>
      <c r="S782" s="2">
        <v>10</v>
      </c>
      <c r="T782" s="2" t="s">
        <v>7143</v>
      </c>
    </row>
    <row r="783" spans="2:20">
      <c r="B783" s="2" t="s">
        <v>2293</v>
      </c>
      <c r="C783" s="2" t="s">
        <v>6591</v>
      </c>
      <c r="D783" s="19" t="s">
        <v>8684</v>
      </c>
      <c r="E783" s="2">
        <v>0.65</v>
      </c>
      <c r="G783" s="2">
        <v>650</v>
      </c>
      <c r="H783" s="2" t="s">
        <v>7143</v>
      </c>
      <c r="K783" s="2">
        <v>0.65</v>
      </c>
      <c r="L783" s="2">
        <v>1</v>
      </c>
      <c r="M783" s="2" t="s">
        <v>8680</v>
      </c>
      <c r="O783" s="2">
        <v>2009</v>
      </c>
      <c r="P783" s="2">
        <v>2009</v>
      </c>
      <c r="Q783" s="2" t="s">
        <v>8679</v>
      </c>
      <c r="S783" s="2">
        <v>13</v>
      </c>
      <c r="T783" s="2" t="s">
        <v>7143</v>
      </c>
    </row>
    <row r="784" spans="2:20">
      <c r="B784" s="2" t="s">
        <v>2293</v>
      </c>
      <c r="C784" s="2" t="s">
        <v>6592</v>
      </c>
      <c r="D784" s="19" t="s">
        <v>8699</v>
      </c>
      <c r="E784" s="2">
        <v>0.3</v>
      </c>
      <c r="G784" s="2">
        <v>350</v>
      </c>
      <c r="H784" s="2" t="s">
        <v>7143</v>
      </c>
      <c r="K784" s="2">
        <v>0.3</v>
      </c>
      <c r="L784" s="2">
        <v>1</v>
      </c>
      <c r="M784" s="2" t="s">
        <v>8680</v>
      </c>
      <c r="S784" s="2">
        <v>12</v>
      </c>
      <c r="T784" s="2" t="s">
        <v>7143</v>
      </c>
    </row>
    <row r="785" spans="2:20">
      <c r="B785" s="2" t="s">
        <v>2293</v>
      </c>
      <c r="C785" s="2" t="s">
        <v>6593</v>
      </c>
      <c r="D785" s="19" t="s">
        <v>8685</v>
      </c>
      <c r="E785" s="2">
        <v>0.4</v>
      </c>
      <c r="G785" s="2">
        <v>420</v>
      </c>
      <c r="H785" s="2" t="s">
        <v>7142</v>
      </c>
      <c r="I785" s="2" t="s">
        <v>8690</v>
      </c>
      <c r="J785" s="2" t="s">
        <v>5867</v>
      </c>
      <c r="K785" s="2">
        <v>0.4</v>
      </c>
      <c r="L785" s="2">
        <v>1</v>
      </c>
      <c r="M785" s="2" t="s">
        <v>8680</v>
      </c>
      <c r="O785" s="2">
        <v>2010</v>
      </c>
      <c r="P785" s="2">
        <v>2010</v>
      </c>
      <c r="Q785" s="2" t="s">
        <v>8679</v>
      </c>
      <c r="S785" s="2">
        <v>13</v>
      </c>
      <c r="T785" s="2" t="s">
        <v>7143</v>
      </c>
    </row>
    <row r="786" spans="2:20">
      <c r="B786" s="2" t="s">
        <v>2293</v>
      </c>
      <c r="C786" s="2" t="s">
        <v>6594</v>
      </c>
      <c r="D786" s="19" t="s">
        <v>8682</v>
      </c>
      <c r="E786" s="2">
        <v>1.1000000000000001</v>
      </c>
      <c r="G786" s="2">
        <v>1200</v>
      </c>
      <c r="H786" s="2" t="s">
        <v>7142</v>
      </c>
      <c r="I786" s="2" t="s">
        <v>8686</v>
      </c>
      <c r="K786" s="2">
        <v>1.1000000000000001</v>
      </c>
      <c r="L786" s="2">
        <v>3.3</v>
      </c>
      <c r="M786" s="2" t="s">
        <v>8678</v>
      </c>
      <c r="O786" s="2">
        <v>2008</v>
      </c>
      <c r="P786" s="2">
        <v>2008</v>
      </c>
      <c r="S786" s="2">
        <v>13</v>
      </c>
      <c r="T786" s="2" t="s">
        <v>7143</v>
      </c>
    </row>
    <row r="787" spans="2:20">
      <c r="B787" s="2" t="s">
        <v>563</v>
      </c>
      <c r="C787" s="2" t="s">
        <v>6595</v>
      </c>
      <c r="D787" s="19" t="s">
        <v>8682</v>
      </c>
      <c r="E787" s="2">
        <v>0.7</v>
      </c>
      <c r="F787" s="2">
        <v>0</v>
      </c>
      <c r="G787" s="2">
        <v>770</v>
      </c>
      <c r="H787" s="2" t="s">
        <v>7142</v>
      </c>
      <c r="I787" s="2" t="s">
        <v>8686</v>
      </c>
      <c r="K787" s="2">
        <v>0.7</v>
      </c>
      <c r="L787" s="2">
        <v>3</v>
      </c>
      <c r="M787" s="2" t="s">
        <v>8680</v>
      </c>
      <c r="O787" s="2">
        <v>2007</v>
      </c>
      <c r="P787" s="2">
        <v>2007</v>
      </c>
      <c r="Q787" s="2" t="s">
        <v>8697</v>
      </c>
      <c r="R787" s="2" t="s">
        <v>6596</v>
      </c>
      <c r="S787" s="2">
        <v>10</v>
      </c>
      <c r="T787" s="2" t="s">
        <v>7142</v>
      </c>
    </row>
    <row r="788" spans="2:20">
      <c r="B788" s="2" t="s">
        <v>563</v>
      </c>
      <c r="C788" s="2" t="s">
        <v>6597</v>
      </c>
      <c r="D788" s="19" t="s">
        <v>8684</v>
      </c>
      <c r="E788" s="2">
        <v>0.3</v>
      </c>
      <c r="F788" s="2">
        <v>0</v>
      </c>
      <c r="G788" s="2">
        <v>300</v>
      </c>
      <c r="H788" s="2" t="s">
        <v>7143</v>
      </c>
      <c r="K788" s="2">
        <v>0.3</v>
      </c>
      <c r="L788" s="2">
        <v>0.5</v>
      </c>
      <c r="M788" s="2" t="s">
        <v>8680</v>
      </c>
      <c r="O788" s="2">
        <v>2002</v>
      </c>
      <c r="P788" s="2">
        <v>2002</v>
      </c>
      <c r="Q788" s="2" t="s">
        <v>8679</v>
      </c>
      <c r="S788" s="2">
        <v>10</v>
      </c>
      <c r="T788" s="2" t="s">
        <v>7142</v>
      </c>
    </row>
    <row r="789" spans="2:20">
      <c r="B789" s="2" t="s">
        <v>573</v>
      </c>
      <c r="C789" s="2" t="s">
        <v>6598</v>
      </c>
      <c r="D789" s="19" t="s">
        <v>8682</v>
      </c>
      <c r="E789" s="2">
        <v>0.7</v>
      </c>
      <c r="F789" s="2">
        <v>0</v>
      </c>
      <c r="G789" s="2">
        <v>770</v>
      </c>
      <c r="H789" s="2" t="s">
        <v>7142</v>
      </c>
      <c r="I789" s="2" t="s">
        <v>8686</v>
      </c>
      <c r="K789" s="2">
        <v>0.7</v>
      </c>
      <c r="L789" s="2">
        <v>2.5</v>
      </c>
      <c r="M789" s="2" t="s">
        <v>8680</v>
      </c>
      <c r="O789" s="2">
        <v>2009</v>
      </c>
      <c r="P789" s="2">
        <v>2009</v>
      </c>
      <c r="Q789" s="2" t="s">
        <v>8681</v>
      </c>
      <c r="S789" s="2">
        <v>10</v>
      </c>
      <c r="T789" s="2" t="s">
        <v>7142</v>
      </c>
    </row>
    <row r="790" spans="2:20">
      <c r="B790" s="2" t="s">
        <v>573</v>
      </c>
      <c r="C790" s="2" t="s">
        <v>6599</v>
      </c>
      <c r="D790" s="19" t="s">
        <v>8685</v>
      </c>
      <c r="E790" s="2">
        <v>0.3</v>
      </c>
      <c r="F790" s="2">
        <v>0.3</v>
      </c>
      <c r="G790" s="2">
        <v>330</v>
      </c>
      <c r="H790" s="2" t="s">
        <v>7142</v>
      </c>
      <c r="I790" s="2" t="s">
        <v>8686</v>
      </c>
      <c r="K790" s="2">
        <v>0.3</v>
      </c>
      <c r="L790" s="2">
        <v>1.7</v>
      </c>
      <c r="M790" s="2" t="s">
        <v>8680</v>
      </c>
      <c r="O790" s="2">
        <v>2019</v>
      </c>
      <c r="P790" s="2">
        <v>2019</v>
      </c>
      <c r="Q790" s="2" t="s">
        <v>8679</v>
      </c>
      <c r="S790" s="2">
        <v>10</v>
      </c>
      <c r="T790" s="2" t="s">
        <v>7142</v>
      </c>
    </row>
    <row r="791" spans="2:20">
      <c r="B791" s="2" t="s">
        <v>573</v>
      </c>
      <c r="C791" s="2" t="s">
        <v>6600</v>
      </c>
      <c r="D791" s="19" t="s">
        <v>8684</v>
      </c>
      <c r="E791" s="2">
        <v>0.5</v>
      </c>
      <c r="F791" s="2">
        <v>0</v>
      </c>
      <c r="G791" s="2">
        <v>550</v>
      </c>
      <c r="H791" s="2" t="s">
        <v>7142</v>
      </c>
      <c r="I791" s="2" t="s">
        <v>8686</v>
      </c>
      <c r="K791" s="2">
        <v>0.5</v>
      </c>
      <c r="L791" s="2">
        <v>1.8</v>
      </c>
      <c r="M791" s="2" t="s">
        <v>8680</v>
      </c>
      <c r="O791" s="2">
        <v>2013</v>
      </c>
      <c r="P791" s="2">
        <v>2012</v>
      </c>
      <c r="Q791" s="2" t="s">
        <v>8681</v>
      </c>
      <c r="S791" s="2">
        <v>10</v>
      </c>
      <c r="T791" s="2" t="s">
        <v>7142</v>
      </c>
    </row>
    <row r="792" spans="2:20">
      <c r="B792" s="2" t="s">
        <v>599</v>
      </c>
      <c r="C792" s="2" t="s">
        <v>6601</v>
      </c>
      <c r="D792" s="19" t="s">
        <v>8682</v>
      </c>
      <c r="E792" s="2">
        <v>0.8</v>
      </c>
      <c r="F792" s="2">
        <v>0</v>
      </c>
      <c r="G792" s="2">
        <v>880</v>
      </c>
      <c r="H792" s="2" t="s">
        <v>7143</v>
      </c>
      <c r="K792" s="2">
        <v>0.8</v>
      </c>
      <c r="L792" s="2">
        <v>1</v>
      </c>
      <c r="M792" s="2" t="s">
        <v>8680</v>
      </c>
      <c r="O792" s="2">
        <v>2021</v>
      </c>
      <c r="P792" s="2">
        <v>2021</v>
      </c>
      <c r="Q792" s="2" t="s">
        <v>8688</v>
      </c>
      <c r="S792" s="2">
        <v>10</v>
      </c>
      <c r="T792" s="2" t="s">
        <v>7142</v>
      </c>
    </row>
    <row r="793" spans="2:20">
      <c r="B793" s="2" t="s">
        <v>608</v>
      </c>
      <c r="C793" s="2" t="s">
        <v>6602</v>
      </c>
      <c r="D793" s="19" t="s">
        <v>8684</v>
      </c>
      <c r="E793" s="2">
        <v>0.25</v>
      </c>
      <c r="F793" s="2">
        <v>0</v>
      </c>
      <c r="G793" s="2">
        <v>260</v>
      </c>
      <c r="H793" s="2" t="s">
        <v>7143</v>
      </c>
      <c r="K793" s="2">
        <v>0.25</v>
      </c>
      <c r="L793" s="2">
        <v>1.8</v>
      </c>
      <c r="M793" s="2" t="s">
        <v>8680</v>
      </c>
      <c r="O793" s="2">
        <v>2019</v>
      </c>
      <c r="P793" s="2">
        <v>2019</v>
      </c>
      <c r="Q793" s="2" t="s">
        <v>8679</v>
      </c>
      <c r="S793" s="2">
        <v>10</v>
      </c>
      <c r="T793" s="2" t="s">
        <v>7142</v>
      </c>
    </row>
    <row r="794" spans="2:20">
      <c r="B794" s="2" t="s">
        <v>608</v>
      </c>
      <c r="C794" s="2" t="s">
        <v>6603</v>
      </c>
      <c r="D794" s="19" t="s">
        <v>8685</v>
      </c>
      <c r="E794" s="2">
        <v>0.45</v>
      </c>
      <c r="F794" s="2">
        <v>0</v>
      </c>
      <c r="G794" s="2">
        <v>470</v>
      </c>
      <c r="H794" s="2" t="s">
        <v>7143</v>
      </c>
      <c r="K794" s="2">
        <v>0.45</v>
      </c>
      <c r="L794" s="2">
        <v>1.2</v>
      </c>
      <c r="M794" s="2" t="s">
        <v>8680</v>
      </c>
      <c r="O794" s="2">
        <v>2021</v>
      </c>
      <c r="P794" s="2">
        <v>2021</v>
      </c>
      <c r="Q794" s="2" t="s">
        <v>8679</v>
      </c>
      <c r="S794" s="2">
        <v>10</v>
      </c>
      <c r="T794" s="2" t="s">
        <v>7142</v>
      </c>
    </row>
    <row r="795" spans="2:20">
      <c r="B795" s="2" t="s">
        <v>608</v>
      </c>
      <c r="C795" s="2" t="s">
        <v>6604</v>
      </c>
      <c r="D795" s="19" t="s">
        <v>8682</v>
      </c>
      <c r="E795" s="2">
        <v>0.5</v>
      </c>
      <c r="F795" s="2">
        <v>0</v>
      </c>
      <c r="G795" s="2">
        <v>500</v>
      </c>
      <c r="H795" s="2" t="s">
        <v>7143</v>
      </c>
      <c r="K795" s="2">
        <v>0.5</v>
      </c>
      <c r="L795" s="2">
        <v>2.4</v>
      </c>
      <c r="M795" s="2" t="s">
        <v>8680</v>
      </c>
      <c r="O795" s="2">
        <v>2010</v>
      </c>
      <c r="P795" s="2">
        <v>2010</v>
      </c>
      <c r="Q795" s="2" t="s">
        <v>8681</v>
      </c>
      <c r="S795" s="2">
        <v>10</v>
      </c>
      <c r="T795" s="2" t="s">
        <v>7142</v>
      </c>
    </row>
    <row r="796" spans="2:20">
      <c r="B796" s="2" t="s">
        <v>699</v>
      </c>
      <c r="C796" s="2" t="s">
        <v>6605</v>
      </c>
      <c r="D796" s="19" t="s">
        <v>8682</v>
      </c>
      <c r="E796" s="2">
        <v>0.5</v>
      </c>
      <c r="F796" s="2">
        <v>0.5</v>
      </c>
      <c r="G796" s="2">
        <v>550</v>
      </c>
      <c r="H796" s="2" t="s">
        <v>7143</v>
      </c>
      <c r="K796" s="2">
        <v>0.5</v>
      </c>
      <c r="L796" s="2">
        <v>2.2999999999999998</v>
      </c>
      <c r="M796" s="2" t="s">
        <v>8680</v>
      </c>
      <c r="O796" s="2">
        <v>2015</v>
      </c>
      <c r="P796" s="2">
        <v>2015</v>
      </c>
      <c r="Q796" s="2" t="s">
        <v>8679</v>
      </c>
      <c r="S796" s="2">
        <v>10</v>
      </c>
      <c r="T796" s="2" t="s">
        <v>7142</v>
      </c>
    </row>
    <row r="797" spans="2:20">
      <c r="B797" s="2" t="s">
        <v>753</v>
      </c>
      <c r="C797" s="2" t="s">
        <v>6606</v>
      </c>
      <c r="D797" s="19" t="s">
        <v>8684</v>
      </c>
      <c r="E797" s="2">
        <v>0.5</v>
      </c>
      <c r="F797" s="2">
        <v>0</v>
      </c>
      <c r="G797" s="2">
        <v>550</v>
      </c>
      <c r="H797" s="2" t="s">
        <v>7143</v>
      </c>
      <c r="K797" s="2">
        <v>0.5</v>
      </c>
      <c r="L797" s="2">
        <v>1.5</v>
      </c>
      <c r="M797" s="2" t="s">
        <v>8680</v>
      </c>
      <c r="O797" s="2">
        <v>2008</v>
      </c>
      <c r="P797" s="2">
        <v>2008</v>
      </c>
      <c r="Q797" s="2" t="s">
        <v>8681</v>
      </c>
      <c r="S797" s="2">
        <v>10</v>
      </c>
      <c r="T797" s="2" t="s">
        <v>7142</v>
      </c>
    </row>
    <row r="798" spans="2:20">
      <c r="B798" s="2" t="s">
        <v>753</v>
      </c>
      <c r="C798" s="2" t="s">
        <v>6607</v>
      </c>
      <c r="D798" s="19" t="s">
        <v>8682</v>
      </c>
      <c r="E798" s="2">
        <v>0.5</v>
      </c>
      <c r="F798" s="2">
        <v>0</v>
      </c>
      <c r="G798" s="2">
        <v>550</v>
      </c>
      <c r="H798" s="2" t="s">
        <v>7143</v>
      </c>
      <c r="K798" s="2">
        <v>0.5</v>
      </c>
      <c r="L798" s="2">
        <v>1.5</v>
      </c>
      <c r="M798" s="2" t="s">
        <v>8680</v>
      </c>
      <c r="O798" s="2">
        <v>2008</v>
      </c>
      <c r="P798" s="2">
        <v>2008</v>
      </c>
      <c r="Q798" s="2" t="s">
        <v>8681</v>
      </c>
      <c r="S798" s="2">
        <v>10</v>
      </c>
      <c r="T798" s="2" t="s">
        <v>7142</v>
      </c>
    </row>
    <row r="799" spans="2:20">
      <c r="B799" s="2" t="s">
        <v>734</v>
      </c>
      <c r="C799" s="2" t="s">
        <v>6608</v>
      </c>
      <c r="D799" s="19" t="s">
        <v>8682</v>
      </c>
      <c r="E799" s="2">
        <v>1.1000000000000001</v>
      </c>
      <c r="F799" s="2">
        <v>0</v>
      </c>
      <c r="G799" s="2">
        <v>1200</v>
      </c>
      <c r="H799" s="2" t="s">
        <v>7143</v>
      </c>
      <c r="K799" s="2">
        <v>1.1000000000000001</v>
      </c>
      <c r="L799" s="2">
        <v>3.2</v>
      </c>
      <c r="M799" s="2" t="s">
        <v>8680</v>
      </c>
      <c r="O799" s="2">
        <v>2017</v>
      </c>
      <c r="P799" s="2">
        <v>2017</v>
      </c>
      <c r="Q799" s="2" t="s">
        <v>8681</v>
      </c>
      <c r="S799" s="2">
        <v>10</v>
      </c>
      <c r="T799" s="2" t="s">
        <v>7142</v>
      </c>
    </row>
    <row r="800" spans="2:20">
      <c r="B800" s="2" t="s">
        <v>734</v>
      </c>
      <c r="C800" s="2" t="s">
        <v>6609</v>
      </c>
      <c r="D800" s="19" t="s">
        <v>8684</v>
      </c>
      <c r="E800" s="2">
        <v>1</v>
      </c>
      <c r="F800" s="2">
        <v>0</v>
      </c>
      <c r="G800" s="2">
        <v>1100</v>
      </c>
      <c r="H800" s="2" t="s">
        <v>7143</v>
      </c>
      <c r="K800" s="2">
        <v>1</v>
      </c>
      <c r="L800" s="2">
        <v>2.8</v>
      </c>
      <c r="M800" s="2" t="s">
        <v>8678</v>
      </c>
      <c r="O800" s="2">
        <v>2019</v>
      </c>
      <c r="P800" s="2">
        <v>2019</v>
      </c>
      <c r="Q800" s="2" t="s">
        <v>8681</v>
      </c>
      <c r="S800" s="2">
        <v>10</v>
      </c>
      <c r="T800" s="2" t="s">
        <v>7142</v>
      </c>
    </row>
    <row r="801" spans="2:20">
      <c r="B801" s="2" t="s">
        <v>829</v>
      </c>
      <c r="C801" s="2" t="s">
        <v>6610</v>
      </c>
      <c r="D801" s="19" t="s">
        <v>8684</v>
      </c>
      <c r="E801" s="2">
        <v>0.4</v>
      </c>
      <c r="F801" s="2">
        <v>0</v>
      </c>
      <c r="G801" s="2">
        <v>440</v>
      </c>
      <c r="H801" s="2" t="s">
        <v>7143</v>
      </c>
      <c r="K801" s="2">
        <v>0.4</v>
      </c>
      <c r="M801" s="2" t="s">
        <v>8680</v>
      </c>
      <c r="O801" s="2">
        <v>1998</v>
      </c>
      <c r="P801" s="2">
        <v>2020</v>
      </c>
      <c r="Q801" s="2" t="s">
        <v>8679</v>
      </c>
      <c r="S801" s="2">
        <v>2</v>
      </c>
      <c r="T801" s="2" t="s">
        <v>7142</v>
      </c>
    </row>
    <row r="802" spans="2:20">
      <c r="B802" s="2" t="s">
        <v>829</v>
      </c>
      <c r="C802" s="2" t="s">
        <v>6611</v>
      </c>
      <c r="D802" s="19" t="s">
        <v>8682</v>
      </c>
      <c r="E802" s="2">
        <v>0.3</v>
      </c>
      <c r="F802" s="2">
        <v>0</v>
      </c>
      <c r="G802" s="2">
        <v>330</v>
      </c>
      <c r="H802" s="2" t="s">
        <v>7143</v>
      </c>
      <c r="K802" s="2">
        <v>0.3</v>
      </c>
      <c r="L802" s="2">
        <v>0.7</v>
      </c>
      <c r="M802" s="2" t="s">
        <v>8680</v>
      </c>
      <c r="O802" s="2">
        <v>2018</v>
      </c>
      <c r="P802" s="2">
        <v>2018</v>
      </c>
      <c r="Q802" s="2" t="s">
        <v>8681</v>
      </c>
      <c r="S802" s="2">
        <v>2</v>
      </c>
      <c r="T802" s="2" t="s">
        <v>7142</v>
      </c>
    </row>
    <row r="803" spans="2:20">
      <c r="B803" s="2" t="s">
        <v>852</v>
      </c>
      <c r="C803" s="2" t="s">
        <v>6612</v>
      </c>
      <c r="D803" s="19" t="s">
        <v>8682</v>
      </c>
      <c r="E803" s="2">
        <v>0.6</v>
      </c>
      <c r="F803" s="2">
        <v>0</v>
      </c>
      <c r="G803" s="2">
        <v>650</v>
      </c>
      <c r="H803" s="2" t="s">
        <v>7143</v>
      </c>
      <c r="K803" s="2">
        <v>0.6</v>
      </c>
      <c r="L803" s="2">
        <v>0.85</v>
      </c>
      <c r="M803" s="2" t="s">
        <v>8678</v>
      </c>
      <c r="O803" s="2">
        <v>2021</v>
      </c>
      <c r="P803" s="2">
        <v>2021</v>
      </c>
      <c r="Q803" s="2" t="s">
        <v>8688</v>
      </c>
      <c r="S803" s="2">
        <v>1</v>
      </c>
      <c r="T803" s="2" t="s">
        <v>7143</v>
      </c>
    </row>
    <row r="804" spans="2:20">
      <c r="B804" s="2" t="s">
        <v>879</v>
      </c>
      <c r="C804" s="2" t="s">
        <v>6613</v>
      </c>
      <c r="D804" s="19" t="s">
        <v>8682</v>
      </c>
      <c r="E804" s="2">
        <v>0.65</v>
      </c>
      <c r="F804" s="2">
        <v>0</v>
      </c>
      <c r="G804" s="2">
        <v>700</v>
      </c>
      <c r="H804" s="2" t="s">
        <v>7142</v>
      </c>
      <c r="I804" s="2" t="s">
        <v>8686</v>
      </c>
      <c r="K804" s="2">
        <v>0.65</v>
      </c>
      <c r="L804" s="2">
        <v>3</v>
      </c>
      <c r="M804" s="2" t="s">
        <v>8678</v>
      </c>
      <c r="O804" s="2">
        <v>2009</v>
      </c>
      <c r="P804" s="2">
        <v>2009</v>
      </c>
      <c r="Q804" s="2" t="s">
        <v>8681</v>
      </c>
      <c r="S804" s="2">
        <v>10</v>
      </c>
      <c r="T804" s="2" t="s">
        <v>7143</v>
      </c>
    </row>
    <row r="805" spans="2:20">
      <c r="B805" s="2" t="s">
        <v>905</v>
      </c>
      <c r="C805" s="2" t="s">
        <v>6614</v>
      </c>
      <c r="D805" s="19" t="s">
        <v>8699</v>
      </c>
      <c r="E805" s="2">
        <v>0.3</v>
      </c>
      <c r="F805" s="2">
        <v>0</v>
      </c>
      <c r="G805" s="2">
        <v>330</v>
      </c>
      <c r="H805" s="2" t="s">
        <v>7143</v>
      </c>
      <c r="K805" s="2">
        <v>0</v>
      </c>
      <c r="L805" s="2">
        <v>0</v>
      </c>
      <c r="M805" s="2" t="s">
        <v>8680</v>
      </c>
      <c r="O805" s="2">
        <v>2024</v>
      </c>
      <c r="P805" s="2">
        <v>2024</v>
      </c>
      <c r="Q805" s="2" t="s">
        <v>8679</v>
      </c>
      <c r="S805" s="2">
        <v>3</v>
      </c>
      <c r="T805" s="2" t="s">
        <v>7142</v>
      </c>
    </row>
    <row r="806" spans="2:20">
      <c r="B806" s="2" t="s">
        <v>905</v>
      </c>
      <c r="C806" s="2" t="s">
        <v>6615</v>
      </c>
      <c r="D806" s="19" t="s">
        <v>8685</v>
      </c>
      <c r="E806" s="2">
        <v>0.6</v>
      </c>
      <c r="F806" s="2">
        <v>0</v>
      </c>
      <c r="G806" s="2">
        <v>660</v>
      </c>
      <c r="H806" s="2" t="s">
        <v>7143</v>
      </c>
      <c r="K806" s="2">
        <v>0.6</v>
      </c>
      <c r="L806" s="2">
        <v>3.6</v>
      </c>
      <c r="M806" s="2" t="s">
        <v>8680</v>
      </c>
      <c r="O806" s="2">
        <v>2013</v>
      </c>
      <c r="P806" s="2">
        <v>2013</v>
      </c>
      <c r="Q806" s="2" t="s">
        <v>8681</v>
      </c>
      <c r="S806" s="2">
        <v>3</v>
      </c>
      <c r="T806" s="2" t="s">
        <v>7142</v>
      </c>
    </row>
    <row r="807" spans="2:20">
      <c r="B807" s="2" t="s">
        <v>905</v>
      </c>
      <c r="C807" s="2" t="s">
        <v>6616</v>
      </c>
      <c r="D807" s="19" t="s">
        <v>8682</v>
      </c>
      <c r="E807" s="2">
        <v>0.6</v>
      </c>
      <c r="G807" s="2">
        <v>660</v>
      </c>
      <c r="H807" s="2" t="s">
        <v>7143</v>
      </c>
      <c r="K807" s="2">
        <v>0.6</v>
      </c>
      <c r="L807" s="2">
        <v>2.9</v>
      </c>
      <c r="M807" s="2" t="s">
        <v>8680</v>
      </c>
      <c r="O807" s="2">
        <v>2015</v>
      </c>
      <c r="P807" s="2">
        <v>2015</v>
      </c>
      <c r="Q807" s="2" t="s">
        <v>8681</v>
      </c>
      <c r="S807" s="2">
        <v>3</v>
      </c>
      <c r="T807" s="2" t="s">
        <v>7142</v>
      </c>
    </row>
    <row r="808" spans="2:20">
      <c r="B808" s="2" t="s">
        <v>905</v>
      </c>
      <c r="C808" s="2" t="s">
        <v>6617</v>
      </c>
      <c r="D808" s="19" t="s">
        <v>8684</v>
      </c>
      <c r="E808" s="2">
        <v>1.5</v>
      </c>
      <c r="F808" s="2">
        <v>0</v>
      </c>
      <c r="G808" s="2">
        <v>1650</v>
      </c>
      <c r="H808" s="2" t="s">
        <v>7143</v>
      </c>
      <c r="K808" s="2">
        <v>1.5</v>
      </c>
      <c r="L808" s="2">
        <v>6.5</v>
      </c>
      <c r="M808" s="2" t="s">
        <v>8680</v>
      </c>
      <c r="O808" s="2">
        <v>2015</v>
      </c>
      <c r="P808" s="2">
        <v>2015</v>
      </c>
      <c r="Q808" s="2" t="s">
        <v>8683</v>
      </c>
      <c r="S808" s="2">
        <v>3</v>
      </c>
      <c r="T808" s="2" t="s">
        <v>7142</v>
      </c>
    </row>
    <row r="809" spans="2:20">
      <c r="B809" s="2" t="s">
        <v>954</v>
      </c>
      <c r="C809" s="2" t="s">
        <v>6618</v>
      </c>
      <c r="D809" s="19" t="s">
        <v>8682</v>
      </c>
      <c r="E809" s="2">
        <v>0.3</v>
      </c>
      <c r="F809" s="2">
        <v>0</v>
      </c>
      <c r="G809" s="2">
        <v>330</v>
      </c>
      <c r="H809" s="2" t="s">
        <v>7143</v>
      </c>
      <c r="K809" s="2">
        <v>0.3</v>
      </c>
      <c r="L809" s="2">
        <v>1</v>
      </c>
      <c r="M809" s="2" t="s">
        <v>8678</v>
      </c>
      <c r="O809" s="2">
        <v>2018</v>
      </c>
      <c r="P809" s="2">
        <v>2018</v>
      </c>
      <c r="Q809" s="2" t="s">
        <v>8688</v>
      </c>
      <c r="S809" s="2">
        <v>1</v>
      </c>
      <c r="T809" s="2" t="s">
        <v>7143</v>
      </c>
    </row>
    <row r="810" spans="2:20">
      <c r="B810" s="2" t="s">
        <v>996</v>
      </c>
      <c r="C810" s="2" t="s">
        <v>6619</v>
      </c>
      <c r="D810" s="19" t="s">
        <v>8684</v>
      </c>
      <c r="E810" s="2">
        <v>0.4</v>
      </c>
      <c r="F810" s="2">
        <v>0</v>
      </c>
      <c r="G810" s="2">
        <v>440</v>
      </c>
      <c r="H810" s="2" t="s">
        <v>7142</v>
      </c>
      <c r="I810" s="2" t="s">
        <v>8686</v>
      </c>
      <c r="K810" s="2">
        <v>0.4</v>
      </c>
      <c r="L810" s="2">
        <v>1.5</v>
      </c>
      <c r="M810" s="2" t="s">
        <v>8678</v>
      </c>
      <c r="O810" s="2">
        <v>2015</v>
      </c>
      <c r="P810" s="2">
        <v>2015</v>
      </c>
      <c r="Q810" s="2" t="s">
        <v>8688</v>
      </c>
      <c r="S810" s="2">
        <v>1</v>
      </c>
      <c r="T810" s="2" t="s">
        <v>7143</v>
      </c>
    </row>
    <row r="811" spans="2:20">
      <c r="B811" s="2" t="s">
        <v>996</v>
      </c>
      <c r="C811" s="2" t="s">
        <v>6620</v>
      </c>
      <c r="D811" s="19" t="s">
        <v>8682</v>
      </c>
      <c r="E811" s="2">
        <v>0.35</v>
      </c>
      <c r="F811" s="2">
        <v>0</v>
      </c>
      <c r="G811" s="2">
        <v>330</v>
      </c>
      <c r="H811" s="2" t="s">
        <v>7143</v>
      </c>
      <c r="K811" s="2">
        <v>0.35</v>
      </c>
      <c r="L811" s="2">
        <v>1.3</v>
      </c>
      <c r="M811" s="2" t="s">
        <v>8678</v>
      </c>
      <c r="O811" s="2">
        <v>2015</v>
      </c>
      <c r="P811" s="2">
        <v>2015</v>
      </c>
      <c r="Q811" s="2" t="s">
        <v>8688</v>
      </c>
      <c r="S811" s="2">
        <v>1</v>
      </c>
      <c r="T811" s="2" t="s">
        <v>7143</v>
      </c>
    </row>
    <row r="812" spans="2:20">
      <c r="B812" s="2" t="s">
        <v>1026</v>
      </c>
      <c r="C812" s="2" t="s">
        <v>6621</v>
      </c>
      <c r="D812" s="19" t="s">
        <v>8682</v>
      </c>
      <c r="E812" s="2">
        <v>1.6</v>
      </c>
      <c r="F812" s="2">
        <v>0</v>
      </c>
      <c r="G812" s="2">
        <v>1600</v>
      </c>
      <c r="H812" s="2" t="s">
        <v>7143</v>
      </c>
      <c r="K812" s="2">
        <v>1.6</v>
      </c>
      <c r="L812" s="2">
        <v>6.5</v>
      </c>
      <c r="M812" s="2" t="s">
        <v>8680</v>
      </c>
      <c r="O812" s="2">
        <v>2012</v>
      </c>
      <c r="P812" s="2">
        <v>2012</v>
      </c>
      <c r="Q812" s="2" t="s">
        <v>8688</v>
      </c>
      <c r="S812" s="2">
        <v>3</v>
      </c>
      <c r="T812" s="2" t="s">
        <v>7142</v>
      </c>
    </row>
    <row r="813" spans="2:20">
      <c r="B813" s="2" t="s">
        <v>1224</v>
      </c>
      <c r="C813" s="2" t="s">
        <v>6622</v>
      </c>
      <c r="D813" s="19" t="s">
        <v>8682</v>
      </c>
      <c r="E813" s="2">
        <v>0.2</v>
      </c>
      <c r="F813" s="2">
        <v>0</v>
      </c>
      <c r="G813" s="2">
        <v>200</v>
      </c>
      <c r="H813" s="2" t="s">
        <v>7143</v>
      </c>
      <c r="K813" s="2">
        <v>0.2</v>
      </c>
      <c r="L813" s="2">
        <v>0.4</v>
      </c>
      <c r="M813" s="2" t="s">
        <v>8678</v>
      </c>
      <c r="O813" s="2">
        <v>2016</v>
      </c>
      <c r="P813" s="2">
        <v>2016</v>
      </c>
      <c r="Q813" s="2" t="s">
        <v>8681</v>
      </c>
      <c r="S813" s="2">
        <v>2</v>
      </c>
      <c r="T813" s="2" t="s">
        <v>7143</v>
      </c>
    </row>
    <row r="814" spans="2:20">
      <c r="B814" s="2" t="s">
        <v>1224</v>
      </c>
      <c r="C814" s="2" t="s">
        <v>6623</v>
      </c>
      <c r="D814" s="19" t="s">
        <v>8684</v>
      </c>
      <c r="E814" s="2">
        <v>0.8</v>
      </c>
      <c r="F814" s="2">
        <v>0</v>
      </c>
      <c r="G814" s="2">
        <v>800</v>
      </c>
      <c r="H814" s="2" t="s">
        <v>7143</v>
      </c>
      <c r="K814" s="2">
        <v>0.8</v>
      </c>
      <c r="L814" s="2">
        <v>2.1</v>
      </c>
      <c r="M814" s="2" t="s">
        <v>8678</v>
      </c>
      <c r="O814" s="2">
        <v>2019</v>
      </c>
      <c r="P814" s="2">
        <v>2019</v>
      </c>
      <c r="Q814" s="2" t="s">
        <v>8681</v>
      </c>
      <c r="S814" s="2">
        <v>2</v>
      </c>
      <c r="T814" s="2" t="s">
        <v>7143</v>
      </c>
    </row>
    <row r="815" spans="2:20">
      <c r="B815" s="2" t="s">
        <v>1233</v>
      </c>
      <c r="C815" s="2" t="s">
        <v>6624</v>
      </c>
      <c r="D815" s="19" t="s">
        <v>8684</v>
      </c>
      <c r="E815" s="2">
        <v>0.5</v>
      </c>
      <c r="F815" s="2">
        <v>0</v>
      </c>
      <c r="G815" s="2">
        <v>500</v>
      </c>
      <c r="H815" s="2" t="s">
        <v>7143</v>
      </c>
      <c r="K815" s="2">
        <v>0.5</v>
      </c>
      <c r="L815" s="2">
        <v>1</v>
      </c>
      <c r="M815" s="2" t="s">
        <v>8678</v>
      </c>
      <c r="O815" s="2">
        <v>2009</v>
      </c>
      <c r="P815" s="2">
        <v>2009</v>
      </c>
      <c r="Q815" s="2" t="s">
        <v>8681</v>
      </c>
      <c r="S815" s="2">
        <v>1</v>
      </c>
      <c r="T815" s="2" t="s">
        <v>7143</v>
      </c>
    </row>
    <row r="816" spans="2:20">
      <c r="B816" s="2" t="s">
        <v>1233</v>
      </c>
      <c r="C816" s="2" t="s">
        <v>6625</v>
      </c>
      <c r="D816" s="19" t="s">
        <v>8685</v>
      </c>
      <c r="E816" s="2">
        <v>0.6</v>
      </c>
      <c r="F816" s="2">
        <v>0</v>
      </c>
      <c r="G816" s="2">
        <v>660</v>
      </c>
      <c r="H816" s="2" t="s">
        <v>7143</v>
      </c>
      <c r="K816" s="2">
        <v>0.6</v>
      </c>
      <c r="L816" s="2">
        <v>1.1000000000000001</v>
      </c>
      <c r="M816" s="2" t="s">
        <v>8719</v>
      </c>
      <c r="O816" s="2">
        <v>2015</v>
      </c>
      <c r="P816" s="2">
        <v>2015</v>
      </c>
      <c r="Q816" s="2" t="s">
        <v>8681</v>
      </c>
      <c r="S816" s="2">
        <v>2</v>
      </c>
      <c r="T816" s="2" t="s">
        <v>7143</v>
      </c>
    </row>
    <row r="817" spans="2:20">
      <c r="B817" s="2" t="s">
        <v>1233</v>
      </c>
      <c r="C817" s="2" t="s">
        <v>6627</v>
      </c>
      <c r="D817" s="19" t="s">
        <v>8682</v>
      </c>
      <c r="E817" s="2">
        <v>0.2</v>
      </c>
      <c r="F817" s="2">
        <v>0</v>
      </c>
      <c r="G817" s="2">
        <v>200</v>
      </c>
      <c r="H817" s="2" t="s">
        <v>7143</v>
      </c>
      <c r="K817" s="2">
        <v>0</v>
      </c>
      <c r="L817" s="2">
        <v>0</v>
      </c>
      <c r="M817" s="2" t="s">
        <v>8678</v>
      </c>
      <c r="O817" s="2">
        <v>2000</v>
      </c>
      <c r="P817" s="2">
        <v>2024</v>
      </c>
      <c r="Q817" s="2" t="s">
        <v>8679</v>
      </c>
      <c r="S817" s="2">
        <v>3</v>
      </c>
      <c r="T817" s="2" t="s">
        <v>7143</v>
      </c>
    </row>
    <row r="818" spans="2:20">
      <c r="B818" s="2" t="s">
        <v>1252</v>
      </c>
      <c r="C818" s="2" t="s">
        <v>6628</v>
      </c>
      <c r="D818" s="19" t="s">
        <v>8682</v>
      </c>
      <c r="E818" s="2">
        <v>2</v>
      </c>
      <c r="F818" s="2">
        <v>0</v>
      </c>
      <c r="G818" s="2">
        <v>2200</v>
      </c>
      <c r="H818" s="2" t="s">
        <v>7143</v>
      </c>
      <c r="K818" s="2">
        <v>2</v>
      </c>
      <c r="L818" s="2">
        <v>4</v>
      </c>
      <c r="M818" s="2" t="s">
        <v>8678</v>
      </c>
      <c r="O818" s="2">
        <v>2015</v>
      </c>
      <c r="P818" s="2">
        <v>2015</v>
      </c>
      <c r="Q818" s="2" t="s">
        <v>8681</v>
      </c>
      <c r="S818" s="2">
        <v>2</v>
      </c>
      <c r="T818" s="2" t="s">
        <v>7143</v>
      </c>
    </row>
    <row r="819" spans="2:20">
      <c r="B819" s="2" t="s">
        <v>1252</v>
      </c>
      <c r="C819" s="2" t="s">
        <v>6629</v>
      </c>
      <c r="D819" s="19" t="s">
        <v>8684</v>
      </c>
      <c r="E819" s="2">
        <v>1</v>
      </c>
      <c r="F819" s="2">
        <v>0</v>
      </c>
      <c r="G819" s="2">
        <v>1100</v>
      </c>
      <c r="H819" s="2" t="s">
        <v>7143</v>
      </c>
      <c r="K819" s="2">
        <v>1</v>
      </c>
      <c r="L819" s="2">
        <v>1.2</v>
      </c>
      <c r="M819" s="2" t="s">
        <v>8678</v>
      </c>
      <c r="O819" s="2">
        <v>2015</v>
      </c>
      <c r="P819" s="2">
        <v>2015</v>
      </c>
      <c r="Q819" s="2" t="s">
        <v>8681</v>
      </c>
      <c r="S819" s="2">
        <v>2</v>
      </c>
      <c r="T819" s="2" t="s">
        <v>7143</v>
      </c>
    </row>
    <row r="820" spans="2:20">
      <c r="B820" s="2" t="s">
        <v>1285</v>
      </c>
      <c r="C820" s="2" t="s">
        <v>6630</v>
      </c>
      <c r="D820" s="19" t="s">
        <v>8684</v>
      </c>
      <c r="E820" s="2">
        <v>0.2</v>
      </c>
      <c r="F820" s="2">
        <v>0</v>
      </c>
      <c r="G820" s="2">
        <v>220</v>
      </c>
      <c r="H820" s="2" t="s">
        <v>7143</v>
      </c>
      <c r="K820" s="2">
        <v>0.2</v>
      </c>
      <c r="L820" s="2">
        <v>0.7</v>
      </c>
      <c r="M820" s="2" t="s">
        <v>8678</v>
      </c>
      <c r="O820" s="2">
        <v>2010</v>
      </c>
      <c r="P820" s="2">
        <v>2010</v>
      </c>
      <c r="Q820" s="2" t="s">
        <v>8681</v>
      </c>
      <c r="S820" s="2">
        <v>2</v>
      </c>
      <c r="T820" s="2" t="s">
        <v>7143</v>
      </c>
    </row>
    <row r="821" spans="2:20">
      <c r="B821" s="2" t="s">
        <v>1285</v>
      </c>
      <c r="C821" s="2" t="s">
        <v>6631</v>
      </c>
      <c r="D821" s="19" t="s">
        <v>8685</v>
      </c>
      <c r="E821" s="2">
        <v>0.2</v>
      </c>
      <c r="F821" s="2">
        <v>0</v>
      </c>
      <c r="G821" s="2">
        <v>220</v>
      </c>
      <c r="H821" s="2" t="s">
        <v>7143</v>
      </c>
      <c r="K821" s="2">
        <v>0</v>
      </c>
      <c r="L821" s="2">
        <v>0</v>
      </c>
      <c r="M821" s="2" t="s">
        <v>8678</v>
      </c>
      <c r="O821" s="2">
        <v>2024</v>
      </c>
      <c r="P821" s="2">
        <v>2024</v>
      </c>
      <c r="Q821" s="2" t="s">
        <v>8681</v>
      </c>
      <c r="S821" s="2">
        <v>1</v>
      </c>
      <c r="T821" s="2" t="s">
        <v>7143</v>
      </c>
    </row>
    <row r="822" spans="2:20">
      <c r="B822" s="2" t="s">
        <v>1285</v>
      </c>
      <c r="C822" s="2" t="s">
        <v>6632</v>
      </c>
      <c r="D822" s="19" t="s">
        <v>8682</v>
      </c>
      <c r="E822" s="2">
        <v>1.1000000000000001</v>
      </c>
      <c r="F822" s="2">
        <v>0</v>
      </c>
      <c r="G822" s="2">
        <v>1100</v>
      </c>
      <c r="H822" s="2" t="s">
        <v>7143</v>
      </c>
      <c r="K822" s="2">
        <v>0.5</v>
      </c>
      <c r="L822" s="2">
        <v>0.8</v>
      </c>
      <c r="M822" s="2" t="s">
        <v>8678</v>
      </c>
      <c r="O822" s="2">
        <v>2014</v>
      </c>
      <c r="P822" s="2">
        <v>2014</v>
      </c>
      <c r="Q822" s="2" t="s">
        <v>8681</v>
      </c>
      <c r="S822" s="2">
        <v>1</v>
      </c>
      <c r="T822" s="2" t="s">
        <v>7143</v>
      </c>
    </row>
    <row r="823" spans="2:20">
      <c r="B823" s="2" t="s">
        <v>1310</v>
      </c>
      <c r="C823" s="2" t="s">
        <v>6633</v>
      </c>
      <c r="D823" s="19" t="s">
        <v>8685</v>
      </c>
      <c r="E823" s="2">
        <v>0.5</v>
      </c>
      <c r="F823" s="2">
        <v>0</v>
      </c>
      <c r="G823" s="2">
        <v>550</v>
      </c>
      <c r="H823" s="2" t="s">
        <v>7142</v>
      </c>
      <c r="I823" s="2" t="s">
        <v>8687</v>
      </c>
      <c r="K823" s="2">
        <v>0</v>
      </c>
      <c r="L823" s="2">
        <v>0</v>
      </c>
      <c r="M823" s="2" t="s">
        <v>8680</v>
      </c>
      <c r="O823" s="2">
        <v>2024</v>
      </c>
      <c r="P823" s="2">
        <v>2024</v>
      </c>
      <c r="Q823" s="2" t="s">
        <v>8679</v>
      </c>
      <c r="S823" s="2">
        <v>2</v>
      </c>
      <c r="T823" s="2" t="s">
        <v>7142</v>
      </c>
    </row>
    <row r="824" spans="2:20">
      <c r="B824" s="2" t="s">
        <v>1310</v>
      </c>
      <c r="C824" s="2" t="s">
        <v>6634</v>
      </c>
      <c r="D824" s="19" t="s">
        <v>8684</v>
      </c>
      <c r="E824" s="2">
        <v>0.5</v>
      </c>
      <c r="F824" s="2">
        <v>0</v>
      </c>
      <c r="G824" s="2">
        <v>550</v>
      </c>
      <c r="H824" s="2" t="s">
        <v>7143</v>
      </c>
      <c r="K824" s="2">
        <v>0.5</v>
      </c>
      <c r="L824" s="2">
        <v>2</v>
      </c>
      <c r="M824" s="2" t="s">
        <v>8678</v>
      </c>
      <c r="O824" s="2">
        <v>2008</v>
      </c>
      <c r="P824" s="2">
        <v>2008</v>
      </c>
      <c r="Q824" s="2" t="s">
        <v>8681</v>
      </c>
      <c r="S824" s="2">
        <v>2</v>
      </c>
      <c r="T824" s="2" t="s">
        <v>7142</v>
      </c>
    </row>
    <row r="825" spans="2:20">
      <c r="B825" s="2" t="s">
        <v>1310</v>
      </c>
      <c r="C825" s="2" t="s">
        <v>6635</v>
      </c>
      <c r="D825" s="19" t="s">
        <v>8682</v>
      </c>
      <c r="E825" s="2">
        <v>2</v>
      </c>
      <c r="F825" s="2">
        <v>0</v>
      </c>
      <c r="G825" s="2">
        <v>2200</v>
      </c>
      <c r="H825" s="2" t="s">
        <v>7143</v>
      </c>
      <c r="K825" s="2">
        <v>2</v>
      </c>
      <c r="L825" s="2">
        <v>5.5</v>
      </c>
      <c r="M825" s="2" t="s">
        <v>8680</v>
      </c>
      <c r="O825" s="2">
        <v>2012</v>
      </c>
      <c r="P825" s="2">
        <v>2012</v>
      </c>
      <c r="Q825" s="2" t="s">
        <v>8681</v>
      </c>
      <c r="S825" s="2">
        <v>2</v>
      </c>
      <c r="T825" s="2" t="s">
        <v>7142</v>
      </c>
    </row>
    <row r="826" spans="2:20">
      <c r="B826" s="2" t="s">
        <v>1336</v>
      </c>
      <c r="C826" s="2" t="s">
        <v>6636</v>
      </c>
      <c r="D826" s="19" t="s">
        <v>8699</v>
      </c>
      <c r="E826" s="2">
        <v>1</v>
      </c>
      <c r="F826" s="2">
        <v>0</v>
      </c>
      <c r="G826" s="2">
        <v>1100</v>
      </c>
      <c r="H826" s="2" t="s">
        <v>7143</v>
      </c>
      <c r="K826" s="2">
        <v>1</v>
      </c>
      <c r="L826" s="2">
        <v>2.5</v>
      </c>
      <c r="M826" s="2" t="s">
        <v>8678</v>
      </c>
      <c r="O826" s="2">
        <v>2019</v>
      </c>
      <c r="P826" s="2">
        <v>2019</v>
      </c>
      <c r="Q826" s="2" t="s">
        <v>8681</v>
      </c>
      <c r="S826" s="2">
        <v>2</v>
      </c>
      <c r="T826" s="2" t="s">
        <v>7142</v>
      </c>
    </row>
    <row r="827" spans="2:20">
      <c r="B827" s="2" t="s">
        <v>1336</v>
      </c>
      <c r="C827" s="2" t="s">
        <v>6637</v>
      </c>
      <c r="D827" s="19" t="s">
        <v>8682</v>
      </c>
      <c r="E827" s="2">
        <v>0.5</v>
      </c>
      <c r="F827" s="2">
        <v>0</v>
      </c>
      <c r="G827" s="2">
        <v>550</v>
      </c>
      <c r="H827" s="2" t="s">
        <v>7142</v>
      </c>
      <c r="I827" s="2" t="s">
        <v>8686</v>
      </c>
      <c r="K827" s="2">
        <v>0</v>
      </c>
      <c r="M827" s="2" t="s">
        <v>8678</v>
      </c>
      <c r="O827" s="2">
        <v>2022</v>
      </c>
      <c r="P827" s="2">
        <v>2022</v>
      </c>
      <c r="Q827" s="2" t="s">
        <v>8679</v>
      </c>
      <c r="S827" s="2">
        <v>2</v>
      </c>
      <c r="T827" s="2" t="s">
        <v>7142</v>
      </c>
    </row>
    <row r="828" spans="2:20">
      <c r="B828" s="2" t="s">
        <v>1336</v>
      </c>
      <c r="C828" s="2" t="s">
        <v>6638</v>
      </c>
      <c r="D828" s="19" t="s">
        <v>8684</v>
      </c>
      <c r="E828" s="2">
        <v>0.5</v>
      </c>
      <c r="F828" s="2">
        <v>0</v>
      </c>
      <c r="G828" s="2">
        <v>550</v>
      </c>
      <c r="H828" s="2" t="s">
        <v>7143</v>
      </c>
      <c r="K828" s="2">
        <v>0.5</v>
      </c>
      <c r="L828" s="2">
        <v>0.7</v>
      </c>
      <c r="M828" s="2" t="s">
        <v>8680</v>
      </c>
      <c r="O828" s="2">
        <v>2001</v>
      </c>
      <c r="P828" s="2">
        <v>2001</v>
      </c>
      <c r="Q828" s="2" t="s">
        <v>8681</v>
      </c>
      <c r="S828" s="2">
        <v>2</v>
      </c>
      <c r="T828" s="2" t="s">
        <v>7142</v>
      </c>
    </row>
    <row r="829" spans="2:20">
      <c r="B829" s="2" t="s">
        <v>1336</v>
      </c>
      <c r="C829" s="2" t="s">
        <v>6639</v>
      </c>
      <c r="D829" s="19" t="s">
        <v>8685</v>
      </c>
      <c r="E829" s="2">
        <v>1</v>
      </c>
      <c r="F829" s="2">
        <v>0</v>
      </c>
      <c r="G829" s="2">
        <v>1100</v>
      </c>
      <c r="H829" s="2" t="s">
        <v>7143</v>
      </c>
      <c r="K829" s="2">
        <v>1</v>
      </c>
      <c r="L829" s="2">
        <v>2.8</v>
      </c>
      <c r="M829" s="2" t="s">
        <v>8678</v>
      </c>
      <c r="O829" s="2">
        <v>2018</v>
      </c>
      <c r="P829" s="2">
        <v>2018</v>
      </c>
      <c r="Q829" s="2" t="s">
        <v>8681</v>
      </c>
      <c r="S829" s="2">
        <v>2</v>
      </c>
      <c r="T829" s="2" t="s">
        <v>7142</v>
      </c>
    </row>
    <row r="830" spans="2:20">
      <c r="B830" s="2" t="s">
        <v>1374</v>
      </c>
      <c r="C830" s="2" t="s">
        <v>6640</v>
      </c>
      <c r="D830" s="19" t="s">
        <v>8682</v>
      </c>
      <c r="E830" s="2">
        <v>0.5</v>
      </c>
      <c r="F830" s="2">
        <v>0</v>
      </c>
      <c r="G830" s="2">
        <v>550</v>
      </c>
      <c r="H830" s="2" t="s">
        <v>7143</v>
      </c>
      <c r="K830" s="2">
        <v>0.5</v>
      </c>
      <c r="L830" s="2">
        <v>0.9</v>
      </c>
      <c r="M830" s="2" t="s">
        <v>8678</v>
      </c>
      <c r="O830" s="2">
        <v>2010</v>
      </c>
      <c r="P830" s="2">
        <v>2010</v>
      </c>
      <c r="Q830" s="2" t="s">
        <v>8681</v>
      </c>
      <c r="S830" s="2">
        <v>1</v>
      </c>
      <c r="T830" s="2" t="s">
        <v>7142</v>
      </c>
    </row>
    <row r="831" spans="2:20">
      <c r="B831" s="2" t="s">
        <v>1374</v>
      </c>
      <c r="C831" s="2" t="s">
        <v>6641</v>
      </c>
      <c r="D831" s="19" t="s">
        <v>8685</v>
      </c>
      <c r="E831" s="2">
        <v>0.5</v>
      </c>
      <c r="F831" s="2">
        <v>0</v>
      </c>
      <c r="G831" s="2">
        <v>550</v>
      </c>
      <c r="H831" s="2" t="s">
        <v>7143</v>
      </c>
      <c r="K831" s="2">
        <v>0</v>
      </c>
      <c r="L831" s="2">
        <v>0</v>
      </c>
      <c r="M831" s="2" t="s">
        <v>8680</v>
      </c>
      <c r="O831" s="2">
        <v>2005</v>
      </c>
      <c r="P831" s="2">
        <v>2022</v>
      </c>
      <c r="Q831" s="2" t="s">
        <v>8679</v>
      </c>
      <c r="S831" s="2">
        <v>2</v>
      </c>
      <c r="T831" s="2" t="s">
        <v>7142</v>
      </c>
    </row>
    <row r="832" spans="2:20">
      <c r="B832" s="2" t="s">
        <v>1374</v>
      </c>
      <c r="C832" s="2" t="s">
        <v>6642</v>
      </c>
      <c r="D832" s="19" t="s">
        <v>8684</v>
      </c>
      <c r="E832" s="2">
        <v>0.8</v>
      </c>
      <c r="F832" s="2">
        <v>8</v>
      </c>
      <c r="G832" s="2">
        <v>880</v>
      </c>
      <c r="H832" s="2" t="s">
        <v>7142</v>
      </c>
      <c r="I832" s="2" t="s">
        <v>8686</v>
      </c>
      <c r="K832" s="2">
        <v>0.8</v>
      </c>
      <c r="L832" s="2">
        <v>2.1</v>
      </c>
      <c r="M832" s="2" t="s">
        <v>8680</v>
      </c>
      <c r="O832" s="2">
        <v>2015</v>
      </c>
      <c r="P832" s="2">
        <v>2015</v>
      </c>
      <c r="Q832" s="2" t="s">
        <v>8681</v>
      </c>
      <c r="S832" s="2">
        <v>1</v>
      </c>
      <c r="T832" s="2" t="s">
        <v>7142</v>
      </c>
    </row>
    <row r="833" spans="2:20">
      <c r="B833" s="2" t="s">
        <v>1605</v>
      </c>
      <c r="C833" s="2" t="s">
        <v>6643</v>
      </c>
      <c r="D833" s="19" t="s">
        <v>8684</v>
      </c>
      <c r="E833" s="2">
        <v>0.23</v>
      </c>
      <c r="F833" s="2">
        <v>0</v>
      </c>
      <c r="G833" s="2">
        <v>250</v>
      </c>
      <c r="H833" s="2" t="s">
        <v>7142</v>
      </c>
      <c r="I833" s="2" t="s">
        <v>8686</v>
      </c>
      <c r="K833" s="2">
        <v>0.23</v>
      </c>
      <c r="L833" s="2">
        <v>0.5</v>
      </c>
      <c r="M833" s="2" t="s">
        <v>8678</v>
      </c>
      <c r="O833" s="2">
        <v>2010</v>
      </c>
      <c r="P833" s="2">
        <v>2010</v>
      </c>
      <c r="Q833" s="2" t="s">
        <v>8683</v>
      </c>
      <c r="S833" s="2">
        <v>2</v>
      </c>
      <c r="T833" s="2" t="s">
        <v>7142</v>
      </c>
    </row>
    <row r="834" spans="2:20">
      <c r="B834" s="2" t="s">
        <v>1605</v>
      </c>
      <c r="C834" s="2" t="s">
        <v>6644</v>
      </c>
      <c r="D834" s="19" t="s">
        <v>8682</v>
      </c>
      <c r="E834" s="2">
        <v>0.45</v>
      </c>
      <c r="F834" s="2">
        <v>0</v>
      </c>
      <c r="G834" s="2">
        <v>480</v>
      </c>
      <c r="H834" s="2" t="s">
        <v>7142</v>
      </c>
      <c r="I834" s="2" t="s">
        <v>8686</v>
      </c>
      <c r="K834" s="2">
        <v>0.45</v>
      </c>
      <c r="L834" s="2">
        <v>1.5</v>
      </c>
      <c r="M834" s="2" t="s">
        <v>8680</v>
      </c>
      <c r="O834" s="2">
        <v>2017</v>
      </c>
      <c r="P834" s="2">
        <v>2017</v>
      </c>
      <c r="Q834" s="2" t="s">
        <v>8688</v>
      </c>
      <c r="S834" s="2">
        <v>2</v>
      </c>
      <c r="T834" s="2" t="s">
        <v>7142</v>
      </c>
    </row>
    <row r="835" spans="2:20">
      <c r="B835" s="2" t="s">
        <v>1594</v>
      </c>
      <c r="C835" s="2" t="s">
        <v>6645</v>
      </c>
      <c r="D835" s="19" t="s">
        <v>8682</v>
      </c>
      <c r="E835" s="2">
        <v>0.8</v>
      </c>
      <c r="F835" s="2">
        <v>0</v>
      </c>
      <c r="G835" s="2">
        <v>880</v>
      </c>
      <c r="H835" s="2" t="s">
        <v>7143</v>
      </c>
      <c r="K835" s="2">
        <v>0.8</v>
      </c>
      <c r="L835" s="2">
        <v>1.3</v>
      </c>
      <c r="M835" s="2" t="s">
        <v>8678</v>
      </c>
      <c r="O835" s="2">
        <v>2009</v>
      </c>
      <c r="P835" s="2">
        <v>2009</v>
      </c>
      <c r="Q835" s="2" t="s">
        <v>8681</v>
      </c>
      <c r="S835" s="2">
        <v>1</v>
      </c>
      <c r="T835" s="2" t="s">
        <v>7142</v>
      </c>
    </row>
    <row r="836" spans="2:20">
      <c r="B836" s="2" t="s">
        <v>1594</v>
      </c>
      <c r="C836" s="2" t="s">
        <v>6646</v>
      </c>
      <c r="D836" s="19" t="s">
        <v>8684</v>
      </c>
      <c r="E836" s="2">
        <v>0.8</v>
      </c>
      <c r="F836" s="2">
        <v>0</v>
      </c>
      <c r="G836" s="2">
        <v>880</v>
      </c>
      <c r="H836" s="2" t="s">
        <v>7143</v>
      </c>
      <c r="K836" s="2">
        <v>0.8</v>
      </c>
      <c r="L836" s="2">
        <v>0.8</v>
      </c>
      <c r="M836" s="2" t="s">
        <v>8680</v>
      </c>
      <c r="O836" s="2">
        <v>2012</v>
      </c>
      <c r="P836" s="2">
        <v>2012</v>
      </c>
      <c r="Q836" s="2" t="s">
        <v>8688</v>
      </c>
      <c r="S836" s="2">
        <v>2</v>
      </c>
      <c r="T836" s="2" t="s">
        <v>7142</v>
      </c>
    </row>
    <row r="837" spans="2:20">
      <c r="B837" s="2" t="s">
        <v>1599</v>
      </c>
      <c r="C837" s="2" t="s">
        <v>6647</v>
      </c>
      <c r="D837" s="19" t="s">
        <v>8682</v>
      </c>
      <c r="E837" s="2">
        <v>0.5</v>
      </c>
      <c r="F837" s="2">
        <v>0</v>
      </c>
      <c r="G837" s="2">
        <v>550</v>
      </c>
      <c r="H837" s="2" t="s">
        <v>7143</v>
      </c>
      <c r="K837" s="2">
        <v>0.5</v>
      </c>
      <c r="L837" s="2">
        <v>1.5</v>
      </c>
      <c r="M837" s="2" t="s">
        <v>8678</v>
      </c>
      <c r="O837" s="2">
        <v>2017</v>
      </c>
      <c r="P837" s="2">
        <v>2017</v>
      </c>
      <c r="Q837" s="2" t="s">
        <v>8681</v>
      </c>
      <c r="S837" s="2">
        <v>1</v>
      </c>
      <c r="T837" s="2" t="s">
        <v>7143</v>
      </c>
    </row>
    <row r="838" spans="2:20">
      <c r="B838" s="2" t="s">
        <v>1599</v>
      </c>
      <c r="C838" s="2" t="s">
        <v>6648</v>
      </c>
      <c r="D838" s="19" t="s">
        <v>8684</v>
      </c>
      <c r="E838" s="2">
        <v>0.5</v>
      </c>
      <c r="F838" s="2">
        <v>0</v>
      </c>
      <c r="G838" s="2">
        <v>550</v>
      </c>
      <c r="H838" s="2" t="s">
        <v>7143</v>
      </c>
      <c r="K838" s="2">
        <v>0</v>
      </c>
      <c r="L838" s="2">
        <v>0</v>
      </c>
      <c r="M838" s="2" t="s">
        <v>8680</v>
      </c>
      <c r="O838" s="2">
        <v>2007</v>
      </c>
      <c r="P838" s="2">
        <v>2024</v>
      </c>
      <c r="Q838" s="2" t="s">
        <v>8679</v>
      </c>
      <c r="S838" s="2">
        <v>1</v>
      </c>
      <c r="T838" s="2" t="s">
        <v>7142</v>
      </c>
    </row>
    <row r="839" spans="2:20">
      <c r="B839" s="2" t="s">
        <v>1461</v>
      </c>
      <c r="C839" s="2" t="s">
        <v>6649</v>
      </c>
      <c r="D839" s="19" t="s">
        <v>8684</v>
      </c>
      <c r="E839" s="2">
        <v>2</v>
      </c>
      <c r="F839" s="2">
        <v>0</v>
      </c>
      <c r="G839" s="2">
        <v>2200</v>
      </c>
      <c r="H839" s="2" t="s">
        <v>7143</v>
      </c>
      <c r="K839" s="2">
        <v>2</v>
      </c>
      <c r="L839" s="2">
        <v>2.2999999999999998</v>
      </c>
      <c r="M839" s="2" t="s">
        <v>8678</v>
      </c>
      <c r="O839" s="2">
        <v>2014</v>
      </c>
      <c r="P839" s="2">
        <v>2014</v>
      </c>
      <c r="Q839" s="2" t="s">
        <v>8681</v>
      </c>
      <c r="S839" s="2">
        <v>2</v>
      </c>
      <c r="T839" s="2" t="s">
        <v>7142</v>
      </c>
    </row>
    <row r="840" spans="2:20">
      <c r="B840" s="2" t="s">
        <v>1461</v>
      </c>
      <c r="C840" s="2" t="s">
        <v>6650</v>
      </c>
      <c r="D840" s="19" t="s">
        <v>8682</v>
      </c>
      <c r="E840" s="2">
        <v>2</v>
      </c>
      <c r="F840" s="2">
        <v>0</v>
      </c>
      <c r="G840" s="2">
        <v>2200</v>
      </c>
      <c r="H840" s="2" t="s">
        <v>7143</v>
      </c>
      <c r="K840" s="2">
        <v>2</v>
      </c>
      <c r="L840" s="2">
        <v>2.2000000000000002</v>
      </c>
      <c r="M840" s="2" t="s">
        <v>8680</v>
      </c>
      <c r="O840" s="2">
        <v>2017</v>
      </c>
      <c r="P840" s="2">
        <v>2017</v>
      </c>
      <c r="Q840" s="2" t="s">
        <v>8681</v>
      </c>
      <c r="S840" s="2">
        <v>1</v>
      </c>
      <c r="T840" s="2" t="s">
        <v>7142</v>
      </c>
    </row>
    <row r="841" spans="2:20">
      <c r="B841" s="2" t="s">
        <v>1435</v>
      </c>
      <c r="C841" s="2" t="s">
        <v>6651</v>
      </c>
      <c r="D841" s="19" t="s">
        <v>8684</v>
      </c>
      <c r="E841" s="2">
        <v>1</v>
      </c>
      <c r="F841" s="2">
        <v>0</v>
      </c>
      <c r="G841" s="2">
        <v>1100</v>
      </c>
      <c r="H841" s="2" t="s">
        <v>7143</v>
      </c>
      <c r="K841" s="2">
        <v>1</v>
      </c>
      <c r="L841" s="2">
        <v>0.5</v>
      </c>
      <c r="M841" s="2" t="s">
        <v>8680</v>
      </c>
      <c r="O841" s="2">
        <v>1997</v>
      </c>
      <c r="P841" s="2">
        <v>2022</v>
      </c>
      <c r="Q841" s="2" t="s">
        <v>8679</v>
      </c>
      <c r="S841" s="2">
        <v>2</v>
      </c>
      <c r="T841" s="2" t="s">
        <v>7142</v>
      </c>
    </row>
    <row r="842" spans="2:20">
      <c r="B842" s="2" t="s">
        <v>1435</v>
      </c>
      <c r="C842" s="2" t="s">
        <v>6652</v>
      </c>
      <c r="D842" s="19" t="s">
        <v>8682</v>
      </c>
      <c r="E842" s="2">
        <v>1</v>
      </c>
      <c r="F842" s="2">
        <v>0</v>
      </c>
      <c r="G842" s="2">
        <v>1100</v>
      </c>
      <c r="H842" s="2" t="s">
        <v>7143</v>
      </c>
      <c r="K842" s="2">
        <v>0</v>
      </c>
      <c r="L842" s="2">
        <v>0</v>
      </c>
      <c r="M842" s="2" t="s">
        <v>8680</v>
      </c>
      <c r="O842" s="2">
        <v>1997</v>
      </c>
      <c r="P842" s="2">
        <v>2023</v>
      </c>
      <c r="Q842" s="2" t="s">
        <v>8679</v>
      </c>
      <c r="S842" s="2">
        <v>2</v>
      </c>
      <c r="T842" s="2" t="s">
        <v>7142</v>
      </c>
    </row>
    <row r="843" spans="2:20">
      <c r="B843" s="2" t="s">
        <v>1435</v>
      </c>
      <c r="C843" s="2" t="s">
        <v>6653</v>
      </c>
      <c r="D843" s="19" t="s">
        <v>8685</v>
      </c>
      <c r="E843" s="2">
        <v>2.5</v>
      </c>
      <c r="F843" s="2">
        <v>0</v>
      </c>
      <c r="G843" s="2">
        <v>2750</v>
      </c>
      <c r="H843" s="2" t="s">
        <v>7143</v>
      </c>
      <c r="K843" s="2">
        <v>2.5</v>
      </c>
      <c r="L843" s="2">
        <v>5</v>
      </c>
      <c r="M843" s="2" t="s">
        <v>8678</v>
      </c>
      <c r="O843" s="2">
        <v>2019</v>
      </c>
      <c r="P843" s="2">
        <v>2019</v>
      </c>
      <c r="Q843" s="2" t="s">
        <v>8681</v>
      </c>
      <c r="S843" s="2">
        <v>2</v>
      </c>
      <c r="T843" s="2" t="s">
        <v>7142</v>
      </c>
    </row>
    <row r="844" spans="2:20">
      <c r="B844" s="2" t="s">
        <v>1435</v>
      </c>
      <c r="C844" s="2" t="s">
        <v>6654</v>
      </c>
      <c r="D844" s="19" t="s">
        <v>8699</v>
      </c>
      <c r="E844" s="2">
        <v>2.5</v>
      </c>
      <c r="F844" s="2">
        <v>0</v>
      </c>
      <c r="G844" s="2">
        <v>2700</v>
      </c>
      <c r="H844" s="2" t="s">
        <v>7143</v>
      </c>
      <c r="K844" s="2">
        <v>2.5</v>
      </c>
      <c r="L844" s="2">
        <v>6</v>
      </c>
      <c r="M844" s="2" t="s">
        <v>8678</v>
      </c>
      <c r="O844" s="2">
        <v>2020</v>
      </c>
      <c r="P844" s="2">
        <v>2020</v>
      </c>
      <c r="Q844" s="2" t="s">
        <v>8681</v>
      </c>
      <c r="T844" s="2" t="s">
        <v>7142</v>
      </c>
    </row>
    <row r="845" spans="2:20">
      <c r="B845" s="2" t="s">
        <v>1625</v>
      </c>
      <c r="C845" s="2" t="s">
        <v>6655</v>
      </c>
      <c r="D845" s="19" t="s">
        <v>8685</v>
      </c>
      <c r="E845" s="2">
        <v>0.4</v>
      </c>
      <c r="F845" s="2">
        <v>0</v>
      </c>
      <c r="G845" s="2">
        <v>440</v>
      </c>
      <c r="H845" s="2" t="s">
        <v>7143</v>
      </c>
      <c r="K845" s="2">
        <v>0.4</v>
      </c>
      <c r="L845" s="2">
        <v>1.8</v>
      </c>
      <c r="M845" s="2" t="s">
        <v>8680</v>
      </c>
      <c r="O845" s="2">
        <v>2099</v>
      </c>
      <c r="P845" s="2">
        <v>2020</v>
      </c>
      <c r="Q845" s="2" t="s">
        <v>8679</v>
      </c>
      <c r="S845" s="2">
        <v>1</v>
      </c>
      <c r="T845" s="2" t="s">
        <v>7142</v>
      </c>
    </row>
    <row r="846" spans="2:20">
      <c r="B846" s="2" t="s">
        <v>1625</v>
      </c>
      <c r="C846" s="2" t="s">
        <v>6656</v>
      </c>
      <c r="D846" s="19" t="s">
        <v>8682</v>
      </c>
      <c r="E846" s="2">
        <v>1</v>
      </c>
      <c r="F846" s="2">
        <v>0</v>
      </c>
      <c r="G846" s="2">
        <v>1100</v>
      </c>
      <c r="H846" s="2" t="s">
        <v>7143</v>
      </c>
      <c r="K846" s="2">
        <v>1</v>
      </c>
      <c r="L846" s="2">
        <v>2.2000000000000002</v>
      </c>
      <c r="M846" s="2" t="s">
        <v>8680</v>
      </c>
      <c r="O846" s="2">
        <v>2018</v>
      </c>
      <c r="P846" s="2">
        <v>2018</v>
      </c>
      <c r="Q846" s="2" t="s">
        <v>8688</v>
      </c>
      <c r="S846" s="2">
        <v>1</v>
      </c>
      <c r="T846" s="2" t="s">
        <v>7142</v>
      </c>
    </row>
    <row r="847" spans="2:20">
      <c r="B847" s="2" t="s">
        <v>1625</v>
      </c>
      <c r="C847" s="2" t="s">
        <v>6657</v>
      </c>
      <c r="D847" s="19" t="s">
        <v>8684</v>
      </c>
      <c r="E847" s="2">
        <v>0.4</v>
      </c>
      <c r="F847" s="2">
        <v>0</v>
      </c>
      <c r="G847" s="2">
        <v>440</v>
      </c>
      <c r="H847" s="2" t="s">
        <v>7143</v>
      </c>
      <c r="K847" s="2">
        <v>0</v>
      </c>
      <c r="M847" s="2" t="s">
        <v>8680</v>
      </c>
      <c r="O847" s="2">
        <v>2023</v>
      </c>
      <c r="P847" s="2">
        <v>2023</v>
      </c>
      <c r="Q847" s="2" t="s">
        <v>8679</v>
      </c>
      <c r="S847" s="2">
        <v>1</v>
      </c>
      <c r="T847" s="2" t="s">
        <v>7142</v>
      </c>
    </row>
    <row r="848" spans="2:20">
      <c r="B848" s="2" t="s">
        <v>1647</v>
      </c>
      <c r="C848" s="2" t="s">
        <v>6658</v>
      </c>
      <c r="D848" s="19" t="s">
        <v>8682</v>
      </c>
      <c r="E848" s="2">
        <v>1.4</v>
      </c>
      <c r="F848" s="2">
        <v>0</v>
      </c>
      <c r="G848" s="2">
        <v>1540</v>
      </c>
      <c r="H848" s="2" t="s">
        <v>7142</v>
      </c>
      <c r="I848" s="2" t="s">
        <v>8692</v>
      </c>
      <c r="K848" s="2">
        <v>1.4</v>
      </c>
      <c r="L848" s="2">
        <v>4.5</v>
      </c>
      <c r="M848" s="2" t="s">
        <v>8678</v>
      </c>
      <c r="O848" s="2">
        <v>1997</v>
      </c>
      <c r="P848" s="2">
        <v>1997</v>
      </c>
      <c r="Q848" s="2" t="s">
        <v>8681</v>
      </c>
      <c r="S848" s="2">
        <v>12</v>
      </c>
      <c r="T848" s="2" t="s">
        <v>7142</v>
      </c>
    </row>
    <row r="849" spans="2:20">
      <c r="B849" s="2" t="s">
        <v>1682</v>
      </c>
      <c r="C849" s="2" t="s">
        <v>6659</v>
      </c>
      <c r="D849" s="19" t="s">
        <v>8684</v>
      </c>
      <c r="E849" s="2">
        <v>0.6</v>
      </c>
      <c r="F849" s="2">
        <v>0</v>
      </c>
      <c r="G849" s="2">
        <v>660</v>
      </c>
      <c r="H849" s="2" t="s">
        <v>7142</v>
      </c>
      <c r="I849" s="2" t="s">
        <v>8686</v>
      </c>
      <c r="K849" s="2">
        <v>0.6</v>
      </c>
      <c r="L849" s="2">
        <v>3</v>
      </c>
      <c r="M849" s="2" t="s">
        <v>8700</v>
      </c>
      <c r="O849" s="2">
        <v>2015</v>
      </c>
      <c r="P849" s="2">
        <v>2015</v>
      </c>
      <c r="Q849" s="2" t="s">
        <v>8688</v>
      </c>
      <c r="S849" s="2">
        <v>10</v>
      </c>
      <c r="T849" s="2" t="s">
        <v>7142</v>
      </c>
    </row>
    <row r="850" spans="2:20">
      <c r="B850" s="2" t="s">
        <v>1682</v>
      </c>
      <c r="C850" s="2" t="s">
        <v>6660</v>
      </c>
      <c r="D850" s="19" t="s">
        <v>8682</v>
      </c>
      <c r="E850" s="2">
        <v>3.2</v>
      </c>
      <c r="F850" s="2">
        <v>0</v>
      </c>
      <c r="G850" s="2">
        <v>3520</v>
      </c>
      <c r="H850" s="2" t="s">
        <v>7142</v>
      </c>
      <c r="I850" s="2" t="s">
        <v>8692</v>
      </c>
      <c r="K850" s="2">
        <v>3.2</v>
      </c>
      <c r="L850" s="2">
        <v>16</v>
      </c>
      <c r="M850" s="2" t="s">
        <v>8700</v>
      </c>
      <c r="O850" s="2">
        <v>1998</v>
      </c>
      <c r="P850" s="2">
        <v>1998</v>
      </c>
      <c r="Q850" s="2" t="s">
        <v>8704</v>
      </c>
      <c r="S850" s="2">
        <v>10</v>
      </c>
      <c r="T850" s="2" t="s">
        <v>7142</v>
      </c>
    </row>
    <row r="851" spans="2:20">
      <c r="B851" s="2" t="s">
        <v>1682</v>
      </c>
      <c r="C851" s="2" t="s">
        <v>6661</v>
      </c>
      <c r="D851" s="19" t="s">
        <v>8699</v>
      </c>
      <c r="E851" s="2">
        <v>0.3</v>
      </c>
      <c r="F851" s="2">
        <v>0</v>
      </c>
      <c r="G851" s="2">
        <v>330</v>
      </c>
      <c r="H851" s="2" t="s">
        <v>7142</v>
      </c>
      <c r="I851" s="2" t="s">
        <v>8686</v>
      </c>
      <c r="K851" s="2">
        <v>0.3</v>
      </c>
      <c r="L851" s="2">
        <v>1.5</v>
      </c>
      <c r="M851" s="2" t="s">
        <v>8712</v>
      </c>
      <c r="O851" s="2">
        <v>2019</v>
      </c>
      <c r="P851" s="2">
        <v>2019</v>
      </c>
      <c r="Q851" s="2" t="s">
        <v>8681</v>
      </c>
      <c r="S851" s="2">
        <v>10</v>
      </c>
      <c r="T851" s="2" t="s">
        <v>7143</v>
      </c>
    </row>
    <row r="852" spans="2:20">
      <c r="B852" s="2" t="s">
        <v>1682</v>
      </c>
      <c r="C852" s="2" t="s">
        <v>6662</v>
      </c>
      <c r="D852" s="19" t="s">
        <v>8685</v>
      </c>
      <c r="E852" s="2">
        <v>0.3</v>
      </c>
      <c r="F852" s="2">
        <v>0</v>
      </c>
      <c r="G852" s="2">
        <v>330</v>
      </c>
      <c r="H852" s="2" t="s">
        <v>7142</v>
      </c>
      <c r="I852" s="2" t="s">
        <v>8692</v>
      </c>
      <c r="K852" s="2">
        <v>0.3</v>
      </c>
      <c r="L852" s="2">
        <v>1.5</v>
      </c>
      <c r="M852" s="2" t="s">
        <v>8712</v>
      </c>
      <c r="O852" s="2">
        <v>2007</v>
      </c>
      <c r="P852" s="2">
        <v>2007</v>
      </c>
      <c r="Q852" s="2" t="s">
        <v>8683</v>
      </c>
      <c r="S852" s="2">
        <v>10</v>
      </c>
      <c r="T852" s="2" t="s">
        <v>7142</v>
      </c>
    </row>
    <row r="853" spans="2:20">
      <c r="B853" s="2" t="s">
        <v>1711</v>
      </c>
      <c r="C853" s="2" t="s">
        <v>6663</v>
      </c>
      <c r="D853" s="19" t="s">
        <v>8684</v>
      </c>
      <c r="E853" s="2">
        <v>1.4</v>
      </c>
      <c r="F853" s="2">
        <v>0</v>
      </c>
      <c r="G853" s="2">
        <v>1550</v>
      </c>
      <c r="H853" s="2" t="s">
        <v>7142</v>
      </c>
      <c r="I853" s="2" t="s">
        <v>8692</v>
      </c>
      <c r="K853" s="2">
        <v>1.4</v>
      </c>
      <c r="L853" s="2">
        <v>2.5</v>
      </c>
      <c r="M853" s="2" t="s">
        <v>8680</v>
      </c>
      <c r="O853" s="2">
        <v>2010</v>
      </c>
      <c r="P853" s="2">
        <v>2010</v>
      </c>
      <c r="Q853" s="2" t="s">
        <v>8681</v>
      </c>
      <c r="S853" s="2">
        <v>10</v>
      </c>
      <c r="T853" s="2" t="s">
        <v>7142</v>
      </c>
    </row>
    <row r="854" spans="2:20">
      <c r="B854" s="2" t="s">
        <v>1711</v>
      </c>
      <c r="C854" s="2" t="s">
        <v>6664</v>
      </c>
      <c r="D854" s="19" t="s">
        <v>8685</v>
      </c>
      <c r="E854" s="2">
        <v>5.2</v>
      </c>
      <c r="F854" s="2">
        <v>0</v>
      </c>
      <c r="G854" s="2">
        <v>570</v>
      </c>
      <c r="H854" s="2" t="s">
        <v>7142</v>
      </c>
      <c r="I854" s="2" t="s">
        <v>8686</v>
      </c>
      <c r="K854" s="2">
        <v>5.2</v>
      </c>
      <c r="L854" s="2">
        <v>1.5</v>
      </c>
      <c r="M854" s="2" t="s">
        <v>8680</v>
      </c>
      <c r="O854" s="2">
        <v>2012</v>
      </c>
      <c r="P854" s="2">
        <v>2012</v>
      </c>
      <c r="Q854" s="2" t="s">
        <v>8681</v>
      </c>
      <c r="S854" s="2">
        <v>10</v>
      </c>
      <c r="T854" s="2" t="s">
        <v>7142</v>
      </c>
    </row>
    <row r="855" spans="2:20">
      <c r="B855" s="2" t="s">
        <v>1711</v>
      </c>
      <c r="C855" s="2" t="s">
        <v>6665</v>
      </c>
      <c r="D855" s="19" t="s">
        <v>8682</v>
      </c>
      <c r="E855" s="2">
        <v>1.9</v>
      </c>
      <c r="F855" s="2">
        <v>0</v>
      </c>
      <c r="G855" s="2">
        <v>2000</v>
      </c>
      <c r="H855" s="2" t="s">
        <v>7143</v>
      </c>
      <c r="I855" s="2" t="s">
        <v>8690</v>
      </c>
      <c r="J855" s="2" t="s">
        <v>6666</v>
      </c>
      <c r="K855" s="2">
        <v>1.9</v>
      </c>
      <c r="L855" s="2">
        <v>6</v>
      </c>
      <c r="M855" s="2" t="s">
        <v>8680</v>
      </c>
      <c r="O855" s="2">
        <v>2012</v>
      </c>
      <c r="P855" s="2">
        <v>2012</v>
      </c>
      <c r="Q855" s="2" t="s">
        <v>8681</v>
      </c>
      <c r="S855" s="2">
        <v>10</v>
      </c>
      <c r="T855" s="2" t="s">
        <v>7142</v>
      </c>
    </row>
    <row r="856" spans="2:20">
      <c r="B856" s="2" t="s">
        <v>1711</v>
      </c>
      <c r="C856" s="2" t="s">
        <v>6667</v>
      </c>
      <c r="D856" s="19" t="s">
        <v>8699</v>
      </c>
      <c r="E856" s="2">
        <v>1</v>
      </c>
      <c r="F856" s="2">
        <v>0</v>
      </c>
      <c r="G856" s="2">
        <v>1100</v>
      </c>
      <c r="H856" s="2" t="s">
        <v>7142</v>
      </c>
      <c r="I856" s="2" t="s">
        <v>8686</v>
      </c>
      <c r="K856" s="2">
        <v>1</v>
      </c>
      <c r="L856" s="2">
        <v>3</v>
      </c>
      <c r="M856" s="2" t="s">
        <v>8700</v>
      </c>
      <c r="O856" s="2">
        <v>2006</v>
      </c>
      <c r="P856" s="2">
        <v>2006</v>
      </c>
      <c r="Q856" s="2" t="s">
        <v>8681</v>
      </c>
      <c r="S856" s="2">
        <v>10</v>
      </c>
      <c r="T856" s="2" t="s">
        <v>7142</v>
      </c>
    </row>
    <row r="857" spans="2:20">
      <c r="B857" s="2" t="s">
        <v>1753</v>
      </c>
      <c r="C857" s="2" t="s">
        <v>6668</v>
      </c>
      <c r="D857" s="19" t="s">
        <v>8682</v>
      </c>
      <c r="E857" s="2">
        <v>2</v>
      </c>
      <c r="F857" s="2">
        <v>0</v>
      </c>
      <c r="G857" s="2">
        <v>2200</v>
      </c>
      <c r="H857" s="2" t="s">
        <v>7142</v>
      </c>
      <c r="I857" s="2" t="s">
        <v>8686</v>
      </c>
      <c r="K857" s="2">
        <v>2</v>
      </c>
      <c r="L857" s="2">
        <v>5.5</v>
      </c>
      <c r="M857" s="2" t="s">
        <v>8700</v>
      </c>
      <c r="O857" s="2">
        <v>1997</v>
      </c>
      <c r="P857" s="2">
        <v>2009</v>
      </c>
      <c r="Q857" s="2" t="s">
        <v>8681</v>
      </c>
      <c r="S857" s="2">
        <v>10</v>
      </c>
      <c r="T857" s="2" t="s">
        <v>7142</v>
      </c>
    </row>
    <row r="858" spans="2:20">
      <c r="B858" s="2" t="s">
        <v>1783</v>
      </c>
      <c r="C858" s="2" t="s">
        <v>6669</v>
      </c>
      <c r="D858" s="19" t="s">
        <v>8682</v>
      </c>
      <c r="E858" s="2">
        <v>1</v>
      </c>
      <c r="F858" s="2">
        <v>0</v>
      </c>
      <c r="G858" s="2">
        <v>1100</v>
      </c>
      <c r="H858" s="2" t="s">
        <v>7142</v>
      </c>
      <c r="I858" s="2" t="s">
        <v>8686</v>
      </c>
      <c r="K858" s="2">
        <v>1</v>
      </c>
      <c r="L858" s="2">
        <v>4</v>
      </c>
      <c r="M858" s="2" t="s">
        <v>8680</v>
      </c>
      <c r="O858" s="2">
        <v>1995</v>
      </c>
      <c r="P858" s="2">
        <v>2015</v>
      </c>
      <c r="Q858" s="2" t="s">
        <v>8679</v>
      </c>
      <c r="S858" s="2">
        <v>10</v>
      </c>
      <c r="T858" s="2" t="s">
        <v>7142</v>
      </c>
    </row>
    <row r="859" spans="2:20">
      <c r="B859" s="2" t="s">
        <v>1783</v>
      </c>
      <c r="C859" s="2" t="s">
        <v>6670</v>
      </c>
      <c r="D859" s="19" t="s">
        <v>8684</v>
      </c>
      <c r="E859" s="2">
        <v>1</v>
      </c>
      <c r="F859" s="2">
        <v>0</v>
      </c>
      <c r="G859" s="2">
        <v>1100</v>
      </c>
      <c r="H859" s="2" t="s">
        <v>7142</v>
      </c>
      <c r="I859" s="2" t="s">
        <v>8717</v>
      </c>
      <c r="K859" s="2">
        <v>1</v>
      </c>
      <c r="L859" s="2">
        <v>4</v>
      </c>
      <c r="M859" s="2" t="s">
        <v>8700</v>
      </c>
      <c r="O859" s="2">
        <v>1997</v>
      </c>
      <c r="P859" s="2">
        <v>2016</v>
      </c>
      <c r="Q859" s="2" t="s">
        <v>8679</v>
      </c>
      <c r="S859" s="2">
        <v>10</v>
      </c>
      <c r="T859" s="2" t="s">
        <v>7142</v>
      </c>
    </row>
    <row r="860" spans="2:20">
      <c r="B860" s="2" t="s">
        <v>1803</v>
      </c>
      <c r="C860" s="2" t="s">
        <v>6671</v>
      </c>
      <c r="D860" s="19" t="s">
        <v>8682</v>
      </c>
      <c r="E860" s="2">
        <v>1</v>
      </c>
      <c r="F860" s="2">
        <v>0</v>
      </c>
      <c r="G860" s="2">
        <v>1100</v>
      </c>
      <c r="H860" s="2" t="s">
        <v>7142</v>
      </c>
      <c r="I860" s="2" t="s">
        <v>8686</v>
      </c>
      <c r="K860" s="2">
        <v>1</v>
      </c>
      <c r="L860" s="2">
        <v>2</v>
      </c>
      <c r="M860" s="2" t="s">
        <v>8700</v>
      </c>
      <c r="O860" s="2">
        <v>1997</v>
      </c>
      <c r="P860" s="2">
        <v>2019</v>
      </c>
      <c r="Q860" s="2" t="s">
        <v>8679</v>
      </c>
      <c r="S860" s="2">
        <v>10</v>
      </c>
      <c r="T860" s="2" t="s">
        <v>7142</v>
      </c>
    </row>
    <row r="861" spans="2:20">
      <c r="B861" s="2" t="s">
        <v>1803</v>
      </c>
      <c r="C861" s="2" t="s">
        <v>6672</v>
      </c>
      <c r="D861" s="19" t="s">
        <v>8685</v>
      </c>
      <c r="E861" s="2">
        <v>1</v>
      </c>
      <c r="F861" s="2">
        <v>0</v>
      </c>
      <c r="G861" s="2">
        <v>1100</v>
      </c>
      <c r="H861" s="2" t="s">
        <v>7142</v>
      </c>
      <c r="I861" s="2" t="s">
        <v>8686</v>
      </c>
      <c r="K861" s="2">
        <v>1</v>
      </c>
      <c r="L861" s="2">
        <v>2</v>
      </c>
      <c r="M861" s="2" t="s">
        <v>8700</v>
      </c>
      <c r="O861" s="2">
        <v>2018</v>
      </c>
      <c r="P861" s="2">
        <v>2018</v>
      </c>
      <c r="Q861" s="2" t="s">
        <v>8681</v>
      </c>
      <c r="S861" s="2">
        <v>10</v>
      </c>
      <c r="T861" s="2" t="s">
        <v>7142</v>
      </c>
    </row>
    <row r="862" spans="2:20">
      <c r="B862" s="2" t="s">
        <v>1803</v>
      </c>
      <c r="C862" s="2" t="s">
        <v>6673</v>
      </c>
      <c r="D862" s="19" t="s">
        <v>8684</v>
      </c>
      <c r="E862" s="2">
        <v>2.5</v>
      </c>
      <c r="F862" s="2">
        <v>0</v>
      </c>
      <c r="G862" s="2">
        <v>2700</v>
      </c>
      <c r="H862" s="2" t="s">
        <v>7142</v>
      </c>
      <c r="I862" s="2" t="s">
        <v>8692</v>
      </c>
      <c r="K862" s="2">
        <v>2.5</v>
      </c>
      <c r="L862" s="2">
        <v>4</v>
      </c>
      <c r="M862" s="2" t="s">
        <v>8700</v>
      </c>
      <c r="O862" s="2">
        <v>2017</v>
      </c>
      <c r="P862" s="2">
        <v>1017</v>
      </c>
      <c r="Q862" s="2" t="s">
        <v>8681</v>
      </c>
      <c r="S862" s="2">
        <v>10</v>
      </c>
      <c r="T862" s="2" t="s">
        <v>7142</v>
      </c>
    </row>
    <row r="863" spans="2:20">
      <c r="B863" s="2" t="s">
        <v>1817</v>
      </c>
      <c r="C863" s="2" t="s">
        <v>6674</v>
      </c>
      <c r="D863" s="19" t="s">
        <v>8708</v>
      </c>
      <c r="E863" s="2">
        <v>1</v>
      </c>
      <c r="F863" s="2">
        <v>0</v>
      </c>
      <c r="G863" s="2">
        <v>1100</v>
      </c>
      <c r="H863" s="2" t="s">
        <v>7143</v>
      </c>
      <c r="K863" s="2">
        <v>1</v>
      </c>
      <c r="L863" s="2">
        <v>4.5</v>
      </c>
      <c r="M863" s="2" t="s">
        <v>8700</v>
      </c>
      <c r="O863" s="2">
        <v>2001</v>
      </c>
      <c r="P863" s="2">
        <v>2020</v>
      </c>
      <c r="Q863" s="2" t="s">
        <v>8679</v>
      </c>
      <c r="S863" s="2">
        <v>10</v>
      </c>
      <c r="T863" s="2" t="s">
        <v>7143</v>
      </c>
    </row>
    <row r="864" spans="2:20">
      <c r="B864" s="2" t="s">
        <v>1817</v>
      </c>
      <c r="C864" s="2" t="s">
        <v>6675</v>
      </c>
      <c r="D864" s="19" t="s">
        <v>8685</v>
      </c>
      <c r="E864" s="2">
        <v>0.4</v>
      </c>
      <c r="F864" s="2">
        <v>0</v>
      </c>
      <c r="G864" s="2">
        <v>440</v>
      </c>
      <c r="H864" s="2" t="s">
        <v>7143</v>
      </c>
      <c r="K864" s="2">
        <v>0.4</v>
      </c>
      <c r="L864" s="2">
        <v>1.5</v>
      </c>
      <c r="M864" s="2" t="s">
        <v>8680</v>
      </c>
      <c r="O864" s="2">
        <v>2021</v>
      </c>
      <c r="P864" s="2">
        <v>2012</v>
      </c>
      <c r="Q864" s="2" t="s">
        <v>8679</v>
      </c>
      <c r="S864" s="2">
        <v>10</v>
      </c>
      <c r="T864" s="2" t="s">
        <v>7142</v>
      </c>
    </row>
    <row r="865" spans="2:20">
      <c r="B865" s="2" t="s">
        <v>1817</v>
      </c>
      <c r="C865" s="2" t="s">
        <v>6676</v>
      </c>
      <c r="D865" s="19" t="s">
        <v>8684</v>
      </c>
      <c r="E865" s="2">
        <v>1</v>
      </c>
      <c r="F865" s="2">
        <v>0</v>
      </c>
      <c r="G865" s="2">
        <v>1100</v>
      </c>
      <c r="H865" s="2" t="s">
        <v>7142</v>
      </c>
      <c r="I865" s="2" t="s">
        <v>8686</v>
      </c>
      <c r="K865" s="2">
        <v>1</v>
      </c>
      <c r="L865" s="2">
        <v>3.5</v>
      </c>
      <c r="M865" s="2" t="s">
        <v>8712</v>
      </c>
      <c r="O865" s="2">
        <v>2017</v>
      </c>
      <c r="P865" s="2">
        <v>2017</v>
      </c>
      <c r="Q865" s="2" t="s">
        <v>8681</v>
      </c>
      <c r="S865" s="2">
        <v>10</v>
      </c>
      <c r="T865" s="2" t="s">
        <v>7143</v>
      </c>
    </row>
    <row r="866" spans="2:20">
      <c r="B866" s="2" t="s">
        <v>1817</v>
      </c>
      <c r="C866" s="2" t="s">
        <v>6677</v>
      </c>
      <c r="D866" s="19" t="s">
        <v>8682</v>
      </c>
      <c r="E866" s="2">
        <v>0.6</v>
      </c>
      <c r="F866" s="2">
        <v>0</v>
      </c>
      <c r="G866" s="2">
        <v>700</v>
      </c>
      <c r="H866" s="2" t="s">
        <v>7142</v>
      </c>
      <c r="I866" s="2" t="s">
        <v>8686</v>
      </c>
      <c r="K866" s="2">
        <v>0.67</v>
      </c>
      <c r="L866" s="2">
        <v>2.5</v>
      </c>
      <c r="M866" s="2" t="s">
        <v>8680</v>
      </c>
      <c r="O866" s="2">
        <v>1998</v>
      </c>
      <c r="P866" s="2">
        <v>2011</v>
      </c>
      <c r="Q866" s="2" t="s">
        <v>8679</v>
      </c>
      <c r="S866" s="2">
        <v>10</v>
      </c>
      <c r="T866" s="2" t="s">
        <v>7142</v>
      </c>
    </row>
    <row r="867" spans="2:20">
      <c r="B867" s="2" t="s">
        <v>1917</v>
      </c>
      <c r="C867" s="2" t="s">
        <v>6678</v>
      </c>
      <c r="D867" s="19" t="s">
        <v>8684</v>
      </c>
      <c r="E867" s="2">
        <v>0.7</v>
      </c>
      <c r="F867" s="2">
        <v>0</v>
      </c>
      <c r="G867" s="2">
        <v>7700</v>
      </c>
      <c r="H867" s="2" t="s">
        <v>7142</v>
      </c>
      <c r="I867" s="2" t="s">
        <v>8686</v>
      </c>
      <c r="K867" s="2">
        <v>0.7</v>
      </c>
      <c r="L867" s="2">
        <v>3.4</v>
      </c>
      <c r="M867" s="2" t="s">
        <v>8680</v>
      </c>
      <c r="O867" s="2">
        <v>2006</v>
      </c>
      <c r="P867" s="2">
        <v>2006</v>
      </c>
      <c r="Q867" s="2" t="s">
        <v>8681</v>
      </c>
      <c r="S867" s="2">
        <v>12</v>
      </c>
      <c r="T867" s="2" t="s">
        <v>7142</v>
      </c>
    </row>
    <row r="868" spans="2:20">
      <c r="B868" s="2" t="s">
        <v>1917</v>
      </c>
      <c r="C868" s="2" t="s">
        <v>6679</v>
      </c>
      <c r="D868" s="19" t="s">
        <v>8682</v>
      </c>
      <c r="E868" s="2">
        <v>0.8</v>
      </c>
      <c r="F868" s="2">
        <v>0</v>
      </c>
      <c r="G868" s="2">
        <v>880</v>
      </c>
      <c r="H868" s="2" t="s">
        <v>7142</v>
      </c>
      <c r="I868" s="2" t="s">
        <v>8686</v>
      </c>
      <c r="K868" s="2">
        <v>0.8</v>
      </c>
      <c r="L868" s="2">
        <v>3.6</v>
      </c>
      <c r="M868" s="2" t="s">
        <v>8680</v>
      </c>
      <c r="O868" s="2">
        <v>2000</v>
      </c>
      <c r="P868" s="2">
        <v>2019</v>
      </c>
      <c r="Q868" s="2" t="s">
        <v>8679</v>
      </c>
      <c r="S868" s="2">
        <v>12</v>
      </c>
      <c r="T868" s="2" t="s">
        <v>7142</v>
      </c>
    </row>
    <row r="869" spans="2:20">
      <c r="B869" s="2" t="s">
        <v>1862</v>
      </c>
      <c r="C869" s="2" t="s">
        <v>6680</v>
      </c>
      <c r="D869" s="19" t="s">
        <v>8699</v>
      </c>
      <c r="E869" s="2">
        <v>0.4</v>
      </c>
      <c r="F869" s="2">
        <v>0</v>
      </c>
      <c r="G869" s="2">
        <v>440</v>
      </c>
      <c r="H869" s="2" t="s">
        <v>7142</v>
      </c>
      <c r="I869" s="2" t="s">
        <v>8686</v>
      </c>
      <c r="K869" s="2">
        <v>0.4</v>
      </c>
      <c r="L869" s="2">
        <v>1.9</v>
      </c>
      <c r="M869" s="2" t="s">
        <v>8700</v>
      </c>
      <c r="O869" s="2">
        <v>2009</v>
      </c>
      <c r="P869" s="2">
        <v>2009</v>
      </c>
      <c r="Q869" s="2" t="s">
        <v>8681</v>
      </c>
      <c r="S869" s="2">
        <v>12</v>
      </c>
      <c r="T869" s="2" t="s">
        <v>7142</v>
      </c>
    </row>
    <row r="870" spans="2:20">
      <c r="B870" s="2" t="s">
        <v>1862</v>
      </c>
      <c r="C870" s="2" t="s">
        <v>6681</v>
      </c>
      <c r="D870" s="19" t="s">
        <v>8684</v>
      </c>
      <c r="E870" s="2">
        <v>0.42</v>
      </c>
      <c r="F870" s="2">
        <v>0</v>
      </c>
      <c r="G870" s="2">
        <v>460</v>
      </c>
      <c r="H870" s="2" t="s">
        <v>7143</v>
      </c>
      <c r="K870" s="2">
        <v>0.42</v>
      </c>
      <c r="L870" s="2">
        <v>1.6</v>
      </c>
      <c r="M870" s="2" t="s">
        <v>8680</v>
      </c>
      <c r="O870" s="2">
        <v>2007</v>
      </c>
      <c r="P870" s="2">
        <v>2007</v>
      </c>
      <c r="Q870" s="2" t="s">
        <v>8681</v>
      </c>
      <c r="S870" s="2">
        <v>10</v>
      </c>
      <c r="T870" s="2" t="s">
        <v>7142</v>
      </c>
    </row>
    <row r="871" spans="2:20">
      <c r="B871" s="2" t="s">
        <v>1862</v>
      </c>
      <c r="C871" s="2" t="s">
        <v>6682</v>
      </c>
      <c r="D871" s="19" t="s">
        <v>8682</v>
      </c>
      <c r="E871" s="2">
        <v>0.9</v>
      </c>
      <c r="F871" s="2">
        <v>0</v>
      </c>
      <c r="G871" s="2">
        <v>1000</v>
      </c>
      <c r="H871" s="2" t="s">
        <v>7143</v>
      </c>
      <c r="K871" s="2">
        <v>0.9</v>
      </c>
      <c r="L871" s="2">
        <v>3.5</v>
      </c>
      <c r="M871" s="2" t="s">
        <v>8680</v>
      </c>
      <c r="O871" s="2">
        <v>2015</v>
      </c>
      <c r="P871" s="2">
        <v>1015</v>
      </c>
      <c r="Q871" s="2" t="s">
        <v>8681</v>
      </c>
      <c r="S871" s="2">
        <v>12</v>
      </c>
      <c r="T871" s="2" t="s">
        <v>7142</v>
      </c>
    </row>
    <row r="872" spans="2:20">
      <c r="B872" s="2" t="s">
        <v>1862</v>
      </c>
      <c r="C872" s="2" t="s">
        <v>6683</v>
      </c>
      <c r="D872" s="19" t="s">
        <v>8685</v>
      </c>
      <c r="E872" s="2">
        <v>0.3</v>
      </c>
      <c r="F872" s="2">
        <v>0</v>
      </c>
      <c r="G872" s="2">
        <v>330</v>
      </c>
      <c r="H872" s="2" t="s">
        <v>7143</v>
      </c>
      <c r="K872" s="2">
        <v>0.3</v>
      </c>
      <c r="L872" s="2">
        <v>1.5</v>
      </c>
      <c r="M872" s="2" t="s">
        <v>8680</v>
      </c>
      <c r="O872" s="2">
        <v>2000</v>
      </c>
      <c r="P872" s="2">
        <v>2017</v>
      </c>
      <c r="Q872" s="2" t="s">
        <v>8679</v>
      </c>
      <c r="S872" s="2">
        <v>12</v>
      </c>
      <c r="T872" s="2" t="s">
        <v>7142</v>
      </c>
    </row>
    <row r="873" spans="2:20">
      <c r="B873" s="2" t="s">
        <v>1881</v>
      </c>
      <c r="C873" s="2" t="s">
        <v>6684</v>
      </c>
      <c r="D873" s="19" t="s">
        <v>8699</v>
      </c>
      <c r="E873" s="2">
        <v>0.5</v>
      </c>
      <c r="F873" s="2">
        <v>0</v>
      </c>
      <c r="G873" s="2">
        <v>550</v>
      </c>
      <c r="H873" s="2" t="s">
        <v>7143</v>
      </c>
      <c r="K873" s="2">
        <v>0.5</v>
      </c>
      <c r="L873" s="2">
        <v>2.5</v>
      </c>
      <c r="M873" s="2" t="s">
        <v>8712</v>
      </c>
      <c r="O873" s="2">
        <v>2010</v>
      </c>
      <c r="P873" s="2">
        <v>2010</v>
      </c>
      <c r="Q873" s="2" t="s">
        <v>8681</v>
      </c>
      <c r="T873" s="2" t="s">
        <v>7143</v>
      </c>
    </row>
    <row r="874" spans="2:20">
      <c r="B874" s="2" t="s">
        <v>1881</v>
      </c>
      <c r="C874" s="2" t="s">
        <v>6685</v>
      </c>
      <c r="D874" s="19" t="s">
        <v>8682</v>
      </c>
      <c r="E874" s="2">
        <v>0.9</v>
      </c>
      <c r="F874" s="2">
        <v>0</v>
      </c>
      <c r="G874" s="2">
        <v>1100</v>
      </c>
      <c r="H874" s="2" t="s">
        <v>7143</v>
      </c>
      <c r="K874" s="2">
        <v>0.9</v>
      </c>
      <c r="L874" s="2">
        <v>4</v>
      </c>
      <c r="M874" s="2" t="s">
        <v>8712</v>
      </c>
      <c r="O874" s="2">
        <v>2006</v>
      </c>
      <c r="P874" s="2">
        <v>1018</v>
      </c>
      <c r="Q874" s="2" t="s">
        <v>8679</v>
      </c>
      <c r="S874" s="2">
        <v>12</v>
      </c>
      <c r="T874" s="2" t="s">
        <v>7143</v>
      </c>
    </row>
    <row r="875" spans="2:20">
      <c r="B875" s="2" t="s">
        <v>1881</v>
      </c>
      <c r="C875" s="2" t="s">
        <v>6686</v>
      </c>
      <c r="D875" s="19" t="s">
        <v>8685</v>
      </c>
      <c r="E875" s="2">
        <v>0.9</v>
      </c>
      <c r="F875" s="2">
        <v>0</v>
      </c>
      <c r="G875" s="2">
        <v>1000</v>
      </c>
      <c r="H875" s="2" t="s">
        <v>7143</v>
      </c>
      <c r="K875" s="2">
        <v>0.9</v>
      </c>
      <c r="L875" s="2">
        <v>4</v>
      </c>
      <c r="M875" s="2" t="s">
        <v>8680</v>
      </c>
      <c r="O875" s="2">
        <v>2011</v>
      </c>
      <c r="P875" s="2">
        <v>2011</v>
      </c>
      <c r="Q875" s="2" t="s">
        <v>8681</v>
      </c>
      <c r="S875" s="2">
        <v>12</v>
      </c>
      <c r="T875" s="2" t="s">
        <v>7142</v>
      </c>
    </row>
    <row r="876" spans="2:20">
      <c r="B876" s="2" t="s">
        <v>1881</v>
      </c>
      <c r="C876" s="2" t="s">
        <v>6687</v>
      </c>
      <c r="D876" s="19" t="s">
        <v>8684</v>
      </c>
      <c r="E876" s="2">
        <v>0.7</v>
      </c>
      <c r="F876" s="2">
        <v>0</v>
      </c>
      <c r="G876" s="2">
        <v>770</v>
      </c>
      <c r="H876" s="2" t="s">
        <v>7142</v>
      </c>
      <c r="I876" s="2" t="s">
        <v>8686</v>
      </c>
      <c r="K876" s="2">
        <v>0.7</v>
      </c>
      <c r="L876" s="2">
        <v>3.5</v>
      </c>
      <c r="M876" s="2" t="s">
        <v>8712</v>
      </c>
      <c r="O876" s="2">
        <v>2008</v>
      </c>
      <c r="P876" s="2">
        <v>2008</v>
      </c>
      <c r="Q876" s="2" t="s">
        <v>8681</v>
      </c>
      <c r="S876" s="2">
        <v>12</v>
      </c>
      <c r="T876" s="2" t="s">
        <v>7143</v>
      </c>
    </row>
    <row r="877" spans="2:20">
      <c r="B877" s="2" t="s">
        <v>1935</v>
      </c>
      <c r="C877" s="2" t="s">
        <v>6688</v>
      </c>
      <c r="D877" s="19" t="s">
        <v>8684</v>
      </c>
      <c r="E877" s="2">
        <v>1.5</v>
      </c>
      <c r="F877" s="2">
        <v>0</v>
      </c>
      <c r="G877" s="2">
        <v>1800</v>
      </c>
      <c r="H877" s="2" t="s">
        <v>7142</v>
      </c>
      <c r="I877" s="2" t="s">
        <v>8686</v>
      </c>
      <c r="K877" s="2">
        <v>1.5</v>
      </c>
      <c r="L877" s="2">
        <v>9</v>
      </c>
      <c r="M877" s="2" t="s">
        <v>8680</v>
      </c>
      <c r="O877" s="2">
        <v>1999</v>
      </c>
      <c r="P877" s="2">
        <v>2018</v>
      </c>
      <c r="Q877" s="2" t="s">
        <v>8679</v>
      </c>
      <c r="S877" s="2">
        <v>12</v>
      </c>
      <c r="T877" s="2" t="s">
        <v>7142</v>
      </c>
    </row>
    <row r="878" spans="2:20">
      <c r="B878" s="2" t="s">
        <v>1935</v>
      </c>
      <c r="C878" s="2" t="s">
        <v>6689</v>
      </c>
      <c r="D878" s="19" t="s">
        <v>8685</v>
      </c>
      <c r="E878" s="2">
        <v>0.5</v>
      </c>
      <c r="F878" s="2">
        <v>0</v>
      </c>
      <c r="G878" s="2">
        <v>550</v>
      </c>
      <c r="H878" s="2" t="s">
        <v>7143</v>
      </c>
      <c r="K878" s="2">
        <v>0.5</v>
      </c>
      <c r="L878" s="2">
        <v>2</v>
      </c>
      <c r="M878" s="2" t="s">
        <v>8680</v>
      </c>
      <c r="O878" s="2">
        <v>1999</v>
      </c>
      <c r="P878" s="2">
        <v>2017</v>
      </c>
      <c r="Q878" s="2" t="s">
        <v>8679</v>
      </c>
      <c r="S878" s="2">
        <v>20</v>
      </c>
      <c r="T878" s="2" t="s">
        <v>7142</v>
      </c>
    </row>
    <row r="879" spans="2:20">
      <c r="B879" s="2" t="s">
        <v>1935</v>
      </c>
      <c r="C879" s="2" t="s">
        <v>6690</v>
      </c>
      <c r="D879" s="19" t="s">
        <v>8682</v>
      </c>
      <c r="E879" s="2">
        <v>3</v>
      </c>
      <c r="F879" s="2">
        <v>0</v>
      </c>
      <c r="G879" s="2">
        <v>3300</v>
      </c>
      <c r="H879" s="2" t="s">
        <v>7143</v>
      </c>
      <c r="K879" s="2">
        <v>3</v>
      </c>
      <c r="L879" s="2">
        <v>16</v>
      </c>
      <c r="M879" s="2" t="s">
        <v>8680</v>
      </c>
      <c r="O879" s="2">
        <v>1998</v>
      </c>
      <c r="P879" s="2">
        <v>2015</v>
      </c>
      <c r="Q879" s="2" t="s">
        <v>8679</v>
      </c>
      <c r="S879" s="2">
        <v>12</v>
      </c>
      <c r="T879" s="2" t="s">
        <v>7142</v>
      </c>
    </row>
    <row r="880" spans="2:20">
      <c r="B880" s="2" t="s">
        <v>1981</v>
      </c>
      <c r="C880" s="2" t="s">
        <v>6691</v>
      </c>
      <c r="D880" s="19" t="s">
        <v>8682</v>
      </c>
      <c r="E880" s="2">
        <v>0.7</v>
      </c>
      <c r="F880" s="2">
        <v>0</v>
      </c>
      <c r="H880" s="2" t="s">
        <v>7143</v>
      </c>
      <c r="K880" s="2">
        <v>0.7</v>
      </c>
      <c r="L880" s="2">
        <v>2.8</v>
      </c>
      <c r="M880" s="2" t="s">
        <v>8680</v>
      </c>
      <c r="O880" s="2">
        <v>2000</v>
      </c>
      <c r="P880" s="2">
        <v>2019</v>
      </c>
      <c r="Q880" s="2" t="s">
        <v>8679</v>
      </c>
      <c r="S880" s="2">
        <v>2</v>
      </c>
      <c r="T880" s="2" t="s">
        <v>7142</v>
      </c>
    </row>
    <row r="881" spans="2:20">
      <c r="B881" s="2" t="s">
        <v>2004</v>
      </c>
      <c r="C881" s="2" t="s">
        <v>6692</v>
      </c>
      <c r="D881" s="19" t="s">
        <v>8684</v>
      </c>
      <c r="E881" s="2">
        <v>0.7</v>
      </c>
      <c r="F881" s="2">
        <v>0</v>
      </c>
      <c r="G881" s="2">
        <v>770</v>
      </c>
      <c r="H881" s="2" t="s">
        <v>7142</v>
      </c>
      <c r="I881" s="2" t="s">
        <v>8686</v>
      </c>
      <c r="K881" s="2">
        <v>0.7</v>
      </c>
      <c r="L881" s="2">
        <v>2.8</v>
      </c>
      <c r="M881" s="2" t="s">
        <v>8680</v>
      </c>
      <c r="O881" s="2">
        <v>1995</v>
      </c>
      <c r="P881" s="2">
        <v>2018</v>
      </c>
      <c r="Q881" s="2" t="s">
        <v>8679</v>
      </c>
      <c r="S881" s="2">
        <v>2</v>
      </c>
      <c r="T881" s="2" t="s">
        <v>7142</v>
      </c>
    </row>
    <row r="882" spans="2:20">
      <c r="B882" s="2" t="s">
        <v>2004</v>
      </c>
      <c r="C882" s="2" t="s">
        <v>6693</v>
      </c>
      <c r="D882" s="19" t="s">
        <v>8685</v>
      </c>
      <c r="E882" s="2">
        <v>1.3</v>
      </c>
      <c r="F882" s="2">
        <v>0</v>
      </c>
      <c r="G882" s="2">
        <v>1500</v>
      </c>
      <c r="H882" s="2" t="s">
        <v>7142</v>
      </c>
      <c r="I882" s="2" t="s">
        <v>8692</v>
      </c>
      <c r="K882" s="2">
        <v>1.3</v>
      </c>
      <c r="L882" s="2">
        <v>4.5999999999999996</v>
      </c>
      <c r="M882" s="2" t="s">
        <v>8680</v>
      </c>
      <c r="O882" s="2">
        <v>1998</v>
      </c>
      <c r="P882" s="2">
        <v>2017</v>
      </c>
      <c r="Q882" s="2" t="s">
        <v>8679</v>
      </c>
      <c r="S882" s="2">
        <v>2</v>
      </c>
      <c r="T882" s="2" t="s">
        <v>7142</v>
      </c>
    </row>
    <row r="883" spans="2:20">
      <c r="B883" s="2" t="s">
        <v>2004</v>
      </c>
      <c r="C883" s="2" t="s">
        <v>6694</v>
      </c>
      <c r="D883" s="19" t="s">
        <v>8682</v>
      </c>
      <c r="E883" s="2">
        <v>0.6</v>
      </c>
      <c r="F883" s="2">
        <v>0</v>
      </c>
      <c r="G883" s="2">
        <v>660</v>
      </c>
      <c r="H883" s="2" t="s">
        <v>7142</v>
      </c>
      <c r="I883" s="2" t="s">
        <v>8686</v>
      </c>
      <c r="K883" s="2">
        <v>0.6</v>
      </c>
      <c r="L883" s="2">
        <v>2.6</v>
      </c>
      <c r="M883" s="2" t="s">
        <v>8680</v>
      </c>
      <c r="O883" s="2">
        <v>1998</v>
      </c>
      <c r="P883" s="2">
        <v>2019</v>
      </c>
      <c r="Q883" s="2" t="s">
        <v>8679</v>
      </c>
      <c r="S883" s="2">
        <v>2</v>
      </c>
      <c r="T883" s="2" t="s">
        <v>7142</v>
      </c>
    </row>
    <row r="884" spans="2:20">
      <c r="B884" s="2" t="s">
        <v>2021</v>
      </c>
      <c r="C884" s="2" t="s">
        <v>6695</v>
      </c>
      <c r="D884" s="19" t="s">
        <v>8682</v>
      </c>
      <c r="E884" s="2">
        <v>0.5</v>
      </c>
      <c r="F884" s="2">
        <v>0</v>
      </c>
      <c r="G884" s="2">
        <v>550</v>
      </c>
      <c r="H884" s="2" t="s">
        <v>7143</v>
      </c>
      <c r="K884" s="2">
        <v>0.5</v>
      </c>
      <c r="L884" s="2">
        <v>2.4</v>
      </c>
      <c r="M884" s="2" t="s">
        <v>8680</v>
      </c>
      <c r="O884" s="2">
        <v>1995</v>
      </c>
      <c r="P884" s="2">
        <v>2017</v>
      </c>
      <c r="Q884" s="2" t="s">
        <v>8681</v>
      </c>
      <c r="S884" s="2">
        <v>2</v>
      </c>
      <c r="T884" s="2" t="s">
        <v>7142</v>
      </c>
    </row>
    <row r="885" spans="2:20">
      <c r="B885" s="2" t="s">
        <v>2021</v>
      </c>
      <c r="C885" s="2" t="s">
        <v>6696</v>
      </c>
      <c r="D885" s="19" t="s">
        <v>8685</v>
      </c>
      <c r="E885" s="2">
        <v>0.5</v>
      </c>
      <c r="F885" s="2">
        <v>0</v>
      </c>
      <c r="G885" s="2">
        <v>550</v>
      </c>
      <c r="H885" s="2" t="s">
        <v>7142</v>
      </c>
      <c r="I885" s="2" t="s">
        <v>8692</v>
      </c>
      <c r="K885" s="2">
        <v>0.5</v>
      </c>
      <c r="L885" s="2">
        <v>2.8</v>
      </c>
      <c r="M885" s="2" t="s">
        <v>8680</v>
      </c>
      <c r="O885" s="2">
        <v>1999</v>
      </c>
      <c r="P885" s="2">
        <v>2001</v>
      </c>
      <c r="Q885" s="2" t="s">
        <v>8679</v>
      </c>
      <c r="S885" s="2">
        <v>2</v>
      </c>
      <c r="T885" s="2" t="s">
        <v>7142</v>
      </c>
    </row>
    <row r="886" spans="2:20">
      <c r="B886" s="2" t="s">
        <v>2021</v>
      </c>
      <c r="C886" s="2" t="s">
        <v>6697</v>
      </c>
      <c r="D886" s="19" t="s">
        <v>8684</v>
      </c>
      <c r="E886" s="2">
        <v>0.5</v>
      </c>
      <c r="F886" s="2">
        <v>0</v>
      </c>
      <c r="G886" s="2">
        <v>550</v>
      </c>
      <c r="H886" s="2" t="s">
        <v>7143</v>
      </c>
      <c r="K886" s="2">
        <v>0.5</v>
      </c>
      <c r="L886" s="2">
        <v>2.8</v>
      </c>
      <c r="M886" s="2" t="s">
        <v>8680</v>
      </c>
      <c r="O886" s="2">
        <v>1995</v>
      </c>
      <c r="P886" s="2">
        <v>2018</v>
      </c>
      <c r="Q886" s="2" t="s">
        <v>8679</v>
      </c>
      <c r="S886" s="2">
        <v>2</v>
      </c>
      <c r="T886" s="2" t="s">
        <v>7142</v>
      </c>
    </row>
    <row r="887" spans="2:20">
      <c r="B887" s="2" t="s">
        <v>2049</v>
      </c>
      <c r="C887" s="2" t="s">
        <v>6698</v>
      </c>
      <c r="D887" s="19" t="s">
        <v>8682</v>
      </c>
      <c r="E887" s="2">
        <v>1.2</v>
      </c>
      <c r="F887" s="2">
        <v>0</v>
      </c>
      <c r="G887" s="2">
        <v>1300</v>
      </c>
      <c r="H887" s="2" t="s">
        <v>7143</v>
      </c>
      <c r="K887" s="2">
        <v>1.2</v>
      </c>
      <c r="L887" s="2">
        <v>2.2999999999999998</v>
      </c>
      <c r="M887" s="2" t="s">
        <v>8680</v>
      </c>
      <c r="O887" s="2">
        <v>1995</v>
      </c>
      <c r="P887" s="2">
        <v>2023</v>
      </c>
      <c r="Q887" s="2" t="s">
        <v>8679</v>
      </c>
      <c r="S887" s="2">
        <v>2</v>
      </c>
      <c r="T887" s="2" t="s">
        <v>7142</v>
      </c>
    </row>
    <row r="888" spans="2:20">
      <c r="B888" s="2" t="s">
        <v>2106</v>
      </c>
      <c r="C888" s="2" t="s">
        <v>6699</v>
      </c>
      <c r="D888" s="19" t="s">
        <v>8682</v>
      </c>
      <c r="E888" s="2">
        <v>1</v>
      </c>
      <c r="F888" s="2">
        <v>0</v>
      </c>
      <c r="G888" s="2">
        <v>1100</v>
      </c>
      <c r="H888" s="2" t="s">
        <v>7143</v>
      </c>
      <c r="K888" s="2">
        <v>1</v>
      </c>
      <c r="L888" s="2">
        <v>5</v>
      </c>
      <c r="M888" s="2" t="s">
        <v>8680</v>
      </c>
      <c r="O888" s="2">
        <v>1998</v>
      </c>
      <c r="P888" s="2">
        <v>2004</v>
      </c>
      <c r="Q888" s="2" t="s">
        <v>8679</v>
      </c>
      <c r="S888" s="2">
        <v>2</v>
      </c>
      <c r="T888" s="2" t="s">
        <v>7142</v>
      </c>
    </row>
    <row r="889" spans="2:20">
      <c r="B889" s="2" t="s">
        <v>2126</v>
      </c>
      <c r="C889" s="2" t="s">
        <v>6700</v>
      </c>
      <c r="D889" s="19" t="s">
        <v>8682</v>
      </c>
      <c r="E889" s="2">
        <v>1</v>
      </c>
      <c r="F889" s="2">
        <v>0</v>
      </c>
      <c r="G889" s="2">
        <v>1100</v>
      </c>
      <c r="H889" s="2" t="s">
        <v>7143</v>
      </c>
      <c r="K889" s="2">
        <v>1</v>
      </c>
      <c r="L889" s="2">
        <v>5</v>
      </c>
      <c r="M889" s="2" t="s">
        <v>8680</v>
      </c>
      <c r="O889" s="2">
        <v>2009</v>
      </c>
      <c r="P889" s="2">
        <v>2009</v>
      </c>
      <c r="Q889" s="2" t="s">
        <v>8688</v>
      </c>
      <c r="S889" s="2">
        <v>1</v>
      </c>
      <c r="T889" s="2" t="s">
        <v>7142</v>
      </c>
    </row>
    <row r="890" spans="2:20">
      <c r="B890" s="2" t="s">
        <v>2126</v>
      </c>
      <c r="C890" s="2" t="s">
        <v>6701</v>
      </c>
      <c r="D890" s="19" t="s">
        <v>8684</v>
      </c>
      <c r="E890" s="2">
        <v>1</v>
      </c>
      <c r="F890" s="2">
        <v>0</v>
      </c>
      <c r="G890" s="2">
        <v>1100</v>
      </c>
      <c r="H890" s="2" t="s">
        <v>7143</v>
      </c>
      <c r="K890" s="2">
        <v>1</v>
      </c>
      <c r="L890" s="2">
        <v>5</v>
      </c>
      <c r="M890" s="2" t="s">
        <v>8680</v>
      </c>
      <c r="O890" s="2">
        <v>2013</v>
      </c>
      <c r="P890" s="2">
        <v>2013</v>
      </c>
      <c r="Q890" s="2" t="s">
        <v>8681</v>
      </c>
      <c r="S890" s="2">
        <v>1</v>
      </c>
      <c r="T890" s="2" t="s">
        <v>7142</v>
      </c>
    </row>
    <row r="891" spans="2:20">
      <c r="B891" s="2" t="s">
        <v>2141</v>
      </c>
      <c r="C891" s="2" t="s">
        <v>6702</v>
      </c>
      <c r="D891" s="19" t="s">
        <v>8682</v>
      </c>
      <c r="E891" s="2">
        <v>0.85</v>
      </c>
      <c r="F891" s="2">
        <v>0</v>
      </c>
      <c r="G891" s="2">
        <v>900</v>
      </c>
      <c r="H891" s="2" t="s">
        <v>7143</v>
      </c>
      <c r="K891" s="2">
        <v>0.85</v>
      </c>
      <c r="L891" s="2">
        <v>1</v>
      </c>
      <c r="M891" s="2" t="s">
        <v>8680</v>
      </c>
      <c r="O891" s="2">
        <v>1995</v>
      </c>
      <c r="P891" s="2">
        <v>2023</v>
      </c>
      <c r="Q891" s="2" t="s">
        <v>8679</v>
      </c>
      <c r="S891" s="2">
        <v>2</v>
      </c>
      <c r="T891" s="2" t="s">
        <v>7142</v>
      </c>
    </row>
    <row r="892" spans="2:20">
      <c r="B892" s="2" t="s">
        <v>2157</v>
      </c>
      <c r="C892" s="2" t="s">
        <v>6703</v>
      </c>
      <c r="D892" s="19" t="s">
        <v>8684</v>
      </c>
      <c r="E892" s="2">
        <v>1.4</v>
      </c>
      <c r="F892" s="2">
        <v>0</v>
      </c>
      <c r="G892" s="2">
        <v>1500</v>
      </c>
      <c r="H892" s="2" t="s">
        <v>7143</v>
      </c>
      <c r="K892" s="2">
        <v>1.4</v>
      </c>
      <c r="L892" s="2">
        <v>5.5</v>
      </c>
      <c r="M892" s="2" t="s">
        <v>8678</v>
      </c>
      <c r="O892" s="2">
        <v>1995</v>
      </c>
      <c r="P892" s="2">
        <v>2018</v>
      </c>
      <c r="Q892" s="2" t="s">
        <v>8679</v>
      </c>
      <c r="S892" s="2">
        <v>2</v>
      </c>
      <c r="T892" s="2" t="s">
        <v>7142</v>
      </c>
    </row>
    <row r="893" spans="2:20">
      <c r="B893" s="2" t="s">
        <v>2157</v>
      </c>
      <c r="C893" s="2" t="s">
        <v>6704</v>
      </c>
      <c r="D893" s="19" t="s">
        <v>8682</v>
      </c>
      <c r="E893" s="2">
        <v>0.8</v>
      </c>
      <c r="F893" s="2">
        <v>0</v>
      </c>
      <c r="G893" s="2">
        <v>880</v>
      </c>
      <c r="H893" s="2" t="s">
        <v>7143</v>
      </c>
      <c r="K893" s="2">
        <v>0</v>
      </c>
      <c r="L893" s="2">
        <v>0</v>
      </c>
      <c r="M893" s="2" t="s">
        <v>8680</v>
      </c>
      <c r="O893" s="2">
        <v>1995</v>
      </c>
      <c r="P893" s="2">
        <v>2024</v>
      </c>
      <c r="Q893" s="2" t="s">
        <v>8679</v>
      </c>
      <c r="S893" s="2">
        <v>1</v>
      </c>
      <c r="T893" s="2" t="s">
        <v>7142</v>
      </c>
    </row>
    <row r="894" spans="2:20">
      <c r="B894" s="2" t="s">
        <v>2179</v>
      </c>
      <c r="C894" s="2" t="s">
        <v>6705</v>
      </c>
      <c r="D894" s="19" t="s">
        <v>8684</v>
      </c>
      <c r="E894" s="2">
        <v>0.6</v>
      </c>
      <c r="F894" s="2">
        <v>0</v>
      </c>
      <c r="G894" s="2">
        <v>660</v>
      </c>
      <c r="H894" s="2" t="s">
        <v>7143</v>
      </c>
      <c r="K894" s="2">
        <v>0</v>
      </c>
      <c r="L894" s="2">
        <v>0</v>
      </c>
      <c r="M894" s="2" t="s">
        <v>8678</v>
      </c>
      <c r="O894" s="2">
        <v>1995</v>
      </c>
      <c r="P894" s="2">
        <v>2025</v>
      </c>
      <c r="Q894" s="2" t="s">
        <v>8679</v>
      </c>
      <c r="S894" s="2">
        <v>2</v>
      </c>
      <c r="T894" s="2" t="s">
        <v>7142</v>
      </c>
    </row>
    <row r="895" spans="2:20">
      <c r="B895" s="2" t="s">
        <v>2179</v>
      </c>
      <c r="C895" s="2" t="s">
        <v>6706</v>
      </c>
      <c r="D895" s="19" t="s">
        <v>8682</v>
      </c>
      <c r="E895" s="2">
        <v>0.8</v>
      </c>
      <c r="F895" s="2">
        <v>0</v>
      </c>
      <c r="G895" s="2">
        <v>880</v>
      </c>
      <c r="H895" s="2" t="s">
        <v>7143</v>
      </c>
      <c r="K895" s="2">
        <v>0</v>
      </c>
      <c r="L895" s="2">
        <v>0</v>
      </c>
      <c r="M895" s="2" t="s">
        <v>8680</v>
      </c>
      <c r="O895" s="2">
        <v>1995</v>
      </c>
      <c r="P895" s="2">
        <v>2025</v>
      </c>
      <c r="Q895" s="2" t="s">
        <v>8679</v>
      </c>
      <c r="S895" s="2">
        <v>2</v>
      </c>
      <c r="T895" s="2" t="s">
        <v>7142</v>
      </c>
    </row>
    <row r="896" spans="2:20">
      <c r="B896" s="2" t="s">
        <v>2179</v>
      </c>
      <c r="C896" s="2" t="s">
        <v>6707</v>
      </c>
      <c r="D896" s="19" t="s">
        <v>8685</v>
      </c>
      <c r="E896" s="2">
        <v>0.8</v>
      </c>
      <c r="F896" s="2">
        <v>0</v>
      </c>
      <c r="G896" s="2">
        <v>880</v>
      </c>
      <c r="H896" s="2" t="s">
        <v>7143</v>
      </c>
      <c r="K896" s="2">
        <v>0.8</v>
      </c>
      <c r="L896" s="2">
        <v>1</v>
      </c>
      <c r="M896" s="2" t="s">
        <v>8678</v>
      </c>
      <c r="O896" s="2">
        <v>2015</v>
      </c>
      <c r="P896" s="2">
        <v>2015</v>
      </c>
      <c r="Q896" s="2" t="s">
        <v>8688</v>
      </c>
      <c r="S896" s="2">
        <v>2</v>
      </c>
      <c r="T896" s="2" t="s">
        <v>7142</v>
      </c>
    </row>
    <row r="897" spans="2:20">
      <c r="B897" s="2" t="s">
        <v>2212</v>
      </c>
      <c r="C897" s="2" t="s">
        <v>6708</v>
      </c>
      <c r="D897" s="19" t="s">
        <v>8684</v>
      </c>
      <c r="E897" s="2">
        <v>0.7</v>
      </c>
      <c r="F897" s="2">
        <v>0</v>
      </c>
      <c r="G897" s="2">
        <v>770</v>
      </c>
      <c r="K897" s="2">
        <v>0.7</v>
      </c>
      <c r="L897" s="2">
        <v>1.5</v>
      </c>
      <c r="M897" s="2" t="s">
        <v>8678</v>
      </c>
      <c r="O897" s="2">
        <v>2016</v>
      </c>
      <c r="P897" s="2">
        <v>2016</v>
      </c>
      <c r="Q897" s="2" t="s">
        <v>8688</v>
      </c>
      <c r="S897" s="2">
        <v>2</v>
      </c>
      <c r="T897" s="2" t="s">
        <v>7142</v>
      </c>
    </row>
    <row r="898" spans="2:20">
      <c r="B898" s="2" t="s">
        <v>2212</v>
      </c>
      <c r="C898" s="2" t="s">
        <v>6709</v>
      </c>
      <c r="D898" s="19" t="s">
        <v>8682</v>
      </c>
      <c r="E898" s="2">
        <v>0.4</v>
      </c>
      <c r="F898" s="2">
        <v>0</v>
      </c>
      <c r="G898" s="2">
        <v>440</v>
      </c>
      <c r="H898" s="2" t="s">
        <v>7143</v>
      </c>
      <c r="K898" s="2">
        <v>0</v>
      </c>
      <c r="L898" s="2">
        <v>0</v>
      </c>
      <c r="M898" s="2" t="s">
        <v>8680</v>
      </c>
      <c r="O898" s="2">
        <v>1995</v>
      </c>
      <c r="P898" s="2">
        <v>2024</v>
      </c>
      <c r="Q898" s="2" t="s">
        <v>8679</v>
      </c>
      <c r="S898" s="2">
        <v>2</v>
      </c>
      <c r="T898" s="2" t="s">
        <v>7142</v>
      </c>
    </row>
    <row r="899" spans="2:20">
      <c r="B899" s="2" t="s">
        <v>2247</v>
      </c>
      <c r="C899" s="2" t="s">
        <v>6710</v>
      </c>
      <c r="D899" s="19" t="s">
        <v>8682</v>
      </c>
      <c r="E899" s="2">
        <v>0.5</v>
      </c>
      <c r="F899" s="2">
        <v>0</v>
      </c>
      <c r="G899" s="2">
        <v>770</v>
      </c>
      <c r="H899" s="2" t="s">
        <v>7143</v>
      </c>
      <c r="K899" s="2">
        <v>0.7</v>
      </c>
      <c r="L899" s="2">
        <v>2.8</v>
      </c>
      <c r="M899" s="2" t="s">
        <v>8680</v>
      </c>
      <c r="O899" s="2">
        <v>2008</v>
      </c>
      <c r="P899" s="2">
        <v>2008</v>
      </c>
      <c r="Q899" s="2" t="s">
        <v>8679</v>
      </c>
      <c r="S899" s="2">
        <v>2</v>
      </c>
      <c r="T899" s="2" t="s">
        <v>7142</v>
      </c>
    </row>
    <row r="900" spans="2:20">
      <c r="B900" s="2" t="s">
        <v>2247</v>
      </c>
      <c r="C900" s="2" t="s">
        <v>6711</v>
      </c>
      <c r="D900" s="19" t="s">
        <v>8684</v>
      </c>
      <c r="E900" s="2">
        <v>0.2</v>
      </c>
      <c r="F900" s="2">
        <v>0</v>
      </c>
      <c r="G900" s="2">
        <v>220</v>
      </c>
      <c r="H900" s="2" t="s">
        <v>7143</v>
      </c>
      <c r="K900" s="2">
        <v>0.2</v>
      </c>
      <c r="L900" s="2">
        <v>0.5</v>
      </c>
      <c r="M900" s="2" t="s">
        <v>8680</v>
      </c>
      <c r="O900" s="2">
        <v>2008</v>
      </c>
      <c r="P900" s="2">
        <v>2008</v>
      </c>
      <c r="Q900" s="2" t="s">
        <v>8679</v>
      </c>
      <c r="S900" s="2">
        <v>2</v>
      </c>
      <c r="T900" s="2" t="s">
        <v>7142</v>
      </c>
    </row>
    <row r="901" spans="2:20">
      <c r="B901" s="2" t="s">
        <v>2277</v>
      </c>
      <c r="C901" s="2" t="s">
        <v>6712</v>
      </c>
      <c r="D901" s="19" t="s">
        <v>8682</v>
      </c>
      <c r="E901" s="2">
        <v>0.8</v>
      </c>
      <c r="F901" s="2">
        <v>0</v>
      </c>
      <c r="G901" s="2">
        <v>880</v>
      </c>
      <c r="H901" s="2" t="s">
        <v>7143</v>
      </c>
      <c r="K901" s="2">
        <v>0.8</v>
      </c>
      <c r="L901" s="2">
        <v>0.5</v>
      </c>
      <c r="M901" s="2" t="s">
        <v>8680</v>
      </c>
      <c r="O901" s="2">
        <v>1995</v>
      </c>
      <c r="P901" s="2">
        <v>2021</v>
      </c>
      <c r="Q901" s="2" t="s">
        <v>8679</v>
      </c>
      <c r="S901" s="2">
        <v>2</v>
      </c>
      <c r="T901" s="2" t="s">
        <v>7142</v>
      </c>
    </row>
    <row r="902" spans="2:20">
      <c r="B902" s="2" t="s">
        <v>2300</v>
      </c>
      <c r="C902" s="2" t="s">
        <v>6713</v>
      </c>
      <c r="D902" s="19" t="s">
        <v>8684</v>
      </c>
      <c r="E902" s="2">
        <v>0.4</v>
      </c>
      <c r="F902" s="2">
        <v>0</v>
      </c>
      <c r="G902" s="2">
        <v>440</v>
      </c>
      <c r="H902" s="2" t="s">
        <v>7142</v>
      </c>
      <c r="I902" s="2" t="s">
        <v>8687</v>
      </c>
      <c r="K902" s="2">
        <v>0.4</v>
      </c>
      <c r="L902" s="2">
        <v>1.5</v>
      </c>
      <c r="M902" s="2" t="s">
        <v>8680</v>
      </c>
      <c r="O902" s="2">
        <v>2011</v>
      </c>
      <c r="P902" s="2">
        <v>2011</v>
      </c>
      <c r="Q902" s="2" t="s">
        <v>8681</v>
      </c>
      <c r="S902" s="2">
        <v>2</v>
      </c>
      <c r="T902" s="2" t="s">
        <v>7142</v>
      </c>
    </row>
    <row r="903" spans="2:20">
      <c r="B903" s="2" t="s">
        <v>2300</v>
      </c>
      <c r="C903" s="2" t="s">
        <v>6714</v>
      </c>
      <c r="D903" s="19" t="s">
        <v>8682</v>
      </c>
      <c r="E903" s="2">
        <v>0.6</v>
      </c>
      <c r="F903" s="2">
        <v>0</v>
      </c>
      <c r="G903" s="2">
        <v>660</v>
      </c>
      <c r="H903" s="2" t="s">
        <v>7143</v>
      </c>
      <c r="K903" s="2">
        <v>0.6</v>
      </c>
      <c r="L903" s="2">
        <v>2.5</v>
      </c>
      <c r="M903" s="2" t="s">
        <v>8680</v>
      </c>
      <c r="O903" s="2">
        <v>2009</v>
      </c>
      <c r="P903" s="2">
        <v>2009</v>
      </c>
      <c r="Q903" s="2" t="s">
        <v>8681</v>
      </c>
      <c r="S903" s="2">
        <v>2</v>
      </c>
      <c r="T903" s="2" t="s">
        <v>7142</v>
      </c>
    </row>
    <row r="904" spans="2:20">
      <c r="B904" s="2" t="s">
        <v>2341</v>
      </c>
      <c r="C904" s="2" t="s">
        <v>6715</v>
      </c>
      <c r="D904" s="19" t="s">
        <v>8682</v>
      </c>
      <c r="E904" s="2">
        <v>0.6</v>
      </c>
      <c r="F904" s="2">
        <v>0</v>
      </c>
      <c r="G904" s="2">
        <v>660</v>
      </c>
      <c r="H904" s="2" t="s">
        <v>7143</v>
      </c>
      <c r="K904" s="2">
        <v>0.6</v>
      </c>
      <c r="L904" s="2">
        <v>1.7</v>
      </c>
      <c r="M904" s="2" t="s">
        <v>8700</v>
      </c>
      <c r="O904" s="2">
        <v>2000</v>
      </c>
      <c r="P904" s="2">
        <v>2000</v>
      </c>
      <c r="Q904" s="2" t="s">
        <v>8679</v>
      </c>
      <c r="S904" s="2">
        <v>2</v>
      </c>
      <c r="T904" s="2" t="s">
        <v>7143</v>
      </c>
    </row>
    <row r="905" spans="2:20">
      <c r="B905" s="2" t="s">
        <v>2341</v>
      </c>
      <c r="C905" s="2" t="s">
        <v>6716</v>
      </c>
      <c r="D905" s="19" t="s">
        <v>8684</v>
      </c>
      <c r="E905" s="2">
        <v>0.4</v>
      </c>
      <c r="F905" s="2">
        <v>0</v>
      </c>
      <c r="G905" s="2">
        <v>440</v>
      </c>
      <c r="H905" s="2" t="s">
        <v>7143</v>
      </c>
      <c r="K905" s="2">
        <v>0.4</v>
      </c>
      <c r="L905" s="2">
        <v>0.6</v>
      </c>
      <c r="M905" s="2" t="s">
        <v>8700</v>
      </c>
      <c r="O905" s="2">
        <v>2001</v>
      </c>
      <c r="P905" s="2">
        <v>2001</v>
      </c>
      <c r="Q905" s="2" t="s">
        <v>8679</v>
      </c>
      <c r="S905" s="2">
        <v>2</v>
      </c>
      <c r="T905" s="2" t="s">
        <v>7143</v>
      </c>
    </row>
    <row r="906" spans="2:20">
      <c r="B906" s="2" t="s">
        <v>2417</v>
      </c>
      <c r="C906" s="2" t="s">
        <v>6717</v>
      </c>
      <c r="D906" s="19" t="s">
        <v>8684</v>
      </c>
      <c r="E906" s="2">
        <v>0.5</v>
      </c>
      <c r="F906" s="2">
        <v>0</v>
      </c>
      <c r="G906" s="2">
        <v>550</v>
      </c>
      <c r="H906" s="2" t="s">
        <v>7143</v>
      </c>
      <c r="K906" s="2">
        <v>0.5</v>
      </c>
      <c r="L906" s="2">
        <v>1.3</v>
      </c>
      <c r="M906" s="2" t="s">
        <v>8680</v>
      </c>
      <c r="O906" s="2">
        <v>2019</v>
      </c>
      <c r="P906" s="2">
        <v>2019</v>
      </c>
      <c r="Q906" s="2" t="s">
        <v>8679</v>
      </c>
      <c r="S906" s="2">
        <v>2</v>
      </c>
      <c r="T906" s="2" t="s">
        <v>7142</v>
      </c>
    </row>
    <row r="907" spans="2:20">
      <c r="B907" s="2" t="s">
        <v>2417</v>
      </c>
      <c r="C907" s="2" t="s">
        <v>6718</v>
      </c>
      <c r="D907" s="19" t="s">
        <v>8682</v>
      </c>
      <c r="E907" s="2">
        <v>0.5</v>
      </c>
      <c r="F907" s="2">
        <v>0</v>
      </c>
      <c r="G907" s="2">
        <v>550</v>
      </c>
      <c r="H907" s="2" t="s">
        <v>7143</v>
      </c>
      <c r="K907" s="2">
        <v>0.5</v>
      </c>
      <c r="L907" s="2">
        <v>0.9</v>
      </c>
      <c r="M907" s="2" t="s">
        <v>8680</v>
      </c>
      <c r="O907" s="2">
        <v>2013</v>
      </c>
      <c r="P907" s="2">
        <v>2013</v>
      </c>
      <c r="Q907" s="2" t="s">
        <v>8679</v>
      </c>
      <c r="S907" s="2">
        <v>2</v>
      </c>
      <c r="T907" s="2" t="s">
        <v>7142</v>
      </c>
    </row>
    <row r="908" spans="2:20">
      <c r="B908" s="2" t="s">
        <v>2434</v>
      </c>
      <c r="C908" s="2" t="s">
        <v>6719</v>
      </c>
      <c r="D908" s="19" t="s">
        <v>8684</v>
      </c>
      <c r="E908" s="2">
        <v>0.4</v>
      </c>
      <c r="F908" s="2">
        <v>0</v>
      </c>
      <c r="G908" s="2">
        <v>440</v>
      </c>
      <c r="H908" s="2" t="s">
        <v>7143</v>
      </c>
      <c r="K908" s="2">
        <v>0.4</v>
      </c>
      <c r="L908" s="2">
        <v>0.4</v>
      </c>
      <c r="M908" s="2" t="s">
        <v>8680</v>
      </c>
      <c r="O908" s="2">
        <v>2016</v>
      </c>
      <c r="P908" s="2">
        <v>2016</v>
      </c>
      <c r="Q908" s="2" t="s">
        <v>8683</v>
      </c>
      <c r="S908" s="2">
        <v>2</v>
      </c>
      <c r="T908" s="2" t="s">
        <v>7142</v>
      </c>
    </row>
    <row r="909" spans="2:20">
      <c r="B909" s="2" t="s">
        <v>2434</v>
      </c>
      <c r="C909" s="2" t="s">
        <v>6720</v>
      </c>
      <c r="D909" s="19" t="s">
        <v>8682</v>
      </c>
      <c r="E909" s="2">
        <v>0.4</v>
      </c>
      <c r="F909" s="2">
        <v>0</v>
      </c>
      <c r="G909" s="2">
        <v>440</v>
      </c>
      <c r="H909" s="2" t="s">
        <v>7143</v>
      </c>
      <c r="K909" s="2">
        <v>0.4</v>
      </c>
      <c r="L909" s="2">
        <v>0.7</v>
      </c>
      <c r="M909" s="2" t="s">
        <v>8680</v>
      </c>
      <c r="O909" s="2">
        <v>2016</v>
      </c>
      <c r="P909" s="2">
        <v>2016</v>
      </c>
      <c r="Q909" s="2" t="s">
        <v>8688</v>
      </c>
      <c r="S909" s="2">
        <v>2</v>
      </c>
      <c r="T909" s="2" t="s">
        <v>7142</v>
      </c>
    </row>
    <row r="910" spans="2:20">
      <c r="B910" s="2" t="s">
        <v>2394</v>
      </c>
      <c r="C910" s="2" t="s">
        <v>6721</v>
      </c>
      <c r="D910" s="19" t="s">
        <v>8682</v>
      </c>
      <c r="E910" s="2">
        <v>0.8</v>
      </c>
      <c r="F910" s="2">
        <v>0</v>
      </c>
      <c r="G910" s="2">
        <v>880</v>
      </c>
      <c r="H910" s="2" t="s">
        <v>7143</v>
      </c>
      <c r="K910" s="2">
        <v>0.8</v>
      </c>
      <c r="L910" s="2">
        <v>0.7</v>
      </c>
      <c r="M910" s="2" t="s">
        <v>8680</v>
      </c>
      <c r="O910" s="2">
        <v>2019</v>
      </c>
      <c r="P910" s="2">
        <v>2019</v>
      </c>
      <c r="Q910" s="2" t="s">
        <v>8681</v>
      </c>
      <c r="S910" s="2">
        <v>4</v>
      </c>
      <c r="T910" s="2" t="s">
        <v>7142</v>
      </c>
    </row>
    <row r="911" spans="2:20">
      <c r="B911" s="2" t="s">
        <v>2406</v>
      </c>
      <c r="C911" s="2" t="s">
        <v>6722</v>
      </c>
      <c r="D911" s="19" t="s">
        <v>8682</v>
      </c>
      <c r="E911" s="2">
        <v>0.5</v>
      </c>
      <c r="F911" s="2">
        <v>0</v>
      </c>
      <c r="G911" s="2">
        <v>550</v>
      </c>
      <c r="H911" s="2" t="s">
        <v>7143</v>
      </c>
      <c r="L911" s="2">
        <v>2.2000000000000002</v>
      </c>
      <c r="M911" s="2" t="s">
        <v>8680</v>
      </c>
      <c r="O911" s="2">
        <v>2016</v>
      </c>
      <c r="P911" s="2">
        <v>2016</v>
      </c>
      <c r="Q911" s="2" t="s">
        <v>8681</v>
      </c>
      <c r="S911" s="2">
        <v>2</v>
      </c>
      <c r="T911" s="2" t="s">
        <v>7142</v>
      </c>
    </row>
    <row r="912" spans="2:20">
      <c r="B912" s="2" t="s">
        <v>1418</v>
      </c>
      <c r="C912" s="2" t="s">
        <v>6723</v>
      </c>
      <c r="D912" s="19" t="s">
        <v>8682</v>
      </c>
      <c r="E912" s="2">
        <v>0.8</v>
      </c>
      <c r="F912" s="2">
        <v>0</v>
      </c>
      <c r="G912" s="2">
        <v>880</v>
      </c>
      <c r="H912" s="2" t="s">
        <v>7143</v>
      </c>
      <c r="K912" s="2">
        <v>0.8</v>
      </c>
      <c r="L912" s="2">
        <v>0.5</v>
      </c>
      <c r="M912" s="2" t="s">
        <v>8678</v>
      </c>
      <c r="O912" s="2">
        <v>1995</v>
      </c>
      <c r="P912" s="2">
        <v>2021</v>
      </c>
      <c r="Q912" s="2" t="s">
        <v>8679</v>
      </c>
      <c r="S912" s="2">
        <v>2</v>
      </c>
      <c r="T912" s="2" t="s">
        <v>7142</v>
      </c>
    </row>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J1000"/>
  <sheetViews>
    <sheetView workbookViewId="0"/>
  </sheetViews>
  <sheetFormatPr defaultColWidth="12.6640625" defaultRowHeight="15.75" customHeight="1"/>
  <cols>
    <col min="1" max="1" width="9" customWidth="1"/>
    <col min="2" max="2" width="30.6640625" customWidth="1"/>
    <col min="3" max="3" width="22.21875" customWidth="1"/>
    <col min="4" max="4" width="21.44140625" customWidth="1"/>
    <col min="5" max="5" width="8.33203125" customWidth="1"/>
    <col min="6" max="6" width="31.88671875" customWidth="1"/>
    <col min="7" max="7" width="10.44140625" customWidth="1"/>
    <col min="8" max="8" width="10.109375" customWidth="1"/>
    <col min="9" max="9" width="9.33203125" customWidth="1"/>
    <col min="10" max="10" width="31.88671875" customWidth="1"/>
  </cols>
  <sheetData>
    <row r="1" spans="1:10">
      <c r="A1" s="7" t="s">
        <v>6724</v>
      </c>
      <c r="B1" s="7" t="s">
        <v>8720</v>
      </c>
      <c r="C1" s="7" t="s">
        <v>6974</v>
      </c>
      <c r="D1" s="11" t="s">
        <v>8721</v>
      </c>
      <c r="E1" s="11" t="s">
        <v>8722</v>
      </c>
      <c r="F1" s="11" t="s">
        <v>8723</v>
      </c>
      <c r="G1" s="11" t="s">
        <v>8724</v>
      </c>
      <c r="H1" s="11" t="s">
        <v>8725</v>
      </c>
      <c r="I1" s="11" t="s">
        <v>8726</v>
      </c>
      <c r="J1" s="11" t="s">
        <v>8727</v>
      </c>
    </row>
    <row r="2" spans="1:10">
      <c r="A2" s="7" t="s">
        <v>8728</v>
      </c>
      <c r="B2" s="7" t="s">
        <v>6732</v>
      </c>
      <c r="C2" s="7" t="s">
        <v>523</v>
      </c>
      <c r="D2" s="2" t="s">
        <v>6733</v>
      </c>
      <c r="E2" s="7" t="s">
        <v>7142</v>
      </c>
      <c r="F2" s="7" t="s">
        <v>8729</v>
      </c>
      <c r="G2" s="7" t="s">
        <v>8730</v>
      </c>
      <c r="H2" s="7" t="s">
        <v>7142</v>
      </c>
      <c r="I2" s="7" t="s">
        <v>7142</v>
      </c>
      <c r="J2" s="7" t="s">
        <v>8729</v>
      </c>
    </row>
    <row r="3" spans="1:10">
      <c r="A3" s="7" t="s">
        <v>8731</v>
      </c>
      <c r="B3" s="7" t="s">
        <v>6737</v>
      </c>
      <c r="C3" s="7" t="s">
        <v>531</v>
      </c>
      <c r="D3" s="7" t="s">
        <v>6738</v>
      </c>
      <c r="E3" s="7" t="s">
        <v>7142</v>
      </c>
      <c r="F3" s="7" t="s">
        <v>8729</v>
      </c>
      <c r="G3" s="7" t="s">
        <v>8730</v>
      </c>
      <c r="H3" s="7" t="s">
        <v>7142</v>
      </c>
      <c r="I3" s="7" t="s">
        <v>7143</v>
      </c>
      <c r="J3" s="7" t="s">
        <v>8729</v>
      </c>
    </row>
    <row r="4" spans="1:10">
      <c r="A4" s="7" t="s">
        <v>8732</v>
      </c>
      <c r="B4" s="7" t="s">
        <v>6740</v>
      </c>
      <c r="C4" s="7" t="s">
        <v>2547</v>
      </c>
      <c r="E4" s="7" t="s">
        <v>7142</v>
      </c>
      <c r="F4" s="7" t="s">
        <v>8733</v>
      </c>
      <c r="G4" s="7" t="s">
        <v>8730</v>
      </c>
      <c r="H4" s="7" t="s">
        <v>7142</v>
      </c>
      <c r="I4" s="7" t="s">
        <v>7143</v>
      </c>
      <c r="J4" s="7" t="s">
        <v>8733</v>
      </c>
    </row>
    <row r="5" spans="1:10">
      <c r="A5" s="7" t="s">
        <v>8728</v>
      </c>
      <c r="B5" s="2" t="s">
        <v>6742</v>
      </c>
      <c r="C5" s="2" t="s">
        <v>2458</v>
      </c>
      <c r="E5" s="2" t="s">
        <v>7142</v>
      </c>
      <c r="F5" s="2" t="s">
        <v>8734</v>
      </c>
      <c r="G5" s="2" t="s">
        <v>8730</v>
      </c>
      <c r="H5" s="2" t="s">
        <v>7142</v>
      </c>
      <c r="I5" s="2" t="s">
        <v>7142</v>
      </c>
      <c r="J5" s="2" t="s">
        <v>8734</v>
      </c>
    </row>
    <row r="6" spans="1:10">
      <c r="A6" s="2" t="s">
        <v>8735</v>
      </c>
      <c r="B6" s="2" t="s">
        <v>6745</v>
      </c>
      <c r="C6" s="2" t="s">
        <v>349</v>
      </c>
      <c r="E6" s="2" t="s">
        <v>7143</v>
      </c>
      <c r="G6" s="2" t="s">
        <v>8736</v>
      </c>
      <c r="H6" s="2" t="s">
        <v>7142</v>
      </c>
      <c r="J6" s="2" t="s">
        <v>8734</v>
      </c>
    </row>
    <row r="7" spans="1:10">
      <c r="A7" s="2" t="s">
        <v>8728</v>
      </c>
      <c r="B7" s="2" t="s">
        <v>6747</v>
      </c>
      <c r="C7" s="2" t="s">
        <v>355</v>
      </c>
      <c r="E7" s="2" t="s">
        <v>7142</v>
      </c>
      <c r="F7" s="2" t="s">
        <v>8737</v>
      </c>
      <c r="G7" s="2" t="s">
        <v>8730</v>
      </c>
      <c r="H7" s="2" t="s">
        <v>7142</v>
      </c>
      <c r="I7" s="2" t="s">
        <v>7142</v>
      </c>
      <c r="J7" s="2" t="s">
        <v>8737</v>
      </c>
    </row>
    <row r="8" spans="1:10">
      <c r="A8" s="2" t="s">
        <v>8728</v>
      </c>
      <c r="B8" s="2" t="s">
        <v>6749</v>
      </c>
      <c r="C8" s="2" t="s">
        <v>359</v>
      </c>
      <c r="E8" s="2" t="s">
        <v>7142</v>
      </c>
      <c r="F8" s="2" t="s">
        <v>8737</v>
      </c>
      <c r="G8" s="2" t="s">
        <v>8730</v>
      </c>
      <c r="H8" s="2" t="s">
        <v>7142</v>
      </c>
      <c r="I8" s="2" t="s">
        <v>7143</v>
      </c>
      <c r="J8" s="2" t="s">
        <v>8737</v>
      </c>
    </row>
    <row r="9" spans="1:10">
      <c r="A9" s="2" t="s">
        <v>8732</v>
      </c>
      <c r="B9" s="2" t="s">
        <v>6750</v>
      </c>
      <c r="C9" s="2" t="s">
        <v>2523</v>
      </c>
      <c r="E9" s="2" t="s">
        <v>7142</v>
      </c>
      <c r="F9" s="2" t="s">
        <v>8729</v>
      </c>
      <c r="G9" s="2" t="s">
        <v>8730</v>
      </c>
      <c r="H9" s="2" t="s">
        <v>7142</v>
      </c>
      <c r="I9" s="2" t="s">
        <v>7143</v>
      </c>
      <c r="J9" s="2" t="s">
        <v>8737</v>
      </c>
    </row>
    <row r="10" spans="1:10">
      <c r="A10" s="2" t="s">
        <v>8732</v>
      </c>
      <c r="B10" s="2" t="s">
        <v>6751</v>
      </c>
      <c r="C10" s="2" t="s">
        <v>2497</v>
      </c>
      <c r="E10" s="2" t="s">
        <v>7142</v>
      </c>
      <c r="F10" s="2" t="s">
        <v>8737</v>
      </c>
      <c r="G10" s="2" t="s">
        <v>8736</v>
      </c>
      <c r="H10" s="2" t="s">
        <v>7142</v>
      </c>
      <c r="I10" s="2" t="s">
        <v>7143</v>
      </c>
      <c r="J10" s="2" t="s">
        <v>8737</v>
      </c>
    </row>
    <row r="11" spans="1:10">
      <c r="A11" s="2" t="s">
        <v>8732</v>
      </c>
      <c r="B11" s="2" t="s">
        <v>6752</v>
      </c>
      <c r="C11" s="2" t="s">
        <v>2486</v>
      </c>
      <c r="E11" s="2" t="s">
        <v>7142</v>
      </c>
      <c r="F11" s="2" t="s">
        <v>8737</v>
      </c>
      <c r="G11" s="2" t="s">
        <v>8730</v>
      </c>
      <c r="H11" s="2" t="s">
        <v>7142</v>
      </c>
      <c r="I11" s="2" t="s">
        <v>7143</v>
      </c>
      <c r="J11" s="2" t="s">
        <v>8737</v>
      </c>
    </row>
    <row r="12" spans="1:10">
      <c r="A12" s="2" t="s">
        <v>8728</v>
      </c>
      <c r="B12" s="2" t="s">
        <v>6753</v>
      </c>
      <c r="C12" s="2" t="s">
        <v>375</v>
      </c>
      <c r="E12" s="2" t="s">
        <v>7142</v>
      </c>
      <c r="F12" s="2" t="s">
        <v>8738</v>
      </c>
      <c r="G12" s="2" t="s">
        <v>8736</v>
      </c>
      <c r="H12" s="2" t="s">
        <v>7142</v>
      </c>
      <c r="I12" s="2" t="s">
        <v>7142</v>
      </c>
      <c r="J12" s="2" t="s">
        <v>8738</v>
      </c>
    </row>
    <row r="13" spans="1:10">
      <c r="A13" s="2" t="s">
        <v>8728</v>
      </c>
      <c r="B13" s="2" t="s">
        <v>6755</v>
      </c>
      <c r="C13" s="2" t="s">
        <v>927</v>
      </c>
      <c r="E13" s="2" t="s">
        <v>7142</v>
      </c>
      <c r="F13" s="2" t="s">
        <v>8737</v>
      </c>
      <c r="G13" s="2" t="s">
        <v>8736</v>
      </c>
      <c r="H13" s="2" t="s">
        <v>7142</v>
      </c>
      <c r="I13" s="2" t="s">
        <v>7142</v>
      </c>
      <c r="J13" s="2" t="s">
        <v>8737</v>
      </c>
    </row>
    <row r="14" spans="1:10">
      <c r="A14" s="2" t="s">
        <v>8732</v>
      </c>
      <c r="B14" s="2" t="s">
        <v>6756</v>
      </c>
      <c r="C14" s="2" t="s">
        <v>2470</v>
      </c>
      <c r="E14" s="2" t="s">
        <v>7142</v>
      </c>
      <c r="F14" s="2" t="s">
        <v>8737</v>
      </c>
      <c r="G14" s="2" t="s">
        <v>8730</v>
      </c>
      <c r="H14" s="2" t="s">
        <v>7142</v>
      </c>
      <c r="I14" s="2" t="s">
        <v>7143</v>
      </c>
      <c r="J14" s="2" t="s">
        <v>8737</v>
      </c>
    </row>
    <row r="15" spans="1:10">
      <c r="A15" s="2" t="s">
        <v>8728</v>
      </c>
      <c r="B15" s="2" t="s">
        <v>6757</v>
      </c>
      <c r="C15" s="2" t="s">
        <v>1051</v>
      </c>
      <c r="E15" s="2" t="s">
        <v>7142</v>
      </c>
      <c r="F15" s="2" t="s">
        <v>8737</v>
      </c>
      <c r="G15" s="2" t="s">
        <v>8730</v>
      </c>
      <c r="H15" s="2" t="s">
        <v>7142</v>
      </c>
      <c r="I15" s="2" t="s">
        <v>7142</v>
      </c>
      <c r="J15" s="2" t="s">
        <v>8737</v>
      </c>
    </row>
    <row r="16" spans="1:10">
      <c r="A16" s="2" t="s">
        <v>8732</v>
      </c>
      <c r="B16" s="2" t="s">
        <v>6758</v>
      </c>
      <c r="C16" s="2" t="s">
        <v>2271</v>
      </c>
      <c r="E16" s="2" t="s">
        <v>7142</v>
      </c>
      <c r="F16" s="2" t="s">
        <v>8729</v>
      </c>
      <c r="G16" s="2" t="s">
        <v>8730</v>
      </c>
      <c r="H16" s="2" t="s">
        <v>7142</v>
      </c>
      <c r="I16" s="2" t="s">
        <v>7143</v>
      </c>
      <c r="J16" s="2" t="s">
        <v>8737</v>
      </c>
    </row>
    <row r="17" spans="1:10">
      <c r="A17" s="2" t="s">
        <v>8728</v>
      </c>
      <c r="B17" s="2" t="s">
        <v>6759</v>
      </c>
      <c r="C17" s="2" t="s">
        <v>1069</v>
      </c>
      <c r="E17" s="2" t="s">
        <v>7142</v>
      </c>
      <c r="F17" s="2" t="s">
        <v>8737</v>
      </c>
      <c r="G17" s="2" t="s">
        <v>8730</v>
      </c>
      <c r="H17" s="2" t="s">
        <v>7142</v>
      </c>
      <c r="I17" s="2" t="s">
        <v>7142</v>
      </c>
      <c r="J17" s="2" t="s">
        <v>8737</v>
      </c>
    </row>
    <row r="18" spans="1:10">
      <c r="A18" s="2" t="s">
        <v>8728</v>
      </c>
      <c r="B18" s="2" t="s">
        <v>6760</v>
      </c>
      <c r="C18" s="2" t="s">
        <v>1089</v>
      </c>
      <c r="E18" s="2" t="s">
        <v>7142</v>
      </c>
      <c r="F18" s="2" t="s">
        <v>8737</v>
      </c>
      <c r="G18" s="2" t="s">
        <v>8736</v>
      </c>
      <c r="H18" s="2" t="s">
        <v>7142</v>
      </c>
      <c r="I18" s="2" t="s">
        <v>7142</v>
      </c>
      <c r="J18" s="2" t="s">
        <v>8737</v>
      </c>
    </row>
    <row r="19" spans="1:10">
      <c r="A19" s="2" t="s">
        <v>8732</v>
      </c>
      <c r="B19" s="2" t="s">
        <v>6761</v>
      </c>
      <c r="C19" s="2" t="s">
        <v>2241</v>
      </c>
      <c r="E19" s="2" t="s">
        <v>7142</v>
      </c>
      <c r="F19" s="2" t="s">
        <v>8737</v>
      </c>
      <c r="G19" s="2" t="s">
        <v>8736</v>
      </c>
      <c r="H19" s="2" t="s">
        <v>7142</v>
      </c>
      <c r="I19" s="2" t="s">
        <v>7143</v>
      </c>
      <c r="J19" s="2" t="s">
        <v>8737</v>
      </c>
    </row>
    <row r="20" spans="1:10">
      <c r="A20" s="2" t="s">
        <v>8728</v>
      </c>
      <c r="B20" s="2" t="s">
        <v>6762</v>
      </c>
      <c r="C20" s="2" t="s">
        <v>2241</v>
      </c>
      <c r="E20" s="2" t="s">
        <v>7142</v>
      </c>
      <c r="F20" s="2" t="s">
        <v>8733</v>
      </c>
      <c r="G20" s="2" t="s">
        <v>8730</v>
      </c>
      <c r="H20" s="2" t="s">
        <v>7142</v>
      </c>
      <c r="I20" s="2" t="s">
        <v>7142</v>
      </c>
      <c r="J20" s="2" t="s">
        <v>8737</v>
      </c>
    </row>
    <row r="21" spans="1:10">
      <c r="A21" s="2" t="s">
        <v>8728</v>
      </c>
      <c r="B21" s="2" t="s">
        <v>6763</v>
      </c>
      <c r="C21" s="2" t="s">
        <v>1168</v>
      </c>
      <c r="E21" s="2" t="s">
        <v>7142</v>
      </c>
      <c r="F21" s="2" t="s">
        <v>8737</v>
      </c>
      <c r="G21" s="2" t="s">
        <v>8730</v>
      </c>
      <c r="H21" s="2" t="s">
        <v>7142</v>
      </c>
      <c r="I21" s="2" t="s">
        <v>7142</v>
      </c>
      <c r="J21" s="2" t="s">
        <v>8737</v>
      </c>
    </row>
    <row r="22" spans="1:10">
      <c r="A22" s="2" t="s">
        <v>8732</v>
      </c>
      <c r="B22" s="2" t="s">
        <v>6764</v>
      </c>
      <c r="C22" s="2" t="s">
        <v>2203</v>
      </c>
      <c r="E22" s="2" t="s">
        <v>7142</v>
      </c>
      <c r="F22" s="2" t="s">
        <v>8737</v>
      </c>
      <c r="G22" s="2" t="s">
        <v>8736</v>
      </c>
      <c r="H22" s="2" t="s">
        <v>7142</v>
      </c>
      <c r="I22" s="2" t="s">
        <v>7143</v>
      </c>
      <c r="J22" s="2" t="s">
        <v>8737</v>
      </c>
    </row>
    <row r="23" spans="1:10">
      <c r="A23" s="2" t="s">
        <v>8728</v>
      </c>
      <c r="B23" s="2" t="s">
        <v>6765</v>
      </c>
      <c r="C23" s="2" t="s">
        <v>2203</v>
      </c>
      <c r="E23" s="2" t="s">
        <v>7142</v>
      </c>
      <c r="F23" s="2" t="s">
        <v>8737</v>
      </c>
      <c r="G23" s="2" t="s">
        <v>8730</v>
      </c>
      <c r="H23" s="2" t="s">
        <v>7142</v>
      </c>
      <c r="I23" s="2" t="s">
        <v>7142</v>
      </c>
      <c r="J23" s="2" t="s">
        <v>8729</v>
      </c>
    </row>
    <row r="24" spans="1:10">
      <c r="A24" s="2" t="s">
        <v>8732</v>
      </c>
      <c r="B24" s="2" t="s">
        <v>6766</v>
      </c>
      <c r="C24" s="2" t="s">
        <v>2086</v>
      </c>
      <c r="E24" s="2" t="s">
        <v>7142</v>
      </c>
      <c r="F24" s="2" t="s">
        <v>8739</v>
      </c>
      <c r="G24" s="2" t="s">
        <v>8730</v>
      </c>
      <c r="H24" s="2" t="s">
        <v>7142</v>
      </c>
      <c r="I24" s="2" t="s">
        <v>7143</v>
      </c>
      <c r="J24" s="2" t="s">
        <v>8733</v>
      </c>
    </row>
    <row r="25" spans="1:10">
      <c r="A25" s="2" t="s">
        <v>8728</v>
      </c>
      <c r="B25" s="2" t="s">
        <v>6768</v>
      </c>
      <c r="C25" s="2" t="s">
        <v>1193</v>
      </c>
      <c r="E25" s="2" t="s">
        <v>7142</v>
      </c>
      <c r="F25" s="2" t="s">
        <v>8737</v>
      </c>
      <c r="G25" s="2" t="s">
        <v>8736</v>
      </c>
      <c r="H25" s="2" t="s">
        <v>7142</v>
      </c>
      <c r="I25" s="2" t="s">
        <v>7142</v>
      </c>
      <c r="J25" s="2" t="s">
        <v>8737</v>
      </c>
    </row>
    <row r="26" spans="1:10">
      <c r="A26" s="2" t="s">
        <v>8728</v>
      </c>
      <c r="B26" s="2" t="s">
        <v>6769</v>
      </c>
      <c r="C26" s="2" t="s">
        <v>1197</v>
      </c>
      <c r="E26" s="2" t="s">
        <v>7142</v>
      </c>
      <c r="F26" s="2" t="s">
        <v>8737</v>
      </c>
      <c r="G26" s="2" t="s">
        <v>8736</v>
      </c>
      <c r="H26" s="2" t="s">
        <v>7142</v>
      </c>
      <c r="I26" s="2" t="s">
        <v>7142</v>
      </c>
      <c r="J26" s="2" t="s">
        <v>8737</v>
      </c>
    </row>
    <row r="27" spans="1:10">
      <c r="A27" s="2" t="s">
        <v>8728</v>
      </c>
      <c r="B27" s="2" t="s">
        <v>6770</v>
      </c>
      <c r="C27" s="2" t="s">
        <v>682</v>
      </c>
      <c r="E27" s="2" t="s">
        <v>7142</v>
      </c>
      <c r="F27" s="2" t="s">
        <v>8737</v>
      </c>
      <c r="G27" s="2" t="s">
        <v>8730</v>
      </c>
      <c r="H27" s="2" t="s">
        <v>7142</v>
      </c>
      <c r="I27" s="2" t="s">
        <v>7142</v>
      </c>
      <c r="J27" s="2" t="s">
        <v>8737</v>
      </c>
    </row>
    <row r="28" spans="1:10">
      <c r="A28" s="2" t="s">
        <v>8740</v>
      </c>
      <c r="B28" s="2" t="s">
        <v>6772</v>
      </c>
      <c r="C28" s="2" t="s">
        <v>415</v>
      </c>
      <c r="E28" s="2" t="s">
        <v>7142</v>
      </c>
      <c r="F28" s="2" t="s">
        <v>8729</v>
      </c>
      <c r="G28" s="2" t="s">
        <v>8730</v>
      </c>
      <c r="H28" s="2" t="s">
        <v>7142</v>
      </c>
      <c r="I28" s="2" t="s">
        <v>7143</v>
      </c>
      <c r="J28" s="2" t="s">
        <v>8741</v>
      </c>
    </row>
    <row r="29" spans="1:10">
      <c r="A29" s="2" t="s">
        <v>8728</v>
      </c>
      <c r="B29" s="2" t="s">
        <v>6774</v>
      </c>
      <c r="C29" s="2" t="s">
        <v>1775</v>
      </c>
      <c r="E29" s="2" t="s">
        <v>7142</v>
      </c>
      <c r="F29" s="2" t="s">
        <v>8741</v>
      </c>
      <c r="G29" s="2" t="s">
        <v>8730</v>
      </c>
      <c r="H29" s="2" t="s">
        <v>7142</v>
      </c>
      <c r="I29" s="2" t="s">
        <v>7142</v>
      </c>
      <c r="J29" s="2" t="s">
        <v>8741</v>
      </c>
    </row>
    <row r="30" spans="1:10">
      <c r="A30" s="2" t="s">
        <v>8728</v>
      </c>
      <c r="B30" s="2" t="s">
        <v>6775</v>
      </c>
      <c r="C30" s="2" t="s">
        <v>1826</v>
      </c>
      <c r="E30" s="2" t="s">
        <v>7142</v>
      </c>
      <c r="F30" s="2" t="s">
        <v>8741</v>
      </c>
      <c r="G30" s="2" t="s">
        <v>8730</v>
      </c>
      <c r="H30" s="2" t="s">
        <v>7142</v>
      </c>
      <c r="I30" s="2" t="s">
        <v>7142</v>
      </c>
      <c r="J30" s="2" t="s">
        <v>8741</v>
      </c>
    </row>
    <row r="31" spans="1:10">
      <c r="A31" s="2" t="s">
        <v>8728</v>
      </c>
      <c r="B31" s="2" t="s">
        <v>6776</v>
      </c>
      <c r="C31" s="2" t="s">
        <v>1852</v>
      </c>
      <c r="E31" s="2" t="s">
        <v>7142</v>
      </c>
      <c r="F31" s="2" t="s">
        <v>8741</v>
      </c>
      <c r="G31" s="2" t="s">
        <v>8742</v>
      </c>
      <c r="H31" s="2" t="s">
        <v>7142</v>
      </c>
      <c r="I31" s="2" t="s">
        <v>7142</v>
      </c>
      <c r="J31" s="2" t="s">
        <v>8741</v>
      </c>
    </row>
    <row r="32" spans="1:10">
      <c r="A32" s="2" t="s">
        <v>8728</v>
      </c>
      <c r="B32" s="2" t="s">
        <v>6778</v>
      </c>
      <c r="C32" s="2" t="s">
        <v>1890</v>
      </c>
      <c r="E32" s="2" t="s">
        <v>7142</v>
      </c>
      <c r="F32" s="2" t="s">
        <v>8743</v>
      </c>
      <c r="G32" s="2" t="s">
        <v>8742</v>
      </c>
      <c r="H32" s="2" t="s">
        <v>7142</v>
      </c>
      <c r="I32" s="2" t="s">
        <v>7142</v>
      </c>
      <c r="J32" s="2" t="s">
        <v>8743</v>
      </c>
    </row>
    <row r="33" spans="1:10">
      <c r="A33" s="2" t="s">
        <v>8728</v>
      </c>
      <c r="B33" s="2" t="s">
        <v>6780</v>
      </c>
      <c r="C33" s="2" t="s">
        <v>264</v>
      </c>
      <c r="E33" s="2" t="s">
        <v>7142</v>
      </c>
      <c r="F33" s="2" t="s">
        <v>8737</v>
      </c>
      <c r="G33" s="2" t="s">
        <v>8730</v>
      </c>
      <c r="H33" s="2" t="s">
        <v>7142</v>
      </c>
      <c r="I33" s="2" t="s">
        <v>7142</v>
      </c>
      <c r="J33" s="2" t="s">
        <v>8737</v>
      </c>
    </row>
    <row r="34" spans="1:10">
      <c r="A34" s="2" t="s">
        <v>8728</v>
      </c>
      <c r="B34" s="2" t="s">
        <v>6781</v>
      </c>
      <c r="C34" s="2" t="s">
        <v>1944</v>
      </c>
      <c r="E34" s="2" t="s">
        <v>7142</v>
      </c>
      <c r="F34" s="2" t="s">
        <v>8743</v>
      </c>
      <c r="G34" s="2" t="s">
        <v>8742</v>
      </c>
      <c r="H34" s="2" t="s">
        <v>7142</v>
      </c>
      <c r="I34" s="2" t="s">
        <v>7142</v>
      </c>
      <c r="J34" s="2" t="s">
        <v>8743</v>
      </c>
    </row>
    <row r="35" spans="1:10">
      <c r="A35" s="2" t="s">
        <v>8728</v>
      </c>
      <c r="B35" s="2" t="s">
        <v>6782</v>
      </c>
      <c r="C35" s="2" t="s">
        <v>1276</v>
      </c>
      <c r="E35" s="2" t="s">
        <v>7142</v>
      </c>
      <c r="F35" s="2" t="s">
        <v>8743</v>
      </c>
      <c r="G35" s="2" t="s">
        <v>8742</v>
      </c>
      <c r="H35" s="2" t="s">
        <v>7142</v>
      </c>
      <c r="I35" s="2" t="s">
        <v>7142</v>
      </c>
      <c r="J35" s="2" t="s">
        <v>8743</v>
      </c>
    </row>
    <row r="36" spans="1:10">
      <c r="A36" s="2" t="s">
        <v>8728</v>
      </c>
      <c r="B36" s="2" t="s">
        <v>6783</v>
      </c>
      <c r="C36" s="2" t="s">
        <v>1245</v>
      </c>
      <c r="E36" s="2" t="s">
        <v>7142</v>
      </c>
      <c r="F36" s="2" t="s">
        <v>8734</v>
      </c>
      <c r="G36" s="2" t="s">
        <v>8730</v>
      </c>
      <c r="H36" s="2" t="s">
        <v>7142</v>
      </c>
      <c r="I36" s="2" t="s">
        <v>7142</v>
      </c>
      <c r="J36" s="2" t="s">
        <v>8734</v>
      </c>
    </row>
    <row r="37" spans="1:10">
      <c r="A37" s="2" t="s">
        <v>8728</v>
      </c>
      <c r="B37" s="2" t="s">
        <v>6784</v>
      </c>
      <c r="C37" s="2" t="s">
        <v>1322</v>
      </c>
      <c r="E37" s="2" t="s">
        <v>7142</v>
      </c>
      <c r="F37" s="2" t="s">
        <v>8743</v>
      </c>
      <c r="G37" s="2" t="s">
        <v>8742</v>
      </c>
      <c r="H37" s="2" t="s">
        <v>7142</v>
      </c>
      <c r="I37" s="2" t="s">
        <v>7142</v>
      </c>
      <c r="J37" s="2" t="s">
        <v>8743</v>
      </c>
    </row>
    <row r="38" spans="1:10">
      <c r="A38" s="2" t="s">
        <v>8728</v>
      </c>
      <c r="B38" s="2" t="s">
        <v>6785</v>
      </c>
      <c r="C38" s="2" t="s">
        <v>1354</v>
      </c>
      <c r="E38" s="2" t="s">
        <v>7142</v>
      </c>
      <c r="F38" s="2" t="s">
        <v>8743</v>
      </c>
      <c r="G38" s="2" t="s">
        <v>8730</v>
      </c>
      <c r="H38" s="2" t="s">
        <v>7142</v>
      </c>
      <c r="I38" s="2" t="s">
        <v>7142</v>
      </c>
      <c r="J38" s="2" t="s">
        <v>8743</v>
      </c>
    </row>
    <row r="39" spans="1:10">
      <c r="A39" s="2" t="s">
        <v>8728</v>
      </c>
      <c r="B39" s="2" t="s">
        <v>6786</v>
      </c>
      <c r="C39" s="2" t="s">
        <v>1396</v>
      </c>
      <c r="E39" s="2" t="s">
        <v>7142</v>
      </c>
      <c r="F39" s="2" t="s">
        <v>8743</v>
      </c>
      <c r="G39" s="2" t="s">
        <v>8742</v>
      </c>
      <c r="H39" s="2" t="s">
        <v>7142</v>
      </c>
      <c r="I39" s="2" t="s">
        <v>7142</v>
      </c>
      <c r="J39" s="2" t="s">
        <v>8743</v>
      </c>
    </row>
    <row r="40" spans="1:10">
      <c r="A40" s="2" t="s">
        <v>8728</v>
      </c>
      <c r="B40" s="2" t="s">
        <v>6787</v>
      </c>
      <c r="C40" s="2" t="s">
        <v>1554</v>
      </c>
      <c r="E40" s="2" t="s">
        <v>7142</v>
      </c>
      <c r="F40" s="2" t="s">
        <v>8743</v>
      </c>
      <c r="G40" s="2" t="s">
        <v>8742</v>
      </c>
      <c r="H40" s="2" t="s">
        <v>7142</v>
      </c>
      <c r="I40" s="2" t="s">
        <v>7142</v>
      </c>
      <c r="J40" s="2" t="s">
        <v>8743</v>
      </c>
    </row>
    <row r="41" spans="1:10">
      <c r="A41" s="2" t="s">
        <v>8728</v>
      </c>
      <c r="B41" s="2" t="s">
        <v>6788</v>
      </c>
      <c r="C41" s="2" t="s">
        <v>1577</v>
      </c>
      <c r="E41" s="2" t="s">
        <v>7142</v>
      </c>
      <c r="F41" s="2" t="s">
        <v>8743</v>
      </c>
      <c r="G41" s="2" t="s">
        <v>8742</v>
      </c>
      <c r="H41" s="2" t="s">
        <v>7142</v>
      </c>
      <c r="I41" s="2" t="s">
        <v>7142</v>
      </c>
      <c r="J41" s="2" t="s">
        <v>8743</v>
      </c>
    </row>
    <row r="42" spans="1:10">
      <c r="A42" s="2" t="s">
        <v>8728</v>
      </c>
      <c r="B42" s="2" t="s">
        <v>6789</v>
      </c>
      <c r="C42" s="2" t="s">
        <v>1270</v>
      </c>
      <c r="E42" s="2" t="s">
        <v>7142</v>
      </c>
      <c r="F42" s="2" t="s">
        <v>8734</v>
      </c>
      <c r="G42" s="2" t="s">
        <v>8736</v>
      </c>
      <c r="H42" s="2" t="s">
        <v>7142</v>
      </c>
      <c r="I42" s="2" t="s">
        <v>7142</v>
      </c>
      <c r="J42" s="2" t="s">
        <v>8734</v>
      </c>
    </row>
    <row r="43" spans="1:10">
      <c r="A43" s="2" t="s">
        <v>8728</v>
      </c>
      <c r="B43" s="2" t="s">
        <v>6790</v>
      </c>
      <c r="C43" s="2" t="s">
        <v>251</v>
      </c>
      <c r="E43" s="2" t="s">
        <v>7142</v>
      </c>
      <c r="F43" s="2" t="s">
        <v>8737</v>
      </c>
      <c r="G43" s="2" t="s">
        <v>8730</v>
      </c>
      <c r="H43" s="2" t="s">
        <v>7142</v>
      </c>
      <c r="I43" s="2" t="s">
        <v>7142</v>
      </c>
      <c r="J43" s="2" t="s">
        <v>8737</v>
      </c>
    </row>
    <row r="44" spans="1:10">
      <c r="A44" s="2" t="s">
        <v>8728</v>
      </c>
      <c r="B44" s="2" t="s">
        <v>6791</v>
      </c>
      <c r="C44" s="2" t="s">
        <v>1306</v>
      </c>
      <c r="E44" s="2" t="s">
        <v>7142</v>
      </c>
      <c r="F44" s="2" t="s">
        <v>8738</v>
      </c>
      <c r="G44" s="2" t="s">
        <v>8736</v>
      </c>
      <c r="H44" s="2" t="s">
        <v>7142</v>
      </c>
      <c r="I44" s="2" t="s">
        <v>7142</v>
      </c>
      <c r="J44" s="2" t="s">
        <v>8738</v>
      </c>
    </row>
    <row r="45" spans="1:10">
      <c r="A45" s="2" t="s">
        <v>8728</v>
      </c>
      <c r="B45" s="2" t="s">
        <v>6792</v>
      </c>
      <c r="C45" s="2" t="s">
        <v>220</v>
      </c>
      <c r="E45" s="2" t="s">
        <v>7142</v>
      </c>
      <c r="F45" s="2" t="s">
        <v>8729</v>
      </c>
      <c r="G45" s="2" t="s">
        <v>8730</v>
      </c>
      <c r="H45" s="2" t="s">
        <v>7142</v>
      </c>
      <c r="I45" s="2" t="s">
        <v>7142</v>
      </c>
      <c r="J45" s="2" t="s">
        <v>8729</v>
      </c>
    </row>
    <row r="46" spans="1:10">
      <c r="A46" s="2" t="s">
        <v>8728</v>
      </c>
      <c r="B46" s="2" t="s">
        <v>6793</v>
      </c>
      <c r="C46" s="2" t="s">
        <v>1331</v>
      </c>
      <c r="E46" s="2" t="s">
        <v>7142</v>
      </c>
      <c r="F46" s="2" t="s">
        <v>8734</v>
      </c>
      <c r="G46" s="2" t="s">
        <v>8730</v>
      </c>
      <c r="H46" s="2" t="s">
        <v>7142</v>
      </c>
      <c r="I46" s="2" t="s">
        <v>7142</v>
      </c>
      <c r="J46" s="2" t="s">
        <v>8738</v>
      </c>
    </row>
    <row r="47" spans="1:10">
      <c r="A47" s="2" t="s">
        <v>8728</v>
      </c>
      <c r="B47" s="2" t="s">
        <v>6794</v>
      </c>
      <c r="C47" s="2" t="s">
        <v>244</v>
      </c>
      <c r="E47" s="2" t="s">
        <v>7142</v>
      </c>
      <c r="F47" s="2" t="s">
        <v>8729</v>
      </c>
      <c r="G47" s="2" t="s">
        <v>8730</v>
      </c>
      <c r="H47" s="2" t="s">
        <v>7142</v>
      </c>
      <c r="I47" s="2" t="s">
        <v>7142</v>
      </c>
      <c r="J47" s="2" t="s">
        <v>8729</v>
      </c>
    </row>
    <row r="48" spans="1:10">
      <c r="A48" s="2" t="s">
        <v>8728</v>
      </c>
      <c r="B48" s="2" t="s">
        <v>6795</v>
      </c>
      <c r="C48" s="2" t="s">
        <v>1971</v>
      </c>
      <c r="E48" s="2" t="s">
        <v>7142</v>
      </c>
      <c r="F48" s="2" t="s">
        <v>8734</v>
      </c>
      <c r="G48" s="2" t="s">
        <v>8742</v>
      </c>
      <c r="H48" s="2" t="s">
        <v>7142</v>
      </c>
      <c r="I48" s="2" t="s">
        <v>7142</v>
      </c>
      <c r="J48" s="2" t="s">
        <v>8734</v>
      </c>
    </row>
    <row r="49" spans="1:10">
      <c r="A49" s="2" t="s">
        <v>8728</v>
      </c>
      <c r="B49" s="2" t="s">
        <v>6796</v>
      </c>
      <c r="C49" s="2" t="s">
        <v>1367</v>
      </c>
      <c r="E49" s="2" t="s">
        <v>7142</v>
      </c>
      <c r="F49" s="2" t="s">
        <v>8744</v>
      </c>
      <c r="G49" s="2" t="s">
        <v>8736</v>
      </c>
      <c r="H49" s="2" t="s">
        <v>7142</v>
      </c>
      <c r="I49" s="2" t="s">
        <v>7142</v>
      </c>
      <c r="J49" s="2" t="s">
        <v>8737</v>
      </c>
    </row>
    <row r="50" spans="1:10">
      <c r="A50" s="2" t="s">
        <v>8728</v>
      </c>
      <c r="B50" s="2" t="s">
        <v>6798</v>
      </c>
      <c r="C50" s="2" t="s">
        <v>234</v>
      </c>
      <c r="E50" s="2" t="s">
        <v>7142</v>
      </c>
      <c r="F50" s="2" t="s">
        <v>8733</v>
      </c>
      <c r="G50" s="2" t="s">
        <v>8736</v>
      </c>
      <c r="H50" s="2" t="s">
        <v>7142</v>
      </c>
      <c r="I50" s="2" t="s">
        <v>7142</v>
      </c>
      <c r="J50" s="2" t="s">
        <v>8733</v>
      </c>
    </row>
    <row r="51" spans="1:10">
      <c r="A51" s="2" t="s">
        <v>8728</v>
      </c>
      <c r="B51" s="2" t="s">
        <v>6799</v>
      </c>
      <c r="C51" s="2" t="s">
        <v>1392</v>
      </c>
      <c r="E51" s="2" t="s">
        <v>7142</v>
      </c>
      <c r="F51" s="2" t="s">
        <v>8734</v>
      </c>
      <c r="G51" s="2" t="s">
        <v>8736</v>
      </c>
      <c r="H51" s="2" t="s">
        <v>7142</v>
      </c>
      <c r="I51" s="2" t="s">
        <v>7142</v>
      </c>
      <c r="J51" s="2" t="s">
        <v>8734</v>
      </c>
    </row>
    <row r="52" spans="1:10">
      <c r="A52" s="2" t="s">
        <v>8728</v>
      </c>
      <c r="B52" s="2" t="s">
        <v>6800</v>
      </c>
      <c r="C52" s="2" t="s">
        <v>1457</v>
      </c>
      <c r="E52" s="2" t="s">
        <v>7142</v>
      </c>
      <c r="F52" s="2" t="s">
        <v>8738</v>
      </c>
      <c r="G52" s="2" t="s">
        <v>8736</v>
      </c>
      <c r="H52" s="2" t="s">
        <v>7142</v>
      </c>
      <c r="I52" s="2" t="s">
        <v>7142</v>
      </c>
      <c r="J52" s="2" t="s">
        <v>8738</v>
      </c>
    </row>
    <row r="53" spans="1:10">
      <c r="A53" s="2" t="s">
        <v>8728</v>
      </c>
      <c r="B53" s="2" t="s">
        <v>6801</v>
      </c>
      <c r="C53" s="2" t="s">
        <v>176</v>
      </c>
      <c r="E53" s="2" t="s">
        <v>7142</v>
      </c>
      <c r="F53" s="2" t="s">
        <v>8733</v>
      </c>
      <c r="G53" s="2" t="s">
        <v>8736</v>
      </c>
      <c r="H53" s="2" t="s">
        <v>7142</v>
      </c>
      <c r="I53" s="2" t="s">
        <v>7142</v>
      </c>
      <c r="J53" s="2" t="s">
        <v>8733</v>
      </c>
    </row>
    <row r="54" spans="1:10">
      <c r="A54" s="2" t="s">
        <v>8728</v>
      </c>
      <c r="B54" s="2" t="s">
        <v>6802</v>
      </c>
      <c r="C54" s="2" t="s">
        <v>2094</v>
      </c>
      <c r="E54" s="2" t="s">
        <v>7142</v>
      </c>
      <c r="F54" s="2" t="s">
        <v>8734</v>
      </c>
      <c r="G54" s="2" t="s">
        <v>8742</v>
      </c>
      <c r="H54" s="2" t="s">
        <v>7142</v>
      </c>
      <c r="I54" s="2" t="s">
        <v>7142</v>
      </c>
      <c r="J54" s="2" t="s">
        <v>8734</v>
      </c>
    </row>
    <row r="55" spans="1:10">
      <c r="A55" s="2" t="s">
        <v>8728</v>
      </c>
      <c r="B55" s="2" t="s">
        <v>6803</v>
      </c>
      <c r="C55" s="2" t="s">
        <v>1510</v>
      </c>
      <c r="E55" s="2" t="s">
        <v>7142</v>
      </c>
      <c r="F55" s="2" t="s">
        <v>8737</v>
      </c>
      <c r="G55" s="2" t="s">
        <v>8736</v>
      </c>
      <c r="H55" s="2" t="s">
        <v>7142</v>
      </c>
      <c r="I55" s="2" t="s">
        <v>7142</v>
      </c>
      <c r="J55" s="2" t="s">
        <v>8737</v>
      </c>
    </row>
    <row r="56" spans="1:10">
      <c r="A56" s="2" t="s">
        <v>8728</v>
      </c>
      <c r="B56" s="2" t="s">
        <v>6804</v>
      </c>
      <c r="C56" s="2" t="s">
        <v>1530</v>
      </c>
      <c r="E56" s="2" t="s">
        <v>7142</v>
      </c>
      <c r="F56" s="2" t="s">
        <v>8738</v>
      </c>
      <c r="G56" s="2" t="s">
        <v>8736</v>
      </c>
      <c r="H56" s="2" t="s">
        <v>7142</v>
      </c>
      <c r="I56" s="2" t="s">
        <v>7142</v>
      </c>
      <c r="J56" s="2" t="s">
        <v>8738</v>
      </c>
    </row>
    <row r="57" spans="1:10">
      <c r="A57" s="2" t="s">
        <v>8728</v>
      </c>
      <c r="B57" s="2" t="s">
        <v>6805</v>
      </c>
      <c r="C57" s="2" t="s">
        <v>2171</v>
      </c>
      <c r="E57" s="2" t="s">
        <v>7142</v>
      </c>
      <c r="F57" s="2" t="s">
        <v>8734</v>
      </c>
      <c r="G57" s="2" t="s">
        <v>8742</v>
      </c>
      <c r="H57" s="2" t="s">
        <v>7142</v>
      </c>
      <c r="I57" s="2" t="s">
        <v>7142</v>
      </c>
      <c r="J57" s="2" t="s">
        <v>8734</v>
      </c>
    </row>
    <row r="58" spans="1:10">
      <c r="A58" s="2" t="s">
        <v>8728</v>
      </c>
      <c r="B58" s="2" t="s">
        <v>6806</v>
      </c>
      <c r="C58" s="2" t="s">
        <v>1542</v>
      </c>
      <c r="E58" s="2" t="s">
        <v>7142</v>
      </c>
      <c r="F58" s="2" t="s">
        <v>8734</v>
      </c>
      <c r="G58" s="2" t="s">
        <v>8736</v>
      </c>
      <c r="H58" s="2" t="s">
        <v>7142</v>
      </c>
      <c r="I58" s="2" t="s">
        <v>7142</v>
      </c>
      <c r="J58" s="2" t="s">
        <v>8734</v>
      </c>
    </row>
    <row r="59" spans="1:10">
      <c r="A59" s="2" t="s">
        <v>8728</v>
      </c>
      <c r="B59" s="2" t="s">
        <v>6807</v>
      </c>
      <c r="C59" s="2" t="s">
        <v>1565</v>
      </c>
      <c r="E59" s="2" t="s">
        <v>7142</v>
      </c>
      <c r="F59" s="2" t="s">
        <v>8737</v>
      </c>
      <c r="G59" s="2" t="s">
        <v>8736</v>
      </c>
      <c r="H59" s="2" t="s">
        <v>7142</v>
      </c>
      <c r="I59" s="2" t="s">
        <v>7142</v>
      </c>
      <c r="J59" s="2" t="s">
        <v>8737</v>
      </c>
    </row>
    <row r="60" spans="1:10">
      <c r="A60" s="2" t="s">
        <v>8728</v>
      </c>
      <c r="B60" s="2" t="s">
        <v>6808</v>
      </c>
      <c r="C60" s="2" t="s">
        <v>1587</v>
      </c>
      <c r="E60" s="2" t="s">
        <v>7142</v>
      </c>
      <c r="F60" s="2" t="s">
        <v>8734</v>
      </c>
      <c r="G60" s="2" t="s">
        <v>8736</v>
      </c>
      <c r="H60" s="2" t="s">
        <v>7142</v>
      </c>
      <c r="I60" s="2" t="s">
        <v>7142</v>
      </c>
      <c r="J60" s="2" t="s">
        <v>8734</v>
      </c>
    </row>
    <row r="61" spans="1:10">
      <c r="A61" s="2" t="s">
        <v>8728</v>
      </c>
      <c r="B61" s="2" t="s">
        <v>6809</v>
      </c>
      <c r="C61" s="2" t="s">
        <v>1632</v>
      </c>
      <c r="E61" s="2" t="s">
        <v>7142</v>
      </c>
      <c r="F61" s="2" t="s">
        <v>8738</v>
      </c>
      <c r="G61" s="2" t="s">
        <v>8736</v>
      </c>
      <c r="H61" s="2" t="s">
        <v>7142</v>
      </c>
      <c r="I61" s="2" t="s">
        <v>7142</v>
      </c>
      <c r="J61" s="2" t="s">
        <v>8738</v>
      </c>
    </row>
    <row r="62" spans="1:10">
      <c r="A62" s="2" t="s">
        <v>8728</v>
      </c>
      <c r="B62" s="2" t="s">
        <v>6810</v>
      </c>
      <c r="C62" s="2" t="s">
        <v>1640</v>
      </c>
      <c r="E62" s="2" t="s">
        <v>7142</v>
      </c>
      <c r="F62" s="2" t="s">
        <v>8737</v>
      </c>
      <c r="G62" s="2" t="s">
        <v>8736</v>
      </c>
      <c r="H62" s="2" t="s">
        <v>7142</v>
      </c>
      <c r="I62" s="2" t="s">
        <v>7142</v>
      </c>
      <c r="J62" s="2" t="s">
        <v>8737</v>
      </c>
    </row>
    <row r="63" spans="1:10">
      <c r="A63" s="2" t="s">
        <v>8728</v>
      </c>
      <c r="B63" s="2" t="s">
        <v>6811</v>
      </c>
      <c r="C63" s="2" t="s">
        <v>1643</v>
      </c>
      <c r="E63" s="2" t="s">
        <v>7142</v>
      </c>
      <c r="F63" s="2" t="s">
        <v>8739</v>
      </c>
      <c r="G63" s="2" t="s">
        <v>8736</v>
      </c>
      <c r="H63" s="2" t="s">
        <v>7142</v>
      </c>
      <c r="I63" s="2" t="s">
        <v>7142</v>
      </c>
      <c r="J63" s="2" t="s">
        <v>8739</v>
      </c>
    </row>
    <row r="64" spans="1:10">
      <c r="A64" s="2" t="s">
        <v>8728</v>
      </c>
      <c r="B64" s="2" t="s">
        <v>6812</v>
      </c>
      <c r="C64" s="2" t="s">
        <v>1658</v>
      </c>
      <c r="E64" s="2" t="s">
        <v>7142</v>
      </c>
      <c r="F64" s="2" t="s">
        <v>8737</v>
      </c>
      <c r="G64" s="2" t="s">
        <v>8736</v>
      </c>
      <c r="H64" s="2" t="s">
        <v>7142</v>
      </c>
      <c r="I64" s="2" t="s">
        <v>7142</v>
      </c>
      <c r="J64" s="2" t="s">
        <v>8737</v>
      </c>
    </row>
    <row r="65" spans="1:10">
      <c r="A65" s="2" t="s">
        <v>8728</v>
      </c>
      <c r="B65" s="2" t="s">
        <v>6813</v>
      </c>
      <c r="C65" s="2" t="s">
        <v>1661</v>
      </c>
      <c r="E65" s="2" t="s">
        <v>7142</v>
      </c>
      <c r="F65" s="2" t="s">
        <v>8737</v>
      </c>
      <c r="G65" s="2" t="s">
        <v>8736</v>
      </c>
      <c r="H65" s="2" t="s">
        <v>7142</v>
      </c>
      <c r="I65" s="2" t="s">
        <v>7142</v>
      </c>
      <c r="J65" s="2" t="s">
        <v>8737</v>
      </c>
    </row>
    <row r="66" spans="1:10">
      <c r="A66" s="2" t="s">
        <v>8728</v>
      </c>
      <c r="B66" s="2" t="s">
        <v>6814</v>
      </c>
      <c r="C66" s="2" t="s">
        <v>1679</v>
      </c>
      <c r="E66" s="2" t="s">
        <v>7142</v>
      </c>
      <c r="F66" s="2" t="s">
        <v>8737</v>
      </c>
      <c r="G66" s="2" t="s">
        <v>8736</v>
      </c>
      <c r="H66" s="2" t="s">
        <v>7142</v>
      </c>
      <c r="I66" s="2" t="s">
        <v>7142</v>
      </c>
      <c r="J66" s="2" t="s">
        <v>8737</v>
      </c>
    </row>
    <row r="67" spans="1:10">
      <c r="A67" s="2" t="s">
        <v>8728</v>
      </c>
      <c r="B67" s="2" t="s">
        <v>6815</v>
      </c>
      <c r="C67" s="2" t="s">
        <v>1697</v>
      </c>
      <c r="E67" s="2" t="s">
        <v>7142</v>
      </c>
      <c r="F67" s="2" t="s">
        <v>8737</v>
      </c>
      <c r="G67" s="2" t="s">
        <v>8736</v>
      </c>
      <c r="H67" s="2" t="s">
        <v>7142</v>
      </c>
      <c r="I67" s="2" t="s">
        <v>7142</v>
      </c>
      <c r="J67" s="2" t="s">
        <v>8737</v>
      </c>
    </row>
    <row r="68" spans="1:10">
      <c r="A68" s="2" t="s">
        <v>8728</v>
      </c>
      <c r="B68" s="2" t="s">
        <v>6816</v>
      </c>
      <c r="C68" s="2" t="s">
        <v>1707</v>
      </c>
      <c r="E68" s="2" t="s">
        <v>7142</v>
      </c>
      <c r="F68" s="2" t="s">
        <v>8737</v>
      </c>
      <c r="G68" s="2" t="s">
        <v>8736</v>
      </c>
      <c r="H68" s="2" t="s">
        <v>7142</v>
      </c>
      <c r="I68" s="2" t="s">
        <v>7142</v>
      </c>
      <c r="J68" s="2" t="s">
        <v>8737</v>
      </c>
    </row>
    <row r="69" spans="1:10">
      <c r="A69" s="2" t="s">
        <v>8728</v>
      </c>
      <c r="B69" s="2" t="s">
        <v>6817</v>
      </c>
      <c r="C69" s="2" t="s">
        <v>1725</v>
      </c>
      <c r="F69" s="2" t="s">
        <v>8737</v>
      </c>
      <c r="G69" s="2" t="s">
        <v>8736</v>
      </c>
      <c r="H69" s="2" t="s">
        <v>7142</v>
      </c>
      <c r="I69" s="2" t="s">
        <v>7142</v>
      </c>
      <c r="J69" s="2" t="s">
        <v>8737</v>
      </c>
    </row>
    <row r="70" spans="1:10">
      <c r="A70" s="2" t="s">
        <v>8728</v>
      </c>
      <c r="B70" s="2" t="s">
        <v>6818</v>
      </c>
      <c r="C70" s="2" t="s">
        <v>1767</v>
      </c>
      <c r="E70" s="2" t="s">
        <v>7142</v>
      </c>
      <c r="F70" s="2" t="s">
        <v>8737</v>
      </c>
      <c r="G70" s="2" t="s">
        <v>8736</v>
      </c>
      <c r="H70" s="2" t="s">
        <v>7142</v>
      </c>
      <c r="I70" s="2" t="s">
        <v>7142</v>
      </c>
      <c r="J70" s="2" t="s">
        <v>8737</v>
      </c>
    </row>
    <row r="71" spans="1:10">
      <c r="A71" s="2" t="s">
        <v>8728</v>
      </c>
      <c r="B71" s="2" t="s">
        <v>6819</v>
      </c>
      <c r="C71" s="2" t="s">
        <v>1773</v>
      </c>
      <c r="E71" s="2" t="s">
        <v>7142</v>
      </c>
      <c r="F71" s="2" t="s">
        <v>8729</v>
      </c>
      <c r="G71" s="2" t="s">
        <v>8736</v>
      </c>
      <c r="H71" s="2" t="s">
        <v>7142</v>
      </c>
      <c r="I71" s="2" t="s">
        <v>7142</v>
      </c>
      <c r="J71" s="2" t="s">
        <v>8729</v>
      </c>
    </row>
    <row r="72" spans="1:10">
      <c r="A72" s="2" t="s">
        <v>8728</v>
      </c>
      <c r="B72" s="2" t="s">
        <v>6820</v>
      </c>
      <c r="C72" s="2" t="s">
        <v>1813</v>
      </c>
      <c r="E72" s="2" t="s">
        <v>7142</v>
      </c>
      <c r="F72" s="2" t="s">
        <v>8737</v>
      </c>
      <c r="G72" s="2" t="s">
        <v>8736</v>
      </c>
      <c r="H72" s="2" t="s">
        <v>7142</v>
      </c>
      <c r="I72" s="2" t="s">
        <v>7142</v>
      </c>
      <c r="J72" s="2" t="s">
        <v>8737</v>
      </c>
    </row>
    <row r="73" spans="1:10">
      <c r="A73" s="2" t="s">
        <v>8728</v>
      </c>
      <c r="B73" s="2" t="s">
        <v>6821</v>
      </c>
      <c r="C73" s="2" t="s">
        <v>1841</v>
      </c>
      <c r="E73" s="2" t="s">
        <v>7142</v>
      </c>
      <c r="F73" s="2" t="s">
        <v>8737</v>
      </c>
      <c r="G73" s="2" t="s">
        <v>8736</v>
      </c>
      <c r="H73" s="2" t="s">
        <v>7142</v>
      </c>
      <c r="I73" s="2" t="s">
        <v>7142</v>
      </c>
      <c r="J73" s="2" t="s">
        <v>8737</v>
      </c>
    </row>
    <row r="74" spans="1:10">
      <c r="A74" s="2" t="s">
        <v>8728</v>
      </c>
      <c r="B74" s="2" t="s">
        <v>6822</v>
      </c>
      <c r="C74" s="2" t="s">
        <v>1874</v>
      </c>
      <c r="E74" s="2" t="s">
        <v>7142</v>
      </c>
      <c r="F74" s="2" t="s">
        <v>8737</v>
      </c>
      <c r="G74" s="2" t="s">
        <v>8736</v>
      </c>
      <c r="H74" s="2" t="s">
        <v>7142</v>
      </c>
      <c r="I74" s="2" t="s">
        <v>7142</v>
      </c>
      <c r="J74" s="2" t="s">
        <v>8737</v>
      </c>
    </row>
    <row r="75" spans="1:10">
      <c r="A75" s="2" t="s">
        <v>8728</v>
      </c>
      <c r="B75" s="2" t="s">
        <v>6823</v>
      </c>
      <c r="C75" s="2" t="s">
        <v>1902</v>
      </c>
      <c r="E75" s="2" t="s">
        <v>7142</v>
      </c>
      <c r="F75" s="2" t="s">
        <v>8737</v>
      </c>
      <c r="G75" s="2" t="s">
        <v>8736</v>
      </c>
      <c r="H75" s="2" t="s">
        <v>7142</v>
      </c>
      <c r="I75" s="2" t="s">
        <v>7142</v>
      </c>
      <c r="J75" s="2" t="s">
        <v>8737</v>
      </c>
    </row>
    <row r="76" spans="1:10">
      <c r="A76" s="2" t="s">
        <v>8728</v>
      </c>
      <c r="B76" s="2" t="s">
        <v>6824</v>
      </c>
      <c r="C76" s="2" t="s">
        <v>1932</v>
      </c>
      <c r="E76" s="2" t="s">
        <v>7142</v>
      </c>
      <c r="F76" s="2" t="s">
        <v>8737</v>
      </c>
      <c r="G76" s="2" t="s">
        <v>8736</v>
      </c>
      <c r="H76" s="2" t="s">
        <v>7142</v>
      </c>
      <c r="I76" s="2" t="s">
        <v>7142</v>
      </c>
      <c r="J76" s="2" t="s">
        <v>8737</v>
      </c>
    </row>
    <row r="77" spans="1:10">
      <c r="A77" s="2" t="s">
        <v>8728</v>
      </c>
      <c r="B77" s="2" t="s">
        <v>6825</v>
      </c>
      <c r="C77" s="2" t="s">
        <v>1989</v>
      </c>
      <c r="E77" s="2" t="s">
        <v>7142</v>
      </c>
      <c r="F77" s="2" t="s">
        <v>8737</v>
      </c>
      <c r="G77" s="2" t="s">
        <v>8736</v>
      </c>
      <c r="H77" s="2" t="s">
        <v>7142</v>
      </c>
      <c r="I77" s="2" t="s">
        <v>7142</v>
      </c>
      <c r="J77" s="2" t="s">
        <v>8737</v>
      </c>
    </row>
    <row r="78" spans="1:10">
      <c r="A78" s="2" t="s">
        <v>8728</v>
      </c>
      <c r="B78" s="2" t="s">
        <v>6826</v>
      </c>
      <c r="C78" s="2" t="s">
        <v>2030</v>
      </c>
      <c r="E78" s="2" t="s">
        <v>7142</v>
      </c>
      <c r="F78" s="2" t="s">
        <v>8737</v>
      </c>
      <c r="G78" s="2" t="s">
        <v>8736</v>
      </c>
      <c r="H78" s="2" t="s">
        <v>7142</v>
      </c>
      <c r="I78" s="2" t="s">
        <v>7142</v>
      </c>
      <c r="J78" s="2" t="s">
        <v>8737</v>
      </c>
    </row>
    <row r="79" spans="1:10">
      <c r="A79" s="2" t="s">
        <v>8728</v>
      </c>
      <c r="B79" s="2" t="s">
        <v>6827</v>
      </c>
      <c r="C79" s="2" t="s">
        <v>2195</v>
      </c>
      <c r="E79" s="2" t="s">
        <v>7142</v>
      </c>
      <c r="F79" s="2" t="s">
        <v>8741</v>
      </c>
      <c r="G79" s="2" t="s">
        <v>8742</v>
      </c>
      <c r="H79" s="2" t="s">
        <v>7142</v>
      </c>
      <c r="I79" s="2" t="s">
        <v>7142</v>
      </c>
      <c r="J79" s="2" t="s">
        <v>8741</v>
      </c>
    </row>
    <row r="80" spans="1:10">
      <c r="A80" s="2" t="s">
        <v>8728</v>
      </c>
      <c r="B80" s="2" t="s">
        <v>6828</v>
      </c>
      <c r="C80" s="2" t="s">
        <v>2063</v>
      </c>
      <c r="E80" s="2" t="s">
        <v>7142</v>
      </c>
      <c r="F80" s="2" t="s">
        <v>8738</v>
      </c>
      <c r="G80" s="2" t="s">
        <v>8736</v>
      </c>
      <c r="H80" s="2" t="s">
        <v>7142</v>
      </c>
      <c r="I80" s="2" t="s">
        <v>7142</v>
      </c>
      <c r="J80" s="2" t="s">
        <v>8738</v>
      </c>
    </row>
    <row r="81" spans="1:10">
      <c r="A81" s="2" t="s">
        <v>8728</v>
      </c>
      <c r="B81" s="2" t="s">
        <v>6829</v>
      </c>
      <c r="C81" s="2" t="s">
        <v>2079</v>
      </c>
      <c r="E81" s="2" t="s">
        <v>7142</v>
      </c>
      <c r="F81" s="2" t="s">
        <v>8737</v>
      </c>
      <c r="G81" s="2" t="s">
        <v>8736</v>
      </c>
      <c r="H81" s="2" t="s">
        <v>7142</v>
      </c>
      <c r="I81" s="2" t="s">
        <v>7142</v>
      </c>
      <c r="J81" s="2" t="s">
        <v>8737</v>
      </c>
    </row>
    <row r="82" spans="1:10">
      <c r="A82" s="2" t="s">
        <v>8728</v>
      </c>
      <c r="B82" s="2" t="s">
        <v>6830</v>
      </c>
      <c r="C82" s="2" t="s">
        <v>2234</v>
      </c>
      <c r="E82" s="2" t="s">
        <v>7142</v>
      </c>
      <c r="F82" s="2" t="s">
        <v>8741</v>
      </c>
      <c r="G82" s="2" t="s">
        <v>8730</v>
      </c>
      <c r="H82" s="2" t="s">
        <v>7142</v>
      </c>
      <c r="I82" s="2" t="s">
        <v>7142</v>
      </c>
      <c r="J82" s="2" t="s">
        <v>8741</v>
      </c>
    </row>
    <row r="83" spans="1:10">
      <c r="A83" s="2" t="s">
        <v>8728</v>
      </c>
      <c r="B83" s="2" t="s">
        <v>6831</v>
      </c>
      <c r="C83" s="2" t="s">
        <v>2090</v>
      </c>
      <c r="E83" s="2" t="s">
        <v>7142</v>
      </c>
      <c r="F83" s="2" t="s">
        <v>8737</v>
      </c>
      <c r="G83" s="2" t="s">
        <v>8736</v>
      </c>
      <c r="H83" s="2" t="s">
        <v>7142</v>
      </c>
      <c r="I83" s="2" t="s">
        <v>7142</v>
      </c>
      <c r="J83" s="2" t="s">
        <v>8737</v>
      </c>
    </row>
    <row r="84" spans="1:10">
      <c r="A84" s="2" t="s">
        <v>8728</v>
      </c>
      <c r="B84" s="2" t="s">
        <v>6832</v>
      </c>
      <c r="C84" s="2" t="s">
        <v>2120</v>
      </c>
      <c r="E84" s="2" t="s">
        <v>7142</v>
      </c>
      <c r="F84" s="2" t="s">
        <v>8737</v>
      </c>
      <c r="G84" s="2" t="s">
        <v>8736</v>
      </c>
      <c r="H84" s="2" t="s">
        <v>7142</v>
      </c>
      <c r="I84" s="2" t="s">
        <v>7142</v>
      </c>
      <c r="J84" s="2" t="s">
        <v>8737</v>
      </c>
    </row>
    <row r="85" spans="1:10">
      <c r="A85" s="2" t="s">
        <v>8728</v>
      </c>
      <c r="B85" s="2" t="s">
        <v>6833</v>
      </c>
      <c r="C85" s="2" t="s">
        <v>2209</v>
      </c>
      <c r="E85" s="2" t="s">
        <v>7142</v>
      </c>
      <c r="F85" s="2" t="s">
        <v>8737</v>
      </c>
      <c r="G85" s="2" t="s">
        <v>8736</v>
      </c>
      <c r="H85" s="2" t="s">
        <v>7142</v>
      </c>
      <c r="I85" s="2" t="s">
        <v>7142</v>
      </c>
      <c r="J85" s="2" t="s">
        <v>8737</v>
      </c>
    </row>
    <row r="86" spans="1:10">
      <c r="A86" s="2" t="s">
        <v>8728</v>
      </c>
      <c r="B86" s="2" t="s">
        <v>6834</v>
      </c>
      <c r="C86" s="2" t="s">
        <v>2228</v>
      </c>
      <c r="E86" s="2" t="s">
        <v>7142</v>
      </c>
      <c r="F86" s="2" t="s">
        <v>8737</v>
      </c>
      <c r="G86" s="2" t="s">
        <v>8736</v>
      </c>
      <c r="H86" s="2" t="s">
        <v>7142</v>
      </c>
      <c r="I86" s="2" t="s">
        <v>7142</v>
      </c>
      <c r="J86" s="2" t="s">
        <v>8737</v>
      </c>
    </row>
    <row r="87" spans="1:10">
      <c r="A87" s="2" t="s">
        <v>8728</v>
      </c>
      <c r="B87" s="2" t="s">
        <v>6835</v>
      </c>
      <c r="C87" s="2" t="s">
        <v>2263</v>
      </c>
      <c r="E87" s="2" t="s">
        <v>7142</v>
      </c>
      <c r="F87" s="2" t="s">
        <v>8741</v>
      </c>
      <c r="G87" s="2" t="s">
        <v>8742</v>
      </c>
      <c r="H87" s="2" t="s">
        <v>7142</v>
      </c>
      <c r="I87" s="2" t="s">
        <v>7142</v>
      </c>
      <c r="J87" s="2" t="s">
        <v>8741</v>
      </c>
    </row>
    <row r="88" spans="1:10">
      <c r="A88" s="2" t="s">
        <v>8728</v>
      </c>
      <c r="B88" s="2" t="s">
        <v>6836</v>
      </c>
      <c r="C88" s="2" t="s">
        <v>2466</v>
      </c>
      <c r="E88" s="2" t="s">
        <v>7142</v>
      </c>
      <c r="F88" s="2" t="s">
        <v>8737</v>
      </c>
      <c r="G88" s="2" t="s">
        <v>8736</v>
      </c>
      <c r="H88" s="2" t="s">
        <v>7142</v>
      </c>
      <c r="I88" s="2" t="s">
        <v>7142</v>
      </c>
      <c r="J88" s="2" t="s">
        <v>8737</v>
      </c>
    </row>
    <row r="89" spans="1:10">
      <c r="A89" s="2" t="s">
        <v>8728</v>
      </c>
      <c r="B89" s="2" t="s">
        <v>6837</v>
      </c>
      <c r="C89" s="2" t="s">
        <v>2014</v>
      </c>
      <c r="E89" s="2" t="s">
        <v>7142</v>
      </c>
      <c r="F89" s="2" t="s">
        <v>8729</v>
      </c>
      <c r="G89" s="2" t="s">
        <v>8730</v>
      </c>
      <c r="H89" s="2" t="s">
        <v>7142</v>
      </c>
      <c r="I89" s="2" t="s">
        <v>7142</v>
      </c>
      <c r="J89" s="2" t="s">
        <v>8737</v>
      </c>
    </row>
    <row r="90" spans="1:10">
      <c r="A90" s="2" t="s">
        <v>8732</v>
      </c>
      <c r="B90" s="2" t="s">
        <v>6838</v>
      </c>
      <c r="C90" s="2" t="s">
        <v>2014</v>
      </c>
      <c r="E90" s="2" t="s">
        <v>7142</v>
      </c>
      <c r="F90" s="2" t="s">
        <v>8737</v>
      </c>
      <c r="G90" s="2" t="s">
        <v>8736</v>
      </c>
      <c r="H90" s="2" t="s">
        <v>7142</v>
      </c>
      <c r="I90" s="2" t="s">
        <v>7143</v>
      </c>
      <c r="J90" s="2" t="s">
        <v>8737</v>
      </c>
    </row>
    <row r="91" spans="1:10">
      <c r="A91" s="2" t="s">
        <v>8728</v>
      </c>
      <c r="B91" s="2" t="s">
        <v>6839</v>
      </c>
      <c r="C91" s="2" t="s">
        <v>848</v>
      </c>
      <c r="E91" s="2" t="s">
        <v>7142</v>
      </c>
      <c r="F91" s="2" t="s">
        <v>8733</v>
      </c>
      <c r="G91" s="2" t="s">
        <v>8730</v>
      </c>
      <c r="H91" s="2" t="s">
        <v>7142</v>
      </c>
      <c r="I91" s="2" t="s">
        <v>7142</v>
      </c>
      <c r="J91" s="2" t="s">
        <v>8733</v>
      </c>
    </row>
    <row r="92" spans="1:10">
      <c r="A92" s="2" t="s">
        <v>8728</v>
      </c>
      <c r="B92" s="2" t="s">
        <v>6840</v>
      </c>
      <c r="C92" s="2" t="s">
        <v>1963</v>
      </c>
      <c r="E92" s="2" t="s">
        <v>7142</v>
      </c>
      <c r="F92" s="2" t="s">
        <v>8729</v>
      </c>
      <c r="G92" s="2" t="s">
        <v>8742</v>
      </c>
      <c r="H92" s="2" t="s">
        <v>7142</v>
      </c>
      <c r="I92" s="2" t="s">
        <v>7142</v>
      </c>
      <c r="J92" s="2" t="s">
        <v>8737</v>
      </c>
    </row>
    <row r="93" spans="1:10">
      <c r="A93" s="2" t="s">
        <v>8728</v>
      </c>
      <c r="B93" s="2" t="s">
        <v>6841</v>
      </c>
      <c r="C93" s="2" t="s">
        <v>1959</v>
      </c>
      <c r="E93" s="2" t="s">
        <v>7142</v>
      </c>
      <c r="F93" s="2" t="s">
        <v>8729</v>
      </c>
      <c r="G93" s="2" t="s">
        <v>8730</v>
      </c>
      <c r="H93" s="2" t="s">
        <v>7142</v>
      </c>
      <c r="I93" s="2" t="s">
        <v>7142</v>
      </c>
      <c r="J93" s="2" t="s">
        <v>8737</v>
      </c>
    </row>
    <row r="94" spans="1:10">
      <c r="A94" s="2" t="s">
        <v>8731</v>
      </c>
      <c r="B94" s="2" t="s">
        <v>6842</v>
      </c>
      <c r="C94" s="2" t="s">
        <v>943</v>
      </c>
      <c r="D94" s="2" t="s">
        <v>6843</v>
      </c>
      <c r="E94" s="2" t="s">
        <v>7142</v>
      </c>
      <c r="F94" s="2" t="s">
        <v>8729</v>
      </c>
      <c r="G94" s="2" t="s">
        <v>8730</v>
      </c>
      <c r="H94" s="2" t="s">
        <v>7142</v>
      </c>
      <c r="I94" s="2" t="s">
        <v>7143</v>
      </c>
      <c r="J94" s="2" t="s">
        <v>8729</v>
      </c>
    </row>
    <row r="95" spans="1:10">
      <c r="A95" s="2" t="s">
        <v>8732</v>
      </c>
      <c r="B95" s="2" t="s">
        <v>6844</v>
      </c>
      <c r="C95" s="2" t="s">
        <v>1666</v>
      </c>
      <c r="E95" s="2" t="s">
        <v>7142</v>
      </c>
      <c r="F95" s="2" t="s">
        <v>8737</v>
      </c>
      <c r="G95" s="2" t="s">
        <v>8736</v>
      </c>
      <c r="H95" s="2" t="s">
        <v>7142</v>
      </c>
      <c r="I95" s="2" t="s">
        <v>7143</v>
      </c>
      <c r="J95" s="2" t="s">
        <v>8737</v>
      </c>
    </row>
    <row r="96" spans="1:10">
      <c r="A96" s="2" t="s">
        <v>8728</v>
      </c>
      <c r="B96" s="2" t="s">
        <v>6845</v>
      </c>
      <c r="C96" s="2" t="s">
        <v>1694</v>
      </c>
      <c r="E96" s="2" t="s">
        <v>7142</v>
      </c>
      <c r="F96" s="2" t="s">
        <v>8739</v>
      </c>
      <c r="G96" s="2" t="s">
        <v>8730</v>
      </c>
      <c r="H96" s="2" t="s">
        <v>7142</v>
      </c>
      <c r="I96" s="2" t="s">
        <v>7142</v>
      </c>
      <c r="J96" s="2" t="s">
        <v>8737</v>
      </c>
    </row>
    <row r="97" spans="1:10">
      <c r="A97" s="2" t="s">
        <v>8728</v>
      </c>
      <c r="B97" s="2" t="s">
        <v>6846</v>
      </c>
      <c r="C97" s="2" t="s">
        <v>1762</v>
      </c>
      <c r="E97" s="2" t="s">
        <v>7142</v>
      </c>
      <c r="F97" s="2" t="s">
        <v>8729</v>
      </c>
      <c r="G97" s="2" t="s">
        <v>8742</v>
      </c>
      <c r="H97" s="2" t="s">
        <v>7142</v>
      </c>
      <c r="I97" s="2" t="s">
        <v>7142</v>
      </c>
      <c r="J97" s="2" t="s">
        <v>8729</v>
      </c>
    </row>
    <row r="98" spans="1:10">
      <c r="A98" s="2" t="s">
        <v>8728</v>
      </c>
      <c r="B98" s="2" t="s">
        <v>6847</v>
      </c>
      <c r="C98" s="2" t="s">
        <v>1795</v>
      </c>
      <c r="E98" s="2" t="s">
        <v>7142</v>
      </c>
      <c r="F98" s="2" t="s">
        <v>8729</v>
      </c>
      <c r="G98" s="2" t="s">
        <v>8742</v>
      </c>
      <c r="H98" s="2" t="s">
        <v>7142</v>
      </c>
      <c r="I98" s="2" t="s">
        <v>7142</v>
      </c>
      <c r="J98" s="2" t="s">
        <v>8737</v>
      </c>
    </row>
    <row r="99" spans="1:10">
      <c r="A99" s="2" t="s">
        <v>8728</v>
      </c>
      <c r="B99" s="2" t="s">
        <v>6848</v>
      </c>
      <c r="C99" s="2" t="s">
        <v>1844</v>
      </c>
      <c r="E99" s="2" t="s">
        <v>7142</v>
      </c>
      <c r="F99" s="2" t="s">
        <v>8729</v>
      </c>
      <c r="G99" s="2" t="s">
        <v>8742</v>
      </c>
      <c r="H99" s="2" t="s">
        <v>7142</v>
      </c>
      <c r="I99" s="2" t="s">
        <v>7142</v>
      </c>
      <c r="J99" s="2" t="s">
        <v>8737</v>
      </c>
    </row>
    <row r="100" spans="1:10">
      <c r="A100" s="2" t="s">
        <v>8728</v>
      </c>
      <c r="B100" s="2" t="s">
        <v>6849</v>
      </c>
      <c r="C100" s="2" t="s">
        <v>1562</v>
      </c>
      <c r="E100" s="2" t="s">
        <v>7142</v>
      </c>
      <c r="F100" s="2" t="s">
        <v>8737</v>
      </c>
      <c r="G100" s="2" t="s">
        <v>8736</v>
      </c>
      <c r="H100" s="2" t="s">
        <v>7142</v>
      </c>
      <c r="I100" s="2" t="s">
        <v>7142</v>
      </c>
      <c r="J100" s="2" t="s">
        <v>8737</v>
      </c>
    </row>
    <row r="101" spans="1:10">
      <c r="A101" s="2" t="s">
        <v>8728</v>
      </c>
      <c r="B101" s="2" t="s">
        <v>6850</v>
      </c>
      <c r="C101" s="2" t="s">
        <v>1906</v>
      </c>
      <c r="E101" s="2" t="s">
        <v>7142</v>
      </c>
      <c r="F101" s="2" t="s">
        <v>8729</v>
      </c>
      <c r="G101" s="2" t="s">
        <v>8742</v>
      </c>
      <c r="H101" s="2" t="s">
        <v>7142</v>
      </c>
      <c r="I101" s="2" t="s">
        <v>7142</v>
      </c>
      <c r="J101" s="2" t="s">
        <v>8737</v>
      </c>
    </row>
    <row r="102" spans="1:10">
      <c r="A102" s="2" t="s">
        <v>8728</v>
      </c>
      <c r="B102" s="2" t="s">
        <v>6851</v>
      </c>
      <c r="C102" s="2" t="s">
        <v>1927</v>
      </c>
      <c r="E102" s="2" t="s">
        <v>7142</v>
      </c>
      <c r="F102" s="2" t="s">
        <v>8737</v>
      </c>
      <c r="G102" s="2" t="s">
        <v>8730</v>
      </c>
      <c r="H102" s="2" t="s">
        <v>7142</v>
      </c>
      <c r="I102" s="2" t="s">
        <v>7142</v>
      </c>
      <c r="J102" s="2" t="s">
        <v>8737</v>
      </c>
    </row>
    <row r="103" spans="1:10">
      <c r="A103" s="2" t="s">
        <v>8728</v>
      </c>
      <c r="B103" s="2" t="s">
        <v>6852</v>
      </c>
      <c r="C103" s="2" t="s">
        <v>1476</v>
      </c>
      <c r="E103" s="2" t="s">
        <v>7142</v>
      </c>
      <c r="F103" s="2" t="s">
        <v>8729</v>
      </c>
      <c r="G103" s="2" t="s">
        <v>8736</v>
      </c>
      <c r="H103" s="2" t="s">
        <v>7142</v>
      </c>
      <c r="I103" s="2" t="s">
        <v>7142</v>
      </c>
      <c r="J103" s="2" t="s">
        <v>8729</v>
      </c>
    </row>
    <row r="104" spans="1:10">
      <c r="A104" s="2" t="s">
        <v>8728</v>
      </c>
      <c r="B104" s="2" t="s">
        <v>6853</v>
      </c>
      <c r="C104" s="2" t="s">
        <v>1205</v>
      </c>
      <c r="E104" s="2" t="s">
        <v>7142</v>
      </c>
      <c r="F104" s="2" t="s">
        <v>8737</v>
      </c>
      <c r="G104" s="2" t="s">
        <v>8730</v>
      </c>
      <c r="H104" s="2" t="s">
        <v>7142</v>
      </c>
      <c r="I104" s="2" t="s">
        <v>7142</v>
      </c>
      <c r="J104" s="2" t="s">
        <v>8737</v>
      </c>
    </row>
    <row r="105" spans="1:10">
      <c r="A105" s="2" t="s">
        <v>8728</v>
      </c>
      <c r="B105" s="2" t="s">
        <v>6854</v>
      </c>
      <c r="C105" s="2" t="s">
        <v>1956</v>
      </c>
      <c r="E105" s="2" t="s">
        <v>7142</v>
      </c>
      <c r="F105" s="2" t="s">
        <v>8729</v>
      </c>
      <c r="G105" s="2" t="s">
        <v>8736</v>
      </c>
      <c r="H105" s="2" t="s">
        <v>7142</v>
      </c>
      <c r="I105" s="2" t="s">
        <v>7142</v>
      </c>
      <c r="J105" s="2" t="s">
        <v>8729</v>
      </c>
    </row>
    <row r="106" spans="1:10">
      <c r="A106" s="2" t="s">
        <v>8728</v>
      </c>
      <c r="B106" s="2" t="s">
        <v>6855</v>
      </c>
      <c r="C106" s="2" t="s">
        <v>1925</v>
      </c>
      <c r="E106" s="2" t="s">
        <v>7142</v>
      </c>
      <c r="F106" s="2" t="s">
        <v>8737</v>
      </c>
      <c r="G106" s="2" t="s">
        <v>8736</v>
      </c>
      <c r="H106" s="2" t="s">
        <v>7142</v>
      </c>
      <c r="I106" s="2" t="s">
        <v>7142</v>
      </c>
      <c r="J106" s="2" t="s">
        <v>8737</v>
      </c>
    </row>
    <row r="107" spans="1:10">
      <c r="A107" s="2" t="s">
        <v>8728</v>
      </c>
      <c r="B107" s="2" t="s">
        <v>6856</v>
      </c>
      <c r="C107" s="2" t="s">
        <v>1899</v>
      </c>
      <c r="E107" s="2" t="s">
        <v>7142</v>
      </c>
      <c r="F107" s="2" t="s">
        <v>8737</v>
      </c>
      <c r="G107" s="2" t="s">
        <v>8736</v>
      </c>
      <c r="H107" s="2" t="s">
        <v>7142</v>
      </c>
      <c r="I107" s="2" t="s">
        <v>7142</v>
      </c>
      <c r="J107" s="2" t="s">
        <v>8737</v>
      </c>
    </row>
    <row r="108" spans="1:10">
      <c r="A108" s="2" t="s">
        <v>8732</v>
      </c>
      <c r="B108" s="2" t="s">
        <v>6857</v>
      </c>
      <c r="C108" s="2" t="s">
        <v>583</v>
      </c>
      <c r="E108" s="2" t="s">
        <v>7142</v>
      </c>
      <c r="F108" s="2" t="s">
        <v>8737</v>
      </c>
      <c r="G108" s="2" t="s">
        <v>8730</v>
      </c>
      <c r="H108" s="2" t="s">
        <v>7142</v>
      </c>
      <c r="I108" s="2" t="s">
        <v>7143</v>
      </c>
      <c r="J108" s="2" t="s">
        <v>8737</v>
      </c>
    </row>
    <row r="109" spans="1:10">
      <c r="A109" s="2" t="s">
        <v>8728</v>
      </c>
      <c r="B109" s="2" t="s">
        <v>6858</v>
      </c>
      <c r="C109" s="2" t="s">
        <v>1871</v>
      </c>
      <c r="E109" s="2" t="s">
        <v>7142</v>
      </c>
      <c r="F109" s="2" t="s">
        <v>8737</v>
      </c>
      <c r="G109" s="2" t="s">
        <v>8730</v>
      </c>
      <c r="H109" s="2" t="s">
        <v>7142</v>
      </c>
      <c r="I109" s="2" t="s">
        <v>7142</v>
      </c>
      <c r="J109" s="2" t="s">
        <v>8737</v>
      </c>
    </row>
    <row r="110" spans="1:10">
      <c r="A110" s="2" t="s">
        <v>8728</v>
      </c>
      <c r="B110" s="2" t="s">
        <v>6859</v>
      </c>
      <c r="C110" s="2" t="s">
        <v>1838</v>
      </c>
      <c r="E110" s="2" t="s">
        <v>7142</v>
      </c>
      <c r="F110" s="2" t="s">
        <v>8733</v>
      </c>
      <c r="G110" s="2" t="s">
        <v>8730</v>
      </c>
      <c r="H110" s="2" t="s">
        <v>7142</v>
      </c>
      <c r="I110" s="2" t="s">
        <v>7142</v>
      </c>
      <c r="J110" s="2" t="s">
        <v>8733</v>
      </c>
    </row>
    <row r="111" spans="1:10">
      <c r="A111" s="2" t="s">
        <v>8728</v>
      </c>
      <c r="B111" s="2" t="s">
        <v>6860</v>
      </c>
      <c r="C111" s="2" t="s">
        <v>1727</v>
      </c>
      <c r="E111" s="2" t="s">
        <v>7142</v>
      </c>
      <c r="F111" s="2" t="s">
        <v>8737</v>
      </c>
      <c r="G111" s="2" t="s">
        <v>8730</v>
      </c>
      <c r="H111" s="2" t="s">
        <v>7142</v>
      </c>
      <c r="I111" s="2" t="s">
        <v>7142</v>
      </c>
      <c r="J111" s="2" t="s">
        <v>8737</v>
      </c>
    </row>
    <row r="112" spans="1:10">
      <c r="A112" s="2" t="s">
        <v>8728</v>
      </c>
      <c r="B112" s="2" t="s">
        <v>6861</v>
      </c>
      <c r="C112" s="2" t="s">
        <v>1769</v>
      </c>
      <c r="E112" s="2" t="s">
        <v>7142</v>
      </c>
      <c r="F112" s="2" t="s">
        <v>8737</v>
      </c>
      <c r="G112" s="2" t="s">
        <v>8730</v>
      </c>
      <c r="H112" s="2" t="s">
        <v>7142</v>
      </c>
      <c r="I112" s="2" t="s">
        <v>7142</v>
      </c>
      <c r="J112" s="2" t="s">
        <v>8737</v>
      </c>
    </row>
    <row r="113" spans="1:10">
      <c r="A113" s="2" t="s">
        <v>8728</v>
      </c>
      <c r="B113" s="2" t="s">
        <v>6862</v>
      </c>
      <c r="C113" s="2" t="s">
        <v>1691</v>
      </c>
      <c r="E113" s="2" t="s">
        <v>7142</v>
      </c>
      <c r="F113" s="2" t="s">
        <v>8737</v>
      </c>
      <c r="G113" s="2" t="s">
        <v>8736</v>
      </c>
      <c r="H113" s="2" t="s">
        <v>7142</v>
      </c>
      <c r="I113" s="2" t="s">
        <v>7142</v>
      </c>
      <c r="J113" s="2" t="s">
        <v>8737</v>
      </c>
    </row>
    <row r="114" spans="1:10">
      <c r="A114" s="2" t="s">
        <v>8740</v>
      </c>
      <c r="B114" s="2" t="s">
        <v>6863</v>
      </c>
      <c r="C114" s="2" t="s">
        <v>1700</v>
      </c>
      <c r="E114" s="2" t="s">
        <v>7142</v>
      </c>
      <c r="F114" s="2" t="s">
        <v>8733</v>
      </c>
      <c r="G114" s="2" t="s">
        <v>8730</v>
      </c>
      <c r="H114" s="2" t="s">
        <v>7142</v>
      </c>
      <c r="I114" s="2" t="s">
        <v>7142</v>
      </c>
      <c r="J114" s="2" t="s">
        <v>8733</v>
      </c>
    </row>
    <row r="115" spans="1:10">
      <c r="A115" s="2" t="s">
        <v>8728</v>
      </c>
      <c r="B115" s="2" t="s">
        <v>6864</v>
      </c>
      <c r="C115" s="2" t="s">
        <v>1672</v>
      </c>
      <c r="D115" s="2" t="s">
        <v>1998</v>
      </c>
      <c r="E115" s="2" t="s">
        <v>7142</v>
      </c>
      <c r="F115" s="2" t="s">
        <v>8733</v>
      </c>
      <c r="G115" s="2" t="s">
        <v>8730</v>
      </c>
      <c r="H115" s="2" t="s">
        <v>7142</v>
      </c>
      <c r="I115" s="2" t="s">
        <v>7142</v>
      </c>
      <c r="J115" s="2" t="s">
        <v>8733</v>
      </c>
    </row>
    <row r="116" spans="1:10">
      <c r="A116" s="2" t="s">
        <v>8728</v>
      </c>
      <c r="B116" s="2" t="s">
        <v>6865</v>
      </c>
      <c r="C116" s="2" t="s">
        <v>1663</v>
      </c>
      <c r="E116" s="2" t="s">
        <v>7142</v>
      </c>
      <c r="F116" s="2" t="s">
        <v>8739</v>
      </c>
      <c r="G116" s="2" t="s">
        <v>8730</v>
      </c>
      <c r="H116" s="2" t="s">
        <v>7142</v>
      </c>
      <c r="I116" s="2" t="s">
        <v>7142</v>
      </c>
      <c r="J116" s="2" t="s">
        <v>8739</v>
      </c>
    </row>
    <row r="117" spans="1:10">
      <c r="A117" s="2" t="s">
        <v>8728</v>
      </c>
      <c r="B117" s="2" t="s">
        <v>6866</v>
      </c>
      <c r="C117" s="2" t="s">
        <v>1799</v>
      </c>
      <c r="E117" s="2" t="s">
        <v>7142</v>
      </c>
      <c r="F117" s="2" t="s">
        <v>8733</v>
      </c>
      <c r="G117" s="2" t="s">
        <v>8736</v>
      </c>
      <c r="H117" s="2" t="s">
        <v>7142</v>
      </c>
      <c r="I117" s="2" t="s">
        <v>7142</v>
      </c>
      <c r="J117" s="2" t="s">
        <v>8733</v>
      </c>
    </row>
    <row r="118" spans="1:10">
      <c r="A118" s="2" t="s">
        <v>8728</v>
      </c>
      <c r="B118" s="2" t="s">
        <v>6867</v>
      </c>
      <c r="C118" s="2" t="s">
        <v>2565</v>
      </c>
      <c r="E118" s="2" t="s">
        <v>7142</v>
      </c>
      <c r="F118" s="2" t="s">
        <v>8737</v>
      </c>
      <c r="G118" s="2" t="s">
        <v>8736</v>
      </c>
      <c r="H118" s="2" t="s">
        <v>7142</v>
      </c>
      <c r="I118" s="2" t="s">
        <v>7142</v>
      </c>
      <c r="J118" s="2" t="s">
        <v>8737</v>
      </c>
    </row>
    <row r="119" spans="1:10">
      <c r="A119" s="2" t="s">
        <v>8728</v>
      </c>
      <c r="B119" s="2" t="s">
        <v>6868</v>
      </c>
      <c r="C119" s="2" t="s">
        <v>1833</v>
      </c>
      <c r="E119" s="2" t="s">
        <v>7142</v>
      </c>
      <c r="F119" s="2" t="s">
        <v>8733</v>
      </c>
      <c r="G119" s="2" t="s">
        <v>8736</v>
      </c>
      <c r="H119" s="2" t="s">
        <v>7142</v>
      </c>
      <c r="I119" s="2" t="s">
        <v>7142</v>
      </c>
      <c r="J119" s="2" t="s">
        <v>8733</v>
      </c>
    </row>
    <row r="120" spans="1:10">
      <c r="A120" s="2" t="s">
        <v>8728</v>
      </c>
      <c r="B120" s="2" t="s">
        <v>6869</v>
      </c>
      <c r="C120" s="2" t="s">
        <v>1848</v>
      </c>
      <c r="E120" s="2" t="s">
        <v>7142</v>
      </c>
      <c r="F120" s="2" t="s">
        <v>8733</v>
      </c>
      <c r="G120" s="2" t="s">
        <v>8736</v>
      </c>
      <c r="H120" s="2" t="s">
        <v>7142</v>
      </c>
      <c r="I120" s="2" t="s">
        <v>7142</v>
      </c>
      <c r="J120" s="2" t="s">
        <v>8733</v>
      </c>
    </row>
    <row r="121" spans="1:10">
      <c r="A121" s="2" t="s">
        <v>8728</v>
      </c>
      <c r="B121" s="2" t="s">
        <v>6870</v>
      </c>
      <c r="C121" s="2" t="s">
        <v>1912</v>
      </c>
      <c r="E121" s="2" t="s">
        <v>7142</v>
      </c>
      <c r="F121" s="2" t="s">
        <v>8733</v>
      </c>
      <c r="G121" s="2" t="s">
        <v>8736</v>
      </c>
      <c r="H121" s="2" t="s">
        <v>7142</v>
      </c>
      <c r="I121" s="2" t="s">
        <v>7142</v>
      </c>
      <c r="J121" s="2" t="s">
        <v>8733</v>
      </c>
    </row>
    <row r="122" spans="1:10">
      <c r="A122" s="2" t="s">
        <v>8728</v>
      </c>
      <c r="B122" s="2" t="s">
        <v>6871</v>
      </c>
      <c r="C122" s="2" t="s">
        <v>1951</v>
      </c>
      <c r="E122" s="2" t="s">
        <v>7142</v>
      </c>
      <c r="F122" s="2" t="s">
        <v>8733</v>
      </c>
      <c r="G122" s="2" t="s">
        <v>8730</v>
      </c>
      <c r="H122" s="2" t="s">
        <v>7142</v>
      </c>
      <c r="I122" s="2" t="s">
        <v>7142</v>
      </c>
      <c r="J122" s="2" t="s">
        <v>8733</v>
      </c>
    </row>
    <row r="123" spans="1:10">
      <c r="A123" s="2" t="s">
        <v>8732</v>
      </c>
      <c r="B123" s="2" t="s">
        <v>6872</v>
      </c>
      <c r="C123" s="2" t="s">
        <v>517</v>
      </c>
      <c r="E123" s="2" t="s">
        <v>7142</v>
      </c>
      <c r="F123" s="2" t="s">
        <v>8737</v>
      </c>
      <c r="G123" s="2" t="s">
        <v>8736</v>
      </c>
      <c r="H123" s="2" t="s">
        <v>7142</v>
      </c>
      <c r="I123" s="2" t="s">
        <v>7143</v>
      </c>
      <c r="J123" s="2" t="s">
        <v>8737</v>
      </c>
    </row>
    <row r="124" spans="1:10">
      <c r="A124" s="2" t="s">
        <v>8728</v>
      </c>
      <c r="B124" s="2" t="s">
        <v>6873</v>
      </c>
      <c r="C124" s="2" t="s">
        <v>463</v>
      </c>
      <c r="E124" s="2" t="s">
        <v>7142</v>
      </c>
      <c r="F124" s="2" t="s">
        <v>8729</v>
      </c>
      <c r="G124" s="2" t="s">
        <v>8730</v>
      </c>
      <c r="H124" s="2" t="s">
        <v>7142</v>
      </c>
      <c r="I124" s="2" t="s">
        <v>7142</v>
      </c>
      <c r="J124" s="2" t="s">
        <v>8737</v>
      </c>
    </row>
    <row r="125" spans="1:10">
      <c r="A125" s="2" t="s">
        <v>8728</v>
      </c>
      <c r="B125" s="2" t="s">
        <v>6874</v>
      </c>
      <c r="C125" s="2" t="s">
        <v>1994</v>
      </c>
      <c r="E125" s="2" t="s">
        <v>7142</v>
      </c>
      <c r="F125" s="2" t="s">
        <v>8741</v>
      </c>
      <c r="G125" s="2" t="s">
        <v>8736</v>
      </c>
      <c r="H125" s="2" t="s">
        <v>7142</v>
      </c>
      <c r="I125" s="2" t="s">
        <v>7142</v>
      </c>
      <c r="J125" s="2" t="s">
        <v>8741</v>
      </c>
    </row>
    <row r="126" spans="1:10">
      <c r="A126" s="2" t="s">
        <v>8728</v>
      </c>
      <c r="B126" s="2" t="s">
        <v>6875</v>
      </c>
      <c r="C126" s="2" t="s">
        <v>789</v>
      </c>
      <c r="E126" s="2" t="s">
        <v>7142</v>
      </c>
      <c r="F126" s="2" t="s">
        <v>8737</v>
      </c>
      <c r="G126" s="2" t="s">
        <v>8730</v>
      </c>
      <c r="H126" s="2" t="s">
        <v>7142</v>
      </c>
      <c r="I126" s="2" t="s">
        <v>7142</v>
      </c>
      <c r="J126" s="2" t="s">
        <v>8737</v>
      </c>
    </row>
    <row r="127" spans="1:10">
      <c r="A127" s="2" t="s">
        <v>8728</v>
      </c>
      <c r="B127" s="2" t="s">
        <v>6876</v>
      </c>
      <c r="C127" s="2" t="s">
        <v>2036</v>
      </c>
      <c r="E127" s="2" t="s">
        <v>7142</v>
      </c>
      <c r="F127" s="2" t="s">
        <v>8733</v>
      </c>
      <c r="G127" s="2" t="s">
        <v>8730</v>
      </c>
      <c r="H127" s="2" t="s">
        <v>7142</v>
      </c>
      <c r="I127" s="2" t="s">
        <v>7142</v>
      </c>
      <c r="J127" s="2" t="s">
        <v>8733</v>
      </c>
    </row>
    <row r="128" spans="1:10">
      <c r="A128" s="2" t="s">
        <v>8728</v>
      </c>
      <c r="B128" s="2" t="s">
        <v>6877</v>
      </c>
      <c r="C128" s="2" t="s">
        <v>2075</v>
      </c>
      <c r="E128" s="2" t="s">
        <v>7142</v>
      </c>
      <c r="F128" s="2" t="s">
        <v>8733</v>
      </c>
      <c r="G128" s="2" t="s">
        <v>8730</v>
      </c>
      <c r="H128" s="2" t="s">
        <v>7142</v>
      </c>
      <c r="I128" s="2" t="s">
        <v>7142</v>
      </c>
      <c r="J128" s="2" t="s">
        <v>8733</v>
      </c>
    </row>
    <row r="129" spans="1:10">
      <c r="A129" s="2" t="s">
        <v>8728</v>
      </c>
      <c r="B129" s="2" t="s">
        <v>6878</v>
      </c>
      <c r="C129" s="2" t="s">
        <v>2101</v>
      </c>
      <c r="E129" s="2" t="s">
        <v>7142</v>
      </c>
      <c r="F129" s="2" t="s">
        <v>8733</v>
      </c>
      <c r="G129" s="2" t="s">
        <v>8730</v>
      </c>
      <c r="H129" s="2" t="s">
        <v>7142</v>
      </c>
      <c r="I129" s="2" t="s">
        <v>7142</v>
      </c>
      <c r="J129" s="2" t="s">
        <v>8733</v>
      </c>
    </row>
    <row r="130" spans="1:10">
      <c r="A130" s="2" t="s">
        <v>8728</v>
      </c>
      <c r="B130" s="2" t="s">
        <v>6879</v>
      </c>
      <c r="C130" s="2" t="s">
        <v>867</v>
      </c>
      <c r="E130" s="2" t="s">
        <v>7142</v>
      </c>
      <c r="F130" s="2" t="s">
        <v>8729</v>
      </c>
      <c r="G130" s="2" t="s">
        <v>8742</v>
      </c>
      <c r="H130" s="2" t="s">
        <v>7142</v>
      </c>
      <c r="I130" s="2" t="s">
        <v>7142</v>
      </c>
      <c r="J130" s="2" t="s">
        <v>8737</v>
      </c>
    </row>
    <row r="131" spans="1:10">
      <c r="A131" s="2" t="s">
        <v>8728</v>
      </c>
      <c r="B131" s="2" t="s">
        <v>6880</v>
      </c>
      <c r="C131" s="2" t="s">
        <v>2116</v>
      </c>
      <c r="E131" s="2" t="s">
        <v>7142</v>
      </c>
      <c r="F131" s="2" t="s">
        <v>8729</v>
      </c>
      <c r="G131" s="2" t="s">
        <v>8730</v>
      </c>
      <c r="H131" s="2" t="s">
        <v>7142</v>
      </c>
      <c r="I131" s="2" t="s">
        <v>7143</v>
      </c>
      <c r="J131" s="2" t="s">
        <v>8729</v>
      </c>
    </row>
    <row r="132" spans="1:10">
      <c r="A132" s="2" t="s">
        <v>8728</v>
      </c>
      <c r="B132" s="2" t="s">
        <v>6881</v>
      </c>
      <c r="C132" s="2" t="s">
        <v>2166</v>
      </c>
      <c r="E132" s="2" t="s">
        <v>7142</v>
      </c>
      <c r="F132" s="2" t="s">
        <v>8739</v>
      </c>
      <c r="G132" s="2" t="s">
        <v>8736</v>
      </c>
      <c r="H132" s="2" t="s">
        <v>7142</v>
      </c>
      <c r="I132" s="2" t="s">
        <v>7142</v>
      </c>
      <c r="J132" s="2" t="s">
        <v>8739</v>
      </c>
    </row>
    <row r="133" spans="1:10">
      <c r="A133" s="2" t="s">
        <v>8728</v>
      </c>
      <c r="B133" s="2" t="s">
        <v>6882</v>
      </c>
      <c r="C133" s="2" t="s">
        <v>2191</v>
      </c>
      <c r="E133" s="2" t="s">
        <v>7142</v>
      </c>
      <c r="F133" s="2" t="s">
        <v>8741</v>
      </c>
      <c r="G133" s="2" t="s">
        <v>8730</v>
      </c>
      <c r="H133" s="2" t="s">
        <v>7142</v>
      </c>
      <c r="I133" s="2" t="s">
        <v>7142</v>
      </c>
      <c r="J133" s="2" t="s">
        <v>8741</v>
      </c>
    </row>
    <row r="134" spans="1:10">
      <c r="A134" s="2" t="s">
        <v>8728</v>
      </c>
      <c r="B134" s="2" t="s">
        <v>6883</v>
      </c>
      <c r="C134" s="2" t="s">
        <v>2222</v>
      </c>
      <c r="E134" s="2" t="s">
        <v>7142</v>
      </c>
      <c r="F134" s="2" t="s">
        <v>8733</v>
      </c>
      <c r="G134" s="2" t="s">
        <v>8736</v>
      </c>
      <c r="H134" s="2" t="s">
        <v>7142</v>
      </c>
      <c r="I134" s="2" t="s">
        <v>7142</v>
      </c>
      <c r="J134" s="2" t="s">
        <v>8733</v>
      </c>
    </row>
    <row r="135" spans="1:10">
      <c r="A135" s="2" t="s">
        <v>8745</v>
      </c>
      <c r="B135" s="2" t="s">
        <v>6885</v>
      </c>
      <c r="C135" s="2" t="s">
        <v>2296</v>
      </c>
      <c r="E135" s="2" t="s">
        <v>7142</v>
      </c>
      <c r="F135" s="2" t="s">
        <v>8729</v>
      </c>
      <c r="G135" s="2" t="s">
        <v>8730</v>
      </c>
      <c r="H135" s="2" t="s">
        <v>7142</v>
      </c>
      <c r="I135" s="2" t="s">
        <v>7143</v>
      </c>
      <c r="J135" s="2" t="s">
        <v>8729</v>
      </c>
    </row>
    <row r="136" spans="1:10">
      <c r="A136" s="2" t="s">
        <v>8728</v>
      </c>
      <c r="B136" s="2" t="s">
        <v>6886</v>
      </c>
      <c r="C136" s="2" t="s">
        <v>1158</v>
      </c>
      <c r="E136" s="2" t="s">
        <v>7142</v>
      </c>
      <c r="F136" s="2" t="s">
        <v>8729</v>
      </c>
      <c r="G136" s="2" t="s">
        <v>8742</v>
      </c>
      <c r="H136" s="2" t="s">
        <v>7142</v>
      </c>
      <c r="I136" s="2" t="s">
        <v>7142</v>
      </c>
      <c r="J136" s="2" t="s">
        <v>8737</v>
      </c>
    </row>
    <row r="137" spans="1:10">
      <c r="A137" s="2" t="s">
        <v>8728</v>
      </c>
      <c r="B137" s="2" t="s">
        <v>6887</v>
      </c>
      <c r="C137" s="2" t="s">
        <v>1173</v>
      </c>
      <c r="E137" s="2" t="s">
        <v>7142</v>
      </c>
      <c r="F137" s="2" t="s">
        <v>8729</v>
      </c>
      <c r="G137" s="2" t="s">
        <v>8742</v>
      </c>
      <c r="H137" s="2" t="s">
        <v>7142</v>
      </c>
      <c r="I137" s="2" t="s">
        <v>7142</v>
      </c>
      <c r="J137" s="2" t="s">
        <v>8737</v>
      </c>
    </row>
    <row r="138" spans="1:10">
      <c r="A138" s="2" t="s">
        <v>8728</v>
      </c>
      <c r="B138" s="2" t="s">
        <v>6888</v>
      </c>
      <c r="C138" s="2" t="s">
        <v>1178</v>
      </c>
      <c r="E138" s="2" t="s">
        <v>7142</v>
      </c>
      <c r="F138" s="2" t="s">
        <v>8737</v>
      </c>
      <c r="G138" s="2" t="s">
        <v>8730</v>
      </c>
      <c r="H138" s="2" t="s">
        <v>7142</v>
      </c>
      <c r="I138" s="2" t="s">
        <v>7142</v>
      </c>
      <c r="J138" s="2" t="s">
        <v>8737</v>
      </c>
    </row>
    <row r="139" spans="1:10">
      <c r="A139" s="2" t="s">
        <v>8728</v>
      </c>
      <c r="B139" s="2" t="s">
        <v>6889</v>
      </c>
      <c r="C139" s="2" t="s">
        <v>1261</v>
      </c>
      <c r="E139" s="2" t="s">
        <v>7142</v>
      </c>
      <c r="F139" s="2" t="s">
        <v>8729</v>
      </c>
      <c r="G139" s="2" t="s">
        <v>8730</v>
      </c>
      <c r="H139" s="2" t="s">
        <v>7142</v>
      </c>
      <c r="I139" s="2" t="s">
        <v>7142</v>
      </c>
      <c r="J139" s="2" t="s">
        <v>8729</v>
      </c>
    </row>
    <row r="140" spans="1:10">
      <c r="A140" s="2" t="s">
        <v>8728</v>
      </c>
      <c r="B140" s="2" t="s">
        <v>6890</v>
      </c>
      <c r="C140" s="2" t="s">
        <v>1299</v>
      </c>
      <c r="E140" s="2" t="s">
        <v>7142</v>
      </c>
      <c r="F140" s="2" t="s">
        <v>8729</v>
      </c>
      <c r="G140" s="2" t="s">
        <v>8730</v>
      </c>
      <c r="H140" s="2" t="s">
        <v>7142</v>
      </c>
      <c r="I140" s="2" t="s">
        <v>7142</v>
      </c>
      <c r="J140" s="2" t="s">
        <v>8737</v>
      </c>
    </row>
    <row r="141" spans="1:10">
      <c r="A141" s="2" t="s">
        <v>8728</v>
      </c>
      <c r="B141" s="2" t="s">
        <v>6891</v>
      </c>
      <c r="C141" s="2" t="s">
        <v>2164</v>
      </c>
      <c r="E141" s="2" t="s">
        <v>7142</v>
      </c>
      <c r="F141" s="2" t="s">
        <v>8737</v>
      </c>
      <c r="G141" s="2" t="s">
        <v>8736</v>
      </c>
      <c r="H141" s="2" t="s">
        <v>7142</v>
      </c>
      <c r="I141" s="2" t="s">
        <v>7142</v>
      </c>
      <c r="J141" s="2" t="s">
        <v>8737</v>
      </c>
    </row>
    <row r="142" spans="1:10">
      <c r="A142" s="2" t="s">
        <v>8728</v>
      </c>
      <c r="B142" s="2" t="s">
        <v>6892</v>
      </c>
      <c r="C142" s="2" t="s">
        <v>1344</v>
      </c>
      <c r="E142" s="2" t="s">
        <v>7142</v>
      </c>
      <c r="F142" s="2" t="s">
        <v>8737</v>
      </c>
      <c r="G142" s="2" t="s">
        <v>8730</v>
      </c>
      <c r="H142" s="2" t="s">
        <v>7142</v>
      </c>
      <c r="I142" s="2" t="s">
        <v>7142</v>
      </c>
      <c r="J142" s="2" t="s">
        <v>8737</v>
      </c>
    </row>
    <row r="143" spans="1:10">
      <c r="A143" s="2" t="s">
        <v>8728</v>
      </c>
      <c r="B143" s="2" t="s">
        <v>6893</v>
      </c>
      <c r="C143" s="2" t="s">
        <v>2137</v>
      </c>
      <c r="E143" s="2" t="s">
        <v>7142</v>
      </c>
      <c r="F143" s="2" t="s">
        <v>8737</v>
      </c>
      <c r="G143" s="2" t="s">
        <v>8736</v>
      </c>
      <c r="H143" s="2" t="s">
        <v>7142</v>
      </c>
      <c r="I143" s="2" t="s">
        <v>7142</v>
      </c>
      <c r="J143" s="2" t="s">
        <v>8737</v>
      </c>
    </row>
    <row r="144" spans="1:10">
      <c r="A144" s="2" t="s">
        <v>8728</v>
      </c>
      <c r="B144" s="2" t="s">
        <v>6894</v>
      </c>
      <c r="C144" s="2" t="s">
        <v>2135</v>
      </c>
      <c r="E144" s="2" t="s">
        <v>7142</v>
      </c>
      <c r="F144" s="2" t="s">
        <v>8737</v>
      </c>
      <c r="G144" s="2" t="s">
        <v>8736</v>
      </c>
      <c r="H144" s="2" t="s">
        <v>7142</v>
      </c>
      <c r="I144" s="2" t="s">
        <v>7142</v>
      </c>
      <c r="J144" s="2" t="s">
        <v>8737</v>
      </c>
    </row>
    <row r="145" spans="1:10">
      <c r="A145" s="2" t="s">
        <v>8728</v>
      </c>
      <c r="B145" s="2" t="s">
        <v>6895</v>
      </c>
      <c r="C145" s="2" t="s">
        <v>2124</v>
      </c>
      <c r="E145" s="2" t="s">
        <v>7142</v>
      </c>
      <c r="F145" s="2" t="s">
        <v>8737</v>
      </c>
      <c r="G145" s="2" t="s">
        <v>8736</v>
      </c>
      <c r="H145" s="2" t="s">
        <v>7142</v>
      </c>
      <c r="I145" s="2" t="s">
        <v>7142</v>
      </c>
      <c r="J145" s="2" t="s">
        <v>8737</v>
      </c>
    </row>
    <row r="146" spans="1:10">
      <c r="A146" s="2" t="s">
        <v>8728</v>
      </c>
      <c r="B146" s="2" t="s">
        <v>6896</v>
      </c>
      <c r="C146" s="2" t="s">
        <v>1430</v>
      </c>
      <c r="E146" s="2" t="s">
        <v>7142</v>
      </c>
      <c r="F146" s="2" t="s">
        <v>8739</v>
      </c>
      <c r="G146" s="2" t="s">
        <v>8730</v>
      </c>
      <c r="H146" s="2" t="s">
        <v>7142</v>
      </c>
      <c r="I146" s="2" t="s">
        <v>7142</v>
      </c>
      <c r="J146" s="2" t="s">
        <v>8739</v>
      </c>
    </row>
    <row r="147" spans="1:10">
      <c r="A147" s="2" t="s">
        <v>8728</v>
      </c>
      <c r="B147" s="2" t="s">
        <v>6897</v>
      </c>
      <c r="C147" s="2" t="s">
        <v>2083</v>
      </c>
      <c r="E147" s="2" t="s">
        <v>7142</v>
      </c>
      <c r="F147" s="2" t="s">
        <v>8737</v>
      </c>
      <c r="G147" s="2" t="s">
        <v>8736</v>
      </c>
      <c r="H147" s="2" t="s">
        <v>7142</v>
      </c>
      <c r="I147" s="2" t="s">
        <v>7142</v>
      </c>
      <c r="J147" s="2" t="s">
        <v>8737</v>
      </c>
    </row>
    <row r="148" spans="1:10">
      <c r="A148" s="2" t="s">
        <v>8728</v>
      </c>
      <c r="B148" s="2" t="s">
        <v>6898</v>
      </c>
      <c r="C148" s="2" t="s">
        <v>1443</v>
      </c>
      <c r="E148" s="2" t="s">
        <v>7142</v>
      </c>
      <c r="F148" s="2" t="s">
        <v>8737</v>
      </c>
      <c r="G148" s="2" t="s">
        <v>8736</v>
      </c>
      <c r="H148" s="2" t="s">
        <v>7142</v>
      </c>
      <c r="I148" s="2" t="s">
        <v>7142</v>
      </c>
      <c r="J148" s="2" t="s">
        <v>8737</v>
      </c>
    </row>
    <row r="149" spans="1:10">
      <c r="A149" s="2" t="s">
        <v>8728</v>
      </c>
      <c r="B149" s="2" t="s">
        <v>6899</v>
      </c>
      <c r="C149" s="2" t="s">
        <v>2073</v>
      </c>
      <c r="E149" s="2" t="s">
        <v>7142</v>
      </c>
      <c r="F149" s="2" t="s">
        <v>8737</v>
      </c>
      <c r="G149" s="2" t="s">
        <v>8730</v>
      </c>
      <c r="H149" s="2" t="s">
        <v>7142</v>
      </c>
      <c r="I149" s="2" t="s">
        <v>7142</v>
      </c>
      <c r="J149" s="2" t="s">
        <v>8737</v>
      </c>
    </row>
    <row r="150" spans="1:10">
      <c r="A150" s="2" t="s">
        <v>8728</v>
      </c>
      <c r="B150" s="2" t="s">
        <v>6900</v>
      </c>
      <c r="C150" s="2" t="s">
        <v>2011</v>
      </c>
      <c r="E150" s="2" t="s">
        <v>7142</v>
      </c>
      <c r="F150" s="2" t="s">
        <v>8737</v>
      </c>
      <c r="G150" s="2" t="s">
        <v>8736</v>
      </c>
      <c r="H150" s="2" t="s">
        <v>7142</v>
      </c>
      <c r="I150" s="2" t="s">
        <v>7142</v>
      </c>
      <c r="J150" s="2" t="s">
        <v>8737</v>
      </c>
    </row>
    <row r="151" spans="1:10">
      <c r="A151" s="2" t="s">
        <v>8728</v>
      </c>
      <c r="B151" s="2" t="s">
        <v>6901</v>
      </c>
      <c r="C151" s="2" t="s">
        <v>1505</v>
      </c>
      <c r="E151" s="2" t="s">
        <v>7142</v>
      </c>
      <c r="F151" s="2" t="s">
        <v>8729</v>
      </c>
      <c r="G151" s="2" t="s">
        <v>8730</v>
      </c>
      <c r="H151" s="2" t="s">
        <v>7142</v>
      </c>
      <c r="I151" s="2" t="s">
        <v>7142</v>
      </c>
      <c r="J151" s="2" t="s">
        <v>8729</v>
      </c>
    </row>
    <row r="152" spans="1:10">
      <c r="A152" s="2" t="s">
        <v>8728</v>
      </c>
      <c r="B152" s="2" t="s">
        <v>6902</v>
      </c>
      <c r="C152" s="2" t="s">
        <v>2000</v>
      </c>
      <c r="E152" s="2" t="s">
        <v>7142</v>
      </c>
      <c r="F152" s="2" t="s">
        <v>8737</v>
      </c>
      <c r="G152" s="2" t="s">
        <v>8736</v>
      </c>
      <c r="H152" s="2" t="s">
        <v>7142</v>
      </c>
      <c r="I152" s="2" t="s">
        <v>7142</v>
      </c>
      <c r="J152" s="2" t="s">
        <v>8737</v>
      </c>
    </row>
    <row r="153" spans="1:10">
      <c r="A153" s="2" t="s">
        <v>8728</v>
      </c>
      <c r="B153" s="2" t="s">
        <v>6903</v>
      </c>
      <c r="C153" s="2" t="s">
        <v>2033</v>
      </c>
      <c r="E153" s="2" t="s">
        <v>7142</v>
      </c>
      <c r="F153" s="2" t="s">
        <v>8737</v>
      </c>
      <c r="G153" s="2" t="s">
        <v>8736</v>
      </c>
      <c r="H153" s="2" t="s">
        <v>7142</v>
      </c>
      <c r="I153" s="2" t="s">
        <v>7142</v>
      </c>
      <c r="J153" s="2" t="s">
        <v>8737</v>
      </c>
    </row>
    <row r="154" spans="1:10">
      <c r="A154" s="2" t="s">
        <v>8728</v>
      </c>
      <c r="B154" s="2" t="s">
        <v>6904</v>
      </c>
      <c r="C154" s="2" t="s">
        <v>1520</v>
      </c>
      <c r="E154" s="2" t="s">
        <v>7142</v>
      </c>
      <c r="F154" s="2" t="s">
        <v>8729</v>
      </c>
      <c r="G154" s="2" t="s">
        <v>8730</v>
      </c>
      <c r="H154" s="2" t="s">
        <v>7142</v>
      </c>
      <c r="I154" s="2" t="s">
        <v>7142</v>
      </c>
      <c r="J154" s="2" t="s">
        <v>8729</v>
      </c>
    </row>
    <row r="155" spans="1:10">
      <c r="A155" s="2" t="s">
        <v>8731</v>
      </c>
      <c r="B155" s="2" t="s">
        <v>6905</v>
      </c>
      <c r="C155" s="2" t="s">
        <v>1310</v>
      </c>
      <c r="D155" s="2" t="s">
        <v>579</v>
      </c>
      <c r="E155" s="2" t="s">
        <v>7142</v>
      </c>
      <c r="F155" s="2" t="s">
        <v>8729</v>
      </c>
      <c r="G155" s="2" t="s">
        <v>8730</v>
      </c>
      <c r="H155" s="2" t="s">
        <v>7142</v>
      </c>
      <c r="I155" s="2" t="s">
        <v>7142</v>
      </c>
      <c r="J155" s="2" t="s">
        <v>8729</v>
      </c>
    </row>
    <row r="156" spans="1:10">
      <c r="A156" s="2" t="s">
        <v>8731</v>
      </c>
      <c r="B156" s="2" t="s">
        <v>6906</v>
      </c>
      <c r="C156" s="2" t="s">
        <v>1336</v>
      </c>
      <c r="D156" s="2" t="s">
        <v>1998</v>
      </c>
      <c r="E156" s="2" t="s">
        <v>7142</v>
      </c>
      <c r="F156" s="2" t="s">
        <v>8737</v>
      </c>
      <c r="G156" s="2" t="s">
        <v>8730</v>
      </c>
      <c r="H156" s="2" t="s">
        <v>7142</v>
      </c>
      <c r="I156" s="2" t="s">
        <v>7142</v>
      </c>
      <c r="J156" s="2" t="s">
        <v>8737</v>
      </c>
    </row>
    <row r="157" spans="1:10">
      <c r="A157" s="2" t="s">
        <v>8728</v>
      </c>
      <c r="B157" s="2" t="s">
        <v>6907</v>
      </c>
      <c r="C157" s="2" t="s">
        <v>1605</v>
      </c>
      <c r="D157" s="2" t="s">
        <v>6908</v>
      </c>
      <c r="E157" s="2" t="s">
        <v>7142</v>
      </c>
      <c r="F157" s="2" t="s">
        <v>8741</v>
      </c>
      <c r="G157" s="2" t="s">
        <v>8730</v>
      </c>
      <c r="H157" s="2" t="s">
        <v>7142</v>
      </c>
      <c r="I157" s="2" t="s">
        <v>7142</v>
      </c>
      <c r="J157" s="2" t="s">
        <v>8741</v>
      </c>
    </row>
    <row r="158" spans="1:10">
      <c r="A158" s="2" t="s">
        <v>8728</v>
      </c>
      <c r="B158" s="2" t="s">
        <v>6909</v>
      </c>
      <c r="C158" s="2" t="s">
        <v>1594</v>
      </c>
      <c r="E158" s="2" t="s">
        <v>7142</v>
      </c>
      <c r="F158" s="2" t="s">
        <v>8743</v>
      </c>
      <c r="G158" s="2" t="s">
        <v>8742</v>
      </c>
      <c r="H158" s="2" t="s">
        <v>7142</v>
      </c>
      <c r="I158" s="2" t="s">
        <v>7142</v>
      </c>
      <c r="J158" s="2" t="s">
        <v>8741</v>
      </c>
    </row>
    <row r="159" spans="1:10">
      <c r="A159" s="2" t="s">
        <v>8731</v>
      </c>
      <c r="B159" s="2" t="s">
        <v>6910</v>
      </c>
      <c r="C159" s="2" t="s">
        <v>1753</v>
      </c>
      <c r="D159" s="2" t="s">
        <v>6911</v>
      </c>
      <c r="E159" s="2" t="s">
        <v>7142</v>
      </c>
      <c r="F159" s="2" t="s">
        <v>8746</v>
      </c>
      <c r="G159" s="2" t="s">
        <v>8730</v>
      </c>
      <c r="H159" s="2" t="s">
        <v>7142</v>
      </c>
      <c r="I159" s="2" t="s">
        <v>7142</v>
      </c>
      <c r="J159" s="2" t="s">
        <v>8746</v>
      </c>
    </row>
    <row r="160" spans="1:10">
      <c r="A160" s="2" t="s">
        <v>8731</v>
      </c>
      <c r="B160" s="2" t="s">
        <v>6913</v>
      </c>
      <c r="C160" s="2" t="s">
        <v>2157</v>
      </c>
      <c r="D160" s="2" t="s">
        <v>579</v>
      </c>
      <c r="E160" s="2" t="s">
        <v>7142</v>
      </c>
      <c r="F160" s="2" t="s">
        <v>8737</v>
      </c>
      <c r="G160" s="2" t="s">
        <v>8730</v>
      </c>
      <c r="H160" s="2" t="s">
        <v>7142</v>
      </c>
      <c r="I160" s="2" t="s">
        <v>7142</v>
      </c>
      <c r="J160" s="2" t="s">
        <v>8737</v>
      </c>
    </row>
    <row r="161" spans="1:10">
      <c r="A161" s="2" t="s">
        <v>8731</v>
      </c>
      <c r="B161" s="2" t="s">
        <v>6914</v>
      </c>
      <c r="C161" s="2" t="s">
        <v>2277</v>
      </c>
      <c r="D161" s="2" t="s">
        <v>6915</v>
      </c>
      <c r="E161" s="2" t="s">
        <v>7142</v>
      </c>
      <c r="F161" s="2" t="s">
        <v>8729</v>
      </c>
      <c r="G161" s="2" t="s">
        <v>8730</v>
      </c>
      <c r="H161" s="2" t="s">
        <v>7142</v>
      </c>
      <c r="I161" s="2" t="s">
        <v>7143</v>
      </c>
      <c r="J161" s="2" t="s">
        <v>8729</v>
      </c>
    </row>
    <row r="162" spans="1:10">
      <c r="A162" s="2" t="s">
        <v>8728</v>
      </c>
      <c r="B162" s="2" t="s">
        <v>6916</v>
      </c>
      <c r="C162" s="2" t="s">
        <v>2300</v>
      </c>
      <c r="E162" s="2" t="s">
        <v>7143</v>
      </c>
      <c r="H162" s="2" t="s">
        <v>7143</v>
      </c>
      <c r="I162" s="2" t="s">
        <v>7143</v>
      </c>
    </row>
    <row r="163" spans="1:10">
      <c r="A163" s="2" t="s">
        <v>8728</v>
      </c>
      <c r="B163" s="2" t="s">
        <v>6917</v>
      </c>
      <c r="C163" s="2" t="s">
        <v>2341</v>
      </c>
      <c r="E163" s="2" t="s">
        <v>7142</v>
      </c>
      <c r="F163" s="2" t="s">
        <v>8737</v>
      </c>
      <c r="G163" s="2" t="s">
        <v>8730</v>
      </c>
      <c r="H163" s="2" t="s">
        <v>7142</v>
      </c>
      <c r="I163" s="2" t="s">
        <v>7142</v>
      </c>
      <c r="J163" s="2" t="s">
        <v>8737</v>
      </c>
    </row>
    <row r="164" spans="1:10">
      <c r="A164" s="2" t="s">
        <v>8731</v>
      </c>
      <c r="B164" s="2" t="s">
        <v>6918</v>
      </c>
      <c r="C164" s="2" t="s">
        <v>2417</v>
      </c>
      <c r="D164" s="2" t="s">
        <v>579</v>
      </c>
      <c r="E164" s="2" t="s">
        <v>7142</v>
      </c>
      <c r="F164" s="2" t="s">
        <v>8737</v>
      </c>
      <c r="G164" s="2" t="s">
        <v>8730</v>
      </c>
      <c r="H164" s="2" t="s">
        <v>7142</v>
      </c>
      <c r="I164" s="2" t="s">
        <v>7142</v>
      </c>
      <c r="J164" s="2" t="s">
        <v>8737</v>
      </c>
    </row>
    <row r="165" spans="1:10">
      <c r="A165" s="2" t="s">
        <v>8731</v>
      </c>
      <c r="B165" s="2" t="s">
        <v>6919</v>
      </c>
      <c r="C165" s="2" t="s">
        <v>2434</v>
      </c>
      <c r="D165" s="2" t="s">
        <v>579</v>
      </c>
      <c r="E165" s="2" t="s">
        <v>7142</v>
      </c>
      <c r="F165" s="2" t="s">
        <v>8739</v>
      </c>
      <c r="G165" s="2" t="s">
        <v>8730</v>
      </c>
      <c r="H165" s="2" t="s">
        <v>7142</v>
      </c>
      <c r="I165" s="2" t="s">
        <v>7142</v>
      </c>
      <c r="J165" s="2" t="s">
        <v>8739</v>
      </c>
    </row>
    <row r="166" spans="1:10">
      <c r="A166" s="2" t="s">
        <v>8728</v>
      </c>
      <c r="B166" s="2" t="s">
        <v>6920</v>
      </c>
      <c r="C166" s="2" t="s">
        <v>563</v>
      </c>
      <c r="D166" s="2" t="s">
        <v>579</v>
      </c>
      <c r="E166" s="2" t="s">
        <v>7142</v>
      </c>
      <c r="F166" s="2" t="s">
        <v>8734</v>
      </c>
      <c r="G166" s="2" t="s">
        <v>8730</v>
      </c>
      <c r="H166" s="2" t="s">
        <v>7142</v>
      </c>
      <c r="I166" s="2" t="s">
        <v>7142</v>
      </c>
      <c r="J166" s="2" t="s">
        <v>8734</v>
      </c>
    </row>
    <row r="167" spans="1:10">
      <c r="A167" s="2" t="s">
        <v>8728</v>
      </c>
      <c r="B167" s="2" t="s">
        <v>6921</v>
      </c>
      <c r="C167" s="2" t="s">
        <v>753</v>
      </c>
      <c r="E167" s="2" t="s">
        <v>7143</v>
      </c>
      <c r="F167" s="2" t="s">
        <v>8738</v>
      </c>
      <c r="G167" s="2" t="s">
        <v>8730</v>
      </c>
      <c r="H167" s="2" t="s">
        <v>7142</v>
      </c>
      <c r="I167" s="2" t="s">
        <v>7142</v>
      </c>
      <c r="J167" s="2" t="s">
        <v>8738</v>
      </c>
    </row>
    <row r="168" spans="1:10">
      <c r="A168" s="2" t="s">
        <v>8728</v>
      </c>
      <c r="B168" s="2" t="s">
        <v>6922</v>
      </c>
      <c r="C168" s="2" t="s">
        <v>478</v>
      </c>
      <c r="D168" s="2" t="s">
        <v>579</v>
      </c>
      <c r="E168" s="2" t="s">
        <v>7142</v>
      </c>
      <c r="F168" s="2" t="s">
        <v>8743</v>
      </c>
      <c r="G168" s="2" t="s">
        <v>8730</v>
      </c>
      <c r="H168" s="2" t="s">
        <v>7142</v>
      </c>
      <c r="I168" s="2" t="s">
        <v>7142</v>
      </c>
      <c r="J168" s="2" t="s">
        <v>8743</v>
      </c>
    </row>
    <row r="169" spans="1:10">
      <c r="A169" s="2" t="s">
        <v>8728</v>
      </c>
      <c r="B169" s="2" t="s">
        <v>6923</v>
      </c>
      <c r="C169" s="2" t="s">
        <v>315</v>
      </c>
      <c r="E169" s="2" t="s">
        <v>7142</v>
      </c>
      <c r="F169" s="2" t="s">
        <v>8737</v>
      </c>
      <c r="G169" s="2" t="s">
        <v>8730</v>
      </c>
      <c r="H169" s="2" t="s">
        <v>7142</v>
      </c>
      <c r="I169" s="2" t="s">
        <v>7142</v>
      </c>
      <c r="J169" s="2" t="s">
        <v>8737</v>
      </c>
    </row>
    <row r="170" spans="1:10">
      <c r="A170" s="2" t="s">
        <v>8728</v>
      </c>
      <c r="B170" s="2" t="s">
        <v>6924</v>
      </c>
      <c r="C170" s="2" t="s">
        <v>344</v>
      </c>
      <c r="E170" s="2" t="s">
        <v>7142</v>
      </c>
      <c r="F170" s="2" t="s">
        <v>8738</v>
      </c>
      <c r="G170" s="2" t="s">
        <v>8736</v>
      </c>
      <c r="H170" s="2" t="s">
        <v>7142</v>
      </c>
      <c r="I170" s="2" t="s">
        <v>7142</v>
      </c>
      <c r="J170" s="2" t="s">
        <v>8738</v>
      </c>
    </row>
    <row r="171" spans="1:10">
      <c r="A171" s="2" t="s">
        <v>8728</v>
      </c>
      <c r="B171" s="2" t="s">
        <v>6925</v>
      </c>
      <c r="C171" s="2" t="s">
        <v>503</v>
      </c>
      <c r="E171" s="2" t="s">
        <v>7142</v>
      </c>
      <c r="F171" s="2" t="s">
        <v>8743</v>
      </c>
      <c r="G171" s="2" t="s">
        <v>8742</v>
      </c>
      <c r="H171" s="2" t="s">
        <v>7142</v>
      </c>
      <c r="I171" s="2" t="s">
        <v>7142</v>
      </c>
      <c r="J171" s="2" t="s">
        <v>8743</v>
      </c>
    </row>
    <row r="172" spans="1:10">
      <c r="A172" s="2" t="s">
        <v>8728</v>
      </c>
      <c r="B172" s="2" t="s">
        <v>6926</v>
      </c>
      <c r="C172" s="2" t="s">
        <v>829</v>
      </c>
      <c r="E172" s="2" t="s">
        <v>7143</v>
      </c>
      <c r="F172" s="2" t="s">
        <v>8729</v>
      </c>
      <c r="G172" s="2" t="s">
        <v>8742</v>
      </c>
      <c r="H172" s="2" t="s">
        <v>7143</v>
      </c>
      <c r="I172" s="2" t="s">
        <v>7143</v>
      </c>
      <c r="J172" s="2" t="s">
        <v>8729</v>
      </c>
    </row>
    <row r="173" spans="1:10">
      <c r="A173" s="2" t="s">
        <v>8728</v>
      </c>
      <c r="B173" s="2" t="s">
        <v>6927</v>
      </c>
      <c r="C173" s="2" t="s">
        <v>852</v>
      </c>
      <c r="E173" s="2" t="s">
        <v>7143</v>
      </c>
      <c r="F173" s="2" t="s">
        <v>8729</v>
      </c>
      <c r="G173" s="2" t="s">
        <v>8730</v>
      </c>
      <c r="H173" s="2" t="s">
        <v>7143</v>
      </c>
      <c r="I173" s="2" t="s">
        <v>7143</v>
      </c>
      <c r="J173" s="2" t="s">
        <v>8729</v>
      </c>
    </row>
    <row r="174" spans="1:10">
      <c r="A174" s="2" t="s">
        <v>8728</v>
      </c>
      <c r="B174" s="2" t="s">
        <v>6928</v>
      </c>
      <c r="C174" s="2" t="s">
        <v>879</v>
      </c>
      <c r="E174" s="2" t="s">
        <v>7142</v>
      </c>
      <c r="F174" s="2" t="s">
        <v>8739</v>
      </c>
      <c r="G174" s="2" t="s">
        <v>8730</v>
      </c>
      <c r="H174" s="2" t="s">
        <v>7142</v>
      </c>
      <c r="I174" s="2" t="s">
        <v>7142</v>
      </c>
      <c r="J174" s="2" t="s">
        <v>8739</v>
      </c>
    </row>
    <row r="175" spans="1:10">
      <c r="A175" s="2" t="s">
        <v>8728</v>
      </c>
      <c r="B175" s="2" t="s">
        <v>6929</v>
      </c>
      <c r="C175" s="2" t="s">
        <v>905</v>
      </c>
      <c r="E175" s="2" t="s">
        <v>7142</v>
      </c>
      <c r="F175" s="2" t="s">
        <v>8737</v>
      </c>
      <c r="G175" s="2" t="s">
        <v>8730</v>
      </c>
      <c r="H175" s="2" t="s">
        <v>7142</v>
      </c>
      <c r="I175" s="2" t="s">
        <v>7142</v>
      </c>
      <c r="J175" s="2" t="s">
        <v>8737</v>
      </c>
    </row>
    <row r="176" spans="1:10">
      <c r="A176" s="2" t="s">
        <v>8728</v>
      </c>
      <c r="B176" s="2" t="s">
        <v>6930</v>
      </c>
      <c r="C176" s="2" t="s">
        <v>954</v>
      </c>
      <c r="E176" s="2" t="s">
        <v>7143</v>
      </c>
      <c r="F176" s="2" t="s">
        <v>8729</v>
      </c>
      <c r="G176" s="2" t="s">
        <v>8730</v>
      </c>
      <c r="H176" s="2" t="s">
        <v>7143</v>
      </c>
      <c r="I176" s="2" t="s">
        <v>7143</v>
      </c>
      <c r="J176" s="2" t="s">
        <v>8729</v>
      </c>
    </row>
    <row r="177" spans="1:10">
      <c r="A177" s="2" t="s">
        <v>8728</v>
      </c>
      <c r="B177" s="2" t="s">
        <v>6931</v>
      </c>
      <c r="C177" s="2" t="s">
        <v>996</v>
      </c>
      <c r="E177" s="2" t="s">
        <v>7142</v>
      </c>
      <c r="F177" s="2" t="s">
        <v>8739</v>
      </c>
      <c r="G177" s="2" t="s">
        <v>8730</v>
      </c>
      <c r="H177" s="2" t="s">
        <v>7143</v>
      </c>
      <c r="J177" s="2" t="s">
        <v>8739</v>
      </c>
    </row>
    <row r="178" spans="1:10">
      <c r="A178" s="2" t="s">
        <v>8728</v>
      </c>
      <c r="B178" s="2" t="s">
        <v>6932</v>
      </c>
      <c r="C178" s="2" t="s">
        <v>1026</v>
      </c>
      <c r="E178" s="2" t="s">
        <v>7142</v>
      </c>
      <c r="F178" s="2" t="s">
        <v>8729</v>
      </c>
      <c r="G178" s="2" t="s">
        <v>8736</v>
      </c>
      <c r="H178" s="2" t="s">
        <v>7142</v>
      </c>
      <c r="I178" s="2" t="s">
        <v>7142</v>
      </c>
      <c r="J178" s="2" t="s">
        <v>8729</v>
      </c>
    </row>
    <row r="179" spans="1:10">
      <c r="A179" s="2" t="s">
        <v>8728</v>
      </c>
      <c r="B179" s="2" t="s">
        <v>6933</v>
      </c>
      <c r="C179" s="2" t="s">
        <v>1803</v>
      </c>
      <c r="D179" s="2" t="s">
        <v>579</v>
      </c>
      <c r="E179" s="2" t="s">
        <v>7142</v>
      </c>
      <c r="F179" s="2" t="s">
        <v>8743</v>
      </c>
      <c r="G179" s="2" t="s">
        <v>8730</v>
      </c>
      <c r="H179" s="2" t="s">
        <v>7142</v>
      </c>
      <c r="I179" s="2" t="s">
        <v>7142</v>
      </c>
      <c r="J179" s="2" t="s">
        <v>8734</v>
      </c>
    </row>
    <row r="180" spans="1:10">
      <c r="A180" s="2" t="s">
        <v>8731</v>
      </c>
      <c r="B180" s="2" t="s">
        <v>6934</v>
      </c>
      <c r="C180" s="2" t="s">
        <v>2406</v>
      </c>
      <c r="D180" s="2" t="s">
        <v>579</v>
      </c>
      <c r="E180" s="2" t="s">
        <v>7143</v>
      </c>
      <c r="H180" s="2" t="s">
        <v>7143</v>
      </c>
      <c r="I180" s="2" t="s">
        <v>7143</v>
      </c>
    </row>
    <row r="181" spans="1:10">
      <c r="A181" s="2" t="s">
        <v>8728</v>
      </c>
      <c r="B181" s="2" t="s">
        <v>6935</v>
      </c>
      <c r="C181" s="2" t="s">
        <v>1224</v>
      </c>
      <c r="E181" s="2" t="s">
        <v>7143</v>
      </c>
      <c r="H181" s="2" t="s">
        <v>7143</v>
      </c>
      <c r="I181" s="2" t="s">
        <v>7143</v>
      </c>
    </row>
    <row r="182" spans="1:10">
      <c r="A182" s="2" t="s">
        <v>8728</v>
      </c>
      <c r="B182" s="2" t="s">
        <v>6936</v>
      </c>
      <c r="C182" s="2" t="s">
        <v>1233</v>
      </c>
      <c r="E182" s="2" t="s">
        <v>7142</v>
      </c>
      <c r="F182" s="2" t="s">
        <v>8729</v>
      </c>
      <c r="G182" s="2" t="s">
        <v>8730</v>
      </c>
      <c r="H182" s="2" t="s">
        <v>7142</v>
      </c>
      <c r="I182" s="2" t="s">
        <v>7142</v>
      </c>
      <c r="J182" s="2" t="s">
        <v>8729</v>
      </c>
    </row>
    <row r="183" spans="1:10">
      <c r="A183" s="2" t="s">
        <v>8728</v>
      </c>
      <c r="B183" s="2" t="s">
        <v>6937</v>
      </c>
      <c r="C183" s="2" t="s">
        <v>1252</v>
      </c>
      <c r="E183" s="2" t="s">
        <v>7142</v>
      </c>
      <c r="F183" s="2" t="s">
        <v>8729</v>
      </c>
      <c r="G183" s="2" t="s">
        <v>8730</v>
      </c>
      <c r="H183" s="2" t="s">
        <v>7142</v>
      </c>
      <c r="I183" s="2" t="s">
        <v>7142</v>
      </c>
      <c r="J183" s="2" t="s">
        <v>8729</v>
      </c>
    </row>
    <row r="184" spans="1:10">
      <c r="A184" s="2" t="s">
        <v>8728</v>
      </c>
      <c r="B184" s="2" t="s">
        <v>6938</v>
      </c>
      <c r="C184" s="2" t="s">
        <v>1285</v>
      </c>
      <c r="E184" s="2" t="s">
        <v>7142</v>
      </c>
      <c r="F184" s="2" t="s">
        <v>8729</v>
      </c>
      <c r="G184" s="2" t="s">
        <v>8730</v>
      </c>
      <c r="H184" s="2" t="s">
        <v>7142</v>
      </c>
      <c r="I184" s="2" t="s">
        <v>7142</v>
      </c>
      <c r="J184" s="2" t="s">
        <v>8729</v>
      </c>
    </row>
    <row r="185" spans="1:10">
      <c r="A185" s="2" t="s">
        <v>8728</v>
      </c>
      <c r="B185" s="2" t="s">
        <v>6939</v>
      </c>
      <c r="C185" s="2" t="s">
        <v>1374</v>
      </c>
      <c r="E185" s="2" t="s">
        <v>7142</v>
      </c>
      <c r="F185" s="2" t="s">
        <v>8729</v>
      </c>
      <c r="G185" s="2" t="s">
        <v>8730</v>
      </c>
      <c r="H185" s="2" t="s">
        <v>7142</v>
      </c>
      <c r="I185" s="2" t="s">
        <v>7142</v>
      </c>
      <c r="J185" s="2" t="s">
        <v>8729</v>
      </c>
    </row>
    <row r="186" spans="1:10">
      <c r="A186" s="2" t="s">
        <v>8728</v>
      </c>
      <c r="B186" s="2" t="s">
        <v>6940</v>
      </c>
      <c r="C186" s="2" t="s">
        <v>1418</v>
      </c>
      <c r="E186" s="2" t="s">
        <v>7143</v>
      </c>
      <c r="H186" s="2" t="s">
        <v>7143</v>
      </c>
      <c r="I186" s="2" t="s">
        <v>7143</v>
      </c>
    </row>
    <row r="187" spans="1:10">
      <c r="A187" s="2" t="s">
        <v>8728</v>
      </c>
      <c r="B187" s="2" t="s">
        <v>6941</v>
      </c>
      <c r="C187" s="2" t="s">
        <v>1435</v>
      </c>
      <c r="E187" s="2" t="s">
        <v>7142</v>
      </c>
      <c r="F187" s="2" t="s">
        <v>8737</v>
      </c>
      <c r="G187" s="2" t="s">
        <v>8730</v>
      </c>
      <c r="H187" s="2" t="s">
        <v>7142</v>
      </c>
      <c r="I187" s="2" t="s">
        <v>7142</v>
      </c>
      <c r="J187" s="2" t="s">
        <v>8737</v>
      </c>
    </row>
    <row r="188" spans="1:10">
      <c r="A188" s="2" t="s">
        <v>8728</v>
      </c>
      <c r="B188" s="2" t="s">
        <v>6942</v>
      </c>
      <c r="C188" s="2" t="s">
        <v>1461</v>
      </c>
      <c r="E188" s="2" t="s">
        <v>7142</v>
      </c>
      <c r="F188" s="2" t="s">
        <v>8747</v>
      </c>
      <c r="G188" s="2" t="s">
        <v>8730</v>
      </c>
      <c r="H188" s="2" t="s">
        <v>7142</v>
      </c>
      <c r="I188" s="2" t="s">
        <v>7142</v>
      </c>
      <c r="J188" s="2" t="s">
        <v>8737</v>
      </c>
    </row>
    <row r="189" spans="1:10">
      <c r="A189" s="2" t="s">
        <v>8728</v>
      </c>
      <c r="B189" s="2" t="s">
        <v>6944</v>
      </c>
      <c r="C189" s="2" t="s">
        <v>1599</v>
      </c>
      <c r="D189" s="2" t="s">
        <v>1998</v>
      </c>
      <c r="E189" s="2" t="s">
        <v>7142</v>
      </c>
      <c r="F189" s="2" t="s">
        <v>8738</v>
      </c>
      <c r="G189" s="2" t="s">
        <v>8742</v>
      </c>
      <c r="H189" s="2" t="s">
        <v>7142</v>
      </c>
      <c r="I189" s="2" t="s">
        <v>7142</v>
      </c>
      <c r="J189" s="2" t="s">
        <v>8738</v>
      </c>
    </row>
    <row r="190" spans="1:10">
      <c r="A190" s="2" t="s">
        <v>8728</v>
      </c>
      <c r="B190" s="2" t="s">
        <v>6945</v>
      </c>
      <c r="C190" s="2" t="s">
        <v>1625</v>
      </c>
      <c r="E190" s="2" t="s">
        <v>7143</v>
      </c>
      <c r="F190" s="2" t="s">
        <v>8741</v>
      </c>
      <c r="G190" s="2" t="s">
        <v>8742</v>
      </c>
      <c r="H190" s="2" t="s">
        <v>7142</v>
      </c>
      <c r="I190" s="2" t="s">
        <v>7142</v>
      </c>
      <c r="J190" s="2" t="s">
        <v>8741</v>
      </c>
    </row>
    <row r="191" spans="1:10">
      <c r="A191" s="2" t="s">
        <v>8728</v>
      </c>
      <c r="B191" s="2" t="s">
        <v>6946</v>
      </c>
      <c r="C191" s="2" t="s">
        <v>1647</v>
      </c>
      <c r="D191" s="2" t="s">
        <v>6947</v>
      </c>
      <c r="E191" s="2" t="s">
        <v>7142</v>
      </c>
      <c r="F191" s="2" t="s">
        <v>8738</v>
      </c>
      <c r="G191" s="2" t="s">
        <v>8730</v>
      </c>
      <c r="H191" s="2" t="s">
        <v>7142</v>
      </c>
      <c r="I191" s="2" t="s">
        <v>7142</v>
      </c>
      <c r="J191" s="2" t="s">
        <v>8738</v>
      </c>
    </row>
    <row r="192" spans="1:10">
      <c r="A192" s="2" t="s">
        <v>8728</v>
      </c>
      <c r="B192" s="2" t="s">
        <v>6948</v>
      </c>
      <c r="C192" s="2" t="s">
        <v>1682</v>
      </c>
      <c r="E192" s="2" t="s">
        <v>7142</v>
      </c>
      <c r="F192" s="2" t="s">
        <v>8737</v>
      </c>
      <c r="G192" s="2" t="s">
        <v>8730</v>
      </c>
      <c r="H192" s="2" t="s">
        <v>7142</v>
      </c>
      <c r="I192" s="2" t="s">
        <v>7142</v>
      </c>
      <c r="J192" s="2" t="s">
        <v>8737</v>
      </c>
    </row>
    <row r="193" spans="1:10">
      <c r="A193" s="2" t="s">
        <v>8728</v>
      </c>
      <c r="B193" s="2" t="s">
        <v>6949</v>
      </c>
      <c r="C193" s="2" t="s">
        <v>1711</v>
      </c>
      <c r="E193" s="2" t="s">
        <v>7142</v>
      </c>
      <c r="F193" s="2" t="s">
        <v>8737</v>
      </c>
      <c r="G193" s="2" t="s">
        <v>8730</v>
      </c>
      <c r="H193" s="2" t="s">
        <v>7142</v>
      </c>
      <c r="I193" s="2" t="s">
        <v>7142</v>
      </c>
      <c r="J193" s="2" t="s">
        <v>8737</v>
      </c>
    </row>
    <row r="194" spans="1:10">
      <c r="A194" s="2" t="s">
        <v>8728</v>
      </c>
      <c r="B194" s="2" t="s">
        <v>6950</v>
      </c>
      <c r="C194" s="2" t="s">
        <v>1783</v>
      </c>
      <c r="D194" s="2" t="s">
        <v>6951</v>
      </c>
      <c r="E194" s="2" t="s">
        <v>7142</v>
      </c>
      <c r="F194" s="2" t="s">
        <v>8738</v>
      </c>
      <c r="G194" s="2" t="s">
        <v>8730</v>
      </c>
      <c r="H194" s="2" t="s">
        <v>7142</v>
      </c>
      <c r="I194" s="2" t="s">
        <v>7142</v>
      </c>
      <c r="J194" s="2" t="s">
        <v>8738</v>
      </c>
    </row>
    <row r="195" spans="1:10">
      <c r="A195" s="2" t="s">
        <v>8728</v>
      </c>
      <c r="B195" s="2" t="s">
        <v>6952</v>
      </c>
      <c r="C195" s="2" t="s">
        <v>1817</v>
      </c>
      <c r="E195" s="2" t="s">
        <v>7142</v>
      </c>
      <c r="F195" s="2" t="s">
        <v>8743</v>
      </c>
      <c r="G195" s="2" t="s">
        <v>8730</v>
      </c>
      <c r="H195" s="2" t="s">
        <v>7142</v>
      </c>
      <c r="I195" s="2" t="s">
        <v>7142</v>
      </c>
      <c r="J195" s="2" t="s">
        <v>8743</v>
      </c>
    </row>
    <row r="196" spans="1:10">
      <c r="A196" s="2" t="s">
        <v>8728</v>
      </c>
      <c r="B196" s="2" t="s">
        <v>6953</v>
      </c>
      <c r="C196" s="2" t="s">
        <v>1862</v>
      </c>
      <c r="E196" s="2" t="s">
        <v>7142</v>
      </c>
      <c r="F196" s="2" t="s">
        <v>8737</v>
      </c>
      <c r="G196" s="2" t="s">
        <v>8730</v>
      </c>
      <c r="H196" s="2" t="s">
        <v>7142</v>
      </c>
      <c r="I196" s="2" t="s">
        <v>7142</v>
      </c>
      <c r="J196" s="2" t="s">
        <v>8737</v>
      </c>
    </row>
    <row r="197" spans="1:10">
      <c r="A197" s="2" t="s">
        <v>8728</v>
      </c>
      <c r="B197" s="2" t="s">
        <v>6954</v>
      </c>
      <c r="C197" s="2" t="s">
        <v>1881</v>
      </c>
      <c r="E197" s="2" t="s">
        <v>7142</v>
      </c>
      <c r="F197" s="2" t="s">
        <v>8737</v>
      </c>
      <c r="G197" s="2" t="s">
        <v>8730</v>
      </c>
      <c r="H197" s="2" t="s">
        <v>7142</v>
      </c>
      <c r="I197" s="2" t="s">
        <v>7142</v>
      </c>
      <c r="J197" s="2" t="s">
        <v>8737</v>
      </c>
    </row>
    <row r="198" spans="1:10">
      <c r="A198" s="2" t="s">
        <v>8728</v>
      </c>
      <c r="B198" s="2" t="s">
        <v>6955</v>
      </c>
      <c r="C198" s="2" t="s">
        <v>1917</v>
      </c>
      <c r="E198" s="2" t="s">
        <v>7142</v>
      </c>
      <c r="F198" s="2" t="s">
        <v>8737</v>
      </c>
      <c r="G198" s="2" t="s">
        <v>8730</v>
      </c>
      <c r="H198" s="2" t="s">
        <v>7142</v>
      </c>
      <c r="I198" s="2" t="s">
        <v>7142</v>
      </c>
      <c r="J198" s="2" t="s">
        <v>8737</v>
      </c>
    </row>
    <row r="199" spans="1:10">
      <c r="A199" s="2" t="s">
        <v>8728</v>
      </c>
      <c r="B199" s="2" t="s">
        <v>6956</v>
      </c>
      <c r="C199" s="2" t="s">
        <v>1935</v>
      </c>
      <c r="E199" s="2" t="s">
        <v>7142</v>
      </c>
      <c r="F199" s="2" t="s">
        <v>8737</v>
      </c>
      <c r="G199" s="2" t="s">
        <v>8730</v>
      </c>
      <c r="H199" s="2" t="s">
        <v>7142</v>
      </c>
      <c r="I199" s="2" t="s">
        <v>7142</v>
      </c>
      <c r="J199" s="2" t="s">
        <v>8737</v>
      </c>
    </row>
    <row r="200" spans="1:10">
      <c r="A200" s="2" t="s">
        <v>8728</v>
      </c>
      <c r="B200" s="2" t="s">
        <v>6957</v>
      </c>
      <c r="C200" s="2" t="s">
        <v>1981</v>
      </c>
      <c r="E200" s="2" t="s">
        <v>7142</v>
      </c>
      <c r="F200" s="2" t="s">
        <v>8738</v>
      </c>
      <c r="G200" s="2" t="s">
        <v>8730</v>
      </c>
      <c r="H200" s="2" t="s">
        <v>7142</v>
      </c>
      <c r="I200" s="2" t="s">
        <v>7142</v>
      </c>
      <c r="J200" s="2" t="s">
        <v>8738</v>
      </c>
    </row>
    <row r="201" spans="1:10">
      <c r="A201" s="2" t="s">
        <v>8728</v>
      </c>
      <c r="B201" s="2" t="s">
        <v>6958</v>
      </c>
      <c r="C201" s="2" t="s">
        <v>2004</v>
      </c>
      <c r="D201" s="2" t="s">
        <v>1998</v>
      </c>
      <c r="E201" s="2" t="s">
        <v>7142</v>
      </c>
      <c r="F201" s="2" t="s">
        <v>8737</v>
      </c>
      <c r="G201" s="2" t="s">
        <v>8730</v>
      </c>
      <c r="H201" s="2" t="s">
        <v>7142</v>
      </c>
      <c r="I201" s="2" t="s">
        <v>7142</v>
      </c>
      <c r="J201" s="2" t="s">
        <v>8737</v>
      </c>
    </row>
    <row r="202" spans="1:10">
      <c r="A202" s="2" t="s">
        <v>8728</v>
      </c>
      <c r="B202" s="2" t="s">
        <v>6959</v>
      </c>
      <c r="C202" s="2" t="s">
        <v>2021</v>
      </c>
      <c r="E202" s="2" t="s">
        <v>7142</v>
      </c>
      <c r="F202" s="2" t="s">
        <v>8737</v>
      </c>
      <c r="G202" s="2" t="s">
        <v>8730</v>
      </c>
      <c r="H202" s="2" t="s">
        <v>7142</v>
      </c>
      <c r="I202" s="2" t="s">
        <v>7142</v>
      </c>
      <c r="J202" s="2" t="s">
        <v>8737</v>
      </c>
    </row>
    <row r="203" spans="1:10">
      <c r="A203" s="2" t="s">
        <v>8728</v>
      </c>
      <c r="B203" s="2" t="s">
        <v>6960</v>
      </c>
      <c r="C203" s="2" t="s">
        <v>2049</v>
      </c>
      <c r="E203" s="2" t="s">
        <v>7142</v>
      </c>
      <c r="F203" s="2" t="s">
        <v>8737</v>
      </c>
      <c r="G203" s="2" t="s">
        <v>8730</v>
      </c>
      <c r="H203" s="2" t="s">
        <v>7142</v>
      </c>
      <c r="I203" s="2" t="s">
        <v>7142</v>
      </c>
      <c r="J203" s="2" t="s">
        <v>8737</v>
      </c>
    </row>
    <row r="204" spans="1:10">
      <c r="A204" s="2" t="s">
        <v>8728</v>
      </c>
      <c r="B204" s="2" t="s">
        <v>6961</v>
      </c>
      <c r="C204" s="2" t="s">
        <v>2106</v>
      </c>
      <c r="E204" s="2" t="s">
        <v>7142</v>
      </c>
      <c r="F204" s="2" t="s">
        <v>8737</v>
      </c>
      <c r="G204" s="2" t="s">
        <v>8730</v>
      </c>
      <c r="H204" s="2" t="s">
        <v>7142</v>
      </c>
      <c r="I204" s="2" t="s">
        <v>7142</v>
      </c>
      <c r="J204" s="2" t="s">
        <v>8737</v>
      </c>
    </row>
    <row r="205" spans="1:10">
      <c r="A205" s="2" t="s">
        <v>8728</v>
      </c>
      <c r="B205" s="2" t="s">
        <v>6962</v>
      </c>
      <c r="C205" s="2" t="s">
        <v>2126</v>
      </c>
      <c r="E205" s="2" t="s">
        <v>7142</v>
      </c>
      <c r="F205" s="2" t="s">
        <v>8737</v>
      </c>
      <c r="G205" s="2" t="s">
        <v>8730</v>
      </c>
      <c r="H205" s="2" t="s">
        <v>7142</v>
      </c>
      <c r="I205" s="2" t="s">
        <v>7142</v>
      </c>
      <c r="J205" s="2" t="s">
        <v>8737</v>
      </c>
    </row>
    <row r="206" spans="1:10">
      <c r="A206" s="2" t="s">
        <v>8728</v>
      </c>
      <c r="B206" s="2" t="s">
        <v>6963</v>
      </c>
      <c r="C206" s="2" t="s">
        <v>2141</v>
      </c>
      <c r="E206" s="2" t="s">
        <v>7142</v>
      </c>
      <c r="F206" s="2" t="s">
        <v>8737</v>
      </c>
      <c r="G206" s="2" t="s">
        <v>8730</v>
      </c>
      <c r="H206" s="2" t="s">
        <v>7142</v>
      </c>
      <c r="I206" s="2" t="s">
        <v>7142</v>
      </c>
      <c r="J206" s="2" t="s">
        <v>8737</v>
      </c>
    </row>
    <row r="207" spans="1:10">
      <c r="A207" s="2" t="s">
        <v>8728</v>
      </c>
      <c r="B207" s="2" t="s">
        <v>6964</v>
      </c>
      <c r="C207" s="2" t="s">
        <v>2179</v>
      </c>
      <c r="E207" s="2" t="s">
        <v>7142</v>
      </c>
      <c r="F207" s="2" t="s">
        <v>8737</v>
      </c>
      <c r="G207" s="2" t="s">
        <v>8730</v>
      </c>
      <c r="H207" s="2" t="s">
        <v>7142</v>
      </c>
      <c r="I207" s="2" t="s">
        <v>7142</v>
      </c>
      <c r="J207" s="2" t="s">
        <v>8737</v>
      </c>
    </row>
    <row r="208" spans="1:10">
      <c r="A208" s="2" t="s">
        <v>8728</v>
      </c>
      <c r="B208" s="2" t="s">
        <v>6965</v>
      </c>
      <c r="C208" s="2" t="s">
        <v>2212</v>
      </c>
      <c r="E208" s="2" t="s">
        <v>7142</v>
      </c>
      <c r="F208" s="2" t="s">
        <v>8737</v>
      </c>
      <c r="G208" s="2" t="s">
        <v>8730</v>
      </c>
      <c r="H208" s="2" t="s">
        <v>7142</v>
      </c>
      <c r="I208" s="2" t="s">
        <v>7142</v>
      </c>
      <c r="J208" s="2" t="s">
        <v>8737</v>
      </c>
    </row>
    <row r="209" spans="1:10">
      <c r="A209" s="2" t="s">
        <v>8728</v>
      </c>
      <c r="B209" s="2" t="s">
        <v>6966</v>
      </c>
      <c r="C209" s="2" t="s">
        <v>2247</v>
      </c>
      <c r="E209" s="2" t="s">
        <v>7142</v>
      </c>
      <c r="F209" s="2" t="s">
        <v>8737</v>
      </c>
      <c r="G209" s="2" t="s">
        <v>8730</v>
      </c>
      <c r="H209" s="2" t="s">
        <v>7142</v>
      </c>
      <c r="I209" s="2" t="s">
        <v>7142</v>
      </c>
      <c r="J209" s="2" t="s">
        <v>8737</v>
      </c>
    </row>
    <row r="210" spans="1:10">
      <c r="A210" s="2" t="s">
        <v>8728</v>
      </c>
      <c r="B210" s="2" t="s">
        <v>6967</v>
      </c>
      <c r="C210" s="2" t="s">
        <v>2394</v>
      </c>
      <c r="E210" s="2" t="s">
        <v>7143</v>
      </c>
      <c r="H210" s="2" t="s">
        <v>7143</v>
      </c>
      <c r="I210" s="2" t="s">
        <v>7143</v>
      </c>
    </row>
    <row r="211" spans="1:10">
      <c r="A211" s="2" t="s">
        <v>8728</v>
      </c>
      <c r="B211" s="2" t="s">
        <v>6968</v>
      </c>
      <c r="C211" s="2" t="s">
        <v>734</v>
      </c>
      <c r="E211" s="2" t="s">
        <v>7142</v>
      </c>
      <c r="F211" s="2" t="s">
        <v>8737</v>
      </c>
      <c r="G211" s="2" t="s">
        <v>8730</v>
      </c>
      <c r="H211" s="2" t="s">
        <v>7142</v>
      </c>
      <c r="I211" s="2" t="s">
        <v>7142</v>
      </c>
      <c r="J211" s="2" t="s">
        <v>8737</v>
      </c>
    </row>
    <row r="212" spans="1:10">
      <c r="A212" s="2" t="s">
        <v>8728</v>
      </c>
      <c r="B212" s="2" t="s">
        <v>6969</v>
      </c>
      <c r="C212" s="2" t="s">
        <v>699</v>
      </c>
      <c r="E212" s="2" t="s">
        <v>7142</v>
      </c>
      <c r="F212" s="2" t="s">
        <v>8738</v>
      </c>
      <c r="G212" s="2" t="s">
        <v>8730</v>
      </c>
      <c r="H212" s="2" t="s">
        <v>7142</v>
      </c>
      <c r="I212" s="2" t="s">
        <v>7142</v>
      </c>
      <c r="J212" s="2" t="s">
        <v>8738</v>
      </c>
    </row>
    <row r="213" spans="1:10">
      <c r="A213" s="2" t="s">
        <v>8728</v>
      </c>
      <c r="B213" s="2" t="s">
        <v>6970</v>
      </c>
      <c r="C213" s="2" t="s">
        <v>608</v>
      </c>
      <c r="D213" s="2" t="s">
        <v>579</v>
      </c>
      <c r="E213" s="2" t="s">
        <v>7142</v>
      </c>
      <c r="F213" s="2" t="s">
        <v>8737</v>
      </c>
      <c r="G213" s="2" t="s">
        <v>8730</v>
      </c>
      <c r="H213" s="2" t="s">
        <v>7142</v>
      </c>
      <c r="I213" s="2" t="s">
        <v>7142</v>
      </c>
      <c r="J213" s="2" t="s">
        <v>8737</v>
      </c>
    </row>
    <row r="214" spans="1:10">
      <c r="A214" s="2" t="s">
        <v>8728</v>
      </c>
      <c r="B214" s="2" t="s">
        <v>6971</v>
      </c>
      <c r="C214" s="2" t="s">
        <v>599</v>
      </c>
      <c r="E214" s="2" t="s">
        <v>7142</v>
      </c>
      <c r="F214" s="2" t="s">
        <v>8734</v>
      </c>
      <c r="G214" s="2" t="s">
        <v>8730</v>
      </c>
      <c r="H214" s="2" t="s">
        <v>7142</v>
      </c>
      <c r="I214" s="2" t="s">
        <v>7142</v>
      </c>
      <c r="J214" s="2" t="s">
        <v>8734</v>
      </c>
    </row>
    <row r="215" spans="1:10">
      <c r="A215" s="2" t="s">
        <v>8728</v>
      </c>
      <c r="B215" s="2" t="s">
        <v>6972</v>
      </c>
      <c r="C215" s="2" t="s">
        <v>573</v>
      </c>
      <c r="E215" s="2" t="s">
        <v>7142</v>
      </c>
      <c r="F215" s="2" t="s">
        <v>8737</v>
      </c>
      <c r="G215" s="2" t="s">
        <v>8730</v>
      </c>
      <c r="H215" s="2" t="s">
        <v>7142</v>
      </c>
      <c r="I215" s="2" t="s">
        <v>7142</v>
      </c>
      <c r="J215" s="2" t="s">
        <v>8737</v>
      </c>
    </row>
    <row r="216" spans="1:10">
      <c r="A216" s="2" t="s">
        <v>8728</v>
      </c>
      <c r="B216" s="2" t="s">
        <v>6973</v>
      </c>
      <c r="C216" s="2" t="s">
        <v>546</v>
      </c>
      <c r="E216" s="2" t="s">
        <v>7142</v>
      </c>
      <c r="F216" s="2" t="s">
        <v>8729</v>
      </c>
      <c r="G216" s="2" t="s">
        <v>8730</v>
      </c>
      <c r="H216" s="2" t="s">
        <v>7142</v>
      </c>
      <c r="I216" s="2" t="s">
        <v>7142</v>
      </c>
      <c r="J216" s="2" t="s">
        <v>8729</v>
      </c>
    </row>
    <row r="217" spans="1:10"/>
    <row r="218" spans="1:10"/>
    <row r="219" spans="1:10"/>
    <row r="220" spans="1:10"/>
    <row r="221" spans="1:10"/>
    <row r="222" spans="1:10"/>
    <row r="223" spans="1:10"/>
    <row r="224" spans="1:10"/>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READABLE_SURVEY_MAIN</vt:lpstr>
      <vt:lpstr>READABLE_HH_members</vt:lpstr>
      <vt:lpstr>READABLE_Images</vt:lpstr>
      <vt:lpstr>READABLE_LAND_PLOTS</vt:lpstr>
      <vt:lpstr>READABLE_SUBTAINABLE_AGRI</vt:lpstr>
      <vt:lpstr>RAW_SURVEY_MAIN</vt:lpstr>
      <vt:lpstr>RAW_HH_members</vt:lpstr>
      <vt:lpstr>RAW_Images</vt:lpstr>
      <vt:lpstr>RAW_LAND_PLOTS</vt:lpstr>
      <vt:lpstr>RAW_SUBTAINABLE_AGRI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Trung Lộc Vũ</cp:lastModifiedBy>
  <dcterms:modified xsi:type="dcterms:W3CDTF">2026-03-08T04:21:37Z</dcterms:modified>
</cp:coreProperties>
</file>